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vmlDrawing2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LISTAS" sheetId="2" state="visible" r:id="rId4"/>
    <sheet name="EDT" sheetId="3" state="visible" r:id="rId5"/>
    <sheet name="CRONOGRAMA" sheetId="4" state="visible" r:id="rId6"/>
    <sheet name="MASTER" sheetId="5" state="visible" r:id="rId7"/>
    <sheet name="LOOKAHEAD" sheetId="6" state="visible" r:id="rId8"/>
    <sheet name="RESTRICCIONES" sheetId="7" state="visible" r:id="rId9"/>
    <sheet name="SEMANAL" sheetId="8" state="visible" r:id="rId10"/>
    <sheet name="DASHBOARD" sheetId="9" state="visible" r:id="rId11"/>
  </sheets>
  <definedNames>
    <definedName function="false" hidden="true" localSheetId="3" name="_xlnm._FilterDatabase" vbProcedure="false">CRONOGRAMA!$A$4:$Q$5679</definedName>
    <definedName function="false" hidden="true" localSheetId="2" name="_xlnm._FilterDatabase" vbProcedure="false">EDT!$A$4:$I$436</definedName>
    <definedName function="false" hidden="true" localSheetId="5" name="_xlnm._FilterDatabase" vbProcedure="false">LOOKAHEAD!$A$4:$U$604</definedName>
    <definedName function="false" hidden="true" localSheetId="6" name="_xlnm._FilterDatabase" vbProcedure="false">RESTRICCIONES!$A$4:$O$304</definedName>
    <definedName function="false" hidden="true" localSheetId="7" name="_xlnm._FilterDatabase" vbProcedure="false">SEMANAL!$A$6:$AA$506</definedName>
    <definedName function="false" hidden="false" name="Causas" vbProcedure="false">LISTAS!$D$4:$D$41</definedName>
    <definedName function="false" hidden="false" name="Cuadrillas" vbProcedure="false">LISTAS!$B$4:$B$41</definedName>
    <definedName function="false" hidden="false" name="Partidas" vbProcedure="false">EDT!$K$5:$K$309</definedName>
    <definedName function="false" hidden="false" name="Responsables" vbProcedure="false">LISTAS!$A$4:$A$41</definedName>
    <definedName function="false" hidden="false" name="TipoRestriccion" vbProcedure="false">LISTAS!$C$4:$C$41</definedName>
    <definedName function="false" hidden="false" name="Ubicaciones" vbProcedure="false">LISTAS!$F$4:$F$41</definedName>
    <definedName function="false" hidden="false" name="Unidades" vbProcedure="false">LISTAS!$E$4:$E$41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Automático (lunes de la semana en curso). Puede sobrescribirse con una fecha fija.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Supuesto: la restricción debe liberarse N días antes del inicio de la actividad. Ajustable.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N° de semana ISO a analizar en el encabezado (PPC y PPC diario).</t>
        </r>
      </text>
    </comment>
  </commentList>
</comments>
</file>

<file path=xl/sharedStrings.xml><?xml version="1.0" encoding="utf-8"?>
<sst xmlns="http://schemas.openxmlformats.org/spreadsheetml/2006/main" count="54877" uniqueCount="17806">
  <si>
    <t xml:space="preserve">SUPERHERRAMIENTA LAST PLANNER SYSTEM (LPS)</t>
  </si>
  <si>
    <t xml:space="preserve">LEYENDA</t>
  </si>
  <si>
    <t xml:space="preserve">Celda amarilla / texto azul</t>
  </si>
  <si>
    <t xml:space="preserve">Dato de entrada: se llena a mano o con lista desplegable.</t>
  </si>
  <si>
    <t xml:space="preserve">Celda gris / texto negro</t>
  </si>
  <si>
    <t xml:space="preserve">Fórmula: no editar (se calcula sola).</t>
  </si>
  <si>
    <t xml:space="preserve">PESTAÑAS</t>
  </si>
  <si>
    <t xml:space="preserve">LISTAS</t>
  </si>
  <si>
    <t xml:space="preserve">Catálogos de los desplegables: responsables, cuadrillas, tipos de restricción, causas de incumplimiento. Agregue filas dentro del rango.</t>
  </si>
  <si>
    <t xml:space="preserve">EDT</t>
  </si>
  <si>
    <t xml:space="preserve">Estructura de Desglose del Trabajo del proyecto (EDT v2.1): 8 componentes, 432 elementos y 305 partidas. Las partidas alimentan la lista desplegable de actividades del LOOKAHEAD.</t>
  </si>
  <si>
    <t xml:space="preserve">CRONOGRAMA</t>
  </si>
  <si>
    <t xml:space="preserve">Cronograma MS Project completo (5,675 filas). Columna Q marca INCORPORAR cuando una tarea entra en la ventana de 6 semanas y aún no está en el LOOKAHEAD: filtre y copie Clave, nombre, ubicación y fechas al LOOKAHEAD.</t>
  </si>
  <si>
    <t xml:space="preserve">MASTER</t>
  </si>
  <si>
    <t xml:space="preserve">Plan Maestro: hitos (fechas contractuales vs proyectadas) y fases macro con duración, responsable, % de avance y Gantt mensual.</t>
  </si>
  <si>
    <t xml:space="preserve">LOOKAHEAD</t>
  </si>
  <si>
    <t xml:space="preserve">Ventana de 6 semanas. Cada actividad se elige de las partidas del EDT (+ ubicación: bloque/zona) y hereda su Fase automáticamente. Su estado pasa a LISTA solo cuando no tiene restricciones pendientes.</t>
  </si>
  <si>
    <t xml:space="preserve">RESTRICCIONES</t>
  </si>
  <si>
    <t xml:space="preserve">Análisis de restricciones (1 actividad → N restricciones). Responsable único, fecha comprometida y fecha real. Estado = Liberado al ingresar la fecha real.</t>
  </si>
  <si>
    <t xml:space="preserve">SEMANAL</t>
  </si>
  <si>
    <t xml:space="preserve">Plan operativo lunes–sábado (programado vs ejecutado por día). Solo acepta actividades en estado LISTA. Calcula ¿Cumplió? y el PPC; exige causa si no se cumplió.</t>
  </si>
  <si>
    <t xml:space="preserve">DASHBOARD</t>
  </si>
  <si>
    <t xml:space="preserve">PPC semanal y acumulado, Pareto de causas, PPC por cuadrilla y salud de restricciones.</t>
  </si>
  <si>
    <t xml:space="preserve">CONEXIONES</t>
  </si>
  <si>
    <t xml:space="preserve">CRONOGRAMA → LOOKAHEAD</t>
  </si>
  <si>
    <t xml:space="preserve">Las actividades del cronograma usan Clave MSP-&lt;ID&gt;; la Fase se toma del cronograma. También puede agregar partidas del EDT o actividades propias (LA-xxx).</t>
  </si>
  <si>
    <t xml:space="preserve">EDT → LOOKAHEAD</t>
  </si>
  <si>
    <t xml:space="preserve">LOOKAHEAD!B (Actividad) se elige de la lista de partidas del EDT; el código de 2 dígitos define la Fase.</t>
  </si>
  <si>
    <t xml:space="preserve">MASTER → LOOKAHEAD</t>
  </si>
  <si>
    <t xml:space="preserve">LOOKAHEAD!C (ID Fase = componente EDT 01…08). El % de avance de la fase se promedia desde LOOKAHEAD.</t>
  </si>
  <si>
    <t xml:space="preserve">LOOKAHEAD ⇄ RESTRICCIONES</t>
  </si>
  <si>
    <t xml:space="preserve">RESTRICCIONES!B (ID Actividad). LOOKAHEAD cuenta restricciones pendientes y define LISTA / RESTRINGIDA.</t>
  </si>
  <si>
    <t xml:space="preserve">LOOKAHEAD → SEMANAL</t>
  </si>
  <si>
    <t xml:space="preserve">SEMANAL!C valida que la actividad esté LISTA (escudo del plan). Lo ejecutado vuelve como % avance a LOOKAHEAD y de ahí a MASTER.</t>
  </si>
  <si>
    <t xml:space="preserve">SEMANAL → DASHBOARD</t>
  </si>
  <si>
    <t xml:space="preserve">Tabla acumulada: cada fila lleva su N° de semana; el DASHBOARD agrupa por semana, causa y cuadrilla.</t>
  </si>
  <si>
    <t xml:space="preserve">CICLO SEMANAL</t>
  </si>
  <si>
    <t xml:space="preserve">1. Medir</t>
  </si>
  <si>
    <t xml:space="preserve">Cerrar la semana: completar ejecutado diario, revisar ¿Cumplió? y registrar causas + acción correctiva.</t>
  </si>
  <si>
    <t xml:space="preserve">2. Aprender</t>
  </si>
  <si>
    <t xml:space="preserve">Revisar PPC y Pareto de causas en DASHBOARD (análisis 5 porqués de la causa principal).</t>
  </si>
  <si>
    <t xml:space="preserve">3. Avanzar ventana</t>
  </si>
  <si>
    <t xml:space="preserve">En CRONOGRAMA filtre columna Q = INCORPORAR y copie esas tareas al LOOKAHEAD (nueva semana 6). Borre o archive las actividades terminadas.</t>
  </si>
  <si>
    <t xml:space="preserve">4. Liberar</t>
  </si>
  <si>
    <t xml:space="preserve">Revisar RESTRICCIONES vencidas / en riesgo con cada responsable; registrar fechas reales.</t>
  </si>
  <si>
    <t xml:space="preserve">5. Comprometer</t>
  </si>
  <si>
    <t xml:space="preserve">Armar el plan de la próxima semana en SEMANAL solo con actividades LISTA; compromiso de cada capataz.</t>
  </si>
  <si>
    <t xml:space="preserve">NOTA</t>
  </si>
  <si>
    <t xml:space="preserve">MASTER y LOOKAHEAD están cargados con el cronograma MS Project (actualización por suspensión). El LOOKAHEAD trae las tareas de la ventana 05-oct-2026 a 15-nov-2026: complete cuadrilla, unidad y cantidad, y registre las restricciones. RESTRICCIONES y SEMANAL quedan vacías para uso real. Las fórmulas están precargadas hasta: LOOKAHEAD 600 filas, RESTRICCIONES 300, SEMANAL 500.</t>
  </si>
  <si>
    <t xml:space="preserve">LISTAS / CATÁLOGOS</t>
  </si>
  <si>
    <t xml:space="preserve">Agregue elementos dentro de cada columna (hasta la fila 41).</t>
  </si>
  <si>
    <t xml:space="preserve">Responsables</t>
  </si>
  <si>
    <t xml:space="preserve">Cuadrillas</t>
  </si>
  <si>
    <t xml:space="preserve">TipoRestriccion</t>
  </si>
  <si>
    <t xml:space="preserve">Causas</t>
  </si>
  <si>
    <t xml:space="preserve">Unidades</t>
  </si>
  <si>
    <t xml:space="preserve">Ubicaciones</t>
  </si>
  <si>
    <t xml:space="preserve">Residente de obra</t>
  </si>
  <si>
    <t xml:space="preserve">Cuadrilla obras provisionales</t>
  </si>
  <si>
    <t xml:space="preserve">Permisos / Licencias</t>
  </si>
  <si>
    <t xml:space="preserve">Clima</t>
  </si>
  <si>
    <t xml:space="preserve">m2</t>
  </si>
  <si>
    <t xml:space="preserve">Bloque 1</t>
  </si>
  <si>
    <t xml:space="preserve">Ing. de producción</t>
  </si>
  <si>
    <t xml:space="preserve">Cuadrilla movimiento de tierras</t>
  </si>
  <si>
    <t xml:space="preserve">Materiales</t>
  </si>
  <si>
    <t xml:space="preserve">Falta de material</t>
  </si>
  <si>
    <t xml:space="preserve">m3</t>
  </si>
  <si>
    <t xml:space="preserve">Bloque 2</t>
  </si>
  <si>
    <t xml:space="preserve">Ing. de oficina técnica</t>
  </si>
  <si>
    <t xml:space="preserve">Cuadrilla concreto</t>
  </si>
  <si>
    <t xml:space="preserve">Mano de obra</t>
  </si>
  <si>
    <t xml:space="preserve">Falta de mano de obra</t>
  </si>
  <si>
    <t xml:space="preserve">ml</t>
  </si>
  <si>
    <t xml:space="preserve">Bloque 3</t>
  </si>
  <si>
    <t xml:space="preserve">Ing. de calidad</t>
  </si>
  <si>
    <t xml:space="preserve">Cuadrilla acero</t>
  </si>
  <si>
    <t xml:space="preserve">Subcontratos</t>
  </si>
  <si>
    <t xml:space="preserve">Interferencias entre cuadrillas</t>
  </si>
  <si>
    <t xml:space="preserve">kg</t>
  </si>
  <si>
    <t xml:space="preserve">Bloque 4</t>
  </si>
  <si>
    <t xml:space="preserve">Ing. de seguridad (SSOMA)</t>
  </si>
  <si>
    <t xml:space="preserve">Cuadrilla encofrado</t>
  </si>
  <si>
    <t xml:space="preserve">Diseño / Ingeniería (RFI)</t>
  </si>
  <si>
    <t xml:space="preserve">Falta de equipos / maquinaria</t>
  </si>
  <si>
    <t xml:space="preserve">und</t>
  </si>
  <si>
    <t xml:space="preserve">Bloque 5</t>
  </si>
  <si>
    <t xml:space="preserve">Especialista ambiental</t>
  </si>
  <si>
    <t xml:space="preserve">Cuadrilla albañilería</t>
  </si>
  <si>
    <t xml:space="preserve">Equipos / Maquinaria</t>
  </si>
  <si>
    <t xml:space="preserve">Actividad previa no terminada</t>
  </si>
  <si>
    <t xml:space="preserve">pto</t>
  </si>
  <si>
    <t xml:space="preserve">Bloque 6</t>
  </si>
  <si>
    <t xml:space="preserve">Arqueólogo</t>
  </si>
  <si>
    <t xml:space="preserve">Cuadrilla acabados</t>
  </si>
  <si>
    <t xml:space="preserve">Espacio / Frente de trabajo</t>
  </si>
  <si>
    <t xml:space="preserve">Cambio de prioridades</t>
  </si>
  <si>
    <t xml:space="preserve">gl</t>
  </si>
  <si>
    <t xml:space="preserve">Bloque 7</t>
  </si>
  <si>
    <t xml:space="preserve">Logística / Almacén</t>
  </si>
  <si>
    <t xml:space="preserve">Equipo SSOMA</t>
  </si>
  <si>
    <t xml:space="preserve">Actividad previa</t>
  </si>
  <si>
    <t xml:space="preserve">Error de planificación</t>
  </si>
  <si>
    <t xml:space="preserve">día</t>
  </si>
  <si>
    <t xml:space="preserve">Bloque 8</t>
  </si>
  <si>
    <t xml:space="preserve">Administrador de obra</t>
  </si>
  <si>
    <t xml:space="preserve">Equipo arqueología</t>
  </si>
  <si>
    <t xml:space="preserve">Información / Aprobación cliente</t>
  </si>
  <si>
    <t xml:space="preserve">Diseño / información incompleta</t>
  </si>
  <si>
    <t xml:space="preserve">Bloque 9</t>
  </si>
  <si>
    <t xml:space="preserve">Especialista de instalaciones</t>
  </si>
  <si>
    <t xml:space="preserve">Subc. estructuras metálicas</t>
  </si>
  <si>
    <t xml:space="preserve">Seguridad / Calidad</t>
  </si>
  <si>
    <t xml:space="preserve">Retrabajo / calidad</t>
  </si>
  <si>
    <t xml:space="preserve">Bloque 10</t>
  </si>
  <si>
    <t xml:space="preserve">Supervisión / Entidad</t>
  </si>
  <si>
    <t xml:space="preserve">Subc. inst. sanitarias</t>
  </si>
  <si>
    <t xml:space="preserve">Subcontratista no se presentó</t>
  </si>
  <si>
    <t xml:space="preserve">Bloque 11</t>
  </si>
  <si>
    <t xml:space="preserve">Subc. inst. eléctricas</t>
  </si>
  <si>
    <t xml:space="preserve">Permiso / inspección no aprobada</t>
  </si>
  <si>
    <t xml:space="preserve">Bloque 12</t>
  </si>
  <si>
    <t xml:space="preserve">Subc. aire acondicionado / ventilación</t>
  </si>
  <si>
    <t xml:space="preserve">Bloque 13</t>
  </si>
  <si>
    <t xml:space="preserve">Subc. ascensores</t>
  </si>
  <si>
    <t xml:space="preserve">Bloque 14</t>
  </si>
  <si>
    <t xml:space="preserve">Subc. comunicaciones y TI</t>
  </si>
  <si>
    <t xml:space="preserve">Exteriores</t>
  </si>
  <si>
    <t xml:space="preserve">Subc. sistema contra incendios</t>
  </si>
  <si>
    <t xml:space="preserve">Caminerías</t>
  </si>
  <si>
    <t xml:space="preserve">Proveedor mobiliario y equipos</t>
  </si>
  <si>
    <t xml:space="preserve">Losa multiusos</t>
  </si>
  <si>
    <t xml:space="preserve">Capacitador</t>
  </si>
  <si>
    <t xml:space="preserve">Estacionamiento</t>
  </si>
  <si>
    <t xml:space="preserve">Cerco perimétrico</t>
  </si>
  <si>
    <t xml:space="preserve">Muro de contención</t>
  </si>
  <si>
    <t xml:space="preserve">General / Toda la obra</t>
  </si>
  <si>
    <t xml:space="preserve">EDT – ESTRUCTURA DE DESGLOSE DEL TRABAJO (v2.1)</t>
  </si>
  <si>
    <t xml:space="preserve">Mejoramiento de la Prestación del Servicio de Gestión Educativa – DRSE Tacna. Fuente: 02.02_EDT_v2.1.pdf</t>
  </si>
  <si>
    <t xml:space="preserve">Código EDT</t>
  </si>
  <si>
    <t xml:space="preserve">Nivel</t>
  </si>
  <si>
    <t xml:space="preserve">Descripción</t>
  </si>
  <si>
    <t xml:space="preserve">Tipo</t>
  </si>
  <si>
    <t xml:space="preserve">ID Fase</t>
  </si>
  <si>
    <t xml:space="preserve">Componente (Fase)</t>
  </si>
  <si>
    <t xml:space="preserve">Agrupador padre</t>
  </si>
  <si>
    <t xml:space="preserve">Etiqueta para Lookahead</t>
  </si>
  <si>
    <t xml:space="preserve">N° act. en Lookahead</t>
  </si>
  <si>
    <t xml:space="preserve">Lista de partidas (desplegable)</t>
  </si>
  <si>
    <t xml:space="preserve">01</t>
  </si>
  <si>
    <t xml:space="preserve">Obras Provisionales, Trabajos Preliminares, Seguridad y Salud, Mitigación Impacto Ambiental, PMAR</t>
  </si>
  <si>
    <t xml:space="preserve">Agrupador</t>
  </si>
  <si>
    <t xml:space="preserve">01.01.01.01 Cartel de identificación de obra (3.60x2.40 m)</t>
  </si>
  <si>
    <t xml:space="preserve">01.01</t>
  </si>
  <si>
    <t xml:space="preserve">Obras Provisionales</t>
  </si>
  <si>
    <t xml:space="preserve">01.01.01.02 Perfilado y compactación de subrasante (ambientes provisionales)</t>
  </si>
  <si>
    <t xml:space="preserve">01.01.01</t>
  </si>
  <si>
    <t xml:space="preserve">Elementos</t>
  </si>
  <si>
    <t xml:space="preserve">01.01.01.03 Almacén, caseta de guardianía y oficinas</t>
  </si>
  <si>
    <t xml:space="preserve">01.01.01.01</t>
  </si>
  <si>
    <t xml:space="preserve">Cartel de identificación de obra (3.60x2.40 m)</t>
  </si>
  <si>
    <t xml:space="preserve">Partida</t>
  </si>
  <si>
    <t xml:space="preserve">01.01.01.04 Comedor y vestuario para personal obrero</t>
  </si>
  <si>
    <t xml:space="preserve">01.01.01.02</t>
  </si>
  <si>
    <t xml:space="preserve">Perfilado y compactación de subrasante (ambientes provisionales)</t>
  </si>
  <si>
    <t xml:space="preserve">01.01.01.05 Servicios higiénicos (alquiler o provisión)</t>
  </si>
  <si>
    <t xml:space="preserve">01.01.01.03</t>
  </si>
  <si>
    <t xml:space="preserve">Almacén, caseta de guardianía y oficinas</t>
  </si>
  <si>
    <t xml:space="preserve">01.01.01.06 Tópico para profesional de salud</t>
  </si>
  <si>
    <t xml:space="preserve">01.01.01.04</t>
  </si>
  <si>
    <t xml:space="preserve">Comedor y vestuario para personal obrero</t>
  </si>
  <si>
    <t xml:space="preserve">01.01.01.07 Cerco provisional de obra (con triplay y listones de madera)</t>
  </si>
  <si>
    <t xml:space="preserve">01.01.01.05</t>
  </si>
  <si>
    <t xml:space="preserve">Servicios higiénicos (alquiler o provisión)</t>
  </si>
  <si>
    <t xml:space="preserve">01.01.01.08 Limpieza permanente y mantenimiento de ambientes provisionales</t>
  </si>
  <si>
    <t xml:space="preserve">01.01.01.06</t>
  </si>
  <si>
    <t xml:space="preserve">Tópico para profesional de salud</t>
  </si>
  <si>
    <t xml:space="preserve">01.02.01 Instalaciones provisionales sanitarias</t>
  </si>
  <si>
    <t xml:space="preserve">01.01.01.07</t>
  </si>
  <si>
    <t xml:space="preserve">Cerco provisional de obra (con triplay y listones de madera)</t>
  </si>
  <si>
    <t xml:space="preserve">01.02.02 Instalación provisional de energía eléctrica</t>
  </si>
  <si>
    <t xml:space="preserve">01.01.01.08</t>
  </si>
  <si>
    <t xml:space="preserve">Limpieza permanente y mantenimiento de ambientes provisionales</t>
  </si>
  <si>
    <t xml:space="preserve">01.02.03 Consumo de energía eléctrica</t>
  </si>
  <si>
    <t xml:space="preserve">01.02</t>
  </si>
  <si>
    <t xml:space="preserve">Instalaciones Provisionales</t>
  </si>
  <si>
    <t xml:space="preserve">01.02.04 Servicios de agua y desagüe en obra</t>
  </si>
  <si>
    <t xml:space="preserve">01.02.01</t>
  </si>
  <si>
    <t xml:space="preserve">Instalaciones provisionales sanitarias</t>
  </si>
  <si>
    <t xml:space="preserve">01.03.01 Movilización y desmovilización de equipos y maquinaria</t>
  </si>
  <si>
    <t xml:space="preserve">01.02.02</t>
  </si>
  <si>
    <t xml:space="preserve">Instalación provisional de energía eléctrica</t>
  </si>
  <si>
    <t xml:space="preserve">01.03.02 Flete de materiales</t>
  </si>
  <si>
    <t xml:space="preserve">01.02.03</t>
  </si>
  <si>
    <t xml:space="preserve">Consumo de energía eléctrica</t>
  </si>
  <si>
    <t xml:space="preserve">01.03.03 Limpieza de terreno previo a obra</t>
  </si>
  <si>
    <t xml:space="preserve">01.02.04</t>
  </si>
  <si>
    <t xml:space="preserve">Servicios de agua y desagüe en obra</t>
  </si>
  <si>
    <t xml:space="preserve">01.03.04 Trazo, niveles y replanteo preliminar y durante ejecución</t>
  </si>
  <si>
    <t xml:space="preserve">01.03</t>
  </si>
  <si>
    <t xml:space="preserve">Trabajos Preliminares</t>
  </si>
  <si>
    <t xml:space="preserve">01.03.05 Demolición de vereda de concreto (altura 0.15 m)</t>
  </si>
  <si>
    <t xml:space="preserve">01.03.01</t>
  </si>
  <si>
    <t xml:space="preserve">Movilización y desmovilización de equipos y maquinaria</t>
  </si>
  <si>
    <t xml:space="preserve">01.04.01.01 Plan de seguridad y salud en el trabajo</t>
  </si>
  <si>
    <t xml:space="preserve">01.03.02</t>
  </si>
  <si>
    <t xml:space="preserve">Flete de materiales</t>
  </si>
  <si>
    <t xml:space="preserve">01.04.01.02 Capacitaciones diarias y periódicas en seguridad</t>
  </si>
  <si>
    <t xml:space="preserve">01.03.03</t>
  </si>
  <si>
    <t xml:space="preserve">Limpieza de terreno previo a obra</t>
  </si>
  <si>
    <t xml:space="preserve">01.04.01.03 Equipo de protección personal y colectivo</t>
  </si>
  <si>
    <t xml:space="preserve">01.03.04</t>
  </si>
  <si>
    <t xml:space="preserve">Trazo, niveles y replanteo preliminar y durante ejecución</t>
  </si>
  <si>
    <t xml:space="preserve">01.04.01.04 Señalización temporal de seguridad</t>
  </si>
  <si>
    <t xml:space="preserve">01.03.05</t>
  </si>
  <si>
    <t xml:space="preserve">Demolición de vereda de concreto (altura 0.15 m)</t>
  </si>
  <si>
    <t xml:space="preserve">01.04.01.05 Recursos para respuesta ante emergencias</t>
  </si>
  <si>
    <t xml:space="preserve">01.04</t>
  </si>
  <si>
    <t xml:space="preserve">Seguridad, Salud y Medio Ambiente</t>
  </si>
  <si>
    <t xml:space="preserve">01.04.02.01 Exámenes médicos ocupacionales</t>
  </si>
  <si>
    <t xml:space="preserve">01.04.01</t>
  </si>
  <si>
    <t xml:space="preserve">Seguridad en el trabajo</t>
  </si>
  <si>
    <t xml:space="preserve">01.04.02.02 Agua de mesa para consumo humano</t>
  </si>
  <si>
    <t xml:space="preserve">01.04.01.01</t>
  </si>
  <si>
    <t xml:space="preserve">Plan de seguridad y salud en el trabajo</t>
  </si>
  <si>
    <t xml:space="preserve">01.04.03.01.01 Señalización en plancha galvanizada (30 cm diámetro)</t>
  </si>
  <si>
    <t xml:space="preserve">01.04.01.02</t>
  </si>
  <si>
    <t xml:space="preserve">Capacitaciones diarias y periódicas en seguridad</t>
  </si>
  <si>
    <t xml:space="preserve">01.04.03.01.02 Señalización en plancha galvanizada (60x30 cm)</t>
  </si>
  <si>
    <t xml:space="preserve">01.04.01.03</t>
  </si>
  <si>
    <t xml:space="preserve">Equipo de protección personal y colectivo</t>
  </si>
  <si>
    <t xml:space="preserve">01.04.03.01.03 Parantes de tubo de fierro galvanizado con base anticorrosiva</t>
  </si>
  <si>
    <t xml:space="preserve">01.04.01.04</t>
  </si>
  <si>
    <t xml:space="preserve">Señalización temporal de seguridad</t>
  </si>
  <si>
    <t xml:space="preserve">01.04.03.02.01 Dispositivo de control de emisiones de material particulado (cobertor de lona)</t>
  </si>
  <si>
    <t xml:space="preserve">01.04.01.05</t>
  </si>
  <si>
    <t xml:space="preserve">Recursos para respuesta ante emergencias</t>
  </si>
  <si>
    <t xml:space="preserve">01.04.03.02.02 Bandejas antiderrame con geomembrana</t>
  </si>
  <si>
    <t xml:space="preserve">01.04.02</t>
  </si>
  <si>
    <t xml:space="preserve">Salud ocupacional</t>
  </si>
  <si>
    <t xml:space="preserve">01.04.03.02.03 Humidificación para dispersión de partículas</t>
  </si>
  <si>
    <t xml:space="preserve">01.04.02.01</t>
  </si>
  <si>
    <t xml:space="preserve">Exámenes médicos ocupacionales</t>
  </si>
  <si>
    <t xml:space="preserve">01.04.03.02.04 Tanque de 5000 litros para almacenamiento de agua</t>
  </si>
  <si>
    <t xml:space="preserve">01.04.02.02</t>
  </si>
  <si>
    <t xml:space="preserve">Agua de mesa para consumo humano</t>
  </si>
  <si>
    <t xml:space="preserve">01.04.03.03.01 Cilindros metálicos para residuos sólidos (120L y 660L)</t>
  </si>
  <si>
    <t xml:space="preserve">01.04.03</t>
  </si>
  <si>
    <t xml:space="preserve">Plan de manejo ambiental</t>
  </si>
  <si>
    <t xml:space="preserve">01.04.03.03.02 Almacén prefabricado para residuos sólidos (8x3 m)</t>
  </si>
  <si>
    <t xml:space="preserve">01.04.03.01</t>
  </si>
  <si>
    <t xml:space="preserve">Programa de señalización ambiental</t>
  </si>
  <si>
    <t xml:space="preserve">01.04.03.03.03 Disposición y tratamiento de residuos peligrosos</t>
  </si>
  <si>
    <t xml:space="preserve">01.04.03.01.01</t>
  </si>
  <si>
    <t xml:space="preserve">Señalización en plancha galvanizada (30 cm diámetro)</t>
  </si>
  <si>
    <t xml:space="preserve">01.04.03.04.01 Material de capacitación e informativo</t>
  </si>
  <si>
    <t xml:space="preserve">01.04.03.01.02</t>
  </si>
  <si>
    <t xml:space="preserve">Señalización en plancha galvanizada (60x30 cm)</t>
  </si>
  <si>
    <t xml:space="preserve">01.04.03.05.01 Monitoreo de calidad de aire y emisiones atmosféricas</t>
  </si>
  <si>
    <t xml:space="preserve">01.04.03.01.03</t>
  </si>
  <si>
    <t xml:space="preserve">Parantes de tubo de fierro galvanizado con base anticorrosiva</t>
  </si>
  <si>
    <t xml:space="preserve">01.04.03.05.02 Monitoreo de ruido ambiental</t>
  </si>
  <si>
    <t xml:space="preserve">01.04.03.02</t>
  </si>
  <si>
    <t xml:space="preserve">Programa de prevención, control y mitigación</t>
  </si>
  <si>
    <t xml:space="preserve">01.04.03.06.01 Equipos de contingencia para derrames de sustancias peligrosas o combustibles</t>
  </si>
  <si>
    <t xml:space="preserve">01.04.03.02.01</t>
  </si>
  <si>
    <t xml:space="preserve">Dispositivo de control de emisiones de material particulado (cobertor de lona)</t>
  </si>
  <si>
    <t xml:space="preserve">01.04.03.07.01 Retiro de equipos, materiales e instalaciones temporales y restauración</t>
  </si>
  <si>
    <t xml:space="preserve">01.04.03.02.02</t>
  </si>
  <si>
    <t xml:space="preserve">Bandejas antiderrame con geomembrana</t>
  </si>
  <si>
    <t xml:space="preserve">01.05.01 Elaboración e implementación del plan de monitoreo arqueológico</t>
  </si>
  <si>
    <t xml:space="preserve">01.04.03.02.03</t>
  </si>
  <si>
    <t xml:space="preserve">Humidificación para dispersión de partículas</t>
  </si>
  <si>
    <t xml:space="preserve">02.01.01.01 Corte de terreno a nivel de piso terminado</t>
  </si>
  <si>
    <t xml:space="preserve">01.04.03.02.04</t>
  </si>
  <si>
    <t xml:space="preserve">Tanque de 5000 litros para almacenamiento de agua</t>
  </si>
  <si>
    <t xml:space="preserve">02.01.01.02 Excavación con maquinaria y manual para zapatas y cimientos</t>
  </si>
  <si>
    <t xml:space="preserve">01.04.03.03</t>
  </si>
  <si>
    <t xml:space="preserve">Programa de manejo de residuos sólidos</t>
  </si>
  <si>
    <t xml:space="preserve">02.01.01.03 Perfilado en zonas de excavación</t>
  </si>
  <si>
    <t xml:space="preserve">01.04.03.03.01</t>
  </si>
  <si>
    <t xml:space="preserve">Cilindros metálicos para residuos sólidos (120L y 660L)</t>
  </si>
  <si>
    <t xml:space="preserve">02.01.01.04 Relleno y compactación con material seleccionado y equipo liviano</t>
  </si>
  <si>
    <t xml:space="preserve">01.04.03.03.02</t>
  </si>
  <si>
    <t xml:space="preserve">Almacén prefabricado para residuos sólidos (8x3 m)</t>
  </si>
  <si>
    <t xml:space="preserve">02.01.01.05 Acarreo y eliminación de material excedente</t>
  </si>
  <si>
    <t xml:space="preserve">01.04.03.03.03</t>
  </si>
  <si>
    <t xml:space="preserve">Disposición y tratamiento de residuos peligrosos</t>
  </si>
  <si>
    <t xml:space="preserve">02.01.01.06 Conformación de base granular para piso (espesor 0.10 m)</t>
  </si>
  <si>
    <t xml:space="preserve">01.04.03.04</t>
  </si>
  <si>
    <t xml:space="preserve">Programa de capacitación y sensibilización ambiental</t>
  </si>
  <si>
    <t xml:space="preserve">02.01.01.07 Nivelación interior apisonado con equipo liviano</t>
  </si>
  <si>
    <t xml:space="preserve">01.04.03.04.01</t>
  </si>
  <si>
    <t xml:space="preserve">Material de capacitación e informativo</t>
  </si>
  <si>
    <t xml:space="preserve">02.01.02.01 Solados de concreto (f'c=100 kg/cm2)</t>
  </si>
  <si>
    <t xml:space="preserve">01.04.03.05</t>
  </si>
  <si>
    <t xml:space="preserve">Programa de monitoreo, seguimiento y control ambiental</t>
  </si>
  <si>
    <t xml:space="preserve">02.01.02.02 Cimientos corridos (f'c=140 kg/cm2 + 30% cemento tipo HS)</t>
  </si>
  <si>
    <t xml:space="preserve">01.04.03.05.01</t>
  </si>
  <si>
    <t xml:space="preserve">Monitoreo de calidad de aire y emisiones atmosféricas</t>
  </si>
  <si>
    <t xml:space="preserve">02.01.02.03 Sobrecimientos (f'c=175 kg/cm2, cemento tipo HS)</t>
  </si>
  <si>
    <t xml:space="preserve">01.04.03.05.02</t>
  </si>
  <si>
    <t xml:space="preserve">Monitoreo de ruido ambiental</t>
  </si>
  <si>
    <t xml:space="preserve">02.01.02.04 Subzapatas (f'c=175 kg/cm2 + 30% cemento tipo HS)</t>
  </si>
  <si>
    <t xml:space="preserve">01.04.03.06</t>
  </si>
  <si>
    <t xml:space="preserve">Programa de contingencia y atención de emergencias</t>
  </si>
  <si>
    <t xml:space="preserve">02.01.02.05 Falsos pisos (mezcla 1:8, espesor 10 cm)</t>
  </si>
  <si>
    <t xml:space="preserve">01.04.03.06.01</t>
  </si>
  <si>
    <t xml:space="preserve">Equipos de contingencia para derrames de sustancias peligrosas o combustibles</t>
  </si>
  <si>
    <t xml:space="preserve">02.01.03.01 Zapatas con concreto premezclado (f'c=315 kg/cm2, cemento tipo HS)</t>
  </si>
  <si>
    <t xml:space="preserve">01.04.03.07</t>
  </si>
  <si>
    <t xml:space="preserve">Programa de cierre y abandono de obra</t>
  </si>
  <si>
    <t xml:space="preserve">02.01.03.02 Vigas de conexión con concreto premezclado (f'c=315 kg/cm2, cemento tipo HS)</t>
  </si>
  <si>
    <t xml:space="preserve">01.04.03.07.01</t>
  </si>
  <si>
    <t xml:space="preserve">Retiro de equipos, materiales e instalaciones temporales y restauración</t>
  </si>
  <si>
    <t xml:space="preserve">02.01.03.03 Sobrecimiento armado con concreto (f'c=315 kg/cm2, cemento tipo HS)</t>
  </si>
  <si>
    <t xml:space="preserve">01.05</t>
  </si>
  <si>
    <t xml:space="preserve">Plan de monitoreo arqueológico</t>
  </si>
  <si>
    <t xml:space="preserve">02.01.03.04 Columnas en varios niveles con concreto premezclado (f'c=210 kg/cm2, cemento tipo HS o IP)</t>
  </si>
  <si>
    <t xml:space="preserve">01.05.01</t>
  </si>
  <si>
    <t xml:space="preserve">Elaboración e implementación del plan de monitoreo arqueológico</t>
  </si>
  <si>
    <t xml:space="preserve">02.01.03.05 Placas en varios niveles con concreto premezclado (f'c=210 kg/cm2, cemento tipo HS o IP)</t>
  </si>
  <si>
    <t xml:space="preserve">02</t>
  </si>
  <si>
    <t xml:space="preserve">Estructuras</t>
  </si>
  <si>
    <t xml:space="preserve">02.01.03.06 Vigas en varios niveles con concreto premezclado (f'c=210 kg/cm2, cemento tipo HS o IP)</t>
  </si>
  <si>
    <t xml:space="preserve">02.01</t>
  </si>
  <si>
    <t xml:space="preserve">Bloques 1 a 14 (detallado para cada bloque)</t>
  </si>
  <si>
    <t xml:space="preserve">02.01.03.07 Losas aligeradas en varios niveles con concreto premezclado (f'c=210 kg/cm2, cemento tipo IP)</t>
  </si>
  <si>
    <t xml:space="preserve">02.01.01</t>
  </si>
  <si>
    <t xml:space="preserve">Movimiento de tierras</t>
  </si>
  <si>
    <t xml:space="preserve">02.01.03.08 Losas macizas en varios niveles con concreto premezclado (f'c=210 kg/cm2, cemento tipo IP)</t>
  </si>
  <si>
    <t xml:space="preserve">02.01.01.01</t>
  </si>
  <si>
    <t xml:space="preserve">Corte de terreno a nivel de piso terminado</t>
  </si>
  <si>
    <t xml:space="preserve">02.01.03.09 Columnetas de amarre con concreto (f'c=175 kg/cm2, cemento tipo HS)</t>
  </si>
  <si>
    <t xml:space="preserve">02.01.01.02</t>
  </si>
  <si>
    <t xml:space="preserve">Excavación con maquinaria y manual para zapatas y cimientos</t>
  </si>
  <si>
    <t xml:space="preserve">02.01.03.10 Viguetas de amarre con concreto (f'c=175 kg/cm2)</t>
  </si>
  <si>
    <t xml:space="preserve">02.01.01.03</t>
  </si>
  <si>
    <t xml:space="preserve">Perfilado en zonas de excavación</t>
  </si>
  <si>
    <t xml:space="preserve">02.01.03.11 Parapetos con concreto (f'c=175 kg/cm2)</t>
  </si>
  <si>
    <t xml:space="preserve">02.01.01.04</t>
  </si>
  <si>
    <t xml:space="preserve">Relleno y compactación con material seleccionado y equipo liviano</t>
  </si>
  <si>
    <t xml:space="preserve">02.01.03.12 Marcos y dinteles con concreto (f'c=175 kg/cm2)</t>
  </si>
  <si>
    <t xml:space="preserve">02.01.01.05</t>
  </si>
  <si>
    <t xml:space="preserve">Acarreo y eliminación de material excedente</t>
  </si>
  <si>
    <t xml:space="preserve">02.01.03.13 Juntas con planchas de tecnopor y water stop</t>
  </si>
  <si>
    <t xml:space="preserve">02.01.01.06</t>
  </si>
  <si>
    <t xml:space="preserve">Conformación de base granular para piso (espesor 0.10 m)</t>
  </si>
  <si>
    <t xml:space="preserve">02.01.04.01 Tijerales metálicos secundarios y principales tipo TJ con diseño específico</t>
  </si>
  <si>
    <t xml:space="preserve">02.01.01.07</t>
  </si>
  <si>
    <t xml:space="preserve">Nivelación interior apisonado con equipo liviano</t>
  </si>
  <si>
    <t xml:space="preserve">02.01.04.02 Correa de tubo de fierro negro</t>
  </si>
  <si>
    <t xml:space="preserve">02.01.02</t>
  </si>
  <si>
    <t xml:space="preserve">Obras de concreto simple</t>
  </si>
  <si>
    <t xml:space="preserve">02.01.04.03 Columnas metálicas de diversas dimensiones</t>
  </si>
  <si>
    <t xml:space="preserve">02.01.02.01</t>
  </si>
  <si>
    <t xml:space="preserve">Solados de concreto (f'c=100 kg/cm2)</t>
  </si>
  <si>
    <t xml:space="preserve">02.01.04.04 Izado y montaje de estructuras metálicas para cobertura</t>
  </si>
  <si>
    <t xml:space="preserve">02.01.02.02</t>
  </si>
  <si>
    <t xml:space="preserve">Cimientos corridos (f'c=140 kg/cm2 + 30% cemento tipo HS)</t>
  </si>
  <si>
    <t xml:space="preserve">02.01.04.05 Suministro e instalación de cobertura policarbonato translúcido</t>
  </si>
  <si>
    <t xml:space="preserve">02.01.02.03</t>
  </si>
  <si>
    <t xml:space="preserve">Sobrecimientos (f'c=175 kg/cm2, cemento tipo HS)</t>
  </si>
  <si>
    <t xml:space="preserve">02.01.04.06 Anclajes metálicos (empernado y soldado)</t>
  </si>
  <si>
    <t xml:space="preserve">02.01.02.04</t>
  </si>
  <si>
    <t xml:space="preserve">Subzapatas (f'c=175 kg/cm2 + 30% cemento tipo HS)</t>
  </si>
  <si>
    <t xml:space="preserve">02.01.04.07 Arriostres con varilla lisa</t>
  </si>
  <si>
    <t xml:space="preserve">02.01.02.05</t>
  </si>
  <si>
    <t xml:space="preserve">Falsos pisos (mezcla 1:8, espesor 10 cm)</t>
  </si>
  <si>
    <t xml:space="preserve">02.01.05.01 Tanque elevado con obras de concreto y acero</t>
  </si>
  <si>
    <t xml:space="preserve">02.01.03</t>
  </si>
  <si>
    <t xml:space="preserve">Obras de concreto armado</t>
  </si>
  <si>
    <t xml:space="preserve">02.01.05.02 Tanque cisterna con plataforma, muros, vigas, placas, caja de válvula y revoques</t>
  </si>
  <si>
    <t xml:space="preserve">02.01.03.01</t>
  </si>
  <si>
    <t xml:space="preserve">Zapatas con concreto premezclado (f'c=315 kg/cm2, cemento tipo HS)</t>
  </si>
  <si>
    <t xml:space="preserve">02.01.05.03 Escaleras en varios niveles con concreto premezclado y armado</t>
  </si>
  <si>
    <t xml:space="preserve">02.01.03.02</t>
  </si>
  <si>
    <t xml:space="preserve">Vigas de conexión con concreto premezclado (f'c=315 kg/cm2, cemento tipo HS)</t>
  </si>
  <si>
    <t xml:space="preserve">02.01.05.04 Muros de contención y pantalla con concreto premezclado</t>
  </si>
  <si>
    <t xml:space="preserve">02.01.03.03</t>
  </si>
  <si>
    <t xml:space="preserve">Sobrecimiento armado con concreto (f'c=315 kg/cm2, cemento tipo HS)</t>
  </si>
  <si>
    <t xml:space="preserve">02.02.01.01 Limpieza de terreno durante la obra</t>
  </si>
  <si>
    <t xml:space="preserve">02.01.03.04</t>
  </si>
  <si>
    <t xml:space="preserve">Columnas en varios niveles con concreto premezclado (f'c=210 kg/cm2, cemento tipo HS o IP)</t>
  </si>
  <si>
    <t xml:space="preserve">02.02.01.02 Trazo, nivelación y replanteo durante obra</t>
  </si>
  <si>
    <t xml:space="preserve">02.01.03.05</t>
  </si>
  <si>
    <t xml:space="preserve">Placas en varios niveles con concreto premezclado (f'c=210 kg/cm2, cemento tipo HS o IP)</t>
  </si>
  <si>
    <t xml:space="preserve">02.02.02.01 Corte de terreno a nivel de piso terminado</t>
  </si>
  <si>
    <t xml:space="preserve">02.01.03.06</t>
  </si>
  <si>
    <t xml:space="preserve">Vigas en varios niveles con concreto premezclado (f'c=210 kg/cm2, cemento tipo HS o IP)</t>
  </si>
  <si>
    <t xml:space="preserve">02.02.02.02 Relleno y compactación con material seleccionado</t>
  </si>
  <si>
    <t xml:space="preserve">02.01.03.07</t>
  </si>
  <si>
    <t xml:space="preserve">Losas aligeradas en varios niveles con concreto premezclado (f'c=210 kg/cm2, cemento tipo IP)</t>
  </si>
  <si>
    <t xml:space="preserve">02.02.02.03 Acarreo y eliminación de material excedente</t>
  </si>
  <si>
    <t xml:space="preserve">02.01.03.08</t>
  </si>
  <si>
    <t xml:space="preserve">Losas macizas en varios niveles con concreto premezclado (f'c=210 kg/cm2, cemento tipo IP)</t>
  </si>
  <si>
    <t xml:space="preserve">02.02.03.01 Conformación de base granular para piso</t>
  </si>
  <si>
    <t xml:space="preserve">02.01.03.09</t>
  </si>
  <si>
    <t xml:space="preserve">Columnetas de amarre con concreto (f'c=175 kg/cm2, cemento tipo HS)</t>
  </si>
  <si>
    <t xml:space="preserve">02.02.03.02 Nivelación interior apisonado con equipo liviano</t>
  </si>
  <si>
    <t xml:space="preserve">02.01.03.10</t>
  </si>
  <si>
    <t xml:space="preserve">Viguetas de amarre con concreto (f'c=175 kg/cm2)</t>
  </si>
  <si>
    <t xml:space="preserve">02.02.03.03 Obras de concreto simple: sardineles, falsos pisos</t>
  </si>
  <si>
    <t xml:space="preserve">02.01.03.11</t>
  </si>
  <si>
    <t xml:space="preserve">Parapetos con concreto (f'c=175 kg/cm2)</t>
  </si>
  <si>
    <t xml:space="preserve">02.02.03.04 Curado y juntas de dilatación con mezcla asfáltica</t>
  </si>
  <si>
    <t xml:space="preserve">02.01.03.12</t>
  </si>
  <si>
    <t xml:space="preserve">Marcos y dinteles con concreto (f'c=175 kg/cm2)</t>
  </si>
  <si>
    <t xml:space="preserve">02.02.04.01 Movimiento de tierras y conformación de base granular</t>
  </si>
  <si>
    <t xml:space="preserve">02.01.03.13</t>
  </si>
  <si>
    <t xml:space="preserve">Juntas con planchas de tecnopor y water stop</t>
  </si>
  <si>
    <t xml:space="preserve">02.02.04.02 Obras de concreto simple y curado</t>
  </si>
  <si>
    <t xml:space="preserve">02.01.04</t>
  </si>
  <si>
    <t xml:space="preserve">Estructuras metálicas</t>
  </si>
  <si>
    <t xml:space="preserve">02.02.04.03 Juntas con plancha de tecnopor</t>
  </si>
  <si>
    <t xml:space="preserve">02.01.04.01</t>
  </si>
  <si>
    <t xml:space="preserve">Tijerales metálicos secundarios y principales tipo TJ con diseño específico</t>
  </si>
  <si>
    <t xml:space="preserve">02.02.05.01 Diferentes coberturas con tijerales, correas, columnas metálicas, anclajes y montaje</t>
  </si>
  <si>
    <t xml:space="preserve">02.01.04.02</t>
  </si>
  <si>
    <t xml:space="preserve">Correa de tubo de fierro negro</t>
  </si>
  <si>
    <t xml:space="preserve">02.02.06.01 Movimiento de tierras, perfilado, riego y compactación de subrasante</t>
  </si>
  <si>
    <t xml:space="preserve">02.01.04.03</t>
  </si>
  <si>
    <t xml:space="preserve">Columnas metálicas de diversas dimensiones</t>
  </si>
  <si>
    <t xml:space="preserve">02.02.06.02 Base, pavimento rígido, encofrado, concreto premezclado y curado</t>
  </si>
  <si>
    <t xml:space="preserve">02.01.04.04</t>
  </si>
  <si>
    <t xml:space="preserve">Izado y montaje de estructuras metálicas para cobertura</t>
  </si>
  <si>
    <t xml:space="preserve">02.02.06.03 Sellado de juntas en losa</t>
  </si>
  <si>
    <t xml:space="preserve">02.01.04.05</t>
  </si>
  <si>
    <t xml:space="preserve">Suministro e instalación de cobertura policarbonato translúcido</t>
  </si>
  <si>
    <t xml:space="preserve">02.02.07.01 Solado, zapatas, encofrado, acero, curado</t>
  </si>
  <si>
    <t xml:space="preserve">02.01.04.06</t>
  </si>
  <si>
    <t xml:space="preserve">Anclajes metálicos (empernado y soldado)</t>
  </si>
  <si>
    <t xml:space="preserve">02.02.07.02 Pantalla de concreto premezclado, encofrado y curado</t>
  </si>
  <si>
    <t xml:space="preserve">02.01.04.07</t>
  </si>
  <si>
    <t xml:space="preserve">Arriostres con varilla lisa</t>
  </si>
  <si>
    <t xml:space="preserve">02.03.01 Ensayos y pruebas de compresión de pilas de albañilería</t>
  </si>
  <si>
    <t xml:space="preserve">02.01.05</t>
  </si>
  <si>
    <t xml:space="preserve">Otras estructuras especiales</t>
  </si>
  <si>
    <t xml:space="preserve">02.03.02 Ensayo y prueba de soldadura</t>
  </si>
  <si>
    <t xml:space="preserve">02.01.05.01</t>
  </si>
  <si>
    <t xml:space="preserve">Tanque elevado con obras de concreto y acero</t>
  </si>
  <si>
    <t xml:space="preserve">02.03.03 Ensayo de rotura de probeta de concretos</t>
  </si>
  <si>
    <t xml:space="preserve">02.01.05.02</t>
  </si>
  <si>
    <t xml:space="preserve">Tanque cisterna con plataforma, muros, vigas, placas, caja de válvula y revoques</t>
  </si>
  <si>
    <t xml:space="preserve">02.03.04 Ensayo de densidad y compactación</t>
  </si>
  <si>
    <t xml:space="preserve">02.01.05.03</t>
  </si>
  <si>
    <t xml:space="preserve">Escaleras en varios niveles con concreto premezclado y armado</t>
  </si>
  <si>
    <t xml:space="preserve">02.03.05 Módulo de rotura en pavimentos</t>
  </si>
  <si>
    <t xml:space="preserve">02.01.05.04</t>
  </si>
  <si>
    <t xml:space="preserve">Muros de contención y pantalla con concreto premezclado</t>
  </si>
  <si>
    <t xml:space="preserve">02.04.01 Movimiento de tierras, relleno, conformación de base granular</t>
  </si>
  <si>
    <t xml:space="preserve">02.02</t>
  </si>
  <si>
    <t xml:space="preserve">Caminerías interiores y exteriores, obras complementarias</t>
  </si>
  <si>
    <t xml:space="preserve">02.04.02 Obras de concreto simple: cimientos corridos y encofrado</t>
  </si>
  <si>
    <t xml:space="preserve">02.02.01</t>
  </si>
  <si>
    <t xml:space="preserve">Trabajos preliminares</t>
  </si>
  <si>
    <t xml:space="preserve">02.04.03 Obras de concreto armado: sobrecimiento armado, columnas, vigas, curado</t>
  </si>
  <si>
    <t xml:space="preserve">02.02.01.01</t>
  </si>
  <si>
    <t xml:space="preserve">Limpieza de terreno durante la obra</t>
  </si>
  <si>
    <t xml:space="preserve">02.04.04 Cerco metálico según diseño</t>
  </si>
  <si>
    <t xml:space="preserve">02.02.01.02</t>
  </si>
  <si>
    <t xml:space="preserve">Trazo, nivelación y replanteo durante obra</t>
  </si>
  <si>
    <t xml:space="preserve">02.04.05 Puertas metálicas de diferentes tipos</t>
  </si>
  <si>
    <t xml:space="preserve">02.02.02</t>
  </si>
  <si>
    <t xml:space="preserve">02.04.06 Pinturas latex y esmalte</t>
  </si>
  <si>
    <t xml:space="preserve">02.02.02.01</t>
  </si>
  <si>
    <t xml:space="preserve">02.04.07 Impermeabilización de elementos en contacto con el terreno</t>
  </si>
  <si>
    <t xml:space="preserve">02.02.02.02</t>
  </si>
  <si>
    <t xml:space="preserve">Relleno y compactación con material seleccionado</t>
  </si>
  <si>
    <t xml:space="preserve">03.01.01.01 Muros de ladrillo K.K. tipo V de soga y de cabeza (mezcla cemento:arena 1:5)</t>
  </si>
  <si>
    <t xml:space="preserve">02.02.02.03</t>
  </si>
  <si>
    <t xml:space="preserve">03.01.01.02 Tabiques de fibrocemento y aislamiento acústico</t>
  </si>
  <si>
    <t xml:space="preserve">02.02.03</t>
  </si>
  <si>
    <t xml:space="preserve">Caminerías interiores y exteriores</t>
  </si>
  <si>
    <t xml:space="preserve">03.01.01.03 División de melamina para áreas específicas</t>
  </si>
  <si>
    <t xml:space="preserve">02.02.03.01</t>
  </si>
  <si>
    <t xml:space="preserve">Conformación de base granular para piso</t>
  </si>
  <si>
    <t xml:space="preserve">03.01.01.04 Tabique de fachada ventilada con placa cementicia</t>
  </si>
  <si>
    <t xml:space="preserve">02.02.03.02</t>
  </si>
  <si>
    <t xml:space="preserve">03.01.02.01 Tarrajeo de muros interiores y exteriores (mezcla cemento:arena 1:5, 1.5 cm)</t>
  </si>
  <si>
    <t xml:space="preserve">02.02.03.03</t>
  </si>
  <si>
    <t xml:space="preserve">Obras de concreto simple: sardineles, falsos pisos</t>
  </si>
  <si>
    <t xml:space="preserve">03.01.02.02 Vestidura de derrames para ventanas y puertas</t>
  </si>
  <si>
    <t xml:space="preserve">02.02.03.04</t>
  </si>
  <si>
    <t xml:space="preserve">Curado y juntas de dilatación con mezcla asfáltica</t>
  </si>
  <si>
    <t xml:space="preserve">03.01.02.03 Solaqueo en superficies caravista</t>
  </si>
  <si>
    <t xml:space="preserve">02.02.04</t>
  </si>
  <si>
    <t xml:space="preserve">03.01.02.04 Bruñas de 1 cm</t>
  </si>
  <si>
    <t xml:space="preserve">02.02.04.01</t>
  </si>
  <si>
    <t xml:space="preserve">Movimiento de tierras y conformación de base granular</t>
  </si>
  <si>
    <t xml:space="preserve">03.01.02.05 Forjado de gradas y descansos con cemento frotachado</t>
  </si>
  <si>
    <t xml:space="preserve">02.02.04.02</t>
  </si>
  <si>
    <t xml:space="preserve">Obras de concreto simple y curado</t>
  </si>
  <si>
    <t xml:space="preserve">03.01.02.06 Panel aislante de fachada con malla superficial</t>
  </si>
  <si>
    <t xml:space="preserve">02.02.04.03</t>
  </si>
  <si>
    <t xml:space="preserve">Juntas con plancha de tecnopor</t>
  </si>
  <si>
    <t xml:space="preserve">03.01.02.07 Acabado microcemento color gris en fachada</t>
  </si>
  <si>
    <t xml:space="preserve">02.02.05</t>
  </si>
  <si>
    <t xml:space="preserve">Coberturas metálicas</t>
  </si>
  <si>
    <t xml:space="preserve">03.01.03.01 Tarrajeo de cielo raso (mezcla cemento:arena 1:5, 1.5 cm)</t>
  </si>
  <si>
    <t xml:space="preserve">02.02.05.01</t>
  </si>
  <si>
    <t xml:space="preserve">Diferentes coberturas con tijerales, correas, columnas metálicas, anclajes y montaje</t>
  </si>
  <si>
    <t xml:space="preserve">03.01.03.02 Falso cielo raso tipo 01, 02, 03, y 04 según bloque</t>
  </si>
  <si>
    <t xml:space="preserve">02.02.06</t>
  </si>
  <si>
    <t xml:space="preserve">03.01.04.01 Contrapisos de mezcla cemento:arena 1:8, 7 cm</t>
  </si>
  <si>
    <t xml:space="preserve">02.02.06.01</t>
  </si>
  <si>
    <t xml:space="preserve">Movimiento de tierras, perfilado, riego y compactación de subrasante</t>
  </si>
  <si>
    <t xml:space="preserve">03.01.04.02 Pisos de concreto f'c=175 kg/cm2, acabado cemento pulido</t>
  </si>
  <si>
    <t xml:space="preserve">02.02.06.02</t>
  </si>
  <si>
    <t xml:space="preserve">Base, pavimento rígido, encofrado, concreto premezclado y curado</t>
  </si>
  <si>
    <t xml:space="preserve">03.01.04.03 Pisos porcelanato 0.60x0.60 m antideslizante en varios tonos y usos</t>
  </si>
  <si>
    <t xml:space="preserve">02.02.06.03</t>
  </si>
  <si>
    <t xml:space="preserve">Sellado de juntas en losa</t>
  </si>
  <si>
    <t xml:space="preserve">03.01.04.04 Pisos con recubrimiento epóxico</t>
  </si>
  <si>
    <t xml:space="preserve">02.02.07</t>
  </si>
  <si>
    <t xml:space="preserve">03.01.04.05 Pisos de madera tipo parquetón en bloque 6</t>
  </si>
  <si>
    <t xml:space="preserve">02.02.07.01</t>
  </si>
  <si>
    <t xml:space="preserve">Solado, zapatas, encofrado, acero, curado</t>
  </si>
  <si>
    <t xml:space="preserve">03.01.04.06 Cantoneras de aluminio</t>
  </si>
  <si>
    <t xml:space="preserve">02.02.07.02</t>
  </si>
  <si>
    <t xml:space="preserve">Pantalla de concreto premezclado, encofrado y curado</t>
  </si>
  <si>
    <t xml:space="preserve">03.01.05.01 Zócalos de cemento pulido o porcelanato antideslizante</t>
  </si>
  <si>
    <t xml:space="preserve">02.03</t>
  </si>
  <si>
    <t xml:space="preserve">Ensayos de calidad</t>
  </si>
  <si>
    <t xml:space="preserve">03.01.05.02 Contrazócalos de porcelanato o madera con rodon</t>
  </si>
  <si>
    <t xml:space="preserve">02.03.01</t>
  </si>
  <si>
    <t xml:space="preserve">Ensayos y pruebas de compresión de pilas de albañilería</t>
  </si>
  <si>
    <t xml:space="preserve">03.01.05.03 Revestimiento en mesones con porcelanato</t>
  </si>
  <si>
    <t xml:space="preserve">02.03.02</t>
  </si>
  <si>
    <t xml:space="preserve">Ensayo y prueba de soldadura</t>
  </si>
  <si>
    <t xml:space="preserve">03.01.05.04 Rodometal de aluminio</t>
  </si>
  <si>
    <t xml:space="preserve">02.03.03</t>
  </si>
  <si>
    <t xml:space="preserve">Ensayo de rotura de probeta de concretos</t>
  </si>
  <si>
    <t xml:space="preserve">03.01.06.01 Impermeabilización de techos</t>
  </si>
  <si>
    <t xml:space="preserve">02.03.04</t>
  </si>
  <si>
    <t xml:space="preserve">Ensayo de densidad y compactación</t>
  </si>
  <si>
    <t xml:space="preserve">03.01.06.02 Cubierta con ladrillo pastelero</t>
  </si>
  <si>
    <t xml:space="preserve">02.03.05</t>
  </si>
  <si>
    <t xml:space="preserve">Módulo de rotura en pavimentos</t>
  </si>
  <si>
    <t xml:space="preserve">03.01.07.01 Puertas contraplacadas y machihembradas, de una o dos hojas, con distintos modelos</t>
  </si>
  <si>
    <t xml:space="preserve">02.04</t>
  </si>
  <si>
    <t xml:space="preserve">03.01.07.02 Ventanas tipo persiana de madera (bloque 10)</t>
  </si>
  <si>
    <t xml:space="preserve">02.04.01</t>
  </si>
  <si>
    <t xml:space="preserve">Movimiento de tierras, relleno, conformación de base granular</t>
  </si>
  <si>
    <t xml:space="preserve">03.01.08.01 Puertas metálicas de una o dos hojas, incluyendo puertas corta fuego y desplegables</t>
  </si>
  <si>
    <t xml:space="preserve">02.04.02</t>
  </si>
  <si>
    <t xml:space="preserve">Obras de concreto simple: cimientos corridos y encofrado</t>
  </si>
  <si>
    <t xml:space="preserve">03.01.08.02 Accesorios de cierre como barra antipánico</t>
  </si>
  <si>
    <t xml:space="preserve">02.04.03</t>
  </si>
  <si>
    <t xml:space="preserve">Obras de concreto armado: sobrecimiento armado, columnas, vigas, curado</t>
  </si>
  <si>
    <t xml:space="preserve">03.01.08.03 Claraboyas con instalación</t>
  </si>
  <si>
    <t xml:space="preserve">02.04.04</t>
  </si>
  <si>
    <t xml:space="preserve">Cerco metálico según diseño</t>
  </si>
  <si>
    <t xml:space="preserve">03.01.08.04 Barandas metálicas de tubo acero inoxidable o fierro negro con pintura</t>
  </si>
  <si>
    <t xml:space="preserve">02.04.05</t>
  </si>
  <si>
    <t xml:space="preserve">Puertas metálicas de diferentes tipos</t>
  </si>
  <si>
    <t xml:space="preserve">03.01.08.05 Pasamanos metálicos para discapacitados</t>
  </si>
  <si>
    <t xml:space="preserve">02.04.06</t>
  </si>
  <si>
    <t xml:space="preserve">Pinturas latex y esmalte</t>
  </si>
  <si>
    <t xml:space="preserve">03.01.08.06 Agarraderas para discapacitados en inodoro</t>
  </si>
  <si>
    <t xml:space="preserve">02.04.07</t>
  </si>
  <si>
    <t xml:space="preserve">Impermeabilización de elementos en contacto con el terreno</t>
  </si>
  <si>
    <t xml:space="preserve">03.01.08.07 Escaleras metálicas con protección según diseño</t>
  </si>
  <si>
    <t xml:space="preserve">03</t>
  </si>
  <si>
    <t xml:space="preserve">Arquitectura</t>
  </si>
  <si>
    <t xml:space="preserve">03.01.08.08 Cantonera de aluminio 47x27 mm</t>
  </si>
  <si>
    <t xml:space="preserve">03.01</t>
  </si>
  <si>
    <t xml:space="preserve">03.01.08.09 Suministro e instalación de parasoles de aluminio con marco</t>
  </si>
  <si>
    <t xml:space="preserve">03.01.01</t>
  </si>
  <si>
    <t xml:space="preserve">Muros y tabiquería de albañilería</t>
  </si>
  <si>
    <t xml:space="preserve">03.01.09.01 Puertas y ventanas de vidrio templado (una o dos hojas)</t>
  </si>
  <si>
    <t xml:space="preserve">03.01.01.01</t>
  </si>
  <si>
    <t xml:space="preserve">Muros de ladrillo K.K. tipo V de soga y de cabeza (mezcla cemento:arena 1:5)</t>
  </si>
  <si>
    <t xml:space="preserve">03.01.09.02 Mamparas de vidrio templado incoloro 8 mm</t>
  </si>
  <si>
    <t xml:space="preserve">03.01.01.02</t>
  </si>
  <si>
    <t xml:space="preserve">Tabiques de fibrocemento y aislamiento acústico</t>
  </si>
  <si>
    <t xml:space="preserve">03.01.09.03 Vinilo adhesivo arenado para vidrios con diseño</t>
  </si>
  <si>
    <t xml:space="preserve">03.01.01.03</t>
  </si>
  <si>
    <t xml:space="preserve">División de melamina para áreas específicas</t>
  </si>
  <si>
    <t xml:space="preserve">03.01.09.04 Muro cortina con vidrio templado 8 mm reflejante Stopsol</t>
  </si>
  <si>
    <t xml:space="preserve">03.01.01.04</t>
  </si>
  <si>
    <t xml:space="preserve">Tabique de fachada ventilada con placa cementicia</t>
  </si>
  <si>
    <t xml:space="preserve">03.01.09.05 Espejos con marco de aluminio</t>
  </si>
  <si>
    <t xml:space="preserve">03.01.02</t>
  </si>
  <si>
    <t xml:space="preserve">Revoques, enlucidos y molduras</t>
  </si>
  <si>
    <t xml:space="preserve">03.01.09.06 Sistema de persianas quebravista vertical o similar con acabado madera roble</t>
  </si>
  <si>
    <t xml:space="preserve">03.01.02.01</t>
  </si>
  <si>
    <t xml:space="preserve">Tarrajeo de muros interiores y exteriores (mezcla cemento:arena 1:5, 1.5 cm)</t>
  </si>
  <si>
    <t xml:space="preserve">03.01.10.01 Pintura látex 2 manos en muros interiores, exteriores, columnas, vigas y cielorraso</t>
  </si>
  <si>
    <t xml:space="preserve">03.01.02.02</t>
  </si>
  <si>
    <t xml:space="preserve">Vestidura de derrames para ventanas y puertas</t>
  </si>
  <si>
    <t xml:space="preserve">03.01.10.02 Pintura barniz 2 manos en puertas de madera y pisos de madera (bloque 6)</t>
  </si>
  <si>
    <t xml:space="preserve">03.01.02.03</t>
  </si>
  <si>
    <t xml:space="preserve">Solaqueo en superficies caravista</t>
  </si>
  <si>
    <t xml:space="preserve">03.01.10.03 Pintura epóxica para contrazócalo y vestidura de derrames</t>
  </si>
  <si>
    <t xml:space="preserve">03.01.02.04</t>
  </si>
  <si>
    <t xml:space="preserve">Bruñas de 1 cm</t>
  </si>
  <si>
    <t xml:space="preserve">03.01.11.01 Letras de lámina de aluminio niquelado para ingreso principal y secundario</t>
  </si>
  <si>
    <t xml:space="preserve">03.01.02.05</t>
  </si>
  <si>
    <t xml:space="preserve">Forjado de gradas y descansos con cemento frotachado</t>
  </si>
  <si>
    <t xml:space="preserve">03.01.11.02 Limpieza final de obra</t>
  </si>
  <si>
    <t xml:space="preserve">03.01.02.06</t>
  </si>
  <si>
    <t xml:space="preserve">Panel aislante de fachada con malla superficial</t>
  </si>
  <si>
    <t xml:space="preserve">03.01.12.01 Señales de evacuación y emergencia: salida, zona segura en caso de sismo, botiquín</t>
  </si>
  <si>
    <t xml:space="preserve">03.01.02.07</t>
  </si>
  <si>
    <t xml:space="preserve">Acabado microcemento color gris en fachada</t>
  </si>
  <si>
    <t xml:space="preserve">03.01.12.02 Señales de prohibición: prohibido fumar, peligro de electricidad</t>
  </si>
  <si>
    <t xml:space="preserve">03.01.03</t>
  </si>
  <si>
    <t xml:space="preserve">Cielorrasos</t>
  </si>
  <si>
    <t xml:space="preserve">03.01.12.03 Señales de equipos contra incendios: extintor de polvo químico seco 9 kg</t>
  </si>
  <si>
    <t xml:space="preserve">03.01.03.01</t>
  </si>
  <si>
    <t xml:space="preserve">Tarrajeo de cielo raso (mezcla cemento:arena 1:5, 1.5 cm)</t>
  </si>
  <si>
    <t xml:space="preserve">03.01.12.04 Señales de advertencia: riesgo eléctrico - tablero general</t>
  </si>
  <si>
    <t xml:space="preserve">03.01.03.02</t>
  </si>
  <si>
    <t xml:space="preserve">Falso cielo raso tipo 01, 02, 03, y 04 según bloque</t>
  </si>
  <si>
    <t xml:space="preserve">04.01.01.01 Inodoros one piece de loza vitrificada blanca</t>
  </si>
  <si>
    <t xml:space="preserve">03.01.04</t>
  </si>
  <si>
    <t xml:space="preserve">Pisos y pavimentos</t>
  </si>
  <si>
    <t xml:space="preserve">04.01.01.02 Lavamanos tipo fontana o ovalín con pedestal o sin él</t>
  </si>
  <si>
    <t xml:space="preserve">03.01.04.01</t>
  </si>
  <si>
    <t xml:space="preserve">Contrapisos de mezcla cemento:arena 1:8, 7 cm</t>
  </si>
  <si>
    <t xml:space="preserve">04.01.01.03 Urinarios tipo Cadet de loza vitrificada blanca</t>
  </si>
  <si>
    <t xml:space="preserve">03.01.04.02</t>
  </si>
  <si>
    <t xml:space="preserve">Pisos de concreto f'c=175 kg/cm2, acabado cemento pulido</t>
  </si>
  <si>
    <t xml:space="preserve">04.01.01.04 Lavaderos de acero inoxidable de dos pozas con escurridera</t>
  </si>
  <si>
    <t xml:space="preserve">03.01.04.03</t>
  </si>
  <si>
    <t xml:space="preserve">Pisos porcelanato 0.60x0.60 m antideslizante en varios tonos y usos</t>
  </si>
  <si>
    <t xml:space="preserve">04.01.01.05 Dispensadores de papel toalla y jabón líquido rellenable</t>
  </si>
  <si>
    <t xml:space="preserve">03.01.04.04</t>
  </si>
  <si>
    <t xml:space="preserve">Pisos con recubrimiento epóxico</t>
  </si>
  <si>
    <t xml:space="preserve">04.01.01.06 Portarollo de papel higiénico</t>
  </si>
  <si>
    <t xml:space="preserve">03.01.04.05</t>
  </si>
  <si>
    <t xml:space="preserve">Pisos de madera tipo parquetón en bloque 6</t>
  </si>
  <si>
    <t xml:space="preserve">04.01.01.07 Grifos de riego 1/2" (exteriores)</t>
  </si>
  <si>
    <t xml:space="preserve">03.01.04.06</t>
  </si>
  <si>
    <t xml:space="preserve">Cantoneras de aluminio</t>
  </si>
  <si>
    <t xml:space="preserve">04.01.02.01 Redes de distribución con tubería PVC (varios diámetros) y tubería de fierro galvanizado (F°G°)</t>
  </si>
  <si>
    <t xml:space="preserve">03.01.05</t>
  </si>
  <si>
    <t xml:space="preserve">Zócalos y contrazócalos</t>
  </si>
  <si>
    <t xml:space="preserve">04.01.02.02 Salidas de agua para aparatos sanitarios (Ø 1/2")</t>
  </si>
  <si>
    <t xml:space="preserve">03.01.05.01</t>
  </si>
  <si>
    <t xml:space="preserve">Zócalos de cemento pulido o porcelanato antideslizante</t>
  </si>
  <si>
    <t xml:space="preserve">04.01.02.03 Cajas para válvulas metálicas en muro</t>
  </si>
  <si>
    <t xml:space="preserve">03.01.05.02</t>
  </si>
  <si>
    <t xml:space="preserve">Contrazócalos de porcelanato o madera con rodon</t>
  </si>
  <si>
    <t xml:space="preserve">04.01.02.04 Pruebas hidráulicas integrales y desinfección para tuberías roscadas</t>
  </si>
  <si>
    <t xml:space="preserve">03.01.05.03</t>
  </si>
  <si>
    <t xml:space="preserve">Revestimiento en mesones con porcelanato</t>
  </si>
  <si>
    <t xml:space="preserve">04.01.02.05 Válvulas de control y check (válvulas compuerta y globo)</t>
  </si>
  <si>
    <t xml:space="preserve">03.01.05.04</t>
  </si>
  <si>
    <t xml:space="preserve">Rodometal de aluminio</t>
  </si>
  <si>
    <t xml:space="preserve">04.01.03.01 Excavación manual de zanjas para tuberías</t>
  </si>
  <si>
    <t xml:space="preserve">03.01.06</t>
  </si>
  <si>
    <t xml:space="preserve">Cubiertas</t>
  </si>
  <si>
    <t xml:space="preserve">04.01.03.02 Cama de apoyo con arena gruesa compactada</t>
  </si>
  <si>
    <t xml:space="preserve">03.01.06.01</t>
  </si>
  <si>
    <t xml:space="preserve">Impermeabilización de techos</t>
  </si>
  <si>
    <t xml:space="preserve">04.01.03.03 Redes de recolección con tubería PVC-CP</t>
  </si>
  <si>
    <t xml:space="preserve">03.01.06.02</t>
  </si>
  <si>
    <t xml:space="preserve">Cubierta con ladrillo pastelero</t>
  </si>
  <si>
    <t xml:space="preserve">04.01.03.04 Accesorios: tees, codos, sumideros, reducciones</t>
  </si>
  <si>
    <t xml:space="preserve">03.01.07</t>
  </si>
  <si>
    <t xml:space="preserve">Carpintería de madera</t>
  </si>
  <si>
    <t xml:space="preserve">04.01.03.05 Pozos percoladores de aguas pluviales con relleno filtrante</t>
  </si>
  <si>
    <t xml:space="preserve">03.01.07.01</t>
  </si>
  <si>
    <t xml:space="preserve">Puertas contraplacadas y machihembradas, de una o dos hojas, con distintos modelos</t>
  </si>
  <si>
    <t xml:space="preserve">04.01.03.06 Canaletas metálicas y de mortero en techo</t>
  </si>
  <si>
    <t xml:space="preserve">03.01.07.02</t>
  </si>
  <si>
    <t xml:space="preserve">Ventanas tipo persiana de madera (bloque 10)</t>
  </si>
  <si>
    <t xml:space="preserve">04.01.04.01 Excavación manual de zanjas para tuberías</t>
  </si>
  <si>
    <t xml:space="preserve">03.01.08</t>
  </si>
  <si>
    <t xml:space="preserve">Carpintería metálica y herrería</t>
  </si>
  <si>
    <t xml:space="preserve">04.01.04.02 Salidas de desagüe PVC-CP (Ø 2" y 4")</t>
  </si>
  <si>
    <t xml:space="preserve">03.01.08.01</t>
  </si>
  <si>
    <t xml:space="preserve">Puertas metálicas de una o dos hojas, incluyendo puertas corta fuego y desplegables</t>
  </si>
  <si>
    <t xml:space="preserve">04.01.04.03 Redes de derivación con tubería PVC-CP</t>
  </si>
  <si>
    <t xml:space="preserve">03.01.08.02</t>
  </si>
  <si>
    <t xml:space="preserve">Accesorios de cierre como barra antipánico</t>
  </si>
  <si>
    <t xml:space="preserve">04.01.04.04 Prueba integral de estanqueidad en redes de desagüe</t>
  </si>
  <si>
    <t xml:space="preserve">03.01.08.03</t>
  </si>
  <si>
    <t xml:space="preserve">Claraboyas con instalación</t>
  </si>
  <si>
    <t xml:space="preserve">04.01.04.05 Accesorios: tees, codos, registros roscados, colgadores, abrazaderas</t>
  </si>
  <si>
    <t xml:space="preserve">03.01.08.04</t>
  </si>
  <si>
    <t xml:space="preserve">Barandas metálicas de tubo acero inoxidable o fierro negro con pintura</t>
  </si>
  <si>
    <t xml:space="preserve">04.01.04.06 Sistema de ventilación con tubería PVC-CL y sombreros de ventilación</t>
  </si>
  <si>
    <t xml:space="preserve">03.01.08.05</t>
  </si>
  <si>
    <t xml:space="preserve">Pasamanos metálicos para discapacitados</t>
  </si>
  <si>
    <t xml:space="preserve">04.01.05.01 Tuberías PVC-U en varios diámetros</t>
  </si>
  <si>
    <t xml:space="preserve">03.01.08.06</t>
  </si>
  <si>
    <t xml:space="preserve">Agarraderas para discapacitados en inodoro</t>
  </si>
  <si>
    <t xml:space="preserve">04.01.05.02 Pruebas hidráulicas integrales y desinfección</t>
  </si>
  <si>
    <t xml:space="preserve">03.01.08.07</t>
  </si>
  <si>
    <t xml:space="preserve">Escaleras metálicas con protección según diseño</t>
  </si>
  <si>
    <t xml:space="preserve">04.01.05.03 Accesorios: codos, colgadores, trampa "U", registros colgados</t>
  </si>
  <si>
    <t xml:space="preserve">03.01.08.08</t>
  </si>
  <si>
    <t xml:space="preserve">Cantonera de aluminio 47x27 mm</t>
  </si>
  <si>
    <t xml:space="preserve">04.01.06.01 Redes de alimentación con tubería HPDE y SCH 40 acero</t>
  </si>
  <si>
    <t xml:space="preserve">03.01.08.09</t>
  </si>
  <si>
    <t xml:space="preserve">Suministro e instalación de parasoles de aluminio con marco</t>
  </si>
  <si>
    <t xml:space="preserve">04.01.06.02 Accesorios: tees, reducciones, codos, transiciones, válvulas específicas</t>
  </si>
  <si>
    <t xml:space="preserve">03.01.09</t>
  </si>
  <si>
    <t xml:space="preserve">Vidrios, cristales y similares</t>
  </si>
  <si>
    <t xml:space="preserve">04.01.06.03 Gabinetes contra incendio clase III con reductora de presión</t>
  </si>
  <si>
    <t xml:space="preserve">03.01.09.01</t>
  </si>
  <si>
    <t xml:space="preserve">Puertas y ventanas de vidrio templado (una o dos hojas)</t>
  </si>
  <si>
    <t xml:space="preserve">04.01.06.04 Válvulas de retención, check, boya, mariposa, alivio, seguridad-alarma</t>
  </si>
  <si>
    <t xml:space="preserve">03.01.09.02</t>
  </si>
  <si>
    <t xml:space="preserve">Mamparas de vidrio templado incoloro 8 mm</t>
  </si>
  <si>
    <t xml:space="preserve">04.01.06.05 Electrobombas sumergibles y de 4.0HP con tableros</t>
  </si>
  <si>
    <t xml:space="preserve">03.01.09.03</t>
  </si>
  <si>
    <t xml:space="preserve">Vinilo adhesivo arenado para vidrios con diseño</t>
  </si>
  <si>
    <t xml:space="preserve">04.01.06.06 Escaleras metálicas y de acero inoxidable según diseño</t>
  </si>
  <si>
    <t xml:space="preserve">03.01.09.04</t>
  </si>
  <si>
    <t xml:space="preserve">Muro cortina con vidrio templado 8 mm reflejante Stopsol</t>
  </si>
  <si>
    <t xml:space="preserve">04.01.06.07 Control de nivel y tapas sanitarias de acero estriado</t>
  </si>
  <si>
    <t xml:space="preserve">03.01.09.05</t>
  </si>
  <si>
    <t xml:space="preserve">Espejos con marco de aluminio</t>
  </si>
  <si>
    <t xml:space="preserve">05.01.01.01 Trazo y replanteo</t>
  </si>
  <si>
    <t xml:space="preserve">03.01.09.06</t>
  </si>
  <si>
    <t xml:space="preserve">Sistema de persianas quebravista vertical o similar con acabado madera roble</t>
  </si>
  <si>
    <t xml:space="preserve">05.01.02.01 Red primaria y seccionador tripolar MT 10 kV, 60 Hz</t>
  </si>
  <si>
    <t xml:space="preserve">03.01.10</t>
  </si>
  <si>
    <t xml:space="preserve">Pinturas</t>
  </si>
  <si>
    <t xml:space="preserve">05.01.02.02 Celdas de remonte, llegada y transformación 200 kVA, 10 kV, 60 Hz</t>
  </si>
  <si>
    <t xml:space="preserve">03.01.10.01</t>
  </si>
  <si>
    <t xml:space="preserve">Pintura látex 2 manos en muros interiores, exteriores, columnas, vigas y cielorraso</t>
  </si>
  <si>
    <t xml:space="preserve">05.01.02.03 Sistema de medición y trafomix</t>
  </si>
  <si>
    <t xml:space="preserve">03.01.10.02</t>
  </si>
  <si>
    <t xml:space="preserve">Pintura barniz 2 manos en puertas de madera y pisos de madera (bloque 6)</t>
  </si>
  <si>
    <t xml:space="preserve">05.01.02.04 Expediente técnico en media tensión 10 kV</t>
  </si>
  <si>
    <t xml:space="preserve">03.01.10.03</t>
  </si>
  <si>
    <t xml:space="preserve">Pintura epóxica para contrazócalo y vestidura de derrames</t>
  </si>
  <si>
    <t xml:space="preserve">05.01.03.01 Excavación manual para postes y zanjas para tuberías</t>
  </si>
  <si>
    <t xml:space="preserve">03.01.11</t>
  </si>
  <si>
    <t xml:space="preserve">Otros</t>
  </si>
  <si>
    <t xml:space="preserve">05.01.03.02 Cama de apoyo, relleno y compactación con material seleccionado</t>
  </si>
  <si>
    <t xml:space="preserve">03.01.11.01</t>
  </si>
  <si>
    <t xml:space="preserve">Letras de lámina de aluminio niquelado para ingreso principal y secundario</t>
  </si>
  <si>
    <t xml:space="preserve">05.01.03.03 Acarreo y eliminación de material excedente</t>
  </si>
  <si>
    <t xml:space="preserve">03.01.11.02</t>
  </si>
  <si>
    <t xml:space="preserve">Limpieza final de obra</t>
  </si>
  <si>
    <t xml:space="preserve">05.01.04.01 Centros de luz en techo y pared</t>
  </si>
  <si>
    <t xml:space="preserve">03.01.12</t>
  </si>
  <si>
    <t xml:space="preserve">Señalización y evacuación</t>
  </si>
  <si>
    <t xml:space="preserve">05.01.04.02 Centros para luz de emergencia</t>
  </si>
  <si>
    <t xml:space="preserve">03.01.12.01</t>
  </si>
  <si>
    <t xml:space="preserve">Señales de evacuación y emergencia: salida, zona segura en caso de sismo, botiquín</t>
  </si>
  <si>
    <t xml:space="preserve">05.01.05.01 Interruptores simples, dobles, triples y conmutados</t>
  </si>
  <si>
    <t xml:space="preserve">03.01.12.02</t>
  </si>
  <si>
    <t xml:space="preserve">Señales de prohibición: prohibido fumar, peligro de electricidad</t>
  </si>
  <si>
    <t xml:space="preserve">05.01.05.02 Tomacorrientes empotrados en muro y piso, con protección y estabilizados</t>
  </si>
  <si>
    <t xml:space="preserve">03.01.12.03</t>
  </si>
  <si>
    <t xml:space="preserve">Señales de equipos contra incendios: extintor de polvo químico seco 9 kg</t>
  </si>
  <si>
    <t xml:space="preserve">05.01.05.03 Tomacorrientes industriales monofásicos y trifásicos</t>
  </si>
  <si>
    <t xml:space="preserve">03.01.12.04</t>
  </si>
  <si>
    <t xml:space="preserve">Señales de advertencia: riesgo eléctrico - tablero general</t>
  </si>
  <si>
    <t xml:space="preserve">05.01.06.01 Para electrobomba trifásica, chapa eléctrica, secador de manos, tomacorrientes fuerza</t>
  </si>
  <si>
    <t xml:space="preserve">04</t>
  </si>
  <si>
    <t xml:space="preserve">Instalaciones Sanitarias</t>
  </si>
  <si>
    <t xml:space="preserve">05.01.07.01 Diversas cajas octogonales y de pase metálicas para muro, techo y estructura metálica</t>
  </si>
  <si>
    <t xml:space="preserve">04.01</t>
  </si>
  <si>
    <t xml:space="preserve">Por Bloque (1 a 14) y Exteriores</t>
  </si>
  <si>
    <t xml:space="preserve">05.01.07.02 Buzones de conexiones de concreto armado en diferentes dimensiones</t>
  </si>
  <si>
    <t xml:space="preserve">04.01.01</t>
  </si>
  <si>
    <t xml:space="preserve">Aparatos sanitarios y accesorios</t>
  </si>
  <si>
    <t xml:space="preserve">05.01.08.01 Tuberías PVC y EMT en varios diámetros</t>
  </si>
  <si>
    <t xml:space="preserve">04.01.01.01</t>
  </si>
  <si>
    <t xml:space="preserve">Inodoros one piece de loza vitrificada blanca</t>
  </si>
  <si>
    <t xml:space="preserve">05.01.08.02 Ductos de concreto para conductores de alimentadores</t>
  </si>
  <si>
    <t xml:space="preserve">04.01.01.02</t>
  </si>
  <si>
    <t xml:space="preserve">Lavamanos tipo fontana o ovalín con pedestal o sin él</t>
  </si>
  <si>
    <t xml:space="preserve">05.01.09.01 Cinta señalizadora de riesgo eléctrico</t>
  </si>
  <si>
    <t xml:space="preserve">04.01.01.03</t>
  </si>
  <si>
    <t xml:space="preserve">Urinarios tipo Cadet de loza vitrificada blanca</t>
  </si>
  <si>
    <t xml:space="preserve">05.01.10.01 Conductores eléctricos LSOH en varias secciones transversales</t>
  </si>
  <si>
    <t xml:space="preserve">04.01.01.04</t>
  </si>
  <si>
    <t xml:space="preserve">Lavaderos de acero inoxidable de dos pozas con escurridera</t>
  </si>
  <si>
    <t xml:space="preserve">05.01.10.02 Conductores TTR y N2XOH para diferentes usos y calibres</t>
  </si>
  <si>
    <t xml:space="preserve">04.01.01.05</t>
  </si>
  <si>
    <t xml:space="preserve">Dispensadores de papel toalla y jabón líquido rellenable</t>
  </si>
  <si>
    <t xml:space="preserve">05.01.10.03 Cable desnudo de cobre y barra de cobre para SPT aislada</t>
  </si>
  <si>
    <t xml:space="preserve">04.01.01.06</t>
  </si>
  <si>
    <t xml:space="preserve">Portarollo de papel higiénico</t>
  </si>
  <si>
    <t xml:space="preserve">05.01.11.01 Diversos tipos y potencias de luminarias LED: panel, hermética, downlight, plafón, perimetral, braquet, reflector</t>
  </si>
  <si>
    <t xml:space="preserve">04.01.01.07</t>
  </si>
  <si>
    <t xml:space="preserve">Grifos de riego 1/2" (exteriores)</t>
  </si>
  <si>
    <t xml:space="preserve">05.01.11.02 Sensores infrarrojos pasivos, luces de emergencia, módulos LED para letreros, fuentes de alimentación</t>
  </si>
  <si>
    <t xml:space="preserve">04.01.02</t>
  </si>
  <si>
    <t xml:space="preserve">Sistema de agua fría</t>
  </si>
  <si>
    <t xml:space="preserve">05.01.12.01 Tomacorrientes dobles, hidroblox, empotrables, industriales, con tierra, estabilizados</t>
  </si>
  <si>
    <t xml:space="preserve">04.01.02.01</t>
  </si>
  <si>
    <t xml:space="preserve">Redes de distribución con tubería PVC (varios diámetros) y tubería de fierro galvanizado (F°G°)</t>
  </si>
  <si>
    <t xml:space="preserve">05.01.12.02 Secadores de mano de 1500W</t>
  </si>
  <si>
    <t xml:space="preserve">04.01.02.02</t>
  </si>
  <si>
    <t xml:space="preserve">Salidas de agua para aparatos sanitarios (Ø 1/2")</t>
  </si>
  <si>
    <t xml:space="preserve">05.01.12.03 Interruptores simples, dobles, triples y de conmutación simple</t>
  </si>
  <si>
    <t xml:space="preserve">04.01.02.03</t>
  </si>
  <si>
    <t xml:space="preserve">Cajas para válvulas metálicas en muro</t>
  </si>
  <si>
    <t xml:space="preserve">05.01.13.01 Postes de fierro galvanizado de 4", 4.40 m, espesor 4.5 mm</t>
  </si>
  <si>
    <t xml:space="preserve">04.01.02.04</t>
  </si>
  <si>
    <t xml:space="preserve">Pruebas hidráulicas integrales y desinfección para tuberías roscadas</t>
  </si>
  <si>
    <t xml:space="preserve">05.01.14.01 Tableros generales y de distribución para sistemas de tensión normal y estabilizada en varios niveles</t>
  </si>
  <si>
    <t xml:space="preserve">04.01.02.05</t>
  </si>
  <si>
    <t xml:space="preserve">Válvulas de control y check (válvulas compuerta y globo)</t>
  </si>
  <si>
    <t xml:space="preserve">05.01.14.02 Tableros para electro bombas y sistemas estabilizados</t>
  </si>
  <si>
    <t xml:space="preserve">04.01.03</t>
  </si>
  <si>
    <t xml:space="preserve">Sistema de drenaje pluvial</t>
  </si>
  <si>
    <t xml:space="preserve">05.01.14.03 Espacios para relojes horarios, relays térmicos e interruptores trifásicos</t>
  </si>
  <si>
    <t xml:space="preserve">04.01.03.01</t>
  </si>
  <si>
    <t xml:space="preserve">Excavación manual de zanjas para tuberías</t>
  </si>
  <si>
    <t xml:space="preserve">05.02.01.01 Equipos split decorativo y piso techo con unidades evaporadoras y condensadoras (12,000 y 24,000 BTU/h)</t>
  </si>
  <si>
    <t xml:space="preserve">04.01.03.02</t>
  </si>
  <si>
    <t xml:space="preserve">Cama de apoyo con arena gruesa compactada</t>
  </si>
  <si>
    <t xml:space="preserve">05.02.02.01 Extractores e inyectores centrífugos de simple entrada con especificaciones de caudal y potencia</t>
  </si>
  <si>
    <t xml:space="preserve">04.01.03.03</t>
  </si>
  <si>
    <t xml:space="preserve">Redes de recolección con tubería PVC-CP</t>
  </si>
  <si>
    <t xml:space="preserve">05.02.02.02 Válvulas de control, difusores y rejillas de 20"x20"</t>
  </si>
  <si>
    <t xml:space="preserve">04.01.03.04</t>
  </si>
  <si>
    <t xml:space="preserve">Accesorios: tees, codos, sumideros, reducciones</t>
  </si>
  <si>
    <t xml:space="preserve">05.02.02.03 Ductos metálicos y para enchaquetado</t>
  </si>
  <si>
    <t xml:space="preserve">04.01.03.05</t>
  </si>
  <si>
    <t xml:space="preserve">Pozos percoladores de aguas pluviales con relleno filtrante</t>
  </si>
  <si>
    <t xml:space="preserve">05.02.02.04 Accesorios complementarios: cajas de control, soportes metálicos, transporte e instalación, damper corta fuego</t>
  </si>
  <si>
    <t xml:space="preserve">04.01.03.06</t>
  </si>
  <si>
    <t xml:space="preserve">Canaletas metálicas y de mortero en techo</t>
  </si>
  <si>
    <t xml:space="preserve">05.02.02.05 Pruebas y balanceo del sistema de ventilación mecánica</t>
  </si>
  <si>
    <t xml:space="preserve">04.01.04</t>
  </si>
  <si>
    <t xml:space="preserve">Sistema de desagüe y ventilación</t>
  </si>
  <si>
    <t xml:space="preserve">05.02.03.01 Trabajos de preinstalación</t>
  </si>
  <si>
    <t xml:space="preserve">04.01.04.01</t>
  </si>
  <si>
    <t xml:space="preserve">05.02.03.02 Ascensor de pasajeros, montacarga mixto, elevadores para discapacitados con características técnicas y paradas</t>
  </si>
  <si>
    <t xml:space="preserve">04.01.04.02</t>
  </si>
  <si>
    <t xml:space="preserve">Salidas de desagüe PVC-CP (Ø 2" y 4")</t>
  </si>
  <si>
    <t xml:space="preserve">05.02.03.03 Pruebas electromecánicas del sistema</t>
  </si>
  <si>
    <t xml:space="preserve">04.01.04.03</t>
  </si>
  <si>
    <t xml:space="preserve">Redes de derivación con tubería PVC-CP</t>
  </si>
  <si>
    <t xml:space="preserve">05.02.04.01 Grupo electrógeno diesel encapsulado e insonorizado 160 kVA</t>
  </si>
  <si>
    <t xml:space="preserve">04.01.04.04</t>
  </si>
  <si>
    <t xml:space="preserve">Prueba integral de estanqueidad en redes de desagüe</t>
  </si>
  <si>
    <t xml:space="preserve">05.02.04.02 Tableros de transferencia automática (TTA-01 y TTA- 02)</t>
  </si>
  <si>
    <t xml:space="preserve">04.01.04.05</t>
  </si>
  <si>
    <t xml:space="preserve">Accesorios: tees, codos, registros roscados, colgadores, abrazaderas</t>
  </si>
  <si>
    <t xml:space="preserve">06.01.01.01.01 Bloque 1 · Primer nivel: Mobiliario para trámite documentario, mesa de partes, garita, hall de espera, presupuesto, planificación, estadística, tópico</t>
  </si>
  <si>
    <t xml:space="preserve">04.01.04.06</t>
  </si>
  <si>
    <t xml:space="preserve">Sistema de ventilación con tubería PVC-CL y sombreros de ventilación</t>
  </si>
  <si>
    <t xml:space="preserve">06.01.01.01.02 Bloque 1 · Primer nivel: Equipos: computadoras, impresoras multifuncionales, escáneres, proyectores, camillas, biombos, armarios, mesas auxiliares, papeleras, escalinatas, cubos, taburetes</t>
  </si>
  <si>
    <t xml:space="preserve">04.01.05</t>
  </si>
  <si>
    <t xml:space="preserve">Drenaje de sistema de aire acondicionado</t>
  </si>
  <si>
    <t xml:space="preserve">06.01.01.02.01 Bloque 1 · Segundo nivel: Mobiliario para jefatura, secretaría, archivo, sala de juntas, hall</t>
  </si>
  <si>
    <t xml:space="preserve">04.01.05.01</t>
  </si>
  <si>
    <t xml:space="preserve">Tuberías PVC-U en varios diámetros</t>
  </si>
  <si>
    <t xml:space="preserve">06.01.01.02.02 Bloque 1 · Segundo nivel: Equipos: computadoras, escáneres, pizarras, racks para TV</t>
  </si>
  <si>
    <t xml:space="preserve">04.01.05.02</t>
  </si>
  <si>
    <t xml:space="preserve">Pruebas hidráulicas integrales y desinfección</t>
  </si>
  <si>
    <t xml:space="preserve">06.01.01.03.01 Bloque 1 · Tercer nivel: Mobiliario para jefatura, auditorio, archivo, secretaría, depósito, hall</t>
  </si>
  <si>
    <t xml:space="preserve">04.01.05.03</t>
  </si>
  <si>
    <t xml:space="preserve">Accesorios: codos, colgadores, trampa "U", registros colgados</t>
  </si>
  <si>
    <t xml:space="preserve">06.01.01.03.02 Bloque 1 · Tercer nivel: Equipos: computadoras, impresoras, escáneres, racks para TV, extintores</t>
  </si>
  <si>
    <t xml:space="preserve">04.01.06</t>
  </si>
  <si>
    <t xml:space="preserve">Sistema contra incendios (exterior)</t>
  </si>
  <si>
    <t xml:space="preserve">06.01.02.01.01 Bloque 2 · Primer nivel: Mobiliario para jefe de administración, secretaría, archivo, SS.HH., tesorería, archivo, contabilidad, escalafón, hall, corredora, lactario</t>
  </si>
  <si>
    <t xml:space="preserve">04.01.06.01</t>
  </si>
  <si>
    <t xml:space="preserve">Redes de alimentación con tubería HPDE y SCH 40 acero</t>
  </si>
  <si>
    <t xml:space="preserve">06.01.02.01.02 Bloque 2 · Primer nivel: Equipos: computadoras, impresoras, escáneres, cámaras, radios, GPS, pizarras acrílicas, extintores</t>
  </si>
  <si>
    <t xml:space="preserve">04.01.06.02</t>
  </si>
  <si>
    <t xml:space="preserve">Accesorios: tees, reducciones, codos, transiciones, válvulas específicas</t>
  </si>
  <si>
    <t xml:space="preserve">06.01.02.02.01 Bloque 2 · Segundo nivel: Mobiliario para imagen institucional, transparencia, secretaría, archivo, SS.HH., asesoría jurídica, sala de reuniones, antesala</t>
  </si>
  <si>
    <t xml:space="preserve">04.01.06.03</t>
  </si>
  <si>
    <t xml:space="preserve">Gabinetes contra incendio clase III con reductora de presión</t>
  </si>
  <si>
    <t xml:space="preserve">06.01.02.02.02 Bloque 2 · Segundo nivel: Equipos: computadoras, impresoras, escáneres, proyectores, racks para TV</t>
  </si>
  <si>
    <t xml:space="preserve">04.01.06.04</t>
  </si>
  <si>
    <t xml:space="preserve">Válvulas de retención, check, boya, mariposa, alivio, seguridad-alarma</t>
  </si>
  <si>
    <t xml:space="preserve">06.01.03.01.01 Bloque 3 · Primer nivel: Mobiliario para almacén, jefatura, escaleras</t>
  </si>
  <si>
    <t xml:space="preserve">04.01.06.05</t>
  </si>
  <si>
    <t xml:space="preserve">Electrobombas sumergibles y de 4.0HP con tableros</t>
  </si>
  <si>
    <t xml:space="preserve">06.01.03.01.02 Bloque 3 · Primer nivel: Equipos: impresoras, escáneres, extintores</t>
  </si>
  <si>
    <t xml:space="preserve">04.01.06.06</t>
  </si>
  <si>
    <t xml:space="preserve">Escaleras metálicas y de acero inoxidable según diseño</t>
  </si>
  <si>
    <t xml:space="preserve">06.01.03.02.01 Bloque 3 · Segundo nivel: Mobiliario para almacén</t>
  </si>
  <si>
    <t xml:space="preserve">04.01.06.07</t>
  </si>
  <si>
    <t xml:space="preserve">Control de nivel y tapas sanitarias de acero estriado</t>
  </si>
  <si>
    <t xml:space="preserve">06.01.03.03.01 Bloque 3 · Tercer nivel: Mobiliario para comedor, depósito</t>
  </si>
  <si>
    <t xml:space="preserve">05</t>
  </si>
  <si>
    <t xml:space="preserve">Instalaciones Eléctricas y Mecánicas</t>
  </si>
  <si>
    <t xml:space="preserve">06.01.03.03.02 Bloque 3 · Tercer nivel: Equipos: vajillas, refrigeradora, cocina, extintores</t>
  </si>
  <si>
    <t xml:space="preserve">05.01</t>
  </si>
  <si>
    <t xml:space="preserve">Instalaciones Eléctricas</t>
  </si>
  <si>
    <t xml:space="preserve">06.01.04.01.01 Bloque 4 · Primer nivel: Mobiliario para imprenta, depósito, oficina, SS.HH.</t>
  </si>
  <si>
    <t xml:space="preserve">05.01.01</t>
  </si>
  <si>
    <t xml:space="preserve">06.01.04.01.02 Bloque 4 · Primer nivel: Equipos: impresoras, escáneres, equipos de impresión offset, guillotina, plastificadora, compaginadora, CTCP</t>
  </si>
  <si>
    <t xml:space="preserve">05.01.01.01</t>
  </si>
  <si>
    <t xml:space="preserve">Trazo y replanteo</t>
  </si>
  <si>
    <t xml:space="preserve">06.01.05.01.01 Bloque 5 · Primer nivel: Mobiliario para asistenta social, racionalización, archivo, SS.HH., sala de reuniones, dirección general infraestructura, secretaria, archivo, depósito, unidad de infraestructura</t>
  </si>
  <si>
    <t xml:space="preserve">05.01.02</t>
  </si>
  <si>
    <t xml:space="preserve">Suministro e instalación red primaria y subestación 10 kV</t>
  </si>
  <si>
    <t xml:space="preserve">06.01.05.01.02 Bloque 5 · Primer nivel: Equipos: computadoras, impresoras, escáneres, proyectores, cámaras, radios, GPS, vajillas, estanterías, extintores</t>
  </si>
  <si>
    <t xml:space="preserve">05.01.02.01</t>
  </si>
  <si>
    <t xml:space="preserve">Red primaria y seccionador tripolar MT 10 kV, 60 Hz</t>
  </si>
  <si>
    <t xml:space="preserve">06.01.05.02.01 Bloque 5 · Segundo nivel: Mobiliario para educación primaria, inicial, educación especial, técnico deportiva, secundaria, superior, técnico productivo</t>
  </si>
  <si>
    <t xml:space="preserve">05.01.02.02</t>
  </si>
  <si>
    <t xml:space="preserve">Celdas de remonte, llegada y transformación 200 kVA, 10 kV, 60 Hz</t>
  </si>
  <si>
    <t xml:space="preserve">06.01.05.02.02 Bloque 5 · Segundo nivel: Equipos: computadoras, impresoras, escáneres</t>
  </si>
  <si>
    <t xml:space="preserve">05.01.02.03</t>
  </si>
  <si>
    <t xml:space="preserve">Sistema de medición y trafomix</t>
  </si>
  <si>
    <t xml:space="preserve">06.01.06.01.01 Bloque 6 · Primer nivel: Mobiliario para escenario, SUM, cuarto de audio y video, depósito, foyer</t>
  </si>
  <si>
    <t xml:space="preserve">05.01.02.04</t>
  </si>
  <si>
    <t xml:space="preserve">Expediente técnico en media tensión 10 kV</t>
  </si>
  <si>
    <t xml:space="preserve">06.01.06.01.02 Bloque 6 · Primer nivel: Equipos: extintores, proyectores, racks eléctricos</t>
  </si>
  <si>
    <t xml:space="preserve">05.01.03</t>
  </si>
  <si>
    <t xml:space="preserve">06.01.06.02.01 Bloque 6 · Segundo nivel: Mobiliario para PRECOD, proyectos eventuales, educación intercultural bilingüe, hall, SS.HH., PELA, sala de reuniones, depósito</t>
  </si>
  <si>
    <t xml:space="preserve">05.01.03.01</t>
  </si>
  <si>
    <t xml:space="preserve">Excavación manual para postes y zanjas para tuberías</t>
  </si>
  <si>
    <t xml:space="preserve">06.01.06.02.02 Bloque 6 · Segundo nivel: Equipos: computadoras, impresoras, escáneres, proyectores</t>
  </si>
  <si>
    <t xml:space="preserve">05.01.03.02</t>
  </si>
  <si>
    <t xml:space="preserve">Cama de apoyo, relleno y compactación con material seleccionado</t>
  </si>
  <si>
    <t xml:space="preserve">06.01.07.01.01 Bloque 7 · Primer nivel: Mobiliario para SS.HH. damas, varones y discapacitados, cocineta</t>
  </si>
  <si>
    <t xml:space="preserve">05.01.03.03</t>
  </si>
  <si>
    <t xml:space="preserve">06.01.08.01.01 Bloque 8 · Primer nivel: Mobiliario para archivo institucional</t>
  </si>
  <si>
    <t xml:space="preserve">05.01.04</t>
  </si>
  <si>
    <t xml:space="preserve">Salidas para centro de luz y luz de emergencia</t>
  </si>
  <si>
    <t xml:space="preserve">06.01.08.02.01 Bloque 8 · Segundo nivel: Mobiliario para almacén patrimonio</t>
  </si>
  <si>
    <t xml:space="preserve">05.01.04.01</t>
  </si>
  <si>
    <t xml:space="preserve">Centros de luz en techo y pared</t>
  </si>
  <si>
    <t xml:space="preserve">06.01.08.02.02 Bloque 8 · Segundo nivel: Equipos: impresoras láser</t>
  </si>
  <si>
    <t xml:space="preserve">05.01.04.02</t>
  </si>
  <si>
    <t xml:space="preserve">Centros para luz de emergencia</t>
  </si>
  <si>
    <t xml:space="preserve">06.01.09.01.01 Bloque 9 · Primer nivel: Mobiliario para adquisiciones, abastecimiento, sala de lectura</t>
  </si>
  <si>
    <t xml:space="preserve">05.01.05</t>
  </si>
  <si>
    <t xml:space="preserve">Salidas para interruptores y tomacorrientes</t>
  </si>
  <si>
    <t xml:space="preserve">06.01.09.02.01 Bloque 9 · Segundo nivel: Mobiliario para archivo y numeración, patrimonio, actas y certificados, hall de espera</t>
  </si>
  <si>
    <t xml:space="preserve">05.01.05.01</t>
  </si>
  <si>
    <t xml:space="preserve">Interruptores simples, dobles, triples y conmutados</t>
  </si>
  <si>
    <t xml:space="preserve">06.01.10.01.01 Bloque 10 · Primer nivel: Mobiliario para guardianía, SS.HH.</t>
  </si>
  <si>
    <t xml:space="preserve">05.01.05.02</t>
  </si>
  <si>
    <t xml:space="preserve">Tomacorrientes empotrados en muro y piso, con protección y estabilizados</t>
  </si>
  <si>
    <t xml:space="preserve">06.01.11.01.01 Bloque 14 · Primer nivel: Mobiliario para fotocopiadora</t>
  </si>
  <si>
    <t xml:space="preserve">05.01.05.03</t>
  </si>
  <si>
    <t xml:space="preserve">Tomacorrientes industriales monofásicos y trifásicos</t>
  </si>
  <si>
    <t xml:space="preserve">06.01.11.01.02 Bloque 14 · Primer nivel: Equipos: extintores</t>
  </si>
  <si>
    <t xml:space="preserve">05.01.06</t>
  </si>
  <si>
    <t xml:space="preserve">Salida de fuerza eléctrica</t>
  </si>
  <si>
    <t xml:space="preserve">07.01.01 Trazo, niveles y replanteo de instalaciones</t>
  </si>
  <si>
    <t xml:space="preserve">05.01.06.01</t>
  </si>
  <si>
    <t xml:space="preserve">Para electrobomba trifásica, chapa eléctrica, secador de manos, tomacorrientes fuerza</t>
  </si>
  <si>
    <t xml:space="preserve">07.01.02 Excavación manual de zanjas y hoyos para tuberías y puesta a tierra</t>
  </si>
  <si>
    <t xml:space="preserve">05.01.07</t>
  </si>
  <si>
    <t xml:space="preserve">Cajas de pase</t>
  </si>
  <si>
    <t xml:space="preserve">07.01.03 Cama de apoyo y relleno compactado con material seleccionado</t>
  </si>
  <si>
    <t xml:space="preserve">05.01.07.01</t>
  </si>
  <si>
    <t xml:space="preserve">Diversas cajas octogonales y de pase metálicas para muro, techo y estructura metálica</t>
  </si>
  <si>
    <t xml:space="preserve">07.01.04 Acarreo y eliminación de material excedente</t>
  </si>
  <si>
    <t xml:space="preserve">05.01.07.02</t>
  </si>
  <si>
    <t xml:space="preserve">Buzones de conexiones de concreto armado en diferentes dimensiones</t>
  </si>
  <si>
    <t xml:space="preserve">07.01.05 Suministro e instalación de cinta señalizadora</t>
  </si>
  <si>
    <t xml:space="preserve">05.01.08</t>
  </si>
  <si>
    <t xml:space="preserve">Canalización y tuberías</t>
  </si>
  <si>
    <t xml:space="preserve">07.02.01 Tubos PVC SAP y EMT en diámetros variables (20mm a 50mm)</t>
  </si>
  <si>
    <t xml:space="preserve">05.01.08.01</t>
  </si>
  <si>
    <t xml:space="preserve">Tuberías PVC y EMT en varios diámetros</t>
  </si>
  <si>
    <t xml:space="preserve">07.02.02 Cajas de pase en diferentes tamaños para muro, techo y drywall</t>
  </si>
  <si>
    <t xml:space="preserve">05.01.08.02</t>
  </si>
  <si>
    <t xml:space="preserve">Ductos de concreto para conductores de alimentadores</t>
  </si>
  <si>
    <t xml:space="preserve">07.03.01 Salidas para red de datos en piso, muro, drywall, techo y bandeja</t>
  </si>
  <si>
    <t xml:space="preserve">05.01.09</t>
  </si>
  <si>
    <t xml:space="preserve">Cinta señalizadora B.T.</t>
  </si>
  <si>
    <t xml:space="preserve">07.03.02 Salidas para circuitos de sonido ambiental, perifoneo y multimedia (puntos Speakon, XLR, HDMI, control de volumen, micrófonos, parlantes)</t>
  </si>
  <si>
    <t xml:space="preserve">05.01.09.01</t>
  </si>
  <si>
    <t xml:space="preserve">Cinta señalizadora de riesgo eléctrico</t>
  </si>
  <si>
    <t xml:space="preserve">07.03.03 Salidas para circuito de detección y alarma de incendios (detectores direccionables, módulos, sirenas, estaciones manuales, paneles de control)</t>
  </si>
  <si>
    <t xml:space="preserve">05.01.10</t>
  </si>
  <si>
    <t xml:space="preserve">Conductores y cables de energía</t>
  </si>
  <si>
    <t xml:space="preserve">07.03.04 Salidas para circuito de control de acceso y asistencia (control de asistencia facial, control de acceso para puertas, pulsadores, gabinetes)</t>
  </si>
  <si>
    <t xml:space="preserve">05.01.10.01</t>
  </si>
  <si>
    <t xml:space="preserve">Conductores eléctricos LSOH en varias secciones transversales</t>
  </si>
  <si>
    <t xml:space="preserve">07.04.01 Bandejas portacable tipo rejilla colgadas de techo en diferentes medidas</t>
  </si>
  <si>
    <t xml:space="preserve">05.01.10.02</t>
  </si>
  <si>
    <t xml:space="preserve">Conductores TTR y N2XOH para diferentes usos y calibres</t>
  </si>
  <si>
    <t xml:space="preserve">07.04.02 Placas cilíndricas cortafuegos</t>
  </si>
  <si>
    <t xml:space="preserve">05.01.10.03</t>
  </si>
  <si>
    <t xml:space="preserve">Cable desnudo de cobre y barra de cobre para SPT aislada</t>
  </si>
  <si>
    <t xml:space="preserve">07.04.03 Soportes para salidas de tubo conduit en varios diámetros</t>
  </si>
  <si>
    <t xml:space="preserve">05.01.11</t>
  </si>
  <si>
    <t xml:space="preserve">Luminarias empotradas y adosadas</t>
  </si>
  <si>
    <t xml:space="preserve">07.05.01 Puntos de cableado estructurado simples y dobles en diferentes ubicaciones</t>
  </si>
  <si>
    <t xml:space="preserve">05.01.11.01</t>
  </si>
  <si>
    <t xml:space="preserve">Diversos tipos y potencias de luminarias LED: panel, hermética, downlight, plafón, perimetral, braquet, reflector</t>
  </si>
  <si>
    <t xml:space="preserve">07.05.02 Conductores de cableado estructurado: cableado F/UTP CAT6A, cable multimodo FO OM4/06 hilos</t>
  </si>
  <si>
    <t xml:space="preserve">05.01.11.02</t>
  </si>
  <si>
    <t xml:space="preserve">Sensores infrarrojos pasivos, luces de emergencia, módulos LED para letreros, fuentes de alimentación</t>
  </si>
  <si>
    <t xml:space="preserve">07.05.03 Pruebas y protocolos de certificación y fusión</t>
  </si>
  <si>
    <t xml:space="preserve">05.01.12</t>
  </si>
  <si>
    <t xml:space="preserve">Instalación de tomacorrientes, secadores y interruptores</t>
  </si>
  <si>
    <t xml:space="preserve">07.06.01 Equipamiento tecnológico: teléfonos genéricos, ejecutivos, operadora, central telefónica IP</t>
  </si>
  <si>
    <t xml:space="preserve">05.01.12.01</t>
  </si>
  <si>
    <t xml:space="preserve">Tomacorrientes dobles, hidroblox, empotrables, industriales, con tierra, estabilizados</t>
  </si>
  <si>
    <t xml:space="preserve">07.07.01 Equipamiento tecnológico: puntos de acceso inalámbricos (Access Point)</t>
  </si>
  <si>
    <t xml:space="preserve">05.01.12.02</t>
  </si>
  <si>
    <t xml:space="preserve">Secadores de mano de 1500W</t>
  </si>
  <si>
    <t xml:space="preserve">07.08.01 Gabinetes de centro de datos y proveedor de servicios con accesorios pasivos</t>
  </si>
  <si>
    <t xml:space="preserve">05.01.12.03</t>
  </si>
  <si>
    <t xml:space="preserve">Interruptores simples, dobles, triples y de conmutación simple</t>
  </si>
  <si>
    <t xml:space="preserve">07.08.02 Gabinetes de distribución con accesorios pasivos</t>
  </si>
  <si>
    <t xml:space="preserve">05.01.13</t>
  </si>
  <si>
    <t xml:space="preserve">Postes</t>
  </si>
  <si>
    <t xml:space="preserve">07.08.03 Equipamiento networking: firewalls, switches administrables core, distribución y acceso (PoE+)</t>
  </si>
  <si>
    <t xml:space="preserve">05.01.13.01</t>
  </si>
  <si>
    <t xml:space="preserve">Postes de fierro galvanizado de 4", 4.40 m, espesor 4.5 mm</t>
  </si>
  <si>
    <t xml:space="preserve">07.08.04 Equipamiento servidores: servidores de aplicaciones y almacenamiento, consolas KVM</t>
  </si>
  <si>
    <t xml:space="preserve">05.01.14</t>
  </si>
  <si>
    <t xml:space="preserve">Tableros e interruptores termomagnéticos</t>
  </si>
  <si>
    <t xml:space="preserve">07.09.01 Conductores: cables RCA, balanceados, cableado CAT6A</t>
  </si>
  <si>
    <t xml:space="preserve">05.01.14.01</t>
  </si>
  <si>
    <t xml:space="preserve">Tableros generales y de distribución para sistemas de tensión normal y estabilizada en varios niveles</t>
  </si>
  <si>
    <t xml:space="preserve">07.09.02 Puntos multimedia: XLR, Speakon, HDMI preconectorizado, control de volumen digital, micrófonos, parlantes, proyectores, racks móviles, reproductores</t>
  </si>
  <si>
    <t xml:space="preserve">05.01.14.02</t>
  </si>
  <si>
    <t xml:space="preserve">Tableros para electro bombas y sistemas estabilizados</t>
  </si>
  <si>
    <t xml:space="preserve">07.10.01 Conductores: cables FPLP de varios calibres</t>
  </si>
  <si>
    <t xml:space="preserve">05.01.14.03</t>
  </si>
  <si>
    <t xml:space="preserve">Espacios para relojes horarios, relays térmicos e interruptores trifásicos</t>
  </si>
  <si>
    <t xml:space="preserve">07.10.02 Equipamiento tecnológico: detectores de humo, temperatura, multipropósito, módulos, estaciones manuales, sirenas, paneles de control, anunciadores remotos</t>
  </si>
  <si>
    <t xml:space="preserve">05.02</t>
  </si>
  <si>
    <t xml:space="preserve">Instalaciones Mecánicas</t>
  </si>
  <si>
    <t xml:space="preserve">07.11.01 Equipamiento tecnológico: reproductores de cartelería IP</t>
  </si>
  <si>
    <t xml:space="preserve">05.02.01</t>
  </si>
  <si>
    <t xml:space="preserve">Suministro e instalación de sistema de ventilación mecánica</t>
  </si>
  <si>
    <t xml:space="preserve">07.12.01 Equipamiento tecnológico: cámaras IP tipo domo, tubo interior y exterior, doble lente, multisensor</t>
  </si>
  <si>
    <t xml:space="preserve">05.02.01.01</t>
  </si>
  <si>
    <t xml:space="preserve">Equipos split decorativo y piso techo con unidades evaporadoras y condensadoras (12,000 y 24,000 BTU/h)</t>
  </si>
  <si>
    <t xml:space="preserve">07.12.02 Monitores, estaciones de trabajo, decoders, grabadores de video en red, cables HDMI</t>
  </si>
  <si>
    <t xml:space="preserve">05.02.02</t>
  </si>
  <si>
    <t xml:space="preserve">Equipos de extracción e inyección</t>
  </si>
  <si>
    <t xml:space="preserve">07.13.01 Conductores: de control y alimentación</t>
  </si>
  <si>
    <t xml:space="preserve">05.02.02.01</t>
  </si>
  <si>
    <t xml:space="preserve">Extractores e inyectores centrífugos de simple entrada con especificaciones de caudal y potencia</t>
  </si>
  <si>
    <t xml:space="preserve">07.13.02 Equipamiento tecnológico: control de asistencia por reconocimiento facial, control de acceso para puertas</t>
  </si>
  <si>
    <t xml:space="preserve">05.02.02.02</t>
  </si>
  <si>
    <t xml:space="preserve">Válvulas de control, difusores y rejillas de 20"x20"</t>
  </si>
  <si>
    <t xml:space="preserve">07.14.01 Conductores LSOH</t>
  </si>
  <si>
    <t xml:space="preserve">05.02.02.03</t>
  </si>
  <si>
    <t xml:space="preserve">Ductos metálicos y para enchaquetado</t>
  </si>
  <si>
    <t xml:space="preserve">07.14.02 Equipamiento tecnológico: pozos de puesta a tierra, gabinetes con barras de aterramiento</t>
  </si>
  <si>
    <t xml:space="preserve">05.02.02.04</t>
  </si>
  <si>
    <t xml:space="preserve">Accesorios complementarios: cajas de control, soportes metálicos, transporte e instalación, damper corta fuego</t>
  </si>
  <si>
    <t xml:space="preserve">07.14.03 Certificación y protocolos de puesta a tierra</t>
  </si>
  <si>
    <t xml:space="preserve">05.02.02.05</t>
  </si>
  <si>
    <t xml:space="preserve">Pruebas y balanceo del sistema de ventilación mecánica</t>
  </si>
  <si>
    <t xml:space="preserve">08.01.01 Módulo 1: Gestión Administrativa</t>
  </si>
  <si>
    <t xml:space="preserve">05.02.03</t>
  </si>
  <si>
    <t xml:space="preserve">Sistema de transporte vertical</t>
  </si>
  <si>
    <t xml:space="preserve">08.01.02 Módulo 2: Gestión de los Recursos Humanos</t>
  </si>
  <si>
    <t xml:space="preserve">05.02.03.01</t>
  </si>
  <si>
    <t xml:space="preserve">Trabajos de preinstalación</t>
  </si>
  <si>
    <t xml:space="preserve">08.01.03 Módulo 3: Gestión Pedagógica</t>
  </si>
  <si>
    <t xml:space="preserve">05.02.03.02</t>
  </si>
  <si>
    <t xml:space="preserve">Ascensor de pasajeros, montacarga mixto, elevadores para discapacitados con características técnicas y paradas</t>
  </si>
  <si>
    <t xml:space="preserve">05.02.03.03</t>
  </si>
  <si>
    <t xml:space="preserve">Pruebas electromecánicas del sistema</t>
  </si>
  <si>
    <t xml:space="preserve">05.02.04</t>
  </si>
  <si>
    <t xml:space="preserve">Generación y transferencia de energía eléctrica</t>
  </si>
  <si>
    <t xml:space="preserve">05.02.04.01</t>
  </si>
  <si>
    <t xml:space="preserve">Grupo electrógeno diesel encapsulado e insonorizado 160 kVA</t>
  </si>
  <si>
    <t xml:space="preserve">05.02.04.02</t>
  </si>
  <si>
    <t xml:space="preserve">Tableros de transferencia automática (TTA-01 y TTA- 02)</t>
  </si>
  <si>
    <t xml:space="preserve">06</t>
  </si>
  <si>
    <t xml:space="preserve">Equipos y mobiliarios</t>
  </si>
  <si>
    <t xml:space="preserve">06.01</t>
  </si>
  <si>
    <t xml:space="preserve">Zona de oficinas - Por bloque y nivel</t>
  </si>
  <si>
    <t xml:space="preserve">06.01.01</t>
  </si>
  <si>
    <t xml:space="preserve">06.01.01.01</t>
  </si>
  <si>
    <t xml:space="preserve">Primer nivel</t>
  </si>
  <si>
    <t xml:space="preserve">06.01.01.01.01</t>
  </si>
  <si>
    <t xml:space="preserve">Mobiliario para trámite documentario, mesa de partes, garita, hall de espera, presupuesto, planificación, estadística, tópico</t>
  </si>
  <si>
    <t xml:space="preserve">06.01.01.01.02</t>
  </si>
  <si>
    <t xml:space="preserve">Equipos: computadoras, impresoras multifuncionales, escáneres, proyectores, camillas, biombos, armarios, mesas auxiliares, papeleras, escalinatas, cubos, taburetes</t>
  </si>
  <si>
    <t xml:space="preserve">06.01.01.02</t>
  </si>
  <si>
    <t xml:space="preserve">Segundo nivel</t>
  </si>
  <si>
    <t xml:space="preserve">06.01.01.02.01</t>
  </si>
  <si>
    <t xml:space="preserve">Mobiliario para jefatura, secretaría, archivo, sala de juntas, hall</t>
  </si>
  <si>
    <t xml:space="preserve">06.01.01.02.02</t>
  </si>
  <si>
    <t xml:space="preserve">Equipos: computadoras, escáneres, pizarras, racks para TV</t>
  </si>
  <si>
    <t xml:space="preserve">06.01.01.03</t>
  </si>
  <si>
    <t xml:space="preserve">Tercer nivel</t>
  </si>
  <si>
    <t xml:space="preserve">06.01.01.03.01</t>
  </si>
  <si>
    <t xml:space="preserve">Mobiliario para jefatura, auditorio, archivo, secretaría, depósito, hall</t>
  </si>
  <si>
    <t xml:space="preserve">06.01.01.03.02</t>
  </si>
  <si>
    <t xml:space="preserve">Equipos: computadoras, impresoras, escáneres, racks para TV, extintores</t>
  </si>
  <si>
    <t xml:space="preserve">06.01.02</t>
  </si>
  <si>
    <t xml:space="preserve">06.01.02.01</t>
  </si>
  <si>
    <t xml:space="preserve">06.01.02.01.01</t>
  </si>
  <si>
    <t xml:space="preserve">Mobiliario para jefe de administración, secretaría, archivo, SS.HH., tesorería, archivo, contabilidad, escalafón, hall, corredora, lactario</t>
  </si>
  <si>
    <t xml:space="preserve">06.01.02.01.02</t>
  </si>
  <si>
    <t xml:space="preserve">Equipos: computadoras, impresoras, escáneres, cámaras, radios, GPS, pizarras acrílicas, extintores</t>
  </si>
  <si>
    <t xml:space="preserve">06.01.02.02</t>
  </si>
  <si>
    <t xml:space="preserve">06.01.02.02.01</t>
  </si>
  <si>
    <t xml:space="preserve">Mobiliario para imagen institucional, transparencia, secretaría, archivo, SS.HH., asesoría jurídica, sala de reuniones, antesala</t>
  </si>
  <si>
    <t xml:space="preserve">06.01.02.02.02</t>
  </si>
  <si>
    <t xml:space="preserve">Equipos: computadoras, impresoras, escáneres, proyectores, racks para TV</t>
  </si>
  <si>
    <t xml:space="preserve">06.01.03</t>
  </si>
  <si>
    <t xml:space="preserve">06.01.03.01</t>
  </si>
  <si>
    <t xml:space="preserve">06.01.03.01.01</t>
  </si>
  <si>
    <t xml:space="preserve">Mobiliario para almacén, jefatura, escaleras</t>
  </si>
  <si>
    <t xml:space="preserve">06.01.03.01.02</t>
  </si>
  <si>
    <t xml:space="preserve">Equipos: impresoras, escáneres, extintores</t>
  </si>
  <si>
    <t xml:space="preserve">06.01.03.02</t>
  </si>
  <si>
    <t xml:space="preserve">06.01.03.02.01</t>
  </si>
  <si>
    <t xml:space="preserve">Mobiliario para almacén</t>
  </si>
  <si>
    <t xml:space="preserve">06.01.03.03</t>
  </si>
  <si>
    <t xml:space="preserve">06.01.03.03.01</t>
  </si>
  <si>
    <t xml:space="preserve">Mobiliario para comedor, depósito</t>
  </si>
  <si>
    <t xml:space="preserve">06.01.03.03.02</t>
  </si>
  <si>
    <t xml:space="preserve">Equipos: vajillas, refrigeradora, cocina, extintores</t>
  </si>
  <si>
    <t xml:space="preserve">06.01.04</t>
  </si>
  <si>
    <t xml:space="preserve">06.01.04.01</t>
  </si>
  <si>
    <t xml:space="preserve">06.01.04.01.01</t>
  </si>
  <si>
    <t xml:space="preserve">Mobiliario para imprenta, depósito, oficina, SS.HH.</t>
  </si>
  <si>
    <t xml:space="preserve">06.01.04.01.02</t>
  </si>
  <si>
    <t xml:space="preserve">Equipos: impresoras, escáneres, equipos de impresión offset, guillotina, plastificadora, compaginadora, CTCP</t>
  </si>
  <si>
    <t xml:space="preserve">06.01.05</t>
  </si>
  <si>
    <t xml:space="preserve">06.01.05.01</t>
  </si>
  <si>
    <t xml:space="preserve">06.01.05.01.01</t>
  </si>
  <si>
    <t xml:space="preserve">Mobiliario para asistenta social, racionalización, archivo, SS.HH., sala de reuniones, dirección general infraestructura, secretaria, archivo, depósito, unidad de infraestructura</t>
  </si>
  <si>
    <t xml:space="preserve">06.01.05.01.02</t>
  </si>
  <si>
    <t xml:space="preserve">Equipos: computadoras, impresoras, escáneres, proyectores, cámaras, radios, GPS, vajillas, estanterías, extintores</t>
  </si>
  <si>
    <t xml:space="preserve">06.01.05.02</t>
  </si>
  <si>
    <t xml:space="preserve">06.01.05.02.01</t>
  </si>
  <si>
    <t xml:space="preserve">Mobiliario para educación primaria, inicial, educación especial, técnico deportiva, secundaria, superior, técnico productivo</t>
  </si>
  <si>
    <t xml:space="preserve">06.01.05.02.02</t>
  </si>
  <si>
    <t xml:space="preserve">Equipos: computadoras, impresoras, escáneres</t>
  </si>
  <si>
    <t xml:space="preserve">06.01.06</t>
  </si>
  <si>
    <t xml:space="preserve">06.01.06.01</t>
  </si>
  <si>
    <t xml:space="preserve">06.01.06.01.01</t>
  </si>
  <si>
    <t xml:space="preserve">Mobiliario para escenario, SUM, cuarto de audio y video, depósito, foyer</t>
  </si>
  <si>
    <t xml:space="preserve">06.01.06.01.02</t>
  </si>
  <si>
    <t xml:space="preserve">Equipos: extintores, proyectores, racks eléctricos</t>
  </si>
  <si>
    <t xml:space="preserve">06.01.06.02</t>
  </si>
  <si>
    <t xml:space="preserve">06.01.06.02.01</t>
  </si>
  <si>
    <t xml:space="preserve">Mobiliario para PRECOD, proyectos eventuales, educación intercultural bilingüe, hall, SS.HH., PELA, sala de reuniones, depósito</t>
  </si>
  <si>
    <t xml:space="preserve">06.01.06.02.02</t>
  </si>
  <si>
    <t xml:space="preserve">Equipos: computadoras, impresoras, escáneres, proyectores</t>
  </si>
  <si>
    <t xml:space="preserve">06.01.07</t>
  </si>
  <si>
    <t xml:space="preserve">06.01.07.01</t>
  </si>
  <si>
    <t xml:space="preserve">06.01.07.01.01</t>
  </si>
  <si>
    <t xml:space="preserve">Mobiliario para SS.HH. damas, varones y discapacitados, cocineta</t>
  </si>
  <si>
    <t xml:space="preserve">06.01.08</t>
  </si>
  <si>
    <t xml:space="preserve">06.01.08.01</t>
  </si>
  <si>
    <t xml:space="preserve">06.01.08.01.01</t>
  </si>
  <si>
    <t xml:space="preserve">Mobiliario para archivo institucional</t>
  </si>
  <si>
    <t xml:space="preserve">06.01.08.02</t>
  </si>
  <si>
    <t xml:space="preserve">06.01.08.02.01</t>
  </si>
  <si>
    <t xml:space="preserve">Mobiliario para almacén patrimonio</t>
  </si>
  <si>
    <t xml:space="preserve">06.01.08.02.02</t>
  </si>
  <si>
    <t xml:space="preserve">Equipos: impresoras láser</t>
  </si>
  <si>
    <t xml:space="preserve">06.01.09</t>
  </si>
  <si>
    <t xml:space="preserve">06.01.09.01</t>
  </si>
  <si>
    <t xml:space="preserve">06.01.09.01.01</t>
  </si>
  <si>
    <t xml:space="preserve">Mobiliario para adquisiciones, abastecimiento, sala de lectura</t>
  </si>
  <si>
    <t xml:space="preserve">06.01.09.02</t>
  </si>
  <si>
    <t xml:space="preserve">06.01.09.02.01</t>
  </si>
  <si>
    <t xml:space="preserve">Mobiliario para archivo y numeración, patrimonio, actas y certificados, hall de espera</t>
  </si>
  <si>
    <t xml:space="preserve">06.01.10</t>
  </si>
  <si>
    <t xml:space="preserve">06.01.10.01</t>
  </si>
  <si>
    <t xml:space="preserve">06.01.10.01.01</t>
  </si>
  <si>
    <t xml:space="preserve">Mobiliario para guardianía, SS.HH.</t>
  </si>
  <si>
    <t xml:space="preserve">06.01.11</t>
  </si>
  <si>
    <t xml:space="preserve">06.01.11.01</t>
  </si>
  <si>
    <t xml:space="preserve">06.01.11.01.01</t>
  </si>
  <si>
    <t xml:space="preserve">Mobiliario para fotocopiadora</t>
  </si>
  <si>
    <t xml:space="preserve">06.01.11.01.02</t>
  </si>
  <si>
    <t xml:space="preserve">Equipos: extintores</t>
  </si>
  <si>
    <t xml:space="preserve">07</t>
  </si>
  <si>
    <t xml:space="preserve">Instalaciones de Comunicaciones</t>
  </si>
  <si>
    <t xml:space="preserve">07.01</t>
  </si>
  <si>
    <t xml:space="preserve">Obras exteriores</t>
  </si>
  <si>
    <t xml:space="preserve">07.01.01</t>
  </si>
  <si>
    <t xml:space="preserve">Trazo, niveles y replanteo de instalaciones</t>
  </si>
  <si>
    <t xml:space="preserve">07.01.02</t>
  </si>
  <si>
    <t xml:space="preserve">Excavación manual de zanjas y hoyos para tuberías y puesta a tierra</t>
  </si>
  <si>
    <t xml:space="preserve">07.01.03</t>
  </si>
  <si>
    <t xml:space="preserve">Cama de apoyo y relleno compactado con material seleccionado</t>
  </si>
  <si>
    <t xml:space="preserve">07.01.04</t>
  </si>
  <si>
    <t xml:space="preserve">07.01.05</t>
  </si>
  <si>
    <t xml:space="preserve">Suministro e instalación de cinta señalizadora</t>
  </si>
  <si>
    <t xml:space="preserve">07.02</t>
  </si>
  <si>
    <t xml:space="preserve">Conductos y tuberías</t>
  </si>
  <si>
    <t xml:space="preserve">07.02.01</t>
  </si>
  <si>
    <t xml:space="preserve">Tubos PVC SAP y EMT en diámetros variables (20mm a 50mm)</t>
  </si>
  <si>
    <t xml:space="preserve">07.02.02</t>
  </si>
  <si>
    <t xml:space="preserve">Cajas de pase en diferentes tamaños para muro, techo y drywall</t>
  </si>
  <si>
    <t xml:space="preserve">07.03</t>
  </si>
  <si>
    <t xml:space="preserve">Salida de terminales de telecomunicaciones y circuitos auxiliares</t>
  </si>
  <si>
    <t xml:space="preserve">07.03.01</t>
  </si>
  <si>
    <t xml:space="preserve">Salidas para red de datos en piso, muro, drywall, techo y bandeja</t>
  </si>
  <si>
    <t xml:space="preserve">07.03.02</t>
  </si>
  <si>
    <t xml:space="preserve">Salidas para circuitos de sonido ambiental, perifoneo y multimedia (puntos Speakon, XLR, HDMI, control de volumen, micrófonos, parlantes)</t>
  </si>
  <si>
    <t xml:space="preserve">07.03.03</t>
  </si>
  <si>
    <t xml:space="preserve">Salidas para circuito de detección y alarma de incendios (detectores direccionables, módulos, sirenas, estaciones manuales, paneles de control)</t>
  </si>
  <si>
    <t xml:space="preserve">07.03.04</t>
  </si>
  <si>
    <t xml:space="preserve">Salidas para circuito de control de acceso y asistencia (control de asistencia facial, control de acceso para puertas, pulsadores, gabinetes)</t>
  </si>
  <si>
    <t xml:space="preserve">07.04</t>
  </si>
  <si>
    <t xml:space="preserve">Transporte de señales de cargas débiles</t>
  </si>
  <si>
    <t xml:space="preserve">07.04.01</t>
  </si>
  <si>
    <t xml:space="preserve">Bandejas portacable tipo rejilla colgadas de techo en diferentes medidas</t>
  </si>
  <si>
    <t xml:space="preserve">07.04.02</t>
  </si>
  <si>
    <t xml:space="preserve">Placas cilíndricas cortafuegos</t>
  </si>
  <si>
    <t xml:space="preserve">07.04.03</t>
  </si>
  <si>
    <t xml:space="preserve">Soportes para salidas de tubo conduit en varios diámetros</t>
  </si>
  <si>
    <t xml:space="preserve">07.05</t>
  </si>
  <si>
    <t xml:space="preserve">Circuito de cableado estructurado</t>
  </si>
  <si>
    <t xml:space="preserve">07.05.01</t>
  </si>
  <si>
    <t xml:space="preserve">Puntos de cableado estructurado simples y dobles en diferentes ubicaciones</t>
  </si>
  <si>
    <t xml:space="preserve">07.05.02</t>
  </si>
  <si>
    <t xml:space="preserve">Conductores de cableado estructurado: cableado F/UTP CAT6A, cable multimodo FO OM4/06 hilos</t>
  </si>
  <si>
    <t xml:space="preserve">07.05.03</t>
  </si>
  <si>
    <t xml:space="preserve">Pruebas y protocolos de certificación y fusión</t>
  </si>
  <si>
    <t xml:space="preserve">07.06</t>
  </si>
  <si>
    <t xml:space="preserve">Circuito de telefonía IP</t>
  </si>
  <si>
    <t xml:space="preserve">07.06.01</t>
  </si>
  <si>
    <t xml:space="preserve">Equipamiento tecnológico: teléfonos genéricos, ejecutivos, operadora, central telefónica IP</t>
  </si>
  <si>
    <t xml:space="preserve">07.07</t>
  </si>
  <si>
    <t xml:space="preserve">Circuito de red inalámbrica</t>
  </si>
  <si>
    <t xml:space="preserve">07.07.01</t>
  </si>
  <si>
    <t xml:space="preserve">Equipamiento tecnológico: puntos de acceso inalámbricos (Access Point)</t>
  </si>
  <si>
    <t xml:space="preserve">07.08</t>
  </si>
  <si>
    <t xml:space="preserve">Circuito de conectividad y seguridad informática</t>
  </si>
  <si>
    <t xml:space="preserve">07.08.01</t>
  </si>
  <si>
    <t xml:space="preserve">Gabinetes de centro de datos y proveedor de servicios con accesorios pasivos</t>
  </si>
  <si>
    <t xml:space="preserve">07.08.02</t>
  </si>
  <si>
    <t xml:space="preserve">Gabinetes de distribución con accesorios pasivos</t>
  </si>
  <si>
    <t xml:space="preserve">07.08.03</t>
  </si>
  <si>
    <t xml:space="preserve">Equipamiento networking: firewalls, switches administrables core, distribución y acceso (PoE+)</t>
  </si>
  <si>
    <t xml:space="preserve">07.08.04</t>
  </si>
  <si>
    <t xml:space="preserve">Equipamiento servidores: servidores de aplicaciones y almacenamiento, consolas KVM</t>
  </si>
  <si>
    <t xml:space="preserve">07.09</t>
  </si>
  <si>
    <t xml:space="preserve">Circuito de sonido ambiental, perifoneo y multimedia</t>
  </si>
  <si>
    <t xml:space="preserve">07.09.01</t>
  </si>
  <si>
    <t xml:space="preserve">Conductores: cables RCA, balanceados, cableado CAT6A</t>
  </si>
  <si>
    <t xml:space="preserve">07.09.02</t>
  </si>
  <si>
    <t xml:space="preserve">Puntos multimedia: XLR, Speakon, HDMI preconectorizado, control de volumen digital, micrófonos, parlantes, proyectores, racks móviles, reproductores</t>
  </si>
  <si>
    <t xml:space="preserve">07.10</t>
  </si>
  <si>
    <t xml:space="preserve">Circuito de detección y alarma de incendio</t>
  </si>
  <si>
    <t xml:space="preserve">07.10.01</t>
  </si>
  <si>
    <t xml:space="preserve">Conductores: cables FPLP de varios calibres</t>
  </si>
  <si>
    <t xml:space="preserve">07.10.02</t>
  </si>
  <si>
    <t xml:space="preserve">Equipamiento tecnológico: detectores de humo, temperatura, multipropósito, módulos, estaciones manuales, sirenas, paneles de control, anunciadores remotos</t>
  </si>
  <si>
    <t xml:space="preserve">07.11</t>
  </si>
  <si>
    <t xml:space="preserve">Circuito de cartelería IP</t>
  </si>
  <si>
    <t xml:space="preserve">07.11.01</t>
  </si>
  <si>
    <t xml:space="preserve">Equipamiento tecnológico: reproductores de cartelería IP</t>
  </si>
  <si>
    <t xml:space="preserve">07.12</t>
  </si>
  <si>
    <t xml:space="preserve">Circuito de video vigilancia IP</t>
  </si>
  <si>
    <t xml:space="preserve">07.12.01</t>
  </si>
  <si>
    <t xml:space="preserve">Equipamiento tecnológico: cámaras IP tipo domo, tubo interior y exterior, doble lente, multisensor</t>
  </si>
  <si>
    <t xml:space="preserve">07.12.02</t>
  </si>
  <si>
    <t xml:space="preserve">Monitores, estaciones de trabajo, decoders, grabadores de video en red, cables HDMI</t>
  </si>
  <si>
    <t xml:space="preserve">07.13</t>
  </si>
  <si>
    <t xml:space="preserve">Circuito de control de acceso y asistencia</t>
  </si>
  <si>
    <t xml:space="preserve">07.13.01</t>
  </si>
  <si>
    <t xml:space="preserve">Conductores: de control y alimentación</t>
  </si>
  <si>
    <t xml:space="preserve">07.13.02</t>
  </si>
  <si>
    <t xml:space="preserve">Equipamiento tecnológico: control de asistencia por reconocimiento facial, control de acceso para puertas</t>
  </si>
  <si>
    <t xml:space="preserve">07.14</t>
  </si>
  <si>
    <t xml:space="preserve">Circuito de aterramiento de comunicaciones</t>
  </si>
  <si>
    <t xml:space="preserve">07.14.01</t>
  </si>
  <si>
    <t xml:space="preserve">Conductores LSOH</t>
  </si>
  <si>
    <t xml:space="preserve">07.14.02</t>
  </si>
  <si>
    <t xml:space="preserve">Equipamiento tecnológico: pozos de puesta a tierra, gabinetes con barras de aterramiento</t>
  </si>
  <si>
    <t xml:space="preserve">07.14.03</t>
  </si>
  <si>
    <t xml:space="preserve">Certificación y protocolos de puesta a tierra</t>
  </si>
  <si>
    <t xml:space="preserve">08</t>
  </si>
  <si>
    <t xml:space="preserve">Capacitación</t>
  </si>
  <si>
    <t xml:space="preserve">08.01</t>
  </si>
  <si>
    <t xml:space="preserve">Módulos</t>
  </si>
  <si>
    <t xml:space="preserve">08.01.01</t>
  </si>
  <si>
    <t xml:space="preserve">Módulo 1: Gestión Administrativa</t>
  </si>
  <si>
    <t xml:space="preserve">08.01.02</t>
  </si>
  <si>
    <t xml:space="preserve">Módulo 2: Gestión de los Recursos Humanos</t>
  </si>
  <si>
    <t xml:space="preserve">08.01.03</t>
  </si>
  <si>
    <t xml:space="preserve">Módulo 3: Gestión Pedagógica</t>
  </si>
  <si>
    <t xml:space="preserve">CRONOGRAMA MS PROJECT (línea base del Lookahead)</t>
  </si>
  <si>
    <t xml:space="preserve">Fuente: 03._GANTT_FECHADO_VERIFICARO_INSPECTOR_SuspencionActualizacion.mpp · 5675 filas</t>
  </si>
  <si>
    <t xml:space="preserve">Ventana Lookahead:</t>
  </si>
  <si>
    <t xml:space="preserve">Tareas en ventana sin incorporar:</t>
  </si>
  <si>
    <t xml:space="preserve">Clave</t>
  </si>
  <si>
    <t xml:space="preserve">ID MSP</t>
  </si>
  <si>
    <t xml:space="preserve">EDT (WBS)</t>
  </si>
  <si>
    <t xml:space="preserve">Tarea</t>
  </si>
  <si>
    <t xml:space="preserve">Subfase / Bloque</t>
  </si>
  <si>
    <t xml:space="preserve">Ubicación</t>
  </si>
  <si>
    <t xml:space="preserve">Duración (d)</t>
  </si>
  <si>
    <t xml:space="preserve">Inicio</t>
  </si>
  <si>
    <t xml:space="preserve">Fin</t>
  </si>
  <si>
    <t xml:space="preserve">Predecesoras</t>
  </si>
  <si>
    <t xml:space="preserve">Crítica</t>
  </si>
  <si>
    <t xml:space="preserve">¿En ventana?</t>
  </si>
  <si>
    <t xml:space="preserve">Lookahead</t>
  </si>
  <si>
    <t xml:space="preserve">MSP-0</t>
  </si>
  <si>
    <t xml:space="preserve">0</t>
  </si>
  <si>
    <t xml:space="preserve">DRET V5</t>
  </si>
  <si>
    <t xml:space="preserve">Resumen</t>
  </si>
  <si>
    <t xml:space="preserve">Sí</t>
  </si>
  <si>
    <t xml:space="preserve">MSP-1</t>
  </si>
  <si>
    <t xml:space="preserve">1</t>
  </si>
  <si>
    <t xml:space="preserve">ACTUALIZACION "MEJORAMIENTO DE LA PRESTACION DEL SERVICIO DE GESTION EDUCATIVA EN LA DIRECCION REGIONAL SECTORIAL DE EDUCACION</t>
  </si>
  <si>
    <t xml:space="preserve">MSP-2</t>
  </si>
  <si>
    <t xml:space="preserve">1.1</t>
  </si>
  <si>
    <t xml:space="preserve">Inicio de Obra</t>
  </si>
  <si>
    <t xml:space="preserve">Hito</t>
  </si>
  <si>
    <t xml:space="preserve">MSP-3</t>
  </si>
  <si>
    <t xml:space="preserve">1.2</t>
  </si>
  <si>
    <t xml:space="preserve">COMP. I: OBRAS PROVISIONALES, TRABAJOS PRELIMINARES, SEGURIDAD Y SALUD, MITIGACION IMPACTO AMBIENTAL, PMAR</t>
  </si>
  <si>
    <t xml:space="preserve">MSP-4</t>
  </si>
  <si>
    <t xml:space="preserve">1.2.1</t>
  </si>
  <si>
    <t xml:space="preserve">OBRAS PROVISIONALES, TRABAJOS PRELIMINARES, SEGURIDAD Y SALUD, MITIGACION IMPACTO AMBIENTAL, PMAR</t>
  </si>
  <si>
    <t xml:space="preserve">MSP-5</t>
  </si>
  <si>
    <t xml:space="preserve">1.2.1.1</t>
  </si>
  <si>
    <t xml:space="preserve">OBRAS PROVISIONALES</t>
  </si>
  <si>
    <t xml:space="preserve">MSP-6</t>
  </si>
  <si>
    <t xml:space="preserve">1.2.1.1.1</t>
  </si>
  <si>
    <t xml:space="preserve">CARTEL DE IDENTIFICACION DE LA OBRA DE 3.60x2.40 M.</t>
  </si>
  <si>
    <t xml:space="preserve">2FS</t>
  </si>
  <si>
    <t xml:space="preserve">MSP-7</t>
  </si>
  <si>
    <t xml:space="preserve">1.2.1.1.2</t>
  </si>
  <si>
    <t xml:space="preserve">PERFILADO Y COMPACTACION DE SUBRASANTE (AMBIENTES PROVISIONALES)</t>
  </si>
  <si>
    <t xml:space="preserve">2FS+15.0d</t>
  </si>
  <si>
    <t xml:space="preserve">MSP-8</t>
  </si>
  <si>
    <t xml:space="preserve">1.2.1.1.3</t>
  </si>
  <si>
    <t xml:space="preserve">ALMACEN, CASETA DE GUARDIANIA Y OFICINAS</t>
  </si>
  <si>
    <t xml:space="preserve">7FS</t>
  </si>
  <si>
    <t xml:space="preserve">MSP-9</t>
  </si>
  <si>
    <t xml:space="preserve">1.2.1.1.4</t>
  </si>
  <si>
    <t xml:space="preserve">COMEDOR Y VESTUARIO PARA PERSONAL OBRERO</t>
  </si>
  <si>
    <t xml:space="preserve">8FS</t>
  </si>
  <si>
    <t xml:space="preserve">MSP-10</t>
  </si>
  <si>
    <t xml:space="preserve">1.2.1.1.5</t>
  </si>
  <si>
    <t xml:space="preserve">SERVICIOS HIGIÉNICOS (ALQUILER O PROVISIÓN)</t>
  </si>
  <si>
    <t xml:space="preserve">15FS</t>
  </si>
  <si>
    <t xml:space="preserve">MSP-11</t>
  </si>
  <si>
    <t xml:space="preserve">1.2.1.1.6</t>
  </si>
  <si>
    <t xml:space="preserve">TÓPICO P/ EL PROFESIONAL DE SALUD</t>
  </si>
  <si>
    <t xml:space="preserve">9FS</t>
  </si>
  <si>
    <t xml:space="preserve">MSP-12</t>
  </si>
  <si>
    <t xml:space="preserve">1.2.1.1.7</t>
  </si>
  <si>
    <t xml:space="preserve">CERCO PROVISIONAL DE OBRA (C/TRIPLAY Y LISTONES DE MADERA)</t>
  </si>
  <si>
    <t xml:space="preserve">MSP-13</t>
  </si>
  <si>
    <t xml:space="preserve">1.2.1.1.8</t>
  </si>
  <si>
    <t xml:space="preserve">LIMPIEZA PERMANENTE EN OBRA Y MANTENIMIENTO DE AMBIENTES PROVISIONALES</t>
  </si>
  <si>
    <t xml:space="preserve">8FS;9FS;11FS</t>
  </si>
  <si>
    <t xml:space="preserve">MSP-14</t>
  </si>
  <si>
    <t xml:space="preserve">1.2.1.2</t>
  </si>
  <si>
    <t xml:space="preserve">INSTALACIONES PROVISIONALES</t>
  </si>
  <si>
    <t xml:space="preserve">MSP-15</t>
  </si>
  <si>
    <t xml:space="preserve">1.2.1.2.1</t>
  </si>
  <si>
    <t xml:space="preserve">INSTALACIONES PROVISIONALES SANITARIAS</t>
  </si>
  <si>
    <t xml:space="preserve">12SS+10.0d</t>
  </si>
  <si>
    <t xml:space="preserve">MSP-16</t>
  </si>
  <si>
    <t xml:space="preserve">1.2.1.2.2</t>
  </si>
  <si>
    <t xml:space="preserve">INSTALACION PROVISIONAL DE ENERGIA ELECTRICA</t>
  </si>
  <si>
    <t xml:space="preserve">8SS+15.0d</t>
  </si>
  <si>
    <t xml:space="preserve">MSP-17</t>
  </si>
  <si>
    <t xml:space="preserve">1.2.1.2.3</t>
  </si>
  <si>
    <t xml:space="preserve">CONSUMO DE ENERGIA ELECTRICA</t>
  </si>
  <si>
    <t xml:space="preserve">16SS+1.0d</t>
  </si>
  <si>
    <t xml:space="preserve">MSP-18</t>
  </si>
  <si>
    <t xml:space="preserve">1.2.1.2.4</t>
  </si>
  <si>
    <t xml:space="preserve">SERVICIOS DE AGUA Y DESAGÜE EN OBRA</t>
  </si>
  <si>
    <t xml:space="preserve">15SS+1.0d</t>
  </si>
  <si>
    <t xml:space="preserve">MSP-19</t>
  </si>
  <si>
    <t xml:space="preserve">1.2.1.3</t>
  </si>
  <si>
    <t xml:space="preserve">TRABAJOS PRELIMINARES</t>
  </si>
  <si>
    <t xml:space="preserve">MSP-20</t>
  </si>
  <si>
    <t xml:space="preserve">1.2.1.3.1</t>
  </si>
  <si>
    <t xml:space="preserve">MOVILIZACIÓN Y DESMOVILIZACIÓN DE EQUIPOS Y MAQUINARIA</t>
  </si>
  <si>
    <t xml:space="preserve">7SS</t>
  </si>
  <si>
    <t xml:space="preserve">MSP-21</t>
  </si>
  <si>
    <t xml:space="preserve">1.2.1.3.2</t>
  </si>
  <si>
    <t xml:space="preserve">FLETE DE MATERIALES</t>
  </si>
  <si>
    <t xml:space="preserve">15FS;16FS</t>
  </si>
  <si>
    <t xml:space="preserve">MSP-22</t>
  </si>
  <si>
    <t xml:space="preserve">1.2.1.3.3</t>
  </si>
  <si>
    <t xml:space="preserve">LIMPIEZA DE TERRENO PREVIO A OBRA</t>
  </si>
  <si>
    <t xml:space="preserve">25FS</t>
  </si>
  <si>
    <t xml:space="preserve">MSP-23</t>
  </si>
  <si>
    <t xml:space="preserve">1.2.1.3.4</t>
  </si>
  <si>
    <t xml:space="preserve">TRAZO, NIVELES Y REPLANTEO PRELIMINAR</t>
  </si>
  <si>
    <t xml:space="preserve">22FS</t>
  </si>
  <si>
    <t xml:space="preserve">MSP-24</t>
  </si>
  <si>
    <t xml:space="preserve">1.2.1.3.5</t>
  </si>
  <si>
    <t xml:space="preserve">TRAZO DURANTE LA EJECUCION DE LA OBRA</t>
  </si>
  <si>
    <t xml:space="preserve">23FS</t>
  </si>
  <si>
    <t xml:space="preserve">MSP-25</t>
  </si>
  <si>
    <t xml:space="preserve">1.2.1.3.6</t>
  </si>
  <si>
    <t xml:space="preserve">DEMOLICION DE VEREDA DE CONCRETO HASTA H=0.15m</t>
  </si>
  <si>
    <t xml:space="preserve">12FS;15FS;16FS</t>
  </si>
  <si>
    <t xml:space="preserve">MSP-26</t>
  </si>
  <si>
    <t xml:space="preserve">1.2.1.4</t>
  </si>
  <si>
    <t xml:space="preserve">SEGURIDAD, SALUD Y MEDIO AMBIENTE</t>
  </si>
  <si>
    <t xml:space="preserve">MSP-27</t>
  </si>
  <si>
    <t xml:space="preserve">1.2.1.4.1</t>
  </si>
  <si>
    <t xml:space="preserve">SEGURIDAD EN EL TRABAJO</t>
  </si>
  <si>
    <t xml:space="preserve">MSP-28</t>
  </si>
  <si>
    <t xml:space="preserve">1.2.1.4.1.1</t>
  </si>
  <si>
    <t xml:space="preserve">PLAN DE SEGURIDAD Y SALUD EN EL TRABAJO</t>
  </si>
  <si>
    <t xml:space="preserve">6SS</t>
  </si>
  <si>
    <t xml:space="preserve">MSP-29</t>
  </si>
  <si>
    <t xml:space="preserve">1.2.1.4.1.2</t>
  </si>
  <si>
    <t xml:space="preserve">CAPACITACIONES EN SEGURIDAD (DIARIAS Y PERIODICAS)</t>
  </si>
  <si>
    <t xml:space="preserve">28FS+5.0d</t>
  </si>
  <si>
    <t xml:space="preserve">MSP-30</t>
  </si>
  <si>
    <t xml:space="preserve">1.2.1.4.1.3</t>
  </si>
  <si>
    <t xml:space="preserve">EQUIPO DE PROTECCION PERSONAL</t>
  </si>
  <si>
    <t xml:space="preserve">29SS</t>
  </si>
  <si>
    <t xml:space="preserve">MSP-31</t>
  </si>
  <si>
    <t xml:space="preserve">1.2.1.4.1.4</t>
  </si>
  <si>
    <t xml:space="preserve">EQUIPO DE PROTECCION COLECTIVA</t>
  </si>
  <si>
    <t xml:space="preserve">MSP-32</t>
  </si>
  <si>
    <t xml:space="preserve">1.2.1.4.1.5</t>
  </si>
  <si>
    <t xml:space="preserve">SEÑALIZACION TEMPORAL DE SEGURIDAD</t>
  </si>
  <si>
    <t xml:space="preserve">31SS</t>
  </si>
  <si>
    <t xml:space="preserve">MSP-33</t>
  </si>
  <si>
    <t xml:space="preserve">1.2.1.4.1.6</t>
  </si>
  <si>
    <t xml:space="preserve">RECURSOS PARA RESPUESTAS ANTE EMERGENCIAS</t>
  </si>
  <si>
    <t xml:space="preserve">32SS</t>
  </si>
  <si>
    <t xml:space="preserve">MSP-34</t>
  </si>
  <si>
    <t xml:space="preserve">1.2.1.4.2</t>
  </si>
  <si>
    <t xml:space="preserve">SALUD OCUPACIONAL</t>
  </si>
  <si>
    <t xml:space="preserve">MSP-35</t>
  </si>
  <si>
    <t xml:space="preserve">1.2.1.4.2.1</t>
  </si>
  <si>
    <t xml:space="preserve">EXAMENES MEDICOS OCUPACIONALES</t>
  </si>
  <si>
    <t xml:space="preserve">28FS</t>
  </si>
  <si>
    <t xml:space="preserve">MSP-36</t>
  </si>
  <si>
    <t xml:space="preserve">1.2.1.4.2.2</t>
  </si>
  <si>
    <t xml:space="preserve">AGUA DE MESA PARA CONSUMO HUMANO</t>
  </si>
  <si>
    <t xml:space="preserve">MSP-37</t>
  </si>
  <si>
    <t xml:space="preserve">1.2.1.4.3</t>
  </si>
  <si>
    <t xml:space="preserve">PLAN DE MANEJO AMBIENTAL</t>
  </si>
  <si>
    <t xml:space="preserve">MSP-38</t>
  </si>
  <si>
    <t xml:space="preserve">1.2.1.4.3.1</t>
  </si>
  <si>
    <t xml:space="preserve">PROGRAMA DE SEÑALIZACIÓN AMBIENTAL</t>
  </si>
  <si>
    <t xml:space="preserve">MSP-39</t>
  </si>
  <si>
    <t xml:space="preserve">1.2.1.4.3.1.1</t>
  </si>
  <si>
    <t xml:space="preserve">SEÑALIZACION EN PLANCHA GALVANIZADA DE MEDIDA 30 CM DE DIÁMETRO (SEÑALIZACION AMBIENTAL)</t>
  </si>
  <si>
    <t xml:space="preserve">MSP-40</t>
  </si>
  <si>
    <t xml:space="preserve">1.2.1.4.3.1.2</t>
  </si>
  <si>
    <t xml:space="preserve">SEÑALIZACION EN PLANCHA GALVANIZADA DE 60X30CM (MENSAJES DE INFORMACION ADICIONAL)</t>
  </si>
  <si>
    <t xml:space="preserve">39SS</t>
  </si>
  <si>
    <t xml:space="preserve">MSP-41</t>
  </si>
  <si>
    <t xml:space="preserve">1.2.1.4.3.1.3</t>
  </si>
  <si>
    <t xml:space="preserve">PARANTES DE TUBO DE F°G° DE 2”X3M E=2.5MM CON BASE ANTICORROSIVA</t>
  </si>
  <si>
    <t xml:space="preserve">MSP-42</t>
  </si>
  <si>
    <t xml:space="preserve">1.2.1.4.3.2</t>
  </si>
  <si>
    <t xml:space="preserve">PROGRAMA DE PREVENCIÓN, CONTROL Y/O MITIGACIÓN</t>
  </si>
  <si>
    <t xml:space="preserve">MSP-43</t>
  </si>
  <si>
    <t xml:space="preserve">1.2.1.4.3.2.1</t>
  </si>
  <si>
    <t xml:space="preserve">ADQUISICIÓN DE DISPOSITIVO DE CONTROL DE EMISIONES DE MATERIAL PARTICULADO (COBERTOR DE LONA)</t>
  </si>
  <si>
    <t xml:space="preserve">12FS</t>
  </si>
  <si>
    <t xml:space="preserve">MSP-44</t>
  </si>
  <si>
    <t xml:space="preserve">1.2.1.4.3.2.2</t>
  </si>
  <si>
    <t xml:space="preserve">ADQUISICIÓN DE BANDEJAS ANTIDERRAME MEDIDA 60X50X10CM ALTURA CON ASAS Y GEOMEMBRANA</t>
  </si>
  <si>
    <t xml:space="preserve">43SS</t>
  </si>
  <si>
    <t xml:space="preserve">MSP-45</t>
  </si>
  <si>
    <t xml:space="preserve">1.2.1.4.3.2.3</t>
  </si>
  <si>
    <t xml:space="preserve">HUMIDIFICACIÓN PARA EVITAR LA DISPERSIÓN DE PARTÍCULAS</t>
  </si>
  <si>
    <t xml:space="preserve">13SS;25FS</t>
  </si>
  <si>
    <t xml:space="preserve">MSP-46</t>
  </si>
  <si>
    <t xml:space="preserve">1.2.1.4.3.2.4</t>
  </si>
  <si>
    <t xml:space="preserve">TANQUE DE 5000 LTS PARA ALMACENAMIENTO DE AGUA PARA HUMEDECIMIENTO</t>
  </si>
  <si>
    <t xml:space="preserve">45SS</t>
  </si>
  <si>
    <t xml:space="preserve">MSP-47</t>
  </si>
  <si>
    <t xml:space="preserve">1.2.1.4.3.3</t>
  </si>
  <si>
    <t xml:space="preserve">PROGRAMA DE MANEJO DE RESIDUOS SÓLIDOS</t>
  </si>
  <si>
    <t xml:space="preserve">MSP-48</t>
  </si>
  <si>
    <t xml:space="preserve">1.2.1.4.3.3.1</t>
  </si>
  <si>
    <t xml:space="preserve">IMPLEMENTACIÓN DE CILINDROS METALICOS P/RESIDUOS SOLIDOS DE 120LT</t>
  </si>
  <si>
    <t xml:space="preserve">50SS</t>
  </si>
  <si>
    <t xml:space="preserve">MSP-49</t>
  </si>
  <si>
    <t xml:space="preserve">1.2.1.4.3.3.2</t>
  </si>
  <si>
    <t xml:space="preserve">IMPLEMENTACIÓN DE CILINDROS METALICOS P/RESIDUOS SOLIDOS DE 660LT</t>
  </si>
  <si>
    <t xml:space="preserve">48SS</t>
  </si>
  <si>
    <t xml:space="preserve">MSP-50</t>
  </si>
  <si>
    <t xml:space="preserve">1.2.1.4.3.3.3</t>
  </si>
  <si>
    <t xml:space="preserve">ALMACÉN PREFABRICADO 8M X 3M PARA RESIDUOS SÓLIDOS</t>
  </si>
  <si>
    <t xml:space="preserve">8SS</t>
  </si>
  <si>
    <t xml:space="preserve">MSP-51</t>
  </si>
  <si>
    <t xml:space="preserve">1.2.1.4.3.3.4</t>
  </si>
  <si>
    <t xml:space="preserve">DISPOSICIÓN DE RESIDUOS PELIGROSOS</t>
  </si>
  <si>
    <t xml:space="preserve">MSP-52</t>
  </si>
  <si>
    <t xml:space="preserve">1.2.1.4.3.3.5</t>
  </si>
  <si>
    <t xml:space="preserve">TRATAMIENTO Y DISPOSICIÓN FINAL DE RESIDUOS SÓLIDOS PELIGROS</t>
  </si>
  <si>
    <t xml:space="preserve">51SS</t>
  </si>
  <si>
    <t xml:space="preserve">MSP-53</t>
  </si>
  <si>
    <t xml:space="preserve">1.2.1.4.3.4</t>
  </si>
  <si>
    <t xml:space="preserve">PROGRAMA DE CAPACITACIÓN Y SENSIBILIZACIÓN AMBIENTAL</t>
  </si>
  <si>
    <t xml:space="preserve">MSP-54</t>
  </si>
  <si>
    <t xml:space="preserve">1.2.1.4.3.4.1</t>
  </si>
  <si>
    <t xml:space="preserve">MATERIAL DE CAPACITACIÓN (MATERIALES INFORMATIVOS)</t>
  </si>
  <si>
    <t xml:space="preserve">MSP-55</t>
  </si>
  <si>
    <t xml:space="preserve">1.2.1.4.3.5</t>
  </si>
  <si>
    <t xml:space="preserve">PROGRAMA DE MONITOREO, SEGUIMIENTO Y CONTROL AMBIENTAL</t>
  </si>
  <si>
    <t xml:space="preserve">MSP-56</t>
  </si>
  <si>
    <t xml:space="preserve">1.2.1.4.3.5.1</t>
  </si>
  <si>
    <t xml:space="preserve">MONITOREO DE CALIDAD DE AIRE Y EMISIONES ATMOSFÉRICAS</t>
  </si>
  <si>
    <t xml:space="preserve">MSP-57</t>
  </si>
  <si>
    <t xml:space="preserve">1.2.1.4.3.5.2</t>
  </si>
  <si>
    <t xml:space="preserve">MONITOREO DE RUIDO AMBIENTAL</t>
  </si>
  <si>
    <t xml:space="preserve">MSP-58</t>
  </si>
  <si>
    <t xml:space="preserve">1.2.1.4.3.6</t>
  </si>
  <si>
    <t xml:space="preserve">PROGRAMA DE CONTINGENCIA Y ATENCIÓN DE EMERGENCIAS</t>
  </si>
  <si>
    <t xml:space="preserve">MSP-59</t>
  </si>
  <si>
    <t xml:space="preserve">1.2.1.4.3.6.1</t>
  </si>
  <si>
    <t xml:space="preserve">ADQUISICIÓN DE EQUIPOS DE CONTINGENCIA EN CASO DE DERRAME DE SUSTANCIAS PELIGROSAS O COMBUSTIBLES</t>
  </si>
  <si>
    <t xml:space="preserve">MSP-60</t>
  </si>
  <si>
    <t xml:space="preserve">1.2.1.4.3.7</t>
  </si>
  <si>
    <t xml:space="preserve">PROGRAMA DE CIERRE Y ABANDONO DE OBRA</t>
  </si>
  <si>
    <t xml:space="preserve">MSP-61</t>
  </si>
  <si>
    <t xml:space="preserve">1.2.1.4.3.7.1</t>
  </si>
  <si>
    <t xml:space="preserve">RETIRO DE EQUIPOS, MATERIALES E INSTALACIONES TEMPORALES Y RESTAURACIÓN</t>
  </si>
  <si>
    <t xml:space="preserve">5668FS</t>
  </si>
  <si>
    <t xml:space="preserve">MSP-62</t>
  </si>
  <si>
    <t xml:space="preserve">1.2.1.5</t>
  </si>
  <si>
    <t xml:space="preserve">PLAN DE MONITOREO ARQUEOLOGICO</t>
  </si>
  <si>
    <t xml:space="preserve">MSP-63</t>
  </si>
  <si>
    <t xml:space="preserve">1.2.1.5.1</t>
  </si>
  <si>
    <t xml:space="preserve">ELABORACIÓN E IMPLEMENTACIÓN DEL PLAN DE MONITOREO ARQUEOLOGICO</t>
  </si>
  <si>
    <t xml:space="preserve">MSP-64</t>
  </si>
  <si>
    <t xml:space="preserve">1.3</t>
  </si>
  <si>
    <t xml:space="preserve">COMP. I: ESTRUCTURAS</t>
  </si>
  <si>
    <t xml:space="preserve">MSP-65</t>
  </si>
  <si>
    <t xml:space="preserve">1.3.1</t>
  </si>
  <si>
    <t xml:space="preserve">ESTRUCTURAS</t>
  </si>
  <si>
    <t xml:space="preserve">MSP-66</t>
  </si>
  <si>
    <t xml:space="preserve">1.3.1.1</t>
  </si>
  <si>
    <t xml:space="preserve">BLOQUE "1"</t>
  </si>
  <si>
    <t xml:space="preserve">MSP-67</t>
  </si>
  <si>
    <t xml:space="preserve">1.3.1.1.1</t>
  </si>
  <si>
    <t xml:space="preserve">MOVIMIENTO DE TIERRAS</t>
  </si>
  <si>
    <t xml:space="preserve">MSP-68</t>
  </si>
  <si>
    <t xml:space="preserve">1.3.1.1.1.1</t>
  </si>
  <si>
    <t xml:space="preserve">CORTE DE TERRENO A NIVEL DE PISO TERMINADO</t>
  </si>
  <si>
    <t xml:space="preserve">63FS</t>
  </si>
  <si>
    <t xml:space="preserve">MSP-69</t>
  </si>
  <si>
    <t xml:space="preserve">1.3.1.1.1.2</t>
  </si>
  <si>
    <t xml:space="preserve">EXCAVACION CON MAQUINARIA PARA ZAPATAS Y VIGAS DE CIMENTACION</t>
  </si>
  <si>
    <t xml:space="preserve">68FS</t>
  </si>
  <si>
    <t xml:space="preserve">MSP-70</t>
  </si>
  <si>
    <t xml:space="preserve">1.3.1.1.1.3</t>
  </si>
  <si>
    <t xml:space="preserve">EXCAVACION MANUAL PARA CIMIENTOS</t>
  </si>
  <si>
    <t xml:space="preserve">69FS</t>
  </si>
  <si>
    <t xml:space="preserve">MSP-71</t>
  </si>
  <si>
    <t xml:space="preserve">1.3.1.1.1.4</t>
  </si>
  <si>
    <t xml:space="preserve">PERFILADO EN ZONAS DE EXCAVACION</t>
  </si>
  <si>
    <t xml:space="preserve">70FS</t>
  </si>
  <si>
    <t xml:space="preserve">MSP-72</t>
  </si>
  <si>
    <t xml:space="preserve">1.3.1.1.1.5</t>
  </si>
  <si>
    <t xml:space="preserve">RELLENO Y COMPACTACIÓN CON MATERIAL DE PRESTAMO SELECCIONADO C/EQUIPO LIVIANO</t>
  </si>
  <si>
    <t xml:space="preserve">86FS+7.0d</t>
  </si>
  <si>
    <t xml:space="preserve">MSP-73</t>
  </si>
  <si>
    <t xml:space="preserve">1.3.1.1.1.6</t>
  </si>
  <si>
    <t xml:space="preserve">ACARREO DE MATERIAL EXCEDENTE HASTA 30 MTS</t>
  </si>
  <si>
    <t xml:space="preserve">MSP-74</t>
  </si>
  <si>
    <t xml:space="preserve">1.3.1.1.1.7</t>
  </si>
  <si>
    <t xml:space="preserve">ELIMINACION DE MATERIAL EXCEDENTE DM=15 km</t>
  </si>
  <si>
    <t xml:space="preserve">73SS+10.0d</t>
  </si>
  <si>
    <t xml:space="preserve">MSP-75</t>
  </si>
  <si>
    <t xml:space="preserve">1.3.1.1.1.8</t>
  </si>
  <si>
    <t xml:space="preserve">CONFORMACION DE BASE GRANULAR P/PISO E=0.10 M</t>
  </si>
  <si>
    <t xml:space="preserve">MSP-76</t>
  </si>
  <si>
    <t xml:space="preserve">1.3.1.1.1.9</t>
  </si>
  <si>
    <t xml:space="preserve">NIVELACION INTERIOR APISONADO CON EQUIPO LIVIANO</t>
  </si>
  <si>
    <t xml:space="preserve">72FS</t>
  </si>
  <si>
    <t xml:space="preserve">MSP-77</t>
  </si>
  <si>
    <t xml:space="preserve">1.3.1.1.2</t>
  </si>
  <si>
    <t xml:space="preserve">OBRAS DE CONCRETO SIMPLE</t>
  </si>
  <si>
    <t xml:space="preserve">MSP-78</t>
  </si>
  <si>
    <t xml:space="preserve">1.3.1.1.2.1</t>
  </si>
  <si>
    <t xml:space="preserve">SOLADOS</t>
  </si>
  <si>
    <t xml:space="preserve">MSP-79</t>
  </si>
  <si>
    <t xml:space="preserve">1.3.1.1.2.1.1</t>
  </si>
  <si>
    <t xml:space="preserve">SOLADO DE CONCRETO f'c=100 kg/cm2</t>
  </si>
  <si>
    <t xml:space="preserve">75FS</t>
  </si>
  <si>
    <t xml:space="preserve">MSP-80</t>
  </si>
  <si>
    <t xml:space="preserve">1.3.1.1.2.2</t>
  </si>
  <si>
    <t xml:space="preserve">CIMIENTOS CORRIDOS</t>
  </si>
  <si>
    <t xml:space="preserve">MSP-81</t>
  </si>
  <si>
    <t xml:space="preserve">1.3.1.1.2.2.1</t>
  </si>
  <si>
    <t xml:space="preserve">CIMIENTOS CORRIDOS: F'C=140 KG/CM2 + 30% P.G. CEMENTO TIPO HS</t>
  </si>
  <si>
    <t xml:space="preserve">82FS</t>
  </si>
  <si>
    <t xml:space="preserve">MSP-82</t>
  </si>
  <si>
    <t xml:space="preserve">1.3.1.1.2.2.2</t>
  </si>
  <si>
    <t xml:space="preserve">ENCOFRADO Y DESENCOFRADO EN ELEMENTOS NO ESTRUCTURALES</t>
  </si>
  <si>
    <t xml:space="preserve">97FS</t>
  </si>
  <si>
    <t xml:space="preserve">MSP-83</t>
  </si>
  <si>
    <t xml:space="preserve">1.3.1.1.2.3</t>
  </si>
  <si>
    <t xml:space="preserve">SOBRECIMIENTOS</t>
  </si>
  <si>
    <t xml:space="preserve">MSP-84</t>
  </si>
  <si>
    <t xml:space="preserve">1.3.1.1.2.3.1</t>
  </si>
  <si>
    <t xml:space="preserve">CONCRETO F'C = 175 KG/CM2 EN SOBRECIMIENTO CEMENTO TIPO HS</t>
  </si>
  <si>
    <t xml:space="preserve">85FS</t>
  </si>
  <si>
    <t xml:space="preserve">MSP-85</t>
  </si>
  <si>
    <t xml:space="preserve">1.3.1.1.2.3.2</t>
  </si>
  <si>
    <t xml:space="preserve">81FS</t>
  </si>
  <si>
    <t xml:space="preserve">MSP-86</t>
  </si>
  <si>
    <t xml:space="preserve">1.3.1.1.2.3.3</t>
  </si>
  <si>
    <t xml:space="preserve">CURADO DE ELEMENTOS HORIZONTALES</t>
  </si>
  <si>
    <t xml:space="preserve">84FS</t>
  </si>
  <si>
    <t xml:space="preserve">MSP-87</t>
  </si>
  <si>
    <t xml:space="preserve">1.3.1.1.2.4</t>
  </si>
  <si>
    <t xml:space="preserve">SUBZAPATAS</t>
  </si>
  <si>
    <t xml:space="preserve">MSP-88</t>
  </si>
  <si>
    <t xml:space="preserve">1.3.1.1.2.4.1</t>
  </si>
  <si>
    <t xml:space="preserve">CONCRETO EN SUBZAPATA f'c=175 kg/cm2 + 30%PG, CEMENTO TIPO HS</t>
  </si>
  <si>
    <t xml:space="preserve">89FS</t>
  </si>
  <si>
    <t xml:space="preserve">MSP-89</t>
  </si>
  <si>
    <t xml:space="preserve">1.3.1.1.2.4.2</t>
  </si>
  <si>
    <t xml:space="preserve">79FS</t>
  </si>
  <si>
    <t xml:space="preserve">MSP-90</t>
  </si>
  <si>
    <t xml:space="preserve">1.3.1.1.2.5</t>
  </si>
  <si>
    <t xml:space="preserve">FALSOS PISOS</t>
  </si>
  <si>
    <t xml:space="preserve">MSP-91</t>
  </si>
  <si>
    <t xml:space="preserve">1.3.1.1.2.5.1</t>
  </si>
  <si>
    <t xml:space="preserve">FALSO PISO MEZCLA 1:8 E=10 cm</t>
  </si>
  <si>
    <t xml:space="preserve">88FS</t>
  </si>
  <si>
    <t xml:space="preserve">MSP-92</t>
  </si>
  <si>
    <t xml:space="preserve">1.3.1.1.3</t>
  </si>
  <si>
    <t xml:space="preserve">OBRAS DE CONCRETO ARMADO</t>
  </si>
  <si>
    <t xml:space="preserve">MSP-93</t>
  </si>
  <si>
    <t xml:space="preserve">1.3.1.1.3.1</t>
  </si>
  <si>
    <t xml:space="preserve">ZAPATAS</t>
  </si>
  <si>
    <t xml:space="preserve">MSP-94</t>
  </si>
  <si>
    <t xml:space="preserve">1.3.1.1.3.1.1</t>
  </si>
  <si>
    <t xml:space="preserve">CONCRETO PREMEZCLADO F'C=315 KG/CM2 PARA ZAPATAS, CEMENTO TIPO HS</t>
  </si>
  <si>
    <t xml:space="preserve">95FS</t>
  </si>
  <si>
    <t xml:space="preserve">MSP-95</t>
  </si>
  <si>
    <t xml:space="preserve">1.3.1.1.3.1.2</t>
  </si>
  <si>
    <t xml:space="preserve">ENCOFRADO Y DESENCOFRADO NORMAL EN ZAPATAS</t>
  </si>
  <si>
    <t xml:space="preserve">96FS</t>
  </si>
  <si>
    <t xml:space="preserve">MSP-96</t>
  </si>
  <si>
    <t xml:space="preserve">1.3.1.1.3.1.3</t>
  </si>
  <si>
    <t xml:space="preserve">ACERO Fy=4200 kg/cm2 GRADO 60</t>
  </si>
  <si>
    <t xml:space="preserve">88SS</t>
  </si>
  <si>
    <t xml:space="preserve">MSP-97</t>
  </si>
  <si>
    <t xml:space="preserve">1.3.1.1.3.1.4</t>
  </si>
  <si>
    <t xml:space="preserve">94FS</t>
  </si>
  <si>
    <t xml:space="preserve">MSP-98</t>
  </si>
  <si>
    <t xml:space="preserve">1.3.1.1.3.2</t>
  </si>
  <si>
    <t xml:space="preserve">VIGAS DE CONEXION</t>
  </si>
  <si>
    <t xml:space="preserve">MSP-99</t>
  </si>
  <si>
    <t xml:space="preserve">1.3.1.1.3.2.1</t>
  </si>
  <si>
    <t xml:space="preserve">CONCRETO PREMEZCLADO F'C= 315 KG/CM2 PARA VIGAS DE CONEXION, CEMENTO TIPO HS</t>
  </si>
  <si>
    <t xml:space="preserve">100FS</t>
  </si>
  <si>
    <t xml:space="preserve">MSP-100</t>
  </si>
  <si>
    <t xml:space="preserve">1.3.1.1.3.2.2</t>
  </si>
  <si>
    <t xml:space="preserve">ENCOFRADO Y DESENCOFRADO NORMAL EN VIGAS DE CONEXION</t>
  </si>
  <si>
    <t xml:space="preserve">101FS</t>
  </si>
  <si>
    <t xml:space="preserve">MSP-101</t>
  </si>
  <si>
    <t xml:space="preserve">1.3.1.1.3.2.3</t>
  </si>
  <si>
    <t xml:space="preserve">MSP-102</t>
  </si>
  <si>
    <t xml:space="preserve">1.3.1.1.3.2.4</t>
  </si>
  <si>
    <t xml:space="preserve">99FS</t>
  </si>
  <si>
    <t xml:space="preserve">MSP-103</t>
  </si>
  <si>
    <t xml:space="preserve">1.3.1.1.3.3</t>
  </si>
  <si>
    <t xml:space="preserve">COLUMNAS</t>
  </si>
  <si>
    <t xml:space="preserve">MSP-104</t>
  </si>
  <si>
    <t xml:space="preserve">1.3.1.1.3.3.1</t>
  </si>
  <si>
    <t xml:space="preserve">COLUMNAS - PRIMER NIVEL</t>
  </si>
  <si>
    <t xml:space="preserve">MSP-105</t>
  </si>
  <si>
    <t xml:space="preserve">1.3.1.1.3.3.1.1</t>
  </si>
  <si>
    <t xml:space="preserve">CONCRETO PREMEZCLADO EN COLUMNAS F'C=210 KG/CM2,  C/CEMENTO TIPO HS, PRIMER NIVEL</t>
  </si>
  <si>
    <t xml:space="preserve">106FS</t>
  </si>
  <si>
    <t xml:space="preserve">MSP-106</t>
  </si>
  <si>
    <t xml:space="preserve">1.3.1.1.3.3.1.2</t>
  </si>
  <si>
    <t xml:space="preserve">ENCOFRADO Y DESENCOFRADO CARAVISTA EN COLUMNAS, PRIMER NIVEL</t>
  </si>
  <si>
    <t xml:space="preserve">107FS</t>
  </si>
  <si>
    <t xml:space="preserve">MSP-107</t>
  </si>
  <si>
    <t xml:space="preserve">1.3.1.1.3.3.1.3</t>
  </si>
  <si>
    <t xml:space="preserve">ACERO Fy=4200 kg/cm2 GRADO 60 EN COLUMNAS</t>
  </si>
  <si>
    <t xml:space="preserve">MSP-108</t>
  </si>
  <si>
    <t xml:space="preserve">1.3.1.1.3.3.1.4</t>
  </si>
  <si>
    <t xml:space="preserve">CURADO DE ELEMENTOS VERTICALES</t>
  </si>
  <si>
    <t xml:space="preserve">105FS</t>
  </si>
  <si>
    <t xml:space="preserve">MSP-109</t>
  </si>
  <si>
    <t xml:space="preserve">1.3.1.1.3.3.2</t>
  </si>
  <si>
    <t xml:space="preserve">COLUMNAS - SEGUNDO NIVEL</t>
  </si>
  <si>
    <t xml:space="preserve">MSP-110</t>
  </si>
  <si>
    <t xml:space="preserve">1.3.1.1.3.3.2.1</t>
  </si>
  <si>
    <t xml:space="preserve">CONCRETO PREMEZCLADO EN COLUMNAS F'C=210 KG/CM2,  C/CEMENTO TIPO IP, SEGUNDO NIVEL</t>
  </si>
  <si>
    <t xml:space="preserve">111FS</t>
  </si>
  <si>
    <t xml:space="preserve">MSP-111</t>
  </si>
  <si>
    <t xml:space="preserve">1.3.1.1.3.3.2.2</t>
  </si>
  <si>
    <t xml:space="preserve">ENCOFRADO Y DESENCOFRADO CARAVISTA EN COLUMNAS, SEGUNDO NIVEL</t>
  </si>
  <si>
    <t xml:space="preserve">112FS</t>
  </si>
  <si>
    <t xml:space="preserve">MSP-112</t>
  </si>
  <si>
    <t xml:space="preserve">1.3.1.1.3.3.2.3</t>
  </si>
  <si>
    <t xml:space="preserve">142FS</t>
  </si>
  <si>
    <t xml:space="preserve">MSP-113</t>
  </si>
  <si>
    <t xml:space="preserve">1.3.1.1.3.3.2.4</t>
  </si>
  <si>
    <t xml:space="preserve">110FS</t>
  </si>
  <si>
    <t xml:space="preserve">MSP-114</t>
  </si>
  <si>
    <t xml:space="preserve">1.3.1.1.3.3.3</t>
  </si>
  <si>
    <t xml:space="preserve">COLUMNAS - TERCER NIVEL Y AZOTEA</t>
  </si>
  <si>
    <t xml:space="preserve">MSP-115</t>
  </si>
  <si>
    <t xml:space="preserve">1.3.1.1.3.3.3.1</t>
  </si>
  <si>
    <t xml:space="preserve">CONCRETO PREMEZCLADO EN COLUMNAS F'C=210 KG/CM2,  C/CEMENTO TIPO IP, TERCER NIVEL</t>
  </si>
  <si>
    <t xml:space="preserve">116FS</t>
  </si>
  <si>
    <t xml:space="preserve">MSP-116</t>
  </si>
  <si>
    <t xml:space="preserve">1.3.1.1.3.3.3.2</t>
  </si>
  <si>
    <t xml:space="preserve">ENCOFRADO Y DESENCOFRADO CARAVISTA EN COLUMNAS, TERCER NIVEL</t>
  </si>
  <si>
    <t xml:space="preserve">117FS</t>
  </si>
  <si>
    <t xml:space="preserve">MSP-117</t>
  </si>
  <si>
    <t xml:space="preserve">1.3.1.1.3.3.3.3</t>
  </si>
  <si>
    <t xml:space="preserve">147FS</t>
  </si>
  <si>
    <t xml:space="preserve">MSP-118</t>
  </si>
  <si>
    <t xml:space="preserve">1.3.1.1.3.3.3.4</t>
  </si>
  <si>
    <t xml:space="preserve">115FS</t>
  </si>
  <si>
    <t xml:space="preserve">MSP-119</t>
  </si>
  <si>
    <t xml:space="preserve">1.3.1.1.3.3.4</t>
  </si>
  <si>
    <t xml:space="preserve">COLUMNAS-AZOTEA</t>
  </si>
  <si>
    <t xml:space="preserve">MSP-120</t>
  </si>
  <si>
    <t xml:space="preserve">1.3.1.1.3.3.4.1</t>
  </si>
  <si>
    <t xml:space="preserve">CONCRETO PREMEZCLADO EN COLUMNAS F'C=210 KG/CM2,  C/CEMENTO TIPO IP, AZOTEA</t>
  </si>
  <si>
    <t xml:space="preserve">121FS</t>
  </si>
  <si>
    <t xml:space="preserve">MSP-121</t>
  </si>
  <si>
    <t xml:space="preserve">1.3.1.1.3.3.4.2</t>
  </si>
  <si>
    <t xml:space="preserve">122FS</t>
  </si>
  <si>
    <t xml:space="preserve">MSP-122</t>
  </si>
  <si>
    <t xml:space="preserve">1.3.1.1.3.3.4.3</t>
  </si>
  <si>
    <t xml:space="preserve">152FS</t>
  </si>
  <si>
    <t xml:space="preserve">MSP-123</t>
  </si>
  <si>
    <t xml:space="preserve">1.3.1.1.3.3.4.4</t>
  </si>
  <si>
    <t xml:space="preserve">120FS</t>
  </si>
  <si>
    <t xml:space="preserve">MSP-124</t>
  </si>
  <si>
    <t xml:space="preserve">1.3.1.1.3.4</t>
  </si>
  <si>
    <t xml:space="preserve">PLACAS</t>
  </si>
  <si>
    <t xml:space="preserve">MSP-125</t>
  </si>
  <si>
    <t xml:space="preserve">1.3.1.1.3.4.1</t>
  </si>
  <si>
    <t xml:space="preserve">PLACAS - PRIMER NIVEL</t>
  </si>
  <si>
    <t xml:space="preserve">MSP-126</t>
  </si>
  <si>
    <t xml:space="preserve">1.3.1.1.3.4.1.1</t>
  </si>
  <si>
    <t xml:space="preserve">CONCRETO PREMEZCLADO EN PLACAS F'C=210 KG/CM2,  C/CEMENTO TIPO HS, PRIMER NIVEL</t>
  </si>
  <si>
    <t xml:space="preserve">127FS</t>
  </si>
  <si>
    <t xml:space="preserve">MSP-127</t>
  </si>
  <si>
    <t xml:space="preserve">1.3.1.1.3.4.1.2</t>
  </si>
  <si>
    <t xml:space="preserve">ENCOFRADO Y DESENCOFRADO CARAVISTA EN PLACAS, PRIMER NIVEL</t>
  </si>
  <si>
    <t xml:space="preserve">128FS</t>
  </si>
  <si>
    <t xml:space="preserve">MSP-128</t>
  </si>
  <si>
    <t xml:space="preserve">1.3.1.1.3.4.1.3</t>
  </si>
  <si>
    <t xml:space="preserve">ACERO Fy=4200 kg/cm2 GRADO 60 EN PLACAS</t>
  </si>
  <si>
    <t xml:space="preserve">107SS</t>
  </si>
  <si>
    <t xml:space="preserve">MSP-129</t>
  </si>
  <si>
    <t xml:space="preserve">1.3.1.1.3.4.1.4</t>
  </si>
  <si>
    <t xml:space="preserve">126FS</t>
  </si>
  <si>
    <t xml:space="preserve">MSP-130</t>
  </si>
  <si>
    <t xml:space="preserve">1.3.1.1.3.4.2</t>
  </si>
  <si>
    <t xml:space="preserve">PLACAS - SEGUNDO NIVEL</t>
  </si>
  <si>
    <t xml:space="preserve">MSP-131</t>
  </si>
  <si>
    <t xml:space="preserve">1.3.1.1.3.4.2.1</t>
  </si>
  <si>
    <t xml:space="preserve">CONCRETO PREMEZCLADO EN PLACAS F'C=210 KG/CM2, C/CEMENTO TIPO IP, SEGUNDO NIVEL</t>
  </si>
  <si>
    <t xml:space="preserve">132FS</t>
  </si>
  <si>
    <t xml:space="preserve">MSP-132</t>
  </si>
  <si>
    <t xml:space="preserve">1.3.1.1.3.4.2.2</t>
  </si>
  <si>
    <t xml:space="preserve">ENCOFRADO Y DESENCOFRADO CARAVISTA EN PLACAS, SEGUNDO NIVEL</t>
  </si>
  <si>
    <t xml:space="preserve">133FS</t>
  </si>
  <si>
    <t xml:space="preserve">MSP-133</t>
  </si>
  <si>
    <t xml:space="preserve">1.3.1.1.3.4.2.3</t>
  </si>
  <si>
    <t xml:space="preserve">112SS</t>
  </si>
  <si>
    <t xml:space="preserve">MSP-134</t>
  </si>
  <si>
    <t xml:space="preserve">1.3.1.1.3.4.2.4</t>
  </si>
  <si>
    <t xml:space="preserve">131FS</t>
  </si>
  <si>
    <t xml:space="preserve">MSP-135</t>
  </si>
  <si>
    <t xml:space="preserve">1.3.1.1.3.4.3</t>
  </si>
  <si>
    <t xml:space="preserve">PLACAS - TERCER NIVEL</t>
  </si>
  <si>
    <t xml:space="preserve">MSP-136</t>
  </si>
  <si>
    <t xml:space="preserve">1.3.1.1.3.4.3.1</t>
  </si>
  <si>
    <t xml:space="preserve">CONCRETO PREMEZCLADO EN PLACAS F'C=210 KG/CM2,  C/CEMENTO TIPO IP, TERCER NIVEL</t>
  </si>
  <si>
    <t xml:space="preserve">137FS</t>
  </si>
  <si>
    <t xml:space="preserve">MSP-137</t>
  </si>
  <si>
    <t xml:space="preserve">1.3.1.1.3.4.3.2</t>
  </si>
  <si>
    <t xml:space="preserve">ENCOFRADO Y DESENCOFRADO CARAVISTA EN PLACAS, TERCER NIVEL</t>
  </si>
  <si>
    <t xml:space="preserve">138FS</t>
  </si>
  <si>
    <t xml:space="preserve">MSP-138</t>
  </si>
  <si>
    <t xml:space="preserve">1.3.1.1.3.4.3.3</t>
  </si>
  <si>
    <t xml:space="preserve">117SS</t>
  </si>
  <si>
    <t xml:space="preserve">MSP-139</t>
  </si>
  <si>
    <t xml:space="preserve">1.3.1.1.3.4.3.4</t>
  </si>
  <si>
    <t xml:space="preserve">136FS</t>
  </si>
  <si>
    <t xml:space="preserve">MSP-140</t>
  </si>
  <si>
    <t xml:space="preserve">1.3.1.1.3.5</t>
  </si>
  <si>
    <t xml:space="preserve">VIGAS</t>
  </si>
  <si>
    <t xml:space="preserve">MSP-141</t>
  </si>
  <si>
    <t xml:space="preserve">1.3.1.1.3.5.1</t>
  </si>
  <si>
    <t xml:space="preserve">VIGAS - PRIMER NIVEL</t>
  </si>
  <si>
    <t xml:space="preserve">MSP-142</t>
  </si>
  <si>
    <t xml:space="preserve">1.3.1.1.3.5.1.1</t>
  </si>
  <si>
    <t xml:space="preserve">CONCRETO PREMEZCLADO EN VIGAS F'C= 210 KG/CM2, PRIMER NIVEL, C/CEMENTO IP</t>
  </si>
  <si>
    <t xml:space="preserve">143FS</t>
  </si>
  <si>
    <t xml:space="preserve">MSP-143</t>
  </si>
  <si>
    <t xml:space="preserve">1.3.1.1.3.5.1.2</t>
  </si>
  <si>
    <t xml:space="preserve">ENCOFRADO Y DESENCOFRADO CARAVISTA EN VIGAS, PRIMER NIVEL</t>
  </si>
  <si>
    <t xml:space="preserve">144FS</t>
  </si>
  <si>
    <t xml:space="preserve">MSP-144</t>
  </si>
  <si>
    <t xml:space="preserve">1.3.1.1.3.5.1.3</t>
  </si>
  <si>
    <t xml:space="preserve">ACERO Fy=4200 kg/cm2 GRADO 60 EN VIGAS</t>
  </si>
  <si>
    <t xml:space="preserve">105FS;126FS</t>
  </si>
  <si>
    <t xml:space="preserve">MSP-145</t>
  </si>
  <si>
    <t xml:space="preserve">1.3.1.1.3.5.1.4</t>
  </si>
  <si>
    <t xml:space="preserve">MSP-146</t>
  </si>
  <si>
    <t xml:space="preserve">1.3.1.1.3.5.2</t>
  </si>
  <si>
    <t xml:space="preserve">VIGAS - SEGUNDO NIVEL</t>
  </si>
  <si>
    <t xml:space="preserve">MSP-147</t>
  </si>
  <si>
    <t xml:space="preserve">1.3.1.1.3.5.2.1</t>
  </si>
  <si>
    <t xml:space="preserve">CONCRETO PREMEZCLADO EN VIGAS F'C= 210 KG/CM2, SEGUNDO NIVEL, C/CEMENTO IP</t>
  </si>
  <si>
    <t xml:space="preserve">148FS</t>
  </si>
  <si>
    <t xml:space="preserve">MSP-148</t>
  </si>
  <si>
    <t xml:space="preserve">1.3.1.1.3.5.2.2</t>
  </si>
  <si>
    <t xml:space="preserve">ENCOFRADO Y DESENCOFRADO CARAVISTA EN VIGAS, SEGUNDO NIVEL</t>
  </si>
  <si>
    <t xml:space="preserve">149FS</t>
  </si>
  <si>
    <t xml:space="preserve">MSP-149</t>
  </si>
  <si>
    <t xml:space="preserve">1.3.1.1.3.5.2.3</t>
  </si>
  <si>
    <t xml:space="preserve">131FS;110FS</t>
  </si>
  <si>
    <t xml:space="preserve">MSP-150</t>
  </si>
  <si>
    <t xml:space="preserve">1.3.1.1.3.5.2.4</t>
  </si>
  <si>
    <t xml:space="preserve">MSP-151</t>
  </si>
  <si>
    <t xml:space="preserve">1.3.1.1.3.5.3</t>
  </si>
  <si>
    <t xml:space="preserve">VIGAS - TERCER NIVEL</t>
  </si>
  <si>
    <t xml:space="preserve">MSP-152</t>
  </si>
  <si>
    <t xml:space="preserve">1.3.1.1.3.5.3.1</t>
  </si>
  <si>
    <t xml:space="preserve">CONCRETO PREMEZCLADO EN VIGAS F'C= 210 KG/CM2, TERCER NIVEL, C/CEMENTO IP</t>
  </si>
  <si>
    <t xml:space="preserve">153FS</t>
  </si>
  <si>
    <t xml:space="preserve">MSP-153</t>
  </si>
  <si>
    <t xml:space="preserve">1.3.1.1.3.5.3.2</t>
  </si>
  <si>
    <t xml:space="preserve">ENCOFRADO Y DESENCOFRADO CARAVISTA EN VIGAS, TERCER NIVEL</t>
  </si>
  <si>
    <t xml:space="preserve">154FS</t>
  </si>
  <si>
    <t xml:space="preserve">MSP-154</t>
  </si>
  <si>
    <t xml:space="preserve">1.3.1.1.3.5.3.3</t>
  </si>
  <si>
    <t xml:space="preserve">115FS;136FS</t>
  </si>
  <si>
    <t xml:space="preserve">MSP-155</t>
  </si>
  <si>
    <t xml:space="preserve">1.3.1.1.3.5.3.4</t>
  </si>
  <si>
    <t xml:space="preserve">MSP-156</t>
  </si>
  <si>
    <t xml:space="preserve">1.3.1.1.3.5.4</t>
  </si>
  <si>
    <t xml:space="preserve">VIGAS - AZOTEA</t>
  </si>
  <si>
    <t xml:space="preserve">MSP-157</t>
  </si>
  <si>
    <t xml:space="preserve">1.3.1.1.3.5.4.1</t>
  </si>
  <si>
    <t xml:space="preserve">CONCRETO PREMEZCLADO EN VIGAS F'C= 210 KG/CM2, AZOTEA, C/CEMENTO IP</t>
  </si>
  <si>
    <t xml:space="preserve">158FS</t>
  </si>
  <si>
    <t xml:space="preserve">MSP-158</t>
  </si>
  <si>
    <t xml:space="preserve">1.3.1.1.3.5.4.2</t>
  </si>
  <si>
    <t xml:space="preserve">159FS</t>
  </si>
  <si>
    <t xml:space="preserve">MSP-159</t>
  </si>
  <si>
    <t xml:space="preserve">1.3.1.1.3.5.4.3</t>
  </si>
  <si>
    <t xml:space="preserve">MSP-160</t>
  </si>
  <si>
    <t xml:space="preserve">1.3.1.1.3.5.4.4</t>
  </si>
  <si>
    <t xml:space="preserve">157FS</t>
  </si>
  <si>
    <t xml:space="preserve">MSP-161</t>
  </si>
  <si>
    <t xml:space="preserve">1.3.1.1.3.6</t>
  </si>
  <si>
    <t xml:space="preserve">LOSAS ALIGERADAS</t>
  </si>
  <si>
    <t xml:space="preserve">MSP-162</t>
  </si>
  <si>
    <t xml:space="preserve">1.3.1.1.3.6.1</t>
  </si>
  <si>
    <t xml:space="preserve">LOSA ALIGERADA - PRIMER NIVEL</t>
  </si>
  <si>
    <t xml:space="preserve">MSP-163</t>
  </si>
  <si>
    <t xml:space="preserve">1.3.1.1.3.6.1.1</t>
  </si>
  <si>
    <t xml:space="preserve">CONCRETO PREMEZCLADO EN LOSAS F'C= 210 KG/CM2, PRIMER NIVEL, C/CEMENTO IP</t>
  </si>
  <si>
    <t xml:space="preserve">165FS</t>
  </si>
  <si>
    <t xml:space="preserve">MSP-164</t>
  </si>
  <si>
    <t xml:space="preserve">1.3.1.1.3.6.1.2</t>
  </si>
  <si>
    <t xml:space="preserve">ENCOFRADO Y DESENCOFRADO NORMAL EN LOSA (1° NIVEL)</t>
  </si>
  <si>
    <t xml:space="preserve">144SS</t>
  </si>
  <si>
    <t xml:space="preserve">MSP-165</t>
  </si>
  <si>
    <t xml:space="preserve">1.3.1.1.3.6.1.3</t>
  </si>
  <si>
    <t xml:space="preserve">ACERO Fy=4200 kg/cm2 GRADO 60 EN LOSAS ALIGERADA</t>
  </si>
  <si>
    <t xml:space="preserve">166FS</t>
  </si>
  <si>
    <t xml:space="preserve">MSP-166</t>
  </si>
  <si>
    <t xml:space="preserve">1.3.1.1.3.6.1.4</t>
  </si>
  <si>
    <t xml:space="preserve">LADRILLO HUECO DE ARCILLA 30x30x15 CM. PARA LOSAS ALIGERADAS (1° NIVEL)</t>
  </si>
  <si>
    <t xml:space="preserve">164FS</t>
  </si>
  <si>
    <t xml:space="preserve">MSP-167</t>
  </si>
  <si>
    <t xml:space="preserve">1.3.1.1.3.6.1.5</t>
  </si>
  <si>
    <t xml:space="preserve">163FS</t>
  </si>
  <si>
    <t xml:space="preserve">MSP-168</t>
  </si>
  <si>
    <t xml:space="preserve">1.3.1.1.3.6.2</t>
  </si>
  <si>
    <t xml:space="preserve">LOSA ALIGERADA - SEGUNDO NIVEL</t>
  </si>
  <si>
    <t xml:space="preserve">MSP-169</t>
  </si>
  <si>
    <t xml:space="preserve">1.3.1.1.3.6.2.1</t>
  </si>
  <si>
    <t xml:space="preserve">CONCRETO PREMEZCLADO EN LOSAS F'C= 210 KG/CM2, SEGUNDO NIVEL, C/CEMENTO IP</t>
  </si>
  <si>
    <t xml:space="preserve">171FS</t>
  </si>
  <si>
    <t xml:space="preserve">MSP-170</t>
  </si>
  <si>
    <t xml:space="preserve">1.3.1.1.3.6.2.2</t>
  </si>
  <si>
    <t xml:space="preserve">ENCOFRADO Y DESENCOFRADO NORMAL EN LOSA (2° NIVEL)</t>
  </si>
  <si>
    <t xml:space="preserve">149SS</t>
  </si>
  <si>
    <t xml:space="preserve">MSP-171</t>
  </si>
  <si>
    <t xml:space="preserve">1.3.1.1.3.6.2.3</t>
  </si>
  <si>
    <t xml:space="preserve">172FS</t>
  </si>
  <si>
    <t xml:space="preserve">MSP-172</t>
  </si>
  <si>
    <t xml:space="preserve">1.3.1.1.3.6.2.4</t>
  </si>
  <si>
    <t xml:space="preserve">LADRILLO HUECO DE ARCILLA 30x30x15 CM. PARA LOSAS ALIGERADAS (2° NIVEL)</t>
  </si>
  <si>
    <t xml:space="preserve">170FS</t>
  </si>
  <si>
    <t xml:space="preserve">MSP-173</t>
  </si>
  <si>
    <t xml:space="preserve">1.3.1.1.3.6.2.5</t>
  </si>
  <si>
    <t xml:space="preserve">169FS</t>
  </si>
  <si>
    <t xml:space="preserve">MSP-174</t>
  </si>
  <si>
    <t xml:space="preserve">1.3.1.1.3.6.3</t>
  </si>
  <si>
    <t xml:space="preserve">LOSA ALIGERADA - TERCER NIVEL</t>
  </si>
  <si>
    <t xml:space="preserve">MSP-175</t>
  </si>
  <si>
    <t xml:space="preserve">1.3.1.1.3.6.3.1</t>
  </si>
  <si>
    <t xml:space="preserve">CONCRETO PREMEZCLADO EN LOSAS F'C= 210 KG/CM2, TERCER NIVEL, C/CEMENTO IP</t>
  </si>
  <si>
    <t xml:space="preserve">177FS</t>
  </si>
  <si>
    <t xml:space="preserve">MSP-176</t>
  </si>
  <si>
    <t xml:space="preserve">1.3.1.1.3.6.3.2</t>
  </si>
  <si>
    <t xml:space="preserve">ENCOFRADO Y DESENCOFRADO NORMAL EN LOSA (3° NIVEL)</t>
  </si>
  <si>
    <t xml:space="preserve">154SS</t>
  </si>
  <si>
    <t xml:space="preserve">MSP-177</t>
  </si>
  <si>
    <t xml:space="preserve">1.3.1.1.3.6.3.3</t>
  </si>
  <si>
    <t xml:space="preserve">178FS</t>
  </si>
  <si>
    <t xml:space="preserve">MSP-178</t>
  </si>
  <si>
    <t xml:space="preserve">1.3.1.1.3.6.3.4</t>
  </si>
  <si>
    <t xml:space="preserve">LADRILLO HUECO DE ARCILLA 30x30x15 CM. PARA LOSAS ALIGERADAS (3° NIVEL)</t>
  </si>
  <si>
    <t xml:space="preserve">176FS</t>
  </si>
  <si>
    <t xml:space="preserve">MSP-179</t>
  </si>
  <si>
    <t xml:space="preserve">1.3.1.1.3.6.3.5</t>
  </si>
  <si>
    <t xml:space="preserve">175FS</t>
  </si>
  <si>
    <t xml:space="preserve">MSP-180</t>
  </si>
  <si>
    <t xml:space="preserve">1.3.1.1.3.7</t>
  </si>
  <si>
    <t xml:space="preserve">LOSAS MACIZAS</t>
  </si>
  <si>
    <t xml:space="preserve">MSP-181</t>
  </si>
  <si>
    <t xml:space="preserve">1.3.1.1.3.7.1</t>
  </si>
  <si>
    <t xml:space="preserve">LOSA MACIZA - PRIMER NIVEL</t>
  </si>
  <si>
    <t xml:space="preserve">MSP-182</t>
  </si>
  <si>
    <t xml:space="preserve">1.3.1.1.3.7.1.1</t>
  </si>
  <si>
    <t xml:space="preserve">184FS</t>
  </si>
  <si>
    <t xml:space="preserve">MSP-183</t>
  </si>
  <si>
    <t xml:space="preserve">1.3.1.1.3.7.1.2</t>
  </si>
  <si>
    <t xml:space="preserve">ENCOFRADO Y DESENCOFRADO NORMAL EN LOSA MACIZA (1° NIVEL)</t>
  </si>
  <si>
    <t xml:space="preserve">MSP-184</t>
  </si>
  <si>
    <t xml:space="preserve">1.3.1.1.3.7.1.3</t>
  </si>
  <si>
    <t xml:space="preserve">ACERO Fy=4200 kg/cm2 GRADO 60 EN LOSAS MACIZAS</t>
  </si>
  <si>
    <t xml:space="preserve">183FS</t>
  </si>
  <si>
    <t xml:space="preserve">MSP-185</t>
  </si>
  <si>
    <t xml:space="preserve">1.3.1.1.3.7.1.4</t>
  </si>
  <si>
    <t xml:space="preserve">182FS</t>
  </si>
  <si>
    <t xml:space="preserve">MSP-186</t>
  </si>
  <si>
    <t xml:space="preserve">1.3.1.1.3.7.2</t>
  </si>
  <si>
    <t xml:space="preserve">LOSA MACIZA - SEGUNDO NIVEL</t>
  </si>
  <si>
    <t xml:space="preserve">MSP-187</t>
  </si>
  <si>
    <t xml:space="preserve">1.3.1.1.3.7.2.1</t>
  </si>
  <si>
    <t xml:space="preserve">189FS</t>
  </si>
  <si>
    <t xml:space="preserve">MSP-188</t>
  </si>
  <si>
    <t xml:space="preserve">1.3.1.1.3.7.2.2</t>
  </si>
  <si>
    <t xml:space="preserve">ENCOFRADO Y DESENCOFRADO NORMAL EN LOSA MACIZA (2° NIVEL)</t>
  </si>
  <si>
    <t xml:space="preserve">MSP-189</t>
  </si>
  <si>
    <t xml:space="preserve">1.3.1.1.3.7.2.3</t>
  </si>
  <si>
    <t xml:space="preserve">188FS</t>
  </si>
  <si>
    <t xml:space="preserve">MSP-190</t>
  </si>
  <si>
    <t xml:space="preserve">1.3.1.1.3.7.2.4</t>
  </si>
  <si>
    <t xml:space="preserve">187FS</t>
  </si>
  <si>
    <t xml:space="preserve">MSP-191</t>
  </si>
  <si>
    <t xml:space="preserve">1.3.1.1.3.7.3</t>
  </si>
  <si>
    <t xml:space="preserve">LOSA MACIZA - TERCER NIVEL</t>
  </si>
  <si>
    <t xml:space="preserve">MSP-192</t>
  </si>
  <si>
    <t xml:space="preserve">1.3.1.1.3.7.3.1</t>
  </si>
  <si>
    <t xml:space="preserve">194FS</t>
  </si>
  <si>
    <t xml:space="preserve">MSP-193</t>
  </si>
  <si>
    <t xml:space="preserve">1.3.1.1.3.7.3.2</t>
  </si>
  <si>
    <t xml:space="preserve">ENCOFRADO Y DESENCOFRADO NORMAL EN LOSA MACIZA (3° NIVEL)</t>
  </si>
  <si>
    <t xml:space="preserve">MSP-194</t>
  </si>
  <si>
    <t xml:space="preserve">1.3.1.1.3.7.3.3</t>
  </si>
  <si>
    <t xml:space="preserve">193FS</t>
  </si>
  <si>
    <t xml:space="preserve">MSP-195</t>
  </si>
  <si>
    <t xml:space="preserve">1.3.1.1.3.7.3.4</t>
  </si>
  <si>
    <t xml:space="preserve">192FS</t>
  </si>
  <si>
    <t xml:space="preserve">MSP-196</t>
  </si>
  <si>
    <t xml:space="preserve">1.3.1.1.3.7.4</t>
  </si>
  <si>
    <t xml:space="preserve">LOSA MACIZA - AZOTEA</t>
  </si>
  <si>
    <t xml:space="preserve">MSP-197</t>
  </si>
  <si>
    <t xml:space="preserve">1.3.1.1.3.7.4.1</t>
  </si>
  <si>
    <t xml:space="preserve">199FS</t>
  </si>
  <si>
    <t xml:space="preserve">MSP-198</t>
  </si>
  <si>
    <t xml:space="preserve">1.3.1.1.3.7.4.2</t>
  </si>
  <si>
    <t xml:space="preserve">ENCOFRADO Y DESENCOFRADO NORMAL EN LOSA MACIZA (AZOTEA)</t>
  </si>
  <si>
    <t xml:space="preserve">159SS</t>
  </si>
  <si>
    <t xml:space="preserve">MSP-199</t>
  </si>
  <si>
    <t xml:space="preserve">1.3.1.1.3.7.4.3</t>
  </si>
  <si>
    <t xml:space="preserve">198FS</t>
  </si>
  <si>
    <t xml:space="preserve">MSP-200</t>
  </si>
  <si>
    <t xml:space="preserve">1.3.1.1.3.7.4.4</t>
  </si>
  <si>
    <t xml:space="preserve">197FS</t>
  </si>
  <si>
    <t xml:space="preserve">MSP-201</t>
  </si>
  <si>
    <t xml:space="preserve">1.3.1.1.3.8</t>
  </si>
  <si>
    <t xml:space="preserve">COLUMNETAS</t>
  </si>
  <si>
    <t xml:space="preserve">MSP-202</t>
  </si>
  <si>
    <t xml:space="preserve">1.3.1.1.3.8.1</t>
  </si>
  <si>
    <t xml:space="preserve">COLUMNETAS DE AMARRE - PRIMER NIVEL</t>
  </si>
  <si>
    <t xml:space="preserve">MSP-203</t>
  </si>
  <si>
    <t xml:space="preserve">1.3.1.1.3.8.1.1</t>
  </si>
  <si>
    <t xml:space="preserve">CONCRETO EN COLUMNETAS DE AMARRE F'C= 175 KG/CM2, C/CEMENTO TIPO HS PRIMER NIVEL</t>
  </si>
  <si>
    <t xml:space="preserve">204FS</t>
  </si>
  <si>
    <t xml:space="preserve">MSP-204</t>
  </si>
  <si>
    <t xml:space="preserve">1.3.1.1.3.8.1.2</t>
  </si>
  <si>
    <t xml:space="preserve">ENCOFRADO Y DESENCOFRADO NORMAL EN COLUMNETAS DE AMARRE PRIMER NIVEL</t>
  </si>
  <si>
    <t xml:space="preserve">205FS</t>
  </si>
  <si>
    <t xml:space="preserve">MSP-205</t>
  </si>
  <si>
    <t xml:space="preserve">1.3.1.1.3.8.1.3</t>
  </si>
  <si>
    <t xml:space="preserve">ACERO Fy=4200 kg/cm2 GRADO 60 EN COLUMNETAS DE AMARRE</t>
  </si>
  <si>
    <t xml:space="preserve">2085FS</t>
  </si>
  <si>
    <t xml:space="preserve">MSP-206</t>
  </si>
  <si>
    <t xml:space="preserve">1.3.1.1.3.8.1.4</t>
  </si>
  <si>
    <t xml:space="preserve">203FS</t>
  </si>
  <si>
    <t xml:space="preserve">MSP-207</t>
  </si>
  <si>
    <t xml:space="preserve">1.3.1.1.3.8.2</t>
  </si>
  <si>
    <t xml:space="preserve">COLUMNETAS DE AMARRE - SEGUNDO NIVEL</t>
  </si>
  <si>
    <t xml:space="preserve">MSP-208</t>
  </si>
  <si>
    <t xml:space="preserve">1.3.1.1.3.8.2.1</t>
  </si>
  <si>
    <t xml:space="preserve">CONCRETO EN COLUMNETAS DE AMARRE F'C= 175 KG/CM2 SEGUNDO NIVEL</t>
  </si>
  <si>
    <t xml:space="preserve">209FS</t>
  </si>
  <si>
    <t xml:space="preserve">MSP-209</t>
  </si>
  <si>
    <t xml:space="preserve">1.3.1.1.3.8.2.2</t>
  </si>
  <si>
    <t xml:space="preserve">ENCOFRADO Y DESENCOFRADO NORMAL EN COLUMNETAS DE AMARRE SEGUNDO NIVEL</t>
  </si>
  <si>
    <t xml:space="preserve">210FS</t>
  </si>
  <si>
    <t xml:space="preserve">MSP-210</t>
  </si>
  <si>
    <t xml:space="preserve">1.3.1.1.3.8.2.3</t>
  </si>
  <si>
    <t xml:space="preserve">MSP-211</t>
  </si>
  <si>
    <t xml:space="preserve">1.3.1.1.3.8.2.4</t>
  </si>
  <si>
    <t xml:space="preserve">208FS</t>
  </si>
  <si>
    <t xml:space="preserve">MSP-212</t>
  </si>
  <si>
    <t xml:space="preserve">1.3.1.1.3.8.3</t>
  </si>
  <si>
    <t xml:space="preserve">COLUMNETAS DE AMARRE - TERCER NIVEL</t>
  </si>
  <si>
    <t xml:space="preserve">MSP-213</t>
  </si>
  <si>
    <t xml:space="preserve">1.3.1.1.3.8.3.1</t>
  </si>
  <si>
    <t xml:space="preserve">CONCRETO EN COLUMNETAS DE AMARRE F'C= 175 KG/CM2 TERCER NIVEL</t>
  </si>
  <si>
    <t xml:space="preserve">214FS</t>
  </si>
  <si>
    <t xml:space="preserve">MSP-214</t>
  </si>
  <si>
    <t xml:space="preserve">1.3.1.1.3.8.3.2</t>
  </si>
  <si>
    <t xml:space="preserve">ENCOFRADO Y DESENCOFRADO NORMAL EN COLUMNETAS DE AMARRE TERCER NIVEL</t>
  </si>
  <si>
    <t xml:space="preserve">215FS</t>
  </si>
  <si>
    <t xml:space="preserve">MSP-215</t>
  </si>
  <si>
    <t xml:space="preserve">1.3.1.1.3.8.3.3</t>
  </si>
  <si>
    <t xml:space="preserve">MSP-216</t>
  </si>
  <si>
    <t xml:space="preserve">1.3.1.1.3.8.3.4</t>
  </si>
  <si>
    <t xml:space="preserve">213FS</t>
  </si>
  <si>
    <t xml:space="preserve">MSP-217</t>
  </si>
  <si>
    <t xml:space="preserve">1.3.1.1.3.8.4</t>
  </si>
  <si>
    <t xml:space="preserve">COLUMNETAS DE AMARRE - AZOTEA</t>
  </si>
  <si>
    <t xml:space="preserve">MSP-218</t>
  </si>
  <si>
    <t xml:space="preserve">1.3.1.1.3.8.4.1</t>
  </si>
  <si>
    <t xml:space="preserve">CONCRETO EN COLUMNETAS DE AMARRE F'C= 175 KG/CM2 NIVEL DE AZOTEA</t>
  </si>
  <si>
    <t xml:space="preserve">219FS</t>
  </si>
  <si>
    <t xml:space="preserve">MSP-219</t>
  </si>
  <si>
    <t xml:space="preserve">1.3.1.1.3.8.4.2</t>
  </si>
  <si>
    <t xml:space="preserve">ENCOFRADO Y DESENCOFRADO NORMAL EN COLUMNETAS DE AMARRE NIVEL DE AZOTEA</t>
  </si>
  <si>
    <t xml:space="preserve">220FS</t>
  </si>
  <si>
    <t xml:space="preserve">MSP-220</t>
  </si>
  <si>
    <t xml:space="preserve">1.3.1.1.3.8.4.3</t>
  </si>
  <si>
    <t xml:space="preserve">MSP-221</t>
  </si>
  <si>
    <t xml:space="preserve">1.3.1.1.3.8.4.4</t>
  </si>
  <si>
    <t xml:space="preserve">218FS</t>
  </si>
  <si>
    <t xml:space="preserve">MSP-222</t>
  </si>
  <si>
    <t xml:space="preserve">1.3.1.1.3.9</t>
  </si>
  <si>
    <t xml:space="preserve">VIGUETAS DE AMARRE</t>
  </si>
  <si>
    <t xml:space="preserve">MSP-223</t>
  </si>
  <si>
    <t xml:space="preserve">1.3.1.1.3.9.1</t>
  </si>
  <si>
    <t xml:space="preserve">VIGUETAS DE AMARRE - PRIMER NIVEL</t>
  </si>
  <si>
    <t xml:space="preserve">MSP-224</t>
  </si>
  <si>
    <t xml:space="preserve">1.3.1.1.3.9.1.1</t>
  </si>
  <si>
    <t xml:space="preserve">CONCRETO EN VIGUETAS DE AMARRE CONCRETO F'C= 175 KG/CM2, PRIMER NIVEL</t>
  </si>
  <si>
    <t xml:space="preserve">225FS</t>
  </si>
  <si>
    <t xml:space="preserve">MSP-225</t>
  </si>
  <si>
    <t xml:space="preserve">1.3.1.1.3.9.1.2</t>
  </si>
  <si>
    <t xml:space="preserve">ENCOFRADO Y DESENCOFRADO NORMAL EN VIGA, PRIMER NIVEL</t>
  </si>
  <si>
    <t xml:space="preserve">226FS</t>
  </si>
  <si>
    <t xml:space="preserve">MSP-226</t>
  </si>
  <si>
    <t xml:space="preserve">1.3.1.1.3.9.1.3</t>
  </si>
  <si>
    <t xml:space="preserve">MSP-227</t>
  </si>
  <si>
    <t xml:space="preserve">1.3.1.1.3.9.1.4</t>
  </si>
  <si>
    <t xml:space="preserve">224FS</t>
  </si>
  <si>
    <t xml:space="preserve">MSP-228</t>
  </si>
  <si>
    <t xml:space="preserve">1.3.1.1.3.9.2</t>
  </si>
  <si>
    <t xml:space="preserve">VIGUETAS DE AMARRE - SEGUNDO NIVEL</t>
  </si>
  <si>
    <t xml:space="preserve">MSP-229</t>
  </si>
  <si>
    <t xml:space="preserve">1.3.1.1.3.9.2.1</t>
  </si>
  <si>
    <t xml:space="preserve">CONCRETO EN VIGUETAS DE AMARRE CONCRETO F'C= 175 KG/CM2 SEGUNDO NIVEL</t>
  </si>
  <si>
    <t xml:space="preserve">230FS</t>
  </si>
  <si>
    <t xml:space="preserve">MSP-230</t>
  </si>
  <si>
    <t xml:space="preserve">1.3.1.1.3.9.2.2</t>
  </si>
  <si>
    <t xml:space="preserve">ENCOFRADO Y DESENCOFRADO NORMAL EN VIGA, SEGUNDO NIVEL</t>
  </si>
  <si>
    <t xml:space="preserve">231FS</t>
  </si>
  <si>
    <t xml:space="preserve">MSP-231</t>
  </si>
  <si>
    <t xml:space="preserve">1.3.1.1.3.9.2.3</t>
  </si>
  <si>
    <t xml:space="preserve">MSP-232</t>
  </si>
  <si>
    <t xml:space="preserve">1.3.1.1.3.9.2.4</t>
  </si>
  <si>
    <t xml:space="preserve">229FS</t>
  </si>
  <si>
    <t xml:space="preserve">MSP-233</t>
  </si>
  <si>
    <t xml:space="preserve">1.3.1.1.3.9.3</t>
  </si>
  <si>
    <t xml:space="preserve">VIGUETAS DE AMARRE - TERCER NIVEL</t>
  </si>
  <si>
    <t xml:space="preserve">MSP-234</t>
  </si>
  <si>
    <t xml:space="preserve">1.3.1.1.3.9.3.1</t>
  </si>
  <si>
    <t xml:space="preserve">CONCRETO EN VIGUETAS DE AMARRE CONCRETO F'C= 175 KG/CM2 TERCER NIVEL</t>
  </si>
  <si>
    <t xml:space="preserve">235FS</t>
  </si>
  <si>
    <t xml:space="preserve">MSP-235</t>
  </si>
  <si>
    <t xml:space="preserve">1.3.1.1.3.9.3.2</t>
  </si>
  <si>
    <t xml:space="preserve">ENCOFRADO Y DESENCOFRADO NORMAL EN VIGA, TERCER NIVEL</t>
  </si>
  <si>
    <t xml:space="preserve">236FS</t>
  </si>
  <si>
    <t xml:space="preserve">MSP-236</t>
  </si>
  <si>
    <t xml:space="preserve">1.3.1.1.3.9.3.3</t>
  </si>
  <si>
    <t xml:space="preserve">MSP-237</t>
  </si>
  <si>
    <t xml:space="preserve">1.3.1.1.3.9.3.4</t>
  </si>
  <si>
    <t xml:space="preserve">234FS</t>
  </si>
  <si>
    <t xml:space="preserve">MSP-238</t>
  </si>
  <si>
    <t xml:space="preserve">1.3.1.1.3.9.4</t>
  </si>
  <si>
    <t xml:space="preserve">MSP-239</t>
  </si>
  <si>
    <t xml:space="preserve">1.3.1.1.3.9.4.1</t>
  </si>
  <si>
    <t xml:space="preserve">CONCRETO EN VIGUETAS DE AMARRE CONCRETO F'C= 175 KG/CM2 NIVEL DE AZOTEA</t>
  </si>
  <si>
    <t xml:space="preserve">240FS</t>
  </si>
  <si>
    <t xml:space="preserve">MSP-240</t>
  </si>
  <si>
    <t xml:space="preserve">1.3.1.1.3.9.4.2</t>
  </si>
  <si>
    <t xml:space="preserve">ENCOFRADO Y DESENCOFRADO NORMAL EN VIGA, AZOTEA</t>
  </si>
  <si>
    <t xml:space="preserve">241FS</t>
  </si>
  <si>
    <t xml:space="preserve">MSP-241</t>
  </si>
  <si>
    <t xml:space="preserve">1.3.1.1.3.9.4.3</t>
  </si>
  <si>
    <t xml:space="preserve">MSP-242</t>
  </si>
  <si>
    <t xml:space="preserve">1.3.1.1.3.9.4.4</t>
  </si>
  <si>
    <t xml:space="preserve">239FS</t>
  </si>
  <si>
    <t xml:space="preserve">MSP-243</t>
  </si>
  <si>
    <t xml:space="preserve">1.3.1.1.3.10</t>
  </si>
  <si>
    <t xml:space="preserve">PARAPETO</t>
  </si>
  <si>
    <t xml:space="preserve">MSP-244</t>
  </si>
  <si>
    <t xml:space="preserve">1.3.1.1.3.10.1</t>
  </si>
  <si>
    <t xml:space="preserve">CONCRETO F'C=175 KG/CM2 EN PARAPETOS</t>
  </si>
  <si>
    <t xml:space="preserve">245FS</t>
  </si>
  <si>
    <t xml:space="preserve">MSP-245</t>
  </si>
  <si>
    <t xml:space="preserve">1.3.1.1.3.10.2</t>
  </si>
  <si>
    <t xml:space="preserve">ENCOFRADO Y DESENCOFRADO NORMAL EN PARAPETO</t>
  </si>
  <si>
    <t xml:space="preserve">246FS</t>
  </si>
  <si>
    <t xml:space="preserve">MSP-246</t>
  </si>
  <si>
    <t xml:space="preserve">1.3.1.1.3.10.3</t>
  </si>
  <si>
    <t xml:space="preserve">ACERO Fy=4200 kg/cm2 GRADO 60 EN PARAPETOS</t>
  </si>
  <si>
    <t xml:space="preserve">MSP-247</t>
  </si>
  <si>
    <t xml:space="preserve">1.3.1.1.3.10.4</t>
  </si>
  <si>
    <t xml:space="preserve">244FS</t>
  </si>
  <si>
    <t xml:space="preserve">MSP-248</t>
  </si>
  <si>
    <t xml:space="preserve">1.3.1.1.3.11</t>
  </si>
  <si>
    <t xml:space="preserve">VARIOS</t>
  </si>
  <si>
    <t xml:space="preserve">MSP-249</t>
  </si>
  <si>
    <t xml:space="preserve">1.3.1.1.3.11.1</t>
  </si>
  <si>
    <t xml:space="preserve">JUNTA CON PLANCHA DE TECNOPORT E=2"</t>
  </si>
  <si>
    <t xml:space="preserve">247FS</t>
  </si>
  <si>
    <t xml:space="preserve">MSP-250</t>
  </si>
  <si>
    <t xml:space="preserve">1.3.1.1.3.11.2</t>
  </si>
  <si>
    <t xml:space="preserve">JUNTA CON PLANCHA DE TECNOPORT E=1"</t>
  </si>
  <si>
    <t xml:space="preserve">249FS</t>
  </si>
  <si>
    <t xml:space="preserve">MSP-251</t>
  </si>
  <si>
    <t xml:space="preserve">1.3.1.1.4</t>
  </si>
  <si>
    <t xml:space="preserve">ESTRUCTURAS METÁLICAS</t>
  </si>
  <si>
    <t xml:space="preserve">MSP-252</t>
  </si>
  <si>
    <t xml:space="preserve">1.3.1.1.4.1</t>
  </si>
  <si>
    <t xml:space="preserve">TIJERAL METÁLICO SECUNDARIO TIPO TJ-1, SEGÚN DISEÑO</t>
  </si>
  <si>
    <t xml:space="preserve">250FS</t>
  </si>
  <si>
    <t xml:space="preserve">MSP-253</t>
  </si>
  <si>
    <t xml:space="preserve">1.3.1.1.4.2</t>
  </si>
  <si>
    <t xml:space="preserve">TIJERAL METÁLICO SECUNDARIO TIPO TJ-2, SEGÚN DISEÑO</t>
  </si>
  <si>
    <t xml:space="preserve">MSP-254</t>
  </si>
  <si>
    <t xml:space="preserve">1.3.1.1.4.3</t>
  </si>
  <si>
    <t xml:space="preserve">TIJERAL METÁLICO SECUNDARIO TIPO TJ-2A, SEGÚN DISEÑO</t>
  </si>
  <si>
    <t xml:space="preserve">MSP-255</t>
  </si>
  <si>
    <t xml:space="preserve">1.3.1.1.4.4</t>
  </si>
  <si>
    <t xml:space="preserve">TIJERAL METÁLICO SECUNDARIO TIPO TJ-3, SEGÚN DISEÑO</t>
  </si>
  <si>
    <t xml:space="preserve">MSP-256</t>
  </si>
  <si>
    <t xml:space="preserve">1.3.1.1.4.5</t>
  </si>
  <si>
    <t xml:space="preserve">TIJERAL METÁLICO SECUNDARIO TIPO TJ-3A, SEGÚN DISEÑO</t>
  </si>
  <si>
    <t xml:space="preserve">MSP-257</t>
  </si>
  <si>
    <t xml:space="preserve">1.3.1.1.4.6</t>
  </si>
  <si>
    <t xml:space="preserve">TIJERAL METÁLICO SECUNDARIO TIPO TJ-4, SEGÚN DISEÑO</t>
  </si>
  <si>
    <t xml:space="preserve">MSP-258</t>
  </si>
  <si>
    <t xml:space="preserve">1.3.1.1.4.7</t>
  </si>
  <si>
    <t xml:space="preserve">TIJERAL METÁLICO PRINCIPAL TIPO TJ-5, SEGÚN DISEÑO</t>
  </si>
  <si>
    <t xml:space="preserve">MSP-259</t>
  </si>
  <si>
    <t xml:space="preserve">1.3.1.1.4.8</t>
  </si>
  <si>
    <t xml:space="preserve">TIJERAL METÁLICO PRINCIPAL TIPO TJ-6, SEGÚN DISEÑO</t>
  </si>
  <si>
    <t xml:space="preserve">MSP-260</t>
  </si>
  <si>
    <t xml:space="preserve">1.3.1.1.4.9</t>
  </si>
  <si>
    <t xml:space="preserve">TIJERAL METÁLICO TIPO TJ-7, SEGÚN DISEÑO</t>
  </si>
  <si>
    <t xml:space="preserve">MSP-261</t>
  </si>
  <si>
    <t xml:space="preserve">1.3.1.1.4.10</t>
  </si>
  <si>
    <t xml:space="preserve">TIJERAL SECUNDARIO METÁLICO TIPO TJ-07A SEGÚN DISEÑO</t>
  </si>
  <si>
    <t xml:space="preserve">252FS;253FS;254FS;255FS;256FS;257FS;258FS;259FS;260FS</t>
  </si>
  <si>
    <t xml:space="preserve">MSP-262</t>
  </si>
  <si>
    <t xml:space="preserve">1.3.1.1.4.11</t>
  </si>
  <si>
    <t xml:space="preserve">TIJERAL SECUNDARIO METÁLICO TIPO TJ-08 SEGÚN DISEÑO</t>
  </si>
  <si>
    <t xml:space="preserve">261SS</t>
  </si>
  <si>
    <t xml:space="preserve">MSP-263</t>
  </si>
  <si>
    <t xml:space="preserve">1.3.1.1.4.12</t>
  </si>
  <si>
    <t xml:space="preserve">TIJERAL DE AMARRE METÁLICO TIPO TA-01 SEGÚN DISEÑO</t>
  </si>
  <si>
    <t xml:space="preserve">MSP-264</t>
  </si>
  <si>
    <t xml:space="preserve">1.3.1.1.4.13</t>
  </si>
  <si>
    <t xml:space="preserve">TIJERAL DE AMARRE METÁLICO TIPO TA-02 SEGÚN DISEÑO</t>
  </si>
  <si>
    <t xml:space="preserve">MSP-265</t>
  </si>
  <si>
    <t xml:space="preserve">1.3.1.1.4.14</t>
  </si>
  <si>
    <t xml:space="preserve">TIJERAL DE AMARRE METÁLICO TIPO TA-03 SEGÚN DISEÑO</t>
  </si>
  <si>
    <t xml:space="preserve">MSP-266</t>
  </si>
  <si>
    <t xml:space="preserve">1.3.1.1.4.15</t>
  </si>
  <si>
    <t xml:space="preserve">TIJERAL DE AMARRE METÁLICO TIPO TA-04 SEGÚN DISEÑO</t>
  </si>
  <si>
    <t xml:space="preserve">MSP-267</t>
  </si>
  <si>
    <t xml:space="preserve">1.3.1.1.4.16</t>
  </si>
  <si>
    <t xml:space="preserve">CORREA DE TUBO DE FIERRO NEGRO 50x150x2mm</t>
  </si>
  <si>
    <t xml:space="preserve">266FS</t>
  </si>
  <si>
    <t xml:space="preserve">MSP-268</t>
  </si>
  <si>
    <t xml:space="preserve">1.3.1.1.4.17</t>
  </si>
  <si>
    <t xml:space="preserve">COLUMNA METÁLICA 200x200x4.5mm (CM-01)</t>
  </si>
  <si>
    <t xml:space="preserve">267FS</t>
  </si>
  <si>
    <t xml:space="preserve">MSP-269</t>
  </si>
  <si>
    <t xml:space="preserve">1.3.1.1.4.18</t>
  </si>
  <si>
    <t xml:space="preserve">IZADO Y MONTAJE DE ESTRUCTURAS METALICAS PARA COBERTURA</t>
  </si>
  <si>
    <t xml:space="preserve">268FS;273FS</t>
  </si>
  <si>
    <t xml:space="preserve">MSP-270</t>
  </si>
  <si>
    <t xml:space="preserve">1.3.1.1.4.19</t>
  </si>
  <si>
    <t xml:space="preserve">SUMINISTRO E INSTALACIÓN DE COBERTURA POLICARBONATO TRANSLUCIDO</t>
  </si>
  <si>
    <t xml:space="preserve">269FS;271FS;272FS</t>
  </si>
  <si>
    <t xml:space="preserve">MSP-271</t>
  </si>
  <si>
    <t xml:space="preserve">1.3.1.1.4.20</t>
  </si>
  <si>
    <t xml:space="preserve">ANCLAJE METALICO (EMPERNADO) A COLUMNA C°A°</t>
  </si>
  <si>
    <t xml:space="preserve">269SS</t>
  </si>
  <si>
    <t xml:space="preserve">MSP-272</t>
  </si>
  <si>
    <t xml:space="preserve">1.3.1.1.4.21</t>
  </si>
  <si>
    <t xml:space="preserve">ANCLAJE METALICO (SOLDADO) A COLUMNA METÁLICO</t>
  </si>
  <si>
    <t xml:space="preserve">MSP-273</t>
  </si>
  <si>
    <t xml:space="preserve">1.3.1.1.4.22</t>
  </si>
  <si>
    <t xml:space="preserve">ARRIOSTRE CON VARILLA LISA DE Ø 1/2"</t>
  </si>
  <si>
    <t xml:space="preserve">MSP-274</t>
  </si>
  <si>
    <t xml:space="preserve">1.3.1.2</t>
  </si>
  <si>
    <t xml:space="preserve">BLOQUE "2"</t>
  </si>
  <si>
    <t xml:space="preserve">MSP-275</t>
  </si>
  <si>
    <t xml:space="preserve">1.3.1.2.1</t>
  </si>
  <si>
    <t xml:space="preserve">MSP-276</t>
  </si>
  <si>
    <t xml:space="preserve">1.3.1.2.1.1</t>
  </si>
  <si>
    <t xml:space="preserve">68FS+45.0d</t>
  </si>
  <si>
    <t xml:space="preserve">MSP-277</t>
  </si>
  <si>
    <t xml:space="preserve">1.3.1.2.1.2</t>
  </si>
  <si>
    <t xml:space="preserve">276FS</t>
  </si>
  <si>
    <t xml:space="preserve">MSP-278</t>
  </si>
  <si>
    <t xml:space="preserve">1.3.1.2.1.3</t>
  </si>
  <si>
    <t xml:space="preserve">277FS</t>
  </si>
  <si>
    <t xml:space="preserve">MSP-279</t>
  </si>
  <si>
    <t xml:space="preserve">1.3.1.2.1.4</t>
  </si>
  <si>
    <t xml:space="preserve">278FS</t>
  </si>
  <si>
    <t xml:space="preserve">MSP-280</t>
  </si>
  <si>
    <t xml:space="preserve">1.3.1.2.1.5</t>
  </si>
  <si>
    <t xml:space="preserve">294FS+7.0d</t>
  </si>
  <si>
    <t xml:space="preserve">MSP-281</t>
  </si>
  <si>
    <t xml:space="preserve">1.3.1.2.1.6</t>
  </si>
  <si>
    <t xml:space="preserve">MSP-282</t>
  </si>
  <si>
    <t xml:space="preserve">1.3.1.2.1.7</t>
  </si>
  <si>
    <t xml:space="preserve">281SS+10.0d</t>
  </si>
  <si>
    <t xml:space="preserve">MSP-283</t>
  </si>
  <si>
    <t xml:space="preserve">1.3.1.2.1.8</t>
  </si>
  <si>
    <t xml:space="preserve">MSP-284</t>
  </si>
  <si>
    <t xml:space="preserve">1.3.1.2.1.9</t>
  </si>
  <si>
    <t xml:space="preserve">280FS</t>
  </si>
  <si>
    <t xml:space="preserve">MSP-285</t>
  </si>
  <si>
    <t xml:space="preserve">1.3.1.2.2</t>
  </si>
  <si>
    <t xml:space="preserve">MSP-286</t>
  </si>
  <si>
    <t xml:space="preserve">1.3.1.2.2.1</t>
  </si>
  <si>
    <t xml:space="preserve">MSP-287</t>
  </si>
  <si>
    <t xml:space="preserve">1.3.1.2.2.1.1</t>
  </si>
  <si>
    <t xml:space="preserve">283FS</t>
  </si>
  <si>
    <t xml:space="preserve">MSP-288</t>
  </si>
  <si>
    <t xml:space="preserve">1.3.1.2.2.2</t>
  </si>
  <si>
    <t xml:space="preserve">MSP-289</t>
  </si>
  <si>
    <t xml:space="preserve">1.3.1.2.2.2.1</t>
  </si>
  <si>
    <t xml:space="preserve">290FS</t>
  </si>
  <si>
    <t xml:space="preserve">MSP-290</t>
  </si>
  <si>
    <t xml:space="preserve">1.3.1.2.2.2.2</t>
  </si>
  <si>
    <t xml:space="preserve">287FS</t>
  </si>
  <si>
    <t xml:space="preserve">MSP-291</t>
  </si>
  <si>
    <t xml:space="preserve">1.3.1.2.2.3</t>
  </si>
  <si>
    <t xml:space="preserve">MSP-292</t>
  </si>
  <si>
    <t xml:space="preserve">1.3.1.2.2.3.1</t>
  </si>
  <si>
    <t xml:space="preserve">293FS</t>
  </si>
  <si>
    <t xml:space="preserve">MSP-293</t>
  </si>
  <si>
    <t xml:space="preserve">1.3.1.2.2.3.2</t>
  </si>
  <si>
    <t xml:space="preserve">289FS</t>
  </si>
  <si>
    <t xml:space="preserve">MSP-294</t>
  </si>
  <si>
    <t xml:space="preserve">1.3.1.2.2.3.3</t>
  </si>
  <si>
    <t xml:space="preserve">292FS</t>
  </si>
  <si>
    <t xml:space="preserve">MSP-295</t>
  </si>
  <si>
    <t xml:space="preserve">1.3.1.2.2.4</t>
  </si>
  <si>
    <t xml:space="preserve">MSP-296</t>
  </si>
  <si>
    <t xml:space="preserve">1.3.1.2.2.4.1</t>
  </si>
  <si>
    <t xml:space="preserve">297FS</t>
  </si>
  <si>
    <t xml:space="preserve">MSP-297</t>
  </si>
  <si>
    <t xml:space="preserve">1.3.1.2.2.4.2</t>
  </si>
  <si>
    <t xml:space="preserve">MSP-298</t>
  </si>
  <si>
    <t xml:space="preserve">1.3.1.2.2.5</t>
  </si>
  <si>
    <t xml:space="preserve">MSP-299</t>
  </si>
  <si>
    <t xml:space="preserve">1.3.1.2.2.5.1</t>
  </si>
  <si>
    <t xml:space="preserve">296FS</t>
  </si>
  <si>
    <t xml:space="preserve">MSP-300</t>
  </si>
  <si>
    <t xml:space="preserve">1.3.1.2.3</t>
  </si>
  <si>
    <t xml:space="preserve">MSP-301</t>
  </si>
  <si>
    <t xml:space="preserve">1.3.1.2.3.1</t>
  </si>
  <si>
    <t xml:space="preserve">SOBRECIMIENTO ARMADO</t>
  </si>
  <si>
    <t xml:space="preserve">MSP-302</t>
  </si>
  <si>
    <t xml:space="preserve">1.3.1.2.3.1.1</t>
  </si>
  <si>
    <t xml:space="preserve">CONCRETO F'C=315 KG/CM2 EN SOBRECIMIENTO CEMENTO TIPO HS</t>
  </si>
  <si>
    <t xml:space="preserve">303FS</t>
  </si>
  <si>
    <t xml:space="preserve">MSP-303</t>
  </si>
  <si>
    <t xml:space="preserve">1.3.1.2.3.1.2</t>
  </si>
  <si>
    <t xml:space="preserve">ENCOFRADO Y DESENCOFRADO NORMAL EN SOBRECIMIENTO ARMADO</t>
  </si>
  <si>
    <t xml:space="preserve">304FS</t>
  </si>
  <si>
    <t xml:space="preserve">MSP-304</t>
  </si>
  <si>
    <t xml:space="preserve">1.3.1.2.3.1.3</t>
  </si>
  <si>
    <t xml:space="preserve">ACERO Fy=4200 kg/cm2 GRADO 60 EN SOBRECIMIENTO ARMADO</t>
  </si>
  <si>
    <t xml:space="preserve">307FS</t>
  </si>
  <si>
    <t xml:space="preserve">MSP-305</t>
  </si>
  <si>
    <t xml:space="preserve">1.3.1.2.3.1.4</t>
  </si>
  <si>
    <t xml:space="preserve">302FS</t>
  </si>
  <si>
    <t xml:space="preserve">MSP-306</t>
  </si>
  <si>
    <t xml:space="preserve">1.3.1.2.3.2</t>
  </si>
  <si>
    <t xml:space="preserve">MSP-307</t>
  </si>
  <si>
    <t xml:space="preserve">1.3.1.2.3.2.1</t>
  </si>
  <si>
    <t xml:space="preserve">308FS</t>
  </si>
  <si>
    <t xml:space="preserve">MSP-308</t>
  </si>
  <si>
    <t xml:space="preserve">1.3.1.2.3.2.2</t>
  </si>
  <si>
    <t xml:space="preserve">309FS</t>
  </si>
  <si>
    <t xml:space="preserve">MSP-309</t>
  </si>
  <si>
    <t xml:space="preserve">1.3.1.2.3.2.3</t>
  </si>
  <si>
    <t xml:space="preserve">MSP-310</t>
  </si>
  <si>
    <t xml:space="preserve">1.3.1.2.3.2.4</t>
  </si>
  <si>
    <t xml:space="preserve">MSP-311</t>
  </si>
  <si>
    <t xml:space="preserve">1.3.1.2.3.3</t>
  </si>
  <si>
    <t xml:space="preserve">MSP-312</t>
  </si>
  <si>
    <t xml:space="preserve">1.3.1.2.3.3.1</t>
  </si>
  <si>
    <t xml:space="preserve">313FS</t>
  </si>
  <si>
    <t xml:space="preserve">MSP-313</t>
  </si>
  <si>
    <t xml:space="preserve">1.3.1.2.3.3.2</t>
  </si>
  <si>
    <t xml:space="preserve">314FS</t>
  </si>
  <si>
    <t xml:space="preserve">MSP-314</t>
  </si>
  <si>
    <t xml:space="preserve">1.3.1.2.3.3.3</t>
  </si>
  <si>
    <t xml:space="preserve">302SS</t>
  </si>
  <si>
    <t xml:space="preserve">MSP-315</t>
  </si>
  <si>
    <t xml:space="preserve">1.3.1.2.3.3.4</t>
  </si>
  <si>
    <t xml:space="preserve">312FS</t>
  </si>
  <si>
    <t xml:space="preserve">MSP-316</t>
  </si>
  <si>
    <t xml:space="preserve">1.3.1.2.3.4</t>
  </si>
  <si>
    <t xml:space="preserve">MSP-317</t>
  </si>
  <si>
    <t xml:space="preserve">1.3.1.2.3.4.1</t>
  </si>
  <si>
    <t xml:space="preserve">MSP-318</t>
  </si>
  <si>
    <t xml:space="preserve">1.3.1.2.3.4.1.1</t>
  </si>
  <si>
    <t xml:space="preserve">319FS</t>
  </si>
  <si>
    <t xml:space="preserve">MSP-319</t>
  </si>
  <si>
    <t xml:space="preserve">1.3.1.2.3.4.1.2</t>
  </si>
  <si>
    <t xml:space="preserve">320FS;308FS;303FS</t>
  </si>
  <si>
    <t xml:space="preserve">MSP-320</t>
  </si>
  <si>
    <t xml:space="preserve">1.3.1.2.3.4.1.3</t>
  </si>
  <si>
    <t xml:space="preserve">307FS;302FS</t>
  </si>
  <si>
    <t xml:space="preserve">MSP-321</t>
  </si>
  <si>
    <t xml:space="preserve">1.3.1.2.3.4.1.4</t>
  </si>
  <si>
    <t xml:space="preserve">318FS</t>
  </si>
  <si>
    <t xml:space="preserve">MSP-322</t>
  </si>
  <si>
    <t xml:space="preserve">1.3.1.2.3.4.2</t>
  </si>
  <si>
    <t xml:space="preserve">MSP-323</t>
  </si>
  <si>
    <t xml:space="preserve">1.3.1.2.3.4.2.1</t>
  </si>
  <si>
    <t xml:space="preserve">324FS</t>
  </si>
  <si>
    <t xml:space="preserve">MSP-324</t>
  </si>
  <si>
    <t xml:space="preserve">1.3.1.2.3.4.2.2</t>
  </si>
  <si>
    <t xml:space="preserve">325FS</t>
  </si>
  <si>
    <t xml:space="preserve">MSP-325</t>
  </si>
  <si>
    <t xml:space="preserve">1.3.1.2.3.4.2.3</t>
  </si>
  <si>
    <t xml:space="preserve">356FS</t>
  </si>
  <si>
    <t xml:space="preserve">MSP-326</t>
  </si>
  <si>
    <t xml:space="preserve">1.3.1.2.3.4.2.4</t>
  </si>
  <si>
    <t xml:space="preserve">323FS</t>
  </si>
  <si>
    <t xml:space="preserve">MSP-327</t>
  </si>
  <si>
    <t xml:space="preserve">1.3.1.2.3.4.3</t>
  </si>
  <si>
    <t xml:space="preserve">MSP-328</t>
  </si>
  <si>
    <t xml:space="preserve">1.3.1.2.3.4.3.1</t>
  </si>
  <si>
    <t xml:space="preserve">329FS</t>
  </si>
  <si>
    <t xml:space="preserve">MSP-329</t>
  </si>
  <si>
    <t xml:space="preserve">1.3.1.2.3.4.3.2</t>
  </si>
  <si>
    <t xml:space="preserve">330FS</t>
  </si>
  <si>
    <t xml:space="preserve">MSP-330</t>
  </si>
  <si>
    <t xml:space="preserve">1.3.1.2.3.4.3.3</t>
  </si>
  <si>
    <t xml:space="preserve">377FS;361FS</t>
  </si>
  <si>
    <t xml:space="preserve">MSP-331</t>
  </si>
  <si>
    <t xml:space="preserve">1.3.1.2.3.4.3.4</t>
  </si>
  <si>
    <t xml:space="preserve">328FS</t>
  </si>
  <si>
    <t xml:space="preserve">MSP-332</t>
  </si>
  <si>
    <t xml:space="preserve">1.3.1.2.3.5</t>
  </si>
  <si>
    <t xml:space="preserve">MSP-333</t>
  </si>
  <si>
    <t xml:space="preserve">1.3.1.2.3.5.1</t>
  </si>
  <si>
    <t xml:space="preserve">MSP-334</t>
  </si>
  <si>
    <t xml:space="preserve">1.3.1.2.3.5.1.1</t>
  </si>
  <si>
    <t xml:space="preserve">336FS</t>
  </si>
  <si>
    <t xml:space="preserve">MSP-335</t>
  </si>
  <si>
    <t xml:space="preserve">1.3.1.2.3.5.1.2</t>
  </si>
  <si>
    <t xml:space="preserve">CONCRETO PREMEZCLADO EN PLACAS F'C=280 KG/CM2, C/CEMENTO TIPO HS, PRIMER NIVEL</t>
  </si>
  <si>
    <t xml:space="preserve">MSP-336</t>
  </si>
  <si>
    <t xml:space="preserve">1.3.1.2.3.5.1.3</t>
  </si>
  <si>
    <t xml:space="preserve">337FS</t>
  </si>
  <si>
    <t xml:space="preserve">MSP-337</t>
  </si>
  <si>
    <t xml:space="preserve">1.3.1.2.3.5.1.4</t>
  </si>
  <si>
    <t xml:space="preserve">320SS</t>
  </si>
  <si>
    <t xml:space="preserve">MSP-338</t>
  </si>
  <si>
    <t xml:space="preserve">1.3.1.2.3.5.1.5</t>
  </si>
  <si>
    <t xml:space="preserve">334FS;335FS</t>
  </si>
  <si>
    <t xml:space="preserve">MSP-339</t>
  </si>
  <si>
    <t xml:space="preserve">1.3.1.2.3.5.2</t>
  </si>
  <si>
    <t xml:space="preserve">PLACAS - SEGÚNDO NIVEL</t>
  </si>
  <si>
    <t xml:space="preserve">MSP-340</t>
  </si>
  <si>
    <t xml:space="preserve">1.3.1.2.3.5.2.1</t>
  </si>
  <si>
    <t xml:space="preserve">341FS+86.0d</t>
  </si>
  <si>
    <t xml:space="preserve">MSP-341</t>
  </si>
  <si>
    <t xml:space="preserve">1.3.1.2.3.5.2.2</t>
  </si>
  <si>
    <t xml:space="preserve">342FS</t>
  </si>
  <si>
    <t xml:space="preserve">MSP-342</t>
  </si>
  <si>
    <t xml:space="preserve">1.3.1.2.3.5.2.3</t>
  </si>
  <si>
    <t xml:space="preserve">325SS</t>
  </si>
  <si>
    <t xml:space="preserve">MSP-343</t>
  </si>
  <si>
    <t xml:space="preserve">1.3.1.2.3.5.2.4</t>
  </si>
  <si>
    <t xml:space="preserve">340FS</t>
  </si>
  <si>
    <t xml:space="preserve">MSP-344</t>
  </si>
  <si>
    <t xml:space="preserve">1.3.1.2.3.5.3</t>
  </si>
  <si>
    <t xml:space="preserve">MSP-345</t>
  </si>
  <si>
    <t xml:space="preserve">1.3.1.2.3.5.3.1</t>
  </si>
  <si>
    <t xml:space="preserve">346FS</t>
  </si>
  <si>
    <t xml:space="preserve">MSP-346</t>
  </si>
  <si>
    <t xml:space="preserve">1.3.1.2.3.5.3.2</t>
  </si>
  <si>
    <t xml:space="preserve">347FS</t>
  </si>
  <si>
    <t xml:space="preserve">MSP-347</t>
  </si>
  <si>
    <t xml:space="preserve">1.3.1.2.3.5.3.3</t>
  </si>
  <si>
    <t xml:space="preserve">330SS</t>
  </si>
  <si>
    <t xml:space="preserve">MSP-348</t>
  </si>
  <si>
    <t xml:space="preserve">1.3.1.2.3.5.3.4</t>
  </si>
  <si>
    <t xml:space="preserve">345FS</t>
  </si>
  <si>
    <t xml:space="preserve">MSP-349</t>
  </si>
  <si>
    <t xml:space="preserve">1.3.1.2.3.5.4</t>
  </si>
  <si>
    <t xml:space="preserve">PLACAS - CUARTO NIVEL</t>
  </si>
  <si>
    <t xml:space="preserve">MSP-350</t>
  </si>
  <si>
    <t xml:space="preserve">1.3.1.2.3.5.4.1</t>
  </si>
  <si>
    <t xml:space="preserve">CONCRETO PREMEZCLADO EN PLACAS F'C=210 KG/CM2,  C/CEMENTO TIPO IP, CUARTO NIVEL</t>
  </si>
  <si>
    <t xml:space="preserve">351FS</t>
  </si>
  <si>
    <t xml:space="preserve">MSP-351</t>
  </si>
  <si>
    <t xml:space="preserve">1.3.1.2.3.5.4.2</t>
  </si>
  <si>
    <t xml:space="preserve">ENCOFRADO Y DESENCOFRADO CARAVISTA EN PLACAS, CUARTO NIVEL</t>
  </si>
  <si>
    <t xml:space="preserve">352FS</t>
  </si>
  <si>
    <t xml:space="preserve">MSP-352</t>
  </si>
  <si>
    <t xml:space="preserve">1.3.1.2.3.5.4.3</t>
  </si>
  <si>
    <t xml:space="preserve">366FS;382FS</t>
  </si>
  <si>
    <t xml:space="preserve">MSP-353</t>
  </si>
  <si>
    <t xml:space="preserve">1.3.1.2.3.5.4.4</t>
  </si>
  <si>
    <t xml:space="preserve">350FS</t>
  </si>
  <si>
    <t xml:space="preserve">MSP-354</t>
  </si>
  <si>
    <t xml:space="preserve">1.3.1.2.3.6</t>
  </si>
  <si>
    <t xml:space="preserve">MSP-355</t>
  </si>
  <si>
    <t xml:space="preserve">1.3.1.2.3.6.1</t>
  </si>
  <si>
    <t xml:space="preserve">MSP-356</t>
  </si>
  <si>
    <t xml:space="preserve">1.3.1.2.3.6.1.1</t>
  </si>
  <si>
    <t xml:space="preserve">357FS</t>
  </si>
  <si>
    <t xml:space="preserve">MSP-357</t>
  </si>
  <si>
    <t xml:space="preserve">1.3.1.2.3.6.1.2</t>
  </si>
  <si>
    <t xml:space="preserve">358FS</t>
  </si>
  <si>
    <t xml:space="preserve">MSP-358</t>
  </si>
  <si>
    <t xml:space="preserve">1.3.1.2.3.6.1.3</t>
  </si>
  <si>
    <t xml:space="preserve">334FS;335FS;318FS</t>
  </si>
  <si>
    <t xml:space="preserve">MSP-359</t>
  </si>
  <si>
    <t xml:space="preserve">1.3.1.2.3.6.1.4</t>
  </si>
  <si>
    <t xml:space="preserve">MSP-360</t>
  </si>
  <si>
    <t xml:space="preserve">1.3.1.2.3.6.2</t>
  </si>
  <si>
    <t xml:space="preserve">MSP-361</t>
  </si>
  <si>
    <t xml:space="preserve">1.3.1.2.3.6.2.1</t>
  </si>
  <si>
    <t xml:space="preserve">362FS</t>
  </si>
  <si>
    <t xml:space="preserve">MSP-362</t>
  </si>
  <si>
    <t xml:space="preserve">1.3.1.2.3.6.2.2</t>
  </si>
  <si>
    <t xml:space="preserve">363FS</t>
  </si>
  <si>
    <t xml:space="preserve">MSP-363</t>
  </si>
  <si>
    <t xml:space="preserve">1.3.1.2.3.6.2.3</t>
  </si>
  <si>
    <t xml:space="preserve">340FS;323FS</t>
  </si>
  <si>
    <t xml:space="preserve">MSP-364</t>
  </si>
  <si>
    <t xml:space="preserve">1.3.1.2.3.6.2.4</t>
  </si>
  <si>
    <t xml:space="preserve">361FS</t>
  </si>
  <si>
    <t xml:space="preserve">MSP-365</t>
  </si>
  <si>
    <t xml:space="preserve">1.3.1.2.3.6.3</t>
  </si>
  <si>
    <t xml:space="preserve">MSP-366</t>
  </si>
  <si>
    <t xml:space="preserve">1.3.1.2.3.6.3.1</t>
  </si>
  <si>
    <t xml:space="preserve">367FS</t>
  </si>
  <si>
    <t xml:space="preserve">MSP-367</t>
  </si>
  <si>
    <t xml:space="preserve">1.3.1.2.3.6.3.2</t>
  </si>
  <si>
    <t xml:space="preserve">368FS</t>
  </si>
  <si>
    <t xml:space="preserve">MSP-368</t>
  </si>
  <si>
    <t xml:space="preserve">1.3.1.2.3.6.3.3</t>
  </si>
  <si>
    <t xml:space="preserve">345FS;328FS</t>
  </si>
  <si>
    <t xml:space="preserve">MSP-369</t>
  </si>
  <si>
    <t xml:space="preserve">1.3.1.2.3.6.3.4</t>
  </si>
  <si>
    <t xml:space="preserve">366FS</t>
  </si>
  <si>
    <t xml:space="preserve">MSP-370</t>
  </si>
  <si>
    <t xml:space="preserve">1.3.1.2.3.7</t>
  </si>
  <si>
    <t xml:space="preserve">LOSA MACIZA</t>
  </si>
  <si>
    <t xml:space="preserve">MSP-371</t>
  </si>
  <si>
    <t xml:space="preserve">1.3.1.2.3.7.1</t>
  </si>
  <si>
    <t xml:space="preserve">MSP-372</t>
  </si>
  <si>
    <t xml:space="preserve">1.3.1.2.3.7.1.1</t>
  </si>
  <si>
    <t xml:space="preserve">373FS</t>
  </si>
  <si>
    <t xml:space="preserve">MSP-373</t>
  </si>
  <si>
    <t xml:space="preserve">1.3.1.2.3.7.1.2</t>
  </si>
  <si>
    <t xml:space="preserve">374FS</t>
  </si>
  <si>
    <t xml:space="preserve">MSP-374</t>
  </si>
  <si>
    <t xml:space="preserve">1.3.1.2.3.7.1.3</t>
  </si>
  <si>
    <t xml:space="preserve">358SS</t>
  </si>
  <si>
    <t xml:space="preserve">MSP-375</t>
  </si>
  <si>
    <t xml:space="preserve">1.3.1.2.3.7.1.4</t>
  </si>
  <si>
    <t xml:space="preserve">372FS</t>
  </si>
  <si>
    <t xml:space="preserve">MSP-376</t>
  </si>
  <si>
    <t xml:space="preserve">1.3.1.2.3.7.2</t>
  </si>
  <si>
    <t xml:space="preserve">MSP-377</t>
  </si>
  <si>
    <t xml:space="preserve">1.3.1.2.3.7.2.1</t>
  </si>
  <si>
    <t xml:space="preserve">378FS</t>
  </si>
  <si>
    <t xml:space="preserve">MSP-378</t>
  </si>
  <si>
    <t xml:space="preserve">1.3.1.2.3.7.2.2</t>
  </si>
  <si>
    <t xml:space="preserve">379FS</t>
  </si>
  <si>
    <t xml:space="preserve">MSP-379</t>
  </si>
  <si>
    <t xml:space="preserve">1.3.1.2.3.7.2.3</t>
  </si>
  <si>
    <t xml:space="preserve">363SS</t>
  </si>
  <si>
    <t xml:space="preserve">MSP-380</t>
  </si>
  <si>
    <t xml:space="preserve">1.3.1.2.3.7.2.4</t>
  </si>
  <si>
    <t xml:space="preserve">377FS</t>
  </si>
  <si>
    <t xml:space="preserve">MSP-381</t>
  </si>
  <si>
    <t xml:space="preserve">1.3.1.2.3.7.3</t>
  </si>
  <si>
    <t xml:space="preserve">MSP-382</t>
  </si>
  <si>
    <t xml:space="preserve">1.3.1.2.3.7.3.1</t>
  </si>
  <si>
    <t xml:space="preserve">383FS</t>
  </si>
  <si>
    <t xml:space="preserve">MSP-383</t>
  </si>
  <si>
    <t xml:space="preserve">1.3.1.2.3.7.3.2</t>
  </si>
  <si>
    <t xml:space="preserve">384FS</t>
  </si>
  <si>
    <t xml:space="preserve">MSP-384</t>
  </si>
  <si>
    <t xml:space="preserve">1.3.1.2.3.7.3.3</t>
  </si>
  <si>
    <t xml:space="preserve">347SS;368SS</t>
  </si>
  <si>
    <t xml:space="preserve">MSP-385</t>
  </si>
  <si>
    <t xml:space="preserve">1.3.1.2.3.7.3.4</t>
  </si>
  <si>
    <t xml:space="preserve">382FS</t>
  </si>
  <si>
    <t xml:space="preserve">MSP-386</t>
  </si>
  <si>
    <t xml:space="preserve">1.3.1.2.3.7.4</t>
  </si>
  <si>
    <t xml:space="preserve">LOSA MACIZA - CUARTO NIVEL</t>
  </si>
  <si>
    <t xml:space="preserve">MSP-387</t>
  </si>
  <si>
    <t xml:space="preserve">1.3.1.2.3.7.4.1</t>
  </si>
  <si>
    <t xml:space="preserve">CONCRETO PREMEZCLADO EN LOSAS F'C= 210 KG/CM2, AZOTEA, C/CEMENTO IP</t>
  </si>
  <si>
    <t xml:space="preserve">388FS</t>
  </si>
  <si>
    <t xml:space="preserve">MSP-388</t>
  </si>
  <si>
    <t xml:space="preserve">1.3.1.2.3.7.4.2</t>
  </si>
  <si>
    <t xml:space="preserve">ENCOFRADO Y DESENCOFRADO NORMAL EN LOSA MACIZA (4° NIVEL)</t>
  </si>
  <si>
    <t xml:space="preserve">389FS</t>
  </si>
  <si>
    <t xml:space="preserve">MSP-389</t>
  </si>
  <si>
    <t xml:space="preserve">1.3.1.2.3.7.4.3</t>
  </si>
  <si>
    <t xml:space="preserve">352SS</t>
  </si>
  <si>
    <t xml:space="preserve">MSP-390</t>
  </si>
  <si>
    <t xml:space="preserve">1.3.1.2.3.7.4.4</t>
  </si>
  <si>
    <t xml:space="preserve">387FS</t>
  </si>
  <si>
    <t xml:space="preserve">MSP-391</t>
  </si>
  <si>
    <t xml:space="preserve">1.3.1.2.3.8</t>
  </si>
  <si>
    <t xml:space="preserve">MSP-392</t>
  </si>
  <si>
    <t xml:space="preserve">1.3.1.2.3.8.1</t>
  </si>
  <si>
    <t xml:space="preserve">MSP-393</t>
  </si>
  <si>
    <t xml:space="preserve">1.3.1.2.3.8.1.1</t>
  </si>
  <si>
    <t xml:space="preserve">395FS</t>
  </si>
  <si>
    <t xml:space="preserve">MSP-394</t>
  </si>
  <si>
    <t xml:space="preserve">1.3.1.2.3.8.1.2</t>
  </si>
  <si>
    <t xml:space="preserve">374SS</t>
  </si>
  <si>
    <t xml:space="preserve">MSP-395</t>
  </si>
  <si>
    <t xml:space="preserve">1.3.1.2.3.8.1.3</t>
  </si>
  <si>
    <t xml:space="preserve">396FS</t>
  </si>
  <si>
    <t xml:space="preserve">MSP-396</t>
  </si>
  <si>
    <t xml:space="preserve">1.3.1.2.3.8.1.4</t>
  </si>
  <si>
    <t xml:space="preserve">394FS</t>
  </si>
  <si>
    <t xml:space="preserve">MSP-397</t>
  </si>
  <si>
    <t xml:space="preserve">1.3.1.2.3.8.1.5</t>
  </si>
  <si>
    <t xml:space="preserve">393FS</t>
  </si>
  <si>
    <t xml:space="preserve">MSP-398</t>
  </si>
  <si>
    <t xml:space="preserve">1.3.1.2.3.8.2</t>
  </si>
  <si>
    <t xml:space="preserve">MSP-399</t>
  </si>
  <si>
    <t xml:space="preserve">1.3.1.2.3.8.2.1</t>
  </si>
  <si>
    <t xml:space="preserve">401FS</t>
  </si>
  <si>
    <t xml:space="preserve">MSP-400</t>
  </si>
  <si>
    <t xml:space="preserve">1.3.1.2.3.8.2.2</t>
  </si>
  <si>
    <t xml:space="preserve">379SS</t>
  </si>
  <si>
    <t xml:space="preserve">MSP-401</t>
  </si>
  <si>
    <t xml:space="preserve">1.3.1.2.3.8.2.3</t>
  </si>
  <si>
    <t xml:space="preserve">402FS</t>
  </si>
  <si>
    <t xml:space="preserve">MSP-402</t>
  </si>
  <si>
    <t xml:space="preserve">1.3.1.2.3.8.2.4</t>
  </si>
  <si>
    <t xml:space="preserve">400FS</t>
  </si>
  <si>
    <t xml:space="preserve">MSP-403</t>
  </si>
  <si>
    <t xml:space="preserve">1.3.1.2.3.8.2.5</t>
  </si>
  <si>
    <t xml:space="preserve">399FS</t>
  </si>
  <si>
    <t xml:space="preserve">MSP-404</t>
  </si>
  <si>
    <t xml:space="preserve">1.3.1.2.3.8.3</t>
  </si>
  <si>
    <t xml:space="preserve">MSP-405</t>
  </si>
  <si>
    <t xml:space="preserve">1.3.1.2.3.8.3.1</t>
  </si>
  <si>
    <t xml:space="preserve">407FS</t>
  </si>
  <si>
    <t xml:space="preserve">MSP-406</t>
  </si>
  <si>
    <t xml:space="preserve">1.3.1.2.3.8.3.2</t>
  </si>
  <si>
    <t xml:space="preserve">384SS</t>
  </si>
  <si>
    <t xml:space="preserve">MSP-407</t>
  </si>
  <si>
    <t xml:space="preserve">1.3.1.2.3.8.3.3</t>
  </si>
  <si>
    <t xml:space="preserve">408FS</t>
  </si>
  <si>
    <t xml:space="preserve">MSP-408</t>
  </si>
  <si>
    <t xml:space="preserve">1.3.1.2.3.8.3.4</t>
  </si>
  <si>
    <t xml:space="preserve">406FS</t>
  </si>
  <si>
    <t xml:space="preserve">MSP-409</t>
  </si>
  <si>
    <t xml:space="preserve">1.3.1.2.3.8.3.5</t>
  </si>
  <si>
    <t xml:space="preserve">405FS</t>
  </si>
  <si>
    <t xml:space="preserve">MSP-410</t>
  </si>
  <si>
    <t xml:space="preserve">1.3.1.2.3.8.4</t>
  </si>
  <si>
    <t xml:space="preserve">LOSA ALIGERADA - CUARTO NIVEL</t>
  </si>
  <si>
    <t xml:space="preserve">MSP-411</t>
  </si>
  <si>
    <t xml:space="preserve">1.3.1.2.3.8.4.1</t>
  </si>
  <si>
    <t xml:space="preserve">413FS</t>
  </si>
  <si>
    <t xml:space="preserve">MSP-412</t>
  </si>
  <si>
    <t xml:space="preserve">1.3.1.2.3.8.4.2</t>
  </si>
  <si>
    <t xml:space="preserve">ENCOFRADO Y DESENCOFRADO NORMAL EN LOSA (4° NIVEL)</t>
  </si>
  <si>
    <t xml:space="preserve">389SS</t>
  </si>
  <si>
    <t xml:space="preserve">MSP-413</t>
  </si>
  <si>
    <t xml:space="preserve">1.3.1.2.3.8.4.3</t>
  </si>
  <si>
    <t xml:space="preserve">414FS</t>
  </si>
  <si>
    <t xml:space="preserve">MSP-414</t>
  </si>
  <si>
    <t xml:space="preserve">1.3.1.2.3.8.4.4</t>
  </si>
  <si>
    <t xml:space="preserve">LADRILLO HUECO DE ARCILLA 30x30x15 CM. PARA LOSAS ALIGERADAS (4° NIVEL)</t>
  </si>
  <si>
    <t xml:space="preserve">412FS</t>
  </si>
  <si>
    <t xml:space="preserve">MSP-415</t>
  </si>
  <si>
    <t xml:space="preserve">1.3.1.2.3.8.4.5</t>
  </si>
  <si>
    <t xml:space="preserve">411FS</t>
  </si>
  <si>
    <t xml:space="preserve">MSP-416</t>
  </si>
  <si>
    <t xml:space="preserve">1.3.1.2.3.9</t>
  </si>
  <si>
    <t xml:space="preserve">ESCALERAS</t>
  </si>
  <si>
    <t xml:space="preserve">MSP-417</t>
  </si>
  <si>
    <t xml:space="preserve">1.3.1.2.3.9.1</t>
  </si>
  <si>
    <t xml:space="preserve">ESCALERAS-SOTANO</t>
  </si>
  <si>
    <t xml:space="preserve">MSP-418</t>
  </si>
  <si>
    <t xml:space="preserve">1.3.1.2.3.9.1.1</t>
  </si>
  <si>
    <t xml:space="preserve">CONCRETO PREMEZCLADO EN ESCALERAS F'C= 210 KG/CM2, C/CEMENTO HS</t>
  </si>
  <si>
    <t xml:space="preserve">420FS</t>
  </si>
  <si>
    <t xml:space="preserve">MSP-419</t>
  </si>
  <si>
    <t xml:space="preserve">1.3.1.2.3.9.1.2</t>
  </si>
  <si>
    <t xml:space="preserve">ENCOFRADO Y DESENCOFRADO NORMAL EN ESCALERAS</t>
  </si>
  <si>
    <t xml:space="preserve">MSP-420</t>
  </si>
  <si>
    <t xml:space="preserve">1.3.1.2.3.9.1.3</t>
  </si>
  <si>
    <t xml:space="preserve">ACERO Fy=4200 kg/cm2 GRADO 60 EN ESCALERAS</t>
  </si>
  <si>
    <t xml:space="preserve">419FS</t>
  </si>
  <si>
    <t xml:space="preserve">MSP-421</t>
  </si>
  <si>
    <t xml:space="preserve">1.3.1.2.3.9.1.4</t>
  </si>
  <si>
    <t xml:space="preserve">418FS</t>
  </si>
  <si>
    <t xml:space="preserve">MSP-422</t>
  </si>
  <si>
    <t xml:space="preserve">1.3.1.2.3.9.2</t>
  </si>
  <si>
    <t xml:space="preserve">ESCALERAS - PRIMER NIVEL</t>
  </si>
  <si>
    <t xml:space="preserve">MSP-423</t>
  </si>
  <si>
    <t xml:space="preserve">1.3.1.2.3.9.2.1</t>
  </si>
  <si>
    <t xml:space="preserve">CONCRETO PREMEZCLADO EN ESCALERAS F'C= 210 KG/CM2, C/CEMENTO IP PRIMER NIVEL</t>
  </si>
  <si>
    <t xml:space="preserve">425FS</t>
  </si>
  <si>
    <t xml:space="preserve">MSP-424</t>
  </si>
  <si>
    <t xml:space="preserve">1.3.1.2.3.9.2.2</t>
  </si>
  <si>
    <t xml:space="preserve">MSP-425</t>
  </si>
  <si>
    <t xml:space="preserve">1.3.1.2.3.9.2.3</t>
  </si>
  <si>
    <t xml:space="preserve">424FS</t>
  </si>
  <si>
    <t xml:space="preserve">MSP-426</t>
  </si>
  <si>
    <t xml:space="preserve">1.3.1.2.3.9.2.4</t>
  </si>
  <si>
    <t xml:space="preserve">423FS</t>
  </si>
  <si>
    <t xml:space="preserve">MSP-427</t>
  </si>
  <si>
    <t xml:space="preserve">1.3.1.2.3.9.3</t>
  </si>
  <si>
    <t xml:space="preserve">ESCALERAS - SEGUNDO NIVEL</t>
  </si>
  <si>
    <t xml:space="preserve">MSP-428</t>
  </si>
  <si>
    <t xml:space="preserve">1.3.1.2.3.9.3.1</t>
  </si>
  <si>
    <t xml:space="preserve">CONCRETO PREMEZCLADO EN ESCALERAS F'C= 210 KG/CM2, C/CEMENTO IP SEGUNDO NIVEL</t>
  </si>
  <si>
    <t xml:space="preserve">430FS</t>
  </si>
  <si>
    <t xml:space="preserve">MSP-429</t>
  </si>
  <si>
    <t xml:space="preserve">1.3.1.2.3.9.3.2</t>
  </si>
  <si>
    <t xml:space="preserve">MSP-430</t>
  </si>
  <si>
    <t xml:space="preserve">1.3.1.2.3.9.3.3</t>
  </si>
  <si>
    <t xml:space="preserve">429FS</t>
  </si>
  <si>
    <t xml:space="preserve">MSP-431</t>
  </si>
  <si>
    <t xml:space="preserve">1.3.1.2.3.9.3.4</t>
  </si>
  <si>
    <t xml:space="preserve">428FS</t>
  </si>
  <si>
    <t xml:space="preserve">MSP-432</t>
  </si>
  <si>
    <t xml:space="preserve">1.3.1.2.3.9.4</t>
  </si>
  <si>
    <t xml:space="preserve">ESCALERA - TERCER NIVEL</t>
  </si>
  <si>
    <t xml:space="preserve">MSP-433</t>
  </si>
  <si>
    <t xml:space="preserve">1.3.1.2.3.9.4.1</t>
  </si>
  <si>
    <t xml:space="preserve">CONCRETO PREMEZCLADO EN ESCALERAS F'C= 210 KG/CM2, C/CEMENTO IP TERCER NIVEL</t>
  </si>
  <si>
    <t xml:space="preserve">435FS</t>
  </si>
  <si>
    <t xml:space="preserve">MSP-434</t>
  </si>
  <si>
    <t xml:space="preserve">1.3.1.2.3.9.4.2</t>
  </si>
  <si>
    <t xml:space="preserve">MSP-435</t>
  </si>
  <si>
    <t xml:space="preserve">1.3.1.2.3.9.4.3</t>
  </si>
  <si>
    <t xml:space="preserve">434FS</t>
  </si>
  <si>
    <t xml:space="preserve">MSP-436</t>
  </si>
  <si>
    <t xml:space="preserve">1.3.1.2.3.9.4.4</t>
  </si>
  <si>
    <t xml:space="preserve">433FS</t>
  </si>
  <si>
    <t xml:space="preserve">MSP-437</t>
  </si>
  <si>
    <t xml:space="preserve">1.3.1.2.3.10</t>
  </si>
  <si>
    <t xml:space="preserve">MSP-438</t>
  </si>
  <si>
    <t xml:space="preserve">1.3.1.2.3.10.1</t>
  </si>
  <si>
    <t xml:space="preserve">MSP-439</t>
  </si>
  <si>
    <t xml:space="preserve">1.3.1.2.3.10.1.1</t>
  </si>
  <si>
    <t xml:space="preserve">440FS</t>
  </si>
  <si>
    <t xml:space="preserve">MSP-440</t>
  </si>
  <si>
    <t xml:space="preserve">1.3.1.2.3.10.1.2</t>
  </si>
  <si>
    <t xml:space="preserve">441FS</t>
  </si>
  <si>
    <t xml:space="preserve">MSP-441</t>
  </si>
  <si>
    <t xml:space="preserve">1.3.1.2.3.10.1.3</t>
  </si>
  <si>
    <t xml:space="preserve">2173FS</t>
  </si>
  <si>
    <t xml:space="preserve">MSP-442</t>
  </si>
  <si>
    <t xml:space="preserve">1.3.1.2.3.10.1.4</t>
  </si>
  <si>
    <t xml:space="preserve">439FS</t>
  </si>
  <si>
    <t xml:space="preserve">MSP-443</t>
  </si>
  <si>
    <t xml:space="preserve">1.3.1.2.3.10.2</t>
  </si>
  <si>
    <t xml:space="preserve">MSP-444</t>
  </si>
  <si>
    <t xml:space="preserve">1.3.1.2.3.10.2.1</t>
  </si>
  <si>
    <t xml:space="preserve">445FS</t>
  </si>
  <si>
    <t xml:space="preserve">MSP-445</t>
  </si>
  <si>
    <t xml:space="preserve">1.3.1.2.3.10.2.2</t>
  </si>
  <si>
    <t xml:space="preserve">446FS</t>
  </si>
  <si>
    <t xml:space="preserve">MSP-446</t>
  </si>
  <si>
    <t xml:space="preserve">1.3.1.2.3.10.2.3</t>
  </si>
  <si>
    <t xml:space="preserve">MSP-447</t>
  </si>
  <si>
    <t xml:space="preserve">1.3.1.2.3.10.2.4</t>
  </si>
  <si>
    <t xml:space="preserve">444FS</t>
  </si>
  <si>
    <t xml:space="preserve">MSP-448</t>
  </si>
  <si>
    <t xml:space="preserve">1.3.1.2.3.10.3</t>
  </si>
  <si>
    <t xml:space="preserve">MSP-449</t>
  </si>
  <si>
    <t xml:space="preserve">1.3.1.2.3.10.3.1</t>
  </si>
  <si>
    <t xml:space="preserve">450FS</t>
  </si>
  <si>
    <t xml:space="preserve">MSP-450</t>
  </si>
  <si>
    <t xml:space="preserve">1.3.1.2.3.10.3.2</t>
  </si>
  <si>
    <t xml:space="preserve">451FS</t>
  </si>
  <si>
    <t xml:space="preserve">MSP-451</t>
  </si>
  <si>
    <t xml:space="preserve">1.3.1.2.3.10.3.3</t>
  </si>
  <si>
    <t xml:space="preserve">MSP-452</t>
  </si>
  <si>
    <t xml:space="preserve">1.3.1.2.3.10.3.4</t>
  </si>
  <si>
    <t xml:space="preserve">449FS</t>
  </si>
  <si>
    <t xml:space="preserve">MSP-453</t>
  </si>
  <si>
    <t xml:space="preserve">1.3.1.2.3.10.4</t>
  </si>
  <si>
    <t xml:space="preserve">MSP-454</t>
  </si>
  <si>
    <t xml:space="preserve">1.3.1.2.3.10.4.1</t>
  </si>
  <si>
    <t xml:space="preserve">455FS</t>
  </si>
  <si>
    <t xml:space="preserve">MSP-455</t>
  </si>
  <si>
    <t xml:space="preserve">1.3.1.2.3.10.4.2</t>
  </si>
  <si>
    <t xml:space="preserve">456FS</t>
  </si>
  <si>
    <t xml:space="preserve">MSP-456</t>
  </si>
  <si>
    <t xml:space="preserve">1.3.1.2.3.10.4.3</t>
  </si>
  <si>
    <t xml:space="preserve">MSP-457</t>
  </si>
  <si>
    <t xml:space="preserve">1.3.1.2.3.10.4.4</t>
  </si>
  <si>
    <t xml:space="preserve">454FS</t>
  </si>
  <si>
    <t xml:space="preserve">MSP-458</t>
  </si>
  <si>
    <t xml:space="preserve">1.3.1.2.3.11</t>
  </si>
  <si>
    <t xml:space="preserve">MSP-459</t>
  </si>
  <si>
    <t xml:space="preserve">1.3.1.2.3.11.1</t>
  </si>
  <si>
    <t xml:space="preserve">MSP-460</t>
  </si>
  <si>
    <t xml:space="preserve">1.3.1.2.3.11.1.1</t>
  </si>
  <si>
    <t xml:space="preserve">461FS</t>
  </si>
  <si>
    <t xml:space="preserve">MSP-461</t>
  </si>
  <si>
    <t xml:space="preserve">1.3.1.2.3.11.1.2</t>
  </si>
  <si>
    <t xml:space="preserve">462FS</t>
  </si>
  <si>
    <t xml:space="preserve">MSP-462</t>
  </si>
  <si>
    <t xml:space="preserve">1.3.1.2.3.11.1.3</t>
  </si>
  <si>
    <t xml:space="preserve">MSP-463</t>
  </si>
  <si>
    <t xml:space="preserve">1.3.1.2.3.11.1.4</t>
  </si>
  <si>
    <t xml:space="preserve">460FS</t>
  </si>
  <si>
    <t xml:space="preserve">MSP-464</t>
  </si>
  <si>
    <t xml:space="preserve">1.3.1.2.3.11.2</t>
  </si>
  <si>
    <t xml:space="preserve">MSP-465</t>
  </si>
  <si>
    <t xml:space="preserve">1.3.1.2.3.11.2.1</t>
  </si>
  <si>
    <t xml:space="preserve">466FS</t>
  </si>
  <si>
    <t xml:space="preserve">MSP-466</t>
  </si>
  <si>
    <t xml:space="preserve">1.3.1.2.3.11.2.2</t>
  </si>
  <si>
    <t xml:space="preserve">467FS</t>
  </si>
  <si>
    <t xml:space="preserve">MSP-467</t>
  </si>
  <si>
    <t xml:space="preserve">1.3.1.2.3.11.2.3</t>
  </si>
  <si>
    <t xml:space="preserve">MSP-468</t>
  </si>
  <si>
    <t xml:space="preserve">1.3.1.2.3.11.2.4</t>
  </si>
  <si>
    <t xml:space="preserve">465FS</t>
  </si>
  <si>
    <t xml:space="preserve">MSP-469</t>
  </si>
  <si>
    <t xml:space="preserve">1.3.1.2.3.11.3</t>
  </si>
  <si>
    <t xml:space="preserve">MSP-470</t>
  </si>
  <si>
    <t xml:space="preserve">1.3.1.2.3.11.3.1</t>
  </si>
  <si>
    <t xml:space="preserve">471FS</t>
  </si>
  <si>
    <t xml:space="preserve">MSP-471</t>
  </si>
  <si>
    <t xml:space="preserve">1.3.1.2.3.11.3.2</t>
  </si>
  <si>
    <t xml:space="preserve">472FS</t>
  </si>
  <si>
    <t xml:space="preserve">MSP-472</t>
  </si>
  <si>
    <t xml:space="preserve">1.3.1.2.3.11.3.3</t>
  </si>
  <si>
    <t xml:space="preserve">MSP-473</t>
  </si>
  <si>
    <t xml:space="preserve">1.3.1.2.3.11.3.4</t>
  </si>
  <si>
    <t xml:space="preserve">470FS</t>
  </si>
  <si>
    <t xml:space="preserve">MSP-474</t>
  </si>
  <si>
    <t xml:space="preserve">1.3.1.2.3.11.4</t>
  </si>
  <si>
    <t xml:space="preserve">MSP-475</t>
  </si>
  <si>
    <t xml:space="preserve">1.3.1.2.3.11.4.1</t>
  </si>
  <si>
    <t xml:space="preserve">476FS</t>
  </si>
  <si>
    <t xml:space="preserve">MSP-476</t>
  </si>
  <si>
    <t xml:space="preserve">1.3.1.2.3.11.4.2</t>
  </si>
  <si>
    <t xml:space="preserve">477FS</t>
  </si>
  <si>
    <t xml:space="preserve">MSP-477</t>
  </si>
  <si>
    <t xml:space="preserve">1.3.1.2.3.11.4.3</t>
  </si>
  <si>
    <t xml:space="preserve">MSP-478</t>
  </si>
  <si>
    <t xml:space="preserve">1.3.1.2.3.11.4.4</t>
  </si>
  <si>
    <t xml:space="preserve">475FS</t>
  </si>
  <si>
    <t xml:space="preserve">MSP-479</t>
  </si>
  <si>
    <t xml:space="preserve">1.3.1.2.3.12</t>
  </si>
  <si>
    <t xml:space="preserve">TANQUE ELEVADO</t>
  </si>
  <si>
    <t xml:space="preserve">MSP-480</t>
  </si>
  <si>
    <t xml:space="preserve">1.3.1.2.3.12.1</t>
  </si>
  <si>
    <t xml:space="preserve">MSP-481</t>
  </si>
  <si>
    <t xml:space="preserve">1.3.1.2.3.12.1.1</t>
  </si>
  <si>
    <t xml:space="preserve">CONCRETO PREMEZCLADO EN VIGAS F'C= 280 KG/CM2 C/CEMENTO IP PARA TANQUE ELEVADO</t>
  </si>
  <si>
    <t xml:space="preserve">482FS</t>
  </si>
  <si>
    <t xml:space="preserve">MSP-482</t>
  </si>
  <si>
    <t xml:space="preserve">1.3.1.2.3.12.1.2</t>
  </si>
  <si>
    <t xml:space="preserve">ENCOFRADO Y DESENCOFRADO NORMAL EN TANQUE ELEVADO</t>
  </si>
  <si>
    <t xml:space="preserve">483FS</t>
  </si>
  <si>
    <t xml:space="preserve">MSP-483</t>
  </si>
  <si>
    <t xml:space="preserve">1.3.1.2.3.12.1.3</t>
  </si>
  <si>
    <t xml:space="preserve">ACERO Fy=4200 kg/cm2 GRADO 60 EN TANQUE ELEVADO</t>
  </si>
  <si>
    <t xml:space="preserve">488FS</t>
  </si>
  <si>
    <t xml:space="preserve">MSP-484</t>
  </si>
  <si>
    <t xml:space="preserve">1.3.1.2.3.12.1.4</t>
  </si>
  <si>
    <t xml:space="preserve">481FS</t>
  </si>
  <si>
    <t xml:space="preserve">MSP-485</t>
  </si>
  <si>
    <t xml:space="preserve">1.3.1.2.3.12.2</t>
  </si>
  <si>
    <t xml:space="preserve">MSP-486</t>
  </si>
  <si>
    <t xml:space="preserve">1.3.1.2.3.12.2.1</t>
  </si>
  <si>
    <t xml:space="preserve">CONCRETO PREMEZCLADO EN PLACAS F'C= 280 KG/CM2 CON CEMENTO HS PARA TANQUE ELEVADO</t>
  </si>
  <si>
    <t xml:space="preserve">487FS</t>
  </si>
  <si>
    <t xml:space="preserve">MSP-487</t>
  </si>
  <si>
    <t xml:space="preserve">1.3.1.2.3.12.2.2</t>
  </si>
  <si>
    <t xml:space="preserve">ENCOFRADO Y DESENCOFRADO CARAVISTA EN PLACAS</t>
  </si>
  <si>
    <t xml:space="preserve">MSP-488</t>
  </si>
  <si>
    <t xml:space="preserve">1.3.1.2.3.12.2.3</t>
  </si>
  <si>
    <t xml:space="preserve">MSP-489</t>
  </si>
  <si>
    <t xml:space="preserve">1.3.1.2.3.12.2.4</t>
  </si>
  <si>
    <t xml:space="preserve">486FS</t>
  </si>
  <si>
    <t xml:space="preserve">MSP-490</t>
  </si>
  <si>
    <t xml:space="preserve">1.3.1.2.3.12.3</t>
  </si>
  <si>
    <t xml:space="preserve">MSP-491</t>
  </si>
  <si>
    <t xml:space="preserve">1.3.1.2.3.12.3.1</t>
  </si>
  <si>
    <t xml:space="preserve">CONCRETO PREMEZCLADO EN LOSAS MACIZAS F'C= 280 KG/CM2 PARA TANQUE ELEVADO</t>
  </si>
  <si>
    <t xml:space="preserve">493FS</t>
  </si>
  <si>
    <t xml:space="preserve">MSP-492</t>
  </si>
  <si>
    <t xml:space="preserve">1.3.1.2.3.12.3.2</t>
  </si>
  <si>
    <t xml:space="preserve">ENCOFRADO Y DESENCOFRADO NORMAL EN LOSA MACIZA</t>
  </si>
  <si>
    <t xml:space="preserve">483SS</t>
  </si>
  <si>
    <t xml:space="preserve">MSP-493</t>
  </si>
  <si>
    <t xml:space="preserve">1.3.1.2.3.12.3.3</t>
  </si>
  <si>
    <t xml:space="preserve">ACERO DE REFUERZO Fy=4200 kg/cm2 EN LOSA MACIZA</t>
  </si>
  <si>
    <t xml:space="preserve">492FS</t>
  </si>
  <si>
    <t xml:space="preserve">MSP-494</t>
  </si>
  <si>
    <t xml:space="preserve">1.3.1.2.3.12.3.4</t>
  </si>
  <si>
    <t xml:space="preserve">491FS</t>
  </si>
  <si>
    <t xml:space="preserve">MSP-495</t>
  </si>
  <si>
    <t xml:space="preserve">1.3.1.2.3.12.4</t>
  </si>
  <si>
    <t xml:space="preserve">CUBA</t>
  </si>
  <si>
    <t xml:space="preserve">MSP-496</t>
  </si>
  <si>
    <t xml:space="preserve">1.3.1.2.3.12.4.1</t>
  </si>
  <si>
    <t xml:space="preserve">CUBA: CONCRETO PREMEZCLADO F'C=280 KG/CM2 C/ CEMENTO IP</t>
  </si>
  <si>
    <t xml:space="preserve">497FS</t>
  </si>
  <si>
    <t xml:space="preserve">MSP-497</t>
  </si>
  <si>
    <t xml:space="preserve">1.3.1.2.3.12.4.2</t>
  </si>
  <si>
    <t xml:space="preserve">CUBA: MUROS ENCOFRADO Y DESENCOFRADO CARAVISTA</t>
  </si>
  <si>
    <t xml:space="preserve">498FS</t>
  </si>
  <si>
    <t xml:space="preserve">MSP-498</t>
  </si>
  <si>
    <t xml:space="preserve">1.3.1.2.3.12.4.3</t>
  </si>
  <si>
    <t xml:space="preserve">CUBA: ACERO CORRUGADO FY=4,200 KG/CM2</t>
  </si>
  <si>
    <t xml:space="preserve">MSP-499</t>
  </si>
  <si>
    <t xml:space="preserve">1.3.1.2.3.12.4.4</t>
  </si>
  <si>
    <t xml:space="preserve">496FS</t>
  </si>
  <si>
    <t xml:space="preserve">MSP-500</t>
  </si>
  <si>
    <t xml:space="preserve">1.3.1.2.3.12.5</t>
  </si>
  <si>
    <t xml:space="preserve">REVOQUES  Y ENLUCIDOS</t>
  </si>
  <si>
    <t xml:space="preserve">MSP-501</t>
  </si>
  <si>
    <t xml:space="preserve">1.3.1.2.3.12.5.1</t>
  </si>
  <si>
    <t xml:space="preserve">CUBA: IMPERMEABILIZANTE POR CRISTALIZACION DE CONCRETO</t>
  </si>
  <si>
    <t xml:space="preserve">499FS</t>
  </si>
  <si>
    <t xml:space="preserve">MSP-502</t>
  </si>
  <si>
    <t xml:space="preserve">1.3.1.2.3.13</t>
  </si>
  <si>
    <t xml:space="preserve">TANQUE CISTERNA</t>
  </si>
  <si>
    <t xml:space="preserve">MSP-503</t>
  </si>
  <si>
    <t xml:space="preserve">1.3.1.2.3.13.1</t>
  </si>
  <si>
    <t xml:space="preserve">PLATAFORMA</t>
  </si>
  <si>
    <t xml:space="preserve">MSP-504</t>
  </si>
  <si>
    <t xml:space="preserve">1.3.1.2.3.13.1.1</t>
  </si>
  <si>
    <t xml:space="preserve">MSP-505</t>
  </si>
  <si>
    <t xml:space="preserve">1.3.1.2.3.13.1.2</t>
  </si>
  <si>
    <t xml:space="preserve">CONCRETO PREMEZCLADO F'C=315 KG/CM2 PARA CISTERNA, CON CEMENTO HS</t>
  </si>
  <si>
    <t xml:space="preserve">506FS</t>
  </si>
  <si>
    <t xml:space="preserve">MSP-506</t>
  </si>
  <si>
    <t xml:space="preserve">1.3.1.2.3.13.1.3</t>
  </si>
  <si>
    <t xml:space="preserve">ENCOFRADO Y DESENCOFRADO LOSA PLATAFORMA</t>
  </si>
  <si>
    <t xml:space="preserve">507FS</t>
  </si>
  <si>
    <t xml:space="preserve">MSP-507</t>
  </si>
  <si>
    <t xml:space="preserve">1.3.1.2.3.13.1.4</t>
  </si>
  <si>
    <t xml:space="preserve">ACERO Fy=4200 kg/cm2 GRADO 60 EN LOSAS</t>
  </si>
  <si>
    <t xml:space="preserve">504FS</t>
  </si>
  <si>
    <t xml:space="preserve">MSP-508</t>
  </si>
  <si>
    <t xml:space="preserve">1.3.1.2.3.13.1.5</t>
  </si>
  <si>
    <t xml:space="preserve">504FS;505FS</t>
  </si>
  <si>
    <t xml:space="preserve">MSP-509</t>
  </si>
  <si>
    <t xml:space="preserve">1.3.1.2.3.13.2</t>
  </si>
  <si>
    <t xml:space="preserve">MURO - PRIMER NIVEL</t>
  </si>
  <si>
    <t xml:space="preserve">MSP-510</t>
  </si>
  <si>
    <t xml:space="preserve">1.3.1.2.3.13.2.1</t>
  </si>
  <si>
    <t xml:space="preserve">CONCRETO PREMEZCLADO EN MUROS F'C=315 KG/CM2, C/CEMENTO TIPO HS, PRIMER NIVEL</t>
  </si>
  <si>
    <t xml:space="preserve">511FS</t>
  </si>
  <si>
    <t xml:space="preserve">MSP-511</t>
  </si>
  <si>
    <t xml:space="preserve">1.3.1.2.3.13.2.2</t>
  </si>
  <si>
    <t xml:space="preserve">ENCOFRADO Y DESENCOFRADO CARAVISTA EN MUROS, PRIMER NIVEL</t>
  </si>
  <si>
    <t xml:space="preserve">512FS</t>
  </si>
  <si>
    <t xml:space="preserve">MSP-512</t>
  </si>
  <si>
    <t xml:space="preserve">1.3.1.2.3.13.2.3</t>
  </si>
  <si>
    <t xml:space="preserve">ACERO Fy=4200 kg/cm2 GRADO 60 EN MUROS</t>
  </si>
  <si>
    <t xml:space="preserve">504SS</t>
  </si>
  <si>
    <t xml:space="preserve">MSP-513</t>
  </si>
  <si>
    <t xml:space="preserve">1.3.1.2.3.13.2.4</t>
  </si>
  <si>
    <t xml:space="preserve">510FS</t>
  </si>
  <si>
    <t xml:space="preserve">MSP-514</t>
  </si>
  <si>
    <t xml:space="preserve">1.3.1.2.3.13.3</t>
  </si>
  <si>
    <t xml:space="preserve">MSP-515</t>
  </si>
  <si>
    <t xml:space="preserve">1.3.1.2.3.13.3.1</t>
  </si>
  <si>
    <t xml:space="preserve">CONCRETO PREMEZCLADO EN VIGA DEL TANQUE CISTERNA F'C= 280 KG/CM2, C/CEMENTO HS</t>
  </si>
  <si>
    <t xml:space="preserve">516FS</t>
  </si>
  <si>
    <t xml:space="preserve">MSP-516</t>
  </si>
  <si>
    <t xml:space="preserve">1.3.1.2.3.13.3.2</t>
  </si>
  <si>
    <t xml:space="preserve">517FS</t>
  </si>
  <si>
    <t xml:space="preserve">MSP-517</t>
  </si>
  <si>
    <t xml:space="preserve">1.3.1.2.3.13.3.3</t>
  </si>
  <si>
    <t xml:space="preserve">512FS;507FS</t>
  </si>
  <si>
    <t xml:space="preserve">MSP-518</t>
  </si>
  <si>
    <t xml:space="preserve">1.3.1.2.3.13.3.4</t>
  </si>
  <si>
    <t xml:space="preserve">515FS</t>
  </si>
  <si>
    <t xml:space="preserve">MSP-519</t>
  </si>
  <si>
    <t xml:space="preserve">1.3.1.2.3.13.4</t>
  </si>
  <si>
    <t xml:space="preserve">MSP-520</t>
  </si>
  <si>
    <t xml:space="preserve">1.3.1.2.3.13.4.1</t>
  </si>
  <si>
    <t xml:space="preserve">522FS</t>
  </si>
  <si>
    <t xml:space="preserve">MSP-521</t>
  </si>
  <si>
    <t xml:space="preserve">1.3.1.2.3.13.4.2</t>
  </si>
  <si>
    <t xml:space="preserve">517SS</t>
  </si>
  <si>
    <t xml:space="preserve">MSP-522</t>
  </si>
  <si>
    <t xml:space="preserve">1.3.1.2.3.13.4.3</t>
  </si>
  <si>
    <t xml:space="preserve">521FS</t>
  </si>
  <si>
    <t xml:space="preserve">MSP-523</t>
  </si>
  <si>
    <t xml:space="preserve">1.3.1.2.3.13.4.4</t>
  </si>
  <si>
    <t xml:space="preserve">520FS</t>
  </si>
  <si>
    <t xml:space="preserve">MSP-524</t>
  </si>
  <si>
    <t xml:space="preserve">1.3.1.2.3.13.5</t>
  </si>
  <si>
    <t xml:space="preserve">CAJA DE VALVULA</t>
  </si>
  <si>
    <t xml:space="preserve">MSP-525</t>
  </si>
  <si>
    <t xml:space="preserve">1.3.1.2.3.13.5.1</t>
  </si>
  <si>
    <t xml:space="preserve">CONCRETO PREMEZCLADO EN CAJA DE VALVULAS F'C= 280 KG/CM2 C/CEMENTO HS</t>
  </si>
  <si>
    <t xml:space="preserve">526FS</t>
  </si>
  <si>
    <t xml:space="preserve">MSP-526</t>
  </si>
  <si>
    <t xml:space="preserve">1.3.1.2.3.13.5.2</t>
  </si>
  <si>
    <t xml:space="preserve">ENCOFRADO Y DESENCOFRADO NORMAL</t>
  </si>
  <si>
    <t xml:space="preserve">527FS</t>
  </si>
  <si>
    <t xml:space="preserve">MSP-527</t>
  </si>
  <si>
    <t xml:space="preserve">1.3.1.2.3.13.5.3</t>
  </si>
  <si>
    <t xml:space="preserve">ACERO Fy=4200 kg/cm2 GRADO 60 EN CAJA DE VALVULA</t>
  </si>
  <si>
    <t xml:space="preserve">MSP-528</t>
  </si>
  <si>
    <t xml:space="preserve">1.3.1.2.3.13.5.4</t>
  </si>
  <si>
    <t xml:space="preserve">525FS</t>
  </si>
  <si>
    <t xml:space="preserve">MSP-529</t>
  </si>
  <si>
    <t xml:space="preserve">1.3.1.2.3.13.6</t>
  </si>
  <si>
    <t xml:space="preserve">JUNTAS</t>
  </si>
  <si>
    <t xml:space="preserve">MSP-530</t>
  </si>
  <si>
    <t xml:space="preserve">1.3.1.2.3.13.6.1</t>
  </si>
  <si>
    <t xml:space="preserve">MSP-531</t>
  </si>
  <si>
    <t xml:space="preserve">1.3.1.2.3.13.7</t>
  </si>
  <si>
    <t xml:space="preserve">MSP-532</t>
  </si>
  <si>
    <t xml:space="preserve">1.3.1.2.3.13.7.1</t>
  </si>
  <si>
    <t xml:space="preserve">530FS</t>
  </si>
  <si>
    <t xml:space="preserve">MSP-533</t>
  </si>
  <si>
    <t xml:space="preserve">1.3.1.2.3.14</t>
  </si>
  <si>
    <t xml:space="preserve">MSP-534</t>
  </si>
  <si>
    <t xml:space="preserve">1.3.1.2.3.14.1</t>
  </si>
  <si>
    <t xml:space="preserve">535FS</t>
  </si>
  <si>
    <t xml:space="preserve">MSP-535</t>
  </si>
  <si>
    <t xml:space="preserve">1.3.1.2.3.14.2</t>
  </si>
  <si>
    <t xml:space="preserve">536FS</t>
  </si>
  <si>
    <t xml:space="preserve">MSP-536</t>
  </si>
  <si>
    <t xml:space="preserve">1.3.1.2.3.14.3</t>
  </si>
  <si>
    <t xml:space="preserve">MSP-537</t>
  </si>
  <si>
    <t xml:space="preserve">1.3.1.2.3.14.4</t>
  </si>
  <si>
    <t xml:space="preserve">534FS</t>
  </si>
  <si>
    <t xml:space="preserve">MSP-538</t>
  </si>
  <si>
    <t xml:space="preserve">1.3.1.2.3.15</t>
  </si>
  <si>
    <t xml:space="preserve">MESONES DE CONCRETO</t>
  </si>
  <si>
    <t xml:space="preserve">MSP-539</t>
  </si>
  <si>
    <t xml:space="preserve">1.3.1.2.3.15.1</t>
  </si>
  <si>
    <t xml:space="preserve">CONCRETO F'C=175 KG/CM2</t>
  </si>
  <si>
    <t xml:space="preserve">540FS</t>
  </si>
  <si>
    <t xml:space="preserve">MSP-540</t>
  </si>
  <si>
    <t xml:space="preserve">1.3.1.2.3.15.2</t>
  </si>
  <si>
    <t xml:space="preserve">541FS</t>
  </si>
  <si>
    <t xml:space="preserve">MSP-541</t>
  </si>
  <si>
    <t xml:space="preserve">1.3.1.2.3.15.3</t>
  </si>
  <si>
    <t xml:space="preserve">ACERO FY=4200 kg/cm2 GRADO 60 DE MESON</t>
  </si>
  <si>
    <t xml:space="preserve">MSP-542</t>
  </si>
  <si>
    <t xml:space="preserve">1.3.1.2.3.15.4</t>
  </si>
  <si>
    <t xml:space="preserve">539FS</t>
  </si>
  <si>
    <t xml:space="preserve">MSP-543</t>
  </si>
  <si>
    <t xml:space="preserve">1.3.1.2.4</t>
  </si>
  <si>
    <t xml:space="preserve">MSP-544</t>
  </si>
  <si>
    <t xml:space="preserve">1.3.1.2.4.1</t>
  </si>
  <si>
    <t xml:space="preserve">MSP-545</t>
  </si>
  <si>
    <t xml:space="preserve">1.3.1.2.4.2</t>
  </si>
  <si>
    <t xml:space="preserve">544FS+-2.0d</t>
  </si>
  <si>
    <t xml:space="preserve">MSP-546</t>
  </si>
  <si>
    <t xml:space="preserve">1.3.1.2.4.3</t>
  </si>
  <si>
    <t xml:space="preserve">JUNTA WATER STOP</t>
  </si>
  <si>
    <t xml:space="preserve">545FS</t>
  </si>
  <si>
    <t xml:space="preserve">MSP-547</t>
  </si>
  <si>
    <t xml:space="preserve">1.3.1.3</t>
  </si>
  <si>
    <t xml:space="preserve">BLOQUE "3"</t>
  </si>
  <si>
    <t xml:space="preserve">MSP-548</t>
  </si>
  <si>
    <t xml:space="preserve">1.3.1.3.1</t>
  </si>
  <si>
    <t xml:space="preserve">MSP-549</t>
  </si>
  <si>
    <t xml:space="preserve">1.3.1.3.1.1</t>
  </si>
  <si>
    <t xml:space="preserve">276FS+45.0d</t>
  </si>
  <si>
    <t xml:space="preserve">MSP-550</t>
  </si>
  <si>
    <t xml:space="preserve">1.3.1.3.1.2</t>
  </si>
  <si>
    <t xml:space="preserve">549FS</t>
  </si>
  <si>
    <t xml:space="preserve">MSP-551</t>
  </si>
  <si>
    <t xml:space="preserve">1.3.1.3.1.3</t>
  </si>
  <si>
    <t xml:space="preserve">550FS</t>
  </si>
  <si>
    <t xml:space="preserve">MSP-552</t>
  </si>
  <si>
    <t xml:space="preserve">1.3.1.3.1.4</t>
  </si>
  <si>
    <t xml:space="preserve">551FS</t>
  </si>
  <si>
    <t xml:space="preserve">MSP-553</t>
  </si>
  <si>
    <t xml:space="preserve">1.3.1.3.1.5</t>
  </si>
  <si>
    <t xml:space="preserve">567FS+7.0d</t>
  </si>
  <si>
    <t xml:space="preserve">MSP-554</t>
  </si>
  <si>
    <t xml:space="preserve">1.3.1.3.1.6</t>
  </si>
  <si>
    <t xml:space="preserve">MSP-555</t>
  </si>
  <si>
    <t xml:space="preserve">1.3.1.3.1.7</t>
  </si>
  <si>
    <t xml:space="preserve">554FS</t>
  </si>
  <si>
    <t xml:space="preserve">MSP-556</t>
  </si>
  <si>
    <t xml:space="preserve">1.3.1.3.1.8</t>
  </si>
  <si>
    <t xml:space="preserve">MSP-557</t>
  </si>
  <si>
    <t xml:space="preserve">1.3.1.3.1.9</t>
  </si>
  <si>
    <t xml:space="preserve">553FS</t>
  </si>
  <si>
    <t xml:space="preserve">MSP-558</t>
  </si>
  <si>
    <t xml:space="preserve">1.3.1.3.2</t>
  </si>
  <si>
    <t xml:space="preserve">MSP-559</t>
  </si>
  <si>
    <t xml:space="preserve">1.3.1.3.2.1</t>
  </si>
  <si>
    <t xml:space="preserve">MSP-560</t>
  </si>
  <si>
    <t xml:space="preserve">1.3.1.3.2.1.1</t>
  </si>
  <si>
    <t xml:space="preserve">556FS;550FS</t>
  </si>
  <si>
    <t xml:space="preserve">MSP-561</t>
  </si>
  <si>
    <t xml:space="preserve">1.3.1.3.2.2</t>
  </si>
  <si>
    <t xml:space="preserve">MSP-562</t>
  </si>
  <si>
    <t xml:space="preserve">1.3.1.3.2.2.1</t>
  </si>
  <si>
    <t xml:space="preserve">560FS</t>
  </si>
  <si>
    <t xml:space="preserve">MSP-563</t>
  </si>
  <si>
    <t xml:space="preserve">1.3.1.3.2.2.2</t>
  </si>
  <si>
    <t xml:space="preserve">562FS</t>
  </si>
  <si>
    <t xml:space="preserve">MSP-564</t>
  </si>
  <si>
    <t xml:space="preserve">1.3.1.3.2.3</t>
  </si>
  <si>
    <t xml:space="preserve">MSP-565</t>
  </si>
  <si>
    <t xml:space="preserve">1.3.1.3.2.3.1</t>
  </si>
  <si>
    <t xml:space="preserve">566FS</t>
  </si>
  <si>
    <t xml:space="preserve">MSP-566</t>
  </si>
  <si>
    <t xml:space="preserve">1.3.1.3.2.3.2</t>
  </si>
  <si>
    <t xml:space="preserve">563FS</t>
  </si>
  <si>
    <t xml:space="preserve">MSP-567</t>
  </si>
  <si>
    <t xml:space="preserve">1.3.1.3.2.3.3</t>
  </si>
  <si>
    <t xml:space="preserve">565FS</t>
  </si>
  <si>
    <t xml:space="preserve">MSP-568</t>
  </si>
  <si>
    <t xml:space="preserve">1.3.1.3.2.4</t>
  </si>
  <si>
    <t xml:space="preserve">MSP-569</t>
  </si>
  <si>
    <t xml:space="preserve">1.3.1.3.2.4.1</t>
  </si>
  <si>
    <t xml:space="preserve">MSP-570</t>
  </si>
  <si>
    <t xml:space="preserve">1.3.1.3.2.4.2</t>
  </si>
  <si>
    <t xml:space="preserve">569FS</t>
  </si>
  <si>
    <t xml:space="preserve">MSP-571</t>
  </si>
  <si>
    <t xml:space="preserve">1.3.1.3.2.5</t>
  </si>
  <si>
    <t xml:space="preserve">MSP-572</t>
  </si>
  <si>
    <t xml:space="preserve">1.3.1.3.2.5.1</t>
  </si>
  <si>
    <t xml:space="preserve">MSP-573</t>
  </si>
  <si>
    <t xml:space="preserve">1.3.1.3.3</t>
  </si>
  <si>
    <t xml:space="preserve">MSP-574</t>
  </si>
  <si>
    <t xml:space="preserve">1.3.1.3.3.1</t>
  </si>
  <si>
    <t xml:space="preserve">MSP-575</t>
  </si>
  <si>
    <t xml:space="preserve">1.3.1.3.3.1.1</t>
  </si>
  <si>
    <t xml:space="preserve">576FS</t>
  </si>
  <si>
    <t xml:space="preserve">MSP-576</t>
  </si>
  <si>
    <t xml:space="preserve">1.3.1.3.3.1.2</t>
  </si>
  <si>
    <t xml:space="preserve">577FS</t>
  </si>
  <si>
    <t xml:space="preserve">MSP-577</t>
  </si>
  <si>
    <t xml:space="preserve">1.3.1.3.3.1.3</t>
  </si>
  <si>
    <t xml:space="preserve">MSP-578</t>
  </si>
  <si>
    <t xml:space="preserve">1.3.1.3.3.1.4</t>
  </si>
  <si>
    <t xml:space="preserve">575FS</t>
  </si>
  <si>
    <t xml:space="preserve">MSP-579</t>
  </si>
  <si>
    <t xml:space="preserve">1.3.1.3.3.2</t>
  </si>
  <si>
    <t xml:space="preserve">MSP-580</t>
  </si>
  <si>
    <t xml:space="preserve">1.3.1.3.3.2.1</t>
  </si>
  <si>
    <t xml:space="preserve">581FS</t>
  </si>
  <si>
    <t xml:space="preserve">MSP-581</t>
  </si>
  <si>
    <t xml:space="preserve">1.3.1.3.3.2.2</t>
  </si>
  <si>
    <t xml:space="preserve">582FS</t>
  </si>
  <si>
    <t xml:space="preserve">MSP-582</t>
  </si>
  <si>
    <t xml:space="preserve">1.3.1.3.3.2.3</t>
  </si>
  <si>
    <t xml:space="preserve">MSP-583</t>
  </si>
  <si>
    <t xml:space="preserve">1.3.1.3.3.2.4</t>
  </si>
  <si>
    <t xml:space="preserve">580FS</t>
  </si>
  <si>
    <t xml:space="preserve">MSP-584</t>
  </si>
  <si>
    <t xml:space="preserve">1.3.1.3.3.3</t>
  </si>
  <si>
    <t xml:space="preserve">MSP-585</t>
  </si>
  <si>
    <t xml:space="preserve">1.3.1.3.3.3.1</t>
  </si>
  <si>
    <t xml:space="preserve">586FS</t>
  </si>
  <si>
    <t xml:space="preserve">MSP-586</t>
  </si>
  <si>
    <t xml:space="preserve">1.3.1.3.3.3.2</t>
  </si>
  <si>
    <t xml:space="preserve">587FS</t>
  </si>
  <si>
    <t xml:space="preserve">MSP-587</t>
  </si>
  <si>
    <t xml:space="preserve">1.3.1.3.3.3.3</t>
  </si>
  <si>
    <t xml:space="preserve">MSP-588</t>
  </si>
  <si>
    <t xml:space="preserve">1.3.1.3.3.3.4</t>
  </si>
  <si>
    <t xml:space="preserve">585FS</t>
  </si>
  <si>
    <t xml:space="preserve">MSP-589</t>
  </si>
  <si>
    <t xml:space="preserve">1.3.1.3.3.4</t>
  </si>
  <si>
    <t xml:space="preserve">MSP-590</t>
  </si>
  <si>
    <t xml:space="preserve">1.3.1.3.3.4.1</t>
  </si>
  <si>
    <t xml:space="preserve">MSP-591</t>
  </si>
  <si>
    <t xml:space="preserve">1.3.1.3.3.4.1.1</t>
  </si>
  <si>
    <t xml:space="preserve">592FS</t>
  </si>
  <si>
    <t xml:space="preserve">MSP-592</t>
  </si>
  <si>
    <t xml:space="preserve">1.3.1.3.3.4.1.2</t>
  </si>
  <si>
    <t xml:space="preserve">593FS</t>
  </si>
  <si>
    <t xml:space="preserve">MSP-593</t>
  </si>
  <si>
    <t xml:space="preserve">1.3.1.3.3.4.1.3</t>
  </si>
  <si>
    <t xml:space="preserve">MSP-594</t>
  </si>
  <si>
    <t xml:space="preserve">1.3.1.3.3.4.1.4</t>
  </si>
  <si>
    <t xml:space="preserve">591FS</t>
  </si>
  <si>
    <t xml:space="preserve">MSP-595</t>
  </si>
  <si>
    <t xml:space="preserve">1.3.1.3.3.4.2</t>
  </si>
  <si>
    <t xml:space="preserve">MSP-596</t>
  </si>
  <si>
    <t xml:space="preserve">1.3.1.3.3.4.2.1</t>
  </si>
  <si>
    <t xml:space="preserve">597FS</t>
  </si>
  <si>
    <t xml:space="preserve">MSP-597</t>
  </si>
  <si>
    <t xml:space="preserve">1.3.1.3.3.4.2.2</t>
  </si>
  <si>
    <t xml:space="preserve">598FS</t>
  </si>
  <si>
    <t xml:space="preserve">MSP-598</t>
  </si>
  <si>
    <t xml:space="preserve">1.3.1.3.3.4.2.3</t>
  </si>
  <si>
    <t xml:space="preserve">618FS;634FS</t>
  </si>
  <si>
    <t xml:space="preserve">MSP-599</t>
  </si>
  <si>
    <t xml:space="preserve">1.3.1.3.3.4.2.4</t>
  </si>
  <si>
    <t xml:space="preserve">596FS</t>
  </si>
  <si>
    <t xml:space="preserve">MSP-600</t>
  </si>
  <si>
    <t xml:space="preserve">1.3.1.3.3.4.3</t>
  </si>
  <si>
    <t xml:space="preserve">MSP-601</t>
  </si>
  <si>
    <t xml:space="preserve">1.3.1.3.3.4.3.1</t>
  </si>
  <si>
    <t xml:space="preserve">602FS</t>
  </si>
  <si>
    <t xml:space="preserve">MSP-602</t>
  </si>
  <si>
    <t xml:space="preserve">1.3.1.3.3.4.3.2</t>
  </si>
  <si>
    <t xml:space="preserve">603FS</t>
  </si>
  <si>
    <t xml:space="preserve">MSP-603</t>
  </si>
  <si>
    <t xml:space="preserve">1.3.1.3.3.4.3.3</t>
  </si>
  <si>
    <t xml:space="preserve">623FS;640FS</t>
  </si>
  <si>
    <t xml:space="preserve">MSP-604</t>
  </si>
  <si>
    <t xml:space="preserve">1.3.1.3.3.4.3.4</t>
  </si>
  <si>
    <t xml:space="preserve">601FS</t>
  </si>
  <si>
    <t xml:space="preserve">MSP-605</t>
  </si>
  <si>
    <t xml:space="preserve">1.3.1.3.3.5</t>
  </si>
  <si>
    <t xml:space="preserve">MSP-606</t>
  </si>
  <si>
    <t xml:space="preserve">1.3.1.3.3.5.1</t>
  </si>
  <si>
    <t xml:space="preserve">MSP-607</t>
  </si>
  <si>
    <t xml:space="preserve">1.3.1.3.3.5.1.1</t>
  </si>
  <si>
    <t xml:space="preserve">608FS</t>
  </si>
  <si>
    <t xml:space="preserve">MSP-608</t>
  </si>
  <si>
    <t xml:space="preserve">1.3.1.3.3.5.1.2</t>
  </si>
  <si>
    <t xml:space="preserve">609FS</t>
  </si>
  <si>
    <t xml:space="preserve">MSP-609</t>
  </si>
  <si>
    <t xml:space="preserve">1.3.1.3.3.5.1.3</t>
  </si>
  <si>
    <t xml:space="preserve">593SS</t>
  </si>
  <si>
    <t xml:space="preserve">MSP-610</t>
  </si>
  <si>
    <t xml:space="preserve">1.3.1.3.3.5.1.4</t>
  </si>
  <si>
    <t xml:space="preserve">607FS</t>
  </si>
  <si>
    <t xml:space="preserve">MSP-611</t>
  </si>
  <si>
    <t xml:space="preserve">1.3.1.3.3.5.2</t>
  </si>
  <si>
    <t xml:space="preserve">MSP-612</t>
  </si>
  <si>
    <t xml:space="preserve">1.3.1.3.3.5.2.1</t>
  </si>
  <si>
    <t xml:space="preserve">613FS</t>
  </si>
  <si>
    <t xml:space="preserve">MSP-613</t>
  </si>
  <si>
    <t xml:space="preserve">1.3.1.3.3.5.2.2</t>
  </si>
  <si>
    <t xml:space="preserve">614FS</t>
  </si>
  <si>
    <t xml:space="preserve">MSP-614</t>
  </si>
  <si>
    <t xml:space="preserve">1.3.1.3.3.5.2.3</t>
  </si>
  <si>
    <t xml:space="preserve">598SS</t>
  </si>
  <si>
    <t xml:space="preserve">MSP-615</t>
  </si>
  <si>
    <t xml:space="preserve">1.3.1.3.3.5.2.4</t>
  </si>
  <si>
    <t xml:space="preserve">612FS</t>
  </si>
  <si>
    <t xml:space="preserve">MSP-616</t>
  </si>
  <si>
    <t xml:space="preserve">1.3.1.3.3.6</t>
  </si>
  <si>
    <t xml:space="preserve">MSP-617</t>
  </si>
  <si>
    <t xml:space="preserve">1.3.1.3.3.6.1</t>
  </si>
  <si>
    <t xml:space="preserve">MSP-618</t>
  </si>
  <si>
    <t xml:space="preserve">1.3.1.3.3.6.1.1</t>
  </si>
  <si>
    <t xml:space="preserve">619FS</t>
  </si>
  <si>
    <t xml:space="preserve">MSP-619</t>
  </si>
  <si>
    <t xml:space="preserve">1.3.1.3.3.6.1.2</t>
  </si>
  <si>
    <t xml:space="preserve">620FS</t>
  </si>
  <si>
    <t xml:space="preserve">MSP-620</t>
  </si>
  <si>
    <t xml:space="preserve">1.3.1.3.3.6.1.3</t>
  </si>
  <si>
    <t xml:space="preserve">607FS;591FS</t>
  </si>
  <si>
    <t xml:space="preserve">MSP-621</t>
  </si>
  <si>
    <t xml:space="preserve">1.3.1.3.3.6.1.4</t>
  </si>
  <si>
    <t xml:space="preserve">618FS</t>
  </si>
  <si>
    <t xml:space="preserve">MSP-622</t>
  </si>
  <si>
    <t xml:space="preserve">1.3.1.3.3.6.2</t>
  </si>
  <si>
    <t xml:space="preserve">MSP-623</t>
  </si>
  <si>
    <t xml:space="preserve">1.3.1.3.3.6.2.1</t>
  </si>
  <si>
    <t xml:space="preserve">624FS</t>
  </si>
  <si>
    <t xml:space="preserve">MSP-624</t>
  </si>
  <si>
    <t xml:space="preserve">1.3.1.3.3.6.2.2</t>
  </si>
  <si>
    <t xml:space="preserve">625FS</t>
  </si>
  <si>
    <t xml:space="preserve">MSP-625</t>
  </si>
  <si>
    <t xml:space="preserve">1.3.1.3.3.6.2.3</t>
  </si>
  <si>
    <t xml:space="preserve">612FS;596FS</t>
  </si>
  <si>
    <t xml:space="preserve">MSP-626</t>
  </si>
  <si>
    <t xml:space="preserve">1.3.1.3.3.6.2.4</t>
  </si>
  <si>
    <t xml:space="preserve">623FS</t>
  </si>
  <si>
    <t xml:space="preserve">MSP-627</t>
  </si>
  <si>
    <t xml:space="preserve">1.3.1.3.3.6.3</t>
  </si>
  <si>
    <t xml:space="preserve">MSP-628</t>
  </si>
  <si>
    <t xml:space="preserve">1.3.1.3.3.6.3.1</t>
  </si>
  <si>
    <t xml:space="preserve">629FS</t>
  </si>
  <si>
    <t xml:space="preserve">MSP-629</t>
  </si>
  <si>
    <t xml:space="preserve">1.3.1.3.3.6.3.2</t>
  </si>
  <si>
    <t xml:space="preserve">630FS</t>
  </si>
  <si>
    <t xml:space="preserve">MSP-630</t>
  </si>
  <si>
    <t xml:space="preserve">1.3.1.3.3.6.3.3</t>
  </si>
  <si>
    <t xml:space="preserve">MSP-631</t>
  </si>
  <si>
    <t xml:space="preserve">1.3.1.3.3.6.3.4</t>
  </si>
  <si>
    <t xml:space="preserve">628FS</t>
  </si>
  <si>
    <t xml:space="preserve">MSP-632</t>
  </si>
  <si>
    <t xml:space="preserve">1.3.1.3.3.7</t>
  </si>
  <si>
    <t xml:space="preserve">MSP-633</t>
  </si>
  <si>
    <t xml:space="preserve">1.3.1.3.3.7.1</t>
  </si>
  <si>
    <t xml:space="preserve">MSP-634</t>
  </si>
  <si>
    <t xml:space="preserve">1.3.1.3.3.7.1.1</t>
  </si>
  <si>
    <t xml:space="preserve">636FS</t>
  </si>
  <si>
    <t xml:space="preserve">MSP-635</t>
  </si>
  <si>
    <t xml:space="preserve">1.3.1.3.3.7.1.2</t>
  </si>
  <si>
    <t xml:space="preserve">620SS</t>
  </si>
  <si>
    <t xml:space="preserve">MSP-636</t>
  </si>
  <si>
    <t xml:space="preserve">1.3.1.3.3.7.1.3</t>
  </si>
  <si>
    <t xml:space="preserve">637FS</t>
  </si>
  <si>
    <t xml:space="preserve">MSP-637</t>
  </si>
  <si>
    <t xml:space="preserve">1.3.1.3.3.7.1.4</t>
  </si>
  <si>
    <t xml:space="preserve">LADRILLO HUECO DE ARCILLA 30x30x20 CM. PARA LOSAS ALIGERADAS (1° NIVEL)</t>
  </si>
  <si>
    <t xml:space="preserve">635FS</t>
  </si>
  <si>
    <t xml:space="preserve">MSP-638</t>
  </si>
  <si>
    <t xml:space="preserve">1.3.1.3.3.7.1.5</t>
  </si>
  <si>
    <t xml:space="preserve">634FS</t>
  </si>
  <si>
    <t xml:space="preserve">MSP-639</t>
  </si>
  <si>
    <t xml:space="preserve">1.3.1.3.3.7.2</t>
  </si>
  <si>
    <t xml:space="preserve">MSP-640</t>
  </si>
  <si>
    <t xml:space="preserve">1.3.1.3.3.7.2.1</t>
  </si>
  <si>
    <t xml:space="preserve">642FS</t>
  </si>
  <si>
    <t xml:space="preserve">MSP-641</t>
  </si>
  <si>
    <t xml:space="preserve">1.3.1.3.3.7.2.2</t>
  </si>
  <si>
    <t xml:space="preserve">625SS</t>
  </si>
  <si>
    <t xml:space="preserve">MSP-642</t>
  </si>
  <si>
    <t xml:space="preserve">1.3.1.3.3.7.2.3</t>
  </si>
  <si>
    <t xml:space="preserve">643FS</t>
  </si>
  <si>
    <t xml:space="preserve">MSP-643</t>
  </si>
  <si>
    <t xml:space="preserve">1.3.1.3.3.7.2.4</t>
  </si>
  <si>
    <t xml:space="preserve">LADRILLO HUECO DE ARCILLA 30x30x20 CM. PARA LOSAS ALIGERADAS (2° NIVEL)</t>
  </si>
  <si>
    <t xml:space="preserve">641FS</t>
  </si>
  <si>
    <t xml:space="preserve">MSP-644</t>
  </si>
  <si>
    <t xml:space="preserve">1.3.1.3.3.7.2.5</t>
  </si>
  <si>
    <t xml:space="preserve">640FS</t>
  </si>
  <si>
    <t xml:space="preserve">MSP-645</t>
  </si>
  <si>
    <t xml:space="preserve">1.3.1.3.3.7.3</t>
  </si>
  <si>
    <t xml:space="preserve">MSP-646</t>
  </si>
  <si>
    <t xml:space="preserve">1.3.1.3.3.7.3.1</t>
  </si>
  <si>
    <t xml:space="preserve">648FS</t>
  </si>
  <si>
    <t xml:space="preserve">MSP-647</t>
  </si>
  <si>
    <t xml:space="preserve">1.3.1.3.3.7.3.2</t>
  </si>
  <si>
    <t xml:space="preserve">630SS</t>
  </si>
  <si>
    <t xml:space="preserve">MSP-648</t>
  </si>
  <si>
    <t xml:space="preserve">1.3.1.3.3.7.3.3</t>
  </si>
  <si>
    <t xml:space="preserve">649FS</t>
  </si>
  <si>
    <t xml:space="preserve">MSP-649</t>
  </si>
  <si>
    <t xml:space="preserve">1.3.1.3.3.7.3.4</t>
  </si>
  <si>
    <t xml:space="preserve">LADRILLO HUECO DE ARCILLA 30x30x20 CM. PARA LOSAS ALIGERADAS (3° NIVEL)</t>
  </si>
  <si>
    <t xml:space="preserve">647FS</t>
  </si>
  <si>
    <t xml:space="preserve">MSP-650</t>
  </si>
  <si>
    <t xml:space="preserve">1.3.1.3.3.7.3.5</t>
  </si>
  <si>
    <t xml:space="preserve">646FS</t>
  </si>
  <si>
    <t xml:space="preserve">MSP-651</t>
  </si>
  <si>
    <t xml:space="preserve">1.3.1.3.3.8</t>
  </si>
  <si>
    <t xml:space="preserve">MSP-652</t>
  </si>
  <si>
    <t xml:space="preserve">1.3.1.3.3.8.1</t>
  </si>
  <si>
    <t xml:space="preserve">MSP-653</t>
  </si>
  <si>
    <t xml:space="preserve">1.3.1.3.3.8.1.1</t>
  </si>
  <si>
    <t xml:space="preserve">654FS</t>
  </si>
  <si>
    <t xml:space="preserve">MSP-654</t>
  </si>
  <si>
    <t xml:space="preserve">1.3.1.3.3.8.1.2</t>
  </si>
  <si>
    <t xml:space="preserve">655FS</t>
  </si>
  <si>
    <t xml:space="preserve">MSP-655</t>
  </si>
  <si>
    <t xml:space="preserve">1.3.1.3.3.8.1.3</t>
  </si>
  <si>
    <t xml:space="preserve">2284FS</t>
  </si>
  <si>
    <t xml:space="preserve">MSP-656</t>
  </si>
  <si>
    <t xml:space="preserve">1.3.1.3.3.8.1.4</t>
  </si>
  <si>
    <t xml:space="preserve">653FS</t>
  </si>
  <si>
    <t xml:space="preserve">MSP-657</t>
  </si>
  <si>
    <t xml:space="preserve">1.3.1.3.3.8.2</t>
  </si>
  <si>
    <t xml:space="preserve">MSP-658</t>
  </si>
  <si>
    <t xml:space="preserve">1.3.1.3.3.8.2.1</t>
  </si>
  <si>
    <t xml:space="preserve">659FS</t>
  </si>
  <si>
    <t xml:space="preserve">MSP-659</t>
  </si>
  <si>
    <t xml:space="preserve">1.3.1.3.3.8.2.2</t>
  </si>
  <si>
    <t xml:space="preserve">660FS</t>
  </si>
  <si>
    <t xml:space="preserve">MSP-660</t>
  </si>
  <si>
    <t xml:space="preserve">1.3.1.3.3.8.2.3</t>
  </si>
  <si>
    <t xml:space="preserve">MSP-661</t>
  </si>
  <si>
    <t xml:space="preserve">1.3.1.3.3.8.2.4</t>
  </si>
  <si>
    <t xml:space="preserve">658FS</t>
  </si>
  <si>
    <t xml:space="preserve">MSP-662</t>
  </si>
  <si>
    <t xml:space="preserve">1.3.1.3.3.8.3</t>
  </si>
  <si>
    <t xml:space="preserve">MSP-663</t>
  </si>
  <si>
    <t xml:space="preserve">1.3.1.3.3.8.3.1</t>
  </si>
  <si>
    <t xml:space="preserve">664FS</t>
  </si>
  <si>
    <t xml:space="preserve">MSP-664</t>
  </si>
  <si>
    <t xml:space="preserve">1.3.1.3.3.8.3.2</t>
  </si>
  <si>
    <t xml:space="preserve">665FS</t>
  </si>
  <si>
    <t xml:space="preserve">MSP-665</t>
  </si>
  <si>
    <t xml:space="preserve">1.3.1.3.3.8.3.3</t>
  </si>
  <si>
    <t xml:space="preserve">MSP-666</t>
  </si>
  <si>
    <t xml:space="preserve">1.3.1.3.3.8.3.4</t>
  </si>
  <si>
    <t xml:space="preserve">663FS</t>
  </si>
  <si>
    <t xml:space="preserve">MSP-667</t>
  </si>
  <si>
    <t xml:space="preserve">1.3.1.3.3.8.4</t>
  </si>
  <si>
    <t xml:space="preserve">MSP-668</t>
  </si>
  <si>
    <t xml:space="preserve">1.3.1.3.3.8.4.1</t>
  </si>
  <si>
    <t xml:space="preserve">669FS</t>
  </si>
  <si>
    <t xml:space="preserve">MSP-669</t>
  </si>
  <si>
    <t xml:space="preserve">1.3.1.3.3.8.4.2</t>
  </si>
  <si>
    <t xml:space="preserve">670FS</t>
  </si>
  <si>
    <t xml:space="preserve">MSP-670</t>
  </si>
  <si>
    <t xml:space="preserve">1.3.1.3.3.8.4.3</t>
  </si>
  <si>
    <t xml:space="preserve">MSP-671</t>
  </si>
  <si>
    <t xml:space="preserve">1.3.1.3.3.8.4.4</t>
  </si>
  <si>
    <t xml:space="preserve">668FS</t>
  </si>
  <si>
    <t xml:space="preserve">MSP-672</t>
  </si>
  <si>
    <t xml:space="preserve">1.3.1.3.3.9</t>
  </si>
  <si>
    <t xml:space="preserve">MSP-673</t>
  </si>
  <si>
    <t xml:space="preserve">1.3.1.3.3.9.1</t>
  </si>
  <si>
    <t xml:space="preserve">MSP-674</t>
  </si>
  <si>
    <t xml:space="preserve">1.3.1.3.3.9.1.1</t>
  </si>
  <si>
    <t xml:space="preserve">675FS</t>
  </si>
  <si>
    <t xml:space="preserve">MSP-675</t>
  </si>
  <si>
    <t xml:space="preserve">1.3.1.3.3.9.1.2</t>
  </si>
  <si>
    <t xml:space="preserve">676FS</t>
  </si>
  <si>
    <t xml:space="preserve">MSP-676</t>
  </si>
  <si>
    <t xml:space="preserve">1.3.1.3.3.9.1.3</t>
  </si>
  <si>
    <t xml:space="preserve">MSP-677</t>
  </si>
  <si>
    <t xml:space="preserve">1.3.1.3.3.9.1.4</t>
  </si>
  <si>
    <t xml:space="preserve">674FS</t>
  </si>
  <si>
    <t xml:space="preserve">MSP-678</t>
  </si>
  <si>
    <t xml:space="preserve">1.3.1.3.3.9.2</t>
  </si>
  <si>
    <t xml:space="preserve">MSP-679</t>
  </si>
  <si>
    <t xml:space="preserve">1.3.1.3.3.9.2.1</t>
  </si>
  <si>
    <t xml:space="preserve">680FS</t>
  </si>
  <si>
    <t xml:space="preserve">MSP-680</t>
  </si>
  <si>
    <t xml:space="preserve">1.3.1.3.3.9.2.2</t>
  </si>
  <si>
    <t xml:space="preserve">681FS</t>
  </si>
  <si>
    <t xml:space="preserve">MSP-681</t>
  </si>
  <si>
    <t xml:space="preserve">1.3.1.3.3.9.2.3</t>
  </si>
  <si>
    <t xml:space="preserve">MSP-682</t>
  </si>
  <si>
    <t xml:space="preserve">1.3.1.3.3.9.2.4</t>
  </si>
  <si>
    <t xml:space="preserve">679FS</t>
  </si>
  <si>
    <t xml:space="preserve">MSP-683</t>
  </si>
  <si>
    <t xml:space="preserve">1.3.1.3.3.9.3</t>
  </si>
  <si>
    <t xml:space="preserve">MSP-684</t>
  </si>
  <si>
    <t xml:space="preserve">1.3.1.3.3.9.3.1</t>
  </si>
  <si>
    <t xml:space="preserve">685FS</t>
  </si>
  <si>
    <t xml:space="preserve">MSP-685</t>
  </si>
  <si>
    <t xml:space="preserve">1.3.1.3.3.9.3.2</t>
  </si>
  <si>
    <t xml:space="preserve">686FS</t>
  </si>
  <si>
    <t xml:space="preserve">MSP-686</t>
  </si>
  <si>
    <t xml:space="preserve">1.3.1.3.3.9.3.3</t>
  </si>
  <si>
    <t xml:space="preserve">MSP-687</t>
  </si>
  <si>
    <t xml:space="preserve">1.3.1.3.3.9.3.4</t>
  </si>
  <si>
    <t xml:space="preserve">684FS</t>
  </si>
  <si>
    <t xml:space="preserve">MSP-688</t>
  </si>
  <si>
    <t xml:space="preserve">1.3.1.3.3.9.4</t>
  </si>
  <si>
    <t xml:space="preserve">MSP-689</t>
  </si>
  <si>
    <t xml:space="preserve">1.3.1.3.3.9.4.1</t>
  </si>
  <si>
    <t xml:space="preserve">690FS</t>
  </si>
  <si>
    <t xml:space="preserve">MSP-690</t>
  </si>
  <si>
    <t xml:space="preserve">1.3.1.3.3.9.4.2</t>
  </si>
  <si>
    <t xml:space="preserve">691FS</t>
  </si>
  <si>
    <t xml:space="preserve">MSP-691</t>
  </si>
  <si>
    <t xml:space="preserve">1.3.1.3.3.9.4.3</t>
  </si>
  <si>
    <t xml:space="preserve">MSP-692</t>
  </si>
  <si>
    <t xml:space="preserve">1.3.1.3.3.9.4.4</t>
  </si>
  <si>
    <t xml:space="preserve">689FS</t>
  </si>
  <si>
    <t xml:space="preserve">MSP-693</t>
  </si>
  <si>
    <t xml:space="preserve">1.3.1.3.3.10</t>
  </si>
  <si>
    <t xml:space="preserve">MARCO Y DINTELES</t>
  </si>
  <si>
    <t xml:space="preserve">MSP-694</t>
  </si>
  <si>
    <t xml:space="preserve">1.3.1.3.3.10.1</t>
  </si>
  <si>
    <t xml:space="preserve">CONCRETO F'C=175 KG/CM2 EN MARCOS Y DINTELES</t>
  </si>
  <si>
    <t xml:space="preserve">695FS</t>
  </si>
  <si>
    <t xml:space="preserve">MSP-695</t>
  </si>
  <si>
    <t xml:space="preserve">1.3.1.3.3.10.2</t>
  </si>
  <si>
    <t xml:space="preserve">ENCOFRADO Y DESENCOFRADO NORMAL EN MARCOS Y DINTELES</t>
  </si>
  <si>
    <t xml:space="preserve">696FS</t>
  </si>
  <si>
    <t xml:space="preserve">MSP-696</t>
  </si>
  <si>
    <t xml:space="preserve">1.3.1.3.3.10.3</t>
  </si>
  <si>
    <t xml:space="preserve">ACERO Fy=4200 kg/cm2 GRADO 60 EN MARCOS Y DINTELES</t>
  </si>
  <si>
    <t xml:space="preserve">MSP-697</t>
  </si>
  <si>
    <t xml:space="preserve">1.3.1.3.3.10.4</t>
  </si>
  <si>
    <t xml:space="preserve">694FS</t>
  </si>
  <si>
    <t xml:space="preserve">MSP-698</t>
  </si>
  <si>
    <t xml:space="preserve">1.3.1.3.3.11</t>
  </si>
  <si>
    <t xml:space="preserve">MSP-699</t>
  </si>
  <si>
    <t xml:space="preserve">1.3.1.3.3.11.1</t>
  </si>
  <si>
    <t xml:space="preserve">700FS</t>
  </si>
  <si>
    <t xml:space="preserve">MSP-700</t>
  </si>
  <si>
    <t xml:space="preserve">1.3.1.3.3.11.2</t>
  </si>
  <si>
    <t xml:space="preserve">646FS;640FS</t>
  </si>
  <si>
    <t xml:space="preserve">MSP-701</t>
  </si>
  <si>
    <t xml:space="preserve">1.3.1.3.4</t>
  </si>
  <si>
    <t xml:space="preserve">ESTRUCTURA METALICA</t>
  </si>
  <si>
    <t xml:space="preserve">MSP-702</t>
  </si>
  <si>
    <t xml:space="preserve">1.3.1.3.4.1</t>
  </si>
  <si>
    <t xml:space="preserve">ESCALERA METÁLICA</t>
  </si>
  <si>
    <t xml:space="preserve">MSP-703</t>
  </si>
  <si>
    <t xml:space="preserve">1.3.1.3.4.1.1</t>
  </si>
  <si>
    <t xml:space="preserve">COLUMNA METÁLICA 100x100x6.0mm (CM-01)</t>
  </si>
  <si>
    <t xml:space="preserve">MSP-704</t>
  </si>
  <si>
    <t xml:space="preserve">1.3.1.3.4.1.2</t>
  </si>
  <si>
    <t xml:space="preserve">COLUMNA METÁLICA 100x100x6.0mm (CM-03)</t>
  </si>
  <si>
    <t xml:space="preserve">703SS</t>
  </si>
  <si>
    <t xml:space="preserve">MSP-705</t>
  </si>
  <si>
    <t xml:space="preserve">1.3.1.3.4.1.3</t>
  </si>
  <si>
    <t xml:space="preserve">VIGA METALICA 100x100x4.00MM</t>
  </si>
  <si>
    <t xml:space="preserve">704FS</t>
  </si>
  <si>
    <t xml:space="preserve">MSP-706</t>
  </si>
  <si>
    <t xml:space="preserve">1.3.1.3.4.1.4</t>
  </si>
  <si>
    <t xml:space="preserve">VIGA METALICA 100x200x4.50MM</t>
  </si>
  <si>
    <t xml:space="preserve">705SS</t>
  </si>
  <si>
    <t xml:space="preserve">MSP-707</t>
  </si>
  <si>
    <t xml:space="preserve">1.3.1.3.4.1.5</t>
  </si>
  <si>
    <t xml:space="preserve">PASOS, CONTRAPASOS Y DESCANSO C/ PLANCHA ESTRIADA E=4.4MM</t>
  </si>
  <si>
    <t xml:space="preserve">705FS;706FS</t>
  </si>
  <si>
    <t xml:space="preserve">MSP-708</t>
  </si>
  <si>
    <t xml:space="preserve">1.3.1.3.4.1.6</t>
  </si>
  <si>
    <t xml:space="preserve">BARANDAS F° N° CIRCULAR D=2'' e=3mm</t>
  </si>
  <si>
    <t xml:space="preserve">707FS</t>
  </si>
  <si>
    <t xml:space="preserve">MSP-709</t>
  </si>
  <si>
    <t xml:space="preserve">1.3.1.4</t>
  </si>
  <si>
    <t xml:space="preserve">BLOQUE "4"</t>
  </si>
  <si>
    <t xml:space="preserve">MSP-710</t>
  </si>
  <si>
    <t xml:space="preserve">1.3.1.4.1</t>
  </si>
  <si>
    <t xml:space="preserve">MSP-711</t>
  </si>
  <si>
    <t xml:space="preserve">1.3.1.4.1.1</t>
  </si>
  <si>
    <t xml:space="preserve">549FS+45.0d</t>
  </si>
  <si>
    <t xml:space="preserve">MSP-712</t>
  </si>
  <si>
    <t xml:space="preserve">1.3.1.4.1.2</t>
  </si>
  <si>
    <t xml:space="preserve">711FS</t>
  </si>
  <si>
    <t xml:space="preserve">MSP-713</t>
  </si>
  <si>
    <t xml:space="preserve">1.3.1.4.1.3</t>
  </si>
  <si>
    <t xml:space="preserve">712FS</t>
  </si>
  <si>
    <t xml:space="preserve">MSP-714</t>
  </si>
  <si>
    <t xml:space="preserve">1.3.1.4.1.4</t>
  </si>
  <si>
    <t xml:space="preserve">713FS</t>
  </si>
  <si>
    <t xml:space="preserve">MSP-715</t>
  </si>
  <si>
    <t xml:space="preserve">1.3.1.4.1.5</t>
  </si>
  <si>
    <t xml:space="preserve">727FS</t>
  </si>
  <si>
    <t xml:space="preserve">MSP-716</t>
  </si>
  <si>
    <t xml:space="preserve">1.3.1.4.1.6</t>
  </si>
  <si>
    <t xml:space="preserve">MSP-717</t>
  </si>
  <si>
    <t xml:space="preserve">1.3.1.4.1.7</t>
  </si>
  <si>
    <t xml:space="preserve">716FS</t>
  </si>
  <si>
    <t xml:space="preserve">MSP-718</t>
  </si>
  <si>
    <t xml:space="preserve">1.3.1.4.1.8</t>
  </si>
  <si>
    <t xml:space="preserve">MSP-719</t>
  </si>
  <si>
    <t xml:space="preserve">1.3.1.4.1.9</t>
  </si>
  <si>
    <t xml:space="preserve">715FS</t>
  </si>
  <si>
    <t xml:space="preserve">MSP-720</t>
  </si>
  <si>
    <t xml:space="preserve">1.3.1.4.2</t>
  </si>
  <si>
    <t xml:space="preserve">MSP-721</t>
  </si>
  <si>
    <t xml:space="preserve">1.3.1.4.2.1</t>
  </si>
  <si>
    <t xml:space="preserve">MSP-722</t>
  </si>
  <si>
    <t xml:space="preserve">1.3.1.4.2.1.1</t>
  </si>
  <si>
    <t xml:space="preserve">712FS;718FS</t>
  </si>
  <si>
    <t xml:space="preserve">MSP-723</t>
  </si>
  <si>
    <t xml:space="preserve">1.3.1.4.2.2</t>
  </si>
  <si>
    <t xml:space="preserve">MSP-724</t>
  </si>
  <si>
    <t xml:space="preserve">1.3.1.4.2.2.1</t>
  </si>
  <si>
    <t xml:space="preserve">725FS</t>
  </si>
  <si>
    <t xml:space="preserve">MSP-725</t>
  </si>
  <si>
    <t xml:space="preserve">1.3.1.4.2.2.2</t>
  </si>
  <si>
    <t xml:space="preserve">722FS</t>
  </si>
  <si>
    <t xml:space="preserve">MSP-726</t>
  </si>
  <si>
    <t xml:space="preserve">1.3.1.4.2.3</t>
  </si>
  <si>
    <t xml:space="preserve">MSP-727</t>
  </si>
  <si>
    <t xml:space="preserve">1.3.1.4.2.3.1</t>
  </si>
  <si>
    <t xml:space="preserve">728FS</t>
  </si>
  <si>
    <t xml:space="preserve">MSP-728</t>
  </si>
  <si>
    <t xml:space="preserve">1.3.1.4.2.3.2</t>
  </si>
  <si>
    <t xml:space="preserve">724FS</t>
  </si>
  <si>
    <t xml:space="preserve">MSP-729</t>
  </si>
  <si>
    <t xml:space="preserve">1.3.1.4.2.3.3</t>
  </si>
  <si>
    <t xml:space="preserve">MSP-730</t>
  </si>
  <si>
    <t xml:space="preserve">1.3.1.4.2.4</t>
  </si>
  <si>
    <t xml:space="preserve">MSP-731</t>
  </si>
  <si>
    <t xml:space="preserve">1.3.1.4.2.4.1</t>
  </si>
  <si>
    <t xml:space="preserve">732FS</t>
  </si>
  <si>
    <t xml:space="preserve">MSP-732</t>
  </si>
  <si>
    <t xml:space="preserve">1.3.1.4.2.4.2</t>
  </si>
  <si>
    <t xml:space="preserve">MSP-733</t>
  </si>
  <si>
    <t xml:space="preserve">1.3.1.4.2.5</t>
  </si>
  <si>
    <t xml:space="preserve">MSP-734</t>
  </si>
  <si>
    <t xml:space="preserve">1.3.1.4.2.5.1</t>
  </si>
  <si>
    <t xml:space="preserve">731FS</t>
  </si>
  <si>
    <t xml:space="preserve">MSP-735</t>
  </si>
  <si>
    <t xml:space="preserve">1.3.1.4.3</t>
  </si>
  <si>
    <t xml:space="preserve">MSP-736</t>
  </si>
  <si>
    <t xml:space="preserve">1.3.1.4.3.1</t>
  </si>
  <si>
    <t xml:space="preserve">MSP-737</t>
  </si>
  <si>
    <t xml:space="preserve">1.3.1.4.3.1.1</t>
  </si>
  <si>
    <t xml:space="preserve">738FS</t>
  </si>
  <si>
    <t xml:space="preserve">MSP-738</t>
  </si>
  <si>
    <t xml:space="preserve">1.3.1.4.3.1.2</t>
  </si>
  <si>
    <t xml:space="preserve">739FS</t>
  </si>
  <si>
    <t xml:space="preserve">MSP-739</t>
  </si>
  <si>
    <t xml:space="preserve">1.3.1.4.3.1.3</t>
  </si>
  <si>
    <t xml:space="preserve">MSP-740</t>
  </si>
  <si>
    <t xml:space="preserve">1.3.1.4.3.1.4</t>
  </si>
  <si>
    <t xml:space="preserve">737FS</t>
  </si>
  <si>
    <t xml:space="preserve">MSP-741</t>
  </si>
  <si>
    <t xml:space="preserve">1.3.1.4.3.2</t>
  </si>
  <si>
    <t xml:space="preserve">MSP-742</t>
  </si>
  <si>
    <t xml:space="preserve">1.3.1.4.3.2.1</t>
  </si>
  <si>
    <t xml:space="preserve">743FS</t>
  </si>
  <si>
    <t xml:space="preserve">MSP-743</t>
  </si>
  <si>
    <t xml:space="preserve">1.3.1.4.3.2.2</t>
  </si>
  <si>
    <t xml:space="preserve">744FS</t>
  </si>
  <si>
    <t xml:space="preserve">MSP-744</t>
  </si>
  <si>
    <t xml:space="preserve">1.3.1.4.3.2.3</t>
  </si>
  <si>
    <t xml:space="preserve">MSP-745</t>
  </si>
  <si>
    <t xml:space="preserve">1.3.1.4.3.2.4</t>
  </si>
  <si>
    <t xml:space="preserve">742FS</t>
  </si>
  <si>
    <t xml:space="preserve">MSP-746</t>
  </si>
  <si>
    <t xml:space="preserve">1.3.1.4.3.3</t>
  </si>
  <si>
    <t xml:space="preserve">MSP-747</t>
  </si>
  <si>
    <t xml:space="preserve">1.3.1.4.3.3.1</t>
  </si>
  <si>
    <t xml:space="preserve">748FS</t>
  </si>
  <si>
    <t xml:space="preserve">MSP-748</t>
  </si>
  <si>
    <t xml:space="preserve">1.3.1.4.3.3.2</t>
  </si>
  <si>
    <t xml:space="preserve">749FS</t>
  </si>
  <si>
    <t xml:space="preserve">MSP-749</t>
  </si>
  <si>
    <t xml:space="preserve">1.3.1.4.3.3.3</t>
  </si>
  <si>
    <t xml:space="preserve">MSP-750</t>
  </si>
  <si>
    <t xml:space="preserve">1.3.1.4.3.3.4</t>
  </si>
  <si>
    <t xml:space="preserve">747FS</t>
  </si>
  <si>
    <t xml:space="preserve">MSP-751</t>
  </si>
  <si>
    <t xml:space="preserve">1.3.1.4.3.4</t>
  </si>
  <si>
    <t xml:space="preserve">MSP-752</t>
  </si>
  <si>
    <t xml:space="preserve">1.3.1.4.3.4.1</t>
  </si>
  <si>
    <t xml:space="preserve">753FS</t>
  </si>
  <si>
    <t xml:space="preserve">MSP-753</t>
  </si>
  <si>
    <t xml:space="preserve">1.3.1.4.3.4.2</t>
  </si>
  <si>
    <t xml:space="preserve">754FS</t>
  </si>
  <si>
    <t xml:space="preserve">MSP-754</t>
  </si>
  <si>
    <t xml:space="preserve">1.3.1.4.3.4.3</t>
  </si>
  <si>
    <t xml:space="preserve">MSP-755</t>
  </si>
  <si>
    <t xml:space="preserve">1.3.1.4.3.4.4</t>
  </si>
  <si>
    <t xml:space="preserve">752FS</t>
  </si>
  <si>
    <t xml:space="preserve">MSP-756</t>
  </si>
  <si>
    <t xml:space="preserve">1.3.1.4.3.5</t>
  </si>
  <si>
    <t xml:space="preserve">MSP-757</t>
  </si>
  <si>
    <t xml:space="preserve">1.3.1.4.3.5.1</t>
  </si>
  <si>
    <t xml:space="preserve">758FS</t>
  </si>
  <si>
    <t xml:space="preserve">MSP-758</t>
  </si>
  <si>
    <t xml:space="preserve">1.3.1.4.3.5.2</t>
  </si>
  <si>
    <t xml:space="preserve">759FS</t>
  </si>
  <si>
    <t xml:space="preserve">MSP-759</t>
  </si>
  <si>
    <t xml:space="preserve">1.3.1.4.3.5.3</t>
  </si>
  <si>
    <t xml:space="preserve">754SS</t>
  </si>
  <si>
    <t xml:space="preserve">MSP-760</t>
  </si>
  <si>
    <t xml:space="preserve">1.3.1.4.3.5.4</t>
  </si>
  <si>
    <t xml:space="preserve">757FS</t>
  </si>
  <si>
    <t xml:space="preserve">MSP-761</t>
  </si>
  <si>
    <t xml:space="preserve">1.3.1.4.3.6</t>
  </si>
  <si>
    <t xml:space="preserve">MSP-762</t>
  </si>
  <si>
    <t xml:space="preserve">1.3.1.4.3.6.1</t>
  </si>
  <si>
    <t xml:space="preserve">763FS</t>
  </si>
  <si>
    <t xml:space="preserve">MSP-763</t>
  </si>
  <si>
    <t xml:space="preserve">1.3.1.4.3.6.2</t>
  </si>
  <si>
    <t xml:space="preserve">764FS</t>
  </si>
  <si>
    <t xml:space="preserve">MSP-764</t>
  </si>
  <si>
    <t xml:space="preserve">1.3.1.4.3.6.3</t>
  </si>
  <si>
    <t xml:space="preserve">752FS;757FS</t>
  </si>
  <si>
    <t xml:space="preserve">MSP-765</t>
  </si>
  <si>
    <t xml:space="preserve">1.3.1.4.3.6.4</t>
  </si>
  <si>
    <t xml:space="preserve">762FS</t>
  </si>
  <si>
    <t xml:space="preserve">MSP-766</t>
  </si>
  <si>
    <t xml:space="preserve">1.3.1.4.3.7</t>
  </si>
  <si>
    <t xml:space="preserve">MSP-767</t>
  </si>
  <si>
    <t xml:space="preserve">1.3.1.4.3.7.1</t>
  </si>
  <si>
    <t xml:space="preserve">769FS</t>
  </si>
  <si>
    <t xml:space="preserve">MSP-768</t>
  </si>
  <si>
    <t xml:space="preserve">1.3.1.4.3.7.2</t>
  </si>
  <si>
    <t xml:space="preserve">764SS</t>
  </si>
  <si>
    <t xml:space="preserve">MSP-769</t>
  </si>
  <si>
    <t xml:space="preserve">1.3.1.4.3.7.3</t>
  </si>
  <si>
    <t xml:space="preserve">770FS</t>
  </si>
  <si>
    <t xml:space="preserve">MSP-770</t>
  </si>
  <si>
    <t xml:space="preserve">1.3.1.4.3.7.4</t>
  </si>
  <si>
    <t xml:space="preserve">768FS</t>
  </si>
  <si>
    <t xml:space="preserve">MSP-771</t>
  </si>
  <si>
    <t xml:space="preserve">1.3.1.4.3.7.5</t>
  </si>
  <si>
    <t xml:space="preserve">767FS</t>
  </si>
  <si>
    <t xml:space="preserve">MSP-772</t>
  </si>
  <si>
    <t xml:space="preserve">1.3.1.4.3.8</t>
  </si>
  <si>
    <t xml:space="preserve">MSP-773</t>
  </si>
  <si>
    <t xml:space="preserve">1.3.1.4.3.8.1</t>
  </si>
  <si>
    <t xml:space="preserve">775FS</t>
  </si>
  <si>
    <t xml:space="preserve">MSP-774</t>
  </si>
  <si>
    <t xml:space="preserve">1.3.1.4.3.8.2</t>
  </si>
  <si>
    <t xml:space="preserve">MSP-775</t>
  </si>
  <si>
    <t xml:space="preserve">1.3.1.4.3.8.3</t>
  </si>
  <si>
    <t xml:space="preserve">774FS</t>
  </si>
  <si>
    <t xml:space="preserve">MSP-776</t>
  </si>
  <si>
    <t xml:space="preserve">1.3.1.4.3.8.4</t>
  </si>
  <si>
    <t xml:space="preserve">773FS</t>
  </si>
  <si>
    <t xml:space="preserve">MSP-777</t>
  </si>
  <si>
    <t xml:space="preserve">1.3.1.4.3.9</t>
  </si>
  <si>
    <t xml:space="preserve">MSP-778</t>
  </si>
  <si>
    <t xml:space="preserve">1.3.1.4.3.9.1</t>
  </si>
  <si>
    <t xml:space="preserve">780FS</t>
  </si>
  <si>
    <t xml:space="preserve">MSP-779</t>
  </si>
  <si>
    <t xml:space="preserve">1.3.1.4.3.9.2</t>
  </si>
  <si>
    <t xml:space="preserve">2364FS</t>
  </si>
  <si>
    <t xml:space="preserve">MSP-780</t>
  </si>
  <si>
    <t xml:space="preserve">1.3.1.4.3.9.3</t>
  </si>
  <si>
    <t xml:space="preserve">779FS</t>
  </si>
  <si>
    <t xml:space="preserve">MSP-781</t>
  </si>
  <si>
    <t xml:space="preserve">1.3.1.4.3.9.4</t>
  </si>
  <si>
    <t xml:space="preserve">778FS</t>
  </si>
  <si>
    <t xml:space="preserve">MSP-782</t>
  </si>
  <si>
    <t xml:space="preserve">1.3.1.4.3.10</t>
  </si>
  <si>
    <t xml:space="preserve">MSP-783</t>
  </si>
  <si>
    <t xml:space="preserve">1.3.1.4.3.10.1</t>
  </si>
  <si>
    <t xml:space="preserve">784FS</t>
  </si>
  <si>
    <t xml:space="preserve">MSP-784</t>
  </si>
  <si>
    <t xml:space="preserve">1.3.1.4.3.10.2</t>
  </si>
  <si>
    <t xml:space="preserve">785FS</t>
  </si>
  <si>
    <t xml:space="preserve">MSP-785</t>
  </si>
  <si>
    <t xml:space="preserve">1.3.1.4.3.10.3</t>
  </si>
  <si>
    <t xml:space="preserve">MSP-786</t>
  </si>
  <si>
    <t xml:space="preserve">1.3.1.4.3.10.4</t>
  </si>
  <si>
    <t xml:space="preserve">783FS</t>
  </si>
  <si>
    <t xml:space="preserve">MSP-787</t>
  </si>
  <si>
    <t xml:space="preserve">1.3.1.4.3.11</t>
  </si>
  <si>
    <t xml:space="preserve">MSP-788</t>
  </si>
  <si>
    <t xml:space="preserve">1.3.1.4.3.11.1</t>
  </si>
  <si>
    <t xml:space="preserve">789FS</t>
  </si>
  <si>
    <t xml:space="preserve">MSP-789</t>
  </si>
  <si>
    <t xml:space="preserve">1.3.1.4.3.11.2</t>
  </si>
  <si>
    <t xml:space="preserve">790FS</t>
  </si>
  <si>
    <t xml:space="preserve">MSP-790</t>
  </si>
  <si>
    <t xml:space="preserve">1.3.1.4.3.11.3</t>
  </si>
  <si>
    <t xml:space="preserve">MSP-791</t>
  </si>
  <si>
    <t xml:space="preserve">1.3.1.4.3.11.4</t>
  </si>
  <si>
    <t xml:space="preserve">788FS</t>
  </si>
  <si>
    <t xml:space="preserve">MSP-792</t>
  </si>
  <si>
    <t xml:space="preserve">1.3.1.4.3.12</t>
  </si>
  <si>
    <t xml:space="preserve">MSP-793</t>
  </si>
  <si>
    <t xml:space="preserve">1.3.1.4.3.12.1</t>
  </si>
  <si>
    <t xml:space="preserve">795FS</t>
  </si>
  <si>
    <t xml:space="preserve">MSP-794</t>
  </si>
  <si>
    <t xml:space="preserve">1.3.1.4.3.12.2</t>
  </si>
  <si>
    <t xml:space="preserve">MSP-795</t>
  </si>
  <si>
    <t xml:space="preserve">1.3.1.4.3.12.3</t>
  </si>
  <si>
    <t xml:space="preserve">794FS</t>
  </si>
  <si>
    <t xml:space="preserve">MSP-796</t>
  </si>
  <si>
    <t xml:space="preserve">1.3.1.4.3.12.4</t>
  </si>
  <si>
    <t xml:space="preserve">793FS</t>
  </si>
  <si>
    <t xml:space="preserve">MSP-797</t>
  </si>
  <si>
    <t xml:space="preserve">1.3.1.4.4</t>
  </si>
  <si>
    <t xml:space="preserve">MSP-798</t>
  </si>
  <si>
    <t xml:space="preserve">1.3.1.4.4.1</t>
  </si>
  <si>
    <t xml:space="preserve">MSP-799</t>
  </si>
  <si>
    <t xml:space="preserve">1.3.1.4.4.2</t>
  </si>
  <si>
    <t xml:space="preserve">798FS</t>
  </si>
  <si>
    <t xml:space="preserve">MSP-800</t>
  </si>
  <si>
    <t xml:space="preserve">1.3.1.5</t>
  </si>
  <si>
    <t xml:space="preserve">BLOQUE "5"</t>
  </si>
  <si>
    <t xml:space="preserve">MSP-801</t>
  </si>
  <si>
    <t xml:space="preserve">1.3.1.5.1</t>
  </si>
  <si>
    <t xml:space="preserve">MSP-802</t>
  </si>
  <si>
    <t xml:space="preserve">1.3.1.5.1.1</t>
  </si>
  <si>
    <t xml:space="preserve">711FS+40.0d</t>
  </si>
  <si>
    <t xml:space="preserve">MSP-803</t>
  </si>
  <si>
    <t xml:space="preserve">1.3.1.5.1.2</t>
  </si>
  <si>
    <t xml:space="preserve">802FS</t>
  </si>
  <si>
    <t xml:space="preserve">MSP-804</t>
  </si>
  <si>
    <t xml:space="preserve">1.3.1.5.1.3</t>
  </si>
  <si>
    <t xml:space="preserve">803FS</t>
  </si>
  <si>
    <t xml:space="preserve">MSP-805</t>
  </si>
  <si>
    <t xml:space="preserve">1.3.1.5.1.4</t>
  </si>
  <si>
    <t xml:space="preserve">804FS</t>
  </si>
  <si>
    <t xml:space="preserve">MSP-806</t>
  </si>
  <si>
    <t xml:space="preserve">1.3.1.5.1.5</t>
  </si>
  <si>
    <t xml:space="preserve">818FS</t>
  </si>
  <si>
    <t xml:space="preserve">MSP-807</t>
  </si>
  <si>
    <t xml:space="preserve">1.3.1.5.1.6</t>
  </si>
  <si>
    <t xml:space="preserve">MSP-808</t>
  </si>
  <si>
    <t xml:space="preserve">1.3.1.5.1.7</t>
  </si>
  <si>
    <t xml:space="preserve">807FS</t>
  </si>
  <si>
    <t xml:space="preserve">MSP-809</t>
  </si>
  <si>
    <t xml:space="preserve">1.3.1.5.1.8</t>
  </si>
  <si>
    <t xml:space="preserve">MSP-810</t>
  </si>
  <si>
    <t xml:space="preserve">1.3.1.5.1.9</t>
  </si>
  <si>
    <t xml:space="preserve">806FS</t>
  </si>
  <si>
    <t xml:space="preserve">MSP-811</t>
  </si>
  <si>
    <t xml:space="preserve">1.3.1.5.2</t>
  </si>
  <si>
    <t xml:space="preserve">MSP-812</t>
  </si>
  <si>
    <t xml:space="preserve">1.3.1.5.2.1</t>
  </si>
  <si>
    <t xml:space="preserve">MSP-813</t>
  </si>
  <si>
    <t xml:space="preserve">1.3.1.5.2.1.1</t>
  </si>
  <si>
    <t xml:space="preserve">809FS;803FS</t>
  </si>
  <si>
    <t xml:space="preserve">MSP-814</t>
  </si>
  <si>
    <t xml:space="preserve">1.3.1.5.2.2</t>
  </si>
  <si>
    <t xml:space="preserve">MSP-815</t>
  </si>
  <si>
    <t xml:space="preserve">1.3.1.5.2.2.1</t>
  </si>
  <si>
    <t xml:space="preserve">816FS</t>
  </si>
  <si>
    <t xml:space="preserve">MSP-816</t>
  </si>
  <si>
    <t xml:space="preserve">1.3.1.5.2.2.2</t>
  </si>
  <si>
    <t xml:space="preserve">813FS</t>
  </si>
  <si>
    <t xml:space="preserve">MSP-817</t>
  </si>
  <si>
    <t xml:space="preserve">1.3.1.5.2.3</t>
  </si>
  <si>
    <t xml:space="preserve">MSP-818</t>
  </si>
  <si>
    <t xml:space="preserve">1.3.1.5.2.3.1</t>
  </si>
  <si>
    <t xml:space="preserve">819FS</t>
  </si>
  <si>
    <t xml:space="preserve">MSP-819</t>
  </si>
  <si>
    <t xml:space="preserve">1.3.1.5.2.3.2</t>
  </si>
  <si>
    <t xml:space="preserve">815FS</t>
  </si>
  <si>
    <t xml:space="preserve">MSP-820</t>
  </si>
  <si>
    <t xml:space="preserve">1.3.1.5.2.3.3</t>
  </si>
  <si>
    <t xml:space="preserve">MSP-821</t>
  </si>
  <si>
    <t xml:space="preserve">1.3.1.5.2.4</t>
  </si>
  <si>
    <t xml:space="preserve">MSP-822</t>
  </si>
  <si>
    <t xml:space="preserve">1.3.1.5.2.4.1</t>
  </si>
  <si>
    <t xml:space="preserve">823FS</t>
  </si>
  <si>
    <t xml:space="preserve">MSP-823</t>
  </si>
  <si>
    <t xml:space="preserve">1.3.1.5.2.4.2</t>
  </si>
  <si>
    <t xml:space="preserve">MSP-824</t>
  </si>
  <si>
    <t xml:space="preserve">1.3.1.5.2.5</t>
  </si>
  <si>
    <t xml:space="preserve">MSP-825</t>
  </si>
  <si>
    <t xml:space="preserve">1.3.1.5.2.5.1</t>
  </si>
  <si>
    <t xml:space="preserve">822FS</t>
  </si>
  <si>
    <t xml:space="preserve">MSP-826</t>
  </si>
  <si>
    <t xml:space="preserve">1.3.1.5.3</t>
  </si>
  <si>
    <t xml:space="preserve">MSP-827</t>
  </si>
  <si>
    <t xml:space="preserve">1.3.1.5.3.1</t>
  </si>
  <si>
    <t xml:space="preserve">MSP-828</t>
  </si>
  <si>
    <t xml:space="preserve">1.3.1.5.3.1.1</t>
  </si>
  <si>
    <t xml:space="preserve">829FS</t>
  </si>
  <si>
    <t xml:space="preserve">MSP-829</t>
  </si>
  <si>
    <t xml:space="preserve">1.3.1.5.3.1.2</t>
  </si>
  <si>
    <t xml:space="preserve">830FS</t>
  </si>
  <si>
    <t xml:space="preserve">MSP-830</t>
  </si>
  <si>
    <t xml:space="preserve">1.3.1.5.3.1.3</t>
  </si>
  <si>
    <t xml:space="preserve">MSP-831</t>
  </si>
  <si>
    <t xml:space="preserve">1.3.1.5.3.1.4</t>
  </si>
  <si>
    <t xml:space="preserve">828FS</t>
  </si>
  <si>
    <t xml:space="preserve">MSP-832</t>
  </si>
  <si>
    <t xml:space="preserve">1.3.1.5.3.2</t>
  </si>
  <si>
    <t xml:space="preserve">MSP-833</t>
  </si>
  <si>
    <t xml:space="preserve">1.3.1.5.3.2.1</t>
  </si>
  <si>
    <t xml:space="preserve">834FS</t>
  </si>
  <si>
    <t xml:space="preserve">MSP-834</t>
  </si>
  <si>
    <t xml:space="preserve">1.3.1.5.3.2.2</t>
  </si>
  <si>
    <t xml:space="preserve">835FS</t>
  </si>
  <si>
    <t xml:space="preserve">MSP-835</t>
  </si>
  <si>
    <t xml:space="preserve">1.3.1.5.3.2.3</t>
  </si>
  <si>
    <t xml:space="preserve">MSP-836</t>
  </si>
  <si>
    <t xml:space="preserve">1.3.1.5.3.2.4</t>
  </si>
  <si>
    <t xml:space="preserve">833FS</t>
  </si>
  <si>
    <t xml:space="preserve">MSP-837</t>
  </si>
  <si>
    <t xml:space="preserve">1.3.1.5.3.3</t>
  </si>
  <si>
    <t xml:space="preserve">MSP-838</t>
  </si>
  <si>
    <t xml:space="preserve">1.3.1.5.3.3.1</t>
  </si>
  <si>
    <t xml:space="preserve">MSP-839</t>
  </si>
  <si>
    <t xml:space="preserve">1.3.1.5.3.3.1.1</t>
  </si>
  <si>
    <t xml:space="preserve">840FS</t>
  </si>
  <si>
    <t xml:space="preserve">MSP-840</t>
  </si>
  <si>
    <t xml:space="preserve">1.3.1.5.3.3.1.2</t>
  </si>
  <si>
    <t xml:space="preserve">841FS</t>
  </si>
  <si>
    <t xml:space="preserve">MSP-841</t>
  </si>
  <si>
    <t xml:space="preserve">1.3.1.5.3.3.1.3</t>
  </si>
  <si>
    <t xml:space="preserve">MSP-842</t>
  </si>
  <si>
    <t xml:space="preserve">1.3.1.5.3.3.1.4</t>
  </si>
  <si>
    <t xml:space="preserve">839FS</t>
  </si>
  <si>
    <t xml:space="preserve">MSP-843</t>
  </si>
  <si>
    <t xml:space="preserve">1.3.1.5.3.3.2</t>
  </si>
  <si>
    <t xml:space="preserve">MSP-844</t>
  </si>
  <si>
    <t xml:space="preserve">1.3.1.5.3.3.2.1</t>
  </si>
  <si>
    <t xml:space="preserve">845FS</t>
  </si>
  <si>
    <t xml:space="preserve">MSP-845</t>
  </si>
  <si>
    <t xml:space="preserve">1.3.1.5.3.3.2.2</t>
  </si>
  <si>
    <t xml:space="preserve">846FS</t>
  </si>
  <si>
    <t xml:space="preserve">MSP-846</t>
  </si>
  <si>
    <t xml:space="preserve">1.3.1.5.3.3.2.3</t>
  </si>
  <si>
    <t xml:space="preserve">861FS;872FS</t>
  </si>
  <si>
    <t xml:space="preserve">MSP-847</t>
  </si>
  <si>
    <t xml:space="preserve">1.3.1.5.3.3.2.4</t>
  </si>
  <si>
    <t xml:space="preserve">844FS</t>
  </si>
  <si>
    <t xml:space="preserve">MSP-848</t>
  </si>
  <si>
    <t xml:space="preserve">1.3.1.5.3.4</t>
  </si>
  <si>
    <t xml:space="preserve">MSP-849</t>
  </si>
  <si>
    <t xml:space="preserve">1.3.1.5.3.4.1</t>
  </si>
  <si>
    <t xml:space="preserve">MSP-850</t>
  </si>
  <si>
    <t xml:space="preserve">1.3.1.5.3.4.1.1</t>
  </si>
  <si>
    <t xml:space="preserve">851FS</t>
  </si>
  <si>
    <t xml:space="preserve">MSP-851</t>
  </si>
  <si>
    <t xml:space="preserve">1.3.1.5.3.4.1.2</t>
  </si>
  <si>
    <t xml:space="preserve">852FS</t>
  </si>
  <si>
    <t xml:space="preserve">MSP-852</t>
  </si>
  <si>
    <t xml:space="preserve">1.3.1.5.3.4.1.3</t>
  </si>
  <si>
    <t xml:space="preserve">841SS</t>
  </si>
  <si>
    <t xml:space="preserve">MSP-853</t>
  </si>
  <si>
    <t xml:space="preserve">1.3.1.5.3.4.1.4</t>
  </si>
  <si>
    <t xml:space="preserve">850FS</t>
  </si>
  <si>
    <t xml:space="preserve">MSP-854</t>
  </si>
  <si>
    <t xml:space="preserve">1.3.1.5.3.4.2</t>
  </si>
  <si>
    <t xml:space="preserve">MSP-855</t>
  </si>
  <si>
    <t xml:space="preserve">1.3.1.5.3.4.2.1</t>
  </si>
  <si>
    <t xml:space="preserve">856FS</t>
  </si>
  <si>
    <t xml:space="preserve">MSP-856</t>
  </si>
  <si>
    <t xml:space="preserve">1.3.1.5.3.4.2.2</t>
  </si>
  <si>
    <t xml:space="preserve">857FS</t>
  </si>
  <si>
    <t xml:space="preserve">MSP-857</t>
  </si>
  <si>
    <t xml:space="preserve">1.3.1.5.3.4.2.3</t>
  </si>
  <si>
    <t xml:space="preserve">846SS</t>
  </si>
  <si>
    <t xml:space="preserve">MSP-858</t>
  </si>
  <si>
    <t xml:space="preserve">1.3.1.5.3.4.2.4</t>
  </si>
  <si>
    <t xml:space="preserve">855FS</t>
  </si>
  <si>
    <t xml:space="preserve">MSP-859</t>
  </si>
  <si>
    <t xml:space="preserve">1.3.1.5.3.5</t>
  </si>
  <si>
    <t xml:space="preserve">MSP-860</t>
  </si>
  <si>
    <t xml:space="preserve">1.3.1.5.3.5.1</t>
  </si>
  <si>
    <t xml:space="preserve">MSP-861</t>
  </si>
  <si>
    <t xml:space="preserve">1.3.1.5.3.5.1.1</t>
  </si>
  <si>
    <t xml:space="preserve">862FS</t>
  </si>
  <si>
    <t xml:space="preserve">MSP-862</t>
  </si>
  <si>
    <t xml:space="preserve">1.3.1.5.3.5.1.2</t>
  </si>
  <si>
    <t xml:space="preserve">863FS</t>
  </si>
  <si>
    <t xml:space="preserve">MSP-863</t>
  </si>
  <si>
    <t xml:space="preserve">1.3.1.5.3.5.1.3</t>
  </si>
  <si>
    <t xml:space="preserve">850FS;839FS</t>
  </si>
  <si>
    <t xml:space="preserve">MSP-864</t>
  </si>
  <si>
    <t xml:space="preserve">1.3.1.5.3.5.1.4</t>
  </si>
  <si>
    <t xml:space="preserve">861FS</t>
  </si>
  <si>
    <t xml:space="preserve">MSP-865</t>
  </si>
  <si>
    <t xml:space="preserve">1.3.1.5.3.5.2</t>
  </si>
  <si>
    <t xml:space="preserve">MSP-866</t>
  </si>
  <si>
    <t xml:space="preserve">1.3.1.5.3.5.2.1</t>
  </si>
  <si>
    <t xml:space="preserve">867FS</t>
  </si>
  <si>
    <t xml:space="preserve">MSP-867</t>
  </si>
  <si>
    <t xml:space="preserve">1.3.1.5.3.5.2.2</t>
  </si>
  <si>
    <t xml:space="preserve">868FS</t>
  </si>
  <si>
    <t xml:space="preserve">MSP-868</t>
  </si>
  <si>
    <t xml:space="preserve">1.3.1.5.3.5.2.3</t>
  </si>
  <si>
    <t xml:space="preserve">855FS;844FS</t>
  </si>
  <si>
    <t xml:space="preserve">MSP-869</t>
  </si>
  <si>
    <t xml:space="preserve">1.3.1.5.3.5.2.4</t>
  </si>
  <si>
    <t xml:space="preserve">866FS</t>
  </si>
  <si>
    <t xml:space="preserve">MSP-870</t>
  </si>
  <si>
    <t xml:space="preserve">1.3.1.5.3.6</t>
  </si>
  <si>
    <t xml:space="preserve">MSP-871</t>
  </si>
  <si>
    <t xml:space="preserve">1.3.1.5.3.6.1</t>
  </si>
  <si>
    <t xml:space="preserve">MSP-872</t>
  </si>
  <si>
    <t xml:space="preserve">1.3.1.5.3.6.1.1</t>
  </si>
  <si>
    <t xml:space="preserve">874FS</t>
  </si>
  <si>
    <t xml:space="preserve">MSP-873</t>
  </si>
  <si>
    <t xml:space="preserve">1.3.1.5.3.6.1.2</t>
  </si>
  <si>
    <t xml:space="preserve">863SS</t>
  </si>
  <si>
    <t xml:space="preserve">MSP-874</t>
  </si>
  <si>
    <t xml:space="preserve">1.3.1.5.3.6.1.3</t>
  </si>
  <si>
    <t xml:space="preserve">875FS</t>
  </si>
  <si>
    <t xml:space="preserve">MSP-875</t>
  </si>
  <si>
    <t xml:space="preserve">1.3.1.5.3.6.1.4</t>
  </si>
  <si>
    <t xml:space="preserve">873FS</t>
  </si>
  <si>
    <t xml:space="preserve">MSP-876</t>
  </si>
  <si>
    <t xml:space="preserve">1.3.1.5.3.6.1.5</t>
  </si>
  <si>
    <t xml:space="preserve">872FS</t>
  </si>
  <si>
    <t xml:space="preserve">MSP-877</t>
  </si>
  <si>
    <t xml:space="preserve">1.3.1.5.3.6.2</t>
  </si>
  <si>
    <t xml:space="preserve">MSP-878</t>
  </si>
  <si>
    <t xml:space="preserve">1.3.1.5.3.6.2.1</t>
  </si>
  <si>
    <t xml:space="preserve">880FS</t>
  </si>
  <si>
    <t xml:space="preserve">MSP-879</t>
  </si>
  <si>
    <t xml:space="preserve">1.3.1.5.3.6.2.2</t>
  </si>
  <si>
    <t xml:space="preserve">868SS</t>
  </si>
  <si>
    <t xml:space="preserve">MSP-880</t>
  </si>
  <si>
    <t xml:space="preserve">1.3.1.5.3.6.2.3</t>
  </si>
  <si>
    <t xml:space="preserve">881FS</t>
  </si>
  <si>
    <t xml:space="preserve">MSP-881</t>
  </si>
  <si>
    <t xml:space="preserve">1.3.1.5.3.6.2.4</t>
  </si>
  <si>
    <t xml:space="preserve">879FS</t>
  </si>
  <si>
    <t xml:space="preserve">MSP-882</t>
  </si>
  <si>
    <t xml:space="preserve">1.3.1.5.3.6.2.5</t>
  </si>
  <si>
    <t xml:space="preserve">878FS</t>
  </si>
  <si>
    <t xml:space="preserve">MSP-883</t>
  </si>
  <si>
    <t xml:space="preserve">1.3.1.5.3.7</t>
  </si>
  <si>
    <t xml:space="preserve">MSP-884</t>
  </si>
  <si>
    <t xml:space="preserve">1.3.1.5.3.7.1</t>
  </si>
  <si>
    <t xml:space="preserve">MSP-885</t>
  </si>
  <si>
    <t xml:space="preserve">1.3.1.5.3.7.1.1</t>
  </si>
  <si>
    <t xml:space="preserve">886FS</t>
  </si>
  <si>
    <t xml:space="preserve">MSP-886</t>
  </si>
  <si>
    <t xml:space="preserve">1.3.1.5.3.7.1.2</t>
  </si>
  <si>
    <t xml:space="preserve">887FS</t>
  </si>
  <si>
    <t xml:space="preserve">MSP-887</t>
  </si>
  <si>
    <t xml:space="preserve">1.3.1.5.3.7.1.3</t>
  </si>
  <si>
    <t xml:space="preserve">2424FS</t>
  </si>
  <si>
    <t xml:space="preserve">MSP-888</t>
  </si>
  <si>
    <t xml:space="preserve">1.3.1.5.3.7.1.4</t>
  </si>
  <si>
    <t xml:space="preserve">885FS</t>
  </si>
  <si>
    <t xml:space="preserve">MSP-889</t>
  </si>
  <si>
    <t xml:space="preserve">1.3.1.5.3.7.2</t>
  </si>
  <si>
    <t xml:space="preserve">MSP-890</t>
  </si>
  <si>
    <t xml:space="preserve">1.3.1.5.3.7.2.1</t>
  </si>
  <si>
    <t xml:space="preserve">891FS</t>
  </si>
  <si>
    <t xml:space="preserve">MSP-891</t>
  </si>
  <si>
    <t xml:space="preserve">1.3.1.5.3.7.2.2</t>
  </si>
  <si>
    <t xml:space="preserve">892FS</t>
  </si>
  <si>
    <t xml:space="preserve">MSP-892</t>
  </si>
  <si>
    <t xml:space="preserve">1.3.1.5.3.7.2.3</t>
  </si>
  <si>
    <t xml:space="preserve">MSP-893</t>
  </si>
  <si>
    <t xml:space="preserve">1.3.1.5.3.7.2.4</t>
  </si>
  <si>
    <t xml:space="preserve">MSP-894</t>
  </si>
  <si>
    <t xml:space="preserve">1.3.1.5.3.7.3</t>
  </si>
  <si>
    <t xml:space="preserve">MSP-895</t>
  </si>
  <si>
    <t xml:space="preserve">1.3.1.5.3.7.3.1</t>
  </si>
  <si>
    <t xml:space="preserve">896FS</t>
  </si>
  <si>
    <t xml:space="preserve">MSP-896</t>
  </si>
  <si>
    <t xml:space="preserve">1.3.1.5.3.7.3.2</t>
  </si>
  <si>
    <t xml:space="preserve">897FS</t>
  </si>
  <si>
    <t xml:space="preserve">MSP-897</t>
  </si>
  <si>
    <t xml:space="preserve">1.3.1.5.3.7.3.3</t>
  </si>
  <si>
    <t xml:space="preserve">MSP-898</t>
  </si>
  <si>
    <t xml:space="preserve">1.3.1.5.3.7.3.4</t>
  </si>
  <si>
    <t xml:space="preserve">895FS</t>
  </si>
  <si>
    <t xml:space="preserve">MSP-899</t>
  </si>
  <si>
    <t xml:space="preserve">1.3.1.5.3.8</t>
  </si>
  <si>
    <t xml:space="preserve">MSP-900</t>
  </si>
  <si>
    <t xml:space="preserve">1.3.1.5.3.8.1</t>
  </si>
  <si>
    <t xml:space="preserve">MSP-901</t>
  </si>
  <si>
    <t xml:space="preserve">1.3.1.5.3.8.1.1</t>
  </si>
  <si>
    <t xml:space="preserve">902FS</t>
  </si>
  <si>
    <t xml:space="preserve">MSP-902</t>
  </si>
  <si>
    <t xml:space="preserve">1.3.1.5.3.8.1.2</t>
  </si>
  <si>
    <t xml:space="preserve">903FS</t>
  </si>
  <si>
    <t xml:space="preserve">MSP-903</t>
  </si>
  <si>
    <t xml:space="preserve">1.3.1.5.3.8.1.3</t>
  </si>
  <si>
    <t xml:space="preserve">MSP-904</t>
  </si>
  <si>
    <t xml:space="preserve">1.3.1.5.3.8.1.4</t>
  </si>
  <si>
    <t xml:space="preserve">901FS</t>
  </si>
  <si>
    <t xml:space="preserve">MSP-905</t>
  </si>
  <si>
    <t xml:space="preserve">1.3.1.5.3.8.2</t>
  </si>
  <si>
    <t xml:space="preserve">MSP-906</t>
  </si>
  <si>
    <t xml:space="preserve">1.3.1.5.3.8.2.1</t>
  </si>
  <si>
    <t xml:space="preserve">907FS</t>
  </si>
  <si>
    <t xml:space="preserve">MSP-907</t>
  </si>
  <si>
    <t xml:space="preserve">1.3.1.5.3.8.2.2</t>
  </si>
  <si>
    <t xml:space="preserve">908FS</t>
  </si>
  <si>
    <t xml:space="preserve">MSP-908</t>
  </si>
  <si>
    <t xml:space="preserve">1.3.1.5.3.8.2.3</t>
  </si>
  <si>
    <t xml:space="preserve">890FS</t>
  </si>
  <si>
    <t xml:space="preserve">MSP-909</t>
  </si>
  <si>
    <t xml:space="preserve">1.3.1.5.3.8.2.4</t>
  </si>
  <si>
    <t xml:space="preserve">906FS</t>
  </si>
  <si>
    <t xml:space="preserve">MSP-910</t>
  </si>
  <si>
    <t xml:space="preserve">1.3.1.5.3.8.3</t>
  </si>
  <si>
    <t xml:space="preserve">MSP-911</t>
  </si>
  <si>
    <t xml:space="preserve">1.3.1.5.3.8.3.1</t>
  </si>
  <si>
    <t xml:space="preserve">912FS</t>
  </si>
  <si>
    <t xml:space="preserve">MSP-912</t>
  </si>
  <si>
    <t xml:space="preserve">1.3.1.5.3.8.3.2</t>
  </si>
  <si>
    <t xml:space="preserve">913FS</t>
  </si>
  <si>
    <t xml:space="preserve">MSP-913</t>
  </si>
  <si>
    <t xml:space="preserve">1.3.1.5.3.8.3.3</t>
  </si>
  <si>
    <t xml:space="preserve">MSP-914</t>
  </si>
  <si>
    <t xml:space="preserve">1.3.1.5.3.8.3.4</t>
  </si>
  <si>
    <t xml:space="preserve">911FS</t>
  </si>
  <si>
    <t xml:space="preserve">MSP-915</t>
  </si>
  <si>
    <t xml:space="preserve">1.3.1.5.3.9</t>
  </si>
  <si>
    <t xml:space="preserve">MSP-916</t>
  </si>
  <si>
    <t xml:space="preserve">1.3.1.5.3.9.1</t>
  </si>
  <si>
    <t xml:space="preserve">917FS</t>
  </si>
  <si>
    <t xml:space="preserve">MSP-917</t>
  </si>
  <si>
    <t xml:space="preserve">1.3.1.5.3.9.2</t>
  </si>
  <si>
    <t xml:space="preserve">918FS</t>
  </si>
  <si>
    <t xml:space="preserve">MSP-918</t>
  </si>
  <si>
    <t xml:space="preserve">1.3.1.5.3.9.3</t>
  </si>
  <si>
    <t xml:space="preserve">MSP-919</t>
  </si>
  <si>
    <t xml:space="preserve">1.3.1.5.3.9.4</t>
  </si>
  <si>
    <t xml:space="preserve">916FS</t>
  </si>
  <si>
    <t xml:space="preserve">MSP-920</t>
  </si>
  <si>
    <t xml:space="preserve">1.3.1.5.4</t>
  </si>
  <si>
    <t xml:space="preserve">MSP-921</t>
  </si>
  <si>
    <t xml:space="preserve">1.3.1.5.4.1</t>
  </si>
  <si>
    <t xml:space="preserve">919FS</t>
  </si>
  <si>
    <t xml:space="preserve">MSP-922</t>
  </si>
  <si>
    <t xml:space="preserve">1.3.1.5.4.2</t>
  </si>
  <si>
    <t xml:space="preserve">921FS</t>
  </si>
  <si>
    <t xml:space="preserve">MSP-923</t>
  </si>
  <si>
    <t xml:space="preserve">1.3.1.6</t>
  </si>
  <si>
    <t xml:space="preserve">BLOQUE "6"</t>
  </si>
  <si>
    <t xml:space="preserve">MSP-924</t>
  </si>
  <si>
    <t xml:space="preserve">1.3.1.6.1</t>
  </si>
  <si>
    <t xml:space="preserve">MSP-925</t>
  </si>
  <si>
    <t xml:space="preserve">1.3.1.6.1.1</t>
  </si>
  <si>
    <t xml:space="preserve">1071FS</t>
  </si>
  <si>
    <t xml:space="preserve">MSP-926</t>
  </si>
  <si>
    <t xml:space="preserve">1.3.1.6.1.2</t>
  </si>
  <si>
    <t xml:space="preserve">925FS</t>
  </si>
  <si>
    <t xml:space="preserve">MSP-927</t>
  </si>
  <si>
    <t xml:space="preserve">1.3.1.6.1.3</t>
  </si>
  <si>
    <t xml:space="preserve">926FS</t>
  </si>
  <si>
    <t xml:space="preserve">MSP-928</t>
  </si>
  <si>
    <t xml:space="preserve">1.3.1.6.1.4</t>
  </si>
  <si>
    <t xml:space="preserve">927FS</t>
  </si>
  <si>
    <t xml:space="preserve">MSP-929</t>
  </si>
  <si>
    <t xml:space="preserve">1.3.1.6.1.5</t>
  </si>
  <si>
    <t xml:space="preserve">939FS</t>
  </si>
  <si>
    <t xml:space="preserve">MSP-930</t>
  </si>
  <si>
    <t xml:space="preserve">1.3.1.6.1.6</t>
  </si>
  <si>
    <t xml:space="preserve">MSP-931</t>
  </si>
  <si>
    <t xml:space="preserve">1.3.1.6.1.7</t>
  </si>
  <si>
    <t xml:space="preserve">930FS</t>
  </si>
  <si>
    <t xml:space="preserve">MSP-932</t>
  </si>
  <si>
    <t xml:space="preserve">1.3.1.6.1.8</t>
  </si>
  <si>
    <t xml:space="preserve">MSP-933</t>
  </si>
  <si>
    <t xml:space="preserve">1.3.1.6.1.9</t>
  </si>
  <si>
    <t xml:space="preserve">929FS</t>
  </si>
  <si>
    <t xml:space="preserve">MSP-934</t>
  </si>
  <si>
    <t xml:space="preserve">1.3.1.6.2</t>
  </si>
  <si>
    <t xml:space="preserve">MSP-935</t>
  </si>
  <si>
    <t xml:space="preserve">1.3.1.6.2.1</t>
  </si>
  <si>
    <t xml:space="preserve">MSP-936</t>
  </si>
  <si>
    <t xml:space="preserve">1.3.1.6.2.1.1</t>
  </si>
  <si>
    <t xml:space="preserve">932FS</t>
  </si>
  <si>
    <t xml:space="preserve">MSP-937</t>
  </si>
  <si>
    <t xml:space="preserve">1.3.1.6.2.1.2</t>
  </si>
  <si>
    <t xml:space="preserve">936FS</t>
  </si>
  <si>
    <t xml:space="preserve">MSP-938</t>
  </si>
  <si>
    <t xml:space="preserve">1.3.1.6.2.2</t>
  </si>
  <si>
    <t xml:space="preserve">MSP-939</t>
  </si>
  <si>
    <t xml:space="preserve">1.3.1.6.2.2.1</t>
  </si>
  <si>
    <t xml:space="preserve">940FS</t>
  </si>
  <si>
    <t xml:space="preserve">MSP-940</t>
  </si>
  <si>
    <t xml:space="preserve">1.3.1.6.2.2.2</t>
  </si>
  <si>
    <t xml:space="preserve">MSP-941</t>
  </si>
  <si>
    <t xml:space="preserve">1.3.1.6.2.2.3</t>
  </si>
  <si>
    <t xml:space="preserve">MSP-942</t>
  </si>
  <si>
    <t xml:space="preserve">1.3.1.6.2.3</t>
  </si>
  <si>
    <t xml:space="preserve">MSP-943</t>
  </si>
  <si>
    <t xml:space="preserve">1.3.1.6.2.3.1</t>
  </si>
  <si>
    <t xml:space="preserve">MSP-944</t>
  </si>
  <si>
    <t xml:space="preserve">1.3.1.6.2.3.2</t>
  </si>
  <si>
    <t xml:space="preserve">943FS</t>
  </si>
  <si>
    <t xml:space="preserve">MSP-945</t>
  </si>
  <si>
    <t xml:space="preserve">1.3.1.6.2.4</t>
  </si>
  <si>
    <t xml:space="preserve">MSP-946</t>
  </si>
  <si>
    <t xml:space="preserve">1.3.1.6.2.4.1</t>
  </si>
  <si>
    <t xml:space="preserve">MSP-947</t>
  </si>
  <si>
    <t xml:space="preserve">1.3.1.6.3</t>
  </si>
  <si>
    <t xml:space="preserve">MSP-948</t>
  </si>
  <si>
    <t xml:space="preserve">1.3.1.6.3.1</t>
  </si>
  <si>
    <t xml:space="preserve">MSP-949</t>
  </si>
  <si>
    <t xml:space="preserve">1.3.1.6.3.1.1</t>
  </si>
  <si>
    <t xml:space="preserve">950FS</t>
  </si>
  <si>
    <t xml:space="preserve">MSP-950</t>
  </si>
  <si>
    <t xml:space="preserve">1.3.1.6.3.1.2</t>
  </si>
  <si>
    <t xml:space="preserve">951FS</t>
  </si>
  <si>
    <t xml:space="preserve">MSP-951</t>
  </si>
  <si>
    <t xml:space="preserve">1.3.1.6.3.1.3</t>
  </si>
  <si>
    <t xml:space="preserve">MSP-952</t>
  </si>
  <si>
    <t xml:space="preserve">1.3.1.6.3.1.4</t>
  </si>
  <si>
    <t xml:space="preserve">949FS</t>
  </si>
  <si>
    <t xml:space="preserve">MSP-953</t>
  </si>
  <si>
    <t xml:space="preserve">1.3.1.6.3.2</t>
  </si>
  <si>
    <t xml:space="preserve">MSP-954</t>
  </si>
  <si>
    <t xml:space="preserve">1.3.1.6.3.2.1</t>
  </si>
  <si>
    <t xml:space="preserve">MSP-955</t>
  </si>
  <si>
    <t xml:space="preserve">1.3.1.6.3.2.1.1</t>
  </si>
  <si>
    <t xml:space="preserve">CONCRETO PREMEZCLADO EN COLUMNAS F'C=315 KG/CM2,  C/CEMENTO TIPO HS, PRIMER NIVEL</t>
  </si>
  <si>
    <t xml:space="preserve">956FS</t>
  </si>
  <si>
    <t xml:space="preserve">MSP-956</t>
  </si>
  <si>
    <t xml:space="preserve">1.3.1.6.3.2.1.2</t>
  </si>
  <si>
    <t xml:space="preserve">957FS</t>
  </si>
  <si>
    <t xml:space="preserve">MSP-957</t>
  </si>
  <si>
    <t xml:space="preserve">1.3.1.6.3.2.1.3</t>
  </si>
  <si>
    <t xml:space="preserve">MSP-958</t>
  </si>
  <si>
    <t xml:space="preserve">1.3.1.6.3.2.1.4</t>
  </si>
  <si>
    <t xml:space="preserve">955FS</t>
  </si>
  <si>
    <t xml:space="preserve">MSP-959</t>
  </si>
  <si>
    <t xml:space="preserve">1.3.1.6.3.2.2</t>
  </si>
  <si>
    <t xml:space="preserve">MSP-960</t>
  </si>
  <si>
    <t xml:space="preserve">1.3.1.6.3.2.2.1</t>
  </si>
  <si>
    <t xml:space="preserve">961FS</t>
  </si>
  <si>
    <t xml:space="preserve">MSP-961</t>
  </si>
  <si>
    <t xml:space="preserve">1.3.1.6.3.2.2.2</t>
  </si>
  <si>
    <t xml:space="preserve">962FS</t>
  </si>
  <si>
    <t xml:space="preserve">MSP-962</t>
  </si>
  <si>
    <t xml:space="preserve">1.3.1.6.3.2.2.3</t>
  </si>
  <si>
    <t xml:space="preserve">982FS</t>
  </si>
  <si>
    <t xml:space="preserve">MSP-963</t>
  </si>
  <si>
    <t xml:space="preserve">1.3.1.6.3.2.2.4</t>
  </si>
  <si>
    <t xml:space="preserve">960FS</t>
  </si>
  <si>
    <t xml:space="preserve">MSP-964</t>
  </si>
  <si>
    <t xml:space="preserve">1.3.1.6.3.3</t>
  </si>
  <si>
    <t xml:space="preserve">MSP-965</t>
  </si>
  <si>
    <t xml:space="preserve">1.3.1.6.3.3.1</t>
  </si>
  <si>
    <t xml:space="preserve">MSP-966</t>
  </si>
  <si>
    <t xml:space="preserve">1.3.1.6.3.3.1.1</t>
  </si>
  <si>
    <t xml:space="preserve">CONCRETO PREMEZCLADO EN PLACAS F'C=315 KG/CM2,  C/CEMENTO TIPO HS, PRIMER NIVEL</t>
  </si>
  <si>
    <t xml:space="preserve">967FS</t>
  </si>
  <si>
    <t xml:space="preserve">MSP-967</t>
  </si>
  <si>
    <t xml:space="preserve">1.3.1.6.3.3.1.2</t>
  </si>
  <si>
    <t xml:space="preserve">968FS</t>
  </si>
  <si>
    <t xml:space="preserve">MSP-968</t>
  </si>
  <si>
    <t xml:space="preserve">1.3.1.6.3.3.1.3</t>
  </si>
  <si>
    <t xml:space="preserve">957SS</t>
  </si>
  <si>
    <t xml:space="preserve">MSP-969</t>
  </si>
  <si>
    <t xml:space="preserve">1.3.1.6.3.3.1.4</t>
  </si>
  <si>
    <t xml:space="preserve">966FS</t>
  </si>
  <si>
    <t xml:space="preserve">MSP-970</t>
  </si>
  <si>
    <t xml:space="preserve">1.3.1.6.3.3.2</t>
  </si>
  <si>
    <t xml:space="preserve">MSP-971</t>
  </si>
  <si>
    <t xml:space="preserve">1.3.1.6.3.3.2.1</t>
  </si>
  <si>
    <t xml:space="preserve">972FS</t>
  </si>
  <si>
    <t xml:space="preserve">MSP-972</t>
  </si>
  <si>
    <t xml:space="preserve">1.3.1.6.3.3.2.2</t>
  </si>
  <si>
    <t xml:space="preserve">973FS</t>
  </si>
  <si>
    <t xml:space="preserve">MSP-973</t>
  </si>
  <si>
    <t xml:space="preserve">1.3.1.6.3.3.2.3</t>
  </si>
  <si>
    <t xml:space="preserve">962SS</t>
  </si>
  <si>
    <t xml:space="preserve">MSP-974</t>
  </si>
  <si>
    <t xml:space="preserve">1.3.1.6.3.3.2.4</t>
  </si>
  <si>
    <t xml:space="preserve">971FS</t>
  </si>
  <si>
    <t xml:space="preserve">MSP-975</t>
  </si>
  <si>
    <t xml:space="preserve">1.3.1.6.3.4</t>
  </si>
  <si>
    <t xml:space="preserve">MURO DE CONTENCION</t>
  </si>
  <si>
    <t xml:space="preserve">MSP-976</t>
  </si>
  <si>
    <t xml:space="preserve">1.3.1.6.3.4.1</t>
  </si>
  <si>
    <t xml:space="preserve">977FS</t>
  </si>
  <si>
    <t xml:space="preserve">MSP-977</t>
  </si>
  <si>
    <t xml:space="preserve">1.3.1.6.3.4.2</t>
  </si>
  <si>
    <t xml:space="preserve">ENCOFRADO Y DESENCOFRADO CARAVISTA EN MURO DE CONTENCIÓN</t>
  </si>
  <si>
    <t xml:space="preserve">978FS</t>
  </si>
  <si>
    <t xml:space="preserve">MSP-978</t>
  </si>
  <si>
    <t xml:space="preserve">1.3.1.6.3.4.3</t>
  </si>
  <si>
    <t xml:space="preserve">ACERO Fy=4200 kg/cm2 GRADO 60 EN MUROS DE C°A°</t>
  </si>
  <si>
    <t xml:space="preserve">MSP-979</t>
  </si>
  <si>
    <t xml:space="preserve">1.3.1.6.3.4.4</t>
  </si>
  <si>
    <t xml:space="preserve">976FS</t>
  </si>
  <si>
    <t xml:space="preserve">MSP-980</t>
  </si>
  <si>
    <t xml:space="preserve">1.3.1.6.3.5</t>
  </si>
  <si>
    <t xml:space="preserve">MSP-981</t>
  </si>
  <si>
    <t xml:space="preserve">1.3.1.6.3.5.1</t>
  </si>
  <si>
    <t xml:space="preserve">MSP-982</t>
  </si>
  <si>
    <t xml:space="preserve">1.3.1.6.3.5.1.1</t>
  </si>
  <si>
    <t xml:space="preserve">983FS</t>
  </si>
  <si>
    <t xml:space="preserve">MSP-983</t>
  </si>
  <si>
    <t xml:space="preserve">1.3.1.6.3.5.1.2</t>
  </si>
  <si>
    <t xml:space="preserve">984FS</t>
  </si>
  <si>
    <t xml:space="preserve">MSP-984</t>
  </si>
  <si>
    <t xml:space="preserve">1.3.1.6.3.5.1.3</t>
  </si>
  <si>
    <t xml:space="preserve">966FS;955FS</t>
  </si>
  <si>
    <t xml:space="preserve">MSP-985</t>
  </si>
  <si>
    <t xml:space="preserve">1.3.1.6.3.5.1.4</t>
  </si>
  <si>
    <t xml:space="preserve">MSP-986</t>
  </si>
  <si>
    <t xml:space="preserve">1.3.1.6.3.5.2</t>
  </si>
  <si>
    <t xml:space="preserve">MSP-987</t>
  </si>
  <si>
    <t xml:space="preserve">1.3.1.6.3.5.2.1</t>
  </si>
  <si>
    <t xml:space="preserve">988FS</t>
  </si>
  <si>
    <t xml:space="preserve">MSP-988</t>
  </si>
  <si>
    <t xml:space="preserve">1.3.1.6.3.5.2.2</t>
  </si>
  <si>
    <t xml:space="preserve">989FS</t>
  </si>
  <si>
    <t xml:space="preserve">MSP-989</t>
  </si>
  <si>
    <t xml:space="preserve">1.3.1.6.3.5.2.3</t>
  </si>
  <si>
    <t xml:space="preserve">971FS;960FS</t>
  </si>
  <si>
    <t xml:space="preserve">MSP-990</t>
  </si>
  <si>
    <t xml:space="preserve">1.3.1.6.3.5.2.4</t>
  </si>
  <si>
    <t xml:space="preserve">987FS</t>
  </si>
  <si>
    <t xml:space="preserve">MSP-991</t>
  </si>
  <si>
    <t xml:space="preserve">1.3.1.6.3.6</t>
  </si>
  <si>
    <t xml:space="preserve">MSP-992</t>
  </si>
  <si>
    <t xml:space="preserve">1.3.1.6.3.6.1</t>
  </si>
  <si>
    <t xml:space="preserve">MSP-993</t>
  </si>
  <si>
    <t xml:space="preserve">1.3.1.6.3.6.1.1</t>
  </si>
  <si>
    <t xml:space="preserve">995FS</t>
  </si>
  <si>
    <t xml:space="preserve">MSP-994</t>
  </si>
  <si>
    <t xml:space="preserve">1.3.1.6.3.6.1.2</t>
  </si>
  <si>
    <t xml:space="preserve">984SS</t>
  </si>
  <si>
    <t xml:space="preserve">MSP-995</t>
  </si>
  <si>
    <t xml:space="preserve">1.3.1.6.3.6.1.3</t>
  </si>
  <si>
    <t xml:space="preserve">996FS</t>
  </si>
  <si>
    <t xml:space="preserve">MSP-996</t>
  </si>
  <si>
    <t xml:space="preserve">1.3.1.6.3.6.1.4</t>
  </si>
  <si>
    <t xml:space="preserve">994FS</t>
  </si>
  <si>
    <t xml:space="preserve">MSP-997</t>
  </si>
  <si>
    <t xml:space="preserve">1.3.1.6.3.6.1.5</t>
  </si>
  <si>
    <t xml:space="preserve">993FS</t>
  </si>
  <si>
    <t xml:space="preserve">MSP-998</t>
  </si>
  <si>
    <t xml:space="preserve">1.3.1.6.3.6.2</t>
  </si>
  <si>
    <t xml:space="preserve">MSP-999</t>
  </si>
  <si>
    <t xml:space="preserve">1.3.1.6.3.6.2.1</t>
  </si>
  <si>
    <t xml:space="preserve">1001FS</t>
  </si>
  <si>
    <t xml:space="preserve">MSP-1000</t>
  </si>
  <si>
    <t xml:space="preserve">1.3.1.6.3.6.2.2</t>
  </si>
  <si>
    <t xml:space="preserve">988SS</t>
  </si>
  <si>
    <t xml:space="preserve">MSP-1001</t>
  </si>
  <si>
    <t xml:space="preserve">1.3.1.6.3.6.2.3</t>
  </si>
  <si>
    <t xml:space="preserve">1002FS</t>
  </si>
  <si>
    <t xml:space="preserve">MSP-1002</t>
  </si>
  <si>
    <t xml:space="preserve">1.3.1.6.3.6.2.4</t>
  </si>
  <si>
    <t xml:space="preserve">1000FS</t>
  </si>
  <si>
    <t xml:space="preserve">MSP-1003</t>
  </si>
  <si>
    <t xml:space="preserve">1.3.1.6.3.6.2.5</t>
  </si>
  <si>
    <t xml:space="preserve">999FS</t>
  </si>
  <si>
    <t xml:space="preserve">MSP-1004</t>
  </si>
  <si>
    <t xml:space="preserve">1.3.1.6.3.7</t>
  </si>
  <si>
    <t xml:space="preserve">MSP-1005</t>
  </si>
  <si>
    <t xml:space="preserve">1.3.1.6.3.7.1</t>
  </si>
  <si>
    <t xml:space="preserve">MSP-1006</t>
  </si>
  <si>
    <t xml:space="preserve">1.3.1.6.3.7.1.1</t>
  </si>
  <si>
    <t xml:space="preserve">1007FS</t>
  </si>
  <si>
    <t xml:space="preserve">MSP-1007</t>
  </si>
  <si>
    <t xml:space="preserve">1.3.1.6.3.7.1.2</t>
  </si>
  <si>
    <t xml:space="preserve">1008FS</t>
  </si>
  <si>
    <t xml:space="preserve">MSP-1008</t>
  </si>
  <si>
    <t xml:space="preserve">1.3.1.6.3.7.1.3</t>
  </si>
  <si>
    <t xml:space="preserve">2496FS</t>
  </si>
  <si>
    <t xml:space="preserve">MSP-1009</t>
  </si>
  <si>
    <t xml:space="preserve">1.3.1.6.3.7.1.4</t>
  </si>
  <si>
    <t xml:space="preserve">1006FS</t>
  </si>
  <si>
    <t xml:space="preserve">MSP-1010</t>
  </si>
  <si>
    <t xml:space="preserve">1.3.1.6.3.7.2</t>
  </si>
  <si>
    <t xml:space="preserve">MSP-1011</t>
  </si>
  <si>
    <t xml:space="preserve">1.3.1.6.3.7.2.1</t>
  </si>
  <si>
    <t xml:space="preserve">1012FS</t>
  </si>
  <si>
    <t xml:space="preserve">MSP-1012</t>
  </si>
  <si>
    <t xml:space="preserve">1.3.1.6.3.7.2.2</t>
  </si>
  <si>
    <t xml:space="preserve">1013FS</t>
  </si>
  <si>
    <t xml:space="preserve">MSP-1013</t>
  </si>
  <si>
    <t xml:space="preserve">1.3.1.6.3.7.2.3</t>
  </si>
  <si>
    <t xml:space="preserve">MSP-1014</t>
  </si>
  <si>
    <t xml:space="preserve">1.3.1.6.3.7.2.4</t>
  </si>
  <si>
    <t xml:space="preserve">1011FS</t>
  </si>
  <si>
    <t xml:space="preserve">MSP-1015</t>
  </si>
  <si>
    <t xml:space="preserve">1.3.1.6.3.7.3</t>
  </si>
  <si>
    <t xml:space="preserve">MSP-1016</t>
  </si>
  <si>
    <t xml:space="preserve">1.3.1.6.3.7.3.1</t>
  </si>
  <si>
    <t xml:space="preserve">1017FS</t>
  </si>
  <si>
    <t xml:space="preserve">MSP-1017</t>
  </si>
  <si>
    <t xml:space="preserve">1.3.1.6.3.7.3.2</t>
  </si>
  <si>
    <t xml:space="preserve">1018FS</t>
  </si>
  <si>
    <t xml:space="preserve">MSP-1018</t>
  </si>
  <si>
    <t xml:space="preserve">1.3.1.6.3.7.3.3</t>
  </si>
  <si>
    <t xml:space="preserve">MSP-1019</t>
  </si>
  <si>
    <t xml:space="preserve">1.3.1.6.3.7.3.4</t>
  </si>
  <si>
    <t xml:space="preserve">1016FS</t>
  </si>
  <si>
    <t xml:space="preserve">MSP-1020</t>
  </si>
  <si>
    <t xml:space="preserve">1.3.1.6.3.8</t>
  </si>
  <si>
    <t xml:space="preserve">MSP-1021</t>
  </si>
  <si>
    <t xml:space="preserve">1.3.1.6.3.8.1</t>
  </si>
  <si>
    <t xml:space="preserve">MSP-1022</t>
  </si>
  <si>
    <t xml:space="preserve">1.3.1.6.3.8.1.1</t>
  </si>
  <si>
    <t xml:space="preserve">1023FS</t>
  </si>
  <si>
    <t xml:space="preserve">MSP-1023</t>
  </si>
  <si>
    <t xml:space="preserve">1.3.1.6.3.8.1.2</t>
  </si>
  <si>
    <t xml:space="preserve">1024FS</t>
  </si>
  <si>
    <t xml:space="preserve">MSP-1024</t>
  </si>
  <si>
    <t xml:space="preserve">1.3.1.6.3.8.1.3</t>
  </si>
  <si>
    <t xml:space="preserve">MSP-1025</t>
  </si>
  <si>
    <t xml:space="preserve">1.3.1.6.3.8.1.4</t>
  </si>
  <si>
    <t xml:space="preserve">1022FS</t>
  </si>
  <si>
    <t xml:space="preserve">MSP-1026</t>
  </si>
  <si>
    <t xml:space="preserve">1.3.1.6.3.8.2</t>
  </si>
  <si>
    <t xml:space="preserve">MSP-1027</t>
  </si>
  <si>
    <t xml:space="preserve">1.3.1.6.3.8.2.1</t>
  </si>
  <si>
    <t xml:space="preserve">1028FS</t>
  </si>
  <si>
    <t xml:space="preserve">MSP-1028</t>
  </si>
  <si>
    <t xml:space="preserve">1.3.1.6.3.8.2.2</t>
  </si>
  <si>
    <t xml:space="preserve">1029FS</t>
  </si>
  <si>
    <t xml:space="preserve">MSP-1029</t>
  </si>
  <si>
    <t xml:space="preserve">1.3.1.6.3.8.2.3</t>
  </si>
  <si>
    <t xml:space="preserve">MSP-1030</t>
  </si>
  <si>
    <t xml:space="preserve">1.3.1.6.3.8.2.4</t>
  </si>
  <si>
    <t xml:space="preserve">1027FS</t>
  </si>
  <si>
    <t xml:space="preserve">MSP-1031</t>
  </si>
  <si>
    <t xml:space="preserve">1.3.1.6.3.8.3</t>
  </si>
  <si>
    <t xml:space="preserve">MSP-1032</t>
  </si>
  <si>
    <t xml:space="preserve">1.3.1.6.3.8.3.1</t>
  </si>
  <si>
    <t xml:space="preserve">1033FS</t>
  </si>
  <si>
    <t xml:space="preserve">MSP-1033</t>
  </si>
  <si>
    <t xml:space="preserve">1.3.1.6.3.8.3.2</t>
  </si>
  <si>
    <t xml:space="preserve">1034FS</t>
  </si>
  <si>
    <t xml:space="preserve">MSP-1034</t>
  </si>
  <si>
    <t xml:space="preserve">1.3.1.6.3.8.3.3</t>
  </si>
  <si>
    <t xml:space="preserve">MSP-1035</t>
  </si>
  <si>
    <t xml:space="preserve">1.3.1.6.3.8.3.4</t>
  </si>
  <si>
    <t xml:space="preserve">1032FS</t>
  </si>
  <si>
    <t xml:space="preserve">MSP-1036</t>
  </si>
  <si>
    <t xml:space="preserve">1.3.1.6.3.9</t>
  </si>
  <si>
    <t xml:space="preserve">MSP-1037</t>
  </si>
  <si>
    <t xml:space="preserve">1.3.1.6.3.9.1</t>
  </si>
  <si>
    <t xml:space="preserve">1038FS</t>
  </si>
  <si>
    <t xml:space="preserve">MSP-1038</t>
  </si>
  <si>
    <t xml:space="preserve">1.3.1.6.3.9.2</t>
  </si>
  <si>
    <t xml:space="preserve">1039FS</t>
  </si>
  <si>
    <t xml:space="preserve">MSP-1039</t>
  </si>
  <si>
    <t xml:space="preserve">1.3.1.6.3.9.3</t>
  </si>
  <si>
    <t xml:space="preserve">MSP-1040</t>
  </si>
  <si>
    <t xml:space="preserve">1.3.1.6.3.9.4</t>
  </si>
  <si>
    <t xml:space="preserve">1037FS</t>
  </si>
  <si>
    <t xml:space="preserve">MSP-1041</t>
  </si>
  <si>
    <t xml:space="preserve">1.3.1.6.3.10</t>
  </si>
  <si>
    <t xml:space="preserve">MSP-1042</t>
  </si>
  <si>
    <t xml:space="preserve">1.3.1.6.3.10.1</t>
  </si>
  <si>
    <t xml:space="preserve">1043FS</t>
  </si>
  <si>
    <t xml:space="preserve">MSP-1043</t>
  </si>
  <si>
    <t xml:space="preserve">1.3.1.6.3.10.2</t>
  </si>
  <si>
    <t xml:space="preserve">1044FS</t>
  </si>
  <si>
    <t xml:space="preserve">MSP-1044</t>
  </si>
  <si>
    <t xml:space="preserve">1.3.1.6.3.10.3</t>
  </si>
  <si>
    <t xml:space="preserve">MSP-1045</t>
  </si>
  <si>
    <t xml:space="preserve">1.3.1.6.3.10.4</t>
  </si>
  <si>
    <t xml:space="preserve">1042FS</t>
  </si>
  <si>
    <t xml:space="preserve">MSP-1046</t>
  </si>
  <si>
    <t xml:space="preserve">1.3.1.6.3.11</t>
  </si>
  <si>
    <t xml:space="preserve">MSP-1047</t>
  </si>
  <si>
    <t xml:space="preserve">1.3.1.6.3.11.1</t>
  </si>
  <si>
    <t xml:space="preserve">1048FS</t>
  </si>
  <si>
    <t xml:space="preserve">MSP-1048</t>
  </si>
  <si>
    <t xml:space="preserve">1.3.1.6.3.11.2</t>
  </si>
  <si>
    <t xml:space="preserve">1049FS</t>
  </si>
  <si>
    <t xml:space="preserve">MSP-1049</t>
  </si>
  <si>
    <t xml:space="preserve">1.3.1.6.3.11.3</t>
  </si>
  <si>
    <t xml:space="preserve">MSP-1050</t>
  </si>
  <si>
    <t xml:space="preserve">1.3.1.6.3.11.4</t>
  </si>
  <si>
    <t xml:space="preserve">1047FS</t>
  </si>
  <si>
    <t xml:space="preserve">MSP-1051</t>
  </si>
  <si>
    <t xml:space="preserve">1.3.1.6.3.12</t>
  </si>
  <si>
    <t xml:space="preserve">MSP-1052</t>
  </si>
  <si>
    <t xml:space="preserve">1.3.1.6.3.12.1</t>
  </si>
  <si>
    <t xml:space="preserve">1003FS</t>
  </si>
  <si>
    <t xml:space="preserve">MSP-1053</t>
  </si>
  <si>
    <t xml:space="preserve">1.3.1.6.3.12.2</t>
  </si>
  <si>
    <t xml:space="preserve">1052FS</t>
  </si>
  <si>
    <t xml:space="preserve">MSP-1054</t>
  </si>
  <si>
    <t xml:space="preserve">1.3.1.6.4</t>
  </si>
  <si>
    <t xml:space="preserve">ESTRUCTURAS METALICAS</t>
  </si>
  <si>
    <t xml:space="preserve">MSP-1055</t>
  </si>
  <si>
    <t xml:space="preserve">1.3.1.6.4.1</t>
  </si>
  <si>
    <t xml:space="preserve">ESTRUCTURA METÁLICA P/INGRESO A BLOQUE 6</t>
  </si>
  <si>
    <t xml:space="preserve">MSP-1056</t>
  </si>
  <si>
    <t xml:space="preserve">1.3.1.6.4.1.1</t>
  </si>
  <si>
    <t xml:space="preserve">TIJERAL METALICO TJ-01, SEGUN DISEÑO</t>
  </si>
  <si>
    <t xml:space="preserve">1003FS+15.0d</t>
  </si>
  <si>
    <t xml:space="preserve">MSP-1057</t>
  </si>
  <si>
    <t xml:space="preserve">1.3.1.6.4.1.2</t>
  </si>
  <si>
    <t xml:space="preserve">TIJERAL METALICO TJ-02, SEGUN DISEÑO</t>
  </si>
  <si>
    <t xml:space="preserve">1056SS</t>
  </si>
  <si>
    <t xml:space="preserve">MSP-1058</t>
  </si>
  <si>
    <t xml:space="preserve">1.3.1.6.4.1.3</t>
  </si>
  <si>
    <t xml:space="preserve">TIJERAL METALICO TJ-03, SEGUN DISEÑO</t>
  </si>
  <si>
    <t xml:space="preserve">MSP-1059</t>
  </si>
  <si>
    <t xml:space="preserve">1.3.1.6.4.1.4</t>
  </si>
  <si>
    <t xml:space="preserve">TIJERAL METALICO TJ-04, SEGUN DISEÑO</t>
  </si>
  <si>
    <t xml:space="preserve">MSP-1060</t>
  </si>
  <si>
    <t xml:space="preserve">1.3.1.6.4.1.5</t>
  </si>
  <si>
    <t xml:space="preserve">TIJERAL METALICO TJ-05, SEGUN DISEÑO</t>
  </si>
  <si>
    <t xml:space="preserve">MSP-1061</t>
  </si>
  <si>
    <t xml:space="preserve">1.3.1.6.4.1.6</t>
  </si>
  <si>
    <t xml:space="preserve">TIJERAL METALICO TJ-06, SEGUN DISEÑO</t>
  </si>
  <si>
    <t xml:space="preserve">MSP-1062</t>
  </si>
  <si>
    <t xml:space="preserve">1.3.1.6.4.1.7</t>
  </si>
  <si>
    <t xml:space="preserve">BORDE METÁLICO TUBO F°N° 50X50X3MM</t>
  </si>
  <si>
    <t xml:space="preserve">MSP-1063</t>
  </si>
  <si>
    <t xml:space="preserve">1.3.1.6.4.1.8</t>
  </si>
  <si>
    <t xml:space="preserve">1056FS;1057FS;1058FS;1059FS;1060FS;1061FS</t>
  </si>
  <si>
    <t xml:space="preserve">MSP-1064</t>
  </si>
  <si>
    <t xml:space="preserve">1.3.1.6.4.1.9</t>
  </si>
  <si>
    <t xml:space="preserve">1063FS</t>
  </si>
  <si>
    <t xml:space="preserve">MSP-1065</t>
  </si>
  <si>
    <t xml:space="preserve">1.3.1.6.4.1.10</t>
  </si>
  <si>
    <t xml:space="preserve">CORREA DE TUBO DE FIERRO NEGRO 50x50x3mm</t>
  </si>
  <si>
    <t xml:space="preserve">1064FS;1067FS</t>
  </si>
  <si>
    <t xml:space="preserve">MSP-1066</t>
  </si>
  <si>
    <t xml:space="preserve">1.3.1.6.4.1.11</t>
  </si>
  <si>
    <t xml:space="preserve">CABLE TIPO BOA 3/8''</t>
  </si>
  <si>
    <t xml:space="preserve">1065FS</t>
  </si>
  <si>
    <t xml:space="preserve">MSP-1067</t>
  </si>
  <si>
    <t xml:space="preserve">1.3.1.6.4.1.12</t>
  </si>
  <si>
    <t xml:space="preserve">VARILLA DE ACERO LISO DE 3/8"</t>
  </si>
  <si>
    <t xml:space="preserve">1064SS</t>
  </si>
  <si>
    <t xml:space="preserve">MSP-1068</t>
  </si>
  <si>
    <t xml:space="preserve">1.3.1.6.4.1.13</t>
  </si>
  <si>
    <t xml:space="preserve">SUMINISTRO E INSTALACION DE ACCESORIOS PARA CABLE TENSOR</t>
  </si>
  <si>
    <t xml:space="preserve">1066FS</t>
  </si>
  <si>
    <t xml:space="preserve">MSP-1069</t>
  </si>
  <si>
    <t xml:space="preserve">1.3.1.7</t>
  </si>
  <si>
    <t xml:space="preserve">BLOQUE "7"</t>
  </si>
  <si>
    <t xml:space="preserve">MSP-1070</t>
  </si>
  <si>
    <t xml:space="preserve">1.3.1.7.1</t>
  </si>
  <si>
    <t xml:space="preserve">MSP-1071</t>
  </si>
  <si>
    <t xml:space="preserve">1.3.1.7.1.1</t>
  </si>
  <si>
    <t xml:space="preserve">1146FS+20.0d</t>
  </si>
  <si>
    <t xml:space="preserve">MSP-1072</t>
  </si>
  <si>
    <t xml:space="preserve">1.3.1.7.1.2</t>
  </si>
  <si>
    <t xml:space="preserve">MSP-1073</t>
  </si>
  <si>
    <t xml:space="preserve">1.3.1.7.1.3</t>
  </si>
  <si>
    <t xml:space="preserve">1090FS</t>
  </si>
  <si>
    <t xml:space="preserve">MSP-1074</t>
  </si>
  <si>
    <t xml:space="preserve">1.3.1.7.1.4</t>
  </si>
  <si>
    <t xml:space="preserve">MSP-1075</t>
  </si>
  <si>
    <t xml:space="preserve">1.3.1.7.1.5</t>
  </si>
  <si>
    <t xml:space="preserve">1074FS</t>
  </si>
  <si>
    <t xml:space="preserve">MSP-1076</t>
  </si>
  <si>
    <t xml:space="preserve">1.3.1.7.1.6</t>
  </si>
  <si>
    <t xml:space="preserve">MSP-1077</t>
  </si>
  <si>
    <t xml:space="preserve">1.3.1.7.1.7</t>
  </si>
  <si>
    <t xml:space="preserve">1073FS</t>
  </si>
  <si>
    <t xml:space="preserve">MSP-1078</t>
  </si>
  <si>
    <t xml:space="preserve">1.3.1.7.2</t>
  </si>
  <si>
    <t xml:space="preserve">MSP-1079</t>
  </si>
  <si>
    <t xml:space="preserve">1.3.1.7.2.1</t>
  </si>
  <si>
    <t xml:space="preserve">MSP-1080</t>
  </si>
  <si>
    <t xml:space="preserve">1.3.1.7.2.1.1</t>
  </si>
  <si>
    <t xml:space="preserve">1076FS</t>
  </si>
  <si>
    <t xml:space="preserve">MSP-1081</t>
  </si>
  <si>
    <t xml:space="preserve">1.3.1.7.2.2</t>
  </si>
  <si>
    <t xml:space="preserve">MSP-1082</t>
  </si>
  <si>
    <t xml:space="preserve">1.3.1.7.2.2.1</t>
  </si>
  <si>
    <t xml:space="preserve">MSP-1083</t>
  </si>
  <si>
    <t xml:space="preserve">1.3.1.7.3</t>
  </si>
  <si>
    <t xml:space="preserve">MSP-1084</t>
  </si>
  <si>
    <t xml:space="preserve">1.3.1.7.3.1</t>
  </si>
  <si>
    <t xml:space="preserve">MSP-1085</t>
  </si>
  <si>
    <t xml:space="preserve">1.3.1.7.3.1.1</t>
  </si>
  <si>
    <t xml:space="preserve">1086FS</t>
  </si>
  <si>
    <t xml:space="preserve">MSP-1086</t>
  </si>
  <si>
    <t xml:space="preserve">1.3.1.7.3.1.2</t>
  </si>
  <si>
    <t xml:space="preserve">1087FS</t>
  </si>
  <si>
    <t xml:space="preserve">MSP-1087</t>
  </si>
  <si>
    <t xml:space="preserve">1.3.1.7.3.1.3</t>
  </si>
  <si>
    <t xml:space="preserve">1080FS</t>
  </si>
  <si>
    <t xml:space="preserve">MSP-1088</t>
  </si>
  <si>
    <t xml:space="preserve">1.3.1.7.3.1.4</t>
  </si>
  <si>
    <t xml:space="preserve">1085FS</t>
  </si>
  <si>
    <t xml:space="preserve">MSP-1089</t>
  </si>
  <si>
    <t xml:space="preserve">1.3.1.7.3.2</t>
  </si>
  <si>
    <t xml:space="preserve">MSP-1090</t>
  </si>
  <si>
    <t xml:space="preserve">1.3.1.7.3.2.1</t>
  </si>
  <si>
    <t xml:space="preserve">1091FS</t>
  </si>
  <si>
    <t xml:space="preserve">MSP-1091</t>
  </si>
  <si>
    <t xml:space="preserve">1.3.1.7.3.2.2</t>
  </si>
  <si>
    <t xml:space="preserve">1092FS</t>
  </si>
  <si>
    <t xml:space="preserve">MSP-1092</t>
  </si>
  <si>
    <t xml:space="preserve">1.3.1.7.3.2.3</t>
  </si>
  <si>
    <t xml:space="preserve">MSP-1093</t>
  </si>
  <si>
    <t xml:space="preserve">1.3.1.7.3.2.4</t>
  </si>
  <si>
    <t xml:space="preserve">MSP-1094</t>
  </si>
  <si>
    <t xml:space="preserve">1.3.1.7.3.3</t>
  </si>
  <si>
    <t xml:space="preserve">MSP-1095</t>
  </si>
  <si>
    <t xml:space="preserve">1.3.1.7.3.3.1</t>
  </si>
  <si>
    <t xml:space="preserve">1096FS</t>
  </si>
  <si>
    <t xml:space="preserve">MSP-1096</t>
  </si>
  <si>
    <t xml:space="preserve">1.3.1.7.3.3.2</t>
  </si>
  <si>
    <t xml:space="preserve">1097FS</t>
  </si>
  <si>
    <t xml:space="preserve">MSP-1097</t>
  </si>
  <si>
    <t xml:space="preserve">1.3.1.7.3.3.3</t>
  </si>
  <si>
    <t xml:space="preserve">MSP-1098</t>
  </si>
  <si>
    <t xml:space="preserve">1.3.1.7.3.3.4</t>
  </si>
  <si>
    <t xml:space="preserve">1095FS</t>
  </si>
  <si>
    <t xml:space="preserve">MSP-1099</t>
  </si>
  <si>
    <t xml:space="preserve">1.3.1.7.3.4</t>
  </si>
  <si>
    <t xml:space="preserve">MSP-1100</t>
  </si>
  <si>
    <t xml:space="preserve">1.3.1.7.3.4.1</t>
  </si>
  <si>
    <t xml:space="preserve">1101FS</t>
  </si>
  <si>
    <t xml:space="preserve">MSP-1101</t>
  </si>
  <si>
    <t xml:space="preserve">1.3.1.7.3.4.2</t>
  </si>
  <si>
    <t xml:space="preserve">1102FS</t>
  </si>
  <si>
    <t xml:space="preserve">MSP-1102</t>
  </si>
  <si>
    <t xml:space="preserve">1.3.1.7.3.4.3</t>
  </si>
  <si>
    <t xml:space="preserve">MSP-1103</t>
  </si>
  <si>
    <t xml:space="preserve">1.3.1.7.3.4.4</t>
  </si>
  <si>
    <t xml:space="preserve">1100FS</t>
  </si>
  <si>
    <t xml:space="preserve">MSP-1104</t>
  </si>
  <si>
    <t xml:space="preserve">1.3.1.7.3.5</t>
  </si>
  <si>
    <t xml:space="preserve">MSP-1105</t>
  </si>
  <si>
    <t xml:space="preserve">1.3.1.7.3.5.1</t>
  </si>
  <si>
    <t xml:space="preserve">1107FS</t>
  </si>
  <si>
    <t xml:space="preserve">MSP-1106</t>
  </si>
  <si>
    <t xml:space="preserve">1.3.1.7.3.5.2</t>
  </si>
  <si>
    <t xml:space="preserve">1102SS</t>
  </si>
  <si>
    <t xml:space="preserve">MSP-1107</t>
  </si>
  <si>
    <t xml:space="preserve">1.3.1.7.3.5.3</t>
  </si>
  <si>
    <t xml:space="preserve">1108FS</t>
  </si>
  <si>
    <t xml:space="preserve">MSP-1108</t>
  </si>
  <si>
    <t xml:space="preserve">1.3.1.7.3.5.4</t>
  </si>
  <si>
    <t xml:space="preserve">1106FS</t>
  </si>
  <si>
    <t xml:space="preserve">MSP-1109</t>
  </si>
  <si>
    <t xml:space="preserve">1.3.1.7.3.5.5</t>
  </si>
  <si>
    <t xml:space="preserve">1105FS</t>
  </si>
  <si>
    <t xml:space="preserve">MSP-1110</t>
  </si>
  <si>
    <t xml:space="preserve">1.3.1.7.3.6</t>
  </si>
  <si>
    <t xml:space="preserve">MSP-1111</t>
  </si>
  <si>
    <t xml:space="preserve">1.3.1.7.3.6.1</t>
  </si>
  <si>
    <t xml:space="preserve">MSP-1112</t>
  </si>
  <si>
    <t xml:space="preserve">1.3.1.7.3.6.1.1</t>
  </si>
  <si>
    <t xml:space="preserve">1113FS</t>
  </si>
  <si>
    <t xml:space="preserve">MSP-1113</t>
  </si>
  <si>
    <t xml:space="preserve">1.3.1.7.3.6.1.2</t>
  </si>
  <si>
    <t xml:space="preserve">1114FS</t>
  </si>
  <si>
    <t xml:space="preserve">MSP-1114</t>
  </si>
  <si>
    <t xml:space="preserve">1.3.1.7.3.6.1.3</t>
  </si>
  <si>
    <t xml:space="preserve">2590FS</t>
  </si>
  <si>
    <t xml:space="preserve">MSP-1115</t>
  </si>
  <si>
    <t xml:space="preserve">1.3.1.7.3.6.1.4</t>
  </si>
  <si>
    <t xml:space="preserve">1112FS</t>
  </si>
  <si>
    <t xml:space="preserve">MSP-1116</t>
  </si>
  <si>
    <t xml:space="preserve">1.3.1.7.3.6.2</t>
  </si>
  <si>
    <t xml:space="preserve">MSP-1117</t>
  </si>
  <si>
    <t xml:space="preserve">1.3.1.7.3.6.2.1</t>
  </si>
  <si>
    <t xml:space="preserve">1118FS</t>
  </si>
  <si>
    <t xml:space="preserve">MSP-1118</t>
  </si>
  <si>
    <t xml:space="preserve">1.3.1.7.3.6.2.2</t>
  </si>
  <si>
    <t xml:space="preserve">1119FS</t>
  </si>
  <si>
    <t xml:space="preserve">MSP-1119</t>
  </si>
  <si>
    <t xml:space="preserve">1.3.1.7.3.6.2.3</t>
  </si>
  <si>
    <t xml:space="preserve">MSP-1120</t>
  </si>
  <si>
    <t xml:space="preserve">1.3.1.7.3.6.2.4</t>
  </si>
  <si>
    <t xml:space="preserve">1117FS</t>
  </si>
  <si>
    <t xml:space="preserve">MSP-1121</t>
  </si>
  <si>
    <t xml:space="preserve">1.3.1.7.3.7</t>
  </si>
  <si>
    <t xml:space="preserve">MSP-1122</t>
  </si>
  <si>
    <t xml:space="preserve">1.3.1.7.3.7.1</t>
  </si>
  <si>
    <t xml:space="preserve">MSP-1123</t>
  </si>
  <si>
    <t xml:space="preserve">1.3.1.7.3.7.1.1</t>
  </si>
  <si>
    <t xml:space="preserve">1124FS</t>
  </si>
  <si>
    <t xml:space="preserve">MSP-1124</t>
  </si>
  <si>
    <t xml:space="preserve">1.3.1.7.3.7.1.2</t>
  </si>
  <si>
    <t xml:space="preserve">1125FS</t>
  </si>
  <si>
    <t xml:space="preserve">MSP-1125</t>
  </si>
  <si>
    <t xml:space="preserve">1.3.1.7.3.7.1.3</t>
  </si>
  <si>
    <t xml:space="preserve">MSP-1126</t>
  </si>
  <si>
    <t xml:space="preserve">1.3.1.7.3.7.1.4</t>
  </si>
  <si>
    <t xml:space="preserve">1123FS</t>
  </si>
  <si>
    <t xml:space="preserve">MSP-1127</t>
  </si>
  <si>
    <t xml:space="preserve">1.3.1.7.3.7.2</t>
  </si>
  <si>
    <t xml:space="preserve">VIGUETAS DE AMARRE AZOTEA</t>
  </si>
  <si>
    <t xml:space="preserve">MSP-1128</t>
  </si>
  <si>
    <t xml:space="preserve">1.3.1.7.3.7.2.1</t>
  </si>
  <si>
    <t xml:space="preserve">1129FS</t>
  </si>
  <si>
    <t xml:space="preserve">MSP-1129</t>
  </si>
  <si>
    <t xml:space="preserve">1.3.1.7.3.7.2.2</t>
  </si>
  <si>
    <t xml:space="preserve">1130FS</t>
  </si>
  <si>
    <t xml:space="preserve">MSP-1130</t>
  </si>
  <si>
    <t xml:space="preserve">1.3.1.7.3.7.2.3</t>
  </si>
  <si>
    <t xml:space="preserve">MSP-1131</t>
  </si>
  <si>
    <t xml:space="preserve">1.3.1.7.3.7.2.4</t>
  </si>
  <si>
    <t xml:space="preserve">1128FS</t>
  </si>
  <si>
    <t xml:space="preserve">MSP-1132</t>
  </si>
  <si>
    <t xml:space="preserve">1.3.1.7.3.8</t>
  </si>
  <si>
    <t xml:space="preserve">MSP-1133</t>
  </si>
  <si>
    <t xml:space="preserve">1.3.1.7.3.8.1</t>
  </si>
  <si>
    <t xml:space="preserve">1134FS</t>
  </si>
  <si>
    <t xml:space="preserve">MSP-1134</t>
  </si>
  <si>
    <t xml:space="preserve">1.3.1.7.3.8.2</t>
  </si>
  <si>
    <t xml:space="preserve">1135FS</t>
  </si>
  <si>
    <t xml:space="preserve">MSP-1135</t>
  </si>
  <si>
    <t xml:space="preserve">1.3.1.7.3.8.3</t>
  </si>
  <si>
    <t xml:space="preserve">MSP-1136</t>
  </si>
  <si>
    <t xml:space="preserve">1.3.1.7.3.8.4</t>
  </si>
  <si>
    <t xml:space="preserve">1133FS</t>
  </si>
  <si>
    <t xml:space="preserve">MSP-1137</t>
  </si>
  <si>
    <t xml:space="preserve">1.3.1.7.3.9</t>
  </si>
  <si>
    <t xml:space="preserve">MSP-1138</t>
  </si>
  <si>
    <t xml:space="preserve">1.3.1.7.3.9.1</t>
  </si>
  <si>
    <t xml:space="preserve">1139FS</t>
  </si>
  <si>
    <t xml:space="preserve">MSP-1139</t>
  </si>
  <si>
    <t xml:space="preserve">1.3.1.7.3.9.2</t>
  </si>
  <si>
    <t xml:space="preserve">1140FS</t>
  </si>
  <si>
    <t xml:space="preserve">MSP-1140</t>
  </si>
  <si>
    <t xml:space="preserve">1.3.1.7.3.9.3</t>
  </si>
  <si>
    <t xml:space="preserve">MSP-1141</t>
  </si>
  <si>
    <t xml:space="preserve">1.3.1.7.3.9.4</t>
  </si>
  <si>
    <t xml:space="preserve">1138FS</t>
  </si>
  <si>
    <t xml:space="preserve">MSP-1142</t>
  </si>
  <si>
    <t xml:space="preserve">1.3.1.7.3.10</t>
  </si>
  <si>
    <t xml:space="preserve">MSP-1143</t>
  </si>
  <si>
    <t xml:space="preserve">1.3.1.7.3.10.1</t>
  </si>
  <si>
    <t xml:space="preserve">1109FS</t>
  </si>
  <si>
    <t xml:space="preserve">MSP-1144</t>
  </si>
  <si>
    <t xml:space="preserve">1.3.1.8</t>
  </si>
  <si>
    <t xml:space="preserve">BLOQUE "8"</t>
  </si>
  <si>
    <t xml:space="preserve">MSP-1145</t>
  </si>
  <si>
    <t xml:space="preserve">1.3.1.8.1</t>
  </si>
  <si>
    <t xml:space="preserve">MSP-1146</t>
  </si>
  <si>
    <t xml:space="preserve">1.3.1.8.1.1</t>
  </si>
  <si>
    <t xml:space="preserve">802FS+40.0d</t>
  </si>
  <si>
    <t xml:space="preserve">MSP-1147</t>
  </si>
  <si>
    <t xml:space="preserve">1.3.1.8.1.2</t>
  </si>
  <si>
    <t xml:space="preserve">1146FS</t>
  </si>
  <si>
    <t xml:space="preserve">MSP-1148</t>
  </si>
  <si>
    <t xml:space="preserve">1.3.1.8.1.3</t>
  </si>
  <si>
    <t xml:space="preserve">1147FS</t>
  </si>
  <si>
    <t xml:space="preserve">MSP-1149</t>
  </si>
  <si>
    <t xml:space="preserve">1.3.1.8.1.4</t>
  </si>
  <si>
    <t xml:space="preserve">1148FS</t>
  </si>
  <si>
    <t xml:space="preserve">MSP-1150</t>
  </si>
  <si>
    <t xml:space="preserve">1.3.1.8.1.5</t>
  </si>
  <si>
    <t xml:space="preserve">1162FS</t>
  </si>
  <si>
    <t xml:space="preserve">MSP-1151</t>
  </si>
  <si>
    <t xml:space="preserve">1.3.1.8.1.6</t>
  </si>
  <si>
    <t xml:space="preserve">MSP-1152</t>
  </si>
  <si>
    <t xml:space="preserve">1.3.1.8.1.7</t>
  </si>
  <si>
    <t xml:space="preserve">1151FS</t>
  </si>
  <si>
    <t xml:space="preserve">MSP-1153</t>
  </si>
  <si>
    <t xml:space="preserve">1.3.1.8.1.8</t>
  </si>
  <si>
    <t xml:space="preserve">MSP-1154</t>
  </si>
  <si>
    <t xml:space="preserve">1.3.1.8.1.9</t>
  </si>
  <si>
    <t xml:space="preserve">1150FS</t>
  </si>
  <si>
    <t xml:space="preserve">MSP-1155</t>
  </si>
  <si>
    <t xml:space="preserve">1.3.1.8.2</t>
  </si>
  <si>
    <t xml:space="preserve">MSP-1156</t>
  </si>
  <si>
    <t xml:space="preserve">1.3.1.8.2.1</t>
  </si>
  <si>
    <t xml:space="preserve">MSP-1157</t>
  </si>
  <si>
    <t xml:space="preserve">1.3.1.8.2.1.1</t>
  </si>
  <si>
    <t xml:space="preserve">MSP-1158</t>
  </si>
  <si>
    <t xml:space="preserve">1.3.1.8.2.2</t>
  </si>
  <si>
    <t xml:space="preserve">MSP-1159</t>
  </si>
  <si>
    <t xml:space="preserve">1.3.1.8.2.2.1</t>
  </si>
  <si>
    <t xml:space="preserve">1160FS</t>
  </si>
  <si>
    <t xml:space="preserve">MSP-1160</t>
  </si>
  <si>
    <t xml:space="preserve">1.3.1.8.2.2.2</t>
  </si>
  <si>
    <t xml:space="preserve">1157FS</t>
  </si>
  <si>
    <t xml:space="preserve">MSP-1161</t>
  </si>
  <si>
    <t xml:space="preserve">1.3.1.8.2.3</t>
  </si>
  <si>
    <t xml:space="preserve">MSP-1162</t>
  </si>
  <si>
    <t xml:space="preserve">1.3.1.8.2.3.1</t>
  </si>
  <si>
    <t xml:space="preserve">1163FS+90.0d</t>
  </si>
  <si>
    <t xml:space="preserve">MSP-1163</t>
  </si>
  <si>
    <t xml:space="preserve">1.3.1.8.2.3.2</t>
  </si>
  <si>
    <t xml:space="preserve">1159FS</t>
  </si>
  <si>
    <t xml:space="preserve">MSP-1164</t>
  </si>
  <si>
    <t xml:space="preserve">1.3.1.8.2.3.3</t>
  </si>
  <si>
    <t xml:space="preserve">MSP-1165</t>
  </si>
  <si>
    <t xml:space="preserve">1.3.1.8.2.4</t>
  </si>
  <si>
    <t xml:space="preserve">MSP-1166</t>
  </si>
  <si>
    <t xml:space="preserve">1.3.1.8.2.4.1</t>
  </si>
  <si>
    <t xml:space="preserve">1167FS</t>
  </si>
  <si>
    <t xml:space="preserve">MSP-1167</t>
  </si>
  <si>
    <t xml:space="preserve">1.3.1.8.2.4.2</t>
  </si>
  <si>
    <t xml:space="preserve">MSP-1168</t>
  </si>
  <si>
    <t xml:space="preserve">1.3.1.8.2.5</t>
  </si>
  <si>
    <t xml:space="preserve">MSP-1169</t>
  </si>
  <si>
    <t xml:space="preserve">1.3.1.8.2.5.1</t>
  </si>
  <si>
    <t xml:space="preserve">MSP-1170</t>
  </si>
  <si>
    <t xml:space="preserve">1.3.1.8.3</t>
  </si>
  <si>
    <t xml:space="preserve">MSP-1171</t>
  </si>
  <si>
    <t xml:space="preserve">1.3.1.8.3.1</t>
  </si>
  <si>
    <t xml:space="preserve">MSP-1172</t>
  </si>
  <si>
    <t xml:space="preserve">1.3.1.8.3.1.1</t>
  </si>
  <si>
    <t xml:space="preserve">1173FS</t>
  </si>
  <si>
    <t xml:space="preserve">MSP-1173</t>
  </si>
  <si>
    <t xml:space="preserve">1.3.1.8.3.1.2</t>
  </si>
  <si>
    <t xml:space="preserve">1174FS</t>
  </si>
  <si>
    <t xml:space="preserve">MSP-1174</t>
  </si>
  <si>
    <t xml:space="preserve">1.3.1.8.3.1.3</t>
  </si>
  <si>
    <t xml:space="preserve">1166FS</t>
  </si>
  <si>
    <t xml:space="preserve">MSP-1175</t>
  </si>
  <si>
    <t xml:space="preserve">1.3.1.8.3.1.4</t>
  </si>
  <si>
    <t xml:space="preserve">1172FS</t>
  </si>
  <si>
    <t xml:space="preserve">MSP-1176</t>
  </si>
  <si>
    <t xml:space="preserve">1.3.1.8.3.2</t>
  </si>
  <si>
    <t xml:space="preserve">MSP-1177</t>
  </si>
  <si>
    <t xml:space="preserve">1.3.1.8.3.2.1</t>
  </si>
  <si>
    <t xml:space="preserve">1178FS</t>
  </si>
  <si>
    <t xml:space="preserve">MSP-1178</t>
  </si>
  <si>
    <t xml:space="preserve">1.3.1.8.3.2.2</t>
  </si>
  <si>
    <t xml:space="preserve">1179FS</t>
  </si>
  <si>
    <t xml:space="preserve">MSP-1179</t>
  </si>
  <si>
    <t xml:space="preserve">1.3.1.8.3.2.3</t>
  </si>
  <si>
    <t xml:space="preserve">MSP-1180</t>
  </si>
  <si>
    <t xml:space="preserve">1.3.1.8.3.2.4</t>
  </si>
  <si>
    <t xml:space="preserve">1177FS</t>
  </si>
  <si>
    <t xml:space="preserve">MSP-1181</t>
  </si>
  <si>
    <t xml:space="preserve">1.3.1.8.3.3</t>
  </si>
  <si>
    <t xml:space="preserve">MURO DE CONCRETO ARMADO</t>
  </si>
  <si>
    <t xml:space="preserve">MSP-1182</t>
  </si>
  <si>
    <t xml:space="preserve">1.3.1.8.3.3.1</t>
  </si>
  <si>
    <t xml:space="preserve">MURO DE CONCRETO ARMADO - SOTANO</t>
  </si>
  <si>
    <t xml:space="preserve">MSP-1183</t>
  </si>
  <si>
    <t xml:space="preserve">1.3.1.8.3.3.1.1</t>
  </si>
  <si>
    <t xml:space="preserve">1184FS</t>
  </si>
  <si>
    <t xml:space="preserve">MSP-1184</t>
  </si>
  <si>
    <t xml:space="preserve">1.3.1.8.3.3.1.2</t>
  </si>
  <si>
    <t xml:space="preserve">ENCOFRADO Y DESENCOFRADO CARAVISTA EN MUROS DE C°A°, SOTANO</t>
  </si>
  <si>
    <t xml:space="preserve">1185FS</t>
  </si>
  <si>
    <t xml:space="preserve">MSP-1185</t>
  </si>
  <si>
    <t xml:space="preserve">1.3.1.8.3.3.1.3</t>
  </si>
  <si>
    <t xml:space="preserve">MSP-1186</t>
  </si>
  <si>
    <t xml:space="preserve">1.3.1.8.3.3.1.4</t>
  </si>
  <si>
    <t xml:space="preserve">1183FS</t>
  </si>
  <si>
    <t xml:space="preserve">MSP-1187</t>
  </si>
  <si>
    <t xml:space="preserve">1.3.1.8.3.4</t>
  </si>
  <si>
    <t xml:space="preserve">MSP-1188</t>
  </si>
  <si>
    <t xml:space="preserve">1.3.1.8.3.4.1</t>
  </si>
  <si>
    <t xml:space="preserve">COLUMNAS - SOTANO</t>
  </si>
  <si>
    <t xml:space="preserve">MSP-1189</t>
  </si>
  <si>
    <t xml:space="preserve">1.3.1.8.3.4.1.1</t>
  </si>
  <si>
    <t xml:space="preserve">CONCRETO PREMEZCLADO EN COLUMNAS F'C=315 KG/CM2,  C/CEMENTO TIPO HS, SOTANO</t>
  </si>
  <si>
    <t xml:space="preserve">1190FS</t>
  </si>
  <si>
    <t xml:space="preserve">MSP-1190</t>
  </si>
  <si>
    <t xml:space="preserve">1.3.1.8.3.4.1.2</t>
  </si>
  <si>
    <t xml:space="preserve">ENCOFRADO Y DESENCOFRADO CARAVISTA EN COLUMNAS, SOTANO</t>
  </si>
  <si>
    <t xml:space="preserve">1191FS</t>
  </si>
  <si>
    <t xml:space="preserve">MSP-1191</t>
  </si>
  <si>
    <t xml:space="preserve">1.3.1.8.3.4.1.3</t>
  </si>
  <si>
    <t xml:space="preserve">MSP-1192</t>
  </si>
  <si>
    <t xml:space="preserve">1.3.1.8.3.4.1.4</t>
  </si>
  <si>
    <t xml:space="preserve">1189FS</t>
  </si>
  <si>
    <t xml:space="preserve">MSP-1193</t>
  </si>
  <si>
    <t xml:space="preserve">1.3.1.8.3.4.2</t>
  </si>
  <si>
    <t xml:space="preserve">MSP-1194</t>
  </si>
  <si>
    <t xml:space="preserve">1.3.1.8.3.4.2.1</t>
  </si>
  <si>
    <t xml:space="preserve">1195FS</t>
  </si>
  <si>
    <t xml:space="preserve">MSP-1195</t>
  </si>
  <si>
    <t xml:space="preserve">1.3.1.8.3.4.2.2</t>
  </si>
  <si>
    <t xml:space="preserve">1196FS</t>
  </si>
  <si>
    <t xml:space="preserve">MSP-1196</t>
  </si>
  <si>
    <t xml:space="preserve">1.3.1.8.3.4.2.3</t>
  </si>
  <si>
    <t xml:space="preserve">1221FS;1237FS</t>
  </si>
  <si>
    <t xml:space="preserve">MSP-1197</t>
  </si>
  <si>
    <t xml:space="preserve">1.3.1.8.3.4.2.4</t>
  </si>
  <si>
    <t xml:space="preserve">1194FS</t>
  </si>
  <si>
    <t xml:space="preserve">MSP-1198</t>
  </si>
  <si>
    <t xml:space="preserve">1.3.1.8.3.4.3</t>
  </si>
  <si>
    <t xml:space="preserve">MSP-1199</t>
  </si>
  <si>
    <t xml:space="preserve">1.3.1.8.3.4.3.1</t>
  </si>
  <si>
    <t xml:space="preserve">1200FS</t>
  </si>
  <si>
    <t xml:space="preserve">MSP-1200</t>
  </si>
  <si>
    <t xml:space="preserve">1.3.1.8.3.4.3.2</t>
  </si>
  <si>
    <t xml:space="preserve">1201FS</t>
  </si>
  <si>
    <t xml:space="preserve">MSP-1201</t>
  </si>
  <si>
    <t xml:space="preserve">1.3.1.8.3.4.3.3</t>
  </si>
  <si>
    <t xml:space="preserve">1226FS;1243FS</t>
  </si>
  <si>
    <t xml:space="preserve">MSP-1202</t>
  </si>
  <si>
    <t xml:space="preserve">1.3.1.8.3.4.3.4</t>
  </si>
  <si>
    <t xml:space="preserve">1199FS</t>
  </si>
  <si>
    <t xml:space="preserve">MSP-1203</t>
  </si>
  <si>
    <t xml:space="preserve">1.3.1.8.3.5</t>
  </si>
  <si>
    <t xml:space="preserve">MSP-1204</t>
  </si>
  <si>
    <t xml:space="preserve">1.3.1.8.3.5.1</t>
  </si>
  <si>
    <t xml:space="preserve">PLACAS - SOTANO</t>
  </si>
  <si>
    <t xml:space="preserve">MSP-1205</t>
  </si>
  <si>
    <t xml:space="preserve">1.3.1.8.3.5.1.1</t>
  </si>
  <si>
    <t xml:space="preserve">CONCRETO PREMEZCLADO EN PLACAS F'C=315 KG/CM2,  C/CEMENTO TIPO HS, SOTANO</t>
  </si>
  <si>
    <t xml:space="preserve">1206FS</t>
  </si>
  <si>
    <t xml:space="preserve">MSP-1206</t>
  </si>
  <si>
    <t xml:space="preserve">1.3.1.8.3.5.1.2</t>
  </si>
  <si>
    <t xml:space="preserve">ENCOFRADO Y DESENCOFRADO CARAVISTA EN PLACAS, SOTANO</t>
  </si>
  <si>
    <t xml:space="preserve">1207FS</t>
  </si>
  <si>
    <t xml:space="preserve">MSP-1207</t>
  </si>
  <si>
    <t xml:space="preserve">1.3.1.8.3.5.1.3</t>
  </si>
  <si>
    <t xml:space="preserve">1191SS</t>
  </si>
  <si>
    <t xml:space="preserve">MSP-1208</t>
  </si>
  <si>
    <t xml:space="preserve">1.3.1.8.3.5.1.4</t>
  </si>
  <si>
    <t xml:space="preserve">1205FS</t>
  </si>
  <si>
    <t xml:space="preserve">MSP-1209</t>
  </si>
  <si>
    <t xml:space="preserve">1.3.1.8.3.5.2</t>
  </si>
  <si>
    <t xml:space="preserve">MSP-1210</t>
  </si>
  <si>
    <t xml:space="preserve">1.3.1.8.3.5.2.1</t>
  </si>
  <si>
    <t xml:space="preserve">1211FS</t>
  </si>
  <si>
    <t xml:space="preserve">MSP-1211</t>
  </si>
  <si>
    <t xml:space="preserve">1.3.1.8.3.5.2.2</t>
  </si>
  <si>
    <t xml:space="preserve">1212FS</t>
  </si>
  <si>
    <t xml:space="preserve">MSP-1212</t>
  </si>
  <si>
    <t xml:space="preserve">1.3.1.8.3.5.2.3</t>
  </si>
  <si>
    <t xml:space="preserve">1196SS</t>
  </si>
  <si>
    <t xml:space="preserve">MSP-1213</t>
  </si>
  <si>
    <t xml:space="preserve">1.3.1.8.3.5.2.4</t>
  </si>
  <si>
    <t xml:space="preserve">1210FS</t>
  </si>
  <si>
    <t xml:space="preserve">MSP-1214</t>
  </si>
  <si>
    <t xml:space="preserve">1.3.1.8.3.5.3</t>
  </si>
  <si>
    <t xml:space="preserve">MSP-1215</t>
  </si>
  <si>
    <t xml:space="preserve">1.3.1.8.3.5.3.1</t>
  </si>
  <si>
    <t xml:space="preserve">1216FS</t>
  </si>
  <si>
    <t xml:space="preserve">MSP-1216</t>
  </si>
  <si>
    <t xml:space="preserve">1.3.1.8.3.5.3.2</t>
  </si>
  <si>
    <t xml:space="preserve">1217FS</t>
  </si>
  <si>
    <t xml:space="preserve">MSP-1217</t>
  </si>
  <si>
    <t xml:space="preserve">1.3.1.8.3.5.3.3</t>
  </si>
  <si>
    <t xml:space="preserve">1201SS</t>
  </si>
  <si>
    <t xml:space="preserve">MSP-1218</t>
  </si>
  <si>
    <t xml:space="preserve">1.3.1.8.3.5.3.4</t>
  </si>
  <si>
    <t xml:space="preserve">1215FS</t>
  </si>
  <si>
    <t xml:space="preserve">MSP-1219</t>
  </si>
  <si>
    <t xml:space="preserve">1.3.1.8.3.6</t>
  </si>
  <si>
    <t xml:space="preserve">MSP-1220</t>
  </si>
  <si>
    <t xml:space="preserve">1.3.1.8.3.6.1</t>
  </si>
  <si>
    <t xml:space="preserve">VIGAS - SOTANO</t>
  </si>
  <si>
    <t xml:space="preserve">MSP-1221</t>
  </si>
  <si>
    <t xml:space="preserve">1.3.1.8.3.6.1.1</t>
  </si>
  <si>
    <t xml:space="preserve">CONCRETO PREMEZCLADO EN VIGAS F'C= 210 KG/CM2, SOTANO, C/CEMENTO HS</t>
  </si>
  <si>
    <t xml:space="preserve">1222FS</t>
  </si>
  <si>
    <t xml:space="preserve">MSP-1222</t>
  </si>
  <si>
    <t xml:space="preserve">1.3.1.8.3.6.1.2</t>
  </si>
  <si>
    <t xml:space="preserve">ENCOFRADO Y DESENCOFRADO CARAVISTA EN VIGAS, SOTANO</t>
  </si>
  <si>
    <t xml:space="preserve">1223FS</t>
  </si>
  <si>
    <t xml:space="preserve">MSP-1223</t>
  </si>
  <si>
    <t xml:space="preserve">1.3.1.8.3.6.1.3</t>
  </si>
  <si>
    <t xml:space="preserve">1205FS;1189FS</t>
  </si>
  <si>
    <t xml:space="preserve">MSP-1224</t>
  </si>
  <si>
    <t xml:space="preserve">1.3.1.8.3.6.1.4</t>
  </si>
  <si>
    <t xml:space="preserve">1221FS</t>
  </si>
  <si>
    <t xml:space="preserve">MSP-1225</t>
  </si>
  <si>
    <t xml:space="preserve">1.3.1.8.3.6.2</t>
  </si>
  <si>
    <t xml:space="preserve">MSP-1226</t>
  </si>
  <si>
    <t xml:space="preserve">1.3.1.8.3.6.2.1</t>
  </si>
  <si>
    <t xml:space="preserve">1227FS</t>
  </si>
  <si>
    <t xml:space="preserve">MSP-1227</t>
  </si>
  <si>
    <t xml:space="preserve">1.3.1.8.3.6.2.2</t>
  </si>
  <si>
    <t xml:space="preserve">1228FS</t>
  </si>
  <si>
    <t xml:space="preserve">MSP-1228</t>
  </si>
  <si>
    <t xml:space="preserve">1.3.1.8.3.6.2.3</t>
  </si>
  <si>
    <t xml:space="preserve">1210FS;1194FS</t>
  </si>
  <si>
    <t xml:space="preserve">MSP-1229</t>
  </si>
  <si>
    <t xml:space="preserve">1.3.1.8.3.6.2.4</t>
  </si>
  <si>
    <t xml:space="preserve">1226FS</t>
  </si>
  <si>
    <t xml:space="preserve">MSP-1230</t>
  </si>
  <si>
    <t xml:space="preserve">1.3.1.8.3.6.3</t>
  </si>
  <si>
    <t xml:space="preserve">MSP-1231</t>
  </si>
  <si>
    <t xml:space="preserve">1.3.1.8.3.6.3.1</t>
  </si>
  <si>
    <t xml:space="preserve">1232FS</t>
  </si>
  <si>
    <t xml:space="preserve">MSP-1232</t>
  </si>
  <si>
    <t xml:space="preserve">1.3.1.8.3.6.3.2</t>
  </si>
  <si>
    <t xml:space="preserve">1233FS</t>
  </si>
  <si>
    <t xml:space="preserve">MSP-1233</t>
  </si>
  <si>
    <t xml:space="preserve">1.3.1.8.3.6.3.3</t>
  </si>
  <si>
    <t xml:space="preserve">1215FS;1199FS</t>
  </si>
  <si>
    <t xml:space="preserve">MSP-1234</t>
  </si>
  <si>
    <t xml:space="preserve">1.3.1.8.3.6.3.4</t>
  </si>
  <si>
    <t xml:space="preserve">1231FS</t>
  </si>
  <si>
    <t xml:space="preserve">MSP-1235</t>
  </si>
  <si>
    <t xml:space="preserve">1.3.1.8.3.7</t>
  </si>
  <si>
    <t xml:space="preserve">MSP-1236</t>
  </si>
  <si>
    <t xml:space="preserve">1.3.1.8.3.7.1</t>
  </si>
  <si>
    <t xml:space="preserve">LOSA ALIGERADA - SOTANO</t>
  </si>
  <si>
    <t xml:space="preserve">MSP-1237</t>
  </si>
  <si>
    <t xml:space="preserve">1.3.1.8.3.7.1.1</t>
  </si>
  <si>
    <t xml:space="preserve">CONCRETO PREMEZCLADO EN LOSAS F'C= 210 KG/CM2, C/CEMENTO IP</t>
  </si>
  <si>
    <t xml:space="preserve">1239FS</t>
  </si>
  <si>
    <t xml:space="preserve">MSP-1238</t>
  </si>
  <si>
    <t xml:space="preserve">1.3.1.8.3.7.1.2</t>
  </si>
  <si>
    <t xml:space="preserve">ENCOFRADO Y DESENCOFRADO NORMAL EN LOSA (SOTANO NIVEL)</t>
  </si>
  <si>
    <t xml:space="preserve">1222SS;1205FS</t>
  </si>
  <si>
    <t xml:space="preserve">MSP-1239</t>
  </si>
  <si>
    <t xml:space="preserve">1.3.1.8.3.7.1.3</t>
  </si>
  <si>
    <t xml:space="preserve">1240FS</t>
  </si>
  <si>
    <t xml:space="preserve">MSP-1240</t>
  </si>
  <si>
    <t xml:space="preserve">1.3.1.8.3.7.1.4</t>
  </si>
  <si>
    <t xml:space="preserve">1238FS</t>
  </si>
  <si>
    <t xml:space="preserve">MSP-1241</t>
  </si>
  <si>
    <t xml:space="preserve">1.3.1.8.3.7.1.5</t>
  </si>
  <si>
    <t xml:space="preserve">1237FS</t>
  </si>
  <si>
    <t xml:space="preserve">MSP-1242</t>
  </si>
  <si>
    <t xml:space="preserve">1.3.1.8.3.7.2</t>
  </si>
  <si>
    <t xml:space="preserve">MSP-1243</t>
  </si>
  <si>
    <t xml:space="preserve">1.3.1.8.3.7.2.1</t>
  </si>
  <si>
    <t xml:space="preserve">1245FS</t>
  </si>
  <si>
    <t xml:space="preserve">MSP-1244</t>
  </si>
  <si>
    <t xml:space="preserve">1.3.1.8.3.7.2.2</t>
  </si>
  <si>
    <t xml:space="preserve">1227SS;1210FS</t>
  </si>
  <si>
    <t xml:space="preserve">MSP-1245</t>
  </si>
  <si>
    <t xml:space="preserve">1.3.1.8.3.7.2.3</t>
  </si>
  <si>
    <t xml:space="preserve">1246FS</t>
  </si>
  <si>
    <t xml:space="preserve">MSP-1246</t>
  </si>
  <si>
    <t xml:space="preserve">1.3.1.8.3.7.2.4</t>
  </si>
  <si>
    <t xml:space="preserve">LADRILLO HUECO DE ARCILLA 30x30x15 CM. PARA LOSAS ALIGERADAS</t>
  </si>
  <si>
    <t xml:space="preserve">1244FS</t>
  </si>
  <si>
    <t xml:space="preserve">MSP-1247</t>
  </si>
  <si>
    <t xml:space="preserve">1.3.1.8.3.7.2.5</t>
  </si>
  <si>
    <t xml:space="preserve">1243FS</t>
  </si>
  <si>
    <t xml:space="preserve">MSP-1248</t>
  </si>
  <si>
    <t xml:space="preserve">1.3.1.8.3.7.3</t>
  </si>
  <si>
    <t xml:space="preserve">MSP-1249</t>
  </si>
  <si>
    <t xml:space="preserve">1.3.1.8.3.7.3.1</t>
  </si>
  <si>
    <t xml:space="preserve">1251FS</t>
  </si>
  <si>
    <t xml:space="preserve">MSP-1250</t>
  </si>
  <si>
    <t xml:space="preserve">1.3.1.8.3.7.3.2</t>
  </si>
  <si>
    <t xml:space="preserve">1232SS;1215FS</t>
  </si>
  <si>
    <t xml:space="preserve">MSP-1251</t>
  </si>
  <si>
    <t xml:space="preserve">1.3.1.8.3.7.3.3</t>
  </si>
  <si>
    <t xml:space="preserve">1252FS</t>
  </si>
  <si>
    <t xml:space="preserve">MSP-1252</t>
  </si>
  <si>
    <t xml:space="preserve">1.3.1.8.3.7.3.4</t>
  </si>
  <si>
    <t xml:space="preserve">1250FS</t>
  </si>
  <si>
    <t xml:space="preserve">MSP-1253</t>
  </si>
  <si>
    <t xml:space="preserve">1.3.1.8.3.7.3.5</t>
  </si>
  <si>
    <t xml:space="preserve">1249FS</t>
  </si>
  <si>
    <t xml:space="preserve">MSP-1254</t>
  </si>
  <si>
    <t xml:space="preserve">1.3.1.8.3.8</t>
  </si>
  <si>
    <t xml:space="preserve">MSP-1255</t>
  </si>
  <si>
    <t xml:space="preserve">1.3.1.8.3.8.1</t>
  </si>
  <si>
    <t xml:space="preserve">ESCALERA - SOTANO</t>
  </si>
  <si>
    <t xml:space="preserve">MSP-1256</t>
  </si>
  <si>
    <t xml:space="preserve">1.3.1.8.3.8.1.1</t>
  </si>
  <si>
    <t xml:space="preserve">1257FS</t>
  </si>
  <si>
    <t xml:space="preserve">MSP-1257</t>
  </si>
  <si>
    <t xml:space="preserve">1.3.1.8.3.8.1.2</t>
  </si>
  <si>
    <t xml:space="preserve">1258FS</t>
  </si>
  <si>
    <t xml:space="preserve">MSP-1258</t>
  </si>
  <si>
    <t xml:space="preserve">1.3.1.8.3.8.1.3</t>
  </si>
  <si>
    <t xml:space="preserve">MSP-1259</t>
  </si>
  <si>
    <t xml:space="preserve">1.3.1.8.3.8.1.4</t>
  </si>
  <si>
    <t xml:space="preserve">1256FS</t>
  </si>
  <si>
    <t xml:space="preserve">MSP-1260</t>
  </si>
  <si>
    <t xml:space="preserve">1.3.1.8.3.9</t>
  </si>
  <si>
    <t xml:space="preserve">MSP-1261</t>
  </si>
  <si>
    <t xml:space="preserve">1.3.1.8.3.9.1</t>
  </si>
  <si>
    <t xml:space="preserve">MSP-1262</t>
  </si>
  <si>
    <t xml:space="preserve">1.3.1.8.3.9.1.1</t>
  </si>
  <si>
    <t xml:space="preserve">1263FS</t>
  </si>
  <si>
    <t xml:space="preserve">MSP-1263</t>
  </si>
  <si>
    <t xml:space="preserve">1.3.1.8.3.9.1.2</t>
  </si>
  <si>
    <t xml:space="preserve">1264FS</t>
  </si>
  <si>
    <t xml:space="preserve">MSP-1264</t>
  </si>
  <si>
    <t xml:space="preserve">1.3.1.8.3.9.1.3</t>
  </si>
  <si>
    <t xml:space="preserve">2644FS</t>
  </si>
  <si>
    <t xml:space="preserve">MSP-1265</t>
  </si>
  <si>
    <t xml:space="preserve">1.3.1.8.3.9.1.4</t>
  </si>
  <si>
    <t xml:space="preserve">1262FS</t>
  </si>
  <si>
    <t xml:space="preserve">MSP-1266</t>
  </si>
  <si>
    <t xml:space="preserve">1.3.1.8.3.9.2</t>
  </si>
  <si>
    <t xml:space="preserve">MSP-1267</t>
  </si>
  <si>
    <t xml:space="preserve">1.3.1.8.3.9.2.1</t>
  </si>
  <si>
    <t xml:space="preserve">1268FS</t>
  </si>
  <si>
    <t xml:space="preserve">MSP-1268</t>
  </si>
  <si>
    <t xml:space="preserve">1.3.1.8.3.9.2.2</t>
  </si>
  <si>
    <t xml:space="preserve">1269FS</t>
  </si>
  <si>
    <t xml:space="preserve">MSP-1269</t>
  </si>
  <si>
    <t xml:space="preserve">1.3.1.8.3.9.2.3</t>
  </si>
  <si>
    <t xml:space="preserve">MSP-1270</t>
  </si>
  <si>
    <t xml:space="preserve">1.3.1.8.3.9.2.4</t>
  </si>
  <si>
    <t xml:space="preserve">1267FS</t>
  </si>
  <si>
    <t xml:space="preserve">MSP-1271</t>
  </si>
  <si>
    <t xml:space="preserve">1.3.1.8.3.9.3</t>
  </si>
  <si>
    <t xml:space="preserve">MSP-1272</t>
  </si>
  <si>
    <t xml:space="preserve">1.3.1.8.3.9.3.1</t>
  </si>
  <si>
    <t xml:space="preserve">1273FS</t>
  </si>
  <si>
    <t xml:space="preserve">MSP-1273</t>
  </si>
  <si>
    <t xml:space="preserve">1.3.1.8.3.9.3.2</t>
  </si>
  <si>
    <t xml:space="preserve">1274FS</t>
  </si>
  <si>
    <t xml:space="preserve">MSP-1274</t>
  </si>
  <si>
    <t xml:space="preserve">1.3.1.8.3.9.3.3</t>
  </si>
  <si>
    <t xml:space="preserve">MSP-1275</t>
  </si>
  <si>
    <t xml:space="preserve">1.3.1.8.3.9.3.4</t>
  </si>
  <si>
    <t xml:space="preserve">1272FS</t>
  </si>
  <si>
    <t xml:space="preserve">MSP-1276</t>
  </si>
  <si>
    <t xml:space="preserve">1.3.1.8.3.10</t>
  </si>
  <si>
    <t xml:space="preserve">MSP-1277</t>
  </si>
  <si>
    <t xml:space="preserve">1.3.1.8.3.10.1</t>
  </si>
  <si>
    <t xml:space="preserve">MSP-1278</t>
  </si>
  <si>
    <t xml:space="preserve">1.3.1.8.3.10.1.1</t>
  </si>
  <si>
    <t xml:space="preserve">1279FS</t>
  </si>
  <si>
    <t xml:space="preserve">MSP-1279</t>
  </si>
  <si>
    <t xml:space="preserve">1.3.1.8.3.10.1.2</t>
  </si>
  <si>
    <t xml:space="preserve">1280FS</t>
  </si>
  <si>
    <t xml:space="preserve">MSP-1280</t>
  </si>
  <si>
    <t xml:space="preserve">1.3.1.8.3.10.1.3</t>
  </si>
  <si>
    <t xml:space="preserve">MSP-1281</t>
  </si>
  <si>
    <t xml:space="preserve">1.3.1.8.3.10.1.4</t>
  </si>
  <si>
    <t xml:space="preserve">1278FS</t>
  </si>
  <si>
    <t xml:space="preserve">MSP-1282</t>
  </si>
  <si>
    <t xml:space="preserve">1.3.1.8.3.10.2</t>
  </si>
  <si>
    <t xml:space="preserve">MSP-1283</t>
  </si>
  <si>
    <t xml:space="preserve">1.3.1.8.3.10.2.1</t>
  </si>
  <si>
    <t xml:space="preserve">1284FS</t>
  </si>
  <si>
    <t xml:space="preserve">MSP-1284</t>
  </si>
  <si>
    <t xml:space="preserve">1.3.1.8.3.10.2.2</t>
  </si>
  <si>
    <t xml:space="preserve">1285FS</t>
  </si>
  <si>
    <t xml:space="preserve">MSP-1285</t>
  </si>
  <si>
    <t xml:space="preserve">1.3.1.8.3.10.2.3</t>
  </si>
  <si>
    <t xml:space="preserve">MSP-1286</t>
  </si>
  <si>
    <t xml:space="preserve">1.3.1.8.3.10.2.4</t>
  </si>
  <si>
    <t xml:space="preserve">1283FS</t>
  </si>
  <si>
    <t xml:space="preserve">MSP-1287</t>
  </si>
  <si>
    <t xml:space="preserve">1.3.1.8.3.10.3</t>
  </si>
  <si>
    <t xml:space="preserve">MSP-1288</t>
  </si>
  <si>
    <t xml:space="preserve">1.3.1.8.3.10.3.1</t>
  </si>
  <si>
    <t xml:space="preserve">1289FS</t>
  </si>
  <si>
    <t xml:space="preserve">MSP-1289</t>
  </si>
  <si>
    <t xml:space="preserve">1.3.1.8.3.10.3.2</t>
  </si>
  <si>
    <t xml:space="preserve">1290FS</t>
  </si>
  <si>
    <t xml:space="preserve">MSP-1290</t>
  </si>
  <si>
    <t xml:space="preserve">1.3.1.8.3.10.3.3</t>
  </si>
  <si>
    <t xml:space="preserve">MSP-1291</t>
  </si>
  <si>
    <t xml:space="preserve">1.3.1.8.3.10.3.4</t>
  </si>
  <si>
    <t xml:space="preserve">1288FS</t>
  </si>
  <si>
    <t xml:space="preserve">MSP-1292</t>
  </si>
  <si>
    <t xml:space="preserve">1.3.1.8.3.11</t>
  </si>
  <si>
    <t xml:space="preserve">MSP-1293</t>
  </si>
  <si>
    <t xml:space="preserve">1.3.1.8.3.11.1</t>
  </si>
  <si>
    <t xml:space="preserve">1294FS</t>
  </si>
  <si>
    <t xml:space="preserve">MSP-1294</t>
  </si>
  <si>
    <t xml:space="preserve">1.3.1.8.3.11.2</t>
  </si>
  <si>
    <t xml:space="preserve">1295FS</t>
  </si>
  <si>
    <t xml:space="preserve">MSP-1295</t>
  </si>
  <si>
    <t xml:space="preserve">1.3.1.8.3.11.3</t>
  </si>
  <si>
    <t xml:space="preserve">MSP-1296</t>
  </si>
  <si>
    <t xml:space="preserve">1.3.1.8.3.11.4</t>
  </si>
  <si>
    <t xml:space="preserve">1293FS</t>
  </si>
  <si>
    <t xml:space="preserve">MSP-1297</t>
  </si>
  <si>
    <t xml:space="preserve">1.3.1.8.4</t>
  </si>
  <si>
    <t xml:space="preserve">MSP-1298</t>
  </si>
  <si>
    <t xml:space="preserve">1.3.1.8.4.1</t>
  </si>
  <si>
    <t xml:space="preserve">1253FS</t>
  </si>
  <si>
    <t xml:space="preserve">MSP-1299</t>
  </si>
  <si>
    <t xml:space="preserve">1.3.1.8.4.2</t>
  </si>
  <si>
    <t xml:space="preserve">1298FS</t>
  </si>
  <si>
    <t xml:space="preserve">MSP-1300</t>
  </si>
  <si>
    <t xml:space="preserve">1.3.1.9</t>
  </si>
  <si>
    <t xml:space="preserve">BLOQUE "9"</t>
  </si>
  <si>
    <t xml:space="preserve">MSP-1301</t>
  </si>
  <si>
    <t xml:space="preserve">1.3.1.9.1</t>
  </si>
  <si>
    <t xml:space="preserve">MSP-1302</t>
  </si>
  <si>
    <t xml:space="preserve">1.3.1.9.1.1</t>
  </si>
  <si>
    <t xml:space="preserve">1146FS+10.0d</t>
  </si>
  <si>
    <t xml:space="preserve">MSP-1303</t>
  </si>
  <si>
    <t xml:space="preserve">1.3.1.9.1.2</t>
  </si>
  <si>
    <t xml:space="preserve">1302FS</t>
  </si>
  <si>
    <t xml:space="preserve">MSP-1304</t>
  </si>
  <si>
    <t xml:space="preserve">1.3.1.9.1.3</t>
  </si>
  <si>
    <t xml:space="preserve">1303FS</t>
  </si>
  <si>
    <t xml:space="preserve">MSP-1305</t>
  </si>
  <si>
    <t xml:space="preserve">1.3.1.9.1.4</t>
  </si>
  <si>
    <t xml:space="preserve">1304FS</t>
  </si>
  <si>
    <t xml:space="preserve">MSP-1306</t>
  </si>
  <si>
    <t xml:space="preserve">1.3.1.9.1.5</t>
  </si>
  <si>
    <t xml:space="preserve">1318FS</t>
  </si>
  <si>
    <t xml:space="preserve">MSP-1307</t>
  </si>
  <si>
    <t xml:space="preserve">1.3.1.9.1.6</t>
  </si>
  <si>
    <t xml:space="preserve">1305FS</t>
  </si>
  <si>
    <t xml:space="preserve">MSP-1308</t>
  </si>
  <si>
    <t xml:space="preserve">1.3.1.9.1.7</t>
  </si>
  <si>
    <t xml:space="preserve">1307FS</t>
  </si>
  <si>
    <t xml:space="preserve">MSP-1309</t>
  </si>
  <si>
    <t xml:space="preserve">1.3.1.9.1.8</t>
  </si>
  <si>
    <t xml:space="preserve">1313FS</t>
  </si>
  <si>
    <t xml:space="preserve">MSP-1310</t>
  </si>
  <si>
    <t xml:space="preserve">1.3.1.9.1.9</t>
  </si>
  <si>
    <t xml:space="preserve">1306FS</t>
  </si>
  <si>
    <t xml:space="preserve">MSP-1311</t>
  </si>
  <si>
    <t xml:space="preserve">1.3.1.9.2</t>
  </si>
  <si>
    <t xml:space="preserve">MSP-1312</t>
  </si>
  <si>
    <t xml:space="preserve">1.3.1.9.2.1</t>
  </si>
  <si>
    <t xml:space="preserve">MSP-1313</t>
  </si>
  <si>
    <t xml:space="preserve">1.3.1.9.2.1.1</t>
  </si>
  <si>
    <t xml:space="preserve">MSP-1314</t>
  </si>
  <si>
    <t xml:space="preserve">1.3.1.9.2.2</t>
  </si>
  <si>
    <t xml:space="preserve">MSP-1315</t>
  </si>
  <si>
    <t xml:space="preserve">1.3.1.9.2.2.1</t>
  </si>
  <si>
    <t xml:space="preserve">1316FS</t>
  </si>
  <si>
    <t xml:space="preserve">MSP-1316</t>
  </si>
  <si>
    <t xml:space="preserve">1.3.1.9.2.2.2</t>
  </si>
  <si>
    <t xml:space="preserve">MSP-1317</t>
  </si>
  <si>
    <t xml:space="preserve">1.3.1.9.2.3</t>
  </si>
  <si>
    <t xml:space="preserve">MSP-1318</t>
  </si>
  <si>
    <t xml:space="preserve">1.3.1.9.2.3.1</t>
  </si>
  <si>
    <t xml:space="preserve">1319FS+95.0d</t>
  </si>
  <si>
    <t xml:space="preserve">MSP-1319</t>
  </si>
  <si>
    <t xml:space="preserve">1.3.1.9.2.3.2</t>
  </si>
  <si>
    <t xml:space="preserve">1315FS</t>
  </si>
  <si>
    <t xml:space="preserve">MSP-1320</t>
  </si>
  <si>
    <t xml:space="preserve">1.3.1.9.2.3.3</t>
  </si>
  <si>
    <t xml:space="preserve">MSP-1321</t>
  </si>
  <si>
    <t xml:space="preserve">1.3.1.9.2.4</t>
  </si>
  <si>
    <t xml:space="preserve">MSP-1322</t>
  </si>
  <si>
    <t xml:space="preserve">1.3.1.9.2.4.1</t>
  </si>
  <si>
    <t xml:space="preserve">1323FS</t>
  </si>
  <si>
    <t xml:space="preserve">MSP-1323</t>
  </si>
  <si>
    <t xml:space="preserve">1.3.1.9.2.4.2</t>
  </si>
  <si>
    <t xml:space="preserve">MSP-1324</t>
  </si>
  <si>
    <t xml:space="preserve">1.3.1.9.2.5</t>
  </si>
  <si>
    <t xml:space="preserve">MSP-1325</t>
  </si>
  <si>
    <t xml:space="preserve">1.3.1.9.2.5.1</t>
  </si>
  <si>
    <t xml:space="preserve">1310FS</t>
  </si>
  <si>
    <t xml:space="preserve">MSP-1326</t>
  </si>
  <si>
    <t xml:space="preserve">1.3.1.9.3</t>
  </si>
  <si>
    <t xml:space="preserve">MSP-1327</t>
  </si>
  <si>
    <t xml:space="preserve">1.3.1.9.3.1</t>
  </si>
  <si>
    <t xml:space="preserve">MSP-1328</t>
  </si>
  <si>
    <t xml:space="preserve">1.3.1.9.3.1.1</t>
  </si>
  <si>
    <t xml:space="preserve">1329FS</t>
  </si>
  <si>
    <t xml:space="preserve">MSP-1329</t>
  </si>
  <si>
    <t xml:space="preserve">1.3.1.9.3.1.2</t>
  </si>
  <si>
    <t xml:space="preserve">1330FS</t>
  </si>
  <si>
    <t xml:space="preserve">MSP-1330</t>
  </si>
  <si>
    <t xml:space="preserve">1.3.1.9.3.1.3</t>
  </si>
  <si>
    <t xml:space="preserve">1322FS</t>
  </si>
  <si>
    <t xml:space="preserve">MSP-1331</t>
  </si>
  <si>
    <t xml:space="preserve">1.3.1.9.3.1.4</t>
  </si>
  <si>
    <t xml:space="preserve">1328FS</t>
  </si>
  <si>
    <t xml:space="preserve">MSP-1332</t>
  </si>
  <si>
    <t xml:space="preserve">1.3.1.9.3.2</t>
  </si>
  <si>
    <t xml:space="preserve">MSP-1333</t>
  </si>
  <si>
    <t xml:space="preserve">1.3.1.9.3.2.1</t>
  </si>
  <si>
    <t xml:space="preserve">1334FS</t>
  </si>
  <si>
    <t xml:space="preserve">MSP-1334</t>
  </si>
  <si>
    <t xml:space="preserve">1.3.1.9.3.2.2</t>
  </si>
  <si>
    <t xml:space="preserve">1335FS</t>
  </si>
  <si>
    <t xml:space="preserve">MSP-1335</t>
  </si>
  <si>
    <t xml:space="preserve">1.3.1.9.3.2.3</t>
  </si>
  <si>
    <t xml:space="preserve">MSP-1336</t>
  </si>
  <si>
    <t xml:space="preserve">1.3.1.9.3.2.4</t>
  </si>
  <si>
    <t xml:space="preserve">1333FS</t>
  </si>
  <si>
    <t xml:space="preserve">MSP-1337</t>
  </si>
  <si>
    <t xml:space="preserve">1.3.1.9.3.3</t>
  </si>
  <si>
    <t xml:space="preserve">MSP-1338</t>
  </si>
  <si>
    <t xml:space="preserve">1.3.1.9.3.3.1</t>
  </si>
  <si>
    <t xml:space="preserve">MSP-1339</t>
  </si>
  <si>
    <t xml:space="preserve">1.3.1.9.3.3.1.1</t>
  </si>
  <si>
    <t xml:space="preserve">1340FS</t>
  </si>
  <si>
    <t xml:space="preserve">MSP-1340</t>
  </si>
  <si>
    <t xml:space="preserve">1.3.1.9.3.3.1.2</t>
  </si>
  <si>
    <t xml:space="preserve">1341FS</t>
  </si>
  <si>
    <t xml:space="preserve">MSP-1341</t>
  </si>
  <si>
    <t xml:space="preserve">1.3.1.9.3.3.1.3</t>
  </si>
  <si>
    <t xml:space="preserve">MSP-1342</t>
  </si>
  <si>
    <t xml:space="preserve">1.3.1.9.3.3.1.4</t>
  </si>
  <si>
    <t xml:space="preserve">1339FS</t>
  </si>
  <si>
    <t xml:space="preserve">MSP-1343</t>
  </si>
  <si>
    <t xml:space="preserve">1.3.1.9.3.3.2</t>
  </si>
  <si>
    <t xml:space="preserve">MSP-1344</t>
  </si>
  <si>
    <t xml:space="preserve">1.3.1.9.3.3.2.1</t>
  </si>
  <si>
    <t xml:space="preserve">1345FS</t>
  </si>
  <si>
    <t xml:space="preserve">MSP-1345</t>
  </si>
  <si>
    <t xml:space="preserve">1.3.1.9.3.3.2.2</t>
  </si>
  <si>
    <t xml:space="preserve">1346FS</t>
  </si>
  <si>
    <t xml:space="preserve">MSP-1346</t>
  </si>
  <si>
    <t xml:space="preserve">1.3.1.9.3.3.2.3</t>
  </si>
  <si>
    <t xml:space="preserve">1361FS</t>
  </si>
  <si>
    <t xml:space="preserve">MSP-1347</t>
  </si>
  <si>
    <t xml:space="preserve">1.3.1.9.3.3.2.4</t>
  </si>
  <si>
    <t xml:space="preserve">1344FS</t>
  </si>
  <si>
    <t xml:space="preserve">MSP-1348</t>
  </si>
  <si>
    <t xml:space="preserve">1.3.1.9.3.4</t>
  </si>
  <si>
    <t xml:space="preserve">MSP-1349</t>
  </si>
  <si>
    <t xml:space="preserve">1.3.1.9.3.4.1</t>
  </si>
  <si>
    <t xml:space="preserve">MSP-1350</t>
  </si>
  <si>
    <t xml:space="preserve">1.3.1.9.3.4.1.1</t>
  </si>
  <si>
    <t xml:space="preserve">1351FS</t>
  </si>
  <si>
    <t xml:space="preserve">MSP-1351</t>
  </si>
  <si>
    <t xml:space="preserve">1.3.1.9.3.4.1.2</t>
  </si>
  <si>
    <t xml:space="preserve">1352FS</t>
  </si>
  <si>
    <t xml:space="preserve">MSP-1352</t>
  </si>
  <si>
    <t xml:space="preserve">1.3.1.9.3.4.1.3</t>
  </si>
  <si>
    <t xml:space="preserve">1341SS</t>
  </si>
  <si>
    <t xml:space="preserve">MSP-1353</t>
  </si>
  <si>
    <t xml:space="preserve">1.3.1.9.3.4.1.4</t>
  </si>
  <si>
    <t xml:space="preserve">1350FS</t>
  </si>
  <si>
    <t xml:space="preserve">MSP-1354</t>
  </si>
  <si>
    <t xml:space="preserve">1.3.1.9.3.4.2</t>
  </si>
  <si>
    <t xml:space="preserve">MSP-1355</t>
  </si>
  <si>
    <t xml:space="preserve">1.3.1.9.3.4.2.1</t>
  </si>
  <si>
    <t xml:space="preserve">1356FS</t>
  </si>
  <si>
    <t xml:space="preserve">MSP-1356</t>
  </si>
  <si>
    <t xml:space="preserve">1.3.1.9.3.4.2.2</t>
  </si>
  <si>
    <t xml:space="preserve">1357FS</t>
  </si>
  <si>
    <t xml:space="preserve">MSP-1357</t>
  </si>
  <si>
    <t xml:space="preserve">1.3.1.9.3.4.2.3</t>
  </si>
  <si>
    <t xml:space="preserve">1346SS</t>
  </si>
  <si>
    <t xml:space="preserve">MSP-1358</t>
  </si>
  <si>
    <t xml:space="preserve">1.3.1.9.3.4.2.4</t>
  </si>
  <si>
    <t xml:space="preserve">1355FS</t>
  </si>
  <si>
    <t xml:space="preserve">MSP-1359</t>
  </si>
  <si>
    <t xml:space="preserve">1.3.1.9.3.5</t>
  </si>
  <si>
    <t xml:space="preserve">MSP-1360</t>
  </si>
  <si>
    <t xml:space="preserve">1.3.1.9.3.5.1</t>
  </si>
  <si>
    <t xml:space="preserve">MSP-1361</t>
  </si>
  <si>
    <t xml:space="preserve">1.3.1.9.3.5.1.1</t>
  </si>
  <si>
    <t xml:space="preserve">1362FS</t>
  </si>
  <si>
    <t xml:space="preserve">MSP-1362</t>
  </si>
  <si>
    <t xml:space="preserve">1.3.1.9.3.5.1.2</t>
  </si>
  <si>
    <t xml:space="preserve">1363FS</t>
  </si>
  <si>
    <t xml:space="preserve">MSP-1363</t>
  </si>
  <si>
    <t xml:space="preserve">1.3.1.9.3.5.1.3</t>
  </si>
  <si>
    <t xml:space="preserve">1350FS;1339FS</t>
  </si>
  <si>
    <t xml:space="preserve">MSP-1364</t>
  </si>
  <si>
    <t xml:space="preserve">1.3.1.9.3.5.1.4</t>
  </si>
  <si>
    <t xml:space="preserve">MSP-1365</t>
  </si>
  <si>
    <t xml:space="preserve">1.3.1.9.3.5.2</t>
  </si>
  <si>
    <t xml:space="preserve">MSP-1366</t>
  </si>
  <si>
    <t xml:space="preserve">1.3.1.9.3.5.2.1</t>
  </si>
  <si>
    <t xml:space="preserve">1367FS</t>
  </si>
  <si>
    <t xml:space="preserve">MSP-1367</t>
  </si>
  <si>
    <t xml:space="preserve">1.3.1.9.3.5.2.2</t>
  </si>
  <si>
    <t xml:space="preserve">1368FS</t>
  </si>
  <si>
    <t xml:space="preserve">MSP-1368</t>
  </si>
  <si>
    <t xml:space="preserve">1.3.1.9.3.5.2.3</t>
  </si>
  <si>
    <t xml:space="preserve">1355FS;1344FS</t>
  </si>
  <si>
    <t xml:space="preserve">MSP-1369</t>
  </si>
  <si>
    <t xml:space="preserve">1.3.1.9.3.5.2.4</t>
  </si>
  <si>
    <t xml:space="preserve">1366FS</t>
  </si>
  <si>
    <t xml:space="preserve">MSP-1370</t>
  </si>
  <si>
    <t xml:space="preserve">1.3.1.9.3.6</t>
  </si>
  <si>
    <t xml:space="preserve">MSP-1371</t>
  </si>
  <si>
    <t xml:space="preserve">1.3.1.9.3.6.1</t>
  </si>
  <si>
    <t xml:space="preserve">MSP-1372</t>
  </si>
  <si>
    <t xml:space="preserve">1.3.1.9.3.6.1.1</t>
  </si>
  <si>
    <t xml:space="preserve">1374FS</t>
  </si>
  <si>
    <t xml:space="preserve">MSP-1373</t>
  </si>
  <si>
    <t xml:space="preserve">1.3.1.9.3.6.1.2</t>
  </si>
  <si>
    <t xml:space="preserve">1339FS;1350FS;1362SS</t>
  </si>
  <si>
    <t xml:space="preserve">MSP-1374</t>
  </si>
  <si>
    <t xml:space="preserve">1.3.1.9.3.6.1.3</t>
  </si>
  <si>
    <t xml:space="preserve">1375FS</t>
  </si>
  <si>
    <t xml:space="preserve">MSP-1375</t>
  </si>
  <si>
    <t xml:space="preserve">1.3.1.9.3.6.1.4</t>
  </si>
  <si>
    <t xml:space="preserve">1373FS</t>
  </si>
  <si>
    <t xml:space="preserve">MSP-1376</t>
  </si>
  <si>
    <t xml:space="preserve">1.3.1.9.3.6.1.5</t>
  </si>
  <si>
    <t xml:space="preserve">1372FS</t>
  </si>
  <si>
    <t xml:space="preserve">MSP-1377</t>
  </si>
  <si>
    <t xml:space="preserve">1.3.1.9.3.6.2</t>
  </si>
  <si>
    <t xml:space="preserve">MSP-1378</t>
  </si>
  <si>
    <t xml:space="preserve">1.3.1.9.3.6.2.1</t>
  </si>
  <si>
    <t xml:space="preserve">1380FS;1381FS</t>
  </si>
  <si>
    <t xml:space="preserve">MSP-1379</t>
  </si>
  <si>
    <t xml:space="preserve">1.3.1.9.3.6.2.2</t>
  </si>
  <si>
    <t xml:space="preserve">1367SS;1355FS;1344FS</t>
  </si>
  <si>
    <t xml:space="preserve">MSP-1380</t>
  </si>
  <si>
    <t xml:space="preserve">1.3.1.9.3.6.2.3</t>
  </si>
  <si>
    <t xml:space="preserve">1381FS</t>
  </si>
  <si>
    <t xml:space="preserve">MSP-1381</t>
  </si>
  <si>
    <t xml:space="preserve">1.3.1.9.3.6.2.4</t>
  </si>
  <si>
    <t xml:space="preserve">1379FS</t>
  </si>
  <si>
    <t xml:space="preserve">MSP-1382</t>
  </si>
  <si>
    <t xml:space="preserve">1.3.1.9.3.6.2.5</t>
  </si>
  <si>
    <t xml:space="preserve">1378FS</t>
  </si>
  <si>
    <t xml:space="preserve">MSP-1383</t>
  </si>
  <si>
    <t xml:space="preserve">1.3.1.9.3.7</t>
  </si>
  <si>
    <t xml:space="preserve">MSP-1384</t>
  </si>
  <si>
    <t xml:space="preserve">1.3.1.9.3.7.1</t>
  </si>
  <si>
    <t xml:space="preserve">MSP-1385</t>
  </si>
  <si>
    <t xml:space="preserve">1.3.1.9.3.7.1.1</t>
  </si>
  <si>
    <t xml:space="preserve">1386FS</t>
  </si>
  <si>
    <t xml:space="preserve">MSP-1386</t>
  </si>
  <si>
    <t xml:space="preserve">1.3.1.9.3.7.1.2</t>
  </si>
  <si>
    <t xml:space="preserve">1387FS</t>
  </si>
  <si>
    <t xml:space="preserve">MSP-1387</t>
  </si>
  <si>
    <t xml:space="preserve">1.3.1.9.3.7.1.3</t>
  </si>
  <si>
    <t xml:space="preserve">2705FS</t>
  </si>
  <si>
    <t xml:space="preserve">MSP-1388</t>
  </si>
  <si>
    <t xml:space="preserve">1.3.1.9.3.7.1.4</t>
  </si>
  <si>
    <t xml:space="preserve">1385FS</t>
  </si>
  <si>
    <t xml:space="preserve">MSP-1389</t>
  </si>
  <si>
    <t xml:space="preserve">1.3.1.9.3.7.2</t>
  </si>
  <si>
    <t xml:space="preserve">MSP-1390</t>
  </si>
  <si>
    <t xml:space="preserve">1.3.1.9.3.7.2.1</t>
  </si>
  <si>
    <t xml:space="preserve">1391FS</t>
  </si>
  <si>
    <t xml:space="preserve">MSP-1391</t>
  </si>
  <si>
    <t xml:space="preserve">1.3.1.9.3.7.2.2</t>
  </si>
  <si>
    <t xml:space="preserve">1392FS</t>
  </si>
  <si>
    <t xml:space="preserve">MSP-1392</t>
  </si>
  <si>
    <t xml:space="preserve">1.3.1.9.3.7.2.3</t>
  </si>
  <si>
    <t xml:space="preserve">MSP-1393</t>
  </si>
  <si>
    <t xml:space="preserve">1.3.1.9.3.7.2.4</t>
  </si>
  <si>
    <t xml:space="preserve">1390FS</t>
  </si>
  <si>
    <t xml:space="preserve">MSP-1394</t>
  </si>
  <si>
    <t xml:space="preserve">1.3.1.9.3.7.3</t>
  </si>
  <si>
    <t xml:space="preserve">MSP-1395</t>
  </si>
  <si>
    <t xml:space="preserve">1.3.1.9.3.7.3.1</t>
  </si>
  <si>
    <t xml:space="preserve">1396FS</t>
  </si>
  <si>
    <t xml:space="preserve">MSP-1396</t>
  </si>
  <si>
    <t xml:space="preserve">1.3.1.9.3.7.3.2</t>
  </si>
  <si>
    <t xml:space="preserve">1397FS</t>
  </si>
  <si>
    <t xml:space="preserve">MSP-1397</t>
  </si>
  <si>
    <t xml:space="preserve">1.3.1.9.3.7.3.3</t>
  </si>
  <si>
    <t xml:space="preserve">MSP-1398</t>
  </si>
  <si>
    <t xml:space="preserve">1.3.1.9.3.7.3.4</t>
  </si>
  <si>
    <t xml:space="preserve">1395FS</t>
  </si>
  <si>
    <t xml:space="preserve">MSP-1399</t>
  </si>
  <si>
    <t xml:space="preserve">1.3.1.9.3.8</t>
  </si>
  <si>
    <t xml:space="preserve">MSP-1400</t>
  </si>
  <si>
    <t xml:space="preserve">1.3.1.9.3.8.1</t>
  </si>
  <si>
    <t xml:space="preserve">MSP-1401</t>
  </si>
  <si>
    <t xml:space="preserve">1.3.1.9.3.8.1.1</t>
  </si>
  <si>
    <t xml:space="preserve">1402FS</t>
  </si>
  <si>
    <t xml:space="preserve">MSP-1402</t>
  </si>
  <si>
    <t xml:space="preserve">1.3.1.9.3.8.1.2</t>
  </si>
  <si>
    <t xml:space="preserve">1403FS</t>
  </si>
  <si>
    <t xml:space="preserve">MSP-1403</t>
  </si>
  <si>
    <t xml:space="preserve">1.3.1.9.3.8.1.3</t>
  </si>
  <si>
    <t xml:space="preserve">MSP-1404</t>
  </si>
  <si>
    <t xml:space="preserve">1.3.1.9.3.8.1.4</t>
  </si>
  <si>
    <t xml:space="preserve">1401FS</t>
  </si>
  <si>
    <t xml:space="preserve">MSP-1405</t>
  </si>
  <si>
    <t xml:space="preserve">1.3.1.9.3.8.2</t>
  </si>
  <si>
    <t xml:space="preserve">MSP-1406</t>
  </si>
  <si>
    <t xml:space="preserve">1.3.1.9.3.8.2.1</t>
  </si>
  <si>
    <t xml:space="preserve">1407FS</t>
  </si>
  <si>
    <t xml:space="preserve">MSP-1407</t>
  </si>
  <si>
    <t xml:space="preserve">1.3.1.9.3.8.2.2</t>
  </si>
  <si>
    <t xml:space="preserve">1408FS</t>
  </si>
  <si>
    <t xml:space="preserve">MSP-1408</t>
  </si>
  <si>
    <t xml:space="preserve">1.3.1.9.3.8.2.3</t>
  </si>
  <si>
    <t xml:space="preserve">MSP-1409</t>
  </si>
  <si>
    <t xml:space="preserve">1.3.1.9.3.8.2.4</t>
  </si>
  <si>
    <t xml:space="preserve">1406FS</t>
  </si>
  <si>
    <t xml:space="preserve">MSP-1410</t>
  </si>
  <si>
    <t xml:space="preserve">1.3.1.9.3.8.3</t>
  </si>
  <si>
    <t xml:space="preserve">MSP-1411</t>
  </si>
  <si>
    <t xml:space="preserve">1.3.1.9.3.8.3.1</t>
  </si>
  <si>
    <t xml:space="preserve">1412FS</t>
  </si>
  <si>
    <t xml:space="preserve">MSP-1412</t>
  </si>
  <si>
    <t xml:space="preserve">1.3.1.9.3.8.3.2</t>
  </si>
  <si>
    <t xml:space="preserve">1413FS</t>
  </si>
  <si>
    <t xml:space="preserve">MSP-1413</t>
  </si>
  <si>
    <t xml:space="preserve">1.3.1.9.3.8.3.3</t>
  </si>
  <si>
    <t xml:space="preserve">MSP-1414</t>
  </si>
  <si>
    <t xml:space="preserve">1.3.1.9.3.8.3.4</t>
  </si>
  <si>
    <t xml:space="preserve">1411FS</t>
  </si>
  <si>
    <t xml:space="preserve">MSP-1415</t>
  </si>
  <si>
    <t xml:space="preserve">1.3.1.9.4</t>
  </si>
  <si>
    <t xml:space="preserve">MSP-1416</t>
  </si>
  <si>
    <t xml:space="preserve">1.3.1.9.4.1</t>
  </si>
  <si>
    <t xml:space="preserve">1382FS</t>
  </si>
  <si>
    <t xml:space="preserve">MSP-1417</t>
  </si>
  <si>
    <t xml:space="preserve">1.3.1.9.4.2</t>
  </si>
  <si>
    <t xml:space="preserve">1416FS</t>
  </si>
  <si>
    <t xml:space="preserve">MSP-1418</t>
  </si>
  <si>
    <t xml:space="preserve">1.3.1.10</t>
  </si>
  <si>
    <t xml:space="preserve">BLOQUE 10</t>
  </si>
  <si>
    <t xml:space="preserve">MSP-1419</t>
  </si>
  <si>
    <t xml:space="preserve">1.3.1.10.1</t>
  </si>
  <si>
    <t xml:space="preserve">MSP-1420</t>
  </si>
  <si>
    <t xml:space="preserve">1.3.1.10.1.1</t>
  </si>
  <si>
    <t xml:space="preserve">MSP-1421</t>
  </si>
  <si>
    <t xml:space="preserve">1.3.1.10.1.2</t>
  </si>
  <si>
    <t xml:space="preserve">1420FS</t>
  </si>
  <si>
    <t xml:space="preserve">MSP-1422</t>
  </si>
  <si>
    <t xml:space="preserve">1.3.1.10.1.3</t>
  </si>
  <si>
    <t xml:space="preserve">1438FS</t>
  </si>
  <si>
    <t xml:space="preserve">MSP-1423</t>
  </si>
  <si>
    <t xml:space="preserve">1.3.1.10.1.4</t>
  </si>
  <si>
    <t xml:space="preserve">MSP-1424</t>
  </si>
  <si>
    <t xml:space="preserve">1.3.1.10.1.5</t>
  </si>
  <si>
    <t xml:space="preserve">1423FS</t>
  </si>
  <si>
    <t xml:space="preserve">MSP-1425</t>
  </si>
  <si>
    <t xml:space="preserve">1.3.1.10.1.6</t>
  </si>
  <si>
    <t xml:space="preserve">MSP-1426</t>
  </si>
  <si>
    <t xml:space="preserve">1.3.1.10.1.7</t>
  </si>
  <si>
    <t xml:space="preserve">1422FS</t>
  </si>
  <si>
    <t xml:space="preserve">MSP-1427</t>
  </si>
  <si>
    <t xml:space="preserve">1.3.1.10.2</t>
  </si>
  <si>
    <t xml:space="preserve">MSP-1428</t>
  </si>
  <si>
    <t xml:space="preserve">1.3.1.10.2.1</t>
  </si>
  <si>
    <t xml:space="preserve">1421FS</t>
  </si>
  <si>
    <t xml:space="preserve">MSP-1429</t>
  </si>
  <si>
    <t xml:space="preserve">1.3.1.10.2.2</t>
  </si>
  <si>
    <t xml:space="preserve">1430FS</t>
  </si>
  <si>
    <t xml:space="preserve">MSP-1430</t>
  </si>
  <si>
    <t xml:space="preserve">1.3.1.10.2.3</t>
  </si>
  <si>
    <t xml:space="preserve">1428FS</t>
  </si>
  <si>
    <t xml:space="preserve">MSP-1431</t>
  </si>
  <si>
    <t xml:space="preserve">1.3.1.10.3</t>
  </si>
  <si>
    <t xml:space="preserve">MSP-1432</t>
  </si>
  <si>
    <t xml:space="preserve">1.3.1.10.3.1</t>
  </si>
  <si>
    <t xml:space="preserve">MSP-1433</t>
  </si>
  <si>
    <t xml:space="preserve">1.3.1.10.3.1.1</t>
  </si>
  <si>
    <t xml:space="preserve">1434FS</t>
  </si>
  <si>
    <t xml:space="preserve">MSP-1434</t>
  </si>
  <si>
    <t xml:space="preserve">1.3.1.10.3.1.2</t>
  </si>
  <si>
    <t xml:space="preserve">1435FS</t>
  </si>
  <si>
    <t xml:space="preserve">MSP-1435</t>
  </si>
  <si>
    <t xml:space="preserve">1.3.1.10.3.1.3</t>
  </si>
  <si>
    <t xml:space="preserve">MSP-1436</t>
  </si>
  <si>
    <t xml:space="preserve">1.3.1.10.3.1.4</t>
  </si>
  <si>
    <t xml:space="preserve">1433FS</t>
  </si>
  <si>
    <t xml:space="preserve">MSP-1437</t>
  </si>
  <si>
    <t xml:space="preserve">1.3.1.10.3.2</t>
  </si>
  <si>
    <t xml:space="preserve">MSP-1438</t>
  </si>
  <si>
    <t xml:space="preserve">1.3.1.10.3.2.1</t>
  </si>
  <si>
    <t xml:space="preserve">1439FS</t>
  </si>
  <si>
    <t xml:space="preserve">MSP-1439</t>
  </si>
  <si>
    <t xml:space="preserve">1.3.1.10.3.2.2</t>
  </si>
  <si>
    <t xml:space="preserve">1440FS</t>
  </si>
  <si>
    <t xml:space="preserve">MSP-1440</t>
  </si>
  <si>
    <t xml:space="preserve">1.3.1.10.3.2.3</t>
  </si>
  <si>
    <t xml:space="preserve">MSP-1441</t>
  </si>
  <si>
    <t xml:space="preserve">1.3.1.10.3.2.4</t>
  </si>
  <si>
    <t xml:space="preserve">MSP-1442</t>
  </si>
  <si>
    <t xml:space="preserve">1.3.1.10.3.3</t>
  </si>
  <si>
    <t xml:space="preserve">MSP-1443</t>
  </si>
  <si>
    <t xml:space="preserve">1.3.1.10.3.3.1</t>
  </si>
  <si>
    <t xml:space="preserve">1444FS</t>
  </si>
  <si>
    <t xml:space="preserve">MSP-1444</t>
  </si>
  <si>
    <t xml:space="preserve">1.3.1.10.3.3.2</t>
  </si>
  <si>
    <t xml:space="preserve">1445FS</t>
  </si>
  <si>
    <t xml:space="preserve">MSP-1445</t>
  </si>
  <si>
    <t xml:space="preserve">1.3.1.10.3.3.3</t>
  </si>
  <si>
    <t xml:space="preserve">MSP-1446</t>
  </si>
  <si>
    <t xml:space="preserve">1.3.1.10.3.3.4</t>
  </si>
  <si>
    <t xml:space="preserve">1443FS</t>
  </si>
  <si>
    <t xml:space="preserve">MSP-1447</t>
  </si>
  <si>
    <t xml:space="preserve">1.3.1.10.3.4</t>
  </si>
  <si>
    <t xml:space="preserve">MSP-1448</t>
  </si>
  <si>
    <t xml:space="preserve">1.3.1.10.3.4.1</t>
  </si>
  <si>
    <t xml:space="preserve">1449FS</t>
  </si>
  <si>
    <t xml:space="preserve">MSP-1449</t>
  </si>
  <si>
    <t xml:space="preserve">1.3.1.10.3.4.2</t>
  </si>
  <si>
    <t xml:space="preserve">1450FS</t>
  </si>
  <si>
    <t xml:space="preserve">MSP-1450</t>
  </si>
  <si>
    <t xml:space="preserve">1.3.1.10.3.4.3</t>
  </si>
  <si>
    <t xml:space="preserve">1445SS</t>
  </si>
  <si>
    <t xml:space="preserve">MSP-1451</t>
  </si>
  <si>
    <t xml:space="preserve">1.3.1.10.3.4.4</t>
  </si>
  <si>
    <t xml:space="preserve">1448FS</t>
  </si>
  <si>
    <t xml:space="preserve">MSP-1452</t>
  </si>
  <si>
    <t xml:space="preserve">1.3.1.10.3.5</t>
  </si>
  <si>
    <t xml:space="preserve">MSP-1453</t>
  </si>
  <si>
    <t xml:space="preserve">1.3.1.10.3.5.1</t>
  </si>
  <si>
    <t xml:space="preserve">1454FS</t>
  </si>
  <si>
    <t xml:space="preserve">MSP-1454</t>
  </si>
  <si>
    <t xml:space="preserve">1.3.1.10.3.5.2</t>
  </si>
  <si>
    <t xml:space="preserve">1455FS</t>
  </si>
  <si>
    <t xml:space="preserve">MSP-1455</t>
  </si>
  <si>
    <t xml:space="preserve">1.3.1.10.3.5.3</t>
  </si>
  <si>
    <t xml:space="preserve">1443FS;1448FS</t>
  </si>
  <si>
    <t xml:space="preserve">MSP-1456</t>
  </si>
  <si>
    <t xml:space="preserve">1.3.1.10.3.5.4</t>
  </si>
  <si>
    <t xml:space="preserve">1453FS</t>
  </si>
  <si>
    <t xml:space="preserve">MSP-1457</t>
  </si>
  <si>
    <t xml:space="preserve">1.3.1.10.3.6</t>
  </si>
  <si>
    <t xml:space="preserve">MSP-1458</t>
  </si>
  <si>
    <t xml:space="preserve">1.3.1.10.3.6.1</t>
  </si>
  <si>
    <t xml:space="preserve">1459FS</t>
  </si>
  <si>
    <t xml:space="preserve">MSP-1459</t>
  </si>
  <si>
    <t xml:space="preserve">1.3.1.10.3.6.2</t>
  </si>
  <si>
    <t xml:space="preserve">1460FS</t>
  </si>
  <si>
    <t xml:space="preserve">MSP-1460</t>
  </si>
  <si>
    <t xml:space="preserve">1.3.1.10.3.6.3</t>
  </si>
  <si>
    <t xml:space="preserve">1443FS;1448FS;1454SS</t>
  </si>
  <si>
    <t xml:space="preserve">MSP-1461</t>
  </si>
  <si>
    <t xml:space="preserve">1.3.1.10.3.6.4</t>
  </si>
  <si>
    <t xml:space="preserve">1458FS</t>
  </si>
  <si>
    <t xml:space="preserve">MSP-1462</t>
  </si>
  <si>
    <t xml:space="preserve">1.3.1.10.3.7</t>
  </si>
  <si>
    <t xml:space="preserve">MSP-1463</t>
  </si>
  <si>
    <t xml:space="preserve">1.3.1.10.3.7.1</t>
  </si>
  <si>
    <t xml:space="preserve">1465FS</t>
  </si>
  <si>
    <t xml:space="preserve">MSP-1464</t>
  </si>
  <si>
    <t xml:space="preserve">1.3.1.10.3.7.2</t>
  </si>
  <si>
    <t xml:space="preserve">MSP-1465</t>
  </si>
  <si>
    <t xml:space="preserve">1.3.1.10.3.7.3</t>
  </si>
  <si>
    <t xml:space="preserve">1466FS</t>
  </si>
  <si>
    <t xml:space="preserve">MSP-1466</t>
  </si>
  <si>
    <t xml:space="preserve">1.3.1.10.3.7.4</t>
  </si>
  <si>
    <t xml:space="preserve">1464FS</t>
  </si>
  <si>
    <t xml:space="preserve">MSP-1467</t>
  </si>
  <si>
    <t xml:space="preserve">1.3.1.10.3.7.5</t>
  </si>
  <si>
    <t xml:space="preserve">1463FS</t>
  </si>
  <si>
    <t xml:space="preserve">MSP-1468</t>
  </si>
  <si>
    <t xml:space="preserve">1.3.1.10.3.8</t>
  </si>
  <si>
    <t xml:space="preserve">MSP-1469</t>
  </si>
  <si>
    <t xml:space="preserve">1.3.1.10.3.8.1</t>
  </si>
  <si>
    <t xml:space="preserve">1470FS</t>
  </si>
  <si>
    <t xml:space="preserve">MSP-1470</t>
  </si>
  <si>
    <t xml:space="preserve">1.3.1.10.3.8.2</t>
  </si>
  <si>
    <t xml:space="preserve">1471FS</t>
  </si>
  <si>
    <t xml:space="preserve">MSP-1471</t>
  </si>
  <si>
    <t xml:space="preserve">1.3.1.10.3.8.3</t>
  </si>
  <si>
    <t xml:space="preserve">2771FS</t>
  </si>
  <si>
    <t xml:space="preserve">MSP-1472</t>
  </si>
  <si>
    <t xml:space="preserve">1.3.1.10.3.8.4</t>
  </si>
  <si>
    <t xml:space="preserve">1469FS</t>
  </si>
  <si>
    <t xml:space="preserve">MSP-1473</t>
  </si>
  <si>
    <t xml:space="preserve">1.3.1.10.3.9</t>
  </si>
  <si>
    <t xml:space="preserve">MSP-1474</t>
  </si>
  <si>
    <t xml:space="preserve">1.3.1.10.3.9.1</t>
  </si>
  <si>
    <t xml:space="preserve">1475FS</t>
  </si>
  <si>
    <t xml:space="preserve">MSP-1475</t>
  </si>
  <si>
    <t xml:space="preserve">1.3.1.10.3.9.2</t>
  </si>
  <si>
    <t xml:space="preserve">1476FS</t>
  </si>
  <si>
    <t xml:space="preserve">MSP-1476</t>
  </si>
  <si>
    <t xml:space="preserve">1.3.1.10.3.9.3</t>
  </si>
  <si>
    <t xml:space="preserve">MSP-1477</t>
  </si>
  <si>
    <t xml:space="preserve">1.3.1.10.3.9.4</t>
  </si>
  <si>
    <t xml:space="preserve">1474FS</t>
  </si>
  <si>
    <t xml:space="preserve">MSP-1478</t>
  </si>
  <si>
    <t xml:space="preserve">1.3.1.10.3.10</t>
  </si>
  <si>
    <t xml:space="preserve">MSP-1479</t>
  </si>
  <si>
    <t xml:space="preserve">1.3.1.10.3.10.1</t>
  </si>
  <si>
    <t xml:space="preserve">1480FS</t>
  </si>
  <si>
    <t xml:space="preserve">MSP-1480</t>
  </si>
  <si>
    <t xml:space="preserve">1.3.1.10.3.10.2</t>
  </si>
  <si>
    <t xml:space="preserve">1481FS</t>
  </si>
  <si>
    <t xml:space="preserve">MSP-1481</t>
  </si>
  <si>
    <t xml:space="preserve">1.3.1.10.3.10.3</t>
  </si>
  <si>
    <t xml:space="preserve">ACERO Fy=4200 kg/cm2 GRADO 60 EN PARAPETO</t>
  </si>
  <si>
    <t xml:space="preserve">MSP-1482</t>
  </si>
  <si>
    <t xml:space="preserve">1.3.1.10.3.10.4</t>
  </si>
  <si>
    <t xml:space="preserve">1479FS</t>
  </si>
  <si>
    <t xml:space="preserve">MSP-1483</t>
  </si>
  <si>
    <t xml:space="preserve">1.3.1.10.3.11</t>
  </si>
  <si>
    <t xml:space="preserve">MSP-1484</t>
  </si>
  <si>
    <t xml:space="preserve">1.3.1.10.3.11.1</t>
  </si>
  <si>
    <t xml:space="preserve">1467FS</t>
  </si>
  <si>
    <t xml:space="preserve">MSP-1485</t>
  </si>
  <si>
    <t xml:space="preserve">1.3.1.10.4</t>
  </si>
  <si>
    <t xml:space="preserve">ESTRUCTURAS METALICAS DE PORTICO DE INGRESO</t>
  </si>
  <si>
    <t xml:space="preserve">MSP-1486</t>
  </si>
  <si>
    <t xml:space="preserve">1.3.1.10.4.1</t>
  </si>
  <si>
    <t xml:space="preserve">TIJERAL PRINCIPAL METÁLICO TIPO TJ-01 SEGÚN DISEÑO</t>
  </si>
  <si>
    <t xml:space="preserve">1490FS</t>
  </si>
  <si>
    <t xml:space="preserve">MSP-1487</t>
  </si>
  <si>
    <t xml:space="preserve">1.3.1.10.4.2</t>
  </si>
  <si>
    <t xml:space="preserve">TIJERAL PRINCIPAL METÁLICO TIPO TJ-02 SEGÚN DISEÑO</t>
  </si>
  <si>
    <t xml:space="preserve">MSP-1488</t>
  </si>
  <si>
    <t xml:space="preserve">1.3.1.10.4.3</t>
  </si>
  <si>
    <t xml:space="preserve">1494FS</t>
  </si>
  <si>
    <t xml:space="preserve">MSP-1489</t>
  </si>
  <si>
    <t xml:space="preserve">1.3.1.10.4.4</t>
  </si>
  <si>
    <t xml:space="preserve">COLUMNA METÁLICA 100x100x4.5mm</t>
  </si>
  <si>
    <t xml:space="preserve">1492FS</t>
  </si>
  <si>
    <t xml:space="preserve">MSP-1490</t>
  </si>
  <si>
    <t xml:space="preserve">1.3.1.10.4.5</t>
  </si>
  <si>
    <t xml:space="preserve">1489FS</t>
  </si>
  <si>
    <t xml:space="preserve">MSP-1491</t>
  </si>
  <si>
    <t xml:space="preserve">1.3.1.10.4.6</t>
  </si>
  <si>
    <t xml:space="preserve">1493FS</t>
  </si>
  <si>
    <t xml:space="preserve">MSP-1492</t>
  </si>
  <si>
    <t xml:space="preserve">1.3.1.10.4.7</t>
  </si>
  <si>
    <t xml:space="preserve">1458FS;1463FS</t>
  </si>
  <si>
    <t xml:space="preserve">MSP-1493</t>
  </si>
  <si>
    <t xml:space="preserve">1.3.1.10.4.8</t>
  </si>
  <si>
    <t xml:space="preserve">1486FS;1487FS</t>
  </si>
  <si>
    <t xml:space="preserve">MSP-1494</t>
  </si>
  <si>
    <t xml:space="preserve">1.3.1.10.4.9</t>
  </si>
  <si>
    <t xml:space="preserve">1486SS</t>
  </si>
  <si>
    <t xml:space="preserve">MSP-1495</t>
  </si>
  <si>
    <t xml:space="preserve">1.3.1.10.4.10</t>
  </si>
  <si>
    <t xml:space="preserve">1492SS</t>
  </si>
  <si>
    <t xml:space="preserve">MSP-1496</t>
  </si>
  <si>
    <t xml:space="preserve">1.3.1.11</t>
  </si>
  <si>
    <t xml:space="preserve">BLOQUE 11: ESCALERA 05</t>
  </si>
  <si>
    <t xml:space="preserve">MSP-1497</t>
  </si>
  <si>
    <t xml:space="preserve">1.3.1.11.1</t>
  </si>
  <si>
    <t xml:space="preserve">MSP-1498</t>
  </si>
  <si>
    <t xml:space="preserve">1.3.1.11.1.1</t>
  </si>
  <si>
    <t xml:space="preserve">MSP-1499</t>
  </si>
  <si>
    <t xml:space="preserve">1.3.1.11.1.2</t>
  </si>
  <si>
    <t xml:space="preserve">1498FS</t>
  </si>
  <si>
    <t xml:space="preserve">MSP-1500</t>
  </si>
  <si>
    <t xml:space="preserve">1.3.1.11.1.3</t>
  </si>
  <si>
    <t xml:space="preserve">1528FS</t>
  </si>
  <si>
    <t xml:space="preserve">MSP-1501</t>
  </si>
  <si>
    <t xml:space="preserve">1.3.1.11.1.4</t>
  </si>
  <si>
    <t xml:space="preserve">1503FS</t>
  </si>
  <si>
    <t xml:space="preserve">MSP-1502</t>
  </si>
  <si>
    <t xml:space="preserve">1.3.1.11.1.5</t>
  </si>
  <si>
    <t xml:space="preserve">1501FS</t>
  </si>
  <si>
    <t xml:space="preserve">MSP-1503</t>
  </si>
  <si>
    <t xml:space="preserve">1.3.1.11.1.6</t>
  </si>
  <si>
    <t xml:space="preserve">1504FS</t>
  </si>
  <si>
    <t xml:space="preserve">MSP-1504</t>
  </si>
  <si>
    <t xml:space="preserve">1.3.1.11.1.7</t>
  </si>
  <si>
    <t xml:space="preserve">1500FS</t>
  </si>
  <si>
    <t xml:space="preserve">MSP-1505</t>
  </si>
  <si>
    <t xml:space="preserve">1.3.1.11.2</t>
  </si>
  <si>
    <t xml:space="preserve">MSP-1506</t>
  </si>
  <si>
    <t xml:space="preserve">1.3.1.11.2.1</t>
  </si>
  <si>
    <t xml:space="preserve">MSP-1507</t>
  </si>
  <si>
    <t xml:space="preserve">1.3.1.11.2.2</t>
  </si>
  <si>
    <t xml:space="preserve">1508FS</t>
  </si>
  <si>
    <t xml:space="preserve">MSP-1508</t>
  </si>
  <si>
    <t xml:space="preserve">1.3.1.11.2.3</t>
  </si>
  <si>
    <t xml:space="preserve">1506FS</t>
  </si>
  <si>
    <t xml:space="preserve">MSP-1509</t>
  </si>
  <si>
    <t xml:space="preserve">1.3.1.11.2.4</t>
  </si>
  <si>
    <t xml:space="preserve">1510FS</t>
  </si>
  <si>
    <t xml:space="preserve">MSP-1510</t>
  </si>
  <si>
    <t xml:space="preserve">1.3.1.11.2.5</t>
  </si>
  <si>
    <t xml:space="preserve">MSP-1511</t>
  </si>
  <si>
    <t xml:space="preserve">1.3.1.11.2.6</t>
  </si>
  <si>
    <t xml:space="preserve">1512FS</t>
  </si>
  <si>
    <t xml:space="preserve">MSP-1512</t>
  </si>
  <si>
    <t xml:space="preserve">1.3.1.11.2.7</t>
  </si>
  <si>
    <t xml:space="preserve">MSP-1513</t>
  </si>
  <si>
    <t xml:space="preserve">1.3.1.11.2.8</t>
  </si>
  <si>
    <t xml:space="preserve">1507FS;1509FS;1511FS</t>
  </si>
  <si>
    <t xml:space="preserve">MSP-1514</t>
  </si>
  <si>
    <t xml:space="preserve">1.3.1.11.2.9</t>
  </si>
  <si>
    <t xml:space="preserve">MSP-1515</t>
  </si>
  <si>
    <t xml:space="preserve">1.3.1.11.3</t>
  </si>
  <si>
    <t xml:space="preserve">MSP-1516</t>
  </si>
  <si>
    <t xml:space="preserve">1.3.1.11.3.1</t>
  </si>
  <si>
    <t xml:space="preserve">MSP-1517</t>
  </si>
  <si>
    <t xml:space="preserve">1.3.1.11.3.1.1</t>
  </si>
  <si>
    <t xml:space="preserve">1518FS</t>
  </si>
  <si>
    <t xml:space="preserve">MSP-1518</t>
  </si>
  <si>
    <t xml:space="preserve">1.3.1.11.3.1.2</t>
  </si>
  <si>
    <t xml:space="preserve">1519FS</t>
  </si>
  <si>
    <t xml:space="preserve">MSP-1519</t>
  </si>
  <si>
    <t xml:space="preserve">1.3.1.11.3.1.3</t>
  </si>
  <si>
    <t xml:space="preserve">1509SS</t>
  </si>
  <si>
    <t xml:space="preserve">MSP-1520</t>
  </si>
  <si>
    <t xml:space="preserve">1.3.1.11.3.1.4</t>
  </si>
  <si>
    <t xml:space="preserve">1517FS</t>
  </si>
  <si>
    <t xml:space="preserve">MSP-1521</t>
  </si>
  <si>
    <t xml:space="preserve">1.3.1.11.3.2</t>
  </si>
  <si>
    <t xml:space="preserve">MSP-1522</t>
  </si>
  <si>
    <t xml:space="preserve">1.3.1.11.3.2.1</t>
  </si>
  <si>
    <t xml:space="preserve">1523FS</t>
  </si>
  <si>
    <t xml:space="preserve">MSP-1523</t>
  </si>
  <si>
    <t xml:space="preserve">1.3.1.11.3.2.2</t>
  </si>
  <si>
    <t xml:space="preserve">1524FS</t>
  </si>
  <si>
    <t xml:space="preserve">MSP-1524</t>
  </si>
  <si>
    <t xml:space="preserve">1.3.1.11.3.2.3</t>
  </si>
  <si>
    <t xml:space="preserve">1519SS</t>
  </si>
  <si>
    <t xml:space="preserve">MSP-1525</t>
  </si>
  <si>
    <t xml:space="preserve">1.3.1.11.3.2.4</t>
  </si>
  <si>
    <t xml:space="preserve">1522FS</t>
  </si>
  <si>
    <t xml:space="preserve">MSP-1526</t>
  </si>
  <si>
    <t xml:space="preserve">1.3.1.11.3.3</t>
  </si>
  <si>
    <t xml:space="preserve">MSP-1527</t>
  </si>
  <si>
    <t xml:space="preserve">1.3.1.11.3.3.1</t>
  </si>
  <si>
    <t xml:space="preserve">MSP-1528</t>
  </si>
  <si>
    <t xml:space="preserve">1.3.1.11.3.3.1.1</t>
  </si>
  <si>
    <t xml:space="preserve">1529FS</t>
  </si>
  <si>
    <t xml:space="preserve">MSP-1529</t>
  </si>
  <si>
    <t xml:space="preserve">1.3.1.11.3.3.1.2</t>
  </si>
  <si>
    <t xml:space="preserve">1530FS</t>
  </si>
  <si>
    <t xml:space="preserve">MSP-1530</t>
  </si>
  <si>
    <t xml:space="preserve">1.3.1.11.3.3.1.3</t>
  </si>
  <si>
    <t xml:space="preserve">MSP-1531</t>
  </si>
  <si>
    <t xml:space="preserve">1.3.1.11.3.3.1.4</t>
  </si>
  <si>
    <t xml:space="preserve">MSP-1532</t>
  </si>
  <si>
    <t xml:space="preserve">1.3.1.11.3.3.2</t>
  </si>
  <si>
    <t xml:space="preserve">MSP-1533</t>
  </si>
  <si>
    <t xml:space="preserve">1.3.1.11.3.3.2.1</t>
  </si>
  <si>
    <t xml:space="preserve">1534FS</t>
  </si>
  <si>
    <t xml:space="preserve">MSP-1534</t>
  </si>
  <si>
    <t xml:space="preserve">1.3.1.11.3.3.2.2</t>
  </si>
  <si>
    <t xml:space="preserve">1535FS</t>
  </si>
  <si>
    <t xml:space="preserve">MSP-1535</t>
  </si>
  <si>
    <t xml:space="preserve">1.3.1.11.3.3.2.3</t>
  </si>
  <si>
    <t xml:space="preserve">1539FS</t>
  </si>
  <si>
    <t xml:space="preserve">MSP-1536</t>
  </si>
  <si>
    <t xml:space="preserve">1.3.1.11.3.3.2.4</t>
  </si>
  <si>
    <t xml:space="preserve">1533FS</t>
  </si>
  <si>
    <t xml:space="preserve">MSP-1537</t>
  </si>
  <si>
    <t xml:space="preserve">1.3.1.11.3.4</t>
  </si>
  <si>
    <t xml:space="preserve">MSP-1538</t>
  </si>
  <si>
    <t xml:space="preserve">1.3.1.11.3.4.1</t>
  </si>
  <si>
    <t xml:space="preserve">MSP-1539</t>
  </si>
  <si>
    <t xml:space="preserve">1.3.1.11.3.4.1.1</t>
  </si>
  <si>
    <t xml:space="preserve">1540FS</t>
  </si>
  <si>
    <t xml:space="preserve">MSP-1540</t>
  </si>
  <si>
    <t xml:space="preserve">1.3.1.11.3.4.1.2</t>
  </si>
  <si>
    <t xml:space="preserve">1541FS</t>
  </si>
  <si>
    <t xml:space="preserve">MSP-1541</t>
  </si>
  <si>
    <t xml:space="preserve">1.3.1.11.3.4.1.3</t>
  </si>
  <si>
    <t xml:space="preserve">MSP-1542</t>
  </si>
  <si>
    <t xml:space="preserve">1.3.1.11.3.4.1.4</t>
  </si>
  <si>
    <t xml:space="preserve">MSP-1543</t>
  </si>
  <si>
    <t xml:space="preserve">1.3.1.11.3.4.2</t>
  </si>
  <si>
    <t xml:space="preserve">MSP-1544</t>
  </si>
  <si>
    <t xml:space="preserve">1.3.1.11.3.4.2.1</t>
  </si>
  <si>
    <t xml:space="preserve">1545FS</t>
  </si>
  <si>
    <t xml:space="preserve">MSP-1545</t>
  </si>
  <si>
    <t xml:space="preserve">1.3.1.11.3.4.2.2</t>
  </si>
  <si>
    <t xml:space="preserve">1546FS</t>
  </si>
  <si>
    <t xml:space="preserve">MSP-1546</t>
  </si>
  <si>
    <t xml:space="preserve">1.3.1.11.3.4.2.3</t>
  </si>
  <si>
    <t xml:space="preserve">MSP-1547</t>
  </si>
  <si>
    <t xml:space="preserve">1.3.1.11.3.4.2.4</t>
  </si>
  <si>
    <t xml:space="preserve">1544FS</t>
  </si>
  <si>
    <t xml:space="preserve">MSP-1548</t>
  </si>
  <si>
    <t xml:space="preserve">1.3.1.11.3.5</t>
  </si>
  <si>
    <t xml:space="preserve">MSP-1549</t>
  </si>
  <si>
    <t xml:space="preserve">1.3.1.11.3.5.1</t>
  </si>
  <si>
    <t xml:space="preserve">1551FS</t>
  </si>
  <si>
    <t xml:space="preserve">MSP-1550</t>
  </si>
  <si>
    <t xml:space="preserve">1.3.1.11.3.5.2</t>
  </si>
  <si>
    <t xml:space="preserve">1528FS;1540SS</t>
  </si>
  <si>
    <t xml:space="preserve">MSP-1551</t>
  </si>
  <si>
    <t xml:space="preserve">1.3.1.11.3.5.3</t>
  </si>
  <si>
    <t xml:space="preserve">1552FS</t>
  </si>
  <si>
    <t xml:space="preserve">MSP-1552</t>
  </si>
  <si>
    <t xml:space="preserve">1.3.1.11.3.5.4</t>
  </si>
  <si>
    <t xml:space="preserve">1550FS</t>
  </si>
  <si>
    <t xml:space="preserve">MSP-1553</t>
  </si>
  <si>
    <t xml:space="preserve">1.3.1.11.3.5.5</t>
  </si>
  <si>
    <t xml:space="preserve">1549FS</t>
  </si>
  <si>
    <t xml:space="preserve">MSP-1554</t>
  </si>
  <si>
    <t xml:space="preserve">1.3.1.11.3.6</t>
  </si>
  <si>
    <t xml:space="preserve">MSP-1555</t>
  </si>
  <si>
    <t xml:space="preserve">1.3.1.11.3.6.1</t>
  </si>
  <si>
    <t xml:space="preserve">1556FS</t>
  </si>
  <si>
    <t xml:space="preserve">MSP-1556</t>
  </si>
  <si>
    <t xml:space="preserve">1.3.1.11.3.6.2</t>
  </si>
  <si>
    <t xml:space="preserve">1557FS</t>
  </si>
  <si>
    <t xml:space="preserve">MSP-1557</t>
  </si>
  <si>
    <t xml:space="preserve">1.3.1.11.3.6.3</t>
  </si>
  <si>
    <t xml:space="preserve">MSP-1558</t>
  </si>
  <si>
    <t xml:space="preserve">1.3.1.11.3.6.4</t>
  </si>
  <si>
    <t xml:space="preserve">1555FS</t>
  </si>
  <si>
    <t xml:space="preserve">MSP-1559</t>
  </si>
  <si>
    <t xml:space="preserve">1.3.1.11.3.7</t>
  </si>
  <si>
    <t xml:space="preserve">MSP-1560</t>
  </si>
  <si>
    <t xml:space="preserve">1.3.1.11.3.7.1</t>
  </si>
  <si>
    <t xml:space="preserve">1561FS</t>
  </si>
  <si>
    <t xml:space="preserve">MSP-1561</t>
  </si>
  <si>
    <t xml:space="preserve">1.3.1.11.3.7.2</t>
  </si>
  <si>
    <t xml:space="preserve">1562FS</t>
  </si>
  <si>
    <t xml:space="preserve">MSP-1562</t>
  </si>
  <si>
    <t xml:space="preserve">1.3.1.11.3.7.3</t>
  </si>
  <si>
    <t xml:space="preserve">2837FS</t>
  </si>
  <si>
    <t xml:space="preserve">MSP-1563</t>
  </si>
  <si>
    <t xml:space="preserve">1.3.1.11.3.7.4</t>
  </si>
  <si>
    <t xml:space="preserve">1560FS</t>
  </si>
  <si>
    <t xml:space="preserve">MSP-1564</t>
  </si>
  <si>
    <t xml:space="preserve">1.3.1.11.3.8</t>
  </si>
  <si>
    <t xml:space="preserve">MSP-1565</t>
  </si>
  <si>
    <t xml:space="preserve">1.3.1.11.3.8.1</t>
  </si>
  <si>
    <t xml:space="preserve">1566FS</t>
  </si>
  <si>
    <t xml:space="preserve">MSP-1566</t>
  </si>
  <si>
    <t xml:space="preserve">1.3.1.11.3.8.2</t>
  </si>
  <si>
    <t xml:space="preserve">1567FS</t>
  </si>
  <si>
    <t xml:space="preserve">MSP-1567</t>
  </si>
  <si>
    <t xml:space="preserve">1.3.1.11.3.8.3</t>
  </si>
  <si>
    <t xml:space="preserve">MSP-1568</t>
  </si>
  <si>
    <t xml:space="preserve">1.3.1.11.3.8.4</t>
  </si>
  <si>
    <t xml:space="preserve">1565FS</t>
  </si>
  <si>
    <t xml:space="preserve">MSP-1569</t>
  </si>
  <si>
    <t xml:space="preserve">1.3.1.11.3.9</t>
  </si>
  <si>
    <t xml:space="preserve">MSP-1570</t>
  </si>
  <si>
    <t xml:space="preserve">1.3.1.11.3.9.1</t>
  </si>
  <si>
    <t xml:space="preserve">1553FS</t>
  </si>
  <si>
    <t xml:space="preserve">MSP-1571</t>
  </si>
  <si>
    <t xml:space="preserve">1.3.1.12</t>
  </si>
  <si>
    <t xml:space="preserve">BLOQUE 12: ESCALERA 06</t>
  </si>
  <si>
    <t xml:space="preserve">MSP-1572</t>
  </si>
  <si>
    <t xml:space="preserve">1.3.1.12.1</t>
  </si>
  <si>
    <t xml:space="preserve">MSP-1573</t>
  </si>
  <si>
    <t xml:space="preserve">1.3.1.12.1.1</t>
  </si>
  <si>
    <t xml:space="preserve">MSP-1574</t>
  </si>
  <si>
    <t xml:space="preserve">1.3.1.12.1.2</t>
  </si>
  <si>
    <t xml:space="preserve">1573FS</t>
  </si>
  <si>
    <t xml:space="preserve">MSP-1575</t>
  </si>
  <si>
    <t xml:space="preserve">1.3.1.12.1.3</t>
  </si>
  <si>
    <t xml:space="preserve">1574FS</t>
  </si>
  <si>
    <t xml:space="preserve">MSP-1576</t>
  </si>
  <si>
    <t xml:space="preserve">1.3.1.12.1.4</t>
  </si>
  <si>
    <t xml:space="preserve">1575FS</t>
  </si>
  <si>
    <t xml:space="preserve">MSP-1577</t>
  </si>
  <si>
    <t xml:space="preserve">1.3.1.12.1.5</t>
  </si>
  <si>
    <t xml:space="preserve">MSP-1578</t>
  </si>
  <si>
    <t xml:space="preserve">1.3.1.12.1.6</t>
  </si>
  <si>
    <t xml:space="preserve">1577FS</t>
  </si>
  <si>
    <t xml:space="preserve">MSP-1579</t>
  </si>
  <si>
    <t xml:space="preserve">1.3.1.12.1.7</t>
  </si>
  <si>
    <t xml:space="preserve">1580FS</t>
  </si>
  <si>
    <t xml:space="preserve">MSP-1580</t>
  </si>
  <si>
    <t xml:space="preserve">1.3.1.12.1.8</t>
  </si>
  <si>
    <t xml:space="preserve">1576FS</t>
  </si>
  <si>
    <t xml:space="preserve">MSP-1581</t>
  </si>
  <si>
    <t xml:space="preserve">1.3.1.12.2</t>
  </si>
  <si>
    <t xml:space="preserve">MSP-1582</t>
  </si>
  <si>
    <t xml:space="preserve">1.3.1.12.2.1</t>
  </si>
  <si>
    <t xml:space="preserve">MSP-1583</t>
  </si>
  <si>
    <t xml:space="preserve">1.3.1.12.2.2</t>
  </si>
  <si>
    <t xml:space="preserve">1584FS</t>
  </si>
  <si>
    <t xml:space="preserve">MSP-1584</t>
  </si>
  <si>
    <t xml:space="preserve">1.3.1.12.2.3</t>
  </si>
  <si>
    <t xml:space="preserve">1582FS</t>
  </si>
  <si>
    <t xml:space="preserve">MSP-1585</t>
  </si>
  <si>
    <t xml:space="preserve">1.3.1.12.2.4</t>
  </si>
  <si>
    <t xml:space="preserve">CONCRETO F'C=175 KG/CM2 EN SOBRECIMIENTO CEMENTO TIPO HS</t>
  </si>
  <si>
    <t xml:space="preserve">1586FS</t>
  </si>
  <si>
    <t xml:space="preserve">MSP-1586</t>
  </si>
  <si>
    <t xml:space="preserve">1.3.1.12.2.5</t>
  </si>
  <si>
    <t xml:space="preserve">MSP-1587</t>
  </si>
  <si>
    <t xml:space="preserve">1.3.1.12.2.6</t>
  </si>
  <si>
    <t xml:space="preserve">1588FS</t>
  </si>
  <si>
    <t xml:space="preserve">MSP-1588</t>
  </si>
  <si>
    <t xml:space="preserve">1.3.1.12.2.7</t>
  </si>
  <si>
    <t xml:space="preserve">MSP-1589</t>
  </si>
  <si>
    <t xml:space="preserve">1.3.1.12.2.8</t>
  </si>
  <si>
    <t xml:space="preserve">MSP-1590</t>
  </si>
  <si>
    <t xml:space="preserve">1.3.1.12.3</t>
  </si>
  <si>
    <t xml:space="preserve">MSP-1591</t>
  </si>
  <si>
    <t xml:space="preserve">1.3.1.12.3.1</t>
  </si>
  <si>
    <t xml:space="preserve">MSP-1592</t>
  </si>
  <si>
    <t xml:space="preserve">1.3.1.12.3.1.1</t>
  </si>
  <si>
    <t xml:space="preserve">1593FS</t>
  </si>
  <si>
    <t xml:space="preserve">MSP-1593</t>
  </si>
  <si>
    <t xml:space="preserve">1.3.1.12.3.1.2</t>
  </si>
  <si>
    <t xml:space="preserve">1594FS</t>
  </si>
  <si>
    <t xml:space="preserve">MSP-1594</t>
  </si>
  <si>
    <t xml:space="preserve">1.3.1.12.3.1.3</t>
  </si>
  <si>
    <t xml:space="preserve">1599SS</t>
  </si>
  <si>
    <t xml:space="preserve">MSP-1595</t>
  </si>
  <si>
    <t xml:space="preserve">1.3.1.12.3.1.4</t>
  </si>
  <si>
    <t xml:space="preserve">1592FS</t>
  </si>
  <si>
    <t xml:space="preserve">MSP-1596</t>
  </si>
  <si>
    <t xml:space="preserve">1.3.1.12.3.2</t>
  </si>
  <si>
    <t xml:space="preserve">MSP-1597</t>
  </si>
  <si>
    <t xml:space="preserve">1.3.1.12.3.2.1</t>
  </si>
  <si>
    <t xml:space="preserve">1598FS</t>
  </si>
  <si>
    <t xml:space="preserve">MSP-1598</t>
  </si>
  <si>
    <t xml:space="preserve">1.3.1.12.3.2.2</t>
  </si>
  <si>
    <t xml:space="preserve">1599FS</t>
  </si>
  <si>
    <t xml:space="preserve">MSP-1599</t>
  </si>
  <si>
    <t xml:space="preserve">1.3.1.12.3.2.3</t>
  </si>
  <si>
    <t xml:space="preserve">1587FS</t>
  </si>
  <si>
    <t xml:space="preserve">MSP-1600</t>
  </si>
  <si>
    <t xml:space="preserve">1.3.1.12.3.2.4</t>
  </si>
  <si>
    <t xml:space="preserve">1597FS</t>
  </si>
  <si>
    <t xml:space="preserve">MSP-1601</t>
  </si>
  <si>
    <t xml:space="preserve">1.3.1.12.3.3</t>
  </si>
  <si>
    <t xml:space="preserve">MSP-1602</t>
  </si>
  <si>
    <t xml:space="preserve">1.3.1.12.3.3.1</t>
  </si>
  <si>
    <t xml:space="preserve">1603FS</t>
  </si>
  <si>
    <t xml:space="preserve">MSP-1603</t>
  </si>
  <si>
    <t xml:space="preserve">1.3.1.12.3.3.2</t>
  </si>
  <si>
    <t xml:space="preserve">1604FS</t>
  </si>
  <si>
    <t xml:space="preserve">MSP-1604</t>
  </si>
  <si>
    <t xml:space="preserve">1.3.1.12.3.3.3</t>
  </si>
  <si>
    <t xml:space="preserve">MSP-1605</t>
  </si>
  <si>
    <t xml:space="preserve">1.3.1.12.3.3.4</t>
  </si>
  <si>
    <t xml:space="preserve">1602FS</t>
  </si>
  <si>
    <t xml:space="preserve">MSP-1606</t>
  </si>
  <si>
    <t xml:space="preserve">1.3.1.12.3.4</t>
  </si>
  <si>
    <t xml:space="preserve">MSP-1607</t>
  </si>
  <si>
    <t xml:space="preserve">1.3.1.12.3.4.1</t>
  </si>
  <si>
    <t xml:space="preserve">MSP-1608</t>
  </si>
  <si>
    <t xml:space="preserve">1.3.1.12.3.4.1.1</t>
  </si>
  <si>
    <t xml:space="preserve">1609FS</t>
  </si>
  <si>
    <t xml:space="preserve">MSP-1609</t>
  </si>
  <si>
    <t xml:space="preserve">1.3.1.12.3.4.1.2</t>
  </si>
  <si>
    <t xml:space="preserve">1610FS</t>
  </si>
  <si>
    <t xml:space="preserve">MSP-1610</t>
  </si>
  <si>
    <t xml:space="preserve">1.3.1.12.3.4.1.3</t>
  </si>
  <si>
    <t xml:space="preserve">MSP-1611</t>
  </si>
  <si>
    <t xml:space="preserve">1.3.1.12.3.4.1.4</t>
  </si>
  <si>
    <t xml:space="preserve">1608FS</t>
  </si>
  <si>
    <t xml:space="preserve">MSP-1612</t>
  </si>
  <si>
    <t xml:space="preserve">1.3.1.12.3.4.2</t>
  </si>
  <si>
    <t xml:space="preserve">MSP-1613</t>
  </si>
  <si>
    <t xml:space="preserve">1.3.1.12.3.4.2.1</t>
  </si>
  <si>
    <t xml:space="preserve">1614FS</t>
  </si>
  <si>
    <t xml:space="preserve">MSP-1614</t>
  </si>
  <si>
    <t xml:space="preserve">1.3.1.12.3.4.2.2</t>
  </si>
  <si>
    <t xml:space="preserve">1615FS</t>
  </si>
  <si>
    <t xml:space="preserve">MSP-1615</t>
  </si>
  <si>
    <t xml:space="preserve">1.3.1.12.3.4.2.3</t>
  </si>
  <si>
    <t xml:space="preserve">1630FS</t>
  </si>
  <si>
    <t xml:space="preserve">MSP-1616</t>
  </si>
  <si>
    <t xml:space="preserve">1.3.1.12.3.4.2.4</t>
  </si>
  <si>
    <t xml:space="preserve">1613FS</t>
  </si>
  <si>
    <t xml:space="preserve">MSP-1617</t>
  </si>
  <si>
    <t xml:space="preserve">1.3.1.12.3.5</t>
  </si>
  <si>
    <t xml:space="preserve">MSP-1618</t>
  </si>
  <si>
    <t xml:space="preserve">1.3.1.12.3.5.1</t>
  </si>
  <si>
    <t xml:space="preserve">MSP-1619</t>
  </si>
  <si>
    <t xml:space="preserve">1.3.1.12.3.5.1.1</t>
  </si>
  <si>
    <t xml:space="preserve">1620FS</t>
  </si>
  <si>
    <t xml:space="preserve">MSP-1620</t>
  </si>
  <si>
    <t xml:space="preserve">1.3.1.12.3.5.1.2</t>
  </si>
  <si>
    <t xml:space="preserve">1621FS</t>
  </si>
  <si>
    <t xml:space="preserve">MSP-1621</t>
  </si>
  <si>
    <t xml:space="preserve">1.3.1.12.3.5.1.3</t>
  </si>
  <si>
    <t xml:space="preserve">1610SS</t>
  </si>
  <si>
    <t xml:space="preserve">MSP-1622</t>
  </si>
  <si>
    <t xml:space="preserve">1.3.1.12.3.5.1.4</t>
  </si>
  <si>
    <t xml:space="preserve">1619FS</t>
  </si>
  <si>
    <t xml:space="preserve">MSP-1623</t>
  </si>
  <si>
    <t xml:space="preserve">1.3.1.12.3.5.2</t>
  </si>
  <si>
    <t xml:space="preserve">MSP-1624</t>
  </si>
  <si>
    <t xml:space="preserve">1.3.1.12.3.5.2.1</t>
  </si>
  <si>
    <t xml:space="preserve">1625FS</t>
  </si>
  <si>
    <t xml:space="preserve">MSP-1625</t>
  </si>
  <si>
    <t xml:space="preserve">1.3.1.12.3.5.2.2</t>
  </si>
  <si>
    <t xml:space="preserve">1626FS</t>
  </si>
  <si>
    <t xml:space="preserve">MSP-1626</t>
  </si>
  <si>
    <t xml:space="preserve">1.3.1.12.3.5.2.3</t>
  </si>
  <si>
    <t xml:space="preserve">1615SS</t>
  </si>
  <si>
    <t xml:space="preserve">MSP-1627</t>
  </si>
  <si>
    <t xml:space="preserve">1.3.1.12.3.5.2.4</t>
  </si>
  <si>
    <t xml:space="preserve">1624FS</t>
  </si>
  <si>
    <t xml:space="preserve">MSP-1628</t>
  </si>
  <si>
    <t xml:space="preserve">1.3.1.12.3.6</t>
  </si>
  <si>
    <t xml:space="preserve">MSP-1629</t>
  </si>
  <si>
    <t xml:space="preserve">1.3.1.12.3.6.1</t>
  </si>
  <si>
    <t xml:space="preserve">MSP-1630</t>
  </si>
  <si>
    <t xml:space="preserve">1.3.1.12.3.6.1.1</t>
  </si>
  <si>
    <t xml:space="preserve">1631FS</t>
  </si>
  <si>
    <t xml:space="preserve">MSP-1631</t>
  </si>
  <si>
    <t xml:space="preserve">1.3.1.12.3.6.1.2</t>
  </si>
  <si>
    <t xml:space="preserve">1632FS</t>
  </si>
  <si>
    <t xml:space="preserve">MSP-1632</t>
  </si>
  <si>
    <t xml:space="preserve">1.3.1.12.3.6.1.3</t>
  </si>
  <si>
    <t xml:space="preserve">1608FS;1619FS</t>
  </si>
  <si>
    <t xml:space="preserve">MSP-1633</t>
  </si>
  <si>
    <t xml:space="preserve">1.3.1.12.3.6.1.4</t>
  </si>
  <si>
    <t xml:space="preserve">MSP-1634</t>
  </si>
  <si>
    <t xml:space="preserve">1.3.1.12.3.6.2</t>
  </si>
  <si>
    <t xml:space="preserve">MSP-1635</t>
  </si>
  <si>
    <t xml:space="preserve">1.3.1.12.3.6.2.1</t>
  </si>
  <si>
    <t xml:space="preserve">1636FS</t>
  </si>
  <si>
    <t xml:space="preserve">MSP-1636</t>
  </si>
  <si>
    <t xml:space="preserve">1.3.1.12.3.6.2.2</t>
  </si>
  <si>
    <t xml:space="preserve">1637FS</t>
  </si>
  <si>
    <t xml:space="preserve">MSP-1637</t>
  </si>
  <si>
    <t xml:space="preserve">1.3.1.12.3.6.2.3</t>
  </si>
  <si>
    <t xml:space="preserve">1624FS;1613FS</t>
  </si>
  <si>
    <t xml:space="preserve">MSP-1638</t>
  </si>
  <si>
    <t xml:space="preserve">1.3.1.12.3.6.2.4</t>
  </si>
  <si>
    <t xml:space="preserve">1635FS</t>
  </si>
  <si>
    <t xml:space="preserve">MSP-1639</t>
  </si>
  <si>
    <t xml:space="preserve">1.3.1.12.3.7</t>
  </si>
  <si>
    <t xml:space="preserve">MSP-1640</t>
  </si>
  <si>
    <t xml:space="preserve">1.3.1.12.3.7.1</t>
  </si>
  <si>
    <t xml:space="preserve">MSP-1641</t>
  </si>
  <si>
    <t xml:space="preserve">1.3.1.12.3.7.1.1</t>
  </si>
  <si>
    <t xml:space="preserve">1643FS</t>
  </si>
  <si>
    <t xml:space="preserve">MSP-1642</t>
  </si>
  <si>
    <t xml:space="preserve">1.3.1.12.3.7.1.2</t>
  </si>
  <si>
    <t xml:space="preserve">1631SS;1619FS;1608FS</t>
  </si>
  <si>
    <t xml:space="preserve">MSP-1643</t>
  </si>
  <si>
    <t xml:space="preserve">1.3.1.12.3.7.1.3</t>
  </si>
  <si>
    <t xml:space="preserve">1644FS</t>
  </si>
  <si>
    <t xml:space="preserve">MSP-1644</t>
  </si>
  <si>
    <t xml:space="preserve">1.3.1.12.3.7.1.4</t>
  </si>
  <si>
    <t xml:space="preserve">1642FS</t>
  </si>
  <si>
    <t xml:space="preserve">MSP-1645</t>
  </si>
  <si>
    <t xml:space="preserve">1.3.1.12.3.7.1.5</t>
  </si>
  <si>
    <t xml:space="preserve">1641FS</t>
  </si>
  <si>
    <t xml:space="preserve">MSP-1646</t>
  </si>
  <si>
    <t xml:space="preserve">1.3.1.12.3.7.2</t>
  </si>
  <si>
    <t xml:space="preserve">MSP-1647</t>
  </si>
  <si>
    <t xml:space="preserve">1.3.1.12.3.7.2.1</t>
  </si>
  <si>
    <t xml:space="preserve">1649FS</t>
  </si>
  <si>
    <t xml:space="preserve">MSP-1648</t>
  </si>
  <si>
    <t xml:space="preserve">1.3.1.12.3.7.2.2</t>
  </si>
  <si>
    <t xml:space="preserve">1636SS;1624FS;1613FS</t>
  </si>
  <si>
    <t xml:space="preserve">MSP-1649</t>
  </si>
  <si>
    <t xml:space="preserve">1.3.1.12.3.7.2.3</t>
  </si>
  <si>
    <t xml:space="preserve">1650FS</t>
  </si>
  <si>
    <t xml:space="preserve">MSP-1650</t>
  </si>
  <si>
    <t xml:space="preserve">1.3.1.12.3.7.2.4</t>
  </si>
  <si>
    <t xml:space="preserve">1648FS</t>
  </si>
  <si>
    <t xml:space="preserve">MSP-1651</t>
  </si>
  <si>
    <t xml:space="preserve">1.3.1.12.3.7.2.5</t>
  </si>
  <si>
    <t xml:space="preserve">1647FS</t>
  </si>
  <si>
    <t xml:space="preserve">MSP-1652</t>
  </si>
  <si>
    <t xml:space="preserve">1.3.1.12.3.8</t>
  </si>
  <si>
    <t xml:space="preserve">MSP-1653</t>
  </si>
  <si>
    <t xml:space="preserve">1.3.1.12.3.8.1</t>
  </si>
  <si>
    <t xml:space="preserve">1654FS</t>
  </si>
  <si>
    <t xml:space="preserve">MSP-1654</t>
  </si>
  <si>
    <t xml:space="preserve">1.3.1.12.3.8.2</t>
  </si>
  <si>
    <t xml:space="preserve">1655FS</t>
  </si>
  <si>
    <t xml:space="preserve">MSP-1655</t>
  </si>
  <si>
    <t xml:space="preserve">1.3.1.12.3.8.3</t>
  </si>
  <si>
    <t xml:space="preserve">MSP-1656</t>
  </si>
  <si>
    <t xml:space="preserve">1.3.1.12.3.8.4</t>
  </si>
  <si>
    <t xml:space="preserve">1653FS</t>
  </si>
  <si>
    <t xml:space="preserve">MSP-1657</t>
  </si>
  <si>
    <t xml:space="preserve">1.3.1.12.3.9</t>
  </si>
  <si>
    <t xml:space="preserve">MSP-1658</t>
  </si>
  <si>
    <t xml:space="preserve">1.3.1.12.3.9.1</t>
  </si>
  <si>
    <t xml:space="preserve">1659FS</t>
  </si>
  <si>
    <t xml:space="preserve">MSP-1659</t>
  </si>
  <si>
    <t xml:space="preserve">1.3.1.12.3.9.2</t>
  </si>
  <si>
    <t xml:space="preserve">1660FS</t>
  </si>
  <si>
    <t xml:space="preserve">MSP-1660</t>
  </si>
  <si>
    <t xml:space="preserve">1.3.1.12.3.9.3</t>
  </si>
  <si>
    <t xml:space="preserve">2876FS</t>
  </si>
  <si>
    <t xml:space="preserve">MSP-1661</t>
  </si>
  <si>
    <t xml:space="preserve">1.3.1.12.3.9.4</t>
  </si>
  <si>
    <t xml:space="preserve">1658FS</t>
  </si>
  <si>
    <t xml:space="preserve">MSP-1662</t>
  </si>
  <si>
    <t xml:space="preserve">1.3.1.12.3.10</t>
  </si>
  <si>
    <t xml:space="preserve">MSP-1663</t>
  </si>
  <si>
    <t xml:space="preserve">1.3.1.12.3.10.1</t>
  </si>
  <si>
    <t xml:space="preserve">1664FS</t>
  </si>
  <si>
    <t xml:space="preserve">MSP-1664</t>
  </si>
  <si>
    <t xml:space="preserve">1.3.1.12.3.10.2</t>
  </si>
  <si>
    <t xml:space="preserve">1665FS</t>
  </si>
  <si>
    <t xml:space="preserve">MSP-1665</t>
  </si>
  <si>
    <t xml:space="preserve">1.3.1.12.3.10.3</t>
  </si>
  <si>
    <t xml:space="preserve">MSP-1666</t>
  </si>
  <si>
    <t xml:space="preserve">1.3.1.12.3.10.4</t>
  </si>
  <si>
    <t xml:space="preserve">1663FS</t>
  </si>
  <si>
    <t xml:space="preserve">MSP-1667</t>
  </si>
  <si>
    <t xml:space="preserve">1.3.1.12.3.11</t>
  </si>
  <si>
    <t xml:space="preserve">PARAPETO CONCRETO ARMADO</t>
  </si>
  <si>
    <t xml:space="preserve">MSP-1668</t>
  </si>
  <si>
    <t xml:space="preserve">1.3.1.12.3.11.1</t>
  </si>
  <si>
    <t xml:space="preserve">1669FS</t>
  </si>
  <si>
    <t xml:space="preserve">MSP-1669</t>
  </si>
  <si>
    <t xml:space="preserve">1.3.1.12.3.11.2</t>
  </si>
  <si>
    <t xml:space="preserve">1670FS</t>
  </si>
  <si>
    <t xml:space="preserve">MSP-1670</t>
  </si>
  <si>
    <t xml:space="preserve">1.3.1.12.3.11.3</t>
  </si>
  <si>
    <t xml:space="preserve">MSP-1671</t>
  </si>
  <si>
    <t xml:space="preserve">1.3.1.12.3.11.4</t>
  </si>
  <si>
    <t xml:space="preserve">1668FS</t>
  </si>
  <si>
    <t xml:space="preserve">MSP-1672</t>
  </si>
  <si>
    <t xml:space="preserve">1.3.1.12.3.12</t>
  </si>
  <si>
    <t xml:space="preserve">MSP-1673</t>
  </si>
  <si>
    <t xml:space="preserve">1.3.1.12.3.12.1</t>
  </si>
  <si>
    <t xml:space="preserve">1651FS</t>
  </si>
  <si>
    <t xml:space="preserve">MSP-1674</t>
  </si>
  <si>
    <t xml:space="preserve">1.3.1.13</t>
  </si>
  <si>
    <t xml:space="preserve">BLOQUE 13: CUARTO TÉCNICO</t>
  </si>
  <si>
    <t xml:space="preserve">MSP-1675</t>
  </si>
  <si>
    <t xml:space="preserve">1.3.1.13.1</t>
  </si>
  <si>
    <t xml:space="preserve">MSP-1676</t>
  </si>
  <si>
    <t xml:space="preserve">1.3.1.13.1.1</t>
  </si>
  <si>
    <t xml:space="preserve">MSP-1677</t>
  </si>
  <si>
    <t xml:space="preserve">1.3.1.13.1.2</t>
  </si>
  <si>
    <t xml:space="preserve">1676FS</t>
  </si>
  <si>
    <t xml:space="preserve">MSP-1678</t>
  </si>
  <si>
    <t xml:space="preserve">1.3.1.13.1.3</t>
  </si>
  <si>
    <t xml:space="preserve">1688FS</t>
  </si>
  <si>
    <t xml:space="preserve">MSP-1679</t>
  </si>
  <si>
    <t xml:space="preserve">1.3.1.13.1.4</t>
  </si>
  <si>
    <t xml:space="preserve">1677FS</t>
  </si>
  <si>
    <t xml:space="preserve">MSP-1680</t>
  </si>
  <si>
    <t xml:space="preserve">1.3.1.13.1.5</t>
  </si>
  <si>
    <t xml:space="preserve">1679FS</t>
  </si>
  <si>
    <t xml:space="preserve">MSP-1681</t>
  </si>
  <si>
    <t xml:space="preserve">1.3.1.13.1.6</t>
  </si>
  <si>
    <t xml:space="preserve">1682FS</t>
  </si>
  <si>
    <t xml:space="preserve">MSP-1682</t>
  </si>
  <si>
    <t xml:space="preserve">1.3.1.13.1.7</t>
  </si>
  <si>
    <t xml:space="preserve">1678FS</t>
  </si>
  <si>
    <t xml:space="preserve">MSP-1683</t>
  </si>
  <si>
    <t xml:space="preserve">1.3.1.13.2</t>
  </si>
  <si>
    <t xml:space="preserve">MSP-1684</t>
  </si>
  <si>
    <t xml:space="preserve">1.3.1.13.2.1</t>
  </si>
  <si>
    <t xml:space="preserve">MSP-1685</t>
  </si>
  <si>
    <t xml:space="preserve">1.3.1.13.2.1.1</t>
  </si>
  <si>
    <t xml:space="preserve">1686FS</t>
  </si>
  <si>
    <t xml:space="preserve">MSP-1686</t>
  </si>
  <si>
    <t xml:space="preserve">1.3.1.13.2.1.2</t>
  </si>
  <si>
    <t xml:space="preserve">MSP-1687</t>
  </si>
  <si>
    <t xml:space="preserve">1.3.1.13.2.2</t>
  </si>
  <si>
    <t xml:space="preserve">MSP-1688</t>
  </si>
  <si>
    <t xml:space="preserve">1.3.1.13.2.2.1</t>
  </si>
  <si>
    <t xml:space="preserve">1689FS</t>
  </si>
  <si>
    <t xml:space="preserve">MSP-1689</t>
  </si>
  <si>
    <t xml:space="preserve">1.3.1.13.2.2.2</t>
  </si>
  <si>
    <t xml:space="preserve">1685FS</t>
  </si>
  <si>
    <t xml:space="preserve">MSP-1690</t>
  </si>
  <si>
    <t xml:space="preserve">1.3.1.13.2.2.3</t>
  </si>
  <si>
    <t xml:space="preserve">MSP-1691</t>
  </si>
  <si>
    <t xml:space="preserve">1.3.1.13.2.3</t>
  </si>
  <si>
    <t xml:space="preserve">MSP-1692</t>
  </si>
  <si>
    <t xml:space="preserve">1.3.1.13.2.3.1</t>
  </si>
  <si>
    <t xml:space="preserve">1693FS</t>
  </si>
  <si>
    <t xml:space="preserve">MSP-1693</t>
  </si>
  <si>
    <t xml:space="preserve">1.3.1.13.2.3.2</t>
  </si>
  <si>
    <t xml:space="preserve">MSP-1694</t>
  </si>
  <si>
    <t xml:space="preserve">1.3.1.13.2.4</t>
  </si>
  <si>
    <t xml:space="preserve">MSP-1695</t>
  </si>
  <si>
    <t xml:space="preserve">1.3.1.13.2.4.1</t>
  </si>
  <si>
    <t xml:space="preserve">MSP-1696</t>
  </si>
  <si>
    <t xml:space="preserve">1.3.1.13.3</t>
  </si>
  <si>
    <t xml:space="preserve">MSP-1697</t>
  </si>
  <si>
    <t xml:space="preserve">1.3.1.13.3.1</t>
  </si>
  <si>
    <t xml:space="preserve">MSP-1698</t>
  </si>
  <si>
    <t xml:space="preserve">1.3.1.13.3.1.1</t>
  </si>
  <si>
    <t xml:space="preserve">1699FS</t>
  </si>
  <si>
    <t xml:space="preserve">MSP-1699</t>
  </si>
  <si>
    <t xml:space="preserve">1.3.1.13.3.1.2</t>
  </si>
  <si>
    <t xml:space="preserve">1700FS</t>
  </si>
  <si>
    <t xml:space="preserve">MSP-1700</t>
  </si>
  <si>
    <t xml:space="preserve">1.3.1.13.3.1.3</t>
  </si>
  <si>
    <t xml:space="preserve">1692FS</t>
  </si>
  <si>
    <t xml:space="preserve">MSP-1701</t>
  </si>
  <si>
    <t xml:space="preserve">1.3.1.13.3.1.4</t>
  </si>
  <si>
    <t xml:space="preserve">1698FS</t>
  </si>
  <si>
    <t xml:space="preserve">MSP-1702</t>
  </si>
  <si>
    <t xml:space="preserve">1.3.1.13.3.2</t>
  </si>
  <si>
    <t xml:space="preserve">MSP-1703</t>
  </si>
  <si>
    <t xml:space="preserve">1.3.1.13.3.2.1</t>
  </si>
  <si>
    <t xml:space="preserve">MSP-1704</t>
  </si>
  <si>
    <t xml:space="preserve">1.3.1.13.3.2.1.1</t>
  </si>
  <si>
    <t xml:space="preserve">1705FS</t>
  </si>
  <si>
    <t xml:space="preserve">MSP-1705</t>
  </si>
  <si>
    <t xml:space="preserve">1.3.1.13.3.2.1.2</t>
  </si>
  <si>
    <t xml:space="preserve">1706FS</t>
  </si>
  <si>
    <t xml:space="preserve">MSP-1706</t>
  </si>
  <si>
    <t xml:space="preserve">1.3.1.13.3.2.1.3</t>
  </si>
  <si>
    <t xml:space="preserve">MSP-1707</t>
  </si>
  <si>
    <t xml:space="preserve">1.3.1.13.3.2.1.4</t>
  </si>
  <si>
    <t xml:space="preserve">1704FS</t>
  </si>
  <si>
    <t xml:space="preserve">MSP-1708</t>
  </si>
  <si>
    <t xml:space="preserve">1.3.1.13.3.2.2</t>
  </si>
  <si>
    <t xml:space="preserve">MSP-1709</t>
  </si>
  <si>
    <t xml:space="preserve">1.3.1.13.3.2.2.1</t>
  </si>
  <si>
    <t xml:space="preserve">1710FS</t>
  </si>
  <si>
    <t xml:space="preserve">MSP-1710</t>
  </si>
  <si>
    <t xml:space="preserve">1.3.1.13.3.2.2.2</t>
  </si>
  <si>
    <t xml:space="preserve">1711FS</t>
  </si>
  <si>
    <t xml:space="preserve">MSP-1711</t>
  </si>
  <si>
    <t xml:space="preserve">1.3.1.13.3.2.2.3</t>
  </si>
  <si>
    <t xml:space="preserve">1736FS;1752FS</t>
  </si>
  <si>
    <t xml:space="preserve">MSP-1712</t>
  </si>
  <si>
    <t xml:space="preserve">1.3.1.13.3.2.2.4</t>
  </si>
  <si>
    <t xml:space="preserve">1709FS</t>
  </si>
  <si>
    <t xml:space="preserve">MSP-1713</t>
  </si>
  <si>
    <t xml:space="preserve">1.3.1.13.3.2.3</t>
  </si>
  <si>
    <t xml:space="preserve">MSP-1714</t>
  </si>
  <si>
    <t xml:space="preserve">1.3.1.13.3.2.3.1</t>
  </si>
  <si>
    <t xml:space="preserve">1715FS</t>
  </si>
  <si>
    <t xml:space="preserve">MSP-1715</t>
  </si>
  <si>
    <t xml:space="preserve">1.3.1.13.3.2.3.2</t>
  </si>
  <si>
    <t xml:space="preserve">1716FS</t>
  </si>
  <si>
    <t xml:space="preserve">MSP-1716</t>
  </si>
  <si>
    <t xml:space="preserve">1.3.1.13.3.2.3.3</t>
  </si>
  <si>
    <t xml:space="preserve">1741FS;1758FS</t>
  </si>
  <si>
    <t xml:space="preserve">MSP-1717</t>
  </si>
  <si>
    <t xml:space="preserve">1.3.1.13.3.2.3.4</t>
  </si>
  <si>
    <t xml:space="preserve">1714FS</t>
  </si>
  <si>
    <t xml:space="preserve">MSP-1718</t>
  </si>
  <si>
    <t xml:space="preserve">1.3.1.13.3.3</t>
  </si>
  <si>
    <t xml:space="preserve">MSP-1719</t>
  </si>
  <si>
    <t xml:space="preserve">1.3.1.13.3.3.1</t>
  </si>
  <si>
    <t xml:space="preserve">MSP-1720</t>
  </si>
  <si>
    <t xml:space="preserve">1.3.1.13.3.3.1.1</t>
  </si>
  <si>
    <t xml:space="preserve">1721FS</t>
  </si>
  <si>
    <t xml:space="preserve">MSP-1721</t>
  </si>
  <si>
    <t xml:space="preserve">1.3.1.13.3.3.1.2</t>
  </si>
  <si>
    <t xml:space="preserve">1722FS</t>
  </si>
  <si>
    <t xml:space="preserve">MSP-1722</t>
  </si>
  <si>
    <t xml:space="preserve">1.3.1.13.3.3.1.3</t>
  </si>
  <si>
    <t xml:space="preserve">1706SS</t>
  </si>
  <si>
    <t xml:space="preserve">MSP-1723</t>
  </si>
  <si>
    <t xml:space="preserve">1.3.1.13.3.3.1.4</t>
  </si>
  <si>
    <t xml:space="preserve">1720FS</t>
  </si>
  <si>
    <t xml:space="preserve">MSP-1724</t>
  </si>
  <si>
    <t xml:space="preserve">1.3.1.13.3.3.2</t>
  </si>
  <si>
    <t xml:space="preserve">MSP-1725</t>
  </si>
  <si>
    <t xml:space="preserve">1.3.1.13.3.3.2.1</t>
  </si>
  <si>
    <t xml:space="preserve">1726FS</t>
  </si>
  <si>
    <t xml:space="preserve">MSP-1726</t>
  </si>
  <si>
    <t xml:space="preserve">1.3.1.13.3.3.2.2</t>
  </si>
  <si>
    <t xml:space="preserve">1727FS</t>
  </si>
  <si>
    <t xml:space="preserve">MSP-1727</t>
  </si>
  <si>
    <t xml:space="preserve">1.3.1.13.3.3.2.3</t>
  </si>
  <si>
    <t xml:space="preserve">1711SS</t>
  </si>
  <si>
    <t xml:space="preserve">MSP-1728</t>
  </si>
  <si>
    <t xml:space="preserve">1.3.1.13.3.3.2.4</t>
  </si>
  <si>
    <t xml:space="preserve">1725FS</t>
  </si>
  <si>
    <t xml:space="preserve">MSP-1729</t>
  </si>
  <si>
    <t xml:space="preserve">1.3.1.13.3.3.3</t>
  </si>
  <si>
    <t xml:space="preserve">MSP-1730</t>
  </si>
  <si>
    <t xml:space="preserve">1.3.1.13.3.3.3.1</t>
  </si>
  <si>
    <t xml:space="preserve">1731FS</t>
  </si>
  <si>
    <t xml:space="preserve">MSP-1731</t>
  </si>
  <si>
    <t xml:space="preserve">1.3.1.13.3.3.3.2</t>
  </si>
  <si>
    <t xml:space="preserve">1732FS</t>
  </si>
  <si>
    <t xml:space="preserve">MSP-1732</t>
  </si>
  <si>
    <t xml:space="preserve">1.3.1.13.3.3.3.3</t>
  </si>
  <si>
    <t xml:space="preserve">1716SS</t>
  </si>
  <si>
    <t xml:space="preserve">MSP-1733</t>
  </si>
  <si>
    <t xml:space="preserve">1.3.1.13.3.3.3.4</t>
  </si>
  <si>
    <t xml:space="preserve">1730FS</t>
  </si>
  <si>
    <t xml:space="preserve">MSP-1734</t>
  </si>
  <si>
    <t xml:space="preserve">1.3.1.13.3.4</t>
  </si>
  <si>
    <t xml:space="preserve">MSP-1735</t>
  </si>
  <si>
    <t xml:space="preserve">1.3.1.13.3.4.1</t>
  </si>
  <si>
    <t xml:space="preserve">MSP-1736</t>
  </si>
  <si>
    <t xml:space="preserve">1.3.1.13.3.4.1.1</t>
  </si>
  <si>
    <t xml:space="preserve">1737FS</t>
  </si>
  <si>
    <t xml:space="preserve">MSP-1737</t>
  </si>
  <si>
    <t xml:space="preserve">1.3.1.13.3.4.1.2</t>
  </si>
  <si>
    <t xml:space="preserve">1738FS</t>
  </si>
  <si>
    <t xml:space="preserve">MSP-1738</t>
  </si>
  <si>
    <t xml:space="preserve">1.3.1.13.3.4.1.3</t>
  </si>
  <si>
    <t xml:space="preserve">1720FS;1704FS</t>
  </si>
  <si>
    <t xml:space="preserve">MSP-1739</t>
  </si>
  <si>
    <t xml:space="preserve">1.3.1.13.3.4.1.4</t>
  </si>
  <si>
    <t xml:space="preserve">1736FS</t>
  </si>
  <si>
    <t xml:space="preserve">MSP-1740</t>
  </si>
  <si>
    <t xml:space="preserve">1.3.1.13.3.4.2</t>
  </si>
  <si>
    <t xml:space="preserve">MSP-1741</t>
  </si>
  <si>
    <t xml:space="preserve">1.3.1.13.3.4.2.1</t>
  </si>
  <si>
    <t xml:space="preserve">1742FS</t>
  </si>
  <si>
    <t xml:space="preserve">MSP-1742</t>
  </si>
  <si>
    <t xml:space="preserve">1.3.1.13.3.4.2.2</t>
  </si>
  <si>
    <t xml:space="preserve">1743FS</t>
  </si>
  <si>
    <t xml:space="preserve">MSP-1743</t>
  </si>
  <si>
    <t xml:space="preserve">1.3.1.13.3.4.2.3</t>
  </si>
  <si>
    <t xml:space="preserve">1709FS;1725FS</t>
  </si>
  <si>
    <t xml:space="preserve">MSP-1744</t>
  </si>
  <si>
    <t xml:space="preserve">1.3.1.13.3.4.2.4</t>
  </si>
  <si>
    <t xml:space="preserve">1741FS</t>
  </si>
  <si>
    <t xml:space="preserve">MSP-1745</t>
  </si>
  <si>
    <t xml:space="preserve">1.3.1.13.3.4.3</t>
  </si>
  <si>
    <t xml:space="preserve">MSP-1746</t>
  </si>
  <si>
    <t xml:space="preserve">1.3.1.13.3.4.3.1</t>
  </si>
  <si>
    <t xml:space="preserve">1747FS</t>
  </si>
  <si>
    <t xml:space="preserve">MSP-1747</t>
  </si>
  <si>
    <t xml:space="preserve">1.3.1.13.3.4.3.2</t>
  </si>
  <si>
    <t xml:space="preserve">1748FS</t>
  </si>
  <si>
    <t xml:space="preserve">MSP-1748</t>
  </si>
  <si>
    <t xml:space="preserve">1.3.1.13.3.4.3.3</t>
  </si>
  <si>
    <t xml:space="preserve">1714FS;1730FS</t>
  </si>
  <si>
    <t xml:space="preserve">MSP-1749</t>
  </si>
  <si>
    <t xml:space="preserve">1.3.1.13.3.4.3.4</t>
  </si>
  <si>
    <t xml:space="preserve">1746FS</t>
  </si>
  <si>
    <t xml:space="preserve">MSP-1750</t>
  </si>
  <si>
    <t xml:space="preserve">1.3.1.13.3.5</t>
  </si>
  <si>
    <t xml:space="preserve">MSP-1751</t>
  </si>
  <si>
    <t xml:space="preserve">1.3.1.13.3.5.1</t>
  </si>
  <si>
    <t xml:space="preserve">MSP-1752</t>
  </si>
  <si>
    <t xml:space="preserve">1.3.1.13.3.5.1.1</t>
  </si>
  <si>
    <t xml:space="preserve">1754FS</t>
  </si>
  <si>
    <t xml:space="preserve">MSP-1753</t>
  </si>
  <si>
    <t xml:space="preserve">1.3.1.13.3.5.1.2</t>
  </si>
  <si>
    <t xml:space="preserve">1704FS;1720FS</t>
  </si>
  <si>
    <t xml:space="preserve">MSP-1754</t>
  </si>
  <si>
    <t xml:space="preserve">1.3.1.13.3.5.1.3</t>
  </si>
  <si>
    <t xml:space="preserve">1755FS</t>
  </si>
  <si>
    <t xml:space="preserve">MSP-1755</t>
  </si>
  <si>
    <t xml:space="preserve">1.3.1.13.3.5.1.4</t>
  </si>
  <si>
    <t xml:space="preserve">1753FS</t>
  </si>
  <si>
    <t xml:space="preserve">MSP-1756</t>
  </si>
  <si>
    <t xml:space="preserve">1.3.1.13.3.5.1.5</t>
  </si>
  <si>
    <t xml:space="preserve">1752FS</t>
  </si>
  <si>
    <t xml:space="preserve">MSP-1757</t>
  </si>
  <si>
    <t xml:space="preserve">1.3.1.13.3.5.2</t>
  </si>
  <si>
    <t xml:space="preserve">MSP-1758</t>
  </si>
  <si>
    <t xml:space="preserve">1.3.1.13.3.5.2.1</t>
  </si>
  <si>
    <t xml:space="preserve">1760FS</t>
  </si>
  <si>
    <t xml:space="preserve">MSP-1759</t>
  </si>
  <si>
    <t xml:space="preserve">1.3.1.13.3.5.2.2</t>
  </si>
  <si>
    <t xml:space="preserve">MSP-1760</t>
  </si>
  <si>
    <t xml:space="preserve">1.3.1.13.3.5.2.3</t>
  </si>
  <si>
    <t xml:space="preserve">1761FS</t>
  </si>
  <si>
    <t xml:space="preserve">MSP-1761</t>
  </si>
  <si>
    <t xml:space="preserve">1.3.1.13.3.5.2.4</t>
  </si>
  <si>
    <t xml:space="preserve">1759FS</t>
  </si>
  <si>
    <t xml:space="preserve">MSP-1762</t>
  </si>
  <si>
    <t xml:space="preserve">1.3.1.13.3.5.2.5</t>
  </si>
  <si>
    <t xml:space="preserve">1758FS</t>
  </si>
  <si>
    <t xml:space="preserve">MSP-1763</t>
  </si>
  <si>
    <t xml:space="preserve">1.3.1.13.3.5.3</t>
  </si>
  <si>
    <t xml:space="preserve">MSP-1764</t>
  </si>
  <si>
    <t xml:space="preserve">1.3.1.13.3.5.3.1</t>
  </si>
  <si>
    <t xml:space="preserve">1766FS</t>
  </si>
  <si>
    <t xml:space="preserve">MSP-1765</t>
  </si>
  <si>
    <t xml:space="preserve">1.3.1.13.3.5.3.2</t>
  </si>
  <si>
    <t xml:space="preserve">MSP-1766</t>
  </si>
  <si>
    <t xml:space="preserve">1.3.1.13.3.5.3.3</t>
  </si>
  <si>
    <t xml:space="preserve">1767FS</t>
  </si>
  <si>
    <t xml:space="preserve">MSP-1767</t>
  </si>
  <si>
    <t xml:space="preserve">1.3.1.13.3.5.3.4</t>
  </si>
  <si>
    <t xml:space="preserve">1765FS</t>
  </si>
  <si>
    <t xml:space="preserve">MSP-1768</t>
  </si>
  <si>
    <t xml:space="preserve">1.3.1.13.3.5.3.5</t>
  </si>
  <si>
    <t xml:space="preserve">1764FS</t>
  </si>
  <si>
    <t xml:space="preserve">MSP-1769</t>
  </si>
  <si>
    <t xml:space="preserve">1.3.1.13.3.6</t>
  </si>
  <si>
    <t xml:space="preserve">MSP-1770</t>
  </si>
  <si>
    <t xml:space="preserve">1.3.1.13.3.6.1</t>
  </si>
  <si>
    <t xml:space="preserve">MSP-1771</t>
  </si>
  <si>
    <t xml:space="preserve">1.3.1.13.3.6.1.1</t>
  </si>
  <si>
    <t xml:space="preserve">1772FS</t>
  </si>
  <si>
    <t xml:space="preserve">MSP-1772</t>
  </si>
  <si>
    <t xml:space="preserve">1.3.1.13.3.6.1.2</t>
  </si>
  <si>
    <t xml:space="preserve">1773FS</t>
  </si>
  <si>
    <t xml:space="preserve">MSP-1773</t>
  </si>
  <si>
    <t xml:space="preserve">1.3.1.13.3.6.1.3</t>
  </si>
  <si>
    <t xml:space="preserve">2924FS</t>
  </si>
  <si>
    <t xml:space="preserve">MSP-1774</t>
  </si>
  <si>
    <t xml:space="preserve">1.3.1.13.3.6.1.4</t>
  </si>
  <si>
    <t xml:space="preserve">1771FS</t>
  </si>
  <si>
    <t xml:space="preserve">MSP-1775</t>
  </si>
  <si>
    <t xml:space="preserve">1.3.1.13.3.6.2</t>
  </si>
  <si>
    <t xml:space="preserve">MSP-1776</t>
  </si>
  <si>
    <t xml:space="preserve">1.3.1.13.3.6.2.1</t>
  </si>
  <si>
    <t xml:space="preserve">1777FS</t>
  </si>
  <si>
    <t xml:space="preserve">MSP-1777</t>
  </si>
  <si>
    <t xml:space="preserve">1.3.1.13.3.6.2.2</t>
  </si>
  <si>
    <t xml:space="preserve">1778FS</t>
  </si>
  <si>
    <t xml:space="preserve">MSP-1778</t>
  </si>
  <si>
    <t xml:space="preserve">1.3.1.13.3.6.2.3</t>
  </si>
  <si>
    <t xml:space="preserve">MSP-1779</t>
  </si>
  <si>
    <t xml:space="preserve">1.3.1.13.3.6.2.4</t>
  </si>
  <si>
    <t xml:space="preserve">1776FS</t>
  </si>
  <si>
    <t xml:space="preserve">MSP-1780</t>
  </si>
  <si>
    <t xml:space="preserve">1.3.1.13.3.6.3</t>
  </si>
  <si>
    <t xml:space="preserve">MSP-1781</t>
  </si>
  <si>
    <t xml:space="preserve">1.3.1.13.3.6.3.1</t>
  </si>
  <si>
    <t xml:space="preserve">1782FS</t>
  </si>
  <si>
    <t xml:space="preserve">MSP-1782</t>
  </si>
  <si>
    <t xml:space="preserve">1.3.1.13.3.6.3.2</t>
  </si>
  <si>
    <t xml:space="preserve">1783FS</t>
  </si>
  <si>
    <t xml:space="preserve">MSP-1783</t>
  </si>
  <si>
    <t xml:space="preserve">1.3.1.13.3.6.3.3</t>
  </si>
  <si>
    <t xml:space="preserve">MSP-1784</t>
  </si>
  <si>
    <t xml:space="preserve">1.3.1.13.3.6.3.4</t>
  </si>
  <si>
    <t xml:space="preserve">1781FS</t>
  </si>
  <si>
    <t xml:space="preserve">MSP-1785</t>
  </si>
  <si>
    <t xml:space="preserve">1.3.1.13.3.7</t>
  </si>
  <si>
    <t xml:space="preserve">MSP-1786</t>
  </si>
  <si>
    <t xml:space="preserve">1.3.1.13.3.7.1</t>
  </si>
  <si>
    <t xml:space="preserve">MSP-1787</t>
  </si>
  <si>
    <t xml:space="preserve">1.3.1.13.3.7.1.1</t>
  </si>
  <si>
    <t xml:space="preserve">1788FS</t>
  </si>
  <si>
    <t xml:space="preserve">MSP-1788</t>
  </si>
  <si>
    <t xml:space="preserve">1.3.1.13.3.7.1.2</t>
  </si>
  <si>
    <t xml:space="preserve">1789FS</t>
  </si>
  <si>
    <t xml:space="preserve">MSP-1789</t>
  </si>
  <si>
    <t xml:space="preserve">1.3.1.13.3.7.1.3</t>
  </si>
  <si>
    <t xml:space="preserve">MSP-1790</t>
  </si>
  <si>
    <t xml:space="preserve">1.3.1.13.3.7.1.4</t>
  </si>
  <si>
    <t xml:space="preserve">1787FS</t>
  </si>
  <si>
    <t xml:space="preserve">MSP-1791</t>
  </si>
  <si>
    <t xml:space="preserve">1.3.1.13.3.7.2</t>
  </si>
  <si>
    <t xml:space="preserve">MSP-1792</t>
  </si>
  <si>
    <t xml:space="preserve">1.3.1.13.3.7.2.1</t>
  </si>
  <si>
    <t xml:space="preserve">1793FS</t>
  </si>
  <si>
    <t xml:space="preserve">MSP-1793</t>
  </si>
  <si>
    <t xml:space="preserve">1.3.1.13.3.7.2.2</t>
  </si>
  <si>
    <t xml:space="preserve">1794FS</t>
  </si>
  <si>
    <t xml:space="preserve">MSP-1794</t>
  </si>
  <si>
    <t xml:space="preserve">1.3.1.13.3.7.2.3</t>
  </si>
  <si>
    <t xml:space="preserve">MSP-1795</t>
  </si>
  <si>
    <t xml:space="preserve">1.3.1.13.3.7.2.4</t>
  </si>
  <si>
    <t xml:space="preserve">1792FS</t>
  </si>
  <si>
    <t xml:space="preserve">MSP-1796</t>
  </si>
  <si>
    <t xml:space="preserve">1.3.1.13.3.7.3</t>
  </si>
  <si>
    <t xml:space="preserve">MSP-1797</t>
  </si>
  <si>
    <t xml:space="preserve">1.3.1.13.3.7.3.1</t>
  </si>
  <si>
    <t xml:space="preserve">1798FS</t>
  </si>
  <si>
    <t xml:space="preserve">MSP-1798</t>
  </si>
  <si>
    <t xml:space="preserve">1.3.1.13.3.7.3.2</t>
  </si>
  <si>
    <t xml:space="preserve">1799FS</t>
  </si>
  <si>
    <t xml:space="preserve">MSP-1799</t>
  </si>
  <si>
    <t xml:space="preserve">1.3.1.13.3.7.3.3</t>
  </si>
  <si>
    <t xml:space="preserve">MSP-1800</t>
  </si>
  <si>
    <t xml:space="preserve">1.3.1.13.3.7.3.4</t>
  </si>
  <si>
    <t xml:space="preserve">1797FS</t>
  </si>
  <si>
    <t xml:space="preserve">MSP-1801</t>
  </si>
  <si>
    <t xml:space="preserve">1.3.1.13.3.8</t>
  </si>
  <si>
    <t xml:space="preserve">MSP-1802</t>
  </si>
  <si>
    <t xml:space="preserve">1.3.1.13.3.8.1</t>
  </si>
  <si>
    <t xml:space="preserve">1803FS</t>
  </si>
  <si>
    <t xml:space="preserve">MSP-1803</t>
  </si>
  <si>
    <t xml:space="preserve">1.3.1.13.3.8.2</t>
  </si>
  <si>
    <t xml:space="preserve">1804FS</t>
  </si>
  <si>
    <t xml:space="preserve">MSP-1804</t>
  </si>
  <si>
    <t xml:space="preserve">1.3.1.13.3.8.3</t>
  </si>
  <si>
    <t xml:space="preserve">MSP-1805</t>
  </si>
  <si>
    <t xml:space="preserve">1.3.1.13.3.8.4</t>
  </si>
  <si>
    <t xml:space="preserve">1802FS</t>
  </si>
  <si>
    <t xml:space="preserve">MSP-1806</t>
  </si>
  <si>
    <t xml:space="preserve">1.3.1.13.4</t>
  </si>
  <si>
    <t xml:space="preserve">MSP-1807</t>
  </si>
  <si>
    <t xml:space="preserve">1.3.1.13.4.1</t>
  </si>
  <si>
    <t xml:space="preserve">1768FS</t>
  </si>
  <si>
    <t xml:space="preserve">MSP-1808</t>
  </si>
  <si>
    <t xml:space="preserve">1.3.1.13.4.2</t>
  </si>
  <si>
    <t xml:space="preserve">1807FS</t>
  </si>
  <si>
    <t xml:space="preserve">MSP-1809</t>
  </si>
  <si>
    <t xml:space="preserve">1.3.1.14</t>
  </si>
  <si>
    <t xml:space="preserve">BLOQUE 14: CUARTO TÉCNICO &amp; FOTOCOPIADORA</t>
  </si>
  <si>
    <t xml:space="preserve">MSP-1810</t>
  </si>
  <si>
    <t xml:space="preserve">1.3.1.14.1</t>
  </si>
  <si>
    <t xml:space="preserve">MSP-1811</t>
  </si>
  <si>
    <t xml:space="preserve">1.3.1.14.1.1</t>
  </si>
  <si>
    <t xml:space="preserve">MSP-1812</t>
  </si>
  <si>
    <t xml:space="preserve">1.3.1.14.1.2</t>
  </si>
  <si>
    <t xml:space="preserve">1811FS</t>
  </si>
  <si>
    <t xml:space="preserve">MSP-1813</t>
  </si>
  <si>
    <t xml:space="preserve">1.3.1.14.1.3</t>
  </si>
  <si>
    <t xml:space="preserve">1825FS</t>
  </si>
  <si>
    <t xml:space="preserve">MSP-1814</t>
  </si>
  <si>
    <t xml:space="preserve">1.3.1.14.1.4</t>
  </si>
  <si>
    <t xml:space="preserve">1812FS</t>
  </si>
  <si>
    <t xml:space="preserve">MSP-1815</t>
  </si>
  <si>
    <t xml:space="preserve">1.3.1.14.1.5</t>
  </si>
  <si>
    <t xml:space="preserve">1814FS</t>
  </si>
  <si>
    <t xml:space="preserve">MSP-1816</t>
  </si>
  <si>
    <t xml:space="preserve">1.3.1.14.1.6</t>
  </si>
  <si>
    <t xml:space="preserve">MSP-1817</t>
  </si>
  <si>
    <t xml:space="preserve">1.3.1.14.1.7</t>
  </si>
  <si>
    <t xml:space="preserve">1816FS</t>
  </si>
  <si>
    <t xml:space="preserve">MSP-1818</t>
  </si>
  <si>
    <t xml:space="preserve">1.3.1.14.2</t>
  </si>
  <si>
    <t xml:space="preserve">MSP-1819</t>
  </si>
  <si>
    <t xml:space="preserve">1.3.1.14.2.1</t>
  </si>
  <si>
    <t xml:space="preserve">MSP-1820</t>
  </si>
  <si>
    <t xml:space="preserve">1.3.1.14.2.1.1</t>
  </si>
  <si>
    <t xml:space="preserve">1817FS</t>
  </si>
  <si>
    <t xml:space="preserve">MSP-1821</t>
  </si>
  <si>
    <t xml:space="preserve">1.3.1.14.2.2</t>
  </si>
  <si>
    <t xml:space="preserve">MSP-1822</t>
  </si>
  <si>
    <t xml:space="preserve">1.3.1.14.2.2.1</t>
  </si>
  <si>
    <t xml:space="preserve">1823FS</t>
  </si>
  <si>
    <t xml:space="preserve">MSP-1823</t>
  </si>
  <si>
    <t xml:space="preserve">1.3.1.14.2.2.2</t>
  </si>
  <si>
    <t xml:space="preserve">1820FS</t>
  </si>
  <si>
    <t xml:space="preserve">MSP-1824</t>
  </si>
  <si>
    <t xml:space="preserve">1.3.1.14.2.3</t>
  </si>
  <si>
    <t xml:space="preserve">MSP-1825</t>
  </si>
  <si>
    <t xml:space="preserve">1.3.1.14.2.3.1</t>
  </si>
  <si>
    <t xml:space="preserve">1826FS</t>
  </si>
  <si>
    <t xml:space="preserve">MSP-1826</t>
  </si>
  <si>
    <t xml:space="preserve">1.3.1.14.2.3.2</t>
  </si>
  <si>
    <t xml:space="preserve">1822FS</t>
  </si>
  <si>
    <t xml:space="preserve">MSP-1827</t>
  </si>
  <si>
    <t xml:space="preserve">1.3.1.14.2.3.3</t>
  </si>
  <si>
    <t xml:space="preserve">CURADO DE CONCRETO DE ELEMENTOS VERTICALES Y HORIZONTALES</t>
  </si>
  <si>
    <t xml:space="preserve">MSP-1828</t>
  </si>
  <si>
    <t xml:space="preserve">1.3.1.14.2.4</t>
  </si>
  <si>
    <t xml:space="preserve">MSP-1829</t>
  </si>
  <si>
    <t xml:space="preserve">1.3.1.14.2.4.1</t>
  </si>
  <si>
    <t xml:space="preserve">1830FS</t>
  </si>
  <si>
    <t xml:space="preserve">MSP-1830</t>
  </si>
  <si>
    <t xml:space="preserve">1.3.1.14.2.4.2</t>
  </si>
  <si>
    <t xml:space="preserve">MSP-1831</t>
  </si>
  <si>
    <t xml:space="preserve">1.3.1.14.2.5</t>
  </si>
  <si>
    <t xml:space="preserve">MSP-1832</t>
  </si>
  <si>
    <t xml:space="preserve">1.3.1.14.2.5.1</t>
  </si>
  <si>
    <t xml:space="preserve">MSP-1833</t>
  </si>
  <si>
    <t xml:space="preserve">1.3.1.14.3</t>
  </si>
  <si>
    <t xml:space="preserve">MSP-1834</t>
  </si>
  <si>
    <t xml:space="preserve">1.3.1.14.3.1</t>
  </si>
  <si>
    <t xml:space="preserve">MSP-1835</t>
  </si>
  <si>
    <t xml:space="preserve">1.3.1.14.3.1.1</t>
  </si>
  <si>
    <t xml:space="preserve">1836FS</t>
  </si>
  <si>
    <t xml:space="preserve">MSP-1836</t>
  </si>
  <si>
    <t xml:space="preserve">1.3.1.14.3.1.2</t>
  </si>
  <si>
    <t xml:space="preserve">1837FS</t>
  </si>
  <si>
    <t xml:space="preserve">MSP-1837</t>
  </si>
  <si>
    <t xml:space="preserve">1.3.1.14.3.1.3</t>
  </si>
  <si>
    <t xml:space="preserve">1829FS</t>
  </si>
  <si>
    <t xml:space="preserve">MSP-1838</t>
  </si>
  <si>
    <t xml:space="preserve">1.3.1.14.3.1.4</t>
  </si>
  <si>
    <t xml:space="preserve">1835FS</t>
  </si>
  <si>
    <t xml:space="preserve">MSP-1839</t>
  </si>
  <si>
    <t xml:space="preserve">1.3.1.14.3.2</t>
  </si>
  <si>
    <t xml:space="preserve">MSP-1840</t>
  </si>
  <si>
    <t xml:space="preserve">1.3.1.14.3.2.1</t>
  </si>
  <si>
    <t xml:space="preserve">1841FS</t>
  </si>
  <si>
    <t xml:space="preserve">MSP-1841</t>
  </si>
  <si>
    <t xml:space="preserve">1.3.1.14.3.2.2</t>
  </si>
  <si>
    <t xml:space="preserve">1842FS</t>
  </si>
  <si>
    <t xml:space="preserve">MSP-1842</t>
  </si>
  <si>
    <t xml:space="preserve">1.3.1.14.3.2.3</t>
  </si>
  <si>
    <t xml:space="preserve">1837SS</t>
  </si>
  <si>
    <t xml:space="preserve">MSP-1843</t>
  </si>
  <si>
    <t xml:space="preserve">1.3.1.14.3.2.4</t>
  </si>
  <si>
    <t xml:space="preserve">1840FS</t>
  </si>
  <si>
    <t xml:space="preserve">MSP-1844</t>
  </si>
  <si>
    <t xml:space="preserve">1.3.1.14.3.3</t>
  </si>
  <si>
    <t xml:space="preserve">MSP-1845</t>
  </si>
  <si>
    <t xml:space="preserve">1.3.1.14.3.3.1</t>
  </si>
  <si>
    <t xml:space="preserve">MSP-1846</t>
  </si>
  <si>
    <t xml:space="preserve">1.3.1.14.3.3.1.1</t>
  </si>
  <si>
    <t xml:space="preserve">1847FS</t>
  </si>
  <si>
    <t xml:space="preserve">MSP-1847</t>
  </si>
  <si>
    <t xml:space="preserve">1.3.1.14.3.3.1.2</t>
  </si>
  <si>
    <t xml:space="preserve">1848FS</t>
  </si>
  <si>
    <t xml:space="preserve">MSP-1848</t>
  </si>
  <si>
    <t xml:space="preserve">1.3.1.14.3.3.1.3</t>
  </si>
  <si>
    <t xml:space="preserve">MSP-1849</t>
  </si>
  <si>
    <t xml:space="preserve">1.3.1.14.3.3.1.4</t>
  </si>
  <si>
    <t xml:space="preserve">1846FS</t>
  </si>
  <si>
    <t xml:space="preserve">MSP-1850</t>
  </si>
  <si>
    <t xml:space="preserve">1.3.1.14.3.3.2</t>
  </si>
  <si>
    <t xml:space="preserve">MSP-1851</t>
  </si>
  <si>
    <t xml:space="preserve">1.3.1.14.3.3.2.1</t>
  </si>
  <si>
    <t xml:space="preserve">1852FS</t>
  </si>
  <si>
    <t xml:space="preserve">MSP-1852</t>
  </si>
  <si>
    <t xml:space="preserve">1.3.1.14.3.3.2.2</t>
  </si>
  <si>
    <t xml:space="preserve">1853FS</t>
  </si>
  <si>
    <t xml:space="preserve">MSP-1853</t>
  </si>
  <si>
    <t xml:space="preserve">1.3.1.14.3.3.2.3</t>
  </si>
  <si>
    <t xml:space="preserve">1868FS;1879FS</t>
  </si>
  <si>
    <t xml:space="preserve">MSP-1854</t>
  </si>
  <si>
    <t xml:space="preserve">1.3.1.14.3.3.2.4</t>
  </si>
  <si>
    <t xml:space="preserve">1851FS</t>
  </si>
  <si>
    <t xml:space="preserve">MSP-1855</t>
  </si>
  <si>
    <t xml:space="preserve">1.3.1.14.3.4</t>
  </si>
  <si>
    <t xml:space="preserve">MSP-1856</t>
  </si>
  <si>
    <t xml:space="preserve">1.3.1.14.3.4.1</t>
  </si>
  <si>
    <t xml:space="preserve">MSP-1857</t>
  </si>
  <si>
    <t xml:space="preserve">1.3.1.14.3.4.1.1</t>
  </si>
  <si>
    <t xml:space="preserve">1858FS</t>
  </si>
  <si>
    <t xml:space="preserve">MSP-1858</t>
  </si>
  <si>
    <t xml:space="preserve">1.3.1.14.3.4.1.2</t>
  </si>
  <si>
    <t xml:space="preserve">1859FS</t>
  </si>
  <si>
    <t xml:space="preserve">MSP-1859</t>
  </si>
  <si>
    <t xml:space="preserve">1.3.1.14.3.4.1.3</t>
  </si>
  <si>
    <t xml:space="preserve">1848SS</t>
  </si>
  <si>
    <t xml:space="preserve">MSP-1860</t>
  </si>
  <si>
    <t xml:space="preserve">1.3.1.14.3.4.1.4</t>
  </si>
  <si>
    <t xml:space="preserve">1857FS</t>
  </si>
  <si>
    <t xml:space="preserve">MSP-1861</t>
  </si>
  <si>
    <t xml:space="preserve">1.3.1.14.3.4.2</t>
  </si>
  <si>
    <t xml:space="preserve">MSP-1862</t>
  </si>
  <si>
    <t xml:space="preserve">1.3.1.14.3.4.2.1</t>
  </si>
  <si>
    <t xml:space="preserve">1863FS</t>
  </si>
  <si>
    <t xml:space="preserve">MSP-1863</t>
  </si>
  <si>
    <t xml:space="preserve">1.3.1.14.3.4.2.2</t>
  </si>
  <si>
    <t xml:space="preserve">1864FS</t>
  </si>
  <si>
    <t xml:space="preserve">MSP-1864</t>
  </si>
  <si>
    <t xml:space="preserve">1.3.1.14.3.4.2.3</t>
  </si>
  <si>
    <t xml:space="preserve">1843SS</t>
  </si>
  <si>
    <t xml:space="preserve">MSP-1865</t>
  </si>
  <si>
    <t xml:space="preserve">1.3.1.14.3.4.2.4</t>
  </si>
  <si>
    <t xml:space="preserve">1862FS</t>
  </si>
  <si>
    <t xml:space="preserve">MSP-1866</t>
  </si>
  <si>
    <t xml:space="preserve">1.3.1.14.3.5</t>
  </si>
  <si>
    <t xml:space="preserve">MSP-1867</t>
  </si>
  <si>
    <t xml:space="preserve">1.3.1.14.3.5.1</t>
  </si>
  <si>
    <t xml:space="preserve">MSP-1868</t>
  </si>
  <si>
    <t xml:space="preserve">1.3.1.14.3.5.1.1</t>
  </si>
  <si>
    <t xml:space="preserve">1869FS</t>
  </si>
  <si>
    <t xml:space="preserve">MSP-1869</t>
  </si>
  <si>
    <t xml:space="preserve">1.3.1.14.3.5.1.2</t>
  </si>
  <si>
    <t xml:space="preserve">1870FS</t>
  </si>
  <si>
    <t xml:space="preserve">MSP-1870</t>
  </si>
  <si>
    <t xml:space="preserve">1.3.1.14.3.5.1.3</t>
  </si>
  <si>
    <t xml:space="preserve">1857FS;1846FS</t>
  </si>
  <si>
    <t xml:space="preserve">MSP-1871</t>
  </si>
  <si>
    <t xml:space="preserve">1.3.1.14.3.5.1.4</t>
  </si>
  <si>
    <t xml:space="preserve">1868FS</t>
  </si>
  <si>
    <t xml:space="preserve">MSP-1872</t>
  </si>
  <si>
    <t xml:space="preserve">1.3.1.14.3.5.2</t>
  </si>
  <si>
    <t xml:space="preserve">MSP-1873</t>
  </si>
  <si>
    <t xml:space="preserve">1.3.1.14.3.5.2.1</t>
  </si>
  <si>
    <t xml:space="preserve">1874FS</t>
  </si>
  <si>
    <t xml:space="preserve">MSP-1874</t>
  </si>
  <si>
    <t xml:space="preserve">1.3.1.14.3.5.2.2</t>
  </si>
  <si>
    <t xml:space="preserve">1875FS</t>
  </si>
  <si>
    <t xml:space="preserve">MSP-1875</t>
  </si>
  <si>
    <t xml:space="preserve">1.3.1.14.3.5.2.3</t>
  </si>
  <si>
    <t xml:space="preserve">1851FS;1862FS</t>
  </si>
  <si>
    <t xml:space="preserve">MSP-1876</t>
  </si>
  <si>
    <t xml:space="preserve">1.3.1.14.3.5.2.4</t>
  </si>
  <si>
    <t xml:space="preserve">1873FS</t>
  </si>
  <si>
    <t xml:space="preserve">MSP-1877</t>
  </si>
  <si>
    <t xml:space="preserve">1.3.1.14.3.6</t>
  </si>
  <si>
    <t xml:space="preserve">MSP-1878</t>
  </si>
  <si>
    <t xml:space="preserve">1.3.1.14.3.6.1</t>
  </si>
  <si>
    <t xml:space="preserve">MSP-1879</t>
  </si>
  <si>
    <t xml:space="preserve">1.3.1.14.3.6.1.1</t>
  </si>
  <si>
    <t xml:space="preserve">1881FS</t>
  </si>
  <si>
    <t xml:space="preserve">MSP-1880</t>
  </si>
  <si>
    <t xml:space="preserve">1.3.1.14.3.6.1.2</t>
  </si>
  <si>
    <t xml:space="preserve">1869SS</t>
  </si>
  <si>
    <t xml:space="preserve">MSP-1881</t>
  </si>
  <si>
    <t xml:space="preserve">1.3.1.14.3.6.1.3</t>
  </si>
  <si>
    <t xml:space="preserve">1882FS</t>
  </si>
  <si>
    <t xml:space="preserve">MSP-1882</t>
  </si>
  <si>
    <t xml:space="preserve">1.3.1.14.3.6.1.4</t>
  </si>
  <si>
    <t xml:space="preserve">1880FS</t>
  </si>
  <si>
    <t xml:space="preserve">MSP-1883</t>
  </si>
  <si>
    <t xml:space="preserve">1.3.1.14.3.6.1.5</t>
  </si>
  <si>
    <t xml:space="preserve">1879FS</t>
  </si>
  <si>
    <t xml:space="preserve">MSP-1884</t>
  </si>
  <si>
    <t xml:space="preserve">1.3.1.14.3.6.2</t>
  </si>
  <si>
    <t xml:space="preserve">MSP-1885</t>
  </si>
  <si>
    <t xml:space="preserve">1.3.1.14.3.6.2.1</t>
  </si>
  <si>
    <t xml:space="preserve">1887FS</t>
  </si>
  <si>
    <t xml:space="preserve">MSP-1886</t>
  </si>
  <si>
    <t xml:space="preserve">1.3.1.14.3.6.2.2</t>
  </si>
  <si>
    <t xml:space="preserve">1874SS</t>
  </si>
  <si>
    <t xml:space="preserve">MSP-1887</t>
  </si>
  <si>
    <t xml:space="preserve">1.3.1.14.3.6.2.3</t>
  </si>
  <si>
    <t xml:space="preserve">1888FS</t>
  </si>
  <si>
    <t xml:space="preserve">MSP-1888</t>
  </si>
  <si>
    <t xml:space="preserve">1.3.1.14.3.6.2.4</t>
  </si>
  <si>
    <t xml:space="preserve">1886FS</t>
  </si>
  <si>
    <t xml:space="preserve">MSP-1889</t>
  </si>
  <si>
    <t xml:space="preserve">1.3.1.14.3.6.2.5</t>
  </si>
  <si>
    <t xml:space="preserve">1885FS</t>
  </si>
  <si>
    <t xml:space="preserve">MSP-1890</t>
  </si>
  <si>
    <t xml:space="preserve">1.3.1.14.3.7</t>
  </si>
  <si>
    <t xml:space="preserve">MSP-1891</t>
  </si>
  <si>
    <t xml:space="preserve">1.3.1.14.3.7.1</t>
  </si>
  <si>
    <t xml:space="preserve">MSP-1892</t>
  </si>
  <si>
    <t xml:space="preserve">1.3.1.14.3.7.1.1</t>
  </si>
  <si>
    <t xml:space="preserve">1893FS</t>
  </si>
  <si>
    <t xml:space="preserve">MSP-1893</t>
  </si>
  <si>
    <t xml:space="preserve">1.3.1.14.3.7.1.2</t>
  </si>
  <si>
    <t xml:space="preserve">1894FS</t>
  </si>
  <si>
    <t xml:space="preserve">MSP-1894</t>
  </si>
  <si>
    <t xml:space="preserve">1.3.1.14.3.7.1.3</t>
  </si>
  <si>
    <t xml:space="preserve">2966FS</t>
  </si>
  <si>
    <t xml:space="preserve">MSP-1895</t>
  </si>
  <si>
    <t xml:space="preserve">1.3.1.14.3.7.1.4</t>
  </si>
  <si>
    <t xml:space="preserve">1892FS</t>
  </si>
  <si>
    <t xml:space="preserve">MSP-1896</t>
  </si>
  <si>
    <t xml:space="preserve">1.3.1.14.3.7.2</t>
  </si>
  <si>
    <t xml:space="preserve">MSP-1897</t>
  </si>
  <si>
    <t xml:space="preserve">1.3.1.14.3.7.2.1</t>
  </si>
  <si>
    <t xml:space="preserve">1898FS</t>
  </si>
  <si>
    <t xml:space="preserve">MSP-1898</t>
  </si>
  <si>
    <t xml:space="preserve">1.3.1.14.3.7.2.2</t>
  </si>
  <si>
    <t xml:space="preserve">1899FS</t>
  </si>
  <si>
    <t xml:space="preserve">MSP-1899</t>
  </si>
  <si>
    <t xml:space="preserve">1.3.1.14.3.7.2.3</t>
  </si>
  <si>
    <t xml:space="preserve">MSP-1900</t>
  </si>
  <si>
    <t xml:space="preserve">1.3.1.14.3.7.2.4</t>
  </si>
  <si>
    <t xml:space="preserve">1897FS</t>
  </si>
  <si>
    <t xml:space="preserve">MSP-1901</t>
  </si>
  <si>
    <t xml:space="preserve">1.3.1.14.3.7.3</t>
  </si>
  <si>
    <t xml:space="preserve">MSP-1902</t>
  </si>
  <si>
    <t xml:space="preserve">1.3.1.14.3.7.3.1</t>
  </si>
  <si>
    <t xml:space="preserve">1903FS</t>
  </si>
  <si>
    <t xml:space="preserve">MSP-1903</t>
  </si>
  <si>
    <t xml:space="preserve">1.3.1.14.3.7.3.2</t>
  </si>
  <si>
    <t xml:space="preserve">1904FS</t>
  </si>
  <si>
    <t xml:space="preserve">MSP-1904</t>
  </si>
  <si>
    <t xml:space="preserve">1.3.1.14.3.7.3.3</t>
  </si>
  <si>
    <t xml:space="preserve">MSP-1905</t>
  </si>
  <si>
    <t xml:space="preserve">1.3.1.14.3.7.3.4</t>
  </si>
  <si>
    <t xml:space="preserve">1902FS</t>
  </si>
  <si>
    <t xml:space="preserve">MSP-1906</t>
  </si>
  <si>
    <t xml:space="preserve">1.3.1.14.3.8</t>
  </si>
  <si>
    <t xml:space="preserve">MSP-1907</t>
  </si>
  <si>
    <t xml:space="preserve">1.3.1.14.3.8.1</t>
  </si>
  <si>
    <t xml:space="preserve">MSP-1908</t>
  </si>
  <si>
    <t xml:space="preserve">1.3.1.14.3.8.1.1</t>
  </si>
  <si>
    <t xml:space="preserve">1909FS</t>
  </si>
  <si>
    <t xml:space="preserve">MSP-1909</t>
  </si>
  <si>
    <t xml:space="preserve">1.3.1.14.3.8.1.2</t>
  </si>
  <si>
    <t xml:space="preserve">1910FS</t>
  </si>
  <si>
    <t xml:space="preserve">MSP-1910</t>
  </si>
  <si>
    <t xml:space="preserve">1.3.1.14.3.8.1.3</t>
  </si>
  <si>
    <t xml:space="preserve">1894SS</t>
  </si>
  <si>
    <t xml:space="preserve">MSP-1911</t>
  </si>
  <si>
    <t xml:space="preserve">1.3.1.14.3.8.1.4</t>
  </si>
  <si>
    <t xml:space="preserve">1908FS</t>
  </si>
  <si>
    <t xml:space="preserve">MSP-1912</t>
  </si>
  <si>
    <t xml:space="preserve">1.3.1.14.3.8.2</t>
  </si>
  <si>
    <t xml:space="preserve">MSP-1913</t>
  </si>
  <si>
    <t xml:space="preserve">1.3.1.14.3.8.2.1</t>
  </si>
  <si>
    <t xml:space="preserve">1914FS</t>
  </si>
  <si>
    <t xml:space="preserve">MSP-1914</t>
  </si>
  <si>
    <t xml:space="preserve">1.3.1.14.3.8.2.2</t>
  </si>
  <si>
    <t xml:space="preserve">1915FS</t>
  </si>
  <si>
    <t xml:space="preserve">MSP-1915</t>
  </si>
  <si>
    <t xml:space="preserve">1.3.1.14.3.8.2.3</t>
  </si>
  <si>
    <t xml:space="preserve">1899SS</t>
  </si>
  <si>
    <t xml:space="preserve">MSP-1916</t>
  </si>
  <si>
    <t xml:space="preserve">1.3.1.14.3.8.2.4</t>
  </si>
  <si>
    <t xml:space="preserve">1913FS</t>
  </si>
  <si>
    <t xml:space="preserve">MSP-1917</t>
  </si>
  <si>
    <t xml:space="preserve">1.3.1.14.3.8.3</t>
  </si>
  <si>
    <t xml:space="preserve">MSP-1918</t>
  </si>
  <si>
    <t xml:space="preserve">1.3.1.14.3.8.3.1</t>
  </si>
  <si>
    <t xml:space="preserve">1919FS</t>
  </si>
  <si>
    <t xml:space="preserve">MSP-1919</t>
  </si>
  <si>
    <t xml:space="preserve">1.3.1.14.3.8.3.2</t>
  </si>
  <si>
    <t xml:space="preserve">1920FS</t>
  </si>
  <si>
    <t xml:space="preserve">MSP-1920</t>
  </si>
  <si>
    <t xml:space="preserve">1.3.1.14.3.8.3.3</t>
  </si>
  <si>
    <t xml:space="preserve">1904SS</t>
  </si>
  <si>
    <t xml:space="preserve">MSP-1921</t>
  </si>
  <si>
    <t xml:space="preserve">1.3.1.14.3.8.3.4</t>
  </si>
  <si>
    <t xml:space="preserve">1918FS</t>
  </si>
  <si>
    <t xml:space="preserve">MSP-1922</t>
  </si>
  <si>
    <t xml:space="preserve">1.3.1.14.3.9</t>
  </si>
  <si>
    <t xml:space="preserve">MSP-1923</t>
  </si>
  <si>
    <t xml:space="preserve">1.3.1.14.3.9.1</t>
  </si>
  <si>
    <t xml:space="preserve">1924FS</t>
  </si>
  <si>
    <t xml:space="preserve">MSP-1924</t>
  </si>
  <si>
    <t xml:space="preserve">1.3.1.14.3.9.2</t>
  </si>
  <si>
    <t xml:space="preserve">1925FS</t>
  </si>
  <si>
    <t xml:space="preserve">MSP-1925</t>
  </si>
  <si>
    <t xml:space="preserve">1.3.1.14.3.9.3</t>
  </si>
  <si>
    <t xml:space="preserve">MSP-1926</t>
  </si>
  <si>
    <t xml:space="preserve">1.3.1.14.3.9.4</t>
  </si>
  <si>
    <t xml:space="preserve">1923FS</t>
  </si>
  <si>
    <t xml:space="preserve">MSP-1927</t>
  </si>
  <si>
    <t xml:space="preserve">1.3.1.14.4</t>
  </si>
  <si>
    <t xml:space="preserve">MSP-1928</t>
  </si>
  <si>
    <t xml:space="preserve">1.3.1.14.4.1</t>
  </si>
  <si>
    <t xml:space="preserve">1889FS</t>
  </si>
  <si>
    <t xml:space="preserve">MSP-1929</t>
  </si>
  <si>
    <t xml:space="preserve">1.3.1.14.4.2</t>
  </si>
  <si>
    <t xml:space="preserve">1928FS</t>
  </si>
  <si>
    <t xml:space="preserve">MSP-1930</t>
  </si>
  <si>
    <t xml:space="preserve">1.3.1.15</t>
  </si>
  <si>
    <t xml:space="preserve">CAMINERÍAS INTERIORES Y EXTERIORES, OBRAS COMPLEMENTARIAS</t>
  </si>
  <si>
    <t xml:space="preserve">MSP-1931</t>
  </si>
  <si>
    <t xml:space="preserve">1.3.1.15.1</t>
  </si>
  <si>
    <t xml:space="preserve">MSP-1932</t>
  </si>
  <si>
    <t xml:space="preserve">1.3.1.15.1.1</t>
  </si>
  <si>
    <t xml:space="preserve">LIMPIEZA DE TERRENO DURANTE LA OBRA</t>
  </si>
  <si>
    <t xml:space="preserve">2FS+40.0d</t>
  </si>
  <si>
    <t xml:space="preserve">MSP-1933</t>
  </si>
  <si>
    <t xml:space="preserve">1.3.1.15.1.2</t>
  </si>
  <si>
    <t xml:space="preserve">TRAZO, NIVELACION Y REPLANTEO DURANTE OBRA</t>
  </si>
  <si>
    <t xml:space="preserve">1932FS</t>
  </si>
  <si>
    <t xml:space="preserve">MSP-1934</t>
  </si>
  <si>
    <t xml:space="preserve">1.3.1.15.2</t>
  </si>
  <si>
    <t xml:space="preserve">MSP-1935</t>
  </si>
  <si>
    <t xml:space="preserve">1.3.1.15.2.1</t>
  </si>
  <si>
    <t xml:space="preserve">1933FS</t>
  </si>
  <si>
    <t xml:space="preserve">MSP-1936</t>
  </si>
  <si>
    <t xml:space="preserve">1.3.1.15.2.2</t>
  </si>
  <si>
    <t xml:space="preserve">1935FS</t>
  </si>
  <si>
    <t xml:space="preserve">MSP-1937</t>
  </si>
  <si>
    <t xml:space="preserve">1.3.1.15.2.3</t>
  </si>
  <si>
    <t xml:space="preserve">1936FS</t>
  </si>
  <si>
    <t xml:space="preserve">MSP-1938</t>
  </si>
  <si>
    <t xml:space="preserve">1.3.1.15.2.4</t>
  </si>
  <si>
    <t xml:space="preserve">1937FS</t>
  </si>
  <si>
    <t xml:space="preserve">MSP-1939</t>
  </si>
  <si>
    <t xml:space="preserve">1.3.1.15.3</t>
  </si>
  <si>
    <t xml:space="preserve">CAMINERIAS INTERIORES Y EXTERIORES</t>
  </si>
  <si>
    <t xml:space="preserve">MSP-1940</t>
  </si>
  <si>
    <t xml:space="preserve">1.3.1.15.3.1</t>
  </si>
  <si>
    <t xml:space="preserve">MSP-1941</t>
  </si>
  <si>
    <t xml:space="preserve">1.3.1.15.3.1.1</t>
  </si>
  <si>
    <t xml:space="preserve">1942FS</t>
  </si>
  <si>
    <t xml:space="preserve">MSP-1942</t>
  </si>
  <si>
    <t xml:space="preserve">1.3.1.15.3.1.2</t>
  </si>
  <si>
    <t xml:space="preserve">1938FS</t>
  </si>
  <si>
    <t xml:space="preserve">MSP-1943</t>
  </si>
  <si>
    <t xml:space="preserve">1.3.1.15.3.2</t>
  </si>
  <si>
    <t xml:space="preserve">OBRAS DE  CONCRETO SIMPLE</t>
  </si>
  <si>
    <t xml:space="preserve">MSP-1944</t>
  </si>
  <si>
    <t xml:space="preserve">1.3.1.15.3.2.1</t>
  </si>
  <si>
    <t xml:space="preserve">SARDINEL DE CONCRETO</t>
  </si>
  <si>
    <t xml:space="preserve">MSP-1945</t>
  </si>
  <si>
    <t xml:space="preserve">1.3.1.15.3.2.1.1</t>
  </si>
  <si>
    <t xml:space="preserve">SARDINEL DE CONCRETO F'C=175 KG/CM2</t>
  </si>
  <si>
    <t xml:space="preserve">1946FS</t>
  </si>
  <si>
    <t xml:space="preserve">MSP-1946</t>
  </si>
  <si>
    <t xml:space="preserve">1.3.1.15.3.2.1.2</t>
  </si>
  <si>
    <t xml:space="preserve">ENCOFRADO Y DESENCOFRADO CARAVISTA</t>
  </si>
  <si>
    <t xml:space="preserve">1941FS</t>
  </si>
  <si>
    <t xml:space="preserve">MSP-1947</t>
  </si>
  <si>
    <t xml:space="preserve">1.3.1.15.3.2.2</t>
  </si>
  <si>
    <t xml:space="preserve">MSP-1948</t>
  </si>
  <si>
    <t xml:space="preserve">1.3.1.15.3.2.2.1</t>
  </si>
  <si>
    <t xml:space="preserve">MSP-1949</t>
  </si>
  <si>
    <t xml:space="preserve">1.3.1.15.3.3</t>
  </si>
  <si>
    <t xml:space="preserve">MSP-1950</t>
  </si>
  <si>
    <t xml:space="preserve">1.3.1.15.3.3.1</t>
  </si>
  <si>
    <t xml:space="preserve">1945FS</t>
  </si>
  <si>
    <t xml:space="preserve">MSP-1951</t>
  </si>
  <si>
    <t xml:space="preserve">1.3.1.15.3.3.2</t>
  </si>
  <si>
    <t xml:space="preserve">JUNTAS DE DILATACION CON MEZCLA ASFALTICA DE E=1"</t>
  </si>
  <si>
    <t xml:space="preserve">1950FS</t>
  </si>
  <si>
    <t xml:space="preserve">MSP-1952</t>
  </si>
  <si>
    <t xml:space="preserve">1.3.1.15.4</t>
  </si>
  <si>
    <t xml:space="preserve">LOSA MULTIUSOS</t>
  </si>
  <si>
    <t xml:space="preserve">MSP-1953</t>
  </si>
  <si>
    <t xml:space="preserve">1.3.1.15.4.1</t>
  </si>
  <si>
    <t xml:space="preserve">MSP-1954</t>
  </si>
  <si>
    <t xml:space="preserve">1.3.1.15.4.1.1</t>
  </si>
  <si>
    <t xml:space="preserve">EXCAVACIÓN MANUAL PARA ZAPATAS</t>
  </si>
  <si>
    <t xml:space="preserve">MSP-1955</t>
  </si>
  <si>
    <t xml:space="preserve">1.3.1.15.4.1.2</t>
  </si>
  <si>
    <t xml:space="preserve">1954FS</t>
  </si>
  <si>
    <t xml:space="preserve">MSP-1956</t>
  </si>
  <si>
    <t xml:space="preserve">1.3.1.15.4.1.3</t>
  </si>
  <si>
    <t xml:space="preserve">1955FS</t>
  </si>
  <si>
    <t xml:space="preserve">MSP-1957</t>
  </si>
  <si>
    <t xml:space="preserve">1.3.1.15.4.1.4</t>
  </si>
  <si>
    <t xml:space="preserve">1956FS</t>
  </si>
  <si>
    <t xml:space="preserve">MSP-1958</t>
  </si>
  <si>
    <t xml:space="preserve">1.3.1.15.4.1.5</t>
  </si>
  <si>
    <t xml:space="preserve">1957FS</t>
  </si>
  <si>
    <t xml:space="preserve">MSP-1959</t>
  </si>
  <si>
    <t xml:space="preserve">1.3.1.15.4.1.6</t>
  </si>
  <si>
    <t xml:space="preserve">1958FS</t>
  </si>
  <si>
    <t xml:space="preserve">MSP-1960</t>
  </si>
  <si>
    <t xml:space="preserve">1.3.1.15.4.2</t>
  </si>
  <si>
    <t xml:space="preserve">MSP-1961</t>
  </si>
  <si>
    <t xml:space="preserve">1.3.1.15.4.2.1</t>
  </si>
  <si>
    <t xml:space="preserve">1959FS</t>
  </si>
  <si>
    <t xml:space="preserve">MSP-1962</t>
  </si>
  <si>
    <t xml:space="preserve">1.3.1.15.4.3</t>
  </si>
  <si>
    <t xml:space="preserve">MSP-1963</t>
  </si>
  <si>
    <t xml:space="preserve">1.3.1.15.4.3.1</t>
  </si>
  <si>
    <t xml:space="preserve">1961FS</t>
  </si>
  <si>
    <t xml:space="preserve">MSP-1964</t>
  </si>
  <si>
    <t xml:space="preserve">1.3.1.15.4.3.2</t>
  </si>
  <si>
    <t xml:space="preserve">1963FS</t>
  </si>
  <si>
    <t xml:space="preserve">MSP-1965</t>
  </si>
  <si>
    <t xml:space="preserve">1.3.1.15.5</t>
  </si>
  <si>
    <t xml:space="preserve">COBERTURAS METÁLICAS</t>
  </si>
  <si>
    <t xml:space="preserve">MSP-1966</t>
  </si>
  <si>
    <t xml:space="preserve">1.3.1.15.5.1</t>
  </si>
  <si>
    <t xml:space="preserve">COBERTURA 01</t>
  </si>
  <si>
    <t xml:space="preserve">MSP-1967</t>
  </si>
  <si>
    <t xml:space="preserve">1.3.1.15.5.1.1</t>
  </si>
  <si>
    <t xml:space="preserve">TIJERAL COBERTURA 1 DE F° N° INC. PINT. ANTICORROSIVA Y ESMALTE</t>
  </si>
  <si>
    <t xml:space="preserve">1968FS</t>
  </si>
  <si>
    <t xml:space="preserve">MSP-1968</t>
  </si>
  <si>
    <t xml:space="preserve">1.3.1.15.5.1.2</t>
  </si>
  <si>
    <t xml:space="preserve">1969FS</t>
  </si>
  <si>
    <t xml:space="preserve">MSP-1969</t>
  </si>
  <si>
    <t xml:space="preserve">1.3.1.15.5.1.3</t>
  </si>
  <si>
    <t xml:space="preserve">ANCLAJE METALICO (EMPERNADO) A VIGA C°A°</t>
  </si>
  <si>
    <t xml:space="preserve">MSP-1970</t>
  </si>
  <si>
    <t xml:space="preserve">1.3.1.15.5.1.4</t>
  </si>
  <si>
    <t xml:space="preserve">1967FS</t>
  </si>
  <si>
    <t xml:space="preserve">MSP-1971</t>
  </si>
  <si>
    <t xml:space="preserve">1.3.1.15.5.2</t>
  </si>
  <si>
    <t xml:space="preserve">COBERTURA 03</t>
  </si>
  <si>
    <t xml:space="preserve">MSP-1972</t>
  </si>
  <si>
    <t xml:space="preserve">1.3.1.15.5.2.1</t>
  </si>
  <si>
    <t xml:space="preserve">TIJERAL COBERTURA 3 DE F° N° INC. PINT. ANTICORROSIVA Y ESMALTE</t>
  </si>
  <si>
    <t xml:space="preserve">1973FS</t>
  </si>
  <si>
    <t xml:space="preserve">MSP-1973</t>
  </si>
  <si>
    <t xml:space="preserve">1.3.1.15.5.2.2</t>
  </si>
  <si>
    <t xml:space="preserve">1974FS</t>
  </si>
  <si>
    <t xml:space="preserve">MSP-1974</t>
  </si>
  <si>
    <t xml:space="preserve">1.3.1.15.5.2.3</t>
  </si>
  <si>
    <t xml:space="preserve">1970FS</t>
  </si>
  <si>
    <t xml:space="preserve">MSP-1975</t>
  </si>
  <si>
    <t xml:space="preserve">1.3.1.15.5.2.4</t>
  </si>
  <si>
    <t xml:space="preserve">1972FS</t>
  </si>
  <si>
    <t xml:space="preserve">MSP-1976</t>
  </si>
  <si>
    <t xml:space="preserve">1.3.1.15.5.3</t>
  </si>
  <si>
    <t xml:space="preserve">COBERTURA 04</t>
  </si>
  <si>
    <t xml:space="preserve">MSP-1977</t>
  </si>
  <si>
    <t xml:space="preserve">1.3.1.15.5.3.1</t>
  </si>
  <si>
    <t xml:space="preserve">TIJERAL C/ TUBO DE FIERRO NEGRO 50X50X3.0MM INC. PINT. ANTICORROSIVA Y ESMALTE</t>
  </si>
  <si>
    <t xml:space="preserve">1984FS</t>
  </si>
  <si>
    <t xml:space="preserve">MSP-1978</t>
  </si>
  <si>
    <t xml:space="preserve">1.3.1.15.5.3.2</t>
  </si>
  <si>
    <t xml:space="preserve">TIJERAL C/ TUBO DE FIERRO NEGRO 50X100X3.0MM INC. PINT. ANTICORROSIVA Y ESMALTE</t>
  </si>
  <si>
    <t xml:space="preserve">MSP-1979</t>
  </si>
  <si>
    <t xml:space="preserve">1.3.1.15.5.3.3</t>
  </si>
  <si>
    <t xml:space="preserve">COLUMNA METÁLICA 50x100x3.0mm</t>
  </si>
  <si>
    <t xml:space="preserve">1982FS</t>
  </si>
  <si>
    <t xml:space="preserve">MSP-1980</t>
  </si>
  <si>
    <t xml:space="preserve">1.3.1.15.5.3.4</t>
  </si>
  <si>
    <t xml:space="preserve">COLUMNA METÁLICA 150x150x4.5mm</t>
  </si>
  <si>
    <t xml:space="preserve">1979SS;1982FS</t>
  </si>
  <si>
    <t xml:space="preserve">MSP-1981</t>
  </si>
  <si>
    <t xml:space="preserve">1.3.1.15.5.3.5</t>
  </si>
  <si>
    <t xml:space="preserve">APOYO COLUMNAS METALICAS</t>
  </si>
  <si>
    <t xml:space="preserve">MSP-1982</t>
  </si>
  <si>
    <t xml:space="preserve">1.3.1.15.5.3.6</t>
  </si>
  <si>
    <t xml:space="preserve">1975FS</t>
  </si>
  <si>
    <t xml:space="preserve">MSP-1983</t>
  </si>
  <si>
    <t xml:space="preserve">1.3.1.15.5.3.7</t>
  </si>
  <si>
    <t xml:space="preserve">1977FS;1978FS</t>
  </si>
  <si>
    <t xml:space="preserve">MSP-1984</t>
  </si>
  <si>
    <t xml:space="preserve">1.3.1.15.5.3.8</t>
  </si>
  <si>
    <t xml:space="preserve">1979FS;1980FS;1981FS</t>
  </si>
  <si>
    <t xml:space="preserve">MSP-1985</t>
  </si>
  <si>
    <t xml:space="preserve">1.3.1.15.5.4</t>
  </si>
  <si>
    <t xml:space="preserve">COBERTURA 05</t>
  </si>
  <si>
    <t xml:space="preserve">MSP-1986</t>
  </si>
  <si>
    <t xml:space="preserve">1.3.1.15.5.4.1</t>
  </si>
  <si>
    <t xml:space="preserve">1992FS</t>
  </si>
  <si>
    <t xml:space="preserve">MSP-1987</t>
  </si>
  <si>
    <t xml:space="preserve">1.3.1.15.5.4.2</t>
  </si>
  <si>
    <t xml:space="preserve">MSP-1988</t>
  </si>
  <si>
    <t xml:space="preserve">1.3.1.15.5.4.3</t>
  </si>
  <si>
    <t xml:space="preserve">COLUMNA METALICA 150X150X4.5mm</t>
  </si>
  <si>
    <t xml:space="preserve">1990FS</t>
  </si>
  <si>
    <t xml:space="preserve">MSP-1989</t>
  </si>
  <si>
    <t xml:space="preserve">1.3.1.15.5.4.4</t>
  </si>
  <si>
    <t xml:space="preserve">1988SS</t>
  </si>
  <si>
    <t xml:space="preserve">MSP-1990</t>
  </si>
  <si>
    <t xml:space="preserve">1.3.1.15.5.4.5</t>
  </si>
  <si>
    <t xml:space="preserve">1983FS</t>
  </si>
  <si>
    <t xml:space="preserve">MSP-1991</t>
  </si>
  <si>
    <t xml:space="preserve">1.3.1.15.5.4.6</t>
  </si>
  <si>
    <t xml:space="preserve">1986FS;1987FS</t>
  </si>
  <si>
    <t xml:space="preserve">MSP-1992</t>
  </si>
  <si>
    <t xml:space="preserve">1.3.1.15.5.4.7</t>
  </si>
  <si>
    <t xml:space="preserve">1988FS;1989FS</t>
  </si>
  <si>
    <t xml:space="preserve">MSP-1993</t>
  </si>
  <si>
    <t xml:space="preserve">1.3.1.15.5.5</t>
  </si>
  <si>
    <t xml:space="preserve">COBERTURA 06</t>
  </si>
  <si>
    <t xml:space="preserve">MSP-1994</t>
  </si>
  <si>
    <t xml:space="preserve">1.3.1.15.5.5.1</t>
  </si>
  <si>
    <t xml:space="preserve">COLUMNA METALICA 50X100X3mm</t>
  </si>
  <si>
    <t xml:space="preserve">1998FS</t>
  </si>
  <si>
    <t xml:space="preserve">MSP-1995</t>
  </si>
  <si>
    <t xml:space="preserve">1.3.1.15.5.5.2</t>
  </si>
  <si>
    <t xml:space="preserve">1996SS</t>
  </si>
  <si>
    <t xml:space="preserve">MSP-1996</t>
  </si>
  <si>
    <t xml:space="preserve">1.3.1.15.5.5.3</t>
  </si>
  <si>
    <t xml:space="preserve">1991FS</t>
  </si>
  <si>
    <t xml:space="preserve">MSP-1997</t>
  </si>
  <si>
    <t xml:space="preserve">1.3.1.15.5.5.4</t>
  </si>
  <si>
    <t xml:space="preserve">1994FS</t>
  </si>
  <si>
    <t xml:space="preserve">MSP-1998</t>
  </si>
  <si>
    <t xml:space="preserve">1.3.1.15.5.5.5</t>
  </si>
  <si>
    <t xml:space="preserve">1995FS;1996FS</t>
  </si>
  <si>
    <t xml:space="preserve">MSP-1999</t>
  </si>
  <si>
    <t xml:space="preserve">1.3.1.15.5.6</t>
  </si>
  <si>
    <t xml:space="preserve">COBERTURA 07</t>
  </si>
  <si>
    <t xml:space="preserve">MSP-2000</t>
  </si>
  <si>
    <t xml:space="preserve">1.3.1.15.5.6.1</t>
  </si>
  <si>
    <t xml:space="preserve">2004FS</t>
  </si>
  <si>
    <t xml:space="preserve">MSP-2001</t>
  </si>
  <si>
    <t xml:space="preserve">1.3.1.15.5.6.2</t>
  </si>
  <si>
    <t xml:space="preserve">2002SS</t>
  </si>
  <si>
    <t xml:space="preserve">MSP-2002</t>
  </si>
  <si>
    <t xml:space="preserve">1.3.1.15.5.6.3</t>
  </si>
  <si>
    <t xml:space="preserve">1997FS</t>
  </si>
  <si>
    <t xml:space="preserve">MSP-2003</t>
  </si>
  <si>
    <t xml:space="preserve">1.3.1.15.5.6.4</t>
  </si>
  <si>
    <t xml:space="preserve">2000FS</t>
  </si>
  <si>
    <t xml:space="preserve">MSP-2004</t>
  </si>
  <si>
    <t xml:space="preserve">1.3.1.15.5.6.5</t>
  </si>
  <si>
    <t xml:space="preserve">2001FS;2002FS</t>
  </si>
  <si>
    <t xml:space="preserve">MSP-2005</t>
  </si>
  <si>
    <t xml:space="preserve">1.3.1.15.5.7</t>
  </si>
  <si>
    <t xml:space="preserve">COBERTURA 08</t>
  </si>
  <si>
    <t xml:space="preserve">MSP-2006</t>
  </si>
  <si>
    <t xml:space="preserve">1.3.1.15.5.7.1</t>
  </si>
  <si>
    <t xml:space="preserve">TIJERAL C/ TUBO DE FIERRO NEGRO 50X50X3.0MM INC. PINT. ANTICORROSIVA Y ESMALTE (COBERTURA 8)</t>
  </si>
  <si>
    <t xml:space="preserve">2011FS</t>
  </si>
  <si>
    <t xml:space="preserve">MSP-2007</t>
  </si>
  <si>
    <t xml:space="preserve">1.3.1.15.5.7.2</t>
  </si>
  <si>
    <t xml:space="preserve">2008FS;2009FS</t>
  </si>
  <si>
    <t xml:space="preserve">MSP-2008</t>
  </si>
  <si>
    <t xml:space="preserve">1.3.1.15.5.7.3</t>
  </si>
  <si>
    <t xml:space="preserve">2009SS</t>
  </si>
  <si>
    <t xml:space="preserve">MSP-2009</t>
  </si>
  <si>
    <t xml:space="preserve">1.3.1.15.5.7.4</t>
  </si>
  <si>
    <t xml:space="preserve">2003FS</t>
  </si>
  <si>
    <t xml:space="preserve">MSP-2010</t>
  </si>
  <si>
    <t xml:space="preserve">1.3.1.15.5.7.5</t>
  </si>
  <si>
    <t xml:space="preserve">2006FS;2077FS</t>
  </si>
  <si>
    <t xml:space="preserve">MSP-2011</t>
  </si>
  <si>
    <t xml:space="preserve">1.3.1.15.5.7.6</t>
  </si>
  <si>
    <t xml:space="preserve">2007FS</t>
  </si>
  <si>
    <t xml:space="preserve">MSP-2012</t>
  </si>
  <si>
    <t xml:space="preserve">1.3.1.15.6</t>
  </si>
  <si>
    <t xml:space="preserve">ESTACIONAMIENTO</t>
  </si>
  <si>
    <t xml:space="preserve">MSP-2013</t>
  </si>
  <si>
    <t xml:space="preserve">1.3.1.15.6.1</t>
  </si>
  <si>
    <t xml:space="preserve">MSP-2014</t>
  </si>
  <si>
    <t xml:space="preserve">1.3.1.15.6.1.1</t>
  </si>
  <si>
    <t xml:space="preserve">1935SS</t>
  </si>
  <si>
    <t xml:space="preserve">MSP-2015</t>
  </si>
  <si>
    <t xml:space="preserve">1.3.1.15.6.1.2</t>
  </si>
  <si>
    <t xml:space="preserve">2014FS+3.0d</t>
  </si>
  <si>
    <t xml:space="preserve">MSP-2016</t>
  </si>
  <si>
    <t xml:space="preserve">1.3.1.15.6.1.3</t>
  </si>
  <si>
    <t xml:space="preserve">PERFILADO Y COMPACTADO DE LA SUBRASANTE</t>
  </si>
  <si>
    <t xml:space="preserve">2014FS</t>
  </si>
  <si>
    <t xml:space="preserve">MSP-2017</t>
  </si>
  <si>
    <t xml:space="preserve">1.3.1.15.6.1.4</t>
  </si>
  <si>
    <t xml:space="preserve">RIEGO DE LA SUBRASANTE</t>
  </si>
  <si>
    <t xml:space="preserve">2016FS</t>
  </si>
  <si>
    <t xml:space="preserve">MSP-2018</t>
  </si>
  <si>
    <t xml:space="preserve">1.3.1.15.6.2</t>
  </si>
  <si>
    <t xml:space="preserve">BASE</t>
  </si>
  <si>
    <t xml:space="preserve">MSP-2019</t>
  </si>
  <si>
    <t xml:space="preserve">1.3.1.15.6.2.1</t>
  </si>
  <si>
    <t xml:space="preserve">CARGUIO Y TRANSPORTE MATERIAL DE BASE</t>
  </si>
  <si>
    <t xml:space="preserve">MSP-2020</t>
  </si>
  <si>
    <t xml:space="preserve">1.3.1.15.6.2.2</t>
  </si>
  <si>
    <t xml:space="preserve">EXTENDIDO Y COMPACTADO MATERIAL DE BASE</t>
  </si>
  <si>
    <t xml:space="preserve">2019FS</t>
  </si>
  <si>
    <t xml:space="preserve">MSP-2021</t>
  </si>
  <si>
    <t xml:space="preserve">1.3.1.15.6.2.3</t>
  </si>
  <si>
    <t xml:space="preserve">RIEGO DE LA BASE</t>
  </si>
  <si>
    <t xml:space="preserve">2020FS</t>
  </si>
  <si>
    <t xml:space="preserve">MSP-2022</t>
  </si>
  <si>
    <t xml:space="preserve">1.3.1.15.6.3</t>
  </si>
  <si>
    <t xml:space="preserve">PAVIMENTO RIGIDO</t>
  </si>
  <si>
    <t xml:space="preserve">MSP-2023</t>
  </si>
  <si>
    <t xml:space="preserve">1.3.1.15.6.3.1</t>
  </si>
  <si>
    <t xml:space="preserve">ENCOFRADO Y DESENCOFRADO LOSA DE PAVIMENTO</t>
  </si>
  <si>
    <t xml:space="preserve">2026FS</t>
  </si>
  <si>
    <t xml:space="preserve">MSP-2024</t>
  </si>
  <si>
    <t xml:space="preserve">1.3.1.15.6.3.2</t>
  </si>
  <si>
    <t xml:space="preserve">CONCRETO PREMEZCLADO F'C= 245 KG/CM2 EN LOSAS</t>
  </si>
  <si>
    <t xml:space="preserve">2023FS</t>
  </si>
  <si>
    <t xml:space="preserve">MSP-2025</t>
  </si>
  <si>
    <t xml:space="preserve">1.3.1.15.6.3.3</t>
  </si>
  <si>
    <t xml:space="preserve">CORTE EN JUNTA DE CONTRACCION Y CONSTRUCCION</t>
  </si>
  <si>
    <t xml:space="preserve">2024FS</t>
  </si>
  <si>
    <t xml:space="preserve">MSP-2026</t>
  </si>
  <si>
    <t xml:space="preserve">1.3.1.15.6.3.4</t>
  </si>
  <si>
    <t xml:space="preserve">ACERO CORRUGADO G-60 DE 1/2" EN JUNTA LONGITUDINAL</t>
  </si>
  <si>
    <t xml:space="preserve">MSP-2027</t>
  </si>
  <si>
    <t xml:space="preserve">1.3.1.15.6.3.5</t>
  </si>
  <si>
    <t xml:space="preserve">ACERO LISO DE 3/4" EN JUNTA DE TRANSVERSAL DE CONSTRUCCION</t>
  </si>
  <si>
    <t xml:space="preserve">2026SS</t>
  </si>
  <si>
    <t xml:space="preserve">MSP-2028</t>
  </si>
  <si>
    <t xml:space="preserve">1.3.1.15.6.4</t>
  </si>
  <si>
    <t xml:space="preserve">MSP-2029</t>
  </si>
  <si>
    <t xml:space="preserve">1.3.1.15.6.4.1</t>
  </si>
  <si>
    <t xml:space="preserve">CURADO DE CONCRETO DE ELEMENTOS HORIZONTALES</t>
  </si>
  <si>
    <t xml:space="preserve">MSP-2030</t>
  </si>
  <si>
    <t xml:space="preserve">1.3.1.15.6.4.2</t>
  </si>
  <si>
    <t xml:space="preserve">SELLADO DE JUNTAS EN LOSA</t>
  </si>
  <si>
    <t xml:space="preserve">2029FS</t>
  </si>
  <si>
    <t xml:space="preserve">MSP-2031</t>
  </si>
  <si>
    <t xml:space="preserve">1.3.1.15.7</t>
  </si>
  <si>
    <t xml:space="preserve">MSP-2032</t>
  </si>
  <si>
    <t xml:space="preserve">1.3.1.15.7.1</t>
  </si>
  <si>
    <t xml:space="preserve">SOLADO</t>
  </si>
  <si>
    <t xml:space="preserve">MSP-2033</t>
  </si>
  <si>
    <t xml:space="preserve">1.3.1.15.7.1.1</t>
  </si>
  <si>
    <t xml:space="preserve">2014SS</t>
  </si>
  <si>
    <t xml:space="preserve">MSP-2034</t>
  </si>
  <si>
    <t xml:space="preserve">1.3.1.15.7.2</t>
  </si>
  <si>
    <t xml:space="preserve">MSP-2035</t>
  </si>
  <si>
    <t xml:space="preserve">1.3.1.15.7.2.1</t>
  </si>
  <si>
    <t xml:space="preserve">2036FS</t>
  </si>
  <si>
    <t xml:space="preserve">MSP-2036</t>
  </si>
  <si>
    <t xml:space="preserve">1.3.1.15.7.2.2</t>
  </si>
  <si>
    <t xml:space="preserve">2037FS</t>
  </si>
  <si>
    <t xml:space="preserve">MSP-2037</t>
  </si>
  <si>
    <t xml:space="preserve">1.3.1.15.7.2.3</t>
  </si>
  <si>
    <t xml:space="preserve">2033FS</t>
  </si>
  <si>
    <t xml:space="preserve">MSP-2038</t>
  </si>
  <si>
    <t xml:space="preserve">1.3.1.15.7.2.4</t>
  </si>
  <si>
    <t xml:space="preserve">2035FS</t>
  </si>
  <si>
    <t xml:space="preserve">MSP-2039</t>
  </si>
  <si>
    <t xml:space="preserve">1.3.1.15.7.3</t>
  </si>
  <si>
    <t xml:space="preserve">PANTALLA</t>
  </si>
  <si>
    <t xml:space="preserve">MSP-2040</t>
  </si>
  <si>
    <t xml:space="preserve">1.3.1.15.7.3.1</t>
  </si>
  <si>
    <t xml:space="preserve">2041FS</t>
  </si>
  <si>
    <t xml:space="preserve">MSP-2041</t>
  </si>
  <si>
    <t xml:space="preserve">1.3.1.15.7.3.2</t>
  </si>
  <si>
    <t xml:space="preserve">2042FS</t>
  </si>
  <si>
    <t xml:space="preserve">MSP-2042</t>
  </si>
  <si>
    <t xml:space="preserve">1.3.1.15.7.3.3</t>
  </si>
  <si>
    <t xml:space="preserve">MSP-2043</t>
  </si>
  <si>
    <t xml:space="preserve">1.3.1.15.7.3.4</t>
  </si>
  <si>
    <t xml:space="preserve">2040FS</t>
  </si>
  <si>
    <t xml:space="preserve">MSP-2044</t>
  </si>
  <si>
    <t xml:space="preserve">1.3.1.16</t>
  </si>
  <si>
    <t xml:space="preserve">CERCO PERIMETRICO</t>
  </si>
  <si>
    <t xml:space="preserve">MSP-2045</t>
  </si>
  <si>
    <t xml:space="preserve">1.3.1.16.1</t>
  </si>
  <si>
    <t xml:space="preserve">MSP-2046</t>
  </si>
  <si>
    <t xml:space="preserve">1.3.1.16.1.1</t>
  </si>
  <si>
    <t xml:space="preserve">MSP-2047</t>
  </si>
  <si>
    <t xml:space="preserve">1.3.1.16.1.2</t>
  </si>
  <si>
    <t xml:space="preserve">2058FS</t>
  </si>
  <si>
    <t xml:space="preserve">MSP-2048</t>
  </si>
  <si>
    <t xml:space="preserve">1.3.1.16.1.3</t>
  </si>
  <si>
    <t xml:space="preserve">2046FS</t>
  </si>
  <si>
    <t xml:space="preserve">MSP-2049</t>
  </si>
  <si>
    <t xml:space="preserve">1.3.1.16.1.4</t>
  </si>
  <si>
    <t xml:space="preserve">MSP-2050</t>
  </si>
  <si>
    <t xml:space="preserve">1.3.1.16.1.5</t>
  </si>
  <si>
    <t xml:space="preserve">2049FS</t>
  </si>
  <si>
    <t xml:space="preserve">MSP-2051</t>
  </si>
  <si>
    <t xml:space="preserve">1.3.1.16.1.6</t>
  </si>
  <si>
    <t xml:space="preserve">2048FS</t>
  </si>
  <si>
    <t xml:space="preserve">MSP-2052</t>
  </si>
  <si>
    <t xml:space="preserve">1.3.1.16.2</t>
  </si>
  <si>
    <t xml:space="preserve">MSP-2053</t>
  </si>
  <si>
    <t xml:space="preserve">1.3.1.16.2.1</t>
  </si>
  <si>
    <t xml:space="preserve">MSP-2054</t>
  </si>
  <si>
    <t xml:space="preserve">1.3.1.16.2.1.1</t>
  </si>
  <si>
    <t xml:space="preserve">2055FS</t>
  </si>
  <si>
    <t xml:space="preserve">MSP-2055</t>
  </si>
  <si>
    <t xml:space="preserve">1.3.1.16.2.1.2</t>
  </si>
  <si>
    <t xml:space="preserve">2051FS</t>
  </si>
  <si>
    <t xml:space="preserve">MSP-2056</t>
  </si>
  <si>
    <t xml:space="preserve">1.3.1.16.3</t>
  </si>
  <si>
    <t xml:space="preserve">MSP-2057</t>
  </si>
  <si>
    <t xml:space="preserve">1.3.1.16.3.1</t>
  </si>
  <si>
    <t xml:space="preserve">MSP-2058</t>
  </si>
  <si>
    <t xml:space="preserve">1.3.1.16.3.1.1</t>
  </si>
  <si>
    <t xml:space="preserve">CONCRETO F'C=210 KG/CM2 EN SOBRECIMIENTO CEMENTO TIPO HS</t>
  </si>
  <si>
    <t xml:space="preserve">2059FS</t>
  </si>
  <si>
    <t xml:space="preserve">MSP-2059</t>
  </si>
  <si>
    <t xml:space="preserve">1.3.1.16.3.1.2</t>
  </si>
  <si>
    <t xml:space="preserve">2060FS</t>
  </si>
  <si>
    <t xml:space="preserve">MSP-2060</t>
  </si>
  <si>
    <t xml:space="preserve">1.3.1.16.3.1.3</t>
  </si>
  <si>
    <t xml:space="preserve">2054FS</t>
  </si>
  <si>
    <t xml:space="preserve">MSP-2061</t>
  </si>
  <si>
    <t xml:space="preserve">1.3.1.16.3.1.4</t>
  </si>
  <si>
    <t xml:space="preserve">MSP-2062</t>
  </si>
  <si>
    <t xml:space="preserve">1.3.1.16.3.2</t>
  </si>
  <si>
    <t xml:space="preserve">MSP-2063</t>
  </si>
  <si>
    <t xml:space="preserve">1.3.1.16.3.2.1</t>
  </si>
  <si>
    <t xml:space="preserve">CONCRETO PREMEZCLADO EN COLUMNAS F'C=210 KG/CM2,  C/CEMENTO TIPO HS, SOTANO</t>
  </si>
  <si>
    <t xml:space="preserve">2064FS</t>
  </si>
  <si>
    <t xml:space="preserve">MSP-2064</t>
  </si>
  <si>
    <t xml:space="preserve">1.3.1.16.3.2.2</t>
  </si>
  <si>
    <t xml:space="preserve">ENCOFRADO Y DESENCOFRADO NORMAL EN COLUMNAS</t>
  </si>
  <si>
    <t xml:space="preserve">2065FS</t>
  </si>
  <si>
    <t xml:space="preserve">MSP-2065</t>
  </si>
  <si>
    <t xml:space="preserve">1.3.1.16.3.2.3</t>
  </si>
  <si>
    <t xml:space="preserve">MSP-2066</t>
  </si>
  <si>
    <t xml:space="preserve">1.3.1.16.3.2.4</t>
  </si>
  <si>
    <t xml:space="preserve">2063FS</t>
  </si>
  <si>
    <t xml:space="preserve">MSP-2067</t>
  </si>
  <si>
    <t xml:space="preserve">1.3.1.16.3.3</t>
  </si>
  <si>
    <t xml:space="preserve">MSP-2068</t>
  </si>
  <si>
    <t xml:space="preserve">1.3.1.16.3.3.1</t>
  </si>
  <si>
    <t xml:space="preserve">2069FS</t>
  </si>
  <si>
    <t xml:space="preserve">MSP-2069</t>
  </si>
  <si>
    <t xml:space="preserve">1.3.1.16.3.3.2</t>
  </si>
  <si>
    <t xml:space="preserve">2070FS</t>
  </si>
  <si>
    <t xml:space="preserve">MSP-2070</t>
  </si>
  <si>
    <t xml:space="preserve">1.3.1.16.3.3.3</t>
  </si>
  <si>
    <t xml:space="preserve">MSP-2071</t>
  </si>
  <si>
    <t xml:space="preserve">1.3.1.16.3.3.4</t>
  </si>
  <si>
    <t xml:space="preserve">2068FS</t>
  </si>
  <si>
    <t xml:space="preserve">MSP-2072</t>
  </si>
  <si>
    <t xml:space="preserve">1.3.1.16.3.4</t>
  </si>
  <si>
    <t xml:space="preserve">MSP-2073</t>
  </si>
  <si>
    <t xml:space="preserve">1.3.1.16.3.4.1</t>
  </si>
  <si>
    <t xml:space="preserve">2066FS</t>
  </si>
  <si>
    <t xml:space="preserve">MSP-2074</t>
  </si>
  <si>
    <t xml:space="preserve">1.3.1.17</t>
  </si>
  <si>
    <t xml:space="preserve">ENSAYOS DE CALIDAD</t>
  </si>
  <si>
    <t xml:space="preserve">MSP-2075</t>
  </si>
  <si>
    <t xml:space="preserve">1.3.1.17.1</t>
  </si>
  <si>
    <t xml:space="preserve">ENSAYOS Y PRUEBAS</t>
  </si>
  <si>
    <t xml:space="preserve">MSP-2076</t>
  </si>
  <si>
    <t xml:space="preserve">1.3.1.17.1.1</t>
  </si>
  <si>
    <t xml:space="preserve">COMPRESION DE PILAS DE ALBALÑILERIA</t>
  </si>
  <si>
    <t xml:space="preserve">163SS+-20.0d</t>
  </si>
  <si>
    <t xml:space="preserve">MSP-2077</t>
  </si>
  <si>
    <t xml:space="preserve">1.3.1.17.1.2</t>
  </si>
  <si>
    <t xml:space="preserve">ENSAYO Y PRUEBA DE SOLDADURA</t>
  </si>
  <si>
    <t xml:space="preserve">MSP-2078</t>
  </si>
  <si>
    <t xml:space="preserve">1.3.1.17.1.3</t>
  </si>
  <si>
    <t xml:space="preserve">ENSAYO DE ROTURA DE PROBETA DE CONCRETOS</t>
  </si>
  <si>
    <t xml:space="preserve">94SS+28.0d</t>
  </si>
  <si>
    <t xml:space="preserve">MSP-2079</t>
  </si>
  <si>
    <t xml:space="preserve">1.3.1.17.1.4</t>
  </si>
  <si>
    <t xml:space="preserve">ENSAYO DE DENSIDAD Y COMPACTACION</t>
  </si>
  <si>
    <t xml:space="preserve">MSP-2080</t>
  </si>
  <si>
    <t xml:space="preserve">1.3.1.17.1.5</t>
  </si>
  <si>
    <t xml:space="preserve">MODULO DE ROTURA EN PAVIMENTOS</t>
  </si>
  <si>
    <t xml:space="preserve">2025FS</t>
  </si>
  <si>
    <t xml:space="preserve">MSP-2081</t>
  </si>
  <si>
    <t xml:space="preserve">1.4</t>
  </si>
  <si>
    <t xml:space="preserve">COMP. I: ARQUITECTURA</t>
  </si>
  <si>
    <t xml:space="preserve">MSP-2082</t>
  </si>
  <si>
    <t xml:space="preserve">1.4.1</t>
  </si>
  <si>
    <t xml:space="preserve">ARQUITECTURA</t>
  </si>
  <si>
    <t xml:space="preserve">MSP-2083</t>
  </si>
  <si>
    <t xml:space="preserve">1.4.1.1</t>
  </si>
  <si>
    <t xml:space="preserve">MSP-2084</t>
  </si>
  <si>
    <t xml:space="preserve">1.4.1.1.1</t>
  </si>
  <si>
    <t xml:space="preserve">MUROS Y TABIQUES DE ALBAÑILERIA</t>
  </si>
  <si>
    <t xml:space="preserve">MSP-2085</t>
  </si>
  <si>
    <t xml:space="preserve">1.4.1.1.1.1</t>
  </si>
  <si>
    <t xml:space="preserve">MURO DE LADRILLO K.K. TIPO V DE SOGA, MEZCLA C:A 1:5</t>
  </si>
  <si>
    <t xml:space="preserve">MSP-2086</t>
  </si>
  <si>
    <t xml:space="preserve">1.4.1.1.1.2</t>
  </si>
  <si>
    <t xml:space="preserve">MURO DE LADRILLO K.K. TIPO V DE CABEZA, MEZCLA C:A 1:5</t>
  </si>
  <si>
    <t xml:space="preserve">MSP-2087</t>
  </si>
  <si>
    <t xml:space="preserve">1.4.1.1.1.3</t>
  </si>
  <si>
    <t xml:space="preserve">T-01.01, TABIQUE DE FIBROCEMENTO 8MM AMBAS CARAS O SIMILAR</t>
  </si>
  <si>
    <t xml:space="preserve">2086FS</t>
  </si>
  <si>
    <t xml:space="preserve">MSP-2088</t>
  </si>
  <si>
    <t xml:space="preserve">1.4.1.1.1.4</t>
  </si>
  <si>
    <t xml:space="preserve">T-01.02, TABIQUE DE FIBROCEMENTO 8MM/ 01 CARA O SIMILAR</t>
  </si>
  <si>
    <t xml:space="preserve">2087FS</t>
  </si>
  <si>
    <t xml:space="preserve">MSP-2089</t>
  </si>
  <si>
    <t xml:space="preserve">1.4.1.1.1.5</t>
  </si>
  <si>
    <t xml:space="preserve">T-03.01, TABIQUE DE FIBROCEMENTO SANITARIO BC 8MM + FIBROCEM. PRO 8MM AMBAS CARAS O SIMILAR</t>
  </si>
  <si>
    <t xml:space="preserve">2088FS</t>
  </si>
  <si>
    <t xml:space="preserve">MSP-2090</t>
  </si>
  <si>
    <t xml:space="preserve">1.4.1.1.1.6</t>
  </si>
  <si>
    <t xml:space="preserve">T-01.01, DINTEL DE FIBROCEMENTO 8MM AMBAS CARAS O SIMILAR</t>
  </si>
  <si>
    <t xml:space="preserve">2089FS</t>
  </si>
  <si>
    <t xml:space="preserve">MSP-2091</t>
  </si>
  <si>
    <t xml:space="preserve">1.4.1.1.1.7</t>
  </si>
  <si>
    <t xml:space="preserve">TABIQUE DE FACHADA VENTILADA CON PLACA CEMENTICIA E=12.5MM O SIMILAR,C/GRIS OSCURO, INC. INSTALACION</t>
  </si>
  <si>
    <t xml:space="preserve">2090FS</t>
  </si>
  <si>
    <t xml:space="preserve">MSP-2092</t>
  </si>
  <si>
    <t xml:space="preserve">1.4.1.1.2</t>
  </si>
  <si>
    <t xml:space="preserve">REVOQUES, ENLUCIDOS Y MOLDURAS</t>
  </si>
  <si>
    <t xml:space="preserve">MSP-2093</t>
  </si>
  <si>
    <t xml:space="preserve">1.4.1.1.2.1</t>
  </si>
  <si>
    <t xml:space="preserve">TARRAJEO MUROS INTERIORES MEZCLA C:A 1:5, E=1.5 cm</t>
  </si>
  <si>
    <t xml:space="preserve">MSP-2094</t>
  </si>
  <si>
    <t xml:space="preserve">1.4.1.1.2.2</t>
  </si>
  <si>
    <t xml:space="preserve">TARRAJEO MUROS EXTERIORES MEZCLA C:A 1:5, E=1.5 cm</t>
  </si>
  <si>
    <t xml:space="preserve">2093FS</t>
  </si>
  <si>
    <t xml:space="preserve">MSP-2095</t>
  </si>
  <si>
    <t xml:space="preserve">1.4.1.1.2.3</t>
  </si>
  <si>
    <t xml:space="preserve">PANEL AISLANTE DE FACHADA CON MALLA SUPERFICIAL</t>
  </si>
  <si>
    <t xml:space="preserve">2094FS</t>
  </si>
  <si>
    <t xml:space="preserve">MSP-2096</t>
  </si>
  <si>
    <t xml:space="preserve">1.4.1.1.2.4</t>
  </si>
  <si>
    <t xml:space="preserve">ACABADO MICROCEMENTO COLOR GRIS EN FACHADA</t>
  </si>
  <si>
    <t xml:space="preserve">2095FS</t>
  </si>
  <si>
    <t xml:space="preserve">MSP-2097</t>
  </si>
  <si>
    <t xml:space="preserve">1.4.1.1.2.5</t>
  </si>
  <si>
    <t xml:space="preserve">VESTIDURA DE DERRAMES PARA VENTANAS Y PUERTAS MEZCLA C:A 1:5, E=1.5CM</t>
  </si>
  <si>
    <t xml:space="preserve">2094FS+-3.0d</t>
  </si>
  <si>
    <t xml:space="preserve">MSP-2098</t>
  </si>
  <si>
    <t xml:space="preserve">1.4.1.1.2.6</t>
  </si>
  <si>
    <t xml:space="preserve">SOLAQUEO EN SUPERFICIES CARAVISTA</t>
  </si>
  <si>
    <t xml:space="preserve">2094FS+-2.0d</t>
  </si>
  <si>
    <t xml:space="preserve">MSP-2099</t>
  </si>
  <si>
    <t xml:space="preserve">1.4.1.1.2.7</t>
  </si>
  <si>
    <t xml:space="preserve">BRUÑAS E=1 CM</t>
  </si>
  <si>
    <t xml:space="preserve">2093SS+1.0d;2094SS+1.0d</t>
  </si>
  <si>
    <t xml:space="preserve">MSP-2100</t>
  </si>
  <si>
    <t xml:space="preserve">1.4.1.1.3</t>
  </si>
  <si>
    <t xml:space="preserve">CIELORRASOS</t>
  </si>
  <si>
    <t xml:space="preserve">MSP-2101</t>
  </si>
  <si>
    <t xml:space="preserve">1.4.1.1.3.1</t>
  </si>
  <si>
    <t xml:space="preserve">TARRAJEO DE CIELO RASO MEZC. C:A 1:5, E=1.5CM.</t>
  </si>
  <si>
    <t xml:space="preserve">MSP-2102</t>
  </si>
  <si>
    <t xml:space="preserve">1.4.1.1.3.2</t>
  </si>
  <si>
    <t xml:space="preserve">FALSO CIELO RASO TIPO 01, FCR-01</t>
  </si>
  <si>
    <t xml:space="preserve">2101FS</t>
  </si>
  <si>
    <t xml:space="preserve">MSP-2103</t>
  </si>
  <si>
    <t xml:space="preserve">1.4.1.1.3.3</t>
  </si>
  <si>
    <t xml:space="preserve">FALSO CIELO RASO TIPO 04, FCR-04</t>
  </si>
  <si>
    <t xml:space="preserve">2102FS</t>
  </si>
  <si>
    <t xml:space="preserve">MSP-2104</t>
  </si>
  <si>
    <t xml:space="preserve">1.4.1.1.4</t>
  </si>
  <si>
    <t xml:space="preserve">PISOS Y PAVIMENTOS</t>
  </si>
  <si>
    <t xml:space="preserve">MSP-2105</t>
  </si>
  <si>
    <t xml:space="preserve">1.4.1.1.4.1</t>
  </si>
  <si>
    <t xml:space="preserve">CONTRAPISOS</t>
  </si>
  <si>
    <t xml:space="preserve">MSP-2106</t>
  </si>
  <si>
    <t xml:space="preserve">1.4.1.1.4.1.1</t>
  </si>
  <si>
    <t xml:space="preserve">CONTRAPISO C:H, 1:8 E=7CM</t>
  </si>
  <si>
    <t xml:space="preserve">2103FS</t>
  </si>
  <si>
    <t xml:space="preserve">MSP-2107</t>
  </si>
  <si>
    <t xml:space="preserve">1.4.1.1.4.2</t>
  </si>
  <si>
    <t xml:space="preserve">PISOS</t>
  </si>
  <si>
    <t xml:space="preserve">MSP-2108</t>
  </si>
  <si>
    <t xml:space="preserve">1.4.1.1.4.2.1</t>
  </si>
  <si>
    <t xml:space="preserve">PISO DE CONCRETO F'C=175 KG/CM2 E= 0.10M, ACABADO CEMENTO PULIDO P/AZOTEA</t>
  </si>
  <si>
    <t xml:space="preserve">2106FS</t>
  </si>
  <si>
    <t xml:space="preserve">MSP-2109</t>
  </si>
  <si>
    <t xml:space="preserve">1.4.1.1.4.2.2</t>
  </si>
  <si>
    <t xml:space="preserve">PISO PORCELANATO 0.60x0.60m ANTIDESLIZANTE C/ GRIS CLARO - ALTO TRÁNSITO</t>
  </si>
  <si>
    <t xml:space="preserve">2108FS</t>
  </si>
  <si>
    <t xml:space="preserve">MSP-2110</t>
  </si>
  <si>
    <t xml:space="preserve">1.4.1.1.4.2.3</t>
  </si>
  <si>
    <t xml:space="preserve">PISO PORCELANATO 0.60x0.60M ANTIDESLIZANTE C/ GRIS OSCURO - ALTO TRÁNSITO (PARA BAÑOS)</t>
  </si>
  <si>
    <t xml:space="preserve">2109FS</t>
  </si>
  <si>
    <t xml:space="preserve">MSP-2111</t>
  </si>
  <si>
    <t xml:space="preserve">1.4.1.1.4.2.4</t>
  </si>
  <si>
    <t xml:space="preserve">PISO CON RECUBRIMIENTO EPOXICO</t>
  </si>
  <si>
    <t xml:space="preserve">2110FS</t>
  </si>
  <si>
    <t xml:space="preserve">MSP-2112</t>
  </si>
  <si>
    <t xml:space="preserve">1.4.1.1.5</t>
  </si>
  <si>
    <t xml:space="preserve">ZOCALOS Y CONTRAZOCALOS</t>
  </si>
  <si>
    <t xml:space="preserve">MSP-2113</t>
  </si>
  <si>
    <t xml:space="preserve">1.4.1.1.5.1</t>
  </si>
  <si>
    <t xml:space="preserve">ZOCALO DE CEMENTO PULIDO H=0.30M</t>
  </si>
  <si>
    <t xml:space="preserve">2108SS</t>
  </si>
  <si>
    <t xml:space="preserve">MSP-2114</t>
  </si>
  <si>
    <t xml:space="preserve">1.4.1.1.5.2</t>
  </si>
  <si>
    <t xml:space="preserve">ZOCALO PORCELANATO ANTIDESLIZANTE GRIS CLARO O SIMILAR  0.60x0.10 m</t>
  </si>
  <si>
    <t xml:space="preserve">2113SS</t>
  </si>
  <si>
    <t xml:space="preserve">MSP-2115</t>
  </si>
  <si>
    <t xml:space="preserve">1.4.1.1.5.3</t>
  </si>
  <si>
    <t xml:space="preserve">CONTRAZOCALO PORCELANATO 0.60x0.10m ANTIDESLIZANTE C/GRIS OSCURO PARA BAÑOS, H=0.10</t>
  </si>
  <si>
    <t xml:space="preserve">MSP-2116</t>
  </si>
  <si>
    <t xml:space="preserve">1.4.1.1.5.4</t>
  </si>
  <si>
    <t xml:space="preserve">ZOCALO PORCELANATO 0.60x0.60m ANTIDESLIZANTE C/GRIS CLARO PARA BAÑOS</t>
  </si>
  <si>
    <t xml:space="preserve">MSP-2117</t>
  </si>
  <si>
    <t xml:space="preserve">1.4.1.1.6</t>
  </si>
  <si>
    <t xml:space="preserve">CUBIERTAS</t>
  </si>
  <si>
    <t xml:space="preserve">MSP-2118</t>
  </si>
  <si>
    <t xml:space="preserve">1.4.1.1.6.1</t>
  </si>
  <si>
    <t xml:space="preserve">IMPERMEABILIZACION DE TECHOS</t>
  </si>
  <si>
    <t xml:space="preserve">2116FS</t>
  </si>
  <si>
    <t xml:space="preserve">MSP-2119</t>
  </si>
  <si>
    <t xml:space="preserve">1.4.1.1.6.2</t>
  </si>
  <si>
    <t xml:space="preserve">CUBIERTA CON LADRILLO PASTELERO</t>
  </si>
  <si>
    <t xml:space="preserve">2118SS</t>
  </si>
  <si>
    <t xml:space="preserve">MSP-2120</t>
  </si>
  <si>
    <t xml:space="preserve">1.4.1.1.7</t>
  </si>
  <si>
    <t xml:space="preserve">CARPINTERIA DE MADERA</t>
  </si>
  <si>
    <t xml:space="preserve">MSP-2121</t>
  </si>
  <si>
    <t xml:space="preserve">1.4.1.1.7.1</t>
  </si>
  <si>
    <t xml:space="preserve">PUERTAS</t>
  </si>
  <si>
    <t xml:space="preserve">MSP-2122</t>
  </si>
  <si>
    <t xml:space="preserve">1.4.1.1.7.1.1</t>
  </si>
  <si>
    <t xml:space="preserve">PC-01, PUERTA CONTRAPLACADA, 01 HOJA</t>
  </si>
  <si>
    <t xml:space="preserve">MSP-2123</t>
  </si>
  <si>
    <t xml:space="preserve">1.4.1.1.7.1.2</t>
  </si>
  <si>
    <t xml:space="preserve">PC-02, PUERTA CONTRAPLACADA, 01 HOJA</t>
  </si>
  <si>
    <t xml:space="preserve">2122FS</t>
  </si>
  <si>
    <t xml:space="preserve">MSP-2124</t>
  </si>
  <si>
    <t xml:space="preserve">1.4.1.1.7.1.3</t>
  </si>
  <si>
    <t xml:space="preserve">PC-03, PUERTA CONTRAPLACADA, 01 HOJA</t>
  </si>
  <si>
    <t xml:space="preserve">2123FS</t>
  </si>
  <si>
    <t xml:space="preserve">MSP-2125</t>
  </si>
  <si>
    <t xml:space="preserve">1.4.1.1.7.1.4</t>
  </si>
  <si>
    <t xml:space="preserve">PMA_02', PUERTA MACHIHEMBRADA, 01 HOJA</t>
  </si>
  <si>
    <t xml:space="preserve">2124FS</t>
  </si>
  <si>
    <t xml:space="preserve">MSP-2126</t>
  </si>
  <si>
    <t xml:space="preserve">1.4.1.1.8</t>
  </si>
  <si>
    <t xml:space="preserve">CARPINTERIA METALICA Y HERRERIA</t>
  </si>
  <si>
    <t xml:space="preserve">MSP-2127</t>
  </si>
  <si>
    <t xml:space="preserve">1.4.1.1.8.1</t>
  </si>
  <si>
    <t xml:space="preserve">MSP-2128</t>
  </si>
  <si>
    <t xml:space="preserve">1.4.1.1.8.1.1</t>
  </si>
  <si>
    <t xml:space="preserve">PME-01, PUERTA METÁLICA DE 01 HOJA</t>
  </si>
  <si>
    <t xml:space="preserve">2125FS</t>
  </si>
  <si>
    <t xml:space="preserve">MSP-2129</t>
  </si>
  <si>
    <t xml:space="preserve">1.4.1.1.8.1.2</t>
  </si>
  <si>
    <t xml:space="preserve">PME-03, PUERTA METÁLICA DE 01 HOJA</t>
  </si>
  <si>
    <t xml:space="preserve">2128FS</t>
  </si>
  <si>
    <t xml:space="preserve">MSP-2130</t>
  </si>
  <si>
    <t xml:space="preserve">1.4.1.1.8.1.3</t>
  </si>
  <si>
    <t xml:space="preserve">PME-04, PUERTA METÁLICA DE 01 HOJA</t>
  </si>
  <si>
    <t xml:space="preserve">2129FS</t>
  </si>
  <si>
    <t xml:space="preserve">MSP-2131</t>
  </si>
  <si>
    <t xml:space="preserve">1.4.1.1.8.1.4</t>
  </si>
  <si>
    <t xml:space="preserve">PME-07, PUERTA METÁLICA DE 02 HOJAS</t>
  </si>
  <si>
    <t xml:space="preserve">2130FS</t>
  </si>
  <si>
    <t xml:space="preserve">MSP-2132</t>
  </si>
  <si>
    <t xml:space="preserve">1.4.1.1.8.2</t>
  </si>
  <si>
    <t xml:space="preserve">VENTANAS</t>
  </si>
  <si>
    <t xml:space="preserve">MSP-2133</t>
  </si>
  <si>
    <t xml:space="preserve">1.4.1.1.8.2.1</t>
  </si>
  <si>
    <t xml:space="preserve">VENTANA REJA METALICA TIPO PERSIANA</t>
  </si>
  <si>
    <t xml:space="preserve">2131FS</t>
  </si>
  <si>
    <t xml:space="preserve">MSP-2134</t>
  </si>
  <si>
    <t xml:space="preserve">1.4.1.1.8.3</t>
  </si>
  <si>
    <t xml:space="preserve">CLARABOYA</t>
  </si>
  <si>
    <t xml:space="preserve">MSP-2135</t>
  </si>
  <si>
    <t xml:space="preserve">1.4.1.1.8.3.1</t>
  </si>
  <si>
    <t xml:space="preserve">CLARABOYA INC. INSTALACIÓN</t>
  </si>
  <si>
    <t xml:space="preserve">MSP-2136</t>
  </si>
  <si>
    <t xml:space="preserve">1.4.1.1.8.4</t>
  </si>
  <si>
    <t xml:space="preserve">BARANDA</t>
  </si>
  <si>
    <t xml:space="preserve">MSP-2137</t>
  </si>
  <si>
    <t xml:space="preserve">1.4.1.1.8.4.1</t>
  </si>
  <si>
    <t xml:space="preserve">BARANDA METALICA DE TUBO ACERO INOX. Ø2"x2MM H=1.00M,  INCLUYE VIDRIO TEMPLADO INCOLORO DE 8MM</t>
  </si>
  <si>
    <t xml:space="preserve">MSP-2138</t>
  </si>
  <si>
    <t xml:space="preserve">1.4.1.1.9</t>
  </si>
  <si>
    <t xml:space="preserve">VIDRIOS, CRISTALES Y SIMILARES</t>
  </si>
  <si>
    <t xml:space="preserve">MSP-2139</t>
  </si>
  <si>
    <t xml:space="preserve">1.4.1.1.9.1</t>
  </si>
  <si>
    <t xml:space="preserve">MSP-2140</t>
  </si>
  <si>
    <t xml:space="preserve">1.4.1.1.9.1.1</t>
  </si>
  <si>
    <t xml:space="preserve">PV-01,PUERTA DE VIDRIO TEMPLADO, 01 HOJA</t>
  </si>
  <si>
    <t xml:space="preserve">MSP-2141</t>
  </si>
  <si>
    <t xml:space="preserve">1.4.1.1.9.1.2</t>
  </si>
  <si>
    <t xml:space="preserve">PV-02,PUERTA DE VIDRIO TEMPLADO, 01 HOJA</t>
  </si>
  <si>
    <t xml:space="preserve">2140FS</t>
  </si>
  <si>
    <t xml:space="preserve">MSP-2142</t>
  </si>
  <si>
    <t xml:space="preserve">1.4.1.1.9.1.3</t>
  </si>
  <si>
    <t xml:space="preserve">PV-03,PUERTA DE VIDRIO TEMPLADO, 02 HOJAS</t>
  </si>
  <si>
    <t xml:space="preserve">2141FS</t>
  </si>
  <si>
    <t xml:space="preserve">MSP-2143</t>
  </si>
  <si>
    <t xml:space="preserve">1.4.1.1.9.1.4</t>
  </si>
  <si>
    <t xml:space="preserve">PV-05,PUERTA DE VIDRIO TEMPLADO, 02 HOJAS</t>
  </si>
  <si>
    <t xml:space="preserve">2142FS</t>
  </si>
  <si>
    <t xml:space="preserve">MSP-2144</t>
  </si>
  <si>
    <t xml:space="preserve">1.4.1.1.9.1.5</t>
  </si>
  <si>
    <t xml:space="preserve">PV-07,PUERTA DE VIDRIO TEMPLADO, 02 HOJA</t>
  </si>
  <si>
    <t xml:space="preserve">2143FS</t>
  </si>
  <si>
    <t xml:space="preserve">MSP-2145</t>
  </si>
  <si>
    <t xml:space="preserve">1.4.1.1.9.2</t>
  </si>
  <si>
    <t xml:space="preserve">MSP-2146</t>
  </si>
  <si>
    <t xml:space="preserve">1.4.1.1.9.2.1</t>
  </si>
  <si>
    <t xml:space="preserve">VENTANA FIJA Y CORREDIZA SISTEMA MODUGLASS</t>
  </si>
  <si>
    <t xml:space="preserve">2144FS</t>
  </si>
  <si>
    <t xml:space="preserve">MSP-2147</t>
  </si>
  <si>
    <t xml:space="preserve">1.4.1.1.9.3</t>
  </si>
  <si>
    <t xml:space="preserve">MAMPARA DE VIDRIO</t>
  </si>
  <si>
    <t xml:space="preserve">MSP-2148</t>
  </si>
  <si>
    <t xml:space="preserve">1.4.1.1.9.3.1</t>
  </si>
  <si>
    <t xml:space="preserve">TABIQUE DE MAMPARA DE VIDRIO TEMPLADO INCOLORO e=8MM</t>
  </si>
  <si>
    <t xml:space="preserve">2146FS</t>
  </si>
  <si>
    <t xml:space="preserve">MSP-2149</t>
  </si>
  <si>
    <t xml:space="preserve">1.4.1.1.9.3.2</t>
  </si>
  <si>
    <t xml:space="preserve">VINILO ADHESIVO ARENADO PARA VIDRIOS-INCLUYE DISEÑO H=2.70M</t>
  </si>
  <si>
    <t xml:space="preserve">2148FS</t>
  </si>
  <si>
    <t xml:space="preserve">MSP-2150</t>
  </si>
  <si>
    <t xml:space="preserve">1.4.1.1.9.4</t>
  </si>
  <si>
    <t xml:space="preserve">MURO CORTINA</t>
  </si>
  <si>
    <t xml:space="preserve">MSP-2151</t>
  </si>
  <si>
    <t xml:space="preserve">1.4.1.1.9.4.1</t>
  </si>
  <si>
    <t xml:space="preserve">SUMINISTRO E INSTALACIÓN DE MURO CORTINA CON VIDRIO TEMPLADO DE 8MM REFLEJANTE STOPSOL</t>
  </si>
  <si>
    <t xml:space="preserve">2149FS</t>
  </si>
  <si>
    <t xml:space="preserve">MSP-2152</t>
  </si>
  <si>
    <t xml:space="preserve">1.4.1.1.10</t>
  </si>
  <si>
    <t xml:space="preserve">PINTURAS</t>
  </si>
  <si>
    <t xml:space="preserve">MSP-2153</t>
  </si>
  <si>
    <t xml:space="preserve">1.4.1.1.10.1</t>
  </si>
  <si>
    <t xml:space="preserve">PINTURA LATEX 02 MANOS EN MUROS INTERIORES Y EXTERIORES</t>
  </si>
  <si>
    <t xml:space="preserve">MSP-2154</t>
  </si>
  <si>
    <t xml:space="preserve">1.4.1.1.10.2</t>
  </si>
  <si>
    <t xml:space="preserve">PINTURA LATEX 02 MANOS EN COLUMNAS Y VIGAS</t>
  </si>
  <si>
    <t xml:space="preserve">2153FS</t>
  </si>
  <si>
    <t xml:space="preserve">MSP-2155</t>
  </si>
  <si>
    <t xml:space="preserve">1.4.1.1.10.3</t>
  </si>
  <si>
    <t xml:space="preserve">PINTURA LATEX 02 MANOS EN CIELO RASO</t>
  </si>
  <si>
    <t xml:space="preserve">MSP-2156</t>
  </si>
  <si>
    <t xml:space="preserve">1.4.1.1.10.4</t>
  </si>
  <si>
    <t xml:space="preserve">PINTURA BARNIZ 02 MANOS EN PUERTAS DE MADERA</t>
  </si>
  <si>
    <t xml:space="preserve">MSP-2157</t>
  </si>
  <si>
    <t xml:space="preserve">1.4.1.1.10.5</t>
  </si>
  <si>
    <t xml:space="preserve">PINTURA LATEX 02 MANOS EN VESTIDURA DE DERRAMES</t>
  </si>
  <si>
    <t xml:space="preserve">2154FS</t>
  </si>
  <si>
    <t xml:space="preserve">MSP-2158</t>
  </si>
  <si>
    <t xml:space="preserve">1.4.1.1.10.6</t>
  </si>
  <si>
    <t xml:space="preserve">PINTURA PARA CONTRAZOCALO H=0.30M CON PINTURA EPÓXICA</t>
  </si>
  <si>
    <t xml:space="preserve">2157FS</t>
  </si>
  <si>
    <t xml:space="preserve">MSP-2159</t>
  </si>
  <si>
    <t xml:space="preserve">1.4.1.1.11</t>
  </si>
  <si>
    <t xml:space="preserve">OTROS</t>
  </si>
  <si>
    <t xml:space="preserve">MSP-2160</t>
  </si>
  <si>
    <t xml:space="preserve">1.4.1.1.11.1</t>
  </si>
  <si>
    <t xml:space="preserve">LETRAS DE LAMINA DE ALUMINIO NIQUELADO E=1.5MM, P/ INGRESO PRINCIPAL</t>
  </si>
  <si>
    <t xml:space="preserve">2158FS</t>
  </si>
  <si>
    <t xml:space="preserve">MSP-2161</t>
  </si>
  <si>
    <t xml:space="preserve">1.4.1.1.11.2</t>
  </si>
  <si>
    <t xml:space="preserve">LETRAS DE LAMINA DE ALUMINIO NIQUELADO E=1.5MM, P/ INGRESO SECUNDARIO</t>
  </si>
  <si>
    <t xml:space="preserve">2160FS</t>
  </si>
  <si>
    <t xml:space="preserve">MSP-2162</t>
  </si>
  <si>
    <t xml:space="preserve">1.4.1.1.11.3</t>
  </si>
  <si>
    <t xml:space="preserve">LIMPIEZA FINAL DE OBRA</t>
  </si>
  <si>
    <t xml:space="preserve">2161FS;2111FS</t>
  </si>
  <si>
    <t xml:space="preserve">MSP-2163</t>
  </si>
  <si>
    <t xml:space="preserve">1.4.1.1.12</t>
  </si>
  <si>
    <t xml:space="preserve">SEÑALIZACIÓN Y EVACUACIÓN</t>
  </si>
  <si>
    <t xml:space="preserve">MSP-2164</t>
  </si>
  <si>
    <t xml:space="preserve">1.4.1.1.12.1</t>
  </si>
  <si>
    <t xml:space="preserve">SEÑALES DE EVACUACIÓN Y EMERGENCIA</t>
  </si>
  <si>
    <t xml:space="preserve">MSP-2165</t>
  </si>
  <si>
    <t xml:space="preserve">1.4.1.1.12.1.1</t>
  </si>
  <si>
    <t xml:space="preserve">SALIDA DE EVACUACIÓN (20x40 cm)</t>
  </si>
  <si>
    <t xml:space="preserve">2162FS</t>
  </si>
  <si>
    <t xml:space="preserve">MSP-2166</t>
  </si>
  <si>
    <t xml:space="preserve">1.4.1.1.12.1.2</t>
  </si>
  <si>
    <t xml:space="preserve">ZONA SEGURA EN CASO DE SISMO</t>
  </si>
  <si>
    <t xml:space="preserve">2165FS</t>
  </si>
  <si>
    <t xml:space="preserve">MSP-2167</t>
  </si>
  <si>
    <t xml:space="preserve">1.4.1.1.12.1.3</t>
  </si>
  <si>
    <t xml:space="preserve">BOTIQUIN</t>
  </si>
  <si>
    <t xml:space="preserve">2166FS</t>
  </si>
  <si>
    <t xml:space="preserve">MSP-2168</t>
  </si>
  <si>
    <t xml:space="preserve">1.4.1.1.12.2</t>
  </si>
  <si>
    <t xml:space="preserve">SEÑALES DE PROHIBICION</t>
  </si>
  <si>
    <t xml:space="preserve">MSP-2169</t>
  </si>
  <si>
    <t xml:space="preserve">1.4.1.1.12.2.1</t>
  </si>
  <si>
    <t xml:space="preserve">PROHIBIDO FUMAR</t>
  </si>
  <si>
    <t xml:space="preserve">2167FS</t>
  </si>
  <si>
    <t xml:space="preserve">MSP-2170</t>
  </si>
  <si>
    <t xml:space="preserve">1.4.1.1.12.2.2</t>
  </si>
  <si>
    <t xml:space="preserve">PELIGRO DE ELECTRICIDAD</t>
  </si>
  <si>
    <t xml:space="preserve">2169FS</t>
  </si>
  <si>
    <t xml:space="preserve">MSP-2171</t>
  </si>
  <si>
    <t xml:space="preserve">1.4.1.2</t>
  </si>
  <si>
    <t xml:space="preserve">MSP-2172</t>
  </si>
  <si>
    <t xml:space="preserve">1.4.1.2.1</t>
  </si>
  <si>
    <t xml:space="preserve">MSP-2173</t>
  </si>
  <si>
    <t xml:space="preserve">1.4.1.2.1.1</t>
  </si>
  <si>
    <t xml:space="preserve">MSP-2174</t>
  </si>
  <si>
    <t xml:space="preserve">1.4.1.2.1.2</t>
  </si>
  <si>
    <t xml:space="preserve">MSP-2175</t>
  </si>
  <si>
    <t xml:space="preserve">1.4.1.2.1.3</t>
  </si>
  <si>
    <t xml:space="preserve">2174FS</t>
  </si>
  <si>
    <t xml:space="preserve">MSP-2176</t>
  </si>
  <si>
    <t xml:space="preserve">1.4.1.2.1.4</t>
  </si>
  <si>
    <t xml:space="preserve">2175FS+85.0d</t>
  </si>
  <si>
    <t xml:space="preserve">MSP-2177</t>
  </si>
  <si>
    <t xml:space="preserve">1.4.1.2.1.5</t>
  </si>
  <si>
    <t xml:space="preserve">2176FS</t>
  </si>
  <si>
    <t xml:space="preserve">MSP-2178</t>
  </si>
  <si>
    <t xml:space="preserve">1.4.1.2.1.6</t>
  </si>
  <si>
    <t xml:space="preserve">T-03.02, TABIQUE DE FIBROCEMENTO SANITARIO BC 8MM + FIBROCEM. PRO 8MM/ 01 CARA O SIMILAR</t>
  </si>
  <si>
    <t xml:space="preserve">2177FS</t>
  </si>
  <si>
    <t xml:space="preserve">MSP-2179</t>
  </si>
  <si>
    <t xml:space="preserve">1.4.1.2.1.7</t>
  </si>
  <si>
    <t xml:space="preserve">2178FS</t>
  </si>
  <si>
    <t xml:space="preserve">MSP-2180</t>
  </si>
  <si>
    <t xml:space="preserve">1.4.1.2.1.8</t>
  </si>
  <si>
    <t xml:space="preserve">DIVISION DE MELAMINA 18 MM PARA SS HHH SEGÚN DISEÑO INC. ACCESORIOS.</t>
  </si>
  <si>
    <t xml:space="preserve">2179FS</t>
  </si>
  <si>
    <t xml:space="preserve">MSP-2181</t>
  </si>
  <si>
    <t xml:space="preserve">1.4.1.2.1.9</t>
  </si>
  <si>
    <t xml:space="preserve">DIVISION DE MELAMINA 18 MM PARA URINARIOS SEGUN DISEÑO</t>
  </si>
  <si>
    <t xml:space="preserve">2180FS</t>
  </si>
  <si>
    <t xml:space="preserve">MSP-2182</t>
  </si>
  <si>
    <t xml:space="preserve">1.4.1.2.2</t>
  </si>
  <si>
    <t xml:space="preserve">MSP-2183</t>
  </si>
  <si>
    <t xml:space="preserve">1.4.1.2.2.1</t>
  </si>
  <si>
    <t xml:space="preserve">MSP-2184</t>
  </si>
  <si>
    <t xml:space="preserve">1.4.1.2.2.2</t>
  </si>
  <si>
    <t xml:space="preserve">2183FS+120.0d</t>
  </si>
  <si>
    <t xml:space="preserve">MSP-2185</t>
  </si>
  <si>
    <t xml:space="preserve">1.4.1.2.2.3</t>
  </si>
  <si>
    <t xml:space="preserve">2184FS</t>
  </si>
  <si>
    <t xml:space="preserve">MSP-2186</t>
  </si>
  <si>
    <t xml:space="preserve">1.4.1.2.2.4</t>
  </si>
  <si>
    <t xml:space="preserve">2181FS</t>
  </si>
  <si>
    <t xml:space="preserve">MSP-2187</t>
  </si>
  <si>
    <t xml:space="preserve">1.4.1.2.2.5</t>
  </si>
  <si>
    <t xml:space="preserve">2183FS;2184FS</t>
  </si>
  <si>
    <t xml:space="preserve">MSP-2188</t>
  </si>
  <si>
    <t xml:space="preserve">1.4.1.2.2.6</t>
  </si>
  <si>
    <t xml:space="preserve">FORJADO DE GRADAS Y ESCALERAS DE CEMENTO FROTACHADO</t>
  </si>
  <si>
    <t xml:space="preserve">2187FS</t>
  </si>
  <si>
    <t xml:space="preserve">MSP-2189</t>
  </si>
  <si>
    <t xml:space="preserve">1.4.1.2.2.7</t>
  </si>
  <si>
    <t xml:space="preserve">FORJADO DE DESCANSO CON CEMENTO FROTACHADO</t>
  </si>
  <si>
    <t xml:space="preserve">2188FS</t>
  </si>
  <si>
    <t xml:space="preserve">MSP-2190</t>
  </si>
  <si>
    <t xml:space="preserve">1.4.1.2.2.8</t>
  </si>
  <si>
    <t xml:space="preserve">2189FS</t>
  </si>
  <si>
    <t xml:space="preserve">MSP-2191</t>
  </si>
  <si>
    <t xml:space="preserve">1.4.1.2.2.9</t>
  </si>
  <si>
    <t xml:space="preserve">2190FS</t>
  </si>
  <si>
    <t xml:space="preserve">MSP-2192</t>
  </si>
  <si>
    <t xml:space="preserve">1.4.1.2.3</t>
  </si>
  <si>
    <t xml:space="preserve">MSP-2193</t>
  </si>
  <si>
    <t xml:space="preserve">1.4.1.2.3.1</t>
  </si>
  <si>
    <t xml:space="preserve">MSP-2194</t>
  </si>
  <si>
    <t xml:space="preserve">1.4.1.2.3.2</t>
  </si>
  <si>
    <t xml:space="preserve">2193FS</t>
  </si>
  <si>
    <t xml:space="preserve">MSP-2195</t>
  </si>
  <si>
    <t xml:space="preserve">1.4.1.2.3.3</t>
  </si>
  <si>
    <t xml:space="preserve">FALSO CIELO RASO TIPO 02, FCR-02</t>
  </si>
  <si>
    <t xml:space="preserve">2194FS</t>
  </si>
  <si>
    <t xml:space="preserve">MSP-2196</t>
  </si>
  <si>
    <t xml:space="preserve">1.4.1.2.4</t>
  </si>
  <si>
    <t xml:space="preserve">MSP-2197</t>
  </si>
  <si>
    <t xml:space="preserve">1.4.1.2.4.1</t>
  </si>
  <si>
    <t xml:space="preserve">MSP-2198</t>
  </si>
  <si>
    <t xml:space="preserve">1.4.1.2.4.1.1</t>
  </si>
  <si>
    <t xml:space="preserve">2195FS</t>
  </si>
  <si>
    <t xml:space="preserve">MSP-2199</t>
  </si>
  <si>
    <t xml:space="preserve">1.4.1.2.4.2</t>
  </si>
  <si>
    <t xml:space="preserve">MSP-2200</t>
  </si>
  <si>
    <t xml:space="preserve">1.4.1.2.4.2.1</t>
  </si>
  <si>
    <t xml:space="preserve">2198FS</t>
  </si>
  <si>
    <t xml:space="preserve">MSP-2201</t>
  </si>
  <si>
    <t xml:space="preserve">1.4.1.2.4.2.2</t>
  </si>
  <si>
    <t xml:space="preserve">2200FS</t>
  </si>
  <si>
    <t xml:space="preserve">MSP-2202</t>
  </si>
  <si>
    <t xml:space="preserve">1.4.1.2.4.2.3</t>
  </si>
  <si>
    <t xml:space="preserve">PISO PORCELANATO 0.60x0.60m ANTIDESLIZANTE C/ GRIS CLARO - ALTO TRÁNSITO (DESCANSO Y ESCALERAS)</t>
  </si>
  <si>
    <t xml:space="preserve">2201FS</t>
  </si>
  <si>
    <t xml:space="preserve">MSP-2203</t>
  </si>
  <si>
    <t xml:space="preserve">1.4.1.2.4.2.4</t>
  </si>
  <si>
    <t xml:space="preserve">2202FS</t>
  </si>
  <si>
    <t xml:space="preserve">MSP-2204</t>
  </si>
  <si>
    <t xml:space="preserve">1.4.1.2.4.2.5</t>
  </si>
  <si>
    <t xml:space="preserve">PISO PORCELANATO 0.60x0.60M ANTIDESLIZANTE C/ GRIS OSCURO - ALTO TRÁNSITO (PARA COCINA)</t>
  </si>
  <si>
    <t xml:space="preserve">2203FS</t>
  </si>
  <si>
    <t xml:space="preserve">MSP-2205</t>
  </si>
  <si>
    <t xml:space="preserve">1.4.1.2.4.3</t>
  </si>
  <si>
    <t xml:space="preserve">CANTONERA</t>
  </si>
  <si>
    <t xml:space="preserve">MSP-2206</t>
  </si>
  <si>
    <t xml:space="preserve">1.4.1.2.4.3.1</t>
  </si>
  <si>
    <t xml:space="preserve">CANTONERA DE ALUMINIO 47mmX27mm</t>
  </si>
  <si>
    <t xml:space="preserve">2204FS</t>
  </si>
  <si>
    <t xml:space="preserve">MSP-2207</t>
  </si>
  <si>
    <t xml:space="preserve">1.4.1.2.5</t>
  </si>
  <si>
    <t xml:space="preserve">MSP-2208</t>
  </si>
  <si>
    <t xml:space="preserve">1.4.1.2.5.1</t>
  </si>
  <si>
    <t xml:space="preserve">2200SS</t>
  </si>
  <si>
    <t xml:space="preserve">MSP-2209</t>
  </si>
  <si>
    <t xml:space="preserve">1.4.1.2.5.2</t>
  </si>
  <si>
    <t xml:space="preserve">2208SS</t>
  </si>
  <si>
    <t xml:space="preserve">MSP-2210</t>
  </si>
  <si>
    <t xml:space="preserve">1.4.1.2.5.3</t>
  </si>
  <si>
    <t xml:space="preserve">MSP-2211</t>
  </si>
  <si>
    <t xml:space="preserve">1.4.1.2.5.4</t>
  </si>
  <si>
    <t xml:space="preserve">ZOCALO PORCELANATO 0.60x0.60m ANTIDESLIZANTE C/GRIS CLARO PARA COCINA</t>
  </si>
  <si>
    <t xml:space="preserve">MSP-2212</t>
  </si>
  <si>
    <t xml:space="preserve">1.4.1.2.5.5</t>
  </si>
  <si>
    <t xml:space="preserve">REVESTIMIENTO EN MESONES CON PORCELANATO DE 0.60x0.60 M</t>
  </si>
  <si>
    <t xml:space="preserve">2211FS</t>
  </si>
  <si>
    <t xml:space="preserve">MSP-2213</t>
  </si>
  <si>
    <t xml:space="preserve">1.4.1.2.5.6</t>
  </si>
  <si>
    <t xml:space="preserve">RODOMETAL DE ALUMINIO DE 10MM</t>
  </si>
  <si>
    <t xml:space="preserve">2212FS</t>
  </si>
  <si>
    <t xml:space="preserve">MSP-2214</t>
  </si>
  <si>
    <t xml:space="preserve">1.4.1.2.6</t>
  </si>
  <si>
    <t xml:space="preserve">MSP-2215</t>
  </si>
  <si>
    <t xml:space="preserve">1.4.1.2.6.1</t>
  </si>
  <si>
    <t xml:space="preserve">2213FS</t>
  </si>
  <si>
    <t xml:space="preserve">MSP-2216</t>
  </si>
  <si>
    <t xml:space="preserve">1.4.1.2.6.2</t>
  </si>
  <si>
    <t xml:space="preserve">2215SS+3.0d</t>
  </si>
  <si>
    <t xml:space="preserve">MSP-2217</t>
  </si>
  <si>
    <t xml:space="preserve">1.4.1.2.7</t>
  </si>
  <si>
    <t xml:space="preserve">MSP-2218</t>
  </si>
  <si>
    <t xml:space="preserve">1.4.1.2.7.1</t>
  </si>
  <si>
    <t xml:space="preserve">MSP-2219</t>
  </si>
  <si>
    <t xml:space="preserve">1.4.1.2.7.1.1</t>
  </si>
  <si>
    <t xml:space="preserve">MSP-2220</t>
  </si>
  <si>
    <t xml:space="preserve">1.4.1.2.7.1.2</t>
  </si>
  <si>
    <t xml:space="preserve">2219FS</t>
  </si>
  <si>
    <t xml:space="preserve">MSP-2221</t>
  </si>
  <si>
    <t xml:space="preserve">1.4.1.2.7.1.3</t>
  </si>
  <si>
    <t xml:space="preserve">2220FS</t>
  </si>
  <si>
    <t xml:space="preserve">MSP-2222</t>
  </si>
  <si>
    <t xml:space="preserve">1.4.1.2.7.1.4</t>
  </si>
  <si>
    <t xml:space="preserve">PC-04, PUERTA CONTRAPLACADA, 01 HOJA</t>
  </si>
  <si>
    <t xml:space="preserve">2221FS</t>
  </si>
  <si>
    <t xml:space="preserve">MSP-2223</t>
  </si>
  <si>
    <t xml:space="preserve">1.4.1.2.7.1.5</t>
  </si>
  <si>
    <t xml:space="preserve">PMA_02, PUERTA MACHIHEMBRADA, 01 HOJA</t>
  </si>
  <si>
    <t xml:space="preserve">2222FS</t>
  </si>
  <si>
    <t xml:space="preserve">MSP-2224</t>
  </si>
  <si>
    <t xml:space="preserve">1.4.1.2.7.1.6</t>
  </si>
  <si>
    <t xml:space="preserve">PMA_03, PUERTA MACHIHEMBRADA, 01 HOJA</t>
  </si>
  <si>
    <t xml:space="preserve">2223FS</t>
  </si>
  <si>
    <t xml:space="preserve">MSP-2225</t>
  </si>
  <si>
    <t xml:space="preserve">1.4.1.2.7.1.7</t>
  </si>
  <si>
    <t xml:space="preserve">PMA_04, PUERTA MACHIHEMBRADA, 01 HOJA</t>
  </si>
  <si>
    <t xml:space="preserve">2224FS</t>
  </si>
  <si>
    <t xml:space="preserve">MSP-2226</t>
  </si>
  <si>
    <t xml:space="preserve">1.4.1.2.7.1.8</t>
  </si>
  <si>
    <t xml:space="preserve">PMA_05, PUERTA MACHIHEMBRADA, 01 HOJA</t>
  </si>
  <si>
    <t xml:space="preserve">2225FS</t>
  </si>
  <si>
    <t xml:space="preserve">MSP-2227</t>
  </si>
  <si>
    <t xml:space="preserve">1.4.1.2.7.1.9</t>
  </si>
  <si>
    <t xml:space="preserve">PMA_08, PUERTA MACHIHEMBRADA, 01 HOJA</t>
  </si>
  <si>
    <t xml:space="preserve">2226FS</t>
  </si>
  <si>
    <t xml:space="preserve">MSP-2228</t>
  </si>
  <si>
    <t xml:space="preserve">1.4.1.2.7.1.10</t>
  </si>
  <si>
    <t xml:space="preserve">PMA_09, PUERTA MACHIHEMBRADA, 02 HOJA</t>
  </si>
  <si>
    <t xml:space="preserve">2227FS</t>
  </si>
  <si>
    <t xml:space="preserve">MSP-2229</t>
  </si>
  <si>
    <t xml:space="preserve">1.4.1.2.8</t>
  </si>
  <si>
    <t xml:space="preserve">MSP-2230</t>
  </si>
  <si>
    <t xml:space="preserve">1.4.1.2.8.1</t>
  </si>
  <si>
    <t xml:space="preserve">MSP-2231</t>
  </si>
  <si>
    <t xml:space="preserve">1.4.1.2.8.1.1</t>
  </si>
  <si>
    <t xml:space="preserve">PME-05, PUERTA METÁLICA DE 02 HOJAS</t>
  </si>
  <si>
    <t xml:space="preserve">2228FS</t>
  </si>
  <si>
    <t xml:space="preserve">MSP-2232</t>
  </si>
  <si>
    <t xml:space="preserve">1.4.1.2.8.1.2</t>
  </si>
  <si>
    <t xml:space="preserve">2231FS</t>
  </si>
  <si>
    <t xml:space="preserve">MSP-2233</t>
  </si>
  <si>
    <t xml:space="preserve">1.4.1.2.8.2</t>
  </si>
  <si>
    <t xml:space="preserve">ACCESORIOS DE CIERRE</t>
  </si>
  <si>
    <t xml:space="preserve">MSP-2234</t>
  </si>
  <si>
    <t xml:space="preserve">1.4.1.2.8.2.1</t>
  </si>
  <si>
    <t xml:space="preserve">BARRA ANTIPANICO</t>
  </si>
  <si>
    <t xml:space="preserve">2232FS</t>
  </si>
  <si>
    <t xml:space="preserve">MSP-2235</t>
  </si>
  <si>
    <t xml:space="preserve">1.4.1.2.8.3</t>
  </si>
  <si>
    <t xml:space="preserve">MSP-2236</t>
  </si>
  <si>
    <t xml:space="preserve">1.4.1.2.8.3.1</t>
  </si>
  <si>
    <t xml:space="preserve">2234FS</t>
  </si>
  <si>
    <t xml:space="preserve">MSP-2237</t>
  </si>
  <si>
    <t xml:space="preserve">1.4.1.2.8.4</t>
  </si>
  <si>
    <t xml:space="preserve">MSP-2238</t>
  </si>
  <si>
    <t xml:space="preserve">1.4.1.2.8.4.1</t>
  </si>
  <si>
    <t xml:space="preserve">2236FS</t>
  </si>
  <si>
    <t xml:space="preserve">MSP-2239</t>
  </si>
  <si>
    <t xml:space="preserve">1.4.1.2.8.4.2</t>
  </si>
  <si>
    <t xml:space="preserve">BARANDA METALICA DE TUBO F°N° Ø2"x2MM H=0.90M, PINTURA ANTICORROSIVO 2 MANOS Y PINTURA ESMALTE 2 MANOS</t>
  </si>
  <si>
    <t xml:space="preserve">2238FS</t>
  </si>
  <si>
    <t xml:space="preserve">MSP-2240</t>
  </si>
  <si>
    <t xml:space="preserve">1.4.1.2.8.5</t>
  </si>
  <si>
    <t xml:space="preserve">PASAMANO</t>
  </si>
  <si>
    <t xml:space="preserve">MSP-2241</t>
  </si>
  <si>
    <t xml:space="preserve">1.4.1.2.8.5.1</t>
  </si>
  <si>
    <t xml:space="preserve">PASAMANO METALICO DE TUBO F°N° Ø2"x2MM H=0.90, PINTURA ANTICORROSIVO 2 MANOS Y PINTURA ESMALTE 2 MANOS</t>
  </si>
  <si>
    <t xml:space="preserve">2239SS</t>
  </si>
  <si>
    <t xml:space="preserve">MSP-2242</t>
  </si>
  <si>
    <t xml:space="preserve">1.4.1.2.8.6</t>
  </si>
  <si>
    <t xml:space="preserve">AGARRADERA PARA DISCAPACITADOS</t>
  </si>
  <si>
    <t xml:space="preserve">MSP-2243</t>
  </si>
  <si>
    <t xml:space="preserve">1.4.1.2.8.6.1</t>
  </si>
  <si>
    <t xml:space="preserve">AGARRADERA DE TUBO PARA DISCAPACITADOS EN INODORO</t>
  </si>
  <si>
    <t xml:space="preserve">2241FS</t>
  </si>
  <si>
    <t xml:space="preserve">MSP-2244</t>
  </si>
  <si>
    <t xml:space="preserve">1.4.1.2.8.7</t>
  </si>
  <si>
    <t xml:space="preserve">MSP-2245</t>
  </si>
  <si>
    <t xml:space="preserve">1.4.1.2.8.7.1</t>
  </si>
  <si>
    <t xml:space="preserve">ESCALERA METÁLICA DE GATO C/PROTECCIÓN SEGÚN DISEÑO</t>
  </si>
  <si>
    <t xml:space="preserve">2243FS</t>
  </si>
  <si>
    <t xml:space="preserve">MSP-2246</t>
  </si>
  <si>
    <t xml:space="preserve">1.4.1.2.9</t>
  </si>
  <si>
    <t xml:space="preserve">MSP-2247</t>
  </si>
  <si>
    <t xml:space="preserve">1.4.1.2.9.1</t>
  </si>
  <si>
    <t xml:space="preserve">MSP-2248</t>
  </si>
  <si>
    <t xml:space="preserve">1.4.1.2.9.1.1</t>
  </si>
  <si>
    <t xml:space="preserve">MSP-2249</t>
  </si>
  <si>
    <t xml:space="preserve">1.4.1.2.9.1.2</t>
  </si>
  <si>
    <t xml:space="preserve">2248FS</t>
  </si>
  <si>
    <t xml:space="preserve">MSP-2250</t>
  </si>
  <si>
    <t xml:space="preserve">1.4.1.2.9.1.3</t>
  </si>
  <si>
    <t xml:space="preserve">PV-04, PUERTA DE VIDRIO TEMPLADO, 02 HOJAS</t>
  </si>
  <si>
    <t xml:space="preserve">2249FS</t>
  </si>
  <si>
    <t xml:space="preserve">MSP-2251</t>
  </si>
  <si>
    <t xml:space="preserve">1.4.1.2.9.1.4</t>
  </si>
  <si>
    <t xml:space="preserve">PV-07', PUERTA DE VIDRIO TEMPLADO, 02 HOJAS</t>
  </si>
  <si>
    <t xml:space="preserve">2250FS</t>
  </si>
  <si>
    <t xml:space="preserve">MSP-2252</t>
  </si>
  <si>
    <t xml:space="preserve">1.4.1.2.9.1.5</t>
  </si>
  <si>
    <t xml:space="preserve">MP-02, MAMPARA DE VIDRIO TEMPLADO, 02 HOJAS BATIENTES</t>
  </si>
  <si>
    <t xml:space="preserve">2251FS</t>
  </si>
  <si>
    <t xml:space="preserve">MSP-2253</t>
  </si>
  <si>
    <t xml:space="preserve">1.4.1.2.9.2</t>
  </si>
  <si>
    <t xml:space="preserve">MSP-2254</t>
  </si>
  <si>
    <t xml:space="preserve">1.4.1.2.9.2.1</t>
  </si>
  <si>
    <t xml:space="preserve">2252FS</t>
  </si>
  <si>
    <t xml:space="preserve">MSP-2255</t>
  </si>
  <si>
    <t xml:space="preserve">1.4.1.2.9.3</t>
  </si>
  <si>
    <t xml:space="preserve">MSP-2256</t>
  </si>
  <si>
    <t xml:space="preserve">1.4.1.2.9.3.1</t>
  </si>
  <si>
    <t xml:space="preserve">TABIQUE DE MAMPARA DE VIDRIO TEMPLADO INCOLORO e=8MM SEGUN DETALLE</t>
  </si>
  <si>
    <t xml:space="preserve">2253FS</t>
  </si>
  <si>
    <t xml:space="preserve">MSP-2257</t>
  </si>
  <si>
    <t xml:space="preserve">1.4.1.2.9.3.2</t>
  </si>
  <si>
    <t xml:space="preserve">2256FS</t>
  </si>
  <si>
    <t xml:space="preserve">MSP-2258</t>
  </si>
  <si>
    <t xml:space="preserve">1.4.1.2.9.3.3</t>
  </si>
  <si>
    <t xml:space="preserve">BARANDA METALICA DE TUBO ACERO INOX Ø2"x2MM H=0.90M</t>
  </si>
  <si>
    <t xml:space="preserve">2257FS</t>
  </si>
  <si>
    <t xml:space="preserve">MSP-2259</t>
  </si>
  <si>
    <t xml:space="preserve">1.4.1.2.9.3.4</t>
  </si>
  <si>
    <t xml:space="preserve">ESPEJO DE 6MM C/MARCO DE ALUMINIO S/DETALLE</t>
  </si>
  <si>
    <t xml:space="preserve">2258FS</t>
  </si>
  <si>
    <t xml:space="preserve">MSP-2260</t>
  </si>
  <si>
    <t xml:space="preserve">1.4.1.2.9.3.5</t>
  </si>
  <si>
    <t xml:space="preserve">SISTEMA DE PERSIANAS QUIEBRAVISTA 50B VERTICAL O SIMILAR, CON TERMINACIONES DE COLOR MADERA ROBLE</t>
  </si>
  <si>
    <t xml:space="preserve">2259FS</t>
  </si>
  <si>
    <t xml:space="preserve">MSP-2261</t>
  </si>
  <si>
    <t xml:space="preserve">1.4.1.2.10</t>
  </si>
  <si>
    <t xml:space="preserve">MSP-2262</t>
  </si>
  <si>
    <t xml:space="preserve">1.4.1.2.10.1</t>
  </si>
  <si>
    <t xml:space="preserve">MSP-2263</t>
  </si>
  <si>
    <t xml:space="preserve">1.4.1.2.10.2</t>
  </si>
  <si>
    <t xml:space="preserve">2262FS</t>
  </si>
  <si>
    <t xml:space="preserve">MSP-2264</t>
  </si>
  <si>
    <t xml:space="preserve">1.4.1.2.10.3</t>
  </si>
  <si>
    <t xml:space="preserve">MSP-2265</t>
  </si>
  <si>
    <t xml:space="preserve">1.4.1.2.10.4</t>
  </si>
  <si>
    <t xml:space="preserve">MSP-2266</t>
  </si>
  <si>
    <t xml:space="preserve">1.4.1.2.10.5</t>
  </si>
  <si>
    <t xml:space="preserve">2265FS</t>
  </si>
  <si>
    <t xml:space="preserve">MSP-2267</t>
  </si>
  <si>
    <t xml:space="preserve">1.4.1.2.11</t>
  </si>
  <si>
    <t xml:space="preserve">MSP-2268</t>
  </si>
  <si>
    <t xml:space="preserve">1.4.1.2.11.1</t>
  </si>
  <si>
    <t xml:space="preserve">TAPAJUNTA EN PISO CON ACERO INOXIDABLE, E=3/16"</t>
  </si>
  <si>
    <t xml:space="preserve">2266FS</t>
  </si>
  <si>
    <t xml:space="preserve">MSP-2269</t>
  </si>
  <si>
    <t xml:space="preserve">1.4.1.2.11.2</t>
  </si>
  <si>
    <t xml:space="preserve">2268FS</t>
  </si>
  <si>
    <t xml:space="preserve">MSP-2270</t>
  </si>
  <si>
    <t xml:space="preserve">1.4.1.2.12</t>
  </si>
  <si>
    <t xml:space="preserve">MSP-2271</t>
  </si>
  <si>
    <t xml:space="preserve">1.4.1.2.12.1</t>
  </si>
  <si>
    <t xml:space="preserve">MSP-2272</t>
  </si>
  <si>
    <t xml:space="preserve">1.4.1.2.12.1.1</t>
  </si>
  <si>
    <t xml:space="preserve">RUTA DE EVACUACIÓN ESCALERA BAJANDO</t>
  </si>
  <si>
    <t xml:space="preserve">2269FS</t>
  </si>
  <si>
    <t xml:space="preserve">MSP-2273</t>
  </si>
  <si>
    <t xml:space="preserve">1.4.1.2.12.1.2</t>
  </si>
  <si>
    <t xml:space="preserve">2272FS</t>
  </si>
  <si>
    <t xml:space="preserve">MSP-2274</t>
  </si>
  <si>
    <t xml:space="preserve">1.4.1.2.12.1.3</t>
  </si>
  <si>
    <t xml:space="preserve">2273FS</t>
  </si>
  <si>
    <t xml:space="preserve">MSP-2275</t>
  </si>
  <si>
    <t xml:space="preserve">1.4.1.2.12.1.4</t>
  </si>
  <si>
    <t xml:space="preserve">2274FS</t>
  </si>
  <si>
    <t xml:space="preserve">MSP-2276</t>
  </si>
  <si>
    <t xml:space="preserve">1.4.1.2.12.2</t>
  </si>
  <si>
    <t xml:space="preserve">SEÑALES DE EQUIPOS CONTRAINCENDIOS</t>
  </si>
  <si>
    <t xml:space="preserve">MSP-2277</t>
  </si>
  <si>
    <t xml:space="preserve">1.4.1.2.12.2.1</t>
  </si>
  <si>
    <t xml:space="preserve">EXTINTOR DE POLVO QUIMICO SECO 9KG</t>
  </si>
  <si>
    <t xml:space="preserve">2275FS</t>
  </si>
  <si>
    <t xml:space="preserve">MSP-2278</t>
  </si>
  <si>
    <t xml:space="preserve">1.4.1.2.12.3</t>
  </si>
  <si>
    <t xml:space="preserve">MSP-2279</t>
  </si>
  <si>
    <t xml:space="preserve">1.4.1.2.12.3.1</t>
  </si>
  <si>
    <t xml:space="preserve">2277FS</t>
  </si>
  <si>
    <t xml:space="preserve">MSP-2280</t>
  </si>
  <si>
    <t xml:space="preserve">1.4.1.2.12.4</t>
  </si>
  <si>
    <t xml:space="preserve">SEÑALES DE ADVERTENCIA</t>
  </si>
  <si>
    <t xml:space="preserve">MSP-2281</t>
  </si>
  <si>
    <t xml:space="preserve">1.4.1.2.12.4.1</t>
  </si>
  <si>
    <t xml:space="preserve">RIESGO ELÉCTRICO - TABLERO GENERAL</t>
  </si>
  <si>
    <t xml:space="preserve">2279FS</t>
  </si>
  <si>
    <t xml:space="preserve">MSP-2282</t>
  </si>
  <si>
    <t xml:space="preserve">1.4.1.3</t>
  </si>
  <si>
    <t xml:space="preserve">MSP-2283</t>
  </si>
  <si>
    <t xml:space="preserve">1.4.1.3.1</t>
  </si>
  <si>
    <t xml:space="preserve">MSP-2284</t>
  </si>
  <si>
    <t xml:space="preserve">1.4.1.3.1.1</t>
  </si>
  <si>
    <t xml:space="preserve">MSP-2285</t>
  </si>
  <si>
    <t xml:space="preserve">1.4.1.3.1.2</t>
  </si>
  <si>
    <t xml:space="preserve">MSP-2286</t>
  </si>
  <si>
    <t xml:space="preserve">1.4.1.3.1.3</t>
  </si>
  <si>
    <t xml:space="preserve">2285FS</t>
  </si>
  <si>
    <t xml:space="preserve">MSP-2287</t>
  </si>
  <si>
    <t xml:space="preserve">1.4.1.3.2</t>
  </si>
  <si>
    <t xml:space="preserve">MSP-2288</t>
  </si>
  <si>
    <t xml:space="preserve">1.4.1.3.2.1</t>
  </si>
  <si>
    <t xml:space="preserve">2286FS</t>
  </si>
  <si>
    <t xml:space="preserve">MSP-2289</t>
  </si>
  <si>
    <t xml:space="preserve">1.4.1.3.2.2</t>
  </si>
  <si>
    <t xml:space="preserve">2288FS</t>
  </si>
  <si>
    <t xml:space="preserve">MSP-2290</t>
  </si>
  <si>
    <t xml:space="preserve">1.4.1.3.2.3</t>
  </si>
  <si>
    <t xml:space="preserve">2289FS</t>
  </si>
  <si>
    <t xml:space="preserve">MSP-2291</t>
  </si>
  <si>
    <t xml:space="preserve">1.4.1.3.2.4</t>
  </si>
  <si>
    <t xml:space="preserve">2290SS</t>
  </si>
  <si>
    <t xml:space="preserve">MSP-2292</t>
  </si>
  <si>
    <t xml:space="preserve">1.4.1.3.2.5</t>
  </si>
  <si>
    <t xml:space="preserve">2288FS;2289FS</t>
  </si>
  <si>
    <t xml:space="preserve">MSP-2293</t>
  </si>
  <si>
    <t xml:space="preserve">1.4.1.3.3</t>
  </si>
  <si>
    <t xml:space="preserve">MSP-2294</t>
  </si>
  <si>
    <t xml:space="preserve">1.4.1.3.3.1</t>
  </si>
  <si>
    <t xml:space="preserve">2292FS</t>
  </si>
  <si>
    <t xml:space="preserve">MSP-2295</t>
  </si>
  <si>
    <t xml:space="preserve">1.4.1.3.3.2</t>
  </si>
  <si>
    <t xml:space="preserve">2294FS</t>
  </si>
  <si>
    <t xml:space="preserve">MSP-2296</t>
  </si>
  <si>
    <t xml:space="preserve">1.4.1.3.3.3</t>
  </si>
  <si>
    <t xml:space="preserve">2295FS</t>
  </si>
  <si>
    <t xml:space="preserve">MSP-2297</t>
  </si>
  <si>
    <t xml:space="preserve">1.4.1.3.4</t>
  </si>
  <si>
    <t xml:space="preserve">MSP-2298</t>
  </si>
  <si>
    <t xml:space="preserve">1.4.1.3.4.1</t>
  </si>
  <si>
    <t xml:space="preserve">MSP-2299</t>
  </si>
  <si>
    <t xml:space="preserve">1.4.1.3.4.1.1</t>
  </si>
  <si>
    <t xml:space="preserve">2296FS</t>
  </si>
  <si>
    <t xml:space="preserve">MSP-2300</t>
  </si>
  <si>
    <t xml:space="preserve">1.4.1.3.4.2</t>
  </si>
  <si>
    <t xml:space="preserve">MSP-2301</t>
  </si>
  <si>
    <t xml:space="preserve">1.4.1.3.4.2.1</t>
  </si>
  <si>
    <t xml:space="preserve">2299FS</t>
  </si>
  <si>
    <t xml:space="preserve">MSP-2302</t>
  </si>
  <si>
    <t xml:space="preserve">1.4.1.3.4.2.2</t>
  </si>
  <si>
    <t xml:space="preserve">2301FS</t>
  </si>
  <si>
    <t xml:space="preserve">MSP-2303</t>
  </si>
  <si>
    <t xml:space="preserve">1.4.1.3.4.2.3</t>
  </si>
  <si>
    <t xml:space="preserve">2302FS</t>
  </si>
  <si>
    <t xml:space="preserve">MSP-2304</t>
  </si>
  <si>
    <t xml:space="preserve">1.4.1.3.4.2.4</t>
  </si>
  <si>
    <t xml:space="preserve">PISO PORCELANATO 0.60x0.60M ANTIDESLIZANTE C/ GRIS OSCURO - ALTO TRÁNSITO (PARA COMEDOR)</t>
  </si>
  <si>
    <t xml:space="preserve">2303FS</t>
  </si>
  <si>
    <t xml:space="preserve">MSP-2305</t>
  </si>
  <si>
    <t xml:space="preserve">1.4.1.3.4.2.5</t>
  </si>
  <si>
    <t xml:space="preserve">2304FS</t>
  </si>
  <si>
    <t xml:space="preserve">MSP-2306</t>
  </si>
  <si>
    <t xml:space="preserve">1.4.1.3.5</t>
  </si>
  <si>
    <t xml:space="preserve">MSP-2307</t>
  </si>
  <si>
    <t xml:space="preserve">1.4.1.3.5.1</t>
  </si>
  <si>
    <t xml:space="preserve">2299SS</t>
  </si>
  <si>
    <t xml:space="preserve">MSP-2308</t>
  </si>
  <si>
    <t xml:space="preserve">1.4.1.3.5.2</t>
  </si>
  <si>
    <t xml:space="preserve">2307SS</t>
  </si>
  <si>
    <t xml:space="preserve">MSP-2309</t>
  </si>
  <si>
    <t xml:space="preserve">1.4.1.3.5.3</t>
  </si>
  <si>
    <t xml:space="preserve">MSP-2310</t>
  </si>
  <si>
    <t xml:space="preserve">1.4.1.3.5.4</t>
  </si>
  <si>
    <t xml:space="preserve">MSP-2311</t>
  </si>
  <si>
    <t xml:space="preserve">1.4.1.3.6</t>
  </si>
  <si>
    <t xml:space="preserve">MSP-2312</t>
  </si>
  <si>
    <t xml:space="preserve">1.4.1.3.6.1</t>
  </si>
  <si>
    <t xml:space="preserve">2310FS</t>
  </si>
  <si>
    <t xml:space="preserve">MSP-2313</t>
  </si>
  <si>
    <t xml:space="preserve">1.4.1.3.6.2</t>
  </si>
  <si>
    <t xml:space="preserve">2312FS</t>
  </si>
  <si>
    <t xml:space="preserve">MSP-2314</t>
  </si>
  <si>
    <t xml:space="preserve">1.4.1.3.7</t>
  </si>
  <si>
    <t xml:space="preserve">MSP-2315</t>
  </si>
  <si>
    <t xml:space="preserve">1.4.1.3.7.1</t>
  </si>
  <si>
    <t xml:space="preserve">MSP-2316</t>
  </si>
  <si>
    <t xml:space="preserve">1.4.1.3.7.1.1</t>
  </si>
  <si>
    <t xml:space="preserve">2313FS</t>
  </si>
  <si>
    <t xml:space="preserve">MSP-2317</t>
  </si>
  <si>
    <t xml:space="preserve">1.4.1.3.7.1.2</t>
  </si>
  <si>
    <t xml:space="preserve">2316FS</t>
  </si>
  <si>
    <t xml:space="preserve">MSP-2318</t>
  </si>
  <si>
    <t xml:space="preserve">1.4.1.3.8</t>
  </si>
  <si>
    <t xml:space="preserve">MSP-2319</t>
  </si>
  <si>
    <t xml:space="preserve">1.4.1.3.8.1</t>
  </si>
  <si>
    <t xml:space="preserve">MSP-2320</t>
  </si>
  <si>
    <t xml:space="preserve">1.4.1.3.8.1.1</t>
  </si>
  <si>
    <t xml:space="preserve">PME-06, PUERTA METÁLICA DE 02 HOJAS, CORTA FUEGO</t>
  </si>
  <si>
    <t xml:space="preserve">2317FS</t>
  </si>
  <si>
    <t xml:space="preserve">MSP-2321</t>
  </si>
  <si>
    <t xml:space="preserve">1.4.1.3.8.2</t>
  </si>
  <si>
    <t xml:space="preserve">MSP-2322</t>
  </si>
  <si>
    <t xml:space="preserve">1.4.1.3.8.2.1</t>
  </si>
  <si>
    <t xml:space="preserve">2320FS</t>
  </si>
  <si>
    <t xml:space="preserve">MSP-2323</t>
  </si>
  <si>
    <t xml:space="preserve">1.4.1.3.8.3</t>
  </si>
  <si>
    <t xml:space="preserve">MSP-2324</t>
  </si>
  <si>
    <t xml:space="preserve">1.4.1.3.8.3.1</t>
  </si>
  <si>
    <t xml:space="preserve">2322FS</t>
  </si>
  <si>
    <t xml:space="preserve">MSP-2325</t>
  </si>
  <si>
    <t xml:space="preserve">1.4.1.3.8.4</t>
  </si>
  <si>
    <t xml:space="preserve">MSP-2326</t>
  </si>
  <si>
    <t xml:space="preserve">1.4.1.3.8.4.1</t>
  </si>
  <si>
    <t xml:space="preserve">2324FS</t>
  </si>
  <si>
    <t xml:space="preserve">MSP-2327</t>
  </si>
  <si>
    <t xml:space="preserve">1.4.1.3.8.5</t>
  </si>
  <si>
    <t xml:space="preserve">MSP-2328</t>
  </si>
  <si>
    <t xml:space="preserve">1.4.1.3.8.5.1</t>
  </si>
  <si>
    <t xml:space="preserve">2326FS</t>
  </si>
  <si>
    <t xml:space="preserve">MSP-2329</t>
  </si>
  <si>
    <t xml:space="preserve">1.4.1.3.9</t>
  </si>
  <si>
    <t xml:space="preserve">MSP-2330</t>
  </si>
  <si>
    <t xml:space="preserve">1.4.1.3.9.1</t>
  </si>
  <si>
    <t xml:space="preserve">MSP-2331</t>
  </si>
  <si>
    <t xml:space="preserve">1.4.1.3.9.1.1</t>
  </si>
  <si>
    <t xml:space="preserve">2328FS</t>
  </si>
  <si>
    <t xml:space="preserve">MSP-2332</t>
  </si>
  <si>
    <t xml:space="preserve">1.4.1.3.9.1.2</t>
  </si>
  <si>
    <t xml:space="preserve">MP-01, MAMPARA DE VIDRIO TEMPLADO, 02 HOJAS</t>
  </si>
  <si>
    <t xml:space="preserve">2331FS</t>
  </si>
  <si>
    <t xml:space="preserve">MSP-2333</t>
  </si>
  <si>
    <t xml:space="preserve">1.4.1.3.9.1.3</t>
  </si>
  <si>
    <t xml:space="preserve">MP-04', MAMPARA DE VIDRIO TEMPLADO, 02 HOJAS BATIENTES</t>
  </si>
  <si>
    <t xml:space="preserve">2332FS</t>
  </si>
  <si>
    <t xml:space="preserve">MSP-2334</t>
  </si>
  <si>
    <t xml:space="preserve">1.4.1.3.9.2</t>
  </si>
  <si>
    <t xml:space="preserve">MSP-2335</t>
  </si>
  <si>
    <t xml:space="preserve">1.4.1.3.9.2.1</t>
  </si>
  <si>
    <t xml:space="preserve">VENTANA FIJA Y CORREDIZA C/ CRISTAL TEMPLADO</t>
  </si>
  <si>
    <t xml:space="preserve">2333FS</t>
  </si>
  <si>
    <t xml:space="preserve">MSP-2336</t>
  </si>
  <si>
    <t xml:space="preserve">1.4.1.3.9.3</t>
  </si>
  <si>
    <t xml:space="preserve">TABIQUE DE MAMPARA DE VIDRIO</t>
  </si>
  <si>
    <t xml:space="preserve">MSP-2337</t>
  </si>
  <si>
    <t xml:space="preserve">1.4.1.3.9.3.1</t>
  </si>
  <si>
    <t xml:space="preserve">2335FS</t>
  </si>
  <si>
    <t xml:space="preserve">MSP-2338</t>
  </si>
  <si>
    <t xml:space="preserve">1.4.1.3.9.4</t>
  </si>
  <si>
    <t xml:space="preserve">VINILO ADHESIVO</t>
  </si>
  <si>
    <t xml:space="preserve">MSP-2339</t>
  </si>
  <si>
    <t xml:space="preserve">1.4.1.3.9.4.1</t>
  </si>
  <si>
    <t xml:space="preserve">2337FS</t>
  </si>
  <si>
    <t xml:space="preserve">MSP-2340</t>
  </si>
  <si>
    <t xml:space="preserve">1.4.1.3.10</t>
  </si>
  <si>
    <t xml:space="preserve">MSP-2341</t>
  </si>
  <si>
    <t xml:space="preserve">1.4.1.3.10.1</t>
  </si>
  <si>
    <t xml:space="preserve">MSP-2342</t>
  </si>
  <si>
    <t xml:space="preserve">1.4.1.3.10.2</t>
  </si>
  <si>
    <t xml:space="preserve">2341FS</t>
  </si>
  <si>
    <t xml:space="preserve">MSP-2343</t>
  </si>
  <si>
    <t xml:space="preserve">1.4.1.3.10.3</t>
  </si>
  <si>
    <t xml:space="preserve">MSP-2344</t>
  </si>
  <si>
    <t xml:space="preserve">1.4.1.3.10.4</t>
  </si>
  <si>
    <t xml:space="preserve">MSP-2345</t>
  </si>
  <si>
    <t xml:space="preserve">1.4.1.3.10.5</t>
  </si>
  <si>
    <t xml:space="preserve">2344FS</t>
  </si>
  <si>
    <t xml:space="preserve">MSP-2346</t>
  </si>
  <si>
    <t xml:space="preserve">1.4.1.3.10.6</t>
  </si>
  <si>
    <t xml:space="preserve">2345FS</t>
  </si>
  <si>
    <t xml:space="preserve">MSP-2347</t>
  </si>
  <si>
    <t xml:space="preserve">1.4.1.3.11</t>
  </si>
  <si>
    <t xml:space="preserve">MSP-2348</t>
  </si>
  <si>
    <t xml:space="preserve">1.4.1.3.11.1</t>
  </si>
  <si>
    <t xml:space="preserve">IMPERMEABILIZACION DE ELEMENTOS EN CONTACTO CON EL TERRENO</t>
  </si>
  <si>
    <t xml:space="preserve">2346FS</t>
  </si>
  <si>
    <t xml:space="preserve">MSP-2349</t>
  </si>
  <si>
    <t xml:space="preserve">1.4.1.3.11.2</t>
  </si>
  <si>
    <t xml:space="preserve">2348FS</t>
  </si>
  <si>
    <t xml:space="preserve">MSP-2350</t>
  </si>
  <si>
    <t xml:space="preserve">1.4.1.3.11.3</t>
  </si>
  <si>
    <t xml:space="preserve">2349FS</t>
  </si>
  <si>
    <t xml:space="preserve">MSP-2351</t>
  </si>
  <si>
    <t xml:space="preserve">1.4.1.3.12</t>
  </si>
  <si>
    <t xml:space="preserve">MSP-2352</t>
  </si>
  <si>
    <t xml:space="preserve">1.4.1.3.12.1</t>
  </si>
  <si>
    <t xml:space="preserve">MSP-2353</t>
  </si>
  <si>
    <t xml:space="preserve">1.4.1.3.12.1.1</t>
  </si>
  <si>
    <t xml:space="preserve">2350FS</t>
  </si>
  <si>
    <t xml:space="preserve">MSP-2354</t>
  </si>
  <si>
    <t xml:space="preserve">1.4.1.3.12.1.2</t>
  </si>
  <si>
    <t xml:space="preserve">2353FS</t>
  </si>
  <si>
    <t xml:space="preserve">MSP-2355</t>
  </si>
  <si>
    <t xml:space="preserve">1.4.1.3.12.1.3</t>
  </si>
  <si>
    <t xml:space="preserve">2354FS</t>
  </si>
  <si>
    <t xml:space="preserve">MSP-2356</t>
  </si>
  <si>
    <t xml:space="preserve">1.4.1.3.12.2</t>
  </si>
  <si>
    <t xml:space="preserve">MSP-2357</t>
  </si>
  <si>
    <t xml:space="preserve">1.4.1.3.12.2.1</t>
  </si>
  <si>
    <t xml:space="preserve">2355FS</t>
  </si>
  <si>
    <t xml:space="preserve">MSP-2358</t>
  </si>
  <si>
    <t xml:space="preserve">1.4.1.3.12.3</t>
  </si>
  <si>
    <t xml:space="preserve">MSP-2359</t>
  </si>
  <si>
    <t xml:space="preserve">1.4.1.3.12.3.1</t>
  </si>
  <si>
    <t xml:space="preserve">2357FS</t>
  </si>
  <si>
    <t xml:space="preserve">MSP-2360</t>
  </si>
  <si>
    <t xml:space="preserve">1.4.1.3.12.4</t>
  </si>
  <si>
    <t xml:space="preserve">MSP-2361</t>
  </si>
  <si>
    <t xml:space="preserve">1.4.1.3.12.4.1</t>
  </si>
  <si>
    <t xml:space="preserve">2359FS</t>
  </si>
  <si>
    <t xml:space="preserve">MSP-2362</t>
  </si>
  <si>
    <t xml:space="preserve">1.4.1.4</t>
  </si>
  <si>
    <t xml:space="preserve">MSP-2363</t>
  </si>
  <si>
    <t xml:space="preserve">1.4.1.4.1</t>
  </si>
  <si>
    <t xml:space="preserve">MSP-2364</t>
  </si>
  <si>
    <t xml:space="preserve">1.4.1.4.1.1</t>
  </si>
  <si>
    <t xml:space="preserve">MSP-2365</t>
  </si>
  <si>
    <t xml:space="preserve">1.4.1.4.1.2</t>
  </si>
  <si>
    <t xml:space="preserve">MSP-2366</t>
  </si>
  <si>
    <t xml:space="preserve">1.4.1.4.1.3</t>
  </si>
  <si>
    <t xml:space="preserve">2365FS</t>
  </si>
  <si>
    <t xml:space="preserve">MSP-2367</t>
  </si>
  <si>
    <t xml:space="preserve">1.4.1.4.1.4</t>
  </si>
  <si>
    <t xml:space="preserve">2366FS</t>
  </si>
  <si>
    <t xml:space="preserve">MSP-2368</t>
  </si>
  <si>
    <t xml:space="preserve">1.4.1.4.2</t>
  </si>
  <si>
    <t xml:space="preserve">MSP-2369</t>
  </si>
  <si>
    <t xml:space="preserve">1.4.1.4.2.1</t>
  </si>
  <si>
    <t xml:space="preserve">2367FS</t>
  </si>
  <si>
    <t xml:space="preserve">MSP-2370</t>
  </si>
  <si>
    <t xml:space="preserve">1.4.1.4.2.2</t>
  </si>
  <si>
    <t xml:space="preserve">2369FS</t>
  </si>
  <si>
    <t xml:space="preserve">MSP-2371</t>
  </si>
  <si>
    <t xml:space="preserve">1.4.1.4.2.3</t>
  </si>
  <si>
    <t xml:space="preserve">2370FS</t>
  </si>
  <si>
    <t xml:space="preserve">MSP-2372</t>
  </si>
  <si>
    <t xml:space="preserve">1.4.1.4.2.4</t>
  </si>
  <si>
    <t xml:space="preserve">2371FS</t>
  </si>
  <si>
    <t xml:space="preserve">MSP-2373</t>
  </si>
  <si>
    <t xml:space="preserve">1.4.1.4.2.5</t>
  </si>
  <si>
    <t xml:space="preserve">2369FS;2370FS</t>
  </si>
  <si>
    <t xml:space="preserve">MSP-2374</t>
  </si>
  <si>
    <t xml:space="preserve">1.4.1.4.3</t>
  </si>
  <si>
    <t xml:space="preserve">MSP-2375</t>
  </si>
  <si>
    <t xml:space="preserve">1.4.1.4.3.1</t>
  </si>
  <si>
    <t xml:space="preserve">MSP-2376</t>
  </si>
  <si>
    <t xml:space="preserve">1.4.1.4.4</t>
  </si>
  <si>
    <t xml:space="preserve">MSP-2377</t>
  </si>
  <si>
    <t xml:space="preserve">1.4.1.4.4.1</t>
  </si>
  <si>
    <t xml:space="preserve">MSP-2378</t>
  </si>
  <si>
    <t xml:space="preserve">1.4.1.4.4.1.1</t>
  </si>
  <si>
    <t xml:space="preserve">2375FS</t>
  </si>
  <si>
    <t xml:space="preserve">MSP-2379</t>
  </si>
  <si>
    <t xml:space="preserve">1.4.1.4.4.2</t>
  </si>
  <si>
    <t xml:space="preserve">MSP-2380</t>
  </si>
  <si>
    <t xml:space="preserve">1.4.1.4.4.2.1</t>
  </si>
  <si>
    <t xml:space="preserve">2378FS</t>
  </si>
  <si>
    <t xml:space="preserve">MSP-2381</t>
  </si>
  <si>
    <t xml:space="preserve">1.4.1.4.4.2.2</t>
  </si>
  <si>
    <t xml:space="preserve">2380FS</t>
  </si>
  <si>
    <t xml:space="preserve">MSP-2382</t>
  </si>
  <si>
    <t xml:space="preserve">1.4.1.4.5</t>
  </si>
  <si>
    <t xml:space="preserve">MSP-2383</t>
  </si>
  <si>
    <t xml:space="preserve">1.4.1.4.5.1</t>
  </si>
  <si>
    <t xml:space="preserve">2380SS</t>
  </si>
  <si>
    <t xml:space="preserve">MSP-2384</t>
  </si>
  <si>
    <t xml:space="preserve">1.4.1.4.5.2</t>
  </si>
  <si>
    <t xml:space="preserve">2383SS</t>
  </si>
  <si>
    <t xml:space="preserve">MSP-2385</t>
  </si>
  <si>
    <t xml:space="preserve">1.4.1.4.5.3</t>
  </si>
  <si>
    <t xml:space="preserve">ZOCALO PORCELANATO  0.60x0.10 m ANTIDESLIZANTE COLOR GRIS CLARO</t>
  </si>
  <si>
    <t xml:space="preserve">MSP-2386</t>
  </si>
  <si>
    <t xml:space="preserve">1.4.1.4.5.4</t>
  </si>
  <si>
    <t xml:space="preserve">MSP-2387</t>
  </si>
  <si>
    <t xml:space="preserve">1.4.1.4.6</t>
  </si>
  <si>
    <t xml:space="preserve">MSP-2388</t>
  </si>
  <si>
    <t xml:space="preserve">1.4.1.4.6.1</t>
  </si>
  <si>
    <t xml:space="preserve">2386FS</t>
  </si>
  <si>
    <t xml:space="preserve">MSP-2389</t>
  </si>
  <si>
    <t xml:space="preserve">1.4.1.4.6.2</t>
  </si>
  <si>
    <t xml:space="preserve">2388FS</t>
  </si>
  <si>
    <t xml:space="preserve">MSP-2390</t>
  </si>
  <si>
    <t xml:space="preserve">1.4.1.4.7</t>
  </si>
  <si>
    <t xml:space="preserve">MSP-2391</t>
  </si>
  <si>
    <t xml:space="preserve">1.4.1.4.7.1</t>
  </si>
  <si>
    <t xml:space="preserve">MSP-2392</t>
  </si>
  <si>
    <t xml:space="preserve">1.4.1.4.7.1.1</t>
  </si>
  <si>
    <t xml:space="preserve">MSP-2393</t>
  </si>
  <si>
    <t xml:space="preserve">1.4.1.4.7.1.2</t>
  </si>
  <si>
    <t xml:space="preserve">2392FS</t>
  </si>
  <si>
    <t xml:space="preserve">MSP-2394</t>
  </si>
  <si>
    <t xml:space="preserve">1.4.1.4.8</t>
  </si>
  <si>
    <t xml:space="preserve">MSP-2395</t>
  </si>
  <si>
    <t xml:space="preserve">1.4.1.4.8.1</t>
  </si>
  <si>
    <t xml:space="preserve">MSP-2396</t>
  </si>
  <si>
    <t xml:space="preserve">1.4.1.4.8.1.1</t>
  </si>
  <si>
    <t xml:space="preserve">2393FS</t>
  </si>
  <si>
    <t xml:space="preserve">MSP-2397</t>
  </si>
  <si>
    <t xml:space="preserve">1.4.1.4.8.2</t>
  </si>
  <si>
    <t xml:space="preserve">MSP-2398</t>
  </si>
  <si>
    <t xml:space="preserve">1.4.1.4.8.2.1</t>
  </si>
  <si>
    <t xml:space="preserve">2396FS</t>
  </si>
  <si>
    <t xml:space="preserve">MSP-2399</t>
  </si>
  <si>
    <t xml:space="preserve">1.4.1.4.8.3</t>
  </si>
  <si>
    <t xml:space="preserve">MSP-2400</t>
  </si>
  <si>
    <t xml:space="preserve">1.4.1.4.8.3.1</t>
  </si>
  <si>
    <t xml:space="preserve">2398FS</t>
  </si>
  <si>
    <t xml:space="preserve">MSP-2401</t>
  </si>
  <si>
    <t xml:space="preserve">1.4.1.4.9</t>
  </si>
  <si>
    <t xml:space="preserve">MSP-2402</t>
  </si>
  <si>
    <t xml:space="preserve">1.4.1.4.9.1</t>
  </si>
  <si>
    <t xml:space="preserve">MSP-2403</t>
  </si>
  <si>
    <t xml:space="preserve">1.4.1.4.9.1.1</t>
  </si>
  <si>
    <t xml:space="preserve">2400FS</t>
  </si>
  <si>
    <t xml:space="preserve">MSP-2404</t>
  </si>
  <si>
    <t xml:space="preserve">1.4.1.4.9.2</t>
  </si>
  <si>
    <t xml:space="preserve">MSP-2405</t>
  </si>
  <si>
    <t xml:space="preserve">1.4.1.4.9.2.1</t>
  </si>
  <si>
    <t xml:space="preserve">2403FS</t>
  </si>
  <si>
    <t xml:space="preserve">MSP-2406</t>
  </si>
  <si>
    <t xml:space="preserve">1.4.1.4.10</t>
  </si>
  <si>
    <t xml:space="preserve">MSP-2407</t>
  </si>
  <si>
    <t xml:space="preserve">1.4.1.4.10.1</t>
  </si>
  <si>
    <t xml:space="preserve">MSP-2408</t>
  </si>
  <si>
    <t xml:space="preserve">1.4.1.4.10.2</t>
  </si>
  <si>
    <t xml:space="preserve">2407FS</t>
  </si>
  <si>
    <t xml:space="preserve">MSP-2409</t>
  </si>
  <si>
    <t xml:space="preserve">1.4.1.4.10.3</t>
  </si>
  <si>
    <t xml:space="preserve">MSP-2410</t>
  </si>
  <si>
    <t xml:space="preserve">1.4.1.4.10.4</t>
  </si>
  <si>
    <t xml:space="preserve">MSP-2411</t>
  </si>
  <si>
    <t xml:space="preserve">1.4.1.4.10.5</t>
  </si>
  <si>
    <t xml:space="preserve">2410FS</t>
  </si>
  <si>
    <t xml:space="preserve">MSP-2412</t>
  </si>
  <si>
    <t xml:space="preserve">1.4.1.4.10.6</t>
  </si>
  <si>
    <t xml:space="preserve">2411FS</t>
  </si>
  <si>
    <t xml:space="preserve">MSP-2413</t>
  </si>
  <si>
    <t xml:space="preserve">1.4.1.4.11</t>
  </si>
  <si>
    <t xml:space="preserve">MSP-2414</t>
  </si>
  <si>
    <t xml:space="preserve">1.4.1.4.11.1</t>
  </si>
  <si>
    <t xml:space="preserve">2412FS</t>
  </si>
  <si>
    <t xml:space="preserve">MSP-2415</t>
  </si>
  <si>
    <t xml:space="preserve">1.4.1.4.11.2</t>
  </si>
  <si>
    <t xml:space="preserve">5575SS</t>
  </si>
  <si>
    <t xml:space="preserve">MSP-2416</t>
  </si>
  <si>
    <t xml:space="preserve">1.4.1.4.12</t>
  </si>
  <si>
    <t xml:space="preserve">MSP-2417</t>
  </si>
  <si>
    <t xml:space="preserve">1.4.1.4.12.1</t>
  </si>
  <si>
    <t xml:space="preserve">MSP-2418</t>
  </si>
  <si>
    <t xml:space="preserve">1.4.1.4.12.1.1</t>
  </si>
  <si>
    <t xml:space="preserve">MSP-2419</t>
  </si>
  <si>
    <t xml:space="preserve">1.4.1.4.12.1.2</t>
  </si>
  <si>
    <t xml:space="preserve">2418FS</t>
  </si>
  <si>
    <t xml:space="preserve">MSP-2420</t>
  </si>
  <si>
    <t xml:space="preserve">1.4.1.4.12.2</t>
  </si>
  <si>
    <t xml:space="preserve">MSP-2421</t>
  </si>
  <si>
    <t xml:space="preserve">1.4.1.4.12.2.1</t>
  </si>
  <si>
    <t xml:space="preserve">2419FS</t>
  </si>
  <si>
    <t xml:space="preserve">MSP-2422</t>
  </si>
  <si>
    <t xml:space="preserve">1.4.1.5</t>
  </si>
  <si>
    <t xml:space="preserve">MSP-2423</t>
  </si>
  <si>
    <t xml:space="preserve">1.4.1.5.1</t>
  </si>
  <si>
    <t xml:space="preserve">MSP-2424</t>
  </si>
  <si>
    <t xml:space="preserve">1.4.1.5.1.1</t>
  </si>
  <si>
    <t xml:space="preserve">MSP-2425</t>
  </si>
  <si>
    <t xml:space="preserve">1.4.1.5.1.2</t>
  </si>
  <si>
    <t xml:space="preserve">MSP-2426</t>
  </si>
  <si>
    <t xml:space="preserve">1.4.1.5.1.3</t>
  </si>
  <si>
    <t xml:space="preserve">2425FS</t>
  </si>
  <si>
    <t xml:space="preserve">MSP-2427</t>
  </si>
  <si>
    <t xml:space="preserve">1.4.1.5.1.4</t>
  </si>
  <si>
    <t xml:space="preserve">2426FS</t>
  </si>
  <si>
    <t xml:space="preserve">MSP-2428</t>
  </si>
  <si>
    <t xml:space="preserve">1.4.1.5.1.5</t>
  </si>
  <si>
    <t xml:space="preserve">2427FS</t>
  </si>
  <si>
    <t xml:space="preserve">MSP-2429</t>
  </si>
  <si>
    <t xml:space="preserve">1.4.1.5.1.6</t>
  </si>
  <si>
    <t xml:space="preserve">2428FS</t>
  </si>
  <si>
    <t xml:space="preserve">MSP-2430</t>
  </si>
  <si>
    <t xml:space="preserve">1.4.1.5.2</t>
  </si>
  <si>
    <t xml:space="preserve">MSP-2431</t>
  </si>
  <si>
    <t xml:space="preserve">1.4.1.5.2.1</t>
  </si>
  <si>
    <t xml:space="preserve">2429FS</t>
  </si>
  <si>
    <t xml:space="preserve">MSP-2432</t>
  </si>
  <si>
    <t xml:space="preserve">1.4.1.5.2.2</t>
  </si>
  <si>
    <t xml:space="preserve">2431FS</t>
  </si>
  <si>
    <t xml:space="preserve">MSP-2433</t>
  </si>
  <si>
    <t xml:space="preserve">1.4.1.5.2.3</t>
  </si>
  <si>
    <t xml:space="preserve">2432FS</t>
  </si>
  <si>
    <t xml:space="preserve">MSP-2434</t>
  </si>
  <si>
    <t xml:space="preserve">1.4.1.5.2.4</t>
  </si>
  <si>
    <t xml:space="preserve">2433FS</t>
  </si>
  <si>
    <t xml:space="preserve">MSP-2435</t>
  </si>
  <si>
    <t xml:space="preserve">1.4.1.5.2.5</t>
  </si>
  <si>
    <t xml:space="preserve">2431FS;2432FS</t>
  </si>
  <si>
    <t xml:space="preserve">MSP-2436</t>
  </si>
  <si>
    <t xml:space="preserve">1.4.1.5.3</t>
  </si>
  <si>
    <t xml:space="preserve">MSP-2437</t>
  </si>
  <si>
    <t xml:space="preserve">1.4.1.5.3.1</t>
  </si>
  <si>
    <t xml:space="preserve">2435FS</t>
  </si>
  <si>
    <t xml:space="preserve">MSP-2438</t>
  </si>
  <si>
    <t xml:space="preserve">1.4.1.5.3.2</t>
  </si>
  <si>
    <t xml:space="preserve">2437FS</t>
  </si>
  <si>
    <t xml:space="preserve">MSP-2439</t>
  </si>
  <si>
    <t xml:space="preserve">1.4.1.5.4</t>
  </si>
  <si>
    <t xml:space="preserve">MSP-2440</t>
  </si>
  <si>
    <t xml:space="preserve">1.4.1.5.4.1</t>
  </si>
  <si>
    <t xml:space="preserve">MSP-2441</t>
  </si>
  <si>
    <t xml:space="preserve">1.4.1.5.4.1.1</t>
  </si>
  <si>
    <t xml:space="preserve">2438FS</t>
  </si>
  <si>
    <t xml:space="preserve">MSP-2442</t>
  </si>
  <si>
    <t xml:space="preserve">1.4.1.5.4.2</t>
  </si>
  <si>
    <t xml:space="preserve">MSP-2443</t>
  </si>
  <si>
    <t xml:space="preserve">1.4.1.5.4.2.1</t>
  </si>
  <si>
    <t xml:space="preserve">2441FS</t>
  </si>
  <si>
    <t xml:space="preserve">MSP-2444</t>
  </si>
  <si>
    <t xml:space="preserve">1.4.1.5.4.2.2</t>
  </si>
  <si>
    <t xml:space="preserve">2443FS</t>
  </si>
  <si>
    <t xml:space="preserve">MSP-2445</t>
  </si>
  <si>
    <t xml:space="preserve">1.4.1.5.5</t>
  </si>
  <si>
    <t xml:space="preserve">MSP-2446</t>
  </si>
  <si>
    <t xml:space="preserve">1.4.1.5.5.1</t>
  </si>
  <si>
    <t xml:space="preserve">2443SS</t>
  </si>
  <si>
    <t xml:space="preserve">MSP-2447</t>
  </si>
  <si>
    <t xml:space="preserve">1.4.1.5.5.2</t>
  </si>
  <si>
    <t xml:space="preserve">2446SS</t>
  </si>
  <si>
    <t xml:space="preserve">MSP-2448</t>
  </si>
  <si>
    <t xml:space="preserve">1.4.1.5.5.3</t>
  </si>
  <si>
    <t xml:space="preserve">MSP-2449</t>
  </si>
  <si>
    <t xml:space="preserve">1.4.1.5.6</t>
  </si>
  <si>
    <t xml:space="preserve">MSP-2450</t>
  </si>
  <si>
    <t xml:space="preserve">1.4.1.5.6.1</t>
  </si>
  <si>
    <t xml:space="preserve">2448FS</t>
  </si>
  <si>
    <t xml:space="preserve">MSP-2451</t>
  </si>
  <si>
    <t xml:space="preserve">1.4.1.5.6.2</t>
  </si>
  <si>
    <t xml:space="preserve">2450FS</t>
  </si>
  <si>
    <t xml:space="preserve">MSP-2452</t>
  </si>
  <si>
    <t xml:space="preserve">1.4.1.5.7</t>
  </si>
  <si>
    <t xml:space="preserve">MSP-2453</t>
  </si>
  <si>
    <t xml:space="preserve">1.4.1.5.7.1</t>
  </si>
  <si>
    <t xml:space="preserve">MSP-2454</t>
  </si>
  <si>
    <t xml:space="preserve">1.4.1.5.7.1.1</t>
  </si>
  <si>
    <t xml:space="preserve">2451FS</t>
  </si>
  <si>
    <t xml:space="preserve">MSP-2455</t>
  </si>
  <si>
    <t xml:space="preserve">1.4.1.5.7.1.2</t>
  </si>
  <si>
    <t xml:space="preserve">2454FS</t>
  </si>
  <si>
    <t xml:space="preserve">MSP-2456</t>
  </si>
  <si>
    <t xml:space="preserve">1.4.1.5.7.1.3</t>
  </si>
  <si>
    <t xml:space="preserve">2455FS</t>
  </si>
  <si>
    <t xml:space="preserve">MSP-2457</t>
  </si>
  <si>
    <t xml:space="preserve">1.4.1.5.7.1.4</t>
  </si>
  <si>
    <t xml:space="preserve">PC-05, PUERTA CONTRAPLACADA, 02 HOJAS</t>
  </si>
  <si>
    <t xml:space="preserve">2456FS</t>
  </si>
  <si>
    <t xml:space="preserve">MSP-2458</t>
  </si>
  <si>
    <t xml:space="preserve">1.4.1.5.7.1.5</t>
  </si>
  <si>
    <t xml:space="preserve">2457FS</t>
  </si>
  <si>
    <t xml:space="preserve">MSP-2459</t>
  </si>
  <si>
    <t xml:space="preserve">1.4.1.5.8</t>
  </si>
  <si>
    <t xml:space="preserve">MSP-2460</t>
  </si>
  <si>
    <t xml:space="preserve">1.4.1.5.8.1</t>
  </si>
  <si>
    <t xml:space="preserve">MSP-2461</t>
  </si>
  <si>
    <t xml:space="preserve">1.4.1.5.8.1.1</t>
  </si>
  <si>
    <t xml:space="preserve">2458FS</t>
  </si>
  <si>
    <t xml:space="preserve">MSP-2462</t>
  </si>
  <si>
    <t xml:space="preserve">1.4.1.5.8.1.2</t>
  </si>
  <si>
    <t xml:space="preserve">SUMINISTRO E INSTALACIÓN DE PARASOLES DE ALUMINIO 1 3/4"x4"x2.5mm C/ MARCO</t>
  </si>
  <si>
    <t xml:space="preserve">2461FS</t>
  </si>
  <si>
    <t xml:space="preserve">MSP-2463</t>
  </si>
  <si>
    <t xml:space="preserve">1.4.1.5.9</t>
  </si>
  <si>
    <t xml:space="preserve">MSP-2464</t>
  </si>
  <si>
    <t xml:space="preserve">1.4.1.5.9.1</t>
  </si>
  <si>
    <t xml:space="preserve">MSP-2465</t>
  </si>
  <si>
    <t xml:space="preserve">1.4.1.5.9.1.1</t>
  </si>
  <si>
    <t xml:space="preserve">2462FS</t>
  </si>
  <si>
    <t xml:space="preserve">MSP-2466</t>
  </si>
  <si>
    <t xml:space="preserve">1.4.1.5.9.1.2</t>
  </si>
  <si>
    <t xml:space="preserve">2465FS</t>
  </si>
  <si>
    <t xml:space="preserve">MSP-2467</t>
  </si>
  <si>
    <t xml:space="preserve">1.4.1.5.9.1.3</t>
  </si>
  <si>
    <t xml:space="preserve">MP-03, MAMPARA DE VIDRIO TEMPLADO</t>
  </si>
  <si>
    <t xml:space="preserve">2466FS</t>
  </si>
  <si>
    <t xml:space="preserve">MSP-2468</t>
  </si>
  <si>
    <t xml:space="preserve">1.4.1.5.9.2</t>
  </si>
  <si>
    <t xml:space="preserve">MSP-2469</t>
  </si>
  <si>
    <t xml:space="preserve">1.4.1.5.9.2.1</t>
  </si>
  <si>
    <t xml:space="preserve">VENTANA FIJA Y CORREDIZA SISTEMA MODUGLASS C/ CRISTAL TEMPLADO DE 6MM, INC ACCESORIOS</t>
  </si>
  <si>
    <t xml:space="preserve">2467FS</t>
  </si>
  <si>
    <t xml:space="preserve">MSP-2470</t>
  </si>
  <si>
    <t xml:space="preserve">1.4.1.5.9.3</t>
  </si>
  <si>
    <t xml:space="preserve">MSP-2471</t>
  </si>
  <si>
    <t xml:space="preserve">1.4.1.5.9.3.1</t>
  </si>
  <si>
    <t xml:space="preserve">2469FS</t>
  </si>
  <si>
    <t xml:space="preserve">MSP-2472</t>
  </si>
  <si>
    <t xml:space="preserve">1.4.1.5.9.4</t>
  </si>
  <si>
    <t xml:space="preserve">MSP-2473</t>
  </si>
  <si>
    <t xml:space="preserve">1.4.1.5.9.4.1</t>
  </si>
  <si>
    <t xml:space="preserve">2471FS</t>
  </si>
  <si>
    <t xml:space="preserve">MSP-2474</t>
  </si>
  <si>
    <t xml:space="preserve">1.4.1.5.9.5</t>
  </si>
  <si>
    <t xml:space="preserve">SUMINISTRO E INSTALACIÓN</t>
  </si>
  <si>
    <t xml:space="preserve">MSP-2475</t>
  </si>
  <si>
    <t xml:space="preserve">1.4.1.5.9.5.1</t>
  </si>
  <si>
    <t xml:space="preserve">2473FS</t>
  </si>
  <si>
    <t xml:space="preserve">MSP-2476</t>
  </si>
  <si>
    <t xml:space="preserve">1.4.1.5.10</t>
  </si>
  <si>
    <t xml:space="preserve">MSP-2477</t>
  </si>
  <si>
    <t xml:space="preserve">1.4.1.5.10.1</t>
  </si>
  <si>
    <t xml:space="preserve">MSP-2478</t>
  </si>
  <si>
    <t xml:space="preserve">1.4.1.5.10.2</t>
  </si>
  <si>
    <t xml:space="preserve">2477FS</t>
  </si>
  <si>
    <t xml:space="preserve">MSP-2479</t>
  </si>
  <si>
    <t xml:space="preserve">1.4.1.5.10.3</t>
  </si>
  <si>
    <t xml:space="preserve">MSP-2480</t>
  </si>
  <si>
    <t xml:space="preserve">1.4.1.5.10.4</t>
  </si>
  <si>
    <t xml:space="preserve">2479FS</t>
  </si>
  <si>
    <t xml:space="preserve">MSP-2481</t>
  </si>
  <si>
    <t xml:space="preserve">1.4.1.5.11</t>
  </si>
  <si>
    <t xml:space="preserve">MSP-2482</t>
  </si>
  <si>
    <t xml:space="preserve">1.4.1.5.11.1</t>
  </si>
  <si>
    <t xml:space="preserve">2480FS</t>
  </si>
  <si>
    <t xml:space="preserve">MSP-2483</t>
  </si>
  <si>
    <t xml:space="preserve">1.4.1.5.11.2</t>
  </si>
  <si>
    <t xml:space="preserve">2482FS</t>
  </si>
  <si>
    <t xml:space="preserve">MSP-2484</t>
  </si>
  <si>
    <t xml:space="preserve">1.4.1.5.11.3</t>
  </si>
  <si>
    <t xml:space="preserve">2483FS;2305FS</t>
  </si>
  <si>
    <t xml:space="preserve">MSP-2485</t>
  </si>
  <si>
    <t xml:space="preserve">1.4.1.5.12</t>
  </si>
  <si>
    <t xml:space="preserve">MSP-2486</t>
  </si>
  <si>
    <t xml:space="preserve">1.4.1.5.12.1</t>
  </si>
  <si>
    <t xml:space="preserve">MSP-2487</t>
  </si>
  <si>
    <t xml:space="preserve">1.4.1.5.12.1.1</t>
  </si>
  <si>
    <t xml:space="preserve">2484FS</t>
  </si>
  <si>
    <t xml:space="preserve">MSP-2488</t>
  </si>
  <si>
    <t xml:space="preserve">1.4.1.5.12.1.2</t>
  </si>
  <si>
    <t xml:space="preserve">2487FS</t>
  </si>
  <si>
    <t xml:space="preserve">MSP-2489</t>
  </si>
  <si>
    <t xml:space="preserve">1.4.1.5.12.1.3</t>
  </si>
  <si>
    <t xml:space="preserve">2488FS</t>
  </si>
  <si>
    <t xml:space="preserve">MSP-2490</t>
  </si>
  <si>
    <t xml:space="preserve">1.4.1.5.12.2</t>
  </si>
  <si>
    <t xml:space="preserve">MSP-2491</t>
  </si>
  <si>
    <t xml:space="preserve">1.4.1.5.12.2.1</t>
  </si>
  <si>
    <t xml:space="preserve">2489FS</t>
  </si>
  <si>
    <t xml:space="preserve">MSP-2492</t>
  </si>
  <si>
    <t xml:space="preserve">1.4.1.5.12.3</t>
  </si>
  <si>
    <t xml:space="preserve">MSP-2493</t>
  </si>
  <si>
    <t xml:space="preserve">1.4.1.5.12.3.1</t>
  </si>
  <si>
    <t xml:space="preserve">2491FS</t>
  </si>
  <si>
    <t xml:space="preserve">MSP-2494</t>
  </si>
  <si>
    <t xml:space="preserve">1.4.1.6</t>
  </si>
  <si>
    <t xml:space="preserve">MSP-2495</t>
  </si>
  <si>
    <t xml:space="preserve">1.4.1.6.1</t>
  </si>
  <si>
    <t xml:space="preserve">MSP-2496</t>
  </si>
  <si>
    <t xml:space="preserve">1.4.1.6.1.1</t>
  </si>
  <si>
    <t xml:space="preserve">MSP-2497</t>
  </si>
  <si>
    <t xml:space="preserve">1.4.1.6.1.2</t>
  </si>
  <si>
    <t xml:space="preserve">MSP-2498</t>
  </si>
  <si>
    <t xml:space="preserve">1.4.1.6.1.3</t>
  </si>
  <si>
    <t xml:space="preserve">2497FS</t>
  </si>
  <si>
    <t xml:space="preserve">MSP-2499</t>
  </si>
  <si>
    <t xml:space="preserve">1.4.1.6.1.4</t>
  </si>
  <si>
    <t xml:space="preserve">2498FS</t>
  </si>
  <si>
    <t xml:space="preserve">MSP-2500</t>
  </si>
  <si>
    <t xml:space="preserve">1.4.1.6.1.5</t>
  </si>
  <si>
    <t xml:space="preserve">T-02.02, TABIQUE AISLAMIENTO ACUSTICO / 01 CARA O SIMILAR</t>
  </si>
  <si>
    <t xml:space="preserve">2499FS</t>
  </si>
  <si>
    <t xml:space="preserve">MSP-2501</t>
  </si>
  <si>
    <t xml:space="preserve">1.4.1.6.1.6</t>
  </si>
  <si>
    <t xml:space="preserve">2500FS</t>
  </si>
  <si>
    <t xml:space="preserve">MSP-2502</t>
  </si>
  <si>
    <t xml:space="preserve">1.4.1.6.1.7</t>
  </si>
  <si>
    <t xml:space="preserve">2501FS</t>
  </si>
  <si>
    <t xml:space="preserve">MSP-2503</t>
  </si>
  <si>
    <t xml:space="preserve">1.4.1.6.1.8</t>
  </si>
  <si>
    <t xml:space="preserve">2502FS</t>
  </si>
  <si>
    <t xml:space="preserve">MSP-2504</t>
  </si>
  <si>
    <t xml:space="preserve">1.4.1.6.1.9</t>
  </si>
  <si>
    <t xml:space="preserve">2503FS</t>
  </si>
  <si>
    <t xml:space="preserve">MSP-2505</t>
  </si>
  <si>
    <t xml:space="preserve">1.4.1.6.2</t>
  </si>
  <si>
    <t xml:space="preserve">MSP-2506</t>
  </si>
  <si>
    <t xml:space="preserve">1.4.1.6.2.1</t>
  </si>
  <si>
    <t xml:space="preserve">2504FS</t>
  </si>
  <si>
    <t xml:space="preserve">MSP-2507</t>
  </si>
  <si>
    <t xml:space="preserve">1.4.1.6.2.2</t>
  </si>
  <si>
    <t xml:space="preserve">2506FS</t>
  </si>
  <si>
    <t xml:space="preserve">MSP-2508</t>
  </si>
  <si>
    <t xml:space="preserve">1.4.1.6.2.3</t>
  </si>
  <si>
    <t xml:space="preserve">2507FS</t>
  </si>
  <si>
    <t xml:space="preserve">MSP-2509</t>
  </si>
  <si>
    <t xml:space="preserve">1.4.1.6.2.4</t>
  </si>
  <si>
    <t xml:space="preserve">2508FS</t>
  </si>
  <si>
    <t xml:space="preserve">MSP-2510</t>
  </si>
  <si>
    <t xml:space="preserve">1.4.1.6.2.5</t>
  </si>
  <si>
    <t xml:space="preserve">2509FS</t>
  </si>
  <si>
    <t xml:space="preserve">MSP-2511</t>
  </si>
  <si>
    <t xml:space="preserve">1.4.1.6.2.6</t>
  </si>
  <si>
    <t xml:space="preserve">2506FS;2507FS</t>
  </si>
  <si>
    <t xml:space="preserve">MSP-2512</t>
  </si>
  <si>
    <t xml:space="preserve">1.4.1.6.3</t>
  </si>
  <si>
    <t xml:space="preserve">MSP-2513</t>
  </si>
  <si>
    <t xml:space="preserve">1.4.1.6.3.1</t>
  </si>
  <si>
    <t xml:space="preserve">2511FS</t>
  </si>
  <si>
    <t xml:space="preserve">MSP-2514</t>
  </si>
  <si>
    <t xml:space="preserve">1.4.1.6.3.2</t>
  </si>
  <si>
    <t xml:space="preserve">FALSO CIELO RASO TIPO 03, FCR-03</t>
  </si>
  <si>
    <t xml:space="preserve">2513FS</t>
  </si>
  <si>
    <t xml:space="preserve">MSP-2515</t>
  </si>
  <si>
    <t xml:space="preserve">1.4.1.6.3.3</t>
  </si>
  <si>
    <t xml:space="preserve">2514FS</t>
  </si>
  <si>
    <t xml:space="preserve">MSP-2516</t>
  </si>
  <si>
    <t xml:space="preserve">1.4.1.6.3.4</t>
  </si>
  <si>
    <t xml:space="preserve">2515FS</t>
  </si>
  <si>
    <t xml:space="preserve">MSP-2517</t>
  </si>
  <si>
    <t xml:space="preserve">1.4.1.6.3.5</t>
  </si>
  <si>
    <t xml:space="preserve">2516FS</t>
  </si>
  <si>
    <t xml:space="preserve">MSP-2518</t>
  </si>
  <si>
    <t xml:space="preserve">1.4.1.6.4</t>
  </si>
  <si>
    <t xml:space="preserve">MSP-2519</t>
  </si>
  <si>
    <t xml:space="preserve">1.4.1.6.4.1</t>
  </si>
  <si>
    <t xml:space="preserve">MSP-2520</t>
  </si>
  <si>
    <t xml:space="preserve">1.4.1.6.4.1.1</t>
  </si>
  <si>
    <t xml:space="preserve">2517FS</t>
  </si>
  <si>
    <t xml:space="preserve">MSP-2521</t>
  </si>
  <si>
    <t xml:space="preserve">1.4.1.6.4.2</t>
  </si>
  <si>
    <t xml:space="preserve">MSP-2522</t>
  </si>
  <si>
    <t xml:space="preserve">1.4.1.6.4.2.1</t>
  </si>
  <si>
    <t xml:space="preserve">RAMPA DE CONCRETO F'C=175 KG/CM2, E=4" C/BORDES CEMENTO PULIDO Y BRUÑADO</t>
  </si>
  <si>
    <t xml:space="preserve">2520FS</t>
  </si>
  <si>
    <t xml:space="preserve">MSP-2523</t>
  </si>
  <si>
    <t xml:space="preserve">1.4.1.6.4.2.2</t>
  </si>
  <si>
    <t xml:space="preserve">2522FS</t>
  </si>
  <si>
    <t xml:space="preserve">MSP-2524</t>
  </si>
  <si>
    <t xml:space="preserve">1.4.1.6.4.2.3</t>
  </si>
  <si>
    <t xml:space="preserve">2523FS</t>
  </si>
  <si>
    <t xml:space="preserve">MSP-2525</t>
  </si>
  <si>
    <t xml:space="preserve">1.4.1.6.4.2.4</t>
  </si>
  <si>
    <t xml:space="preserve">PISO DE MADERA TIPO PARQUETON SHIHUAHUACO 10x90cm</t>
  </si>
  <si>
    <t xml:space="preserve">2524FS</t>
  </si>
  <si>
    <t xml:space="preserve">MSP-2526</t>
  </si>
  <si>
    <t xml:space="preserve">1.4.1.6.5</t>
  </si>
  <si>
    <t xml:space="preserve">MSP-2527</t>
  </si>
  <si>
    <t xml:space="preserve">1.4.1.6.5.1</t>
  </si>
  <si>
    <t xml:space="preserve">CONTRAZOCALO PORCELANATO ANTIDESLIZANTE GRIS CLARO O SIMILAR  0.60x0.10 m</t>
  </si>
  <si>
    <t xml:space="preserve">2523SS</t>
  </si>
  <si>
    <t xml:space="preserve">MSP-2528</t>
  </si>
  <si>
    <t xml:space="preserve">1.4.1.6.5.2</t>
  </si>
  <si>
    <t xml:space="preserve">ZOCALO DE MADERA SHIHUHUACO 1/2"x4" C/RODON DE 3/4"x3/4"</t>
  </si>
  <si>
    <t xml:space="preserve">2527SS</t>
  </si>
  <si>
    <t xml:space="preserve">MSP-2529</t>
  </si>
  <si>
    <t xml:space="preserve">1.4.1.6.5.3</t>
  </si>
  <si>
    <t xml:space="preserve">CONTRAZOCALO DE MADERA SHIHUHUACO 1/2"x4" C/RODON DE 3/4"x3/4" H=15</t>
  </si>
  <si>
    <t xml:space="preserve">2528SS</t>
  </si>
  <si>
    <t xml:space="preserve">MSP-2530</t>
  </si>
  <si>
    <t xml:space="preserve">1.4.1.6.5.4</t>
  </si>
  <si>
    <t xml:space="preserve">2529SS</t>
  </si>
  <si>
    <t xml:space="preserve">MSP-2531</t>
  </si>
  <si>
    <t xml:space="preserve">1.4.1.6.5.5</t>
  </si>
  <si>
    <t xml:space="preserve">2530SS</t>
  </si>
  <si>
    <t xml:space="preserve">MSP-2532</t>
  </si>
  <si>
    <t xml:space="preserve">1.4.1.6.5.6</t>
  </si>
  <si>
    <t xml:space="preserve">2531FS</t>
  </si>
  <si>
    <t xml:space="preserve">MSP-2533</t>
  </si>
  <si>
    <t xml:space="preserve">1.4.1.6.6</t>
  </si>
  <si>
    <t xml:space="preserve">MSP-2534</t>
  </si>
  <si>
    <t xml:space="preserve">1.4.1.6.6.1</t>
  </si>
  <si>
    <t xml:space="preserve">2532FS</t>
  </si>
  <si>
    <t xml:space="preserve">MSP-2535</t>
  </si>
  <si>
    <t xml:space="preserve">1.4.1.6.6.2</t>
  </si>
  <si>
    <t xml:space="preserve">2534FS</t>
  </si>
  <si>
    <t xml:space="preserve">MSP-2536</t>
  </si>
  <si>
    <t xml:space="preserve">1.4.1.6.7</t>
  </si>
  <si>
    <t xml:space="preserve">MSP-2537</t>
  </si>
  <si>
    <t xml:space="preserve">1.4.1.6.7.1</t>
  </si>
  <si>
    <t xml:space="preserve">MSP-2538</t>
  </si>
  <si>
    <t xml:space="preserve">1.4.1.6.7.1.1</t>
  </si>
  <si>
    <t xml:space="preserve">2535FS</t>
  </si>
  <si>
    <t xml:space="preserve">MSP-2539</t>
  </si>
  <si>
    <t xml:space="preserve">1.4.1.6.7.1.2</t>
  </si>
  <si>
    <t xml:space="preserve">2538FS</t>
  </si>
  <si>
    <t xml:space="preserve">MSP-2540</t>
  </si>
  <si>
    <t xml:space="preserve">1.4.1.6.7.1.3</t>
  </si>
  <si>
    <t xml:space="preserve">2539FS</t>
  </si>
  <si>
    <t xml:space="preserve">MSP-2541</t>
  </si>
  <si>
    <t xml:space="preserve">1.4.1.6.7.1.4</t>
  </si>
  <si>
    <t xml:space="preserve">PMA_06, PUERTA MACHIHEMBRADA, 02 HOJAS</t>
  </si>
  <si>
    <t xml:space="preserve">2540FS</t>
  </si>
  <si>
    <t xml:space="preserve">MSP-2542</t>
  </si>
  <si>
    <t xml:space="preserve">1.4.1.6.7.1.5</t>
  </si>
  <si>
    <t xml:space="preserve">PMA_07, PUERTA MACHIHEMBRADA, 01 HOJA</t>
  </si>
  <si>
    <t xml:space="preserve">2541FS</t>
  </si>
  <si>
    <t xml:space="preserve">MSP-2543</t>
  </si>
  <si>
    <t xml:space="preserve">1.4.1.6.8</t>
  </si>
  <si>
    <t xml:space="preserve">MSP-2544</t>
  </si>
  <si>
    <t xml:space="preserve">1.4.1.6.8.1</t>
  </si>
  <si>
    <t xml:space="preserve">MSP-2545</t>
  </si>
  <si>
    <t xml:space="preserve">1.4.1.6.8.1.1</t>
  </si>
  <si>
    <t xml:space="preserve">2542FS</t>
  </si>
  <si>
    <t xml:space="preserve">MSP-2546</t>
  </si>
  <si>
    <t xml:space="preserve">1.4.1.6.8.2</t>
  </si>
  <si>
    <t xml:space="preserve">MSP-2547</t>
  </si>
  <si>
    <t xml:space="preserve">1.4.1.6.8.2.1</t>
  </si>
  <si>
    <t xml:space="preserve">2545FS</t>
  </si>
  <si>
    <t xml:space="preserve">MSP-2548</t>
  </si>
  <si>
    <t xml:space="preserve">1.4.1.6.8.3</t>
  </si>
  <si>
    <t xml:space="preserve">PASAMANO METALICO</t>
  </si>
  <si>
    <t xml:space="preserve">MSP-2549</t>
  </si>
  <si>
    <t xml:space="preserve">1.4.1.6.8.3.1</t>
  </si>
  <si>
    <t xml:space="preserve">2547FS</t>
  </si>
  <si>
    <t xml:space="preserve">MSP-2550</t>
  </si>
  <si>
    <t xml:space="preserve">1.4.1.6.8.4</t>
  </si>
  <si>
    <t xml:space="preserve">MSP-2551</t>
  </si>
  <si>
    <t xml:space="preserve">1.4.1.6.8.4.1</t>
  </si>
  <si>
    <t xml:space="preserve">2549FS</t>
  </si>
  <si>
    <t xml:space="preserve">MSP-2552</t>
  </si>
  <si>
    <t xml:space="preserve">1.4.1.6.8.5</t>
  </si>
  <si>
    <t xml:space="preserve">MSP-2553</t>
  </si>
  <si>
    <t xml:space="preserve">1.4.1.6.8.5.1</t>
  </si>
  <si>
    <t xml:space="preserve">2551FS</t>
  </si>
  <si>
    <t xml:space="preserve">MSP-2554</t>
  </si>
  <si>
    <t xml:space="preserve">1.4.1.6.9</t>
  </si>
  <si>
    <t xml:space="preserve">MSP-2555</t>
  </si>
  <si>
    <t xml:space="preserve">1.4.1.6.9.1</t>
  </si>
  <si>
    <t xml:space="preserve">MSP-2556</t>
  </si>
  <si>
    <t xml:space="preserve">1.4.1.6.9.1.1</t>
  </si>
  <si>
    <t xml:space="preserve">2553FS</t>
  </si>
  <si>
    <t xml:space="preserve">MSP-2557</t>
  </si>
  <si>
    <t xml:space="preserve">1.4.1.6.9.1.2</t>
  </si>
  <si>
    <t xml:space="preserve">2556FS</t>
  </si>
  <si>
    <t xml:space="preserve">MSP-2558</t>
  </si>
  <si>
    <t xml:space="preserve">1.4.1.6.9.1.3</t>
  </si>
  <si>
    <t xml:space="preserve">2557FS</t>
  </si>
  <si>
    <t xml:space="preserve">MSP-2559</t>
  </si>
  <si>
    <t xml:space="preserve">1.4.1.6.9.2</t>
  </si>
  <si>
    <t xml:space="preserve">MSP-2560</t>
  </si>
  <si>
    <t xml:space="preserve">1.4.1.6.9.2.1</t>
  </si>
  <si>
    <t xml:space="preserve">2558FS</t>
  </si>
  <si>
    <t xml:space="preserve">MSP-2561</t>
  </si>
  <si>
    <t xml:space="preserve">1.4.1.6.9.3</t>
  </si>
  <si>
    <t xml:space="preserve">MSP-2562</t>
  </si>
  <si>
    <t xml:space="preserve">1.4.1.6.9.3.1</t>
  </si>
  <si>
    <t xml:space="preserve">2560FS</t>
  </si>
  <si>
    <t xml:space="preserve">MSP-2563</t>
  </si>
  <si>
    <t xml:space="preserve">1.4.1.6.9.3.2</t>
  </si>
  <si>
    <t xml:space="preserve">2562FS</t>
  </si>
  <si>
    <t xml:space="preserve">MSP-2564</t>
  </si>
  <si>
    <t xml:space="preserve">1.4.1.6.9.3.3</t>
  </si>
  <si>
    <t xml:space="preserve">2563FS+-10.0d</t>
  </si>
  <si>
    <t xml:space="preserve">MSP-2565</t>
  </si>
  <si>
    <t xml:space="preserve">1.4.1.6.9.3.4</t>
  </si>
  <si>
    <t xml:space="preserve">2564FS</t>
  </si>
  <si>
    <t xml:space="preserve">MSP-2566</t>
  </si>
  <si>
    <t xml:space="preserve">1.4.1.6.10</t>
  </si>
  <si>
    <t xml:space="preserve">MSP-2567</t>
  </si>
  <si>
    <t xml:space="preserve">1.4.1.6.10.1</t>
  </si>
  <si>
    <t xml:space="preserve">MSP-2568</t>
  </si>
  <si>
    <t xml:space="preserve">1.4.1.6.10.2</t>
  </si>
  <si>
    <t xml:space="preserve">2567FS</t>
  </si>
  <si>
    <t xml:space="preserve">MSP-2569</t>
  </si>
  <si>
    <t xml:space="preserve">1.4.1.6.10.3</t>
  </si>
  <si>
    <t xml:space="preserve">MSP-2570</t>
  </si>
  <si>
    <t xml:space="preserve">1.4.1.6.10.4</t>
  </si>
  <si>
    <t xml:space="preserve">PINTURA BARNIZ DD B5 EN PISO DE MADERA SHIHUAHUACO (03 MANOS)</t>
  </si>
  <si>
    <t xml:space="preserve">2525FS</t>
  </si>
  <si>
    <t xml:space="preserve">MSP-2571</t>
  </si>
  <si>
    <t xml:space="preserve">1.4.1.6.10.5</t>
  </si>
  <si>
    <t xml:space="preserve">PINTURA BARNIZ DD B5 EN ZOCALO DE MADERA SHIHUAHUACO (03 MANOS)</t>
  </si>
  <si>
    <t xml:space="preserve">2570FS</t>
  </si>
  <si>
    <t xml:space="preserve">MSP-2572</t>
  </si>
  <si>
    <t xml:space="preserve">1.4.1.6.10.6</t>
  </si>
  <si>
    <t xml:space="preserve">PINTURA BARNIZ DD B5 EN CONTRAZOCALO DE MADERA SHIHUAHUACO (03 MANOS)</t>
  </si>
  <si>
    <t xml:space="preserve">2571FS</t>
  </si>
  <si>
    <t xml:space="preserve">MSP-2573</t>
  </si>
  <si>
    <t xml:space="preserve">1.4.1.6.10.7</t>
  </si>
  <si>
    <t xml:space="preserve">2572FS</t>
  </si>
  <si>
    <t xml:space="preserve">MSP-2574</t>
  </si>
  <si>
    <t xml:space="preserve">1.4.1.6.10.8</t>
  </si>
  <si>
    <t xml:space="preserve">2516FS;2568FS</t>
  </si>
  <si>
    <t xml:space="preserve">MSP-2575</t>
  </si>
  <si>
    <t xml:space="preserve">1.4.1.6.11</t>
  </si>
  <si>
    <t xml:space="preserve">MSP-2576</t>
  </si>
  <si>
    <t xml:space="preserve">1.4.1.6.11.1</t>
  </si>
  <si>
    <t xml:space="preserve">2574FS</t>
  </si>
  <si>
    <t xml:space="preserve">MSP-2577</t>
  </si>
  <si>
    <t xml:space="preserve">1.4.1.6.11.2</t>
  </si>
  <si>
    <t xml:space="preserve">LETRAS DE LAMINA DE ALUMINIO NIQUELADO E=1.5MM, P/ INGRESO A AUDITORIO</t>
  </si>
  <si>
    <t xml:space="preserve">MSP-2578</t>
  </si>
  <si>
    <t xml:space="preserve">1.4.1.6.11.3</t>
  </si>
  <si>
    <t xml:space="preserve">2565FS</t>
  </si>
  <si>
    <t xml:space="preserve">MSP-2579</t>
  </si>
  <si>
    <t xml:space="preserve">1.4.1.6.12</t>
  </si>
  <si>
    <t xml:space="preserve">MSP-2580</t>
  </si>
  <si>
    <t xml:space="preserve">1.4.1.6.12.1</t>
  </si>
  <si>
    <t xml:space="preserve">MSP-2581</t>
  </si>
  <si>
    <t xml:space="preserve">1.4.1.6.12.1.1</t>
  </si>
  <si>
    <t xml:space="preserve">MSP-2582</t>
  </si>
  <si>
    <t xml:space="preserve">1.4.1.6.12.1.2</t>
  </si>
  <si>
    <t xml:space="preserve">2568FS</t>
  </si>
  <si>
    <t xml:space="preserve">MSP-2583</t>
  </si>
  <si>
    <t xml:space="preserve">1.4.1.6.12.1.3</t>
  </si>
  <si>
    <t xml:space="preserve">MSP-2584</t>
  </si>
  <si>
    <t xml:space="preserve">1.4.1.6.12.2</t>
  </si>
  <si>
    <t xml:space="preserve">MSP-2585</t>
  </si>
  <si>
    <t xml:space="preserve">1.4.1.6.12.2.1</t>
  </si>
  <si>
    <t xml:space="preserve">MSP-2586</t>
  </si>
  <si>
    <t xml:space="preserve">1.4.1.6.12.3</t>
  </si>
  <si>
    <t xml:space="preserve">MSP-2587</t>
  </si>
  <si>
    <t xml:space="preserve">1.4.1.6.12.3.1</t>
  </si>
  <si>
    <t xml:space="preserve">MSP-2588</t>
  </si>
  <si>
    <t xml:space="preserve">1.4.1.7</t>
  </si>
  <si>
    <t xml:space="preserve">MSP-2589</t>
  </si>
  <si>
    <t xml:space="preserve">1.4.1.7.1</t>
  </si>
  <si>
    <t xml:space="preserve">MSP-2590</t>
  </si>
  <si>
    <t xml:space="preserve">1.4.1.7.1.1</t>
  </si>
  <si>
    <t xml:space="preserve">MSP-2591</t>
  </si>
  <si>
    <t xml:space="preserve">1.4.1.7.1.2</t>
  </si>
  <si>
    <t xml:space="preserve">MSP-2592</t>
  </si>
  <si>
    <t xml:space="preserve">1.4.1.7.1.3</t>
  </si>
  <si>
    <t xml:space="preserve">2591FS</t>
  </si>
  <si>
    <t xml:space="preserve">MSP-2593</t>
  </si>
  <si>
    <t xml:space="preserve">1.4.1.7.1.4</t>
  </si>
  <si>
    <t xml:space="preserve">2592FS</t>
  </si>
  <si>
    <t xml:space="preserve">MSP-2594</t>
  </si>
  <si>
    <t xml:space="preserve">1.4.1.7.1.5</t>
  </si>
  <si>
    <t xml:space="preserve">2593FS</t>
  </si>
  <si>
    <t xml:space="preserve">MSP-2595</t>
  </si>
  <si>
    <t xml:space="preserve">1.4.1.7.1.6</t>
  </si>
  <si>
    <t xml:space="preserve">2594FS</t>
  </si>
  <si>
    <t xml:space="preserve">MSP-2596</t>
  </si>
  <si>
    <t xml:space="preserve">1.4.1.7.2</t>
  </si>
  <si>
    <t xml:space="preserve">MSP-2597</t>
  </si>
  <si>
    <t xml:space="preserve">1.4.1.7.2.1</t>
  </si>
  <si>
    <t xml:space="preserve">2595FS</t>
  </si>
  <si>
    <t xml:space="preserve">MSP-2598</t>
  </si>
  <si>
    <t xml:space="preserve">1.4.1.7.2.2</t>
  </si>
  <si>
    <t xml:space="preserve">2597FS</t>
  </si>
  <si>
    <t xml:space="preserve">MSP-2599</t>
  </si>
  <si>
    <t xml:space="preserve">1.4.1.7.2.3</t>
  </si>
  <si>
    <t xml:space="preserve">TARRAJEO EN COLUMNAS Y VIGAS INTERIOR MEZCLA C:A 1:5, E=1.5 cm</t>
  </si>
  <si>
    <t xml:space="preserve">2598FS</t>
  </si>
  <si>
    <t xml:space="preserve">MSP-2600</t>
  </si>
  <si>
    <t xml:space="preserve">1.4.1.7.2.4</t>
  </si>
  <si>
    <t xml:space="preserve">TARRAJEO EN COLUMNAS Y VIGAS EXTERIOR MEZCLA C:A 1:5, E=1.5 cm</t>
  </si>
  <si>
    <t xml:space="preserve">2599FS</t>
  </si>
  <si>
    <t xml:space="preserve">MSP-2601</t>
  </si>
  <si>
    <t xml:space="preserve">1.4.1.7.2.5</t>
  </si>
  <si>
    <t xml:space="preserve">2600FS</t>
  </si>
  <si>
    <t xml:space="preserve">MSP-2602</t>
  </si>
  <si>
    <t xml:space="preserve">1.4.1.7.2.6</t>
  </si>
  <si>
    <t xml:space="preserve">2597FS;2598FS</t>
  </si>
  <si>
    <t xml:space="preserve">MSP-2603</t>
  </si>
  <si>
    <t xml:space="preserve">1.4.1.7.3</t>
  </si>
  <si>
    <t xml:space="preserve">MSP-2604</t>
  </si>
  <si>
    <t xml:space="preserve">1.4.1.7.3.1</t>
  </si>
  <si>
    <t xml:space="preserve">2602FS</t>
  </si>
  <si>
    <t xml:space="preserve">MSP-2605</t>
  </si>
  <si>
    <t xml:space="preserve">1.4.1.7.4</t>
  </si>
  <si>
    <t xml:space="preserve">MSP-2606</t>
  </si>
  <si>
    <t xml:space="preserve">1.4.1.7.4.1</t>
  </si>
  <si>
    <t xml:space="preserve">MSP-2607</t>
  </si>
  <si>
    <t xml:space="preserve">1.4.1.7.4.1.1</t>
  </si>
  <si>
    <t xml:space="preserve">2604FS</t>
  </si>
  <si>
    <t xml:space="preserve">MSP-2608</t>
  </si>
  <si>
    <t xml:space="preserve">1.4.1.7.4.2</t>
  </si>
  <si>
    <t xml:space="preserve">MSP-2609</t>
  </si>
  <si>
    <t xml:space="preserve">1.4.1.7.4.2.1</t>
  </si>
  <si>
    <t xml:space="preserve">2607FS</t>
  </si>
  <si>
    <t xml:space="preserve">MSP-2610</t>
  </si>
  <si>
    <t xml:space="preserve">1.4.1.7.4.2.2</t>
  </si>
  <si>
    <t xml:space="preserve">2609FS</t>
  </si>
  <si>
    <t xml:space="preserve">MSP-2611</t>
  </si>
  <si>
    <t xml:space="preserve">1.4.1.7.4.2.3</t>
  </si>
  <si>
    <t xml:space="preserve">2610FS</t>
  </si>
  <si>
    <t xml:space="preserve">MSP-2612</t>
  </si>
  <si>
    <t xml:space="preserve">1.4.1.7.5</t>
  </si>
  <si>
    <t xml:space="preserve">MSP-2613</t>
  </si>
  <si>
    <t xml:space="preserve">1.4.1.7.5.1</t>
  </si>
  <si>
    <t xml:space="preserve">2609SS</t>
  </si>
  <si>
    <t xml:space="preserve">MSP-2614</t>
  </si>
  <si>
    <t xml:space="preserve">1.4.1.7.5.2</t>
  </si>
  <si>
    <t xml:space="preserve">CONTRAZOCALO PORCELANATO 0.60x0.10 m ANTIDESLIZANTE C/GRIS OSCURO H=0.10</t>
  </si>
  <si>
    <t xml:space="preserve">2613SS</t>
  </si>
  <si>
    <t xml:space="preserve">MSP-2615</t>
  </si>
  <si>
    <t xml:space="preserve">1.4.1.7.5.3</t>
  </si>
  <si>
    <t xml:space="preserve">CONTRAZOCALO PORCELANATO 0.60x0.10 m ANTIDESLIZANTE C/GRIS CLARO H=0.10</t>
  </si>
  <si>
    <t xml:space="preserve">MSP-2616</t>
  </si>
  <si>
    <t xml:space="preserve">1.4.1.7.5.4</t>
  </si>
  <si>
    <t xml:space="preserve">ZOCALO PORCELANATO 0.60x0.60 m ANTIDESLIZANTE C/GRIS CLARO</t>
  </si>
  <si>
    <t xml:space="preserve">MSP-2617</t>
  </si>
  <si>
    <t xml:space="preserve">1.4.1.7.6</t>
  </si>
  <si>
    <t xml:space="preserve">MSP-2618</t>
  </si>
  <si>
    <t xml:space="preserve">1.4.1.7.6.1</t>
  </si>
  <si>
    <t xml:space="preserve">2616FS</t>
  </si>
  <si>
    <t xml:space="preserve">MSP-2619</t>
  </si>
  <si>
    <t xml:space="preserve">1.4.1.7.6.2</t>
  </si>
  <si>
    <t xml:space="preserve">2618FS</t>
  </si>
  <si>
    <t xml:space="preserve">MSP-2620</t>
  </si>
  <si>
    <t xml:space="preserve">1.4.1.7.7</t>
  </si>
  <si>
    <t xml:space="preserve">MSP-2621</t>
  </si>
  <si>
    <t xml:space="preserve">1.4.1.7.7.1</t>
  </si>
  <si>
    <t xml:space="preserve">2619FS</t>
  </si>
  <si>
    <t xml:space="preserve">MSP-2622</t>
  </si>
  <si>
    <t xml:space="preserve">1.4.1.7.7.2</t>
  </si>
  <si>
    <t xml:space="preserve">2621FS</t>
  </si>
  <si>
    <t xml:space="preserve">MSP-2623</t>
  </si>
  <si>
    <t xml:space="preserve">1.4.1.7.7.3</t>
  </si>
  <si>
    <t xml:space="preserve">2622FS</t>
  </si>
  <si>
    <t xml:space="preserve">MSP-2624</t>
  </si>
  <si>
    <t xml:space="preserve">1.4.1.7.8</t>
  </si>
  <si>
    <t xml:space="preserve">MSP-2625</t>
  </si>
  <si>
    <t xml:space="preserve">1.4.1.7.8.1</t>
  </si>
  <si>
    <t xml:space="preserve">2623FS</t>
  </si>
  <si>
    <t xml:space="preserve">MSP-2626</t>
  </si>
  <si>
    <t xml:space="preserve">1.4.1.7.8.2</t>
  </si>
  <si>
    <t xml:space="preserve">MSP-2627</t>
  </si>
  <si>
    <t xml:space="preserve">1.4.1.7.8.2.1</t>
  </si>
  <si>
    <t xml:space="preserve">CLARABOYA TIPO N°02</t>
  </si>
  <si>
    <t xml:space="preserve">2625FS</t>
  </si>
  <si>
    <t xml:space="preserve">MSP-2628</t>
  </si>
  <si>
    <t xml:space="preserve">1.4.1.7.9</t>
  </si>
  <si>
    <t xml:space="preserve">MSP-2629</t>
  </si>
  <si>
    <t xml:space="preserve">1.4.1.7.9.1</t>
  </si>
  <si>
    <t xml:space="preserve">2627FS</t>
  </si>
  <si>
    <t xml:space="preserve">MSP-2630</t>
  </si>
  <si>
    <t xml:space="preserve">1.4.1.7.9.2</t>
  </si>
  <si>
    <t xml:space="preserve">2629FS</t>
  </si>
  <si>
    <t xml:space="preserve">MSP-2631</t>
  </si>
  <si>
    <t xml:space="preserve">1.4.1.7.10</t>
  </si>
  <si>
    <t xml:space="preserve">MSP-2632</t>
  </si>
  <si>
    <t xml:space="preserve">1.4.1.7.10.1</t>
  </si>
  <si>
    <t xml:space="preserve">MSP-2633</t>
  </si>
  <si>
    <t xml:space="preserve">1.4.1.7.10.2</t>
  </si>
  <si>
    <t xml:space="preserve">2632FS</t>
  </si>
  <si>
    <t xml:space="preserve">MSP-2634</t>
  </si>
  <si>
    <t xml:space="preserve">1.4.1.7.10.3</t>
  </si>
  <si>
    <t xml:space="preserve">MSP-2635</t>
  </si>
  <si>
    <t xml:space="preserve">1.4.1.7.10.4</t>
  </si>
  <si>
    <t xml:space="preserve">2634FS</t>
  </si>
  <si>
    <t xml:space="preserve">MSP-2636</t>
  </si>
  <si>
    <t xml:space="preserve">1.4.1.7.11</t>
  </si>
  <si>
    <t xml:space="preserve">MSP-2637</t>
  </si>
  <si>
    <t xml:space="preserve">1.4.1.7.11.1</t>
  </si>
  <si>
    <t xml:space="preserve">2635FS</t>
  </si>
  <si>
    <t xml:space="preserve">MSP-2638</t>
  </si>
  <si>
    <t xml:space="preserve">1.4.1.7.11.2</t>
  </si>
  <si>
    <t xml:space="preserve">2637FS</t>
  </si>
  <si>
    <t xml:space="preserve">MSP-2639</t>
  </si>
  <si>
    <t xml:space="preserve">1.4.1.7.12</t>
  </si>
  <si>
    <t xml:space="preserve">MSP-2640</t>
  </si>
  <si>
    <t xml:space="preserve">1.4.1.7.12.1</t>
  </si>
  <si>
    <t xml:space="preserve">MSP-2641</t>
  </si>
  <si>
    <t xml:space="preserve">1.4.1.7.12.1.1</t>
  </si>
  <si>
    <t xml:space="preserve">2638FS</t>
  </si>
  <si>
    <t xml:space="preserve">MSP-2642</t>
  </si>
  <si>
    <t xml:space="preserve">1.4.1.8</t>
  </si>
  <si>
    <t xml:space="preserve">MSP-2643</t>
  </si>
  <si>
    <t xml:space="preserve">1.4.1.8.1</t>
  </si>
  <si>
    <t xml:space="preserve">MSP-2644</t>
  </si>
  <si>
    <t xml:space="preserve">1.4.1.8.1.1</t>
  </si>
  <si>
    <t xml:space="preserve">MSP-2645</t>
  </si>
  <si>
    <t xml:space="preserve">1.4.1.8.1.2</t>
  </si>
  <si>
    <t xml:space="preserve">MSP-2646</t>
  </si>
  <si>
    <t xml:space="preserve">1.4.1.8.2</t>
  </si>
  <si>
    <t xml:space="preserve">MSP-2647</t>
  </si>
  <si>
    <t xml:space="preserve">1.4.1.8.2.1</t>
  </si>
  <si>
    <t xml:space="preserve">2645FS</t>
  </si>
  <si>
    <t xml:space="preserve">MSP-2648</t>
  </si>
  <si>
    <t xml:space="preserve">1.4.1.8.2.2</t>
  </si>
  <si>
    <t xml:space="preserve">2647FS</t>
  </si>
  <si>
    <t xml:space="preserve">MSP-2649</t>
  </si>
  <si>
    <t xml:space="preserve">1.4.1.8.2.3</t>
  </si>
  <si>
    <t xml:space="preserve">2648FS</t>
  </si>
  <si>
    <t xml:space="preserve">MSP-2650</t>
  </si>
  <si>
    <t xml:space="preserve">1.4.1.8.2.4</t>
  </si>
  <si>
    <t xml:space="preserve">2649FS</t>
  </si>
  <si>
    <t xml:space="preserve">MSP-2651</t>
  </si>
  <si>
    <t xml:space="preserve">1.4.1.8.2.5</t>
  </si>
  <si>
    <t xml:space="preserve">2647FS;2648FS</t>
  </si>
  <si>
    <t xml:space="preserve">MSP-2652</t>
  </si>
  <si>
    <t xml:space="preserve">1.4.1.8.3</t>
  </si>
  <si>
    <t xml:space="preserve">MSP-2653</t>
  </si>
  <si>
    <t xml:space="preserve">1.4.1.8.3.1</t>
  </si>
  <si>
    <t xml:space="preserve">2651FS</t>
  </si>
  <si>
    <t xml:space="preserve">MSP-2654</t>
  </si>
  <si>
    <t xml:space="preserve">1.4.1.8.3.2</t>
  </si>
  <si>
    <t xml:space="preserve">2653FS</t>
  </si>
  <si>
    <t xml:space="preserve">MSP-2655</t>
  </si>
  <si>
    <t xml:space="preserve">1.4.1.8.4</t>
  </si>
  <si>
    <t xml:space="preserve">MSP-2656</t>
  </si>
  <si>
    <t xml:space="preserve">1.4.1.8.4.1</t>
  </si>
  <si>
    <t xml:space="preserve">MSP-2657</t>
  </si>
  <si>
    <t xml:space="preserve">1.4.1.8.4.1.1</t>
  </si>
  <si>
    <t xml:space="preserve">2654FS</t>
  </si>
  <si>
    <t xml:space="preserve">MSP-2658</t>
  </si>
  <si>
    <t xml:space="preserve">1.4.1.8.4.2</t>
  </si>
  <si>
    <t xml:space="preserve">MSP-2659</t>
  </si>
  <si>
    <t xml:space="preserve">1.4.1.8.4.2.1</t>
  </si>
  <si>
    <t xml:space="preserve">2657FS</t>
  </si>
  <si>
    <t xml:space="preserve">MSP-2660</t>
  </si>
  <si>
    <t xml:space="preserve">1.4.1.8.4.2.2</t>
  </si>
  <si>
    <t xml:space="preserve">2659FS</t>
  </si>
  <si>
    <t xml:space="preserve">MSP-2661</t>
  </si>
  <si>
    <t xml:space="preserve">1.4.1.8.4.3</t>
  </si>
  <si>
    <t xml:space="preserve">MSP-2662</t>
  </si>
  <si>
    <t xml:space="preserve">1.4.1.8.4.3.1</t>
  </si>
  <si>
    <t xml:space="preserve">2660FS</t>
  </si>
  <si>
    <t xml:space="preserve">MSP-2663</t>
  </si>
  <si>
    <t xml:space="preserve">1.4.1.8.5</t>
  </si>
  <si>
    <t xml:space="preserve">MSP-2664</t>
  </si>
  <si>
    <t xml:space="preserve">1.4.1.8.5.1</t>
  </si>
  <si>
    <t xml:space="preserve">2659SS</t>
  </si>
  <si>
    <t xml:space="preserve">MSP-2665</t>
  </si>
  <si>
    <t xml:space="preserve">1.4.1.8.5.2</t>
  </si>
  <si>
    <t xml:space="preserve">2664SS</t>
  </si>
  <si>
    <t xml:space="preserve">MSP-2666</t>
  </si>
  <si>
    <t xml:space="preserve">1.4.1.8.6</t>
  </si>
  <si>
    <t xml:space="preserve">MSP-2667</t>
  </si>
  <si>
    <t xml:space="preserve">1.4.1.8.6.1</t>
  </si>
  <si>
    <t xml:space="preserve">2665FS</t>
  </si>
  <si>
    <t xml:space="preserve">MSP-2668</t>
  </si>
  <si>
    <t xml:space="preserve">1.4.1.8.6.2</t>
  </si>
  <si>
    <t xml:space="preserve">2667FS</t>
  </si>
  <si>
    <t xml:space="preserve">MSP-2669</t>
  </si>
  <si>
    <t xml:space="preserve">1.4.1.8.7</t>
  </si>
  <si>
    <t xml:space="preserve">MSP-2670</t>
  </si>
  <si>
    <t xml:space="preserve">1.4.1.8.7.1</t>
  </si>
  <si>
    <t xml:space="preserve">MSP-2671</t>
  </si>
  <si>
    <t xml:space="preserve">1.4.1.8.7.1.1</t>
  </si>
  <si>
    <t xml:space="preserve">2668FS</t>
  </si>
  <si>
    <t xml:space="preserve">MSP-2672</t>
  </si>
  <si>
    <t xml:space="preserve">1.4.1.8.7.1.2</t>
  </si>
  <si>
    <t xml:space="preserve">2671FS</t>
  </si>
  <si>
    <t xml:space="preserve">MSP-2673</t>
  </si>
  <si>
    <t xml:space="preserve">1.4.1.8.8</t>
  </si>
  <si>
    <t xml:space="preserve">MSP-2674</t>
  </si>
  <si>
    <t xml:space="preserve">1.4.1.8.8.1</t>
  </si>
  <si>
    <t xml:space="preserve">MSP-2675</t>
  </si>
  <si>
    <t xml:space="preserve">1.4.1.8.8.1.1</t>
  </si>
  <si>
    <t xml:space="preserve">2672FS</t>
  </si>
  <si>
    <t xml:space="preserve">MSP-2676</t>
  </si>
  <si>
    <t xml:space="preserve">1.4.1.8.8.2</t>
  </si>
  <si>
    <t xml:space="preserve">MSP-2677</t>
  </si>
  <si>
    <t xml:space="preserve">1.4.1.8.8.2.1</t>
  </si>
  <si>
    <t xml:space="preserve">PME-06', PUERTA METÁLICA DE 02 HOJAS</t>
  </si>
  <si>
    <t xml:space="preserve">2675FS</t>
  </si>
  <si>
    <t xml:space="preserve">MSP-2678</t>
  </si>
  <si>
    <t xml:space="preserve">1.4.1.8.8.3</t>
  </si>
  <si>
    <t xml:space="preserve">PARASOLES</t>
  </si>
  <si>
    <t xml:space="preserve">MSP-2679</t>
  </si>
  <si>
    <t xml:space="preserve">1.4.1.8.8.3.1</t>
  </si>
  <si>
    <t xml:space="preserve">2677FS</t>
  </si>
  <si>
    <t xml:space="preserve">MSP-2680</t>
  </si>
  <si>
    <t xml:space="preserve">1.4.1.8.8.4</t>
  </si>
  <si>
    <t xml:space="preserve">MSP-2681</t>
  </si>
  <si>
    <t xml:space="preserve">1.4.1.8.8.4.1</t>
  </si>
  <si>
    <t xml:space="preserve">2679FS</t>
  </si>
  <si>
    <t xml:space="preserve">MSP-2682</t>
  </si>
  <si>
    <t xml:space="preserve">1.4.1.8.8.5</t>
  </si>
  <si>
    <t xml:space="preserve">MSP-2683</t>
  </si>
  <si>
    <t xml:space="preserve">1.4.1.8.8.5.1</t>
  </si>
  <si>
    <t xml:space="preserve">2681FS</t>
  </si>
  <si>
    <t xml:space="preserve">MSP-2684</t>
  </si>
  <si>
    <t xml:space="preserve">1.4.1.8.9</t>
  </si>
  <si>
    <t xml:space="preserve">MSP-2685</t>
  </si>
  <si>
    <t xml:space="preserve">1.4.1.8.9.1</t>
  </si>
  <si>
    <t xml:space="preserve">2683FS</t>
  </si>
  <si>
    <t xml:space="preserve">MSP-2686</t>
  </si>
  <si>
    <t xml:space="preserve">1.4.1.8.10</t>
  </si>
  <si>
    <t xml:space="preserve">MSP-2687</t>
  </si>
  <si>
    <t xml:space="preserve">1.4.1.8.10.1</t>
  </si>
  <si>
    <t xml:space="preserve">MSP-2688</t>
  </si>
  <si>
    <t xml:space="preserve">1.4.1.8.10.2</t>
  </si>
  <si>
    <t xml:space="preserve">2687FS</t>
  </si>
  <si>
    <t xml:space="preserve">MSP-2689</t>
  </si>
  <si>
    <t xml:space="preserve">1.4.1.8.10.3</t>
  </si>
  <si>
    <t xml:space="preserve">MSP-2690</t>
  </si>
  <si>
    <t xml:space="preserve">1.4.1.8.10.4</t>
  </si>
  <si>
    <t xml:space="preserve">MSP-2691</t>
  </si>
  <si>
    <t xml:space="preserve">1.4.1.8.10.5</t>
  </si>
  <si>
    <t xml:space="preserve">2690FS</t>
  </si>
  <si>
    <t xml:space="preserve">MSP-2692</t>
  </si>
  <si>
    <t xml:space="preserve">1.4.1.8.10.6</t>
  </si>
  <si>
    <t xml:space="preserve">PINTURA PARA ZOCALO H=0.30M CON PINTURA EPÓXICA</t>
  </si>
  <si>
    <t xml:space="preserve">2691FS</t>
  </si>
  <si>
    <t xml:space="preserve">MSP-2693</t>
  </si>
  <si>
    <t xml:space="preserve">1.4.1.8.11</t>
  </si>
  <si>
    <t xml:space="preserve">MSP-2694</t>
  </si>
  <si>
    <t xml:space="preserve">1.4.1.8.11.1</t>
  </si>
  <si>
    <t xml:space="preserve">2692FS</t>
  </si>
  <si>
    <t xml:space="preserve">MSP-2695</t>
  </si>
  <si>
    <t xml:space="preserve">1.4.1.8.11.2</t>
  </si>
  <si>
    <t xml:space="preserve">2694FS</t>
  </si>
  <si>
    <t xml:space="preserve">MSP-2696</t>
  </si>
  <si>
    <t xml:space="preserve">1.4.1.8.11.3</t>
  </si>
  <si>
    <t xml:space="preserve">2695FS</t>
  </si>
  <si>
    <t xml:space="preserve">MSP-2697</t>
  </si>
  <si>
    <t xml:space="preserve">1.4.1.8.12</t>
  </si>
  <si>
    <t xml:space="preserve">MSP-2698</t>
  </si>
  <si>
    <t xml:space="preserve">1.4.1.8.12.1</t>
  </si>
  <si>
    <t xml:space="preserve">MSP-2699</t>
  </si>
  <si>
    <t xml:space="preserve">1.4.1.8.12.1.1</t>
  </si>
  <si>
    <t xml:space="preserve">2696FS</t>
  </si>
  <si>
    <t xml:space="preserve">MSP-2700</t>
  </si>
  <si>
    <t xml:space="preserve">1.4.1.8.12.1.2</t>
  </si>
  <si>
    <t xml:space="preserve">2699FS</t>
  </si>
  <si>
    <t xml:space="preserve">MSP-2701</t>
  </si>
  <si>
    <t xml:space="preserve">1.4.1.8.12.2</t>
  </si>
  <si>
    <t xml:space="preserve">MSP-2702</t>
  </si>
  <si>
    <t xml:space="preserve">1.4.1.8.12.2.1</t>
  </si>
  <si>
    <t xml:space="preserve">2700FS</t>
  </si>
  <si>
    <t xml:space="preserve">MSP-2703</t>
  </si>
  <si>
    <t xml:space="preserve">1.4.1.9</t>
  </si>
  <si>
    <t xml:space="preserve">MSP-2704</t>
  </si>
  <si>
    <t xml:space="preserve">1.4.1.9.1</t>
  </si>
  <si>
    <t xml:space="preserve">MSP-2705</t>
  </si>
  <si>
    <t xml:space="preserve">1.4.1.9.1.1</t>
  </si>
  <si>
    <t xml:space="preserve">MSP-2706</t>
  </si>
  <si>
    <t xml:space="preserve">1.4.1.9.1.2</t>
  </si>
  <si>
    <t xml:space="preserve">MSP-2707</t>
  </si>
  <si>
    <t xml:space="preserve">1.4.1.9.1.3</t>
  </si>
  <si>
    <t xml:space="preserve">2706FS</t>
  </si>
  <si>
    <t xml:space="preserve">MSP-2708</t>
  </si>
  <si>
    <t xml:space="preserve">1.4.1.9.1.4</t>
  </si>
  <si>
    <t xml:space="preserve">2707FS</t>
  </si>
  <si>
    <t xml:space="preserve">MSP-2709</t>
  </si>
  <si>
    <t xml:space="preserve">1.4.1.9.2</t>
  </si>
  <si>
    <t xml:space="preserve">MSP-2710</t>
  </si>
  <si>
    <t xml:space="preserve">1.4.1.9.2.1</t>
  </si>
  <si>
    <t xml:space="preserve">2708FS</t>
  </si>
  <si>
    <t xml:space="preserve">MSP-2711</t>
  </si>
  <si>
    <t xml:space="preserve">1.4.1.9.2.2</t>
  </si>
  <si>
    <t xml:space="preserve">2710FS</t>
  </si>
  <si>
    <t xml:space="preserve">MSP-2712</t>
  </si>
  <si>
    <t xml:space="preserve">1.4.1.9.2.3</t>
  </si>
  <si>
    <t xml:space="preserve">2711FS</t>
  </si>
  <si>
    <t xml:space="preserve">MSP-2713</t>
  </si>
  <si>
    <t xml:space="preserve">1.4.1.9.2.4</t>
  </si>
  <si>
    <t xml:space="preserve">2712FS</t>
  </si>
  <si>
    <t xml:space="preserve">MSP-2714</t>
  </si>
  <si>
    <t xml:space="preserve">1.4.1.9.2.5</t>
  </si>
  <si>
    <t xml:space="preserve">2710FS;2711FS</t>
  </si>
  <si>
    <t xml:space="preserve">MSP-2715</t>
  </si>
  <si>
    <t xml:space="preserve">1.4.1.9.3</t>
  </si>
  <si>
    <t xml:space="preserve">MSP-2716</t>
  </si>
  <si>
    <t xml:space="preserve">1.4.1.9.3.1</t>
  </si>
  <si>
    <t xml:space="preserve">2714FS</t>
  </si>
  <si>
    <t xml:space="preserve">MSP-2717</t>
  </si>
  <si>
    <t xml:space="preserve">1.4.1.9.3.2</t>
  </si>
  <si>
    <t xml:space="preserve">2716FS</t>
  </si>
  <si>
    <t xml:space="preserve">MSP-2718</t>
  </si>
  <si>
    <t xml:space="preserve">1.4.1.9.4</t>
  </si>
  <si>
    <t xml:space="preserve">MSP-2719</t>
  </si>
  <si>
    <t xml:space="preserve">1.4.1.9.4.1</t>
  </si>
  <si>
    <t xml:space="preserve">MSP-2720</t>
  </si>
  <si>
    <t xml:space="preserve">1.4.1.9.4.1.1</t>
  </si>
  <si>
    <t xml:space="preserve">2717FS</t>
  </si>
  <si>
    <t xml:space="preserve">MSP-2721</t>
  </si>
  <si>
    <t xml:space="preserve">1.4.1.9.4.2</t>
  </si>
  <si>
    <t xml:space="preserve">MSP-2722</t>
  </si>
  <si>
    <t xml:space="preserve">1.4.1.9.4.2.1</t>
  </si>
  <si>
    <t xml:space="preserve">2720FS</t>
  </si>
  <si>
    <t xml:space="preserve">MSP-2723</t>
  </si>
  <si>
    <t xml:space="preserve">1.4.1.9.4.2.2</t>
  </si>
  <si>
    <t xml:space="preserve">2722FS</t>
  </si>
  <si>
    <t xml:space="preserve">MSP-2724</t>
  </si>
  <si>
    <t xml:space="preserve">1.4.1.9.5</t>
  </si>
  <si>
    <t xml:space="preserve">MSP-2725</t>
  </si>
  <si>
    <t xml:space="preserve">1.4.1.9.5.1</t>
  </si>
  <si>
    <t xml:space="preserve">2722SS</t>
  </si>
  <si>
    <t xml:space="preserve">MSP-2726</t>
  </si>
  <si>
    <t xml:space="preserve">1.4.1.9.5.2</t>
  </si>
  <si>
    <t xml:space="preserve">2725SS</t>
  </si>
  <si>
    <t xml:space="preserve">MSP-2727</t>
  </si>
  <si>
    <t xml:space="preserve">1.4.1.9.6</t>
  </si>
  <si>
    <t xml:space="preserve">MSP-2728</t>
  </si>
  <si>
    <t xml:space="preserve">1.4.1.9.6.1</t>
  </si>
  <si>
    <t xml:space="preserve">2726FS</t>
  </si>
  <si>
    <t xml:space="preserve">MSP-2729</t>
  </si>
  <si>
    <t xml:space="preserve">1.4.1.9.6.2</t>
  </si>
  <si>
    <t xml:space="preserve">2728FS</t>
  </si>
  <si>
    <t xml:space="preserve">MSP-2730</t>
  </si>
  <si>
    <t xml:space="preserve">1.4.1.9.7</t>
  </si>
  <si>
    <t xml:space="preserve">MSP-2731</t>
  </si>
  <si>
    <t xml:space="preserve">1.4.1.9.7.1</t>
  </si>
  <si>
    <t xml:space="preserve">MSP-2732</t>
  </si>
  <si>
    <t xml:space="preserve">1.4.1.9.7.1.1</t>
  </si>
  <si>
    <t xml:space="preserve">2729FS</t>
  </si>
  <si>
    <t xml:space="preserve">MSP-2733</t>
  </si>
  <si>
    <t xml:space="preserve">1.4.1.9.7.1.2</t>
  </si>
  <si>
    <t xml:space="preserve">2732FS</t>
  </si>
  <si>
    <t xml:space="preserve">MSP-2734</t>
  </si>
  <si>
    <t xml:space="preserve">1.4.1.9.7.1.3</t>
  </si>
  <si>
    <t xml:space="preserve">PMA-09', PUERTA MACHIHEMBRADA, 02 HOJAS</t>
  </si>
  <si>
    <t xml:space="preserve">2733FS</t>
  </si>
  <si>
    <t xml:space="preserve">MSP-2735</t>
  </si>
  <si>
    <t xml:space="preserve">1.4.1.9.8</t>
  </si>
  <si>
    <t xml:space="preserve">MSP-2736</t>
  </si>
  <si>
    <t xml:space="preserve">1.4.1.9.8.1</t>
  </si>
  <si>
    <t xml:space="preserve">MSP-2737</t>
  </si>
  <si>
    <t xml:space="preserve">1.4.1.9.8.1.1</t>
  </si>
  <si>
    <t xml:space="preserve">2734FS</t>
  </si>
  <si>
    <t xml:space="preserve">MSP-2738</t>
  </si>
  <si>
    <t xml:space="preserve">1.4.1.9.8.2</t>
  </si>
  <si>
    <t xml:space="preserve">MSP-2739</t>
  </si>
  <si>
    <t xml:space="preserve">1.4.1.9.8.2.1</t>
  </si>
  <si>
    <t xml:space="preserve">V-31, VENTANA REJA METALICA TIPO PERSIANA</t>
  </si>
  <si>
    <t xml:space="preserve">2737FS</t>
  </si>
  <si>
    <t xml:space="preserve">MSP-2740</t>
  </si>
  <si>
    <t xml:space="preserve">1.4.1.9.9</t>
  </si>
  <si>
    <t xml:space="preserve">MSP-2741</t>
  </si>
  <si>
    <t xml:space="preserve">1.4.1.9.9.1</t>
  </si>
  <si>
    <t xml:space="preserve">MSP-2742</t>
  </si>
  <si>
    <t xml:space="preserve">1.4.1.9.9.1.1</t>
  </si>
  <si>
    <t xml:space="preserve">2739FS</t>
  </si>
  <si>
    <t xml:space="preserve">MSP-2743</t>
  </si>
  <si>
    <t xml:space="preserve">1.4.1.9.9.1.2</t>
  </si>
  <si>
    <t xml:space="preserve">MP-04, MAMPARA DE VIDRIO TEMPLADO, 02 HOJAS</t>
  </si>
  <si>
    <t xml:space="preserve">2742FS</t>
  </si>
  <si>
    <t xml:space="preserve">MSP-2744</t>
  </si>
  <si>
    <t xml:space="preserve">1.4.1.9.9.2</t>
  </si>
  <si>
    <t xml:space="preserve">MSP-2745</t>
  </si>
  <si>
    <t xml:space="preserve">1.4.1.9.9.2.1</t>
  </si>
  <si>
    <t xml:space="preserve">2743FS</t>
  </si>
  <si>
    <t xml:space="preserve">MSP-2746</t>
  </si>
  <si>
    <t xml:space="preserve">1.4.1.9.9.3</t>
  </si>
  <si>
    <t xml:space="preserve">MSP-2747</t>
  </si>
  <si>
    <t xml:space="preserve">1.4.1.9.9.3.1</t>
  </si>
  <si>
    <t xml:space="preserve">2745FS</t>
  </si>
  <si>
    <t xml:space="preserve">MSP-2748</t>
  </si>
  <si>
    <t xml:space="preserve">1.4.1.9.9.3.2</t>
  </si>
  <si>
    <t xml:space="preserve">2747FS</t>
  </si>
  <si>
    <t xml:space="preserve">MSP-2749</t>
  </si>
  <si>
    <t xml:space="preserve">1.4.1.9.10</t>
  </si>
  <si>
    <t xml:space="preserve">MSP-2750</t>
  </si>
  <si>
    <t xml:space="preserve">1.4.1.9.10.1</t>
  </si>
  <si>
    <t xml:space="preserve">MSP-2751</t>
  </si>
  <si>
    <t xml:space="preserve">1.4.1.9.10.2</t>
  </si>
  <si>
    <t xml:space="preserve">2750FS</t>
  </si>
  <si>
    <t xml:space="preserve">MSP-2752</t>
  </si>
  <si>
    <t xml:space="preserve">1.4.1.9.10.3</t>
  </si>
  <si>
    <t xml:space="preserve">MSP-2753</t>
  </si>
  <si>
    <t xml:space="preserve">1.4.1.9.10.4</t>
  </si>
  <si>
    <t xml:space="preserve">MSP-2754</t>
  </si>
  <si>
    <t xml:space="preserve">1.4.1.9.10.5</t>
  </si>
  <si>
    <t xml:space="preserve">2753FS</t>
  </si>
  <si>
    <t xml:space="preserve">MSP-2755</t>
  </si>
  <si>
    <t xml:space="preserve">1.4.1.9.10.6</t>
  </si>
  <si>
    <t xml:space="preserve">2754FS</t>
  </si>
  <si>
    <t xml:space="preserve">MSP-2756</t>
  </si>
  <si>
    <t xml:space="preserve">1.4.1.9.11</t>
  </si>
  <si>
    <t xml:space="preserve">MSP-2757</t>
  </si>
  <si>
    <t xml:space="preserve">1.4.1.9.11.1</t>
  </si>
  <si>
    <t xml:space="preserve">2755FS</t>
  </si>
  <si>
    <t xml:space="preserve">MSP-2758</t>
  </si>
  <si>
    <t xml:space="preserve">1.4.1.9.11.2</t>
  </si>
  <si>
    <t xml:space="preserve">2757FS</t>
  </si>
  <si>
    <t xml:space="preserve">MSP-2759</t>
  </si>
  <si>
    <t xml:space="preserve">1.4.1.9.11.3</t>
  </si>
  <si>
    <t xml:space="preserve">2758FS</t>
  </si>
  <si>
    <t xml:space="preserve">MSP-2760</t>
  </si>
  <si>
    <t xml:space="preserve">1.4.1.9.12</t>
  </si>
  <si>
    <t xml:space="preserve">MSP-2761</t>
  </si>
  <si>
    <t xml:space="preserve">1.4.1.9.12.1</t>
  </si>
  <si>
    <t xml:space="preserve">MSP-2762</t>
  </si>
  <si>
    <t xml:space="preserve">1.4.1.9.12.1.1</t>
  </si>
  <si>
    <t xml:space="preserve">2759FS</t>
  </si>
  <si>
    <t xml:space="preserve">MSP-2763</t>
  </si>
  <si>
    <t xml:space="preserve">1.4.1.9.12.1.2</t>
  </si>
  <si>
    <t xml:space="preserve">2762FS</t>
  </si>
  <si>
    <t xml:space="preserve">MSP-2764</t>
  </si>
  <si>
    <t xml:space="preserve">1.4.1.9.12.1.3</t>
  </si>
  <si>
    <t xml:space="preserve">2763FS</t>
  </si>
  <si>
    <t xml:space="preserve">MSP-2765</t>
  </si>
  <si>
    <t xml:space="preserve">1.4.1.9.12.2</t>
  </si>
  <si>
    <t xml:space="preserve">MSP-2766</t>
  </si>
  <si>
    <t xml:space="preserve">1.4.1.9.12.2.1</t>
  </si>
  <si>
    <t xml:space="preserve">2764FS</t>
  </si>
  <si>
    <t xml:space="preserve">MSP-2767</t>
  </si>
  <si>
    <t xml:space="preserve">1.4.1.9.12.3</t>
  </si>
  <si>
    <t xml:space="preserve">MSP-2768</t>
  </si>
  <si>
    <t xml:space="preserve">1.4.1.9.12.3.1</t>
  </si>
  <si>
    <t xml:space="preserve">2766FS</t>
  </si>
  <si>
    <t xml:space="preserve">MSP-2769</t>
  </si>
  <si>
    <t xml:space="preserve">1.4.1.10</t>
  </si>
  <si>
    <t xml:space="preserve">BLOQUE "10"</t>
  </si>
  <si>
    <t xml:space="preserve">MSP-2770</t>
  </si>
  <si>
    <t xml:space="preserve">1.4.1.10.1</t>
  </si>
  <si>
    <t xml:space="preserve">MSP-2771</t>
  </si>
  <si>
    <t xml:space="preserve">1.4.1.10.1.1</t>
  </si>
  <si>
    <t xml:space="preserve">MSP-2772</t>
  </si>
  <si>
    <t xml:space="preserve">1.4.1.10.1.2</t>
  </si>
  <si>
    <t xml:space="preserve">MSP-2773</t>
  </si>
  <si>
    <t xml:space="preserve">1.4.1.10.1.3</t>
  </si>
  <si>
    <t xml:space="preserve">2772FS</t>
  </si>
  <si>
    <t xml:space="preserve">MSP-2774</t>
  </si>
  <si>
    <t xml:space="preserve">1.4.1.10.1.4</t>
  </si>
  <si>
    <t xml:space="preserve">2773FS</t>
  </si>
  <si>
    <t xml:space="preserve">MSP-2775</t>
  </si>
  <si>
    <t xml:space="preserve">1.4.1.10.1.5</t>
  </si>
  <si>
    <t xml:space="preserve">2774FS</t>
  </si>
  <si>
    <t xml:space="preserve">MSP-2776</t>
  </si>
  <si>
    <t xml:space="preserve">1.4.1.10.2</t>
  </si>
  <si>
    <t xml:space="preserve">MSP-2777</t>
  </si>
  <si>
    <t xml:space="preserve">1.4.1.10.2.1</t>
  </si>
  <si>
    <t xml:space="preserve">2775FS</t>
  </si>
  <si>
    <t xml:space="preserve">MSP-2778</t>
  </si>
  <si>
    <t xml:space="preserve">1.4.1.10.2.2</t>
  </si>
  <si>
    <t xml:space="preserve">2777FS</t>
  </si>
  <si>
    <t xml:space="preserve">MSP-2779</t>
  </si>
  <si>
    <t xml:space="preserve">1.4.1.10.2.3</t>
  </si>
  <si>
    <t xml:space="preserve">2778FS</t>
  </si>
  <si>
    <t xml:space="preserve">MSP-2780</t>
  </si>
  <si>
    <t xml:space="preserve">1.4.1.10.2.4</t>
  </si>
  <si>
    <t xml:space="preserve">2779FS</t>
  </si>
  <si>
    <t xml:space="preserve">MSP-2781</t>
  </si>
  <si>
    <t xml:space="preserve">1.4.1.10.2.5</t>
  </si>
  <si>
    <t xml:space="preserve">2780FS</t>
  </si>
  <si>
    <t xml:space="preserve">MSP-2782</t>
  </si>
  <si>
    <t xml:space="preserve">1.4.1.10.2.6</t>
  </si>
  <si>
    <t xml:space="preserve">2777FS;2778FS</t>
  </si>
  <si>
    <t xml:space="preserve">MSP-2783</t>
  </si>
  <si>
    <t xml:space="preserve">1.4.1.10.3</t>
  </si>
  <si>
    <t xml:space="preserve">MSP-2784</t>
  </si>
  <si>
    <t xml:space="preserve">1.4.1.10.3.1</t>
  </si>
  <si>
    <t xml:space="preserve">2782FS</t>
  </si>
  <si>
    <t xml:space="preserve">MSP-2785</t>
  </si>
  <si>
    <t xml:space="preserve">1.4.1.10.4</t>
  </si>
  <si>
    <t xml:space="preserve">MSP-2786</t>
  </si>
  <si>
    <t xml:space="preserve">1.4.1.10.4.1</t>
  </si>
  <si>
    <t xml:space="preserve">MSP-2787</t>
  </si>
  <si>
    <t xml:space="preserve">1.4.1.10.4.1.1</t>
  </si>
  <si>
    <t xml:space="preserve">2784FS</t>
  </si>
  <si>
    <t xml:space="preserve">MSP-2788</t>
  </si>
  <si>
    <t xml:space="preserve">1.4.1.10.4.2</t>
  </si>
  <si>
    <t xml:space="preserve">MSP-2789</t>
  </si>
  <si>
    <t xml:space="preserve">1.4.1.10.4.2.1</t>
  </si>
  <si>
    <t xml:space="preserve">2787FS</t>
  </si>
  <si>
    <t xml:space="preserve">MSP-2790</t>
  </si>
  <si>
    <t xml:space="preserve">1.4.1.10.4.2.2</t>
  </si>
  <si>
    <t xml:space="preserve">2789FS</t>
  </si>
  <si>
    <t xml:space="preserve">MSP-2791</t>
  </si>
  <si>
    <t xml:space="preserve">1.4.1.10.4.2.3</t>
  </si>
  <si>
    <t xml:space="preserve">2790FS</t>
  </si>
  <si>
    <t xml:space="preserve">MSP-2792</t>
  </si>
  <si>
    <t xml:space="preserve">1.4.1.10.5</t>
  </si>
  <si>
    <t xml:space="preserve">MSP-2793</t>
  </si>
  <si>
    <t xml:space="preserve">1.4.1.10.5.1</t>
  </si>
  <si>
    <t xml:space="preserve">ZOCALO PORCELANATO ANTIDESLIZANTE COLOR GRIS CLARO O SIMILAR 0.60x0.10m</t>
  </si>
  <si>
    <t xml:space="preserve">2789SS</t>
  </si>
  <si>
    <t xml:space="preserve">MSP-2794</t>
  </si>
  <si>
    <t xml:space="preserve">1.4.1.10.5.2</t>
  </si>
  <si>
    <t xml:space="preserve">CONTRAZOCALO DE CEMENTO PULIDO H=0.30M</t>
  </si>
  <si>
    <t xml:space="preserve">2793SS</t>
  </si>
  <si>
    <t xml:space="preserve">MSP-2795</t>
  </si>
  <si>
    <t xml:space="preserve">1.4.1.10.5.3</t>
  </si>
  <si>
    <t xml:space="preserve">ZOCALO PORCELANATO 0.60x0.10m ANTIDESLIZANTE COLOR GRIS OSCURO PARA BAÑOS, H=0.10</t>
  </si>
  <si>
    <t xml:space="preserve">MSP-2796</t>
  </si>
  <si>
    <t xml:space="preserve">1.4.1.10.5.4</t>
  </si>
  <si>
    <t xml:space="preserve">CONTRAZOCALO PORCELANATO  0.60x0.60 m ANTIDESLIZANTE COLOR GRIS CLARO PARA BAÑOS</t>
  </si>
  <si>
    <t xml:space="preserve">MSP-2797</t>
  </si>
  <si>
    <t xml:space="preserve">1.4.1.10.6</t>
  </si>
  <si>
    <t xml:space="preserve">MSP-2798</t>
  </si>
  <si>
    <t xml:space="preserve">1.4.1.10.6.1</t>
  </si>
  <si>
    <t xml:space="preserve">2796FS</t>
  </si>
  <si>
    <t xml:space="preserve">MSP-2799</t>
  </si>
  <si>
    <t xml:space="preserve">1.4.1.10.6.2</t>
  </si>
  <si>
    <t xml:space="preserve">2798FS</t>
  </si>
  <si>
    <t xml:space="preserve">MSP-2800</t>
  </si>
  <si>
    <t xml:space="preserve">1.4.1.10.7</t>
  </si>
  <si>
    <t xml:space="preserve">MSP-2801</t>
  </si>
  <si>
    <t xml:space="preserve">1.4.1.10.7.1</t>
  </si>
  <si>
    <t xml:space="preserve">MSP-2802</t>
  </si>
  <si>
    <t xml:space="preserve">1.4.1.10.7.1.1</t>
  </si>
  <si>
    <t xml:space="preserve">2799FS</t>
  </si>
  <si>
    <t xml:space="preserve">MSP-2803</t>
  </si>
  <si>
    <t xml:space="preserve">1.4.1.10.7.1.2</t>
  </si>
  <si>
    <t xml:space="preserve">PMA_01, PUERTA MACHIHEMBRADA, 01 HOJA</t>
  </si>
  <si>
    <t xml:space="preserve">2802FS</t>
  </si>
  <si>
    <t xml:space="preserve">MSP-2804</t>
  </si>
  <si>
    <t xml:space="preserve">1.4.1.10.7.1.3</t>
  </si>
  <si>
    <t xml:space="preserve">2803FS</t>
  </si>
  <si>
    <t xml:space="preserve">MSP-2805</t>
  </si>
  <si>
    <t xml:space="preserve">1.4.1.10.7.2</t>
  </si>
  <si>
    <t xml:space="preserve">MSP-2806</t>
  </si>
  <si>
    <t xml:space="preserve">1.4.1.10.7.2.1</t>
  </si>
  <si>
    <t xml:space="preserve">VENTANA TIPO PERSIANA DE MADERA PINTADO ESMALTE ALUMINIO</t>
  </si>
  <si>
    <t xml:space="preserve">2804FS</t>
  </si>
  <si>
    <t xml:space="preserve">MSP-2807</t>
  </si>
  <si>
    <t xml:space="preserve">1.4.1.10.8</t>
  </si>
  <si>
    <t xml:space="preserve">MSP-2808</t>
  </si>
  <si>
    <t xml:space="preserve">1.4.1.10.8.1</t>
  </si>
  <si>
    <t xml:space="preserve">MSP-2809</t>
  </si>
  <si>
    <t xml:space="preserve">1.4.1.10.8.1.1</t>
  </si>
  <si>
    <t xml:space="preserve">2806FS</t>
  </si>
  <si>
    <t xml:space="preserve">MSP-2810</t>
  </si>
  <si>
    <t xml:space="preserve">1.4.1.10.8.1.2</t>
  </si>
  <si>
    <t xml:space="preserve">2809FS</t>
  </si>
  <si>
    <t xml:space="preserve">MSP-2811</t>
  </si>
  <si>
    <t xml:space="preserve">1.4.1.10.8.1.3</t>
  </si>
  <si>
    <t xml:space="preserve">2810FS</t>
  </si>
  <si>
    <t xml:space="preserve">MSP-2812</t>
  </si>
  <si>
    <t xml:space="preserve">1.4.1.10.8.2</t>
  </si>
  <si>
    <t xml:space="preserve">MSP-2813</t>
  </si>
  <si>
    <t xml:space="preserve">1.4.1.10.8.2.1</t>
  </si>
  <si>
    <t xml:space="preserve">2811FS</t>
  </si>
  <si>
    <t xml:space="preserve">MSP-2814</t>
  </si>
  <si>
    <t xml:space="preserve">1.4.1.10.8.3</t>
  </si>
  <si>
    <t xml:space="preserve">MSP-2815</t>
  </si>
  <si>
    <t xml:space="preserve">1.4.1.10.8.3.1</t>
  </si>
  <si>
    <t xml:space="preserve">2813FS</t>
  </si>
  <si>
    <t xml:space="preserve">MSP-2816</t>
  </si>
  <si>
    <t xml:space="preserve">1.4.1.10.9</t>
  </si>
  <si>
    <t xml:space="preserve">MSP-2817</t>
  </si>
  <si>
    <t xml:space="preserve">1.4.1.10.9.1</t>
  </si>
  <si>
    <t xml:space="preserve">2815FS</t>
  </si>
  <si>
    <t xml:space="preserve">MSP-2818</t>
  </si>
  <si>
    <t xml:space="preserve">1.4.1.10.10</t>
  </si>
  <si>
    <t xml:space="preserve">MSP-2819</t>
  </si>
  <si>
    <t xml:space="preserve">1.4.1.10.10.1</t>
  </si>
  <si>
    <t xml:space="preserve">MSP-2820</t>
  </si>
  <si>
    <t xml:space="preserve">1.4.1.10.10.2</t>
  </si>
  <si>
    <t xml:space="preserve">2819FS</t>
  </si>
  <si>
    <t xml:space="preserve">MSP-2821</t>
  </si>
  <si>
    <t xml:space="preserve">1.4.1.10.10.3</t>
  </si>
  <si>
    <t xml:space="preserve">MSP-2822</t>
  </si>
  <si>
    <t xml:space="preserve">1.4.1.10.10.4</t>
  </si>
  <si>
    <t xml:space="preserve">MSP-2823</t>
  </si>
  <si>
    <t xml:space="preserve">1.4.1.10.10.5</t>
  </si>
  <si>
    <t xml:space="preserve">2822FS</t>
  </si>
  <si>
    <t xml:space="preserve">MSP-2824</t>
  </si>
  <si>
    <t xml:space="preserve">1.4.1.10.10.6</t>
  </si>
  <si>
    <t xml:space="preserve">2823FS</t>
  </si>
  <si>
    <t xml:space="preserve">MSP-2825</t>
  </si>
  <si>
    <t xml:space="preserve">1.4.1.10.11</t>
  </si>
  <si>
    <t xml:space="preserve">MSP-2826</t>
  </si>
  <si>
    <t xml:space="preserve">1.4.1.10.11.1</t>
  </si>
  <si>
    <t xml:space="preserve">2824FS</t>
  </si>
  <si>
    <t xml:space="preserve">MSP-2827</t>
  </si>
  <si>
    <t xml:space="preserve">1.4.1.10.11.2</t>
  </si>
  <si>
    <t xml:space="preserve">2826FS</t>
  </si>
  <si>
    <t xml:space="preserve">MSP-2828</t>
  </si>
  <si>
    <t xml:space="preserve">1.4.1.10.11.3</t>
  </si>
  <si>
    <t xml:space="preserve">2827FS</t>
  </si>
  <si>
    <t xml:space="preserve">MSP-2829</t>
  </si>
  <si>
    <t xml:space="preserve">1.4.1.10.12</t>
  </si>
  <si>
    <t xml:space="preserve">MSP-2830</t>
  </si>
  <si>
    <t xml:space="preserve">1.4.1.10.12.1</t>
  </si>
  <si>
    <t xml:space="preserve">MSP-2831</t>
  </si>
  <si>
    <t xml:space="preserve">1.4.1.10.12.1.1</t>
  </si>
  <si>
    <t xml:space="preserve">2828FS</t>
  </si>
  <si>
    <t xml:space="preserve">MSP-2832</t>
  </si>
  <si>
    <t xml:space="preserve">1.4.1.10.12.1.2</t>
  </si>
  <si>
    <t xml:space="preserve">2831FS</t>
  </si>
  <si>
    <t xml:space="preserve">MSP-2833</t>
  </si>
  <si>
    <t xml:space="preserve">1.4.1.10.12.2</t>
  </si>
  <si>
    <t xml:space="preserve">MSP-2834</t>
  </si>
  <si>
    <t xml:space="preserve">1.4.1.10.12.2.1</t>
  </si>
  <si>
    <t xml:space="preserve">2832FS</t>
  </si>
  <si>
    <t xml:space="preserve">MSP-2835</t>
  </si>
  <si>
    <t xml:space="preserve">1.4.1.11</t>
  </si>
  <si>
    <t xml:space="preserve">BLOQUE "11"</t>
  </si>
  <si>
    <t xml:space="preserve">MSP-2836</t>
  </si>
  <si>
    <t xml:space="preserve">1.4.1.11.1</t>
  </si>
  <si>
    <t xml:space="preserve">MSP-2837</t>
  </si>
  <si>
    <t xml:space="preserve">1.4.1.11.1.1</t>
  </si>
  <si>
    <t xml:space="preserve">MSP-2838</t>
  </si>
  <si>
    <t xml:space="preserve">1.4.1.11.1.2</t>
  </si>
  <si>
    <t xml:space="preserve">MSP-2839</t>
  </si>
  <si>
    <t xml:space="preserve">1.4.1.11.1.3</t>
  </si>
  <si>
    <t xml:space="preserve">2838FS</t>
  </si>
  <si>
    <t xml:space="preserve">MSP-2840</t>
  </si>
  <si>
    <t xml:space="preserve">1.4.1.11.2</t>
  </si>
  <si>
    <t xml:space="preserve">MSP-2841</t>
  </si>
  <si>
    <t xml:space="preserve">1.4.1.11.2.1</t>
  </si>
  <si>
    <t xml:space="preserve">MSP-2842</t>
  </si>
  <si>
    <t xml:space="preserve">1.4.1.11.2.2</t>
  </si>
  <si>
    <t xml:space="preserve">2841SS</t>
  </si>
  <si>
    <t xml:space="preserve">MSP-2843</t>
  </si>
  <si>
    <t xml:space="preserve">1.4.1.11.2.3</t>
  </si>
  <si>
    <t xml:space="preserve">2842FS</t>
  </si>
  <si>
    <t xml:space="preserve">MSP-2844</t>
  </si>
  <si>
    <t xml:space="preserve">1.4.1.11.2.4</t>
  </si>
  <si>
    <t xml:space="preserve">2843FS</t>
  </si>
  <si>
    <t xml:space="preserve">MSP-2845</t>
  </si>
  <si>
    <t xml:space="preserve">1.4.1.11.2.5</t>
  </si>
  <si>
    <t xml:space="preserve">2841FS;2842FS</t>
  </si>
  <si>
    <t xml:space="preserve">MSP-2846</t>
  </si>
  <si>
    <t xml:space="preserve">1.4.1.11.3</t>
  </si>
  <si>
    <t xml:space="preserve">MSP-2847</t>
  </si>
  <si>
    <t xml:space="preserve">1.4.1.11.3.1</t>
  </si>
  <si>
    <t xml:space="preserve">MSP-2848</t>
  </si>
  <si>
    <t xml:space="preserve">1.4.1.11.4</t>
  </si>
  <si>
    <t xml:space="preserve">MSP-2849</t>
  </si>
  <si>
    <t xml:space="preserve">1.4.1.11.4.1</t>
  </si>
  <si>
    <t xml:space="preserve">MSP-2850</t>
  </si>
  <si>
    <t xml:space="preserve">1.4.1.11.4.1.1</t>
  </si>
  <si>
    <t xml:space="preserve">2847FS</t>
  </si>
  <si>
    <t xml:space="preserve">MSP-2851</t>
  </si>
  <si>
    <t xml:space="preserve">1.4.1.11.4.2</t>
  </si>
  <si>
    <t xml:space="preserve">MSP-2852</t>
  </si>
  <si>
    <t xml:space="preserve">1.4.1.11.4.2.1</t>
  </si>
  <si>
    <t xml:space="preserve">2850FS</t>
  </si>
  <si>
    <t xml:space="preserve">MSP-2853</t>
  </si>
  <si>
    <t xml:space="preserve">1.4.1.11.4.3</t>
  </si>
  <si>
    <t xml:space="preserve">MSP-2854</t>
  </si>
  <si>
    <t xml:space="preserve">1.4.1.11.4.3.1</t>
  </si>
  <si>
    <t xml:space="preserve">2852FS</t>
  </si>
  <si>
    <t xml:space="preserve">MSP-2855</t>
  </si>
  <si>
    <t xml:space="preserve">1.4.1.11.5</t>
  </si>
  <si>
    <t xml:space="preserve">MSP-2856</t>
  </si>
  <si>
    <t xml:space="preserve">1.4.1.11.5.1</t>
  </si>
  <si>
    <t xml:space="preserve">2854FS</t>
  </si>
  <si>
    <t xml:space="preserve">MSP-2857</t>
  </si>
  <si>
    <t xml:space="preserve">1.4.1.11.5.2</t>
  </si>
  <si>
    <t xml:space="preserve">2856FS</t>
  </si>
  <si>
    <t xml:space="preserve">MSP-2858</t>
  </si>
  <si>
    <t xml:space="preserve">1.4.1.11.6</t>
  </si>
  <si>
    <t xml:space="preserve">MSP-2859</t>
  </si>
  <si>
    <t xml:space="preserve">1.4.1.11.6.1</t>
  </si>
  <si>
    <t xml:space="preserve">2857FS</t>
  </si>
  <si>
    <t xml:space="preserve">MSP-2860</t>
  </si>
  <si>
    <t xml:space="preserve">1.4.1.11.7</t>
  </si>
  <si>
    <t xml:space="preserve">ENTRE EJE 20-21, ENTRE EJE E-F</t>
  </si>
  <si>
    <t xml:space="preserve">MSP-2861</t>
  </si>
  <si>
    <t xml:space="preserve">1.4.1.11.7.1</t>
  </si>
  <si>
    <t xml:space="preserve">MSP-2862</t>
  </si>
  <si>
    <t xml:space="preserve">1.4.1.11.7.2</t>
  </si>
  <si>
    <t xml:space="preserve">2861SS</t>
  </si>
  <si>
    <t xml:space="preserve">MSP-2863</t>
  </si>
  <si>
    <t xml:space="preserve">1.4.1.11.7.3</t>
  </si>
  <si>
    <t xml:space="preserve">MSP-2864</t>
  </si>
  <si>
    <t xml:space="preserve">1.4.1.11.7.4</t>
  </si>
  <si>
    <t xml:space="preserve">2863FS</t>
  </si>
  <si>
    <t xml:space="preserve">MSP-2865</t>
  </si>
  <si>
    <t xml:space="preserve">1.4.1.11.8</t>
  </si>
  <si>
    <t xml:space="preserve">MSP-2866</t>
  </si>
  <si>
    <t xml:space="preserve">1.4.1.11.8.1</t>
  </si>
  <si>
    <t xml:space="preserve">2864FS</t>
  </si>
  <si>
    <t xml:space="preserve">MSP-2867</t>
  </si>
  <si>
    <t xml:space="preserve">1.4.1.11.8.2</t>
  </si>
  <si>
    <t xml:space="preserve">2854FS+-1.0d</t>
  </si>
  <si>
    <t xml:space="preserve">MSP-2868</t>
  </si>
  <si>
    <t xml:space="preserve">1.4.1.11.8.3</t>
  </si>
  <si>
    <t xml:space="preserve">2867FS</t>
  </si>
  <si>
    <t xml:space="preserve">MSP-2869</t>
  </si>
  <si>
    <t xml:space="preserve">1.4.1.11.8.4</t>
  </si>
  <si>
    <t xml:space="preserve">2868FS</t>
  </si>
  <si>
    <t xml:space="preserve">MSP-2870</t>
  </si>
  <si>
    <t xml:space="preserve">1.4.1.11.9</t>
  </si>
  <si>
    <t xml:space="preserve">MSP-2871</t>
  </si>
  <si>
    <t xml:space="preserve">1.4.1.11.9.1</t>
  </si>
  <si>
    <t xml:space="preserve">MSP-2872</t>
  </si>
  <si>
    <t xml:space="preserve">1.4.1.11.9.1.1</t>
  </si>
  <si>
    <t xml:space="preserve">MSP-2873</t>
  </si>
  <si>
    <t xml:space="preserve">1.4.1.12</t>
  </si>
  <si>
    <t xml:space="preserve">BLOQUE "12"</t>
  </si>
  <si>
    <t xml:space="preserve">MSP-2874</t>
  </si>
  <si>
    <t xml:space="preserve">1.4.1.12.1</t>
  </si>
  <si>
    <t xml:space="preserve">MSP-2875</t>
  </si>
  <si>
    <t xml:space="preserve">1.4.1.12.1.1</t>
  </si>
  <si>
    <t xml:space="preserve">2876SS</t>
  </si>
  <si>
    <t xml:space="preserve">MSP-2876</t>
  </si>
  <si>
    <t xml:space="preserve">1.4.1.12.1.2</t>
  </si>
  <si>
    <t xml:space="preserve">MURO DE LADRILLO K.K. TIPO V DE SOGA, MEZCLA C:A 1:5 SEGUNDO NIVEL</t>
  </si>
  <si>
    <t xml:space="preserve">MSP-2877</t>
  </si>
  <si>
    <t xml:space="preserve">1.4.1.12.1.3</t>
  </si>
  <si>
    <t xml:space="preserve">MURO DE LADRILLO K.K. TIPO V DE SOGA, MEZCLA C:A 1:5 TERCER NIVEL</t>
  </si>
  <si>
    <t xml:space="preserve">MSP-2878</t>
  </si>
  <si>
    <t xml:space="preserve">1.4.1.12.2</t>
  </si>
  <si>
    <t xml:space="preserve">MSP-2879</t>
  </si>
  <si>
    <t xml:space="preserve">1.4.1.12.2.1</t>
  </si>
  <si>
    <t xml:space="preserve">MSP-2880</t>
  </si>
  <si>
    <t xml:space="preserve">1.4.1.12.2.2</t>
  </si>
  <si>
    <t xml:space="preserve">2879SS</t>
  </si>
  <si>
    <t xml:space="preserve">MSP-2881</t>
  </si>
  <si>
    <t xml:space="preserve">1.4.1.12.2.3</t>
  </si>
  <si>
    <t xml:space="preserve">2880FS</t>
  </si>
  <si>
    <t xml:space="preserve">MSP-2882</t>
  </si>
  <si>
    <t xml:space="preserve">1.4.1.12.2.4</t>
  </si>
  <si>
    <t xml:space="preserve">2881FS</t>
  </si>
  <si>
    <t xml:space="preserve">MSP-2883</t>
  </si>
  <si>
    <t xml:space="preserve">1.4.1.12.2.5</t>
  </si>
  <si>
    <t xml:space="preserve">2882SS</t>
  </si>
  <si>
    <t xml:space="preserve">MSP-2884</t>
  </si>
  <si>
    <t xml:space="preserve">1.4.1.12.2.6</t>
  </si>
  <si>
    <t xml:space="preserve">2883FS</t>
  </si>
  <si>
    <t xml:space="preserve">MSP-2885</t>
  </si>
  <si>
    <t xml:space="preserve">1.4.1.12.2.7</t>
  </si>
  <si>
    <t xml:space="preserve">2879FS;2880FS</t>
  </si>
  <si>
    <t xml:space="preserve">MSP-2886</t>
  </si>
  <si>
    <t xml:space="preserve">1.4.1.12.3</t>
  </si>
  <si>
    <t xml:space="preserve">CIELORASO</t>
  </si>
  <si>
    <t xml:space="preserve">MSP-2887</t>
  </si>
  <si>
    <t xml:space="preserve">1.4.1.12.3.1</t>
  </si>
  <si>
    <t xml:space="preserve">MSP-2888</t>
  </si>
  <si>
    <t xml:space="preserve">1.4.1.12.4</t>
  </si>
  <si>
    <t xml:space="preserve">MSP-2889</t>
  </si>
  <si>
    <t xml:space="preserve">1.4.1.12.4.1</t>
  </si>
  <si>
    <t xml:space="preserve">MSP-2890</t>
  </si>
  <si>
    <t xml:space="preserve">1.4.1.12.4.1.1</t>
  </si>
  <si>
    <t xml:space="preserve">2887FS</t>
  </si>
  <si>
    <t xml:space="preserve">MSP-2891</t>
  </si>
  <si>
    <t xml:space="preserve">1.4.1.12.4.2</t>
  </si>
  <si>
    <t xml:space="preserve">MSP-2892</t>
  </si>
  <si>
    <t xml:space="preserve">1.4.1.12.4.2.1</t>
  </si>
  <si>
    <t xml:space="preserve">2890FS</t>
  </si>
  <si>
    <t xml:space="preserve">MSP-2893</t>
  </si>
  <si>
    <t xml:space="preserve">1.4.1.12.4.3</t>
  </si>
  <si>
    <t xml:space="preserve">MSP-2894</t>
  </si>
  <si>
    <t xml:space="preserve">1.4.1.12.4.3.1</t>
  </si>
  <si>
    <t xml:space="preserve">2892FS</t>
  </si>
  <si>
    <t xml:space="preserve">MSP-2895</t>
  </si>
  <si>
    <t xml:space="preserve">1.4.1.12.5</t>
  </si>
  <si>
    <t xml:space="preserve">MSP-2896</t>
  </si>
  <si>
    <t xml:space="preserve">1.4.1.12.5.1</t>
  </si>
  <si>
    <t xml:space="preserve">2894FS</t>
  </si>
  <si>
    <t xml:space="preserve">MSP-2897</t>
  </si>
  <si>
    <t xml:space="preserve">1.4.1.12.5.2</t>
  </si>
  <si>
    <t xml:space="preserve">2896FS</t>
  </si>
  <si>
    <t xml:space="preserve">MSP-2898</t>
  </si>
  <si>
    <t xml:space="preserve">1.4.1.12.6</t>
  </si>
  <si>
    <t xml:space="preserve">MSP-2899</t>
  </si>
  <si>
    <t xml:space="preserve">1.4.1.12.6.1</t>
  </si>
  <si>
    <t xml:space="preserve">2897FS</t>
  </si>
  <si>
    <t xml:space="preserve">MSP-2900</t>
  </si>
  <si>
    <t xml:space="preserve">1.4.1.12.6.2</t>
  </si>
  <si>
    <t xml:space="preserve">2899FS</t>
  </si>
  <si>
    <t xml:space="preserve">MSP-2901</t>
  </si>
  <si>
    <t xml:space="preserve">1.4.1.12.7</t>
  </si>
  <si>
    <t xml:space="preserve">MSP-2902</t>
  </si>
  <si>
    <t xml:space="preserve">1.4.1.12.7.1</t>
  </si>
  <si>
    <t xml:space="preserve">MSP-2903</t>
  </si>
  <si>
    <t xml:space="preserve">1.4.1.12.7.1.1</t>
  </si>
  <si>
    <t xml:space="preserve">MSP-2904</t>
  </si>
  <si>
    <t xml:space="preserve">1.4.1.12.7.1.2</t>
  </si>
  <si>
    <t xml:space="preserve">2903FS</t>
  </si>
  <si>
    <t xml:space="preserve">MSP-2905</t>
  </si>
  <si>
    <t xml:space="preserve">1.4.1.12.8</t>
  </si>
  <si>
    <t xml:space="preserve">MSP-2906</t>
  </si>
  <si>
    <t xml:space="preserve">1.4.1.12.8.1</t>
  </si>
  <si>
    <t xml:space="preserve">MSP-2907</t>
  </si>
  <si>
    <t xml:space="preserve">1.4.1.12.8.1.1</t>
  </si>
  <si>
    <t xml:space="preserve">2904FS</t>
  </si>
  <si>
    <t xml:space="preserve">MSP-2908</t>
  </si>
  <si>
    <t xml:space="preserve">1.4.1.12.8.1.2</t>
  </si>
  <si>
    <t xml:space="preserve">2907FS</t>
  </si>
  <si>
    <t xml:space="preserve">MSP-2909</t>
  </si>
  <si>
    <t xml:space="preserve">1.4.1.12.9</t>
  </si>
  <si>
    <t xml:space="preserve">MSP-2910</t>
  </si>
  <si>
    <t xml:space="preserve">1.4.1.12.9.1</t>
  </si>
  <si>
    <t xml:space="preserve">PV-08, PUERTA DE VIDRIO TEMPLADO, 01 HOJA</t>
  </si>
  <si>
    <t xml:space="preserve">2908FS</t>
  </si>
  <si>
    <t xml:space="preserve">MSP-2911</t>
  </si>
  <si>
    <t xml:space="preserve">1.4.1.12.10</t>
  </si>
  <si>
    <t xml:space="preserve">MSP-2912</t>
  </si>
  <si>
    <t xml:space="preserve">1.4.1.12.10.1</t>
  </si>
  <si>
    <t xml:space="preserve">MSP-2913</t>
  </si>
  <si>
    <t xml:space="preserve">1.4.1.12.10.2</t>
  </si>
  <si>
    <t xml:space="preserve">2912SS</t>
  </si>
  <si>
    <t xml:space="preserve">MSP-2914</t>
  </si>
  <si>
    <t xml:space="preserve">1.4.1.12.10.3</t>
  </si>
  <si>
    <t xml:space="preserve">MSP-2915</t>
  </si>
  <si>
    <t xml:space="preserve">1.4.1.12.10.4</t>
  </si>
  <si>
    <t xml:space="preserve">2914FS</t>
  </si>
  <si>
    <t xml:space="preserve">MSP-2916</t>
  </si>
  <si>
    <t xml:space="preserve">1.4.1.12.10.5</t>
  </si>
  <si>
    <t xml:space="preserve">2915FS</t>
  </si>
  <si>
    <t xml:space="preserve">MSP-2917</t>
  </si>
  <si>
    <t xml:space="preserve">1.4.1.12.11</t>
  </si>
  <si>
    <t xml:space="preserve">MSP-2918</t>
  </si>
  <si>
    <t xml:space="preserve">1.4.1.12.11.1</t>
  </si>
  <si>
    <t xml:space="preserve">2916FS</t>
  </si>
  <si>
    <t xml:space="preserve">MSP-2919</t>
  </si>
  <si>
    <t xml:space="preserve">1.4.1.12.12</t>
  </si>
  <si>
    <t xml:space="preserve">MSP-2920</t>
  </si>
  <si>
    <t xml:space="preserve">1.4.1.12.12.1</t>
  </si>
  <si>
    <t xml:space="preserve">MSP-2921</t>
  </si>
  <si>
    <t xml:space="preserve">1.4.1.12.12.1.1</t>
  </si>
  <si>
    <t xml:space="preserve">2918FS</t>
  </si>
  <si>
    <t xml:space="preserve">MSP-2922</t>
  </si>
  <si>
    <t xml:space="preserve">1.4.1.13</t>
  </si>
  <si>
    <t xml:space="preserve">BLOQUE "13"</t>
  </si>
  <si>
    <t xml:space="preserve">MSP-2923</t>
  </si>
  <si>
    <t xml:space="preserve">1.4.1.13.1</t>
  </si>
  <si>
    <t xml:space="preserve">MSP-2924</t>
  </si>
  <si>
    <t xml:space="preserve">1.4.1.13.1.1</t>
  </si>
  <si>
    <t xml:space="preserve">MSP-2925</t>
  </si>
  <si>
    <t xml:space="preserve">1.4.1.13.1.2</t>
  </si>
  <si>
    <t xml:space="preserve">MURO DE LADRILLO K.K. TIPO V DE CABEZA, MEZCLA C:A 1:5 SEGUNDO NIVEL</t>
  </si>
  <si>
    <t xml:space="preserve">MSP-2926</t>
  </si>
  <si>
    <t xml:space="preserve">1.4.1.13.1.3</t>
  </si>
  <si>
    <t xml:space="preserve">2925FS</t>
  </si>
  <si>
    <t xml:space="preserve">MSP-2927</t>
  </si>
  <si>
    <t xml:space="preserve">1.4.1.13.1.4</t>
  </si>
  <si>
    <t xml:space="preserve">2926FS</t>
  </si>
  <si>
    <t xml:space="preserve">MSP-2928</t>
  </si>
  <si>
    <t xml:space="preserve">1.4.1.13.2</t>
  </si>
  <si>
    <t xml:space="preserve">MSP-2929</t>
  </si>
  <si>
    <t xml:space="preserve">1.4.1.13.2.1</t>
  </si>
  <si>
    <t xml:space="preserve">MSP-2930</t>
  </si>
  <si>
    <t xml:space="preserve">1.4.1.13.2.2</t>
  </si>
  <si>
    <t xml:space="preserve">2929SS</t>
  </si>
  <si>
    <t xml:space="preserve">MSP-2931</t>
  </si>
  <si>
    <t xml:space="preserve">1.4.1.13.2.3</t>
  </si>
  <si>
    <t xml:space="preserve">2930FS</t>
  </si>
  <si>
    <t xml:space="preserve">MSP-2932</t>
  </si>
  <si>
    <t xml:space="preserve">1.4.1.13.2.4</t>
  </si>
  <si>
    <t xml:space="preserve">2931FS</t>
  </si>
  <si>
    <t xml:space="preserve">MSP-2933</t>
  </si>
  <si>
    <t xml:space="preserve">1.4.1.13.2.5</t>
  </si>
  <si>
    <t xml:space="preserve">2929SS+1.0d;2930SS+1.0d</t>
  </si>
  <si>
    <t xml:space="preserve">MSP-2934</t>
  </si>
  <si>
    <t xml:space="preserve">1.4.1.13.3</t>
  </si>
  <si>
    <t xml:space="preserve">MSP-2935</t>
  </si>
  <si>
    <t xml:space="preserve">1.4.1.13.3.1</t>
  </si>
  <si>
    <t xml:space="preserve">MSP-2936</t>
  </si>
  <si>
    <t xml:space="preserve">1.4.1.13.4</t>
  </si>
  <si>
    <t xml:space="preserve">MSP-2937</t>
  </si>
  <si>
    <t xml:space="preserve">1.4.1.13.4.1</t>
  </si>
  <si>
    <t xml:space="preserve">MSP-2938</t>
  </si>
  <si>
    <t xml:space="preserve">1.4.1.13.4.1.1</t>
  </si>
  <si>
    <t xml:space="preserve">2935FS</t>
  </si>
  <si>
    <t xml:space="preserve">MSP-2939</t>
  </si>
  <si>
    <t xml:space="preserve">1.4.1.13.4.2</t>
  </si>
  <si>
    <t xml:space="preserve">MSP-2940</t>
  </si>
  <si>
    <t xml:space="preserve">1.4.1.13.4.2.1</t>
  </si>
  <si>
    <t xml:space="preserve">2938FS</t>
  </si>
  <si>
    <t xml:space="preserve">MSP-2941</t>
  </si>
  <si>
    <t xml:space="preserve">1.4.1.13.5</t>
  </si>
  <si>
    <t xml:space="preserve">MSP-2942</t>
  </si>
  <si>
    <t xml:space="preserve">1.4.1.13.5.1</t>
  </si>
  <si>
    <t xml:space="preserve">MSP-2943</t>
  </si>
  <si>
    <t xml:space="preserve">1.4.1.13.6</t>
  </si>
  <si>
    <t xml:space="preserve">MSP-2944</t>
  </si>
  <si>
    <t xml:space="preserve">1.4.1.13.6.1</t>
  </si>
  <si>
    <t xml:space="preserve">MSP-2945</t>
  </si>
  <si>
    <t xml:space="preserve">1.4.1.13.6.2</t>
  </si>
  <si>
    <t xml:space="preserve">2944SS+1.0d</t>
  </si>
  <si>
    <t xml:space="preserve">MSP-2946</t>
  </si>
  <si>
    <t xml:space="preserve">1.4.1.13.7</t>
  </si>
  <si>
    <t xml:space="preserve">MSP-2947</t>
  </si>
  <si>
    <t xml:space="preserve">1.4.1.13.7.1</t>
  </si>
  <si>
    <t xml:space="preserve">MSP-2948</t>
  </si>
  <si>
    <t xml:space="preserve">1.4.1.13.7.1.1</t>
  </si>
  <si>
    <t xml:space="preserve">MSP-2949</t>
  </si>
  <si>
    <t xml:space="preserve">1.4.1.13.7.2</t>
  </si>
  <si>
    <t xml:space="preserve">MSP-2950</t>
  </si>
  <si>
    <t xml:space="preserve">1.4.1.13.7.2.1</t>
  </si>
  <si>
    <t xml:space="preserve">V-78 VENTANA REJA METALICA TIPO PERSIANA DE (1.50MX0.80M)</t>
  </si>
  <si>
    <t xml:space="preserve">2948FS</t>
  </si>
  <si>
    <t xml:space="preserve">MSP-2951</t>
  </si>
  <si>
    <t xml:space="preserve">1.4.1.13.8</t>
  </si>
  <si>
    <t xml:space="preserve">MSP-2952</t>
  </si>
  <si>
    <t xml:space="preserve">1.4.1.13.8.1</t>
  </si>
  <si>
    <t xml:space="preserve">2950FS</t>
  </si>
  <si>
    <t xml:space="preserve">MSP-2953</t>
  </si>
  <si>
    <t xml:space="preserve">1.4.1.13.8.2</t>
  </si>
  <si>
    <t xml:space="preserve">2952SS</t>
  </si>
  <si>
    <t xml:space="preserve">MSP-2954</t>
  </si>
  <si>
    <t xml:space="preserve">1.4.1.13.8.3</t>
  </si>
  <si>
    <t xml:space="preserve">MSP-2955</t>
  </si>
  <si>
    <t xml:space="preserve">1.4.1.13.8.4</t>
  </si>
  <si>
    <t xml:space="preserve">2954FS</t>
  </si>
  <si>
    <t xml:space="preserve">MSP-2956</t>
  </si>
  <si>
    <t xml:space="preserve">1.4.1.13.8.5</t>
  </si>
  <si>
    <t xml:space="preserve">2955FS</t>
  </si>
  <si>
    <t xml:space="preserve">MSP-2957</t>
  </si>
  <si>
    <t xml:space="preserve">1.4.1.13.9</t>
  </si>
  <si>
    <t xml:space="preserve">MSP-2958</t>
  </si>
  <si>
    <t xml:space="preserve">1.4.1.13.9.1</t>
  </si>
  <si>
    <t xml:space="preserve">2956FS</t>
  </si>
  <si>
    <t xml:space="preserve">MSP-2959</t>
  </si>
  <si>
    <t xml:space="preserve">1.4.1.13.10</t>
  </si>
  <si>
    <t xml:space="preserve">MSP-2960</t>
  </si>
  <si>
    <t xml:space="preserve">1.4.1.13.10.1</t>
  </si>
  <si>
    <t xml:space="preserve">MSP-2961</t>
  </si>
  <si>
    <t xml:space="preserve">1.4.1.13.10.1.1</t>
  </si>
  <si>
    <t xml:space="preserve">2952FS</t>
  </si>
  <si>
    <t xml:space="preserve">MSP-2962</t>
  </si>
  <si>
    <t xml:space="preserve">1.4.1.13.10.2</t>
  </si>
  <si>
    <t xml:space="preserve">MSP-2963</t>
  </si>
  <si>
    <t xml:space="preserve">1.4.1.13.10.2.1</t>
  </si>
  <si>
    <t xml:space="preserve">2961SS</t>
  </si>
  <si>
    <t xml:space="preserve">MSP-2964</t>
  </si>
  <si>
    <t xml:space="preserve">1.4.1.14</t>
  </si>
  <si>
    <t xml:space="preserve">BLOQUE "14"</t>
  </si>
  <si>
    <t xml:space="preserve">MSP-2965</t>
  </si>
  <si>
    <t xml:space="preserve">1.4.1.14.1</t>
  </si>
  <si>
    <t xml:space="preserve">MSP-2966</t>
  </si>
  <si>
    <t xml:space="preserve">1.4.1.14.1.1</t>
  </si>
  <si>
    <t xml:space="preserve">MSP-2967</t>
  </si>
  <si>
    <t xml:space="preserve">1.4.1.14.1.2</t>
  </si>
  <si>
    <t xml:space="preserve">MSP-2968</t>
  </si>
  <si>
    <t xml:space="preserve">1.4.1.14.1.3</t>
  </si>
  <si>
    <t xml:space="preserve">2967FS</t>
  </si>
  <si>
    <t xml:space="preserve">MSP-2969</t>
  </si>
  <si>
    <t xml:space="preserve">1.4.1.14.1.4</t>
  </si>
  <si>
    <t xml:space="preserve">2968FS</t>
  </si>
  <si>
    <t xml:space="preserve">MSP-2970</t>
  </si>
  <si>
    <t xml:space="preserve">1.4.1.14.2</t>
  </si>
  <si>
    <t xml:space="preserve">MSP-2971</t>
  </si>
  <si>
    <t xml:space="preserve">1.4.1.14.2.1</t>
  </si>
  <si>
    <t xml:space="preserve">MSP-2972</t>
  </si>
  <si>
    <t xml:space="preserve">1.4.1.14.2.2</t>
  </si>
  <si>
    <t xml:space="preserve">2971SS</t>
  </si>
  <si>
    <t xml:space="preserve">MSP-2973</t>
  </si>
  <si>
    <t xml:space="preserve">1.4.1.14.2.3</t>
  </si>
  <si>
    <t xml:space="preserve">2972FS</t>
  </si>
  <si>
    <t xml:space="preserve">MSP-2974</t>
  </si>
  <si>
    <t xml:space="preserve">1.4.1.14.2.4</t>
  </si>
  <si>
    <t xml:space="preserve">2973FS</t>
  </si>
  <si>
    <t xml:space="preserve">MSP-2975</t>
  </si>
  <si>
    <t xml:space="preserve">1.4.1.14.2.5</t>
  </si>
  <si>
    <t xml:space="preserve">2971FS;2972FS</t>
  </si>
  <si>
    <t xml:space="preserve">MSP-2976</t>
  </si>
  <si>
    <t xml:space="preserve">1.4.1.14.3</t>
  </si>
  <si>
    <t xml:space="preserve">MSP-2977</t>
  </si>
  <si>
    <t xml:space="preserve">1.4.1.14.3.1</t>
  </si>
  <si>
    <t xml:space="preserve">MSP-2978</t>
  </si>
  <si>
    <t xml:space="preserve">1.4.1.14.3.2</t>
  </si>
  <si>
    <t xml:space="preserve">2977FS</t>
  </si>
  <si>
    <t xml:space="preserve">MSP-2979</t>
  </si>
  <si>
    <t xml:space="preserve">1.4.1.14.4</t>
  </si>
  <si>
    <t xml:space="preserve">MSP-2980</t>
  </si>
  <si>
    <t xml:space="preserve">1.4.1.14.4.1</t>
  </si>
  <si>
    <t xml:space="preserve">MSP-2981</t>
  </si>
  <si>
    <t xml:space="preserve">1.4.1.14.4.1.1</t>
  </si>
  <si>
    <t xml:space="preserve">MSP-2982</t>
  </si>
  <si>
    <t xml:space="preserve">1.4.1.14.4.2</t>
  </si>
  <si>
    <t xml:space="preserve">MSP-2983</t>
  </si>
  <si>
    <t xml:space="preserve">1.4.1.14.4.2.1</t>
  </si>
  <si>
    <t xml:space="preserve">2981FS</t>
  </si>
  <si>
    <t xml:space="preserve">MSP-2984</t>
  </si>
  <si>
    <t xml:space="preserve">1.4.1.14.4.2.2</t>
  </si>
  <si>
    <t xml:space="preserve">2983FS</t>
  </si>
  <si>
    <t xml:space="preserve">MSP-2985</t>
  </si>
  <si>
    <t xml:space="preserve">1.4.1.14.5</t>
  </si>
  <si>
    <t xml:space="preserve">MSP-2986</t>
  </si>
  <si>
    <t xml:space="preserve">1.4.1.14.5.1</t>
  </si>
  <si>
    <t xml:space="preserve">MSP-2987</t>
  </si>
  <si>
    <t xml:space="preserve">1.4.1.14.5.2</t>
  </si>
  <si>
    <t xml:space="preserve">2986FS</t>
  </si>
  <si>
    <t xml:space="preserve">MSP-2988</t>
  </si>
  <si>
    <t xml:space="preserve">1.4.1.14.6</t>
  </si>
  <si>
    <t xml:space="preserve">MSP-2989</t>
  </si>
  <si>
    <t xml:space="preserve">1.4.1.14.6.1</t>
  </si>
  <si>
    <t xml:space="preserve">2984FS</t>
  </si>
  <si>
    <t xml:space="preserve">MSP-2990</t>
  </si>
  <si>
    <t xml:space="preserve">1.4.1.14.6.2</t>
  </si>
  <si>
    <t xml:space="preserve">2989FS</t>
  </si>
  <si>
    <t xml:space="preserve">MSP-2991</t>
  </si>
  <si>
    <t xml:space="preserve">1.4.1.14.7</t>
  </si>
  <si>
    <t xml:space="preserve">MSP-2992</t>
  </si>
  <si>
    <t xml:space="preserve">1.4.1.14.7.1</t>
  </si>
  <si>
    <t xml:space="preserve">MSP-2993</t>
  </si>
  <si>
    <t xml:space="preserve">1.4.1.14.7.1.1</t>
  </si>
  <si>
    <t xml:space="preserve">PMA_10, PUERTA MACHIHEMBRADA, 01 HOJA</t>
  </si>
  <si>
    <t xml:space="preserve">2987FS</t>
  </si>
  <si>
    <t xml:space="preserve">MSP-2994</t>
  </si>
  <si>
    <t xml:space="preserve">1.4.1.14.7.1.2</t>
  </si>
  <si>
    <t xml:space="preserve">2993FS</t>
  </si>
  <si>
    <t xml:space="preserve">MSP-2995</t>
  </si>
  <si>
    <t xml:space="preserve">1.4.1.14.8</t>
  </si>
  <si>
    <t xml:space="preserve">MSP-2996</t>
  </si>
  <si>
    <t xml:space="preserve">1.4.1.14.8.1</t>
  </si>
  <si>
    <t xml:space="preserve">MSP-2997</t>
  </si>
  <si>
    <t xml:space="preserve">1.4.1.14.8.1.1</t>
  </si>
  <si>
    <t xml:space="preserve">2994FS</t>
  </si>
  <si>
    <t xml:space="preserve">MSP-2998</t>
  </si>
  <si>
    <t xml:space="preserve">1.4.1.14.8.2</t>
  </si>
  <si>
    <t xml:space="preserve">MSP-2999</t>
  </si>
  <si>
    <t xml:space="preserve">1.4.1.14.8.2.1</t>
  </si>
  <si>
    <t xml:space="preserve">V-21 VENTANA REJA METALICA TIPO PERSIANA DE (1.50MX0.80M)</t>
  </si>
  <si>
    <t xml:space="preserve">2997FS</t>
  </si>
  <si>
    <t xml:space="preserve">MSP-3000</t>
  </si>
  <si>
    <t xml:space="preserve">1.4.1.14.8.3</t>
  </si>
  <si>
    <t xml:space="preserve">VIDRIOS CRISTALES Y SIMILARES</t>
  </si>
  <si>
    <t xml:space="preserve">MSP-3001</t>
  </si>
  <si>
    <t xml:space="preserve">1.4.1.14.8.3.1</t>
  </si>
  <si>
    <t xml:space="preserve">VENTANA FIJA Y CORREDIZA SISTEMA C/ VIDRIO TEMPLADO</t>
  </si>
  <si>
    <t xml:space="preserve">2999FS</t>
  </si>
  <si>
    <t xml:space="preserve">MSP-3002</t>
  </si>
  <si>
    <t xml:space="preserve">1.4.1.14.9</t>
  </si>
  <si>
    <t xml:space="preserve">MSP-3003</t>
  </si>
  <si>
    <t xml:space="preserve">1.4.1.14.9.1</t>
  </si>
  <si>
    <t xml:space="preserve">2971FS</t>
  </si>
  <si>
    <t xml:space="preserve">MSP-3004</t>
  </si>
  <si>
    <t xml:space="preserve">1.4.1.14.9.2</t>
  </si>
  <si>
    <t xml:space="preserve">3003SS</t>
  </si>
  <si>
    <t xml:space="preserve">MSP-3005</t>
  </si>
  <si>
    <t xml:space="preserve">1.4.1.14.9.3</t>
  </si>
  <si>
    <t xml:space="preserve">MSP-3006</t>
  </si>
  <si>
    <t xml:space="preserve">1.4.1.14.9.4</t>
  </si>
  <si>
    <t xml:space="preserve">3005FS</t>
  </si>
  <si>
    <t xml:space="preserve">MSP-3007</t>
  </si>
  <si>
    <t xml:space="preserve">1.4.1.14.9.5</t>
  </si>
  <si>
    <t xml:space="preserve">3006FS</t>
  </si>
  <si>
    <t xml:space="preserve">MSP-3008</t>
  </si>
  <si>
    <t xml:space="preserve">1.4.1.14.9.6</t>
  </si>
  <si>
    <t xml:space="preserve">3007FS</t>
  </si>
  <si>
    <t xml:space="preserve">MSP-3009</t>
  </si>
  <si>
    <t xml:space="preserve">1.4.1.14.10</t>
  </si>
  <si>
    <t xml:space="preserve">MSP-3010</t>
  </si>
  <si>
    <t xml:space="preserve">1.4.1.14.10.1</t>
  </si>
  <si>
    <t xml:space="preserve">3008FS</t>
  </si>
  <si>
    <t xml:space="preserve">MSP-3011</t>
  </si>
  <si>
    <t xml:space="preserve">1.4.1.14.11</t>
  </si>
  <si>
    <t xml:space="preserve">MSP-3012</t>
  </si>
  <si>
    <t xml:space="preserve">1.4.1.14.11.1</t>
  </si>
  <si>
    <t xml:space="preserve">MSP-3013</t>
  </si>
  <si>
    <t xml:space="preserve">1.4.1.14.11.1.1</t>
  </si>
  <si>
    <t xml:space="preserve">3003FS</t>
  </si>
  <si>
    <t xml:space="preserve">MSP-3014</t>
  </si>
  <si>
    <t xml:space="preserve">1.4.1.14.11.2</t>
  </si>
  <si>
    <t xml:space="preserve">MSP-3015</t>
  </si>
  <si>
    <t xml:space="preserve">1.4.1.14.11.2.1</t>
  </si>
  <si>
    <t xml:space="preserve">3013SS</t>
  </si>
  <si>
    <t xml:space="preserve">MSP-3016</t>
  </si>
  <si>
    <t xml:space="preserve">1.4.1.14.11.3</t>
  </si>
  <si>
    <t xml:space="preserve">MSP-3017</t>
  </si>
  <si>
    <t xml:space="preserve">1.4.1.14.11.3.1</t>
  </si>
  <si>
    <t xml:space="preserve">3015SS</t>
  </si>
  <si>
    <t xml:space="preserve">MSP-3018</t>
  </si>
  <si>
    <t xml:space="preserve">1.4.1.15</t>
  </si>
  <si>
    <t xml:space="preserve">MSP-3019</t>
  </si>
  <si>
    <t xml:space="preserve">1.4.1.15.1</t>
  </si>
  <si>
    <t xml:space="preserve">MSP-3020</t>
  </si>
  <si>
    <t xml:space="preserve">1.4.1.15.1.1</t>
  </si>
  <si>
    <t xml:space="preserve">VEREDAS INTERIORES</t>
  </si>
  <si>
    <t xml:space="preserve">MSP-3021</t>
  </si>
  <si>
    <t xml:space="preserve">1.4.1.15.1.1.1</t>
  </si>
  <si>
    <t xml:space="preserve">VEREDA DE CONCRETO F'C=175 KG/CM2, E=4" ACAB. PIEDRA LAVADA C/BORDES CEMENTO PULIDO Y BRUÑADO C/0.10m.</t>
  </si>
  <si>
    <t xml:space="preserve">3022FS</t>
  </si>
  <si>
    <t xml:space="preserve">MSP-3022</t>
  </si>
  <si>
    <t xml:space="preserve">1.4.1.15.1.1.2</t>
  </si>
  <si>
    <t xml:space="preserve">ENCOFRADO Y DESENCOFRADO NORMAL PARA PISOS Y VEREDA</t>
  </si>
  <si>
    <t xml:space="preserve">MSP-3023</t>
  </si>
  <si>
    <t xml:space="preserve">1.4.1.15.1.2</t>
  </si>
  <si>
    <t xml:space="preserve">VEREDAS EXTERIORES</t>
  </si>
  <si>
    <t xml:space="preserve">MSP-3024</t>
  </si>
  <si>
    <t xml:space="preserve">1.4.1.15.1.2.1</t>
  </si>
  <si>
    <t xml:space="preserve">3025FS</t>
  </si>
  <si>
    <t xml:space="preserve">MSP-3025</t>
  </si>
  <si>
    <t xml:space="preserve">1.4.1.15.1.2.2</t>
  </si>
  <si>
    <t xml:space="preserve">MSP-3026</t>
  </si>
  <si>
    <t xml:space="preserve">1.4.1.15.1.3</t>
  </si>
  <si>
    <t xml:space="preserve">PAVIMENTO FLEXIBLE</t>
  </si>
  <si>
    <t xml:space="preserve">MSP-3027</t>
  </si>
  <si>
    <t xml:space="preserve">1.4.1.15.1.3.1</t>
  </si>
  <si>
    <t xml:space="preserve">PERFILADO Y COMPACTACION DE SUBRASANTE</t>
  </si>
  <si>
    <t xml:space="preserve">3024FS</t>
  </si>
  <si>
    <t xml:space="preserve">MSP-3028</t>
  </si>
  <si>
    <t xml:space="preserve">1.4.1.15.1.3.2</t>
  </si>
  <si>
    <t xml:space="preserve">BASE CON MATERIAL GRANULAR DE e=0.20 m</t>
  </si>
  <si>
    <t xml:space="preserve">3027FS</t>
  </si>
  <si>
    <t xml:space="preserve">MSP-3029</t>
  </si>
  <si>
    <t xml:space="preserve">1.4.1.15.1.3.3</t>
  </si>
  <si>
    <t xml:space="preserve">PAVIMENTO ASFALTICO EN FRIO, E=2"</t>
  </si>
  <si>
    <t xml:space="preserve">3028FS</t>
  </si>
  <si>
    <t xml:space="preserve">MSP-3030</t>
  </si>
  <si>
    <t xml:space="preserve">1.4.1.15.1.4</t>
  </si>
  <si>
    <t xml:space="preserve">MSP-3031</t>
  </si>
  <si>
    <t xml:space="preserve">1.4.1.15.1.4.1</t>
  </si>
  <si>
    <t xml:space="preserve">REVESTIMIENTO TIPO PIEDRA LAJA BEIGE, FORMATEADO REGULAR DE 0.60x0.60</t>
  </si>
  <si>
    <t xml:space="preserve">3032FS</t>
  </si>
  <si>
    <t xml:space="preserve">MSP-3032</t>
  </si>
  <si>
    <t xml:space="preserve">1.4.1.15.1.4.2</t>
  </si>
  <si>
    <t xml:space="preserve">PISO DE CONCRETO F'C=175 KG/CM2 E=4'' ACABADO CEMENTO PULIDO BRUÑADO Y COLOREADO</t>
  </si>
  <si>
    <t xml:space="preserve">3033FS</t>
  </si>
  <si>
    <t xml:space="preserve">MSP-3033</t>
  </si>
  <si>
    <t xml:space="preserve">1.4.1.15.1.4.3</t>
  </si>
  <si>
    <t xml:space="preserve">ENCOFRADO Y DESENCOFRADO NORMAL PARA PISOS</t>
  </si>
  <si>
    <t xml:space="preserve">MSP-3034</t>
  </si>
  <si>
    <t xml:space="preserve">1.4.1.15.1.4.4</t>
  </si>
  <si>
    <t xml:space="preserve">BALDOSA PODOTACTIL DE POLIURETANO</t>
  </si>
  <si>
    <t xml:space="preserve">3035SS</t>
  </si>
  <si>
    <t xml:space="preserve">MSP-3035</t>
  </si>
  <si>
    <t xml:space="preserve">1.4.1.15.1.4.5</t>
  </si>
  <si>
    <t xml:space="preserve">BALDOSA PODOTACTIL DE HORMIGON</t>
  </si>
  <si>
    <t xml:space="preserve">MSP-3036</t>
  </si>
  <si>
    <t xml:space="preserve">1.4.1.15.1.5</t>
  </si>
  <si>
    <t xml:space="preserve">RAMPAS</t>
  </si>
  <si>
    <t xml:space="preserve">MSP-3037</t>
  </si>
  <si>
    <t xml:space="preserve">1.4.1.15.1.5.1</t>
  </si>
  <si>
    <t xml:space="preserve">3038FS</t>
  </si>
  <si>
    <t xml:space="preserve">MSP-3038</t>
  </si>
  <si>
    <t xml:space="preserve">1.4.1.15.1.5.2</t>
  </si>
  <si>
    <t xml:space="preserve">ENCOFRADO Y DESENCOFRADO NORMAL PARA RAMPAS</t>
  </si>
  <si>
    <t xml:space="preserve">MSP-3039</t>
  </si>
  <si>
    <t xml:space="preserve">1.4.1.15.1.6</t>
  </si>
  <si>
    <t xml:space="preserve">GRADAS</t>
  </si>
  <si>
    <t xml:space="preserve">MSP-3040</t>
  </si>
  <si>
    <t xml:space="preserve">1.4.1.15.1.6.1</t>
  </si>
  <si>
    <t xml:space="preserve">GRADAS DE CONCRETO  F'C=175 KG/CM2 ACAB. CEMENTO PULIDO Y BRUÑADO</t>
  </si>
  <si>
    <t xml:space="preserve">3041FS</t>
  </si>
  <si>
    <t xml:space="preserve">MSP-3041</t>
  </si>
  <si>
    <t xml:space="preserve">1.4.1.15.1.6.2</t>
  </si>
  <si>
    <t xml:space="preserve">ENCOFRADO Y DESENCOFRADO NORMAL EN GRADAS</t>
  </si>
  <si>
    <t xml:space="preserve">MSP-3042</t>
  </si>
  <si>
    <t xml:space="preserve">1.4.1.15.1.7</t>
  </si>
  <si>
    <t xml:space="preserve">JUNTAS EN CAMINERÍAS Y PISOS</t>
  </si>
  <si>
    <t xml:space="preserve">MSP-3043</t>
  </si>
  <si>
    <t xml:space="preserve">1.4.1.15.1.7.1</t>
  </si>
  <si>
    <t xml:space="preserve">MSP-3044</t>
  </si>
  <si>
    <t xml:space="preserve">1.4.1.15.1.8</t>
  </si>
  <si>
    <t xml:space="preserve">CARPINTERIA METALICA</t>
  </si>
  <si>
    <t xml:space="preserve">MSP-3045</t>
  </si>
  <si>
    <t xml:space="preserve">1.4.1.15.1.8.1</t>
  </si>
  <si>
    <t xml:space="preserve">ASTA DE BANDERA, INC. COLOCADO Y PINTADO</t>
  </si>
  <si>
    <t xml:space="preserve">3043FS</t>
  </si>
  <si>
    <t xml:space="preserve">MSP-3046</t>
  </si>
  <si>
    <t xml:space="preserve">1.4.1.15.1.8.2</t>
  </si>
  <si>
    <t xml:space="preserve">BASURERO ORGANICO/INORGANICO. SEGUN DETALLE</t>
  </si>
  <si>
    <t xml:space="preserve">3045FS+-3.0d</t>
  </si>
  <si>
    <t xml:space="preserve">MSP-3047</t>
  </si>
  <si>
    <t xml:space="preserve">1.4.1.15.1.8.3</t>
  </si>
  <si>
    <t xml:space="preserve">BANCA DE CONCRETO Y MADERA SEGÚN DETALLE</t>
  </si>
  <si>
    <t xml:space="preserve">3045SS</t>
  </si>
  <si>
    <t xml:space="preserve">MSP-3048</t>
  </si>
  <si>
    <t xml:space="preserve">1.4.1.15.1.8.4</t>
  </si>
  <si>
    <t xml:space="preserve">REJILLA REMOVIBLE Y CANALETA P/EVAC.PLUV., SEGUN DETALLE</t>
  </si>
  <si>
    <t xml:space="preserve">3047FS</t>
  </si>
  <si>
    <t xml:space="preserve">MSP-3049</t>
  </si>
  <si>
    <t xml:space="preserve">1.4.1.15.1.9</t>
  </si>
  <si>
    <t xml:space="preserve">MSP-3050</t>
  </si>
  <si>
    <t xml:space="preserve">1.4.1.15.1.9.1</t>
  </si>
  <si>
    <t xml:space="preserve">3048FS</t>
  </si>
  <si>
    <t xml:space="preserve">MSP-3051</t>
  </si>
  <si>
    <t xml:space="preserve">1.4.1.15.2</t>
  </si>
  <si>
    <t xml:space="preserve">AREAS VERDES</t>
  </si>
  <si>
    <t xml:space="preserve">MSP-3052</t>
  </si>
  <si>
    <t xml:space="preserve">1.4.1.15.2.1</t>
  </si>
  <si>
    <t xml:space="preserve">SUMINISTRO Y ESPARCIDO DE TIERRA DE CHACRA (H=0.20M)</t>
  </si>
  <si>
    <t xml:space="preserve">3050FS</t>
  </si>
  <si>
    <t xml:space="preserve">MSP-3053</t>
  </si>
  <si>
    <t xml:space="preserve">1.4.1.15.2.2</t>
  </si>
  <si>
    <t xml:space="preserve">SUMINISTRO E INSTALACION DE CESPED</t>
  </si>
  <si>
    <t xml:space="preserve">3052SS</t>
  </si>
  <si>
    <t xml:space="preserve">MSP-3054</t>
  </si>
  <si>
    <t xml:space="preserve">1.4.1.15.2.3</t>
  </si>
  <si>
    <t xml:space="preserve">SUMINISTRO Y PLANTADO DE ARBOL CIPRES</t>
  </si>
  <si>
    <t xml:space="preserve">MSP-3055</t>
  </si>
  <si>
    <t xml:space="preserve">1.4.1.15.2.4</t>
  </si>
  <si>
    <t xml:space="preserve">SUMINISTRO Y PLANTADO DE ARBOL PONCIANA</t>
  </si>
  <si>
    <t xml:space="preserve">MSP-3056</t>
  </si>
  <si>
    <t xml:space="preserve">1.4.1.15.3</t>
  </si>
  <si>
    <t xml:space="preserve">MSP-3057</t>
  </si>
  <si>
    <t xml:space="preserve">1.4.1.15.3.1</t>
  </si>
  <si>
    <t xml:space="preserve">SEÑALIZACION DE PINTURA DE TRÁFICO PARA INDICAR ZONAS SEGURAS Y DE FLUJOS</t>
  </si>
  <si>
    <t xml:space="preserve">MSP-3058</t>
  </si>
  <si>
    <t xml:space="preserve">1.4.1.15.3.1.1</t>
  </si>
  <si>
    <t xml:space="preserve">PINTURA DE TRÁFICO PARA INDICAR ZONAS SEGURAS Y DE FLUJOS</t>
  </si>
  <si>
    <t xml:space="preserve">3052FS</t>
  </si>
  <si>
    <t xml:space="preserve">MSP-3059</t>
  </si>
  <si>
    <t xml:space="preserve">1.4.1.15.3.2</t>
  </si>
  <si>
    <t xml:space="preserve">PINTURA DE TRAFICO PARA ZONA DE ESTACIONAMIENTO</t>
  </si>
  <si>
    <t xml:space="preserve">MSP-3060</t>
  </si>
  <si>
    <t xml:space="preserve">1.4.1.15.3.2.1</t>
  </si>
  <si>
    <t xml:space="preserve">PINTURA DE TRÁFICO PARA ZONA DE ESTACIONAMIENTO</t>
  </si>
  <si>
    <t xml:space="preserve">3058FS</t>
  </si>
  <si>
    <t xml:space="preserve">MSP-3061</t>
  </si>
  <si>
    <t xml:space="preserve">1.4.1.16</t>
  </si>
  <si>
    <t xml:space="preserve">MSP-3062</t>
  </si>
  <si>
    <t xml:space="preserve">1.4.1.16.1</t>
  </si>
  <si>
    <t xml:space="preserve">MSP-3063</t>
  </si>
  <si>
    <t xml:space="preserve">1.4.1.16.1.1</t>
  </si>
  <si>
    <t xml:space="preserve">3060FS</t>
  </si>
  <si>
    <t xml:space="preserve">MSP-3064</t>
  </si>
  <si>
    <t xml:space="preserve">1.4.1.16.2</t>
  </si>
  <si>
    <t xml:space="preserve">MSP-3065</t>
  </si>
  <si>
    <t xml:space="preserve">1.4.1.16.2.1</t>
  </si>
  <si>
    <t xml:space="preserve">3063FS</t>
  </si>
  <si>
    <t xml:space="preserve">MSP-3066</t>
  </si>
  <si>
    <t xml:space="preserve">1.4.1.16.2.2</t>
  </si>
  <si>
    <t xml:space="preserve">3065SS+1.0d</t>
  </si>
  <si>
    <t xml:space="preserve">MSP-3067</t>
  </si>
  <si>
    <t xml:space="preserve">1.4.1.16.2.3</t>
  </si>
  <si>
    <t xml:space="preserve">TARRAJEO DE COLUMNAS Y VIGAS C/MEZCLA C:A 1:5, E=1.5 cm</t>
  </si>
  <si>
    <t xml:space="preserve">3065SS+2.0d</t>
  </si>
  <si>
    <t xml:space="preserve">MSP-3068</t>
  </si>
  <si>
    <t xml:space="preserve">1.4.1.16.2.4</t>
  </si>
  <si>
    <t xml:space="preserve">TARRAJEO DE SOBRECIMIENTOS MEZCLA C:A 1:5, E=1.5 cm</t>
  </si>
  <si>
    <t xml:space="preserve">3065SS+3.0d</t>
  </si>
  <si>
    <t xml:space="preserve">MSP-3069</t>
  </si>
  <si>
    <t xml:space="preserve">1.4.1.16.2.5</t>
  </si>
  <si>
    <t xml:space="preserve">MSP-3070</t>
  </si>
  <si>
    <t xml:space="preserve">1.4.1.16.3</t>
  </si>
  <si>
    <t xml:space="preserve">MSP-3071</t>
  </si>
  <si>
    <t xml:space="preserve">1.4.1.16.3.1</t>
  </si>
  <si>
    <t xml:space="preserve">CERCO METÁLICO SEGÚN DISEÑO</t>
  </si>
  <si>
    <t xml:space="preserve">3079FS</t>
  </si>
  <si>
    <t xml:space="preserve">MSP-3072</t>
  </si>
  <si>
    <t xml:space="preserve">1.4.1.16.4</t>
  </si>
  <si>
    <t xml:space="preserve">MSP-3073</t>
  </si>
  <si>
    <t xml:space="preserve">1.4.1.16.4.1</t>
  </si>
  <si>
    <t xml:space="preserve">PM-01,PUERTA METALICA, O1 HOJA BATIENTE A 90 ª 1.00MX2.40M</t>
  </si>
  <si>
    <t xml:space="preserve">3071FS</t>
  </si>
  <si>
    <t xml:space="preserve">MSP-3074</t>
  </si>
  <si>
    <t xml:space="preserve">1.4.1.16.4.2</t>
  </si>
  <si>
    <t xml:space="preserve">PM-02,PUERTA METALICA, O1 HOJA BATIENTE A 90 ª 1.10MX3.13M</t>
  </si>
  <si>
    <t xml:space="preserve">3073FS</t>
  </si>
  <si>
    <t xml:space="preserve">MSP-3075</t>
  </si>
  <si>
    <t xml:space="preserve">1.4.1.16.4.3</t>
  </si>
  <si>
    <t xml:space="preserve">PM-03,PUERTA METALICA DESPLEGABLE DE 03 PIEZAS, 6.83MX4.20M</t>
  </si>
  <si>
    <t xml:space="preserve">3074FS</t>
  </si>
  <si>
    <t xml:space="preserve">MSP-3076</t>
  </si>
  <si>
    <t xml:space="preserve">1.4.1.16.5</t>
  </si>
  <si>
    <t xml:space="preserve">MSP-3077</t>
  </si>
  <si>
    <t xml:space="preserve">1.4.1.16.5.1</t>
  </si>
  <si>
    <t xml:space="preserve">3066FS</t>
  </si>
  <si>
    <t xml:space="preserve">MSP-3078</t>
  </si>
  <si>
    <t xml:space="preserve">1.4.1.16.5.2</t>
  </si>
  <si>
    <t xml:space="preserve">PINTURA ESMALTE 02 MANOS EN COLUMNAS Y VIGAS</t>
  </si>
  <si>
    <t xml:space="preserve">3077FS</t>
  </si>
  <si>
    <t xml:space="preserve">MSP-3079</t>
  </si>
  <si>
    <t xml:space="preserve">1.4.1.16.5.3</t>
  </si>
  <si>
    <t xml:space="preserve">PINTURA ESMALTE EN SOBRECIMIENTOS</t>
  </si>
  <si>
    <t xml:space="preserve">3078FS</t>
  </si>
  <si>
    <t xml:space="preserve">MSP-3080</t>
  </si>
  <si>
    <t xml:space="preserve">1.4.1.16.6</t>
  </si>
  <si>
    <t xml:space="preserve">MSP-3081</t>
  </si>
  <si>
    <t xml:space="preserve">1.4.1.16.6.1</t>
  </si>
  <si>
    <t xml:space="preserve">MSP-3082</t>
  </si>
  <si>
    <t xml:space="preserve">1.5</t>
  </si>
  <si>
    <t xml:space="preserve">COMP. I: INSTALACIONES SANITARIAS</t>
  </si>
  <si>
    <t xml:space="preserve">MSP-3083</t>
  </si>
  <si>
    <t xml:space="preserve">1.5.1</t>
  </si>
  <si>
    <t xml:space="preserve">INSTALACIONES SANITARIAS</t>
  </si>
  <si>
    <t xml:space="preserve">MSP-3084</t>
  </si>
  <si>
    <t xml:space="preserve">1.5.1.1</t>
  </si>
  <si>
    <t xml:space="preserve">MSP-3085</t>
  </si>
  <si>
    <t xml:space="preserve">1.5.1.1.1</t>
  </si>
  <si>
    <t xml:space="preserve">APARATOS SANITARIOS Y ACCESORIOS</t>
  </si>
  <si>
    <t xml:space="preserve">MSP-3086</t>
  </si>
  <si>
    <t xml:space="preserve">1.5.1.1.1.1</t>
  </si>
  <si>
    <t xml:space="preserve">APARATOS SANITARIOS</t>
  </si>
  <si>
    <t xml:space="preserve">MSP-3087</t>
  </si>
  <si>
    <t xml:space="preserve">1.5.1.1.1.1.1</t>
  </si>
  <si>
    <t xml:space="preserve">INODORO ONE PIECE DE LOZA VITRIFICADA BLANCO</t>
  </si>
  <si>
    <t xml:space="preserve">MSP-3088</t>
  </si>
  <si>
    <t xml:space="preserve">1.5.1.1.1.1.2</t>
  </si>
  <si>
    <t xml:space="preserve">LAVAMANOS TIPO FONTANA O SIMILAR CON PEDESTAL DE LOZA VITRIFICADA BLANCA</t>
  </si>
  <si>
    <t xml:space="preserve">3087FF</t>
  </si>
  <si>
    <t xml:space="preserve">MSP-3089</t>
  </si>
  <si>
    <t xml:space="preserve">1.5.1.1.1.2</t>
  </si>
  <si>
    <t xml:space="preserve">ACCESORIOS SANITARIOS</t>
  </si>
  <si>
    <t xml:space="preserve">MSP-3090</t>
  </si>
  <si>
    <t xml:space="preserve">1.5.1.1.1.2.1</t>
  </si>
  <si>
    <t xml:space="preserve">DISPENSADOR DE PAPEL TOALLA</t>
  </si>
  <si>
    <t xml:space="preserve">MSP-3091</t>
  </si>
  <si>
    <t xml:space="preserve">1.5.1.1.1.2.2</t>
  </si>
  <si>
    <t xml:space="preserve">DISPENSADOR DE JABON LIQUIDO RELLENABLE O SIMILAR</t>
  </si>
  <si>
    <t xml:space="preserve">MSP-3092</t>
  </si>
  <si>
    <t xml:space="preserve">1.5.1.1.1.2.3</t>
  </si>
  <si>
    <t xml:space="preserve">PORTAROLLO DE PAPEL HIGIÉNICO</t>
  </si>
  <si>
    <t xml:space="preserve">MSP-3093</t>
  </si>
  <si>
    <t xml:space="preserve">1.5.1.1.2</t>
  </si>
  <si>
    <t xml:space="preserve">SISTEMA DE AGUA FRIA</t>
  </si>
  <si>
    <t xml:space="preserve">MSP-3094</t>
  </si>
  <si>
    <t xml:space="preserve">1.5.1.1.2.1</t>
  </si>
  <si>
    <t xml:space="preserve">SALIDAS DE AGUA FRIA</t>
  </si>
  <si>
    <t xml:space="preserve">MSP-3095</t>
  </si>
  <si>
    <t xml:space="preserve">1.5.1.1.2.1.1</t>
  </si>
  <si>
    <t xml:space="preserve">SALIDA DE AGUA P/APARATOS SANITARIOS. Ø 1/2''</t>
  </si>
  <si>
    <t xml:space="preserve">MSP-3096</t>
  </si>
  <si>
    <t xml:space="preserve">1.5.1.1.2.2</t>
  </si>
  <si>
    <t xml:space="preserve">REDES DE DISTRIBUCION</t>
  </si>
  <si>
    <t xml:space="preserve">MSP-3097</t>
  </si>
  <si>
    <t xml:space="preserve">1.5.1.1.2.2.1</t>
  </si>
  <si>
    <t xml:space="preserve">TUBERÍA PVC Ø 3/4 " C/R. CLASE 10</t>
  </si>
  <si>
    <t xml:space="preserve">3095FS</t>
  </si>
  <si>
    <t xml:space="preserve">MSP-3098</t>
  </si>
  <si>
    <t xml:space="preserve">1.5.1.1.2.2.2</t>
  </si>
  <si>
    <t xml:space="preserve">TUBERÍA PVC Ø 1/2" C/R. CLASE 10</t>
  </si>
  <si>
    <t xml:space="preserve">3097FS</t>
  </si>
  <si>
    <t xml:space="preserve">MSP-3099</t>
  </si>
  <si>
    <t xml:space="preserve">1.5.1.1.2.2.3</t>
  </si>
  <si>
    <t xml:space="preserve">PRUEBA HIDRAÚLICA INTEGRAL +  DESINFECCIÓN TUBERÍA ROSCADA DE 2" A 1/2"</t>
  </si>
  <si>
    <t xml:space="preserve">3108FS</t>
  </si>
  <si>
    <t xml:space="preserve">MSP-3100</t>
  </si>
  <si>
    <t xml:space="preserve">1.5.1.1.2.3</t>
  </si>
  <si>
    <t xml:space="preserve">SUM. E INSTALACIÓN DE ACCESORIOS PVC</t>
  </si>
  <si>
    <t xml:space="preserve">MSP-3101</t>
  </si>
  <si>
    <t xml:space="preserve">1.5.1.1.2.3.1</t>
  </si>
  <si>
    <t xml:space="preserve">TEE PVC Ø 3/4"x3/4" C/R. C-10</t>
  </si>
  <si>
    <t xml:space="preserve">3098FS</t>
  </si>
  <si>
    <t xml:space="preserve">MSP-3102</t>
  </si>
  <si>
    <t xml:space="preserve">1.5.1.1.2.3.2</t>
  </si>
  <si>
    <t xml:space="preserve">REDUCCIÓN PVC Ø 3/4" a 1/2" C/R. C-10</t>
  </si>
  <si>
    <t xml:space="preserve">3101FS</t>
  </si>
  <si>
    <t xml:space="preserve">MSP-3103</t>
  </si>
  <si>
    <t xml:space="preserve">1.5.1.1.2.3.3</t>
  </si>
  <si>
    <t xml:space="preserve">CODO PVC Ø 3/4" x 90º C/R. C-10</t>
  </si>
  <si>
    <t xml:space="preserve">3102FS</t>
  </si>
  <si>
    <t xml:space="preserve">MSP-3104</t>
  </si>
  <si>
    <t xml:space="preserve">1.5.1.1.2.3.4</t>
  </si>
  <si>
    <t xml:space="preserve">CODO PVC Ø 1/2" x 90º C/R. C-10</t>
  </si>
  <si>
    <t xml:space="preserve">3103FS</t>
  </si>
  <si>
    <t xml:space="preserve">MSP-3105</t>
  </si>
  <si>
    <t xml:space="preserve">1.5.1.1.2.4</t>
  </si>
  <si>
    <t xml:space="preserve">VALVULAS DE CONTROL Y CHECK</t>
  </si>
  <si>
    <t xml:space="preserve">MSP-3106</t>
  </si>
  <si>
    <t xml:space="preserve">1.5.1.1.2.4.1</t>
  </si>
  <si>
    <t xml:space="preserve">VÁLVULA COMPUERTA PESADA BCE 150 PSI Ø 3/4". ROSCADA</t>
  </si>
  <si>
    <t xml:space="preserve">3104FS</t>
  </si>
  <si>
    <t xml:space="preserve">MSP-3107</t>
  </si>
  <si>
    <t xml:space="preserve">1.5.1.1.2.5</t>
  </si>
  <si>
    <t xml:space="preserve">CAJAS PARA VALVULAS</t>
  </si>
  <si>
    <t xml:space="preserve">MSP-3108</t>
  </si>
  <si>
    <t xml:space="preserve">1.5.1.1.2.5.1</t>
  </si>
  <si>
    <t xml:space="preserve">CAJA METALICA SEGÚN DETALLE, EN MURO</t>
  </si>
  <si>
    <t xml:space="preserve">3106FS</t>
  </si>
  <si>
    <t xml:space="preserve">MSP-3109</t>
  </si>
  <si>
    <t xml:space="preserve">1.5.1.1.3</t>
  </si>
  <si>
    <t xml:space="preserve">SISTEMA DE DRENAJE PLUVIAL</t>
  </si>
  <si>
    <t xml:space="preserve">MSP-3110</t>
  </si>
  <si>
    <t xml:space="preserve">1.5.1.1.3.1</t>
  </si>
  <si>
    <t xml:space="preserve">OBRAS PRELIMINARES</t>
  </si>
  <si>
    <t xml:space="preserve">MSP-3111</t>
  </si>
  <si>
    <t xml:space="preserve">1.5.1.1.3.1.1</t>
  </si>
  <si>
    <t xml:space="preserve">TRAZO, NIVELACION Y REPLANTEO INICIAL C./EQUIPO</t>
  </si>
  <si>
    <t xml:space="preserve">MSP-3112</t>
  </si>
  <si>
    <t xml:space="preserve">1.5.1.1.3.2</t>
  </si>
  <si>
    <t xml:space="preserve">MSP-3113</t>
  </si>
  <si>
    <t xml:space="preserve">1.5.1.1.3.2.1</t>
  </si>
  <si>
    <t xml:space="preserve">EXCAVACION MANUAL DE ZANJAS P/TUBERIAS</t>
  </si>
  <si>
    <t xml:space="preserve">3111FS</t>
  </si>
  <si>
    <t xml:space="preserve">MSP-3114</t>
  </si>
  <si>
    <t xml:space="preserve">1.5.1.1.3.2.2</t>
  </si>
  <si>
    <t xml:space="preserve">REFINE Y NIVELACION DE ZANJA</t>
  </si>
  <si>
    <t xml:space="preserve">3113FS</t>
  </si>
  <si>
    <t xml:space="preserve">MSP-3115</t>
  </si>
  <si>
    <t xml:space="preserve">1.5.1.1.3.2.3</t>
  </si>
  <si>
    <t xml:space="preserve">CAMA DE APOYO E=0.10 M</t>
  </si>
  <si>
    <t xml:space="preserve">3114FS</t>
  </si>
  <si>
    <t xml:space="preserve">MSP-3116</t>
  </si>
  <si>
    <t xml:space="preserve">1.5.1.1.3.2.4</t>
  </si>
  <si>
    <t xml:space="preserve">ARENA GRUESA COMPACTADA EN CAPAS DE 0.10M</t>
  </si>
  <si>
    <t xml:space="preserve">3115FS</t>
  </si>
  <si>
    <t xml:space="preserve">MSP-3117</t>
  </si>
  <si>
    <t xml:space="preserve">1.5.1.1.3.2.5</t>
  </si>
  <si>
    <t xml:space="preserve">RELLENO Y COMPACTACION CON MATERIAL SELECCIONADO C/EQUIPO LIVIANO</t>
  </si>
  <si>
    <t xml:space="preserve">3116FS</t>
  </si>
  <si>
    <t xml:space="preserve">MSP-3118</t>
  </si>
  <si>
    <t xml:space="preserve">1.5.1.1.3.2.6</t>
  </si>
  <si>
    <t xml:space="preserve">RELLENO Y COMPACTACION C/MAQUINARIA (MATERIAL DE PRÉSTAMO)</t>
  </si>
  <si>
    <t xml:space="preserve">3117FS</t>
  </si>
  <si>
    <t xml:space="preserve">MSP-3119</t>
  </si>
  <si>
    <t xml:space="preserve">1.5.1.1.3.2.7</t>
  </si>
  <si>
    <t xml:space="preserve">MSP-3120</t>
  </si>
  <si>
    <t xml:space="preserve">1.5.1.1.3.2.8</t>
  </si>
  <si>
    <t xml:space="preserve">ELIMINACION DE MATERIAL EXCEDENTE</t>
  </si>
  <si>
    <t xml:space="preserve">MSP-3121</t>
  </si>
  <si>
    <t xml:space="preserve">1.5.1.1.3.3</t>
  </si>
  <si>
    <t xml:space="preserve">REDES DE RECOLECCIÓN</t>
  </si>
  <si>
    <t xml:space="preserve">MSP-3122</t>
  </si>
  <si>
    <t xml:space="preserve">1.5.1.1.3.3.1</t>
  </si>
  <si>
    <t xml:space="preserve">TUBERÍA PVC-CP Ø 2" S/P</t>
  </si>
  <si>
    <t xml:space="preserve">3120FS</t>
  </si>
  <si>
    <t xml:space="preserve">MSP-3123</t>
  </si>
  <si>
    <t xml:space="preserve">1.5.1.1.3.4</t>
  </si>
  <si>
    <t xml:space="preserve">ACCESORIOS</t>
  </si>
  <si>
    <t xml:space="preserve">MSP-3124</t>
  </si>
  <si>
    <t xml:space="preserve">1.5.1.1.3.4.1</t>
  </si>
  <si>
    <t xml:space="preserve">YEE PVC-CP Ø 2"x2" S/P</t>
  </si>
  <si>
    <t xml:space="preserve">3122FS</t>
  </si>
  <si>
    <t xml:space="preserve">MSP-3125</t>
  </si>
  <si>
    <t xml:space="preserve">1.5.1.1.3.4.2</t>
  </si>
  <si>
    <t xml:space="preserve">CODO 90º PVC-CP Ø 2" S/P</t>
  </si>
  <si>
    <t xml:space="preserve">3124FS</t>
  </si>
  <si>
    <t xml:space="preserve">MSP-3126</t>
  </si>
  <si>
    <t xml:space="preserve">1.5.1.1.3.4.3</t>
  </si>
  <si>
    <t xml:space="preserve">CODO 45º PVC-CP Ø 2" S/P</t>
  </si>
  <si>
    <t xml:space="preserve">3125FS</t>
  </si>
  <si>
    <t xml:space="preserve">MSP-3127</t>
  </si>
  <si>
    <t xml:space="preserve">1.5.1.1.3.4.4</t>
  </si>
  <si>
    <t xml:space="preserve">SUMIDERO PVC-CP Ø3"S, BRONCE CROMADO</t>
  </si>
  <si>
    <t xml:space="preserve">3126FS</t>
  </si>
  <si>
    <t xml:space="preserve">MSP-3128</t>
  </si>
  <si>
    <t xml:space="preserve">1.5.1.1.3.4.5</t>
  </si>
  <si>
    <t xml:space="preserve">REDUCCION PVC CP Ø3" a 2" S/P</t>
  </si>
  <si>
    <t xml:space="preserve">3127FS</t>
  </si>
  <si>
    <t xml:space="preserve">MSP-3129</t>
  </si>
  <si>
    <t xml:space="preserve">1.5.1.1.3.5</t>
  </si>
  <si>
    <t xml:space="preserve">POZO PERCOLADOR DE AGUAS PLUVIALES DE D=0.5m</t>
  </si>
  <si>
    <t xml:space="preserve">MSP-3130</t>
  </si>
  <si>
    <t xml:space="preserve">1.5.1.1.3.5.1</t>
  </si>
  <si>
    <t xml:space="preserve">EXCAVACION MANUAL EN TERRENO NORMAL</t>
  </si>
  <si>
    <t xml:space="preserve">3128FS</t>
  </si>
  <si>
    <t xml:space="preserve">MSP-3131</t>
  </si>
  <si>
    <t xml:space="preserve">1.5.1.1.3.5.2</t>
  </si>
  <si>
    <t xml:space="preserve">3130FS</t>
  </si>
  <si>
    <t xml:space="preserve">MSP-3132</t>
  </si>
  <si>
    <t xml:space="preserve">1.5.1.1.3.5.3</t>
  </si>
  <si>
    <t xml:space="preserve">3133FS</t>
  </si>
  <si>
    <t xml:space="preserve">MSP-3133</t>
  </si>
  <si>
    <t xml:space="preserve">1.5.1.1.3.5.4</t>
  </si>
  <si>
    <t xml:space="preserve">RELLENO MANUAL CON AGREGADO FILTRANTE - GRAVA</t>
  </si>
  <si>
    <t xml:space="preserve">3131FS</t>
  </si>
  <si>
    <t xml:space="preserve">MSP-3134</t>
  </si>
  <si>
    <t xml:space="preserve">1.5.1.1.3.6</t>
  </si>
  <si>
    <t xml:space="preserve">CANALETA METÁLICA EN TECHO</t>
  </si>
  <si>
    <t xml:space="preserve">MSP-3135</t>
  </si>
  <si>
    <t xml:space="preserve">1.5.1.1.3.6.1</t>
  </si>
  <si>
    <t xml:space="preserve">CANALETA DE PLANCHA GALVANIZADA TIPO U</t>
  </si>
  <si>
    <t xml:space="preserve">MSP-3136</t>
  </si>
  <si>
    <t xml:space="preserve">1.5.1.1.3.6.2</t>
  </si>
  <si>
    <t xml:space="preserve">CANALETA DE MORTERO Ø 4" A=0.10 M</t>
  </si>
  <si>
    <t xml:space="preserve">3135FS</t>
  </si>
  <si>
    <t xml:space="preserve">MSP-3137</t>
  </si>
  <si>
    <t xml:space="preserve">1.5.1.1.4</t>
  </si>
  <si>
    <t xml:space="preserve">SISTEMA DE DESAGUE Y VENTILACION</t>
  </si>
  <si>
    <t xml:space="preserve">MSP-3138</t>
  </si>
  <si>
    <t xml:space="preserve">1.5.1.1.4.1</t>
  </si>
  <si>
    <t xml:space="preserve">MSP-3139</t>
  </si>
  <si>
    <t xml:space="preserve">1.5.1.1.4.1.1</t>
  </si>
  <si>
    <t xml:space="preserve">MSP-3140</t>
  </si>
  <si>
    <t xml:space="preserve">1.5.1.1.4.2</t>
  </si>
  <si>
    <t xml:space="preserve">MSP-3141</t>
  </si>
  <si>
    <t xml:space="preserve">1.5.1.1.4.2.1</t>
  </si>
  <si>
    <t xml:space="preserve">3139FS</t>
  </si>
  <si>
    <t xml:space="preserve">MSP-3142</t>
  </si>
  <si>
    <t xml:space="preserve">1.5.1.1.4.2.2</t>
  </si>
  <si>
    <t xml:space="preserve">3141FS</t>
  </si>
  <si>
    <t xml:space="preserve">MSP-3143</t>
  </si>
  <si>
    <t xml:space="preserve">1.5.1.1.4.2.3</t>
  </si>
  <si>
    <t xml:space="preserve">3142FS</t>
  </si>
  <si>
    <t xml:space="preserve">MSP-3144</t>
  </si>
  <si>
    <t xml:space="preserve">1.5.1.1.4.2.4</t>
  </si>
  <si>
    <t xml:space="preserve">3143FS</t>
  </si>
  <si>
    <t xml:space="preserve">MSP-3145</t>
  </si>
  <si>
    <t xml:space="preserve">1.5.1.1.4.2.5</t>
  </si>
  <si>
    <t xml:space="preserve">3169FS</t>
  </si>
  <si>
    <t xml:space="preserve">MSP-3146</t>
  </si>
  <si>
    <t xml:space="preserve">1.5.1.1.4.2.6</t>
  </si>
  <si>
    <t xml:space="preserve">3145FS</t>
  </si>
  <si>
    <t xml:space="preserve">MSP-3147</t>
  </si>
  <si>
    <t xml:space="preserve">1.5.1.1.4.2.7</t>
  </si>
  <si>
    <t xml:space="preserve">3145SS</t>
  </si>
  <si>
    <t xml:space="preserve">MSP-3148</t>
  </si>
  <si>
    <t xml:space="preserve">1.5.1.1.4.2.8</t>
  </si>
  <si>
    <t xml:space="preserve">3146FS</t>
  </si>
  <si>
    <t xml:space="preserve">MSP-3149</t>
  </si>
  <si>
    <t xml:space="preserve">1.5.1.1.4.3</t>
  </si>
  <si>
    <t xml:space="preserve">SALIDAS DE DESAGUE</t>
  </si>
  <si>
    <t xml:space="preserve">MSP-3150</t>
  </si>
  <si>
    <t xml:space="preserve">1.5.1.1.4.3.1</t>
  </si>
  <si>
    <t xml:space="preserve">SALIDA DE DESAGUE PVC-CP Ø 4" S/P</t>
  </si>
  <si>
    <t xml:space="preserve">3148FS</t>
  </si>
  <si>
    <t xml:space="preserve">MSP-3151</t>
  </si>
  <si>
    <t xml:space="preserve">1.5.1.1.4.3.2</t>
  </si>
  <si>
    <t xml:space="preserve">SALIDA DE DESAGUE PVC-CP Ø 2" S/P</t>
  </si>
  <si>
    <t xml:space="preserve">3150FS</t>
  </si>
  <si>
    <t xml:space="preserve">MSP-3152</t>
  </si>
  <si>
    <t xml:space="preserve">1.5.1.1.4.4</t>
  </si>
  <si>
    <t xml:space="preserve">REDES DE DERIVACION</t>
  </si>
  <si>
    <t xml:space="preserve">MSP-3153</t>
  </si>
  <si>
    <t xml:space="preserve">1.5.1.1.4.4.1</t>
  </si>
  <si>
    <t xml:space="preserve">TUBERÍA PVC-CP Ø 4" S/P</t>
  </si>
  <si>
    <t xml:space="preserve">MSP-3154</t>
  </si>
  <si>
    <t xml:space="preserve">1.5.1.1.4.4.2</t>
  </si>
  <si>
    <t xml:space="preserve">3153FS</t>
  </si>
  <si>
    <t xml:space="preserve">MSP-3155</t>
  </si>
  <si>
    <t xml:space="preserve">1.5.1.1.4.4.3</t>
  </si>
  <si>
    <t xml:space="preserve">PRUEBA INTEGRAL DE ESTANQUEIDAD EN RED DE DESAGUE DE 4" A 2"</t>
  </si>
  <si>
    <t xml:space="preserve">MSP-3156</t>
  </si>
  <si>
    <t xml:space="preserve">1.5.1.1.4.5</t>
  </si>
  <si>
    <t xml:space="preserve">MSP-3157</t>
  </si>
  <si>
    <t xml:space="preserve">1.5.1.1.4.5.1</t>
  </si>
  <si>
    <t xml:space="preserve">YEE PVC-CP Ø 4"x 4" S/P</t>
  </si>
  <si>
    <t xml:space="preserve">MSP-3158</t>
  </si>
  <si>
    <t xml:space="preserve">1.5.1.1.4.5.2</t>
  </si>
  <si>
    <t xml:space="preserve">YEE PVC-CP Ø 4"x2" S/P</t>
  </si>
  <si>
    <t xml:space="preserve">3157FS</t>
  </si>
  <si>
    <t xml:space="preserve">MSP-3159</t>
  </si>
  <si>
    <t xml:space="preserve">1.5.1.1.4.5.3</t>
  </si>
  <si>
    <t xml:space="preserve">CODO 45º PVC-CP Ø 4" S/P</t>
  </si>
  <si>
    <t xml:space="preserve">3158FS</t>
  </si>
  <si>
    <t xml:space="preserve">MSP-3160</t>
  </si>
  <si>
    <t xml:space="preserve">1.5.1.1.4.5.4</t>
  </si>
  <si>
    <t xml:space="preserve">3159FS</t>
  </si>
  <si>
    <t xml:space="preserve">MSP-3161</t>
  </si>
  <si>
    <t xml:space="preserve">1.5.1.1.4.5.5</t>
  </si>
  <si>
    <t xml:space="preserve">CODO 90º PVC-CP Ø 4" S/P</t>
  </si>
  <si>
    <t xml:space="preserve">3160FS</t>
  </si>
  <si>
    <t xml:space="preserve">MSP-3162</t>
  </si>
  <si>
    <t xml:space="preserve">1.5.1.1.4.5.6</t>
  </si>
  <si>
    <t xml:space="preserve">3161FS</t>
  </si>
  <si>
    <t xml:space="preserve">MSP-3163</t>
  </si>
  <si>
    <t xml:space="preserve">1.5.1.1.4.5.7</t>
  </si>
  <si>
    <t xml:space="preserve">TEE SANITARIA PVC-CP Ø 4" S/P</t>
  </si>
  <si>
    <t xml:space="preserve">3162FS</t>
  </si>
  <si>
    <t xml:space="preserve">MSP-3164</t>
  </si>
  <si>
    <t xml:space="preserve">1.5.1.1.4.5.8</t>
  </si>
  <si>
    <t xml:space="preserve">SUMIDERO PVC-CP Ø2"S, BRONCE CROMADO</t>
  </si>
  <si>
    <t xml:space="preserve">3163FS</t>
  </si>
  <si>
    <t xml:space="preserve">MSP-3165</t>
  </si>
  <si>
    <t xml:space="preserve">1.5.1.1.4.5.9</t>
  </si>
  <si>
    <t xml:space="preserve">REGISTRO ROSCADO DE BCE PESADO Ø 4"</t>
  </si>
  <si>
    <t xml:space="preserve">3164FS</t>
  </si>
  <si>
    <t xml:space="preserve">MSP-3166</t>
  </si>
  <si>
    <t xml:space="preserve">1.5.1.1.4.5.10</t>
  </si>
  <si>
    <t xml:space="preserve">REGISTRO ROSCADO DE BCE PESADO Ø 2"</t>
  </si>
  <si>
    <t xml:space="preserve">3165FS</t>
  </si>
  <si>
    <t xml:space="preserve">MSP-3167</t>
  </si>
  <si>
    <t xml:space="preserve">1.5.1.1.4.5.11</t>
  </si>
  <si>
    <t xml:space="preserve">REGISTRO ROSCADO TIPO DADO COLGADO Ø4"</t>
  </si>
  <si>
    <t xml:space="preserve">3166FS</t>
  </si>
  <si>
    <t xml:space="preserve">MSP-3168</t>
  </si>
  <si>
    <t xml:space="preserve">1.5.1.1.4.5.12</t>
  </si>
  <si>
    <t xml:space="preserve">COLGADOR PARA UNA TUBERIA Ø 4"  TIPO GOTA O SIMILAR</t>
  </si>
  <si>
    <t xml:space="preserve">3167FS</t>
  </si>
  <si>
    <t xml:space="preserve">MSP-3169</t>
  </si>
  <si>
    <t xml:space="preserve">1.5.1.1.4.5.13</t>
  </si>
  <si>
    <t xml:space="preserve">COLGADOR PARA UNA TUBERIA Ø 2"  TIPO GOTA O SIMILAR</t>
  </si>
  <si>
    <t xml:space="preserve">3168FS</t>
  </si>
  <si>
    <t xml:space="preserve">MSP-3170</t>
  </si>
  <si>
    <t xml:space="preserve">1.5.1.1.4.6</t>
  </si>
  <si>
    <t xml:space="preserve">SISTEMA DE VENTILACION</t>
  </si>
  <si>
    <t xml:space="preserve">MSP-3171</t>
  </si>
  <si>
    <t xml:space="preserve">1.5.1.1.4.6.1</t>
  </si>
  <si>
    <t xml:space="preserve">TUBERÍA PVC-CL Ø 2" S/P</t>
  </si>
  <si>
    <t xml:space="preserve">3151FS</t>
  </si>
  <si>
    <t xml:space="preserve">MSP-3172</t>
  </si>
  <si>
    <t xml:space="preserve">1.5.1.1.4.6.2</t>
  </si>
  <si>
    <t xml:space="preserve">SOMBRERO DE VENTILACION DE PVC 4"</t>
  </si>
  <si>
    <t xml:space="preserve">3171FS</t>
  </si>
  <si>
    <t xml:space="preserve">MSP-3173</t>
  </si>
  <si>
    <t xml:space="preserve">1.5.1.1.4.6.3</t>
  </si>
  <si>
    <t xml:space="preserve">SOMBRERO DE VENTILACIÓN DE PVC 2"</t>
  </si>
  <si>
    <t xml:space="preserve">3172FS</t>
  </si>
  <si>
    <t xml:space="preserve">MSP-3174</t>
  </si>
  <si>
    <t xml:space="preserve">1.5.1.1.5</t>
  </si>
  <si>
    <t xml:space="preserve">DRENAJE DE SISTEMA DE AIRE ACONDICIONADO</t>
  </si>
  <si>
    <t xml:space="preserve">MSP-3175</t>
  </si>
  <si>
    <t xml:space="preserve">1.5.1.1.5.1</t>
  </si>
  <si>
    <t xml:space="preserve">PUNTO DE SALIDA DE DRENAJE PVC-U Ø 1"</t>
  </si>
  <si>
    <t xml:space="preserve">3173FS</t>
  </si>
  <si>
    <t xml:space="preserve">MSP-3176</t>
  </si>
  <si>
    <t xml:space="preserve">1.5.1.1.5.2</t>
  </si>
  <si>
    <t xml:space="preserve">TUBERÍA PVC-U Ø 1 1/2" S/P</t>
  </si>
  <si>
    <t xml:space="preserve">3175FS</t>
  </si>
  <si>
    <t xml:space="preserve">MSP-3177</t>
  </si>
  <si>
    <t xml:space="preserve">1.5.1.1.5.3</t>
  </si>
  <si>
    <t xml:space="preserve">TUBERÍA PVC-U  Ø 1 " S/P</t>
  </si>
  <si>
    <t xml:space="preserve">3176FS</t>
  </si>
  <si>
    <t xml:space="preserve">MSP-3178</t>
  </si>
  <si>
    <t xml:space="preserve">1.5.1.1.5.4</t>
  </si>
  <si>
    <t xml:space="preserve">PRUEBA HIDRAÚLICA INTEGRAL +  DESINFECCIÓN TUBERÍA DE 1'' A 1 1/2''</t>
  </si>
  <si>
    <t xml:space="preserve">3187FS</t>
  </si>
  <si>
    <t xml:space="preserve">MSP-3179</t>
  </si>
  <si>
    <t xml:space="preserve">1.5.1.1.5.5</t>
  </si>
  <si>
    <t xml:space="preserve">MSP-3180</t>
  </si>
  <si>
    <t xml:space="preserve">1.5.1.1.5.5.1</t>
  </si>
  <si>
    <t xml:space="preserve">CODO 90º PVC-U Ø 1 1/2" S/P</t>
  </si>
  <si>
    <t xml:space="preserve">3175SS</t>
  </si>
  <si>
    <t xml:space="preserve">MSP-3181</t>
  </si>
  <si>
    <t xml:space="preserve">1.5.1.1.5.5.2</t>
  </si>
  <si>
    <t xml:space="preserve">CODO 90º PVC-U Ø 1" S/P</t>
  </si>
  <si>
    <t xml:space="preserve">3180SS</t>
  </si>
  <si>
    <t xml:space="preserve">MSP-3182</t>
  </si>
  <si>
    <t xml:space="preserve">1.5.1.1.5.5.3</t>
  </si>
  <si>
    <t xml:space="preserve">CODO 45º PVC-U Ø 1 1/2" S/P</t>
  </si>
  <si>
    <t xml:space="preserve">3181SS</t>
  </si>
  <si>
    <t xml:space="preserve">MSP-3183</t>
  </si>
  <si>
    <t xml:space="preserve">1.5.1.1.5.5.4</t>
  </si>
  <si>
    <t xml:space="preserve">COLGADOR PARA UNA TUBERIA Ø 1 1/2"  TIPO GOTA O SIMILAR"</t>
  </si>
  <si>
    <t xml:space="preserve">3182SS</t>
  </si>
  <si>
    <t xml:space="preserve">MSP-3184</t>
  </si>
  <si>
    <t xml:space="preserve">1.5.1.1.5.5.5</t>
  </si>
  <si>
    <t xml:space="preserve">COLGADOR PARA UNA TUBERIA Ø 1 "  TIPO GOTA O SIMILAR</t>
  </si>
  <si>
    <t xml:space="preserve">3183SS</t>
  </si>
  <si>
    <t xml:space="preserve">MSP-3185</t>
  </si>
  <si>
    <t xml:space="preserve">1.5.1.1.5.5.6</t>
  </si>
  <si>
    <t xml:space="preserve">YEE PVC-U Ø 1 1/2"x1 " S/P</t>
  </si>
  <si>
    <t xml:space="preserve">3184SS</t>
  </si>
  <si>
    <t xml:space="preserve">MSP-3186</t>
  </si>
  <si>
    <t xml:space="preserve">1.5.1.1.5.5.7</t>
  </si>
  <si>
    <t xml:space="preserve">TRAMPA "U" PVC-U 1 1/2</t>
  </si>
  <si>
    <t xml:space="preserve">3185SS</t>
  </si>
  <si>
    <t xml:space="preserve">MSP-3187</t>
  </si>
  <si>
    <t xml:space="preserve">1.5.1.1.5.5.8</t>
  </si>
  <si>
    <t xml:space="preserve">REGISTRO COLGADO 1 1/2"</t>
  </si>
  <si>
    <t xml:space="preserve">3186FS</t>
  </si>
  <si>
    <t xml:space="preserve">MSP-3188</t>
  </si>
  <si>
    <t xml:space="preserve">1.5.1.2</t>
  </si>
  <si>
    <t xml:space="preserve">MSP-3189</t>
  </si>
  <si>
    <t xml:space="preserve">1.5.1.2.1</t>
  </si>
  <si>
    <t xml:space="preserve">MSP-3190</t>
  </si>
  <si>
    <t xml:space="preserve">1.5.1.2.1.1</t>
  </si>
  <si>
    <t xml:space="preserve">MSP-3191</t>
  </si>
  <si>
    <t xml:space="preserve">1.5.1.2.1.1.1</t>
  </si>
  <si>
    <t xml:space="preserve">MSP-3192</t>
  </si>
  <si>
    <t xml:space="preserve">1.5.1.2.1.1.2</t>
  </si>
  <si>
    <t xml:space="preserve">3191FF</t>
  </si>
  <si>
    <t xml:space="preserve">MSP-3193</t>
  </si>
  <si>
    <t xml:space="preserve">1.5.1.2.1.1.3</t>
  </si>
  <si>
    <t xml:space="preserve">LAVAMANOS TIPO OVALIN  DE LOZA VITRIFICADA</t>
  </si>
  <si>
    <t xml:space="preserve">3192FF</t>
  </si>
  <si>
    <t xml:space="preserve">MSP-3194</t>
  </si>
  <si>
    <t xml:space="preserve">1.5.1.2.1.1.4</t>
  </si>
  <si>
    <t xml:space="preserve">URINARIO TIPO CADET O SIMILAR DE LOZA VITRIFICADA COLOR BLANCO</t>
  </si>
  <si>
    <t xml:space="preserve">3193FF</t>
  </si>
  <si>
    <t xml:space="preserve">MSP-3195</t>
  </si>
  <si>
    <t xml:space="preserve">1.5.1.2.1.1.5</t>
  </si>
  <si>
    <t xml:space="preserve">LAVADERO DE ACERO INOXIDABLE DE DOS POZAS CON ESCURRIDERA INC. ACCESORIOS</t>
  </si>
  <si>
    <t xml:space="preserve">3194FF</t>
  </si>
  <si>
    <t xml:space="preserve">MSP-3196</t>
  </si>
  <si>
    <t xml:space="preserve">1.5.1.2.1.2</t>
  </si>
  <si>
    <t xml:space="preserve">MSP-3197</t>
  </si>
  <si>
    <t xml:space="preserve">1.5.1.2.1.2.1</t>
  </si>
  <si>
    <t xml:space="preserve">3195FF</t>
  </si>
  <si>
    <t xml:space="preserve">MSP-3198</t>
  </si>
  <si>
    <t xml:space="preserve">1.5.1.2.1.2.2</t>
  </si>
  <si>
    <t xml:space="preserve">3197FF</t>
  </si>
  <si>
    <t xml:space="preserve">MSP-3199</t>
  </si>
  <si>
    <t xml:space="preserve">1.5.1.2.1.2.3</t>
  </si>
  <si>
    <t xml:space="preserve">3198FF</t>
  </si>
  <si>
    <t xml:space="preserve">MSP-3200</t>
  </si>
  <si>
    <t xml:space="preserve">1.5.1.2.2</t>
  </si>
  <si>
    <t xml:space="preserve">MSP-3201</t>
  </si>
  <si>
    <t xml:space="preserve">1.5.1.2.2.1</t>
  </si>
  <si>
    <t xml:space="preserve">MSP-3202</t>
  </si>
  <si>
    <t xml:space="preserve">1.5.1.2.2.1.1</t>
  </si>
  <si>
    <t xml:space="preserve">MSP-3203</t>
  </si>
  <si>
    <t xml:space="preserve">1.5.1.2.2.2</t>
  </si>
  <si>
    <t xml:space="preserve">MSP-3204</t>
  </si>
  <si>
    <t xml:space="preserve">1.5.1.2.2.2.1</t>
  </si>
  <si>
    <t xml:space="preserve">3202FS+60.0d</t>
  </si>
  <si>
    <t xml:space="preserve">MSP-3205</t>
  </si>
  <si>
    <t xml:space="preserve">1.5.1.2.2.2.2</t>
  </si>
  <si>
    <t xml:space="preserve">3204FS</t>
  </si>
  <si>
    <t xml:space="preserve">MSP-3206</t>
  </si>
  <si>
    <t xml:space="preserve">1.5.1.2.2.2.3</t>
  </si>
  <si>
    <t xml:space="preserve">3205FS</t>
  </si>
  <si>
    <t xml:space="preserve">MSP-3207</t>
  </si>
  <si>
    <t xml:space="preserve">1.5.1.2.2.2.4</t>
  </si>
  <si>
    <t xml:space="preserve">3206FS</t>
  </si>
  <si>
    <t xml:space="preserve">MSP-3208</t>
  </si>
  <si>
    <t xml:space="preserve">1.5.1.2.2.2.5</t>
  </si>
  <si>
    <t xml:space="preserve">3236FS</t>
  </si>
  <si>
    <t xml:space="preserve">MSP-3209</t>
  </si>
  <si>
    <t xml:space="preserve">1.5.1.2.2.2.6</t>
  </si>
  <si>
    <t xml:space="preserve">3208FS</t>
  </si>
  <si>
    <t xml:space="preserve">MSP-3210</t>
  </si>
  <si>
    <t xml:space="preserve">1.5.1.2.2.2.7</t>
  </si>
  <si>
    <t xml:space="preserve">3208SS</t>
  </si>
  <si>
    <t xml:space="preserve">MSP-3211</t>
  </si>
  <si>
    <t xml:space="preserve">1.5.1.2.2.2.8</t>
  </si>
  <si>
    <t xml:space="preserve">3209FS</t>
  </si>
  <si>
    <t xml:space="preserve">MSP-3212</t>
  </si>
  <si>
    <t xml:space="preserve">1.5.1.2.2.3</t>
  </si>
  <si>
    <t xml:space="preserve">MSP-3213</t>
  </si>
  <si>
    <t xml:space="preserve">1.5.1.2.2.3.1</t>
  </si>
  <si>
    <t xml:space="preserve">3211FS</t>
  </si>
  <si>
    <t xml:space="preserve">MSP-3214</t>
  </si>
  <si>
    <t xml:space="preserve">1.5.1.2.2.4</t>
  </si>
  <si>
    <t xml:space="preserve">MSP-3215</t>
  </si>
  <si>
    <t xml:space="preserve">1.5.1.2.2.4.1</t>
  </si>
  <si>
    <t xml:space="preserve">TUBERÍA PVC Ø 2" C/R. CLASE 10</t>
  </si>
  <si>
    <t xml:space="preserve">MSP-3216</t>
  </si>
  <si>
    <t xml:space="preserve">1.5.1.2.2.4.2</t>
  </si>
  <si>
    <t xml:space="preserve">TUBERÍA PVC Ø 1 " C/R. CLASE 10</t>
  </si>
  <si>
    <t xml:space="preserve">3215FS</t>
  </si>
  <si>
    <t xml:space="preserve">MSP-3217</t>
  </si>
  <si>
    <t xml:space="preserve">1.5.1.2.2.4.3</t>
  </si>
  <si>
    <t xml:space="preserve">3216FS</t>
  </si>
  <si>
    <t xml:space="preserve">MSP-3218</t>
  </si>
  <si>
    <t xml:space="preserve">1.5.1.2.2.4.4</t>
  </si>
  <si>
    <t xml:space="preserve">3217FS</t>
  </si>
  <si>
    <t xml:space="preserve">MSP-3219</t>
  </si>
  <si>
    <t xml:space="preserve">1.5.1.2.2.4.5</t>
  </si>
  <si>
    <t xml:space="preserve">3218SS+15.0d;3217FS;3216FS;3215FS</t>
  </si>
  <si>
    <t xml:space="preserve">MSP-3220</t>
  </si>
  <si>
    <t xml:space="preserve">1.5.1.2.2.5</t>
  </si>
  <si>
    <t xml:space="preserve">MSP-3221</t>
  </si>
  <si>
    <t xml:space="preserve">1.5.1.2.2.5.1</t>
  </si>
  <si>
    <t xml:space="preserve">TEE PVC Ø 2"x2" C/R. C-10</t>
  </si>
  <si>
    <t xml:space="preserve">3215SS</t>
  </si>
  <si>
    <t xml:space="preserve">MSP-3222</t>
  </si>
  <si>
    <t xml:space="preserve">1.5.1.2.2.5.2</t>
  </si>
  <si>
    <t xml:space="preserve">TEE PVC Ø 1"x1" C/R. C-10</t>
  </si>
  <si>
    <t xml:space="preserve">3221FS</t>
  </si>
  <si>
    <t xml:space="preserve">MSP-3223</t>
  </si>
  <si>
    <t xml:space="preserve">1.5.1.2.2.5.3</t>
  </si>
  <si>
    <t xml:space="preserve">3222FS</t>
  </si>
  <si>
    <t xml:space="preserve">MSP-3224</t>
  </si>
  <si>
    <t xml:space="preserve">1.5.1.2.2.5.4</t>
  </si>
  <si>
    <t xml:space="preserve">TEE PVC Ø 1/2"x1/2" C/R. C-10</t>
  </si>
  <si>
    <t xml:space="preserve">3223FS</t>
  </si>
  <si>
    <t xml:space="preserve">MSP-3225</t>
  </si>
  <si>
    <t xml:space="preserve">1.5.1.2.2.5.5</t>
  </si>
  <si>
    <t xml:space="preserve">REDUCCIÓN PVC Ø 2" a 1" C/R. C-10</t>
  </si>
  <si>
    <t xml:space="preserve">3224FS</t>
  </si>
  <si>
    <t xml:space="preserve">MSP-3226</t>
  </si>
  <si>
    <t xml:space="preserve">1.5.1.2.2.5.6</t>
  </si>
  <si>
    <t xml:space="preserve">REDUCCIÓN PVC Ø 1 " a 3/4" C/R. C-10</t>
  </si>
  <si>
    <t xml:space="preserve">3221FS+-1.0d</t>
  </si>
  <si>
    <t xml:space="preserve">MSP-3227</t>
  </si>
  <si>
    <t xml:space="preserve">1.5.1.2.2.5.7</t>
  </si>
  <si>
    <t xml:space="preserve">3226FS</t>
  </si>
  <si>
    <t xml:space="preserve">MSP-3228</t>
  </si>
  <si>
    <t xml:space="preserve">1.5.1.2.2.5.8</t>
  </si>
  <si>
    <t xml:space="preserve">CODO PVC Ø 1 " x 90º C/R. C-10</t>
  </si>
  <si>
    <t xml:space="preserve">3227FS</t>
  </si>
  <si>
    <t xml:space="preserve">MSP-3229</t>
  </si>
  <si>
    <t xml:space="preserve">1.5.1.2.2.5.9</t>
  </si>
  <si>
    <t xml:space="preserve">3228FS</t>
  </si>
  <si>
    <t xml:space="preserve">MSP-3230</t>
  </si>
  <si>
    <t xml:space="preserve">1.5.1.2.2.5.10</t>
  </si>
  <si>
    <t xml:space="preserve">3229FS</t>
  </si>
  <si>
    <t xml:space="preserve">MSP-3231</t>
  </si>
  <si>
    <t xml:space="preserve">1.5.1.2.2.6</t>
  </si>
  <si>
    <t xml:space="preserve">MSP-3232</t>
  </si>
  <si>
    <t xml:space="preserve">1.5.1.2.2.6.1</t>
  </si>
  <si>
    <t xml:space="preserve">VÁLVULA COMPUERTA PESADA BCE 150 PSI Ø 1". ROSCADA</t>
  </si>
  <si>
    <t xml:space="preserve">3230FS</t>
  </si>
  <si>
    <t xml:space="preserve">MSP-3233</t>
  </si>
  <si>
    <t xml:space="preserve">1.5.1.2.2.6.2</t>
  </si>
  <si>
    <t xml:space="preserve">3232FS</t>
  </si>
  <si>
    <t xml:space="preserve">MSP-3234</t>
  </si>
  <si>
    <t xml:space="preserve">1.5.1.2.2.6.3</t>
  </si>
  <si>
    <t xml:space="preserve">VÁLVULA COMPUERTA PESADA BCE 150 PSI Ø 1/2". ROSCADA</t>
  </si>
  <si>
    <t xml:space="preserve">3233FS</t>
  </si>
  <si>
    <t xml:space="preserve">MSP-3235</t>
  </si>
  <si>
    <t xml:space="preserve">1.5.1.2.2.7</t>
  </si>
  <si>
    <t xml:space="preserve">MSP-3236</t>
  </si>
  <si>
    <t xml:space="preserve">1.5.1.2.2.7.1</t>
  </si>
  <si>
    <t xml:space="preserve">3234FS</t>
  </si>
  <si>
    <t xml:space="preserve">MSP-3237</t>
  </si>
  <si>
    <t xml:space="preserve">1.5.1.2.3</t>
  </si>
  <si>
    <t xml:space="preserve">MSP-3238</t>
  </si>
  <si>
    <t xml:space="preserve">1.5.1.2.3.1</t>
  </si>
  <si>
    <t xml:space="preserve">MSP-3239</t>
  </si>
  <si>
    <t xml:space="preserve">1.5.1.2.3.1.1</t>
  </si>
  <si>
    <t xml:space="preserve">MSP-3240</t>
  </si>
  <si>
    <t xml:space="preserve">1.5.1.2.3.2</t>
  </si>
  <si>
    <t xml:space="preserve">MSP-3241</t>
  </si>
  <si>
    <t xml:space="preserve">1.5.1.2.3.2.1</t>
  </si>
  <si>
    <t xml:space="preserve">3239FS</t>
  </si>
  <si>
    <t xml:space="preserve">MSP-3242</t>
  </si>
  <si>
    <t xml:space="preserve">1.5.1.2.3.2.2</t>
  </si>
  <si>
    <t xml:space="preserve">3241FS</t>
  </si>
  <si>
    <t xml:space="preserve">MSP-3243</t>
  </si>
  <si>
    <t xml:space="preserve">1.5.1.2.3.2.3</t>
  </si>
  <si>
    <t xml:space="preserve">3242FS</t>
  </si>
  <si>
    <t xml:space="preserve">MSP-3244</t>
  </si>
  <si>
    <t xml:space="preserve">1.5.1.2.3.2.4</t>
  </si>
  <si>
    <t xml:space="preserve">3243FS</t>
  </si>
  <si>
    <t xml:space="preserve">MSP-3245</t>
  </si>
  <si>
    <t xml:space="preserve">1.5.1.2.3.2.5</t>
  </si>
  <si>
    <t xml:space="preserve">3257FS</t>
  </si>
  <si>
    <t xml:space="preserve">MSP-3246</t>
  </si>
  <si>
    <t xml:space="preserve">1.5.1.2.3.2.6</t>
  </si>
  <si>
    <t xml:space="preserve">3245FS</t>
  </si>
  <si>
    <t xml:space="preserve">MSP-3247</t>
  </si>
  <si>
    <t xml:space="preserve">1.5.1.2.3.2.7</t>
  </si>
  <si>
    <t xml:space="preserve">3245SS</t>
  </si>
  <si>
    <t xml:space="preserve">MSP-3248</t>
  </si>
  <si>
    <t xml:space="preserve">1.5.1.2.3.2.8</t>
  </si>
  <si>
    <t xml:space="preserve">3246FS</t>
  </si>
  <si>
    <t xml:space="preserve">MSP-3249</t>
  </si>
  <si>
    <t xml:space="preserve">1.5.1.2.3.3</t>
  </si>
  <si>
    <t xml:space="preserve">MSP-3250</t>
  </si>
  <si>
    <t xml:space="preserve">1.5.1.2.3.3.1</t>
  </si>
  <si>
    <t xml:space="preserve">MSP-3251</t>
  </si>
  <si>
    <t xml:space="preserve">1.5.1.2.3.4</t>
  </si>
  <si>
    <t xml:space="preserve">MSP-3252</t>
  </si>
  <si>
    <t xml:space="preserve">1.5.1.2.3.4.1</t>
  </si>
  <si>
    <t xml:space="preserve">3250FS</t>
  </si>
  <si>
    <t xml:space="preserve">MSP-3253</t>
  </si>
  <si>
    <t xml:space="preserve">1.5.1.2.3.4.2</t>
  </si>
  <si>
    <t xml:space="preserve">3252FS</t>
  </si>
  <si>
    <t xml:space="preserve">MSP-3254</t>
  </si>
  <si>
    <t xml:space="preserve">1.5.1.2.3.4.3</t>
  </si>
  <si>
    <t xml:space="preserve">3253FS</t>
  </si>
  <si>
    <t xml:space="preserve">MSP-3255</t>
  </si>
  <si>
    <t xml:space="preserve">1.5.1.2.3.4.4</t>
  </si>
  <si>
    <t xml:space="preserve">3254FS</t>
  </si>
  <si>
    <t xml:space="preserve">MSP-3256</t>
  </si>
  <si>
    <t xml:space="preserve">1.5.1.2.3.4.5</t>
  </si>
  <si>
    <t xml:space="preserve">3255FS</t>
  </si>
  <si>
    <t xml:space="preserve">MSP-3257</t>
  </si>
  <si>
    <t xml:space="preserve">1.5.1.2.3.4.6</t>
  </si>
  <si>
    <t xml:space="preserve">3256FS</t>
  </si>
  <si>
    <t xml:space="preserve">MSP-3258</t>
  </si>
  <si>
    <t xml:space="preserve">1.5.1.2.3.5</t>
  </si>
  <si>
    <t xml:space="preserve">MSP-3259</t>
  </si>
  <si>
    <t xml:space="preserve">1.5.1.2.3.5.1</t>
  </si>
  <si>
    <t xml:space="preserve">MSP-3260</t>
  </si>
  <si>
    <t xml:space="preserve">1.5.1.2.3.5.2</t>
  </si>
  <si>
    <t xml:space="preserve">3259FS</t>
  </si>
  <si>
    <t xml:space="preserve">MSP-3261</t>
  </si>
  <si>
    <t xml:space="preserve">1.5.1.2.3.5.3</t>
  </si>
  <si>
    <t xml:space="preserve">3262FS</t>
  </si>
  <si>
    <t xml:space="preserve">MSP-3262</t>
  </si>
  <si>
    <t xml:space="preserve">1.5.1.2.3.5.4</t>
  </si>
  <si>
    <t xml:space="preserve">3260FS</t>
  </si>
  <si>
    <t xml:space="preserve">MSP-3263</t>
  </si>
  <si>
    <t xml:space="preserve">1.5.1.2.3.6</t>
  </si>
  <si>
    <t xml:space="preserve">MSP-3264</t>
  </si>
  <si>
    <t xml:space="preserve">1.5.1.2.3.6.1</t>
  </si>
  <si>
    <t xml:space="preserve">MSP-3265</t>
  </si>
  <si>
    <t xml:space="preserve">1.5.1.2.3.6.2</t>
  </si>
  <si>
    <t xml:space="preserve">3264FS</t>
  </si>
  <si>
    <t xml:space="preserve">MSP-3266</t>
  </si>
  <si>
    <t xml:space="preserve">1.5.1.2.4</t>
  </si>
  <si>
    <t xml:space="preserve">MSP-3267</t>
  </si>
  <si>
    <t xml:space="preserve">1.5.1.2.4.1</t>
  </si>
  <si>
    <t xml:space="preserve">MSP-3268</t>
  </si>
  <si>
    <t xml:space="preserve">1.5.1.2.4.1.1</t>
  </si>
  <si>
    <t xml:space="preserve">MSP-3269</t>
  </si>
  <si>
    <t xml:space="preserve">1.5.1.2.4.2</t>
  </si>
  <si>
    <t xml:space="preserve">MSP-3270</t>
  </si>
  <si>
    <t xml:space="preserve">1.5.1.2.4.2.1</t>
  </si>
  <si>
    <t xml:space="preserve">3268FS</t>
  </si>
  <si>
    <t xml:space="preserve">MSP-3271</t>
  </si>
  <si>
    <t xml:space="preserve">1.5.1.2.4.2.2</t>
  </si>
  <si>
    <t xml:space="preserve">3270FS</t>
  </si>
  <si>
    <t xml:space="preserve">MSP-3272</t>
  </si>
  <si>
    <t xml:space="preserve">1.5.1.2.4.2.3</t>
  </si>
  <si>
    <t xml:space="preserve">3271FS</t>
  </si>
  <si>
    <t xml:space="preserve">MSP-3273</t>
  </si>
  <si>
    <t xml:space="preserve">1.5.1.2.4.2.4</t>
  </si>
  <si>
    <t xml:space="preserve">3272FS</t>
  </si>
  <si>
    <t xml:space="preserve">MSP-3274</t>
  </si>
  <si>
    <t xml:space="preserve">1.5.1.2.4.2.5</t>
  </si>
  <si>
    <t xml:space="preserve">3273FS</t>
  </si>
  <si>
    <t xml:space="preserve">MSP-3275</t>
  </si>
  <si>
    <t xml:space="preserve">1.5.1.2.4.2.6</t>
  </si>
  <si>
    <t xml:space="preserve">3274FS</t>
  </si>
  <si>
    <t xml:space="preserve">MSP-3276</t>
  </si>
  <si>
    <t xml:space="preserve">1.5.1.2.4.2.7</t>
  </si>
  <si>
    <t xml:space="preserve">3275FS</t>
  </si>
  <si>
    <t xml:space="preserve">MSP-3277</t>
  </si>
  <si>
    <t xml:space="preserve">1.5.1.2.4.2.8</t>
  </si>
  <si>
    <t xml:space="preserve">3276FS</t>
  </si>
  <si>
    <t xml:space="preserve">MSP-3278</t>
  </si>
  <si>
    <t xml:space="preserve">1.5.1.2.4.3</t>
  </si>
  <si>
    <t xml:space="preserve">MSP-3279</t>
  </si>
  <si>
    <t xml:space="preserve">1.5.1.2.4.3.1</t>
  </si>
  <si>
    <t xml:space="preserve">3277FS</t>
  </si>
  <si>
    <t xml:space="preserve">MSP-3280</t>
  </si>
  <si>
    <t xml:space="preserve">1.5.1.2.4.3.2</t>
  </si>
  <si>
    <t xml:space="preserve">3279FS</t>
  </si>
  <si>
    <t xml:space="preserve">MSP-3281</t>
  </si>
  <si>
    <t xml:space="preserve">1.5.1.2.4.4</t>
  </si>
  <si>
    <t xml:space="preserve">MSP-3282</t>
  </si>
  <si>
    <t xml:space="preserve">1.5.1.2.4.4.1</t>
  </si>
  <si>
    <t xml:space="preserve">3280FS</t>
  </si>
  <si>
    <t xml:space="preserve">MSP-3283</t>
  </si>
  <si>
    <t xml:space="preserve">1.5.1.2.4.4.2</t>
  </si>
  <si>
    <t xml:space="preserve">TUBERÍA PVC-CP Ø 3" S/P</t>
  </si>
  <si>
    <t xml:space="preserve">3282FS</t>
  </si>
  <si>
    <t xml:space="preserve">MSP-3284</t>
  </si>
  <si>
    <t xml:space="preserve">1.5.1.2.4.4.3</t>
  </si>
  <si>
    <t xml:space="preserve">3283FS</t>
  </si>
  <si>
    <t xml:space="preserve">MSP-3285</t>
  </si>
  <si>
    <t xml:space="preserve">1.5.1.2.4.4.4</t>
  </si>
  <si>
    <t xml:space="preserve">3324FS</t>
  </si>
  <si>
    <t xml:space="preserve">MSP-3286</t>
  </si>
  <si>
    <t xml:space="preserve">1.5.1.2.4.5</t>
  </si>
  <si>
    <t xml:space="preserve">MSP-3287</t>
  </si>
  <si>
    <t xml:space="preserve">1.5.1.2.4.5.1</t>
  </si>
  <si>
    <t xml:space="preserve">MSP-3288</t>
  </si>
  <si>
    <t xml:space="preserve">1.5.1.2.4.5.2</t>
  </si>
  <si>
    <t xml:space="preserve">YEE PVC-CP Ø 4"x3" S/P</t>
  </si>
  <si>
    <t xml:space="preserve">3287FS</t>
  </si>
  <si>
    <t xml:space="preserve">MSP-3289</t>
  </si>
  <si>
    <t xml:space="preserve">1.5.1.2.4.5.3</t>
  </si>
  <si>
    <t xml:space="preserve">3288FS</t>
  </si>
  <si>
    <t xml:space="preserve">MSP-3290</t>
  </si>
  <si>
    <t xml:space="preserve">1.5.1.2.4.5.4</t>
  </si>
  <si>
    <t xml:space="preserve">YEE PVC-CP Ø 3"x3" S/P</t>
  </si>
  <si>
    <t xml:space="preserve">3289FS</t>
  </si>
  <si>
    <t xml:space="preserve">MSP-3291</t>
  </si>
  <si>
    <t xml:space="preserve">1.5.1.2.4.5.5</t>
  </si>
  <si>
    <t xml:space="preserve">YEE PVC-CP Ø 3"x2" S/P</t>
  </si>
  <si>
    <t xml:space="preserve">3290FS</t>
  </si>
  <si>
    <t xml:space="preserve">MSP-3292</t>
  </si>
  <si>
    <t xml:space="preserve">1.5.1.2.4.5.6</t>
  </si>
  <si>
    <t xml:space="preserve">3291FS</t>
  </si>
  <si>
    <t xml:space="preserve">MSP-3293</t>
  </si>
  <si>
    <t xml:space="preserve">1.5.1.2.4.5.7</t>
  </si>
  <si>
    <t xml:space="preserve">3292FS</t>
  </si>
  <si>
    <t xml:space="preserve">MSP-3294</t>
  </si>
  <si>
    <t xml:space="preserve">1.5.1.2.4.5.8</t>
  </si>
  <si>
    <t xml:space="preserve">CODO 45º PVC-CP Ø 3" S/P</t>
  </si>
  <si>
    <t xml:space="preserve">3293FS</t>
  </si>
  <si>
    <t xml:space="preserve">MSP-3295</t>
  </si>
  <si>
    <t xml:space="preserve">1.5.1.2.4.5.9</t>
  </si>
  <si>
    <t xml:space="preserve">3294FS</t>
  </si>
  <si>
    <t xml:space="preserve">MSP-3296</t>
  </si>
  <si>
    <t xml:space="preserve">1.5.1.2.4.5.10</t>
  </si>
  <si>
    <t xml:space="preserve">3295FS</t>
  </si>
  <si>
    <t xml:space="preserve">MSP-3297</t>
  </si>
  <si>
    <t xml:space="preserve">1.5.1.2.4.5.11</t>
  </si>
  <si>
    <t xml:space="preserve">CODO 90º PVC-CP Ø 3" S/P</t>
  </si>
  <si>
    <t xml:space="preserve">3296FS</t>
  </si>
  <si>
    <t xml:space="preserve">MSP-3298</t>
  </si>
  <si>
    <t xml:space="preserve">1.5.1.2.4.5.12</t>
  </si>
  <si>
    <t xml:space="preserve">3297FS</t>
  </si>
  <si>
    <t xml:space="preserve">MSP-3299</t>
  </si>
  <si>
    <t xml:space="preserve">1.5.1.2.4.5.13</t>
  </si>
  <si>
    <t xml:space="preserve">TEE SANITARIA PVC-CP Ø 2" S/P</t>
  </si>
  <si>
    <t xml:space="preserve">3298FS</t>
  </si>
  <si>
    <t xml:space="preserve">MSP-3300</t>
  </si>
  <si>
    <t xml:space="preserve">1.5.1.2.4.5.14</t>
  </si>
  <si>
    <t xml:space="preserve">SUMIDERO DE ACERO INOXIDABLE DE  Ø3" CON REJILLA</t>
  </si>
  <si>
    <t xml:space="preserve">3299FS</t>
  </si>
  <si>
    <t xml:space="preserve">MSP-3301</t>
  </si>
  <si>
    <t xml:space="preserve">1.5.1.2.4.5.15</t>
  </si>
  <si>
    <t xml:space="preserve">3300FS</t>
  </si>
  <si>
    <t xml:space="preserve">MSP-3302</t>
  </si>
  <si>
    <t xml:space="preserve">1.5.1.2.4.5.16</t>
  </si>
  <si>
    <t xml:space="preserve">3301FS</t>
  </si>
  <si>
    <t xml:space="preserve">MSP-3303</t>
  </si>
  <si>
    <t xml:space="preserve">1.5.1.2.4.5.17</t>
  </si>
  <si>
    <t xml:space="preserve">3302FS</t>
  </si>
  <si>
    <t xml:space="preserve">MSP-3304</t>
  </si>
  <si>
    <t xml:space="preserve">1.5.1.2.4.5.18</t>
  </si>
  <si>
    <t xml:space="preserve">REGISTRO ROSCADO DE BCE PESADO Ø 3"</t>
  </si>
  <si>
    <t xml:space="preserve">3303FS</t>
  </si>
  <si>
    <t xml:space="preserve">MSP-3305</t>
  </si>
  <si>
    <t xml:space="preserve">1.5.1.2.4.5.19</t>
  </si>
  <si>
    <t xml:space="preserve">3304FS</t>
  </si>
  <si>
    <t xml:space="preserve">MSP-3306</t>
  </si>
  <si>
    <t xml:space="preserve">1.5.1.2.4.5.20</t>
  </si>
  <si>
    <t xml:space="preserve">3305FS</t>
  </si>
  <si>
    <t xml:space="preserve">MSP-3307</t>
  </si>
  <si>
    <t xml:space="preserve">1.5.1.2.4.5.21</t>
  </si>
  <si>
    <t xml:space="preserve">REGISTRO ROSCADO TIPO DADO COLGADO Ø3"</t>
  </si>
  <si>
    <t xml:space="preserve">3306FS</t>
  </si>
  <si>
    <t xml:space="preserve">MSP-3308</t>
  </si>
  <si>
    <t xml:space="preserve">1.5.1.2.4.5.22</t>
  </si>
  <si>
    <t xml:space="preserve">3307FS</t>
  </si>
  <si>
    <t xml:space="preserve">MSP-3309</t>
  </si>
  <si>
    <t xml:space="preserve">1.5.1.2.4.5.23</t>
  </si>
  <si>
    <t xml:space="preserve">COLGADOR PARA UNA TUBERIA Ø 3"  TIPO GOTA O SIMILAR</t>
  </si>
  <si>
    <t xml:space="preserve">3308FS</t>
  </si>
  <si>
    <t xml:space="preserve">MSP-3310</t>
  </si>
  <si>
    <t xml:space="preserve">1.5.1.2.4.5.24</t>
  </si>
  <si>
    <t xml:space="preserve">3309FS</t>
  </si>
  <si>
    <t xml:space="preserve">MSP-3311</t>
  </si>
  <si>
    <t xml:space="preserve">1.5.1.2.4.5.25</t>
  </si>
  <si>
    <t xml:space="preserve">ABRAZADERA METALICA PARA TUBERIA Ø4"</t>
  </si>
  <si>
    <t xml:space="preserve">3310FS</t>
  </si>
  <si>
    <t xml:space="preserve">MSP-3312</t>
  </si>
  <si>
    <t xml:space="preserve">1.5.1.2.4.5.26</t>
  </si>
  <si>
    <t xml:space="preserve">ABRAZADERA METALICA PARA TUBERIA Ø3"</t>
  </si>
  <si>
    <t xml:space="preserve">3311FS</t>
  </si>
  <si>
    <t xml:space="preserve">MSP-3313</t>
  </si>
  <si>
    <t xml:space="preserve">1.5.1.2.4.5.27</t>
  </si>
  <si>
    <t xml:space="preserve">REDUCCION PVC CP Ø4" a 2" S/P</t>
  </si>
  <si>
    <t xml:space="preserve">3312FS</t>
  </si>
  <si>
    <t xml:space="preserve">MSP-3314</t>
  </si>
  <si>
    <t xml:space="preserve">1.5.1.2.4.5.28</t>
  </si>
  <si>
    <t xml:space="preserve">3313FS</t>
  </si>
  <si>
    <t xml:space="preserve">MSP-3315</t>
  </si>
  <si>
    <t xml:space="preserve">1.5.1.2.4.5.29</t>
  </si>
  <si>
    <t xml:space="preserve">SUMINISTRO E INSTALACION DE TRAMPA DE GRASA DE 18L</t>
  </si>
  <si>
    <t xml:space="preserve">3314FS</t>
  </si>
  <si>
    <t xml:space="preserve">MSP-3316</t>
  </si>
  <si>
    <t xml:space="preserve">1.5.1.2.4.6</t>
  </si>
  <si>
    <t xml:space="preserve">MSP-3317</t>
  </si>
  <si>
    <t xml:space="preserve">1.5.1.2.4.6.1</t>
  </si>
  <si>
    <t xml:space="preserve">TUBERÍA PVC-CL Ø 4" S/P</t>
  </si>
  <si>
    <t xml:space="preserve">3284FS</t>
  </si>
  <si>
    <t xml:space="preserve">MSP-3318</t>
  </si>
  <si>
    <t xml:space="preserve">1.5.1.2.4.6.2</t>
  </si>
  <si>
    <t xml:space="preserve">3317FS</t>
  </si>
  <si>
    <t xml:space="preserve">MSP-3319</t>
  </si>
  <si>
    <t xml:space="preserve">1.5.1.2.4.6.3</t>
  </si>
  <si>
    <t xml:space="preserve">CODO 90º PVC-CL Ø 4" S/P</t>
  </si>
  <si>
    <t xml:space="preserve">3318FS</t>
  </si>
  <si>
    <t xml:space="preserve">MSP-3320</t>
  </si>
  <si>
    <t xml:space="preserve">1.5.1.2.4.6.4</t>
  </si>
  <si>
    <t xml:space="preserve">TEE SANITARIA PVC-CL Ø 4" S/P</t>
  </si>
  <si>
    <t xml:space="preserve">3319FS</t>
  </si>
  <si>
    <t xml:space="preserve">MSP-3321</t>
  </si>
  <si>
    <t xml:space="preserve">1.5.1.2.4.6.5</t>
  </si>
  <si>
    <t xml:space="preserve">TEE SANITARIA PVC-CL Ø 2" S/P</t>
  </si>
  <si>
    <t xml:space="preserve">3320FS</t>
  </si>
  <si>
    <t xml:space="preserve">MSP-3322</t>
  </si>
  <si>
    <t xml:space="preserve">1.5.1.2.4.6.6</t>
  </si>
  <si>
    <t xml:space="preserve">3321FS</t>
  </si>
  <si>
    <t xml:space="preserve">MSP-3323</t>
  </si>
  <si>
    <t xml:space="preserve">1.5.1.2.4.6.7</t>
  </si>
  <si>
    <t xml:space="preserve">SOMBRERO DE VENTILACIÓN DE PVC 3"</t>
  </si>
  <si>
    <t xml:space="preserve">3322FS</t>
  </si>
  <si>
    <t xml:space="preserve">MSP-3324</t>
  </si>
  <si>
    <t xml:space="preserve">1.5.1.2.4.6.8</t>
  </si>
  <si>
    <t xml:space="preserve">3323FS</t>
  </si>
  <si>
    <t xml:space="preserve">MSP-3325</t>
  </si>
  <si>
    <t xml:space="preserve">1.5.1.2.4.6.9</t>
  </si>
  <si>
    <t xml:space="preserve">MSP-3326</t>
  </si>
  <si>
    <t xml:space="preserve">1.5.1.2.5</t>
  </si>
  <si>
    <t xml:space="preserve">MSP-3327</t>
  </si>
  <si>
    <t xml:space="preserve">1.5.1.2.5.1</t>
  </si>
  <si>
    <t xml:space="preserve">3325FS</t>
  </si>
  <si>
    <t xml:space="preserve">MSP-3328</t>
  </si>
  <si>
    <t xml:space="preserve">1.5.1.2.5.2</t>
  </si>
  <si>
    <t xml:space="preserve">3327FS</t>
  </si>
  <si>
    <t xml:space="preserve">MSP-3329</t>
  </si>
  <si>
    <t xml:space="preserve">1.5.1.2.5.3</t>
  </si>
  <si>
    <t xml:space="preserve">3328FS</t>
  </si>
  <si>
    <t xml:space="preserve">MSP-3330</t>
  </si>
  <si>
    <t xml:space="preserve">1.5.1.2.5.4</t>
  </si>
  <si>
    <t xml:space="preserve">3329FS</t>
  </si>
  <si>
    <t xml:space="preserve">MSP-3331</t>
  </si>
  <si>
    <t xml:space="preserve">1.5.1.2.5.5</t>
  </si>
  <si>
    <t xml:space="preserve">MSP-3332</t>
  </si>
  <si>
    <t xml:space="preserve">1.5.1.2.5.5.1</t>
  </si>
  <si>
    <t xml:space="preserve">MSP-3333</t>
  </si>
  <si>
    <t xml:space="preserve">1.5.1.2.5.5.2</t>
  </si>
  <si>
    <t xml:space="preserve">3332FS</t>
  </si>
  <si>
    <t xml:space="preserve">MSP-3334</t>
  </si>
  <si>
    <t xml:space="preserve">1.5.1.2.5.5.3</t>
  </si>
  <si>
    <t xml:space="preserve">3333FS</t>
  </si>
  <si>
    <t xml:space="preserve">MSP-3335</t>
  </si>
  <si>
    <t xml:space="preserve">1.5.1.2.5.5.4</t>
  </si>
  <si>
    <t xml:space="preserve">3334FS</t>
  </si>
  <si>
    <t xml:space="preserve">MSP-3336</t>
  </si>
  <si>
    <t xml:space="preserve">1.5.1.2.5.5.5</t>
  </si>
  <si>
    <t xml:space="preserve">3335FS</t>
  </si>
  <si>
    <t xml:space="preserve">MSP-3337</t>
  </si>
  <si>
    <t xml:space="preserve">1.5.1.2.5.5.6</t>
  </si>
  <si>
    <t xml:space="preserve">3336FS</t>
  </si>
  <si>
    <t xml:space="preserve">MSP-3338</t>
  </si>
  <si>
    <t xml:space="preserve">1.5.1.2.5.5.7</t>
  </si>
  <si>
    <t xml:space="preserve">3337FS</t>
  </si>
  <si>
    <t xml:space="preserve">MSP-3339</t>
  </si>
  <si>
    <t xml:space="preserve">1.5.1.2.5.5.8</t>
  </si>
  <si>
    <t xml:space="preserve">3338FS</t>
  </si>
  <si>
    <t xml:space="preserve">MSP-3340</t>
  </si>
  <si>
    <t xml:space="preserve">1.5.1.3</t>
  </si>
  <si>
    <t xml:space="preserve">MSP-3341</t>
  </si>
  <si>
    <t xml:space="preserve">1.5.1.3.1</t>
  </si>
  <si>
    <t xml:space="preserve">MSP-3342</t>
  </si>
  <si>
    <t xml:space="preserve">1.5.1.3.1.1</t>
  </si>
  <si>
    <t xml:space="preserve">MSP-3343</t>
  </si>
  <si>
    <t xml:space="preserve">1.5.1.3.1.1.1</t>
  </si>
  <si>
    <t xml:space="preserve">MSP-3344</t>
  </si>
  <si>
    <t xml:space="preserve">1.5.1.3.1.1.2</t>
  </si>
  <si>
    <t xml:space="preserve">3343FF</t>
  </si>
  <si>
    <t xml:space="preserve">MSP-3345</t>
  </si>
  <si>
    <t xml:space="preserve">1.5.1.3.1.2</t>
  </si>
  <si>
    <t xml:space="preserve">MSP-3346</t>
  </si>
  <si>
    <t xml:space="preserve">1.5.1.3.1.2.1</t>
  </si>
  <si>
    <t xml:space="preserve">3344FF</t>
  </si>
  <si>
    <t xml:space="preserve">MSP-3347</t>
  </si>
  <si>
    <t xml:space="preserve">1.5.1.3.1.2.2</t>
  </si>
  <si>
    <t xml:space="preserve">3346FF</t>
  </si>
  <si>
    <t xml:space="preserve">MSP-3348</t>
  </si>
  <si>
    <t xml:space="preserve">1.5.1.3.1.2.3</t>
  </si>
  <si>
    <t xml:space="preserve">3347FF</t>
  </si>
  <si>
    <t xml:space="preserve">MSP-3349</t>
  </si>
  <si>
    <t xml:space="preserve">1.5.1.3.2</t>
  </si>
  <si>
    <t xml:space="preserve">MSP-3350</t>
  </si>
  <si>
    <t xml:space="preserve">1.5.1.3.2.1</t>
  </si>
  <si>
    <t xml:space="preserve">MSP-3351</t>
  </si>
  <si>
    <t xml:space="preserve">1.5.1.3.2.1.1</t>
  </si>
  <si>
    <t xml:space="preserve">MSP-3352</t>
  </si>
  <si>
    <t xml:space="preserve">1.5.1.3.2.2</t>
  </si>
  <si>
    <t xml:space="preserve">MSP-3353</t>
  </si>
  <si>
    <t xml:space="preserve">1.5.1.3.2.2.1</t>
  </si>
  <si>
    <t xml:space="preserve">3351FS</t>
  </si>
  <si>
    <t xml:space="preserve">MSP-3354</t>
  </si>
  <si>
    <t xml:space="preserve">1.5.1.3.2.2.2</t>
  </si>
  <si>
    <t xml:space="preserve">3353FS</t>
  </si>
  <si>
    <t xml:space="preserve">MSP-3355</t>
  </si>
  <si>
    <t xml:space="preserve">1.5.1.3.2.2.3</t>
  </si>
  <si>
    <t xml:space="preserve">3354FS</t>
  </si>
  <si>
    <t xml:space="preserve">MSP-3356</t>
  </si>
  <si>
    <t xml:space="preserve">1.5.1.3.2.2.4</t>
  </si>
  <si>
    <t xml:space="preserve">3355FS</t>
  </si>
  <si>
    <t xml:space="preserve">MSP-3357</t>
  </si>
  <si>
    <t xml:space="preserve">1.5.1.3.2.2.5</t>
  </si>
  <si>
    <t xml:space="preserve">3376FS</t>
  </si>
  <si>
    <t xml:space="preserve">MSP-3358</t>
  </si>
  <si>
    <t xml:space="preserve">1.5.1.3.2.2.6</t>
  </si>
  <si>
    <t xml:space="preserve">3357FS</t>
  </si>
  <si>
    <t xml:space="preserve">MSP-3359</t>
  </si>
  <si>
    <t xml:space="preserve">1.5.1.3.2.2.7</t>
  </si>
  <si>
    <t xml:space="preserve">3357SS</t>
  </si>
  <si>
    <t xml:space="preserve">MSP-3360</t>
  </si>
  <si>
    <t xml:space="preserve">1.5.1.3.2.2.8</t>
  </si>
  <si>
    <t xml:space="preserve">3358FS</t>
  </si>
  <si>
    <t xml:space="preserve">MSP-3361</t>
  </si>
  <si>
    <t xml:space="preserve">1.5.1.3.2.3</t>
  </si>
  <si>
    <t xml:space="preserve">MSP-3362</t>
  </si>
  <si>
    <t xml:space="preserve">1.5.1.3.2.3.1</t>
  </si>
  <si>
    <t xml:space="preserve">3360FS</t>
  </si>
  <si>
    <t xml:space="preserve">MSP-3363</t>
  </si>
  <si>
    <t xml:space="preserve">1.5.1.3.2.4</t>
  </si>
  <si>
    <t xml:space="preserve">MSP-3364</t>
  </si>
  <si>
    <t xml:space="preserve">1.5.1.3.2.4.1</t>
  </si>
  <si>
    <t xml:space="preserve">MSP-3365</t>
  </si>
  <si>
    <t xml:space="preserve">1.5.1.3.2.4.2</t>
  </si>
  <si>
    <t xml:space="preserve">3364FS</t>
  </si>
  <si>
    <t xml:space="preserve">MSP-3366</t>
  </si>
  <si>
    <t xml:space="preserve">1.5.1.3.2.4.3</t>
  </si>
  <si>
    <t xml:space="preserve">3365FS</t>
  </si>
  <si>
    <t xml:space="preserve">MSP-3367</t>
  </si>
  <si>
    <t xml:space="preserve">1.5.1.3.2.4.4</t>
  </si>
  <si>
    <t xml:space="preserve">MSP-3368</t>
  </si>
  <si>
    <t xml:space="preserve">1.5.1.3.2.5</t>
  </si>
  <si>
    <t xml:space="preserve">MSP-3369</t>
  </si>
  <si>
    <t xml:space="preserve">1.5.1.3.2.5.1</t>
  </si>
  <si>
    <t xml:space="preserve">3366FS</t>
  </si>
  <si>
    <t xml:space="preserve">MSP-3370</t>
  </si>
  <si>
    <t xml:space="preserve">1.5.1.3.2.5.2</t>
  </si>
  <si>
    <t xml:space="preserve">3369FS</t>
  </si>
  <si>
    <t xml:space="preserve">MSP-3371</t>
  </si>
  <si>
    <t xml:space="preserve">1.5.1.3.2.5.3</t>
  </si>
  <si>
    <t xml:space="preserve">3370FS</t>
  </si>
  <si>
    <t xml:space="preserve">MSP-3372</t>
  </si>
  <si>
    <t xml:space="preserve">1.5.1.3.2.5.4</t>
  </si>
  <si>
    <t xml:space="preserve">3371FS</t>
  </si>
  <si>
    <t xml:space="preserve">MSP-3373</t>
  </si>
  <si>
    <t xml:space="preserve">1.5.1.3.2.5.5</t>
  </si>
  <si>
    <t xml:space="preserve">3372FS</t>
  </si>
  <si>
    <t xml:space="preserve">MSP-3374</t>
  </si>
  <si>
    <t xml:space="preserve">1.5.1.3.2.5.6</t>
  </si>
  <si>
    <t xml:space="preserve">3373FS</t>
  </si>
  <si>
    <t xml:space="preserve">MSP-3375</t>
  </si>
  <si>
    <t xml:space="preserve">1.5.1.3.2.6</t>
  </si>
  <si>
    <t xml:space="preserve">MSP-3376</t>
  </si>
  <si>
    <t xml:space="preserve">1.5.1.3.2.6.1</t>
  </si>
  <si>
    <t xml:space="preserve">VÁLVULA TIPO GLOBO PESADA BCE 150 PSI Ø 1/2". ROSCADA</t>
  </si>
  <si>
    <t xml:space="preserve">3374FS</t>
  </si>
  <si>
    <t xml:space="preserve">MSP-3377</t>
  </si>
  <si>
    <t xml:space="preserve">1.5.1.3.3</t>
  </si>
  <si>
    <t xml:space="preserve">MSP-3378</t>
  </si>
  <si>
    <t xml:space="preserve">1.5.1.3.3.1</t>
  </si>
  <si>
    <t xml:space="preserve">MSP-3379</t>
  </si>
  <si>
    <t xml:space="preserve">1.5.1.3.3.1.1</t>
  </si>
  <si>
    <t xml:space="preserve">MSP-3380</t>
  </si>
  <si>
    <t xml:space="preserve">1.5.1.3.3.2</t>
  </si>
  <si>
    <t xml:space="preserve">MSP-3381</t>
  </si>
  <si>
    <t xml:space="preserve">1.5.1.3.3.2.1</t>
  </si>
  <si>
    <t xml:space="preserve">3379FS</t>
  </si>
  <si>
    <t xml:space="preserve">MSP-3382</t>
  </si>
  <si>
    <t xml:space="preserve">1.5.1.3.3.2.2</t>
  </si>
  <si>
    <t xml:space="preserve">3381FS</t>
  </si>
  <si>
    <t xml:space="preserve">MSP-3383</t>
  </si>
  <si>
    <t xml:space="preserve">1.5.1.3.3.2.3</t>
  </si>
  <si>
    <t xml:space="preserve">3382FS</t>
  </si>
  <si>
    <t xml:space="preserve">MSP-3384</t>
  </si>
  <si>
    <t xml:space="preserve">1.5.1.3.3.2.4</t>
  </si>
  <si>
    <t xml:space="preserve">3383FS</t>
  </si>
  <si>
    <t xml:space="preserve">MSP-3385</t>
  </si>
  <si>
    <t xml:space="preserve">1.5.1.3.3.2.5</t>
  </si>
  <si>
    <t xml:space="preserve">3397FS</t>
  </si>
  <si>
    <t xml:space="preserve">MSP-3386</t>
  </si>
  <si>
    <t xml:space="preserve">1.5.1.3.3.2.6</t>
  </si>
  <si>
    <t xml:space="preserve">3385FS</t>
  </si>
  <si>
    <t xml:space="preserve">MSP-3387</t>
  </si>
  <si>
    <t xml:space="preserve">1.5.1.3.3.2.7</t>
  </si>
  <si>
    <t xml:space="preserve">3385SS</t>
  </si>
  <si>
    <t xml:space="preserve">MSP-3388</t>
  </si>
  <si>
    <t xml:space="preserve">1.5.1.3.3.2.8</t>
  </si>
  <si>
    <t xml:space="preserve">3386FS</t>
  </si>
  <si>
    <t xml:space="preserve">MSP-3389</t>
  </si>
  <si>
    <t xml:space="preserve">1.5.1.3.3.3</t>
  </si>
  <si>
    <t xml:space="preserve">MSP-3390</t>
  </si>
  <si>
    <t xml:space="preserve">1.5.1.3.3.3.1</t>
  </si>
  <si>
    <t xml:space="preserve">MSP-3391</t>
  </si>
  <si>
    <t xml:space="preserve">1.5.1.3.3.4</t>
  </si>
  <si>
    <t xml:space="preserve">MSP-3392</t>
  </si>
  <si>
    <t xml:space="preserve">1.5.1.3.3.4.1</t>
  </si>
  <si>
    <t xml:space="preserve">3390FS</t>
  </si>
  <si>
    <t xml:space="preserve">MSP-3393</t>
  </si>
  <si>
    <t xml:space="preserve">1.5.1.3.3.4.2</t>
  </si>
  <si>
    <t xml:space="preserve">3392FS</t>
  </si>
  <si>
    <t xml:space="preserve">MSP-3394</t>
  </si>
  <si>
    <t xml:space="preserve">1.5.1.3.3.4.3</t>
  </si>
  <si>
    <t xml:space="preserve">3393FS</t>
  </si>
  <si>
    <t xml:space="preserve">MSP-3395</t>
  </si>
  <si>
    <t xml:space="preserve">1.5.1.3.3.4.4</t>
  </si>
  <si>
    <t xml:space="preserve">3394FS</t>
  </si>
  <si>
    <t xml:space="preserve">MSP-3396</t>
  </si>
  <si>
    <t xml:space="preserve">1.5.1.3.3.4.5</t>
  </si>
  <si>
    <t xml:space="preserve">3395FS</t>
  </si>
  <si>
    <t xml:space="preserve">MSP-3397</t>
  </si>
  <si>
    <t xml:space="preserve">1.5.1.3.3.4.6</t>
  </si>
  <si>
    <t xml:space="preserve">ABRAZADERA METALICA PARA TUBERIA Ø2"</t>
  </si>
  <si>
    <t xml:space="preserve">3396FS</t>
  </si>
  <si>
    <t xml:space="preserve">MSP-3398</t>
  </si>
  <si>
    <t xml:space="preserve">1.5.1.3.3.5</t>
  </si>
  <si>
    <t xml:space="preserve">MSP-3399</t>
  </si>
  <si>
    <t xml:space="preserve">1.5.1.3.3.5.1</t>
  </si>
  <si>
    <t xml:space="preserve">MSP-3400</t>
  </si>
  <si>
    <t xml:space="preserve">1.5.1.3.3.5.2</t>
  </si>
  <si>
    <t xml:space="preserve">3399FS</t>
  </si>
  <si>
    <t xml:space="preserve">MSP-3401</t>
  </si>
  <si>
    <t xml:space="preserve">1.5.1.3.4</t>
  </si>
  <si>
    <t xml:space="preserve">MSP-3402</t>
  </si>
  <si>
    <t xml:space="preserve">1.5.1.3.4.1</t>
  </si>
  <si>
    <t xml:space="preserve">MSP-3403</t>
  </si>
  <si>
    <t xml:space="preserve">1.5.1.3.4.1.1</t>
  </si>
  <si>
    <t xml:space="preserve">MSP-3404</t>
  </si>
  <si>
    <t xml:space="preserve">1.5.1.3.4.2</t>
  </si>
  <si>
    <t xml:space="preserve">MSP-3405</t>
  </si>
  <si>
    <t xml:space="preserve">1.5.1.3.4.2.1</t>
  </si>
  <si>
    <t xml:space="preserve">3403FS</t>
  </si>
  <si>
    <t xml:space="preserve">MSP-3406</t>
  </si>
  <si>
    <t xml:space="preserve">1.5.1.3.4.2.2</t>
  </si>
  <si>
    <t xml:space="preserve">3405FS</t>
  </si>
  <si>
    <t xml:space="preserve">MSP-3407</t>
  </si>
  <si>
    <t xml:space="preserve">1.5.1.3.4.2.3</t>
  </si>
  <si>
    <t xml:space="preserve">3406FS</t>
  </si>
  <si>
    <t xml:space="preserve">MSP-3408</t>
  </si>
  <si>
    <t xml:space="preserve">1.5.1.3.4.2.4</t>
  </si>
  <si>
    <t xml:space="preserve">3407FS</t>
  </si>
  <si>
    <t xml:space="preserve">MSP-3409</t>
  </si>
  <si>
    <t xml:space="preserve">1.5.1.3.4.2.5</t>
  </si>
  <si>
    <t xml:space="preserve">3426FS</t>
  </si>
  <si>
    <t xml:space="preserve">MSP-3410</t>
  </si>
  <si>
    <t xml:space="preserve">1.5.1.3.4.2.6</t>
  </si>
  <si>
    <t xml:space="preserve">3409FS</t>
  </si>
  <si>
    <t xml:space="preserve">MSP-3411</t>
  </si>
  <si>
    <t xml:space="preserve">1.5.1.3.4.2.7</t>
  </si>
  <si>
    <t xml:space="preserve">3409SS</t>
  </si>
  <si>
    <t xml:space="preserve">MSP-3412</t>
  </si>
  <si>
    <t xml:space="preserve">1.5.1.3.4.2.8</t>
  </si>
  <si>
    <t xml:space="preserve">3410FS</t>
  </si>
  <si>
    <t xml:space="preserve">MSP-3413</t>
  </si>
  <si>
    <t xml:space="preserve">1.5.1.3.4.3</t>
  </si>
  <si>
    <t xml:space="preserve">MSP-3414</t>
  </si>
  <si>
    <t xml:space="preserve">1.5.1.3.4.3.1</t>
  </si>
  <si>
    <t xml:space="preserve">3412FS</t>
  </si>
  <si>
    <t xml:space="preserve">MSP-3415</t>
  </si>
  <si>
    <t xml:space="preserve">1.5.1.3.4.3.2</t>
  </si>
  <si>
    <t xml:space="preserve">3414FS</t>
  </si>
  <si>
    <t xml:space="preserve">MSP-3416</t>
  </si>
  <si>
    <t xml:space="preserve">1.5.1.3.4.4</t>
  </si>
  <si>
    <t xml:space="preserve">MSP-3417</t>
  </si>
  <si>
    <t xml:space="preserve">1.5.1.3.4.4.1</t>
  </si>
  <si>
    <t xml:space="preserve">3408FS</t>
  </si>
  <si>
    <t xml:space="preserve">MSP-3418</t>
  </si>
  <si>
    <t xml:space="preserve">1.5.1.3.4.4.2</t>
  </si>
  <si>
    <t xml:space="preserve">3417FS</t>
  </si>
  <si>
    <t xml:space="preserve">MSP-3419</t>
  </si>
  <si>
    <t xml:space="preserve">1.5.1.3.4.4.3</t>
  </si>
  <si>
    <t xml:space="preserve">MSP-3420</t>
  </si>
  <si>
    <t xml:space="preserve">1.5.1.3.4.5</t>
  </si>
  <si>
    <t xml:space="preserve">MSP-3421</t>
  </si>
  <si>
    <t xml:space="preserve">1.5.1.3.4.5.1</t>
  </si>
  <si>
    <t xml:space="preserve">3418FS</t>
  </si>
  <si>
    <t xml:space="preserve">MSP-3422</t>
  </si>
  <si>
    <t xml:space="preserve">1.5.1.3.4.5.2</t>
  </si>
  <si>
    <t xml:space="preserve">3421FS</t>
  </si>
  <si>
    <t xml:space="preserve">MSP-3423</t>
  </si>
  <si>
    <t xml:space="preserve">1.5.1.3.4.5.3</t>
  </si>
  <si>
    <t xml:space="preserve">3422FS</t>
  </si>
  <si>
    <t xml:space="preserve">MSP-3424</t>
  </si>
  <si>
    <t xml:space="preserve">1.5.1.3.4.5.4</t>
  </si>
  <si>
    <t xml:space="preserve">TEE SANITARIA PVC-CP Ø 4" -2" C/RED</t>
  </si>
  <si>
    <t xml:space="preserve">3423FS</t>
  </si>
  <si>
    <t xml:space="preserve">MSP-3425</t>
  </si>
  <si>
    <t xml:space="preserve">1.5.1.3.4.5.5</t>
  </si>
  <si>
    <t xml:space="preserve">3424FS</t>
  </si>
  <si>
    <t xml:space="preserve">MSP-3426</t>
  </si>
  <si>
    <t xml:space="preserve">1.5.1.3.4.5.6</t>
  </si>
  <si>
    <t xml:space="preserve">3425FS</t>
  </si>
  <si>
    <t xml:space="preserve">MSP-3427</t>
  </si>
  <si>
    <t xml:space="preserve">1.5.1.3.4.6</t>
  </si>
  <si>
    <t xml:space="preserve">MSP-3428</t>
  </si>
  <si>
    <t xml:space="preserve">1.5.1.3.4.6.1</t>
  </si>
  <si>
    <t xml:space="preserve">3415FS</t>
  </si>
  <si>
    <t xml:space="preserve">MSP-3429</t>
  </si>
  <si>
    <t xml:space="preserve">1.5.1.3.4.6.2</t>
  </si>
  <si>
    <t xml:space="preserve">CODO 90º PVC-CL Ø 2" S/P</t>
  </si>
  <si>
    <t xml:space="preserve">3428FS</t>
  </si>
  <si>
    <t xml:space="preserve">MSP-3430</t>
  </si>
  <si>
    <t xml:space="preserve">1.5.1.3.4.6.3</t>
  </si>
  <si>
    <t xml:space="preserve">3429FS</t>
  </si>
  <si>
    <t xml:space="preserve">MSP-3431</t>
  </si>
  <si>
    <t xml:space="preserve">1.5.1.3.4.6.4</t>
  </si>
  <si>
    <t xml:space="preserve">3430FS</t>
  </si>
  <si>
    <t xml:space="preserve">MSP-3432</t>
  </si>
  <si>
    <t xml:space="preserve">1.5.1.4</t>
  </si>
  <si>
    <t xml:space="preserve">MSP-3433</t>
  </si>
  <si>
    <t xml:space="preserve">1.5.1.4.1</t>
  </si>
  <si>
    <t xml:space="preserve">MSP-3434</t>
  </si>
  <si>
    <t xml:space="preserve">1.5.1.4.1.1</t>
  </si>
  <si>
    <t xml:space="preserve">MSP-3435</t>
  </si>
  <si>
    <t xml:space="preserve">1.5.1.4.1.1.1</t>
  </si>
  <si>
    <t xml:space="preserve">MSP-3436</t>
  </si>
  <si>
    <t xml:space="preserve">1.5.1.4.1.1.2</t>
  </si>
  <si>
    <t xml:space="preserve">3435FF</t>
  </si>
  <si>
    <t xml:space="preserve">MSP-3437</t>
  </si>
  <si>
    <t xml:space="preserve">1.5.1.4.1.1.3</t>
  </si>
  <si>
    <t xml:space="preserve">3436FF</t>
  </si>
  <si>
    <t xml:space="preserve">MSP-3438</t>
  </si>
  <si>
    <t xml:space="preserve">1.5.1.4.1.2</t>
  </si>
  <si>
    <t xml:space="preserve">MSP-3439</t>
  </si>
  <si>
    <t xml:space="preserve">1.5.1.4.1.2.1</t>
  </si>
  <si>
    <t xml:space="preserve">3437FF</t>
  </si>
  <si>
    <t xml:space="preserve">MSP-3440</t>
  </si>
  <si>
    <t xml:space="preserve">1.5.1.4.1.2.2</t>
  </si>
  <si>
    <t xml:space="preserve">3439FF</t>
  </si>
  <si>
    <t xml:space="preserve">MSP-3441</t>
  </si>
  <si>
    <t xml:space="preserve">1.5.1.4.1.2.3</t>
  </si>
  <si>
    <t xml:space="preserve">3440FF</t>
  </si>
  <si>
    <t xml:space="preserve">MSP-3442</t>
  </si>
  <si>
    <t xml:space="preserve">1.5.1.4.2</t>
  </si>
  <si>
    <t xml:space="preserve">MSP-3443</t>
  </si>
  <si>
    <t xml:space="preserve">1.5.1.4.2.1</t>
  </si>
  <si>
    <t xml:space="preserve">MSP-3444</t>
  </si>
  <si>
    <t xml:space="preserve">1.5.1.4.2.1.1</t>
  </si>
  <si>
    <t xml:space="preserve">MSP-3445</t>
  </si>
  <si>
    <t xml:space="preserve">1.5.1.4.2.2</t>
  </si>
  <si>
    <t xml:space="preserve">MSP-3446</t>
  </si>
  <si>
    <t xml:space="preserve">1.5.1.4.2.2.1</t>
  </si>
  <si>
    <t xml:space="preserve">3444FS</t>
  </si>
  <si>
    <t xml:space="preserve">MSP-3447</t>
  </si>
  <si>
    <t xml:space="preserve">1.5.1.4.2.2.2</t>
  </si>
  <si>
    <t xml:space="preserve">3446FS</t>
  </si>
  <si>
    <t xml:space="preserve">MSP-3448</t>
  </si>
  <si>
    <t xml:space="preserve">1.5.1.4.2.2.3</t>
  </si>
  <si>
    <t xml:space="preserve">3447FS</t>
  </si>
  <si>
    <t xml:space="preserve">MSP-3449</t>
  </si>
  <si>
    <t xml:space="preserve">1.5.1.4.2.2.4</t>
  </si>
  <si>
    <t xml:space="preserve">3448FS</t>
  </si>
  <si>
    <t xml:space="preserve">MSP-3450</t>
  </si>
  <si>
    <t xml:space="preserve">1.5.1.4.2.2.5</t>
  </si>
  <si>
    <t xml:space="preserve">3470FS</t>
  </si>
  <si>
    <t xml:space="preserve">MSP-3451</t>
  </si>
  <si>
    <t xml:space="preserve">1.5.1.4.2.2.6</t>
  </si>
  <si>
    <t xml:space="preserve">3450FS</t>
  </si>
  <si>
    <t xml:space="preserve">MSP-3452</t>
  </si>
  <si>
    <t xml:space="preserve">1.5.1.4.2.2.7</t>
  </si>
  <si>
    <t xml:space="preserve">3450SS</t>
  </si>
  <si>
    <t xml:space="preserve">MSP-3453</t>
  </si>
  <si>
    <t xml:space="preserve">1.5.1.4.2.2.8</t>
  </si>
  <si>
    <t xml:space="preserve">3451FS</t>
  </si>
  <si>
    <t xml:space="preserve">MSP-3454</t>
  </si>
  <si>
    <t xml:space="preserve">1.5.1.4.2.3</t>
  </si>
  <si>
    <t xml:space="preserve">MSP-3455</t>
  </si>
  <si>
    <t xml:space="preserve">1.5.1.4.2.3.1</t>
  </si>
  <si>
    <t xml:space="preserve">3453FS</t>
  </si>
  <si>
    <t xml:space="preserve">MSP-3456</t>
  </si>
  <si>
    <t xml:space="preserve">1.5.1.4.2.4</t>
  </si>
  <si>
    <t xml:space="preserve">MSP-3457</t>
  </si>
  <si>
    <t xml:space="preserve">1.5.1.4.2.4.1</t>
  </si>
  <si>
    <t xml:space="preserve">MSP-3458</t>
  </si>
  <si>
    <t xml:space="preserve">1.5.1.4.2.4.2</t>
  </si>
  <si>
    <t xml:space="preserve">3457FS</t>
  </si>
  <si>
    <t xml:space="preserve">MSP-3459</t>
  </si>
  <si>
    <t xml:space="preserve">1.5.1.4.2.4.3</t>
  </si>
  <si>
    <t xml:space="preserve">MSP-3460</t>
  </si>
  <si>
    <t xml:space="preserve">1.5.1.4.2.5</t>
  </si>
  <si>
    <t xml:space="preserve">MSP-3461</t>
  </si>
  <si>
    <t xml:space="preserve">1.5.1.4.2.5.1</t>
  </si>
  <si>
    <t xml:space="preserve">3458FS</t>
  </si>
  <si>
    <t xml:space="preserve">MSP-3462</t>
  </si>
  <si>
    <t xml:space="preserve">1.5.1.4.2.5.2</t>
  </si>
  <si>
    <t xml:space="preserve">3461FS</t>
  </si>
  <si>
    <t xml:space="preserve">MSP-3463</t>
  </si>
  <si>
    <t xml:space="preserve">1.5.1.4.2.5.3</t>
  </si>
  <si>
    <t xml:space="preserve">3462FS</t>
  </si>
  <si>
    <t xml:space="preserve">MSP-3464</t>
  </si>
  <si>
    <t xml:space="preserve">1.5.1.4.2.5.4</t>
  </si>
  <si>
    <t xml:space="preserve">3463FS</t>
  </si>
  <si>
    <t xml:space="preserve">MSP-3465</t>
  </si>
  <si>
    <t xml:space="preserve">1.5.1.4.2.5.5</t>
  </si>
  <si>
    <t xml:space="preserve">3464FS</t>
  </si>
  <si>
    <t xml:space="preserve">MSP-3466</t>
  </si>
  <si>
    <t xml:space="preserve">1.5.1.4.2.6</t>
  </si>
  <si>
    <t xml:space="preserve">MSP-3467</t>
  </si>
  <si>
    <t xml:space="preserve">1.5.1.4.2.6.1</t>
  </si>
  <si>
    <t xml:space="preserve">3465FS</t>
  </si>
  <si>
    <t xml:space="preserve">MSP-3468</t>
  </si>
  <si>
    <t xml:space="preserve">1.5.1.4.2.6.2</t>
  </si>
  <si>
    <t xml:space="preserve">3467FS</t>
  </si>
  <si>
    <t xml:space="preserve">MSP-3469</t>
  </si>
  <si>
    <t xml:space="preserve">1.5.1.4.2.7</t>
  </si>
  <si>
    <t xml:space="preserve">MSP-3470</t>
  </si>
  <si>
    <t xml:space="preserve">1.5.1.4.2.7.1</t>
  </si>
  <si>
    <t xml:space="preserve">3468FS</t>
  </si>
  <si>
    <t xml:space="preserve">MSP-3471</t>
  </si>
  <si>
    <t xml:space="preserve">1.5.1.4.3</t>
  </si>
  <si>
    <t xml:space="preserve">MSP-3472</t>
  </si>
  <si>
    <t xml:space="preserve">1.5.1.4.3.1</t>
  </si>
  <si>
    <t xml:space="preserve">MSP-3473</t>
  </si>
  <si>
    <t xml:space="preserve">1.5.1.4.3.1.1</t>
  </si>
  <si>
    <t xml:space="preserve">MSP-3474</t>
  </si>
  <si>
    <t xml:space="preserve">1.5.1.4.3.2</t>
  </si>
  <si>
    <t xml:space="preserve">MSP-3475</t>
  </si>
  <si>
    <t xml:space="preserve">1.5.1.4.3.2.1</t>
  </si>
  <si>
    <t xml:space="preserve">3473FS</t>
  </si>
  <si>
    <t xml:space="preserve">MSP-3476</t>
  </si>
  <si>
    <t xml:space="preserve">1.5.1.4.3.2.2</t>
  </si>
  <si>
    <t xml:space="preserve">3475FS</t>
  </si>
  <si>
    <t xml:space="preserve">MSP-3477</t>
  </si>
  <si>
    <t xml:space="preserve">1.5.1.4.3.2.3</t>
  </si>
  <si>
    <t xml:space="preserve">3476FS</t>
  </si>
  <si>
    <t xml:space="preserve">MSP-3478</t>
  </si>
  <si>
    <t xml:space="preserve">1.5.1.4.3.2.4</t>
  </si>
  <si>
    <t xml:space="preserve">3477FS</t>
  </si>
  <si>
    <t xml:space="preserve">MSP-3479</t>
  </si>
  <si>
    <t xml:space="preserve">1.5.1.4.3.2.5</t>
  </si>
  <si>
    <t xml:space="preserve">3490FS</t>
  </si>
  <si>
    <t xml:space="preserve">MSP-3480</t>
  </si>
  <si>
    <t xml:space="preserve">1.5.1.4.3.2.6</t>
  </si>
  <si>
    <t xml:space="preserve">3479FS</t>
  </si>
  <si>
    <t xml:space="preserve">MSP-3481</t>
  </si>
  <si>
    <t xml:space="preserve">1.5.1.4.3.2.7</t>
  </si>
  <si>
    <t xml:space="preserve">3479SS</t>
  </si>
  <si>
    <t xml:space="preserve">MSP-3482</t>
  </si>
  <si>
    <t xml:space="preserve">1.5.1.4.3.2.8</t>
  </si>
  <si>
    <t xml:space="preserve">3480FS</t>
  </si>
  <si>
    <t xml:space="preserve">MSP-3483</t>
  </si>
  <si>
    <t xml:space="preserve">1.5.1.4.3.3</t>
  </si>
  <si>
    <t xml:space="preserve">MSP-3484</t>
  </si>
  <si>
    <t xml:space="preserve">1.5.1.4.3.3.1</t>
  </si>
  <si>
    <t xml:space="preserve">MSP-3485</t>
  </si>
  <si>
    <t xml:space="preserve">1.5.1.4.3.4</t>
  </si>
  <si>
    <t xml:space="preserve">MSP-3486</t>
  </si>
  <si>
    <t xml:space="preserve">1.5.1.4.3.4.1</t>
  </si>
  <si>
    <t xml:space="preserve">3484FS</t>
  </si>
  <si>
    <t xml:space="preserve">MSP-3487</t>
  </si>
  <si>
    <t xml:space="preserve">1.5.1.4.3.4.2</t>
  </si>
  <si>
    <t xml:space="preserve">3486FS</t>
  </si>
  <si>
    <t xml:space="preserve">MSP-3488</t>
  </si>
  <si>
    <t xml:space="preserve">1.5.1.4.3.4.3</t>
  </si>
  <si>
    <t xml:space="preserve">3487FS</t>
  </si>
  <si>
    <t xml:space="preserve">MSP-3489</t>
  </si>
  <si>
    <t xml:space="preserve">1.5.1.4.3.5</t>
  </si>
  <si>
    <t xml:space="preserve">CANALETA EN TECHO</t>
  </si>
  <si>
    <t xml:space="preserve">MSP-3490</t>
  </si>
  <si>
    <t xml:space="preserve">1.5.1.4.3.5.1</t>
  </si>
  <si>
    <t xml:space="preserve">3488FS</t>
  </si>
  <si>
    <t xml:space="preserve">MSP-3491</t>
  </si>
  <si>
    <t xml:space="preserve">1.5.1.4.4</t>
  </si>
  <si>
    <t xml:space="preserve">MSP-3492</t>
  </si>
  <si>
    <t xml:space="preserve">1.5.1.4.4.1</t>
  </si>
  <si>
    <t xml:space="preserve">MSP-3493</t>
  </si>
  <si>
    <t xml:space="preserve">1.5.1.4.4.1.1</t>
  </si>
  <si>
    <t xml:space="preserve">MSP-3494</t>
  </si>
  <si>
    <t xml:space="preserve">1.5.1.4.4.2</t>
  </si>
  <si>
    <t xml:space="preserve">MSP-3495</t>
  </si>
  <si>
    <t xml:space="preserve">1.5.1.4.4.2.1</t>
  </si>
  <si>
    <t xml:space="preserve">3493FS</t>
  </si>
  <si>
    <t xml:space="preserve">MSP-3496</t>
  </si>
  <si>
    <t xml:space="preserve">1.5.1.4.4.2.2</t>
  </si>
  <si>
    <t xml:space="preserve">3495FS</t>
  </si>
  <si>
    <t xml:space="preserve">MSP-3497</t>
  </si>
  <si>
    <t xml:space="preserve">1.5.1.4.4.2.3</t>
  </si>
  <si>
    <t xml:space="preserve">3496FS</t>
  </si>
  <si>
    <t xml:space="preserve">MSP-3498</t>
  </si>
  <si>
    <t xml:space="preserve">1.5.1.4.4.2.4</t>
  </si>
  <si>
    <t xml:space="preserve">3497FS</t>
  </si>
  <si>
    <t xml:space="preserve">MSP-3499</t>
  </si>
  <si>
    <t xml:space="preserve">1.5.1.4.4.2.5</t>
  </si>
  <si>
    <t xml:space="preserve">3498FS</t>
  </si>
  <si>
    <t xml:space="preserve">MSP-3500</t>
  </si>
  <si>
    <t xml:space="preserve">1.5.1.4.4.2.6</t>
  </si>
  <si>
    <t xml:space="preserve">3499FS</t>
  </si>
  <si>
    <t xml:space="preserve">MSP-3501</t>
  </si>
  <si>
    <t xml:space="preserve">1.5.1.4.4.2.7</t>
  </si>
  <si>
    <t xml:space="preserve">3500FS</t>
  </si>
  <si>
    <t xml:space="preserve">MSP-3502</t>
  </si>
  <si>
    <t xml:space="preserve">1.5.1.4.4.2.8</t>
  </si>
  <si>
    <t xml:space="preserve">3501FS</t>
  </si>
  <si>
    <t xml:space="preserve">MSP-3503</t>
  </si>
  <si>
    <t xml:space="preserve">1.5.1.4.4.3</t>
  </si>
  <si>
    <t xml:space="preserve">MSP-3504</t>
  </si>
  <si>
    <t xml:space="preserve">1.5.1.4.4.3.1</t>
  </si>
  <si>
    <t xml:space="preserve">3502FS</t>
  </si>
  <si>
    <t xml:space="preserve">MSP-3505</t>
  </si>
  <si>
    <t xml:space="preserve">1.5.1.4.4.3.2</t>
  </si>
  <si>
    <t xml:space="preserve">3504FS</t>
  </si>
  <si>
    <t xml:space="preserve">MSP-3506</t>
  </si>
  <si>
    <t xml:space="preserve">1.5.1.4.4.4</t>
  </si>
  <si>
    <t xml:space="preserve">MSP-3507</t>
  </si>
  <si>
    <t xml:space="preserve">1.5.1.4.4.4.1</t>
  </si>
  <si>
    <t xml:space="preserve">3505FS</t>
  </si>
  <si>
    <t xml:space="preserve">MSP-3508</t>
  </si>
  <si>
    <t xml:space="preserve">1.5.1.4.4.4.2</t>
  </si>
  <si>
    <t xml:space="preserve">3507FS</t>
  </si>
  <si>
    <t xml:space="preserve">MSP-3509</t>
  </si>
  <si>
    <t xml:space="preserve">1.5.1.4.4.4.3</t>
  </si>
  <si>
    <t xml:space="preserve">3508FS</t>
  </si>
  <si>
    <t xml:space="preserve">MSP-3510</t>
  </si>
  <si>
    <t xml:space="preserve">1.5.1.4.4.4.4</t>
  </si>
  <si>
    <t xml:space="preserve">MSP-3511</t>
  </si>
  <si>
    <t xml:space="preserve">1.5.1.4.4.5</t>
  </si>
  <si>
    <t xml:space="preserve">MSP-3512</t>
  </si>
  <si>
    <t xml:space="preserve">1.5.1.4.4.5.1</t>
  </si>
  <si>
    <t xml:space="preserve">3509FS</t>
  </si>
  <si>
    <t xml:space="preserve">MSP-3513</t>
  </si>
  <si>
    <t xml:space="preserve">1.5.1.4.4.5.2</t>
  </si>
  <si>
    <t xml:space="preserve">3512FS</t>
  </si>
  <si>
    <t xml:space="preserve">MSP-3514</t>
  </si>
  <si>
    <t xml:space="preserve">1.5.1.4.4.5.3</t>
  </si>
  <si>
    <t xml:space="preserve">3513FS</t>
  </si>
  <si>
    <t xml:space="preserve">MSP-3515</t>
  </si>
  <si>
    <t xml:space="preserve">1.5.1.4.4.5.4</t>
  </si>
  <si>
    <t xml:space="preserve">3514FS</t>
  </si>
  <si>
    <t xml:space="preserve">MSP-3516</t>
  </si>
  <si>
    <t xml:space="preserve">1.5.1.4.4.5.5</t>
  </si>
  <si>
    <t xml:space="preserve">3515FS</t>
  </si>
  <si>
    <t xml:space="preserve">MSP-3517</t>
  </si>
  <si>
    <t xml:space="preserve">1.5.1.4.4.5.6</t>
  </si>
  <si>
    <t xml:space="preserve">3516FS</t>
  </si>
  <si>
    <t xml:space="preserve">MSP-3518</t>
  </si>
  <si>
    <t xml:space="preserve">1.5.1.4.4.5.7</t>
  </si>
  <si>
    <t xml:space="preserve">3517FS</t>
  </si>
  <si>
    <t xml:space="preserve">MSP-3519</t>
  </si>
  <si>
    <t xml:space="preserve">1.5.1.4.4.6</t>
  </si>
  <si>
    <t xml:space="preserve">MSP-3520</t>
  </si>
  <si>
    <t xml:space="preserve">1.5.1.4.4.6.1</t>
  </si>
  <si>
    <t xml:space="preserve">MSP-3521</t>
  </si>
  <si>
    <t xml:space="preserve">1.5.1.4.4.6.2</t>
  </si>
  <si>
    <t xml:space="preserve">3520FS</t>
  </si>
  <si>
    <t xml:space="preserve">MSP-3522</t>
  </si>
  <si>
    <t xml:space="preserve">1.5.1.4.4.6.3</t>
  </si>
  <si>
    <t xml:space="preserve">3521FS</t>
  </si>
  <si>
    <t xml:space="preserve">MSP-3523</t>
  </si>
  <si>
    <t xml:space="preserve">1.5.1.4.4.6.4</t>
  </si>
  <si>
    <t xml:space="preserve">3522FS</t>
  </si>
  <si>
    <t xml:space="preserve">MSP-3524</t>
  </si>
  <si>
    <t xml:space="preserve">1.5.1.5</t>
  </si>
  <si>
    <t xml:space="preserve">MSP-3525</t>
  </si>
  <si>
    <t xml:space="preserve">1.5.1.5.1</t>
  </si>
  <si>
    <t xml:space="preserve">MSP-3526</t>
  </si>
  <si>
    <t xml:space="preserve">1.5.1.5.1.1</t>
  </si>
  <si>
    <t xml:space="preserve">MSP-3527</t>
  </si>
  <si>
    <t xml:space="preserve">1.5.1.5.1.1.1</t>
  </si>
  <si>
    <t xml:space="preserve">MSP-3528</t>
  </si>
  <si>
    <t xml:space="preserve">1.5.1.5.1.1.2</t>
  </si>
  <si>
    <t xml:space="preserve">3527FF</t>
  </si>
  <si>
    <t xml:space="preserve">MSP-3529</t>
  </si>
  <si>
    <t xml:space="preserve">1.5.1.5.1.1.3</t>
  </si>
  <si>
    <t xml:space="preserve">LAVAMANOS TIPO FONTANA O SIMILAR SIN PEDESTAL DE LOZA VITRIFICADA COLOR BLANCO</t>
  </si>
  <si>
    <t xml:space="preserve">3528FF</t>
  </si>
  <si>
    <t xml:space="preserve">MSP-3530</t>
  </si>
  <si>
    <t xml:space="preserve">1.5.1.5.1.1.4</t>
  </si>
  <si>
    <t xml:space="preserve">3529FF</t>
  </si>
  <si>
    <t xml:space="preserve">MSP-3531</t>
  </si>
  <si>
    <t xml:space="preserve">1.5.1.5.1.2</t>
  </si>
  <si>
    <t xml:space="preserve">MSP-3532</t>
  </si>
  <si>
    <t xml:space="preserve">1.5.1.5.1.2.1</t>
  </si>
  <si>
    <t xml:space="preserve">3530FF</t>
  </si>
  <si>
    <t xml:space="preserve">MSP-3533</t>
  </si>
  <si>
    <t xml:space="preserve">1.5.1.5.1.2.2</t>
  </si>
  <si>
    <t xml:space="preserve">3532FF</t>
  </si>
  <si>
    <t xml:space="preserve">MSP-3534</t>
  </si>
  <si>
    <t xml:space="preserve">1.5.1.5.1.2.3</t>
  </si>
  <si>
    <t xml:space="preserve">3533FF</t>
  </si>
  <si>
    <t xml:space="preserve">MSP-3535</t>
  </si>
  <si>
    <t xml:space="preserve">1.5.1.5.2</t>
  </si>
  <si>
    <t xml:space="preserve">MSP-3536</t>
  </si>
  <si>
    <t xml:space="preserve">1.5.1.5.2.1</t>
  </si>
  <si>
    <t xml:space="preserve">MSP-3537</t>
  </si>
  <si>
    <t xml:space="preserve">1.5.1.5.2.1.1</t>
  </si>
  <si>
    <t xml:space="preserve">MSP-3538</t>
  </si>
  <si>
    <t xml:space="preserve">1.5.1.5.2.2</t>
  </si>
  <si>
    <t xml:space="preserve">MSP-3539</t>
  </si>
  <si>
    <t xml:space="preserve">1.5.1.5.2.2.1</t>
  </si>
  <si>
    <t xml:space="preserve">3537FS</t>
  </si>
  <si>
    <t xml:space="preserve">MSP-3540</t>
  </si>
  <si>
    <t xml:space="preserve">1.5.1.5.2.2.2</t>
  </si>
  <si>
    <t xml:space="preserve">3539FS</t>
  </si>
  <si>
    <t xml:space="preserve">MSP-3541</t>
  </si>
  <si>
    <t xml:space="preserve">1.5.1.5.2.2.3</t>
  </si>
  <si>
    <t xml:space="preserve">3540FS</t>
  </si>
  <si>
    <t xml:space="preserve">MSP-3542</t>
  </si>
  <si>
    <t xml:space="preserve">1.5.1.5.2.2.4</t>
  </si>
  <si>
    <t xml:space="preserve">3541FS</t>
  </si>
  <si>
    <t xml:space="preserve">MSP-3543</t>
  </si>
  <si>
    <t xml:space="preserve">1.5.1.5.2.2.5</t>
  </si>
  <si>
    <t xml:space="preserve">MSP-3544</t>
  </si>
  <si>
    <t xml:space="preserve">1.5.1.5.2.2.6</t>
  </si>
  <si>
    <t xml:space="preserve">3543FS</t>
  </si>
  <si>
    <t xml:space="preserve">MSP-3545</t>
  </si>
  <si>
    <t xml:space="preserve">1.5.1.5.2.2.7</t>
  </si>
  <si>
    <t xml:space="preserve">3543SS</t>
  </si>
  <si>
    <t xml:space="preserve">MSP-3546</t>
  </si>
  <si>
    <t xml:space="preserve">1.5.1.5.2.2.8</t>
  </si>
  <si>
    <t xml:space="preserve">3544FS</t>
  </si>
  <si>
    <t xml:space="preserve">MSP-3547</t>
  </si>
  <si>
    <t xml:space="preserve">1.5.1.5.2.3</t>
  </si>
  <si>
    <t xml:space="preserve">MSP-3548</t>
  </si>
  <si>
    <t xml:space="preserve">1.5.1.5.2.3.1</t>
  </si>
  <si>
    <t xml:space="preserve">3546FS</t>
  </si>
  <si>
    <t xml:space="preserve">MSP-3549</t>
  </si>
  <si>
    <t xml:space="preserve">1.5.1.5.2.4</t>
  </si>
  <si>
    <t xml:space="preserve">MSP-3550</t>
  </si>
  <si>
    <t xml:space="preserve">1.5.1.5.2.4.1</t>
  </si>
  <si>
    <t xml:space="preserve">TUBERÍA PVC Ø 1 1/2 " C/R. CLASE 10</t>
  </si>
  <si>
    <t xml:space="preserve">MSP-3551</t>
  </si>
  <si>
    <t xml:space="preserve">1.5.1.5.2.4.2</t>
  </si>
  <si>
    <t xml:space="preserve">3550FS</t>
  </si>
  <si>
    <t xml:space="preserve">MSP-3552</t>
  </si>
  <si>
    <t xml:space="preserve">1.5.1.5.2.4.3</t>
  </si>
  <si>
    <t xml:space="preserve">3551FS</t>
  </si>
  <si>
    <t xml:space="preserve">MSP-3553</t>
  </si>
  <si>
    <t xml:space="preserve">1.5.1.5.2.4.4</t>
  </si>
  <si>
    <t xml:space="preserve">MSP-3554</t>
  </si>
  <si>
    <t xml:space="preserve">1.5.1.5.2.5</t>
  </si>
  <si>
    <t xml:space="preserve">MSP-3555</t>
  </si>
  <si>
    <t xml:space="preserve">1.5.1.5.2.5.1</t>
  </si>
  <si>
    <t xml:space="preserve">TEE PVC Ø 1 1/2"x1 1/2" C/R. C-10</t>
  </si>
  <si>
    <t xml:space="preserve">3552FS</t>
  </si>
  <si>
    <t xml:space="preserve">MSP-3556</t>
  </si>
  <si>
    <t xml:space="preserve">1.5.1.5.2.5.2</t>
  </si>
  <si>
    <t xml:space="preserve">3555FS</t>
  </si>
  <si>
    <t xml:space="preserve">MSP-3557</t>
  </si>
  <si>
    <t xml:space="preserve">1.5.1.5.2.5.3</t>
  </si>
  <si>
    <t xml:space="preserve">3556FS</t>
  </si>
  <si>
    <t xml:space="preserve">MSP-3558</t>
  </si>
  <si>
    <t xml:space="preserve">1.5.1.5.2.5.4</t>
  </si>
  <si>
    <t xml:space="preserve">REDUCCIÓN PVC Ø 1 1/2" a 1 1/4" C/R. C-10</t>
  </si>
  <si>
    <t xml:space="preserve">3557FS</t>
  </si>
  <si>
    <t xml:space="preserve">MSP-3559</t>
  </si>
  <si>
    <t xml:space="preserve">1.5.1.5.2.5.5</t>
  </si>
  <si>
    <t xml:space="preserve">REDUCCIÓN PVC Ø 1 1/2" a 3/4" C/R. C-10</t>
  </si>
  <si>
    <t xml:space="preserve">3558FS</t>
  </si>
  <si>
    <t xml:space="preserve">MSP-3560</t>
  </si>
  <si>
    <t xml:space="preserve">1.5.1.5.2.5.6</t>
  </si>
  <si>
    <t xml:space="preserve">3559FS</t>
  </si>
  <si>
    <t xml:space="preserve">MSP-3561</t>
  </si>
  <si>
    <t xml:space="preserve">1.5.1.5.2.5.7</t>
  </si>
  <si>
    <t xml:space="preserve">CODO PVC Ø 1 1/2 " x 90º C/R. C-10</t>
  </si>
  <si>
    <t xml:space="preserve">3560FS</t>
  </si>
  <si>
    <t xml:space="preserve">MSP-3562</t>
  </si>
  <si>
    <t xml:space="preserve">1.5.1.5.2.5.8</t>
  </si>
  <si>
    <t xml:space="preserve">3561FS</t>
  </si>
  <si>
    <t xml:space="preserve">MSP-3563</t>
  </si>
  <si>
    <t xml:space="preserve">1.5.1.5.2.5.9</t>
  </si>
  <si>
    <t xml:space="preserve">3562FS</t>
  </si>
  <si>
    <t xml:space="preserve">MSP-3564</t>
  </si>
  <si>
    <t xml:space="preserve">1.5.1.5.2.6</t>
  </si>
  <si>
    <t xml:space="preserve">MSP-3565</t>
  </si>
  <si>
    <t xml:space="preserve">1.5.1.5.2.6.1</t>
  </si>
  <si>
    <t xml:space="preserve">3563FS</t>
  </si>
  <si>
    <t xml:space="preserve">MSP-3566</t>
  </si>
  <si>
    <t xml:space="preserve">1.5.1.5.2.7</t>
  </si>
  <si>
    <t xml:space="preserve">MSP-3567</t>
  </si>
  <si>
    <t xml:space="preserve">1.5.1.5.2.7.1</t>
  </si>
  <si>
    <t xml:space="preserve">3565FS</t>
  </si>
  <si>
    <t xml:space="preserve">MSP-3568</t>
  </si>
  <si>
    <t xml:space="preserve">1.5.1.5.3</t>
  </si>
  <si>
    <t xml:space="preserve">MSP-3569</t>
  </si>
  <si>
    <t xml:space="preserve">1.5.1.5.3.1</t>
  </si>
  <si>
    <t xml:space="preserve">MSP-3570</t>
  </si>
  <si>
    <t xml:space="preserve">1.5.1.5.3.1.1</t>
  </si>
  <si>
    <t xml:space="preserve">3567FS</t>
  </si>
  <si>
    <t xml:space="preserve">MSP-3571</t>
  </si>
  <si>
    <t xml:space="preserve">1.5.1.5.3.2</t>
  </si>
  <si>
    <t xml:space="preserve">MSP-3572</t>
  </si>
  <si>
    <t xml:space="preserve">1.5.1.5.3.2.1</t>
  </si>
  <si>
    <t xml:space="preserve">3570FS</t>
  </si>
  <si>
    <t xml:space="preserve">MSP-3573</t>
  </si>
  <si>
    <t xml:space="preserve">1.5.1.5.3.2.2</t>
  </si>
  <si>
    <t xml:space="preserve">3572FS</t>
  </si>
  <si>
    <t xml:space="preserve">MSP-3574</t>
  </si>
  <si>
    <t xml:space="preserve">1.5.1.5.3.2.3</t>
  </si>
  <si>
    <t xml:space="preserve">3573FS</t>
  </si>
  <si>
    <t xml:space="preserve">MSP-3575</t>
  </si>
  <si>
    <t xml:space="preserve">1.5.1.5.3.2.4</t>
  </si>
  <si>
    <t xml:space="preserve">3574FS</t>
  </si>
  <si>
    <t xml:space="preserve">MSP-3576</t>
  </si>
  <si>
    <t xml:space="preserve">1.5.1.5.3.2.5</t>
  </si>
  <si>
    <t xml:space="preserve">3587FS</t>
  </si>
  <si>
    <t xml:space="preserve">MSP-3577</t>
  </si>
  <si>
    <t xml:space="preserve">1.5.1.5.3.2.6</t>
  </si>
  <si>
    <t xml:space="preserve">3576FS</t>
  </si>
  <si>
    <t xml:space="preserve">MSP-3578</t>
  </si>
  <si>
    <t xml:space="preserve">1.5.1.5.3.2.7</t>
  </si>
  <si>
    <t xml:space="preserve">3576SS</t>
  </si>
  <si>
    <t xml:space="preserve">MSP-3579</t>
  </si>
  <si>
    <t xml:space="preserve">1.5.1.5.3.2.8</t>
  </si>
  <si>
    <t xml:space="preserve">3577FS</t>
  </si>
  <si>
    <t xml:space="preserve">MSP-3580</t>
  </si>
  <si>
    <t xml:space="preserve">1.5.1.5.3.3</t>
  </si>
  <si>
    <t xml:space="preserve">MSP-3581</t>
  </si>
  <si>
    <t xml:space="preserve">1.5.1.5.3.3.1</t>
  </si>
  <si>
    <t xml:space="preserve">MSP-3582</t>
  </si>
  <si>
    <t xml:space="preserve">1.5.1.5.3.4</t>
  </si>
  <si>
    <t xml:space="preserve">MSP-3583</t>
  </si>
  <si>
    <t xml:space="preserve">1.5.1.5.3.4.1</t>
  </si>
  <si>
    <t xml:space="preserve">3581FS</t>
  </si>
  <si>
    <t xml:space="preserve">MSP-3584</t>
  </si>
  <si>
    <t xml:space="preserve">1.5.1.5.3.4.2</t>
  </si>
  <si>
    <t xml:space="preserve">3583FS</t>
  </si>
  <si>
    <t xml:space="preserve">MSP-3585</t>
  </si>
  <si>
    <t xml:space="preserve">1.5.1.5.3.4.3</t>
  </si>
  <si>
    <t xml:space="preserve">3584FS</t>
  </si>
  <si>
    <t xml:space="preserve">MSP-3586</t>
  </si>
  <si>
    <t xml:space="preserve">1.5.1.5.3.4.4</t>
  </si>
  <si>
    <t xml:space="preserve">3585FS</t>
  </si>
  <si>
    <t xml:space="preserve">MSP-3587</t>
  </si>
  <si>
    <t xml:space="preserve">1.5.1.5.3.4.5</t>
  </si>
  <si>
    <t xml:space="preserve">3586FS</t>
  </si>
  <si>
    <t xml:space="preserve">MSP-3588</t>
  </si>
  <si>
    <t xml:space="preserve">1.5.1.5.3.5</t>
  </si>
  <si>
    <t xml:space="preserve">MSP-3589</t>
  </si>
  <si>
    <t xml:space="preserve">1.5.1.5.3.5.1</t>
  </si>
  <si>
    <t xml:space="preserve">MSP-3590</t>
  </si>
  <si>
    <t xml:space="preserve">1.5.1.5.3.5.2</t>
  </si>
  <si>
    <t xml:space="preserve">3589FS</t>
  </si>
  <si>
    <t xml:space="preserve">MSP-3591</t>
  </si>
  <si>
    <t xml:space="preserve">1.5.1.5.3.5.3</t>
  </si>
  <si>
    <t xml:space="preserve">3592FS</t>
  </si>
  <si>
    <t xml:space="preserve">MSP-3592</t>
  </si>
  <si>
    <t xml:space="preserve">1.5.1.5.3.5.4</t>
  </si>
  <si>
    <t xml:space="preserve">3590FS</t>
  </si>
  <si>
    <t xml:space="preserve">MSP-3593</t>
  </si>
  <si>
    <t xml:space="preserve">1.5.1.5.3.6</t>
  </si>
  <si>
    <t xml:space="preserve">MSP-3594</t>
  </si>
  <si>
    <t xml:space="preserve">1.5.1.5.3.6.1</t>
  </si>
  <si>
    <t xml:space="preserve">MSP-3595</t>
  </si>
  <si>
    <t xml:space="preserve">1.5.1.5.3.6.2</t>
  </si>
  <si>
    <t xml:space="preserve">3594FS</t>
  </si>
  <si>
    <t xml:space="preserve">MSP-3596</t>
  </si>
  <si>
    <t xml:space="preserve">1.5.1.5.4</t>
  </si>
  <si>
    <t xml:space="preserve">MSP-3597</t>
  </si>
  <si>
    <t xml:space="preserve">1.5.1.5.4.1</t>
  </si>
  <si>
    <t xml:space="preserve">MSP-3598</t>
  </si>
  <si>
    <t xml:space="preserve">1.5.1.5.4.1.1</t>
  </si>
  <si>
    <t xml:space="preserve">MSP-3599</t>
  </si>
  <si>
    <t xml:space="preserve">1.5.1.5.4.2</t>
  </si>
  <si>
    <t xml:space="preserve">MSP-3600</t>
  </si>
  <si>
    <t xml:space="preserve">1.5.1.5.4.2.1</t>
  </si>
  <si>
    <t xml:space="preserve">3598FS</t>
  </si>
  <si>
    <t xml:space="preserve">MSP-3601</t>
  </si>
  <si>
    <t xml:space="preserve">1.5.1.5.4.2.2</t>
  </si>
  <si>
    <t xml:space="preserve">3600FS</t>
  </si>
  <si>
    <t xml:space="preserve">MSP-3602</t>
  </si>
  <si>
    <t xml:space="preserve">1.5.1.5.4.2.3</t>
  </si>
  <si>
    <t xml:space="preserve">3601FS</t>
  </si>
  <si>
    <t xml:space="preserve">MSP-3603</t>
  </si>
  <si>
    <t xml:space="preserve">1.5.1.5.4.2.4</t>
  </si>
  <si>
    <t xml:space="preserve">3602FS</t>
  </si>
  <si>
    <t xml:space="preserve">MSP-3604</t>
  </si>
  <si>
    <t xml:space="preserve">1.5.1.5.4.2.5</t>
  </si>
  <si>
    <t xml:space="preserve">3624FS</t>
  </si>
  <si>
    <t xml:space="preserve">MSP-3605</t>
  </si>
  <si>
    <t xml:space="preserve">1.5.1.5.4.2.6</t>
  </si>
  <si>
    <t xml:space="preserve">3604FS</t>
  </si>
  <si>
    <t xml:space="preserve">MSP-3606</t>
  </si>
  <si>
    <t xml:space="preserve">1.5.1.5.4.2.7</t>
  </si>
  <si>
    <t xml:space="preserve">3604SS</t>
  </si>
  <si>
    <t xml:space="preserve">MSP-3607</t>
  </si>
  <si>
    <t xml:space="preserve">1.5.1.5.4.2.8</t>
  </si>
  <si>
    <t xml:space="preserve">3605FS</t>
  </si>
  <si>
    <t xml:space="preserve">MSP-3608</t>
  </si>
  <si>
    <t xml:space="preserve">1.5.1.5.4.3</t>
  </si>
  <si>
    <t xml:space="preserve">MSP-3609</t>
  </si>
  <si>
    <t xml:space="preserve">1.5.1.5.4.3.1</t>
  </si>
  <si>
    <t xml:space="preserve">3607FS</t>
  </si>
  <si>
    <t xml:space="preserve">MSP-3610</t>
  </si>
  <si>
    <t xml:space="preserve">1.5.1.5.4.3.2</t>
  </si>
  <si>
    <t xml:space="preserve">3609FS</t>
  </si>
  <si>
    <t xml:space="preserve">MSP-3611</t>
  </si>
  <si>
    <t xml:space="preserve">1.5.1.5.4.4</t>
  </si>
  <si>
    <t xml:space="preserve">MSP-3612</t>
  </si>
  <si>
    <t xml:space="preserve">1.5.1.5.4.4.1</t>
  </si>
  <si>
    <t xml:space="preserve">MSP-3613</t>
  </si>
  <si>
    <t xml:space="preserve">1.5.1.5.4.4.2</t>
  </si>
  <si>
    <t xml:space="preserve">3612FS</t>
  </si>
  <si>
    <t xml:space="preserve">MSP-3614</t>
  </si>
  <si>
    <t xml:space="preserve">1.5.1.5.4.4.3</t>
  </si>
  <si>
    <t xml:space="preserve">MSP-3615</t>
  </si>
  <si>
    <t xml:space="preserve">1.5.1.5.4.5</t>
  </si>
  <si>
    <t xml:space="preserve">MSP-3616</t>
  </si>
  <si>
    <t xml:space="preserve">1.5.1.5.4.5.1</t>
  </si>
  <si>
    <t xml:space="preserve">3613FS</t>
  </si>
  <si>
    <t xml:space="preserve">MSP-3617</t>
  </si>
  <si>
    <t xml:space="preserve">1.5.1.5.4.5.2</t>
  </si>
  <si>
    <t xml:space="preserve">3616FS</t>
  </si>
  <si>
    <t xml:space="preserve">MSP-3618</t>
  </si>
  <si>
    <t xml:space="preserve">1.5.1.5.4.5.3</t>
  </si>
  <si>
    <t xml:space="preserve">3617FS</t>
  </si>
  <si>
    <t xml:space="preserve">MSP-3619</t>
  </si>
  <si>
    <t xml:space="preserve">1.5.1.5.4.5.4</t>
  </si>
  <si>
    <t xml:space="preserve">3618FS</t>
  </si>
  <si>
    <t xml:space="preserve">MSP-3620</t>
  </si>
  <si>
    <t xml:space="preserve">1.5.1.5.4.5.5</t>
  </si>
  <si>
    <t xml:space="preserve">3619FS</t>
  </si>
  <si>
    <t xml:space="preserve">MSP-3621</t>
  </si>
  <si>
    <t xml:space="preserve">1.5.1.5.4.5.6</t>
  </si>
  <si>
    <t xml:space="preserve">3620FS</t>
  </si>
  <si>
    <t xml:space="preserve">MSP-3622</t>
  </si>
  <si>
    <t xml:space="preserve">1.5.1.5.4.5.7</t>
  </si>
  <si>
    <t xml:space="preserve">3621FS</t>
  </si>
  <si>
    <t xml:space="preserve">MSP-3623</t>
  </si>
  <si>
    <t xml:space="preserve">1.5.1.5.4.5.8</t>
  </si>
  <si>
    <t xml:space="preserve">3622FS</t>
  </si>
  <si>
    <t xml:space="preserve">MSP-3624</t>
  </si>
  <si>
    <t xml:space="preserve">1.5.1.5.4.5.9</t>
  </si>
  <si>
    <t xml:space="preserve">3623FS</t>
  </si>
  <si>
    <t xml:space="preserve">MSP-3625</t>
  </si>
  <si>
    <t xml:space="preserve">1.5.1.5.4.6</t>
  </si>
  <si>
    <t xml:space="preserve">MSP-3626</t>
  </si>
  <si>
    <t xml:space="preserve">1.5.1.5.4.6.1</t>
  </si>
  <si>
    <t xml:space="preserve">3610FS</t>
  </si>
  <si>
    <t xml:space="preserve">MSP-3627</t>
  </si>
  <si>
    <t xml:space="preserve">1.5.1.5.4.6.2</t>
  </si>
  <si>
    <t xml:space="preserve">3626FS</t>
  </si>
  <si>
    <t xml:space="preserve">MSP-3628</t>
  </si>
  <si>
    <t xml:space="preserve">1.5.1.5.4.6.3</t>
  </si>
  <si>
    <t xml:space="preserve">3627FS</t>
  </si>
  <si>
    <t xml:space="preserve">MSP-3629</t>
  </si>
  <si>
    <t xml:space="preserve">1.5.1.6</t>
  </si>
  <si>
    <t xml:space="preserve">MSP-3630</t>
  </si>
  <si>
    <t xml:space="preserve">1.5.1.6.1</t>
  </si>
  <si>
    <t xml:space="preserve">MSP-3631</t>
  </si>
  <si>
    <t xml:space="preserve">1.5.1.6.1.1</t>
  </si>
  <si>
    <t xml:space="preserve">MSP-3632</t>
  </si>
  <si>
    <t xml:space="preserve">1.5.1.6.1.1.1</t>
  </si>
  <si>
    <t xml:space="preserve">MSP-3633</t>
  </si>
  <si>
    <t xml:space="preserve">1.5.1.6.1.1.2</t>
  </si>
  <si>
    <t xml:space="preserve">3632FF</t>
  </si>
  <si>
    <t xml:space="preserve">MSP-3634</t>
  </si>
  <si>
    <t xml:space="preserve">1.5.1.6.1.1.3</t>
  </si>
  <si>
    <t xml:space="preserve">3633FF</t>
  </si>
  <si>
    <t xml:space="preserve">MSP-3635</t>
  </si>
  <si>
    <t xml:space="preserve">1.5.1.6.1.2</t>
  </si>
  <si>
    <t xml:space="preserve">MSP-3636</t>
  </si>
  <si>
    <t xml:space="preserve">1.5.1.6.1.2.1</t>
  </si>
  <si>
    <t xml:space="preserve">3634FF</t>
  </si>
  <si>
    <t xml:space="preserve">MSP-3637</t>
  </si>
  <si>
    <t xml:space="preserve">1.5.1.6.1.2.2</t>
  </si>
  <si>
    <t xml:space="preserve">3636FF</t>
  </si>
  <si>
    <t xml:space="preserve">MSP-3638</t>
  </si>
  <si>
    <t xml:space="preserve">1.5.1.6.1.2.3</t>
  </si>
  <si>
    <t xml:space="preserve">3637FF</t>
  </si>
  <si>
    <t xml:space="preserve">MSP-3639</t>
  </si>
  <si>
    <t xml:space="preserve">1.5.1.6.2</t>
  </si>
  <si>
    <t xml:space="preserve">MSP-3640</t>
  </si>
  <si>
    <t xml:space="preserve">1.5.1.6.2.1</t>
  </si>
  <si>
    <t xml:space="preserve">MSP-3641</t>
  </si>
  <si>
    <t xml:space="preserve">1.5.1.6.2.1.1</t>
  </si>
  <si>
    <t xml:space="preserve">MSP-3642</t>
  </si>
  <si>
    <t xml:space="preserve">1.5.1.6.2.2</t>
  </si>
  <si>
    <t xml:space="preserve">MSP-3643</t>
  </si>
  <si>
    <t xml:space="preserve">1.5.1.6.2.2.1</t>
  </si>
  <si>
    <t xml:space="preserve">TUBERÍA PVC Ø 1 1/4" C/R. CLASE 10</t>
  </si>
  <si>
    <t xml:space="preserve">3641FS</t>
  </si>
  <si>
    <t xml:space="preserve">MSP-3644</t>
  </si>
  <si>
    <t xml:space="preserve">1.5.1.6.2.2.2</t>
  </si>
  <si>
    <t xml:space="preserve">3643FS</t>
  </si>
  <si>
    <t xml:space="preserve">MSP-3645</t>
  </si>
  <si>
    <t xml:space="preserve">1.5.1.6.2.2.3</t>
  </si>
  <si>
    <t xml:space="preserve">3644FS</t>
  </si>
  <si>
    <t xml:space="preserve">MSP-3646</t>
  </si>
  <si>
    <t xml:space="preserve">1.5.1.6.2.2.4</t>
  </si>
  <si>
    <t xml:space="preserve">3645FS</t>
  </si>
  <si>
    <t xml:space="preserve">MSP-3647</t>
  </si>
  <si>
    <t xml:space="preserve">1.5.1.6.2.2.5</t>
  </si>
  <si>
    <t xml:space="preserve">3665FS</t>
  </si>
  <si>
    <t xml:space="preserve">MSP-3648</t>
  </si>
  <si>
    <t xml:space="preserve">1.5.1.6.2.3</t>
  </si>
  <si>
    <t xml:space="preserve">MSP-3649</t>
  </si>
  <si>
    <t xml:space="preserve">1.5.1.6.2.3.1</t>
  </si>
  <si>
    <t xml:space="preserve">TEE PVC Ø 1 1/4"x1 1/4" C/R. C-10</t>
  </si>
  <si>
    <t xml:space="preserve">3646FS</t>
  </si>
  <si>
    <t xml:space="preserve">MSP-3650</t>
  </si>
  <si>
    <t xml:space="preserve">1.5.1.6.2.3.2</t>
  </si>
  <si>
    <t xml:space="preserve">3649FS</t>
  </si>
  <si>
    <t xml:space="preserve">MSP-3651</t>
  </si>
  <si>
    <t xml:space="preserve">1.5.1.6.2.3.3</t>
  </si>
  <si>
    <t xml:space="preserve">3650FS</t>
  </si>
  <si>
    <t xml:space="preserve">MSP-3652</t>
  </si>
  <si>
    <t xml:space="preserve">1.5.1.6.2.3.4</t>
  </si>
  <si>
    <t xml:space="preserve">3651FS</t>
  </si>
  <si>
    <t xml:space="preserve">MSP-3653</t>
  </si>
  <si>
    <t xml:space="preserve">1.5.1.6.2.3.5</t>
  </si>
  <si>
    <t xml:space="preserve">REDUCCIÓN PVC Ø 1 1/4" a 1" C/R. C-10</t>
  </si>
  <si>
    <t xml:space="preserve">3652FS</t>
  </si>
  <si>
    <t xml:space="preserve">MSP-3654</t>
  </si>
  <si>
    <t xml:space="preserve">1.5.1.6.2.3.6</t>
  </si>
  <si>
    <t xml:space="preserve">REDUCCIÓN PVC Ø 1 1/4" a 3/4" C/R. C-10</t>
  </si>
  <si>
    <t xml:space="preserve">3653FS</t>
  </si>
  <si>
    <t xml:space="preserve">MSP-3655</t>
  </si>
  <si>
    <t xml:space="preserve">1.5.1.6.2.3.7</t>
  </si>
  <si>
    <t xml:space="preserve">3654FS</t>
  </si>
  <si>
    <t xml:space="preserve">MSP-3656</t>
  </si>
  <si>
    <t xml:space="preserve">1.5.1.6.2.3.8</t>
  </si>
  <si>
    <t xml:space="preserve">3655FS</t>
  </si>
  <si>
    <t xml:space="preserve">MSP-3657</t>
  </si>
  <si>
    <t xml:space="preserve">1.5.1.6.2.3.9</t>
  </si>
  <si>
    <t xml:space="preserve">3656FS</t>
  </si>
  <si>
    <t xml:space="preserve">MSP-3658</t>
  </si>
  <si>
    <t xml:space="preserve">1.5.1.6.2.3.10</t>
  </si>
  <si>
    <t xml:space="preserve">3657FS</t>
  </si>
  <si>
    <t xml:space="preserve">MSP-3659</t>
  </si>
  <si>
    <t xml:space="preserve">1.5.1.6.2.3.11</t>
  </si>
  <si>
    <t xml:space="preserve">3658FS</t>
  </si>
  <si>
    <t xml:space="preserve">MSP-3660</t>
  </si>
  <si>
    <t xml:space="preserve">1.5.1.6.2.4</t>
  </si>
  <si>
    <t xml:space="preserve">MSP-3661</t>
  </si>
  <si>
    <t xml:space="preserve">1.5.1.6.2.4.1</t>
  </si>
  <si>
    <t xml:space="preserve">3659FS</t>
  </si>
  <si>
    <t xml:space="preserve">MSP-3662</t>
  </si>
  <si>
    <t xml:space="preserve">1.5.1.6.2.4.2</t>
  </si>
  <si>
    <t xml:space="preserve">3661FS</t>
  </si>
  <si>
    <t xml:space="preserve">MSP-3663</t>
  </si>
  <si>
    <t xml:space="preserve">1.5.1.6.2.4.3</t>
  </si>
  <si>
    <t xml:space="preserve">3662FS</t>
  </si>
  <si>
    <t xml:space="preserve">MSP-3664</t>
  </si>
  <si>
    <t xml:space="preserve">1.5.1.6.2.5</t>
  </si>
  <si>
    <t xml:space="preserve">MSP-3665</t>
  </si>
  <si>
    <t xml:space="preserve">1.5.1.6.2.5.1</t>
  </si>
  <si>
    <t xml:space="preserve">3663FS</t>
  </si>
  <si>
    <t xml:space="preserve">MSP-3666</t>
  </si>
  <si>
    <t xml:space="preserve">1.5.1.6.3</t>
  </si>
  <si>
    <t xml:space="preserve">MSP-3667</t>
  </si>
  <si>
    <t xml:space="preserve">1.5.1.6.3.1</t>
  </si>
  <si>
    <t xml:space="preserve">MSP-3668</t>
  </si>
  <si>
    <t xml:space="preserve">1.5.1.6.3.1.1</t>
  </si>
  <si>
    <t xml:space="preserve">MSP-3669</t>
  </si>
  <si>
    <t xml:space="preserve">1.5.1.6.3.2</t>
  </si>
  <si>
    <t xml:space="preserve">MSP-3670</t>
  </si>
  <si>
    <t xml:space="preserve">1.5.1.6.3.2.1</t>
  </si>
  <si>
    <t xml:space="preserve">3668FS</t>
  </si>
  <si>
    <t xml:space="preserve">MSP-3671</t>
  </si>
  <si>
    <t xml:space="preserve">1.5.1.6.3.2.2</t>
  </si>
  <si>
    <t xml:space="preserve">3670FS</t>
  </si>
  <si>
    <t xml:space="preserve">MSP-3672</t>
  </si>
  <si>
    <t xml:space="preserve">1.5.1.6.3.2.3</t>
  </si>
  <si>
    <t xml:space="preserve">3671FS</t>
  </si>
  <si>
    <t xml:space="preserve">MSP-3673</t>
  </si>
  <si>
    <t xml:space="preserve">1.5.1.6.3.2.4</t>
  </si>
  <si>
    <t xml:space="preserve">3672FS</t>
  </si>
  <si>
    <t xml:space="preserve">MSP-3674</t>
  </si>
  <si>
    <t xml:space="preserve">1.5.1.6.3.2.5</t>
  </si>
  <si>
    <t xml:space="preserve">3687FS</t>
  </si>
  <si>
    <t xml:space="preserve">MSP-3675</t>
  </si>
  <si>
    <t xml:space="preserve">1.5.1.6.3.2.6</t>
  </si>
  <si>
    <t xml:space="preserve">3674FS</t>
  </si>
  <si>
    <t xml:space="preserve">MSP-3676</t>
  </si>
  <si>
    <t xml:space="preserve">1.5.1.6.3.2.7</t>
  </si>
  <si>
    <t xml:space="preserve">3674SS</t>
  </si>
  <si>
    <t xml:space="preserve">MSP-3677</t>
  </si>
  <si>
    <t xml:space="preserve">1.5.1.6.3.2.8</t>
  </si>
  <si>
    <t xml:space="preserve">3675FS</t>
  </si>
  <si>
    <t xml:space="preserve">MSP-3678</t>
  </si>
  <si>
    <t xml:space="preserve">1.5.1.6.3.3</t>
  </si>
  <si>
    <t xml:space="preserve">MSP-3679</t>
  </si>
  <si>
    <t xml:space="preserve">1.5.1.6.3.3.1</t>
  </si>
  <si>
    <t xml:space="preserve">MSP-3680</t>
  </si>
  <si>
    <t xml:space="preserve">1.5.1.6.3.4</t>
  </si>
  <si>
    <t xml:space="preserve">MSP-3681</t>
  </si>
  <si>
    <t xml:space="preserve">1.5.1.6.3.4.1</t>
  </si>
  <si>
    <t xml:space="preserve">3679FS</t>
  </si>
  <si>
    <t xml:space="preserve">MSP-3682</t>
  </si>
  <si>
    <t xml:space="preserve">1.5.1.6.3.4.2</t>
  </si>
  <si>
    <t xml:space="preserve">3681FS</t>
  </si>
  <si>
    <t xml:space="preserve">MSP-3683</t>
  </si>
  <si>
    <t xml:space="preserve">1.5.1.6.3.4.3</t>
  </si>
  <si>
    <t xml:space="preserve">3682FS</t>
  </si>
  <si>
    <t xml:space="preserve">MSP-3684</t>
  </si>
  <si>
    <t xml:space="preserve">1.5.1.6.3.4.4</t>
  </si>
  <si>
    <t xml:space="preserve">3683FS</t>
  </si>
  <si>
    <t xml:space="preserve">MSP-3685</t>
  </si>
  <si>
    <t xml:space="preserve">1.5.1.6.3.4.5</t>
  </si>
  <si>
    <t xml:space="preserve">3684FS</t>
  </si>
  <si>
    <t xml:space="preserve">MSP-3686</t>
  </si>
  <si>
    <t xml:space="preserve">1.5.1.6.3.4.6</t>
  </si>
  <si>
    <t xml:space="preserve">3685FS</t>
  </si>
  <si>
    <t xml:space="preserve">MSP-3687</t>
  </si>
  <si>
    <t xml:space="preserve">1.5.1.6.3.4.7</t>
  </si>
  <si>
    <t xml:space="preserve">3686FS</t>
  </si>
  <si>
    <t xml:space="preserve">MSP-3688</t>
  </si>
  <si>
    <t xml:space="preserve">1.5.1.6.3.5</t>
  </si>
  <si>
    <t xml:space="preserve">MSP-3689</t>
  </si>
  <si>
    <t xml:space="preserve">1.5.1.6.3.5.1</t>
  </si>
  <si>
    <t xml:space="preserve">MSP-3690</t>
  </si>
  <si>
    <t xml:space="preserve">1.5.1.6.3.5.2</t>
  </si>
  <si>
    <t xml:space="preserve">3689FS</t>
  </si>
  <si>
    <t xml:space="preserve">MSP-3691</t>
  </si>
  <si>
    <t xml:space="preserve">1.5.1.6.4</t>
  </si>
  <si>
    <t xml:space="preserve">MSP-3692</t>
  </si>
  <si>
    <t xml:space="preserve">1.5.1.6.4.1</t>
  </si>
  <si>
    <t xml:space="preserve">MSP-3693</t>
  </si>
  <si>
    <t xml:space="preserve">1.5.1.6.4.1.1</t>
  </si>
  <si>
    <t xml:space="preserve">MSP-3694</t>
  </si>
  <si>
    <t xml:space="preserve">1.5.1.6.4.1.2</t>
  </si>
  <si>
    <t xml:space="preserve">3693FS</t>
  </si>
  <si>
    <t xml:space="preserve">MSP-3695</t>
  </si>
  <si>
    <t xml:space="preserve">1.5.1.6.4.2</t>
  </si>
  <si>
    <t xml:space="preserve">MSP-3696</t>
  </si>
  <si>
    <t xml:space="preserve">1.5.1.6.4.2.1</t>
  </si>
  <si>
    <t xml:space="preserve">3694FS</t>
  </si>
  <si>
    <t xml:space="preserve">MSP-3697</t>
  </si>
  <si>
    <t xml:space="preserve">1.5.1.6.4.2.2</t>
  </si>
  <si>
    <t xml:space="preserve">3696FS</t>
  </si>
  <si>
    <t xml:space="preserve">MSP-3698</t>
  </si>
  <si>
    <t xml:space="preserve">1.5.1.6.4.2.3</t>
  </si>
  <si>
    <t xml:space="preserve">3716FS</t>
  </si>
  <si>
    <t xml:space="preserve">MSP-3699</t>
  </si>
  <si>
    <t xml:space="preserve">1.5.1.6.4.3</t>
  </si>
  <si>
    <t xml:space="preserve">MSP-3700</t>
  </si>
  <si>
    <t xml:space="preserve">1.5.1.6.4.3.1</t>
  </si>
  <si>
    <t xml:space="preserve">3697FS</t>
  </si>
  <si>
    <t xml:space="preserve">MSP-3701</t>
  </si>
  <si>
    <t xml:space="preserve">1.5.1.6.4.3.2</t>
  </si>
  <si>
    <t xml:space="preserve">3700FS</t>
  </si>
  <si>
    <t xml:space="preserve">MSP-3702</t>
  </si>
  <si>
    <t xml:space="preserve">1.5.1.6.4.3.3</t>
  </si>
  <si>
    <t xml:space="preserve">3701FS</t>
  </si>
  <si>
    <t xml:space="preserve">MSP-3703</t>
  </si>
  <si>
    <t xml:space="preserve">1.5.1.6.4.3.4</t>
  </si>
  <si>
    <t xml:space="preserve">3702FS</t>
  </si>
  <si>
    <t xml:space="preserve">MSP-3704</t>
  </si>
  <si>
    <t xml:space="preserve">1.5.1.6.4.3.5</t>
  </si>
  <si>
    <t xml:space="preserve">3703FS</t>
  </si>
  <si>
    <t xml:space="preserve">MSP-3705</t>
  </si>
  <si>
    <t xml:space="preserve">1.5.1.6.4.3.6</t>
  </si>
  <si>
    <t xml:space="preserve">3704FS</t>
  </si>
  <si>
    <t xml:space="preserve">MSP-3706</t>
  </si>
  <si>
    <t xml:space="preserve">1.5.1.6.4.3.7</t>
  </si>
  <si>
    <t xml:space="preserve">3705FS</t>
  </si>
  <si>
    <t xml:space="preserve">MSP-3707</t>
  </si>
  <si>
    <t xml:space="preserve">1.5.1.6.4.3.8</t>
  </si>
  <si>
    <t xml:space="preserve">3706FS</t>
  </si>
  <si>
    <t xml:space="preserve">MSP-3708</t>
  </si>
  <si>
    <t xml:space="preserve">1.5.1.6.4.3.9</t>
  </si>
  <si>
    <t xml:space="preserve">3707FS</t>
  </si>
  <si>
    <t xml:space="preserve">MSP-3709</t>
  </si>
  <si>
    <t xml:space="preserve">1.5.1.6.4.3.10</t>
  </si>
  <si>
    <t xml:space="preserve">3708FS</t>
  </si>
  <si>
    <t xml:space="preserve">MSP-3710</t>
  </si>
  <si>
    <t xml:space="preserve">1.5.1.6.4.3.11</t>
  </si>
  <si>
    <t xml:space="preserve">3709FS</t>
  </si>
  <si>
    <t xml:space="preserve">MSP-3711</t>
  </si>
  <si>
    <t xml:space="preserve">1.5.1.6.4.3.12</t>
  </si>
  <si>
    <t xml:space="preserve">3710FS</t>
  </si>
  <si>
    <t xml:space="preserve">MSP-3712</t>
  </si>
  <si>
    <t xml:space="preserve">1.5.1.6.4.3.13</t>
  </si>
  <si>
    <t xml:space="preserve">3711FS</t>
  </si>
  <si>
    <t xml:space="preserve">MSP-3713</t>
  </si>
  <si>
    <t xml:space="preserve">1.5.1.6.4.4</t>
  </si>
  <si>
    <t xml:space="preserve">MSP-3714</t>
  </si>
  <si>
    <t xml:space="preserve">1.5.1.6.4.4.1</t>
  </si>
  <si>
    <t xml:space="preserve">MSP-3715</t>
  </si>
  <si>
    <t xml:space="preserve">1.5.1.6.4.4.2</t>
  </si>
  <si>
    <t xml:space="preserve">3714FS</t>
  </si>
  <si>
    <t xml:space="preserve">MSP-3716</t>
  </si>
  <si>
    <t xml:space="preserve">1.5.1.6.4.4.3</t>
  </si>
  <si>
    <t xml:space="preserve">3715FS</t>
  </si>
  <si>
    <t xml:space="preserve">MSP-3717</t>
  </si>
  <si>
    <t xml:space="preserve">1.5.1.7</t>
  </si>
  <si>
    <t xml:space="preserve">MSP-3718</t>
  </si>
  <si>
    <t xml:space="preserve">1.5.1.7.1</t>
  </si>
  <si>
    <t xml:space="preserve">MSP-3719</t>
  </si>
  <si>
    <t xml:space="preserve">1.5.1.7.1.1</t>
  </si>
  <si>
    <t xml:space="preserve">MSP-3720</t>
  </si>
  <si>
    <t xml:space="preserve">1.5.1.7.1.1.1</t>
  </si>
  <si>
    <t xml:space="preserve">MSP-3721</t>
  </si>
  <si>
    <t xml:space="preserve">1.5.1.7.1.1.2</t>
  </si>
  <si>
    <t xml:space="preserve">3720FF</t>
  </si>
  <si>
    <t xml:space="preserve">MSP-3722</t>
  </si>
  <si>
    <t xml:space="preserve">1.5.1.7.1.1.3</t>
  </si>
  <si>
    <t xml:space="preserve">3721FF</t>
  </si>
  <si>
    <t xml:space="preserve">MSP-3723</t>
  </si>
  <si>
    <t xml:space="preserve">1.5.1.7.1.1.4</t>
  </si>
  <si>
    <t xml:space="preserve">3722FF</t>
  </si>
  <si>
    <t xml:space="preserve">MSP-3724</t>
  </si>
  <si>
    <t xml:space="preserve">1.5.1.7.1.1.5</t>
  </si>
  <si>
    <t xml:space="preserve">3723FF</t>
  </si>
  <si>
    <t xml:space="preserve">MSP-3725</t>
  </si>
  <si>
    <t xml:space="preserve">1.5.1.7.1.2</t>
  </si>
  <si>
    <t xml:space="preserve">MSP-3726</t>
  </si>
  <si>
    <t xml:space="preserve">1.5.1.7.1.2.1</t>
  </si>
  <si>
    <t xml:space="preserve">3724FF</t>
  </si>
  <si>
    <t xml:space="preserve">MSP-3727</t>
  </si>
  <si>
    <t xml:space="preserve">1.5.1.7.1.2.2</t>
  </si>
  <si>
    <t xml:space="preserve">3726FF</t>
  </si>
  <si>
    <t xml:space="preserve">MSP-3728</t>
  </si>
  <si>
    <t xml:space="preserve">1.5.1.7.1.2.3</t>
  </si>
  <si>
    <t xml:space="preserve">3727FF</t>
  </si>
  <si>
    <t xml:space="preserve">MSP-3729</t>
  </si>
  <si>
    <t xml:space="preserve">1.5.1.7.2</t>
  </si>
  <si>
    <t xml:space="preserve">MSP-3730</t>
  </si>
  <si>
    <t xml:space="preserve">1.5.1.7.2.1</t>
  </si>
  <si>
    <t xml:space="preserve">MSP-3731</t>
  </si>
  <si>
    <t xml:space="preserve">1.5.1.7.2.1.1</t>
  </si>
  <si>
    <t xml:space="preserve">MSP-3732</t>
  </si>
  <si>
    <t xml:space="preserve">1.5.1.7.2.2</t>
  </si>
  <si>
    <t xml:space="preserve">MSP-3733</t>
  </si>
  <si>
    <t xml:space="preserve">1.5.1.7.2.2.1</t>
  </si>
  <si>
    <t xml:space="preserve">3731FS</t>
  </si>
  <si>
    <t xml:space="preserve">MSP-3734</t>
  </si>
  <si>
    <t xml:space="preserve">1.5.1.7.2.2.2</t>
  </si>
  <si>
    <t xml:space="preserve">3733FS</t>
  </si>
  <si>
    <t xml:space="preserve">MSP-3735</t>
  </si>
  <si>
    <t xml:space="preserve">1.5.1.7.2.2.3</t>
  </si>
  <si>
    <t xml:space="preserve">3734FS</t>
  </si>
  <si>
    <t xml:space="preserve">MSP-3736</t>
  </si>
  <si>
    <t xml:space="preserve">1.5.1.7.2.2.4</t>
  </si>
  <si>
    <t xml:space="preserve">3735FS</t>
  </si>
  <si>
    <t xml:space="preserve">MSP-3737</t>
  </si>
  <si>
    <t xml:space="preserve">1.5.1.7.2.2.5</t>
  </si>
  <si>
    <t xml:space="preserve">3766FS</t>
  </si>
  <si>
    <t xml:space="preserve">MSP-3738</t>
  </si>
  <si>
    <t xml:space="preserve">1.5.1.7.2.2.6</t>
  </si>
  <si>
    <t xml:space="preserve">3737FS</t>
  </si>
  <si>
    <t xml:space="preserve">MSP-3739</t>
  </si>
  <si>
    <t xml:space="preserve">1.5.1.7.2.2.7</t>
  </si>
  <si>
    <t xml:space="preserve">3737SS</t>
  </si>
  <si>
    <t xml:space="preserve">MSP-3740</t>
  </si>
  <si>
    <t xml:space="preserve">1.5.1.7.2.2.8</t>
  </si>
  <si>
    <t xml:space="preserve">3738FS</t>
  </si>
  <si>
    <t xml:space="preserve">MSP-3741</t>
  </si>
  <si>
    <t xml:space="preserve">1.5.1.7.2.3</t>
  </si>
  <si>
    <t xml:space="preserve">MSP-3742</t>
  </si>
  <si>
    <t xml:space="preserve">1.5.1.7.2.3.1</t>
  </si>
  <si>
    <t xml:space="preserve">3740FS</t>
  </si>
  <si>
    <t xml:space="preserve">MSP-3743</t>
  </si>
  <si>
    <t xml:space="preserve">1.5.1.7.2.4</t>
  </si>
  <si>
    <t xml:space="preserve">MSP-3744</t>
  </si>
  <si>
    <t xml:space="preserve">1.5.1.7.2.4.1</t>
  </si>
  <si>
    <t xml:space="preserve">MSP-3745</t>
  </si>
  <si>
    <t xml:space="preserve">1.5.1.7.2.4.2</t>
  </si>
  <si>
    <t xml:space="preserve">3744FS</t>
  </si>
  <si>
    <t xml:space="preserve">MSP-3746</t>
  </si>
  <si>
    <t xml:space="preserve">1.5.1.7.2.4.3</t>
  </si>
  <si>
    <t xml:space="preserve">3745FS</t>
  </si>
  <si>
    <t xml:space="preserve">MSP-3747</t>
  </si>
  <si>
    <t xml:space="preserve">1.5.1.7.2.4.4</t>
  </si>
  <si>
    <t xml:space="preserve">3746FS</t>
  </si>
  <si>
    <t xml:space="preserve">MSP-3748</t>
  </si>
  <si>
    <t xml:space="preserve">1.5.1.7.2.4.5</t>
  </si>
  <si>
    <t xml:space="preserve">MSP-3749</t>
  </si>
  <si>
    <t xml:space="preserve">1.5.1.7.2.5</t>
  </si>
  <si>
    <t xml:space="preserve">MSP-3750</t>
  </si>
  <si>
    <t xml:space="preserve">1.5.1.7.2.5.1</t>
  </si>
  <si>
    <t xml:space="preserve">3747FS</t>
  </si>
  <si>
    <t xml:space="preserve">MSP-3751</t>
  </si>
  <si>
    <t xml:space="preserve">1.5.1.7.2.5.2</t>
  </si>
  <si>
    <t xml:space="preserve">3750FS</t>
  </si>
  <si>
    <t xml:space="preserve">MSP-3752</t>
  </si>
  <si>
    <t xml:space="preserve">1.5.1.7.2.5.3</t>
  </si>
  <si>
    <t xml:space="preserve">3751FS</t>
  </si>
  <si>
    <t xml:space="preserve">MSP-3753</t>
  </si>
  <si>
    <t xml:space="preserve">1.5.1.7.2.5.4</t>
  </si>
  <si>
    <t xml:space="preserve">3752FS</t>
  </si>
  <si>
    <t xml:space="preserve">MSP-3754</t>
  </si>
  <si>
    <t xml:space="preserve">1.5.1.7.2.5.5</t>
  </si>
  <si>
    <t xml:space="preserve">3753FS</t>
  </si>
  <si>
    <t xml:space="preserve">MSP-3755</t>
  </si>
  <si>
    <t xml:space="preserve">1.5.1.7.2.5.6</t>
  </si>
  <si>
    <t xml:space="preserve">3754FS</t>
  </si>
  <si>
    <t xml:space="preserve">MSP-3756</t>
  </si>
  <si>
    <t xml:space="preserve">1.5.1.7.2.5.7</t>
  </si>
  <si>
    <t xml:space="preserve">3755FS</t>
  </si>
  <si>
    <t xml:space="preserve">MSP-3757</t>
  </si>
  <si>
    <t xml:space="preserve">1.5.1.7.2.5.8</t>
  </si>
  <si>
    <t xml:space="preserve">3756FS</t>
  </si>
  <si>
    <t xml:space="preserve">MSP-3758</t>
  </si>
  <si>
    <t xml:space="preserve">1.5.1.7.2.5.9</t>
  </si>
  <si>
    <t xml:space="preserve">REDUCCIÓN PVC Ø 1" a 1/2" C/R. C-10</t>
  </si>
  <si>
    <t xml:space="preserve">3757FS</t>
  </si>
  <si>
    <t xml:space="preserve">MSP-3759</t>
  </si>
  <si>
    <t xml:space="preserve">1.5.1.7.2.5.10</t>
  </si>
  <si>
    <t xml:space="preserve">3758FS</t>
  </si>
  <si>
    <t xml:space="preserve">MSP-3760</t>
  </si>
  <si>
    <t xml:space="preserve">1.5.1.7.2.5.11</t>
  </si>
  <si>
    <t xml:space="preserve">3759FS</t>
  </si>
  <si>
    <t xml:space="preserve">MSP-3761</t>
  </si>
  <si>
    <t xml:space="preserve">1.5.1.7.2.5.12</t>
  </si>
  <si>
    <t xml:space="preserve">3760FS</t>
  </si>
  <si>
    <t xml:space="preserve">MSP-3762</t>
  </si>
  <si>
    <t xml:space="preserve">1.5.1.7.2.6</t>
  </si>
  <si>
    <t xml:space="preserve">MSP-3763</t>
  </si>
  <si>
    <t xml:space="preserve">1.5.1.7.2.6.1</t>
  </si>
  <si>
    <t xml:space="preserve">3761FS</t>
  </si>
  <si>
    <t xml:space="preserve">MSP-3764</t>
  </si>
  <si>
    <t xml:space="preserve">1.5.1.7.2.6.2</t>
  </si>
  <si>
    <t xml:space="preserve">3763FS</t>
  </si>
  <si>
    <t xml:space="preserve">MSP-3765</t>
  </si>
  <si>
    <t xml:space="preserve">1.5.1.7.2.7</t>
  </si>
  <si>
    <t xml:space="preserve">MSP-3766</t>
  </si>
  <si>
    <t xml:space="preserve">1.5.1.7.2.7.1</t>
  </si>
  <si>
    <t xml:space="preserve">3764FS</t>
  </si>
  <si>
    <t xml:space="preserve">MSP-3767</t>
  </si>
  <si>
    <t xml:space="preserve">1.5.1.7.3</t>
  </si>
  <si>
    <t xml:space="preserve">MSP-3768</t>
  </si>
  <si>
    <t xml:space="preserve">1.5.1.7.3.1</t>
  </si>
  <si>
    <t xml:space="preserve">MSP-3769</t>
  </si>
  <si>
    <t xml:space="preserve">1.5.1.7.3.1.1</t>
  </si>
  <si>
    <t xml:space="preserve">MSP-3770</t>
  </si>
  <si>
    <t xml:space="preserve">1.5.1.7.3.2</t>
  </si>
  <si>
    <t xml:space="preserve">MSP-3771</t>
  </si>
  <si>
    <t xml:space="preserve">1.5.1.7.3.2.1</t>
  </si>
  <si>
    <t xml:space="preserve">3769FS</t>
  </si>
  <si>
    <t xml:space="preserve">MSP-3772</t>
  </si>
  <si>
    <t xml:space="preserve">1.5.1.7.3.2.2</t>
  </si>
  <si>
    <t xml:space="preserve">3771FS</t>
  </si>
  <si>
    <t xml:space="preserve">MSP-3773</t>
  </si>
  <si>
    <t xml:space="preserve">1.5.1.7.3.2.3</t>
  </si>
  <si>
    <t xml:space="preserve">3772FS</t>
  </si>
  <si>
    <t xml:space="preserve">MSP-3774</t>
  </si>
  <si>
    <t xml:space="preserve">1.5.1.7.3.2.4</t>
  </si>
  <si>
    <t xml:space="preserve">3773FS</t>
  </si>
  <si>
    <t xml:space="preserve">MSP-3775</t>
  </si>
  <si>
    <t xml:space="preserve">1.5.1.7.3.2.5</t>
  </si>
  <si>
    <t xml:space="preserve">3786FS</t>
  </si>
  <si>
    <t xml:space="preserve">MSP-3776</t>
  </si>
  <si>
    <t xml:space="preserve">1.5.1.7.3.2.6</t>
  </si>
  <si>
    <t xml:space="preserve">3775FS</t>
  </si>
  <si>
    <t xml:space="preserve">MSP-3777</t>
  </si>
  <si>
    <t xml:space="preserve">1.5.1.7.3.2.7</t>
  </si>
  <si>
    <t xml:space="preserve">3775SS</t>
  </si>
  <si>
    <t xml:space="preserve">MSP-3778</t>
  </si>
  <si>
    <t xml:space="preserve">1.5.1.7.3.2.8</t>
  </si>
  <si>
    <t xml:space="preserve">3776FS</t>
  </si>
  <si>
    <t xml:space="preserve">MSP-3779</t>
  </si>
  <si>
    <t xml:space="preserve">1.5.1.7.3.3</t>
  </si>
  <si>
    <t xml:space="preserve">MSP-3780</t>
  </si>
  <si>
    <t xml:space="preserve">1.5.1.7.3.3.1</t>
  </si>
  <si>
    <t xml:space="preserve">MSP-3781</t>
  </si>
  <si>
    <t xml:space="preserve">1.5.1.7.3.4</t>
  </si>
  <si>
    <t xml:space="preserve">MSP-3782</t>
  </si>
  <si>
    <t xml:space="preserve">1.5.1.7.3.4.1</t>
  </si>
  <si>
    <t xml:space="preserve">3780FS</t>
  </si>
  <si>
    <t xml:space="preserve">MSP-3783</t>
  </si>
  <si>
    <t xml:space="preserve">1.5.1.7.3.4.2</t>
  </si>
  <si>
    <t xml:space="preserve">3782FS</t>
  </si>
  <si>
    <t xml:space="preserve">MSP-3784</t>
  </si>
  <si>
    <t xml:space="preserve">1.5.1.7.3.4.3</t>
  </si>
  <si>
    <t xml:space="preserve">3783FS</t>
  </si>
  <si>
    <t xml:space="preserve">MSP-3785</t>
  </si>
  <si>
    <t xml:space="preserve">1.5.1.7.3.5</t>
  </si>
  <si>
    <t xml:space="preserve">MSP-3786</t>
  </si>
  <si>
    <t xml:space="preserve">1.5.1.7.3.5.1</t>
  </si>
  <si>
    <t xml:space="preserve">3784FS</t>
  </si>
  <si>
    <t xml:space="preserve">MSP-3787</t>
  </si>
  <si>
    <t xml:space="preserve">1.5.1.7.4</t>
  </si>
  <si>
    <t xml:space="preserve">MSP-3788</t>
  </si>
  <si>
    <t xml:space="preserve">1.5.1.7.4.1</t>
  </si>
  <si>
    <t xml:space="preserve">MSP-3789</t>
  </si>
  <si>
    <t xml:space="preserve">1.5.1.7.4.1.1</t>
  </si>
  <si>
    <t xml:space="preserve">MSP-3790</t>
  </si>
  <si>
    <t xml:space="preserve">1.5.1.7.4.2</t>
  </si>
  <si>
    <t xml:space="preserve">MSP-3791</t>
  </si>
  <si>
    <t xml:space="preserve">1.5.1.7.4.2.1</t>
  </si>
  <si>
    <t xml:space="preserve">3789FS</t>
  </si>
  <si>
    <t xml:space="preserve">MSP-3792</t>
  </si>
  <si>
    <t xml:space="preserve">1.5.1.7.4.2.2</t>
  </si>
  <si>
    <t xml:space="preserve">3791FS</t>
  </si>
  <si>
    <t xml:space="preserve">MSP-3793</t>
  </si>
  <si>
    <t xml:space="preserve">1.5.1.7.4.2.3</t>
  </si>
  <si>
    <t xml:space="preserve">3792FS</t>
  </si>
  <si>
    <t xml:space="preserve">MSP-3794</t>
  </si>
  <si>
    <t xml:space="preserve">1.5.1.7.4.2.4</t>
  </si>
  <si>
    <t xml:space="preserve">3793FS</t>
  </si>
  <si>
    <t xml:space="preserve">MSP-3795</t>
  </si>
  <si>
    <t xml:space="preserve">1.5.1.7.4.2.5</t>
  </si>
  <si>
    <t xml:space="preserve">3818FS</t>
  </si>
  <si>
    <t xml:space="preserve">MSP-3796</t>
  </si>
  <si>
    <t xml:space="preserve">1.5.1.7.4.2.6</t>
  </si>
  <si>
    <t xml:space="preserve">3795FS</t>
  </si>
  <si>
    <t xml:space="preserve">MSP-3797</t>
  </si>
  <si>
    <t xml:space="preserve">1.5.1.7.4.2.7</t>
  </si>
  <si>
    <t xml:space="preserve">3795SS</t>
  </si>
  <si>
    <t xml:space="preserve">MSP-3798</t>
  </si>
  <si>
    <t xml:space="preserve">1.5.1.7.4.2.8</t>
  </si>
  <si>
    <t xml:space="preserve">3796FS</t>
  </si>
  <si>
    <t xml:space="preserve">MSP-3799</t>
  </si>
  <si>
    <t xml:space="preserve">1.5.1.7.4.3</t>
  </si>
  <si>
    <t xml:space="preserve">MSP-3800</t>
  </si>
  <si>
    <t xml:space="preserve">1.5.1.7.4.3.1</t>
  </si>
  <si>
    <t xml:space="preserve">3798FS</t>
  </si>
  <si>
    <t xml:space="preserve">MSP-3801</t>
  </si>
  <si>
    <t xml:space="preserve">1.5.1.7.4.3.2</t>
  </si>
  <si>
    <t xml:space="preserve">3800FS</t>
  </si>
  <si>
    <t xml:space="preserve">MSP-3802</t>
  </si>
  <si>
    <t xml:space="preserve">1.5.1.7.4.4</t>
  </si>
  <si>
    <t xml:space="preserve">MSP-3803</t>
  </si>
  <si>
    <t xml:space="preserve">1.5.1.7.4.4.1</t>
  </si>
  <si>
    <t xml:space="preserve">MSP-3804</t>
  </si>
  <si>
    <t xml:space="preserve">1.5.1.7.4.4.2</t>
  </si>
  <si>
    <t xml:space="preserve">3803FS</t>
  </si>
  <si>
    <t xml:space="preserve">MSP-3805</t>
  </si>
  <si>
    <t xml:space="preserve">1.5.1.7.4.4.3</t>
  </si>
  <si>
    <t xml:space="preserve">3804FS</t>
  </si>
  <si>
    <t xml:space="preserve">MSP-3806</t>
  </si>
  <si>
    <t xml:space="preserve">1.5.1.7.4.4.4</t>
  </si>
  <si>
    <t xml:space="preserve">MSP-3807</t>
  </si>
  <si>
    <t xml:space="preserve">1.5.1.7.4.5</t>
  </si>
  <si>
    <t xml:space="preserve">MSP-3808</t>
  </si>
  <si>
    <t xml:space="preserve">1.5.1.7.4.5.1</t>
  </si>
  <si>
    <t xml:space="preserve">3805FS</t>
  </si>
  <si>
    <t xml:space="preserve">MSP-3809</t>
  </si>
  <si>
    <t xml:space="preserve">1.5.1.7.4.5.2</t>
  </si>
  <si>
    <t xml:space="preserve">3808FS</t>
  </si>
  <si>
    <t xml:space="preserve">MSP-3810</t>
  </si>
  <si>
    <t xml:space="preserve">1.5.1.7.4.5.3</t>
  </si>
  <si>
    <t xml:space="preserve">3809FS</t>
  </si>
  <si>
    <t xml:space="preserve">MSP-3811</t>
  </si>
  <si>
    <t xml:space="preserve">1.5.1.7.4.5.4</t>
  </si>
  <si>
    <t xml:space="preserve">3810FS</t>
  </si>
  <si>
    <t xml:space="preserve">MSP-3812</t>
  </si>
  <si>
    <t xml:space="preserve">1.5.1.7.4.5.5</t>
  </si>
  <si>
    <t xml:space="preserve">3811FS</t>
  </si>
  <si>
    <t xml:space="preserve">MSP-3813</t>
  </si>
  <si>
    <t xml:space="preserve">1.5.1.7.4.5.6</t>
  </si>
  <si>
    <t xml:space="preserve">3812FS</t>
  </si>
  <si>
    <t xml:space="preserve">MSP-3814</t>
  </si>
  <si>
    <t xml:space="preserve">1.5.1.7.4.5.7</t>
  </si>
  <si>
    <t xml:space="preserve">3813FS</t>
  </si>
  <si>
    <t xml:space="preserve">MSP-3815</t>
  </si>
  <si>
    <t xml:space="preserve">1.5.1.7.4.5.8</t>
  </si>
  <si>
    <t xml:space="preserve">3814FS</t>
  </si>
  <si>
    <t xml:space="preserve">MSP-3816</t>
  </si>
  <si>
    <t xml:space="preserve">1.5.1.7.4.5.9</t>
  </si>
  <si>
    <t xml:space="preserve">3815FS</t>
  </si>
  <si>
    <t xml:space="preserve">MSP-3817</t>
  </si>
  <si>
    <t xml:space="preserve">1.5.1.7.4.5.10</t>
  </si>
  <si>
    <t xml:space="preserve">3816FS</t>
  </si>
  <si>
    <t xml:space="preserve">MSP-3818</t>
  </si>
  <si>
    <t xml:space="preserve">1.5.1.7.4.5.11</t>
  </si>
  <si>
    <t xml:space="preserve">3817FS</t>
  </si>
  <si>
    <t xml:space="preserve">MSP-3819</t>
  </si>
  <si>
    <t xml:space="preserve">1.5.1.7.4.6</t>
  </si>
  <si>
    <t xml:space="preserve">MSP-3820</t>
  </si>
  <si>
    <t xml:space="preserve">1.5.1.7.4.6.1</t>
  </si>
  <si>
    <t xml:space="preserve">3801FS</t>
  </si>
  <si>
    <t xml:space="preserve">MSP-3821</t>
  </si>
  <si>
    <t xml:space="preserve">1.5.1.7.4.6.2</t>
  </si>
  <si>
    <t xml:space="preserve">3820FS</t>
  </si>
  <si>
    <t xml:space="preserve">MSP-3822</t>
  </si>
  <si>
    <t xml:space="preserve">1.5.1.7.4.6.3</t>
  </si>
  <si>
    <t xml:space="preserve">3821FS</t>
  </si>
  <si>
    <t xml:space="preserve">MSP-3823</t>
  </si>
  <si>
    <t xml:space="preserve">1.5.1.7.4.6.4</t>
  </si>
  <si>
    <t xml:space="preserve">3822FS</t>
  </si>
  <si>
    <t xml:space="preserve">MSP-3824</t>
  </si>
  <si>
    <t xml:space="preserve">1.5.1.8</t>
  </si>
  <si>
    <t xml:space="preserve">MSP-3825</t>
  </si>
  <si>
    <t xml:space="preserve">1.5.1.8.1</t>
  </si>
  <si>
    <t xml:space="preserve">MSP-3826</t>
  </si>
  <si>
    <t xml:space="preserve">1.5.1.8.1.1</t>
  </si>
  <si>
    <t xml:space="preserve">MSP-3827</t>
  </si>
  <si>
    <t xml:space="preserve">1.5.1.8.1.1.1</t>
  </si>
  <si>
    <t xml:space="preserve">MSP-3828</t>
  </si>
  <si>
    <t xml:space="preserve">1.5.1.8.1.2</t>
  </si>
  <si>
    <t xml:space="preserve">MSP-3829</t>
  </si>
  <si>
    <t xml:space="preserve">1.5.1.8.1.2.1</t>
  </si>
  <si>
    <t xml:space="preserve">3827FS</t>
  </si>
  <si>
    <t xml:space="preserve">MSP-3830</t>
  </si>
  <si>
    <t xml:space="preserve">1.5.1.8.1.2.2</t>
  </si>
  <si>
    <t xml:space="preserve">3829FS</t>
  </si>
  <si>
    <t xml:space="preserve">MSP-3831</t>
  </si>
  <si>
    <t xml:space="preserve">1.5.1.8.1.2.3</t>
  </si>
  <si>
    <t xml:space="preserve">3830FS</t>
  </si>
  <si>
    <t xml:space="preserve">MSP-3832</t>
  </si>
  <si>
    <t xml:space="preserve">1.5.1.8.1.2.4</t>
  </si>
  <si>
    <t xml:space="preserve">3831FS</t>
  </si>
  <si>
    <t xml:space="preserve">MSP-3833</t>
  </si>
  <si>
    <t xml:space="preserve">1.5.1.8.1.2.5</t>
  </si>
  <si>
    <t xml:space="preserve">3844FS</t>
  </si>
  <si>
    <t xml:space="preserve">MSP-3834</t>
  </si>
  <si>
    <t xml:space="preserve">1.5.1.8.1.2.6</t>
  </si>
  <si>
    <t xml:space="preserve">3833FS</t>
  </si>
  <si>
    <t xml:space="preserve">MSP-3835</t>
  </si>
  <si>
    <t xml:space="preserve">1.5.1.8.1.2.7</t>
  </si>
  <si>
    <t xml:space="preserve">MSP-3836</t>
  </si>
  <si>
    <t xml:space="preserve">1.5.1.8.1.2.8</t>
  </si>
  <si>
    <t xml:space="preserve">3834FS</t>
  </si>
  <si>
    <t xml:space="preserve">MSP-3837</t>
  </si>
  <si>
    <t xml:space="preserve">1.5.1.8.1.3</t>
  </si>
  <si>
    <t xml:space="preserve">MSP-3838</t>
  </si>
  <si>
    <t xml:space="preserve">1.5.1.8.1.3.1</t>
  </si>
  <si>
    <t xml:space="preserve">MSP-3839</t>
  </si>
  <si>
    <t xml:space="preserve">1.5.1.8.1.4</t>
  </si>
  <si>
    <t xml:space="preserve">MSP-3840</t>
  </si>
  <si>
    <t xml:space="preserve">1.5.1.8.1.4.1</t>
  </si>
  <si>
    <t xml:space="preserve">3838FS</t>
  </si>
  <si>
    <t xml:space="preserve">MSP-3841</t>
  </si>
  <si>
    <t xml:space="preserve">1.5.1.8.1.4.2</t>
  </si>
  <si>
    <t xml:space="preserve">3840FS</t>
  </si>
  <si>
    <t xml:space="preserve">MSP-3842</t>
  </si>
  <si>
    <t xml:space="preserve">1.5.1.8.1.4.3</t>
  </si>
  <si>
    <t xml:space="preserve">3841FS</t>
  </si>
  <si>
    <t xml:space="preserve">MSP-3843</t>
  </si>
  <si>
    <t xml:space="preserve">1.5.1.8.1.5</t>
  </si>
  <si>
    <t xml:space="preserve">MSP-3844</t>
  </si>
  <si>
    <t xml:space="preserve">1.5.1.8.1.5.1</t>
  </si>
  <si>
    <t xml:space="preserve">3842FS</t>
  </si>
  <si>
    <t xml:space="preserve">MSP-3845</t>
  </si>
  <si>
    <t xml:space="preserve">1.5.1.9</t>
  </si>
  <si>
    <t xml:space="preserve">MSP-3846</t>
  </si>
  <si>
    <t xml:space="preserve">1.5.1.9.1</t>
  </si>
  <si>
    <t xml:space="preserve">MSP-3847</t>
  </si>
  <si>
    <t xml:space="preserve">1.5.1.9.1.1</t>
  </si>
  <si>
    <t xml:space="preserve">MSP-3848</t>
  </si>
  <si>
    <t xml:space="preserve">1.5.1.9.1.1.1</t>
  </si>
  <si>
    <t xml:space="preserve">MSP-3849</t>
  </si>
  <si>
    <t xml:space="preserve">1.5.1.9.1.2</t>
  </si>
  <si>
    <t xml:space="preserve">MSP-3850</t>
  </si>
  <si>
    <t xml:space="preserve">1.5.1.9.1.2.1</t>
  </si>
  <si>
    <t xml:space="preserve">3848FS</t>
  </si>
  <si>
    <t xml:space="preserve">MSP-3851</t>
  </si>
  <si>
    <t xml:space="preserve">1.5.1.9.1.2.2</t>
  </si>
  <si>
    <t xml:space="preserve">3850FS</t>
  </si>
  <si>
    <t xml:space="preserve">MSP-3852</t>
  </si>
  <si>
    <t xml:space="preserve">1.5.1.9.1.2.3</t>
  </si>
  <si>
    <t xml:space="preserve">3851FS</t>
  </si>
  <si>
    <t xml:space="preserve">MSP-3853</t>
  </si>
  <si>
    <t xml:space="preserve">1.5.1.9.1.2.4</t>
  </si>
  <si>
    <t xml:space="preserve">3852FS</t>
  </si>
  <si>
    <t xml:space="preserve">MSP-3854</t>
  </si>
  <si>
    <t xml:space="preserve">1.5.1.9.1.2.5</t>
  </si>
  <si>
    <t xml:space="preserve">3864FS</t>
  </si>
  <si>
    <t xml:space="preserve">MSP-3855</t>
  </si>
  <si>
    <t xml:space="preserve">1.5.1.9.1.2.6</t>
  </si>
  <si>
    <t xml:space="preserve">3854FS</t>
  </si>
  <si>
    <t xml:space="preserve">MSP-3856</t>
  </si>
  <si>
    <t xml:space="preserve">1.5.1.9.1.2.7</t>
  </si>
  <si>
    <t xml:space="preserve">3854SS</t>
  </si>
  <si>
    <t xml:space="preserve">MSP-3857</t>
  </si>
  <si>
    <t xml:space="preserve">1.5.1.9.1.2.8</t>
  </si>
  <si>
    <t xml:space="preserve">3855FS</t>
  </si>
  <si>
    <t xml:space="preserve">MSP-3858</t>
  </si>
  <si>
    <t xml:space="preserve">1.5.1.9.1.3</t>
  </si>
  <si>
    <t xml:space="preserve">MSP-3859</t>
  </si>
  <si>
    <t xml:space="preserve">1.5.1.9.1.3.1</t>
  </si>
  <si>
    <t xml:space="preserve">MSP-3860</t>
  </si>
  <si>
    <t xml:space="preserve">1.5.1.9.1.4</t>
  </si>
  <si>
    <t xml:space="preserve">MSP-3861</t>
  </si>
  <si>
    <t xml:space="preserve">1.5.1.9.1.4.1</t>
  </si>
  <si>
    <t xml:space="preserve">3859FS</t>
  </si>
  <si>
    <t xml:space="preserve">MSP-3862</t>
  </si>
  <si>
    <t xml:space="preserve">1.5.1.9.1.4.2</t>
  </si>
  <si>
    <t xml:space="preserve">3861FS</t>
  </si>
  <si>
    <t xml:space="preserve">MSP-3863</t>
  </si>
  <si>
    <t xml:space="preserve">1.5.1.9.1.4.3</t>
  </si>
  <si>
    <t xml:space="preserve">3862FS</t>
  </si>
  <si>
    <t xml:space="preserve">MSP-3864</t>
  </si>
  <si>
    <t xml:space="preserve">1.5.1.9.1.4.4</t>
  </si>
  <si>
    <t xml:space="preserve">3863FS</t>
  </si>
  <si>
    <t xml:space="preserve">MSP-3865</t>
  </si>
  <si>
    <t xml:space="preserve">1.5.1.9.1.5</t>
  </si>
  <si>
    <t xml:space="preserve">MSP-3866</t>
  </si>
  <si>
    <t xml:space="preserve">1.5.1.9.1.5.1</t>
  </si>
  <si>
    <t xml:space="preserve">MSP-3867</t>
  </si>
  <si>
    <t xml:space="preserve">1.5.1.9.1.5.2</t>
  </si>
  <si>
    <t xml:space="preserve">3866FS</t>
  </si>
  <si>
    <t xml:space="preserve">MSP-3868</t>
  </si>
  <si>
    <t xml:space="preserve">1.5.1.9.1.5.3</t>
  </si>
  <si>
    <t xml:space="preserve">3869FS</t>
  </si>
  <si>
    <t xml:space="preserve">MSP-3869</t>
  </si>
  <si>
    <t xml:space="preserve">1.5.1.9.1.5.4</t>
  </si>
  <si>
    <t xml:space="preserve">3867FS</t>
  </si>
  <si>
    <t xml:space="preserve">MSP-3870</t>
  </si>
  <si>
    <t xml:space="preserve">1.5.1.9.1.6</t>
  </si>
  <si>
    <t xml:space="preserve">MSP-3871</t>
  </si>
  <si>
    <t xml:space="preserve">1.5.1.9.1.6.1</t>
  </si>
  <si>
    <t xml:space="preserve">MSP-3872</t>
  </si>
  <si>
    <t xml:space="preserve">1.5.1.10</t>
  </si>
  <si>
    <t xml:space="preserve">MSP-3873</t>
  </si>
  <si>
    <t xml:space="preserve">1.5.1.10.1</t>
  </si>
  <si>
    <t xml:space="preserve">MSP-3874</t>
  </si>
  <si>
    <t xml:space="preserve">1.5.1.10.1.1</t>
  </si>
  <si>
    <t xml:space="preserve">MSP-3875</t>
  </si>
  <si>
    <t xml:space="preserve">1.5.1.10.1.1.1</t>
  </si>
  <si>
    <t xml:space="preserve">MSP-3876</t>
  </si>
  <si>
    <t xml:space="preserve">1.5.1.10.1.1.2</t>
  </si>
  <si>
    <t xml:space="preserve">3875FF</t>
  </si>
  <si>
    <t xml:space="preserve">MSP-3877</t>
  </si>
  <si>
    <t xml:space="preserve">1.5.1.10.1.2</t>
  </si>
  <si>
    <t xml:space="preserve">MSP-3878</t>
  </si>
  <si>
    <t xml:space="preserve">1.5.1.10.1.2.1</t>
  </si>
  <si>
    <t xml:space="preserve">3876FF</t>
  </si>
  <si>
    <t xml:space="preserve">MSP-3879</t>
  </si>
  <si>
    <t xml:space="preserve">1.5.1.10.1.2.2</t>
  </si>
  <si>
    <t xml:space="preserve">3878FF</t>
  </si>
  <si>
    <t xml:space="preserve">MSP-3880</t>
  </si>
  <si>
    <t xml:space="preserve">1.5.1.10.1.2.3</t>
  </si>
  <si>
    <t xml:space="preserve">3879FF</t>
  </si>
  <si>
    <t xml:space="preserve">MSP-3881</t>
  </si>
  <si>
    <t xml:space="preserve">1.5.1.10.2</t>
  </si>
  <si>
    <t xml:space="preserve">MSP-3882</t>
  </si>
  <si>
    <t xml:space="preserve">1.5.1.10.2.1</t>
  </si>
  <si>
    <t xml:space="preserve">MSP-3883</t>
  </si>
  <si>
    <t xml:space="preserve">1.5.1.10.2.1.1</t>
  </si>
  <si>
    <t xml:space="preserve">MSP-3884</t>
  </si>
  <si>
    <t xml:space="preserve">1.5.1.10.2.2</t>
  </si>
  <si>
    <t xml:space="preserve">MSP-3885</t>
  </si>
  <si>
    <t xml:space="preserve">1.5.1.10.2.2.1</t>
  </si>
  <si>
    <t xml:space="preserve">3883FS</t>
  </si>
  <si>
    <t xml:space="preserve">MSP-3886</t>
  </si>
  <si>
    <t xml:space="preserve">1.5.1.10.2.2.2</t>
  </si>
  <si>
    <t xml:space="preserve">3885FS</t>
  </si>
  <si>
    <t xml:space="preserve">MSP-3887</t>
  </si>
  <si>
    <t xml:space="preserve">1.5.1.10.2.2.3</t>
  </si>
  <si>
    <t xml:space="preserve">3886FS</t>
  </si>
  <si>
    <t xml:space="preserve">MSP-3888</t>
  </si>
  <si>
    <t xml:space="preserve">1.5.1.10.2.2.4</t>
  </si>
  <si>
    <t xml:space="preserve">3887FS</t>
  </si>
  <si>
    <t xml:space="preserve">MSP-3889</t>
  </si>
  <si>
    <t xml:space="preserve">1.5.1.10.2.2.5</t>
  </si>
  <si>
    <t xml:space="preserve">3906FS</t>
  </si>
  <si>
    <t xml:space="preserve">MSP-3890</t>
  </si>
  <si>
    <t xml:space="preserve">1.5.1.10.2.2.6</t>
  </si>
  <si>
    <t xml:space="preserve">3889FS</t>
  </si>
  <si>
    <t xml:space="preserve">MSP-3891</t>
  </si>
  <si>
    <t xml:space="preserve">1.5.1.10.2.2.7</t>
  </si>
  <si>
    <t xml:space="preserve">3889SS</t>
  </si>
  <si>
    <t xml:space="preserve">MSP-3892</t>
  </si>
  <si>
    <t xml:space="preserve">1.5.1.10.2.2.8</t>
  </si>
  <si>
    <t xml:space="preserve">3890FS</t>
  </si>
  <si>
    <t xml:space="preserve">MSP-3893</t>
  </si>
  <si>
    <t xml:space="preserve">1.5.1.10.2.3</t>
  </si>
  <si>
    <t xml:space="preserve">MSP-3894</t>
  </si>
  <si>
    <t xml:space="preserve">1.5.1.10.2.3.1</t>
  </si>
  <si>
    <t xml:space="preserve">3892FS</t>
  </si>
  <si>
    <t xml:space="preserve">MSP-3895</t>
  </si>
  <si>
    <t xml:space="preserve">1.5.1.10.2.4</t>
  </si>
  <si>
    <t xml:space="preserve">MSP-3896</t>
  </si>
  <si>
    <t xml:space="preserve">1.5.1.10.2.4.1</t>
  </si>
  <si>
    <t xml:space="preserve">MSP-3897</t>
  </si>
  <si>
    <t xml:space="preserve">1.5.1.10.2.4.2</t>
  </si>
  <si>
    <t xml:space="preserve">3896FS</t>
  </si>
  <si>
    <t xml:space="preserve">MSP-3898</t>
  </si>
  <si>
    <t xml:space="preserve">1.5.1.10.2.4.3</t>
  </si>
  <si>
    <t xml:space="preserve">MSP-3899</t>
  </si>
  <si>
    <t xml:space="preserve">1.5.1.10.2.5</t>
  </si>
  <si>
    <t xml:space="preserve">MSP-3900</t>
  </si>
  <si>
    <t xml:space="preserve">1.5.1.10.2.5.1</t>
  </si>
  <si>
    <t xml:space="preserve">3897FS</t>
  </si>
  <si>
    <t xml:space="preserve">MSP-3901</t>
  </si>
  <si>
    <t xml:space="preserve">1.5.1.10.2.5.2</t>
  </si>
  <si>
    <t xml:space="preserve">3900FS</t>
  </si>
  <si>
    <t xml:space="preserve">MSP-3902</t>
  </si>
  <si>
    <t xml:space="preserve">1.5.1.10.2.5.3</t>
  </si>
  <si>
    <t xml:space="preserve">3901FS</t>
  </si>
  <si>
    <t xml:space="preserve">MSP-3903</t>
  </si>
  <si>
    <t xml:space="preserve">1.5.1.10.2.6</t>
  </si>
  <si>
    <t xml:space="preserve">MSP-3904</t>
  </si>
  <si>
    <t xml:space="preserve">1.5.1.10.2.6.1</t>
  </si>
  <si>
    <t xml:space="preserve">3902FS</t>
  </si>
  <si>
    <t xml:space="preserve">MSP-3905</t>
  </si>
  <si>
    <t xml:space="preserve">1.5.1.10.2.7</t>
  </si>
  <si>
    <t xml:space="preserve">MSP-3906</t>
  </si>
  <si>
    <t xml:space="preserve">1.5.1.10.2.7.1</t>
  </si>
  <si>
    <t xml:space="preserve">3904FS</t>
  </si>
  <si>
    <t xml:space="preserve">MSP-3907</t>
  </si>
  <si>
    <t xml:space="preserve">1.5.1.10.3</t>
  </si>
  <si>
    <t xml:space="preserve">MSP-3908</t>
  </si>
  <si>
    <t xml:space="preserve">1.5.1.10.3.1</t>
  </si>
  <si>
    <t xml:space="preserve">MSP-3909</t>
  </si>
  <si>
    <t xml:space="preserve">1.5.1.10.3.1.1</t>
  </si>
  <si>
    <t xml:space="preserve">MSP-3910</t>
  </si>
  <si>
    <t xml:space="preserve">1.5.1.10.3.2</t>
  </si>
  <si>
    <t xml:space="preserve">MSP-3911</t>
  </si>
  <si>
    <t xml:space="preserve">1.5.1.10.3.2.1</t>
  </si>
  <si>
    <t xml:space="preserve">3909FS</t>
  </si>
  <si>
    <t xml:space="preserve">MSP-3912</t>
  </si>
  <si>
    <t xml:space="preserve">1.5.1.10.3.2.2</t>
  </si>
  <si>
    <t xml:space="preserve">3911FS</t>
  </si>
  <si>
    <t xml:space="preserve">MSP-3913</t>
  </si>
  <si>
    <t xml:space="preserve">1.5.1.10.3.2.3</t>
  </si>
  <si>
    <t xml:space="preserve">3912FS</t>
  </si>
  <si>
    <t xml:space="preserve">MSP-3914</t>
  </si>
  <si>
    <t xml:space="preserve">1.5.1.10.3.2.4</t>
  </si>
  <si>
    <t xml:space="preserve">3913FS</t>
  </si>
  <si>
    <t xml:space="preserve">MSP-3915</t>
  </si>
  <si>
    <t xml:space="preserve">1.5.1.10.3.2.5</t>
  </si>
  <si>
    <t xml:space="preserve">3924FS</t>
  </si>
  <si>
    <t xml:space="preserve">MSP-3916</t>
  </si>
  <si>
    <t xml:space="preserve">1.5.1.10.3.2.6</t>
  </si>
  <si>
    <t xml:space="preserve">3915FS</t>
  </si>
  <si>
    <t xml:space="preserve">MSP-3917</t>
  </si>
  <si>
    <t xml:space="preserve">1.5.1.10.3.2.7</t>
  </si>
  <si>
    <t xml:space="preserve">3915SS</t>
  </si>
  <si>
    <t xml:space="preserve">MSP-3918</t>
  </si>
  <si>
    <t xml:space="preserve">1.5.1.10.3.2.8</t>
  </si>
  <si>
    <t xml:space="preserve">3916FS</t>
  </si>
  <si>
    <t xml:space="preserve">MSP-3919</t>
  </si>
  <si>
    <t xml:space="preserve">1.5.1.10.3.3</t>
  </si>
  <si>
    <t xml:space="preserve">MSP-3920</t>
  </si>
  <si>
    <t xml:space="preserve">1.5.1.10.3.3.1</t>
  </si>
  <si>
    <t xml:space="preserve">MSP-3921</t>
  </si>
  <si>
    <t xml:space="preserve">1.5.1.10.3.4</t>
  </si>
  <si>
    <t xml:space="preserve">MSP-3922</t>
  </si>
  <si>
    <t xml:space="preserve">1.5.1.10.3.4.1</t>
  </si>
  <si>
    <t xml:space="preserve">3920FS</t>
  </si>
  <si>
    <t xml:space="preserve">MSP-3923</t>
  </si>
  <si>
    <t xml:space="preserve">1.5.1.10.3.4.2</t>
  </si>
  <si>
    <t xml:space="preserve">3922FS</t>
  </si>
  <si>
    <t xml:space="preserve">MSP-3924</t>
  </si>
  <si>
    <t xml:space="preserve">1.5.1.10.3.4.3</t>
  </si>
  <si>
    <t xml:space="preserve">3923FS</t>
  </si>
  <si>
    <t xml:space="preserve">MSP-3925</t>
  </si>
  <si>
    <t xml:space="preserve">1.5.1.10.3.5</t>
  </si>
  <si>
    <t xml:space="preserve">MSP-3926</t>
  </si>
  <si>
    <t xml:space="preserve">1.5.1.10.3.5.1</t>
  </si>
  <si>
    <t xml:space="preserve">MSP-3927</t>
  </si>
  <si>
    <t xml:space="preserve">1.5.1.10.3.5.2</t>
  </si>
  <si>
    <t xml:space="preserve">3926FS</t>
  </si>
  <si>
    <t xml:space="preserve">MSP-3928</t>
  </si>
  <si>
    <t xml:space="preserve">1.5.1.10.3.5.3</t>
  </si>
  <si>
    <t xml:space="preserve">3929FS</t>
  </si>
  <si>
    <t xml:space="preserve">MSP-3929</t>
  </si>
  <si>
    <t xml:space="preserve">1.5.1.10.3.5.4</t>
  </si>
  <si>
    <t xml:space="preserve">3927FS</t>
  </si>
  <si>
    <t xml:space="preserve">MSP-3930</t>
  </si>
  <si>
    <t xml:space="preserve">1.5.1.10.3.6</t>
  </si>
  <si>
    <t xml:space="preserve">MSP-3931</t>
  </si>
  <si>
    <t xml:space="preserve">1.5.1.10.3.6.1</t>
  </si>
  <si>
    <t xml:space="preserve">MSP-3932</t>
  </si>
  <si>
    <t xml:space="preserve">1.5.1.10.4</t>
  </si>
  <si>
    <t xml:space="preserve">MSP-3933</t>
  </si>
  <si>
    <t xml:space="preserve">1.5.1.10.4.1</t>
  </si>
  <si>
    <t xml:space="preserve">MSP-3934</t>
  </si>
  <si>
    <t xml:space="preserve">1.5.1.10.4.1.1</t>
  </si>
  <si>
    <t xml:space="preserve">MSP-3935</t>
  </si>
  <si>
    <t xml:space="preserve">1.5.1.10.4.2</t>
  </si>
  <si>
    <t xml:space="preserve">MSP-3936</t>
  </si>
  <si>
    <t xml:space="preserve">1.5.1.10.4.2.1</t>
  </si>
  <si>
    <t xml:space="preserve">3934FS</t>
  </si>
  <si>
    <t xml:space="preserve">MSP-3937</t>
  </si>
  <si>
    <t xml:space="preserve">1.5.1.10.4.2.2</t>
  </si>
  <si>
    <t xml:space="preserve">3936FS</t>
  </si>
  <si>
    <t xml:space="preserve">MSP-3938</t>
  </si>
  <si>
    <t xml:space="preserve">1.5.1.10.4.2.3</t>
  </si>
  <si>
    <t xml:space="preserve">3937FS</t>
  </si>
  <si>
    <t xml:space="preserve">MSP-3939</t>
  </si>
  <si>
    <t xml:space="preserve">1.5.1.10.4.2.4</t>
  </si>
  <si>
    <t xml:space="preserve">3938FS</t>
  </si>
  <si>
    <t xml:space="preserve">MSP-3940</t>
  </si>
  <si>
    <t xml:space="preserve">1.5.1.10.4.2.5</t>
  </si>
  <si>
    <t xml:space="preserve">3958FS</t>
  </si>
  <si>
    <t xml:space="preserve">MSP-3941</t>
  </si>
  <si>
    <t xml:space="preserve">1.5.1.10.4.2.6</t>
  </si>
  <si>
    <t xml:space="preserve">3940FS</t>
  </si>
  <si>
    <t xml:space="preserve">MSP-3942</t>
  </si>
  <si>
    <t xml:space="preserve">1.5.1.10.4.2.7</t>
  </si>
  <si>
    <t xml:space="preserve">3940SS</t>
  </si>
  <si>
    <t xml:space="preserve">MSP-3943</t>
  </si>
  <si>
    <t xml:space="preserve">1.5.1.10.4.2.8</t>
  </si>
  <si>
    <t xml:space="preserve">3941FS</t>
  </si>
  <si>
    <t xml:space="preserve">MSP-3944</t>
  </si>
  <si>
    <t xml:space="preserve">1.5.1.10.4.3</t>
  </si>
  <si>
    <t xml:space="preserve">MSP-3945</t>
  </si>
  <si>
    <t xml:space="preserve">1.5.1.10.4.3.1</t>
  </si>
  <si>
    <t xml:space="preserve">3943FS</t>
  </si>
  <si>
    <t xml:space="preserve">MSP-3946</t>
  </si>
  <si>
    <t xml:space="preserve">1.5.1.10.4.3.2</t>
  </si>
  <si>
    <t xml:space="preserve">3945FS</t>
  </si>
  <si>
    <t xml:space="preserve">MSP-3947</t>
  </si>
  <si>
    <t xml:space="preserve">1.5.1.10.4.4</t>
  </si>
  <si>
    <t xml:space="preserve">MSP-3948</t>
  </si>
  <si>
    <t xml:space="preserve">1.5.1.10.4.4.1</t>
  </si>
  <si>
    <t xml:space="preserve">MSP-3949</t>
  </si>
  <si>
    <t xml:space="preserve">1.5.1.10.4.4.2</t>
  </si>
  <si>
    <t xml:space="preserve">3948FS</t>
  </si>
  <si>
    <t xml:space="preserve">MSP-3950</t>
  </si>
  <si>
    <t xml:space="preserve">1.5.1.10.4.4.3</t>
  </si>
  <si>
    <t xml:space="preserve">MSP-3951</t>
  </si>
  <si>
    <t xml:space="preserve">1.5.1.10.4.5</t>
  </si>
  <si>
    <t xml:space="preserve">MSP-3952</t>
  </si>
  <si>
    <t xml:space="preserve">1.5.1.10.4.5.1</t>
  </si>
  <si>
    <t xml:space="preserve">3949FS</t>
  </si>
  <si>
    <t xml:space="preserve">MSP-3953</t>
  </si>
  <si>
    <t xml:space="preserve">1.5.1.10.4.5.2</t>
  </si>
  <si>
    <t xml:space="preserve">3952FS</t>
  </si>
  <si>
    <t xml:space="preserve">MSP-3954</t>
  </si>
  <si>
    <t xml:space="preserve">1.5.1.10.4.5.3</t>
  </si>
  <si>
    <t xml:space="preserve">3953FS</t>
  </si>
  <si>
    <t xml:space="preserve">MSP-3955</t>
  </si>
  <si>
    <t xml:space="preserve">1.5.1.10.4.5.4</t>
  </si>
  <si>
    <t xml:space="preserve">3954FS</t>
  </si>
  <si>
    <t xml:space="preserve">MSP-3956</t>
  </si>
  <si>
    <t xml:space="preserve">1.5.1.10.4.5.5</t>
  </si>
  <si>
    <t xml:space="preserve">3955FS</t>
  </si>
  <si>
    <t xml:space="preserve">MSP-3957</t>
  </si>
  <si>
    <t xml:space="preserve">1.5.1.10.4.5.6</t>
  </si>
  <si>
    <t xml:space="preserve">3956FS</t>
  </si>
  <si>
    <t xml:space="preserve">MSP-3958</t>
  </si>
  <si>
    <t xml:space="preserve">1.5.1.10.4.5.7</t>
  </si>
  <si>
    <t xml:space="preserve">3957FS</t>
  </si>
  <si>
    <t xml:space="preserve">MSP-3959</t>
  </si>
  <si>
    <t xml:space="preserve">1.5.1.10.4.6</t>
  </si>
  <si>
    <t xml:space="preserve">MSP-3960</t>
  </si>
  <si>
    <t xml:space="preserve">1.5.1.10.4.6.1</t>
  </si>
  <si>
    <t xml:space="preserve">3946FS</t>
  </si>
  <si>
    <t xml:space="preserve">MSP-3961</t>
  </si>
  <si>
    <t xml:space="preserve">1.5.1.10.4.6.2</t>
  </si>
  <si>
    <t xml:space="preserve">3960FS</t>
  </si>
  <si>
    <t xml:space="preserve">MSP-3962</t>
  </si>
  <si>
    <t xml:space="preserve">1.5.1.11</t>
  </si>
  <si>
    <t xml:space="preserve">BLOQUE 11</t>
  </si>
  <si>
    <t xml:space="preserve">MSP-3963</t>
  </si>
  <si>
    <t xml:space="preserve">1.5.1.11.1</t>
  </si>
  <si>
    <t xml:space="preserve">MSP-3964</t>
  </si>
  <si>
    <t xml:space="preserve">1.5.1.11.1.1</t>
  </si>
  <si>
    <t xml:space="preserve">MSP-3965</t>
  </si>
  <si>
    <t xml:space="preserve">1.5.1.11.1.1.1</t>
  </si>
  <si>
    <t xml:space="preserve">MSP-3966</t>
  </si>
  <si>
    <t xml:space="preserve">1.5.1.11.1.2</t>
  </si>
  <si>
    <t xml:space="preserve">MSP-3967</t>
  </si>
  <si>
    <t xml:space="preserve">1.5.1.11.1.2.1</t>
  </si>
  <si>
    <t xml:space="preserve">3965FS</t>
  </si>
  <si>
    <t xml:space="preserve">MSP-3968</t>
  </si>
  <si>
    <t xml:space="preserve">1.5.1.11.1.2.2</t>
  </si>
  <si>
    <t xml:space="preserve">3967FS</t>
  </si>
  <si>
    <t xml:space="preserve">MSP-3969</t>
  </si>
  <si>
    <t xml:space="preserve">1.5.1.11.1.3</t>
  </si>
  <si>
    <t xml:space="preserve">MSP-3970</t>
  </si>
  <si>
    <t xml:space="preserve">1.5.1.11.1.3.1</t>
  </si>
  <si>
    <t xml:space="preserve">3968FS</t>
  </si>
  <si>
    <t xml:space="preserve">MSP-3971</t>
  </si>
  <si>
    <t xml:space="preserve">1.5.1.12</t>
  </si>
  <si>
    <t xml:space="preserve">BLOQUE 12</t>
  </si>
  <si>
    <t xml:space="preserve">MSP-3972</t>
  </si>
  <si>
    <t xml:space="preserve">1.5.1.12.1</t>
  </si>
  <si>
    <t xml:space="preserve">MSP-3973</t>
  </si>
  <si>
    <t xml:space="preserve">1.5.1.12.1.1</t>
  </si>
  <si>
    <t xml:space="preserve">MSP-3974</t>
  </si>
  <si>
    <t xml:space="preserve">1.5.1.12.1.1.1</t>
  </si>
  <si>
    <t xml:space="preserve">MSP-3975</t>
  </si>
  <si>
    <t xml:space="preserve">1.5.1.12.1.2</t>
  </si>
  <si>
    <t xml:space="preserve">MSP-3976</t>
  </si>
  <si>
    <t xml:space="preserve">1.5.1.12.1.2.1</t>
  </si>
  <si>
    <t xml:space="preserve">3974FS</t>
  </si>
  <si>
    <t xml:space="preserve">MSP-3977</t>
  </si>
  <si>
    <t xml:space="preserve">1.5.1.12.1.2.2</t>
  </si>
  <si>
    <t xml:space="preserve">3976FS</t>
  </si>
  <si>
    <t xml:space="preserve">MSP-3978</t>
  </si>
  <si>
    <t xml:space="preserve">1.5.1.12.1.3</t>
  </si>
  <si>
    <t xml:space="preserve">MSP-3979</t>
  </si>
  <si>
    <t xml:space="preserve">1.5.1.12.1.3.1</t>
  </si>
  <si>
    <t xml:space="preserve">3977FS</t>
  </si>
  <si>
    <t xml:space="preserve">MSP-3980</t>
  </si>
  <si>
    <t xml:space="preserve">1.5.1.13</t>
  </si>
  <si>
    <t xml:space="preserve">BLOQUE 13</t>
  </si>
  <si>
    <t xml:space="preserve">MSP-3981</t>
  </si>
  <si>
    <t xml:space="preserve">1.5.1.13.1</t>
  </si>
  <si>
    <t xml:space="preserve">MSP-3982</t>
  </si>
  <si>
    <t xml:space="preserve">1.5.1.13.1.1</t>
  </si>
  <si>
    <t xml:space="preserve">MSP-3983</t>
  </si>
  <si>
    <t xml:space="preserve">1.5.1.13.1.1.1</t>
  </si>
  <si>
    <t xml:space="preserve">MSP-3984</t>
  </si>
  <si>
    <t xml:space="preserve">1.5.1.13.1.2</t>
  </si>
  <si>
    <t xml:space="preserve">MSP-3985</t>
  </si>
  <si>
    <t xml:space="preserve">1.5.1.13.1.2.1</t>
  </si>
  <si>
    <t xml:space="preserve">3983FS</t>
  </si>
  <si>
    <t xml:space="preserve">MSP-3986</t>
  </si>
  <si>
    <t xml:space="preserve">1.5.1.13.1.2.2</t>
  </si>
  <si>
    <t xml:space="preserve">3985FS</t>
  </si>
  <si>
    <t xml:space="preserve">MSP-3987</t>
  </si>
  <si>
    <t xml:space="preserve">1.5.1.13.1.3</t>
  </si>
  <si>
    <t xml:space="preserve">MSP-3988</t>
  </si>
  <si>
    <t xml:space="preserve">1.5.1.13.1.3.1</t>
  </si>
  <si>
    <t xml:space="preserve">3986FS</t>
  </si>
  <si>
    <t xml:space="preserve">MSP-3989</t>
  </si>
  <si>
    <t xml:space="preserve">1.5.1.14</t>
  </si>
  <si>
    <t xml:space="preserve">BLOQUE 14</t>
  </si>
  <si>
    <t xml:space="preserve">MSP-3990</t>
  </si>
  <si>
    <t xml:space="preserve">1.5.1.14.1</t>
  </si>
  <si>
    <t xml:space="preserve">MSP-3991</t>
  </si>
  <si>
    <t xml:space="preserve">1.5.1.14.1.1</t>
  </si>
  <si>
    <t xml:space="preserve">MSP-3992</t>
  </si>
  <si>
    <t xml:space="preserve">1.5.1.14.1.1.1</t>
  </si>
  <si>
    <t xml:space="preserve">MSP-3993</t>
  </si>
  <si>
    <t xml:space="preserve">1.5.1.14.1.2</t>
  </si>
  <si>
    <t xml:space="preserve">MSP-3994</t>
  </si>
  <si>
    <t xml:space="preserve">1.5.1.14.1.2.1</t>
  </si>
  <si>
    <t xml:space="preserve">3992FS</t>
  </si>
  <si>
    <t xml:space="preserve">MSP-3995</t>
  </si>
  <si>
    <t xml:space="preserve">1.5.1.14.1.2.2</t>
  </si>
  <si>
    <t xml:space="preserve">3994FS</t>
  </si>
  <si>
    <t xml:space="preserve">MSP-3996</t>
  </si>
  <si>
    <t xml:space="preserve">1.5.1.14.1.3</t>
  </si>
  <si>
    <t xml:space="preserve">MSP-3997</t>
  </si>
  <si>
    <t xml:space="preserve">1.5.1.14.1.3.1</t>
  </si>
  <si>
    <t xml:space="preserve">3995FS</t>
  </si>
  <si>
    <t xml:space="preserve">MSP-3998</t>
  </si>
  <si>
    <t xml:space="preserve">1.5.1.15</t>
  </si>
  <si>
    <t xml:space="preserve">INSTALACIONES SANITARIAS EXTERIORES</t>
  </si>
  <si>
    <t xml:space="preserve">MSP-3999</t>
  </si>
  <si>
    <t xml:space="preserve">1.5.1.15.1</t>
  </si>
  <si>
    <t xml:space="preserve">MSP-4000</t>
  </si>
  <si>
    <t xml:space="preserve">1.5.1.15.1.1</t>
  </si>
  <si>
    <t xml:space="preserve">MSP-4001</t>
  </si>
  <si>
    <t xml:space="preserve">1.5.1.15.2</t>
  </si>
  <si>
    <t xml:space="preserve">MSP-4002</t>
  </si>
  <si>
    <t xml:space="preserve">1.5.1.15.2.1</t>
  </si>
  <si>
    <t xml:space="preserve">4000FS</t>
  </si>
  <si>
    <t xml:space="preserve">MSP-4003</t>
  </si>
  <si>
    <t xml:space="preserve">1.5.1.15.2.2</t>
  </si>
  <si>
    <t xml:space="preserve">4002FS</t>
  </si>
  <si>
    <t xml:space="preserve">MSP-4004</t>
  </si>
  <si>
    <t xml:space="preserve">1.5.1.15.2.3</t>
  </si>
  <si>
    <t xml:space="preserve">4003FS</t>
  </si>
  <si>
    <t xml:space="preserve">MSP-4005</t>
  </si>
  <si>
    <t xml:space="preserve">1.5.1.15.2.4</t>
  </si>
  <si>
    <t xml:space="preserve">4004FS</t>
  </si>
  <si>
    <t xml:space="preserve">MSP-4006</t>
  </si>
  <si>
    <t xml:space="preserve">1.5.1.15.2.5</t>
  </si>
  <si>
    <t xml:space="preserve">4005FS</t>
  </si>
  <si>
    <t xml:space="preserve">MSP-4007</t>
  </si>
  <si>
    <t xml:space="preserve">1.5.1.15.2.6</t>
  </si>
  <si>
    <t xml:space="preserve">4006FS</t>
  </si>
  <si>
    <t xml:space="preserve">MSP-4008</t>
  </si>
  <si>
    <t xml:space="preserve">1.5.1.15.2.7</t>
  </si>
  <si>
    <t xml:space="preserve">4007FS</t>
  </si>
  <si>
    <t xml:space="preserve">MSP-4009</t>
  </si>
  <si>
    <t xml:space="preserve">1.5.1.15.2.8</t>
  </si>
  <si>
    <t xml:space="preserve">4008FS</t>
  </si>
  <si>
    <t xml:space="preserve">MSP-4010</t>
  </si>
  <si>
    <t xml:space="preserve">1.5.1.15.3</t>
  </si>
  <si>
    <t xml:space="preserve">MSP-4011</t>
  </si>
  <si>
    <t xml:space="preserve">1.5.1.15.3.1</t>
  </si>
  <si>
    <t xml:space="preserve">MSP-4012</t>
  </si>
  <si>
    <t xml:space="preserve">1.5.1.15.3.1.1</t>
  </si>
  <si>
    <t xml:space="preserve">GRIFO DE RIEGO DE 1/2"</t>
  </si>
  <si>
    <t xml:space="preserve">4009FS</t>
  </si>
  <si>
    <t xml:space="preserve">MSP-4013</t>
  </si>
  <si>
    <t xml:space="preserve">1.5.1.15.4</t>
  </si>
  <si>
    <t xml:space="preserve">MSP-4014</t>
  </si>
  <si>
    <t xml:space="preserve">1.5.1.15.4.1</t>
  </si>
  <si>
    <t xml:space="preserve">REDES DE ALIMENTACION</t>
  </si>
  <si>
    <t xml:space="preserve">MSP-4015</t>
  </si>
  <si>
    <t xml:space="preserve">1.5.1.15.4.1.1</t>
  </si>
  <si>
    <t xml:space="preserve">MSP-4016</t>
  </si>
  <si>
    <t xml:space="preserve">1.5.1.15.4.2</t>
  </si>
  <si>
    <t xml:space="preserve">MSP-4017</t>
  </si>
  <si>
    <t xml:space="preserve">1.5.1.15.4.2.1</t>
  </si>
  <si>
    <t xml:space="preserve">4015FS</t>
  </si>
  <si>
    <t xml:space="preserve">MSP-4018</t>
  </si>
  <si>
    <t xml:space="preserve">1.5.1.15.4.2.2</t>
  </si>
  <si>
    <t xml:space="preserve">4017FS</t>
  </si>
  <si>
    <t xml:space="preserve">MSP-4019</t>
  </si>
  <si>
    <t xml:space="preserve">1.5.1.15.4.2.3</t>
  </si>
  <si>
    <t xml:space="preserve">4018FS</t>
  </si>
  <si>
    <t xml:space="preserve">MSP-4020</t>
  </si>
  <si>
    <t xml:space="preserve">1.5.1.15.4.2.4</t>
  </si>
  <si>
    <t xml:space="preserve">4019FS</t>
  </si>
  <si>
    <t xml:space="preserve">MSP-4021</t>
  </si>
  <si>
    <t xml:space="preserve">1.5.1.15.4.2.5</t>
  </si>
  <si>
    <t xml:space="preserve">4020FS</t>
  </si>
  <si>
    <t xml:space="preserve">MSP-4022</t>
  </si>
  <si>
    <t xml:space="preserve">1.5.1.15.4.2.6</t>
  </si>
  <si>
    <t xml:space="preserve">TUBERÍA F°G° Ø  2" C/R</t>
  </si>
  <si>
    <t xml:space="preserve">4021FS</t>
  </si>
  <si>
    <t xml:space="preserve">MSP-4023</t>
  </si>
  <si>
    <t xml:space="preserve">1.5.1.15.4.2.7</t>
  </si>
  <si>
    <t xml:space="preserve">TUBERÍA F°G° Ø  1 1/2" C/R.</t>
  </si>
  <si>
    <t xml:space="preserve">4022FS</t>
  </si>
  <si>
    <t xml:space="preserve">MSP-4024</t>
  </si>
  <si>
    <t xml:space="preserve">1.5.1.15.4.2.8</t>
  </si>
  <si>
    <t xml:space="preserve">TUBERÍA F°G° Ø  1 1/4" C/R.</t>
  </si>
  <si>
    <t xml:space="preserve">4023FS</t>
  </si>
  <si>
    <t xml:space="preserve">MSP-4025</t>
  </si>
  <si>
    <t xml:space="preserve">1.5.1.15.4.2.9</t>
  </si>
  <si>
    <t xml:space="preserve">TUBERÍA F°G° Ø  1 " C/R.</t>
  </si>
  <si>
    <t xml:space="preserve">4024FS</t>
  </si>
  <si>
    <t xml:space="preserve">MSP-4026</t>
  </si>
  <si>
    <t xml:space="preserve">1.5.1.15.4.2.10</t>
  </si>
  <si>
    <t xml:space="preserve">TUBERÍA F°G° Ø  3/4 " C/R.</t>
  </si>
  <si>
    <t xml:space="preserve">4025FS</t>
  </si>
  <si>
    <t xml:space="preserve">MSP-4027</t>
  </si>
  <si>
    <t xml:space="preserve">1.5.1.15.4.2.11</t>
  </si>
  <si>
    <t xml:space="preserve">TUBERÍA F°G° Ø  1/2" C/R.</t>
  </si>
  <si>
    <t xml:space="preserve">4026FS</t>
  </si>
  <si>
    <t xml:space="preserve">MSP-4028</t>
  </si>
  <si>
    <t xml:space="preserve">1.5.1.15.4.2.12</t>
  </si>
  <si>
    <t xml:space="preserve">PRUEBA HIDRAÚLICA INTEGRAL +  DESINFECCIÓN TUBERÍA ROSCADA DE 2'' A 1/2''</t>
  </si>
  <si>
    <t xml:space="preserve">4061FS</t>
  </si>
  <si>
    <t xml:space="preserve">MSP-4029</t>
  </si>
  <si>
    <t xml:space="preserve">1.5.1.15.4.3</t>
  </si>
  <si>
    <t xml:space="preserve">MSP-4030</t>
  </si>
  <si>
    <t xml:space="preserve">1.5.1.15.4.3.1</t>
  </si>
  <si>
    <t xml:space="preserve">4027FS</t>
  </si>
  <si>
    <t xml:space="preserve">MSP-4031</t>
  </si>
  <si>
    <t xml:space="preserve">1.5.1.15.4.3.2</t>
  </si>
  <si>
    <t xml:space="preserve">4030FS</t>
  </si>
  <si>
    <t xml:space="preserve">MSP-4032</t>
  </si>
  <si>
    <t xml:space="preserve">1.5.1.15.4.3.3</t>
  </si>
  <si>
    <t xml:space="preserve">4031FS</t>
  </si>
  <si>
    <t xml:space="preserve">MSP-4033</t>
  </si>
  <si>
    <t xml:space="preserve">1.5.1.15.4.3.4</t>
  </si>
  <si>
    <t xml:space="preserve">4032FS</t>
  </si>
  <si>
    <t xml:space="preserve">MSP-4034</t>
  </si>
  <si>
    <t xml:space="preserve">1.5.1.15.4.3.5</t>
  </si>
  <si>
    <t xml:space="preserve">4033FS</t>
  </si>
  <si>
    <t xml:space="preserve">MSP-4035</t>
  </si>
  <si>
    <t xml:space="preserve">1.5.1.15.4.3.6</t>
  </si>
  <si>
    <t xml:space="preserve">4034FS</t>
  </si>
  <si>
    <t xml:space="preserve">MSP-4036</t>
  </si>
  <si>
    <t xml:space="preserve">1.5.1.15.4.3.7</t>
  </si>
  <si>
    <t xml:space="preserve">CODO PVC Ø 2" x 90º C/R. C-10</t>
  </si>
  <si>
    <t xml:space="preserve">4035FS</t>
  </si>
  <si>
    <t xml:space="preserve">MSP-4037</t>
  </si>
  <si>
    <t xml:space="preserve">1.5.1.15.4.3.8</t>
  </si>
  <si>
    <t xml:space="preserve">CODO PVC Ø 1 1/4" x 90º C/R. C-10</t>
  </si>
  <si>
    <t xml:space="preserve">4036FS</t>
  </si>
  <si>
    <t xml:space="preserve">MSP-4038</t>
  </si>
  <si>
    <t xml:space="preserve">1.5.1.15.4.3.9</t>
  </si>
  <si>
    <t xml:space="preserve">4037FS</t>
  </si>
  <si>
    <t xml:space="preserve">MSP-4039</t>
  </si>
  <si>
    <t xml:space="preserve">1.5.1.15.4.3.10</t>
  </si>
  <si>
    <t xml:space="preserve">4038FS</t>
  </si>
  <si>
    <t xml:space="preserve">MSP-4040</t>
  </si>
  <si>
    <t xml:space="preserve">1.5.1.15.4.3.11</t>
  </si>
  <si>
    <t xml:space="preserve">TEE F°G° Ø 2" x Ø2" C/R.</t>
  </si>
  <si>
    <t xml:space="preserve">4039FS</t>
  </si>
  <si>
    <t xml:space="preserve">MSP-4041</t>
  </si>
  <si>
    <t xml:space="preserve">1.5.1.15.4.3.12</t>
  </si>
  <si>
    <t xml:space="preserve">TEE F°G° Ø 1 1/2" X Ø1 1/2" C/R.</t>
  </si>
  <si>
    <t xml:space="preserve">4040FS</t>
  </si>
  <si>
    <t xml:space="preserve">MSP-4042</t>
  </si>
  <si>
    <t xml:space="preserve">1.5.1.15.4.3.13</t>
  </si>
  <si>
    <t xml:space="preserve">TEE F°G° Ø 1 1/4" X Ø 1 1/4" C/R.</t>
  </si>
  <si>
    <t xml:space="preserve">4041FS</t>
  </si>
  <si>
    <t xml:space="preserve">MSP-4043</t>
  </si>
  <si>
    <t xml:space="preserve">1.5.1.15.4.3.14</t>
  </si>
  <si>
    <t xml:space="preserve">REDUCCIÓN F°G° Ø 2" a  1 1/2" C/R</t>
  </si>
  <si>
    <t xml:space="preserve">4042FS</t>
  </si>
  <si>
    <t xml:space="preserve">MSP-4044</t>
  </si>
  <si>
    <t xml:space="preserve">1.5.1.15.4.3.15</t>
  </si>
  <si>
    <t xml:space="preserve">REDUCCIÓN F°G° Ø 1 1/2" a  1 1/4" C/R.</t>
  </si>
  <si>
    <t xml:space="preserve">4043FS</t>
  </si>
  <si>
    <t xml:space="preserve">MSP-4045</t>
  </si>
  <si>
    <t xml:space="preserve">1.5.1.15.4.3.16</t>
  </si>
  <si>
    <t xml:space="preserve">REDUCCIÓN F°G° Ø 1 1/2" a  1" C/R.</t>
  </si>
  <si>
    <t xml:space="preserve">4044FS</t>
  </si>
  <si>
    <t xml:space="preserve">MSP-4046</t>
  </si>
  <si>
    <t xml:space="preserve">1.5.1.15.4.3.17</t>
  </si>
  <si>
    <t xml:space="preserve">REDUCCIÓN F°G° Ø 1 1/4" a  3/4" C/R.</t>
  </si>
  <si>
    <t xml:space="preserve">4045FS</t>
  </si>
  <si>
    <t xml:space="preserve">MSP-4047</t>
  </si>
  <si>
    <t xml:space="preserve">1.5.1.15.4.3.18</t>
  </si>
  <si>
    <t xml:space="preserve">CODO F°G° Ø 1 1/2" x 90° C/R.</t>
  </si>
  <si>
    <t xml:space="preserve">4046FS</t>
  </si>
  <si>
    <t xml:space="preserve">MSP-4048</t>
  </si>
  <si>
    <t xml:space="preserve">1.5.1.15.4.3.19</t>
  </si>
  <si>
    <t xml:space="preserve">CODO F°G° Ø 1 1/4" x 90º C/R.</t>
  </si>
  <si>
    <t xml:space="preserve">4047FS</t>
  </si>
  <si>
    <t xml:space="preserve">MSP-4049</t>
  </si>
  <si>
    <t xml:space="preserve">1.5.1.15.4.3.20</t>
  </si>
  <si>
    <t xml:space="preserve">CODO F°G° Ø 3/4 " x 90° C/R.</t>
  </si>
  <si>
    <t xml:space="preserve">4048FS</t>
  </si>
  <si>
    <t xml:space="preserve">MSP-4050</t>
  </si>
  <si>
    <t xml:space="preserve">1.5.1.15.4.3.21</t>
  </si>
  <si>
    <t xml:space="preserve">TRANSICIÓN F°G° A PVC D=2” (UND)</t>
  </si>
  <si>
    <t xml:space="preserve">4049FS</t>
  </si>
  <si>
    <t xml:space="preserve">MSP-4051</t>
  </si>
  <si>
    <t xml:space="preserve">1.5.1.15.4.3.22</t>
  </si>
  <si>
    <t xml:space="preserve">TRANSICIÓN F°G° A PVC D=1 1/2” (UND)</t>
  </si>
  <si>
    <t xml:space="preserve">4050FS</t>
  </si>
  <si>
    <t xml:space="preserve">MSP-4052</t>
  </si>
  <si>
    <t xml:space="preserve">1.5.1.15.4.3.23</t>
  </si>
  <si>
    <t xml:space="preserve">TRANSICIÓN F°G° A PVC D=1 1/4” (UND)</t>
  </si>
  <si>
    <t xml:space="preserve">4051FS</t>
  </si>
  <si>
    <t xml:space="preserve">MSP-4053</t>
  </si>
  <si>
    <t xml:space="preserve">1.5.1.15.4.3.24</t>
  </si>
  <si>
    <t xml:space="preserve">TRANSICIÓN F°G° A PVC D=1” (UND)</t>
  </si>
  <si>
    <t xml:space="preserve">4052FS</t>
  </si>
  <si>
    <t xml:space="preserve">MSP-4054</t>
  </si>
  <si>
    <t xml:space="preserve">1.5.1.15.4.3.25</t>
  </si>
  <si>
    <t xml:space="preserve">TRANSICIÓN F°G° A PVC D=3/4” (UND)</t>
  </si>
  <si>
    <t xml:space="preserve">4053FS</t>
  </si>
  <si>
    <t xml:space="preserve">MSP-4055</t>
  </si>
  <si>
    <t xml:space="preserve">1.5.1.15.4.4</t>
  </si>
  <si>
    <t xml:space="preserve">MSP-4056</t>
  </si>
  <si>
    <t xml:space="preserve">1.5.1.15.4.4.1</t>
  </si>
  <si>
    <t xml:space="preserve">VÁLVULA COMPUERTA PESADA BCE 150 PSI Ø 2". ROSCADA</t>
  </si>
  <si>
    <t xml:space="preserve">4054FS</t>
  </si>
  <si>
    <t xml:space="preserve">MSP-4057</t>
  </si>
  <si>
    <t xml:space="preserve">1.5.1.15.4.4.2</t>
  </si>
  <si>
    <t xml:space="preserve">VÁLVULA COMPUERTA PESADA BCE 150 PSI Ø 1 1/4". ROSCADA</t>
  </si>
  <si>
    <t xml:space="preserve">4056FS</t>
  </si>
  <si>
    <t xml:space="preserve">MSP-4058</t>
  </si>
  <si>
    <t xml:space="preserve">1.5.1.15.4.4.3</t>
  </si>
  <si>
    <t xml:space="preserve">4057FS</t>
  </si>
  <si>
    <t xml:space="preserve">MSP-4059</t>
  </si>
  <si>
    <t xml:space="preserve">1.5.1.15.4.4.4</t>
  </si>
  <si>
    <t xml:space="preserve">VÁLVULA CHECK DE BCE Ø 1 1/4". ROSCADA</t>
  </si>
  <si>
    <t xml:space="preserve">4058FS</t>
  </si>
  <si>
    <t xml:space="preserve">MSP-4060</t>
  </si>
  <si>
    <t xml:space="preserve">1.5.1.15.4.5</t>
  </si>
  <si>
    <t xml:space="preserve">MSP-4061</t>
  </si>
  <si>
    <t xml:space="preserve">1.5.1.15.4.5.1</t>
  </si>
  <si>
    <t xml:space="preserve">CAJA DE VALVULAS 0.80X0.80M</t>
  </si>
  <si>
    <t xml:space="preserve">4059FS</t>
  </si>
  <si>
    <t xml:space="preserve">MSP-4062</t>
  </si>
  <si>
    <t xml:space="preserve">1.5.1.15.4.6</t>
  </si>
  <si>
    <t xml:space="preserve">CISTERNA: TUBERIA Y ACCESORIOS</t>
  </si>
  <si>
    <t xml:space="preserve">MSP-4063</t>
  </si>
  <si>
    <t xml:space="preserve">1.5.1.15.4.6.1</t>
  </si>
  <si>
    <t xml:space="preserve">TUBERÍA F°G° Ø  4" C/R.</t>
  </si>
  <si>
    <t xml:space="preserve">MSP-4064</t>
  </si>
  <si>
    <t xml:space="preserve">1.5.1.15.4.6.2</t>
  </si>
  <si>
    <t xml:space="preserve">TUBERÍA F°G° Ø  2 1/2" C/R.</t>
  </si>
  <si>
    <t xml:space="preserve">4063FS</t>
  </si>
  <si>
    <t xml:space="preserve">MSP-4065</t>
  </si>
  <si>
    <t xml:space="preserve">1.5.1.15.4.6.3</t>
  </si>
  <si>
    <t xml:space="preserve">4064FS</t>
  </si>
  <si>
    <t xml:space="preserve">MSP-4066</t>
  </si>
  <si>
    <t xml:space="preserve">1.5.1.15.4.6.4</t>
  </si>
  <si>
    <t xml:space="preserve">CODO F°G° Ø4" x 90° C/R.</t>
  </si>
  <si>
    <t xml:space="preserve">4065FS</t>
  </si>
  <si>
    <t xml:space="preserve">MSP-4067</t>
  </si>
  <si>
    <t xml:space="preserve">1.5.1.15.4.6.5</t>
  </si>
  <si>
    <t xml:space="preserve">CODO F°G° Ø 2 1/2" x 90° C/R.</t>
  </si>
  <si>
    <t xml:space="preserve">4066FS</t>
  </si>
  <si>
    <t xml:space="preserve">MSP-4068</t>
  </si>
  <si>
    <t xml:space="preserve">1.5.1.15.4.6.6</t>
  </si>
  <si>
    <t xml:space="preserve">CODO F°G° Ø 2" x 90° C/R.</t>
  </si>
  <si>
    <t xml:space="preserve">4067FS</t>
  </si>
  <si>
    <t xml:space="preserve">MSP-4069</t>
  </si>
  <si>
    <t xml:space="preserve">1.5.1.15.4.6.7</t>
  </si>
  <si>
    <t xml:space="preserve">TEE  F°G° Ø2"x90° C/R.</t>
  </si>
  <si>
    <t xml:space="preserve">4068FS</t>
  </si>
  <si>
    <t xml:space="preserve">MSP-4070</t>
  </si>
  <si>
    <t xml:space="preserve">1.5.1.15.4.6.8</t>
  </si>
  <si>
    <t xml:space="preserve">TAPON MACHO DE PVC Ø2" C/R.</t>
  </si>
  <si>
    <t xml:space="preserve">4069FS</t>
  </si>
  <si>
    <t xml:space="preserve">MSP-4071</t>
  </si>
  <si>
    <t xml:space="preserve">1.5.1.15.4.6.9</t>
  </si>
  <si>
    <t xml:space="preserve">BRIDA DE F°.G° ROMPE AGUA Ø 4"</t>
  </si>
  <si>
    <t xml:space="preserve">MSP-4072</t>
  </si>
  <si>
    <t xml:space="preserve">1.5.1.15.4.6.10</t>
  </si>
  <si>
    <t xml:space="preserve">BRIDA DE F°.G° ROMPE AGUA Ø 2 1/2"</t>
  </si>
  <si>
    <t xml:space="preserve">MSP-4073</t>
  </si>
  <si>
    <t xml:space="preserve">1.5.1.15.4.6.11</t>
  </si>
  <si>
    <t xml:space="preserve">BRIDA DE F°.G° ROMPE AGUA Ø 1.1/4"</t>
  </si>
  <si>
    <t xml:space="preserve">4072FS</t>
  </si>
  <si>
    <t xml:space="preserve">MSP-4074</t>
  </si>
  <si>
    <t xml:space="preserve">1.5.1.15.4.6.12</t>
  </si>
  <si>
    <t xml:space="preserve">VALVULA DE PIE DE 2 1/2" CON CANASTILLA</t>
  </si>
  <si>
    <t xml:space="preserve">4073FS</t>
  </si>
  <si>
    <t xml:space="preserve">MSP-4075</t>
  </si>
  <si>
    <t xml:space="preserve">1.5.1.15.4.6.13</t>
  </si>
  <si>
    <t xml:space="preserve">VALVULA FLOTADORA 1 1/4"</t>
  </si>
  <si>
    <t xml:space="preserve">4074FS</t>
  </si>
  <si>
    <t xml:space="preserve">MSP-4076</t>
  </si>
  <si>
    <t xml:space="preserve">1.5.1.15.4.6.14</t>
  </si>
  <si>
    <t xml:space="preserve">VÁLVULA COMPUERTA PESADA BCE 150 PSI Ø 4". ROSCADA</t>
  </si>
  <si>
    <t xml:space="preserve">4075FS</t>
  </si>
  <si>
    <t xml:space="preserve">MSP-4077</t>
  </si>
  <si>
    <t xml:space="preserve">1.5.1.15.4.6.15</t>
  </si>
  <si>
    <t xml:space="preserve">VÁLVULA COMPUERTA PESADA BCE 150 PSI Ø 2 1/2". ROSCADA</t>
  </si>
  <si>
    <t xml:space="preserve">4076FS</t>
  </si>
  <si>
    <t xml:space="preserve">MSP-4078</t>
  </si>
  <si>
    <t xml:space="preserve">1.5.1.15.4.6.16</t>
  </si>
  <si>
    <t xml:space="preserve">4077FS</t>
  </si>
  <si>
    <t xml:space="preserve">MSP-4079</t>
  </si>
  <si>
    <t xml:space="preserve">1.5.1.15.4.6.17</t>
  </si>
  <si>
    <t xml:space="preserve">VÁLVULA CHECK DE BCE Ø 2". ROSCADA</t>
  </si>
  <si>
    <t xml:space="preserve">4078FS</t>
  </si>
  <si>
    <t xml:space="preserve">MSP-4080</t>
  </si>
  <si>
    <t xml:space="preserve">1.5.1.15.4.6.18</t>
  </si>
  <si>
    <t xml:space="preserve">ELECTROBOMBA SUMERGIBLE PARA AGUA DE 2.0 HP</t>
  </si>
  <si>
    <t xml:space="preserve">4079FS</t>
  </si>
  <si>
    <t xml:space="preserve">MSP-4081</t>
  </si>
  <si>
    <t xml:space="preserve">1.5.1.15.4.6.19</t>
  </si>
  <si>
    <t xml:space="preserve">SUMINISTRO E INSTALACION DE ELECTROBOMBA 4.0HP INCL TABLERO</t>
  </si>
  <si>
    <t xml:space="preserve">4080SS</t>
  </si>
  <si>
    <t xml:space="preserve">MSP-4082</t>
  </si>
  <si>
    <t xml:space="preserve">1.5.1.15.4.6.20</t>
  </si>
  <si>
    <t xml:space="preserve">4071FS</t>
  </si>
  <si>
    <t xml:space="preserve">MSP-4083</t>
  </si>
  <si>
    <t xml:space="preserve">1.5.1.15.4.6.21</t>
  </si>
  <si>
    <t xml:space="preserve">COLGADOR TIPO GOTA O SIMILAR  Ø2"</t>
  </si>
  <si>
    <t xml:space="preserve">4082FS</t>
  </si>
  <si>
    <t xml:space="preserve">MSP-4084</t>
  </si>
  <si>
    <t xml:space="preserve">1.5.1.15.4.6.22</t>
  </si>
  <si>
    <t xml:space="preserve">DADO DE APOYO 0.60X0.40</t>
  </si>
  <si>
    <t xml:space="preserve">4083FS</t>
  </si>
  <si>
    <t xml:space="preserve">MSP-4085</t>
  </si>
  <si>
    <t xml:space="preserve">1.5.1.15.4.6.23</t>
  </si>
  <si>
    <t xml:space="preserve">REGISTRO DE INSPECCION 1.50X1.50M CON TAPAS METALICAS DESMONTABLES</t>
  </si>
  <si>
    <t xml:space="preserve">4084FS</t>
  </si>
  <si>
    <t xml:space="preserve">MSP-4086</t>
  </si>
  <si>
    <t xml:space="preserve">1.5.1.15.4.6.24</t>
  </si>
  <si>
    <t xml:space="preserve">CANALETA DE REGILLA METALICA DE 0.40M</t>
  </si>
  <si>
    <t xml:space="preserve">4085FS</t>
  </si>
  <si>
    <t xml:space="preserve">MSP-4087</t>
  </si>
  <si>
    <t xml:space="preserve">1.5.1.15.4.6.25</t>
  </si>
  <si>
    <t xml:space="preserve">CONTROL DE NIVEL</t>
  </si>
  <si>
    <t xml:space="preserve">4086FS</t>
  </si>
  <si>
    <t xml:space="preserve">MSP-4088</t>
  </si>
  <si>
    <t xml:space="preserve">1.5.1.15.4.6.26</t>
  </si>
  <si>
    <t xml:space="preserve">ESCALERA DE ACERO INOXIDABLE SEGUN DISEÑO H = 2.40 M</t>
  </si>
  <si>
    <t xml:space="preserve">4087FS</t>
  </si>
  <si>
    <t xml:space="preserve">MSP-4089</t>
  </si>
  <si>
    <t xml:space="preserve">1.5.1.15.4.6.27</t>
  </si>
  <si>
    <t xml:space="preserve">ESCALERA METÁLICA H=2.40M</t>
  </si>
  <si>
    <t xml:space="preserve">4088SS</t>
  </si>
  <si>
    <t xml:space="preserve">MSP-4090</t>
  </si>
  <si>
    <t xml:space="preserve">1.5.1.15.4.7</t>
  </si>
  <si>
    <t xml:space="preserve">MSP-4091</t>
  </si>
  <si>
    <t xml:space="preserve">1.5.1.15.4.7.1</t>
  </si>
  <si>
    <t xml:space="preserve">MSP-4092</t>
  </si>
  <si>
    <t xml:space="preserve">1.5.1.15.4.7.2</t>
  </si>
  <si>
    <t xml:space="preserve">4091FS</t>
  </si>
  <si>
    <t xml:space="preserve">MSP-4093</t>
  </si>
  <si>
    <t xml:space="preserve">1.5.1.15.4.7.3</t>
  </si>
  <si>
    <t xml:space="preserve">TEE F°G° Ø4"x 90° C/R.</t>
  </si>
  <si>
    <t xml:space="preserve">4092FS</t>
  </si>
  <si>
    <t xml:space="preserve">MSP-4094</t>
  </si>
  <si>
    <t xml:space="preserve">1.5.1.15.4.7.4</t>
  </si>
  <si>
    <t xml:space="preserve">4093FS</t>
  </si>
  <si>
    <t xml:space="preserve">MSP-4095</t>
  </si>
  <si>
    <t xml:space="preserve">1.5.1.15.4.7.5</t>
  </si>
  <si>
    <t xml:space="preserve">4094FS</t>
  </si>
  <si>
    <t xml:space="preserve">MSP-4096</t>
  </si>
  <si>
    <t xml:space="preserve">1.5.1.15.4.7.6</t>
  </si>
  <si>
    <t xml:space="preserve">4091FS+-1.0d</t>
  </si>
  <si>
    <t xml:space="preserve">MSP-4097</t>
  </si>
  <si>
    <t xml:space="preserve">1.5.1.15.4.7.7</t>
  </si>
  <si>
    <t xml:space="preserve">4092FS+-1.0d</t>
  </si>
  <si>
    <t xml:space="preserve">MSP-4098</t>
  </si>
  <si>
    <t xml:space="preserve">1.5.1.15.4.7.8</t>
  </si>
  <si>
    <t xml:space="preserve">VALVULA BOYA Ø2"</t>
  </si>
  <si>
    <t xml:space="preserve">4097FS</t>
  </si>
  <si>
    <t xml:space="preserve">MSP-4099</t>
  </si>
  <si>
    <t xml:space="preserve">1.5.1.15.4.7.9</t>
  </si>
  <si>
    <t xml:space="preserve">4098FS</t>
  </si>
  <si>
    <t xml:space="preserve">MSP-4100</t>
  </si>
  <si>
    <t xml:space="preserve">1.5.1.15.4.7.10</t>
  </si>
  <si>
    <t xml:space="preserve">VÁLVULA CHECK DE BCE Ø 4". ROSCADA</t>
  </si>
  <si>
    <t xml:space="preserve">4099FS</t>
  </si>
  <si>
    <t xml:space="preserve">MSP-4101</t>
  </si>
  <si>
    <t xml:space="preserve">1.5.1.15.4.7.11</t>
  </si>
  <si>
    <t xml:space="preserve">4100FS</t>
  </si>
  <si>
    <t xml:space="preserve">MSP-4102</t>
  </si>
  <si>
    <t xml:space="preserve">1.5.1.15.4.7.12</t>
  </si>
  <si>
    <t xml:space="preserve">4096FS</t>
  </si>
  <si>
    <t xml:space="preserve">MSP-4103</t>
  </si>
  <si>
    <t xml:space="preserve">1.5.1.15.4.7.13</t>
  </si>
  <si>
    <t xml:space="preserve">4101FS</t>
  </si>
  <si>
    <t xml:space="preserve">MSP-4104</t>
  </si>
  <si>
    <t xml:space="preserve">1.5.1.15.4.7.14</t>
  </si>
  <si>
    <t xml:space="preserve">MSP-4105</t>
  </si>
  <si>
    <t xml:space="preserve">1.5.1.15.4.7.15</t>
  </si>
  <si>
    <t xml:space="preserve">COLGADOR TIPO GOTA O SIMILAR  Ø4"</t>
  </si>
  <si>
    <t xml:space="preserve">4104FS</t>
  </si>
  <si>
    <t xml:space="preserve">MSP-4106</t>
  </si>
  <si>
    <t xml:space="preserve">1.5.1.15.4.7.16</t>
  </si>
  <si>
    <t xml:space="preserve">4105FS</t>
  </si>
  <si>
    <t xml:space="preserve">MSP-4107</t>
  </si>
  <si>
    <t xml:space="preserve">1.5.1.15.4.7.17</t>
  </si>
  <si>
    <t xml:space="preserve">4106FS</t>
  </si>
  <si>
    <t xml:space="preserve">MSP-4108</t>
  </si>
  <si>
    <t xml:space="preserve">1.5.1.15.4.7.18</t>
  </si>
  <si>
    <t xml:space="preserve">TAPA SANITARIA DE ACERO ESTRIADO 1.00X1.00 M</t>
  </si>
  <si>
    <t xml:space="preserve">4107FS</t>
  </si>
  <si>
    <t xml:space="preserve">MSP-4109</t>
  </si>
  <si>
    <t xml:space="preserve">1.5.1.15.4.8</t>
  </si>
  <si>
    <t xml:space="preserve">VARIOS COMPLEMENTARIOS</t>
  </si>
  <si>
    <t xml:space="preserve">MSP-4110</t>
  </si>
  <si>
    <t xml:space="preserve">1.5.1.15.4.8.1</t>
  </si>
  <si>
    <t xml:space="preserve">MEDIDOR TIPO DISCO Ø 1"</t>
  </si>
  <si>
    <t xml:space="preserve">4102FS</t>
  </si>
  <si>
    <t xml:space="preserve">MSP-4111</t>
  </si>
  <si>
    <t xml:space="preserve">1.5.1.15.4.8.2</t>
  </si>
  <si>
    <t xml:space="preserve">DADO DE ANCLAJE</t>
  </si>
  <si>
    <t xml:space="preserve">4110FS</t>
  </si>
  <si>
    <t xml:space="preserve">MSP-4112</t>
  </si>
  <si>
    <t xml:space="preserve">1.5.1.15.4.8.3</t>
  </si>
  <si>
    <t xml:space="preserve">PRUEBA HIDRÁULICA INTEGRAL + DESINFECCIÓN DE TUBERÍA DE 4" A 2"</t>
  </si>
  <si>
    <t xml:space="preserve">4111SS</t>
  </si>
  <si>
    <t xml:space="preserve">MSP-4113</t>
  </si>
  <si>
    <t xml:space="preserve">1.5.1.15.4.8.4</t>
  </si>
  <si>
    <t xml:space="preserve">PROTECCIÓN PARA TUBERIA EN TECHO</t>
  </si>
  <si>
    <t xml:space="preserve">MSP-4114</t>
  </si>
  <si>
    <t xml:space="preserve">1.5.1.15.4.8.5</t>
  </si>
  <si>
    <t xml:space="preserve">4113FS</t>
  </si>
  <si>
    <t xml:space="preserve">MSP-4115</t>
  </si>
  <si>
    <t xml:space="preserve">1.5.1.15.4.8.6</t>
  </si>
  <si>
    <t xml:space="preserve">ABRAZADERA METALICA PARA TUBERIA Ø1 1/2"</t>
  </si>
  <si>
    <t xml:space="preserve">4114FS</t>
  </si>
  <si>
    <t xml:space="preserve">MSP-4116</t>
  </si>
  <si>
    <t xml:space="preserve">1.5.1.15.4.8.7</t>
  </si>
  <si>
    <t xml:space="preserve">ABRAZADERA METALICA PARA TUBERIA Ø3/4"</t>
  </si>
  <si>
    <t xml:space="preserve">4115FS</t>
  </si>
  <si>
    <t xml:space="preserve">MSP-4117</t>
  </si>
  <si>
    <t xml:space="preserve">1.5.1.15.4.8.8</t>
  </si>
  <si>
    <t xml:space="preserve">COLGADOR TIPO GOTA O SIMILAR  Ø1 1/2"</t>
  </si>
  <si>
    <t xml:space="preserve">4116SS</t>
  </si>
  <si>
    <t xml:space="preserve">MSP-4118</t>
  </si>
  <si>
    <t xml:space="preserve">1.5.1.15.4.8.9</t>
  </si>
  <si>
    <t xml:space="preserve">EMPALME A RED DE AGUA EXISTENTE</t>
  </si>
  <si>
    <t xml:space="preserve">MSP-4119</t>
  </si>
  <si>
    <t xml:space="preserve">1.5.1.15.5</t>
  </si>
  <si>
    <t xml:space="preserve">SISTEMA CONTRA INCENDIOS</t>
  </si>
  <si>
    <t xml:space="preserve">MSP-4120</t>
  </si>
  <si>
    <t xml:space="preserve">1.5.1.15.5.1</t>
  </si>
  <si>
    <t xml:space="preserve">MSP-4121</t>
  </si>
  <si>
    <t xml:space="preserve">1.5.1.15.5.1.1</t>
  </si>
  <si>
    <t xml:space="preserve">MSP-4122</t>
  </si>
  <si>
    <t xml:space="preserve">1.5.1.15.5.2</t>
  </si>
  <si>
    <t xml:space="preserve">MSP-4123</t>
  </si>
  <si>
    <t xml:space="preserve">1.5.1.15.5.2.1</t>
  </si>
  <si>
    <t xml:space="preserve">EXCAVACION DE ZANJA C/EQUIPO</t>
  </si>
  <si>
    <t xml:space="preserve">4121FS+60.0d</t>
  </si>
  <si>
    <t xml:space="preserve">MSP-4124</t>
  </si>
  <si>
    <t xml:space="preserve">1.5.1.15.5.2.2</t>
  </si>
  <si>
    <t xml:space="preserve">4123FS</t>
  </si>
  <si>
    <t xml:space="preserve">MSP-4125</t>
  </si>
  <si>
    <t xml:space="preserve">1.5.1.15.5.2.3</t>
  </si>
  <si>
    <t xml:space="preserve">4124FS</t>
  </si>
  <si>
    <t xml:space="preserve">MSP-4126</t>
  </si>
  <si>
    <t xml:space="preserve">1.5.1.15.5.2.4</t>
  </si>
  <si>
    <t xml:space="preserve">4125FS</t>
  </si>
  <si>
    <t xml:space="preserve">MSP-4127</t>
  </si>
  <si>
    <t xml:space="preserve">1.5.1.15.5.2.5</t>
  </si>
  <si>
    <t xml:space="preserve">4126FS</t>
  </si>
  <si>
    <t xml:space="preserve">MSP-4128</t>
  </si>
  <si>
    <t xml:space="preserve">1.5.1.15.5.2.6</t>
  </si>
  <si>
    <t xml:space="preserve">4127FS</t>
  </si>
  <si>
    <t xml:space="preserve">MSP-4129</t>
  </si>
  <si>
    <t xml:space="preserve">1.5.1.15.5.2.7</t>
  </si>
  <si>
    <t xml:space="preserve">4128FS</t>
  </si>
  <si>
    <t xml:space="preserve">MSP-4130</t>
  </si>
  <si>
    <t xml:space="preserve">1.5.1.15.5.3</t>
  </si>
  <si>
    <t xml:space="preserve">REDES DE ALIMENTACIÓN</t>
  </si>
  <si>
    <t xml:space="preserve">MSP-4131</t>
  </si>
  <si>
    <t xml:space="preserve">1.5.1.15.5.3.1</t>
  </si>
  <si>
    <t xml:space="preserve">TUBERIA HPDE 6" CON CAMA DE ARENA</t>
  </si>
  <si>
    <t xml:space="preserve">MSP-4132</t>
  </si>
  <si>
    <t xml:space="preserve">1.5.1.15.5.3.2</t>
  </si>
  <si>
    <t xml:space="preserve">TUBERÍA SCH 40 ACI Ø4"</t>
  </si>
  <si>
    <t xml:space="preserve">4131FS</t>
  </si>
  <si>
    <t xml:space="preserve">MSP-4133</t>
  </si>
  <si>
    <t xml:space="preserve">1.5.1.15.5.3.3</t>
  </si>
  <si>
    <t xml:space="preserve">TUBERÍA SCH 40 ACI Ø2.1/2"</t>
  </si>
  <si>
    <t xml:space="preserve">4132FS</t>
  </si>
  <si>
    <t xml:space="preserve">MSP-4134</t>
  </si>
  <si>
    <t xml:space="preserve">1.5.1.15.5.3.4</t>
  </si>
  <si>
    <t xml:space="preserve">TUBERÍA SCH 40 ACI Ø 1.1/2"</t>
  </si>
  <si>
    <t xml:space="preserve">4133FS</t>
  </si>
  <si>
    <t xml:space="preserve">MSP-4135</t>
  </si>
  <si>
    <t xml:space="preserve">1.5.1.15.5.4</t>
  </si>
  <si>
    <t xml:space="preserve">MSP-4136</t>
  </si>
  <si>
    <t xml:space="preserve">1.5.1.15.5.4.1</t>
  </si>
  <si>
    <t xml:space="preserve">TEE HDPE Ø DE 4"x 4"</t>
  </si>
  <si>
    <t xml:space="preserve">4131SS</t>
  </si>
  <si>
    <t xml:space="preserve">MSP-4137</t>
  </si>
  <si>
    <t xml:space="preserve">1.5.1.15.5.4.2</t>
  </si>
  <si>
    <t xml:space="preserve">REDUCCIÓN HDPE Ø 4" a 2 1/2"</t>
  </si>
  <si>
    <t xml:space="preserve">4136FS</t>
  </si>
  <si>
    <t xml:space="preserve">MSP-4138</t>
  </si>
  <si>
    <t xml:space="preserve">1.5.1.15.5.4.3</t>
  </si>
  <si>
    <t xml:space="preserve">CODO HDPE DE Ø 4"x90º</t>
  </si>
  <si>
    <t xml:space="preserve">4137FS</t>
  </si>
  <si>
    <t xml:space="preserve">MSP-4139</t>
  </si>
  <si>
    <t xml:space="preserve">1.5.1.15.5.4.4</t>
  </si>
  <si>
    <t xml:space="preserve">TRANSICION  HDPE A SCH-40 Ø4</t>
  </si>
  <si>
    <t xml:space="preserve">4138FS</t>
  </si>
  <si>
    <t xml:space="preserve">MSP-4140</t>
  </si>
  <si>
    <t xml:space="preserve">1.5.1.15.5.4.5</t>
  </si>
  <si>
    <t xml:space="preserve">TRANSICION  HDPE A SCH-40 Ø2 1/2</t>
  </si>
  <si>
    <t xml:space="preserve">4139FS</t>
  </si>
  <si>
    <t xml:space="preserve">MSP-4141</t>
  </si>
  <si>
    <t xml:space="preserve">1.5.1.15.5.4.6</t>
  </si>
  <si>
    <t xml:space="preserve">CODO RANURADO SCH-40 Ø 4"x 90°</t>
  </si>
  <si>
    <t xml:space="preserve">4140FS</t>
  </si>
  <si>
    <t xml:space="preserve">MSP-4142</t>
  </si>
  <si>
    <t xml:space="preserve">1.5.1.15.5.4.7</t>
  </si>
  <si>
    <t xml:space="preserve">CODO RANURADO SCH-40 Ø 2 1/2"x 90°</t>
  </si>
  <si>
    <t xml:space="preserve">4141FS</t>
  </si>
  <si>
    <t xml:space="preserve">MSP-4143</t>
  </si>
  <si>
    <t xml:space="preserve">1.5.1.15.5.4.8</t>
  </si>
  <si>
    <t xml:space="preserve">TEE RANURADO SCH-40 Ø 4 "x 4 "</t>
  </si>
  <si>
    <t xml:space="preserve">4142FS</t>
  </si>
  <si>
    <t xml:space="preserve">MSP-4144</t>
  </si>
  <si>
    <t xml:space="preserve">1.5.1.15.5.4.9</t>
  </si>
  <si>
    <t xml:space="preserve">TEE RANURADO SCH-40 Ø 2 1/2"x 2 1/2"</t>
  </si>
  <si>
    <t xml:space="preserve">4143FS</t>
  </si>
  <si>
    <t xml:space="preserve">MSP-4145</t>
  </si>
  <si>
    <t xml:space="preserve">1.5.1.15.5.4.10</t>
  </si>
  <si>
    <t xml:space="preserve">VALVULA UNION SIAMESA, TIPO POSTE  (4" X 2 1/2" X 2 1/2")</t>
  </si>
  <si>
    <t xml:space="preserve">4144FS</t>
  </si>
  <si>
    <t xml:space="preserve">MSP-4146</t>
  </si>
  <si>
    <t xml:space="preserve">1.5.1.15.5.4.11</t>
  </si>
  <si>
    <t xml:space="preserve">REDUCCION SCH - 40 Ø 4"x2 1/2" - RANURADO</t>
  </si>
  <si>
    <t xml:space="preserve">4145FS</t>
  </si>
  <si>
    <t xml:space="preserve">MSP-4147</t>
  </si>
  <si>
    <t xml:space="preserve">1.5.1.15.5.4.12</t>
  </si>
  <si>
    <t xml:space="preserve">REDUCCION SCH - 40 Ø 2 1/2"x1 1/2" - RANURADO</t>
  </si>
  <si>
    <t xml:space="preserve">4146FS</t>
  </si>
  <si>
    <t xml:space="preserve">MSP-4148</t>
  </si>
  <si>
    <t xml:space="preserve">1.5.1.15.5.5</t>
  </si>
  <si>
    <t xml:space="preserve">SUMINISTRO E INSTALACIÓN DE GABINETES CONTRA INCENDIO</t>
  </si>
  <si>
    <t xml:space="preserve">MSP-4149</t>
  </si>
  <si>
    <t xml:space="preserve">1.5.1.15.5.5.1</t>
  </si>
  <si>
    <t xml:space="preserve">GABINETE CONTRA INCENDIO ADOSADO CLASE III CON REDUCTORA DE PRESIÓN</t>
  </si>
  <si>
    <t xml:space="preserve">4134FS</t>
  </si>
  <si>
    <t xml:space="preserve">MSP-4150</t>
  </si>
  <si>
    <t xml:space="preserve">1.5.1.15.5.6</t>
  </si>
  <si>
    <t xml:space="preserve">VÁLVULAS DE SISTEMA CONTRA INCENDIO</t>
  </si>
  <si>
    <t xml:space="preserve">MSP-4151</t>
  </si>
  <si>
    <t xml:space="preserve">1.5.1.15.5.6.1</t>
  </si>
  <si>
    <t xml:space="preserve">VALVULA DE RETENCION Ø4"</t>
  </si>
  <si>
    <t xml:space="preserve">4149FS</t>
  </si>
  <si>
    <t xml:space="preserve">MSP-4152</t>
  </si>
  <si>
    <t xml:space="preserve">1.5.1.15.5.6.2</t>
  </si>
  <si>
    <t xml:space="preserve">VALVULA CHECK 4"</t>
  </si>
  <si>
    <t xml:space="preserve">4151FS</t>
  </si>
  <si>
    <t xml:space="preserve">MSP-4153</t>
  </si>
  <si>
    <t xml:space="preserve">1.5.1.15.5.7</t>
  </si>
  <si>
    <t xml:space="preserve">CUARTO DE MAQUINA: TUBERIA Y ACCESORIOS</t>
  </si>
  <si>
    <t xml:space="preserve">MSP-4154</t>
  </si>
  <si>
    <t xml:space="preserve">1.5.1.15.5.7.1</t>
  </si>
  <si>
    <t xml:space="preserve">TUBERÍA SCH 40 ACI Ø6"</t>
  </si>
  <si>
    <t xml:space="preserve">MSP-4155</t>
  </si>
  <si>
    <t xml:space="preserve">1.5.1.15.5.7.2</t>
  </si>
  <si>
    <t xml:space="preserve">4154FS</t>
  </si>
  <si>
    <t xml:space="preserve">MSP-4156</t>
  </si>
  <si>
    <t xml:space="preserve">1.5.1.15.5.7.3</t>
  </si>
  <si>
    <t xml:space="preserve">TUBERÍA SCH 40 ACI Ø 1.1/4"</t>
  </si>
  <si>
    <t xml:space="preserve">4155FS</t>
  </si>
  <si>
    <t xml:space="preserve">MSP-4157</t>
  </si>
  <si>
    <t xml:space="preserve">1.5.1.15.5.7.4</t>
  </si>
  <si>
    <t xml:space="preserve">TUBERÍA SCH 40 ACI Ø 1/2"</t>
  </si>
  <si>
    <t xml:space="preserve">4156FS</t>
  </si>
  <si>
    <t xml:space="preserve">MSP-4158</t>
  </si>
  <si>
    <t xml:space="preserve">1.5.1.15.5.7.5</t>
  </si>
  <si>
    <t xml:space="preserve">PLATO DE Ø6" ANTI-VORTEX 0.60MX0.60M</t>
  </si>
  <si>
    <t xml:space="preserve">4154SS</t>
  </si>
  <si>
    <t xml:space="preserve">MSP-4159</t>
  </si>
  <si>
    <t xml:space="preserve">1.5.1.15.5.7.6</t>
  </si>
  <si>
    <t xml:space="preserve">CODO Ø6 90° RADIO LARGO SOLDABLE</t>
  </si>
  <si>
    <t xml:space="preserve">4158FS</t>
  </si>
  <si>
    <t xml:space="preserve">MSP-4160</t>
  </si>
  <si>
    <t xml:space="preserve">1.5.1.15.5.7.7</t>
  </si>
  <si>
    <t xml:space="preserve">CODO RANURADO SCH-40  4"x 90°</t>
  </si>
  <si>
    <t xml:space="preserve">4159FS</t>
  </si>
  <si>
    <t xml:space="preserve">MSP-4161</t>
  </si>
  <si>
    <t xml:space="preserve">1.5.1.15.5.7.8</t>
  </si>
  <si>
    <t xml:space="preserve">CODO HEMBRA SCH-40  4"x 90°</t>
  </si>
  <si>
    <t xml:space="preserve">4160FS</t>
  </si>
  <si>
    <t xml:space="preserve">MSP-4162</t>
  </si>
  <si>
    <t xml:space="preserve">1.5.1.15.5.7.9</t>
  </si>
  <si>
    <t xml:space="preserve">CODO HEMBRA SCH-40  1 1/4"x 90°</t>
  </si>
  <si>
    <t xml:space="preserve">4161FS</t>
  </si>
  <si>
    <t xml:space="preserve">MSP-4163</t>
  </si>
  <si>
    <t xml:space="preserve">1.5.1.15.5.7.10</t>
  </si>
  <si>
    <t xml:space="preserve">CODO HEMBRA SCH 40  Ø1 /2"X90°</t>
  </si>
  <si>
    <t xml:space="preserve">4162FS</t>
  </si>
  <si>
    <t xml:space="preserve">MSP-4164</t>
  </si>
  <si>
    <t xml:space="preserve">1.5.1.15.5.7.11</t>
  </si>
  <si>
    <t xml:space="preserve">TEE RANURADO SCH-40  Ø4"X4"- RANURADO</t>
  </si>
  <si>
    <t xml:space="preserve">4163FS</t>
  </si>
  <si>
    <t xml:space="preserve">MSP-4165</t>
  </si>
  <si>
    <t xml:space="preserve">1.5.1.15.5.7.12</t>
  </si>
  <si>
    <t xml:space="preserve">TEE RANURADO SCH-40 1 1/4°</t>
  </si>
  <si>
    <t xml:space="preserve">4164FS</t>
  </si>
  <si>
    <t xml:space="preserve">MSP-4166</t>
  </si>
  <si>
    <t xml:space="preserve">1.5.1.15.5.7.13</t>
  </si>
  <si>
    <t xml:space="preserve">TEE REDUCTORA HEMBRA SCH 40 Ø1 1/4"</t>
  </si>
  <si>
    <t xml:space="preserve">4165FS</t>
  </si>
  <si>
    <t xml:space="preserve">MSP-4167</t>
  </si>
  <si>
    <t xml:space="preserve">1.5.1.15.5.7.14</t>
  </si>
  <si>
    <t xml:space="preserve">TEE ROSCADO SCH 40  Ø1 1/4" X 1/2"</t>
  </si>
  <si>
    <t xml:space="preserve">4166FS</t>
  </si>
  <si>
    <t xml:space="preserve">MSP-4168</t>
  </si>
  <si>
    <t xml:space="preserve">1.5.1.15.5.7.15</t>
  </si>
  <si>
    <t xml:space="preserve">BRIDA SLIP ON 6"</t>
  </si>
  <si>
    <t xml:space="preserve">4167FS</t>
  </si>
  <si>
    <t xml:space="preserve">MSP-4169</t>
  </si>
  <si>
    <t xml:space="preserve">1.5.1.15.5.7.16</t>
  </si>
  <si>
    <t xml:space="preserve">BRIDA SLIP ON 1 1/4"</t>
  </si>
  <si>
    <t xml:space="preserve">4168FS</t>
  </si>
  <si>
    <t xml:space="preserve">MSP-4170</t>
  </si>
  <si>
    <t xml:space="preserve">1.5.1.15.5.7.17</t>
  </si>
  <si>
    <t xml:space="preserve">BRIDA ROMPE AGUA SCH 40 Ø6"</t>
  </si>
  <si>
    <t xml:space="preserve">4169FS</t>
  </si>
  <si>
    <t xml:space="preserve">MSP-4171</t>
  </si>
  <si>
    <t xml:space="preserve">1.5.1.15.5.7.18</t>
  </si>
  <si>
    <t xml:space="preserve">BRIDA ROMPE AGUA SCH 40 Ø4"</t>
  </si>
  <si>
    <t xml:space="preserve">4170FS</t>
  </si>
  <si>
    <t xml:space="preserve">MSP-4172</t>
  </si>
  <si>
    <t xml:space="preserve">1.5.1.15.5.7.19</t>
  </si>
  <si>
    <t xml:space="preserve">BRIDA ADAPTADOR SCH 40 Ø6"</t>
  </si>
  <si>
    <t xml:space="preserve">4171FS</t>
  </si>
  <si>
    <t xml:space="preserve">MSP-4173</t>
  </si>
  <si>
    <t xml:space="preserve">1.5.1.15.5.7.20</t>
  </si>
  <si>
    <t xml:space="preserve">BRIDA ADAPTADOR SCH 40 Ø5"</t>
  </si>
  <si>
    <t xml:space="preserve">4172FS</t>
  </si>
  <si>
    <t xml:space="preserve">MSP-4174</t>
  </si>
  <si>
    <t xml:space="preserve">1.5.1.15.5.7.21</t>
  </si>
  <si>
    <t xml:space="preserve">BRIDA ADAPTADOR SCH 40 Ø4"</t>
  </si>
  <si>
    <t xml:space="preserve">4173FS</t>
  </si>
  <si>
    <t xml:space="preserve">MSP-4175</t>
  </si>
  <si>
    <t xml:space="preserve">1.5.1.15.5.7.22</t>
  </si>
  <si>
    <t xml:space="preserve">BUSHING REDUCTOR 1/2" X 1/4" SCH 40</t>
  </si>
  <si>
    <t xml:space="preserve">4174FS</t>
  </si>
  <si>
    <t xml:space="preserve">MSP-4176</t>
  </si>
  <si>
    <t xml:space="preserve">1.5.1.15.5.7.23</t>
  </si>
  <si>
    <t xml:space="preserve">ACOPLE RIGIDO SCH 40 DE Ø6"</t>
  </si>
  <si>
    <t xml:space="preserve">4175FS</t>
  </si>
  <si>
    <t xml:space="preserve">MSP-4177</t>
  </si>
  <si>
    <t xml:space="preserve">1.5.1.15.5.7.24</t>
  </si>
  <si>
    <t xml:space="preserve">ACOPLE RIGIDO SCH 40 DE Ø4"</t>
  </si>
  <si>
    <t xml:space="preserve">4176FS</t>
  </si>
  <si>
    <t xml:space="preserve">MSP-4178</t>
  </si>
  <si>
    <t xml:space="preserve">1.5.1.15.5.7.25</t>
  </si>
  <si>
    <t xml:space="preserve">NIPLE SOLDABLE SCH 40 Ø1 1/4"</t>
  </si>
  <si>
    <t xml:space="preserve">4177FS</t>
  </si>
  <si>
    <t xml:space="preserve">MSP-4179</t>
  </si>
  <si>
    <t xml:space="preserve">1.5.1.15.5.7.26</t>
  </si>
  <si>
    <t xml:space="preserve">NIPLE SOLDABLE SCH 40 Ø1/2"</t>
  </si>
  <si>
    <t xml:space="preserve">4178FS</t>
  </si>
  <si>
    <t xml:space="preserve">MSP-4180</t>
  </si>
  <si>
    <t xml:space="preserve">1.5.1.15.5.7.27</t>
  </si>
  <si>
    <t xml:space="preserve">REDUCCION EXCENTRICA RANURADA 6"X5"</t>
  </si>
  <si>
    <t xml:space="preserve">4179FS</t>
  </si>
  <si>
    <t xml:space="preserve">MSP-4181</t>
  </si>
  <si>
    <t xml:space="preserve">1.5.1.15.5.7.28</t>
  </si>
  <si>
    <t xml:space="preserve">REDUCCION CONCENTRICA RANURADA 6"X4"</t>
  </si>
  <si>
    <t xml:space="preserve">4180FS</t>
  </si>
  <si>
    <t xml:space="preserve">MSP-4182</t>
  </si>
  <si>
    <t xml:space="preserve">1.5.1.15.5.7.29</t>
  </si>
  <si>
    <t xml:space="preserve">VALVULA OS&amp;Y BRIDADA Ø6"</t>
  </si>
  <si>
    <t xml:space="preserve">4181FS</t>
  </si>
  <si>
    <t xml:space="preserve">MSP-4183</t>
  </si>
  <si>
    <t xml:space="preserve">1.5.1.15.5.7.30</t>
  </si>
  <si>
    <t xml:space="preserve">VALVULA OS&amp;Y BRIDADA 4"</t>
  </si>
  <si>
    <t xml:space="preserve">4182FS</t>
  </si>
  <si>
    <t xml:space="preserve">MSP-4184</t>
  </si>
  <si>
    <t xml:space="preserve">1.5.1.15.5.7.31</t>
  </si>
  <si>
    <t xml:space="preserve">VALVULA OS&amp;Y BRIDADA Ø1 1/2"</t>
  </si>
  <si>
    <t xml:space="preserve">4183FS</t>
  </si>
  <si>
    <t xml:space="preserve">MSP-4185</t>
  </si>
  <si>
    <t xml:space="preserve">1.5.1.15.5.7.32</t>
  </si>
  <si>
    <t xml:space="preserve">4184FS</t>
  </si>
  <si>
    <t xml:space="preserve">MSP-4186</t>
  </si>
  <si>
    <t xml:space="preserve">1.5.1.15.5.7.33</t>
  </si>
  <si>
    <t xml:space="preserve">VALVULA CHECK Ø 1/2"</t>
  </si>
  <si>
    <t xml:space="preserve">4185FS</t>
  </si>
  <si>
    <t xml:space="preserve">MSP-4187</t>
  </si>
  <si>
    <t xml:space="preserve">1.5.1.15.5.7.34</t>
  </si>
  <si>
    <t xml:space="preserve">VALVULA MARIPOSA Ø4"</t>
  </si>
  <si>
    <t xml:space="preserve">4186FS</t>
  </si>
  <si>
    <t xml:space="preserve">MSP-4188</t>
  </si>
  <si>
    <t xml:space="preserve">1.5.1.15.5.7.35</t>
  </si>
  <si>
    <t xml:space="preserve">VALVULA DE VENTEO  Ø 1 1/4"</t>
  </si>
  <si>
    <t xml:space="preserve">4187FS</t>
  </si>
  <si>
    <t xml:space="preserve">MSP-4189</t>
  </si>
  <si>
    <t xml:space="preserve">1.5.1.15.5.7.36</t>
  </si>
  <si>
    <t xml:space="preserve">VALVULA DE ALIVIO Ø4"</t>
  </si>
  <si>
    <t xml:space="preserve">4188FS</t>
  </si>
  <si>
    <t xml:space="preserve">MSP-4190</t>
  </si>
  <si>
    <t xml:space="preserve">1.5.1.15.5.7.37</t>
  </si>
  <si>
    <t xml:space="preserve">VALVULA DE SEGURIDAD-ALARMA Ø4"</t>
  </si>
  <si>
    <t xml:space="preserve">4189FS</t>
  </si>
  <si>
    <t xml:space="preserve">MSP-4191</t>
  </si>
  <si>
    <t xml:space="preserve">1.5.1.15.5.7.38</t>
  </si>
  <si>
    <t xml:space="preserve">VALVULA CHECK BCE Ø 1 1/4" ROSCADA</t>
  </si>
  <si>
    <t xml:space="preserve">4190FS</t>
  </si>
  <si>
    <t xml:space="preserve">MSP-4192</t>
  </si>
  <si>
    <t xml:space="preserve">1.5.1.15.5.7.39</t>
  </si>
  <si>
    <t xml:space="preserve">4191FS</t>
  </si>
  <si>
    <t xml:space="preserve">MSP-4193</t>
  </si>
  <si>
    <t xml:space="preserve">1.5.1.15.5.7.40</t>
  </si>
  <si>
    <t xml:space="preserve">VALVULA DE BOLA Ø 1/2"</t>
  </si>
  <si>
    <t xml:space="preserve">4192FS</t>
  </si>
  <si>
    <t xml:space="preserve">MSP-4194</t>
  </si>
  <si>
    <t xml:space="preserve">1.5.1.15.5.7.41</t>
  </si>
  <si>
    <t xml:space="preserve">VALVULA DE TRES VIAS Ø1 1/4"</t>
  </si>
  <si>
    <t xml:space="preserve">4193FS</t>
  </si>
  <si>
    <t xml:space="preserve">MSP-4195</t>
  </si>
  <si>
    <t xml:space="preserve">1.5.1.15.5.7.42</t>
  </si>
  <si>
    <t xml:space="preserve">MANOMETRO  0-300 PSI PRESION 2%</t>
  </si>
  <si>
    <t xml:space="preserve">MSP-4196</t>
  </si>
  <si>
    <t xml:space="preserve">1.5.1.15.5.7.43</t>
  </si>
  <si>
    <t xml:space="preserve">MANOMETRO Ø 1/2"</t>
  </si>
  <si>
    <t xml:space="preserve">MSP-4197</t>
  </si>
  <si>
    <t xml:space="preserve">1.5.1.15.5.7.44</t>
  </si>
  <si>
    <t xml:space="preserve">MEDIDOR DE CAUDAL Ø4"</t>
  </si>
  <si>
    <t xml:space="preserve">4195FS</t>
  </si>
  <si>
    <t xml:space="preserve">MSP-4198</t>
  </si>
  <si>
    <t xml:space="preserve">1.5.1.15.5.7.45</t>
  </si>
  <si>
    <t xml:space="preserve">SENSOR DE FLUJO</t>
  </si>
  <si>
    <t xml:space="preserve">4196FS</t>
  </si>
  <si>
    <t xml:space="preserve">MSP-4199</t>
  </si>
  <si>
    <t xml:space="preserve">1.5.1.15.5.7.46</t>
  </si>
  <si>
    <t xml:space="preserve">DADO DE CONCRETO DE APOYO 1.0M X 1.0M</t>
  </si>
  <si>
    <t xml:space="preserve">4197FS</t>
  </si>
  <si>
    <t xml:space="preserve">MSP-4200</t>
  </si>
  <si>
    <t xml:space="preserve">1.5.1.15.5.7.47</t>
  </si>
  <si>
    <t xml:space="preserve">ACOPLE FLEXIBLE DE 4"</t>
  </si>
  <si>
    <t xml:space="preserve">4198FS</t>
  </si>
  <si>
    <t xml:space="preserve">MSP-4201</t>
  </si>
  <si>
    <t xml:space="preserve">1.5.1.15.5.7.48</t>
  </si>
  <si>
    <t xml:space="preserve">ACOPLE FLEXIBLE DE Ø1 1/4"</t>
  </si>
  <si>
    <t xml:space="preserve">MSP-4202</t>
  </si>
  <si>
    <t xml:space="preserve">1.5.1.15.5.7.49</t>
  </si>
  <si>
    <t xml:space="preserve">COLGADOR DE SOPORTE DE TUBERIA Ø4"</t>
  </si>
  <si>
    <t xml:space="preserve">4200SS</t>
  </si>
  <si>
    <t xml:space="preserve">MSP-4203</t>
  </si>
  <si>
    <t xml:space="preserve">1.5.1.15.5.7.50</t>
  </si>
  <si>
    <t xml:space="preserve">4201FS</t>
  </si>
  <si>
    <t xml:space="preserve">MSP-4204</t>
  </si>
  <si>
    <t xml:space="preserve">1.5.1.15.5.7.51</t>
  </si>
  <si>
    <t xml:space="preserve">4203FS</t>
  </si>
  <si>
    <t xml:space="preserve">MSP-4205</t>
  </si>
  <si>
    <t xml:space="preserve">1.5.1.15.5.7.52</t>
  </si>
  <si>
    <t xml:space="preserve">ESCALERA DE ACERO INOXIDABLE SEGÚN DISEÑO H = 2.40M</t>
  </si>
  <si>
    <t xml:space="preserve">4204FS</t>
  </si>
  <si>
    <t xml:space="preserve">MSP-4206</t>
  </si>
  <si>
    <t xml:space="preserve">1.5.1.15.5.7.53</t>
  </si>
  <si>
    <t xml:space="preserve">SOPORTE METALICO</t>
  </si>
  <si>
    <t xml:space="preserve">MSP-4207</t>
  </si>
  <si>
    <t xml:space="preserve">1.5.1.15.5.7.54</t>
  </si>
  <si>
    <t xml:space="preserve">SUMINISTRO E INSTALACION DE ELECTROBOMBA PARA SISTEMA CONTRA INCENDIO INCL TABLERO</t>
  </si>
  <si>
    <t xml:space="preserve">MSP-4208</t>
  </si>
  <si>
    <t xml:space="preserve">1.5.1.15.6</t>
  </si>
  <si>
    <t xml:space="preserve">MSP-4209</t>
  </si>
  <si>
    <t xml:space="preserve">1.5.1.15.6.1</t>
  </si>
  <si>
    <t xml:space="preserve">MSP-4210</t>
  </si>
  <si>
    <t xml:space="preserve">1.5.1.15.6.1.1</t>
  </si>
  <si>
    <t xml:space="preserve">MSP-4211</t>
  </si>
  <si>
    <t xml:space="preserve">1.5.1.15.6.2</t>
  </si>
  <si>
    <t xml:space="preserve">CANALETAS DE CONCRETO</t>
  </si>
  <si>
    <t xml:space="preserve">MSP-4212</t>
  </si>
  <si>
    <t xml:space="preserve">1.5.1.15.6.2.1</t>
  </si>
  <si>
    <t xml:space="preserve">MSP-4213</t>
  </si>
  <si>
    <t xml:space="preserve">1.5.1.15.6.2.2</t>
  </si>
  <si>
    <t xml:space="preserve">4212FS</t>
  </si>
  <si>
    <t xml:space="preserve">MSP-4214</t>
  </si>
  <si>
    <t xml:space="preserve">1.5.1.15.6.2.3</t>
  </si>
  <si>
    <t xml:space="preserve">4216FS</t>
  </si>
  <si>
    <t xml:space="preserve">MSP-4215</t>
  </si>
  <si>
    <t xml:space="preserve">1.5.1.15.6.2.4</t>
  </si>
  <si>
    <t xml:space="preserve">CANALETA CON REJILLA DE FIERRO DE 30 CM</t>
  </si>
  <si>
    <t xml:space="preserve">4213FS</t>
  </si>
  <si>
    <t xml:space="preserve">MSP-4216</t>
  </si>
  <si>
    <t xml:space="preserve">1.5.1.15.6.2.5</t>
  </si>
  <si>
    <t xml:space="preserve">CONCRETO EN CANALETA PARA REJILLA DE 30 CM</t>
  </si>
  <si>
    <t xml:space="preserve">4215FS</t>
  </si>
  <si>
    <t xml:space="preserve">MSP-4217</t>
  </si>
  <si>
    <t xml:space="preserve">1.5.1.15.6.3</t>
  </si>
  <si>
    <t xml:space="preserve">MSP-4218</t>
  </si>
  <si>
    <t xml:space="preserve">1.5.1.15.6.3.1</t>
  </si>
  <si>
    <t xml:space="preserve">MSP-4219</t>
  </si>
  <si>
    <t xml:space="preserve">1.5.1.15.6.3.2</t>
  </si>
  <si>
    <t xml:space="preserve">4218FS</t>
  </si>
  <si>
    <t xml:space="preserve">MSP-4220</t>
  </si>
  <si>
    <t xml:space="preserve">1.5.1.15.6.3.3</t>
  </si>
  <si>
    <t xml:space="preserve">4221FS</t>
  </si>
  <si>
    <t xml:space="preserve">MSP-4221</t>
  </si>
  <si>
    <t xml:space="preserve">1.5.1.15.6.3.4</t>
  </si>
  <si>
    <t xml:space="preserve">4219FS</t>
  </si>
  <si>
    <t xml:space="preserve">MSP-4222</t>
  </si>
  <si>
    <t xml:space="preserve">1.5.1.15.7</t>
  </si>
  <si>
    <t xml:space="preserve">SISTEMA DE DESAGUE EXTERIOR</t>
  </si>
  <si>
    <t xml:space="preserve">MSP-4223</t>
  </si>
  <si>
    <t xml:space="preserve">1.5.1.15.7.1</t>
  </si>
  <si>
    <t xml:space="preserve">MSP-4224</t>
  </si>
  <si>
    <t xml:space="preserve">1.5.1.15.7.1.1</t>
  </si>
  <si>
    <t xml:space="preserve">4214FS</t>
  </si>
  <si>
    <t xml:space="preserve">MSP-4225</t>
  </si>
  <si>
    <t xml:space="preserve">1.5.1.15.7.2</t>
  </si>
  <si>
    <t xml:space="preserve">MSP-4226</t>
  </si>
  <si>
    <t xml:space="preserve">1.5.1.15.7.2.1</t>
  </si>
  <si>
    <t xml:space="preserve">4224FS</t>
  </si>
  <si>
    <t xml:space="preserve">MSP-4227</t>
  </si>
  <si>
    <t xml:space="preserve">1.5.1.15.7.2.2</t>
  </si>
  <si>
    <t xml:space="preserve">4226FS</t>
  </si>
  <si>
    <t xml:space="preserve">MSP-4228</t>
  </si>
  <si>
    <t xml:space="preserve">1.5.1.15.7.2.3</t>
  </si>
  <si>
    <t xml:space="preserve">4227FS</t>
  </si>
  <si>
    <t xml:space="preserve">MSP-4229</t>
  </si>
  <si>
    <t xml:space="preserve">1.5.1.15.7.2.4</t>
  </si>
  <si>
    <t xml:space="preserve">4235FS</t>
  </si>
  <si>
    <t xml:space="preserve">MSP-4230</t>
  </si>
  <si>
    <t xml:space="preserve">1.5.1.15.7.2.5</t>
  </si>
  <si>
    <t xml:space="preserve">4229FS</t>
  </si>
  <si>
    <t xml:space="preserve">MSP-4231</t>
  </si>
  <si>
    <t xml:space="preserve">1.5.1.15.7.2.6</t>
  </si>
  <si>
    <t xml:space="preserve">4229SS</t>
  </si>
  <si>
    <t xml:space="preserve">MSP-4232</t>
  </si>
  <si>
    <t xml:space="preserve">1.5.1.15.7.2.7</t>
  </si>
  <si>
    <t xml:space="preserve">4244FS</t>
  </si>
  <si>
    <t xml:space="preserve">MSP-4233</t>
  </si>
  <si>
    <t xml:space="preserve">1.5.1.15.7.3</t>
  </si>
  <si>
    <t xml:space="preserve">REDES COLECTORAS DE DESAGUES</t>
  </si>
  <si>
    <t xml:space="preserve">MSP-4234</t>
  </si>
  <si>
    <t xml:space="preserve">1.5.1.15.7.3.1</t>
  </si>
  <si>
    <t xml:space="preserve">SUMINISTRO E INSTALACION DE TUBERIA S-25 UF 160 MM</t>
  </si>
  <si>
    <t xml:space="preserve">4228FS</t>
  </si>
  <si>
    <t xml:space="preserve">MSP-4235</t>
  </si>
  <si>
    <t xml:space="preserve">1.5.1.15.7.3.2</t>
  </si>
  <si>
    <t xml:space="preserve">SUMINISTRO E INSTALACION DE TUBERIA S-25 UF 110 MM</t>
  </si>
  <si>
    <t xml:space="preserve">4234FS</t>
  </si>
  <si>
    <t xml:space="preserve">MSP-4236</t>
  </si>
  <si>
    <t xml:space="preserve">1.5.1.15.7.3.3</t>
  </si>
  <si>
    <t xml:space="preserve">PRUEBA INTEGRAL DE ESTANQUEIDAD EN RED DE DESAGUE DE 8" A 2"</t>
  </si>
  <si>
    <t xml:space="preserve">4232FS</t>
  </si>
  <si>
    <t xml:space="preserve">MSP-4237</t>
  </si>
  <si>
    <t xml:space="preserve">1.5.1.15.7.4</t>
  </si>
  <si>
    <t xml:space="preserve">CAJAS</t>
  </si>
  <si>
    <t xml:space="preserve">MSP-4238</t>
  </si>
  <si>
    <t xml:space="preserve">1.5.1.15.7.4.1</t>
  </si>
  <si>
    <t xml:space="preserve">CAJA DE REGISTRO CIEGA PREFABRICADA DE CONCRETO DE 10"X20"</t>
  </si>
  <si>
    <t xml:space="preserve">MSP-4239</t>
  </si>
  <si>
    <t xml:space="preserve">1.5.1.15.7.4.2</t>
  </si>
  <si>
    <t xml:space="preserve">CAJA DE REGISTRO CIEGA PREFABRICADA DE CONCRETO DE 12"X24"</t>
  </si>
  <si>
    <t xml:space="preserve">4238FS</t>
  </si>
  <si>
    <t xml:space="preserve">MSP-4240</t>
  </si>
  <si>
    <t xml:space="preserve">1.5.1.15.7.4.3</t>
  </si>
  <si>
    <t xml:space="preserve">CAJA DE REGISTRO CIEGA PREFABRICADA DE CONCRETO DE 18"X24"</t>
  </si>
  <si>
    <t xml:space="preserve">4239FS</t>
  </si>
  <si>
    <t xml:space="preserve">MSP-4241</t>
  </si>
  <si>
    <t xml:space="preserve">1.5.1.15.7.4.4</t>
  </si>
  <si>
    <t xml:space="preserve">CAJA DE REGISTRO CIEGA PREFABRICADA DE CONCRETO DE 24"X24"</t>
  </si>
  <si>
    <t xml:space="preserve">4240FS</t>
  </si>
  <si>
    <t xml:space="preserve">MSP-4242</t>
  </si>
  <si>
    <t xml:space="preserve">1.5.1.15.7.4.5</t>
  </si>
  <si>
    <t xml:space="preserve">CAJA DE REGISTRO PREFABRICADA DE CONCRETO DE 10"X20"</t>
  </si>
  <si>
    <t xml:space="preserve">4241FS</t>
  </si>
  <si>
    <t xml:space="preserve">MSP-4243</t>
  </si>
  <si>
    <t xml:space="preserve">1.5.1.15.7.4.6</t>
  </si>
  <si>
    <t xml:space="preserve">CAJA DE REGISTRO PREFABRICADA DE CONCRETO DE 12"X24"</t>
  </si>
  <si>
    <t xml:space="preserve">4242FS</t>
  </si>
  <si>
    <t xml:space="preserve">MSP-4244</t>
  </si>
  <si>
    <t xml:space="preserve">1.5.1.15.7.4.7</t>
  </si>
  <si>
    <t xml:space="preserve">CAJA DE REGISTRO PREFABRICADA DE CONCRETO DE 18"X24"</t>
  </si>
  <si>
    <t xml:space="preserve">4243FS</t>
  </si>
  <si>
    <t xml:space="preserve">MSP-4245</t>
  </si>
  <si>
    <t xml:space="preserve">1.5.1.15.7.5</t>
  </si>
  <si>
    <t xml:space="preserve">MSP-4246</t>
  </si>
  <si>
    <t xml:space="preserve">1.5.1.15.7.5.1</t>
  </si>
  <si>
    <t xml:space="preserve">EMPALME A RED DE ALCANTARILLADO EXISTENTE</t>
  </si>
  <si>
    <t xml:space="preserve">MSP-4247</t>
  </si>
  <si>
    <t xml:space="preserve">1.6</t>
  </si>
  <si>
    <t xml:space="preserve">COMP. I: INSTALACIONES ELECTRICAS Y MECANICAS</t>
  </si>
  <si>
    <t xml:space="preserve">MSP-4248</t>
  </si>
  <si>
    <t xml:space="preserve">1.6.1</t>
  </si>
  <si>
    <t xml:space="preserve">INSTALACIONES ELECTRICAS Y MECANICAS</t>
  </si>
  <si>
    <t xml:space="preserve">MSP-4249</t>
  </si>
  <si>
    <t xml:space="preserve">1.6.1.1</t>
  </si>
  <si>
    <t xml:space="preserve">INSTALACIONES ELECTRICAS</t>
  </si>
  <si>
    <t xml:space="preserve">MSP-4250</t>
  </si>
  <si>
    <t xml:space="preserve">1.6.1.1.1</t>
  </si>
  <si>
    <t xml:space="preserve">MSP-4251</t>
  </si>
  <si>
    <t xml:space="preserve">1.6.1.1.1.1</t>
  </si>
  <si>
    <t xml:space="preserve">TRAZO Y REPLANTEO</t>
  </si>
  <si>
    <t xml:space="preserve">106FS+30.0d</t>
  </si>
  <si>
    <t xml:space="preserve">MSP-4252</t>
  </si>
  <si>
    <t xml:space="preserve">1.6.1.1.2</t>
  </si>
  <si>
    <t xml:space="preserve">SUMINISTRO E INSTALACION RED PRIMARIA Y SUBESTACION 10 KV</t>
  </si>
  <si>
    <t xml:space="preserve">MSP-4253</t>
  </si>
  <si>
    <t xml:space="preserve">1.6.1.1.2.1</t>
  </si>
  <si>
    <t xml:space="preserve">SUMINISTRO E INSTALACION DE RED PRIMARIA  Y SECCIONADOR TRIPOLAR  MT 10 KV, 60 Hz</t>
  </si>
  <si>
    <t xml:space="preserve">4256FS</t>
  </si>
  <si>
    <t xml:space="preserve">MSP-4254</t>
  </si>
  <si>
    <t xml:space="preserve">1.6.1.1.2.2</t>
  </si>
  <si>
    <t xml:space="preserve">SUMINIST. E INSTALACION DE CELDA DE REMONTE, LLEGADA Y TRANSFORMACION EN 200 KVA, 10 KV, 60 HZ</t>
  </si>
  <si>
    <t xml:space="preserve">4253FS</t>
  </si>
  <si>
    <t xml:space="preserve">MSP-4255</t>
  </si>
  <si>
    <t xml:space="preserve">1.6.1.1.2.3</t>
  </si>
  <si>
    <t xml:space="preserve">SUMINISTRO E INSTALACION DE SISTEMA DE MEDICION Y TRAFOMIX</t>
  </si>
  <si>
    <t xml:space="preserve">4254FS</t>
  </si>
  <si>
    <t xml:space="preserve">MSP-4256</t>
  </si>
  <si>
    <t xml:space="preserve">1.6.1.1.2.4</t>
  </si>
  <si>
    <t xml:space="preserve">ELABORACION DE EXPEDIENTE TECNICO EN MEDIA TENSION 10KV</t>
  </si>
  <si>
    <t xml:space="preserve">4251FS+30.0d</t>
  </si>
  <si>
    <t xml:space="preserve">MSP-4257</t>
  </si>
  <si>
    <t xml:space="preserve">1.6.1.1.3</t>
  </si>
  <si>
    <t xml:space="preserve">MSP-4258</t>
  </si>
  <si>
    <t xml:space="preserve">1.6.1.1.3.1</t>
  </si>
  <si>
    <t xml:space="preserve">EXCAVACION MANUAL DE  HOYO PARA POSTE F°G° DE 4 M</t>
  </si>
  <si>
    <t xml:space="preserve">4251FS+120.0d</t>
  </si>
  <si>
    <t xml:space="preserve">MSP-4259</t>
  </si>
  <si>
    <t xml:space="preserve">1.6.1.1.3.2</t>
  </si>
  <si>
    <t xml:space="preserve">4251FS</t>
  </si>
  <si>
    <t xml:space="preserve">MSP-4260</t>
  </si>
  <si>
    <t xml:space="preserve">1.6.1.1.3.3</t>
  </si>
  <si>
    <t xml:space="preserve">EXCAVACION MANUAL DE HOYO PARA PUESTA A TIERRA</t>
  </si>
  <si>
    <t xml:space="preserve">4251FS+60.0d</t>
  </si>
  <si>
    <t xml:space="preserve">MSP-4261</t>
  </si>
  <si>
    <t xml:space="preserve">1.6.1.1.3.4</t>
  </si>
  <si>
    <t xml:space="preserve">CAMA DE APOYO E=0.10m</t>
  </si>
  <si>
    <t xml:space="preserve">4260FS</t>
  </si>
  <si>
    <t xml:space="preserve">MSP-4262</t>
  </si>
  <si>
    <t xml:space="preserve">1.6.1.1.3.5</t>
  </si>
  <si>
    <t xml:space="preserve">4261FS</t>
  </si>
  <si>
    <t xml:space="preserve">MSP-4263</t>
  </si>
  <si>
    <t xml:space="preserve">1.6.1.1.3.6</t>
  </si>
  <si>
    <t xml:space="preserve">4262FS</t>
  </si>
  <si>
    <t xml:space="preserve">MSP-4264</t>
  </si>
  <si>
    <t xml:space="preserve">1.6.1.1.3.7</t>
  </si>
  <si>
    <t xml:space="preserve">4263FS</t>
  </si>
  <si>
    <t xml:space="preserve">MSP-4265</t>
  </si>
  <si>
    <t xml:space="preserve">1.6.1.1.4</t>
  </si>
  <si>
    <t xml:space="preserve">SALIDA PARA CENTRO DE LUZ</t>
  </si>
  <si>
    <t xml:space="preserve">MSP-4266</t>
  </si>
  <si>
    <t xml:space="preserve">1.6.1.1.4.1</t>
  </si>
  <si>
    <t xml:space="preserve">CENTRO DE LUZ EN TECHO</t>
  </si>
  <si>
    <t xml:space="preserve">4259FS</t>
  </si>
  <si>
    <t xml:space="preserve">MSP-4267</t>
  </si>
  <si>
    <t xml:space="preserve">1.6.1.1.4.2</t>
  </si>
  <si>
    <t xml:space="preserve">CENTRO DE LUZ EN PARED</t>
  </si>
  <si>
    <t xml:space="preserve">4266FS</t>
  </si>
  <si>
    <t xml:space="preserve">MSP-4268</t>
  </si>
  <si>
    <t xml:space="preserve">1.6.1.1.5</t>
  </si>
  <si>
    <t xml:space="preserve">SALIDA PARA LUZ DE EMERGENCIA</t>
  </si>
  <si>
    <t xml:space="preserve">MSP-4269</t>
  </si>
  <si>
    <t xml:space="preserve">1.6.1.1.5.1</t>
  </si>
  <si>
    <t xml:space="preserve">CENTRO PARA LUZ DE EMERGENCIA</t>
  </si>
  <si>
    <t xml:space="preserve">4267FS</t>
  </si>
  <si>
    <t xml:space="preserve">MSP-4270</t>
  </si>
  <si>
    <t xml:space="preserve">1.6.1.1.6</t>
  </si>
  <si>
    <t xml:space="preserve">SALIDA PARA INTERRUPTORES</t>
  </si>
  <si>
    <t xml:space="preserve">MSP-4271</t>
  </si>
  <si>
    <t xml:space="preserve">1.6.1.1.6.1</t>
  </si>
  <si>
    <t xml:space="preserve">SALIDA PARA INTERRUPTORES CONMUTADOS SIMPLES, DOBLES, TRIPLES</t>
  </si>
  <si>
    <t xml:space="preserve">4269FS</t>
  </si>
  <si>
    <t xml:space="preserve">MSP-4272</t>
  </si>
  <si>
    <t xml:space="preserve">1.6.1.1.7</t>
  </si>
  <si>
    <t xml:space="preserve">SALIDAS PARA TOMACORRIENTES</t>
  </si>
  <si>
    <t xml:space="preserve">MSP-4273</t>
  </si>
  <si>
    <t xml:space="preserve">1.6.1.1.7.1</t>
  </si>
  <si>
    <t xml:space="preserve">SALIDA P/ TOMACORRIENTE EMPOTRADO EN MURO  0.40m</t>
  </si>
  <si>
    <t xml:space="preserve">4271FS</t>
  </si>
  <si>
    <t xml:space="preserve">MSP-4274</t>
  </si>
  <si>
    <t xml:space="preserve">1.6.1.1.7.2</t>
  </si>
  <si>
    <t xml:space="preserve">SALIDA P/ TOMACORRIENTE EMPOTRADO EN MURO 1.20m</t>
  </si>
  <si>
    <t xml:space="preserve">4273FS</t>
  </si>
  <si>
    <t xml:space="preserve">MSP-4275</t>
  </si>
  <si>
    <t xml:space="preserve">1.6.1.1.7.3</t>
  </si>
  <si>
    <t xml:space="preserve">SALIDA P/ TOMACORRIENTE DE PROTECCION DE AGUA A 1.20m</t>
  </si>
  <si>
    <t xml:space="preserve">4274FS</t>
  </si>
  <si>
    <t xml:space="preserve">MSP-4276</t>
  </si>
  <si>
    <t xml:space="preserve">1.6.1.1.7.4</t>
  </si>
  <si>
    <t xml:space="preserve">SALIDA P/ TOMACORRIENTE ESTABILIZADO EMPOTRADO EN  MURO 0.40m</t>
  </si>
  <si>
    <t xml:space="preserve">4275FS</t>
  </si>
  <si>
    <t xml:space="preserve">MSP-4277</t>
  </si>
  <si>
    <t xml:space="preserve">1.6.1.1.7.5</t>
  </si>
  <si>
    <t xml:space="preserve">SALIDA P/ TOMACORRIENTE ESTABILIZADO EMPOTRADO EN  MURO 3.00 m</t>
  </si>
  <si>
    <t xml:space="preserve">4276FS</t>
  </si>
  <si>
    <t xml:space="preserve">MSP-4278</t>
  </si>
  <si>
    <t xml:space="preserve">1.6.1.1.7.6</t>
  </si>
  <si>
    <t xml:space="preserve">SALIDA P/ TOMACORRIENTE  ESTABILIZADO EMPOTRADO EN  MURO 2.20m</t>
  </si>
  <si>
    <t xml:space="preserve">4277FS</t>
  </si>
  <si>
    <t xml:space="preserve">MSP-4279</t>
  </si>
  <si>
    <t xml:space="preserve">1.6.1.1.7.7</t>
  </si>
  <si>
    <t xml:space="preserve">SALIDA P/ TOMACORRIENTE PARA SISTEMA ESTABILIZADO EN TECHO</t>
  </si>
  <si>
    <t xml:space="preserve">4278FS</t>
  </si>
  <si>
    <t xml:space="preserve">MSP-4280</t>
  </si>
  <si>
    <t xml:space="preserve">1.6.1.1.7.8</t>
  </si>
  <si>
    <t xml:space="preserve">SALIDA P/ TOMACORRIENTE ESTABILIZADO EMPOTRADO EN PISO, CON CAJA POP-UP DE CUATRO MODULOS</t>
  </si>
  <si>
    <t xml:space="preserve">4279FS</t>
  </si>
  <si>
    <t xml:space="preserve">MSP-4281</t>
  </si>
  <si>
    <t xml:space="preserve">1.6.1.1.7.9</t>
  </si>
  <si>
    <t xml:space="preserve">SALIDA P/ TOMACORRIENTE  ESTABILIZADO EMPOTRADO EN PISO, CON CAJA POP-UP DE OCHO MODULOS</t>
  </si>
  <si>
    <t xml:space="preserve">4280FS</t>
  </si>
  <si>
    <t xml:space="preserve">MSP-4282</t>
  </si>
  <si>
    <t xml:space="preserve">1.6.1.1.7.10</t>
  </si>
  <si>
    <t xml:space="preserve">SALIDA P/ TOMACORRIENTE ESTABELIZADO - TIPO INDUSTRIAL- MONOFASICO</t>
  </si>
  <si>
    <t xml:space="preserve">4281FS</t>
  </si>
  <si>
    <t xml:space="preserve">MSP-4283</t>
  </si>
  <si>
    <t xml:space="preserve">1.6.1.1.8</t>
  </si>
  <si>
    <t xml:space="preserve">SALIDA DE FUERZA ELECTRICA</t>
  </si>
  <si>
    <t xml:space="preserve">MSP-4284</t>
  </si>
  <si>
    <t xml:space="preserve">1.6.1.1.8.1</t>
  </si>
  <si>
    <t xml:space="preserve">SALIDA PARA ELECTROBOMBA TRIFASICA</t>
  </si>
  <si>
    <t xml:space="preserve">4282FS</t>
  </si>
  <si>
    <t xml:space="preserve">MSP-4285</t>
  </si>
  <si>
    <t xml:space="preserve">1.6.1.1.8.2</t>
  </si>
  <si>
    <t xml:space="preserve">SALIDA PARA CHAPA ELECTRICA</t>
  </si>
  <si>
    <t xml:space="preserve">4284FS</t>
  </si>
  <si>
    <t xml:space="preserve">MSP-4286</t>
  </si>
  <si>
    <t xml:space="preserve">1.6.1.1.8.3</t>
  </si>
  <si>
    <t xml:space="preserve">SALIDA PARA TOMACORRIENTE DE FUERZA MONOFASICA - IMPRENTA</t>
  </si>
  <si>
    <t xml:space="preserve">4285FS</t>
  </si>
  <si>
    <t xml:space="preserve">MSP-4287</t>
  </si>
  <si>
    <t xml:space="preserve">1.6.1.1.8.4</t>
  </si>
  <si>
    <t xml:space="preserve">SALIDA PARA TOMACORRIENTE DE FUERZA TRIFASICA - IMPRENTA</t>
  </si>
  <si>
    <t xml:space="preserve">4286FS</t>
  </si>
  <si>
    <t xml:space="preserve">MSP-4288</t>
  </si>
  <si>
    <t xml:space="preserve">1.6.1.1.8.5</t>
  </si>
  <si>
    <t xml:space="preserve">SALIDA PARA SECADOR DE MANOS</t>
  </si>
  <si>
    <t xml:space="preserve">4287FS</t>
  </si>
  <si>
    <t xml:space="preserve">MSP-4289</t>
  </si>
  <si>
    <t xml:space="preserve">1.6.1.1.9</t>
  </si>
  <si>
    <t xml:space="preserve">CAJAS DE PASE</t>
  </si>
  <si>
    <t xml:space="preserve">MSP-4290</t>
  </si>
  <si>
    <t xml:space="preserve">1.6.1.1.9.1</t>
  </si>
  <si>
    <t xml:space="preserve">CAJA OCTOGONAL METALICO DE F°G° ESPESOR 1.5mm DE 100x55 mm PARA EMPOTRAR EN MURO</t>
  </si>
  <si>
    <t xml:space="preserve">4288FS</t>
  </si>
  <si>
    <t xml:space="preserve">MSP-4291</t>
  </si>
  <si>
    <t xml:space="preserve">1.6.1.1.9.2</t>
  </si>
  <si>
    <t xml:space="preserve">CAJA OCTAGONAL METALICO DE F°G° ESPESOR 1.5mm DE 100x55 mm PARA EMPOTRAR EN TECHO</t>
  </si>
  <si>
    <t xml:space="preserve">4290SS</t>
  </si>
  <si>
    <t xml:space="preserve">MSP-4292</t>
  </si>
  <si>
    <t xml:space="preserve">1.6.1.1.9.3</t>
  </si>
  <si>
    <t xml:space="preserve">CAJA OCTAGONAL METALICO DE F°G° ESPESOR 1.5mm DE 100x55 mm. PARA ADOSAR EN PARED</t>
  </si>
  <si>
    <t xml:space="preserve">MSP-4293</t>
  </si>
  <si>
    <t xml:space="preserve">1.6.1.1.9.4</t>
  </si>
  <si>
    <t xml:space="preserve">CAJA OCTOGONAL METALICO DE F°G° ESPESOR 1.5mm DE 100x55 mm. PARA ADOSAR A ESTRUCTURA METALICA</t>
  </si>
  <si>
    <t xml:space="preserve">MSP-4294</t>
  </si>
  <si>
    <t xml:space="preserve">1.6.1.1.9.5</t>
  </si>
  <si>
    <t xml:space="preserve">CAJA DE PASE METALICO DE F°G° ESPESOR 1.5mm DE 100X100X80MM PARA EMPOTRAR EN MURO</t>
  </si>
  <si>
    <t xml:space="preserve">MSP-4295</t>
  </si>
  <si>
    <t xml:space="preserve">1.6.1.1.9.6</t>
  </si>
  <si>
    <t xml:space="preserve">CAJA DE PASE METALICO DE F°G° ESPESOR 1.5mm DE 150X150X80 mm. PARA EMPOTRAR EN MURO</t>
  </si>
  <si>
    <t xml:space="preserve">MSP-4296</t>
  </si>
  <si>
    <t xml:space="preserve">1.6.1.1.9.7</t>
  </si>
  <si>
    <t xml:space="preserve">CAJA DE PASE METALICO DE F°G° ESPESOR 1.5mm DE 150X150X80 mm. PARA EMPOTRAR EN TECHO</t>
  </si>
  <si>
    <t xml:space="preserve">MSP-4297</t>
  </si>
  <si>
    <t xml:space="preserve">1.6.1.1.9.8</t>
  </si>
  <si>
    <t xml:space="preserve">CAJA DE PASE F°G° ESPESOR 1.2mm DE 150X150X80 mm. PARA ADOSAR EN ESTRUCTURA METALICA</t>
  </si>
  <si>
    <t xml:space="preserve">MSP-4298</t>
  </si>
  <si>
    <t xml:space="preserve">1.6.1.1.9.9</t>
  </si>
  <si>
    <t xml:space="preserve">CAJA DE PASE DE F°G° ESPESOR 1.5mm DE 200X200X80 mm C/TAPA PARA EMPOTRAR EN PARED</t>
  </si>
  <si>
    <t xml:space="preserve">4297FS</t>
  </si>
  <si>
    <t xml:space="preserve">MSP-4299</t>
  </si>
  <si>
    <t xml:space="preserve">1.6.1.1.9.10</t>
  </si>
  <si>
    <t xml:space="preserve">CAJA DE PASE METALICO F°G° ESPESOR 1.5mm DE 400X400X80 mm. PARA ADOSAR EN TECHO O MURO</t>
  </si>
  <si>
    <t xml:space="preserve">MSP-4300</t>
  </si>
  <si>
    <t xml:space="preserve">1.6.1.1.9.11</t>
  </si>
  <si>
    <t xml:space="preserve">CAJA DE PASE CONDULED 166X142X64mm IP 66 DE ALUMINIO INYECTADO A PRESIÓN (DIECAST) C/TAPA DE LAMINA TROQUELADA; EMPAQUE NEOPRENO; PINTURA ELECTROESTÁTICA EPOXY-POLIESTER TERMO ENDURECIDA ADOSADO A ESTRUCTURA METÁLICA</t>
  </si>
  <si>
    <t xml:space="preserve">4299SS</t>
  </si>
  <si>
    <t xml:space="preserve">MSP-4301</t>
  </si>
  <si>
    <t xml:space="preserve">1.6.1.1.9.12</t>
  </si>
  <si>
    <t xml:space="preserve">CAJA DE PASE DE F°G° ESPESOR 1.5mm DE 300X300X80mm PARA ADOSAR EN TECHO O MURO</t>
  </si>
  <si>
    <t xml:space="preserve">4300FS</t>
  </si>
  <si>
    <t xml:space="preserve">MSP-4302</t>
  </si>
  <si>
    <t xml:space="preserve">1.6.1.1.9.13</t>
  </si>
  <si>
    <t xml:space="preserve">CAJA DE PASE DE F°G° ESPESOR 1.5mm, 100x55x50 mm, PARA JUNTA SISMICA EMPOTRADO EN MURO</t>
  </si>
  <si>
    <t xml:space="preserve">4301FS</t>
  </si>
  <si>
    <t xml:space="preserve">MSP-4303</t>
  </si>
  <si>
    <t xml:space="preserve">1.6.1.1.9.14</t>
  </si>
  <si>
    <t xml:space="preserve">BUZON DE CONEXIONES DE CONCRETO DE 0.60x0.60x0.65M (INTERIOR) DE CONCRETO ARMADO</t>
  </si>
  <si>
    <t xml:space="preserve">4302FS</t>
  </si>
  <si>
    <t xml:space="preserve">MSP-4304</t>
  </si>
  <si>
    <t xml:space="preserve">1.6.1.1.9.15</t>
  </si>
  <si>
    <t xml:space="preserve">BUZON DE CONEXIONES DE CONCRETO DE 0.90X0.90X0.65M (INTERIOR) DE CONCRETO ARMADO.</t>
  </si>
  <si>
    <t xml:space="preserve">4303FS</t>
  </si>
  <si>
    <t xml:space="preserve">MSP-4305</t>
  </si>
  <si>
    <t xml:space="preserve">1.6.1.1.10</t>
  </si>
  <si>
    <t xml:space="preserve">CANALIZACION Y/O TUBERIAS</t>
  </si>
  <si>
    <t xml:space="preserve">MSP-4306</t>
  </si>
  <si>
    <t xml:space="preserve">1.6.1.1.10.1</t>
  </si>
  <si>
    <t xml:space="preserve">TUBERIA PVC (ELECTRICA) DN=20 mm X 3m</t>
  </si>
  <si>
    <t xml:space="preserve">4295FS</t>
  </si>
  <si>
    <t xml:space="preserve">MSP-4307</t>
  </si>
  <si>
    <t xml:space="preserve">1.6.1.1.10.2</t>
  </si>
  <si>
    <t xml:space="preserve">TUBERIA PVC (ELECTRICA) DN=25 mm X 3m</t>
  </si>
  <si>
    <t xml:space="preserve">4306FS</t>
  </si>
  <si>
    <t xml:space="preserve">MSP-4308</t>
  </si>
  <si>
    <t xml:space="preserve">1.6.1.1.10.3</t>
  </si>
  <si>
    <t xml:space="preserve">TUBERIA PVC (ELECTRICA) DN=35 mm X 3m</t>
  </si>
  <si>
    <t xml:space="preserve">4307FS</t>
  </si>
  <si>
    <t xml:space="preserve">MSP-4309</t>
  </si>
  <si>
    <t xml:space="preserve">1.6.1.1.10.4</t>
  </si>
  <si>
    <t xml:space="preserve">TUBERIA PVC (ELECTRICA) DN=40 mm X 3m</t>
  </si>
  <si>
    <t xml:space="preserve">4308FS</t>
  </si>
  <si>
    <t xml:space="preserve">MSP-4310</t>
  </si>
  <si>
    <t xml:space="preserve">1.6.1.1.10.5</t>
  </si>
  <si>
    <t xml:space="preserve">TUBERIA PVC (ELECTRICA) DN=50 mm X 3m</t>
  </si>
  <si>
    <t xml:space="preserve">4309FS</t>
  </si>
  <si>
    <t xml:space="preserve">MSP-4311</t>
  </si>
  <si>
    <t xml:space="preserve">1.6.1.1.10.6</t>
  </si>
  <si>
    <t xml:space="preserve">TUBERIA PVC (ELECTRICA) DN=80 mm X 3m</t>
  </si>
  <si>
    <t xml:space="preserve">4310FS</t>
  </si>
  <si>
    <t xml:space="preserve">MSP-4312</t>
  </si>
  <si>
    <t xml:space="preserve">1.6.1.1.10.7</t>
  </si>
  <si>
    <t xml:space="preserve">TUBERIA PVC-P (ELECTRICA) DN=105 mm X 3m</t>
  </si>
  <si>
    <t xml:space="preserve">4311FS</t>
  </si>
  <si>
    <t xml:space="preserve">MSP-4313</t>
  </si>
  <si>
    <t xml:space="preserve">1.6.1.1.10.8</t>
  </si>
  <si>
    <t xml:space="preserve">TUBERIA EMT DN=20mm X 3m</t>
  </si>
  <si>
    <t xml:space="preserve">4312FS</t>
  </si>
  <si>
    <t xml:space="preserve">MSP-4314</t>
  </si>
  <si>
    <t xml:space="preserve">1.6.1.1.10.9</t>
  </si>
  <si>
    <t xml:space="preserve">TUBERIA EMT DN=25mm X 3m</t>
  </si>
  <si>
    <t xml:space="preserve">4313FS</t>
  </si>
  <si>
    <t xml:space="preserve">MSP-4315</t>
  </si>
  <si>
    <t xml:space="preserve">1.6.1.1.10.10</t>
  </si>
  <si>
    <t xml:space="preserve">TUBERIA EMT DN=35mm X 3m</t>
  </si>
  <si>
    <t xml:space="preserve">4314FS+150.0d</t>
  </si>
  <si>
    <t xml:space="preserve">MSP-4316</t>
  </si>
  <si>
    <t xml:space="preserve">1.6.1.1.10.11</t>
  </si>
  <si>
    <t xml:space="preserve">TUBERIA EMT DN=50mm X 3m</t>
  </si>
  <si>
    <t xml:space="preserve">4315FS</t>
  </si>
  <si>
    <t xml:space="preserve">MSP-4317</t>
  </si>
  <si>
    <t xml:space="preserve">1.6.1.1.10.12</t>
  </si>
  <si>
    <t xml:space="preserve">DUCTO  DE CONCRETO DE 4 VIAS SUBTERRANEO PARA CONDUCTORES  DE ALIMENTADORES</t>
  </si>
  <si>
    <t xml:space="preserve">4316FS</t>
  </si>
  <si>
    <t xml:space="preserve">MSP-4318</t>
  </si>
  <si>
    <t xml:space="preserve">1.6.1.1.10.13</t>
  </si>
  <si>
    <t xml:space="preserve">DUCTO  DE CONCRETO DE 2 VIAS SUBTERRANEO PARA CONDUCTORES  DE ALIMENTADORES</t>
  </si>
  <si>
    <t xml:space="preserve">4317FS</t>
  </si>
  <si>
    <t xml:space="preserve">MSP-4319</t>
  </si>
  <si>
    <t xml:space="preserve">1.6.1.1.11</t>
  </si>
  <si>
    <t xml:space="preserve">CINTA SEÑALIZADORA B.T.</t>
  </si>
  <si>
    <t xml:space="preserve">MSP-4320</t>
  </si>
  <si>
    <t xml:space="preserve">1.6.1.1.11.1</t>
  </si>
  <si>
    <t xml:space="preserve">CINTA SEÑALIZADORA DE RIESGO ELECTRICO</t>
  </si>
  <si>
    <t xml:space="preserve">4318FS</t>
  </si>
  <si>
    <t xml:space="preserve">MSP-4321</t>
  </si>
  <si>
    <t xml:space="preserve">1.6.1.1.12</t>
  </si>
  <si>
    <t xml:space="preserve">CONDUCTORES Y CABLES DE ENERGIA</t>
  </si>
  <si>
    <t xml:space="preserve">MSP-4322</t>
  </si>
  <si>
    <t xml:space="preserve">1.6.1.1.12.1</t>
  </si>
  <si>
    <t xml:space="preserve">CONDUCTOR ELECTRICO LSOH 2.5 mm2</t>
  </si>
  <si>
    <t xml:space="preserve">4320FS</t>
  </si>
  <si>
    <t xml:space="preserve">MSP-4323</t>
  </si>
  <si>
    <t xml:space="preserve">1.6.1.1.12.2</t>
  </si>
  <si>
    <t xml:space="preserve">CONDUCTOR ELECTRICO LSOH 4 mm2</t>
  </si>
  <si>
    <t xml:space="preserve">4322SS</t>
  </si>
  <si>
    <t xml:space="preserve">MSP-4324</t>
  </si>
  <si>
    <t xml:space="preserve">1.6.1.1.12.3</t>
  </si>
  <si>
    <t xml:space="preserve">CONDUCTOR ELECTRICO LSOH 6 mm2</t>
  </si>
  <si>
    <t xml:space="preserve">4323SS</t>
  </si>
  <si>
    <t xml:space="preserve">MSP-4325</t>
  </si>
  <si>
    <t xml:space="preserve">1.6.1.1.12.4</t>
  </si>
  <si>
    <t xml:space="preserve">CONDUCTOR ELECTRICO TTR 70 CON CUBIERTA 3X1.5 mm2</t>
  </si>
  <si>
    <t xml:space="preserve">4324SS</t>
  </si>
  <si>
    <t xml:space="preserve">MSP-4326</t>
  </si>
  <si>
    <t xml:space="preserve">1.6.1.1.12.5</t>
  </si>
  <si>
    <t xml:space="preserve">CONDUCTOR N2XOH 3-1X6MM2(F)+1x6MM2(N)</t>
  </si>
  <si>
    <t xml:space="preserve">4325FS</t>
  </si>
  <si>
    <t xml:space="preserve">MSP-4327</t>
  </si>
  <si>
    <t xml:space="preserve">1.6.1.1.12.6</t>
  </si>
  <si>
    <t xml:space="preserve">CONDUCTOR N2XOH 3-1X10MM2(F)+1X10MM2(N)</t>
  </si>
  <si>
    <t xml:space="preserve">4326SS</t>
  </si>
  <si>
    <t xml:space="preserve">MSP-4328</t>
  </si>
  <si>
    <t xml:space="preserve">1.6.1.1.12.7</t>
  </si>
  <si>
    <t xml:space="preserve">CONDUCTOR N2XOH 3-1X16MM2(F)+1x16MM2(N)</t>
  </si>
  <si>
    <t xml:space="preserve">4327SS</t>
  </si>
  <si>
    <t xml:space="preserve">MSP-4329</t>
  </si>
  <si>
    <t xml:space="preserve">1.6.1.1.12.8</t>
  </si>
  <si>
    <t xml:space="preserve">CONDUCTOR N2XOH 3-1X25MM2(F)+1x25MM2(N)</t>
  </si>
  <si>
    <t xml:space="preserve">4328SS</t>
  </si>
  <si>
    <t xml:space="preserve">MSP-4330</t>
  </si>
  <si>
    <t xml:space="preserve">1.6.1.1.12.9</t>
  </si>
  <si>
    <t xml:space="preserve">CONDUCTOR N2XOH 3-1X70MM2(F)+1x70MM2(N)</t>
  </si>
  <si>
    <t xml:space="preserve">4329FS</t>
  </si>
  <si>
    <t xml:space="preserve">MSP-4331</t>
  </si>
  <si>
    <t xml:space="preserve">1.6.1.1.12.10</t>
  </si>
  <si>
    <t xml:space="preserve">CONDUCTOR N2XOH 3-1X120 mm2(F)+1x120 mm2(N)</t>
  </si>
  <si>
    <t xml:space="preserve">4330FS</t>
  </si>
  <si>
    <t xml:space="preserve">MSP-4332</t>
  </si>
  <si>
    <t xml:space="preserve">1.6.1.1.12.11</t>
  </si>
  <si>
    <t xml:space="preserve">CONDUCTOR LSOH: 10 mm2 (AMARILLO VERDE)</t>
  </si>
  <si>
    <t xml:space="preserve">4331SS</t>
  </si>
  <si>
    <t xml:space="preserve">MSP-4333</t>
  </si>
  <si>
    <t xml:space="preserve">1.6.1.1.12.12</t>
  </si>
  <si>
    <t xml:space="preserve">CONDUCTOR LSOH: 16 mm2 (AMARILLO VERDE)</t>
  </si>
  <si>
    <t xml:space="preserve">4332SS</t>
  </si>
  <si>
    <t xml:space="preserve">MSP-4334</t>
  </si>
  <si>
    <t xml:space="preserve">1.6.1.1.12.13</t>
  </si>
  <si>
    <t xml:space="preserve">CONDUCTOR LSOH: 35 mm2 (AMARILLO VERDE)</t>
  </si>
  <si>
    <t xml:space="preserve">4333SS</t>
  </si>
  <si>
    <t xml:space="preserve">MSP-4335</t>
  </si>
  <si>
    <t xml:space="preserve">1.6.1.1.12.14</t>
  </si>
  <si>
    <t xml:space="preserve">CONDUCTOR LSOH: 50 mm2 (AMARILLO VERDE)</t>
  </si>
  <si>
    <t xml:space="preserve">4334SS</t>
  </si>
  <si>
    <t xml:space="preserve">MSP-4336</t>
  </si>
  <si>
    <t xml:space="preserve">1.6.1.1.12.15</t>
  </si>
  <si>
    <t xml:space="preserve">CABLE DESNUDO DE COBRE 25MM2</t>
  </si>
  <si>
    <t xml:space="preserve">4335FS</t>
  </si>
  <si>
    <t xml:space="preserve">MSP-4337</t>
  </si>
  <si>
    <t xml:space="preserve">1.6.1.1.12.16</t>
  </si>
  <si>
    <t xml:space="preserve">BARRA DE COBRE PARA SPT AISLADA CON BORNERA PARA TENSION NORMAL (10 SALIDAS)</t>
  </si>
  <si>
    <t xml:space="preserve">4336FS</t>
  </si>
  <si>
    <t xml:space="preserve">MSP-4338</t>
  </si>
  <si>
    <t xml:space="preserve">1.6.1.1.13</t>
  </si>
  <si>
    <t xml:space="preserve">LUMINARIAS EMPOTRADA Y/O ADOSADA</t>
  </si>
  <si>
    <t xml:space="preserve">MSP-4339</t>
  </si>
  <si>
    <t xml:space="preserve">1.6.1.1.13.1</t>
  </si>
  <si>
    <t xml:space="preserve">LUMINARIA LED TIPO PANEL 50 W, PARA EMPOTRAR DE 0.60X0.60 m DE 4750 lm/CRI&gt;=80/FP&gt;=0.90/VIDA UTIL &gt;=50000 HORAS/4000K.</t>
  </si>
  <si>
    <t xml:space="preserve">4337FS</t>
  </si>
  <si>
    <t xml:space="preserve">MSP-4340</t>
  </si>
  <si>
    <t xml:space="preserve">1.6.1.1.13.2</t>
  </si>
  <si>
    <t xml:space="preserve">LUMINARIA LED TIPO PANEL 45 W, PARA EMPOTRAR DE 0.60x0.60 4500 lm/CRI &gt;= 80/FP&gt;= 0.90/VIDA UTIL &gt;= 50000 HORAS/4000K.</t>
  </si>
  <si>
    <t xml:space="preserve">4339FS</t>
  </si>
  <si>
    <t xml:space="preserve">MSP-4341</t>
  </si>
  <si>
    <t xml:space="preserve">1.6.1.1.13.3</t>
  </si>
  <si>
    <t xml:space="preserve">LUMINARIA LED TIPO PANEL 40W, PARA ADOSAR DE 0.60x0.60 M. 4000 lm/CRI&gt;80/FP&gt;=0.90/VIDA UTIL&gt;50000 HORAS/&gt;4000K INCLUYE ADAPTADO CON MARCO DE ALUMINIO PARA LED TIPO PANEL 0.60X0.60 cm</t>
  </si>
  <si>
    <t xml:space="preserve">4340FS</t>
  </si>
  <si>
    <t xml:space="preserve">MSP-4342</t>
  </si>
  <si>
    <t xml:space="preserve">1.6.1.1.13.4</t>
  </si>
  <si>
    <t xml:space="preserve">LUMINARIA LED TIPO PANEL 40W, PARA EMPOTRAR DE 0.60x0.60 M. 4000 lm/CRI&gt;80/FP? 0.90/VIDA UTIL&gt;50000 HORAS/4000K</t>
  </si>
  <si>
    <t xml:space="preserve">4341FS</t>
  </si>
  <si>
    <t xml:space="preserve">MSP-4343</t>
  </si>
  <si>
    <t xml:space="preserve">1.6.1.1.13.5</t>
  </si>
  <si>
    <t xml:space="preserve">LUMINARIA LED TIPO HERMETICA 40 W, PARA ADOSAR DE 1200x860x700 mm DE 5200 lm/CRI &gt;= 80/IP 65/FP&gt;=0.90/VIDA UTIL &gt;= 50000 HORAS/ 4000K.</t>
  </si>
  <si>
    <t xml:space="preserve">4342FS</t>
  </si>
  <si>
    <t xml:space="preserve">MSP-4344</t>
  </si>
  <si>
    <t xml:space="preserve">1.6.1.1.13.6</t>
  </si>
  <si>
    <t xml:space="preserve">LUMINARIA LED TIPO PANEL 40W, PARA EMPOTRAR DE 1.20x0.30m DE. 4000lm/CRI&gt;=80/FP&gt;=0.92/VIDA UTIL&gt;=50000 HORAS/4000K</t>
  </si>
  <si>
    <t xml:space="preserve">4343FS</t>
  </si>
  <si>
    <t xml:space="preserve">MSP-4345</t>
  </si>
  <si>
    <t xml:space="preserve">1.6.1.1.13.7</t>
  </si>
  <si>
    <t xml:space="preserve">LUMINARIA PANEL TIPO LED 36 W, PARA ADOSAR DE 0.30x1.20m DE 4320 lm/CRI&gt;=80/FP&gt;0.90/VIDA  UTIL&gt;= 50000 HORAS/ 4000K, INC. ADAPTADO CON MARCO DE ALUMINIO PARA PANEL LED 1.20X0.30 cm</t>
  </si>
  <si>
    <t xml:space="preserve">4344FS</t>
  </si>
  <si>
    <t xml:space="preserve">MSP-4346</t>
  </si>
  <si>
    <t xml:space="preserve">1.6.1.1.13.8</t>
  </si>
  <si>
    <t xml:space="preserve">LUMINARIA PANEL TIPO LED 36W, PARA EMPOTRAR DE 0.30x1.20 M. 4320 lm/CRI&gt;=80/FP&gt;=0.90/VIDA UTIL&gt;=50000 HORAS/4000K</t>
  </si>
  <si>
    <t xml:space="preserve">4345FS</t>
  </si>
  <si>
    <t xml:space="preserve">MSP-4347</t>
  </si>
  <si>
    <t xml:space="preserve">1.6.1.1.13.9</t>
  </si>
  <si>
    <t xml:space="preserve">LUMINARIA LED TIPO PANEL 36 W, PARA ADOSAR DE 0.60x0.60M, 3420 lm/CRI &gt;= 80/FP&gt;= 0.90/VIDA UTIL &gt;= 50000 HORAS/4000K. INCLUYE ADAPTADOR MARCO DE ALUMINIO PARA PANEL 0.60X0.60 cm</t>
  </si>
  <si>
    <t xml:space="preserve">4346FS</t>
  </si>
  <si>
    <t xml:space="preserve">MSP-4348</t>
  </si>
  <si>
    <t xml:space="preserve">1.6.1.1.13.10</t>
  </si>
  <si>
    <t xml:space="preserve">LUMINARIA LED TIPO PANEL 36 W, PARA EMPOTRAR DE 0.60x0.60M. 3420 lm/CRI &gt;= 80/FP&gt;= 0.90/VIDA UTIL &gt;= 50000 HORAS/4000K</t>
  </si>
  <si>
    <t xml:space="preserve">4347FS</t>
  </si>
  <si>
    <t xml:space="preserve">MSP-4349</t>
  </si>
  <si>
    <t xml:space="preserve">1.6.1.1.13.11</t>
  </si>
  <si>
    <t xml:space="preserve">LUMINARIA LED TIPO HERMETICA 36 W, PARA ADOSAR DE 1200x950x700 mm DE 3600 lm/CRI &gt;= 80/IP 65/FP&gt;=0.90/VIDA UTIL &gt;= 30000 HORAS/ 4000K.</t>
  </si>
  <si>
    <t xml:space="preserve">4348FS</t>
  </si>
  <si>
    <t xml:space="preserve">MSP-4350</t>
  </si>
  <si>
    <t xml:space="preserve">1.6.1.1.13.12</t>
  </si>
  <si>
    <t xml:space="preserve">LUMINARIA LED TIPO PANEL 30 W, PARA EMPOTRAR DE 0.60x0.60 3651 lm/CRI&gt;=80/FP&gt;=0.90/VIDA UTIL&gt;=50000 HORAS/4000K</t>
  </si>
  <si>
    <t xml:space="preserve">4349FS</t>
  </si>
  <si>
    <t xml:space="preserve">MSP-4351</t>
  </si>
  <si>
    <t xml:space="preserve">1.6.1.1.13.13</t>
  </si>
  <si>
    <t xml:space="preserve">LUMINARIA LED TIPO PANEL 30W, PARA ADOSAR DE 1.20X0.30 3651 lm/CRI &gt;= 80/FP&gt;=0.90/VIDA UTIL &gt;= 50000 HORAS/  4000K</t>
  </si>
  <si>
    <t xml:space="preserve">4350FS</t>
  </si>
  <si>
    <t xml:space="preserve">MSP-4352</t>
  </si>
  <si>
    <t xml:space="preserve">1.6.1.1.13.14</t>
  </si>
  <si>
    <t xml:space="preserve">LUMINARIA LED TIPO DOWNLIGHT 25W PARA EMPOTRAR DE 225m DE 2618 lm/CRI &gt;= 80/FP&gt;=0.90/VIDA  UTIL &gt;= 50000 HORAS/&gt;=4000K</t>
  </si>
  <si>
    <t xml:space="preserve">4351FS</t>
  </si>
  <si>
    <t xml:space="preserve">MSP-4353</t>
  </si>
  <si>
    <t xml:space="preserve">1.6.1.1.13.15</t>
  </si>
  <si>
    <t xml:space="preserve">LUMINARIA LED TIPO PLAFON 24W PARA ADOSAR DE d=300mm. DE 2040lm/CRI &gt;= 80/FP&gt;=0.90/VIDA UTIL &gt;= 50000 HORAS/4000K</t>
  </si>
  <si>
    <t xml:space="preserve">4352FS</t>
  </si>
  <si>
    <t xml:space="preserve">MSP-4354</t>
  </si>
  <si>
    <t xml:space="preserve">1.6.1.1.13.16</t>
  </si>
  <si>
    <t xml:space="preserve">LUMINARIA LED TIPO PLAFON 18W, PARA ADOSAR DE d=225mm. DE 1530lm/CRI &gt;= 80/FP&gt;=0.90/VIDA UTIL &gt;= 50000 HORAS/4000K. INCLUYE ADAPTADO CON MARCO DE ALUMINIO</t>
  </si>
  <si>
    <t xml:space="preserve">4353FS</t>
  </si>
  <si>
    <t xml:space="preserve">MSP-4355</t>
  </si>
  <si>
    <t xml:space="preserve">1.6.1.1.13.17</t>
  </si>
  <si>
    <t xml:space="preserve">LUMINARIA LED INDU DOWNLIGHT 15W  PARA EMPOTRAR DE 0.175x0.175x0.084m DE 1389 lm/CRI &gt;= 80/FP&gt;=0.92/VIDA UTIL &gt;= 50000 HORAS/4000K</t>
  </si>
  <si>
    <t xml:space="preserve">4354FS</t>
  </si>
  <si>
    <t xml:space="preserve">MSP-4356</t>
  </si>
  <si>
    <t xml:space="preserve">1.6.1.1.13.18</t>
  </si>
  <si>
    <t xml:space="preserve">LUMINARIA LED TIPO DOWNLIGHT 8"18W  PARA EMPOTRAR DE 225mm. DE 1440 lm/CRI &gt;= 80/FP&gt;=0.90/VIDA UTIL &gt;= 50000 HORAS/5000K</t>
  </si>
  <si>
    <t xml:space="preserve">4355FS</t>
  </si>
  <si>
    <t xml:space="preserve">MSP-4357</t>
  </si>
  <si>
    <t xml:space="preserve">1.6.1.1.13.19</t>
  </si>
  <si>
    <t xml:space="preserve">LUMINARIA PERIMETRAL MODELO LED WALL PACK, 45W, 5625lm/CRI &gt;=80/FP&gt;=0.90/VIDA UTIL &gt;=50000 HORAS/ 3000K/IP 66</t>
  </si>
  <si>
    <t xml:space="preserve">4356FS</t>
  </si>
  <si>
    <t xml:space="preserve">MSP-4358</t>
  </si>
  <si>
    <t xml:space="preserve">1.6.1.1.13.20</t>
  </si>
  <si>
    <t xml:space="preserve">LUMINARIA TIPO BRAQUET MODELO FLEXIA DE 40 LED,S DE 43W, 350mA.,6415lm/FP&gt;=0.90/VIDA UTIL</t>
  </si>
  <si>
    <t xml:space="preserve">4357FS</t>
  </si>
  <si>
    <t xml:space="preserve">MSP-4359</t>
  </si>
  <si>
    <t xml:space="preserve">1.6.1.1.13.21</t>
  </si>
  <si>
    <t xml:space="preserve">LUMINARIA  MODELO FLEXIA DE 40 LED,S DE 43W, 350mA.,6415lm/FP&gt;=0.90/VIDA UTIL&gt;=100000 HORAS,  CRI=70 /&gt;= 4000K/IP65/IK 10 CON POSTE DE F°G° EXISTENTE DE 4.00 METROS (CON FOTOMETRIA SIMETRICO)</t>
  </si>
  <si>
    <t xml:space="preserve">4358FS</t>
  </si>
  <si>
    <t xml:space="preserve">MSP-4360</t>
  </si>
  <si>
    <t xml:space="preserve">1.6.1.1.13.22</t>
  </si>
  <si>
    <t xml:space="preserve">REFLECTOR DE 48 LED,S MODELO INDUFLOOD DE 70W, DE 12096Lm/FP&gt;=0.90/VIDA UTIL?100000 HORAS,  CRI&gt;=70 /&gt;= 4000K/IP65/IK 10 CON CON BRAZO METALICO DE 0.30M. EN PARAPETO</t>
  </si>
  <si>
    <t xml:space="preserve">4359FS</t>
  </si>
  <si>
    <t xml:space="preserve">MSP-4361</t>
  </si>
  <si>
    <t xml:space="preserve">1.6.1.1.13.23</t>
  </si>
  <si>
    <t xml:space="preserve">SENSOR INFRARROJO PASIVO, MODALIDAD FUNCIONAMIENTO AUTOMATICO, TIPO INSTALACION ADOSADO.</t>
  </si>
  <si>
    <t xml:space="preserve">4360FS</t>
  </si>
  <si>
    <t xml:space="preserve">MSP-4362</t>
  </si>
  <si>
    <t xml:space="preserve">1.6.1.1.13.24</t>
  </si>
  <si>
    <t xml:space="preserve">LUCES DE EMERGENCIA DE 7.5W DE 300lm, PARA EXTERIORES  DEBE CONTAR CON IP 66 Y RESISTENTE A RAYO SOLAR</t>
  </si>
  <si>
    <t xml:space="preserve">4361FS</t>
  </si>
  <si>
    <t xml:space="preserve">MSP-4363</t>
  </si>
  <si>
    <t xml:space="preserve">1.6.1.1.13.25</t>
  </si>
  <si>
    <t xml:space="preserve">MODULO LED 0.96 W DE 30X30X5.7mm PARA PARA LETREROS DE AVISO DE 134lm/CRI &gt;= 80/FP&gt;=0.90/VIDA UTIL &gt;= 50000 HORAS/6000K</t>
  </si>
  <si>
    <t xml:space="preserve">4362FS</t>
  </si>
  <si>
    <t xml:space="preserve">MSP-4364</t>
  </si>
  <si>
    <t xml:space="preserve">1.6.1.1.13.26</t>
  </si>
  <si>
    <t xml:space="preserve">FUENTE DE ALIMETACION DE 36 W, 220V/60Hz CA A 12V DC -3A PARA MODULO LED DE LETRERO LUMINOSO</t>
  </si>
  <si>
    <t xml:space="preserve">4363FS</t>
  </si>
  <si>
    <t xml:space="preserve">MSP-4365</t>
  </si>
  <si>
    <t xml:space="preserve">1.6.1.1.13.27</t>
  </si>
  <si>
    <t xml:space="preserve">FUENTE DE ALIMETACION DE 60 W, 220V/60Hz CA A 12V DC - 5A PARA MODULO LED DE LETRERO LUMINOSO</t>
  </si>
  <si>
    <t xml:space="preserve">4364FS</t>
  </si>
  <si>
    <t xml:space="preserve">MSP-4366</t>
  </si>
  <si>
    <t xml:space="preserve">1.6.1.1.14</t>
  </si>
  <si>
    <t xml:space="preserve">INSTALACION DE TOMACORRIENTES</t>
  </si>
  <si>
    <t xml:space="preserve">MSP-4367</t>
  </si>
  <si>
    <t xml:space="preserve">1.6.1.1.14.1</t>
  </si>
  <si>
    <t xml:space="preserve">TOMACORRIENTE DOBLE 2P +T, UNIVERSAL DE 16A, 250V DE USO GENERAL EMPOTRADO EN MURO 0.40m</t>
  </si>
  <si>
    <t xml:space="preserve">MSP-4368</t>
  </si>
  <si>
    <t xml:space="preserve">1.6.1.1.14.2</t>
  </si>
  <si>
    <t xml:space="preserve">TOMACORRIENTE DOBLE 2P + T, UNIVERSAL DE 16A, 250V DE USO GENERAL EMPOTRADO EN MURO 1.20m</t>
  </si>
  <si>
    <t xml:space="preserve">4367FS</t>
  </si>
  <si>
    <t xml:space="preserve">MSP-4369</t>
  </si>
  <si>
    <t xml:space="preserve">1.6.1.1.14.3</t>
  </si>
  <si>
    <t xml:space="preserve">TOMACORRIENTE HIDROBOX DOBLE CON TIERRA - IP55 , PARA USO DE PROTECION DE AGUA a 1.20m</t>
  </si>
  <si>
    <t xml:space="preserve">4368FS</t>
  </si>
  <si>
    <t xml:space="preserve">MSP-4370</t>
  </si>
  <si>
    <t xml:space="preserve">1.6.1.1.14.4</t>
  </si>
  <si>
    <t xml:space="preserve">TOMACORRIENTE EMPOTRABLE 32A  2P+T, 250V, 6H IP67 (Tipo Industrial Monofásico)</t>
  </si>
  <si>
    <t xml:space="preserve">4369FS</t>
  </si>
  <si>
    <t xml:space="preserve">MSP-4371</t>
  </si>
  <si>
    <t xml:space="preserve">1.6.1.1.14.5</t>
  </si>
  <si>
    <t xml:space="preserve">TOMACORRIENTE EMPOTRABLE 32A, 3P+T 250V, 9H IP44 (Tipo Industrial Trifásico)</t>
  </si>
  <si>
    <t xml:space="preserve">4370FS</t>
  </si>
  <si>
    <t xml:space="preserve">MSP-4372</t>
  </si>
  <si>
    <t xml:space="preserve">1.6.1.1.14.6</t>
  </si>
  <si>
    <t xml:space="preserve">TOMACORRIENTE DUPLEX UNIVERSAL 2P+T, 16A. 250VAC. MATIX ROJO,  PARA SISTEMA ESTABILIZADO EMPOTRADO EN  MURO  0.40m</t>
  </si>
  <si>
    <t xml:space="preserve">4371FS</t>
  </si>
  <si>
    <t xml:space="preserve">MSP-4373</t>
  </si>
  <si>
    <t xml:space="preserve">1.6.1.1.14.7</t>
  </si>
  <si>
    <t xml:space="preserve">TOMACORRIENTE DUPLEX UNIVERSAL 2P+T, 16A. 250VAC. MATIX ROJO,  PARA SISTEMA ESTABILIZADO EMPOTRADO EN  MURO 3.00 m</t>
  </si>
  <si>
    <t xml:space="preserve">4372FS</t>
  </si>
  <si>
    <t xml:space="preserve">MSP-4374</t>
  </si>
  <si>
    <t xml:space="preserve">1.6.1.1.14.8</t>
  </si>
  <si>
    <t xml:space="preserve">TOMACORRIENTE DUPLEX UNIVERSAL 2P+T, 16A. 250VAC. MATIX ROJO,  PARA SISTEMA ESTABILIZADO EMPOTRADO EN  MURO 2.20m</t>
  </si>
  <si>
    <t xml:space="preserve">4373FS</t>
  </si>
  <si>
    <t xml:space="preserve">MSP-4375</t>
  </si>
  <si>
    <t xml:space="preserve">1.6.1.1.14.9</t>
  </si>
  <si>
    <t xml:space="preserve">TOMACORRIENTE DUPLEX UNIVERSAL 2P+T, 16A. 250VAC. MATIX ROJO, PARA SISTEMA ESTABILIZADO EN TECHO</t>
  </si>
  <si>
    <t xml:space="preserve">4374FS</t>
  </si>
  <si>
    <t xml:space="preserve">MSP-4376</t>
  </si>
  <si>
    <t xml:space="preserve">1.6.1.1.14.10</t>
  </si>
  <si>
    <t xml:space="preserve">TOMACORRIENTE DOBLE 2P UNIVERSAL DE 16A, 250V PARA SISTEMA ESTABILIZADO EMPOTRADO EN PISO,CON CAJA POP-UP DE CUATRO MODULOS</t>
  </si>
  <si>
    <t xml:space="preserve">4375FS</t>
  </si>
  <si>
    <t xml:space="preserve">MSP-4377</t>
  </si>
  <si>
    <t xml:space="preserve">1.6.1.1.14.11</t>
  </si>
  <si>
    <t xml:space="preserve">TOMACORRIENTE DOBLE 2P UNIVERSAL DE 16A, 250V PARA SISTEMA ESTABILIZADO EMPOTRADO EN PISO,CON CAJA POP-UP DE OCHO MODULOS</t>
  </si>
  <si>
    <t xml:space="preserve">4376FS</t>
  </si>
  <si>
    <t xml:space="preserve">MSP-4378</t>
  </si>
  <si>
    <t xml:space="preserve">1.6.1.1.14.12</t>
  </si>
  <si>
    <t xml:space="preserve">TOMACORRIENTE EMPOTRABLE 16AMP 2P+T 250V ROJO 9H IP44, TIPO INDUSTRIAL, EMPOTRADO EN PISO O PARED</t>
  </si>
  <si>
    <t xml:space="preserve">4377FS</t>
  </si>
  <si>
    <t xml:space="preserve">MSP-4379</t>
  </si>
  <si>
    <t xml:space="preserve">1.6.1.1.15</t>
  </si>
  <si>
    <t xml:space="preserve">INSTALACION DE SECADOR DE MANO</t>
  </si>
  <si>
    <t xml:space="preserve">MSP-4380</t>
  </si>
  <si>
    <t xml:space="preserve">1.6.1.1.15.1</t>
  </si>
  <si>
    <t xml:space="preserve">SECADOR DE MANO DE 1500W</t>
  </si>
  <si>
    <t xml:space="preserve">4378FS</t>
  </si>
  <si>
    <t xml:space="preserve">MSP-4381</t>
  </si>
  <si>
    <t xml:space="preserve">1.6.1.1.16</t>
  </si>
  <si>
    <t xml:space="preserve">INSTALACION DE INTERRUPTORES</t>
  </si>
  <si>
    <t xml:space="preserve">MSP-4382</t>
  </si>
  <si>
    <t xml:space="preserve">1.6.1.1.16.1</t>
  </si>
  <si>
    <t xml:space="preserve">INTERRUPTOR SIMPLE</t>
  </si>
  <si>
    <t xml:space="preserve">4380FS</t>
  </si>
  <si>
    <t xml:space="preserve">MSP-4383</t>
  </si>
  <si>
    <t xml:space="preserve">1.6.1.1.16.2</t>
  </si>
  <si>
    <t xml:space="preserve">INTERRUPTOR DOBLE</t>
  </si>
  <si>
    <t xml:space="preserve">4382FS</t>
  </si>
  <si>
    <t xml:space="preserve">MSP-4384</t>
  </si>
  <si>
    <t xml:space="preserve">1.6.1.1.16.3</t>
  </si>
  <si>
    <t xml:space="preserve">INTERRUPTOR TRIPLE</t>
  </si>
  <si>
    <t xml:space="preserve">4383FS</t>
  </si>
  <si>
    <t xml:space="preserve">MSP-4385</t>
  </si>
  <si>
    <t xml:space="preserve">1.6.1.1.16.4</t>
  </si>
  <si>
    <t xml:space="preserve">INTERRUPTOR DE CONMUTACIÓN SIMPLE</t>
  </si>
  <si>
    <t xml:space="preserve">4384FS</t>
  </si>
  <si>
    <t xml:space="preserve">MSP-4386</t>
  </si>
  <si>
    <t xml:space="preserve">1.6.1.1.17</t>
  </si>
  <si>
    <t xml:space="preserve">POSTES</t>
  </si>
  <si>
    <t xml:space="preserve">MSP-4387</t>
  </si>
  <si>
    <t xml:space="preserve">1.6.1.1.17.1</t>
  </si>
  <si>
    <t xml:space="preserve">POSTES DE FIERRO GALVANIZADO DE 4" DE 4.40m, ESPESOR  4.5 mm</t>
  </si>
  <si>
    <t xml:space="preserve">4385FS</t>
  </si>
  <si>
    <t xml:space="preserve">MSP-4388</t>
  </si>
  <si>
    <t xml:space="preserve">1.6.1.1.18</t>
  </si>
  <si>
    <t xml:space="preserve">TABLEROS E INTERRUPTORES TERMOMAGNETICOS</t>
  </si>
  <si>
    <t xml:space="preserve">MSP-4389</t>
  </si>
  <si>
    <t xml:space="preserve">1.6.1.1.18.1</t>
  </si>
  <si>
    <t xml:space="preserve">TABLERO GENERAL (TG-A) SISTEMA FUERZA C/BARRA DE TENSION NORMAL - PRIMER NIVEL (DEL TIPO AUTOSOPORTADO, 380/220V, 3F+N+T, 60HZ), 30 POLOS</t>
  </si>
  <si>
    <t xml:space="preserve">4387FS</t>
  </si>
  <si>
    <t xml:space="preserve">MSP-4390</t>
  </si>
  <si>
    <t xml:space="preserve">1.6.1.1.18.2</t>
  </si>
  <si>
    <t xml:space="preserve">TABLERO DE DISTRIBUCION (TD-1) SISTEMA BARRA TIPO RIEL DIN DE TENSION NORMAL - PRIMER NIVEL (DEL TIPO ADOSADO, 380/220V, 3F+N+T, 60HZ) 30 POLOS + ESPACIOS PARA 02 RELOJ HORARIO</t>
  </si>
  <si>
    <t xml:space="preserve">4389FS</t>
  </si>
  <si>
    <t xml:space="preserve">MSP-4391</t>
  </si>
  <si>
    <t xml:space="preserve">1.6.1.1.18.3</t>
  </si>
  <si>
    <t xml:space="preserve">TABLERO DE DISTRIBUCION (TD-23) SISTEMA BARRA TIPO RIEL DIN DE TENSION NORMAL - SOTANO (DEL TIPO ADOSADO, 380/220V, 3F+N+T, 60HZ) 20 POLOS</t>
  </si>
  <si>
    <t xml:space="preserve">4390FS</t>
  </si>
  <si>
    <t xml:space="preserve">MSP-4392</t>
  </si>
  <si>
    <t xml:space="preserve">1.6.1.1.18.4</t>
  </si>
  <si>
    <t xml:space="preserve">TABLERO GENERAL (TG-1) SISTEMA FUERZA C/BARRA DE TENSION NORMAL - PRIMER NIVEL (DEL TIPO EMPOTRADO, 380/220V, 3F+N+T, 60HZ), 44 POLOS</t>
  </si>
  <si>
    <t xml:space="preserve">4391FS</t>
  </si>
  <si>
    <t xml:space="preserve">MSP-4393</t>
  </si>
  <si>
    <t xml:space="preserve">1.6.1.1.18.5</t>
  </si>
  <si>
    <t xml:space="preserve">TABLERO DE DISTRIBUCION (TD-2) SISTEMA BARRA TIPO RIEL DIN DE TENSION NORMAL - PRIMER NIVEL (DEL TIPO EMPOTRADO, 380/220V, 3F+N+T, 60HZ) 20 POLOS</t>
  </si>
  <si>
    <t xml:space="preserve">4392FS</t>
  </si>
  <si>
    <t xml:space="preserve">MSP-4394</t>
  </si>
  <si>
    <t xml:space="preserve">1.6.1.1.18.6</t>
  </si>
  <si>
    <t xml:space="preserve">TABLERO DE DISTRIBUCION (TD-3) SISTEMA BARRA TIPO RIEL DIN DE TENSION NORMAL - PRIMER NIVEL (DEL TIPO EMPOTRADO, 380/220V, 3F+N+T, 60HZ) 40 POLOS</t>
  </si>
  <si>
    <t xml:space="preserve">4393FS</t>
  </si>
  <si>
    <t xml:space="preserve">MSP-4395</t>
  </si>
  <si>
    <t xml:space="preserve">1.6.1.1.18.7</t>
  </si>
  <si>
    <t xml:space="preserve">TABLERO DE DISTRIBUCION (TD-4) SISTEMA BARRA TIPO RIEL DIN DE TENSION NORMAL - PRIMER NIVEL (DEL TIPO EMPOTRADO, 380/220V, 3F+N+T, 60HZ) 32 POLOS</t>
  </si>
  <si>
    <t xml:space="preserve">4394FS</t>
  </si>
  <si>
    <t xml:space="preserve">MSP-4396</t>
  </si>
  <si>
    <t xml:space="preserve">1.6.1.1.18.8</t>
  </si>
  <si>
    <t xml:space="preserve">TABLERO DE DISTRIBUCION (TD-5) SISTEMA BARRA TIPO RIEL DIN DE TENSION NORMAL - PRIMER NIVEL (DEL TIPO EMPOTRADO, 380/220V, 3F+N+T, 60HZ) 44 POLOS</t>
  </si>
  <si>
    <t xml:space="preserve">4395FS</t>
  </si>
  <si>
    <t xml:space="preserve">MSP-4397</t>
  </si>
  <si>
    <t xml:space="preserve">1.6.1.1.18.9</t>
  </si>
  <si>
    <t xml:space="preserve">TABLERO DE DISTRIBUCION (TD-11) SISTEMA BARRA TIPO RIEL DIN DE TENSION NORMAL - SEGUNDO NIVEL (DEL TIPO EMPOTRADO, 380/220V, 3F+N+T, 60HZ) 20 POLOS</t>
  </si>
  <si>
    <t xml:space="preserve">4396FS</t>
  </si>
  <si>
    <t xml:space="preserve">MSP-4398</t>
  </si>
  <si>
    <t xml:space="preserve">1.6.1.1.18.10</t>
  </si>
  <si>
    <t xml:space="preserve">TABLERO DE DISTRIBUCION (TD-12) SISTEMA BARRA TIPO RIEL DIN DE TENSION NORMAL - SEGUNDO NIVEL (DEL TIPO EMPOTRADO, 380/220V, 3F+N+T, 60HZ) 28 POLOS</t>
  </si>
  <si>
    <t xml:space="preserve">4397FS</t>
  </si>
  <si>
    <t xml:space="preserve">MSP-4399</t>
  </si>
  <si>
    <t xml:space="preserve">1.6.1.1.18.11</t>
  </si>
  <si>
    <t xml:space="preserve">TABLERO DE DISTRIBUCION (TD-13) SISTEMA BARRA TIPO RIEL DIN DE TENSION NORMAL - SEGUNDO NIVEL (DEL TIPO EMPOTRADO, 380/220V, 3F+N+T, 60HZ) 40 POLOS</t>
  </si>
  <si>
    <t xml:space="preserve">4398FS</t>
  </si>
  <si>
    <t xml:space="preserve">MSP-4400</t>
  </si>
  <si>
    <t xml:space="preserve">1.6.1.1.18.12</t>
  </si>
  <si>
    <t xml:space="preserve">TABLERO DE DISTRIBUCION (TD-18) SISTEMA BARRA TIPO RIEL DIN DE TENSION NORMAL - TERCER NIVEL (DEL TIPO EMPOTRADO, 380/220V, 3F+N+T, 60HZ) 28 POLOS</t>
  </si>
  <si>
    <t xml:space="preserve">4399FS</t>
  </si>
  <si>
    <t xml:space="preserve">MSP-4401</t>
  </si>
  <si>
    <t xml:space="preserve">1.6.1.1.18.13</t>
  </si>
  <si>
    <t xml:space="preserve">TABLERO DE DISTRIBUCION (TD-19) SISTEMA BARRA TIPO RIEL DIN DE TENSION NORMAL - TERCER NIVEL (DEL TIPO EMPOTRADO, 380/220V, 3F+N+T, 60HZ) 32 POLOS</t>
  </si>
  <si>
    <t xml:space="preserve">4400FS</t>
  </si>
  <si>
    <t xml:space="preserve">MSP-4402</t>
  </si>
  <si>
    <t xml:space="preserve">1.6.1.1.18.14</t>
  </si>
  <si>
    <t xml:space="preserve">TABLERO DE DISTRIBUCION (TD-20) SISTEMA BARRA TIPO RIEL DIN DE TENSION NORMAL - TERCER NIVEL (DEL TIPO EMPOTRADO, 380/220V, 3F+N+T, 60HZ) 36 POLOS</t>
  </si>
  <si>
    <t xml:space="preserve">4401FS</t>
  </si>
  <si>
    <t xml:space="preserve">MSP-4403</t>
  </si>
  <si>
    <t xml:space="preserve">1.6.1.1.18.15</t>
  </si>
  <si>
    <t xml:space="preserve">TABLERO GENERAL (TGE-1) SISTEMA FUERZA C/BARRA DE TENSION ESTABILIZADA - PRIMER NIVEL (DEL TIPO EMPOTRADO, 380/220V, 3F+N+T, 60HZ), 32 POLOS + 04 INTERRUPTORES TRIFASICAS</t>
  </si>
  <si>
    <t xml:space="preserve">4402FS</t>
  </si>
  <si>
    <t xml:space="preserve">MSP-4404</t>
  </si>
  <si>
    <t xml:space="preserve">1.6.1.1.18.16</t>
  </si>
  <si>
    <t xml:space="preserve">TABLERO DE DISTRIBUCION (TDE-1) SISTEMA BARRA TIPO RIEL DIN DE TENSION ESTABILIZADA - PRIMER NIVEL (DEL TIPO EMPOTRADO, 380/220V, 3F+N+T, 60HZ) 20 POLOS</t>
  </si>
  <si>
    <t xml:space="preserve">4403FS</t>
  </si>
  <si>
    <t xml:space="preserve">MSP-4405</t>
  </si>
  <si>
    <t xml:space="preserve">1.6.1.1.18.17</t>
  </si>
  <si>
    <t xml:space="preserve">TABLERO DE DISTRIBUCION (TDE-1.1) SISTEMA BARRA TIPO RIEL DIN DE TENSION ESTABILIZADA - PRIMER NIVEL (DEL TIPO EMPOTRADO, 380/220V, 3F+N+T, 60HZ) 16 POLOS</t>
  </si>
  <si>
    <t xml:space="preserve">4404FS</t>
  </si>
  <si>
    <t xml:space="preserve">MSP-4406</t>
  </si>
  <si>
    <t xml:space="preserve">1.6.1.1.18.18</t>
  </si>
  <si>
    <t xml:space="preserve">TABLERO DE DISTRIBUCION (TDE-1.2) SISTEMA BARRA TIPO RIEL DIN DE TENSION ESTABILIZADA - SEGUNDO NIVEL (DEL TIPO EMPOTRADO, 380/220V, 3F+N+T, 60HZ) 16 POLOS</t>
  </si>
  <si>
    <t xml:space="preserve">4405FS</t>
  </si>
  <si>
    <t xml:space="preserve">MSP-4407</t>
  </si>
  <si>
    <t xml:space="preserve">1.6.1.1.18.19</t>
  </si>
  <si>
    <t xml:space="preserve">TABLERO DE DISTRIBUCION (TDE-1.3) SISTEMA BARRA TIPO RIEL DIN DE TENSION ESTABILIZADA - SEGUNDO NIVEL (DEL TIPO EMPOTRADO, 380/220V, 3F+N+T, 60HZ) 16 POLOS</t>
  </si>
  <si>
    <t xml:space="preserve">4406FS</t>
  </si>
  <si>
    <t xml:space="preserve">MSP-4408</t>
  </si>
  <si>
    <t xml:space="preserve">1.6.1.1.18.20</t>
  </si>
  <si>
    <t xml:space="preserve">TABLERO DE DISTRIBUCION (TDE-1.4) SISTEMA BARRA TIPO RIEL DIN DE TENSION ESTABILIZADA - TERCER NIVEL (DEL TIPO EMPOTRADO, 380/220V, 3F+N+T, 60HZ) 16 POLOS</t>
  </si>
  <si>
    <t xml:space="preserve">4407FS</t>
  </si>
  <si>
    <t xml:space="preserve">MSP-4409</t>
  </si>
  <si>
    <t xml:space="preserve">1.6.1.1.18.21</t>
  </si>
  <si>
    <t xml:space="preserve">TABLERO DE DISTRIBUCION (TDE-3) SISTEMA BARRA TIPO RIEL DIN DE TENSION ESTABILIZADA - PRIMER NIVEL (DEL TIPO EMPOTRADO, 380/220V, 3F+N+T, 60HZ) 20 POLOS</t>
  </si>
  <si>
    <t xml:space="preserve">4408FS</t>
  </si>
  <si>
    <t xml:space="preserve">MSP-4410</t>
  </si>
  <si>
    <t xml:space="preserve">1.6.1.1.18.22</t>
  </si>
  <si>
    <t xml:space="preserve">TABLERO DE DISTRIBUCION (TDE-3.1) SISTEMA BARRA TIPO RIEL DIN DE TENSION ESTABILIZADA - SEGUNDO NIVEL (DEL TIPO EMPOTRADO, 380/220V, 3F+N+T, 60HZ) 16 POLOS</t>
  </si>
  <si>
    <t xml:space="preserve">4409FS</t>
  </si>
  <si>
    <t xml:space="preserve">MSP-4411</t>
  </si>
  <si>
    <t xml:space="preserve">1.6.1.1.18.23</t>
  </si>
  <si>
    <t xml:space="preserve">TABLERO DE DISTRIBUCION (TDE-4) SISTEMA BARRA TIPO RIEL DIN DE TENSION ESTABILIZADA - PRIMER NIVEL (DEL TIPO EMPOTRADO, 380/220V, 3F+N+T, 60HZ) 20 POLOS</t>
  </si>
  <si>
    <t xml:space="preserve">4410FS</t>
  </si>
  <si>
    <t xml:space="preserve">MSP-4412</t>
  </si>
  <si>
    <t xml:space="preserve">1.6.1.1.18.24</t>
  </si>
  <si>
    <t xml:space="preserve">TABLERO DE DISTRIBUCION (TDE-4.1) SISTEMA BARRA TIPO RIEL DIN DE TENSION ESTABILIZADA - SEGUNDO NIVEL (DEL TIPO EMPOTRADO, 380/220V, 3F+N+T, 60HZ) 16 POLOS</t>
  </si>
  <si>
    <t xml:space="preserve">4411FS</t>
  </si>
  <si>
    <t xml:space="preserve">MSP-4413</t>
  </si>
  <si>
    <t xml:space="preserve">1.6.1.1.18.25</t>
  </si>
  <si>
    <t xml:space="preserve">TABLERO GENERAL (TG-2 ) SISTEMA FUERZA C/BARRA DE TENSION NORMAL - PRIMER NIVEL (DEL TIPO EMPOTRADO, 380/220V, 3F+N+T, 60HZ), 44 POLOS</t>
  </si>
  <si>
    <t xml:space="preserve">4412FS</t>
  </si>
  <si>
    <t xml:space="preserve">MSP-4414</t>
  </si>
  <si>
    <t xml:space="preserve">1.6.1.1.18.26</t>
  </si>
  <si>
    <t xml:space="preserve">TABLERO DE DISTRIBUCION (TD-6) SISTEMA BARRA TIPO RIEL DIN DE TENSION NORMAL - PRIMER NIVEL  (DEL TIPO EMPOTRADO, 380/220V, 3F+N+T, 60HZ)  44 POLOS</t>
  </si>
  <si>
    <t xml:space="preserve">4413FS</t>
  </si>
  <si>
    <t xml:space="preserve">MSP-4415</t>
  </si>
  <si>
    <t xml:space="preserve">1.6.1.1.18.27</t>
  </si>
  <si>
    <t xml:space="preserve">TABLERO DE DISTRIBUCION (TD-7) SISTEMA BARRA TIPO RIEL DIN DE TENSION NORMAL - PRIMER NIVEL (DEL TIPO EMPOTRADO, 380/220V, 3F+N+T, 60HZ) 36 POLOS</t>
  </si>
  <si>
    <t xml:space="preserve">4414FS</t>
  </si>
  <si>
    <t xml:space="preserve">MSP-4416</t>
  </si>
  <si>
    <t xml:space="preserve">1.6.1.1.18.28</t>
  </si>
  <si>
    <t xml:space="preserve">TABLERO DE DISTRIBUCION (TD-8)SISTEMA BARRA TIPO RIEL DIN DE TENSION NORMAL - PRIMER NIVEL (DEL TIPO EMPOTRADO, 380/220V, 3F+N+T, 60HZ) 36 POLOS + O2 RELOJ HORARIO</t>
  </si>
  <si>
    <t xml:space="preserve">4415FS</t>
  </si>
  <si>
    <t xml:space="preserve">MSP-4417</t>
  </si>
  <si>
    <t xml:space="preserve">1.6.1.1.18.29</t>
  </si>
  <si>
    <t xml:space="preserve">TABLERO DE DISTRIBUCION (TD-14) SISTEMA BARRA TIPO RIEL DIN DE TENSION NORMAL - SEGUNDO NIVEL (DEL TIPO EMPOTRADO, 380/220V, 3F+N+T, 60HZ) 32 POLOS</t>
  </si>
  <si>
    <t xml:space="preserve">4416FS</t>
  </si>
  <si>
    <t xml:space="preserve">MSP-4418</t>
  </si>
  <si>
    <t xml:space="preserve">1.6.1.1.18.30</t>
  </si>
  <si>
    <t xml:space="preserve">TABLERO DE DISTRIBUCION (TD-15) SISTEMA BARRA TIPO RIEL DIN DE TENSION NORMAL - SEGUNDO NIVEL (DEL TIPO EMPOTRADO, 380/220V, 3F+N+T, 60HZ)  44 POLOS</t>
  </si>
  <si>
    <t xml:space="preserve">4417FS</t>
  </si>
  <si>
    <t xml:space="preserve">MSP-4419</t>
  </si>
  <si>
    <t xml:space="preserve">1.6.1.1.18.31</t>
  </si>
  <si>
    <t xml:space="preserve">TABLERO DE DISTRIBUCION (TD-21) SISTEMA BARRA TIPO RIEL DIN DE TENSION NORMAL - TERCER  NIVEL (DEL TIPO EMPOTRADO, 380/220V, 3F+N+T, 60HZ) 44 POLOS</t>
  </si>
  <si>
    <t xml:space="preserve">4418FS</t>
  </si>
  <si>
    <t xml:space="preserve">MSP-4420</t>
  </si>
  <si>
    <t xml:space="preserve">1.6.1.1.18.32</t>
  </si>
  <si>
    <t xml:space="preserve">TABLERO DE DISTRIBUCION (TD-22) SISTEMA BARRA TIPO RIEL DIN DE TENSION NORMAL - SOTANO  (DEL TIPO EMPOTRADO, 380/220V, 3F+N+T, 60HZ)  20 POLOS + ESPACIOS PARA 02 ID 1F + ESPACIOS PARA 02 ID 3F</t>
  </si>
  <si>
    <t xml:space="preserve">4419FS</t>
  </si>
  <si>
    <t xml:space="preserve">MSP-4421</t>
  </si>
  <si>
    <t xml:space="preserve">1.6.1.1.18.33</t>
  </si>
  <si>
    <t xml:space="preserve">TABLERO DE DISTRIBUCION (TD-24) SISTEMA BARRA TIPO RIEL DIN DE TENSION NORMAL - PRIMER NIVEL (DEL TIPO EMPOTRADO, 380/220V, 3F+N+T, 60HZ) 20 POLOS</t>
  </si>
  <si>
    <t xml:space="preserve">4420FS</t>
  </si>
  <si>
    <t xml:space="preserve">MSP-4422</t>
  </si>
  <si>
    <t xml:space="preserve">1.6.1.1.18.34</t>
  </si>
  <si>
    <t xml:space="preserve">TABLERO DE DISTRIBUCION (TD-25) SISTEMA BARRA TIPO RIEL DIN DE TENSION NORMAL - SOTANO (DEL TIPO ADOSADO, 380/220V, 3F+N+T, 60HZ) 20 POLOS</t>
  </si>
  <si>
    <t xml:space="preserve">4421FS</t>
  </si>
  <si>
    <t xml:space="preserve">MSP-4423</t>
  </si>
  <si>
    <t xml:space="preserve">1.6.1.1.18.35</t>
  </si>
  <si>
    <t xml:space="preserve">TABLERO DE DISTRIBUCION DE ELECTROBOMBA (TEB-01)  SISTEMA BARRA TIPO RIEL DIN DE TENSION NORMAL - SOTANO  (DEL TIPO ADOSADO, 380/220V, 3F+N+T, 60HZ) 28 POLOS + ESPACIOS PARA 04 ID 3F + 04 RELAY TERMICOS</t>
  </si>
  <si>
    <t xml:space="preserve">4422FS</t>
  </si>
  <si>
    <t xml:space="preserve">MSP-4424</t>
  </si>
  <si>
    <t xml:space="preserve">1.6.1.1.18.36</t>
  </si>
  <si>
    <t xml:space="preserve">TABLERO GENERAL (TGE-2 ) SISTEMA FUERZA C/BARRA DE TENSION ESTABILIZADA - SEGUNDO NIVEL (DEL TIPO EMPOTRADO, 380/220V, 3F+N+T, 60HZ), 32 POLOS + 04 INTERRUPTORES TRIFASICAS</t>
  </si>
  <si>
    <t xml:space="preserve">4423FS</t>
  </si>
  <si>
    <t xml:space="preserve">MSP-4425</t>
  </si>
  <si>
    <t xml:space="preserve">1.6.1.1.18.37</t>
  </si>
  <si>
    <t xml:space="preserve">TABLERO DE DISTRIBUCION (TDE-2) SISTEMA BARRA TIPO RIEL DIN DE TENSION ESTABILIZADA - PRIMER NIVEL (DEL TIPO EMPOTRADO, 380/220V, 3F+N+T, 60HZ) 20 POLOS</t>
  </si>
  <si>
    <t xml:space="preserve">4424FS</t>
  </si>
  <si>
    <t xml:space="preserve">MSP-4426</t>
  </si>
  <si>
    <t xml:space="preserve">1.6.1.1.18.38</t>
  </si>
  <si>
    <t xml:space="preserve">TABLERO DE DISTRIBUCION (TDE-2.1) SISTEMA BARRA TIPO RIEL DIN DE TENSION ESTABILIZADA - PRIMER NIVEL (DEL TIPO EMPOTRADO, 380/220V, 3F+N+T, 60HZ) 16 POLOS</t>
  </si>
  <si>
    <t xml:space="preserve">4425FS</t>
  </si>
  <si>
    <t xml:space="preserve">MSP-4427</t>
  </si>
  <si>
    <t xml:space="preserve">1.6.1.1.18.39</t>
  </si>
  <si>
    <t xml:space="preserve">TABLERO DE DISTRIBUCION (TDE-2.2) SISTEMA BARRA TIPO RIEL DIN DE TENSION ESTABILIZADA - PRIMER NIVEL (DEL TIPO EMPOTRADO, 380/220V, 3F+N+T, 60HZ) 16 POLOS</t>
  </si>
  <si>
    <t xml:space="preserve">4426FS</t>
  </si>
  <si>
    <t xml:space="preserve">MSP-4428</t>
  </si>
  <si>
    <t xml:space="preserve">1.6.1.1.18.40</t>
  </si>
  <si>
    <t xml:space="preserve">TABLERO DE DISTRIBUCION (TDE-5) SISTEMA BARRA TIPO RIEL DIN DE TENSION ESTABILIZADA - SEGUNDO NIVEL (DEL TIPO EMPOTRADO, 380/220V, 3F+N+T, 60HZ) 20 POLOS</t>
  </si>
  <si>
    <t xml:space="preserve">4427FS</t>
  </si>
  <si>
    <t xml:space="preserve">MSP-4429</t>
  </si>
  <si>
    <t xml:space="preserve">1.6.1.1.18.41</t>
  </si>
  <si>
    <t xml:space="preserve">TABLERO DE DISTRIBUCION (TDE-6) SISTEMA BARRA TIPO RIEL DIN DE TENSION ESTABILIZADA - TERCER NIVEL (DEL TIPO EMPOTRADO, 380/220V, 3F+N+T, 60HZ) 20 POLOS</t>
  </si>
  <si>
    <t xml:space="preserve">4428FS</t>
  </si>
  <si>
    <t xml:space="preserve">MSP-4430</t>
  </si>
  <si>
    <t xml:space="preserve">1.6.1.1.18.42</t>
  </si>
  <si>
    <t xml:space="preserve">TABLERO GENERAL (TGE-3 ) SISTEMA FUERZA C/BARRA DE TENSION ESTABILIZADA - SEGUNDO NIVEL (DEL TIPO EMPOTRADO, 380/220V, 3F+N+T, 60HZ), 20 POLOS + 04 INTERRUPTORES TRIFASICAS</t>
  </si>
  <si>
    <t xml:space="preserve">4429FS</t>
  </si>
  <si>
    <t xml:space="preserve">MSP-4431</t>
  </si>
  <si>
    <t xml:space="preserve">1.6.1.1.18.43</t>
  </si>
  <si>
    <t xml:space="preserve">TABLERO GENERAL (TG-3 ) SISTEMA FUERZA C/BARRA DE TENSION NORMAL - PRIMER NIVEL (DEL TIPO EMPOTRADO, 380/220V, 3F+N+T, 60HZ), 28 POLOS</t>
  </si>
  <si>
    <t xml:space="preserve">4430FS</t>
  </si>
  <si>
    <t xml:space="preserve">MSP-4432</t>
  </si>
  <si>
    <t xml:space="preserve">1.6.1.1.18.44</t>
  </si>
  <si>
    <t xml:space="preserve">TABLERO DE DISTRIBUCION (TD-9) SISTEMA BARRA TIPO RIEL DIN DE TENSION NORMAL - PRIMER NIVEL (DEL TIPO EMPOTRADO, 380/220V, 3F+N+T, 60HZ) 36 POLOS</t>
  </si>
  <si>
    <t xml:space="preserve">4431FS</t>
  </si>
  <si>
    <t xml:space="preserve">MSP-4433</t>
  </si>
  <si>
    <t xml:space="preserve">1.6.1.1.18.45</t>
  </si>
  <si>
    <t xml:space="preserve">TABLERO DE DISTRIBUCION (TD-10) SISTEMA BARRA TIPO RIEL DIN DE TENSION NORMAL - PRIMER NIVEL (DEL TIPO EMPOTRADO, 380/220V, 3F+N+T, 60HZ) 30 POLOS</t>
  </si>
  <si>
    <t xml:space="preserve">4432FS</t>
  </si>
  <si>
    <t xml:space="preserve">MSP-4434</t>
  </si>
  <si>
    <t xml:space="preserve">1.6.1.1.18.46</t>
  </si>
  <si>
    <t xml:space="preserve">TABLERO DE DISTRIBUCION (TD-16) SISTEMA BARRA TIPO RIEL DIN DE TENSION NORMAL - SEGUNDO NIVEL (DEL TIPO EMPOTRADO, 380/220V, 3F+N+T, 60HZ) 28 POLOS</t>
  </si>
  <si>
    <t xml:space="preserve">4433FS</t>
  </si>
  <si>
    <t xml:space="preserve">MSP-4435</t>
  </si>
  <si>
    <t xml:space="preserve">1.6.1.1.18.47</t>
  </si>
  <si>
    <t xml:space="preserve">TABLERO DE DISTRIBUCION (TD-17) SISTEMA BARRA TIPO RIEL DIN DE TENSION NORMAL - SEGUNDO NIVEL (DEL TIPO EMPOTRADO, 380/220V, 3F+N+T, 60HZ) 24 POLOS</t>
  </si>
  <si>
    <t xml:space="preserve">4434FS</t>
  </si>
  <si>
    <t xml:space="preserve">MSP-4436</t>
  </si>
  <si>
    <t xml:space="preserve">1.6.1.1.18.48</t>
  </si>
  <si>
    <t xml:space="preserve">TABLERO DE DISTRIBUCION (TD-AA)SISTEMA BARRA TIPO RIEL DIN DE TENSION NORMAL - TERCER NIVEL  (DEL TIPO EMPOTRADO, 380/220V, 3F+N+T, 60HZ)  20 POLOS</t>
  </si>
  <si>
    <t xml:space="preserve">4435FS</t>
  </si>
  <si>
    <t xml:space="preserve">MSP-4437</t>
  </si>
  <si>
    <t xml:space="preserve">1.6.1.1.18.49</t>
  </si>
  <si>
    <t xml:space="preserve">TABLERO GENERAL (TG-SCCE ) SISTEMA FUERZA C/BARRA DE TENSION NORMAL - PRIMER NIVEL (DEL TIPO ADOSADO, 380/220V, 3F+N+T, 60HZ), 20 POLOS</t>
  </si>
  <si>
    <t xml:space="preserve">4436FS</t>
  </si>
  <si>
    <t xml:space="preserve">MSP-4438</t>
  </si>
  <si>
    <t xml:space="preserve">1.6.1.1.18.50</t>
  </si>
  <si>
    <t xml:space="preserve">TABLERO DE DISTRIBUCION (TEB-02) SISTEMA BARRA TIPO RIEL DIN DE TENSION NORMAL - SOTANO (DEL TIPO ADOSADO, 380/220V, 3F+N+T, 60HZ) 20 POLOS + ESPACIOS PARA 02 ID 3F + 02 RELAY TERMICO</t>
  </si>
  <si>
    <t xml:space="preserve">4437FS</t>
  </si>
  <si>
    <t xml:space="preserve">MSP-4439</t>
  </si>
  <si>
    <t xml:space="preserve">1.6.1.1.19</t>
  </si>
  <si>
    <t xml:space="preserve">INSTALACION DEL SISTEMA DE PUESTA A TIERRA</t>
  </si>
  <si>
    <t xml:space="preserve">MSP-4440</t>
  </si>
  <si>
    <t xml:space="preserve">1.6.1.1.19.1</t>
  </si>
  <si>
    <t xml:space="preserve">POZO DE PUESTA A TIERRA PARA TENSION NORMAL</t>
  </si>
  <si>
    <t xml:space="preserve">MSP-4441</t>
  </si>
  <si>
    <t xml:space="preserve">1.6.1.1.19.2</t>
  </si>
  <si>
    <t xml:space="preserve">POZO DE PUESTA A TIERRA DE TENSION ESTABILIZADA</t>
  </si>
  <si>
    <t xml:space="preserve">4440FS</t>
  </si>
  <si>
    <t xml:space="preserve">MSP-4442</t>
  </si>
  <si>
    <t xml:space="preserve">1.6.1.1.20</t>
  </si>
  <si>
    <t xml:space="preserve">SISTEMA DE ALIMENTACION ININTERRUMPIDA</t>
  </si>
  <si>
    <t xml:space="preserve">MSP-4443</t>
  </si>
  <si>
    <t xml:space="preserve">1.6.1.1.20.1</t>
  </si>
  <si>
    <t xml:space="preserve">UPS TRUE ONLINE TRIFASICO 35KVA</t>
  </si>
  <si>
    <t xml:space="preserve">4441FS</t>
  </si>
  <si>
    <t xml:space="preserve">MSP-4444</t>
  </si>
  <si>
    <t xml:space="preserve">1.6.1.1.20.2</t>
  </si>
  <si>
    <t xml:space="preserve">UPS TRUE ONLINE TRIFASICO 30KVA</t>
  </si>
  <si>
    <t xml:space="preserve">4443FS</t>
  </si>
  <si>
    <t xml:space="preserve">MSP-4445</t>
  </si>
  <si>
    <t xml:space="preserve">1.6.1.1.20.3</t>
  </si>
  <si>
    <t xml:space="preserve">UPS TRUE ONLINE TRIFASICO 10KVA</t>
  </si>
  <si>
    <t xml:space="preserve">4444FS</t>
  </si>
  <si>
    <t xml:space="preserve">MSP-4446</t>
  </si>
  <si>
    <t xml:space="preserve">1.6.1.1.21</t>
  </si>
  <si>
    <t xml:space="preserve">TRANSFORMADORES DE AISLAMIENTO</t>
  </si>
  <si>
    <t xml:space="preserve">MSP-4447</t>
  </si>
  <si>
    <t xml:space="preserve">1.6.1.1.21.1</t>
  </si>
  <si>
    <t xml:space="preserve">TRANSFORMADOR DE AISLAMIENTO TRIFASICO DE 40KVA</t>
  </si>
  <si>
    <t xml:space="preserve">4445FS</t>
  </si>
  <si>
    <t xml:space="preserve">MSP-4448</t>
  </si>
  <si>
    <t xml:space="preserve">1.6.1.1.21.2</t>
  </si>
  <si>
    <t xml:space="preserve">TRANSFORMADOR DE AISLAMIENTO TRIFASICO DE 15KVA</t>
  </si>
  <si>
    <t xml:space="preserve">4447FS</t>
  </si>
  <si>
    <t xml:space="preserve">MSP-4449</t>
  </si>
  <si>
    <t xml:space="preserve">1.6.1.1.22</t>
  </si>
  <si>
    <t xml:space="preserve">PRUEBAS ELECTRICAS</t>
  </si>
  <si>
    <t xml:space="preserve">MSP-4450</t>
  </si>
  <si>
    <t xml:space="preserve">1.6.1.1.22.1</t>
  </si>
  <si>
    <t xml:space="preserve">PRUEBAS Y PROTOCOLOS EN INSTALACIONES ELECTRICAS</t>
  </si>
  <si>
    <t xml:space="preserve">4448FS</t>
  </si>
  <si>
    <t xml:space="preserve">MSP-4451</t>
  </si>
  <si>
    <t xml:space="preserve">1.6.1.2</t>
  </si>
  <si>
    <t xml:space="preserve">INSTALACIONES MECANICAS</t>
  </si>
  <si>
    <t xml:space="preserve">MSP-4452</t>
  </si>
  <si>
    <t xml:space="preserve">1.6.1.2.1</t>
  </si>
  <si>
    <t xml:space="preserve">SUMINISTRO E INSTALACION DEL SISTEMA DE VENTILACION MECANICA</t>
  </si>
  <si>
    <t xml:space="preserve">MSP-4453</t>
  </si>
  <si>
    <t xml:space="preserve">1.6.1.2.1.1</t>
  </si>
  <si>
    <t xml:space="preserve">EQUIPOS SPLIT DECORATIVO</t>
  </si>
  <si>
    <t xml:space="preserve">MSP-4454</t>
  </si>
  <si>
    <t xml:space="preserve">1.6.1.2.1.1.1</t>
  </si>
  <si>
    <t xml:space="preserve">SUMINISTRO E INSTALACION DE UNIDAD EVAPORADORA - UNIDAD CONDENSADORA (UED-1 // UC-1)  12,000 BTU/H  UC= 2.0 KW-220V-1F-60Hz</t>
  </si>
  <si>
    <t xml:space="preserve">4450FS</t>
  </si>
  <si>
    <t xml:space="preserve">MSP-4455</t>
  </si>
  <si>
    <t xml:space="preserve">1.6.1.2.1.1.2</t>
  </si>
  <si>
    <t xml:space="preserve">SUMINISTRO E INSTALACION DE UNIDAD EVAPORADORA - UNIDAD CONDENSADORA (UED-2 // UC-2)  12,000 BTU/H  UC= 2.0 KW-220V-1F-60Hz</t>
  </si>
  <si>
    <t xml:space="preserve">4454FS</t>
  </si>
  <si>
    <t xml:space="preserve">MSP-4456</t>
  </si>
  <si>
    <t xml:space="preserve">1.6.1.2.1.1.3</t>
  </si>
  <si>
    <t xml:space="preserve">SUMINISTRO E INSTALACION DE UNIDAD EVAPORADORA - UNIDAD CONDENSADORA (UED-3 // UC-3)  12,000 BTU/H  UC= 2.0 KW-220V-1F-60Hz</t>
  </si>
  <si>
    <t xml:space="preserve">4455FS</t>
  </si>
  <si>
    <t xml:space="preserve">MSP-4457</t>
  </si>
  <si>
    <t xml:space="preserve">1.6.1.2.1.1.4</t>
  </si>
  <si>
    <t xml:space="preserve">SUMINISTRO E INSTALACION DE UNIDAD EVAPORADORA - UNIDAD CONDENSADORA (UED-4 // UC-4)  12,000 BTU/H  UC= 2.0 KW-220V-1F-60Hz</t>
  </si>
  <si>
    <t xml:space="preserve">4456FS</t>
  </si>
  <si>
    <t xml:space="preserve">MSP-4458</t>
  </si>
  <si>
    <t xml:space="preserve">1.6.1.2.1.1.5</t>
  </si>
  <si>
    <t xml:space="preserve">SUMINISTRO E INSTALACION DE UNIDAD EVAPORADORA - UNIDAD CONDENSADORA (UED-5 // UC-5)  12,000 BTU/H  UC= 2.0 KW-220V-1F-60Hz</t>
  </si>
  <si>
    <t xml:space="preserve">4457FS</t>
  </si>
  <si>
    <t xml:space="preserve">MSP-4459</t>
  </si>
  <si>
    <t xml:space="preserve">1.6.1.2.1.1.6</t>
  </si>
  <si>
    <t xml:space="preserve">SUMINISTRO E INSTALACION DE UNIDAD EVAPORADORA - UNIDAD CONDENSADORA (UED-06 // UC-06)  12,000 BTU/H  UC= 2.0 KW-220V-1F-60Hz</t>
  </si>
  <si>
    <t xml:space="preserve">4458FS</t>
  </si>
  <si>
    <t xml:space="preserve">MSP-4460</t>
  </si>
  <si>
    <t xml:space="preserve">1.6.1.2.1.2</t>
  </si>
  <si>
    <t xml:space="preserve">EQUIPOS SPLIT PISO TECHO</t>
  </si>
  <si>
    <t xml:space="preserve">MSP-4461</t>
  </si>
  <si>
    <t xml:space="preserve">1.6.1.2.1.2.1</t>
  </si>
  <si>
    <t xml:space="preserve">SUMINISTRO E INSTALACION DE UNIDAD EVAPORADORA - UNIDAD CONDENSADORA (UED-PT-1 // UC-PT-1)  24,000 BTU/H  UC= 2.8 KW-220V-1F-60Hz</t>
  </si>
  <si>
    <t xml:space="preserve">4459FS</t>
  </si>
  <si>
    <t xml:space="preserve">MSP-4462</t>
  </si>
  <si>
    <t xml:space="preserve">1.6.1.2.2</t>
  </si>
  <si>
    <t xml:space="preserve">EQUIPOS DE EXTRACCION E INYECCION</t>
  </si>
  <si>
    <t xml:space="preserve">MSP-4463</t>
  </si>
  <si>
    <t xml:space="preserve">1.6.1.2.2.1</t>
  </si>
  <si>
    <t xml:space="preserve">EXTRACTORES CENTRÍFUGOS DE SIMPLE ENTRADA</t>
  </si>
  <si>
    <t xml:space="preserve">MSP-4464</t>
  </si>
  <si>
    <t xml:space="preserve">1.6.1.2.2.1.1</t>
  </si>
  <si>
    <t xml:space="preserve">SUMINISTRO E INSTALACION DE EXTRACTOR CENTRIFUGO SIMPLE ENTRADA (EC-01) 6360CFM@2.5inWG 7.5HP-380V-3F-60Hz; 202Kg</t>
  </si>
  <si>
    <t xml:space="preserve">4461FS</t>
  </si>
  <si>
    <t xml:space="preserve">MSP-4465</t>
  </si>
  <si>
    <t xml:space="preserve">1.6.1.2.2.1.2</t>
  </si>
  <si>
    <t xml:space="preserve">SUMINISTRO E INSTALACION DE EXTRACTOR CENTRIFUGO SIMPLE ENTRADA (EC) 2880 m3/h (1610 CFM), 1.00HP-220V-1F-60HZ, 135 Kg</t>
  </si>
  <si>
    <t xml:space="preserve">4464FS</t>
  </si>
  <si>
    <t xml:space="preserve">MSP-4466</t>
  </si>
  <si>
    <t xml:space="preserve">1.6.1.2.2.2</t>
  </si>
  <si>
    <t xml:space="preserve">INYECTOR CENTRIFUGO SIMPLE ENTRADA</t>
  </si>
  <si>
    <t xml:space="preserve">MSP-4467</t>
  </si>
  <si>
    <t xml:space="preserve">1.6.1.2.2.2.1</t>
  </si>
  <si>
    <t xml:space="preserve">SUMINISTRO E INSTALACION DE INYECTOR CENTRIFUGO SIMPLE ENTRADA (IC-01) 8268CFM@2.5inWG  7.5HP-380V-3F-60Hz; 202Kg</t>
  </si>
  <si>
    <t xml:space="preserve">4465FS</t>
  </si>
  <si>
    <t xml:space="preserve">MSP-4468</t>
  </si>
  <si>
    <t xml:space="preserve">1.6.1.2.2.2.2</t>
  </si>
  <si>
    <t xml:space="preserve">SUMINISTRO E INSTALACION DE INYECTOR CENTRIFUGO SIMPLE ENTRADA (EC) 2160 m3/h (1270 CFM) , 0,75 HP-220V-1F-60HZ, 110 Kg</t>
  </si>
  <si>
    <t xml:space="preserve">4467FS</t>
  </si>
  <si>
    <t xml:space="preserve">MSP-4469</t>
  </si>
  <si>
    <t xml:space="preserve">1.6.1.2.2.3</t>
  </si>
  <si>
    <t xml:space="preserve">VALVULAS DE CONTROL</t>
  </si>
  <si>
    <t xml:space="preserve">MSP-4470</t>
  </si>
  <si>
    <t xml:space="preserve">1.6.1.2.2.3.1</t>
  </si>
  <si>
    <t xml:space="preserve">REGULADOR DE CAUDAL CONSTANTE DE AIRE; DEL TIPO RECTANGULAR</t>
  </si>
  <si>
    <t xml:space="preserve">4468FS</t>
  </si>
  <si>
    <t xml:space="preserve">MSP-4471</t>
  </si>
  <si>
    <t xml:space="preserve">1.6.1.2.2.4</t>
  </si>
  <si>
    <t xml:space="preserve">DIFUSORES Y REJILLAS</t>
  </si>
  <si>
    <t xml:space="preserve">MSP-4472</t>
  </si>
  <si>
    <t xml:space="preserve">1.6.1.2.2.4.1</t>
  </si>
  <si>
    <t xml:space="preserve">DIFUSORES DE 20"X20"</t>
  </si>
  <si>
    <t xml:space="preserve">4470FS</t>
  </si>
  <si>
    <t xml:space="preserve">MSP-4473</t>
  </si>
  <si>
    <t xml:space="preserve">1.6.1.2.2.4.2</t>
  </si>
  <si>
    <t xml:space="preserve">REJILLA DE EXTRACCION 20"X20"</t>
  </si>
  <si>
    <t xml:space="preserve">4472FS</t>
  </si>
  <si>
    <t xml:space="preserve">MSP-4474</t>
  </si>
  <si>
    <t xml:space="preserve">1.6.1.2.2.5</t>
  </si>
  <si>
    <t xml:space="preserve">DUCTOS Y AISLAMIENTO</t>
  </si>
  <si>
    <t xml:space="preserve">MSP-4475</t>
  </si>
  <si>
    <t xml:space="preserve">1.6.1.2.2.5.1</t>
  </si>
  <si>
    <t xml:space="preserve">DUCTOS METALICOS</t>
  </si>
  <si>
    <t xml:space="preserve">MSP-4476</t>
  </si>
  <si>
    <t xml:space="preserve">1.6.1.2.2.5.2</t>
  </si>
  <si>
    <t xml:space="preserve">DUCTOS METALICOS PARA ENCHAQUETADO</t>
  </si>
  <si>
    <t xml:space="preserve">4475FS</t>
  </si>
  <si>
    <t xml:space="preserve">MSP-4477</t>
  </si>
  <si>
    <t xml:space="preserve">1.6.1.2.2.6</t>
  </si>
  <si>
    <t xml:space="preserve">ACCESORIOS COMPLEMENTARIOS DE A. A. Y V. MECANICAS</t>
  </si>
  <si>
    <t xml:space="preserve">MSP-4478</t>
  </si>
  <si>
    <t xml:space="preserve">1.6.1.2.2.6.1</t>
  </si>
  <si>
    <t xml:space="preserve">CAJA DE CONTROL</t>
  </si>
  <si>
    <t xml:space="preserve">4476FS</t>
  </si>
  <si>
    <t xml:space="preserve">MSP-4479</t>
  </si>
  <si>
    <t xml:space="preserve">1.6.1.2.2.6.2</t>
  </si>
  <si>
    <t xml:space="preserve">SOPORTE METALICO PARA DUCTOS EN TECHO</t>
  </si>
  <si>
    <t xml:space="preserve">4478FS</t>
  </si>
  <si>
    <t xml:space="preserve">MSP-4480</t>
  </si>
  <si>
    <t xml:space="preserve">1.6.1.2.2.6.3</t>
  </si>
  <si>
    <t xml:space="preserve">SOPORTE METALICO PARA DUCTOS EN PARED</t>
  </si>
  <si>
    <t xml:space="preserve">4479FS</t>
  </si>
  <si>
    <t xml:space="preserve">MSP-4481</t>
  </si>
  <si>
    <t xml:space="preserve">1.6.1.2.2.6.4</t>
  </si>
  <si>
    <t xml:space="preserve">TRANSPORTE, IZAJE, DESPLAZAMIENTO E INSTALACION DE EQUIPOS DE VENTILACION MECANICA</t>
  </si>
  <si>
    <t xml:space="preserve">4480FS</t>
  </si>
  <si>
    <t xml:space="preserve">MSP-4482</t>
  </si>
  <si>
    <t xml:space="preserve">1.6.1.2.2.6.5</t>
  </si>
  <si>
    <t xml:space="preserve">DAMPER CORTA FUEGO</t>
  </si>
  <si>
    <t xml:space="preserve">4481FS</t>
  </si>
  <si>
    <t xml:space="preserve">MSP-4483</t>
  </si>
  <si>
    <t xml:space="preserve">1.6.1.2.2.7</t>
  </si>
  <si>
    <t xml:space="preserve">PRUEBAS Y BALANCEO DEL SISTEMA DE VENTILACION MECANICA</t>
  </si>
  <si>
    <t xml:space="preserve">MSP-4484</t>
  </si>
  <si>
    <t xml:space="preserve">1.6.1.2.2.7.1</t>
  </si>
  <si>
    <t xml:space="preserve">4482FS</t>
  </si>
  <si>
    <t xml:space="preserve">MSP-4485</t>
  </si>
  <si>
    <t xml:space="preserve">1.6.1.2.2.8</t>
  </si>
  <si>
    <t xml:space="preserve">SISTEMA DE TRANSPORTE VERTICAL</t>
  </si>
  <si>
    <t xml:space="preserve">MSP-4486</t>
  </si>
  <si>
    <t xml:space="preserve">1.6.1.2.2.8.1</t>
  </si>
  <si>
    <t xml:space="preserve">TRABAJOS DE PREINSTALACION</t>
  </si>
  <si>
    <t xml:space="preserve">4484FS</t>
  </si>
  <si>
    <t xml:space="preserve">MSP-4487</t>
  </si>
  <si>
    <t xml:space="preserve">1.6.1.2.2.8.2</t>
  </si>
  <si>
    <t xml:space="preserve">ASCENSOR DE PASAJEROS CON CUARTO DE MAQUINA, CAP. 1000 kg. - 12 Pasajeros, V = 1 m/s, 3 PARADAS</t>
  </si>
  <si>
    <t xml:space="preserve">4486FS+-60.0d;2162FS</t>
  </si>
  <si>
    <t xml:space="preserve">MSP-4488</t>
  </si>
  <si>
    <t xml:space="preserve">1.6.1.2.2.8.3</t>
  </si>
  <si>
    <t xml:space="preserve">ASCENSOR MONTACARGA MIXTO SIN CUARTO DE MAQUINAS , CAP. 1000 kg., V = 0.5 m/s, 2 PARADAS</t>
  </si>
  <si>
    <t xml:space="preserve">4486FS+-60.0d;2350FS</t>
  </si>
  <si>
    <t xml:space="preserve">MSP-4489</t>
  </si>
  <si>
    <t xml:space="preserve">1.6.1.2.2.8.4</t>
  </si>
  <si>
    <t xml:space="preserve">ELEVADOR PARA DISCAPACITADOS 300 KG , V = 1 m/s, 2 PARADAS AUTOMATICOS.</t>
  </si>
  <si>
    <t xml:space="preserve">4486FS+-60.0d;2918FS</t>
  </si>
  <si>
    <t xml:space="preserve">MSP-4490</t>
  </si>
  <si>
    <t xml:space="preserve">1.6.1.2.2.8.5</t>
  </si>
  <si>
    <t xml:space="preserve">ELEVADOR PARA DISCAPACITADOS 300 KG , V = 1 m/s, 1 PARADAS AUTOMATICOS.</t>
  </si>
  <si>
    <t xml:space="preserve">4486FS+-73.0d</t>
  </si>
  <si>
    <t xml:space="preserve">MSP-4491</t>
  </si>
  <si>
    <t xml:space="preserve">1.6.1.2.2.8.6</t>
  </si>
  <si>
    <t xml:space="preserve">PRUEBAS ELECTROMECANICAS SISTEMA DE TRANSPORTE VERTICAL</t>
  </si>
  <si>
    <t xml:space="preserve">4490FS</t>
  </si>
  <si>
    <t xml:space="preserve">MSP-4492</t>
  </si>
  <si>
    <t xml:space="preserve">1.6.1.2.2.9</t>
  </si>
  <si>
    <t xml:space="preserve">GENERACION Y TRANSFERENCIA DE ENERGIA ELECTRICA</t>
  </si>
  <si>
    <t xml:space="preserve">MSP-4493</t>
  </si>
  <si>
    <t xml:space="preserve">1.6.1.2.2.9.1</t>
  </si>
  <si>
    <t xml:space="preserve">GRUPO ELECTROGENO DIESEL, ENCAPSULADO E INSONORIZADO, POTENCIA CONTINUA DE 160 KVA  380/220V, 60Hz, A 1000 msnm</t>
  </si>
  <si>
    <t xml:space="preserve">MSP-4494</t>
  </si>
  <si>
    <t xml:space="preserve">1.6.1.2.2.9.2</t>
  </si>
  <si>
    <t xml:space="preserve">SUMINISTRO E INSTALACION DE TABLERO DE TRANSFERENCIA AUTOMATICO TTA-01</t>
  </si>
  <si>
    <t xml:space="preserve">4493FS</t>
  </si>
  <si>
    <t xml:space="preserve">MSP-4495</t>
  </si>
  <si>
    <t xml:space="preserve">1.6.1.2.2.9.3</t>
  </si>
  <si>
    <t xml:space="preserve">SUMINISTRO E INSTALACION DE TABLERO DE TRANSFERENCIA AUTOMATICO TTA-02</t>
  </si>
  <si>
    <t xml:space="preserve">MSP-4496</t>
  </si>
  <si>
    <t xml:space="preserve">1.7</t>
  </si>
  <si>
    <t xml:space="preserve">COMP. II: EQUIPOS Y MOBILIARIOS</t>
  </si>
  <si>
    <t xml:space="preserve">MSP-4497</t>
  </si>
  <si>
    <t xml:space="preserve">1.7.1</t>
  </si>
  <si>
    <t xml:space="preserve">EQUIPOS Y MOBILIARIOS</t>
  </si>
  <si>
    <t xml:space="preserve">MSP-4498</t>
  </si>
  <si>
    <t xml:space="preserve">1.7.1.1</t>
  </si>
  <si>
    <t xml:space="preserve">ZONA DE OFICINAS</t>
  </si>
  <si>
    <t xml:space="preserve">MSP-4499</t>
  </si>
  <si>
    <t xml:space="preserve">1.7.1.1.1</t>
  </si>
  <si>
    <t xml:space="preserve">MSP-4500</t>
  </si>
  <si>
    <t xml:space="preserve">1.7.1.1.1.1</t>
  </si>
  <si>
    <t xml:space="preserve">PRIMER NIVEL</t>
  </si>
  <si>
    <t xml:space="preserve">MSP-4501</t>
  </si>
  <si>
    <t xml:space="preserve">1.7.1.1.1.1.1</t>
  </si>
  <si>
    <t xml:space="preserve">TRAMITE DOCUMENTARIO</t>
  </si>
  <si>
    <t xml:space="preserve">MSP-4502</t>
  </si>
  <si>
    <t xml:space="preserve">1.7.1.1.1.1.1.1</t>
  </si>
  <si>
    <t xml:space="preserve">M-01 ESCRITORIO DE MELAMINA DE 1.50x0.65</t>
  </si>
  <si>
    <t xml:space="preserve">2578SS+-65.0d</t>
  </si>
  <si>
    <t xml:space="preserve">MSP-4503</t>
  </si>
  <si>
    <t xml:space="preserve">1.7.1.1.1.1.1.2</t>
  </si>
  <si>
    <t xml:space="preserve">M-05 BARRA DE MELAMINA DE 2.45x1.00</t>
  </si>
  <si>
    <t xml:space="preserve">4502SS</t>
  </si>
  <si>
    <t xml:space="preserve">MSP-4504</t>
  </si>
  <si>
    <t xml:space="preserve">1.7.1.1.1.1.1.3</t>
  </si>
  <si>
    <t xml:space="preserve">M-25 SILLA GIRATORIA RODABLE TIPO I</t>
  </si>
  <si>
    <t xml:space="preserve">MSP-4505</t>
  </si>
  <si>
    <t xml:space="preserve">1.7.1.1.1.1.1.4</t>
  </si>
  <si>
    <t xml:space="preserve">M-26 SILLA METALICA TIPO I</t>
  </si>
  <si>
    <t xml:space="preserve">MSP-4506</t>
  </si>
  <si>
    <t xml:space="preserve">1.7.1.1.1.1.1.5</t>
  </si>
  <si>
    <t xml:space="preserve">M-33 PAPELERA METALICA</t>
  </si>
  <si>
    <t xml:space="preserve">MSP-4507</t>
  </si>
  <si>
    <t xml:space="preserve">1.7.1.1.1.1.1.6</t>
  </si>
  <si>
    <t xml:space="preserve">E-01 COMPUTADORA COREL I9</t>
  </si>
  <si>
    <t xml:space="preserve">MSP-4508</t>
  </si>
  <si>
    <t xml:space="preserve">1.7.1.1.1.1.1.7</t>
  </si>
  <si>
    <t xml:space="preserve">E-05 IMPRESORA/FOTOCOPIADORA MULTIUNCIONAL LASER A3</t>
  </si>
  <si>
    <t xml:space="preserve">MSP-4509</t>
  </si>
  <si>
    <t xml:space="preserve">1.7.1.1.1.1.2</t>
  </si>
  <si>
    <t xml:space="preserve">MESA DE PARTES</t>
  </si>
  <si>
    <t xml:space="preserve">MSP-4510</t>
  </si>
  <si>
    <t xml:space="preserve">1.7.1.1.1.1.2.1</t>
  </si>
  <si>
    <t xml:space="preserve">M-04 BARRA DE MELAMINA DE 3.45x1.00</t>
  </si>
  <si>
    <t xml:space="preserve">MSP-4511</t>
  </si>
  <si>
    <t xml:space="preserve">1.7.1.1.1.1.2.2</t>
  </si>
  <si>
    <t xml:space="preserve">M-17 CREDENZA DE MELAMINA DE 0.45x1.80</t>
  </si>
  <si>
    <t xml:space="preserve">MSP-4512</t>
  </si>
  <si>
    <t xml:space="preserve">1.7.1.1.1.1.2.3</t>
  </si>
  <si>
    <t xml:space="preserve">M-23 BOTIQUIN DE PRIMEROS AUXILIOS INC. MEDICAMENTOS 0.15x0.30</t>
  </si>
  <si>
    <t xml:space="preserve">MSP-4513</t>
  </si>
  <si>
    <t xml:space="preserve">1.7.1.1.1.1.2.4</t>
  </si>
  <si>
    <t xml:space="preserve">MSP-4514</t>
  </si>
  <si>
    <t xml:space="preserve">1.7.1.1.1.1.2.5</t>
  </si>
  <si>
    <t xml:space="preserve">MSP-4515</t>
  </si>
  <si>
    <t xml:space="preserve">1.7.1.1.1.1.3</t>
  </si>
  <si>
    <t xml:space="preserve">GARITA</t>
  </si>
  <si>
    <t xml:space="preserve">MSP-4516</t>
  </si>
  <si>
    <t xml:space="preserve">1.7.1.1.1.1.3.1</t>
  </si>
  <si>
    <t xml:space="preserve">MSP-4517</t>
  </si>
  <si>
    <t xml:space="preserve">1.7.1.1.1.1.3.2</t>
  </si>
  <si>
    <t xml:space="preserve">MSP-4518</t>
  </si>
  <si>
    <t xml:space="preserve">1.7.1.1.1.1.4</t>
  </si>
  <si>
    <t xml:space="preserve">HALL DE ESPERA</t>
  </si>
  <si>
    <t xml:space="preserve">MSP-4519</t>
  </si>
  <si>
    <t xml:space="preserve">1.7.1.1.1.1.4.1</t>
  </si>
  <si>
    <t xml:space="preserve">M-32 BUTACA METALICA DE 5 CUERPOS TAPIZADA</t>
  </si>
  <si>
    <t xml:space="preserve">MSP-4520</t>
  </si>
  <si>
    <t xml:space="preserve">1.7.1.1.1.1.4.2</t>
  </si>
  <si>
    <t xml:space="preserve">M-47 PAPELERA DE ACERO INOXIDABLE FORMA CILINDRICA</t>
  </si>
  <si>
    <t xml:space="preserve">MSP-4521</t>
  </si>
  <si>
    <t xml:space="preserve">1.7.1.1.1.1.5</t>
  </si>
  <si>
    <t xml:space="preserve">PRESUPUESTO</t>
  </si>
  <si>
    <t xml:space="preserve">MSP-4522</t>
  </si>
  <si>
    <t xml:space="preserve">1.7.1.1.1.1.5.1</t>
  </si>
  <si>
    <t xml:space="preserve">MSP-4523</t>
  </si>
  <si>
    <t xml:space="preserve">1.7.1.1.1.1.5.2</t>
  </si>
  <si>
    <t xml:space="preserve">MSP-4524</t>
  </si>
  <si>
    <t xml:space="preserve">1.7.1.1.1.1.5.3</t>
  </si>
  <si>
    <t xml:space="preserve">MSP-4525</t>
  </si>
  <si>
    <t xml:space="preserve">1.7.1.1.1.1.5.4</t>
  </si>
  <si>
    <t xml:space="preserve">MSP-4526</t>
  </si>
  <si>
    <t xml:space="preserve">1.7.1.1.1.1.5.5</t>
  </si>
  <si>
    <t xml:space="preserve">MSP-4527</t>
  </si>
  <si>
    <t xml:space="preserve">1.7.1.1.1.1.5.6</t>
  </si>
  <si>
    <t xml:space="preserve">MSP-4528</t>
  </si>
  <si>
    <t xml:space="preserve">1.7.1.1.1.1.5.7</t>
  </si>
  <si>
    <t xml:space="preserve">E-04 IMPRESORA LASER MONOCROMATICA A4</t>
  </si>
  <si>
    <t xml:space="preserve">MSP-4529</t>
  </si>
  <si>
    <t xml:space="preserve">1.7.1.1.1.1.5.8</t>
  </si>
  <si>
    <t xml:space="preserve">E-10 ESCANER SIMPLE A4</t>
  </si>
  <si>
    <t xml:space="preserve">MSP-4530</t>
  </si>
  <si>
    <t xml:space="preserve">1.7.1.1.1.1.5.9</t>
  </si>
  <si>
    <t xml:space="preserve">E-16 PROYECTOR MULTIMEDIA</t>
  </si>
  <si>
    <t xml:space="preserve">MSP-4531</t>
  </si>
  <si>
    <t xml:space="preserve">1.7.1.1.1.1.6</t>
  </si>
  <si>
    <t xml:space="preserve">PLANIFICACION</t>
  </si>
  <si>
    <t xml:space="preserve">MSP-4532</t>
  </si>
  <si>
    <t xml:space="preserve">1.7.1.1.1.1.6.1</t>
  </si>
  <si>
    <t xml:space="preserve">MSP-4533</t>
  </si>
  <si>
    <t xml:space="preserve">1.7.1.1.1.1.6.2</t>
  </si>
  <si>
    <t xml:space="preserve">M-15 ESTANTERIA EMPOTRADA DE MELAMINA DE 1.15x0.45x2.00m</t>
  </si>
  <si>
    <t xml:space="preserve">MSP-4534</t>
  </si>
  <si>
    <t xml:space="preserve">1.7.1.1.1.1.6.3</t>
  </si>
  <si>
    <t xml:space="preserve">MSP-4535</t>
  </si>
  <si>
    <t xml:space="preserve">1.7.1.1.1.1.6.4</t>
  </si>
  <si>
    <t xml:space="preserve">MSP-4536</t>
  </si>
  <si>
    <t xml:space="preserve">1.7.1.1.1.1.6.5</t>
  </si>
  <si>
    <t xml:space="preserve">MSP-4537</t>
  </si>
  <si>
    <t xml:space="preserve">1.7.1.1.1.1.6.6</t>
  </si>
  <si>
    <t xml:space="preserve">MSP-4538</t>
  </si>
  <si>
    <t xml:space="preserve">1.7.1.1.1.1.6.7</t>
  </si>
  <si>
    <t xml:space="preserve">M-45 MESA AUXILIAR 1.00x0.50m</t>
  </si>
  <si>
    <t xml:space="preserve">MSP-4539</t>
  </si>
  <si>
    <t xml:space="preserve">1.7.1.1.1.1.6.8</t>
  </si>
  <si>
    <t xml:space="preserve">MSP-4540</t>
  </si>
  <si>
    <t xml:space="preserve">1.7.1.1.1.1.7</t>
  </si>
  <si>
    <t xml:space="preserve">ESTADISTICA</t>
  </si>
  <si>
    <t xml:space="preserve">MSP-4541</t>
  </si>
  <si>
    <t xml:space="preserve">1.7.1.1.1.1.7.1</t>
  </si>
  <si>
    <t xml:space="preserve">MSP-4542</t>
  </si>
  <si>
    <t xml:space="preserve">1.7.1.1.1.1.7.2</t>
  </si>
  <si>
    <t xml:space="preserve">MSP-4543</t>
  </si>
  <si>
    <t xml:space="preserve">1.7.1.1.1.1.7.3</t>
  </si>
  <si>
    <t xml:space="preserve">MSP-4544</t>
  </si>
  <si>
    <t xml:space="preserve">1.7.1.1.1.1.7.4</t>
  </si>
  <si>
    <t xml:space="preserve">MSP-4545</t>
  </si>
  <si>
    <t xml:space="preserve">1.7.1.1.1.1.7.5</t>
  </si>
  <si>
    <t xml:space="preserve">MSP-4546</t>
  </si>
  <si>
    <t xml:space="preserve">1.7.1.1.1.1.7.6</t>
  </si>
  <si>
    <t xml:space="preserve">MSP-4547</t>
  </si>
  <si>
    <t xml:space="preserve">1.7.1.1.1.1.7.7</t>
  </si>
  <si>
    <t xml:space="preserve">MSP-4548</t>
  </si>
  <si>
    <t xml:space="preserve">1.7.1.1.1.1.7.8</t>
  </si>
  <si>
    <t xml:space="preserve">MSP-4549</t>
  </si>
  <si>
    <t xml:space="preserve">1.7.1.1.1.1.8</t>
  </si>
  <si>
    <t xml:space="preserve">TOPICO</t>
  </si>
  <si>
    <t xml:space="preserve">MSP-4550</t>
  </si>
  <si>
    <t xml:space="preserve">1.7.1.1.1.1.8.1</t>
  </si>
  <si>
    <t xml:space="preserve">MSP-4551</t>
  </si>
  <si>
    <t xml:space="preserve">1.7.1.1.1.1.8.2</t>
  </si>
  <si>
    <t xml:space="preserve">M-20 CAMILLA 1.90x0.60</t>
  </si>
  <si>
    <t xml:space="preserve">MSP-4552</t>
  </si>
  <si>
    <t xml:space="preserve">1.7.1.1.1.1.8.3</t>
  </si>
  <si>
    <t xml:space="preserve">M-21 BIOMBO DE 3 CUERPOS</t>
  </si>
  <si>
    <t xml:space="preserve">MSP-4553</t>
  </si>
  <si>
    <t xml:space="preserve">1.7.1.1.1.1.8.4</t>
  </si>
  <si>
    <t xml:space="preserve">M-22 ARMARIO DE MELAMINA 1.20x0.45x1.80</t>
  </si>
  <si>
    <t xml:space="preserve">MSP-4554</t>
  </si>
  <si>
    <t xml:space="preserve">1.7.1.1.1.1.8.5</t>
  </si>
  <si>
    <t xml:space="preserve">MSP-4555</t>
  </si>
  <si>
    <t xml:space="preserve">1.7.1.1.1.1.8.6</t>
  </si>
  <si>
    <t xml:space="preserve">MSP-4556</t>
  </si>
  <si>
    <t xml:space="preserve">1.7.1.1.1.1.8.7</t>
  </si>
  <si>
    <t xml:space="preserve">MSP-4557</t>
  </si>
  <si>
    <t xml:space="preserve">1.7.1.1.1.1.8.8</t>
  </si>
  <si>
    <t xml:space="preserve">MSP-4558</t>
  </si>
  <si>
    <t xml:space="preserve">1.7.1.1.1.1.8.9</t>
  </si>
  <si>
    <t xml:space="preserve">M-35 ESCALINATA METALICA DE 2 PELDAÑOS</t>
  </si>
  <si>
    <t xml:space="preserve">MSP-4559</t>
  </si>
  <si>
    <t xml:space="preserve">1.7.1.1.1.1.8.10</t>
  </si>
  <si>
    <t xml:space="preserve">M-36 MESA DE ACERO INOXIDABLE RODABLE</t>
  </si>
  <si>
    <t xml:space="preserve">MSP-4560</t>
  </si>
  <si>
    <t xml:space="preserve">1.7.1.1.1.1.8.11</t>
  </si>
  <si>
    <t xml:space="preserve">M-37 CUBO DE ACERO INOXIDABLE CON TAPA ACCIONADA A PEDAL</t>
  </si>
  <si>
    <t xml:space="preserve">MSP-4561</t>
  </si>
  <si>
    <t xml:space="preserve">1.7.1.1.1.1.8.12</t>
  </si>
  <si>
    <t xml:space="preserve">M-42 TABURETE DE ACERO INOXSIDABLE CON ASIENTO GIRATORIO RODABLE</t>
  </si>
  <si>
    <t xml:space="preserve">MSP-4562</t>
  </si>
  <si>
    <t xml:space="preserve">1.7.1.1.1.1.8.13</t>
  </si>
  <si>
    <t xml:space="preserve">M-46 LAVATORIO DE ACERO INOXIDABLE</t>
  </si>
  <si>
    <t xml:space="preserve">MSP-4563</t>
  </si>
  <si>
    <t xml:space="preserve">1.7.1.1.1.1.9</t>
  </si>
  <si>
    <t xml:space="preserve">MSP-4564</t>
  </si>
  <si>
    <t xml:space="preserve">1.7.1.1.1.1.9.1</t>
  </si>
  <si>
    <t xml:space="preserve">M-27 BUTACA METALICA DE 4 CUERPOS</t>
  </si>
  <si>
    <t xml:space="preserve">MSP-4565</t>
  </si>
  <si>
    <t xml:space="preserve">1.7.1.1.1.1.9.2</t>
  </si>
  <si>
    <t xml:space="preserve">MSP-4566</t>
  </si>
  <si>
    <t xml:space="preserve">1.7.1.1.1.2</t>
  </si>
  <si>
    <t xml:space="preserve">SEGUNDO NIVEL</t>
  </si>
  <si>
    <t xml:space="preserve">MSP-4567</t>
  </si>
  <si>
    <t xml:space="preserve">1.7.1.1.1.2.1</t>
  </si>
  <si>
    <t xml:space="preserve">G.D.P JEFATURA</t>
  </si>
  <si>
    <t xml:space="preserve">MSP-4568</t>
  </si>
  <si>
    <t xml:space="preserve">1.7.1.1.1.2.1.1</t>
  </si>
  <si>
    <t xml:space="preserve">M-03 ESCRITORIO SEMI EJECUTIVO DE MELAMINA DE 2.00x1.75x0.80m</t>
  </si>
  <si>
    <t xml:space="preserve">MSP-4569</t>
  </si>
  <si>
    <t xml:space="preserve">1.7.1.1.1.2.1.2</t>
  </si>
  <si>
    <t xml:space="preserve">MSP-4570</t>
  </si>
  <si>
    <t xml:space="preserve">1.7.1.1.1.2.1.3</t>
  </si>
  <si>
    <t xml:space="preserve">MSP-4571</t>
  </si>
  <si>
    <t xml:space="preserve">1.7.1.1.1.2.1.4</t>
  </si>
  <si>
    <t xml:space="preserve">M-18 ARCHIVADOR DE MELAMINA DE 0.45x0.45</t>
  </si>
  <si>
    <t xml:space="preserve">MSP-4572</t>
  </si>
  <si>
    <t xml:space="preserve">1.7.1.1.1.2.1.5</t>
  </si>
  <si>
    <t xml:space="preserve">M-24 PIZARRA ACRILICA RODANTE 1.90x1.20</t>
  </si>
  <si>
    <t xml:space="preserve">MSP-4573</t>
  </si>
  <si>
    <t xml:space="preserve">1.7.1.1.1.2.1.6</t>
  </si>
  <si>
    <t xml:space="preserve">MSP-4574</t>
  </si>
  <si>
    <t xml:space="preserve">1.7.1.1.1.2.1.7</t>
  </si>
  <si>
    <t xml:space="preserve">M-28 SILLA GIRATORIA RODABLE TIPO II</t>
  </si>
  <si>
    <t xml:space="preserve">MSP-4575</t>
  </si>
  <si>
    <t xml:space="preserve">1.7.1.1.1.2.1.8</t>
  </si>
  <si>
    <t xml:space="preserve">M-31 SILLON DE 3 PLAZAS</t>
  </si>
  <si>
    <t xml:space="preserve">MSP-4576</t>
  </si>
  <si>
    <t xml:space="preserve">1.7.1.1.1.2.1.9</t>
  </si>
  <si>
    <t xml:space="preserve">MSP-4577</t>
  </si>
  <si>
    <t xml:space="preserve">1.7.1.1.1.2.1.10</t>
  </si>
  <si>
    <t xml:space="preserve">E-12 ESCANER DE ALTA VELOCIDAD A4</t>
  </si>
  <si>
    <t xml:space="preserve">MSP-4578</t>
  </si>
  <si>
    <t xml:space="preserve">1.7.1.1.1.2.2</t>
  </si>
  <si>
    <t xml:space="preserve">1/2 SS.HH.</t>
  </si>
  <si>
    <t xml:space="preserve">MSP-4579</t>
  </si>
  <si>
    <t xml:space="preserve">1.7.1.1.1.2.2.1</t>
  </si>
  <si>
    <t xml:space="preserve">M-34 PAPELERA DE PLASTICO CON TAPA Y VENTANA BATIBLE</t>
  </si>
  <si>
    <t xml:space="preserve">MSP-4580</t>
  </si>
  <si>
    <t xml:space="preserve">1.7.1.1.1.2.3</t>
  </si>
  <si>
    <t xml:space="preserve">ARCHIVO</t>
  </si>
  <si>
    <t xml:space="preserve">MSP-4581</t>
  </si>
  <si>
    <t xml:space="preserve">1.7.1.1.1.2.3.1</t>
  </si>
  <si>
    <t xml:space="preserve">M-43 ESTANTERIA METALICA DE ANGULOS RANURADOS DE 1 CUERPO, 5 ANAQUELES</t>
  </si>
  <si>
    <t xml:space="preserve">MSP-4582</t>
  </si>
  <si>
    <t xml:space="preserve">1.7.1.1.1.2.4</t>
  </si>
  <si>
    <t xml:space="preserve">SECRETARIA</t>
  </si>
  <si>
    <t xml:space="preserve">MSP-4583</t>
  </si>
  <si>
    <t xml:space="preserve">1.7.1.1.1.2.4.1</t>
  </si>
  <si>
    <t xml:space="preserve">M-02 ESCRITORIO EJECUTIVO DE MELAMINA DE 1.75x1.60x2.00m</t>
  </si>
  <si>
    <t xml:space="preserve">MSP-4584</t>
  </si>
  <si>
    <t xml:space="preserve">1.7.1.1.1.2.4.2</t>
  </si>
  <si>
    <t xml:space="preserve">MSP-4585</t>
  </si>
  <si>
    <t xml:space="preserve">1.7.1.1.1.2.4.3</t>
  </si>
  <si>
    <t xml:space="preserve">MSP-4586</t>
  </si>
  <si>
    <t xml:space="preserve">1.7.1.1.1.2.4.4</t>
  </si>
  <si>
    <t xml:space="preserve">MSP-4587</t>
  </si>
  <si>
    <t xml:space="preserve">1.7.1.1.1.2.4.5</t>
  </si>
  <si>
    <t xml:space="preserve">MSP-4588</t>
  </si>
  <si>
    <t xml:space="preserve">1.7.1.1.1.2.4.6</t>
  </si>
  <si>
    <t xml:space="preserve">MSP-4589</t>
  </si>
  <si>
    <t xml:space="preserve">1.7.1.1.1.2.4.7</t>
  </si>
  <si>
    <t xml:space="preserve">E-24 CAMARA FOTOGRAFICA DIGITAL</t>
  </si>
  <si>
    <t xml:space="preserve">MSP-4590</t>
  </si>
  <si>
    <t xml:space="preserve">1.7.1.1.1.2.5</t>
  </si>
  <si>
    <t xml:space="preserve">SALA DE JUNTAS</t>
  </si>
  <si>
    <t xml:space="preserve">MSP-4591</t>
  </si>
  <si>
    <t xml:space="preserve">1.7.1.1.1.2.5.1</t>
  </si>
  <si>
    <t xml:space="preserve">M-07 MESA DE JUNTAS DE MELAMINA 0.90x4.00</t>
  </si>
  <si>
    <t xml:space="preserve">MSP-4592</t>
  </si>
  <si>
    <t xml:space="preserve">1.7.1.1.1.2.5.2</t>
  </si>
  <si>
    <t xml:space="preserve">MSP-4593</t>
  </si>
  <si>
    <t xml:space="preserve">1.7.1.1.1.2.5.3</t>
  </si>
  <si>
    <t xml:space="preserve">MSP-4594</t>
  </si>
  <si>
    <t xml:space="preserve">1.7.1.1.1.2.5.4</t>
  </si>
  <si>
    <t xml:space="preserve">MSP-4595</t>
  </si>
  <si>
    <t xml:space="preserve">1.7.1.1.1.2.5.5</t>
  </si>
  <si>
    <t xml:space="preserve">MSP-4596</t>
  </si>
  <si>
    <t xml:space="preserve">1.7.1.1.1.2.5.6</t>
  </si>
  <si>
    <t xml:space="preserve">M-58 RACK ADOSADO EN TECHO</t>
  </si>
  <si>
    <t xml:space="preserve">MSP-4597</t>
  </si>
  <si>
    <t xml:space="preserve">1.7.1.1.1.2.5.7</t>
  </si>
  <si>
    <t xml:space="preserve">MSP-4598</t>
  </si>
  <si>
    <t xml:space="preserve">1.7.1.1.1.2.5.8</t>
  </si>
  <si>
    <t xml:space="preserve">E-41 ECRAN ADOSADO EN TECHO 2.40x1.80</t>
  </si>
  <si>
    <t xml:space="preserve">MSP-4599</t>
  </si>
  <si>
    <t xml:space="preserve">1.7.1.1.1.2.6</t>
  </si>
  <si>
    <t xml:space="preserve">HALL</t>
  </si>
  <si>
    <t xml:space="preserve">MSP-4600</t>
  </si>
  <si>
    <t xml:space="preserve">1.7.1.1.1.2.6.1</t>
  </si>
  <si>
    <t xml:space="preserve">MSP-4601</t>
  </si>
  <si>
    <t xml:space="preserve">1.7.1.1.1.2.6.2</t>
  </si>
  <si>
    <t xml:space="preserve">MSP-4602</t>
  </si>
  <si>
    <t xml:space="preserve">1.7.1.1.1.2.6.3</t>
  </si>
  <si>
    <t xml:space="preserve">MSP-4603</t>
  </si>
  <si>
    <t xml:space="preserve">1.7.1.1.1.3</t>
  </si>
  <si>
    <t xml:space="preserve">TERCER NIVEL</t>
  </si>
  <si>
    <t xml:space="preserve">MSP-4604</t>
  </si>
  <si>
    <t xml:space="preserve">1.7.1.1.1.3.1</t>
  </si>
  <si>
    <t xml:space="preserve">OCI JEFATURA</t>
  </si>
  <si>
    <t xml:space="preserve">MSP-4605</t>
  </si>
  <si>
    <t xml:space="preserve">1.7.1.1.1.3.1.1</t>
  </si>
  <si>
    <t xml:space="preserve">MSP-4606</t>
  </si>
  <si>
    <t xml:space="preserve">1.7.1.1.1.3.1.2</t>
  </si>
  <si>
    <t xml:space="preserve">MSP-4607</t>
  </si>
  <si>
    <t xml:space="preserve">1.7.1.1.1.3.1.3</t>
  </si>
  <si>
    <t xml:space="preserve">MSP-4608</t>
  </si>
  <si>
    <t xml:space="preserve">1.7.1.1.1.3.1.4</t>
  </si>
  <si>
    <t xml:space="preserve">MSP-4609</t>
  </si>
  <si>
    <t xml:space="preserve">1.7.1.1.1.3.1.5</t>
  </si>
  <si>
    <t xml:space="preserve">MSP-4610</t>
  </si>
  <si>
    <t xml:space="preserve">1.7.1.1.1.3.1.6</t>
  </si>
  <si>
    <t xml:space="preserve">MSP-4611</t>
  </si>
  <si>
    <t xml:space="preserve">1.7.1.1.1.3.1.7</t>
  </si>
  <si>
    <t xml:space="preserve">MSP-4612</t>
  </si>
  <si>
    <t xml:space="preserve">1.7.1.1.1.3.1.8</t>
  </si>
  <si>
    <t xml:space="preserve">MSP-4613</t>
  </si>
  <si>
    <t xml:space="preserve">1.7.1.1.1.3.1.9</t>
  </si>
  <si>
    <t xml:space="preserve">M-61 RACK PARA TV</t>
  </si>
  <si>
    <t xml:space="preserve">MSP-4614</t>
  </si>
  <si>
    <t xml:space="preserve">1.7.1.1.1.3.1.10</t>
  </si>
  <si>
    <t xml:space="preserve">MSP-4615</t>
  </si>
  <si>
    <t xml:space="preserve">1.7.1.1.1.3.1.11</t>
  </si>
  <si>
    <t xml:space="preserve">MSP-4616</t>
  </si>
  <si>
    <t xml:space="preserve">1.7.1.1.1.3.2</t>
  </si>
  <si>
    <t xml:space="preserve">AUDITORIO</t>
  </si>
  <si>
    <t xml:space="preserve">MSP-4617</t>
  </si>
  <si>
    <t xml:space="preserve">1.7.1.1.1.3.2.1</t>
  </si>
  <si>
    <t xml:space="preserve">MSP-4618</t>
  </si>
  <si>
    <t xml:space="preserve">1.7.1.1.1.3.2.2</t>
  </si>
  <si>
    <t xml:space="preserve">MSP-4619</t>
  </si>
  <si>
    <t xml:space="preserve">1.7.1.1.1.3.2.3</t>
  </si>
  <si>
    <t xml:space="preserve">MSP-4620</t>
  </si>
  <si>
    <t xml:space="preserve">1.7.1.1.1.3.2.4</t>
  </si>
  <si>
    <t xml:space="preserve">MSP-4621</t>
  </si>
  <si>
    <t xml:space="preserve">1.7.1.1.1.3.2.5</t>
  </si>
  <si>
    <t xml:space="preserve">MSP-4622</t>
  </si>
  <si>
    <t xml:space="preserve">1.7.1.1.1.3.2.6</t>
  </si>
  <si>
    <t xml:space="preserve">MSP-4623</t>
  </si>
  <si>
    <t xml:space="preserve">1.7.1.1.1.3.3</t>
  </si>
  <si>
    <t xml:space="preserve">MSP-4624</t>
  </si>
  <si>
    <t xml:space="preserve">1.7.1.1.1.3.3.1</t>
  </si>
  <si>
    <t xml:space="preserve">MSP-4625</t>
  </si>
  <si>
    <t xml:space="preserve">1.7.1.1.1.3.4</t>
  </si>
  <si>
    <t xml:space="preserve">MSP-4626</t>
  </si>
  <si>
    <t xml:space="preserve">1.7.1.1.1.3.4.1</t>
  </si>
  <si>
    <t xml:space="preserve">MSP-4627</t>
  </si>
  <si>
    <t xml:space="preserve">1.7.1.1.1.3.4.2</t>
  </si>
  <si>
    <t xml:space="preserve">MSP-4628</t>
  </si>
  <si>
    <t xml:space="preserve">1.7.1.1.1.3.4.3</t>
  </si>
  <si>
    <t xml:space="preserve">MSP-4629</t>
  </si>
  <si>
    <t xml:space="preserve">1.7.1.1.1.3.4.4</t>
  </si>
  <si>
    <t xml:space="preserve">MSP-4630</t>
  </si>
  <si>
    <t xml:space="preserve">1.7.1.1.1.3.4.5</t>
  </si>
  <si>
    <t xml:space="preserve">MSP-4631</t>
  </si>
  <si>
    <t xml:space="preserve">1.7.1.1.1.3.4.6</t>
  </si>
  <si>
    <t xml:space="preserve">MSP-4632</t>
  </si>
  <si>
    <t xml:space="preserve">1.7.1.1.1.3.4.7</t>
  </si>
  <si>
    <t xml:space="preserve">MSP-4633</t>
  </si>
  <si>
    <t xml:space="preserve">1.7.1.1.1.3.4.8</t>
  </si>
  <si>
    <t xml:space="preserve">E-08 IMPRESORA MATRICIAL GRANDE</t>
  </si>
  <si>
    <t xml:space="preserve">MSP-4634</t>
  </si>
  <si>
    <t xml:space="preserve">1.7.1.1.1.3.5</t>
  </si>
  <si>
    <t xml:space="preserve">DEPOSITO</t>
  </si>
  <si>
    <t xml:space="preserve">MSP-4635</t>
  </si>
  <si>
    <t xml:space="preserve">1.7.1.1.1.3.5.1</t>
  </si>
  <si>
    <t xml:space="preserve">MSP-4636</t>
  </si>
  <si>
    <t xml:space="preserve">1.7.1.1.1.3.6</t>
  </si>
  <si>
    <t xml:space="preserve">MSP-4637</t>
  </si>
  <si>
    <t xml:space="preserve">1.7.1.1.1.3.6.1</t>
  </si>
  <si>
    <t xml:space="preserve">M-59 EXTINGUIDOR CONTRA INCENDIOS DE AGENTE EXTINTOR LIMPIO DE 6 KG</t>
  </si>
  <si>
    <t xml:space="preserve">MSP-4638</t>
  </si>
  <si>
    <t xml:space="preserve">1.7.1.1.2</t>
  </si>
  <si>
    <t xml:space="preserve">MSP-4639</t>
  </si>
  <si>
    <t xml:space="preserve">1.7.1.1.2.1</t>
  </si>
  <si>
    <t xml:space="preserve">MSP-4640</t>
  </si>
  <si>
    <t xml:space="preserve">1.7.1.1.2.1.1</t>
  </si>
  <si>
    <t xml:space="preserve">JEFE DE ADMINISTRACION</t>
  </si>
  <si>
    <t xml:space="preserve">MSP-4641</t>
  </si>
  <si>
    <t xml:space="preserve">1.7.1.1.2.1.1.1</t>
  </si>
  <si>
    <t xml:space="preserve">5615FS;4502SS</t>
  </si>
  <si>
    <t xml:space="preserve">MSP-4642</t>
  </si>
  <si>
    <t xml:space="preserve">1.7.1.1.2.1.1.2</t>
  </si>
  <si>
    <t xml:space="preserve">4641SS</t>
  </si>
  <si>
    <t xml:space="preserve">MSP-4643</t>
  </si>
  <si>
    <t xml:space="preserve">1.7.1.1.2.1.1.3</t>
  </si>
  <si>
    <t xml:space="preserve">MSP-4644</t>
  </si>
  <si>
    <t xml:space="preserve">1.7.1.1.2.1.1.4</t>
  </si>
  <si>
    <t xml:space="preserve">MSP-4645</t>
  </si>
  <si>
    <t xml:space="preserve">1.7.1.1.2.1.1.5</t>
  </si>
  <si>
    <t xml:space="preserve">MSP-4646</t>
  </si>
  <si>
    <t xml:space="preserve">1.7.1.1.2.1.1.6</t>
  </si>
  <si>
    <t xml:space="preserve">MSP-4647</t>
  </si>
  <si>
    <t xml:space="preserve">1.7.1.1.2.1.1.7</t>
  </si>
  <si>
    <t xml:space="preserve">MSP-4648</t>
  </si>
  <si>
    <t xml:space="preserve">1.7.1.1.2.1.1.8</t>
  </si>
  <si>
    <t xml:space="preserve">MSP-4649</t>
  </si>
  <si>
    <t xml:space="preserve">1.7.1.1.2.1.1.9</t>
  </si>
  <si>
    <t xml:space="preserve">MSP-4650</t>
  </si>
  <si>
    <t xml:space="preserve">1.7.1.1.2.1.1.10</t>
  </si>
  <si>
    <t xml:space="preserve">MSP-4651</t>
  </si>
  <si>
    <t xml:space="preserve">1.7.1.1.2.1.1.11</t>
  </si>
  <si>
    <t xml:space="preserve">E-02 LAPTOP CORE I7 MONITOR 15.6"</t>
  </si>
  <si>
    <t xml:space="preserve">MSP-4652</t>
  </si>
  <si>
    <t xml:space="preserve">1.7.1.1.2.1.2</t>
  </si>
  <si>
    <t xml:space="preserve">MSP-4653</t>
  </si>
  <si>
    <t xml:space="preserve">1.7.1.1.2.1.2.1</t>
  </si>
  <si>
    <t xml:space="preserve">MSP-4654</t>
  </si>
  <si>
    <t xml:space="preserve">1.7.1.1.2.1.2.2</t>
  </si>
  <si>
    <t xml:space="preserve">MSP-4655</t>
  </si>
  <si>
    <t xml:space="preserve">1.7.1.1.2.1.2.3</t>
  </si>
  <si>
    <t xml:space="preserve">MSP-4656</t>
  </si>
  <si>
    <t xml:space="preserve">1.7.1.1.2.1.2.4</t>
  </si>
  <si>
    <t xml:space="preserve">MSP-4657</t>
  </si>
  <si>
    <t xml:space="preserve">1.7.1.1.2.1.2.5</t>
  </si>
  <si>
    <t xml:space="preserve">MSP-4658</t>
  </si>
  <si>
    <t xml:space="preserve">1.7.1.1.2.1.2.6</t>
  </si>
  <si>
    <t xml:space="preserve">MSP-4659</t>
  </si>
  <si>
    <t xml:space="preserve">1.7.1.1.2.1.2.7</t>
  </si>
  <si>
    <t xml:space="preserve">MSP-4660</t>
  </si>
  <si>
    <t xml:space="preserve">1.7.1.1.2.1.2.8</t>
  </si>
  <si>
    <t xml:space="preserve">MSP-4661</t>
  </si>
  <si>
    <t xml:space="preserve">1.7.1.1.2.1.2.9</t>
  </si>
  <si>
    <t xml:space="preserve">MSP-4662</t>
  </si>
  <si>
    <t xml:space="preserve">1.7.1.1.2.1.3</t>
  </si>
  <si>
    <t xml:space="preserve">MSP-4663</t>
  </si>
  <si>
    <t xml:space="preserve">1.7.1.1.2.1.3.1</t>
  </si>
  <si>
    <t xml:space="preserve">MSP-4664</t>
  </si>
  <si>
    <t xml:space="preserve">1.7.1.1.2.1.4</t>
  </si>
  <si>
    <t xml:space="preserve">MSP-4665</t>
  </si>
  <si>
    <t xml:space="preserve">1.7.1.1.2.1.4.1</t>
  </si>
  <si>
    <t xml:space="preserve">MSP-4666</t>
  </si>
  <si>
    <t xml:space="preserve">1.7.1.1.2.1.5</t>
  </si>
  <si>
    <t xml:space="preserve">TESORERIA</t>
  </si>
  <si>
    <t xml:space="preserve">MSP-4667</t>
  </si>
  <si>
    <t xml:space="preserve">1.7.1.1.2.1.5.1</t>
  </si>
  <si>
    <t xml:space="preserve">MSP-4668</t>
  </si>
  <si>
    <t xml:space="preserve">1.7.1.1.2.1.5.2</t>
  </si>
  <si>
    <t xml:space="preserve">MSP-4669</t>
  </si>
  <si>
    <t xml:space="preserve">1.7.1.1.2.1.5.3</t>
  </si>
  <si>
    <t xml:space="preserve">M-11 MESON DE MELAMINA Y METAL 5.00x0.50x0.75</t>
  </si>
  <si>
    <t xml:space="preserve">MSP-4670</t>
  </si>
  <si>
    <t xml:space="preserve">1.7.1.1.2.1.5.4</t>
  </si>
  <si>
    <t xml:space="preserve">MSP-4671</t>
  </si>
  <si>
    <t xml:space="preserve">1.7.1.1.2.1.5.5</t>
  </si>
  <si>
    <t xml:space="preserve">MSP-4672</t>
  </si>
  <si>
    <t xml:space="preserve">1.7.1.1.2.1.5.6</t>
  </si>
  <si>
    <t xml:space="preserve">MSP-4673</t>
  </si>
  <si>
    <t xml:space="preserve">1.7.1.1.2.1.5.7</t>
  </si>
  <si>
    <t xml:space="preserve">MSP-4674</t>
  </si>
  <si>
    <t xml:space="preserve">1.7.1.1.2.1.5.8</t>
  </si>
  <si>
    <t xml:space="preserve">MSP-4675</t>
  </si>
  <si>
    <t xml:space="preserve">1.7.1.1.2.1.5.9</t>
  </si>
  <si>
    <t xml:space="preserve">MSP-4676</t>
  </si>
  <si>
    <t xml:space="preserve">1.7.1.1.2.1.5.10</t>
  </si>
  <si>
    <t xml:space="preserve">MSP-4677</t>
  </si>
  <si>
    <t xml:space="preserve">1.7.1.1.2.1.5.11</t>
  </si>
  <si>
    <t xml:space="preserve">MSP-4678</t>
  </si>
  <si>
    <t xml:space="preserve">1.7.1.1.2.1.5.12</t>
  </si>
  <si>
    <t xml:space="preserve">MSP-4679</t>
  </si>
  <si>
    <t xml:space="preserve">1.7.1.1.2.1.5.13</t>
  </si>
  <si>
    <t xml:space="preserve">E-09 IMPRESORA MATRICIAL PEQUEÑA</t>
  </si>
  <si>
    <t xml:space="preserve">MSP-4680</t>
  </si>
  <si>
    <t xml:space="preserve">1.7.1.1.2.1.5.14</t>
  </si>
  <si>
    <t xml:space="preserve">MSP-4681</t>
  </si>
  <si>
    <t xml:space="preserve">1.7.1.1.2.1.5.15</t>
  </si>
  <si>
    <t xml:space="preserve">MSP-4682</t>
  </si>
  <si>
    <t xml:space="preserve">1.7.1.1.2.1.6</t>
  </si>
  <si>
    <t xml:space="preserve">MSP-4683</t>
  </si>
  <si>
    <t xml:space="preserve">1.7.1.1.2.1.6.1</t>
  </si>
  <si>
    <t xml:space="preserve">MSP-4684</t>
  </si>
  <si>
    <t xml:space="preserve">1.7.1.1.2.1.7</t>
  </si>
  <si>
    <t xml:space="preserve">CONTABILIDAD</t>
  </si>
  <si>
    <t xml:space="preserve">MSP-4685</t>
  </si>
  <si>
    <t xml:space="preserve">1.7.1.1.2.1.7.1</t>
  </si>
  <si>
    <t xml:space="preserve">MSP-4686</t>
  </si>
  <si>
    <t xml:space="preserve">1.7.1.1.2.1.7.2</t>
  </si>
  <si>
    <t xml:space="preserve">MSP-4687</t>
  </si>
  <si>
    <t xml:space="preserve">1.7.1.1.2.1.7.3</t>
  </si>
  <si>
    <t xml:space="preserve">MSP-4688</t>
  </si>
  <si>
    <t xml:space="preserve">1.7.1.1.2.1.7.4</t>
  </si>
  <si>
    <t xml:space="preserve">MSP-4689</t>
  </si>
  <si>
    <t xml:space="preserve">1.7.1.1.2.1.7.5</t>
  </si>
  <si>
    <t xml:space="preserve">MSP-4690</t>
  </si>
  <si>
    <t xml:space="preserve">1.7.1.1.2.1.7.6</t>
  </si>
  <si>
    <t xml:space="preserve">MSP-4691</t>
  </si>
  <si>
    <t xml:space="preserve">1.7.1.1.2.1.7.7</t>
  </si>
  <si>
    <t xml:space="preserve">MSP-4692</t>
  </si>
  <si>
    <t xml:space="preserve">1.7.1.1.2.1.7.8</t>
  </si>
  <si>
    <t xml:space="preserve">MSP-4693</t>
  </si>
  <si>
    <t xml:space="preserve">1.7.1.1.2.1.7.9</t>
  </si>
  <si>
    <t xml:space="preserve">MSP-4694</t>
  </si>
  <si>
    <t xml:space="preserve">1.7.1.1.2.1.7.10</t>
  </si>
  <si>
    <t xml:space="preserve">MSP-4695</t>
  </si>
  <si>
    <t xml:space="preserve">1.7.1.1.2.1.7.11</t>
  </si>
  <si>
    <t xml:space="preserve">MSP-4696</t>
  </si>
  <si>
    <t xml:space="preserve">1.7.1.1.2.1.7.12</t>
  </si>
  <si>
    <t xml:space="preserve">MSP-4697</t>
  </si>
  <si>
    <t xml:space="preserve">1.7.1.1.2.1.8</t>
  </si>
  <si>
    <t xml:space="preserve">MSP-4698</t>
  </si>
  <si>
    <t xml:space="preserve">1.7.1.1.2.1.8.1</t>
  </si>
  <si>
    <t xml:space="preserve">MSP-4699</t>
  </si>
  <si>
    <t xml:space="preserve">1.7.1.1.2.1.9</t>
  </si>
  <si>
    <t xml:space="preserve">PLANILLAS</t>
  </si>
  <si>
    <t xml:space="preserve">MSP-4700</t>
  </si>
  <si>
    <t xml:space="preserve">1.7.1.1.2.1.9.1</t>
  </si>
  <si>
    <t xml:space="preserve">MSP-4701</t>
  </si>
  <si>
    <t xml:space="preserve">1.7.1.1.2.1.9.2</t>
  </si>
  <si>
    <t xml:space="preserve">MSP-4702</t>
  </si>
  <si>
    <t xml:space="preserve">1.7.1.1.2.1.9.3</t>
  </si>
  <si>
    <t xml:space="preserve">MSP-4703</t>
  </si>
  <si>
    <t xml:space="preserve">1.7.1.1.2.1.9.4</t>
  </si>
  <si>
    <t xml:space="preserve">MSP-4704</t>
  </si>
  <si>
    <t xml:space="preserve">1.7.1.1.2.1.9.5</t>
  </si>
  <si>
    <t xml:space="preserve">MSP-4705</t>
  </si>
  <si>
    <t xml:space="preserve">1.7.1.1.2.1.9.6</t>
  </si>
  <si>
    <t xml:space="preserve">MSP-4706</t>
  </si>
  <si>
    <t xml:space="preserve">1.7.1.1.2.1.9.7</t>
  </si>
  <si>
    <t xml:space="preserve">MSP-4707</t>
  </si>
  <si>
    <t xml:space="preserve">1.7.1.1.2.1.9.8</t>
  </si>
  <si>
    <t xml:space="preserve">MSP-4708</t>
  </si>
  <si>
    <t xml:space="preserve">1.7.1.1.2.1.10</t>
  </si>
  <si>
    <t xml:space="preserve">MSP-4709</t>
  </si>
  <si>
    <t xml:space="preserve">1.7.1.1.2.1.10.1</t>
  </si>
  <si>
    <t xml:space="preserve">MSP-4710</t>
  </si>
  <si>
    <t xml:space="preserve">1.7.1.1.2.1.11</t>
  </si>
  <si>
    <t xml:space="preserve">JEFA DE PERSONAL</t>
  </si>
  <si>
    <t xml:space="preserve">MSP-4711</t>
  </si>
  <si>
    <t xml:space="preserve">1.7.1.1.2.1.11.1</t>
  </si>
  <si>
    <t xml:space="preserve">MSP-4712</t>
  </si>
  <si>
    <t xml:space="preserve">1.7.1.1.2.1.11.2</t>
  </si>
  <si>
    <t xml:space="preserve">MSP-4713</t>
  </si>
  <si>
    <t xml:space="preserve">1.7.1.1.2.1.11.3</t>
  </si>
  <si>
    <t xml:space="preserve">MSP-4714</t>
  </si>
  <si>
    <t xml:space="preserve">1.7.1.1.2.1.11.4</t>
  </si>
  <si>
    <t xml:space="preserve">MSP-4715</t>
  </si>
  <si>
    <t xml:space="preserve">1.7.1.1.2.1.11.5</t>
  </si>
  <si>
    <t xml:space="preserve">MSP-4716</t>
  </si>
  <si>
    <t xml:space="preserve">1.7.1.1.2.1.11.6</t>
  </si>
  <si>
    <t xml:space="preserve">MSP-4717</t>
  </si>
  <si>
    <t xml:space="preserve">1.7.1.1.2.1.11.7</t>
  </si>
  <si>
    <t xml:space="preserve">MSP-4718</t>
  </si>
  <si>
    <t xml:space="preserve">1.7.1.1.2.1.11.8</t>
  </si>
  <si>
    <t xml:space="preserve">MSP-4719</t>
  </si>
  <si>
    <t xml:space="preserve">1.7.1.1.2.1.11.9</t>
  </si>
  <si>
    <t xml:space="preserve">MSP-4720</t>
  </si>
  <si>
    <t xml:space="preserve">1.7.1.1.2.1.12</t>
  </si>
  <si>
    <t xml:space="preserve">MSP-4721</t>
  </si>
  <si>
    <t xml:space="preserve">1.7.1.1.2.1.12.1</t>
  </si>
  <si>
    <t xml:space="preserve">MSP-4722</t>
  </si>
  <si>
    <t xml:space="preserve">1.7.1.1.2.1.12.2</t>
  </si>
  <si>
    <t xml:space="preserve">MSP-4723</t>
  </si>
  <si>
    <t xml:space="preserve">1.7.1.1.2.1.12.3</t>
  </si>
  <si>
    <t xml:space="preserve">MSP-4724</t>
  </si>
  <si>
    <t xml:space="preserve">1.7.1.1.2.1.12.4</t>
  </si>
  <si>
    <t xml:space="preserve">MSP-4725</t>
  </si>
  <si>
    <t xml:space="preserve">1.7.1.1.2.1.12.5</t>
  </si>
  <si>
    <t xml:space="preserve">MSP-4726</t>
  </si>
  <si>
    <t xml:space="preserve">1.7.1.1.2.1.12.6</t>
  </si>
  <si>
    <t xml:space="preserve">MSP-4727</t>
  </si>
  <si>
    <t xml:space="preserve">1.7.1.1.2.1.12.7</t>
  </si>
  <si>
    <t xml:space="preserve">MSP-4728</t>
  </si>
  <si>
    <t xml:space="preserve">1.7.1.1.2.1.13</t>
  </si>
  <si>
    <t xml:space="preserve">MSP-4729</t>
  </si>
  <si>
    <t xml:space="preserve">1.7.1.1.2.1.13.1</t>
  </si>
  <si>
    <t xml:space="preserve">MSP-4730</t>
  </si>
  <si>
    <t xml:space="preserve">1.7.1.1.2.1.14</t>
  </si>
  <si>
    <t xml:space="preserve">MSP-4731</t>
  </si>
  <si>
    <t xml:space="preserve">1.7.1.1.2.1.14.1</t>
  </si>
  <si>
    <t xml:space="preserve">MSP-4732</t>
  </si>
  <si>
    <t xml:space="preserve">1.7.1.1.2.1.15</t>
  </si>
  <si>
    <t xml:space="preserve">RR.HH.</t>
  </si>
  <si>
    <t xml:space="preserve">MSP-4733</t>
  </si>
  <si>
    <t xml:space="preserve">1.7.1.1.2.1.15.1</t>
  </si>
  <si>
    <t xml:space="preserve">MSP-4734</t>
  </si>
  <si>
    <t xml:space="preserve">1.7.1.1.2.1.15.2</t>
  </si>
  <si>
    <t xml:space="preserve">MSP-4735</t>
  </si>
  <si>
    <t xml:space="preserve">1.7.1.1.2.1.15.3</t>
  </si>
  <si>
    <t xml:space="preserve">MSP-4736</t>
  </si>
  <si>
    <t xml:space="preserve">1.7.1.1.2.1.15.4</t>
  </si>
  <si>
    <t xml:space="preserve">MSP-4737</t>
  </si>
  <si>
    <t xml:space="preserve">1.7.1.1.2.1.15.5</t>
  </si>
  <si>
    <t xml:space="preserve">MSP-4738</t>
  </si>
  <si>
    <t xml:space="preserve">1.7.1.1.2.1.15.6</t>
  </si>
  <si>
    <t xml:space="preserve">MSP-4739</t>
  </si>
  <si>
    <t xml:space="preserve">1.7.1.1.2.1.15.7</t>
  </si>
  <si>
    <t xml:space="preserve">MSP-4740</t>
  </si>
  <si>
    <t xml:space="preserve">1.7.1.1.2.1.16</t>
  </si>
  <si>
    <t xml:space="preserve">MSP-4741</t>
  </si>
  <si>
    <t xml:space="preserve">1.7.1.1.2.1.16.1</t>
  </si>
  <si>
    <t xml:space="preserve">MSP-4742</t>
  </si>
  <si>
    <t xml:space="preserve">1.7.1.1.2.1.17</t>
  </si>
  <si>
    <t xml:space="preserve">ESCALAFON</t>
  </si>
  <si>
    <t xml:space="preserve">MSP-4743</t>
  </si>
  <si>
    <t xml:space="preserve">1.7.1.1.2.1.17.1</t>
  </si>
  <si>
    <t xml:space="preserve">MSP-4744</t>
  </si>
  <si>
    <t xml:space="preserve">1.7.1.1.2.1.17.2</t>
  </si>
  <si>
    <t xml:space="preserve">MSP-4745</t>
  </si>
  <si>
    <t xml:space="preserve">1.7.1.1.2.1.17.3</t>
  </si>
  <si>
    <t xml:space="preserve">MSP-4746</t>
  </si>
  <si>
    <t xml:space="preserve">1.7.1.1.2.1.17.4</t>
  </si>
  <si>
    <t xml:space="preserve">MSP-4747</t>
  </si>
  <si>
    <t xml:space="preserve">1.7.1.1.2.1.17.5</t>
  </si>
  <si>
    <t xml:space="preserve">M-51 SISTEMA DE ALMACENAJE MOVIL 5.10x2.02</t>
  </si>
  <si>
    <t xml:space="preserve">MSP-4748</t>
  </si>
  <si>
    <t xml:space="preserve">1.7.1.1.2.1.17.6</t>
  </si>
  <si>
    <t xml:space="preserve">MSP-4749</t>
  </si>
  <si>
    <t xml:space="preserve">1.7.1.1.2.1.17.7</t>
  </si>
  <si>
    <t xml:space="preserve">MSP-4750</t>
  </si>
  <si>
    <t xml:space="preserve">1.7.1.1.2.1.18</t>
  </si>
  <si>
    <t xml:space="preserve">MSP-4751</t>
  </si>
  <si>
    <t xml:space="preserve">1.7.1.1.2.1.18.1</t>
  </si>
  <si>
    <t xml:space="preserve">MSP-4752</t>
  </si>
  <si>
    <t xml:space="preserve">1.7.1.1.2.1.18.2</t>
  </si>
  <si>
    <t xml:space="preserve">MSP-4753</t>
  </si>
  <si>
    <t xml:space="preserve">1.7.1.1.2.1.18.3</t>
  </si>
  <si>
    <t xml:space="preserve">MSP-4754</t>
  </si>
  <si>
    <t xml:space="preserve">1.7.1.1.2.1.19</t>
  </si>
  <si>
    <t xml:space="preserve">CORREDOR</t>
  </si>
  <si>
    <t xml:space="preserve">MSP-4755</t>
  </si>
  <si>
    <t xml:space="preserve">1.7.1.1.2.1.19.1</t>
  </si>
  <si>
    <t xml:space="preserve">MSP-4756</t>
  </si>
  <si>
    <t xml:space="preserve">1.7.1.1.2.1.20</t>
  </si>
  <si>
    <t xml:space="preserve">LACTARIO</t>
  </si>
  <si>
    <t xml:space="preserve">MSP-4757</t>
  </si>
  <si>
    <t xml:space="preserve">1.7.1.1.2.1.20.1</t>
  </si>
  <si>
    <t xml:space="preserve">M-08 MESA DE JUNTAS DE MELAMINA 1.00x3.00</t>
  </si>
  <si>
    <t xml:space="preserve">MSP-4758</t>
  </si>
  <si>
    <t xml:space="preserve">1.7.1.1.2.1.20.2</t>
  </si>
  <si>
    <t xml:space="preserve">MSP-4759</t>
  </si>
  <si>
    <t xml:space="preserve">1.7.1.1.2.1.20.3</t>
  </si>
  <si>
    <t xml:space="preserve">MSP-4760</t>
  </si>
  <si>
    <t xml:space="preserve">1.7.1.1.2.1.21</t>
  </si>
  <si>
    <t xml:space="preserve">SS.HH. DAMAS Y VARONES</t>
  </si>
  <si>
    <t xml:space="preserve">MSP-4761</t>
  </si>
  <si>
    <t xml:space="preserve">1.7.1.1.2.1.21.1</t>
  </si>
  <si>
    <t xml:space="preserve">MSP-4762</t>
  </si>
  <si>
    <t xml:space="preserve">1.7.1.1.2.2</t>
  </si>
  <si>
    <t xml:space="preserve">MSP-4763</t>
  </si>
  <si>
    <t xml:space="preserve">1.7.1.1.2.2.1</t>
  </si>
  <si>
    <t xml:space="preserve">IMAGEN INSTITUCIONAL</t>
  </si>
  <si>
    <t xml:space="preserve">MSP-4764</t>
  </si>
  <si>
    <t xml:space="preserve">1.7.1.1.2.2.1.1</t>
  </si>
  <si>
    <t xml:space="preserve">MSP-4765</t>
  </si>
  <si>
    <t xml:space="preserve">1.7.1.1.2.2.1.2</t>
  </si>
  <si>
    <t xml:space="preserve">MSP-4766</t>
  </si>
  <si>
    <t xml:space="preserve">1.7.1.1.2.2.1.3</t>
  </si>
  <si>
    <t xml:space="preserve">MSP-4767</t>
  </si>
  <si>
    <t xml:space="preserve">1.7.1.1.2.2.1.4</t>
  </si>
  <si>
    <t xml:space="preserve">MSP-4768</t>
  </si>
  <si>
    <t xml:space="preserve">1.7.1.1.2.2.1.5</t>
  </si>
  <si>
    <t xml:space="preserve">MSP-4769</t>
  </si>
  <si>
    <t xml:space="preserve">1.7.1.1.2.2.1.6</t>
  </si>
  <si>
    <t xml:space="preserve">MSP-4770</t>
  </si>
  <si>
    <t xml:space="preserve">1.7.1.1.2.2.1.7</t>
  </si>
  <si>
    <t xml:space="preserve">MSP-4771</t>
  </si>
  <si>
    <t xml:space="preserve">1.7.1.1.2.2.1.8</t>
  </si>
  <si>
    <t xml:space="preserve">MSP-4772</t>
  </si>
  <si>
    <t xml:space="preserve">1.7.1.1.2.2.1.9</t>
  </si>
  <si>
    <t xml:space="preserve">MSP-4773</t>
  </si>
  <si>
    <t xml:space="preserve">1.7.1.1.2.2.1.10</t>
  </si>
  <si>
    <t xml:space="preserve">MSP-4774</t>
  </si>
  <si>
    <t xml:space="preserve">1.7.1.1.2.2.1.11</t>
  </si>
  <si>
    <t xml:space="preserve">MSP-4775</t>
  </si>
  <si>
    <t xml:space="preserve">1.7.1.1.2.2.1.12</t>
  </si>
  <si>
    <t xml:space="preserve">MSP-4776</t>
  </si>
  <si>
    <t xml:space="preserve">1.7.1.1.2.2.1.13</t>
  </si>
  <si>
    <t xml:space="preserve">MSP-4777</t>
  </si>
  <si>
    <t xml:space="preserve">1.7.1.1.2.2.1.14</t>
  </si>
  <si>
    <t xml:space="preserve">E-11 ESCANER SIMPLE A3</t>
  </si>
  <si>
    <t xml:space="preserve">MSP-4778</t>
  </si>
  <si>
    <t xml:space="preserve">1.7.1.1.2.2.1.15</t>
  </si>
  <si>
    <t xml:space="preserve">MSP-4779</t>
  </si>
  <si>
    <t xml:space="preserve">1.7.1.1.2.2.1.16</t>
  </si>
  <si>
    <t xml:space="preserve">MSP-4780</t>
  </si>
  <si>
    <t xml:space="preserve">1.7.1.1.2.2.1.17</t>
  </si>
  <si>
    <t xml:space="preserve">E-18 MICROFONO</t>
  </si>
  <si>
    <t xml:space="preserve">MSP-4781</t>
  </si>
  <si>
    <t xml:space="preserve">1.7.1.1.2.2.1.18</t>
  </si>
  <si>
    <t xml:space="preserve">E-19 DISCO DURO PORTATIL</t>
  </si>
  <si>
    <t xml:space="preserve">MSP-4782</t>
  </si>
  <si>
    <t xml:space="preserve">1.7.1.1.2.2.2</t>
  </si>
  <si>
    <t xml:space="preserve">TRANSPARENCIA</t>
  </si>
  <si>
    <t xml:space="preserve">MSP-4783</t>
  </si>
  <si>
    <t xml:space="preserve">1.7.1.1.2.2.2.1</t>
  </si>
  <si>
    <t xml:space="preserve">MSP-4784</t>
  </si>
  <si>
    <t xml:space="preserve">1.7.1.1.2.2.2.2</t>
  </si>
  <si>
    <t xml:space="preserve">MSP-4785</t>
  </si>
  <si>
    <t xml:space="preserve">1.7.1.1.2.2.2.3</t>
  </si>
  <si>
    <t xml:space="preserve">MSP-4786</t>
  </si>
  <si>
    <t xml:space="preserve">1.7.1.1.2.2.2.4</t>
  </si>
  <si>
    <t xml:space="preserve">MSP-4787</t>
  </si>
  <si>
    <t xml:space="preserve">1.7.1.1.2.2.2.5</t>
  </si>
  <si>
    <t xml:space="preserve">MSP-4788</t>
  </si>
  <si>
    <t xml:space="preserve">1.7.1.1.2.2.3</t>
  </si>
  <si>
    <t xml:space="preserve">MSP-4789</t>
  </si>
  <si>
    <t xml:space="preserve">1.7.1.1.2.2.3.1</t>
  </si>
  <si>
    <t xml:space="preserve">MSP-4790</t>
  </si>
  <si>
    <t xml:space="preserve">1.7.1.1.2.2.3.2</t>
  </si>
  <si>
    <t xml:space="preserve">E-17 ECRAN CON TRIPODE</t>
  </si>
  <si>
    <t xml:space="preserve">MSP-4791</t>
  </si>
  <si>
    <t xml:space="preserve">1.7.1.1.2.2.4</t>
  </si>
  <si>
    <t xml:space="preserve">MSP-4792</t>
  </si>
  <si>
    <t xml:space="preserve">1.7.1.1.2.2.4.1</t>
  </si>
  <si>
    <t xml:space="preserve">MSP-4793</t>
  </si>
  <si>
    <t xml:space="preserve">1.7.1.1.2.2.4.2</t>
  </si>
  <si>
    <t xml:space="preserve">MSP-4794</t>
  </si>
  <si>
    <t xml:space="preserve">1.7.1.1.2.2.4.3</t>
  </si>
  <si>
    <t xml:space="preserve">MSP-4795</t>
  </si>
  <si>
    <t xml:space="preserve">1.7.1.1.2.2.4.4</t>
  </si>
  <si>
    <t xml:space="preserve">MSP-4796</t>
  </si>
  <si>
    <t xml:space="preserve">1.7.1.1.2.2.4.5</t>
  </si>
  <si>
    <t xml:space="preserve">MSP-4797</t>
  </si>
  <si>
    <t xml:space="preserve">1.7.1.1.2.2.4.6</t>
  </si>
  <si>
    <t xml:space="preserve">MSP-4798</t>
  </si>
  <si>
    <t xml:space="preserve">1.7.1.1.2.2.4.7</t>
  </si>
  <si>
    <t xml:space="preserve">MSP-4799</t>
  </si>
  <si>
    <t xml:space="preserve">1.7.1.1.2.2.4.8</t>
  </si>
  <si>
    <t xml:space="preserve">MSP-4800</t>
  </si>
  <si>
    <t xml:space="preserve">1.7.1.1.2.2.4.9</t>
  </si>
  <si>
    <t xml:space="preserve">E-13 ESCANER DE ALTA VELOCIDAD A3</t>
  </si>
  <si>
    <t xml:space="preserve">MSP-4801</t>
  </si>
  <si>
    <t xml:space="preserve">1.7.1.1.2.2.5</t>
  </si>
  <si>
    <t xml:space="preserve">MSP-4802</t>
  </si>
  <si>
    <t xml:space="preserve">1.7.1.1.2.2.5.1</t>
  </si>
  <si>
    <t xml:space="preserve">MSP-4803</t>
  </si>
  <si>
    <t xml:space="preserve">1.7.1.1.2.2.6</t>
  </si>
  <si>
    <t xml:space="preserve">MSP-4804</t>
  </si>
  <si>
    <t xml:space="preserve">1.7.1.1.2.2.6.1</t>
  </si>
  <si>
    <t xml:space="preserve">MSP-4805</t>
  </si>
  <si>
    <t xml:space="preserve">1.7.1.1.2.2.7</t>
  </si>
  <si>
    <t xml:space="preserve">JEFATURA ASESORIA JURIDICA</t>
  </si>
  <si>
    <t xml:space="preserve">MSP-4806</t>
  </si>
  <si>
    <t xml:space="preserve">1.7.1.1.2.2.7.1</t>
  </si>
  <si>
    <t xml:space="preserve">MSP-4807</t>
  </si>
  <si>
    <t xml:space="preserve">1.7.1.1.2.2.7.2</t>
  </si>
  <si>
    <t xml:space="preserve">MSP-4808</t>
  </si>
  <si>
    <t xml:space="preserve">1.7.1.1.2.2.7.3</t>
  </si>
  <si>
    <t xml:space="preserve">MSP-4809</t>
  </si>
  <si>
    <t xml:space="preserve">1.7.1.1.2.2.7.4</t>
  </si>
  <si>
    <t xml:space="preserve">MSP-4810</t>
  </si>
  <si>
    <t xml:space="preserve">1.7.1.1.2.2.7.5</t>
  </si>
  <si>
    <t xml:space="preserve">MSP-4811</t>
  </si>
  <si>
    <t xml:space="preserve">1.7.1.1.2.2.7.6</t>
  </si>
  <si>
    <t xml:space="preserve">MSP-4812</t>
  </si>
  <si>
    <t xml:space="preserve">1.7.1.1.2.2.7.7</t>
  </si>
  <si>
    <t xml:space="preserve">MSP-4813</t>
  </si>
  <si>
    <t xml:space="preserve">1.7.1.1.2.2.7.8</t>
  </si>
  <si>
    <t xml:space="preserve">MSP-4814</t>
  </si>
  <si>
    <t xml:space="preserve">1.7.1.1.2.2.7.9</t>
  </si>
  <si>
    <t xml:space="preserve">MSP-4815</t>
  </si>
  <si>
    <t xml:space="preserve">1.7.1.1.2.2.7.10</t>
  </si>
  <si>
    <t xml:space="preserve">MSP-4816</t>
  </si>
  <si>
    <t xml:space="preserve">1.7.1.1.2.2.7.11</t>
  </si>
  <si>
    <t xml:space="preserve">MSP-4817</t>
  </si>
  <si>
    <t xml:space="preserve">1.7.1.1.2.2.7.12</t>
  </si>
  <si>
    <t xml:space="preserve">MSP-4818</t>
  </si>
  <si>
    <t xml:space="preserve">1.7.1.1.2.2.8</t>
  </si>
  <si>
    <t xml:space="preserve">ASESORIA JURIDICA</t>
  </si>
  <si>
    <t xml:space="preserve">MSP-4819</t>
  </si>
  <si>
    <t xml:space="preserve">1.7.1.1.2.2.8.1</t>
  </si>
  <si>
    <t xml:space="preserve">MSP-4820</t>
  </si>
  <si>
    <t xml:space="preserve">1.7.1.1.2.2.8.2</t>
  </si>
  <si>
    <t xml:space="preserve">MSP-4821</t>
  </si>
  <si>
    <t xml:space="preserve">1.7.1.1.2.2.8.3</t>
  </si>
  <si>
    <t xml:space="preserve">MSP-4822</t>
  </si>
  <si>
    <t xml:space="preserve">1.7.1.1.2.2.8.4</t>
  </si>
  <si>
    <t xml:space="preserve">MSP-4823</t>
  </si>
  <si>
    <t xml:space="preserve">1.7.1.1.2.2.8.5</t>
  </si>
  <si>
    <t xml:space="preserve">MSP-4824</t>
  </si>
  <si>
    <t xml:space="preserve">1.7.1.1.2.2.8.6</t>
  </si>
  <si>
    <t xml:space="preserve">MSP-4825</t>
  </si>
  <si>
    <t xml:space="preserve">1.7.1.1.2.2.9</t>
  </si>
  <si>
    <t xml:space="preserve">MSP-4826</t>
  </si>
  <si>
    <t xml:space="preserve">1.7.1.1.2.2.9.1</t>
  </si>
  <si>
    <t xml:space="preserve">MSP-4827</t>
  </si>
  <si>
    <t xml:space="preserve">1.7.1.1.2.2.10</t>
  </si>
  <si>
    <t xml:space="preserve">SALA DE REUNIONES</t>
  </si>
  <si>
    <t xml:space="preserve">MSP-4828</t>
  </si>
  <si>
    <t xml:space="preserve">1.7.1.1.2.2.10.1</t>
  </si>
  <si>
    <t xml:space="preserve">MSP-4829</t>
  </si>
  <si>
    <t xml:space="preserve">1.7.1.1.2.2.10.2</t>
  </si>
  <si>
    <t xml:space="preserve">MSP-4830</t>
  </si>
  <si>
    <t xml:space="preserve">1.7.1.1.2.2.10.3</t>
  </si>
  <si>
    <t xml:space="preserve">MSP-4831</t>
  </si>
  <si>
    <t xml:space="preserve">1.7.1.1.2.2.10.4</t>
  </si>
  <si>
    <t xml:space="preserve">MSP-4832</t>
  </si>
  <si>
    <t xml:space="preserve">1.7.1.1.2.2.10.5</t>
  </si>
  <si>
    <t xml:space="preserve">MSP-4833</t>
  </si>
  <si>
    <t xml:space="preserve">1.7.1.1.2.2.10.6</t>
  </si>
  <si>
    <t xml:space="preserve">MSP-4834</t>
  </si>
  <si>
    <t xml:space="preserve">1.7.1.1.2.2.10.7</t>
  </si>
  <si>
    <t xml:space="preserve">MSP-4835</t>
  </si>
  <si>
    <t xml:space="preserve">1.7.1.1.2.2.10.8</t>
  </si>
  <si>
    <t xml:space="preserve">MSP-4836</t>
  </si>
  <si>
    <t xml:space="preserve">1.7.1.1.2.2.10.9</t>
  </si>
  <si>
    <t xml:space="preserve">MSP-4837</t>
  </si>
  <si>
    <t xml:space="preserve">1.7.1.1.2.2.11</t>
  </si>
  <si>
    <t xml:space="preserve">MSP-4838</t>
  </si>
  <si>
    <t xml:space="preserve">1.7.1.1.2.2.11.1</t>
  </si>
  <si>
    <t xml:space="preserve">MSP-4839</t>
  </si>
  <si>
    <t xml:space="preserve">1.7.1.1.2.2.11.2</t>
  </si>
  <si>
    <t xml:space="preserve">MSP-4840</t>
  </si>
  <si>
    <t xml:space="preserve">1.7.1.1.2.2.12</t>
  </si>
  <si>
    <t xml:space="preserve">MSP-4841</t>
  </si>
  <si>
    <t xml:space="preserve">1.7.1.1.2.2.12.1</t>
  </si>
  <si>
    <t xml:space="preserve">MSP-4842</t>
  </si>
  <si>
    <t xml:space="preserve">1.7.1.1.2.2.13</t>
  </si>
  <si>
    <t xml:space="preserve">PROCESOS</t>
  </si>
  <si>
    <t xml:space="preserve">MSP-4843</t>
  </si>
  <si>
    <t xml:space="preserve">1.7.1.1.2.2.13.1</t>
  </si>
  <si>
    <t xml:space="preserve">MSP-4844</t>
  </si>
  <si>
    <t xml:space="preserve">1.7.1.1.2.2.13.2</t>
  </si>
  <si>
    <t xml:space="preserve">MSP-4845</t>
  </si>
  <si>
    <t xml:space="preserve">1.7.1.1.2.2.13.3</t>
  </si>
  <si>
    <t xml:space="preserve">MSP-4846</t>
  </si>
  <si>
    <t xml:space="preserve">1.7.1.1.2.2.13.4</t>
  </si>
  <si>
    <t xml:space="preserve">MSP-4847</t>
  </si>
  <si>
    <t xml:space="preserve">1.7.1.1.2.2.13.5</t>
  </si>
  <si>
    <t xml:space="preserve">MSP-4848</t>
  </si>
  <si>
    <t xml:space="preserve">1.7.1.1.2.2.13.6</t>
  </si>
  <si>
    <t xml:space="preserve">MSP-4849</t>
  </si>
  <si>
    <t xml:space="preserve">1.7.1.1.2.2.13.7</t>
  </si>
  <si>
    <t xml:space="preserve">MSP-4850</t>
  </si>
  <si>
    <t xml:space="preserve">1.7.1.1.2.2.13.8</t>
  </si>
  <si>
    <t xml:space="preserve">MSP-4851</t>
  </si>
  <si>
    <t xml:space="preserve">1.7.1.1.2.2.13.9</t>
  </si>
  <si>
    <t xml:space="preserve">MSP-4852</t>
  </si>
  <si>
    <t xml:space="preserve">1.7.1.1.2.2.13.10</t>
  </si>
  <si>
    <t xml:space="preserve">MSP-4853</t>
  </si>
  <si>
    <t xml:space="preserve">1.7.1.1.2.2.13.11</t>
  </si>
  <si>
    <t xml:space="preserve">MSP-4854</t>
  </si>
  <si>
    <t xml:space="preserve">1.7.1.1.2.2.13.12</t>
  </si>
  <si>
    <t xml:space="preserve">MSP-4855</t>
  </si>
  <si>
    <t xml:space="preserve">1.7.1.1.2.2.14</t>
  </si>
  <si>
    <t xml:space="preserve">MSP-4856</t>
  </si>
  <si>
    <t xml:space="preserve">1.7.1.1.2.2.14.1</t>
  </si>
  <si>
    <t xml:space="preserve">MSP-4857</t>
  </si>
  <si>
    <t xml:space="preserve">1.7.1.1.2.2.15</t>
  </si>
  <si>
    <t xml:space="preserve">SALA DE CONCEJO PARTICIPATIVO</t>
  </si>
  <si>
    <t xml:space="preserve">MSP-4858</t>
  </si>
  <si>
    <t xml:space="preserve">1.7.1.1.2.2.15.1</t>
  </si>
  <si>
    <t xml:space="preserve">MSP-4859</t>
  </si>
  <si>
    <t xml:space="preserve">1.7.1.1.2.2.15.2</t>
  </si>
  <si>
    <t xml:space="preserve">MSP-4860</t>
  </si>
  <si>
    <t xml:space="preserve">1.7.1.1.2.2.15.3</t>
  </si>
  <si>
    <t xml:space="preserve">MSP-4861</t>
  </si>
  <si>
    <t xml:space="preserve">1.7.1.1.2.2.15.4</t>
  </si>
  <si>
    <t xml:space="preserve">MSP-4862</t>
  </si>
  <si>
    <t xml:space="preserve">1.7.1.1.2.2.15.5</t>
  </si>
  <si>
    <t xml:space="preserve">MSP-4863</t>
  </si>
  <si>
    <t xml:space="preserve">1.7.1.1.2.2.15.6</t>
  </si>
  <si>
    <t xml:space="preserve">MSP-4864</t>
  </si>
  <si>
    <t xml:space="preserve">1.7.1.1.2.2.15.7</t>
  </si>
  <si>
    <t xml:space="preserve">MSP-4865</t>
  </si>
  <si>
    <t xml:space="preserve">1.7.1.1.2.2.16</t>
  </si>
  <si>
    <t xml:space="preserve">MSP-4866</t>
  </si>
  <si>
    <t xml:space="preserve">1.7.1.1.2.2.16.1</t>
  </si>
  <si>
    <t xml:space="preserve">MSP-4867</t>
  </si>
  <si>
    <t xml:space="preserve">1.7.1.1.2.2.16.2</t>
  </si>
  <si>
    <t xml:space="preserve">MSP-4868</t>
  </si>
  <si>
    <t xml:space="preserve">1.7.1.1.2.2.16.3</t>
  </si>
  <si>
    <t xml:space="preserve">MSP-4869</t>
  </si>
  <si>
    <t xml:space="preserve">1.7.1.1.2.2.16.4</t>
  </si>
  <si>
    <t xml:space="preserve">MSP-4870</t>
  </si>
  <si>
    <t xml:space="preserve">1.7.1.1.2.2.16.5</t>
  </si>
  <si>
    <t xml:space="preserve">MSP-4871</t>
  </si>
  <si>
    <t xml:space="preserve">1.7.1.1.2.2.16.6</t>
  </si>
  <si>
    <t xml:space="preserve">MSP-4872</t>
  </si>
  <si>
    <t xml:space="preserve">1.7.1.1.2.2.17</t>
  </si>
  <si>
    <t xml:space="preserve">DIRECCION GENERAL</t>
  </si>
  <si>
    <t xml:space="preserve">MSP-4873</t>
  </si>
  <si>
    <t xml:space="preserve">1.7.1.1.2.2.17.1</t>
  </si>
  <si>
    <t xml:space="preserve">MSP-4874</t>
  </si>
  <si>
    <t xml:space="preserve">1.7.1.1.2.2.17.2</t>
  </si>
  <si>
    <t xml:space="preserve">MSP-4875</t>
  </si>
  <si>
    <t xml:space="preserve">1.7.1.1.2.2.17.3</t>
  </si>
  <si>
    <t xml:space="preserve">MSP-4876</t>
  </si>
  <si>
    <t xml:space="preserve">1.7.1.1.2.2.17.4</t>
  </si>
  <si>
    <t xml:space="preserve">MSP-4877</t>
  </si>
  <si>
    <t xml:space="preserve">1.7.1.1.2.2.17.5</t>
  </si>
  <si>
    <t xml:space="preserve">MSP-4878</t>
  </si>
  <si>
    <t xml:space="preserve">1.7.1.1.2.2.17.6</t>
  </si>
  <si>
    <t xml:space="preserve">MSP-4879</t>
  </si>
  <si>
    <t xml:space="preserve">1.7.1.1.2.2.17.7</t>
  </si>
  <si>
    <t xml:space="preserve">MSP-4880</t>
  </si>
  <si>
    <t xml:space="preserve">1.7.1.1.2.2.17.8</t>
  </si>
  <si>
    <t xml:space="preserve">MSP-4881</t>
  </si>
  <si>
    <t xml:space="preserve">1.7.1.1.2.2.17.9</t>
  </si>
  <si>
    <t xml:space="preserve">MSP-4882</t>
  </si>
  <si>
    <t xml:space="preserve">1.7.1.1.2.2.17.10</t>
  </si>
  <si>
    <t xml:space="preserve">MSP-4883</t>
  </si>
  <si>
    <t xml:space="preserve">1.7.1.1.2.2.18</t>
  </si>
  <si>
    <t xml:space="preserve">MSP-4884</t>
  </si>
  <si>
    <t xml:space="preserve">1.7.1.1.2.2.18.1</t>
  </si>
  <si>
    <t xml:space="preserve">MSP-4885</t>
  </si>
  <si>
    <t xml:space="preserve">1.7.1.1.2.2.18.2</t>
  </si>
  <si>
    <t xml:space="preserve">MSP-4886</t>
  </si>
  <si>
    <t xml:space="preserve">1.7.1.1.2.2.19</t>
  </si>
  <si>
    <t xml:space="preserve">MSP-4887</t>
  </si>
  <si>
    <t xml:space="preserve">1.7.1.1.2.2.19.1</t>
  </si>
  <si>
    <t xml:space="preserve">MSP-4888</t>
  </si>
  <si>
    <t xml:space="preserve">1.7.1.1.2.2.20</t>
  </si>
  <si>
    <t xml:space="preserve">KITCHENTETTE</t>
  </si>
  <si>
    <t xml:space="preserve">MSP-4889</t>
  </si>
  <si>
    <t xml:space="preserve">1.7.1.1.2.2.20.1</t>
  </si>
  <si>
    <t xml:space="preserve">M-12 BARRA TIPO I (2.75x0.70x1.00)</t>
  </si>
  <si>
    <t xml:space="preserve">MSP-4890</t>
  </si>
  <si>
    <t xml:space="preserve">1.7.1.1.2.2.20.2</t>
  </si>
  <si>
    <t xml:space="preserve">M-29 SILLA PARA KITCHENETTE</t>
  </si>
  <si>
    <t xml:space="preserve">MSP-4891</t>
  </si>
  <si>
    <t xml:space="preserve">1.7.1.1.2.2.20.3</t>
  </si>
  <si>
    <t xml:space="preserve">MSP-4892</t>
  </si>
  <si>
    <t xml:space="preserve">1.7.1.1.2.2.20.4</t>
  </si>
  <si>
    <t xml:space="preserve">M-38 SET DE VAJILLA (platos y tazas)</t>
  </si>
  <si>
    <t xml:space="preserve">MSP-4893</t>
  </si>
  <si>
    <t xml:space="preserve">1.7.1.1.2.2.20.5</t>
  </si>
  <si>
    <t xml:space="preserve">M-39 SET DE VAJILLA (cubiertos)</t>
  </si>
  <si>
    <t xml:space="preserve">MSP-4894</t>
  </si>
  <si>
    <t xml:space="preserve">1.7.1.1.2.2.20.6</t>
  </si>
  <si>
    <t xml:space="preserve">M-40 JUEGO DE BANDEJAS</t>
  </si>
  <si>
    <t xml:space="preserve">MSP-4895</t>
  </si>
  <si>
    <t xml:space="preserve">1.7.1.1.2.2.20.7</t>
  </si>
  <si>
    <t xml:space="preserve">M-41 JUEGO VASOS</t>
  </si>
  <si>
    <t xml:space="preserve">MSP-4896</t>
  </si>
  <si>
    <t xml:space="preserve">1.7.1.1.2.2.20.8</t>
  </si>
  <si>
    <t xml:space="preserve">M-52 REPOSTERO BAJO 3.00x0.70</t>
  </si>
  <si>
    <t xml:space="preserve">MSP-4897</t>
  </si>
  <si>
    <t xml:space="preserve">1.7.1.1.2.2.20.9</t>
  </si>
  <si>
    <t xml:space="preserve">E-14 HERVIDOR</t>
  </si>
  <si>
    <t xml:space="preserve">MSP-4898</t>
  </si>
  <si>
    <t xml:space="preserve">1.7.1.1.2.2.20.10</t>
  </si>
  <si>
    <t xml:space="preserve">E-15 HORNO MICROONDAS</t>
  </si>
  <si>
    <t xml:space="preserve">MSP-4899</t>
  </si>
  <si>
    <t xml:space="preserve">1.7.1.1.2.3</t>
  </si>
  <si>
    <t xml:space="preserve">MSP-4900</t>
  </si>
  <si>
    <t xml:space="preserve">1.7.1.1.2.3.1</t>
  </si>
  <si>
    <t xml:space="preserve">JEFATURA</t>
  </si>
  <si>
    <t xml:space="preserve">MSP-4901</t>
  </si>
  <si>
    <t xml:space="preserve">1.7.1.1.2.3.1.1</t>
  </si>
  <si>
    <t xml:space="preserve">MSP-4902</t>
  </si>
  <si>
    <t xml:space="preserve">1.7.1.1.2.3.1.2</t>
  </si>
  <si>
    <t xml:space="preserve">MSP-4903</t>
  </si>
  <si>
    <t xml:space="preserve">1.7.1.1.2.3.1.3</t>
  </si>
  <si>
    <t xml:space="preserve">MSP-4904</t>
  </si>
  <si>
    <t xml:space="preserve">1.7.1.1.2.3.1.4</t>
  </si>
  <si>
    <t xml:space="preserve">MSP-4905</t>
  </si>
  <si>
    <t xml:space="preserve">1.7.1.1.2.3.1.5</t>
  </si>
  <si>
    <t xml:space="preserve">MSP-4906</t>
  </si>
  <si>
    <t xml:space="preserve">1.7.1.1.2.3.1.6</t>
  </si>
  <si>
    <t xml:space="preserve">MSP-4907</t>
  </si>
  <si>
    <t xml:space="preserve">1.7.1.1.2.3.1.7</t>
  </si>
  <si>
    <t xml:space="preserve">MSP-4908</t>
  </si>
  <si>
    <t xml:space="preserve">1.7.1.1.2.3.1.8</t>
  </si>
  <si>
    <t xml:space="preserve">MSP-4909</t>
  </si>
  <si>
    <t xml:space="preserve">1.7.1.1.2.3.1.9</t>
  </si>
  <si>
    <t xml:space="preserve">MSP-4910</t>
  </si>
  <si>
    <t xml:space="preserve">1.7.1.1.2.3.1.10</t>
  </si>
  <si>
    <t xml:space="preserve">MSP-4911</t>
  </si>
  <si>
    <t xml:space="preserve">1.7.1.1.2.3.1.11</t>
  </si>
  <si>
    <t xml:space="preserve">E-26 MALETA DE HERRAMIENTAS</t>
  </si>
  <si>
    <t xml:space="preserve">MSP-4912</t>
  </si>
  <si>
    <t xml:space="preserve">1.7.1.1.2.3.1.12</t>
  </si>
  <si>
    <t xml:space="preserve">E-27 BRAZALETE ANTIESTATICO</t>
  </si>
  <si>
    <t xml:space="preserve">MSP-4913</t>
  </si>
  <si>
    <t xml:space="preserve">1.7.1.1.2.3.1.13</t>
  </si>
  <si>
    <t xml:space="preserve">E-28 SOPLADOR/ASPIRADOR DE AIRE</t>
  </si>
  <si>
    <t xml:space="preserve">MSP-4914</t>
  </si>
  <si>
    <t xml:space="preserve">1.7.1.1.2.3.1.14</t>
  </si>
  <si>
    <t xml:space="preserve">E-29 JUEGO DE BROCHAS</t>
  </si>
  <si>
    <t xml:space="preserve">MSP-4915</t>
  </si>
  <si>
    <t xml:space="preserve">1.7.1.1.2.3.1.15</t>
  </si>
  <si>
    <t xml:space="preserve">E-30 PROBADOR DE FUENTES DE PODER</t>
  </si>
  <si>
    <t xml:space="preserve">MSP-4916</t>
  </si>
  <si>
    <t xml:space="preserve">1.7.1.1.2.3.1.16</t>
  </si>
  <si>
    <t xml:space="preserve">E-31 CONVERTIDOR IDE/SATA a USB</t>
  </si>
  <si>
    <t xml:space="preserve">MSP-4917</t>
  </si>
  <si>
    <t xml:space="preserve">1.7.1.1.2.3.1.17</t>
  </si>
  <si>
    <t xml:space="preserve">E-32 LECTOR DE CD/DVD EXTERNO</t>
  </si>
  <si>
    <t xml:space="preserve">MSP-4918</t>
  </si>
  <si>
    <t xml:space="preserve">1.7.1.1.2.3.2</t>
  </si>
  <si>
    <t xml:space="preserve">AREA DE RR.HH.</t>
  </si>
  <si>
    <t xml:space="preserve">MSP-4919</t>
  </si>
  <si>
    <t xml:space="preserve">1.7.1.1.2.3.2.1</t>
  </si>
  <si>
    <t xml:space="preserve">MSP-4920</t>
  </si>
  <si>
    <t xml:space="preserve">1.7.1.1.2.3.2.2</t>
  </si>
  <si>
    <t xml:space="preserve">MSP-4921</t>
  </si>
  <si>
    <t xml:space="preserve">1.7.1.1.2.3.2.3</t>
  </si>
  <si>
    <t xml:space="preserve">MSP-4922</t>
  </si>
  <si>
    <t xml:space="preserve">1.7.1.1.2.3.2.4</t>
  </si>
  <si>
    <t xml:space="preserve">MSP-4923</t>
  </si>
  <si>
    <t xml:space="preserve">1.7.1.1.2.3.2.5</t>
  </si>
  <si>
    <t xml:space="preserve">MSP-4924</t>
  </si>
  <si>
    <t xml:space="preserve">1.7.1.1.2.3.2.6</t>
  </si>
  <si>
    <t xml:space="preserve">MSP-4925</t>
  </si>
  <si>
    <t xml:space="preserve">1.7.1.1.2.3.2.7</t>
  </si>
  <si>
    <t xml:space="preserve">MSP-4926</t>
  </si>
  <si>
    <t xml:space="preserve">1.7.1.1.2.3.3</t>
  </si>
  <si>
    <t xml:space="preserve">MSP-4927</t>
  </si>
  <si>
    <t xml:space="preserve">1.7.1.1.2.3.3.1</t>
  </si>
  <si>
    <t xml:space="preserve">M-16 ESTANTERIA EMPOTRADA DE MELAMINA DE 3.00x0.60x2.00m</t>
  </si>
  <si>
    <t xml:space="preserve">MSP-4928</t>
  </si>
  <si>
    <t xml:space="preserve">1.7.1.1.2.3.3.2</t>
  </si>
  <si>
    <t xml:space="preserve">MSP-4929</t>
  </si>
  <si>
    <t xml:space="preserve">1.7.1.1.2.3.4</t>
  </si>
  <si>
    <t xml:space="preserve">MSP-4930</t>
  </si>
  <si>
    <t xml:space="preserve">1.7.1.1.2.3.4.1</t>
  </si>
  <si>
    <t xml:space="preserve">MSP-4931</t>
  </si>
  <si>
    <t xml:space="preserve">1.7.1.1.2.3.5</t>
  </si>
  <si>
    <t xml:space="preserve">ALACENA</t>
  </si>
  <si>
    <t xml:space="preserve">MSP-4932</t>
  </si>
  <si>
    <t xml:space="preserve">1.7.1.1.2.3.5.1</t>
  </si>
  <si>
    <t xml:space="preserve">M-44 ANAQUELES DE METAL Y MELAMINA 1.20x0.40x1.50</t>
  </si>
  <si>
    <t xml:space="preserve">MSP-4933</t>
  </si>
  <si>
    <t xml:space="preserve">1.7.1.1.2.3.5.2</t>
  </si>
  <si>
    <t xml:space="preserve">MSP-4934</t>
  </si>
  <si>
    <t xml:space="preserve">1.7.1.1.2.3.6</t>
  </si>
  <si>
    <t xml:space="preserve">COCINA</t>
  </si>
  <si>
    <t xml:space="preserve">MSP-4935</t>
  </si>
  <si>
    <t xml:space="preserve">1.7.1.1.2.3.6.1</t>
  </si>
  <si>
    <t xml:space="preserve">MSP-4936</t>
  </si>
  <si>
    <t xml:space="preserve">1.7.1.1.2.3.6.2</t>
  </si>
  <si>
    <t xml:space="preserve">MSP-4937</t>
  </si>
  <si>
    <t xml:space="preserve">1.7.1.1.2.3.6.3</t>
  </si>
  <si>
    <t xml:space="preserve">MSP-4938</t>
  </si>
  <si>
    <t xml:space="preserve">1.7.1.1.2.3.6.4</t>
  </si>
  <si>
    <t xml:space="preserve">MSP-4939</t>
  </si>
  <si>
    <t xml:space="preserve">1.7.1.1.2.3.6.5</t>
  </si>
  <si>
    <t xml:space="preserve">MSP-4940</t>
  </si>
  <si>
    <t xml:space="preserve">1.7.1.1.2.3.6.6</t>
  </si>
  <si>
    <t xml:space="preserve">M-54 REPOSTERO BAJO 2.95x0.70</t>
  </si>
  <si>
    <t xml:space="preserve">MSP-4941</t>
  </si>
  <si>
    <t xml:space="preserve">1.7.1.1.2.3.6.7</t>
  </si>
  <si>
    <t xml:space="preserve">M-55 REPOSTERO BAJO 5.70x0.70</t>
  </si>
  <si>
    <t xml:space="preserve">MSP-4942</t>
  </si>
  <si>
    <t xml:space="preserve">1.7.1.1.2.3.6.8</t>
  </si>
  <si>
    <t xml:space="preserve">M-56 REPOSTERO ALTO 2.95x0.60</t>
  </si>
  <si>
    <t xml:space="preserve">MSP-4943</t>
  </si>
  <si>
    <t xml:space="preserve">1.7.1.1.2.3.6.9</t>
  </si>
  <si>
    <t xml:space="preserve">M-57 REPOSTERO ALTO 5.70x0.60</t>
  </si>
  <si>
    <t xml:space="preserve">MSP-4944</t>
  </si>
  <si>
    <t xml:space="preserve">1.7.1.1.2.3.6.10</t>
  </si>
  <si>
    <t xml:space="preserve">MSP-4945</t>
  </si>
  <si>
    <t xml:space="preserve">1.7.1.1.2.3.6.11</t>
  </si>
  <si>
    <t xml:space="preserve">E-37 REFRIGERADORA</t>
  </si>
  <si>
    <t xml:space="preserve">MSP-4946</t>
  </si>
  <si>
    <t xml:space="preserve">1.7.1.1.2.3.6.12</t>
  </si>
  <si>
    <t xml:space="preserve">E-38 COCINA SEMI INDUSTRIAL</t>
  </si>
  <si>
    <t xml:space="preserve">MSP-4947</t>
  </si>
  <si>
    <t xml:space="preserve">1.7.1.1.2.3.6.13</t>
  </si>
  <si>
    <t xml:space="preserve">E-39 LICUADORA</t>
  </si>
  <si>
    <t xml:space="preserve">MSP-4948</t>
  </si>
  <si>
    <t xml:space="preserve">1.7.1.1.2.3.7</t>
  </si>
  <si>
    <t xml:space="preserve">MSP-4949</t>
  </si>
  <si>
    <t xml:space="preserve">1.7.1.1.2.3.7.1</t>
  </si>
  <si>
    <t xml:space="preserve">MSP-4950</t>
  </si>
  <si>
    <t xml:space="preserve">1.7.1.1.2.3.7.2</t>
  </si>
  <si>
    <t xml:space="preserve">MSP-4951</t>
  </si>
  <si>
    <t xml:space="preserve">1.7.1.1.2.3.7.3</t>
  </si>
  <si>
    <t xml:space="preserve">MSP-4952</t>
  </si>
  <si>
    <t xml:space="preserve">1.7.1.1.2.3.8</t>
  </si>
  <si>
    <t xml:space="preserve">DEPOSITO DE MATERIALES</t>
  </si>
  <si>
    <t xml:space="preserve">MSP-4953</t>
  </si>
  <si>
    <t xml:space="preserve">1.7.1.1.2.3.8.1</t>
  </si>
  <si>
    <t xml:space="preserve">MSP-4954</t>
  </si>
  <si>
    <t xml:space="preserve">1.7.1.1.2.3.9</t>
  </si>
  <si>
    <t xml:space="preserve">DEPOSITO INFORMATICA</t>
  </si>
  <si>
    <t xml:space="preserve">MSP-4955</t>
  </si>
  <si>
    <t xml:space="preserve">1.7.1.1.2.3.9.1</t>
  </si>
  <si>
    <t xml:space="preserve">MSP-4956</t>
  </si>
  <si>
    <t xml:space="preserve">1.7.1.1.2.3.9.2</t>
  </si>
  <si>
    <t xml:space="preserve">MSP-4957</t>
  </si>
  <si>
    <t xml:space="preserve">1.7.1.1.2.3.10</t>
  </si>
  <si>
    <t xml:space="preserve">MSP-4958</t>
  </si>
  <si>
    <t xml:space="preserve">1.7.1.1.2.3.10.1</t>
  </si>
  <si>
    <t xml:space="preserve">M-06 MESON DE MELAMINA Y METAL 3.00x0.60x1.00</t>
  </si>
  <si>
    <t xml:space="preserve">MSP-4959</t>
  </si>
  <si>
    <t xml:space="preserve">1.7.1.1.2.3.10.2</t>
  </si>
  <si>
    <t xml:space="preserve">MSP-4960</t>
  </si>
  <si>
    <t xml:space="preserve">1.7.1.1.2.3.10.3</t>
  </si>
  <si>
    <t xml:space="preserve">MSP-4961</t>
  </si>
  <si>
    <t xml:space="preserve">1.7.1.1.2.3.10.4</t>
  </si>
  <si>
    <t xml:space="preserve">MSP-4962</t>
  </si>
  <si>
    <t xml:space="preserve">1.7.1.1.2.3.10.5</t>
  </si>
  <si>
    <t xml:space="preserve">MSP-4963</t>
  </si>
  <si>
    <t xml:space="preserve">1.7.1.1.2.3.10.6</t>
  </si>
  <si>
    <t xml:space="preserve">MSP-4964</t>
  </si>
  <si>
    <t xml:space="preserve">1.7.1.1.2.3.11</t>
  </si>
  <si>
    <t xml:space="preserve">ANTESALA</t>
  </si>
  <si>
    <t xml:space="preserve">MSP-4965</t>
  </si>
  <si>
    <t xml:space="preserve">1.7.1.1.2.3.11.1</t>
  </si>
  <si>
    <t xml:space="preserve">MSP-4966</t>
  </si>
  <si>
    <t xml:space="preserve">1.7.1.1.2.3.11.2</t>
  </si>
  <si>
    <t xml:space="preserve">MSP-4967</t>
  </si>
  <si>
    <t xml:space="preserve">1.7.1.1.2.3.12</t>
  </si>
  <si>
    <t xml:space="preserve">MSP-4968</t>
  </si>
  <si>
    <t xml:space="preserve">1.7.1.1.2.3.12.1</t>
  </si>
  <si>
    <t xml:space="preserve">MSP-4969</t>
  </si>
  <si>
    <t xml:space="preserve">1.7.1.1.2.3.13</t>
  </si>
  <si>
    <t xml:space="preserve">MSP-4970</t>
  </si>
  <si>
    <t xml:space="preserve">1.7.1.1.2.3.13.1</t>
  </si>
  <si>
    <t xml:space="preserve">MSP-4971</t>
  </si>
  <si>
    <t xml:space="preserve">1.7.1.1.3</t>
  </si>
  <si>
    <t xml:space="preserve">MSP-4972</t>
  </si>
  <si>
    <t xml:space="preserve">1.7.1.1.3.1</t>
  </si>
  <si>
    <t xml:space="preserve">MSP-4973</t>
  </si>
  <si>
    <t xml:space="preserve">1.7.1.1.3.1.1</t>
  </si>
  <si>
    <t xml:space="preserve">ALMACEN</t>
  </si>
  <si>
    <t xml:space="preserve">MSP-4974</t>
  </si>
  <si>
    <t xml:space="preserve">1.7.1.1.3.1.1.1</t>
  </si>
  <si>
    <t xml:space="preserve">5615FS;4501SS</t>
  </si>
  <si>
    <t xml:space="preserve">MSP-4975</t>
  </si>
  <si>
    <t xml:space="preserve">1.7.1.1.3.1.2</t>
  </si>
  <si>
    <t xml:space="preserve">MSP-4976</t>
  </si>
  <si>
    <t xml:space="preserve">1.7.1.1.3.1.2.1</t>
  </si>
  <si>
    <t xml:space="preserve">4974SS</t>
  </si>
  <si>
    <t xml:space="preserve">MSP-4977</t>
  </si>
  <si>
    <t xml:space="preserve">1.7.1.1.3.1.2.2</t>
  </si>
  <si>
    <t xml:space="preserve">MSP-4978</t>
  </si>
  <si>
    <t xml:space="preserve">1.7.1.1.3.1.2.3</t>
  </si>
  <si>
    <t xml:space="preserve">MSP-4979</t>
  </si>
  <si>
    <t xml:space="preserve">1.7.1.1.3.1.2.4</t>
  </si>
  <si>
    <t xml:space="preserve">MSP-4980</t>
  </si>
  <si>
    <t xml:space="preserve">1.7.1.1.3.1.2.5</t>
  </si>
  <si>
    <t xml:space="preserve">MSP-4981</t>
  </si>
  <si>
    <t xml:space="preserve">1.7.1.1.3.1.2.6</t>
  </si>
  <si>
    <t xml:space="preserve">MSP-4982</t>
  </si>
  <si>
    <t xml:space="preserve">1.7.1.1.3.1.2.7</t>
  </si>
  <si>
    <t xml:space="preserve">MSP-4983</t>
  </si>
  <si>
    <t xml:space="preserve">1.7.1.1.3.1.2.8</t>
  </si>
  <si>
    <t xml:space="preserve">E-06 IMPRESORA/FOTOCOPIADORA MULTIUNCIONAL LASER A4</t>
  </si>
  <si>
    <t xml:space="preserve">MSP-4984</t>
  </si>
  <si>
    <t xml:space="preserve">1.7.1.1.3.1.2.9</t>
  </si>
  <si>
    <t xml:space="preserve">MSP-4985</t>
  </si>
  <si>
    <t xml:space="preserve">1.7.1.1.3.1.2.10</t>
  </si>
  <si>
    <t xml:space="preserve">MSP-4986</t>
  </si>
  <si>
    <t xml:space="preserve">1.7.1.1.3.1.3</t>
  </si>
  <si>
    <t xml:space="preserve">ESCALERAS 3</t>
  </si>
  <si>
    <t xml:space="preserve">MSP-4987</t>
  </si>
  <si>
    <t xml:space="preserve">1.7.1.1.3.1.3.1</t>
  </si>
  <si>
    <t xml:space="preserve">MSP-4988</t>
  </si>
  <si>
    <t xml:space="preserve">1.7.1.1.3.2</t>
  </si>
  <si>
    <t xml:space="preserve">MSP-4989</t>
  </si>
  <si>
    <t xml:space="preserve">1.7.1.1.3.2.1</t>
  </si>
  <si>
    <t xml:space="preserve">MSP-4990</t>
  </si>
  <si>
    <t xml:space="preserve">1.7.1.1.3.2.1.1</t>
  </si>
  <si>
    <t xml:space="preserve">MSP-4991</t>
  </si>
  <si>
    <t xml:space="preserve">1.7.1.1.3.2.1.2</t>
  </si>
  <si>
    <t xml:space="preserve">MSP-4992</t>
  </si>
  <si>
    <t xml:space="preserve">1.7.1.1.3.3</t>
  </si>
  <si>
    <t xml:space="preserve">MSP-4993</t>
  </si>
  <si>
    <t xml:space="preserve">1.7.1.1.3.3.1</t>
  </si>
  <si>
    <t xml:space="preserve">COMEDOR</t>
  </si>
  <si>
    <t xml:space="preserve">MSP-4994</t>
  </si>
  <si>
    <t xml:space="preserve">1.7.1.1.3.3.1.1</t>
  </si>
  <si>
    <t xml:space="preserve">M-14 BARRA TIPO III COMENSALES (5.90x0.60x1.00)</t>
  </si>
  <si>
    <t xml:space="preserve">MSP-4995</t>
  </si>
  <si>
    <t xml:space="preserve">1.7.1.1.3.3.1.2</t>
  </si>
  <si>
    <t xml:space="preserve">M-19 MESA DE COMEDOR 2.20x0.90x0.80</t>
  </si>
  <si>
    <t xml:space="preserve">MSP-4996</t>
  </si>
  <si>
    <t xml:space="preserve">1.7.1.1.3.3.1.3</t>
  </si>
  <si>
    <t xml:space="preserve">M-30 SILLA METALICA TIPO II</t>
  </si>
  <si>
    <t xml:space="preserve">MSP-4997</t>
  </si>
  <si>
    <t xml:space="preserve">1.7.1.1.3.3.1.4</t>
  </si>
  <si>
    <t xml:space="preserve">MSP-4998</t>
  </si>
  <si>
    <t xml:space="preserve">1.7.1.1.3.3.1.5</t>
  </si>
  <si>
    <t xml:space="preserve">MSP-4999</t>
  </si>
  <si>
    <t xml:space="preserve">1.7.1.1.4</t>
  </si>
  <si>
    <t xml:space="preserve">MSP-5000</t>
  </si>
  <si>
    <t xml:space="preserve">1.7.1.1.4.1</t>
  </si>
  <si>
    <t xml:space="preserve">MSP-5001</t>
  </si>
  <si>
    <t xml:space="preserve">1.7.1.1.4.1.1</t>
  </si>
  <si>
    <t xml:space="preserve">IMPRENTA</t>
  </si>
  <si>
    <t xml:space="preserve">MSP-5002</t>
  </si>
  <si>
    <t xml:space="preserve">1.7.1.1.4.1.1.1</t>
  </si>
  <si>
    <t xml:space="preserve">4974SS;5615FS</t>
  </si>
  <si>
    <t xml:space="preserve">MSP-5003</t>
  </si>
  <si>
    <t xml:space="preserve">1.7.1.1.4.1.1.2</t>
  </si>
  <si>
    <t xml:space="preserve">MSP-5004</t>
  </si>
  <si>
    <t xml:space="preserve">1.7.1.1.4.1.1.3</t>
  </si>
  <si>
    <t xml:space="preserve">MSP-5005</t>
  </si>
  <si>
    <t xml:space="preserve">1.7.1.1.4.1.1.4</t>
  </si>
  <si>
    <t xml:space="preserve">MSP-5006</t>
  </si>
  <si>
    <t xml:space="preserve">1.7.1.1.4.1.1.5</t>
  </si>
  <si>
    <t xml:space="preserve">MSP-5007</t>
  </si>
  <si>
    <t xml:space="preserve">1.7.1.1.4.1.1.6</t>
  </si>
  <si>
    <t xml:space="preserve">E-03 IMPRESORA LASER COLOR A3</t>
  </si>
  <si>
    <t xml:space="preserve">MSP-5008</t>
  </si>
  <si>
    <t xml:space="preserve">1.7.1.1.4.1.1.7</t>
  </si>
  <si>
    <t xml:space="preserve">MSP-5009</t>
  </si>
  <si>
    <t xml:space="preserve">1.7.1.1.4.1.1.8</t>
  </si>
  <si>
    <t xml:space="preserve">MSP-5010</t>
  </si>
  <si>
    <t xml:space="preserve">1.7.1.1.4.1.1.9</t>
  </si>
  <si>
    <t xml:space="preserve">MSP-5011</t>
  </si>
  <si>
    <t xml:space="preserve">1.7.1.1.4.1.1.10</t>
  </si>
  <si>
    <t xml:space="preserve">MSP-5012</t>
  </si>
  <si>
    <t xml:space="preserve">1.7.1.1.4.1.1.11</t>
  </si>
  <si>
    <t xml:space="preserve">I-01 OFFSET DE PLIEGO CUATRO COLORES</t>
  </si>
  <si>
    <t xml:space="preserve">MSP-5013</t>
  </si>
  <si>
    <t xml:space="preserve">1.7.1.1.4.1.1.12</t>
  </si>
  <si>
    <t xml:space="preserve">I-02 GUILLOTINA DIGITAL</t>
  </si>
  <si>
    <t xml:space="preserve">MSP-5014</t>
  </si>
  <si>
    <t xml:space="preserve">1.7.1.1.4.1.1.13</t>
  </si>
  <si>
    <t xml:space="preserve">I-03 PLASTIFICADORA</t>
  </si>
  <si>
    <t xml:space="preserve">MSP-5015</t>
  </si>
  <si>
    <t xml:space="preserve">1.7.1.1.4.1.1.14</t>
  </si>
  <si>
    <t xml:space="preserve">I-04 HENDIDORA MULTIUSOS</t>
  </si>
  <si>
    <t xml:space="preserve">MSP-5016</t>
  </si>
  <si>
    <t xml:space="preserve">1.7.1.1.4.1.1.15</t>
  </si>
  <si>
    <t xml:space="preserve">I-08 COMPAGINADORA</t>
  </si>
  <si>
    <t xml:space="preserve">MSP-5017</t>
  </si>
  <si>
    <t xml:space="preserve">1.7.1.1.4.1.1.16</t>
  </si>
  <si>
    <t xml:space="preserve">I-06 CTCP COMPUTADOR A LA PLANCHA</t>
  </si>
  <si>
    <t xml:space="preserve">MSP-5018</t>
  </si>
  <si>
    <t xml:space="preserve">1.7.1.1.4.1.2</t>
  </si>
  <si>
    <t xml:space="preserve">MSP-5019</t>
  </si>
  <si>
    <t xml:space="preserve">1.7.1.1.4.1.2.1</t>
  </si>
  <si>
    <t xml:space="preserve">MSP-5020</t>
  </si>
  <si>
    <t xml:space="preserve">1.7.1.1.4.1.3</t>
  </si>
  <si>
    <t xml:space="preserve">OFICINA</t>
  </si>
  <si>
    <t xml:space="preserve">MSP-5021</t>
  </si>
  <si>
    <t xml:space="preserve">1.7.1.1.4.1.3.1</t>
  </si>
  <si>
    <t xml:space="preserve">MSP-5022</t>
  </si>
  <si>
    <t xml:space="preserve">1.7.1.1.4.1.3.2</t>
  </si>
  <si>
    <t xml:space="preserve">MSP-5023</t>
  </si>
  <si>
    <t xml:space="preserve">1.7.1.1.4.1.3.3</t>
  </si>
  <si>
    <t xml:space="preserve">MSP-5024</t>
  </si>
  <si>
    <t xml:space="preserve">1.7.1.1.4.1.3.4</t>
  </si>
  <si>
    <t xml:space="preserve">MSP-5025</t>
  </si>
  <si>
    <t xml:space="preserve">1.7.1.1.4.1.3.5</t>
  </si>
  <si>
    <t xml:space="preserve">MSP-5026</t>
  </si>
  <si>
    <t xml:space="preserve">1.7.1.1.4.1.3.6</t>
  </si>
  <si>
    <t xml:space="preserve">MSP-5027</t>
  </si>
  <si>
    <t xml:space="preserve">1.7.1.1.4.1.3.7</t>
  </si>
  <si>
    <t xml:space="preserve">MSP-5028</t>
  </si>
  <si>
    <t xml:space="preserve">1.7.1.1.4.1.3.8</t>
  </si>
  <si>
    <t xml:space="preserve">MSP-5029</t>
  </si>
  <si>
    <t xml:space="preserve">1.7.1.1.4.1.3.9</t>
  </si>
  <si>
    <t xml:space="preserve">MSP-5030</t>
  </si>
  <si>
    <t xml:space="preserve">1.7.1.1.4.1.4</t>
  </si>
  <si>
    <t xml:space="preserve">MSP-5031</t>
  </si>
  <si>
    <t xml:space="preserve">1.7.1.1.4.1.4.1</t>
  </si>
  <si>
    <t xml:space="preserve">MSP-5032</t>
  </si>
  <si>
    <t xml:space="preserve">1.7.1.1.5</t>
  </si>
  <si>
    <t xml:space="preserve">MSP-5033</t>
  </si>
  <si>
    <t xml:space="preserve">1.7.1.1.5.1</t>
  </si>
  <si>
    <t xml:space="preserve">MSP-5034</t>
  </si>
  <si>
    <t xml:space="preserve">1.7.1.1.5.1.1</t>
  </si>
  <si>
    <t xml:space="preserve">ASISTENTA SOCIAL</t>
  </si>
  <si>
    <t xml:space="preserve">MSP-5035</t>
  </si>
  <si>
    <t xml:space="preserve">1.7.1.1.5.1.1.1</t>
  </si>
  <si>
    <t xml:space="preserve">MSP-5036</t>
  </si>
  <si>
    <t xml:space="preserve">1.7.1.1.5.1.1.2</t>
  </si>
  <si>
    <t xml:space="preserve">5035SS</t>
  </si>
  <si>
    <t xml:space="preserve">MSP-5037</t>
  </si>
  <si>
    <t xml:space="preserve">1.7.1.1.5.1.1.3</t>
  </si>
  <si>
    <t xml:space="preserve">MSP-5038</t>
  </si>
  <si>
    <t xml:space="preserve">1.7.1.1.5.1.1.4</t>
  </si>
  <si>
    <t xml:space="preserve">MSP-5039</t>
  </si>
  <si>
    <t xml:space="preserve">1.7.1.1.5.1.1.5</t>
  </si>
  <si>
    <t xml:space="preserve">MSP-5040</t>
  </si>
  <si>
    <t xml:space="preserve">1.7.1.1.5.1.1.6</t>
  </si>
  <si>
    <t xml:space="preserve">MSP-5041</t>
  </si>
  <si>
    <t xml:space="preserve">1.7.1.1.5.1.1.7</t>
  </si>
  <si>
    <t xml:space="preserve">MSP-5042</t>
  </si>
  <si>
    <t xml:space="preserve">1.7.1.1.5.1.1.8</t>
  </si>
  <si>
    <t xml:space="preserve">M-45' MESA AUXILIAR 1.50x0.60</t>
  </si>
  <si>
    <t xml:space="preserve">MSP-5043</t>
  </si>
  <si>
    <t xml:space="preserve">1.7.1.1.5.1.1.9</t>
  </si>
  <si>
    <t xml:space="preserve">MSP-5044</t>
  </si>
  <si>
    <t xml:space="preserve">1.7.1.1.5.1.1.10</t>
  </si>
  <si>
    <t xml:space="preserve">MSP-5045</t>
  </si>
  <si>
    <t xml:space="preserve">1.7.1.1.5.1.1.11</t>
  </si>
  <si>
    <t xml:space="preserve">MSP-5046</t>
  </si>
  <si>
    <t xml:space="preserve">1.7.1.1.5.1.1.12</t>
  </si>
  <si>
    <t xml:space="preserve">E-21 TELEVISOR UHD 4K</t>
  </si>
  <si>
    <t xml:space="preserve">MSP-5047</t>
  </si>
  <si>
    <t xml:space="preserve">1.7.1.1.5.1.2</t>
  </si>
  <si>
    <t xml:space="preserve">RACIONALIZACION</t>
  </si>
  <si>
    <t xml:space="preserve">MSP-5048</t>
  </si>
  <si>
    <t xml:space="preserve">1.7.1.1.5.1.2.1</t>
  </si>
  <si>
    <t xml:space="preserve">MSP-5049</t>
  </si>
  <si>
    <t xml:space="preserve">1.7.1.1.5.1.2.2</t>
  </si>
  <si>
    <t xml:space="preserve">MSP-5050</t>
  </si>
  <si>
    <t xml:space="preserve">1.7.1.1.5.1.2.3</t>
  </si>
  <si>
    <t xml:space="preserve">MSP-5051</t>
  </si>
  <si>
    <t xml:space="preserve">1.7.1.1.5.1.2.4</t>
  </si>
  <si>
    <t xml:space="preserve">MSP-5052</t>
  </si>
  <si>
    <t xml:space="preserve">1.7.1.1.5.1.2.5</t>
  </si>
  <si>
    <t xml:space="preserve">MSP-5053</t>
  </si>
  <si>
    <t xml:space="preserve">1.7.1.1.5.1.2.6</t>
  </si>
  <si>
    <t xml:space="preserve">MSP-5054</t>
  </si>
  <si>
    <t xml:space="preserve">1.7.1.1.5.1.2.7</t>
  </si>
  <si>
    <t xml:space="preserve">MSP-5055</t>
  </si>
  <si>
    <t xml:space="preserve">1.7.1.1.5.1.3</t>
  </si>
  <si>
    <t xml:space="preserve">MSP-5056</t>
  </si>
  <si>
    <t xml:space="preserve">1.7.1.1.5.1.3.1</t>
  </si>
  <si>
    <t xml:space="preserve">MSP-5057</t>
  </si>
  <si>
    <t xml:space="preserve">1.7.1.1.5.1.4</t>
  </si>
  <si>
    <t xml:space="preserve">MSP-5058</t>
  </si>
  <si>
    <t xml:space="preserve">1.7.1.1.5.1.4.1</t>
  </si>
  <si>
    <t xml:space="preserve">MSP-5059</t>
  </si>
  <si>
    <t xml:space="preserve">1.7.1.1.5.1.5</t>
  </si>
  <si>
    <t xml:space="preserve">MSP-5060</t>
  </si>
  <si>
    <t xml:space="preserve">1.7.1.1.5.1.5.1</t>
  </si>
  <si>
    <t xml:space="preserve">MSP-5061</t>
  </si>
  <si>
    <t xml:space="preserve">1.7.1.1.5.1.5.2</t>
  </si>
  <si>
    <t xml:space="preserve">MSP-5062</t>
  </si>
  <si>
    <t xml:space="preserve">1.7.1.1.5.1.5.3</t>
  </si>
  <si>
    <t xml:space="preserve">MSP-5063</t>
  </si>
  <si>
    <t xml:space="preserve">1.7.1.1.5.1.5.4</t>
  </si>
  <si>
    <t xml:space="preserve">MSP-5064</t>
  </si>
  <si>
    <t xml:space="preserve">1.7.1.1.5.1.5.5</t>
  </si>
  <si>
    <t xml:space="preserve">MSP-5065</t>
  </si>
  <si>
    <t xml:space="preserve">1.7.1.1.5.1.5.6</t>
  </si>
  <si>
    <t xml:space="preserve">MSP-5066</t>
  </si>
  <si>
    <t xml:space="preserve">1.7.1.1.5.1.5.7</t>
  </si>
  <si>
    <t xml:space="preserve">MSP-5067</t>
  </si>
  <si>
    <t xml:space="preserve">1.7.1.1.5.1.5.8</t>
  </si>
  <si>
    <t xml:space="preserve">MSP-5068</t>
  </si>
  <si>
    <t xml:space="preserve">1.7.1.1.5.1.5.9</t>
  </si>
  <si>
    <t xml:space="preserve">MSP-5069</t>
  </si>
  <si>
    <t xml:space="preserve">1.7.1.1.5.1.6</t>
  </si>
  <si>
    <t xml:space="preserve">DIRECCION G. INST. INFRAESTRUCTURA</t>
  </si>
  <si>
    <t xml:space="preserve">MSP-5070</t>
  </si>
  <si>
    <t xml:space="preserve">1.7.1.1.5.1.6.1</t>
  </si>
  <si>
    <t xml:space="preserve">MSP-5071</t>
  </si>
  <si>
    <t xml:space="preserve">1.7.1.1.5.1.6.2</t>
  </si>
  <si>
    <t xml:space="preserve">MSP-5072</t>
  </si>
  <si>
    <t xml:space="preserve">1.7.1.1.5.1.6.3</t>
  </si>
  <si>
    <t xml:space="preserve">MSP-5073</t>
  </si>
  <si>
    <t xml:space="preserve">1.7.1.1.5.1.6.4</t>
  </si>
  <si>
    <t xml:space="preserve">MSP-5074</t>
  </si>
  <si>
    <t xml:space="preserve">1.7.1.1.5.1.6.5</t>
  </si>
  <si>
    <t xml:space="preserve">MSP-5075</t>
  </si>
  <si>
    <t xml:space="preserve">1.7.1.1.5.1.6.6</t>
  </si>
  <si>
    <t xml:space="preserve">MSP-5076</t>
  </si>
  <si>
    <t xml:space="preserve">1.7.1.1.5.1.6.7</t>
  </si>
  <si>
    <t xml:space="preserve">MSP-5077</t>
  </si>
  <si>
    <t xml:space="preserve">1.7.1.1.5.1.6.8</t>
  </si>
  <si>
    <t xml:space="preserve">MSP-5078</t>
  </si>
  <si>
    <t xml:space="preserve">1.7.1.1.5.1.6.9</t>
  </si>
  <si>
    <t xml:space="preserve">MSP-5079</t>
  </si>
  <si>
    <t xml:space="preserve">1.7.1.1.5.1.6.10</t>
  </si>
  <si>
    <t xml:space="preserve">MSP-5080</t>
  </si>
  <si>
    <t xml:space="preserve">1.7.1.1.5.1.7</t>
  </si>
  <si>
    <t xml:space="preserve">MSP-5081</t>
  </si>
  <si>
    <t xml:space="preserve">1.7.1.1.5.1.7.1</t>
  </si>
  <si>
    <t xml:space="preserve">MSP-5082</t>
  </si>
  <si>
    <t xml:space="preserve">1.7.1.1.5.1.7.2</t>
  </si>
  <si>
    <t xml:space="preserve">MSP-5083</t>
  </si>
  <si>
    <t xml:space="preserve">1.7.1.1.5.1.7.3</t>
  </si>
  <si>
    <t xml:space="preserve">MSP-5084</t>
  </si>
  <si>
    <t xml:space="preserve">1.7.1.1.5.1.7.4</t>
  </si>
  <si>
    <t xml:space="preserve">MSP-5085</t>
  </si>
  <si>
    <t xml:space="preserve">1.7.1.1.5.1.7.5</t>
  </si>
  <si>
    <t xml:space="preserve">MSP-5086</t>
  </si>
  <si>
    <t xml:space="preserve">1.7.1.1.5.1.7.6</t>
  </si>
  <si>
    <t xml:space="preserve">MSP-5087</t>
  </si>
  <si>
    <t xml:space="preserve">1.7.1.1.5.1.7.7</t>
  </si>
  <si>
    <t xml:space="preserve">MSP-5088</t>
  </si>
  <si>
    <t xml:space="preserve">1.7.1.1.5.1.8</t>
  </si>
  <si>
    <t xml:space="preserve">MSP-5089</t>
  </si>
  <si>
    <t xml:space="preserve">1.7.1.1.5.1.8.1</t>
  </si>
  <si>
    <t xml:space="preserve">MSP-5090</t>
  </si>
  <si>
    <t xml:space="preserve">1.7.1.1.5.1.9</t>
  </si>
  <si>
    <t xml:space="preserve">DEPOSITO DE EQUIPO TECNICO</t>
  </si>
  <si>
    <t xml:space="preserve">MSP-5091</t>
  </si>
  <si>
    <t xml:space="preserve">1.7.1.1.5.1.9.1</t>
  </si>
  <si>
    <t xml:space="preserve">M-09 MESA DE JUNTAS DE MELAMINA 1.00x2.50</t>
  </si>
  <si>
    <t xml:space="preserve">MSP-5092</t>
  </si>
  <si>
    <t xml:space="preserve">1.7.1.1.5.1.9.2</t>
  </si>
  <si>
    <t xml:space="preserve">MSP-5093</t>
  </si>
  <si>
    <t xml:space="preserve">1.7.1.1.5.1.9.3</t>
  </si>
  <si>
    <t xml:space="preserve">T-01 ESTACION TOTAL ELECTRICA INCL. KIT DE ACCESORIOS</t>
  </si>
  <si>
    <t xml:space="preserve">MSP-5094</t>
  </si>
  <si>
    <t xml:space="preserve">1.7.1.1.5.1.9.4</t>
  </si>
  <si>
    <t xml:space="preserve">T-02 RECEPTOR NAVEGADOR</t>
  </si>
  <si>
    <t xml:space="preserve">MSP-5095</t>
  </si>
  <si>
    <t xml:space="preserve">1.7.1.1.5.1.9.5</t>
  </si>
  <si>
    <t xml:space="preserve">T-03 BRUJULA</t>
  </si>
  <si>
    <t xml:space="preserve">MSP-5096</t>
  </si>
  <si>
    <t xml:space="preserve">1.7.1.1.5.1.9.6</t>
  </si>
  <si>
    <t xml:space="preserve">T-04 DISTANCIOMETRO</t>
  </si>
  <si>
    <t xml:space="preserve">MSP-5097</t>
  </si>
  <si>
    <t xml:space="preserve">1.7.1.1.5.1.10</t>
  </si>
  <si>
    <t xml:space="preserve">MSP-5098</t>
  </si>
  <si>
    <t xml:space="preserve">1.7.1.1.5.1.10.1</t>
  </si>
  <si>
    <t xml:space="preserve">MSP-5099</t>
  </si>
  <si>
    <t xml:space="preserve">1.7.1.1.5.1.10.2</t>
  </si>
  <si>
    <t xml:space="preserve">MSP-5100</t>
  </si>
  <si>
    <t xml:space="preserve">1.7.1.1.5.1.10.3</t>
  </si>
  <si>
    <t xml:space="preserve">MSP-5101</t>
  </si>
  <si>
    <t xml:space="preserve">1.7.1.1.5.1.10.4</t>
  </si>
  <si>
    <t xml:space="preserve">MSP-5102</t>
  </si>
  <si>
    <t xml:space="preserve">1.7.1.1.5.1.10.5</t>
  </si>
  <si>
    <t xml:space="preserve">MSP-5103</t>
  </si>
  <si>
    <t xml:space="preserve">1.7.1.1.5.1.10.6</t>
  </si>
  <si>
    <t xml:space="preserve">MSP-5104</t>
  </si>
  <si>
    <t xml:space="preserve">1.7.1.1.5.1.10.7</t>
  </si>
  <si>
    <t xml:space="preserve">MSP-5105</t>
  </si>
  <si>
    <t xml:space="preserve">1.7.1.1.5.1.10.8</t>
  </si>
  <si>
    <t xml:space="preserve">MSP-5106</t>
  </si>
  <si>
    <t xml:space="preserve">1.7.1.1.5.1.10.9</t>
  </si>
  <si>
    <t xml:space="preserve">MSP-5107</t>
  </si>
  <si>
    <t xml:space="preserve">1.7.1.1.5.1.10.10</t>
  </si>
  <si>
    <t xml:space="preserve">MSP-5108</t>
  </si>
  <si>
    <t xml:space="preserve">1.7.1.1.5.1.10.11</t>
  </si>
  <si>
    <t xml:space="preserve">MSP-5109</t>
  </si>
  <si>
    <t xml:space="preserve">1.7.1.1.5.1.11</t>
  </si>
  <si>
    <t xml:space="preserve">MSP-5110</t>
  </si>
  <si>
    <t xml:space="preserve">1.7.1.1.5.1.11.1</t>
  </si>
  <si>
    <t xml:space="preserve">MSP-5111</t>
  </si>
  <si>
    <t xml:space="preserve">1.7.1.1.5.1.11.2</t>
  </si>
  <si>
    <t xml:space="preserve">MSP-5112</t>
  </si>
  <si>
    <t xml:space="preserve">1.7.1.1.5.1.12</t>
  </si>
  <si>
    <t xml:space="preserve">SS.HH. DISCAPACITADOS</t>
  </si>
  <si>
    <t xml:space="preserve">MSP-5113</t>
  </si>
  <si>
    <t xml:space="preserve">1.7.1.1.5.1.12.1</t>
  </si>
  <si>
    <t xml:space="preserve">MSP-5114</t>
  </si>
  <si>
    <t xml:space="preserve">1.7.1.1.5.1.13</t>
  </si>
  <si>
    <t xml:space="preserve">MSP-5115</t>
  </si>
  <si>
    <t xml:space="preserve">1.7.1.1.5.1.13.1</t>
  </si>
  <si>
    <t xml:space="preserve">MSP-5116</t>
  </si>
  <si>
    <t xml:space="preserve">1.7.1.1.5.1.13.2</t>
  </si>
  <si>
    <t xml:space="preserve">MSP-5117</t>
  </si>
  <si>
    <t xml:space="preserve">1.7.1.1.5.1.13.3</t>
  </si>
  <si>
    <t xml:space="preserve">MSP-5118</t>
  </si>
  <si>
    <t xml:space="preserve">1.7.1.1.5.1.13.4</t>
  </si>
  <si>
    <t xml:space="preserve">MSP-5119</t>
  </si>
  <si>
    <t xml:space="preserve">1.7.1.1.5.1.13.5</t>
  </si>
  <si>
    <t xml:space="preserve">MSP-5120</t>
  </si>
  <si>
    <t xml:space="preserve">1.7.1.1.5.1.13.6</t>
  </si>
  <si>
    <t xml:space="preserve">MSP-5121</t>
  </si>
  <si>
    <t xml:space="preserve">1.7.1.1.5.1.13.7</t>
  </si>
  <si>
    <t xml:space="preserve">MSP-5122</t>
  </si>
  <si>
    <t xml:space="preserve">1.7.1.1.5.1.13.8</t>
  </si>
  <si>
    <t xml:space="preserve">MSP-5123</t>
  </si>
  <si>
    <t xml:space="preserve">1.7.1.1.5.1.13.9</t>
  </si>
  <si>
    <t xml:space="preserve">E-43 IMPRESORA PARA PLANOS - PLOTTERS</t>
  </si>
  <si>
    <t xml:space="preserve">MSP-5124</t>
  </si>
  <si>
    <t xml:space="preserve">1.7.1.1.5.1.14</t>
  </si>
  <si>
    <t xml:space="preserve">UNIDAD DE INFRAESTRUCTURA</t>
  </si>
  <si>
    <t xml:space="preserve">MSP-5125</t>
  </si>
  <si>
    <t xml:space="preserve">1.7.1.1.5.1.14.1</t>
  </si>
  <si>
    <t xml:space="preserve">MSP-5126</t>
  </si>
  <si>
    <t xml:space="preserve">1.7.1.1.5.1.14.2</t>
  </si>
  <si>
    <t xml:space="preserve">MSP-5127</t>
  </si>
  <si>
    <t xml:space="preserve">1.7.1.1.5.1.14.3</t>
  </si>
  <si>
    <t xml:space="preserve">MSP-5128</t>
  </si>
  <si>
    <t xml:space="preserve">1.7.1.1.5.1.14.4</t>
  </si>
  <si>
    <t xml:space="preserve">MSP-5129</t>
  </si>
  <si>
    <t xml:space="preserve">1.7.1.1.5.1.14.5</t>
  </si>
  <si>
    <t xml:space="preserve">MSP-5130</t>
  </si>
  <si>
    <t xml:space="preserve">1.7.1.1.5.1.14.6</t>
  </si>
  <si>
    <t xml:space="preserve">MSP-5131</t>
  </si>
  <si>
    <t xml:space="preserve">1.7.1.1.5.1.14.7</t>
  </si>
  <si>
    <t xml:space="preserve">MSP-5132</t>
  </si>
  <si>
    <t xml:space="preserve">1.7.1.1.5.1.14.8</t>
  </si>
  <si>
    <t xml:space="preserve">MSP-5133</t>
  </si>
  <si>
    <t xml:space="preserve">1.7.1.1.5.1.14.9</t>
  </si>
  <si>
    <t xml:space="preserve">MSP-5134</t>
  </si>
  <si>
    <t xml:space="preserve">1.7.1.1.5.1.14.10</t>
  </si>
  <si>
    <t xml:space="preserve">MSP-5135</t>
  </si>
  <si>
    <t xml:space="preserve">1.7.1.1.5.1.14.11</t>
  </si>
  <si>
    <t xml:space="preserve">MSP-5136</t>
  </si>
  <si>
    <t xml:space="preserve">1.7.1.1.5.1.14.12</t>
  </si>
  <si>
    <t xml:space="preserve">MSP-5137</t>
  </si>
  <si>
    <t xml:space="preserve">1.7.1.1.5.1.14.13</t>
  </si>
  <si>
    <t xml:space="preserve">MSP-5138</t>
  </si>
  <si>
    <t xml:space="preserve">1.7.1.1.5.1.14.14</t>
  </si>
  <si>
    <t xml:space="preserve">MSP-5139</t>
  </si>
  <si>
    <t xml:space="preserve">1.7.1.1.5.1.14.15</t>
  </si>
  <si>
    <t xml:space="preserve">E-22 RADIOGRABADORA</t>
  </si>
  <si>
    <t xml:space="preserve">MSP-5140</t>
  </si>
  <si>
    <t xml:space="preserve">1.7.1.1.5.1.14.16</t>
  </si>
  <si>
    <t xml:space="preserve">MSP-5141</t>
  </si>
  <si>
    <t xml:space="preserve">1.7.1.1.5.1.14.17</t>
  </si>
  <si>
    <t xml:space="preserve">T-05 GPS DIFERENCIAL</t>
  </si>
  <si>
    <t xml:space="preserve">MSP-5142</t>
  </si>
  <si>
    <t xml:space="preserve">1.7.1.1.5.2</t>
  </si>
  <si>
    <t xml:space="preserve">MSP-5143</t>
  </si>
  <si>
    <t xml:space="preserve">1.7.1.1.5.2.1</t>
  </si>
  <si>
    <t xml:space="preserve">EDUCACION PRIMARIA</t>
  </si>
  <si>
    <t xml:space="preserve">MSP-5144</t>
  </si>
  <si>
    <t xml:space="preserve">1.7.1.1.5.2.1.1</t>
  </si>
  <si>
    <t xml:space="preserve">MSP-5145</t>
  </si>
  <si>
    <t xml:space="preserve">1.7.1.1.5.2.1.2</t>
  </si>
  <si>
    <t xml:space="preserve">MSP-5146</t>
  </si>
  <si>
    <t xml:space="preserve">1.7.1.1.5.2.1.3</t>
  </si>
  <si>
    <t xml:space="preserve">MSP-5147</t>
  </si>
  <si>
    <t xml:space="preserve">1.7.1.1.5.2.1.4</t>
  </si>
  <si>
    <t xml:space="preserve">MSP-5148</t>
  </si>
  <si>
    <t xml:space="preserve">1.7.1.1.5.2.1.5</t>
  </si>
  <si>
    <t xml:space="preserve">MSP-5149</t>
  </si>
  <si>
    <t xml:space="preserve">1.7.1.1.5.2.1.6</t>
  </si>
  <si>
    <t xml:space="preserve">MSP-5150</t>
  </si>
  <si>
    <t xml:space="preserve">1.7.1.1.5.2.1.7</t>
  </si>
  <si>
    <t xml:space="preserve">MSP-5151</t>
  </si>
  <si>
    <t xml:space="preserve">1.7.1.1.5.2.1.8</t>
  </si>
  <si>
    <t xml:space="preserve">MSP-5152</t>
  </si>
  <si>
    <t xml:space="preserve">1.7.1.1.5.2.1.9</t>
  </si>
  <si>
    <t xml:space="preserve">MSP-5153</t>
  </si>
  <si>
    <t xml:space="preserve">1.7.1.1.5.2.1.10</t>
  </si>
  <si>
    <t xml:space="preserve">MSP-5154</t>
  </si>
  <si>
    <t xml:space="preserve">1.7.1.1.5.2.2</t>
  </si>
  <si>
    <t xml:space="preserve">EDUCACION INICIAL EDU</t>
  </si>
  <si>
    <t xml:space="preserve">MSP-5155</t>
  </si>
  <si>
    <t xml:space="preserve">1.7.1.1.5.2.2.1</t>
  </si>
  <si>
    <t xml:space="preserve">MSP-5156</t>
  </si>
  <si>
    <t xml:space="preserve">1.7.1.1.5.2.2.2</t>
  </si>
  <si>
    <t xml:space="preserve">MSP-5157</t>
  </si>
  <si>
    <t xml:space="preserve">1.7.1.1.5.2.2.3</t>
  </si>
  <si>
    <t xml:space="preserve">MSP-5158</t>
  </si>
  <si>
    <t xml:space="preserve">1.7.1.1.5.2.2.4</t>
  </si>
  <si>
    <t xml:space="preserve">MSP-5159</t>
  </si>
  <si>
    <t xml:space="preserve">1.7.1.1.5.2.2.5</t>
  </si>
  <si>
    <t xml:space="preserve">MSP-5160</t>
  </si>
  <si>
    <t xml:space="preserve">1.7.1.1.5.2.2.6</t>
  </si>
  <si>
    <t xml:space="preserve">MSP-5161</t>
  </si>
  <si>
    <t xml:space="preserve">1.7.1.1.5.2.2.7</t>
  </si>
  <si>
    <t xml:space="preserve">MSP-5162</t>
  </si>
  <si>
    <t xml:space="preserve">1.7.1.1.5.2.2.8</t>
  </si>
  <si>
    <t xml:space="preserve">MSP-5163</t>
  </si>
  <si>
    <t xml:space="preserve">1.7.1.1.5.2.2.9</t>
  </si>
  <si>
    <t xml:space="preserve">MSP-5164</t>
  </si>
  <si>
    <t xml:space="preserve">1.7.1.1.5.2.2.10</t>
  </si>
  <si>
    <t xml:space="preserve">MSP-5165</t>
  </si>
  <si>
    <t xml:space="preserve">1.7.1.1.5.2.3</t>
  </si>
  <si>
    <t xml:space="preserve">EDUCACION INICIAL EDU ESPECIAL</t>
  </si>
  <si>
    <t xml:space="preserve">MSP-5166</t>
  </si>
  <si>
    <t xml:space="preserve">1.7.1.1.5.2.3.1</t>
  </si>
  <si>
    <t xml:space="preserve">MSP-5167</t>
  </si>
  <si>
    <t xml:space="preserve">1.7.1.1.5.2.3.2</t>
  </si>
  <si>
    <t xml:space="preserve">MSP-5168</t>
  </si>
  <si>
    <t xml:space="preserve">1.7.1.1.5.2.3.3</t>
  </si>
  <si>
    <t xml:space="preserve">MSP-5169</t>
  </si>
  <si>
    <t xml:space="preserve">1.7.1.1.5.2.3.4</t>
  </si>
  <si>
    <t xml:space="preserve">MSP-5170</t>
  </si>
  <si>
    <t xml:space="preserve">1.7.1.1.5.2.3.5</t>
  </si>
  <si>
    <t xml:space="preserve">MSP-5171</t>
  </si>
  <si>
    <t xml:space="preserve">1.7.1.1.5.2.3.6</t>
  </si>
  <si>
    <t xml:space="preserve">MSP-5172</t>
  </si>
  <si>
    <t xml:space="preserve">1.7.1.1.5.2.3.7</t>
  </si>
  <si>
    <t xml:space="preserve">MSP-5173</t>
  </si>
  <si>
    <t xml:space="preserve">1.7.1.1.5.2.3.8</t>
  </si>
  <si>
    <t xml:space="preserve">MSP-5174</t>
  </si>
  <si>
    <t xml:space="preserve">1.7.1.1.5.2.3.9</t>
  </si>
  <si>
    <t xml:space="preserve">MSP-5175</t>
  </si>
  <si>
    <t xml:space="preserve">1.7.1.1.5.2.4</t>
  </si>
  <si>
    <t xml:space="preserve">EDUCACION TECNICO DEPORTIVA</t>
  </si>
  <si>
    <t xml:space="preserve">MSP-5176</t>
  </si>
  <si>
    <t xml:space="preserve">1.7.1.1.5.2.4.1</t>
  </si>
  <si>
    <t xml:space="preserve">MSP-5177</t>
  </si>
  <si>
    <t xml:space="preserve">1.7.1.1.5.2.4.2</t>
  </si>
  <si>
    <t xml:space="preserve">MSP-5178</t>
  </si>
  <si>
    <t xml:space="preserve">1.7.1.1.5.2.4.3</t>
  </si>
  <si>
    <t xml:space="preserve">MSP-5179</t>
  </si>
  <si>
    <t xml:space="preserve">1.7.1.1.5.2.4.4</t>
  </si>
  <si>
    <t xml:space="preserve">MSP-5180</t>
  </si>
  <si>
    <t xml:space="preserve">1.7.1.1.5.2.4.5</t>
  </si>
  <si>
    <t xml:space="preserve">MSP-5181</t>
  </si>
  <si>
    <t xml:space="preserve">1.7.1.1.5.2.4.6</t>
  </si>
  <si>
    <t xml:space="preserve">MSP-5182</t>
  </si>
  <si>
    <t xml:space="preserve">1.7.1.1.5.2.4.7</t>
  </si>
  <si>
    <t xml:space="preserve">MSP-5183</t>
  </si>
  <si>
    <t xml:space="preserve">1.7.1.1.5.2.4.8</t>
  </si>
  <si>
    <t xml:space="preserve">MSP-5184</t>
  </si>
  <si>
    <t xml:space="preserve">1.7.1.1.5.2.4.9</t>
  </si>
  <si>
    <t xml:space="preserve">MSP-5185</t>
  </si>
  <si>
    <t xml:space="preserve">1.7.1.1.5.2.5</t>
  </si>
  <si>
    <t xml:space="preserve">EDUCACION SECUNDARIA</t>
  </si>
  <si>
    <t xml:space="preserve">MSP-5186</t>
  </si>
  <si>
    <t xml:space="preserve">1.7.1.1.5.2.5.1</t>
  </si>
  <si>
    <t xml:space="preserve">MSP-5187</t>
  </si>
  <si>
    <t xml:space="preserve">1.7.1.1.5.2.5.2</t>
  </si>
  <si>
    <t xml:space="preserve">MSP-5188</t>
  </si>
  <si>
    <t xml:space="preserve">1.7.1.1.5.2.5.3</t>
  </si>
  <si>
    <t xml:space="preserve">MSP-5189</t>
  </si>
  <si>
    <t xml:space="preserve">1.7.1.1.5.2.5.4</t>
  </si>
  <si>
    <t xml:space="preserve">MSP-5190</t>
  </si>
  <si>
    <t xml:space="preserve">1.7.1.1.5.2.5.5</t>
  </si>
  <si>
    <t xml:space="preserve">MSP-5191</t>
  </si>
  <si>
    <t xml:space="preserve">1.7.1.1.5.2.5.6</t>
  </si>
  <si>
    <t xml:space="preserve">MSP-5192</t>
  </si>
  <si>
    <t xml:space="preserve">1.7.1.1.5.2.5.7</t>
  </si>
  <si>
    <t xml:space="preserve">MSP-5193</t>
  </si>
  <si>
    <t xml:space="preserve">1.7.1.1.5.2.5.8</t>
  </si>
  <si>
    <t xml:space="preserve">MSP-5194</t>
  </si>
  <si>
    <t xml:space="preserve">1.7.1.1.5.2.5.9</t>
  </si>
  <si>
    <t xml:space="preserve">MSP-5195</t>
  </si>
  <si>
    <t xml:space="preserve">1.7.1.1.5.2.6</t>
  </si>
  <si>
    <t xml:space="preserve">EDUCACION SUPERIOR</t>
  </si>
  <si>
    <t xml:space="preserve">MSP-5196</t>
  </si>
  <si>
    <t xml:space="preserve">1.7.1.1.5.2.6.1</t>
  </si>
  <si>
    <t xml:space="preserve">MSP-5197</t>
  </si>
  <si>
    <t xml:space="preserve">1.7.1.1.5.2.6.2</t>
  </si>
  <si>
    <t xml:space="preserve">MSP-5198</t>
  </si>
  <si>
    <t xml:space="preserve">1.7.1.1.5.2.6.3</t>
  </si>
  <si>
    <t xml:space="preserve">MSP-5199</t>
  </si>
  <si>
    <t xml:space="preserve">1.7.1.1.5.2.6.4</t>
  </si>
  <si>
    <t xml:space="preserve">MSP-5200</t>
  </si>
  <si>
    <t xml:space="preserve">1.7.1.1.5.2.6.5</t>
  </si>
  <si>
    <t xml:space="preserve">MSP-5201</t>
  </si>
  <si>
    <t xml:space="preserve">1.7.1.1.5.2.6.6</t>
  </si>
  <si>
    <t xml:space="preserve">MSP-5202</t>
  </si>
  <si>
    <t xml:space="preserve">1.7.1.1.5.2.6.7</t>
  </si>
  <si>
    <t xml:space="preserve">MSP-5203</t>
  </si>
  <si>
    <t xml:space="preserve">1.7.1.1.5.2.6.8</t>
  </si>
  <si>
    <t xml:space="preserve">MSP-5204</t>
  </si>
  <si>
    <t xml:space="preserve">1.7.1.1.5.2.6.9</t>
  </si>
  <si>
    <t xml:space="preserve">MSP-5205</t>
  </si>
  <si>
    <t xml:space="preserve">1.7.1.1.5.2.7</t>
  </si>
  <si>
    <t xml:space="preserve">EDUCACION TEC. PRODUCTIVO</t>
  </si>
  <si>
    <t xml:space="preserve">MSP-5206</t>
  </si>
  <si>
    <t xml:space="preserve">1.7.1.1.5.2.7.1</t>
  </si>
  <si>
    <t xml:space="preserve">MSP-5207</t>
  </si>
  <si>
    <t xml:space="preserve">1.7.1.1.5.2.7.2</t>
  </si>
  <si>
    <t xml:space="preserve">MSP-5208</t>
  </si>
  <si>
    <t xml:space="preserve">1.7.1.1.5.2.7.3</t>
  </si>
  <si>
    <t xml:space="preserve">MSP-5209</t>
  </si>
  <si>
    <t xml:space="preserve">1.7.1.1.5.2.7.4</t>
  </si>
  <si>
    <t xml:space="preserve">MSP-5210</t>
  </si>
  <si>
    <t xml:space="preserve">1.7.1.1.5.2.7.5</t>
  </si>
  <si>
    <t xml:space="preserve">MSP-5211</t>
  </si>
  <si>
    <t xml:space="preserve">1.7.1.1.5.2.7.6</t>
  </si>
  <si>
    <t xml:space="preserve">MSP-5212</t>
  </si>
  <si>
    <t xml:space="preserve">1.7.1.1.5.2.7.7</t>
  </si>
  <si>
    <t xml:space="preserve">MSP-5213</t>
  </si>
  <si>
    <t xml:space="preserve">1.7.1.1.5.2.7.8</t>
  </si>
  <si>
    <t xml:space="preserve">MSP-5214</t>
  </si>
  <si>
    <t xml:space="preserve">1.7.1.1.5.2.7.9</t>
  </si>
  <si>
    <t xml:space="preserve">MSP-5215</t>
  </si>
  <si>
    <t xml:space="preserve">1.7.1.1.5.2.7.10</t>
  </si>
  <si>
    <t xml:space="preserve">MSP-5216</t>
  </si>
  <si>
    <t xml:space="preserve">1.7.1.1.6</t>
  </si>
  <si>
    <t xml:space="preserve">MSP-5217</t>
  </si>
  <si>
    <t xml:space="preserve">1.7.1.1.6.1</t>
  </si>
  <si>
    <t xml:space="preserve">MSP-5218</t>
  </si>
  <si>
    <t xml:space="preserve">1.7.1.1.6.1.1</t>
  </si>
  <si>
    <t xml:space="preserve">ESCENARIO</t>
  </si>
  <si>
    <t xml:space="preserve">MSP-5219</t>
  </si>
  <si>
    <t xml:space="preserve">1.7.1.1.6.1.1.1</t>
  </si>
  <si>
    <t xml:space="preserve">M-60 ATRIL</t>
  </si>
  <si>
    <t xml:space="preserve">MSP-5220</t>
  </si>
  <si>
    <t xml:space="preserve">1.7.1.1.6.1.1.2</t>
  </si>
  <si>
    <t xml:space="preserve">5219SS</t>
  </si>
  <si>
    <t xml:space="preserve">MSP-5221</t>
  </si>
  <si>
    <t xml:space="preserve">1.7.1.1.6.1.1.3</t>
  </si>
  <si>
    <t xml:space="preserve">MSP-5222</t>
  </si>
  <si>
    <t xml:space="preserve">1.7.1.1.6.1.2</t>
  </si>
  <si>
    <t xml:space="preserve">SUM</t>
  </si>
  <si>
    <t xml:space="preserve">MSP-5223</t>
  </si>
  <si>
    <t xml:space="preserve">1.7.1.1.6.1.2.1</t>
  </si>
  <si>
    <t xml:space="preserve">MSP-5224</t>
  </si>
  <si>
    <t xml:space="preserve">1.7.1.1.6.1.2.2</t>
  </si>
  <si>
    <t xml:space="preserve">MSP-5225</t>
  </si>
  <si>
    <t xml:space="preserve">1.7.1.1.6.1.2.3</t>
  </si>
  <si>
    <t xml:space="preserve">MSP-5226</t>
  </si>
  <si>
    <t xml:space="preserve">1.7.1.1.6.1.2.4</t>
  </si>
  <si>
    <t xml:space="preserve">E-42 RACK ELECTRICO PARA PROYECTOR</t>
  </si>
  <si>
    <t xml:space="preserve">MSP-5227</t>
  </si>
  <si>
    <t xml:space="preserve">1.7.1.1.6.1.3</t>
  </si>
  <si>
    <t xml:space="preserve">CUARTO DE AUDIO Y VIDEO</t>
  </si>
  <si>
    <t xml:space="preserve">MSP-5228</t>
  </si>
  <si>
    <t xml:space="preserve">1.7.1.1.6.1.3.1</t>
  </si>
  <si>
    <t xml:space="preserve">MSP-5229</t>
  </si>
  <si>
    <t xml:space="preserve">1.7.1.1.6.1.4</t>
  </si>
  <si>
    <t xml:space="preserve">MSP-5230</t>
  </si>
  <si>
    <t xml:space="preserve">1.7.1.1.6.1.4.1</t>
  </si>
  <si>
    <t xml:space="preserve">MSP-5231</t>
  </si>
  <si>
    <t xml:space="preserve">1.7.1.1.6.1.5</t>
  </si>
  <si>
    <t xml:space="preserve">FOYER</t>
  </si>
  <si>
    <t xml:space="preserve">MSP-5232</t>
  </si>
  <si>
    <t xml:space="preserve">1.7.1.1.6.1.5.1</t>
  </si>
  <si>
    <t xml:space="preserve">M-13 BARRA TIPO II (3.85x0.45x1.00)</t>
  </si>
  <si>
    <t xml:space="preserve">MSP-5233</t>
  </si>
  <si>
    <t xml:space="preserve">1.7.1.1.6.1.5.2</t>
  </si>
  <si>
    <t xml:space="preserve">MSP-5234</t>
  </si>
  <si>
    <t xml:space="preserve">1.7.1.1.6.2</t>
  </si>
  <si>
    <t xml:space="preserve">MSP-5235</t>
  </si>
  <si>
    <t xml:space="preserve">1.7.1.1.6.2.1</t>
  </si>
  <si>
    <t xml:space="preserve">PRECOD</t>
  </si>
  <si>
    <t xml:space="preserve">MSP-5236</t>
  </si>
  <si>
    <t xml:space="preserve">1.7.1.1.6.2.1.1</t>
  </si>
  <si>
    <t xml:space="preserve">MSP-5237</t>
  </si>
  <si>
    <t xml:space="preserve">1.7.1.1.6.2.1.2</t>
  </si>
  <si>
    <t xml:space="preserve">MSP-5238</t>
  </si>
  <si>
    <t xml:space="preserve">1.7.1.1.6.2.1.3</t>
  </si>
  <si>
    <t xml:space="preserve">MSP-5239</t>
  </si>
  <si>
    <t xml:space="preserve">1.7.1.1.6.2.1.4</t>
  </si>
  <si>
    <t xml:space="preserve">MSP-5240</t>
  </si>
  <si>
    <t xml:space="preserve">1.7.1.1.6.2.1.5</t>
  </si>
  <si>
    <t xml:space="preserve">MSP-5241</t>
  </si>
  <si>
    <t xml:space="preserve">1.7.1.1.6.2.1.6</t>
  </si>
  <si>
    <t xml:space="preserve">MSP-5242</t>
  </si>
  <si>
    <t xml:space="preserve">1.7.1.1.6.2.1.7</t>
  </si>
  <si>
    <t xml:space="preserve">MSP-5243</t>
  </si>
  <si>
    <t xml:space="preserve">1.7.1.1.6.2.2</t>
  </si>
  <si>
    <t xml:space="preserve">PROYECTOS EVENTUALES P.E.L.A.</t>
  </si>
  <si>
    <t xml:space="preserve">MSP-5244</t>
  </si>
  <si>
    <t xml:space="preserve">1.7.1.1.6.2.2.1</t>
  </si>
  <si>
    <t xml:space="preserve">MSP-5245</t>
  </si>
  <si>
    <t xml:space="preserve">1.7.1.1.6.2.2.2</t>
  </si>
  <si>
    <t xml:space="preserve">MSP-5246</t>
  </si>
  <si>
    <t xml:space="preserve">1.7.1.1.6.2.2.3</t>
  </si>
  <si>
    <t xml:space="preserve">MSP-5247</t>
  </si>
  <si>
    <t xml:space="preserve">1.7.1.1.6.2.2.4</t>
  </si>
  <si>
    <t xml:space="preserve">MSP-5248</t>
  </si>
  <si>
    <t xml:space="preserve">1.7.1.1.6.2.2.5</t>
  </si>
  <si>
    <t xml:space="preserve">MSP-5249</t>
  </si>
  <si>
    <t xml:space="preserve">1.7.1.1.6.2.2.6</t>
  </si>
  <si>
    <t xml:space="preserve">MSP-5250</t>
  </si>
  <si>
    <t xml:space="preserve">1.7.1.1.6.2.2.7</t>
  </si>
  <si>
    <t xml:space="preserve">MSP-5251</t>
  </si>
  <si>
    <t xml:space="preserve">1.7.1.1.6.2.3</t>
  </si>
  <si>
    <t xml:space="preserve">EDUC. INTERC. BILINGUE Y ED. BASICA ANTER-P.E.L.A.</t>
  </si>
  <si>
    <t xml:space="preserve">MSP-5252</t>
  </si>
  <si>
    <t xml:space="preserve">1.7.1.1.6.2.3.1</t>
  </si>
  <si>
    <t xml:space="preserve">MSP-5253</t>
  </si>
  <si>
    <t xml:space="preserve">1.7.1.1.6.2.3.2</t>
  </si>
  <si>
    <t xml:space="preserve">MSP-5254</t>
  </si>
  <si>
    <t xml:space="preserve">1.7.1.1.6.2.3.3</t>
  </si>
  <si>
    <t xml:space="preserve">MSP-5255</t>
  </si>
  <si>
    <t xml:space="preserve">1.7.1.1.6.2.3.4</t>
  </si>
  <si>
    <t xml:space="preserve">MSP-5256</t>
  </si>
  <si>
    <t xml:space="preserve">1.7.1.1.6.2.3.5</t>
  </si>
  <si>
    <t xml:space="preserve">MSP-5257</t>
  </si>
  <si>
    <t xml:space="preserve">1.7.1.1.6.2.3.6</t>
  </si>
  <si>
    <t xml:space="preserve">MSP-5258</t>
  </si>
  <si>
    <t xml:space="preserve">1.7.1.1.6.2.3.7</t>
  </si>
  <si>
    <t xml:space="preserve">MSP-5259</t>
  </si>
  <si>
    <t xml:space="preserve">1.7.1.1.6.2.3.8</t>
  </si>
  <si>
    <t xml:space="preserve">MSP-5260</t>
  </si>
  <si>
    <t xml:space="preserve">1.7.1.1.6.2.4</t>
  </si>
  <si>
    <t xml:space="preserve">MSP-5261</t>
  </si>
  <si>
    <t xml:space="preserve">1.7.1.1.6.2.4.1</t>
  </si>
  <si>
    <t xml:space="preserve">MSP-5262</t>
  </si>
  <si>
    <t xml:space="preserve">1.7.1.1.6.2.4.2</t>
  </si>
  <si>
    <t xml:space="preserve">MSP-5263</t>
  </si>
  <si>
    <t xml:space="preserve">1.7.1.1.6.2.5</t>
  </si>
  <si>
    <t xml:space="preserve">MSP-5264</t>
  </si>
  <si>
    <t xml:space="preserve">1.7.1.1.6.2.5.1</t>
  </si>
  <si>
    <t xml:space="preserve">MSP-5265</t>
  </si>
  <si>
    <t xml:space="preserve">1.7.1.1.6.2.6</t>
  </si>
  <si>
    <t xml:space="preserve">P.E.L.A.</t>
  </si>
  <si>
    <t xml:space="preserve">MSP-5266</t>
  </si>
  <si>
    <t xml:space="preserve">1.7.1.1.6.2.6.1</t>
  </si>
  <si>
    <t xml:space="preserve">MSP-5267</t>
  </si>
  <si>
    <t xml:space="preserve">1.7.1.1.6.2.6.2</t>
  </si>
  <si>
    <t xml:space="preserve">MSP-5268</t>
  </si>
  <si>
    <t xml:space="preserve">1.7.1.1.6.2.6.3</t>
  </si>
  <si>
    <t xml:space="preserve">MSP-5269</t>
  </si>
  <si>
    <t xml:space="preserve">1.7.1.1.6.2.6.4</t>
  </si>
  <si>
    <t xml:space="preserve">MSP-5270</t>
  </si>
  <si>
    <t xml:space="preserve">1.7.1.1.6.2.6.5</t>
  </si>
  <si>
    <t xml:space="preserve">MSP-5271</t>
  </si>
  <si>
    <t xml:space="preserve">1.7.1.1.6.2.6.6</t>
  </si>
  <si>
    <t xml:space="preserve">MSP-5272</t>
  </si>
  <si>
    <t xml:space="preserve">1.7.1.1.6.2.6.7</t>
  </si>
  <si>
    <t xml:space="preserve">MSP-5273</t>
  </si>
  <si>
    <t xml:space="preserve">1.7.1.1.6.2.7</t>
  </si>
  <si>
    <t xml:space="preserve">SALA DE REUNIONES PRONOESIS</t>
  </si>
  <si>
    <t xml:space="preserve">MSP-5274</t>
  </si>
  <si>
    <t xml:space="preserve">1.7.1.1.6.2.7.1</t>
  </si>
  <si>
    <t xml:space="preserve">MSP-5275</t>
  </si>
  <si>
    <t xml:space="preserve">1.7.1.1.6.2.7.2</t>
  </si>
  <si>
    <t xml:space="preserve">MSP-5276</t>
  </si>
  <si>
    <t xml:space="preserve">1.7.1.1.6.2.7.3</t>
  </si>
  <si>
    <t xml:space="preserve">MSP-5277</t>
  </si>
  <si>
    <t xml:space="preserve">1.7.1.1.6.2.7.4</t>
  </si>
  <si>
    <t xml:space="preserve">MSP-5278</t>
  </si>
  <si>
    <t xml:space="preserve">1.7.1.1.6.2.7.5</t>
  </si>
  <si>
    <t xml:space="preserve">MSP-5279</t>
  </si>
  <si>
    <t xml:space="preserve">1.7.1.1.6.2.7.6</t>
  </si>
  <si>
    <t xml:space="preserve">MSP-5280</t>
  </si>
  <si>
    <t xml:space="preserve">1.7.1.1.6.2.7.7</t>
  </si>
  <si>
    <t xml:space="preserve">MSP-5281</t>
  </si>
  <si>
    <t xml:space="preserve">1.7.1.1.6.2.8</t>
  </si>
  <si>
    <t xml:space="preserve">DEPOSITO (Sala de Reuniones PRONOESIS)</t>
  </si>
  <si>
    <t xml:space="preserve">MSP-5282</t>
  </si>
  <si>
    <t xml:space="preserve">1.7.1.1.6.2.8.1</t>
  </si>
  <si>
    <t xml:space="preserve">MSP-5283</t>
  </si>
  <si>
    <t xml:space="preserve">1.7.1.1.7</t>
  </si>
  <si>
    <t xml:space="preserve">MSP-5284</t>
  </si>
  <si>
    <t xml:space="preserve">1.7.1.1.7.1</t>
  </si>
  <si>
    <t xml:space="preserve">MSP-5285</t>
  </si>
  <si>
    <t xml:space="preserve">1.7.1.1.7.1.1</t>
  </si>
  <si>
    <t xml:space="preserve">SS.HH. DAMAS</t>
  </si>
  <si>
    <t xml:space="preserve">MSP-5286</t>
  </si>
  <si>
    <t xml:space="preserve">1.7.1.1.7.1.1.1</t>
  </si>
  <si>
    <t xml:space="preserve">MSP-5287</t>
  </si>
  <si>
    <t xml:space="preserve">1.7.1.1.7.1.2</t>
  </si>
  <si>
    <t xml:space="preserve">SS.HH. VARONES</t>
  </si>
  <si>
    <t xml:space="preserve">MSP-5288</t>
  </si>
  <si>
    <t xml:space="preserve">1.7.1.1.7.1.2.1</t>
  </si>
  <si>
    <t xml:space="preserve">5286SS</t>
  </si>
  <si>
    <t xml:space="preserve">MSP-5289</t>
  </si>
  <si>
    <t xml:space="preserve">1.7.1.1.7.1.3</t>
  </si>
  <si>
    <t xml:space="preserve">MSP-5290</t>
  </si>
  <si>
    <t xml:space="preserve">1.7.1.1.7.1.3.1</t>
  </si>
  <si>
    <t xml:space="preserve">MSP-5291</t>
  </si>
  <si>
    <t xml:space="preserve">1.7.1.1.7.1.4</t>
  </si>
  <si>
    <t xml:space="preserve">COCINETA</t>
  </si>
  <si>
    <t xml:space="preserve">MSP-5292</t>
  </si>
  <si>
    <t xml:space="preserve">1.7.1.1.7.1.4.1</t>
  </si>
  <si>
    <t xml:space="preserve">MSP-5293</t>
  </si>
  <si>
    <t xml:space="preserve">1.7.1.1.7.1.4.2</t>
  </si>
  <si>
    <t xml:space="preserve">MSP-5294</t>
  </si>
  <si>
    <t xml:space="preserve">1.7.1.1.7.1.4.3</t>
  </si>
  <si>
    <t xml:space="preserve">MSP-5295</t>
  </si>
  <si>
    <t xml:space="preserve">1.7.1.1.7.1.4.4</t>
  </si>
  <si>
    <t xml:space="preserve">MSP-5296</t>
  </si>
  <si>
    <t xml:space="preserve">1.7.1.1.8</t>
  </si>
  <si>
    <t xml:space="preserve">MSP-5297</t>
  </si>
  <si>
    <t xml:space="preserve">1.7.1.1.8.1</t>
  </si>
  <si>
    <t xml:space="preserve">MSP-5298</t>
  </si>
  <si>
    <t xml:space="preserve">1.7.1.1.8.1.1</t>
  </si>
  <si>
    <t xml:space="preserve">ARCHIVO INSTITUCIONAL</t>
  </si>
  <si>
    <t xml:space="preserve">MSP-5299</t>
  </si>
  <si>
    <t xml:space="preserve">1.7.1.1.8.1.1.1</t>
  </si>
  <si>
    <t xml:space="preserve">MSP-5300</t>
  </si>
  <si>
    <t xml:space="preserve">1.7.1.1.8.1.1.2</t>
  </si>
  <si>
    <t xml:space="preserve">5299SS</t>
  </si>
  <si>
    <t xml:space="preserve">MSP-5301</t>
  </si>
  <si>
    <t xml:space="preserve">1.7.1.1.8.1.1.3</t>
  </si>
  <si>
    <t xml:space="preserve">MSP-5302</t>
  </si>
  <si>
    <t xml:space="preserve">1.7.1.1.8.1.1.4</t>
  </si>
  <si>
    <t xml:space="preserve">MSP-5303</t>
  </si>
  <si>
    <t xml:space="preserve">1.7.1.1.8.1.1.5</t>
  </si>
  <si>
    <t xml:space="preserve">MSP-5304</t>
  </si>
  <si>
    <t xml:space="preserve">1.7.1.1.8.1.1.6</t>
  </si>
  <si>
    <t xml:space="preserve">M-48 SISTEMA DE ALMACENAJE MOVIL 7.50x2.02m</t>
  </si>
  <si>
    <t xml:space="preserve">MSP-5305</t>
  </si>
  <si>
    <t xml:space="preserve">1.7.1.1.8.1.1.7</t>
  </si>
  <si>
    <t xml:space="preserve">M-49 SISTEMA DE ALMACENAJE MOVIL 5.55x2.48m</t>
  </si>
  <si>
    <t xml:space="preserve">MSP-5306</t>
  </si>
  <si>
    <t xml:space="preserve">1.7.1.1.8.1.1.8</t>
  </si>
  <si>
    <t xml:space="preserve">MSP-5307</t>
  </si>
  <si>
    <t xml:space="preserve">1.7.1.1.8.1.1.9</t>
  </si>
  <si>
    <t xml:space="preserve">MSP-5308</t>
  </si>
  <si>
    <t xml:space="preserve">1.7.1.1.8.1.1.10</t>
  </si>
  <si>
    <t xml:space="preserve">MSP-5309</t>
  </si>
  <si>
    <t xml:space="preserve">1.7.1.1.8.2</t>
  </si>
  <si>
    <t xml:space="preserve">MSP-5310</t>
  </si>
  <si>
    <t xml:space="preserve">1.7.1.1.8.2.1</t>
  </si>
  <si>
    <t xml:space="preserve">ALMACEN PATRIMONIO</t>
  </si>
  <si>
    <t xml:space="preserve">MSP-5311</t>
  </si>
  <si>
    <t xml:space="preserve">1.7.1.1.8.2.1.1</t>
  </si>
  <si>
    <t xml:space="preserve">MSP-5312</t>
  </si>
  <si>
    <t xml:space="preserve">1.7.1.1.8.2.1.2</t>
  </si>
  <si>
    <t xml:space="preserve">MSP-5313</t>
  </si>
  <si>
    <t xml:space="preserve">1.7.1.1.8.2.1.3</t>
  </si>
  <si>
    <t xml:space="preserve">MSP-5314</t>
  </si>
  <si>
    <t xml:space="preserve">1.7.1.1.8.2.1.4</t>
  </si>
  <si>
    <t xml:space="preserve">MSP-5315</t>
  </si>
  <si>
    <t xml:space="preserve">1.7.1.1.8.2.1.5</t>
  </si>
  <si>
    <t xml:space="preserve">MSP-5316</t>
  </si>
  <si>
    <t xml:space="preserve">1.7.1.1.8.2.1.6</t>
  </si>
  <si>
    <t xml:space="preserve">MSP-5317</t>
  </si>
  <si>
    <t xml:space="preserve">1.7.1.1.9</t>
  </si>
  <si>
    <t xml:space="preserve">MSP-5318</t>
  </si>
  <si>
    <t xml:space="preserve">1.7.1.1.9.1</t>
  </si>
  <si>
    <t xml:space="preserve">MSP-5319</t>
  </si>
  <si>
    <t xml:space="preserve">1.7.1.1.9.1.1</t>
  </si>
  <si>
    <t xml:space="preserve">ADQUISICIONES</t>
  </si>
  <si>
    <t xml:space="preserve">MSP-5320</t>
  </si>
  <si>
    <t xml:space="preserve">1.7.1.1.9.1.1.1</t>
  </si>
  <si>
    <t xml:space="preserve">MSP-5321</t>
  </si>
  <si>
    <t xml:space="preserve">1.7.1.1.9.1.1.2</t>
  </si>
  <si>
    <t xml:space="preserve">5320SS</t>
  </si>
  <si>
    <t xml:space="preserve">MSP-5322</t>
  </si>
  <si>
    <t xml:space="preserve">1.7.1.1.9.1.1.3</t>
  </si>
  <si>
    <t xml:space="preserve">MSP-5323</t>
  </si>
  <si>
    <t xml:space="preserve">1.7.1.1.9.1.1.4</t>
  </si>
  <si>
    <t xml:space="preserve">MSP-5324</t>
  </si>
  <si>
    <t xml:space="preserve">1.7.1.1.9.1.1.5</t>
  </si>
  <si>
    <t xml:space="preserve">MSP-5325</t>
  </si>
  <si>
    <t xml:space="preserve">1.7.1.1.9.1.1.6</t>
  </si>
  <si>
    <t xml:space="preserve">MSP-5326</t>
  </si>
  <si>
    <t xml:space="preserve">1.7.1.1.9.1.1.7</t>
  </si>
  <si>
    <t xml:space="preserve">MSP-5327</t>
  </si>
  <si>
    <t xml:space="preserve">1.7.1.1.9.1.2</t>
  </si>
  <si>
    <t xml:space="preserve">ABASTECIMIENTO</t>
  </si>
  <si>
    <t xml:space="preserve">MSP-5328</t>
  </si>
  <si>
    <t xml:space="preserve">1.7.1.1.9.1.2.1</t>
  </si>
  <si>
    <t xml:space="preserve">MSP-5329</t>
  </si>
  <si>
    <t xml:space="preserve">1.7.1.1.9.1.2.2</t>
  </si>
  <si>
    <t xml:space="preserve">MSP-5330</t>
  </si>
  <si>
    <t xml:space="preserve">1.7.1.1.9.1.2.3</t>
  </si>
  <si>
    <t xml:space="preserve">MSP-5331</t>
  </si>
  <si>
    <t xml:space="preserve">1.7.1.1.9.1.2.4</t>
  </si>
  <si>
    <t xml:space="preserve">MSP-5332</t>
  </si>
  <si>
    <t xml:space="preserve">1.7.1.1.9.1.2.5</t>
  </si>
  <si>
    <t xml:space="preserve">MSP-5333</t>
  </si>
  <si>
    <t xml:space="preserve">1.7.1.1.9.1.2.6</t>
  </si>
  <si>
    <t xml:space="preserve">MSP-5334</t>
  </si>
  <si>
    <t xml:space="preserve">1.7.1.1.9.1.2.7</t>
  </si>
  <si>
    <t xml:space="preserve">MSP-5335</t>
  </si>
  <si>
    <t xml:space="preserve">1.7.1.1.9.1.2.8</t>
  </si>
  <si>
    <t xml:space="preserve">MSP-5336</t>
  </si>
  <si>
    <t xml:space="preserve">1.7.1.1.9.1.2.9</t>
  </si>
  <si>
    <t xml:space="preserve">MSP-5337</t>
  </si>
  <si>
    <t xml:space="preserve">1.7.1.1.9.1.2.10</t>
  </si>
  <si>
    <t xml:space="preserve">MSP-5338</t>
  </si>
  <si>
    <t xml:space="preserve">1.7.1.1.9.1.2.11</t>
  </si>
  <si>
    <t xml:space="preserve">E-34 MAQUINA CORTADORA DE CESPED</t>
  </si>
  <si>
    <t xml:space="preserve">MSP-5339</t>
  </si>
  <si>
    <t xml:space="preserve">1.7.1.1.9.1.3</t>
  </si>
  <si>
    <t xml:space="preserve">SALA DE LECTURA</t>
  </si>
  <si>
    <t xml:space="preserve">MSP-5340</t>
  </si>
  <si>
    <t xml:space="preserve">1.7.1.1.9.1.3.1</t>
  </si>
  <si>
    <t xml:space="preserve">MSP-5341</t>
  </si>
  <si>
    <t xml:space="preserve">1.7.1.1.9.1.3.2</t>
  </si>
  <si>
    <t xml:space="preserve">M-10 MESA DE MELAMINA DE 5.00x0.60(L)</t>
  </si>
  <si>
    <t xml:space="preserve">MSP-5342</t>
  </si>
  <si>
    <t xml:space="preserve">1.7.1.1.9.1.3.3</t>
  </si>
  <si>
    <t xml:space="preserve">MSP-5343</t>
  </si>
  <si>
    <t xml:space="preserve">1.7.1.1.9.1.3.4</t>
  </si>
  <si>
    <t xml:space="preserve">MSP-5344</t>
  </si>
  <si>
    <t xml:space="preserve">1.7.1.1.9.1.3.5</t>
  </si>
  <si>
    <t xml:space="preserve">MSP-5345</t>
  </si>
  <si>
    <t xml:space="preserve">1.7.1.1.9.1.3.6</t>
  </si>
  <si>
    <t xml:space="preserve">MSP-5346</t>
  </si>
  <si>
    <t xml:space="preserve">1.7.1.1.9.1.3.7</t>
  </si>
  <si>
    <t xml:space="preserve">MSP-5347</t>
  </si>
  <si>
    <t xml:space="preserve">1.7.1.1.9.2</t>
  </si>
  <si>
    <t xml:space="preserve">MSP-5348</t>
  </si>
  <si>
    <t xml:space="preserve">1.7.1.1.9.2.1</t>
  </si>
  <si>
    <t xml:space="preserve">ARCHIVO Y NUMERACION</t>
  </si>
  <si>
    <t xml:space="preserve">MSP-5349</t>
  </si>
  <si>
    <t xml:space="preserve">1.7.1.1.9.2.1.1</t>
  </si>
  <si>
    <t xml:space="preserve">MSP-5350</t>
  </si>
  <si>
    <t xml:space="preserve">1.7.1.1.9.2.1.2</t>
  </si>
  <si>
    <t xml:space="preserve">MSP-5351</t>
  </si>
  <si>
    <t xml:space="preserve">1.7.1.1.9.2.1.3</t>
  </si>
  <si>
    <t xml:space="preserve">MSP-5352</t>
  </si>
  <si>
    <t xml:space="preserve">1.7.1.1.9.2.1.4</t>
  </si>
  <si>
    <t xml:space="preserve">MSP-5353</t>
  </si>
  <si>
    <t xml:space="preserve">1.7.1.1.9.2.1.5</t>
  </si>
  <si>
    <t xml:space="preserve">M-50 SISTEMA DE ALMACENAJE MOVIL 3.80x2.48</t>
  </si>
  <si>
    <t xml:space="preserve">MSP-5354</t>
  </si>
  <si>
    <t xml:space="preserve">1.7.1.1.9.2.1.6</t>
  </si>
  <si>
    <t xml:space="preserve">MSP-5355</t>
  </si>
  <si>
    <t xml:space="preserve">1.7.1.1.9.2.1.7</t>
  </si>
  <si>
    <t xml:space="preserve">MSP-5356</t>
  </si>
  <si>
    <t xml:space="preserve">1.7.1.1.9.2.2</t>
  </si>
  <si>
    <t xml:space="preserve">PATRIMONIO</t>
  </si>
  <si>
    <t xml:space="preserve">MSP-5357</t>
  </si>
  <si>
    <t xml:space="preserve">1.7.1.1.9.2.2.1</t>
  </si>
  <si>
    <t xml:space="preserve">MSP-5358</t>
  </si>
  <si>
    <t xml:space="preserve">1.7.1.1.9.2.2.2</t>
  </si>
  <si>
    <t xml:space="preserve">MSP-5359</t>
  </si>
  <si>
    <t xml:space="preserve">1.7.1.1.9.2.2.3</t>
  </si>
  <si>
    <t xml:space="preserve">MSP-5360</t>
  </si>
  <si>
    <t xml:space="preserve">1.7.1.1.9.2.2.4</t>
  </si>
  <si>
    <t xml:space="preserve">MSP-5361</t>
  </si>
  <si>
    <t xml:space="preserve">1.7.1.1.9.2.2.5</t>
  </si>
  <si>
    <t xml:space="preserve">MSP-5362</t>
  </si>
  <si>
    <t xml:space="preserve">1.7.1.1.9.2.2.6</t>
  </si>
  <si>
    <t xml:space="preserve">MSP-5363</t>
  </si>
  <si>
    <t xml:space="preserve">1.7.1.1.9.2.2.7</t>
  </si>
  <si>
    <t xml:space="preserve">MSP-5364</t>
  </si>
  <si>
    <t xml:space="preserve">1.7.1.1.9.2.2.8</t>
  </si>
  <si>
    <t xml:space="preserve">MSP-5365</t>
  </si>
  <si>
    <t xml:space="preserve">1.7.1.1.9.2.2.9</t>
  </si>
  <si>
    <t xml:space="preserve">MSP-5366</t>
  </si>
  <si>
    <t xml:space="preserve">1.7.1.1.9.2.2.10</t>
  </si>
  <si>
    <t xml:space="preserve">MSP-5367</t>
  </si>
  <si>
    <t xml:space="preserve">1.7.1.1.9.2.2.11</t>
  </si>
  <si>
    <t xml:space="preserve">MSP-5368</t>
  </si>
  <si>
    <t xml:space="preserve">1.7.1.1.9.2.2.12</t>
  </si>
  <si>
    <t xml:space="preserve">MSP-5369</t>
  </si>
  <si>
    <t xml:space="preserve">1.7.1.1.9.2.2.13</t>
  </si>
  <si>
    <t xml:space="preserve">E-33 LECTOR DE CODIGO DE BARRAS</t>
  </si>
  <si>
    <t xml:space="preserve">MSP-5370</t>
  </si>
  <si>
    <t xml:space="preserve">1.7.1.1.9.2.2.14</t>
  </si>
  <si>
    <t xml:space="preserve">E-35 IMPRESORA DE CODIGO DE BARRAS</t>
  </si>
  <si>
    <t xml:space="preserve">MSP-5371</t>
  </si>
  <si>
    <t xml:space="preserve">1.7.1.1.9.2.3</t>
  </si>
  <si>
    <t xml:space="preserve">MSP-5372</t>
  </si>
  <si>
    <t xml:space="preserve">1.7.1.1.9.2.3.1</t>
  </si>
  <si>
    <t xml:space="preserve">MSP-5373</t>
  </si>
  <si>
    <t xml:space="preserve">1.7.1.1.9.2.4</t>
  </si>
  <si>
    <t xml:space="preserve">ACTAS Y CERTIFICADOS</t>
  </si>
  <si>
    <t xml:space="preserve">MSP-5374</t>
  </si>
  <si>
    <t xml:space="preserve">1.7.1.1.9.2.4.1</t>
  </si>
  <si>
    <t xml:space="preserve">MSP-5375</t>
  </si>
  <si>
    <t xml:space="preserve">1.7.1.1.9.2.4.2</t>
  </si>
  <si>
    <t xml:space="preserve">MSP-5376</t>
  </si>
  <si>
    <t xml:space="preserve">1.7.1.1.9.2.4.3</t>
  </si>
  <si>
    <t xml:space="preserve">MSP-5377</t>
  </si>
  <si>
    <t xml:space="preserve">1.7.1.1.9.2.4.4</t>
  </si>
  <si>
    <t xml:space="preserve">MSP-5378</t>
  </si>
  <si>
    <t xml:space="preserve">1.7.1.1.9.2.4.5</t>
  </si>
  <si>
    <t xml:space="preserve">MSP-5379</t>
  </si>
  <si>
    <t xml:space="preserve">1.7.1.1.9.2.4.6</t>
  </si>
  <si>
    <t xml:space="preserve">MSP-5380</t>
  </si>
  <si>
    <t xml:space="preserve">1.7.1.1.9.2.4.7</t>
  </si>
  <si>
    <t xml:space="preserve">MSP-5381</t>
  </si>
  <si>
    <t xml:space="preserve">1.7.1.1.9.2.4.8</t>
  </si>
  <si>
    <t xml:space="preserve">MSP-5382</t>
  </si>
  <si>
    <t xml:space="preserve">1.7.1.1.9.2.4.9</t>
  </si>
  <si>
    <t xml:space="preserve">MSP-5383</t>
  </si>
  <si>
    <t xml:space="preserve">1.7.1.1.9.2.4.10</t>
  </si>
  <si>
    <t xml:space="preserve">MSP-5384</t>
  </si>
  <si>
    <t xml:space="preserve">1.7.1.1.9.2.5</t>
  </si>
  <si>
    <t xml:space="preserve">MSP-5385</t>
  </si>
  <si>
    <t xml:space="preserve">1.7.1.1.9.2.5.1</t>
  </si>
  <si>
    <t xml:space="preserve">MSP-5386</t>
  </si>
  <si>
    <t xml:space="preserve">1.7.1.1.9.2.5.2</t>
  </si>
  <si>
    <t xml:space="preserve">MSP-5387</t>
  </si>
  <si>
    <t xml:space="preserve">1.7.1.1.10</t>
  </si>
  <si>
    <t xml:space="preserve">MSP-5388</t>
  </si>
  <si>
    <t xml:space="preserve">1.7.1.1.10.1</t>
  </si>
  <si>
    <t xml:space="preserve">MSP-5389</t>
  </si>
  <si>
    <t xml:space="preserve">1.7.1.1.10.1.1</t>
  </si>
  <si>
    <t xml:space="preserve">GUARDIANIA</t>
  </si>
  <si>
    <t xml:space="preserve">MSP-5390</t>
  </si>
  <si>
    <t xml:space="preserve">1.7.1.1.10.1.1.1</t>
  </si>
  <si>
    <t xml:space="preserve">MSP-5391</t>
  </si>
  <si>
    <t xml:space="preserve">1.7.1.1.10.1.1.2</t>
  </si>
  <si>
    <t xml:space="preserve">5390SS</t>
  </si>
  <si>
    <t xml:space="preserve">MSP-5392</t>
  </si>
  <si>
    <t xml:space="preserve">1.7.1.1.10.1.1.3</t>
  </si>
  <si>
    <t xml:space="preserve">MSP-5393</t>
  </si>
  <si>
    <t xml:space="preserve">1.7.1.1.10.1.1.4</t>
  </si>
  <si>
    <t xml:space="preserve">MSP-5394</t>
  </si>
  <si>
    <t xml:space="preserve">1.7.1.1.11</t>
  </si>
  <si>
    <t xml:space="preserve">MSP-5395</t>
  </si>
  <si>
    <t xml:space="preserve">1.7.1.1.11.1</t>
  </si>
  <si>
    <t xml:space="preserve">MSP-5396</t>
  </si>
  <si>
    <t xml:space="preserve">1.7.1.1.11.1.1</t>
  </si>
  <si>
    <t xml:space="preserve">FOTOCOPIADORA</t>
  </si>
  <si>
    <t xml:space="preserve">MSP-5397</t>
  </si>
  <si>
    <t xml:space="preserve">1.7.1.1.11.1.1.1</t>
  </si>
  <si>
    <t xml:space="preserve">MSP-5398</t>
  </si>
  <si>
    <t xml:space="preserve">1.7.1.1.11.1.2</t>
  </si>
  <si>
    <t xml:space="preserve">MSP-5399</t>
  </si>
  <si>
    <t xml:space="preserve">1.7.1.1.11.1.2.1</t>
  </si>
  <si>
    <t xml:space="preserve">U-01 SUBURBAN PARA 3 PERSONAS</t>
  </si>
  <si>
    <t xml:space="preserve">5397SS</t>
  </si>
  <si>
    <t xml:space="preserve">MSP-5400</t>
  </si>
  <si>
    <t xml:space="preserve">1.7.1.1.11.1.2.2</t>
  </si>
  <si>
    <t xml:space="preserve">U-02 SUBURBAN PARA 7 PERSONAS</t>
  </si>
  <si>
    <t xml:space="preserve">MSP-5401</t>
  </si>
  <si>
    <t xml:space="preserve">1.7.1.1.11.1.2.3</t>
  </si>
  <si>
    <t xml:space="preserve">U-03 ADQUISICION DE CAMION FURGON</t>
  </si>
  <si>
    <t xml:space="preserve">MSP-5402</t>
  </si>
  <si>
    <t xml:space="preserve">1.8</t>
  </si>
  <si>
    <t xml:space="preserve">COMP. III: INSTALACIONES DE TELECOMUNICACIONES</t>
  </si>
  <si>
    <t xml:space="preserve">MSP-5403</t>
  </si>
  <si>
    <t xml:space="preserve">1.8.1</t>
  </si>
  <si>
    <t xml:space="preserve">INSTALACIONES DE COMUNICACIONES</t>
  </si>
  <si>
    <t xml:space="preserve">MSP-5404</t>
  </si>
  <si>
    <t xml:space="preserve">1.8.1.1</t>
  </si>
  <si>
    <t xml:space="preserve">OBRAS EXTERIORES</t>
  </si>
  <si>
    <t xml:space="preserve">MSP-5405</t>
  </si>
  <si>
    <t xml:space="preserve">1.8.1.1.1</t>
  </si>
  <si>
    <t xml:space="preserve">MSP-5406</t>
  </si>
  <si>
    <t xml:space="preserve">1.8.1.1.1.1</t>
  </si>
  <si>
    <t xml:space="preserve">TRAZO, NIVELES Y REPLANTEO INST. COMUNICACIONES</t>
  </si>
  <si>
    <t xml:space="preserve">711FS+13.0d</t>
  </si>
  <si>
    <t xml:space="preserve">MSP-5407</t>
  </si>
  <si>
    <t xml:space="preserve">1.8.1.1.2</t>
  </si>
  <si>
    <t xml:space="preserve">MSP-5408</t>
  </si>
  <si>
    <t xml:space="preserve">1.8.1.1.2.1</t>
  </si>
  <si>
    <t xml:space="preserve">EXCAVACION MANUAL DE ZANJA P/TUBERIAS</t>
  </si>
  <si>
    <t xml:space="preserve">5406FS</t>
  </si>
  <si>
    <t xml:space="preserve">MSP-5409</t>
  </si>
  <si>
    <t xml:space="preserve">1.8.1.1.2.2</t>
  </si>
  <si>
    <t xml:space="preserve">EXCAVACION MANUAL DE HOYO PARA PUESTA A TIERRA P/CORRIENTES DEBILES</t>
  </si>
  <si>
    <t xml:space="preserve">MSP-5410</t>
  </si>
  <si>
    <t xml:space="preserve">1.8.1.1.2.3</t>
  </si>
  <si>
    <t xml:space="preserve">CAMA DE APOYO PARA TUBERIA DE 10CM.</t>
  </si>
  <si>
    <t xml:space="preserve">MSP-5411</t>
  </si>
  <si>
    <t xml:space="preserve">1.8.1.1.2.4</t>
  </si>
  <si>
    <t xml:space="preserve">RELLENO COMPACTADO CON MATERIAL PROPIO SELECCIONADO</t>
  </si>
  <si>
    <t xml:space="preserve">5410FS</t>
  </si>
  <si>
    <t xml:space="preserve">MSP-5412</t>
  </si>
  <si>
    <t xml:space="preserve">1.8.1.1.2.5</t>
  </si>
  <si>
    <t xml:space="preserve">MSP-5413</t>
  </si>
  <si>
    <t xml:space="preserve">1.8.1.1.2.6</t>
  </si>
  <si>
    <t xml:space="preserve">5412FS</t>
  </si>
  <si>
    <t xml:space="preserve">MSP-5414</t>
  </si>
  <si>
    <t xml:space="preserve">1.8.1.1.2.7</t>
  </si>
  <si>
    <t xml:space="preserve">SUMINISTRO E INSTALACION DE CINTA DE SEÑALIZADORA</t>
  </si>
  <si>
    <t xml:space="preserve">5409SS</t>
  </si>
  <si>
    <t xml:space="preserve">MSP-5415</t>
  </si>
  <si>
    <t xml:space="preserve">1.8.1.2</t>
  </si>
  <si>
    <t xml:space="preserve">CONDUCTOS Y/O TUBERIAS</t>
  </si>
  <si>
    <t xml:space="preserve">MSP-5416</t>
  </si>
  <si>
    <t xml:space="preserve">1.8.1.2.1</t>
  </si>
  <si>
    <t xml:space="preserve">TUBERIA DN:  20mm PVC SAP</t>
  </si>
  <si>
    <t xml:space="preserve">MSP-5417</t>
  </si>
  <si>
    <t xml:space="preserve">1.8.1.2.2</t>
  </si>
  <si>
    <t xml:space="preserve">TUBERIA DN: 25mm PVC SAP</t>
  </si>
  <si>
    <t xml:space="preserve">5416FS</t>
  </si>
  <si>
    <t xml:space="preserve">MSP-5418</t>
  </si>
  <si>
    <t xml:space="preserve">1.8.1.2.3</t>
  </si>
  <si>
    <t xml:space="preserve">TUBERIA DN:  35mm PVC SAP</t>
  </si>
  <si>
    <t xml:space="preserve">5417FS</t>
  </si>
  <si>
    <t xml:space="preserve">MSP-5419</t>
  </si>
  <si>
    <t xml:space="preserve">1.8.1.2.4</t>
  </si>
  <si>
    <t xml:space="preserve">TUBERIA DN:  40mm PVC SAP</t>
  </si>
  <si>
    <t xml:space="preserve">5418FS</t>
  </si>
  <si>
    <t xml:space="preserve">MSP-5420</t>
  </si>
  <si>
    <t xml:space="preserve">1.8.1.2.5</t>
  </si>
  <si>
    <t xml:space="preserve">TUBERIA DN:  50mm PVC SAP</t>
  </si>
  <si>
    <t xml:space="preserve">5419FS</t>
  </si>
  <si>
    <t xml:space="preserve">MSP-5421</t>
  </si>
  <si>
    <t xml:space="preserve">1.8.1.2.6</t>
  </si>
  <si>
    <t xml:space="preserve">TUBERIA DN:  20mm EMT</t>
  </si>
  <si>
    <t xml:space="preserve">5420FS</t>
  </si>
  <si>
    <t xml:space="preserve">MSP-5422</t>
  </si>
  <si>
    <t xml:space="preserve">1.8.1.2.7</t>
  </si>
  <si>
    <t xml:space="preserve">TUBERIA DN:  25mm EMT</t>
  </si>
  <si>
    <t xml:space="preserve">5421FS</t>
  </si>
  <si>
    <t xml:space="preserve">MSP-5423</t>
  </si>
  <si>
    <t xml:space="preserve">1.8.1.2.8</t>
  </si>
  <si>
    <t xml:space="preserve">TUBERIA DN:  35mm EMT</t>
  </si>
  <si>
    <t xml:space="preserve">5422FS</t>
  </si>
  <si>
    <t xml:space="preserve">MSP-5424</t>
  </si>
  <si>
    <t xml:space="preserve">1.8.1.2.9</t>
  </si>
  <si>
    <t xml:space="preserve">TUBERIA DN:  40mm EMT</t>
  </si>
  <si>
    <t xml:space="preserve">5423FS</t>
  </si>
  <si>
    <t xml:space="preserve">MSP-5425</t>
  </si>
  <si>
    <t xml:space="preserve">1.8.1.2.10</t>
  </si>
  <si>
    <t xml:space="preserve">TUBERIA DN:  50mm EMT</t>
  </si>
  <si>
    <t xml:space="preserve">5424FS</t>
  </si>
  <si>
    <t xml:space="preserve">MSP-5426</t>
  </si>
  <si>
    <t xml:space="preserve">1.8.1.2.11</t>
  </si>
  <si>
    <t xml:space="preserve">TUBO CONDUIT FLEXIBLE 20mm</t>
  </si>
  <si>
    <t xml:space="preserve">5425FS;5427FS;5428FS;5429FS;5430FS;5431FS;5432FS;5433FS;5434FS;5435FS;5436FS;5437FS;5438FS;5439FS;5440FS;5441FS</t>
  </si>
  <si>
    <t xml:space="preserve">MSP-5427</t>
  </si>
  <si>
    <t xml:space="preserve">1.8.1.2.12</t>
  </si>
  <si>
    <t xml:space="preserve">CAJA DE PASE F°G° 100X100X75 MM C/TAPA P/EMPOTRAR EN MURO</t>
  </si>
  <si>
    <t xml:space="preserve">5416SS</t>
  </si>
  <si>
    <t xml:space="preserve">MSP-5428</t>
  </si>
  <si>
    <t xml:space="preserve">1.8.1.2.13</t>
  </si>
  <si>
    <t xml:space="preserve">CAJA DE PASE F°G° 100X100X75 MM C/TAPA P/EMPOTRAR EN MURO DRYWALL</t>
  </si>
  <si>
    <t xml:space="preserve">MSP-5429</t>
  </si>
  <si>
    <t xml:space="preserve">1.8.1.2.14</t>
  </si>
  <si>
    <t xml:space="preserve">CAJA DE PASE F°G° 100X100X75 MM C/TAPA P/EMPOTRAR EN TECHO</t>
  </si>
  <si>
    <t xml:space="preserve">MSP-5430</t>
  </si>
  <si>
    <t xml:space="preserve">1.8.1.2.15</t>
  </si>
  <si>
    <t xml:space="preserve">CAJA DE PASE F°G° 100X100X75 MM C/TAPA P/ADOSAR EN TECHO</t>
  </si>
  <si>
    <t xml:space="preserve">MSP-5431</t>
  </si>
  <si>
    <t xml:space="preserve">1.8.1.2.16</t>
  </si>
  <si>
    <t xml:space="preserve">CAJA DE PASE F° G° 150X150X75 mm P/EMPOTRAR EN MURO</t>
  </si>
  <si>
    <t xml:space="preserve">MSP-5432</t>
  </si>
  <si>
    <t xml:space="preserve">1.8.1.2.17</t>
  </si>
  <si>
    <t xml:space="preserve">CAJA DE PASE F° G° 150X150X75 mm P/EMPOTRAR EN MURO DRYWALL</t>
  </si>
  <si>
    <t xml:space="preserve">MSP-5433</t>
  </si>
  <si>
    <t xml:space="preserve">1.8.1.2.18</t>
  </si>
  <si>
    <t xml:space="preserve">CAJA DE PASE F°G° 150X150X100 MM C/TAPA P/ADOSAR EN TECHO</t>
  </si>
  <si>
    <t xml:space="preserve">MSP-5434</t>
  </si>
  <si>
    <t xml:space="preserve">1.8.1.2.19</t>
  </si>
  <si>
    <t xml:space="preserve">CAJA DE PASE F°G° 200X200X100 MM C/TAPA P/EMPOTRAR EN MURO</t>
  </si>
  <si>
    <t xml:space="preserve">MSP-5435</t>
  </si>
  <si>
    <t xml:space="preserve">1.8.1.2.20</t>
  </si>
  <si>
    <t xml:space="preserve">CAJA DE PASE F°G° 200X200X100 MM C/TAPA P/EMPOTRAR EN MURO DRYWALL</t>
  </si>
  <si>
    <t xml:space="preserve">MSP-5436</t>
  </si>
  <si>
    <t xml:space="preserve">1.8.1.2.21</t>
  </si>
  <si>
    <t xml:space="preserve">CAJA DE PASE F°G° 200X200X100MM C/TAPA P/ADOSAR EN TECHO</t>
  </si>
  <si>
    <t xml:space="preserve">MSP-5437</t>
  </si>
  <si>
    <t xml:space="preserve">1.8.1.2.22</t>
  </si>
  <si>
    <t xml:space="preserve">CAJA DE PASE F° G° 300X300X100 MM C/TAPA P/EMPOTRAR EN MURO</t>
  </si>
  <si>
    <t xml:space="preserve">MSP-5438</t>
  </si>
  <si>
    <t xml:space="preserve">1.8.1.2.23</t>
  </si>
  <si>
    <t xml:space="preserve">CAJA DE PASE F° G° 300X300X100 mm C/TAPA P/EMPOTRAR EN MURO DRYWALL</t>
  </si>
  <si>
    <t xml:space="preserve">MSP-5439</t>
  </si>
  <si>
    <t xml:space="preserve">1.8.1.2.24</t>
  </si>
  <si>
    <t xml:space="preserve">CAJA DE PASE F°G° 300X300X100MM C/TAPA P/ADOSAR EN TECHO</t>
  </si>
  <si>
    <t xml:space="preserve">MSP-5440</t>
  </si>
  <si>
    <t xml:space="preserve">1.8.1.2.25</t>
  </si>
  <si>
    <t xml:space="preserve">CAJA DE PASE F° G° 400x400X100 mm P/EMPOTRAR EN MURO</t>
  </si>
  <si>
    <t xml:space="preserve">MSP-5441</t>
  </si>
  <si>
    <t xml:space="preserve">1.8.1.2.26</t>
  </si>
  <si>
    <t xml:space="preserve">CAJA DE DERIVACION FG DE 100x100x75 MM P/ADOSAR EN BANDEJA</t>
  </si>
  <si>
    <t xml:space="preserve">MSP-5442</t>
  </si>
  <si>
    <t xml:space="preserve">1.8.1.3</t>
  </si>
  <si>
    <t xml:space="preserve">SALIDA DE TERMINALES DE TELECOMUNICACIONES Y CIRCUITOS AUXILIARES</t>
  </si>
  <si>
    <t xml:space="preserve">MSP-5443</t>
  </si>
  <si>
    <t xml:space="preserve">1.8.1.3.1</t>
  </si>
  <si>
    <t xml:space="preserve">SALIDA DE CIRCUITO DE CABLEADO ESTRUCTURADO</t>
  </si>
  <si>
    <t xml:space="preserve">MSP-5444</t>
  </si>
  <si>
    <t xml:space="preserve">1.8.1.3.1.1</t>
  </si>
  <si>
    <t xml:space="preserve">SALIDA DE RED DE DATOS P/EMPOTRAR EN PISO</t>
  </si>
  <si>
    <t xml:space="preserve">5426FS</t>
  </si>
  <si>
    <t xml:space="preserve">MSP-5445</t>
  </si>
  <si>
    <t xml:space="preserve">1.8.1.3.1.2</t>
  </si>
  <si>
    <t xml:space="preserve">SALIDA DE RED DE DATOS P/EMPOTRAR EN MURO</t>
  </si>
  <si>
    <t xml:space="preserve">5444FS</t>
  </si>
  <si>
    <t xml:space="preserve">MSP-5446</t>
  </si>
  <si>
    <t xml:space="preserve">1.8.1.3.1.3</t>
  </si>
  <si>
    <t xml:space="preserve">SALIDA DE RED DE DATOS P/EMPOTRAR EN MURO DRYWALL</t>
  </si>
  <si>
    <t xml:space="preserve">5445FS</t>
  </si>
  <si>
    <t xml:space="preserve">MSP-5447</t>
  </si>
  <si>
    <t xml:space="preserve">1.8.1.3.1.4</t>
  </si>
  <si>
    <t xml:space="preserve">SALIDA DE RED DE DATOS P/EMPOTRAR EN TECHO</t>
  </si>
  <si>
    <t xml:space="preserve">5446FS</t>
  </si>
  <si>
    <t xml:space="preserve">MSP-5448</t>
  </si>
  <si>
    <t xml:space="preserve">1.8.1.3.1.5</t>
  </si>
  <si>
    <t xml:space="preserve">SALIDA DE RED DE DATOS P/ADOSAR EN TECHO</t>
  </si>
  <si>
    <t xml:space="preserve">5447FS</t>
  </si>
  <si>
    <t xml:space="preserve">MSP-5449</t>
  </si>
  <si>
    <t xml:space="preserve">1.8.1.3.1.6</t>
  </si>
  <si>
    <t xml:space="preserve">SALIDA DE RED DE DATOS P/ADOSAR EN BANDEJA</t>
  </si>
  <si>
    <t xml:space="preserve">5448FS</t>
  </si>
  <si>
    <t xml:space="preserve">MSP-5450</t>
  </si>
  <si>
    <t xml:space="preserve">1.8.1.3.1.7</t>
  </si>
  <si>
    <t xml:space="preserve">SALIDA DE RED DE DATOS P/EMPOTRAR MPTL</t>
  </si>
  <si>
    <t xml:space="preserve">5449FS</t>
  </si>
  <si>
    <t xml:space="preserve">MSP-5451</t>
  </si>
  <si>
    <t xml:space="preserve">1.8.1.3.1.8</t>
  </si>
  <si>
    <t xml:space="preserve">SALIDA DE RED PUBLICA</t>
  </si>
  <si>
    <t xml:space="preserve">5450FS</t>
  </si>
  <si>
    <t xml:space="preserve">MSP-5452</t>
  </si>
  <si>
    <t xml:space="preserve">1.8.1.3.2</t>
  </si>
  <si>
    <t xml:space="preserve">SALIDA DE CIRCUITO DE SONIDO AMBIENTAL, PERIFONEO Y MULTIMEDIA</t>
  </si>
  <si>
    <t xml:space="preserve">MSP-5453</t>
  </si>
  <si>
    <t xml:space="preserve">1.8.1.3.2.1</t>
  </si>
  <si>
    <t xml:space="preserve">SALIDA SPEAKON P/EMPOTRAR EN MURO</t>
  </si>
  <si>
    <t xml:space="preserve">5451FS</t>
  </si>
  <si>
    <t xml:space="preserve">MSP-5454</t>
  </si>
  <si>
    <t xml:space="preserve">1.8.1.3.2.2</t>
  </si>
  <si>
    <t xml:space="preserve">SALIDA DE XLR P/EMPOTRAR EN MURO</t>
  </si>
  <si>
    <t xml:space="preserve">5453FS</t>
  </si>
  <si>
    <t xml:space="preserve">MSP-5455</t>
  </si>
  <si>
    <t xml:space="preserve">1.8.1.3.2.3</t>
  </si>
  <si>
    <t xml:space="preserve">SALIDA DE XLR P/EMPOTRAR EN MURO DRYWALL</t>
  </si>
  <si>
    <t xml:space="preserve">5454FS</t>
  </si>
  <si>
    <t xml:space="preserve">MSP-5456</t>
  </si>
  <si>
    <t xml:space="preserve">1.8.1.3.2.4</t>
  </si>
  <si>
    <t xml:space="preserve">SALIDA HDMI P/ADOSAR EN TECHO</t>
  </si>
  <si>
    <t xml:space="preserve">5455FS</t>
  </si>
  <si>
    <t xml:space="preserve">MSP-5457</t>
  </si>
  <si>
    <t xml:space="preserve">1.8.1.3.2.5</t>
  </si>
  <si>
    <t xml:space="preserve">SALIDA HDMI P/EMPOTRAR EN MURO</t>
  </si>
  <si>
    <t xml:space="preserve">5456FS</t>
  </si>
  <si>
    <t xml:space="preserve">MSP-5458</t>
  </si>
  <si>
    <t xml:space="preserve">1.8.1.3.2.6</t>
  </si>
  <si>
    <t xml:space="preserve">SALIDA DE CONTROL DE VOLUMEN DIGITAL P/EMPOTRAR EN MURO</t>
  </si>
  <si>
    <t xml:space="preserve">5457FS</t>
  </si>
  <si>
    <t xml:space="preserve">MSP-5459</t>
  </si>
  <si>
    <t xml:space="preserve">1.8.1.3.2.7</t>
  </si>
  <si>
    <t xml:space="preserve">SALIDA DE CONTROL DE VOLUMEN DIGITAL P/EMPOTRAR EN MURO DRYWALL</t>
  </si>
  <si>
    <t xml:space="preserve">5458FS</t>
  </si>
  <si>
    <t xml:space="preserve">MSP-5460</t>
  </si>
  <si>
    <t xml:space="preserve">1.8.1.3.2.8</t>
  </si>
  <si>
    <t xml:space="preserve">SALIDA DE MICROFONO MULTIZONA DIGITAL P/EMPOTRAR EN MURO</t>
  </si>
  <si>
    <t xml:space="preserve">5459FS</t>
  </si>
  <si>
    <t xml:space="preserve">MSP-5461</t>
  </si>
  <si>
    <t xml:space="preserve">1.8.1.3.2.9</t>
  </si>
  <si>
    <t xml:space="preserve">SALIDA DE ALTAVOCES EN BALDOSA</t>
  </si>
  <si>
    <t xml:space="preserve">5460FS</t>
  </si>
  <si>
    <t xml:space="preserve">MSP-5462</t>
  </si>
  <si>
    <t xml:space="preserve">1.8.1.3.2.10</t>
  </si>
  <si>
    <t xml:space="preserve">SALIDA DE PARLANTE P/EMPOTRAR EN MURO</t>
  </si>
  <si>
    <t xml:space="preserve">5461FS</t>
  </si>
  <si>
    <t xml:space="preserve">MSP-5463</t>
  </si>
  <si>
    <t xml:space="preserve">1.8.1.3.2.11</t>
  </si>
  <si>
    <t xml:space="preserve">SALIDA DE PARLANTE P/EMPOTRAR EN MURO DRYWALL</t>
  </si>
  <si>
    <t xml:space="preserve">5462FS</t>
  </si>
  <si>
    <t xml:space="preserve">MSP-5464</t>
  </si>
  <si>
    <t xml:space="preserve">1.8.1.3.2.12</t>
  </si>
  <si>
    <t xml:space="preserve">SALIDA DE PROYECTOR DE SONIDO P/EMPOTRAR EN MURO</t>
  </si>
  <si>
    <t xml:space="preserve">5463FS</t>
  </si>
  <si>
    <t xml:space="preserve">MSP-5465</t>
  </si>
  <si>
    <t xml:space="preserve">1.8.1.3.3</t>
  </si>
  <si>
    <t xml:space="preserve">SALIDA DE CIRCUITO DE DETECCION Y ALARMA DE INCENDIOS</t>
  </si>
  <si>
    <t xml:space="preserve">MSP-5466</t>
  </si>
  <si>
    <t xml:space="preserve">1.8.1.3.3.1</t>
  </si>
  <si>
    <t xml:space="preserve">SALIDA PARA DETECTOR DE HUMO P/ADOSAR EN BALDOSA</t>
  </si>
  <si>
    <t xml:space="preserve">5453FS;5454FS;5455FS;5456FS;5457FS;5458FS;5459FS;5460FS;5461FS;5462FS;5463FS;5464FS</t>
  </si>
  <si>
    <t xml:space="preserve">MSP-5467</t>
  </si>
  <si>
    <t xml:space="preserve">1.8.1.3.3.2</t>
  </si>
  <si>
    <t xml:space="preserve">SALIDA PARA DETECTOR DE HUMO P/ADOSAR EN TECHO</t>
  </si>
  <si>
    <t xml:space="preserve">5466FS</t>
  </si>
  <si>
    <t xml:space="preserve">MSP-5468</t>
  </si>
  <si>
    <t xml:space="preserve">1.8.1.3.3.3</t>
  </si>
  <si>
    <t xml:space="preserve">SALIDA PARA DETECTOR DE TEMPERATURA P/ADOSAR EN BALDOSA</t>
  </si>
  <si>
    <t xml:space="preserve">5467FS</t>
  </si>
  <si>
    <t xml:space="preserve">MSP-5469</t>
  </si>
  <si>
    <t xml:space="preserve">1.8.1.3.3.4</t>
  </si>
  <si>
    <t xml:space="preserve">SALIDA PARA DETECTOR MULTIPROPOSITO P/ADOSAR EN TECHO</t>
  </si>
  <si>
    <t xml:space="preserve">5468FS</t>
  </si>
  <si>
    <t xml:space="preserve">MSP-5470</t>
  </si>
  <si>
    <t xml:space="preserve">1.8.1.3.3.5</t>
  </si>
  <si>
    <t xml:space="preserve">SALIDA PARA DETECTOR DE INUNDACION CON SONDA</t>
  </si>
  <si>
    <t xml:space="preserve">5469FS</t>
  </si>
  <si>
    <t xml:space="preserve">MSP-5471</t>
  </si>
  <si>
    <t xml:space="preserve">1.8.1.3.3.6</t>
  </si>
  <si>
    <t xml:space="preserve">SALIDA PARA MODULO DE MONITOREO P/EMPOTRAR EN MURO</t>
  </si>
  <si>
    <t xml:space="preserve">5470FS</t>
  </si>
  <si>
    <t xml:space="preserve">MSP-5472</t>
  </si>
  <si>
    <t xml:space="preserve">1.8.1.3.3.7</t>
  </si>
  <si>
    <t xml:space="preserve">SALIDA PARA MODULO AISLADOR DE FALLAS P/EMPOTRAR EN MURO</t>
  </si>
  <si>
    <t xml:space="preserve">5471FS</t>
  </si>
  <si>
    <t xml:space="preserve">MSP-5473</t>
  </si>
  <si>
    <t xml:space="preserve">1.8.1.3.3.8</t>
  </si>
  <si>
    <t xml:space="preserve">SALIDA PARA MODULO AISLADOR DE FALLAS P/EMPOTRAR EN MURO DRYWALL</t>
  </si>
  <si>
    <t xml:space="preserve">5472FS</t>
  </si>
  <si>
    <t xml:space="preserve">MSP-5474</t>
  </si>
  <si>
    <t xml:space="preserve">1.8.1.3.3.9</t>
  </si>
  <si>
    <t xml:space="preserve">SALIDA PARA MODULO RELÉ</t>
  </si>
  <si>
    <t xml:space="preserve">5473FS</t>
  </si>
  <si>
    <t xml:space="preserve">MSP-5475</t>
  </si>
  <si>
    <t xml:space="preserve">1.8.1.3.3.10</t>
  </si>
  <si>
    <t xml:space="preserve">SALIDA PARA ESTACION MANUAL DE DOBLE ACCION P/EMPOTRAR EN MURO</t>
  </si>
  <si>
    <t xml:space="preserve">5474FS</t>
  </si>
  <si>
    <t xml:space="preserve">MSP-5476</t>
  </si>
  <si>
    <t xml:space="preserve">1.8.1.3.3.11</t>
  </si>
  <si>
    <t xml:space="preserve">SALIDA PARA ESTACION MANUAL DE DOBLE ACCION P/EMPOTRAR EN MURO DRYWALL</t>
  </si>
  <si>
    <t xml:space="preserve">5475FS</t>
  </si>
  <si>
    <t xml:space="preserve">MSP-5477</t>
  </si>
  <si>
    <t xml:space="preserve">1.8.1.3.3.12</t>
  </si>
  <si>
    <t xml:space="preserve">SALIDA PARA SIRENA CON LUZ ESTROBOSCOPICA P/EMPOTRAR EN MURO</t>
  </si>
  <si>
    <t xml:space="preserve">5476FS</t>
  </si>
  <si>
    <t xml:space="preserve">MSP-5478</t>
  </si>
  <si>
    <t xml:space="preserve">1.8.1.3.3.13</t>
  </si>
  <si>
    <t xml:space="preserve">SALIDA PARA SIRENA CON LUZ ESTROBOSCOPICA P/ADOSAR EN BALDOSA</t>
  </si>
  <si>
    <t xml:space="preserve">5477FS</t>
  </si>
  <si>
    <t xml:space="preserve">MSP-5479</t>
  </si>
  <si>
    <t xml:space="preserve">1.8.1.3.3.14</t>
  </si>
  <si>
    <t xml:space="preserve">SALIDA PARA PANEL CENTRAL DE CONTROL DE ALARMAS</t>
  </si>
  <si>
    <t xml:space="preserve">5478FS</t>
  </si>
  <si>
    <t xml:space="preserve">MSP-5480</t>
  </si>
  <si>
    <t xml:space="preserve">1.8.1.3.3.15</t>
  </si>
  <si>
    <t xml:space="preserve">SALIDA PARA ANUNCIADOR REMOTO ACI P/MURO</t>
  </si>
  <si>
    <t xml:space="preserve">5479FS</t>
  </si>
  <si>
    <t xml:space="preserve">MSP-5481</t>
  </si>
  <si>
    <t xml:space="preserve">1.8.1.3.4</t>
  </si>
  <si>
    <t xml:space="preserve">SALIDA DE CIRCUITO DE CONTROL DE ACCESO Y ASISTENCIA</t>
  </si>
  <si>
    <t xml:space="preserve">MSP-5482</t>
  </si>
  <si>
    <t xml:space="preserve">1.8.1.3.4.1</t>
  </si>
  <si>
    <t xml:space="preserve">SALIDA DE INGRESO Y CONTROL DE ASISTENCIA P/EMPOTRAR EN MURO</t>
  </si>
  <si>
    <t xml:space="preserve">5466FS;5467FS;5468FS;5469FS;5470FS;5471FS;5472FS;5473FS;5474FS;5475FS;5476FS;5477FS;5478FS;5479FS;5480FS</t>
  </si>
  <si>
    <t xml:space="preserve">MSP-5483</t>
  </si>
  <si>
    <t xml:space="preserve">1.8.1.3.4.2</t>
  </si>
  <si>
    <t xml:space="preserve">SALIDA DE CONTROL DE ACCESO P/PUERTA P/EMPOTRAR EN MURO</t>
  </si>
  <si>
    <t xml:space="preserve">5482FS</t>
  </si>
  <si>
    <t xml:space="preserve">MSP-5484</t>
  </si>
  <si>
    <t xml:space="preserve">1.8.1.3.4.3</t>
  </si>
  <si>
    <t xml:space="preserve">SALIDA DE CONTROL DE ACCESO P/PUERTA P/EMPOTRAR EN MURO DRYWALL</t>
  </si>
  <si>
    <t xml:space="preserve">5483FS</t>
  </si>
  <si>
    <t xml:space="preserve">MSP-5485</t>
  </si>
  <si>
    <t xml:space="preserve">1.8.1.3.4.4</t>
  </si>
  <si>
    <t xml:space="preserve">SALIDA DE PULSADOR DE SALIDA P/EMPOTRAR EN MURO</t>
  </si>
  <si>
    <t xml:space="preserve">5484FS</t>
  </si>
  <si>
    <t xml:space="preserve">MSP-5486</t>
  </si>
  <si>
    <t xml:space="preserve">1.8.1.3.4.5</t>
  </si>
  <si>
    <t xml:space="preserve">SALIDA DE PULSADOR DE SALIDA P/EMPOTRAR EN MURO DRYWALL</t>
  </si>
  <si>
    <t xml:space="preserve">5485FS</t>
  </si>
  <si>
    <t xml:space="preserve">MSP-5487</t>
  </si>
  <si>
    <t xml:space="preserve">1.8.1.3.4.6</t>
  </si>
  <si>
    <t xml:space="preserve">SALIDA DE GABINETE CON FUENTE DE ALIMENTACION P/EMPOTRAR EN MURO</t>
  </si>
  <si>
    <t xml:space="preserve">5486FS+120.0d</t>
  </si>
  <si>
    <t xml:space="preserve">MSP-5488</t>
  </si>
  <si>
    <t xml:space="preserve">1.8.1.3.4.7</t>
  </si>
  <si>
    <t xml:space="preserve">SALIDA DE GABINETE CON FUENTE DE ALIMENTACION P/EMPOTRAR EN MURO DRYWALL</t>
  </si>
  <si>
    <t xml:space="preserve">5487FS</t>
  </si>
  <si>
    <t xml:space="preserve">MSP-5489</t>
  </si>
  <si>
    <t xml:space="preserve">1.8.1.4</t>
  </si>
  <si>
    <t xml:space="preserve">TRANSPORTE DE SEÑALES DE CARGAS DEBILES</t>
  </si>
  <si>
    <t xml:space="preserve">MSP-5490</t>
  </si>
  <si>
    <t xml:space="preserve">1.8.1.4.1</t>
  </si>
  <si>
    <t xml:space="preserve">BANDEJA PORTACABLE TIPO REJILLA, COLGADO DE TECHO 54x200x3000mm</t>
  </si>
  <si>
    <t xml:space="preserve">5420FS;5488FS</t>
  </si>
  <si>
    <t xml:space="preserve">MSP-5491</t>
  </si>
  <si>
    <t xml:space="preserve">1.8.1.4.2</t>
  </si>
  <si>
    <t xml:space="preserve">BANDEJA PORTACABLE TIPO REJILLA, COLGADO DE TECHO 100x200x3000mm</t>
  </si>
  <si>
    <t xml:space="preserve">5490FS</t>
  </si>
  <si>
    <t xml:space="preserve">MSP-5492</t>
  </si>
  <si>
    <t xml:space="preserve">1.8.1.4.3</t>
  </si>
  <si>
    <t xml:space="preserve">PLACA CILINDRICA CORTAFUEGOS 80X80MM</t>
  </si>
  <si>
    <t xml:space="preserve">5491FS</t>
  </si>
  <si>
    <t xml:space="preserve">MSP-5493</t>
  </si>
  <si>
    <t xml:space="preserve">1.8.1.4.4</t>
  </si>
  <si>
    <t xml:space="preserve">PLACA CILINDRICA CORTAFUEGOS 120X105MM</t>
  </si>
  <si>
    <t xml:space="preserve">5492FS</t>
  </si>
  <si>
    <t xml:space="preserve">MSP-5494</t>
  </si>
  <si>
    <t xml:space="preserve">1.8.1.4.5</t>
  </si>
  <si>
    <t xml:space="preserve">SUMINISTRO E INSTALACION  DE SOPORTE DE SALIDA DE TUBO CONDUIT D=20mm</t>
  </si>
  <si>
    <t xml:space="preserve">5493FS</t>
  </si>
  <si>
    <t xml:space="preserve">MSP-5495</t>
  </si>
  <si>
    <t xml:space="preserve">1.8.1.4.6</t>
  </si>
  <si>
    <t xml:space="preserve">SUMINISTRO E INSTALACION  DE SOPORTE DE SALIDA DE TUBO CONDUIT D=25mm</t>
  </si>
  <si>
    <t xml:space="preserve">5494FS</t>
  </si>
  <si>
    <t xml:space="preserve">MSP-5496</t>
  </si>
  <si>
    <t xml:space="preserve">1.8.1.4.7</t>
  </si>
  <si>
    <t xml:space="preserve">SUMINISTRO E INSTALACION  DE SOPORTE DE SALIDA DE TUBO CONDUIT D=35mm</t>
  </si>
  <si>
    <t xml:space="preserve">5495FS</t>
  </si>
  <si>
    <t xml:space="preserve">MSP-5497</t>
  </si>
  <si>
    <t xml:space="preserve">1.8.1.4.8</t>
  </si>
  <si>
    <t xml:space="preserve">SUMINISTRO E INSTALACION  DE SOPORTE DE SALIDA DE TUBO CONDUIT D=40mm</t>
  </si>
  <si>
    <t xml:space="preserve">5496FS</t>
  </si>
  <si>
    <t xml:space="preserve">MSP-5498</t>
  </si>
  <si>
    <t xml:space="preserve">1.8.1.4.9</t>
  </si>
  <si>
    <t xml:space="preserve">SUMINISTRO E INSTALACION  DE SOPORTE DE SALIDA DE TUBO CONDUIT D=50mm</t>
  </si>
  <si>
    <t xml:space="preserve">5497FS</t>
  </si>
  <si>
    <t xml:space="preserve">MSP-5499</t>
  </si>
  <si>
    <t xml:space="preserve">1.8.1.5</t>
  </si>
  <si>
    <t xml:space="preserve">CIRCUITO DE CABLEADO ESTRUCTURADO</t>
  </si>
  <si>
    <t xml:space="preserve">MSP-5500</t>
  </si>
  <si>
    <t xml:space="preserve">1.8.1.5.1</t>
  </si>
  <si>
    <t xml:space="preserve">PUNTOS DE CABLEADO ESTRUCTURADO</t>
  </si>
  <si>
    <t xml:space="preserve">MSP-5501</t>
  </si>
  <si>
    <t xml:space="preserve">1.8.1.5.1.1</t>
  </si>
  <si>
    <t xml:space="preserve">PUNTO DE RED SIMPLE T/JACK (01 PUERTO P/DATOS) EN PISO P/EMPOTRAR</t>
  </si>
  <si>
    <t xml:space="preserve">5518FS</t>
  </si>
  <si>
    <t xml:space="preserve">MSP-5502</t>
  </si>
  <si>
    <t xml:space="preserve">1.8.1.5.1.2</t>
  </si>
  <si>
    <t xml:space="preserve">PUNTO DE RED SIMPLE T/JACK (01 PUERTO P/DATOS) EN PARED P/EMPOTRAR</t>
  </si>
  <si>
    <t xml:space="preserve">5501FS</t>
  </si>
  <si>
    <t xml:space="preserve">MSP-5503</t>
  </si>
  <si>
    <t xml:space="preserve">1.8.1.5.1.3</t>
  </si>
  <si>
    <t xml:space="preserve">PUNTO DE RED SIMPLE T/JACK (01 PUERTO P/DATOS) EN PARED DRYWALL P/EMPOTRAR</t>
  </si>
  <si>
    <t xml:space="preserve">5502FS</t>
  </si>
  <si>
    <t xml:space="preserve">MSP-5504</t>
  </si>
  <si>
    <t xml:space="preserve">1.8.1.5.1.4</t>
  </si>
  <si>
    <t xml:space="preserve">PUNTO DE RED SIMPLE T/JACK (01 PUERTO P/DATOS) EN PARED DRYWALL P/EMPOTRAR ALTO</t>
  </si>
  <si>
    <t xml:space="preserve">5503FS</t>
  </si>
  <si>
    <t xml:space="preserve">MSP-5505</t>
  </si>
  <si>
    <t xml:space="preserve">1.8.1.5.1.5</t>
  </si>
  <si>
    <t xml:space="preserve">PUNTO DE RED SIMPLE T/JACK (01 PUERTO P/DATOS) EN TECHO P/EMPOTRAR</t>
  </si>
  <si>
    <t xml:space="preserve">5504FS</t>
  </si>
  <si>
    <t xml:space="preserve">MSP-5506</t>
  </si>
  <si>
    <t xml:space="preserve">1.8.1.5.1.6</t>
  </si>
  <si>
    <t xml:space="preserve">PUNTO DE RED SIMPLE T/JACK (01 PUERTO P/DATOS) EN TECHO P/ADOSAR</t>
  </si>
  <si>
    <t xml:space="preserve">5505FS</t>
  </si>
  <si>
    <t xml:space="preserve">MSP-5507</t>
  </si>
  <si>
    <t xml:space="preserve">1.8.1.5.1.7</t>
  </si>
  <si>
    <t xml:space="preserve">PUNTO DE RED SIMPLE T/JACK (01 PUERTO P/DATOS) EN BANDEJA P/ADOSAR</t>
  </si>
  <si>
    <t xml:space="preserve">5506FS</t>
  </si>
  <si>
    <t xml:space="preserve">MSP-5508</t>
  </si>
  <si>
    <t xml:space="preserve">1.8.1.5.1.8</t>
  </si>
  <si>
    <t xml:space="preserve">PUNTO DE RED SIMPLE T/PLUG (01 PUERTO P/DATOS) EN PARED P/EMPOTRAR</t>
  </si>
  <si>
    <t xml:space="preserve">5507FS</t>
  </si>
  <si>
    <t xml:space="preserve">MSP-5509</t>
  </si>
  <si>
    <t xml:space="preserve">1.8.1.5.1.9</t>
  </si>
  <si>
    <t xml:space="preserve">PUNTO DE RED SIMPLE T/PLUG (01 PUERTO P/DATOS) EN TECHO P/EMPOTRAR</t>
  </si>
  <si>
    <t xml:space="preserve">5508FS</t>
  </si>
  <si>
    <t xml:space="preserve">MSP-5510</t>
  </si>
  <si>
    <t xml:space="preserve">1.8.1.5.1.10</t>
  </si>
  <si>
    <t xml:space="preserve">PUNTO DE RED DOBLE T/JACK (02 PUERTOS P/DATOS) EN PISO P/EMPOTRAR</t>
  </si>
  <si>
    <t xml:space="preserve">5509FS</t>
  </si>
  <si>
    <t xml:space="preserve">MSP-5511</t>
  </si>
  <si>
    <t xml:space="preserve">1.8.1.5.1.11</t>
  </si>
  <si>
    <t xml:space="preserve">PUNTO DE RED DOBLE T/JACK (02 PUERTOS P/DATOS) EN PARED P/EMPOTRAR</t>
  </si>
  <si>
    <t xml:space="preserve">5510FS</t>
  </si>
  <si>
    <t xml:space="preserve">MSP-5512</t>
  </si>
  <si>
    <t xml:space="preserve">1.8.1.5.1.12</t>
  </si>
  <si>
    <t xml:space="preserve">PUNTO DE RED DOBLE T/JACK (02 PUERTOS P/DATOS) EN PARED DRYWALL P/EMPOTRAR</t>
  </si>
  <si>
    <t xml:space="preserve">5511FS</t>
  </si>
  <si>
    <t xml:space="preserve">MSP-5513</t>
  </si>
  <si>
    <t xml:space="preserve">1.8.1.5.1.13</t>
  </si>
  <si>
    <t xml:space="preserve">PUNTO DE RED DOBLE ALTO T/JACK (02 PUERTOS P/DATOS) EN PARED DRYWALL P/EMPOTRAR</t>
  </si>
  <si>
    <t xml:space="preserve">5512FS</t>
  </si>
  <si>
    <t xml:space="preserve">MSP-5514</t>
  </si>
  <si>
    <t xml:space="preserve">1.8.1.5.1.14</t>
  </si>
  <si>
    <t xml:space="preserve">PUNTO DE RED DOBLE MIXTO T/JACK (01 PUERTO P/DATOS, 01 PUERTO/VOZ) EN PISO P/EMPOTRAR</t>
  </si>
  <si>
    <t xml:space="preserve">5513FS</t>
  </si>
  <si>
    <t xml:space="preserve">MSP-5515</t>
  </si>
  <si>
    <t xml:space="preserve">1.8.1.5.1.15</t>
  </si>
  <si>
    <t xml:space="preserve">PUNTO DE RED DOBLE MIXTO T/JACK (01 PUERTO P/DATOS, 01 PUERTO/VOZ) EN PARED P/EMPOTRAR</t>
  </si>
  <si>
    <t xml:space="preserve">5514FS</t>
  </si>
  <si>
    <t xml:space="preserve">MSP-5516</t>
  </si>
  <si>
    <t xml:space="preserve">1.8.1.5.1.16</t>
  </si>
  <si>
    <t xml:space="preserve">PUNTO DE RED DOBLE MIXTO T/JACK (01 PUERTO P/DATOS, 01 PUERTO/VOZ) EN PARED DRYWALL P/EMPOTRAR</t>
  </si>
  <si>
    <t xml:space="preserve">5515FS</t>
  </si>
  <si>
    <t xml:space="preserve">MSP-5517</t>
  </si>
  <si>
    <t xml:space="preserve">1.8.1.5.2</t>
  </si>
  <si>
    <t xml:space="preserve">CONDUCTORES DE CIRCUITO DE CABLEADO ESTRUCTURADO</t>
  </si>
  <si>
    <t xml:space="preserve">MSP-5518</t>
  </si>
  <si>
    <t xml:space="preserve">1.8.1.5.2.1</t>
  </si>
  <si>
    <t xml:space="preserve">CABLEADO F/UTP CAT6A</t>
  </si>
  <si>
    <t xml:space="preserve">MSP-5519</t>
  </si>
  <si>
    <t xml:space="preserve">1.8.1.5.2.2</t>
  </si>
  <si>
    <t xml:space="preserve">CABLEADO MULTIMODO F.O. OM4/06 HILOS</t>
  </si>
  <si>
    <t xml:space="preserve">MSP-5520</t>
  </si>
  <si>
    <t xml:space="preserve">1.8.1.5.3</t>
  </si>
  <si>
    <t xml:space="preserve">PRUEBAS Y PROTOCOLOS EN INSTALACIONES DE COMUNICACIONES</t>
  </si>
  <si>
    <t xml:space="preserve">MSP-5521</t>
  </si>
  <si>
    <t xml:space="preserve">1.8.1.5.3.1</t>
  </si>
  <si>
    <t xml:space="preserve">PRUEBAS DE CERTIFICACION DEL CABLEADO HORIZONTAL PARA CONECTOR TIPO JACK</t>
  </si>
  <si>
    <t xml:space="preserve">5501FS;5502FS;5503FS;5504FS;5505FS;5506FS;5507FS;5508FS;5509FS;5510FS;5511FS;5512FS;5513FS;5514FS;5515FS;5516FS;5519FS</t>
  </si>
  <si>
    <t xml:space="preserve">MSP-5522</t>
  </si>
  <si>
    <t xml:space="preserve">1.8.1.5.3.2</t>
  </si>
  <si>
    <t xml:space="preserve">PRUEBAS DE CERTIFICACION DEL CABLEADO HORIZONTAL PARA CONECTOR TIPO PLUG</t>
  </si>
  <si>
    <t xml:space="preserve">5521SS</t>
  </si>
  <si>
    <t xml:space="preserve">MSP-5523</t>
  </si>
  <si>
    <t xml:space="preserve">1.8.1.5.3.3</t>
  </si>
  <si>
    <t xml:space="preserve">PRUEBAS DE FUSION Y CERTIFICACION DEL CABLEADO VERTICAL</t>
  </si>
  <si>
    <t xml:space="preserve">MSP-5524</t>
  </si>
  <si>
    <t xml:space="preserve">1.8.1.6</t>
  </si>
  <si>
    <t xml:space="preserve">CIRCUITO DE TELEFONIA IP</t>
  </si>
  <si>
    <t xml:space="preserve">MSP-5525</t>
  </si>
  <si>
    <t xml:space="preserve">1.8.1.6.1</t>
  </si>
  <si>
    <t xml:space="preserve">EQUIPAMIENTO TECNOLOGICO - TELEFONIA IP</t>
  </si>
  <si>
    <t xml:space="preserve">MSP-5526</t>
  </si>
  <si>
    <t xml:space="preserve">1.8.1.6.1.1</t>
  </si>
  <si>
    <t xml:space="preserve">TELEFONO GENERICO IP SOBREMESA</t>
  </si>
  <si>
    <t xml:space="preserve">5521FS;5522FS;5523FS</t>
  </si>
  <si>
    <t xml:space="preserve">MSP-5527</t>
  </si>
  <si>
    <t xml:space="preserve">1.8.1.6.1.2</t>
  </si>
  <si>
    <t xml:space="preserve">TELEFONO EJECUTIVO IP</t>
  </si>
  <si>
    <t xml:space="preserve">5526SS</t>
  </si>
  <si>
    <t xml:space="preserve">MSP-5528</t>
  </si>
  <si>
    <t xml:space="preserve">1.8.1.6.1.3</t>
  </si>
  <si>
    <t xml:space="preserve">TELEFONO OPERADORA IP</t>
  </si>
  <si>
    <t xml:space="preserve">MSP-5529</t>
  </si>
  <si>
    <t xml:space="preserve">1.8.1.6.1.4</t>
  </si>
  <si>
    <t xml:space="preserve">CENTRAL DE TELEFONIA IP</t>
  </si>
  <si>
    <t xml:space="preserve">MSP-5530</t>
  </si>
  <si>
    <t xml:space="preserve">1.8.1.7</t>
  </si>
  <si>
    <t xml:space="preserve">CIRCUITO DE RED INALAMBRICA</t>
  </si>
  <si>
    <t xml:space="preserve">MSP-5531</t>
  </si>
  <si>
    <t xml:space="preserve">1.8.1.7.1</t>
  </si>
  <si>
    <t xml:space="preserve">EQUIPAMIENTO TECNOLOGICO - INALÁMBRICO</t>
  </si>
  <si>
    <t xml:space="preserve">MSP-5532</t>
  </si>
  <si>
    <t xml:space="preserve">1.8.1.7.1.1</t>
  </si>
  <si>
    <t xml:space="preserve">ACCESO INALAMBRICO (ACCESS POINT)</t>
  </si>
  <si>
    <t xml:space="preserve">5529FS</t>
  </si>
  <si>
    <t xml:space="preserve">MSP-5533</t>
  </si>
  <si>
    <t xml:space="preserve">1.8.1.8</t>
  </si>
  <si>
    <t xml:space="preserve">CIRCUITO DE CONECTIVIDAD Y SEGURIDAD INFORMATICA</t>
  </si>
  <si>
    <t xml:space="preserve">MSP-5534</t>
  </si>
  <si>
    <t xml:space="preserve">1.8.1.8.1</t>
  </si>
  <si>
    <t xml:space="preserve">GABINETES DE CENTRO DE DATOS Y PROV. DE SERVICIOS</t>
  </si>
  <si>
    <t xml:space="preserve">MSP-5535</t>
  </si>
  <si>
    <t xml:space="preserve">1.8.1.8.1.1</t>
  </si>
  <si>
    <t xml:space="preserve">SUMINISTRO E INSTALACION DE GABINETE PRINCIPAL DE COMUNICACIONES GPC-01</t>
  </si>
  <si>
    <t xml:space="preserve">MSP-5536</t>
  </si>
  <si>
    <t xml:space="preserve">1.8.1.8.1.1.1</t>
  </si>
  <si>
    <t xml:space="preserve">GABINETE DE PISO P/DISTRIBUCION DE 42 RU</t>
  </si>
  <si>
    <t xml:space="preserve">5532FS</t>
  </si>
  <si>
    <t xml:space="preserve">MSP-5537</t>
  </si>
  <si>
    <t xml:space="preserve">1.8.1.8.1.1.2</t>
  </si>
  <si>
    <t xml:space="preserve">ACCESORIOS PASIVOS GPC-01</t>
  </si>
  <si>
    <t xml:space="preserve">5536SS</t>
  </si>
  <si>
    <t xml:space="preserve">MSP-5538</t>
  </si>
  <si>
    <t xml:space="preserve">1.8.1.8.1.2</t>
  </si>
  <si>
    <t xml:space="preserve">SUMINISTRO E INSTALACION DE GABINETE PRINCIPAL DE COMUNICACIONES GPC-02</t>
  </si>
  <si>
    <t xml:space="preserve">MSP-5539</t>
  </si>
  <si>
    <t xml:space="preserve">1.8.1.8.1.2.1</t>
  </si>
  <si>
    <t xml:space="preserve">5537FS</t>
  </si>
  <si>
    <t xml:space="preserve">MSP-5540</t>
  </si>
  <si>
    <t xml:space="preserve">1.8.1.8.1.2.2</t>
  </si>
  <si>
    <t xml:space="preserve">ACCESORIOS PASIVOS GPC-02</t>
  </si>
  <si>
    <t xml:space="preserve">5539SS</t>
  </si>
  <si>
    <t xml:space="preserve">MSP-5541</t>
  </si>
  <si>
    <t xml:space="preserve">1.8.1.8.1.3</t>
  </si>
  <si>
    <t xml:space="preserve">SUMINISTRO E INSTALACION DE GABINETE PRINCIPAL DE COMUNICACIONES GPC-03</t>
  </si>
  <si>
    <t xml:space="preserve">MSP-5542</t>
  </si>
  <si>
    <t xml:space="preserve">1.8.1.8.1.3.1</t>
  </si>
  <si>
    <t xml:space="preserve">GABINETE DE PISO P/SERVIDORES DE 42 RU</t>
  </si>
  <si>
    <t xml:space="preserve">5540FS</t>
  </si>
  <si>
    <t xml:space="preserve">MSP-5543</t>
  </si>
  <si>
    <t xml:space="preserve">1.8.1.8.1.3.2</t>
  </si>
  <si>
    <t xml:space="preserve">ACCESORIOS PASIVOS GPC-03</t>
  </si>
  <si>
    <t xml:space="preserve">5542SS</t>
  </si>
  <si>
    <t xml:space="preserve">MSP-5544</t>
  </si>
  <si>
    <t xml:space="preserve">1.8.1.8.1.4</t>
  </si>
  <si>
    <t xml:space="preserve">SUMINISTRO E INSTALACION DE GABINETE DE PROV. GPS-01</t>
  </si>
  <si>
    <t xml:space="preserve">MSP-5545</t>
  </si>
  <si>
    <t xml:space="preserve">1.8.1.8.1.4.1</t>
  </si>
  <si>
    <t xml:space="preserve">GABINETE DE PARED P/PROVEEDOR DE SERVICIOS DE 12 RU</t>
  </si>
  <si>
    <t xml:space="preserve">5543FS</t>
  </si>
  <si>
    <t xml:space="preserve">MSP-5546</t>
  </si>
  <si>
    <t xml:space="preserve">1.8.1.8.1.4.2</t>
  </si>
  <si>
    <t xml:space="preserve">ACCESORIOS PASIVOS GPS-01</t>
  </si>
  <si>
    <t xml:space="preserve">5545SS</t>
  </si>
  <si>
    <t xml:space="preserve">MSP-5547</t>
  </si>
  <si>
    <t xml:space="preserve">1.8.1.8.2</t>
  </si>
  <si>
    <t xml:space="preserve">GABINETES DE DISTRIBUCION</t>
  </si>
  <si>
    <t xml:space="preserve">MSP-5548</t>
  </si>
  <si>
    <t xml:space="preserve">1.8.1.8.2.1</t>
  </si>
  <si>
    <t xml:space="preserve">SUMINISTRO E INSTALACION DE GABINETE SECUNDARIO DE COMUNICACIÓN GSC-P1.01</t>
  </si>
  <si>
    <t xml:space="preserve">MSP-5549</t>
  </si>
  <si>
    <t xml:space="preserve">1.8.1.8.2.1.1</t>
  </si>
  <si>
    <t xml:space="preserve">5546FS</t>
  </si>
  <si>
    <t xml:space="preserve">MSP-5550</t>
  </si>
  <si>
    <t xml:space="preserve">1.8.1.8.2.1.2</t>
  </si>
  <si>
    <t xml:space="preserve">ACCESORIOS PASIVOS GSC-P1.01</t>
  </si>
  <si>
    <t xml:space="preserve">5549SS</t>
  </si>
  <si>
    <t xml:space="preserve">MSP-5551</t>
  </si>
  <si>
    <t xml:space="preserve">1.8.1.8.2.2</t>
  </si>
  <si>
    <t xml:space="preserve">SUMINISTRO E INSTALACION DE GABINETE SECUNDARIO DE COMUNICACION GSC-P1.02</t>
  </si>
  <si>
    <t xml:space="preserve">MSP-5552</t>
  </si>
  <si>
    <t xml:space="preserve">1.8.1.8.2.2.1</t>
  </si>
  <si>
    <t xml:space="preserve">GABINETE DE PARED P/DISTRIBUCION DE 18 RU</t>
  </si>
  <si>
    <t xml:space="preserve">5550FS</t>
  </si>
  <si>
    <t xml:space="preserve">MSP-5553</t>
  </si>
  <si>
    <t xml:space="preserve">1.8.1.8.2.2.2</t>
  </si>
  <si>
    <t xml:space="preserve">ACCESORIOS PASIVOS GSC-P1.02</t>
  </si>
  <si>
    <t xml:space="preserve">5552FS</t>
  </si>
  <si>
    <t xml:space="preserve">MSP-5554</t>
  </si>
  <si>
    <t xml:space="preserve">1.8.1.8.2.3</t>
  </si>
  <si>
    <t xml:space="preserve">SUMINISTRO E INSTALACION DE GABINETE SECUNDARIO DE COMUNICACIÓN GSC-P1.03</t>
  </si>
  <si>
    <t xml:space="preserve">MSP-5555</t>
  </si>
  <si>
    <t xml:space="preserve">1.8.1.8.2.3.1</t>
  </si>
  <si>
    <t xml:space="preserve">5553FS</t>
  </si>
  <si>
    <t xml:space="preserve">MSP-5556</t>
  </si>
  <si>
    <t xml:space="preserve">1.8.1.8.2.3.2</t>
  </si>
  <si>
    <t xml:space="preserve">ACCESORIOS PASIVOS GSC-P1.03</t>
  </si>
  <si>
    <t xml:space="preserve">5555SS</t>
  </si>
  <si>
    <t xml:space="preserve">MSP-5557</t>
  </si>
  <si>
    <t xml:space="preserve">1.8.1.8.2.4</t>
  </si>
  <si>
    <t xml:space="preserve">SUMINISTRO E INSTALACION DE GABINETE SECUNDARIO DE COMUNICACIONES GSC-P2.01</t>
  </si>
  <si>
    <t xml:space="preserve">MSP-5558</t>
  </si>
  <si>
    <t xml:space="preserve">1.8.1.8.2.4.1</t>
  </si>
  <si>
    <t xml:space="preserve">5556FS</t>
  </si>
  <si>
    <t xml:space="preserve">MSP-5559</t>
  </si>
  <si>
    <t xml:space="preserve">1.8.1.8.2.4.2</t>
  </si>
  <si>
    <t xml:space="preserve">ACCESORIOS PASIVOS GSC-P2.01</t>
  </si>
  <si>
    <t xml:space="preserve">5558SS</t>
  </si>
  <si>
    <t xml:space="preserve">MSP-5560</t>
  </si>
  <si>
    <t xml:space="preserve">1.8.1.8.2.5</t>
  </si>
  <si>
    <t xml:space="preserve">SUMINISTRO E INSTALACION DE GABINETE SECUNDARIO DE COMUNICACIONES GSC-P3.01</t>
  </si>
  <si>
    <t xml:space="preserve">MSP-5561</t>
  </si>
  <si>
    <t xml:space="preserve">1.8.1.8.2.5.1</t>
  </si>
  <si>
    <t xml:space="preserve">5559FS</t>
  </si>
  <si>
    <t xml:space="preserve">MSP-5562</t>
  </si>
  <si>
    <t xml:space="preserve">1.8.1.8.2.5.2</t>
  </si>
  <si>
    <t xml:space="preserve">ACCESORIOS PASIVOS GSC-P3.01</t>
  </si>
  <si>
    <t xml:space="preserve">5561SS</t>
  </si>
  <si>
    <t xml:space="preserve">MSP-5563</t>
  </si>
  <si>
    <t xml:space="preserve">1.8.1.8.3</t>
  </si>
  <si>
    <t xml:space="preserve">EQUIPAMIENTO NETWORKING</t>
  </si>
  <si>
    <t xml:space="preserve">MSP-5564</t>
  </si>
  <si>
    <t xml:space="preserve">1.8.1.8.3.1</t>
  </si>
  <si>
    <t xml:space="preserve">SUMINISTRO E INSTALACION DE FIREWALL</t>
  </si>
  <si>
    <t xml:space="preserve">MSP-5565</t>
  </si>
  <si>
    <t xml:space="preserve">1.8.1.8.3.1.1</t>
  </si>
  <si>
    <t xml:space="preserve">FIREWALL PRINCIPAL</t>
  </si>
  <si>
    <t xml:space="preserve">5562FS</t>
  </si>
  <si>
    <t xml:space="preserve">MSP-5566</t>
  </si>
  <si>
    <t xml:space="preserve">1.8.1.8.3.2</t>
  </si>
  <si>
    <t xml:space="preserve">SUMINISTRO E INSTALACION DE SWITCH CORE PRINCIPAL</t>
  </si>
  <si>
    <t xml:space="preserve">MSP-5567</t>
  </si>
  <si>
    <t xml:space="preserve">1.8.1.8.3.2.1</t>
  </si>
  <si>
    <t xml:space="preserve">SWITCH ADMINISTRABLE CORE L3 24P, 8xSFP+</t>
  </si>
  <si>
    <t xml:space="preserve">5565FS</t>
  </si>
  <si>
    <t xml:space="preserve">MSP-5568</t>
  </si>
  <si>
    <t xml:space="preserve">1.8.1.8.3.3</t>
  </si>
  <si>
    <t xml:space="preserve">SUMINISTRO E INSTALACION SWITCH DE DISTRIB. PARA EQUIPOS DE GAB. GPC-02 Y GPC-03</t>
  </si>
  <si>
    <t xml:space="preserve">MSP-5569</t>
  </si>
  <si>
    <t xml:space="preserve">1.8.1.8.3.3.1</t>
  </si>
  <si>
    <t xml:space="preserve">SWITCH ADMINISTRABLE L2 24P, 4xSFP+</t>
  </si>
  <si>
    <t xml:space="preserve">5567FS</t>
  </si>
  <si>
    <t xml:space="preserve">MSP-5570</t>
  </si>
  <si>
    <t xml:space="preserve">1.8.1.8.3.4</t>
  </si>
  <si>
    <t xml:space="preserve">SUMINISTRO E INSTALACION DE SWITCH DE ACCESO 24P</t>
  </si>
  <si>
    <t xml:space="preserve">MSP-5571</t>
  </si>
  <si>
    <t xml:space="preserve">1.8.1.8.3.4.1</t>
  </si>
  <si>
    <t xml:space="preserve">5569FS</t>
  </si>
  <si>
    <t xml:space="preserve">MSP-5572</t>
  </si>
  <si>
    <t xml:space="preserve">1.8.1.8.3.5</t>
  </si>
  <si>
    <t xml:space="preserve">SUMINISTRO E INSTALACION  SWITCH DE ACCESO 24 P PoE+</t>
  </si>
  <si>
    <t xml:space="preserve">MSP-5573</t>
  </si>
  <si>
    <t xml:space="preserve">1.8.1.8.3.5.1</t>
  </si>
  <si>
    <t xml:space="preserve">SWITCH ADMINISTRABLE L2 24P POE+, 4xSFP+</t>
  </si>
  <si>
    <t xml:space="preserve">5571FS</t>
  </si>
  <si>
    <t xml:space="preserve">MSP-5574</t>
  </si>
  <si>
    <t xml:space="preserve">1.8.1.8.3.6</t>
  </si>
  <si>
    <t xml:space="preserve">SUMINISTRO E INSTALACION  SWITCH DE ACCESO 48P</t>
  </si>
  <si>
    <t xml:space="preserve">MSP-5575</t>
  </si>
  <si>
    <t xml:space="preserve">1.8.1.8.3.6.1</t>
  </si>
  <si>
    <t xml:space="preserve">SWITCH ADMINISTRABLE L2 48P, 4xSFP+</t>
  </si>
  <si>
    <t xml:space="preserve">5573FS</t>
  </si>
  <si>
    <t xml:space="preserve">MSP-5576</t>
  </si>
  <si>
    <t xml:space="preserve">1.8.1.8.4</t>
  </si>
  <si>
    <t xml:space="preserve">EQUIPAMIENTO SERVIDORES</t>
  </si>
  <si>
    <t xml:space="preserve">MSP-5577</t>
  </si>
  <si>
    <t xml:space="preserve">1.8.1.8.4.1</t>
  </si>
  <si>
    <t xml:space="preserve">SUMINISTRO E INSTALACION DE SERVIDOR DE APLICACIONES</t>
  </si>
  <si>
    <t xml:space="preserve">MSP-5578</t>
  </si>
  <si>
    <t xml:space="preserve">1.8.1.8.4.1.1</t>
  </si>
  <si>
    <t xml:space="preserve">SERVIDOR DE APLICACIONES</t>
  </si>
  <si>
    <t xml:space="preserve">5575FS</t>
  </si>
  <si>
    <t xml:space="preserve">MSP-5579</t>
  </si>
  <si>
    <t xml:space="preserve">1.8.1.8.4.2</t>
  </si>
  <si>
    <t xml:space="preserve">SUMINISTRO E INSTALACION DE SERVIDOR DE ALMACENAMIENTO</t>
  </si>
  <si>
    <t xml:space="preserve">MSP-5580</t>
  </si>
  <si>
    <t xml:space="preserve">1.8.1.8.4.2.1</t>
  </si>
  <si>
    <t xml:space="preserve">SERVIDOR DE ALMACENAMIENTO</t>
  </si>
  <si>
    <t xml:space="preserve">5578FS</t>
  </si>
  <si>
    <t xml:space="preserve">MSP-5581</t>
  </si>
  <si>
    <t xml:space="preserve">1.8.1.8.4.3</t>
  </si>
  <si>
    <t xml:space="preserve">SUMINISTRO E INSTALACION DE CONSOLA KVM</t>
  </si>
  <si>
    <t xml:space="preserve">MSP-5582</t>
  </si>
  <si>
    <t xml:space="preserve">1.8.1.8.4.3.1</t>
  </si>
  <si>
    <t xml:space="preserve">CONSOLA KVM LCD</t>
  </si>
  <si>
    <t xml:space="preserve">5580FS</t>
  </si>
  <si>
    <t xml:space="preserve">MSP-5583</t>
  </si>
  <si>
    <t xml:space="preserve">1.8.1.9</t>
  </si>
  <si>
    <t xml:space="preserve">CIRCUTO DE SONIDO AMBIENTAL, PERIFONEO Y MULTIMEDIA</t>
  </si>
  <si>
    <t xml:space="preserve">MSP-5584</t>
  </si>
  <si>
    <t xml:space="preserve">1.8.1.9.1</t>
  </si>
  <si>
    <t xml:space="preserve">CONDUCTORES</t>
  </si>
  <si>
    <t xml:space="preserve">MSP-5585</t>
  </si>
  <si>
    <t xml:space="preserve">1.8.1.9.1.1</t>
  </si>
  <si>
    <t xml:space="preserve">CABLE SIMPLE RCA 1-2x14AWG</t>
  </si>
  <si>
    <t xml:space="preserve">5498FS</t>
  </si>
  <si>
    <t xml:space="preserve">MSP-5586</t>
  </si>
  <si>
    <t xml:space="preserve">1.8.1.9.1.2</t>
  </si>
  <si>
    <t xml:space="preserve">CABLE BALANCEADO 1-2x22AWG</t>
  </si>
  <si>
    <t xml:space="preserve">5585FS</t>
  </si>
  <si>
    <t xml:space="preserve">MSP-5587</t>
  </si>
  <si>
    <t xml:space="preserve">1.8.1.9.1.3</t>
  </si>
  <si>
    <t xml:space="preserve">5586FS</t>
  </si>
  <si>
    <t xml:space="preserve">MSP-5588</t>
  </si>
  <si>
    <t xml:space="preserve">1.8.1.9.2</t>
  </si>
  <si>
    <t xml:space="preserve">PUNTOS MULTIMEDIA</t>
  </si>
  <si>
    <t xml:space="preserve">MSP-5589</t>
  </si>
  <si>
    <t xml:space="preserve">1.8.1.9.2.1</t>
  </si>
  <si>
    <t xml:space="preserve">PUNTO XLR DOBLE</t>
  </si>
  <si>
    <t xml:space="preserve">5587FS</t>
  </si>
  <si>
    <t xml:space="preserve">MSP-5590</t>
  </si>
  <si>
    <t xml:space="preserve">1.8.1.9.2.2</t>
  </si>
  <si>
    <t xml:space="preserve">PUNTO SPEAKON SIMPLE</t>
  </si>
  <si>
    <t xml:space="preserve">5589FS</t>
  </si>
  <si>
    <t xml:space="preserve">MSP-5591</t>
  </si>
  <si>
    <t xml:space="preserve">1.8.1.9.2.3</t>
  </si>
  <si>
    <t xml:space="preserve">PUNTO HDMI PRECONECTORIZADO</t>
  </si>
  <si>
    <t xml:space="preserve">5590FS</t>
  </si>
  <si>
    <t xml:space="preserve">MSP-5592</t>
  </si>
  <si>
    <t xml:space="preserve">1.8.1.9.2.4</t>
  </si>
  <si>
    <t xml:space="preserve">PUNTO HDMI PRECONECTORIZADO P/ADOSAR EN CAJA POP UP DE PISO</t>
  </si>
  <si>
    <t xml:space="preserve">5591FS</t>
  </si>
  <si>
    <t xml:space="preserve">MSP-5593</t>
  </si>
  <si>
    <t xml:space="preserve">1.8.1.9.3</t>
  </si>
  <si>
    <t xml:space="preserve">EQUIPAMIETO TECNOLOGICO - SONIDO AMBIENTAL Y PERIFONEO</t>
  </si>
  <si>
    <t xml:space="preserve">MSP-5594</t>
  </si>
  <si>
    <t xml:space="preserve">1.8.1.9.3.1</t>
  </si>
  <si>
    <t xml:space="preserve">ALTAVOZ DE TECHO DE 6W RMS/100V</t>
  </si>
  <si>
    <t xml:space="preserve">5592FS</t>
  </si>
  <si>
    <t xml:space="preserve">MSP-5595</t>
  </si>
  <si>
    <t xml:space="preserve">1.8.1.9.3.2</t>
  </si>
  <si>
    <t xml:space="preserve">ALTAVOZ DE TECHO DE 15W RMS/100V</t>
  </si>
  <si>
    <t xml:space="preserve">5594FS</t>
  </si>
  <si>
    <t xml:space="preserve">MSP-5596</t>
  </si>
  <si>
    <t xml:space="preserve">1.8.1.9.3.3</t>
  </si>
  <si>
    <t xml:space="preserve">PARLANTE TIPO CAJA P/INTERIOR 30W RMS/100V</t>
  </si>
  <si>
    <t xml:space="preserve">5595FS</t>
  </si>
  <si>
    <t xml:space="preserve">MSP-5597</t>
  </si>
  <si>
    <t xml:space="preserve">1.8.1.9.3.4</t>
  </si>
  <si>
    <t xml:space="preserve">PARLANTE TIPO CAJA P/INTERIOR 60W RMS/100V</t>
  </si>
  <si>
    <t xml:space="preserve">5596FS</t>
  </si>
  <si>
    <t xml:space="preserve">MSP-5598</t>
  </si>
  <si>
    <t xml:space="preserve">1.8.1.9.3.5</t>
  </si>
  <si>
    <t xml:space="preserve">PROYECTOR DE SONIDO P/EXTERIOR 30W RMS/100V</t>
  </si>
  <si>
    <t xml:space="preserve">5597FS</t>
  </si>
  <si>
    <t xml:space="preserve">MSP-5599</t>
  </si>
  <si>
    <t xml:space="preserve">1.8.1.9.3.6</t>
  </si>
  <si>
    <t xml:space="preserve">CONTROL DE VOLUMEN MULTIZONA DIGITAL</t>
  </si>
  <si>
    <t xml:space="preserve">5598FS</t>
  </si>
  <si>
    <t xml:space="preserve">MSP-5600</t>
  </si>
  <si>
    <t xml:space="preserve">1.8.1.9.3.7</t>
  </si>
  <si>
    <t xml:space="preserve">MICROFONO CUELLO DE GANSO MULTIZONA DIGITAL</t>
  </si>
  <si>
    <t xml:space="preserve">5599FS</t>
  </si>
  <si>
    <t xml:space="preserve">MSP-5601</t>
  </si>
  <si>
    <t xml:space="preserve">1.8.1.9.3.8</t>
  </si>
  <si>
    <t xml:space="preserve">MICROFONO ALAMBRICO + PEDESTAL P/ MICROFONO</t>
  </si>
  <si>
    <t xml:space="preserve">5600FS</t>
  </si>
  <si>
    <t xml:space="preserve">MSP-5602</t>
  </si>
  <si>
    <t xml:space="preserve">1.8.1.9.3.9</t>
  </si>
  <si>
    <t xml:space="preserve">DISTRIBUIDOR DIGITAL</t>
  </si>
  <si>
    <t xml:space="preserve">5601FS</t>
  </si>
  <si>
    <t xml:space="preserve">MSP-5603</t>
  </si>
  <si>
    <t xml:space="preserve">1.8.1.9.3.10</t>
  </si>
  <si>
    <t xml:space="preserve">MATRIZ AUDIO DIGITAL</t>
  </si>
  <si>
    <t xml:space="preserve">5602FS</t>
  </si>
  <si>
    <t xml:space="preserve">MSP-5604</t>
  </si>
  <si>
    <t xml:space="preserve">1.8.1.9.3.11</t>
  </si>
  <si>
    <t xml:space="preserve">AMPLIFICADOR DE AUDIO MULTICANAL, 4CH X 500W/100V</t>
  </si>
  <si>
    <t xml:space="preserve">5603FS</t>
  </si>
  <si>
    <t xml:space="preserve">MSP-5605</t>
  </si>
  <si>
    <t xml:space="preserve">1.8.1.9.3.12</t>
  </si>
  <si>
    <t xml:space="preserve">EXTENSOR HDMI A RJ45 ACTIVO</t>
  </si>
  <si>
    <t xml:space="preserve">5604FS</t>
  </si>
  <si>
    <t xml:space="preserve">MSP-5606</t>
  </si>
  <si>
    <t xml:space="preserve">1.8.1.9.3.13</t>
  </si>
  <si>
    <t xml:space="preserve">GATEWAY DE AUDIO IP</t>
  </si>
  <si>
    <t xml:space="preserve">5605FS</t>
  </si>
  <si>
    <t xml:space="preserve">MSP-5607</t>
  </si>
  <si>
    <t xml:space="preserve">1.8.1.9.3.14</t>
  </si>
  <si>
    <t xml:space="preserve">CABLE HDMI DE 10 METROS</t>
  </si>
  <si>
    <t xml:space="preserve">5606FS</t>
  </si>
  <si>
    <t xml:space="preserve">MSP-5608</t>
  </si>
  <si>
    <t xml:space="preserve">1.8.1.9.3.15</t>
  </si>
  <si>
    <t xml:space="preserve">CABLE HDMI DE 15 METROS</t>
  </si>
  <si>
    <t xml:space="preserve">5607FS</t>
  </si>
  <si>
    <t xml:space="preserve">MSP-5609</t>
  </si>
  <si>
    <t xml:space="preserve">1.8.1.9.3.16</t>
  </si>
  <si>
    <t xml:space="preserve">CABLE HDMI DE 18 METROS</t>
  </si>
  <si>
    <t xml:space="preserve">5608FS</t>
  </si>
  <si>
    <t xml:space="preserve">MSP-5610</t>
  </si>
  <si>
    <t xml:space="preserve">1.8.1.9.4</t>
  </si>
  <si>
    <t xml:space="preserve">GABINETE RACK MÓVIL P/EQUIPOS DE SONIDO</t>
  </si>
  <si>
    <t xml:space="preserve">MSP-5611</t>
  </si>
  <si>
    <t xml:space="preserve">1.8.1.9.4.1</t>
  </si>
  <si>
    <t xml:space="preserve">RACK DE 12RU PARA CONSOLA Y EQUIPOS DE SONIDO</t>
  </si>
  <si>
    <t xml:space="preserve">5609FS</t>
  </si>
  <si>
    <t xml:space="preserve">MSP-5612</t>
  </si>
  <si>
    <t xml:space="preserve">1.8.1.9.4.2</t>
  </si>
  <si>
    <t xml:space="preserve">REPRODUCTOR DE AUDIO DIGITAL CON USB</t>
  </si>
  <si>
    <t xml:space="preserve">5611FS</t>
  </si>
  <si>
    <t xml:space="preserve">MSP-5613</t>
  </si>
  <si>
    <t xml:space="preserve">1.8.1.9.4.3</t>
  </si>
  <si>
    <t xml:space="preserve">EQUIPO RECEPTOR RACKEABLE + MICROFONO INALAMBRICO TIPO MANO</t>
  </si>
  <si>
    <t xml:space="preserve">5612FS</t>
  </si>
  <si>
    <t xml:space="preserve">MSP-5614</t>
  </si>
  <si>
    <t xml:space="preserve">1.8.1.9.4.4</t>
  </si>
  <si>
    <t xml:space="preserve">MEZCLADOR DE SONIDO 16 CH</t>
  </si>
  <si>
    <t xml:space="preserve">5613FS</t>
  </si>
  <si>
    <t xml:space="preserve">MSP-5615</t>
  </si>
  <si>
    <t xml:space="preserve">1.8.1.9.4.5</t>
  </si>
  <si>
    <t xml:space="preserve">AMPLIFICADOR 650W RMS / 100V</t>
  </si>
  <si>
    <t xml:space="preserve">5614FS</t>
  </si>
  <si>
    <t xml:space="preserve">MSP-5616</t>
  </si>
  <si>
    <t xml:space="preserve">1.8.1.10</t>
  </si>
  <si>
    <t xml:space="preserve">CIRCUITO DE DETECCIÓN Y ALARMA  DE INCENDIO</t>
  </si>
  <si>
    <t xml:space="preserve">MSP-5617</t>
  </si>
  <si>
    <t xml:space="preserve">1.8.1.10.1</t>
  </si>
  <si>
    <t xml:space="preserve">MSP-5618</t>
  </si>
  <si>
    <t xml:space="preserve">1.8.1.10.1.1</t>
  </si>
  <si>
    <t xml:space="preserve">CABLE FPLP 1 - 2 X 18 AWG (SLC)</t>
  </si>
  <si>
    <t xml:space="preserve">5480FS</t>
  </si>
  <si>
    <t xml:space="preserve">MSP-5619</t>
  </si>
  <si>
    <t xml:space="preserve">1.8.1.10.1.2</t>
  </si>
  <si>
    <t xml:space="preserve">CABLE FPLP 1 - 2 X 16 AWG (NAC)</t>
  </si>
  <si>
    <t xml:space="preserve">5618FS</t>
  </si>
  <si>
    <t xml:space="preserve">MSP-5620</t>
  </si>
  <si>
    <t xml:space="preserve">1.8.1.10.1.3</t>
  </si>
  <si>
    <t xml:space="preserve">CABLE FPLP 1 - 4 X 18 AWG (ASI)</t>
  </si>
  <si>
    <t xml:space="preserve">5619FS</t>
  </si>
  <si>
    <t xml:space="preserve">MSP-5621</t>
  </si>
  <si>
    <t xml:space="preserve">1.8.1.10.2</t>
  </si>
  <si>
    <t xml:space="preserve">EQUIPAMIENTO TECNOLOGICO - DISPOSITIVOS DE DETECCIÓN DIRECCIONABLE</t>
  </si>
  <si>
    <t xml:space="preserve">MSP-5622</t>
  </si>
  <si>
    <t xml:space="preserve">1.8.1.10.2.1</t>
  </si>
  <si>
    <t xml:space="preserve">DETECTOR DE HUMO DIRECCIONABLE P/ADOSAR EN BALDOSA</t>
  </si>
  <si>
    <t xml:space="preserve">5620FS+120.0d</t>
  </si>
  <si>
    <t xml:space="preserve">MSP-5623</t>
  </si>
  <si>
    <t xml:space="preserve">1.8.1.10.2.2</t>
  </si>
  <si>
    <t xml:space="preserve">DETECTOR DE HUMO DIRECCIONABLE P/ADOSAR EN TECHO</t>
  </si>
  <si>
    <t xml:space="preserve">5622FS</t>
  </si>
  <si>
    <t xml:space="preserve">MSP-5624</t>
  </si>
  <si>
    <t xml:space="preserve">1.8.1.10.2.3</t>
  </si>
  <si>
    <t xml:space="preserve">DETECTOR DE TEMPERATURA DIRECCIONABLE P/ADOSAR EN BALDOSA</t>
  </si>
  <si>
    <t xml:space="preserve">5623FS</t>
  </si>
  <si>
    <t xml:space="preserve">MSP-5625</t>
  </si>
  <si>
    <t xml:space="preserve">1.8.1.10.2.4</t>
  </si>
  <si>
    <t xml:space="preserve">DETECTOR MULTIPROPOSITO DIRECCIONABLE P/ADOSAR EN TECHO</t>
  </si>
  <si>
    <t xml:space="preserve">5624FS</t>
  </si>
  <si>
    <t xml:space="preserve">MSP-5626</t>
  </si>
  <si>
    <t xml:space="preserve">1.8.1.10.2.5</t>
  </si>
  <si>
    <t xml:space="preserve">MODULO DE INUNDACION CON SONDA</t>
  </si>
  <si>
    <t xml:space="preserve">5625FS</t>
  </si>
  <si>
    <t xml:space="preserve">MSP-5627</t>
  </si>
  <si>
    <t xml:space="preserve">1.8.1.10.2.6</t>
  </si>
  <si>
    <t xml:space="preserve">MODULO DE MONITOREO</t>
  </si>
  <si>
    <t xml:space="preserve">5626FS</t>
  </si>
  <si>
    <t xml:space="preserve">MSP-5628</t>
  </si>
  <si>
    <t xml:space="preserve">1.8.1.10.2.7</t>
  </si>
  <si>
    <t xml:space="preserve">MODULO AISLADOR DE FALLAS</t>
  </si>
  <si>
    <t xml:space="preserve">5627FS</t>
  </si>
  <si>
    <t xml:space="preserve">MSP-5629</t>
  </si>
  <si>
    <t xml:space="preserve">1.8.1.10.2.8</t>
  </si>
  <si>
    <t xml:space="preserve">MODULO AISLADOR DE FALLAS EN DRYWALL</t>
  </si>
  <si>
    <t xml:space="preserve">5628FS</t>
  </si>
  <si>
    <t xml:space="preserve">MSP-5630</t>
  </si>
  <si>
    <t xml:space="preserve">1.8.1.10.2.9</t>
  </si>
  <si>
    <t xml:space="preserve">MODULO RELÉ</t>
  </si>
  <si>
    <t xml:space="preserve">5629FS</t>
  </si>
  <si>
    <t xml:space="preserve">MSP-5631</t>
  </si>
  <si>
    <t xml:space="preserve">1.8.1.10.2.10</t>
  </si>
  <si>
    <t xml:space="preserve">ESTACION MANUAL DE DOBLE ACCION</t>
  </si>
  <si>
    <t xml:space="preserve">5630FS</t>
  </si>
  <si>
    <t xml:space="preserve">MSP-5632</t>
  </si>
  <si>
    <t xml:space="preserve">1.8.1.10.2.11</t>
  </si>
  <si>
    <t xml:space="preserve">ESTACION MANUAL DE DOBLE ACCION EN DRYWALL</t>
  </si>
  <si>
    <t xml:space="preserve">5631FS</t>
  </si>
  <si>
    <t xml:space="preserve">MSP-5633</t>
  </si>
  <si>
    <t xml:space="preserve">1.8.1.10.2.12</t>
  </si>
  <si>
    <t xml:space="preserve">SIRENA CON LUZ ESTROBOSCOPICA P/PARED</t>
  </si>
  <si>
    <t xml:space="preserve">5632FS</t>
  </si>
  <si>
    <t xml:space="preserve">MSP-5634</t>
  </si>
  <si>
    <t xml:space="preserve">1.8.1.10.2.13</t>
  </si>
  <si>
    <t xml:space="preserve">SIRENA CON LUZ ESTROBOSCOPICA P/TECHO</t>
  </si>
  <si>
    <t xml:space="preserve">5633FS</t>
  </si>
  <si>
    <t xml:space="preserve">MSP-5635</t>
  </si>
  <si>
    <t xml:space="preserve">1.8.1.10.2.14</t>
  </si>
  <si>
    <t xml:space="preserve">PANEL PRINCIPAL DE ALARMAS CONTRA INCENDIOS</t>
  </si>
  <si>
    <t xml:space="preserve">5634FS</t>
  </si>
  <si>
    <t xml:space="preserve">MSP-5636</t>
  </si>
  <si>
    <t xml:space="preserve">1.8.1.10.2.15</t>
  </si>
  <si>
    <t xml:space="preserve">ANUNCIADOR REMOTO ACI</t>
  </si>
  <si>
    <t xml:space="preserve">5635FS</t>
  </si>
  <si>
    <t xml:space="preserve">MSP-5637</t>
  </si>
  <si>
    <t xml:space="preserve">1.8.1.11</t>
  </si>
  <si>
    <t xml:space="preserve">CIRCUITO DE CARTELERIA IP</t>
  </si>
  <si>
    <t xml:space="preserve">MSP-5638</t>
  </si>
  <si>
    <t xml:space="preserve">1.8.1.11.1</t>
  </si>
  <si>
    <t xml:space="preserve">EQUIPAMIENTO TECNOLOGICO - CARTELERIA IP</t>
  </si>
  <si>
    <t xml:space="preserve">MSP-5639</t>
  </si>
  <si>
    <t xml:space="preserve">1.8.1.11.1.1</t>
  </si>
  <si>
    <t xml:space="preserve">REPRODUCTOR DE CARTELERIA IP</t>
  </si>
  <si>
    <t xml:space="preserve">5636FS</t>
  </si>
  <si>
    <t xml:space="preserve">MSP-5640</t>
  </si>
  <si>
    <t xml:space="preserve">1.8.1.12</t>
  </si>
  <si>
    <t xml:space="preserve">CIRCUITO DE VIDEO VIGILANCIA IP</t>
  </si>
  <si>
    <t xml:space="preserve">MSP-5641</t>
  </si>
  <si>
    <t xml:space="preserve">1.8.1.12.1</t>
  </si>
  <si>
    <t xml:space="preserve">EQUIPAMIENTO TECNOLOGICO - VIDEOVIGILANCIA</t>
  </si>
  <si>
    <t xml:space="preserve">MSP-5642</t>
  </si>
  <si>
    <t xml:space="preserve">1.8.1.12.1.1</t>
  </si>
  <si>
    <t xml:space="preserve">CÁMARA MODELO TIPO I (CÁMARA IP TIPO DOMO) P/ADOSAR EN LOSA ALIGERADA</t>
  </si>
  <si>
    <t xml:space="preserve">5464FS</t>
  </si>
  <si>
    <t xml:space="preserve">MSP-5643</t>
  </si>
  <si>
    <t xml:space="preserve">1.8.1.12.1.2</t>
  </si>
  <si>
    <t xml:space="preserve">CÁMARA MODELO TIPO I (CÁMARA IP TIPO DOMO) P/ADOSAR EN BALDOSA</t>
  </si>
  <si>
    <t xml:space="preserve">5642SS</t>
  </si>
  <si>
    <t xml:space="preserve">MSP-5644</t>
  </si>
  <si>
    <t xml:space="preserve">1.8.1.12.1.3</t>
  </si>
  <si>
    <t xml:space="preserve">CÁMARA MODELO TIPO II (CÁMARA IP TIPO TUBO INTERIOR)</t>
  </si>
  <si>
    <t xml:space="preserve">5643FS</t>
  </si>
  <si>
    <t xml:space="preserve">MSP-5645</t>
  </si>
  <si>
    <t xml:space="preserve">1.8.1.12.1.4</t>
  </si>
  <si>
    <t xml:space="preserve">CÁMARA MODELO TIPO III (CÁMARA IP TIPO TUBO EXTERIOR)</t>
  </si>
  <si>
    <t xml:space="preserve">MSP-5646</t>
  </si>
  <si>
    <t xml:space="preserve">1.8.1.12.1.5</t>
  </si>
  <si>
    <t xml:space="preserve">CÁMARA MODELO TIPO IV (CÁMARA IP TIPO DOBLE LENTE) P/ADOSAR EN BALDOSA</t>
  </si>
  <si>
    <t xml:space="preserve">MSP-5647</t>
  </si>
  <si>
    <t xml:space="preserve">1.8.1.12.1.6</t>
  </si>
  <si>
    <t xml:space="preserve">CÁMARA MODELO TIPO V (CÁMARA IP TIPO MULTISENSOR)</t>
  </si>
  <si>
    <t xml:space="preserve">MSP-5648</t>
  </si>
  <si>
    <t xml:space="preserve">1.8.1.12.1.7</t>
  </si>
  <si>
    <t xml:space="preserve">SUMNISTRO E INSTALACIÓN DE MONITOR DE 55" PARA VIDEO VIGILANCIA</t>
  </si>
  <si>
    <t xml:space="preserve">5642FS;5643FS;5644FS;5645FS;5646FS;5647FS</t>
  </si>
  <si>
    <t xml:space="preserve">MSP-5649</t>
  </si>
  <si>
    <t xml:space="preserve">1.8.1.12.1.8</t>
  </si>
  <si>
    <t xml:space="preserve">SUMINISTRO E INSTALACIÓN DE ESTACIONES DE TRABAJO PARA OPERADORES</t>
  </si>
  <si>
    <t xml:space="preserve">5648FS</t>
  </si>
  <si>
    <t xml:space="preserve">MSP-5650</t>
  </si>
  <si>
    <t xml:space="preserve">1.8.1.12.1.9</t>
  </si>
  <si>
    <t xml:space="preserve">DECODER P/VIDEOWALL</t>
  </si>
  <si>
    <t xml:space="preserve">5649FS+120.0d</t>
  </si>
  <si>
    <t xml:space="preserve">MSP-5651</t>
  </si>
  <si>
    <t xml:space="preserve">1.8.1.12.1.10</t>
  </si>
  <si>
    <t xml:space="preserve">GRABADOR DE VIDEO EN RED (NVR)</t>
  </si>
  <si>
    <t xml:space="preserve">5650FS</t>
  </si>
  <si>
    <t xml:space="preserve">MSP-5652</t>
  </si>
  <si>
    <t xml:space="preserve">1.8.1.12.1.11</t>
  </si>
  <si>
    <t xml:space="preserve">5651FS</t>
  </si>
  <si>
    <t xml:space="preserve">MSP-5653</t>
  </si>
  <si>
    <t xml:space="preserve">1.8.1.13</t>
  </si>
  <si>
    <t xml:space="preserve">CIRCUITO DE CONTROL DE ACCESO Y ASISTENCIA</t>
  </si>
  <si>
    <t xml:space="preserve">MSP-5654</t>
  </si>
  <si>
    <t xml:space="preserve">1.8.1.13.1</t>
  </si>
  <si>
    <t xml:space="preserve">MSP-5655</t>
  </si>
  <si>
    <t xml:space="preserve">1.8.1.13.1.1</t>
  </si>
  <si>
    <t xml:space="preserve">CONDUCTOR DE CONTROL NLT 1-2X18AWG</t>
  </si>
  <si>
    <t xml:space="preserve">5488FS</t>
  </si>
  <si>
    <t xml:space="preserve">MSP-5656</t>
  </si>
  <si>
    <t xml:space="preserve">1.8.1.13.1.2</t>
  </si>
  <si>
    <t xml:space="preserve">CONDUCTOR DE ALIMENTACION NLT 1-2X18AWG</t>
  </si>
  <si>
    <t xml:space="preserve">5655FS</t>
  </si>
  <si>
    <t xml:space="preserve">MSP-5657</t>
  </si>
  <si>
    <t xml:space="preserve">1.8.1.13.2</t>
  </si>
  <si>
    <t xml:space="preserve">EQUIPAMIENTO TECNOLOGICO - CONTROL DE ACCESO Y ASISTENCIA</t>
  </si>
  <si>
    <t xml:space="preserve">MSP-5658</t>
  </si>
  <si>
    <t xml:space="preserve">1.8.1.13.2.1</t>
  </si>
  <si>
    <t xml:space="preserve">CONTROL DE ASISTENCIA DE RECONOCIMIENTO FACIAL</t>
  </si>
  <si>
    <t xml:space="preserve">5656FS</t>
  </si>
  <si>
    <t xml:space="preserve">MSP-5659</t>
  </si>
  <si>
    <t xml:space="preserve">1.8.1.13.2.2</t>
  </si>
  <si>
    <t xml:space="preserve">CONTROL DE ACCESO P/PUERTA DE 01 HOJA P/ADOSAR EN MURO</t>
  </si>
  <si>
    <t xml:space="preserve">5658FS</t>
  </si>
  <si>
    <t xml:space="preserve">MSP-5660</t>
  </si>
  <si>
    <t xml:space="preserve">1.8.1.14</t>
  </si>
  <si>
    <t xml:space="preserve">CIRCUITO DE ATERRAMIENTO DE COMUNICACIONES</t>
  </si>
  <si>
    <t xml:space="preserve">MSP-5661</t>
  </si>
  <si>
    <t xml:space="preserve">1.8.1.14.1</t>
  </si>
  <si>
    <t xml:space="preserve">MSP-5662</t>
  </si>
  <si>
    <t xml:space="preserve">1.8.1.14.1.1</t>
  </si>
  <si>
    <t xml:space="preserve">5659FS</t>
  </si>
  <si>
    <t xml:space="preserve">MSP-5663</t>
  </si>
  <si>
    <t xml:space="preserve">1.8.1.14.2</t>
  </si>
  <si>
    <t xml:space="preserve">EQUIPAMIENTO TECNOLOGICO</t>
  </si>
  <si>
    <t xml:space="preserve">MSP-5664</t>
  </si>
  <si>
    <t xml:space="preserve">1.8.1.14.2.1</t>
  </si>
  <si>
    <t xml:space="preserve">POZO DE PUESTA A TIERRA TIPO POZO P/ CORRIENTES DEBILES</t>
  </si>
  <si>
    <t xml:space="preserve">5662FS</t>
  </si>
  <si>
    <t xml:space="preserve">MSP-5665</t>
  </si>
  <si>
    <t xml:space="preserve">1.8.1.14.2.2</t>
  </si>
  <si>
    <t xml:space="preserve">GABINETE CON BARRA DE ATERRAMIENTO  TMGB</t>
  </si>
  <si>
    <t xml:space="preserve">5664FS</t>
  </si>
  <si>
    <t xml:space="preserve">MSP-5666</t>
  </si>
  <si>
    <t xml:space="preserve">1.8.1.14.2.3</t>
  </si>
  <si>
    <t xml:space="preserve">GABINETE CON BARRA DE ATERRAMIENTO TGB</t>
  </si>
  <si>
    <t xml:space="preserve">5665FS</t>
  </si>
  <si>
    <t xml:space="preserve">MSP-5667</t>
  </si>
  <si>
    <t xml:space="preserve">1.8.1.14.3</t>
  </si>
  <si>
    <t xml:space="preserve">CERTIFICACION DE CIRCUITO DE ATERRAMIENTO</t>
  </si>
  <si>
    <t xml:space="preserve">MSP-5668</t>
  </si>
  <si>
    <t xml:space="preserve">1.8.1.14.3.1</t>
  </si>
  <si>
    <t xml:space="preserve">CERTIFICACION Y PROTOCOLO DE PUESTA A TIERRA</t>
  </si>
  <si>
    <t xml:space="preserve">5666FS</t>
  </si>
  <si>
    <t xml:space="preserve">MSP-5669</t>
  </si>
  <si>
    <t xml:space="preserve">1.9</t>
  </si>
  <si>
    <t xml:space="preserve">COMP. IV: CAPACITACIÓN</t>
  </si>
  <si>
    <t xml:space="preserve">MSP-5670</t>
  </si>
  <si>
    <t xml:space="preserve">1.9.1</t>
  </si>
  <si>
    <t xml:space="preserve">CAPACITACIÓN</t>
  </si>
  <si>
    <t xml:space="preserve">MSP-5671</t>
  </si>
  <si>
    <t xml:space="preserve">1.9.1.1</t>
  </si>
  <si>
    <t xml:space="preserve">MODULO 1: GESTION ADMINISTRATIVA</t>
  </si>
  <si>
    <t xml:space="preserve">4497FS+-151.0d</t>
  </si>
  <si>
    <t xml:space="preserve">MSP-5672</t>
  </si>
  <si>
    <t xml:space="preserve">1.9.1.2</t>
  </si>
  <si>
    <t xml:space="preserve">MODULO 2: GESTION DE LOS RECURSOS HUMANOS</t>
  </si>
  <si>
    <t xml:space="preserve">5671FS</t>
  </si>
  <si>
    <t xml:space="preserve">MSP-5673</t>
  </si>
  <si>
    <t xml:space="preserve">1.9.1.3</t>
  </si>
  <si>
    <t xml:space="preserve">MODULO 3: GESTION PEDAGOGICA</t>
  </si>
  <si>
    <t xml:space="preserve">5672FS+8.0d</t>
  </si>
  <si>
    <t xml:space="preserve">MSP-5674</t>
  </si>
  <si>
    <t xml:space="preserve">1.10</t>
  </si>
  <si>
    <t xml:space="preserve">Fin de Obra</t>
  </si>
  <si>
    <t xml:space="preserve">5673FS;5668FS;2578FS</t>
  </si>
  <si>
    <t xml:space="preserve">PLAN MAESTRO</t>
  </si>
  <si>
    <t xml:space="preserve">Hitos y fases macro del proyecto.</t>
  </si>
  <si>
    <t xml:space="preserve">Proyecto:</t>
  </si>
  <si>
    <t xml:space="preserve">Mejoramiento de la Prestación del Servicio de Gestión Educativa – DRSE Tacna</t>
  </si>
  <si>
    <t xml:space="preserve">Inicio Gantt (1er mes):</t>
  </si>
  <si>
    <t xml:space="preserve">HITOS PRINCIPALES</t>
  </si>
  <si>
    <t xml:space="preserve">ID Hito</t>
  </si>
  <si>
    <t xml:space="preserve">Fecha Contractual</t>
  </si>
  <si>
    <t xml:space="preserve">Fecha Proyectada</t>
  </si>
  <si>
    <t xml:space="preserve">Desvío (días)</t>
  </si>
  <si>
    <t xml:space="preserve">Responsable</t>
  </si>
  <si>
    <t xml:space="preserve">Estado</t>
  </si>
  <si>
    <t xml:space="preserve">H-01</t>
  </si>
  <si>
    <t xml:space="preserve">Inicio de obra (hito MS Project)</t>
  </si>
  <si>
    <t xml:space="preserve">Fecha proyectada = cronograma MS Project (actualización por suspensión). Complete las fechas contractuales faltantes.</t>
  </si>
  <si>
    <t xml:space="preserve">H-02</t>
  </si>
  <si>
    <t xml:space="preserve">Fin de Estructuras</t>
  </si>
  <si>
    <t xml:space="preserve">H-03</t>
  </si>
  <si>
    <t xml:space="preserve">Fin de Instalaciones (sanitarias, eléctricas, comunicaciones)</t>
  </si>
  <si>
    <t xml:space="preserve">H-04</t>
  </si>
  <si>
    <t xml:space="preserve">Fin de Arquitectura</t>
  </si>
  <si>
    <t xml:space="preserve">H-05</t>
  </si>
  <si>
    <t xml:space="preserve">Fin de Equipamiento y Capacitación</t>
  </si>
  <si>
    <t xml:space="preserve">H-06</t>
  </si>
  <si>
    <t xml:space="preserve">Fin de obra (hito MS Project)</t>
  </si>
  <si>
    <t xml:space="preserve">FASES (COMPONENTES) Y SUBFASES</t>
  </si>
  <si>
    <t xml:space="preserve">GANTT MENSUAL (línea roja = mes actual)</t>
  </si>
  <si>
    <t xml:space="preserve">Fase / Subfase</t>
  </si>
  <si>
    <t xml:space="preserve">Hito asociado</t>
  </si>
  <si>
    <t xml:space="preserve">Duración (días háb. L-S)</t>
  </si>
  <si>
    <t xml:space="preserve">Responsable general</t>
  </si>
  <si>
    <t xml:space="preserve">N° act. Lookahead</t>
  </si>
  <si>
    <t xml:space="preserve">% Avance</t>
  </si>
  <si>
    <t xml:space="preserve">LOOKAHEAD – PLANIFICACIÓN INTERMEDIA (6 SEMANAS)</t>
  </si>
  <si>
    <t xml:space="preserve">Estado LISTA = sin restricciones pendientes en la pestaña RESTRICCIONES.</t>
  </si>
  <si>
    <t xml:space="preserve">Lunes semana actual:</t>
  </si>
  <si>
    <t xml:space="preserve">Actividades LISTAS:</t>
  </si>
  <si>
    <t xml:space="preserve">Restringidas:</t>
  </si>
  <si>
    <t xml:space="preserve">VENTANA LOOKAHEAD (semanas desde el lunes indicado)</t>
  </si>
  <si>
    <t xml:space="preserve">ID Actividad</t>
  </si>
  <si>
    <t xml:space="preserve">Actividad (partida EDT o tarea MSP)</t>
  </si>
  <si>
    <t xml:space="preserve">Fase</t>
  </si>
  <si>
    <t xml:space="preserve">Ubicación / Frente</t>
  </si>
  <si>
    <t xml:space="preserve">Cuadrilla / Subcontrato</t>
  </si>
  <si>
    <t xml:space="preserve">Unidad</t>
  </si>
  <si>
    <t xml:space="preserve">Cantidad</t>
  </si>
  <si>
    <t xml:space="preserve">Inicio planif.</t>
  </si>
  <si>
    <t xml:space="preserve">Fin planif.</t>
  </si>
  <si>
    <t xml:space="preserve">Restr. totales</t>
  </si>
  <si>
    <t xml:space="preserve">Restr. pendientes</t>
  </si>
  <si>
    <t xml:space="preserve">% Avance acum.</t>
  </si>
  <si>
    <t xml:space="preserve">Observaciones</t>
  </si>
  <si>
    <t xml:space="preserve">EXAMENES MEDICOS OCUPACIONALES — SALUD OCUPACIONAL</t>
  </si>
  <si>
    <t xml:space="preserve">SEGURIDAD, SALUD Y MEDIO AMBIENTE · Pred. MSP: 28FS</t>
  </si>
  <si>
    <t xml:space="preserve">DISPOSICIÓN DE RESIDUOS PELIGROSOS — PROGRAMA DE MANEJO DE RESIDUOS SÓLIDOS</t>
  </si>
  <si>
    <t xml:space="preserve">CAPACITACIONES EN SEGURIDAD (DIARIAS Y PERIODICAS) — SEGURIDAD EN EL TRABAJO</t>
  </si>
  <si>
    <t xml:space="preserve">SEGURIDAD, SALUD Y MEDIO AMBIENTE · Pred. MSP: 28FS+5.0d</t>
  </si>
  <si>
    <t xml:space="preserve">EQUIPO DE PROTECCION PERSONAL — SEGURIDAD EN EL TRABAJO</t>
  </si>
  <si>
    <t xml:space="preserve">SEGURIDAD, SALUD Y MEDIO AMBIENTE · Pred. MSP: 29SS</t>
  </si>
  <si>
    <t xml:space="preserve">EQUIPO DE PROTECCION COLECTIVA — SEGURIDAD EN EL TRABAJO</t>
  </si>
  <si>
    <t xml:space="preserve">SEÑALIZACION TEMPORAL DE SEGURIDAD — SEGURIDAD EN EL TRABAJO</t>
  </si>
  <si>
    <t xml:space="preserve">SEGURIDAD, SALUD Y MEDIO AMBIENTE · Pred. MSP: 31SS</t>
  </si>
  <si>
    <t xml:space="preserve">MOVILIZACIÓN Y DESMOVILIZACIÓN DE EQUIPOS Y MAQUINARIA — TRABAJOS PRELIMINARES</t>
  </si>
  <si>
    <t xml:space="preserve">TRABAJOS PRELIMINARES · Pred. MSP: 7SS</t>
  </si>
  <si>
    <t xml:space="preserve">SERVICIOS DE AGUA Y DESAGÜE EN OBRA — INSTALACIONES PROVISIONALES</t>
  </si>
  <si>
    <t xml:space="preserve">INSTALACIONES PROVISIONALES · Pred. MSP: 15SS+1.0d</t>
  </si>
  <si>
    <t xml:space="preserve">CONSUMO DE ENERGIA ELECTRICA — INSTALACIONES PROVISIONALES</t>
  </si>
  <si>
    <t xml:space="preserve">INSTALACIONES PROVISIONALES · Pred. MSP: 16SS+1.0d</t>
  </si>
  <si>
    <t xml:space="preserve">SERVICIOS HIGIÉNICOS (ALQUILER O PROVISIÓN) — OBRAS PROVISIONALES</t>
  </si>
  <si>
    <t xml:space="preserve">OBRAS PROVISIONALES · Pred. MSP: 15FS</t>
  </si>
  <si>
    <t xml:space="preserve">AGUA DE MESA PARA CONSUMO HUMANO — SALUD OCUPACIONAL</t>
  </si>
  <si>
    <t xml:space="preserve">SEGURIDAD, SALUD Y MEDIO AMBIENTE · Pred. MSP: 2FS</t>
  </si>
  <si>
    <t xml:space="preserve">RECURSOS PARA RESPUESTAS ANTE EMERGENCIAS — SEGURIDAD EN EL TRABAJO</t>
  </si>
  <si>
    <t xml:space="preserve">SEGURIDAD, SALUD Y MEDIO AMBIENTE · Pred. MSP: 32SS</t>
  </si>
  <si>
    <t xml:space="preserve">FLETE DE MATERIALES — TRABAJOS PRELIMINARES</t>
  </si>
  <si>
    <t xml:space="preserve">TRABAJOS PRELIMINARES · Pred. MSP: 15FS;16FS</t>
  </si>
  <si>
    <t xml:space="preserve">LIMPIEZA PERMANENTE EN OBRA Y MANTENIMIENTO DE AMBIENTES PROVISIONALES — OBRAS PROVISIONALES</t>
  </si>
  <si>
    <t xml:space="preserve">OBRAS PROVISIONALES · Pred. MSP: 8FS;9FS;11FS</t>
  </si>
  <si>
    <t xml:space="preserve">TRAZO DURANTE LA EJECUCION DE LA OBRA — TRABAJOS PRELIMINARES</t>
  </si>
  <si>
    <t xml:space="preserve">TRABAJOS PRELIMINARES · Pred. MSP: 23FS</t>
  </si>
  <si>
    <t xml:space="preserve">ACARREO DE MATERIAL EXCEDENTE HASTA 30 MTS — MOVIMIENTO DE TIERRAS</t>
  </si>
  <si>
    <t xml:space="preserve">Pred. MSP: 927FS</t>
  </si>
  <si>
    <t xml:space="preserve">ENCOFRADO Y DESENCOFRADO CARAVISTA EN PLACAS, PRIMER NIVEL — PLACAS - PRIMER NIVEL</t>
  </si>
  <si>
    <t xml:space="preserve">Pred. MSP: 1621FS</t>
  </si>
  <si>
    <t xml:space="preserve">MURO DE LADRILLO K.K. TIPO V DE SOGA, MEZCLA C:A 1:5 — MUROS Y TABIQUES DE ALBAÑILERIA</t>
  </si>
  <si>
    <t xml:space="preserve">Pred. MSP: 872FS</t>
  </si>
  <si>
    <t xml:space="preserve">PINTURA LATEX 02 MANOS EN COLUMNAS Y VIGAS — PINTURAS</t>
  </si>
  <si>
    <t xml:space="preserve">Pred. MSP: 2153FS</t>
  </si>
  <si>
    <t xml:space="preserve">TARRAJEO MUROS EXTERIORES MEZCLA C:A 1:5, E=1.5 cm — REVOQUES, ENLUCIDOS Y MOLDURAS</t>
  </si>
  <si>
    <t xml:space="preserve">Pred. MSP: 2288FS</t>
  </si>
  <si>
    <t xml:space="preserve">ACERO Fy=4200 kg/cm2 GRADO 60 EN COLUMNAS — COLUMNAS - PRIMER NIVEL</t>
  </si>
  <si>
    <t xml:space="preserve">RUTA CRÍTICA · Pred. MSP: 949FS</t>
  </si>
  <si>
    <t xml:space="preserve">ACERO Fy=4200 kg/cm2 GRADO 60 EN PLACAS — PLACAS - PRIMER NIVEL</t>
  </si>
  <si>
    <t xml:space="preserve">Pred. MSP: 957SS</t>
  </si>
  <si>
    <t xml:space="preserve">ACERO Fy=4200 kg/cm2 GRADO 60 EN MUROS DE C°A° — MURO DE CONTENCION</t>
  </si>
  <si>
    <t xml:space="preserve">Pred. MSP: 949FS</t>
  </si>
  <si>
    <t xml:space="preserve">ENCOFRADO Y DESENCOFRADO CARAVISTA EN COLUMNAS, SEGUNDO NIVEL — COLUMNAS - SEGUNDO NIVEL</t>
  </si>
  <si>
    <t xml:space="preserve">Pred. MSP: 846FS</t>
  </si>
  <si>
    <t xml:space="preserve">ANCLAJE METALICO (EMPERNADO) A COLUMNA C°A° — ESTRUCTURAS METALICAS DE PORTICO DE INGRESO</t>
  </si>
  <si>
    <t xml:space="preserve">Pred. MSP: 1458FS;1463FS</t>
  </si>
  <si>
    <t xml:space="preserve">SUMINISTRO E INSTALACIÓN DE MURO CORTINA CON VIDRIO TEMPLADO DE 8MM REFLEJANTE STOPSOL — MURO CORTINA</t>
  </si>
  <si>
    <t xml:space="preserve">Pred. MSP: 2149FS</t>
  </si>
  <si>
    <t xml:space="preserve">Pred. MSP: 1463FS</t>
  </si>
  <si>
    <t xml:space="preserve">ENCOFRADO Y DESENCOFRADO NORMAL EN PARAPETO — PARAPETO</t>
  </si>
  <si>
    <t xml:space="preserve">Pred. MSP: 1481FS</t>
  </si>
  <si>
    <t xml:space="preserve">TARRAJEO MUROS INTERIORES MEZCLA C:A 1:5, E=1.5 cm — REVOQUES, ENLUCIDOS Y MOLDURAS</t>
  </si>
  <si>
    <t xml:space="preserve">Pred. MSP: 2595FS</t>
  </si>
  <si>
    <t xml:space="preserve">CONCRETO PREMEZCLADO EN LOSAS F'C= 210 KG/CM2, SEGUNDO NIVEL, C/CEMENTO IP — LOSA ALIGERADA - SEGUNDO NIVEL</t>
  </si>
  <si>
    <t xml:space="preserve">Pred. MSP: 642FS</t>
  </si>
  <si>
    <t xml:space="preserve">ELIMINACION DE MATERIAL EXCEDENTE — MOVIMIENTO DE TIERRAS</t>
  </si>
  <si>
    <t xml:space="preserve">Pred. MSP: 3796FS</t>
  </si>
  <si>
    <t xml:space="preserve">PRUEBA INTEGRAL DE ESTANQUEIDAD EN RED DE DESAGUE DE 4" A 2" — REDES DE DERIVACION</t>
  </si>
  <si>
    <t xml:space="preserve">ACERO Fy=4200 kg/cm2 GRADO 60 EN COLUMNAS — COLUMNAS - TERCER NIVEL Y AZOTEA</t>
  </si>
  <si>
    <t xml:space="preserve">Pred. MSP: 623FS;640FS</t>
  </si>
  <si>
    <t xml:space="preserve">CURADO DE ELEMENTOS HORIZONTALES — LOSA ALIGERADA - SEGUNDO NIVEL</t>
  </si>
  <si>
    <t xml:space="preserve">Pred. MSP: 640FS</t>
  </si>
  <si>
    <t xml:space="preserve">ENCOFRADO Y DESENCOFRADO CARAVISTA EN COLUMNAS, PRIMER NIVEL — COLUMNAS - PRIMER NIVEL</t>
  </si>
  <si>
    <t xml:space="preserve">RUTA CRÍTICA · Pred. MSP: 957FS</t>
  </si>
  <si>
    <t xml:space="preserve">Pred. MSP: 968FS</t>
  </si>
  <si>
    <t xml:space="preserve">SALIDA DE DESAGUE PVC-CP Ø 4" S/P — SALIDAS DE DESAGUE</t>
  </si>
  <si>
    <t xml:space="preserve">Pred. MSP: 3798FS</t>
  </si>
  <si>
    <t xml:space="preserve">CONCRETO F'C=175 KG/CM2 EN PARAPETOS — PARAPETO</t>
  </si>
  <si>
    <t xml:space="preserve">Pred. MSP: 1480FS</t>
  </si>
  <si>
    <t xml:space="preserve">COLUMNA METÁLICA 100x100x4.5mm — ESTRUCTURAS METALICAS DE PORTICO DE INGRESO</t>
  </si>
  <si>
    <t xml:space="preserve">Pred. MSP: 1492FS</t>
  </si>
  <si>
    <t xml:space="preserve">CURADO DE ELEMENTOS HORIZONTALES — PARAPETO</t>
  </si>
  <si>
    <t xml:space="preserve">Pred. MSP: 1479FS</t>
  </si>
  <si>
    <t xml:space="preserve">CONCRETO PREMEZCLADO EN PLACAS F'C=315 KG/CM2,  C/CEMENTO TIPO HS, PRIMER NIVEL — PLACAS - PRIMER NIVEL</t>
  </si>
  <si>
    <t xml:space="preserve">Pred. MSP: 1620FS</t>
  </si>
  <si>
    <t xml:space="preserve">SALIDA DE DESAGUE PVC-CP Ø 2" S/P — SALIDAS DE DESAGUE</t>
  </si>
  <si>
    <t xml:space="preserve">Pred. MSP: 3800FS</t>
  </si>
  <si>
    <t xml:space="preserve">ACERO Fy=4200 kg/cm2 GRADO 60 EN COLUMNETAS DE AMARRE — COLUMNETAS DE AMARRE - PRIMER NIVEL</t>
  </si>
  <si>
    <t xml:space="preserve">Pred. MSP: 2424FS</t>
  </si>
  <si>
    <t xml:space="preserve">ACERO Fy=4200 kg/cm2 GRADO 60 EN COLUMNETAS DE AMARRE — COLUMNETAS DE AMARRE - SEGUNDO NIVEL</t>
  </si>
  <si>
    <t xml:space="preserve">ACERO Fy=4200 kg/cm2 GRADO 60 EN COLUMNETAS DE AMARRE — COLUMNETAS DE AMARRE - AZOTEA</t>
  </si>
  <si>
    <t xml:space="preserve">MURO DE LADRILLO K.K. TIPO V DE CABEZA, MEZCLA C:A 1:5 — MUROS Y TABIQUES DE ALBAÑILERIA</t>
  </si>
  <si>
    <t xml:space="preserve">ENCOFRADO Y DESENCOFRADO NORMAL EN COLUMNETAS DE AMARRE SEGUNDO NIVEL — COLUMNETAS DE AMARRE - SEGUNDO NIVEL</t>
  </si>
  <si>
    <t xml:space="preserve">Pred. MSP: 892FS</t>
  </si>
  <si>
    <t xml:space="preserve">ENCOFRADO Y DESENCOFRADO NORMAL EN COLUMNETAS DE AMARRE NIVEL DE AZOTEA — COLUMNETAS DE AMARRE - AZOTEA</t>
  </si>
  <si>
    <t xml:space="preserve">Pred. MSP: 897FS</t>
  </si>
  <si>
    <t xml:space="preserve">CURADO DE ELEMENTOS VERTICALES — PLACAS - PRIMER NIVEL</t>
  </si>
  <si>
    <t xml:space="preserve">Pred. MSP: 1619FS</t>
  </si>
  <si>
    <t xml:space="preserve">ACERO Fy=4200 kg/cm2 GRADO 60 EN VIGAS — VIGAS - PRIMER NIVEL</t>
  </si>
  <si>
    <t xml:space="preserve">Pred. MSP: 1608FS;1619FS</t>
  </si>
  <si>
    <t xml:space="preserve">ENCOFRADO Y DESENCOFRADO NORMAL EN COLUMNETAS DE AMARRE PRIMER NIVEL — COLUMNETAS DE AMARRE - PRIMER NIVEL</t>
  </si>
  <si>
    <t xml:space="preserve">Pred. MSP: 887FS</t>
  </si>
  <si>
    <t xml:space="preserve">IZADO Y MONTAJE DE ESTRUCTURAS METALICAS PARA COBERTURA — ESTRUCTURAS METALICAS DE PORTICO DE INGRESO</t>
  </si>
  <si>
    <t xml:space="preserve">Pred. MSP: 1489FS</t>
  </si>
  <si>
    <t xml:space="preserve">T-01.01, TABIQUE DE FIBROCEMENTO 8MM AMBAS CARAS O SIMILAR — MUROS Y TABIQUES DE ALBAÑILERIA</t>
  </si>
  <si>
    <t xml:space="preserve">Pred. MSP: 2425FS</t>
  </si>
  <si>
    <t xml:space="preserve">TUBERÍA PVC-CL Ø 2" S/P — SISTEMA DE VENTILACION</t>
  </si>
  <si>
    <t xml:space="preserve">Pred. MSP: 3801FS</t>
  </si>
  <si>
    <t xml:space="preserve">CONCRETO EN COLUMNETAS DE AMARRE F'C= 175 KG/CM2 SEGUNDO NIVEL — COLUMNETAS DE AMARRE - SEGUNDO NIVEL</t>
  </si>
  <si>
    <t xml:space="preserve">Pred. MSP: 891FS</t>
  </si>
  <si>
    <t xml:space="preserve">CURADO DE ELEMENTOS VERTICALES — COLUMNETAS DE AMARRE - SEGUNDO NIVEL</t>
  </si>
  <si>
    <t xml:space="preserve">CONCRETO EN COLUMNETAS DE AMARRE F'C= 175 KG/CM2 NIVEL DE AZOTEA — COLUMNETAS DE AMARRE - AZOTEA</t>
  </si>
  <si>
    <t xml:space="preserve">Pred. MSP: 896FS</t>
  </si>
  <si>
    <t xml:space="preserve">TIJERAL PRINCIPAL METÁLICO TIPO TJ-01 SEGÚN DISEÑO — ESTRUCTURAS METALICAS DE PORTICO DE INGRESO</t>
  </si>
  <si>
    <t xml:space="preserve">Pred. MSP: 1490FS</t>
  </si>
  <si>
    <t xml:space="preserve">TIJERAL PRINCIPAL METÁLICO TIPO TJ-02 SEGÚN DISEÑO — ESTRUCTURAS METALICAS DE PORTICO DE INGRESO</t>
  </si>
  <si>
    <t xml:space="preserve">CORREA DE TUBO DE FIERRO NEGRO 50x50x3mm — ESTRUCTURAS METALICAS DE PORTICO DE INGRESO</t>
  </si>
  <si>
    <t xml:space="preserve">Pred. MSP: 1486SS</t>
  </si>
  <si>
    <t xml:space="preserve">CONCRETO EN COLUMNETAS DE AMARRE F'C= 175 KG/CM2, C/CEMENTO TIPO HS PRIMER NIVEL — COLUMNETAS DE AMARRE - PRIMER NIVEL</t>
  </si>
  <si>
    <t xml:space="preserve">Pred. MSP: 886FS</t>
  </si>
  <si>
    <t xml:space="preserve">CURADO DE ELEMENTOS VERTICALES — COLUMNETAS DE AMARRE - AZOTEA</t>
  </si>
  <si>
    <t xml:space="preserve">Pred. MSP: 895FS</t>
  </si>
  <si>
    <t xml:space="preserve">ACERO Fy=4200 kg/cm2 GRADO 60 EN VIGAS — VIGUETAS DE AMARRE - SEGUNDO NIVEL</t>
  </si>
  <si>
    <t xml:space="preserve">Pred. MSP: 890FS</t>
  </si>
  <si>
    <t xml:space="preserve">ACERO Fy=4200 kg/cm2 GRADO 60 EN VIGAS — VIGUETAS DE AMARRE</t>
  </si>
  <si>
    <t xml:space="preserve">ACERO Fy=4200 kg/cm2 GRADO 60 EN MARCOS Y DINTELES — MARCO Y DINTELES</t>
  </si>
  <si>
    <t xml:space="preserve">ENCOFRADO Y DESENCOFRADO CARAVISTA EN VIGAS, PRIMER NIVEL — VIGAS - PRIMER NIVEL</t>
  </si>
  <si>
    <t xml:space="preserve">Pred. MSP: 1632FS</t>
  </si>
  <si>
    <t xml:space="preserve">ENCOFRADO Y DESENCOFRADO NORMAL EN LOSA (1° NIVEL) — LOSA ALIGERADA - PRIMER NIVEL</t>
  </si>
  <si>
    <t xml:space="preserve">Pred. MSP: 1631SS;1619FS;1608FS</t>
  </si>
  <si>
    <t xml:space="preserve">CODO 90º PVC-CL Ø 2" S/P — SISTEMA DE VENTILACION</t>
  </si>
  <si>
    <t xml:space="preserve">Pred. MSP: 3820FS</t>
  </si>
  <si>
    <t xml:space="preserve">CONCRETO PREMEZCLADO EN COLUMNAS F'C=210 KG/CM2,  C/CEMENTO TIPO IP, SEGUNDO NIVEL — COLUMNAS - SEGUNDO NIVEL</t>
  </si>
  <si>
    <t xml:space="preserve">Pred. MSP: 845FS</t>
  </si>
  <si>
    <t xml:space="preserve">CURADO DE ELEMENTOS VERTICALES — COLUMNETAS DE AMARRE - PRIMER NIVEL</t>
  </si>
  <si>
    <t xml:space="preserve">Pred. MSP: 885FS</t>
  </si>
  <si>
    <t xml:space="preserve">ACERO Fy=4200 kg/cm2 GRADO 60 EN VIGAS — VIGUETAS DE AMARRE - PRIMER NIVEL</t>
  </si>
  <si>
    <t xml:space="preserve">ENCOFRADO Y DESENCOFRADO NORMAL EN VIGA, SEGUNDO NIVEL — VIGUETAS DE AMARRE - SEGUNDO NIVEL</t>
  </si>
  <si>
    <t xml:space="preserve">Pred. MSP: 908FS</t>
  </si>
  <si>
    <t xml:space="preserve">BORDE METÁLICO TUBO F°N° 50X50X3MM — ESTRUCTURAS METALICAS DE PORTICO DE INGRESO</t>
  </si>
  <si>
    <t xml:space="preserve">Pred. MSP: 1494FS</t>
  </si>
  <si>
    <t xml:space="preserve">ANCLAJE METALICO (SOLDADO) A COLUMNA METÁLICO — ESTRUCTURAS METALICAS DE PORTICO DE INGRESO</t>
  </si>
  <si>
    <t xml:space="preserve">Pred. MSP: 1486FS;1487FS</t>
  </si>
  <si>
    <t xml:space="preserve">SOMBRERO DE VENTILACIÓN DE PVC 3" — SISTEMA DE VENTILACION</t>
  </si>
  <si>
    <t xml:space="preserve">Pred. MSP: 3821FS</t>
  </si>
  <si>
    <t xml:space="preserve">CURADO DE ELEMENTOS VERTICALES — COLUMNAS - SEGUNDO NIVEL</t>
  </si>
  <si>
    <t xml:space="preserve">Pred. MSP: 844FS</t>
  </si>
  <si>
    <t xml:space="preserve">ACERO Fy=4200 kg/cm2 GRADO 60 EN VIGAS — VIGAS - SEGUNDO NIVEL</t>
  </si>
  <si>
    <t xml:space="preserve">Pred. MSP: 855FS;844FS</t>
  </si>
  <si>
    <t xml:space="preserve">ENCOFRADO Y DESENCOFRADO NORMAL EN LOSA (2° NIVEL) — LOSA ALIGERADA - SEGUNDO NIVEL</t>
  </si>
  <si>
    <t xml:space="preserve">Pred. MSP: 868SS</t>
  </si>
  <si>
    <t xml:space="preserve">ENCOFRADO Y DESENCOFRADO NORMAL EN VIGA, PRIMER NIVEL — VIGUETAS DE AMARRE - PRIMER NIVEL</t>
  </si>
  <si>
    <t xml:space="preserve">Pred. MSP: 903FS</t>
  </si>
  <si>
    <t xml:space="preserve">CONCRETO EN VIGUETAS DE AMARRE CONCRETO F'C= 175 KG/CM2 SEGUNDO NIVEL — VIGUETAS DE AMARRE - SEGUNDO NIVEL</t>
  </si>
  <si>
    <t xml:space="preserve">Pred. MSP: 907FS</t>
  </si>
  <si>
    <t xml:space="preserve">ENCOFRADO Y DESENCOFRADO NORMAL EN VIGA, AZOTEA — VIGUETAS DE AMARRE</t>
  </si>
  <si>
    <t xml:space="preserve">Pred. MSP: 913FS</t>
  </si>
  <si>
    <t xml:space="preserve">ENCOFRADO Y DESENCOFRADO NORMAL EN MARCOS Y DINTELES — MARCO Y DINTELES</t>
  </si>
  <si>
    <t xml:space="preserve">Pred. MSP: 918FS</t>
  </si>
  <si>
    <t xml:space="preserve">LADRILLO HUECO DE ARCILLA 30x30x15 CM. PARA LOSAS ALIGERADAS (1° NIVEL) — LOSA ALIGERADA - PRIMER NIVEL</t>
  </si>
  <si>
    <t xml:space="preserve">Pred. MSP: 1642FS</t>
  </si>
  <si>
    <t xml:space="preserve">SOMBRERO DE VENTILACIÓN DE PVC 2" — SISTEMA DE VENTILACION</t>
  </si>
  <si>
    <t xml:space="preserve">Pred. MSP: 3822FS</t>
  </si>
  <si>
    <t xml:space="preserve">CURADO DE ELEMENTOS HORIZONTALES — VIGUETAS DE AMARRE - SEGUNDO NIVEL</t>
  </si>
  <si>
    <t xml:space="preserve">Pred. MSP: 906FS</t>
  </si>
  <si>
    <t xml:space="preserve">ENCOFRADO Y DESENCOFRADO CARAVISTA EN MURO DE CONTENCIÓN — MURO DE CONTENCION</t>
  </si>
  <si>
    <t xml:space="preserve">Pred. MSP: 978FS</t>
  </si>
  <si>
    <t xml:space="preserve">SUMINISTRO E INSTALACIÓN DE COBERTURA POLICARBONATO TRANSLUCIDO — ESTRUCTURAS METALICAS DE PORTICO DE INGRESO</t>
  </si>
  <si>
    <t xml:space="preserve">Pred. MSP: 1493FS</t>
  </si>
  <si>
    <t xml:space="preserve">CONCRETO PREMEZCLADO EN VIGAS F'C= 210 KG/CM2, PRIMER NIVEL, C/CEMENTO IP — VIGAS - PRIMER NIVEL</t>
  </si>
  <si>
    <t xml:space="preserve">Pred. MSP: 1631FS</t>
  </si>
  <si>
    <t xml:space="preserve">ACERO Fy=4200 kg/cm2 GRADO 60 EN LOSAS ALIGERADA — LOSA ALIGERADA - PRIMER NIVEL</t>
  </si>
  <si>
    <t xml:space="preserve">Pred. MSP: 1644FS</t>
  </si>
  <si>
    <t xml:space="preserve">VESTIDURA DE DERRAMES PARA VENTANAS Y PUERTAS MEZCLA C:A 1:5, E=1.5CM — REVOQUES, ENLUCIDOS Y MOLDURAS</t>
  </si>
  <si>
    <t xml:space="preserve">Pred. MSP: 2289FS</t>
  </si>
  <si>
    <t xml:space="preserve">SOLAQUEO EN SUPERFICIES CARAVISTA — REVOQUES, ENLUCIDOS Y MOLDURAS</t>
  </si>
  <si>
    <t xml:space="preserve">Pred. MSP: 2290SS</t>
  </si>
  <si>
    <t xml:space="preserve">BRUÑAS E=1 CM — REVOQUES, ENLUCIDOS Y MOLDURAS</t>
  </si>
  <si>
    <t xml:space="preserve">Pred. MSP: 2288FS;2289FS</t>
  </si>
  <si>
    <t xml:space="preserve">PINTURA LATEX 02 MANOS EN MUROS INTERIORES Y EXTERIORES — PINTURAS</t>
  </si>
  <si>
    <t xml:space="preserve">ENCOFRADO Y DESENCOFRADO CARAVISTA EN COLUMNAS, TERCER NIVEL — COLUMNAS - TERCER NIVEL Y AZOTEA</t>
  </si>
  <si>
    <t xml:space="preserve">Pred. MSP: 603FS</t>
  </si>
  <si>
    <t xml:space="preserve">CONCRETO EN VIGUETAS DE AMARRE CONCRETO F'C= 175 KG/CM2, PRIMER NIVEL — VIGUETAS DE AMARRE - PRIMER NIVEL</t>
  </si>
  <si>
    <t xml:space="preserve">Pred. MSP: 902FS</t>
  </si>
  <si>
    <t xml:space="preserve">CONCRETO EN VIGUETAS DE AMARRE CONCRETO F'C= 175 KG/CM2 NIVEL DE AZOTEA — VIGUETAS DE AMARRE</t>
  </si>
  <si>
    <t xml:space="preserve">Pred. MSP: 912FS</t>
  </si>
  <si>
    <t xml:space="preserve">ACERO Fy=4200 kg/cm2 GRADO 60 EN COLUMNAS — COLUMNAS - SEGUNDO NIVEL</t>
  </si>
  <si>
    <t xml:space="preserve">Pred. MSP: 1630FS</t>
  </si>
  <si>
    <t xml:space="preserve">ACERO Fy=4200 kg/cm2 GRADO 60 EN PLACAS — PLACAS - SEGUNDO NIVEL</t>
  </si>
  <si>
    <t xml:space="preserve">Pred. MSP: 1615SS</t>
  </si>
  <si>
    <t xml:space="preserve">CURADO DE ELEMENTOS HORIZONTALES — VIGAS - PRIMER NIVEL</t>
  </si>
  <si>
    <t xml:space="preserve">CONCRETO PREMEZCLADO EN LOSAS F'C= 210 KG/CM2, PRIMER NIVEL, C/CEMENTO IP — LOSA ALIGERADA - PRIMER NIVEL</t>
  </si>
  <si>
    <t xml:space="preserve">Pred. MSP: 1643FS</t>
  </si>
  <si>
    <t xml:space="preserve">CURADO DE ELEMENTOS HORIZONTALES — VIGUETAS DE AMARRE - PRIMER NIVEL</t>
  </si>
  <si>
    <t xml:space="preserve">Pred. MSP: 901FS</t>
  </si>
  <si>
    <t xml:space="preserve">CURADO DE ELEMENTOS HORIZONTALES — VIGUETAS DE AMARRE</t>
  </si>
  <si>
    <t xml:space="preserve">Pred. MSP: 911FS</t>
  </si>
  <si>
    <t xml:space="preserve">ACERO Fy=4200 kg/cm2 GRADO 60 EN COLUMNETAS DE AMARRE — COLUMNETAS</t>
  </si>
  <si>
    <t xml:space="preserve">Pred. MSP: 2771FS</t>
  </si>
  <si>
    <t xml:space="preserve">Pred. MSP: 1615FS</t>
  </si>
  <si>
    <t xml:space="preserve">CURADO DE ELEMENTOS HORIZONTALES — LOSA ALIGERADA - PRIMER NIVEL</t>
  </si>
  <si>
    <t xml:space="preserve">Pred. MSP: 1641FS</t>
  </si>
  <si>
    <t xml:space="preserve">T-01.02, TABIQUE DE FIBROCEMENTO 8MM/ 01 CARA O SIMILAR — MUROS Y TABIQUES DE ALBAÑILERIA</t>
  </si>
  <si>
    <t xml:space="preserve">Pred. MSP: 2426FS</t>
  </si>
  <si>
    <t xml:space="preserve">Pred. MSP: 2597FS</t>
  </si>
  <si>
    <t xml:space="preserve">Pred. MSP: 2876SS</t>
  </si>
  <si>
    <t xml:space="preserve">MURO DE LADRILLO K.K. TIPO V DE SOGA, MEZCLA C:A 1:5 SEGUNDO NIVEL — MUROS Y TABIQUES DE ALBAÑILERIA</t>
  </si>
  <si>
    <t xml:space="preserve">MURO DE LADRILLO K.K. TIPO V DE SOGA, MEZCLA C:A 1:5 TERCER NIVEL — MUROS Y TABIQUES DE ALBAÑILERIA</t>
  </si>
  <si>
    <t xml:space="preserve">CONCRETO F'C = 175 KG/CM2 EN SOBRECIMIENTO CEMENTO TIPO HS — SOBRECIMIENTOS</t>
  </si>
  <si>
    <t xml:space="preserve">Pred. MSP: 1163FS+90.0d</t>
  </si>
  <si>
    <t xml:space="preserve">ENCOFRADO Y DESENCOFRADO NORMAL EN COLUMNETAS DE AMARRE PRIMER NIVEL — COLUMNETAS</t>
  </si>
  <si>
    <t xml:space="preserve">Pred. MSP: 1471FS</t>
  </si>
  <si>
    <t xml:space="preserve">Pred. MSP: 1614FS</t>
  </si>
  <si>
    <t xml:space="preserve">T-03.01, TABIQUE DE FIBROCEMENTO SANITARIO BC 8MM + FIBROCEM. PRO 8MM AMBAS CARAS O SIMILAR — MUROS Y TABIQUES DE ALBAÑILERIA</t>
  </si>
  <si>
    <t xml:space="preserve">Pred. MSP: 2427FS</t>
  </si>
  <si>
    <t xml:space="preserve">Pred. MSP: 967FS</t>
  </si>
  <si>
    <t xml:space="preserve">RELLENO Y COMPACTACIÓN CON MATERIAL DE PRESTAMO SELECCIONADO C/EQUIPO LIVIANO — MOVIMIENTO DE TIERRAS</t>
  </si>
  <si>
    <t xml:space="preserve">Pred. MSP: 1162FS</t>
  </si>
  <si>
    <t xml:space="preserve">CURADO DE ELEMENTOS HORIZONTALES — SOBRECIMIENTOS</t>
  </si>
  <si>
    <t xml:space="preserve">ENCOFRADO Y DESENCOFRADO EN ELEMENTOS NO ESTRUCTURALES — SUBZAPATAS</t>
  </si>
  <si>
    <t xml:space="preserve">FALSO PISO MEZCLA 1:8 E=10 cm — FALSOS PISOS</t>
  </si>
  <si>
    <t xml:space="preserve">CONCRETO EN COLUMNETAS DE AMARRE F'C= 175 KG/CM2, C/CEMENTO TIPO HS PRIMER NIVEL — COLUMNETAS</t>
  </si>
  <si>
    <t xml:space="preserve">Pred. MSP: 1470FS</t>
  </si>
  <si>
    <t xml:space="preserve">Pred. MSP: 1613FS</t>
  </si>
  <si>
    <t xml:space="preserve">T-03.02, TABIQUE DE FIBROCEMENTO SANITARIO BC 8MM + FIBROCEM. PRO 8MM/ 01 CARA O SIMILAR — MUROS Y TABIQUES DE ALBAÑILERIA</t>
  </si>
  <si>
    <t xml:space="preserve">Pred. MSP: 2428FS</t>
  </si>
  <si>
    <t xml:space="preserve">CONCRETO PREMEZCLADO EN COLUMNAS F'C=315 KG/CM2,  C/CEMENTO TIPO HS, PRIMER NIVEL — COLUMNAS - PRIMER NIVEL</t>
  </si>
  <si>
    <t xml:space="preserve">RUTA CRÍTICA · Pred. MSP: 956FS</t>
  </si>
  <si>
    <t xml:space="preserve">Pred. MSP: 966FS</t>
  </si>
  <si>
    <t xml:space="preserve">CURADO DE ELEMENTOS VERTICALES — COLUMNETAS</t>
  </si>
  <si>
    <t xml:space="preserve">Pred. MSP: 1469FS</t>
  </si>
  <si>
    <t xml:space="preserve">Pred. MSP: 2876FS</t>
  </si>
  <si>
    <t xml:space="preserve">Pred. MSP: 2429FS</t>
  </si>
  <si>
    <t xml:space="preserve">Pred. MSP: 2879SS</t>
  </si>
  <si>
    <t xml:space="preserve">CURADO DE ELEMENTOS VERTICALES — COLUMNAS - PRIMER NIVEL</t>
  </si>
  <si>
    <t xml:space="preserve">Pred. MSP: 955FS</t>
  </si>
  <si>
    <t xml:space="preserve">RUTA CRÍTICA · Pred. MSP: 966FS;955FS</t>
  </si>
  <si>
    <t xml:space="preserve">RUTA CRÍTICA · Pred. MSP: 984SS</t>
  </si>
  <si>
    <t xml:space="preserve">ENCOFRADO Y DESENCOFRADO NORMAL EN VIGA, PRIMER NIVEL — VIGUETAS DE AMARRE</t>
  </si>
  <si>
    <t xml:space="preserve">Pred. MSP: 1476FS</t>
  </si>
  <si>
    <t xml:space="preserve">ENCOFRADO Y DESENCOFRADO CARAVISTA EN PLACAS, SEGUNDO NIVEL — PLACAS - SEGUNDO NIVEL</t>
  </si>
  <si>
    <t xml:space="preserve">Pred. MSP: 1626FS</t>
  </si>
  <si>
    <t xml:space="preserve">Pred. MSP: 1660FS</t>
  </si>
  <si>
    <t xml:space="preserve">CONCRETO F'C=175 KG/CM2 EN MARCOS Y DINTELES — MARCO Y DINTELES</t>
  </si>
  <si>
    <t xml:space="preserve">Pred. MSP: 917FS</t>
  </si>
  <si>
    <t xml:space="preserve">Pred. MSP: 1659FS</t>
  </si>
  <si>
    <t xml:space="preserve">CURADO DE ELEMENTOS HORIZONTALES — MARCO Y DINTELES</t>
  </si>
  <si>
    <t xml:space="preserve">Pred. MSP: 916FS</t>
  </si>
  <si>
    <t xml:space="preserve">CONCRETO EN VIGUETAS DE AMARRE CONCRETO F'C= 175 KG/CM2, PRIMER NIVEL — VIGUETAS DE AMARRE</t>
  </si>
  <si>
    <t xml:space="preserve">Pred. MSP: 1475FS</t>
  </si>
  <si>
    <t xml:space="preserve">Pred. MSP: 1658FS</t>
  </si>
  <si>
    <t xml:space="preserve">TARRAJEO EN COLUMNAS Y VIGAS INTERIOR MEZCLA C:A 1:5, E=1.5 cm — REVOQUES, ENLUCIDOS Y MOLDURAS</t>
  </si>
  <si>
    <t xml:space="preserve">Pred. MSP: 2598FS</t>
  </si>
  <si>
    <t xml:space="preserve">Pred. MSP: 2597FS;2598FS</t>
  </si>
  <si>
    <t xml:space="preserve">Pred. MSP: 2880FS</t>
  </si>
  <si>
    <t xml:space="preserve">TARRAJEO DE CIELO RASO MEZC. C:A 1:5, E=1.5CM. — CIELORASO</t>
  </si>
  <si>
    <t xml:space="preserve">Pred. MSP: 2912SS</t>
  </si>
  <si>
    <t xml:space="preserve">CONCRETO PREMEZCLADO EN COLUMNAS F'C=210 KG/CM2,  C/CEMENTO TIPO IP, TERCER NIVEL — COLUMNAS - TERCER NIVEL Y AZOTEA</t>
  </si>
  <si>
    <t xml:space="preserve">Pred. MSP: 602FS</t>
  </si>
  <si>
    <t xml:space="preserve">Pred. MSP: 1474FS</t>
  </si>
  <si>
    <t xml:space="preserve">ENCOFRADO Y DESENCOFRADO NORMAL EN VIGA, SEGUNDO NIVEL — VIGUETAS DE AMARRE</t>
  </si>
  <si>
    <t xml:space="preserve">Pred. MSP: 1665FS</t>
  </si>
  <si>
    <t xml:space="preserve">FORJADO DE GRADAS Y ESCALERAS DE CEMENTO FROTACHADO — REVOQUES, ENLUCIDOS Y MOLDURAS</t>
  </si>
  <si>
    <t xml:space="preserve">Pred. MSP: 2881FS</t>
  </si>
  <si>
    <t xml:space="preserve">FORJADO DE DESCANSO CON CEMENTO FROTACHADO — REVOQUES, ENLUCIDOS Y MOLDURAS</t>
  </si>
  <si>
    <t xml:space="preserve">Pred. MSP: 2882SS</t>
  </si>
  <si>
    <t xml:space="preserve">CURADO DE ELEMENTOS VERTICALES — COLUMNAS - TERCER NIVEL Y AZOTEA</t>
  </si>
  <si>
    <t xml:space="preserve">Pred. MSP: 601FS</t>
  </si>
  <si>
    <t xml:space="preserve">ACERO Fy=4200 kg/cm2 GRADO 60 EN VIGAS — VIGAS - TERCER NIVEL</t>
  </si>
  <si>
    <t xml:space="preserve">ENCOFRADO Y DESENCOFRADO NORMAL EN LOSA (3° NIVEL) — LOSA ALIGERADA - TERCER NIVEL</t>
  </si>
  <si>
    <t xml:space="preserve">Pred. MSP: 630SS</t>
  </si>
  <si>
    <t xml:space="preserve">JUNTA CON PLANCHA DE TECNOPORT E=2" — VARIOS</t>
  </si>
  <si>
    <t xml:space="preserve">Pred. MSP: 919FS</t>
  </si>
  <si>
    <t xml:space="preserve">Pred. MSP: 1664FS</t>
  </si>
  <si>
    <t xml:space="preserve">PINTURA LATEX 02 MANOS EN VESTIDURA DE DERRAMES — PINTURAS</t>
  </si>
  <si>
    <t xml:space="preserve">Pred. MSP: 2154FS</t>
  </si>
  <si>
    <t xml:space="preserve">JUNTA CON PLANCHA DE TECNOPORT E=1" — VARIOS</t>
  </si>
  <si>
    <t xml:space="preserve">Pred. MSP: 921FS</t>
  </si>
  <si>
    <t xml:space="preserve">CONCRETO EN SUBZAPATA f'c=175 kg/cm2 + 30%PG, CEMENTO TIPO HS — SUBZAPATAS</t>
  </si>
  <si>
    <t xml:space="preserve">Pred. MSP: 1167FS</t>
  </si>
  <si>
    <t xml:space="preserve">Pred. MSP: 1663FS</t>
  </si>
  <si>
    <t xml:space="preserve">Pred. MSP: 2883FS</t>
  </si>
  <si>
    <t xml:space="preserve">Pred. MSP: 2879FS;2880FS</t>
  </si>
  <si>
    <t xml:space="preserve">ENCOFRADO Y DESENCOFRADO CARAVISTA EN VIGAS, SEGUNDO NIVEL — VIGAS - SEGUNDO NIVEL</t>
  </si>
  <si>
    <t xml:space="preserve">Pred. MSP: 868FS</t>
  </si>
  <si>
    <t xml:space="preserve">CONCRETO PREMEZCLADO EN PLACAS F'C=210 KG/CM2, C/CEMENTO TIPO IP, SEGUNDO NIVEL — PLACAS - SEGÚNDO NIVEL</t>
  </si>
  <si>
    <t xml:space="preserve">Pred. MSP: 341FS+86.0d</t>
  </si>
  <si>
    <t xml:space="preserve">NIVELACION INTERIOR APISONADO CON EQUIPO LIVIANO — MOVIMIENTO DE TIERRAS</t>
  </si>
  <si>
    <t xml:space="preserve">Pred. MSP: 1150FS</t>
  </si>
  <si>
    <t xml:space="preserve">Pred. MSP: 2341FS</t>
  </si>
  <si>
    <t xml:space="preserve">Pred. MSP: 2772FS</t>
  </si>
  <si>
    <t xml:space="preserve">PINTURA PARA CONTRAZOCALO H=0.30M CON PINTURA EPÓXICA — PINTURAS</t>
  </si>
  <si>
    <t xml:space="preserve">Pred. MSP: 2157FS</t>
  </si>
  <si>
    <t xml:space="preserve">TARRAJEO EN COLUMNAS Y VIGAS EXTERIOR MEZCLA C:A 1:5, E=1.5 cm — REVOQUES, ENLUCIDOS Y MOLDURAS</t>
  </si>
  <si>
    <t xml:space="preserve">Pred. MSP: 2599FS</t>
  </si>
  <si>
    <t xml:space="preserve">Pred. MSP: 2773FS</t>
  </si>
  <si>
    <t xml:space="preserve">LADRILLO HUECO DE ARCILLA 30x30x20 CM. PARA LOSAS ALIGERADAS (1° NIVEL) — LOSA ALIGERADA - PRIMER NIVEL</t>
  </si>
  <si>
    <t xml:space="preserve">RUTA CRÍTICA · Pred. MSP: 994FS</t>
  </si>
  <si>
    <t xml:space="preserve">TABIQUE DE FACHADA VENTILADA CON PLACA CEMENTICIA E=12.5MM O SIMILAR,C/GRIS OSCURO, INC. INSTALACION — MUROS Y TABIQUES DE ALBAÑILERIA</t>
  </si>
  <si>
    <t xml:space="preserve">Pred. MSP: 2774FS</t>
  </si>
  <si>
    <t xml:space="preserve">CURADO DE ELEMENTOS VERTICALES — PLACAS - SEGÚNDO NIVEL</t>
  </si>
  <si>
    <t xml:space="preserve">Pred. MSP: 340FS</t>
  </si>
  <si>
    <t xml:space="preserve">Pred. MSP: 340FS;323FS</t>
  </si>
  <si>
    <t xml:space="preserve">ACERO Fy=4200 kg/cm2 GRADO 60 EN LOSAS MACIZAS — LOSA MACIZA - SEGUNDO NIVEL</t>
  </si>
  <si>
    <t xml:space="preserve">Pred. MSP: 363SS</t>
  </si>
  <si>
    <t xml:space="preserve">Pred. MSP: 379SS</t>
  </si>
  <si>
    <t xml:space="preserve">ACERO Fy=4200 kg/cm2 GRADO 60 EN PLACAS — PLACAS</t>
  </si>
  <si>
    <t xml:space="preserve">ACERO Fy=4200 kg/cm2 GRADO 60 — ZAPATAS</t>
  </si>
  <si>
    <t xml:space="preserve">Pred. MSP: 1166FS</t>
  </si>
  <si>
    <t xml:space="preserve">Pred. MSP: 1319FS+95.0d</t>
  </si>
  <si>
    <t xml:space="preserve">CONCRETO PREMEZCLADO EN PLACAS F'C=210 KG/CM2, C/CEMENTO TIPO IP, SEGUNDO NIVEL — PLACAS - SEGUNDO NIVEL</t>
  </si>
  <si>
    <t xml:space="preserve">Pred. MSP: 1625FS</t>
  </si>
  <si>
    <t xml:space="preserve">LETRAS DE LAMINA DE ALUMINIO NIQUELADO E=1.5MM, P/ INGRESO PRINCIPAL — OTROS</t>
  </si>
  <si>
    <t xml:space="preserve">Pred. MSP: 2158FS</t>
  </si>
  <si>
    <t xml:space="preserve">INODORO ONE PIECE DE LOZA VITRIFICADA BLANCO — APARATOS SANITARIOS</t>
  </si>
  <si>
    <t xml:space="preserve">LAVAMANOS TIPO FONTANA O SIMILAR CON PEDESTAL DE LOZA VITRIFICADA BLANCA — APARATOS SANITARIOS</t>
  </si>
  <si>
    <t xml:space="preserve">Pred. MSP: 3087FF</t>
  </si>
  <si>
    <t xml:space="preserve">DISPENSADOR DE PAPEL TOALLA — ACCESORIOS SANITARIOS</t>
  </si>
  <si>
    <t xml:space="preserve">DISPENSADOR DE JABON LIQUIDO RELLENABLE O SIMILAR — ACCESORIOS SANITARIOS</t>
  </si>
  <si>
    <t xml:space="preserve">PORTAROLLO DE PAPEL HIGIÉNICO — ACCESORIOS SANITARIOS</t>
  </si>
  <si>
    <t xml:space="preserve">RUTA CRÍTICA · Pred. MSP: 996FS</t>
  </si>
  <si>
    <t xml:space="preserve">Pred. MSP: 1318FS</t>
  </si>
  <si>
    <t xml:space="preserve">CURADO DE ELEMENTOS VERTICALES — PLACAS - SEGUNDO NIVEL</t>
  </si>
  <si>
    <t xml:space="preserve">Pred. MSP: 1624FS</t>
  </si>
  <si>
    <t xml:space="preserve">Pred. MSP: 1624FS;1613FS</t>
  </si>
  <si>
    <t xml:space="preserve">Pred. MSP: 2175FS+85.0d</t>
  </si>
  <si>
    <t xml:space="preserve">Pred. MSP: 2431FS</t>
  </si>
  <si>
    <t xml:space="preserve">LETRAS DE LAMINA DE ALUMINIO NIQUELADO E=1.5MM, P/ INGRESO SECUNDARIO — OTROS</t>
  </si>
  <si>
    <t xml:space="preserve">Pred. MSP: 2160FS</t>
  </si>
  <si>
    <t xml:space="preserve">Pred. MSP: 2600FS</t>
  </si>
  <si>
    <t xml:space="preserve">Pred. MSP: 2775FS</t>
  </si>
  <si>
    <t xml:space="preserve">CONTRAPISO C:H, 1:8 E=7CM — CONTRAPISOS</t>
  </si>
  <si>
    <t xml:space="preserve">Pred. MSP: 2887FS</t>
  </si>
  <si>
    <t xml:space="preserve">PINTURA LATEX 02 MANOS EN CIELO RASO — PINTURAS</t>
  </si>
  <si>
    <t xml:space="preserve">Pred. MSP: 1323FS</t>
  </si>
  <si>
    <t xml:space="preserve">Pred. MSP: 2632FS</t>
  </si>
  <si>
    <t xml:space="preserve">Pred. MSP: 1322FS</t>
  </si>
  <si>
    <t xml:space="preserve">Pred. MSP: 1637FS</t>
  </si>
  <si>
    <t xml:space="preserve">Pred. MSP: 1636SS;1624FS;1613FS</t>
  </si>
  <si>
    <t xml:space="preserve">LIMPIEZA FINAL DE OBRA — OTROS</t>
  </si>
  <si>
    <t xml:space="preserve">Pred. MSP: 2161FS;2111FS</t>
  </si>
  <si>
    <t xml:space="preserve">ENCOFRADO Y DESENCOFRADO NORMAL EN LOSA MACIZA (2° NIVEL) — LOSA MACIZA - SEGUNDO NIVEL</t>
  </si>
  <si>
    <t xml:space="preserve">Pred. MSP: 379FS</t>
  </si>
  <si>
    <t xml:space="preserve">Pred. MSP: 1306FS</t>
  </si>
  <si>
    <t xml:space="preserve">PISO PORCELANATO 0.60x0.60m ANTIDESLIZANTE C/ GRIS CLARO - ALTO TRÁNSITO — PISOS</t>
  </si>
  <si>
    <t xml:space="preserve">Pred. MSP: 2890FS</t>
  </si>
  <si>
    <t xml:space="preserve">ENCOFRADO Y DESENCOFRADO CARAVISTA EN VIGAS, TERCER NIVEL — VIGAS - TERCER NIVEL</t>
  </si>
  <si>
    <t xml:space="preserve">Pred. MSP: 630FS</t>
  </si>
  <si>
    <t xml:space="preserve">PINTURA BARNIZ 02 MANOS EN PUERTAS DE MADERA — PINTURAS</t>
  </si>
  <si>
    <t xml:space="preserve">Pred. MSP: 2914FS</t>
  </si>
  <si>
    <t xml:space="preserve">ENCOFRADO Y DESENCOFRADO NORMAL EN ZAPATAS — ZAPATAS</t>
  </si>
  <si>
    <t xml:space="preserve">Pred. MSP: 1330FS</t>
  </si>
  <si>
    <t xml:space="preserve">CONCRETO PREMEZCLADO EN VIGAS F'C= 210 KG/CM2, SEGUNDO NIVEL, C/CEMENTO IP — VIGAS - SEGUNDO NIVEL</t>
  </si>
  <si>
    <t xml:space="preserve">Pred. MSP: 1636FS</t>
  </si>
  <si>
    <t xml:space="preserve">Pred. MSP: 2176FS</t>
  </si>
  <si>
    <t xml:space="preserve">Pred. MSP: 2915FS</t>
  </si>
  <si>
    <t xml:space="preserve">Pred. MSP: 1310FS</t>
  </si>
  <si>
    <t xml:space="preserve">CURADO DE ELEMENTOS HORIZONTALES — VIGAS - SEGUNDO NIVEL</t>
  </si>
  <si>
    <t xml:space="preserve">Pred. MSP: 1635FS</t>
  </si>
  <si>
    <t xml:space="preserve">Pred. MSP: 2916FS</t>
  </si>
  <si>
    <t xml:space="preserve">CONCRETO PREMEZCLADO F'C=315 KG/CM2 PARA ZAPATAS, CEMENTO TIPO HS — ZAPATAS</t>
  </si>
  <si>
    <t xml:space="preserve">Pred. MSP: 1329FS</t>
  </si>
  <si>
    <t xml:space="preserve">LADRILLO HUECO DE ARCILLA 30x30x15 CM. PARA LOSAS ALIGERADAS (2° NIVEL) — LOSA ALIGERADA - SEGUNDO NIVEL</t>
  </si>
  <si>
    <t xml:space="preserve">Pred. MSP: 1648FS</t>
  </si>
  <si>
    <t xml:space="preserve">Pred. MSP: 2177FS</t>
  </si>
  <si>
    <t xml:space="preserve">RUTA DE EVACUACIÓN ESCALERA BAJANDO — SEÑALES DE EVACUACIÓN Y EMERGENCIA</t>
  </si>
  <si>
    <t xml:space="preserve">Pred. MSP: 2918FS</t>
  </si>
  <si>
    <t xml:space="preserve">RUTA CRÍTICA · Pred. MSP: 995FS</t>
  </si>
  <si>
    <t xml:space="preserve">Pred. MSP: 1174FS</t>
  </si>
  <si>
    <t xml:space="preserve">CURADO DE ELEMENTOS HORIZONTALES — ZAPATAS</t>
  </si>
  <si>
    <t xml:space="preserve">Pred. MSP: 1328FS</t>
  </si>
  <si>
    <t xml:space="preserve">ACERO Fy=4200 kg/cm2 GRADO 60 — VIGAS DE CONEXION</t>
  </si>
  <si>
    <t xml:space="preserve">Pred. MSP: 1341SS</t>
  </si>
  <si>
    <t xml:space="preserve">ACERO Fy=4200 kg/cm2 GRADO 60 EN LOSAS ALIGERADA — LOSA ALIGERADA - SEGUNDO NIVEL</t>
  </si>
  <si>
    <t xml:space="preserve">Pred. MSP: 1650FS</t>
  </si>
  <si>
    <t xml:space="preserve">CONCRETO PREMEZCLADO EN LOSAS F'C= 210 KG/CM2, SEGUNDO NIVEL, C/CEMENTO IP — LOSA MACIZA - SEGUNDO NIVEL</t>
  </si>
  <si>
    <t xml:space="preserve">Pred. MSP: 378FS</t>
  </si>
  <si>
    <t xml:space="preserve">Pred. MSP: 879FS</t>
  </si>
  <si>
    <t xml:space="preserve">Pred. MSP: 993FS</t>
  </si>
  <si>
    <t xml:space="preserve">CONCRETO PREMEZCLADO EN LOSAS F'C= 210 KG/CM2, C/CEMENTO IP — LOSA ALIGERADA - SEGUNDO NIVEL</t>
  </si>
  <si>
    <t xml:space="preserve">Pred. MSP: 1649FS</t>
  </si>
  <si>
    <t xml:space="preserve">RUTA CRÍTICA · Pred. MSP: 993FS</t>
  </si>
  <si>
    <t xml:space="preserve">CURADO DE ELEMENTOS HORIZONTALES — LOSA MACIZA - SEGUNDO NIVEL</t>
  </si>
  <si>
    <t xml:space="preserve">Pred. MSP: 377FS</t>
  </si>
  <si>
    <t xml:space="preserve">Pred. MSP: 1647FS</t>
  </si>
  <si>
    <t xml:space="preserve">ACERO Fy=4200 kg/cm2 GRADO 60 EN ESCALERAS — ESCALERAS</t>
  </si>
  <si>
    <t xml:space="preserve">ACERO Fy=4200 kg/cm2 GRADO 60 EN PARAPETOS — PARAPETO CONCRETO ARMADO</t>
  </si>
  <si>
    <t xml:space="preserve">Pred. MSP: 2178FS</t>
  </si>
  <si>
    <t xml:space="preserve">TARRAJEO DE CIELO RASO MEZC. C:A 1:5, E=1.5CM. — CIELORRASOS</t>
  </si>
  <si>
    <t xml:space="preserve">Pred. MSP: 2292FS</t>
  </si>
  <si>
    <t xml:space="preserve">ANÁLISIS DE RESTRICCIONES</t>
  </si>
  <si>
    <t xml:space="preserve">Estado = Liberado cuando se ingresa la Fecha real de liberación.</t>
  </si>
  <si>
    <t xml:space="preserve">Colchón (días antes del inicio):</t>
  </si>
  <si>
    <t xml:space="preserve">Pendientes:</t>
  </si>
  <si>
    <t xml:space="preserve">Vencidas:</t>
  </si>
  <si>
    <t xml:space="preserve">ID Restricción</t>
  </si>
  <si>
    <t xml:space="preserve">Actividad</t>
  </si>
  <si>
    <t xml:space="preserve">Inicio actividad</t>
  </si>
  <si>
    <t xml:space="preserve">Tipo de restricción</t>
  </si>
  <si>
    <t xml:space="preserve">Descripción de la restricción</t>
  </si>
  <si>
    <t xml:space="preserve">Responsable único</t>
  </si>
  <si>
    <t xml:space="preserve">Fecha identificación</t>
  </si>
  <si>
    <t xml:space="preserve">Fecha requerida</t>
  </si>
  <si>
    <t xml:space="preserve">Fecha comprometida</t>
  </si>
  <si>
    <t xml:space="preserve">Fecha real liberación</t>
  </si>
  <si>
    <t xml:space="preserve">Alerta</t>
  </si>
  <si>
    <t xml:space="preserve">Holgura (días)</t>
  </si>
  <si>
    <t xml:space="preserve">Acción / Comentario</t>
  </si>
  <si>
    <t xml:space="preserve">PLAN SEMANAL – PLANIFICACIÓN OPERATIVA (LUNES A SÁBADO)</t>
  </si>
  <si>
    <t xml:space="preserve">Tabla acumulada: cada fila lleva su N° de semana. Solo acepta actividades LISTA.</t>
  </si>
  <si>
    <t xml:space="preserve">Semana a mostrar:</t>
  </si>
  <si>
    <t xml:space="preserve">Último planificador:</t>
  </si>
  <si>
    <t xml:space="preserve">PPC SEMANA:</t>
  </si>
  <si>
    <t xml:space="preserve">PPC GLOBAL:</t>
  </si>
  <si>
    <t xml:space="preserve">PPC diario →</t>
  </si>
  <si>
    <t xml:space="preserve">PROGRAMADO (cantidad)</t>
  </si>
  <si>
    <t xml:space="preserve">EJECUTADO (cantidad)</t>
  </si>
  <si>
    <t xml:space="preserve">ID Semanal</t>
  </si>
  <si>
    <t xml:space="preserve">Semana N°</t>
  </si>
  <si>
    <t xml:space="preserve">Estado Lookahead</t>
  </si>
  <si>
    <t xml:space="preserve">Capataz / Jefe cuadrilla</t>
  </si>
  <si>
    <t xml:space="preserve">Lu</t>
  </si>
  <si>
    <t xml:space="preserve">Ma</t>
  </si>
  <si>
    <t xml:space="preserve">Mi</t>
  </si>
  <si>
    <t xml:space="preserve">Ju</t>
  </si>
  <si>
    <t xml:space="preserve">Vi</t>
  </si>
  <si>
    <t xml:space="preserve">Sá</t>
  </si>
  <si>
    <t xml:space="preserve">Total progr.</t>
  </si>
  <si>
    <t xml:space="preserve">Total ejec.</t>
  </si>
  <si>
    <t xml:space="preserve">% Cumpl.</t>
  </si>
  <si>
    <t xml:space="preserve">¿Cumplió?</t>
  </si>
  <si>
    <t xml:space="preserve">Causa de incumplimiento</t>
  </si>
  <si>
    <t xml:space="preserve">Acción correctiva</t>
  </si>
  <si>
    <t xml:space="preserve">DASHBOARD DE CONTROL LPS</t>
  </si>
  <si>
    <t xml:space="preserve">INDICADORES CLAVE</t>
  </si>
  <si>
    <t xml:space="preserve">PARETO DE CAUSAS DE INCUMPLIMIENTO</t>
  </si>
  <si>
    <t xml:space="preserve">RESTRICCIONES POR TIPO</t>
  </si>
  <si>
    <t xml:space="preserve">Meta PPC</t>
  </si>
  <si>
    <t xml:space="preserve">Supuesto: meta típica LPS ≥ 85%</t>
  </si>
  <si>
    <t xml:space="preserve">Causa (ordenada)</t>
  </si>
  <si>
    <t xml:space="preserve">Frecuencia</t>
  </si>
  <si>
    <t xml:space="preserve">%</t>
  </si>
  <si>
    <t xml:space="preserve">% Acum.</t>
  </si>
  <si>
    <t xml:space="preserve">Pendientes</t>
  </si>
  <si>
    <t xml:space="preserve">Liberadas</t>
  </si>
  <si>
    <t xml:space="preserve">PPC global (todas las semanas)</t>
  </si>
  <si>
    <t xml:space="preserve">PPC semana seleccionada</t>
  </si>
  <si>
    <t xml:space="preserve">Actividades LISTAS (inventario ejecutable)</t>
  </si>
  <si>
    <t xml:space="preserve">Actividades RESTRINGIDAS</t>
  </si>
  <si>
    <t xml:space="preserve">Restricciones pendientes</t>
  </si>
  <si>
    <t xml:space="preserve">Restricciones vencidas</t>
  </si>
  <si>
    <t xml:space="preserve">% restricciones liberadas a tiempo</t>
  </si>
  <si>
    <t xml:space="preserve">PPC POR SEMANA</t>
  </si>
  <si>
    <t xml:space="preserve">Programadas</t>
  </si>
  <si>
    <t xml:space="preserve">Completadas</t>
  </si>
  <si>
    <t xml:space="preserve">PPC</t>
  </si>
  <si>
    <t xml:space="preserve">PPC acumulado</t>
  </si>
  <si>
    <t xml:space="preserve">PPC POR CUADRILLA / SUBCONTRATO</t>
  </si>
  <si>
    <t xml:space="preserve">Auxiliar Pareto (no editar)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</si>
</sst>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dd\-mm\-yyyy"/>
    <numFmt numFmtId="167" formatCode="0"/>
    <numFmt numFmtId="168" formatCode="mmm\-yy"/>
    <numFmt numFmtId="169" formatCode="0%"/>
    <numFmt numFmtId="170" formatCode="dd\-mmm"/>
    <numFmt numFmtId="171" formatCode="#,##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b val="true"/>
      <sz val="12"/>
      <color rgb="FF1F3864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2E75B6"/>
        <bgColor rgb="FF4A7EBB"/>
      </patternFill>
    </fill>
    <fill>
      <patternFill patternType="solid">
        <fgColor rgb="FF548235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3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3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4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4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5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5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6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6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7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C6EFCE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FFEB9C"/>
        </patternFill>
      </fill>
    </dxf>
    <dxf>
      <border diagonalUp="false" diagonalDown="false">
        <left style="thick">
          <color rgb="FFC00000"/>
        </left>
        <right/>
        <top/>
        <bottom/>
        <diagonal/>
      </border>
    </dxf>
    <dxf>
      <fill>
        <patternFill>
          <bgColor rgb="FF1F3864"/>
        </patternFill>
      </fill>
    </dxf>
    <dxf>
      <fill>
        <patternFill>
          <bgColor rgb="FF9DC3E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>
          <bgColor rgb="FF70AD47"/>
        </patternFill>
      </fill>
    </dxf>
    <dxf>
      <fill>
        <patternFill>
          <bgColor rgb="FFFF6B6B"/>
        </patternFill>
      </fill>
    </dxf>
    <dxf>
      <fill>
        <patternFill>
          <bgColor rgb="FFF4B183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>
          <bgColor rgb="FFFF0000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4F81BD"/>
      <rgbColor rgb="FFBFBFBF"/>
      <rgbColor rgb="FF808080"/>
      <rgbColor rgb="FFA5A5A5"/>
      <rgbColor rgb="FFBE4B48"/>
      <rgbColor rgb="FFFFF2CC"/>
      <rgbColor rgb="FFF2F2F2"/>
      <rgbColor rgb="FF660066"/>
      <rgbColor rgb="FFFF6B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DC3E6"/>
      <rgbColor rgb="FFF4B183"/>
      <rgbColor rgb="FF7F7F7F"/>
      <rgbColor rgb="FFF8CBAD"/>
      <rgbColor rgb="FF2E75B6"/>
      <rgbColor rgb="FF33CCCC"/>
      <rgbColor rgb="FF70AD47"/>
      <rgbColor rgb="FFFFCC00"/>
      <rgbColor rgb="FFBF8F00"/>
      <rgbColor rgb="FFFF6600"/>
      <rgbColor rgb="FF595959"/>
      <rgbColor rgb="FF878787"/>
      <rgbColor rgb="FF1F3864"/>
      <rgbColor rgb="FF4A7EBB"/>
      <rgbColor rgb="FF003300"/>
      <rgbColor rgb="FF333300"/>
      <rgbColor rgb="FFC0504D"/>
      <rgbColor rgb="FF7030A0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PPC semanal vs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DASHBOARD!D14</c:f>
              <c:strCache>
                <c:ptCount val="1"/>
                <c:pt idx="0">
                  <c:v>PPC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DASHBOARD!$A$15:$A$40</c:f>
              <c:strCache>
                <c:ptCount val="26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</c:strCache>
            </c:strRef>
          </c:cat>
          <c:val>
            <c:numRef>
              <c:f>DASHBOARD!$D$15:$D$40</c:f>
              <c:numCache>
                <c:formatCode>General</c:formatCode>
                <c:ptCount val="26"/>
              </c:numCache>
            </c:numRef>
          </c:val>
          <c:smooth val="1"/>
        </c:ser>
        <c:ser>
          <c:idx val="1"/>
          <c:order val="1"/>
          <c:tx>
            <c:strRef>
              <c:f>DASHBOARD!E14</c:f>
              <c:strCache>
                <c:ptCount val="1"/>
                <c:pt idx="0">
                  <c:v>PPC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DASHBOARD!$A$15:$A$40</c:f>
              <c:strCache>
                <c:ptCount val="26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</c:strCache>
            </c:strRef>
          </c:cat>
          <c:val>
            <c:numRef>
              <c:f>DASHBOARD!$E$15:$E$40</c:f>
              <c:numCache>
                <c:formatCode>General</c:formatCode>
                <c:ptCount val="26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770149"/>
        <c:axId val="73087529"/>
      </c:lineChart>
      <c:catAx>
        <c:axId val="637701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87529"/>
        <c:crosses val="autoZero"/>
        <c:auto val="1"/>
        <c:lblAlgn val="ctr"/>
        <c:lblOffset val="100"/>
        <c:noMultiLvlLbl val="0"/>
      </c:catAx>
      <c:valAx>
        <c:axId val="7308752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PPC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7701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Pareto de causas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DASHBOARD!H4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DASHBOARD!$G$5:$G$16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DASHBOARD!$H$5:$H$16</c:f>
              <c:numCache>
                <c:formatCode>General</c:formatCode>
                <c:ptCount val="12"/>
              </c:numCache>
            </c:numRef>
          </c:val>
        </c:ser>
        <c:gapWidth val="150"/>
        <c:overlap val="0"/>
        <c:axId val="20549233"/>
        <c:axId val="45143356"/>
      </c:barChart>
      <c:catAx>
        <c:axId val="205492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43356"/>
        <c:crosses val="autoZero"/>
        <c:auto val="1"/>
        <c:lblAlgn val="ctr"/>
        <c:lblOffset val="100"/>
        <c:noMultiLvlLbl val="0"/>
      </c:catAx>
      <c:valAx>
        <c:axId val="451433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492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Restricciones por tipo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DASHBOARD!M4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DASHBOARD!$L$5:$L$16</c:f>
              <c:strCache>
                <c:ptCount val="12"/>
                <c:pt idx="0">
                  <c:v>Permisos / Licencias</c:v>
                </c:pt>
                <c:pt idx="1">
                  <c:v>Materiales</c:v>
                </c:pt>
                <c:pt idx="2">
                  <c:v>Mano de obra</c:v>
                </c:pt>
                <c:pt idx="3">
                  <c:v>Subcontratos</c:v>
                </c:pt>
                <c:pt idx="4">
                  <c:v>Diseño / Ingeniería (RFI)</c:v>
                </c:pt>
                <c:pt idx="5">
                  <c:v>Equipos / Maquinaria</c:v>
                </c:pt>
                <c:pt idx="6">
                  <c:v>Espacio / Frente de trabajo</c:v>
                </c:pt>
                <c:pt idx="7">
                  <c:v>Actividad previa</c:v>
                </c:pt>
                <c:pt idx="8">
                  <c:v>Información / Aprobación cliente</c:v>
                </c:pt>
                <c:pt idx="9">
                  <c:v>Seguridad / Calidad</c:v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DASHBOARD!$M$5:$M$16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DASHBOARD!N4</c:f>
              <c:strCache>
                <c:ptCount val="1"/>
                <c:pt idx="0">
                  <c:v>Liberadas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DASHBOARD!$L$5:$L$16</c:f>
              <c:strCache>
                <c:ptCount val="12"/>
                <c:pt idx="0">
                  <c:v>Permisos / Licencias</c:v>
                </c:pt>
                <c:pt idx="1">
                  <c:v>Materiales</c:v>
                </c:pt>
                <c:pt idx="2">
                  <c:v>Mano de obra</c:v>
                </c:pt>
                <c:pt idx="3">
                  <c:v>Subcontratos</c:v>
                </c:pt>
                <c:pt idx="4">
                  <c:v>Diseño / Ingeniería (RFI)</c:v>
                </c:pt>
                <c:pt idx="5">
                  <c:v>Equipos / Maquinaria</c:v>
                </c:pt>
                <c:pt idx="6">
                  <c:v>Espacio / Frente de trabajo</c:v>
                </c:pt>
                <c:pt idx="7">
                  <c:v>Actividad previa</c:v>
                </c:pt>
                <c:pt idx="8">
                  <c:v>Información / Aprobación cliente</c:v>
                </c:pt>
                <c:pt idx="9">
                  <c:v>Seguridad / Calidad</c:v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DASHBOARD!$N$5:$N$16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100"/>
        <c:axId val="88082082"/>
        <c:axId val="16536982"/>
      </c:barChart>
      <c:catAx>
        <c:axId val="880820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36982"/>
        <c:crosses val="autoZero"/>
        <c:auto val="1"/>
        <c:lblAlgn val="ctr"/>
        <c:lblOffset val="100"/>
        <c:noMultiLvlLbl val="0"/>
      </c:catAx>
      <c:valAx>
        <c:axId val="165369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0820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</xdr:row>
      <xdr:rowOff>160560</xdr:rowOff>
    </xdr:from>
    <xdr:to>
      <xdr:col>23</xdr:col>
      <xdr:colOff>256320</xdr:colOff>
      <xdr:row>13</xdr:row>
      <xdr:rowOff>364680</xdr:rowOff>
    </xdr:to>
    <xdr:graphicFrame>
      <xdr:nvGraphicFramePr>
        <xdr:cNvPr id="0" name="Chart 1"/>
        <xdr:cNvGraphicFramePr/>
      </xdr:nvGraphicFramePr>
      <xdr:xfrm>
        <a:off x="14379120" y="3808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17</xdr:row>
      <xdr:rowOff>160560</xdr:rowOff>
    </xdr:from>
    <xdr:to>
      <xdr:col>23</xdr:col>
      <xdr:colOff>256320</xdr:colOff>
      <xdr:row>30</xdr:row>
      <xdr:rowOff>174240</xdr:rowOff>
    </xdr:to>
    <xdr:graphicFrame>
      <xdr:nvGraphicFramePr>
        <xdr:cNvPr id="1" name="Chart 2"/>
        <xdr:cNvGraphicFramePr/>
      </xdr:nvGraphicFramePr>
      <xdr:xfrm>
        <a:off x="14379120" y="38480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33</xdr:row>
      <xdr:rowOff>160560</xdr:rowOff>
    </xdr:from>
    <xdr:to>
      <xdr:col>23</xdr:col>
      <xdr:colOff>256320</xdr:colOff>
      <xdr:row>48</xdr:row>
      <xdr:rowOff>2880</xdr:rowOff>
    </xdr:to>
    <xdr:graphicFrame>
      <xdr:nvGraphicFramePr>
        <xdr:cNvPr id="2" name="Chart 3"/>
        <xdr:cNvGraphicFramePr/>
      </xdr:nvGraphicFramePr>
      <xdr:xfrm>
        <a:off x="14379120" y="7105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/>
    </row>
    <row r="4" customFormat="false" ht="15" hidden="false" customHeight="false" outlineLevel="0" collapsed="false">
      <c r="B4" s="4" t="s">
        <v>2</v>
      </c>
      <c r="C4" s="3" t="s">
        <v>3</v>
      </c>
    </row>
    <row r="5" customFormat="false" ht="15" hidden="false" customHeight="false" outlineLevel="0" collapsed="false">
      <c r="B5" s="5" t="s">
        <v>4</v>
      </c>
      <c r="C5" s="3" t="s">
        <v>5</v>
      </c>
    </row>
    <row r="6" customFormat="false" ht="15" hidden="false" customHeight="false" outlineLevel="0" collapsed="false">
      <c r="B6" s="2"/>
      <c r="C6" s="3"/>
    </row>
    <row r="7" customFormat="false" ht="15" hidden="false" customHeight="false" outlineLevel="0" collapsed="false">
      <c r="B7" s="2" t="s">
        <v>6</v>
      </c>
      <c r="C7" s="3"/>
    </row>
    <row r="8" customFormat="false" ht="23.85" hidden="false" customHeight="false" outlineLevel="0" collapsed="false">
      <c r="B8" s="6" t="s">
        <v>7</v>
      </c>
      <c r="C8" s="3" t="s">
        <v>8</v>
      </c>
    </row>
    <row r="9" customFormat="false" ht="23.85" hidden="false" customHeight="false" outlineLevel="0" collapsed="false">
      <c r="B9" s="6" t="s">
        <v>9</v>
      </c>
      <c r="C9" s="3" t="s">
        <v>10</v>
      </c>
    </row>
    <row r="10" customFormat="false" ht="23.85" hidden="false" customHeight="false" outlineLevel="0" collapsed="false">
      <c r="B10" s="6" t="s">
        <v>11</v>
      </c>
      <c r="C10" s="3" t="s">
        <v>12</v>
      </c>
    </row>
    <row r="11" customFormat="false" ht="23.85" hidden="false" customHeight="false" outlineLevel="0" collapsed="false">
      <c r="B11" s="6" t="s">
        <v>13</v>
      </c>
      <c r="C11" s="3" t="s">
        <v>14</v>
      </c>
    </row>
    <row r="12" customFormat="false" ht="23.85" hidden="false" customHeight="false" outlineLevel="0" collapsed="false">
      <c r="B12" s="6" t="s">
        <v>15</v>
      </c>
      <c r="C12" s="3" t="s">
        <v>16</v>
      </c>
    </row>
    <row r="13" customFormat="false" ht="23.85" hidden="false" customHeight="false" outlineLevel="0" collapsed="false">
      <c r="B13" s="6" t="s">
        <v>17</v>
      </c>
      <c r="C13" s="3" t="s">
        <v>18</v>
      </c>
    </row>
    <row r="14" customFormat="false" ht="23.85" hidden="false" customHeight="false" outlineLevel="0" collapsed="false">
      <c r="B14" s="6" t="s">
        <v>19</v>
      </c>
      <c r="C14" s="3" t="s">
        <v>20</v>
      </c>
    </row>
    <row r="15" customFormat="false" ht="15" hidden="false" customHeight="false" outlineLevel="0" collapsed="false">
      <c r="B15" s="6" t="s">
        <v>21</v>
      </c>
      <c r="C15" s="3" t="s">
        <v>22</v>
      </c>
    </row>
    <row r="16" customFormat="false" ht="15" hidden="false" customHeight="false" outlineLevel="0" collapsed="false">
      <c r="B16" s="2"/>
      <c r="C16" s="3"/>
    </row>
    <row r="17" customFormat="false" ht="15" hidden="false" customHeight="false" outlineLevel="0" collapsed="false">
      <c r="B17" s="2" t="s">
        <v>23</v>
      </c>
      <c r="C17" s="3"/>
    </row>
    <row r="18" customFormat="false" ht="23.85" hidden="false" customHeight="false" outlineLevel="0" collapsed="false">
      <c r="B18" s="6" t="s">
        <v>24</v>
      </c>
      <c r="C18" s="3" t="s">
        <v>25</v>
      </c>
    </row>
    <row r="19" customFormat="false" ht="15" hidden="false" customHeight="false" outlineLevel="0" collapsed="false">
      <c r="B19" s="6" t="s">
        <v>26</v>
      </c>
      <c r="C19" s="3" t="s">
        <v>27</v>
      </c>
    </row>
    <row r="20" customFormat="false" ht="15" hidden="false" customHeight="false" outlineLevel="0" collapsed="false">
      <c r="B20" s="6" t="s">
        <v>28</v>
      </c>
      <c r="C20" s="3" t="s">
        <v>29</v>
      </c>
    </row>
    <row r="21" customFormat="false" ht="15" hidden="false" customHeight="false" outlineLevel="0" collapsed="false">
      <c r="B21" s="6" t="s">
        <v>30</v>
      </c>
      <c r="C21" s="3" t="s">
        <v>31</v>
      </c>
    </row>
    <row r="22" customFormat="false" ht="23.85" hidden="false" customHeight="false" outlineLevel="0" collapsed="false">
      <c r="B22" s="6" t="s">
        <v>32</v>
      </c>
      <c r="C22" s="3" t="s">
        <v>33</v>
      </c>
    </row>
    <row r="23" customFormat="false" ht="15" hidden="false" customHeight="false" outlineLevel="0" collapsed="false">
      <c r="B23" s="6" t="s">
        <v>34</v>
      </c>
      <c r="C23" s="3" t="s">
        <v>35</v>
      </c>
    </row>
    <row r="24" customFormat="false" ht="15" hidden="false" customHeight="false" outlineLevel="0" collapsed="false">
      <c r="B24" s="2"/>
      <c r="C24" s="3"/>
    </row>
    <row r="25" customFormat="false" ht="15" hidden="false" customHeight="false" outlineLevel="0" collapsed="false">
      <c r="B25" s="2" t="s">
        <v>36</v>
      </c>
      <c r="C25" s="3"/>
    </row>
    <row r="26" customFormat="false" ht="15" hidden="false" customHeight="false" outlineLevel="0" collapsed="false">
      <c r="B26" s="6" t="s">
        <v>37</v>
      </c>
      <c r="C26" s="3" t="s">
        <v>38</v>
      </c>
    </row>
    <row r="27" customFormat="false" ht="15" hidden="false" customHeight="false" outlineLevel="0" collapsed="false">
      <c r="B27" s="6" t="s">
        <v>39</v>
      </c>
      <c r="C27" s="3" t="s">
        <v>40</v>
      </c>
    </row>
    <row r="28" customFormat="false" ht="23.85" hidden="false" customHeight="false" outlineLevel="0" collapsed="false">
      <c r="B28" s="6" t="s">
        <v>41</v>
      </c>
      <c r="C28" s="3" t="s">
        <v>42</v>
      </c>
    </row>
    <row r="29" customFormat="false" ht="15" hidden="false" customHeight="false" outlineLevel="0" collapsed="false">
      <c r="B29" s="6" t="s">
        <v>43</v>
      </c>
      <c r="C29" s="3" t="s">
        <v>44</v>
      </c>
    </row>
    <row r="30" customFormat="false" ht="15" hidden="false" customHeight="false" outlineLevel="0" collapsed="false">
      <c r="B30" s="6" t="s">
        <v>45</v>
      </c>
      <c r="C30" s="3" t="s">
        <v>46</v>
      </c>
    </row>
    <row r="31" customFormat="false" ht="15" hidden="false" customHeight="false" outlineLevel="0" collapsed="false">
      <c r="B31" s="2"/>
      <c r="C31" s="3"/>
    </row>
    <row r="32" customFormat="false" ht="46.25" hidden="false" customHeight="false" outlineLevel="0" collapsed="false">
      <c r="B32" s="6" t="s">
        <v>47</v>
      </c>
      <c r="C32" s="3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24"/>
  </cols>
  <sheetData>
    <row r="1" customFormat="false" ht="17.35" hidden="false" customHeight="false" outlineLevel="0" collapsed="false">
      <c r="A1" s="1" t="s">
        <v>49</v>
      </c>
      <c r="D1" s="7" t="s">
        <v>50</v>
      </c>
    </row>
    <row r="3" customFormat="false" ht="31.5" hidden="false" customHeight="true" outlineLevel="0" collapsed="false">
      <c r="A3" s="8" t="s">
        <v>51</v>
      </c>
      <c r="B3" s="8" t="s">
        <v>52</v>
      </c>
      <c r="C3" s="8" t="s">
        <v>53</v>
      </c>
      <c r="D3" s="8" t="s">
        <v>54</v>
      </c>
      <c r="E3" s="8" t="s">
        <v>55</v>
      </c>
      <c r="F3" s="8" t="s">
        <v>56</v>
      </c>
    </row>
    <row r="4" customFormat="false" ht="15" hidden="false" customHeight="false" outlineLevel="0" collapsed="false">
      <c r="A4" s="9" t="s">
        <v>57</v>
      </c>
      <c r="B4" s="9" t="s">
        <v>58</v>
      </c>
      <c r="C4" s="9" t="s">
        <v>59</v>
      </c>
      <c r="D4" s="9" t="s">
        <v>60</v>
      </c>
      <c r="E4" s="9" t="s">
        <v>61</v>
      </c>
      <c r="F4" s="9" t="s">
        <v>62</v>
      </c>
    </row>
    <row r="5" customFormat="false" ht="15" hidden="false" customHeight="false" outlineLevel="0" collapsed="false">
      <c r="A5" s="9" t="s">
        <v>63</v>
      </c>
      <c r="B5" s="9" t="s">
        <v>64</v>
      </c>
      <c r="C5" s="9" t="s">
        <v>65</v>
      </c>
      <c r="D5" s="9" t="s">
        <v>66</v>
      </c>
      <c r="E5" s="9" t="s">
        <v>67</v>
      </c>
      <c r="F5" s="9" t="s">
        <v>68</v>
      </c>
    </row>
    <row r="6" customFormat="false" ht="15" hidden="false" customHeight="false" outlineLevel="0" collapsed="false">
      <c r="A6" s="9" t="s">
        <v>69</v>
      </c>
      <c r="B6" s="9" t="s">
        <v>70</v>
      </c>
      <c r="C6" s="9" t="s">
        <v>71</v>
      </c>
      <c r="D6" s="9" t="s">
        <v>72</v>
      </c>
      <c r="E6" s="9" t="s">
        <v>73</v>
      </c>
      <c r="F6" s="9" t="s">
        <v>74</v>
      </c>
    </row>
    <row r="7" customFormat="false" ht="15" hidden="false" customHeight="false" outlineLevel="0" collapsed="false">
      <c r="A7" s="9" t="s">
        <v>75</v>
      </c>
      <c r="B7" s="9" t="s">
        <v>76</v>
      </c>
      <c r="C7" s="9" t="s">
        <v>77</v>
      </c>
      <c r="D7" s="9" t="s">
        <v>78</v>
      </c>
      <c r="E7" s="9" t="s">
        <v>79</v>
      </c>
      <c r="F7" s="9" t="s">
        <v>80</v>
      </c>
    </row>
    <row r="8" customFormat="false" ht="15" hidden="false" customHeight="false" outlineLevel="0" collapsed="false">
      <c r="A8" s="9" t="s">
        <v>81</v>
      </c>
      <c r="B8" s="9" t="s">
        <v>82</v>
      </c>
      <c r="C8" s="9" t="s">
        <v>83</v>
      </c>
      <c r="D8" s="9" t="s">
        <v>84</v>
      </c>
      <c r="E8" s="9" t="s">
        <v>85</v>
      </c>
      <c r="F8" s="9" t="s">
        <v>86</v>
      </c>
    </row>
    <row r="9" customFormat="false" ht="15" hidden="false" customHeight="false" outlineLevel="0" collapsed="false">
      <c r="A9" s="9" t="s">
        <v>87</v>
      </c>
      <c r="B9" s="9" t="s">
        <v>88</v>
      </c>
      <c r="C9" s="9" t="s">
        <v>89</v>
      </c>
      <c r="D9" s="9" t="s">
        <v>90</v>
      </c>
      <c r="E9" s="9" t="s">
        <v>91</v>
      </c>
      <c r="F9" s="9" t="s">
        <v>92</v>
      </c>
    </row>
    <row r="10" customFormat="false" ht="15" hidden="false" customHeight="false" outlineLevel="0" collapsed="false">
      <c r="A10" s="9" t="s">
        <v>93</v>
      </c>
      <c r="B10" s="9" t="s">
        <v>94</v>
      </c>
      <c r="C10" s="9" t="s">
        <v>95</v>
      </c>
      <c r="D10" s="9" t="s">
        <v>96</v>
      </c>
      <c r="E10" s="9" t="s">
        <v>97</v>
      </c>
      <c r="F10" s="9" t="s">
        <v>98</v>
      </c>
    </row>
    <row r="11" customFormat="false" ht="15" hidden="false" customHeight="false" outlineLevel="0" collapsed="false">
      <c r="A11" s="9" t="s">
        <v>99</v>
      </c>
      <c r="B11" s="9" t="s">
        <v>100</v>
      </c>
      <c r="C11" s="9" t="s">
        <v>101</v>
      </c>
      <c r="D11" s="9" t="s">
        <v>102</v>
      </c>
      <c r="E11" s="9" t="s">
        <v>103</v>
      </c>
      <c r="F11" s="9" t="s">
        <v>104</v>
      </c>
    </row>
    <row r="12" customFormat="false" ht="15" hidden="false" customHeight="false" outlineLevel="0" collapsed="false">
      <c r="A12" s="9" t="s">
        <v>105</v>
      </c>
      <c r="B12" s="9" t="s">
        <v>106</v>
      </c>
      <c r="C12" s="9" t="s">
        <v>107</v>
      </c>
      <c r="D12" s="9" t="s">
        <v>108</v>
      </c>
      <c r="E12" s="9"/>
      <c r="F12" s="9" t="s">
        <v>109</v>
      </c>
    </row>
    <row r="13" customFormat="false" ht="15" hidden="false" customHeight="false" outlineLevel="0" collapsed="false">
      <c r="A13" s="9" t="s">
        <v>110</v>
      </c>
      <c r="B13" s="9" t="s">
        <v>111</v>
      </c>
      <c r="C13" s="9" t="s">
        <v>112</v>
      </c>
      <c r="D13" s="9" t="s">
        <v>113</v>
      </c>
      <c r="E13" s="9"/>
      <c r="F13" s="9" t="s">
        <v>114</v>
      </c>
    </row>
    <row r="14" customFormat="false" ht="15" hidden="false" customHeight="false" outlineLevel="0" collapsed="false">
      <c r="A14" s="9" t="s">
        <v>115</v>
      </c>
      <c r="B14" s="9" t="s">
        <v>116</v>
      </c>
      <c r="C14" s="9"/>
      <c r="D14" s="9" t="s">
        <v>117</v>
      </c>
      <c r="E14" s="9"/>
      <c r="F14" s="9" t="s">
        <v>118</v>
      </c>
    </row>
    <row r="15" customFormat="false" ht="15" hidden="false" customHeight="false" outlineLevel="0" collapsed="false">
      <c r="A15" s="9"/>
      <c r="B15" s="9" t="s">
        <v>119</v>
      </c>
      <c r="C15" s="9"/>
      <c r="D15" s="9" t="s">
        <v>120</v>
      </c>
      <c r="E15" s="9"/>
      <c r="F15" s="9" t="s">
        <v>121</v>
      </c>
    </row>
    <row r="16" customFormat="false" ht="15" hidden="false" customHeight="false" outlineLevel="0" collapsed="false">
      <c r="A16" s="9"/>
      <c r="B16" s="9" t="s">
        <v>122</v>
      </c>
      <c r="C16" s="9"/>
      <c r="D16" s="9"/>
      <c r="E16" s="9"/>
      <c r="F16" s="9" t="s">
        <v>123</v>
      </c>
    </row>
    <row r="17" customFormat="false" ht="15" hidden="false" customHeight="false" outlineLevel="0" collapsed="false">
      <c r="A17" s="9"/>
      <c r="B17" s="9" t="s">
        <v>124</v>
      </c>
      <c r="C17" s="9"/>
      <c r="D17" s="9"/>
      <c r="E17" s="9"/>
      <c r="F17" s="9" t="s">
        <v>125</v>
      </c>
    </row>
    <row r="18" customFormat="false" ht="15" hidden="false" customHeight="false" outlineLevel="0" collapsed="false">
      <c r="A18" s="9"/>
      <c r="B18" s="9" t="s">
        <v>126</v>
      </c>
      <c r="C18" s="9"/>
      <c r="D18" s="9"/>
      <c r="E18" s="9"/>
      <c r="F18" s="9" t="s">
        <v>127</v>
      </c>
    </row>
    <row r="19" customFormat="false" ht="15" hidden="false" customHeight="false" outlineLevel="0" collapsed="false">
      <c r="A19" s="9"/>
      <c r="B19" s="9" t="s">
        <v>128</v>
      </c>
      <c r="C19" s="9"/>
      <c r="D19" s="9"/>
      <c r="E19" s="9"/>
      <c r="F19" s="9" t="s">
        <v>129</v>
      </c>
    </row>
    <row r="20" customFormat="false" ht="15" hidden="false" customHeight="false" outlineLevel="0" collapsed="false">
      <c r="A20" s="9"/>
      <c r="B20" s="9" t="s">
        <v>130</v>
      </c>
      <c r="C20" s="9"/>
      <c r="D20" s="9"/>
      <c r="E20" s="9"/>
      <c r="F20" s="9" t="s">
        <v>131</v>
      </c>
    </row>
    <row r="21" customFormat="false" ht="15" hidden="false" customHeight="false" outlineLevel="0" collapsed="false">
      <c r="A21" s="9"/>
      <c r="B21" s="9" t="s">
        <v>132</v>
      </c>
      <c r="C21" s="9"/>
      <c r="D21" s="9"/>
      <c r="E21" s="9"/>
      <c r="F21" s="9" t="s">
        <v>133</v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9" t="s">
        <v>134</v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 t="s">
        <v>135</v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 t="s">
        <v>136</v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K4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7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36"/>
    <col collapsed="false" customWidth="true" hidden="false" outlineLevel="0" max="7" min="7" style="0" width="40"/>
    <col collapsed="false" customWidth="true" hidden="false" outlineLevel="0" max="8" min="8" style="0" width="70"/>
    <col collapsed="false" customWidth="true" hidden="false" outlineLevel="0" max="9" min="9" style="0" width="11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137</v>
      </c>
      <c r="D1" s="7" t="s">
        <v>138</v>
      </c>
    </row>
    <row r="4" customFormat="false" ht="31.5" hidden="false" customHeight="true" outlineLevel="0" collapsed="false">
      <c r="A4" s="8" t="s">
        <v>139</v>
      </c>
      <c r="B4" s="8" t="s">
        <v>140</v>
      </c>
      <c r="C4" s="8" t="s">
        <v>141</v>
      </c>
      <c r="D4" s="8" t="s">
        <v>142</v>
      </c>
      <c r="E4" s="8" t="s">
        <v>143</v>
      </c>
      <c r="F4" s="8" t="s">
        <v>144</v>
      </c>
      <c r="G4" s="8" t="s">
        <v>145</v>
      </c>
      <c r="H4" s="8" t="s">
        <v>146</v>
      </c>
      <c r="I4" s="8" t="s">
        <v>147</v>
      </c>
      <c r="K4" s="8" t="s">
        <v>148</v>
      </c>
    </row>
    <row r="5" customFormat="false" ht="15" hidden="false" customHeight="false" outlineLevel="0" collapsed="false">
      <c r="A5" s="10" t="s">
        <v>149</v>
      </c>
      <c r="B5" s="10" t="n">
        <v>1</v>
      </c>
      <c r="C5" s="11" t="s">
        <v>150</v>
      </c>
      <c r="D5" s="10" t="s">
        <v>151</v>
      </c>
      <c r="E5" s="10" t="s">
        <v>149</v>
      </c>
      <c r="F5" s="10" t="str">
        <f aca="false">INDEX($C$5:$C$436,MATCH(E5,$A$5:$A$436,0))</f>
        <v>Obras Provisionales, Trabajos Preliminares, Seguridad y Salud, Mitigación Impacto Ambiental, PMAR</v>
      </c>
      <c r="G5" s="10"/>
      <c r="H5" s="10"/>
      <c r="I5" s="10"/>
      <c r="K5" s="12" t="s">
        <v>152</v>
      </c>
    </row>
    <row r="6" customFormat="false" ht="15" hidden="false" customHeight="false" outlineLevel="0" collapsed="false">
      <c r="A6" s="13" t="s">
        <v>153</v>
      </c>
      <c r="B6" s="13" t="n">
        <v>2</v>
      </c>
      <c r="C6" s="14" t="s">
        <v>154</v>
      </c>
      <c r="D6" s="13" t="s">
        <v>151</v>
      </c>
      <c r="E6" s="13" t="s">
        <v>149</v>
      </c>
      <c r="F6" s="13" t="str">
        <f aca="false">INDEX($C$5:$C$436,MATCH(E6,$A$5:$A$436,0))</f>
        <v>Obras Provisionales, Trabajos Preliminares, Seguridad y Salud, Mitigación Impacto Ambiental, PMAR</v>
      </c>
      <c r="G6" s="13" t="s">
        <v>150</v>
      </c>
      <c r="H6" s="13"/>
      <c r="I6" s="13"/>
      <c r="K6" s="12" t="s">
        <v>155</v>
      </c>
    </row>
    <row r="7" customFormat="false" ht="15" hidden="false" customHeight="false" outlineLevel="0" collapsed="false">
      <c r="A7" s="13" t="s">
        <v>156</v>
      </c>
      <c r="B7" s="13" t="n">
        <v>3</v>
      </c>
      <c r="C7" s="15" t="s">
        <v>157</v>
      </c>
      <c r="D7" s="13" t="s">
        <v>151</v>
      </c>
      <c r="E7" s="13" t="s">
        <v>149</v>
      </c>
      <c r="F7" s="13" t="str">
        <f aca="false">INDEX($C$5:$C$436,MATCH(E7,$A$5:$A$436,0))</f>
        <v>Obras Provisionales, Trabajos Preliminares, Seguridad y Salud, Mitigación Impacto Ambiental, PMAR</v>
      </c>
      <c r="G7" s="13" t="s">
        <v>154</v>
      </c>
      <c r="H7" s="13"/>
      <c r="I7" s="13"/>
      <c r="K7" s="12" t="s">
        <v>158</v>
      </c>
    </row>
    <row r="8" customFormat="false" ht="15" hidden="false" customHeight="false" outlineLevel="0" collapsed="false">
      <c r="A8" s="16" t="s">
        <v>159</v>
      </c>
      <c r="B8" s="16" t="n">
        <v>4</v>
      </c>
      <c r="C8" s="17" t="s">
        <v>160</v>
      </c>
      <c r="D8" s="16" t="s">
        <v>161</v>
      </c>
      <c r="E8" s="16" t="s">
        <v>149</v>
      </c>
      <c r="F8" s="16" t="str">
        <f aca="false">INDEX($C$5:$C$436,MATCH(E8,$A$5:$A$436,0))</f>
        <v>Obras Provisionales, Trabajos Preliminares, Seguridad y Salud, Mitigación Impacto Ambiental, PMAR</v>
      </c>
      <c r="G8" s="16" t="s">
        <v>157</v>
      </c>
      <c r="H8" s="16" t="s">
        <v>152</v>
      </c>
      <c r="I8" s="18" t="n">
        <f aca="false">COUNTIF(LOOKAHEAD!$B$5:$B$604,H8)</f>
        <v>0</v>
      </c>
      <c r="K8" s="12" t="s">
        <v>162</v>
      </c>
    </row>
    <row r="9" customFormat="false" ht="15" hidden="false" customHeight="false" outlineLevel="0" collapsed="false">
      <c r="A9" s="16" t="s">
        <v>163</v>
      </c>
      <c r="B9" s="16" t="n">
        <v>4</v>
      </c>
      <c r="C9" s="17" t="s">
        <v>164</v>
      </c>
      <c r="D9" s="16" t="s">
        <v>161</v>
      </c>
      <c r="E9" s="16" t="s">
        <v>149</v>
      </c>
      <c r="F9" s="16" t="str">
        <f aca="false">INDEX($C$5:$C$436,MATCH(E9,$A$5:$A$436,0))</f>
        <v>Obras Provisionales, Trabajos Preliminares, Seguridad y Salud, Mitigación Impacto Ambiental, PMAR</v>
      </c>
      <c r="G9" s="16" t="s">
        <v>157</v>
      </c>
      <c r="H9" s="16" t="s">
        <v>155</v>
      </c>
      <c r="I9" s="18" t="n">
        <f aca="false">COUNTIF(LOOKAHEAD!$B$5:$B$604,H9)</f>
        <v>0</v>
      </c>
      <c r="K9" s="12" t="s">
        <v>165</v>
      </c>
    </row>
    <row r="10" customFormat="false" ht="15" hidden="false" customHeight="false" outlineLevel="0" collapsed="false">
      <c r="A10" s="16" t="s">
        <v>166</v>
      </c>
      <c r="B10" s="16" t="n">
        <v>4</v>
      </c>
      <c r="C10" s="17" t="s">
        <v>167</v>
      </c>
      <c r="D10" s="16" t="s">
        <v>161</v>
      </c>
      <c r="E10" s="16" t="s">
        <v>149</v>
      </c>
      <c r="F10" s="16" t="str">
        <f aca="false">INDEX($C$5:$C$436,MATCH(E10,$A$5:$A$436,0))</f>
        <v>Obras Provisionales, Trabajos Preliminares, Seguridad y Salud, Mitigación Impacto Ambiental, PMAR</v>
      </c>
      <c r="G10" s="16" t="s">
        <v>157</v>
      </c>
      <c r="H10" s="16" t="s">
        <v>158</v>
      </c>
      <c r="I10" s="18" t="n">
        <f aca="false">COUNTIF(LOOKAHEAD!$B$5:$B$604,H10)</f>
        <v>0</v>
      </c>
      <c r="K10" s="12" t="s">
        <v>168</v>
      </c>
    </row>
    <row r="11" customFormat="false" ht="15" hidden="false" customHeight="false" outlineLevel="0" collapsed="false">
      <c r="A11" s="16" t="s">
        <v>169</v>
      </c>
      <c r="B11" s="16" t="n">
        <v>4</v>
      </c>
      <c r="C11" s="17" t="s">
        <v>170</v>
      </c>
      <c r="D11" s="16" t="s">
        <v>161</v>
      </c>
      <c r="E11" s="16" t="s">
        <v>149</v>
      </c>
      <c r="F11" s="16" t="str">
        <f aca="false">INDEX($C$5:$C$436,MATCH(E11,$A$5:$A$436,0))</f>
        <v>Obras Provisionales, Trabajos Preliminares, Seguridad y Salud, Mitigación Impacto Ambiental, PMAR</v>
      </c>
      <c r="G11" s="16" t="s">
        <v>157</v>
      </c>
      <c r="H11" s="16" t="s">
        <v>162</v>
      </c>
      <c r="I11" s="18" t="n">
        <f aca="false">COUNTIF(LOOKAHEAD!$B$5:$B$604,H11)</f>
        <v>0</v>
      </c>
      <c r="K11" s="12" t="s">
        <v>171</v>
      </c>
    </row>
    <row r="12" customFormat="false" ht="15" hidden="false" customHeight="false" outlineLevel="0" collapsed="false">
      <c r="A12" s="16" t="s">
        <v>172</v>
      </c>
      <c r="B12" s="16" t="n">
        <v>4</v>
      </c>
      <c r="C12" s="17" t="s">
        <v>173</v>
      </c>
      <c r="D12" s="16" t="s">
        <v>161</v>
      </c>
      <c r="E12" s="16" t="s">
        <v>149</v>
      </c>
      <c r="F12" s="16" t="str">
        <f aca="false">INDEX($C$5:$C$436,MATCH(E12,$A$5:$A$436,0))</f>
        <v>Obras Provisionales, Trabajos Preliminares, Seguridad y Salud, Mitigación Impacto Ambiental, PMAR</v>
      </c>
      <c r="G12" s="16" t="s">
        <v>157</v>
      </c>
      <c r="H12" s="16" t="s">
        <v>165</v>
      </c>
      <c r="I12" s="18" t="n">
        <f aca="false">COUNTIF(LOOKAHEAD!$B$5:$B$604,H12)</f>
        <v>0</v>
      </c>
      <c r="K12" s="12" t="s">
        <v>174</v>
      </c>
    </row>
    <row r="13" customFormat="false" ht="15" hidden="false" customHeight="false" outlineLevel="0" collapsed="false">
      <c r="A13" s="16" t="s">
        <v>175</v>
      </c>
      <c r="B13" s="16" t="n">
        <v>4</v>
      </c>
      <c r="C13" s="17" t="s">
        <v>176</v>
      </c>
      <c r="D13" s="16" t="s">
        <v>161</v>
      </c>
      <c r="E13" s="16" t="s">
        <v>149</v>
      </c>
      <c r="F13" s="16" t="str">
        <f aca="false">INDEX($C$5:$C$436,MATCH(E13,$A$5:$A$436,0))</f>
        <v>Obras Provisionales, Trabajos Preliminares, Seguridad y Salud, Mitigación Impacto Ambiental, PMAR</v>
      </c>
      <c r="G13" s="16" t="s">
        <v>157</v>
      </c>
      <c r="H13" s="16" t="s">
        <v>168</v>
      </c>
      <c r="I13" s="18" t="n">
        <f aca="false">COUNTIF(LOOKAHEAD!$B$5:$B$604,H13)</f>
        <v>0</v>
      </c>
      <c r="K13" s="12" t="s">
        <v>177</v>
      </c>
    </row>
    <row r="14" customFormat="false" ht="15" hidden="false" customHeight="false" outlineLevel="0" collapsed="false">
      <c r="A14" s="16" t="s">
        <v>178</v>
      </c>
      <c r="B14" s="16" t="n">
        <v>4</v>
      </c>
      <c r="C14" s="17" t="s">
        <v>179</v>
      </c>
      <c r="D14" s="16" t="s">
        <v>161</v>
      </c>
      <c r="E14" s="16" t="s">
        <v>149</v>
      </c>
      <c r="F14" s="16" t="str">
        <f aca="false">INDEX($C$5:$C$436,MATCH(E14,$A$5:$A$436,0))</f>
        <v>Obras Provisionales, Trabajos Preliminares, Seguridad y Salud, Mitigación Impacto Ambiental, PMAR</v>
      </c>
      <c r="G14" s="16" t="s">
        <v>157</v>
      </c>
      <c r="H14" s="16" t="s">
        <v>171</v>
      </c>
      <c r="I14" s="18" t="n">
        <f aca="false">COUNTIF(LOOKAHEAD!$B$5:$B$604,H14)</f>
        <v>0</v>
      </c>
      <c r="K14" s="12" t="s">
        <v>180</v>
      </c>
    </row>
    <row r="15" customFormat="false" ht="15" hidden="false" customHeight="false" outlineLevel="0" collapsed="false">
      <c r="A15" s="16" t="s">
        <v>181</v>
      </c>
      <c r="B15" s="16" t="n">
        <v>4</v>
      </c>
      <c r="C15" s="17" t="s">
        <v>182</v>
      </c>
      <c r="D15" s="16" t="s">
        <v>161</v>
      </c>
      <c r="E15" s="16" t="s">
        <v>149</v>
      </c>
      <c r="F15" s="16" t="str">
        <f aca="false">INDEX($C$5:$C$436,MATCH(E15,$A$5:$A$436,0))</f>
        <v>Obras Provisionales, Trabajos Preliminares, Seguridad y Salud, Mitigación Impacto Ambiental, PMAR</v>
      </c>
      <c r="G15" s="16" t="s">
        <v>157</v>
      </c>
      <c r="H15" s="16" t="s">
        <v>174</v>
      </c>
      <c r="I15" s="18" t="n">
        <f aca="false">COUNTIF(LOOKAHEAD!$B$5:$B$604,H15)</f>
        <v>0</v>
      </c>
      <c r="K15" s="12" t="s">
        <v>183</v>
      </c>
    </row>
    <row r="16" customFormat="false" ht="15" hidden="false" customHeight="false" outlineLevel="0" collapsed="false">
      <c r="A16" s="13" t="s">
        <v>184</v>
      </c>
      <c r="B16" s="13" t="n">
        <v>2</v>
      </c>
      <c r="C16" s="14" t="s">
        <v>185</v>
      </c>
      <c r="D16" s="13" t="s">
        <v>151</v>
      </c>
      <c r="E16" s="13" t="s">
        <v>149</v>
      </c>
      <c r="F16" s="13" t="str">
        <f aca="false">INDEX($C$5:$C$436,MATCH(E16,$A$5:$A$436,0))</f>
        <v>Obras Provisionales, Trabajos Preliminares, Seguridad y Salud, Mitigación Impacto Ambiental, PMAR</v>
      </c>
      <c r="G16" s="13" t="s">
        <v>150</v>
      </c>
      <c r="H16" s="13"/>
      <c r="I16" s="13"/>
      <c r="K16" s="12" t="s">
        <v>186</v>
      </c>
    </row>
    <row r="17" customFormat="false" ht="15" hidden="false" customHeight="false" outlineLevel="0" collapsed="false">
      <c r="A17" s="16" t="s">
        <v>187</v>
      </c>
      <c r="B17" s="16" t="n">
        <v>3</v>
      </c>
      <c r="C17" s="19" t="s">
        <v>188</v>
      </c>
      <c r="D17" s="16" t="s">
        <v>161</v>
      </c>
      <c r="E17" s="16" t="s">
        <v>149</v>
      </c>
      <c r="F17" s="16" t="str">
        <f aca="false">INDEX($C$5:$C$436,MATCH(E17,$A$5:$A$436,0))</f>
        <v>Obras Provisionales, Trabajos Preliminares, Seguridad y Salud, Mitigación Impacto Ambiental, PMAR</v>
      </c>
      <c r="G17" s="16" t="s">
        <v>185</v>
      </c>
      <c r="H17" s="16" t="s">
        <v>177</v>
      </c>
      <c r="I17" s="18" t="n">
        <f aca="false">COUNTIF(LOOKAHEAD!$B$5:$B$604,H17)</f>
        <v>0</v>
      </c>
      <c r="K17" s="12" t="s">
        <v>189</v>
      </c>
    </row>
    <row r="18" customFormat="false" ht="15" hidden="false" customHeight="false" outlineLevel="0" collapsed="false">
      <c r="A18" s="16" t="s">
        <v>190</v>
      </c>
      <c r="B18" s="16" t="n">
        <v>3</v>
      </c>
      <c r="C18" s="19" t="s">
        <v>191</v>
      </c>
      <c r="D18" s="16" t="s">
        <v>161</v>
      </c>
      <c r="E18" s="16" t="s">
        <v>149</v>
      </c>
      <c r="F18" s="16" t="str">
        <f aca="false">INDEX($C$5:$C$436,MATCH(E18,$A$5:$A$436,0))</f>
        <v>Obras Provisionales, Trabajos Preliminares, Seguridad y Salud, Mitigación Impacto Ambiental, PMAR</v>
      </c>
      <c r="G18" s="16" t="s">
        <v>185</v>
      </c>
      <c r="H18" s="16" t="s">
        <v>180</v>
      </c>
      <c r="I18" s="18" t="n">
        <f aca="false">COUNTIF(LOOKAHEAD!$B$5:$B$604,H18)</f>
        <v>0</v>
      </c>
      <c r="K18" s="12" t="s">
        <v>192</v>
      </c>
    </row>
    <row r="19" customFormat="false" ht="15" hidden="false" customHeight="false" outlineLevel="0" collapsed="false">
      <c r="A19" s="16" t="s">
        <v>193</v>
      </c>
      <c r="B19" s="16" t="n">
        <v>3</v>
      </c>
      <c r="C19" s="19" t="s">
        <v>194</v>
      </c>
      <c r="D19" s="16" t="s">
        <v>161</v>
      </c>
      <c r="E19" s="16" t="s">
        <v>149</v>
      </c>
      <c r="F19" s="16" t="str">
        <f aca="false">INDEX($C$5:$C$436,MATCH(E19,$A$5:$A$436,0))</f>
        <v>Obras Provisionales, Trabajos Preliminares, Seguridad y Salud, Mitigación Impacto Ambiental, PMAR</v>
      </c>
      <c r="G19" s="16" t="s">
        <v>185</v>
      </c>
      <c r="H19" s="16" t="s">
        <v>183</v>
      </c>
      <c r="I19" s="18" t="n">
        <f aca="false">COUNTIF(LOOKAHEAD!$B$5:$B$604,H19)</f>
        <v>0</v>
      </c>
      <c r="K19" s="12" t="s">
        <v>195</v>
      </c>
    </row>
    <row r="20" customFormat="false" ht="15" hidden="false" customHeight="false" outlineLevel="0" collapsed="false">
      <c r="A20" s="16" t="s">
        <v>196</v>
      </c>
      <c r="B20" s="16" t="n">
        <v>3</v>
      </c>
      <c r="C20" s="19" t="s">
        <v>197</v>
      </c>
      <c r="D20" s="16" t="s">
        <v>161</v>
      </c>
      <c r="E20" s="16" t="s">
        <v>149</v>
      </c>
      <c r="F20" s="16" t="str">
        <f aca="false">INDEX($C$5:$C$436,MATCH(E20,$A$5:$A$436,0))</f>
        <v>Obras Provisionales, Trabajos Preliminares, Seguridad y Salud, Mitigación Impacto Ambiental, PMAR</v>
      </c>
      <c r="G20" s="16" t="s">
        <v>185</v>
      </c>
      <c r="H20" s="16" t="s">
        <v>186</v>
      </c>
      <c r="I20" s="18" t="n">
        <f aca="false">COUNTIF(LOOKAHEAD!$B$5:$B$604,H20)</f>
        <v>0</v>
      </c>
      <c r="K20" s="12" t="s">
        <v>198</v>
      </c>
    </row>
    <row r="21" customFormat="false" ht="15" hidden="false" customHeight="false" outlineLevel="0" collapsed="false">
      <c r="A21" s="13" t="s">
        <v>199</v>
      </c>
      <c r="B21" s="13" t="n">
        <v>2</v>
      </c>
      <c r="C21" s="14" t="s">
        <v>200</v>
      </c>
      <c r="D21" s="13" t="s">
        <v>151</v>
      </c>
      <c r="E21" s="13" t="s">
        <v>149</v>
      </c>
      <c r="F21" s="13" t="str">
        <f aca="false">INDEX($C$5:$C$436,MATCH(E21,$A$5:$A$436,0))</f>
        <v>Obras Provisionales, Trabajos Preliminares, Seguridad y Salud, Mitigación Impacto Ambiental, PMAR</v>
      </c>
      <c r="G21" s="13" t="s">
        <v>150</v>
      </c>
      <c r="H21" s="13"/>
      <c r="I21" s="13"/>
      <c r="K21" s="12" t="s">
        <v>201</v>
      </c>
    </row>
    <row r="22" customFormat="false" ht="15" hidden="false" customHeight="false" outlineLevel="0" collapsed="false">
      <c r="A22" s="16" t="s">
        <v>202</v>
      </c>
      <c r="B22" s="16" t="n">
        <v>3</v>
      </c>
      <c r="C22" s="19" t="s">
        <v>203</v>
      </c>
      <c r="D22" s="16" t="s">
        <v>161</v>
      </c>
      <c r="E22" s="16" t="s">
        <v>149</v>
      </c>
      <c r="F22" s="16" t="str">
        <f aca="false">INDEX($C$5:$C$436,MATCH(E22,$A$5:$A$436,0))</f>
        <v>Obras Provisionales, Trabajos Preliminares, Seguridad y Salud, Mitigación Impacto Ambiental, PMAR</v>
      </c>
      <c r="G22" s="16" t="s">
        <v>200</v>
      </c>
      <c r="H22" s="16" t="s">
        <v>189</v>
      </c>
      <c r="I22" s="18" t="n">
        <f aca="false">COUNTIF(LOOKAHEAD!$B$5:$B$604,H22)</f>
        <v>0</v>
      </c>
      <c r="K22" s="12" t="s">
        <v>204</v>
      </c>
    </row>
    <row r="23" customFormat="false" ht="15" hidden="false" customHeight="false" outlineLevel="0" collapsed="false">
      <c r="A23" s="16" t="s">
        <v>205</v>
      </c>
      <c r="B23" s="16" t="n">
        <v>3</v>
      </c>
      <c r="C23" s="19" t="s">
        <v>206</v>
      </c>
      <c r="D23" s="16" t="s">
        <v>161</v>
      </c>
      <c r="E23" s="16" t="s">
        <v>149</v>
      </c>
      <c r="F23" s="16" t="str">
        <f aca="false">INDEX($C$5:$C$436,MATCH(E23,$A$5:$A$436,0))</f>
        <v>Obras Provisionales, Trabajos Preliminares, Seguridad y Salud, Mitigación Impacto Ambiental, PMAR</v>
      </c>
      <c r="G23" s="16" t="s">
        <v>200</v>
      </c>
      <c r="H23" s="16" t="s">
        <v>192</v>
      </c>
      <c r="I23" s="18" t="n">
        <f aca="false">COUNTIF(LOOKAHEAD!$B$5:$B$604,H23)</f>
        <v>0</v>
      </c>
      <c r="K23" s="12" t="s">
        <v>207</v>
      </c>
    </row>
    <row r="24" customFormat="false" ht="15" hidden="false" customHeight="false" outlineLevel="0" collapsed="false">
      <c r="A24" s="16" t="s">
        <v>208</v>
      </c>
      <c r="B24" s="16" t="n">
        <v>3</v>
      </c>
      <c r="C24" s="19" t="s">
        <v>209</v>
      </c>
      <c r="D24" s="16" t="s">
        <v>161</v>
      </c>
      <c r="E24" s="16" t="s">
        <v>149</v>
      </c>
      <c r="F24" s="16" t="str">
        <f aca="false">INDEX($C$5:$C$436,MATCH(E24,$A$5:$A$436,0))</f>
        <v>Obras Provisionales, Trabajos Preliminares, Seguridad y Salud, Mitigación Impacto Ambiental, PMAR</v>
      </c>
      <c r="G24" s="16" t="s">
        <v>200</v>
      </c>
      <c r="H24" s="16" t="s">
        <v>195</v>
      </c>
      <c r="I24" s="18" t="n">
        <f aca="false">COUNTIF(LOOKAHEAD!$B$5:$B$604,H24)</f>
        <v>0</v>
      </c>
      <c r="K24" s="12" t="s">
        <v>210</v>
      </c>
    </row>
    <row r="25" customFormat="false" ht="15" hidden="false" customHeight="false" outlineLevel="0" collapsed="false">
      <c r="A25" s="16" t="s">
        <v>211</v>
      </c>
      <c r="B25" s="16" t="n">
        <v>3</v>
      </c>
      <c r="C25" s="19" t="s">
        <v>212</v>
      </c>
      <c r="D25" s="16" t="s">
        <v>161</v>
      </c>
      <c r="E25" s="16" t="s">
        <v>149</v>
      </c>
      <c r="F25" s="16" t="str">
        <f aca="false">INDEX($C$5:$C$436,MATCH(E25,$A$5:$A$436,0))</f>
        <v>Obras Provisionales, Trabajos Preliminares, Seguridad y Salud, Mitigación Impacto Ambiental, PMAR</v>
      </c>
      <c r="G25" s="16" t="s">
        <v>200</v>
      </c>
      <c r="H25" s="16" t="s">
        <v>198</v>
      </c>
      <c r="I25" s="18" t="n">
        <f aca="false">COUNTIF(LOOKAHEAD!$B$5:$B$604,H25)</f>
        <v>0</v>
      </c>
      <c r="K25" s="12" t="s">
        <v>213</v>
      </c>
    </row>
    <row r="26" customFormat="false" ht="15" hidden="false" customHeight="false" outlineLevel="0" collapsed="false">
      <c r="A26" s="16" t="s">
        <v>214</v>
      </c>
      <c r="B26" s="16" t="n">
        <v>3</v>
      </c>
      <c r="C26" s="19" t="s">
        <v>215</v>
      </c>
      <c r="D26" s="16" t="s">
        <v>161</v>
      </c>
      <c r="E26" s="16" t="s">
        <v>149</v>
      </c>
      <c r="F26" s="16" t="str">
        <f aca="false">INDEX($C$5:$C$436,MATCH(E26,$A$5:$A$436,0))</f>
        <v>Obras Provisionales, Trabajos Preliminares, Seguridad y Salud, Mitigación Impacto Ambiental, PMAR</v>
      </c>
      <c r="G26" s="16" t="s">
        <v>200</v>
      </c>
      <c r="H26" s="16" t="s">
        <v>201</v>
      </c>
      <c r="I26" s="18" t="n">
        <f aca="false">COUNTIF(LOOKAHEAD!$B$5:$B$604,H26)</f>
        <v>0</v>
      </c>
      <c r="K26" s="12" t="s">
        <v>216</v>
      </c>
    </row>
    <row r="27" customFormat="false" ht="15" hidden="false" customHeight="false" outlineLevel="0" collapsed="false">
      <c r="A27" s="13" t="s">
        <v>217</v>
      </c>
      <c r="B27" s="13" t="n">
        <v>2</v>
      </c>
      <c r="C27" s="14" t="s">
        <v>218</v>
      </c>
      <c r="D27" s="13" t="s">
        <v>151</v>
      </c>
      <c r="E27" s="13" t="s">
        <v>149</v>
      </c>
      <c r="F27" s="13" t="str">
        <f aca="false">INDEX($C$5:$C$436,MATCH(E27,$A$5:$A$436,0))</f>
        <v>Obras Provisionales, Trabajos Preliminares, Seguridad y Salud, Mitigación Impacto Ambiental, PMAR</v>
      </c>
      <c r="G27" s="13" t="s">
        <v>150</v>
      </c>
      <c r="H27" s="13"/>
      <c r="I27" s="13"/>
      <c r="K27" s="12" t="s">
        <v>219</v>
      </c>
    </row>
    <row r="28" customFormat="false" ht="15" hidden="false" customHeight="false" outlineLevel="0" collapsed="false">
      <c r="A28" s="13" t="s">
        <v>220</v>
      </c>
      <c r="B28" s="13" t="n">
        <v>3</v>
      </c>
      <c r="C28" s="15" t="s">
        <v>221</v>
      </c>
      <c r="D28" s="13" t="s">
        <v>151</v>
      </c>
      <c r="E28" s="13" t="s">
        <v>149</v>
      </c>
      <c r="F28" s="13" t="str">
        <f aca="false">INDEX($C$5:$C$436,MATCH(E28,$A$5:$A$436,0))</f>
        <v>Obras Provisionales, Trabajos Preliminares, Seguridad y Salud, Mitigación Impacto Ambiental, PMAR</v>
      </c>
      <c r="G28" s="13" t="s">
        <v>218</v>
      </c>
      <c r="H28" s="13"/>
      <c r="I28" s="13"/>
      <c r="K28" s="12" t="s">
        <v>222</v>
      </c>
    </row>
    <row r="29" customFormat="false" ht="15" hidden="false" customHeight="false" outlineLevel="0" collapsed="false">
      <c r="A29" s="16" t="s">
        <v>223</v>
      </c>
      <c r="B29" s="16" t="n">
        <v>4</v>
      </c>
      <c r="C29" s="17" t="s">
        <v>224</v>
      </c>
      <c r="D29" s="16" t="s">
        <v>161</v>
      </c>
      <c r="E29" s="16" t="s">
        <v>149</v>
      </c>
      <c r="F29" s="16" t="str">
        <f aca="false">INDEX($C$5:$C$436,MATCH(E29,$A$5:$A$436,0))</f>
        <v>Obras Provisionales, Trabajos Preliminares, Seguridad y Salud, Mitigación Impacto Ambiental, PMAR</v>
      </c>
      <c r="G29" s="16" t="s">
        <v>221</v>
      </c>
      <c r="H29" s="16" t="s">
        <v>204</v>
      </c>
      <c r="I29" s="18" t="n">
        <f aca="false">COUNTIF(LOOKAHEAD!$B$5:$B$604,H29)</f>
        <v>0</v>
      </c>
      <c r="K29" s="12" t="s">
        <v>225</v>
      </c>
    </row>
    <row r="30" customFormat="false" ht="15" hidden="false" customHeight="false" outlineLevel="0" collapsed="false">
      <c r="A30" s="16" t="s">
        <v>226</v>
      </c>
      <c r="B30" s="16" t="n">
        <v>4</v>
      </c>
      <c r="C30" s="17" t="s">
        <v>227</v>
      </c>
      <c r="D30" s="16" t="s">
        <v>161</v>
      </c>
      <c r="E30" s="16" t="s">
        <v>149</v>
      </c>
      <c r="F30" s="16" t="str">
        <f aca="false">INDEX($C$5:$C$436,MATCH(E30,$A$5:$A$436,0))</f>
        <v>Obras Provisionales, Trabajos Preliminares, Seguridad y Salud, Mitigación Impacto Ambiental, PMAR</v>
      </c>
      <c r="G30" s="16" t="s">
        <v>221</v>
      </c>
      <c r="H30" s="16" t="s">
        <v>207</v>
      </c>
      <c r="I30" s="18" t="n">
        <f aca="false">COUNTIF(LOOKAHEAD!$B$5:$B$604,H30)</f>
        <v>0</v>
      </c>
      <c r="K30" s="12" t="s">
        <v>228</v>
      </c>
    </row>
    <row r="31" customFormat="false" ht="15" hidden="false" customHeight="false" outlineLevel="0" collapsed="false">
      <c r="A31" s="16" t="s">
        <v>229</v>
      </c>
      <c r="B31" s="16" t="n">
        <v>4</v>
      </c>
      <c r="C31" s="17" t="s">
        <v>230</v>
      </c>
      <c r="D31" s="16" t="s">
        <v>161</v>
      </c>
      <c r="E31" s="16" t="s">
        <v>149</v>
      </c>
      <c r="F31" s="16" t="str">
        <f aca="false">INDEX($C$5:$C$436,MATCH(E31,$A$5:$A$436,0))</f>
        <v>Obras Provisionales, Trabajos Preliminares, Seguridad y Salud, Mitigación Impacto Ambiental, PMAR</v>
      </c>
      <c r="G31" s="16" t="s">
        <v>221</v>
      </c>
      <c r="H31" s="16" t="s">
        <v>210</v>
      </c>
      <c r="I31" s="18" t="n">
        <f aca="false">COUNTIF(LOOKAHEAD!$B$5:$B$604,H31)</f>
        <v>0</v>
      </c>
      <c r="K31" s="12" t="s">
        <v>231</v>
      </c>
    </row>
    <row r="32" customFormat="false" ht="15" hidden="false" customHeight="false" outlineLevel="0" collapsed="false">
      <c r="A32" s="16" t="s">
        <v>232</v>
      </c>
      <c r="B32" s="16" t="n">
        <v>4</v>
      </c>
      <c r="C32" s="17" t="s">
        <v>233</v>
      </c>
      <c r="D32" s="16" t="s">
        <v>161</v>
      </c>
      <c r="E32" s="16" t="s">
        <v>149</v>
      </c>
      <c r="F32" s="16" t="str">
        <f aca="false">INDEX($C$5:$C$436,MATCH(E32,$A$5:$A$436,0))</f>
        <v>Obras Provisionales, Trabajos Preliminares, Seguridad y Salud, Mitigación Impacto Ambiental, PMAR</v>
      </c>
      <c r="G32" s="16" t="s">
        <v>221</v>
      </c>
      <c r="H32" s="16" t="s">
        <v>213</v>
      </c>
      <c r="I32" s="18" t="n">
        <f aca="false">COUNTIF(LOOKAHEAD!$B$5:$B$604,H32)</f>
        <v>0</v>
      </c>
      <c r="K32" s="12" t="s">
        <v>234</v>
      </c>
    </row>
    <row r="33" customFormat="false" ht="15" hidden="false" customHeight="false" outlineLevel="0" collapsed="false">
      <c r="A33" s="16" t="s">
        <v>235</v>
      </c>
      <c r="B33" s="16" t="n">
        <v>4</v>
      </c>
      <c r="C33" s="17" t="s">
        <v>236</v>
      </c>
      <c r="D33" s="16" t="s">
        <v>161</v>
      </c>
      <c r="E33" s="16" t="s">
        <v>149</v>
      </c>
      <c r="F33" s="16" t="str">
        <f aca="false">INDEX($C$5:$C$436,MATCH(E33,$A$5:$A$436,0))</f>
        <v>Obras Provisionales, Trabajos Preliminares, Seguridad y Salud, Mitigación Impacto Ambiental, PMAR</v>
      </c>
      <c r="G33" s="16" t="s">
        <v>221</v>
      </c>
      <c r="H33" s="16" t="s">
        <v>216</v>
      </c>
      <c r="I33" s="18" t="n">
        <f aca="false">COUNTIF(LOOKAHEAD!$B$5:$B$604,H33)</f>
        <v>0</v>
      </c>
      <c r="K33" s="12" t="s">
        <v>237</v>
      </c>
    </row>
    <row r="34" customFormat="false" ht="15" hidden="false" customHeight="false" outlineLevel="0" collapsed="false">
      <c r="A34" s="13" t="s">
        <v>238</v>
      </c>
      <c r="B34" s="13" t="n">
        <v>3</v>
      </c>
      <c r="C34" s="15" t="s">
        <v>239</v>
      </c>
      <c r="D34" s="13" t="s">
        <v>151</v>
      </c>
      <c r="E34" s="13" t="s">
        <v>149</v>
      </c>
      <c r="F34" s="13" t="str">
        <f aca="false">INDEX($C$5:$C$436,MATCH(E34,$A$5:$A$436,0))</f>
        <v>Obras Provisionales, Trabajos Preliminares, Seguridad y Salud, Mitigación Impacto Ambiental, PMAR</v>
      </c>
      <c r="G34" s="13" t="s">
        <v>218</v>
      </c>
      <c r="H34" s="13"/>
      <c r="I34" s="13"/>
      <c r="K34" s="12" t="s">
        <v>240</v>
      </c>
    </row>
    <row r="35" customFormat="false" ht="15" hidden="false" customHeight="false" outlineLevel="0" collapsed="false">
      <c r="A35" s="16" t="s">
        <v>241</v>
      </c>
      <c r="B35" s="16" t="n">
        <v>4</v>
      </c>
      <c r="C35" s="17" t="s">
        <v>242</v>
      </c>
      <c r="D35" s="16" t="s">
        <v>161</v>
      </c>
      <c r="E35" s="16" t="s">
        <v>149</v>
      </c>
      <c r="F35" s="16" t="str">
        <f aca="false">INDEX($C$5:$C$436,MATCH(E35,$A$5:$A$436,0))</f>
        <v>Obras Provisionales, Trabajos Preliminares, Seguridad y Salud, Mitigación Impacto Ambiental, PMAR</v>
      </c>
      <c r="G35" s="16" t="s">
        <v>239</v>
      </c>
      <c r="H35" s="16" t="s">
        <v>219</v>
      </c>
      <c r="I35" s="18" t="n">
        <f aca="false">COUNTIF(LOOKAHEAD!$B$5:$B$604,H35)</f>
        <v>0</v>
      </c>
      <c r="K35" s="12" t="s">
        <v>243</v>
      </c>
    </row>
    <row r="36" customFormat="false" ht="15" hidden="false" customHeight="false" outlineLevel="0" collapsed="false">
      <c r="A36" s="16" t="s">
        <v>244</v>
      </c>
      <c r="B36" s="16" t="n">
        <v>4</v>
      </c>
      <c r="C36" s="17" t="s">
        <v>245</v>
      </c>
      <c r="D36" s="16" t="s">
        <v>161</v>
      </c>
      <c r="E36" s="16" t="s">
        <v>149</v>
      </c>
      <c r="F36" s="16" t="str">
        <f aca="false">INDEX($C$5:$C$436,MATCH(E36,$A$5:$A$436,0))</f>
        <v>Obras Provisionales, Trabajos Preliminares, Seguridad y Salud, Mitigación Impacto Ambiental, PMAR</v>
      </c>
      <c r="G36" s="16" t="s">
        <v>239</v>
      </c>
      <c r="H36" s="16" t="s">
        <v>222</v>
      </c>
      <c r="I36" s="18" t="n">
        <f aca="false">COUNTIF(LOOKAHEAD!$B$5:$B$604,H36)</f>
        <v>0</v>
      </c>
      <c r="K36" s="12" t="s">
        <v>246</v>
      </c>
    </row>
    <row r="37" customFormat="false" ht="15" hidden="false" customHeight="false" outlineLevel="0" collapsed="false">
      <c r="A37" s="13" t="s">
        <v>247</v>
      </c>
      <c r="B37" s="13" t="n">
        <v>3</v>
      </c>
      <c r="C37" s="15" t="s">
        <v>248</v>
      </c>
      <c r="D37" s="13" t="s">
        <v>151</v>
      </c>
      <c r="E37" s="13" t="s">
        <v>149</v>
      </c>
      <c r="F37" s="13" t="str">
        <f aca="false">INDEX($C$5:$C$436,MATCH(E37,$A$5:$A$436,0))</f>
        <v>Obras Provisionales, Trabajos Preliminares, Seguridad y Salud, Mitigación Impacto Ambiental, PMAR</v>
      </c>
      <c r="G37" s="13" t="s">
        <v>218</v>
      </c>
      <c r="H37" s="13"/>
      <c r="I37" s="13"/>
      <c r="K37" s="12" t="s">
        <v>249</v>
      </c>
    </row>
    <row r="38" customFormat="false" ht="15" hidden="false" customHeight="false" outlineLevel="0" collapsed="false">
      <c r="A38" s="13" t="s">
        <v>250</v>
      </c>
      <c r="B38" s="13" t="n">
        <v>4</v>
      </c>
      <c r="C38" s="20" t="s">
        <v>251</v>
      </c>
      <c r="D38" s="13" t="s">
        <v>151</v>
      </c>
      <c r="E38" s="13" t="s">
        <v>149</v>
      </c>
      <c r="F38" s="13" t="str">
        <f aca="false">INDEX($C$5:$C$436,MATCH(E38,$A$5:$A$436,0))</f>
        <v>Obras Provisionales, Trabajos Preliminares, Seguridad y Salud, Mitigación Impacto Ambiental, PMAR</v>
      </c>
      <c r="G38" s="13" t="s">
        <v>248</v>
      </c>
      <c r="H38" s="13"/>
      <c r="I38" s="13"/>
      <c r="K38" s="12" t="s">
        <v>252</v>
      </c>
    </row>
    <row r="39" customFormat="false" ht="15" hidden="false" customHeight="false" outlineLevel="0" collapsed="false">
      <c r="A39" s="16" t="s">
        <v>253</v>
      </c>
      <c r="B39" s="16" t="n">
        <v>5</v>
      </c>
      <c r="C39" s="21" t="s">
        <v>254</v>
      </c>
      <c r="D39" s="16" t="s">
        <v>161</v>
      </c>
      <c r="E39" s="16" t="s">
        <v>149</v>
      </c>
      <c r="F39" s="16" t="str">
        <f aca="false">INDEX($C$5:$C$436,MATCH(E39,$A$5:$A$436,0))</f>
        <v>Obras Provisionales, Trabajos Preliminares, Seguridad y Salud, Mitigación Impacto Ambiental, PMAR</v>
      </c>
      <c r="G39" s="16" t="s">
        <v>251</v>
      </c>
      <c r="H39" s="16" t="s">
        <v>225</v>
      </c>
      <c r="I39" s="18" t="n">
        <f aca="false">COUNTIF(LOOKAHEAD!$B$5:$B$604,H39)</f>
        <v>0</v>
      </c>
      <c r="K39" s="12" t="s">
        <v>255</v>
      </c>
    </row>
    <row r="40" customFormat="false" ht="15" hidden="false" customHeight="false" outlineLevel="0" collapsed="false">
      <c r="A40" s="16" t="s">
        <v>256</v>
      </c>
      <c r="B40" s="16" t="n">
        <v>5</v>
      </c>
      <c r="C40" s="21" t="s">
        <v>257</v>
      </c>
      <c r="D40" s="16" t="s">
        <v>161</v>
      </c>
      <c r="E40" s="16" t="s">
        <v>149</v>
      </c>
      <c r="F40" s="16" t="str">
        <f aca="false">INDEX($C$5:$C$436,MATCH(E40,$A$5:$A$436,0))</f>
        <v>Obras Provisionales, Trabajos Preliminares, Seguridad y Salud, Mitigación Impacto Ambiental, PMAR</v>
      </c>
      <c r="G40" s="16" t="s">
        <v>251</v>
      </c>
      <c r="H40" s="16" t="s">
        <v>228</v>
      </c>
      <c r="I40" s="18" t="n">
        <f aca="false">COUNTIF(LOOKAHEAD!$B$5:$B$604,H40)</f>
        <v>0</v>
      </c>
      <c r="K40" s="12" t="s">
        <v>258</v>
      </c>
    </row>
    <row r="41" customFormat="false" ht="15" hidden="false" customHeight="false" outlineLevel="0" collapsed="false">
      <c r="A41" s="16" t="s">
        <v>259</v>
      </c>
      <c r="B41" s="16" t="n">
        <v>5</v>
      </c>
      <c r="C41" s="21" t="s">
        <v>260</v>
      </c>
      <c r="D41" s="16" t="s">
        <v>161</v>
      </c>
      <c r="E41" s="16" t="s">
        <v>149</v>
      </c>
      <c r="F41" s="16" t="str">
        <f aca="false">INDEX($C$5:$C$436,MATCH(E41,$A$5:$A$436,0))</f>
        <v>Obras Provisionales, Trabajos Preliminares, Seguridad y Salud, Mitigación Impacto Ambiental, PMAR</v>
      </c>
      <c r="G41" s="16" t="s">
        <v>251</v>
      </c>
      <c r="H41" s="16" t="s">
        <v>231</v>
      </c>
      <c r="I41" s="18" t="n">
        <f aca="false">COUNTIF(LOOKAHEAD!$B$5:$B$604,H41)</f>
        <v>0</v>
      </c>
      <c r="K41" s="12" t="s">
        <v>261</v>
      </c>
    </row>
    <row r="42" customFormat="false" ht="15" hidden="false" customHeight="false" outlineLevel="0" collapsed="false">
      <c r="A42" s="13" t="s">
        <v>262</v>
      </c>
      <c r="B42" s="13" t="n">
        <v>4</v>
      </c>
      <c r="C42" s="20" t="s">
        <v>263</v>
      </c>
      <c r="D42" s="13" t="s">
        <v>151</v>
      </c>
      <c r="E42" s="13" t="s">
        <v>149</v>
      </c>
      <c r="F42" s="13" t="str">
        <f aca="false">INDEX($C$5:$C$436,MATCH(E42,$A$5:$A$436,0))</f>
        <v>Obras Provisionales, Trabajos Preliminares, Seguridad y Salud, Mitigación Impacto Ambiental, PMAR</v>
      </c>
      <c r="G42" s="13" t="s">
        <v>248</v>
      </c>
      <c r="H42" s="13"/>
      <c r="I42" s="13"/>
      <c r="K42" s="12" t="s">
        <v>264</v>
      </c>
    </row>
    <row r="43" customFormat="false" ht="15" hidden="false" customHeight="false" outlineLevel="0" collapsed="false">
      <c r="A43" s="16" t="s">
        <v>265</v>
      </c>
      <c r="B43" s="16" t="n">
        <v>5</v>
      </c>
      <c r="C43" s="21" t="s">
        <v>266</v>
      </c>
      <c r="D43" s="16" t="s">
        <v>161</v>
      </c>
      <c r="E43" s="16" t="s">
        <v>149</v>
      </c>
      <c r="F43" s="16" t="str">
        <f aca="false">INDEX($C$5:$C$436,MATCH(E43,$A$5:$A$436,0))</f>
        <v>Obras Provisionales, Trabajos Preliminares, Seguridad y Salud, Mitigación Impacto Ambiental, PMAR</v>
      </c>
      <c r="G43" s="16" t="s">
        <v>263</v>
      </c>
      <c r="H43" s="16" t="s">
        <v>234</v>
      </c>
      <c r="I43" s="18" t="n">
        <f aca="false">COUNTIF(LOOKAHEAD!$B$5:$B$604,H43)</f>
        <v>0</v>
      </c>
      <c r="K43" s="12" t="s">
        <v>267</v>
      </c>
    </row>
    <row r="44" customFormat="false" ht="15" hidden="false" customHeight="false" outlineLevel="0" collapsed="false">
      <c r="A44" s="16" t="s">
        <v>268</v>
      </c>
      <c r="B44" s="16" t="n">
        <v>5</v>
      </c>
      <c r="C44" s="21" t="s">
        <v>269</v>
      </c>
      <c r="D44" s="16" t="s">
        <v>161</v>
      </c>
      <c r="E44" s="16" t="s">
        <v>149</v>
      </c>
      <c r="F44" s="16" t="str">
        <f aca="false">INDEX($C$5:$C$436,MATCH(E44,$A$5:$A$436,0))</f>
        <v>Obras Provisionales, Trabajos Preliminares, Seguridad y Salud, Mitigación Impacto Ambiental, PMAR</v>
      </c>
      <c r="G44" s="16" t="s">
        <v>263</v>
      </c>
      <c r="H44" s="16" t="s">
        <v>237</v>
      </c>
      <c r="I44" s="18" t="n">
        <f aca="false">COUNTIF(LOOKAHEAD!$B$5:$B$604,H44)</f>
        <v>0</v>
      </c>
      <c r="K44" s="12" t="s">
        <v>270</v>
      </c>
    </row>
    <row r="45" customFormat="false" ht="15" hidden="false" customHeight="false" outlineLevel="0" collapsed="false">
      <c r="A45" s="16" t="s">
        <v>271</v>
      </c>
      <c r="B45" s="16" t="n">
        <v>5</v>
      </c>
      <c r="C45" s="21" t="s">
        <v>272</v>
      </c>
      <c r="D45" s="16" t="s">
        <v>161</v>
      </c>
      <c r="E45" s="16" t="s">
        <v>149</v>
      </c>
      <c r="F45" s="16" t="str">
        <f aca="false">INDEX($C$5:$C$436,MATCH(E45,$A$5:$A$436,0))</f>
        <v>Obras Provisionales, Trabajos Preliminares, Seguridad y Salud, Mitigación Impacto Ambiental, PMAR</v>
      </c>
      <c r="G45" s="16" t="s">
        <v>263</v>
      </c>
      <c r="H45" s="16" t="s">
        <v>240</v>
      </c>
      <c r="I45" s="18" t="n">
        <f aca="false">COUNTIF(LOOKAHEAD!$B$5:$B$604,H45)</f>
        <v>0</v>
      </c>
      <c r="K45" s="12" t="s">
        <v>273</v>
      </c>
    </row>
    <row r="46" customFormat="false" ht="15" hidden="false" customHeight="false" outlineLevel="0" collapsed="false">
      <c r="A46" s="16" t="s">
        <v>274</v>
      </c>
      <c r="B46" s="16" t="n">
        <v>5</v>
      </c>
      <c r="C46" s="21" t="s">
        <v>275</v>
      </c>
      <c r="D46" s="16" t="s">
        <v>161</v>
      </c>
      <c r="E46" s="16" t="s">
        <v>149</v>
      </c>
      <c r="F46" s="16" t="str">
        <f aca="false">INDEX($C$5:$C$436,MATCH(E46,$A$5:$A$436,0))</f>
        <v>Obras Provisionales, Trabajos Preliminares, Seguridad y Salud, Mitigación Impacto Ambiental, PMAR</v>
      </c>
      <c r="G46" s="16" t="s">
        <v>263</v>
      </c>
      <c r="H46" s="16" t="s">
        <v>243</v>
      </c>
      <c r="I46" s="18" t="n">
        <f aca="false">COUNTIF(LOOKAHEAD!$B$5:$B$604,H46)</f>
        <v>0</v>
      </c>
      <c r="K46" s="12" t="s">
        <v>276</v>
      </c>
    </row>
    <row r="47" customFormat="false" ht="15" hidden="false" customHeight="false" outlineLevel="0" collapsed="false">
      <c r="A47" s="13" t="s">
        <v>277</v>
      </c>
      <c r="B47" s="13" t="n">
        <v>4</v>
      </c>
      <c r="C47" s="20" t="s">
        <v>278</v>
      </c>
      <c r="D47" s="13" t="s">
        <v>151</v>
      </c>
      <c r="E47" s="13" t="s">
        <v>149</v>
      </c>
      <c r="F47" s="13" t="str">
        <f aca="false">INDEX($C$5:$C$436,MATCH(E47,$A$5:$A$436,0))</f>
        <v>Obras Provisionales, Trabajos Preliminares, Seguridad y Salud, Mitigación Impacto Ambiental, PMAR</v>
      </c>
      <c r="G47" s="13" t="s">
        <v>248</v>
      </c>
      <c r="H47" s="13"/>
      <c r="I47" s="13"/>
      <c r="K47" s="12" t="s">
        <v>279</v>
      </c>
    </row>
    <row r="48" customFormat="false" ht="15" hidden="false" customHeight="false" outlineLevel="0" collapsed="false">
      <c r="A48" s="16" t="s">
        <v>280</v>
      </c>
      <c r="B48" s="16" t="n">
        <v>5</v>
      </c>
      <c r="C48" s="21" t="s">
        <v>281</v>
      </c>
      <c r="D48" s="16" t="s">
        <v>161</v>
      </c>
      <c r="E48" s="16" t="s">
        <v>149</v>
      </c>
      <c r="F48" s="16" t="str">
        <f aca="false">INDEX($C$5:$C$436,MATCH(E48,$A$5:$A$436,0))</f>
        <v>Obras Provisionales, Trabajos Preliminares, Seguridad y Salud, Mitigación Impacto Ambiental, PMAR</v>
      </c>
      <c r="G48" s="16" t="s">
        <v>278</v>
      </c>
      <c r="H48" s="16" t="s">
        <v>246</v>
      </c>
      <c r="I48" s="18" t="n">
        <f aca="false">COUNTIF(LOOKAHEAD!$B$5:$B$604,H48)</f>
        <v>0</v>
      </c>
      <c r="K48" s="12" t="s">
        <v>282</v>
      </c>
    </row>
    <row r="49" customFormat="false" ht="15" hidden="false" customHeight="false" outlineLevel="0" collapsed="false">
      <c r="A49" s="16" t="s">
        <v>283</v>
      </c>
      <c r="B49" s="16" t="n">
        <v>5</v>
      </c>
      <c r="C49" s="21" t="s">
        <v>284</v>
      </c>
      <c r="D49" s="16" t="s">
        <v>161</v>
      </c>
      <c r="E49" s="16" t="s">
        <v>149</v>
      </c>
      <c r="F49" s="16" t="str">
        <f aca="false">INDEX($C$5:$C$436,MATCH(E49,$A$5:$A$436,0))</f>
        <v>Obras Provisionales, Trabajos Preliminares, Seguridad y Salud, Mitigación Impacto Ambiental, PMAR</v>
      </c>
      <c r="G49" s="16" t="s">
        <v>278</v>
      </c>
      <c r="H49" s="16" t="s">
        <v>249</v>
      </c>
      <c r="I49" s="18" t="n">
        <f aca="false">COUNTIF(LOOKAHEAD!$B$5:$B$604,H49)</f>
        <v>0</v>
      </c>
      <c r="K49" s="12" t="s">
        <v>285</v>
      </c>
    </row>
    <row r="50" customFormat="false" ht="15" hidden="false" customHeight="false" outlineLevel="0" collapsed="false">
      <c r="A50" s="16" t="s">
        <v>286</v>
      </c>
      <c r="B50" s="16" t="n">
        <v>5</v>
      </c>
      <c r="C50" s="21" t="s">
        <v>287</v>
      </c>
      <c r="D50" s="16" t="s">
        <v>161</v>
      </c>
      <c r="E50" s="16" t="s">
        <v>149</v>
      </c>
      <c r="F50" s="16" t="str">
        <f aca="false">INDEX($C$5:$C$436,MATCH(E50,$A$5:$A$436,0))</f>
        <v>Obras Provisionales, Trabajos Preliminares, Seguridad y Salud, Mitigación Impacto Ambiental, PMAR</v>
      </c>
      <c r="G50" s="16" t="s">
        <v>278</v>
      </c>
      <c r="H50" s="16" t="s">
        <v>252</v>
      </c>
      <c r="I50" s="18" t="n">
        <f aca="false">COUNTIF(LOOKAHEAD!$B$5:$B$604,H50)</f>
        <v>0</v>
      </c>
      <c r="K50" s="12" t="s">
        <v>288</v>
      </c>
    </row>
    <row r="51" customFormat="false" ht="15" hidden="false" customHeight="false" outlineLevel="0" collapsed="false">
      <c r="A51" s="13" t="s">
        <v>289</v>
      </c>
      <c r="B51" s="13" t="n">
        <v>4</v>
      </c>
      <c r="C51" s="20" t="s">
        <v>290</v>
      </c>
      <c r="D51" s="13" t="s">
        <v>151</v>
      </c>
      <c r="E51" s="13" t="s">
        <v>149</v>
      </c>
      <c r="F51" s="13" t="str">
        <f aca="false">INDEX($C$5:$C$436,MATCH(E51,$A$5:$A$436,0))</f>
        <v>Obras Provisionales, Trabajos Preliminares, Seguridad y Salud, Mitigación Impacto Ambiental, PMAR</v>
      </c>
      <c r="G51" s="13" t="s">
        <v>248</v>
      </c>
      <c r="H51" s="13"/>
      <c r="I51" s="13"/>
      <c r="K51" s="12" t="s">
        <v>291</v>
      </c>
    </row>
    <row r="52" customFormat="false" ht="15" hidden="false" customHeight="false" outlineLevel="0" collapsed="false">
      <c r="A52" s="16" t="s">
        <v>292</v>
      </c>
      <c r="B52" s="16" t="n">
        <v>5</v>
      </c>
      <c r="C52" s="21" t="s">
        <v>293</v>
      </c>
      <c r="D52" s="16" t="s">
        <v>161</v>
      </c>
      <c r="E52" s="16" t="s">
        <v>149</v>
      </c>
      <c r="F52" s="16" t="str">
        <f aca="false">INDEX($C$5:$C$436,MATCH(E52,$A$5:$A$436,0))</f>
        <v>Obras Provisionales, Trabajos Preliminares, Seguridad y Salud, Mitigación Impacto Ambiental, PMAR</v>
      </c>
      <c r="G52" s="16" t="s">
        <v>290</v>
      </c>
      <c r="H52" s="16" t="s">
        <v>255</v>
      </c>
      <c r="I52" s="18" t="n">
        <f aca="false">COUNTIF(LOOKAHEAD!$B$5:$B$604,H52)</f>
        <v>0</v>
      </c>
      <c r="K52" s="12" t="s">
        <v>294</v>
      </c>
    </row>
    <row r="53" customFormat="false" ht="15" hidden="false" customHeight="false" outlineLevel="0" collapsed="false">
      <c r="A53" s="13" t="s">
        <v>295</v>
      </c>
      <c r="B53" s="13" t="n">
        <v>4</v>
      </c>
      <c r="C53" s="20" t="s">
        <v>296</v>
      </c>
      <c r="D53" s="13" t="s">
        <v>151</v>
      </c>
      <c r="E53" s="13" t="s">
        <v>149</v>
      </c>
      <c r="F53" s="13" t="str">
        <f aca="false">INDEX($C$5:$C$436,MATCH(E53,$A$5:$A$436,0))</f>
        <v>Obras Provisionales, Trabajos Preliminares, Seguridad y Salud, Mitigación Impacto Ambiental, PMAR</v>
      </c>
      <c r="G53" s="13" t="s">
        <v>248</v>
      </c>
      <c r="H53" s="13"/>
      <c r="I53" s="13"/>
      <c r="K53" s="12" t="s">
        <v>297</v>
      </c>
    </row>
    <row r="54" customFormat="false" ht="15" hidden="false" customHeight="false" outlineLevel="0" collapsed="false">
      <c r="A54" s="16" t="s">
        <v>298</v>
      </c>
      <c r="B54" s="16" t="n">
        <v>5</v>
      </c>
      <c r="C54" s="21" t="s">
        <v>299</v>
      </c>
      <c r="D54" s="16" t="s">
        <v>161</v>
      </c>
      <c r="E54" s="16" t="s">
        <v>149</v>
      </c>
      <c r="F54" s="16" t="str">
        <f aca="false">INDEX($C$5:$C$436,MATCH(E54,$A$5:$A$436,0))</f>
        <v>Obras Provisionales, Trabajos Preliminares, Seguridad y Salud, Mitigación Impacto Ambiental, PMAR</v>
      </c>
      <c r="G54" s="16" t="s">
        <v>296</v>
      </c>
      <c r="H54" s="16" t="s">
        <v>258</v>
      </c>
      <c r="I54" s="18" t="n">
        <f aca="false">COUNTIF(LOOKAHEAD!$B$5:$B$604,H54)</f>
        <v>0</v>
      </c>
      <c r="K54" s="12" t="s">
        <v>300</v>
      </c>
    </row>
    <row r="55" customFormat="false" ht="15" hidden="false" customHeight="false" outlineLevel="0" collapsed="false">
      <c r="A55" s="16" t="s">
        <v>301</v>
      </c>
      <c r="B55" s="16" t="n">
        <v>5</v>
      </c>
      <c r="C55" s="21" t="s">
        <v>302</v>
      </c>
      <c r="D55" s="16" t="s">
        <v>161</v>
      </c>
      <c r="E55" s="16" t="s">
        <v>149</v>
      </c>
      <c r="F55" s="16" t="str">
        <f aca="false">INDEX($C$5:$C$436,MATCH(E55,$A$5:$A$436,0))</f>
        <v>Obras Provisionales, Trabajos Preliminares, Seguridad y Salud, Mitigación Impacto Ambiental, PMAR</v>
      </c>
      <c r="G55" s="16" t="s">
        <v>296</v>
      </c>
      <c r="H55" s="16" t="s">
        <v>261</v>
      </c>
      <c r="I55" s="18" t="n">
        <f aca="false">COUNTIF(LOOKAHEAD!$B$5:$B$604,H55)</f>
        <v>0</v>
      </c>
      <c r="K55" s="12" t="s">
        <v>303</v>
      </c>
    </row>
    <row r="56" customFormat="false" ht="15" hidden="false" customHeight="false" outlineLevel="0" collapsed="false">
      <c r="A56" s="13" t="s">
        <v>304</v>
      </c>
      <c r="B56" s="13" t="n">
        <v>4</v>
      </c>
      <c r="C56" s="20" t="s">
        <v>305</v>
      </c>
      <c r="D56" s="13" t="s">
        <v>151</v>
      </c>
      <c r="E56" s="13" t="s">
        <v>149</v>
      </c>
      <c r="F56" s="13" t="str">
        <f aca="false">INDEX($C$5:$C$436,MATCH(E56,$A$5:$A$436,0))</f>
        <v>Obras Provisionales, Trabajos Preliminares, Seguridad y Salud, Mitigación Impacto Ambiental, PMAR</v>
      </c>
      <c r="G56" s="13" t="s">
        <v>248</v>
      </c>
      <c r="H56" s="13"/>
      <c r="I56" s="13"/>
      <c r="K56" s="12" t="s">
        <v>306</v>
      </c>
    </row>
    <row r="57" customFormat="false" ht="15" hidden="false" customHeight="false" outlineLevel="0" collapsed="false">
      <c r="A57" s="16" t="s">
        <v>307</v>
      </c>
      <c r="B57" s="16" t="n">
        <v>5</v>
      </c>
      <c r="C57" s="21" t="s">
        <v>308</v>
      </c>
      <c r="D57" s="16" t="s">
        <v>161</v>
      </c>
      <c r="E57" s="16" t="s">
        <v>149</v>
      </c>
      <c r="F57" s="16" t="str">
        <f aca="false">INDEX($C$5:$C$436,MATCH(E57,$A$5:$A$436,0))</f>
        <v>Obras Provisionales, Trabajos Preliminares, Seguridad y Salud, Mitigación Impacto Ambiental, PMAR</v>
      </c>
      <c r="G57" s="16" t="s">
        <v>305</v>
      </c>
      <c r="H57" s="16" t="s">
        <v>264</v>
      </c>
      <c r="I57" s="18" t="n">
        <f aca="false">COUNTIF(LOOKAHEAD!$B$5:$B$604,H57)</f>
        <v>0</v>
      </c>
      <c r="K57" s="12" t="s">
        <v>309</v>
      </c>
    </row>
    <row r="58" customFormat="false" ht="15" hidden="false" customHeight="false" outlineLevel="0" collapsed="false">
      <c r="A58" s="13" t="s">
        <v>310</v>
      </c>
      <c r="B58" s="13" t="n">
        <v>4</v>
      </c>
      <c r="C58" s="20" t="s">
        <v>311</v>
      </c>
      <c r="D58" s="13" t="s">
        <v>151</v>
      </c>
      <c r="E58" s="13" t="s">
        <v>149</v>
      </c>
      <c r="F58" s="13" t="str">
        <f aca="false">INDEX($C$5:$C$436,MATCH(E58,$A$5:$A$436,0))</f>
        <v>Obras Provisionales, Trabajos Preliminares, Seguridad y Salud, Mitigación Impacto Ambiental, PMAR</v>
      </c>
      <c r="G58" s="13" t="s">
        <v>248</v>
      </c>
      <c r="H58" s="13"/>
      <c r="I58" s="13"/>
      <c r="K58" s="12" t="s">
        <v>312</v>
      </c>
    </row>
    <row r="59" customFormat="false" ht="15" hidden="false" customHeight="false" outlineLevel="0" collapsed="false">
      <c r="A59" s="16" t="s">
        <v>313</v>
      </c>
      <c r="B59" s="16" t="n">
        <v>5</v>
      </c>
      <c r="C59" s="21" t="s">
        <v>314</v>
      </c>
      <c r="D59" s="16" t="s">
        <v>161</v>
      </c>
      <c r="E59" s="16" t="s">
        <v>149</v>
      </c>
      <c r="F59" s="16" t="str">
        <f aca="false">INDEX($C$5:$C$436,MATCH(E59,$A$5:$A$436,0))</f>
        <v>Obras Provisionales, Trabajos Preliminares, Seguridad y Salud, Mitigación Impacto Ambiental, PMAR</v>
      </c>
      <c r="G59" s="16" t="s">
        <v>311</v>
      </c>
      <c r="H59" s="16" t="s">
        <v>267</v>
      </c>
      <c r="I59" s="18" t="n">
        <f aca="false">COUNTIF(LOOKAHEAD!$B$5:$B$604,H59)</f>
        <v>0</v>
      </c>
      <c r="K59" s="12" t="s">
        <v>315</v>
      </c>
    </row>
    <row r="60" customFormat="false" ht="15" hidden="false" customHeight="false" outlineLevel="0" collapsed="false">
      <c r="A60" s="13" t="s">
        <v>316</v>
      </c>
      <c r="B60" s="13" t="n">
        <v>2</v>
      </c>
      <c r="C60" s="14" t="s">
        <v>317</v>
      </c>
      <c r="D60" s="13" t="s">
        <v>151</v>
      </c>
      <c r="E60" s="13" t="s">
        <v>149</v>
      </c>
      <c r="F60" s="13" t="str">
        <f aca="false">INDEX($C$5:$C$436,MATCH(E60,$A$5:$A$436,0))</f>
        <v>Obras Provisionales, Trabajos Preliminares, Seguridad y Salud, Mitigación Impacto Ambiental, PMAR</v>
      </c>
      <c r="G60" s="13" t="s">
        <v>150</v>
      </c>
      <c r="H60" s="13"/>
      <c r="I60" s="13"/>
      <c r="K60" s="12" t="s">
        <v>318</v>
      </c>
    </row>
    <row r="61" customFormat="false" ht="15" hidden="false" customHeight="false" outlineLevel="0" collapsed="false">
      <c r="A61" s="16" t="s">
        <v>319</v>
      </c>
      <c r="B61" s="16" t="n">
        <v>3</v>
      </c>
      <c r="C61" s="19" t="s">
        <v>320</v>
      </c>
      <c r="D61" s="16" t="s">
        <v>161</v>
      </c>
      <c r="E61" s="16" t="s">
        <v>149</v>
      </c>
      <c r="F61" s="16" t="str">
        <f aca="false">INDEX($C$5:$C$436,MATCH(E61,$A$5:$A$436,0))</f>
        <v>Obras Provisionales, Trabajos Preliminares, Seguridad y Salud, Mitigación Impacto Ambiental, PMAR</v>
      </c>
      <c r="G61" s="16" t="s">
        <v>317</v>
      </c>
      <c r="H61" s="16" t="s">
        <v>270</v>
      </c>
      <c r="I61" s="18" t="n">
        <f aca="false">COUNTIF(LOOKAHEAD!$B$5:$B$604,H61)</f>
        <v>0</v>
      </c>
      <c r="K61" s="12" t="s">
        <v>321</v>
      </c>
    </row>
    <row r="62" customFormat="false" ht="15" hidden="false" customHeight="false" outlineLevel="0" collapsed="false">
      <c r="A62" s="10" t="s">
        <v>322</v>
      </c>
      <c r="B62" s="10" t="n">
        <v>1</v>
      </c>
      <c r="C62" s="11" t="s">
        <v>323</v>
      </c>
      <c r="D62" s="10" t="s">
        <v>151</v>
      </c>
      <c r="E62" s="10" t="s">
        <v>322</v>
      </c>
      <c r="F62" s="10" t="str">
        <f aca="false">INDEX($C$5:$C$436,MATCH(E62,$A$5:$A$436,0))</f>
        <v>Estructuras</v>
      </c>
      <c r="G62" s="10"/>
      <c r="H62" s="10"/>
      <c r="I62" s="10"/>
      <c r="K62" s="12" t="s">
        <v>324</v>
      </c>
    </row>
    <row r="63" customFormat="false" ht="15" hidden="false" customHeight="false" outlineLevel="0" collapsed="false">
      <c r="A63" s="13" t="s">
        <v>325</v>
      </c>
      <c r="B63" s="13" t="n">
        <v>2</v>
      </c>
      <c r="C63" s="14" t="s">
        <v>326</v>
      </c>
      <c r="D63" s="13" t="s">
        <v>151</v>
      </c>
      <c r="E63" s="13" t="s">
        <v>322</v>
      </c>
      <c r="F63" s="13" t="str">
        <f aca="false">INDEX($C$5:$C$436,MATCH(E63,$A$5:$A$436,0))</f>
        <v>Estructuras</v>
      </c>
      <c r="G63" s="13" t="s">
        <v>323</v>
      </c>
      <c r="H63" s="13"/>
      <c r="I63" s="13"/>
      <c r="K63" s="12" t="s">
        <v>327</v>
      </c>
    </row>
    <row r="64" customFormat="false" ht="15" hidden="false" customHeight="false" outlineLevel="0" collapsed="false">
      <c r="A64" s="13" t="s">
        <v>328</v>
      </c>
      <c r="B64" s="13" t="n">
        <v>3</v>
      </c>
      <c r="C64" s="15" t="s">
        <v>329</v>
      </c>
      <c r="D64" s="13" t="s">
        <v>151</v>
      </c>
      <c r="E64" s="13" t="s">
        <v>322</v>
      </c>
      <c r="F64" s="13" t="str">
        <f aca="false">INDEX($C$5:$C$436,MATCH(E64,$A$5:$A$436,0))</f>
        <v>Estructuras</v>
      </c>
      <c r="G64" s="13" t="s">
        <v>326</v>
      </c>
      <c r="H64" s="13"/>
      <c r="I64" s="13"/>
      <c r="K64" s="12" t="s">
        <v>330</v>
      </c>
    </row>
    <row r="65" customFormat="false" ht="15" hidden="false" customHeight="false" outlineLevel="0" collapsed="false">
      <c r="A65" s="16" t="s">
        <v>331</v>
      </c>
      <c r="B65" s="16" t="n">
        <v>4</v>
      </c>
      <c r="C65" s="17" t="s">
        <v>332</v>
      </c>
      <c r="D65" s="16" t="s">
        <v>161</v>
      </c>
      <c r="E65" s="16" t="s">
        <v>322</v>
      </c>
      <c r="F65" s="16" t="str">
        <f aca="false">INDEX($C$5:$C$436,MATCH(E65,$A$5:$A$436,0))</f>
        <v>Estructuras</v>
      </c>
      <c r="G65" s="16" t="s">
        <v>329</v>
      </c>
      <c r="H65" s="16" t="s">
        <v>273</v>
      </c>
      <c r="I65" s="18" t="n">
        <f aca="false">COUNTIF(LOOKAHEAD!$B$5:$B$604,H65)</f>
        <v>0</v>
      </c>
      <c r="K65" s="12" t="s">
        <v>333</v>
      </c>
    </row>
    <row r="66" customFormat="false" ht="15" hidden="false" customHeight="false" outlineLevel="0" collapsed="false">
      <c r="A66" s="16" t="s">
        <v>334</v>
      </c>
      <c r="B66" s="16" t="n">
        <v>4</v>
      </c>
      <c r="C66" s="17" t="s">
        <v>335</v>
      </c>
      <c r="D66" s="16" t="s">
        <v>161</v>
      </c>
      <c r="E66" s="16" t="s">
        <v>322</v>
      </c>
      <c r="F66" s="16" t="str">
        <f aca="false">INDEX($C$5:$C$436,MATCH(E66,$A$5:$A$436,0))</f>
        <v>Estructuras</v>
      </c>
      <c r="G66" s="16" t="s">
        <v>329</v>
      </c>
      <c r="H66" s="16" t="s">
        <v>276</v>
      </c>
      <c r="I66" s="18" t="n">
        <f aca="false">COUNTIF(LOOKAHEAD!$B$5:$B$604,H66)</f>
        <v>0</v>
      </c>
      <c r="K66" s="12" t="s">
        <v>336</v>
      </c>
    </row>
    <row r="67" customFormat="false" ht="15" hidden="false" customHeight="false" outlineLevel="0" collapsed="false">
      <c r="A67" s="16" t="s">
        <v>337</v>
      </c>
      <c r="B67" s="16" t="n">
        <v>4</v>
      </c>
      <c r="C67" s="17" t="s">
        <v>338</v>
      </c>
      <c r="D67" s="16" t="s">
        <v>161</v>
      </c>
      <c r="E67" s="16" t="s">
        <v>322</v>
      </c>
      <c r="F67" s="16" t="str">
        <f aca="false">INDEX($C$5:$C$436,MATCH(E67,$A$5:$A$436,0))</f>
        <v>Estructuras</v>
      </c>
      <c r="G67" s="16" t="s">
        <v>329</v>
      </c>
      <c r="H67" s="16" t="s">
        <v>279</v>
      </c>
      <c r="I67" s="18" t="n">
        <f aca="false">COUNTIF(LOOKAHEAD!$B$5:$B$604,H67)</f>
        <v>0</v>
      </c>
      <c r="K67" s="12" t="s">
        <v>339</v>
      </c>
    </row>
    <row r="68" customFormat="false" ht="15" hidden="false" customHeight="false" outlineLevel="0" collapsed="false">
      <c r="A68" s="16" t="s">
        <v>340</v>
      </c>
      <c r="B68" s="16" t="n">
        <v>4</v>
      </c>
      <c r="C68" s="17" t="s">
        <v>341</v>
      </c>
      <c r="D68" s="16" t="s">
        <v>161</v>
      </c>
      <c r="E68" s="16" t="s">
        <v>322</v>
      </c>
      <c r="F68" s="16" t="str">
        <f aca="false">INDEX($C$5:$C$436,MATCH(E68,$A$5:$A$436,0))</f>
        <v>Estructuras</v>
      </c>
      <c r="G68" s="16" t="s">
        <v>329</v>
      </c>
      <c r="H68" s="16" t="s">
        <v>282</v>
      </c>
      <c r="I68" s="18" t="n">
        <f aca="false">COUNTIF(LOOKAHEAD!$B$5:$B$604,H68)</f>
        <v>0</v>
      </c>
      <c r="K68" s="12" t="s">
        <v>342</v>
      </c>
    </row>
    <row r="69" customFormat="false" ht="15" hidden="false" customHeight="false" outlineLevel="0" collapsed="false">
      <c r="A69" s="16" t="s">
        <v>343</v>
      </c>
      <c r="B69" s="16" t="n">
        <v>4</v>
      </c>
      <c r="C69" s="17" t="s">
        <v>344</v>
      </c>
      <c r="D69" s="16" t="s">
        <v>161</v>
      </c>
      <c r="E69" s="16" t="s">
        <v>322</v>
      </c>
      <c r="F69" s="16" t="str">
        <f aca="false">INDEX($C$5:$C$436,MATCH(E69,$A$5:$A$436,0))</f>
        <v>Estructuras</v>
      </c>
      <c r="G69" s="16" t="s">
        <v>329</v>
      </c>
      <c r="H69" s="16" t="s">
        <v>285</v>
      </c>
      <c r="I69" s="18" t="n">
        <f aca="false">COUNTIF(LOOKAHEAD!$B$5:$B$604,H69)</f>
        <v>0</v>
      </c>
      <c r="K69" s="12" t="s">
        <v>345</v>
      </c>
    </row>
    <row r="70" customFormat="false" ht="15" hidden="false" customHeight="false" outlineLevel="0" collapsed="false">
      <c r="A70" s="16" t="s">
        <v>346</v>
      </c>
      <c r="B70" s="16" t="n">
        <v>4</v>
      </c>
      <c r="C70" s="17" t="s">
        <v>347</v>
      </c>
      <c r="D70" s="16" t="s">
        <v>161</v>
      </c>
      <c r="E70" s="16" t="s">
        <v>322</v>
      </c>
      <c r="F70" s="16" t="str">
        <f aca="false">INDEX($C$5:$C$436,MATCH(E70,$A$5:$A$436,0))</f>
        <v>Estructuras</v>
      </c>
      <c r="G70" s="16" t="s">
        <v>329</v>
      </c>
      <c r="H70" s="16" t="s">
        <v>288</v>
      </c>
      <c r="I70" s="18" t="n">
        <f aca="false">COUNTIF(LOOKAHEAD!$B$5:$B$604,H70)</f>
        <v>0</v>
      </c>
      <c r="K70" s="12" t="s">
        <v>348</v>
      </c>
    </row>
    <row r="71" customFormat="false" ht="15" hidden="false" customHeight="false" outlineLevel="0" collapsed="false">
      <c r="A71" s="16" t="s">
        <v>349</v>
      </c>
      <c r="B71" s="16" t="n">
        <v>4</v>
      </c>
      <c r="C71" s="17" t="s">
        <v>350</v>
      </c>
      <c r="D71" s="16" t="s">
        <v>161</v>
      </c>
      <c r="E71" s="16" t="s">
        <v>322</v>
      </c>
      <c r="F71" s="16" t="str">
        <f aca="false">INDEX($C$5:$C$436,MATCH(E71,$A$5:$A$436,0))</f>
        <v>Estructuras</v>
      </c>
      <c r="G71" s="16" t="s">
        <v>329</v>
      </c>
      <c r="H71" s="16" t="s">
        <v>291</v>
      </c>
      <c r="I71" s="18" t="n">
        <f aca="false">COUNTIF(LOOKAHEAD!$B$5:$B$604,H71)</f>
        <v>0</v>
      </c>
      <c r="K71" s="12" t="s">
        <v>351</v>
      </c>
    </row>
    <row r="72" customFormat="false" ht="15" hidden="false" customHeight="false" outlineLevel="0" collapsed="false">
      <c r="A72" s="13" t="s">
        <v>352</v>
      </c>
      <c r="B72" s="13" t="n">
        <v>3</v>
      </c>
      <c r="C72" s="15" t="s">
        <v>353</v>
      </c>
      <c r="D72" s="13" t="s">
        <v>151</v>
      </c>
      <c r="E72" s="13" t="s">
        <v>322</v>
      </c>
      <c r="F72" s="13" t="str">
        <f aca="false">INDEX($C$5:$C$436,MATCH(E72,$A$5:$A$436,0))</f>
        <v>Estructuras</v>
      </c>
      <c r="G72" s="13" t="s">
        <v>326</v>
      </c>
      <c r="H72" s="13"/>
      <c r="I72" s="13"/>
      <c r="K72" s="12" t="s">
        <v>354</v>
      </c>
    </row>
    <row r="73" customFormat="false" ht="15" hidden="false" customHeight="false" outlineLevel="0" collapsed="false">
      <c r="A73" s="16" t="s">
        <v>355</v>
      </c>
      <c r="B73" s="16" t="n">
        <v>4</v>
      </c>
      <c r="C73" s="17" t="s">
        <v>356</v>
      </c>
      <c r="D73" s="16" t="s">
        <v>161</v>
      </c>
      <c r="E73" s="16" t="s">
        <v>322</v>
      </c>
      <c r="F73" s="16" t="str">
        <f aca="false">INDEX($C$5:$C$436,MATCH(E73,$A$5:$A$436,0))</f>
        <v>Estructuras</v>
      </c>
      <c r="G73" s="16" t="s">
        <v>353</v>
      </c>
      <c r="H73" s="16" t="s">
        <v>294</v>
      </c>
      <c r="I73" s="18" t="n">
        <f aca="false">COUNTIF(LOOKAHEAD!$B$5:$B$604,H73)</f>
        <v>0</v>
      </c>
      <c r="K73" s="12" t="s">
        <v>357</v>
      </c>
    </row>
    <row r="74" customFormat="false" ht="15" hidden="false" customHeight="false" outlineLevel="0" collapsed="false">
      <c r="A74" s="16" t="s">
        <v>358</v>
      </c>
      <c r="B74" s="16" t="n">
        <v>4</v>
      </c>
      <c r="C74" s="17" t="s">
        <v>359</v>
      </c>
      <c r="D74" s="16" t="s">
        <v>161</v>
      </c>
      <c r="E74" s="16" t="s">
        <v>322</v>
      </c>
      <c r="F74" s="16" t="str">
        <f aca="false">INDEX($C$5:$C$436,MATCH(E74,$A$5:$A$436,0))</f>
        <v>Estructuras</v>
      </c>
      <c r="G74" s="16" t="s">
        <v>353</v>
      </c>
      <c r="H74" s="16" t="s">
        <v>297</v>
      </c>
      <c r="I74" s="18" t="n">
        <f aca="false">COUNTIF(LOOKAHEAD!$B$5:$B$604,H74)</f>
        <v>0</v>
      </c>
      <c r="K74" s="12" t="s">
        <v>360</v>
      </c>
    </row>
    <row r="75" customFormat="false" ht="15" hidden="false" customHeight="false" outlineLevel="0" collapsed="false">
      <c r="A75" s="16" t="s">
        <v>361</v>
      </c>
      <c r="B75" s="16" t="n">
        <v>4</v>
      </c>
      <c r="C75" s="17" t="s">
        <v>362</v>
      </c>
      <c r="D75" s="16" t="s">
        <v>161</v>
      </c>
      <c r="E75" s="16" t="s">
        <v>322</v>
      </c>
      <c r="F75" s="16" t="str">
        <f aca="false">INDEX($C$5:$C$436,MATCH(E75,$A$5:$A$436,0))</f>
        <v>Estructuras</v>
      </c>
      <c r="G75" s="16" t="s">
        <v>353</v>
      </c>
      <c r="H75" s="16" t="s">
        <v>300</v>
      </c>
      <c r="I75" s="18" t="n">
        <f aca="false">COUNTIF(LOOKAHEAD!$B$5:$B$604,H75)</f>
        <v>0</v>
      </c>
      <c r="K75" s="12" t="s">
        <v>363</v>
      </c>
    </row>
    <row r="76" customFormat="false" ht="15" hidden="false" customHeight="false" outlineLevel="0" collapsed="false">
      <c r="A76" s="16" t="s">
        <v>364</v>
      </c>
      <c r="B76" s="16" t="n">
        <v>4</v>
      </c>
      <c r="C76" s="17" t="s">
        <v>365</v>
      </c>
      <c r="D76" s="16" t="s">
        <v>161</v>
      </c>
      <c r="E76" s="16" t="s">
        <v>322</v>
      </c>
      <c r="F76" s="16" t="str">
        <f aca="false">INDEX($C$5:$C$436,MATCH(E76,$A$5:$A$436,0))</f>
        <v>Estructuras</v>
      </c>
      <c r="G76" s="16" t="s">
        <v>353</v>
      </c>
      <c r="H76" s="16" t="s">
        <v>303</v>
      </c>
      <c r="I76" s="18" t="n">
        <f aca="false">COUNTIF(LOOKAHEAD!$B$5:$B$604,H76)</f>
        <v>0</v>
      </c>
      <c r="K76" s="12" t="s">
        <v>366</v>
      </c>
    </row>
    <row r="77" customFormat="false" ht="15" hidden="false" customHeight="false" outlineLevel="0" collapsed="false">
      <c r="A77" s="16" t="s">
        <v>367</v>
      </c>
      <c r="B77" s="16" t="n">
        <v>4</v>
      </c>
      <c r="C77" s="17" t="s">
        <v>368</v>
      </c>
      <c r="D77" s="16" t="s">
        <v>161</v>
      </c>
      <c r="E77" s="16" t="s">
        <v>322</v>
      </c>
      <c r="F77" s="16" t="str">
        <f aca="false">INDEX($C$5:$C$436,MATCH(E77,$A$5:$A$436,0))</f>
        <v>Estructuras</v>
      </c>
      <c r="G77" s="16" t="s">
        <v>353</v>
      </c>
      <c r="H77" s="16" t="s">
        <v>306</v>
      </c>
      <c r="I77" s="18" t="n">
        <f aca="false">COUNTIF(LOOKAHEAD!$B$5:$B$604,H77)</f>
        <v>0</v>
      </c>
      <c r="K77" s="12" t="s">
        <v>369</v>
      </c>
    </row>
    <row r="78" customFormat="false" ht="15" hidden="false" customHeight="false" outlineLevel="0" collapsed="false">
      <c r="A78" s="13" t="s">
        <v>370</v>
      </c>
      <c r="B78" s="13" t="n">
        <v>3</v>
      </c>
      <c r="C78" s="15" t="s">
        <v>371</v>
      </c>
      <c r="D78" s="13" t="s">
        <v>151</v>
      </c>
      <c r="E78" s="13" t="s">
        <v>322</v>
      </c>
      <c r="F78" s="13" t="str">
        <f aca="false">INDEX($C$5:$C$436,MATCH(E78,$A$5:$A$436,0))</f>
        <v>Estructuras</v>
      </c>
      <c r="G78" s="13" t="s">
        <v>326</v>
      </c>
      <c r="H78" s="13"/>
      <c r="I78" s="13"/>
      <c r="K78" s="12" t="s">
        <v>372</v>
      </c>
    </row>
    <row r="79" customFormat="false" ht="15" hidden="false" customHeight="false" outlineLevel="0" collapsed="false">
      <c r="A79" s="16" t="s">
        <v>373</v>
      </c>
      <c r="B79" s="16" t="n">
        <v>4</v>
      </c>
      <c r="C79" s="17" t="s">
        <v>374</v>
      </c>
      <c r="D79" s="16" t="s">
        <v>161</v>
      </c>
      <c r="E79" s="16" t="s">
        <v>322</v>
      </c>
      <c r="F79" s="16" t="str">
        <f aca="false">INDEX($C$5:$C$436,MATCH(E79,$A$5:$A$436,0))</f>
        <v>Estructuras</v>
      </c>
      <c r="G79" s="16" t="s">
        <v>371</v>
      </c>
      <c r="H79" s="16" t="s">
        <v>309</v>
      </c>
      <c r="I79" s="18" t="n">
        <f aca="false">COUNTIF(LOOKAHEAD!$B$5:$B$604,H79)</f>
        <v>0</v>
      </c>
      <c r="K79" s="12" t="s">
        <v>375</v>
      </c>
    </row>
    <row r="80" customFormat="false" ht="15" hidden="false" customHeight="false" outlineLevel="0" collapsed="false">
      <c r="A80" s="16" t="s">
        <v>376</v>
      </c>
      <c r="B80" s="16" t="n">
        <v>4</v>
      </c>
      <c r="C80" s="17" t="s">
        <v>377</v>
      </c>
      <c r="D80" s="16" t="s">
        <v>161</v>
      </c>
      <c r="E80" s="16" t="s">
        <v>322</v>
      </c>
      <c r="F80" s="16" t="str">
        <f aca="false">INDEX($C$5:$C$436,MATCH(E80,$A$5:$A$436,0))</f>
        <v>Estructuras</v>
      </c>
      <c r="G80" s="16" t="s">
        <v>371</v>
      </c>
      <c r="H80" s="16" t="s">
        <v>312</v>
      </c>
      <c r="I80" s="18" t="n">
        <f aca="false">COUNTIF(LOOKAHEAD!$B$5:$B$604,H80)</f>
        <v>0</v>
      </c>
      <c r="K80" s="12" t="s">
        <v>378</v>
      </c>
    </row>
    <row r="81" customFormat="false" ht="15" hidden="false" customHeight="false" outlineLevel="0" collapsed="false">
      <c r="A81" s="16" t="s">
        <v>379</v>
      </c>
      <c r="B81" s="16" t="n">
        <v>4</v>
      </c>
      <c r="C81" s="17" t="s">
        <v>380</v>
      </c>
      <c r="D81" s="16" t="s">
        <v>161</v>
      </c>
      <c r="E81" s="16" t="s">
        <v>322</v>
      </c>
      <c r="F81" s="16" t="str">
        <f aca="false">INDEX($C$5:$C$436,MATCH(E81,$A$5:$A$436,0))</f>
        <v>Estructuras</v>
      </c>
      <c r="G81" s="16" t="s">
        <v>371</v>
      </c>
      <c r="H81" s="16" t="s">
        <v>315</v>
      </c>
      <c r="I81" s="18" t="n">
        <f aca="false">COUNTIF(LOOKAHEAD!$B$5:$B$604,H81)</f>
        <v>0</v>
      </c>
      <c r="K81" s="12" t="s">
        <v>381</v>
      </c>
    </row>
    <row r="82" customFormat="false" ht="15" hidden="false" customHeight="false" outlineLevel="0" collapsed="false">
      <c r="A82" s="16" t="s">
        <v>382</v>
      </c>
      <c r="B82" s="16" t="n">
        <v>4</v>
      </c>
      <c r="C82" s="17" t="s">
        <v>383</v>
      </c>
      <c r="D82" s="16" t="s">
        <v>161</v>
      </c>
      <c r="E82" s="16" t="s">
        <v>322</v>
      </c>
      <c r="F82" s="16" t="str">
        <f aca="false">INDEX($C$5:$C$436,MATCH(E82,$A$5:$A$436,0))</f>
        <v>Estructuras</v>
      </c>
      <c r="G82" s="16" t="s">
        <v>371</v>
      </c>
      <c r="H82" s="16" t="s">
        <v>318</v>
      </c>
      <c r="I82" s="18" t="n">
        <f aca="false">COUNTIF(LOOKAHEAD!$B$5:$B$604,H82)</f>
        <v>0</v>
      </c>
      <c r="K82" s="12" t="s">
        <v>384</v>
      </c>
    </row>
    <row r="83" customFormat="false" ht="15" hidden="false" customHeight="false" outlineLevel="0" collapsed="false">
      <c r="A83" s="16" t="s">
        <v>385</v>
      </c>
      <c r="B83" s="16" t="n">
        <v>4</v>
      </c>
      <c r="C83" s="17" t="s">
        <v>386</v>
      </c>
      <c r="D83" s="16" t="s">
        <v>161</v>
      </c>
      <c r="E83" s="16" t="s">
        <v>322</v>
      </c>
      <c r="F83" s="16" t="str">
        <f aca="false">INDEX($C$5:$C$436,MATCH(E83,$A$5:$A$436,0))</f>
        <v>Estructuras</v>
      </c>
      <c r="G83" s="16" t="s">
        <v>371</v>
      </c>
      <c r="H83" s="16" t="s">
        <v>321</v>
      </c>
      <c r="I83" s="18" t="n">
        <f aca="false">COUNTIF(LOOKAHEAD!$B$5:$B$604,H83)</f>
        <v>0</v>
      </c>
      <c r="K83" s="12" t="s">
        <v>387</v>
      </c>
    </row>
    <row r="84" customFormat="false" ht="15" hidden="false" customHeight="false" outlineLevel="0" collapsed="false">
      <c r="A84" s="16" t="s">
        <v>388</v>
      </c>
      <c r="B84" s="16" t="n">
        <v>4</v>
      </c>
      <c r="C84" s="17" t="s">
        <v>389</v>
      </c>
      <c r="D84" s="16" t="s">
        <v>161</v>
      </c>
      <c r="E84" s="16" t="s">
        <v>322</v>
      </c>
      <c r="F84" s="16" t="str">
        <f aca="false">INDEX($C$5:$C$436,MATCH(E84,$A$5:$A$436,0))</f>
        <v>Estructuras</v>
      </c>
      <c r="G84" s="16" t="s">
        <v>371</v>
      </c>
      <c r="H84" s="16" t="s">
        <v>324</v>
      </c>
      <c r="I84" s="18" t="n">
        <f aca="false">COUNTIF(LOOKAHEAD!$B$5:$B$604,H84)</f>
        <v>0</v>
      </c>
      <c r="K84" s="12" t="s">
        <v>390</v>
      </c>
    </row>
    <row r="85" customFormat="false" ht="15" hidden="false" customHeight="false" outlineLevel="0" collapsed="false">
      <c r="A85" s="16" t="s">
        <v>391</v>
      </c>
      <c r="B85" s="16" t="n">
        <v>4</v>
      </c>
      <c r="C85" s="17" t="s">
        <v>392</v>
      </c>
      <c r="D85" s="16" t="s">
        <v>161</v>
      </c>
      <c r="E85" s="16" t="s">
        <v>322</v>
      </c>
      <c r="F85" s="16" t="str">
        <f aca="false">INDEX($C$5:$C$436,MATCH(E85,$A$5:$A$436,0))</f>
        <v>Estructuras</v>
      </c>
      <c r="G85" s="16" t="s">
        <v>371</v>
      </c>
      <c r="H85" s="16" t="s">
        <v>327</v>
      </c>
      <c r="I85" s="18" t="n">
        <f aca="false">COUNTIF(LOOKAHEAD!$B$5:$B$604,H85)</f>
        <v>0</v>
      </c>
      <c r="K85" s="12" t="s">
        <v>393</v>
      </c>
    </row>
    <row r="86" customFormat="false" ht="15" hidden="false" customHeight="false" outlineLevel="0" collapsed="false">
      <c r="A86" s="16" t="s">
        <v>394</v>
      </c>
      <c r="B86" s="16" t="n">
        <v>4</v>
      </c>
      <c r="C86" s="17" t="s">
        <v>395</v>
      </c>
      <c r="D86" s="16" t="s">
        <v>161</v>
      </c>
      <c r="E86" s="16" t="s">
        <v>322</v>
      </c>
      <c r="F86" s="16" t="str">
        <f aca="false">INDEX($C$5:$C$436,MATCH(E86,$A$5:$A$436,0))</f>
        <v>Estructuras</v>
      </c>
      <c r="G86" s="16" t="s">
        <v>371</v>
      </c>
      <c r="H86" s="16" t="s">
        <v>330</v>
      </c>
      <c r="I86" s="18" t="n">
        <f aca="false">COUNTIF(LOOKAHEAD!$B$5:$B$604,H86)</f>
        <v>0</v>
      </c>
      <c r="K86" s="12" t="s">
        <v>396</v>
      </c>
    </row>
    <row r="87" customFormat="false" ht="15" hidden="false" customHeight="false" outlineLevel="0" collapsed="false">
      <c r="A87" s="16" t="s">
        <v>397</v>
      </c>
      <c r="B87" s="16" t="n">
        <v>4</v>
      </c>
      <c r="C87" s="17" t="s">
        <v>398</v>
      </c>
      <c r="D87" s="16" t="s">
        <v>161</v>
      </c>
      <c r="E87" s="16" t="s">
        <v>322</v>
      </c>
      <c r="F87" s="16" t="str">
        <f aca="false">INDEX($C$5:$C$436,MATCH(E87,$A$5:$A$436,0))</f>
        <v>Estructuras</v>
      </c>
      <c r="G87" s="16" t="s">
        <v>371</v>
      </c>
      <c r="H87" s="16" t="s">
        <v>333</v>
      </c>
      <c r="I87" s="18" t="n">
        <f aca="false">COUNTIF(LOOKAHEAD!$B$5:$B$604,H87)</f>
        <v>0</v>
      </c>
      <c r="K87" s="12" t="s">
        <v>399</v>
      </c>
    </row>
    <row r="88" customFormat="false" ht="15" hidden="false" customHeight="false" outlineLevel="0" collapsed="false">
      <c r="A88" s="16" t="s">
        <v>400</v>
      </c>
      <c r="B88" s="16" t="n">
        <v>4</v>
      </c>
      <c r="C88" s="17" t="s">
        <v>401</v>
      </c>
      <c r="D88" s="16" t="s">
        <v>161</v>
      </c>
      <c r="E88" s="16" t="s">
        <v>322</v>
      </c>
      <c r="F88" s="16" t="str">
        <f aca="false">INDEX($C$5:$C$436,MATCH(E88,$A$5:$A$436,0))</f>
        <v>Estructuras</v>
      </c>
      <c r="G88" s="16" t="s">
        <v>371</v>
      </c>
      <c r="H88" s="16" t="s">
        <v>336</v>
      </c>
      <c r="I88" s="18" t="n">
        <f aca="false">COUNTIF(LOOKAHEAD!$B$5:$B$604,H88)</f>
        <v>0</v>
      </c>
      <c r="K88" s="12" t="s">
        <v>402</v>
      </c>
    </row>
    <row r="89" customFormat="false" ht="15" hidden="false" customHeight="false" outlineLevel="0" collapsed="false">
      <c r="A89" s="16" t="s">
        <v>403</v>
      </c>
      <c r="B89" s="16" t="n">
        <v>4</v>
      </c>
      <c r="C89" s="17" t="s">
        <v>404</v>
      </c>
      <c r="D89" s="16" t="s">
        <v>161</v>
      </c>
      <c r="E89" s="16" t="s">
        <v>322</v>
      </c>
      <c r="F89" s="16" t="str">
        <f aca="false">INDEX($C$5:$C$436,MATCH(E89,$A$5:$A$436,0))</f>
        <v>Estructuras</v>
      </c>
      <c r="G89" s="16" t="s">
        <v>371</v>
      </c>
      <c r="H89" s="16" t="s">
        <v>339</v>
      </c>
      <c r="I89" s="18" t="n">
        <f aca="false">COUNTIF(LOOKAHEAD!$B$5:$B$604,H89)</f>
        <v>0</v>
      </c>
      <c r="K89" s="12" t="s">
        <v>405</v>
      </c>
    </row>
    <row r="90" customFormat="false" ht="15" hidden="false" customHeight="false" outlineLevel="0" collapsed="false">
      <c r="A90" s="16" t="s">
        <v>406</v>
      </c>
      <c r="B90" s="16" t="n">
        <v>4</v>
      </c>
      <c r="C90" s="17" t="s">
        <v>407</v>
      </c>
      <c r="D90" s="16" t="s">
        <v>161</v>
      </c>
      <c r="E90" s="16" t="s">
        <v>322</v>
      </c>
      <c r="F90" s="16" t="str">
        <f aca="false">INDEX($C$5:$C$436,MATCH(E90,$A$5:$A$436,0))</f>
        <v>Estructuras</v>
      </c>
      <c r="G90" s="16" t="s">
        <v>371</v>
      </c>
      <c r="H90" s="16" t="s">
        <v>342</v>
      </c>
      <c r="I90" s="18" t="n">
        <f aca="false">COUNTIF(LOOKAHEAD!$B$5:$B$604,H90)</f>
        <v>0</v>
      </c>
      <c r="K90" s="12" t="s">
        <v>408</v>
      </c>
    </row>
    <row r="91" customFormat="false" ht="15" hidden="false" customHeight="false" outlineLevel="0" collapsed="false">
      <c r="A91" s="16" t="s">
        <v>409</v>
      </c>
      <c r="B91" s="16" t="n">
        <v>4</v>
      </c>
      <c r="C91" s="17" t="s">
        <v>410</v>
      </c>
      <c r="D91" s="16" t="s">
        <v>161</v>
      </c>
      <c r="E91" s="16" t="s">
        <v>322</v>
      </c>
      <c r="F91" s="16" t="str">
        <f aca="false">INDEX($C$5:$C$436,MATCH(E91,$A$5:$A$436,0))</f>
        <v>Estructuras</v>
      </c>
      <c r="G91" s="16" t="s">
        <v>371</v>
      </c>
      <c r="H91" s="16" t="s">
        <v>345</v>
      </c>
      <c r="I91" s="18" t="n">
        <f aca="false">COUNTIF(LOOKAHEAD!$B$5:$B$604,H91)</f>
        <v>0</v>
      </c>
      <c r="K91" s="12" t="s">
        <v>411</v>
      </c>
    </row>
    <row r="92" customFormat="false" ht="15" hidden="false" customHeight="false" outlineLevel="0" collapsed="false">
      <c r="A92" s="13" t="s">
        <v>412</v>
      </c>
      <c r="B92" s="13" t="n">
        <v>3</v>
      </c>
      <c r="C92" s="15" t="s">
        <v>413</v>
      </c>
      <c r="D92" s="13" t="s">
        <v>151</v>
      </c>
      <c r="E92" s="13" t="s">
        <v>322</v>
      </c>
      <c r="F92" s="13" t="str">
        <f aca="false">INDEX($C$5:$C$436,MATCH(E92,$A$5:$A$436,0))</f>
        <v>Estructuras</v>
      </c>
      <c r="G92" s="13" t="s">
        <v>326</v>
      </c>
      <c r="H92" s="13"/>
      <c r="I92" s="13"/>
      <c r="K92" s="12" t="s">
        <v>414</v>
      </c>
    </row>
    <row r="93" customFormat="false" ht="15" hidden="false" customHeight="false" outlineLevel="0" collapsed="false">
      <c r="A93" s="16" t="s">
        <v>415</v>
      </c>
      <c r="B93" s="16" t="n">
        <v>4</v>
      </c>
      <c r="C93" s="17" t="s">
        <v>416</v>
      </c>
      <c r="D93" s="16" t="s">
        <v>161</v>
      </c>
      <c r="E93" s="16" t="s">
        <v>322</v>
      </c>
      <c r="F93" s="16" t="str">
        <f aca="false">INDEX($C$5:$C$436,MATCH(E93,$A$5:$A$436,0))</f>
        <v>Estructuras</v>
      </c>
      <c r="G93" s="16" t="s">
        <v>413</v>
      </c>
      <c r="H93" s="16" t="s">
        <v>348</v>
      </c>
      <c r="I93" s="18" t="n">
        <f aca="false">COUNTIF(LOOKAHEAD!$B$5:$B$604,H93)</f>
        <v>0</v>
      </c>
      <c r="K93" s="12" t="s">
        <v>417</v>
      </c>
    </row>
    <row r="94" customFormat="false" ht="15" hidden="false" customHeight="false" outlineLevel="0" collapsed="false">
      <c r="A94" s="16" t="s">
        <v>418</v>
      </c>
      <c r="B94" s="16" t="n">
        <v>4</v>
      </c>
      <c r="C94" s="17" t="s">
        <v>419</v>
      </c>
      <c r="D94" s="16" t="s">
        <v>161</v>
      </c>
      <c r="E94" s="16" t="s">
        <v>322</v>
      </c>
      <c r="F94" s="16" t="str">
        <f aca="false">INDEX($C$5:$C$436,MATCH(E94,$A$5:$A$436,0))</f>
        <v>Estructuras</v>
      </c>
      <c r="G94" s="16" t="s">
        <v>413</v>
      </c>
      <c r="H94" s="16" t="s">
        <v>351</v>
      </c>
      <c r="I94" s="18" t="n">
        <f aca="false">COUNTIF(LOOKAHEAD!$B$5:$B$604,H94)</f>
        <v>0</v>
      </c>
      <c r="K94" s="12" t="s">
        <v>420</v>
      </c>
    </row>
    <row r="95" customFormat="false" ht="15" hidden="false" customHeight="false" outlineLevel="0" collapsed="false">
      <c r="A95" s="16" t="s">
        <v>421</v>
      </c>
      <c r="B95" s="16" t="n">
        <v>4</v>
      </c>
      <c r="C95" s="17" t="s">
        <v>422</v>
      </c>
      <c r="D95" s="16" t="s">
        <v>161</v>
      </c>
      <c r="E95" s="16" t="s">
        <v>322</v>
      </c>
      <c r="F95" s="16" t="str">
        <f aca="false">INDEX($C$5:$C$436,MATCH(E95,$A$5:$A$436,0))</f>
        <v>Estructuras</v>
      </c>
      <c r="G95" s="16" t="s">
        <v>413</v>
      </c>
      <c r="H95" s="16" t="s">
        <v>354</v>
      </c>
      <c r="I95" s="18" t="n">
        <f aca="false">COUNTIF(LOOKAHEAD!$B$5:$B$604,H95)</f>
        <v>0</v>
      </c>
      <c r="K95" s="12" t="s">
        <v>423</v>
      </c>
    </row>
    <row r="96" customFormat="false" ht="15" hidden="false" customHeight="false" outlineLevel="0" collapsed="false">
      <c r="A96" s="16" t="s">
        <v>424</v>
      </c>
      <c r="B96" s="16" t="n">
        <v>4</v>
      </c>
      <c r="C96" s="17" t="s">
        <v>425</v>
      </c>
      <c r="D96" s="16" t="s">
        <v>161</v>
      </c>
      <c r="E96" s="16" t="s">
        <v>322</v>
      </c>
      <c r="F96" s="16" t="str">
        <f aca="false">INDEX($C$5:$C$436,MATCH(E96,$A$5:$A$436,0))</f>
        <v>Estructuras</v>
      </c>
      <c r="G96" s="16" t="s">
        <v>413</v>
      </c>
      <c r="H96" s="16" t="s">
        <v>357</v>
      </c>
      <c r="I96" s="18" t="n">
        <f aca="false">COUNTIF(LOOKAHEAD!$B$5:$B$604,H96)</f>
        <v>0</v>
      </c>
      <c r="K96" s="12" t="s">
        <v>426</v>
      </c>
    </row>
    <row r="97" customFormat="false" ht="15" hidden="false" customHeight="false" outlineLevel="0" collapsed="false">
      <c r="A97" s="16" t="s">
        <v>427</v>
      </c>
      <c r="B97" s="16" t="n">
        <v>4</v>
      </c>
      <c r="C97" s="17" t="s">
        <v>428</v>
      </c>
      <c r="D97" s="16" t="s">
        <v>161</v>
      </c>
      <c r="E97" s="16" t="s">
        <v>322</v>
      </c>
      <c r="F97" s="16" t="str">
        <f aca="false">INDEX($C$5:$C$436,MATCH(E97,$A$5:$A$436,0))</f>
        <v>Estructuras</v>
      </c>
      <c r="G97" s="16" t="s">
        <v>413</v>
      </c>
      <c r="H97" s="16" t="s">
        <v>360</v>
      </c>
      <c r="I97" s="18" t="n">
        <f aca="false">COUNTIF(LOOKAHEAD!$B$5:$B$604,H97)</f>
        <v>0</v>
      </c>
      <c r="K97" s="12" t="s">
        <v>429</v>
      </c>
    </row>
    <row r="98" customFormat="false" ht="15" hidden="false" customHeight="false" outlineLevel="0" collapsed="false">
      <c r="A98" s="16" t="s">
        <v>430</v>
      </c>
      <c r="B98" s="16" t="n">
        <v>4</v>
      </c>
      <c r="C98" s="17" t="s">
        <v>431</v>
      </c>
      <c r="D98" s="16" t="s">
        <v>161</v>
      </c>
      <c r="E98" s="16" t="s">
        <v>322</v>
      </c>
      <c r="F98" s="16" t="str">
        <f aca="false">INDEX($C$5:$C$436,MATCH(E98,$A$5:$A$436,0))</f>
        <v>Estructuras</v>
      </c>
      <c r="G98" s="16" t="s">
        <v>413</v>
      </c>
      <c r="H98" s="16" t="s">
        <v>363</v>
      </c>
      <c r="I98" s="18" t="n">
        <f aca="false">COUNTIF(LOOKAHEAD!$B$5:$B$604,H98)</f>
        <v>0</v>
      </c>
      <c r="K98" s="12" t="s">
        <v>432</v>
      </c>
    </row>
    <row r="99" customFormat="false" ht="15" hidden="false" customHeight="false" outlineLevel="0" collapsed="false">
      <c r="A99" s="16" t="s">
        <v>433</v>
      </c>
      <c r="B99" s="16" t="n">
        <v>4</v>
      </c>
      <c r="C99" s="17" t="s">
        <v>434</v>
      </c>
      <c r="D99" s="16" t="s">
        <v>161</v>
      </c>
      <c r="E99" s="16" t="s">
        <v>322</v>
      </c>
      <c r="F99" s="16" t="str">
        <f aca="false">INDEX($C$5:$C$436,MATCH(E99,$A$5:$A$436,0))</f>
        <v>Estructuras</v>
      </c>
      <c r="G99" s="16" t="s">
        <v>413</v>
      </c>
      <c r="H99" s="16" t="s">
        <v>366</v>
      </c>
      <c r="I99" s="18" t="n">
        <f aca="false">COUNTIF(LOOKAHEAD!$B$5:$B$604,H99)</f>
        <v>0</v>
      </c>
      <c r="K99" s="12" t="s">
        <v>435</v>
      </c>
    </row>
    <row r="100" customFormat="false" ht="15" hidden="false" customHeight="false" outlineLevel="0" collapsed="false">
      <c r="A100" s="13" t="s">
        <v>436</v>
      </c>
      <c r="B100" s="13" t="n">
        <v>3</v>
      </c>
      <c r="C100" s="15" t="s">
        <v>437</v>
      </c>
      <c r="D100" s="13" t="s">
        <v>151</v>
      </c>
      <c r="E100" s="13" t="s">
        <v>322</v>
      </c>
      <c r="F100" s="13" t="str">
        <f aca="false">INDEX($C$5:$C$436,MATCH(E100,$A$5:$A$436,0))</f>
        <v>Estructuras</v>
      </c>
      <c r="G100" s="13" t="s">
        <v>326</v>
      </c>
      <c r="H100" s="13"/>
      <c r="I100" s="13"/>
      <c r="K100" s="12" t="s">
        <v>438</v>
      </c>
    </row>
    <row r="101" customFormat="false" ht="15" hidden="false" customHeight="false" outlineLevel="0" collapsed="false">
      <c r="A101" s="16" t="s">
        <v>439</v>
      </c>
      <c r="B101" s="16" t="n">
        <v>4</v>
      </c>
      <c r="C101" s="17" t="s">
        <v>440</v>
      </c>
      <c r="D101" s="16" t="s">
        <v>161</v>
      </c>
      <c r="E101" s="16" t="s">
        <v>322</v>
      </c>
      <c r="F101" s="16" t="str">
        <f aca="false">INDEX($C$5:$C$436,MATCH(E101,$A$5:$A$436,0))</f>
        <v>Estructuras</v>
      </c>
      <c r="G101" s="16" t="s">
        <v>437</v>
      </c>
      <c r="H101" s="16" t="s">
        <v>369</v>
      </c>
      <c r="I101" s="18" t="n">
        <f aca="false">COUNTIF(LOOKAHEAD!$B$5:$B$604,H101)</f>
        <v>0</v>
      </c>
      <c r="K101" s="12" t="s">
        <v>441</v>
      </c>
    </row>
    <row r="102" customFormat="false" ht="15" hidden="false" customHeight="false" outlineLevel="0" collapsed="false">
      <c r="A102" s="16" t="s">
        <v>442</v>
      </c>
      <c r="B102" s="16" t="n">
        <v>4</v>
      </c>
      <c r="C102" s="17" t="s">
        <v>443</v>
      </c>
      <c r="D102" s="16" t="s">
        <v>161</v>
      </c>
      <c r="E102" s="16" t="s">
        <v>322</v>
      </c>
      <c r="F102" s="16" t="str">
        <f aca="false">INDEX($C$5:$C$436,MATCH(E102,$A$5:$A$436,0))</f>
        <v>Estructuras</v>
      </c>
      <c r="G102" s="16" t="s">
        <v>437</v>
      </c>
      <c r="H102" s="16" t="s">
        <v>372</v>
      </c>
      <c r="I102" s="18" t="n">
        <f aca="false">COUNTIF(LOOKAHEAD!$B$5:$B$604,H102)</f>
        <v>0</v>
      </c>
      <c r="K102" s="12" t="s">
        <v>444</v>
      </c>
    </row>
    <row r="103" customFormat="false" ht="15" hidden="false" customHeight="false" outlineLevel="0" collapsed="false">
      <c r="A103" s="16" t="s">
        <v>445</v>
      </c>
      <c r="B103" s="16" t="n">
        <v>4</v>
      </c>
      <c r="C103" s="17" t="s">
        <v>446</v>
      </c>
      <c r="D103" s="16" t="s">
        <v>161</v>
      </c>
      <c r="E103" s="16" t="s">
        <v>322</v>
      </c>
      <c r="F103" s="16" t="str">
        <f aca="false">INDEX($C$5:$C$436,MATCH(E103,$A$5:$A$436,0))</f>
        <v>Estructuras</v>
      </c>
      <c r="G103" s="16" t="s">
        <v>437</v>
      </c>
      <c r="H103" s="16" t="s">
        <v>375</v>
      </c>
      <c r="I103" s="18" t="n">
        <f aca="false">COUNTIF(LOOKAHEAD!$B$5:$B$604,H103)</f>
        <v>0</v>
      </c>
      <c r="K103" s="12" t="s">
        <v>447</v>
      </c>
    </row>
    <row r="104" customFormat="false" ht="15" hidden="false" customHeight="false" outlineLevel="0" collapsed="false">
      <c r="A104" s="16" t="s">
        <v>448</v>
      </c>
      <c r="B104" s="16" t="n">
        <v>4</v>
      </c>
      <c r="C104" s="17" t="s">
        <v>449</v>
      </c>
      <c r="D104" s="16" t="s">
        <v>161</v>
      </c>
      <c r="E104" s="16" t="s">
        <v>322</v>
      </c>
      <c r="F104" s="16" t="str">
        <f aca="false">INDEX($C$5:$C$436,MATCH(E104,$A$5:$A$436,0))</f>
        <v>Estructuras</v>
      </c>
      <c r="G104" s="16" t="s">
        <v>437</v>
      </c>
      <c r="H104" s="16" t="s">
        <v>378</v>
      </c>
      <c r="I104" s="18" t="n">
        <f aca="false">COUNTIF(LOOKAHEAD!$B$5:$B$604,H104)</f>
        <v>0</v>
      </c>
      <c r="K104" s="12" t="s">
        <v>450</v>
      </c>
    </row>
    <row r="105" customFormat="false" ht="15" hidden="false" customHeight="false" outlineLevel="0" collapsed="false">
      <c r="A105" s="13" t="s">
        <v>451</v>
      </c>
      <c r="B105" s="13" t="n">
        <v>2</v>
      </c>
      <c r="C105" s="14" t="s">
        <v>452</v>
      </c>
      <c r="D105" s="13" t="s">
        <v>151</v>
      </c>
      <c r="E105" s="13" t="s">
        <v>322</v>
      </c>
      <c r="F105" s="13" t="str">
        <f aca="false">INDEX($C$5:$C$436,MATCH(E105,$A$5:$A$436,0))</f>
        <v>Estructuras</v>
      </c>
      <c r="G105" s="13" t="s">
        <v>323</v>
      </c>
      <c r="H105" s="13"/>
      <c r="I105" s="13"/>
      <c r="K105" s="12" t="s">
        <v>453</v>
      </c>
    </row>
    <row r="106" customFormat="false" ht="15" hidden="false" customHeight="false" outlineLevel="0" collapsed="false">
      <c r="A106" s="13" t="s">
        <v>454</v>
      </c>
      <c r="B106" s="13" t="n">
        <v>3</v>
      </c>
      <c r="C106" s="15" t="s">
        <v>455</v>
      </c>
      <c r="D106" s="13" t="s">
        <v>151</v>
      </c>
      <c r="E106" s="13" t="s">
        <v>322</v>
      </c>
      <c r="F106" s="13" t="str">
        <f aca="false">INDEX($C$5:$C$436,MATCH(E106,$A$5:$A$436,0))</f>
        <v>Estructuras</v>
      </c>
      <c r="G106" s="13" t="s">
        <v>452</v>
      </c>
      <c r="H106" s="13"/>
      <c r="I106" s="13"/>
      <c r="K106" s="12" t="s">
        <v>456</v>
      </c>
    </row>
    <row r="107" customFormat="false" ht="15" hidden="false" customHeight="false" outlineLevel="0" collapsed="false">
      <c r="A107" s="16" t="s">
        <v>457</v>
      </c>
      <c r="B107" s="16" t="n">
        <v>4</v>
      </c>
      <c r="C107" s="17" t="s">
        <v>458</v>
      </c>
      <c r="D107" s="16" t="s">
        <v>161</v>
      </c>
      <c r="E107" s="16" t="s">
        <v>322</v>
      </c>
      <c r="F107" s="16" t="str">
        <f aca="false">INDEX($C$5:$C$436,MATCH(E107,$A$5:$A$436,0))</f>
        <v>Estructuras</v>
      </c>
      <c r="G107" s="16" t="s">
        <v>455</v>
      </c>
      <c r="H107" s="16" t="s">
        <v>381</v>
      </c>
      <c r="I107" s="18" t="n">
        <f aca="false">COUNTIF(LOOKAHEAD!$B$5:$B$604,H107)</f>
        <v>0</v>
      </c>
      <c r="K107" s="12" t="s">
        <v>459</v>
      </c>
    </row>
    <row r="108" customFormat="false" ht="15" hidden="false" customHeight="false" outlineLevel="0" collapsed="false">
      <c r="A108" s="16" t="s">
        <v>460</v>
      </c>
      <c r="B108" s="16" t="n">
        <v>4</v>
      </c>
      <c r="C108" s="17" t="s">
        <v>461</v>
      </c>
      <c r="D108" s="16" t="s">
        <v>161</v>
      </c>
      <c r="E108" s="16" t="s">
        <v>322</v>
      </c>
      <c r="F108" s="16" t="str">
        <f aca="false">INDEX($C$5:$C$436,MATCH(E108,$A$5:$A$436,0))</f>
        <v>Estructuras</v>
      </c>
      <c r="G108" s="16" t="s">
        <v>455</v>
      </c>
      <c r="H108" s="16" t="s">
        <v>384</v>
      </c>
      <c r="I108" s="18" t="n">
        <f aca="false">COUNTIF(LOOKAHEAD!$B$5:$B$604,H108)</f>
        <v>0</v>
      </c>
      <c r="K108" s="12" t="s">
        <v>462</v>
      </c>
    </row>
    <row r="109" customFormat="false" ht="15" hidden="false" customHeight="false" outlineLevel="0" collapsed="false">
      <c r="A109" s="13" t="s">
        <v>463</v>
      </c>
      <c r="B109" s="13" t="n">
        <v>3</v>
      </c>
      <c r="C109" s="15" t="s">
        <v>329</v>
      </c>
      <c r="D109" s="13" t="s">
        <v>151</v>
      </c>
      <c r="E109" s="13" t="s">
        <v>322</v>
      </c>
      <c r="F109" s="13" t="str">
        <f aca="false">INDEX($C$5:$C$436,MATCH(E109,$A$5:$A$436,0))</f>
        <v>Estructuras</v>
      </c>
      <c r="G109" s="13" t="s">
        <v>452</v>
      </c>
      <c r="H109" s="13"/>
      <c r="I109" s="13"/>
      <c r="K109" s="12" t="s">
        <v>464</v>
      </c>
    </row>
    <row r="110" customFormat="false" ht="15" hidden="false" customHeight="false" outlineLevel="0" collapsed="false">
      <c r="A110" s="16" t="s">
        <v>465</v>
      </c>
      <c r="B110" s="16" t="n">
        <v>4</v>
      </c>
      <c r="C110" s="17" t="s">
        <v>332</v>
      </c>
      <c r="D110" s="16" t="s">
        <v>161</v>
      </c>
      <c r="E110" s="16" t="s">
        <v>322</v>
      </c>
      <c r="F110" s="16" t="str">
        <f aca="false">INDEX($C$5:$C$436,MATCH(E110,$A$5:$A$436,0))</f>
        <v>Estructuras</v>
      </c>
      <c r="G110" s="16" t="s">
        <v>329</v>
      </c>
      <c r="H110" s="16" t="s">
        <v>387</v>
      </c>
      <c r="I110" s="18" t="n">
        <f aca="false">COUNTIF(LOOKAHEAD!$B$5:$B$604,H110)</f>
        <v>0</v>
      </c>
      <c r="K110" s="12" t="s">
        <v>466</v>
      </c>
    </row>
    <row r="111" customFormat="false" ht="15" hidden="false" customHeight="false" outlineLevel="0" collapsed="false">
      <c r="A111" s="16" t="s">
        <v>467</v>
      </c>
      <c r="B111" s="16" t="n">
        <v>4</v>
      </c>
      <c r="C111" s="17" t="s">
        <v>468</v>
      </c>
      <c r="D111" s="16" t="s">
        <v>161</v>
      </c>
      <c r="E111" s="16" t="s">
        <v>322</v>
      </c>
      <c r="F111" s="16" t="str">
        <f aca="false">INDEX($C$5:$C$436,MATCH(E111,$A$5:$A$436,0))</f>
        <v>Estructuras</v>
      </c>
      <c r="G111" s="16" t="s">
        <v>329</v>
      </c>
      <c r="H111" s="16" t="s">
        <v>390</v>
      </c>
      <c r="I111" s="18" t="n">
        <f aca="false">COUNTIF(LOOKAHEAD!$B$5:$B$604,H111)</f>
        <v>0</v>
      </c>
      <c r="K111" s="12" t="s">
        <v>469</v>
      </c>
    </row>
    <row r="112" customFormat="false" ht="15" hidden="false" customHeight="false" outlineLevel="0" collapsed="false">
      <c r="A112" s="16" t="s">
        <v>470</v>
      </c>
      <c r="B112" s="16" t="n">
        <v>4</v>
      </c>
      <c r="C112" s="17" t="s">
        <v>344</v>
      </c>
      <c r="D112" s="16" t="s">
        <v>161</v>
      </c>
      <c r="E112" s="16" t="s">
        <v>322</v>
      </c>
      <c r="F112" s="16" t="str">
        <f aca="false">INDEX($C$5:$C$436,MATCH(E112,$A$5:$A$436,0))</f>
        <v>Estructuras</v>
      </c>
      <c r="G112" s="16" t="s">
        <v>329</v>
      </c>
      <c r="H112" s="16" t="s">
        <v>393</v>
      </c>
      <c r="I112" s="18" t="n">
        <f aca="false">COUNTIF(LOOKAHEAD!$B$5:$B$604,H112)</f>
        <v>0</v>
      </c>
      <c r="K112" s="12" t="s">
        <v>471</v>
      </c>
    </row>
    <row r="113" customFormat="false" ht="15" hidden="false" customHeight="false" outlineLevel="0" collapsed="false">
      <c r="A113" s="13" t="s">
        <v>472</v>
      </c>
      <c r="B113" s="13" t="n">
        <v>3</v>
      </c>
      <c r="C113" s="15" t="s">
        <v>473</v>
      </c>
      <c r="D113" s="13" t="s">
        <v>151</v>
      </c>
      <c r="E113" s="13" t="s">
        <v>322</v>
      </c>
      <c r="F113" s="13" t="str">
        <f aca="false">INDEX($C$5:$C$436,MATCH(E113,$A$5:$A$436,0))</f>
        <v>Estructuras</v>
      </c>
      <c r="G113" s="13" t="s">
        <v>452</v>
      </c>
      <c r="H113" s="13"/>
      <c r="I113" s="13"/>
      <c r="K113" s="12" t="s">
        <v>474</v>
      </c>
    </row>
    <row r="114" customFormat="false" ht="15" hidden="false" customHeight="false" outlineLevel="0" collapsed="false">
      <c r="A114" s="16" t="s">
        <v>475</v>
      </c>
      <c r="B114" s="16" t="n">
        <v>4</v>
      </c>
      <c r="C114" s="17" t="s">
        <v>476</v>
      </c>
      <c r="D114" s="16" t="s">
        <v>161</v>
      </c>
      <c r="E114" s="16" t="s">
        <v>322</v>
      </c>
      <c r="F114" s="16" t="str">
        <f aca="false">INDEX($C$5:$C$436,MATCH(E114,$A$5:$A$436,0))</f>
        <v>Estructuras</v>
      </c>
      <c r="G114" s="16" t="s">
        <v>473</v>
      </c>
      <c r="H114" s="16" t="s">
        <v>396</v>
      </c>
      <c r="I114" s="18" t="n">
        <f aca="false">COUNTIF(LOOKAHEAD!$B$5:$B$604,H114)</f>
        <v>0</v>
      </c>
      <c r="K114" s="12" t="s">
        <v>477</v>
      </c>
    </row>
    <row r="115" customFormat="false" ht="15" hidden="false" customHeight="false" outlineLevel="0" collapsed="false">
      <c r="A115" s="16" t="s">
        <v>478</v>
      </c>
      <c r="B115" s="16" t="n">
        <v>4</v>
      </c>
      <c r="C115" s="17" t="s">
        <v>350</v>
      </c>
      <c r="D115" s="16" t="s">
        <v>161</v>
      </c>
      <c r="E115" s="16" t="s">
        <v>322</v>
      </c>
      <c r="F115" s="16" t="str">
        <f aca="false">INDEX($C$5:$C$436,MATCH(E115,$A$5:$A$436,0))</f>
        <v>Estructuras</v>
      </c>
      <c r="G115" s="16" t="s">
        <v>473</v>
      </c>
      <c r="H115" s="16" t="s">
        <v>399</v>
      </c>
      <c r="I115" s="18" t="n">
        <f aca="false">COUNTIF(LOOKAHEAD!$B$5:$B$604,H115)</f>
        <v>0</v>
      </c>
      <c r="K115" s="12" t="s">
        <v>479</v>
      </c>
    </row>
    <row r="116" customFormat="false" ht="15" hidden="false" customHeight="false" outlineLevel="0" collapsed="false">
      <c r="A116" s="16" t="s">
        <v>480</v>
      </c>
      <c r="B116" s="16" t="n">
        <v>4</v>
      </c>
      <c r="C116" s="17" t="s">
        <v>481</v>
      </c>
      <c r="D116" s="16" t="s">
        <v>161</v>
      </c>
      <c r="E116" s="16" t="s">
        <v>322</v>
      </c>
      <c r="F116" s="16" t="str">
        <f aca="false">INDEX($C$5:$C$436,MATCH(E116,$A$5:$A$436,0))</f>
        <v>Estructuras</v>
      </c>
      <c r="G116" s="16" t="s">
        <v>473</v>
      </c>
      <c r="H116" s="16" t="s">
        <v>402</v>
      </c>
      <c r="I116" s="18" t="n">
        <f aca="false">COUNTIF(LOOKAHEAD!$B$5:$B$604,H116)</f>
        <v>0</v>
      </c>
      <c r="K116" s="12" t="s">
        <v>482</v>
      </c>
    </row>
    <row r="117" customFormat="false" ht="15" hidden="false" customHeight="false" outlineLevel="0" collapsed="false">
      <c r="A117" s="16" t="s">
        <v>483</v>
      </c>
      <c r="B117" s="16" t="n">
        <v>4</v>
      </c>
      <c r="C117" s="17" t="s">
        <v>484</v>
      </c>
      <c r="D117" s="16" t="s">
        <v>161</v>
      </c>
      <c r="E117" s="16" t="s">
        <v>322</v>
      </c>
      <c r="F117" s="16" t="str">
        <f aca="false">INDEX($C$5:$C$436,MATCH(E117,$A$5:$A$436,0))</f>
        <v>Estructuras</v>
      </c>
      <c r="G117" s="16" t="s">
        <v>473</v>
      </c>
      <c r="H117" s="16" t="s">
        <v>405</v>
      </c>
      <c r="I117" s="18" t="n">
        <f aca="false">COUNTIF(LOOKAHEAD!$B$5:$B$604,H117)</f>
        <v>0</v>
      </c>
      <c r="K117" s="12" t="s">
        <v>485</v>
      </c>
    </row>
    <row r="118" customFormat="false" ht="15" hidden="false" customHeight="false" outlineLevel="0" collapsed="false">
      <c r="A118" s="13" t="s">
        <v>486</v>
      </c>
      <c r="B118" s="13" t="n">
        <v>3</v>
      </c>
      <c r="C118" s="15" t="s">
        <v>131</v>
      </c>
      <c r="D118" s="13" t="s">
        <v>151</v>
      </c>
      <c r="E118" s="13" t="s">
        <v>322</v>
      </c>
      <c r="F118" s="13" t="str">
        <f aca="false">INDEX($C$5:$C$436,MATCH(E118,$A$5:$A$436,0))</f>
        <v>Estructuras</v>
      </c>
      <c r="G118" s="13" t="s">
        <v>452</v>
      </c>
      <c r="H118" s="13"/>
      <c r="I118" s="13"/>
      <c r="K118" s="12" t="s">
        <v>487</v>
      </c>
    </row>
    <row r="119" customFormat="false" ht="15" hidden="false" customHeight="false" outlineLevel="0" collapsed="false">
      <c r="A119" s="16" t="s">
        <v>488</v>
      </c>
      <c r="B119" s="16" t="n">
        <v>4</v>
      </c>
      <c r="C119" s="17" t="s">
        <v>489</v>
      </c>
      <c r="D119" s="16" t="s">
        <v>161</v>
      </c>
      <c r="E119" s="16" t="s">
        <v>322</v>
      </c>
      <c r="F119" s="16" t="str">
        <f aca="false">INDEX($C$5:$C$436,MATCH(E119,$A$5:$A$436,0))</f>
        <v>Estructuras</v>
      </c>
      <c r="G119" s="16" t="s">
        <v>131</v>
      </c>
      <c r="H119" s="16" t="s">
        <v>408</v>
      </c>
      <c r="I119" s="18" t="n">
        <f aca="false">COUNTIF(LOOKAHEAD!$B$5:$B$604,H119)</f>
        <v>0</v>
      </c>
      <c r="K119" s="12" t="s">
        <v>490</v>
      </c>
    </row>
    <row r="120" customFormat="false" ht="15" hidden="false" customHeight="false" outlineLevel="0" collapsed="false">
      <c r="A120" s="16" t="s">
        <v>491</v>
      </c>
      <c r="B120" s="16" t="n">
        <v>4</v>
      </c>
      <c r="C120" s="17" t="s">
        <v>492</v>
      </c>
      <c r="D120" s="16" t="s">
        <v>161</v>
      </c>
      <c r="E120" s="16" t="s">
        <v>322</v>
      </c>
      <c r="F120" s="16" t="str">
        <f aca="false">INDEX($C$5:$C$436,MATCH(E120,$A$5:$A$436,0))</f>
        <v>Estructuras</v>
      </c>
      <c r="G120" s="16" t="s">
        <v>131</v>
      </c>
      <c r="H120" s="16" t="s">
        <v>411</v>
      </c>
      <c r="I120" s="18" t="n">
        <f aca="false">COUNTIF(LOOKAHEAD!$B$5:$B$604,H120)</f>
        <v>0</v>
      </c>
      <c r="K120" s="12" t="s">
        <v>493</v>
      </c>
    </row>
    <row r="121" customFormat="false" ht="15" hidden="false" customHeight="false" outlineLevel="0" collapsed="false">
      <c r="A121" s="16" t="s">
        <v>494</v>
      </c>
      <c r="B121" s="16" t="n">
        <v>4</v>
      </c>
      <c r="C121" s="17" t="s">
        <v>495</v>
      </c>
      <c r="D121" s="16" t="s">
        <v>161</v>
      </c>
      <c r="E121" s="16" t="s">
        <v>322</v>
      </c>
      <c r="F121" s="16" t="str">
        <f aca="false">INDEX($C$5:$C$436,MATCH(E121,$A$5:$A$436,0))</f>
        <v>Estructuras</v>
      </c>
      <c r="G121" s="16" t="s">
        <v>131</v>
      </c>
      <c r="H121" s="16" t="s">
        <v>414</v>
      </c>
      <c r="I121" s="18" t="n">
        <f aca="false">COUNTIF(LOOKAHEAD!$B$5:$B$604,H121)</f>
        <v>0</v>
      </c>
      <c r="K121" s="12" t="s">
        <v>496</v>
      </c>
    </row>
    <row r="122" customFormat="false" ht="15" hidden="false" customHeight="false" outlineLevel="0" collapsed="false">
      <c r="A122" s="13" t="s">
        <v>497</v>
      </c>
      <c r="B122" s="13" t="n">
        <v>3</v>
      </c>
      <c r="C122" s="15" t="s">
        <v>498</v>
      </c>
      <c r="D122" s="13" t="s">
        <v>151</v>
      </c>
      <c r="E122" s="13" t="s">
        <v>322</v>
      </c>
      <c r="F122" s="13" t="str">
        <f aca="false">INDEX($C$5:$C$436,MATCH(E122,$A$5:$A$436,0))</f>
        <v>Estructuras</v>
      </c>
      <c r="G122" s="13" t="s">
        <v>452</v>
      </c>
      <c r="H122" s="13"/>
      <c r="I122" s="13"/>
      <c r="K122" s="12" t="s">
        <v>499</v>
      </c>
    </row>
    <row r="123" customFormat="false" ht="15" hidden="false" customHeight="false" outlineLevel="0" collapsed="false">
      <c r="A123" s="16" t="s">
        <v>500</v>
      </c>
      <c r="B123" s="16" t="n">
        <v>4</v>
      </c>
      <c r="C123" s="17" t="s">
        <v>501</v>
      </c>
      <c r="D123" s="16" t="s">
        <v>161</v>
      </c>
      <c r="E123" s="16" t="s">
        <v>322</v>
      </c>
      <c r="F123" s="16" t="str">
        <f aca="false">INDEX($C$5:$C$436,MATCH(E123,$A$5:$A$436,0))</f>
        <v>Estructuras</v>
      </c>
      <c r="G123" s="16" t="s">
        <v>498</v>
      </c>
      <c r="H123" s="16" t="s">
        <v>417</v>
      </c>
      <c r="I123" s="18" t="n">
        <f aca="false">COUNTIF(LOOKAHEAD!$B$5:$B$604,H123)</f>
        <v>0</v>
      </c>
      <c r="K123" s="12" t="s">
        <v>502</v>
      </c>
    </row>
    <row r="124" customFormat="false" ht="15" hidden="false" customHeight="false" outlineLevel="0" collapsed="false">
      <c r="A124" s="13" t="s">
        <v>503</v>
      </c>
      <c r="B124" s="13" t="n">
        <v>3</v>
      </c>
      <c r="C124" s="15" t="s">
        <v>133</v>
      </c>
      <c r="D124" s="13" t="s">
        <v>151</v>
      </c>
      <c r="E124" s="13" t="s">
        <v>322</v>
      </c>
      <c r="F124" s="13" t="str">
        <f aca="false">INDEX($C$5:$C$436,MATCH(E124,$A$5:$A$436,0))</f>
        <v>Estructuras</v>
      </c>
      <c r="G124" s="13" t="s">
        <v>452</v>
      </c>
      <c r="H124" s="13"/>
      <c r="I124" s="13"/>
      <c r="K124" s="12" t="s">
        <v>504</v>
      </c>
    </row>
    <row r="125" customFormat="false" ht="15" hidden="false" customHeight="false" outlineLevel="0" collapsed="false">
      <c r="A125" s="16" t="s">
        <v>505</v>
      </c>
      <c r="B125" s="16" t="n">
        <v>4</v>
      </c>
      <c r="C125" s="17" t="s">
        <v>506</v>
      </c>
      <c r="D125" s="16" t="s">
        <v>161</v>
      </c>
      <c r="E125" s="16" t="s">
        <v>322</v>
      </c>
      <c r="F125" s="16" t="str">
        <f aca="false">INDEX($C$5:$C$436,MATCH(E125,$A$5:$A$436,0))</f>
        <v>Estructuras</v>
      </c>
      <c r="G125" s="16" t="s">
        <v>133</v>
      </c>
      <c r="H125" s="16" t="s">
        <v>420</v>
      </c>
      <c r="I125" s="18" t="n">
        <f aca="false">COUNTIF(LOOKAHEAD!$B$5:$B$604,H125)</f>
        <v>0</v>
      </c>
      <c r="K125" s="12" t="s">
        <v>507</v>
      </c>
    </row>
    <row r="126" customFormat="false" ht="15" hidden="false" customHeight="false" outlineLevel="0" collapsed="false">
      <c r="A126" s="16" t="s">
        <v>508</v>
      </c>
      <c r="B126" s="16" t="n">
        <v>4</v>
      </c>
      <c r="C126" s="17" t="s">
        <v>509</v>
      </c>
      <c r="D126" s="16" t="s">
        <v>161</v>
      </c>
      <c r="E126" s="16" t="s">
        <v>322</v>
      </c>
      <c r="F126" s="16" t="str">
        <f aca="false">INDEX($C$5:$C$436,MATCH(E126,$A$5:$A$436,0))</f>
        <v>Estructuras</v>
      </c>
      <c r="G126" s="16" t="s">
        <v>133</v>
      </c>
      <c r="H126" s="16" t="s">
        <v>423</v>
      </c>
      <c r="I126" s="18" t="n">
        <f aca="false">COUNTIF(LOOKAHEAD!$B$5:$B$604,H126)</f>
        <v>0</v>
      </c>
      <c r="K126" s="12" t="s">
        <v>510</v>
      </c>
    </row>
    <row r="127" customFormat="false" ht="15" hidden="false" customHeight="false" outlineLevel="0" collapsed="false">
      <c r="A127" s="16" t="s">
        <v>511</v>
      </c>
      <c r="B127" s="16" t="n">
        <v>4</v>
      </c>
      <c r="C127" s="17" t="s">
        <v>512</v>
      </c>
      <c r="D127" s="16" t="s">
        <v>161</v>
      </c>
      <c r="E127" s="16" t="s">
        <v>322</v>
      </c>
      <c r="F127" s="16" t="str">
        <f aca="false">INDEX($C$5:$C$436,MATCH(E127,$A$5:$A$436,0))</f>
        <v>Estructuras</v>
      </c>
      <c r="G127" s="16" t="s">
        <v>133</v>
      </c>
      <c r="H127" s="16" t="s">
        <v>426</v>
      </c>
      <c r="I127" s="18" t="n">
        <f aca="false">COUNTIF(LOOKAHEAD!$B$5:$B$604,H127)</f>
        <v>0</v>
      </c>
      <c r="K127" s="12" t="s">
        <v>513</v>
      </c>
    </row>
    <row r="128" customFormat="false" ht="15" hidden="false" customHeight="false" outlineLevel="0" collapsed="false">
      <c r="A128" s="13" t="s">
        <v>514</v>
      </c>
      <c r="B128" s="13" t="n">
        <v>3</v>
      </c>
      <c r="C128" s="15" t="s">
        <v>135</v>
      </c>
      <c r="D128" s="13" t="s">
        <v>151</v>
      </c>
      <c r="E128" s="13" t="s">
        <v>322</v>
      </c>
      <c r="F128" s="13" t="str">
        <f aca="false">INDEX($C$5:$C$436,MATCH(E128,$A$5:$A$436,0))</f>
        <v>Estructuras</v>
      </c>
      <c r="G128" s="13" t="s">
        <v>452</v>
      </c>
      <c r="H128" s="13"/>
      <c r="I128" s="13"/>
      <c r="K128" s="12" t="s">
        <v>515</v>
      </c>
    </row>
    <row r="129" customFormat="false" ht="15" hidden="false" customHeight="false" outlineLevel="0" collapsed="false">
      <c r="A129" s="16" t="s">
        <v>516</v>
      </c>
      <c r="B129" s="16" t="n">
        <v>4</v>
      </c>
      <c r="C129" s="17" t="s">
        <v>517</v>
      </c>
      <c r="D129" s="16" t="s">
        <v>161</v>
      </c>
      <c r="E129" s="16" t="s">
        <v>322</v>
      </c>
      <c r="F129" s="16" t="str">
        <f aca="false">INDEX($C$5:$C$436,MATCH(E129,$A$5:$A$436,0))</f>
        <v>Estructuras</v>
      </c>
      <c r="G129" s="16" t="s">
        <v>135</v>
      </c>
      <c r="H129" s="16" t="s">
        <v>429</v>
      </c>
      <c r="I129" s="18" t="n">
        <f aca="false">COUNTIF(LOOKAHEAD!$B$5:$B$604,H129)</f>
        <v>0</v>
      </c>
      <c r="K129" s="12" t="s">
        <v>518</v>
      </c>
    </row>
    <row r="130" customFormat="false" ht="15" hidden="false" customHeight="false" outlineLevel="0" collapsed="false">
      <c r="A130" s="16" t="s">
        <v>519</v>
      </c>
      <c r="B130" s="16" t="n">
        <v>4</v>
      </c>
      <c r="C130" s="17" t="s">
        <v>520</v>
      </c>
      <c r="D130" s="16" t="s">
        <v>161</v>
      </c>
      <c r="E130" s="16" t="s">
        <v>322</v>
      </c>
      <c r="F130" s="16" t="str">
        <f aca="false">INDEX($C$5:$C$436,MATCH(E130,$A$5:$A$436,0))</f>
        <v>Estructuras</v>
      </c>
      <c r="G130" s="16" t="s">
        <v>135</v>
      </c>
      <c r="H130" s="16" t="s">
        <v>432</v>
      </c>
      <c r="I130" s="18" t="n">
        <f aca="false">COUNTIF(LOOKAHEAD!$B$5:$B$604,H130)</f>
        <v>0</v>
      </c>
      <c r="K130" s="12" t="s">
        <v>521</v>
      </c>
    </row>
    <row r="131" customFormat="false" ht="15" hidden="false" customHeight="false" outlineLevel="0" collapsed="false">
      <c r="A131" s="13" t="s">
        <v>522</v>
      </c>
      <c r="B131" s="13" t="n">
        <v>2</v>
      </c>
      <c r="C131" s="14" t="s">
        <v>523</v>
      </c>
      <c r="D131" s="13" t="s">
        <v>151</v>
      </c>
      <c r="E131" s="13" t="s">
        <v>322</v>
      </c>
      <c r="F131" s="13" t="str">
        <f aca="false">INDEX($C$5:$C$436,MATCH(E131,$A$5:$A$436,0))</f>
        <v>Estructuras</v>
      </c>
      <c r="G131" s="13" t="s">
        <v>323</v>
      </c>
      <c r="H131" s="13"/>
      <c r="I131" s="13"/>
      <c r="K131" s="12" t="s">
        <v>524</v>
      </c>
    </row>
    <row r="132" customFormat="false" ht="15" hidden="false" customHeight="false" outlineLevel="0" collapsed="false">
      <c r="A132" s="16" t="s">
        <v>525</v>
      </c>
      <c r="B132" s="16" t="n">
        <v>3</v>
      </c>
      <c r="C132" s="19" t="s">
        <v>526</v>
      </c>
      <c r="D132" s="16" t="s">
        <v>161</v>
      </c>
      <c r="E132" s="16" t="s">
        <v>322</v>
      </c>
      <c r="F132" s="16" t="str">
        <f aca="false">INDEX($C$5:$C$436,MATCH(E132,$A$5:$A$436,0))</f>
        <v>Estructuras</v>
      </c>
      <c r="G132" s="16" t="s">
        <v>523</v>
      </c>
      <c r="H132" s="16" t="s">
        <v>435</v>
      </c>
      <c r="I132" s="18" t="n">
        <f aca="false">COUNTIF(LOOKAHEAD!$B$5:$B$604,H132)</f>
        <v>0</v>
      </c>
      <c r="K132" s="12" t="s">
        <v>527</v>
      </c>
    </row>
    <row r="133" customFormat="false" ht="15" hidden="false" customHeight="false" outlineLevel="0" collapsed="false">
      <c r="A133" s="16" t="s">
        <v>528</v>
      </c>
      <c r="B133" s="16" t="n">
        <v>3</v>
      </c>
      <c r="C133" s="19" t="s">
        <v>529</v>
      </c>
      <c r="D133" s="16" t="s">
        <v>161</v>
      </c>
      <c r="E133" s="16" t="s">
        <v>322</v>
      </c>
      <c r="F133" s="16" t="str">
        <f aca="false">INDEX($C$5:$C$436,MATCH(E133,$A$5:$A$436,0))</f>
        <v>Estructuras</v>
      </c>
      <c r="G133" s="16" t="s">
        <v>523</v>
      </c>
      <c r="H133" s="16" t="s">
        <v>438</v>
      </c>
      <c r="I133" s="18" t="n">
        <f aca="false">COUNTIF(LOOKAHEAD!$B$5:$B$604,H133)</f>
        <v>0</v>
      </c>
      <c r="K133" s="12" t="s">
        <v>530</v>
      </c>
    </row>
    <row r="134" customFormat="false" ht="15" hidden="false" customHeight="false" outlineLevel="0" collapsed="false">
      <c r="A134" s="16" t="s">
        <v>531</v>
      </c>
      <c r="B134" s="16" t="n">
        <v>3</v>
      </c>
      <c r="C134" s="19" t="s">
        <v>532</v>
      </c>
      <c r="D134" s="16" t="s">
        <v>161</v>
      </c>
      <c r="E134" s="16" t="s">
        <v>322</v>
      </c>
      <c r="F134" s="16" t="str">
        <f aca="false">INDEX($C$5:$C$436,MATCH(E134,$A$5:$A$436,0))</f>
        <v>Estructuras</v>
      </c>
      <c r="G134" s="16" t="s">
        <v>523</v>
      </c>
      <c r="H134" s="16" t="s">
        <v>441</v>
      </c>
      <c r="I134" s="18" t="n">
        <f aca="false">COUNTIF(LOOKAHEAD!$B$5:$B$604,H134)</f>
        <v>0</v>
      </c>
      <c r="K134" s="12" t="s">
        <v>533</v>
      </c>
    </row>
    <row r="135" customFormat="false" ht="15" hidden="false" customHeight="false" outlineLevel="0" collapsed="false">
      <c r="A135" s="16" t="s">
        <v>534</v>
      </c>
      <c r="B135" s="16" t="n">
        <v>3</v>
      </c>
      <c r="C135" s="19" t="s">
        <v>535</v>
      </c>
      <c r="D135" s="16" t="s">
        <v>161</v>
      </c>
      <c r="E135" s="16" t="s">
        <v>322</v>
      </c>
      <c r="F135" s="16" t="str">
        <f aca="false">INDEX($C$5:$C$436,MATCH(E135,$A$5:$A$436,0))</f>
        <v>Estructuras</v>
      </c>
      <c r="G135" s="16" t="s">
        <v>523</v>
      </c>
      <c r="H135" s="16" t="s">
        <v>444</v>
      </c>
      <c r="I135" s="18" t="n">
        <f aca="false">COUNTIF(LOOKAHEAD!$B$5:$B$604,H135)</f>
        <v>0</v>
      </c>
      <c r="K135" s="12" t="s">
        <v>536</v>
      </c>
    </row>
    <row r="136" customFormat="false" ht="15" hidden="false" customHeight="false" outlineLevel="0" collapsed="false">
      <c r="A136" s="16" t="s">
        <v>537</v>
      </c>
      <c r="B136" s="16" t="n">
        <v>3</v>
      </c>
      <c r="C136" s="19" t="s">
        <v>538</v>
      </c>
      <c r="D136" s="16" t="s">
        <v>161</v>
      </c>
      <c r="E136" s="16" t="s">
        <v>322</v>
      </c>
      <c r="F136" s="16" t="str">
        <f aca="false">INDEX($C$5:$C$436,MATCH(E136,$A$5:$A$436,0))</f>
        <v>Estructuras</v>
      </c>
      <c r="G136" s="16" t="s">
        <v>523</v>
      </c>
      <c r="H136" s="16" t="s">
        <v>447</v>
      </c>
      <c r="I136" s="18" t="n">
        <f aca="false">COUNTIF(LOOKAHEAD!$B$5:$B$604,H136)</f>
        <v>0</v>
      </c>
      <c r="K136" s="12" t="s">
        <v>539</v>
      </c>
    </row>
    <row r="137" customFormat="false" ht="15" hidden="false" customHeight="false" outlineLevel="0" collapsed="false">
      <c r="A137" s="13" t="s">
        <v>540</v>
      </c>
      <c r="B137" s="13" t="n">
        <v>2</v>
      </c>
      <c r="C137" s="14" t="s">
        <v>134</v>
      </c>
      <c r="D137" s="13" t="s">
        <v>151</v>
      </c>
      <c r="E137" s="13" t="s">
        <v>322</v>
      </c>
      <c r="F137" s="13" t="str">
        <f aca="false">INDEX($C$5:$C$436,MATCH(E137,$A$5:$A$436,0))</f>
        <v>Estructuras</v>
      </c>
      <c r="G137" s="13" t="s">
        <v>323</v>
      </c>
      <c r="H137" s="13"/>
      <c r="I137" s="13"/>
      <c r="K137" s="12" t="s">
        <v>541</v>
      </c>
    </row>
    <row r="138" customFormat="false" ht="15" hidden="false" customHeight="false" outlineLevel="0" collapsed="false">
      <c r="A138" s="16" t="s">
        <v>542</v>
      </c>
      <c r="B138" s="16" t="n">
        <v>3</v>
      </c>
      <c r="C138" s="19" t="s">
        <v>543</v>
      </c>
      <c r="D138" s="16" t="s">
        <v>161</v>
      </c>
      <c r="E138" s="16" t="s">
        <v>322</v>
      </c>
      <c r="F138" s="16" t="str">
        <f aca="false">INDEX($C$5:$C$436,MATCH(E138,$A$5:$A$436,0))</f>
        <v>Estructuras</v>
      </c>
      <c r="G138" s="16" t="s">
        <v>134</v>
      </c>
      <c r="H138" s="16" t="s">
        <v>450</v>
      </c>
      <c r="I138" s="18" t="n">
        <f aca="false">COUNTIF(LOOKAHEAD!$B$5:$B$604,H138)</f>
        <v>0</v>
      </c>
      <c r="K138" s="12" t="s">
        <v>544</v>
      </c>
    </row>
    <row r="139" customFormat="false" ht="15" hidden="false" customHeight="false" outlineLevel="0" collapsed="false">
      <c r="A139" s="16" t="s">
        <v>545</v>
      </c>
      <c r="B139" s="16" t="n">
        <v>3</v>
      </c>
      <c r="C139" s="19" t="s">
        <v>546</v>
      </c>
      <c r="D139" s="16" t="s">
        <v>161</v>
      </c>
      <c r="E139" s="16" t="s">
        <v>322</v>
      </c>
      <c r="F139" s="16" t="str">
        <f aca="false">INDEX($C$5:$C$436,MATCH(E139,$A$5:$A$436,0))</f>
        <v>Estructuras</v>
      </c>
      <c r="G139" s="16" t="s">
        <v>134</v>
      </c>
      <c r="H139" s="16" t="s">
        <v>453</v>
      </c>
      <c r="I139" s="18" t="n">
        <f aca="false">COUNTIF(LOOKAHEAD!$B$5:$B$604,H139)</f>
        <v>0</v>
      </c>
      <c r="K139" s="12" t="s">
        <v>547</v>
      </c>
    </row>
    <row r="140" customFormat="false" ht="15" hidden="false" customHeight="false" outlineLevel="0" collapsed="false">
      <c r="A140" s="16" t="s">
        <v>548</v>
      </c>
      <c r="B140" s="16" t="n">
        <v>3</v>
      </c>
      <c r="C140" s="19" t="s">
        <v>549</v>
      </c>
      <c r="D140" s="16" t="s">
        <v>161</v>
      </c>
      <c r="E140" s="16" t="s">
        <v>322</v>
      </c>
      <c r="F140" s="16" t="str">
        <f aca="false">INDEX($C$5:$C$436,MATCH(E140,$A$5:$A$436,0))</f>
        <v>Estructuras</v>
      </c>
      <c r="G140" s="16" t="s">
        <v>134</v>
      </c>
      <c r="H140" s="16" t="s">
        <v>456</v>
      </c>
      <c r="I140" s="18" t="n">
        <f aca="false">COUNTIF(LOOKAHEAD!$B$5:$B$604,H140)</f>
        <v>0</v>
      </c>
      <c r="K140" s="12" t="s">
        <v>550</v>
      </c>
    </row>
    <row r="141" customFormat="false" ht="15" hidden="false" customHeight="false" outlineLevel="0" collapsed="false">
      <c r="A141" s="16" t="s">
        <v>551</v>
      </c>
      <c r="B141" s="16" t="n">
        <v>3</v>
      </c>
      <c r="C141" s="19" t="s">
        <v>552</v>
      </c>
      <c r="D141" s="16" t="s">
        <v>161</v>
      </c>
      <c r="E141" s="16" t="s">
        <v>322</v>
      </c>
      <c r="F141" s="16" t="str">
        <f aca="false">INDEX($C$5:$C$436,MATCH(E141,$A$5:$A$436,0))</f>
        <v>Estructuras</v>
      </c>
      <c r="G141" s="16" t="s">
        <v>134</v>
      </c>
      <c r="H141" s="16" t="s">
        <v>459</v>
      </c>
      <c r="I141" s="18" t="n">
        <f aca="false">COUNTIF(LOOKAHEAD!$B$5:$B$604,H141)</f>
        <v>0</v>
      </c>
      <c r="K141" s="12" t="s">
        <v>553</v>
      </c>
    </row>
    <row r="142" customFormat="false" ht="15" hidden="false" customHeight="false" outlineLevel="0" collapsed="false">
      <c r="A142" s="16" t="s">
        <v>554</v>
      </c>
      <c r="B142" s="16" t="n">
        <v>3</v>
      </c>
      <c r="C142" s="19" t="s">
        <v>555</v>
      </c>
      <c r="D142" s="16" t="s">
        <v>161</v>
      </c>
      <c r="E142" s="16" t="s">
        <v>322</v>
      </c>
      <c r="F142" s="16" t="str">
        <f aca="false">INDEX($C$5:$C$436,MATCH(E142,$A$5:$A$436,0))</f>
        <v>Estructuras</v>
      </c>
      <c r="G142" s="16" t="s">
        <v>134</v>
      </c>
      <c r="H142" s="16" t="s">
        <v>462</v>
      </c>
      <c r="I142" s="18" t="n">
        <f aca="false">COUNTIF(LOOKAHEAD!$B$5:$B$604,H142)</f>
        <v>0</v>
      </c>
      <c r="K142" s="12" t="s">
        <v>556</v>
      </c>
    </row>
    <row r="143" customFormat="false" ht="15" hidden="false" customHeight="false" outlineLevel="0" collapsed="false">
      <c r="A143" s="16" t="s">
        <v>557</v>
      </c>
      <c r="B143" s="16" t="n">
        <v>3</v>
      </c>
      <c r="C143" s="19" t="s">
        <v>558</v>
      </c>
      <c r="D143" s="16" t="s">
        <v>161</v>
      </c>
      <c r="E143" s="16" t="s">
        <v>322</v>
      </c>
      <c r="F143" s="16" t="str">
        <f aca="false">INDEX($C$5:$C$436,MATCH(E143,$A$5:$A$436,0))</f>
        <v>Estructuras</v>
      </c>
      <c r="G143" s="16" t="s">
        <v>134</v>
      </c>
      <c r="H143" s="16" t="s">
        <v>464</v>
      </c>
      <c r="I143" s="18" t="n">
        <f aca="false">COUNTIF(LOOKAHEAD!$B$5:$B$604,H143)</f>
        <v>0</v>
      </c>
      <c r="K143" s="12" t="s">
        <v>559</v>
      </c>
    </row>
    <row r="144" customFormat="false" ht="15" hidden="false" customHeight="false" outlineLevel="0" collapsed="false">
      <c r="A144" s="16" t="s">
        <v>560</v>
      </c>
      <c r="B144" s="16" t="n">
        <v>3</v>
      </c>
      <c r="C144" s="19" t="s">
        <v>561</v>
      </c>
      <c r="D144" s="16" t="s">
        <v>161</v>
      </c>
      <c r="E144" s="16" t="s">
        <v>322</v>
      </c>
      <c r="F144" s="16" t="str">
        <f aca="false">INDEX($C$5:$C$436,MATCH(E144,$A$5:$A$436,0))</f>
        <v>Estructuras</v>
      </c>
      <c r="G144" s="16" t="s">
        <v>134</v>
      </c>
      <c r="H144" s="16" t="s">
        <v>466</v>
      </c>
      <c r="I144" s="18" t="n">
        <f aca="false">COUNTIF(LOOKAHEAD!$B$5:$B$604,H144)</f>
        <v>0</v>
      </c>
      <c r="K144" s="12" t="s">
        <v>562</v>
      </c>
    </row>
    <row r="145" customFormat="false" ht="15" hidden="false" customHeight="false" outlineLevel="0" collapsed="false">
      <c r="A145" s="10" t="s">
        <v>563</v>
      </c>
      <c r="B145" s="10" t="n">
        <v>1</v>
      </c>
      <c r="C145" s="11" t="s">
        <v>564</v>
      </c>
      <c r="D145" s="10" t="s">
        <v>151</v>
      </c>
      <c r="E145" s="10" t="s">
        <v>563</v>
      </c>
      <c r="F145" s="10" t="str">
        <f aca="false">INDEX($C$5:$C$436,MATCH(E145,$A$5:$A$436,0))</f>
        <v>Arquitectura</v>
      </c>
      <c r="G145" s="10"/>
      <c r="H145" s="10"/>
      <c r="I145" s="10"/>
      <c r="K145" s="12" t="s">
        <v>565</v>
      </c>
    </row>
    <row r="146" customFormat="false" ht="15" hidden="false" customHeight="false" outlineLevel="0" collapsed="false">
      <c r="A146" s="13" t="s">
        <v>566</v>
      </c>
      <c r="B146" s="13" t="n">
        <v>2</v>
      </c>
      <c r="C146" s="14" t="s">
        <v>326</v>
      </c>
      <c r="D146" s="13" t="s">
        <v>151</v>
      </c>
      <c r="E146" s="13" t="s">
        <v>563</v>
      </c>
      <c r="F146" s="13" t="str">
        <f aca="false">INDEX($C$5:$C$436,MATCH(E146,$A$5:$A$436,0))</f>
        <v>Arquitectura</v>
      </c>
      <c r="G146" s="13" t="s">
        <v>564</v>
      </c>
      <c r="H146" s="13"/>
      <c r="I146" s="13"/>
      <c r="K146" s="12" t="s">
        <v>567</v>
      </c>
    </row>
    <row r="147" customFormat="false" ht="15" hidden="false" customHeight="false" outlineLevel="0" collapsed="false">
      <c r="A147" s="13" t="s">
        <v>568</v>
      </c>
      <c r="B147" s="13" t="n">
        <v>3</v>
      </c>
      <c r="C147" s="15" t="s">
        <v>569</v>
      </c>
      <c r="D147" s="13" t="s">
        <v>151</v>
      </c>
      <c r="E147" s="13" t="s">
        <v>563</v>
      </c>
      <c r="F147" s="13" t="str">
        <f aca="false">INDEX($C$5:$C$436,MATCH(E147,$A$5:$A$436,0))</f>
        <v>Arquitectura</v>
      </c>
      <c r="G147" s="13" t="s">
        <v>326</v>
      </c>
      <c r="H147" s="13"/>
      <c r="I147" s="13"/>
      <c r="K147" s="12" t="s">
        <v>570</v>
      </c>
    </row>
    <row r="148" customFormat="false" ht="15" hidden="false" customHeight="false" outlineLevel="0" collapsed="false">
      <c r="A148" s="16" t="s">
        <v>571</v>
      </c>
      <c r="B148" s="16" t="n">
        <v>4</v>
      </c>
      <c r="C148" s="17" t="s">
        <v>572</v>
      </c>
      <c r="D148" s="16" t="s">
        <v>161</v>
      </c>
      <c r="E148" s="16" t="s">
        <v>563</v>
      </c>
      <c r="F148" s="16" t="str">
        <f aca="false">INDEX($C$5:$C$436,MATCH(E148,$A$5:$A$436,0))</f>
        <v>Arquitectura</v>
      </c>
      <c r="G148" s="16" t="s">
        <v>569</v>
      </c>
      <c r="H148" s="16" t="s">
        <v>469</v>
      </c>
      <c r="I148" s="18" t="n">
        <f aca="false">COUNTIF(LOOKAHEAD!$B$5:$B$604,H148)</f>
        <v>0</v>
      </c>
      <c r="K148" s="12" t="s">
        <v>573</v>
      </c>
    </row>
    <row r="149" customFormat="false" ht="15" hidden="false" customHeight="false" outlineLevel="0" collapsed="false">
      <c r="A149" s="16" t="s">
        <v>574</v>
      </c>
      <c r="B149" s="16" t="n">
        <v>4</v>
      </c>
      <c r="C149" s="17" t="s">
        <v>575</v>
      </c>
      <c r="D149" s="16" t="s">
        <v>161</v>
      </c>
      <c r="E149" s="16" t="s">
        <v>563</v>
      </c>
      <c r="F149" s="16" t="str">
        <f aca="false">INDEX($C$5:$C$436,MATCH(E149,$A$5:$A$436,0))</f>
        <v>Arquitectura</v>
      </c>
      <c r="G149" s="16" t="s">
        <v>569</v>
      </c>
      <c r="H149" s="16" t="s">
        <v>471</v>
      </c>
      <c r="I149" s="18" t="n">
        <f aca="false">COUNTIF(LOOKAHEAD!$B$5:$B$604,H149)</f>
        <v>0</v>
      </c>
      <c r="K149" s="12" t="s">
        <v>576</v>
      </c>
    </row>
    <row r="150" customFormat="false" ht="15" hidden="false" customHeight="false" outlineLevel="0" collapsed="false">
      <c r="A150" s="16" t="s">
        <v>577</v>
      </c>
      <c r="B150" s="16" t="n">
        <v>4</v>
      </c>
      <c r="C150" s="17" t="s">
        <v>578</v>
      </c>
      <c r="D150" s="16" t="s">
        <v>161</v>
      </c>
      <c r="E150" s="16" t="s">
        <v>563</v>
      </c>
      <c r="F150" s="16" t="str">
        <f aca="false">INDEX($C$5:$C$436,MATCH(E150,$A$5:$A$436,0))</f>
        <v>Arquitectura</v>
      </c>
      <c r="G150" s="16" t="s">
        <v>569</v>
      </c>
      <c r="H150" s="16" t="s">
        <v>474</v>
      </c>
      <c r="I150" s="18" t="n">
        <f aca="false">COUNTIF(LOOKAHEAD!$B$5:$B$604,H150)</f>
        <v>0</v>
      </c>
      <c r="K150" s="12" t="s">
        <v>579</v>
      </c>
    </row>
    <row r="151" customFormat="false" ht="15" hidden="false" customHeight="false" outlineLevel="0" collapsed="false">
      <c r="A151" s="16" t="s">
        <v>580</v>
      </c>
      <c r="B151" s="16" t="n">
        <v>4</v>
      </c>
      <c r="C151" s="17" t="s">
        <v>581</v>
      </c>
      <c r="D151" s="16" t="s">
        <v>161</v>
      </c>
      <c r="E151" s="16" t="s">
        <v>563</v>
      </c>
      <c r="F151" s="16" t="str">
        <f aca="false">INDEX($C$5:$C$436,MATCH(E151,$A$5:$A$436,0))</f>
        <v>Arquitectura</v>
      </c>
      <c r="G151" s="16" t="s">
        <v>569</v>
      </c>
      <c r="H151" s="16" t="s">
        <v>477</v>
      </c>
      <c r="I151" s="18" t="n">
        <f aca="false">COUNTIF(LOOKAHEAD!$B$5:$B$604,H151)</f>
        <v>0</v>
      </c>
      <c r="K151" s="12" t="s">
        <v>582</v>
      </c>
    </row>
    <row r="152" customFormat="false" ht="15" hidden="false" customHeight="false" outlineLevel="0" collapsed="false">
      <c r="A152" s="13" t="s">
        <v>583</v>
      </c>
      <c r="B152" s="13" t="n">
        <v>3</v>
      </c>
      <c r="C152" s="15" t="s">
        <v>584</v>
      </c>
      <c r="D152" s="13" t="s">
        <v>151</v>
      </c>
      <c r="E152" s="13" t="s">
        <v>563</v>
      </c>
      <c r="F152" s="13" t="str">
        <f aca="false">INDEX($C$5:$C$436,MATCH(E152,$A$5:$A$436,0))</f>
        <v>Arquitectura</v>
      </c>
      <c r="G152" s="13" t="s">
        <v>326</v>
      </c>
      <c r="H152" s="13"/>
      <c r="I152" s="13"/>
      <c r="K152" s="12" t="s">
        <v>585</v>
      </c>
    </row>
    <row r="153" customFormat="false" ht="15" hidden="false" customHeight="false" outlineLevel="0" collapsed="false">
      <c r="A153" s="16" t="s">
        <v>586</v>
      </c>
      <c r="B153" s="16" t="n">
        <v>4</v>
      </c>
      <c r="C153" s="17" t="s">
        <v>587</v>
      </c>
      <c r="D153" s="16" t="s">
        <v>161</v>
      </c>
      <c r="E153" s="16" t="s">
        <v>563</v>
      </c>
      <c r="F153" s="16" t="str">
        <f aca="false">INDEX($C$5:$C$436,MATCH(E153,$A$5:$A$436,0))</f>
        <v>Arquitectura</v>
      </c>
      <c r="G153" s="16" t="s">
        <v>584</v>
      </c>
      <c r="H153" s="16" t="s">
        <v>479</v>
      </c>
      <c r="I153" s="18" t="n">
        <f aca="false">COUNTIF(LOOKAHEAD!$B$5:$B$604,H153)</f>
        <v>0</v>
      </c>
      <c r="K153" s="12" t="s">
        <v>588</v>
      </c>
    </row>
    <row r="154" customFormat="false" ht="15" hidden="false" customHeight="false" outlineLevel="0" collapsed="false">
      <c r="A154" s="16" t="s">
        <v>589</v>
      </c>
      <c r="B154" s="16" t="n">
        <v>4</v>
      </c>
      <c r="C154" s="17" t="s">
        <v>590</v>
      </c>
      <c r="D154" s="16" t="s">
        <v>161</v>
      </c>
      <c r="E154" s="16" t="s">
        <v>563</v>
      </c>
      <c r="F154" s="16" t="str">
        <f aca="false">INDEX($C$5:$C$436,MATCH(E154,$A$5:$A$436,0))</f>
        <v>Arquitectura</v>
      </c>
      <c r="G154" s="16" t="s">
        <v>584</v>
      </c>
      <c r="H154" s="16" t="s">
        <v>482</v>
      </c>
      <c r="I154" s="18" t="n">
        <f aca="false">COUNTIF(LOOKAHEAD!$B$5:$B$604,H154)</f>
        <v>0</v>
      </c>
      <c r="K154" s="12" t="s">
        <v>591</v>
      </c>
    </row>
    <row r="155" customFormat="false" ht="15" hidden="false" customHeight="false" outlineLevel="0" collapsed="false">
      <c r="A155" s="16" t="s">
        <v>592</v>
      </c>
      <c r="B155" s="16" t="n">
        <v>4</v>
      </c>
      <c r="C155" s="17" t="s">
        <v>593</v>
      </c>
      <c r="D155" s="16" t="s">
        <v>161</v>
      </c>
      <c r="E155" s="16" t="s">
        <v>563</v>
      </c>
      <c r="F155" s="16" t="str">
        <f aca="false">INDEX($C$5:$C$436,MATCH(E155,$A$5:$A$436,0))</f>
        <v>Arquitectura</v>
      </c>
      <c r="G155" s="16" t="s">
        <v>584</v>
      </c>
      <c r="H155" s="16" t="s">
        <v>485</v>
      </c>
      <c r="I155" s="18" t="n">
        <f aca="false">COUNTIF(LOOKAHEAD!$B$5:$B$604,H155)</f>
        <v>0</v>
      </c>
      <c r="K155" s="12" t="s">
        <v>594</v>
      </c>
    </row>
    <row r="156" customFormat="false" ht="15" hidden="false" customHeight="false" outlineLevel="0" collapsed="false">
      <c r="A156" s="16" t="s">
        <v>595</v>
      </c>
      <c r="B156" s="16" t="n">
        <v>4</v>
      </c>
      <c r="C156" s="17" t="s">
        <v>596</v>
      </c>
      <c r="D156" s="16" t="s">
        <v>161</v>
      </c>
      <c r="E156" s="16" t="s">
        <v>563</v>
      </c>
      <c r="F156" s="16" t="str">
        <f aca="false">INDEX($C$5:$C$436,MATCH(E156,$A$5:$A$436,0))</f>
        <v>Arquitectura</v>
      </c>
      <c r="G156" s="16" t="s">
        <v>584</v>
      </c>
      <c r="H156" s="16" t="s">
        <v>487</v>
      </c>
      <c r="I156" s="18" t="n">
        <f aca="false">COUNTIF(LOOKAHEAD!$B$5:$B$604,H156)</f>
        <v>0</v>
      </c>
      <c r="K156" s="12" t="s">
        <v>597</v>
      </c>
    </row>
    <row r="157" customFormat="false" ht="15" hidden="false" customHeight="false" outlineLevel="0" collapsed="false">
      <c r="A157" s="16" t="s">
        <v>598</v>
      </c>
      <c r="B157" s="16" t="n">
        <v>4</v>
      </c>
      <c r="C157" s="17" t="s">
        <v>599</v>
      </c>
      <c r="D157" s="16" t="s">
        <v>161</v>
      </c>
      <c r="E157" s="16" t="s">
        <v>563</v>
      </c>
      <c r="F157" s="16" t="str">
        <f aca="false">INDEX($C$5:$C$436,MATCH(E157,$A$5:$A$436,0))</f>
        <v>Arquitectura</v>
      </c>
      <c r="G157" s="16" t="s">
        <v>584</v>
      </c>
      <c r="H157" s="16" t="s">
        <v>490</v>
      </c>
      <c r="I157" s="18" t="n">
        <f aca="false">COUNTIF(LOOKAHEAD!$B$5:$B$604,H157)</f>
        <v>0</v>
      </c>
      <c r="K157" s="12" t="s">
        <v>600</v>
      </c>
    </row>
    <row r="158" customFormat="false" ht="15" hidden="false" customHeight="false" outlineLevel="0" collapsed="false">
      <c r="A158" s="16" t="s">
        <v>601</v>
      </c>
      <c r="B158" s="16" t="n">
        <v>4</v>
      </c>
      <c r="C158" s="17" t="s">
        <v>602</v>
      </c>
      <c r="D158" s="16" t="s">
        <v>161</v>
      </c>
      <c r="E158" s="16" t="s">
        <v>563</v>
      </c>
      <c r="F158" s="16" t="str">
        <f aca="false">INDEX($C$5:$C$436,MATCH(E158,$A$5:$A$436,0))</f>
        <v>Arquitectura</v>
      </c>
      <c r="G158" s="16" t="s">
        <v>584</v>
      </c>
      <c r="H158" s="16" t="s">
        <v>493</v>
      </c>
      <c r="I158" s="18" t="n">
        <f aca="false">COUNTIF(LOOKAHEAD!$B$5:$B$604,H158)</f>
        <v>0</v>
      </c>
      <c r="K158" s="12" t="s">
        <v>603</v>
      </c>
    </row>
    <row r="159" customFormat="false" ht="15" hidden="false" customHeight="false" outlineLevel="0" collapsed="false">
      <c r="A159" s="16" t="s">
        <v>604</v>
      </c>
      <c r="B159" s="16" t="n">
        <v>4</v>
      </c>
      <c r="C159" s="17" t="s">
        <v>605</v>
      </c>
      <c r="D159" s="16" t="s">
        <v>161</v>
      </c>
      <c r="E159" s="16" t="s">
        <v>563</v>
      </c>
      <c r="F159" s="16" t="str">
        <f aca="false">INDEX($C$5:$C$436,MATCH(E159,$A$5:$A$436,0))</f>
        <v>Arquitectura</v>
      </c>
      <c r="G159" s="16" t="s">
        <v>584</v>
      </c>
      <c r="H159" s="16" t="s">
        <v>496</v>
      </c>
      <c r="I159" s="18" t="n">
        <f aca="false">COUNTIF(LOOKAHEAD!$B$5:$B$604,H159)</f>
        <v>0</v>
      </c>
      <c r="K159" s="12" t="s">
        <v>606</v>
      </c>
    </row>
    <row r="160" customFormat="false" ht="15" hidden="false" customHeight="false" outlineLevel="0" collapsed="false">
      <c r="A160" s="13" t="s">
        <v>607</v>
      </c>
      <c r="B160" s="13" t="n">
        <v>3</v>
      </c>
      <c r="C160" s="15" t="s">
        <v>608</v>
      </c>
      <c r="D160" s="13" t="s">
        <v>151</v>
      </c>
      <c r="E160" s="13" t="s">
        <v>563</v>
      </c>
      <c r="F160" s="13" t="str">
        <f aca="false">INDEX($C$5:$C$436,MATCH(E160,$A$5:$A$436,0))</f>
        <v>Arquitectura</v>
      </c>
      <c r="G160" s="13" t="s">
        <v>326</v>
      </c>
      <c r="H160" s="13"/>
      <c r="I160" s="13"/>
      <c r="K160" s="12" t="s">
        <v>609</v>
      </c>
    </row>
    <row r="161" customFormat="false" ht="15" hidden="false" customHeight="false" outlineLevel="0" collapsed="false">
      <c r="A161" s="16" t="s">
        <v>610</v>
      </c>
      <c r="B161" s="16" t="n">
        <v>4</v>
      </c>
      <c r="C161" s="17" t="s">
        <v>611</v>
      </c>
      <c r="D161" s="16" t="s">
        <v>161</v>
      </c>
      <c r="E161" s="16" t="s">
        <v>563</v>
      </c>
      <c r="F161" s="16" t="str">
        <f aca="false">INDEX($C$5:$C$436,MATCH(E161,$A$5:$A$436,0))</f>
        <v>Arquitectura</v>
      </c>
      <c r="G161" s="16" t="s">
        <v>608</v>
      </c>
      <c r="H161" s="16" t="s">
        <v>499</v>
      </c>
      <c r="I161" s="18" t="n">
        <f aca="false">COUNTIF(LOOKAHEAD!$B$5:$B$604,H161)</f>
        <v>0</v>
      </c>
      <c r="K161" s="12" t="s">
        <v>612</v>
      </c>
    </row>
    <row r="162" customFormat="false" ht="15" hidden="false" customHeight="false" outlineLevel="0" collapsed="false">
      <c r="A162" s="16" t="s">
        <v>613</v>
      </c>
      <c r="B162" s="16" t="n">
        <v>4</v>
      </c>
      <c r="C162" s="17" t="s">
        <v>614</v>
      </c>
      <c r="D162" s="16" t="s">
        <v>161</v>
      </c>
      <c r="E162" s="16" t="s">
        <v>563</v>
      </c>
      <c r="F162" s="16" t="str">
        <f aca="false">INDEX($C$5:$C$436,MATCH(E162,$A$5:$A$436,0))</f>
        <v>Arquitectura</v>
      </c>
      <c r="G162" s="16" t="s">
        <v>608</v>
      </c>
      <c r="H162" s="16" t="s">
        <v>502</v>
      </c>
      <c r="I162" s="18" t="n">
        <f aca="false">COUNTIF(LOOKAHEAD!$B$5:$B$604,H162)</f>
        <v>0</v>
      </c>
      <c r="K162" s="12" t="s">
        <v>615</v>
      </c>
    </row>
    <row r="163" customFormat="false" ht="15" hidden="false" customHeight="false" outlineLevel="0" collapsed="false">
      <c r="A163" s="13" t="s">
        <v>616</v>
      </c>
      <c r="B163" s="13" t="n">
        <v>3</v>
      </c>
      <c r="C163" s="15" t="s">
        <v>617</v>
      </c>
      <c r="D163" s="13" t="s">
        <v>151</v>
      </c>
      <c r="E163" s="13" t="s">
        <v>563</v>
      </c>
      <c r="F163" s="13" t="str">
        <f aca="false">INDEX($C$5:$C$436,MATCH(E163,$A$5:$A$436,0))</f>
        <v>Arquitectura</v>
      </c>
      <c r="G163" s="13" t="s">
        <v>326</v>
      </c>
      <c r="H163" s="13"/>
      <c r="I163" s="13"/>
      <c r="K163" s="12" t="s">
        <v>618</v>
      </c>
    </row>
    <row r="164" customFormat="false" ht="15" hidden="false" customHeight="false" outlineLevel="0" collapsed="false">
      <c r="A164" s="16" t="s">
        <v>619</v>
      </c>
      <c r="B164" s="16" t="n">
        <v>4</v>
      </c>
      <c r="C164" s="17" t="s">
        <v>620</v>
      </c>
      <c r="D164" s="16" t="s">
        <v>161</v>
      </c>
      <c r="E164" s="16" t="s">
        <v>563</v>
      </c>
      <c r="F164" s="16" t="str">
        <f aca="false">INDEX($C$5:$C$436,MATCH(E164,$A$5:$A$436,0))</f>
        <v>Arquitectura</v>
      </c>
      <c r="G164" s="16" t="s">
        <v>617</v>
      </c>
      <c r="H164" s="16" t="s">
        <v>504</v>
      </c>
      <c r="I164" s="18" t="n">
        <f aca="false">COUNTIF(LOOKAHEAD!$B$5:$B$604,H164)</f>
        <v>0</v>
      </c>
      <c r="K164" s="12" t="s">
        <v>621</v>
      </c>
    </row>
    <row r="165" customFormat="false" ht="15" hidden="false" customHeight="false" outlineLevel="0" collapsed="false">
      <c r="A165" s="16" t="s">
        <v>622</v>
      </c>
      <c r="B165" s="16" t="n">
        <v>4</v>
      </c>
      <c r="C165" s="17" t="s">
        <v>623</v>
      </c>
      <c r="D165" s="16" t="s">
        <v>161</v>
      </c>
      <c r="E165" s="16" t="s">
        <v>563</v>
      </c>
      <c r="F165" s="16" t="str">
        <f aca="false">INDEX($C$5:$C$436,MATCH(E165,$A$5:$A$436,0))</f>
        <v>Arquitectura</v>
      </c>
      <c r="G165" s="16" t="s">
        <v>617</v>
      </c>
      <c r="H165" s="16" t="s">
        <v>507</v>
      </c>
      <c r="I165" s="18" t="n">
        <f aca="false">COUNTIF(LOOKAHEAD!$B$5:$B$604,H165)</f>
        <v>0</v>
      </c>
      <c r="K165" s="12" t="s">
        <v>624</v>
      </c>
    </row>
    <row r="166" customFormat="false" ht="15" hidden="false" customHeight="false" outlineLevel="0" collapsed="false">
      <c r="A166" s="16" t="s">
        <v>625</v>
      </c>
      <c r="B166" s="16" t="n">
        <v>4</v>
      </c>
      <c r="C166" s="17" t="s">
        <v>626</v>
      </c>
      <c r="D166" s="16" t="s">
        <v>161</v>
      </c>
      <c r="E166" s="16" t="s">
        <v>563</v>
      </c>
      <c r="F166" s="16" t="str">
        <f aca="false">INDEX($C$5:$C$436,MATCH(E166,$A$5:$A$436,0))</f>
        <v>Arquitectura</v>
      </c>
      <c r="G166" s="16" t="s">
        <v>617</v>
      </c>
      <c r="H166" s="16" t="s">
        <v>510</v>
      </c>
      <c r="I166" s="18" t="n">
        <f aca="false">COUNTIF(LOOKAHEAD!$B$5:$B$604,H166)</f>
        <v>0</v>
      </c>
      <c r="K166" s="12" t="s">
        <v>627</v>
      </c>
    </row>
    <row r="167" customFormat="false" ht="15" hidden="false" customHeight="false" outlineLevel="0" collapsed="false">
      <c r="A167" s="16" t="s">
        <v>628</v>
      </c>
      <c r="B167" s="16" t="n">
        <v>4</v>
      </c>
      <c r="C167" s="17" t="s">
        <v>629</v>
      </c>
      <c r="D167" s="16" t="s">
        <v>161</v>
      </c>
      <c r="E167" s="16" t="s">
        <v>563</v>
      </c>
      <c r="F167" s="16" t="str">
        <f aca="false">INDEX($C$5:$C$436,MATCH(E167,$A$5:$A$436,0))</f>
        <v>Arquitectura</v>
      </c>
      <c r="G167" s="16" t="s">
        <v>617</v>
      </c>
      <c r="H167" s="16" t="s">
        <v>513</v>
      </c>
      <c r="I167" s="18" t="n">
        <f aca="false">COUNTIF(LOOKAHEAD!$B$5:$B$604,H167)</f>
        <v>0</v>
      </c>
      <c r="K167" s="12" t="s">
        <v>630</v>
      </c>
    </row>
    <row r="168" customFormat="false" ht="15" hidden="false" customHeight="false" outlineLevel="0" collapsed="false">
      <c r="A168" s="16" t="s">
        <v>631</v>
      </c>
      <c r="B168" s="16" t="n">
        <v>4</v>
      </c>
      <c r="C168" s="17" t="s">
        <v>632</v>
      </c>
      <c r="D168" s="16" t="s">
        <v>161</v>
      </c>
      <c r="E168" s="16" t="s">
        <v>563</v>
      </c>
      <c r="F168" s="16" t="str">
        <f aca="false">INDEX($C$5:$C$436,MATCH(E168,$A$5:$A$436,0))</f>
        <v>Arquitectura</v>
      </c>
      <c r="G168" s="16" t="s">
        <v>617</v>
      </c>
      <c r="H168" s="16" t="s">
        <v>515</v>
      </c>
      <c r="I168" s="18" t="n">
        <f aca="false">COUNTIF(LOOKAHEAD!$B$5:$B$604,H168)</f>
        <v>0</v>
      </c>
      <c r="K168" s="12" t="s">
        <v>633</v>
      </c>
    </row>
    <row r="169" customFormat="false" ht="15" hidden="false" customHeight="false" outlineLevel="0" collapsed="false">
      <c r="A169" s="16" t="s">
        <v>634</v>
      </c>
      <c r="B169" s="16" t="n">
        <v>4</v>
      </c>
      <c r="C169" s="17" t="s">
        <v>635</v>
      </c>
      <c r="D169" s="16" t="s">
        <v>161</v>
      </c>
      <c r="E169" s="16" t="s">
        <v>563</v>
      </c>
      <c r="F169" s="16" t="str">
        <f aca="false">INDEX($C$5:$C$436,MATCH(E169,$A$5:$A$436,0))</f>
        <v>Arquitectura</v>
      </c>
      <c r="G169" s="16" t="s">
        <v>617</v>
      </c>
      <c r="H169" s="16" t="s">
        <v>518</v>
      </c>
      <c r="I169" s="18" t="n">
        <f aca="false">COUNTIF(LOOKAHEAD!$B$5:$B$604,H169)</f>
        <v>0</v>
      </c>
      <c r="K169" s="12" t="s">
        <v>636</v>
      </c>
    </row>
    <row r="170" customFormat="false" ht="15" hidden="false" customHeight="false" outlineLevel="0" collapsed="false">
      <c r="A170" s="13" t="s">
        <v>637</v>
      </c>
      <c r="B170" s="13" t="n">
        <v>3</v>
      </c>
      <c r="C170" s="15" t="s">
        <v>638</v>
      </c>
      <c r="D170" s="13" t="s">
        <v>151</v>
      </c>
      <c r="E170" s="13" t="s">
        <v>563</v>
      </c>
      <c r="F170" s="13" t="str">
        <f aca="false">INDEX($C$5:$C$436,MATCH(E170,$A$5:$A$436,0))</f>
        <v>Arquitectura</v>
      </c>
      <c r="G170" s="13" t="s">
        <v>326</v>
      </c>
      <c r="H170" s="13"/>
      <c r="I170" s="13"/>
      <c r="K170" s="12" t="s">
        <v>639</v>
      </c>
    </row>
    <row r="171" customFormat="false" ht="15" hidden="false" customHeight="false" outlineLevel="0" collapsed="false">
      <c r="A171" s="16" t="s">
        <v>640</v>
      </c>
      <c r="B171" s="16" t="n">
        <v>4</v>
      </c>
      <c r="C171" s="17" t="s">
        <v>641</v>
      </c>
      <c r="D171" s="16" t="s">
        <v>161</v>
      </c>
      <c r="E171" s="16" t="s">
        <v>563</v>
      </c>
      <c r="F171" s="16" t="str">
        <f aca="false">INDEX($C$5:$C$436,MATCH(E171,$A$5:$A$436,0))</f>
        <v>Arquitectura</v>
      </c>
      <c r="G171" s="16" t="s">
        <v>638</v>
      </c>
      <c r="H171" s="16" t="s">
        <v>521</v>
      </c>
      <c r="I171" s="18" t="n">
        <f aca="false">COUNTIF(LOOKAHEAD!$B$5:$B$604,H171)</f>
        <v>0</v>
      </c>
      <c r="K171" s="12" t="s">
        <v>642</v>
      </c>
    </row>
    <row r="172" customFormat="false" ht="15" hidden="false" customHeight="false" outlineLevel="0" collapsed="false">
      <c r="A172" s="16" t="s">
        <v>643</v>
      </c>
      <c r="B172" s="16" t="n">
        <v>4</v>
      </c>
      <c r="C172" s="17" t="s">
        <v>644</v>
      </c>
      <c r="D172" s="16" t="s">
        <v>161</v>
      </c>
      <c r="E172" s="16" t="s">
        <v>563</v>
      </c>
      <c r="F172" s="16" t="str">
        <f aca="false">INDEX($C$5:$C$436,MATCH(E172,$A$5:$A$436,0))</f>
        <v>Arquitectura</v>
      </c>
      <c r="G172" s="16" t="s">
        <v>638</v>
      </c>
      <c r="H172" s="16" t="s">
        <v>524</v>
      </c>
      <c r="I172" s="18" t="n">
        <f aca="false">COUNTIF(LOOKAHEAD!$B$5:$B$604,H172)</f>
        <v>0</v>
      </c>
      <c r="K172" s="12" t="s">
        <v>645</v>
      </c>
    </row>
    <row r="173" customFormat="false" ht="15" hidden="false" customHeight="false" outlineLevel="0" collapsed="false">
      <c r="A173" s="16" t="s">
        <v>646</v>
      </c>
      <c r="B173" s="16" t="n">
        <v>4</v>
      </c>
      <c r="C173" s="17" t="s">
        <v>647</v>
      </c>
      <c r="D173" s="16" t="s">
        <v>161</v>
      </c>
      <c r="E173" s="16" t="s">
        <v>563</v>
      </c>
      <c r="F173" s="16" t="str">
        <f aca="false">INDEX($C$5:$C$436,MATCH(E173,$A$5:$A$436,0))</f>
        <v>Arquitectura</v>
      </c>
      <c r="G173" s="16" t="s">
        <v>638</v>
      </c>
      <c r="H173" s="16" t="s">
        <v>527</v>
      </c>
      <c r="I173" s="18" t="n">
        <f aca="false">COUNTIF(LOOKAHEAD!$B$5:$B$604,H173)</f>
        <v>0</v>
      </c>
      <c r="K173" s="12" t="s">
        <v>648</v>
      </c>
    </row>
    <row r="174" customFormat="false" ht="15" hidden="false" customHeight="false" outlineLevel="0" collapsed="false">
      <c r="A174" s="16" t="s">
        <v>649</v>
      </c>
      <c r="B174" s="16" t="n">
        <v>4</v>
      </c>
      <c r="C174" s="17" t="s">
        <v>650</v>
      </c>
      <c r="D174" s="16" t="s">
        <v>161</v>
      </c>
      <c r="E174" s="16" t="s">
        <v>563</v>
      </c>
      <c r="F174" s="16" t="str">
        <f aca="false">INDEX($C$5:$C$436,MATCH(E174,$A$5:$A$436,0))</f>
        <v>Arquitectura</v>
      </c>
      <c r="G174" s="16" t="s">
        <v>638</v>
      </c>
      <c r="H174" s="16" t="s">
        <v>530</v>
      </c>
      <c r="I174" s="18" t="n">
        <f aca="false">COUNTIF(LOOKAHEAD!$B$5:$B$604,H174)</f>
        <v>0</v>
      </c>
      <c r="K174" s="12" t="s">
        <v>651</v>
      </c>
    </row>
    <row r="175" customFormat="false" ht="15" hidden="false" customHeight="false" outlineLevel="0" collapsed="false">
      <c r="A175" s="13" t="s">
        <v>652</v>
      </c>
      <c r="B175" s="13" t="n">
        <v>3</v>
      </c>
      <c r="C175" s="15" t="s">
        <v>653</v>
      </c>
      <c r="D175" s="13" t="s">
        <v>151</v>
      </c>
      <c r="E175" s="13" t="s">
        <v>563</v>
      </c>
      <c r="F175" s="13" t="str">
        <f aca="false">INDEX($C$5:$C$436,MATCH(E175,$A$5:$A$436,0))</f>
        <v>Arquitectura</v>
      </c>
      <c r="G175" s="13" t="s">
        <v>326</v>
      </c>
      <c r="H175" s="13"/>
      <c r="I175" s="13"/>
      <c r="K175" s="12" t="s">
        <v>654</v>
      </c>
    </row>
    <row r="176" customFormat="false" ht="15" hidden="false" customHeight="false" outlineLevel="0" collapsed="false">
      <c r="A176" s="16" t="s">
        <v>655</v>
      </c>
      <c r="B176" s="16" t="n">
        <v>4</v>
      </c>
      <c r="C176" s="17" t="s">
        <v>656</v>
      </c>
      <c r="D176" s="16" t="s">
        <v>161</v>
      </c>
      <c r="E176" s="16" t="s">
        <v>563</v>
      </c>
      <c r="F176" s="16" t="str">
        <f aca="false">INDEX($C$5:$C$436,MATCH(E176,$A$5:$A$436,0))</f>
        <v>Arquitectura</v>
      </c>
      <c r="G176" s="16" t="s">
        <v>653</v>
      </c>
      <c r="H176" s="16" t="s">
        <v>533</v>
      </c>
      <c r="I176" s="18" t="n">
        <f aca="false">COUNTIF(LOOKAHEAD!$B$5:$B$604,H176)</f>
        <v>0</v>
      </c>
      <c r="K176" s="12" t="s">
        <v>657</v>
      </c>
    </row>
    <row r="177" customFormat="false" ht="15" hidden="false" customHeight="false" outlineLevel="0" collapsed="false">
      <c r="A177" s="16" t="s">
        <v>658</v>
      </c>
      <c r="B177" s="16" t="n">
        <v>4</v>
      </c>
      <c r="C177" s="17" t="s">
        <v>659</v>
      </c>
      <c r="D177" s="16" t="s">
        <v>161</v>
      </c>
      <c r="E177" s="16" t="s">
        <v>563</v>
      </c>
      <c r="F177" s="16" t="str">
        <f aca="false">INDEX($C$5:$C$436,MATCH(E177,$A$5:$A$436,0))</f>
        <v>Arquitectura</v>
      </c>
      <c r="G177" s="16" t="s">
        <v>653</v>
      </c>
      <c r="H177" s="16" t="s">
        <v>536</v>
      </c>
      <c r="I177" s="18" t="n">
        <f aca="false">COUNTIF(LOOKAHEAD!$B$5:$B$604,H177)</f>
        <v>0</v>
      </c>
      <c r="K177" s="12" t="s">
        <v>660</v>
      </c>
    </row>
    <row r="178" customFormat="false" ht="15" hidden="false" customHeight="false" outlineLevel="0" collapsed="false">
      <c r="A178" s="13" t="s">
        <v>661</v>
      </c>
      <c r="B178" s="13" t="n">
        <v>3</v>
      </c>
      <c r="C178" s="15" t="s">
        <v>662</v>
      </c>
      <c r="D178" s="13" t="s">
        <v>151</v>
      </c>
      <c r="E178" s="13" t="s">
        <v>563</v>
      </c>
      <c r="F178" s="13" t="str">
        <f aca="false">INDEX($C$5:$C$436,MATCH(E178,$A$5:$A$436,0))</f>
        <v>Arquitectura</v>
      </c>
      <c r="G178" s="13" t="s">
        <v>326</v>
      </c>
      <c r="H178" s="13"/>
      <c r="I178" s="13"/>
      <c r="K178" s="12" t="s">
        <v>663</v>
      </c>
    </row>
    <row r="179" customFormat="false" ht="15" hidden="false" customHeight="false" outlineLevel="0" collapsed="false">
      <c r="A179" s="16" t="s">
        <v>664</v>
      </c>
      <c r="B179" s="16" t="n">
        <v>4</v>
      </c>
      <c r="C179" s="17" t="s">
        <v>665</v>
      </c>
      <c r="D179" s="16" t="s">
        <v>161</v>
      </c>
      <c r="E179" s="16" t="s">
        <v>563</v>
      </c>
      <c r="F179" s="16" t="str">
        <f aca="false">INDEX($C$5:$C$436,MATCH(E179,$A$5:$A$436,0))</f>
        <v>Arquitectura</v>
      </c>
      <c r="G179" s="16" t="s">
        <v>662</v>
      </c>
      <c r="H179" s="16" t="s">
        <v>539</v>
      </c>
      <c r="I179" s="18" t="n">
        <f aca="false">COUNTIF(LOOKAHEAD!$B$5:$B$604,H179)</f>
        <v>0</v>
      </c>
      <c r="K179" s="12" t="s">
        <v>666</v>
      </c>
    </row>
    <row r="180" customFormat="false" ht="15" hidden="false" customHeight="false" outlineLevel="0" collapsed="false">
      <c r="A180" s="16" t="s">
        <v>667</v>
      </c>
      <c r="B180" s="16" t="n">
        <v>4</v>
      </c>
      <c r="C180" s="17" t="s">
        <v>668</v>
      </c>
      <c r="D180" s="16" t="s">
        <v>161</v>
      </c>
      <c r="E180" s="16" t="s">
        <v>563</v>
      </c>
      <c r="F180" s="16" t="str">
        <f aca="false">INDEX($C$5:$C$436,MATCH(E180,$A$5:$A$436,0))</f>
        <v>Arquitectura</v>
      </c>
      <c r="G180" s="16" t="s">
        <v>662</v>
      </c>
      <c r="H180" s="16" t="s">
        <v>541</v>
      </c>
      <c r="I180" s="18" t="n">
        <f aca="false">COUNTIF(LOOKAHEAD!$B$5:$B$604,H180)</f>
        <v>0</v>
      </c>
      <c r="K180" s="12" t="s">
        <v>669</v>
      </c>
    </row>
    <row r="181" customFormat="false" ht="15" hidden="false" customHeight="false" outlineLevel="0" collapsed="false">
      <c r="A181" s="13" t="s">
        <v>670</v>
      </c>
      <c r="B181" s="13" t="n">
        <v>3</v>
      </c>
      <c r="C181" s="15" t="s">
        <v>671</v>
      </c>
      <c r="D181" s="13" t="s">
        <v>151</v>
      </c>
      <c r="E181" s="13" t="s">
        <v>563</v>
      </c>
      <c r="F181" s="13" t="str">
        <f aca="false">INDEX($C$5:$C$436,MATCH(E181,$A$5:$A$436,0))</f>
        <v>Arquitectura</v>
      </c>
      <c r="G181" s="13" t="s">
        <v>326</v>
      </c>
      <c r="H181" s="13"/>
      <c r="I181" s="13"/>
      <c r="K181" s="12" t="s">
        <v>672</v>
      </c>
    </row>
    <row r="182" customFormat="false" ht="15" hidden="false" customHeight="false" outlineLevel="0" collapsed="false">
      <c r="A182" s="16" t="s">
        <v>673</v>
      </c>
      <c r="B182" s="16" t="n">
        <v>4</v>
      </c>
      <c r="C182" s="17" t="s">
        <v>674</v>
      </c>
      <c r="D182" s="16" t="s">
        <v>161</v>
      </c>
      <c r="E182" s="16" t="s">
        <v>563</v>
      </c>
      <c r="F182" s="16" t="str">
        <f aca="false">INDEX($C$5:$C$436,MATCH(E182,$A$5:$A$436,0))</f>
        <v>Arquitectura</v>
      </c>
      <c r="G182" s="16" t="s">
        <v>671</v>
      </c>
      <c r="H182" s="16" t="s">
        <v>544</v>
      </c>
      <c r="I182" s="18" t="n">
        <f aca="false">COUNTIF(LOOKAHEAD!$B$5:$B$604,H182)</f>
        <v>0</v>
      </c>
      <c r="K182" s="12" t="s">
        <v>675</v>
      </c>
    </row>
    <row r="183" customFormat="false" ht="15" hidden="false" customHeight="false" outlineLevel="0" collapsed="false">
      <c r="A183" s="16" t="s">
        <v>676</v>
      </c>
      <c r="B183" s="16" t="n">
        <v>4</v>
      </c>
      <c r="C183" s="17" t="s">
        <v>677</v>
      </c>
      <c r="D183" s="16" t="s">
        <v>161</v>
      </c>
      <c r="E183" s="16" t="s">
        <v>563</v>
      </c>
      <c r="F183" s="16" t="str">
        <f aca="false">INDEX($C$5:$C$436,MATCH(E183,$A$5:$A$436,0))</f>
        <v>Arquitectura</v>
      </c>
      <c r="G183" s="16" t="s">
        <v>671</v>
      </c>
      <c r="H183" s="16" t="s">
        <v>547</v>
      </c>
      <c r="I183" s="18" t="n">
        <f aca="false">COUNTIF(LOOKAHEAD!$B$5:$B$604,H183)</f>
        <v>0</v>
      </c>
      <c r="K183" s="12" t="s">
        <v>678</v>
      </c>
    </row>
    <row r="184" customFormat="false" ht="15" hidden="false" customHeight="false" outlineLevel="0" collapsed="false">
      <c r="A184" s="16" t="s">
        <v>679</v>
      </c>
      <c r="B184" s="16" t="n">
        <v>4</v>
      </c>
      <c r="C184" s="17" t="s">
        <v>680</v>
      </c>
      <c r="D184" s="16" t="s">
        <v>161</v>
      </c>
      <c r="E184" s="16" t="s">
        <v>563</v>
      </c>
      <c r="F184" s="16" t="str">
        <f aca="false">INDEX($C$5:$C$436,MATCH(E184,$A$5:$A$436,0))</f>
        <v>Arquitectura</v>
      </c>
      <c r="G184" s="16" t="s">
        <v>671</v>
      </c>
      <c r="H184" s="16" t="s">
        <v>550</v>
      </c>
      <c r="I184" s="18" t="n">
        <f aca="false">COUNTIF(LOOKAHEAD!$B$5:$B$604,H184)</f>
        <v>0</v>
      </c>
      <c r="K184" s="12" t="s">
        <v>681</v>
      </c>
    </row>
    <row r="185" customFormat="false" ht="15" hidden="false" customHeight="false" outlineLevel="0" collapsed="false">
      <c r="A185" s="16" t="s">
        <v>682</v>
      </c>
      <c r="B185" s="16" t="n">
        <v>4</v>
      </c>
      <c r="C185" s="17" t="s">
        <v>683</v>
      </c>
      <c r="D185" s="16" t="s">
        <v>161</v>
      </c>
      <c r="E185" s="16" t="s">
        <v>563</v>
      </c>
      <c r="F185" s="16" t="str">
        <f aca="false">INDEX($C$5:$C$436,MATCH(E185,$A$5:$A$436,0))</f>
        <v>Arquitectura</v>
      </c>
      <c r="G185" s="16" t="s">
        <v>671</v>
      </c>
      <c r="H185" s="16" t="s">
        <v>553</v>
      </c>
      <c r="I185" s="18" t="n">
        <f aca="false">COUNTIF(LOOKAHEAD!$B$5:$B$604,H185)</f>
        <v>0</v>
      </c>
      <c r="K185" s="12" t="s">
        <v>684</v>
      </c>
    </row>
    <row r="186" customFormat="false" ht="15" hidden="false" customHeight="false" outlineLevel="0" collapsed="false">
      <c r="A186" s="16" t="s">
        <v>685</v>
      </c>
      <c r="B186" s="16" t="n">
        <v>4</v>
      </c>
      <c r="C186" s="17" t="s">
        <v>686</v>
      </c>
      <c r="D186" s="16" t="s">
        <v>161</v>
      </c>
      <c r="E186" s="16" t="s">
        <v>563</v>
      </c>
      <c r="F186" s="16" t="str">
        <f aca="false">INDEX($C$5:$C$436,MATCH(E186,$A$5:$A$436,0))</f>
        <v>Arquitectura</v>
      </c>
      <c r="G186" s="16" t="s">
        <v>671</v>
      </c>
      <c r="H186" s="16" t="s">
        <v>556</v>
      </c>
      <c r="I186" s="18" t="n">
        <f aca="false">COUNTIF(LOOKAHEAD!$B$5:$B$604,H186)</f>
        <v>0</v>
      </c>
      <c r="K186" s="12" t="s">
        <v>687</v>
      </c>
    </row>
    <row r="187" customFormat="false" ht="15" hidden="false" customHeight="false" outlineLevel="0" collapsed="false">
      <c r="A187" s="16" t="s">
        <v>688</v>
      </c>
      <c r="B187" s="16" t="n">
        <v>4</v>
      </c>
      <c r="C187" s="17" t="s">
        <v>689</v>
      </c>
      <c r="D187" s="16" t="s">
        <v>161</v>
      </c>
      <c r="E187" s="16" t="s">
        <v>563</v>
      </c>
      <c r="F187" s="16" t="str">
        <f aca="false">INDEX($C$5:$C$436,MATCH(E187,$A$5:$A$436,0))</f>
        <v>Arquitectura</v>
      </c>
      <c r="G187" s="16" t="s">
        <v>671</v>
      </c>
      <c r="H187" s="16" t="s">
        <v>559</v>
      </c>
      <c r="I187" s="18" t="n">
        <f aca="false">COUNTIF(LOOKAHEAD!$B$5:$B$604,H187)</f>
        <v>0</v>
      </c>
      <c r="K187" s="12" t="s">
        <v>690</v>
      </c>
    </row>
    <row r="188" customFormat="false" ht="15" hidden="false" customHeight="false" outlineLevel="0" collapsed="false">
      <c r="A188" s="16" t="s">
        <v>691</v>
      </c>
      <c r="B188" s="16" t="n">
        <v>4</v>
      </c>
      <c r="C188" s="17" t="s">
        <v>692</v>
      </c>
      <c r="D188" s="16" t="s">
        <v>161</v>
      </c>
      <c r="E188" s="16" t="s">
        <v>563</v>
      </c>
      <c r="F188" s="16" t="str">
        <f aca="false">INDEX($C$5:$C$436,MATCH(E188,$A$5:$A$436,0))</f>
        <v>Arquitectura</v>
      </c>
      <c r="G188" s="16" t="s">
        <v>671</v>
      </c>
      <c r="H188" s="16" t="s">
        <v>562</v>
      </c>
      <c r="I188" s="18" t="n">
        <f aca="false">COUNTIF(LOOKAHEAD!$B$5:$B$604,H188)</f>
        <v>0</v>
      </c>
      <c r="K188" s="12" t="s">
        <v>693</v>
      </c>
    </row>
    <row r="189" customFormat="false" ht="15" hidden="false" customHeight="false" outlineLevel="0" collapsed="false">
      <c r="A189" s="16" t="s">
        <v>694</v>
      </c>
      <c r="B189" s="16" t="n">
        <v>4</v>
      </c>
      <c r="C189" s="17" t="s">
        <v>695</v>
      </c>
      <c r="D189" s="16" t="s">
        <v>161</v>
      </c>
      <c r="E189" s="16" t="s">
        <v>563</v>
      </c>
      <c r="F189" s="16" t="str">
        <f aca="false">INDEX($C$5:$C$436,MATCH(E189,$A$5:$A$436,0))</f>
        <v>Arquitectura</v>
      </c>
      <c r="G189" s="16" t="s">
        <v>671</v>
      </c>
      <c r="H189" s="16" t="s">
        <v>565</v>
      </c>
      <c r="I189" s="18" t="n">
        <f aca="false">COUNTIF(LOOKAHEAD!$B$5:$B$604,H189)</f>
        <v>0</v>
      </c>
      <c r="K189" s="12" t="s">
        <v>696</v>
      </c>
    </row>
    <row r="190" customFormat="false" ht="15" hidden="false" customHeight="false" outlineLevel="0" collapsed="false">
      <c r="A190" s="16" t="s">
        <v>697</v>
      </c>
      <c r="B190" s="16" t="n">
        <v>4</v>
      </c>
      <c r="C190" s="17" t="s">
        <v>698</v>
      </c>
      <c r="D190" s="16" t="s">
        <v>161</v>
      </c>
      <c r="E190" s="16" t="s">
        <v>563</v>
      </c>
      <c r="F190" s="16" t="str">
        <f aca="false">INDEX($C$5:$C$436,MATCH(E190,$A$5:$A$436,0))</f>
        <v>Arquitectura</v>
      </c>
      <c r="G190" s="16" t="s">
        <v>671</v>
      </c>
      <c r="H190" s="16" t="s">
        <v>567</v>
      </c>
      <c r="I190" s="18" t="n">
        <f aca="false">COUNTIF(LOOKAHEAD!$B$5:$B$604,H190)</f>
        <v>0</v>
      </c>
      <c r="K190" s="12" t="s">
        <v>699</v>
      </c>
    </row>
    <row r="191" customFormat="false" ht="15" hidden="false" customHeight="false" outlineLevel="0" collapsed="false">
      <c r="A191" s="13" t="s">
        <v>700</v>
      </c>
      <c r="B191" s="13" t="n">
        <v>3</v>
      </c>
      <c r="C191" s="15" t="s">
        <v>701</v>
      </c>
      <c r="D191" s="13" t="s">
        <v>151</v>
      </c>
      <c r="E191" s="13" t="s">
        <v>563</v>
      </c>
      <c r="F191" s="13" t="str">
        <f aca="false">INDEX($C$5:$C$436,MATCH(E191,$A$5:$A$436,0))</f>
        <v>Arquitectura</v>
      </c>
      <c r="G191" s="13" t="s">
        <v>326</v>
      </c>
      <c r="H191" s="13"/>
      <c r="I191" s="13"/>
      <c r="K191" s="12" t="s">
        <v>702</v>
      </c>
    </row>
    <row r="192" customFormat="false" ht="15" hidden="false" customHeight="false" outlineLevel="0" collapsed="false">
      <c r="A192" s="16" t="s">
        <v>703</v>
      </c>
      <c r="B192" s="16" t="n">
        <v>4</v>
      </c>
      <c r="C192" s="17" t="s">
        <v>704</v>
      </c>
      <c r="D192" s="16" t="s">
        <v>161</v>
      </c>
      <c r="E192" s="16" t="s">
        <v>563</v>
      </c>
      <c r="F192" s="16" t="str">
        <f aca="false">INDEX($C$5:$C$436,MATCH(E192,$A$5:$A$436,0))</f>
        <v>Arquitectura</v>
      </c>
      <c r="G192" s="16" t="s">
        <v>701</v>
      </c>
      <c r="H192" s="16" t="s">
        <v>570</v>
      </c>
      <c r="I192" s="18" t="n">
        <f aca="false">COUNTIF(LOOKAHEAD!$B$5:$B$604,H192)</f>
        <v>0</v>
      </c>
      <c r="K192" s="12" t="s">
        <v>705</v>
      </c>
    </row>
    <row r="193" customFormat="false" ht="15" hidden="false" customHeight="false" outlineLevel="0" collapsed="false">
      <c r="A193" s="16" t="s">
        <v>706</v>
      </c>
      <c r="B193" s="16" t="n">
        <v>4</v>
      </c>
      <c r="C193" s="17" t="s">
        <v>707</v>
      </c>
      <c r="D193" s="16" t="s">
        <v>161</v>
      </c>
      <c r="E193" s="16" t="s">
        <v>563</v>
      </c>
      <c r="F193" s="16" t="str">
        <f aca="false">INDEX($C$5:$C$436,MATCH(E193,$A$5:$A$436,0))</f>
        <v>Arquitectura</v>
      </c>
      <c r="G193" s="16" t="s">
        <v>701</v>
      </c>
      <c r="H193" s="16" t="s">
        <v>573</v>
      </c>
      <c r="I193" s="18" t="n">
        <f aca="false">COUNTIF(LOOKAHEAD!$B$5:$B$604,H193)</f>
        <v>0</v>
      </c>
      <c r="K193" s="12" t="s">
        <v>708</v>
      </c>
    </row>
    <row r="194" customFormat="false" ht="15" hidden="false" customHeight="false" outlineLevel="0" collapsed="false">
      <c r="A194" s="16" t="s">
        <v>709</v>
      </c>
      <c r="B194" s="16" t="n">
        <v>4</v>
      </c>
      <c r="C194" s="17" t="s">
        <v>710</v>
      </c>
      <c r="D194" s="16" t="s">
        <v>161</v>
      </c>
      <c r="E194" s="16" t="s">
        <v>563</v>
      </c>
      <c r="F194" s="16" t="str">
        <f aca="false">INDEX($C$5:$C$436,MATCH(E194,$A$5:$A$436,0))</f>
        <v>Arquitectura</v>
      </c>
      <c r="G194" s="16" t="s">
        <v>701</v>
      </c>
      <c r="H194" s="16" t="s">
        <v>576</v>
      </c>
      <c r="I194" s="18" t="n">
        <f aca="false">COUNTIF(LOOKAHEAD!$B$5:$B$604,H194)</f>
        <v>0</v>
      </c>
      <c r="K194" s="12" t="s">
        <v>711</v>
      </c>
    </row>
    <row r="195" customFormat="false" ht="15" hidden="false" customHeight="false" outlineLevel="0" collapsed="false">
      <c r="A195" s="16" t="s">
        <v>712</v>
      </c>
      <c r="B195" s="16" t="n">
        <v>4</v>
      </c>
      <c r="C195" s="17" t="s">
        <v>713</v>
      </c>
      <c r="D195" s="16" t="s">
        <v>161</v>
      </c>
      <c r="E195" s="16" t="s">
        <v>563</v>
      </c>
      <c r="F195" s="16" t="str">
        <f aca="false">INDEX($C$5:$C$436,MATCH(E195,$A$5:$A$436,0))</f>
        <v>Arquitectura</v>
      </c>
      <c r="G195" s="16" t="s">
        <v>701</v>
      </c>
      <c r="H195" s="16" t="s">
        <v>579</v>
      </c>
      <c r="I195" s="18" t="n">
        <f aca="false">COUNTIF(LOOKAHEAD!$B$5:$B$604,H195)</f>
        <v>0</v>
      </c>
      <c r="K195" s="12" t="s">
        <v>714</v>
      </c>
    </row>
    <row r="196" customFormat="false" ht="15" hidden="false" customHeight="false" outlineLevel="0" collapsed="false">
      <c r="A196" s="16" t="s">
        <v>715</v>
      </c>
      <c r="B196" s="16" t="n">
        <v>4</v>
      </c>
      <c r="C196" s="17" t="s">
        <v>716</v>
      </c>
      <c r="D196" s="16" t="s">
        <v>161</v>
      </c>
      <c r="E196" s="16" t="s">
        <v>563</v>
      </c>
      <c r="F196" s="16" t="str">
        <f aca="false">INDEX($C$5:$C$436,MATCH(E196,$A$5:$A$436,0))</f>
        <v>Arquitectura</v>
      </c>
      <c r="G196" s="16" t="s">
        <v>701</v>
      </c>
      <c r="H196" s="16" t="s">
        <v>582</v>
      </c>
      <c r="I196" s="18" t="n">
        <f aca="false">COUNTIF(LOOKAHEAD!$B$5:$B$604,H196)</f>
        <v>0</v>
      </c>
      <c r="K196" s="12" t="s">
        <v>717</v>
      </c>
    </row>
    <row r="197" customFormat="false" ht="15" hidden="false" customHeight="false" outlineLevel="0" collapsed="false">
      <c r="A197" s="16" t="s">
        <v>718</v>
      </c>
      <c r="B197" s="16" t="n">
        <v>4</v>
      </c>
      <c r="C197" s="17" t="s">
        <v>719</v>
      </c>
      <c r="D197" s="16" t="s">
        <v>161</v>
      </c>
      <c r="E197" s="16" t="s">
        <v>563</v>
      </c>
      <c r="F197" s="16" t="str">
        <f aca="false">INDEX($C$5:$C$436,MATCH(E197,$A$5:$A$436,0))</f>
        <v>Arquitectura</v>
      </c>
      <c r="G197" s="16" t="s">
        <v>701</v>
      </c>
      <c r="H197" s="16" t="s">
        <v>585</v>
      </c>
      <c r="I197" s="18" t="n">
        <f aca="false">COUNTIF(LOOKAHEAD!$B$5:$B$604,H197)</f>
        <v>0</v>
      </c>
      <c r="K197" s="12" t="s">
        <v>720</v>
      </c>
    </row>
    <row r="198" customFormat="false" ht="15" hidden="false" customHeight="false" outlineLevel="0" collapsed="false">
      <c r="A198" s="13" t="s">
        <v>721</v>
      </c>
      <c r="B198" s="13" t="n">
        <v>3</v>
      </c>
      <c r="C198" s="15" t="s">
        <v>722</v>
      </c>
      <c r="D198" s="13" t="s">
        <v>151</v>
      </c>
      <c r="E198" s="13" t="s">
        <v>563</v>
      </c>
      <c r="F198" s="13" t="str">
        <f aca="false">INDEX($C$5:$C$436,MATCH(E198,$A$5:$A$436,0))</f>
        <v>Arquitectura</v>
      </c>
      <c r="G198" s="13" t="s">
        <v>326</v>
      </c>
      <c r="H198" s="13"/>
      <c r="I198" s="13"/>
      <c r="K198" s="12" t="s">
        <v>723</v>
      </c>
    </row>
    <row r="199" customFormat="false" ht="15" hidden="false" customHeight="false" outlineLevel="0" collapsed="false">
      <c r="A199" s="16" t="s">
        <v>724</v>
      </c>
      <c r="B199" s="16" t="n">
        <v>4</v>
      </c>
      <c r="C199" s="17" t="s">
        <v>725</v>
      </c>
      <c r="D199" s="16" t="s">
        <v>161</v>
      </c>
      <c r="E199" s="16" t="s">
        <v>563</v>
      </c>
      <c r="F199" s="16" t="str">
        <f aca="false">INDEX($C$5:$C$436,MATCH(E199,$A$5:$A$436,0))</f>
        <v>Arquitectura</v>
      </c>
      <c r="G199" s="16" t="s">
        <v>722</v>
      </c>
      <c r="H199" s="16" t="s">
        <v>588</v>
      </c>
      <c r="I199" s="18" t="n">
        <f aca="false">COUNTIF(LOOKAHEAD!$B$5:$B$604,H199)</f>
        <v>0</v>
      </c>
      <c r="K199" s="12" t="s">
        <v>726</v>
      </c>
    </row>
    <row r="200" customFormat="false" ht="15" hidden="false" customHeight="false" outlineLevel="0" collapsed="false">
      <c r="A200" s="16" t="s">
        <v>727</v>
      </c>
      <c r="B200" s="16" t="n">
        <v>4</v>
      </c>
      <c r="C200" s="17" t="s">
        <v>728</v>
      </c>
      <c r="D200" s="16" t="s">
        <v>161</v>
      </c>
      <c r="E200" s="16" t="s">
        <v>563</v>
      </c>
      <c r="F200" s="16" t="str">
        <f aca="false">INDEX($C$5:$C$436,MATCH(E200,$A$5:$A$436,0))</f>
        <v>Arquitectura</v>
      </c>
      <c r="G200" s="16" t="s">
        <v>722</v>
      </c>
      <c r="H200" s="16" t="s">
        <v>591</v>
      </c>
      <c r="I200" s="18" t="n">
        <f aca="false">COUNTIF(LOOKAHEAD!$B$5:$B$604,H200)</f>
        <v>0</v>
      </c>
      <c r="K200" s="12" t="s">
        <v>729</v>
      </c>
    </row>
    <row r="201" customFormat="false" ht="15" hidden="false" customHeight="false" outlineLevel="0" collapsed="false">
      <c r="A201" s="16" t="s">
        <v>730</v>
      </c>
      <c r="B201" s="16" t="n">
        <v>4</v>
      </c>
      <c r="C201" s="17" t="s">
        <v>731</v>
      </c>
      <c r="D201" s="16" t="s">
        <v>161</v>
      </c>
      <c r="E201" s="16" t="s">
        <v>563</v>
      </c>
      <c r="F201" s="16" t="str">
        <f aca="false">INDEX($C$5:$C$436,MATCH(E201,$A$5:$A$436,0))</f>
        <v>Arquitectura</v>
      </c>
      <c r="G201" s="16" t="s">
        <v>722</v>
      </c>
      <c r="H201" s="16" t="s">
        <v>594</v>
      </c>
      <c r="I201" s="18" t="n">
        <f aca="false">COUNTIF(LOOKAHEAD!$B$5:$B$604,H201)</f>
        <v>0</v>
      </c>
      <c r="K201" s="12" t="s">
        <v>732</v>
      </c>
    </row>
    <row r="202" customFormat="false" ht="15" hidden="false" customHeight="false" outlineLevel="0" collapsed="false">
      <c r="A202" s="13" t="s">
        <v>733</v>
      </c>
      <c r="B202" s="13" t="n">
        <v>3</v>
      </c>
      <c r="C202" s="15" t="s">
        <v>734</v>
      </c>
      <c r="D202" s="13" t="s">
        <v>151</v>
      </c>
      <c r="E202" s="13" t="s">
        <v>563</v>
      </c>
      <c r="F202" s="13" t="str">
        <f aca="false">INDEX($C$5:$C$436,MATCH(E202,$A$5:$A$436,0))</f>
        <v>Arquitectura</v>
      </c>
      <c r="G202" s="13" t="s">
        <v>326</v>
      </c>
      <c r="H202" s="13"/>
      <c r="I202" s="13"/>
      <c r="K202" s="12" t="s">
        <v>735</v>
      </c>
    </row>
    <row r="203" customFormat="false" ht="15" hidden="false" customHeight="false" outlineLevel="0" collapsed="false">
      <c r="A203" s="16" t="s">
        <v>736</v>
      </c>
      <c r="B203" s="16" t="n">
        <v>4</v>
      </c>
      <c r="C203" s="17" t="s">
        <v>737</v>
      </c>
      <c r="D203" s="16" t="s">
        <v>161</v>
      </c>
      <c r="E203" s="16" t="s">
        <v>563</v>
      </c>
      <c r="F203" s="16" t="str">
        <f aca="false">INDEX($C$5:$C$436,MATCH(E203,$A$5:$A$436,0))</f>
        <v>Arquitectura</v>
      </c>
      <c r="G203" s="16" t="s">
        <v>734</v>
      </c>
      <c r="H203" s="16" t="s">
        <v>597</v>
      </c>
      <c r="I203" s="18" t="n">
        <f aca="false">COUNTIF(LOOKAHEAD!$B$5:$B$604,H203)</f>
        <v>0</v>
      </c>
      <c r="K203" s="12" t="s">
        <v>738</v>
      </c>
    </row>
    <row r="204" customFormat="false" ht="15" hidden="false" customHeight="false" outlineLevel="0" collapsed="false">
      <c r="A204" s="16" t="s">
        <v>739</v>
      </c>
      <c r="B204" s="16" t="n">
        <v>4</v>
      </c>
      <c r="C204" s="17" t="s">
        <v>740</v>
      </c>
      <c r="D204" s="16" t="s">
        <v>161</v>
      </c>
      <c r="E204" s="16" t="s">
        <v>563</v>
      </c>
      <c r="F204" s="16" t="str">
        <f aca="false">INDEX($C$5:$C$436,MATCH(E204,$A$5:$A$436,0))</f>
        <v>Arquitectura</v>
      </c>
      <c r="G204" s="16" t="s">
        <v>734</v>
      </c>
      <c r="H204" s="16" t="s">
        <v>600</v>
      </c>
      <c r="I204" s="18" t="n">
        <f aca="false">COUNTIF(LOOKAHEAD!$B$5:$B$604,H204)</f>
        <v>0</v>
      </c>
      <c r="K204" s="12" t="s">
        <v>741</v>
      </c>
    </row>
    <row r="205" customFormat="false" ht="15" hidden="false" customHeight="false" outlineLevel="0" collapsed="false">
      <c r="A205" s="13" t="s">
        <v>742</v>
      </c>
      <c r="B205" s="13" t="n">
        <v>3</v>
      </c>
      <c r="C205" s="15" t="s">
        <v>743</v>
      </c>
      <c r="D205" s="13" t="s">
        <v>151</v>
      </c>
      <c r="E205" s="13" t="s">
        <v>563</v>
      </c>
      <c r="F205" s="13" t="str">
        <f aca="false">INDEX($C$5:$C$436,MATCH(E205,$A$5:$A$436,0))</f>
        <v>Arquitectura</v>
      </c>
      <c r="G205" s="13" t="s">
        <v>326</v>
      </c>
      <c r="H205" s="13"/>
      <c r="I205" s="13"/>
      <c r="K205" s="12" t="s">
        <v>744</v>
      </c>
    </row>
    <row r="206" customFormat="false" ht="15" hidden="false" customHeight="false" outlineLevel="0" collapsed="false">
      <c r="A206" s="16" t="s">
        <v>745</v>
      </c>
      <c r="B206" s="16" t="n">
        <v>4</v>
      </c>
      <c r="C206" s="17" t="s">
        <v>746</v>
      </c>
      <c r="D206" s="16" t="s">
        <v>161</v>
      </c>
      <c r="E206" s="16" t="s">
        <v>563</v>
      </c>
      <c r="F206" s="16" t="str">
        <f aca="false">INDEX($C$5:$C$436,MATCH(E206,$A$5:$A$436,0))</f>
        <v>Arquitectura</v>
      </c>
      <c r="G206" s="16" t="s">
        <v>743</v>
      </c>
      <c r="H206" s="16" t="s">
        <v>603</v>
      </c>
      <c r="I206" s="18" t="n">
        <f aca="false">COUNTIF(LOOKAHEAD!$B$5:$B$604,H206)</f>
        <v>0</v>
      </c>
      <c r="K206" s="12" t="s">
        <v>747</v>
      </c>
    </row>
    <row r="207" customFormat="false" ht="15" hidden="false" customHeight="false" outlineLevel="0" collapsed="false">
      <c r="A207" s="16" t="s">
        <v>748</v>
      </c>
      <c r="B207" s="16" t="n">
        <v>4</v>
      </c>
      <c r="C207" s="17" t="s">
        <v>749</v>
      </c>
      <c r="D207" s="16" t="s">
        <v>161</v>
      </c>
      <c r="E207" s="16" t="s">
        <v>563</v>
      </c>
      <c r="F207" s="16" t="str">
        <f aca="false">INDEX($C$5:$C$436,MATCH(E207,$A$5:$A$436,0))</f>
        <v>Arquitectura</v>
      </c>
      <c r="G207" s="16" t="s">
        <v>743</v>
      </c>
      <c r="H207" s="16" t="s">
        <v>606</v>
      </c>
      <c r="I207" s="18" t="n">
        <f aca="false">COUNTIF(LOOKAHEAD!$B$5:$B$604,H207)</f>
        <v>0</v>
      </c>
      <c r="K207" s="12" t="s">
        <v>750</v>
      </c>
    </row>
    <row r="208" customFormat="false" ht="15" hidden="false" customHeight="false" outlineLevel="0" collapsed="false">
      <c r="A208" s="16" t="s">
        <v>751</v>
      </c>
      <c r="B208" s="16" t="n">
        <v>4</v>
      </c>
      <c r="C208" s="17" t="s">
        <v>752</v>
      </c>
      <c r="D208" s="16" t="s">
        <v>161</v>
      </c>
      <c r="E208" s="16" t="s">
        <v>563</v>
      </c>
      <c r="F208" s="16" t="str">
        <f aca="false">INDEX($C$5:$C$436,MATCH(E208,$A$5:$A$436,0))</f>
        <v>Arquitectura</v>
      </c>
      <c r="G208" s="16" t="s">
        <v>743</v>
      </c>
      <c r="H208" s="16" t="s">
        <v>609</v>
      </c>
      <c r="I208" s="18" t="n">
        <f aca="false">COUNTIF(LOOKAHEAD!$B$5:$B$604,H208)</f>
        <v>0</v>
      </c>
      <c r="K208" s="12" t="s">
        <v>753</v>
      </c>
    </row>
    <row r="209" customFormat="false" ht="15" hidden="false" customHeight="false" outlineLevel="0" collapsed="false">
      <c r="A209" s="16" t="s">
        <v>754</v>
      </c>
      <c r="B209" s="16" t="n">
        <v>4</v>
      </c>
      <c r="C209" s="17" t="s">
        <v>755</v>
      </c>
      <c r="D209" s="16" t="s">
        <v>161</v>
      </c>
      <c r="E209" s="16" t="s">
        <v>563</v>
      </c>
      <c r="F209" s="16" t="str">
        <f aca="false">INDEX($C$5:$C$436,MATCH(E209,$A$5:$A$436,0))</f>
        <v>Arquitectura</v>
      </c>
      <c r="G209" s="16" t="s">
        <v>743</v>
      </c>
      <c r="H209" s="16" t="s">
        <v>612</v>
      </c>
      <c r="I209" s="18" t="n">
        <f aca="false">COUNTIF(LOOKAHEAD!$B$5:$B$604,H209)</f>
        <v>0</v>
      </c>
      <c r="K209" s="12" t="s">
        <v>756</v>
      </c>
    </row>
    <row r="210" customFormat="false" ht="15" hidden="false" customHeight="false" outlineLevel="0" collapsed="false">
      <c r="A210" s="10" t="s">
        <v>757</v>
      </c>
      <c r="B210" s="10" t="n">
        <v>1</v>
      </c>
      <c r="C210" s="11" t="s">
        <v>758</v>
      </c>
      <c r="D210" s="10" t="s">
        <v>151</v>
      </c>
      <c r="E210" s="10" t="s">
        <v>757</v>
      </c>
      <c r="F210" s="10" t="str">
        <f aca="false">INDEX($C$5:$C$436,MATCH(E210,$A$5:$A$436,0))</f>
        <v>Instalaciones Sanitarias</v>
      </c>
      <c r="G210" s="10"/>
      <c r="H210" s="10"/>
      <c r="I210" s="10"/>
      <c r="K210" s="12" t="s">
        <v>759</v>
      </c>
    </row>
    <row r="211" customFormat="false" ht="15" hidden="false" customHeight="false" outlineLevel="0" collapsed="false">
      <c r="A211" s="13" t="s">
        <v>760</v>
      </c>
      <c r="B211" s="13" t="n">
        <v>2</v>
      </c>
      <c r="C211" s="14" t="s">
        <v>761</v>
      </c>
      <c r="D211" s="13" t="s">
        <v>151</v>
      </c>
      <c r="E211" s="13" t="s">
        <v>757</v>
      </c>
      <c r="F211" s="13" t="str">
        <f aca="false">INDEX($C$5:$C$436,MATCH(E211,$A$5:$A$436,0))</f>
        <v>Instalaciones Sanitarias</v>
      </c>
      <c r="G211" s="13" t="s">
        <v>758</v>
      </c>
      <c r="H211" s="13"/>
      <c r="I211" s="13"/>
      <c r="K211" s="12" t="s">
        <v>762</v>
      </c>
    </row>
    <row r="212" customFormat="false" ht="15" hidden="false" customHeight="false" outlineLevel="0" collapsed="false">
      <c r="A212" s="13" t="s">
        <v>763</v>
      </c>
      <c r="B212" s="13" t="n">
        <v>3</v>
      </c>
      <c r="C212" s="15" t="s">
        <v>764</v>
      </c>
      <c r="D212" s="13" t="s">
        <v>151</v>
      </c>
      <c r="E212" s="13" t="s">
        <v>757</v>
      </c>
      <c r="F212" s="13" t="str">
        <f aca="false">INDEX($C$5:$C$436,MATCH(E212,$A$5:$A$436,0))</f>
        <v>Instalaciones Sanitarias</v>
      </c>
      <c r="G212" s="13" t="s">
        <v>761</v>
      </c>
      <c r="H212" s="13"/>
      <c r="I212" s="13"/>
      <c r="K212" s="12" t="s">
        <v>765</v>
      </c>
    </row>
    <row r="213" customFormat="false" ht="15" hidden="false" customHeight="false" outlineLevel="0" collapsed="false">
      <c r="A213" s="16" t="s">
        <v>766</v>
      </c>
      <c r="B213" s="16" t="n">
        <v>4</v>
      </c>
      <c r="C213" s="17" t="s">
        <v>767</v>
      </c>
      <c r="D213" s="16" t="s">
        <v>161</v>
      </c>
      <c r="E213" s="16" t="s">
        <v>757</v>
      </c>
      <c r="F213" s="16" t="str">
        <f aca="false">INDEX($C$5:$C$436,MATCH(E213,$A$5:$A$436,0))</f>
        <v>Instalaciones Sanitarias</v>
      </c>
      <c r="G213" s="16" t="s">
        <v>764</v>
      </c>
      <c r="H213" s="16" t="s">
        <v>615</v>
      </c>
      <c r="I213" s="18" t="n">
        <f aca="false">COUNTIF(LOOKAHEAD!$B$5:$B$604,H213)</f>
        <v>0</v>
      </c>
      <c r="K213" s="12" t="s">
        <v>768</v>
      </c>
    </row>
    <row r="214" customFormat="false" ht="15" hidden="false" customHeight="false" outlineLevel="0" collapsed="false">
      <c r="A214" s="16" t="s">
        <v>769</v>
      </c>
      <c r="B214" s="16" t="n">
        <v>4</v>
      </c>
      <c r="C214" s="17" t="s">
        <v>770</v>
      </c>
      <c r="D214" s="16" t="s">
        <v>161</v>
      </c>
      <c r="E214" s="16" t="s">
        <v>757</v>
      </c>
      <c r="F214" s="16" t="str">
        <f aca="false">INDEX($C$5:$C$436,MATCH(E214,$A$5:$A$436,0))</f>
        <v>Instalaciones Sanitarias</v>
      </c>
      <c r="G214" s="16" t="s">
        <v>764</v>
      </c>
      <c r="H214" s="16" t="s">
        <v>618</v>
      </c>
      <c r="I214" s="18" t="n">
        <f aca="false">COUNTIF(LOOKAHEAD!$B$5:$B$604,H214)</f>
        <v>0</v>
      </c>
      <c r="K214" s="12" t="s">
        <v>771</v>
      </c>
    </row>
    <row r="215" customFormat="false" ht="15" hidden="false" customHeight="false" outlineLevel="0" collapsed="false">
      <c r="A215" s="16" t="s">
        <v>772</v>
      </c>
      <c r="B215" s="16" t="n">
        <v>4</v>
      </c>
      <c r="C215" s="17" t="s">
        <v>773</v>
      </c>
      <c r="D215" s="16" t="s">
        <v>161</v>
      </c>
      <c r="E215" s="16" t="s">
        <v>757</v>
      </c>
      <c r="F215" s="16" t="str">
        <f aca="false">INDEX($C$5:$C$436,MATCH(E215,$A$5:$A$436,0))</f>
        <v>Instalaciones Sanitarias</v>
      </c>
      <c r="G215" s="16" t="s">
        <v>764</v>
      </c>
      <c r="H215" s="16" t="s">
        <v>621</v>
      </c>
      <c r="I215" s="18" t="n">
        <f aca="false">COUNTIF(LOOKAHEAD!$B$5:$B$604,H215)</f>
        <v>0</v>
      </c>
      <c r="K215" s="12" t="s">
        <v>774</v>
      </c>
    </row>
    <row r="216" customFormat="false" ht="15" hidden="false" customHeight="false" outlineLevel="0" collapsed="false">
      <c r="A216" s="16" t="s">
        <v>775</v>
      </c>
      <c r="B216" s="16" t="n">
        <v>4</v>
      </c>
      <c r="C216" s="17" t="s">
        <v>776</v>
      </c>
      <c r="D216" s="16" t="s">
        <v>161</v>
      </c>
      <c r="E216" s="16" t="s">
        <v>757</v>
      </c>
      <c r="F216" s="16" t="str">
        <f aca="false">INDEX($C$5:$C$436,MATCH(E216,$A$5:$A$436,0))</f>
        <v>Instalaciones Sanitarias</v>
      </c>
      <c r="G216" s="16" t="s">
        <v>764</v>
      </c>
      <c r="H216" s="16" t="s">
        <v>624</v>
      </c>
      <c r="I216" s="18" t="n">
        <f aca="false">COUNTIF(LOOKAHEAD!$B$5:$B$604,H216)</f>
        <v>0</v>
      </c>
      <c r="K216" s="12" t="s">
        <v>777</v>
      </c>
    </row>
    <row r="217" customFormat="false" ht="15" hidden="false" customHeight="false" outlineLevel="0" collapsed="false">
      <c r="A217" s="16" t="s">
        <v>778</v>
      </c>
      <c r="B217" s="16" t="n">
        <v>4</v>
      </c>
      <c r="C217" s="17" t="s">
        <v>779</v>
      </c>
      <c r="D217" s="16" t="s">
        <v>161</v>
      </c>
      <c r="E217" s="16" t="s">
        <v>757</v>
      </c>
      <c r="F217" s="16" t="str">
        <f aca="false">INDEX($C$5:$C$436,MATCH(E217,$A$5:$A$436,0))</f>
        <v>Instalaciones Sanitarias</v>
      </c>
      <c r="G217" s="16" t="s">
        <v>764</v>
      </c>
      <c r="H217" s="16" t="s">
        <v>627</v>
      </c>
      <c r="I217" s="18" t="n">
        <f aca="false">COUNTIF(LOOKAHEAD!$B$5:$B$604,H217)</f>
        <v>0</v>
      </c>
      <c r="K217" s="12" t="s">
        <v>780</v>
      </c>
    </row>
    <row r="218" customFormat="false" ht="15" hidden="false" customHeight="false" outlineLevel="0" collapsed="false">
      <c r="A218" s="16" t="s">
        <v>781</v>
      </c>
      <c r="B218" s="16" t="n">
        <v>4</v>
      </c>
      <c r="C218" s="17" t="s">
        <v>782</v>
      </c>
      <c r="D218" s="16" t="s">
        <v>161</v>
      </c>
      <c r="E218" s="16" t="s">
        <v>757</v>
      </c>
      <c r="F218" s="16" t="str">
        <f aca="false">INDEX($C$5:$C$436,MATCH(E218,$A$5:$A$436,0))</f>
        <v>Instalaciones Sanitarias</v>
      </c>
      <c r="G218" s="16" t="s">
        <v>764</v>
      </c>
      <c r="H218" s="16" t="s">
        <v>630</v>
      </c>
      <c r="I218" s="18" t="n">
        <f aca="false">COUNTIF(LOOKAHEAD!$B$5:$B$604,H218)</f>
        <v>0</v>
      </c>
      <c r="K218" s="12" t="s">
        <v>783</v>
      </c>
    </row>
    <row r="219" customFormat="false" ht="15" hidden="false" customHeight="false" outlineLevel="0" collapsed="false">
      <c r="A219" s="16" t="s">
        <v>784</v>
      </c>
      <c r="B219" s="16" t="n">
        <v>4</v>
      </c>
      <c r="C219" s="17" t="s">
        <v>785</v>
      </c>
      <c r="D219" s="16" t="s">
        <v>161</v>
      </c>
      <c r="E219" s="16" t="s">
        <v>757</v>
      </c>
      <c r="F219" s="16" t="str">
        <f aca="false">INDEX($C$5:$C$436,MATCH(E219,$A$5:$A$436,0))</f>
        <v>Instalaciones Sanitarias</v>
      </c>
      <c r="G219" s="16" t="s">
        <v>764</v>
      </c>
      <c r="H219" s="16" t="s">
        <v>633</v>
      </c>
      <c r="I219" s="18" t="n">
        <f aca="false">COUNTIF(LOOKAHEAD!$B$5:$B$604,H219)</f>
        <v>0</v>
      </c>
      <c r="K219" s="12" t="s">
        <v>786</v>
      </c>
    </row>
    <row r="220" customFormat="false" ht="15" hidden="false" customHeight="false" outlineLevel="0" collapsed="false">
      <c r="A220" s="13" t="s">
        <v>787</v>
      </c>
      <c r="B220" s="13" t="n">
        <v>3</v>
      </c>
      <c r="C220" s="15" t="s">
        <v>788</v>
      </c>
      <c r="D220" s="13" t="s">
        <v>151</v>
      </c>
      <c r="E220" s="13" t="s">
        <v>757</v>
      </c>
      <c r="F220" s="13" t="str">
        <f aca="false">INDEX($C$5:$C$436,MATCH(E220,$A$5:$A$436,0))</f>
        <v>Instalaciones Sanitarias</v>
      </c>
      <c r="G220" s="13" t="s">
        <v>761</v>
      </c>
      <c r="H220" s="13"/>
      <c r="I220" s="13"/>
      <c r="K220" s="12" t="s">
        <v>789</v>
      </c>
    </row>
    <row r="221" customFormat="false" ht="15" hidden="false" customHeight="false" outlineLevel="0" collapsed="false">
      <c r="A221" s="16" t="s">
        <v>790</v>
      </c>
      <c r="B221" s="16" t="n">
        <v>4</v>
      </c>
      <c r="C221" s="17" t="s">
        <v>791</v>
      </c>
      <c r="D221" s="16" t="s">
        <v>161</v>
      </c>
      <c r="E221" s="16" t="s">
        <v>757</v>
      </c>
      <c r="F221" s="16" t="str">
        <f aca="false">INDEX($C$5:$C$436,MATCH(E221,$A$5:$A$436,0))</f>
        <v>Instalaciones Sanitarias</v>
      </c>
      <c r="G221" s="16" t="s">
        <v>788</v>
      </c>
      <c r="H221" s="16" t="s">
        <v>636</v>
      </c>
      <c r="I221" s="18" t="n">
        <f aca="false">COUNTIF(LOOKAHEAD!$B$5:$B$604,H221)</f>
        <v>0</v>
      </c>
      <c r="K221" s="12" t="s">
        <v>792</v>
      </c>
    </row>
    <row r="222" customFormat="false" ht="15" hidden="false" customHeight="false" outlineLevel="0" collapsed="false">
      <c r="A222" s="16" t="s">
        <v>793</v>
      </c>
      <c r="B222" s="16" t="n">
        <v>4</v>
      </c>
      <c r="C222" s="17" t="s">
        <v>794</v>
      </c>
      <c r="D222" s="16" t="s">
        <v>161</v>
      </c>
      <c r="E222" s="16" t="s">
        <v>757</v>
      </c>
      <c r="F222" s="16" t="str">
        <f aca="false">INDEX($C$5:$C$436,MATCH(E222,$A$5:$A$436,0))</f>
        <v>Instalaciones Sanitarias</v>
      </c>
      <c r="G222" s="16" t="s">
        <v>788</v>
      </c>
      <c r="H222" s="16" t="s">
        <v>639</v>
      </c>
      <c r="I222" s="18" t="n">
        <f aca="false">COUNTIF(LOOKAHEAD!$B$5:$B$604,H222)</f>
        <v>0</v>
      </c>
      <c r="K222" s="12" t="s">
        <v>795</v>
      </c>
    </row>
    <row r="223" customFormat="false" ht="15" hidden="false" customHeight="false" outlineLevel="0" collapsed="false">
      <c r="A223" s="16" t="s">
        <v>796</v>
      </c>
      <c r="B223" s="16" t="n">
        <v>4</v>
      </c>
      <c r="C223" s="17" t="s">
        <v>797</v>
      </c>
      <c r="D223" s="16" t="s">
        <v>161</v>
      </c>
      <c r="E223" s="16" t="s">
        <v>757</v>
      </c>
      <c r="F223" s="16" t="str">
        <f aca="false">INDEX($C$5:$C$436,MATCH(E223,$A$5:$A$436,0))</f>
        <v>Instalaciones Sanitarias</v>
      </c>
      <c r="G223" s="16" t="s">
        <v>788</v>
      </c>
      <c r="H223" s="16" t="s">
        <v>642</v>
      </c>
      <c r="I223" s="18" t="n">
        <f aca="false">COUNTIF(LOOKAHEAD!$B$5:$B$604,H223)</f>
        <v>0</v>
      </c>
      <c r="K223" s="12" t="s">
        <v>798</v>
      </c>
    </row>
    <row r="224" customFormat="false" ht="15" hidden="false" customHeight="false" outlineLevel="0" collapsed="false">
      <c r="A224" s="16" t="s">
        <v>799</v>
      </c>
      <c r="B224" s="16" t="n">
        <v>4</v>
      </c>
      <c r="C224" s="17" t="s">
        <v>800</v>
      </c>
      <c r="D224" s="16" t="s">
        <v>161</v>
      </c>
      <c r="E224" s="16" t="s">
        <v>757</v>
      </c>
      <c r="F224" s="16" t="str">
        <f aca="false">INDEX($C$5:$C$436,MATCH(E224,$A$5:$A$436,0))</f>
        <v>Instalaciones Sanitarias</v>
      </c>
      <c r="G224" s="16" t="s">
        <v>788</v>
      </c>
      <c r="H224" s="16" t="s">
        <v>645</v>
      </c>
      <c r="I224" s="18" t="n">
        <f aca="false">COUNTIF(LOOKAHEAD!$B$5:$B$604,H224)</f>
        <v>0</v>
      </c>
      <c r="K224" s="12" t="s">
        <v>801</v>
      </c>
    </row>
    <row r="225" customFormat="false" ht="15" hidden="false" customHeight="false" outlineLevel="0" collapsed="false">
      <c r="A225" s="16" t="s">
        <v>802</v>
      </c>
      <c r="B225" s="16" t="n">
        <v>4</v>
      </c>
      <c r="C225" s="17" t="s">
        <v>803</v>
      </c>
      <c r="D225" s="16" t="s">
        <v>161</v>
      </c>
      <c r="E225" s="16" t="s">
        <v>757</v>
      </c>
      <c r="F225" s="16" t="str">
        <f aca="false">INDEX($C$5:$C$436,MATCH(E225,$A$5:$A$436,0))</f>
        <v>Instalaciones Sanitarias</v>
      </c>
      <c r="G225" s="16" t="s">
        <v>788</v>
      </c>
      <c r="H225" s="16" t="s">
        <v>648</v>
      </c>
      <c r="I225" s="18" t="n">
        <f aca="false">COUNTIF(LOOKAHEAD!$B$5:$B$604,H225)</f>
        <v>0</v>
      </c>
      <c r="K225" s="12" t="s">
        <v>804</v>
      </c>
    </row>
    <row r="226" customFormat="false" ht="15" hidden="false" customHeight="false" outlineLevel="0" collapsed="false">
      <c r="A226" s="13" t="s">
        <v>805</v>
      </c>
      <c r="B226" s="13" t="n">
        <v>3</v>
      </c>
      <c r="C226" s="15" t="s">
        <v>806</v>
      </c>
      <c r="D226" s="13" t="s">
        <v>151</v>
      </c>
      <c r="E226" s="13" t="s">
        <v>757</v>
      </c>
      <c r="F226" s="13" t="str">
        <f aca="false">INDEX($C$5:$C$436,MATCH(E226,$A$5:$A$436,0))</f>
        <v>Instalaciones Sanitarias</v>
      </c>
      <c r="G226" s="13" t="s">
        <v>761</v>
      </c>
      <c r="H226" s="13"/>
      <c r="I226" s="13"/>
      <c r="K226" s="12" t="s">
        <v>807</v>
      </c>
    </row>
    <row r="227" customFormat="false" ht="15" hidden="false" customHeight="false" outlineLevel="0" collapsed="false">
      <c r="A227" s="16" t="s">
        <v>808</v>
      </c>
      <c r="B227" s="16" t="n">
        <v>4</v>
      </c>
      <c r="C227" s="17" t="s">
        <v>809</v>
      </c>
      <c r="D227" s="16" t="s">
        <v>161</v>
      </c>
      <c r="E227" s="16" t="s">
        <v>757</v>
      </c>
      <c r="F227" s="16" t="str">
        <f aca="false">INDEX($C$5:$C$436,MATCH(E227,$A$5:$A$436,0))</f>
        <v>Instalaciones Sanitarias</v>
      </c>
      <c r="G227" s="16" t="s">
        <v>806</v>
      </c>
      <c r="H227" s="16" t="s">
        <v>651</v>
      </c>
      <c r="I227" s="18" t="n">
        <f aca="false">COUNTIF(LOOKAHEAD!$B$5:$B$604,H227)</f>
        <v>0</v>
      </c>
      <c r="K227" s="12" t="s">
        <v>810</v>
      </c>
    </row>
    <row r="228" customFormat="false" ht="15" hidden="false" customHeight="false" outlineLevel="0" collapsed="false">
      <c r="A228" s="16" t="s">
        <v>811</v>
      </c>
      <c r="B228" s="16" t="n">
        <v>4</v>
      </c>
      <c r="C228" s="17" t="s">
        <v>812</v>
      </c>
      <c r="D228" s="16" t="s">
        <v>161</v>
      </c>
      <c r="E228" s="16" t="s">
        <v>757</v>
      </c>
      <c r="F228" s="16" t="str">
        <f aca="false">INDEX($C$5:$C$436,MATCH(E228,$A$5:$A$436,0))</f>
        <v>Instalaciones Sanitarias</v>
      </c>
      <c r="G228" s="16" t="s">
        <v>806</v>
      </c>
      <c r="H228" s="16" t="s">
        <v>654</v>
      </c>
      <c r="I228" s="18" t="n">
        <f aca="false">COUNTIF(LOOKAHEAD!$B$5:$B$604,H228)</f>
        <v>0</v>
      </c>
      <c r="K228" s="12" t="s">
        <v>813</v>
      </c>
    </row>
    <row r="229" customFormat="false" ht="15" hidden="false" customHeight="false" outlineLevel="0" collapsed="false">
      <c r="A229" s="16" t="s">
        <v>814</v>
      </c>
      <c r="B229" s="16" t="n">
        <v>4</v>
      </c>
      <c r="C229" s="17" t="s">
        <v>815</v>
      </c>
      <c r="D229" s="16" t="s">
        <v>161</v>
      </c>
      <c r="E229" s="16" t="s">
        <v>757</v>
      </c>
      <c r="F229" s="16" t="str">
        <f aca="false">INDEX($C$5:$C$436,MATCH(E229,$A$5:$A$436,0))</f>
        <v>Instalaciones Sanitarias</v>
      </c>
      <c r="G229" s="16" t="s">
        <v>806</v>
      </c>
      <c r="H229" s="16" t="s">
        <v>657</v>
      </c>
      <c r="I229" s="18" t="n">
        <f aca="false">COUNTIF(LOOKAHEAD!$B$5:$B$604,H229)</f>
        <v>0</v>
      </c>
      <c r="K229" s="12" t="s">
        <v>816</v>
      </c>
    </row>
    <row r="230" customFormat="false" ht="15" hidden="false" customHeight="false" outlineLevel="0" collapsed="false">
      <c r="A230" s="16" t="s">
        <v>817</v>
      </c>
      <c r="B230" s="16" t="n">
        <v>4</v>
      </c>
      <c r="C230" s="17" t="s">
        <v>818</v>
      </c>
      <c r="D230" s="16" t="s">
        <v>161</v>
      </c>
      <c r="E230" s="16" t="s">
        <v>757</v>
      </c>
      <c r="F230" s="16" t="str">
        <f aca="false">INDEX($C$5:$C$436,MATCH(E230,$A$5:$A$436,0))</f>
        <v>Instalaciones Sanitarias</v>
      </c>
      <c r="G230" s="16" t="s">
        <v>806</v>
      </c>
      <c r="H230" s="16" t="s">
        <v>660</v>
      </c>
      <c r="I230" s="18" t="n">
        <f aca="false">COUNTIF(LOOKAHEAD!$B$5:$B$604,H230)</f>
        <v>0</v>
      </c>
      <c r="K230" s="12" t="s">
        <v>819</v>
      </c>
    </row>
    <row r="231" customFormat="false" ht="15" hidden="false" customHeight="false" outlineLevel="0" collapsed="false">
      <c r="A231" s="16" t="s">
        <v>820</v>
      </c>
      <c r="B231" s="16" t="n">
        <v>4</v>
      </c>
      <c r="C231" s="17" t="s">
        <v>821</v>
      </c>
      <c r="D231" s="16" t="s">
        <v>161</v>
      </c>
      <c r="E231" s="16" t="s">
        <v>757</v>
      </c>
      <c r="F231" s="16" t="str">
        <f aca="false">INDEX($C$5:$C$436,MATCH(E231,$A$5:$A$436,0))</f>
        <v>Instalaciones Sanitarias</v>
      </c>
      <c r="G231" s="16" t="s">
        <v>806</v>
      </c>
      <c r="H231" s="16" t="s">
        <v>663</v>
      </c>
      <c r="I231" s="18" t="n">
        <f aca="false">COUNTIF(LOOKAHEAD!$B$5:$B$604,H231)</f>
        <v>0</v>
      </c>
      <c r="K231" s="12" t="s">
        <v>822</v>
      </c>
    </row>
    <row r="232" customFormat="false" ht="15" hidden="false" customHeight="false" outlineLevel="0" collapsed="false">
      <c r="A232" s="16" t="s">
        <v>823</v>
      </c>
      <c r="B232" s="16" t="n">
        <v>4</v>
      </c>
      <c r="C232" s="17" t="s">
        <v>824</v>
      </c>
      <c r="D232" s="16" t="s">
        <v>161</v>
      </c>
      <c r="E232" s="16" t="s">
        <v>757</v>
      </c>
      <c r="F232" s="16" t="str">
        <f aca="false">INDEX($C$5:$C$436,MATCH(E232,$A$5:$A$436,0))</f>
        <v>Instalaciones Sanitarias</v>
      </c>
      <c r="G232" s="16" t="s">
        <v>806</v>
      </c>
      <c r="H232" s="16" t="s">
        <v>666</v>
      </c>
      <c r="I232" s="18" t="n">
        <f aca="false">COUNTIF(LOOKAHEAD!$B$5:$B$604,H232)</f>
        <v>0</v>
      </c>
      <c r="K232" s="12" t="s">
        <v>825</v>
      </c>
    </row>
    <row r="233" customFormat="false" ht="15" hidden="false" customHeight="false" outlineLevel="0" collapsed="false">
      <c r="A233" s="13" t="s">
        <v>826</v>
      </c>
      <c r="B233" s="13" t="n">
        <v>3</v>
      </c>
      <c r="C233" s="15" t="s">
        <v>827</v>
      </c>
      <c r="D233" s="13" t="s">
        <v>151</v>
      </c>
      <c r="E233" s="13" t="s">
        <v>757</v>
      </c>
      <c r="F233" s="13" t="str">
        <f aca="false">INDEX($C$5:$C$436,MATCH(E233,$A$5:$A$436,0))</f>
        <v>Instalaciones Sanitarias</v>
      </c>
      <c r="G233" s="13" t="s">
        <v>761</v>
      </c>
      <c r="H233" s="13"/>
      <c r="I233" s="13"/>
      <c r="K233" s="12" t="s">
        <v>828</v>
      </c>
    </row>
    <row r="234" customFormat="false" ht="15" hidden="false" customHeight="false" outlineLevel="0" collapsed="false">
      <c r="A234" s="16" t="s">
        <v>829</v>
      </c>
      <c r="B234" s="16" t="n">
        <v>4</v>
      </c>
      <c r="C234" s="17" t="s">
        <v>809</v>
      </c>
      <c r="D234" s="16" t="s">
        <v>161</v>
      </c>
      <c r="E234" s="16" t="s">
        <v>757</v>
      </c>
      <c r="F234" s="16" t="str">
        <f aca="false">INDEX($C$5:$C$436,MATCH(E234,$A$5:$A$436,0))</f>
        <v>Instalaciones Sanitarias</v>
      </c>
      <c r="G234" s="16" t="s">
        <v>827</v>
      </c>
      <c r="H234" s="16" t="s">
        <v>669</v>
      </c>
      <c r="I234" s="18" t="n">
        <f aca="false">COUNTIF(LOOKAHEAD!$B$5:$B$604,H234)</f>
        <v>0</v>
      </c>
      <c r="K234" s="12" t="s">
        <v>830</v>
      </c>
    </row>
    <row r="235" customFormat="false" ht="15" hidden="false" customHeight="false" outlineLevel="0" collapsed="false">
      <c r="A235" s="16" t="s">
        <v>831</v>
      </c>
      <c r="B235" s="16" t="n">
        <v>4</v>
      </c>
      <c r="C235" s="17" t="s">
        <v>832</v>
      </c>
      <c r="D235" s="16" t="s">
        <v>161</v>
      </c>
      <c r="E235" s="16" t="s">
        <v>757</v>
      </c>
      <c r="F235" s="16" t="str">
        <f aca="false">INDEX($C$5:$C$436,MATCH(E235,$A$5:$A$436,0))</f>
        <v>Instalaciones Sanitarias</v>
      </c>
      <c r="G235" s="16" t="s">
        <v>827</v>
      </c>
      <c r="H235" s="16" t="s">
        <v>672</v>
      </c>
      <c r="I235" s="18" t="n">
        <f aca="false">COUNTIF(LOOKAHEAD!$B$5:$B$604,H235)</f>
        <v>0</v>
      </c>
      <c r="K235" s="12" t="s">
        <v>833</v>
      </c>
    </row>
    <row r="236" customFormat="false" ht="15" hidden="false" customHeight="false" outlineLevel="0" collapsed="false">
      <c r="A236" s="16" t="s">
        <v>834</v>
      </c>
      <c r="B236" s="16" t="n">
        <v>4</v>
      </c>
      <c r="C236" s="17" t="s">
        <v>835</v>
      </c>
      <c r="D236" s="16" t="s">
        <v>161</v>
      </c>
      <c r="E236" s="16" t="s">
        <v>757</v>
      </c>
      <c r="F236" s="16" t="str">
        <f aca="false">INDEX($C$5:$C$436,MATCH(E236,$A$5:$A$436,0))</f>
        <v>Instalaciones Sanitarias</v>
      </c>
      <c r="G236" s="16" t="s">
        <v>827</v>
      </c>
      <c r="H236" s="16" t="s">
        <v>675</v>
      </c>
      <c r="I236" s="18" t="n">
        <f aca="false">COUNTIF(LOOKAHEAD!$B$5:$B$604,H236)</f>
        <v>0</v>
      </c>
      <c r="K236" s="12" t="s">
        <v>836</v>
      </c>
    </row>
    <row r="237" customFormat="false" ht="15" hidden="false" customHeight="false" outlineLevel="0" collapsed="false">
      <c r="A237" s="16" t="s">
        <v>837</v>
      </c>
      <c r="B237" s="16" t="n">
        <v>4</v>
      </c>
      <c r="C237" s="17" t="s">
        <v>838</v>
      </c>
      <c r="D237" s="16" t="s">
        <v>161</v>
      </c>
      <c r="E237" s="16" t="s">
        <v>757</v>
      </c>
      <c r="F237" s="16" t="str">
        <f aca="false">INDEX($C$5:$C$436,MATCH(E237,$A$5:$A$436,0))</f>
        <v>Instalaciones Sanitarias</v>
      </c>
      <c r="G237" s="16" t="s">
        <v>827</v>
      </c>
      <c r="H237" s="16" t="s">
        <v>678</v>
      </c>
      <c r="I237" s="18" t="n">
        <f aca="false">COUNTIF(LOOKAHEAD!$B$5:$B$604,H237)</f>
        <v>0</v>
      </c>
      <c r="K237" s="12" t="s">
        <v>839</v>
      </c>
    </row>
    <row r="238" customFormat="false" ht="15" hidden="false" customHeight="false" outlineLevel="0" collapsed="false">
      <c r="A238" s="16" t="s">
        <v>840</v>
      </c>
      <c r="B238" s="16" t="n">
        <v>4</v>
      </c>
      <c r="C238" s="17" t="s">
        <v>841</v>
      </c>
      <c r="D238" s="16" t="s">
        <v>161</v>
      </c>
      <c r="E238" s="16" t="s">
        <v>757</v>
      </c>
      <c r="F238" s="16" t="str">
        <f aca="false">INDEX($C$5:$C$436,MATCH(E238,$A$5:$A$436,0))</f>
        <v>Instalaciones Sanitarias</v>
      </c>
      <c r="G238" s="16" t="s">
        <v>827</v>
      </c>
      <c r="H238" s="16" t="s">
        <v>681</v>
      </c>
      <c r="I238" s="18" t="n">
        <f aca="false">COUNTIF(LOOKAHEAD!$B$5:$B$604,H238)</f>
        <v>0</v>
      </c>
      <c r="K238" s="12" t="s">
        <v>842</v>
      </c>
    </row>
    <row r="239" customFormat="false" ht="15" hidden="false" customHeight="false" outlineLevel="0" collapsed="false">
      <c r="A239" s="16" t="s">
        <v>843</v>
      </c>
      <c r="B239" s="16" t="n">
        <v>4</v>
      </c>
      <c r="C239" s="17" t="s">
        <v>844</v>
      </c>
      <c r="D239" s="16" t="s">
        <v>161</v>
      </c>
      <c r="E239" s="16" t="s">
        <v>757</v>
      </c>
      <c r="F239" s="16" t="str">
        <f aca="false">INDEX($C$5:$C$436,MATCH(E239,$A$5:$A$436,0))</f>
        <v>Instalaciones Sanitarias</v>
      </c>
      <c r="G239" s="16" t="s">
        <v>827</v>
      </c>
      <c r="H239" s="16" t="s">
        <v>684</v>
      </c>
      <c r="I239" s="18" t="n">
        <f aca="false">COUNTIF(LOOKAHEAD!$B$5:$B$604,H239)</f>
        <v>0</v>
      </c>
      <c r="K239" s="12" t="s">
        <v>845</v>
      </c>
    </row>
    <row r="240" customFormat="false" ht="15" hidden="false" customHeight="false" outlineLevel="0" collapsed="false">
      <c r="A240" s="13" t="s">
        <v>846</v>
      </c>
      <c r="B240" s="13" t="n">
        <v>3</v>
      </c>
      <c r="C240" s="15" t="s">
        <v>847</v>
      </c>
      <c r="D240" s="13" t="s">
        <v>151</v>
      </c>
      <c r="E240" s="13" t="s">
        <v>757</v>
      </c>
      <c r="F240" s="13" t="str">
        <f aca="false">INDEX($C$5:$C$436,MATCH(E240,$A$5:$A$436,0))</f>
        <v>Instalaciones Sanitarias</v>
      </c>
      <c r="G240" s="13" t="s">
        <v>761</v>
      </c>
      <c r="H240" s="13"/>
      <c r="I240" s="13"/>
      <c r="K240" s="12" t="s">
        <v>848</v>
      </c>
    </row>
    <row r="241" customFormat="false" ht="15" hidden="false" customHeight="false" outlineLevel="0" collapsed="false">
      <c r="A241" s="16" t="s">
        <v>849</v>
      </c>
      <c r="B241" s="16" t="n">
        <v>4</v>
      </c>
      <c r="C241" s="17" t="s">
        <v>850</v>
      </c>
      <c r="D241" s="16" t="s">
        <v>161</v>
      </c>
      <c r="E241" s="16" t="s">
        <v>757</v>
      </c>
      <c r="F241" s="16" t="str">
        <f aca="false">INDEX($C$5:$C$436,MATCH(E241,$A$5:$A$436,0))</f>
        <v>Instalaciones Sanitarias</v>
      </c>
      <c r="G241" s="16" t="s">
        <v>847</v>
      </c>
      <c r="H241" s="16" t="s">
        <v>687</v>
      </c>
      <c r="I241" s="18" t="n">
        <f aca="false">COUNTIF(LOOKAHEAD!$B$5:$B$604,H241)</f>
        <v>0</v>
      </c>
      <c r="K241" s="12" t="s">
        <v>851</v>
      </c>
    </row>
    <row r="242" customFormat="false" ht="15" hidden="false" customHeight="false" outlineLevel="0" collapsed="false">
      <c r="A242" s="16" t="s">
        <v>852</v>
      </c>
      <c r="B242" s="16" t="n">
        <v>4</v>
      </c>
      <c r="C242" s="17" t="s">
        <v>853</v>
      </c>
      <c r="D242" s="16" t="s">
        <v>161</v>
      </c>
      <c r="E242" s="16" t="s">
        <v>757</v>
      </c>
      <c r="F242" s="16" t="str">
        <f aca="false">INDEX($C$5:$C$436,MATCH(E242,$A$5:$A$436,0))</f>
        <v>Instalaciones Sanitarias</v>
      </c>
      <c r="G242" s="16" t="s">
        <v>847</v>
      </c>
      <c r="H242" s="16" t="s">
        <v>690</v>
      </c>
      <c r="I242" s="18" t="n">
        <f aca="false">COUNTIF(LOOKAHEAD!$B$5:$B$604,H242)</f>
        <v>0</v>
      </c>
      <c r="K242" s="12" t="s">
        <v>854</v>
      </c>
    </row>
    <row r="243" customFormat="false" ht="15" hidden="false" customHeight="false" outlineLevel="0" collapsed="false">
      <c r="A243" s="16" t="s">
        <v>855</v>
      </c>
      <c r="B243" s="16" t="n">
        <v>4</v>
      </c>
      <c r="C243" s="17" t="s">
        <v>856</v>
      </c>
      <c r="D243" s="16" t="s">
        <v>161</v>
      </c>
      <c r="E243" s="16" t="s">
        <v>757</v>
      </c>
      <c r="F243" s="16" t="str">
        <f aca="false">INDEX($C$5:$C$436,MATCH(E243,$A$5:$A$436,0))</f>
        <v>Instalaciones Sanitarias</v>
      </c>
      <c r="G243" s="16" t="s">
        <v>847</v>
      </c>
      <c r="H243" s="16" t="s">
        <v>693</v>
      </c>
      <c r="I243" s="18" t="n">
        <f aca="false">COUNTIF(LOOKAHEAD!$B$5:$B$604,H243)</f>
        <v>0</v>
      </c>
      <c r="K243" s="12" t="s">
        <v>857</v>
      </c>
    </row>
    <row r="244" customFormat="false" ht="15" hidden="false" customHeight="false" outlineLevel="0" collapsed="false">
      <c r="A244" s="13" t="s">
        <v>858</v>
      </c>
      <c r="B244" s="13" t="n">
        <v>3</v>
      </c>
      <c r="C244" s="15" t="s">
        <v>859</v>
      </c>
      <c r="D244" s="13" t="s">
        <v>151</v>
      </c>
      <c r="E244" s="13" t="s">
        <v>757</v>
      </c>
      <c r="F244" s="13" t="str">
        <f aca="false">INDEX($C$5:$C$436,MATCH(E244,$A$5:$A$436,0))</f>
        <v>Instalaciones Sanitarias</v>
      </c>
      <c r="G244" s="13" t="s">
        <v>761</v>
      </c>
      <c r="H244" s="13"/>
      <c r="I244" s="13"/>
      <c r="K244" s="12" t="s">
        <v>860</v>
      </c>
    </row>
    <row r="245" customFormat="false" ht="15" hidden="false" customHeight="false" outlineLevel="0" collapsed="false">
      <c r="A245" s="16" t="s">
        <v>861</v>
      </c>
      <c r="B245" s="16" t="n">
        <v>4</v>
      </c>
      <c r="C245" s="17" t="s">
        <v>862</v>
      </c>
      <c r="D245" s="16" t="s">
        <v>161</v>
      </c>
      <c r="E245" s="16" t="s">
        <v>757</v>
      </c>
      <c r="F245" s="16" t="str">
        <f aca="false">INDEX($C$5:$C$436,MATCH(E245,$A$5:$A$436,0))</f>
        <v>Instalaciones Sanitarias</v>
      </c>
      <c r="G245" s="16" t="s">
        <v>859</v>
      </c>
      <c r="H245" s="16" t="s">
        <v>696</v>
      </c>
      <c r="I245" s="18" t="n">
        <f aca="false">COUNTIF(LOOKAHEAD!$B$5:$B$604,H245)</f>
        <v>0</v>
      </c>
      <c r="K245" s="12" t="s">
        <v>863</v>
      </c>
    </row>
    <row r="246" customFormat="false" ht="15" hidden="false" customHeight="false" outlineLevel="0" collapsed="false">
      <c r="A246" s="16" t="s">
        <v>864</v>
      </c>
      <c r="B246" s="16" t="n">
        <v>4</v>
      </c>
      <c r="C246" s="17" t="s">
        <v>865</v>
      </c>
      <c r="D246" s="16" t="s">
        <v>161</v>
      </c>
      <c r="E246" s="16" t="s">
        <v>757</v>
      </c>
      <c r="F246" s="16" t="str">
        <f aca="false">INDEX($C$5:$C$436,MATCH(E246,$A$5:$A$436,0))</f>
        <v>Instalaciones Sanitarias</v>
      </c>
      <c r="G246" s="16" t="s">
        <v>859</v>
      </c>
      <c r="H246" s="16" t="s">
        <v>699</v>
      </c>
      <c r="I246" s="18" t="n">
        <f aca="false">COUNTIF(LOOKAHEAD!$B$5:$B$604,H246)</f>
        <v>0</v>
      </c>
      <c r="K246" s="12" t="s">
        <v>866</v>
      </c>
    </row>
    <row r="247" customFormat="false" ht="15" hidden="false" customHeight="false" outlineLevel="0" collapsed="false">
      <c r="A247" s="16" t="s">
        <v>867</v>
      </c>
      <c r="B247" s="16" t="n">
        <v>4</v>
      </c>
      <c r="C247" s="17" t="s">
        <v>868</v>
      </c>
      <c r="D247" s="16" t="s">
        <v>161</v>
      </c>
      <c r="E247" s="16" t="s">
        <v>757</v>
      </c>
      <c r="F247" s="16" t="str">
        <f aca="false">INDEX($C$5:$C$436,MATCH(E247,$A$5:$A$436,0))</f>
        <v>Instalaciones Sanitarias</v>
      </c>
      <c r="G247" s="16" t="s">
        <v>859</v>
      </c>
      <c r="H247" s="16" t="s">
        <v>702</v>
      </c>
      <c r="I247" s="18" t="n">
        <f aca="false">COUNTIF(LOOKAHEAD!$B$5:$B$604,H247)</f>
        <v>0</v>
      </c>
      <c r="K247" s="12" t="s">
        <v>869</v>
      </c>
    </row>
    <row r="248" customFormat="false" ht="15" hidden="false" customHeight="false" outlineLevel="0" collapsed="false">
      <c r="A248" s="16" t="s">
        <v>870</v>
      </c>
      <c r="B248" s="16" t="n">
        <v>4</v>
      </c>
      <c r="C248" s="17" t="s">
        <v>871</v>
      </c>
      <c r="D248" s="16" t="s">
        <v>161</v>
      </c>
      <c r="E248" s="16" t="s">
        <v>757</v>
      </c>
      <c r="F248" s="16" t="str">
        <f aca="false">INDEX($C$5:$C$436,MATCH(E248,$A$5:$A$436,0))</f>
        <v>Instalaciones Sanitarias</v>
      </c>
      <c r="G248" s="16" t="s">
        <v>859</v>
      </c>
      <c r="H248" s="16" t="s">
        <v>705</v>
      </c>
      <c r="I248" s="18" t="n">
        <f aca="false">COUNTIF(LOOKAHEAD!$B$5:$B$604,H248)</f>
        <v>0</v>
      </c>
      <c r="K248" s="12" t="s">
        <v>872</v>
      </c>
    </row>
    <row r="249" customFormat="false" ht="15" hidden="false" customHeight="false" outlineLevel="0" collapsed="false">
      <c r="A249" s="16" t="s">
        <v>873</v>
      </c>
      <c r="B249" s="16" t="n">
        <v>4</v>
      </c>
      <c r="C249" s="17" t="s">
        <v>874</v>
      </c>
      <c r="D249" s="16" t="s">
        <v>161</v>
      </c>
      <c r="E249" s="16" t="s">
        <v>757</v>
      </c>
      <c r="F249" s="16" t="str">
        <f aca="false">INDEX($C$5:$C$436,MATCH(E249,$A$5:$A$436,0))</f>
        <v>Instalaciones Sanitarias</v>
      </c>
      <c r="G249" s="16" t="s">
        <v>859</v>
      </c>
      <c r="H249" s="16" t="s">
        <v>708</v>
      </c>
      <c r="I249" s="18" t="n">
        <f aca="false">COUNTIF(LOOKAHEAD!$B$5:$B$604,H249)</f>
        <v>0</v>
      </c>
      <c r="K249" s="12" t="s">
        <v>875</v>
      </c>
    </row>
    <row r="250" customFormat="false" ht="15" hidden="false" customHeight="false" outlineLevel="0" collapsed="false">
      <c r="A250" s="16" t="s">
        <v>876</v>
      </c>
      <c r="B250" s="16" t="n">
        <v>4</v>
      </c>
      <c r="C250" s="17" t="s">
        <v>877</v>
      </c>
      <c r="D250" s="16" t="s">
        <v>161</v>
      </c>
      <c r="E250" s="16" t="s">
        <v>757</v>
      </c>
      <c r="F250" s="16" t="str">
        <f aca="false">INDEX($C$5:$C$436,MATCH(E250,$A$5:$A$436,0))</f>
        <v>Instalaciones Sanitarias</v>
      </c>
      <c r="G250" s="16" t="s">
        <v>859</v>
      </c>
      <c r="H250" s="16" t="s">
        <v>711</v>
      </c>
      <c r="I250" s="18" t="n">
        <f aca="false">COUNTIF(LOOKAHEAD!$B$5:$B$604,H250)</f>
        <v>0</v>
      </c>
      <c r="K250" s="12" t="s">
        <v>878</v>
      </c>
    </row>
    <row r="251" customFormat="false" ht="15" hidden="false" customHeight="false" outlineLevel="0" collapsed="false">
      <c r="A251" s="16" t="s">
        <v>879</v>
      </c>
      <c r="B251" s="16" t="n">
        <v>4</v>
      </c>
      <c r="C251" s="17" t="s">
        <v>880</v>
      </c>
      <c r="D251" s="16" t="s">
        <v>161</v>
      </c>
      <c r="E251" s="16" t="s">
        <v>757</v>
      </c>
      <c r="F251" s="16" t="str">
        <f aca="false">INDEX($C$5:$C$436,MATCH(E251,$A$5:$A$436,0))</f>
        <v>Instalaciones Sanitarias</v>
      </c>
      <c r="G251" s="16" t="s">
        <v>859</v>
      </c>
      <c r="H251" s="16" t="s">
        <v>714</v>
      </c>
      <c r="I251" s="18" t="n">
        <f aca="false">COUNTIF(LOOKAHEAD!$B$5:$B$604,H251)</f>
        <v>0</v>
      </c>
      <c r="K251" s="12" t="s">
        <v>881</v>
      </c>
    </row>
    <row r="252" customFormat="false" ht="15" hidden="false" customHeight="false" outlineLevel="0" collapsed="false">
      <c r="A252" s="10" t="s">
        <v>882</v>
      </c>
      <c r="B252" s="10" t="n">
        <v>1</v>
      </c>
      <c r="C252" s="11" t="s">
        <v>883</v>
      </c>
      <c r="D252" s="10" t="s">
        <v>151</v>
      </c>
      <c r="E252" s="10" t="s">
        <v>882</v>
      </c>
      <c r="F252" s="10" t="str">
        <f aca="false">INDEX($C$5:$C$436,MATCH(E252,$A$5:$A$436,0))</f>
        <v>Instalaciones Eléctricas y Mecánicas</v>
      </c>
      <c r="G252" s="10"/>
      <c r="H252" s="10"/>
      <c r="I252" s="10"/>
      <c r="K252" s="12" t="s">
        <v>884</v>
      </c>
    </row>
    <row r="253" customFormat="false" ht="15" hidden="false" customHeight="false" outlineLevel="0" collapsed="false">
      <c r="A253" s="13" t="s">
        <v>885</v>
      </c>
      <c r="B253" s="13" t="n">
        <v>2</v>
      </c>
      <c r="C253" s="14" t="s">
        <v>886</v>
      </c>
      <c r="D253" s="13" t="s">
        <v>151</v>
      </c>
      <c r="E253" s="13" t="s">
        <v>882</v>
      </c>
      <c r="F253" s="13" t="str">
        <f aca="false">INDEX($C$5:$C$436,MATCH(E253,$A$5:$A$436,0))</f>
        <v>Instalaciones Eléctricas y Mecánicas</v>
      </c>
      <c r="G253" s="13" t="s">
        <v>883</v>
      </c>
      <c r="H253" s="13"/>
      <c r="I253" s="13"/>
      <c r="K253" s="12" t="s">
        <v>887</v>
      </c>
    </row>
    <row r="254" customFormat="false" ht="15" hidden="false" customHeight="false" outlineLevel="0" collapsed="false">
      <c r="A254" s="13" t="s">
        <v>888</v>
      </c>
      <c r="B254" s="13" t="n">
        <v>3</v>
      </c>
      <c r="C254" s="15" t="s">
        <v>455</v>
      </c>
      <c r="D254" s="13" t="s">
        <v>151</v>
      </c>
      <c r="E254" s="13" t="s">
        <v>882</v>
      </c>
      <c r="F254" s="13" t="str">
        <f aca="false">INDEX($C$5:$C$436,MATCH(E254,$A$5:$A$436,0))</f>
        <v>Instalaciones Eléctricas y Mecánicas</v>
      </c>
      <c r="G254" s="13" t="s">
        <v>886</v>
      </c>
      <c r="H254" s="13"/>
      <c r="I254" s="13"/>
      <c r="K254" s="12" t="s">
        <v>889</v>
      </c>
    </row>
    <row r="255" customFormat="false" ht="15" hidden="false" customHeight="false" outlineLevel="0" collapsed="false">
      <c r="A255" s="16" t="s">
        <v>890</v>
      </c>
      <c r="B255" s="16" t="n">
        <v>4</v>
      </c>
      <c r="C255" s="17" t="s">
        <v>891</v>
      </c>
      <c r="D255" s="16" t="s">
        <v>161</v>
      </c>
      <c r="E255" s="16" t="s">
        <v>882</v>
      </c>
      <c r="F255" s="16" t="str">
        <f aca="false">INDEX($C$5:$C$436,MATCH(E255,$A$5:$A$436,0))</f>
        <v>Instalaciones Eléctricas y Mecánicas</v>
      </c>
      <c r="G255" s="16" t="s">
        <v>455</v>
      </c>
      <c r="H255" s="16" t="s">
        <v>717</v>
      </c>
      <c r="I255" s="18" t="n">
        <f aca="false">COUNTIF(LOOKAHEAD!$B$5:$B$604,H255)</f>
        <v>0</v>
      </c>
      <c r="K255" s="12" t="s">
        <v>892</v>
      </c>
    </row>
    <row r="256" customFormat="false" ht="15" hidden="false" customHeight="false" outlineLevel="0" collapsed="false">
      <c r="A256" s="13" t="s">
        <v>893</v>
      </c>
      <c r="B256" s="13" t="n">
        <v>3</v>
      </c>
      <c r="C256" s="15" t="s">
        <v>894</v>
      </c>
      <c r="D256" s="13" t="s">
        <v>151</v>
      </c>
      <c r="E256" s="13" t="s">
        <v>882</v>
      </c>
      <c r="F256" s="13" t="str">
        <f aca="false">INDEX($C$5:$C$436,MATCH(E256,$A$5:$A$436,0))</f>
        <v>Instalaciones Eléctricas y Mecánicas</v>
      </c>
      <c r="G256" s="13" t="s">
        <v>886</v>
      </c>
      <c r="H256" s="13"/>
      <c r="I256" s="13"/>
      <c r="K256" s="12" t="s">
        <v>895</v>
      </c>
    </row>
    <row r="257" customFormat="false" ht="15" hidden="false" customHeight="false" outlineLevel="0" collapsed="false">
      <c r="A257" s="16" t="s">
        <v>896</v>
      </c>
      <c r="B257" s="16" t="n">
        <v>4</v>
      </c>
      <c r="C257" s="17" t="s">
        <v>897</v>
      </c>
      <c r="D257" s="16" t="s">
        <v>161</v>
      </c>
      <c r="E257" s="16" t="s">
        <v>882</v>
      </c>
      <c r="F257" s="16" t="str">
        <f aca="false">INDEX($C$5:$C$436,MATCH(E257,$A$5:$A$436,0))</f>
        <v>Instalaciones Eléctricas y Mecánicas</v>
      </c>
      <c r="G257" s="16" t="s">
        <v>894</v>
      </c>
      <c r="H257" s="16" t="s">
        <v>720</v>
      </c>
      <c r="I257" s="18" t="n">
        <f aca="false">COUNTIF(LOOKAHEAD!$B$5:$B$604,H257)</f>
        <v>0</v>
      </c>
      <c r="K257" s="12" t="s">
        <v>898</v>
      </c>
    </row>
    <row r="258" customFormat="false" ht="15" hidden="false" customHeight="false" outlineLevel="0" collapsed="false">
      <c r="A258" s="16" t="s">
        <v>899</v>
      </c>
      <c r="B258" s="16" t="n">
        <v>4</v>
      </c>
      <c r="C258" s="17" t="s">
        <v>900</v>
      </c>
      <c r="D258" s="16" t="s">
        <v>161</v>
      </c>
      <c r="E258" s="16" t="s">
        <v>882</v>
      </c>
      <c r="F258" s="16" t="str">
        <f aca="false">INDEX($C$5:$C$436,MATCH(E258,$A$5:$A$436,0))</f>
        <v>Instalaciones Eléctricas y Mecánicas</v>
      </c>
      <c r="G258" s="16" t="s">
        <v>894</v>
      </c>
      <c r="H258" s="16" t="s">
        <v>723</v>
      </c>
      <c r="I258" s="18" t="n">
        <f aca="false">COUNTIF(LOOKAHEAD!$B$5:$B$604,H258)</f>
        <v>0</v>
      </c>
      <c r="K258" s="12" t="s">
        <v>901</v>
      </c>
    </row>
    <row r="259" customFormat="false" ht="15" hidden="false" customHeight="false" outlineLevel="0" collapsed="false">
      <c r="A259" s="16" t="s">
        <v>902</v>
      </c>
      <c r="B259" s="16" t="n">
        <v>4</v>
      </c>
      <c r="C259" s="17" t="s">
        <v>903</v>
      </c>
      <c r="D259" s="16" t="s">
        <v>161</v>
      </c>
      <c r="E259" s="16" t="s">
        <v>882</v>
      </c>
      <c r="F259" s="16" t="str">
        <f aca="false">INDEX($C$5:$C$436,MATCH(E259,$A$5:$A$436,0))</f>
        <v>Instalaciones Eléctricas y Mecánicas</v>
      </c>
      <c r="G259" s="16" t="s">
        <v>894</v>
      </c>
      <c r="H259" s="16" t="s">
        <v>726</v>
      </c>
      <c r="I259" s="18" t="n">
        <f aca="false">COUNTIF(LOOKAHEAD!$B$5:$B$604,H259)</f>
        <v>0</v>
      </c>
      <c r="K259" s="12" t="s">
        <v>904</v>
      </c>
    </row>
    <row r="260" customFormat="false" ht="15" hidden="false" customHeight="false" outlineLevel="0" collapsed="false">
      <c r="A260" s="16" t="s">
        <v>905</v>
      </c>
      <c r="B260" s="16" t="n">
        <v>4</v>
      </c>
      <c r="C260" s="17" t="s">
        <v>906</v>
      </c>
      <c r="D260" s="16" t="s">
        <v>161</v>
      </c>
      <c r="E260" s="16" t="s">
        <v>882</v>
      </c>
      <c r="F260" s="16" t="str">
        <f aca="false">INDEX($C$5:$C$436,MATCH(E260,$A$5:$A$436,0))</f>
        <v>Instalaciones Eléctricas y Mecánicas</v>
      </c>
      <c r="G260" s="16" t="s">
        <v>894</v>
      </c>
      <c r="H260" s="16" t="s">
        <v>729</v>
      </c>
      <c r="I260" s="18" t="n">
        <f aca="false">COUNTIF(LOOKAHEAD!$B$5:$B$604,H260)</f>
        <v>0</v>
      </c>
      <c r="K260" s="12" t="s">
        <v>907</v>
      </c>
    </row>
    <row r="261" customFormat="false" ht="15" hidden="false" customHeight="false" outlineLevel="0" collapsed="false">
      <c r="A261" s="13" t="s">
        <v>908</v>
      </c>
      <c r="B261" s="13" t="n">
        <v>3</v>
      </c>
      <c r="C261" s="15" t="s">
        <v>329</v>
      </c>
      <c r="D261" s="13" t="s">
        <v>151</v>
      </c>
      <c r="E261" s="13" t="s">
        <v>882</v>
      </c>
      <c r="F261" s="13" t="str">
        <f aca="false">INDEX($C$5:$C$436,MATCH(E261,$A$5:$A$436,0))</f>
        <v>Instalaciones Eléctricas y Mecánicas</v>
      </c>
      <c r="G261" s="13" t="s">
        <v>886</v>
      </c>
      <c r="H261" s="13"/>
      <c r="I261" s="13"/>
      <c r="K261" s="12" t="s">
        <v>909</v>
      </c>
    </row>
    <row r="262" customFormat="false" ht="15" hidden="false" customHeight="false" outlineLevel="0" collapsed="false">
      <c r="A262" s="16" t="s">
        <v>910</v>
      </c>
      <c r="B262" s="16" t="n">
        <v>4</v>
      </c>
      <c r="C262" s="17" t="s">
        <v>911</v>
      </c>
      <c r="D262" s="16" t="s">
        <v>161</v>
      </c>
      <c r="E262" s="16" t="s">
        <v>882</v>
      </c>
      <c r="F262" s="16" t="str">
        <f aca="false">INDEX($C$5:$C$436,MATCH(E262,$A$5:$A$436,0))</f>
        <v>Instalaciones Eléctricas y Mecánicas</v>
      </c>
      <c r="G262" s="16" t="s">
        <v>329</v>
      </c>
      <c r="H262" s="16" t="s">
        <v>732</v>
      </c>
      <c r="I262" s="18" t="n">
        <f aca="false">COUNTIF(LOOKAHEAD!$B$5:$B$604,H262)</f>
        <v>0</v>
      </c>
      <c r="K262" s="12" t="s">
        <v>912</v>
      </c>
    </row>
    <row r="263" customFormat="false" ht="15" hidden="false" customHeight="false" outlineLevel="0" collapsed="false">
      <c r="A263" s="16" t="s">
        <v>913</v>
      </c>
      <c r="B263" s="16" t="n">
        <v>4</v>
      </c>
      <c r="C263" s="17" t="s">
        <v>914</v>
      </c>
      <c r="D263" s="16" t="s">
        <v>161</v>
      </c>
      <c r="E263" s="16" t="s">
        <v>882</v>
      </c>
      <c r="F263" s="16" t="str">
        <f aca="false">INDEX($C$5:$C$436,MATCH(E263,$A$5:$A$436,0))</f>
        <v>Instalaciones Eléctricas y Mecánicas</v>
      </c>
      <c r="G263" s="16" t="s">
        <v>329</v>
      </c>
      <c r="H263" s="16" t="s">
        <v>735</v>
      </c>
      <c r="I263" s="18" t="n">
        <f aca="false">COUNTIF(LOOKAHEAD!$B$5:$B$604,H263)</f>
        <v>0</v>
      </c>
      <c r="K263" s="12" t="s">
        <v>915</v>
      </c>
    </row>
    <row r="264" customFormat="false" ht="15" hidden="false" customHeight="false" outlineLevel="0" collapsed="false">
      <c r="A264" s="16" t="s">
        <v>916</v>
      </c>
      <c r="B264" s="16" t="n">
        <v>4</v>
      </c>
      <c r="C264" s="17" t="s">
        <v>344</v>
      </c>
      <c r="D264" s="16" t="s">
        <v>161</v>
      </c>
      <c r="E264" s="16" t="s">
        <v>882</v>
      </c>
      <c r="F264" s="16" t="str">
        <f aca="false">INDEX($C$5:$C$436,MATCH(E264,$A$5:$A$436,0))</f>
        <v>Instalaciones Eléctricas y Mecánicas</v>
      </c>
      <c r="G264" s="16" t="s">
        <v>329</v>
      </c>
      <c r="H264" s="16" t="s">
        <v>738</v>
      </c>
      <c r="I264" s="18" t="n">
        <f aca="false">COUNTIF(LOOKAHEAD!$B$5:$B$604,H264)</f>
        <v>0</v>
      </c>
      <c r="K264" s="12" t="s">
        <v>917</v>
      </c>
    </row>
    <row r="265" customFormat="false" ht="15" hidden="false" customHeight="false" outlineLevel="0" collapsed="false">
      <c r="A265" s="13" t="s">
        <v>918</v>
      </c>
      <c r="B265" s="13" t="n">
        <v>3</v>
      </c>
      <c r="C265" s="15" t="s">
        <v>919</v>
      </c>
      <c r="D265" s="13" t="s">
        <v>151</v>
      </c>
      <c r="E265" s="13" t="s">
        <v>882</v>
      </c>
      <c r="F265" s="13" t="str">
        <f aca="false">INDEX($C$5:$C$436,MATCH(E265,$A$5:$A$436,0))</f>
        <v>Instalaciones Eléctricas y Mecánicas</v>
      </c>
      <c r="G265" s="13" t="s">
        <v>886</v>
      </c>
      <c r="H265" s="13"/>
      <c r="I265" s="13"/>
      <c r="K265" s="12" t="s">
        <v>920</v>
      </c>
    </row>
    <row r="266" customFormat="false" ht="15" hidden="false" customHeight="false" outlineLevel="0" collapsed="false">
      <c r="A266" s="16" t="s">
        <v>921</v>
      </c>
      <c r="B266" s="16" t="n">
        <v>4</v>
      </c>
      <c r="C266" s="17" t="s">
        <v>922</v>
      </c>
      <c r="D266" s="16" t="s">
        <v>161</v>
      </c>
      <c r="E266" s="16" t="s">
        <v>882</v>
      </c>
      <c r="F266" s="16" t="str">
        <f aca="false">INDEX($C$5:$C$436,MATCH(E266,$A$5:$A$436,0))</f>
        <v>Instalaciones Eléctricas y Mecánicas</v>
      </c>
      <c r="G266" s="16" t="s">
        <v>919</v>
      </c>
      <c r="H266" s="16" t="s">
        <v>741</v>
      </c>
      <c r="I266" s="18" t="n">
        <f aca="false">COUNTIF(LOOKAHEAD!$B$5:$B$604,H266)</f>
        <v>0</v>
      </c>
      <c r="K266" s="12" t="s">
        <v>923</v>
      </c>
    </row>
    <row r="267" customFormat="false" ht="15" hidden="false" customHeight="false" outlineLevel="0" collapsed="false">
      <c r="A267" s="16" t="s">
        <v>924</v>
      </c>
      <c r="B267" s="16" t="n">
        <v>4</v>
      </c>
      <c r="C267" s="17" t="s">
        <v>925</v>
      </c>
      <c r="D267" s="16" t="s">
        <v>161</v>
      </c>
      <c r="E267" s="16" t="s">
        <v>882</v>
      </c>
      <c r="F267" s="16" t="str">
        <f aca="false">INDEX($C$5:$C$436,MATCH(E267,$A$5:$A$436,0))</f>
        <v>Instalaciones Eléctricas y Mecánicas</v>
      </c>
      <c r="G267" s="16" t="s">
        <v>919</v>
      </c>
      <c r="H267" s="16" t="s">
        <v>744</v>
      </c>
      <c r="I267" s="18" t="n">
        <f aca="false">COUNTIF(LOOKAHEAD!$B$5:$B$604,H267)</f>
        <v>0</v>
      </c>
      <c r="K267" s="12" t="s">
        <v>926</v>
      </c>
    </row>
    <row r="268" customFormat="false" ht="15" hidden="false" customHeight="false" outlineLevel="0" collapsed="false">
      <c r="A268" s="13" t="s">
        <v>927</v>
      </c>
      <c r="B268" s="13" t="n">
        <v>3</v>
      </c>
      <c r="C268" s="15" t="s">
        <v>928</v>
      </c>
      <c r="D268" s="13" t="s">
        <v>151</v>
      </c>
      <c r="E268" s="13" t="s">
        <v>882</v>
      </c>
      <c r="F268" s="13" t="str">
        <f aca="false">INDEX($C$5:$C$436,MATCH(E268,$A$5:$A$436,0))</f>
        <v>Instalaciones Eléctricas y Mecánicas</v>
      </c>
      <c r="G268" s="13" t="s">
        <v>886</v>
      </c>
      <c r="H268" s="13"/>
      <c r="I268" s="13"/>
      <c r="K268" s="12" t="s">
        <v>929</v>
      </c>
    </row>
    <row r="269" customFormat="false" ht="15" hidden="false" customHeight="false" outlineLevel="0" collapsed="false">
      <c r="A269" s="16" t="s">
        <v>930</v>
      </c>
      <c r="B269" s="16" t="n">
        <v>4</v>
      </c>
      <c r="C269" s="17" t="s">
        <v>931</v>
      </c>
      <c r="D269" s="16" t="s">
        <v>161</v>
      </c>
      <c r="E269" s="16" t="s">
        <v>882</v>
      </c>
      <c r="F269" s="16" t="str">
        <f aca="false">INDEX($C$5:$C$436,MATCH(E269,$A$5:$A$436,0))</f>
        <v>Instalaciones Eléctricas y Mecánicas</v>
      </c>
      <c r="G269" s="16" t="s">
        <v>928</v>
      </c>
      <c r="H269" s="16" t="s">
        <v>747</v>
      </c>
      <c r="I269" s="18" t="n">
        <f aca="false">COUNTIF(LOOKAHEAD!$B$5:$B$604,H269)</f>
        <v>0</v>
      </c>
      <c r="K269" s="12" t="s">
        <v>932</v>
      </c>
    </row>
    <row r="270" customFormat="false" ht="15" hidden="false" customHeight="false" outlineLevel="0" collapsed="false">
      <c r="A270" s="16" t="s">
        <v>933</v>
      </c>
      <c r="B270" s="16" t="n">
        <v>4</v>
      </c>
      <c r="C270" s="17" t="s">
        <v>934</v>
      </c>
      <c r="D270" s="16" t="s">
        <v>161</v>
      </c>
      <c r="E270" s="16" t="s">
        <v>882</v>
      </c>
      <c r="F270" s="16" t="str">
        <f aca="false">INDEX($C$5:$C$436,MATCH(E270,$A$5:$A$436,0))</f>
        <v>Instalaciones Eléctricas y Mecánicas</v>
      </c>
      <c r="G270" s="16" t="s">
        <v>928</v>
      </c>
      <c r="H270" s="16" t="s">
        <v>750</v>
      </c>
      <c r="I270" s="18" t="n">
        <f aca="false">COUNTIF(LOOKAHEAD!$B$5:$B$604,H270)</f>
        <v>0</v>
      </c>
      <c r="K270" s="12" t="s">
        <v>935</v>
      </c>
    </row>
    <row r="271" customFormat="false" ht="15" hidden="false" customHeight="false" outlineLevel="0" collapsed="false">
      <c r="A271" s="16" t="s">
        <v>936</v>
      </c>
      <c r="B271" s="16" t="n">
        <v>4</v>
      </c>
      <c r="C271" s="17" t="s">
        <v>937</v>
      </c>
      <c r="D271" s="16" t="s">
        <v>161</v>
      </c>
      <c r="E271" s="16" t="s">
        <v>882</v>
      </c>
      <c r="F271" s="16" t="str">
        <f aca="false">INDEX($C$5:$C$436,MATCH(E271,$A$5:$A$436,0))</f>
        <v>Instalaciones Eléctricas y Mecánicas</v>
      </c>
      <c r="G271" s="16" t="s">
        <v>928</v>
      </c>
      <c r="H271" s="16" t="s">
        <v>753</v>
      </c>
      <c r="I271" s="18" t="n">
        <f aca="false">COUNTIF(LOOKAHEAD!$B$5:$B$604,H271)</f>
        <v>0</v>
      </c>
      <c r="K271" s="12" t="s">
        <v>938</v>
      </c>
    </row>
    <row r="272" customFormat="false" ht="15" hidden="false" customHeight="false" outlineLevel="0" collapsed="false">
      <c r="A272" s="13" t="s">
        <v>939</v>
      </c>
      <c r="B272" s="13" t="n">
        <v>3</v>
      </c>
      <c r="C272" s="15" t="s">
        <v>940</v>
      </c>
      <c r="D272" s="13" t="s">
        <v>151</v>
      </c>
      <c r="E272" s="13" t="s">
        <v>882</v>
      </c>
      <c r="F272" s="13" t="str">
        <f aca="false">INDEX($C$5:$C$436,MATCH(E272,$A$5:$A$436,0))</f>
        <v>Instalaciones Eléctricas y Mecánicas</v>
      </c>
      <c r="G272" s="13" t="s">
        <v>886</v>
      </c>
      <c r="H272" s="13"/>
      <c r="I272" s="13"/>
      <c r="K272" s="12" t="s">
        <v>941</v>
      </c>
    </row>
    <row r="273" customFormat="false" ht="15" hidden="false" customHeight="false" outlineLevel="0" collapsed="false">
      <c r="A273" s="16" t="s">
        <v>942</v>
      </c>
      <c r="B273" s="16" t="n">
        <v>4</v>
      </c>
      <c r="C273" s="17" t="s">
        <v>943</v>
      </c>
      <c r="D273" s="16" t="s">
        <v>161</v>
      </c>
      <c r="E273" s="16" t="s">
        <v>882</v>
      </c>
      <c r="F273" s="16" t="str">
        <f aca="false">INDEX($C$5:$C$436,MATCH(E273,$A$5:$A$436,0))</f>
        <v>Instalaciones Eléctricas y Mecánicas</v>
      </c>
      <c r="G273" s="16" t="s">
        <v>940</v>
      </c>
      <c r="H273" s="16" t="s">
        <v>756</v>
      </c>
      <c r="I273" s="18" t="n">
        <f aca="false">COUNTIF(LOOKAHEAD!$B$5:$B$604,H273)</f>
        <v>0</v>
      </c>
      <c r="K273" s="12" t="s">
        <v>944</v>
      </c>
    </row>
    <row r="274" customFormat="false" ht="15" hidden="false" customHeight="false" outlineLevel="0" collapsed="false">
      <c r="A274" s="13" t="s">
        <v>945</v>
      </c>
      <c r="B274" s="13" t="n">
        <v>3</v>
      </c>
      <c r="C274" s="15" t="s">
        <v>946</v>
      </c>
      <c r="D274" s="13" t="s">
        <v>151</v>
      </c>
      <c r="E274" s="13" t="s">
        <v>882</v>
      </c>
      <c r="F274" s="13" t="str">
        <f aca="false">INDEX($C$5:$C$436,MATCH(E274,$A$5:$A$436,0))</f>
        <v>Instalaciones Eléctricas y Mecánicas</v>
      </c>
      <c r="G274" s="13" t="s">
        <v>886</v>
      </c>
      <c r="H274" s="13"/>
      <c r="I274" s="13"/>
      <c r="K274" s="12" t="s">
        <v>947</v>
      </c>
    </row>
    <row r="275" customFormat="false" ht="15" hidden="false" customHeight="false" outlineLevel="0" collapsed="false">
      <c r="A275" s="16" t="s">
        <v>948</v>
      </c>
      <c r="B275" s="16" t="n">
        <v>4</v>
      </c>
      <c r="C275" s="17" t="s">
        <v>949</v>
      </c>
      <c r="D275" s="16" t="s">
        <v>161</v>
      </c>
      <c r="E275" s="16" t="s">
        <v>882</v>
      </c>
      <c r="F275" s="16" t="str">
        <f aca="false">INDEX($C$5:$C$436,MATCH(E275,$A$5:$A$436,0))</f>
        <v>Instalaciones Eléctricas y Mecánicas</v>
      </c>
      <c r="G275" s="16" t="s">
        <v>946</v>
      </c>
      <c r="H275" s="16" t="s">
        <v>759</v>
      </c>
      <c r="I275" s="18" t="n">
        <f aca="false">COUNTIF(LOOKAHEAD!$B$5:$B$604,H275)</f>
        <v>0</v>
      </c>
      <c r="K275" s="12" t="s">
        <v>950</v>
      </c>
    </row>
    <row r="276" customFormat="false" ht="15" hidden="false" customHeight="false" outlineLevel="0" collapsed="false">
      <c r="A276" s="16" t="s">
        <v>951</v>
      </c>
      <c r="B276" s="16" t="n">
        <v>4</v>
      </c>
      <c r="C276" s="17" t="s">
        <v>952</v>
      </c>
      <c r="D276" s="16" t="s">
        <v>161</v>
      </c>
      <c r="E276" s="16" t="s">
        <v>882</v>
      </c>
      <c r="F276" s="16" t="str">
        <f aca="false">INDEX($C$5:$C$436,MATCH(E276,$A$5:$A$436,0))</f>
        <v>Instalaciones Eléctricas y Mecánicas</v>
      </c>
      <c r="G276" s="16" t="s">
        <v>946</v>
      </c>
      <c r="H276" s="16" t="s">
        <v>762</v>
      </c>
      <c r="I276" s="18" t="n">
        <f aca="false">COUNTIF(LOOKAHEAD!$B$5:$B$604,H276)</f>
        <v>0</v>
      </c>
      <c r="K276" s="12" t="s">
        <v>953</v>
      </c>
    </row>
    <row r="277" customFormat="false" ht="15" hidden="false" customHeight="false" outlineLevel="0" collapsed="false">
      <c r="A277" s="13" t="s">
        <v>954</v>
      </c>
      <c r="B277" s="13" t="n">
        <v>3</v>
      </c>
      <c r="C277" s="15" t="s">
        <v>955</v>
      </c>
      <c r="D277" s="13" t="s">
        <v>151</v>
      </c>
      <c r="E277" s="13" t="s">
        <v>882</v>
      </c>
      <c r="F277" s="13" t="str">
        <f aca="false">INDEX($C$5:$C$436,MATCH(E277,$A$5:$A$436,0))</f>
        <v>Instalaciones Eléctricas y Mecánicas</v>
      </c>
      <c r="G277" s="13" t="s">
        <v>886</v>
      </c>
      <c r="H277" s="13"/>
      <c r="I277" s="13"/>
      <c r="K277" s="12" t="s">
        <v>956</v>
      </c>
    </row>
    <row r="278" customFormat="false" ht="15" hidden="false" customHeight="false" outlineLevel="0" collapsed="false">
      <c r="A278" s="16" t="s">
        <v>957</v>
      </c>
      <c r="B278" s="16" t="n">
        <v>4</v>
      </c>
      <c r="C278" s="17" t="s">
        <v>958</v>
      </c>
      <c r="D278" s="16" t="s">
        <v>161</v>
      </c>
      <c r="E278" s="16" t="s">
        <v>882</v>
      </c>
      <c r="F278" s="16" t="str">
        <f aca="false">INDEX($C$5:$C$436,MATCH(E278,$A$5:$A$436,0))</f>
        <v>Instalaciones Eléctricas y Mecánicas</v>
      </c>
      <c r="G278" s="16" t="s">
        <v>955</v>
      </c>
      <c r="H278" s="16" t="s">
        <v>765</v>
      </c>
      <c r="I278" s="18" t="n">
        <f aca="false">COUNTIF(LOOKAHEAD!$B$5:$B$604,H278)</f>
        <v>0</v>
      </c>
      <c r="K278" s="12" t="s">
        <v>959</v>
      </c>
    </row>
    <row r="279" customFormat="false" ht="15" hidden="false" customHeight="false" outlineLevel="0" collapsed="false">
      <c r="A279" s="16" t="s">
        <v>960</v>
      </c>
      <c r="B279" s="16" t="n">
        <v>4</v>
      </c>
      <c r="C279" s="17" t="s">
        <v>961</v>
      </c>
      <c r="D279" s="16" t="s">
        <v>161</v>
      </c>
      <c r="E279" s="16" t="s">
        <v>882</v>
      </c>
      <c r="F279" s="16" t="str">
        <f aca="false">INDEX($C$5:$C$436,MATCH(E279,$A$5:$A$436,0))</f>
        <v>Instalaciones Eléctricas y Mecánicas</v>
      </c>
      <c r="G279" s="16" t="s">
        <v>955</v>
      </c>
      <c r="H279" s="16" t="s">
        <v>768</v>
      </c>
      <c r="I279" s="18" t="n">
        <f aca="false">COUNTIF(LOOKAHEAD!$B$5:$B$604,H279)</f>
        <v>0</v>
      </c>
      <c r="K279" s="12" t="s">
        <v>962</v>
      </c>
    </row>
    <row r="280" customFormat="false" ht="15" hidden="false" customHeight="false" outlineLevel="0" collapsed="false">
      <c r="A280" s="13" t="s">
        <v>963</v>
      </c>
      <c r="B280" s="13" t="n">
        <v>3</v>
      </c>
      <c r="C280" s="15" t="s">
        <v>964</v>
      </c>
      <c r="D280" s="13" t="s">
        <v>151</v>
      </c>
      <c r="E280" s="13" t="s">
        <v>882</v>
      </c>
      <c r="F280" s="13" t="str">
        <f aca="false">INDEX($C$5:$C$436,MATCH(E280,$A$5:$A$436,0))</f>
        <v>Instalaciones Eléctricas y Mecánicas</v>
      </c>
      <c r="G280" s="13" t="s">
        <v>886</v>
      </c>
      <c r="H280" s="13"/>
      <c r="I280" s="13"/>
      <c r="K280" s="12" t="s">
        <v>965</v>
      </c>
    </row>
    <row r="281" customFormat="false" ht="15" hidden="false" customHeight="false" outlineLevel="0" collapsed="false">
      <c r="A281" s="16" t="s">
        <v>966</v>
      </c>
      <c r="B281" s="16" t="n">
        <v>4</v>
      </c>
      <c r="C281" s="17" t="s">
        <v>967</v>
      </c>
      <c r="D281" s="16" t="s">
        <v>161</v>
      </c>
      <c r="E281" s="16" t="s">
        <v>882</v>
      </c>
      <c r="F281" s="16" t="str">
        <f aca="false">INDEX($C$5:$C$436,MATCH(E281,$A$5:$A$436,0))</f>
        <v>Instalaciones Eléctricas y Mecánicas</v>
      </c>
      <c r="G281" s="16" t="s">
        <v>964</v>
      </c>
      <c r="H281" s="16" t="s">
        <v>771</v>
      </c>
      <c r="I281" s="18" t="n">
        <f aca="false">COUNTIF(LOOKAHEAD!$B$5:$B$604,H281)</f>
        <v>0</v>
      </c>
      <c r="K281" s="12" t="s">
        <v>968</v>
      </c>
    </row>
    <row r="282" customFormat="false" ht="15" hidden="false" customHeight="false" outlineLevel="0" collapsed="false">
      <c r="A282" s="13" t="s">
        <v>969</v>
      </c>
      <c r="B282" s="13" t="n">
        <v>3</v>
      </c>
      <c r="C282" s="15" t="s">
        <v>970</v>
      </c>
      <c r="D282" s="13" t="s">
        <v>151</v>
      </c>
      <c r="E282" s="13" t="s">
        <v>882</v>
      </c>
      <c r="F282" s="13" t="str">
        <f aca="false">INDEX($C$5:$C$436,MATCH(E282,$A$5:$A$436,0))</f>
        <v>Instalaciones Eléctricas y Mecánicas</v>
      </c>
      <c r="G282" s="13" t="s">
        <v>886</v>
      </c>
      <c r="H282" s="13"/>
      <c r="I282" s="13"/>
      <c r="K282" s="12" t="s">
        <v>971</v>
      </c>
    </row>
    <row r="283" customFormat="false" ht="15" hidden="false" customHeight="false" outlineLevel="0" collapsed="false">
      <c r="A283" s="16" t="s">
        <v>972</v>
      </c>
      <c r="B283" s="16" t="n">
        <v>4</v>
      </c>
      <c r="C283" s="17" t="s">
        <v>973</v>
      </c>
      <c r="D283" s="16" t="s">
        <v>161</v>
      </c>
      <c r="E283" s="16" t="s">
        <v>882</v>
      </c>
      <c r="F283" s="16" t="str">
        <f aca="false">INDEX($C$5:$C$436,MATCH(E283,$A$5:$A$436,0))</f>
        <v>Instalaciones Eléctricas y Mecánicas</v>
      </c>
      <c r="G283" s="16" t="s">
        <v>970</v>
      </c>
      <c r="H283" s="16" t="s">
        <v>774</v>
      </c>
      <c r="I283" s="18" t="n">
        <f aca="false">COUNTIF(LOOKAHEAD!$B$5:$B$604,H283)</f>
        <v>0</v>
      </c>
      <c r="K283" s="12" t="s">
        <v>974</v>
      </c>
    </row>
    <row r="284" customFormat="false" ht="15" hidden="false" customHeight="false" outlineLevel="0" collapsed="false">
      <c r="A284" s="16" t="s">
        <v>975</v>
      </c>
      <c r="B284" s="16" t="n">
        <v>4</v>
      </c>
      <c r="C284" s="17" t="s">
        <v>976</v>
      </c>
      <c r="D284" s="16" t="s">
        <v>161</v>
      </c>
      <c r="E284" s="16" t="s">
        <v>882</v>
      </c>
      <c r="F284" s="16" t="str">
        <f aca="false">INDEX($C$5:$C$436,MATCH(E284,$A$5:$A$436,0))</f>
        <v>Instalaciones Eléctricas y Mecánicas</v>
      </c>
      <c r="G284" s="16" t="s">
        <v>970</v>
      </c>
      <c r="H284" s="16" t="s">
        <v>777</v>
      </c>
      <c r="I284" s="18" t="n">
        <f aca="false">COUNTIF(LOOKAHEAD!$B$5:$B$604,H284)</f>
        <v>0</v>
      </c>
      <c r="K284" s="12" t="s">
        <v>977</v>
      </c>
    </row>
    <row r="285" customFormat="false" ht="15" hidden="false" customHeight="false" outlineLevel="0" collapsed="false">
      <c r="A285" s="16" t="s">
        <v>978</v>
      </c>
      <c r="B285" s="16" t="n">
        <v>4</v>
      </c>
      <c r="C285" s="17" t="s">
        <v>979</v>
      </c>
      <c r="D285" s="16" t="s">
        <v>161</v>
      </c>
      <c r="E285" s="16" t="s">
        <v>882</v>
      </c>
      <c r="F285" s="16" t="str">
        <f aca="false">INDEX($C$5:$C$436,MATCH(E285,$A$5:$A$436,0))</f>
        <v>Instalaciones Eléctricas y Mecánicas</v>
      </c>
      <c r="G285" s="16" t="s">
        <v>970</v>
      </c>
      <c r="H285" s="16" t="s">
        <v>780</v>
      </c>
      <c r="I285" s="18" t="n">
        <f aca="false">COUNTIF(LOOKAHEAD!$B$5:$B$604,H285)</f>
        <v>0</v>
      </c>
      <c r="K285" s="12" t="s">
        <v>980</v>
      </c>
    </row>
    <row r="286" customFormat="false" ht="15" hidden="false" customHeight="false" outlineLevel="0" collapsed="false">
      <c r="A286" s="13" t="s">
        <v>981</v>
      </c>
      <c r="B286" s="13" t="n">
        <v>3</v>
      </c>
      <c r="C286" s="15" t="s">
        <v>982</v>
      </c>
      <c r="D286" s="13" t="s">
        <v>151</v>
      </c>
      <c r="E286" s="13" t="s">
        <v>882</v>
      </c>
      <c r="F286" s="13" t="str">
        <f aca="false">INDEX($C$5:$C$436,MATCH(E286,$A$5:$A$436,0))</f>
        <v>Instalaciones Eléctricas y Mecánicas</v>
      </c>
      <c r="G286" s="13" t="s">
        <v>886</v>
      </c>
      <c r="H286" s="13"/>
      <c r="I286" s="13"/>
      <c r="K286" s="12" t="s">
        <v>983</v>
      </c>
    </row>
    <row r="287" customFormat="false" ht="15" hidden="false" customHeight="false" outlineLevel="0" collapsed="false">
      <c r="A287" s="16" t="s">
        <v>984</v>
      </c>
      <c r="B287" s="16" t="n">
        <v>4</v>
      </c>
      <c r="C287" s="17" t="s">
        <v>985</v>
      </c>
      <c r="D287" s="16" t="s">
        <v>161</v>
      </c>
      <c r="E287" s="16" t="s">
        <v>882</v>
      </c>
      <c r="F287" s="16" t="str">
        <f aca="false">INDEX($C$5:$C$436,MATCH(E287,$A$5:$A$436,0))</f>
        <v>Instalaciones Eléctricas y Mecánicas</v>
      </c>
      <c r="G287" s="16" t="s">
        <v>982</v>
      </c>
      <c r="H287" s="16" t="s">
        <v>783</v>
      </c>
      <c r="I287" s="18" t="n">
        <f aca="false">COUNTIF(LOOKAHEAD!$B$5:$B$604,H287)</f>
        <v>0</v>
      </c>
      <c r="K287" s="12" t="s">
        <v>986</v>
      </c>
    </row>
    <row r="288" customFormat="false" ht="15" hidden="false" customHeight="false" outlineLevel="0" collapsed="false">
      <c r="A288" s="16" t="s">
        <v>987</v>
      </c>
      <c r="B288" s="16" t="n">
        <v>4</v>
      </c>
      <c r="C288" s="17" t="s">
        <v>988</v>
      </c>
      <c r="D288" s="16" t="s">
        <v>161</v>
      </c>
      <c r="E288" s="16" t="s">
        <v>882</v>
      </c>
      <c r="F288" s="16" t="str">
        <f aca="false">INDEX($C$5:$C$436,MATCH(E288,$A$5:$A$436,0))</f>
        <v>Instalaciones Eléctricas y Mecánicas</v>
      </c>
      <c r="G288" s="16" t="s">
        <v>982</v>
      </c>
      <c r="H288" s="16" t="s">
        <v>786</v>
      </c>
      <c r="I288" s="18" t="n">
        <f aca="false">COUNTIF(LOOKAHEAD!$B$5:$B$604,H288)</f>
        <v>0</v>
      </c>
      <c r="K288" s="12" t="s">
        <v>989</v>
      </c>
    </row>
    <row r="289" customFormat="false" ht="15" hidden="false" customHeight="false" outlineLevel="0" collapsed="false">
      <c r="A289" s="13" t="s">
        <v>990</v>
      </c>
      <c r="B289" s="13" t="n">
        <v>3</v>
      </c>
      <c r="C289" s="15" t="s">
        <v>991</v>
      </c>
      <c r="D289" s="13" t="s">
        <v>151</v>
      </c>
      <c r="E289" s="13" t="s">
        <v>882</v>
      </c>
      <c r="F289" s="13" t="str">
        <f aca="false">INDEX($C$5:$C$436,MATCH(E289,$A$5:$A$436,0))</f>
        <v>Instalaciones Eléctricas y Mecánicas</v>
      </c>
      <c r="G289" s="13" t="s">
        <v>886</v>
      </c>
      <c r="H289" s="13"/>
      <c r="I289" s="13"/>
      <c r="K289" s="12" t="s">
        <v>992</v>
      </c>
    </row>
    <row r="290" customFormat="false" ht="15" hidden="false" customHeight="false" outlineLevel="0" collapsed="false">
      <c r="A290" s="16" t="s">
        <v>993</v>
      </c>
      <c r="B290" s="16" t="n">
        <v>4</v>
      </c>
      <c r="C290" s="17" t="s">
        <v>994</v>
      </c>
      <c r="D290" s="16" t="s">
        <v>161</v>
      </c>
      <c r="E290" s="16" t="s">
        <v>882</v>
      </c>
      <c r="F290" s="16" t="str">
        <f aca="false">INDEX($C$5:$C$436,MATCH(E290,$A$5:$A$436,0))</f>
        <v>Instalaciones Eléctricas y Mecánicas</v>
      </c>
      <c r="G290" s="16" t="s">
        <v>991</v>
      </c>
      <c r="H290" s="16" t="s">
        <v>789</v>
      </c>
      <c r="I290" s="18" t="n">
        <f aca="false">COUNTIF(LOOKAHEAD!$B$5:$B$604,H290)</f>
        <v>0</v>
      </c>
      <c r="K290" s="12" t="s">
        <v>995</v>
      </c>
    </row>
    <row r="291" customFormat="false" ht="15" hidden="false" customHeight="false" outlineLevel="0" collapsed="false">
      <c r="A291" s="16" t="s">
        <v>996</v>
      </c>
      <c r="B291" s="16" t="n">
        <v>4</v>
      </c>
      <c r="C291" s="17" t="s">
        <v>997</v>
      </c>
      <c r="D291" s="16" t="s">
        <v>161</v>
      </c>
      <c r="E291" s="16" t="s">
        <v>882</v>
      </c>
      <c r="F291" s="16" t="str">
        <f aca="false">INDEX($C$5:$C$436,MATCH(E291,$A$5:$A$436,0))</f>
        <v>Instalaciones Eléctricas y Mecánicas</v>
      </c>
      <c r="G291" s="16" t="s">
        <v>991</v>
      </c>
      <c r="H291" s="16" t="s">
        <v>792</v>
      </c>
      <c r="I291" s="18" t="n">
        <f aca="false">COUNTIF(LOOKAHEAD!$B$5:$B$604,H291)</f>
        <v>0</v>
      </c>
      <c r="K291" s="12" t="s">
        <v>998</v>
      </c>
    </row>
    <row r="292" customFormat="false" ht="15" hidden="false" customHeight="false" outlineLevel="0" collapsed="false">
      <c r="A292" s="16" t="s">
        <v>999</v>
      </c>
      <c r="B292" s="16" t="n">
        <v>4</v>
      </c>
      <c r="C292" s="17" t="s">
        <v>1000</v>
      </c>
      <c r="D292" s="16" t="s">
        <v>161</v>
      </c>
      <c r="E292" s="16" t="s">
        <v>882</v>
      </c>
      <c r="F292" s="16" t="str">
        <f aca="false">INDEX($C$5:$C$436,MATCH(E292,$A$5:$A$436,0))</f>
        <v>Instalaciones Eléctricas y Mecánicas</v>
      </c>
      <c r="G292" s="16" t="s">
        <v>991</v>
      </c>
      <c r="H292" s="16" t="s">
        <v>795</v>
      </c>
      <c r="I292" s="18" t="n">
        <f aca="false">COUNTIF(LOOKAHEAD!$B$5:$B$604,H292)</f>
        <v>0</v>
      </c>
      <c r="K292" s="12" t="s">
        <v>1001</v>
      </c>
    </row>
    <row r="293" customFormat="false" ht="15" hidden="false" customHeight="false" outlineLevel="0" collapsed="false">
      <c r="A293" s="13" t="s">
        <v>1002</v>
      </c>
      <c r="B293" s="13" t="n">
        <v>3</v>
      </c>
      <c r="C293" s="15" t="s">
        <v>1003</v>
      </c>
      <c r="D293" s="13" t="s">
        <v>151</v>
      </c>
      <c r="E293" s="13" t="s">
        <v>882</v>
      </c>
      <c r="F293" s="13" t="str">
        <f aca="false">INDEX($C$5:$C$436,MATCH(E293,$A$5:$A$436,0))</f>
        <v>Instalaciones Eléctricas y Mecánicas</v>
      </c>
      <c r="G293" s="13" t="s">
        <v>886</v>
      </c>
      <c r="H293" s="13"/>
      <c r="I293" s="13"/>
      <c r="K293" s="12" t="s">
        <v>1004</v>
      </c>
    </row>
    <row r="294" customFormat="false" ht="15" hidden="false" customHeight="false" outlineLevel="0" collapsed="false">
      <c r="A294" s="16" t="s">
        <v>1005</v>
      </c>
      <c r="B294" s="16" t="n">
        <v>4</v>
      </c>
      <c r="C294" s="17" t="s">
        <v>1006</v>
      </c>
      <c r="D294" s="16" t="s">
        <v>161</v>
      </c>
      <c r="E294" s="16" t="s">
        <v>882</v>
      </c>
      <c r="F294" s="16" t="str">
        <f aca="false">INDEX($C$5:$C$436,MATCH(E294,$A$5:$A$436,0))</f>
        <v>Instalaciones Eléctricas y Mecánicas</v>
      </c>
      <c r="G294" s="16" t="s">
        <v>1003</v>
      </c>
      <c r="H294" s="16" t="s">
        <v>798</v>
      </c>
      <c r="I294" s="18" t="n">
        <f aca="false">COUNTIF(LOOKAHEAD!$B$5:$B$604,H294)</f>
        <v>0</v>
      </c>
      <c r="K294" s="12" t="s">
        <v>1007</v>
      </c>
    </row>
    <row r="295" customFormat="false" ht="15" hidden="false" customHeight="false" outlineLevel="0" collapsed="false">
      <c r="A295" s="13" t="s">
        <v>1008</v>
      </c>
      <c r="B295" s="13" t="n">
        <v>3</v>
      </c>
      <c r="C295" s="15" t="s">
        <v>1009</v>
      </c>
      <c r="D295" s="13" t="s">
        <v>151</v>
      </c>
      <c r="E295" s="13" t="s">
        <v>882</v>
      </c>
      <c r="F295" s="13" t="str">
        <f aca="false">INDEX($C$5:$C$436,MATCH(E295,$A$5:$A$436,0))</f>
        <v>Instalaciones Eléctricas y Mecánicas</v>
      </c>
      <c r="G295" s="13" t="s">
        <v>886</v>
      </c>
      <c r="H295" s="13"/>
      <c r="I295" s="13"/>
      <c r="K295" s="12" t="s">
        <v>1010</v>
      </c>
    </row>
    <row r="296" customFormat="false" ht="15" hidden="false" customHeight="false" outlineLevel="0" collapsed="false">
      <c r="A296" s="16" t="s">
        <v>1011</v>
      </c>
      <c r="B296" s="16" t="n">
        <v>4</v>
      </c>
      <c r="C296" s="17" t="s">
        <v>1012</v>
      </c>
      <c r="D296" s="16" t="s">
        <v>161</v>
      </c>
      <c r="E296" s="16" t="s">
        <v>882</v>
      </c>
      <c r="F296" s="16" t="str">
        <f aca="false">INDEX($C$5:$C$436,MATCH(E296,$A$5:$A$436,0))</f>
        <v>Instalaciones Eléctricas y Mecánicas</v>
      </c>
      <c r="G296" s="16" t="s">
        <v>1009</v>
      </c>
      <c r="H296" s="16" t="s">
        <v>801</v>
      </c>
      <c r="I296" s="18" t="n">
        <f aca="false">COUNTIF(LOOKAHEAD!$B$5:$B$604,H296)</f>
        <v>0</v>
      </c>
      <c r="K296" s="12" t="s">
        <v>1013</v>
      </c>
    </row>
    <row r="297" customFormat="false" ht="15" hidden="false" customHeight="false" outlineLevel="0" collapsed="false">
      <c r="A297" s="16" t="s">
        <v>1014</v>
      </c>
      <c r="B297" s="16" t="n">
        <v>4</v>
      </c>
      <c r="C297" s="17" t="s">
        <v>1015</v>
      </c>
      <c r="D297" s="16" t="s">
        <v>161</v>
      </c>
      <c r="E297" s="16" t="s">
        <v>882</v>
      </c>
      <c r="F297" s="16" t="str">
        <f aca="false">INDEX($C$5:$C$436,MATCH(E297,$A$5:$A$436,0))</f>
        <v>Instalaciones Eléctricas y Mecánicas</v>
      </c>
      <c r="G297" s="16" t="s">
        <v>1009</v>
      </c>
      <c r="H297" s="16" t="s">
        <v>804</v>
      </c>
      <c r="I297" s="18" t="n">
        <f aca="false">COUNTIF(LOOKAHEAD!$B$5:$B$604,H297)</f>
        <v>0</v>
      </c>
      <c r="K297" s="12" t="s">
        <v>1016</v>
      </c>
    </row>
    <row r="298" customFormat="false" ht="15" hidden="false" customHeight="false" outlineLevel="0" collapsed="false">
      <c r="A298" s="16" t="s">
        <v>1017</v>
      </c>
      <c r="B298" s="16" t="n">
        <v>4</v>
      </c>
      <c r="C298" s="17" t="s">
        <v>1018</v>
      </c>
      <c r="D298" s="16" t="s">
        <v>161</v>
      </c>
      <c r="E298" s="16" t="s">
        <v>882</v>
      </c>
      <c r="F298" s="16" t="str">
        <f aca="false">INDEX($C$5:$C$436,MATCH(E298,$A$5:$A$436,0))</f>
        <v>Instalaciones Eléctricas y Mecánicas</v>
      </c>
      <c r="G298" s="16" t="s">
        <v>1009</v>
      </c>
      <c r="H298" s="16" t="s">
        <v>807</v>
      </c>
      <c r="I298" s="18" t="n">
        <f aca="false">COUNTIF(LOOKAHEAD!$B$5:$B$604,H298)</f>
        <v>0</v>
      </c>
      <c r="K298" s="12" t="s">
        <v>1019</v>
      </c>
    </row>
    <row r="299" customFormat="false" ht="15" hidden="false" customHeight="false" outlineLevel="0" collapsed="false">
      <c r="A299" s="13" t="s">
        <v>1020</v>
      </c>
      <c r="B299" s="13" t="n">
        <v>2</v>
      </c>
      <c r="C299" s="14" t="s">
        <v>1021</v>
      </c>
      <c r="D299" s="13" t="s">
        <v>151</v>
      </c>
      <c r="E299" s="13" t="s">
        <v>882</v>
      </c>
      <c r="F299" s="13" t="str">
        <f aca="false">INDEX($C$5:$C$436,MATCH(E299,$A$5:$A$436,0))</f>
        <v>Instalaciones Eléctricas y Mecánicas</v>
      </c>
      <c r="G299" s="13" t="s">
        <v>883</v>
      </c>
      <c r="H299" s="13"/>
      <c r="I299" s="13"/>
      <c r="K299" s="12" t="s">
        <v>1022</v>
      </c>
    </row>
    <row r="300" customFormat="false" ht="15" hidden="false" customHeight="false" outlineLevel="0" collapsed="false">
      <c r="A300" s="13" t="s">
        <v>1023</v>
      </c>
      <c r="B300" s="13" t="n">
        <v>3</v>
      </c>
      <c r="C300" s="15" t="s">
        <v>1024</v>
      </c>
      <c r="D300" s="13" t="s">
        <v>151</v>
      </c>
      <c r="E300" s="13" t="s">
        <v>882</v>
      </c>
      <c r="F300" s="13" t="str">
        <f aca="false">INDEX($C$5:$C$436,MATCH(E300,$A$5:$A$436,0))</f>
        <v>Instalaciones Eléctricas y Mecánicas</v>
      </c>
      <c r="G300" s="13" t="s">
        <v>1021</v>
      </c>
      <c r="H300" s="13"/>
      <c r="I300" s="13"/>
      <c r="K300" s="12" t="s">
        <v>1025</v>
      </c>
    </row>
    <row r="301" customFormat="false" ht="15" hidden="false" customHeight="false" outlineLevel="0" collapsed="false">
      <c r="A301" s="16" t="s">
        <v>1026</v>
      </c>
      <c r="B301" s="16" t="n">
        <v>4</v>
      </c>
      <c r="C301" s="17" t="s">
        <v>1027</v>
      </c>
      <c r="D301" s="16" t="s">
        <v>161</v>
      </c>
      <c r="E301" s="16" t="s">
        <v>882</v>
      </c>
      <c r="F301" s="16" t="str">
        <f aca="false">INDEX($C$5:$C$436,MATCH(E301,$A$5:$A$436,0))</f>
        <v>Instalaciones Eléctricas y Mecánicas</v>
      </c>
      <c r="G301" s="16" t="s">
        <v>1024</v>
      </c>
      <c r="H301" s="16" t="s">
        <v>810</v>
      </c>
      <c r="I301" s="18" t="n">
        <f aca="false">COUNTIF(LOOKAHEAD!$B$5:$B$604,H301)</f>
        <v>0</v>
      </c>
      <c r="K301" s="12" t="s">
        <v>1028</v>
      </c>
    </row>
    <row r="302" customFormat="false" ht="15" hidden="false" customHeight="false" outlineLevel="0" collapsed="false">
      <c r="A302" s="13" t="s">
        <v>1029</v>
      </c>
      <c r="B302" s="13" t="n">
        <v>3</v>
      </c>
      <c r="C302" s="15" t="s">
        <v>1030</v>
      </c>
      <c r="D302" s="13" t="s">
        <v>151</v>
      </c>
      <c r="E302" s="13" t="s">
        <v>882</v>
      </c>
      <c r="F302" s="13" t="str">
        <f aca="false">INDEX($C$5:$C$436,MATCH(E302,$A$5:$A$436,0))</f>
        <v>Instalaciones Eléctricas y Mecánicas</v>
      </c>
      <c r="G302" s="13" t="s">
        <v>1021</v>
      </c>
      <c r="H302" s="13"/>
      <c r="I302" s="13"/>
      <c r="K302" s="12" t="s">
        <v>1031</v>
      </c>
    </row>
    <row r="303" customFormat="false" ht="15" hidden="false" customHeight="false" outlineLevel="0" collapsed="false">
      <c r="A303" s="16" t="s">
        <v>1032</v>
      </c>
      <c r="B303" s="16" t="n">
        <v>4</v>
      </c>
      <c r="C303" s="17" t="s">
        <v>1033</v>
      </c>
      <c r="D303" s="16" t="s">
        <v>161</v>
      </c>
      <c r="E303" s="16" t="s">
        <v>882</v>
      </c>
      <c r="F303" s="16" t="str">
        <f aca="false">INDEX($C$5:$C$436,MATCH(E303,$A$5:$A$436,0))</f>
        <v>Instalaciones Eléctricas y Mecánicas</v>
      </c>
      <c r="G303" s="16" t="s">
        <v>1030</v>
      </c>
      <c r="H303" s="16" t="s">
        <v>813</v>
      </c>
      <c r="I303" s="18" t="n">
        <f aca="false">COUNTIF(LOOKAHEAD!$B$5:$B$604,H303)</f>
        <v>0</v>
      </c>
      <c r="K303" s="12" t="s">
        <v>1034</v>
      </c>
    </row>
    <row r="304" customFormat="false" ht="15" hidden="false" customHeight="false" outlineLevel="0" collapsed="false">
      <c r="A304" s="16" t="s">
        <v>1035</v>
      </c>
      <c r="B304" s="16" t="n">
        <v>4</v>
      </c>
      <c r="C304" s="17" t="s">
        <v>1036</v>
      </c>
      <c r="D304" s="16" t="s">
        <v>161</v>
      </c>
      <c r="E304" s="16" t="s">
        <v>882</v>
      </c>
      <c r="F304" s="16" t="str">
        <f aca="false">INDEX($C$5:$C$436,MATCH(E304,$A$5:$A$436,0))</f>
        <v>Instalaciones Eléctricas y Mecánicas</v>
      </c>
      <c r="G304" s="16" t="s">
        <v>1030</v>
      </c>
      <c r="H304" s="16" t="s">
        <v>816</v>
      </c>
      <c r="I304" s="18" t="n">
        <f aca="false">COUNTIF(LOOKAHEAD!$B$5:$B$604,H304)</f>
        <v>0</v>
      </c>
      <c r="K304" s="12" t="s">
        <v>1037</v>
      </c>
    </row>
    <row r="305" customFormat="false" ht="15" hidden="false" customHeight="false" outlineLevel="0" collapsed="false">
      <c r="A305" s="16" t="s">
        <v>1038</v>
      </c>
      <c r="B305" s="16" t="n">
        <v>4</v>
      </c>
      <c r="C305" s="17" t="s">
        <v>1039</v>
      </c>
      <c r="D305" s="16" t="s">
        <v>161</v>
      </c>
      <c r="E305" s="16" t="s">
        <v>882</v>
      </c>
      <c r="F305" s="16" t="str">
        <f aca="false">INDEX($C$5:$C$436,MATCH(E305,$A$5:$A$436,0))</f>
        <v>Instalaciones Eléctricas y Mecánicas</v>
      </c>
      <c r="G305" s="16" t="s">
        <v>1030</v>
      </c>
      <c r="H305" s="16" t="s">
        <v>819</v>
      </c>
      <c r="I305" s="18" t="n">
        <f aca="false">COUNTIF(LOOKAHEAD!$B$5:$B$604,H305)</f>
        <v>0</v>
      </c>
      <c r="K305" s="12" t="s">
        <v>1040</v>
      </c>
    </row>
    <row r="306" customFormat="false" ht="15" hidden="false" customHeight="false" outlineLevel="0" collapsed="false">
      <c r="A306" s="16" t="s">
        <v>1041</v>
      </c>
      <c r="B306" s="16" t="n">
        <v>4</v>
      </c>
      <c r="C306" s="17" t="s">
        <v>1042</v>
      </c>
      <c r="D306" s="16" t="s">
        <v>161</v>
      </c>
      <c r="E306" s="16" t="s">
        <v>882</v>
      </c>
      <c r="F306" s="16" t="str">
        <f aca="false">INDEX($C$5:$C$436,MATCH(E306,$A$5:$A$436,0))</f>
        <v>Instalaciones Eléctricas y Mecánicas</v>
      </c>
      <c r="G306" s="16" t="s">
        <v>1030</v>
      </c>
      <c r="H306" s="16" t="s">
        <v>822</v>
      </c>
      <c r="I306" s="18" t="n">
        <f aca="false">COUNTIF(LOOKAHEAD!$B$5:$B$604,H306)</f>
        <v>0</v>
      </c>
      <c r="K306" s="12" t="s">
        <v>1043</v>
      </c>
    </row>
    <row r="307" customFormat="false" ht="15" hidden="false" customHeight="false" outlineLevel="0" collapsed="false">
      <c r="A307" s="16" t="s">
        <v>1044</v>
      </c>
      <c r="B307" s="16" t="n">
        <v>4</v>
      </c>
      <c r="C307" s="17" t="s">
        <v>1045</v>
      </c>
      <c r="D307" s="16" t="s">
        <v>161</v>
      </c>
      <c r="E307" s="16" t="s">
        <v>882</v>
      </c>
      <c r="F307" s="16" t="str">
        <f aca="false">INDEX($C$5:$C$436,MATCH(E307,$A$5:$A$436,0))</f>
        <v>Instalaciones Eléctricas y Mecánicas</v>
      </c>
      <c r="G307" s="16" t="s">
        <v>1030</v>
      </c>
      <c r="H307" s="16" t="s">
        <v>825</v>
      </c>
      <c r="I307" s="18" t="n">
        <f aca="false">COUNTIF(LOOKAHEAD!$B$5:$B$604,H307)</f>
        <v>0</v>
      </c>
      <c r="K307" s="12" t="s">
        <v>1046</v>
      </c>
    </row>
    <row r="308" customFormat="false" ht="15" hidden="false" customHeight="false" outlineLevel="0" collapsed="false">
      <c r="A308" s="13" t="s">
        <v>1047</v>
      </c>
      <c r="B308" s="13" t="n">
        <v>3</v>
      </c>
      <c r="C308" s="15" t="s">
        <v>1048</v>
      </c>
      <c r="D308" s="13" t="s">
        <v>151</v>
      </c>
      <c r="E308" s="13" t="s">
        <v>882</v>
      </c>
      <c r="F308" s="13" t="str">
        <f aca="false">INDEX($C$5:$C$436,MATCH(E308,$A$5:$A$436,0))</f>
        <v>Instalaciones Eléctricas y Mecánicas</v>
      </c>
      <c r="G308" s="13" t="s">
        <v>1021</v>
      </c>
      <c r="H308" s="13"/>
      <c r="I308" s="13"/>
      <c r="K308" s="12" t="s">
        <v>1049</v>
      </c>
    </row>
    <row r="309" customFormat="false" ht="15" hidden="false" customHeight="false" outlineLevel="0" collapsed="false">
      <c r="A309" s="16" t="s">
        <v>1050</v>
      </c>
      <c r="B309" s="16" t="n">
        <v>4</v>
      </c>
      <c r="C309" s="17" t="s">
        <v>1051</v>
      </c>
      <c r="D309" s="16" t="s">
        <v>161</v>
      </c>
      <c r="E309" s="16" t="s">
        <v>882</v>
      </c>
      <c r="F309" s="16" t="str">
        <f aca="false">INDEX($C$5:$C$436,MATCH(E309,$A$5:$A$436,0))</f>
        <v>Instalaciones Eléctricas y Mecánicas</v>
      </c>
      <c r="G309" s="16" t="s">
        <v>1048</v>
      </c>
      <c r="H309" s="16" t="s">
        <v>828</v>
      </c>
      <c r="I309" s="18" t="n">
        <f aca="false">COUNTIF(LOOKAHEAD!$B$5:$B$604,H309)</f>
        <v>0</v>
      </c>
      <c r="K309" s="12" t="s">
        <v>1052</v>
      </c>
    </row>
    <row r="310" customFormat="false" ht="15" hidden="false" customHeight="false" outlineLevel="0" collapsed="false">
      <c r="A310" s="16" t="s">
        <v>1053</v>
      </c>
      <c r="B310" s="16" t="n">
        <v>4</v>
      </c>
      <c r="C310" s="17" t="s">
        <v>1054</v>
      </c>
      <c r="D310" s="16" t="s">
        <v>161</v>
      </c>
      <c r="E310" s="16" t="s">
        <v>882</v>
      </c>
      <c r="F310" s="16" t="str">
        <f aca="false">INDEX($C$5:$C$436,MATCH(E310,$A$5:$A$436,0))</f>
        <v>Instalaciones Eléctricas y Mecánicas</v>
      </c>
      <c r="G310" s="16" t="s">
        <v>1048</v>
      </c>
      <c r="H310" s="16" t="s">
        <v>830</v>
      </c>
      <c r="I310" s="18" t="n">
        <f aca="false">COUNTIF(LOOKAHEAD!$B$5:$B$604,H310)</f>
        <v>0</v>
      </c>
    </row>
    <row r="311" customFormat="false" ht="15" hidden="false" customHeight="false" outlineLevel="0" collapsed="false">
      <c r="A311" s="16" t="s">
        <v>1055</v>
      </c>
      <c r="B311" s="16" t="n">
        <v>4</v>
      </c>
      <c r="C311" s="17" t="s">
        <v>1056</v>
      </c>
      <c r="D311" s="16" t="s">
        <v>161</v>
      </c>
      <c r="E311" s="16" t="s">
        <v>882</v>
      </c>
      <c r="F311" s="16" t="str">
        <f aca="false">INDEX($C$5:$C$436,MATCH(E311,$A$5:$A$436,0))</f>
        <v>Instalaciones Eléctricas y Mecánicas</v>
      </c>
      <c r="G311" s="16" t="s">
        <v>1048</v>
      </c>
      <c r="H311" s="16" t="s">
        <v>833</v>
      </c>
      <c r="I311" s="18" t="n">
        <f aca="false">COUNTIF(LOOKAHEAD!$B$5:$B$604,H311)</f>
        <v>0</v>
      </c>
    </row>
    <row r="312" customFormat="false" ht="15" hidden="false" customHeight="false" outlineLevel="0" collapsed="false">
      <c r="A312" s="13" t="s">
        <v>1057</v>
      </c>
      <c r="B312" s="13" t="n">
        <v>3</v>
      </c>
      <c r="C312" s="15" t="s">
        <v>1058</v>
      </c>
      <c r="D312" s="13" t="s">
        <v>151</v>
      </c>
      <c r="E312" s="13" t="s">
        <v>882</v>
      </c>
      <c r="F312" s="13" t="str">
        <f aca="false">INDEX($C$5:$C$436,MATCH(E312,$A$5:$A$436,0))</f>
        <v>Instalaciones Eléctricas y Mecánicas</v>
      </c>
      <c r="G312" s="13" t="s">
        <v>1021</v>
      </c>
      <c r="H312" s="13"/>
      <c r="I312" s="13"/>
    </row>
    <row r="313" customFormat="false" ht="15" hidden="false" customHeight="false" outlineLevel="0" collapsed="false">
      <c r="A313" s="16" t="s">
        <v>1059</v>
      </c>
      <c r="B313" s="16" t="n">
        <v>4</v>
      </c>
      <c r="C313" s="17" t="s">
        <v>1060</v>
      </c>
      <c r="D313" s="16" t="s">
        <v>161</v>
      </c>
      <c r="E313" s="16" t="s">
        <v>882</v>
      </c>
      <c r="F313" s="16" t="str">
        <f aca="false">INDEX($C$5:$C$436,MATCH(E313,$A$5:$A$436,0))</f>
        <v>Instalaciones Eléctricas y Mecánicas</v>
      </c>
      <c r="G313" s="16" t="s">
        <v>1058</v>
      </c>
      <c r="H313" s="16" t="s">
        <v>836</v>
      </c>
      <c r="I313" s="18" t="n">
        <f aca="false">COUNTIF(LOOKAHEAD!$B$5:$B$604,H313)</f>
        <v>0</v>
      </c>
    </row>
    <row r="314" customFormat="false" ht="15" hidden="false" customHeight="false" outlineLevel="0" collapsed="false">
      <c r="A314" s="16" t="s">
        <v>1061</v>
      </c>
      <c r="B314" s="16" t="n">
        <v>4</v>
      </c>
      <c r="C314" s="17" t="s">
        <v>1062</v>
      </c>
      <c r="D314" s="16" t="s">
        <v>161</v>
      </c>
      <c r="E314" s="16" t="s">
        <v>882</v>
      </c>
      <c r="F314" s="16" t="str">
        <f aca="false">INDEX($C$5:$C$436,MATCH(E314,$A$5:$A$436,0))</f>
        <v>Instalaciones Eléctricas y Mecánicas</v>
      </c>
      <c r="G314" s="16" t="s">
        <v>1058</v>
      </c>
      <c r="H314" s="16" t="s">
        <v>839</v>
      </c>
      <c r="I314" s="18" t="n">
        <f aca="false">COUNTIF(LOOKAHEAD!$B$5:$B$604,H314)</f>
        <v>0</v>
      </c>
    </row>
    <row r="315" customFormat="false" ht="15" hidden="false" customHeight="false" outlineLevel="0" collapsed="false">
      <c r="A315" s="10" t="s">
        <v>1063</v>
      </c>
      <c r="B315" s="10" t="n">
        <v>1</v>
      </c>
      <c r="C315" s="11" t="s">
        <v>1064</v>
      </c>
      <c r="D315" s="10" t="s">
        <v>151</v>
      </c>
      <c r="E315" s="10" t="s">
        <v>1063</v>
      </c>
      <c r="F315" s="10" t="str">
        <f aca="false">INDEX($C$5:$C$436,MATCH(E315,$A$5:$A$436,0))</f>
        <v>Equipos y mobiliarios</v>
      </c>
      <c r="G315" s="10"/>
      <c r="H315" s="10"/>
      <c r="I315" s="10"/>
    </row>
    <row r="316" customFormat="false" ht="15" hidden="false" customHeight="false" outlineLevel="0" collapsed="false">
      <c r="A316" s="13" t="s">
        <v>1065</v>
      </c>
      <c r="B316" s="13" t="n">
        <v>2</v>
      </c>
      <c r="C316" s="14" t="s">
        <v>1066</v>
      </c>
      <c r="D316" s="13" t="s">
        <v>151</v>
      </c>
      <c r="E316" s="13" t="s">
        <v>1063</v>
      </c>
      <c r="F316" s="13" t="str">
        <f aca="false">INDEX($C$5:$C$436,MATCH(E316,$A$5:$A$436,0))</f>
        <v>Equipos y mobiliarios</v>
      </c>
      <c r="G316" s="13" t="s">
        <v>1064</v>
      </c>
      <c r="H316" s="13"/>
      <c r="I316" s="13"/>
    </row>
    <row r="317" customFormat="false" ht="15" hidden="false" customHeight="false" outlineLevel="0" collapsed="false">
      <c r="A317" s="13" t="s">
        <v>1067</v>
      </c>
      <c r="B317" s="13" t="n">
        <v>3</v>
      </c>
      <c r="C317" s="15" t="s">
        <v>62</v>
      </c>
      <c r="D317" s="13" t="s">
        <v>151</v>
      </c>
      <c r="E317" s="13" t="s">
        <v>1063</v>
      </c>
      <c r="F317" s="13" t="str">
        <f aca="false">INDEX($C$5:$C$436,MATCH(E317,$A$5:$A$436,0))</f>
        <v>Equipos y mobiliarios</v>
      </c>
      <c r="G317" s="13" t="s">
        <v>1066</v>
      </c>
      <c r="H317" s="13"/>
      <c r="I317" s="13"/>
    </row>
    <row r="318" customFormat="false" ht="15" hidden="false" customHeight="false" outlineLevel="0" collapsed="false">
      <c r="A318" s="13" t="s">
        <v>1068</v>
      </c>
      <c r="B318" s="13" t="n">
        <v>4</v>
      </c>
      <c r="C318" s="20" t="s">
        <v>1069</v>
      </c>
      <c r="D318" s="13" t="s">
        <v>151</v>
      </c>
      <c r="E318" s="13" t="s">
        <v>1063</v>
      </c>
      <c r="F318" s="13" t="str">
        <f aca="false">INDEX($C$5:$C$436,MATCH(E318,$A$5:$A$436,0))</f>
        <v>Equipos y mobiliarios</v>
      </c>
      <c r="G318" s="13" t="s">
        <v>62</v>
      </c>
      <c r="H318" s="13"/>
      <c r="I318" s="13"/>
    </row>
    <row r="319" customFormat="false" ht="15" hidden="false" customHeight="false" outlineLevel="0" collapsed="false">
      <c r="A319" s="16" t="s">
        <v>1070</v>
      </c>
      <c r="B319" s="16" t="n">
        <v>5</v>
      </c>
      <c r="C319" s="21" t="s">
        <v>1071</v>
      </c>
      <c r="D319" s="16" t="s">
        <v>161</v>
      </c>
      <c r="E319" s="16" t="s">
        <v>1063</v>
      </c>
      <c r="F319" s="16" t="str">
        <f aca="false">INDEX($C$5:$C$436,MATCH(E319,$A$5:$A$436,0))</f>
        <v>Equipos y mobiliarios</v>
      </c>
      <c r="G319" s="16" t="s">
        <v>1069</v>
      </c>
      <c r="H319" s="16" t="s">
        <v>842</v>
      </c>
      <c r="I319" s="18" t="n">
        <f aca="false">COUNTIF(LOOKAHEAD!$B$5:$B$604,H319)</f>
        <v>0</v>
      </c>
    </row>
    <row r="320" customFormat="false" ht="15" hidden="false" customHeight="false" outlineLevel="0" collapsed="false">
      <c r="A320" s="16" t="s">
        <v>1072</v>
      </c>
      <c r="B320" s="16" t="n">
        <v>5</v>
      </c>
      <c r="C320" s="21" t="s">
        <v>1073</v>
      </c>
      <c r="D320" s="16" t="s">
        <v>161</v>
      </c>
      <c r="E320" s="16" t="s">
        <v>1063</v>
      </c>
      <c r="F320" s="16" t="str">
        <f aca="false">INDEX($C$5:$C$436,MATCH(E320,$A$5:$A$436,0))</f>
        <v>Equipos y mobiliarios</v>
      </c>
      <c r="G320" s="16" t="s">
        <v>1069</v>
      </c>
      <c r="H320" s="16" t="s">
        <v>845</v>
      </c>
      <c r="I320" s="18" t="n">
        <f aca="false">COUNTIF(LOOKAHEAD!$B$5:$B$604,H320)</f>
        <v>0</v>
      </c>
    </row>
    <row r="321" customFormat="false" ht="15" hidden="false" customHeight="false" outlineLevel="0" collapsed="false">
      <c r="A321" s="13" t="s">
        <v>1074</v>
      </c>
      <c r="B321" s="13" t="n">
        <v>4</v>
      </c>
      <c r="C321" s="20" t="s">
        <v>1075</v>
      </c>
      <c r="D321" s="13" t="s">
        <v>151</v>
      </c>
      <c r="E321" s="13" t="s">
        <v>1063</v>
      </c>
      <c r="F321" s="13" t="str">
        <f aca="false">INDEX($C$5:$C$436,MATCH(E321,$A$5:$A$436,0))</f>
        <v>Equipos y mobiliarios</v>
      </c>
      <c r="G321" s="13" t="s">
        <v>62</v>
      </c>
      <c r="H321" s="13"/>
      <c r="I321" s="13"/>
    </row>
    <row r="322" customFormat="false" ht="15" hidden="false" customHeight="false" outlineLevel="0" collapsed="false">
      <c r="A322" s="16" t="s">
        <v>1076</v>
      </c>
      <c r="B322" s="16" t="n">
        <v>5</v>
      </c>
      <c r="C322" s="21" t="s">
        <v>1077</v>
      </c>
      <c r="D322" s="16" t="s">
        <v>161</v>
      </c>
      <c r="E322" s="16" t="s">
        <v>1063</v>
      </c>
      <c r="F322" s="16" t="str">
        <f aca="false">INDEX($C$5:$C$436,MATCH(E322,$A$5:$A$436,0))</f>
        <v>Equipos y mobiliarios</v>
      </c>
      <c r="G322" s="16" t="s">
        <v>1075</v>
      </c>
      <c r="H322" s="16" t="s">
        <v>848</v>
      </c>
      <c r="I322" s="18" t="n">
        <f aca="false">COUNTIF(LOOKAHEAD!$B$5:$B$604,H322)</f>
        <v>0</v>
      </c>
    </row>
    <row r="323" customFormat="false" ht="15" hidden="false" customHeight="false" outlineLevel="0" collapsed="false">
      <c r="A323" s="16" t="s">
        <v>1078</v>
      </c>
      <c r="B323" s="16" t="n">
        <v>5</v>
      </c>
      <c r="C323" s="21" t="s">
        <v>1079</v>
      </c>
      <c r="D323" s="16" t="s">
        <v>161</v>
      </c>
      <c r="E323" s="16" t="s">
        <v>1063</v>
      </c>
      <c r="F323" s="16" t="str">
        <f aca="false">INDEX($C$5:$C$436,MATCH(E323,$A$5:$A$436,0))</f>
        <v>Equipos y mobiliarios</v>
      </c>
      <c r="G323" s="16" t="s">
        <v>1075</v>
      </c>
      <c r="H323" s="16" t="s">
        <v>851</v>
      </c>
      <c r="I323" s="18" t="n">
        <f aca="false">COUNTIF(LOOKAHEAD!$B$5:$B$604,H323)</f>
        <v>0</v>
      </c>
    </row>
    <row r="324" customFormat="false" ht="15" hidden="false" customHeight="false" outlineLevel="0" collapsed="false">
      <c r="A324" s="13" t="s">
        <v>1080</v>
      </c>
      <c r="B324" s="13" t="n">
        <v>4</v>
      </c>
      <c r="C324" s="20" t="s">
        <v>1081</v>
      </c>
      <c r="D324" s="13" t="s">
        <v>151</v>
      </c>
      <c r="E324" s="13" t="s">
        <v>1063</v>
      </c>
      <c r="F324" s="13" t="str">
        <f aca="false">INDEX($C$5:$C$436,MATCH(E324,$A$5:$A$436,0))</f>
        <v>Equipos y mobiliarios</v>
      </c>
      <c r="G324" s="13" t="s">
        <v>62</v>
      </c>
      <c r="H324" s="13"/>
      <c r="I324" s="13"/>
    </row>
    <row r="325" customFormat="false" ht="15" hidden="false" customHeight="false" outlineLevel="0" collapsed="false">
      <c r="A325" s="16" t="s">
        <v>1082</v>
      </c>
      <c r="B325" s="16" t="n">
        <v>5</v>
      </c>
      <c r="C325" s="21" t="s">
        <v>1083</v>
      </c>
      <c r="D325" s="16" t="s">
        <v>161</v>
      </c>
      <c r="E325" s="16" t="s">
        <v>1063</v>
      </c>
      <c r="F325" s="16" t="str">
        <f aca="false">INDEX($C$5:$C$436,MATCH(E325,$A$5:$A$436,0))</f>
        <v>Equipos y mobiliarios</v>
      </c>
      <c r="G325" s="16" t="s">
        <v>1081</v>
      </c>
      <c r="H325" s="16" t="s">
        <v>854</v>
      </c>
      <c r="I325" s="18" t="n">
        <f aca="false">COUNTIF(LOOKAHEAD!$B$5:$B$604,H325)</f>
        <v>0</v>
      </c>
    </row>
    <row r="326" customFormat="false" ht="15" hidden="false" customHeight="false" outlineLevel="0" collapsed="false">
      <c r="A326" s="16" t="s">
        <v>1084</v>
      </c>
      <c r="B326" s="16" t="n">
        <v>5</v>
      </c>
      <c r="C326" s="21" t="s">
        <v>1085</v>
      </c>
      <c r="D326" s="16" t="s">
        <v>161</v>
      </c>
      <c r="E326" s="16" t="s">
        <v>1063</v>
      </c>
      <c r="F326" s="16" t="str">
        <f aca="false">INDEX($C$5:$C$436,MATCH(E326,$A$5:$A$436,0))</f>
        <v>Equipos y mobiliarios</v>
      </c>
      <c r="G326" s="16" t="s">
        <v>1081</v>
      </c>
      <c r="H326" s="16" t="s">
        <v>857</v>
      </c>
      <c r="I326" s="18" t="n">
        <f aca="false">COUNTIF(LOOKAHEAD!$B$5:$B$604,H326)</f>
        <v>0</v>
      </c>
    </row>
    <row r="327" customFormat="false" ht="15" hidden="false" customHeight="false" outlineLevel="0" collapsed="false">
      <c r="A327" s="13" t="s">
        <v>1086</v>
      </c>
      <c r="B327" s="13" t="n">
        <v>3</v>
      </c>
      <c r="C327" s="15" t="s">
        <v>68</v>
      </c>
      <c r="D327" s="13" t="s">
        <v>151</v>
      </c>
      <c r="E327" s="13" t="s">
        <v>1063</v>
      </c>
      <c r="F327" s="13" t="str">
        <f aca="false">INDEX($C$5:$C$436,MATCH(E327,$A$5:$A$436,0))</f>
        <v>Equipos y mobiliarios</v>
      </c>
      <c r="G327" s="13" t="s">
        <v>1066</v>
      </c>
      <c r="H327" s="13"/>
      <c r="I327" s="13"/>
    </row>
    <row r="328" customFormat="false" ht="15" hidden="false" customHeight="false" outlineLevel="0" collapsed="false">
      <c r="A328" s="13" t="s">
        <v>1087</v>
      </c>
      <c r="B328" s="13" t="n">
        <v>4</v>
      </c>
      <c r="C328" s="20" t="s">
        <v>1069</v>
      </c>
      <c r="D328" s="13" t="s">
        <v>151</v>
      </c>
      <c r="E328" s="13" t="s">
        <v>1063</v>
      </c>
      <c r="F328" s="13" t="str">
        <f aca="false">INDEX($C$5:$C$436,MATCH(E328,$A$5:$A$436,0))</f>
        <v>Equipos y mobiliarios</v>
      </c>
      <c r="G328" s="13" t="s">
        <v>68</v>
      </c>
      <c r="H328" s="13"/>
      <c r="I328" s="13"/>
    </row>
    <row r="329" customFormat="false" ht="15" hidden="false" customHeight="false" outlineLevel="0" collapsed="false">
      <c r="A329" s="16" t="s">
        <v>1088</v>
      </c>
      <c r="B329" s="16" t="n">
        <v>5</v>
      </c>
      <c r="C329" s="21" t="s">
        <v>1089</v>
      </c>
      <c r="D329" s="16" t="s">
        <v>161</v>
      </c>
      <c r="E329" s="16" t="s">
        <v>1063</v>
      </c>
      <c r="F329" s="16" t="str">
        <f aca="false">INDEX($C$5:$C$436,MATCH(E329,$A$5:$A$436,0))</f>
        <v>Equipos y mobiliarios</v>
      </c>
      <c r="G329" s="16" t="s">
        <v>1069</v>
      </c>
      <c r="H329" s="16" t="s">
        <v>860</v>
      </c>
      <c r="I329" s="18" t="n">
        <f aca="false">COUNTIF(LOOKAHEAD!$B$5:$B$604,H329)</f>
        <v>0</v>
      </c>
    </row>
    <row r="330" customFormat="false" ht="15" hidden="false" customHeight="false" outlineLevel="0" collapsed="false">
      <c r="A330" s="16" t="s">
        <v>1090</v>
      </c>
      <c r="B330" s="16" t="n">
        <v>5</v>
      </c>
      <c r="C330" s="21" t="s">
        <v>1091</v>
      </c>
      <c r="D330" s="16" t="s">
        <v>161</v>
      </c>
      <c r="E330" s="16" t="s">
        <v>1063</v>
      </c>
      <c r="F330" s="16" t="str">
        <f aca="false">INDEX($C$5:$C$436,MATCH(E330,$A$5:$A$436,0))</f>
        <v>Equipos y mobiliarios</v>
      </c>
      <c r="G330" s="16" t="s">
        <v>1069</v>
      </c>
      <c r="H330" s="16" t="s">
        <v>863</v>
      </c>
      <c r="I330" s="18" t="n">
        <f aca="false">COUNTIF(LOOKAHEAD!$B$5:$B$604,H330)</f>
        <v>0</v>
      </c>
    </row>
    <row r="331" customFormat="false" ht="15" hidden="false" customHeight="false" outlineLevel="0" collapsed="false">
      <c r="A331" s="13" t="s">
        <v>1092</v>
      </c>
      <c r="B331" s="13" t="n">
        <v>4</v>
      </c>
      <c r="C331" s="20" t="s">
        <v>1075</v>
      </c>
      <c r="D331" s="13" t="s">
        <v>151</v>
      </c>
      <c r="E331" s="13" t="s">
        <v>1063</v>
      </c>
      <c r="F331" s="13" t="str">
        <f aca="false">INDEX($C$5:$C$436,MATCH(E331,$A$5:$A$436,0))</f>
        <v>Equipos y mobiliarios</v>
      </c>
      <c r="G331" s="13" t="s">
        <v>68</v>
      </c>
      <c r="H331" s="13"/>
      <c r="I331" s="13"/>
    </row>
    <row r="332" customFormat="false" ht="15" hidden="false" customHeight="false" outlineLevel="0" collapsed="false">
      <c r="A332" s="16" t="s">
        <v>1093</v>
      </c>
      <c r="B332" s="16" t="n">
        <v>5</v>
      </c>
      <c r="C332" s="21" t="s">
        <v>1094</v>
      </c>
      <c r="D332" s="16" t="s">
        <v>161</v>
      </c>
      <c r="E332" s="16" t="s">
        <v>1063</v>
      </c>
      <c r="F332" s="16" t="str">
        <f aca="false">INDEX($C$5:$C$436,MATCH(E332,$A$5:$A$436,0))</f>
        <v>Equipos y mobiliarios</v>
      </c>
      <c r="G332" s="16" t="s">
        <v>1075</v>
      </c>
      <c r="H332" s="16" t="s">
        <v>866</v>
      </c>
      <c r="I332" s="18" t="n">
        <f aca="false">COUNTIF(LOOKAHEAD!$B$5:$B$604,H332)</f>
        <v>0</v>
      </c>
    </row>
    <row r="333" customFormat="false" ht="15" hidden="false" customHeight="false" outlineLevel="0" collapsed="false">
      <c r="A333" s="16" t="s">
        <v>1095</v>
      </c>
      <c r="B333" s="16" t="n">
        <v>5</v>
      </c>
      <c r="C333" s="21" t="s">
        <v>1096</v>
      </c>
      <c r="D333" s="16" t="s">
        <v>161</v>
      </c>
      <c r="E333" s="16" t="s">
        <v>1063</v>
      </c>
      <c r="F333" s="16" t="str">
        <f aca="false">INDEX($C$5:$C$436,MATCH(E333,$A$5:$A$436,0))</f>
        <v>Equipos y mobiliarios</v>
      </c>
      <c r="G333" s="16" t="s">
        <v>1075</v>
      </c>
      <c r="H333" s="16" t="s">
        <v>869</v>
      </c>
      <c r="I333" s="18" t="n">
        <f aca="false">COUNTIF(LOOKAHEAD!$B$5:$B$604,H333)</f>
        <v>0</v>
      </c>
    </row>
    <row r="334" customFormat="false" ht="15" hidden="false" customHeight="false" outlineLevel="0" collapsed="false">
      <c r="A334" s="13" t="s">
        <v>1097</v>
      </c>
      <c r="B334" s="13" t="n">
        <v>3</v>
      </c>
      <c r="C334" s="15" t="s">
        <v>74</v>
      </c>
      <c r="D334" s="13" t="s">
        <v>151</v>
      </c>
      <c r="E334" s="13" t="s">
        <v>1063</v>
      </c>
      <c r="F334" s="13" t="str">
        <f aca="false">INDEX($C$5:$C$436,MATCH(E334,$A$5:$A$436,0))</f>
        <v>Equipos y mobiliarios</v>
      </c>
      <c r="G334" s="13" t="s">
        <v>1066</v>
      </c>
      <c r="H334" s="13"/>
      <c r="I334" s="13"/>
    </row>
    <row r="335" customFormat="false" ht="15" hidden="false" customHeight="false" outlineLevel="0" collapsed="false">
      <c r="A335" s="13" t="s">
        <v>1098</v>
      </c>
      <c r="B335" s="13" t="n">
        <v>4</v>
      </c>
      <c r="C335" s="20" t="s">
        <v>1069</v>
      </c>
      <c r="D335" s="13" t="s">
        <v>151</v>
      </c>
      <c r="E335" s="13" t="s">
        <v>1063</v>
      </c>
      <c r="F335" s="13" t="str">
        <f aca="false">INDEX($C$5:$C$436,MATCH(E335,$A$5:$A$436,0))</f>
        <v>Equipos y mobiliarios</v>
      </c>
      <c r="G335" s="13" t="s">
        <v>74</v>
      </c>
      <c r="H335" s="13"/>
      <c r="I335" s="13"/>
    </row>
    <row r="336" customFormat="false" ht="15" hidden="false" customHeight="false" outlineLevel="0" collapsed="false">
      <c r="A336" s="16" t="s">
        <v>1099</v>
      </c>
      <c r="B336" s="16" t="n">
        <v>5</v>
      </c>
      <c r="C336" s="21" t="s">
        <v>1100</v>
      </c>
      <c r="D336" s="16" t="s">
        <v>161</v>
      </c>
      <c r="E336" s="16" t="s">
        <v>1063</v>
      </c>
      <c r="F336" s="16" t="str">
        <f aca="false">INDEX($C$5:$C$436,MATCH(E336,$A$5:$A$436,0))</f>
        <v>Equipos y mobiliarios</v>
      </c>
      <c r="G336" s="16" t="s">
        <v>1069</v>
      </c>
      <c r="H336" s="16" t="s">
        <v>872</v>
      </c>
      <c r="I336" s="18" t="n">
        <f aca="false">COUNTIF(LOOKAHEAD!$B$5:$B$604,H336)</f>
        <v>0</v>
      </c>
    </row>
    <row r="337" customFormat="false" ht="15" hidden="false" customHeight="false" outlineLevel="0" collapsed="false">
      <c r="A337" s="16" t="s">
        <v>1101</v>
      </c>
      <c r="B337" s="16" t="n">
        <v>5</v>
      </c>
      <c r="C337" s="21" t="s">
        <v>1102</v>
      </c>
      <c r="D337" s="16" t="s">
        <v>161</v>
      </c>
      <c r="E337" s="16" t="s">
        <v>1063</v>
      </c>
      <c r="F337" s="16" t="str">
        <f aca="false">INDEX($C$5:$C$436,MATCH(E337,$A$5:$A$436,0))</f>
        <v>Equipos y mobiliarios</v>
      </c>
      <c r="G337" s="16" t="s">
        <v>1069</v>
      </c>
      <c r="H337" s="16" t="s">
        <v>875</v>
      </c>
      <c r="I337" s="18" t="n">
        <f aca="false">COUNTIF(LOOKAHEAD!$B$5:$B$604,H337)</f>
        <v>0</v>
      </c>
    </row>
    <row r="338" customFormat="false" ht="15" hidden="false" customHeight="false" outlineLevel="0" collapsed="false">
      <c r="A338" s="13" t="s">
        <v>1103</v>
      </c>
      <c r="B338" s="13" t="n">
        <v>4</v>
      </c>
      <c r="C338" s="20" t="s">
        <v>1075</v>
      </c>
      <c r="D338" s="13" t="s">
        <v>151</v>
      </c>
      <c r="E338" s="13" t="s">
        <v>1063</v>
      </c>
      <c r="F338" s="13" t="str">
        <f aca="false">INDEX($C$5:$C$436,MATCH(E338,$A$5:$A$436,0))</f>
        <v>Equipos y mobiliarios</v>
      </c>
      <c r="G338" s="13" t="s">
        <v>74</v>
      </c>
      <c r="H338" s="13"/>
      <c r="I338" s="13"/>
    </row>
    <row r="339" customFormat="false" ht="15" hidden="false" customHeight="false" outlineLevel="0" collapsed="false">
      <c r="A339" s="16" t="s">
        <v>1104</v>
      </c>
      <c r="B339" s="16" t="n">
        <v>5</v>
      </c>
      <c r="C339" s="21" t="s">
        <v>1105</v>
      </c>
      <c r="D339" s="16" t="s">
        <v>161</v>
      </c>
      <c r="E339" s="16" t="s">
        <v>1063</v>
      </c>
      <c r="F339" s="16" t="str">
        <f aca="false">INDEX($C$5:$C$436,MATCH(E339,$A$5:$A$436,0))</f>
        <v>Equipos y mobiliarios</v>
      </c>
      <c r="G339" s="16" t="s">
        <v>1075</v>
      </c>
      <c r="H339" s="16" t="s">
        <v>878</v>
      </c>
      <c r="I339" s="18" t="n">
        <f aca="false">COUNTIF(LOOKAHEAD!$B$5:$B$604,H339)</f>
        <v>0</v>
      </c>
    </row>
    <row r="340" customFormat="false" ht="15" hidden="false" customHeight="false" outlineLevel="0" collapsed="false">
      <c r="A340" s="13" t="s">
        <v>1106</v>
      </c>
      <c r="B340" s="13" t="n">
        <v>4</v>
      </c>
      <c r="C340" s="20" t="s">
        <v>1081</v>
      </c>
      <c r="D340" s="13" t="s">
        <v>151</v>
      </c>
      <c r="E340" s="13" t="s">
        <v>1063</v>
      </c>
      <c r="F340" s="13" t="str">
        <f aca="false">INDEX($C$5:$C$436,MATCH(E340,$A$5:$A$436,0))</f>
        <v>Equipos y mobiliarios</v>
      </c>
      <c r="G340" s="13" t="s">
        <v>74</v>
      </c>
      <c r="H340" s="13"/>
      <c r="I340" s="13"/>
    </row>
    <row r="341" customFormat="false" ht="15" hidden="false" customHeight="false" outlineLevel="0" collapsed="false">
      <c r="A341" s="16" t="s">
        <v>1107</v>
      </c>
      <c r="B341" s="16" t="n">
        <v>5</v>
      </c>
      <c r="C341" s="21" t="s">
        <v>1108</v>
      </c>
      <c r="D341" s="16" t="s">
        <v>161</v>
      </c>
      <c r="E341" s="16" t="s">
        <v>1063</v>
      </c>
      <c r="F341" s="16" t="str">
        <f aca="false">INDEX($C$5:$C$436,MATCH(E341,$A$5:$A$436,0))</f>
        <v>Equipos y mobiliarios</v>
      </c>
      <c r="G341" s="16" t="s">
        <v>1081</v>
      </c>
      <c r="H341" s="16" t="s">
        <v>881</v>
      </c>
      <c r="I341" s="18" t="n">
        <f aca="false">COUNTIF(LOOKAHEAD!$B$5:$B$604,H341)</f>
        <v>0</v>
      </c>
    </row>
    <row r="342" customFormat="false" ht="15" hidden="false" customHeight="false" outlineLevel="0" collapsed="false">
      <c r="A342" s="16" t="s">
        <v>1109</v>
      </c>
      <c r="B342" s="16" t="n">
        <v>5</v>
      </c>
      <c r="C342" s="21" t="s">
        <v>1110</v>
      </c>
      <c r="D342" s="16" t="s">
        <v>161</v>
      </c>
      <c r="E342" s="16" t="s">
        <v>1063</v>
      </c>
      <c r="F342" s="16" t="str">
        <f aca="false">INDEX($C$5:$C$436,MATCH(E342,$A$5:$A$436,0))</f>
        <v>Equipos y mobiliarios</v>
      </c>
      <c r="G342" s="16" t="s">
        <v>1081</v>
      </c>
      <c r="H342" s="16" t="s">
        <v>884</v>
      </c>
      <c r="I342" s="18" t="n">
        <f aca="false">COUNTIF(LOOKAHEAD!$B$5:$B$604,H342)</f>
        <v>0</v>
      </c>
    </row>
    <row r="343" customFormat="false" ht="15" hidden="false" customHeight="false" outlineLevel="0" collapsed="false">
      <c r="A343" s="13" t="s">
        <v>1111</v>
      </c>
      <c r="B343" s="13" t="n">
        <v>3</v>
      </c>
      <c r="C343" s="15" t="s">
        <v>80</v>
      </c>
      <c r="D343" s="13" t="s">
        <v>151</v>
      </c>
      <c r="E343" s="13" t="s">
        <v>1063</v>
      </c>
      <c r="F343" s="13" t="str">
        <f aca="false">INDEX($C$5:$C$436,MATCH(E343,$A$5:$A$436,0))</f>
        <v>Equipos y mobiliarios</v>
      </c>
      <c r="G343" s="13" t="s">
        <v>1066</v>
      </c>
      <c r="H343" s="13"/>
      <c r="I343" s="13"/>
    </row>
    <row r="344" customFormat="false" ht="15" hidden="false" customHeight="false" outlineLevel="0" collapsed="false">
      <c r="A344" s="13" t="s">
        <v>1112</v>
      </c>
      <c r="B344" s="13" t="n">
        <v>4</v>
      </c>
      <c r="C344" s="20" t="s">
        <v>1069</v>
      </c>
      <c r="D344" s="13" t="s">
        <v>151</v>
      </c>
      <c r="E344" s="13" t="s">
        <v>1063</v>
      </c>
      <c r="F344" s="13" t="str">
        <f aca="false">INDEX($C$5:$C$436,MATCH(E344,$A$5:$A$436,0))</f>
        <v>Equipos y mobiliarios</v>
      </c>
      <c r="G344" s="13" t="s">
        <v>80</v>
      </c>
      <c r="H344" s="13"/>
      <c r="I344" s="13"/>
    </row>
    <row r="345" customFormat="false" ht="15" hidden="false" customHeight="false" outlineLevel="0" collapsed="false">
      <c r="A345" s="16" t="s">
        <v>1113</v>
      </c>
      <c r="B345" s="16" t="n">
        <v>5</v>
      </c>
      <c r="C345" s="21" t="s">
        <v>1114</v>
      </c>
      <c r="D345" s="16" t="s">
        <v>161</v>
      </c>
      <c r="E345" s="16" t="s">
        <v>1063</v>
      </c>
      <c r="F345" s="16" t="str">
        <f aca="false">INDEX($C$5:$C$436,MATCH(E345,$A$5:$A$436,0))</f>
        <v>Equipos y mobiliarios</v>
      </c>
      <c r="G345" s="16" t="s">
        <v>1069</v>
      </c>
      <c r="H345" s="16" t="s">
        <v>887</v>
      </c>
      <c r="I345" s="18" t="n">
        <f aca="false">COUNTIF(LOOKAHEAD!$B$5:$B$604,H345)</f>
        <v>0</v>
      </c>
    </row>
    <row r="346" customFormat="false" ht="15" hidden="false" customHeight="false" outlineLevel="0" collapsed="false">
      <c r="A346" s="16" t="s">
        <v>1115</v>
      </c>
      <c r="B346" s="16" t="n">
        <v>5</v>
      </c>
      <c r="C346" s="21" t="s">
        <v>1116</v>
      </c>
      <c r="D346" s="16" t="s">
        <v>161</v>
      </c>
      <c r="E346" s="16" t="s">
        <v>1063</v>
      </c>
      <c r="F346" s="16" t="str">
        <f aca="false">INDEX($C$5:$C$436,MATCH(E346,$A$5:$A$436,0))</f>
        <v>Equipos y mobiliarios</v>
      </c>
      <c r="G346" s="16" t="s">
        <v>1069</v>
      </c>
      <c r="H346" s="16" t="s">
        <v>889</v>
      </c>
      <c r="I346" s="18" t="n">
        <f aca="false">COUNTIF(LOOKAHEAD!$B$5:$B$604,H346)</f>
        <v>0</v>
      </c>
    </row>
    <row r="347" customFormat="false" ht="15" hidden="false" customHeight="false" outlineLevel="0" collapsed="false">
      <c r="A347" s="13" t="s">
        <v>1117</v>
      </c>
      <c r="B347" s="13" t="n">
        <v>3</v>
      </c>
      <c r="C347" s="15" t="s">
        <v>86</v>
      </c>
      <c r="D347" s="13" t="s">
        <v>151</v>
      </c>
      <c r="E347" s="13" t="s">
        <v>1063</v>
      </c>
      <c r="F347" s="13" t="str">
        <f aca="false">INDEX($C$5:$C$436,MATCH(E347,$A$5:$A$436,0))</f>
        <v>Equipos y mobiliarios</v>
      </c>
      <c r="G347" s="13" t="s">
        <v>1066</v>
      </c>
      <c r="H347" s="13"/>
      <c r="I347" s="13"/>
    </row>
    <row r="348" customFormat="false" ht="15" hidden="false" customHeight="false" outlineLevel="0" collapsed="false">
      <c r="A348" s="13" t="s">
        <v>1118</v>
      </c>
      <c r="B348" s="13" t="n">
        <v>4</v>
      </c>
      <c r="C348" s="20" t="s">
        <v>1069</v>
      </c>
      <c r="D348" s="13" t="s">
        <v>151</v>
      </c>
      <c r="E348" s="13" t="s">
        <v>1063</v>
      </c>
      <c r="F348" s="13" t="str">
        <f aca="false">INDEX($C$5:$C$436,MATCH(E348,$A$5:$A$436,0))</f>
        <v>Equipos y mobiliarios</v>
      </c>
      <c r="G348" s="13" t="s">
        <v>86</v>
      </c>
      <c r="H348" s="13"/>
      <c r="I348" s="13"/>
    </row>
    <row r="349" customFormat="false" ht="15" hidden="false" customHeight="false" outlineLevel="0" collapsed="false">
      <c r="A349" s="16" t="s">
        <v>1119</v>
      </c>
      <c r="B349" s="16" t="n">
        <v>5</v>
      </c>
      <c r="C349" s="21" t="s">
        <v>1120</v>
      </c>
      <c r="D349" s="16" t="s">
        <v>161</v>
      </c>
      <c r="E349" s="16" t="s">
        <v>1063</v>
      </c>
      <c r="F349" s="16" t="str">
        <f aca="false">INDEX($C$5:$C$436,MATCH(E349,$A$5:$A$436,0))</f>
        <v>Equipos y mobiliarios</v>
      </c>
      <c r="G349" s="16" t="s">
        <v>1069</v>
      </c>
      <c r="H349" s="16" t="s">
        <v>892</v>
      </c>
      <c r="I349" s="18" t="n">
        <f aca="false">COUNTIF(LOOKAHEAD!$B$5:$B$604,H349)</f>
        <v>0</v>
      </c>
    </row>
    <row r="350" customFormat="false" ht="15" hidden="false" customHeight="false" outlineLevel="0" collapsed="false">
      <c r="A350" s="16" t="s">
        <v>1121</v>
      </c>
      <c r="B350" s="16" t="n">
        <v>5</v>
      </c>
      <c r="C350" s="21" t="s">
        <v>1122</v>
      </c>
      <c r="D350" s="16" t="s">
        <v>161</v>
      </c>
      <c r="E350" s="16" t="s">
        <v>1063</v>
      </c>
      <c r="F350" s="16" t="str">
        <f aca="false">INDEX($C$5:$C$436,MATCH(E350,$A$5:$A$436,0))</f>
        <v>Equipos y mobiliarios</v>
      </c>
      <c r="G350" s="16" t="s">
        <v>1069</v>
      </c>
      <c r="H350" s="16" t="s">
        <v>895</v>
      </c>
      <c r="I350" s="18" t="n">
        <f aca="false">COUNTIF(LOOKAHEAD!$B$5:$B$604,H350)</f>
        <v>0</v>
      </c>
    </row>
    <row r="351" customFormat="false" ht="15" hidden="false" customHeight="false" outlineLevel="0" collapsed="false">
      <c r="A351" s="13" t="s">
        <v>1123</v>
      </c>
      <c r="B351" s="13" t="n">
        <v>4</v>
      </c>
      <c r="C351" s="20" t="s">
        <v>1075</v>
      </c>
      <c r="D351" s="13" t="s">
        <v>151</v>
      </c>
      <c r="E351" s="13" t="s">
        <v>1063</v>
      </c>
      <c r="F351" s="13" t="str">
        <f aca="false">INDEX($C$5:$C$436,MATCH(E351,$A$5:$A$436,0))</f>
        <v>Equipos y mobiliarios</v>
      </c>
      <c r="G351" s="13" t="s">
        <v>86</v>
      </c>
      <c r="H351" s="13"/>
      <c r="I351" s="13"/>
    </row>
    <row r="352" customFormat="false" ht="15" hidden="false" customHeight="false" outlineLevel="0" collapsed="false">
      <c r="A352" s="16" t="s">
        <v>1124</v>
      </c>
      <c r="B352" s="16" t="n">
        <v>5</v>
      </c>
      <c r="C352" s="21" t="s">
        <v>1125</v>
      </c>
      <c r="D352" s="16" t="s">
        <v>161</v>
      </c>
      <c r="E352" s="16" t="s">
        <v>1063</v>
      </c>
      <c r="F352" s="16" t="str">
        <f aca="false">INDEX($C$5:$C$436,MATCH(E352,$A$5:$A$436,0))</f>
        <v>Equipos y mobiliarios</v>
      </c>
      <c r="G352" s="16" t="s">
        <v>1075</v>
      </c>
      <c r="H352" s="16" t="s">
        <v>898</v>
      </c>
      <c r="I352" s="18" t="n">
        <f aca="false">COUNTIF(LOOKAHEAD!$B$5:$B$604,H352)</f>
        <v>0</v>
      </c>
    </row>
    <row r="353" customFormat="false" ht="15" hidden="false" customHeight="false" outlineLevel="0" collapsed="false">
      <c r="A353" s="16" t="s">
        <v>1126</v>
      </c>
      <c r="B353" s="16" t="n">
        <v>5</v>
      </c>
      <c r="C353" s="21" t="s">
        <v>1127</v>
      </c>
      <c r="D353" s="16" t="s">
        <v>161</v>
      </c>
      <c r="E353" s="16" t="s">
        <v>1063</v>
      </c>
      <c r="F353" s="16" t="str">
        <f aca="false">INDEX($C$5:$C$436,MATCH(E353,$A$5:$A$436,0))</f>
        <v>Equipos y mobiliarios</v>
      </c>
      <c r="G353" s="16" t="s">
        <v>1075</v>
      </c>
      <c r="H353" s="16" t="s">
        <v>901</v>
      </c>
      <c r="I353" s="18" t="n">
        <f aca="false">COUNTIF(LOOKAHEAD!$B$5:$B$604,H353)</f>
        <v>0</v>
      </c>
    </row>
    <row r="354" customFormat="false" ht="15" hidden="false" customHeight="false" outlineLevel="0" collapsed="false">
      <c r="A354" s="13" t="s">
        <v>1128</v>
      </c>
      <c r="B354" s="13" t="n">
        <v>3</v>
      </c>
      <c r="C354" s="15" t="s">
        <v>92</v>
      </c>
      <c r="D354" s="13" t="s">
        <v>151</v>
      </c>
      <c r="E354" s="13" t="s">
        <v>1063</v>
      </c>
      <c r="F354" s="13" t="str">
        <f aca="false">INDEX($C$5:$C$436,MATCH(E354,$A$5:$A$436,0))</f>
        <v>Equipos y mobiliarios</v>
      </c>
      <c r="G354" s="13" t="s">
        <v>1066</v>
      </c>
      <c r="H354" s="13"/>
      <c r="I354" s="13"/>
    </row>
    <row r="355" customFormat="false" ht="15" hidden="false" customHeight="false" outlineLevel="0" collapsed="false">
      <c r="A355" s="13" t="s">
        <v>1129</v>
      </c>
      <c r="B355" s="13" t="n">
        <v>4</v>
      </c>
      <c r="C355" s="20" t="s">
        <v>1069</v>
      </c>
      <c r="D355" s="13" t="s">
        <v>151</v>
      </c>
      <c r="E355" s="13" t="s">
        <v>1063</v>
      </c>
      <c r="F355" s="13" t="str">
        <f aca="false">INDEX($C$5:$C$436,MATCH(E355,$A$5:$A$436,0))</f>
        <v>Equipos y mobiliarios</v>
      </c>
      <c r="G355" s="13" t="s">
        <v>92</v>
      </c>
      <c r="H355" s="13"/>
      <c r="I355" s="13"/>
    </row>
    <row r="356" customFormat="false" ht="15" hidden="false" customHeight="false" outlineLevel="0" collapsed="false">
      <c r="A356" s="16" t="s">
        <v>1130</v>
      </c>
      <c r="B356" s="16" t="n">
        <v>5</v>
      </c>
      <c r="C356" s="21" t="s">
        <v>1131</v>
      </c>
      <c r="D356" s="16" t="s">
        <v>161</v>
      </c>
      <c r="E356" s="16" t="s">
        <v>1063</v>
      </c>
      <c r="F356" s="16" t="str">
        <f aca="false">INDEX($C$5:$C$436,MATCH(E356,$A$5:$A$436,0))</f>
        <v>Equipos y mobiliarios</v>
      </c>
      <c r="G356" s="16" t="s">
        <v>1069</v>
      </c>
      <c r="H356" s="16" t="s">
        <v>904</v>
      </c>
      <c r="I356" s="18" t="n">
        <f aca="false">COUNTIF(LOOKAHEAD!$B$5:$B$604,H356)</f>
        <v>0</v>
      </c>
    </row>
    <row r="357" customFormat="false" ht="15" hidden="false" customHeight="false" outlineLevel="0" collapsed="false">
      <c r="A357" s="16" t="s">
        <v>1132</v>
      </c>
      <c r="B357" s="16" t="n">
        <v>5</v>
      </c>
      <c r="C357" s="21" t="s">
        <v>1133</v>
      </c>
      <c r="D357" s="16" t="s">
        <v>161</v>
      </c>
      <c r="E357" s="16" t="s">
        <v>1063</v>
      </c>
      <c r="F357" s="16" t="str">
        <f aca="false">INDEX($C$5:$C$436,MATCH(E357,$A$5:$A$436,0))</f>
        <v>Equipos y mobiliarios</v>
      </c>
      <c r="G357" s="16" t="s">
        <v>1069</v>
      </c>
      <c r="H357" s="16" t="s">
        <v>907</v>
      </c>
      <c r="I357" s="18" t="n">
        <f aca="false">COUNTIF(LOOKAHEAD!$B$5:$B$604,H357)</f>
        <v>0</v>
      </c>
    </row>
    <row r="358" customFormat="false" ht="15" hidden="false" customHeight="false" outlineLevel="0" collapsed="false">
      <c r="A358" s="13" t="s">
        <v>1134</v>
      </c>
      <c r="B358" s="13" t="n">
        <v>4</v>
      </c>
      <c r="C358" s="20" t="s">
        <v>1075</v>
      </c>
      <c r="D358" s="13" t="s">
        <v>151</v>
      </c>
      <c r="E358" s="13" t="s">
        <v>1063</v>
      </c>
      <c r="F358" s="13" t="str">
        <f aca="false">INDEX($C$5:$C$436,MATCH(E358,$A$5:$A$436,0))</f>
        <v>Equipos y mobiliarios</v>
      </c>
      <c r="G358" s="13" t="s">
        <v>92</v>
      </c>
      <c r="H358" s="13"/>
      <c r="I358" s="13"/>
    </row>
    <row r="359" customFormat="false" ht="15" hidden="false" customHeight="false" outlineLevel="0" collapsed="false">
      <c r="A359" s="16" t="s">
        <v>1135</v>
      </c>
      <c r="B359" s="16" t="n">
        <v>5</v>
      </c>
      <c r="C359" s="21" t="s">
        <v>1136</v>
      </c>
      <c r="D359" s="16" t="s">
        <v>161</v>
      </c>
      <c r="E359" s="16" t="s">
        <v>1063</v>
      </c>
      <c r="F359" s="16" t="str">
        <f aca="false">INDEX($C$5:$C$436,MATCH(E359,$A$5:$A$436,0))</f>
        <v>Equipos y mobiliarios</v>
      </c>
      <c r="G359" s="16" t="s">
        <v>1075</v>
      </c>
      <c r="H359" s="16" t="s">
        <v>909</v>
      </c>
      <c r="I359" s="18" t="n">
        <f aca="false">COUNTIF(LOOKAHEAD!$B$5:$B$604,H359)</f>
        <v>0</v>
      </c>
    </row>
    <row r="360" customFormat="false" ht="15" hidden="false" customHeight="false" outlineLevel="0" collapsed="false">
      <c r="A360" s="16" t="s">
        <v>1137</v>
      </c>
      <c r="B360" s="16" t="n">
        <v>5</v>
      </c>
      <c r="C360" s="21" t="s">
        <v>1138</v>
      </c>
      <c r="D360" s="16" t="s">
        <v>161</v>
      </c>
      <c r="E360" s="16" t="s">
        <v>1063</v>
      </c>
      <c r="F360" s="16" t="str">
        <f aca="false">INDEX($C$5:$C$436,MATCH(E360,$A$5:$A$436,0))</f>
        <v>Equipos y mobiliarios</v>
      </c>
      <c r="G360" s="16" t="s">
        <v>1075</v>
      </c>
      <c r="H360" s="16" t="s">
        <v>912</v>
      </c>
      <c r="I360" s="18" t="n">
        <f aca="false">COUNTIF(LOOKAHEAD!$B$5:$B$604,H360)</f>
        <v>0</v>
      </c>
    </row>
    <row r="361" customFormat="false" ht="15" hidden="false" customHeight="false" outlineLevel="0" collapsed="false">
      <c r="A361" s="13" t="s">
        <v>1139</v>
      </c>
      <c r="B361" s="13" t="n">
        <v>3</v>
      </c>
      <c r="C361" s="15" t="s">
        <v>98</v>
      </c>
      <c r="D361" s="13" t="s">
        <v>151</v>
      </c>
      <c r="E361" s="13" t="s">
        <v>1063</v>
      </c>
      <c r="F361" s="13" t="str">
        <f aca="false">INDEX($C$5:$C$436,MATCH(E361,$A$5:$A$436,0))</f>
        <v>Equipos y mobiliarios</v>
      </c>
      <c r="G361" s="13" t="s">
        <v>1066</v>
      </c>
      <c r="H361" s="13"/>
      <c r="I361" s="13"/>
    </row>
    <row r="362" customFormat="false" ht="15" hidden="false" customHeight="false" outlineLevel="0" collapsed="false">
      <c r="A362" s="13" t="s">
        <v>1140</v>
      </c>
      <c r="B362" s="13" t="n">
        <v>4</v>
      </c>
      <c r="C362" s="20" t="s">
        <v>1069</v>
      </c>
      <c r="D362" s="13" t="s">
        <v>151</v>
      </c>
      <c r="E362" s="13" t="s">
        <v>1063</v>
      </c>
      <c r="F362" s="13" t="str">
        <f aca="false">INDEX($C$5:$C$436,MATCH(E362,$A$5:$A$436,0))</f>
        <v>Equipos y mobiliarios</v>
      </c>
      <c r="G362" s="13" t="s">
        <v>98</v>
      </c>
      <c r="H362" s="13"/>
      <c r="I362" s="13"/>
    </row>
    <row r="363" customFormat="false" ht="15" hidden="false" customHeight="false" outlineLevel="0" collapsed="false">
      <c r="A363" s="16" t="s">
        <v>1141</v>
      </c>
      <c r="B363" s="16" t="n">
        <v>5</v>
      </c>
      <c r="C363" s="21" t="s">
        <v>1142</v>
      </c>
      <c r="D363" s="16" t="s">
        <v>161</v>
      </c>
      <c r="E363" s="16" t="s">
        <v>1063</v>
      </c>
      <c r="F363" s="16" t="str">
        <f aca="false">INDEX($C$5:$C$436,MATCH(E363,$A$5:$A$436,0))</f>
        <v>Equipos y mobiliarios</v>
      </c>
      <c r="G363" s="16" t="s">
        <v>1069</v>
      </c>
      <c r="H363" s="16" t="s">
        <v>915</v>
      </c>
      <c r="I363" s="18" t="n">
        <f aca="false">COUNTIF(LOOKAHEAD!$B$5:$B$604,H363)</f>
        <v>0</v>
      </c>
    </row>
    <row r="364" customFormat="false" ht="15" hidden="false" customHeight="false" outlineLevel="0" collapsed="false">
      <c r="A364" s="13" t="s">
        <v>1143</v>
      </c>
      <c r="B364" s="13" t="n">
        <v>3</v>
      </c>
      <c r="C364" s="15" t="s">
        <v>104</v>
      </c>
      <c r="D364" s="13" t="s">
        <v>151</v>
      </c>
      <c r="E364" s="13" t="s">
        <v>1063</v>
      </c>
      <c r="F364" s="13" t="str">
        <f aca="false">INDEX($C$5:$C$436,MATCH(E364,$A$5:$A$436,0))</f>
        <v>Equipos y mobiliarios</v>
      </c>
      <c r="G364" s="13" t="s">
        <v>1066</v>
      </c>
      <c r="H364" s="13"/>
      <c r="I364" s="13"/>
    </row>
    <row r="365" customFormat="false" ht="15" hidden="false" customHeight="false" outlineLevel="0" collapsed="false">
      <c r="A365" s="13" t="s">
        <v>1144</v>
      </c>
      <c r="B365" s="13" t="n">
        <v>4</v>
      </c>
      <c r="C365" s="20" t="s">
        <v>1069</v>
      </c>
      <c r="D365" s="13" t="s">
        <v>151</v>
      </c>
      <c r="E365" s="13" t="s">
        <v>1063</v>
      </c>
      <c r="F365" s="13" t="str">
        <f aca="false">INDEX($C$5:$C$436,MATCH(E365,$A$5:$A$436,0))</f>
        <v>Equipos y mobiliarios</v>
      </c>
      <c r="G365" s="13" t="s">
        <v>104</v>
      </c>
      <c r="H365" s="13"/>
      <c r="I365" s="13"/>
    </row>
    <row r="366" customFormat="false" ht="15" hidden="false" customHeight="false" outlineLevel="0" collapsed="false">
      <c r="A366" s="16" t="s">
        <v>1145</v>
      </c>
      <c r="B366" s="16" t="n">
        <v>5</v>
      </c>
      <c r="C366" s="21" t="s">
        <v>1146</v>
      </c>
      <c r="D366" s="16" t="s">
        <v>161</v>
      </c>
      <c r="E366" s="16" t="s">
        <v>1063</v>
      </c>
      <c r="F366" s="16" t="str">
        <f aca="false">INDEX($C$5:$C$436,MATCH(E366,$A$5:$A$436,0))</f>
        <v>Equipos y mobiliarios</v>
      </c>
      <c r="G366" s="16" t="s">
        <v>1069</v>
      </c>
      <c r="H366" s="16" t="s">
        <v>917</v>
      </c>
      <c r="I366" s="18" t="n">
        <f aca="false">COUNTIF(LOOKAHEAD!$B$5:$B$604,H366)</f>
        <v>0</v>
      </c>
    </row>
    <row r="367" customFormat="false" ht="15" hidden="false" customHeight="false" outlineLevel="0" collapsed="false">
      <c r="A367" s="13" t="s">
        <v>1147</v>
      </c>
      <c r="B367" s="13" t="n">
        <v>4</v>
      </c>
      <c r="C367" s="20" t="s">
        <v>1075</v>
      </c>
      <c r="D367" s="13" t="s">
        <v>151</v>
      </c>
      <c r="E367" s="13" t="s">
        <v>1063</v>
      </c>
      <c r="F367" s="13" t="str">
        <f aca="false">INDEX($C$5:$C$436,MATCH(E367,$A$5:$A$436,0))</f>
        <v>Equipos y mobiliarios</v>
      </c>
      <c r="G367" s="13" t="s">
        <v>104</v>
      </c>
      <c r="H367" s="13"/>
      <c r="I367" s="13"/>
    </row>
    <row r="368" customFormat="false" ht="15" hidden="false" customHeight="false" outlineLevel="0" collapsed="false">
      <c r="A368" s="16" t="s">
        <v>1148</v>
      </c>
      <c r="B368" s="16" t="n">
        <v>5</v>
      </c>
      <c r="C368" s="21" t="s">
        <v>1149</v>
      </c>
      <c r="D368" s="16" t="s">
        <v>161</v>
      </c>
      <c r="E368" s="16" t="s">
        <v>1063</v>
      </c>
      <c r="F368" s="16" t="str">
        <f aca="false">INDEX($C$5:$C$436,MATCH(E368,$A$5:$A$436,0))</f>
        <v>Equipos y mobiliarios</v>
      </c>
      <c r="G368" s="16" t="s">
        <v>1075</v>
      </c>
      <c r="H368" s="16" t="s">
        <v>920</v>
      </c>
      <c r="I368" s="18" t="n">
        <f aca="false">COUNTIF(LOOKAHEAD!$B$5:$B$604,H368)</f>
        <v>0</v>
      </c>
    </row>
    <row r="369" customFormat="false" ht="15" hidden="false" customHeight="false" outlineLevel="0" collapsed="false">
      <c r="A369" s="16" t="s">
        <v>1150</v>
      </c>
      <c r="B369" s="16" t="n">
        <v>5</v>
      </c>
      <c r="C369" s="21" t="s">
        <v>1151</v>
      </c>
      <c r="D369" s="16" t="s">
        <v>161</v>
      </c>
      <c r="E369" s="16" t="s">
        <v>1063</v>
      </c>
      <c r="F369" s="16" t="str">
        <f aca="false">INDEX($C$5:$C$436,MATCH(E369,$A$5:$A$436,0))</f>
        <v>Equipos y mobiliarios</v>
      </c>
      <c r="G369" s="16" t="s">
        <v>1075</v>
      </c>
      <c r="H369" s="16" t="s">
        <v>923</v>
      </c>
      <c r="I369" s="18" t="n">
        <f aca="false">COUNTIF(LOOKAHEAD!$B$5:$B$604,H369)</f>
        <v>0</v>
      </c>
    </row>
    <row r="370" customFormat="false" ht="15" hidden="false" customHeight="false" outlineLevel="0" collapsed="false">
      <c r="A370" s="13" t="s">
        <v>1152</v>
      </c>
      <c r="B370" s="13" t="n">
        <v>3</v>
      </c>
      <c r="C370" s="15" t="s">
        <v>109</v>
      </c>
      <c r="D370" s="13" t="s">
        <v>151</v>
      </c>
      <c r="E370" s="13" t="s">
        <v>1063</v>
      </c>
      <c r="F370" s="13" t="str">
        <f aca="false">INDEX($C$5:$C$436,MATCH(E370,$A$5:$A$436,0))</f>
        <v>Equipos y mobiliarios</v>
      </c>
      <c r="G370" s="13" t="s">
        <v>1066</v>
      </c>
      <c r="H370" s="13"/>
      <c r="I370" s="13"/>
    </row>
    <row r="371" customFormat="false" ht="15" hidden="false" customHeight="false" outlineLevel="0" collapsed="false">
      <c r="A371" s="13" t="s">
        <v>1153</v>
      </c>
      <c r="B371" s="13" t="n">
        <v>4</v>
      </c>
      <c r="C371" s="20" t="s">
        <v>1069</v>
      </c>
      <c r="D371" s="13" t="s">
        <v>151</v>
      </c>
      <c r="E371" s="13" t="s">
        <v>1063</v>
      </c>
      <c r="F371" s="13" t="str">
        <f aca="false">INDEX($C$5:$C$436,MATCH(E371,$A$5:$A$436,0))</f>
        <v>Equipos y mobiliarios</v>
      </c>
      <c r="G371" s="13" t="s">
        <v>109</v>
      </c>
      <c r="H371" s="13"/>
      <c r="I371" s="13"/>
    </row>
    <row r="372" customFormat="false" ht="15" hidden="false" customHeight="false" outlineLevel="0" collapsed="false">
      <c r="A372" s="16" t="s">
        <v>1154</v>
      </c>
      <c r="B372" s="16" t="n">
        <v>5</v>
      </c>
      <c r="C372" s="21" t="s">
        <v>1155</v>
      </c>
      <c r="D372" s="16" t="s">
        <v>161</v>
      </c>
      <c r="E372" s="16" t="s">
        <v>1063</v>
      </c>
      <c r="F372" s="16" t="str">
        <f aca="false">INDEX($C$5:$C$436,MATCH(E372,$A$5:$A$436,0))</f>
        <v>Equipos y mobiliarios</v>
      </c>
      <c r="G372" s="16" t="s">
        <v>1069</v>
      </c>
      <c r="H372" s="16" t="s">
        <v>926</v>
      </c>
      <c r="I372" s="18" t="n">
        <f aca="false">COUNTIF(LOOKAHEAD!$B$5:$B$604,H372)</f>
        <v>0</v>
      </c>
    </row>
    <row r="373" customFormat="false" ht="15" hidden="false" customHeight="false" outlineLevel="0" collapsed="false">
      <c r="A373" s="13" t="s">
        <v>1156</v>
      </c>
      <c r="B373" s="13" t="n">
        <v>4</v>
      </c>
      <c r="C373" s="20" t="s">
        <v>1075</v>
      </c>
      <c r="D373" s="13" t="s">
        <v>151</v>
      </c>
      <c r="E373" s="13" t="s">
        <v>1063</v>
      </c>
      <c r="F373" s="13" t="str">
        <f aca="false">INDEX($C$5:$C$436,MATCH(E373,$A$5:$A$436,0))</f>
        <v>Equipos y mobiliarios</v>
      </c>
      <c r="G373" s="13" t="s">
        <v>109</v>
      </c>
      <c r="H373" s="13"/>
      <c r="I373" s="13"/>
    </row>
    <row r="374" customFormat="false" ht="15" hidden="false" customHeight="false" outlineLevel="0" collapsed="false">
      <c r="A374" s="16" t="s">
        <v>1157</v>
      </c>
      <c r="B374" s="16" t="n">
        <v>5</v>
      </c>
      <c r="C374" s="21" t="s">
        <v>1158</v>
      </c>
      <c r="D374" s="16" t="s">
        <v>161</v>
      </c>
      <c r="E374" s="16" t="s">
        <v>1063</v>
      </c>
      <c r="F374" s="16" t="str">
        <f aca="false">INDEX($C$5:$C$436,MATCH(E374,$A$5:$A$436,0))</f>
        <v>Equipos y mobiliarios</v>
      </c>
      <c r="G374" s="16" t="s">
        <v>1075</v>
      </c>
      <c r="H374" s="16" t="s">
        <v>929</v>
      </c>
      <c r="I374" s="18" t="n">
        <f aca="false">COUNTIF(LOOKAHEAD!$B$5:$B$604,H374)</f>
        <v>0</v>
      </c>
    </row>
    <row r="375" customFormat="false" ht="15" hidden="false" customHeight="false" outlineLevel="0" collapsed="false">
      <c r="A375" s="13" t="s">
        <v>1159</v>
      </c>
      <c r="B375" s="13" t="n">
        <v>3</v>
      </c>
      <c r="C375" s="15" t="s">
        <v>114</v>
      </c>
      <c r="D375" s="13" t="s">
        <v>151</v>
      </c>
      <c r="E375" s="13" t="s">
        <v>1063</v>
      </c>
      <c r="F375" s="13" t="str">
        <f aca="false">INDEX($C$5:$C$436,MATCH(E375,$A$5:$A$436,0))</f>
        <v>Equipos y mobiliarios</v>
      </c>
      <c r="G375" s="13" t="s">
        <v>1066</v>
      </c>
      <c r="H375" s="13"/>
      <c r="I375" s="13"/>
    </row>
    <row r="376" customFormat="false" ht="15" hidden="false" customHeight="false" outlineLevel="0" collapsed="false">
      <c r="A376" s="13" t="s">
        <v>1160</v>
      </c>
      <c r="B376" s="13" t="n">
        <v>4</v>
      </c>
      <c r="C376" s="20" t="s">
        <v>1069</v>
      </c>
      <c r="D376" s="13" t="s">
        <v>151</v>
      </c>
      <c r="E376" s="13" t="s">
        <v>1063</v>
      </c>
      <c r="F376" s="13" t="str">
        <f aca="false">INDEX($C$5:$C$436,MATCH(E376,$A$5:$A$436,0))</f>
        <v>Equipos y mobiliarios</v>
      </c>
      <c r="G376" s="13" t="s">
        <v>114</v>
      </c>
      <c r="H376" s="13"/>
      <c r="I376" s="13"/>
    </row>
    <row r="377" customFormat="false" ht="15" hidden="false" customHeight="false" outlineLevel="0" collapsed="false">
      <c r="A377" s="16" t="s">
        <v>1161</v>
      </c>
      <c r="B377" s="16" t="n">
        <v>5</v>
      </c>
      <c r="C377" s="21" t="s">
        <v>1162</v>
      </c>
      <c r="D377" s="16" t="s">
        <v>161</v>
      </c>
      <c r="E377" s="16" t="s">
        <v>1063</v>
      </c>
      <c r="F377" s="16" t="str">
        <f aca="false">INDEX($C$5:$C$436,MATCH(E377,$A$5:$A$436,0))</f>
        <v>Equipos y mobiliarios</v>
      </c>
      <c r="G377" s="16" t="s">
        <v>1069</v>
      </c>
      <c r="H377" s="16" t="s">
        <v>932</v>
      </c>
      <c r="I377" s="18" t="n">
        <f aca="false">COUNTIF(LOOKAHEAD!$B$5:$B$604,H377)</f>
        <v>0</v>
      </c>
    </row>
    <row r="378" customFormat="false" ht="15" hidden="false" customHeight="false" outlineLevel="0" collapsed="false">
      <c r="A378" s="13" t="s">
        <v>1163</v>
      </c>
      <c r="B378" s="13" t="n">
        <v>3</v>
      </c>
      <c r="C378" s="15" t="s">
        <v>125</v>
      </c>
      <c r="D378" s="13" t="s">
        <v>151</v>
      </c>
      <c r="E378" s="13" t="s">
        <v>1063</v>
      </c>
      <c r="F378" s="13" t="str">
        <f aca="false">INDEX($C$5:$C$436,MATCH(E378,$A$5:$A$436,0))</f>
        <v>Equipos y mobiliarios</v>
      </c>
      <c r="G378" s="13" t="s">
        <v>1066</v>
      </c>
      <c r="H378" s="13"/>
      <c r="I378" s="13"/>
    </row>
    <row r="379" customFormat="false" ht="15" hidden="false" customHeight="false" outlineLevel="0" collapsed="false">
      <c r="A379" s="13" t="s">
        <v>1164</v>
      </c>
      <c r="B379" s="13" t="n">
        <v>4</v>
      </c>
      <c r="C379" s="20" t="s">
        <v>1069</v>
      </c>
      <c r="D379" s="13" t="s">
        <v>151</v>
      </c>
      <c r="E379" s="13" t="s">
        <v>1063</v>
      </c>
      <c r="F379" s="13" t="str">
        <f aca="false">INDEX($C$5:$C$436,MATCH(E379,$A$5:$A$436,0))</f>
        <v>Equipos y mobiliarios</v>
      </c>
      <c r="G379" s="13" t="s">
        <v>125</v>
      </c>
      <c r="H379" s="13"/>
      <c r="I379" s="13"/>
    </row>
    <row r="380" customFormat="false" ht="15" hidden="false" customHeight="false" outlineLevel="0" collapsed="false">
      <c r="A380" s="16" t="s">
        <v>1165</v>
      </c>
      <c r="B380" s="16" t="n">
        <v>5</v>
      </c>
      <c r="C380" s="21" t="s">
        <v>1166</v>
      </c>
      <c r="D380" s="16" t="s">
        <v>161</v>
      </c>
      <c r="E380" s="16" t="s">
        <v>1063</v>
      </c>
      <c r="F380" s="16" t="str">
        <f aca="false">INDEX($C$5:$C$436,MATCH(E380,$A$5:$A$436,0))</f>
        <v>Equipos y mobiliarios</v>
      </c>
      <c r="G380" s="16" t="s">
        <v>1069</v>
      </c>
      <c r="H380" s="16" t="s">
        <v>935</v>
      </c>
      <c r="I380" s="18" t="n">
        <f aca="false">COUNTIF(LOOKAHEAD!$B$5:$B$604,H380)</f>
        <v>0</v>
      </c>
    </row>
    <row r="381" customFormat="false" ht="15" hidden="false" customHeight="false" outlineLevel="0" collapsed="false">
      <c r="A381" s="16" t="s">
        <v>1167</v>
      </c>
      <c r="B381" s="16" t="n">
        <v>5</v>
      </c>
      <c r="C381" s="21" t="s">
        <v>1168</v>
      </c>
      <c r="D381" s="16" t="s">
        <v>161</v>
      </c>
      <c r="E381" s="16" t="s">
        <v>1063</v>
      </c>
      <c r="F381" s="16" t="str">
        <f aca="false">INDEX($C$5:$C$436,MATCH(E381,$A$5:$A$436,0))</f>
        <v>Equipos y mobiliarios</v>
      </c>
      <c r="G381" s="16" t="s">
        <v>1069</v>
      </c>
      <c r="H381" s="16" t="s">
        <v>938</v>
      </c>
      <c r="I381" s="18" t="n">
        <f aca="false">COUNTIF(LOOKAHEAD!$B$5:$B$604,H381)</f>
        <v>0</v>
      </c>
    </row>
    <row r="382" customFormat="false" ht="15" hidden="false" customHeight="false" outlineLevel="0" collapsed="false">
      <c r="A382" s="10" t="s">
        <v>1169</v>
      </c>
      <c r="B382" s="10" t="n">
        <v>1</v>
      </c>
      <c r="C382" s="11" t="s">
        <v>1170</v>
      </c>
      <c r="D382" s="10" t="s">
        <v>151</v>
      </c>
      <c r="E382" s="10" t="s">
        <v>1169</v>
      </c>
      <c r="F382" s="10" t="str">
        <f aca="false">INDEX($C$5:$C$436,MATCH(E382,$A$5:$A$436,0))</f>
        <v>Instalaciones de Comunicaciones</v>
      </c>
      <c r="G382" s="10"/>
      <c r="H382" s="10"/>
      <c r="I382" s="10"/>
    </row>
    <row r="383" customFormat="false" ht="15" hidden="false" customHeight="false" outlineLevel="0" collapsed="false">
      <c r="A383" s="13" t="s">
        <v>1171</v>
      </c>
      <c r="B383" s="13" t="n">
        <v>2</v>
      </c>
      <c r="C383" s="14" t="s">
        <v>1172</v>
      </c>
      <c r="D383" s="13" t="s">
        <v>151</v>
      </c>
      <c r="E383" s="13" t="s">
        <v>1169</v>
      </c>
      <c r="F383" s="13" t="str">
        <f aca="false">INDEX($C$5:$C$436,MATCH(E383,$A$5:$A$436,0))</f>
        <v>Instalaciones de Comunicaciones</v>
      </c>
      <c r="G383" s="13" t="s">
        <v>1170</v>
      </c>
      <c r="H383" s="13"/>
      <c r="I383" s="13"/>
    </row>
    <row r="384" customFormat="false" ht="15" hidden="false" customHeight="false" outlineLevel="0" collapsed="false">
      <c r="A384" s="16" t="s">
        <v>1173</v>
      </c>
      <c r="B384" s="16" t="n">
        <v>3</v>
      </c>
      <c r="C384" s="19" t="s">
        <v>1174</v>
      </c>
      <c r="D384" s="16" t="s">
        <v>161</v>
      </c>
      <c r="E384" s="16" t="s">
        <v>1169</v>
      </c>
      <c r="F384" s="16" t="str">
        <f aca="false">INDEX($C$5:$C$436,MATCH(E384,$A$5:$A$436,0))</f>
        <v>Instalaciones de Comunicaciones</v>
      </c>
      <c r="G384" s="16" t="s">
        <v>1172</v>
      </c>
      <c r="H384" s="16" t="s">
        <v>941</v>
      </c>
      <c r="I384" s="18" t="n">
        <f aca="false">COUNTIF(LOOKAHEAD!$B$5:$B$604,H384)</f>
        <v>0</v>
      </c>
    </row>
    <row r="385" customFormat="false" ht="15" hidden="false" customHeight="false" outlineLevel="0" collapsed="false">
      <c r="A385" s="16" t="s">
        <v>1175</v>
      </c>
      <c r="B385" s="16" t="n">
        <v>3</v>
      </c>
      <c r="C385" s="19" t="s">
        <v>1176</v>
      </c>
      <c r="D385" s="16" t="s">
        <v>161</v>
      </c>
      <c r="E385" s="16" t="s">
        <v>1169</v>
      </c>
      <c r="F385" s="16" t="str">
        <f aca="false">INDEX($C$5:$C$436,MATCH(E385,$A$5:$A$436,0))</f>
        <v>Instalaciones de Comunicaciones</v>
      </c>
      <c r="G385" s="16" t="s">
        <v>1172</v>
      </c>
      <c r="H385" s="16" t="s">
        <v>944</v>
      </c>
      <c r="I385" s="18" t="n">
        <f aca="false">COUNTIF(LOOKAHEAD!$B$5:$B$604,H385)</f>
        <v>0</v>
      </c>
    </row>
    <row r="386" customFormat="false" ht="15" hidden="false" customHeight="false" outlineLevel="0" collapsed="false">
      <c r="A386" s="16" t="s">
        <v>1177</v>
      </c>
      <c r="B386" s="16" t="n">
        <v>3</v>
      </c>
      <c r="C386" s="19" t="s">
        <v>1178</v>
      </c>
      <c r="D386" s="16" t="s">
        <v>161</v>
      </c>
      <c r="E386" s="16" t="s">
        <v>1169</v>
      </c>
      <c r="F386" s="16" t="str">
        <f aca="false">INDEX($C$5:$C$436,MATCH(E386,$A$5:$A$436,0))</f>
        <v>Instalaciones de Comunicaciones</v>
      </c>
      <c r="G386" s="16" t="s">
        <v>1172</v>
      </c>
      <c r="H386" s="16" t="s">
        <v>947</v>
      </c>
      <c r="I386" s="18" t="n">
        <f aca="false">COUNTIF(LOOKAHEAD!$B$5:$B$604,H386)</f>
        <v>0</v>
      </c>
    </row>
    <row r="387" customFormat="false" ht="15" hidden="false" customHeight="false" outlineLevel="0" collapsed="false">
      <c r="A387" s="16" t="s">
        <v>1179</v>
      </c>
      <c r="B387" s="16" t="n">
        <v>3</v>
      </c>
      <c r="C387" s="19" t="s">
        <v>344</v>
      </c>
      <c r="D387" s="16" t="s">
        <v>161</v>
      </c>
      <c r="E387" s="16" t="s">
        <v>1169</v>
      </c>
      <c r="F387" s="16" t="str">
        <f aca="false">INDEX($C$5:$C$436,MATCH(E387,$A$5:$A$436,0))</f>
        <v>Instalaciones de Comunicaciones</v>
      </c>
      <c r="G387" s="16" t="s">
        <v>1172</v>
      </c>
      <c r="H387" s="16" t="s">
        <v>950</v>
      </c>
      <c r="I387" s="18" t="n">
        <f aca="false">COUNTIF(LOOKAHEAD!$B$5:$B$604,H387)</f>
        <v>0</v>
      </c>
    </row>
    <row r="388" customFormat="false" ht="15" hidden="false" customHeight="false" outlineLevel="0" collapsed="false">
      <c r="A388" s="16" t="s">
        <v>1180</v>
      </c>
      <c r="B388" s="16" t="n">
        <v>3</v>
      </c>
      <c r="C388" s="19" t="s">
        <v>1181</v>
      </c>
      <c r="D388" s="16" t="s">
        <v>161</v>
      </c>
      <c r="E388" s="16" t="s">
        <v>1169</v>
      </c>
      <c r="F388" s="16" t="str">
        <f aca="false">INDEX($C$5:$C$436,MATCH(E388,$A$5:$A$436,0))</f>
        <v>Instalaciones de Comunicaciones</v>
      </c>
      <c r="G388" s="16" t="s">
        <v>1172</v>
      </c>
      <c r="H388" s="16" t="s">
        <v>953</v>
      </c>
      <c r="I388" s="18" t="n">
        <f aca="false">COUNTIF(LOOKAHEAD!$B$5:$B$604,H388)</f>
        <v>0</v>
      </c>
    </row>
    <row r="389" customFormat="false" ht="15" hidden="false" customHeight="false" outlineLevel="0" collapsed="false">
      <c r="A389" s="13" t="s">
        <v>1182</v>
      </c>
      <c r="B389" s="13" t="n">
        <v>2</v>
      </c>
      <c r="C389" s="14" t="s">
        <v>1183</v>
      </c>
      <c r="D389" s="13" t="s">
        <v>151</v>
      </c>
      <c r="E389" s="13" t="s">
        <v>1169</v>
      </c>
      <c r="F389" s="13" t="str">
        <f aca="false">INDEX($C$5:$C$436,MATCH(E389,$A$5:$A$436,0))</f>
        <v>Instalaciones de Comunicaciones</v>
      </c>
      <c r="G389" s="13" t="s">
        <v>1170</v>
      </c>
      <c r="H389" s="13"/>
      <c r="I389" s="13"/>
    </row>
    <row r="390" customFormat="false" ht="15" hidden="false" customHeight="false" outlineLevel="0" collapsed="false">
      <c r="A390" s="16" t="s">
        <v>1184</v>
      </c>
      <c r="B390" s="16" t="n">
        <v>3</v>
      </c>
      <c r="C390" s="19" t="s">
        <v>1185</v>
      </c>
      <c r="D390" s="16" t="s">
        <v>161</v>
      </c>
      <c r="E390" s="16" t="s">
        <v>1169</v>
      </c>
      <c r="F390" s="16" t="str">
        <f aca="false">INDEX($C$5:$C$436,MATCH(E390,$A$5:$A$436,0))</f>
        <v>Instalaciones de Comunicaciones</v>
      </c>
      <c r="G390" s="16" t="s">
        <v>1183</v>
      </c>
      <c r="H390" s="16" t="s">
        <v>956</v>
      </c>
      <c r="I390" s="18" t="n">
        <f aca="false">COUNTIF(LOOKAHEAD!$B$5:$B$604,H390)</f>
        <v>0</v>
      </c>
    </row>
    <row r="391" customFormat="false" ht="15" hidden="false" customHeight="false" outlineLevel="0" collapsed="false">
      <c r="A391" s="16" t="s">
        <v>1186</v>
      </c>
      <c r="B391" s="16" t="n">
        <v>3</v>
      </c>
      <c r="C391" s="19" t="s">
        <v>1187</v>
      </c>
      <c r="D391" s="16" t="s">
        <v>161</v>
      </c>
      <c r="E391" s="16" t="s">
        <v>1169</v>
      </c>
      <c r="F391" s="16" t="str">
        <f aca="false">INDEX($C$5:$C$436,MATCH(E391,$A$5:$A$436,0))</f>
        <v>Instalaciones de Comunicaciones</v>
      </c>
      <c r="G391" s="16" t="s">
        <v>1183</v>
      </c>
      <c r="H391" s="16" t="s">
        <v>959</v>
      </c>
      <c r="I391" s="18" t="n">
        <f aca="false">COUNTIF(LOOKAHEAD!$B$5:$B$604,H391)</f>
        <v>0</v>
      </c>
    </row>
    <row r="392" customFormat="false" ht="15" hidden="false" customHeight="false" outlineLevel="0" collapsed="false">
      <c r="A392" s="13" t="s">
        <v>1188</v>
      </c>
      <c r="B392" s="13" t="n">
        <v>2</v>
      </c>
      <c r="C392" s="14" t="s">
        <v>1189</v>
      </c>
      <c r="D392" s="13" t="s">
        <v>151</v>
      </c>
      <c r="E392" s="13" t="s">
        <v>1169</v>
      </c>
      <c r="F392" s="13" t="str">
        <f aca="false">INDEX($C$5:$C$436,MATCH(E392,$A$5:$A$436,0))</f>
        <v>Instalaciones de Comunicaciones</v>
      </c>
      <c r="G392" s="13" t="s">
        <v>1170</v>
      </c>
      <c r="H392" s="13"/>
      <c r="I392" s="13"/>
    </row>
    <row r="393" customFormat="false" ht="15" hidden="false" customHeight="false" outlineLevel="0" collapsed="false">
      <c r="A393" s="16" t="s">
        <v>1190</v>
      </c>
      <c r="B393" s="16" t="n">
        <v>3</v>
      </c>
      <c r="C393" s="19" t="s">
        <v>1191</v>
      </c>
      <c r="D393" s="16" t="s">
        <v>161</v>
      </c>
      <c r="E393" s="16" t="s">
        <v>1169</v>
      </c>
      <c r="F393" s="16" t="str">
        <f aca="false">INDEX($C$5:$C$436,MATCH(E393,$A$5:$A$436,0))</f>
        <v>Instalaciones de Comunicaciones</v>
      </c>
      <c r="G393" s="16" t="s">
        <v>1189</v>
      </c>
      <c r="H393" s="16" t="s">
        <v>962</v>
      </c>
      <c r="I393" s="18" t="n">
        <f aca="false">COUNTIF(LOOKAHEAD!$B$5:$B$604,H393)</f>
        <v>0</v>
      </c>
    </row>
    <row r="394" customFormat="false" ht="15" hidden="false" customHeight="false" outlineLevel="0" collapsed="false">
      <c r="A394" s="16" t="s">
        <v>1192</v>
      </c>
      <c r="B394" s="16" t="n">
        <v>3</v>
      </c>
      <c r="C394" s="19" t="s">
        <v>1193</v>
      </c>
      <c r="D394" s="16" t="s">
        <v>161</v>
      </c>
      <c r="E394" s="16" t="s">
        <v>1169</v>
      </c>
      <c r="F394" s="16" t="str">
        <f aca="false">INDEX($C$5:$C$436,MATCH(E394,$A$5:$A$436,0))</f>
        <v>Instalaciones de Comunicaciones</v>
      </c>
      <c r="G394" s="16" t="s">
        <v>1189</v>
      </c>
      <c r="H394" s="16" t="s">
        <v>965</v>
      </c>
      <c r="I394" s="18" t="n">
        <f aca="false">COUNTIF(LOOKAHEAD!$B$5:$B$604,H394)</f>
        <v>0</v>
      </c>
    </row>
    <row r="395" customFormat="false" ht="15" hidden="false" customHeight="false" outlineLevel="0" collapsed="false">
      <c r="A395" s="16" t="s">
        <v>1194</v>
      </c>
      <c r="B395" s="16" t="n">
        <v>3</v>
      </c>
      <c r="C395" s="19" t="s">
        <v>1195</v>
      </c>
      <c r="D395" s="16" t="s">
        <v>161</v>
      </c>
      <c r="E395" s="16" t="s">
        <v>1169</v>
      </c>
      <c r="F395" s="16" t="str">
        <f aca="false">INDEX($C$5:$C$436,MATCH(E395,$A$5:$A$436,0))</f>
        <v>Instalaciones de Comunicaciones</v>
      </c>
      <c r="G395" s="16" t="s">
        <v>1189</v>
      </c>
      <c r="H395" s="16" t="s">
        <v>968</v>
      </c>
      <c r="I395" s="18" t="n">
        <f aca="false">COUNTIF(LOOKAHEAD!$B$5:$B$604,H395)</f>
        <v>0</v>
      </c>
    </row>
    <row r="396" customFormat="false" ht="15" hidden="false" customHeight="false" outlineLevel="0" collapsed="false">
      <c r="A396" s="16" t="s">
        <v>1196</v>
      </c>
      <c r="B396" s="16" t="n">
        <v>3</v>
      </c>
      <c r="C396" s="19" t="s">
        <v>1197</v>
      </c>
      <c r="D396" s="16" t="s">
        <v>161</v>
      </c>
      <c r="E396" s="16" t="s">
        <v>1169</v>
      </c>
      <c r="F396" s="16" t="str">
        <f aca="false">INDEX($C$5:$C$436,MATCH(E396,$A$5:$A$436,0))</f>
        <v>Instalaciones de Comunicaciones</v>
      </c>
      <c r="G396" s="16" t="s">
        <v>1189</v>
      </c>
      <c r="H396" s="16" t="s">
        <v>971</v>
      </c>
      <c r="I396" s="18" t="n">
        <f aca="false">COUNTIF(LOOKAHEAD!$B$5:$B$604,H396)</f>
        <v>0</v>
      </c>
    </row>
    <row r="397" customFormat="false" ht="15" hidden="false" customHeight="false" outlineLevel="0" collapsed="false">
      <c r="A397" s="13" t="s">
        <v>1198</v>
      </c>
      <c r="B397" s="13" t="n">
        <v>2</v>
      </c>
      <c r="C397" s="14" t="s">
        <v>1199</v>
      </c>
      <c r="D397" s="13" t="s">
        <v>151</v>
      </c>
      <c r="E397" s="13" t="s">
        <v>1169</v>
      </c>
      <c r="F397" s="13" t="str">
        <f aca="false">INDEX($C$5:$C$436,MATCH(E397,$A$5:$A$436,0))</f>
        <v>Instalaciones de Comunicaciones</v>
      </c>
      <c r="G397" s="13" t="s">
        <v>1170</v>
      </c>
      <c r="H397" s="13"/>
      <c r="I397" s="13"/>
    </row>
    <row r="398" customFormat="false" ht="15" hidden="false" customHeight="false" outlineLevel="0" collapsed="false">
      <c r="A398" s="16" t="s">
        <v>1200</v>
      </c>
      <c r="B398" s="16" t="n">
        <v>3</v>
      </c>
      <c r="C398" s="19" t="s">
        <v>1201</v>
      </c>
      <c r="D398" s="16" t="s">
        <v>161</v>
      </c>
      <c r="E398" s="16" t="s">
        <v>1169</v>
      </c>
      <c r="F398" s="16" t="str">
        <f aca="false">INDEX($C$5:$C$436,MATCH(E398,$A$5:$A$436,0))</f>
        <v>Instalaciones de Comunicaciones</v>
      </c>
      <c r="G398" s="16" t="s">
        <v>1199</v>
      </c>
      <c r="H398" s="16" t="s">
        <v>974</v>
      </c>
      <c r="I398" s="18" t="n">
        <f aca="false">COUNTIF(LOOKAHEAD!$B$5:$B$604,H398)</f>
        <v>0</v>
      </c>
    </row>
    <row r="399" customFormat="false" ht="15" hidden="false" customHeight="false" outlineLevel="0" collapsed="false">
      <c r="A399" s="16" t="s">
        <v>1202</v>
      </c>
      <c r="B399" s="16" t="n">
        <v>3</v>
      </c>
      <c r="C399" s="19" t="s">
        <v>1203</v>
      </c>
      <c r="D399" s="16" t="s">
        <v>161</v>
      </c>
      <c r="E399" s="16" t="s">
        <v>1169</v>
      </c>
      <c r="F399" s="16" t="str">
        <f aca="false">INDEX($C$5:$C$436,MATCH(E399,$A$5:$A$436,0))</f>
        <v>Instalaciones de Comunicaciones</v>
      </c>
      <c r="G399" s="16" t="s">
        <v>1199</v>
      </c>
      <c r="H399" s="16" t="s">
        <v>977</v>
      </c>
      <c r="I399" s="18" t="n">
        <f aca="false">COUNTIF(LOOKAHEAD!$B$5:$B$604,H399)</f>
        <v>0</v>
      </c>
    </row>
    <row r="400" customFormat="false" ht="15" hidden="false" customHeight="false" outlineLevel="0" collapsed="false">
      <c r="A400" s="16" t="s">
        <v>1204</v>
      </c>
      <c r="B400" s="16" t="n">
        <v>3</v>
      </c>
      <c r="C400" s="19" t="s">
        <v>1205</v>
      </c>
      <c r="D400" s="16" t="s">
        <v>161</v>
      </c>
      <c r="E400" s="16" t="s">
        <v>1169</v>
      </c>
      <c r="F400" s="16" t="str">
        <f aca="false">INDEX($C$5:$C$436,MATCH(E400,$A$5:$A$436,0))</f>
        <v>Instalaciones de Comunicaciones</v>
      </c>
      <c r="G400" s="16" t="s">
        <v>1199</v>
      </c>
      <c r="H400" s="16" t="s">
        <v>980</v>
      </c>
      <c r="I400" s="18" t="n">
        <f aca="false">COUNTIF(LOOKAHEAD!$B$5:$B$604,H400)</f>
        <v>0</v>
      </c>
    </row>
    <row r="401" customFormat="false" ht="15" hidden="false" customHeight="false" outlineLevel="0" collapsed="false">
      <c r="A401" s="13" t="s">
        <v>1206</v>
      </c>
      <c r="B401" s="13" t="n">
        <v>2</v>
      </c>
      <c r="C401" s="14" t="s">
        <v>1207</v>
      </c>
      <c r="D401" s="13" t="s">
        <v>151</v>
      </c>
      <c r="E401" s="13" t="s">
        <v>1169</v>
      </c>
      <c r="F401" s="13" t="str">
        <f aca="false">INDEX($C$5:$C$436,MATCH(E401,$A$5:$A$436,0))</f>
        <v>Instalaciones de Comunicaciones</v>
      </c>
      <c r="G401" s="13" t="s">
        <v>1170</v>
      </c>
      <c r="H401" s="13"/>
      <c r="I401" s="13"/>
    </row>
    <row r="402" customFormat="false" ht="15" hidden="false" customHeight="false" outlineLevel="0" collapsed="false">
      <c r="A402" s="16" t="s">
        <v>1208</v>
      </c>
      <c r="B402" s="16" t="n">
        <v>3</v>
      </c>
      <c r="C402" s="19" t="s">
        <v>1209</v>
      </c>
      <c r="D402" s="16" t="s">
        <v>161</v>
      </c>
      <c r="E402" s="16" t="s">
        <v>1169</v>
      </c>
      <c r="F402" s="16" t="str">
        <f aca="false">INDEX($C$5:$C$436,MATCH(E402,$A$5:$A$436,0))</f>
        <v>Instalaciones de Comunicaciones</v>
      </c>
      <c r="G402" s="16" t="s">
        <v>1207</v>
      </c>
      <c r="H402" s="16" t="s">
        <v>983</v>
      </c>
      <c r="I402" s="18" t="n">
        <f aca="false">COUNTIF(LOOKAHEAD!$B$5:$B$604,H402)</f>
        <v>0</v>
      </c>
    </row>
    <row r="403" customFormat="false" ht="15" hidden="false" customHeight="false" outlineLevel="0" collapsed="false">
      <c r="A403" s="16" t="s">
        <v>1210</v>
      </c>
      <c r="B403" s="16" t="n">
        <v>3</v>
      </c>
      <c r="C403" s="19" t="s">
        <v>1211</v>
      </c>
      <c r="D403" s="16" t="s">
        <v>161</v>
      </c>
      <c r="E403" s="16" t="s">
        <v>1169</v>
      </c>
      <c r="F403" s="16" t="str">
        <f aca="false">INDEX($C$5:$C$436,MATCH(E403,$A$5:$A$436,0))</f>
        <v>Instalaciones de Comunicaciones</v>
      </c>
      <c r="G403" s="16" t="s">
        <v>1207</v>
      </c>
      <c r="H403" s="16" t="s">
        <v>986</v>
      </c>
      <c r="I403" s="18" t="n">
        <f aca="false">COUNTIF(LOOKAHEAD!$B$5:$B$604,H403)</f>
        <v>0</v>
      </c>
    </row>
    <row r="404" customFormat="false" ht="15" hidden="false" customHeight="false" outlineLevel="0" collapsed="false">
      <c r="A404" s="16" t="s">
        <v>1212</v>
      </c>
      <c r="B404" s="16" t="n">
        <v>3</v>
      </c>
      <c r="C404" s="19" t="s">
        <v>1213</v>
      </c>
      <c r="D404" s="16" t="s">
        <v>161</v>
      </c>
      <c r="E404" s="16" t="s">
        <v>1169</v>
      </c>
      <c r="F404" s="16" t="str">
        <f aca="false">INDEX($C$5:$C$436,MATCH(E404,$A$5:$A$436,0))</f>
        <v>Instalaciones de Comunicaciones</v>
      </c>
      <c r="G404" s="16" t="s">
        <v>1207</v>
      </c>
      <c r="H404" s="16" t="s">
        <v>989</v>
      </c>
      <c r="I404" s="18" t="n">
        <f aca="false">COUNTIF(LOOKAHEAD!$B$5:$B$604,H404)</f>
        <v>0</v>
      </c>
    </row>
    <row r="405" customFormat="false" ht="15" hidden="false" customHeight="false" outlineLevel="0" collapsed="false">
      <c r="A405" s="13" t="s">
        <v>1214</v>
      </c>
      <c r="B405" s="13" t="n">
        <v>2</v>
      </c>
      <c r="C405" s="14" t="s">
        <v>1215</v>
      </c>
      <c r="D405" s="13" t="s">
        <v>151</v>
      </c>
      <c r="E405" s="13" t="s">
        <v>1169</v>
      </c>
      <c r="F405" s="13" t="str">
        <f aca="false">INDEX($C$5:$C$436,MATCH(E405,$A$5:$A$436,0))</f>
        <v>Instalaciones de Comunicaciones</v>
      </c>
      <c r="G405" s="13" t="s">
        <v>1170</v>
      </c>
      <c r="H405" s="13"/>
      <c r="I405" s="13"/>
    </row>
    <row r="406" customFormat="false" ht="15" hidden="false" customHeight="false" outlineLevel="0" collapsed="false">
      <c r="A406" s="16" t="s">
        <v>1216</v>
      </c>
      <c r="B406" s="16" t="n">
        <v>3</v>
      </c>
      <c r="C406" s="19" t="s">
        <v>1217</v>
      </c>
      <c r="D406" s="16" t="s">
        <v>161</v>
      </c>
      <c r="E406" s="16" t="s">
        <v>1169</v>
      </c>
      <c r="F406" s="16" t="str">
        <f aca="false">INDEX($C$5:$C$436,MATCH(E406,$A$5:$A$436,0))</f>
        <v>Instalaciones de Comunicaciones</v>
      </c>
      <c r="G406" s="16" t="s">
        <v>1215</v>
      </c>
      <c r="H406" s="16" t="s">
        <v>992</v>
      </c>
      <c r="I406" s="18" t="n">
        <f aca="false">COUNTIF(LOOKAHEAD!$B$5:$B$604,H406)</f>
        <v>0</v>
      </c>
    </row>
    <row r="407" customFormat="false" ht="15" hidden="false" customHeight="false" outlineLevel="0" collapsed="false">
      <c r="A407" s="13" t="s">
        <v>1218</v>
      </c>
      <c r="B407" s="13" t="n">
        <v>2</v>
      </c>
      <c r="C407" s="14" t="s">
        <v>1219</v>
      </c>
      <c r="D407" s="13" t="s">
        <v>151</v>
      </c>
      <c r="E407" s="13" t="s">
        <v>1169</v>
      </c>
      <c r="F407" s="13" t="str">
        <f aca="false">INDEX($C$5:$C$436,MATCH(E407,$A$5:$A$436,0))</f>
        <v>Instalaciones de Comunicaciones</v>
      </c>
      <c r="G407" s="13" t="s">
        <v>1170</v>
      </c>
      <c r="H407" s="13"/>
      <c r="I407" s="13"/>
    </row>
    <row r="408" customFormat="false" ht="15" hidden="false" customHeight="false" outlineLevel="0" collapsed="false">
      <c r="A408" s="16" t="s">
        <v>1220</v>
      </c>
      <c r="B408" s="16" t="n">
        <v>3</v>
      </c>
      <c r="C408" s="19" t="s">
        <v>1221</v>
      </c>
      <c r="D408" s="16" t="s">
        <v>161</v>
      </c>
      <c r="E408" s="16" t="s">
        <v>1169</v>
      </c>
      <c r="F408" s="16" t="str">
        <f aca="false">INDEX($C$5:$C$436,MATCH(E408,$A$5:$A$436,0))</f>
        <v>Instalaciones de Comunicaciones</v>
      </c>
      <c r="G408" s="16" t="s">
        <v>1219</v>
      </c>
      <c r="H408" s="16" t="s">
        <v>995</v>
      </c>
      <c r="I408" s="18" t="n">
        <f aca="false">COUNTIF(LOOKAHEAD!$B$5:$B$604,H408)</f>
        <v>0</v>
      </c>
    </row>
    <row r="409" customFormat="false" ht="15" hidden="false" customHeight="false" outlineLevel="0" collapsed="false">
      <c r="A409" s="13" t="s">
        <v>1222</v>
      </c>
      <c r="B409" s="13" t="n">
        <v>2</v>
      </c>
      <c r="C409" s="14" t="s">
        <v>1223</v>
      </c>
      <c r="D409" s="13" t="s">
        <v>151</v>
      </c>
      <c r="E409" s="13" t="s">
        <v>1169</v>
      </c>
      <c r="F409" s="13" t="str">
        <f aca="false">INDEX($C$5:$C$436,MATCH(E409,$A$5:$A$436,0))</f>
        <v>Instalaciones de Comunicaciones</v>
      </c>
      <c r="G409" s="13" t="s">
        <v>1170</v>
      </c>
      <c r="H409" s="13"/>
      <c r="I409" s="13"/>
    </row>
    <row r="410" customFormat="false" ht="15" hidden="false" customHeight="false" outlineLevel="0" collapsed="false">
      <c r="A410" s="16" t="s">
        <v>1224</v>
      </c>
      <c r="B410" s="16" t="n">
        <v>3</v>
      </c>
      <c r="C410" s="19" t="s">
        <v>1225</v>
      </c>
      <c r="D410" s="16" t="s">
        <v>161</v>
      </c>
      <c r="E410" s="16" t="s">
        <v>1169</v>
      </c>
      <c r="F410" s="16" t="str">
        <f aca="false">INDEX($C$5:$C$436,MATCH(E410,$A$5:$A$436,0))</f>
        <v>Instalaciones de Comunicaciones</v>
      </c>
      <c r="G410" s="16" t="s">
        <v>1223</v>
      </c>
      <c r="H410" s="16" t="s">
        <v>998</v>
      </c>
      <c r="I410" s="18" t="n">
        <f aca="false">COUNTIF(LOOKAHEAD!$B$5:$B$604,H410)</f>
        <v>0</v>
      </c>
    </row>
    <row r="411" customFormat="false" ht="15" hidden="false" customHeight="false" outlineLevel="0" collapsed="false">
      <c r="A411" s="16" t="s">
        <v>1226</v>
      </c>
      <c r="B411" s="16" t="n">
        <v>3</v>
      </c>
      <c r="C411" s="19" t="s">
        <v>1227</v>
      </c>
      <c r="D411" s="16" t="s">
        <v>161</v>
      </c>
      <c r="E411" s="16" t="s">
        <v>1169</v>
      </c>
      <c r="F411" s="16" t="str">
        <f aca="false">INDEX($C$5:$C$436,MATCH(E411,$A$5:$A$436,0))</f>
        <v>Instalaciones de Comunicaciones</v>
      </c>
      <c r="G411" s="16" t="s">
        <v>1223</v>
      </c>
      <c r="H411" s="16" t="s">
        <v>1001</v>
      </c>
      <c r="I411" s="18" t="n">
        <f aca="false">COUNTIF(LOOKAHEAD!$B$5:$B$604,H411)</f>
        <v>0</v>
      </c>
    </row>
    <row r="412" customFormat="false" ht="15" hidden="false" customHeight="false" outlineLevel="0" collapsed="false">
      <c r="A412" s="16" t="s">
        <v>1228</v>
      </c>
      <c r="B412" s="16" t="n">
        <v>3</v>
      </c>
      <c r="C412" s="19" t="s">
        <v>1229</v>
      </c>
      <c r="D412" s="16" t="s">
        <v>161</v>
      </c>
      <c r="E412" s="16" t="s">
        <v>1169</v>
      </c>
      <c r="F412" s="16" t="str">
        <f aca="false">INDEX($C$5:$C$436,MATCH(E412,$A$5:$A$436,0))</f>
        <v>Instalaciones de Comunicaciones</v>
      </c>
      <c r="G412" s="16" t="s">
        <v>1223</v>
      </c>
      <c r="H412" s="16" t="s">
        <v>1004</v>
      </c>
      <c r="I412" s="18" t="n">
        <f aca="false">COUNTIF(LOOKAHEAD!$B$5:$B$604,H412)</f>
        <v>0</v>
      </c>
    </row>
    <row r="413" customFormat="false" ht="15" hidden="false" customHeight="false" outlineLevel="0" collapsed="false">
      <c r="A413" s="16" t="s">
        <v>1230</v>
      </c>
      <c r="B413" s="16" t="n">
        <v>3</v>
      </c>
      <c r="C413" s="19" t="s">
        <v>1231</v>
      </c>
      <c r="D413" s="16" t="s">
        <v>161</v>
      </c>
      <c r="E413" s="16" t="s">
        <v>1169</v>
      </c>
      <c r="F413" s="16" t="str">
        <f aca="false">INDEX($C$5:$C$436,MATCH(E413,$A$5:$A$436,0))</f>
        <v>Instalaciones de Comunicaciones</v>
      </c>
      <c r="G413" s="16" t="s">
        <v>1223</v>
      </c>
      <c r="H413" s="16" t="s">
        <v>1007</v>
      </c>
      <c r="I413" s="18" t="n">
        <f aca="false">COUNTIF(LOOKAHEAD!$B$5:$B$604,H413)</f>
        <v>0</v>
      </c>
    </row>
    <row r="414" customFormat="false" ht="15" hidden="false" customHeight="false" outlineLevel="0" collapsed="false">
      <c r="A414" s="13" t="s">
        <v>1232</v>
      </c>
      <c r="B414" s="13" t="n">
        <v>2</v>
      </c>
      <c r="C414" s="14" t="s">
        <v>1233</v>
      </c>
      <c r="D414" s="13" t="s">
        <v>151</v>
      </c>
      <c r="E414" s="13" t="s">
        <v>1169</v>
      </c>
      <c r="F414" s="13" t="str">
        <f aca="false">INDEX($C$5:$C$436,MATCH(E414,$A$5:$A$436,0))</f>
        <v>Instalaciones de Comunicaciones</v>
      </c>
      <c r="G414" s="13" t="s">
        <v>1170</v>
      </c>
      <c r="H414" s="13"/>
      <c r="I414" s="13"/>
    </row>
    <row r="415" customFormat="false" ht="15" hidden="false" customHeight="false" outlineLevel="0" collapsed="false">
      <c r="A415" s="16" t="s">
        <v>1234</v>
      </c>
      <c r="B415" s="16" t="n">
        <v>3</v>
      </c>
      <c r="C415" s="19" t="s">
        <v>1235</v>
      </c>
      <c r="D415" s="16" t="s">
        <v>161</v>
      </c>
      <c r="E415" s="16" t="s">
        <v>1169</v>
      </c>
      <c r="F415" s="16" t="str">
        <f aca="false">INDEX($C$5:$C$436,MATCH(E415,$A$5:$A$436,0))</f>
        <v>Instalaciones de Comunicaciones</v>
      </c>
      <c r="G415" s="16" t="s">
        <v>1233</v>
      </c>
      <c r="H415" s="16" t="s">
        <v>1010</v>
      </c>
      <c r="I415" s="18" t="n">
        <f aca="false">COUNTIF(LOOKAHEAD!$B$5:$B$604,H415)</f>
        <v>0</v>
      </c>
    </row>
    <row r="416" customFormat="false" ht="15" hidden="false" customHeight="false" outlineLevel="0" collapsed="false">
      <c r="A416" s="16" t="s">
        <v>1236</v>
      </c>
      <c r="B416" s="16" t="n">
        <v>3</v>
      </c>
      <c r="C416" s="19" t="s">
        <v>1237</v>
      </c>
      <c r="D416" s="16" t="s">
        <v>161</v>
      </c>
      <c r="E416" s="16" t="s">
        <v>1169</v>
      </c>
      <c r="F416" s="16" t="str">
        <f aca="false">INDEX($C$5:$C$436,MATCH(E416,$A$5:$A$436,0))</f>
        <v>Instalaciones de Comunicaciones</v>
      </c>
      <c r="G416" s="16" t="s">
        <v>1233</v>
      </c>
      <c r="H416" s="16" t="s">
        <v>1013</v>
      </c>
      <c r="I416" s="18" t="n">
        <f aca="false">COUNTIF(LOOKAHEAD!$B$5:$B$604,H416)</f>
        <v>0</v>
      </c>
    </row>
    <row r="417" customFormat="false" ht="15" hidden="false" customHeight="false" outlineLevel="0" collapsed="false">
      <c r="A417" s="13" t="s">
        <v>1238</v>
      </c>
      <c r="B417" s="13" t="n">
        <v>2</v>
      </c>
      <c r="C417" s="14" t="s">
        <v>1239</v>
      </c>
      <c r="D417" s="13" t="s">
        <v>151</v>
      </c>
      <c r="E417" s="13" t="s">
        <v>1169</v>
      </c>
      <c r="F417" s="13" t="str">
        <f aca="false">INDEX($C$5:$C$436,MATCH(E417,$A$5:$A$436,0))</f>
        <v>Instalaciones de Comunicaciones</v>
      </c>
      <c r="G417" s="13" t="s">
        <v>1170</v>
      </c>
      <c r="H417" s="13"/>
      <c r="I417" s="13"/>
    </row>
    <row r="418" customFormat="false" ht="15" hidden="false" customHeight="false" outlineLevel="0" collapsed="false">
      <c r="A418" s="16" t="s">
        <v>1240</v>
      </c>
      <c r="B418" s="16" t="n">
        <v>3</v>
      </c>
      <c r="C418" s="19" t="s">
        <v>1241</v>
      </c>
      <c r="D418" s="16" t="s">
        <v>161</v>
      </c>
      <c r="E418" s="16" t="s">
        <v>1169</v>
      </c>
      <c r="F418" s="16" t="str">
        <f aca="false">INDEX($C$5:$C$436,MATCH(E418,$A$5:$A$436,0))</f>
        <v>Instalaciones de Comunicaciones</v>
      </c>
      <c r="G418" s="16" t="s">
        <v>1239</v>
      </c>
      <c r="H418" s="16" t="s">
        <v>1016</v>
      </c>
      <c r="I418" s="18" t="n">
        <f aca="false">COUNTIF(LOOKAHEAD!$B$5:$B$604,H418)</f>
        <v>0</v>
      </c>
    </row>
    <row r="419" customFormat="false" ht="15" hidden="false" customHeight="false" outlineLevel="0" collapsed="false">
      <c r="A419" s="16" t="s">
        <v>1242</v>
      </c>
      <c r="B419" s="16" t="n">
        <v>3</v>
      </c>
      <c r="C419" s="19" t="s">
        <v>1243</v>
      </c>
      <c r="D419" s="16" t="s">
        <v>161</v>
      </c>
      <c r="E419" s="16" t="s">
        <v>1169</v>
      </c>
      <c r="F419" s="16" t="str">
        <f aca="false">INDEX($C$5:$C$436,MATCH(E419,$A$5:$A$436,0))</f>
        <v>Instalaciones de Comunicaciones</v>
      </c>
      <c r="G419" s="16" t="s">
        <v>1239</v>
      </c>
      <c r="H419" s="16" t="s">
        <v>1019</v>
      </c>
      <c r="I419" s="18" t="n">
        <f aca="false">COUNTIF(LOOKAHEAD!$B$5:$B$604,H419)</f>
        <v>0</v>
      </c>
    </row>
    <row r="420" customFormat="false" ht="15" hidden="false" customHeight="false" outlineLevel="0" collapsed="false">
      <c r="A420" s="13" t="s">
        <v>1244</v>
      </c>
      <c r="B420" s="13" t="n">
        <v>2</v>
      </c>
      <c r="C420" s="14" t="s">
        <v>1245</v>
      </c>
      <c r="D420" s="13" t="s">
        <v>151</v>
      </c>
      <c r="E420" s="13" t="s">
        <v>1169</v>
      </c>
      <c r="F420" s="13" t="str">
        <f aca="false">INDEX($C$5:$C$436,MATCH(E420,$A$5:$A$436,0))</f>
        <v>Instalaciones de Comunicaciones</v>
      </c>
      <c r="G420" s="13" t="s">
        <v>1170</v>
      </c>
      <c r="H420" s="13"/>
      <c r="I420" s="13"/>
    </row>
    <row r="421" customFormat="false" ht="15" hidden="false" customHeight="false" outlineLevel="0" collapsed="false">
      <c r="A421" s="16" t="s">
        <v>1246</v>
      </c>
      <c r="B421" s="16" t="n">
        <v>3</v>
      </c>
      <c r="C421" s="19" t="s">
        <v>1247</v>
      </c>
      <c r="D421" s="16" t="s">
        <v>161</v>
      </c>
      <c r="E421" s="16" t="s">
        <v>1169</v>
      </c>
      <c r="F421" s="16" t="str">
        <f aca="false">INDEX($C$5:$C$436,MATCH(E421,$A$5:$A$436,0))</f>
        <v>Instalaciones de Comunicaciones</v>
      </c>
      <c r="G421" s="16" t="s">
        <v>1245</v>
      </c>
      <c r="H421" s="16" t="s">
        <v>1022</v>
      </c>
      <c r="I421" s="18" t="n">
        <f aca="false">COUNTIF(LOOKAHEAD!$B$5:$B$604,H421)</f>
        <v>0</v>
      </c>
    </row>
    <row r="422" customFormat="false" ht="15" hidden="false" customHeight="false" outlineLevel="0" collapsed="false">
      <c r="A422" s="13" t="s">
        <v>1248</v>
      </c>
      <c r="B422" s="13" t="n">
        <v>2</v>
      </c>
      <c r="C422" s="14" t="s">
        <v>1249</v>
      </c>
      <c r="D422" s="13" t="s">
        <v>151</v>
      </c>
      <c r="E422" s="13" t="s">
        <v>1169</v>
      </c>
      <c r="F422" s="13" t="str">
        <f aca="false">INDEX($C$5:$C$436,MATCH(E422,$A$5:$A$436,0))</f>
        <v>Instalaciones de Comunicaciones</v>
      </c>
      <c r="G422" s="13" t="s">
        <v>1170</v>
      </c>
      <c r="H422" s="13"/>
      <c r="I422" s="13"/>
    </row>
    <row r="423" customFormat="false" ht="15" hidden="false" customHeight="false" outlineLevel="0" collapsed="false">
      <c r="A423" s="16" t="s">
        <v>1250</v>
      </c>
      <c r="B423" s="16" t="n">
        <v>3</v>
      </c>
      <c r="C423" s="19" t="s">
        <v>1251</v>
      </c>
      <c r="D423" s="16" t="s">
        <v>161</v>
      </c>
      <c r="E423" s="16" t="s">
        <v>1169</v>
      </c>
      <c r="F423" s="16" t="str">
        <f aca="false">INDEX($C$5:$C$436,MATCH(E423,$A$5:$A$436,0))</f>
        <v>Instalaciones de Comunicaciones</v>
      </c>
      <c r="G423" s="16" t="s">
        <v>1249</v>
      </c>
      <c r="H423" s="16" t="s">
        <v>1025</v>
      </c>
      <c r="I423" s="18" t="n">
        <f aca="false">COUNTIF(LOOKAHEAD!$B$5:$B$604,H423)</f>
        <v>0</v>
      </c>
    </row>
    <row r="424" customFormat="false" ht="15" hidden="false" customHeight="false" outlineLevel="0" collapsed="false">
      <c r="A424" s="16" t="s">
        <v>1252</v>
      </c>
      <c r="B424" s="16" t="n">
        <v>3</v>
      </c>
      <c r="C424" s="19" t="s">
        <v>1253</v>
      </c>
      <c r="D424" s="16" t="s">
        <v>161</v>
      </c>
      <c r="E424" s="16" t="s">
        <v>1169</v>
      </c>
      <c r="F424" s="16" t="str">
        <f aca="false">INDEX($C$5:$C$436,MATCH(E424,$A$5:$A$436,0))</f>
        <v>Instalaciones de Comunicaciones</v>
      </c>
      <c r="G424" s="16" t="s">
        <v>1249</v>
      </c>
      <c r="H424" s="16" t="s">
        <v>1028</v>
      </c>
      <c r="I424" s="18" t="n">
        <f aca="false">COUNTIF(LOOKAHEAD!$B$5:$B$604,H424)</f>
        <v>0</v>
      </c>
    </row>
    <row r="425" customFormat="false" ht="15" hidden="false" customHeight="false" outlineLevel="0" collapsed="false">
      <c r="A425" s="13" t="s">
        <v>1254</v>
      </c>
      <c r="B425" s="13" t="n">
        <v>2</v>
      </c>
      <c r="C425" s="14" t="s">
        <v>1255</v>
      </c>
      <c r="D425" s="13" t="s">
        <v>151</v>
      </c>
      <c r="E425" s="13" t="s">
        <v>1169</v>
      </c>
      <c r="F425" s="13" t="str">
        <f aca="false">INDEX($C$5:$C$436,MATCH(E425,$A$5:$A$436,0))</f>
        <v>Instalaciones de Comunicaciones</v>
      </c>
      <c r="G425" s="13" t="s">
        <v>1170</v>
      </c>
      <c r="H425" s="13"/>
      <c r="I425" s="13"/>
    </row>
    <row r="426" customFormat="false" ht="15" hidden="false" customHeight="false" outlineLevel="0" collapsed="false">
      <c r="A426" s="16" t="s">
        <v>1256</v>
      </c>
      <c r="B426" s="16" t="n">
        <v>3</v>
      </c>
      <c r="C426" s="19" t="s">
        <v>1257</v>
      </c>
      <c r="D426" s="16" t="s">
        <v>161</v>
      </c>
      <c r="E426" s="16" t="s">
        <v>1169</v>
      </c>
      <c r="F426" s="16" t="str">
        <f aca="false">INDEX($C$5:$C$436,MATCH(E426,$A$5:$A$436,0))</f>
        <v>Instalaciones de Comunicaciones</v>
      </c>
      <c r="G426" s="16" t="s">
        <v>1255</v>
      </c>
      <c r="H426" s="16" t="s">
        <v>1031</v>
      </c>
      <c r="I426" s="18" t="n">
        <f aca="false">COUNTIF(LOOKAHEAD!$B$5:$B$604,H426)</f>
        <v>0</v>
      </c>
    </row>
    <row r="427" customFormat="false" ht="15" hidden="false" customHeight="false" outlineLevel="0" collapsed="false">
      <c r="A427" s="16" t="s">
        <v>1258</v>
      </c>
      <c r="B427" s="16" t="n">
        <v>3</v>
      </c>
      <c r="C427" s="19" t="s">
        <v>1259</v>
      </c>
      <c r="D427" s="16" t="s">
        <v>161</v>
      </c>
      <c r="E427" s="16" t="s">
        <v>1169</v>
      </c>
      <c r="F427" s="16" t="str">
        <f aca="false">INDEX($C$5:$C$436,MATCH(E427,$A$5:$A$436,0))</f>
        <v>Instalaciones de Comunicaciones</v>
      </c>
      <c r="G427" s="16" t="s">
        <v>1255</v>
      </c>
      <c r="H427" s="16" t="s">
        <v>1034</v>
      </c>
      <c r="I427" s="18" t="n">
        <f aca="false">COUNTIF(LOOKAHEAD!$B$5:$B$604,H427)</f>
        <v>0</v>
      </c>
    </row>
    <row r="428" customFormat="false" ht="15" hidden="false" customHeight="false" outlineLevel="0" collapsed="false">
      <c r="A428" s="13" t="s">
        <v>1260</v>
      </c>
      <c r="B428" s="13" t="n">
        <v>2</v>
      </c>
      <c r="C428" s="14" t="s">
        <v>1261</v>
      </c>
      <c r="D428" s="13" t="s">
        <v>151</v>
      </c>
      <c r="E428" s="13" t="s">
        <v>1169</v>
      </c>
      <c r="F428" s="13" t="str">
        <f aca="false">INDEX($C$5:$C$436,MATCH(E428,$A$5:$A$436,0))</f>
        <v>Instalaciones de Comunicaciones</v>
      </c>
      <c r="G428" s="13" t="s">
        <v>1170</v>
      </c>
      <c r="H428" s="13"/>
      <c r="I428" s="13"/>
    </row>
    <row r="429" customFormat="false" ht="15" hidden="false" customHeight="false" outlineLevel="0" collapsed="false">
      <c r="A429" s="16" t="s">
        <v>1262</v>
      </c>
      <c r="B429" s="16" t="n">
        <v>3</v>
      </c>
      <c r="C429" s="19" t="s">
        <v>1263</v>
      </c>
      <c r="D429" s="16" t="s">
        <v>161</v>
      </c>
      <c r="E429" s="16" t="s">
        <v>1169</v>
      </c>
      <c r="F429" s="16" t="str">
        <f aca="false">INDEX($C$5:$C$436,MATCH(E429,$A$5:$A$436,0))</f>
        <v>Instalaciones de Comunicaciones</v>
      </c>
      <c r="G429" s="16" t="s">
        <v>1261</v>
      </c>
      <c r="H429" s="16" t="s">
        <v>1037</v>
      </c>
      <c r="I429" s="18" t="n">
        <f aca="false">COUNTIF(LOOKAHEAD!$B$5:$B$604,H429)</f>
        <v>0</v>
      </c>
    </row>
    <row r="430" customFormat="false" ht="15" hidden="false" customHeight="false" outlineLevel="0" collapsed="false">
      <c r="A430" s="16" t="s">
        <v>1264</v>
      </c>
      <c r="B430" s="16" t="n">
        <v>3</v>
      </c>
      <c r="C430" s="19" t="s">
        <v>1265</v>
      </c>
      <c r="D430" s="16" t="s">
        <v>161</v>
      </c>
      <c r="E430" s="16" t="s">
        <v>1169</v>
      </c>
      <c r="F430" s="16" t="str">
        <f aca="false">INDEX($C$5:$C$436,MATCH(E430,$A$5:$A$436,0))</f>
        <v>Instalaciones de Comunicaciones</v>
      </c>
      <c r="G430" s="16" t="s">
        <v>1261</v>
      </c>
      <c r="H430" s="16" t="s">
        <v>1040</v>
      </c>
      <c r="I430" s="18" t="n">
        <f aca="false">COUNTIF(LOOKAHEAD!$B$5:$B$604,H430)</f>
        <v>0</v>
      </c>
    </row>
    <row r="431" customFormat="false" ht="15" hidden="false" customHeight="false" outlineLevel="0" collapsed="false">
      <c r="A431" s="16" t="s">
        <v>1266</v>
      </c>
      <c r="B431" s="16" t="n">
        <v>3</v>
      </c>
      <c r="C431" s="19" t="s">
        <v>1267</v>
      </c>
      <c r="D431" s="16" t="s">
        <v>161</v>
      </c>
      <c r="E431" s="16" t="s">
        <v>1169</v>
      </c>
      <c r="F431" s="16" t="str">
        <f aca="false">INDEX($C$5:$C$436,MATCH(E431,$A$5:$A$436,0))</f>
        <v>Instalaciones de Comunicaciones</v>
      </c>
      <c r="G431" s="16" t="s">
        <v>1261</v>
      </c>
      <c r="H431" s="16" t="s">
        <v>1043</v>
      </c>
      <c r="I431" s="18" t="n">
        <f aca="false">COUNTIF(LOOKAHEAD!$B$5:$B$604,H431)</f>
        <v>0</v>
      </c>
    </row>
    <row r="432" customFormat="false" ht="15" hidden="false" customHeight="false" outlineLevel="0" collapsed="false">
      <c r="A432" s="10" t="s">
        <v>1268</v>
      </c>
      <c r="B432" s="10" t="n">
        <v>1</v>
      </c>
      <c r="C432" s="11" t="s">
        <v>1269</v>
      </c>
      <c r="D432" s="10" t="s">
        <v>151</v>
      </c>
      <c r="E432" s="10" t="s">
        <v>1268</v>
      </c>
      <c r="F432" s="10" t="str">
        <f aca="false">INDEX($C$5:$C$436,MATCH(E432,$A$5:$A$436,0))</f>
        <v>Capacitación</v>
      </c>
      <c r="G432" s="10"/>
      <c r="H432" s="10"/>
      <c r="I432" s="10"/>
    </row>
    <row r="433" customFormat="false" ht="15" hidden="false" customHeight="false" outlineLevel="0" collapsed="false">
      <c r="A433" s="13" t="s">
        <v>1270</v>
      </c>
      <c r="B433" s="13" t="n">
        <v>2</v>
      </c>
      <c r="C433" s="14" t="s">
        <v>1271</v>
      </c>
      <c r="D433" s="13" t="s">
        <v>151</v>
      </c>
      <c r="E433" s="13" t="s">
        <v>1268</v>
      </c>
      <c r="F433" s="13" t="str">
        <f aca="false">INDEX($C$5:$C$436,MATCH(E433,$A$5:$A$436,0))</f>
        <v>Capacitación</v>
      </c>
      <c r="G433" s="13" t="s">
        <v>1269</v>
      </c>
      <c r="H433" s="13"/>
      <c r="I433" s="13"/>
    </row>
    <row r="434" customFormat="false" ht="15" hidden="false" customHeight="false" outlineLevel="0" collapsed="false">
      <c r="A434" s="16" t="s">
        <v>1272</v>
      </c>
      <c r="B434" s="16" t="n">
        <v>3</v>
      </c>
      <c r="C434" s="19" t="s">
        <v>1273</v>
      </c>
      <c r="D434" s="16" t="s">
        <v>161</v>
      </c>
      <c r="E434" s="16" t="s">
        <v>1268</v>
      </c>
      <c r="F434" s="16" t="str">
        <f aca="false">INDEX($C$5:$C$436,MATCH(E434,$A$5:$A$436,0))</f>
        <v>Capacitación</v>
      </c>
      <c r="G434" s="16" t="s">
        <v>1271</v>
      </c>
      <c r="H434" s="16" t="s">
        <v>1046</v>
      </c>
      <c r="I434" s="18" t="n">
        <f aca="false">COUNTIF(LOOKAHEAD!$B$5:$B$604,H434)</f>
        <v>0</v>
      </c>
    </row>
    <row r="435" customFormat="false" ht="15" hidden="false" customHeight="false" outlineLevel="0" collapsed="false">
      <c r="A435" s="16" t="s">
        <v>1274</v>
      </c>
      <c r="B435" s="16" t="n">
        <v>3</v>
      </c>
      <c r="C435" s="19" t="s">
        <v>1275</v>
      </c>
      <c r="D435" s="16" t="s">
        <v>161</v>
      </c>
      <c r="E435" s="16" t="s">
        <v>1268</v>
      </c>
      <c r="F435" s="16" t="str">
        <f aca="false">INDEX($C$5:$C$436,MATCH(E435,$A$5:$A$436,0))</f>
        <v>Capacitación</v>
      </c>
      <c r="G435" s="16" t="s">
        <v>1271</v>
      </c>
      <c r="H435" s="16" t="s">
        <v>1049</v>
      </c>
      <c r="I435" s="18" t="n">
        <f aca="false">COUNTIF(LOOKAHEAD!$B$5:$B$604,H435)</f>
        <v>0</v>
      </c>
    </row>
    <row r="436" customFormat="false" ht="15" hidden="false" customHeight="false" outlineLevel="0" collapsed="false">
      <c r="A436" s="16" t="s">
        <v>1276</v>
      </c>
      <c r="B436" s="16" t="n">
        <v>3</v>
      </c>
      <c r="C436" s="19" t="s">
        <v>1277</v>
      </c>
      <c r="D436" s="16" t="s">
        <v>161</v>
      </c>
      <c r="E436" s="16" t="s">
        <v>1268</v>
      </c>
      <c r="F436" s="16" t="str">
        <f aca="false">INDEX($C$5:$C$436,MATCH(E436,$A$5:$A$436,0))</f>
        <v>Capacitación</v>
      </c>
      <c r="G436" s="16" t="s">
        <v>1271</v>
      </c>
      <c r="H436" s="16" t="s">
        <v>1052</v>
      </c>
      <c r="I436" s="18" t="n">
        <f aca="false">COUNTIF(LOOKAHEAD!$B$5:$B$604,H436)</f>
        <v>0</v>
      </c>
    </row>
  </sheetData>
  <autoFilter ref="A4:I436"/>
  <conditionalFormatting sqref="I5:I436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05496"/>
    <pageSetUpPr fitToPage="false"/>
  </sheetPr>
  <dimension ref="A1:Q56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62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30"/>
    <col collapsed="false" customWidth="true" hidden="false" outlineLevel="0" max="9" min="9" style="0" width="16"/>
    <col collapsed="false" customWidth="true" hidden="false" outlineLevel="0" max="10" min="10" style="0" width="34"/>
    <col collapsed="false" customWidth="true" hidden="false" outlineLevel="0" max="11" min="11" style="0" width="9"/>
    <col collapsed="false" customWidth="true" hidden="false" outlineLevel="0" max="13" min="12" style="0" width="11"/>
    <col collapsed="false" customWidth="true" hidden="false" outlineLevel="0" max="14" min="14" style="0" width="18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2"/>
  </cols>
  <sheetData>
    <row r="1" customFormat="false" ht="17.35" hidden="false" customHeight="false" outlineLevel="0" collapsed="false">
      <c r="A1" s="1" t="s">
        <v>1278</v>
      </c>
      <c r="D1" s="7" t="s">
        <v>1279</v>
      </c>
    </row>
    <row r="2" customFormat="false" ht="15" hidden="false" customHeight="false" outlineLevel="0" collapsed="false">
      <c r="A2" s="22" t="s">
        <v>1280</v>
      </c>
      <c r="C2" s="23" t="n">
        <f aca="false">LOOKAHEAD!C2</f>
        <v>46300</v>
      </c>
      <c r="D2" s="23" t="n">
        <f aca="false">LOOKAHEAD!C2+41</f>
        <v>46341</v>
      </c>
      <c r="F2" s="22" t="s">
        <v>1281</v>
      </c>
      <c r="I2" s="24" t="n">
        <f aca="false">COUNTIF($Q$5:$Q$5679,"INCORPORAR")</f>
        <v>0</v>
      </c>
    </row>
    <row r="4" customFormat="false" ht="31.5" hidden="false" customHeight="true" outlineLevel="0" collapsed="false">
      <c r="A4" s="8" t="s">
        <v>1282</v>
      </c>
      <c r="B4" s="8" t="s">
        <v>1283</v>
      </c>
      <c r="C4" s="8" t="s">
        <v>1284</v>
      </c>
      <c r="D4" s="8" t="s">
        <v>140</v>
      </c>
      <c r="E4" s="8" t="s">
        <v>1285</v>
      </c>
      <c r="F4" s="8" t="s">
        <v>142</v>
      </c>
      <c r="G4" s="8" t="s">
        <v>143</v>
      </c>
      <c r="H4" s="8" t="s">
        <v>1286</v>
      </c>
      <c r="I4" s="8" t="s">
        <v>1287</v>
      </c>
      <c r="J4" s="8" t="s">
        <v>145</v>
      </c>
      <c r="K4" s="8" t="s">
        <v>1288</v>
      </c>
      <c r="L4" s="8" t="s">
        <v>1289</v>
      </c>
      <c r="M4" s="8" t="s">
        <v>1290</v>
      </c>
      <c r="N4" s="8" t="s">
        <v>1291</v>
      </c>
      <c r="O4" s="8" t="s">
        <v>1292</v>
      </c>
      <c r="P4" s="8" t="s">
        <v>1293</v>
      </c>
      <c r="Q4" s="8" t="s">
        <v>1294</v>
      </c>
    </row>
    <row r="5" customFormat="false" ht="15" hidden="false" customHeight="false" outlineLevel="0" collapsed="false">
      <c r="A5" s="25" t="s">
        <v>1295</v>
      </c>
      <c r="B5" s="25" t="n">
        <v>0</v>
      </c>
      <c r="C5" s="25" t="s">
        <v>1296</v>
      </c>
      <c r="D5" s="25" t="n">
        <v>0</v>
      </c>
      <c r="E5" s="25" t="s">
        <v>1297</v>
      </c>
      <c r="F5" s="25" t="s">
        <v>1298</v>
      </c>
      <c r="G5" s="25"/>
      <c r="H5" s="25"/>
      <c r="I5" s="25"/>
      <c r="J5" s="25"/>
      <c r="K5" s="26" t="n">
        <v>660</v>
      </c>
      <c r="L5" s="27" t="n">
        <v>45878</v>
      </c>
      <c r="M5" s="27" t="n">
        <v>46617</v>
      </c>
      <c r="N5" s="25"/>
      <c r="O5" s="25" t="s">
        <v>1299</v>
      </c>
      <c r="P5" s="25"/>
      <c r="Q5" s="25"/>
    </row>
    <row r="6" customFormat="false" ht="15" hidden="false" customHeight="false" outlineLevel="0" collapsed="false">
      <c r="A6" s="25" t="s">
        <v>1300</v>
      </c>
      <c r="B6" s="25" t="n">
        <v>1</v>
      </c>
      <c r="C6" s="25" t="s">
        <v>1301</v>
      </c>
      <c r="D6" s="25" t="n">
        <v>1</v>
      </c>
      <c r="E6" s="25" t="s">
        <v>1302</v>
      </c>
      <c r="F6" s="25" t="s">
        <v>1298</v>
      </c>
      <c r="G6" s="25"/>
      <c r="H6" s="25"/>
      <c r="I6" s="25"/>
      <c r="J6" s="25"/>
      <c r="K6" s="26" t="n">
        <v>660</v>
      </c>
      <c r="L6" s="27" t="n">
        <v>45878</v>
      </c>
      <c r="M6" s="27" t="n">
        <v>46617</v>
      </c>
      <c r="N6" s="25"/>
      <c r="O6" s="25" t="s">
        <v>1299</v>
      </c>
      <c r="P6" s="25"/>
      <c r="Q6" s="25"/>
    </row>
    <row r="7" customFormat="false" ht="15" hidden="false" customHeight="false" outlineLevel="0" collapsed="false">
      <c r="A7" s="25" t="s">
        <v>1303</v>
      </c>
      <c r="B7" s="25" t="n">
        <v>2</v>
      </c>
      <c r="C7" s="25" t="s">
        <v>1304</v>
      </c>
      <c r="D7" s="25" t="n">
        <v>2</v>
      </c>
      <c r="E7" s="28" t="s">
        <v>1305</v>
      </c>
      <c r="F7" s="25" t="s">
        <v>1306</v>
      </c>
      <c r="G7" s="25"/>
      <c r="H7" s="25"/>
      <c r="I7" s="25"/>
      <c r="J7" s="25" t="s">
        <v>1302</v>
      </c>
      <c r="K7" s="26" t="n">
        <v>0</v>
      </c>
      <c r="L7" s="27" t="n">
        <v>45878</v>
      </c>
      <c r="M7" s="27" t="n">
        <v>45878</v>
      </c>
      <c r="N7" s="25"/>
      <c r="O7" s="25"/>
      <c r="P7" s="25"/>
      <c r="Q7" s="25"/>
    </row>
    <row r="8" customFormat="false" ht="15" hidden="false" customHeight="false" outlineLevel="0" collapsed="false">
      <c r="A8" s="25" t="s">
        <v>1307</v>
      </c>
      <c r="B8" s="25" t="n">
        <v>3</v>
      </c>
      <c r="C8" s="25" t="s">
        <v>1308</v>
      </c>
      <c r="D8" s="25" t="n">
        <v>2</v>
      </c>
      <c r="E8" s="28" t="s">
        <v>1309</v>
      </c>
      <c r="F8" s="25" t="s">
        <v>1298</v>
      </c>
      <c r="G8" s="25" t="s">
        <v>149</v>
      </c>
      <c r="H8" s="25"/>
      <c r="I8" s="25"/>
      <c r="J8" s="25" t="s">
        <v>1302</v>
      </c>
      <c r="K8" s="26" t="n">
        <v>654</v>
      </c>
      <c r="L8" s="27" t="n">
        <v>45878</v>
      </c>
      <c r="M8" s="27" t="n">
        <v>46611</v>
      </c>
      <c r="N8" s="25"/>
      <c r="O8" s="25" t="s">
        <v>1299</v>
      </c>
      <c r="P8" s="25"/>
      <c r="Q8" s="25"/>
    </row>
    <row r="9" customFormat="false" ht="15" hidden="false" customHeight="false" outlineLevel="0" collapsed="false">
      <c r="A9" s="25" t="s">
        <v>1310</v>
      </c>
      <c r="B9" s="25" t="n">
        <v>4</v>
      </c>
      <c r="C9" s="25" t="s">
        <v>1311</v>
      </c>
      <c r="D9" s="25" t="n">
        <v>3</v>
      </c>
      <c r="E9" s="29" t="s">
        <v>1312</v>
      </c>
      <c r="F9" s="25" t="s">
        <v>1298</v>
      </c>
      <c r="G9" s="25" t="s">
        <v>149</v>
      </c>
      <c r="H9" s="25"/>
      <c r="I9" s="25"/>
      <c r="J9" s="25" t="s">
        <v>1309</v>
      </c>
      <c r="K9" s="26" t="n">
        <v>654</v>
      </c>
      <c r="L9" s="27" t="n">
        <v>45878</v>
      </c>
      <c r="M9" s="27" t="n">
        <v>46611</v>
      </c>
      <c r="N9" s="25"/>
      <c r="O9" s="25" t="s">
        <v>1299</v>
      </c>
      <c r="P9" s="25"/>
      <c r="Q9" s="25"/>
    </row>
    <row r="10" customFormat="false" ht="15" hidden="false" customHeight="false" outlineLevel="0" collapsed="false">
      <c r="A10" s="13" t="s">
        <v>1313</v>
      </c>
      <c r="B10" s="13" t="n">
        <v>5</v>
      </c>
      <c r="C10" s="13" t="s">
        <v>1314</v>
      </c>
      <c r="D10" s="13" t="n">
        <v>4</v>
      </c>
      <c r="E10" s="20" t="s">
        <v>1315</v>
      </c>
      <c r="F10" s="13" t="s">
        <v>1298</v>
      </c>
      <c r="G10" s="13" t="s">
        <v>149</v>
      </c>
      <c r="H10" s="13" t="s">
        <v>1315</v>
      </c>
      <c r="I10" s="13" t="s">
        <v>136</v>
      </c>
      <c r="J10" s="13" t="s">
        <v>1312</v>
      </c>
      <c r="K10" s="30" t="n">
        <v>654</v>
      </c>
      <c r="L10" s="31" t="n">
        <v>45878</v>
      </c>
      <c r="M10" s="31" t="n">
        <v>46611</v>
      </c>
      <c r="N10" s="13"/>
      <c r="O10" s="13"/>
      <c r="P10" s="13"/>
      <c r="Q10" s="13"/>
    </row>
    <row r="11" customFormat="false" ht="15" hidden="false" customHeight="false" outlineLevel="0" collapsed="false">
      <c r="A11" s="16" t="s">
        <v>1316</v>
      </c>
      <c r="B11" s="16" t="n">
        <v>6</v>
      </c>
      <c r="C11" s="16" t="s">
        <v>1317</v>
      </c>
      <c r="D11" s="16" t="n">
        <v>5</v>
      </c>
      <c r="E11" s="21" t="s">
        <v>1318</v>
      </c>
      <c r="F11" s="16" t="s">
        <v>1285</v>
      </c>
      <c r="G11" s="16" t="s">
        <v>149</v>
      </c>
      <c r="H11" s="16" t="s">
        <v>1315</v>
      </c>
      <c r="I11" s="16" t="s">
        <v>136</v>
      </c>
      <c r="J11" s="16" t="s">
        <v>1315</v>
      </c>
      <c r="K11" s="32" t="n">
        <v>1</v>
      </c>
      <c r="L11" s="33" t="n">
        <v>45878</v>
      </c>
      <c r="M11" s="33" t="n">
        <v>45878</v>
      </c>
      <c r="N11" s="16" t="s">
        <v>1319</v>
      </c>
      <c r="O11" s="16"/>
      <c r="P11" s="16" t="str">
        <f aca="false">IF(AND(L11&lt;=$D$2,M11&gt;=$C$2),"Sí","")</f>
        <v/>
      </c>
      <c r="Q11" s="18" t="str">
        <f aca="false">IF(COUNTIF(LOOKAHEAD!$A$5:$A$604,A11)&gt;0,"En Lookahead",IF(P11="Sí","INCORPORAR",""))</f>
        <v/>
      </c>
    </row>
    <row r="12" customFormat="false" ht="15" hidden="false" customHeight="false" outlineLevel="0" collapsed="false">
      <c r="A12" s="16" t="s">
        <v>1320</v>
      </c>
      <c r="B12" s="16" t="n">
        <v>7</v>
      </c>
      <c r="C12" s="16" t="s">
        <v>1321</v>
      </c>
      <c r="D12" s="16" t="n">
        <v>5</v>
      </c>
      <c r="E12" s="21" t="s">
        <v>1322</v>
      </c>
      <c r="F12" s="16" t="s">
        <v>1285</v>
      </c>
      <c r="G12" s="16" t="s">
        <v>149</v>
      </c>
      <c r="H12" s="16" t="s">
        <v>1315</v>
      </c>
      <c r="I12" s="16" t="s">
        <v>136</v>
      </c>
      <c r="J12" s="16" t="s">
        <v>1315</v>
      </c>
      <c r="K12" s="32" t="n">
        <v>2</v>
      </c>
      <c r="L12" s="33" t="n">
        <v>45893</v>
      </c>
      <c r="M12" s="33" t="n">
        <v>45894</v>
      </c>
      <c r="N12" s="16" t="s">
        <v>1323</v>
      </c>
      <c r="O12" s="16"/>
      <c r="P12" s="16" t="str">
        <f aca="false">IF(AND(L12&lt;=$D$2,M12&gt;=$C$2),"Sí","")</f>
        <v/>
      </c>
      <c r="Q12" s="18" t="str">
        <f aca="false">IF(COUNTIF(LOOKAHEAD!$A$5:$A$604,A12)&gt;0,"En Lookahead",IF(P12="Sí","INCORPORAR",""))</f>
        <v/>
      </c>
    </row>
    <row r="13" customFormat="false" ht="15" hidden="false" customHeight="false" outlineLevel="0" collapsed="false">
      <c r="A13" s="16" t="s">
        <v>1324</v>
      </c>
      <c r="B13" s="16" t="n">
        <v>8</v>
      </c>
      <c r="C13" s="16" t="s">
        <v>1325</v>
      </c>
      <c r="D13" s="16" t="n">
        <v>5</v>
      </c>
      <c r="E13" s="21" t="s">
        <v>1326</v>
      </c>
      <c r="F13" s="16" t="s">
        <v>1285</v>
      </c>
      <c r="G13" s="16" t="s">
        <v>149</v>
      </c>
      <c r="H13" s="16" t="s">
        <v>1315</v>
      </c>
      <c r="I13" s="16" t="s">
        <v>136</v>
      </c>
      <c r="J13" s="16" t="s">
        <v>1315</v>
      </c>
      <c r="K13" s="32" t="n">
        <v>20</v>
      </c>
      <c r="L13" s="33" t="n">
        <v>45895</v>
      </c>
      <c r="M13" s="33" t="n">
        <v>45947</v>
      </c>
      <c r="N13" s="16" t="s">
        <v>1327</v>
      </c>
      <c r="O13" s="16"/>
      <c r="P13" s="16" t="str">
        <f aca="false">IF(AND(L13&lt;=$D$2,M13&gt;=$C$2),"Sí","")</f>
        <v/>
      </c>
      <c r="Q13" s="18" t="str">
        <f aca="false">IF(COUNTIF(LOOKAHEAD!$A$5:$A$604,A13)&gt;0,"En Lookahead",IF(P13="Sí","INCORPORAR",""))</f>
        <v/>
      </c>
    </row>
    <row r="14" customFormat="false" ht="15" hidden="false" customHeight="false" outlineLevel="0" collapsed="false">
      <c r="A14" s="16" t="s">
        <v>1328</v>
      </c>
      <c r="B14" s="16" t="n">
        <v>9</v>
      </c>
      <c r="C14" s="16" t="s">
        <v>1329</v>
      </c>
      <c r="D14" s="16" t="n">
        <v>5</v>
      </c>
      <c r="E14" s="21" t="s">
        <v>1330</v>
      </c>
      <c r="F14" s="16" t="s">
        <v>1285</v>
      </c>
      <c r="G14" s="16" t="s">
        <v>149</v>
      </c>
      <c r="H14" s="16" t="s">
        <v>1315</v>
      </c>
      <c r="I14" s="16" t="s">
        <v>136</v>
      </c>
      <c r="J14" s="16" t="s">
        <v>1315</v>
      </c>
      <c r="K14" s="32" t="n">
        <v>20</v>
      </c>
      <c r="L14" s="33" t="n">
        <v>45948</v>
      </c>
      <c r="M14" s="33" t="n">
        <v>45967</v>
      </c>
      <c r="N14" s="16" t="s">
        <v>1331</v>
      </c>
      <c r="O14" s="16"/>
      <c r="P14" s="16" t="str">
        <f aca="false">IF(AND(L14&lt;=$D$2,M14&gt;=$C$2),"Sí","")</f>
        <v/>
      </c>
      <c r="Q14" s="18" t="str">
        <f aca="false">IF(COUNTIF(LOOKAHEAD!$A$5:$A$604,A14)&gt;0,"En Lookahead",IF(P14="Sí","INCORPORAR",""))</f>
        <v/>
      </c>
    </row>
    <row r="15" customFormat="false" ht="15" hidden="false" customHeight="false" outlineLevel="0" collapsed="false">
      <c r="A15" s="16" t="s">
        <v>1332</v>
      </c>
      <c r="B15" s="16" t="n">
        <v>10</v>
      </c>
      <c r="C15" s="16" t="s">
        <v>1333</v>
      </c>
      <c r="D15" s="16" t="n">
        <v>5</v>
      </c>
      <c r="E15" s="21" t="s">
        <v>1334</v>
      </c>
      <c r="F15" s="16" t="s">
        <v>1285</v>
      </c>
      <c r="G15" s="16" t="s">
        <v>149</v>
      </c>
      <c r="H15" s="16" t="s">
        <v>1315</v>
      </c>
      <c r="I15" s="16" t="s">
        <v>136</v>
      </c>
      <c r="J15" s="16" t="s">
        <v>1315</v>
      </c>
      <c r="K15" s="32" t="n">
        <v>620</v>
      </c>
      <c r="L15" s="33" t="n">
        <v>45912</v>
      </c>
      <c r="M15" s="33" t="n">
        <v>46611</v>
      </c>
      <c r="N15" s="16" t="s">
        <v>1335</v>
      </c>
      <c r="O15" s="16"/>
      <c r="P15" s="16" t="str">
        <f aca="false">IF(AND(L15&lt;=$D$2,M15&gt;=$C$2),"Sí","")</f>
        <v>Sí</v>
      </c>
      <c r="Q15" s="18" t="str">
        <f aca="false">IF(COUNTIF(LOOKAHEAD!$A$5:$A$604,A15)&gt;0,"En Lookahead",IF(P15="Sí","INCORPORAR",""))</f>
        <v>En Lookahead</v>
      </c>
    </row>
    <row r="16" customFormat="false" ht="15" hidden="false" customHeight="false" outlineLevel="0" collapsed="false">
      <c r="A16" s="16" t="s">
        <v>1336</v>
      </c>
      <c r="B16" s="16" t="n">
        <v>11</v>
      </c>
      <c r="C16" s="16" t="s">
        <v>1337</v>
      </c>
      <c r="D16" s="16" t="n">
        <v>5</v>
      </c>
      <c r="E16" s="21" t="s">
        <v>1338</v>
      </c>
      <c r="F16" s="16" t="s">
        <v>1285</v>
      </c>
      <c r="G16" s="16" t="s">
        <v>149</v>
      </c>
      <c r="H16" s="16" t="s">
        <v>1315</v>
      </c>
      <c r="I16" s="16" t="s">
        <v>136</v>
      </c>
      <c r="J16" s="16" t="s">
        <v>1315</v>
      </c>
      <c r="K16" s="32" t="n">
        <v>5</v>
      </c>
      <c r="L16" s="33" t="n">
        <v>45968</v>
      </c>
      <c r="M16" s="33" t="n">
        <v>45972</v>
      </c>
      <c r="N16" s="16" t="s">
        <v>1339</v>
      </c>
      <c r="O16" s="16"/>
      <c r="P16" s="16" t="str">
        <f aca="false">IF(AND(L16&lt;=$D$2,M16&gt;=$C$2),"Sí","")</f>
        <v/>
      </c>
      <c r="Q16" s="18" t="str">
        <f aca="false">IF(COUNTIF(LOOKAHEAD!$A$5:$A$604,A16)&gt;0,"En Lookahead",IF(P16="Sí","INCORPORAR",""))</f>
        <v/>
      </c>
    </row>
    <row r="17" customFormat="false" ht="15" hidden="false" customHeight="false" outlineLevel="0" collapsed="false">
      <c r="A17" s="16" t="s">
        <v>1340</v>
      </c>
      <c r="B17" s="16" t="n">
        <v>12</v>
      </c>
      <c r="C17" s="16" t="s">
        <v>1341</v>
      </c>
      <c r="D17" s="16" t="n">
        <v>5</v>
      </c>
      <c r="E17" s="21" t="s">
        <v>1342</v>
      </c>
      <c r="F17" s="16" t="s">
        <v>1285</v>
      </c>
      <c r="G17" s="16" t="s">
        <v>149</v>
      </c>
      <c r="H17" s="16" t="s">
        <v>1315</v>
      </c>
      <c r="I17" s="16" t="s">
        <v>136</v>
      </c>
      <c r="J17" s="16" t="s">
        <v>1315</v>
      </c>
      <c r="K17" s="32" t="n">
        <v>30</v>
      </c>
      <c r="L17" s="33" t="n">
        <v>45895</v>
      </c>
      <c r="M17" s="33" t="n">
        <v>45924</v>
      </c>
      <c r="N17" s="16" t="s">
        <v>1327</v>
      </c>
      <c r="O17" s="16"/>
      <c r="P17" s="16" t="str">
        <f aca="false">IF(AND(L17&lt;=$D$2,M17&gt;=$C$2),"Sí","")</f>
        <v/>
      </c>
      <c r="Q17" s="18" t="str">
        <f aca="false">IF(COUNTIF(LOOKAHEAD!$A$5:$A$604,A17)&gt;0,"En Lookahead",IF(P17="Sí","INCORPORAR",""))</f>
        <v/>
      </c>
    </row>
    <row r="18" customFormat="false" ht="15" hidden="false" customHeight="false" outlineLevel="0" collapsed="false">
      <c r="A18" s="16" t="s">
        <v>1343</v>
      </c>
      <c r="B18" s="16" t="n">
        <v>13</v>
      </c>
      <c r="C18" s="16" t="s">
        <v>1344</v>
      </c>
      <c r="D18" s="16" t="n">
        <v>5</v>
      </c>
      <c r="E18" s="21" t="s">
        <v>1345</v>
      </c>
      <c r="F18" s="16" t="s">
        <v>1285</v>
      </c>
      <c r="G18" s="16" t="s">
        <v>149</v>
      </c>
      <c r="H18" s="16" t="s">
        <v>1315</v>
      </c>
      <c r="I18" s="16" t="s">
        <v>136</v>
      </c>
      <c r="J18" s="16" t="s">
        <v>1315</v>
      </c>
      <c r="K18" s="32" t="n">
        <v>430</v>
      </c>
      <c r="L18" s="33" t="n">
        <v>45973</v>
      </c>
      <c r="M18" s="33" t="n">
        <v>46482</v>
      </c>
      <c r="N18" s="16" t="s">
        <v>1346</v>
      </c>
      <c r="O18" s="16"/>
      <c r="P18" s="16" t="str">
        <f aca="false">IF(AND(L18&lt;=$D$2,M18&gt;=$C$2),"Sí","")</f>
        <v>Sí</v>
      </c>
      <c r="Q18" s="18" t="str">
        <f aca="false">IF(COUNTIF(LOOKAHEAD!$A$5:$A$604,A18)&gt;0,"En Lookahead",IF(P18="Sí","INCORPORAR",""))</f>
        <v>En Lookahead</v>
      </c>
    </row>
    <row r="19" customFormat="false" ht="15" hidden="false" customHeight="false" outlineLevel="0" collapsed="false">
      <c r="A19" s="13" t="s">
        <v>1347</v>
      </c>
      <c r="B19" s="13" t="n">
        <v>14</v>
      </c>
      <c r="C19" s="13" t="s">
        <v>1348</v>
      </c>
      <c r="D19" s="13" t="n">
        <v>4</v>
      </c>
      <c r="E19" s="20" t="s">
        <v>1349</v>
      </c>
      <c r="F19" s="13" t="s">
        <v>1298</v>
      </c>
      <c r="G19" s="13" t="s">
        <v>149</v>
      </c>
      <c r="H19" s="13" t="s">
        <v>1349</v>
      </c>
      <c r="I19" s="13" t="s">
        <v>136</v>
      </c>
      <c r="J19" s="13" t="s">
        <v>1312</v>
      </c>
      <c r="K19" s="30" t="n">
        <v>606</v>
      </c>
      <c r="L19" s="31" t="n">
        <v>45905</v>
      </c>
      <c r="M19" s="31" t="n">
        <v>46590</v>
      </c>
      <c r="N19" s="13"/>
      <c r="O19" s="13"/>
      <c r="P19" s="13"/>
      <c r="Q19" s="13"/>
    </row>
    <row r="20" customFormat="false" ht="15" hidden="false" customHeight="false" outlineLevel="0" collapsed="false">
      <c r="A20" s="16" t="s">
        <v>1350</v>
      </c>
      <c r="B20" s="16" t="n">
        <v>15</v>
      </c>
      <c r="C20" s="16" t="s">
        <v>1351</v>
      </c>
      <c r="D20" s="16" t="n">
        <v>5</v>
      </c>
      <c r="E20" s="21" t="s">
        <v>1352</v>
      </c>
      <c r="F20" s="16" t="s">
        <v>1285</v>
      </c>
      <c r="G20" s="16" t="s">
        <v>149</v>
      </c>
      <c r="H20" s="16" t="s">
        <v>1349</v>
      </c>
      <c r="I20" s="16" t="s">
        <v>136</v>
      </c>
      <c r="J20" s="16" t="s">
        <v>1349</v>
      </c>
      <c r="K20" s="32" t="n">
        <v>7</v>
      </c>
      <c r="L20" s="33" t="n">
        <v>45905</v>
      </c>
      <c r="M20" s="33" t="n">
        <v>45911</v>
      </c>
      <c r="N20" s="16" t="s">
        <v>1353</v>
      </c>
      <c r="O20" s="16"/>
      <c r="P20" s="16" t="str">
        <f aca="false">IF(AND(L20&lt;=$D$2,M20&gt;=$C$2),"Sí","")</f>
        <v/>
      </c>
      <c r="Q20" s="18" t="str">
        <f aca="false">IF(COUNTIF(LOOKAHEAD!$A$5:$A$604,A20)&gt;0,"En Lookahead",IF(P20="Sí","INCORPORAR",""))</f>
        <v/>
      </c>
    </row>
    <row r="21" customFormat="false" ht="15" hidden="false" customHeight="false" outlineLevel="0" collapsed="false">
      <c r="A21" s="16" t="s">
        <v>1354</v>
      </c>
      <c r="B21" s="16" t="n">
        <v>16</v>
      </c>
      <c r="C21" s="16" t="s">
        <v>1355</v>
      </c>
      <c r="D21" s="16" t="n">
        <v>5</v>
      </c>
      <c r="E21" s="21" t="s">
        <v>1356</v>
      </c>
      <c r="F21" s="16" t="s">
        <v>1285</v>
      </c>
      <c r="G21" s="16" t="s">
        <v>149</v>
      </c>
      <c r="H21" s="16" t="s">
        <v>1349</v>
      </c>
      <c r="I21" s="16" t="s">
        <v>136</v>
      </c>
      <c r="J21" s="16" t="s">
        <v>1349</v>
      </c>
      <c r="K21" s="32" t="n">
        <v>7</v>
      </c>
      <c r="L21" s="33" t="n">
        <v>45910</v>
      </c>
      <c r="M21" s="33" t="n">
        <v>45916</v>
      </c>
      <c r="N21" s="16" t="s">
        <v>1357</v>
      </c>
      <c r="O21" s="16"/>
      <c r="P21" s="16" t="str">
        <f aca="false">IF(AND(L21&lt;=$D$2,M21&gt;=$C$2),"Sí","")</f>
        <v/>
      </c>
      <c r="Q21" s="18" t="str">
        <f aca="false">IF(COUNTIF(LOOKAHEAD!$A$5:$A$604,A21)&gt;0,"En Lookahead",IF(P21="Sí","INCORPORAR",""))</f>
        <v/>
      </c>
    </row>
    <row r="22" customFormat="false" ht="15" hidden="false" customHeight="false" outlineLevel="0" collapsed="false">
      <c r="A22" s="16" t="s">
        <v>1358</v>
      </c>
      <c r="B22" s="16" t="n">
        <v>17</v>
      </c>
      <c r="C22" s="16" t="s">
        <v>1359</v>
      </c>
      <c r="D22" s="16" t="n">
        <v>5</v>
      </c>
      <c r="E22" s="21" t="s">
        <v>1360</v>
      </c>
      <c r="F22" s="16" t="s">
        <v>1285</v>
      </c>
      <c r="G22" s="16" t="s">
        <v>149</v>
      </c>
      <c r="H22" s="16" t="s">
        <v>1349</v>
      </c>
      <c r="I22" s="16" t="s">
        <v>136</v>
      </c>
      <c r="J22" s="16" t="s">
        <v>1349</v>
      </c>
      <c r="K22" s="32" t="n">
        <v>600</v>
      </c>
      <c r="L22" s="33" t="n">
        <v>45911</v>
      </c>
      <c r="M22" s="33" t="n">
        <v>46590</v>
      </c>
      <c r="N22" s="16" t="s">
        <v>1361</v>
      </c>
      <c r="O22" s="16"/>
      <c r="P22" s="16" t="str">
        <f aca="false">IF(AND(L22&lt;=$D$2,M22&gt;=$C$2),"Sí","")</f>
        <v>Sí</v>
      </c>
      <c r="Q22" s="18" t="str">
        <f aca="false">IF(COUNTIF(LOOKAHEAD!$A$5:$A$604,A22)&gt;0,"En Lookahead",IF(P22="Sí","INCORPORAR",""))</f>
        <v>En Lookahead</v>
      </c>
    </row>
    <row r="23" customFormat="false" ht="15" hidden="false" customHeight="false" outlineLevel="0" collapsed="false">
      <c r="A23" s="16" t="s">
        <v>1362</v>
      </c>
      <c r="B23" s="16" t="n">
        <v>18</v>
      </c>
      <c r="C23" s="16" t="s">
        <v>1363</v>
      </c>
      <c r="D23" s="16" t="n">
        <v>5</v>
      </c>
      <c r="E23" s="21" t="s">
        <v>1364</v>
      </c>
      <c r="F23" s="16" t="s">
        <v>1285</v>
      </c>
      <c r="G23" s="16" t="s">
        <v>149</v>
      </c>
      <c r="H23" s="16" t="s">
        <v>1349</v>
      </c>
      <c r="I23" s="16" t="s">
        <v>136</v>
      </c>
      <c r="J23" s="16" t="s">
        <v>1349</v>
      </c>
      <c r="K23" s="32" t="n">
        <v>600</v>
      </c>
      <c r="L23" s="33" t="n">
        <v>45906</v>
      </c>
      <c r="M23" s="33" t="n">
        <v>46585</v>
      </c>
      <c r="N23" s="16" t="s">
        <v>1365</v>
      </c>
      <c r="O23" s="16"/>
      <c r="P23" s="16" t="str">
        <f aca="false">IF(AND(L23&lt;=$D$2,M23&gt;=$C$2),"Sí","")</f>
        <v>Sí</v>
      </c>
      <c r="Q23" s="18" t="str">
        <f aca="false">IF(COUNTIF(LOOKAHEAD!$A$5:$A$604,A23)&gt;0,"En Lookahead",IF(P23="Sí","INCORPORAR",""))</f>
        <v>En Lookahead</v>
      </c>
    </row>
    <row r="24" customFormat="false" ht="15" hidden="false" customHeight="false" outlineLevel="0" collapsed="false">
      <c r="A24" s="13" t="s">
        <v>1366</v>
      </c>
      <c r="B24" s="13" t="n">
        <v>19</v>
      </c>
      <c r="C24" s="13" t="s">
        <v>1367</v>
      </c>
      <c r="D24" s="13" t="n">
        <v>4</v>
      </c>
      <c r="E24" s="20" t="s">
        <v>1368</v>
      </c>
      <c r="F24" s="13" t="s">
        <v>1298</v>
      </c>
      <c r="G24" s="13" t="s">
        <v>149</v>
      </c>
      <c r="H24" s="13" t="s">
        <v>1368</v>
      </c>
      <c r="I24" s="13" t="s">
        <v>136</v>
      </c>
      <c r="J24" s="13" t="s">
        <v>1312</v>
      </c>
      <c r="K24" s="30" t="n">
        <v>624</v>
      </c>
      <c r="L24" s="31" t="n">
        <v>45893</v>
      </c>
      <c r="M24" s="31" t="n">
        <v>46596</v>
      </c>
      <c r="N24" s="13"/>
      <c r="O24" s="13"/>
      <c r="P24" s="13"/>
      <c r="Q24" s="13"/>
    </row>
    <row r="25" customFormat="false" ht="15" hidden="false" customHeight="false" outlineLevel="0" collapsed="false">
      <c r="A25" s="16" t="s">
        <v>1369</v>
      </c>
      <c r="B25" s="16" t="n">
        <v>20</v>
      </c>
      <c r="C25" s="16" t="s">
        <v>1370</v>
      </c>
      <c r="D25" s="16" t="n">
        <v>5</v>
      </c>
      <c r="E25" s="21" t="s">
        <v>1371</v>
      </c>
      <c r="F25" s="16" t="s">
        <v>1285</v>
      </c>
      <c r="G25" s="16" t="s">
        <v>149</v>
      </c>
      <c r="H25" s="16" t="s">
        <v>1368</v>
      </c>
      <c r="I25" s="16" t="s">
        <v>136</v>
      </c>
      <c r="J25" s="16" t="s">
        <v>1368</v>
      </c>
      <c r="K25" s="32" t="n">
        <v>10</v>
      </c>
      <c r="L25" s="33" t="n">
        <v>45893</v>
      </c>
      <c r="M25" s="33" t="n">
        <v>46481</v>
      </c>
      <c r="N25" s="16" t="s">
        <v>1372</v>
      </c>
      <c r="O25" s="16"/>
      <c r="P25" s="16" t="str">
        <f aca="false">IF(AND(L25&lt;=$D$2,M25&gt;=$C$2),"Sí","")</f>
        <v>Sí</v>
      </c>
      <c r="Q25" s="18" t="str">
        <f aca="false">IF(COUNTIF(LOOKAHEAD!$A$5:$A$604,A25)&gt;0,"En Lookahead",IF(P25="Sí","INCORPORAR",""))</f>
        <v>En Lookahead</v>
      </c>
    </row>
    <row r="26" customFormat="false" ht="15" hidden="false" customHeight="false" outlineLevel="0" collapsed="false">
      <c r="A26" s="16" t="s">
        <v>1373</v>
      </c>
      <c r="B26" s="16" t="n">
        <v>21</v>
      </c>
      <c r="C26" s="16" t="s">
        <v>1374</v>
      </c>
      <c r="D26" s="16" t="n">
        <v>5</v>
      </c>
      <c r="E26" s="21" t="s">
        <v>1375</v>
      </c>
      <c r="F26" s="16" t="s">
        <v>1285</v>
      </c>
      <c r="G26" s="16" t="s">
        <v>149</v>
      </c>
      <c r="H26" s="16" t="s">
        <v>1368</v>
      </c>
      <c r="I26" s="16" t="s">
        <v>136</v>
      </c>
      <c r="J26" s="16" t="s">
        <v>1368</v>
      </c>
      <c r="K26" s="32" t="n">
        <v>10</v>
      </c>
      <c r="L26" s="33" t="n">
        <v>45917</v>
      </c>
      <c r="M26" s="33" t="n">
        <v>46596</v>
      </c>
      <c r="N26" s="16" t="s">
        <v>1376</v>
      </c>
      <c r="O26" s="16"/>
      <c r="P26" s="16" t="str">
        <f aca="false">IF(AND(L26&lt;=$D$2,M26&gt;=$C$2),"Sí","")</f>
        <v>Sí</v>
      </c>
      <c r="Q26" s="18" t="str">
        <f aca="false">IF(COUNTIF(LOOKAHEAD!$A$5:$A$604,A26)&gt;0,"En Lookahead",IF(P26="Sí","INCORPORAR",""))</f>
        <v>En Lookahead</v>
      </c>
    </row>
    <row r="27" customFormat="false" ht="15" hidden="false" customHeight="false" outlineLevel="0" collapsed="false">
      <c r="A27" s="16" t="s">
        <v>1377</v>
      </c>
      <c r="B27" s="16" t="n">
        <v>22</v>
      </c>
      <c r="C27" s="16" t="s">
        <v>1378</v>
      </c>
      <c r="D27" s="16" t="n">
        <v>5</v>
      </c>
      <c r="E27" s="21" t="s">
        <v>1379</v>
      </c>
      <c r="F27" s="16" t="s">
        <v>1285</v>
      </c>
      <c r="G27" s="16" t="s">
        <v>149</v>
      </c>
      <c r="H27" s="16" t="s">
        <v>1368</v>
      </c>
      <c r="I27" s="16" t="s">
        <v>136</v>
      </c>
      <c r="J27" s="16" t="s">
        <v>1368</v>
      </c>
      <c r="K27" s="32" t="n">
        <v>30</v>
      </c>
      <c r="L27" s="33" t="n">
        <v>45935</v>
      </c>
      <c r="M27" s="33" t="n">
        <v>45964</v>
      </c>
      <c r="N27" s="16" t="s">
        <v>1380</v>
      </c>
      <c r="O27" s="16"/>
      <c r="P27" s="16" t="str">
        <f aca="false">IF(AND(L27&lt;=$D$2,M27&gt;=$C$2),"Sí","")</f>
        <v/>
      </c>
      <c r="Q27" s="18" t="str">
        <f aca="false">IF(COUNTIF(LOOKAHEAD!$A$5:$A$604,A27)&gt;0,"En Lookahead",IF(P27="Sí","INCORPORAR",""))</f>
        <v/>
      </c>
    </row>
    <row r="28" customFormat="false" ht="15" hidden="false" customHeight="false" outlineLevel="0" collapsed="false">
      <c r="A28" s="16" t="s">
        <v>1381</v>
      </c>
      <c r="B28" s="16" t="n">
        <v>23</v>
      </c>
      <c r="C28" s="16" t="s">
        <v>1382</v>
      </c>
      <c r="D28" s="16" t="n">
        <v>5</v>
      </c>
      <c r="E28" s="21" t="s">
        <v>1383</v>
      </c>
      <c r="F28" s="16" t="s">
        <v>1285</v>
      </c>
      <c r="G28" s="16" t="s">
        <v>149</v>
      </c>
      <c r="H28" s="16" t="s">
        <v>1368</v>
      </c>
      <c r="I28" s="16" t="s">
        <v>136</v>
      </c>
      <c r="J28" s="16" t="s">
        <v>1368</v>
      </c>
      <c r="K28" s="32" t="n">
        <v>15</v>
      </c>
      <c r="L28" s="33" t="n">
        <v>45965</v>
      </c>
      <c r="M28" s="33" t="n">
        <v>45979</v>
      </c>
      <c r="N28" s="16" t="s">
        <v>1384</v>
      </c>
      <c r="O28" s="16"/>
      <c r="P28" s="16" t="str">
        <f aca="false">IF(AND(L28&lt;=$D$2,M28&gt;=$C$2),"Sí","")</f>
        <v/>
      </c>
      <c r="Q28" s="18" t="str">
        <f aca="false">IF(COUNTIF(LOOKAHEAD!$A$5:$A$604,A28)&gt;0,"En Lookahead",IF(P28="Sí","INCORPORAR",""))</f>
        <v/>
      </c>
    </row>
    <row r="29" customFormat="false" ht="15" hidden="false" customHeight="false" outlineLevel="0" collapsed="false">
      <c r="A29" s="16" t="s">
        <v>1385</v>
      </c>
      <c r="B29" s="16" t="n">
        <v>24</v>
      </c>
      <c r="C29" s="16" t="s">
        <v>1386</v>
      </c>
      <c r="D29" s="16" t="n">
        <v>5</v>
      </c>
      <c r="E29" s="21" t="s">
        <v>1387</v>
      </c>
      <c r="F29" s="16" t="s">
        <v>1285</v>
      </c>
      <c r="G29" s="16" t="s">
        <v>149</v>
      </c>
      <c r="H29" s="16" t="s">
        <v>1368</v>
      </c>
      <c r="I29" s="16" t="s">
        <v>136</v>
      </c>
      <c r="J29" s="16" t="s">
        <v>1368</v>
      </c>
      <c r="K29" s="32" t="n">
        <v>434</v>
      </c>
      <c r="L29" s="33" t="n">
        <v>45980</v>
      </c>
      <c r="M29" s="33" t="n">
        <v>46493</v>
      </c>
      <c r="N29" s="16" t="s">
        <v>1388</v>
      </c>
      <c r="O29" s="16"/>
      <c r="P29" s="16" t="str">
        <f aca="false">IF(AND(L29&lt;=$D$2,M29&gt;=$C$2),"Sí","")</f>
        <v>Sí</v>
      </c>
      <c r="Q29" s="18" t="str">
        <f aca="false">IF(COUNTIF(LOOKAHEAD!$A$5:$A$604,A29)&gt;0,"En Lookahead",IF(P29="Sí","INCORPORAR",""))</f>
        <v>En Lookahead</v>
      </c>
    </row>
    <row r="30" customFormat="false" ht="15" hidden="false" customHeight="false" outlineLevel="0" collapsed="false">
      <c r="A30" s="16" t="s">
        <v>1389</v>
      </c>
      <c r="B30" s="16" t="n">
        <v>25</v>
      </c>
      <c r="C30" s="16" t="s">
        <v>1390</v>
      </c>
      <c r="D30" s="16" t="n">
        <v>5</v>
      </c>
      <c r="E30" s="21" t="s">
        <v>1391</v>
      </c>
      <c r="F30" s="16" t="s">
        <v>1285</v>
      </c>
      <c r="G30" s="16" t="s">
        <v>149</v>
      </c>
      <c r="H30" s="16" t="s">
        <v>1368</v>
      </c>
      <c r="I30" s="16" t="s">
        <v>136</v>
      </c>
      <c r="J30" s="16" t="s">
        <v>1368</v>
      </c>
      <c r="K30" s="32" t="n">
        <v>10</v>
      </c>
      <c r="L30" s="33" t="n">
        <v>45925</v>
      </c>
      <c r="M30" s="33" t="n">
        <v>45934</v>
      </c>
      <c r="N30" s="16" t="s">
        <v>1392</v>
      </c>
      <c r="O30" s="16"/>
      <c r="P30" s="16" t="str">
        <f aca="false">IF(AND(L30&lt;=$D$2,M30&gt;=$C$2),"Sí","")</f>
        <v/>
      </c>
      <c r="Q30" s="18" t="str">
        <f aca="false">IF(COUNTIF(LOOKAHEAD!$A$5:$A$604,A30)&gt;0,"En Lookahead",IF(P30="Sí","INCORPORAR",""))</f>
        <v/>
      </c>
    </row>
    <row r="31" customFormat="false" ht="15" hidden="false" customHeight="false" outlineLevel="0" collapsed="false">
      <c r="A31" s="13" t="s">
        <v>1393</v>
      </c>
      <c r="B31" s="13" t="n">
        <v>26</v>
      </c>
      <c r="C31" s="13" t="s">
        <v>1394</v>
      </c>
      <c r="D31" s="13" t="n">
        <v>4</v>
      </c>
      <c r="E31" s="20" t="s">
        <v>1395</v>
      </c>
      <c r="F31" s="13" t="s">
        <v>1298</v>
      </c>
      <c r="G31" s="13" t="s">
        <v>149</v>
      </c>
      <c r="H31" s="13" t="s">
        <v>1395</v>
      </c>
      <c r="I31" s="13" t="s">
        <v>136</v>
      </c>
      <c r="J31" s="13" t="s">
        <v>1312</v>
      </c>
      <c r="K31" s="30" t="n">
        <v>652</v>
      </c>
      <c r="L31" s="31" t="n">
        <v>45878</v>
      </c>
      <c r="M31" s="31" t="n">
        <v>46609</v>
      </c>
      <c r="N31" s="13"/>
      <c r="O31" s="13"/>
      <c r="P31" s="13"/>
      <c r="Q31" s="13"/>
    </row>
    <row r="32" customFormat="false" ht="15" hidden="false" customHeight="false" outlineLevel="0" collapsed="false">
      <c r="A32" s="13" t="s">
        <v>1396</v>
      </c>
      <c r="B32" s="13" t="n">
        <v>27</v>
      </c>
      <c r="C32" s="13" t="s">
        <v>1397</v>
      </c>
      <c r="D32" s="13" t="n">
        <v>5</v>
      </c>
      <c r="E32" s="34" t="s">
        <v>1398</v>
      </c>
      <c r="F32" s="13" t="s">
        <v>1298</v>
      </c>
      <c r="G32" s="13" t="s">
        <v>149</v>
      </c>
      <c r="H32" s="13" t="s">
        <v>1395</v>
      </c>
      <c r="I32" s="13" t="s">
        <v>136</v>
      </c>
      <c r="J32" s="13" t="s">
        <v>1395</v>
      </c>
      <c r="K32" s="30" t="n">
        <v>651</v>
      </c>
      <c r="L32" s="31" t="n">
        <v>45878</v>
      </c>
      <c r="M32" s="31" t="n">
        <v>46608</v>
      </c>
      <c r="N32" s="13"/>
      <c r="O32" s="13"/>
      <c r="P32" s="13"/>
      <c r="Q32" s="13"/>
    </row>
    <row r="33" customFormat="false" ht="15" hidden="false" customHeight="false" outlineLevel="0" collapsed="false">
      <c r="A33" s="16" t="s">
        <v>1399</v>
      </c>
      <c r="B33" s="16" t="n">
        <v>28</v>
      </c>
      <c r="C33" s="16" t="s">
        <v>1400</v>
      </c>
      <c r="D33" s="16" t="n">
        <v>6</v>
      </c>
      <c r="E33" s="35" t="s">
        <v>1401</v>
      </c>
      <c r="F33" s="16" t="s">
        <v>1285</v>
      </c>
      <c r="G33" s="16" t="s">
        <v>149</v>
      </c>
      <c r="H33" s="16" t="s">
        <v>1395</v>
      </c>
      <c r="I33" s="16" t="s">
        <v>136</v>
      </c>
      <c r="J33" s="16" t="s">
        <v>1398</v>
      </c>
      <c r="K33" s="32" t="n">
        <v>7</v>
      </c>
      <c r="L33" s="33" t="n">
        <v>45878</v>
      </c>
      <c r="M33" s="33" t="n">
        <v>45884</v>
      </c>
      <c r="N33" s="16" t="s">
        <v>1402</v>
      </c>
      <c r="O33" s="16"/>
      <c r="P33" s="16" t="str">
        <f aca="false">IF(AND(L33&lt;=$D$2,M33&gt;=$C$2),"Sí","")</f>
        <v/>
      </c>
      <c r="Q33" s="18" t="str">
        <f aca="false">IF(COUNTIF(LOOKAHEAD!$A$5:$A$604,A33)&gt;0,"En Lookahead",IF(P33="Sí","INCORPORAR",""))</f>
        <v/>
      </c>
    </row>
    <row r="34" customFormat="false" ht="15" hidden="false" customHeight="false" outlineLevel="0" collapsed="false">
      <c r="A34" s="16" t="s">
        <v>1403</v>
      </c>
      <c r="B34" s="16" t="n">
        <v>29</v>
      </c>
      <c r="C34" s="16" t="s">
        <v>1404</v>
      </c>
      <c r="D34" s="16" t="n">
        <v>6</v>
      </c>
      <c r="E34" s="35" t="s">
        <v>1405</v>
      </c>
      <c r="F34" s="16" t="s">
        <v>1285</v>
      </c>
      <c r="G34" s="16" t="s">
        <v>149</v>
      </c>
      <c r="H34" s="16" t="s">
        <v>1395</v>
      </c>
      <c r="I34" s="16" t="s">
        <v>136</v>
      </c>
      <c r="J34" s="16" t="s">
        <v>1398</v>
      </c>
      <c r="K34" s="32" t="n">
        <v>390</v>
      </c>
      <c r="L34" s="33" t="n">
        <v>45890</v>
      </c>
      <c r="M34" s="33" t="n">
        <v>46608</v>
      </c>
      <c r="N34" s="16" t="s">
        <v>1406</v>
      </c>
      <c r="O34" s="16"/>
      <c r="P34" s="16" t="str">
        <f aca="false">IF(AND(L34&lt;=$D$2,M34&gt;=$C$2),"Sí","")</f>
        <v>Sí</v>
      </c>
      <c r="Q34" s="18" t="str">
        <f aca="false">IF(COUNTIF(LOOKAHEAD!$A$5:$A$604,A34)&gt;0,"En Lookahead",IF(P34="Sí","INCORPORAR",""))</f>
        <v>En Lookahead</v>
      </c>
    </row>
    <row r="35" customFormat="false" ht="15" hidden="false" customHeight="false" outlineLevel="0" collapsed="false">
      <c r="A35" s="16" t="s">
        <v>1407</v>
      </c>
      <c r="B35" s="16" t="n">
        <v>30</v>
      </c>
      <c r="C35" s="16" t="s">
        <v>1408</v>
      </c>
      <c r="D35" s="16" t="n">
        <v>6</v>
      </c>
      <c r="E35" s="35" t="s">
        <v>1409</v>
      </c>
      <c r="F35" s="16" t="s">
        <v>1285</v>
      </c>
      <c r="G35" s="16" t="s">
        <v>149</v>
      </c>
      <c r="H35" s="16" t="s">
        <v>1395</v>
      </c>
      <c r="I35" s="16" t="s">
        <v>136</v>
      </c>
      <c r="J35" s="16" t="s">
        <v>1398</v>
      </c>
      <c r="K35" s="32" t="n">
        <v>390</v>
      </c>
      <c r="L35" s="33" t="n">
        <v>45890</v>
      </c>
      <c r="M35" s="33" t="n">
        <v>46608</v>
      </c>
      <c r="N35" s="16" t="s">
        <v>1410</v>
      </c>
      <c r="O35" s="16"/>
      <c r="P35" s="16" t="str">
        <f aca="false">IF(AND(L35&lt;=$D$2,M35&gt;=$C$2),"Sí","")</f>
        <v>Sí</v>
      </c>
      <c r="Q35" s="18" t="str">
        <f aca="false">IF(COUNTIF(LOOKAHEAD!$A$5:$A$604,A35)&gt;0,"En Lookahead",IF(P35="Sí","INCORPORAR",""))</f>
        <v>En Lookahead</v>
      </c>
    </row>
    <row r="36" customFormat="false" ht="15" hidden="false" customHeight="false" outlineLevel="0" collapsed="false">
      <c r="A36" s="16" t="s">
        <v>1411</v>
      </c>
      <c r="B36" s="16" t="n">
        <v>31</v>
      </c>
      <c r="C36" s="16" t="s">
        <v>1412</v>
      </c>
      <c r="D36" s="16" t="n">
        <v>6</v>
      </c>
      <c r="E36" s="35" t="s">
        <v>1413</v>
      </c>
      <c r="F36" s="16" t="s">
        <v>1285</v>
      </c>
      <c r="G36" s="16" t="s">
        <v>149</v>
      </c>
      <c r="H36" s="16" t="s">
        <v>1395</v>
      </c>
      <c r="I36" s="16" t="s">
        <v>136</v>
      </c>
      <c r="J36" s="16" t="s">
        <v>1398</v>
      </c>
      <c r="K36" s="32" t="n">
        <v>390</v>
      </c>
      <c r="L36" s="33" t="n">
        <v>45890</v>
      </c>
      <c r="M36" s="33" t="n">
        <v>46608</v>
      </c>
      <c r="N36" s="16" t="s">
        <v>1410</v>
      </c>
      <c r="O36" s="16"/>
      <c r="P36" s="16" t="str">
        <f aca="false">IF(AND(L36&lt;=$D$2,M36&gt;=$C$2),"Sí","")</f>
        <v>Sí</v>
      </c>
      <c r="Q36" s="18" t="str">
        <f aca="false">IF(COUNTIF(LOOKAHEAD!$A$5:$A$604,A36)&gt;0,"En Lookahead",IF(P36="Sí","INCORPORAR",""))</f>
        <v>En Lookahead</v>
      </c>
    </row>
    <row r="37" customFormat="false" ht="15" hidden="false" customHeight="false" outlineLevel="0" collapsed="false">
      <c r="A37" s="16" t="s">
        <v>1414</v>
      </c>
      <c r="B37" s="16" t="n">
        <v>32</v>
      </c>
      <c r="C37" s="16" t="s">
        <v>1415</v>
      </c>
      <c r="D37" s="16" t="n">
        <v>6</v>
      </c>
      <c r="E37" s="35" t="s">
        <v>1416</v>
      </c>
      <c r="F37" s="16" t="s">
        <v>1285</v>
      </c>
      <c r="G37" s="16" t="s">
        <v>149</v>
      </c>
      <c r="H37" s="16" t="s">
        <v>1395</v>
      </c>
      <c r="I37" s="16" t="s">
        <v>136</v>
      </c>
      <c r="J37" s="16" t="s">
        <v>1398</v>
      </c>
      <c r="K37" s="32" t="n">
        <v>390</v>
      </c>
      <c r="L37" s="33" t="n">
        <v>45890</v>
      </c>
      <c r="M37" s="33" t="n">
        <v>46608</v>
      </c>
      <c r="N37" s="16" t="s">
        <v>1417</v>
      </c>
      <c r="O37" s="16"/>
      <c r="P37" s="16" t="str">
        <f aca="false">IF(AND(L37&lt;=$D$2,M37&gt;=$C$2),"Sí","")</f>
        <v>Sí</v>
      </c>
      <c r="Q37" s="18" t="str">
        <f aca="false">IF(COUNTIF(LOOKAHEAD!$A$5:$A$604,A37)&gt;0,"En Lookahead",IF(P37="Sí","INCORPORAR",""))</f>
        <v>En Lookahead</v>
      </c>
    </row>
    <row r="38" customFormat="false" ht="15" hidden="false" customHeight="false" outlineLevel="0" collapsed="false">
      <c r="A38" s="16" t="s">
        <v>1418</v>
      </c>
      <c r="B38" s="16" t="n">
        <v>33</v>
      </c>
      <c r="C38" s="16" t="s">
        <v>1419</v>
      </c>
      <c r="D38" s="16" t="n">
        <v>6</v>
      </c>
      <c r="E38" s="35" t="s">
        <v>1420</v>
      </c>
      <c r="F38" s="16" t="s">
        <v>1285</v>
      </c>
      <c r="G38" s="16" t="s">
        <v>149</v>
      </c>
      <c r="H38" s="16" t="s">
        <v>1395</v>
      </c>
      <c r="I38" s="16" t="s">
        <v>136</v>
      </c>
      <c r="J38" s="16" t="s">
        <v>1398</v>
      </c>
      <c r="K38" s="32" t="n">
        <v>390</v>
      </c>
      <c r="L38" s="33" t="n">
        <v>45913</v>
      </c>
      <c r="M38" s="33" t="n">
        <v>46382</v>
      </c>
      <c r="N38" s="16" t="s">
        <v>1421</v>
      </c>
      <c r="O38" s="16"/>
      <c r="P38" s="16" t="str">
        <f aca="false">IF(AND(L38&lt;=$D$2,M38&gt;=$C$2),"Sí","")</f>
        <v>Sí</v>
      </c>
      <c r="Q38" s="18" t="str">
        <f aca="false">IF(COUNTIF(LOOKAHEAD!$A$5:$A$604,A38)&gt;0,"En Lookahead",IF(P38="Sí","INCORPORAR",""))</f>
        <v>En Lookahead</v>
      </c>
    </row>
    <row r="39" customFormat="false" ht="15" hidden="false" customHeight="false" outlineLevel="0" collapsed="false">
      <c r="A39" s="13" t="s">
        <v>1422</v>
      </c>
      <c r="B39" s="13" t="n">
        <v>34</v>
      </c>
      <c r="C39" s="13" t="s">
        <v>1423</v>
      </c>
      <c r="D39" s="13" t="n">
        <v>5</v>
      </c>
      <c r="E39" s="34" t="s">
        <v>1424</v>
      </c>
      <c r="F39" s="13" t="s">
        <v>1298</v>
      </c>
      <c r="G39" s="13" t="s">
        <v>149</v>
      </c>
      <c r="H39" s="13" t="s">
        <v>1395</v>
      </c>
      <c r="I39" s="13" t="s">
        <v>136</v>
      </c>
      <c r="J39" s="13" t="s">
        <v>1395</v>
      </c>
      <c r="K39" s="30" t="n">
        <v>641</v>
      </c>
      <c r="L39" s="31" t="n">
        <v>45885</v>
      </c>
      <c r="M39" s="31" t="n">
        <v>46605</v>
      </c>
      <c r="N39" s="13"/>
      <c r="O39" s="13"/>
      <c r="P39" s="13"/>
      <c r="Q39" s="13"/>
    </row>
    <row r="40" customFormat="false" ht="15" hidden="false" customHeight="false" outlineLevel="0" collapsed="false">
      <c r="A40" s="16" t="s">
        <v>1425</v>
      </c>
      <c r="B40" s="16" t="n">
        <v>35</v>
      </c>
      <c r="C40" s="16" t="s">
        <v>1426</v>
      </c>
      <c r="D40" s="16" t="n">
        <v>6</v>
      </c>
      <c r="E40" s="35" t="s">
        <v>1427</v>
      </c>
      <c r="F40" s="16" t="s">
        <v>1285</v>
      </c>
      <c r="G40" s="16" t="s">
        <v>149</v>
      </c>
      <c r="H40" s="16" t="s">
        <v>1395</v>
      </c>
      <c r="I40" s="16" t="s">
        <v>136</v>
      </c>
      <c r="J40" s="16" t="s">
        <v>1424</v>
      </c>
      <c r="K40" s="32" t="n">
        <v>240</v>
      </c>
      <c r="L40" s="33" t="n">
        <v>45885</v>
      </c>
      <c r="M40" s="33" t="n">
        <v>46417</v>
      </c>
      <c r="N40" s="16" t="s">
        <v>1428</v>
      </c>
      <c r="O40" s="16"/>
      <c r="P40" s="16" t="str">
        <f aca="false">IF(AND(L40&lt;=$D$2,M40&gt;=$C$2),"Sí","")</f>
        <v>Sí</v>
      </c>
      <c r="Q40" s="18" t="str">
        <f aca="false">IF(COUNTIF(LOOKAHEAD!$A$5:$A$604,A40)&gt;0,"En Lookahead",IF(P40="Sí","INCORPORAR",""))</f>
        <v>En Lookahead</v>
      </c>
    </row>
    <row r="41" customFormat="false" ht="15" hidden="false" customHeight="false" outlineLevel="0" collapsed="false">
      <c r="A41" s="16" t="s">
        <v>1429</v>
      </c>
      <c r="B41" s="16" t="n">
        <v>36</v>
      </c>
      <c r="C41" s="16" t="s">
        <v>1430</v>
      </c>
      <c r="D41" s="16" t="n">
        <v>6</v>
      </c>
      <c r="E41" s="35" t="s">
        <v>1431</v>
      </c>
      <c r="F41" s="16" t="s">
        <v>1285</v>
      </c>
      <c r="G41" s="16" t="s">
        <v>149</v>
      </c>
      <c r="H41" s="16" t="s">
        <v>1395</v>
      </c>
      <c r="I41" s="16" t="s">
        <v>136</v>
      </c>
      <c r="J41" s="16" t="s">
        <v>1424</v>
      </c>
      <c r="K41" s="32" t="n">
        <v>375</v>
      </c>
      <c r="L41" s="33" t="n">
        <v>45912</v>
      </c>
      <c r="M41" s="33" t="n">
        <v>46605</v>
      </c>
      <c r="N41" s="16" t="s">
        <v>1319</v>
      </c>
      <c r="O41" s="16"/>
      <c r="P41" s="16" t="str">
        <f aca="false">IF(AND(L41&lt;=$D$2,M41&gt;=$C$2),"Sí","")</f>
        <v>Sí</v>
      </c>
      <c r="Q41" s="18" t="str">
        <f aca="false">IF(COUNTIF(LOOKAHEAD!$A$5:$A$604,A41)&gt;0,"En Lookahead",IF(P41="Sí","INCORPORAR",""))</f>
        <v>En Lookahead</v>
      </c>
    </row>
    <row r="42" customFormat="false" ht="15" hidden="false" customHeight="false" outlineLevel="0" collapsed="false">
      <c r="A42" s="13" t="s">
        <v>1432</v>
      </c>
      <c r="B42" s="13" t="n">
        <v>37</v>
      </c>
      <c r="C42" s="13" t="s">
        <v>1433</v>
      </c>
      <c r="D42" s="13" t="n">
        <v>5</v>
      </c>
      <c r="E42" s="34" t="s">
        <v>1434</v>
      </c>
      <c r="F42" s="13" t="s">
        <v>1298</v>
      </c>
      <c r="G42" s="13" t="s">
        <v>149</v>
      </c>
      <c r="H42" s="13" t="s">
        <v>1395</v>
      </c>
      <c r="I42" s="13" t="s">
        <v>136</v>
      </c>
      <c r="J42" s="13" t="s">
        <v>1395</v>
      </c>
      <c r="K42" s="30" t="n">
        <v>645</v>
      </c>
      <c r="L42" s="31" t="n">
        <v>45885</v>
      </c>
      <c r="M42" s="31" t="n">
        <v>46609</v>
      </c>
      <c r="N42" s="13"/>
      <c r="O42" s="13"/>
      <c r="P42" s="13"/>
      <c r="Q42" s="13"/>
    </row>
    <row r="43" customFormat="false" ht="15" hidden="false" customHeight="false" outlineLevel="0" collapsed="false">
      <c r="A43" s="13" t="s">
        <v>1435</v>
      </c>
      <c r="B43" s="13" t="n">
        <v>38</v>
      </c>
      <c r="C43" s="13" t="s">
        <v>1436</v>
      </c>
      <c r="D43" s="13" t="n">
        <v>6</v>
      </c>
      <c r="E43" s="36" t="s">
        <v>1437</v>
      </c>
      <c r="F43" s="13" t="s">
        <v>1298</v>
      </c>
      <c r="G43" s="13" t="s">
        <v>149</v>
      </c>
      <c r="H43" s="13" t="s">
        <v>1395</v>
      </c>
      <c r="I43" s="13" t="s">
        <v>136</v>
      </c>
      <c r="J43" s="13" t="s">
        <v>1434</v>
      </c>
      <c r="K43" s="30" t="n">
        <v>10</v>
      </c>
      <c r="L43" s="31" t="n">
        <v>45885</v>
      </c>
      <c r="M43" s="31" t="n">
        <v>45894</v>
      </c>
      <c r="N43" s="13"/>
      <c r="O43" s="13"/>
      <c r="P43" s="13"/>
      <c r="Q43" s="13"/>
    </row>
    <row r="44" customFormat="false" ht="15" hidden="false" customHeight="false" outlineLevel="0" collapsed="false">
      <c r="A44" s="16" t="s">
        <v>1438</v>
      </c>
      <c r="B44" s="16" t="n">
        <v>39</v>
      </c>
      <c r="C44" s="16" t="s">
        <v>1439</v>
      </c>
      <c r="D44" s="16" t="n">
        <v>7</v>
      </c>
      <c r="E44" s="37" t="s">
        <v>1440</v>
      </c>
      <c r="F44" s="16" t="s">
        <v>1285</v>
      </c>
      <c r="G44" s="16" t="s">
        <v>149</v>
      </c>
      <c r="H44" s="16" t="s">
        <v>1395</v>
      </c>
      <c r="I44" s="16" t="s">
        <v>136</v>
      </c>
      <c r="J44" s="16" t="s">
        <v>1437</v>
      </c>
      <c r="K44" s="32" t="n">
        <v>10</v>
      </c>
      <c r="L44" s="33" t="n">
        <v>45885</v>
      </c>
      <c r="M44" s="33" t="n">
        <v>45894</v>
      </c>
      <c r="N44" s="16" t="s">
        <v>1428</v>
      </c>
      <c r="O44" s="16"/>
      <c r="P44" s="16" t="str">
        <f aca="false">IF(AND(L44&lt;=$D$2,M44&gt;=$C$2),"Sí","")</f>
        <v/>
      </c>
      <c r="Q44" s="18" t="str">
        <f aca="false">IF(COUNTIF(LOOKAHEAD!$A$5:$A$604,A44)&gt;0,"En Lookahead",IF(P44="Sí","INCORPORAR",""))</f>
        <v/>
      </c>
    </row>
    <row r="45" customFormat="false" ht="15" hidden="false" customHeight="false" outlineLevel="0" collapsed="false">
      <c r="A45" s="16" t="s">
        <v>1441</v>
      </c>
      <c r="B45" s="16" t="n">
        <v>40</v>
      </c>
      <c r="C45" s="16" t="s">
        <v>1442</v>
      </c>
      <c r="D45" s="16" t="n">
        <v>7</v>
      </c>
      <c r="E45" s="37" t="s">
        <v>1443</v>
      </c>
      <c r="F45" s="16" t="s">
        <v>1285</v>
      </c>
      <c r="G45" s="16" t="s">
        <v>149</v>
      </c>
      <c r="H45" s="16" t="s">
        <v>1395</v>
      </c>
      <c r="I45" s="16" t="s">
        <v>136</v>
      </c>
      <c r="J45" s="16" t="s">
        <v>1437</v>
      </c>
      <c r="K45" s="32" t="n">
        <v>5</v>
      </c>
      <c r="L45" s="33" t="n">
        <v>45885</v>
      </c>
      <c r="M45" s="33" t="n">
        <v>45889</v>
      </c>
      <c r="N45" s="16" t="s">
        <v>1444</v>
      </c>
      <c r="O45" s="16"/>
      <c r="P45" s="16" t="str">
        <f aca="false">IF(AND(L45&lt;=$D$2,M45&gt;=$C$2),"Sí","")</f>
        <v/>
      </c>
      <c r="Q45" s="18" t="str">
        <f aca="false">IF(COUNTIF(LOOKAHEAD!$A$5:$A$604,A45)&gt;0,"En Lookahead",IF(P45="Sí","INCORPORAR",""))</f>
        <v/>
      </c>
    </row>
    <row r="46" customFormat="false" ht="15" hidden="false" customHeight="false" outlineLevel="0" collapsed="false">
      <c r="A46" s="16" t="s">
        <v>1445</v>
      </c>
      <c r="B46" s="16" t="n">
        <v>41</v>
      </c>
      <c r="C46" s="16" t="s">
        <v>1446</v>
      </c>
      <c r="D46" s="16" t="n">
        <v>7</v>
      </c>
      <c r="E46" s="37" t="s">
        <v>1447</v>
      </c>
      <c r="F46" s="16" t="s">
        <v>1285</v>
      </c>
      <c r="G46" s="16" t="s">
        <v>149</v>
      </c>
      <c r="H46" s="16" t="s">
        <v>1395</v>
      </c>
      <c r="I46" s="16" t="s">
        <v>136</v>
      </c>
      <c r="J46" s="16" t="s">
        <v>1437</v>
      </c>
      <c r="K46" s="32" t="n">
        <v>4</v>
      </c>
      <c r="L46" s="33" t="n">
        <v>45885</v>
      </c>
      <c r="M46" s="33" t="n">
        <v>45888</v>
      </c>
      <c r="N46" s="16" t="s">
        <v>1444</v>
      </c>
      <c r="O46" s="16"/>
      <c r="P46" s="16" t="str">
        <f aca="false">IF(AND(L46&lt;=$D$2,M46&gt;=$C$2),"Sí","")</f>
        <v/>
      </c>
      <c r="Q46" s="18" t="str">
        <f aca="false">IF(COUNTIF(LOOKAHEAD!$A$5:$A$604,A46)&gt;0,"En Lookahead",IF(P46="Sí","INCORPORAR",""))</f>
        <v/>
      </c>
    </row>
    <row r="47" customFormat="false" ht="15" hidden="false" customHeight="false" outlineLevel="0" collapsed="false">
      <c r="A47" s="13" t="s">
        <v>1448</v>
      </c>
      <c r="B47" s="13" t="n">
        <v>42</v>
      </c>
      <c r="C47" s="13" t="s">
        <v>1449</v>
      </c>
      <c r="D47" s="13" t="n">
        <v>6</v>
      </c>
      <c r="E47" s="36" t="s">
        <v>1450</v>
      </c>
      <c r="F47" s="13" t="s">
        <v>1298</v>
      </c>
      <c r="G47" s="13" t="s">
        <v>149</v>
      </c>
      <c r="H47" s="13" t="s">
        <v>1395</v>
      </c>
      <c r="I47" s="13" t="s">
        <v>136</v>
      </c>
      <c r="J47" s="13" t="s">
        <v>1434</v>
      </c>
      <c r="K47" s="30" t="n">
        <v>50</v>
      </c>
      <c r="L47" s="31" t="n">
        <v>45925</v>
      </c>
      <c r="M47" s="31" t="n">
        <v>45974</v>
      </c>
      <c r="N47" s="13"/>
      <c r="O47" s="13"/>
      <c r="P47" s="13"/>
      <c r="Q47" s="13"/>
    </row>
    <row r="48" customFormat="false" ht="15" hidden="false" customHeight="false" outlineLevel="0" collapsed="false">
      <c r="A48" s="16" t="s">
        <v>1451</v>
      </c>
      <c r="B48" s="16" t="n">
        <v>43</v>
      </c>
      <c r="C48" s="16" t="s">
        <v>1452</v>
      </c>
      <c r="D48" s="16" t="n">
        <v>7</v>
      </c>
      <c r="E48" s="37" t="s">
        <v>1453</v>
      </c>
      <c r="F48" s="16" t="s">
        <v>1285</v>
      </c>
      <c r="G48" s="16" t="s">
        <v>149</v>
      </c>
      <c r="H48" s="16" t="s">
        <v>1395</v>
      </c>
      <c r="I48" s="16" t="s">
        <v>136</v>
      </c>
      <c r="J48" s="16" t="s">
        <v>1450</v>
      </c>
      <c r="K48" s="32" t="n">
        <v>3</v>
      </c>
      <c r="L48" s="33" t="n">
        <v>45925</v>
      </c>
      <c r="M48" s="33" t="n">
        <v>45927</v>
      </c>
      <c r="N48" s="16" t="s">
        <v>1454</v>
      </c>
      <c r="O48" s="16"/>
      <c r="P48" s="16" t="str">
        <f aca="false">IF(AND(L48&lt;=$D$2,M48&gt;=$C$2),"Sí","")</f>
        <v/>
      </c>
      <c r="Q48" s="18" t="str">
        <f aca="false">IF(COUNTIF(LOOKAHEAD!$A$5:$A$604,A48)&gt;0,"En Lookahead",IF(P48="Sí","INCORPORAR",""))</f>
        <v/>
      </c>
    </row>
    <row r="49" customFormat="false" ht="15" hidden="false" customHeight="false" outlineLevel="0" collapsed="false">
      <c r="A49" s="16" t="s">
        <v>1455</v>
      </c>
      <c r="B49" s="16" t="n">
        <v>44</v>
      </c>
      <c r="C49" s="16" t="s">
        <v>1456</v>
      </c>
      <c r="D49" s="16" t="n">
        <v>7</v>
      </c>
      <c r="E49" s="37" t="s">
        <v>1457</v>
      </c>
      <c r="F49" s="16" t="s">
        <v>1285</v>
      </c>
      <c r="G49" s="16" t="s">
        <v>149</v>
      </c>
      <c r="H49" s="16" t="s">
        <v>1395</v>
      </c>
      <c r="I49" s="16" t="s">
        <v>136</v>
      </c>
      <c r="J49" s="16" t="s">
        <v>1450</v>
      </c>
      <c r="K49" s="32" t="n">
        <v>4</v>
      </c>
      <c r="L49" s="33" t="n">
        <v>45925</v>
      </c>
      <c r="M49" s="33" t="n">
        <v>45928</v>
      </c>
      <c r="N49" s="16" t="s">
        <v>1458</v>
      </c>
      <c r="O49" s="16"/>
      <c r="P49" s="16" t="str">
        <f aca="false">IF(AND(L49&lt;=$D$2,M49&gt;=$C$2),"Sí","")</f>
        <v/>
      </c>
      <c r="Q49" s="18" t="str">
        <f aca="false">IF(COUNTIF(LOOKAHEAD!$A$5:$A$604,A49)&gt;0,"En Lookahead",IF(P49="Sí","INCORPORAR",""))</f>
        <v/>
      </c>
    </row>
    <row r="50" customFormat="false" ht="15" hidden="false" customHeight="false" outlineLevel="0" collapsed="false">
      <c r="A50" s="16" t="s">
        <v>1459</v>
      </c>
      <c r="B50" s="16" t="n">
        <v>45</v>
      </c>
      <c r="C50" s="16" t="s">
        <v>1460</v>
      </c>
      <c r="D50" s="16" t="n">
        <v>7</v>
      </c>
      <c r="E50" s="37" t="s">
        <v>1461</v>
      </c>
      <c r="F50" s="16" t="s">
        <v>1285</v>
      </c>
      <c r="G50" s="16" t="s">
        <v>149</v>
      </c>
      <c r="H50" s="16" t="s">
        <v>1395</v>
      </c>
      <c r="I50" s="16" t="s">
        <v>136</v>
      </c>
      <c r="J50" s="16" t="s">
        <v>1450</v>
      </c>
      <c r="K50" s="32" t="n">
        <v>2</v>
      </c>
      <c r="L50" s="33" t="n">
        <v>45973</v>
      </c>
      <c r="M50" s="33" t="n">
        <v>45974</v>
      </c>
      <c r="N50" s="16" t="s">
        <v>1462</v>
      </c>
      <c r="O50" s="16"/>
      <c r="P50" s="16" t="str">
        <f aca="false">IF(AND(L50&lt;=$D$2,M50&gt;=$C$2),"Sí","")</f>
        <v/>
      </c>
      <c r="Q50" s="18" t="str">
        <f aca="false">IF(COUNTIF(LOOKAHEAD!$A$5:$A$604,A50)&gt;0,"En Lookahead",IF(P50="Sí","INCORPORAR",""))</f>
        <v/>
      </c>
    </row>
    <row r="51" customFormat="false" ht="15" hidden="false" customHeight="false" outlineLevel="0" collapsed="false">
      <c r="A51" s="16" t="s">
        <v>1463</v>
      </c>
      <c r="B51" s="16" t="n">
        <v>46</v>
      </c>
      <c r="C51" s="16" t="s">
        <v>1464</v>
      </c>
      <c r="D51" s="16" t="n">
        <v>7</v>
      </c>
      <c r="E51" s="37" t="s">
        <v>1465</v>
      </c>
      <c r="F51" s="16" t="s">
        <v>1285</v>
      </c>
      <c r="G51" s="16" t="s">
        <v>149</v>
      </c>
      <c r="H51" s="16" t="s">
        <v>1395</v>
      </c>
      <c r="I51" s="16" t="s">
        <v>136</v>
      </c>
      <c r="J51" s="16" t="s">
        <v>1450</v>
      </c>
      <c r="K51" s="32" t="n">
        <v>2</v>
      </c>
      <c r="L51" s="33" t="n">
        <v>45973</v>
      </c>
      <c r="M51" s="33" t="n">
        <v>45974</v>
      </c>
      <c r="N51" s="16" t="s">
        <v>1466</v>
      </c>
      <c r="O51" s="16"/>
      <c r="P51" s="16" t="str">
        <f aca="false">IF(AND(L51&lt;=$D$2,M51&gt;=$C$2),"Sí","")</f>
        <v/>
      </c>
      <c r="Q51" s="18" t="str">
        <f aca="false">IF(COUNTIF(LOOKAHEAD!$A$5:$A$604,A51)&gt;0,"En Lookahead",IF(P51="Sí","INCORPORAR",""))</f>
        <v/>
      </c>
    </row>
    <row r="52" customFormat="false" ht="15" hidden="false" customHeight="false" outlineLevel="0" collapsed="false">
      <c r="A52" s="13" t="s">
        <v>1467</v>
      </c>
      <c r="B52" s="13" t="n">
        <v>47</v>
      </c>
      <c r="C52" s="13" t="s">
        <v>1468</v>
      </c>
      <c r="D52" s="13" t="n">
        <v>6</v>
      </c>
      <c r="E52" s="36" t="s">
        <v>1469</v>
      </c>
      <c r="F52" s="13" t="s">
        <v>1298</v>
      </c>
      <c r="G52" s="13" t="s">
        <v>149</v>
      </c>
      <c r="H52" s="13" t="s">
        <v>1395</v>
      </c>
      <c r="I52" s="13" t="s">
        <v>136</v>
      </c>
      <c r="J52" s="13" t="s">
        <v>1434</v>
      </c>
      <c r="K52" s="30" t="n">
        <v>645</v>
      </c>
      <c r="L52" s="31" t="n">
        <v>45885</v>
      </c>
      <c r="M52" s="31" t="n">
        <v>46609</v>
      </c>
      <c r="N52" s="13"/>
      <c r="O52" s="13"/>
      <c r="P52" s="13"/>
      <c r="Q52" s="13"/>
    </row>
    <row r="53" customFormat="false" ht="15" hidden="false" customHeight="false" outlineLevel="0" collapsed="false">
      <c r="A53" s="16" t="s">
        <v>1470</v>
      </c>
      <c r="B53" s="16" t="n">
        <v>48</v>
      </c>
      <c r="C53" s="16" t="s">
        <v>1471</v>
      </c>
      <c r="D53" s="16" t="n">
        <v>7</v>
      </c>
      <c r="E53" s="37" t="s">
        <v>1472</v>
      </c>
      <c r="F53" s="16" t="s">
        <v>1285</v>
      </c>
      <c r="G53" s="16" t="s">
        <v>149</v>
      </c>
      <c r="H53" s="16" t="s">
        <v>1395</v>
      </c>
      <c r="I53" s="16" t="s">
        <v>136</v>
      </c>
      <c r="J53" s="16" t="s">
        <v>1469</v>
      </c>
      <c r="K53" s="32" t="n">
        <v>7</v>
      </c>
      <c r="L53" s="33" t="n">
        <v>45895</v>
      </c>
      <c r="M53" s="33" t="n">
        <v>45901</v>
      </c>
      <c r="N53" s="16" t="s">
        <v>1473</v>
      </c>
      <c r="O53" s="16"/>
      <c r="P53" s="16" t="str">
        <f aca="false">IF(AND(L53&lt;=$D$2,M53&gt;=$C$2),"Sí","")</f>
        <v/>
      </c>
      <c r="Q53" s="18" t="str">
        <f aca="false">IF(COUNTIF(LOOKAHEAD!$A$5:$A$604,A53)&gt;0,"En Lookahead",IF(P53="Sí","INCORPORAR",""))</f>
        <v/>
      </c>
    </row>
    <row r="54" customFormat="false" ht="15" hidden="false" customHeight="false" outlineLevel="0" collapsed="false">
      <c r="A54" s="16" t="s">
        <v>1474</v>
      </c>
      <c r="B54" s="16" t="n">
        <v>49</v>
      </c>
      <c r="C54" s="16" t="s">
        <v>1475</v>
      </c>
      <c r="D54" s="16" t="n">
        <v>7</v>
      </c>
      <c r="E54" s="37" t="s">
        <v>1476</v>
      </c>
      <c r="F54" s="16" t="s">
        <v>1285</v>
      </c>
      <c r="G54" s="16" t="s">
        <v>149</v>
      </c>
      <c r="H54" s="16" t="s">
        <v>1395</v>
      </c>
      <c r="I54" s="16" t="s">
        <v>136</v>
      </c>
      <c r="J54" s="16" t="s">
        <v>1469</v>
      </c>
      <c r="K54" s="32" t="n">
        <v>2</v>
      </c>
      <c r="L54" s="33" t="n">
        <v>45895</v>
      </c>
      <c r="M54" s="33" t="n">
        <v>45896</v>
      </c>
      <c r="N54" s="16" t="s">
        <v>1477</v>
      </c>
      <c r="O54" s="16"/>
      <c r="P54" s="16" t="str">
        <f aca="false">IF(AND(L54&lt;=$D$2,M54&gt;=$C$2),"Sí","")</f>
        <v/>
      </c>
      <c r="Q54" s="18" t="str">
        <f aca="false">IF(COUNTIF(LOOKAHEAD!$A$5:$A$604,A54)&gt;0,"En Lookahead",IF(P54="Sí","INCORPORAR",""))</f>
        <v/>
      </c>
    </row>
    <row r="55" customFormat="false" ht="15" hidden="false" customHeight="false" outlineLevel="0" collapsed="false">
      <c r="A55" s="16" t="s">
        <v>1478</v>
      </c>
      <c r="B55" s="16" t="n">
        <v>50</v>
      </c>
      <c r="C55" s="16" t="s">
        <v>1479</v>
      </c>
      <c r="D55" s="16" t="n">
        <v>7</v>
      </c>
      <c r="E55" s="37" t="s">
        <v>1480</v>
      </c>
      <c r="F55" s="16" t="s">
        <v>1285</v>
      </c>
      <c r="G55" s="16" t="s">
        <v>149</v>
      </c>
      <c r="H55" s="16" t="s">
        <v>1395</v>
      </c>
      <c r="I55" s="16" t="s">
        <v>136</v>
      </c>
      <c r="J55" s="16" t="s">
        <v>1469</v>
      </c>
      <c r="K55" s="32" t="n">
        <v>1</v>
      </c>
      <c r="L55" s="33" t="n">
        <v>45895</v>
      </c>
      <c r="M55" s="33" t="n">
        <v>45895</v>
      </c>
      <c r="N55" s="16" t="s">
        <v>1481</v>
      </c>
      <c r="O55" s="16"/>
      <c r="P55" s="16" t="str">
        <f aca="false">IF(AND(L55&lt;=$D$2,M55&gt;=$C$2),"Sí","")</f>
        <v/>
      </c>
      <c r="Q55" s="18" t="str">
        <f aca="false">IF(COUNTIF(LOOKAHEAD!$A$5:$A$604,A55)&gt;0,"En Lookahead",IF(P55="Sí","INCORPORAR",""))</f>
        <v/>
      </c>
    </row>
    <row r="56" customFormat="false" ht="15" hidden="false" customHeight="false" outlineLevel="0" collapsed="false">
      <c r="A56" s="16" t="s">
        <v>1482</v>
      </c>
      <c r="B56" s="16" t="n">
        <v>51</v>
      </c>
      <c r="C56" s="16" t="s">
        <v>1483</v>
      </c>
      <c r="D56" s="16" t="n">
        <v>7</v>
      </c>
      <c r="E56" s="37" t="s">
        <v>1484</v>
      </c>
      <c r="F56" s="16" t="s">
        <v>1285</v>
      </c>
      <c r="G56" s="16" t="s">
        <v>149</v>
      </c>
      <c r="H56" s="16" t="s">
        <v>1395</v>
      </c>
      <c r="I56" s="16" t="s">
        <v>136</v>
      </c>
      <c r="J56" s="16" t="s">
        <v>1469</v>
      </c>
      <c r="K56" s="32" t="n">
        <v>645</v>
      </c>
      <c r="L56" s="33" t="n">
        <v>45885</v>
      </c>
      <c r="M56" s="33" t="n">
        <v>46609</v>
      </c>
      <c r="N56" s="16" t="s">
        <v>1428</v>
      </c>
      <c r="O56" s="16"/>
      <c r="P56" s="16" t="str">
        <f aca="false">IF(AND(L56&lt;=$D$2,M56&gt;=$C$2),"Sí","")</f>
        <v>Sí</v>
      </c>
      <c r="Q56" s="18" t="str">
        <f aca="false">IF(COUNTIF(LOOKAHEAD!$A$5:$A$604,A56)&gt;0,"En Lookahead",IF(P56="Sí","INCORPORAR",""))</f>
        <v>En Lookahead</v>
      </c>
    </row>
    <row r="57" customFormat="false" ht="15" hidden="false" customHeight="false" outlineLevel="0" collapsed="false">
      <c r="A57" s="16" t="s">
        <v>1485</v>
      </c>
      <c r="B57" s="16" t="n">
        <v>52</v>
      </c>
      <c r="C57" s="16" t="s">
        <v>1486</v>
      </c>
      <c r="D57" s="16" t="n">
        <v>7</v>
      </c>
      <c r="E57" s="37" t="s">
        <v>1487</v>
      </c>
      <c r="F57" s="16" t="s">
        <v>1285</v>
      </c>
      <c r="G57" s="16" t="s">
        <v>149</v>
      </c>
      <c r="H57" s="16" t="s">
        <v>1395</v>
      </c>
      <c r="I57" s="16" t="s">
        <v>136</v>
      </c>
      <c r="J57" s="16" t="s">
        <v>1469</v>
      </c>
      <c r="K57" s="32" t="n">
        <v>1</v>
      </c>
      <c r="L57" s="33" t="n">
        <v>45885</v>
      </c>
      <c r="M57" s="33" t="n">
        <v>45885</v>
      </c>
      <c r="N57" s="16" t="s">
        <v>1488</v>
      </c>
      <c r="O57" s="16"/>
      <c r="P57" s="16" t="str">
        <f aca="false">IF(AND(L57&lt;=$D$2,M57&gt;=$C$2),"Sí","")</f>
        <v/>
      </c>
      <c r="Q57" s="18" t="str">
        <f aca="false">IF(COUNTIF(LOOKAHEAD!$A$5:$A$604,A57)&gt;0,"En Lookahead",IF(P57="Sí","INCORPORAR",""))</f>
        <v/>
      </c>
    </row>
    <row r="58" customFormat="false" ht="15" hidden="false" customHeight="false" outlineLevel="0" collapsed="false">
      <c r="A58" s="13" t="s">
        <v>1489</v>
      </c>
      <c r="B58" s="13" t="n">
        <v>53</v>
      </c>
      <c r="C58" s="13" t="s">
        <v>1490</v>
      </c>
      <c r="D58" s="13" t="n">
        <v>6</v>
      </c>
      <c r="E58" s="36" t="s">
        <v>1491</v>
      </c>
      <c r="F58" s="13" t="s">
        <v>1298</v>
      </c>
      <c r="G58" s="13" t="s">
        <v>149</v>
      </c>
      <c r="H58" s="13" t="s">
        <v>1395</v>
      </c>
      <c r="I58" s="13" t="s">
        <v>136</v>
      </c>
      <c r="J58" s="13" t="s">
        <v>1434</v>
      </c>
      <c r="K58" s="30" t="n">
        <v>1</v>
      </c>
      <c r="L58" s="31" t="n">
        <v>45885</v>
      </c>
      <c r="M58" s="31" t="n">
        <v>45885</v>
      </c>
      <c r="N58" s="13"/>
      <c r="O58" s="13"/>
      <c r="P58" s="13"/>
      <c r="Q58" s="13"/>
    </row>
    <row r="59" customFormat="false" ht="15" hidden="false" customHeight="false" outlineLevel="0" collapsed="false">
      <c r="A59" s="16" t="s">
        <v>1492</v>
      </c>
      <c r="B59" s="16" t="n">
        <v>54</v>
      </c>
      <c r="C59" s="16" t="s">
        <v>1493</v>
      </c>
      <c r="D59" s="16" t="n">
        <v>7</v>
      </c>
      <c r="E59" s="37" t="s">
        <v>1494</v>
      </c>
      <c r="F59" s="16" t="s">
        <v>1285</v>
      </c>
      <c r="G59" s="16" t="s">
        <v>149</v>
      </c>
      <c r="H59" s="16" t="s">
        <v>1395</v>
      </c>
      <c r="I59" s="16" t="s">
        <v>136</v>
      </c>
      <c r="J59" s="16" t="s">
        <v>1491</v>
      </c>
      <c r="K59" s="32" t="n">
        <v>1</v>
      </c>
      <c r="L59" s="33" t="n">
        <v>45885</v>
      </c>
      <c r="M59" s="33" t="n">
        <v>45885</v>
      </c>
      <c r="N59" s="16" t="s">
        <v>1488</v>
      </c>
      <c r="O59" s="16"/>
      <c r="P59" s="16" t="str">
        <f aca="false">IF(AND(L59&lt;=$D$2,M59&gt;=$C$2),"Sí","")</f>
        <v/>
      </c>
      <c r="Q59" s="18" t="str">
        <f aca="false">IF(COUNTIF(LOOKAHEAD!$A$5:$A$604,A59)&gt;0,"En Lookahead",IF(P59="Sí","INCORPORAR",""))</f>
        <v/>
      </c>
    </row>
    <row r="60" customFormat="false" ht="15" hidden="false" customHeight="false" outlineLevel="0" collapsed="false">
      <c r="A60" s="13" t="s">
        <v>1495</v>
      </c>
      <c r="B60" s="13" t="n">
        <v>55</v>
      </c>
      <c r="C60" s="13" t="s">
        <v>1496</v>
      </c>
      <c r="D60" s="13" t="n">
        <v>6</v>
      </c>
      <c r="E60" s="36" t="s">
        <v>1497</v>
      </c>
      <c r="F60" s="13" t="s">
        <v>1298</v>
      </c>
      <c r="G60" s="13" t="s">
        <v>149</v>
      </c>
      <c r="H60" s="13" t="s">
        <v>1395</v>
      </c>
      <c r="I60" s="13" t="s">
        <v>136</v>
      </c>
      <c r="J60" s="13" t="s">
        <v>1434</v>
      </c>
      <c r="K60" s="30" t="n">
        <v>54</v>
      </c>
      <c r="L60" s="31" t="n">
        <v>45885</v>
      </c>
      <c r="M60" s="31" t="n">
        <v>45938</v>
      </c>
      <c r="N60" s="13"/>
      <c r="O60" s="13"/>
      <c r="P60" s="13"/>
      <c r="Q60" s="13"/>
    </row>
    <row r="61" customFormat="false" ht="15" hidden="false" customHeight="false" outlineLevel="0" collapsed="false">
      <c r="A61" s="16" t="s">
        <v>1498</v>
      </c>
      <c r="B61" s="16" t="n">
        <v>56</v>
      </c>
      <c r="C61" s="16" t="s">
        <v>1499</v>
      </c>
      <c r="D61" s="16" t="n">
        <v>7</v>
      </c>
      <c r="E61" s="37" t="s">
        <v>1500</v>
      </c>
      <c r="F61" s="16" t="s">
        <v>1285</v>
      </c>
      <c r="G61" s="16" t="s">
        <v>149</v>
      </c>
      <c r="H61" s="16" t="s">
        <v>1395</v>
      </c>
      <c r="I61" s="16" t="s">
        <v>136</v>
      </c>
      <c r="J61" s="16" t="s">
        <v>1497</v>
      </c>
      <c r="K61" s="32" t="n">
        <v>4</v>
      </c>
      <c r="L61" s="33" t="n">
        <v>45885</v>
      </c>
      <c r="M61" s="33" t="n">
        <v>45938</v>
      </c>
      <c r="N61" s="16" t="s">
        <v>1488</v>
      </c>
      <c r="O61" s="16"/>
      <c r="P61" s="16" t="str">
        <f aca="false">IF(AND(L61&lt;=$D$2,M61&gt;=$C$2),"Sí","")</f>
        <v/>
      </c>
      <c r="Q61" s="18" t="str">
        <f aca="false">IF(COUNTIF(LOOKAHEAD!$A$5:$A$604,A61)&gt;0,"En Lookahead",IF(P61="Sí","INCORPORAR",""))</f>
        <v/>
      </c>
    </row>
    <row r="62" customFormat="false" ht="15" hidden="false" customHeight="false" outlineLevel="0" collapsed="false">
      <c r="A62" s="16" t="s">
        <v>1501</v>
      </c>
      <c r="B62" s="16" t="n">
        <v>57</v>
      </c>
      <c r="C62" s="16" t="s">
        <v>1502</v>
      </c>
      <c r="D62" s="16" t="n">
        <v>7</v>
      </c>
      <c r="E62" s="37" t="s">
        <v>1503</v>
      </c>
      <c r="F62" s="16" t="s">
        <v>1285</v>
      </c>
      <c r="G62" s="16" t="s">
        <v>149</v>
      </c>
      <c r="H62" s="16" t="s">
        <v>1395</v>
      </c>
      <c r="I62" s="16" t="s">
        <v>136</v>
      </c>
      <c r="J62" s="16" t="s">
        <v>1497</v>
      </c>
      <c r="K62" s="32" t="n">
        <v>4</v>
      </c>
      <c r="L62" s="33" t="n">
        <v>45885</v>
      </c>
      <c r="M62" s="33" t="n">
        <v>45938</v>
      </c>
      <c r="N62" s="16" t="s">
        <v>1488</v>
      </c>
      <c r="O62" s="16"/>
      <c r="P62" s="16" t="str">
        <f aca="false">IF(AND(L62&lt;=$D$2,M62&gt;=$C$2),"Sí","")</f>
        <v/>
      </c>
      <c r="Q62" s="18" t="str">
        <f aca="false">IF(COUNTIF(LOOKAHEAD!$A$5:$A$604,A62)&gt;0,"En Lookahead",IF(P62="Sí","INCORPORAR",""))</f>
        <v/>
      </c>
    </row>
    <row r="63" customFormat="false" ht="15" hidden="false" customHeight="false" outlineLevel="0" collapsed="false">
      <c r="A63" s="13" t="s">
        <v>1504</v>
      </c>
      <c r="B63" s="13" t="n">
        <v>58</v>
      </c>
      <c r="C63" s="13" t="s">
        <v>1505</v>
      </c>
      <c r="D63" s="13" t="n">
        <v>6</v>
      </c>
      <c r="E63" s="36" t="s">
        <v>1506</v>
      </c>
      <c r="F63" s="13" t="s">
        <v>1298</v>
      </c>
      <c r="G63" s="13" t="s">
        <v>149</v>
      </c>
      <c r="H63" s="13" t="s">
        <v>1395</v>
      </c>
      <c r="I63" s="13" t="s">
        <v>136</v>
      </c>
      <c r="J63" s="13" t="s">
        <v>1434</v>
      </c>
      <c r="K63" s="30" t="n">
        <v>4</v>
      </c>
      <c r="L63" s="31" t="n">
        <v>45885</v>
      </c>
      <c r="M63" s="31" t="n">
        <v>45888</v>
      </c>
      <c r="N63" s="13"/>
      <c r="O63" s="13"/>
      <c r="P63" s="13"/>
      <c r="Q63" s="13"/>
    </row>
    <row r="64" customFormat="false" ht="15" hidden="false" customHeight="false" outlineLevel="0" collapsed="false">
      <c r="A64" s="16" t="s">
        <v>1507</v>
      </c>
      <c r="B64" s="16" t="n">
        <v>59</v>
      </c>
      <c r="C64" s="16" t="s">
        <v>1508</v>
      </c>
      <c r="D64" s="16" t="n">
        <v>7</v>
      </c>
      <c r="E64" s="37" t="s">
        <v>1509</v>
      </c>
      <c r="F64" s="16" t="s">
        <v>1285</v>
      </c>
      <c r="G64" s="16" t="s">
        <v>149</v>
      </c>
      <c r="H64" s="16" t="s">
        <v>1395</v>
      </c>
      <c r="I64" s="16" t="s">
        <v>136</v>
      </c>
      <c r="J64" s="16" t="s">
        <v>1506</v>
      </c>
      <c r="K64" s="32" t="n">
        <v>4</v>
      </c>
      <c r="L64" s="33" t="n">
        <v>45885</v>
      </c>
      <c r="M64" s="33" t="n">
        <v>45888</v>
      </c>
      <c r="N64" s="16" t="s">
        <v>1428</v>
      </c>
      <c r="O64" s="16"/>
      <c r="P64" s="16" t="str">
        <f aca="false">IF(AND(L64&lt;=$D$2,M64&gt;=$C$2),"Sí","")</f>
        <v/>
      </c>
      <c r="Q64" s="18" t="str">
        <f aca="false">IF(COUNTIF(LOOKAHEAD!$A$5:$A$604,A64)&gt;0,"En Lookahead",IF(P64="Sí","INCORPORAR",""))</f>
        <v/>
      </c>
    </row>
    <row r="65" customFormat="false" ht="15" hidden="false" customHeight="false" outlineLevel="0" collapsed="false">
      <c r="A65" s="13" t="s">
        <v>1510</v>
      </c>
      <c r="B65" s="13" t="n">
        <v>60</v>
      </c>
      <c r="C65" s="13" t="s">
        <v>1511</v>
      </c>
      <c r="D65" s="13" t="n">
        <v>6</v>
      </c>
      <c r="E65" s="36" t="s">
        <v>1512</v>
      </c>
      <c r="F65" s="13" t="s">
        <v>1298</v>
      </c>
      <c r="G65" s="13" t="s">
        <v>149</v>
      </c>
      <c r="H65" s="13" t="s">
        <v>1395</v>
      </c>
      <c r="I65" s="13" t="s">
        <v>136</v>
      </c>
      <c r="J65" s="13" t="s">
        <v>1434</v>
      </c>
      <c r="K65" s="30" t="n">
        <v>1</v>
      </c>
      <c r="L65" s="31" t="n">
        <v>46361</v>
      </c>
      <c r="M65" s="31" t="n">
        <v>46361</v>
      </c>
      <c r="N65" s="13"/>
      <c r="O65" s="13"/>
      <c r="P65" s="13"/>
      <c r="Q65" s="13"/>
    </row>
    <row r="66" customFormat="false" ht="15" hidden="false" customHeight="false" outlineLevel="0" collapsed="false">
      <c r="A66" s="16" t="s">
        <v>1513</v>
      </c>
      <c r="B66" s="16" t="n">
        <v>61</v>
      </c>
      <c r="C66" s="16" t="s">
        <v>1514</v>
      </c>
      <c r="D66" s="16" t="n">
        <v>7</v>
      </c>
      <c r="E66" s="37" t="s">
        <v>1515</v>
      </c>
      <c r="F66" s="16" t="s">
        <v>1285</v>
      </c>
      <c r="G66" s="16" t="s">
        <v>149</v>
      </c>
      <c r="H66" s="16" t="s">
        <v>1395</v>
      </c>
      <c r="I66" s="16" t="s">
        <v>136</v>
      </c>
      <c r="J66" s="16" t="s">
        <v>1512</v>
      </c>
      <c r="K66" s="32" t="n">
        <v>1</v>
      </c>
      <c r="L66" s="33" t="n">
        <v>46361</v>
      </c>
      <c r="M66" s="33" t="n">
        <v>46361</v>
      </c>
      <c r="N66" s="16" t="s">
        <v>1516</v>
      </c>
      <c r="O66" s="16"/>
      <c r="P66" s="16" t="str">
        <f aca="false">IF(AND(L66&lt;=$D$2,M66&gt;=$C$2),"Sí","")</f>
        <v/>
      </c>
      <c r="Q66" s="18" t="str">
        <f aca="false">IF(COUNTIF(LOOKAHEAD!$A$5:$A$604,A66)&gt;0,"En Lookahead",IF(P66="Sí","INCORPORAR",""))</f>
        <v/>
      </c>
    </row>
    <row r="67" customFormat="false" ht="15" hidden="false" customHeight="false" outlineLevel="0" collapsed="false">
      <c r="A67" s="13" t="s">
        <v>1517</v>
      </c>
      <c r="B67" s="13" t="n">
        <v>62</v>
      </c>
      <c r="C67" s="13" t="s">
        <v>1518</v>
      </c>
      <c r="D67" s="13" t="n">
        <v>4</v>
      </c>
      <c r="E67" s="20" t="s">
        <v>1519</v>
      </c>
      <c r="F67" s="13" t="s">
        <v>1298</v>
      </c>
      <c r="G67" s="13" t="s">
        <v>149</v>
      </c>
      <c r="H67" s="13" t="s">
        <v>1519</v>
      </c>
      <c r="I67" s="13" t="s">
        <v>136</v>
      </c>
      <c r="J67" s="13" t="s">
        <v>1312</v>
      </c>
      <c r="K67" s="30" t="n">
        <v>35</v>
      </c>
      <c r="L67" s="31" t="n">
        <v>45878</v>
      </c>
      <c r="M67" s="31" t="n">
        <v>45912</v>
      </c>
      <c r="N67" s="13"/>
      <c r="O67" s="13" t="s">
        <v>1299</v>
      </c>
      <c r="P67" s="13"/>
      <c r="Q67" s="13"/>
    </row>
    <row r="68" customFormat="false" ht="15" hidden="false" customHeight="false" outlineLevel="0" collapsed="false">
      <c r="A68" s="16" t="s">
        <v>1520</v>
      </c>
      <c r="B68" s="16" t="n">
        <v>63</v>
      </c>
      <c r="C68" s="16" t="s">
        <v>1521</v>
      </c>
      <c r="D68" s="16" t="n">
        <v>5</v>
      </c>
      <c r="E68" s="21" t="s">
        <v>1522</v>
      </c>
      <c r="F68" s="16" t="s">
        <v>1285</v>
      </c>
      <c r="G68" s="16" t="s">
        <v>149</v>
      </c>
      <c r="H68" s="16" t="s">
        <v>1519</v>
      </c>
      <c r="I68" s="16" t="s">
        <v>136</v>
      </c>
      <c r="J68" s="16" t="s">
        <v>1519</v>
      </c>
      <c r="K68" s="32" t="n">
        <v>35</v>
      </c>
      <c r="L68" s="33" t="n">
        <v>45878</v>
      </c>
      <c r="M68" s="33" t="n">
        <v>45912</v>
      </c>
      <c r="N68" s="16"/>
      <c r="O68" s="16" t="s">
        <v>1299</v>
      </c>
      <c r="P68" s="16" t="str">
        <f aca="false">IF(AND(L68&lt;=$D$2,M68&gt;=$C$2),"Sí","")</f>
        <v/>
      </c>
      <c r="Q68" s="18" t="str">
        <f aca="false">IF(COUNTIF(LOOKAHEAD!$A$5:$A$604,A68)&gt;0,"En Lookahead",IF(P68="Sí","INCORPORAR",""))</f>
        <v/>
      </c>
    </row>
    <row r="69" customFormat="false" ht="15" hidden="false" customHeight="false" outlineLevel="0" collapsed="false">
      <c r="A69" s="25" t="s">
        <v>1523</v>
      </c>
      <c r="B69" s="25" t="n">
        <v>64</v>
      </c>
      <c r="C69" s="25" t="s">
        <v>1524</v>
      </c>
      <c r="D69" s="25" t="n">
        <v>2</v>
      </c>
      <c r="E69" s="28" t="s">
        <v>1525</v>
      </c>
      <c r="F69" s="25" t="s">
        <v>1298</v>
      </c>
      <c r="G69" s="25" t="s">
        <v>322</v>
      </c>
      <c r="H69" s="25"/>
      <c r="I69" s="25"/>
      <c r="J69" s="25" t="s">
        <v>1302</v>
      </c>
      <c r="K69" s="26" t="n">
        <v>533</v>
      </c>
      <c r="L69" s="27" t="n">
        <v>45913</v>
      </c>
      <c r="M69" s="27" t="n">
        <v>46525</v>
      </c>
      <c r="N69" s="25"/>
      <c r="O69" s="25" t="s">
        <v>1299</v>
      </c>
      <c r="P69" s="25"/>
      <c r="Q69" s="25"/>
    </row>
    <row r="70" customFormat="false" ht="15" hidden="false" customHeight="false" outlineLevel="0" collapsed="false">
      <c r="A70" s="25" t="s">
        <v>1526</v>
      </c>
      <c r="B70" s="25" t="n">
        <v>65</v>
      </c>
      <c r="C70" s="25" t="s">
        <v>1527</v>
      </c>
      <c r="D70" s="25" t="n">
        <v>3</v>
      </c>
      <c r="E70" s="29" t="s">
        <v>1528</v>
      </c>
      <c r="F70" s="25" t="s">
        <v>1298</v>
      </c>
      <c r="G70" s="25" t="s">
        <v>322</v>
      </c>
      <c r="H70" s="25"/>
      <c r="I70" s="25"/>
      <c r="J70" s="25" t="s">
        <v>1525</v>
      </c>
      <c r="K70" s="26" t="n">
        <v>533</v>
      </c>
      <c r="L70" s="27" t="n">
        <v>45913</v>
      </c>
      <c r="M70" s="27" t="n">
        <v>46525</v>
      </c>
      <c r="N70" s="25"/>
      <c r="O70" s="25" t="s">
        <v>1299</v>
      </c>
      <c r="P70" s="25"/>
      <c r="Q70" s="25"/>
    </row>
    <row r="71" customFormat="false" ht="15" hidden="false" customHeight="false" outlineLevel="0" collapsed="false">
      <c r="A71" s="13" t="s">
        <v>1529</v>
      </c>
      <c r="B71" s="13" t="n">
        <v>66</v>
      </c>
      <c r="C71" s="13" t="s">
        <v>1530</v>
      </c>
      <c r="D71" s="13" t="n">
        <v>4</v>
      </c>
      <c r="E71" s="20" t="s">
        <v>1531</v>
      </c>
      <c r="F71" s="13" t="s">
        <v>1298</v>
      </c>
      <c r="G71" s="13" t="s">
        <v>322</v>
      </c>
      <c r="H71" s="13" t="s">
        <v>1531</v>
      </c>
      <c r="I71" s="13" t="s">
        <v>62</v>
      </c>
      <c r="J71" s="13" t="s">
        <v>1528</v>
      </c>
      <c r="K71" s="30" t="n">
        <v>307</v>
      </c>
      <c r="L71" s="31" t="n">
        <v>45913</v>
      </c>
      <c r="M71" s="31" t="n">
        <v>46299</v>
      </c>
      <c r="N71" s="13"/>
      <c r="O71" s="13" t="s">
        <v>1299</v>
      </c>
      <c r="P71" s="13"/>
      <c r="Q71" s="13"/>
    </row>
    <row r="72" customFormat="false" ht="15" hidden="false" customHeight="false" outlineLevel="0" collapsed="false">
      <c r="A72" s="13" t="s">
        <v>1532</v>
      </c>
      <c r="B72" s="13" t="n">
        <v>67</v>
      </c>
      <c r="C72" s="13" t="s">
        <v>1533</v>
      </c>
      <c r="D72" s="13" t="n">
        <v>5</v>
      </c>
      <c r="E72" s="34" t="s">
        <v>1534</v>
      </c>
      <c r="F72" s="13" t="s">
        <v>1298</v>
      </c>
      <c r="G72" s="13" t="s">
        <v>322</v>
      </c>
      <c r="H72" s="13" t="s">
        <v>1531</v>
      </c>
      <c r="I72" s="13" t="s">
        <v>62</v>
      </c>
      <c r="J72" s="13" t="s">
        <v>1531</v>
      </c>
      <c r="K72" s="30" t="n">
        <v>85</v>
      </c>
      <c r="L72" s="31" t="n">
        <v>45913</v>
      </c>
      <c r="M72" s="31" t="n">
        <v>45997</v>
      </c>
      <c r="N72" s="13"/>
      <c r="O72" s="13" t="s">
        <v>1299</v>
      </c>
      <c r="P72" s="13"/>
      <c r="Q72" s="13"/>
    </row>
    <row r="73" customFormat="false" ht="15" hidden="false" customHeight="false" outlineLevel="0" collapsed="false">
      <c r="A73" s="16" t="s">
        <v>1535</v>
      </c>
      <c r="B73" s="16" t="n">
        <v>68</v>
      </c>
      <c r="C73" s="16" t="s">
        <v>1536</v>
      </c>
      <c r="D73" s="16" t="n">
        <v>6</v>
      </c>
      <c r="E73" s="35" t="s">
        <v>1537</v>
      </c>
      <c r="F73" s="16" t="s">
        <v>1285</v>
      </c>
      <c r="G73" s="16" t="s">
        <v>322</v>
      </c>
      <c r="H73" s="16" t="s">
        <v>1531</v>
      </c>
      <c r="I73" s="16" t="s">
        <v>62</v>
      </c>
      <c r="J73" s="16" t="s">
        <v>1534</v>
      </c>
      <c r="K73" s="32" t="n">
        <v>1</v>
      </c>
      <c r="L73" s="33" t="n">
        <v>45913</v>
      </c>
      <c r="M73" s="33" t="n">
        <v>45913</v>
      </c>
      <c r="N73" s="16" t="s">
        <v>1538</v>
      </c>
      <c r="O73" s="16" t="s">
        <v>1299</v>
      </c>
      <c r="P73" s="16" t="str">
        <f aca="false">IF(AND(L73&lt;=$D$2,M73&gt;=$C$2),"Sí","")</f>
        <v/>
      </c>
      <c r="Q73" s="18" t="str">
        <f aca="false">IF(COUNTIF(LOOKAHEAD!$A$5:$A$604,A73)&gt;0,"En Lookahead",IF(P73="Sí","INCORPORAR",""))</f>
        <v/>
      </c>
    </row>
    <row r="74" customFormat="false" ht="15" hidden="false" customHeight="false" outlineLevel="0" collapsed="false">
      <c r="A74" s="16" t="s">
        <v>1539</v>
      </c>
      <c r="B74" s="16" t="n">
        <v>69</v>
      </c>
      <c r="C74" s="16" t="s">
        <v>1540</v>
      </c>
      <c r="D74" s="16" t="n">
        <v>6</v>
      </c>
      <c r="E74" s="35" t="s">
        <v>1541</v>
      </c>
      <c r="F74" s="16" t="s">
        <v>1285</v>
      </c>
      <c r="G74" s="16" t="s">
        <v>322</v>
      </c>
      <c r="H74" s="16" t="s">
        <v>1531</v>
      </c>
      <c r="I74" s="16" t="s">
        <v>62</v>
      </c>
      <c r="J74" s="16" t="s">
        <v>1534</v>
      </c>
      <c r="K74" s="32" t="n">
        <v>1</v>
      </c>
      <c r="L74" s="33" t="n">
        <v>45914</v>
      </c>
      <c r="M74" s="33" t="n">
        <v>45914</v>
      </c>
      <c r="N74" s="16" t="s">
        <v>1542</v>
      </c>
      <c r="O74" s="16"/>
      <c r="P74" s="16" t="str">
        <f aca="false">IF(AND(L74&lt;=$D$2,M74&gt;=$C$2),"Sí","")</f>
        <v/>
      </c>
      <c r="Q74" s="18" t="str">
        <f aca="false">IF(COUNTIF(LOOKAHEAD!$A$5:$A$604,A74)&gt;0,"En Lookahead",IF(P74="Sí","INCORPORAR",""))</f>
        <v/>
      </c>
    </row>
    <row r="75" customFormat="false" ht="15" hidden="false" customHeight="false" outlineLevel="0" collapsed="false">
      <c r="A75" s="16" t="s">
        <v>1543</v>
      </c>
      <c r="B75" s="16" t="n">
        <v>70</v>
      </c>
      <c r="C75" s="16" t="s">
        <v>1544</v>
      </c>
      <c r="D75" s="16" t="n">
        <v>6</v>
      </c>
      <c r="E75" s="35" t="s">
        <v>1545</v>
      </c>
      <c r="F75" s="16" t="s">
        <v>1285</v>
      </c>
      <c r="G75" s="16" t="s">
        <v>322</v>
      </c>
      <c r="H75" s="16" t="s">
        <v>1531</v>
      </c>
      <c r="I75" s="16" t="s">
        <v>62</v>
      </c>
      <c r="J75" s="16" t="s">
        <v>1534</v>
      </c>
      <c r="K75" s="32" t="n">
        <v>1</v>
      </c>
      <c r="L75" s="33" t="n">
        <v>45915</v>
      </c>
      <c r="M75" s="33" t="n">
        <v>45915</v>
      </c>
      <c r="N75" s="16" t="s">
        <v>1546</v>
      </c>
      <c r="O75" s="16"/>
      <c r="P75" s="16" t="str">
        <f aca="false">IF(AND(L75&lt;=$D$2,M75&gt;=$C$2),"Sí","")</f>
        <v/>
      </c>
      <c r="Q75" s="18" t="str">
        <f aca="false">IF(COUNTIF(LOOKAHEAD!$A$5:$A$604,A75)&gt;0,"En Lookahead",IF(P75="Sí","INCORPORAR",""))</f>
        <v/>
      </c>
    </row>
    <row r="76" customFormat="false" ht="15" hidden="false" customHeight="false" outlineLevel="0" collapsed="false">
      <c r="A76" s="16" t="s">
        <v>1547</v>
      </c>
      <c r="B76" s="16" t="n">
        <v>71</v>
      </c>
      <c r="C76" s="16" t="s">
        <v>1548</v>
      </c>
      <c r="D76" s="16" t="n">
        <v>6</v>
      </c>
      <c r="E76" s="35" t="s">
        <v>1549</v>
      </c>
      <c r="F76" s="16" t="s">
        <v>1285</v>
      </c>
      <c r="G76" s="16" t="s">
        <v>322</v>
      </c>
      <c r="H76" s="16" t="s">
        <v>1531</v>
      </c>
      <c r="I76" s="16" t="s">
        <v>62</v>
      </c>
      <c r="J76" s="16" t="s">
        <v>1534</v>
      </c>
      <c r="K76" s="32" t="n">
        <v>2</v>
      </c>
      <c r="L76" s="33" t="n">
        <v>45916</v>
      </c>
      <c r="M76" s="33" t="n">
        <v>45917</v>
      </c>
      <c r="N76" s="16" t="s">
        <v>1550</v>
      </c>
      <c r="O76" s="16"/>
      <c r="P76" s="16" t="str">
        <f aca="false">IF(AND(L76&lt;=$D$2,M76&gt;=$C$2),"Sí","")</f>
        <v/>
      </c>
      <c r="Q76" s="18" t="str">
        <f aca="false">IF(COUNTIF(LOOKAHEAD!$A$5:$A$604,A76)&gt;0,"En Lookahead",IF(P76="Sí","INCORPORAR",""))</f>
        <v/>
      </c>
    </row>
    <row r="77" customFormat="false" ht="15" hidden="false" customHeight="false" outlineLevel="0" collapsed="false">
      <c r="A77" s="16" t="s">
        <v>1551</v>
      </c>
      <c r="B77" s="16" t="n">
        <v>72</v>
      </c>
      <c r="C77" s="16" t="s">
        <v>1552</v>
      </c>
      <c r="D77" s="16" t="n">
        <v>6</v>
      </c>
      <c r="E77" s="35" t="s">
        <v>1553</v>
      </c>
      <c r="F77" s="16" t="s">
        <v>1285</v>
      </c>
      <c r="G77" s="16" t="s">
        <v>322</v>
      </c>
      <c r="H77" s="16" t="s">
        <v>1531</v>
      </c>
      <c r="I77" s="16" t="s">
        <v>62</v>
      </c>
      <c r="J77" s="16" t="s">
        <v>1534</v>
      </c>
      <c r="K77" s="32" t="n">
        <v>30</v>
      </c>
      <c r="L77" s="33" t="n">
        <v>45961</v>
      </c>
      <c r="M77" s="33" t="n">
        <v>45990</v>
      </c>
      <c r="N77" s="16" t="s">
        <v>1554</v>
      </c>
      <c r="O77" s="16"/>
      <c r="P77" s="16" t="str">
        <f aca="false">IF(AND(L77&lt;=$D$2,M77&gt;=$C$2),"Sí","")</f>
        <v/>
      </c>
      <c r="Q77" s="18" t="str">
        <f aca="false">IF(COUNTIF(LOOKAHEAD!$A$5:$A$604,A77)&gt;0,"En Lookahead",IF(P77="Sí","INCORPORAR",""))</f>
        <v/>
      </c>
    </row>
    <row r="78" customFormat="false" ht="15" hidden="false" customHeight="false" outlineLevel="0" collapsed="false">
      <c r="A78" s="16" t="s">
        <v>1555</v>
      </c>
      <c r="B78" s="16" t="n">
        <v>73</v>
      </c>
      <c r="C78" s="16" t="s">
        <v>1556</v>
      </c>
      <c r="D78" s="16" t="n">
        <v>6</v>
      </c>
      <c r="E78" s="35" t="s">
        <v>1557</v>
      </c>
      <c r="F78" s="16" t="s">
        <v>1285</v>
      </c>
      <c r="G78" s="16" t="s">
        <v>322</v>
      </c>
      <c r="H78" s="16" t="s">
        <v>1531</v>
      </c>
      <c r="I78" s="16" t="s">
        <v>62</v>
      </c>
      <c r="J78" s="16" t="s">
        <v>1534</v>
      </c>
      <c r="K78" s="32" t="n">
        <v>15</v>
      </c>
      <c r="L78" s="33" t="n">
        <v>45916</v>
      </c>
      <c r="M78" s="33" t="n">
        <v>45930</v>
      </c>
      <c r="N78" s="16" t="s">
        <v>1550</v>
      </c>
      <c r="O78" s="16"/>
      <c r="P78" s="16" t="str">
        <f aca="false">IF(AND(L78&lt;=$D$2,M78&gt;=$C$2),"Sí","")</f>
        <v/>
      </c>
      <c r="Q78" s="18" t="str">
        <f aca="false">IF(COUNTIF(LOOKAHEAD!$A$5:$A$604,A78)&gt;0,"En Lookahead",IF(P78="Sí","INCORPORAR",""))</f>
        <v/>
      </c>
    </row>
    <row r="79" customFormat="false" ht="15" hidden="false" customHeight="false" outlineLevel="0" collapsed="false">
      <c r="A79" s="16" t="s">
        <v>1558</v>
      </c>
      <c r="B79" s="16" t="n">
        <v>74</v>
      </c>
      <c r="C79" s="16" t="s">
        <v>1559</v>
      </c>
      <c r="D79" s="16" t="n">
        <v>6</v>
      </c>
      <c r="E79" s="35" t="s">
        <v>1560</v>
      </c>
      <c r="F79" s="16" t="s">
        <v>1285</v>
      </c>
      <c r="G79" s="16" t="s">
        <v>322</v>
      </c>
      <c r="H79" s="16" t="s">
        <v>1531</v>
      </c>
      <c r="I79" s="16" t="s">
        <v>62</v>
      </c>
      <c r="J79" s="16" t="s">
        <v>1534</v>
      </c>
      <c r="K79" s="32" t="n">
        <v>5</v>
      </c>
      <c r="L79" s="33" t="n">
        <v>45926</v>
      </c>
      <c r="M79" s="33" t="n">
        <v>45930</v>
      </c>
      <c r="N79" s="16" t="s">
        <v>1561</v>
      </c>
      <c r="O79" s="16"/>
      <c r="P79" s="16" t="str">
        <f aca="false">IF(AND(L79&lt;=$D$2,M79&gt;=$C$2),"Sí","")</f>
        <v/>
      </c>
      <c r="Q79" s="18" t="str">
        <f aca="false">IF(COUNTIF(LOOKAHEAD!$A$5:$A$604,A79)&gt;0,"En Lookahead",IF(P79="Sí","INCORPORAR",""))</f>
        <v/>
      </c>
    </row>
    <row r="80" customFormat="false" ht="15" hidden="false" customHeight="false" outlineLevel="0" collapsed="false">
      <c r="A80" s="16" t="s">
        <v>1562</v>
      </c>
      <c r="B80" s="16" t="n">
        <v>75</v>
      </c>
      <c r="C80" s="16" t="s">
        <v>1563</v>
      </c>
      <c r="D80" s="16" t="n">
        <v>6</v>
      </c>
      <c r="E80" s="35" t="s">
        <v>1564</v>
      </c>
      <c r="F80" s="16" t="s">
        <v>1285</v>
      </c>
      <c r="G80" s="16" t="s">
        <v>322</v>
      </c>
      <c r="H80" s="16" t="s">
        <v>1531</v>
      </c>
      <c r="I80" s="16" t="s">
        <v>62</v>
      </c>
      <c r="J80" s="16" t="s">
        <v>1534</v>
      </c>
      <c r="K80" s="32" t="n">
        <v>7</v>
      </c>
      <c r="L80" s="33" t="n">
        <v>45916</v>
      </c>
      <c r="M80" s="33" t="n">
        <v>45922</v>
      </c>
      <c r="N80" s="16" t="s">
        <v>1550</v>
      </c>
      <c r="O80" s="16"/>
      <c r="P80" s="16" t="str">
        <f aca="false">IF(AND(L80&lt;=$D$2,M80&gt;=$C$2),"Sí","")</f>
        <v/>
      </c>
      <c r="Q80" s="18" t="str">
        <f aca="false">IF(COUNTIF(LOOKAHEAD!$A$5:$A$604,A80)&gt;0,"En Lookahead",IF(P80="Sí","INCORPORAR",""))</f>
        <v/>
      </c>
    </row>
    <row r="81" customFormat="false" ht="15" hidden="false" customHeight="false" outlineLevel="0" collapsed="false">
      <c r="A81" s="16" t="s">
        <v>1565</v>
      </c>
      <c r="B81" s="16" t="n">
        <v>76</v>
      </c>
      <c r="C81" s="16" t="s">
        <v>1566</v>
      </c>
      <c r="D81" s="16" t="n">
        <v>6</v>
      </c>
      <c r="E81" s="35" t="s">
        <v>1567</v>
      </c>
      <c r="F81" s="16" t="s">
        <v>1285</v>
      </c>
      <c r="G81" s="16" t="s">
        <v>322</v>
      </c>
      <c r="H81" s="16" t="s">
        <v>1531</v>
      </c>
      <c r="I81" s="16" t="s">
        <v>62</v>
      </c>
      <c r="J81" s="16" t="s">
        <v>1534</v>
      </c>
      <c r="K81" s="32" t="n">
        <v>7</v>
      </c>
      <c r="L81" s="33" t="n">
        <v>45991</v>
      </c>
      <c r="M81" s="33" t="n">
        <v>45997</v>
      </c>
      <c r="N81" s="16" t="s">
        <v>1568</v>
      </c>
      <c r="O81" s="16"/>
      <c r="P81" s="16" t="str">
        <f aca="false">IF(AND(L81&lt;=$D$2,M81&gt;=$C$2),"Sí","")</f>
        <v/>
      </c>
      <c r="Q81" s="18" t="str">
        <f aca="false">IF(COUNTIF(LOOKAHEAD!$A$5:$A$604,A81)&gt;0,"En Lookahead",IF(P81="Sí","INCORPORAR",""))</f>
        <v/>
      </c>
    </row>
    <row r="82" customFormat="false" ht="15" hidden="false" customHeight="false" outlineLevel="0" collapsed="false">
      <c r="A82" s="13" t="s">
        <v>1569</v>
      </c>
      <c r="B82" s="13" t="n">
        <v>77</v>
      </c>
      <c r="C82" s="13" t="s">
        <v>1570</v>
      </c>
      <c r="D82" s="13" t="n">
        <v>5</v>
      </c>
      <c r="E82" s="34" t="s">
        <v>1571</v>
      </c>
      <c r="F82" s="13" t="s">
        <v>1298</v>
      </c>
      <c r="G82" s="13" t="s">
        <v>322</v>
      </c>
      <c r="H82" s="13" t="s">
        <v>1531</v>
      </c>
      <c r="I82" s="13" t="s">
        <v>62</v>
      </c>
      <c r="J82" s="13" t="s">
        <v>1531</v>
      </c>
      <c r="K82" s="30" t="n">
        <v>31</v>
      </c>
      <c r="L82" s="31" t="n">
        <v>45923</v>
      </c>
      <c r="M82" s="31" t="n">
        <v>45953</v>
      </c>
      <c r="N82" s="13"/>
      <c r="O82" s="13"/>
      <c r="P82" s="13"/>
      <c r="Q82" s="13"/>
    </row>
    <row r="83" customFormat="false" ht="15" hidden="false" customHeight="false" outlineLevel="0" collapsed="false">
      <c r="A83" s="13" t="s">
        <v>1572</v>
      </c>
      <c r="B83" s="13" t="n">
        <v>78</v>
      </c>
      <c r="C83" s="13" t="s">
        <v>1573</v>
      </c>
      <c r="D83" s="13" t="n">
        <v>6</v>
      </c>
      <c r="E83" s="36" t="s">
        <v>1574</v>
      </c>
      <c r="F83" s="13" t="s">
        <v>1298</v>
      </c>
      <c r="G83" s="13" t="s">
        <v>322</v>
      </c>
      <c r="H83" s="13" t="s">
        <v>1531</v>
      </c>
      <c r="I83" s="13" t="s">
        <v>62</v>
      </c>
      <c r="J83" s="13" t="s">
        <v>1571</v>
      </c>
      <c r="K83" s="30" t="n">
        <v>1</v>
      </c>
      <c r="L83" s="31" t="n">
        <v>45923</v>
      </c>
      <c r="M83" s="31" t="n">
        <v>45923</v>
      </c>
      <c r="N83" s="13"/>
      <c r="O83" s="13"/>
      <c r="P83" s="13"/>
      <c r="Q83" s="13"/>
    </row>
    <row r="84" customFormat="false" ht="15" hidden="false" customHeight="false" outlineLevel="0" collapsed="false">
      <c r="A84" s="16" t="s">
        <v>1575</v>
      </c>
      <c r="B84" s="16" t="n">
        <v>79</v>
      </c>
      <c r="C84" s="16" t="s">
        <v>1576</v>
      </c>
      <c r="D84" s="16" t="n">
        <v>7</v>
      </c>
      <c r="E84" s="37" t="s">
        <v>1577</v>
      </c>
      <c r="F84" s="16" t="s">
        <v>1285</v>
      </c>
      <c r="G84" s="16" t="s">
        <v>322</v>
      </c>
      <c r="H84" s="16" t="s">
        <v>1531</v>
      </c>
      <c r="I84" s="16" t="s">
        <v>62</v>
      </c>
      <c r="J84" s="16" t="s">
        <v>1574</v>
      </c>
      <c r="K84" s="32" t="n">
        <v>1</v>
      </c>
      <c r="L84" s="33" t="n">
        <v>45923</v>
      </c>
      <c r="M84" s="33" t="n">
        <v>45923</v>
      </c>
      <c r="N84" s="16" t="s">
        <v>1578</v>
      </c>
      <c r="O84" s="16"/>
      <c r="P84" s="16" t="str">
        <f aca="false">IF(AND(L84&lt;=$D$2,M84&gt;=$C$2),"Sí","")</f>
        <v/>
      </c>
      <c r="Q84" s="18" t="str">
        <f aca="false">IF(COUNTIF(LOOKAHEAD!$A$5:$A$604,A84)&gt;0,"En Lookahead",IF(P84="Sí","INCORPORAR",""))</f>
        <v/>
      </c>
    </row>
    <row r="85" customFormat="false" ht="15" hidden="false" customHeight="false" outlineLevel="0" collapsed="false">
      <c r="A85" s="13" t="s">
        <v>1579</v>
      </c>
      <c r="B85" s="13" t="n">
        <v>80</v>
      </c>
      <c r="C85" s="13" t="s">
        <v>1580</v>
      </c>
      <c r="D85" s="13" t="n">
        <v>6</v>
      </c>
      <c r="E85" s="36" t="s">
        <v>1581</v>
      </c>
      <c r="F85" s="13" t="s">
        <v>1298</v>
      </c>
      <c r="G85" s="13" t="s">
        <v>322</v>
      </c>
      <c r="H85" s="13" t="s">
        <v>1531</v>
      </c>
      <c r="I85" s="13" t="s">
        <v>62</v>
      </c>
      <c r="J85" s="13" t="s">
        <v>1571</v>
      </c>
      <c r="K85" s="30" t="n">
        <v>4</v>
      </c>
      <c r="L85" s="31" t="n">
        <v>45945</v>
      </c>
      <c r="M85" s="31" t="n">
        <v>45948</v>
      </c>
      <c r="N85" s="13"/>
      <c r="O85" s="13"/>
      <c r="P85" s="13"/>
      <c r="Q85" s="13"/>
    </row>
    <row r="86" customFormat="false" ht="15" hidden="false" customHeight="false" outlineLevel="0" collapsed="false">
      <c r="A86" s="16" t="s">
        <v>1582</v>
      </c>
      <c r="B86" s="16" t="n">
        <v>81</v>
      </c>
      <c r="C86" s="16" t="s">
        <v>1583</v>
      </c>
      <c r="D86" s="16" t="n">
        <v>7</v>
      </c>
      <c r="E86" s="37" t="s">
        <v>1584</v>
      </c>
      <c r="F86" s="16" t="s">
        <v>1285</v>
      </c>
      <c r="G86" s="16" t="s">
        <v>322</v>
      </c>
      <c r="H86" s="16" t="s">
        <v>1531</v>
      </c>
      <c r="I86" s="16" t="s">
        <v>62</v>
      </c>
      <c r="J86" s="16" t="s">
        <v>1581</v>
      </c>
      <c r="K86" s="32" t="n">
        <v>1</v>
      </c>
      <c r="L86" s="33" t="n">
        <v>45948</v>
      </c>
      <c r="M86" s="33" t="n">
        <v>45948</v>
      </c>
      <c r="N86" s="16" t="s">
        <v>1585</v>
      </c>
      <c r="O86" s="16"/>
      <c r="P86" s="16" t="str">
        <f aca="false">IF(AND(L86&lt;=$D$2,M86&gt;=$C$2),"Sí","")</f>
        <v/>
      </c>
      <c r="Q86" s="18" t="str">
        <f aca="false">IF(COUNTIF(LOOKAHEAD!$A$5:$A$604,A86)&gt;0,"En Lookahead",IF(P86="Sí","INCORPORAR",""))</f>
        <v/>
      </c>
    </row>
    <row r="87" customFormat="false" ht="15" hidden="false" customHeight="false" outlineLevel="0" collapsed="false">
      <c r="A87" s="16" t="s">
        <v>1586</v>
      </c>
      <c r="B87" s="16" t="n">
        <v>82</v>
      </c>
      <c r="C87" s="16" t="s">
        <v>1587</v>
      </c>
      <c r="D87" s="16" t="n">
        <v>7</v>
      </c>
      <c r="E87" s="37" t="s">
        <v>1588</v>
      </c>
      <c r="F87" s="16" t="s">
        <v>1285</v>
      </c>
      <c r="G87" s="16" t="s">
        <v>322</v>
      </c>
      <c r="H87" s="16" t="s">
        <v>1531</v>
      </c>
      <c r="I87" s="16" t="s">
        <v>62</v>
      </c>
      <c r="J87" s="16" t="s">
        <v>1581</v>
      </c>
      <c r="K87" s="32" t="n">
        <v>3</v>
      </c>
      <c r="L87" s="33" t="n">
        <v>45945</v>
      </c>
      <c r="M87" s="33" t="n">
        <v>45947</v>
      </c>
      <c r="N87" s="16" t="s">
        <v>1589</v>
      </c>
      <c r="O87" s="16"/>
      <c r="P87" s="16" t="str">
        <f aca="false">IF(AND(L87&lt;=$D$2,M87&gt;=$C$2),"Sí","")</f>
        <v/>
      </c>
      <c r="Q87" s="18" t="str">
        <f aca="false">IF(COUNTIF(LOOKAHEAD!$A$5:$A$604,A87)&gt;0,"En Lookahead",IF(P87="Sí","INCORPORAR",""))</f>
        <v/>
      </c>
    </row>
    <row r="88" customFormat="false" ht="15" hidden="false" customHeight="false" outlineLevel="0" collapsed="false">
      <c r="A88" s="13" t="s">
        <v>1590</v>
      </c>
      <c r="B88" s="13" t="n">
        <v>83</v>
      </c>
      <c r="C88" s="13" t="s">
        <v>1591</v>
      </c>
      <c r="D88" s="13" t="n">
        <v>6</v>
      </c>
      <c r="E88" s="36" t="s">
        <v>1592</v>
      </c>
      <c r="F88" s="13" t="s">
        <v>1298</v>
      </c>
      <c r="G88" s="13" t="s">
        <v>322</v>
      </c>
      <c r="H88" s="13" t="s">
        <v>1531</v>
      </c>
      <c r="I88" s="13" t="s">
        <v>62</v>
      </c>
      <c r="J88" s="13" t="s">
        <v>1571</v>
      </c>
      <c r="K88" s="30" t="n">
        <v>5</v>
      </c>
      <c r="L88" s="31" t="n">
        <v>45949</v>
      </c>
      <c r="M88" s="31" t="n">
        <v>45953</v>
      </c>
      <c r="N88" s="13"/>
      <c r="O88" s="13"/>
      <c r="P88" s="13"/>
      <c r="Q88" s="13"/>
    </row>
    <row r="89" customFormat="false" ht="15" hidden="false" customHeight="false" outlineLevel="0" collapsed="false">
      <c r="A89" s="16" t="s">
        <v>1593</v>
      </c>
      <c r="B89" s="16" t="n">
        <v>84</v>
      </c>
      <c r="C89" s="16" t="s">
        <v>1594</v>
      </c>
      <c r="D89" s="16" t="n">
        <v>7</v>
      </c>
      <c r="E89" s="37" t="s">
        <v>1595</v>
      </c>
      <c r="F89" s="16" t="s">
        <v>1285</v>
      </c>
      <c r="G89" s="16" t="s">
        <v>322</v>
      </c>
      <c r="H89" s="16" t="s">
        <v>1531</v>
      </c>
      <c r="I89" s="16" t="s">
        <v>62</v>
      </c>
      <c r="J89" s="16" t="s">
        <v>1592</v>
      </c>
      <c r="K89" s="32" t="n">
        <v>1</v>
      </c>
      <c r="L89" s="33" t="n">
        <v>45952</v>
      </c>
      <c r="M89" s="33" t="n">
        <v>45952</v>
      </c>
      <c r="N89" s="16" t="s">
        <v>1596</v>
      </c>
      <c r="O89" s="16"/>
      <c r="P89" s="16" t="str">
        <f aca="false">IF(AND(L89&lt;=$D$2,M89&gt;=$C$2),"Sí","")</f>
        <v/>
      </c>
      <c r="Q89" s="18" t="str">
        <f aca="false">IF(COUNTIF(LOOKAHEAD!$A$5:$A$604,A89)&gt;0,"En Lookahead",IF(P89="Sí","INCORPORAR",""))</f>
        <v/>
      </c>
    </row>
    <row r="90" customFormat="false" ht="15" hidden="false" customHeight="false" outlineLevel="0" collapsed="false">
      <c r="A90" s="16" t="s">
        <v>1597</v>
      </c>
      <c r="B90" s="16" t="n">
        <v>85</v>
      </c>
      <c r="C90" s="16" t="s">
        <v>1598</v>
      </c>
      <c r="D90" s="16" t="n">
        <v>7</v>
      </c>
      <c r="E90" s="37" t="s">
        <v>1588</v>
      </c>
      <c r="F90" s="16" t="s">
        <v>1285</v>
      </c>
      <c r="G90" s="16" t="s">
        <v>322</v>
      </c>
      <c r="H90" s="16" t="s">
        <v>1531</v>
      </c>
      <c r="I90" s="16" t="s">
        <v>62</v>
      </c>
      <c r="J90" s="16" t="s">
        <v>1592</v>
      </c>
      <c r="K90" s="32" t="n">
        <v>3</v>
      </c>
      <c r="L90" s="33" t="n">
        <v>45949</v>
      </c>
      <c r="M90" s="33" t="n">
        <v>45951</v>
      </c>
      <c r="N90" s="16" t="s">
        <v>1599</v>
      </c>
      <c r="O90" s="16"/>
      <c r="P90" s="16" t="str">
        <f aca="false">IF(AND(L90&lt;=$D$2,M90&gt;=$C$2),"Sí","")</f>
        <v/>
      </c>
      <c r="Q90" s="18" t="str">
        <f aca="false">IF(COUNTIF(LOOKAHEAD!$A$5:$A$604,A90)&gt;0,"En Lookahead",IF(P90="Sí","INCORPORAR",""))</f>
        <v/>
      </c>
    </row>
    <row r="91" customFormat="false" ht="15" hidden="false" customHeight="false" outlineLevel="0" collapsed="false">
      <c r="A91" s="16" t="s">
        <v>1600</v>
      </c>
      <c r="B91" s="16" t="n">
        <v>86</v>
      </c>
      <c r="C91" s="16" t="s">
        <v>1601</v>
      </c>
      <c r="D91" s="16" t="n">
        <v>7</v>
      </c>
      <c r="E91" s="37" t="s">
        <v>1602</v>
      </c>
      <c r="F91" s="16" t="s">
        <v>1285</v>
      </c>
      <c r="G91" s="16" t="s">
        <v>322</v>
      </c>
      <c r="H91" s="16" t="s">
        <v>1531</v>
      </c>
      <c r="I91" s="16" t="s">
        <v>62</v>
      </c>
      <c r="J91" s="16" t="s">
        <v>1592</v>
      </c>
      <c r="K91" s="32" t="n">
        <v>1</v>
      </c>
      <c r="L91" s="33" t="n">
        <v>45953</v>
      </c>
      <c r="M91" s="33" t="n">
        <v>45953</v>
      </c>
      <c r="N91" s="16" t="s">
        <v>1603</v>
      </c>
      <c r="O91" s="16"/>
      <c r="P91" s="16" t="str">
        <f aca="false">IF(AND(L91&lt;=$D$2,M91&gt;=$C$2),"Sí","")</f>
        <v/>
      </c>
      <c r="Q91" s="18" t="str">
        <f aca="false">IF(COUNTIF(LOOKAHEAD!$A$5:$A$604,A91)&gt;0,"En Lookahead",IF(P91="Sí","INCORPORAR",""))</f>
        <v/>
      </c>
    </row>
    <row r="92" customFormat="false" ht="15" hidden="false" customHeight="false" outlineLevel="0" collapsed="false">
      <c r="A92" s="13" t="s">
        <v>1604</v>
      </c>
      <c r="B92" s="13" t="n">
        <v>87</v>
      </c>
      <c r="C92" s="13" t="s">
        <v>1605</v>
      </c>
      <c r="D92" s="13" t="n">
        <v>6</v>
      </c>
      <c r="E92" s="36" t="s">
        <v>1606</v>
      </c>
      <c r="F92" s="13" t="s">
        <v>1298</v>
      </c>
      <c r="G92" s="13" t="s">
        <v>322</v>
      </c>
      <c r="H92" s="13" t="s">
        <v>1531</v>
      </c>
      <c r="I92" s="13" t="s">
        <v>62</v>
      </c>
      <c r="J92" s="13" t="s">
        <v>1571</v>
      </c>
      <c r="K92" s="30" t="n">
        <v>11</v>
      </c>
      <c r="L92" s="31" t="n">
        <v>45924</v>
      </c>
      <c r="M92" s="31" t="n">
        <v>45934</v>
      </c>
      <c r="N92" s="13"/>
      <c r="O92" s="13"/>
      <c r="P92" s="13"/>
      <c r="Q92" s="13"/>
    </row>
    <row r="93" customFormat="false" ht="15" hidden="false" customHeight="false" outlineLevel="0" collapsed="false">
      <c r="A93" s="16" t="s">
        <v>1607</v>
      </c>
      <c r="B93" s="16" t="n">
        <v>88</v>
      </c>
      <c r="C93" s="16" t="s">
        <v>1608</v>
      </c>
      <c r="D93" s="16" t="n">
        <v>7</v>
      </c>
      <c r="E93" s="37" t="s">
        <v>1609</v>
      </c>
      <c r="F93" s="16" t="s">
        <v>1285</v>
      </c>
      <c r="G93" s="16" t="s">
        <v>322</v>
      </c>
      <c r="H93" s="16" t="s">
        <v>1531</v>
      </c>
      <c r="I93" s="16" t="s">
        <v>62</v>
      </c>
      <c r="J93" s="16" t="s">
        <v>1606</v>
      </c>
      <c r="K93" s="32" t="n">
        <v>7</v>
      </c>
      <c r="L93" s="33" t="n">
        <v>45928</v>
      </c>
      <c r="M93" s="33" t="n">
        <v>45934</v>
      </c>
      <c r="N93" s="16" t="s">
        <v>1610</v>
      </c>
      <c r="O93" s="16"/>
      <c r="P93" s="16" t="str">
        <f aca="false">IF(AND(L93&lt;=$D$2,M93&gt;=$C$2),"Sí","")</f>
        <v/>
      </c>
      <c r="Q93" s="18" t="str">
        <f aca="false">IF(COUNTIF(LOOKAHEAD!$A$5:$A$604,A93)&gt;0,"En Lookahead",IF(P93="Sí","INCORPORAR",""))</f>
        <v/>
      </c>
    </row>
    <row r="94" customFormat="false" ht="15" hidden="false" customHeight="false" outlineLevel="0" collapsed="false">
      <c r="A94" s="16" t="s">
        <v>1611</v>
      </c>
      <c r="B94" s="16" t="n">
        <v>89</v>
      </c>
      <c r="C94" s="16" t="s">
        <v>1612</v>
      </c>
      <c r="D94" s="16" t="n">
        <v>7</v>
      </c>
      <c r="E94" s="37" t="s">
        <v>1588</v>
      </c>
      <c r="F94" s="16" t="s">
        <v>1285</v>
      </c>
      <c r="G94" s="16" t="s">
        <v>322</v>
      </c>
      <c r="H94" s="16" t="s">
        <v>1531</v>
      </c>
      <c r="I94" s="16" t="s">
        <v>62</v>
      </c>
      <c r="J94" s="16" t="s">
        <v>1606</v>
      </c>
      <c r="K94" s="32" t="n">
        <v>4</v>
      </c>
      <c r="L94" s="33" t="n">
        <v>45924</v>
      </c>
      <c r="M94" s="33" t="n">
        <v>45927</v>
      </c>
      <c r="N94" s="16" t="s">
        <v>1613</v>
      </c>
      <c r="O94" s="16"/>
      <c r="P94" s="16" t="str">
        <f aca="false">IF(AND(L94&lt;=$D$2,M94&gt;=$C$2),"Sí","")</f>
        <v/>
      </c>
      <c r="Q94" s="18" t="str">
        <f aca="false">IF(COUNTIF(LOOKAHEAD!$A$5:$A$604,A94)&gt;0,"En Lookahead",IF(P94="Sí","INCORPORAR",""))</f>
        <v/>
      </c>
    </row>
    <row r="95" customFormat="false" ht="15" hidden="false" customHeight="false" outlineLevel="0" collapsed="false">
      <c r="A95" s="13" t="s">
        <v>1614</v>
      </c>
      <c r="B95" s="13" t="n">
        <v>90</v>
      </c>
      <c r="C95" s="13" t="s">
        <v>1615</v>
      </c>
      <c r="D95" s="13" t="n">
        <v>6</v>
      </c>
      <c r="E95" s="36" t="s">
        <v>1616</v>
      </c>
      <c r="F95" s="13" t="s">
        <v>1298</v>
      </c>
      <c r="G95" s="13" t="s">
        <v>322</v>
      </c>
      <c r="H95" s="13" t="s">
        <v>1531</v>
      </c>
      <c r="I95" s="13" t="s">
        <v>62</v>
      </c>
      <c r="J95" s="13" t="s">
        <v>1571</v>
      </c>
      <c r="K95" s="30" t="n">
        <v>4</v>
      </c>
      <c r="L95" s="31" t="n">
        <v>45935</v>
      </c>
      <c r="M95" s="31" t="n">
        <v>45938</v>
      </c>
      <c r="N95" s="13"/>
      <c r="O95" s="13"/>
      <c r="P95" s="13"/>
      <c r="Q95" s="13"/>
    </row>
    <row r="96" customFormat="false" ht="15" hidden="false" customHeight="false" outlineLevel="0" collapsed="false">
      <c r="A96" s="16" t="s">
        <v>1617</v>
      </c>
      <c r="B96" s="16" t="n">
        <v>91</v>
      </c>
      <c r="C96" s="16" t="s">
        <v>1618</v>
      </c>
      <c r="D96" s="16" t="n">
        <v>7</v>
      </c>
      <c r="E96" s="37" t="s">
        <v>1619</v>
      </c>
      <c r="F96" s="16" t="s">
        <v>1285</v>
      </c>
      <c r="G96" s="16" t="s">
        <v>322</v>
      </c>
      <c r="H96" s="16" t="s">
        <v>1531</v>
      </c>
      <c r="I96" s="16" t="s">
        <v>62</v>
      </c>
      <c r="J96" s="16" t="s">
        <v>1616</v>
      </c>
      <c r="K96" s="32" t="n">
        <v>4</v>
      </c>
      <c r="L96" s="33" t="n">
        <v>45935</v>
      </c>
      <c r="M96" s="33" t="n">
        <v>45938</v>
      </c>
      <c r="N96" s="16" t="s">
        <v>1620</v>
      </c>
      <c r="O96" s="16"/>
      <c r="P96" s="16" t="str">
        <f aca="false">IF(AND(L96&lt;=$D$2,M96&gt;=$C$2),"Sí","")</f>
        <v/>
      </c>
      <c r="Q96" s="18" t="str">
        <f aca="false">IF(COUNTIF(LOOKAHEAD!$A$5:$A$604,A96)&gt;0,"En Lookahead",IF(P96="Sí","INCORPORAR",""))</f>
        <v/>
      </c>
    </row>
    <row r="97" customFormat="false" ht="15" hidden="false" customHeight="false" outlineLevel="0" collapsed="false">
      <c r="A97" s="13" t="s">
        <v>1621</v>
      </c>
      <c r="B97" s="13" t="n">
        <v>92</v>
      </c>
      <c r="C97" s="13" t="s">
        <v>1622</v>
      </c>
      <c r="D97" s="13" t="n">
        <v>5</v>
      </c>
      <c r="E97" s="34" t="s">
        <v>1623</v>
      </c>
      <c r="F97" s="13" t="s">
        <v>1298</v>
      </c>
      <c r="G97" s="13" t="s">
        <v>322</v>
      </c>
      <c r="H97" s="13" t="s">
        <v>1531</v>
      </c>
      <c r="I97" s="13" t="s">
        <v>62</v>
      </c>
      <c r="J97" s="13" t="s">
        <v>1531</v>
      </c>
      <c r="K97" s="30" t="n">
        <v>275</v>
      </c>
      <c r="L97" s="31" t="n">
        <v>45928</v>
      </c>
      <c r="M97" s="31" t="n">
        <v>46282</v>
      </c>
      <c r="N97" s="13"/>
      <c r="O97" s="13"/>
      <c r="P97" s="13"/>
      <c r="Q97" s="13"/>
    </row>
    <row r="98" customFormat="false" ht="15" hidden="false" customHeight="false" outlineLevel="0" collapsed="false">
      <c r="A98" s="13" t="s">
        <v>1624</v>
      </c>
      <c r="B98" s="13" t="n">
        <v>93</v>
      </c>
      <c r="C98" s="13" t="s">
        <v>1625</v>
      </c>
      <c r="D98" s="13" t="n">
        <v>6</v>
      </c>
      <c r="E98" s="36" t="s">
        <v>1626</v>
      </c>
      <c r="F98" s="13" t="s">
        <v>1298</v>
      </c>
      <c r="G98" s="13" t="s">
        <v>322</v>
      </c>
      <c r="H98" s="13" t="s">
        <v>1531</v>
      </c>
      <c r="I98" s="13" t="s">
        <v>62</v>
      </c>
      <c r="J98" s="13" t="s">
        <v>1623</v>
      </c>
      <c r="K98" s="30" t="n">
        <v>17</v>
      </c>
      <c r="L98" s="31" t="n">
        <v>45928</v>
      </c>
      <c r="M98" s="31" t="n">
        <v>45944</v>
      </c>
      <c r="N98" s="13"/>
      <c r="O98" s="13"/>
      <c r="P98" s="13"/>
      <c r="Q98" s="13"/>
    </row>
    <row r="99" customFormat="false" ht="15" hidden="false" customHeight="false" outlineLevel="0" collapsed="false">
      <c r="A99" s="16" t="s">
        <v>1627</v>
      </c>
      <c r="B99" s="16" t="n">
        <v>94</v>
      </c>
      <c r="C99" s="16" t="s">
        <v>1628</v>
      </c>
      <c r="D99" s="16" t="n">
        <v>7</v>
      </c>
      <c r="E99" s="37" t="s">
        <v>1629</v>
      </c>
      <c r="F99" s="16" t="s">
        <v>1285</v>
      </c>
      <c r="G99" s="16" t="s">
        <v>322</v>
      </c>
      <c r="H99" s="16" t="s">
        <v>1531</v>
      </c>
      <c r="I99" s="16" t="s">
        <v>62</v>
      </c>
      <c r="J99" s="16" t="s">
        <v>1626</v>
      </c>
      <c r="K99" s="32" t="n">
        <v>2</v>
      </c>
      <c r="L99" s="33" t="n">
        <v>45941</v>
      </c>
      <c r="M99" s="33" t="n">
        <v>45942</v>
      </c>
      <c r="N99" s="16" t="s">
        <v>1630</v>
      </c>
      <c r="O99" s="16"/>
      <c r="P99" s="16" t="str">
        <f aca="false">IF(AND(L99&lt;=$D$2,M99&gt;=$C$2),"Sí","")</f>
        <v/>
      </c>
      <c r="Q99" s="18" t="str">
        <f aca="false">IF(COUNTIF(LOOKAHEAD!$A$5:$A$604,A99)&gt;0,"En Lookahead",IF(P99="Sí","INCORPORAR",""))</f>
        <v/>
      </c>
    </row>
    <row r="100" customFormat="false" ht="15" hidden="false" customHeight="false" outlineLevel="0" collapsed="false">
      <c r="A100" s="16" t="s">
        <v>1631</v>
      </c>
      <c r="B100" s="16" t="n">
        <v>95</v>
      </c>
      <c r="C100" s="16" t="s">
        <v>1632</v>
      </c>
      <c r="D100" s="16" t="n">
        <v>7</v>
      </c>
      <c r="E100" s="37" t="s">
        <v>1633</v>
      </c>
      <c r="F100" s="16" t="s">
        <v>1285</v>
      </c>
      <c r="G100" s="16" t="s">
        <v>322</v>
      </c>
      <c r="H100" s="16" t="s">
        <v>1531</v>
      </c>
      <c r="I100" s="16" t="s">
        <v>62</v>
      </c>
      <c r="J100" s="16" t="s">
        <v>1626</v>
      </c>
      <c r="K100" s="32" t="n">
        <v>6</v>
      </c>
      <c r="L100" s="33" t="n">
        <v>45935</v>
      </c>
      <c r="M100" s="33" t="n">
        <v>45940</v>
      </c>
      <c r="N100" s="16" t="s">
        <v>1634</v>
      </c>
      <c r="O100" s="16"/>
      <c r="P100" s="16" t="str">
        <f aca="false">IF(AND(L100&lt;=$D$2,M100&gt;=$C$2),"Sí","")</f>
        <v/>
      </c>
      <c r="Q100" s="18" t="str">
        <f aca="false">IF(COUNTIF(LOOKAHEAD!$A$5:$A$604,A100)&gt;0,"En Lookahead",IF(P100="Sí","INCORPORAR",""))</f>
        <v/>
      </c>
    </row>
    <row r="101" customFormat="false" ht="15" hidden="false" customHeight="false" outlineLevel="0" collapsed="false">
      <c r="A101" s="16" t="s">
        <v>1635</v>
      </c>
      <c r="B101" s="16" t="n">
        <v>96</v>
      </c>
      <c r="C101" s="16" t="s">
        <v>1636</v>
      </c>
      <c r="D101" s="16" t="n">
        <v>7</v>
      </c>
      <c r="E101" s="37" t="s">
        <v>1637</v>
      </c>
      <c r="F101" s="16" t="s">
        <v>1285</v>
      </c>
      <c r="G101" s="16" t="s">
        <v>322</v>
      </c>
      <c r="H101" s="16" t="s">
        <v>1531</v>
      </c>
      <c r="I101" s="16" t="s">
        <v>62</v>
      </c>
      <c r="J101" s="16" t="s">
        <v>1626</v>
      </c>
      <c r="K101" s="32" t="n">
        <v>7</v>
      </c>
      <c r="L101" s="33" t="n">
        <v>45928</v>
      </c>
      <c r="M101" s="33" t="n">
        <v>45934</v>
      </c>
      <c r="N101" s="16" t="s">
        <v>1638</v>
      </c>
      <c r="O101" s="16"/>
      <c r="P101" s="16" t="str">
        <f aca="false">IF(AND(L101&lt;=$D$2,M101&gt;=$C$2),"Sí","")</f>
        <v/>
      </c>
      <c r="Q101" s="18" t="str">
        <f aca="false">IF(COUNTIF(LOOKAHEAD!$A$5:$A$604,A101)&gt;0,"En Lookahead",IF(P101="Sí","INCORPORAR",""))</f>
        <v/>
      </c>
    </row>
    <row r="102" customFormat="false" ht="15" hidden="false" customHeight="false" outlineLevel="0" collapsed="false">
      <c r="A102" s="16" t="s">
        <v>1639</v>
      </c>
      <c r="B102" s="16" t="n">
        <v>97</v>
      </c>
      <c r="C102" s="16" t="s">
        <v>1640</v>
      </c>
      <c r="D102" s="16" t="n">
        <v>7</v>
      </c>
      <c r="E102" s="37" t="s">
        <v>1602</v>
      </c>
      <c r="F102" s="16" t="s">
        <v>1285</v>
      </c>
      <c r="G102" s="16" t="s">
        <v>322</v>
      </c>
      <c r="H102" s="16" t="s">
        <v>1531</v>
      </c>
      <c r="I102" s="16" t="s">
        <v>62</v>
      </c>
      <c r="J102" s="16" t="s">
        <v>1626</v>
      </c>
      <c r="K102" s="32" t="n">
        <v>2</v>
      </c>
      <c r="L102" s="33" t="n">
        <v>45943</v>
      </c>
      <c r="M102" s="33" t="n">
        <v>45944</v>
      </c>
      <c r="N102" s="16" t="s">
        <v>1641</v>
      </c>
      <c r="O102" s="16"/>
      <c r="P102" s="16" t="str">
        <f aca="false">IF(AND(L102&lt;=$D$2,M102&gt;=$C$2),"Sí","")</f>
        <v/>
      </c>
      <c r="Q102" s="18" t="str">
        <f aca="false">IF(COUNTIF(LOOKAHEAD!$A$5:$A$604,A102)&gt;0,"En Lookahead",IF(P102="Sí","INCORPORAR",""))</f>
        <v/>
      </c>
    </row>
    <row r="103" customFormat="false" ht="15" hidden="false" customHeight="false" outlineLevel="0" collapsed="false">
      <c r="A103" s="13" t="s">
        <v>1642</v>
      </c>
      <c r="B103" s="13" t="n">
        <v>98</v>
      </c>
      <c r="C103" s="13" t="s">
        <v>1643</v>
      </c>
      <c r="D103" s="13" t="n">
        <v>6</v>
      </c>
      <c r="E103" s="36" t="s">
        <v>1644</v>
      </c>
      <c r="F103" s="13" t="s">
        <v>1298</v>
      </c>
      <c r="G103" s="13" t="s">
        <v>322</v>
      </c>
      <c r="H103" s="13" t="s">
        <v>1531</v>
      </c>
      <c r="I103" s="13" t="s">
        <v>62</v>
      </c>
      <c r="J103" s="13" t="s">
        <v>1623</v>
      </c>
      <c r="K103" s="30" t="n">
        <v>25</v>
      </c>
      <c r="L103" s="31" t="n">
        <v>45943</v>
      </c>
      <c r="M103" s="31" t="n">
        <v>45967</v>
      </c>
      <c r="N103" s="13"/>
      <c r="O103" s="13"/>
      <c r="P103" s="13"/>
      <c r="Q103" s="13"/>
    </row>
    <row r="104" customFormat="false" ht="15" hidden="false" customHeight="false" outlineLevel="0" collapsed="false">
      <c r="A104" s="16" t="s">
        <v>1645</v>
      </c>
      <c r="B104" s="16" t="n">
        <v>99</v>
      </c>
      <c r="C104" s="16" t="s">
        <v>1646</v>
      </c>
      <c r="D104" s="16" t="n">
        <v>7</v>
      </c>
      <c r="E104" s="37" t="s">
        <v>1647</v>
      </c>
      <c r="F104" s="16" t="s">
        <v>1285</v>
      </c>
      <c r="G104" s="16" t="s">
        <v>322</v>
      </c>
      <c r="H104" s="16" t="s">
        <v>1531</v>
      </c>
      <c r="I104" s="16" t="s">
        <v>62</v>
      </c>
      <c r="J104" s="16" t="s">
        <v>1644</v>
      </c>
      <c r="K104" s="32" t="n">
        <v>1</v>
      </c>
      <c r="L104" s="33" t="n">
        <v>45964</v>
      </c>
      <c r="M104" s="33" t="n">
        <v>45964</v>
      </c>
      <c r="N104" s="16" t="s">
        <v>1648</v>
      </c>
      <c r="O104" s="16"/>
      <c r="P104" s="16" t="str">
        <f aca="false">IF(AND(L104&lt;=$D$2,M104&gt;=$C$2),"Sí","")</f>
        <v/>
      </c>
      <c r="Q104" s="18" t="str">
        <f aca="false">IF(COUNTIF(LOOKAHEAD!$A$5:$A$604,A104)&gt;0,"En Lookahead",IF(P104="Sí","INCORPORAR",""))</f>
        <v/>
      </c>
    </row>
    <row r="105" customFormat="false" ht="15" hidden="false" customHeight="false" outlineLevel="0" collapsed="false">
      <c r="A105" s="16" t="s">
        <v>1649</v>
      </c>
      <c r="B105" s="16" t="n">
        <v>100</v>
      </c>
      <c r="C105" s="16" t="s">
        <v>1650</v>
      </c>
      <c r="D105" s="16" t="n">
        <v>7</v>
      </c>
      <c r="E105" s="37" t="s">
        <v>1651</v>
      </c>
      <c r="F105" s="16" t="s">
        <v>1285</v>
      </c>
      <c r="G105" s="16" t="s">
        <v>322</v>
      </c>
      <c r="H105" s="16" t="s">
        <v>1531</v>
      </c>
      <c r="I105" s="16" t="s">
        <v>62</v>
      </c>
      <c r="J105" s="16" t="s">
        <v>1644</v>
      </c>
      <c r="K105" s="32" t="n">
        <v>10</v>
      </c>
      <c r="L105" s="33" t="n">
        <v>45954</v>
      </c>
      <c r="M105" s="33" t="n">
        <v>45963</v>
      </c>
      <c r="N105" s="16" t="s">
        <v>1652</v>
      </c>
      <c r="O105" s="16"/>
      <c r="P105" s="16" t="str">
        <f aca="false">IF(AND(L105&lt;=$D$2,M105&gt;=$C$2),"Sí","")</f>
        <v/>
      </c>
      <c r="Q105" s="18" t="str">
        <f aca="false">IF(COUNTIF(LOOKAHEAD!$A$5:$A$604,A105)&gt;0,"En Lookahead",IF(P105="Sí","INCORPORAR",""))</f>
        <v/>
      </c>
    </row>
    <row r="106" customFormat="false" ht="15" hidden="false" customHeight="false" outlineLevel="0" collapsed="false">
      <c r="A106" s="16" t="s">
        <v>1653</v>
      </c>
      <c r="B106" s="16" t="n">
        <v>101</v>
      </c>
      <c r="C106" s="16" t="s">
        <v>1654</v>
      </c>
      <c r="D106" s="16" t="n">
        <v>7</v>
      </c>
      <c r="E106" s="37" t="s">
        <v>1637</v>
      </c>
      <c r="F106" s="16" t="s">
        <v>1285</v>
      </c>
      <c r="G106" s="16" t="s">
        <v>322</v>
      </c>
      <c r="H106" s="16" t="s">
        <v>1531</v>
      </c>
      <c r="I106" s="16" t="s">
        <v>62</v>
      </c>
      <c r="J106" s="16" t="s">
        <v>1644</v>
      </c>
      <c r="K106" s="32" t="n">
        <v>11</v>
      </c>
      <c r="L106" s="33" t="n">
        <v>45943</v>
      </c>
      <c r="M106" s="33" t="n">
        <v>45953</v>
      </c>
      <c r="N106" s="16" t="s">
        <v>1641</v>
      </c>
      <c r="O106" s="16"/>
      <c r="P106" s="16" t="str">
        <f aca="false">IF(AND(L106&lt;=$D$2,M106&gt;=$C$2),"Sí","")</f>
        <v/>
      </c>
      <c r="Q106" s="18" t="str">
        <f aca="false">IF(COUNTIF(LOOKAHEAD!$A$5:$A$604,A106)&gt;0,"En Lookahead",IF(P106="Sí","INCORPORAR",""))</f>
        <v/>
      </c>
    </row>
    <row r="107" customFormat="false" ht="15" hidden="false" customHeight="false" outlineLevel="0" collapsed="false">
      <c r="A107" s="16" t="s">
        <v>1655</v>
      </c>
      <c r="B107" s="16" t="n">
        <v>102</v>
      </c>
      <c r="C107" s="16" t="s">
        <v>1656</v>
      </c>
      <c r="D107" s="16" t="n">
        <v>7</v>
      </c>
      <c r="E107" s="37" t="s">
        <v>1602</v>
      </c>
      <c r="F107" s="16" t="s">
        <v>1285</v>
      </c>
      <c r="G107" s="16" t="s">
        <v>322</v>
      </c>
      <c r="H107" s="16" t="s">
        <v>1531</v>
      </c>
      <c r="I107" s="16" t="s">
        <v>62</v>
      </c>
      <c r="J107" s="16" t="s">
        <v>1644</v>
      </c>
      <c r="K107" s="32" t="n">
        <v>3</v>
      </c>
      <c r="L107" s="33" t="n">
        <v>45965</v>
      </c>
      <c r="M107" s="33" t="n">
        <v>45967</v>
      </c>
      <c r="N107" s="16" t="s">
        <v>1657</v>
      </c>
      <c r="O107" s="16"/>
      <c r="P107" s="16" t="str">
        <f aca="false">IF(AND(L107&lt;=$D$2,M107&gt;=$C$2),"Sí","")</f>
        <v/>
      </c>
      <c r="Q107" s="18" t="str">
        <f aca="false">IF(COUNTIF(LOOKAHEAD!$A$5:$A$604,A107)&gt;0,"En Lookahead",IF(P107="Sí","INCORPORAR",""))</f>
        <v/>
      </c>
    </row>
    <row r="108" customFormat="false" ht="15" hidden="false" customHeight="false" outlineLevel="0" collapsed="false">
      <c r="A108" s="13" t="s">
        <v>1658</v>
      </c>
      <c r="B108" s="13" t="n">
        <v>103</v>
      </c>
      <c r="C108" s="13" t="s">
        <v>1659</v>
      </c>
      <c r="D108" s="13" t="n">
        <v>6</v>
      </c>
      <c r="E108" s="36" t="s">
        <v>1660</v>
      </c>
      <c r="F108" s="13" t="s">
        <v>1298</v>
      </c>
      <c r="G108" s="13" t="s">
        <v>322</v>
      </c>
      <c r="H108" s="13" t="s">
        <v>1531</v>
      </c>
      <c r="I108" s="13" t="s">
        <v>62</v>
      </c>
      <c r="J108" s="13" t="s">
        <v>1623</v>
      </c>
      <c r="K108" s="30" t="n">
        <v>254</v>
      </c>
      <c r="L108" s="31" t="n">
        <v>45945</v>
      </c>
      <c r="M108" s="31" t="n">
        <v>46278</v>
      </c>
      <c r="N108" s="13"/>
      <c r="O108" s="13"/>
      <c r="P108" s="13"/>
      <c r="Q108" s="13"/>
    </row>
    <row r="109" customFormat="false" ht="15" hidden="false" customHeight="false" outlineLevel="0" collapsed="false">
      <c r="A109" s="13" t="s">
        <v>1661</v>
      </c>
      <c r="B109" s="13" t="n">
        <v>104</v>
      </c>
      <c r="C109" s="13" t="s">
        <v>1662</v>
      </c>
      <c r="D109" s="13" t="n">
        <v>7</v>
      </c>
      <c r="E109" s="38" t="s">
        <v>1663</v>
      </c>
      <c r="F109" s="13" t="s">
        <v>1298</v>
      </c>
      <c r="G109" s="13" t="s">
        <v>322</v>
      </c>
      <c r="H109" s="13" t="s">
        <v>1531</v>
      </c>
      <c r="I109" s="13" t="s">
        <v>62</v>
      </c>
      <c r="J109" s="13" t="s">
        <v>1660</v>
      </c>
      <c r="K109" s="30" t="n">
        <v>25</v>
      </c>
      <c r="L109" s="31" t="n">
        <v>45945</v>
      </c>
      <c r="M109" s="31" t="n">
        <v>45969</v>
      </c>
      <c r="N109" s="13"/>
      <c r="O109" s="13"/>
      <c r="P109" s="13"/>
      <c r="Q109" s="13"/>
    </row>
    <row r="110" customFormat="false" ht="15" hidden="false" customHeight="false" outlineLevel="0" collapsed="false">
      <c r="A110" s="16" t="s">
        <v>1664</v>
      </c>
      <c r="B110" s="16" t="n">
        <v>105</v>
      </c>
      <c r="C110" s="16" t="s">
        <v>1665</v>
      </c>
      <c r="D110" s="16" t="n">
        <v>8</v>
      </c>
      <c r="E110" s="39" t="s">
        <v>1666</v>
      </c>
      <c r="F110" s="16" t="s">
        <v>1285</v>
      </c>
      <c r="G110" s="16" t="s">
        <v>322</v>
      </c>
      <c r="H110" s="16" t="s">
        <v>1531</v>
      </c>
      <c r="I110" s="16" t="s">
        <v>62</v>
      </c>
      <c r="J110" s="16" t="s">
        <v>1663</v>
      </c>
      <c r="K110" s="32" t="n">
        <v>1</v>
      </c>
      <c r="L110" s="33" t="n">
        <v>45967</v>
      </c>
      <c r="M110" s="33" t="n">
        <v>45967</v>
      </c>
      <c r="N110" s="16" t="s">
        <v>1667</v>
      </c>
      <c r="O110" s="16"/>
      <c r="P110" s="16" t="str">
        <f aca="false">IF(AND(L110&lt;=$D$2,M110&gt;=$C$2),"Sí","")</f>
        <v/>
      </c>
      <c r="Q110" s="18" t="str">
        <f aca="false">IF(COUNTIF(LOOKAHEAD!$A$5:$A$604,A110)&gt;0,"En Lookahead",IF(P110="Sí","INCORPORAR",""))</f>
        <v/>
      </c>
    </row>
    <row r="111" customFormat="false" ht="15" hidden="false" customHeight="false" outlineLevel="0" collapsed="false">
      <c r="A111" s="16" t="s">
        <v>1668</v>
      </c>
      <c r="B111" s="16" t="n">
        <v>106</v>
      </c>
      <c r="C111" s="16" t="s">
        <v>1669</v>
      </c>
      <c r="D111" s="16" t="n">
        <v>8</v>
      </c>
      <c r="E111" s="39" t="s">
        <v>1670</v>
      </c>
      <c r="F111" s="16" t="s">
        <v>1285</v>
      </c>
      <c r="G111" s="16" t="s">
        <v>322</v>
      </c>
      <c r="H111" s="16" t="s">
        <v>1531</v>
      </c>
      <c r="I111" s="16" t="s">
        <v>62</v>
      </c>
      <c r="J111" s="16" t="s">
        <v>1663</v>
      </c>
      <c r="K111" s="32" t="n">
        <v>12</v>
      </c>
      <c r="L111" s="33" t="n">
        <v>45955</v>
      </c>
      <c r="M111" s="33" t="n">
        <v>45966</v>
      </c>
      <c r="N111" s="16" t="s">
        <v>1671</v>
      </c>
      <c r="O111" s="16"/>
      <c r="P111" s="16" t="str">
        <f aca="false">IF(AND(L111&lt;=$D$2,M111&gt;=$C$2),"Sí","")</f>
        <v/>
      </c>
      <c r="Q111" s="18" t="str">
        <f aca="false">IF(COUNTIF(LOOKAHEAD!$A$5:$A$604,A111)&gt;0,"En Lookahead",IF(P111="Sí","INCORPORAR",""))</f>
        <v/>
      </c>
    </row>
    <row r="112" customFormat="false" ht="15" hidden="false" customHeight="false" outlineLevel="0" collapsed="false">
      <c r="A112" s="16" t="s">
        <v>1672</v>
      </c>
      <c r="B112" s="16" t="n">
        <v>107</v>
      </c>
      <c r="C112" s="16" t="s">
        <v>1673</v>
      </c>
      <c r="D112" s="16" t="n">
        <v>8</v>
      </c>
      <c r="E112" s="39" t="s">
        <v>1674</v>
      </c>
      <c r="F112" s="16" t="s">
        <v>1285</v>
      </c>
      <c r="G112" s="16" t="s">
        <v>322</v>
      </c>
      <c r="H112" s="16" t="s">
        <v>1531</v>
      </c>
      <c r="I112" s="16" t="s">
        <v>62</v>
      </c>
      <c r="J112" s="16" t="s">
        <v>1663</v>
      </c>
      <c r="K112" s="32" t="n">
        <v>10</v>
      </c>
      <c r="L112" s="33" t="n">
        <v>45945</v>
      </c>
      <c r="M112" s="33" t="n">
        <v>45954</v>
      </c>
      <c r="N112" s="16" t="s">
        <v>1589</v>
      </c>
      <c r="O112" s="16"/>
      <c r="P112" s="16" t="str">
        <f aca="false">IF(AND(L112&lt;=$D$2,M112&gt;=$C$2),"Sí","")</f>
        <v/>
      </c>
      <c r="Q112" s="18" t="str">
        <f aca="false">IF(COUNTIF(LOOKAHEAD!$A$5:$A$604,A112)&gt;0,"En Lookahead",IF(P112="Sí","INCORPORAR",""))</f>
        <v/>
      </c>
    </row>
    <row r="113" customFormat="false" ht="15" hidden="false" customHeight="false" outlineLevel="0" collapsed="false">
      <c r="A113" s="16" t="s">
        <v>1675</v>
      </c>
      <c r="B113" s="16" t="n">
        <v>108</v>
      </c>
      <c r="C113" s="16" t="s">
        <v>1676</v>
      </c>
      <c r="D113" s="16" t="n">
        <v>8</v>
      </c>
      <c r="E113" s="39" t="s">
        <v>1677</v>
      </c>
      <c r="F113" s="16" t="s">
        <v>1285</v>
      </c>
      <c r="G113" s="16" t="s">
        <v>322</v>
      </c>
      <c r="H113" s="16" t="s">
        <v>1531</v>
      </c>
      <c r="I113" s="16" t="s">
        <v>62</v>
      </c>
      <c r="J113" s="16" t="s">
        <v>1663</v>
      </c>
      <c r="K113" s="32" t="n">
        <v>2</v>
      </c>
      <c r="L113" s="33" t="n">
        <v>45968</v>
      </c>
      <c r="M113" s="33" t="n">
        <v>45969</v>
      </c>
      <c r="N113" s="16" t="s">
        <v>1678</v>
      </c>
      <c r="O113" s="16"/>
      <c r="P113" s="16" t="str">
        <f aca="false">IF(AND(L113&lt;=$D$2,M113&gt;=$C$2),"Sí","")</f>
        <v/>
      </c>
      <c r="Q113" s="18" t="str">
        <f aca="false">IF(COUNTIF(LOOKAHEAD!$A$5:$A$604,A113)&gt;0,"En Lookahead",IF(P113="Sí","INCORPORAR",""))</f>
        <v/>
      </c>
    </row>
    <row r="114" customFormat="false" ht="15" hidden="false" customHeight="false" outlineLevel="0" collapsed="false">
      <c r="A114" s="13" t="s">
        <v>1679</v>
      </c>
      <c r="B114" s="13" t="n">
        <v>109</v>
      </c>
      <c r="C114" s="13" t="s">
        <v>1680</v>
      </c>
      <c r="D114" s="13" t="n">
        <v>7</v>
      </c>
      <c r="E114" s="38" t="s">
        <v>1681</v>
      </c>
      <c r="F114" s="13" t="s">
        <v>1298</v>
      </c>
      <c r="G114" s="13" t="s">
        <v>322</v>
      </c>
      <c r="H114" s="13" t="s">
        <v>1531</v>
      </c>
      <c r="I114" s="13" t="s">
        <v>62</v>
      </c>
      <c r="J114" s="13" t="s">
        <v>1660</v>
      </c>
      <c r="K114" s="30" t="n">
        <v>18</v>
      </c>
      <c r="L114" s="31" t="n">
        <v>46047</v>
      </c>
      <c r="M114" s="31" t="n">
        <v>46064</v>
      </c>
      <c r="N114" s="13"/>
      <c r="O114" s="13"/>
      <c r="P114" s="13"/>
      <c r="Q114" s="13"/>
    </row>
    <row r="115" customFormat="false" ht="15" hidden="false" customHeight="false" outlineLevel="0" collapsed="false">
      <c r="A115" s="16" t="s">
        <v>1682</v>
      </c>
      <c r="B115" s="16" t="n">
        <v>110</v>
      </c>
      <c r="C115" s="16" t="s">
        <v>1683</v>
      </c>
      <c r="D115" s="16" t="n">
        <v>8</v>
      </c>
      <c r="E115" s="39" t="s">
        <v>1684</v>
      </c>
      <c r="F115" s="16" t="s">
        <v>1285</v>
      </c>
      <c r="G115" s="16" t="s">
        <v>322</v>
      </c>
      <c r="H115" s="16" t="s">
        <v>1531</v>
      </c>
      <c r="I115" s="16" t="s">
        <v>62</v>
      </c>
      <c r="J115" s="16" t="s">
        <v>1681</v>
      </c>
      <c r="K115" s="32" t="n">
        <v>1</v>
      </c>
      <c r="L115" s="33" t="n">
        <v>46063</v>
      </c>
      <c r="M115" s="33" t="n">
        <v>46063</v>
      </c>
      <c r="N115" s="16" t="s">
        <v>1685</v>
      </c>
      <c r="O115" s="16"/>
      <c r="P115" s="16" t="str">
        <f aca="false">IF(AND(L115&lt;=$D$2,M115&gt;=$C$2),"Sí","")</f>
        <v/>
      </c>
      <c r="Q115" s="18" t="str">
        <f aca="false">IF(COUNTIF(LOOKAHEAD!$A$5:$A$604,A115)&gt;0,"En Lookahead",IF(P115="Sí","INCORPORAR",""))</f>
        <v/>
      </c>
    </row>
    <row r="116" customFormat="false" ht="15" hidden="false" customHeight="false" outlineLevel="0" collapsed="false">
      <c r="A116" s="16" t="s">
        <v>1686</v>
      </c>
      <c r="B116" s="16" t="n">
        <v>111</v>
      </c>
      <c r="C116" s="16" t="s">
        <v>1687</v>
      </c>
      <c r="D116" s="16" t="n">
        <v>8</v>
      </c>
      <c r="E116" s="39" t="s">
        <v>1688</v>
      </c>
      <c r="F116" s="16" t="s">
        <v>1285</v>
      </c>
      <c r="G116" s="16" t="s">
        <v>322</v>
      </c>
      <c r="H116" s="16" t="s">
        <v>1531</v>
      </c>
      <c r="I116" s="16" t="s">
        <v>62</v>
      </c>
      <c r="J116" s="16" t="s">
        <v>1681</v>
      </c>
      <c r="K116" s="32" t="n">
        <v>9</v>
      </c>
      <c r="L116" s="33" t="n">
        <v>46054</v>
      </c>
      <c r="M116" s="33" t="n">
        <v>46062</v>
      </c>
      <c r="N116" s="16" t="s">
        <v>1689</v>
      </c>
      <c r="O116" s="16"/>
      <c r="P116" s="16" t="str">
        <f aca="false">IF(AND(L116&lt;=$D$2,M116&gt;=$C$2),"Sí","")</f>
        <v/>
      </c>
      <c r="Q116" s="18" t="str">
        <f aca="false">IF(COUNTIF(LOOKAHEAD!$A$5:$A$604,A116)&gt;0,"En Lookahead",IF(P116="Sí","INCORPORAR",""))</f>
        <v/>
      </c>
    </row>
    <row r="117" customFormat="false" ht="15" hidden="false" customHeight="false" outlineLevel="0" collapsed="false">
      <c r="A117" s="16" t="s">
        <v>1690</v>
      </c>
      <c r="B117" s="16" t="n">
        <v>112</v>
      </c>
      <c r="C117" s="16" t="s">
        <v>1691</v>
      </c>
      <c r="D117" s="16" t="n">
        <v>8</v>
      </c>
      <c r="E117" s="39" t="s">
        <v>1674</v>
      </c>
      <c r="F117" s="16" t="s">
        <v>1285</v>
      </c>
      <c r="G117" s="16" t="s">
        <v>322</v>
      </c>
      <c r="H117" s="16" t="s">
        <v>1531</v>
      </c>
      <c r="I117" s="16" t="s">
        <v>62</v>
      </c>
      <c r="J117" s="16" t="s">
        <v>1681</v>
      </c>
      <c r="K117" s="32" t="n">
        <v>7</v>
      </c>
      <c r="L117" s="33" t="n">
        <v>46047</v>
      </c>
      <c r="M117" s="33" t="n">
        <v>46053</v>
      </c>
      <c r="N117" s="16" t="s">
        <v>1692</v>
      </c>
      <c r="O117" s="16"/>
      <c r="P117" s="16" t="str">
        <f aca="false">IF(AND(L117&lt;=$D$2,M117&gt;=$C$2),"Sí","")</f>
        <v/>
      </c>
      <c r="Q117" s="18" t="str">
        <f aca="false">IF(COUNTIF(LOOKAHEAD!$A$5:$A$604,A117)&gt;0,"En Lookahead",IF(P117="Sí","INCORPORAR",""))</f>
        <v/>
      </c>
    </row>
    <row r="118" customFormat="false" ht="15" hidden="false" customHeight="false" outlineLevel="0" collapsed="false">
      <c r="A118" s="16" t="s">
        <v>1693</v>
      </c>
      <c r="B118" s="16" t="n">
        <v>113</v>
      </c>
      <c r="C118" s="16" t="s">
        <v>1694</v>
      </c>
      <c r="D118" s="16" t="n">
        <v>8</v>
      </c>
      <c r="E118" s="39" t="s">
        <v>1677</v>
      </c>
      <c r="F118" s="16" t="s">
        <v>1285</v>
      </c>
      <c r="G118" s="16" t="s">
        <v>322</v>
      </c>
      <c r="H118" s="16" t="s">
        <v>1531</v>
      </c>
      <c r="I118" s="16" t="s">
        <v>62</v>
      </c>
      <c r="J118" s="16" t="s">
        <v>1681</v>
      </c>
      <c r="K118" s="32" t="n">
        <v>1</v>
      </c>
      <c r="L118" s="33" t="n">
        <v>46064</v>
      </c>
      <c r="M118" s="33" t="n">
        <v>46064</v>
      </c>
      <c r="N118" s="16" t="s">
        <v>1695</v>
      </c>
      <c r="O118" s="16"/>
      <c r="P118" s="16" t="str">
        <f aca="false">IF(AND(L118&lt;=$D$2,M118&gt;=$C$2),"Sí","")</f>
        <v/>
      </c>
      <c r="Q118" s="18" t="str">
        <f aca="false">IF(COUNTIF(LOOKAHEAD!$A$5:$A$604,A118)&gt;0,"En Lookahead",IF(P118="Sí","INCORPORAR",""))</f>
        <v/>
      </c>
    </row>
    <row r="119" customFormat="false" ht="15" hidden="false" customHeight="false" outlineLevel="0" collapsed="false">
      <c r="A119" s="13" t="s">
        <v>1696</v>
      </c>
      <c r="B119" s="13" t="n">
        <v>114</v>
      </c>
      <c r="C119" s="13" t="s">
        <v>1697</v>
      </c>
      <c r="D119" s="13" t="n">
        <v>7</v>
      </c>
      <c r="E119" s="38" t="s">
        <v>1698</v>
      </c>
      <c r="F119" s="13" t="s">
        <v>1298</v>
      </c>
      <c r="G119" s="13" t="s">
        <v>322</v>
      </c>
      <c r="H119" s="13" t="s">
        <v>1531</v>
      </c>
      <c r="I119" s="13" t="s">
        <v>62</v>
      </c>
      <c r="J119" s="13" t="s">
        <v>1660</v>
      </c>
      <c r="K119" s="30" t="n">
        <v>18</v>
      </c>
      <c r="L119" s="31" t="n">
        <v>46121</v>
      </c>
      <c r="M119" s="31" t="n">
        <v>46138</v>
      </c>
      <c r="N119" s="13"/>
      <c r="O119" s="13"/>
      <c r="P119" s="13"/>
      <c r="Q119" s="13"/>
    </row>
    <row r="120" customFormat="false" ht="15" hidden="false" customHeight="false" outlineLevel="0" collapsed="false">
      <c r="A120" s="16" t="s">
        <v>1699</v>
      </c>
      <c r="B120" s="16" t="n">
        <v>115</v>
      </c>
      <c r="C120" s="16" t="s">
        <v>1700</v>
      </c>
      <c r="D120" s="16" t="n">
        <v>8</v>
      </c>
      <c r="E120" s="39" t="s">
        <v>1701</v>
      </c>
      <c r="F120" s="16" t="s">
        <v>1285</v>
      </c>
      <c r="G120" s="16" t="s">
        <v>322</v>
      </c>
      <c r="H120" s="16" t="s">
        <v>1531</v>
      </c>
      <c r="I120" s="16" t="s">
        <v>62</v>
      </c>
      <c r="J120" s="16" t="s">
        <v>1698</v>
      </c>
      <c r="K120" s="32" t="n">
        <v>1</v>
      </c>
      <c r="L120" s="33" t="n">
        <v>46137</v>
      </c>
      <c r="M120" s="33" t="n">
        <v>46137</v>
      </c>
      <c r="N120" s="16" t="s">
        <v>1702</v>
      </c>
      <c r="O120" s="16"/>
      <c r="P120" s="16" t="str">
        <f aca="false">IF(AND(L120&lt;=$D$2,M120&gt;=$C$2),"Sí","")</f>
        <v/>
      </c>
      <c r="Q120" s="18" t="str">
        <f aca="false">IF(COUNTIF(LOOKAHEAD!$A$5:$A$604,A120)&gt;0,"En Lookahead",IF(P120="Sí","INCORPORAR",""))</f>
        <v/>
      </c>
    </row>
    <row r="121" customFormat="false" ht="15" hidden="false" customHeight="false" outlineLevel="0" collapsed="false">
      <c r="A121" s="16" t="s">
        <v>1703</v>
      </c>
      <c r="B121" s="16" t="n">
        <v>116</v>
      </c>
      <c r="C121" s="16" t="s">
        <v>1704</v>
      </c>
      <c r="D121" s="16" t="n">
        <v>8</v>
      </c>
      <c r="E121" s="39" t="s">
        <v>1705</v>
      </c>
      <c r="F121" s="16" t="s">
        <v>1285</v>
      </c>
      <c r="G121" s="16" t="s">
        <v>322</v>
      </c>
      <c r="H121" s="16" t="s">
        <v>1531</v>
      </c>
      <c r="I121" s="16" t="s">
        <v>62</v>
      </c>
      <c r="J121" s="16" t="s">
        <v>1698</v>
      </c>
      <c r="K121" s="32" t="n">
        <v>9</v>
      </c>
      <c r="L121" s="33" t="n">
        <v>46128</v>
      </c>
      <c r="M121" s="33" t="n">
        <v>46136</v>
      </c>
      <c r="N121" s="16" t="s">
        <v>1706</v>
      </c>
      <c r="O121" s="16"/>
      <c r="P121" s="16" t="str">
        <f aca="false">IF(AND(L121&lt;=$D$2,M121&gt;=$C$2),"Sí","")</f>
        <v/>
      </c>
      <c r="Q121" s="18" t="str">
        <f aca="false">IF(COUNTIF(LOOKAHEAD!$A$5:$A$604,A121)&gt;0,"En Lookahead",IF(P121="Sí","INCORPORAR",""))</f>
        <v/>
      </c>
    </row>
    <row r="122" customFormat="false" ht="15" hidden="false" customHeight="false" outlineLevel="0" collapsed="false">
      <c r="A122" s="16" t="s">
        <v>1707</v>
      </c>
      <c r="B122" s="16" t="n">
        <v>117</v>
      </c>
      <c r="C122" s="16" t="s">
        <v>1708</v>
      </c>
      <c r="D122" s="16" t="n">
        <v>8</v>
      </c>
      <c r="E122" s="39" t="s">
        <v>1674</v>
      </c>
      <c r="F122" s="16" t="s">
        <v>1285</v>
      </c>
      <c r="G122" s="16" t="s">
        <v>322</v>
      </c>
      <c r="H122" s="16" t="s">
        <v>1531</v>
      </c>
      <c r="I122" s="16" t="s">
        <v>62</v>
      </c>
      <c r="J122" s="16" t="s">
        <v>1698</v>
      </c>
      <c r="K122" s="32" t="n">
        <v>7</v>
      </c>
      <c r="L122" s="33" t="n">
        <v>46121</v>
      </c>
      <c r="M122" s="33" t="n">
        <v>46127</v>
      </c>
      <c r="N122" s="16" t="s">
        <v>1709</v>
      </c>
      <c r="O122" s="16"/>
      <c r="P122" s="16" t="str">
        <f aca="false">IF(AND(L122&lt;=$D$2,M122&gt;=$C$2),"Sí","")</f>
        <v/>
      </c>
      <c r="Q122" s="18" t="str">
        <f aca="false">IF(COUNTIF(LOOKAHEAD!$A$5:$A$604,A122)&gt;0,"En Lookahead",IF(P122="Sí","INCORPORAR",""))</f>
        <v/>
      </c>
    </row>
    <row r="123" customFormat="false" ht="15" hidden="false" customHeight="false" outlineLevel="0" collapsed="false">
      <c r="A123" s="16" t="s">
        <v>1710</v>
      </c>
      <c r="B123" s="16" t="n">
        <v>118</v>
      </c>
      <c r="C123" s="16" t="s">
        <v>1711</v>
      </c>
      <c r="D123" s="16" t="n">
        <v>8</v>
      </c>
      <c r="E123" s="39" t="s">
        <v>1677</v>
      </c>
      <c r="F123" s="16" t="s">
        <v>1285</v>
      </c>
      <c r="G123" s="16" t="s">
        <v>322</v>
      </c>
      <c r="H123" s="16" t="s">
        <v>1531</v>
      </c>
      <c r="I123" s="16" t="s">
        <v>62</v>
      </c>
      <c r="J123" s="16" t="s">
        <v>1698</v>
      </c>
      <c r="K123" s="32" t="n">
        <v>1</v>
      </c>
      <c r="L123" s="33" t="n">
        <v>46138</v>
      </c>
      <c r="M123" s="33" t="n">
        <v>46138</v>
      </c>
      <c r="N123" s="16" t="s">
        <v>1712</v>
      </c>
      <c r="O123" s="16"/>
      <c r="P123" s="16" t="str">
        <f aca="false">IF(AND(L123&lt;=$D$2,M123&gt;=$C$2),"Sí","")</f>
        <v/>
      </c>
      <c r="Q123" s="18" t="str">
        <f aca="false">IF(COUNTIF(LOOKAHEAD!$A$5:$A$604,A123)&gt;0,"En Lookahead",IF(P123="Sí","INCORPORAR",""))</f>
        <v/>
      </c>
    </row>
    <row r="124" customFormat="false" ht="15" hidden="false" customHeight="false" outlineLevel="0" collapsed="false">
      <c r="A124" s="13" t="s">
        <v>1713</v>
      </c>
      <c r="B124" s="13" t="n">
        <v>119</v>
      </c>
      <c r="C124" s="13" t="s">
        <v>1714</v>
      </c>
      <c r="D124" s="13" t="n">
        <v>7</v>
      </c>
      <c r="E124" s="38" t="s">
        <v>1715</v>
      </c>
      <c r="F124" s="13" t="s">
        <v>1298</v>
      </c>
      <c r="G124" s="13" t="s">
        <v>322</v>
      </c>
      <c r="H124" s="13" t="s">
        <v>1531</v>
      </c>
      <c r="I124" s="13" t="s">
        <v>62</v>
      </c>
      <c r="J124" s="13" t="s">
        <v>1660</v>
      </c>
      <c r="K124" s="30" t="n">
        <v>4</v>
      </c>
      <c r="L124" s="31" t="n">
        <v>46275</v>
      </c>
      <c r="M124" s="31" t="n">
        <v>46278</v>
      </c>
      <c r="N124" s="13"/>
      <c r="O124" s="13"/>
      <c r="P124" s="13"/>
      <c r="Q124" s="13"/>
    </row>
    <row r="125" customFormat="false" ht="15" hidden="false" customHeight="false" outlineLevel="0" collapsed="false">
      <c r="A125" s="16" t="s">
        <v>1716</v>
      </c>
      <c r="B125" s="16" t="n">
        <v>120</v>
      </c>
      <c r="C125" s="16" t="s">
        <v>1717</v>
      </c>
      <c r="D125" s="16" t="n">
        <v>8</v>
      </c>
      <c r="E125" s="39" t="s">
        <v>1718</v>
      </c>
      <c r="F125" s="16" t="s">
        <v>1285</v>
      </c>
      <c r="G125" s="16" t="s">
        <v>322</v>
      </c>
      <c r="H125" s="16" t="s">
        <v>1531</v>
      </c>
      <c r="I125" s="16" t="s">
        <v>62</v>
      </c>
      <c r="J125" s="16" t="s">
        <v>1715</v>
      </c>
      <c r="K125" s="32" t="n">
        <v>1</v>
      </c>
      <c r="L125" s="33" t="n">
        <v>46277</v>
      </c>
      <c r="M125" s="33" t="n">
        <v>46277</v>
      </c>
      <c r="N125" s="16" t="s">
        <v>1719</v>
      </c>
      <c r="O125" s="16"/>
      <c r="P125" s="16" t="str">
        <f aca="false">IF(AND(L125&lt;=$D$2,M125&gt;=$C$2),"Sí","")</f>
        <v/>
      </c>
      <c r="Q125" s="18" t="str">
        <f aca="false">IF(COUNTIF(LOOKAHEAD!$A$5:$A$604,A125)&gt;0,"En Lookahead",IF(P125="Sí","INCORPORAR",""))</f>
        <v/>
      </c>
    </row>
    <row r="126" customFormat="false" ht="15" hidden="false" customHeight="false" outlineLevel="0" collapsed="false">
      <c r="A126" s="16" t="s">
        <v>1720</v>
      </c>
      <c r="B126" s="16" t="n">
        <v>121</v>
      </c>
      <c r="C126" s="16" t="s">
        <v>1721</v>
      </c>
      <c r="D126" s="16" t="n">
        <v>8</v>
      </c>
      <c r="E126" s="39" t="s">
        <v>1705</v>
      </c>
      <c r="F126" s="16" t="s">
        <v>1285</v>
      </c>
      <c r="G126" s="16" t="s">
        <v>322</v>
      </c>
      <c r="H126" s="16" t="s">
        <v>1531</v>
      </c>
      <c r="I126" s="16" t="s">
        <v>62</v>
      </c>
      <c r="J126" s="16" t="s">
        <v>1715</v>
      </c>
      <c r="K126" s="32" t="n">
        <v>1</v>
      </c>
      <c r="L126" s="33" t="n">
        <v>46276</v>
      </c>
      <c r="M126" s="33" t="n">
        <v>46276</v>
      </c>
      <c r="N126" s="16" t="s">
        <v>1722</v>
      </c>
      <c r="O126" s="16"/>
      <c r="P126" s="16" t="str">
        <f aca="false">IF(AND(L126&lt;=$D$2,M126&gt;=$C$2),"Sí","")</f>
        <v/>
      </c>
      <c r="Q126" s="18" t="str">
        <f aca="false">IF(COUNTIF(LOOKAHEAD!$A$5:$A$604,A126)&gt;0,"En Lookahead",IF(P126="Sí","INCORPORAR",""))</f>
        <v/>
      </c>
    </row>
    <row r="127" customFormat="false" ht="15" hidden="false" customHeight="false" outlineLevel="0" collapsed="false">
      <c r="A127" s="16" t="s">
        <v>1723</v>
      </c>
      <c r="B127" s="16" t="n">
        <v>122</v>
      </c>
      <c r="C127" s="16" t="s">
        <v>1724</v>
      </c>
      <c r="D127" s="16" t="n">
        <v>8</v>
      </c>
      <c r="E127" s="39" t="s">
        <v>1674</v>
      </c>
      <c r="F127" s="16" t="s">
        <v>1285</v>
      </c>
      <c r="G127" s="16" t="s">
        <v>322</v>
      </c>
      <c r="H127" s="16" t="s">
        <v>1531</v>
      </c>
      <c r="I127" s="16" t="s">
        <v>62</v>
      </c>
      <c r="J127" s="16" t="s">
        <v>1715</v>
      </c>
      <c r="K127" s="32" t="n">
        <v>1</v>
      </c>
      <c r="L127" s="33" t="n">
        <v>46275</v>
      </c>
      <c r="M127" s="33" t="n">
        <v>46275</v>
      </c>
      <c r="N127" s="16" t="s">
        <v>1725</v>
      </c>
      <c r="O127" s="16"/>
      <c r="P127" s="16" t="str">
        <f aca="false">IF(AND(L127&lt;=$D$2,M127&gt;=$C$2),"Sí","")</f>
        <v/>
      </c>
      <c r="Q127" s="18" t="str">
        <f aca="false">IF(COUNTIF(LOOKAHEAD!$A$5:$A$604,A127)&gt;0,"En Lookahead",IF(P127="Sí","INCORPORAR",""))</f>
        <v/>
      </c>
    </row>
    <row r="128" customFormat="false" ht="15" hidden="false" customHeight="false" outlineLevel="0" collapsed="false">
      <c r="A128" s="16" t="s">
        <v>1726</v>
      </c>
      <c r="B128" s="16" t="n">
        <v>123</v>
      </c>
      <c r="C128" s="16" t="s">
        <v>1727</v>
      </c>
      <c r="D128" s="16" t="n">
        <v>8</v>
      </c>
      <c r="E128" s="39" t="s">
        <v>1677</v>
      </c>
      <c r="F128" s="16" t="s">
        <v>1285</v>
      </c>
      <c r="G128" s="16" t="s">
        <v>322</v>
      </c>
      <c r="H128" s="16" t="s">
        <v>1531</v>
      </c>
      <c r="I128" s="16" t="s">
        <v>62</v>
      </c>
      <c r="J128" s="16" t="s">
        <v>1715</v>
      </c>
      <c r="K128" s="32" t="n">
        <v>1</v>
      </c>
      <c r="L128" s="33" t="n">
        <v>46278</v>
      </c>
      <c r="M128" s="33" t="n">
        <v>46278</v>
      </c>
      <c r="N128" s="16" t="s">
        <v>1728</v>
      </c>
      <c r="O128" s="16"/>
      <c r="P128" s="16" t="str">
        <f aca="false">IF(AND(L128&lt;=$D$2,M128&gt;=$C$2),"Sí","")</f>
        <v/>
      </c>
      <c r="Q128" s="18" t="str">
        <f aca="false">IF(COUNTIF(LOOKAHEAD!$A$5:$A$604,A128)&gt;0,"En Lookahead",IF(P128="Sí","INCORPORAR",""))</f>
        <v/>
      </c>
    </row>
    <row r="129" customFormat="false" ht="15" hidden="false" customHeight="false" outlineLevel="0" collapsed="false">
      <c r="A129" s="13" t="s">
        <v>1729</v>
      </c>
      <c r="B129" s="13" t="n">
        <v>124</v>
      </c>
      <c r="C129" s="13" t="s">
        <v>1730</v>
      </c>
      <c r="D129" s="13" t="n">
        <v>6</v>
      </c>
      <c r="E129" s="36" t="s">
        <v>1731</v>
      </c>
      <c r="F129" s="13" t="s">
        <v>1298</v>
      </c>
      <c r="G129" s="13" t="s">
        <v>322</v>
      </c>
      <c r="H129" s="13" t="s">
        <v>1531</v>
      </c>
      <c r="I129" s="13" t="s">
        <v>62</v>
      </c>
      <c r="J129" s="13" t="s">
        <v>1623</v>
      </c>
      <c r="K129" s="30" t="n">
        <v>234</v>
      </c>
      <c r="L129" s="31" t="n">
        <v>45945</v>
      </c>
      <c r="M129" s="31" t="n">
        <v>46258</v>
      </c>
      <c r="N129" s="13"/>
      <c r="O129" s="13"/>
      <c r="P129" s="13"/>
      <c r="Q129" s="13"/>
    </row>
    <row r="130" customFormat="false" ht="15" hidden="false" customHeight="false" outlineLevel="0" collapsed="false">
      <c r="A130" s="13" t="s">
        <v>1732</v>
      </c>
      <c r="B130" s="13" t="n">
        <v>125</v>
      </c>
      <c r="C130" s="13" t="s">
        <v>1733</v>
      </c>
      <c r="D130" s="13" t="n">
        <v>7</v>
      </c>
      <c r="E130" s="38" t="s">
        <v>1734</v>
      </c>
      <c r="F130" s="13" t="s">
        <v>1298</v>
      </c>
      <c r="G130" s="13" t="s">
        <v>322</v>
      </c>
      <c r="H130" s="13" t="s">
        <v>1531</v>
      </c>
      <c r="I130" s="13" t="s">
        <v>62</v>
      </c>
      <c r="J130" s="13" t="s">
        <v>1731</v>
      </c>
      <c r="K130" s="30" t="n">
        <v>81</v>
      </c>
      <c r="L130" s="31" t="n">
        <v>45945</v>
      </c>
      <c r="M130" s="31" t="n">
        <v>46025</v>
      </c>
      <c r="N130" s="13"/>
      <c r="O130" s="13"/>
      <c r="P130" s="13"/>
      <c r="Q130" s="13"/>
    </row>
    <row r="131" customFormat="false" ht="15" hidden="false" customHeight="false" outlineLevel="0" collapsed="false">
      <c r="A131" s="16" t="s">
        <v>1735</v>
      </c>
      <c r="B131" s="16" t="n">
        <v>126</v>
      </c>
      <c r="C131" s="16" t="s">
        <v>1736</v>
      </c>
      <c r="D131" s="16" t="n">
        <v>8</v>
      </c>
      <c r="E131" s="39" t="s">
        <v>1737</v>
      </c>
      <c r="F131" s="16" t="s">
        <v>1285</v>
      </c>
      <c r="G131" s="16" t="s">
        <v>322</v>
      </c>
      <c r="H131" s="16" t="s">
        <v>1531</v>
      </c>
      <c r="I131" s="16" t="s">
        <v>62</v>
      </c>
      <c r="J131" s="16" t="s">
        <v>1734</v>
      </c>
      <c r="K131" s="32" t="n">
        <v>2</v>
      </c>
      <c r="L131" s="33" t="n">
        <v>46019</v>
      </c>
      <c r="M131" s="33" t="n">
        <v>46020</v>
      </c>
      <c r="N131" s="16" t="s">
        <v>1738</v>
      </c>
      <c r="O131" s="16"/>
      <c r="P131" s="16" t="str">
        <f aca="false">IF(AND(L131&lt;=$D$2,M131&gt;=$C$2),"Sí","")</f>
        <v/>
      </c>
      <c r="Q131" s="18" t="str">
        <f aca="false">IF(COUNTIF(LOOKAHEAD!$A$5:$A$604,A131)&gt;0,"En Lookahead",IF(P131="Sí","INCORPORAR",""))</f>
        <v/>
      </c>
    </row>
    <row r="132" customFormat="false" ht="15" hidden="false" customHeight="false" outlineLevel="0" collapsed="false">
      <c r="A132" s="16" t="s">
        <v>1739</v>
      </c>
      <c r="B132" s="16" t="n">
        <v>127</v>
      </c>
      <c r="C132" s="16" t="s">
        <v>1740</v>
      </c>
      <c r="D132" s="16" t="n">
        <v>8</v>
      </c>
      <c r="E132" s="39" t="s">
        <v>1741</v>
      </c>
      <c r="F132" s="16" t="s">
        <v>1285</v>
      </c>
      <c r="G132" s="16" t="s">
        <v>322</v>
      </c>
      <c r="H132" s="16" t="s">
        <v>1531</v>
      </c>
      <c r="I132" s="16" t="s">
        <v>62</v>
      </c>
      <c r="J132" s="16" t="s">
        <v>1734</v>
      </c>
      <c r="K132" s="32" t="n">
        <v>42</v>
      </c>
      <c r="L132" s="33" t="n">
        <v>45977</v>
      </c>
      <c r="M132" s="33" t="n">
        <v>46018</v>
      </c>
      <c r="N132" s="16" t="s">
        <v>1742</v>
      </c>
      <c r="O132" s="16"/>
      <c r="P132" s="16" t="str">
        <f aca="false">IF(AND(L132&lt;=$D$2,M132&gt;=$C$2),"Sí","")</f>
        <v/>
      </c>
      <c r="Q132" s="18" t="str">
        <f aca="false">IF(COUNTIF(LOOKAHEAD!$A$5:$A$604,A132)&gt;0,"En Lookahead",IF(P132="Sí","INCORPORAR",""))</f>
        <v/>
      </c>
    </row>
    <row r="133" customFormat="false" ht="15" hidden="false" customHeight="false" outlineLevel="0" collapsed="false">
      <c r="A133" s="16" t="s">
        <v>1743</v>
      </c>
      <c r="B133" s="16" t="n">
        <v>128</v>
      </c>
      <c r="C133" s="16" t="s">
        <v>1744</v>
      </c>
      <c r="D133" s="16" t="n">
        <v>8</v>
      </c>
      <c r="E133" s="39" t="s">
        <v>1745</v>
      </c>
      <c r="F133" s="16" t="s">
        <v>1285</v>
      </c>
      <c r="G133" s="16" t="s">
        <v>322</v>
      </c>
      <c r="H133" s="16" t="s">
        <v>1531</v>
      </c>
      <c r="I133" s="16" t="s">
        <v>62</v>
      </c>
      <c r="J133" s="16" t="s">
        <v>1734</v>
      </c>
      <c r="K133" s="32" t="n">
        <v>32</v>
      </c>
      <c r="L133" s="33" t="n">
        <v>45945</v>
      </c>
      <c r="M133" s="33" t="n">
        <v>45976</v>
      </c>
      <c r="N133" s="16" t="s">
        <v>1746</v>
      </c>
      <c r="O133" s="16"/>
      <c r="P133" s="16" t="str">
        <f aca="false">IF(AND(L133&lt;=$D$2,M133&gt;=$C$2),"Sí","")</f>
        <v/>
      </c>
      <c r="Q133" s="18" t="str">
        <f aca="false">IF(COUNTIF(LOOKAHEAD!$A$5:$A$604,A133)&gt;0,"En Lookahead",IF(P133="Sí","INCORPORAR",""))</f>
        <v/>
      </c>
    </row>
    <row r="134" customFormat="false" ht="15" hidden="false" customHeight="false" outlineLevel="0" collapsed="false">
      <c r="A134" s="16" t="s">
        <v>1747</v>
      </c>
      <c r="B134" s="16" t="n">
        <v>129</v>
      </c>
      <c r="C134" s="16" t="s">
        <v>1748</v>
      </c>
      <c r="D134" s="16" t="n">
        <v>8</v>
      </c>
      <c r="E134" s="39" t="s">
        <v>1677</v>
      </c>
      <c r="F134" s="16" t="s">
        <v>1285</v>
      </c>
      <c r="G134" s="16" t="s">
        <v>322</v>
      </c>
      <c r="H134" s="16" t="s">
        <v>1531</v>
      </c>
      <c r="I134" s="16" t="s">
        <v>62</v>
      </c>
      <c r="J134" s="16" t="s">
        <v>1734</v>
      </c>
      <c r="K134" s="32" t="n">
        <v>5</v>
      </c>
      <c r="L134" s="33" t="n">
        <v>46021</v>
      </c>
      <c r="M134" s="33" t="n">
        <v>46025</v>
      </c>
      <c r="N134" s="16" t="s">
        <v>1749</v>
      </c>
      <c r="O134" s="16"/>
      <c r="P134" s="16" t="str">
        <f aca="false">IF(AND(L134&lt;=$D$2,M134&gt;=$C$2),"Sí","")</f>
        <v/>
      </c>
      <c r="Q134" s="18" t="str">
        <f aca="false">IF(COUNTIF(LOOKAHEAD!$A$5:$A$604,A134)&gt;0,"En Lookahead",IF(P134="Sí","INCORPORAR",""))</f>
        <v/>
      </c>
    </row>
    <row r="135" customFormat="false" ht="15" hidden="false" customHeight="false" outlineLevel="0" collapsed="false">
      <c r="A135" s="13" t="s">
        <v>1750</v>
      </c>
      <c r="B135" s="13" t="n">
        <v>130</v>
      </c>
      <c r="C135" s="13" t="s">
        <v>1751</v>
      </c>
      <c r="D135" s="13" t="n">
        <v>7</v>
      </c>
      <c r="E135" s="38" t="s">
        <v>1752</v>
      </c>
      <c r="F135" s="13" t="s">
        <v>1298</v>
      </c>
      <c r="G135" s="13" t="s">
        <v>322</v>
      </c>
      <c r="H135" s="13" t="s">
        <v>1531</v>
      </c>
      <c r="I135" s="13" t="s">
        <v>62</v>
      </c>
      <c r="J135" s="13" t="s">
        <v>1731</v>
      </c>
      <c r="K135" s="30" t="n">
        <v>54</v>
      </c>
      <c r="L135" s="31" t="n">
        <v>46047</v>
      </c>
      <c r="M135" s="31" t="n">
        <v>46100</v>
      </c>
      <c r="N135" s="13"/>
      <c r="O135" s="13"/>
      <c r="P135" s="13"/>
      <c r="Q135" s="13"/>
    </row>
    <row r="136" customFormat="false" ht="15" hidden="false" customHeight="false" outlineLevel="0" collapsed="false">
      <c r="A136" s="16" t="s">
        <v>1753</v>
      </c>
      <c r="B136" s="16" t="n">
        <v>131</v>
      </c>
      <c r="C136" s="16" t="s">
        <v>1754</v>
      </c>
      <c r="D136" s="16" t="n">
        <v>8</v>
      </c>
      <c r="E136" s="39" t="s">
        <v>1755</v>
      </c>
      <c r="F136" s="16" t="s">
        <v>1285</v>
      </c>
      <c r="G136" s="16" t="s">
        <v>322</v>
      </c>
      <c r="H136" s="16" t="s">
        <v>1531</v>
      </c>
      <c r="I136" s="16" t="s">
        <v>62</v>
      </c>
      <c r="J136" s="16" t="s">
        <v>1752</v>
      </c>
      <c r="K136" s="32" t="n">
        <v>2</v>
      </c>
      <c r="L136" s="33" t="n">
        <v>46095</v>
      </c>
      <c r="M136" s="33" t="n">
        <v>46096</v>
      </c>
      <c r="N136" s="16" t="s">
        <v>1756</v>
      </c>
      <c r="O136" s="16"/>
      <c r="P136" s="16" t="str">
        <f aca="false">IF(AND(L136&lt;=$D$2,M136&gt;=$C$2),"Sí","")</f>
        <v/>
      </c>
      <c r="Q136" s="18" t="str">
        <f aca="false">IF(COUNTIF(LOOKAHEAD!$A$5:$A$604,A136)&gt;0,"En Lookahead",IF(P136="Sí","INCORPORAR",""))</f>
        <v/>
      </c>
    </row>
    <row r="137" customFormat="false" ht="15" hidden="false" customHeight="false" outlineLevel="0" collapsed="false">
      <c r="A137" s="16" t="s">
        <v>1757</v>
      </c>
      <c r="B137" s="16" t="n">
        <v>132</v>
      </c>
      <c r="C137" s="16" t="s">
        <v>1758</v>
      </c>
      <c r="D137" s="16" t="n">
        <v>8</v>
      </c>
      <c r="E137" s="39" t="s">
        <v>1759</v>
      </c>
      <c r="F137" s="16" t="s">
        <v>1285</v>
      </c>
      <c r="G137" s="16" t="s">
        <v>322</v>
      </c>
      <c r="H137" s="16" t="s">
        <v>1531</v>
      </c>
      <c r="I137" s="16" t="s">
        <v>62</v>
      </c>
      <c r="J137" s="16" t="s">
        <v>1752</v>
      </c>
      <c r="K137" s="32" t="n">
        <v>31</v>
      </c>
      <c r="L137" s="33" t="n">
        <v>46064</v>
      </c>
      <c r="M137" s="33" t="n">
        <v>46094</v>
      </c>
      <c r="N137" s="16" t="s">
        <v>1760</v>
      </c>
      <c r="O137" s="16"/>
      <c r="P137" s="16" t="str">
        <f aca="false">IF(AND(L137&lt;=$D$2,M137&gt;=$C$2),"Sí","")</f>
        <v/>
      </c>
      <c r="Q137" s="18" t="str">
        <f aca="false">IF(COUNTIF(LOOKAHEAD!$A$5:$A$604,A137)&gt;0,"En Lookahead",IF(P137="Sí","INCORPORAR",""))</f>
        <v/>
      </c>
    </row>
    <row r="138" customFormat="false" ht="15" hidden="false" customHeight="false" outlineLevel="0" collapsed="false">
      <c r="A138" s="16" t="s">
        <v>1761</v>
      </c>
      <c r="B138" s="16" t="n">
        <v>133</v>
      </c>
      <c r="C138" s="16" t="s">
        <v>1762</v>
      </c>
      <c r="D138" s="16" t="n">
        <v>8</v>
      </c>
      <c r="E138" s="39" t="s">
        <v>1745</v>
      </c>
      <c r="F138" s="16" t="s">
        <v>1285</v>
      </c>
      <c r="G138" s="16" t="s">
        <v>322</v>
      </c>
      <c r="H138" s="16" t="s">
        <v>1531</v>
      </c>
      <c r="I138" s="16" t="s">
        <v>62</v>
      </c>
      <c r="J138" s="16" t="s">
        <v>1752</v>
      </c>
      <c r="K138" s="32" t="n">
        <v>17</v>
      </c>
      <c r="L138" s="33" t="n">
        <v>46047</v>
      </c>
      <c r="M138" s="33" t="n">
        <v>46063</v>
      </c>
      <c r="N138" s="16" t="s">
        <v>1763</v>
      </c>
      <c r="O138" s="16"/>
      <c r="P138" s="16" t="str">
        <f aca="false">IF(AND(L138&lt;=$D$2,M138&gt;=$C$2),"Sí","")</f>
        <v/>
      </c>
      <c r="Q138" s="18" t="str">
        <f aca="false">IF(COUNTIF(LOOKAHEAD!$A$5:$A$604,A138)&gt;0,"En Lookahead",IF(P138="Sí","INCORPORAR",""))</f>
        <v/>
      </c>
    </row>
    <row r="139" customFormat="false" ht="15" hidden="false" customHeight="false" outlineLevel="0" collapsed="false">
      <c r="A139" s="16" t="s">
        <v>1764</v>
      </c>
      <c r="B139" s="16" t="n">
        <v>134</v>
      </c>
      <c r="C139" s="16" t="s">
        <v>1765</v>
      </c>
      <c r="D139" s="16" t="n">
        <v>8</v>
      </c>
      <c r="E139" s="39" t="s">
        <v>1677</v>
      </c>
      <c r="F139" s="16" t="s">
        <v>1285</v>
      </c>
      <c r="G139" s="16" t="s">
        <v>322</v>
      </c>
      <c r="H139" s="16" t="s">
        <v>1531</v>
      </c>
      <c r="I139" s="16" t="s">
        <v>62</v>
      </c>
      <c r="J139" s="16" t="s">
        <v>1752</v>
      </c>
      <c r="K139" s="32" t="n">
        <v>4</v>
      </c>
      <c r="L139" s="33" t="n">
        <v>46097</v>
      </c>
      <c r="M139" s="33" t="n">
        <v>46100</v>
      </c>
      <c r="N139" s="16" t="s">
        <v>1766</v>
      </c>
      <c r="O139" s="16"/>
      <c r="P139" s="16" t="str">
        <f aca="false">IF(AND(L139&lt;=$D$2,M139&gt;=$C$2),"Sí","")</f>
        <v/>
      </c>
      <c r="Q139" s="18" t="str">
        <f aca="false">IF(COUNTIF(LOOKAHEAD!$A$5:$A$604,A139)&gt;0,"En Lookahead",IF(P139="Sí","INCORPORAR",""))</f>
        <v/>
      </c>
    </row>
    <row r="140" customFormat="false" ht="15" hidden="false" customHeight="false" outlineLevel="0" collapsed="false">
      <c r="A140" s="13" t="s">
        <v>1767</v>
      </c>
      <c r="B140" s="13" t="n">
        <v>135</v>
      </c>
      <c r="C140" s="13" t="s">
        <v>1768</v>
      </c>
      <c r="D140" s="13" t="n">
        <v>7</v>
      </c>
      <c r="E140" s="38" t="s">
        <v>1769</v>
      </c>
      <c r="F140" s="13" t="s">
        <v>1298</v>
      </c>
      <c r="G140" s="13" t="s">
        <v>322</v>
      </c>
      <c r="H140" s="13" t="s">
        <v>1531</v>
      </c>
      <c r="I140" s="13" t="s">
        <v>62</v>
      </c>
      <c r="J140" s="13" t="s">
        <v>1731</v>
      </c>
      <c r="K140" s="30" t="n">
        <v>58</v>
      </c>
      <c r="L140" s="31" t="n">
        <v>46121</v>
      </c>
      <c r="M140" s="31" t="n">
        <v>46258</v>
      </c>
      <c r="N140" s="13"/>
      <c r="O140" s="13"/>
      <c r="P140" s="13"/>
      <c r="Q140" s="13"/>
    </row>
    <row r="141" customFormat="false" ht="15" hidden="false" customHeight="false" outlineLevel="0" collapsed="false">
      <c r="A141" s="16" t="s">
        <v>1770</v>
      </c>
      <c r="B141" s="16" t="n">
        <v>136</v>
      </c>
      <c r="C141" s="16" t="s">
        <v>1771</v>
      </c>
      <c r="D141" s="16" t="n">
        <v>8</v>
      </c>
      <c r="E141" s="39" t="s">
        <v>1772</v>
      </c>
      <c r="F141" s="16" t="s">
        <v>1285</v>
      </c>
      <c r="G141" s="16" t="s">
        <v>322</v>
      </c>
      <c r="H141" s="16" t="s">
        <v>1531</v>
      </c>
      <c r="I141" s="16" t="s">
        <v>62</v>
      </c>
      <c r="J141" s="16" t="s">
        <v>1769</v>
      </c>
      <c r="K141" s="32" t="n">
        <v>2</v>
      </c>
      <c r="L141" s="33" t="n">
        <v>46253</v>
      </c>
      <c r="M141" s="33" t="n">
        <v>46254</v>
      </c>
      <c r="N141" s="16" t="s">
        <v>1773</v>
      </c>
      <c r="O141" s="16"/>
      <c r="P141" s="16" t="str">
        <f aca="false">IF(AND(L141&lt;=$D$2,M141&gt;=$C$2),"Sí","")</f>
        <v/>
      </c>
      <c r="Q141" s="18" t="str">
        <f aca="false">IF(COUNTIF(LOOKAHEAD!$A$5:$A$604,A141)&gt;0,"En Lookahead",IF(P141="Sí","INCORPORAR",""))</f>
        <v/>
      </c>
    </row>
    <row r="142" customFormat="false" ht="15" hidden="false" customHeight="false" outlineLevel="0" collapsed="false">
      <c r="A142" s="16" t="s">
        <v>1774</v>
      </c>
      <c r="B142" s="16" t="n">
        <v>137</v>
      </c>
      <c r="C142" s="16" t="s">
        <v>1775</v>
      </c>
      <c r="D142" s="16" t="n">
        <v>8</v>
      </c>
      <c r="E142" s="39" t="s">
        <v>1776</v>
      </c>
      <c r="F142" s="16" t="s">
        <v>1285</v>
      </c>
      <c r="G142" s="16" t="s">
        <v>322</v>
      </c>
      <c r="H142" s="16" t="s">
        <v>1531</v>
      </c>
      <c r="I142" s="16" t="s">
        <v>62</v>
      </c>
      <c r="J142" s="16" t="s">
        <v>1769</v>
      </c>
      <c r="K142" s="32" t="n">
        <v>33</v>
      </c>
      <c r="L142" s="33" t="n">
        <v>46140</v>
      </c>
      <c r="M142" s="33" t="n">
        <v>46252</v>
      </c>
      <c r="N142" s="16" t="s">
        <v>1777</v>
      </c>
      <c r="O142" s="16"/>
      <c r="P142" s="16" t="str">
        <f aca="false">IF(AND(L142&lt;=$D$2,M142&gt;=$C$2),"Sí","")</f>
        <v/>
      </c>
      <c r="Q142" s="18" t="str">
        <f aca="false">IF(COUNTIF(LOOKAHEAD!$A$5:$A$604,A142)&gt;0,"En Lookahead",IF(P142="Sí","INCORPORAR",""))</f>
        <v/>
      </c>
    </row>
    <row r="143" customFormat="false" ht="15" hidden="false" customHeight="false" outlineLevel="0" collapsed="false">
      <c r="A143" s="16" t="s">
        <v>1778</v>
      </c>
      <c r="B143" s="16" t="n">
        <v>138</v>
      </c>
      <c r="C143" s="16" t="s">
        <v>1779</v>
      </c>
      <c r="D143" s="16" t="n">
        <v>8</v>
      </c>
      <c r="E143" s="39" t="s">
        <v>1745</v>
      </c>
      <c r="F143" s="16" t="s">
        <v>1285</v>
      </c>
      <c r="G143" s="16" t="s">
        <v>322</v>
      </c>
      <c r="H143" s="16" t="s">
        <v>1531</v>
      </c>
      <c r="I143" s="16" t="s">
        <v>62</v>
      </c>
      <c r="J143" s="16" t="s">
        <v>1769</v>
      </c>
      <c r="K143" s="32" t="n">
        <v>19</v>
      </c>
      <c r="L143" s="33" t="n">
        <v>46121</v>
      </c>
      <c r="M143" s="33" t="n">
        <v>46139</v>
      </c>
      <c r="N143" s="16" t="s">
        <v>1780</v>
      </c>
      <c r="O143" s="16"/>
      <c r="P143" s="16" t="str">
        <f aca="false">IF(AND(L143&lt;=$D$2,M143&gt;=$C$2),"Sí","")</f>
        <v/>
      </c>
      <c r="Q143" s="18" t="str">
        <f aca="false">IF(COUNTIF(LOOKAHEAD!$A$5:$A$604,A143)&gt;0,"En Lookahead",IF(P143="Sí","INCORPORAR",""))</f>
        <v/>
      </c>
    </row>
    <row r="144" customFormat="false" ht="15" hidden="false" customHeight="false" outlineLevel="0" collapsed="false">
      <c r="A144" s="16" t="s">
        <v>1781</v>
      </c>
      <c r="B144" s="16" t="n">
        <v>139</v>
      </c>
      <c r="C144" s="16" t="s">
        <v>1782</v>
      </c>
      <c r="D144" s="16" t="n">
        <v>8</v>
      </c>
      <c r="E144" s="39" t="s">
        <v>1677</v>
      </c>
      <c r="F144" s="16" t="s">
        <v>1285</v>
      </c>
      <c r="G144" s="16" t="s">
        <v>322</v>
      </c>
      <c r="H144" s="16" t="s">
        <v>1531</v>
      </c>
      <c r="I144" s="16" t="s">
        <v>62</v>
      </c>
      <c r="J144" s="16" t="s">
        <v>1769</v>
      </c>
      <c r="K144" s="32" t="n">
        <v>4</v>
      </c>
      <c r="L144" s="33" t="n">
        <v>46255</v>
      </c>
      <c r="M144" s="33" t="n">
        <v>46258</v>
      </c>
      <c r="N144" s="16" t="s">
        <v>1783</v>
      </c>
      <c r="O144" s="16"/>
      <c r="P144" s="16" t="str">
        <f aca="false">IF(AND(L144&lt;=$D$2,M144&gt;=$C$2),"Sí","")</f>
        <v/>
      </c>
      <c r="Q144" s="18" t="str">
        <f aca="false">IF(COUNTIF(LOOKAHEAD!$A$5:$A$604,A144)&gt;0,"En Lookahead",IF(P144="Sí","INCORPORAR",""))</f>
        <v/>
      </c>
    </row>
    <row r="145" customFormat="false" ht="15" hidden="false" customHeight="false" outlineLevel="0" collapsed="false">
      <c r="A145" s="13" t="s">
        <v>1784</v>
      </c>
      <c r="B145" s="13" t="n">
        <v>140</v>
      </c>
      <c r="C145" s="13" t="s">
        <v>1785</v>
      </c>
      <c r="D145" s="13" t="n">
        <v>6</v>
      </c>
      <c r="E145" s="36" t="s">
        <v>1786</v>
      </c>
      <c r="F145" s="13" t="s">
        <v>1298</v>
      </c>
      <c r="G145" s="13" t="s">
        <v>322</v>
      </c>
      <c r="H145" s="13" t="s">
        <v>1531</v>
      </c>
      <c r="I145" s="13" t="s">
        <v>62</v>
      </c>
      <c r="J145" s="13" t="s">
        <v>1623</v>
      </c>
      <c r="K145" s="30" t="n">
        <v>182</v>
      </c>
      <c r="L145" s="31" t="n">
        <v>46021</v>
      </c>
      <c r="M145" s="31" t="n">
        <v>46282</v>
      </c>
      <c r="N145" s="13"/>
      <c r="O145" s="13"/>
      <c r="P145" s="13"/>
      <c r="Q145" s="13"/>
    </row>
    <row r="146" customFormat="false" ht="15" hidden="false" customHeight="false" outlineLevel="0" collapsed="false">
      <c r="A146" s="13" t="s">
        <v>1787</v>
      </c>
      <c r="B146" s="13" t="n">
        <v>141</v>
      </c>
      <c r="C146" s="13" t="s">
        <v>1788</v>
      </c>
      <c r="D146" s="13" t="n">
        <v>7</v>
      </c>
      <c r="E146" s="38" t="s">
        <v>1789</v>
      </c>
      <c r="F146" s="13" t="s">
        <v>1298</v>
      </c>
      <c r="G146" s="13" t="s">
        <v>322</v>
      </c>
      <c r="H146" s="13" t="s">
        <v>1531</v>
      </c>
      <c r="I146" s="13" t="s">
        <v>62</v>
      </c>
      <c r="J146" s="13" t="s">
        <v>1786</v>
      </c>
      <c r="K146" s="30" t="n">
        <v>28</v>
      </c>
      <c r="L146" s="31" t="n">
        <v>46021</v>
      </c>
      <c r="M146" s="31" t="n">
        <v>46048</v>
      </c>
      <c r="N146" s="13"/>
      <c r="O146" s="13"/>
      <c r="P146" s="13"/>
      <c r="Q146" s="13"/>
    </row>
    <row r="147" customFormat="false" ht="15" hidden="false" customHeight="false" outlineLevel="0" collapsed="false">
      <c r="A147" s="16" t="s">
        <v>1790</v>
      </c>
      <c r="B147" s="16" t="n">
        <v>142</v>
      </c>
      <c r="C147" s="16" t="s">
        <v>1791</v>
      </c>
      <c r="D147" s="16" t="n">
        <v>8</v>
      </c>
      <c r="E147" s="39" t="s">
        <v>1792</v>
      </c>
      <c r="F147" s="16" t="s">
        <v>1285</v>
      </c>
      <c r="G147" s="16" t="s">
        <v>322</v>
      </c>
      <c r="H147" s="16" t="s">
        <v>1531</v>
      </c>
      <c r="I147" s="16" t="s">
        <v>62</v>
      </c>
      <c r="J147" s="16" t="s">
        <v>1789</v>
      </c>
      <c r="K147" s="32" t="n">
        <v>1</v>
      </c>
      <c r="L147" s="33" t="n">
        <v>46046</v>
      </c>
      <c r="M147" s="33" t="n">
        <v>46046</v>
      </c>
      <c r="N147" s="16" t="s">
        <v>1793</v>
      </c>
      <c r="O147" s="16"/>
      <c r="P147" s="16" t="str">
        <f aca="false">IF(AND(L147&lt;=$D$2,M147&gt;=$C$2),"Sí","")</f>
        <v/>
      </c>
      <c r="Q147" s="18" t="str">
        <f aca="false">IF(COUNTIF(LOOKAHEAD!$A$5:$A$604,A147)&gt;0,"En Lookahead",IF(P147="Sí","INCORPORAR",""))</f>
        <v/>
      </c>
    </row>
    <row r="148" customFormat="false" ht="15" hidden="false" customHeight="false" outlineLevel="0" collapsed="false">
      <c r="A148" s="16" t="s">
        <v>1794</v>
      </c>
      <c r="B148" s="16" t="n">
        <v>143</v>
      </c>
      <c r="C148" s="16" t="s">
        <v>1795</v>
      </c>
      <c r="D148" s="16" t="n">
        <v>8</v>
      </c>
      <c r="E148" s="39" t="s">
        <v>1796</v>
      </c>
      <c r="F148" s="16" t="s">
        <v>1285</v>
      </c>
      <c r="G148" s="16" t="s">
        <v>322</v>
      </c>
      <c r="H148" s="16" t="s">
        <v>1531</v>
      </c>
      <c r="I148" s="16" t="s">
        <v>62</v>
      </c>
      <c r="J148" s="16" t="s">
        <v>1789</v>
      </c>
      <c r="K148" s="32" t="n">
        <v>16</v>
      </c>
      <c r="L148" s="33" t="n">
        <v>46030</v>
      </c>
      <c r="M148" s="33" t="n">
        <v>46045</v>
      </c>
      <c r="N148" s="16" t="s">
        <v>1797</v>
      </c>
      <c r="O148" s="16"/>
      <c r="P148" s="16" t="str">
        <f aca="false">IF(AND(L148&lt;=$D$2,M148&gt;=$C$2),"Sí","")</f>
        <v/>
      </c>
      <c r="Q148" s="18" t="str">
        <f aca="false">IF(COUNTIF(LOOKAHEAD!$A$5:$A$604,A148)&gt;0,"En Lookahead",IF(P148="Sí","INCORPORAR",""))</f>
        <v/>
      </c>
    </row>
    <row r="149" customFormat="false" ht="15" hidden="false" customHeight="false" outlineLevel="0" collapsed="false">
      <c r="A149" s="16" t="s">
        <v>1798</v>
      </c>
      <c r="B149" s="16" t="n">
        <v>144</v>
      </c>
      <c r="C149" s="16" t="s">
        <v>1799</v>
      </c>
      <c r="D149" s="16" t="n">
        <v>8</v>
      </c>
      <c r="E149" s="39" t="s">
        <v>1800</v>
      </c>
      <c r="F149" s="16" t="s">
        <v>1285</v>
      </c>
      <c r="G149" s="16" t="s">
        <v>322</v>
      </c>
      <c r="H149" s="16" t="s">
        <v>1531</v>
      </c>
      <c r="I149" s="16" t="s">
        <v>62</v>
      </c>
      <c r="J149" s="16" t="s">
        <v>1789</v>
      </c>
      <c r="K149" s="32" t="n">
        <v>9</v>
      </c>
      <c r="L149" s="33" t="n">
        <v>46021</v>
      </c>
      <c r="M149" s="33" t="n">
        <v>46029</v>
      </c>
      <c r="N149" s="16" t="s">
        <v>1801</v>
      </c>
      <c r="O149" s="16"/>
      <c r="P149" s="16" t="str">
        <f aca="false">IF(AND(L149&lt;=$D$2,M149&gt;=$C$2),"Sí","")</f>
        <v/>
      </c>
      <c r="Q149" s="18" t="str">
        <f aca="false">IF(COUNTIF(LOOKAHEAD!$A$5:$A$604,A149)&gt;0,"En Lookahead",IF(P149="Sí","INCORPORAR",""))</f>
        <v/>
      </c>
    </row>
    <row r="150" customFormat="false" ht="15" hidden="false" customHeight="false" outlineLevel="0" collapsed="false">
      <c r="A150" s="16" t="s">
        <v>1802</v>
      </c>
      <c r="B150" s="16" t="n">
        <v>145</v>
      </c>
      <c r="C150" s="16" t="s">
        <v>1803</v>
      </c>
      <c r="D150" s="16" t="n">
        <v>8</v>
      </c>
      <c r="E150" s="39" t="s">
        <v>1602</v>
      </c>
      <c r="F150" s="16" t="s">
        <v>1285</v>
      </c>
      <c r="G150" s="16" t="s">
        <v>322</v>
      </c>
      <c r="H150" s="16" t="s">
        <v>1531</v>
      </c>
      <c r="I150" s="16" t="s">
        <v>62</v>
      </c>
      <c r="J150" s="16" t="s">
        <v>1789</v>
      </c>
      <c r="K150" s="32" t="n">
        <v>2</v>
      </c>
      <c r="L150" s="33" t="n">
        <v>46047</v>
      </c>
      <c r="M150" s="33" t="n">
        <v>46048</v>
      </c>
      <c r="N150" s="16" t="s">
        <v>1692</v>
      </c>
      <c r="O150" s="16"/>
      <c r="P150" s="16" t="str">
        <f aca="false">IF(AND(L150&lt;=$D$2,M150&gt;=$C$2),"Sí","")</f>
        <v/>
      </c>
      <c r="Q150" s="18" t="str">
        <f aca="false">IF(COUNTIF(LOOKAHEAD!$A$5:$A$604,A150)&gt;0,"En Lookahead",IF(P150="Sí","INCORPORAR",""))</f>
        <v/>
      </c>
    </row>
    <row r="151" customFormat="false" ht="15" hidden="false" customHeight="false" outlineLevel="0" collapsed="false">
      <c r="A151" s="13" t="s">
        <v>1804</v>
      </c>
      <c r="B151" s="13" t="n">
        <v>146</v>
      </c>
      <c r="C151" s="13" t="s">
        <v>1805</v>
      </c>
      <c r="D151" s="13" t="n">
        <v>7</v>
      </c>
      <c r="E151" s="38" t="s">
        <v>1806</v>
      </c>
      <c r="F151" s="13" t="s">
        <v>1298</v>
      </c>
      <c r="G151" s="13" t="s">
        <v>322</v>
      </c>
      <c r="H151" s="13" t="s">
        <v>1531</v>
      </c>
      <c r="I151" s="13" t="s">
        <v>62</v>
      </c>
      <c r="J151" s="13" t="s">
        <v>1786</v>
      </c>
      <c r="K151" s="30" t="n">
        <v>26</v>
      </c>
      <c r="L151" s="31" t="n">
        <v>46097</v>
      </c>
      <c r="M151" s="31" t="n">
        <v>46122</v>
      </c>
      <c r="N151" s="13"/>
      <c r="O151" s="13"/>
      <c r="P151" s="13"/>
      <c r="Q151" s="13"/>
    </row>
    <row r="152" customFormat="false" ht="15" hidden="false" customHeight="false" outlineLevel="0" collapsed="false">
      <c r="A152" s="16" t="s">
        <v>1807</v>
      </c>
      <c r="B152" s="16" t="n">
        <v>147</v>
      </c>
      <c r="C152" s="16" t="s">
        <v>1808</v>
      </c>
      <c r="D152" s="16" t="n">
        <v>8</v>
      </c>
      <c r="E152" s="39" t="s">
        <v>1809</v>
      </c>
      <c r="F152" s="16" t="s">
        <v>1285</v>
      </c>
      <c r="G152" s="16" t="s">
        <v>322</v>
      </c>
      <c r="H152" s="16" t="s">
        <v>1531</v>
      </c>
      <c r="I152" s="16" t="s">
        <v>62</v>
      </c>
      <c r="J152" s="16" t="s">
        <v>1806</v>
      </c>
      <c r="K152" s="32" t="n">
        <v>1</v>
      </c>
      <c r="L152" s="33" t="n">
        <v>46120</v>
      </c>
      <c r="M152" s="33" t="n">
        <v>46120</v>
      </c>
      <c r="N152" s="16" t="s">
        <v>1810</v>
      </c>
      <c r="O152" s="16"/>
      <c r="P152" s="16" t="str">
        <f aca="false">IF(AND(L152&lt;=$D$2,M152&gt;=$C$2),"Sí","")</f>
        <v/>
      </c>
      <c r="Q152" s="18" t="str">
        <f aca="false">IF(COUNTIF(LOOKAHEAD!$A$5:$A$604,A152)&gt;0,"En Lookahead",IF(P152="Sí","INCORPORAR",""))</f>
        <v/>
      </c>
    </row>
    <row r="153" customFormat="false" ht="15" hidden="false" customHeight="false" outlineLevel="0" collapsed="false">
      <c r="A153" s="16" t="s">
        <v>1811</v>
      </c>
      <c r="B153" s="16" t="n">
        <v>148</v>
      </c>
      <c r="C153" s="16" t="s">
        <v>1812</v>
      </c>
      <c r="D153" s="16" t="n">
        <v>8</v>
      </c>
      <c r="E153" s="39" t="s">
        <v>1813</v>
      </c>
      <c r="F153" s="16" t="s">
        <v>1285</v>
      </c>
      <c r="G153" s="16" t="s">
        <v>322</v>
      </c>
      <c r="H153" s="16" t="s">
        <v>1531</v>
      </c>
      <c r="I153" s="16" t="s">
        <v>62</v>
      </c>
      <c r="J153" s="16" t="s">
        <v>1806</v>
      </c>
      <c r="K153" s="32" t="n">
        <v>16</v>
      </c>
      <c r="L153" s="33" t="n">
        <v>46104</v>
      </c>
      <c r="M153" s="33" t="n">
        <v>46119</v>
      </c>
      <c r="N153" s="16" t="s">
        <v>1814</v>
      </c>
      <c r="O153" s="16"/>
      <c r="P153" s="16" t="str">
        <f aca="false">IF(AND(L153&lt;=$D$2,M153&gt;=$C$2),"Sí","")</f>
        <v/>
      </c>
      <c r="Q153" s="18" t="str">
        <f aca="false">IF(COUNTIF(LOOKAHEAD!$A$5:$A$604,A153)&gt;0,"En Lookahead",IF(P153="Sí","INCORPORAR",""))</f>
        <v/>
      </c>
    </row>
    <row r="154" customFormat="false" ht="15" hidden="false" customHeight="false" outlineLevel="0" collapsed="false">
      <c r="A154" s="16" t="s">
        <v>1815</v>
      </c>
      <c r="B154" s="16" t="n">
        <v>149</v>
      </c>
      <c r="C154" s="16" t="s">
        <v>1816</v>
      </c>
      <c r="D154" s="16" t="n">
        <v>8</v>
      </c>
      <c r="E154" s="39" t="s">
        <v>1800</v>
      </c>
      <c r="F154" s="16" t="s">
        <v>1285</v>
      </c>
      <c r="G154" s="16" t="s">
        <v>322</v>
      </c>
      <c r="H154" s="16" t="s">
        <v>1531</v>
      </c>
      <c r="I154" s="16" t="s">
        <v>62</v>
      </c>
      <c r="J154" s="16" t="s">
        <v>1806</v>
      </c>
      <c r="K154" s="32" t="n">
        <v>7</v>
      </c>
      <c r="L154" s="33" t="n">
        <v>46097</v>
      </c>
      <c r="M154" s="33" t="n">
        <v>46103</v>
      </c>
      <c r="N154" s="16" t="s">
        <v>1817</v>
      </c>
      <c r="O154" s="16"/>
      <c r="P154" s="16" t="str">
        <f aca="false">IF(AND(L154&lt;=$D$2,M154&gt;=$C$2),"Sí","")</f>
        <v/>
      </c>
      <c r="Q154" s="18" t="str">
        <f aca="false">IF(COUNTIF(LOOKAHEAD!$A$5:$A$604,A154)&gt;0,"En Lookahead",IF(P154="Sí","INCORPORAR",""))</f>
        <v/>
      </c>
    </row>
    <row r="155" customFormat="false" ht="15" hidden="false" customHeight="false" outlineLevel="0" collapsed="false">
      <c r="A155" s="16" t="s">
        <v>1818</v>
      </c>
      <c r="B155" s="16" t="n">
        <v>150</v>
      </c>
      <c r="C155" s="16" t="s">
        <v>1819</v>
      </c>
      <c r="D155" s="16" t="n">
        <v>8</v>
      </c>
      <c r="E155" s="39" t="s">
        <v>1602</v>
      </c>
      <c r="F155" s="16" t="s">
        <v>1285</v>
      </c>
      <c r="G155" s="16" t="s">
        <v>322</v>
      </c>
      <c r="H155" s="16" t="s">
        <v>1531</v>
      </c>
      <c r="I155" s="16" t="s">
        <v>62</v>
      </c>
      <c r="J155" s="16" t="s">
        <v>1806</v>
      </c>
      <c r="K155" s="32" t="n">
        <v>2</v>
      </c>
      <c r="L155" s="33" t="n">
        <v>46121</v>
      </c>
      <c r="M155" s="33" t="n">
        <v>46122</v>
      </c>
      <c r="N155" s="16" t="s">
        <v>1709</v>
      </c>
      <c r="O155" s="16"/>
      <c r="P155" s="16" t="str">
        <f aca="false">IF(AND(L155&lt;=$D$2,M155&gt;=$C$2),"Sí","")</f>
        <v/>
      </c>
      <c r="Q155" s="18" t="str">
        <f aca="false">IF(COUNTIF(LOOKAHEAD!$A$5:$A$604,A155)&gt;0,"En Lookahead",IF(P155="Sí","INCORPORAR",""))</f>
        <v/>
      </c>
    </row>
    <row r="156" customFormat="false" ht="15" hidden="false" customHeight="false" outlineLevel="0" collapsed="false">
      <c r="A156" s="13" t="s">
        <v>1820</v>
      </c>
      <c r="B156" s="13" t="n">
        <v>151</v>
      </c>
      <c r="C156" s="13" t="s">
        <v>1821</v>
      </c>
      <c r="D156" s="13" t="n">
        <v>7</v>
      </c>
      <c r="E156" s="38" t="s">
        <v>1822</v>
      </c>
      <c r="F156" s="13" t="s">
        <v>1298</v>
      </c>
      <c r="G156" s="13" t="s">
        <v>322</v>
      </c>
      <c r="H156" s="13" t="s">
        <v>1531</v>
      </c>
      <c r="I156" s="13" t="s">
        <v>62</v>
      </c>
      <c r="J156" s="13" t="s">
        <v>1786</v>
      </c>
      <c r="K156" s="30" t="n">
        <v>22</v>
      </c>
      <c r="L156" s="31" t="n">
        <v>46255</v>
      </c>
      <c r="M156" s="31" t="n">
        <v>46276</v>
      </c>
      <c r="N156" s="13"/>
      <c r="O156" s="13"/>
      <c r="P156" s="13"/>
      <c r="Q156" s="13"/>
    </row>
    <row r="157" customFormat="false" ht="15" hidden="false" customHeight="false" outlineLevel="0" collapsed="false">
      <c r="A157" s="16" t="s">
        <v>1823</v>
      </c>
      <c r="B157" s="16" t="n">
        <v>152</v>
      </c>
      <c r="C157" s="16" t="s">
        <v>1824</v>
      </c>
      <c r="D157" s="16" t="n">
        <v>8</v>
      </c>
      <c r="E157" s="39" t="s">
        <v>1825</v>
      </c>
      <c r="F157" s="16" t="s">
        <v>1285</v>
      </c>
      <c r="G157" s="16" t="s">
        <v>322</v>
      </c>
      <c r="H157" s="16" t="s">
        <v>1531</v>
      </c>
      <c r="I157" s="16" t="s">
        <v>62</v>
      </c>
      <c r="J157" s="16" t="s">
        <v>1822</v>
      </c>
      <c r="K157" s="32" t="n">
        <v>1</v>
      </c>
      <c r="L157" s="33" t="n">
        <v>46274</v>
      </c>
      <c r="M157" s="33" t="n">
        <v>46274</v>
      </c>
      <c r="N157" s="16" t="s">
        <v>1826</v>
      </c>
      <c r="O157" s="16"/>
      <c r="P157" s="16" t="str">
        <f aca="false">IF(AND(L157&lt;=$D$2,M157&gt;=$C$2),"Sí","")</f>
        <v/>
      </c>
      <c r="Q157" s="18" t="str">
        <f aca="false">IF(COUNTIF(LOOKAHEAD!$A$5:$A$604,A157)&gt;0,"En Lookahead",IF(P157="Sí","INCORPORAR",""))</f>
        <v/>
      </c>
    </row>
    <row r="158" customFormat="false" ht="15" hidden="false" customHeight="false" outlineLevel="0" collapsed="false">
      <c r="A158" s="16" t="s">
        <v>1827</v>
      </c>
      <c r="B158" s="16" t="n">
        <v>153</v>
      </c>
      <c r="C158" s="16" t="s">
        <v>1828</v>
      </c>
      <c r="D158" s="16" t="n">
        <v>8</v>
      </c>
      <c r="E158" s="39" t="s">
        <v>1829</v>
      </c>
      <c r="F158" s="16" t="s">
        <v>1285</v>
      </c>
      <c r="G158" s="16" t="s">
        <v>322</v>
      </c>
      <c r="H158" s="16" t="s">
        <v>1531</v>
      </c>
      <c r="I158" s="16" t="s">
        <v>62</v>
      </c>
      <c r="J158" s="16" t="s">
        <v>1822</v>
      </c>
      <c r="K158" s="32" t="n">
        <v>12</v>
      </c>
      <c r="L158" s="33" t="n">
        <v>46262</v>
      </c>
      <c r="M158" s="33" t="n">
        <v>46273</v>
      </c>
      <c r="N158" s="16" t="s">
        <v>1830</v>
      </c>
      <c r="O158" s="16"/>
      <c r="P158" s="16" t="str">
        <f aca="false">IF(AND(L158&lt;=$D$2,M158&gt;=$C$2),"Sí","")</f>
        <v/>
      </c>
      <c r="Q158" s="18" t="str">
        <f aca="false">IF(COUNTIF(LOOKAHEAD!$A$5:$A$604,A158)&gt;0,"En Lookahead",IF(P158="Sí","INCORPORAR",""))</f>
        <v/>
      </c>
    </row>
    <row r="159" customFormat="false" ht="15" hidden="false" customHeight="false" outlineLevel="0" collapsed="false">
      <c r="A159" s="16" t="s">
        <v>1831</v>
      </c>
      <c r="B159" s="16" t="n">
        <v>154</v>
      </c>
      <c r="C159" s="16" t="s">
        <v>1832</v>
      </c>
      <c r="D159" s="16" t="n">
        <v>8</v>
      </c>
      <c r="E159" s="39" t="s">
        <v>1800</v>
      </c>
      <c r="F159" s="16" t="s">
        <v>1285</v>
      </c>
      <c r="G159" s="16" t="s">
        <v>322</v>
      </c>
      <c r="H159" s="16" t="s">
        <v>1531</v>
      </c>
      <c r="I159" s="16" t="s">
        <v>62</v>
      </c>
      <c r="J159" s="16" t="s">
        <v>1822</v>
      </c>
      <c r="K159" s="32" t="n">
        <v>7</v>
      </c>
      <c r="L159" s="33" t="n">
        <v>46255</v>
      </c>
      <c r="M159" s="33" t="n">
        <v>46261</v>
      </c>
      <c r="N159" s="16" t="s">
        <v>1833</v>
      </c>
      <c r="O159" s="16"/>
      <c r="P159" s="16" t="str">
        <f aca="false">IF(AND(L159&lt;=$D$2,M159&gt;=$C$2),"Sí","")</f>
        <v/>
      </c>
      <c r="Q159" s="18" t="str">
        <f aca="false">IF(COUNTIF(LOOKAHEAD!$A$5:$A$604,A159)&gt;0,"En Lookahead",IF(P159="Sí","INCORPORAR",""))</f>
        <v/>
      </c>
    </row>
    <row r="160" customFormat="false" ht="15" hidden="false" customHeight="false" outlineLevel="0" collapsed="false">
      <c r="A160" s="16" t="s">
        <v>1834</v>
      </c>
      <c r="B160" s="16" t="n">
        <v>155</v>
      </c>
      <c r="C160" s="16" t="s">
        <v>1835</v>
      </c>
      <c r="D160" s="16" t="n">
        <v>8</v>
      </c>
      <c r="E160" s="39" t="s">
        <v>1602</v>
      </c>
      <c r="F160" s="16" t="s">
        <v>1285</v>
      </c>
      <c r="G160" s="16" t="s">
        <v>322</v>
      </c>
      <c r="H160" s="16" t="s">
        <v>1531</v>
      </c>
      <c r="I160" s="16" t="s">
        <v>62</v>
      </c>
      <c r="J160" s="16" t="s">
        <v>1822</v>
      </c>
      <c r="K160" s="32" t="n">
        <v>2</v>
      </c>
      <c r="L160" s="33" t="n">
        <v>46275</v>
      </c>
      <c r="M160" s="33" t="n">
        <v>46276</v>
      </c>
      <c r="N160" s="16" t="s">
        <v>1725</v>
      </c>
      <c r="O160" s="16"/>
      <c r="P160" s="16" t="str">
        <f aca="false">IF(AND(L160&lt;=$D$2,M160&gt;=$C$2),"Sí","")</f>
        <v/>
      </c>
      <c r="Q160" s="18" t="str">
        <f aca="false">IF(COUNTIF(LOOKAHEAD!$A$5:$A$604,A160)&gt;0,"En Lookahead",IF(P160="Sí","INCORPORAR",""))</f>
        <v/>
      </c>
    </row>
    <row r="161" customFormat="false" ht="15" hidden="false" customHeight="false" outlineLevel="0" collapsed="false">
      <c r="A161" s="13" t="s">
        <v>1836</v>
      </c>
      <c r="B161" s="13" t="n">
        <v>156</v>
      </c>
      <c r="C161" s="13" t="s">
        <v>1837</v>
      </c>
      <c r="D161" s="13" t="n">
        <v>7</v>
      </c>
      <c r="E161" s="38" t="s">
        <v>1838</v>
      </c>
      <c r="F161" s="13" t="s">
        <v>1298</v>
      </c>
      <c r="G161" s="13" t="s">
        <v>322</v>
      </c>
      <c r="H161" s="13" t="s">
        <v>1531</v>
      </c>
      <c r="I161" s="13" t="s">
        <v>62</v>
      </c>
      <c r="J161" s="13" t="s">
        <v>1786</v>
      </c>
      <c r="K161" s="30" t="n">
        <v>5</v>
      </c>
      <c r="L161" s="31" t="n">
        <v>46278</v>
      </c>
      <c r="M161" s="31" t="n">
        <v>46282</v>
      </c>
      <c r="N161" s="13"/>
      <c r="O161" s="13"/>
      <c r="P161" s="13"/>
      <c r="Q161" s="13"/>
    </row>
    <row r="162" customFormat="false" ht="15" hidden="false" customHeight="false" outlineLevel="0" collapsed="false">
      <c r="A162" s="16" t="s">
        <v>1839</v>
      </c>
      <c r="B162" s="16" t="n">
        <v>157</v>
      </c>
      <c r="C162" s="16" t="s">
        <v>1840</v>
      </c>
      <c r="D162" s="16" t="n">
        <v>8</v>
      </c>
      <c r="E162" s="39" t="s">
        <v>1841</v>
      </c>
      <c r="F162" s="16" t="s">
        <v>1285</v>
      </c>
      <c r="G162" s="16" t="s">
        <v>322</v>
      </c>
      <c r="H162" s="16" t="s">
        <v>1531</v>
      </c>
      <c r="I162" s="16" t="s">
        <v>62</v>
      </c>
      <c r="J162" s="16" t="s">
        <v>1838</v>
      </c>
      <c r="K162" s="32" t="n">
        <v>1</v>
      </c>
      <c r="L162" s="33" t="n">
        <v>46281</v>
      </c>
      <c r="M162" s="33" t="n">
        <v>46281</v>
      </c>
      <c r="N162" s="16" t="s">
        <v>1842</v>
      </c>
      <c r="O162" s="16"/>
      <c r="P162" s="16" t="str">
        <f aca="false">IF(AND(L162&lt;=$D$2,M162&gt;=$C$2),"Sí","")</f>
        <v/>
      </c>
      <c r="Q162" s="18" t="str">
        <f aca="false">IF(COUNTIF(LOOKAHEAD!$A$5:$A$604,A162)&gt;0,"En Lookahead",IF(P162="Sí","INCORPORAR",""))</f>
        <v/>
      </c>
    </row>
    <row r="163" customFormat="false" ht="15" hidden="false" customHeight="false" outlineLevel="0" collapsed="false">
      <c r="A163" s="16" t="s">
        <v>1843</v>
      </c>
      <c r="B163" s="16" t="n">
        <v>158</v>
      </c>
      <c r="C163" s="16" t="s">
        <v>1844</v>
      </c>
      <c r="D163" s="16" t="n">
        <v>8</v>
      </c>
      <c r="E163" s="39" t="s">
        <v>1829</v>
      </c>
      <c r="F163" s="16" t="s">
        <v>1285</v>
      </c>
      <c r="G163" s="16" t="s">
        <v>322</v>
      </c>
      <c r="H163" s="16" t="s">
        <v>1531</v>
      </c>
      <c r="I163" s="16" t="s">
        <v>62</v>
      </c>
      <c r="J163" s="16" t="s">
        <v>1838</v>
      </c>
      <c r="K163" s="32" t="n">
        <v>2</v>
      </c>
      <c r="L163" s="33" t="n">
        <v>46279</v>
      </c>
      <c r="M163" s="33" t="n">
        <v>46280</v>
      </c>
      <c r="N163" s="16" t="s">
        <v>1845</v>
      </c>
      <c r="O163" s="16"/>
      <c r="P163" s="16" t="str">
        <f aca="false">IF(AND(L163&lt;=$D$2,M163&gt;=$C$2),"Sí","")</f>
        <v/>
      </c>
      <c r="Q163" s="18" t="str">
        <f aca="false">IF(COUNTIF(LOOKAHEAD!$A$5:$A$604,A163)&gt;0,"En Lookahead",IF(P163="Sí","INCORPORAR",""))</f>
        <v/>
      </c>
    </row>
    <row r="164" customFormat="false" ht="15" hidden="false" customHeight="false" outlineLevel="0" collapsed="false">
      <c r="A164" s="16" t="s">
        <v>1846</v>
      </c>
      <c r="B164" s="16" t="n">
        <v>159</v>
      </c>
      <c r="C164" s="16" t="s">
        <v>1847</v>
      </c>
      <c r="D164" s="16" t="n">
        <v>8</v>
      </c>
      <c r="E164" s="39" t="s">
        <v>1800</v>
      </c>
      <c r="F164" s="16" t="s">
        <v>1285</v>
      </c>
      <c r="G164" s="16" t="s">
        <v>322</v>
      </c>
      <c r="H164" s="16" t="s">
        <v>1531</v>
      </c>
      <c r="I164" s="16" t="s">
        <v>62</v>
      </c>
      <c r="J164" s="16" t="s">
        <v>1838</v>
      </c>
      <c r="K164" s="32" t="n">
        <v>1</v>
      </c>
      <c r="L164" s="33" t="n">
        <v>46278</v>
      </c>
      <c r="M164" s="33" t="n">
        <v>46278</v>
      </c>
      <c r="N164" s="16" t="s">
        <v>1728</v>
      </c>
      <c r="O164" s="16"/>
      <c r="P164" s="16" t="str">
        <f aca="false">IF(AND(L164&lt;=$D$2,M164&gt;=$C$2),"Sí","")</f>
        <v/>
      </c>
      <c r="Q164" s="18" t="str">
        <f aca="false">IF(COUNTIF(LOOKAHEAD!$A$5:$A$604,A164)&gt;0,"En Lookahead",IF(P164="Sí","INCORPORAR",""))</f>
        <v/>
      </c>
    </row>
    <row r="165" customFormat="false" ht="15" hidden="false" customHeight="false" outlineLevel="0" collapsed="false">
      <c r="A165" s="16" t="s">
        <v>1848</v>
      </c>
      <c r="B165" s="16" t="n">
        <v>160</v>
      </c>
      <c r="C165" s="16" t="s">
        <v>1849</v>
      </c>
      <c r="D165" s="16" t="n">
        <v>8</v>
      </c>
      <c r="E165" s="39" t="s">
        <v>1602</v>
      </c>
      <c r="F165" s="16" t="s">
        <v>1285</v>
      </c>
      <c r="G165" s="16" t="s">
        <v>322</v>
      </c>
      <c r="H165" s="16" t="s">
        <v>1531</v>
      </c>
      <c r="I165" s="16" t="s">
        <v>62</v>
      </c>
      <c r="J165" s="16" t="s">
        <v>1838</v>
      </c>
      <c r="K165" s="32" t="n">
        <v>1</v>
      </c>
      <c r="L165" s="33" t="n">
        <v>46282</v>
      </c>
      <c r="M165" s="33" t="n">
        <v>46282</v>
      </c>
      <c r="N165" s="16" t="s">
        <v>1850</v>
      </c>
      <c r="O165" s="16"/>
      <c r="P165" s="16" t="str">
        <f aca="false">IF(AND(L165&lt;=$D$2,M165&gt;=$C$2),"Sí","")</f>
        <v/>
      </c>
      <c r="Q165" s="18" t="str">
        <f aca="false">IF(COUNTIF(LOOKAHEAD!$A$5:$A$604,A165)&gt;0,"En Lookahead",IF(P165="Sí","INCORPORAR",""))</f>
        <v/>
      </c>
    </row>
    <row r="166" customFormat="false" ht="15" hidden="false" customHeight="false" outlineLevel="0" collapsed="false">
      <c r="A166" s="13" t="s">
        <v>1851</v>
      </c>
      <c r="B166" s="13" t="n">
        <v>161</v>
      </c>
      <c r="C166" s="13" t="s">
        <v>1852</v>
      </c>
      <c r="D166" s="13" t="n">
        <v>6</v>
      </c>
      <c r="E166" s="36" t="s">
        <v>1853</v>
      </c>
      <c r="F166" s="13" t="s">
        <v>1298</v>
      </c>
      <c r="G166" s="13" t="s">
        <v>322</v>
      </c>
      <c r="H166" s="13" t="s">
        <v>1531</v>
      </c>
      <c r="I166" s="13" t="s">
        <v>62</v>
      </c>
      <c r="J166" s="13" t="s">
        <v>1623</v>
      </c>
      <c r="K166" s="30" t="n">
        <v>173</v>
      </c>
      <c r="L166" s="31" t="n">
        <v>46021</v>
      </c>
      <c r="M166" s="31" t="n">
        <v>46273</v>
      </c>
      <c r="N166" s="13"/>
      <c r="O166" s="13"/>
      <c r="P166" s="13"/>
      <c r="Q166" s="13"/>
    </row>
    <row r="167" customFormat="false" ht="15" hidden="false" customHeight="false" outlineLevel="0" collapsed="false">
      <c r="A167" s="13" t="s">
        <v>1854</v>
      </c>
      <c r="B167" s="13" t="n">
        <v>162</v>
      </c>
      <c r="C167" s="13" t="s">
        <v>1855</v>
      </c>
      <c r="D167" s="13" t="n">
        <v>7</v>
      </c>
      <c r="E167" s="38" t="s">
        <v>1856</v>
      </c>
      <c r="F167" s="13" t="s">
        <v>1298</v>
      </c>
      <c r="G167" s="13" t="s">
        <v>322</v>
      </c>
      <c r="H167" s="13" t="s">
        <v>1531</v>
      </c>
      <c r="I167" s="13" t="s">
        <v>62</v>
      </c>
      <c r="J167" s="13" t="s">
        <v>1853</v>
      </c>
      <c r="K167" s="30" t="n">
        <v>20</v>
      </c>
      <c r="L167" s="31" t="n">
        <v>46021</v>
      </c>
      <c r="M167" s="31" t="n">
        <v>46040</v>
      </c>
      <c r="N167" s="13"/>
      <c r="O167" s="13"/>
      <c r="P167" s="13"/>
      <c r="Q167" s="13"/>
    </row>
    <row r="168" customFormat="false" ht="15" hidden="false" customHeight="false" outlineLevel="0" collapsed="false">
      <c r="A168" s="16" t="s">
        <v>1857</v>
      </c>
      <c r="B168" s="16" t="n">
        <v>163</v>
      </c>
      <c r="C168" s="16" t="s">
        <v>1858</v>
      </c>
      <c r="D168" s="16" t="n">
        <v>8</v>
      </c>
      <c r="E168" s="39" t="s">
        <v>1859</v>
      </c>
      <c r="F168" s="16" t="s">
        <v>1285</v>
      </c>
      <c r="G168" s="16" t="s">
        <v>322</v>
      </c>
      <c r="H168" s="16" t="s">
        <v>1531</v>
      </c>
      <c r="I168" s="16" t="s">
        <v>62</v>
      </c>
      <c r="J168" s="16" t="s">
        <v>1856</v>
      </c>
      <c r="K168" s="32" t="n">
        <v>1</v>
      </c>
      <c r="L168" s="33" t="n">
        <v>46038</v>
      </c>
      <c r="M168" s="33" t="n">
        <v>46038</v>
      </c>
      <c r="N168" s="16" t="s">
        <v>1860</v>
      </c>
      <c r="O168" s="16"/>
      <c r="P168" s="16" t="str">
        <f aca="false">IF(AND(L168&lt;=$D$2,M168&gt;=$C$2),"Sí","")</f>
        <v/>
      </c>
      <c r="Q168" s="18" t="str">
        <f aca="false">IF(COUNTIF(LOOKAHEAD!$A$5:$A$604,A168)&gt;0,"En Lookahead",IF(P168="Sí","INCORPORAR",""))</f>
        <v/>
      </c>
    </row>
    <row r="169" customFormat="false" ht="15" hidden="false" customHeight="false" outlineLevel="0" collapsed="false">
      <c r="A169" s="16" t="s">
        <v>1861</v>
      </c>
      <c r="B169" s="16" t="n">
        <v>164</v>
      </c>
      <c r="C169" s="16" t="s">
        <v>1862</v>
      </c>
      <c r="D169" s="16" t="n">
        <v>8</v>
      </c>
      <c r="E169" s="39" t="s">
        <v>1863</v>
      </c>
      <c r="F169" s="16" t="s">
        <v>1285</v>
      </c>
      <c r="G169" s="16" t="s">
        <v>322</v>
      </c>
      <c r="H169" s="16" t="s">
        <v>1531</v>
      </c>
      <c r="I169" s="16" t="s">
        <v>62</v>
      </c>
      <c r="J169" s="16" t="s">
        <v>1856</v>
      </c>
      <c r="K169" s="32" t="n">
        <v>12</v>
      </c>
      <c r="L169" s="33" t="n">
        <v>46021</v>
      </c>
      <c r="M169" s="33" t="n">
        <v>46032</v>
      </c>
      <c r="N169" s="16" t="s">
        <v>1864</v>
      </c>
      <c r="O169" s="16"/>
      <c r="P169" s="16" t="str">
        <f aca="false">IF(AND(L169&lt;=$D$2,M169&gt;=$C$2),"Sí","")</f>
        <v/>
      </c>
      <c r="Q169" s="18" t="str">
        <f aca="false">IF(COUNTIF(LOOKAHEAD!$A$5:$A$604,A169)&gt;0,"En Lookahead",IF(P169="Sí","INCORPORAR",""))</f>
        <v/>
      </c>
    </row>
    <row r="170" customFormat="false" ht="15" hidden="false" customHeight="false" outlineLevel="0" collapsed="false">
      <c r="A170" s="16" t="s">
        <v>1865</v>
      </c>
      <c r="B170" s="16" t="n">
        <v>165</v>
      </c>
      <c r="C170" s="16" t="s">
        <v>1866</v>
      </c>
      <c r="D170" s="16" t="n">
        <v>8</v>
      </c>
      <c r="E170" s="39" t="s">
        <v>1867</v>
      </c>
      <c r="F170" s="16" t="s">
        <v>1285</v>
      </c>
      <c r="G170" s="16" t="s">
        <v>322</v>
      </c>
      <c r="H170" s="16" t="s">
        <v>1531</v>
      </c>
      <c r="I170" s="16" t="s">
        <v>62</v>
      </c>
      <c r="J170" s="16" t="s">
        <v>1856</v>
      </c>
      <c r="K170" s="32" t="n">
        <v>4</v>
      </c>
      <c r="L170" s="33" t="n">
        <v>46034</v>
      </c>
      <c r="M170" s="33" t="n">
        <v>46037</v>
      </c>
      <c r="N170" s="16" t="s">
        <v>1868</v>
      </c>
      <c r="O170" s="16"/>
      <c r="P170" s="16" t="str">
        <f aca="false">IF(AND(L170&lt;=$D$2,M170&gt;=$C$2),"Sí","")</f>
        <v/>
      </c>
      <c r="Q170" s="18" t="str">
        <f aca="false">IF(COUNTIF(LOOKAHEAD!$A$5:$A$604,A170)&gt;0,"En Lookahead",IF(P170="Sí","INCORPORAR",""))</f>
        <v/>
      </c>
    </row>
    <row r="171" customFormat="false" ht="15" hidden="false" customHeight="false" outlineLevel="0" collapsed="false">
      <c r="A171" s="16" t="s">
        <v>1869</v>
      </c>
      <c r="B171" s="16" t="n">
        <v>166</v>
      </c>
      <c r="C171" s="16" t="s">
        <v>1870</v>
      </c>
      <c r="D171" s="16" t="n">
        <v>8</v>
      </c>
      <c r="E171" s="39" t="s">
        <v>1871</v>
      </c>
      <c r="F171" s="16" t="s">
        <v>1285</v>
      </c>
      <c r="G171" s="16" t="s">
        <v>322</v>
      </c>
      <c r="H171" s="16" t="s">
        <v>1531</v>
      </c>
      <c r="I171" s="16" t="s">
        <v>62</v>
      </c>
      <c r="J171" s="16" t="s">
        <v>1856</v>
      </c>
      <c r="K171" s="32" t="n">
        <v>1</v>
      </c>
      <c r="L171" s="33" t="n">
        <v>46033</v>
      </c>
      <c r="M171" s="33" t="n">
        <v>46033</v>
      </c>
      <c r="N171" s="16" t="s">
        <v>1872</v>
      </c>
      <c r="O171" s="16"/>
      <c r="P171" s="16" t="str">
        <f aca="false">IF(AND(L171&lt;=$D$2,M171&gt;=$C$2),"Sí","")</f>
        <v/>
      </c>
      <c r="Q171" s="18" t="str">
        <f aca="false">IF(COUNTIF(LOOKAHEAD!$A$5:$A$604,A171)&gt;0,"En Lookahead",IF(P171="Sí","INCORPORAR",""))</f>
        <v/>
      </c>
    </row>
    <row r="172" customFormat="false" ht="15" hidden="false" customHeight="false" outlineLevel="0" collapsed="false">
      <c r="A172" s="16" t="s">
        <v>1873</v>
      </c>
      <c r="B172" s="16" t="n">
        <v>167</v>
      </c>
      <c r="C172" s="16" t="s">
        <v>1874</v>
      </c>
      <c r="D172" s="16" t="n">
        <v>8</v>
      </c>
      <c r="E172" s="39" t="s">
        <v>1602</v>
      </c>
      <c r="F172" s="16" t="s">
        <v>1285</v>
      </c>
      <c r="G172" s="16" t="s">
        <v>322</v>
      </c>
      <c r="H172" s="16" t="s">
        <v>1531</v>
      </c>
      <c r="I172" s="16" t="s">
        <v>62</v>
      </c>
      <c r="J172" s="16" t="s">
        <v>1856</v>
      </c>
      <c r="K172" s="32" t="n">
        <v>2</v>
      </c>
      <c r="L172" s="33" t="n">
        <v>46039</v>
      </c>
      <c r="M172" s="33" t="n">
        <v>46040</v>
      </c>
      <c r="N172" s="16" t="s">
        <v>1875</v>
      </c>
      <c r="O172" s="16"/>
      <c r="P172" s="16" t="str">
        <f aca="false">IF(AND(L172&lt;=$D$2,M172&gt;=$C$2),"Sí","")</f>
        <v/>
      </c>
      <c r="Q172" s="18" t="str">
        <f aca="false">IF(COUNTIF(LOOKAHEAD!$A$5:$A$604,A172)&gt;0,"En Lookahead",IF(P172="Sí","INCORPORAR",""))</f>
        <v/>
      </c>
    </row>
    <row r="173" customFormat="false" ht="15" hidden="false" customHeight="false" outlineLevel="0" collapsed="false">
      <c r="A173" s="13" t="s">
        <v>1876</v>
      </c>
      <c r="B173" s="13" t="n">
        <v>168</v>
      </c>
      <c r="C173" s="13" t="s">
        <v>1877</v>
      </c>
      <c r="D173" s="13" t="n">
        <v>7</v>
      </c>
      <c r="E173" s="38" t="s">
        <v>1878</v>
      </c>
      <c r="F173" s="13" t="s">
        <v>1298</v>
      </c>
      <c r="G173" s="13" t="s">
        <v>322</v>
      </c>
      <c r="H173" s="13" t="s">
        <v>1531</v>
      </c>
      <c r="I173" s="13" t="s">
        <v>62</v>
      </c>
      <c r="J173" s="13" t="s">
        <v>1853</v>
      </c>
      <c r="K173" s="30" t="n">
        <v>24</v>
      </c>
      <c r="L173" s="31" t="n">
        <v>46097</v>
      </c>
      <c r="M173" s="31" t="n">
        <v>46120</v>
      </c>
      <c r="N173" s="13"/>
      <c r="O173" s="13"/>
      <c r="P173" s="13"/>
      <c r="Q173" s="13"/>
    </row>
    <row r="174" customFormat="false" ht="15" hidden="false" customHeight="false" outlineLevel="0" collapsed="false">
      <c r="A174" s="16" t="s">
        <v>1879</v>
      </c>
      <c r="B174" s="16" t="n">
        <v>169</v>
      </c>
      <c r="C174" s="16" t="s">
        <v>1880</v>
      </c>
      <c r="D174" s="16" t="n">
        <v>8</v>
      </c>
      <c r="E174" s="39" t="s">
        <v>1881</v>
      </c>
      <c r="F174" s="16" t="s">
        <v>1285</v>
      </c>
      <c r="G174" s="16" t="s">
        <v>322</v>
      </c>
      <c r="H174" s="16" t="s">
        <v>1531</v>
      </c>
      <c r="I174" s="16" t="s">
        <v>62</v>
      </c>
      <c r="J174" s="16" t="s">
        <v>1878</v>
      </c>
      <c r="K174" s="32" t="n">
        <v>1</v>
      </c>
      <c r="L174" s="33" t="n">
        <v>46118</v>
      </c>
      <c r="M174" s="33" t="n">
        <v>46118</v>
      </c>
      <c r="N174" s="16" t="s">
        <v>1882</v>
      </c>
      <c r="O174" s="16"/>
      <c r="P174" s="16" t="str">
        <f aca="false">IF(AND(L174&lt;=$D$2,M174&gt;=$C$2),"Sí","")</f>
        <v/>
      </c>
      <c r="Q174" s="18" t="str">
        <f aca="false">IF(COUNTIF(LOOKAHEAD!$A$5:$A$604,A174)&gt;0,"En Lookahead",IF(P174="Sí","INCORPORAR",""))</f>
        <v/>
      </c>
    </row>
    <row r="175" customFormat="false" ht="15" hidden="false" customHeight="false" outlineLevel="0" collapsed="false">
      <c r="A175" s="16" t="s">
        <v>1883</v>
      </c>
      <c r="B175" s="16" t="n">
        <v>170</v>
      </c>
      <c r="C175" s="16" t="s">
        <v>1884</v>
      </c>
      <c r="D175" s="16" t="n">
        <v>8</v>
      </c>
      <c r="E175" s="39" t="s">
        <v>1885</v>
      </c>
      <c r="F175" s="16" t="s">
        <v>1285</v>
      </c>
      <c r="G175" s="16" t="s">
        <v>322</v>
      </c>
      <c r="H175" s="16" t="s">
        <v>1531</v>
      </c>
      <c r="I175" s="16" t="s">
        <v>62</v>
      </c>
      <c r="J175" s="16" t="s">
        <v>1878</v>
      </c>
      <c r="K175" s="32" t="n">
        <v>16</v>
      </c>
      <c r="L175" s="33" t="n">
        <v>46097</v>
      </c>
      <c r="M175" s="33" t="n">
        <v>46112</v>
      </c>
      <c r="N175" s="16" t="s">
        <v>1886</v>
      </c>
      <c r="O175" s="16"/>
      <c r="P175" s="16" t="str">
        <f aca="false">IF(AND(L175&lt;=$D$2,M175&gt;=$C$2),"Sí","")</f>
        <v/>
      </c>
      <c r="Q175" s="18" t="str">
        <f aca="false">IF(COUNTIF(LOOKAHEAD!$A$5:$A$604,A175)&gt;0,"En Lookahead",IF(P175="Sí","INCORPORAR",""))</f>
        <v/>
      </c>
    </row>
    <row r="176" customFormat="false" ht="15" hidden="false" customHeight="false" outlineLevel="0" collapsed="false">
      <c r="A176" s="16" t="s">
        <v>1887</v>
      </c>
      <c r="B176" s="16" t="n">
        <v>171</v>
      </c>
      <c r="C176" s="16" t="s">
        <v>1888</v>
      </c>
      <c r="D176" s="16" t="n">
        <v>8</v>
      </c>
      <c r="E176" s="39" t="s">
        <v>1867</v>
      </c>
      <c r="F176" s="16" t="s">
        <v>1285</v>
      </c>
      <c r="G176" s="16" t="s">
        <v>322</v>
      </c>
      <c r="H176" s="16" t="s">
        <v>1531</v>
      </c>
      <c r="I176" s="16" t="s">
        <v>62</v>
      </c>
      <c r="J176" s="16" t="s">
        <v>1878</v>
      </c>
      <c r="K176" s="32" t="n">
        <v>4</v>
      </c>
      <c r="L176" s="33" t="n">
        <v>46114</v>
      </c>
      <c r="M176" s="33" t="n">
        <v>46117</v>
      </c>
      <c r="N176" s="16" t="s">
        <v>1889</v>
      </c>
      <c r="O176" s="16"/>
      <c r="P176" s="16" t="str">
        <f aca="false">IF(AND(L176&lt;=$D$2,M176&gt;=$C$2),"Sí","")</f>
        <v/>
      </c>
      <c r="Q176" s="18" t="str">
        <f aca="false">IF(COUNTIF(LOOKAHEAD!$A$5:$A$604,A176)&gt;0,"En Lookahead",IF(P176="Sí","INCORPORAR",""))</f>
        <v/>
      </c>
    </row>
    <row r="177" customFormat="false" ht="15" hidden="false" customHeight="false" outlineLevel="0" collapsed="false">
      <c r="A177" s="16" t="s">
        <v>1890</v>
      </c>
      <c r="B177" s="16" t="n">
        <v>172</v>
      </c>
      <c r="C177" s="16" t="s">
        <v>1891</v>
      </c>
      <c r="D177" s="16" t="n">
        <v>8</v>
      </c>
      <c r="E177" s="39" t="s">
        <v>1892</v>
      </c>
      <c r="F177" s="16" t="s">
        <v>1285</v>
      </c>
      <c r="G177" s="16" t="s">
        <v>322</v>
      </c>
      <c r="H177" s="16" t="s">
        <v>1531</v>
      </c>
      <c r="I177" s="16" t="s">
        <v>62</v>
      </c>
      <c r="J177" s="16" t="s">
        <v>1878</v>
      </c>
      <c r="K177" s="32" t="n">
        <v>1</v>
      </c>
      <c r="L177" s="33" t="n">
        <v>46113</v>
      </c>
      <c r="M177" s="33" t="n">
        <v>46113</v>
      </c>
      <c r="N177" s="16" t="s">
        <v>1893</v>
      </c>
      <c r="O177" s="16"/>
      <c r="P177" s="16" t="str">
        <f aca="false">IF(AND(L177&lt;=$D$2,M177&gt;=$C$2),"Sí","")</f>
        <v/>
      </c>
      <c r="Q177" s="18" t="str">
        <f aca="false">IF(COUNTIF(LOOKAHEAD!$A$5:$A$604,A177)&gt;0,"En Lookahead",IF(P177="Sí","INCORPORAR",""))</f>
        <v/>
      </c>
    </row>
    <row r="178" customFormat="false" ht="15" hidden="false" customHeight="false" outlineLevel="0" collapsed="false">
      <c r="A178" s="16" t="s">
        <v>1894</v>
      </c>
      <c r="B178" s="16" t="n">
        <v>173</v>
      </c>
      <c r="C178" s="16" t="s">
        <v>1895</v>
      </c>
      <c r="D178" s="16" t="n">
        <v>8</v>
      </c>
      <c r="E178" s="39" t="s">
        <v>1602</v>
      </c>
      <c r="F178" s="16" t="s">
        <v>1285</v>
      </c>
      <c r="G178" s="16" t="s">
        <v>322</v>
      </c>
      <c r="H178" s="16" t="s">
        <v>1531</v>
      </c>
      <c r="I178" s="16" t="s">
        <v>62</v>
      </c>
      <c r="J178" s="16" t="s">
        <v>1878</v>
      </c>
      <c r="K178" s="32" t="n">
        <v>2</v>
      </c>
      <c r="L178" s="33" t="n">
        <v>46119</v>
      </c>
      <c r="M178" s="33" t="n">
        <v>46120</v>
      </c>
      <c r="N178" s="16" t="s">
        <v>1896</v>
      </c>
      <c r="O178" s="16"/>
      <c r="P178" s="16" t="str">
        <f aca="false">IF(AND(L178&lt;=$D$2,M178&gt;=$C$2),"Sí","")</f>
        <v/>
      </c>
      <c r="Q178" s="18" t="str">
        <f aca="false">IF(COUNTIF(LOOKAHEAD!$A$5:$A$604,A178)&gt;0,"En Lookahead",IF(P178="Sí","INCORPORAR",""))</f>
        <v/>
      </c>
    </row>
    <row r="179" customFormat="false" ht="15" hidden="false" customHeight="false" outlineLevel="0" collapsed="false">
      <c r="A179" s="13" t="s">
        <v>1897</v>
      </c>
      <c r="B179" s="13" t="n">
        <v>174</v>
      </c>
      <c r="C179" s="13" t="s">
        <v>1898</v>
      </c>
      <c r="D179" s="13" t="n">
        <v>7</v>
      </c>
      <c r="E179" s="38" t="s">
        <v>1899</v>
      </c>
      <c r="F179" s="13" t="s">
        <v>1298</v>
      </c>
      <c r="G179" s="13" t="s">
        <v>322</v>
      </c>
      <c r="H179" s="13" t="s">
        <v>1531</v>
      </c>
      <c r="I179" s="13" t="s">
        <v>62</v>
      </c>
      <c r="J179" s="13" t="s">
        <v>1853</v>
      </c>
      <c r="K179" s="30" t="n">
        <v>19</v>
      </c>
      <c r="L179" s="31" t="n">
        <v>46255</v>
      </c>
      <c r="M179" s="31" t="n">
        <v>46273</v>
      </c>
      <c r="N179" s="13"/>
      <c r="O179" s="13"/>
      <c r="P179" s="13"/>
      <c r="Q179" s="13"/>
    </row>
    <row r="180" customFormat="false" ht="15" hidden="false" customHeight="false" outlineLevel="0" collapsed="false">
      <c r="A180" s="16" t="s">
        <v>1900</v>
      </c>
      <c r="B180" s="16" t="n">
        <v>175</v>
      </c>
      <c r="C180" s="16" t="s">
        <v>1901</v>
      </c>
      <c r="D180" s="16" t="n">
        <v>8</v>
      </c>
      <c r="E180" s="39" t="s">
        <v>1902</v>
      </c>
      <c r="F180" s="16" t="s">
        <v>1285</v>
      </c>
      <c r="G180" s="16" t="s">
        <v>322</v>
      </c>
      <c r="H180" s="16" t="s">
        <v>1531</v>
      </c>
      <c r="I180" s="16" t="s">
        <v>62</v>
      </c>
      <c r="J180" s="16" t="s">
        <v>1899</v>
      </c>
      <c r="K180" s="32" t="n">
        <v>1</v>
      </c>
      <c r="L180" s="33" t="n">
        <v>46271</v>
      </c>
      <c r="M180" s="33" t="n">
        <v>46271</v>
      </c>
      <c r="N180" s="16" t="s">
        <v>1903</v>
      </c>
      <c r="O180" s="16"/>
      <c r="P180" s="16" t="str">
        <f aca="false">IF(AND(L180&lt;=$D$2,M180&gt;=$C$2),"Sí","")</f>
        <v/>
      </c>
      <c r="Q180" s="18" t="str">
        <f aca="false">IF(COUNTIF(LOOKAHEAD!$A$5:$A$604,A180)&gt;0,"En Lookahead",IF(P180="Sí","INCORPORAR",""))</f>
        <v/>
      </c>
    </row>
    <row r="181" customFormat="false" ht="15" hidden="false" customHeight="false" outlineLevel="0" collapsed="false">
      <c r="A181" s="16" t="s">
        <v>1904</v>
      </c>
      <c r="B181" s="16" t="n">
        <v>176</v>
      </c>
      <c r="C181" s="16" t="s">
        <v>1905</v>
      </c>
      <c r="D181" s="16" t="n">
        <v>8</v>
      </c>
      <c r="E181" s="39" t="s">
        <v>1906</v>
      </c>
      <c r="F181" s="16" t="s">
        <v>1285</v>
      </c>
      <c r="G181" s="16" t="s">
        <v>322</v>
      </c>
      <c r="H181" s="16" t="s">
        <v>1531</v>
      </c>
      <c r="I181" s="16" t="s">
        <v>62</v>
      </c>
      <c r="J181" s="16" t="s">
        <v>1899</v>
      </c>
      <c r="K181" s="32" t="n">
        <v>13</v>
      </c>
      <c r="L181" s="33" t="n">
        <v>46255</v>
      </c>
      <c r="M181" s="33" t="n">
        <v>46267</v>
      </c>
      <c r="N181" s="16" t="s">
        <v>1907</v>
      </c>
      <c r="O181" s="16"/>
      <c r="P181" s="16" t="str">
        <f aca="false">IF(AND(L181&lt;=$D$2,M181&gt;=$C$2),"Sí","")</f>
        <v/>
      </c>
      <c r="Q181" s="18" t="str">
        <f aca="false">IF(COUNTIF(LOOKAHEAD!$A$5:$A$604,A181)&gt;0,"En Lookahead",IF(P181="Sí","INCORPORAR",""))</f>
        <v/>
      </c>
    </row>
    <row r="182" customFormat="false" ht="15" hidden="false" customHeight="false" outlineLevel="0" collapsed="false">
      <c r="A182" s="16" t="s">
        <v>1908</v>
      </c>
      <c r="B182" s="16" t="n">
        <v>177</v>
      </c>
      <c r="C182" s="16" t="s">
        <v>1909</v>
      </c>
      <c r="D182" s="16" t="n">
        <v>8</v>
      </c>
      <c r="E182" s="39" t="s">
        <v>1867</v>
      </c>
      <c r="F182" s="16" t="s">
        <v>1285</v>
      </c>
      <c r="G182" s="16" t="s">
        <v>322</v>
      </c>
      <c r="H182" s="16" t="s">
        <v>1531</v>
      </c>
      <c r="I182" s="16" t="s">
        <v>62</v>
      </c>
      <c r="J182" s="16" t="s">
        <v>1899</v>
      </c>
      <c r="K182" s="32" t="n">
        <v>2</v>
      </c>
      <c r="L182" s="33" t="n">
        <v>46269</v>
      </c>
      <c r="M182" s="33" t="n">
        <v>46270</v>
      </c>
      <c r="N182" s="16" t="s">
        <v>1910</v>
      </c>
      <c r="O182" s="16"/>
      <c r="P182" s="16" t="str">
        <f aca="false">IF(AND(L182&lt;=$D$2,M182&gt;=$C$2),"Sí","")</f>
        <v/>
      </c>
      <c r="Q182" s="18" t="str">
        <f aca="false">IF(COUNTIF(LOOKAHEAD!$A$5:$A$604,A182)&gt;0,"En Lookahead",IF(P182="Sí","INCORPORAR",""))</f>
        <v/>
      </c>
    </row>
    <row r="183" customFormat="false" ht="15" hidden="false" customHeight="false" outlineLevel="0" collapsed="false">
      <c r="A183" s="16" t="s">
        <v>1911</v>
      </c>
      <c r="B183" s="16" t="n">
        <v>178</v>
      </c>
      <c r="C183" s="16" t="s">
        <v>1912</v>
      </c>
      <c r="D183" s="16" t="n">
        <v>8</v>
      </c>
      <c r="E183" s="39" t="s">
        <v>1913</v>
      </c>
      <c r="F183" s="16" t="s">
        <v>1285</v>
      </c>
      <c r="G183" s="16" t="s">
        <v>322</v>
      </c>
      <c r="H183" s="16" t="s">
        <v>1531</v>
      </c>
      <c r="I183" s="16" t="s">
        <v>62</v>
      </c>
      <c r="J183" s="16" t="s">
        <v>1899</v>
      </c>
      <c r="K183" s="32" t="n">
        <v>1</v>
      </c>
      <c r="L183" s="33" t="n">
        <v>46268</v>
      </c>
      <c r="M183" s="33" t="n">
        <v>46268</v>
      </c>
      <c r="N183" s="16" t="s">
        <v>1914</v>
      </c>
      <c r="O183" s="16"/>
      <c r="P183" s="16" t="str">
        <f aca="false">IF(AND(L183&lt;=$D$2,M183&gt;=$C$2),"Sí","")</f>
        <v/>
      </c>
      <c r="Q183" s="18" t="str">
        <f aca="false">IF(COUNTIF(LOOKAHEAD!$A$5:$A$604,A183)&gt;0,"En Lookahead",IF(P183="Sí","INCORPORAR",""))</f>
        <v/>
      </c>
    </row>
    <row r="184" customFormat="false" ht="15" hidden="false" customHeight="false" outlineLevel="0" collapsed="false">
      <c r="A184" s="16" t="s">
        <v>1915</v>
      </c>
      <c r="B184" s="16" t="n">
        <v>179</v>
      </c>
      <c r="C184" s="16" t="s">
        <v>1916</v>
      </c>
      <c r="D184" s="16" t="n">
        <v>8</v>
      </c>
      <c r="E184" s="39" t="s">
        <v>1602</v>
      </c>
      <c r="F184" s="16" t="s">
        <v>1285</v>
      </c>
      <c r="G184" s="16" t="s">
        <v>322</v>
      </c>
      <c r="H184" s="16" t="s">
        <v>1531</v>
      </c>
      <c r="I184" s="16" t="s">
        <v>62</v>
      </c>
      <c r="J184" s="16" t="s">
        <v>1899</v>
      </c>
      <c r="K184" s="32" t="n">
        <v>2</v>
      </c>
      <c r="L184" s="33" t="n">
        <v>46272</v>
      </c>
      <c r="M184" s="33" t="n">
        <v>46273</v>
      </c>
      <c r="N184" s="16" t="s">
        <v>1917</v>
      </c>
      <c r="O184" s="16"/>
      <c r="P184" s="16" t="str">
        <f aca="false">IF(AND(L184&lt;=$D$2,M184&gt;=$C$2),"Sí","")</f>
        <v/>
      </c>
      <c r="Q184" s="18" t="str">
        <f aca="false">IF(COUNTIF(LOOKAHEAD!$A$5:$A$604,A184)&gt;0,"En Lookahead",IF(P184="Sí","INCORPORAR",""))</f>
        <v/>
      </c>
    </row>
    <row r="185" customFormat="false" ht="15" hidden="false" customHeight="false" outlineLevel="0" collapsed="false">
      <c r="A185" s="13" t="s">
        <v>1918</v>
      </c>
      <c r="B185" s="13" t="n">
        <v>180</v>
      </c>
      <c r="C185" s="13" t="s">
        <v>1919</v>
      </c>
      <c r="D185" s="13" t="n">
        <v>6</v>
      </c>
      <c r="E185" s="36" t="s">
        <v>1920</v>
      </c>
      <c r="F185" s="13" t="s">
        <v>1298</v>
      </c>
      <c r="G185" s="13" t="s">
        <v>322</v>
      </c>
      <c r="H185" s="13" t="s">
        <v>1531</v>
      </c>
      <c r="I185" s="13" t="s">
        <v>62</v>
      </c>
      <c r="J185" s="13" t="s">
        <v>1623</v>
      </c>
      <c r="K185" s="30" t="n">
        <v>181</v>
      </c>
      <c r="L185" s="31" t="n">
        <v>46021</v>
      </c>
      <c r="M185" s="31" t="n">
        <v>46281</v>
      </c>
      <c r="N185" s="13"/>
      <c r="O185" s="13"/>
      <c r="P185" s="13"/>
      <c r="Q185" s="13"/>
    </row>
    <row r="186" customFormat="false" ht="15" hidden="false" customHeight="false" outlineLevel="0" collapsed="false">
      <c r="A186" s="13" t="s">
        <v>1921</v>
      </c>
      <c r="B186" s="13" t="n">
        <v>181</v>
      </c>
      <c r="C186" s="13" t="s">
        <v>1922</v>
      </c>
      <c r="D186" s="13" t="n">
        <v>7</v>
      </c>
      <c r="E186" s="38" t="s">
        <v>1923</v>
      </c>
      <c r="F186" s="13" t="s">
        <v>1298</v>
      </c>
      <c r="G186" s="13" t="s">
        <v>322</v>
      </c>
      <c r="H186" s="13" t="s">
        <v>1531</v>
      </c>
      <c r="I186" s="13" t="s">
        <v>62</v>
      </c>
      <c r="J186" s="13" t="s">
        <v>1920</v>
      </c>
      <c r="K186" s="30" t="n">
        <v>6</v>
      </c>
      <c r="L186" s="31" t="n">
        <v>46021</v>
      </c>
      <c r="M186" s="31" t="n">
        <v>46026</v>
      </c>
      <c r="N186" s="13"/>
      <c r="O186" s="13"/>
      <c r="P186" s="13"/>
      <c r="Q186" s="13"/>
    </row>
    <row r="187" customFormat="false" ht="15" hidden="false" customHeight="false" outlineLevel="0" collapsed="false">
      <c r="A187" s="16" t="s">
        <v>1924</v>
      </c>
      <c r="B187" s="16" t="n">
        <v>182</v>
      </c>
      <c r="C187" s="16" t="s">
        <v>1925</v>
      </c>
      <c r="D187" s="16" t="n">
        <v>8</v>
      </c>
      <c r="E187" s="39" t="s">
        <v>1859</v>
      </c>
      <c r="F187" s="16" t="s">
        <v>1285</v>
      </c>
      <c r="G187" s="16" t="s">
        <v>322</v>
      </c>
      <c r="H187" s="16" t="s">
        <v>1531</v>
      </c>
      <c r="I187" s="16" t="s">
        <v>62</v>
      </c>
      <c r="J187" s="16" t="s">
        <v>1923</v>
      </c>
      <c r="K187" s="32" t="n">
        <v>1</v>
      </c>
      <c r="L187" s="33" t="n">
        <v>46025</v>
      </c>
      <c r="M187" s="33" t="n">
        <v>46025</v>
      </c>
      <c r="N187" s="16" t="s">
        <v>1926</v>
      </c>
      <c r="O187" s="16"/>
      <c r="P187" s="16" t="str">
        <f aca="false">IF(AND(L187&lt;=$D$2,M187&gt;=$C$2),"Sí","")</f>
        <v/>
      </c>
      <c r="Q187" s="18" t="str">
        <f aca="false">IF(COUNTIF(LOOKAHEAD!$A$5:$A$604,A187)&gt;0,"En Lookahead",IF(P187="Sí","INCORPORAR",""))</f>
        <v/>
      </c>
    </row>
    <row r="188" customFormat="false" ht="15" hidden="false" customHeight="false" outlineLevel="0" collapsed="false">
      <c r="A188" s="16" t="s">
        <v>1927</v>
      </c>
      <c r="B188" s="16" t="n">
        <v>183</v>
      </c>
      <c r="C188" s="16" t="s">
        <v>1928</v>
      </c>
      <c r="D188" s="16" t="n">
        <v>8</v>
      </c>
      <c r="E188" s="39" t="s">
        <v>1929</v>
      </c>
      <c r="F188" s="16" t="s">
        <v>1285</v>
      </c>
      <c r="G188" s="16" t="s">
        <v>322</v>
      </c>
      <c r="H188" s="16" t="s">
        <v>1531</v>
      </c>
      <c r="I188" s="16" t="s">
        <v>62</v>
      </c>
      <c r="J188" s="16" t="s">
        <v>1923</v>
      </c>
      <c r="K188" s="32" t="n">
        <v>2</v>
      </c>
      <c r="L188" s="33" t="n">
        <v>46021</v>
      </c>
      <c r="M188" s="33" t="n">
        <v>46022</v>
      </c>
      <c r="N188" s="16" t="s">
        <v>1864</v>
      </c>
      <c r="O188" s="16"/>
      <c r="P188" s="16" t="str">
        <f aca="false">IF(AND(L188&lt;=$D$2,M188&gt;=$C$2),"Sí","")</f>
        <v/>
      </c>
      <c r="Q188" s="18" t="str">
        <f aca="false">IF(COUNTIF(LOOKAHEAD!$A$5:$A$604,A188)&gt;0,"En Lookahead",IF(P188="Sí","INCORPORAR",""))</f>
        <v/>
      </c>
    </row>
    <row r="189" customFormat="false" ht="15" hidden="false" customHeight="false" outlineLevel="0" collapsed="false">
      <c r="A189" s="16" t="s">
        <v>1930</v>
      </c>
      <c r="B189" s="16" t="n">
        <v>184</v>
      </c>
      <c r="C189" s="16" t="s">
        <v>1931</v>
      </c>
      <c r="D189" s="16" t="n">
        <v>8</v>
      </c>
      <c r="E189" s="39" t="s">
        <v>1932</v>
      </c>
      <c r="F189" s="16" t="s">
        <v>1285</v>
      </c>
      <c r="G189" s="16" t="s">
        <v>322</v>
      </c>
      <c r="H189" s="16" t="s">
        <v>1531</v>
      </c>
      <c r="I189" s="16" t="s">
        <v>62</v>
      </c>
      <c r="J189" s="16" t="s">
        <v>1923</v>
      </c>
      <c r="K189" s="32" t="n">
        <v>2</v>
      </c>
      <c r="L189" s="33" t="n">
        <v>46023</v>
      </c>
      <c r="M189" s="33" t="n">
        <v>46024</v>
      </c>
      <c r="N189" s="16" t="s">
        <v>1933</v>
      </c>
      <c r="O189" s="16"/>
      <c r="P189" s="16" t="str">
        <f aca="false">IF(AND(L189&lt;=$D$2,M189&gt;=$C$2),"Sí","")</f>
        <v/>
      </c>
      <c r="Q189" s="18" t="str">
        <f aca="false">IF(COUNTIF(LOOKAHEAD!$A$5:$A$604,A189)&gt;0,"En Lookahead",IF(P189="Sí","INCORPORAR",""))</f>
        <v/>
      </c>
    </row>
    <row r="190" customFormat="false" ht="15" hidden="false" customHeight="false" outlineLevel="0" collapsed="false">
      <c r="A190" s="16" t="s">
        <v>1934</v>
      </c>
      <c r="B190" s="16" t="n">
        <v>185</v>
      </c>
      <c r="C190" s="16" t="s">
        <v>1935</v>
      </c>
      <c r="D190" s="16" t="n">
        <v>8</v>
      </c>
      <c r="E190" s="39" t="s">
        <v>1602</v>
      </c>
      <c r="F190" s="16" t="s">
        <v>1285</v>
      </c>
      <c r="G190" s="16" t="s">
        <v>322</v>
      </c>
      <c r="H190" s="16" t="s">
        <v>1531</v>
      </c>
      <c r="I190" s="16" t="s">
        <v>62</v>
      </c>
      <c r="J190" s="16" t="s">
        <v>1923</v>
      </c>
      <c r="K190" s="32" t="n">
        <v>1</v>
      </c>
      <c r="L190" s="33" t="n">
        <v>46026</v>
      </c>
      <c r="M190" s="33" t="n">
        <v>46026</v>
      </c>
      <c r="N190" s="16" t="s">
        <v>1936</v>
      </c>
      <c r="O190" s="16"/>
      <c r="P190" s="16" t="str">
        <f aca="false">IF(AND(L190&lt;=$D$2,M190&gt;=$C$2),"Sí","")</f>
        <v/>
      </c>
      <c r="Q190" s="18" t="str">
        <f aca="false">IF(COUNTIF(LOOKAHEAD!$A$5:$A$604,A190)&gt;0,"En Lookahead",IF(P190="Sí","INCORPORAR",""))</f>
        <v/>
      </c>
    </row>
    <row r="191" customFormat="false" ht="15" hidden="false" customHeight="false" outlineLevel="0" collapsed="false">
      <c r="A191" s="13" t="s">
        <v>1937</v>
      </c>
      <c r="B191" s="13" t="n">
        <v>186</v>
      </c>
      <c r="C191" s="13" t="s">
        <v>1938</v>
      </c>
      <c r="D191" s="13" t="n">
        <v>7</v>
      </c>
      <c r="E191" s="38" t="s">
        <v>1939</v>
      </c>
      <c r="F191" s="13" t="s">
        <v>1298</v>
      </c>
      <c r="G191" s="13" t="s">
        <v>322</v>
      </c>
      <c r="H191" s="13" t="s">
        <v>1531</v>
      </c>
      <c r="I191" s="13" t="s">
        <v>62</v>
      </c>
      <c r="J191" s="13" t="s">
        <v>1920</v>
      </c>
      <c r="K191" s="30" t="n">
        <v>4</v>
      </c>
      <c r="L191" s="31" t="n">
        <v>46097</v>
      </c>
      <c r="M191" s="31" t="n">
        <v>46100</v>
      </c>
      <c r="N191" s="13"/>
      <c r="O191" s="13"/>
      <c r="P191" s="13"/>
      <c r="Q191" s="13"/>
    </row>
    <row r="192" customFormat="false" ht="15" hidden="false" customHeight="false" outlineLevel="0" collapsed="false">
      <c r="A192" s="16" t="s">
        <v>1940</v>
      </c>
      <c r="B192" s="16" t="n">
        <v>187</v>
      </c>
      <c r="C192" s="16" t="s">
        <v>1941</v>
      </c>
      <c r="D192" s="16" t="n">
        <v>8</v>
      </c>
      <c r="E192" s="39" t="s">
        <v>1881</v>
      </c>
      <c r="F192" s="16" t="s">
        <v>1285</v>
      </c>
      <c r="G192" s="16" t="s">
        <v>322</v>
      </c>
      <c r="H192" s="16" t="s">
        <v>1531</v>
      </c>
      <c r="I192" s="16" t="s">
        <v>62</v>
      </c>
      <c r="J192" s="16" t="s">
        <v>1939</v>
      </c>
      <c r="K192" s="32" t="n">
        <v>1</v>
      </c>
      <c r="L192" s="33" t="n">
        <v>46099</v>
      </c>
      <c r="M192" s="33" t="n">
        <v>46099</v>
      </c>
      <c r="N192" s="16" t="s">
        <v>1942</v>
      </c>
      <c r="O192" s="16"/>
      <c r="P192" s="16" t="str">
        <f aca="false">IF(AND(L192&lt;=$D$2,M192&gt;=$C$2),"Sí","")</f>
        <v/>
      </c>
      <c r="Q192" s="18" t="str">
        <f aca="false">IF(COUNTIF(LOOKAHEAD!$A$5:$A$604,A192)&gt;0,"En Lookahead",IF(P192="Sí","INCORPORAR",""))</f>
        <v/>
      </c>
    </row>
    <row r="193" customFormat="false" ht="15" hidden="false" customHeight="false" outlineLevel="0" collapsed="false">
      <c r="A193" s="16" t="s">
        <v>1943</v>
      </c>
      <c r="B193" s="16" t="n">
        <v>188</v>
      </c>
      <c r="C193" s="16" t="s">
        <v>1944</v>
      </c>
      <c r="D193" s="16" t="n">
        <v>8</v>
      </c>
      <c r="E193" s="39" t="s">
        <v>1945</v>
      </c>
      <c r="F193" s="16" t="s">
        <v>1285</v>
      </c>
      <c r="G193" s="16" t="s">
        <v>322</v>
      </c>
      <c r="H193" s="16" t="s">
        <v>1531</v>
      </c>
      <c r="I193" s="16" t="s">
        <v>62</v>
      </c>
      <c r="J193" s="16" t="s">
        <v>1939</v>
      </c>
      <c r="K193" s="32" t="n">
        <v>1</v>
      </c>
      <c r="L193" s="33" t="n">
        <v>46097</v>
      </c>
      <c r="M193" s="33" t="n">
        <v>46097</v>
      </c>
      <c r="N193" s="16" t="s">
        <v>1886</v>
      </c>
      <c r="O193" s="16"/>
      <c r="P193" s="16" t="str">
        <f aca="false">IF(AND(L193&lt;=$D$2,M193&gt;=$C$2),"Sí","")</f>
        <v/>
      </c>
      <c r="Q193" s="18" t="str">
        <f aca="false">IF(COUNTIF(LOOKAHEAD!$A$5:$A$604,A193)&gt;0,"En Lookahead",IF(P193="Sí","INCORPORAR",""))</f>
        <v/>
      </c>
    </row>
    <row r="194" customFormat="false" ht="15" hidden="false" customHeight="false" outlineLevel="0" collapsed="false">
      <c r="A194" s="16" t="s">
        <v>1946</v>
      </c>
      <c r="B194" s="16" t="n">
        <v>189</v>
      </c>
      <c r="C194" s="16" t="s">
        <v>1947</v>
      </c>
      <c r="D194" s="16" t="n">
        <v>8</v>
      </c>
      <c r="E194" s="39" t="s">
        <v>1932</v>
      </c>
      <c r="F194" s="16" t="s">
        <v>1285</v>
      </c>
      <c r="G194" s="16" t="s">
        <v>322</v>
      </c>
      <c r="H194" s="16" t="s">
        <v>1531</v>
      </c>
      <c r="I194" s="16" t="s">
        <v>62</v>
      </c>
      <c r="J194" s="16" t="s">
        <v>1939</v>
      </c>
      <c r="K194" s="32" t="n">
        <v>1</v>
      </c>
      <c r="L194" s="33" t="n">
        <v>46098</v>
      </c>
      <c r="M194" s="33" t="n">
        <v>46098</v>
      </c>
      <c r="N194" s="16" t="s">
        <v>1948</v>
      </c>
      <c r="O194" s="16"/>
      <c r="P194" s="16" t="str">
        <f aca="false">IF(AND(L194&lt;=$D$2,M194&gt;=$C$2),"Sí","")</f>
        <v/>
      </c>
      <c r="Q194" s="18" t="str">
        <f aca="false">IF(COUNTIF(LOOKAHEAD!$A$5:$A$604,A194)&gt;0,"En Lookahead",IF(P194="Sí","INCORPORAR",""))</f>
        <v/>
      </c>
    </row>
    <row r="195" customFormat="false" ht="15" hidden="false" customHeight="false" outlineLevel="0" collapsed="false">
      <c r="A195" s="16" t="s">
        <v>1949</v>
      </c>
      <c r="B195" s="16" t="n">
        <v>190</v>
      </c>
      <c r="C195" s="16" t="s">
        <v>1950</v>
      </c>
      <c r="D195" s="16" t="n">
        <v>8</v>
      </c>
      <c r="E195" s="39" t="s">
        <v>1602</v>
      </c>
      <c r="F195" s="16" t="s">
        <v>1285</v>
      </c>
      <c r="G195" s="16" t="s">
        <v>322</v>
      </c>
      <c r="H195" s="16" t="s">
        <v>1531</v>
      </c>
      <c r="I195" s="16" t="s">
        <v>62</v>
      </c>
      <c r="J195" s="16" t="s">
        <v>1939</v>
      </c>
      <c r="K195" s="32" t="n">
        <v>1</v>
      </c>
      <c r="L195" s="33" t="n">
        <v>46100</v>
      </c>
      <c r="M195" s="33" t="n">
        <v>46100</v>
      </c>
      <c r="N195" s="16" t="s">
        <v>1951</v>
      </c>
      <c r="O195" s="16"/>
      <c r="P195" s="16" t="str">
        <f aca="false">IF(AND(L195&lt;=$D$2,M195&gt;=$C$2),"Sí","")</f>
        <v/>
      </c>
      <c r="Q195" s="18" t="str">
        <f aca="false">IF(COUNTIF(LOOKAHEAD!$A$5:$A$604,A195)&gt;0,"En Lookahead",IF(P195="Sí","INCORPORAR",""))</f>
        <v/>
      </c>
    </row>
    <row r="196" customFormat="false" ht="15" hidden="false" customHeight="false" outlineLevel="0" collapsed="false">
      <c r="A196" s="13" t="s">
        <v>1952</v>
      </c>
      <c r="B196" s="13" t="n">
        <v>191</v>
      </c>
      <c r="C196" s="13" t="s">
        <v>1953</v>
      </c>
      <c r="D196" s="13" t="n">
        <v>7</v>
      </c>
      <c r="E196" s="38" t="s">
        <v>1954</v>
      </c>
      <c r="F196" s="13" t="s">
        <v>1298</v>
      </c>
      <c r="G196" s="13" t="s">
        <v>322</v>
      </c>
      <c r="H196" s="13" t="s">
        <v>1531</v>
      </c>
      <c r="I196" s="13" t="s">
        <v>62</v>
      </c>
      <c r="J196" s="13" t="s">
        <v>1920</v>
      </c>
      <c r="K196" s="30" t="n">
        <v>5</v>
      </c>
      <c r="L196" s="31" t="n">
        <v>46255</v>
      </c>
      <c r="M196" s="31" t="n">
        <v>46259</v>
      </c>
      <c r="N196" s="13"/>
      <c r="O196" s="13"/>
      <c r="P196" s="13"/>
      <c r="Q196" s="13"/>
    </row>
    <row r="197" customFormat="false" ht="15" hidden="false" customHeight="false" outlineLevel="0" collapsed="false">
      <c r="A197" s="16" t="s">
        <v>1955</v>
      </c>
      <c r="B197" s="16" t="n">
        <v>192</v>
      </c>
      <c r="C197" s="16" t="s">
        <v>1956</v>
      </c>
      <c r="D197" s="16" t="n">
        <v>8</v>
      </c>
      <c r="E197" s="39" t="s">
        <v>1902</v>
      </c>
      <c r="F197" s="16" t="s">
        <v>1285</v>
      </c>
      <c r="G197" s="16" t="s">
        <v>322</v>
      </c>
      <c r="H197" s="16" t="s">
        <v>1531</v>
      </c>
      <c r="I197" s="16" t="s">
        <v>62</v>
      </c>
      <c r="J197" s="16" t="s">
        <v>1954</v>
      </c>
      <c r="K197" s="32" t="n">
        <v>1</v>
      </c>
      <c r="L197" s="33" t="n">
        <v>46258</v>
      </c>
      <c r="M197" s="33" t="n">
        <v>46258</v>
      </c>
      <c r="N197" s="16" t="s">
        <v>1957</v>
      </c>
      <c r="O197" s="16"/>
      <c r="P197" s="16" t="str">
        <f aca="false">IF(AND(L197&lt;=$D$2,M197&gt;=$C$2),"Sí","")</f>
        <v/>
      </c>
      <c r="Q197" s="18" t="str">
        <f aca="false">IF(COUNTIF(LOOKAHEAD!$A$5:$A$604,A197)&gt;0,"En Lookahead",IF(P197="Sí","INCORPORAR",""))</f>
        <v/>
      </c>
    </row>
    <row r="198" customFormat="false" ht="15" hidden="false" customHeight="false" outlineLevel="0" collapsed="false">
      <c r="A198" s="16" t="s">
        <v>1958</v>
      </c>
      <c r="B198" s="16" t="n">
        <v>193</v>
      </c>
      <c r="C198" s="16" t="s">
        <v>1959</v>
      </c>
      <c r="D198" s="16" t="n">
        <v>8</v>
      </c>
      <c r="E198" s="39" t="s">
        <v>1960</v>
      </c>
      <c r="F198" s="16" t="s">
        <v>1285</v>
      </c>
      <c r="G198" s="16" t="s">
        <v>322</v>
      </c>
      <c r="H198" s="16" t="s">
        <v>1531</v>
      </c>
      <c r="I198" s="16" t="s">
        <v>62</v>
      </c>
      <c r="J198" s="16" t="s">
        <v>1954</v>
      </c>
      <c r="K198" s="32" t="n">
        <v>2</v>
      </c>
      <c r="L198" s="33" t="n">
        <v>46255</v>
      </c>
      <c r="M198" s="33" t="n">
        <v>46256</v>
      </c>
      <c r="N198" s="16" t="s">
        <v>1907</v>
      </c>
      <c r="O198" s="16"/>
      <c r="P198" s="16" t="str">
        <f aca="false">IF(AND(L198&lt;=$D$2,M198&gt;=$C$2),"Sí","")</f>
        <v/>
      </c>
      <c r="Q198" s="18" t="str">
        <f aca="false">IF(COUNTIF(LOOKAHEAD!$A$5:$A$604,A198)&gt;0,"En Lookahead",IF(P198="Sí","INCORPORAR",""))</f>
        <v/>
      </c>
    </row>
    <row r="199" customFormat="false" ht="15" hidden="false" customHeight="false" outlineLevel="0" collapsed="false">
      <c r="A199" s="16" t="s">
        <v>1961</v>
      </c>
      <c r="B199" s="16" t="n">
        <v>194</v>
      </c>
      <c r="C199" s="16" t="s">
        <v>1962</v>
      </c>
      <c r="D199" s="16" t="n">
        <v>8</v>
      </c>
      <c r="E199" s="39" t="s">
        <v>1932</v>
      </c>
      <c r="F199" s="16" t="s">
        <v>1285</v>
      </c>
      <c r="G199" s="16" t="s">
        <v>322</v>
      </c>
      <c r="H199" s="16" t="s">
        <v>1531</v>
      </c>
      <c r="I199" s="16" t="s">
        <v>62</v>
      </c>
      <c r="J199" s="16" t="s">
        <v>1954</v>
      </c>
      <c r="K199" s="32" t="n">
        <v>1</v>
      </c>
      <c r="L199" s="33" t="n">
        <v>46257</v>
      </c>
      <c r="M199" s="33" t="n">
        <v>46257</v>
      </c>
      <c r="N199" s="16" t="s">
        <v>1963</v>
      </c>
      <c r="O199" s="16"/>
      <c r="P199" s="16" t="str">
        <f aca="false">IF(AND(L199&lt;=$D$2,M199&gt;=$C$2),"Sí","")</f>
        <v/>
      </c>
      <c r="Q199" s="18" t="str">
        <f aca="false">IF(COUNTIF(LOOKAHEAD!$A$5:$A$604,A199)&gt;0,"En Lookahead",IF(P199="Sí","INCORPORAR",""))</f>
        <v/>
      </c>
    </row>
    <row r="200" customFormat="false" ht="15" hidden="false" customHeight="false" outlineLevel="0" collapsed="false">
      <c r="A200" s="16" t="s">
        <v>1964</v>
      </c>
      <c r="B200" s="16" t="n">
        <v>195</v>
      </c>
      <c r="C200" s="16" t="s">
        <v>1965</v>
      </c>
      <c r="D200" s="16" t="n">
        <v>8</v>
      </c>
      <c r="E200" s="39" t="s">
        <v>1602</v>
      </c>
      <c r="F200" s="16" t="s">
        <v>1285</v>
      </c>
      <c r="G200" s="16" t="s">
        <v>322</v>
      </c>
      <c r="H200" s="16" t="s">
        <v>1531</v>
      </c>
      <c r="I200" s="16" t="s">
        <v>62</v>
      </c>
      <c r="J200" s="16" t="s">
        <v>1954</v>
      </c>
      <c r="K200" s="32" t="n">
        <v>1</v>
      </c>
      <c r="L200" s="33" t="n">
        <v>46259</v>
      </c>
      <c r="M200" s="33" t="n">
        <v>46259</v>
      </c>
      <c r="N200" s="16" t="s">
        <v>1966</v>
      </c>
      <c r="O200" s="16"/>
      <c r="P200" s="16" t="str">
        <f aca="false">IF(AND(L200&lt;=$D$2,M200&gt;=$C$2),"Sí","")</f>
        <v/>
      </c>
      <c r="Q200" s="18" t="str">
        <f aca="false">IF(COUNTIF(LOOKAHEAD!$A$5:$A$604,A200)&gt;0,"En Lookahead",IF(P200="Sí","INCORPORAR",""))</f>
        <v/>
      </c>
    </row>
    <row r="201" customFormat="false" ht="15" hidden="false" customHeight="false" outlineLevel="0" collapsed="false">
      <c r="A201" s="13" t="s">
        <v>1967</v>
      </c>
      <c r="B201" s="13" t="n">
        <v>196</v>
      </c>
      <c r="C201" s="13" t="s">
        <v>1968</v>
      </c>
      <c r="D201" s="13" t="n">
        <v>7</v>
      </c>
      <c r="E201" s="38" t="s">
        <v>1969</v>
      </c>
      <c r="F201" s="13" t="s">
        <v>1298</v>
      </c>
      <c r="G201" s="13" t="s">
        <v>322</v>
      </c>
      <c r="H201" s="13" t="s">
        <v>1531</v>
      </c>
      <c r="I201" s="13" t="s">
        <v>62</v>
      </c>
      <c r="J201" s="13" t="s">
        <v>1920</v>
      </c>
      <c r="K201" s="30" t="n">
        <v>4</v>
      </c>
      <c r="L201" s="31" t="n">
        <v>46278</v>
      </c>
      <c r="M201" s="31" t="n">
        <v>46281</v>
      </c>
      <c r="N201" s="13"/>
      <c r="O201" s="13"/>
      <c r="P201" s="13"/>
      <c r="Q201" s="13"/>
    </row>
    <row r="202" customFormat="false" ht="15" hidden="false" customHeight="false" outlineLevel="0" collapsed="false">
      <c r="A202" s="16" t="s">
        <v>1970</v>
      </c>
      <c r="B202" s="16" t="n">
        <v>197</v>
      </c>
      <c r="C202" s="16" t="s">
        <v>1971</v>
      </c>
      <c r="D202" s="16" t="n">
        <v>8</v>
      </c>
      <c r="E202" s="39" t="s">
        <v>1902</v>
      </c>
      <c r="F202" s="16" t="s">
        <v>1285</v>
      </c>
      <c r="G202" s="16" t="s">
        <v>322</v>
      </c>
      <c r="H202" s="16" t="s">
        <v>1531</v>
      </c>
      <c r="I202" s="16" t="s">
        <v>62</v>
      </c>
      <c r="J202" s="16" t="s">
        <v>1969</v>
      </c>
      <c r="K202" s="32" t="n">
        <v>1</v>
      </c>
      <c r="L202" s="33" t="n">
        <v>46280</v>
      </c>
      <c r="M202" s="33" t="n">
        <v>46280</v>
      </c>
      <c r="N202" s="16" t="s">
        <v>1972</v>
      </c>
      <c r="O202" s="16"/>
      <c r="P202" s="16" t="str">
        <f aca="false">IF(AND(L202&lt;=$D$2,M202&gt;=$C$2),"Sí","")</f>
        <v/>
      </c>
      <c r="Q202" s="18" t="str">
        <f aca="false">IF(COUNTIF(LOOKAHEAD!$A$5:$A$604,A202)&gt;0,"En Lookahead",IF(P202="Sí","INCORPORAR",""))</f>
        <v/>
      </c>
    </row>
    <row r="203" customFormat="false" ht="15" hidden="false" customHeight="false" outlineLevel="0" collapsed="false">
      <c r="A203" s="16" t="s">
        <v>1973</v>
      </c>
      <c r="B203" s="16" t="n">
        <v>198</v>
      </c>
      <c r="C203" s="16" t="s">
        <v>1974</v>
      </c>
      <c r="D203" s="16" t="n">
        <v>8</v>
      </c>
      <c r="E203" s="39" t="s">
        <v>1975</v>
      </c>
      <c r="F203" s="16" t="s">
        <v>1285</v>
      </c>
      <c r="G203" s="16" t="s">
        <v>322</v>
      </c>
      <c r="H203" s="16" t="s">
        <v>1531</v>
      </c>
      <c r="I203" s="16" t="s">
        <v>62</v>
      </c>
      <c r="J203" s="16" t="s">
        <v>1969</v>
      </c>
      <c r="K203" s="32" t="n">
        <v>1</v>
      </c>
      <c r="L203" s="33" t="n">
        <v>46278</v>
      </c>
      <c r="M203" s="33" t="n">
        <v>46278</v>
      </c>
      <c r="N203" s="16" t="s">
        <v>1976</v>
      </c>
      <c r="O203" s="16"/>
      <c r="P203" s="16" t="str">
        <f aca="false">IF(AND(L203&lt;=$D$2,M203&gt;=$C$2),"Sí","")</f>
        <v/>
      </c>
      <c r="Q203" s="18" t="str">
        <f aca="false">IF(COUNTIF(LOOKAHEAD!$A$5:$A$604,A203)&gt;0,"En Lookahead",IF(P203="Sí","INCORPORAR",""))</f>
        <v/>
      </c>
    </row>
    <row r="204" customFormat="false" ht="15" hidden="false" customHeight="false" outlineLevel="0" collapsed="false">
      <c r="A204" s="16" t="s">
        <v>1977</v>
      </c>
      <c r="B204" s="16" t="n">
        <v>199</v>
      </c>
      <c r="C204" s="16" t="s">
        <v>1978</v>
      </c>
      <c r="D204" s="16" t="n">
        <v>8</v>
      </c>
      <c r="E204" s="39" t="s">
        <v>1932</v>
      </c>
      <c r="F204" s="16" t="s">
        <v>1285</v>
      </c>
      <c r="G204" s="16" t="s">
        <v>322</v>
      </c>
      <c r="H204" s="16" t="s">
        <v>1531</v>
      </c>
      <c r="I204" s="16" t="s">
        <v>62</v>
      </c>
      <c r="J204" s="16" t="s">
        <v>1969</v>
      </c>
      <c r="K204" s="32" t="n">
        <v>1</v>
      </c>
      <c r="L204" s="33" t="n">
        <v>46279</v>
      </c>
      <c r="M204" s="33" t="n">
        <v>46279</v>
      </c>
      <c r="N204" s="16" t="s">
        <v>1979</v>
      </c>
      <c r="O204" s="16"/>
      <c r="P204" s="16" t="str">
        <f aca="false">IF(AND(L204&lt;=$D$2,M204&gt;=$C$2),"Sí","")</f>
        <v/>
      </c>
      <c r="Q204" s="18" t="str">
        <f aca="false">IF(COUNTIF(LOOKAHEAD!$A$5:$A$604,A204)&gt;0,"En Lookahead",IF(P204="Sí","INCORPORAR",""))</f>
        <v/>
      </c>
    </row>
    <row r="205" customFormat="false" ht="15" hidden="false" customHeight="false" outlineLevel="0" collapsed="false">
      <c r="A205" s="16" t="s">
        <v>1980</v>
      </c>
      <c r="B205" s="16" t="n">
        <v>200</v>
      </c>
      <c r="C205" s="16" t="s">
        <v>1981</v>
      </c>
      <c r="D205" s="16" t="n">
        <v>8</v>
      </c>
      <c r="E205" s="39" t="s">
        <v>1602</v>
      </c>
      <c r="F205" s="16" t="s">
        <v>1285</v>
      </c>
      <c r="G205" s="16" t="s">
        <v>322</v>
      </c>
      <c r="H205" s="16" t="s">
        <v>1531</v>
      </c>
      <c r="I205" s="16" t="s">
        <v>62</v>
      </c>
      <c r="J205" s="16" t="s">
        <v>1969</v>
      </c>
      <c r="K205" s="32" t="n">
        <v>1</v>
      </c>
      <c r="L205" s="33" t="n">
        <v>46281</v>
      </c>
      <c r="M205" s="33" t="n">
        <v>46281</v>
      </c>
      <c r="N205" s="16" t="s">
        <v>1982</v>
      </c>
      <c r="O205" s="16"/>
      <c r="P205" s="16" t="str">
        <f aca="false">IF(AND(L205&lt;=$D$2,M205&gt;=$C$2),"Sí","")</f>
        <v/>
      </c>
      <c r="Q205" s="18" t="str">
        <f aca="false">IF(COUNTIF(LOOKAHEAD!$A$5:$A$604,A205)&gt;0,"En Lookahead",IF(P205="Sí","INCORPORAR",""))</f>
        <v/>
      </c>
    </row>
    <row r="206" customFormat="false" ht="15" hidden="false" customHeight="false" outlineLevel="0" collapsed="false">
      <c r="A206" s="13" t="s">
        <v>1983</v>
      </c>
      <c r="B206" s="13" t="n">
        <v>201</v>
      </c>
      <c r="C206" s="13" t="s">
        <v>1984</v>
      </c>
      <c r="D206" s="13" t="n">
        <v>6</v>
      </c>
      <c r="E206" s="36" t="s">
        <v>1985</v>
      </c>
      <c r="F206" s="13" t="s">
        <v>1298</v>
      </c>
      <c r="G206" s="13" t="s">
        <v>322</v>
      </c>
      <c r="H206" s="13" t="s">
        <v>1531</v>
      </c>
      <c r="I206" s="13" t="s">
        <v>62</v>
      </c>
      <c r="J206" s="13" t="s">
        <v>1623</v>
      </c>
      <c r="K206" s="30" t="n">
        <v>9</v>
      </c>
      <c r="L206" s="31" t="n">
        <v>46070</v>
      </c>
      <c r="M206" s="31" t="n">
        <v>46078</v>
      </c>
      <c r="N206" s="13"/>
      <c r="O206" s="13"/>
      <c r="P206" s="13"/>
      <c r="Q206" s="13"/>
    </row>
    <row r="207" customFormat="false" ht="15" hidden="false" customHeight="false" outlineLevel="0" collapsed="false">
      <c r="A207" s="13" t="s">
        <v>1986</v>
      </c>
      <c r="B207" s="13" t="n">
        <v>202</v>
      </c>
      <c r="C207" s="13" t="s">
        <v>1987</v>
      </c>
      <c r="D207" s="13" t="n">
        <v>7</v>
      </c>
      <c r="E207" s="38" t="s">
        <v>1988</v>
      </c>
      <c r="F207" s="13" t="s">
        <v>1298</v>
      </c>
      <c r="G207" s="13" t="s">
        <v>322</v>
      </c>
      <c r="H207" s="13" t="s">
        <v>1531</v>
      </c>
      <c r="I207" s="13" t="s">
        <v>62</v>
      </c>
      <c r="J207" s="13" t="s">
        <v>1985</v>
      </c>
      <c r="K207" s="30" t="n">
        <v>6</v>
      </c>
      <c r="L207" s="31" t="n">
        <v>46070</v>
      </c>
      <c r="M207" s="31" t="n">
        <v>46075</v>
      </c>
      <c r="N207" s="13"/>
      <c r="O207" s="13"/>
      <c r="P207" s="13"/>
      <c r="Q207" s="13"/>
    </row>
    <row r="208" customFormat="false" ht="15" hidden="false" customHeight="false" outlineLevel="0" collapsed="false">
      <c r="A208" s="16" t="s">
        <v>1989</v>
      </c>
      <c r="B208" s="16" t="n">
        <v>203</v>
      </c>
      <c r="C208" s="16" t="s">
        <v>1990</v>
      </c>
      <c r="D208" s="16" t="n">
        <v>8</v>
      </c>
      <c r="E208" s="39" t="s">
        <v>1991</v>
      </c>
      <c r="F208" s="16" t="s">
        <v>1285</v>
      </c>
      <c r="G208" s="16" t="s">
        <v>322</v>
      </c>
      <c r="H208" s="16" t="s">
        <v>1531</v>
      </c>
      <c r="I208" s="16" t="s">
        <v>62</v>
      </c>
      <c r="J208" s="16" t="s">
        <v>1988</v>
      </c>
      <c r="K208" s="32" t="n">
        <v>1</v>
      </c>
      <c r="L208" s="33" t="n">
        <v>46074</v>
      </c>
      <c r="M208" s="33" t="n">
        <v>46074</v>
      </c>
      <c r="N208" s="16" t="s">
        <v>1992</v>
      </c>
      <c r="O208" s="16"/>
      <c r="P208" s="16" t="str">
        <f aca="false">IF(AND(L208&lt;=$D$2,M208&gt;=$C$2),"Sí","")</f>
        <v/>
      </c>
      <c r="Q208" s="18" t="str">
        <f aca="false">IF(COUNTIF(LOOKAHEAD!$A$5:$A$604,A208)&gt;0,"En Lookahead",IF(P208="Sí","INCORPORAR",""))</f>
        <v/>
      </c>
    </row>
    <row r="209" customFormat="false" ht="15" hidden="false" customHeight="false" outlineLevel="0" collapsed="false">
      <c r="A209" s="16" t="s">
        <v>1993</v>
      </c>
      <c r="B209" s="16" t="n">
        <v>204</v>
      </c>
      <c r="C209" s="16" t="s">
        <v>1994</v>
      </c>
      <c r="D209" s="16" t="n">
        <v>8</v>
      </c>
      <c r="E209" s="39" t="s">
        <v>1995</v>
      </c>
      <c r="F209" s="16" t="s">
        <v>1285</v>
      </c>
      <c r="G209" s="16" t="s">
        <v>322</v>
      </c>
      <c r="H209" s="16" t="s">
        <v>1531</v>
      </c>
      <c r="I209" s="16" t="s">
        <v>62</v>
      </c>
      <c r="J209" s="16" t="s">
        <v>1988</v>
      </c>
      <c r="K209" s="32" t="n">
        <v>2</v>
      </c>
      <c r="L209" s="33" t="n">
        <v>46072</v>
      </c>
      <c r="M209" s="33" t="n">
        <v>46073</v>
      </c>
      <c r="N209" s="16" t="s">
        <v>1996</v>
      </c>
      <c r="O209" s="16"/>
      <c r="P209" s="16" t="str">
        <f aca="false">IF(AND(L209&lt;=$D$2,M209&gt;=$C$2),"Sí","")</f>
        <v/>
      </c>
      <c r="Q209" s="18" t="str">
        <f aca="false">IF(COUNTIF(LOOKAHEAD!$A$5:$A$604,A209)&gt;0,"En Lookahead",IF(P209="Sí","INCORPORAR",""))</f>
        <v/>
      </c>
    </row>
    <row r="210" customFormat="false" ht="15" hidden="false" customHeight="false" outlineLevel="0" collapsed="false">
      <c r="A210" s="16" t="s">
        <v>1997</v>
      </c>
      <c r="B210" s="16" t="n">
        <v>205</v>
      </c>
      <c r="C210" s="16" t="s">
        <v>1998</v>
      </c>
      <c r="D210" s="16" t="n">
        <v>8</v>
      </c>
      <c r="E210" s="39" t="s">
        <v>1999</v>
      </c>
      <c r="F210" s="16" t="s">
        <v>1285</v>
      </c>
      <c r="G210" s="16" t="s">
        <v>322</v>
      </c>
      <c r="H210" s="16" t="s">
        <v>1531</v>
      </c>
      <c r="I210" s="16" t="s">
        <v>62</v>
      </c>
      <c r="J210" s="16" t="s">
        <v>1988</v>
      </c>
      <c r="K210" s="32" t="n">
        <v>2</v>
      </c>
      <c r="L210" s="33" t="n">
        <v>46070</v>
      </c>
      <c r="M210" s="33" t="n">
        <v>46071</v>
      </c>
      <c r="N210" s="16" t="s">
        <v>2000</v>
      </c>
      <c r="O210" s="16"/>
      <c r="P210" s="16" t="str">
        <f aca="false">IF(AND(L210&lt;=$D$2,M210&gt;=$C$2),"Sí","")</f>
        <v/>
      </c>
      <c r="Q210" s="18" t="str">
        <f aca="false">IF(COUNTIF(LOOKAHEAD!$A$5:$A$604,A210)&gt;0,"En Lookahead",IF(P210="Sí","INCORPORAR",""))</f>
        <v/>
      </c>
    </row>
    <row r="211" customFormat="false" ht="15" hidden="false" customHeight="false" outlineLevel="0" collapsed="false">
      <c r="A211" s="16" t="s">
        <v>2001</v>
      </c>
      <c r="B211" s="16" t="n">
        <v>206</v>
      </c>
      <c r="C211" s="16" t="s">
        <v>2002</v>
      </c>
      <c r="D211" s="16" t="n">
        <v>8</v>
      </c>
      <c r="E211" s="39" t="s">
        <v>1677</v>
      </c>
      <c r="F211" s="16" t="s">
        <v>1285</v>
      </c>
      <c r="G211" s="16" t="s">
        <v>322</v>
      </c>
      <c r="H211" s="16" t="s">
        <v>1531</v>
      </c>
      <c r="I211" s="16" t="s">
        <v>62</v>
      </c>
      <c r="J211" s="16" t="s">
        <v>1988</v>
      </c>
      <c r="K211" s="32" t="n">
        <v>1</v>
      </c>
      <c r="L211" s="33" t="n">
        <v>46075</v>
      </c>
      <c r="M211" s="33" t="n">
        <v>46075</v>
      </c>
      <c r="N211" s="16" t="s">
        <v>2003</v>
      </c>
      <c r="O211" s="16"/>
      <c r="P211" s="16" t="str">
        <f aca="false">IF(AND(L211&lt;=$D$2,M211&gt;=$C$2),"Sí","")</f>
        <v/>
      </c>
      <c r="Q211" s="18" t="str">
        <f aca="false">IF(COUNTIF(LOOKAHEAD!$A$5:$A$604,A211)&gt;0,"En Lookahead",IF(P211="Sí","INCORPORAR",""))</f>
        <v/>
      </c>
    </row>
    <row r="212" customFormat="false" ht="15" hidden="false" customHeight="false" outlineLevel="0" collapsed="false">
      <c r="A212" s="13" t="s">
        <v>2004</v>
      </c>
      <c r="B212" s="13" t="n">
        <v>207</v>
      </c>
      <c r="C212" s="13" t="s">
        <v>2005</v>
      </c>
      <c r="D212" s="13" t="n">
        <v>7</v>
      </c>
      <c r="E212" s="38" t="s">
        <v>2006</v>
      </c>
      <c r="F212" s="13" t="s">
        <v>1298</v>
      </c>
      <c r="G212" s="13" t="s">
        <v>322</v>
      </c>
      <c r="H212" s="13" t="s">
        <v>1531</v>
      </c>
      <c r="I212" s="13" t="s">
        <v>62</v>
      </c>
      <c r="J212" s="13" t="s">
        <v>1985</v>
      </c>
      <c r="K212" s="30" t="n">
        <v>9</v>
      </c>
      <c r="L212" s="31" t="n">
        <v>46070</v>
      </c>
      <c r="M212" s="31" t="n">
        <v>46078</v>
      </c>
      <c r="N212" s="13"/>
      <c r="O212" s="13"/>
      <c r="P212" s="13"/>
      <c r="Q212" s="13"/>
    </row>
    <row r="213" customFormat="false" ht="15" hidden="false" customHeight="false" outlineLevel="0" collapsed="false">
      <c r="A213" s="16" t="s">
        <v>2007</v>
      </c>
      <c r="B213" s="16" t="n">
        <v>208</v>
      </c>
      <c r="C213" s="16" t="s">
        <v>2008</v>
      </c>
      <c r="D213" s="16" t="n">
        <v>8</v>
      </c>
      <c r="E213" s="39" t="s">
        <v>2009</v>
      </c>
      <c r="F213" s="16" t="s">
        <v>1285</v>
      </c>
      <c r="G213" s="16" t="s">
        <v>322</v>
      </c>
      <c r="H213" s="16" t="s">
        <v>1531</v>
      </c>
      <c r="I213" s="16" t="s">
        <v>62</v>
      </c>
      <c r="J213" s="16" t="s">
        <v>2006</v>
      </c>
      <c r="K213" s="32" t="n">
        <v>1</v>
      </c>
      <c r="L213" s="33" t="n">
        <v>46077</v>
      </c>
      <c r="M213" s="33" t="n">
        <v>46077</v>
      </c>
      <c r="N213" s="16" t="s">
        <v>2010</v>
      </c>
      <c r="O213" s="16"/>
      <c r="P213" s="16" t="str">
        <f aca="false">IF(AND(L213&lt;=$D$2,M213&gt;=$C$2),"Sí","")</f>
        <v/>
      </c>
      <c r="Q213" s="18" t="str">
        <f aca="false">IF(COUNTIF(LOOKAHEAD!$A$5:$A$604,A213)&gt;0,"En Lookahead",IF(P213="Sí","INCORPORAR",""))</f>
        <v/>
      </c>
    </row>
    <row r="214" customFormat="false" ht="15" hidden="false" customHeight="false" outlineLevel="0" collapsed="false">
      <c r="A214" s="16" t="s">
        <v>2011</v>
      </c>
      <c r="B214" s="16" t="n">
        <v>209</v>
      </c>
      <c r="C214" s="16" t="s">
        <v>2012</v>
      </c>
      <c r="D214" s="16" t="n">
        <v>8</v>
      </c>
      <c r="E214" s="39" t="s">
        <v>2013</v>
      </c>
      <c r="F214" s="16" t="s">
        <v>1285</v>
      </c>
      <c r="G214" s="16" t="s">
        <v>322</v>
      </c>
      <c r="H214" s="16" t="s">
        <v>1531</v>
      </c>
      <c r="I214" s="16" t="s">
        <v>62</v>
      </c>
      <c r="J214" s="16" t="s">
        <v>2006</v>
      </c>
      <c r="K214" s="32" t="n">
        <v>4</v>
      </c>
      <c r="L214" s="33" t="n">
        <v>46073</v>
      </c>
      <c r="M214" s="33" t="n">
        <v>46076</v>
      </c>
      <c r="N214" s="16" t="s">
        <v>2014</v>
      </c>
      <c r="O214" s="16"/>
      <c r="P214" s="16" t="str">
        <f aca="false">IF(AND(L214&lt;=$D$2,M214&gt;=$C$2),"Sí","")</f>
        <v/>
      </c>
      <c r="Q214" s="18" t="str">
        <f aca="false">IF(COUNTIF(LOOKAHEAD!$A$5:$A$604,A214)&gt;0,"En Lookahead",IF(P214="Sí","INCORPORAR",""))</f>
        <v/>
      </c>
    </row>
    <row r="215" customFormat="false" ht="15" hidden="false" customHeight="false" outlineLevel="0" collapsed="false">
      <c r="A215" s="16" t="s">
        <v>2015</v>
      </c>
      <c r="B215" s="16" t="n">
        <v>210</v>
      </c>
      <c r="C215" s="16" t="s">
        <v>2016</v>
      </c>
      <c r="D215" s="16" t="n">
        <v>8</v>
      </c>
      <c r="E215" s="39" t="s">
        <v>1999</v>
      </c>
      <c r="F215" s="16" t="s">
        <v>1285</v>
      </c>
      <c r="G215" s="16" t="s">
        <v>322</v>
      </c>
      <c r="H215" s="16" t="s">
        <v>1531</v>
      </c>
      <c r="I215" s="16" t="s">
        <v>62</v>
      </c>
      <c r="J215" s="16" t="s">
        <v>2006</v>
      </c>
      <c r="K215" s="32" t="n">
        <v>3</v>
      </c>
      <c r="L215" s="33" t="n">
        <v>46070</v>
      </c>
      <c r="M215" s="33" t="n">
        <v>46072</v>
      </c>
      <c r="N215" s="16" t="s">
        <v>2000</v>
      </c>
      <c r="O215" s="16"/>
      <c r="P215" s="16" t="str">
        <f aca="false">IF(AND(L215&lt;=$D$2,M215&gt;=$C$2),"Sí","")</f>
        <v/>
      </c>
      <c r="Q215" s="18" t="str">
        <f aca="false">IF(COUNTIF(LOOKAHEAD!$A$5:$A$604,A215)&gt;0,"En Lookahead",IF(P215="Sí","INCORPORAR",""))</f>
        <v/>
      </c>
    </row>
    <row r="216" customFormat="false" ht="15" hidden="false" customHeight="false" outlineLevel="0" collapsed="false">
      <c r="A216" s="16" t="s">
        <v>2017</v>
      </c>
      <c r="B216" s="16" t="n">
        <v>211</v>
      </c>
      <c r="C216" s="16" t="s">
        <v>2018</v>
      </c>
      <c r="D216" s="16" t="n">
        <v>8</v>
      </c>
      <c r="E216" s="39" t="s">
        <v>1677</v>
      </c>
      <c r="F216" s="16" t="s">
        <v>1285</v>
      </c>
      <c r="G216" s="16" t="s">
        <v>322</v>
      </c>
      <c r="H216" s="16" t="s">
        <v>1531</v>
      </c>
      <c r="I216" s="16" t="s">
        <v>62</v>
      </c>
      <c r="J216" s="16" t="s">
        <v>2006</v>
      </c>
      <c r="K216" s="32" t="n">
        <v>1</v>
      </c>
      <c r="L216" s="33" t="n">
        <v>46078</v>
      </c>
      <c r="M216" s="33" t="n">
        <v>46078</v>
      </c>
      <c r="N216" s="16" t="s">
        <v>2019</v>
      </c>
      <c r="O216" s="16"/>
      <c r="P216" s="16" t="str">
        <f aca="false">IF(AND(L216&lt;=$D$2,M216&gt;=$C$2),"Sí","")</f>
        <v/>
      </c>
      <c r="Q216" s="18" t="str">
        <f aca="false">IF(COUNTIF(LOOKAHEAD!$A$5:$A$604,A216)&gt;0,"En Lookahead",IF(P216="Sí","INCORPORAR",""))</f>
        <v/>
      </c>
    </row>
    <row r="217" customFormat="false" ht="15" hidden="false" customHeight="false" outlineLevel="0" collapsed="false">
      <c r="A217" s="13" t="s">
        <v>2020</v>
      </c>
      <c r="B217" s="13" t="n">
        <v>212</v>
      </c>
      <c r="C217" s="13" t="s">
        <v>2021</v>
      </c>
      <c r="D217" s="13" t="n">
        <v>7</v>
      </c>
      <c r="E217" s="38" t="s">
        <v>2022</v>
      </c>
      <c r="F217" s="13" t="s">
        <v>1298</v>
      </c>
      <c r="G217" s="13" t="s">
        <v>322</v>
      </c>
      <c r="H217" s="13" t="s">
        <v>1531</v>
      </c>
      <c r="I217" s="13" t="s">
        <v>62</v>
      </c>
      <c r="J217" s="13" t="s">
        <v>1985</v>
      </c>
      <c r="K217" s="30" t="n">
        <v>7</v>
      </c>
      <c r="L217" s="31" t="n">
        <v>46070</v>
      </c>
      <c r="M217" s="31" t="n">
        <v>46076</v>
      </c>
      <c r="N217" s="13"/>
      <c r="O217" s="13"/>
      <c r="P217" s="13"/>
      <c r="Q217" s="13"/>
    </row>
    <row r="218" customFormat="false" ht="15" hidden="false" customHeight="false" outlineLevel="0" collapsed="false">
      <c r="A218" s="16" t="s">
        <v>2023</v>
      </c>
      <c r="B218" s="16" t="n">
        <v>213</v>
      </c>
      <c r="C218" s="16" t="s">
        <v>2024</v>
      </c>
      <c r="D218" s="16" t="n">
        <v>8</v>
      </c>
      <c r="E218" s="39" t="s">
        <v>2025</v>
      </c>
      <c r="F218" s="16" t="s">
        <v>1285</v>
      </c>
      <c r="G218" s="16" t="s">
        <v>322</v>
      </c>
      <c r="H218" s="16" t="s">
        <v>1531</v>
      </c>
      <c r="I218" s="16" t="s">
        <v>62</v>
      </c>
      <c r="J218" s="16" t="s">
        <v>2022</v>
      </c>
      <c r="K218" s="32" t="n">
        <v>1</v>
      </c>
      <c r="L218" s="33" t="n">
        <v>46075</v>
      </c>
      <c r="M218" s="33" t="n">
        <v>46075</v>
      </c>
      <c r="N218" s="16" t="s">
        <v>2026</v>
      </c>
      <c r="O218" s="16"/>
      <c r="P218" s="16" t="str">
        <f aca="false">IF(AND(L218&lt;=$D$2,M218&gt;=$C$2),"Sí","")</f>
        <v/>
      </c>
      <c r="Q218" s="18" t="str">
        <f aca="false">IF(COUNTIF(LOOKAHEAD!$A$5:$A$604,A218)&gt;0,"En Lookahead",IF(P218="Sí","INCORPORAR",""))</f>
        <v/>
      </c>
    </row>
    <row r="219" customFormat="false" ht="15" hidden="false" customHeight="false" outlineLevel="0" collapsed="false">
      <c r="A219" s="16" t="s">
        <v>2027</v>
      </c>
      <c r="B219" s="16" t="n">
        <v>214</v>
      </c>
      <c r="C219" s="16" t="s">
        <v>2028</v>
      </c>
      <c r="D219" s="16" t="n">
        <v>8</v>
      </c>
      <c r="E219" s="39" t="s">
        <v>2029</v>
      </c>
      <c r="F219" s="16" t="s">
        <v>1285</v>
      </c>
      <c r="G219" s="16" t="s">
        <v>322</v>
      </c>
      <c r="H219" s="16" t="s">
        <v>1531</v>
      </c>
      <c r="I219" s="16" t="s">
        <v>62</v>
      </c>
      <c r="J219" s="16" t="s">
        <v>2022</v>
      </c>
      <c r="K219" s="32" t="n">
        <v>3</v>
      </c>
      <c r="L219" s="33" t="n">
        <v>46072</v>
      </c>
      <c r="M219" s="33" t="n">
        <v>46074</v>
      </c>
      <c r="N219" s="16" t="s">
        <v>2030</v>
      </c>
      <c r="O219" s="16"/>
      <c r="P219" s="16" t="str">
        <f aca="false">IF(AND(L219&lt;=$D$2,M219&gt;=$C$2),"Sí","")</f>
        <v/>
      </c>
      <c r="Q219" s="18" t="str">
        <f aca="false">IF(COUNTIF(LOOKAHEAD!$A$5:$A$604,A219)&gt;0,"En Lookahead",IF(P219="Sí","INCORPORAR",""))</f>
        <v/>
      </c>
    </row>
    <row r="220" customFormat="false" ht="15" hidden="false" customHeight="false" outlineLevel="0" collapsed="false">
      <c r="A220" s="16" t="s">
        <v>2031</v>
      </c>
      <c r="B220" s="16" t="n">
        <v>215</v>
      </c>
      <c r="C220" s="16" t="s">
        <v>2032</v>
      </c>
      <c r="D220" s="16" t="n">
        <v>8</v>
      </c>
      <c r="E220" s="39" t="s">
        <v>1999</v>
      </c>
      <c r="F220" s="16" t="s">
        <v>1285</v>
      </c>
      <c r="G220" s="16" t="s">
        <v>322</v>
      </c>
      <c r="H220" s="16" t="s">
        <v>1531</v>
      </c>
      <c r="I220" s="16" t="s">
        <v>62</v>
      </c>
      <c r="J220" s="16" t="s">
        <v>2022</v>
      </c>
      <c r="K220" s="32" t="n">
        <v>2</v>
      </c>
      <c r="L220" s="33" t="n">
        <v>46070</v>
      </c>
      <c r="M220" s="33" t="n">
        <v>46071</v>
      </c>
      <c r="N220" s="16" t="s">
        <v>2000</v>
      </c>
      <c r="O220" s="16"/>
      <c r="P220" s="16" t="str">
        <f aca="false">IF(AND(L220&lt;=$D$2,M220&gt;=$C$2),"Sí","")</f>
        <v/>
      </c>
      <c r="Q220" s="18" t="str">
        <f aca="false">IF(COUNTIF(LOOKAHEAD!$A$5:$A$604,A220)&gt;0,"En Lookahead",IF(P220="Sí","INCORPORAR",""))</f>
        <v/>
      </c>
    </row>
    <row r="221" customFormat="false" ht="15" hidden="false" customHeight="false" outlineLevel="0" collapsed="false">
      <c r="A221" s="16" t="s">
        <v>2033</v>
      </c>
      <c r="B221" s="16" t="n">
        <v>216</v>
      </c>
      <c r="C221" s="16" t="s">
        <v>2034</v>
      </c>
      <c r="D221" s="16" t="n">
        <v>8</v>
      </c>
      <c r="E221" s="39" t="s">
        <v>1677</v>
      </c>
      <c r="F221" s="16" t="s">
        <v>1285</v>
      </c>
      <c r="G221" s="16" t="s">
        <v>322</v>
      </c>
      <c r="H221" s="16" t="s">
        <v>1531</v>
      </c>
      <c r="I221" s="16" t="s">
        <v>62</v>
      </c>
      <c r="J221" s="16" t="s">
        <v>2022</v>
      </c>
      <c r="K221" s="32" t="n">
        <v>1</v>
      </c>
      <c r="L221" s="33" t="n">
        <v>46076</v>
      </c>
      <c r="M221" s="33" t="n">
        <v>46076</v>
      </c>
      <c r="N221" s="16" t="s">
        <v>2035</v>
      </c>
      <c r="O221" s="16"/>
      <c r="P221" s="16" t="str">
        <f aca="false">IF(AND(L221&lt;=$D$2,M221&gt;=$C$2),"Sí","")</f>
        <v/>
      </c>
      <c r="Q221" s="18" t="str">
        <f aca="false">IF(COUNTIF(LOOKAHEAD!$A$5:$A$604,A221)&gt;0,"En Lookahead",IF(P221="Sí","INCORPORAR",""))</f>
        <v/>
      </c>
    </row>
    <row r="222" customFormat="false" ht="15" hidden="false" customHeight="false" outlineLevel="0" collapsed="false">
      <c r="A222" s="13" t="s">
        <v>2036</v>
      </c>
      <c r="B222" s="13" t="n">
        <v>217</v>
      </c>
      <c r="C222" s="13" t="s">
        <v>2037</v>
      </c>
      <c r="D222" s="13" t="n">
        <v>7</v>
      </c>
      <c r="E222" s="38" t="s">
        <v>2038</v>
      </c>
      <c r="F222" s="13" t="s">
        <v>1298</v>
      </c>
      <c r="G222" s="13" t="s">
        <v>322</v>
      </c>
      <c r="H222" s="13" t="s">
        <v>1531</v>
      </c>
      <c r="I222" s="13" t="s">
        <v>62</v>
      </c>
      <c r="J222" s="13" t="s">
        <v>1985</v>
      </c>
      <c r="K222" s="30" t="n">
        <v>5</v>
      </c>
      <c r="L222" s="31" t="n">
        <v>46070</v>
      </c>
      <c r="M222" s="31" t="n">
        <v>46074</v>
      </c>
      <c r="N222" s="13"/>
      <c r="O222" s="13"/>
      <c r="P222" s="13"/>
      <c r="Q222" s="13"/>
    </row>
    <row r="223" customFormat="false" ht="15" hidden="false" customHeight="false" outlineLevel="0" collapsed="false">
      <c r="A223" s="16" t="s">
        <v>2039</v>
      </c>
      <c r="B223" s="16" t="n">
        <v>218</v>
      </c>
      <c r="C223" s="16" t="s">
        <v>2040</v>
      </c>
      <c r="D223" s="16" t="n">
        <v>8</v>
      </c>
      <c r="E223" s="39" t="s">
        <v>2041</v>
      </c>
      <c r="F223" s="16" t="s">
        <v>1285</v>
      </c>
      <c r="G223" s="16" t="s">
        <v>322</v>
      </c>
      <c r="H223" s="16" t="s">
        <v>1531</v>
      </c>
      <c r="I223" s="16" t="s">
        <v>62</v>
      </c>
      <c r="J223" s="16" t="s">
        <v>2038</v>
      </c>
      <c r="K223" s="32" t="n">
        <v>1</v>
      </c>
      <c r="L223" s="33" t="n">
        <v>46073</v>
      </c>
      <c r="M223" s="33" t="n">
        <v>46073</v>
      </c>
      <c r="N223" s="16" t="s">
        <v>2042</v>
      </c>
      <c r="O223" s="16"/>
      <c r="P223" s="16" t="str">
        <f aca="false">IF(AND(L223&lt;=$D$2,M223&gt;=$C$2),"Sí","")</f>
        <v/>
      </c>
      <c r="Q223" s="18" t="str">
        <f aca="false">IF(COUNTIF(LOOKAHEAD!$A$5:$A$604,A223)&gt;0,"En Lookahead",IF(P223="Sí","INCORPORAR",""))</f>
        <v/>
      </c>
    </row>
    <row r="224" customFormat="false" ht="15" hidden="false" customHeight="false" outlineLevel="0" collapsed="false">
      <c r="A224" s="16" t="s">
        <v>2043</v>
      </c>
      <c r="B224" s="16" t="n">
        <v>219</v>
      </c>
      <c r="C224" s="16" t="s">
        <v>2044</v>
      </c>
      <c r="D224" s="16" t="n">
        <v>8</v>
      </c>
      <c r="E224" s="39" t="s">
        <v>2045</v>
      </c>
      <c r="F224" s="16" t="s">
        <v>1285</v>
      </c>
      <c r="G224" s="16" t="s">
        <v>322</v>
      </c>
      <c r="H224" s="16" t="s">
        <v>1531</v>
      </c>
      <c r="I224" s="16" t="s">
        <v>62</v>
      </c>
      <c r="J224" s="16" t="s">
        <v>2038</v>
      </c>
      <c r="K224" s="32" t="n">
        <v>2</v>
      </c>
      <c r="L224" s="33" t="n">
        <v>46071</v>
      </c>
      <c r="M224" s="33" t="n">
        <v>46072</v>
      </c>
      <c r="N224" s="16" t="s">
        <v>2046</v>
      </c>
      <c r="O224" s="16"/>
      <c r="P224" s="16" t="str">
        <f aca="false">IF(AND(L224&lt;=$D$2,M224&gt;=$C$2),"Sí","")</f>
        <v/>
      </c>
      <c r="Q224" s="18" t="str">
        <f aca="false">IF(COUNTIF(LOOKAHEAD!$A$5:$A$604,A224)&gt;0,"En Lookahead",IF(P224="Sí","INCORPORAR",""))</f>
        <v/>
      </c>
    </row>
    <row r="225" customFormat="false" ht="15" hidden="false" customHeight="false" outlineLevel="0" collapsed="false">
      <c r="A225" s="16" t="s">
        <v>2047</v>
      </c>
      <c r="B225" s="16" t="n">
        <v>220</v>
      </c>
      <c r="C225" s="16" t="s">
        <v>2048</v>
      </c>
      <c r="D225" s="16" t="n">
        <v>8</v>
      </c>
      <c r="E225" s="39" t="s">
        <v>1999</v>
      </c>
      <c r="F225" s="16" t="s">
        <v>1285</v>
      </c>
      <c r="G225" s="16" t="s">
        <v>322</v>
      </c>
      <c r="H225" s="16" t="s">
        <v>1531</v>
      </c>
      <c r="I225" s="16" t="s">
        <v>62</v>
      </c>
      <c r="J225" s="16" t="s">
        <v>2038</v>
      </c>
      <c r="K225" s="32" t="n">
        <v>1</v>
      </c>
      <c r="L225" s="33" t="n">
        <v>46070</v>
      </c>
      <c r="M225" s="33" t="n">
        <v>46070</v>
      </c>
      <c r="N225" s="16" t="s">
        <v>2000</v>
      </c>
      <c r="O225" s="16"/>
      <c r="P225" s="16" t="str">
        <f aca="false">IF(AND(L225&lt;=$D$2,M225&gt;=$C$2),"Sí","")</f>
        <v/>
      </c>
      <c r="Q225" s="18" t="str">
        <f aca="false">IF(COUNTIF(LOOKAHEAD!$A$5:$A$604,A225)&gt;0,"En Lookahead",IF(P225="Sí","INCORPORAR",""))</f>
        <v/>
      </c>
    </row>
    <row r="226" customFormat="false" ht="15" hidden="false" customHeight="false" outlineLevel="0" collapsed="false">
      <c r="A226" s="16" t="s">
        <v>2049</v>
      </c>
      <c r="B226" s="16" t="n">
        <v>221</v>
      </c>
      <c r="C226" s="16" t="s">
        <v>2050</v>
      </c>
      <c r="D226" s="16" t="n">
        <v>8</v>
      </c>
      <c r="E226" s="39" t="s">
        <v>1677</v>
      </c>
      <c r="F226" s="16" t="s">
        <v>1285</v>
      </c>
      <c r="G226" s="16" t="s">
        <v>322</v>
      </c>
      <c r="H226" s="16" t="s">
        <v>1531</v>
      </c>
      <c r="I226" s="16" t="s">
        <v>62</v>
      </c>
      <c r="J226" s="16" t="s">
        <v>2038</v>
      </c>
      <c r="K226" s="32" t="n">
        <v>1</v>
      </c>
      <c r="L226" s="33" t="n">
        <v>46074</v>
      </c>
      <c r="M226" s="33" t="n">
        <v>46074</v>
      </c>
      <c r="N226" s="16" t="s">
        <v>2051</v>
      </c>
      <c r="O226" s="16"/>
      <c r="P226" s="16" t="str">
        <f aca="false">IF(AND(L226&lt;=$D$2,M226&gt;=$C$2),"Sí","")</f>
        <v/>
      </c>
      <c r="Q226" s="18" t="str">
        <f aca="false">IF(COUNTIF(LOOKAHEAD!$A$5:$A$604,A226)&gt;0,"En Lookahead",IF(P226="Sí","INCORPORAR",""))</f>
        <v/>
      </c>
    </row>
    <row r="227" customFormat="false" ht="15" hidden="false" customHeight="false" outlineLevel="0" collapsed="false">
      <c r="A227" s="13" t="s">
        <v>2052</v>
      </c>
      <c r="B227" s="13" t="n">
        <v>222</v>
      </c>
      <c r="C227" s="13" t="s">
        <v>2053</v>
      </c>
      <c r="D227" s="13" t="n">
        <v>6</v>
      </c>
      <c r="E227" s="36" t="s">
        <v>2054</v>
      </c>
      <c r="F227" s="13" t="s">
        <v>1298</v>
      </c>
      <c r="G227" s="13" t="s">
        <v>322</v>
      </c>
      <c r="H227" s="13" t="s">
        <v>1531</v>
      </c>
      <c r="I227" s="13" t="s">
        <v>62</v>
      </c>
      <c r="J227" s="13" t="s">
        <v>1623</v>
      </c>
      <c r="K227" s="30" t="n">
        <v>9</v>
      </c>
      <c r="L227" s="31" t="n">
        <v>46074</v>
      </c>
      <c r="M227" s="31" t="n">
        <v>46082</v>
      </c>
      <c r="N227" s="13"/>
      <c r="O227" s="13"/>
      <c r="P227" s="13"/>
      <c r="Q227" s="13"/>
    </row>
    <row r="228" customFormat="false" ht="15" hidden="false" customHeight="false" outlineLevel="0" collapsed="false">
      <c r="A228" s="13" t="s">
        <v>2055</v>
      </c>
      <c r="B228" s="13" t="n">
        <v>223</v>
      </c>
      <c r="C228" s="13" t="s">
        <v>2056</v>
      </c>
      <c r="D228" s="13" t="n">
        <v>7</v>
      </c>
      <c r="E228" s="38" t="s">
        <v>2057</v>
      </c>
      <c r="F228" s="13" t="s">
        <v>1298</v>
      </c>
      <c r="G228" s="13" t="s">
        <v>322</v>
      </c>
      <c r="H228" s="13" t="s">
        <v>1531</v>
      </c>
      <c r="I228" s="13" t="s">
        <v>62</v>
      </c>
      <c r="J228" s="13" t="s">
        <v>2054</v>
      </c>
      <c r="K228" s="30" t="n">
        <v>4</v>
      </c>
      <c r="L228" s="31" t="n">
        <v>46075</v>
      </c>
      <c r="M228" s="31" t="n">
        <v>46078</v>
      </c>
      <c r="N228" s="13"/>
      <c r="O228" s="13"/>
      <c r="P228" s="13"/>
      <c r="Q228" s="13"/>
    </row>
    <row r="229" customFormat="false" ht="15" hidden="false" customHeight="false" outlineLevel="0" collapsed="false">
      <c r="A229" s="16" t="s">
        <v>2058</v>
      </c>
      <c r="B229" s="16" t="n">
        <v>224</v>
      </c>
      <c r="C229" s="16" t="s">
        <v>2059</v>
      </c>
      <c r="D229" s="16" t="n">
        <v>8</v>
      </c>
      <c r="E229" s="39" t="s">
        <v>2060</v>
      </c>
      <c r="F229" s="16" t="s">
        <v>1285</v>
      </c>
      <c r="G229" s="16" t="s">
        <v>322</v>
      </c>
      <c r="H229" s="16" t="s">
        <v>1531</v>
      </c>
      <c r="I229" s="16" t="s">
        <v>62</v>
      </c>
      <c r="J229" s="16" t="s">
        <v>2057</v>
      </c>
      <c r="K229" s="32" t="n">
        <v>1</v>
      </c>
      <c r="L229" s="33" t="n">
        <v>46077</v>
      </c>
      <c r="M229" s="33" t="n">
        <v>46077</v>
      </c>
      <c r="N229" s="16" t="s">
        <v>2061</v>
      </c>
      <c r="O229" s="16"/>
      <c r="P229" s="16" t="str">
        <f aca="false">IF(AND(L229&lt;=$D$2,M229&gt;=$C$2),"Sí","")</f>
        <v/>
      </c>
      <c r="Q229" s="18" t="str">
        <f aca="false">IF(COUNTIF(LOOKAHEAD!$A$5:$A$604,A229)&gt;0,"En Lookahead",IF(P229="Sí","INCORPORAR",""))</f>
        <v/>
      </c>
    </row>
    <row r="230" customFormat="false" ht="15" hidden="false" customHeight="false" outlineLevel="0" collapsed="false">
      <c r="A230" s="16" t="s">
        <v>2062</v>
      </c>
      <c r="B230" s="16" t="n">
        <v>225</v>
      </c>
      <c r="C230" s="16" t="s">
        <v>2063</v>
      </c>
      <c r="D230" s="16" t="n">
        <v>8</v>
      </c>
      <c r="E230" s="39" t="s">
        <v>2064</v>
      </c>
      <c r="F230" s="16" t="s">
        <v>1285</v>
      </c>
      <c r="G230" s="16" t="s">
        <v>322</v>
      </c>
      <c r="H230" s="16" t="s">
        <v>1531</v>
      </c>
      <c r="I230" s="16" t="s">
        <v>62</v>
      </c>
      <c r="J230" s="16" t="s">
        <v>2057</v>
      </c>
      <c r="K230" s="32" t="n">
        <v>1</v>
      </c>
      <c r="L230" s="33" t="n">
        <v>46076</v>
      </c>
      <c r="M230" s="33" t="n">
        <v>46076</v>
      </c>
      <c r="N230" s="16" t="s">
        <v>2065</v>
      </c>
      <c r="O230" s="16"/>
      <c r="P230" s="16" t="str">
        <f aca="false">IF(AND(L230&lt;=$D$2,M230&gt;=$C$2),"Sí","")</f>
        <v/>
      </c>
      <c r="Q230" s="18" t="str">
        <f aca="false">IF(COUNTIF(LOOKAHEAD!$A$5:$A$604,A230)&gt;0,"En Lookahead",IF(P230="Sí","INCORPORAR",""))</f>
        <v/>
      </c>
    </row>
    <row r="231" customFormat="false" ht="15" hidden="false" customHeight="false" outlineLevel="0" collapsed="false">
      <c r="A231" s="16" t="s">
        <v>2066</v>
      </c>
      <c r="B231" s="16" t="n">
        <v>226</v>
      </c>
      <c r="C231" s="16" t="s">
        <v>2067</v>
      </c>
      <c r="D231" s="16" t="n">
        <v>8</v>
      </c>
      <c r="E231" s="39" t="s">
        <v>1800</v>
      </c>
      <c r="F231" s="16" t="s">
        <v>1285</v>
      </c>
      <c r="G231" s="16" t="s">
        <v>322</v>
      </c>
      <c r="H231" s="16" t="s">
        <v>1531</v>
      </c>
      <c r="I231" s="16" t="s">
        <v>62</v>
      </c>
      <c r="J231" s="16" t="s">
        <v>2057</v>
      </c>
      <c r="K231" s="32" t="n">
        <v>1</v>
      </c>
      <c r="L231" s="33" t="n">
        <v>46075</v>
      </c>
      <c r="M231" s="33" t="n">
        <v>46075</v>
      </c>
      <c r="N231" s="16" t="s">
        <v>2003</v>
      </c>
      <c r="O231" s="16"/>
      <c r="P231" s="16" t="str">
        <f aca="false">IF(AND(L231&lt;=$D$2,M231&gt;=$C$2),"Sí","")</f>
        <v/>
      </c>
      <c r="Q231" s="18" t="str">
        <f aca="false">IF(COUNTIF(LOOKAHEAD!$A$5:$A$604,A231)&gt;0,"En Lookahead",IF(P231="Sí","INCORPORAR",""))</f>
        <v/>
      </c>
    </row>
    <row r="232" customFormat="false" ht="15" hidden="false" customHeight="false" outlineLevel="0" collapsed="false">
      <c r="A232" s="16" t="s">
        <v>2068</v>
      </c>
      <c r="B232" s="16" t="n">
        <v>227</v>
      </c>
      <c r="C232" s="16" t="s">
        <v>2069</v>
      </c>
      <c r="D232" s="16" t="n">
        <v>8</v>
      </c>
      <c r="E232" s="39" t="s">
        <v>1602</v>
      </c>
      <c r="F232" s="16" t="s">
        <v>1285</v>
      </c>
      <c r="G232" s="16" t="s">
        <v>322</v>
      </c>
      <c r="H232" s="16" t="s">
        <v>1531</v>
      </c>
      <c r="I232" s="16" t="s">
        <v>62</v>
      </c>
      <c r="J232" s="16" t="s">
        <v>2057</v>
      </c>
      <c r="K232" s="32" t="n">
        <v>1</v>
      </c>
      <c r="L232" s="33" t="n">
        <v>46078</v>
      </c>
      <c r="M232" s="33" t="n">
        <v>46078</v>
      </c>
      <c r="N232" s="16" t="s">
        <v>2070</v>
      </c>
      <c r="O232" s="16"/>
      <c r="P232" s="16" t="str">
        <f aca="false">IF(AND(L232&lt;=$D$2,M232&gt;=$C$2),"Sí","")</f>
        <v/>
      </c>
      <c r="Q232" s="18" t="str">
        <f aca="false">IF(COUNTIF(LOOKAHEAD!$A$5:$A$604,A232)&gt;0,"En Lookahead",IF(P232="Sí","INCORPORAR",""))</f>
        <v/>
      </c>
    </row>
    <row r="233" customFormat="false" ht="15" hidden="false" customHeight="false" outlineLevel="0" collapsed="false">
      <c r="A233" s="13" t="s">
        <v>2071</v>
      </c>
      <c r="B233" s="13" t="n">
        <v>228</v>
      </c>
      <c r="C233" s="13" t="s">
        <v>2072</v>
      </c>
      <c r="D233" s="13" t="n">
        <v>7</v>
      </c>
      <c r="E233" s="38" t="s">
        <v>2073</v>
      </c>
      <c r="F233" s="13" t="s">
        <v>1298</v>
      </c>
      <c r="G233" s="13" t="s">
        <v>322</v>
      </c>
      <c r="H233" s="13" t="s">
        <v>1531</v>
      </c>
      <c r="I233" s="13" t="s">
        <v>62</v>
      </c>
      <c r="J233" s="13" t="s">
        <v>2054</v>
      </c>
      <c r="K233" s="30" t="n">
        <v>5</v>
      </c>
      <c r="L233" s="31" t="n">
        <v>46078</v>
      </c>
      <c r="M233" s="31" t="n">
        <v>46082</v>
      </c>
      <c r="N233" s="13"/>
      <c r="O233" s="13"/>
      <c r="P233" s="13"/>
      <c r="Q233" s="13"/>
    </row>
    <row r="234" customFormat="false" ht="15" hidden="false" customHeight="false" outlineLevel="0" collapsed="false">
      <c r="A234" s="16" t="s">
        <v>2074</v>
      </c>
      <c r="B234" s="16" t="n">
        <v>229</v>
      </c>
      <c r="C234" s="16" t="s">
        <v>2075</v>
      </c>
      <c r="D234" s="16" t="n">
        <v>8</v>
      </c>
      <c r="E234" s="39" t="s">
        <v>2076</v>
      </c>
      <c r="F234" s="16" t="s">
        <v>1285</v>
      </c>
      <c r="G234" s="16" t="s">
        <v>322</v>
      </c>
      <c r="H234" s="16" t="s">
        <v>1531</v>
      </c>
      <c r="I234" s="16" t="s">
        <v>62</v>
      </c>
      <c r="J234" s="16" t="s">
        <v>2073</v>
      </c>
      <c r="K234" s="32" t="n">
        <v>1</v>
      </c>
      <c r="L234" s="33" t="n">
        <v>46081</v>
      </c>
      <c r="M234" s="33" t="n">
        <v>46081</v>
      </c>
      <c r="N234" s="16" t="s">
        <v>2077</v>
      </c>
      <c r="O234" s="16"/>
      <c r="P234" s="16" t="str">
        <f aca="false">IF(AND(L234&lt;=$D$2,M234&gt;=$C$2),"Sí","")</f>
        <v/>
      </c>
      <c r="Q234" s="18" t="str">
        <f aca="false">IF(COUNTIF(LOOKAHEAD!$A$5:$A$604,A234)&gt;0,"En Lookahead",IF(P234="Sí","INCORPORAR",""))</f>
        <v/>
      </c>
    </row>
    <row r="235" customFormat="false" ht="15" hidden="false" customHeight="false" outlineLevel="0" collapsed="false">
      <c r="A235" s="16" t="s">
        <v>2078</v>
      </c>
      <c r="B235" s="16" t="n">
        <v>230</v>
      </c>
      <c r="C235" s="16" t="s">
        <v>2079</v>
      </c>
      <c r="D235" s="16" t="n">
        <v>8</v>
      </c>
      <c r="E235" s="39" t="s">
        <v>2080</v>
      </c>
      <c r="F235" s="16" t="s">
        <v>1285</v>
      </c>
      <c r="G235" s="16" t="s">
        <v>322</v>
      </c>
      <c r="H235" s="16" t="s">
        <v>1531</v>
      </c>
      <c r="I235" s="16" t="s">
        <v>62</v>
      </c>
      <c r="J235" s="16" t="s">
        <v>2073</v>
      </c>
      <c r="K235" s="32" t="n">
        <v>2</v>
      </c>
      <c r="L235" s="33" t="n">
        <v>46079</v>
      </c>
      <c r="M235" s="33" t="n">
        <v>46080</v>
      </c>
      <c r="N235" s="16" t="s">
        <v>2081</v>
      </c>
      <c r="O235" s="16"/>
      <c r="P235" s="16" t="str">
        <f aca="false">IF(AND(L235&lt;=$D$2,M235&gt;=$C$2),"Sí","")</f>
        <v/>
      </c>
      <c r="Q235" s="18" t="str">
        <f aca="false">IF(COUNTIF(LOOKAHEAD!$A$5:$A$604,A235)&gt;0,"En Lookahead",IF(P235="Sí","INCORPORAR",""))</f>
        <v/>
      </c>
    </row>
    <row r="236" customFormat="false" ht="15" hidden="false" customHeight="false" outlineLevel="0" collapsed="false">
      <c r="A236" s="16" t="s">
        <v>2082</v>
      </c>
      <c r="B236" s="16" t="n">
        <v>231</v>
      </c>
      <c r="C236" s="16" t="s">
        <v>2083</v>
      </c>
      <c r="D236" s="16" t="n">
        <v>8</v>
      </c>
      <c r="E236" s="39" t="s">
        <v>1800</v>
      </c>
      <c r="F236" s="16" t="s">
        <v>1285</v>
      </c>
      <c r="G236" s="16" t="s">
        <v>322</v>
      </c>
      <c r="H236" s="16" t="s">
        <v>1531</v>
      </c>
      <c r="I236" s="16" t="s">
        <v>62</v>
      </c>
      <c r="J236" s="16" t="s">
        <v>2073</v>
      </c>
      <c r="K236" s="32" t="n">
        <v>1</v>
      </c>
      <c r="L236" s="33" t="n">
        <v>46078</v>
      </c>
      <c r="M236" s="33" t="n">
        <v>46078</v>
      </c>
      <c r="N236" s="16" t="s">
        <v>2019</v>
      </c>
      <c r="O236" s="16"/>
      <c r="P236" s="16" t="str">
        <f aca="false">IF(AND(L236&lt;=$D$2,M236&gt;=$C$2),"Sí","")</f>
        <v/>
      </c>
      <c r="Q236" s="18" t="str">
        <f aca="false">IF(COUNTIF(LOOKAHEAD!$A$5:$A$604,A236)&gt;0,"En Lookahead",IF(P236="Sí","INCORPORAR",""))</f>
        <v/>
      </c>
    </row>
    <row r="237" customFormat="false" ht="15" hidden="false" customHeight="false" outlineLevel="0" collapsed="false">
      <c r="A237" s="16" t="s">
        <v>2084</v>
      </c>
      <c r="B237" s="16" t="n">
        <v>232</v>
      </c>
      <c r="C237" s="16" t="s">
        <v>2085</v>
      </c>
      <c r="D237" s="16" t="n">
        <v>8</v>
      </c>
      <c r="E237" s="39" t="s">
        <v>1602</v>
      </c>
      <c r="F237" s="16" t="s">
        <v>1285</v>
      </c>
      <c r="G237" s="16" t="s">
        <v>322</v>
      </c>
      <c r="H237" s="16" t="s">
        <v>1531</v>
      </c>
      <c r="I237" s="16" t="s">
        <v>62</v>
      </c>
      <c r="J237" s="16" t="s">
        <v>2073</v>
      </c>
      <c r="K237" s="32" t="n">
        <v>1</v>
      </c>
      <c r="L237" s="33" t="n">
        <v>46082</v>
      </c>
      <c r="M237" s="33" t="n">
        <v>46082</v>
      </c>
      <c r="N237" s="16" t="s">
        <v>2086</v>
      </c>
      <c r="O237" s="16"/>
      <c r="P237" s="16" t="str">
        <f aca="false">IF(AND(L237&lt;=$D$2,M237&gt;=$C$2),"Sí","")</f>
        <v/>
      </c>
      <c r="Q237" s="18" t="str">
        <f aca="false">IF(COUNTIF(LOOKAHEAD!$A$5:$A$604,A237)&gt;0,"En Lookahead",IF(P237="Sí","INCORPORAR",""))</f>
        <v/>
      </c>
    </row>
    <row r="238" customFormat="false" ht="15" hidden="false" customHeight="false" outlineLevel="0" collapsed="false">
      <c r="A238" s="13" t="s">
        <v>2087</v>
      </c>
      <c r="B238" s="13" t="n">
        <v>233</v>
      </c>
      <c r="C238" s="13" t="s">
        <v>2088</v>
      </c>
      <c r="D238" s="13" t="n">
        <v>7</v>
      </c>
      <c r="E238" s="38" t="s">
        <v>2089</v>
      </c>
      <c r="F238" s="13" t="s">
        <v>1298</v>
      </c>
      <c r="G238" s="13" t="s">
        <v>322</v>
      </c>
      <c r="H238" s="13" t="s">
        <v>1531</v>
      </c>
      <c r="I238" s="13" t="s">
        <v>62</v>
      </c>
      <c r="J238" s="13" t="s">
        <v>2054</v>
      </c>
      <c r="K238" s="30" t="n">
        <v>5</v>
      </c>
      <c r="L238" s="31" t="n">
        <v>46076</v>
      </c>
      <c r="M238" s="31" t="n">
        <v>46080</v>
      </c>
      <c r="N238" s="13"/>
      <c r="O238" s="13"/>
      <c r="P238" s="13"/>
      <c r="Q238" s="13"/>
    </row>
    <row r="239" customFormat="false" ht="15" hidden="false" customHeight="false" outlineLevel="0" collapsed="false">
      <c r="A239" s="16" t="s">
        <v>2090</v>
      </c>
      <c r="B239" s="16" t="n">
        <v>234</v>
      </c>
      <c r="C239" s="16" t="s">
        <v>2091</v>
      </c>
      <c r="D239" s="16" t="n">
        <v>8</v>
      </c>
      <c r="E239" s="39" t="s">
        <v>2092</v>
      </c>
      <c r="F239" s="16" t="s">
        <v>1285</v>
      </c>
      <c r="G239" s="16" t="s">
        <v>322</v>
      </c>
      <c r="H239" s="16" t="s">
        <v>1531</v>
      </c>
      <c r="I239" s="16" t="s">
        <v>62</v>
      </c>
      <c r="J239" s="16" t="s">
        <v>2089</v>
      </c>
      <c r="K239" s="32" t="n">
        <v>1</v>
      </c>
      <c r="L239" s="33" t="n">
        <v>46079</v>
      </c>
      <c r="M239" s="33" t="n">
        <v>46079</v>
      </c>
      <c r="N239" s="16" t="s">
        <v>2093</v>
      </c>
      <c r="O239" s="16"/>
      <c r="P239" s="16" t="str">
        <f aca="false">IF(AND(L239&lt;=$D$2,M239&gt;=$C$2),"Sí","")</f>
        <v/>
      </c>
      <c r="Q239" s="18" t="str">
        <f aca="false">IF(COUNTIF(LOOKAHEAD!$A$5:$A$604,A239)&gt;0,"En Lookahead",IF(P239="Sí","INCORPORAR",""))</f>
        <v/>
      </c>
    </row>
    <row r="240" customFormat="false" ht="15" hidden="false" customHeight="false" outlineLevel="0" collapsed="false">
      <c r="A240" s="16" t="s">
        <v>2094</v>
      </c>
      <c r="B240" s="16" t="n">
        <v>235</v>
      </c>
      <c r="C240" s="16" t="s">
        <v>2095</v>
      </c>
      <c r="D240" s="16" t="n">
        <v>8</v>
      </c>
      <c r="E240" s="39" t="s">
        <v>2096</v>
      </c>
      <c r="F240" s="16" t="s">
        <v>1285</v>
      </c>
      <c r="G240" s="16" t="s">
        <v>322</v>
      </c>
      <c r="H240" s="16" t="s">
        <v>1531</v>
      </c>
      <c r="I240" s="16" t="s">
        <v>62</v>
      </c>
      <c r="J240" s="16" t="s">
        <v>2089</v>
      </c>
      <c r="K240" s="32" t="n">
        <v>2</v>
      </c>
      <c r="L240" s="33" t="n">
        <v>46077</v>
      </c>
      <c r="M240" s="33" t="n">
        <v>46078</v>
      </c>
      <c r="N240" s="16" t="s">
        <v>2097</v>
      </c>
      <c r="O240" s="16"/>
      <c r="P240" s="16" t="str">
        <f aca="false">IF(AND(L240&lt;=$D$2,M240&gt;=$C$2),"Sí","")</f>
        <v/>
      </c>
      <c r="Q240" s="18" t="str">
        <f aca="false">IF(COUNTIF(LOOKAHEAD!$A$5:$A$604,A240)&gt;0,"En Lookahead",IF(P240="Sí","INCORPORAR",""))</f>
        <v/>
      </c>
    </row>
    <row r="241" customFormat="false" ht="15" hidden="false" customHeight="false" outlineLevel="0" collapsed="false">
      <c r="A241" s="16" t="s">
        <v>2098</v>
      </c>
      <c r="B241" s="16" t="n">
        <v>236</v>
      </c>
      <c r="C241" s="16" t="s">
        <v>2099</v>
      </c>
      <c r="D241" s="16" t="n">
        <v>8</v>
      </c>
      <c r="E241" s="39" t="s">
        <v>1800</v>
      </c>
      <c r="F241" s="16" t="s">
        <v>1285</v>
      </c>
      <c r="G241" s="16" t="s">
        <v>322</v>
      </c>
      <c r="H241" s="16" t="s">
        <v>1531</v>
      </c>
      <c r="I241" s="16" t="s">
        <v>62</v>
      </c>
      <c r="J241" s="16" t="s">
        <v>2089</v>
      </c>
      <c r="K241" s="32" t="n">
        <v>1</v>
      </c>
      <c r="L241" s="33" t="n">
        <v>46076</v>
      </c>
      <c r="M241" s="33" t="n">
        <v>46076</v>
      </c>
      <c r="N241" s="16" t="s">
        <v>2035</v>
      </c>
      <c r="O241" s="16"/>
      <c r="P241" s="16" t="str">
        <f aca="false">IF(AND(L241&lt;=$D$2,M241&gt;=$C$2),"Sí","")</f>
        <v/>
      </c>
      <c r="Q241" s="18" t="str">
        <f aca="false">IF(COUNTIF(LOOKAHEAD!$A$5:$A$604,A241)&gt;0,"En Lookahead",IF(P241="Sí","INCORPORAR",""))</f>
        <v/>
      </c>
    </row>
    <row r="242" customFormat="false" ht="15" hidden="false" customHeight="false" outlineLevel="0" collapsed="false">
      <c r="A242" s="16" t="s">
        <v>2100</v>
      </c>
      <c r="B242" s="16" t="n">
        <v>237</v>
      </c>
      <c r="C242" s="16" t="s">
        <v>2101</v>
      </c>
      <c r="D242" s="16" t="n">
        <v>8</v>
      </c>
      <c r="E242" s="39" t="s">
        <v>1602</v>
      </c>
      <c r="F242" s="16" t="s">
        <v>1285</v>
      </c>
      <c r="G242" s="16" t="s">
        <v>322</v>
      </c>
      <c r="H242" s="16" t="s">
        <v>1531</v>
      </c>
      <c r="I242" s="16" t="s">
        <v>62</v>
      </c>
      <c r="J242" s="16" t="s">
        <v>2089</v>
      </c>
      <c r="K242" s="32" t="n">
        <v>1</v>
      </c>
      <c r="L242" s="33" t="n">
        <v>46080</v>
      </c>
      <c r="M242" s="33" t="n">
        <v>46080</v>
      </c>
      <c r="N242" s="16" t="s">
        <v>2102</v>
      </c>
      <c r="O242" s="16"/>
      <c r="P242" s="16" t="str">
        <f aca="false">IF(AND(L242&lt;=$D$2,M242&gt;=$C$2),"Sí","")</f>
        <v/>
      </c>
      <c r="Q242" s="18" t="str">
        <f aca="false">IF(COUNTIF(LOOKAHEAD!$A$5:$A$604,A242)&gt;0,"En Lookahead",IF(P242="Sí","INCORPORAR",""))</f>
        <v/>
      </c>
    </row>
    <row r="243" customFormat="false" ht="15" hidden="false" customHeight="false" outlineLevel="0" collapsed="false">
      <c r="A243" s="13" t="s">
        <v>2103</v>
      </c>
      <c r="B243" s="13" t="n">
        <v>238</v>
      </c>
      <c r="C243" s="13" t="s">
        <v>2104</v>
      </c>
      <c r="D243" s="13" t="n">
        <v>7</v>
      </c>
      <c r="E243" s="38" t="s">
        <v>2054</v>
      </c>
      <c r="F243" s="13" t="s">
        <v>1298</v>
      </c>
      <c r="G243" s="13" t="s">
        <v>322</v>
      </c>
      <c r="H243" s="13" t="s">
        <v>1531</v>
      </c>
      <c r="I243" s="13" t="s">
        <v>62</v>
      </c>
      <c r="J243" s="13" t="s">
        <v>2054</v>
      </c>
      <c r="K243" s="30" t="n">
        <v>5</v>
      </c>
      <c r="L243" s="31" t="n">
        <v>46074</v>
      </c>
      <c r="M243" s="31" t="n">
        <v>46078</v>
      </c>
      <c r="N243" s="13"/>
      <c r="O243" s="13"/>
      <c r="P243" s="13"/>
      <c r="Q243" s="13"/>
    </row>
    <row r="244" customFormat="false" ht="15" hidden="false" customHeight="false" outlineLevel="0" collapsed="false">
      <c r="A244" s="16" t="s">
        <v>2105</v>
      </c>
      <c r="B244" s="16" t="n">
        <v>239</v>
      </c>
      <c r="C244" s="16" t="s">
        <v>2106</v>
      </c>
      <c r="D244" s="16" t="n">
        <v>8</v>
      </c>
      <c r="E244" s="39" t="s">
        <v>2107</v>
      </c>
      <c r="F244" s="16" t="s">
        <v>1285</v>
      </c>
      <c r="G244" s="16" t="s">
        <v>322</v>
      </c>
      <c r="H244" s="16" t="s">
        <v>1531</v>
      </c>
      <c r="I244" s="16" t="s">
        <v>62</v>
      </c>
      <c r="J244" s="16" t="s">
        <v>2054</v>
      </c>
      <c r="K244" s="32" t="n">
        <v>1</v>
      </c>
      <c r="L244" s="33" t="n">
        <v>46077</v>
      </c>
      <c r="M244" s="33" t="n">
        <v>46077</v>
      </c>
      <c r="N244" s="16" t="s">
        <v>2108</v>
      </c>
      <c r="O244" s="16"/>
      <c r="P244" s="16" t="str">
        <f aca="false">IF(AND(L244&lt;=$D$2,M244&gt;=$C$2),"Sí","")</f>
        <v/>
      </c>
      <c r="Q244" s="18" t="str">
        <f aca="false">IF(COUNTIF(LOOKAHEAD!$A$5:$A$604,A244)&gt;0,"En Lookahead",IF(P244="Sí","INCORPORAR",""))</f>
        <v/>
      </c>
    </row>
    <row r="245" customFormat="false" ht="15" hidden="false" customHeight="false" outlineLevel="0" collapsed="false">
      <c r="A245" s="16" t="s">
        <v>2109</v>
      </c>
      <c r="B245" s="16" t="n">
        <v>240</v>
      </c>
      <c r="C245" s="16" t="s">
        <v>2110</v>
      </c>
      <c r="D245" s="16" t="n">
        <v>8</v>
      </c>
      <c r="E245" s="39" t="s">
        <v>2111</v>
      </c>
      <c r="F245" s="16" t="s">
        <v>1285</v>
      </c>
      <c r="G245" s="16" t="s">
        <v>322</v>
      </c>
      <c r="H245" s="16" t="s">
        <v>1531</v>
      </c>
      <c r="I245" s="16" t="s">
        <v>62</v>
      </c>
      <c r="J245" s="16" t="s">
        <v>2054</v>
      </c>
      <c r="K245" s="32" t="n">
        <v>2</v>
      </c>
      <c r="L245" s="33" t="n">
        <v>46075</v>
      </c>
      <c r="M245" s="33" t="n">
        <v>46076</v>
      </c>
      <c r="N245" s="16" t="s">
        <v>2112</v>
      </c>
      <c r="O245" s="16"/>
      <c r="P245" s="16" t="str">
        <f aca="false">IF(AND(L245&lt;=$D$2,M245&gt;=$C$2),"Sí","")</f>
        <v/>
      </c>
      <c r="Q245" s="18" t="str">
        <f aca="false">IF(COUNTIF(LOOKAHEAD!$A$5:$A$604,A245)&gt;0,"En Lookahead",IF(P245="Sí","INCORPORAR",""))</f>
        <v/>
      </c>
    </row>
    <row r="246" customFormat="false" ht="15" hidden="false" customHeight="false" outlineLevel="0" collapsed="false">
      <c r="A246" s="16" t="s">
        <v>2113</v>
      </c>
      <c r="B246" s="16" t="n">
        <v>241</v>
      </c>
      <c r="C246" s="16" t="s">
        <v>2114</v>
      </c>
      <c r="D246" s="16" t="n">
        <v>8</v>
      </c>
      <c r="E246" s="39" t="s">
        <v>1800</v>
      </c>
      <c r="F246" s="16" t="s">
        <v>1285</v>
      </c>
      <c r="G246" s="16" t="s">
        <v>322</v>
      </c>
      <c r="H246" s="16" t="s">
        <v>1531</v>
      </c>
      <c r="I246" s="16" t="s">
        <v>62</v>
      </c>
      <c r="J246" s="16" t="s">
        <v>2054</v>
      </c>
      <c r="K246" s="32" t="n">
        <v>1</v>
      </c>
      <c r="L246" s="33" t="n">
        <v>46074</v>
      </c>
      <c r="M246" s="33" t="n">
        <v>46074</v>
      </c>
      <c r="N246" s="16" t="s">
        <v>2051</v>
      </c>
      <c r="O246" s="16"/>
      <c r="P246" s="16" t="str">
        <f aca="false">IF(AND(L246&lt;=$D$2,M246&gt;=$C$2),"Sí","")</f>
        <v/>
      </c>
      <c r="Q246" s="18" t="str">
        <f aca="false">IF(COUNTIF(LOOKAHEAD!$A$5:$A$604,A246)&gt;0,"En Lookahead",IF(P246="Sí","INCORPORAR",""))</f>
        <v/>
      </c>
    </row>
    <row r="247" customFormat="false" ht="15" hidden="false" customHeight="false" outlineLevel="0" collapsed="false">
      <c r="A247" s="16" t="s">
        <v>2115</v>
      </c>
      <c r="B247" s="16" t="n">
        <v>242</v>
      </c>
      <c r="C247" s="16" t="s">
        <v>2116</v>
      </c>
      <c r="D247" s="16" t="n">
        <v>8</v>
      </c>
      <c r="E247" s="39" t="s">
        <v>1602</v>
      </c>
      <c r="F247" s="16" t="s">
        <v>1285</v>
      </c>
      <c r="G247" s="16" t="s">
        <v>322</v>
      </c>
      <c r="H247" s="16" t="s">
        <v>1531</v>
      </c>
      <c r="I247" s="16" t="s">
        <v>62</v>
      </c>
      <c r="J247" s="16" t="s">
        <v>2054</v>
      </c>
      <c r="K247" s="32" t="n">
        <v>1</v>
      </c>
      <c r="L247" s="33" t="n">
        <v>46078</v>
      </c>
      <c r="M247" s="33" t="n">
        <v>46078</v>
      </c>
      <c r="N247" s="16" t="s">
        <v>2117</v>
      </c>
      <c r="O247" s="16"/>
      <c r="P247" s="16" t="str">
        <f aca="false">IF(AND(L247&lt;=$D$2,M247&gt;=$C$2),"Sí","")</f>
        <v/>
      </c>
      <c r="Q247" s="18" t="str">
        <f aca="false">IF(COUNTIF(LOOKAHEAD!$A$5:$A$604,A247)&gt;0,"En Lookahead",IF(P247="Sí","INCORPORAR",""))</f>
        <v/>
      </c>
    </row>
    <row r="248" customFormat="false" ht="15" hidden="false" customHeight="false" outlineLevel="0" collapsed="false">
      <c r="A248" s="13" t="s">
        <v>2118</v>
      </c>
      <c r="B248" s="13" t="n">
        <v>243</v>
      </c>
      <c r="C248" s="13" t="s">
        <v>2119</v>
      </c>
      <c r="D248" s="13" t="n">
        <v>6</v>
      </c>
      <c r="E248" s="36" t="s">
        <v>2120</v>
      </c>
      <c r="F248" s="13" t="s">
        <v>1298</v>
      </c>
      <c r="G248" s="13" t="s">
        <v>322</v>
      </c>
      <c r="H248" s="13" t="s">
        <v>1531</v>
      </c>
      <c r="I248" s="13" t="s">
        <v>62</v>
      </c>
      <c r="J248" s="13" t="s">
        <v>1623</v>
      </c>
      <c r="K248" s="30" t="n">
        <v>4</v>
      </c>
      <c r="L248" s="31" t="n">
        <v>46271</v>
      </c>
      <c r="M248" s="31" t="n">
        <v>46274</v>
      </c>
      <c r="N248" s="13"/>
      <c r="O248" s="13"/>
      <c r="P248" s="13"/>
      <c r="Q248" s="13"/>
    </row>
    <row r="249" customFormat="false" ht="15" hidden="false" customHeight="false" outlineLevel="0" collapsed="false">
      <c r="A249" s="16" t="s">
        <v>2121</v>
      </c>
      <c r="B249" s="16" t="n">
        <v>244</v>
      </c>
      <c r="C249" s="16" t="s">
        <v>2122</v>
      </c>
      <c r="D249" s="16" t="n">
        <v>7</v>
      </c>
      <c r="E249" s="37" t="s">
        <v>2123</v>
      </c>
      <c r="F249" s="16" t="s">
        <v>1285</v>
      </c>
      <c r="G249" s="16" t="s">
        <v>322</v>
      </c>
      <c r="H249" s="16" t="s">
        <v>1531</v>
      </c>
      <c r="I249" s="16" t="s">
        <v>62</v>
      </c>
      <c r="J249" s="16" t="s">
        <v>2120</v>
      </c>
      <c r="K249" s="32" t="n">
        <v>1</v>
      </c>
      <c r="L249" s="33" t="n">
        <v>46273</v>
      </c>
      <c r="M249" s="33" t="n">
        <v>46273</v>
      </c>
      <c r="N249" s="16" t="s">
        <v>2124</v>
      </c>
      <c r="O249" s="16"/>
      <c r="P249" s="16" t="str">
        <f aca="false">IF(AND(L249&lt;=$D$2,M249&gt;=$C$2),"Sí","")</f>
        <v/>
      </c>
      <c r="Q249" s="18" t="str">
        <f aca="false">IF(COUNTIF(LOOKAHEAD!$A$5:$A$604,A249)&gt;0,"En Lookahead",IF(P249="Sí","INCORPORAR",""))</f>
        <v/>
      </c>
    </row>
    <row r="250" customFormat="false" ht="15" hidden="false" customHeight="false" outlineLevel="0" collapsed="false">
      <c r="A250" s="16" t="s">
        <v>2125</v>
      </c>
      <c r="B250" s="16" t="n">
        <v>245</v>
      </c>
      <c r="C250" s="16" t="s">
        <v>2126</v>
      </c>
      <c r="D250" s="16" t="n">
        <v>7</v>
      </c>
      <c r="E250" s="37" t="s">
        <v>2127</v>
      </c>
      <c r="F250" s="16" t="s">
        <v>1285</v>
      </c>
      <c r="G250" s="16" t="s">
        <v>322</v>
      </c>
      <c r="H250" s="16" t="s">
        <v>1531</v>
      </c>
      <c r="I250" s="16" t="s">
        <v>62</v>
      </c>
      <c r="J250" s="16" t="s">
        <v>2120</v>
      </c>
      <c r="K250" s="32" t="n">
        <v>1</v>
      </c>
      <c r="L250" s="33" t="n">
        <v>46272</v>
      </c>
      <c r="M250" s="33" t="n">
        <v>46272</v>
      </c>
      <c r="N250" s="16" t="s">
        <v>2128</v>
      </c>
      <c r="O250" s="16"/>
      <c r="P250" s="16" t="str">
        <f aca="false">IF(AND(L250&lt;=$D$2,M250&gt;=$C$2),"Sí","")</f>
        <v/>
      </c>
      <c r="Q250" s="18" t="str">
        <f aca="false">IF(COUNTIF(LOOKAHEAD!$A$5:$A$604,A250)&gt;0,"En Lookahead",IF(P250="Sí","INCORPORAR",""))</f>
        <v/>
      </c>
    </row>
    <row r="251" customFormat="false" ht="15" hidden="false" customHeight="false" outlineLevel="0" collapsed="false">
      <c r="A251" s="16" t="s">
        <v>2129</v>
      </c>
      <c r="B251" s="16" t="n">
        <v>246</v>
      </c>
      <c r="C251" s="16" t="s">
        <v>2130</v>
      </c>
      <c r="D251" s="16" t="n">
        <v>7</v>
      </c>
      <c r="E251" s="37" t="s">
        <v>2131</v>
      </c>
      <c r="F251" s="16" t="s">
        <v>1285</v>
      </c>
      <c r="G251" s="16" t="s">
        <v>322</v>
      </c>
      <c r="H251" s="16" t="s">
        <v>1531</v>
      </c>
      <c r="I251" s="16" t="s">
        <v>62</v>
      </c>
      <c r="J251" s="16" t="s">
        <v>2120</v>
      </c>
      <c r="K251" s="32" t="n">
        <v>1</v>
      </c>
      <c r="L251" s="33" t="n">
        <v>46271</v>
      </c>
      <c r="M251" s="33" t="n">
        <v>46271</v>
      </c>
      <c r="N251" s="16" t="s">
        <v>1903</v>
      </c>
      <c r="O251" s="16"/>
      <c r="P251" s="16" t="str">
        <f aca="false">IF(AND(L251&lt;=$D$2,M251&gt;=$C$2),"Sí","")</f>
        <v/>
      </c>
      <c r="Q251" s="18" t="str">
        <f aca="false">IF(COUNTIF(LOOKAHEAD!$A$5:$A$604,A251)&gt;0,"En Lookahead",IF(P251="Sí","INCORPORAR",""))</f>
        <v/>
      </c>
    </row>
    <row r="252" customFormat="false" ht="15" hidden="false" customHeight="false" outlineLevel="0" collapsed="false">
      <c r="A252" s="16" t="s">
        <v>2132</v>
      </c>
      <c r="B252" s="16" t="n">
        <v>247</v>
      </c>
      <c r="C252" s="16" t="s">
        <v>2133</v>
      </c>
      <c r="D252" s="16" t="n">
        <v>7</v>
      </c>
      <c r="E252" s="37" t="s">
        <v>1602</v>
      </c>
      <c r="F252" s="16" t="s">
        <v>1285</v>
      </c>
      <c r="G252" s="16" t="s">
        <v>322</v>
      </c>
      <c r="H252" s="16" t="s">
        <v>1531</v>
      </c>
      <c r="I252" s="16" t="s">
        <v>62</v>
      </c>
      <c r="J252" s="16" t="s">
        <v>2120</v>
      </c>
      <c r="K252" s="32" t="n">
        <v>1</v>
      </c>
      <c r="L252" s="33" t="n">
        <v>46274</v>
      </c>
      <c r="M252" s="33" t="n">
        <v>46274</v>
      </c>
      <c r="N252" s="16" t="s">
        <v>2134</v>
      </c>
      <c r="O252" s="16"/>
      <c r="P252" s="16" t="str">
        <f aca="false">IF(AND(L252&lt;=$D$2,M252&gt;=$C$2),"Sí","")</f>
        <v/>
      </c>
      <c r="Q252" s="18" t="str">
        <f aca="false">IF(COUNTIF(LOOKAHEAD!$A$5:$A$604,A252)&gt;0,"En Lookahead",IF(P252="Sí","INCORPORAR",""))</f>
        <v/>
      </c>
    </row>
    <row r="253" customFormat="false" ht="15" hidden="false" customHeight="false" outlineLevel="0" collapsed="false">
      <c r="A253" s="13" t="s">
        <v>2135</v>
      </c>
      <c r="B253" s="13" t="n">
        <v>248</v>
      </c>
      <c r="C253" s="13" t="s">
        <v>2136</v>
      </c>
      <c r="D253" s="13" t="n">
        <v>6</v>
      </c>
      <c r="E253" s="36" t="s">
        <v>2137</v>
      </c>
      <c r="F253" s="13" t="s">
        <v>1298</v>
      </c>
      <c r="G253" s="13" t="s">
        <v>322</v>
      </c>
      <c r="H253" s="13" t="s">
        <v>1531</v>
      </c>
      <c r="I253" s="13" t="s">
        <v>62</v>
      </c>
      <c r="J253" s="13" t="s">
        <v>1623</v>
      </c>
      <c r="K253" s="30" t="n">
        <v>2</v>
      </c>
      <c r="L253" s="31" t="n">
        <v>46275</v>
      </c>
      <c r="M253" s="31" t="n">
        <v>46276</v>
      </c>
      <c r="N253" s="13"/>
      <c r="O253" s="13"/>
      <c r="P253" s="13"/>
      <c r="Q253" s="13"/>
    </row>
    <row r="254" customFormat="false" ht="15" hidden="false" customHeight="false" outlineLevel="0" collapsed="false">
      <c r="A254" s="16" t="s">
        <v>2138</v>
      </c>
      <c r="B254" s="16" t="n">
        <v>249</v>
      </c>
      <c r="C254" s="16" t="s">
        <v>2139</v>
      </c>
      <c r="D254" s="16" t="n">
        <v>7</v>
      </c>
      <c r="E254" s="37" t="s">
        <v>2140</v>
      </c>
      <c r="F254" s="16" t="s">
        <v>1285</v>
      </c>
      <c r="G254" s="16" t="s">
        <v>322</v>
      </c>
      <c r="H254" s="16" t="s">
        <v>1531</v>
      </c>
      <c r="I254" s="16" t="s">
        <v>62</v>
      </c>
      <c r="J254" s="16" t="s">
        <v>2137</v>
      </c>
      <c r="K254" s="32" t="n">
        <v>1</v>
      </c>
      <c r="L254" s="33" t="n">
        <v>46275</v>
      </c>
      <c r="M254" s="33" t="n">
        <v>46275</v>
      </c>
      <c r="N254" s="16" t="s">
        <v>2141</v>
      </c>
      <c r="O254" s="16"/>
      <c r="P254" s="16" t="str">
        <f aca="false">IF(AND(L254&lt;=$D$2,M254&gt;=$C$2),"Sí","")</f>
        <v/>
      </c>
      <c r="Q254" s="18" t="str">
        <f aca="false">IF(COUNTIF(LOOKAHEAD!$A$5:$A$604,A254)&gt;0,"En Lookahead",IF(P254="Sí","INCORPORAR",""))</f>
        <v/>
      </c>
    </row>
    <row r="255" customFormat="false" ht="15" hidden="false" customHeight="false" outlineLevel="0" collapsed="false">
      <c r="A255" s="16" t="s">
        <v>2142</v>
      </c>
      <c r="B255" s="16" t="n">
        <v>250</v>
      </c>
      <c r="C255" s="16" t="s">
        <v>2143</v>
      </c>
      <c r="D255" s="16" t="n">
        <v>7</v>
      </c>
      <c r="E255" s="37" t="s">
        <v>2144</v>
      </c>
      <c r="F255" s="16" t="s">
        <v>1285</v>
      </c>
      <c r="G255" s="16" t="s">
        <v>322</v>
      </c>
      <c r="H255" s="16" t="s">
        <v>1531</v>
      </c>
      <c r="I255" s="16" t="s">
        <v>62</v>
      </c>
      <c r="J255" s="16" t="s">
        <v>2137</v>
      </c>
      <c r="K255" s="32" t="n">
        <v>1</v>
      </c>
      <c r="L255" s="33" t="n">
        <v>46276</v>
      </c>
      <c r="M255" s="33" t="n">
        <v>46276</v>
      </c>
      <c r="N255" s="16" t="s">
        <v>2145</v>
      </c>
      <c r="O255" s="16"/>
      <c r="P255" s="16" t="str">
        <f aca="false">IF(AND(L255&lt;=$D$2,M255&gt;=$C$2),"Sí","")</f>
        <v/>
      </c>
      <c r="Q255" s="18" t="str">
        <f aca="false">IF(COUNTIF(LOOKAHEAD!$A$5:$A$604,A255)&gt;0,"En Lookahead",IF(P255="Sí","INCORPORAR",""))</f>
        <v/>
      </c>
    </row>
    <row r="256" customFormat="false" ht="15" hidden="false" customHeight="false" outlineLevel="0" collapsed="false">
      <c r="A256" s="13" t="s">
        <v>2146</v>
      </c>
      <c r="B256" s="13" t="n">
        <v>251</v>
      </c>
      <c r="C256" s="13" t="s">
        <v>2147</v>
      </c>
      <c r="D256" s="13" t="n">
        <v>5</v>
      </c>
      <c r="E256" s="34" t="s">
        <v>2148</v>
      </c>
      <c r="F256" s="13" t="s">
        <v>1298</v>
      </c>
      <c r="G256" s="13" t="s">
        <v>322</v>
      </c>
      <c r="H256" s="13" t="s">
        <v>1531</v>
      </c>
      <c r="I256" s="13" t="s">
        <v>62</v>
      </c>
      <c r="J256" s="13" t="s">
        <v>1531</v>
      </c>
      <c r="K256" s="30" t="n">
        <v>23</v>
      </c>
      <c r="L256" s="31" t="n">
        <v>46277</v>
      </c>
      <c r="M256" s="31" t="n">
        <v>46299</v>
      </c>
      <c r="N256" s="13"/>
      <c r="O256" s="13"/>
      <c r="P256" s="13"/>
      <c r="Q256" s="13"/>
    </row>
    <row r="257" customFormat="false" ht="15" hidden="false" customHeight="false" outlineLevel="0" collapsed="false">
      <c r="A257" s="16" t="s">
        <v>2149</v>
      </c>
      <c r="B257" s="16" t="n">
        <v>252</v>
      </c>
      <c r="C257" s="16" t="s">
        <v>2150</v>
      </c>
      <c r="D257" s="16" t="n">
        <v>6</v>
      </c>
      <c r="E257" s="35" t="s">
        <v>2151</v>
      </c>
      <c r="F257" s="16" t="s">
        <v>1285</v>
      </c>
      <c r="G257" s="16" t="s">
        <v>322</v>
      </c>
      <c r="H257" s="16" t="s">
        <v>1531</v>
      </c>
      <c r="I257" s="16" t="s">
        <v>62</v>
      </c>
      <c r="J257" s="16" t="s">
        <v>2148</v>
      </c>
      <c r="K257" s="32" t="n">
        <v>2</v>
      </c>
      <c r="L257" s="33" t="n">
        <v>46277</v>
      </c>
      <c r="M257" s="33" t="n">
        <v>46278</v>
      </c>
      <c r="N257" s="16" t="s">
        <v>2152</v>
      </c>
      <c r="O257" s="16"/>
      <c r="P257" s="16" t="str">
        <f aca="false">IF(AND(L257&lt;=$D$2,M257&gt;=$C$2),"Sí","")</f>
        <v/>
      </c>
      <c r="Q257" s="18" t="str">
        <f aca="false">IF(COUNTIF(LOOKAHEAD!$A$5:$A$604,A257)&gt;0,"En Lookahead",IF(P257="Sí","INCORPORAR",""))</f>
        <v/>
      </c>
    </row>
    <row r="258" customFormat="false" ht="15" hidden="false" customHeight="false" outlineLevel="0" collapsed="false">
      <c r="A258" s="16" t="s">
        <v>2153</v>
      </c>
      <c r="B258" s="16" t="n">
        <v>253</v>
      </c>
      <c r="C258" s="16" t="s">
        <v>2154</v>
      </c>
      <c r="D258" s="16" t="n">
        <v>6</v>
      </c>
      <c r="E258" s="35" t="s">
        <v>2155</v>
      </c>
      <c r="F258" s="16" t="s">
        <v>1285</v>
      </c>
      <c r="G258" s="16" t="s">
        <v>322</v>
      </c>
      <c r="H258" s="16" t="s">
        <v>1531</v>
      </c>
      <c r="I258" s="16" t="s">
        <v>62</v>
      </c>
      <c r="J258" s="16" t="s">
        <v>2148</v>
      </c>
      <c r="K258" s="32" t="n">
        <v>3</v>
      </c>
      <c r="L258" s="33" t="n">
        <v>46277</v>
      </c>
      <c r="M258" s="33" t="n">
        <v>46279</v>
      </c>
      <c r="N258" s="16" t="s">
        <v>2152</v>
      </c>
      <c r="O258" s="16"/>
      <c r="P258" s="16" t="str">
        <f aca="false">IF(AND(L258&lt;=$D$2,M258&gt;=$C$2),"Sí","")</f>
        <v/>
      </c>
      <c r="Q258" s="18" t="str">
        <f aca="false">IF(COUNTIF(LOOKAHEAD!$A$5:$A$604,A258)&gt;0,"En Lookahead",IF(P258="Sí","INCORPORAR",""))</f>
        <v/>
      </c>
    </row>
    <row r="259" customFormat="false" ht="15" hidden="false" customHeight="false" outlineLevel="0" collapsed="false">
      <c r="A259" s="16" t="s">
        <v>2156</v>
      </c>
      <c r="B259" s="16" t="n">
        <v>254</v>
      </c>
      <c r="C259" s="16" t="s">
        <v>2157</v>
      </c>
      <c r="D259" s="16" t="n">
        <v>6</v>
      </c>
      <c r="E259" s="35" t="s">
        <v>2158</v>
      </c>
      <c r="F259" s="16" t="s">
        <v>1285</v>
      </c>
      <c r="G259" s="16" t="s">
        <v>322</v>
      </c>
      <c r="H259" s="16" t="s">
        <v>1531</v>
      </c>
      <c r="I259" s="16" t="s">
        <v>62</v>
      </c>
      <c r="J259" s="16" t="s">
        <v>2148</v>
      </c>
      <c r="K259" s="32" t="n">
        <v>2</v>
      </c>
      <c r="L259" s="33" t="n">
        <v>46277</v>
      </c>
      <c r="M259" s="33" t="n">
        <v>46278</v>
      </c>
      <c r="N259" s="16" t="s">
        <v>2152</v>
      </c>
      <c r="O259" s="16"/>
      <c r="P259" s="16" t="str">
        <f aca="false">IF(AND(L259&lt;=$D$2,M259&gt;=$C$2),"Sí","")</f>
        <v/>
      </c>
      <c r="Q259" s="18" t="str">
        <f aca="false">IF(COUNTIF(LOOKAHEAD!$A$5:$A$604,A259)&gt;0,"En Lookahead",IF(P259="Sí","INCORPORAR",""))</f>
        <v/>
      </c>
    </row>
    <row r="260" customFormat="false" ht="15" hidden="false" customHeight="false" outlineLevel="0" collapsed="false">
      <c r="A260" s="16" t="s">
        <v>2159</v>
      </c>
      <c r="B260" s="16" t="n">
        <v>255</v>
      </c>
      <c r="C260" s="16" t="s">
        <v>2160</v>
      </c>
      <c r="D260" s="16" t="n">
        <v>6</v>
      </c>
      <c r="E260" s="35" t="s">
        <v>2161</v>
      </c>
      <c r="F260" s="16" t="s">
        <v>1285</v>
      </c>
      <c r="G260" s="16" t="s">
        <v>322</v>
      </c>
      <c r="H260" s="16" t="s">
        <v>1531</v>
      </c>
      <c r="I260" s="16" t="s">
        <v>62</v>
      </c>
      <c r="J260" s="16" t="s">
        <v>2148</v>
      </c>
      <c r="K260" s="32" t="n">
        <v>1</v>
      </c>
      <c r="L260" s="33" t="n">
        <v>46277</v>
      </c>
      <c r="M260" s="33" t="n">
        <v>46277</v>
      </c>
      <c r="N260" s="16" t="s">
        <v>2152</v>
      </c>
      <c r="O260" s="16"/>
      <c r="P260" s="16" t="str">
        <f aca="false">IF(AND(L260&lt;=$D$2,M260&gt;=$C$2),"Sí","")</f>
        <v/>
      </c>
      <c r="Q260" s="18" t="str">
        <f aca="false">IF(COUNTIF(LOOKAHEAD!$A$5:$A$604,A260)&gt;0,"En Lookahead",IF(P260="Sí","INCORPORAR",""))</f>
        <v/>
      </c>
    </row>
    <row r="261" customFormat="false" ht="15" hidden="false" customHeight="false" outlineLevel="0" collapsed="false">
      <c r="A261" s="16" t="s">
        <v>2162</v>
      </c>
      <c r="B261" s="16" t="n">
        <v>256</v>
      </c>
      <c r="C261" s="16" t="s">
        <v>2163</v>
      </c>
      <c r="D261" s="16" t="n">
        <v>6</v>
      </c>
      <c r="E261" s="35" t="s">
        <v>2164</v>
      </c>
      <c r="F261" s="16" t="s">
        <v>1285</v>
      </c>
      <c r="G261" s="16" t="s">
        <v>322</v>
      </c>
      <c r="H261" s="16" t="s">
        <v>1531</v>
      </c>
      <c r="I261" s="16" t="s">
        <v>62</v>
      </c>
      <c r="J261" s="16" t="s">
        <v>2148</v>
      </c>
      <c r="K261" s="32" t="n">
        <v>1</v>
      </c>
      <c r="L261" s="33" t="n">
        <v>46277</v>
      </c>
      <c r="M261" s="33" t="n">
        <v>46277</v>
      </c>
      <c r="N261" s="16" t="s">
        <v>2152</v>
      </c>
      <c r="O261" s="16"/>
      <c r="P261" s="16" t="str">
        <f aca="false">IF(AND(L261&lt;=$D$2,M261&gt;=$C$2),"Sí","")</f>
        <v/>
      </c>
      <c r="Q261" s="18" t="str">
        <f aca="false">IF(COUNTIF(LOOKAHEAD!$A$5:$A$604,A261)&gt;0,"En Lookahead",IF(P261="Sí","INCORPORAR",""))</f>
        <v/>
      </c>
    </row>
    <row r="262" customFormat="false" ht="15" hidden="false" customHeight="false" outlineLevel="0" collapsed="false">
      <c r="A262" s="16" t="s">
        <v>2165</v>
      </c>
      <c r="B262" s="16" t="n">
        <v>257</v>
      </c>
      <c r="C262" s="16" t="s">
        <v>2166</v>
      </c>
      <c r="D262" s="16" t="n">
        <v>6</v>
      </c>
      <c r="E262" s="35" t="s">
        <v>2167</v>
      </c>
      <c r="F262" s="16" t="s">
        <v>1285</v>
      </c>
      <c r="G262" s="16" t="s">
        <v>322</v>
      </c>
      <c r="H262" s="16" t="s">
        <v>1531</v>
      </c>
      <c r="I262" s="16" t="s">
        <v>62</v>
      </c>
      <c r="J262" s="16" t="s">
        <v>2148</v>
      </c>
      <c r="K262" s="32" t="n">
        <v>2</v>
      </c>
      <c r="L262" s="33" t="n">
        <v>46277</v>
      </c>
      <c r="M262" s="33" t="n">
        <v>46278</v>
      </c>
      <c r="N262" s="16" t="s">
        <v>2152</v>
      </c>
      <c r="O262" s="16"/>
      <c r="P262" s="16" t="str">
        <f aca="false">IF(AND(L262&lt;=$D$2,M262&gt;=$C$2),"Sí","")</f>
        <v/>
      </c>
      <c r="Q262" s="18" t="str">
        <f aca="false">IF(COUNTIF(LOOKAHEAD!$A$5:$A$604,A262)&gt;0,"En Lookahead",IF(P262="Sí","INCORPORAR",""))</f>
        <v/>
      </c>
    </row>
    <row r="263" customFormat="false" ht="15" hidden="false" customHeight="false" outlineLevel="0" collapsed="false">
      <c r="A263" s="16" t="s">
        <v>2168</v>
      </c>
      <c r="B263" s="16" t="n">
        <v>258</v>
      </c>
      <c r="C263" s="16" t="s">
        <v>2169</v>
      </c>
      <c r="D263" s="16" t="n">
        <v>6</v>
      </c>
      <c r="E263" s="35" t="s">
        <v>2170</v>
      </c>
      <c r="F263" s="16" t="s">
        <v>1285</v>
      </c>
      <c r="G263" s="16" t="s">
        <v>322</v>
      </c>
      <c r="H263" s="16" t="s">
        <v>1531</v>
      </c>
      <c r="I263" s="16" t="s">
        <v>62</v>
      </c>
      <c r="J263" s="16" t="s">
        <v>2148</v>
      </c>
      <c r="K263" s="32" t="n">
        <v>4</v>
      </c>
      <c r="L263" s="33" t="n">
        <v>46277</v>
      </c>
      <c r="M263" s="33" t="n">
        <v>46280</v>
      </c>
      <c r="N263" s="16" t="s">
        <v>2152</v>
      </c>
      <c r="O263" s="16"/>
      <c r="P263" s="16" t="str">
        <f aca="false">IF(AND(L263&lt;=$D$2,M263&gt;=$C$2),"Sí","")</f>
        <v/>
      </c>
      <c r="Q263" s="18" t="str">
        <f aca="false">IF(COUNTIF(LOOKAHEAD!$A$5:$A$604,A263)&gt;0,"En Lookahead",IF(P263="Sí","INCORPORAR",""))</f>
        <v/>
      </c>
    </row>
    <row r="264" customFormat="false" ht="15" hidden="false" customHeight="false" outlineLevel="0" collapsed="false">
      <c r="A264" s="16" t="s">
        <v>2171</v>
      </c>
      <c r="B264" s="16" t="n">
        <v>259</v>
      </c>
      <c r="C264" s="16" t="s">
        <v>2172</v>
      </c>
      <c r="D264" s="16" t="n">
        <v>6</v>
      </c>
      <c r="E264" s="35" t="s">
        <v>2173</v>
      </c>
      <c r="F264" s="16" t="s">
        <v>1285</v>
      </c>
      <c r="G264" s="16" t="s">
        <v>322</v>
      </c>
      <c r="H264" s="16" t="s">
        <v>1531</v>
      </c>
      <c r="I264" s="16" t="s">
        <v>62</v>
      </c>
      <c r="J264" s="16" t="s">
        <v>2148</v>
      </c>
      <c r="K264" s="32" t="n">
        <v>4</v>
      </c>
      <c r="L264" s="33" t="n">
        <v>46277</v>
      </c>
      <c r="M264" s="33" t="n">
        <v>46280</v>
      </c>
      <c r="N264" s="16" t="s">
        <v>2152</v>
      </c>
      <c r="O264" s="16"/>
      <c r="P264" s="16" t="str">
        <f aca="false">IF(AND(L264&lt;=$D$2,M264&gt;=$C$2),"Sí","")</f>
        <v/>
      </c>
      <c r="Q264" s="18" t="str">
        <f aca="false">IF(COUNTIF(LOOKAHEAD!$A$5:$A$604,A264)&gt;0,"En Lookahead",IF(P264="Sí","INCORPORAR",""))</f>
        <v/>
      </c>
    </row>
    <row r="265" customFormat="false" ht="15" hidden="false" customHeight="false" outlineLevel="0" collapsed="false">
      <c r="A265" s="16" t="s">
        <v>2174</v>
      </c>
      <c r="B265" s="16" t="n">
        <v>260</v>
      </c>
      <c r="C265" s="16" t="s">
        <v>2175</v>
      </c>
      <c r="D265" s="16" t="n">
        <v>6</v>
      </c>
      <c r="E265" s="35" t="s">
        <v>2176</v>
      </c>
      <c r="F265" s="16" t="s">
        <v>1285</v>
      </c>
      <c r="G265" s="16" t="s">
        <v>322</v>
      </c>
      <c r="H265" s="16" t="s">
        <v>1531</v>
      </c>
      <c r="I265" s="16" t="s">
        <v>62</v>
      </c>
      <c r="J265" s="16" t="s">
        <v>2148</v>
      </c>
      <c r="K265" s="32" t="n">
        <v>1</v>
      </c>
      <c r="L265" s="33" t="n">
        <v>46277</v>
      </c>
      <c r="M265" s="33" t="n">
        <v>46277</v>
      </c>
      <c r="N265" s="16" t="s">
        <v>2152</v>
      </c>
      <c r="O265" s="16"/>
      <c r="P265" s="16" t="str">
        <f aca="false">IF(AND(L265&lt;=$D$2,M265&gt;=$C$2),"Sí","")</f>
        <v/>
      </c>
      <c r="Q265" s="18" t="str">
        <f aca="false">IF(COUNTIF(LOOKAHEAD!$A$5:$A$604,A265)&gt;0,"En Lookahead",IF(P265="Sí","INCORPORAR",""))</f>
        <v/>
      </c>
    </row>
    <row r="266" customFormat="false" ht="15" hidden="false" customHeight="false" outlineLevel="0" collapsed="false">
      <c r="A266" s="16" t="s">
        <v>2177</v>
      </c>
      <c r="B266" s="16" t="n">
        <v>261</v>
      </c>
      <c r="C266" s="16" t="s">
        <v>2178</v>
      </c>
      <c r="D266" s="16" t="n">
        <v>6</v>
      </c>
      <c r="E266" s="35" t="s">
        <v>2179</v>
      </c>
      <c r="F266" s="16" t="s">
        <v>1285</v>
      </c>
      <c r="G266" s="16" t="s">
        <v>322</v>
      </c>
      <c r="H266" s="16" t="s">
        <v>1531</v>
      </c>
      <c r="I266" s="16" t="s">
        <v>62</v>
      </c>
      <c r="J266" s="16" t="s">
        <v>2148</v>
      </c>
      <c r="K266" s="32" t="n">
        <v>1</v>
      </c>
      <c r="L266" s="33" t="n">
        <v>46281</v>
      </c>
      <c r="M266" s="33" t="n">
        <v>46281</v>
      </c>
      <c r="N266" s="16" t="s">
        <v>2180</v>
      </c>
      <c r="O266" s="16"/>
      <c r="P266" s="16" t="str">
        <f aca="false">IF(AND(L266&lt;=$D$2,M266&gt;=$C$2),"Sí","")</f>
        <v/>
      </c>
      <c r="Q266" s="18" t="str">
        <f aca="false">IF(COUNTIF(LOOKAHEAD!$A$5:$A$604,A266)&gt;0,"En Lookahead",IF(P266="Sí","INCORPORAR",""))</f>
        <v/>
      </c>
    </row>
    <row r="267" customFormat="false" ht="15" hidden="false" customHeight="false" outlineLevel="0" collapsed="false">
      <c r="A267" s="16" t="s">
        <v>2181</v>
      </c>
      <c r="B267" s="16" t="n">
        <v>262</v>
      </c>
      <c r="C267" s="16" t="s">
        <v>2182</v>
      </c>
      <c r="D267" s="16" t="n">
        <v>6</v>
      </c>
      <c r="E267" s="35" t="s">
        <v>2183</v>
      </c>
      <c r="F267" s="16" t="s">
        <v>1285</v>
      </c>
      <c r="G267" s="16" t="s">
        <v>322</v>
      </c>
      <c r="H267" s="16" t="s">
        <v>1531</v>
      </c>
      <c r="I267" s="16" t="s">
        <v>62</v>
      </c>
      <c r="J267" s="16" t="s">
        <v>2148</v>
      </c>
      <c r="K267" s="32" t="n">
        <v>1</v>
      </c>
      <c r="L267" s="33" t="n">
        <v>46281</v>
      </c>
      <c r="M267" s="33" t="n">
        <v>46281</v>
      </c>
      <c r="N267" s="16" t="s">
        <v>2184</v>
      </c>
      <c r="O267" s="16"/>
      <c r="P267" s="16" t="str">
        <f aca="false">IF(AND(L267&lt;=$D$2,M267&gt;=$C$2),"Sí","")</f>
        <v/>
      </c>
      <c r="Q267" s="18" t="str">
        <f aca="false">IF(COUNTIF(LOOKAHEAD!$A$5:$A$604,A267)&gt;0,"En Lookahead",IF(P267="Sí","INCORPORAR",""))</f>
        <v/>
      </c>
    </row>
    <row r="268" customFormat="false" ht="15" hidden="false" customHeight="false" outlineLevel="0" collapsed="false">
      <c r="A268" s="16" t="s">
        <v>2185</v>
      </c>
      <c r="B268" s="16" t="n">
        <v>263</v>
      </c>
      <c r="C268" s="16" t="s">
        <v>2186</v>
      </c>
      <c r="D268" s="16" t="n">
        <v>6</v>
      </c>
      <c r="E268" s="35" t="s">
        <v>2187</v>
      </c>
      <c r="F268" s="16" t="s">
        <v>1285</v>
      </c>
      <c r="G268" s="16" t="s">
        <v>322</v>
      </c>
      <c r="H268" s="16" t="s">
        <v>1531</v>
      </c>
      <c r="I268" s="16" t="s">
        <v>62</v>
      </c>
      <c r="J268" s="16" t="s">
        <v>2148</v>
      </c>
      <c r="K268" s="32" t="n">
        <v>1</v>
      </c>
      <c r="L268" s="33" t="n">
        <v>46281</v>
      </c>
      <c r="M268" s="33" t="n">
        <v>46281</v>
      </c>
      <c r="N268" s="16" t="s">
        <v>2184</v>
      </c>
      <c r="O268" s="16"/>
      <c r="P268" s="16" t="str">
        <f aca="false">IF(AND(L268&lt;=$D$2,M268&gt;=$C$2),"Sí","")</f>
        <v/>
      </c>
      <c r="Q268" s="18" t="str">
        <f aca="false">IF(COUNTIF(LOOKAHEAD!$A$5:$A$604,A268)&gt;0,"En Lookahead",IF(P268="Sí","INCORPORAR",""))</f>
        <v/>
      </c>
    </row>
    <row r="269" customFormat="false" ht="15" hidden="false" customHeight="false" outlineLevel="0" collapsed="false">
      <c r="A269" s="16" t="s">
        <v>2188</v>
      </c>
      <c r="B269" s="16" t="n">
        <v>264</v>
      </c>
      <c r="C269" s="16" t="s">
        <v>2189</v>
      </c>
      <c r="D269" s="16" t="n">
        <v>6</v>
      </c>
      <c r="E269" s="35" t="s">
        <v>2190</v>
      </c>
      <c r="F269" s="16" t="s">
        <v>1285</v>
      </c>
      <c r="G269" s="16" t="s">
        <v>322</v>
      </c>
      <c r="H269" s="16" t="s">
        <v>1531</v>
      </c>
      <c r="I269" s="16" t="s">
        <v>62</v>
      </c>
      <c r="J269" s="16" t="s">
        <v>2148</v>
      </c>
      <c r="K269" s="32" t="n">
        <v>1</v>
      </c>
      <c r="L269" s="33" t="n">
        <v>46281</v>
      </c>
      <c r="M269" s="33" t="n">
        <v>46281</v>
      </c>
      <c r="N269" s="16" t="s">
        <v>2184</v>
      </c>
      <c r="O269" s="16"/>
      <c r="P269" s="16" t="str">
        <f aca="false">IF(AND(L269&lt;=$D$2,M269&gt;=$C$2),"Sí","")</f>
        <v/>
      </c>
      <c r="Q269" s="18" t="str">
        <f aca="false">IF(COUNTIF(LOOKAHEAD!$A$5:$A$604,A269)&gt;0,"En Lookahead",IF(P269="Sí","INCORPORAR",""))</f>
        <v/>
      </c>
    </row>
    <row r="270" customFormat="false" ht="15" hidden="false" customHeight="false" outlineLevel="0" collapsed="false">
      <c r="A270" s="16" t="s">
        <v>2191</v>
      </c>
      <c r="B270" s="16" t="n">
        <v>265</v>
      </c>
      <c r="C270" s="16" t="s">
        <v>2192</v>
      </c>
      <c r="D270" s="16" t="n">
        <v>6</v>
      </c>
      <c r="E270" s="35" t="s">
        <v>2193</v>
      </c>
      <c r="F270" s="16" t="s">
        <v>1285</v>
      </c>
      <c r="G270" s="16" t="s">
        <v>322</v>
      </c>
      <c r="H270" s="16" t="s">
        <v>1531</v>
      </c>
      <c r="I270" s="16" t="s">
        <v>62</v>
      </c>
      <c r="J270" s="16" t="s">
        <v>2148</v>
      </c>
      <c r="K270" s="32" t="n">
        <v>1</v>
      </c>
      <c r="L270" s="33" t="n">
        <v>46281</v>
      </c>
      <c r="M270" s="33" t="n">
        <v>46281</v>
      </c>
      <c r="N270" s="16" t="s">
        <v>2184</v>
      </c>
      <c r="O270" s="16"/>
      <c r="P270" s="16" t="str">
        <f aca="false">IF(AND(L270&lt;=$D$2,M270&gt;=$C$2),"Sí","")</f>
        <v/>
      </c>
      <c r="Q270" s="18" t="str">
        <f aca="false">IF(COUNTIF(LOOKAHEAD!$A$5:$A$604,A270)&gt;0,"En Lookahead",IF(P270="Sí","INCORPORAR",""))</f>
        <v/>
      </c>
    </row>
    <row r="271" customFormat="false" ht="15" hidden="false" customHeight="false" outlineLevel="0" collapsed="false">
      <c r="A271" s="16" t="s">
        <v>2194</v>
      </c>
      <c r="B271" s="16" t="n">
        <v>266</v>
      </c>
      <c r="C271" s="16" t="s">
        <v>2195</v>
      </c>
      <c r="D271" s="16" t="n">
        <v>6</v>
      </c>
      <c r="E271" s="35" t="s">
        <v>2196</v>
      </c>
      <c r="F271" s="16" t="s">
        <v>1285</v>
      </c>
      <c r="G271" s="16" t="s">
        <v>322</v>
      </c>
      <c r="H271" s="16" t="s">
        <v>1531</v>
      </c>
      <c r="I271" s="16" t="s">
        <v>62</v>
      </c>
      <c r="J271" s="16" t="s">
        <v>2148</v>
      </c>
      <c r="K271" s="32" t="n">
        <v>1</v>
      </c>
      <c r="L271" s="33" t="n">
        <v>46281</v>
      </c>
      <c r="M271" s="33" t="n">
        <v>46281</v>
      </c>
      <c r="N271" s="16" t="s">
        <v>2184</v>
      </c>
      <c r="O271" s="16"/>
      <c r="P271" s="16" t="str">
        <f aca="false">IF(AND(L271&lt;=$D$2,M271&gt;=$C$2),"Sí","")</f>
        <v/>
      </c>
      <c r="Q271" s="18" t="str">
        <f aca="false">IF(COUNTIF(LOOKAHEAD!$A$5:$A$604,A271)&gt;0,"En Lookahead",IF(P271="Sí","INCORPORAR",""))</f>
        <v/>
      </c>
    </row>
    <row r="272" customFormat="false" ht="15" hidden="false" customHeight="false" outlineLevel="0" collapsed="false">
      <c r="A272" s="16" t="s">
        <v>2197</v>
      </c>
      <c r="B272" s="16" t="n">
        <v>267</v>
      </c>
      <c r="C272" s="16" t="s">
        <v>2198</v>
      </c>
      <c r="D272" s="16" t="n">
        <v>6</v>
      </c>
      <c r="E272" s="35" t="s">
        <v>2199</v>
      </c>
      <c r="F272" s="16" t="s">
        <v>1285</v>
      </c>
      <c r="G272" s="16" t="s">
        <v>322</v>
      </c>
      <c r="H272" s="16" t="s">
        <v>1531</v>
      </c>
      <c r="I272" s="16" t="s">
        <v>62</v>
      </c>
      <c r="J272" s="16" t="s">
        <v>2148</v>
      </c>
      <c r="K272" s="32" t="n">
        <v>5</v>
      </c>
      <c r="L272" s="33" t="n">
        <v>46282</v>
      </c>
      <c r="M272" s="33" t="n">
        <v>46286</v>
      </c>
      <c r="N272" s="16" t="s">
        <v>2200</v>
      </c>
      <c r="O272" s="16"/>
      <c r="P272" s="16" t="str">
        <f aca="false">IF(AND(L272&lt;=$D$2,M272&gt;=$C$2),"Sí","")</f>
        <v/>
      </c>
      <c r="Q272" s="18" t="str">
        <f aca="false">IF(COUNTIF(LOOKAHEAD!$A$5:$A$604,A272)&gt;0,"En Lookahead",IF(P272="Sí","INCORPORAR",""))</f>
        <v/>
      </c>
    </row>
    <row r="273" customFormat="false" ht="15" hidden="false" customHeight="false" outlineLevel="0" collapsed="false">
      <c r="A273" s="16" t="s">
        <v>2201</v>
      </c>
      <c r="B273" s="16" t="n">
        <v>268</v>
      </c>
      <c r="C273" s="16" t="s">
        <v>2202</v>
      </c>
      <c r="D273" s="16" t="n">
        <v>6</v>
      </c>
      <c r="E273" s="35" t="s">
        <v>2203</v>
      </c>
      <c r="F273" s="16" t="s">
        <v>1285</v>
      </c>
      <c r="G273" s="16" t="s">
        <v>322</v>
      </c>
      <c r="H273" s="16" t="s">
        <v>1531</v>
      </c>
      <c r="I273" s="16" t="s">
        <v>62</v>
      </c>
      <c r="J273" s="16" t="s">
        <v>2148</v>
      </c>
      <c r="K273" s="32" t="n">
        <v>2</v>
      </c>
      <c r="L273" s="33" t="n">
        <v>46287</v>
      </c>
      <c r="M273" s="33" t="n">
        <v>46288</v>
      </c>
      <c r="N273" s="16" t="s">
        <v>2204</v>
      </c>
      <c r="O273" s="16"/>
      <c r="P273" s="16" t="str">
        <f aca="false">IF(AND(L273&lt;=$D$2,M273&gt;=$C$2),"Sí","")</f>
        <v/>
      </c>
      <c r="Q273" s="18" t="str">
        <f aca="false">IF(COUNTIF(LOOKAHEAD!$A$5:$A$604,A273)&gt;0,"En Lookahead",IF(P273="Sí","INCORPORAR",""))</f>
        <v/>
      </c>
    </row>
    <row r="274" customFormat="false" ht="15" hidden="false" customHeight="false" outlineLevel="0" collapsed="false">
      <c r="A274" s="16" t="s">
        <v>2205</v>
      </c>
      <c r="B274" s="16" t="n">
        <v>269</v>
      </c>
      <c r="C274" s="16" t="s">
        <v>2206</v>
      </c>
      <c r="D274" s="16" t="n">
        <v>6</v>
      </c>
      <c r="E274" s="35" t="s">
        <v>2207</v>
      </c>
      <c r="F274" s="16" t="s">
        <v>1285</v>
      </c>
      <c r="G274" s="16" t="s">
        <v>322</v>
      </c>
      <c r="H274" s="16" t="s">
        <v>1531</v>
      </c>
      <c r="I274" s="16" t="s">
        <v>62</v>
      </c>
      <c r="J274" s="16" t="s">
        <v>2148</v>
      </c>
      <c r="K274" s="32" t="n">
        <v>1</v>
      </c>
      <c r="L274" s="33" t="n">
        <v>46289</v>
      </c>
      <c r="M274" s="33" t="n">
        <v>46289</v>
      </c>
      <c r="N274" s="16" t="s">
        <v>2208</v>
      </c>
      <c r="O274" s="16"/>
      <c r="P274" s="16" t="str">
        <f aca="false">IF(AND(L274&lt;=$D$2,M274&gt;=$C$2),"Sí","")</f>
        <v/>
      </c>
      <c r="Q274" s="18" t="str">
        <f aca="false">IF(COUNTIF(LOOKAHEAD!$A$5:$A$604,A274)&gt;0,"En Lookahead",IF(P274="Sí","INCORPORAR",""))</f>
        <v/>
      </c>
    </row>
    <row r="275" customFormat="false" ht="15" hidden="false" customHeight="false" outlineLevel="0" collapsed="false">
      <c r="A275" s="16" t="s">
        <v>2209</v>
      </c>
      <c r="B275" s="16" t="n">
        <v>270</v>
      </c>
      <c r="C275" s="16" t="s">
        <v>2210</v>
      </c>
      <c r="D275" s="16" t="n">
        <v>6</v>
      </c>
      <c r="E275" s="35" t="s">
        <v>2211</v>
      </c>
      <c r="F275" s="16" t="s">
        <v>1285</v>
      </c>
      <c r="G275" s="16" t="s">
        <v>322</v>
      </c>
      <c r="H275" s="16" t="s">
        <v>1531</v>
      </c>
      <c r="I275" s="16" t="s">
        <v>62</v>
      </c>
      <c r="J275" s="16" t="s">
        <v>2148</v>
      </c>
      <c r="K275" s="32" t="n">
        <v>10</v>
      </c>
      <c r="L275" s="33" t="n">
        <v>46290</v>
      </c>
      <c r="M275" s="33" t="n">
        <v>46299</v>
      </c>
      <c r="N275" s="16" t="s">
        <v>2212</v>
      </c>
      <c r="O275" s="16"/>
      <c r="P275" s="16" t="str">
        <f aca="false">IF(AND(L275&lt;=$D$2,M275&gt;=$C$2),"Sí","")</f>
        <v/>
      </c>
      <c r="Q275" s="18" t="str">
        <f aca="false">IF(COUNTIF(LOOKAHEAD!$A$5:$A$604,A275)&gt;0,"En Lookahead",IF(P275="Sí","INCORPORAR",""))</f>
        <v/>
      </c>
    </row>
    <row r="276" customFormat="false" ht="15" hidden="false" customHeight="false" outlineLevel="0" collapsed="false">
      <c r="A276" s="16" t="s">
        <v>2213</v>
      </c>
      <c r="B276" s="16" t="n">
        <v>271</v>
      </c>
      <c r="C276" s="16" t="s">
        <v>2214</v>
      </c>
      <c r="D276" s="16" t="n">
        <v>6</v>
      </c>
      <c r="E276" s="35" t="s">
        <v>2215</v>
      </c>
      <c r="F276" s="16" t="s">
        <v>1285</v>
      </c>
      <c r="G276" s="16" t="s">
        <v>322</v>
      </c>
      <c r="H276" s="16" t="s">
        <v>1531</v>
      </c>
      <c r="I276" s="16" t="s">
        <v>62</v>
      </c>
      <c r="J276" s="16" t="s">
        <v>2148</v>
      </c>
      <c r="K276" s="32" t="n">
        <v>1</v>
      </c>
      <c r="L276" s="33" t="n">
        <v>46289</v>
      </c>
      <c r="M276" s="33" t="n">
        <v>46289</v>
      </c>
      <c r="N276" s="16" t="s">
        <v>2216</v>
      </c>
      <c r="O276" s="16"/>
      <c r="P276" s="16" t="str">
        <f aca="false">IF(AND(L276&lt;=$D$2,M276&gt;=$C$2),"Sí","")</f>
        <v/>
      </c>
      <c r="Q276" s="18" t="str">
        <f aca="false">IF(COUNTIF(LOOKAHEAD!$A$5:$A$604,A276)&gt;0,"En Lookahead",IF(P276="Sí","INCORPORAR",""))</f>
        <v/>
      </c>
    </row>
    <row r="277" customFormat="false" ht="15" hidden="false" customHeight="false" outlineLevel="0" collapsed="false">
      <c r="A277" s="16" t="s">
        <v>2217</v>
      </c>
      <c r="B277" s="16" t="n">
        <v>272</v>
      </c>
      <c r="C277" s="16" t="s">
        <v>2218</v>
      </c>
      <c r="D277" s="16" t="n">
        <v>6</v>
      </c>
      <c r="E277" s="35" t="s">
        <v>2219</v>
      </c>
      <c r="F277" s="16" t="s">
        <v>1285</v>
      </c>
      <c r="G277" s="16" t="s">
        <v>322</v>
      </c>
      <c r="H277" s="16" t="s">
        <v>1531</v>
      </c>
      <c r="I277" s="16" t="s">
        <v>62</v>
      </c>
      <c r="J277" s="16" t="s">
        <v>2148</v>
      </c>
      <c r="K277" s="32" t="n">
        <v>1</v>
      </c>
      <c r="L277" s="33" t="n">
        <v>46289</v>
      </c>
      <c r="M277" s="33" t="n">
        <v>46289</v>
      </c>
      <c r="N277" s="16" t="s">
        <v>2216</v>
      </c>
      <c r="O277" s="16"/>
      <c r="P277" s="16" t="str">
        <f aca="false">IF(AND(L277&lt;=$D$2,M277&gt;=$C$2),"Sí","")</f>
        <v/>
      </c>
      <c r="Q277" s="18" t="str">
        <f aca="false">IF(COUNTIF(LOOKAHEAD!$A$5:$A$604,A277)&gt;0,"En Lookahead",IF(P277="Sí","INCORPORAR",""))</f>
        <v/>
      </c>
    </row>
    <row r="278" customFormat="false" ht="15" hidden="false" customHeight="false" outlineLevel="0" collapsed="false">
      <c r="A278" s="16" t="s">
        <v>2220</v>
      </c>
      <c r="B278" s="16" t="n">
        <v>273</v>
      </c>
      <c r="C278" s="16" t="s">
        <v>2221</v>
      </c>
      <c r="D278" s="16" t="n">
        <v>6</v>
      </c>
      <c r="E278" s="35" t="s">
        <v>2222</v>
      </c>
      <c r="F278" s="16" t="s">
        <v>1285</v>
      </c>
      <c r="G278" s="16" t="s">
        <v>322</v>
      </c>
      <c r="H278" s="16" t="s">
        <v>1531</v>
      </c>
      <c r="I278" s="16" t="s">
        <v>62</v>
      </c>
      <c r="J278" s="16" t="s">
        <v>2148</v>
      </c>
      <c r="K278" s="32" t="n">
        <v>2</v>
      </c>
      <c r="L278" s="33" t="n">
        <v>46282</v>
      </c>
      <c r="M278" s="33" t="n">
        <v>46283</v>
      </c>
      <c r="N278" s="16" t="s">
        <v>2200</v>
      </c>
      <c r="O278" s="16"/>
      <c r="P278" s="16" t="str">
        <f aca="false">IF(AND(L278&lt;=$D$2,M278&gt;=$C$2),"Sí","")</f>
        <v/>
      </c>
      <c r="Q278" s="18" t="str">
        <f aca="false">IF(COUNTIF(LOOKAHEAD!$A$5:$A$604,A278)&gt;0,"En Lookahead",IF(P278="Sí","INCORPORAR",""))</f>
        <v/>
      </c>
    </row>
    <row r="279" customFormat="false" ht="15" hidden="false" customHeight="false" outlineLevel="0" collapsed="false">
      <c r="A279" s="13" t="s">
        <v>2223</v>
      </c>
      <c r="B279" s="13" t="n">
        <v>274</v>
      </c>
      <c r="C279" s="13" t="s">
        <v>2224</v>
      </c>
      <c r="D279" s="13" t="n">
        <v>4</v>
      </c>
      <c r="E279" s="20" t="s">
        <v>2225</v>
      </c>
      <c r="F279" s="13" t="s">
        <v>1298</v>
      </c>
      <c r="G279" s="13" t="s">
        <v>322</v>
      </c>
      <c r="H279" s="13" t="s">
        <v>2225</v>
      </c>
      <c r="I279" s="13" t="s">
        <v>68</v>
      </c>
      <c r="J279" s="13" t="s">
        <v>1528</v>
      </c>
      <c r="K279" s="30" t="n">
        <v>487</v>
      </c>
      <c r="L279" s="31" t="n">
        <v>45959</v>
      </c>
      <c r="M279" s="31" t="n">
        <v>46525</v>
      </c>
      <c r="N279" s="13"/>
      <c r="O279" s="13" t="s">
        <v>1299</v>
      </c>
      <c r="P279" s="13"/>
      <c r="Q279" s="13"/>
    </row>
    <row r="280" customFormat="false" ht="15" hidden="false" customHeight="false" outlineLevel="0" collapsed="false">
      <c r="A280" s="13" t="s">
        <v>2226</v>
      </c>
      <c r="B280" s="13" t="n">
        <v>275</v>
      </c>
      <c r="C280" s="13" t="s">
        <v>2227</v>
      </c>
      <c r="D280" s="13" t="n">
        <v>5</v>
      </c>
      <c r="E280" s="34" t="s">
        <v>1534</v>
      </c>
      <c r="F280" s="13" t="s">
        <v>1298</v>
      </c>
      <c r="G280" s="13" t="s">
        <v>322</v>
      </c>
      <c r="H280" s="13" t="s">
        <v>2225</v>
      </c>
      <c r="I280" s="13" t="s">
        <v>68</v>
      </c>
      <c r="J280" s="13" t="s">
        <v>2225</v>
      </c>
      <c r="K280" s="30" t="n">
        <v>74</v>
      </c>
      <c r="L280" s="31" t="n">
        <v>45959</v>
      </c>
      <c r="M280" s="31" t="n">
        <v>46032</v>
      </c>
      <c r="N280" s="13"/>
      <c r="O280" s="13" t="s">
        <v>1299</v>
      </c>
      <c r="P280" s="13"/>
      <c r="Q280" s="13"/>
    </row>
    <row r="281" customFormat="false" ht="15" hidden="false" customHeight="false" outlineLevel="0" collapsed="false">
      <c r="A281" s="16" t="s">
        <v>2228</v>
      </c>
      <c r="B281" s="16" t="n">
        <v>276</v>
      </c>
      <c r="C281" s="16" t="s">
        <v>2229</v>
      </c>
      <c r="D281" s="16" t="n">
        <v>6</v>
      </c>
      <c r="E281" s="35" t="s">
        <v>1537</v>
      </c>
      <c r="F281" s="16" t="s">
        <v>1285</v>
      </c>
      <c r="G281" s="16" t="s">
        <v>322</v>
      </c>
      <c r="H281" s="16" t="s">
        <v>2225</v>
      </c>
      <c r="I281" s="16" t="s">
        <v>68</v>
      </c>
      <c r="J281" s="16" t="s">
        <v>1534</v>
      </c>
      <c r="K281" s="32" t="n">
        <v>1</v>
      </c>
      <c r="L281" s="33" t="n">
        <v>45959</v>
      </c>
      <c r="M281" s="33" t="n">
        <v>45959</v>
      </c>
      <c r="N281" s="16" t="s">
        <v>2230</v>
      </c>
      <c r="O281" s="16" t="s">
        <v>1299</v>
      </c>
      <c r="P281" s="16" t="str">
        <f aca="false">IF(AND(L281&lt;=$D$2,M281&gt;=$C$2),"Sí","")</f>
        <v/>
      </c>
      <c r="Q281" s="18" t="str">
        <f aca="false">IF(COUNTIF(LOOKAHEAD!$A$5:$A$604,A281)&gt;0,"En Lookahead",IF(P281="Sí","INCORPORAR",""))</f>
        <v/>
      </c>
    </row>
    <row r="282" customFormat="false" ht="15" hidden="false" customHeight="false" outlineLevel="0" collapsed="false">
      <c r="A282" s="16" t="s">
        <v>2231</v>
      </c>
      <c r="B282" s="16" t="n">
        <v>277</v>
      </c>
      <c r="C282" s="16" t="s">
        <v>2232</v>
      </c>
      <c r="D282" s="16" t="n">
        <v>6</v>
      </c>
      <c r="E282" s="35" t="s">
        <v>1541</v>
      </c>
      <c r="F282" s="16" t="s">
        <v>1285</v>
      </c>
      <c r="G282" s="16" t="s">
        <v>322</v>
      </c>
      <c r="H282" s="16" t="s">
        <v>2225</v>
      </c>
      <c r="I282" s="16" t="s">
        <v>68</v>
      </c>
      <c r="J282" s="16" t="s">
        <v>1534</v>
      </c>
      <c r="K282" s="32" t="n">
        <v>4</v>
      </c>
      <c r="L282" s="33" t="n">
        <v>45960</v>
      </c>
      <c r="M282" s="33" t="n">
        <v>45963</v>
      </c>
      <c r="N282" s="16" t="s">
        <v>2233</v>
      </c>
      <c r="O282" s="16"/>
      <c r="P282" s="16" t="str">
        <f aca="false">IF(AND(L282&lt;=$D$2,M282&gt;=$C$2),"Sí","")</f>
        <v/>
      </c>
      <c r="Q282" s="18" t="str">
        <f aca="false">IF(COUNTIF(LOOKAHEAD!$A$5:$A$604,A282)&gt;0,"En Lookahead",IF(P282="Sí","INCORPORAR",""))</f>
        <v/>
      </c>
    </row>
    <row r="283" customFormat="false" ht="15" hidden="false" customHeight="false" outlineLevel="0" collapsed="false">
      <c r="A283" s="16" t="s">
        <v>2234</v>
      </c>
      <c r="B283" s="16" t="n">
        <v>278</v>
      </c>
      <c r="C283" s="16" t="s">
        <v>2235</v>
      </c>
      <c r="D283" s="16" t="n">
        <v>6</v>
      </c>
      <c r="E283" s="35" t="s">
        <v>1545</v>
      </c>
      <c r="F283" s="16" t="s">
        <v>1285</v>
      </c>
      <c r="G283" s="16" t="s">
        <v>322</v>
      </c>
      <c r="H283" s="16" t="s">
        <v>2225</v>
      </c>
      <c r="I283" s="16" t="s">
        <v>68</v>
      </c>
      <c r="J283" s="16" t="s">
        <v>1534</v>
      </c>
      <c r="K283" s="32" t="n">
        <v>2</v>
      </c>
      <c r="L283" s="33" t="n">
        <v>45964</v>
      </c>
      <c r="M283" s="33" t="n">
        <v>45965</v>
      </c>
      <c r="N283" s="16" t="s">
        <v>2236</v>
      </c>
      <c r="O283" s="16"/>
      <c r="P283" s="16" t="str">
        <f aca="false">IF(AND(L283&lt;=$D$2,M283&gt;=$C$2),"Sí","")</f>
        <v/>
      </c>
      <c r="Q283" s="18" t="str">
        <f aca="false">IF(COUNTIF(LOOKAHEAD!$A$5:$A$604,A283)&gt;0,"En Lookahead",IF(P283="Sí","INCORPORAR",""))</f>
        <v/>
      </c>
    </row>
    <row r="284" customFormat="false" ht="15" hidden="false" customHeight="false" outlineLevel="0" collapsed="false">
      <c r="A284" s="16" t="s">
        <v>2237</v>
      </c>
      <c r="B284" s="16" t="n">
        <v>279</v>
      </c>
      <c r="C284" s="16" t="s">
        <v>2238</v>
      </c>
      <c r="D284" s="16" t="n">
        <v>6</v>
      </c>
      <c r="E284" s="35" t="s">
        <v>1549</v>
      </c>
      <c r="F284" s="16" t="s">
        <v>1285</v>
      </c>
      <c r="G284" s="16" t="s">
        <v>322</v>
      </c>
      <c r="H284" s="16" t="s">
        <v>2225</v>
      </c>
      <c r="I284" s="16" t="s">
        <v>68</v>
      </c>
      <c r="J284" s="16" t="s">
        <v>1534</v>
      </c>
      <c r="K284" s="32" t="n">
        <v>4</v>
      </c>
      <c r="L284" s="33" t="n">
        <v>45966</v>
      </c>
      <c r="M284" s="33" t="n">
        <v>45969</v>
      </c>
      <c r="N284" s="16" t="s">
        <v>2239</v>
      </c>
      <c r="O284" s="16"/>
      <c r="P284" s="16" t="str">
        <f aca="false">IF(AND(L284&lt;=$D$2,M284&gt;=$C$2),"Sí","")</f>
        <v/>
      </c>
      <c r="Q284" s="18" t="str">
        <f aca="false">IF(COUNTIF(LOOKAHEAD!$A$5:$A$604,A284)&gt;0,"En Lookahead",IF(P284="Sí","INCORPORAR",""))</f>
        <v/>
      </c>
    </row>
    <row r="285" customFormat="false" ht="15" hidden="false" customHeight="false" outlineLevel="0" collapsed="false">
      <c r="A285" s="16" t="s">
        <v>2240</v>
      </c>
      <c r="B285" s="16" t="n">
        <v>280</v>
      </c>
      <c r="C285" s="16" t="s">
        <v>2241</v>
      </c>
      <c r="D285" s="16" t="n">
        <v>6</v>
      </c>
      <c r="E285" s="35" t="s">
        <v>1553</v>
      </c>
      <c r="F285" s="16" t="s">
        <v>1285</v>
      </c>
      <c r="G285" s="16" t="s">
        <v>322</v>
      </c>
      <c r="H285" s="16" t="s">
        <v>2225</v>
      </c>
      <c r="I285" s="16" t="s">
        <v>68</v>
      </c>
      <c r="J285" s="16" t="s">
        <v>1534</v>
      </c>
      <c r="K285" s="32" t="n">
        <v>15</v>
      </c>
      <c r="L285" s="33" t="n">
        <v>46004</v>
      </c>
      <c r="M285" s="33" t="n">
        <v>46018</v>
      </c>
      <c r="N285" s="16" t="s">
        <v>2242</v>
      </c>
      <c r="O285" s="16"/>
      <c r="P285" s="16" t="str">
        <f aca="false">IF(AND(L285&lt;=$D$2,M285&gt;=$C$2),"Sí","")</f>
        <v/>
      </c>
      <c r="Q285" s="18" t="str">
        <f aca="false">IF(COUNTIF(LOOKAHEAD!$A$5:$A$604,A285)&gt;0,"En Lookahead",IF(P285="Sí","INCORPORAR",""))</f>
        <v/>
      </c>
    </row>
    <row r="286" customFormat="false" ht="15" hidden="false" customHeight="false" outlineLevel="0" collapsed="false">
      <c r="A286" s="16" t="s">
        <v>2243</v>
      </c>
      <c r="B286" s="16" t="n">
        <v>281</v>
      </c>
      <c r="C286" s="16" t="s">
        <v>2244</v>
      </c>
      <c r="D286" s="16" t="n">
        <v>6</v>
      </c>
      <c r="E286" s="35" t="s">
        <v>1557</v>
      </c>
      <c r="F286" s="16" t="s">
        <v>1285</v>
      </c>
      <c r="G286" s="16" t="s">
        <v>322</v>
      </c>
      <c r="H286" s="16" t="s">
        <v>2225</v>
      </c>
      <c r="I286" s="16" t="s">
        <v>68</v>
      </c>
      <c r="J286" s="16" t="s">
        <v>1534</v>
      </c>
      <c r="K286" s="32" t="n">
        <v>8</v>
      </c>
      <c r="L286" s="33" t="n">
        <v>45966</v>
      </c>
      <c r="M286" s="33" t="n">
        <v>45973</v>
      </c>
      <c r="N286" s="16" t="s">
        <v>2239</v>
      </c>
      <c r="O286" s="16"/>
      <c r="P286" s="16" t="str">
        <f aca="false">IF(AND(L286&lt;=$D$2,M286&gt;=$C$2),"Sí","")</f>
        <v/>
      </c>
      <c r="Q286" s="18" t="str">
        <f aca="false">IF(COUNTIF(LOOKAHEAD!$A$5:$A$604,A286)&gt;0,"En Lookahead",IF(P286="Sí","INCORPORAR",""))</f>
        <v/>
      </c>
    </row>
    <row r="287" customFormat="false" ht="15" hidden="false" customHeight="false" outlineLevel="0" collapsed="false">
      <c r="A287" s="16" t="s">
        <v>2245</v>
      </c>
      <c r="B287" s="16" t="n">
        <v>282</v>
      </c>
      <c r="C287" s="16" t="s">
        <v>2246</v>
      </c>
      <c r="D287" s="16" t="n">
        <v>6</v>
      </c>
      <c r="E287" s="35" t="s">
        <v>1560</v>
      </c>
      <c r="F287" s="16" t="s">
        <v>1285</v>
      </c>
      <c r="G287" s="16" t="s">
        <v>322</v>
      </c>
      <c r="H287" s="16" t="s">
        <v>2225</v>
      </c>
      <c r="I287" s="16" t="s">
        <v>68</v>
      </c>
      <c r="J287" s="16" t="s">
        <v>1534</v>
      </c>
      <c r="K287" s="32" t="n">
        <v>30</v>
      </c>
      <c r="L287" s="33" t="n">
        <v>45976</v>
      </c>
      <c r="M287" s="33" t="n">
        <v>46005</v>
      </c>
      <c r="N287" s="16" t="s">
        <v>2247</v>
      </c>
      <c r="O287" s="16"/>
      <c r="P287" s="16" t="str">
        <f aca="false">IF(AND(L287&lt;=$D$2,M287&gt;=$C$2),"Sí","")</f>
        <v/>
      </c>
      <c r="Q287" s="18" t="str">
        <f aca="false">IF(COUNTIF(LOOKAHEAD!$A$5:$A$604,A287)&gt;0,"En Lookahead",IF(P287="Sí","INCORPORAR",""))</f>
        <v/>
      </c>
    </row>
    <row r="288" customFormat="false" ht="15" hidden="false" customHeight="false" outlineLevel="0" collapsed="false">
      <c r="A288" s="16" t="s">
        <v>2248</v>
      </c>
      <c r="B288" s="16" t="n">
        <v>283</v>
      </c>
      <c r="C288" s="16" t="s">
        <v>2249</v>
      </c>
      <c r="D288" s="16" t="n">
        <v>6</v>
      </c>
      <c r="E288" s="35" t="s">
        <v>1564</v>
      </c>
      <c r="F288" s="16" t="s">
        <v>1285</v>
      </c>
      <c r="G288" s="16" t="s">
        <v>322</v>
      </c>
      <c r="H288" s="16" t="s">
        <v>2225</v>
      </c>
      <c r="I288" s="16" t="s">
        <v>68</v>
      </c>
      <c r="J288" s="16" t="s">
        <v>1534</v>
      </c>
      <c r="K288" s="32" t="n">
        <v>14</v>
      </c>
      <c r="L288" s="33" t="n">
        <v>45964</v>
      </c>
      <c r="M288" s="33" t="n">
        <v>45977</v>
      </c>
      <c r="N288" s="16" t="s">
        <v>2236</v>
      </c>
      <c r="O288" s="16"/>
      <c r="P288" s="16" t="str">
        <f aca="false">IF(AND(L288&lt;=$D$2,M288&gt;=$C$2),"Sí","")</f>
        <v/>
      </c>
      <c r="Q288" s="18" t="str">
        <f aca="false">IF(COUNTIF(LOOKAHEAD!$A$5:$A$604,A288)&gt;0,"En Lookahead",IF(P288="Sí","INCORPORAR",""))</f>
        <v/>
      </c>
    </row>
    <row r="289" customFormat="false" ht="15" hidden="false" customHeight="false" outlineLevel="0" collapsed="false">
      <c r="A289" s="16" t="s">
        <v>2250</v>
      </c>
      <c r="B289" s="16" t="n">
        <v>284</v>
      </c>
      <c r="C289" s="16" t="s">
        <v>2251</v>
      </c>
      <c r="D289" s="16" t="n">
        <v>6</v>
      </c>
      <c r="E289" s="35" t="s">
        <v>1567</v>
      </c>
      <c r="F289" s="16" t="s">
        <v>1285</v>
      </c>
      <c r="G289" s="16" t="s">
        <v>322</v>
      </c>
      <c r="H289" s="16" t="s">
        <v>2225</v>
      </c>
      <c r="I289" s="16" t="s">
        <v>68</v>
      </c>
      <c r="J289" s="16" t="s">
        <v>1534</v>
      </c>
      <c r="K289" s="32" t="n">
        <v>14</v>
      </c>
      <c r="L289" s="33" t="n">
        <v>46019</v>
      </c>
      <c r="M289" s="33" t="n">
        <v>46032</v>
      </c>
      <c r="N289" s="16" t="s">
        <v>2252</v>
      </c>
      <c r="O289" s="16"/>
      <c r="P289" s="16" t="str">
        <f aca="false">IF(AND(L289&lt;=$D$2,M289&gt;=$C$2),"Sí","")</f>
        <v/>
      </c>
      <c r="Q289" s="18" t="str">
        <f aca="false">IF(COUNTIF(LOOKAHEAD!$A$5:$A$604,A289)&gt;0,"En Lookahead",IF(P289="Sí","INCORPORAR",""))</f>
        <v/>
      </c>
    </row>
    <row r="290" customFormat="false" ht="15" hidden="false" customHeight="false" outlineLevel="0" collapsed="false">
      <c r="A290" s="13" t="s">
        <v>2253</v>
      </c>
      <c r="B290" s="13" t="n">
        <v>285</v>
      </c>
      <c r="C290" s="13" t="s">
        <v>2254</v>
      </c>
      <c r="D290" s="13" t="n">
        <v>5</v>
      </c>
      <c r="E290" s="34" t="s">
        <v>1571</v>
      </c>
      <c r="F290" s="13" t="s">
        <v>1298</v>
      </c>
      <c r="G290" s="13" t="s">
        <v>322</v>
      </c>
      <c r="H290" s="13" t="s">
        <v>2225</v>
      </c>
      <c r="I290" s="13" t="s">
        <v>68</v>
      </c>
      <c r="J290" s="13" t="s">
        <v>2225</v>
      </c>
      <c r="K290" s="30" t="n">
        <v>62</v>
      </c>
      <c r="L290" s="31" t="n">
        <v>45978</v>
      </c>
      <c r="M290" s="31" t="n">
        <v>46039</v>
      </c>
      <c r="N290" s="13"/>
      <c r="O290" s="13"/>
      <c r="P290" s="13"/>
      <c r="Q290" s="13"/>
    </row>
    <row r="291" customFormat="false" ht="15" hidden="false" customHeight="false" outlineLevel="0" collapsed="false">
      <c r="A291" s="13" t="s">
        <v>2255</v>
      </c>
      <c r="B291" s="13" t="n">
        <v>286</v>
      </c>
      <c r="C291" s="13" t="s">
        <v>2256</v>
      </c>
      <c r="D291" s="13" t="n">
        <v>6</v>
      </c>
      <c r="E291" s="36" t="s">
        <v>1574</v>
      </c>
      <c r="F291" s="13" t="s">
        <v>1298</v>
      </c>
      <c r="G291" s="13" t="s">
        <v>322</v>
      </c>
      <c r="H291" s="13" t="s">
        <v>2225</v>
      </c>
      <c r="I291" s="13" t="s">
        <v>68</v>
      </c>
      <c r="J291" s="13" t="s">
        <v>1571</v>
      </c>
      <c r="K291" s="30" t="n">
        <v>1</v>
      </c>
      <c r="L291" s="31" t="n">
        <v>45978</v>
      </c>
      <c r="M291" s="31" t="n">
        <v>45978</v>
      </c>
      <c r="N291" s="13"/>
      <c r="O291" s="13"/>
      <c r="P291" s="13"/>
      <c r="Q291" s="13"/>
    </row>
    <row r="292" customFormat="false" ht="15" hidden="false" customHeight="false" outlineLevel="0" collapsed="false">
      <c r="A292" s="16" t="s">
        <v>2257</v>
      </c>
      <c r="B292" s="16" t="n">
        <v>287</v>
      </c>
      <c r="C292" s="16" t="s">
        <v>2258</v>
      </c>
      <c r="D292" s="16" t="n">
        <v>7</v>
      </c>
      <c r="E292" s="37" t="s">
        <v>1577</v>
      </c>
      <c r="F292" s="16" t="s">
        <v>1285</v>
      </c>
      <c r="G292" s="16" t="s">
        <v>322</v>
      </c>
      <c r="H292" s="16" t="s">
        <v>2225</v>
      </c>
      <c r="I292" s="16" t="s">
        <v>68</v>
      </c>
      <c r="J292" s="16" t="s">
        <v>1574</v>
      </c>
      <c r="K292" s="32" t="n">
        <v>1</v>
      </c>
      <c r="L292" s="33" t="n">
        <v>45978</v>
      </c>
      <c r="M292" s="33" t="n">
        <v>45978</v>
      </c>
      <c r="N292" s="16" t="s">
        <v>2259</v>
      </c>
      <c r="O292" s="16"/>
      <c r="P292" s="16" t="str">
        <f aca="false">IF(AND(L292&lt;=$D$2,M292&gt;=$C$2),"Sí","")</f>
        <v/>
      </c>
      <c r="Q292" s="18" t="str">
        <f aca="false">IF(COUNTIF(LOOKAHEAD!$A$5:$A$604,A292)&gt;0,"En Lookahead",IF(P292="Sí","INCORPORAR",""))</f>
        <v/>
      </c>
    </row>
    <row r="293" customFormat="false" ht="15" hidden="false" customHeight="false" outlineLevel="0" collapsed="false">
      <c r="A293" s="13" t="s">
        <v>2260</v>
      </c>
      <c r="B293" s="13" t="n">
        <v>288</v>
      </c>
      <c r="C293" s="13" t="s">
        <v>2261</v>
      </c>
      <c r="D293" s="13" t="n">
        <v>6</v>
      </c>
      <c r="E293" s="36" t="s">
        <v>1581</v>
      </c>
      <c r="F293" s="13" t="s">
        <v>1298</v>
      </c>
      <c r="G293" s="13" t="s">
        <v>322</v>
      </c>
      <c r="H293" s="13" t="s">
        <v>2225</v>
      </c>
      <c r="I293" s="13" t="s">
        <v>68</v>
      </c>
      <c r="J293" s="13" t="s">
        <v>1571</v>
      </c>
      <c r="K293" s="30" t="n">
        <v>8</v>
      </c>
      <c r="L293" s="31" t="n">
        <v>45979</v>
      </c>
      <c r="M293" s="31" t="n">
        <v>45986</v>
      </c>
      <c r="N293" s="13"/>
      <c r="O293" s="13"/>
      <c r="P293" s="13"/>
      <c r="Q293" s="13"/>
    </row>
    <row r="294" customFormat="false" ht="15" hidden="false" customHeight="false" outlineLevel="0" collapsed="false">
      <c r="A294" s="16" t="s">
        <v>2262</v>
      </c>
      <c r="B294" s="16" t="n">
        <v>289</v>
      </c>
      <c r="C294" s="16" t="s">
        <v>2263</v>
      </c>
      <c r="D294" s="16" t="n">
        <v>7</v>
      </c>
      <c r="E294" s="37" t="s">
        <v>1584</v>
      </c>
      <c r="F294" s="16" t="s">
        <v>1285</v>
      </c>
      <c r="G294" s="16" t="s">
        <v>322</v>
      </c>
      <c r="H294" s="16" t="s">
        <v>2225</v>
      </c>
      <c r="I294" s="16" t="s">
        <v>68</v>
      </c>
      <c r="J294" s="16" t="s">
        <v>1581</v>
      </c>
      <c r="K294" s="32" t="n">
        <v>1</v>
      </c>
      <c r="L294" s="33" t="n">
        <v>45986</v>
      </c>
      <c r="M294" s="33" t="n">
        <v>45986</v>
      </c>
      <c r="N294" s="16" t="s">
        <v>2264</v>
      </c>
      <c r="O294" s="16"/>
      <c r="P294" s="16" t="str">
        <f aca="false">IF(AND(L294&lt;=$D$2,M294&gt;=$C$2),"Sí","")</f>
        <v/>
      </c>
      <c r="Q294" s="18" t="str">
        <f aca="false">IF(COUNTIF(LOOKAHEAD!$A$5:$A$604,A294)&gt;0,"En Lookahead",IF(P294="Sí","INCORPORAR",""))</f>
        <v/>
      </c>
    </row>
    <row r="295" customFormat="false" ht="15" hidden="false" customHeight="false" outlineLevel="0" collapsed="false">
      <c r="A295" s="16" t="s">
        <v>2265</v>
      </c>
      <c r="B295" s="16" t="n">
        <v>290</v>
      </c>
      <c r="C295" s="16" t="s">
        <v>2266</v>
      </c>
      <c r="D295" s="16" t="n">
        <v>7</v>
      </c>
      <c r="E295" s="37" t="s">
        <v>1588</v>
      </c>
      <c r="F295" s="16" t="s">
        <v>1285</v>
      </c>
      <c r="G295" s="16" t="s">
        <v>322</v>
      </c>
      <c r="H295" s="16" t="s">
        <v>2225</v>
      </c>
      <c r="I295" s="16" t="s">
        <v>68</v>
      </c>
      <c r="J295" s="16" t="s">
        <v>1581</v>
      </c>
      <c r="K295" s="32" t="n">
        <v>7</v>
      </c>
      <c r="L295" s="33" t="n">
        <v>45979</v>
      </c>
      <c r="M295" s="33" t="n">
        <v>45985</v>
      </c>
      <c r="N295" s="16" t="s">
        <v>2267</v>
      </c>
      <c r="O295" s="16"/>
      <c r="P295" s="16" t="str">
        <f aca="false">IF(AND(L295&lt;=$D$2,M295&gt;=$C$2),"Sí","")</f>
        <v/>
      </c>
      <c r="Q295" s="18" t="str">
        <f aca="false">IF(COUNTIF(LOOKAHEAD!$A$5:$A$604,A295)&gt;0,"En Lookahead",IF(P295="Sí","INCORPORAR",""))</f>
        <v/>
      </c>
    </row>
    <row r="296" customFormat="false" ht="15" hidden="false" customHeight="false" outlineLevel="0" collapsed="false">
      <c r="A296" s="13" t="s">
        <v>2268</v>
      </c>
      <c r="B296" s="13" t="n">
        <v>291</v>
      </c>
      <c r="C296" s="13" t="s">
        <v>2269</v>
      </c>
      <c r="D296" s="13" t="n">
        <v>6</v>
      </c>
      <c r="E296" s="36" t="s">
        <v>1592</v>
      </c>
      <c r="F296" s="13" t="s">
        <v>1298</v>
      </c>
      <c r="G296" s="13" t="s">
        <v>322</v>
      </c>
      <c r="H296" s="13" t="s">
        <v>2225</v>
      </c>
      <c r="I296" s="13" t="s">
        <v>68</v>
      </c>
      <c r="J296" s="13" t="s">
        <v>1571</v>
      </c>
      <c r="K296" s="30" t="n">
        <v>10</v>
      </c>
      <c r="L296" s="31" t="n">
        <v>45987</v>
      </c>
      <c r="M296" s="31" t="n">
        <v>45996</v>
      </c>
      <c r="N296" s="13"/>
      <c r="O296" s="13"/>
      <c r="P296" s="13"/>
      <c r="Q296" s="13"/>
    </row>
    <row r="297" customFormat="false" ht="15" hidden="false" customHeight="false" outlineLevel="0" collapsed="false">
      <c r="A297" s="16" t="s">
        <v>2270</v>
      </c>
      <c r="B297" s="16" t="n">
        <v>292</v>
      </c>
      <c r="C297" s="16" t="s">
        <v>2271</v>
      </c>
      <c r="D297" s="16" t="n">
        <v>7</v>
      </c>
      <c r="E297" s="37" t="s">
        <v>1595</v>
      </c>
      <c r="F297" s="16" t="s">
        <v>1285</v>
      </c>
      <c r="G297" s="16" t="s">
        <v>322</v>
      </c>
      <c r="H297" s="16" t="s">
        <v>2225</v>
      </c>
      <c r="I297" s="16" t="s">
        <v>68</v>
      </c>
      <c r="J297" s="16" t="s">
        <v>1592</v>
      </c>
      <c r="K297" s="32" t="n">
        <v>1</v>
      </c>
      <c r="L297" s="33" t="n">
        <v>45993</v>
      </c>
      <c r="M297" s="33" t="n">
        <v>45993</v>
      </c>
      <c r="N297" s="16" t="s">
        <v>2272</v>
      </c>
      <c r="O297" s="16"/>
      <c r="P297" s="16" t="str">
        <f aca="false">IF(AND(L297&lt;=$D$2,M297&gt;=$C$2),"Sí","")</f>
        <v/>
      </c>
      <c r="Q297" s="18" t="str">
        <f aca="false">IF(COUNTIF(LOOKAHEAD!$A$5:$A$604,A297)&gt;0,"En Lookahead",IF(P297="Sí","INCORPORAR",""))</f>
        <v/>
      </c>
    </row>
    <row r="298" customFormat="false" ht="15" hidden="false" customHeight="false" outlineLevel="0" collapsed="false">
      <c r="A298" s="16" t="s">
        <v>2273</v>
      </c>
      <c r="B298" s="16" t="n">
        <v>293</v>
      </c>
      <c r="C298" s="16" t="s">
        <v>2274</v>
      </c>
      <c r="D298" s="16" t="n">
        <v>7</v>
      </c>
      <c r="E298" s="37" t="s">
        <v>1588</v>
      </c>
      <c r="F298" s="16" t="s">
        <v>1285</v>
      </c>
      <c r="G298" s="16" t="s">
        <v>322</v>
      </c>
      <c r="H298" s="16" t="s">
        <v>2225</v>
      </c>
      <c r="I298" s="16" t="s">
        <v>68</v>
      </c>
      <c r="J298" s="16" t="s">
        <v>1592</v>
      </c>
      <c r="K298" s="32" t="n">
        <v>6</v>
      </c>
      <c r="L298" s="33" t="n">
        <v>45987</v>
      </c>
      <c r="M298" s="33" t="n">
        <v>45992</v>
      </c>
      <c r="N298" s="16" t="s">
        <v>2275</v>
      </c>
      <c r="O298" s="16"/>
      <c r="P298" s="16" t="str">
        <f aca="false">IF(AND(L298&lt;=$D$2,M298&gt;=$C$2),"Sí","")</f>
        <v/>
      </c>
      <c r="Q298" s="18" t="str">
        <f aca="false">IF(COUNTIF(LOOKAHEAD!$A$5:$A$604,A298)&gt;0,"En Lookahead",IF(P298="Sí","INCORPORAR",""))</f>
        <v/>
      </c>
    </row>
    <row r="299" customFormat="false" ht="15" hidden="false" customHeight="false" outlineLevel="0" collapsed="false">
      <c r="A299" s="16" t="s">
        <v>2276</v>
      </c>
      <c r="B299" s="16" t="n">
        <v>294</v>
      </c>
      <c r="C299" s="16" t="s">
        <v>2277</v>
      </c>
      <c r="D299" s="16" t="n">
        <v>7</v>
      </c>
      <c r="E299" s="37" t="s">
        <v>1602</v>
      </c>
      <c r="F299" s="16" t="s">
        <v>1285</v>
      </c>
      <c r="G299" s="16" t="s">
        <v>322</v>
      </c>
      <c r="H299" s="16" t="s">
        <v>2225</v>
      </c>
      <c r="I299" s="16" t="s">
        <v>68</v>
      </c>
      <c r="J299" s="16" t="s">
        <v>1592</v>
      </c>
      <c r="K299" s="32" t="n">
        <v>3</v>
      </c>
      <c r="L299" s="33" t="n">
        <v>45994</v>
      </c>
      <c r="M299" s="33" t="n">
        <v>45996</v>
      </c>
      <c r="N299" s="16" t="s">
        <v>2278</v>
      </c>
      <c r="O299" s="16"/>
      <c r="P299" s="16" t="str">
        <f aca="false">IF(AND(L299&lt;=$D$2,M299&gt;=$C$2),"Sí","")</f>
        <v/>
      </c>
      <c r="Q299" s="18" t="str">
        <f aca="false">IF(COUNTIF(LOOKAHEAD!$A$5:$A$604,A299)&gt;0,"En Lookahead",IF(P299="Sí","INCORPORAR",""))</f>
        <v/>
      </c>
    </row>
    <row r="300" customFormat="false" ht="15" hidden="false" customHeight="false" outlineLevel="0" collapsed="false">
      <c r="A300" s="13" t="s">
        <v>2279</v>
      </c>
      <c r="B300" s="13" t="n">
        <v>295</v>
      </c>
      <c r="C300" s="13" t="s">
        <v>2280</v>
      </c>
      <c r="D300" s="13" t="n">
        <v>6</v>
      </c>
      <c r="E300" s="36" t="s">
        <v>1606</v>
      </c>
      <c r="F300" s="13" t="s">
        <v>1298</v>
      </c>
      <c r="G300" s="13" t="s">
        <v>322</v>
      </c>
      <c r="H300" s="13" t="s">
        <v>2225</v>
      </c>
      <c r="I300" s="13" t="s">
        <v>68</v>
      </c>
      <c r="J300" s="13" t="s">
        <v>1571</v>
      </c>
      <c r="K300" s="30" t="n">
        <v>38</v>
      </c>
      <c r="L300" s="31" t="n">
        <v>45993</v>
      </c>
      <c r="M300" s="31" t="n">
        <v>46030</v>
      </c>
      <c r="N300" s="13"/>
      <c r="O300" s="13"/>
      <c r="P300" s="13"/>
      <c r="Q300" s="13"/>
    </row>
    <row r="301" customFormat="false" ht="15" hidden="false" customHeight="false" outlineLevel="0" collapsed="false">
      <c r="A301" s="16" t="s">
        <v>2281</v>
      </c>
      <c r="B301" s="16" t="n">
        <v>296</v>
      </c>
      <c r="C301" s="16" t="s">
        <v>2282</v>
      </c>
      <c r="D301" s="16" t="n">
        <v>7</v>
      </c>
      <c r="E301" s="37" t="s">
        <v>1609</v>
      </c>
      <c r="F301" s="16" t="s">
        <v>1285</v>
      </c>
      <c r="G301" s="16" t="s">
        <v>322</v>
      </c>
      <c r="H301" s="16" t="s">
        <v>2225</v>
      </c>
      <c r="I301" s="16" t="s">
        <v>68</v>
      </c>
      <c r="J301" s="16" t="s">
        <v>1606</v>
      </c>
      <c r="K301" s="32" t="n">
        <v>12</v>
      </c>
      <c r="L301" s="33" t="n">
        <v>46019</v>
      </c>
      <c r="M301" s="33" t="n">
        <v>46030</v>
      </c>
      <c r="N301" s="16" t="s">
        <v>2283</v>
      </c>
      <c r="O301" s="16"/>
      <c r="P301" s="16" t="str">
        <f aca="false">IF(AND(L301&lt;=$D$2,M301&gt;=$C$2),"Sí","")</f>
        <v/>
      </c>
      <c r="Q301" s="18" t="str">
        <f aca="false">IF(COUNTIF(LOOKAHEAD!$A$5:$A$604,A301)&gt;0,"En Lookahead",IF(P301="Sí","INCORPORAR",""))</f>
        <v/>
      </c>
    </row>
    <row r="302" customFormat="false" ht="15" hidden="false" customHeight="false" outlineLevel="0" collapsed="false">
      <c r="A302" s="16" t="s">
        <v>2284</v>
      </c>
      <c r="B302" s="16" t="n">
        <v>297</v>
      </c>
      <c r="C302" s="16" t="s">
        <v>2285</v>
      </c>
      <c r="D302" s="16" t="n">
        <v>7</v>
      </c>
      <c r="E302" s="37" t="s">
        <v>1588</v>
      </c>
      <c r="F302" s="16" t="s">
        <v>1285</v>
      </c>
      <c r="G302" s="16" t="s">
        <v>322</v>
      </c>
      <c r="H302" s="16" t="s">
        <v>2225</v>
      </c>
      <c r="I302" s="16" t="s">
        <v>68</v>
      </c>
      <c r="J302" s="16" t="s">
        <v>1606</v>
      </c>
      <c r="K302" s="32" t="n">
        <v>26</v>
      </c>
      <c r="L302" s="33" t="n">
        <v>45993</v>
      </c>
      <c r="M302" s="33" t="n">
        <v>46018</v>
      </c>
      <c r="N302" s="16" t="s">
        <v>2272</v>
      </c>
      <c r="O302" s="16"/>
      <c r="P302" s="16" t="str">
        <f aca="false">IF(AND(L302&lt;=$D$2,M302&gt;=$C$2),"Sí","")</f>
        <v/>
      </c>
      <c r="Q302" s="18" t="str">
        <f aca="false">IF(COUNTIF(LOOKAHEAD!$A$5:$A$604,A302)&gt;0,"En Lookahead",IF(P302="Sí","INCORPORAR",""))</f>
        <v/>
      </c>
    </row>
    <row r="303" customFormat="false" ht="15" hidden="false" customHeight="false" outlineLevel="0" collapsed="false">
      <c r="A303" s="13" t="s">
        <v>2286</v>
      </c>
      <c r="B303" s="13" t="n">
        <v>298</v>
      </c>
      <c r="C303" s="13" t="s">
        <v>2287</v>
      </c>
      <c r="D303" s="13" t="n">
        <v>6</v>
      </c>
      <c r="E303" s="36" t="s">
        <v>1616</v>
      </c>
      <c r="F303" s="13" t="s">
        <v>1298</v>
      </c>
      <c r="G303" s="13" t="s">
        <v>322</v>
      </c>
      <c r="H303" s="13" t="s">
        <v>2225</v>
      </c>
      <c r="I303" s="13" t="s">
        <v>68</v>
      </c>
      <c r="J303" s="13" t="s">
        <v>1571</v>
      </c>
      <c r="K303" s="30" t="n">
        <v>9</v>
      </c>
      <c r="L303" s="31" t="n">
        <v>46031</v>
      </c>
      <c r="M303" s="31" t="n">
        <v>46039</v>
      </c>
      <c r="N303" s="13"/>
      <c r="O303" s="13"/>
      <c r="P303" s="13"/>
      <c r="Q303" s="13"/>
    </row>
    <row r="304" customFormat="false" ht="15" hidden="false" customHeight="false" outlineLevel="0" collapsed="false">
      <c r="A304" s="16" t="s">
        <v>2288</v>
      </c>
      <c r="B304" s="16" t="n">
        <v>299</v>
      </c>
      <c r="C304" s="16" t="s">
        <v>2289</v>
      </c>
      <c r="D304" s="16" t="n">
        <v>7</v>
      </c>
      <c r="E304" s="37" t="s">
        <v>1619</v>
      </c>
      <c r="F304" s="16" t="s">
        <v>1285</v>
      </c>
      <c r="G304" s="16" t="s">
        <v>322</v>
      </c>
      <c r="H304" s="16" t="s">
        <v>2225</v>
      </c>
      <c r="I304" s="16" t="s">
        <v>68</v>
      </c>
      <c r="J304" s="16" t="s">
        <v>1616</v>
      </c>
      <c r="K304" s="32" t="n">
        <v>9</v>
      </c>
      <c r="L304" s="33" t="n">
        <v>46031</v>
      </c>
      <c r="M304" s="33" t="n">
        <v>46039</v>
      </c>
      <c r="N304" s="16" t="s">
        <v>2290</v>
      </c>
      <c r="O304" s="16"/>
      <c r="P304" s="16" t="str">
        <f aca="false">IF(AND(L304&lt;=$D$2,M304&gt;=$C$2),"Sí","")</f>
        <v/>
      </c>
      <c r="Q304" s="18" t="str">
        <f aca="false">IF(COUNTIF(LOOKAHEAD!$A$5:$A$604,A304)&gt;0,"En Lookahead",IF(P304="Sí","INCORPORAR",""))</f>
        <v/>
      </c>
    </row>
    <row r="305" customFormat="false" ht="15" hidden="false" customHeight="false" outlineLevel="0" collapsed="false">
      <c r="A305" s="13" t="s">
        <v>2291</v>
      </c>
      <c r="B305" s="13" t="n">
        <v>300</v>
      </c>
      <c r="C305" s="13" t="s">
        <v>2292</v>
      </c>
      <c r="D305" s="13" t="n">
        <v>5</v>
      </c>
      <c r="E305" s="34" t="s">
        <v>1623</v>
      </c>
      <c r="F305" s="13" t="s">
        <v>1298</v>
      </c>
      <c r="G305" s="13" t="s">
        <v>322</v>
      </c>
      <c r="H305" s="13" t="s">
        <v>2225</v>
      </c>
      <c r="I305" s="13" t="s">
        <v>68</v>
      </c>
      <c r="J305" s="13" t="s">
        <v>2225</v>
      </c>
      <c r="K305" s="30" t="n">
        <v>452</v>
      </c>
      <c r="L305" s="31" t="n">
        <v>45994</v>
      </c>
      <c r="M305" s="31" t="n">
        <v>46525</v>
      </c>
      <c r="N305" s="13"/>
      <c r="O305" s="13"/>
      <c r="P305" s="13"/>
      <c r="Q305" s="13"/>
    </row>
    <row r="306" customFormat="false" ht="15" hidden="false" customHeight="false" outlineLevel="0" collapsed="false">
      <c r="A306" s="13" t="s">
        <v>2293</v>
      </c>
      <c r="B306" s="13" t="n">
        <v>301</v>
      </c>
      <c r="C306" s="13" t="s">
        <v>2294</v>
      </c>
      <c r="D306" s="13" t="n">
        <v>6</v>
      </c>
      <c r="E306" s="36" t="s">
        <v>2295</v>
      </c>
      <c r="F306" s="13" t="s">
        <v>1298</v>
      </c>
      <c r="G306" s="13" t="s">
        <v>322</v>
      </c>
      <c r="H306" s="13" t="s">
        <v>2225</v>
      </c>
      <c r="I306" s="13" t="s">
        <v>68</v>
      </c>
      <c r="J306" s="13" t="s">
        <v>1623</v>
      </c>
      <c r="K306" s="30" t="n">
        <v>4</v>
      </c>
      <c r="L306" s="31" t="n">
        <v>46025</v>
      </c>
      <c r="M306" s="31" t="n">
        <v>46028</v>
      </c>
      <c r="N306" s="13"/>
      <c r="O306" s="13"/>
      <c r="P306" s="13"/>
      <c r="Q306" s="13"/>
    </row>
    <row r="307" customFormat="false" ht="15" hidden="false" customHeight="false" outlineLevel="0" collapsed="false">
      <c r="A307" s="16" t="s">
        <v>2296</v>
      </c>
      <c r="B307" s="16" t="n">
        <v>302</v>
      </c>
      <c r="C307" s="16" t="s">
        <v>2297</v>
      </c>
      <c r="D307" s="16" t="n">
        <v>7</v>
      </c>
      <c r="E307" s="37" t="s">
        <v>2298</v>
      </c>
      <c r="F307" s="16" t="s">
        <v>1285</v>
      </c>
      <c r="G307" s="16" t="s">
        <v>322</v>
      </c>
      <c r="H307" s="16" t="s">
        <v>2225</v>
      </c>
      <c r="I307" s="16" t="s">
        <v>68</v>
      </c>
      <c r="J307" s="16" t="s">
        <v>2295</v>
      </c>
      <c r="K307" s="32" t="n">
        <v>1</v>
      </c>
      <c r="L307" s="33" t="n">
        <v>46027</v>
      </c>
      <c r="M307" s="33" t="n">
        <v>46027</v>
      </c>
      <c r="N307" s="16" t="s">
        <v>2299</v>
      </c>
      <c r="O307" s="16"/>
      <c r="P307" s="16" t="str">
        <f aca="false">IF(AND(L307&lt;=$D$2,M307&gt;=$C$2),"Sí","")</f>
        <v/>
      </c>
      <c r="Q307" s="18" t="str">
        <f aca="false">IF(COUNTIF(LOOKAHEAD!$A$5:$A$604,A307)&gt;0,"En Lookahead",IF(P307="Sí","INCORPORAR",""))</f>
        <v/>
      </c>
    </row>
    <row r="308" customFormat="false" ht="15" hidden="false" customHeight="false" outlineLevel="0" collapsed="false">
      <c r="A308" s="16" t="s">
        <v>2300</v>
      </c>
      <c r="B308" s="16" t="n">
        <v>303</v>
      </c>
      <c r="C308" s="16" t="s">
        <v>2301</v>
      </c>
      <c r="D308" s="16" t="n">
        <v>7</v>
      </c>
      <c r="E308" s="37" t="s">
        <v>2302</v>
      </c>
      <c r="F308" s="16" t="s">
        <v>1285</v>
      </c>
      <c r="G308" s="16" t="s">
        <v>322</v>
      </c>
      <c r="H308" s="16" t="s">
        <v>2225</v>
      </c>
      <c r="I308" s="16" t="s">
        <v>68</v>
      </c>
      <c r="J308" s="16" t="s">
        <v>2295</v>
      </c>
      <c r="K308" s="32" t="n">
        <v>1</v>
      </c>
      <c r="L308" s="33" t="n">
        <v>46026</v>
      </c>
      <c r="M308" s="33" t="n">
        <v>46026</v>
      </c>
      <c r="N308" s="16" t="s">
        <v>2303</v>
      </c>
      <c r="O308" s="16"/>
      <c r="P308" s="16" t="str">
        <f aca="false">IF(AND(L308&lt;=$D$2,M308&gt;=$C$2),"Sí","")</f>
        <v/>
      </c>
      <c r="Q308" s="18" t="str">
        <f aca="false">IF(COUNTIF(LOOKAHEAD!$A$5:$A$604,A308)&gt;0,"En Lookahead",IF(P308="Sí","INCORPORAR",""))</f>
        <v/>
      </c>
    </row>
    <row r="309" customFormat="false" ht="15" hidden="false" customHeight="false" outlineLevel="0" collapsed="false">
      <c r="A309" s="16" t="s">
        <v>2304</v>
      </c>
      <c r="B309" s="16" t="n">
        <v>304</v>
      </c>
      <c r="C309" s="16" t="s">
        <v>2305</v>
      </c>
      <c r="D309" s="16" t="n">
        <v>7</v>
      </c>
      <c r="E309" s="37" t="s">
        <v>2306</v>
      </c>
      <c r="F309" s="16" t="s">
        <v>1285</v>
      </c>
      <c r="G309" s="16" t="s">
        <v>322</v>
      </c>
      <c r="H309" s="16" t="s">
        <v>2225</v>
      </c>
      <c r="I309" s="16" t="s">
        <v>68</v>
      </c>
      <c r="J309" s="16" t="s">
        <v>2295</v>
      </c>
      <c r="K309" s="32" t="n">
        <v>1</v>
      </c>
      <c r="L309" s="33" t="n">
        <v>46025</v>
      </c>
      <c r="M309" s="33" t="n">
        <v>46025</v>
      </c>
      <c r="N309" s="16" t="s">
        <v>2307</v>
      </c>
      <c r="O309" s="16"/>
      <c r="P309" s="16" t="str">
        <f aca="false">IF(AND(L309&lt;=$D$2,M309&gt;=$C$2),"Sí","")</f>
        <v/>
      </c>
      <c r="Q309" s="18" t="str">
        <f aca="false">IF(COUNTIF(LOOKAHEAD!$A$5:$A$604,A309)&gt;0,"En Lookahead",IF(P309="Sí","INCORPORAR",""))</f>
        <v/>
      </c>
    </row>
    <row r="310" customFormat="false" ht="15" hidden="false" customHeight="false" outlineLevel="0" collapsed="false">
      <c r="A310" s="16" t="s">
        <v>2308</v>
      </c>
      <c r="B310" s="16" t="n">
        <v>305</v>
      </c>
      <c r="C310" s="16" t="s">
        <v>2309</v>
      </c>
      <c r="D310" s="16" t="n">
        <v>7</v>
      </c>
      <c r="E310" s="37" t="s">
        <v>1602</v>
      </c>
      <c r="F310" s="16" t="s">
        <v>1285</v>
      </c>
      <c r="G310" s="16" t="s">
        <v>322</v>
      </c>
      <c r="H310" s="16" t="s">
        <v>2225</v>
      </c>
      <c r="I310" s="16" t="s">
        <v>68</v>
      </c>
      <c r="J310" s="16" t="s">
        <v>2295</v>
      </c>
      <c r="K310" s="32" t="n">
        <v>1</v>
      </c>
      <c r="L310" s="33" t="n">
        <v>46028</v>
      </c>
      <c r="M310" s="33" t="n">
        <v>46028</v>
      </c>
      <c r="N310" s="16" t="s">
        <v>2310</v>
      </c>
      <c r="O310" s="16"/>
      <c r="P310" s="16" t="str">
        <f aca="false">IF(AND(L310&lt;=$D$2,M310&gt;=$C$2),"Sí","")</f>
        <v/>
      </c>
      <c r="Q310" s="18" t="str">
        <f aca="false">IF(COUNTIF(LOOKAHEAD!$A$5:$A$604,A310)&gt;0,"En Lookahead",IF(P310="Sí","INCORPORAR",""))</f>
        <v/>
      </c>
    </row>
    <row r="311" customFormat="false" ht="15" hidden="false" customHeight="false" outlineLevel="0" collapsed="false">
      <c r="A311" s="13" t="s">
        <v>2311</v>
      </c>
      <c r="B311" s="13" t="n">
        <v>306</v>
      </c>
      <c r="C311" s="13" t="s">
        <v>2312</v>
      </c>
      <c r="D311" s="13" t="n">
        <v>6</v>
      </c>
      <c r="E311" s="36" t="s">
        <v>1626</v>
      </c>
      <c r="F311" s="13" t="s">
        <v>1298</v>
      </c>
      <c r="G311" s="13" t="s">
        <v>322</v>
      </c>
      <c r="H311" s="13" t="s">
        <v>2225</v>
      </c>
      <c r="I311" s="13" t="s">
        <v>68</v>
      </c>
      <c r="J311" s="13" t="s">
        <v>1623</v>
      </c>
      <c r="K311" s="30" t="n">
        <v>36</v>
      </c>
      <c r="L311" s="31" t="n">
        <v>45994</v>
      </c>
      <c r="M311" s="31" t="n">
        <v>46029</v>
      </c>
      <c r="N311" s="13"/>
      <c r="O311" s="13"/>
      <c r="P311" s="13"/>
      <c r="Q311" s="13"/>
    </row>
    <row r="312" customFormat="false" ht="15" hidden="false" customHeight="false" outlineLevel="0" collapsed="false">
      <c r="A312" s="16" t="s">
        <v>2313</v>
      </c>
      <c r="B312" s="16" t="n">
        <v>307</v>
      </c>
      <c r="C312" s="16" t="s">
        <v>2314</v>
      </c>
      <c r="D312" s="16" t="n">
        <v>7</v>
      </c>
      <c r="E312" s="37" t="s">
        <v>1629</v>
      </c>
      <c r="F312" s="16" t="s">
        <v>1285</v>
      </c>
      <c r="G312" s="16" t="s">
        <v>322</v>
      </c>
      <c r="H312" s="16" t="s">
        <v>2225</v>
      </c>
      <c r="I312" s="16" t="s">
        <v>68</v>
      </c>
      <c r="J312" s="16" t="s">
        <v>1626</v>
      </c>
      <c r="K312" s="32" t="n">
        <v>4</v>
      </c>
      <c r="L312" s="33" t="n">
        <v>46021</v>
      </c>
      <c r="M312" s="33" t="n">
        <v>46024</v>
      </c>
      <c r="N312" s="16" t="s">
        <v>2315</v>
      </c>
      <c r="O312" s="16"/>
      <c r="P312" s="16" t="str">
        <f aca="false">IF(AND(L312&lt;=$D$2,M312&gt;=$C$2),"Sí","")</f>
        <v/>
      </c>
      <c r="Q312" s="18" t="str">
        <f aca="false">IF(COUNTIF(LOOKAHEAD!$A$5:$A$604,A312)&gt;0,"En Lookahead",IF(P312="Sí","INCORPORAR",""))</f>
        <v/>
      </c>
    </row>
    <row r="313" customFormat="false" ht="15" hidden="false" customHeight="false" outlineLevel="0" collapsed="false">
      <c r="A313" s="16" t="s">
        <v>2316</v>
      </c>
      <c r="B313" s="16" t="n">
        <v>308</v>
      </c>
      <c r="C313" s="16" t="s">
        <v>2317</v>
      </c>
      <c r="D313" s="16" t="n">
        <v>7</v>
      </c>
      <c r="E313" s="37" t="s">
        <v>1633</v>
      </c>
      <c r="F313" s="16" t="s">
        <v>1285</v>
      </c>
      <c r="G313" s="16" t="s">
        <v>322</v>
      </c>
      <c r="H313" s="16" t="s">
        <v>2225</v>
      </c>
      <c r="I313" s="16" t="s">
        <v>68</v>
      </c>
      <c r="J313" s="16" t="s">
        <v>1626</v>
      </c>
      <c r="K313" s="32" t="n">
        <v>11</v>
      </c>
      <c r="L313" s="33" t="n">
        <v>46010</v>
      </c>
      <c r="M313" s="33" t="n">
        <v>46020</v>
      </c>
      <c r="N313" s="16" t="s">
        <v>2318</v>
      </c>
      <c r="O313" s="16"/>
      <c r="P313" s="16" t="str">
        <f aca="false">IF(AND(L313&lt;=$D$2,M313&gt;=$C$2),"Sí","")</f>
        <v/>
      </c>
      <c r="Q313" s="18" t="str">
        <f aca="false">IF(COUNTIF(LOOKAHEAD!$A$5:$A$604,A313)&gt;0,"En Lookahead",IF(P313="Sí","INCORPORAR",""))</f>
        <v/>
      </c>
    </row>
    <row r="314" customFormat="false" ht="15" hidden="false" customHeight="false" outlineLevel="0" collapsed="false">
      <c r="A314" s="16" t="s">
        <v>2319</v>
      </c>
      <c r="B314" s="16" t="n">
        <v>309</v>
      </c>
      <c r="C314" s="16" t="s">
        <v>2320</v>
      </c>
      <c r="D314" s="16" t="n">
        <v>7</v>
      </c>
      <c r="E314" s="37" t="s">
        <v>1637</v>
      </c>
      <c r="F314" s="16" t="s">
        <v>1285</v>
      </c>
      <c r="G314" s="16" t="s">
        <v>322</v>
      </c>
      <c r="H314" s="16" t="s">
        <v>2225</v>
      </c>
      <c r="I314" s="16" t="s">
        <v>68</v>
      </c>
      <c r="J314" s="16" t="s">
        <v>1626</v>
      </c>
      <c r="K314" s="32" t="n">
        <v>16</v>
      </c>
      <c r="L314" s="33" t="n">
        <v>45994</v>
      </c>
      <c r="M314" s="33" t="n">
        <v>46009</v>
      </c>
      <c r="N314" s="16" t="s">
        <v>2278</v>
      </c>
      <c r="O314" s="16"/>
      <c r="P314" s="16" t="str">
        <f aca="false">IF(AND(L314&lt;=$D$2,M314&gt;=$C$2),"Sí","")</f>
        <v/>
      </c>
      <c r="Q314" s="18" t="str">
        <f aca="false">IF(COUNTIF(LOOKAHEAD!$A$5:$A$604,A314)&gt;0,"En Lookahead",IF(P314="Sí","INCORPORAR",""))</f>
        <v/>
      </c>
    </row>
    <row r="315" customFormat="false" ht="15" hidden="false" customHeight="false" outlineLevel="0" collapsed="false">
      <c r="A315" s="16" t="s">
        <v>2321</v>
      </c>
      <c r="B315" s="16" t="n">
        <v>310</v>
      </c>
      <c r="C315" s="16" t="s">
        <v>2322</v>
      </c>
      <c r="D315" s="16" t="n">
        <v>7</v>
      </c>
      <c r="E315" s="37" t="s">
        <v>1602</v>
      </c>
      <c r="F315" s="16" t="s">
        <v>1285</v>
      </c>
      <c r="G315" s="16" t="s">
        <v>322</v>
      </c>
      <c r="H315" s="16" t="s">
        <v>2225</v>
      </c>
      <c r="I315" s="16" t="s">
        <v>68</v>
      </c>
      <c r="J315" s="16" t="s">
        <v>1626</v>
      </c>
      <c r="K315" s="32" t="n">
        <v>5</v>
      </c>
      <c r="L315" s="33" t="n">
        <v>46025</v>
      </c>
      <c r="M315" s="33" t="n">
        <v>46029</v>
      </c>
      <c r="N315" s="16" t="s">
        <v>2307</v>
      </c>
      <c r="O315" s="16"/>
      <c r="P315" s="16" t="str">
        <f aca="false">IF(AND(L315&lt;=$D$2,M315&gt;=$C$2),"Sí","")</f>
        <v/>
      </c>
      <c r="Q315" s="18" t="str">
        <f aca="false">IF(COUNTIF(LOOKAHEAD!$A$5:$A$604,A315)&gt;0,"En Lookahead",IF(P315="Sí","INCORPORAR",""))</f>
        <v/>
      </c>
    </row>
    <row r="316" customFormat="false" ht="15" hidden="false" customHeight="false" outlineLevel="0" collapsed="false">
      <c r="A316" s="13" t="s">
        <v>2323</v>
      </c>
      <c r="B316" s="13" t="n">
        <v>311</v>
      </c>
      <c r="C316" s="13" t="s">
        <v>2324</v>
      </c>
      <c r="D316" s="13" t="n">
        <v>6</v>
      </c>
      <c r="E316" s="36" t="s">
        <v>1644</v>
      </c>
      <c r="F316" s="13" t="s">
        <v>1298</v>
      </c>
      <c r="G316" s="13" t="s">
        <v>322</v>
      </c>
      <c r="H316" s="13" t="s">
        <v>2225</v>
      </c>
      <c r="I316" s="13" t="s">
        <v>68</v>
      </c>
      <c r="J316" s="13" t="s">
        <v>1623</v>
      </c>
      <c r="K316" s="30" t="n">
        <v>50</v>
      </c>
      <c r="L316" s="31" t="n">
        <v>46027</v>
      </c>
      <c r="M316" s="31" t="n">
        <v>46076</v>
      </c>
      <c r="N316" s="13"/>
      <c r="O316" s="13"/>
      <c r="P316" s="13"/>
      <c r="Q316" s="13"/>
    </row>
    <row r="317" customFormat="false" ht="15" hidden="false" customHeight="false" outlineLevel="0" collapsed="false">
      <c r="A317" s="16" t="s">
        <v>2325</v>
      </c>
      <c r="B317" s="16" t="n">
        <v>312</v>
      </c>
      <c r="C317" s="16" t="s">
        <v>2326</v>
      </c>
      <c r="D317" s="16" t="n">
        <v>7</v>
      </c>
      <c r="E317" s="37" t="s">
        <v>1647</v>
      </c>
      <c r="F317" s="16" t="s">
        <v>1285</v>
      </c>
      <c r="G317" s="16" t="s">
        <v>322</v>
      </c>
      <c r="H317" s="16" t="s">
        <v>2225</v>
      </c>
      <c r="I317" s="16" t="s">
        <v>68</v>
      </c>
      <c r="J317" s="16" t="s">
        <v>1644</v>
      </c>
      <c r="K317" s="32" t="n">
        <v>1</v>
      </c>
      <c r="L317" s="33" t="n">
        <v>46068</v>
      </c>
      <c r="M317" s="33" t="n">
        <v>46068</v>
      </c>
      <c r="N317" s="16" t="s">
        <v>2327</v>
      </c>
      <c r="O317" s="16"/>
      <c r="P317" s="16" t="str">
        <f aca="false">IF(AND(L317&lt;=$D$2,M317&gt;=$C$2),"Sí","")</f>
        <v/>
      </c>
      <c r="Q317" s="18" t="str">
        <f aca="false">IF(COUNTIF(LOOKAHEAD!$A$5:$A$604,A317)&gt;0,"En Lookahead",IF(P317="Sí","INCORPORAR",""))</f>
        <v/>
      </c>
    </row>
    <row r="318" customFormat="false" ht="15" hidden="false" customHeight="false" outlineLevel="0" collapsed="false">
      <c r="A318" s="16" t="s">
        <v>2328</v>
      </c>
      <c r="B318" s="16" t="n">
        <v>313</v>
      </c>
      <c r="C318" s="16" t="s">
        <v>2329</v>
      </c>
      <c r="D318" s="16" t="n">
        <v>7</v>
      </c>
      <c r="E318" s="37" t="s">
        <v>1651</v>
      </c>
      <c r="F318" s="16" t="s">
        <v>1285</v>
      </c>
      <c r="G318" s="16" t="s">
        <v>322</v>
      </c>
      <c r="H318" s="16" t="s">
        <v>2225</v>
      </c>
      <c r="I318" s="16" t="s">
        <v>68</v>
      </c>
      <c r="J318" s="16" t="s">
        <v>1644</v>
      </c>
      <c r="K318" s="32" t="n">
        <v>15</v>
      </c>
      <c r="L318" s="33" t="n">
        <v>46053</v>
      </c>
      <c r="M318" s="33" t="n">
        <v>46067</v>
      </c>
      <c r="N318" s="16" t="s">
        <v>2330</v>
      </c>
      <c r="O318" s="16"/>
      <c r="P318" s="16" t="str">
        <f aca="false">IF(AND(L318&lt;=$D$2,M318&gt;=$C$2),"Sí","")</f>
        <v/>
      </c>
      <c r="Q318" s="18" t="str">
        <f aca="false">IF(COUNTIF(LOOKAHEAD!$A$5:$A$604,A318)&gt;0,"En Lookahead",IF(P318="Sí","INCORPORAR",""))</f>
        <v/>
      </c>
    </row>
    <row r="319" customFormat="false" ht="15" hidden="false" customHeight="false" outlineLevel="0" collapsed="false">
      <c r="A319" s="16" t="s">
        <v>2331</v>
      </c>
      <c r="B319" s="16" t="n">
        <v>314</v>
      </c>
      <c r="C319" s="16" t="s">
        <v>2332</v>
      </c>
      <c r="D319" s="16" t="n">
        <v>7</v>
      </c>
      <c r="E319" s="37" t="s">
        <v>1637</v>
      </c>
      <c r="F319" s="16" t="s">
        <v>1285</v>
      </c>
      <c r="G319" s="16" t="s">
        <v>322</v>
      </c>
      <c r="H319" s="16" t="s">
        <v>2225</v>
      </c>
      <c r="I319" s="16" t="s">
        <v>68</v>
      </c>
      <c r="J319" s="16" t="s">
        <v>1644</v>
      </c>
      <c r="K319" s="32" t="n">
        <v>26</v>
      </c>
      <c r="L319" s="33" t="n">
        <v>46027</v>
      </c>
      <c r="M319" s="33" t="n">
        <v>46052</v>
      </c>
      <c r="N319" s="16" t="s">
        <v>2333</v>
      </c>
      <c r="O319" s="16"/>
      <c r="P319" s="16" t="str">
        <f aca="false">IF(AND(L319&lt;=$D$2,M319&gt;=$C$2),"Sí","")</f>
        <v/>
      </c>
      <c r="Q319" s="18" t="str">
        <f aca="false">IF(COUNTIF(LOOKAHEAD!$A$5:$A$604,A319)&gt;0,"En Lookahead",IF(P319="Sí","INCORPORAR",""))</f>
        <v/>
      </c>
    </row>
    <row r="320" customFormat="false" ht="15" hidden="false" customHeight="false" outlineLevel="0" collapsed="false">
      <c r="A320" s="16" t="s">
        <v>2334</v>
      </c>
      <c r="B320" s="16" t="n">
        <v>315</v>
      </c>
      <c r="C320" s="16" t="s">
        <v>2335</v>
      </c>
      <c r="D320" s="16" t="n">
        <v>7</v>
      </c>
      <c r="E320" s="37" t="s">
        <v>1602</v>
      </c>
      <c r="F320" s="16" t="s">
        <v>1285</v>
      </c>
      <c r="G320" s="16" t="s">
        <v>322</v>
      </c>
      <c r="H320" s="16" t="s">
        <v>2225</v>
      </c>
      <c r="I320" s="16" t="s">
        <v>68</v>
      </c>
      <c r="J320" s="16" t="s">
        <v>1644</v>
      </c>
      <c r="K320" s="32" t="n">
        <v>8</v>
      </c>
      <c r="L320" s="33" t="n">
        <v>46069</v>
      </c>
      <c r="M320" s="33" t="n">
        <v>46076</v>
      </c>
      <c r="N320" s="16" t="s">
        <v>2336</v>
      </c>
      <c r="O320" s="16"/>
      <c r="P320" s="16" t="str">
        <f aca="false">IF(AND(L320&lt;=$D$2,M320&gt;=$C$2),"Sí","")</f>
        <v/>
      </c>
      <c r="Q320" s="18" t="str">
        <f aca="false">IF(COUNTIF(LOOKAHEAD!$A$5:$A$604,A320)&gt;0,"En Lookahead",IF(P320="Sí","INCORPORAR",""))</f>
        <v/>
      </c>
    </row>
    <row r="321" customFormat="false" ht="15" hidden="false" customHeight="false" outlineLevel="0" collapsed="false">
      <c r="A321" s="13" t="s">
        <v>2337</v>
      </c>
      <c r="B321" s="13" t="n">
        <v>316</v>
      </c>
      <c r="C321" s="13" t="s">
        <v>2338</v>
      </c>
      <c r="D321" s="13" t="n">
        <v>6</v>
      </c>
      <c r="E321" s="36" t="s">
        <v>1660</v>
      </c>
      <c r="F321" s="13" t="s">
        <v>1298</v>
      </c>
      <c r="G321" s="13" t="s">
        <v>322</v>
      </c>
      <c r="H321" s="13" t="s">
        <v>2225</v>
      </c>
      <c r="I321" s="13" t="s">
        <v>68</v>
      </c>
      <c r="J321" s="13" t="s">
        <v>1623</v>
      </c>
      <c r="K321" s="30" t="n">
        <v>313</v>
      </c>
      <c r="L321" s="31" t="n">
        <v>46028</v>
      </c>
      <c r="M321" s="31" t="n">
        <v>46420</v>
      </c>
      <c r="N321" s="13"/>
      <c r="O321" s="13"/>
      <c r="P321" s="13"/>
      <c r="Q321" s="13"/>
    </row>
    <row r="322" customFormat="false" ht="15" hidden="false" customHeight="false" outlineLevel="0" collapsed="false">
      <c r="A322" s="13" t="s">
        <v>2339</v>
      </c>
      <c r="B322" s="13" t="n">
        <v>317</v>
      </c>
      <c r="C322" s="13" t="s">
        <v>2340</v>
      </c>
      <c r="D322" s="13" t="n">
        <v>7</v>
      </c>
      <c r="E322" s="38" t="s">
        <v>1663</v>
      </c>
      <c r="F322" s="13" t="s">
        <v>1298</v>
      </c>
      <c r="G322" s="13" t="s">
        <v>322</v>
      </c>
      <c r="H322" s="13" t="s">
        <v>2225</v>
      </c>
      <c r="I322" s="13" t="s">
        <v>68</v>
      </c>
      <c r="J322" s="13" t="s">
        <v>1660</v>
      </c>
      <c r="K322" s="30" t="n">
        <v>42</v>
      </c>
      <c r="L322" s="31" t="n">
        <v>46028</v>
      </c>
      <c r="M322" s="31" t="n">
        <v>46069</v>
      </c>
      <c r="N322" s="13"/>
      <c r="O322" s="13"/>
      <c r="P322" s="13"/>
      <c r="Q322" s="13"/>
    </row>
    <row r="323" customFormat="false" ht="15" hidden="false" customHeight="false" outlineLevel="0" collapsed="false">
      <c r="A323" s="16" t="s">
        <v>2341</v>
      </c>
      <c r="B323" s="16" t="n">
        <v>318</v>
      </c>
      <c r="C323" s="16" t="s">
        <v>2342</v>
      </c>
      <c r="D323" s="16" t="n">
        <v>8</v>
      </c>
      <c r="E323" s="39" t="s">
        <v>1666</v>
      </c>
      <c r="F323" s="16" t="s">
        <v>1285</v>
      </c>
      <c r="G323" s="16" t="s">
        <v>322</v>
      </c>
      <c r="H323" s="16" t="s">
        <v>2225</v>
      </c>
      <c r="I323" s="16" t="s">
        <v>68</v>
      </c>
      <c r="J323" s="16" t="s">
        <v>1663</v>
      </c>
      <c r="K323" s="32" t="n">
        <v>2</v>
      </c>
      <c r="L323" s="33" t="n">
        <v>46063</v>
      </c>
      <c r="M323" s="33" t="n">
        <v>46064</v>
      </c>
      <c r="N323" s="16" t="s">
        <v>2343</v>
      </c>
      <c r="O323" s="16"/>
      <c r="P323" s="16" t="str">
        <f aca="false">IF(AND(L323&lt;=$D$2,M323&gt;=$C$2),"Sí","")</f>
        <v/>
      </c>
      <c r="Q323" s="18" t="str">
        <f aca="false">IF(COUNTIF(LOOKAHEAD!$A$5:$A$604,A323)&gt;0,"En Lookahead",IF(P323="Sí","INCORPORAR",""))</f>
        <v/>
      </c>
    </row>
    <row r="324" customFormat="false" ht="15" hidden="false" customHeight="false" outlineLevel="0" collapsed="false">
      <c r="A324" s="16" t="s">
        <v>2344</v>
      </c>
      <c r="B324" s="16" t="n">
        <v>319</v>
      </c>
      <c r="C324" s="16" t="s">
        <v>2345</v>
      </c>
      <c r="D324" s="16" t="n">
        <v>8</v>
      </c>
      <c r="E324" s="39" t="s">
        <v>1670</v>
      </c>
      <c r="F324" s="16" t="s">
        <v>1285</v>
      </c>
      <c r="G324" s="16" t="s">
        <v>322</v>
      </c>
      <c r="H324" s="16" t="s">
        <v>2225</v>
      </c>
      <c r="I324" s="16" t="s">
        <v>68</v>
      </c>
      <c r="J324" s="16" t="s">
        <v>1663</v>
      </c>
      <c r="K324" s="32" t="n">
        <v>15</v>
      </c>
      <c r="L324" s="33" t="n">
        <v>46048</v>
      </c>
      <c r="M324" s="33" t="n">
        <v>46062</v>
      </c>
      <c r="N324" s="16" t="s">
        <v>2346</v>
      </c>
      <c r="O324" s="16"/>
      <c r="P324" s="16" t="str">
        <f aca="false">IF(AND(L324&lt;=$D$2,M324&gt;=$C$2),"Sí","")</f>
        <v/>
      </c>
      <c r="Q324" s="18" t="str">
        <f aca="false">IF(COUNTIF(LOOKAHEAD!$A$5:$A$604,A324)&gt;0,"En Lookahead",IF(P324="Sí","INCORPORAR",""))</f>
        <v/>
      </c>
    </row>
    <row r="325" customFormat="false" ht="15" hidden="false" customHeight="false" outlineLevel="0" collapsed="false">
      <c r="A325" s="16" t="s">
        <v>2347</v>
      </c>
      <c r="B325" s="16" t="n">
        <v>320</v>
      </c>
      <c r="C325" s="16" t="s">
        <v>2348</v>
      </c>
      <c r="D325" s="16" t="n">
        <v>8</v>
      </c>
      <c r="E325" s="39" t="s">
        <v>1674</v>
      </c>
      <c r="F325" s="16" t="s">
        <v>1285</v>
      </c>
      <c r="G325" s="16" t="s">
        <v>322</v>
      </c>
      <c r="H325" s="16" t="s">
        <v>2225</v>
      </c>
      <c r="I325" s="16" t="s">
        <v>68</v>
      </c>
      <c r="J325" s="16" t="s">
        <v>1663</v>
      </c>
      <c r="K325" s="32" t="n">
        <v>20</v>
      </c>
      <c r="L325" s="33" t="n">
        <v>46028</v>
      </c>
      <c r="M325" s="33" t="n">
        <v>46047</v>
      </c>
      <c r="N325" s="16" t="s">
        <v>2349</v>
      </c>
      <c r="O325" s="16"/>
      <c r="P325" s="16" t="str">
        <f aca="false">IF(AND(L325&lt;=$D$2,M325&gt;=$C$2),"Sí","")</f>
        <v/>
      </c>
      <c r="Q325" s="18" t="str">
        <f aca="false">IF(COUNTIF(LOOKAHEAD!$A$5:$A$604,A325)&gt;0,"En Lookahead",IF(P325="Sí","INCORPORAR",""))</f>
        <v/>
      </c>
    </row>
    <row r="326" customFormat="false" ht="15" hidden="false" customHeight="false" outlineLevel="0" collapsed="false">
      <c r="A326" s="16" t="s">
        <v>2350</v>
      </c>
      <c r="B326" s="16" t="n">
        <v>321</v>
      </c>
      <c r="C326" s="16" t="s">
        <v>2351</v>
      </c>
      <c r="D326" s="16" t="n">
        <v>8</v>
      </c>
      <c r="E326" s="39" t="s">
        <v>1677</v>
      </c>
      <c r="F326" s="16" t="s">
        <v>1285</v>
      </c>
      <c r="G326" s="16" t="s">
        <v>322</v>
      </c>
      <c r="H326" s="16" t="s">
        <v>2225</v>
      </c>
      <c r="I326" s="16" t="s">
        <v>68</v>
      </c>
      <c r="J326" s="16" t="s">
        <v>1663</v>
      </c>
      <c r="K326" s="32" t="n">
        <v>5</v>
      </c>
      <c r="L326" s="33" t="n">
        <v>46065</v>
      </c>
      <c r="M326" s="33" t="n">
        <v>46069</v>
      </c>
      <c r="N326" s="16" t="s">
        <v>2352</v>
      </c>
      <c r="O326" s="16"/>
      <c r="P326" s="16" t="str">
        <f aca="false">IF(AND(L326&lt;=$D$2,M326&gt;=$C$2),"Sí","")</f>
        <v/>
      </c>
      <c r="Q326" s="18" t="str">
        <f aca="false">IF(COUNTIF(LOOKAHEAD!$A$5:$A$604,A326)&gt;0,"En Lookahead",IF(P326="Sí","INCORPORAR",""))</f>
        <v/>
      </c>
    </row>
    <row r="327" customFormat="false" ht="15" hidden="false" customHeight="false" outlineLevel="0" collapsed="false">
      <c r="A327" s="13" t="s">
        <v>2353</v>
      </c>
      <c r="B327" s="13" t="n">
        <v>322</v>
      </c>
      <c r="C327" s="13" t="s">
        <v>2354</v>
      </c>
      <c r="D327" s="13" t="n">
        <v>7</v>
      </c>
      <c r="E327" s="38" t="s">
        <v>1681</v>
      </c>
      <c r="F327" s="13" t="s">
        <v>1298</v>
      </c>
      <c r="G327" s="13" t="s">
        <v>322</v>
      </c>
      <c r="H327" s="13" t="s">
        <v>2225</v>
      </c>
      <c r="I327" s="13" t="s">
        <v>68</v>
      </c>
      <c r="J327" s="13" t="s">
        <v>1660</v>
      </c>
      <c r="K327" s="30" t="n">
        <v>47</v>
      </c>
      <c r="L327" s="31" t="n">
        <v>46120</v>
      </c>
      <c r="M327" s="31" t="n">
        <v>46246</v>
      </c>
      <c r="N327" s="13"/>
      <c r="O327" s="13"/>
      <c r="P327" s="13"/>
      <c r="Q327" s="13"/>
    </row>
    <row r="328" customFormat="false" ht="15" hidden="false" customHeight="false" outlineLevel="0" collapsed="false">
      <c r="A328" s="16" t="s">
        <v>2355</v>
      </c>
      <c r="B328" s="16" t="n">
        <v>323</v>
      </c>
      <c r="C328" s="16" t="s">
        <v>2356</v>
      </c>
      <c r="D328" s="16" t="n">
        <v>8</v>
      </c>
      <c r="E328" s="39" t="s">
        <v>1684</v>
      </c>
      <c r="F328" s="16" t="s">
        <v>1285</v>
      </c>
      <c r="G328" s="16" t="s">
        <v>322</v>
      </c>
      <c r="H328" s="16" t="s">
        <v>2225</v>
      </c>
      <c r="I328" s="16" t="s">
        <v>68</v>
      </c>
      <c r="J328" s="16" t="s">
        <v>1681</v>
      </c>
      <c r="K328" s="32" t="n">
        <v>2</v>
      </c>
      <c r="L328" s="33" t="n">
        <v>46241</v>
      </c>
      <c r="M328" s="33" t="n">
        <v>46242</v>
      </c>
      <c r="N328" s="16" t="s">
        <v>2357</v>
      </c>
      <c r="O328" s="16"/>
      <c r="P328" s="16" t="str">
        <f aca="false">IF(AND(L328&lt;=$D$2,M328&gt;=$C$2),"Sí","")</f>
        <v/>
      </c>
      <c r="Q328" s="18" t="str">
        <f aca="false">IF(COUNTIF(LOOKAHEAD!$A$5:$A$604,A328)&gt;0,"En Lookahead",IF(P328="Sí","INCORPORAR",""))</f>
        <v/>
      </c>
    </row>
    <row r="329" customFormat="false" ht="15" hidden="false" customHeight="false" outlineLevel="0" collapsed="false">
      <c r="A329" s="16" t="s">
        <v>2358</v>
      </c>
      <c r="B329" s="16" t="n">
        <v>324</v>
      </c>
      <c r="C329" s="16" t="s">
        <v>2359</v>
      </c>
      <c r="D329" s="16" t="n">
        <v>8</v>
      </c>
      <c r="E329" s="39" t="s">
        <v>1688</v>
      </c>
      <c r="F329" s="16" t="s">
        <v>1285</v>
      </c>
      <c r="G329" s="16" t="s">
        <v>322</v>
      </c>
      <c r="H329" s="16" t="s">
        <v>2225</v>
      </c>
      <c r="I329" s="16" t="s">
        <v>68</v>
      </c>
      <c r="J329" s="16" t="s">
        <v>1681</v>
      </c>
      <c r="K329" s="32" t="n">
        <v>15</v>
      </c>
      <c r="L329" s="33" t="n">
        <v>46146</v>
      </c>
      <c r="M329" s="33" t="n">
        <v>46240</v>
      </c>
      <c r="N329" s="16" t="s">
        <v>2360</v>
      </c>
      <c r="O329" s="16"/>
      <c r="P329" s="16" t="str">
        <f aca="false">IF(AND(L329&lt;=$D$2,M329&gt;=$C$2),"Sí","")</f>
        <v/>
      </c>
      <c r="Q329" s="18" t="str">
        <f aca="false">IF(COUNTIF(LOOKAHEAD!$A$5:$A$604,A329)&gt;0,"En Lookahead",IF(P329="Sí","INCORPORAR",""))</f>
        <v/>
      </c>
    </row>
    <row r="330" customFormat="false" ht="15" hidden="false" customHeight="false" outlineLevel="0" collapsed="false">
      <c r="A330" s="16" t="s">
        <v>2361</v>
      </c>
      <c r="B330" s="16" t="n">
        <v>325</v>
      </c>
      <c r="C330" s="16" t="s">
        <v>2362</v>
      </c>
      <c r="D330" s="16" t="n">
        <v>8</v>
      </c>
      <c r="E330" s="39" t="s">
        <v>1674</v>
      </c>
      <c r="F330" s="16" t="s">
        <v>1285</v>
      </c>
      <c r="G330" s="16" t="s">
        <v>322</v>
      </c>
      <c r="H330" s="16" t="s">
        <v>2225</v>
      </c>
      <c r="I330" s="16" t="s">
        <v>68</v>
      </c>
      <c r="J330" s="16" t="s">
        <v>1681</v>
      </c>
      <c r="K330" s="32" t="n">
        <v>26</v>
      </c>
      <c r="L330" s="33" t="n">
        <v>46120</v>
      </c>
      <c r="M330" s="33" t="n">
        <v>46145</v>
      </c>
      <c r="N330" s="16" t="s">
        <v>2363</v>
      </c>
      <c r="O330" s="16"/>
      <c r="P330" s="16" t="str">
        <f aca="false">IF(AND(L330&lt;=$D$2,M330&gt;=$C$2),"Sí","")</f>
        <v/>
      </c>
      <c r="Q330" s="18" t="str">
        <f aca="false">IF(COUNTIF(LOOKAHEAD!$A$5:$A$604,A330)&gt;0,"En Lookahead",IF(P330="Sí","INCORPORAR",""))</f>
        <v/>
      </c>
    </row>
    <row r="331" customFormat="false" ht="15" hidden="false" customHeight="false" outlineLevel="0" collapsed="false">
      <c r="A331" s="16" t="s">
        <v>2364</v>
      </c>
      <c r="B331" s="16" t="n">
        <v>326</v>
      </c>
      <c r="C331" s="16" t="s">
        <v>2365</v>
      </c>
      <c r="D331" s="16" t="n">
        <v>8</v>
      </c>
      <c r="E331" s="39" t="s">
        <v>1677</v>
      </c>
      <c r="F331" s="16" t="s">
        <v>1285</v>
      </c>
      <c r="G331" s="16" t="s">
        <v>322</v>
      </c>
      <c r="H331" s="16" t="s">
        <v>2225</v>
      </c>
      <c r="I331" s="16" t="s">
        <v>68</v>
      </c>
      <c r="J331" s="16" t="s">
        <v>1681</v>
      </c>
      <c r="K331" s="32" t="n">
        <v>4</v>
      </c>
      <c r="L331" s="33" t="n">
        <v>46243</v>
      </c>
      <c r="M331" s="33" t="n">
        <v>46246</v>
      </c>
      <c r="N331" s="16" t="s">
        <v>2366</v>
      </c>
      <c r="O331" s="16"/>
      <c r="P331" s="16" t="str">
        <f aca="false">IF(AND(L331&lt;=$D$2,M331&gt;=$C$2),"Sí","")</f>
        <v/>
      </c>
      <c r="Q331" s="18" t="str">
        <f aca="false">IF(COUNTIF(LOOKAHEAD!$A$5:$A$604,A331)&gt;0,"En Lookahead",IF(P331="Sí","INCORPORAR",""))</f>
        <v/>
      </c>
    </row>
    <row r="332" customFormat="false" ht="15" hidden="false" customHeight="false" outlineLevel="0" collapsed="false">
      <c r="A332" s="13" t="s">
        <v>2367</v>
      </c>
      <c r="B332" s="13" t="n">
        <v>327</v>
      </c>
      <c r="C332" s="13" t="s">
        <v>2368</v>
      </c>
      <c r="D332" s="13" t="n">
        <v>7</v>
      </c>
      <c r="E332" s="38" t="s">
        <v>1698</v>
      </c>
      <c r="F332" s="13" t="s">
        <v>1298</v>
      </c>
      <c r="G332" s="13" t="s">
        <v>322</v>
      </c>
      <c r="H332" s="13" t="s">
        <v>2225</v>
      </c>
      <c r="I332" s="13" t="s">
        <v>68</v>
      </c>
      <c r="J332" s="13" t="s">
        <v>1660</v>
      </c>
      <c r="K332" s="30" t="n">
        <v>46</v>
      </c>
      <c r="L332" s="31" t="n">
        <v>46375</v>
      </c>
      <c r="M332" s="31" t="n">
        <v>46420</v>
      </c>
      <c r="N332" s="13"/>
      <c r="O332" s="13"/>
      <c r="P332" s="13"/>
      <c r="Q332" s="13"/>
    </row>
    <row r="333" customFormat="false" ht="15" hidden="false" customHeight="false" outlineLevel="0" collapsed="false">
      <c r="A333" s="16" t="s">
        <v>2369</v>
      </c>
      <c r="B333" s="16" t="n">
        <v>328</v>
      </c>
      <c r="C333" s="16" t="s">
        <v>2370</v>
      </c>
      <c r="D333" s="16" t="n">
        <v>8</v>
      </c>
      <c r="E333" s="39" t="s">
        <v>1701</v>
      </c>
      <c r="F333" s="16" t="s">
        <v>1285</v>
      </c>
      <c r="G333" s="16" t="s">
        <v>322</v>
      </c>
      <c r="H333" s="16" t="s">
        <v>2225</v>
      </c>
      <c r="I333" s="16" t="s">
        <v>68</v>
      </c>
      <c r="J333" s="16" t="s">
        <v>1698</v>
      </c>
      <c r="K333" s="32" t="n">
        <v>2</v>
      </c>
      <c r="L333" s="33" t="n">
        <v>46415</v>
      </c>
      <c r="M333" s="33" t="n">
        <v>46416</v>
      </c>
      <c r="N333" s="16" t="s">
        <v>2371</v>
      </c>
      <c r="O333" s="16"/>
      <c r="P333" s="16" t="str">
        <f aca="false">IF(AND(L333&lt;=$D$2,M333&gt;=$C$2),"Sí","")</f>
        <v/>
      </c>
      <c r="Q333" s="18" t="str">
        <f aca="false">IF(COUNTIF(LOOKAHEAD!$A$5:$A$604,A333)&gt;0,"En Lookahead",IF(P333="Sí","INCORPORAR",""))</f>
        <v/>
      </c>
    </row>
    <row r="334" customFormat="false" ht="15" hidden="false" customHeight="false" outlineLevel="0" collapsed="false">
      <c r="A334" s="16" t="s">
        <v>2372</v>
      </c>
      <c r="B334" s="16" t="n">
        <v>329</v>
      </c>
      <c r="C334" s="16" t="s">
        <v>2373</v>
      </c>
      <c r="D334" s="16" t="n">
        <v>8</v>
      </c>
      <c r="E334" s="39" t="s">
        <v>1705</v>
      </c>
      <c r="F334" s="16" t="s">
        <v>1285</v>
      </c>
      <c r="G334" s="16" t="s">
        <v>322</v>
      </c>
      <c r="H334" s="16" t="s">
        <v>2225</v>
      </c>
      <c r="I334" s="16" t="s">
        <v>68</v>
      </c>
      <c r="J334" s="16" t="s">
        <v>1698</v>
      </c>
      <c r="K334" s="32" t="n">
        <v>15</v>
      </c>
      <c r="L334" s="33" t="n">
        <v>46400</v>
      </c>
      <c r="M334" s="33" t="n">
        <v>46414</v>
      </c>
      <c r="N334" s="16" t="s">
        <v>2374</v>
      </c>
      <c r="O334" s="16"/>
      <c r="P334" s="16" t="str">
        <f aca="false">IF(AND(L334&lt;=$D$2,M334&gt;=$C$2),"Sí","")</f>
        <v/>
      </c>
      <c r="Q334" s="18" t="str">
        <f aca="false">IF(COUNTIF(LOOKAHEAD!$A$5:$A$604,A334)&gt;0,"En Lookahead",IF(P334="Sí","INCORPORAR",""))</f>
        <v/>
      </c>
    </row>
    <row r="335" customFormat="false" ht="15" hidden="false" customHeight="false" outlineLevel="0" collapsed="false">
      <c r="A335" s="16" t="s">
        <v>2375</v>
      </c>
      <c r="B335" s="16" t="n">
        <v>330</v>
      </c>
      <c r="C335" s="16" t="s">
        <v>2376</v>
      </c>
      <c r="D335" s="16" t="n">
        <v>8</v>
      </c>
      <c r="E335" s="39" t="s">
        <v>1674</v>
      </c>
      <c r="F335" s="16" t="s">
        <v>1285</v>
      </c>
      <c r="G335" s="16" t="s">
        <v>322</v>
      </c>
      <c r="H335" s="16" t="s">
        <v>2225</v>
      </c>
      <c r="I335" s="16" t="s">
        <v>68</v>
      </c>
      <c r="J335" s="16" t="s">
        <v>1698</v>
      </c>
      <c r="K335" s="32" t="n">
        <v>25</v>
      </c>
      <c r="L335" s="33" t="n">
        <v>46375</v>
      </c>
      <c r="M335" s="33" t="n">
        <v>46399</v>
      </c>
      <c r="N335" s="16" t="s">
        <v>2377</v>
      </c>
      <c r="O335" s="16"/>
      <c r="P335" s="16" t="str">
        <f aca="false">IF(AND(L335&lt;=$D$2,M335&gt;=$C$2),"Sí","")</f>
        <v/>
      </c>
      <c r="Q335" s="18" t="str">
        <f aca="false">IF(COUNTIF(LOOKAHEAD!$A$5:$A$604,A335)&gt;0,"En Lookahead",IF(P335="Sí","INCORPORAR",""))</f>
        <v/>
      </c>
    </row>
    <row r="336" customFormat="false" ht="15" hidden="false" customHeight="false" outlineLevel="0" collapsed="false">
      <c r="A336" s="16" t="s">
        <v>2378</v>
      </c>
      <c r="B336" s="16" t="n">
        <v>331</v>
      </c>
      <c r="C336" s="16" t="s">
        <v>2379</v>
      </c>
      <c r="D336" s="16" t="n">
        <v>8</v>
      </c>
      <c r="E336" s="39" t="s">
        <v>1677</v>
      </c>
      <c r="F336" s="16" t="s">
        <v>1285</v>
      </c>
      <c r="G336" s="16" t="s">
        <v>322</v>
      </c>
      <c r="H336" s="16" t="s">
        <v>2225</v>
      </c>
      <c r="I336" s="16" t="s">
        <v>68</v>
      </c>
      <c r="J336" s="16" t="s">
        <v>1698</v>
      </c>
      <c r="K336" s="32" t="n">
        <v>4</v>
      </c>
      <c r="L336" s="33" t="n">
        <v>46417</v>
      </c>
      <c r="M336" s="33" t="n">
        <v>46420</v>
      </c>
      <c r="N336" s="16" t="s">
        <v>2380</v>
      </c>
      <c r="O336" s="16"/>
      <c r="P336" s="16" t="str">
        <f aca="false">IF(AND(L336&lt;=$D$2,M336&gt;=$C$2),"Sí","")</f>
        <v/>
      </c>
      <c r="Q336" s="18" t="str">
        <f aca="false">IF(COUNTIF(LOOKAHEAD!$A$5:$A$604,A336)&gt;0,"En Lookahead",IF(P336="Sí","INCORPORAR",""))</f>
        <v/>
      </c>
    </row>
    <row r="337" customFormat="false" ht="15" hidden="false" customHeight="false" outlineLevel="0" collapsed="false">
      <c r="A337" s="13" t="s">
        <v>2381</v>
      </c>
      <c r="B337" s="13" t="n">
        <v>332</v>
      </c>
      <c r="C337" s="13" t="s">
        <v>2382</v>
      </c>
      <c r="D337" s="13" t="n">
        <v>6</v>
      </c>
      <c r="E337" s="36" t="s">
        <v>1731</v>
      </c>
      <c r="F337" s="13" t="s">
        <v>1298</v>
      </c>
      <c r="G337" s="13" t="s">
        <v>322</v>
      </c>
      <c r="H337" s="13" t="s">
        <v>2225</v>
      </c>
      <c r="I337" s="13" t="s">
        <v>68</v>
      </c>
      <c r="J337" s="13" t="s">
        <v>1623</v>
      </c>
      <c r="K337" s="30" t="n">
        <v>418</v>
      </c>
      <c r="L337" s="31" t="n">
        <v>46028</v>
      </c>
      <c r="M337" s="31" t="n">
        <v>46525</v>
      </c>
      <c r="N337" s="13"/>
      <c r="O337" s="13"/>
      <c r="P337" s="13"/>
      <c r="Q337" s="13"/>
    </row>
    <row r="338" customFormat="false" ht="15" hidden="false" customHeight="false" outlineLevel="0" collapsed="false">
      <c r="A338" s="13" t="s">
        <v>2383</v>
      </c>
      <c r="B338" s="13" t="n">
        <v>333</v>
      </c>
      <c r="C338" s="13" t="s">
        <v>2384</v>
      </c>
      <c r="D338" s="13" t="n">
        <v>7</v>
      </c>
      <c r="E338" s="38" t="s">
        <v>1734</v>
      </c>
      <c r="F338" s="13" t="s">
        <v>1298</v>
      </c>
      <c r="G338" s="13" t="s">
        <v>322</v>
      </c>
      <c r="H338" s="13" t="s">
        <v>2225</v>
      </c>
      <c r="I338" s="13" t="s">
        <v>68</v>
      </c>
      <c r="J338" s="13" t="s">
        <v>1731</v>
      </c>
      <c r="K338" s="30" t="n">
        <v>49</v>
      </c>
      <c r="L338" s="31" t="n">
        <v>46028</v>
      </c>
      <c r="M338" s="31" t="n">
        <v>46076</v>
      </c>
      <c r="N338" s="13"/>
      <c r="O338" s="13"/>
      <c r="P338" s="13"/>
      <c r="Q338" s="13"/>
    </row>
    <row r="339" customFormat="false" ht="15" hidden="false" customHeight="false" outlineLevel="0" collapsed="false">
      <c r="A339" s="16" t="s">
        <v>2385</v>
      </c>
      <c r="B339" s="16" t="n">
        <v>334</v>
      </c>
      <c r="C339" s="16" t="s">
        <v>2386</v>
      </c>
      <c r="D339" s="16" t="n">
        <v>8</v>
      </c>
      <c r="E339" s="39" t="s">
        <v>1737</v>
      </c>
      <c r="F339" s="16" t="s">
        <v>1285</v>
      </c>
      <c r="G339" s="16" t="s">
        <v>322</v>
      </c>
      <c r="H339" s="16" t="s">
        <v>2225</v>
      </c>
      <c r="I339" s="16" t="s">
        <v>68</v>
      </c>
      <c r="J339" s="16" t="s">
        <v>1734</v>
      </c>
      <c r="K339" s="32" t="n">
        <v>4</v>
      </c>
      <c r="L339" s="33" t="n">
        <v>46063</v>
      </c>
      <c r="M339" s="33" t="n">
        <v>46066</v>
      </c>
      <c r="N339" s="16" t="s">
        <v>2387</v>
      </c>
      <c r="O339" s="16"/>
      <c r="P339" s="16" t="str">
        <f aca="false">IF(AND(L339&lt;=$D$2,M339&gt;=$C$2),"Sí","")</f>
        <v/>
      </c>
      <c r="Q339" s="18" t="str">
        <f aca="false">IF(COUNTIF(LOOKAHEAD!$A$5:$A$604,A339)&gt;0,"En Lookahead",IF(P339="Sí","INCORPORAR",""))</f>
        <v/>
      </c>
    </row>
    <row r="340" customFormat="false" ht="15" hidden="false" customHeight="false" outlineLevel="0" collapsed="false">
      <c r="A340" s="16" t="s">
        <v>2388</v>
      </c>
      <c r="B340" s="16" t="n">
        <v>335</v>
      </c>
      <c r="C340" s="16" t="s">
        <v>2389</v>
      </c>
      <c r="D340" s="16" t="n">
        <v>8</v>
      </c>
      <c r="E340" s="39" t="s">
        <v>2390</v>
      </c>
      <c r="F340" s="16" t="s">
        <v>1285</v>
      </c>
      <c r="G340" s="16" t="s">
        <v>322</v>
      </c>
      <c r="H340" s="16" t="s">
        <v>2225</v>
      </c>
      <c r="I340" s="16" t="s">
        <v>68</v>
      </c>
      <c r="J340" s="16" t="s">
        <v>1734</v>
      </c>
      <c r="K340" s="32" t="n">
        <v>1</v>
      </c>
      <c r="L340" s="33" t="n">
        <v>46063</v>
      </c>
      <c r="M340" s="33" t="n">
        <v>46063</v>
      </c>
      <c r="N340" s="16" t="s">
        <v>2387</v>
      </c>
      <c r="O340" s="16"/>
      <c r="P340" s="16" t="str">
        <f aca="false">IF(AND(L340&lt;=$D$2,M340&gt;=$C$2),"Sí","")</f>
        <v/>
      </c>
      <c r="Q340" s="18" t="str">
        <f aca="false">IF(COUNTIF(LOOKAHEAD!$A$5:$A$604,A340)&gt;0,"En Lookahead",IF(P340="Sí","INCORPORAR",""))</f>
        <v/>
      </c>
    </row>
    <row r="341" customFormat="false" ht="15" hidden="false" customHeight="false" outlineLevel="0" collapsed="false">
      <c r="A341" s="16" t="s">
        <v>2391</v>
      </c>
      <c r="B341" s="16" t="n">
        <v>336</v>
      </c>
      <c r="C341" s="16" t="s">
        <v>2392</v>
      </c>
      <c r="D341" s="16" t="n">
        <v>8</v>
      </c>
      <c r="E341" s="39" t="s">
        <v>1741</v>
      </c>
      <c r="F341" s="16" t="s">
        <v>1285</v>
      </c>
      <c r="G341" s="16" t="s">
        <v>322</v>
      </c>
      <c r="H341" s="16" t="s">
        <v>2225</v>
      </c>
      <c r="I341" s="16" t="s">
        <v>68</v>
      </c>
      <c r="J341" s="16" t="s">
        <v>1734</v>
      </c>
      <c r="K341" s="32" t="n">
        <v>15</v>
      </c>
      <c r="L341" s="33" t="n">
        <v>46048</v>
      </c>
      <c r="M341" s="33" t="n">
        <v>46062</v>
      </c>
      <c r="N341" s="16" t="s">
        <v>2393</v>
      </c>
      <c r="O341" s="16"/>
      <c r="P341" s="16" t="str">
        <f aca="false">IF(AND(L341&lt;=$D$2,M341&gt;=$C$2),"Sí","")</f>
        <v/>
      </c>
      <c r="Q341" s="18" t="str">
        <f aca="false">IF(COUNTIF(LOOKAHEAD!$A$5:$A$604,A341)&gt;0,"En Lookahead",IF(P341="Sí","INCORPORAR",""))</f>
        <v/>
      </c>
    </row>
    <row r="342" customFormat="false" ht="15" hidden="false" customHeight="false" outlineLevel="0" collapsed="false">
      <c r="A342" s="16" t="s">
        <v>2394</v>
      </c>
      <c r="B342" s="16" t="n">
        <v>337</v>
      </c>
      <c r="C342" s="16" t="s">
        <v>2395</v>
      </c>
      <c r="D342" s="16" t="n">
        <v>8</v>
      </c>
      <c r="E342" s="39" t="s">
        <v>1745</v>
      </c>
      <c r="F342" s="16" t="s">
        <v>1285</v>
      </c>
      <c r="G342" s="16" t="s">
        <v>322</v>
      </c>
      <c r="H342" s="16" t="s">
        <v>2225</v>
      </c>
      <c r="I342" s="16" t="s">
        <v>68</v>
      </c>
      <c r="J342" s="16" t="s">
        <v>1734</v>
      </c>
      <c r="K342" s="32" t="n">
        <v>20</v>
      </c>
      <c r="L342" s="33" t="n">
        <v>46028</v>
      </c>
      <c r="M342" s="33" t="n">
        <v>46047</v>
      </c>
      <c r="N342" s="16" t="s">
        <v>2396</v>
      </c>
      <c r="O342" s="16"/>
      <c r="P342" s="16" t="str">
        <f aca="false">IF(AND(L342&lt;=$D$2,M342&gt;=$C$2),"Sí","")</f>
        <v/>
      </c>
      <c r="Q342" s="18" t="str">
        <f aca="false">IF(COUNTIF(LOOKAHEAD!$A$5:$A$604,A342)&gt;0,"En Lookahead",IF(P342="Sí","INCORPORAR",""))</f>
        <v/>
      </c>
    </row>
    <row r="343" customFormat="false" ht="15" hidden="false" customHeight="false" outlineLevel="0" collapsed="false">
      <c r="A343" s="16" t="s">
        <v>2397</v>
      </c>
      <c r="B343" s="16" t="n">
        <v>338</v>
      </c>
      <c r="C343" s="16" t="s">
        <v>2398</v>
      </c>
      <c r="D343" s="16" t="n">
        <v>8</v>
      </c>
      <c r="E343" s="39" t="s">
        <v>1677</v>
      </c>
      <c r="F343" s="16" t="s">
        <v>1285</v>
      </c>
      <c r="G343" s="16" t="s">
        <v>322</v>
      </c>
      <c r="H343" s="16" t="s">
        <v>2225</v>
      </c>
      <c r="I343" s="16" t="s">
        <v>68</v>
      </c>
      <c r="J343" s="16" t="s">
        <v>1734</v>
      </c>
      <c r="K343" s="32" t="n">
        <v>10</v>
      </c>
      <c r="L343" s="33" t="n">
        <v>46067</v>
      </c>
      <c r="M343" s="33" t="n">
        <v>46076</v>
      </c>
      <c r="N343" s="16" t="s">
        <v>2399</v>
      </c>
      <c r="O343" s="16"/>
      <c r="P343" s="16" t="str">
        <f aca="false">IF(AND(L343&lt;=$D$2,M343&gt;=$C$2),"Sí","")</f>
        <v/>
      </c>
      <c r="Q343" s="18" t="str">
        <f aca="false">IF(COUNTIF(LOOKAHEAD!$A$5:$A$604,A343)&gt;0,"En Lookahead",IF(P343="Sí","INCORPORAR",""))</f>
        <v/>
      </c>
    </row>
    <row r="344" customFormat="false" ht="15" hidden="false" customHeight="false" outlineLevel="0" collapsed="false">
      <c r="A344" s="13" t="s">
        <v>2400</v>
      </c>
      <c r="B344" s="13" t="n">
        <v>339</v>
      </c>
      <c r="C344" s="13" t="s">
        <v>2401</v>
      </c>
      <c r="D344" s="13" t="n">
        <v>7</v>
      </c>
      <c r="E344" s="38" t="s">
        <v>2402</v>
      </c>
      <c r="F344" s="13" t="s">
        <v>1298</v>
      </c>
      <c r="G344" s="13" t="s">
        <v>322</v>
      </c>
      <c r="H344" s="13" t="s">
        <v>2225</v>
      </c>
      <c r="I344" s="13" t="s">
        <v>68</v>
      </c>
      <c r="J344" s="13" t="s">
        <v>1731</v>
      </c>
      <c r="K344" s="30" t="n">
        <v>135</v>
      </c>
      <c r="L344" s="31" t="n">
        <v>46120</v>
      </c>
      <c r="M344" s="31" t="n">
        <v>46334</v>
      </c>
      <c r="N344" s="13"/>
      <c r="O344" s="13"/>
      <c r="P344" s="13"/>
      <c r="Q344" s="13"/>
    </row>
    <row r="345" customFormat="false" ht="15" hidden="false" customHeight="false" outlineLevel="0" collapsed="false">
      <c r="A345" s="16" t="s">
        <v>2403</v>
      </c>
      <c r="B345" s="16" t="n">
        <v>340</v>
      </c>
      <c r="C345" s="16" t="s">
        <v>2404</v>
      </c>
      <c r="D345" s="16" t="n">
        <v>8</v>
      </c>
      <c r="E345" s="39" t="s">
        <v>1755</v>
      </c>
      <c r="F345" s="16" t="s">
        <v>1285</v>
      </c>
      <c r="G345" s="16" t="s">
        <v>322</v>
      </c>
      <c r="H345" s="16" t="s">
        <v>2225</v>
      </c>
      <c r="I345" s="16" t="s">
        <v>68</v>
      </c>
      <c r="J345" s="16" t="s">
        <v>2402</v>
      </c>
      <c r="K345" s="32" t="n">
        <v>3</v>
      </c>
      <c r="L345" s="33" t="n">
        <v>46326</v>
      </c>
      <c r="M345" s="33" t="n">
        <v>46328</v>
      </c>
      <c r="N345" s="16" t="s">
        <v>2405</v>
      </c>
      <c r="O345" s="16"/>
      <c r="P345" s="16" t="str">
        <f aca="false">IF(AND(L345&lt;=$D$2,M345&gt;=$C$2),"Sí","")</f>
        <v>Sí</v>
      </c>
      <c r="Q345" s="18" t="str">
        <f aca="false">IF(COUNTIF(LOOKAHEAD!$A$5:$A$604,A345)&gt;0,"En Lookahead",IF(P345="Sí","INCORPORAR",""))</f>
        <v>En Lookahead</v>
      </c>
    </row>
    <row r="346" customFormat="false" ht="15" hidden="false" customHeight="false" outlineLevel="0" collapsed="false">
      <c r="A346" s="16" t="s">
        <v>2406</v>
      </c>
      <c r="B346" s="16" t="n">
        <v>341</v>
      </c>
      <c r="C346" s="16" t="s">
        <v>2407</v>
      </c>
      <c r="D346" s="16" t="n">
        <v>8</v>
      </c>
      <c r="E346" s="39" t="s">
        <v>1759</v>
      </c>
      <c r="F346" s="16" t="s">
        <v>1285</v>
      </c>
      <c r="G346" s="16" t="s">
        <v>322</v>
      </c>
      <c r="H346" s="16" t="s">
        <v>2225</v>
      </c>
      <c r="I346" s="16" t="s">
        <v>68</v>
      </c>
      <c r="J346" s="16" t="s">
        <v>2402</v>
      </c>
      <c r="K346" s="32" t="n">
        <v>20</v>
      </c>
      <c r="L346" s="33" t="n">
        <v>46140</v>
      </c>
      <c r="M346" s="33" t="n">
        <v>46239</v>
      </c>
      <c r="N346" s="16" t="s">
        <v>2408</v>
      </c>
      <c r="O346" s="16"/>
      <c r="P346" s="16" t="str">
        <f aca="false">IF(AND(L346&lt;=$D$2,M346&gt;=$C$2),"Sí","")</f>
        <v/>
      </c>
      <c r="Q346" s="18" t="str">
        <f aca="false">IF(COUNTIF(LOOKAHEAD!$A$5:$A$604,A346)&gt;0,"En Lookahead",IF(P346="Sí","INCORPORAR",""))</f>
        <v/>
      </c>
    </row>
    <row r="347" customFormat="false" ht="15" hidden="false" customHeight="false" outlineLevel="0" collapsed="false">
      <c r="A347" s="16" t="s">
        <v>2409</v>
      </c>
      <c r="B347" s="16" t="n">
        <v>342</v>
      </c>
      <c r="C347" s="16" t="s">
        <v>2410</v>
      </c>
      <c r="D347" s="16" t="n">
        <v>8</v>
      </c>
      <c r="E347" s="39" t="s">
        <v>1745</v>
      </c>
      <c r="F347" s="16" t="s">
        <v>1285</v>
      </c>
      <c r="G347" s="16" t="s">
        <v>322</v>
      </c>
      <c r="H347" s="16" t="s">
        <v>2225</v>
      </c>
      <c r="I347" s="16" t="s">
        <v>68</v>
      </c>
      <c r="J347" s="16" t="s">
        <v>2402</v>
      </c>
      <c r="K347" s="32" t="n">
        <v>20</v>
      </c>
      <c r="L347" s="33" t="n">
        <v>46120</v>
      </c>
      <c r="M347" s="33" t="n">
        <v>46139</v>
      </c>
      <c r="N347" s="16" t="s">
        <v>2411</v>
      </c>
      <c r="O347" s="16"/>
      <c r="P347" s="16" t="str">
        <f aca="false">IF(AND(L347&lt;=$D$2,M347&gt;=$C$2),"Sí","")</f>
        <v/>
      </c>
      <c r="Q347" s="18" t="str">
        <f aca="false">IF(COUNTIF(LOOKAHEAD!$A$5:$A$604,A347)&gt;0,"En Lookahead",IF(P347="Sí","INCORPORAR",""))</f>
        <v/>
      </c>
    </row>
    <row r="348" customFormat="false" ht="15" hidden="false" customHeight="false" outlineLevel="0" collapsed="false">
      <c r="A348" s="16" t="s">
        <v>2412</v>
      </c>
      <c r="B348" s="16" t="n">
        <v>343</v>
      </c>
      <c r="C348" s="16" t="s">
        <v>2413</v>
      </c>
      <c r="D348" s="16" t="n">
        <v>8</v>
      </c>
      <c r="E348" s="39" t="s">
        <v>1677</v>
      </c>
      <c r="F348" s="16" t="s">
        <v>1285</v>
      </c>
      <c r="G348" s="16" t="s">
        <v>322</v>
      </c>
      <c r="H348" s="16" t="s">
        <v>2225</v>
      </c>
      <c r="I348" s="16" t="s">
        <v>68</v>
      </c>
      <c r="J348" s="16" t="s">
        <v>2402</v>
      </c>
      <c r="K348" s="32" t="n">
        <v>6</v>
      </c>
      <c r="L348" s="33" t="n">
        <v>46329</v>
      </c>
      <c r="M348" s="33" t="n">
        <v>46334</v>
      </c>
      <c r="N348" s="16" t="s">
        <v>2414</v>
      </c>
      <c r="O348" s="16"/>
      <c r="P348" s="16" t="str">
        <f aca="false">IF(AND(L348&lt;=$D$2,M348&gt;=$C$2),"Sí","")</f>
        <v>Sí</v>
      </c>
      <c r="Q348" s="18" t="str">
        <f aca="false">IF(COUNTIF(LOOKAHEAD!$A$5:$A$604,A348)&gt;0,"En Lookahead",IF(P348="Sí","INCORPORAR",""))</f>
        <v>En Lookahead</v>
      </c>
    </row>
    <row r="349" customFormat="false" ht="15" hidden="false" customHeight="false" outlineLevel="0" collapsed="false">
      <c r="A349" s="13" t="s">
        <v>2415</v>
      </c>
      <c r="B349" s="13" t="n">
        <v>344</v>
      </c>
      <c r="C349" s="13" t="s">
        <v>2416</v>
      </c>
      <c r="D349" s="13" t="n">
        <v>7</v>
      </c>
      <c r="E349" s="38" t="s">
        <v>1769</v>
      </c>
      <c r="F349" s="13" t="s">
        <v>1298</v>
      </c>
      <c r="G349" s="13" t="s">
        <v>322</v>
      </c>
      <c r="H349" s="13" t="s">
        <v>2225</v>
      </c>
      <c r="I349" s="13" t="s">
        <v>68</v>
      </c>
      <c r="J349" s="13" t="s">
        <v>1731</v>
      </c>
      <c r="K349" s="30" t="n">
        <v>52</v>
      </c>
      <c r="L349" s="31" t="n">
        <v>46375</v>
      </c>
      <c r="M349" s="31" t="n">
        <v>46426</v>
      </c>
      <c r="N349" s="13"/>
      <c r="O349" s="13"/>
      <c r="P349" s="13"/>
      <c r="Q349" s="13"/>
    </row>
    <row r="350" customFormat="false" ht="15" hidden="false" customHeight="false" outlineLevel="0" collapsed="false">
      <c r="A350" s="16" t="s">
        <v>2417</v>
      </c>
      <c r="B350" s="16" t="n">
        <v>345</v>
      </c>
      <c r="C350" s="16" t="s">
        <v>2418</v>
      </c>
      <c r="D350" s="16" t="n">
        <v>8</v>
      </c>
      <c r="E350" s="39" t="s">
        <v>1772</v>
      </c>
      <c r="F350" s="16" t="s">
        <v>1285</v>
      </c>
      <c r="G350" s="16" t="s">
        <v>322</v>
      </c>
      <c r="H350" s="16" t="s">
        <v>2225</v>
      </c>
      <c r="I350" s="16" t="s">
        <v>68</v>
      </c>
      <c r="J350" s="16" t="s">
        <v>1769</v>
      </c>
      <c r="K350" s="32" t="n">
        <v>3</v>
      </c>
      <c r="L350" s="33" t="n">
        <v>46418</v>
      </c>
      <c r="M350" s="33" t="n">
        <v>46420</v>
      </c>
      <c r="N350" s="16" t="s">
        <v>2419</v>
      </c>
      <c r="O350" s="16"/>
      <c r="P350" s="16" t="str">
        <f aca="false">IF(AND(L350&lt;=$D$2,M350&gt;=$C$2),"Sí","")</f>
        <v/>
      </c>
      <c r="Q350" s="18" t="str">
        <f aca="false">IF(COUNTIF(LOOKAHEAD!$A$5:$A$604,A350)&gt;0,"En Lookahead",IF(P350="Sí","INCORPORAR",""))</f>
        <v/>
      </c>
    </row>
    <row r="351" customFormat="false" ht="15" hidden="false" customHeight="false" outlineLevel="0" collapsed="false">
      <c r="A351" s="16" t="s">
        <v>2420</v>
      </c>
      <c r="B351" s="16" t="n">
        <v>346</v>
      </c>
      <c r="C351" s="16" t="s">
        <v>2421</v>
      </c>
      <c r="D351" s="16" t="n">
        <v>8</v>
      </c>
      <c r="E351" s="39" t="s">
        <v>1776</v>
      </c>
      <c r="F351" s="16" t="s">
        <v>1285</v>
      </c>
      <c r="G351" s="16" t="s">
        <v>322</v>
      </c>
      <c r="H351" s="16" t="s">
        <v>2225</v>
      </c>
      <c r="I351" s="16" t="s">
        <v>68</v>
      </c>
      <c r="J351" s="16" t="s">
        <v>1769</v>
      </c>
      <c r="K351" s="32" t="n">
        <v>16</v>
      </c>
      <c r="L351" s="33" t="n">
        <v>46402</v>
      </c>
      <c r="M351" s="33" t="n">
        <v>46417</v>
      </c>
      <c r="N351" s="16" t="s">
        <v>2422</v>
      </c>
      <c r="O351" s="16"/>
      <c r="P351" s="16" t="str">
        <f aca="false">IF(AND(L351&lt;=$D$2,M351&gt;=$C$2),"Sí","")</f>
        <v/>
      </c>
      <c r="Q351" s="18" t="str">
        <f aca="false">IF(COUNTIF(LOOKAHEAD!$A$5:$A$604,A351)&gt;0,"En Lookahead",IF(P351="Sí","INCORPORAR",""))</f>
        <v/>
      </c>
    </row>
    <row r="352" customFormat="false" ht="15" hidden="false" customHeight="false" outlineLevel="0" collapsed="false">
      <c r="A352" s="16" t="s">
        <v>2423</v>
      </c>
      <c r="B352" s="16" t="n">
        <v>347</v>
      </c>
      <c r="C352" s="16" t="s">
        <v>2424</v>
      </c>
      <c r="D352" s="16" t="n">
        <v>8</v>
      </c>
      <c r="E352" s="39" t="s">
        <v>1745</v>
      </c>
      <c r="F352" s="16" t="s">
        <v>1285</v>
      </c>
      <c r="G352" s="16" t="s">
        <v>322</v>
      </c>
      <c r="H352" s="16" t="s">
        <v>2225</v>
      </c>
      <c r="I352" s="16" t="s">
        <v>68</v>
      </c>
      <c r="J352" s="16" t="s">
        <v>1769</v>
      </c>
      <c r="K352" s="32" t="n">
        <v>27</v>
      </c>
      <c r="L352" s="33" t="n">
        <v>46375</v>
      </c>
      <c r="M352" s="33" t="n">
        <v>46401</v>
      </c>
      <c r="N352" s="16" t="s">
        <v>2425</v>
      </c>
      <c r="O352" s="16"/>
      <c r="P352" s="16" t="str">
        <f aca="false">IF(AND(L352&lt;=$D$2,M352&gt;=$C$2),"Sí","")</f>
        <v/>
      </c>
      <c r="Q352" s="18" t="str">
        <f aca="false">IF(COUNTIF(LOOKAHEAD!$A$5:$A$604,A352)&gt;0,"En Lookahead",IF(P352="Sí","INCORPORAR",""))</f>
        <v/>
      </c>
    </row>
    <row r="353" customFormat="false" ht="15" hidden="false" customHeight="false" outlineLevel="0" collapsed="false">
      <c r="A353" s="16" t="s">
        <v>2426</v>
      </c>
      <c r="B353" s="16" t="n">
        <v>348</v>
      </c>
      <c r="C353" s="16" t="s">
        <v>2427</v>
      </c>
      <c r="D353" s="16" t="n">
        <v>8</v>
      </c>
      <c r="E353" s="39" t="s">
        <v>1677</v>
      </c>
      <c r="F353" s="16" t="s">
        <v>1285</v>
      </c>
      <c r="G353" s="16" t="s">
        <v>322</v>
      </c>
      <c r="H353" s="16" t="s">
        <v>2225</v>
      </c>
      <c r="I353" s="16" t="s">
        <v>68</v>
      </c>
      <c r="J353" s="16" t="s">
        <v>1769</v>
      </c>
      <c r="K353" s="32" t="n">
        <v>6</v>
      </c>
      <c r="L353" s="33" t="n">
        <v>46421</v>
      </c>
      <c r="M353" s="33" t="n">
        <v>46426</v>
      </c>
      <c r="N353" s="16" t="s">
        <v>2428</v>
      </c>
      <c r="O353" s="16"/>
      <c r="P353" s="16" t="str">
        <f aca="false">IF(AND(L353&lt;=$D$2,M353&gt;=$C$2),"Sí","")</f>
        <v/>
      </c>
      <c r="Q353" s="18" t="str">
        <f aca="false">IF(COUNTIF(LOOKAHEAD!$A$5:$A$604,A353)&gt;0,"En Lookahead",IF(P353="Sí","INCORPORAR",""))</f>
        <v/>
      </c>
    </row>
    <row r="354" customFormat="false" ht="15" hidden="false" customHeight="false" outlineLevel="0" collapsed="false">
      <c r="A354" s="13" t="s">
        <v>2429</v>
      </c>
      <c r="B354" s="13" t="n">
        <v>349</v>
      </c>
      <c r="C354" s="13" t="s">
        <v>2430</v>
      </c>
      <c r="D354" s="13" t="n">
        <v>7</v>
      </c>
      <c r="E354" s="38" t="s">
        <v>2431</v>
      </c>
      <c r="F354" s="13" t="s">
        <v>1298</v>
      </c>
      <c r="G354" s="13" t="s">
        <v>322</v>
      </c>
      <c r="H354" s="13" t="s">
        <v>2225</v>
      </c>
      <c r="I354" s="13" t="s">
        <v>68</v>
      </c>
      <c r="J354" s="13" t="s">
        <v>1731</v>
      </c>
      <c r="K354" s="30" t="n">
        <v>30</v>
      </c>
      <c r="L354" s="31" t="n">
        <v>46496</v>
      </c>
      <c r="M354" s="31" t="n">
        <v>46525</v>
      </c>
      <c r="N354" s="13"/>
      <c r="O354" s="13"/>
      <c r="P354" s="13"/>
      <c r="Q354" s="13"/>
    </row>
    <row r="355" customFormat="false" ht="15" hidden="false" customHeight="false" outlineLevel="0" collapsed="false">
      <c r="A355" s="16" t="s">
        <v>2432</v>
      </c>
      <c r="B355" s="16" t="n">
        <v>350</v>
      </c>
      <c r="C355" s="16" t="s">
        <v>2433</v>
      </c>
      <c r="D355" s="16" t="n">
        <v>8</v>
      </c>
      <c r="E355" s="39" t="s">
        <v>2434</v>
      </c>
      <c r="F355" s="16" t="s">
        <v>1285</v>
      </c>
      <c r="G355" s="16" t="s">
        <v>322</v>
      </c>
      <c r="H355" s="16" t="s">
        <v>2225</v>
      </c>
      <c r="I355" s="16" t="s">
        <v>68</v>
      </c>
      <c r="J355" s="16" t="s">
        <v>2431</v>
      </c>
      <c r="K355" s="32" t="n">
        <v>1</v>
      </c>
      <c r="L355" s="33" t="n">
        <v>46523</v>
      </c>
      <c r="M355" s="33" t="n">
        <v>46523</v>
      </c>
      <c r="N355" s="16" t="s">
        <v>2435</v>
      </c>
      <c r="O355" s="16"/>
      <c r="P355" s="16" t="str">
        <f aca="false">IF(AND(L355&lt;=$D$2,M355&gt;=$C$2),"Sí","")</f>
        <v/>
      </c>
      <c r="Q355" s="18" t="str">
        <f aca="false">IF(COUNTIF(LOOKAHEAD!$A$5:$A$604,A355)&gt;0,"En Lookahead",IF(P355="Sí","INCORPORAR",""))</f>
        <v/>
      </c>
    </row>
    <row r="356" customFormat="false" ht="15" hidden="false" customHeight="false" outlineLevel="0" collapsed="false">
      <c r="A356" s="16" t="s">
        <v>2436</v>
      </c>
      <c r="B356" s="16" t="n">
        <v>351</v>
      </c>
      <c r="C356" s="16" t="s">
        <v>2437</v>
      </c>
      <c r="D356" s="16" t="n">
        <v>8</v>
      </c>
      <c r="E356" s="39" t="s">
        <v>2438</v>
      </c>
      <c r="F356" s="16" t="s">
        <v>1285</v>
      </c>
      <c r="G356" s="16" t="s">
        <v>322</v>
      </c>
      <c r="H356" s="16" t="s">
        <v>2225</v>
      </c>
      <c r="I356" s="16" t="s">
        <v>68</v>
      </c>
      <c r="J356" s="16" t="s">
        <v>2431</v>
      </c>
      <c r="K356" s="32" t="n">
        <v>18</v>
      </c>
      <c r="L356" s="33" t="n">
        <v>46505</v>
      </c>
      <c r="M356" s="33" t="n">
        <v>46522</v>
      </c>
      <c r="N356" s="16" t="s">
        <v>2439</v>
      </c>
      <c r="O356" s="16"/>
      <c r="P356" s="16" t="str">
        <f aca="false">IF(AND(L356&lt;=$D$2,M356&gt;=$C$2),"Sí","")</f>
        <v/>
      </c>
      <c r="Q356" s="18" t="str">
        <f aca="false">IF(COUNTIF(LOOKAHEAD!$A$5:$A$604,A356)&gt;0,"En Lookahead",IF(P356="Sí","INCORPORAR",""))</f>
        <v/>
      </c>
    </row>
    <row r="357" customFormat="false" ht="15" hidden="false" customHeight="false" outlineLevel="0" collapsed="false">
      <c r="A357" s="16" t="s">
        <v>2440</v>
      </c>
      <c r="B357" s="16" t="n">
        <v>352</v>
      </c>
      <c r="C357" s="16" t="s">
        <v>2441</v>
      </c>
      <c r="D357" s="16" t="n">
        <v>8</v>
      </c>
      <c r="E357" s="39" t="s">
        <v>1745</v>
      </c>
      <c r="F357" s="16" t="s">
        <v>1285</v>
      </c>
      <c r="G357" s="16" t="s">
        <v>322</v>
      </c>
      <c r="H357" s="16" t="s">
        <v>2225</v>
      </c>
      <c r="I357" s="16" t="s">
        <v>68</v>
      </c>
      <c r="J357" s="16" t="s">
        <v>2431</v>
      </c>
      <c r="K357" s="32" t="n">
        <v>9</v>
      </c>
      <c r="L357" s="33" t="n">
        <v>46496</v>
      </c>
      <c r="M357" s="33" t="n">
        <v>46504</v>
      </c>
      <c r="N357" s="16" t="s">
        <v>2442</v>
      </c>
      <c r="O357" s="16"/>
      <c r="P357" s="16" t="str">
        <f aca="false">IF(AND(L357&lt;=$D$2,M357&gt;=$C$2),"Sí","")</f>
        <v/>
      </c>
      <c r="Q357" s="18" t="str">
        <f aca="false">IF(COUNTIF(LOOKAHEAD!$A$5:$A$604,A357)&gt;0,"En Lookahead",IF(P357="Sí","INCORPORAR",""))</f>
        <v/>
      </c>
    </row>
    <row r="358" customFormat="false" ht="15" hidden="false" customHeight="false" outlineLevel="0" collapsed="false">
      <c r="A358" s="16" t="s">
        <v>2443</v>
      </c>
      <c r="B358" s="16" t="n">
        <v>353</v>
      </c>
      <c r="C358" s="16" t="s">
        <v>2444</v>
      </c>
      <c r="D358" s="16" t="n">
        <v>8</v>
      </c>
      <c r="E358" s="39" t="s">
        <v>1677</v>
      </c>
      <c r="F358" s="16" t="s">
        <v>1285</v>
      </c>
      <c r="G358" s="16" t="s">
        <v>322</v>
      </c>
      <c r="H358" s="16" t="s">
        <v>2225</v>
      </c>
      <c r="I358" s="16" t="s">
        <v>68</v>
      </c>
      <c r="J358" s="16" t="s">
        <v>2431</v>
      </c>
      <c r="K358" s="32" t="n">
        <v>2</v>
      </c>
      <c r="L358" s="33" t="n">
        <v>46524</v>
      </c>
      <c r="M358" s="33" t="n">
        <v>46525</v>
      </c>
      <c r="N358" s="16" t="s">
        <v>2445</v>
      </c>
      <c r="O358" s="16"/>
      <c r="P358" s="16" t="str">
        <f aca="false">IF(AND(L358&lt;=$D$2,M358&gt;=$C$2),"Sí","")</f>
        <v/>
      </c>
      <c r="Q358" s="18" t="str">
        <f aca="false">IF(COUNTIF(LOOKAHEAD!$A$5:$A$604,A358)&gt;0,"En Lookahead",IF(P358="Sí","INCORPORAR",""))</f>
        <v/>
      </c>
    </row>
    <row r="359" customFormat="false" ht="15" hidden="false" customHeight="false" outlineLevel="0" collapsed="false">
      <c r="A359" s="13" t="s">
        <v>2446</v>
      </c>
      <c r="B359" s="13" t="n">
        <v>354</v>
      </c>
      <c r="C359" s="13" t="s">
        <v>2447</v>
      </c>
      <c r="D359" s="13" t="n">
        <v>6</v>
      </c>
      <c r="E359" s="36" t="s">
        <v>1786</v>
      </c>
      <c r="F359" s="13" t="s">
        <v>1298</v>
      </c>
      <c r="G359" s="13" t="s">
        <v>322</v>
      </c>
      <c r="H359" s="13" t="s">
        <v>2225</v>
      </c>
      <c r="I359" s="13" t="s">
        <v>68</v>
      </c>
      <c r="J359" s="13" t="s">
        <v>1623</v>
      </c>
      <c r="K359" s="30" t="n">
        <v>354</v>
      </c>
      <c r="L359" s="31" t="n">
        <v>46067</v>
      </c>
      <c r="M359" s="31" t="n">
        <v>46500</v>
      </c>
      <c r="N359" s="13"/>
      <c r="O359" s="13"/>
      <c r="P359" s="13"/>
      <c r="Q359" s="13"/>
    </row>
    <row r="360" customFormat="false" ht="15" hidden="false" customHeight="false" outlineLevel="0" collapsed="false">
      <c r="A360" s="13" t="s">
        <v>2448</v>
      </c>
      <c r="B360" s="13" t="n">
        <v>355</v>
      </c>
      <c r="C360" s="13" t="s">
        <v>2449</v>
      </c>
      <c r="D360" s="13" t="n">
        <v>7</v>
      </c>
      <c r="E360" s="38" t="s">
        <v>1789</v>
      </c>
      <c r="F360" s="13" t="s">
        <v>1298</v>
      </c>
      <c r="G360" s="13" t="s">
        <v>322</v>
      </c>
      <c r="H360" s="13" t="s">
        <v>2225</v>
      </c>
      <c r="I360" s="13" t="s">
        <v>68</v>
      </c>
      <c r="J360" s="13" t="s">
        <v>1786</v>
      </c>
      <c r="K360" s="30" t="n">
        <v>58</v>
      </c>
      <c r="L360" s="31" t="n">
        <v>46067</v>
      </c>
      <c r="M360" s="31" t="n">
        <v>46124</v>
      </c>
      <c r="N360" s="13"/>
      <c r="O360" s="13"/>
      <c r="P360" s="13"/>
      <c r="Q360" s="13"/>
    </row>
    <row r="361" customFormat="false" ht="15" hidden="false" customHeight="false" outlineLevel="0" collapsed="false">
      <c r="A361" s="16" t="s">
        <v>2450</v>
      </c>
      <c r="B361" s="16" t="n">
        <v>356</v>
      </c>
      <c r="C361" s="16" t="s">
        <v>2451</v>
      </c>
      <c r="D361" s="16" t="n">
        <v>8</v>
      </c>
      <c r="E361" s="39" t="s">
        <v>1792</v>
      </c>
      <c r="F361" s="16" t="s">
        <v>1285</v>
      </c>
      <c r="G361" s="16" t="s">
        <v>322</v>
      </c>
      <c r="H361" s="16" t="s">
        <v>2225</v>
      </c>
      <c r="I361" s="16" t="s">
        <v>68</v>
      </c>
      <c r="J361" s="16" t="s">
        <v>1789</v>
      </c>
      <c r="K361" s="32" t="n">
        <v>1</v>
      </c>
      <c r="L361" s="33" t="n">
        <v>46119</v>
      </c>
      <c r="M361" s="33" t="n">
        <v>46119</v>
      </c>
      <c r="N361" s="16" t="s">
        <v>2452</v>
      </c>
      <c r="O361" s="16"/>
      <c r="P361" s="16" t="str">
        <f aca="false">IF(AND(L361&lt;=$D$2,M361&gt;=$C$2),"Sí","")</f>
        <v/>
      </c>
      <c r="Q361" s="18" t="str">
        <f aca="false">IF(COUNTIF(LOOKAHEAD!$A$5:$A$604,A361)&gt;0,"En Lookahead",IF(P361="Sí","INCORPORAR",""))</f>
        <v/>
      </c>
    </row>
    <row r="362" customFormat="false" ht="15" hidden="false" customHeight="false" outlineLevel="0" collapsed="false">
      <c r="A362" s="16" t="s">
        <v>2453</v>
      </c>
      <c r="B362" s="16" t="n">
        <v>357</v>
      </c>
      <c r="C362" s="16" t="s">
        <v>2454</v>
      </c>
      <c r="D362" s="16" t="n">
        <v>8</v>
      </c>
      <c r="E362" s="39" t="s">
        <v>1796</v>
      </c>
      <c r="F362" s="16" t="s">
        <v>1285</v>
      </c>
      <c r="G362" s="16" t="s">
        <v>322</v>
      </c>
      <c r="H362" s="16" t="s">
        <v>2225</v>
      </c>
      <c r="I362" s="16" t="s">
        <v>68</v>
      </c>
      <c r="J362" s="16" t="s">
        <v>1789</v>
      </c>
      <c r="K362" s="32" t="n">
        <v>26</v>
      </c>
      <c r="L362" s="33" t="n">
        <v>46093</v>
      </c>
      <c r="M362" s="33" t="n">
        <v>46118</v>
      </c>
      <c r="N362" s="16" t="s">
        <v>2455</v>
      </c>
      <c r="O362" s="16"/>
      <c r="P362" s="16" t="str">
        <f aca="false">IF(AND(L362&lt;=$D$2,M362&gt;=$C$2),"Sí","")</f>
        <v/>
      </c>
      <c r="Q362" s="18" t="str">
        <f aca="false">IF(COUNTIF(LOOKAHEAD!$A$5:$A$604,A362)&gt;0,"En Lookahead",IF(P362="Sí","INCORPORAR",""))</f>
        <v/>
      </c>
    </row>
    <row r="363" customFormat="false" ht="15" hidden="false" customHeight="false" outlineLevel="0" collapsed="false">
      <c r="A363" s="16" t="s">
        <v>2456</v>
      </c>
      <c r="B363" s="16" t="n">
        <v>358</v>
      </c>
      <c r="C363" s="16" t="s">
        <v>2457</v>
      </c>
      <c r="D363" s="16" t="n">
        <v>8</v>
      </c>
      <c r="E363" s="39" t="s">
        <v>1800</v>
      </c>
      <c r="F363" s="16" t="s">
        <v>1285</v>
      </c>
      <c r="G363" s="16" t="s">
        <v>322</v>
      </c>
      <c r="H363" s="16" t="s">
        <v>2225</v>
      </c>
      <c r="I363" s="16" t="s">
        <v>68</v>
      </c>
      <c r="J363" s="16" t="s">
        <v>1789</v>
      </c>
      <c r="K363" s="32" t="n">
        <v>26</v>
      </c>
      <c r="L363" s="33" t="n">
        <v>46067</v>
      </c>
      <c r="M363" s="33" t="n">
        <v>46092</v>
      </c>
      <c r="N363" s="16" t="s">
        <v>2458</v>
      </c>
      <c r="O363" s="16"/>
      <c r="P363" s="16" t="str">
        <f aca="false">IF(AND(L363&lt;=$D$2,M363&gt;=$C$2),"Sí","")</f>
        <v/>
      </c>
      <c r="Q363" s="18" t="str">
        <f aca="false">IF(COUNTIF(LOOKAHEAD!$A$5:$A$604,A363)&gt;0,"En Lookahead",IF(P363="Sí","INCORPORAR",""))</f>
        <v/>
      </c>
    </row>
    <row r="364" customFormat="false" ht="15" hidden="false" customHeight="false" outlineLevel="0" collapsed="false">
      <c r="A364" s="16" t="s">
        <v>2459</v>
      </c>
      <c r="B364" s="16" t="n">
        <v>359</v>
      </c>
      <c r="C364" s="16" t="s">
        <v>2460</v>
      </c>
      <c r="D364" s="16" t="n">
        <v>8</v>
      </c>
      <c r="E364" s="39" t="s">
        <v>1602</v>
      </c>
      <c r="F364" s="16" t="s">
        <v>1285</v>
      </c>
      <c r="G364" s="16" t="s">
        <v>322</v>
      </c>
      <c r="H364" s="16" t="s">
        <v>2225</v>
      </c>
      <c r="I364" s="16" t="s">
        <v>68</v>
      </c>
      <c r="J364" s="16" t="s">
        <v>1789</v>
      </c>
      <c r="K364" s="32" t="n">
        <v>5</v>
      </c>
      <c r="L364" s="33" t="n">
        <v>46120</v>
      </c>
      <c r="M364" s="33" t="n">
        <v>46124</v>
      </c>
      <c r="N364" s="16" t="s">
        <v>2363</v>
      </c>
      <c r="O364" s="16"/>
      <c r="P364" s="16" t="str">
        <f aca="false">IF(AND(L364&lt;=$D$2,M364&gt;=$C$2),"Sí","")</f>
        <v/>
      </c>
      <c r="Q364" s="18" t="str">
        <f aca="false">IF(COUNTIF(LOOKAHEAD!$A$5:$A$604,A364)&gt;0,"En Lookahead",IF(P364="Sí","INCORPORAR",""))</f>
        <v/>
      </c>
    </row>
    <row r="365" customFormat="false" ht="15" hidden="false" customHeight="false" outlineLevel="0" collapsed="false">
      <c r="A365" s="13" t="s">
        <v>2461</v>
      </c>
      <c r="B365" s="13" t="n">
        <v>360</v>
      </c>
      <c r="C365" s="13" t="s">
        <v>2462</v>
      </c>
      <c r="D365" s="13" t="n">
        <v>7</v>
      </c>
      <c r="E365" s="38" t="s">
        <v>1806</v>
      </c>
      <c r="F365" s="13" t="s">
        <v>1298</v>
      </c>
      <c r="G365" s="13" t="s">
        <v>322</v>
      </c>
      <c r="H365" s="13" t="s">
        <v>2225</v>
      </c>
      <c r="I365" s="13" t="s">
        <v>68</v>
      </c>
      <c r="J365" s="13" t="s">
        <v>1786</v>
      </c>
      <c r="K365" s="30" t="n">
        <v>51</v>
      </c>
      <c r="L365" s="31" t="n">
        <v>46329</v>
      </c>
      <c r="M365" s="31" t="n">
        <v>46379</v>
      </c>
      <c r="N365" s="13"/>
      <c r="O365" s="13"/>
      <c r="P365" s="13"/>
      <c r="Q365" s="13"/>
    </row>
    <row r="366" customFormat="false" ht="15" hidden="false" customHeight="false" outlineLevel="0" collapsed="false">
      <c r="A366" s="16" t="s">
        <v>2463</v>
      </c>
      <c r="B366" s="16" t="n">
        <v>361</v>
      </c>
      <c r="C366" s="16" t="s">
        <v>2464</v>
      </c>
      <c r="D366" s="16" t="n">
        <v>8</v>
      </c>
      <c r="E366" s="39" t="s">
        <v>1809</v>
      </c>
      <c r="F366" s="16" t="s">
        <v>1285</v>
      </c>
      <c r="G366" s="16" t="s">
        <v>322</v>
      </c>
      <c r="H366" s="16" t="s">
        <v>2225</v>
      </c>
      <c r="I366" s="16" t="s">
        <v>68</v>
      </c>
      <c r="J366" s="16" t="s">
        <v>1806</v>
      </c>
      <c r="K366" s="32" t="n">
        <v>1</v>
      </c>
      <c r="L366" s="33" t="n">
        <v>46374</v>
      </c>
      <c r="M366" s="33" t="n">
        <v>46374</v>
      </c>
      <c r="N366" s="16" t="s">
        <v>2465</v>
      </c>
      <c r="O366" s="16"/>
      <c r="P366" s="16" t="str">
        <f aca="false">IF(AND(L366&lt;=$D$2,M366&gt;=$C$2),"Sí","")</f>
        <v/>
      </c>
      <c r="Q366" s="18" t="str">
        <f aca="false">IF(COUNTIF(LOOKAHEAD!$A$5:$A$604,A366)&gt;0,"En Lookahead",IF(P366="Sí","INCORPORAR",""))</f>
        <v/>
      </c>
    </row>
    <row r="367" customFormat="false" ht="15" hidden="false" customHeight="false" outlineLevel="0" collapsed="false">
      <c r="A367" s="16" t="s">
        <v>2466</v>
      </c>
      <c r="B367" s="16" t="n">
        <v>362</v>
      </c>
      <c r="C367" s="16" t="s">
        <v>2467</v>
      </c>
      <c r="D367" s="16" t="n">
        <v>8</v>
      </c>
      <c r="E367" s="39" t="s">
        <v>1813</v>
      </c>
      <c r="F367" s="16" t="s">
        <v>1285</v>
      </c>
      <c r="G367" s="16" t="s">
        <v>322</v>
      </c>
      <c r="H367" s="16" t="s">
        <v>2225</v>
      </c>
      <c r="I367" s="16" t="s">
        <v>68</v>
      </c>
      <c r="J367" s="16" t="s">
        <v>1806</v>
      </c>
      <c r="K367" s="32" t="n">
        <v>20</v>
      </c>
      <c r="L367" s="33" t="n">
        <v>46354</v>
      </c>
      <c r="M367" s="33" t="n">
        <v>46373</v>
      </c>
      <c r="N367" s="16" t="s">
        <v>2468</v>
      </c>
      <c r="O367" s="16"/>
      <c r="P367" s="16" t="str">
        <f aca="false">IF(AND(L367&lt;=$D$2,M367&gt;=$C$2),"Sí","")</f>
        <v/>
      </c>
      <c r="Q367" s="18" t="str">
        <f aca="false">IF(COUNTIF(LOOKAHEAD!$A$5:$A$604,A367)&gt;0,"En Lookahead",IF(P367="Sí","INCORPORAR",""))</f>
        <v/>
      </c>
    </row>
    <row r="368" customFormat="false" ht="15" hidden="false" customHeight="false" outlineLevel="0" collapsed="false">
      <c r="A368" s="16" t="s">
        <v>2469</v>
      </c>
      <c r="B368" s="16" t="n">
        <v>363</v>
      </c>
      <c r="C368" s="16" t="s">
        <v>2470</v>
      </c>
      <c r="D368" s="16" t="n">
        <v>8</v>
      </c>
      <c r="E368" s="39" t="s">
        <v>1800</v>
      </c>
      <c r="F368" s="16" t="s">
        <v>1285</v>
      </c>
      <c r="G368" s="16" t="s">
        <v>322</v>
      </c>
      <c r="H368" s="16" t="s">
        <v>2225</v>
      </c>
      <c r="I368" s="16" t="s">
        <v>68</v>
      </c>
      <c r="J368" s="16" t="s">
        <v>1806</v>
      </c>
      <c r="K368" s="32" t="n">
        <v>25</v>
      </c>
      <c r="L368" s="33" t="n">
        <v>46329</v>
      </c>
      <c r="M368" s="33" t="n">
        <v>46353</v>
      </c>
      <c r="N368" s="16" t="s">
        <v>2471</v>
      </c>
      <c r="O368" s="16"/>
      <c r="P368" s="16" t="str">
        <f aca="false">IF(AND(L368&lt;=$D$2,M368&gt;=$C$2),"Sí","")</f>
        <v>Sí</v>
      </c>
      <c r="Q368" s="18" t="str">
        <f aca="false">IF(COUNTIF(LOOKAHEAD!$A$5:$A$604,A368)&gt;0,"En Lookahead",IF(P368="Sí","INCORPORAR",""))</f>
        <v>En Lookahead</v>
      </c>
    </row>
    <row r="369" customFormat="false" ht="15" hidden="false" customHeight="false" outlineLevel="0" collapsed="false">
      <c r="A369" s="16" t="s">
        <v>2472</v>
      </c>
      <c r="B369" s="16" t="n">
        <v>364</v>
      </c>
      <c r="C369" s="16" t="s">
        <v>2473</v>
      </c>
      <c r="D369" s="16" t="n">
        <v>8</v>
      </c>
      <c r="E369" s="39" t="s">
        <v>1602</v>
      </c>
      <c r="F369" s="16" t="s">
        <v>1285</v>
      </c>
      <c r="G369" s="16" t="s">
        <v>322</v>
      </c>
      <c r="H369" s="16" t="s">
        <v>2225</v>
      </c>
      <c r="I369" s="16" t="s">
        <v>68</v>
      </c>
      <c r="J369" s="16" t="s">
        <v>1806</v>
      </c>
      <c r="K369" s="32" t="n">
        <v>5</v>
      </c>
      <c r="L369" s="33" t="n">
        <v>46375</v>
      </c>
      <c r="M369" s="33" t="n">
        <v>46379</v>
      </c>
      <c r="N369" s="16" t="s">
        <v>2474</v>
      </c>
      <c r="O369" s="16"/>
      <c r="P369" s="16" t="str">
        <f aca="false">IF(AND(L369&lt;=$D$2,M369&gt;=$C$2),"Sí","")</f>
        <v/>
      </c>
      <c r="Q369" s="18" t="str">
        <f aca="false">IF(COUNTIF(LOOKAHEAD!$A$5:$A$604,A369)&gt;0,"En Lookahead",IF(P369="Sí","INCORPORAR",""))</f>
        <v/>
      </c>
    </row>
    <row r="370" customFormat="false" ht="15" hidden="false" customHeight="false" outlineLevel="0" collapsed="false">
      <c r="A370" s="13" t="s">
        <v>2475</v>
      </c>
      <c r="B370" s="13" t="n">
        <v>365</v>
      </c>
      <c r="C370" s="13" t="s">
        <v>2476</v>
      </c>
      <c r="D370" s="13" t="n">
        <v>7</v>
      </c>
      <c r="E370" s="38" t="s">
        <v>1822</v>
      </c>
      <c r="F370" s="13" t="s">
        <v>1298</v>
      </c>
      <c r="G370" s="13" t="s">
        <v>322</v>
      </c>
      <c r="H370" s="13" t="s">
        <v>2225</v>
      </c>
      <c r="I370" s="13" t="s">
        <v>68</v>
      </c>
      <c r="J370" s="13" t="s">
        <v>1786</v>
      </c>
      <c r="K370" s="30" t="n">
        <v>80</v>
      </c>
      <c r="L370" s="31" t="n">
        <v>46421</v>
      </c>
      <c r="M370" s="31" t="n">
        <v>46500</v>
      </c>
      <c r="N370" s="13"/>
      <c r="O370" s="13"/>
      <c r="P370" s="13"/>
      <c r="Q370" s="13"/>
    </row>
    <row r="371" customFormat="false" ht="15" hidden="false" customHeight="false" outlineLevel="0" collapsed="false">
      <c r="A371" s="16" t="s">
        <v>2477</v>
      </c>
      <c r="B371" s="16" t="n">
        <v>366</v>
      </c>
      <c r="C371" s="16" t="s">
        <v>2478</v>
      </c>
      <c r="D371" s="16" t="n">
        <v>8</v>
      </c>
      <c r="E371" s="39" t="s">
        <v>1825</v>
      </c>
      <c r="F371" s="16" t="s">
        <v>1285</v>
      </c>
      <c r="G371" s="16" t="s">
        <v>322</v>
      </c>
      <c r="H371" s="16" t="s">
        <v>2225</v>
      </c>
      <c r="I371" s="16" t="s">
        <v>68</v>
      </c>
      <c r="J371" s="16" t="s">
        <v>1822</v>
      </c>
      <c r="K371" s="32" t="n">
        <v>1</v>
      </c>
      <c r="L371" s="33" t="n">
        <v>46495</v>
      </c>
      <c r="M371" s="33" t="n">
        <v>46495</v>
      </c>
      <c r="N371" s="16" t="s">
        <v>2479</v>
      </c>
      <c r="O371" s="16"/>
      <c r="P371" s="16" t="str">
        <f aca="false">IF(AND(L371&lt;=$D$2,M371&gt;=$C$2),"Sí","")</f>
        <v/>
      </c>
      <c r="Q371" s="18" t="str">
        <f aca="false">IF(COUNTIF(LOOKAHEAD!$A$5:$A$604,A371)&gt;0,"En Lookahead",IF(P371="Sí","INCORPORAR",""))</f>
        <v/>
      </c>
    </row>
    <row r="372" customFormat="false" ht="15" hidden="false" customHeight="false" outlineLevel="0" collapsed="false">
      <c r="A372" s="16" t="s">
        <v>2480</v>
      </c>
      <c r="B372" s="16" t="n">
        <v>367</v>
      </c>
      <c r="C372" s="16" t="s">
        <v>2481</v>
      </c>
      <c r="D372" s="16" t="n">
        <v>8</v>
      </c>
      <c r="E372" s="39" t="s">
        <v>1829</v>
      </c>
      <c r="F372" s="16" t="s">
        <v>1285</v>
      </c>
      <c r="G372" s="16" t="s">
        <v>322</v>
      </c>
      <c r="H372" s="16" t="s">
        <v>2225</v>
      </c>
      <c r="I372" s="16" t="s">
        <v>68</v>
      </c>
      <c r="J372" s="16" t="s">
        <v>1822</v>
      </c>
      <c r="K372" s="32" t="n">
        <v>47</v>
      </c>
      <c r="L372" s="33" t="n">
        <v>46448</v>
      </c>
      <c r="M372" s="33" t="n">
        <v>46494</v>
      </c>
      <c r="N372" s="16" t="s">
        <v>2482</v>
      </c>
      <c r="O372" s="16"/>
      <c r="P372" s="16" t="str">
        <f aca="false">IF(AND(L372&lt;=$D$2,M372&gt;=$C$2),"Sí","")</f>
        <v/>
      </c>
      <c r="Q372" s="18" t="str">
        <f aca="false">IF(COUNTIF(LOOKAHEAD!$A$5:$A$604,A372)&gt;0,"En Lookahead",IF(P372="Sí","INCORPORAR",""))</f>
        <v/>
      </c>
    </row>
    <row r="373" customFormat="false" ht="15" hidden="false" customHeight="false" outlineLevel="0" collapsed="false">
      <c r="A373" s="16" t="s">
        <v>2483</v>
      </c>
      <c r="B373" s="16" t="n">
        <v>368</v>
      </c>
      <c r="C373" s="16" t="s">
        <v>2484</v>
      </c>
      <c r="D373" s="16" t="n">
        <v>8</v>
      </c>
      <c r="E373" s="39" t="s">
        <v>1800</v>
      </c>
      <c r="F373" s="16" t="s">
        <v>1285</v>
      </c>
      <c r="G373" s="16" t="s">
        <v>322</v>
      </c>
      <c r="H373" s="16" t="s">
        <v>2225</v>
      </c>
      <c r="I373" s="16" t="s">
        <v>68</v>
      </c>
      <c r="J373" s="16" t="s">
        <v>1822</v>
      </c>
      <c r="K373" s="32" t="n">
        <v>27</v>
      </c>
      <c r="L373" s="33" t="n">
        <v>46421</v>
      </c>
      <c r="M373" s="33" t="n">
        <v>46447</v>
      </c>
      <c r="N373" s="16" t="s">
        <v>2485</v>
      </c>
      <c r="O373" s="16"/>
      <c r="P373" s="16" t="str">
        <f aca="false">IF(AND(L373&lt;=$D$2,M373&gt;=$C$2),"Sí","")</f>
        <v/>
      </c>
      <c r="Q373" s="18" t="str">
        <f aca="false">IF(COUNTIF(LOOKAHEAD!$A$5:$A$604,A373)&gt;0,"En Lookahead",IF(P373="Sí","INCORPORAR",""))</f>
        <v/>
      </c>
    </row>
    <row r="374" customFormat="false" ht="15" hidden="false" customHeight="false" outlineLevel="0" collapsed="false">
      <c r="A374" s="16" t="s">
        <v>2486</v>
      </c>
      <c r="B374" s="16" t="n">
        <v>369</v>
      </c>
      <c r="C374" s="16" t="s">
        <v>2487</v>
      </c>
      <c r="D374" s="16" t="n">
        <v>8</v>
      </c>
      <c r="E374" s="39" t="s">
        <v>1602</v>
      </c>
      <c r="F374" s="16" t="s">
        <v>1285</v>
      </c>
      <c r="G374" s="16" t="s">
        <v>322</v>
      </c>
      <c r="H374" s="16" t="s">
        <v>2225</v>
      </c>
      <c r="I374" s="16" t="s">
        <v>68</v>
      </c>
      <c r="J374" s="16" t="s">
        <v>1822</v>
      </c>
      <c r="K374" s="32" t="n">
        <v>5</v>
      </c>
      <c r="L374" s="33" t="n">
        <v>46496</v>
      </c>
      <c r="M374" s="33" t="n">
        <v>46500</v>
      </c>
      <c r="N374" s="16" t="s">
        <v>2488</v>
      </c>
      <c r="O374" s="16"/>
      <c r="P374" s="16" t="str">
        <f aca="false">IF(AND(L374&lt;=$D$2,M374&gt;=$C$2),"Sí","")</f>
        <v/>
      </c>
      <c r="Q374" s="18" t="str">
        <f aca="false">IF(COUNTIF(LOOKAHEAD!$A$5:$A$604,A374)&gt;0,"En Lookahead",IF(P374="Sí","INCORPORAR",""))</f>
        <v/>
      </c>
    </row>
    <row r="375" customFormat="false" ht="15" hidden="false" customHeight="false" outlineLevel="0" collapsed="false">
      <c r="A375" s="13" t="s">
        <v>2489</v>
      </c>
      <c r="B375" s="13" t="n">
        <v>370</v>
      </c>
      <c r="C375" s="13" t="s">
        <v>2490</v>
      </c>
      <c r="D375" s="13" t="n">
        <v>6</v>
      </c>
      <c r="E375" s="36" t="s">
        <v>2491</v>
      </c>
      <c r="F375" s="13" t="s">
        <v>1298</v>
      </c>
      <c r="G375" s="13" t="s">
        <v>322</v>
      </c>
      <c r="H375" s="13" t="s">
        <v>2225</v>
      </c>
      <c r="I375" s="13" t="s">
        <v>68</v>
      </c>
      <c r="J375" s="13" t="s">
        <v>1623</v>
      </c>
      <c r="K375" s="30" t="n">
        <v>356</v>
      </c>
      <c r="L375" s="31" t="n">
        <v>46067</v>
      </c>
      <c r="M375" s="31" t="n">
        <v>46502</v>
      </c>
      <c r="N375" s="13"/>
      <c r="O375" s="13"/>
      <c r="P375" s="13"/>
      <c r="Q375" s="13"/>
    </row>
    <row r="376" customFormat="false" ht="15" hidden="false" customHeight="false" outlineLevel="0" collapsed="false">
      <c r="A376" s="13" t="s">
        <v>2492</v>
      </c>
      <c r="B376" s="13" t="n">
        <v>371</v>
      </c>
      <c r="C376" s="13" t="s">
        <v>2493</v>
      </c>
      <c r="D376" s="13" t="n">
        <v>7</v>
      </c>
      <c r="E376" s="38" t="s">
        <v>1923</v>
      </c>
      <c r="F376" s="13" t="s">
        <v>1298</v>
      </c>
      <c r="G376" s="13" t="s">
        <v>322</v>
      </c>
      <c r="H376" s="13" t="s">
        <v>2225</v>
      </c>
      <c r="I376" s="13" t="s">
        <v>68</v>
      </c>
      <c r="J376" s="13" t="s">
        <v>2491</v>
      </c>
      <c r="K376" s="30" t="n">
        <v>12</v>
      </c>
      <c r="L376" s="31" t="n">
        <v>46067</v>
      </c>
      <c r="M376" s="31" t="n">
        <v>46078</v>
      </c>
      <c r="N376" s="13"/>
      <c r="O376" s="13"/>
      <c r="P376" s="13"/>
      <c r="Q376" s="13"/>
    </row>
    <row r="377" customFormat="false" ht="15" hidden="false" customHeight="false" outlineLevel="0" collapsed="false">
      <c r="A377" s="16" t="s">
        <v>2494</v>
      </c>
      <c r="B377" s="16" t="n">
        <v>372</v>
      </c>
      <c r="C377" s="16" t="s">
        <v>2495</v>
      </c>
      <c r="D377" s="16" t="n">
        <v>8</v>
      </c>
      <c r="E377" s="39" t="s">
        <v>1859</v>
      </c>
      <c r="F377" s="16" t="s">
        <v>1285</v>
      </c>
      <c r="G377" s="16" t="s">
        <v>322</v>
      </c>
      <c r="H377" s="16" t="s">
        <v>2225</v>
      </c>
      <c r="I377" s="16" t="s">
        <v>68</v>
      </c>
      <c r="J377" s="16" t="s">
        <v>1923</v>
      </c>
      <c r="K377" s="32" t="n">
        <v>1</v>
      </c>
      <c r="L377" s="33" t="n">
        <v>46077</v>
      </c>
      <c r="M377" s="33" t="n">
        <v>46077</v>
      </c>
      <c r="N377" s="16" t="s">
        <v>2496</v>
      </c>
      <c r="O377" s="16"/>
      <c r="P377" s="16" t="str">
        <f aca="false">IF(AND(L377&lt;=$D$2,M377&gt;=$C$2),"Sí","")</f>
        <v/>
      </c>
      <c r="Q377" s="18" t="str">
        <f aca="false">IF(COUNTIF(LOOKAHEAD!$A$5:$A$604,A377)&gt;0,"En Lookahead",IF(P377="Sí","INCORPORAR",""))</f>
        <v/>
      </c>
    </row>
    <row r="378" customFormat="false" ht="15" hidden="false" customHeight="false" outlineLevel="0" collapsed="false">
      <c r="A378" s="16" t="s">
        <v>2497</v>
      </c>
      <c r="B378" s="16" t="n">
        <v>373</v>
      </c>
      <c r="C378" s="16" t="s">
        <v>2498</v>
      </c>
      <c r="D378" s="16" t="n">
        <v>8</v>
      </c>
      <c r="E378" s="39" t="s">
        <v>1929</v>
      </c>
      <c r="F378" s="16" t="s">
        <v>1285</v>
      </c>
      <c r="G378" s="16" t="s">
        <v>322</v>
      </c>
      <c r="H378" s="16" t="s">
        <v>2225</v>
      </c>
      <c r="I378" s="16" t="s">
        <v>68</v>
      </c>
      <c r="J378" s="16" t="s">
        <v>1923</v>
      </c>
      <c r="K378" s="32" t="n">
        <v>5</v>
      </c>
      <c r="L378" s="33" t="n">
        <v>46072</v>
      </c>
      <c r="M378" s="33" t="n">
        <v>46076</v>
      </c>
      <c r="N378" s="16" t="s">
        <v>2499</v>
      </c>
      <c r="O378" s="16"/>
      <c r="P378" s="16" t="str">
        <f aca="false">IF(AND(L378&lt;=$D$2,M378&gt;=$C$2),"Sí","")</f>
        <v/>
      </c>
      <c r="Q378" s="18" t="str">
        <f aca="false">IF(COUNTIF(LOOKAHEAD!$A$5:$A$604,A378)&gt;0,"En Lookahead",IF(P378="Sí","INCORPORAR",""))</f>
        <v/>
      </c>
    </row>
    <row r="379" customFormat="false" ht="15" hidden="false" customHeight="false" outlineLevel="0" collapsed="false">
      <c r="A379" s="16" t="s">
        <v>2500</v>
      </c>
      <c r="B379" s="16" t="n">
        <v>374</v>
      </c>
      <c r="C379" s="16" t="s">
        <v>2501</v>
      </c>
      <c r="D379" s="16" t="n">
        <v>8</v>
      </c>
      <c r="E379" s="39" t="s">
        <v>1932</v>
      </c>
      <c r="F379" s="16" t="s">
        <v>1285</v>
      </c>
      <c r="G379" s="16" t="s">
        <v>322</v>
      </c>
      <c r="H379" s="16" t="s">
        <v>2225</v>
      </c>
      <c r="I379" s="16" t="s">
        <v>68</v>
      </c>
      <c r="J379" s="16" t="s">
        <v>1923</v>
      </c>
      <c r="K379" s="32" t="n">
        <v>5</v>
      </c>
      <c r="L379" s="33" t="n">
        <v>46067</v>
      </c>
      <c r="M379" s="33" t="n">
        <v>46071</v>
      </c>
      <c r="N379" s="16" t="s">
        <v>2502</v>
      </c>
      <c r="O379" s="16"/>
      <c r="P379" s="16" t="str">
        <f aca="false">IF(AND(L379&lt;=$D$2,M379&gt;=$C$2),"Sí","")</f>
        <v/>
      </c>
      <c r="Q379" s="18" t="str">
        <f aca="false">IF(COUNTIF(LOOKAHEAD!$A$5:$A$604,A379)&gt;0,"En Lookahead",IF(P379="Sí","INCORPORAR",""))</f>
        <v/>
      </c>
    </row>
    <row r="380" customFormat="false" ht="15" hidden="false" customHeight="false" outlineLevel="0" collapsed="false">
      <c r="A380" s="16" t="s">
        <v>2503</v>
      </c>
      <c r="B380" s="16" t="n">
        <v>375</v>
      </c>
      <c r="C380" s="16" t="s">
        <v>2504</v>
      </c>
      <c r="D380" s="16" t="n">
        <v>8</v>
      </c>
      <c r="E380" s="39" t="s">
        <v>1602</v>
      </c>
      <c r="F380" s="16" t="s">
        <v>1285</v>
      </c>
      <c r="G380" s="16" t="s">
        <v>322</v>
      </c>
      <c r="H380" s="16" t="s">
        <v>2225</v>
      </c>
      <c r="I380" s="16" t="s">
        <v>68</v>
      </c>
      <c r="J380" s="16" t="s">
        <v>1923</v>
      </c>
      <c r="K380" s="32" t="n">
        <v>1</v>
      </c>
      <c r="L380" s="33" t="n">
        <v>46078</v>
      </c>
      <c r="M380" s="33" t="n">
        <v>46078</v>
      </c>
      <c r="N380" s="16" t="s">
        <v>2505</v>
      </c>
      <c r="O380" s="16"/>
      <c r="P380" s="16" t="str">
        <f aca="false">IF(AND(L380&lt;=$D$2,M380&gt;=$C$2),"Sí","")</f>
        <v/>
      </c>
      <c r="Q380" s="18" t="str">
        <f aca="false">IF(COUNTIF(LOOKAHEAD!$A$5:$A$604,A380)&gt;0,"En Lookahead",IF(P380="Sí","INCORPORAR",""))</f>
        <v/>
      </c>
    </row>
    <row r="381" customFormat="false" ht="15" hidden="false" customHeight="false" outlineLevel="0" collapsed="false">
      <c r="A381" s="13" t="s">
        <v>2506</v>
      </c>
      <c r="B381" s="13" t="n">
        <v>376</v>
      </c>
      <c r="C381" s="13" t="s">
        <v>2507</v>
      </c>
      <c r="D381" s="13" t="n">
        <v>7</v>
      </c>
      <c r="E381" s="38" t="s">
        <v>1939</v>
      </c>
      <c r="F381" s="13" t="s">
        <v>1298</v>
      </c>
      <c r="G381" s="13" t="s">
        <v>322</v>
      </c>
      <c r="H381" s="13" t="s">
        <v>2225</v>
      </c>
      <c r="I381" s="13" t="s">
        <v>68</v>
      </c>
      <c r="J381" s="13" t="s">
        <v>2491</v>
      </c>
      <c r="K381" s="30" t="n">
        <v>13</v>
      </c>
      <c r="L381" s="31" t="n">
        <v>46329</v>
      </c>
      <c r="M381" s="31" t="n">
        <v>46341</v>
      </c>
      <c r="N381" s="13"/>
      <c r="O381" s="13"/>
      <c r="P381" s="13"/>
      <c r="Q381" s="13"/>
    </row>
    <row r="382" customFormat="false" ht="15" hidden="false" customHeight="false" outlineLevel="0" collapsed="false">
      <c r="A382" s="16" t="s">
        <v>2508</v>
      </c>
      <c r="B382" s="16" t="n">
        <v>377</v>
      </c>
      <c r="C382" s="16" t="s">
        <v>2509</v>
      </c>
      <c r="D382" s="16" t="n">
        <v>8</v>
      </c>
      <c r="E382" s="39" t="s">
        <v>1881</v>
      </c>
      <c r="F382" s="16" t="s">
        <v>1285</v>
      </c>
      <c r="G382" s="16" t="s">
        <v>322</v>
      </c>
      <c r="H382" s="16" t="s">
        <v>2225</v>
      </c>
      <c r="I382" s="16" t="s">
        <v>68</v>
      </c>
      <c r="J382" s="16" t="s">
        <v>1939</v>
      </c>
      <c r="K382" s="32" t="n">
        <v>1</v>
      </c>
      <c r="L382" s="33" t="n">
        <v>46340</v>
      </c>
      <c r="M382" s="33" t="n">
        <v>46340</v>
      </c>
      <c r="N382" s="16" t="s">
        <v>2510</v>
      </c>
      <c r="O382" s="16"/>
      <c r="P382" s="16" t="str">
        <f aca="false">IF(AND(L382&lt;=$D$2,M382&gt;=$C$2),"Sí","")</f>
        <v>Sí</v>
      </c>
      <c r="Q382" s="18" t="str">
        <f aca="false">IF(COUNTIF(LOOKAHEAD!$A$5:$A$604,A382)&gt;0,"En Lookahead",IF(P382="Sí","INCORPORAR",""))</f>
        <v>En Lookahead</v>
      </c>
    </row>
    <row r="383" customFormat="false" ht="15" hidden="false" customHeight="false" outlineLevel="0" collapsed="false">
      <c r="A383" s="16" t="s">
        <v>2511</v>
      </c>
      <c r="B383" s="16" t="n">
        <v>378</v>
      </c>
      <c r="C383" s="16" t="s">
        <v>2512</v>
      </c>
      <c r="D383" s="16" t="n">
        <v>8</v>
      </c>
      <c r="E383" s="39" t="s">
        <v>1945</v>
      </c>
      <c r="F383" s="16" t="s">
        <v>1285</v>
      </c>
      <c r="G383" s="16" t="s">
        <v>322</v>
      </c>
      <c r="H383" s="16" t="s">
        <v>2225</v>
      </c>
      <c r="I383" s="16" t="s">
        <v>68</v>
      </c>
      <c r="J383" s="16" t="s">
        <v>1939</v>
      </c>
      <c r="K383" s="32" t="n">
        <v>6</v>
      </c>
      <c r="L383" s="33" t="n">
        <v>46334</v>
      </c>
      <c r="M383" s="33" t="n">
        <v>46339</v>
      </c>
      <c r="N383" s="16" t="s">
        <v>2513</v>
      </c>
      <c r="O383" s="16"/>
      <c r="P383" s="16" t="str">
        <f aca="false">IF(AND(L383&lt;=$D$2,M383&gt;=$C$2),"Sí","")</f>
        <v>Sí</v>
      </c>
      <c r="Q383" s="18" t="str">
        <f aca="false">IF(COUNTIF(LOOKAHEAD!$A$5:$A$604,A383)&gt;0,"En Lookahead",IF(P383="Sí","INCORPORAR",""))</f>
        <v>En Lookahead</v>
      </c>
    </row>
    <row r="384" customFormat="false" ht="15" hidden="false" customHeight="false" outlineLevel="0" collapsed="false">
      <c r="A384" s="16" t="s">
        <v>2514</v>
      </c>
      <c r="B384" s="16" t="n">
        <v>379</v>
      </c>
      <c r="C384" s="16" t="s">
        <v>2515</v>
      </c>
      <c r="D384" s="16" t="n">
        <v>8</v>
      </c>
      <c r="E384" s="39" t="s">
        <v>1932</v>
      </c>
      <c r="F384" s="16" t="s">
        <v>1285</v>
      </c>
      <c r="G384" s="16" t="s">
        <v>322</v>
      </c>
      <c r="H384" s="16" t="s">
        <v>2225</v>
      </c>
      <c r="I384" s="16" t="s">
        <v>68</v>
      </c>
      <c r="J384" s="16" t="s">
        <v>1939</v>
      </c>
      <c r="K384" s="32" t="n">
        <v>5</v>
      </c>
      <c r="L384" s="33" t="n">
        <v>46329</v>
      </c>
      <c r="M384" s="33" t="n">
        <v>46333</v>
      </c>
      <c r="N384" s="16" t="s">
        <v>2516</v>
      </c>
      <c r="O384" s="16"/>
      <c r="P384" s="16" t="str">
        <f aca="false">IF(AND(L384&lt;=$D$2,M384&gt;=$C$2),"Sí","")</f>
        <v>Sí</v>
      </c>
      <c r="Q384" s="18" t="str">
        <f aca="false">IF(COUNTIF(LOOKAHEAD!$A$5:$A$604,A384)&gt;0,"En Lookahead",IF(P384="Sí","INCORPORAR",""))</f>
        <v>En Lookahead</v>
      </c>
    </row>
    <row r="385" customFormat="false" ht="15" hidden="false" customHeight="false" outlineLevel="0" collapsed="false">
      <c r="A385" s="16" t="s">
        <v>2517</v>
      </c>
      <c r="B385" s="16" t="n">
        <v>380</v>
      </c>
      <c r="C385" s="16" t="s">
        <v>2518</v>
      </c>
      <c r="D385" s="16" t="n">
        <v>8</v>
      </c>
      <c r="E385" s="39" t="s">
        <v>1602</v>
      </c>
      <c r="F385" s="16" t="s">
        <v>1285</v>
      </c>
      <c r="G385" s="16" t="s">
        <v>322</v>
      </c>
      <c r="H385" s="16" t="s">
        <v>2225</v>
      </c>
      <c r="I385" s="16" t="s">
        <v>68</v>
      </c>
      <c r="J385" s="16" t="s">
        <v>1939</v>
      </c>
      <c r="K385" s="32" t="n">
        <v>1</v>
      </c>
      <c r="L385" s="33" t="n">
        <v>46341</v>
      </c>
      <c r="M385" s="33" t="n">
        <v>46341</v>
      </c>
      <c r="N385" s="16" t="s">
        <v>2519</v>
      </c>
      <c r="O385" s="16"/>
      <c r="P385" s="16" t="str">
        <f aca="false">IF(AND(L385&lt;=$D$2,M385&gt;=$C$2),"Sí","")</f>
        <v>Sí</v>
      </c>
      <c r="Q385" s="18" t="str">
        <f aca="false">IF(COUNTIF(LOOKAHEAD!$A$5:$A$604,A385)&gt;0,"En Lookahead",IF(P385="Sí","INCORPORAR",""))</f>
        <v>En Lookahead</v>
      </c>
    </row>
    <row r="386" customFormat="false" ht="15" hidden="false" customHeight="false" outlineLevel="0" collapsed="false">
      <c r="A386" s="13" t="s">
        <v>2520</v>
      </c>
      <c r="B386" s="13" t="n">
        <v>381</v>
      </c>
      <c r="C386" s="13" t="s">
        <v>2521</v>
      </c>
      <c r="D386" s="13" t="n">
        <v>7</v>
      </c>
      <c r="E386" s="38" t="s">
        <v>1954</v>
      </c>
      <c r="F386" s="13" t="s">
        <v>1298</v>
      </c>
      <c r="G386" s="13" t="s">
        <v>322</v>
      </c>
      <c r="H386" s="13" t="s">
        <v>2225</v>
      </c>
      <c r="I386" s="13" t="s">
        <v>68</v>
      </c>
      <c r="J386" s="13" t="s">
        <v>2491</v>
      </c>
      <c r="K386" s="30" t="n">
        <v>15</v>
      </c>
      <c r="L386" s="31" t="n">
        <v>46421</v>
      </c>
      <c r="M386" s="31" t="n">
        <v>46435</v>
      </c>
      <c r="N386" s="13"/>
      <c r="O386" s="13"/>
      <c r="P386" s="13"/>
      <c r="Q386" s="13"/>
    </row>
    <row r="387" customFormat="false" ht="15" hidden="false" customHeight="false" outlineLevel="0" collapsed="false">
      <c r="A387" s="16" t="s">
        <v>2522</v>
      </c>
      <c r="B387" s="16" t="n">
        <v>382</v>
      </c>
      <c r="C387" s="16" t="s">
        <v>2523</v>
      </c>
      <c r="D387" s="16" t="n">
        <v>8</v>
      </c>
      <c r="E387" s="39" t="s">
        <v>1902</v>
      </c>
      <c r="F387" s="16" t="s">
        <v>1285</v>
      </c>
      <c r="G387" s="16" t="s">
        <v>322</v>
      </c>
      <c r="H387" s="16" t="s">
        <v>2225</v>
      </c>
      <c r="I387" s="16" t="s">
        <v>68</v>
      </c>
      <c r="J387" s="16" t="s">
        <v>1954</v>
      </c>
      <c r="K387" s="32" t="n">
        <v>1</v>
      </c>
      <c r="L387" s="33" t="n">
        <v>46434</v>
      </c>
      <c r="M387" s="33" t="n">
        <v>46434</v>
      </c>
      <c r="N387" s="16" t="s">
        <v>2524</v>
      </c>
      <c r="O387" s="16"/>
      <c r="P387" s="16" t="str">
        <f aca="false">IF(AND(L387&lt;=$D$2,M387&gt;=$C$2),"Sí","")</f>
        <v/>
      </c>
      <c r="Q387" s="18" t="str">
        <f aca="false">IF(COUNTIF(LOOKAHEAD!$A$5:$A$604,A387)&gt;0,"En Lookahead",IF(P387="Sí","INCORPORAR",""))</f>
        <v/>
      </c>
    </row>
    <row r="388" customFormat="false" ht="15" hidden="false" customHeight="false" outlineLevel="0" collapsed="false">
      <c r="A388" s="16" t="s">
        <v>2525</v>
      </c>
      <c r="B388" s="16" t="n">
        <v>383</v>
      </c>
      <c r="C388" s="16" t="s">
        <v>2526</v>
      </c>
      <c r="D388" s="16" t="n">
        <v>8</v>
      </c>
      <c r="E388" s="39" t="s">
        <v>1960</v>
      </c>
      <c r="F388" s="16" t="s">
        <v>1285</v>
      </c>
      <c r="G388" s="16" t="s">
        <v>322</v>
      </c>
      <c r="H388" s="16" t="s">
        <v>2225</v>
      </c>
      <c r="I388" s="16" t="s">
        <v>68</v>
      </c>
      <c r="J388" s="16" t="s">
        <v>1954</v>
      </c>
      <c r="K388" s="32" t="n">
        <v>8</v>
      </c>
      <c r="L388" s="33" t="n">
        <v>46426</v>
      </c>
      <c r="M388" s="33" t="n">
        <v>46433</v>
      </c>
      <c r="N388" s="16" t="s">
        <v>2527</v>
      </c>
      <c r="O388" s="16"/>
      <c r="P388" s="16" t="str">
        <f aca="false">IF(AND(L388&lt;=$D$2,M388&gt;=$C$2),"Sí","")</f>
        <v/>
      </c>
      <c r="Q388" s="18" t="str">
        <f aca="false">IF(COUNTIF(LOOKAHEAD!$A$5:$A$604,A388)&gt;0,"En Lookahead",IF(P388="Sí","INCORPORAR",""))</f>
        <v/>
      </c>
    </row>
    <row r="389" customFormat="false" ht="15" hidden="false" customHeight="false" outlineLevel="0" collapsed="false">
      <c r="A389" s="16" t="s">
        <v>2528</v>
      </c>
      <c r="B389" s="16" t="n">
        <v>384</v>
      </c>
      <c r="C389" s="16" t="s">
        <v>2529</v>
      </c>
      <c r="D389" s="16" t="n">
        <v>8</v>
      </c>
      <c r="E389" s="39" t="s">
        <v>1932</v>
      </c>
      <c r="F389" s="16" t="s">
        <v>1285</v>
      </c>
      <c r="G389" s="16" t="s">
        <v>322</v>
      </c>
      <c r="H389" s="16" t="s">
        <v>2225</v>
      </c>
      <c r="I389" s="16" t="s">
        <v>68</v>
      </c>
      <c r="J389" s="16" t="s">
        <v>1954</v>
      </c>
      <c r="K389" s="32" t="n">
        <v>5</v>
      </c>
      <c r="L389" s="33" t="n">
        <v>46421</v>
      </c>
      <c r="M389" s="33" t="n">
        <v>46425</v>
      </c>
      <c r="N389" s="16" t="s">
        <v>2530</v>
      </c>
      <c r="O389" s="16"/>
      <c r="P389" s="16" t="str">
        <f aca="false">IF(AND(L389&lt;=$D$2,M389&gt;=$C$2),"Sí","")</f>
        <v/>
      </c>
      <c r="Q389" s="18" t="str">
        <f aca="false">IF(COUNTIF(LOOKAHEAD!$A$5:$A$604,A389)&gt;0,"En Lookahead",IF(P389="Sí","INCORPORAR",""))</f>
        <v/>
      </c>
    </row>
    <row r="390" customFormat="false" ht="15" hidden="false" customHeight="false" outlineLevel="0" collapsed="false">
      <c r="A390" s="16" t="s">
        <v>2531</v>
      </c>
      <c r="B390" s="16" t="n">
        <v>385</v>
      </c>
      <c r="C390" s="16" t="s">
        <v>2532</v>
      </c>
      <c r="D390" s="16" t="n">
        <v>8</v>
      </c>
      <c r="E390" s="39" t="s">
        <v>1602</v>
      </c>
      <c r="F390" s="16" t="s">
        <v>1285</v>
      </c>
      <c r="G390" s="16" t="s">
        <v>322</v>
      </c>
      <c r="H390" s="16" t="s">
        <v>2225</v>
      </c>
      <c r="I390" s="16" t="s">
        <v>68</v>
      </c>
      <c r="J390" s="16" t="s">
        <v>1954</v>
      </c>
      <c r="K390" s="32" t="n">
        <v>1</v>
      </c>
      <c r="L390" s="33" t="n">
        <v>46435</v>
      </c>
      <c r="M390" s="33" t="n">
        <v>46435</v>
      </c>
      <c r="N390" s="16" t="s">
        <v>2533</v>
      </c>
      <c r="O390" s="16"/>
      <c r="P390" s="16" t="str">
        <f aca="false">IF(AND(L390&lt;=$D$2,M390&gt;=$C$2),"Sí","")</f>
        <v/>
      </c>
      <c r="Q390" s="18" t="str">
        <f aca="false">IF(COUNTIF(LOOKAHEAD!$A$5:$A$604,A390)&gt;0,"En Lookahead",IF(P390="Sí","INCORPORAR",""))</f>
        <v/>
      </c>
    </row>
    <row r="391" customFormat="false" ht="15" hidden="false" customHeight="false" outlineLevel="0" collapsed="false">
      <c r="A391" s="13" t="s">
        <v>2534</v>
      </c>
      <c r="B391" s="13" t="n">
        <v>386</v>
      </c>
      <c r="C391" s="13" t="s">
        <v>2535</v>
      </c>
      <c r="D391" s="13" t="n">
        <v>7</v>
      </c>
      <c r="E391" s="38" t="s">
        <v>2536</v>
      </c>
      <c r="F391" s="13" t="s">
        <v>1298</v>
      </c>
      <c r="G391" s="13" t="s">
        <v>322</v>
      </c>
      <c r="H391" s="13" t="s">
        <v>2225</v>
      </c>
      <c r="I391" s="13" t="s">
        <v>68</v>
      </c>
      <c r="J391" s="13" t="s">
        <v>2491</v>
      </c>
      <c r="K391" s="30" t="n">
        <v>7</v>
      </c>
      <c r="L391" s="31" t="n">
        <v>46496</v>
      </c>
      <c r="M391" s="31" t="n">
        <v>46502</v>
      </c>
      <c r="N391" s="13"/>
      <c r="O391" s="13"/>
      <c r="P391" s="13"/>
      <c r="Q391" s="13"/>
    </row>
    <row r="392" customFormat="false" ht="15" hidden="false" customHeight="false" outlineLevel="0" collapsed="false">
      <c r="A392" s="16" t="s">
        <v>2537</v>
      </c>
      <c r="B392" s="16" t="n">
        <v>387</v>
      </c>
      <c r="C392" s="16" t="s">
        <v>2538</v>
      </c>
      <c r="D392" s="16" t="n">
        <v>8</v>
      </c>
      <c r="E392" s="39" t="s">
        <v>2539</v>
      </c>
      <c r="F392" s="16" t="s">
        <v>1285</v>
      </c>
      <c r="G392" s="16" t="s">
        <v>322</v>
      </c>
      <c r="H392" s="16" t="s">
        <v>2225</v>
      </c>
      <c r="I392" s="16" t="s">
        <v>68</v>
      </c>
      <c r="J392" s="16" t="s">
        <v>2536</v>
      </c>
      <c r="K392" s="32" t="n">
        <v>1</v>
      </c>
      <c r="L392" s="33" t="n">
        <v>46501</v>
      </c>
      <c r="M392" s="33" t="n">
        <v>46501</v>
      </c>
      <c r="N392" s="16" t="s">
        <v>2540</v>
      </c>
      <c r="O392" s="16"/>
      <c r="P392" s="16" t="str">
        <f aca="false">IF(AND(L392&lt;=$D$2,M392&gt;=$C$2),"Sí","")</f>
        <v/>
      </c>
      <c r="Q392" s="18" t="str">
        <f aca="false">IF(COUNTIF(LOOKAHEAD!$A$5:$A$604,A392)&gt;0,"En Lookahead",IF(P392="Sí","INCORPORAR",""))</f>
        <v/>
      </c>
    </row>
    <row r="393" customFormat="false" ht="15" hidden="false" customHeight="false" outlineLevel="0" collapsed="false">
      <c r="A393" s="16" t="s">
        <v>2541</v>
      </c>
      <c r="B393" s="16" t="n">
        <v>388</v>
      </c>
      <c r="C393" s="16" t="s">
        <v>2542</v>
      </c>
      <c r="D393" s="16" t="n">
        <v>8</v>
      </c>
      <c r="E393" s="39" t="s">
        <v>2543</v>
      </c>
      <c r="F393" s="16" t="s">
        <v>1285</v>
      </c>
      <c r="G393" s="16" t="s">
        <v>322</v>
      </c>
      <c r="H393" s="16" t="s">
        <v>2225</v>
      </c>
      <c r="I393" s="16" t="s">
        <v>68</v>
      </c>
      <c r="J393" s="16" t="s">
        <v>2536</v>
      </c>
      <c r="K393" s="32" t="n">
        <v>3</v>
      </c>
      <c r="L393" s="33" t="n">
        <v>46498</v>
      </c>
      <c r="M393" s="33" t="n">
        <v>46500</v>
      </c>
      <c r="N393" s="16" t="s">
        <v>2544</v>
      </c>
      <c r="O393" s="16"/>
      <c r="P393" s="16" t="str">
        <f aca="false">IF(AND(L393&lt;=$D$2,M393&gt;=$C$2),"Sí","")</f>
        <v/>
      </c>
      <c r="Q393" s="18" t="str">
        <f aca="false">IF(COUNTIF(LOOKAHEAD!$A$5:$A$604,A393)&gt;0,"En Lookahead",IF(P393="Sí","INCORPORAR",""))</f>
        <v/>
      </c>
    </row>
    <row r="394" customFormat="false" ht="15" hidden="false" customHeight="false" outlineLevel="0" collapsed="false">
      <c r="A394" s="16" t="s">
        <v>2545</v>
      </c>
      <c r="B394" s="16" t="n">
        <v>389</v>
      </c>
      <c r="C394" s="16" t="s">
        <v>2546</v>
      </c>
      <c r="D394" s="16" t="n">
        <v>8</v>
      </c>
      <c r="E394" s="39" t="s">
        <v>1932</v>
      </c>
      <c r="F394" s="16" t="s">
        <v>1285</v>
      </c>
      <c r="G394" s="16" t="s">
        <v>322</v>
      </c>
      <c r="H394" s="16" t="s">
        <v>2225</v>
      </c>
      <c r="I394" s="16" t="s">
        <v>68</v>
      </c>
      <c r="J394" s="16" t="s">
        <v>2536</v>
      </c>
      <c r="K394" s="32" t="n">
        <v>2</v>
      </c>
      <c r="L394" s="33" t="n">
        <v>46496</v>
      </c>
      <c r="M394" s="33" t="n">
        <v>46497</v>
      </c>
      <c r="N394" s="16" t="s">
        <v>2547</v>
      </c>
      <c r="O394" s="16"/>
      <c r="P394" s="16" t="str">
        <f aca="false">IF(AND(L394&lt;=$D$2,M394&gt;=$C$2),"Sí","")</f>
        <v/>
      </c>
      <c r="Q394" s="18" t="str">
        <f aca="false">IF(COUNTIF(LOOKAHEAD!$A$5:$A$604,A394)&gt;0,"En Lookahead",IF(P394="Sí","INCORPORAR",""))</f>
        <v/>
      </c>
    </row>
    <row r="395" customFormat="false" ht="15" hidden="false" customHeight="false" outlineLevel="0" collapsed="false">
      <c r="A395" s="16" t="s">
        <v>2548</v>
      </c>
      <c r="B395" s="16" t="n">
        <v>390</v>
      </c>
      <c r="C395" s="16" t="s">
        <v>2549</v>
      </c>
      <c r="D395" s="16" t="n">
        <v>8</v>
      </c>
      <c r="E395" s="39" t="s">
        <v>1602</v>
      </c>
      <c r="F395" s="16" t="s">
        <v>1285</v>
      </c>
      <c r="G395" s="16" t="s">
        <v>322</v>
      </c>
      <c r="H395" s="16" t="s">
        <v>2225</v>
      </c>
      <c r="I395" s="16" t="s">
        <v>68</v>
      </c>
      <c r="J395" s="16" t="s">
        <v>2536</v>
      </c>
      <c r="K395" s="32" t="n">
        <v>1</v>
      </c>
      <c r="L395" s="33" t="n">
        <v>46502</v>
      </c>
      <c r="M395" s="33" t="n">
        <v>46502</v>
      </c>
      <c r="N395" s="16" t="s">
        <v>2550</v>
      </c>
      <c r="O395" s="16"/>
      <c r="P395" s="16" t="str">
        <f aca="false">IF(AND(L395&lt;=$D$2,M395&gt;=$C$2),"Sí","")</f>
        <v/>
      </c>
      <c r="Q395" s="18" t="str">
        <f aca="false">IF(COUNTIF(LOOKAHEAD!$A$5:$A$604,A395)&gt;0,"En Lookahead",IF(P395="Sí","INCORPORAR",""))</f>
        <v/>
      </c>
    </row>
    <row r="396" customFormat="false" ht="15" hidden="false" customHeight="false" outlineLevel="0" collapsed="false">
      <c r="A396" s="13" t="s">
        <v>2551</v>
      </c>
      <c r="B396" s="13" t="n">
        <v>391</v>
      </c>
      <c r="C396" s="13" t="s">
        <v>2552</v>
      </c>
      <c r="D396" s="13" t="n">
        <v>6</v>
      </c>
      <c r="E396" s="36" t="s">
        <v>1853</v>
      </c>
      <c r="F396" s="13" t="s">
        <v>1298</v>
      </c>
      <c r="G396" s="13" t="s">
        <v>322</v>
      </c>
      <c r="H396" s="13" t="s">
        <v>2225</v>
      </c>
      <c r="I396" s="13" t="s">
        <v>68</v>
      </c>
      <c r="J396" s="13" t="s">
        <v>1623</v>
      </c>
      <c r="K396" s="30" t="n">
        <v>356</v>
      </c>
      <c r="L396" s="31" t="n">
        <v>46067</v>
      </c>
      <c r="M396" s="31" t="n">
        <v>46502</v>
      </c>
      <c r="N396" s="13"/>
      <c r="O396" s="13"/>
      <c r="P396" s="13"/>
      <c r="Q396" s="13"/>
    </row>
    <row r="397" customFormat="false" ht="15" hidden="false" customHeight="false" outlineLevel="0" collapsed="false">
      <c r="A397" s="13" t="s">
        <v>2553</v>
      </c>
      <c r="B397" s="13" t="n">
        <v>392</v>
      </c>
      <c r="C397" s="13" t="s">
        <v>2554</v>
      </c>
      <c r="D397" s="13" t="n">
        <v>7</v>
      </c>
      <c r="E397" s="38" t="s">
        <v>1856</v>
      </c>
      <c r="F397" s="13" t="s">
        <v>1298</v>
      </c>
      <c r="G397" s="13" t="s">
        <v>322</v>
      </c>
      <c r="H397" s="13" t="s">
        <v>2225</v>
      </c>
      <c r="I397" s="13" t="s">
        <v>68</v>
      </c>
      <c r="J397" s="13" t="s">
        <v>1853</v>
      </c>
      <c r="K397" s="30" t="n">
        <v>43</v>
      </c>
      <c r="L397" s="31" t="n">
        <v>46067</v>
      </c>
      <c r="M397" s="31" t="n">
        <v>46109</v>
      </c>
      <c r="N397" s="13"/>
      <c r="O397" s="13"/>
      <c r="P397" s="13"/>
      <c r="Q397" s="13"/>
    </row>
    <row r="398" customFormat="false" ht="15" hidden="false" customHeight="false" outlineLevel="0" collapsed="false">
      <c r="A398" s="16" t="s">
        <v>2555</v>
      </c>
      <c r="B398" s="16" t="n">
        <v>393</v>
      </c>
      <c r="C398" s="16" t="s">
        <v>2556</v>
      </c>
      <c r="D398" s="16" t="n">
        <v>8</v>
      </c>
      <c r="E398" s="39" t="s">
        <v>1859</v>
      </c>
      <c r="F398" s="16" t="s">
        <v>1285</v>
      </c>
      <c r="G398" s="16" t="s">
        <v>322</v>
      </c>
      <c r="H398" s="16" t="s">
        <v>2225</v>
      </c>
      <c r="I398" s="16" t="s">
        <v>68</v>
      </c>
      <c r="J398" s="16" t="s">
        <v>1856</v>
      </c>
      <c r="K398" s="32" t="n">
        <v>1</v>
      </c>
      <c r="L398" s="33" t="n">
        <v>46103</v>
      </c>
      <c r="M398" s="33" t="n">
        <v>46103</v>
      </c>
      <c r="N398" s="16" t="s">
        <v>2557</v>
      </c>
      <c r="O398" s="16"/>
      <c r="P398" s="16" t="str">
        <f aca="false">IF(AND(L398&lt;=$D$2,M398&gt;=$C$2),"Sí","")</f>
        <v/>
      </c>
      <c r="Q398" s="18" t="str">
        <f aca="false">IF(COUNTIF(LOOKAHEAD!$A$5:$A$604,A398)&gt;0,"En Lookahead",IF(P398="Sí","INCORPORAR",""))</f>
        <v/>
      </c>
    </row>
    <row r="399" customFormat="false" ht="15" hidden="false" customHeight="false" outlineLevel="0" collapsed="false">
      <c r="A399" s="16" t="s">
        <v>2558</v>
      </c>
      <c r="B399" s="16" t="n">
        <v>394</v>
      </c>
      <c r="C399" s="16" t="s">
        <v>2559</v>
      </c>
      <c r="D399" s="16" t="n">
        <v>8</v>
      </c>
      <c r="E399" s="39" t="s">
        <v>1863</v>
      </c>
      <c r="F399" s="16" t="s">
        <v>1285</v>
      </c>
      <c r="G399" s="16" t="s">
        <v>322</v>
      </c>
      <c r="H399" s="16" t="s">
        <v>2225</v>
      </c>
      <c r="I399" s="16" t="s">
        <v>68</v>
      </c>
      <c r="J399" s="16" t="s">
        <v>1856</v>
      </c>
      <c r="K399" s="32" t="n">
        <v>20</v>
      </c>
      <c r="L399" s="33" t="n">
        <v>46067</v>
      </c>
      <c r="M399" s="33" t="n">
        <v>46086</v>
      </c>
      <c r="N399" s="16" t="s">
        <v>2560</v>
      </c>
      <c r="O399" s="16"/>
      <c r="P399" s="16" t="str">
        <f aca="false">IF(AND(L399&lt;=$D$2,M399&gt;=$C$2),"Sí","")</f>
        <v/>
      </c>
      <c r="Q399" s="18" t="str">
        <f aca="false">IF(COUNTIF(LOOKAHEAD!$A$5:$A$604,A399)&gt;0,"En Lookahead",IF(P399="Sí","INCORPORAR",""))</f>
        <v/>
      </c>
    </row>
    <row r="400" customFormat="false" ht="15" hidden="false" customHeight="false" outlineLevel="0" collapsed="false">
      <c r="A400" s="16" t="s">
        <v>2561</v>
      </c>
      <c r="B400" s="16" t="n">
        <v>395</v>
      </c>
      <c r="C400" s="16" t="s">
        <v>2562</v>
      </c>
      <c r="D400" s="16" t="n">
        <v>8</v>
      </c>
      <c r="E400" s="39" t="s">
        <v>1867</v>
      </c>
      <c r="F400" s="16" t="s">
        <v>1285</v>
      </c>
      <c r="G400" s="16" t="s">
        <v>322</v>
      </c>
      <c r="H400" s="16" t="s">
        <v>2225</v>
      </c>
      <c r="I400" s="16" t="s">
        <v>68</v>
      </c>
      <c r="J400" s="16" t="s">
        <v>1856</v>
      </c>
      <c r="K400" s="32" t="n">
        <v>13</v>
      </c>
      <c r="L400" s="33" t="n">
        <v>46090</v>
      </c>
      <c r="M400" s="33" t="n">
        <v>46102</v>
      </c>
      <c r="N400" s="16" t="s">
        <v>2563</v>
      </c>
      <c r="O400" s="16"/>
      <c r="P400" s="16" t="str">
        <f aca="false">IF(AND(L400&lt;=$D$2,M400&gt;=$C$2),"Sí","")</f>
        <v/>
      </c>
      <c r="Q400" s="18" t="str">
        <f aca="false">IF(COUNTIF(LOOKAHEAD!$A$5:$A$604,A400)&gt;0,"En Lookahead",IF(P400="Sí","INCORPORAR",""))</f>
        <v/>
      </c>
    </row>
    <row r="401" customFormat="false" ht="15" hidden="false" customHeight="false" outlineLevel="0" collapsed="false">
      <c r="A401" s="16" t="s">
        <v>2564</v>
      </c>
      <c r="B401" s="16" t="n">
        <v>396</v>
      </c>
      <c r="C401" s="16" t="s">
        <v>2565</v>
      </c>
      <c r="D401" s="16" t="n">
        <v>8</v>
      </c>
      <c r="E401" s="39" t="s">
        <v>1871</v>
      </c>
      <c r="F401" s="16" t="s">
        <v>1285</v>
      </c>
      <c r="G401" s="16" t="s">
        <v>322</v>
      </c>
      <c r="H401" s="16" t="s">
        <v>2225</v>
      </c>
      <c r="I401" s="16" t="s">
        <v>68</v>
      </c>
      <c r="J401" s="16" t="s">
        <v>1856</v>
      </c>
      <c r="K401" s="32" t="n">
        <v>3</v>
      </c>
      <c r="L401" s="33" t="n">
        <v>46087</v>
      </c>
      <c r="M401" s="33" t="n">
        <v>46089</v>
      </c>
      <c r="N401" s="16" t="s">
        <v>2566</v>
      </c>
      <c r="O401" s="16"/>
      <c r="P401" s="16" t="str">
        <f aca="false">IF(AND(L401&lt;=$D$2,M401&gt;=$C$2),"Sí","")</f>
        <v/>
      </c>
      <c r="Q401" s="18" t="str">
        <f aca="false">IF(COUNTIF(LOOKAHEAD!$A$5:$A$604,A401)&gt;0,"En Lookahead",IF(P401="Sí","INCORPORAR",""))</f>
        <v/>
      </c>
    </row>
    <row r="402" customFormat="false" ht="15" hidden="false" customHeight="false" outlineLevel="0" collapsed="false">
      <c r="A402" s="16" t="s">
        <v>2567</v>
      </c>
      <c r="B402" s="16" t="n">
        <v>397</v>
      </c>
      <c r="C402" s="16" t="s">
        <v>2568</v>
      </c>
      <c r="D402" s="16" t="n">
        <v>8</v>
      </c>
      <c r="E402" s="39" t="s">
        <v>1602</v>
      </c>
      <c r="F402" s="16" t="s">
        <v>1285</v>
      </c>
      <c r="G402" s="16" t="s">
        <v>322</v>
      </c>
      <c r="H402" s="16" t="s">
        <v>2225</v>
      </c>
      <c r="I402" s="16" t="s">
        <v>68</v>
      </c>
      <c r="J402" s="16" t="s">
        <v>1856</v>
      </c>
      <c r="K402" s="32" t="n">
        <v>6</v>
      </c>
      <c r="L402" s="33" t="n">
        <v>46104</v>
      </c>
      <c r="M402" s="33" t="n">
        <v>46109</v>
      </c>
      <c r="N402" s="16" t="s">
        <v>2569</v>
      </c>
      <c r="O402" s="16"/>
      <c r="P402" s="16" t="str">
        <f aca="false">IF(AND(L402&lt;=$D$2,M402&gt;=$C$2),"Sí","")</f>
        <v/>
      </c>
      <c r="Q402" s="18" t="str">
        <f aca="false">IF(COUNTIF(LOOKAHEAD!$A$5:$A$604,A402)&gt;0,"En Lookahead",IF(P402="Sí","INCORPORAR",""))</f>
        <v/>
      </c>
    </row>
    <row r="403" customFormat="false" ht="15" hidden="false" customHeight="false" outlineLevel="0" collapsed="false">
      <c r="A403" s="13" t="s">
        <v>2570</v>
      </c>
      <c r="B403" s="13" t="n">
        <v>398</v>
      </c>
      <c r="C403" s="13" t="s">
        <v>2571</v>
      </c>
      <c r="D403" s="13" t="n">
        <v>7</v>
      </c>
      <c r="E403" s="38" t="s">
        <v>1878</v>
      </c>
      <c r="F403" s="13" t="s">
        <v>1298</v>
      </c>
      <c r="G403" s="13" t="s">
        <v>322</v>
      </c>
      <c r="H403" s="13" t="s">
        <v>2225</v>
      </c>
      <c r="I403" s="13" t="s">
        <v>68</v>
      </c>
      <c r="J403" s="13" t="s">
        <v>1853</v>
      </c>
      <c r="K403" s="30" t="n">
        <v>38</v>
      </c>
      <c r="L403" s="31" t="n">
        <v>46329</v>
      </c>
      <c r="M403" s="31" t="n">
        <v>46366</v>
      </c>
      <c r="N403" s="13"/>
      <c r="O403" s="13"/>
      <c r="P403" s="13"/>
      <c r="Q403" s="13"/>
    </row>
    <row r="404" customFormat="false" ht="15" hidden="false" customHeight="false" outlineLevel="0" collapsed="false">
      <c r="A404" s="16" t="s">
        <v>2572</v>
      </c>
      <c r="B404" s="16" t="n">
        <v>399</v>
      </c>
      <c r="C404" s="16" t="s">
        <v>2573</v>
      </c>
      <c r="D404" s="16" t="n">
        <v>8</v>
      </c>
      <c r="E404" s="39" t="s">
        <v>1881</v>
      </c>
      <c r="F404" s="16" t="s">
        <v>1285</v>
      </c>
      <c r="G404" s="16" t="s">
        <v>322</v>
      </c>
      <c r="H404" s="16" t="s">
        <v>2225</v>
      </c>
      <c r="I404" s="16" t="s">
        <v>68</v>
      </c>
      <c r="J404" s="16" t="s">
        <v>1878</v>
      </c>
      <c r="K404" s="32" t="n">
        <v>1</v>
      </c>
      <c r="L404" s="33" t="n">
        <v>46360</v>
      </c>
      <c r="M404" s="33" t="n">
        <v>46360</v>
      </c>
      <c r="N404" s="16" t="s">
        <v>2574</v>
      </c>
      <c r="O404" s="16"/>
      <c r="P404" s="16" t="str">
        <f aca="false">IF(AND(L404&lt;=$D$2,M404&gt;=$C$2),"Sí","")</f>
        <v/>
      </c>
      <c r="Q404" s="18" t="str">
        <f aca="false">IF(COUNTIF(LOOKAHEAD!$A$5:$A$604,A404)&gt;0,"En Lookahead",IF(P404="Sí","INCORPORAR",""))</f>
        <v/>
      </c>
    </row>
    <row r="405" customFormat="false" ht="15" hidden="false" customHeight="false" outlineLevel="0" collapsed="false">
      <c r="A405" s="16" t="s">
        <v>2575</v>
      </c>
      <c r="B405" s="16" t="n">
        <v>400</v>
      </c>
      <c r="C405" s="16" t="s">
        <v>2576</v>
      </c>
      <c r="D405" s="16" t="n">
        <v>8</v>
      </c>
      <c r="E405" s="39" t="s">
        <v>1885</v>
      </c>
      <c r="F405" s="16" t="s">
        <v>1285</v>
      </c>
      <c r="G405" s="16" t="s">
        <v>322</v>
      </c>
      <c r="H405" s="16" t="s">
        <v>2225</v>
      </c>
      <c r="I405" s="16" t="s">
        <v>68</v>
      </c>
      <c r="J405" s="16" t="s">
        <v>1878</v>
      </c>
      <c r="K405" s="32" t="n">
        <v>15</v>
      </c>
      <c r="L405" s="33" t="n">
        <v>46329</v>
      </c>
      <c r="M405" s="33" t="n">
        <v>46343</v>
      </c>
      <c r="N405" s="16" t="s">
        <v>2577</v>
      </c>
      <c r="O405" s="16"/>
      <c r="P405" s="16" t="str">
        <f aca="false">IF(AND(L405&lt;=$D$2,M405&gt;=$C$2),"Sí","")</f>
        <v>Sí</v>
      </c>
      <c r="Q405" s="18" t="str">
        <f aca="false">IF(COUNTIF(LOOKAHEAD!$A$5:$A$604,A405)&gt;0,"En Lookahead",IF(P405="Sí","INCORPORAR",""))</f>
        <v>En Lookahead</v>
      </c>
    </row>
    <row r="406" customFormat="false" ht="15" hidden="false" customHeight="false" outlineLevel="0" collapsed="false">
      <c r="A406" s="16" t="s">
        <v>2578</v>
      </c>
      <c r="B406" s="16" t="n">
        <v>401</v>
      </c>
      <c r="C406" s="16" t="s">
        <v>2579</v>
      </c>
      <c r="D406" s="16" t="n">
        <v>8</v>
      </c>
      <c r="E406" s="39" t="s">
        <v>1867</v>
      </c>
      <c r="F406" s="16" t="s">
        <v>1285</v>
      </c>
      <c r="G406" s="16" t="s">
        <v>322</v>
      </c>
      <c r="H406" s="16" t="s">
        <v>2225</v>
      </c>
      <c r="I406" s="16" t="s">
        <v>68</v>
      </c>
      <c r="J406" s="16" t="s">
        <v>1878</v>
      </c>
      <c r="K406" s="32" t="n">
        <v>13</v>
      </c>
      <c r="L406" s="33" t="n">
        <v>46347</v>
      </c>
      <c r="M406" s="33" t="n">
        <v>46359</v>
      </c>
      <c r="N406" s="16" t="s">
        <v>2580</v>
      </c>
      <c r="O406" s="16"/>
      <c r="P406" s="16" t="str">
        <f aca="false">IF(AND(L406&lt;=$D$2,M406&gt;=$C$2),"Sí","")</f>
        <v/>
      </c>
      <c r="Q406" s="18" t="str">
        <f aca="false">IF(COUNTIF(LOOKAHEAD!$A$5:$A$604,A406)&gt;0,"En Lookahead",IF(P406="Sí","INCORPORAR",""))</f>
        <v/>
      </c>
    </row>
    <row r="407" customFormat="false" ht="15" hidden="false" customHeight="false" outlineLevel="0" collapsed="false">
      <c r="A407" s="16" t="s">
        <v>2581</v>
      </c>
      <c r="B407" s="16" t="n">
        <v>402</v>
      </c>
      <c r="C407" s="16" t="s">
        <v>2582</v>
      </c>
      <c r="D407" s="16" t="n">
        <v>8</v>
      </c>
      <c r="E407" s="39" t="s">
        <v>1892</v>
      </c>
      <c r="F407" s="16" t="s">
        <v>1285</v>
      </c>
      <c r="G407" s="16" t="s">
        <v>322</v>
      </c>
      <c r="H407" s="16" t="s">
        <v>2225</v>
      </c>
      <c r="I407" s="16" t="s">
        <v>68</v>
      </c>
      <c r="J407" s="16" t="s">
        <v>1878</v>
      </c>
      <c r="K407" s="32" t="n">
        <v>3</v>
      </c>
      <c r="L407" s="33" t="n">
        <v>46344</v>
      </c>
      <c r="M407" s="33" t="n">
        <v>46346</v>
      </c>
      <c r="N407" s="16" t="s">
        <v>2583</v>
      </c>
      <c r="O407" s="16"/>
      <c r="P407" s="16" t="str">
        <f aca="false">IF(AND(L407&lt;=$D$2,M407&gt;=$C$2),"Sí","")</f>
        <v/>
      </c>
      <c r="Q407" s="18" t="str">
        <f aca="false">IF(COUNTIF(LOOKAHEAD!$A$5:$A$604,A407)&gt;0,"En Lookahead",IF(P407="Sí","INCORPORAR",""))</f>
        <v/>
      </c>
    </row>
    <row r="408" customFormat="false" ht="15" hidden="false" customHeight="false" outlineLevel="0" collapsed="false">
      <c r="A408" s="16" t="s">
        <v>2584</v>
      </c>
      <c r="B408" s="16" t="n">
        <v>403</v>
      </c>
      <c r="C408" s="16" t="s">
        <v>2585</v>
      </c>
      <c r="D408" s="16" t="n">
        <v>8</v>
      </c>
      <c r="E408" s="39" t="s">
        <v>1602</v>
      </c>
      <c r="F408" s="16" t="s">
        <v>1285</v>
      </c>
      <c r="G408" s="16" t="s">
        <v>322</v>
      </c>
      <c r="H408" s="16" t="s">
        <v>2225</v>
      </c>
      <c r="I408" s="16" t="s">
        <v>68</v>
      </c>
      <c r="J408" s="16" t="s">
        <v>1878</v>
      </c>
      <c r="K408" s="32" t="n">
        <v>6</v>
      </c>
      <c r="L408" s="33" t="n">
        <v>46361</v>
      </c>
      <c r="M408" s="33" t="n">
        <v>46366</v>
      </c>
      <c r="N408" s="16" t="s">
        <v>2586</v>
      </c>
      <c r="O408" s="16"/>
      <c r="P408" s="16" t="str">
        <f aca="false">IF(AND(L408&lt;=$D$2,M408&gt;=$C$2),"Sí","")</f>
        <v/>
      </c>
      <c r="Q408" s="18" t="str">
        <f aca="false">IF(COUNTIF(LOOKAHEAD!$A$5:$A$604,A408)&gt;0,"En Lookahead",IF(P408="Sí","INCORPORAR",""))</f>
        <v/>
      </c>
    </row>
    <row r="409" customFormat="false" ht="15" hidden="false" customHeight="false" outlineLevel="0" collapsed="false">
      <c r="A409" s="13" t="s">
        <v>2587</v>
      </c>
      <c r="B409" s="13" t="n">
        <v>404</v>
      </c>
      <c r="C409" s="13" t="s">
        <v>2588</v>
      </c>
      <c r="D409" s="13" t="n">
        <v>7</v>
      </c>
      <c r="E409" s="38" t="s">
        <v>1899</v>
      </c>
      <c r="F409" s="13" t="s">
        <v>1298</v>
      </c>
      <c r="G409" s="13" t="s">
        <v>322</v>
      </c>
      <c r="H409" s="13" t="s">
        <v>2225</v>
      </c>
      <c r="I409" s="13" t="s">
        <v>68</v>
      </c>
      <c r="J409" s="13" t="s">
        <v>1853</v>
      </c>
      <c r="K409" s="30" t="n">
        <v>76</v>
      </c>
      <c r="L409" s="31" t="n">
        <v>46421</v>
      </c>
      <c r="M409" s="31" t="n">
        <v>46496</v>
      </c>
      <c r="N409" s="13"/>
      <c r="O409" s="13"/>
      <c r="P409" s="13"/>
      <c r="Q409" s="13"/>
    </row>
    <row r="410" customFormat="false" ht="15" hidden="false" customHeight="false" outlineLevel="0" collapsed="false">
      <c r="A410" s="16" t="s">
        <v>2589</v>
      </c>
      <c r="B410" s="16" t="n">
        <v>405</v>
      </c>
      <c r="C410" s="16" t="s">
        <v>2590</v>
      </c>
      <c r="D410" s="16" t="n">
        <v>8</v>
      </c>
      <c r="E410" s="39" t="s">
        <v>1902</v>
      </c>
      <c r="F410" s="16" t="s">
        <v>1285</v>
      </c>
      <c r="G410" s="16" t="s">
        <v>322</v>
      </c>
      <c r="H410" s="16" t="s">
        <v>2225</v>
      </c>
      <c r="I410" s="16" t="s">
        <v>68</v>
      </c>
      <c r="J410" s="16" t="s">
        <v>1899</v>
      </c>
      <c r="K410" s="32" t="n">
        <v>1</v>
      </c>
      <c r="L410" s="33" t="n">
        <v>46490</v>
      </c>
      <c r="M410" s="33" t="n">
        <v>46490</v>
      </c>
      <c r="N410" s="16" t="s">
        <v>2591</v>
      </c>
      <c r="O410" s="16"/>
      <c r="P410" s="16" t="str">
        <f aca="false">IF(AND(L410&lt;=$D$2,M410&gt;=$C$2),"Sí","")</f>
        <v/>
      </c>
      <c r="Q410" s="18" t="str">
        <f aca="false">IF(COUNTIF(LOOKAHEAD!$A$5:$A$604,A410)&gt;0,"En Lookahead",IF(P410="Sí","INCORPORAR",""))</f>
        <v/>
      </c>
    </row>
    <row r="411" customFormat="false" ht="15" hidden="false" customHeight="false" outlineLevel="0" collapsed="false">
      <c r="A411" s="16" t="s">
        <v>2592</v>
      </c>
      <c r="B411" s="16" t="n">
        <v>406</v>
      </c>
      <c r="C411" s="16" t="s">
        <v>2593</v>
      </c>
      <c r="D411" s="16" t="n">
        <v>8</v>
      </c>
      <c r="E411" s="39" t="s">
        <v>1906</v>
      </c>
      <c r="F411" s="16" t="s">
        <v>1285</v>
      </c>
      <c r="G411" s="16" t="s">
        <v>322</v>
      </c>
      <c r="H411" s="16" t="s">
        <v>2225</v>
      </c>
      <c r="I411" s="16" t="s">
        <v>68</v>
      </c>
      <c r="J411" s="16" t="s">
        <v>1899</v>
      </c>
      <c r="K411" s="32" t="n">
        <v>54</v>
      </c>
      <c r="L411" s="33" t="n">
        <v>46421</v>
      </c>
      <c r="M411" s="33" t="n">
        <v>46474</v>
      </c>
      <c r="N411" s="16" t="s">
        <v>2594</v>
      </c>
      <c r="O411" s="16"/>
      <c r="P411" s="16" t="str">
        <f aca="false">IF(AND(L411&lt;=$D$2,M411&gt;=$C$2),"Sí","")</f>
        <v/>
      </c>
      <c r="Q411" s="18" t="str">
        <f aca="false">IF(COUNTIF(LOOKAHEAD!$A$5:$A$604,A411)&gt;0,"En Lookahead",IF(P411="Sí","INCORPORAR",""))</f>
        <v/>
      </c>
    </row>
    <row r="412" customFormat="false" ht="15" hidden="false" customHeight="false" outlineLevel="0" collapsed="false">
      <c r="A412" s="16" t="s">
        <v>2595</v>
      </c>
      <c r="B412" s="16" t="n">
        <v>407</v>
      </c>
      <c r="C412" s="16" t="s">
        <v>2596</v>
      </c>
      <c r="D412" s="16" t="n">
        <v>8</v>
      </c>
      <c r="E412" s="39" t="s">
        <v>1867</v>
      </c>
      <c r="F412" s="16" t="s">
        <v>1285</v>
      </c>
      <c r="G412" s="16" t="s">
        <v>322</v>
      </c>
      <c r="H412" s="16" t="s">
        <v>2225</v>
      </c>
      <c r="I412" s="16" t="s">
        <v>68</v>
      </c>
      <c r="J412" s="16" t="s">
        <v>1899</v>
      </c>
      <c r="K412" s="32" t="n">
        <v>12</v>
      </c>
      <c r="L412" s="33" t="n">
        <v>46478</v>
      </c>
      <c r="M412" s="33" t="n">
        <v>46489</v>
      </c>
      <c r="N412" s="16" t="s">
        <v>2597</v>
      </c>
      <c r="O412" s="16"/>
      <c r="P412" s="16" t="str">
        <f aca="false">IF(AND(L412&lt;=$D$2,M412&gt;=$C$2),"Sí","")</f>
        <v/>
      </c>
      <c r="Q412" s="18" t="str">
        <f aca="false">IF(COUNTIF(LOOKAHEAD!$A$5:$A$604,A412)&gt;0,"En Lookahead",IF(P412="Sí","INCORPORAR",""))</f>
        <v/>
      </c>
    </row>
    <row r="413" customFormat="false" ht="15" hidden="false" customHeight="false" outlineLevel="0" collapsed="false">
      <c r="A413" s="16" t="s">
        <v>2598</v>
      </c>
      <c r="B413" s="16" t="n">
        <v>408</v>
      </c>
      <c r="C413" s="16" t="s">
        <v>2599</v>
      </c>
      <c r="D413" s="16" t="n">
        <v>8</v>
      </c>
      <c r="E413" s="39" t="s">
        <v>1913</v>
      </c>
      <c r="F413" s="16" t="s">
        <v>1285</v>
      </c>
      <c r="G413" s="16" t="s">
        <v>322</v>
      </c>
      <c r="H413" s="16" t="s">
        <v>2225</v>
      </c>
      <c r="I413" s="16" t="s">
        <v>68</v>
      </c>
      <c r="J413" s="16" t="s">
        <v>1899</v>
      </c>
      <c r="K413" s="32" t="n">
        <v>3</v>
      </c>
      <c r="L413" s="33" t="n">
        <v>46475</v>
      </c>
      <c r="M413" s="33" t="n">
        <v>46477</v>
      </c>
      <c r="N413" s="16" t="s">
        <v>2600</v>
      </c>
      <c r="O413" s="16"/>
      <c r="P413" s="16" t="str">
        <f aca="false">IF(AND(L413&lt;=$D$2,M413&gt;=$C$2),"Sí","")</f>
        <v/>
      </c>
      <c r="Q413" s="18" t="str">
        <f aca="false">IF(COUNTIF(LOOKAHEAD!$A$5:$A$604,A413)&gt;0,"En Lookahead",IF(P413="Sí","INCORPORAR",""))</f>
        <v/>
      </c>
    </row>
    <row r="414" customFormat="false" ht="15" hidden="false" customHeight="false" outlineLevel="0" collapsed="false">
      <c r="A414" s="16" t="s">
        <v>2601</v>
      </c>
      <c r="B414" s="16" t="n">
        <v>409</v>
      </c>
      <c r="C414" s="16" t="s">
        <v>2602</v>
      </c>
      <c r="D414" s="16" t="n">
        <v>8</v>
      </c>
      <c r="E414" s="39" t="s">
        <v>1602</v>
      </c>
      <c r="F414" s="16" t="s">
        <v>1285</v>
      </c>
      <c r="G414" s="16" t="s">
        <v>322</v>
      </c>
      <c r="H414" s="16" t="s">
        <v>2225</v>
      </c>
      <c r="I414" s="16" t="s">
        <v>68</v>
      </c>
      <c r="J414" s="16" t="s">
        <v>1899</v>
      </c>
      <c r="K414" s="32" t="n">
        <v>6</v>
      </c>
      <c r="L414" s="33" t="n">
        <v>46491</v>
      </c>
      <c r="M414" s="33" t="n">
        <v>46496</v>
      </c>
      <c r="N414" s="16" t="s">
        <v>2603</v>
      </c>
      <c r="O414" s="16"/>
      <c r="P414" s="16" t="str">
        <f aca="false">IF(AND(L414&lt;=$D$2,M414&gt;=$C$2),"Sí","")</f>
        <v/>
      </c>
      <c r="Q414" s="18" t="str">
        <f aca="false">IF(COUNTIF(LOOKAHEAD!$A$5:$A$604,A414)&gt;0,"En Lookahead",IF(P414="Sí","INCORPORAR",""))</f>
        <v/>
      </c>
    </row>
    <row r="415" customFormat="false" ht="15" hidden="false" customHeight="false" outlineLevel="0" collapsed="false">
      <c r="A415" s="13" t="s">
        <v>2604</v>
      </c>
      <c r="B415" s="13" t="n">
        <v>410</v>
      </c>
      <c r="C415" s="13" t="s">
        <v>2605</v>
      </c>
      <c r="D415" s="13" t="n">
        <v>7</v>
      </c>
      <c r="E415" s="38" t="s">
        <v>2606</v>
      </c>
      <c r="F415" s="13" t="s">
        <v>1298</v>
      </c>
      <c r="G415" s="13" t="s">
        <v>322</v>
      </c>
      <c r="H415" s="13" t="s">
        <v>2225</v>
      </c>
      <c r="I415" s="13" t="s">
        <v>68</v>
      </c>
      <c r="J415" s="13" t="s">
        <v>1853</v>
      </c>
      <c r="K415" s="30" t="n">
        <v>7</v>
      </c>
      <c r="L415" s="31" t="n">
        <v>46496</v>
      </c>
      <c r="M415" s="31" t="n">
        <v>46502</v>
      </c>
      <c r="N415" s="13"/>
      <c r="O415" s="13"/>
      <c r="P415" s="13"/>
      <c r="Q415" s="13"/>
    </row>
    <row r="416" customFormat="false" ht="15" hidden="false" customHeight="false" outlineLevel="0" collapsed="false">
      <c r="A416" s="16" t="s">
        <v>2607</v>
      </c>
      <c r="B416" s="16" t="n">
        <v>411</v>
      </c>
      <c r="C416" s="16" t="s">
        <v>2608</v>
      </c>
      <c r="D416" s="16" t="n">
        <v>8</v>
      </c>
      <c r="E416" s="39" t="s">
        <v>2539</v>
      </c>
      <c r="F416" s="16" t="s">
        <v>1285</v>
      </c>
      <c r="G416" s="16" t="s">
        <v>322</v>
      </c>
      <c r="H416" s="16" t="s">
        <v>2225</v>
      </c>
      <c r="I416" s="16" t="s">
        <v>68</v>
      </c>
      <c r="J416" s="16" t="s">
        <v>2606</v>
      </c>
      <c r="K416" s="32" t="n">
        <v>1</v>
      </c>
      <c r="L416" s="33" t="n">
        <v>46501</v>
      </c>
      <c r="M416" s="33" t="n">
        <v>46501</v>
      </c>
      <c r="N416" s="16" t="s">
        <v>2609</v>
      </c>
      <c r="O416" s="16"/>
      <c r="P416" s="16" t="str">
        <f aca="false">IF(AND(L416&lt;=$D$2,M416&gt;=$C$2),"Sí","")</f>
        <v/>
      </c>
      <c r="Q416" s="18" t="str">
        <f aca="false">IF(COUNTIF(LOOKAHEAD!$A$5:$A$604,A416)&gt;0,"En Lookahead",IF(P416="Sí","INCORPORAR",""))</f>
        <v/>
      </c>
    </row>
    <row r="417" customFormat="false" ht="15" hidden="false" customHeight="false" outlineLevel="0" collapsed="false">
      <c r="A417" s="16" t="s">
        <v>2610</v>
      </c>
      <c r="B417" s="16" t="n">
        <v>412</v>
      </c>
      <c r="C417" s="16" t="s">
        <v>2611</v>
      </c>
      <c r="D417" s="16" t="n">
        <v>8</v>
      </c>
      <c r="E417" s="39" t="s">
        <v>2612</v>
      </c>
      <c r="F417" s="16" t="s">
        <v>1285</v>
      </c>
      <c r="G417" s="16" t="s">
        <v>322</v>
      </c>
      <c r="H417" s="16" t="s">
        <v>2225</v>
      </c>
      <c r="I417" s="16" t="s">
        <v>68</v>
      </c>
      <c r="J417" s="16" t="s">
        <v>2606</v>
      </c>
      <c r="K417" s="32" t="n">
        <v>3</v>
      </c>
      <c r="L417" s="33" t="n">
        <v>46496</v>
      </c>
      <c r="M417" s="33" t="n">
        <v>46498</v>
      </c>
      <c r="N417" s="16" t="s">
        <v>2613</v>
      </c>
      <c r="O417" s="16"/>
      <c r="P417" s="16" t="str">
        <f aca="false">IF(AND(L417&lt;=$D$2,M417&gt;=$C$2),"Sí","")</f>
        <v/>
      </c>
      <c r="Q417" s="18" t="str">
        <f aca="false">IF(COUNTIF(LOOKAHEAD!$A$5:$A$604,A417)&gt;0,"En Lookahead",IF(P417="Sí","INCORPORAR",""))</f>
        <v/>
      </c>
    </row>
    <row r="418" customFormat="false" ht="15" hidden="false" customHeight="false" outlineLevel="0" collapsed="false">
      <c r="A418" s="16" t="s">
        <v>2614</v>
      </c>
      <c r="B418" s="16" t="n">
        <v>413</v>
      </c>
      <c r="C418" s="16" t="s">
        <v>2615</v>
      </c>
      <c r="D418" s="16" t="n">
        <v>8</v>
      </c>
      <c r="E418" s="39" t="s">
        <v>1867</v>
      </c>
      <c r="F418" s="16" t="s">
        <v>1285</v>
      </c>
      <c r="G418" s="16" t="s">
        <v>322</v>
      </c>
      <c r="H418" s="16" t="s">
        <v>2225</v>
      </c>
      <c r="I418" s="16" t="s">
        <v>68</v>
      </c>
      <c r="J418" s="16" t="s">
        <v>2606</v>
      </c>
      <c r="K418" s="32" t="n">
        <v>1</v>
      </c>
      <c r="L418" s="33" t="n">
        <v>46500</v>
      </c>
      <c r="M418" s="33" t="n">
        <v>46500</v>
      </c>
      <c r="N418" s="16" t="s">
        <v>2616</v>
      </c>
      <c r="O418" s="16"/>
      <c r="P418" s="16" t="str">
        <f aca="false">IF(AND(L418&lt;=$D$2,M418&gt;=$C$2),"Sí","")</f>
        <v/>
      </c>
      <c r="Q418" s="18" t="str">
        <f aca="false">IF(COUNTIF(LOOKAHEAD!$A$5:$A$604,A418)&gt;0,"En Lookahead",IF(P418="Sí","INCORPORAR",""))</f>
        <v/>
      </c>
    </row>
    <row r="419" customFormat="false" ht="15" hidden="false" customHeight="false" outlineLevel="0" collapsed="false">
      <c r="A419" s="16" t="s">
        <v>2617</v>
      </c>
      <c r="B419" s="16" t="n">
        <v>414</v>
      </c>
      <c r="C419" s="16" t="s">
        <v>2618</v>
      </c>
      <c r="D419" s="16" t="n">
        <v>8</v>
      </c>
      <c r="E419" s="39" t="s">
        <v>2619</v>
      </c>
      <c r="F419" s="16" t="s">
        <v>1285</v>
      </c>
      <c r="G419" s="16" t="s">
        <v>322</v>
      </c>
      <c r="H419" s="16" t="s">
        <v>2225</v>
      </c>
      <c r="I419" s="16" t="s">
        <v>68</v>
      </c>
      <c r="J419" s="16" t="s">
        <v>2606</v>
      </c>
      <c r="K419" s="32" t="n">
        <v>1</v>
      </c>
      <c r="L419" s="33" t="n">
        <v>46499</v>
      </c>
      <c r="M419" s="33" t="n">
        <v>46499</v>
      </c>
      <c r="N419" s="16" t="s">
        <v>2620</v>
      </c>
      <c r="O419" s="16"/>
      <c r="P419" s="16" t="str">
        <f aca="false">IF(AND(L419&lt;=$D$2,M419&gt;=$C$2),"Sí","")</f>
        <v/>
      </c>
      <c r="Q419" s="18" t="str">
        <f aca="false">IF(COUNTIF(LOOKAHEAD!$A$5:$A$604,A419)&gt;0,"En Lookahead",IF(P419="Sí","INCORPORAR",""))</f>
        <v/>
      </c>
    </row>
    <row r="420" customFormat="false" ht="15" hidden="false" customHeight="false" outlineLevel="0" collapsed="false">
      <c r="A420" s="16" t="s">
        <v>2621</v>
      </c>
      <c r="B420" s="16" t="n">
        <v>415</v>
      </c>
      <c r="C420" s="16" t="s">
        <v>2622</v>
      </c>
      <c r="D420" s="16" t="n">
        <v>8</v>
      </c>
      <c r="E420" s="39" t="s">
        <v>1602</v>
      </c>
      <c r="F420" s="16" t="s">
        <v>1285</v>
      </c>
      <c r="G420" s="16" t="s">
        <v>322</v>
      </c>
      <c r="H420" s="16" t="s">
        <v>2225</v>
      </c>
      <c r="I420" s="16" t="s">
        <v>68</v>
      </c>
      <c r="J420" s="16" t="s">
        <v>2606</v>
      </c>
      <c r="K420" s="32" t="n">
        <v>1</v>
      </c>
      <c r="L420" s="33" t="n">
        <v>46502</v>
      </c>
      <c r="M420" s="33" t="n">
        <v>46502</v>
      </c>
      <c r="N420" s="16" t="s">
        <v>2623</v>
      </c>
      <c r="O420" s="16"/>
      <c r="P420" s="16" t="str">
        <f aca="false">IF(AND(L420&lt;=$D$2,M420&gt;=$C$2),"Sí","")</f>
        <v/>
      </c>
      <c r="Q420" s="18" t="str">
        <f aca="false">IF(COUNTIF(LOOKAHEAD!$A$5:$A$604,A420)&gt;0,"En Lookahead",IF(P420="Sí","INCORPORAR",""))</f>
        <v/>
      </c>
    </row>
    <row r="421" customFormat="false" ht="15" hidden="false" customHeight="false" outlineLevel="0" collapsed="false">
      <c r="A421" s="13" t="s">
        <v>2624</v>
      </c>
      <c r="B421" s="13" t="n">
        <v>416</v>
      </c>
      <c r="C421" s="13" t="s">
        <v>2625</v>
      </c>
      <c r="D421" s="13" t="n">
        <v>6</v>
      </c>
      <c r="E421" s="36" t="s">
        <v>2626</v>
      </c>
      <c r="F421" s="13" t="s">
        <v>1298</v>
      </c>
      <c r="G421" s="13" t="s">
        <v>322</v>
      </c>
      <c r="H421" s="13" t="s">
        <v>2225</v>
      </c>
      <c r="I421" s="13" t="s">
        <v>68</v>
      </c>
      <c r="J421" s="13" t="s">
        <v>1623</v>
      </c>
      <c r="K421" s="30" t="n">
        <v>334</v>
      </c>
      <c r="L421" s="31" t="n">
        <v>46104</v>
      </c>
      <c r="M421" s="31" t="n">
        <v>46517</v>
      </c>
      <c r="N421" s="13"/>
      <c r="O421" s="13"/>
      <c r="P421" s="13"/>
      <c r="Q421" s="13"/>
    </row>
    <row r="422" customFormat="false" ht="15" hidden="false" customHeight="false" outlineLevel="0" collapsed="false">
      <c r="A422" s="13" t="s">
        <v>2627</v>
      </c>
      <c r="B422" s="13" t="n">
        <v>417</v>
      </c>
      <c r="C422" s="13" t="s">
        <v>2628</v>
      </c>
      <c r="D422" s="13" t="n">
        <v>7</v>
      </c>
      <c r="E422" s="38" t="s">
        <v>2629</v>
      </c>
      <c r="F422" s="13" t="s">
        <v>1298</v>
      </c>
      <c r="G422" s="13" t="s">
        <v>322</v>
      </c>
      <c r="H422" s="13" t="s">
        <v>2225</v>
      </c>
      <c r="I422" s="13" t="s">
        <v>68</v>
      </c>
      <c r="J422" s="13" t="s">
        <v>2626</v>
      </c>
      <c r="K422" s="30" t="n">
        <v>9</v>
      </c>
      <c r="L422" s="31" t="n">
        <v>46104</v>
      </c>
      <c r="M422" s="31" t="n">
        <v>46112</v>
      </c>
      <c r="N422" s="13"/>
      <c r="O422" s="13"/>
      <c r="P422" s="13"/>
      <c r="Q422" s="13"/>
    </row>
    <row r="423" customFormat="false" ht="15" hidden="false" customHeight="false" outlineLevel="0" collapsed="false">
      <c r="A423" s="16" t="s">
        <v>2630</v>
      </c>
      <c r="B423" s="16" t="n">
        <v>418</v>
      </c>
      <c r="C423" s="16" t="s">
        <v>2631</v>
      </c>
      <c r="D423" s="16" t="n">
        <v>8</v>
      </c>
      <c r="E423" s="39" t="s">
        <v>2632</v>
      </c>
      <c r="F423" s="16" t="s">
        <v>1285</v>
      </c>
      <c r="G423" s="16" t="s">
        <v>322</v>
      </c>
      <c r="H423" s="16" t="s">
        <v>2225</v>
      </c>
      <c r="I423" s="16" t="s">
        <v>68</v>
      </c>
      <c r="J423" s="16" t="s">
        <v>2629</v>
      </c>
      <c r="K423" s="32" t="n">
        <v>1</v>
      </c>
      <c r="L423" s="33" t="n">
        <v>46111</v>
      </c>
      <c r="M423" s="33" t="n">
        <v>46111</v>
      </c>
      <c r="N423" s="16" t="s">
        <v>2633</v>
      </c>
      <c r="O423" s="16"/>
      <c r="P423" s="16" t="str">
        <f aca="false">IF(AND(L423&lt;=$D$2,M423&gt;=$C$2),"Sí","")</f>
        <v/>
      </c>
      <c r="Q423" s="18" t="str">
        <f aca="false">IF(COUNTIF(LOOKAHEAD!$A$5:$A$604,A423)&gt;0,"En Lookahead",IF(P423="Sí","INCORPORAR",""))</f>
        <v/>
      </c>
    </row>
    <row r="424" customFormat="false" ht="15" hidden="false" customHeight="false" outlineLevel="0" collapsed="false">
      <c r="A424" s="16" t="s">
        <v>2634</v>
      </c>
      <c r="B424" s="16" t="n">
        <v>419</v>
      </c>
      <c r="C424" s="16" t="s">
        <v>2635</v>
      </c>
      <c r="D424" s="16" t="n">
        <v>8</v>
      </c>
      <c r="E424" s="39" t="s">
        <v>2636</v>
      </c>
      <c r="F424" s="16" t="s">
        <v>1285</v>
      </c>
      <c r="G424" s="16" t="s">
        <v>322</v>
      </c>
      <c r="H424" s="16" t="s">
        <v>2225</v>
      </c>
      <c r="I424" s="16" t="s">
        <v>68</v>
      </c>
      <c r="J424" s="16" t="s">
        <v>2629</v>
      </c>
      <c r="K424" s="32" t="n">
        <v>5</v>
      </c>
      <c r="L424" s="33" t="n">
        <v>46104</v>
      </c>
      <c r="M424" s="33" t="n">
        <v>46108</v>
      </c>
      <c r="N424" s="16" t="s">
        <v>2569</v>
      </c>
      <c r="O424" s="16"/>
      <c r="P424" s="16" t="str">
        <f aca="false">IF(AND(L424&lt;=$D$2,M424&gt;=$C$2),"Sí","")</f>
        <v/>
      </c>
      <c r="Q424" s="18" t="str">
        <f aca="false">IF(COUNTIF(LOOKAHEAD!$A$5:$A$604,A424)&gt;0,"En Lookahead",IF(P424="Sí","INCORPORAR",""))</f>
        <v/>
      </c>
    </row>
    <row r="425" customFormat="false" ht="15" hidden="false" customHeight="false" outlineLevel="0" collapsed="false">
      <c r="A425" s="16" t="s">
        <v>2637</v>
      </c>
      <c r="B425" s="16" t="n">
        <v>420</v>
      </c>
      <c r="C425" s="16" t="s">
        <v>2638</v>
      </c>
      <c r="D425" s="16" t="n">
        <v>8</v>
      </c>
      <c r="E425" s="39" t="s">
        <v>2639</v>
      </c>
      <c r="F425" s="16" t="s">
        <v>1285</v>
      </c>
      <c r="G425" s="16" t="s">
        <v>322</v>
      </c>
      <c r="H425" s="16" t="s">
        <v>2225</v>
      </c>
      <c r="I425" s="16" t="s">
        <v>68</v>
      </c>
      <c r="J425" s="16" t="s">
        <v>2629</v>
      </c>
      <c r="K425" s="32" t="n">
        <v>2</v>
      </c>
      <c r="L425" s="33" t="n">
        <v>46109</v>
      </c>
      <c r="M425" s="33" t="n">
        <v>46110</v>
      </c>
      <c r="N425" s="16" t="s">
        <v>2640</v>
      </c>
      <c r="O425" s="16"/>
      <c r="P425" s="16" t="str">
        <f aca="false">IF(AND(L425&lt;=$D$2,M425&gt;=$C$2),"Sí","")</f>
        <v/>
      </c>
      <c r="Q425" s="18" t="str">
        <f aca="false">IF(COUNTIF(LOOKAHEAD!$A$5:$A$604,A425)&gt;0,"En Lookahead",IF(P425="Sí","INCORPORAR",""))</f>
        <v/>
      </c>
    </row>
    <row r="426" customFormat="false" ht="15" hidden="false" customHeight="false" outlineLevel="0" collapsed="false">
      <c r="A426" s="16" t="s">
        <v>2641</v>
      </c>
      <c r="B426" s="16" t="n">
        <v>421</v>
      </c>
      <c r="C426" s="16" t="s">
        <v>2642</v>
      </c>
      <c r="D426" s="16" t="n">
        <v>8</v>
      </c>
      <c r="E426" s="39" t="s">
        <v>1602</v>
      </c>
      <c r="F426" s="16" t="s">
        <v>1285</v>
      </c>
      <c r="G426" s="16" t="s">
        <v>322</v>
      </c>
      <c r="H426" s="16" t="s">
        <v>2225</v>
      </c>
      <c r="I426" s="16" t="s">
        <v>68</v>
      </c>
      <c r="J426" s="16" t="s">
        <v>2629</v>
      </c>
      <c r="K426" s="32" t="n">
        <v>1</v>
      </c>
      <c r="L426" s="33" t="n">
        <v>46112</v>
      </c>
      <c r="M426" s="33" t="n">
        <v>46112</v>
      </c>
      <c r="N426" s="16" t="s">
        <v>2643</v>
      </c>
      <c r="O426" s="16"/>
      <c r="P426" s="16" t="str">
        <f aca="false">IF(AND(L426&lt;=$D$2,M426&gt;=$C$2),"Sí","")</f>
        <v/>
      </c>
      <c r="Q426" s="18" t="str">
        <f aca="false">IF(COUNTIF(LOOKAHEAD!$A$5:$A$604,A426)&gt;0,"En Lookahead",IF(P426="Sí","INCORPORAR",""))</f>
        <v/>
      </c>
    </row>
    <row r="427" customFormat="false" ht="15" hidden="false" customHeight="false" outlineLevel="0" collapsed="false">
      <c r="A427" s="13" t="s">
        <v>2644</v>
      </c>
      <c r="B427" s="13" t="n">
        <v>422</v>
      </c>
      <c r="C427" s="13" t="s">
        <v>2645</v>
      </c>
      <c r="D427" s="13" t="n">
        <v>7</v>
      </c>
      <c r="E427" s="38" t="s">
        <v>2646</v>
      </c>
      <c r="F427" s="13" t="s">
        <v>1298</v>
      </c>
      <c r="G427" s="13" t="s">
        <v>322</v>
      </c>
      <c r="H427" s="13" t="s">
        <v>2225</v>
      </c>
      <c r="I427" s="13" t="s">
        <v>68</v>
      </c>
      <c r="J427" s="13" t="s">
        <v>2626</v>
      </c>
      <c r="K427" s="30" t="n">
        <v>16</v>
      </c>
      <c r="L427" s="31" t="n">
        <v>46361</v>
      </c>
      <c r="M427" s="31" t="n">
        <v>46376</v>
      </c>
      <c r="N427" s="13"/>
      <c r="O427" s="13"/>
      <c r="P427" s="13"/>
      <c r="Q427" s="13"/>
    </row>
    <row r="428" customFormat="false" ht="15" hidden="false" customHeight="false" outlineLevel="0" collapsed="false">
      <c r="A428" s="16" t="s">
        <v>2647</v>
      </c>
      <c r="B428" s="16" t="n">
        <v>423</v>
      </c>
      <c r="C428" s="16" t="s">
        <v>2648</v>
      </c>
      <c r="D428" s="16" t="n">
        <v>8</v>
      </c>
      <c r="E428" s="39" t="s">
        <v>2649</v>
      </c>
      <c r="F428" s="16" t="s">
        <v>1285</v>
      </c>
      <c r="G428" s="16" t="s">
        <v>322</v>
      </c>
      <c r="H428" s="16" t="s">
        <v>2225</v>
      </c>
      <c r="I428" s="16" t="s">
        <v>68</v>
      </c>
      <c r="J428" s="16" t="s">
        <v>2646</v>
      </c>
      <c r="K428" s="32" t="n">
        <v>1</v>
      </c>
      <c r="L428" s="33" t="n">
        <v>46375</v>
      </c>
      <c r="M428" s="33" t="n">
        <v>46375</v>
      </c>
      <c r="N428" s="16" t="s">
        <v>2650</v>
      </c>
      <c r="O428" s="16"/>
      <c r="P428" s="16" t="str">
        <f aca="false">IF(AND(L428&lt;=$D$2,M428&gt;=$C$2),"Sí","")</f>
        <v/>
      </c>
      <c r="Q428" s="18" t="str">
        <f aca="false">IF(COUNTIF(LOOKAHEAD!$A$5:$A$604,A428)&gt;0,"En Lookahead",IF(P428="Sí","INCORPORAR",""))</f>
        <v/>
      </c>
    </row>
    <row r="429" customFormat="false" ht="15" hidden="false" customHeight="false" outlineLevel="0" collapsed="false">
      <c r="A429" s="16" t="s">
        <v>2651</v>
      </c>
      <c r="B429" s="16" t="n">
        <v>424</v>
      </c>
      <c r="C429" s="16" t="s">
        <v>2652</v>
      </c>
      <c r="D429" s="16" t="n">
        <v>8</v>
      </c>
      <c r="E429" s="39" t="s">
        <v>2636</v>
      </c>
      <c r="F429" s="16" t="s">
        <v>1285</v>
      </c>
      <c r="G429" s="16" t="s">
        <v>322</v>
      </c>
      <c r="H429" s="16" t="s">
        <v>2225</v>
      </c>
      <c r="I429" s="16" t="s">
        <v>68</v>
      </c>
      <c r="J429" s="16" t="s">
        <v>2646</v>
      </c>
      <c r="K429" s="32" t="n">
        <v>10</v>
      </c>
      <c r="L429" s="33" t="n">
        <v>46361</v>
      </c>
      <c r="M429" s="33" t="n">
        <v>46370</v>
      </c>
      <c r="N429" s="16" t="s">
        <v>2586</v>
      </c>
      <c r="O429" s="16"/>
      <c r="P429" s="16" t="str">
        <f aca="false">IF(AND(L429&lt;=$D$2,M429&gt;=$C$2),"Sí","")</f>
        <v/>
      </c>
      <c r="Q429" s="18" t="str">
        <f aca="false">IF(COUNTIF(LOOKAHEAD!$A$5:$A$604,A429)&gt;0,"En Lookahead",IF(P429="Sí","INCORPORAR",""))</f>
        <v/>
      </c>
    </row>
    <row r="430" customFormat="false" ht="15" hidden="false" customHeight="false" outlineLevel="0" collapsed="false">
      <c r="A430" s="16" t="s">
        <v>2653</v>
      </c>
      <c r="B430" s="16" t="n">
        <v>425</v>
      </c>
      <c r="C430" s="16" t="s">
        <v>2654</v>
      </c>
      <c r="D430" s="16" t="n">
        <v>8</v>
      </c>
      <c r="E430" s="39" t="s">
        <v>2639</v>
      </c>
      <c r="F430" s="16" t="s">
        <v>1285</v>
      </c>
      <c r="G430" s="16" t="s">
        <v>322</v>
      </c>
      <c r="H430" s="16" t="s">
        <v>2225</v>
      </c>
      <c r="I430" s="16" t="s">
        <v>68</v>
      </c>
      <c r="J430" s="16" t="s">
        <v>2646</v>
      </c>
      <c r="K430" s="32" t="n">
        <v>4</v>
      </c>
      <c r="L430" s="33" t="n">
        <v>46371</v>
      </c>
      <c r="M430" s="33" t="n">
        <v>46374</v>
      </c>
      <c r="N430" s="16" t="s">
        <v>2655</v>
      </c>
      <c r="O430" s="16"/>
      <c r="P430" s="16" t="str">
        <f aca="false">IF(AND(L430&lt;=$D$2,M430&gt;=$C$2),"Sí","")</f>
        <v/>
      </c>
      <c r="Q430" s="18" t="str">
        <f aca="false">IF(COUNTIF(LOOKAHEAD!$A$5:$A$604,A430)&gt;0,"En Lookahead",IF(P430="Sí","INCORPORAR",""))</f>
        <v/>
      </c>
    </row>
    <row r="431" customFormat="false" ht="15" hidden="false" customHeight="false" outlineLevel="0" collapsed="false">
      <c r="A431" s="16" t="s">
        <v>2656</v>
      </c>
      <c r="B431" s="16" t="n">
        <v>426</v>
      </c>
      <c r="C431" s="16" t="s">
        <v>2657</v>
      </c>
      <c r="D431" s="16" t="n">
        <v>8</v>
      </c>
      <c r="E431" s="39" t="s">
        <v>1602</v>
      </c>
      <c r="F431" s="16" t="s">
        <v>1285</v>
      </c>
      <c r="G431" s="16" t="s">
        <v>322</v>
      </c>
      <c r="H431" s="16" t="s">
        <v>2225</v>
      </c>
      <c r="I431" s="16" t="s">
        <v>68</v>
      </c>
      <c r="J431" s="16" t="s">
        <v>2646</v>
      </c>
      <c r="K431" s="32" t="n">
        <v>1</v>
      </c>
      <c r="L431" s="33" t="n">
        <v>46376</v>
      </c>
      <c r="M431" s="33" t="n">
        <v>46376</v>
      </c>
      <c r="N431" s="16" t="s">
        <v>2658</v>
      </c>
      <c r="O431" s="16"/>
      <c r="P431" s="16" t="str">
        <f aca="false">IF(AND(L431&lt;=$D$2,M431&gt;=$C$2),"Sí","")</f>
        <v/>
      </c>
      <c r="Q431" s="18" t="str">
        <f aca="false">IF(COUNTIF(LOOKAHEAD!$A$5:$A$604,A431)&gt;0,"En Lookahead",IF(P431="Sí","INCORPORAR",""))</f>
        <v/>
      </c>
    </row>
    <row r="432" customFormat="false" ht="15" hidden="false" customHeight="false" outlineLevel="0" collapsed="false">
      <c r="A432" s="13" t="s">
        <v>2659</v>
      </c>
      <c r="B432" s="13" t="n">
        <v>427</v>
      </c>
      <c r="C432" s="13" t="s">
        <v>2660</v>
      </c>
      <c r="D432" s="13" t="n">
        <v>7</v>
      </c>
      <c r="E432" s="38" t="s">
        <v>2661</v>
      </c>
      <c r="F432" s="13" t="s">
        <v>1298</v>
      </c>
      <c r="G432" s="13" t="s">
        <v>322</v>
      </c>
      <c r="H432" s="13" t="s">
        <v>2225</v>
      </c>
      <c r="I432" s="13" t="s">
        <v>68</v>
      </c>
      <c r="J432" s="13" t="s">
        <v>2626</v>
      </c>
      <c r="K432" s="30" t="n">
        <v>16</v>
      </c>
      <c r="L432" s="31" t="n">
        <v>46491</v>
      </c>
      <c r="M432" s="31" t="n">
        <v>46506</v>
      </c>
      <c r="N432" s="13"/>
      <c r="O432" s="13"/>
      <c r="P432" s="13"/>
      <c r="Q432" s="13"/>
    </row>
    <row r="433" customFormat="false" ht="15" hidden="false" customHeight="false" outlineLevel="0" collapsed="false">
      <c r="A433" s="16" t="s">
        <v>2662</v>
      </c>
      <c r="B433" s="16" t="n">
        <v>428</v>
      </c>
      <c r="C433" s="16" t="s">
        <v>2663</v>
      </c>
      <c r="D433" s="16" t="n">
        <v>8</v>
      </c>
      <c r="E433" s="39" t="s">
        <v>2664</v>
      </c>
      <c r="F433" s="16" t="s">
        <v>1285</v>
      </c>
      <c r="G433" s="16" t="s">
        <v>322</v>
      </c>
      <c r="H433" s="16" t="s">
        <v>2225</v>
      </c>
      <c r="I433" s="16" t="s">
        <v>68</v>
      </c>
      <c r="J433" s="16" t="s">
        <v>2661</v>
      </c>
      <c r="K433" s="32" t="n">
        <v>1</v>
      </c>
      <c r="L433" s="33" t="n">
        <v>46505</v>
      </c>
      <c r="M433" s="33" t="n">
        <v>46505</v>
      </c>
      <c r="N433" s="16" t="s">
        <v>2665</v>
      </c>
      <c r="O433" s="16"/>
      <c r="P433" s="16" t="str">
        <f aca="false">IF(AND(L433&lt;=$D$2,M433&gt;=$C$2),"Sí","")</f>
        <v/>
      </c>
      <c r="Q433" s="18" t="str">
        <f aca="false">IF(COUNTIF(LOOKAHEAD!$A$5:$A$604,A433)&gt;0,"En Lookahead",IF(P433="Sí","INCORPORAR",""))</f>
        <v/>
      </c>
    </row>
    <row r="434" customFormat="false" ht="15" hidden="false" customHeight="false" outlineLevel="0" collapsed="false">
      <c r="A434" s="16" t="s">
        <v>2666</v>
      </c>
      <c r="B434" s="16" t="n">
        <v>429</v>
      </c>
      <c r="C434" s="16" t="s">
        <v>2667</v>
      </c>
      <c r="D434" s="16" t="n">
        <v>8</v>
      </c>
      <c r="E434" s="39" t="s">
        <v>2636</v>
      </c>
      <c r="F434" s="16" t="s">
        <v>1285</v>
      </c>
      <c r="G434" s="16" t="s">
        <v>322</v>
      </c>
      <c r="H434" s="16" t="s">
        <v>2225</v>
      </c>
      <c r="I434" s="16" t="s">
        <v>68</v>
      </c>
      <c r="J434" s="16" t="s">
        <v>2661</v>
      </c>
      <c r="K434" s="32" t="n">
        <v>10</v>
      </c>
      <c r="L434" s="33" t="n">
        <v>46491</v>
      </c>
      <c r="M434" s="33" t="n">
        <v>46500</v>
      </c>
      <c r="N434" s="16" t="s">
        <v>2603</v>
      </c>
      <c r="O434" s="16"/>
      <c r="P434" s="16" t="str">
        <f aca="false">IF(AND(L434&lt;=$D$2,M434&gt;=$C$2),"Sí","")</f>
        <v/>
      </c>
      <c r="Q434" s="18" t="str">
        <f aca="false">IF(COUNTIF(LOOKAHEAD!$A$5:$A$604,A434)&gt;0,"En Lookahead",IF(P434="Sí","INCORPORAR",""))</f>
        <v/>
      </c>
    </row>
    <row r="435" customFormat="false" ht="15" hidden="false" customHeight="false" outlineLevel="0" collapsed="false">
      <c r="A435" s="16" t="s">
        <v>2668</v>
      </c>
      <c r="B435" s="16" t="n">
        <v>430</v>
      </c>
      <c r="C435" s="16" t="s">
        <v>2669</v>
      </c>
      <c r="D435" s="16" t="n">
        <v>8</v>
      </c>
      <c r="E435" s="39" t="s">
        <v>2639</v>
      </c>
      <c r="F435" s="16" t="s">
        <v>1285</v>
      </c>
      <c r="G435" s="16" t="s">
        <v>322</v>
      </c>
      <c r="H435" s="16" t="s">
        <v>2225</v>
      </c>
      <c r="I435" s="16" t="s">
        <v>68</v>
      </c>
      <c r="J435" s="16" t="s">
        <v>2661</v>
      </c>
      <c r="K435" s="32" t="n">
        <v>4</v>
      </c>
      <c r="L435" s="33" t="n">
        <v>46501</v>
      </c>
      <c r="M435" s="33" t="n">
        <v>46504</v>
      </c>
      <c r="N435" s="16" t="s">
        <v>2670</v>
      </c>
      <c r="O435" s="16"/>
      <c r="P435" s="16" t="str">
        <f aca="false">IF(AND(L435&lt;=$D$2,M435&gt;=$C$2),"Sí","")</f>
        <v/>
      </c>
      <c r="Q435" s="18" t="str">
        <f aca="false">IF(COUNTIF(LOOKAHEAD!$A$5:$A$604,A435)&gt;0,"En Lookahead",IF(P435="Sí","INCORPORAR",""))</f>
        <v/>
      </c>
    </row>
    <row r="436" customFormat="false" ht="15" hidden="false" customHeight="false" outlineLevel="0" collapsed="false">
      <c r="A436" s="16" t="s">
        <v>2671</v>
      </c>
      <c r="B436" s="16" t="n">
        <v>431</v>
      </c>
      <c r="C436" s="16" t="s">
        <v>2672</v>
      </c>
      <c r="D436" s="16" t="n">
        <v>8</v>
      </c>
      <c r="E436" s="39" t="s">
        <v>1602</v>
      </c>
      <c r="F436" s="16" t="s">
        <v>1285</v>
      </c>
      <c r="G436" s="16" t="s">
        <v>322</v>
      </c>
      <c r="H436" s="16" t="s">
        <v>2225</v>
      </c>
      <c r="I436" s="16" t="s">
        <v>68</v>
      </c>
      <c r="J436" s="16" t="s">
        <v>2661</v>
      </c>
      <c r="K436" s="32" t="n">
        <v>1</v>
      </c>
      <c r="L436" s="33" t="n">
        <v>46506</v>
      </c>
      <c r="M436" s="33" t="n">
        <v>46506</v>
      </c>
      <c r="N436" s="16" t="s">
        <v>2673</v>
      </c>
      <c r="O436" s="16"/>
      <c r="P436" s="16" t="str">
        <f aca="false">IF(AND(L436&lt;=$D$2,M436&gt;=$C$2),"Sí","")</f>
        <v/>
      </c>
      <c r="Q436" s="18" t="str">
        <f aca="false">IF(COUNTIF(LOOKAHEAD!$A$5:$A$604,A436)&gt;0,"En Lookahead",IF(P436="Sí","INCORPORAR",""))</f>
        <v/>
      </c>
    </row>
    <row r="437" customFormat="false" ht="15" hidden="false" customHeight="false" outlineLevel="0" collapsed="false">
      <c r="A437" s="13" t="s">
        <v>2674</v>
      </c>
      <c r="B437" s="13" t="n">
        <v>432</v>
      </c>
      <c r="C437" s="13" t="s">
        <v>2675</v>
      </c>
      <c r="D437" s="13" t="n">
        <v>7</v>
      </c>
      <c r="E437" s="38" t="s">
        <v>2676</v>
      </c>
      <c r="F437" s="13" t="s">
        <v>1298</v>
      </c>
      <c r="G437" s="13" t="s">
        <v>322</v>
      </c>
      <c r="H437" s="13" t="s">
        <v>2225</v>
      </c>
      <c r="I437" s="13" t="s">
        <v>68</v>
      </c>
      <c r="J437" s="13" t="s">
        <v>2626</v>
      </c>
      <c r="K437" s="30" t="n">
        <v>16</v>
      </c>
      <c r="L437" s="31" t="n">
        <v>46502</v>
      </c>
      <c r="M437" s="31" t="n">
        <v>46517</v>
      </c>
      <c r="N437" s="13"/>
      <c r="O437" s="13"/>
      <c r="P437" s="13"/>
      <c r="Q437" s="13"/>
    </row>
    <row r="438" customFormat="false" ht="15" hidden="false" customHeight="false" outlineLevel="0" collapsed="false">
      <c r="A438" s="16" t="s">
        <v>2677</v>
      </c>
      <c r="B438" s="16" t="n">
        <v>433</v>
      </c>
      <c r="C438" s="16" t="s">
        <v>2678</v>
      </c>
      <c r="D438" s="16" t="n">
        <v>8</v>
      </c>
      <c r="E438" s="39" t="s">
        <v>2679</v>
      </c>
      <c r="F438" s="16" t="s">
        <v>1285</v>
      </c>
      <c r="G438" s="16" t="s">
        <v>322</v>
      </c>
      <c r="H438" s="16" t="s">
        <v>2225</v>
      </c>
      <c r="I438" s="16" t="s">
        <v>68</v>
      </c>
      <c r="J438" s="16" t="s">
        <v>2676</v>
      </c>
      <c r="K438" s="32" t="n">
        <v>1</v>
      </c>
      <c r="L438" s="33" t="n">
        <v>46516</v>
      </c>
      <c r="M438" s="33" t="n">
        <v>46516</v>
      </c>
      <c r="N438" s="16" t="s">
        <v>2680</v>
      </c>
      <c r="O438" s="16"/>
      <c r="P438" s="16" t="str">
        <f aca="false">IF(AND(L438&lt;=$D$2,M438&gt;=$C$2),"Sí","")</f>
        <v/>
      </c>
      <c r="Q438" s="18" t="str">
        <f aca="false">IF(COUNTIF(LOOKAHEAD!$A$5:$A$604,A438)&gt;0,"En Lookahead",IF(P438="Sí","INCORPORAR",""))</f>
        <v/>
      </c>
    </row>
    <row r="439" customFormat="false" ht="15" hidden="false" customHeight="false" outlineLevel="0" collapsed="false">
      <c r="A439" s="16" t="s">
        <v>2681</v>
      </c>
      <c r="B439" s="16" t="n">
        <v>434</v>
      </c>
      <c r="C439" s="16" t="s">
        <v>2682</v>
      </c>
      <c r="D439" s="16" t="n">
        <v>8</v>
      </c>
      <c r="E439" s="39" t="s">
        <v>2636</v>
      </c>
      <c r="F439" s="16" t="s">
        <v>1285</v>
      </c>
      <c r="G439" s="16" t="s">
        <v>322</v>
      </c>
      <c r="H439" s="16" t="s">
        <v>2225</v>
      </c>
      <c r="I439" s="16" t="s">
        <v>68</v>
      </c>
      <c r="J439" s="16" t="s">
        <v>2676</v>
      </c>
      <c r="K439" s="32" t="n">
        <v>10</v>
      </c>
      <c r="L439" s="33" t="n">
        <v>46502</v>
      </c>
      <c r="M439" s="33" t="n">
        <v>46511</v>
      </c>
      <c r="N439" s="16" t="s">
        <v>2623</v>
      </c>
      <c r="O439" s="16"/>
      <c r="P439" s="16" t="str">
        <f aca="false">IF(AND(L439&lt;=$D$2,M439&gt;=$C$2),"Sí","")</f>
        <v/>
      </c>
      <c r="Q439" s="18" t="str">
        <f aca="false">IF(COUNTIF(LOOKAHEAD!$A$5:$A$604,A439)&gt;0,"En Lookahead",IF(P439="Sí","INCORPORAR",""))</f>
        <v/>
      </c>
    </row>
    <row r="440" customFormat="false" ht="15" hidden="false" customHeight="false" outlineLevel="0" collapsed="false">
      <c r="A440" s="16" t="s">
        <v>2683</v>
      </c>
      <c r="B440" s="16" t="n">
        <v>435</v>
      </c>
      <c r="C440" s="16" t="s">
        <v>2684</v>
      </c>
      <c r="D440" s="16" t="n">
        <v>8</v>
      </c>
      <c r="E440" s="39" t="s">
        <v>2639</v>
      </c>
      <c r="F440" s="16" t="s">
        <v>1285</v>
      </c>
      <c r="G440" s="16" t="s">
        <v>322</v>
      </c>
      <c r="H440" s="16" t="s">
        <v>2225</v>
      </c>
      <c r="I440" s="16" t="s">
        <v>68</v>
      </c>
      <c r="J440" s="16" t="s">
        <v>2676</v>
      </c>
      <c r="K440" s="32" t="n">
        <v>4</v>
      </c>
      <c r="L440" s="33" t="n">
        <v>46512</v>
      </c>
      <c r="M440" s="33" t="n">
        <v>46515</v>
      </c>
      <c r="N440" s="16" t="s">
        <v>2685</v>
      </c>
      <c r="O440" s="16"/>
      <c r="P440" s="16" t="str">
        <f aca="false">IF(AND(L440&lt;=$D$2,M440&gt;=$C$2),"Sí","")</f>
        <v/>
      </c>
      <c r="Q440" s="18" t="str">
        <f aca="false">IF(COUNTIF(LOOKAHEAD!$A$5:$A$604,A440)&gt;0,"En Lookahead",IF(P440="Sí","INCORPORAR",""))</f>
        <v/>
      </c>
    </row>
    <row r="441" customFormat="false" ht="15" hidden="false" customHeight="false" outlineLevel="0" collapsed="false">
      <c r="A441" s="16" t="s">
        <v>2686</v>
      </c>
      <c r="B441" s="16" t="n">
        <v>436</v>
      </c>
      <c r="C441" s="16" t="s">
        <v>2687</v>
      </c>
      <c r="D441" s="16" t="n">
        <v>8</v>
      </c>
      <c r="E441" s="39" t="s">
        <v>1602</v>
      </c>
      <c r="F441" s="16" t="s">
        <v>1285</v>
      </c>
      <c r="G441" s="16" t="s">
        <v>322</v>
      </c>
      <c r="H441" s="16" t="s">
        <v>2225</v>
      </c>
      <c r="I441" s="16" t="s">
        <v>68</v>
      </c>
      <c r="J441" s="16" t="s">
        <v>2676</v>
      </c>
      <c r="K441" s="32" t="n">
        <v>1</v>
      </c>
      <c r="L441" s="33" t="n">
        <v>46517</v>
      </c>
      <c r="M441" s="33" t="n">
        <v>46517</v>
      </c>
      <c r="N441" s="16" t="s">
        <v>2688</v>
      </c>
      <c r="O441" s="16"/>
      <c r="P441" s="16" t="str">
        <f aca="false">IF(AND(L441&lt;=$D$2,M441&gt;=$C$2),"Sí","")</f>
        <v/>
      </c>
      <c r="Q441" s="18" t="str">
        <f aca="false">IF(COUNTIF(LOOKAHEAD!$A$5:$A$604,A441)&gt;0,"En Lookahead",IF(P441="Sí","INCORPORAR",""))</f>
        <v/>
      </c>
    </row>
    <row r="442" customFormat="false" ht="15" hidden="false" customHeight="false" outlineLevel="0" collapsed="false">
      <c r="A442" s="13" t="s">
        <v>2689</v>
      </c>
      <c r="B442" s="13" t="n">
        <v>437</v>
      </c>
      <c r="C442" s="13" t="s">
        <v>2690</v>
      </c>
      <c r="D442" s="13" t="n">
        <v>6</v>
      </c>
      <c r="E442" s="36" t="s">
        <v>1985</v>
      </c>
      <c r="F442" s="13" t="s">
        <v>1298</v>
      </c>
      <c r="G442" s="13" t="s">
        <v>322</v>
      </c>
      <c r="H442" s="13" t="s">
        <v>2225</v>
      </c>
      <c r="I442" s="13" t="s">
        <v>68</v>
      </c>
      <c r="J442" s="13" t="s">
        <v>1623</v>
      </c>
      <c r="K442" s="30" t="n">
        <v>17</v>
      </c>
      <c r="L442" s="31" t="n">
        <v>46124</v>
      </c>
      <c r="M442" s="31" t="n">
        <v>46140</v>
      </c>
      <c r="N442" s="13"/>
      <c r="O442" s="13"/>
      <c r="P442" s="13"/>
      <c r="Q442" s="13"/>
    </row>
    <row r="443" customFormat="false" ht="15" hidden="false" customHeight="false" outlineLevel="0" collapsed="false">
      <c r="A443" s="13" t="s">
        <v>2691</v>
      </c>
      <c r="B443" s="13" t="n">
        <v>438</v>
      </c>
      <c r="C443" s="13" t="s">
        <v>2692</v>
      </c>
      <c r="D443" s="13" t="n">
        <v>7</v>
      </c>
      <c r="E443" s="38" t="s">
        <v>1988</v>
      </c>
      <c r="F443" s="13" t="s">
        <v>1298</v>
      </c>
      <c r="G443" s="13" t="s">
        <v>322</v>
      </c>
      <c r="H443" s="13" t="s">
        <v>2225</v>
      </c>
      <c r="I443" s="13" t="s">
        <v>68</v>
      </c>
      <c r="J443" s="13" t="s">
        <v>1985</v>
      </c>
      <c r="K443" s="30" t="n">
        <v>8</v>
      </c>
      <c r="L443" s="31" t="n">
        <v>46124</v>
      </c>
      <c r="M443" s="31" t="n">
        <v>46131</v>
      </c>
      <c r="N443" s="13"/>
      <c r="O443" s="13"/>
      <c r="P443" s="13"/>
      <c r="Q443" s="13"/>
    </row>
    <row r="444" customFormat="false" ht="15" hidden="false" customHeight="false" outlineLevel="0" collapsed="false">
      <c r="A444" s="16" t="s">
        <v>2693</v>
      </c>
      <c r="B444" s="16" t="n">
        <v>439</v>
      </c>
      <c r="C444" s="16" t="s">
        <v>2694</v>
      </c>
      <c r="D444" s="16" t="n">
        <v>8</v>
      </c>
      <c r="E444" s="39" t="s">
        <v>1991</v>
      </c>
      <c r="F444" s="16" t="s">
        <v>1285</v>
      </c>
      <c r="G444" s="16" t="s">
        <v>322</v>
      </c>
      <c r="H444" s="16" t="s">
        <v>2225</v>
      </c>
      <c r="I444" s="16" t="s">
        <v>68</v>
      </c>
      <c r="J444" s="16" t="s">
        <v>1988</v>
      </c>
      <c r="K444" s="32" t="n">
        <v>1</v>
      </c>
      <c r="L444" s="33" t="n">
        <v>46130</v>
      </c>
      <c r="M444" s="33" t="n">
        <v>46130</v>
      </c>
      <c r="N444" s="16" t="s">
        <v>2695</v>
      </c>
      <c r="O444" s="16"/>
      <c r="P444" s="16" t="str">
        <f aca="false">IF(AND(L444&lt;=$D$2,M444&gt;=$C$2),"Sí","")</f>
        <v/>
      </c>
      <c r="Q444" s="18" t="str">
        <f aca="false">IF(COUNTIF(LOOKAHEAD!$A$5:$A$604,A444)&gt;0,"En Lookahead",IF(P444="Sí","INCORPORAR",""))</f>
        <v/>
      </c>
    </row>
    <row r="445" customFormat="false" ht="15" hidden="false" customHeight="false" outlineLevel="0" collapsed="false">
      <c r="A445" s="16" t="s">
        <v>2696</v>
      </c>
      <c r="B445" s="16" t="n">
        <v>440</v>
      </c>
      <c r="C445" s="16" t="s">
        <v>2697</v>
      </c>
      <c r="D445" s="16" t="n">
        <v>8</v>
      </c>
      <c r="E445" s="39" t="s">
        <v>1995</v>
      </c>
      <c r="F445" s="16" t="s">
        <v>1285</v>
      </c>
      <c r="G445" s="16" t="s">
        <v>322</v>
      </c>
      <c r="H445" s="16" t="s">
        <v>2225</v>
      </c>
      <c r="I445" s="16" t="s">
        <v>68</v>
      </c>
      <c r="J445" s="16" t="s">
        <v>1988</v>
      </c>
      <c r="K445" s="32" t="n">
        <v>3</v>
      </c>
      <c r="L445" s="33" t="n">
        <v>46127</v>
      </c>
      <c r="M445" s="33" t="n">
        <v>46129</v>
      </c>
      <c r="N445" s="16" t="s">
        <v>2698</v>
      </c>
      <c r="O445" s="16"/>
      <c r="P445" s="16" t="str">
        <f aca="false">IF(AND(L445&lt;=$D$2,M445&gt;=$C$2),"Sí","")</f>
        <v/>
      </c>
      <c r="Q445" s="18" t="str">
        <f aca="false">IF(COUNTIF(LOOKAHEAD!$A$5:$A$604,A445)&gt;0,"En Lookahead",IF(P445="Sí","INCORPORAR",""))</f>
        <v/>
      </c>
    </row>
    <row r="446" customFormat="false" ht="15" hidden="false" customHeight="false" outlineLevel="0" collapsed="false">
      <c r="A446" s="16" t="s">
        <v>2699</v>
      </c>
      <c r="B446" s="16" t="n">
        <v>441</v>
      </c>
      <c r="C446" s="16" t="s">
        <v>2700</v>
      </c>
      <c r="D446" s="16" t="n">
        <v>8</v>
      </c>
      <c r="E446" s="39" t="s">
        <v>1999</v>
      </c>
      <c r="F446" s="16" t="s">
        <v>1285</v>
      </c>
      <c r="G446" s="16" t="s">
        <v>322</v>
      </c>
      <c r="H446" s="16" t="s">
        <v>2225</v>
      </c>
      <c r="I446" s="16" t="s">
        <v>68</v>
      </c>
      <c r="J446" s="16" t="s">
        <v>1988</v>
      </c>
      <c r="K446" s="32" t="n">
        <v>3</v>
      </c>
      <c r="L446" s="33" t="n">
        <v>46124</v>
      </c>
      <c r="M446" s="33" t="n">
        <v>46126</v>
      </c>
      <c r="N446" s="16" t="s">
        <v>2701</v>
      </c>
      <c r="O446" s="16"/>
      <c r="P446" s="16" t="str">
        <f aca="false">IF(AND(L446&lt;=$D$2,M446&gt;=$C$2),"Sí","")</f>
        <v/>
      </c>
      <c r="Q446" s="18" t="str">
        <f aca="false">IF(COUNTIF(LOOKAHEAD!$A$5:$A$604,A446)&gt;0,"En Lookahead",IF(P446="Sí","INCORPORAR",""))</f>
        <v/>
      </c>
    </row>
    <row r="447" customFormat="false" ht="15" hidden="false" customHeight="false" outlineLevel="0" collapsed="false">
      <c r="A447" s="16" t="s">
        <v>2702</v>
      </c>
      <c r="B447" s="16" t="n">
        <v>442</v>
      </c>
      <c r="C447" s="16" t="s">
        <v>2703</v>
      </c>
      <c r="D447" s="16" t="n">
        <v>8</v>
      </c>
      <c r="E447" s="39" t="s">
        <v>1677</v>
      </c>
      <c r="F447" s="16" t="s">
        <v>1285</v>
      </c>
      <c r="G447" s="16" t="s">
        <v>322</v>
      </c>
      <c r="H447" s="16" t="s">
        <v>2225</v>
      </c>
      <c r="I447" s="16" t="s">
        <v>68</v>
      </c>
      <c r="J447" s="16" t="s">
        <v>1988</v>
      </c>
      <c r="K447" s="32" t="n">
        <v>1</v>
      </c>
      <c r="L447" s="33" t="n">
        <v>46131</v>
      </c>
      <c r="M447" s="33" t="n">
        <v>46131</v>
      </c>
      <c r="N447" s="16" t="s">
        <v>2704</v>
      </c>
      <c r="O447" s="16"/>
      <c r="P447" s="16" t="str">
        <f aca="false">IF(AND(L447&lt;=$D$2,M447&gt;=$C$2),"Sí","")</f>
        <v/>
      </c>
      <c r="Q447" s="18" t="str">
        <f aca="false">IF(COUNTIF(LOOKAHEAD!$A$5:$A$604,A447)&gt;0,"En Lookahead",IF(P447="Sí","INCORPORAR",""))</f>
        <v/>
      </c>
    </row>
    <row r="448" customFormat="false" ht="15" hidden="false" customHeight="false" outlineLevel="0" collapsed="false">
      <c r="A448" s="13" t="s">
        <v>2705</v>
      </c>
      <c r="B448" s="13" t="n">
        <v>443</v>
      </c>
      <c r="C448" s="13" t="s">
        <v>2706</v>
      </c>
      <c r="D448" s="13" t="n">
        <v>7</v>
      </c>
      <c r="E448" s="38" t="s">
        <v>2006</v>
      </c>
      <c r="F448" s="13" t="s">
        <v>1298</v>
      </c>
      <c r="G448" s="13" t="s">
        <v>322</v>
      </c>
      <c r="H448" s="13" t="s">
        <v>2225</v>
      </c>
      <c r="I448" s="13" t="s">
        <v>68</v>
      </c>
      <c r="J448" s="13" t="s">
        <v>1985</v>
      </c>
      <c r="K448" s="30" t="n">
        <v>12</v>
      </c>
      <c r="L448" s="31" t="n">
        <v>46124</v>
      </c>
      <c r="M448" s="31" t="n">
        <v>46135</v>
      </c>
      <c r="N448" s="13"/>
      <c r="O448" s="13"/>
      <c r="P448" s="13"/>
      <c r="Q448" s="13"/>
    </row>
    <row r="449" customFormat="false" ht="15" hidden="false" customHeight="false" outlineLevel="0" collapsed="false">
      <c r="A449" s="16" t="s">
        <v>2707</v>
      </c>
      <c r="B449" s="16" t="n">
        <v>444</v>
      </c>
      <c r="C449" s="16" t="s">
        <v>2708</v>
      </c>
      <c r="D449" s="16" t="n">
        <v>8</v>
      </c>
      <c r="E449" s="39" t="s">
        <v>2009</v>
      </c>
      <c r="F449" s="16" t="s">
        <v>1285</v>
      </c>
      <c r="G449" s="16" t="s">
        <v>322</v>
      </c>
      <c r="H449" s="16" t="s">
        <v>2225</v>
      </c>
      <c r="I449" s="16" t="s">
        <v>68</v>
      </c>
      <c r="J449" s="16" t="s">
        <v>2006</v>
      </c>
      <c r="K449" s="32" t="n">
        <v>1</v>
      </c>
      <c r="L449" s="33" t="n">
        <v>46134</v>
      </c>
      <c r="M449" s="33" t="n">
        <v>46134</v>
      </c>
      <c r="N449" s="16" t="s">
        <v>2709</v>
      </c>
      <c r="O449" s="16"/>
      <c r="P449" s="16" t="str">
        <f aca="false">IF(AND(L449&lt;=$D$2,M449&gt;=$C$2),"Sí","")</f>
        <v/>
      </c>
      <c r="Q449" s="18" t="str">
        <f aca="false">IF(COUNTIF(LOOKAHEAD!$A$5:$A$604,A449)&gt;0,"En Lookahead",IF(P449="Sí","INCORPORAR",""))</f>
        <v/>
      </c>
    </row>
    <row r="450" customFormat="false" ht="15" hidden="false" customHeight="false" outlineLevel="0" collapsed="false">
      <c r="A450" s="16" t="s">
        <v>2710</v>
      </c>
      <c r="B450" s="16" t="n">
        <v>445</v>
      </c>
      <c r="C450" s="16" t="s">
        <v>2711</v>
      </c>
      <c r="D450" s="16" t="n">
        <v>8</v>
      </c>
      <c r="E450" s="39" t="s">
        <v>2013</v>
      </c>
      <c r="F450" s="16" t="s">
        <v>1285</v>
      </c>
      <c r="G450" s="16" t="s">
        <v>322</v>
      </c>
      <c r="H450" s="16" t="s">
        <v>2225</v>
      </c>
      <c r="I450" s="16" t="s">
        <v>68</v>
      </c>
      <c r="J450" s="16" t="s">
        <v>2006</v>
      </c>
      <c r="K450" s="32" t="n">
        <v>6</v>
      </c>
      <c r="L450" s="33" t="n">
        <v>46128</v>
      </c>
      <c r="M450" s="33" t="n">
        <v>46133</v>
      </c>
      <c r="N450" s="16" t="s">
        <v>2712</v>
      </c>
      <c r="O450" s="16"/>
      <c r="P450" s="16" t="str">
        <f aca="false">IF(AND(L450&lt;=$D$2,M450&gt;=$C$2),"Sí","")</f>
        <v/>
      </c>
      <c r="Q450" s="18" t="str">
        <f aca="false">IF(COUNTIF(LOOKAHEAD!$A$5:$A$604,A450)&gt;0,"En Lookahead",IF(P450="Sí","INCORPORAR",""))</f>
        <v/>
      </c>
    </row>
    <row r="451" customFormat="false" ht="15" hidden="false" customHeight="false" outlineLevel="0" collapsed="false">
      <c r="A451" s="16" t="s">
        <v>2713</v>
      </c>
      <c r="B451" s="16" t="n">
        <v>446</v>
      </c>
      <c r="C451" s="16" t="s">
        <v>2714</v>
      </c>
      <c r="D451" s="16" t="n">
        <v>8</v>
      </c>
      <c r="E451" s="39" t="s">
        <v>1999</v>
      </c>
      <c r="F451" s="16" t="s">
        <v>1285</v>
      </c>
      <c r="G451" s="16" t="s">
        <v>322</v>
      </c>
      <c r="H451" s="16" t="s">
        <v>2225</v>
      </c>
      <c r="I451" s="16" t="s">
        <v>68</v>
      </c>
      <c r="J451" s="16" t="s">
        <v>2006</v>
      </c>
      <c r="K451" s="32" t="n">
        <v>4</v>
      </c>
      <c r="L451" s="33" t="n">
        <v>46124</v>
      </c>
      <c r="M451" s="33" t="n">
        <v>46127</v>
      </c>
      <c r="N451" s="16" t="s">
        <v>2701</v>
      </c>
      <c r="O451" s="16"/>
      <c r="P451" s="16" t="str">
        <f aca="false">IF(AND(L451&lt;=$D$2,M451&gt;=$C$2),"Sí","")</f>
        <v/>
      </c>
      <c r="Q451" s="18" t="str">
        <f aca="false">IF(COUNTIF(LOOKAHEAD!$A$5:$A$604,A451)&gt;0,"En Lookahead",IF(P451="Sí","INCORPORAR",""))</f>
        <v/>
      </c>
    </row>
    <row r="452" customFormat="false" ht="15" hidden="false" customHeight="false" outlineLevel="0" collapsed="false">
      <c r="A452" s="16" t="s">
        <v>2715</v>
      </c>
      <c r="B452" s="16" t="n">
        <v>447</v>
      </c>
      <c r="C452" s="16" t="s">
        <v>2716</v>
      </c>
      <c r="D452" s="16" t="n">
        <v>8</v>
      </c>
      <c r="E452" s="39" t="s">
        <v>1677</v>
      </c>
      <c r="F452" s="16" t="s">
        <v>1285</v>
      </c>
      <c r="G452" s="16" t="s">
        <v>322</v>
      </c>
      <c r="H452" s="16" t="s">
        <v>2225</v>
      </c>
      <c r="I452" s="16" t="s">
        <v>68</v>
      </c>
      <c r="J452" s="16" t="s">
        <v>2006</v>
      </c>
      <c r="K452" s="32" t="n">
        <v>1</v>
      </c>
      <c r="L452" s="33" t="n">
        <v>46135</v>
      </c>
      <c r="M452" s="33" t="n">
        <v>46135</v>
      </c>
      <c r="N452" s="16" t="s">
        <v>2717</v>
      </c>
      <c r="O452" s="16"/>
      <c r="P452" s="16" t="str">
        <f aca="false">IF(AND(L452&lt;=$D$2,M452&gt;=$C$2),"Sí","")</f>
        <v/>
      </c>
      <c r="Q452" s="18" t="str">
        <f aca="false">IF(COUNTIF(LOOKAHEAD!$A$5:$A$604,A452)&gt;0,"En Lookahead",IF(P452="Sí","INCORPORAR",""))</f>
        <v/>
      </c>
    </row>
    <row r="453" customFormat="false" ht="15" hidden="false" customHeight="false" outlineLevel="0" collapsed="false">
      <c r="A453" s="13" t="s">
        <v>2718</v>
      </c>
      <c r="B453" s="13" t="n">
        <v>448</v>
      </c>
      <c r="C453" s="13" t="s">
        <v>2719</v>
      </c>
      <c r="D453" s="13" t="n">
        <v>7</v>
      </c>
      <c r="E453" s="38" t="s">
        <v>2022</v>
      </c>
      <c r="F453" s="13" t="s">
        <v>1298</v>
      </c>
      <c r="G453" s="13" t="s">
        <v>322</v>
      </c>
      <c r="H453" s="13" t="s">
        <v>2225</v>
      </c>
      <c r="I453" s="13" t="s">
        <v>68</v>
      </c>
      <c r="J453" s="13" t="s">
        <v>1985</v>
      </c>
      <c r="K453" s="30" t="n">
        <v>17</v>
      </c>
      <c r="L453" s="31" t="n">
        <v>46124</v>
      </c>
      <c r="M453" s="31" t="n">
        <v>46140</v>
      </c>
      <c r="N453" s="13"/>
      <c r="O453" s="13"/>
      <c r="P453" s="13"/>
      <c r="Q453" s="13"/>
    </row>
    <row r="454" customFormat="false" ht="15" hidden="false" customHeight="false" outlineLevel="0" collapsed="false">
      <c r="A454" s="16" t="s">
        <v>2720</v>
      </c>
      <c r="B454" s="16" t="n">
        <v>449</v>
      </c>
      <c r="C454" s="16" t="s">
        <v>2721</v>
      </c>
      <c r="D454" s="16" t="n">
        <v>8</v>
      </c>
      <c r="E454" s="39" t="s">
        <v>2025</v>
      </c>
      <c r="F454" s="16" t="s">
        <v>1285</v>
      </c>
      <c r="G454" s="16" t="s">
        <v>322</v>
      </c>
      <c r="H454" s="16" t="s">
        <v>2225</v>
      </c>
      <c r="I454" s="16" t="s">
        <v>68</v>
      </c>
      <c r="J454" s="16" t="s">
        <v>2022</v>
      </c>
      <c r="K454" s="32" t="n">
        <v>1</v>
      </c>
      <c r="L454" s="33" t="n">
        <v>46139</v>
      </c>
      <c r="M454" s="33" t="n">
        <v>46139</v>
      </c>
      <c r="N454" s="16" t="s">
        <v>2722</v>
      </c>
      <c r="O454" s="16"/>
      <c r="P454" s="16" t="str">
        <f aca="false">IF(AND(L454&lt;=$D$2,M454&gt;=$C$2),"Sí","")</f>
        <v/>
      </c>
      <c r="Q454" s="18" t="str">
        <f aca="false">IF(COUNTIF(LOOKAHEAD!$A$5:$A$604,A454)&gt;0,"En Lookahead",IF(P454="Sí","INCORPORAR",""))</f>
        <v/>
      </c>
    </row>
    <row r="455" customFormat="false" ht="15" hidden="false" customHeight="false" outlineLevel="0" collapsed="false">
      <c r="A455" s="16" t="s">
        <v>2723</v>
      </c>
      <c r="B455" s="16" t="n">
        <v>450</v>
      </c>
      <c r="C455" s="16" t="s">
        <v>2724</v>
      </c>
      <c r="D455" s="16" t="n">
        <v>8</v>
      </c>
      <c r="E455" s="39" t="s">
        <v>2029</v>
      </c>
      <c r="F455" s="16" t="s">
        <v>1285</v>
      </c>
      <c r="G455" s="16" t="s">
        <v>322</v>
      </c>
      <c r="H455" s="16" t="s">
        <v>2225</v>
      </c>
      <c r="I455" s="16" t="s">
        <v>68</v>
      </c>
      <c r="J455" s="16" t="s">
        <v>2022</v>
      </c>
      <c r="K455" s="32" t="n">
        <v>10</v>
      </c>
      <c r="L455" s="33" t="n">
        <v>46129</v>
      </c>
      <c r="M455" s="33" t="n">
        <v>46138</v>
      </c>
      <c r="N455" s="16" t="s">
        <v>2725</v>
      </c>
      <c r="O455" s="16"/>
      <c r="P455" s="16" t="str">
        <f aca="false">IF(AND(L455&lt;=$D$2,M455&gt;=$C$2),"Sí","")</f>
        <v/>
      </c>
      <c r="Q455" s="18" t="str">
        <f aca="false">IF(COUNTIF(LOOKAHEAD!$A$5:$A$604,A455)&gt;0,"En Lookahead",IF(P455="Sí","INCORPORAR",""))</f>
        <v/>
      </c>
    </row>
    <row r="456" customFormat="false" ht="15" hidden="false" customHeight="false" outlineLevel="0" collapsed="false">
      <c r="A456" s="16" t="s">
        <v>2726</v>
      </c>
      <c r="B456" s="16" t="n">
        <v>451</v>
      </c>
      <c r="C456" s="16" t="s">
        <v>2727</v>
      </c>
      <c r="D456" s="16" t="n">
        <v>8</v>
      </c>
      <c r="E456" s="39" t="s">
        <v>1999</v>
      </c>
      <c r="F456" s="16" t="s">
        <v>1285</v>
      </c>
      <c r="G456" s="16" t="s">
        <v>322</v>
      </c>
      <c r="H456" s="16" t="s">
        <v>2225</v>
      </c>
      <c r="I456" s="16" t="s">
        <v>68</v>
      </c>
      <c r="J456" s="16" t="s">
        <v>2022</v>
      </c>
      <c r="K456" s="32" t="n">
        <v>5</v>
      </c>
      <c r="L456" s="33" t="n">
        <v>46124</v>
      </c>
      <c r="M456" s="33" t="n">
        <v>46128</v>
      </c>
      <c r="N456" s="16" t="s">
        <v>2701</v>
      </c>
      <c r="O456" s="16"/>
      <c r="P456" s="16" t="str">
        <f aca="false">IF(AND(L456&lt;=$D$2,M456&gt;=$C$2),"Sí","")</f>
        <v/>
      </c>
      <c r="Q456" s="18" t="str">
        <f aca="false">IF(COUNTIF(LOOKAHEAD!$A$5:$A$604,A456)&gt;0,"En Lookahead",IF(P456="Sí","INCORPORAR",""))</f>
        <v/>
      </c>
    </row>
    <row r="457" customFormat="false" ht="15" hidden="false" customHeight="false" outlineLevel="0" collapsed="false">
      <c r="A457" s="16" t="s">
        <v>2728</v>
      </c>
      <c r="B457" s="16" t="n">
        <v>452</v>
      </c>
      <c r="C457" s="16" t="s">
        <v>2729</v>
      </c>
      <c r="D457" s="16" t="n">
        <v>8</v>
      </c>
      <c r="E457" s="39" t="s">
        <v>1677</v>
      </c>
      <c r="F457" s="16" t="s">
        <v>1285</v>
      </c>
      <c r="G457" s="16" t="s">
        <v>322</v>
      </c>
      <c r="H457" s="16" t="s">
        <v>2225</v>
      </c>
      <c r="I457" s="16" t="s">
        <v>68</v>
      </c>
      <c r="J457" s="16" t="s">
        <v>2022</v>
      </c>
      <c r="K457" s="32" t="n">
        <v>1</v>
      </c>
      <c r="L457" s="33" t="n">
        <v>46140</v>
      </c>
      <c r="M457" s="33" t="n">
        <v>46140</v>
      </c>
      <c r="N457" s="16" t="s">
        <v>2730</v>
      </c>
      <c r="O457" s="16"/>
      <c r="P457" s="16" t="str">
        <f aca="false">IF(AND(L457&lt;=$D$2,M457&gt;=$C$2),"Sí","")</f>
        <v/>
      </c>
      <c r="Q457" s="18" t="str">
        <f aca="false">IF(COUNTIF(LOOKAHEAD!$A$5:$A$604,A457)&gt;0,"En Lookahead",IF(P457="Sí","INCORPORAR",""))</f>
        <v/>
      </c>
    </row>
    <row r="458" customFormat="false" ht="15" hidden="false" customHeight="false" outlineLevel="0" collapsed="false">
      <c r="A458" s="13" t="s">
        <v>2731</v>
      </c>
      <c r="B458" s="13" t="n">
        <v>453</v>
      </c>
      <c r="C458" s="13" t="s">
        <v>2732</v>
      </c>
      <c r="D458" s="13" t="n">
        <v>7</v>
      </c>
      <c r="E458" s="38" t="s">
        <v>2038</v>
      </c>
      <c r="F458" s="13" t="s">
        <v>1298</v>
      </c>
      <c r="G458" s="13" t="s">
        <v>322</v>
      </c>
      <c r="H458" s="13" t="s">
        <v>2225</v>
      </c>
      <c r="I458" s="13" t="s">
        <v>68</v>
      </c>
      <c r="J458" s="13" t="s">
        <v>1985</v>
      </c>
      <c r="K458" s="30" t="n">
        <v>12</v>
      </c>
      <c r="L458" s="31" t="n">
        <v>46124</v>
      </c>
      <c r="M458" s="31" t="n">
        <v>46135</v>
      </c>
      <c r="N458" s="13"/>
      <c r="O458" s="13"/>
      <c r="P458" s="13"/>
      <c r="Q458" s="13"/>
    </row>
    <row r="459" customFormat="false" ht="15" hidden="false" customHeight="false" outlineLevel="0" collapsed="false">
      <c r="A459" s="16" t="s">
        <v>2733</v>
      </c>
      <c r="B459" s="16" t="n">
        <v>454</v>
      </c>
      <c r="C459" s="16" t="s">
        <v>2734</v>
      </c>
      <c r="D459" s="16" t="n">
        <v>8</v>
      </c>
      <c r="E459" s="39" t="s">
        <v>2041</v>
      </c>
      <c r="F459" s="16" t="s">
        <v>1285</v>
      </c>
      <c r="G459" s="16" t="s">
        <v>322</v>
      </c>
      <c r="H459" s="16" t="s">
        <v>2225</v>
      </c>
      <c r="I459" s="16" t="s">
        <v>68</v>
      </c>
      <c r="J459" s="16" t="s">
        <v>2038</v>
      </c>
      <c r="K459" s="32" t="n">
        <v>1</v>
      </c>
      <c r="L459" s="33" t="n">
        <v>46134</v>
      </c>
      <c r="M459" s="33" t="n">
        <v>46134</v>
      </c>
      <c r="N459" s="16" t="s">
        <v>2735</v>
      </c>
      <c r="O459" s="16"/>
      <c r="P459" s="16" t="str">
        <f aca="false">IF(AND(L459&lt;=$D$2,M459&gt;=$C$2),"Sí","")</f>
        <v/>
      </c>
      <c r="Q459" s="18" t="str">
        <f aca="false">IF(COUNTIF(LOOKAHEAD!$A$5:$A$604,A459)&gt;0,"En Lookahead",IF(P459="Sí","INCORPORAR",""))</f>
        <v/>
      </c>
    </row>
    <row r="460" customFormat="false" ht="15" hidden="false" customHeight="false" outlineLevel="0" collapsed="false">
      <c r="A460" s="16" t="s">
        <v>2736</v>
      </c>
      <c r="B460" s="16" t="n">
        <v>455</v>
      </c>
      <c r="C460" s="16" t="s">
        <v>2737</v>
      </c>
      <c r="D460" s="16" t="n">
        <v>8</v>
      </c>
      <c r="E460" s="39" t="s">
        <v>2045</v>
      </c>
      <c r="F460" s="16" t="s">
        <v>1285</v>
      </c>
      <c r="G460" s="16" t="s">
        <v>322</v>
      </c>
      <c r="H460" s="16" t="s">
        <v>2225</v>
      </c>
      <c r="I460" s="16" t="s">
        <v>68</v>
      </c>
      <c r="J460" s="16" t="s">
        <v>2038</v>
      </c>
      <c r="K460" s="32" t="n">
        <v>6</v>
      </c>
      <c r="L460" s="33" t="n">
        <v>46128</v>
      </c>
      <c r="M460" s="33" t="n">
        <v>46133</v>
      </c>
      <c r="N460" s="16" t="s">
        <v>2738</v>
      </c>
      <c r="O460" s="16"/>
      <c r="P460" s="16" t="str">
        <f aca="false">IF(AND(L460&lt;=$D$2,M460&gt;=$C$2),"Sí","")</f>
        <v/>
      </c>
      <c r="Q460" s="18" t="str">
        <f aca="false">IF(COUNTIF(LOOKAHEAD!$A$5:$A$604,A460)&gt;0,"En Lookahead",IF(P460="Sí","INCORPORAR",""))</f>
        <v/>
      </c>
    </row>
    <row r="461" customFormat="false" ht="15" hidden="false" customHeight="false" outlineLevel="0" collapsed="false">
      <c r="A461" s="16" t="s">
        <v>2739</v>
      </c>
      <c r="B461" s="16" t="n">
        <v>456</v>
      </c>
      <c r="C461" s="16" t="s">
        <v>2740</v>
      </c>
      <c r="D461" s="16" t="n">
        <v>8</v>
      </c>
      <c r="E461" s="39" t="s">
        <v>1999</v>
      </c>
      <c r="F461" s="16" t="s">
        <v>1285</v>
      </c>
      <c r="G461" s="16" t="s">
        <v>322</v>
      </c>
      <c r="H461" s="16" t="s">
        <v>2225</v>
      </c>
      <c r="I461" s="16" t="s">
        <v>68</v>
      </c>
      <c r="J461" s="16" t="s">
        <v>2038</v>
      </c>
      <c r="K461" s="32" t="n">
        <v>4</v>
      </c>
      <c r="L461" s="33" t="n">
        <v>46124</v>
      </c>
      <c r="M461" s="33" t="n">
        <v>46127</v>
      </c>
      <c r="N461" s="16" t="s">
        <v>2701</v>
      </c>
      <c r="O461" s="16"/>
      <c r="P461" s="16" t="str">
        <f aca="false">IF(AND(L461&lt;=$D$2,M461&gt;=$C$2),"Sí","")</f>
        <v/>
      </c>
      <c r="Q461" s="18" t="str">
        <f aca="false">IF(COUNTIF(LOOKAHEAD!$A$5:$A$604,A461)&gt;0,"En Lookahead",IF(P461="Sí","INCORPORAR",""))</f>
        <v/>
      </c>
    </row>
    <row r="462" customFormat="false" ht="15" hidden="false" customHeight="false" outlineLevel="0" collapsed="false">
      <c r="A462" s="16" t="s">
        <v>2741</v>
      </c>
      <c r="B462" s="16" t="n">
        <v>457</v>
      </c>
      <c r="C462" s="16" t="s">
        <v>2742</v>
      </c>
      <c r="D462" s="16" t="n">
        <v>8</v>
      </c>
      <c r="E462" s="39" t="s">
        <v>1677</v>
      </c>
      <c r="F462" s="16" t="s">
        <v>1285</v>
      </c>
      <c r="G462" s="16" t="s">
        <v>322</v>
      </c>
      <c r="H462" s="16" t="s">
        <v>2225</v>
      </c>
      <c r="I462" s="16" t="s">
        <v>68</v>
      </c>
      <c r="J462" s="16" t="s">
        <v>2038</v>
      </c>
      <c r="K462" s="32" t="n">
        <v>1</v>
      </c>
      <c r="L462" s="33" t="n">
        <v>46135</v>
      </c>
      <c r="M462" s="33" t="n">
        <v>46135</v>
      </c>
      <c r="N462" s="16" t="s">
        <v>2743</v>
      </c>
      <c r="O462" s="16"/>
      <c r="P462" s="16" t="str">
        <f aca="false">IF(AND(L462&lt;=$D$2,M462&gt;=$C$2),"Sí","")</f>
        <v/>
      </c>
      <c r="Q462" s="18" t="str">
        <f aca="false">IF(COUNTIF(LOOKAHEAD!$A$5:$A$604,A462)&gt;0,"En Lookahead",IF(P462="Sí","INCORPORAR",""))</f>
        <v/>
      </c>
    </row>
    <row r="463" customFormat="false" ht="15" hidden="false" customHeight="false" outlineLevel="0" collapsed="false">
      <c r="A463" s="13" t="s">
        <v>2744</v>
      </c>
      <c r="B463" s="13" t="n">
        <v>458</v>
      </c>
      <c r="C463" s="13" t="s">
        <v>2745</v>
      </c>
      <c r="D463" s="13" t="n">
        <v>6</v>
      </c>
      <c r="E463" s="36" t="s">
        <v>2054</v>
      </c>
      <c r="F463" s="13" t="s">
        <v>1298</v>
      </c>
      <c r="G463" s="13" t="s">
        <v>322</v>
      </c>
      <c r="H463" s="13" t="s">
        <v>2225</v>
      </c>
      <c r="I463" s="13" t="s">
        <v>68</v>
      </c>
      <c r="J463" s="13" t="s">
        <v>1623</v>
      </c>
      <c r="K463" s="30" t="n">
        <v>17</v>
      </c>
      <c r="L463" s="31" t="n">
        <v>46131</v>
      </c>
      <c r="M463" s="31" t="n">
        <v>46147</v>
      </c>
      <c r="N463" s="13"/>
      <c r="O463" s="13"/>
      <c r="P463" s="13"/>
      <c r="Q463" s="13"/>
    </row>
    <row r="464" customFormat="false" ht="15" hidden="false" customHeight="false" outlineLevel="0" collapsed="false">
      <c r="A464" s="13" t="s">
        <v>2746</v>
      </c>
      <c r="B464" s="13" t="n">
        <v>459</v>
      </c>
      <c r="C464" s="13" t="s">
        <v>2747</v>
      </c>
      <c r="D464" s="13" t="n">
        <v>7</v>
      </c>
      <c r="E464" s="38" t="s">
        <v>2057</v>
      </c>
      <c r="F464" s="13" t="s">
        <v>1298</v>
      </c>
      <c r="G464" s="13" t="s">
        <v>322</v>
      </c>
      <c r="H464" s="13" t="s">
        <v>2225</v>
      </c>
      <c r="I464" s="13" t="s">
        <v>68</v>
      </c>
      <c r="J464" s="13" t="s">
        <v>2054</v>
      </c>
      <c r="K464" s="30" t="n">
        <v>8</v>
      </c>
      <c r="L464" s="31" t="n">
        <v>46131</v>
      </c>
      <c r="M464" s="31" t="n">
        <v>46138</v>
      </c>
      <c r="N464" s="13"/>
      <c r="O464" s="13"/>
      <c r="P464" s="13"/>
      <c r="Q464" s="13"/>
    </row>
    <row r="465" customFormat="false" ht="15" hidden="false" customHeight="false" outlineLevel="0" collapsed="false">
      <c r="A465" s="16" t="s">
        <v>2748</v>
      </c>
      <c r="B465" s="16" t="n">
        <v>460</v>
      </c>
      <c r="C465" s="16" t="s">
        <v>2749</v>
      </c>
      <c r="D465" s="16" t="n">
        <v>8</v>
      </c>
      <c r="E465" s="39" t="s">
        <v>2060</v>
      </c>
      <c r="F465" s="16" t="s">
        <v>1285</v>
      </c>
      <c r="G465" s="16" t="s">
        <v>322</v>
      </c>
      <c r="H465" s="16" t="s">
        <v>2225</v>
      </c>
      <c r="I465" s="16" t="s">
        <v>68</v>
      </c>
      <c r="J465" s="16" t="s">
        <v>2057</v>
      </c>
      <c r="K465" s="32" t="n">
        <v>1</v>
      </c>
      <c r="L465" s="33" t="n">
        <v>46137</v>
      </c>
      <c r="M465" s="33" t="n">
        <v>46137</v>
      </c>
      <c r="N465" s="16" t="s">
        <v>2750</v>
      </c>
      <c r="O465" s="16"/>
      <c r="P465" s="16" t="str">
        <f aca="false">IF(AND(L465&lt;=$D$2,M465&gt;=$C$2),"Sí","")</f>
        <v/>
      </c>
      <c r="Q465" s="18" t="str">
        <f aca="false">IF(COUNTIF(LOOKAHEAD!$A$5:$A$604,A465)&gt;0,"En Lookahead",IF(P465="Sí","INCORPORAR",""))</f>
        <v/>
      </c>
    </row>
    <row r="466" customFormat="false" ht="15" hidden="false" customHeight="false" outlineLevel="0" collapsed="false">
      <c r="A466" s="16" t="s">
        <v>2751</v>
      </c>
      <c r="B466" s="16" t="n">
        <v>461</v>
      </c>
      <c r="C466" s="16" t="s">
        <v>2752</v>
      </c>
      <c r="D466" s="16" t="n">
        <v>8</v>
      </c>
      <c r="E466" s="39" t="s">
        <v>2064</v>
      </c>
      <c r="F466" s="16" t="s">
        <v>1285</v>
      </c>
      <c r="G466" s="16" t="s">
        <v>322</v>
      </c>
      <c r="H466" s="16" t="s">
        <v>2225</v>
      </c>
      <c r="I466" s="16" t="s">
        <v>68</v>
      </c>
      <c r="J466" s="16" t="s">
        <v>2057</v>
      </c>
      <c r="K466" s="32" t="n">
        <v>4</v>
      </c>
      <c r="L466" s="33" t="n">
        <v>46133</v>
      </c>
      <c r="M466" s="33" t="n">
        <v>46136</v>
      </c>
      <c r="N466" s="16" t="s">
        <v>2753</v>
      </c>
      <c r="O466" s="16"/>
      <c r="P466" s="16" t="str">
        <f aca="false">IF(AND(L466&lt;=$D$2,M466&gt;=$C$2),"Sí","")</f>
        <v/>
      </c>
      <c r="Q466" s="18" t="str">
        <f aca="false">IF(COUNTIF(LOOKAHEAD!$A$5:$A$604,A466)&gt;0,"En Lookahead",IF(P466="Sí","INCORPORAR",""))</f>
        <v/>
      </c>
    </row>
    <row r="467" customFormat="false" ht="15" hidden="false" customHeight="false" outlineLevel="0" collapsed="false">
      <c r="A467" s="16" t="s">
        <v>2754</v>
      </c>
      <c r="B467" s="16" t="n">
        <v>462</v>
      </c>
      <c r="C467" s="16" t="s">
        <v>2755</v>
      </c>
      <c r="D467" s="16" t="n">
        <v>8</v>
      </c>
      <c r="E467" s="39" t="s">
        <v>1800</v>
      </c>
      <c r="F467" s="16" t="s">
        <v>1285</v>
      </c>
      <c r="G467" s="16" t="s">
        <v>322</v>
      </c>
      <c r="H467" s="16" t="s">
        <v>2225</v>
      </c>
      <c r="I467" s="16" t="s">
        <v>68</v>
      </c>
      <c r="J467" s="16" t="s">
        <v>2057</v>
      </c>
      <c r="K467" s="32" t="n">
        <v>2</v>
      </c>
      <c r="L467" s="33" t="n">
        <v>46131</v>
      </c>
      <c r="M467" s="33" t="n">
        <v>46132</v>
      </c>
      <c r="N467" s="16" t="s">
        <v>2704</v>
      </c>
      <c r="O467" s="16"/>
      <c r="P467" s="16" t="str">
        <f aca="false">IF(AND(L467&lt;=$D$2,M467&gt;=$C$2),"Sí","")</f>
        <v/>
      </c>
      <c r="Q467" s="18" t="str">
        <f aca="false">IF(COUNTIF(LOOKAHEAD!$A$5:$A$604,A467)&gt;0,"En Lookahead",IF(P467="Sí","INCORPORAR",""))</f>
        <v/>
      </c>
    </row>
    <row r="468" customFormat="false" ht="15" hidden="false" customHeight="false" outlineLevel="0" collapsed="false">
      <c r="A468" s="16" t="s">
        <v>2756</v>
      </c>
      <c r="B468" s="16" t="n">
        <v>463</v>
      </c>
      <c r="C468" s="16" t="s">
        <v>2757</v>
      </c>
      <c r="D468" s="16" t="n">
        <v>8</v>
      </c>
      <c r="E468" s="39" t="s">
        <v>1602</v>
      </c>
      <c r="F468" s="16" t="s">
        <v>1285</v>
      </c>
      <c r="G468" s="16" t="s">
        <v>322</v>
      </c>
      <c r="H468" s="16" t="s">
        <v>2225</v>
      </c>
      <c r="I468" s="16" t="s">
        <v>68</v>
      </c>
      <c r="J468" s="16" t="s">
        <v>2057</v>
      </c>
      <c r="K468" s="32" t="n">
        <v>1</v>
      </c>
      <c r="L468" s="33" t="n">
        <v>46138</v>
      </c>
      <c r="M468" s="33" t="n">
        <v>46138</v>
      </c>
      <c r="N468" s="16" t="s">
        <v>2758</v>
      </c>
      <c r="O468" s="16"/>
      <c r="P468" s="16" t="str">
        <f aca="false">IF(AND(L468&lt;=$D$2,M468&gt;=$C$2),"Sí","")</f>
        <v/>
      </c>
      <c r="Q468" s="18" t="str">
        <f aca="false">IF(COUNTIF(LOOKAHEAD!$A$5:$A$604,A468)&gt;0,"En Lookahead",IF(P468="Sí","INCORPORAR",""))</f>
        <v/>
      </c>
    </row>
    <row r="469" customFormat="false" ht="15" hidden="false" customHeight="false" outlineLevel="0" collapsed="false">
      <c r="A469" s="13" t="s">
        <v>2759</v>
      </c>
      <c r="B469" s="13" t="n">
        <v>464</v>
      </c>
      <c r="C469" s="13" t="s">
        <v>2760</v>
      </c>
      <c r="D469" s="13" t="n">
        <v>7</v>
      </c>
      <c r="E469" s="38" t="s">
        <v>2073</v>
      </c>
      <c r="F469" s="13" t="s">
        <v>1298</v>
      </c>
      <c r="G469" s="13" t="s">
        <v>322</v>
      </c>
      <c r="H469" s="13" t="s">
        <v>2225</v>
      </c>
      <c r="I469" s="13" t="s">
        <v>68</v>
      </c>
      <c r="J469" s="13" t="s">
        <v>2054</v>
      </c>
      <c r="K469" s="30" t="n">
        <v>8</v>
      </c>
      <c r="L469" s="31" t="n">
        <v>46135</v>
      </c>
      <c r="M469" s="31" t="n">
        <v>46142</v>
      </c>
      <c r="N469" s="13"/>
      <c r="O469" s="13"/>
      <c r="P469" s="13"/>
      <c r="Q469" s="13"/>
    </row>
    <row r="470" customFormat="false" ht="15" hidden="false" customHeight="false" outlineLevel="0" collapsed="false">
      <c r="A470" s="16" t="s">
        <v>2761</v>
      </c>
      <c r="B470" s="16" t="n">
        <v>465</v>
      </c>
      <c r="C470" s="16" t="s">
        <v>2762</v>
      </c>
      <c r="D470" s="16" t="n">
        <v>8</v>
      </c>
      <c r="E470" s="39" t="s">
        <v>2076</v>
      </c>
      <c r="F470" s="16" t="s">
        <v>1285</v>
      </c>
      <c r="G470" s="16" t="s">
        <v>322</v>
      </c>
      <c r="H470" s="16" t="s">
        <v>2225</v>
      </c>
      <c r="I470" s="16" t="s">
        <v>68</v>
      </c>
      <c r="J470" s="16" t="s">
        <v>2073</v>
      </c>
      <c r="K470" s="32" t="n">
        <v>1</v>
      </c>
      <c r="L470" s="33" t="n">
        <v>46141</v>
      </c>
      <c r="M470" s="33" t="n">
        <v>46141</v>
      </c>
      <c r="N470" s="16" t="s">
        <v>2763</v>
      </c>
      <c r="O470" s="16"/>
      <c r="P470" s="16" t="str">
        <f aca="false">IF(AND(L470&lt;=$D$2,M470&gt;=$C$2),"Sí","")</f>
        <v/>
      </c>
      <c r="Q470" s="18" t="str">
        <f aca="false">IF(COUNTIF(LOOKAHEAD!$A$5:$A$604,A470)&gt;0,"En Lookahead",IF(P470="Sí","INCORPORAR",""))</f>
        <v/>
      </c>
    </row>
    <row r="471" customFormat="false" ht="15" hidden="false" customHeight="false" outlineLevel="0" collapsed="false">
      <c r="A471" s="16" t="s">
        <v>2764</v>
      </c>
      <c r="B471" s="16" t="n">
        <v>466</v>
      </c>
      <c r="C471" s="16" t="s">
        <v>2765</v>
      </c>
      <c r="D471" s="16" t="n">
        <v>8</v>
      </c>
      <c r="E471" s="39" t="s">
        <v>2080</v>
      </c>
      <c r="F471" s="16" t="s">
        <v>1285</v>
      </c>
      <c r="G471" s="16" t="s">
        <v>322</v>
      </c>
      <c r="H471" s="16" t="s">
        <v>2225</v>
      </c>
      <c r="I471" s="16" t="s">
        <v>68</v>
      </c>
      <c r="J471" s="16" t="s">
        <v>2073</v>
      </c>
      <c r="K471" s="32" t="n">
        <v>4</v>
      </c>
      <c r="L471" s="33" t="n">
        <v>46137</v>
      </c>
      <c r="M471" s="33" t="n">
        <v>46140</v>
      </c>
      <c r="N471" s="16" t="s">
        <v>2766</v>
      </c>
      <c r="O471" s="16"/>
      <c r="P471" s="16" t="str">
        <f aca="false">IF(AND(L471&lt;=$D$2,M471&gt;=$C$2),"Sí","")</f>
        <v/>
      </c>
      <c r="Q471" s="18" t="str">
        <f aca="false">IF(COUNTIF(LOOKAHEAD!$A$5:$A$604,A471)&gt;0,"En Lookahead",IF(P471="Sí","INCORPORAR",""))</f>
        <v/>
      </c>
    </row>
    <row r="472" customFormat="false" ht="15" hidden="false" customHeight="false" outlineLevel="0" collapsed="false">
      <c r="A472" s="16" t="s">
        <v>2767</v>
      </c>
      <c r="B472" s="16" t="n">
        <v>467</v>
      </c>
      <c r="C472" s="16" t="s">
        <v>2768</v>
      </c>
      <c r="D472" s="16" t="n">
        <v>8</v>
      </c>
      <c r="E472" s="39" t="s">
        <v>1800</v>
      </c>
      <c r="F472" s="16" t="s">
        <v>1285</v>
      </c>
      <c r="G472" s="16" t="s">
        <v>322</v>
      </c>
      <c r="H472" s="16" t="s">
        <v>2225</v>
      </c>
      <c r="I472" s="16" t="s">
        <v>68</v>
      </c>
      <c r="J472" s="16" t="s">
        <v>2073</v>
      </c>
      <c r="K472" s="32" t="n">
        <v>2</v>
      </c>
      <c r="L472" s="33" t="n">
        <v>46135</v>
      </c>
      <c r="M472" s="33" t="n">
        <v>46136</v>
      </c>
      <c r="N472" s="16" t="s">
        <v>2717</v>
      </c>
      <c r="O472" s="16"/>
      <c r="P472" s="16" t="str">
        <f aca="false">IF(AND(L472&lt;=$D$2,M472&gt;=$C$2),"Sí","")</f>
        <v/>
      </c>
      <c r="Q472" s="18" t="str">
        <f aca="false">IF(COUNTIF(LOOKAHEAD!$A$5:$A$604,A472)&gt;0,"En Lookahead",IF(P472="Sí","INCORPORAR",""))</f>
        <v/>
      </c>
    </row>
    <row r="473" customFormat="false" ht="15" hidden="false" customHeight="false" outlineLevel="0" collapsed="false">
      <c r="A473" s="16" t="s">
        <v>2769</v>
      </c>
      <c r="B473" s="16" t="n">
        <v>468</v>
      </c>
      <c r="C473" s="16" t="s">
        <v>2770</v>
      </c>
      <c r="D473" s="16" t="n">
        <v>8</v>
      </c>
      <c r="E473" s="39" t="s">
        <v>1602</v>
      </c>
      <c r="F473" s="16" t="s">
        <v>1285</v>
      </c>
      <c r="G473" s="16" t="s">
        <v>322</v>
      </c>
      <c r="H473" s="16" t="s">
        <v>2225</v>
      </c>
      <c r="I473" s="16" t="s">
        <v>68</v>
      </c>
      <c r="J473" s="16" t="s">
        <v>2073</v>
      </c>
      <c r="K473" s="32" t="n">
        <v>1</v>
      </c>
      <c r="L473" s="33" t="n">
        <v>46142</v>
      </c>
      <c r="M473" s="33" t="n">
        <v>46142</v>
      </c>
      <c r="N473" s="16" t="s">
        <v>2771</v>
      </c>
      <c r="O473" s="16"/>
      <c r="P473" s="16" t="str">
        <f aca="false">IF(AND(L473&lt;=$D$2,M473&gt;=$C$2),"Sí","")</f>
        <v/>
      </c>
      <c r="Q473" s="18" t="str">
        <f aca="false">IF(COUNTIF(LOOKAHEAD!$A$5:$A$604,A473)&gt;0,"En Lookahead",IF(P473="Sí","INCORPORAR",""))</f>
        <v/>
      </c>
    </row>
    <row r="474" customFormat="false" ht="15" hidden="false" customHeight="false" outlineLevel="0" collapsed="false">
      <c r="A474" s="13" t="s">
        <v>2772</v>
      </c>
      <c r="B474" s="13" t="n">
        <v>469</v>
      </c>
      <c r="C474" s="13" t="s">
        <v>2773</v>
      </c>
      <c r="D474" s="13" t="n">
        <v>7</v>
      </c>
      <c r="E474" s="38" t="s">
        <v>2089</v>
      </c>
      <c r="F474" s="13" t="s">
        <v>1298</v>
      </c>
      <c r="G474" s="13" t="s">
        <v>322</v>
      </c>
      <c r="H474" s="13" t="s">
        <v>2225</v>
      </c>
      <c r="I474" s="13" t="s">
        <v>68</v>
      </c>
      <c r="J474" s="13" t="s">
        <v>2054</v>
      </c>
      <c r="K474" s="30" t="n">
        <v>8</v>
      </c>
      <c r="L474" s="31" t="n">
        <v>46140</v>
      </c>
      <c r="M474" s="31" t="n">
        <v>46147</v>
      </c>
      <c r="N474" s="13"/>
      <c r="O474" s="13"/>
      <c r="P474" s="13"/>
      <c r="Q474" s="13"/>
    </row>
    <row r="475" customFormat="false" ht="15" hidden="false" customHeight="false" outlineLevel="0" collapsed="false">
      <c r="A475" s="16" t="s">
        <v>2774</v>
      </c>
      <c r="B475" s="16" t="n">
        <v>470</v>
      </c>
      <c r="C475" s="16" t="s">
        <v>2775</v>
      </c>
      <c r="D475" s="16" t="n">
        <v>8</v>
      </c>
      <c r="E475" s="39" t="s">
        <v>2092</v>
      </c>
      <c r="F475" s="16" t="s">
        <v>1285</v>
      </c>
      <c r="G475" s="16" t="s">
        <v>322</v>
      </c>
      <c r="H475" s="16" t="s">
        <v>2225</v>
      </c>
      <c r="I475" s="16" t="s">
        <v>68</v>
      </c>
      <c r="J475" s="16" t="s">
        <v>2089</v>
      </c>
      <c r="K475" s="32" t="n">
        <v>1</v>
      </c>
      <c r="L475" s="33" t="n">
        <v>46146</v>
      </c>
      <c r="M475" s="33" t="n">
        <v>46146</v>
      </c>
      <c r="N475" s="16" t="s">
        <v>2776</v>
      </c>
      <c r="O475" s="16"/>
      <c r="P475" s="16" t="str">
        <f aca="false">IF(AND(L475&lt;=$D$2,M475&gt;=$C$2),"Sí","")</f>
        <v/>
      </c>
      <c r="Q475" s="18" t="str">
        <f aca="false">IF(COUNTIF(LOOKAHEAD!$A$5:$A$604,A475)&gt;0,"En Lookahead",IF(P475="Sí","INCORPORAR",""))</f>
        <v/>
      </c>
    </row>
    <row r="476" customFormat="false" ht="15" hidden="false" customHeight="false" outlineLevel="0" collapsed="false">
      <c r="A476" s="16" t="s">
        <v>2777</v>
      </c>
      <c r="B476" s="16" t="n">
        <v>471</v>
      </c>
      <c r="C476" s="16" t="s">
        <v>2778</v>
      </c>
      <c r="D476" s="16" t="n">
        <v>8</v>
      </c>
      <c r="E476" s="39" t="s">
        <v>2096</v>
      </c>
      <c r="F476" s="16" t="s">
        <v>1285</v>
      </c>
      <c r="G476" s="16" t="s">
        <v>322</v>
      </c>
      <c r="H476" s="16" t="s">
        <v>2225</v>
      </c>
      <c r="I476" s="16" t="s">
        <v>68</v>
      </c>
      <c r="J476" s="16" t="s">
        <v>2089</v>
      </c>
      <c r="K476" s="32" t="n">
        <v>4</v>
      </c>
      <c r="L476" s="33" t="n">
        <v>46142</v>
      </c>
      <c r="M476" s="33" t="n">
        <v>46145</v>
      </c>
      <c r="N476" s="16" t="s">
        <v>2779</v>
      </c>
      <c r="O476" s="16"/>
      <c r="P476" s="16" t="str">
        <f aca="false">IF(AND(L476&lt;=$D$2,M476&gt;=$C$2),"Sí","")</f>
        <v/>
      </c>
      <c r="Q476" s="18" t="str">
        <f aca="false">IF(COUNTIF(LOOKAHEAD!$A$5:$A$604,A476)&gt;0,"En Lookahead",IF(P476="Sí","INCORPORAR",""))</f>
        <v/>
      </c>
    </row>
    <row r="477" customFormat="false" ht="15" hidden="false" customHeight="false" outlineLevel="0" collapsed="false">
      <c r="A477" s="16" t="s">
        <v>2780</v>
      </c>
      <c r="B477" s="16" t="n">
        <v>472</v>
      </c>
      <c r="C477" s="16" t="s">
        <v>2781</v>
      </c>
      <c r="D477" s="16" t="n">
        <v>8</v>
      </c>
      <c r="E477" s="39" t="s">
        <v>1800</v>
      </c>
      <c r="F477" s="16" t="s">
        <v>1285</v>
      </c>
      <c r="G477" s="16" t="s">
        <v>322</v>
      </c>
      <c r="H477" s="16" t="s">
        <v>2225</v>
      </c>
      <c r="I477" s="16" t="s">
        <v>68</v>
      </c>
      <c r="J477" s="16" t="s">
        <v>2089</v>
      </c>
      <c r="K477" s="32" t="n">
        <v>2</v>
      </c>
      <c r="L477" s="33" t="n">
        <v>46140</v>
      </c>
      <c r="M477" s="33" t="n">
        <v>46141</v>
      </c>
      <c r="N477" s="16" t="s">
        <v>2730</v>
      </c>
      <c r="O477" s="16"/>
      <c r="P477" s="16" t="str">
        <f aca="false">IF(AND(L477&lt;=$D$2,M477&gt;=$C$2),"Sí","")</f>
        <v/>
      </c>
      <c r="Q477" s="18" t="str">
        <f aca="false">IF(COUNTIF(LOOKAHEAD!$A$5:$A$604,A477)&gt;0,"En Lookahead",IF(P477="Sí","INCORPORAR",""))</f>
        <v/>
      </c>
    </row>
    <row r="478" customFormat="false" ht="15" hidden="false" customHeight="false" outlineLevel="0" collapsed="false">
      <c r="A478" s="16" t="s">
        <v>2782</v>
      </c>
      <c r="B478" s="16" t="n">
        <v>473</v>
      </c>
      <c r="C478" s="16" t="s">
        <v>2783</v>
      </c>
      <c r="D478" s="16" t="n">
        <v>8</v>
      </c>
      <c r="E478" s="39" t="s">
        <v>1602</v>
      </c>
      <c r="F478" s="16" t="s">
        <v>1285</v>
      </c>
      <c r="G478" s="16" t="s">
        <v>322</v>
      </c>
      <c r="H478" s="16" t="s">
        <v>2225</v>
      </c>
      <c r="I478" s="16" t="s">
        <v>68</v>
      </c>
      <c r="J478" s="16" t="s">
        <v>2089</v>
      </c>
      <c r="K478" s="32" t="n">
        <v>1</v>
      </c>
      <c r="L478" s="33" t="n">
        <v>46147</v>
      </c>
      <c r="M478" s="33" t="n">
        <v>46147</v>
      </c>
      <c r="N478" s="16" t="s">
        <v>2784</v>
      </c>
      <c r="O478" s="16"/>
      <c r="P478" s="16" t="str">
        <f aca="false">IF(AND(L478&lt;=$D$2,M478&gt;=$C$2),"Sí","")</f>
        <v/>
      </c>
      <c r="Q478" s="18" t="str">
        <f aca="false">IF(COUNTIF(LOOKAHEAD!$A$5:$A$604,A478)&gt;0,"En Lookahead",IF(P478="Sí","INCORPORAR",""))</f>
        <v/>
      </c>
    </row>
    <row r="479" customFormat="false" ht="15" hidden="false" customHeight="false" outlineLevel="0" collapsed="false">
      <c r="A479" s="13" t="s">
        <v>2785</v>
      </c>
      <c r="B479" s="13" t="n">
        <v>474</v>
      </c>
      <c r="C479" s="13" t="s">
        <v>2786</v>
      </c>
      <c r="D479" s="13" t="n">
        <v>7</v>
      </c>
      <c r="E479" s="38" t="s">
        <v>2054</v>
      </c>
      <c r="F479" s="13" t="s">
        <v>1298</v>
      </c>
      <c r="G479" s="13" t="s">
        <v>322</v>
      </c>
      <c r="H479" s="13" t="s">
        <v>2225</v>
      </c>
      <c r="I479" s="13" t="s">
        <v>68</v>
      </c>
      <c r="J479" s="13" t="s">
        <v>2054</v>
      </c>
      <c r="K479" s="30" t="n">
        <v>10</v>
      </c>
      <c r="L479" s="31" t="n">
        <v>46135</v>
      </c>
      <c r="M479" s="31" t="n">
        <v>46144</v>
      </c>
      <c r="N479" s="13"/>
      <c r="O479" s="13"/>
      <c r="P479" s="13"/>
      <c r="Q479" s="13"/>
    </row>
    <row r="480" customFormat="false" ht="15" hidden="false" customHeight="false" outlineLevel="0" collapsed="false">
      <c r="A480" s="16" t="s">
        <v>2787</v>
      </c>
      <c r="B480" s="16" t="n">
        <v>475</v>
      </c>
      <c r="C480" s="16" t="s">
        <v>2788</v>
      </c>
      <c r="D480" s="16" t="n">
        <v>8</v>
      </c>
      <c r="E480" s="39" t="s">
        <v>2107</v>
      </c>
      <c r="F480" s="16" t="s">
        <v>1285</v>
      </c>
      <c r="G480" s="16" t="s">
        <v>322</v>
      </c>
      <c r="H480" s="16" t="s">
        <v>2225</v>
      </c>
      <c r="I480" s="16" t="s">
        <v>68</v>
      </c>
      <c r="J480" s="16" t="s">
        <v>2054</v>
      </c>
      <c r="K480" s="32" t="n">
        <v>1</v>
      </c>
      <c r="L480" s="33" t="n">
        <v>46143</v>
      </c>
      <c r="M480" s="33" t="n">
        <v>46143</v>
      </c>
      <c r="N480" s="16" t="s">
        <v>2789</v>
      </c>
      <c r="O480" s="16"/>
      <c r="P480" s="16" t="str">
        <f aca="false">IF(AND(L480&lt;=$D$2,M480&gt;=$C$2),"Sí","")</f>
        <v/>
      </c>
      <c r="Q480" s="18" t="str">
        <f aca="false">IF(COUNTIF(LOOKAHEAD!$A$5:$A$604,A480)&gt;0,"En Lookahead",IF(P480="Sí","INCORPORAR",""))</f>
        <v/>
      </c>
    </row>
    <row r="481" customFormat="false" ht="15" hidden="false" customHeight="false" outlineLevel="0" collapsed="false">
      <c r="A481" s="16" t="s">
        <v>2790</v>
      </c>
      <c r="B481" s="16" t="n">
        <v>476</v>
      </c>
      <c r="C481" s="16" t="s">
        <v>2791</v>
      </c>
      <c r="D481" s="16" t="n">
        <v>8</v>
      </c>
      <c r="E481" s="39" t="s">
        <v>2111</v>
      </c>
      <c r="F481" s="16" t="s">
        <v>1285</v>
      </c>
      <c r="G481" s="16" t="s">
        <v>322</v>
      </c>
      <c r="H481" s="16" t="s">
        <v>2225</v>
      </c>
      <c r="I481" s="16" t="s">
        <v>68</v>
      </c>
      <c r="J481" s="16" t="s">
        <v>2054</v>
      </c>
      <c r="K481" s="32" t="n">
        <v>5</v>
      </c>
      <c r="L481" s="33" t="n">
        <v>46138</v>
      </c>
      <c r="M481" s="33" t="n">
        <v>46142</v>
      </c>
      <c r="N481" s="16" t="s">
        <v>2792</v>
      </c>
      <c r="O481" s="16"/>
      <c r="P481" s="16" t="str">
        <f aca="false">IF(AND(L481&lt;=$D$2,M481&gt;=$C$2),"Sí","")</f>
        <v/>
      </c>
      <c r="Q481" s="18" t="str">
        <f aca="false">IF(COUNTIF(LOOKAHEAD!$A$5:$A$604,A481)&gt;0,"En Lookahead",IF(P481="Sí","INCORPORAR",""))</f>
        <v/>
      </c>
    </row>
    <row r="482" customFormat="false" ht="15" hidden="false" customHeight="false" outlineLevel="0" collapsed="false">
      <c r="A482" s="16" t="s">
        <v>2793</v>
      </c>
      <c r="B482" s="16" t="n">
        <v>477</v>
      </c>
      <c r="C482" s="16" t="s">
        <v>2794</v>
      </c>
      <c r="D482" s="16" t="n">
        <v>8</v>
      </c>
      <c r="E482" s="39" t="s">
        <v>1800</v>
      </c>
      <c r="F482" s="16" t="s">
        <v>1285</v>
      </c>
      <c r="G482" s="16" t="s">
        <v>322</v>
      </c>
      <c r="H482" s="16" t="s">
        <v>2225</v>
      </c>
      <c r="I482" s="16" t="s">
        <v>68</v>
      </c>
      <c r="J482" s="16" t="s">
        <v>2054</v>
      </c>
      <c r="K482" s="32" t="n">
        <v>3</v>
      </c>
      <c r="L482" s="33" t="n">
        <v>46135</v>
      </c>
      <c r="M482" s="33" t="n">
        <v>46137</v>
      </c>
      <c r="N482" s="16" t="s">
        <v>2743</v>
      </c>
      <c r="O482" s="16"/>
      <c r="P482" s="16" t="str">
        <f aca="false">IF(AND(L482&lt;=$D$2,M482&gt;=$C$2),"Sí","")</f>
        <v/>
      </c>
      <c r="Q482" s="18" t="str">
        <f aca="false">IF(COUNTIF(LOOKAHEAD!$A$5:$A$604,A482)&gt;0,"En Lookahead",IF(P482="Sí","INCORPORAR",""))</f>
        <v/>
      </c>
    </row>
    <row r="483" customFormat="false" ht="15" hidden="false" customHeight="false" outlineLevel="0" collapsed="false">
      <c r="A483" s="16" t="s">
        <v>2795</v>
      </c>
      <c r="B483" s="16" t="n">
        <v>478</v>
      </c>
      <c r="C483" s="16" t="s">
        <v>2796</v>
      </c>
      <c r="D483" s="16" t="n">
        <v>8</v>
      </c>
      <c r="E483" s="39" t="s">
        <v>1602</v>
      </c>
      <c r="F483" s="16" t="s">
        <v>1285</v>
      </c>
      <c r="G483" s="16" t="s">
        <v>322</v>
      </c>
      <c r="H483" s="16" t="s">
        <v>2225</v>
      </c>
      <c r="I483" s="16" t="s">
        <v>68</v>
      </c>
      <c r="J483" s="16" t="s">
        <v>2054</v>
      </c>
      <c r="K483" s="32" t="n">
        <v>1</v>
      </c>
      <c r="L483" s="33" t="n">
        <v>46144</v>
      </c>
      <c r="M483" s="33" t="n">
        <v>46144</v>
      </c>
      <c r="N483" s="16" t="s">
        <v>2797</v>
      </c>
      <c r="O483" s="16"/>
      <c r="P483" s="16" t="str">
        <f aca="false">IF(AND(L483&lt;=$D$2,M483&gt;=$C$2),"Sí","")</f>
        <v/>
      </c>
      <c r="Q483" s="18" t="str">
        <f aca="false">IF(COUNTIF(LOOKAHEAD!$A$5:$A$604,A483)&gt;0,"En Lookahead",IF(P483="Sí","INCORPORAR",""))</f>
        <v/>
      </c>
    </row>
    <row r="484" customFormat="false" ht="15" hidden="false" customHeight="false" outlineLevel="0" collapsed="false">
      <c r="A484" s="13" t="s">
        <v>2798</v>
      </c>
      <c r="B484" s="13" t="n">
        <v>479</v>
      </c>
      <c r="C484" s="13" t="s">
        <v>2799</v>
      </c>
      <c r="D484" s="13" t="n">
        <v>6</v>
      </c>
      <c r="E484" s="36" t="s">
        <v>2800</v>
      </c>
      <c r="F484" s="13" t="s">
        <v>1298</v>
      </c>
      <c r="G484" s="13" t="s">
        <v>322</v>
      </c>
      <c r="H484" s="13" t="s">
        <v>2225</v>
      </c>
      <c r="I484" s="13" t="s">
        <v>68</v>
      </c>
      <c r="J484" s="13" t="s">
        <v>1623</v>
      </c>
      <c r="K484" s="30" t="n">
        <v>40</v>
      </c>
      <c r="L484" s="31" t="n">
        <v>46329</v>
      </c>
      <c r="M484" s="31" t="n">
        <v>46368</v>
      </c>
      <c r="N484" s="13"/>
      <c r="O484" s="13"/>
      <c r="P484" s="13"/>
      <c r="Q484" s="13"/>
    </row>
    <row r="485" customFormat="false" ht="15" hidden="false" customHeight="false" outlineLevel="0" collapsed="false">
      <c r="A485" s="13" t="s">
        <v>2801</v>
      </c>
      <c r="B485" s="13" t="n">
        <v>480</v>
      </c>
      <c r="C485" s="13" t="s">
        <v>2802</v>
      </c>
      <c r="D485" s="13" t="n">
        <v>7</v>
      </c>
      <c r="E485" s="38" t="s">
        <v>1786</v>
      </c>
      <c r="F485" s="13" t="s">
        <v>1298</v>
      </c>
      <c r="G485" s="13" t="s">
        <v>322</v>
      </c>
      <c r="H485" s="13" t="s">
        <v>2225</v>
      </c>
      <c r="I485" s="13" t="s">
        <v>68</v>
      </c>
      <c r="J485" s="13" t="s">
        <v>2800</v>
      </c>
      <c r="K485" s="30" t="n">
        <v>19</v>
      </c>
      <c r="L485" s="31" t="n">
        <v>46347</v>
      </c>
      <c r="M485" s="31" t="n">
        <v>46365</v>
      </c>
      <c r="N485" s="13"/>
      <c r="O485" s="13"/>
      <c r="P485" s="13"/>
      <c r="Q485" s="13"/>
    </row>
    <row r="486" customFormat="false" ht="15" hidden="false" customHeight="false" outlineLevel="0" collapsed="false">
      <c r="A486" s="16" t="s">
        <v>2803</v>
      </c>
      <c r="B486" s="16" t="n">
        <v>481</v>
      </c>
      <c r="C486" s="16" t="s">
        <v>2804</v>
      </c>
      <c r="D486" s="16" t="n">
        <v>8</v>
      </c>
      <c r="E486" s="39" t="s">
        <v>2805</v>
      </c>
      <c r="F486" s="16" t="s">
        <v>1285</v>
      </c>
      <c r="G486" s="16" t="s">
        <v>322</v>
      </c>
      <c r="H486" s="16" t="s">
        <v>2225</v>
      </c>
      <c r="I486" s="16" t="s">
        <v>68</v>
      </c>
      <c r="J486" s="16" t="s">
        <v>1786</v>
      </c>
      <c r="K486" s="32" t="n">
        <v>1</v>
      </c>
      <c r="L486" s="33" t="n">
        <v>46364</v>
      </c>
      <c r="M486" s="33" t="n">
        <v>46364</v>
      </c>
      <c r="N486" s="16" t="s">
        <v>2806</v>
      </c>
      <c r="O486" s="16"/>
      <c r="P486" s="16" t="str">
        <f aca="false">IF(AND(L486&lt;=$D$2,M486&gt;=$C$2),"Sí","")</f>
        <v/>
      </c>
      <c r="Q486" s="18" t="str">
        <f aca="false">IF(COUNTIF(LOOKAHEAD!$A$5:$A$604,A486)&gt;0,"En Lookahead",IF(P486="Sí","INCORPORAR",""))</f>
        <v/>
      </c>
    </row>
    <row r="487" customFormat="false" ht="15" hidden="false" customHeight="false" outlineLevel="0" collapsed="false">
      <c r="A487" s="16" t="s">
        <v>2807</v>
      </c>
      <c r="B487" s="16" t="n">
        <v>482</v>
      </c>
      <c r="C487" s="16" t="s">
        <v>2808</v>
      </c>
      <c r="D487" s="16" t="n">
        <v>8</v>
      </c>
      <c r="E487" s="39" t="s">
        <v>2809</v>
      </c>
      <c r="F487" s="16" t="s">
        <v>1285</v>
      </c>
      <c r="G487" s="16" t="s">
        <v>322</v>
      </c>
      <c r="H487" s="16" t="s">
        <v>2225</v>
      </c>
      <c r="I487" s="16" t="s">
        <v>68</v>
      </c>
      <c r="J487" s="16" t="s">
        <v>1786</v>
      </c>
      <c r="K487" s="32" t="n">
        <v>13</v>
      </c>
      <c r="L487" s="33" t="n">
        <v>46351</v>
      </c>
      <c r="M487" s="33" t="n">
        <v>46363</v>
      </c>
      <c r="N487" s="16" t="s">
        <v>2810</v>
      </c>
      <c r="O487" s="16"/>
      <c r="P487" s="16" t="str">
        <f aca="false">IF(AND(L487&lt;=$D$2,M487&gt;=$C$2),"Sí","")</f>
        <v/>
      </c>
      <c r="Q487" s="18" t="str">
        <f aca="false">IF(COUNTIF(LOOKAHEAD!$A$5:$A$604,A487)&gt;0,"En Lookahead",IF(P487="Sí","INCORPORAR",""))</f>
        <v/>
      </c>
    </row>
    <row r="488" customFormat="false" ht="15" hidden="false" customHeight="false" outlineLevel="0" collapsed="false">
      <c r="A488" s="16" t="s">
        <v>2811</v>
      </c>
      <c r="B488" s="16" t="n">
        <v>483</v>
      </c>
      <c r="C488" s="16" t="s">
        <v>2812</v>
      </c>
      <c r="D488" s="16" t="n">
        <v>8</v>
      </c>
      <c r="E488" s="39" t="s">
        <v>2813</v>
      </c>
      <c r="F488" s="16" t="s">
        <v>1285</v>
      </c>
      <c r="G488" s="16" t="s">
        <v>322</v>
      </c>
      <c r="H488" s="16" t="s">
        <v>2225</v>
      </c>
      <c r="I488" s="16" t="s">
        <v>68</v>
      </c>
      <c r="J488" s="16" t="s">
        <v>1786</v>
      </c>
      <c r="K488" s="32" t="n">
        <v>4</v>
      </c>
      <c r="L488" s="33" t="n">
        <v>46347</v>
      </c>
      <c r="M488" s="33" t="n">
        <v>46350</v>
      </c>
      <c r="N488" s="16" t="s">
        <v>2814</v>
      </c>
      <c r="O488" s="16"/>
      <c r="P488" s="16" t="str">
        <f aca="false">IF(AND(L488&lt;=$D$2,M488&gt;=$C$2),"Sí","")</f>
        <v/>
      </c>
      <c r="Q488" s="18" t="str">
        <f aca="false">IF(COUNTIF(LOOKAHEAD!$A$5:$A$604,A488)&gt;0,"En Lookahead",IF(P488="Sí","INCORPORAR",""))</f>
        <v/>
      </c>
    </row>
    <row r="489" customFormat="false" ht="15" hidden="false" customHeight="false" outlineLevel="0" collapsed="false">
      <c r="A489" s="16" t="s">
        <v>2815</v>
      </c>
      <c r="B489" s="16" t="n">
        <v>484</v>
      </c>
      <c r="C489" s="16" t="s">
        <v>2816</v>
      </c>
      <c r="D489" s="16" t="n">
        <v>8</v>
      </c>
      <c r="E489" s="39" t="s">
        <v>1602</v>
      </c>
      <c r="F489" s="16" t="s">
        <v>1285</v>
      </c>
      <c r="G489" s="16" t="s">
        <v>322</v>
      </c>
      <c r="H489" s="16" t="s">
        <v>2225</v>
      </c>
      <c r="I489" s="16" t="s">
        <v>68</v>
      </c>
      <c r="J489" s="16" t="s">
        <v>1786</v>
      </c>
      <c r="K489" s="32" t="n">
        <v>1</v>
      </c>
      <c r="L489" s="33" t="n">
        <v>46365</v>
      </c>
      <c r="M489" s="33" t="n">
        <v>46365</v>
      </c>
      <c r="N489" s="16" t="s">
        <v>2817</v>
      </c>
      <c r="O489" s="16"/>
      <c r="P489" s="16" t="str">
        <f aca="false">IF(AND(L489&lt;=$D$2,M489&gt;=$C$2),"Sí","")</f>
        <v/>
      </c>
      <c r="Q489" s="18" t="str">
        <f aca="false">IF(COUNTIF(LOOKAHEAD!$A$5:$A$604,A489)&gt;0,"En Lookahead",IF(P489="Sí","INCORPORAR",""))</f>
        <v/>
      </c>
    </row>
    <row r="490" customFormat="false" ht="15" hidden="false" customHeight="false" outlineLevel="0" collapsed="false">
      <c r="A490" s="13" t="s">
        <v>2818</v>
      </c>
      <c r="B490" s="13" t="n">
        <v>485</v>
      </c>
      <c r="C490" s="13" t="s">
        <v>2819</v>
      </c>
      <c r="D490" s="13" t="n">
        <v>7</v>
      </c>
      <c r="E490" s="38" t="s">
        <v>1731</v>
      </c>
      <c r="F490" s="13" t="s">
        <v>1298</v>
      </c>
      <c r="G490" s="13" t="s">
        <v>322</v>
      </c>
      <c r="H490" s="13" t="s">
        <v>2225</v>
      </c>
      <c r="I490" s="13" t="s">
        <v>68</v>
      </c>
      <c r="J490" s="13" t="s">
        <v>2800</v>
      </c>
      <c r="K490" s="30" t="n">
        <v>40</v>
      </c>
      <c r="L490" s="31" t="n">
        <v>46329</v>
      </c>
      <c r="M490" s="31" t="n">
        <v>46368</v>
      </c>
      <c r="N490" s="13"/>
      <c r="O490" s="13"/>
      <c r="P490" s="13"/>
      <c r="Q490" s="13"/>
    </row>
    <row r="491" customFormat="false" ht="15" hidden="false" customHeight="false" outlineLevel="0" collapsed="false">
      <c r="A491" s="16" t="s">
        <v>2820</v>
      </c>
      <c r="B491" s="16" t="n">
        <v>486</v>
      </c>
      <c r="C491" s="16" t="s">
        <v>2821</v>
      </c>
      <c r="D491" s="16" t="n">
        <v>8</v>
      </c>
      <c r="E491" s="39" t="s">
        <v>2822</v>
      </c>
      <c r="F491" s="16" t="s">
        <v>1285</v>
      </c>
      <c r="G491" s="16" t="s">
        <v>322</v>
      </c>
      <c r="H491" s="16" t="s">
        <v>2225</v>
      </c>
      <c r="I491" s="16" t="s">
        <v>68</v>
      </c>
      <c r="J491" s="16" t="s">
        <v>1731</v>
      </c>
      <c r="K491" s="32" t="n">
        <v>2</v>
      </c>
      <c r="L491" s="33" t="n">
        <v>46362</v>
      </c>
      <c r="M491" s="33" t="n">
        <v>46363</v>
      </c>
      <c r="N491" s="16" t="s">
        <v>2823</v>
      </c>
      <c r="O491" s="16"/>
      <c r="P491" s="16" t="str">
        <f aca="false">IF(AND(L491&lt;=$D$2,M491&gt;=$C$2),"Sí","")</f>
        <v/>
      </c>
      <c r="Q491" s="18" t="str">
        <f aca="false">IF(COUNTIF(LOOKAHEAD!$A$5:$A$604,A491)&gt;0,"En Lookahead",IF(P491="Sí","INCORPORAR",""))</f>
        <v/>
      </c>
    </row>
    <row r="492" customFormat="false" ht="15" hidden="false" customHeight="false" outlineLevel="0" collapsed="false">
      <c r="A492" s="16" t="s">
        <v>2824</v>
      </c>
      <c r="B492" s="16" t="n">
        <v>487</v>
      </c>
      <c r="C492" s="16" t="s">
        <v>2825</v>
      </c>
      <c r="D492" s="16" t="n">
        <v>8</v>
      </c>
      <c r="E492" s="39" t="s">
        <v>2826</v>
      </c>
      <c r="F492" s="16" t="s">
        <v>1285</v>
      </c>
      <c r="G492" s="16" t="s">
        <v>322</v>
      </c>
      <c r="H492" s="16" t="s">
        <v>2225</v>
      </c>
      <c r="I492" s="16" t="s">
        <v>68</v>
      </c>
      <c r="J492" s="16" t="s">
        <v>1731</v>
      </c>
      <c r="K492" s="32" t="n">
        <v>15</v>
      </c>
      <c r="L492" s="33" t="n">
        <v>46347</v>
      </c>
      <c r="M492" s="33" t="n">
        <v>46361</v>
      </c>
      <c r="N492" s="16" t="s">
        <v>2814</v>
      </c>
      <c r="O492" s="16"/>
      <c r="P492" s="16" t="str">
        <f aca="false">IF(AND(L492&lt;=$D$2,M492&gt;=$C$2),"Sí","")</f>
        <v/>
      </c>
      <c r="Q492" s="18" t="str">
        <f aca="false">IF(COUNTIF(LOOKAHEAD!$A$5:$A$604,A492)&gt;0,"En Lookahead",IF(P492="Sí","INCORPORAR",""))</f>
        <v/>
      </c>
    </row>
    <row r="493" customFormat="false" ht="15" hidden="false" customHeight="false" outlineLevel="0" collapsed="false">
      <c r="A493" s="16" t="s">
        <v>2827</v>
      </c>
      <c r="B493" s="16" t="n">
        <v>488</v>
      </c>
      <c r="C493" s="16" t="s">
        <v>2828</v>
      </c>
      <c r="D493" s="16" t="n">
        <v>8</v>
      </c>
      <c r="E493" s="39" t="s">
        <v>1745</v>
      </c>
      <c r="F493" s="16" t="s">
        <v>1285</v>
      </c>
      <c r="G493" s="16" t="s">
        <v>322</v>
      </c>
      <c r="H493" s="16" t="s">
        <v>2225</v>
      </c>
      <c r="I493" s="16" t="s">
        <v>68</v>
      </c>
      <c r="J493" s="16" t="s">
        <v>1731</v>
      </c>
      <c r="K493" s="32" t="n">
        <v>18</v>
      </c>
      <c r="L493" s="33" t="n">
        <v>46329</v>
      </c>
      <c r="M493" s="33" t="n">
        <v>46346</v>
      </c>
      <c r="N493" s="16" t="s">
        <v>2577</v>
      </c>
      <c r="O493" s="16"/>
      <c r="P493" s="16" t="str">
        <f aca="false">IF(AND(L493&lt;=$D$2,M493&gt;=$C$2),"Sí","")</f>
        <v>Sí</v>
      </c>
      <c r="Q493" s="18" t="str">
        <f aca="false">IF(COUNTIF(LOOKAHEAD!$A$5:$A$604,A493)&gt;0,"En Lookahead",IF(P493="Sí","INCORPORAR",""))</f>
        <v>En Lookahead</v>
      </c>
    </row>
    <row r="494" customFormat="false" ht="15" hidden="false" customHeight="false" outlineLevel="0" collapsed="false">
      <c r="A494" s="16" t="s">
        <v>2829</v>
      </c>
      <c r="B494" s="16" t="n">
        <v>489</v>
      </c>
      <c r="C494" s="16" t="s">
        <v>2830</v>
      </c>
      <c r="D494" s="16" t="n">
        <v>8</v>
      </c>
      <c r="E494" s="39" t="s">
        <v>1677</v>
      </c>
      <c r="F494" s="16" t="s">
        <v>1285</v>
      </c>
      <c r="G494" s="16" t="s">
        <v>322</v>
      </c>
      <c r="H494" s="16" t="s">
        <v>2225</v>
      </c>
      <c r="I494" s="16" t="s">
        <v>68</v>
      </c>
      <c r="J494" s="16" t="s">
        <v>1731</v>
      </c>
      <c r="K494" s="32" t="n">
        <v>5</v>
      </c>
      <c r="L494" s="33" t="n">
        <v>46364</v>
      </c>
      <c r="M494" s="33" t="n">
        <v>46368</v>
      </c>
      <c r="N494" s="16" t="s">
        <v>2831</v>
      </c>
      <c r="O494" s="16"/>
      <c r="P494" s="16" t="str">
        <f aca="false">IF(AND(L494&lt;=$D$2,M494&gt;=$C$2),"Sí","")</f>
        <v/>
      </c>
      <c r="Q494" s="18" t="str">
        <f aca="false">IF(COUNTIF(LOOKAHEAD!$A$5:$A$604,A494)&gt;0,"En Lookahead",IF(P494="Sí","INCORPORAR",""))</f>
        <v/>
      </c>
    </row>
    <row r="495" customFormat="false" ht="15" hidden="false" customHeight="false" outlineLevel="0" collapsed="false">
      <c r="A495" s="13" t="s">
        <v>2832</v>
      </c>
      <c r="B495" s="13" t="n">
        <v>490</v>
      </c>
      <c r="C495" s="13" t="s">
        <v>2833</v>
      </c>
      <c r="D495" s="13" t="n">
        <v>7</v>
      </c>
      <c r="E495" s="38" t="s">
        <v>2491</v>
      </c>
      <c r="F495" s="13" t="s">
        <v>1298</v>
      </c>
      <c r="G495" s="13" t="s">
        <v>322</v>
      </c>
      <c r="H495" s="13" t="s">
        <v>2225</v>
      </c>
      <c r="I495" s="13" t="s">
        <v>68</v>
      </c>
      <c r="J495" s="13" t="s">
        <v>2800</v>
      </c>
      <c r="K495" s="30" t="n">
        <v>11</v>
      </c>
      <c r="L495" s="31" t="n">
        <v>46347</v>
      </c>
      <c r="M495" s="31" t="n">
        <v>46357</v>
      </c>
      <c r="N495" s="13"/>
      <c r="O495" s="13"/>
      <c r="P495" s="13"/>
      <c r="Q495" s="13"/>
    </row>
    <row r="496" customFormat="false" ht="15" hidden="false" customHeight="false" outlineLevel="0" collapsed="false">
      <c r="A496" s="16" t="s">
        <v>2834</v>
      </c>
      <c r="B496" s="16" t="n">
        <v>491</v>
      </c>
      <c r="C496" s="16" t="s">
        <v>2835</v>
      </c>
      <c r="D496" s="16" t="n">
        <v>8</v>
      </c>
      <c r="E496" s="39" t="s">
        <v>2836</v>
      </c>
      <c r="F496" s="16" t="s">
        <v>1285</v>
      </c>
      <c r="G496" s="16" t="s">
        <v>322</v>
      </c>
      <c r="H496" s="16" t="s">
        <v>2225</v>
      </c>
      <c r="I496" s="16" t="s">
        <v>68</v>
      </c>
      <c r="J496" s="16" t="s">
        <v>2491</v>
      </c>
      <c r="K496" s="32" t="n">
        <v>1</v>
      </c>
      <c r="L496" s="33" t="n">
        <v>46356</v>
      </c>
      <c r="M496" s="33" t="n">
        <v>46356</v>
      </c>
      <c r="N496" s="16" t="s">
        <v>2837</v>
      </c>
      <c r="O496" s="16"/>
      <c r="P496" s="16" t="str">
        <f aca="false">IF(AND(L496&lt;=$D$2,M496&gt;=$C$2),"Sí","")</f>
        <v/>
      </c>
      <c r="Q496" s="18" t="str">
        <f aca="false">IF(COUNTIF(LOOKAHEAD!$A$5:$A$604,A496)&gt;0,"En Lookahead",IF(P496="Sí","INCORPORAR",""))</f>
        <v/>
      </c>
    </row>
    <row r="497" customFormat="false" ht="15" hidden="false" customHeight="false" outlineLevel="0" collapsed="false">
      <c r="A497" s="16" t="s">
        <v>2838</v>
      </c>
      <c r="B497" s="16" t="n">
        <v>492</v>
      </c>
      <c r="C497" s="16" t="s">
        <v>2839</v>
      </c>
      <c r="D497" s="16" t="n">
        <v>8</v>
      </c>
      <c r="E497" s="39" t="s">
        <v>2840</v>
      </c>
      <c r="F497" s="16" t="s">
        <v>1285</v>
      </c>
      <c r="G497" s="16" t="s">
        <v>322</v>
      </c>
      <c r="H497" s="16" t="s">
        <v>2225</v>
      </c>
      <c r="I497" s="16" t="s">
        <v>68</v>
      </c>
      <c r="J497" s="16" t="s">
        <v>2491</v>
      </c>
      <c r="K497" s="32" t="n">
        <v>5</v>
      </c>
      <c r="L497" s="33" t="n">
        <v>46347</v>
      </c>
      <c r="M497" s="33" t="n">
        <v>46351</v>
      </c>
      <c r="N497" s="16" t="s">
        <v>2841</v>
      </c>
      <c r="O497" s="16"/>
      <c r="P497" s="16" t="str">
        <f aca="false">IF(AND(L497&lt;=$D$2,M497&gt;=$C$2),"Sí","")</f>
        <v/>
      </c>
      <c r="Q497" s="18" t="str">
        <f aca="false">IF(COUNTIF(LOOKAHEAD!$A$5:$A$604,A497)&gt;0,"En Lookahead",IF(P497="Sí","INCORPORAR",""))</f>
        <v/>
      </c>
    </row>
    <row r="498" customFormat="false" ht="15" hidden="false" customHeight="false" outlineLevel="0" collapsed="false">
      <c r="A498" s="16" t="s">
        <v>2842</v>
      </c>
      <c r="B498" s="16" t="n">
        <v>493</v>
      </c>
      <c r="C498" s="16" t="s">
        <v>2843</v>
      </c>
      <c r="D498" s="16" t="n">
        <v>8</v>
      </c>
      <c r="E498" s="39" t="s">
        <v>2844</v>
      </c>
      <c r="F498" s="16" t="s">
        <v>1285</v>
      </c>
      <c r="G498" s="16" t="s">
        <v>322</v>
      </c>
      <c r="H498" s="16" t="s">
        <v>2225</v>
      </c>
      <c r="I498" s="16" t="s">
        <v>68</v>
      </c>
      <c r="J498" s="16" t="s">
        <v>2491</v>
      </c>
      <c r="K498" s="32" t="n">
        <v>4</v>
      </c>
      <c r="L498" s="33" t="n">
        <v>46352</v>
      </c>
      <c r="M498" s="33" t="n">
        <v>46355</v>
      </c>
      <c r="N498" s="16" t="s">
        <v>2845</v>
      </c>
      <c r="O498" s="16"/>
      <c r="P498" s="16" t="str">
        <f aca="false">IF(AND(L498&lt;=$D$2,M498&gt;=$C$2),"Sí","")</f>
        <v/>
      </c>
      <c r="Q498" s="18" t="str">
        <f aca="false">IF(COUNTIF(LOOKAHEAD!$A$5:$A$604,A498)&gt;0,"En Lookahead",IF(P498="Sí","INCORPORAR",""))</f>
        <v/>
      </c>
    </row>
    <row r="499" customFormat="false" ht="15" hidden="false" customHeight="false" outlineLevel="0" collapsed="false">
      <c r="A499" s="16" t="s">
        <v>2846</v>
      </c>
      <c r="B499" s="16" t="n">
        <v>494</v>
      </c>
      <c r="C499" s="16" t="s">
        <v>2847</v>
      </c>
      <c r="D499" s="16" t="n">
        <v>8</v>
      </c>
      <c r="E499" s="39" t="s">
        <v>1602</v>
      </c>
      <c r="F499" s="16" t="s">
        <v>1285</v>
      </c>
      <c r="G499" s="16" t="s">
        <v>322</v>
      </c>
      <c r="H499" s="16" t="s">
        <v>2225</v>
      </c>
      <c r="I499" s="16" t="s">
        <v>68</v>
      </c>
      <c r="J499" s="16" t="s">
        <v>2491</v>
      </c>
      <c r="K499" s="32" t="n">
        <v>1</v>
      </c>
      <c r="L499" s="33" t="n">
        <v>46357</v>
      </c>
      <c r="M499" s="33" t="n">
        <v>46357</v>
      </c>
      <c r="N499" s="16" t="s">
        <v>2848</v>
      </c>
      <c r="O499" s="16"/>
      <c r="P499" s="16" t="str">
        <f aca="false">IF(AND(L499&lt;=$D$2,M499&gt;=$C$2),"Sí","")</f>
        <v/>
      </c>
      <c r="Q499" s="18" t="str">
        <f aca="false">IF(COUNTIF(LOOKAHEAD!$A$5:$A$604,A499)&gt;0,"En Lookahead",IF(P499="Sí","INCORPORAR",""))</f>
        <v/>
      </c>
    </row>
    <row r="500" customFormat="false" ht="15" hidden="false" customHeight="false" outlineLevel="0" collapsed="false">
      <c r="A500" s="13" t="s">
        <v>2849</v>
      </c>
      <c r="B500" s="13" t="n">
        <v>495</v>
      </c>
      <c r="C500" s="13" t="s">
        <v>2850</v>
      </c>
      <c r="D500" s="13" t="n">
        <v>7</v>
      </c>
      <c r="E500" s="38" t="s">
        <v>2851</v>
      </c>
      <c r="F500" s="13" t="s">
        <v>1298</v>
      </c>
      <c r="G500" s="13" t="s">
        <v>322</v>
      </c>
      <c r="H500" s="13" t="s">
        <v>2225</v>
      </c>
      <c r="I500" s="13" t="s">
        <v>68</v>
      </c>
      <c r="J500" s="13" t="s">
        <v>2800</v>
      </c>
      <c r="K500" s="30" t="n">
        <v>8</v>
      </c>
      <c r="L500" s="31" t="n">
        <v>46356</v>
      </c>
      <c r="M500" s="31" t="n">
        <v>46363</v>
      </c>
      <c r="N500" s="13"/>
      <c r="O500" s="13"/>
      <c r="P500" s="13"/>
      <c r="Q500" s="13"/>
    </row>
    <row r="501" customFormat="false" ht="15" hidden="false" customHeight="false" outlineLevel="0" collapsed="false">
      <c r="A501" s="16" t="s">
        <v>2852</v>
      </c>
      <c r="B501" s="16" t="n">
        <v>496</v>
      </c>
      <c r="C501" s="16" t="s">
        <v>2853</v>
      </c>
      <c r="D501" s="16" t="n">
        <v>8</v>
      </c>
      <c r="E501" s="39" t="s">
        <v>2854</v>
      </c>
      <c r="F501" s="16" t="s">
        <v>1285</v>
      </c>
      <c r="G501" s="16" t="s">
        <v>322</v>
      </c>
      <c r="H501" s="16" t="s">
        <v>2225</v>
      </c>
      <c r="I501" s="16" t="s">
        <v>68</v>
      </c>
      <c r="J501" s="16" t="s">
        <v>2851</v>
      </c>
      <c r="K501" s="32" t="n">
        <v>1</v>
      </c>
      <c r="L501" s="33" t="n">
        <v>46362</v>
      </c>
      <c r="M501" s="33" t="n">
        <v>46362</v>
      </c>
      <c r="N501" s="16" t="s">
        <v>2855</v>
      </c>
      <c r="O501" s="16"/>
      <c r="P501" s="16" t="str">
        <f aca="false">IF(AND(L501&lt;=$D$2,M501&gt;=$C$2),"Sí","")</f>
        <v/>
      </c>
      <c r="Q501" s="18" t="str">
        <f aca="false">IF(COUNTIF(LOOKAHEAD!$A$5:$A$604,A501)&gt;0,"En Lookahead",IF(P501="Sí","INCORPORAR",""))</f>
        <v/>
      </c>
    </row>
    <row r="502" customFormat="false" ht="15" hidden="false" customHeight="false" outlineLevel="0" collapsed="false">
      <c r="A502" s="16" t="s">
        <v>2856</v>
      </c>
      <c r="B502" s="16" t="n">
        <v>497</v>
      </c>
      <c r="C502" s="16" t="s">
        <v>2857</v>
      </c>
      <c r="D502" s="16" t="n">
        <v>8</v>
      </c>
      <c r="E502" s="39" t="s">
        <v>2858</v>
      </c>
      <c r="F502" s="16" t="s">
        <v>1285</v>
      </c>
      <c r="G502" s="16" t="s">
        <v>322</v>
      </c>
      <c r="H502" s="16" t="s">
        <v>2225</v>
      </c>
      <c r="I502" s="16" t="s">
        <v>68</v>
      </c>
      <c r="J502" s="16" t="s">
        <v>2851</v>
      </c>
      <c r="K502" s="32" t="n">
        <v>4</v>
      </c>
      <c r="L502" s="33" t="n">
        <v>46358</v>
      </c>
      <c r="M502" s="33" t="n">
        <v>46361</v>
      </c>
      <c r="N502" s="16" t="s">
        <v>2859</v>
      </c>
      <c r="O502" s="16"/>
      <c r="P502" s="16" t="str">
        <f aca="false">IF(AND(L502&lt;=$D$2,M502&gt;=$C$2),"Sí","")</f>
        <v/>
      </c>
      <c r="Q502" s="18" t="str">
        <f aca="false">IF(COUNTIF(LOOKAHEAD!$A$5:$A$604,A502)&gt;0,"En Lookahead",IF(P502="Sí","INCORPORAR",""))</f>
        <v/>
      </c>
    </row>
    <row r="503" customFormat="false" ht="15" hidden="false" customHeight="false" outlineLevel="0" collapsed="false">
      <c r="A503" s="16" t="s">
        <v>2860</v>
      </c>
      <c r="B503" s="16" t="n">
        <v>498</v>
      </c>
      <c r="C503" s="16" t="s">
        <v>2861</v>
      </c>
      <c r="D503" s="16" t="n">
        <v>8</v>
      </c>
      <c r="E503" s="39" t="s">
        <v>2862</v>
      </c>
      <c r="F503" s="16" t="s">
        <v>1285</v>
      </c>
      <c r="G503" s="16" t="s">
        <v>322</v>
      </c>
      <c r="H503" s="16" t="s">
        <v>2225</v>
      </c>
      <c r="I503" s="16" t="s">
        <v>68</v>
      </c>
      <c r="J503" s="16" t="s">
        <v>2851</v>
      </c>
      <c r="K503" s="32" t="n">
        <v>2</v>
      </c>
      <c r="L503" s="33" t="n">
        <v>46356</v>
      </c>
      <c r="M503" s="33" t="n">
        <v>46357</v>
      </c>
      <c r="N503" s="16" t="s">
        <v>2837</v>
      </c>
      <c r="O503" s="16"/>
      <c r="P503" s="16" t="str">
        <f aca="false">IF(AND(L503&lt;=$D$2,M503&gt;=$C$2),"Sí","")</f>
        <v/>
      </c>
      <c r="Q503" s="18" t="str">
        <f aca="false">IF(COUNTIF(LOOKAHEAD!$A$5:$A$604,A503)&gt;0,"En Lookahead",IF(P503="Sí","INCORPORAR",""))</f>
        <v/>
      </c>
    </row>
    <row r="504" customFormat="false" ht="15" hidden="false" customHeight="false" outlineLevel="0" collapsed="false">
      <c r="A504" s="16" t="s">
        <v>2863</v>
      </c>
      <c r="B504" s="16" t="n">
        <v>499</v>
      </c>
      <c r="C504" s="16" t="s">
        <v>2864</v>
      </c>
      <c r="D504" s="16" t="n">
        <v>8</v>
      </c>
      <c r="E504" s="39" t="s">
        <v>1677</v>
      </c>
      <c r="F504" s="16" t="s">
        <v>1285</v>
      </c>
      <c r="G504" s="16" t="s">
        <v>322</v>
      </c>
      <c r="H504" s="16" t="s">
        <v>2225</v>
      </c>
      <c r="I504" s="16" t="s">
        <v>68</v>
      </c>
      <c r="J504" s="16" t="s">
        <v>2851</v>
      </c>
      <c r="K504" s="32" t="n">
        <v>1</v>
      </c>
      <c r="L504" s="33" t="n">
        <v>46363</v>
      </c>
      <c r="M504" s="33" t="n">
        <v>46363</v>
      </c>
      <c r="N504" s="16" t="s">
        <v>2865</v>
      </c>
      <c r="O504" s="16"/>
      <c r="P504" s="16" t="str">
        <f aca="false">IF(AND(L504&lt;=$D$2,M504&gt;=$C$2),"Sí","")</f>
        <v/>
      </c>
      <c r="Q504" s="18" t="str">
        <f aca="false">IF(COUNTIF(LOOKAHEAD!$A$5:$A$604,A504)&gt;0,"En Lookahead",IF(P504="Sí","INCORPORAR",""))</f>
        <v/>
      </c>
    </row>
    <row r="505" customFormat="false" ht="15" hidden="false" customHeight="false" outlineLevel="0" collapsed="false">
      <c r="A505" s="13" t="s">
        <v>2866</v>
      </c>
      <c r="B505" s="13" t="n">
        <v>500</v>
      </c>
      <c r="C505" s="13" t="s">
        <v>2867</v>
      </c>
      <c r="D505" s="13" t="n">
        <v>7</v>
      </c>
      <c r="E505" s="38" t="s">
        <v>2868</v>
      </c>
      <c r="F505" s="13" t="s">
        <v>1298</v>
      </c>
      <c r="G505" s="13" t="s">
        <v>322</v>
      </c>
      <c r="H505" s="13" t="s">
        <v>2225</v>
      </c>
      <c r="I505" s="13" t="s">
        <v>68</v>
      </c>
      <c r="J505" s="13" t="s">
        <v>2800</v>
      </c>
      <c r="K505" s="30" t="n">
        <v>5</v>
      </c>
      <c r="L505" s="31" t="n">
        <v>46364</v>
      </c>
      <c r="M505" s="31" t="n">
        <v>46368</v>
      </c>
      <c r="N505" s="13"/>
      <c r="O505" s="13"/>
      <c r="P505" s="13"/>
      <c r="Q505" s="13"/>
    </row>
    <row r="506" customFormat="false" ht="15" hidden="false" customHeight="false" outlineLevel="0" collapsed="false">
      <c r="A506" s="16" t="s">
        <v>2869</v>
      </c>
      <c r="B506" s="16" t="n">
        <v>501</v>
      </c>
      <c r="C506" s="16" t="s">
        <v>2870</v>
      </c>
      <c r="D506" s="16" t="n">
        <v>8</v>
      </c>
      <c r="E506" s="39" t="s">
        <v>2871</v>
      </c>
      <c r="F506" s="16" t="s">
        <v>1285</v>
      </c>
      <c r="G506" s="16" t="s">
        <v>322</v>
      </c>
      <c r="H506" s="16" t="s">
        <v>2225</v>
      </c>
      <c r="I506" s="16" t="s">
        <v>68</v>
      </c>
      <c r="J506" s="16" t="s">
        <v>2868</v>
      </c>
      <c r="K506" s="32" t="n">
        <v>5</v>
      </c>
      <c r="L506" s="33" t="n">
        <v>46364</v>
      </c>
      <c r="M506" s="33" t="n">
        <v>46368</v>
      </c>
      <c r="N506" s="16" t="s">
        <v>2872</v>
      </c>
      <c r="O506" s="16"/>
      <c r="P506" s="16" t="str">
        <f aca="false">IF(AND(L506&lt;=$D$2,M506&gt;=$C$2),"Sí","")</f>
        <v/>
      </c>
      <c r="Q506" s="18" t="str">
        <f aca="false">IF(COUNTIF(LOOKAHEAD!$A$5:$A$604,A506)&gt;0,"En Lookahead",IF(P506="Sí","INCORPORAR",""))</f>
        <v/>
      </c>
    </row>
    <row r="507" customFormat="false" ht="15" hidden="false" customHeight="false" outlineLevel="0" collapsed="false">
      <c r="A507" s="13" t="s">
        <v>2873</v>
      </c>
      <c r="B507" s="13" t="n">
        <v>502</v>
      </c>
      <c r="C507" s="13" t="s">
        <v>2874</v>
      </c>
      <c r="D507" s="13" t="n">
        <v>6</v>
      </c>
      <c r="E507" s="36" t="s">
        <v>2875</v>
      </c>
      <c r="F507" s="13" t="s">
        <v>1298</v>
      </c>
      <c r="G507" s="13" t="s">
        <v>322</v>
      </c>
      <c r="H507" s="13" t="s">
        <v>2225</v>
      </c>
      <c r="I507" s="13" t="s">
        <v>68</v>
      </c>
      <c r="J507" s="13" t="s">
        <v>1623</v>
      </c>
      <c r="K507" s="30" t="n">
        <v>72</v>
      </c>
      <c r="L507" s="31" t="n">
        <v>46364</v>
      </c>
      <c r="M507" s="31" t="n">
        <v>46435</v>
      </c>
      <c r="N507" s="13"/>
      <c r="O507" s="13"/>
      <c r="P507" s="13"/>
      <c r="Q507" s="13"/>
    </row>
    <row r="508" customFormat="false" ht="15" hidden="false" customHeight="false" outlineLevel="0" collapsed="false">
      <c r="A508" s="13" t="s">
        <v>2876</v>
      </c>
      <c r="B508" s="13" t="n">
        <v>503</v>
      </c>
      <c r="C508" s="13" t="s">
        <v>2877</v>
      </c>
      <c r="D508" s="13" t="n">
        <v>7</v>
      </c>
      <c r="E508" s="38" t="s">
        <v>2878</v>
      </c>
      <c r="F508" s="13" t="s">
        <v>1298</v>
      </c>
      <c r="G508" s="13" t="s">
        <v>322</v>
      </c>
      <c r="H508" s="13" t="s">
        <v>2225</v>
      </c>
      <c r="I508" s="13" t="s">
        <v>68</v>
      </c>
      <c r="J508" s="13" t="s">
        <v>2875</v>
      </c>
      <c r="K508" s="30" t="n">
        <v>26</v>
      </c>
      <c r="L508" s="31" t="n">
        <v>46364</v>
      </c>
      <c r="M508" s="31" t="n">
        <v>46389</v>
      </c>
      <c r="N508" s="13"/>
      <c r="O508" s="13"/>
      <c r="P508" s="13"/>
      <c r="Q508" s="13"/>
    </row>
    <row r="509" customFormat="false" ht="15" hidden="false" customHeight="false" outlineLevel="0" collapsed="false">
      <c r="A509" s="16" t="s">
        <v>2879</v>
      </c>
      <c r="B509" s="16" t="n">
        <v>504</v>
      </c>
      <c r="C509" s="16" t="s">
        <v>2880</v>
      </c>
      <c r="D509" s="16" t="n">
        <v>8</v>
      </c>
      <c r="E509" s="39" t="s">
        <v>1577</v>
      </c>
      <c r="F509" s="16" t="s">
        <v>1285</v>
      </c>
      <c r="G509" s="16" t="s">
        <v>322</v>
      </c>
      <c r="H509" s="16" t="s">
        <v>2225</v>
      </c>
      <c r="I509" s="16" t="s">
        <v>68</v>
      </c>
      <c r="J509" s="16" t="s">
        <v>2878</v>
      </c>
      <c r="K509" s="32" t="n">
        <v>1</v>
      </c>
      <c r="L509" s="33" t="n">
        <v>46364</v>
      </c>
      <c r="M509" s="33" t="n">
        <v>46364</v>
      </c>
      <c r="N509" s="16" t="s">
        <v>2831</v>
      </c>
      <c r="O509" s="16"/>
      <c r="P509" s="16" t="str">
        <f aca="false">IF(AND(L509&lt;=$D$2,M509&gt;=$C$2),"Sí","")</f>
        <v/>
      </c>
      <c r="Q509" s="18" t="str">
        <f aca="false">IF(COUNTIF(LOOKAHEAD!$A$5:$A$604,A509)&gt;0,"En Lookahead",IF(P509="Sí","INCORPORAR",""))</f>
        <v/>
      </c>
    </row>
    <row r="510" customFormat="false" ht="15" hidden="false" customHeight="false" outlineLevel="0" collapsed="false">
      <c r="A510" s="16" t="s">
        <v>2881</v>
      </c>
      <c r="B510" s="16" t="n">
        <v>505</v>
      </c>
      <c r="C510" s="16" t="s">
        <v>2882</v>
      </c>
      <c r="D510" s="16" t="n">
        <v>8</v>
      </c>
      <c r="E510" s="39" t="s">
        <v>2883</v>
      </c>
      <c r="F510" s="16" t="s">
        <v>1285</v>
      </c>
      <c r="G510" s="16" t="s">
        <v>322</v>
      </c>
      <c r="H510" s="16" t="s">
        <v>2225</v>
      </c>
      <c r="I510" s="16" t="s">
        <v>68</v>
      </c>
      <c r="J510" s="16" t="s">
        <v>2878</v>
      </c>
      <c r="K510" s="32" t="n">
        <v>2</v>
      </c>
      <c r="L510" s="33" t="n">
        <v>46386</v>
      </c>
      <c r="M510" s="33" t="n">
        <v>46387</v>
      </c>
      <c r="N510" s="16" t="s">
        <v>2884</v>
      </c>
      <c r="O510" s="16"/>
      <c r="P510" s="16" t="str">
        <f aca="false">IF(AND(L510&lt;=$D$2,M510&gt;=$C$2),"Sí","")</f>
        <v/>
      </c>
      <c r="Q510" s="18" t="str">
        <f aca="false">IF(COUNTIF(LOOKAHEAD!$A$5:$A$604,A510)&gt;0,"En Lookahead",IF(P510="Sí","INCORPORAR",""))</f>
        <v/>
      </c>
    </row>
    <row r="511" customFormat="false" ht="15" hidden="false" customHeight="false" outlineLevel="0" collapsed="false">
      <c r="A511" s="16" t="s">
        <v>2885</v>
      </c>
      <c r="B511" s="16" t="n">
        <v>506</v>
      </c>
      <c r="C511" s="16" t="s">
        <v>2886</v>
      </c>
      <c r="D511" s="16" t="n">
        <v>8</v>
      </c>
      <c r="E511" s="39" t="s">
        <v>2887</v>
      </c>
      <c r="F511" s="16" t="s">
        <v>1285</v>
      </c>
      <c r="G511" s="16" t="s">
        <v>322</v>
      </c>
      <c r="H511" s="16" t="s">
        <v>2225</v>
      </c>
      <c r="I511" s="16" t="s">
        <v>68</v>
      </c>
      <c r="J511" s="16" t="s">
        <v>2878</v>
      </c>
      <c r="K511" s="32" t="n">
        <v>2</v>
      </c>
      <c r="L511" s="33" t="n">
        <v>46384</v>
      </c>
      <c r="M511" s="33" t="n">
        <v>46385</v>
      </c>
      <c r="N511" s="16" t="s">
        <v>2888</v>
      </c>
      <c r="O511" s="16"/>
      <c r="P511" s="16" t="str">
        <f aca="false">IF(AND(L511&lt;=$D$2,M511&gt;=$C$2),"Sí","")</f>
        <v/>
      </c>
      <c r="Q511" s="18" t="str">
        <f aca="false">IF(COUNTIF(LOOKAHEAD!$A$5:$A$604,A511)&gt;0,"En Lookahead",IF(P511="Sí","INCORPORAR",""))</f>
        <v/>
      </c>
    </row>
    <row r="512" customFormat="false" ht="15" hidden="false" customHeight="false" outlineLevel="0" collapsed="false">
      <c r="A512" s="16" t="s">
        <v>2889</v>
      </c>
      <c r="B512" s="16" t="n">
        <v>507</v>
      </c>
      <c r="C512" s="16" t="s">
        <v>2890</v>
      </c>
      <c r="D512" s="16" t="n">
        <v>8</v>
      </c>
      <c r="E512" s="39" t="s">
        <v>2891</v>
      </c>
      <c r="F512" s="16" t="s">
        <v>1285</v>
      </c>
      <c r="G512" s="16" t="s">
        <v>322</v>
      </c>
      <c r="H512" s="16" t="s">
        <v>2225</v>
      </c>
      <c r="I512" s="16" t="s">
        <v>68</v>
      </c>
      <c r="J512" s="16" t="s">
        <v>2878</v>
      </c>
      <c r="K512" s="32" t="n">
        <v>19</v>
      </c>
      <c r="L512" s="33" t="n">
        <v>46365</v>
      </c>
      <c r="M512" s="33" t="n">
        <v>46383</v>
      </c>
      <c r="N512" s="16" t="s">
        <v>2892</v>
      </c>
      <c r="O512" s="16"/>
      <c r="P512" s="16" t="str">
        <f aca="false">IF(AND(L512&lt;=$D$2,M512&gt;=$C$2),"Sí","")</f>
        <v/>
      </c>
      <c r="Q512" s="18" t="str">
        <f aca="false">IF(COUNTIF(LOOKAHEAD!$A$5:$A$604,A512)&gt;0,"En Lookahead",IF(P512="Sí","INCORPORAR",""))</f>
        <v/>
      </c>
    </row>
    <row r="513" customFormat="false" ht="15" hidden="false" customHeight="false" outlineLevel="0" collapsed="false">
      <c r="A513" s="16" t="s">
        <v>2893</v>
      </c>
      <c r="B513" s="16" t="n">
        <v>508</v>
      </c>
      <c r="C513" s="16" t="s">
        <v>2894</v>
      </c>
      <c r="D513" s="16" t="n">
        <v>8</v>
      </c>
      <c r="E513" s="39" t="s">
        <v>1602</v>
      </c>
      <c r="F513" s="16" t="s">
        <v>1285</v>
      </c>
      <c r="G513" s="16" t="s">
        <v>322</v>
      </c>
      <c r="H513" s="16" t="s">
        <v>2225</v>
      </c>
      <c r="I513" s="16" t="s">
        <v>68</v>
      </c>
      <c r="J513" s="16" t="s">
        <v>2878</v>
      </c>
      <c r="K513" s="32" t="n">
        <v>2</v>
      </c>
      <c r="L513" s="33" t="n">
        <v>46388</v>
      </c>
      <c r="M513" s="33" t="n">
        <v>46389</v>
      </c>
      <c r="N513" s="16" t="s">
        <v>2895</v>
      </c>
      <c r="O513" s="16"/>
      <c r="P513" s="16" t="str">
        <f aca="false">IF(AND(L513&lt;=$D$2,M513&gt;=$C$2),"Sí","")</f>
        <v/>
      </c>
      <c r="Q513" s="18" t="str">
        <f aca="false">IF(COUNTIF(LOOKAHEAD!$A$5:$A$604,A513)&gt;0,"En Lookahead",IF(P513="Sí","INCORPORAR",""))</f>
        <v/>
      </c>
    </row>
    <row r="514" customFormat="false" ht="15" hidden="false" customHeight="false" outlineLevel="0" collapsed="false">
      <c r="A514" s="13" t="s">
        <v>2896</v>
      </c>
      <c r="B514" s="13" t="n">
        <v>509</v>
      </c>
      <c r="C514" s="13" t="s">
        <v>2897</v>
      </c>
      <c r="D514" s="13" t="n">
        <v>7</v>
      </c>
      <c r="E514" s="38" t="s">
        <v>2898</v>
      </c>
      <c r="F514" s="13" t="s">
        <v>1298</v>
      </c>
      <c r="G514" s="13" t="s">
        <v>322</v>
      </c>
      <c r="H514" s="13" t="s">
        <v>2225</v>
      </c>
      <c r="I514" s="13" t="s">
        <v>68</v>
      </c>
      <c r="J514" s="13" t="s">
        <v>2875</v>
      </c>
      <c r="K514" s="30" t="n">
        <v>40</v>
      </c>
      <c r="L514" s="31" t="n">
        <v>46364</v>
      </c>
      <c r="M514" s="31" t="n">
        <v>46403</v>
      </c>
      <c r="N514" s="13"/>
      <c r="O514" s="13"/>
      <c r="P514" s="13"/>
      <c r="Q514" s="13"/>
    </row>
    <row r="515" customFormat="false" ht="15" hidden="false" customHeight="false" outlineLevel="0" collapsed="false">
      <c r="A515" s="16" t="s">
        <v>2899</v>
      </c>
      <c r="B515" s="16" t="n">
        <v>510</v>
      </c>
      <c r="C515" s="16" t="s">
        <v>2900</v>
      </c>
      <c r="D515" s="16" t="n">
        <v>8</v>
      </c>
      <c r="E515" s="39" t="s">
        <v>2901</v>
      </c>
      <c r="F515" s="16" t="s">
        <v>1285</v>
      </c>
      <c r="G515" s="16" t="s">
        <v>322</v>
      </c>
      <c r="H515" s="16" t="s">
        <v>2225</v>
      </c>
      <c r="I515" s="16" t="s">
        <v>68</v>
      </c>
      <c r="J515" s="16" t="s">
        <v>2898</v>
      </c>
      <c r="K515" s="32" t="n">
        <v>3</v>
      </c>
      <c r="L515" s="33" t="n">
        <v>46396</v>
      </c>
      <c r="M515" s="33" t="n">
        <v>46398</v>
      </c>
      <c r="N515" s="16" t="s">
        <v>2902</v>
      </c>
      <c r="O515" s="16"/>
      <c r="P515" s="16" t="str">
        <f aca="false">IF(AND(L515&lt;=$D$2,M515&gt;=$C$2),"Sí","")</f>
        <v/>
      </c>
      <c r="Q515" s="18" t="str">
        <f aca="false">IF(COUNTIF(LOOKAHEAD!$A$5:$A$604,A515)&gt;0,"En Lookahead",IF(P515="Sí","INCORPORAR",""))</f>
        <v/>
      </c>
    </row>
    <row r="516" customFormat="false" ht="15" hidden="false" customHeight="false" outlineLevel="0" collapsed="false">
      <c r="A516" s="16" t="s">
        <v>2903</v>
      </c>
      <c r="B516" s="16" t="n">
        <v>511</v>
      </c>
      <c r="C516" s="16" t="s">
        <v>2904</v>
      </c>
      <c r="D516" s="16" t="n">
        <v>8</v>
      </c>
      <c r="E516" s="39" t="s">
        <v>2905</v>
      </c>
      <c r="F516" s="16" t="s">
        <v>1285</v>
      </c>
      <c r="G516" s="16" t="s">
        <v>322</v>
      </c>
      <c r="H516" s="16" t="s">
        <v>2225</v>
      </c>
      <c r="I516" s="16" t="s">
        <v>68</v>
      </c>
      <c r="J516" s="16" t="s">
        <v>2898</v>
      </c>
      <c r="K516" s="32" t="n">
        <v>10</v>
      </c>
      <c r="L516" s="33" t="n">
        <v>46386</v>
      </c>
      <c r="M516" s="33" t="n">
        <v>46395</v>
      </c>
      <c r="N516" s="16" t="s">
        <v>2906</v>
      </c>
      <c r="O516" s="16"/>
      <c r="P516" s="16" t="str">
        <f aca="false">IF(AND(L516&lt;=$D$2,M516&gt;=$C$2),"Sí","")</f>
        <v/>
      </c>
      <c r="Q516" s="18" t="str">
        <f aca="false">IF(COUNTIF(LOOKAHEAD!$A$5:$A$604,A516)&gt;0,"En Lookahead",IF(P516="Sí","INCORPORAR",""))</f>
        <v/>
      </c>
    </row>
    <row r="517" customFormat="false" ht="15" hidden="false" customHeight="false" outlineLevel="0" collapsed="false">
      <c r="A517" s="16" t="s">
        <v>2907</v>
      </c>
      <c r="B517" s="16" t="n">
        <v>512</v>
      </c>
      <c r="C517" s="16" t="s">
        <v>2908</v>
      </c>
      <c r="D517" s="16" t="n">
        <v>8</v>
      </c>
      <c r="E517" s="39" t="s">
        <v>2909</v>
      </c>
      <c r="F517" s="16" t="s">
        <v>1285</v>
      </c>
      <c r="G517" s="16" t="s">
        <v>322</v>
      </c>
      <c r="H517" s="16" t="s">
        <v>2225</v>
      </c>
      <c r="I517" s="16" t="s">
        <v>68</v>
      </c>
      <c r="J517" s="16" t="s">
        <v>2898</v>
      </c>
      <c r="K517" s="32" t="n">
        <v>22</v>
      </c>
      <c r="L517" s="33" t="n">
        <v>46364</v>
      </c>
      <c r="M517" s="33" t="n">
        <v>46385</v>
      </c>
      <c r="N517" s="16" t="s">
        <v>2910</v>
      </c>
      <c r="O517" s="16"/>
      <c r="P517" s="16" t="str">
        <f aca="false">IF(AND(L517&lt;=$D$2,M517&gt;=$C$2),"Sí","")</f>
        <v/>
      </c>
      <c r="Q517" s="18" t="str">
        <f aca="false">IF(COUNTIF(LOOKAHEAD!$A$5:$A$604,A517)&gt;0,"En Lookahead",IF(P517="Sí","INCORPORAR",""))</f>
        <v/>
      </c>
    </row>
    <row r="518" customFormat="false" ht="15" hidden="false" customHeight="false" outlineLevel="0" collapsed="false">
      <c r="A518" s="16" t="s">
        <v>2911</v>
      </c>
      <c r="B518" s="16" t="n">
        <v>513</v>
      </c>
      <c r="C518" s="16" t="s">
        <v>2912</v>
      </c>
      <c r="D518" s="16" t="n">
        <v>8</v>
      </c>
      <c r="E518" s="39" t="s">
        <v>1677</v>
      </c>
      <c r="F518" s="16" t="s">
        <v>1285</v>
      </c>
      <c r="G518" s="16" t="s">
        <v>322</v>
      </c>
      <c r="H518" s="16" t="s">
        <v>2225</v>
      </c>
      <c r="I518" s="16" t="s">
        <v>68</v>
      </c>
      <c r="J518" s="16" t="s">
        <v>2898</v>
      </c>
      <c r="K518" s="32" t="n">
        <v>5</v>
      </c>
      <c r="L518" s="33" t="n">
        <v>46399</v>
      </c>
      <c r="M518" s="33" t="n">
        <v>46403</v>
      </c>
      <c r="N518" s="16" t="s">
        <v>2913</v>
      </c>
      <c r="O518" s="16"/>
      <c r="P518" s="16" t="str">
        <f aca="false">IF(AND(L518&lt;=$D$2,M518&gt;=$C$2),"Sí","")</f>
        <v/>
      </c>
      <c r="Q518" s="18" t="str">
        <f aca="false">IF(COUNTIF(LOOKAHEAD!$A$5:$A$604,A518)&gt;0,"En Lookahead",IF(P518="Sí","INCORPORAR",""))</f>
        <v/>
      </c>
    </row>
    <row r="519" customFormat="false" ht="15" hidden="false" customHeight="false" outlineLevel="0" collapsed="false">
      <c r="A519" s="13" t="s">
        <v>2914</v>
      </c>
      <c r="B519" s="13" t="n">
        <v>514</v>
      </c>
      <c r="C519" s="13" t="s">
        <v>2915</v>
      </c>
      <c r="D519" s="13" t="n">
        <v>7</v>
      </c>
      <c r="E519" s="38" t="s">
        <v>1786</v>
      </c>
      <c r="F519" s="13" t="s">
        <v>1298</v>
      </c>
      <c r="G519" s="13" t="s">
        <v>322</v>
      </c>
      <c r="H519" s="13" t="s">
        <v>2225</v>
      </c>
      <c r="I519" s="13" t="s">
        <v>68</v>
      </c>
      <c r="J519" s="13" t="s">
        <v>2875</v>
      </c>
      <c r="K519" s="30" t="n">
        <v>5</v>
      </c>
      <c r="L519" s="31" t="n">
        <v>46386</v>
      </c>
      <c r="M519" s="31" t="n">
        <v>46390</v>
      </c>
      <c r="N519" s="13"/>
      <c r="O519" s="13"/>
      <c r="P519" s="13"/>
      <c r="Q519" s="13"/>
    </row>
    <row r="520" customFormat="false" ht="15" hidden="false" customHeight="false" outlineLevel="0" collapsed="false">
      <c r="A520" s="16" t="s">
        <v>2916</v>
      </c>
      <c r="B520" s="16" t="n">
        <v>515</v>
      </c>
      <c r="C520" s="16" t="s">
        <v>2917</v>
      </c>
      <c r="D520" s="16" t="n">
        <v>8</v>
      </c>
      <c r="E520" s="39" t="s">
        <v>2918</v>
      </c>
      <c r="F520" s="16" t="s">
        <v>1285</v>
      </c>
      <c r="G520" s="16" t="s">
        <v>322</v>
      </c>
      <c r="H520" s="16" t="s">
        <v>2225</v>
      </c>
      <c r="I520" s="16" t="s">
        <v>68</v>
      </c>
      <c r="J520" s="16" t="s">
        <v>1786</v>
      </c>
      <c r="K520" s="32" t="n">
        <v>1</v>
      </c>
      <c r="L520" s="33" t="n">
        <v>46389</v>
      </c>
      <c r="M520" s="33" t="n">
        <v>46389</v>
      </c>
      <c r="N520" s="16" t="s">
        <v>2919</v>
      </c>
      <c r="O520" s="16"/>
      <c r="P520" s="16" t="str">
        <f aca="false">IF(AND(L520&lt;=$D$2,M520&gt;=$C$2),"Sí","")</f>
        <v/>
      </c>
      <c r="Q520" s="18" t="str">
        <f aca="false">IF(COUNTIF(LOOKAHEAD!$A$5:$A$604,A520)&gt;0,"En Lookahead",IF(P520="Sí","INCORPORAR",""))</f>
        <v/>
      </c>
    </row>
    <row r="521" customFormat="false" ht="15" hidden="false" customHeight="false" outlineLevel="0" collapsed="false">
      <c r="A521" s="16" t="s">
        <v>2920</v>
      </c>
      <c r="B521" s="16" t="n">
        <v>516</v>
      </c>
      <c r="C521" s="16" t="s">
        <v>2921</v>
      </c>
      <c r="D521" s="16" t="n">
        <v>8</v>
      </c>
      <c r="E521" s="39" t="s">
        <v>1796</v>
      </c>
      <c r="F521" s="16" t="s">
        <v>1285</v>
      </c>
      <c r="G521" s="16" t="s">
        <v>322</v>
      </c>
      <c r="H521" s="16" t="s">
        <v>2225</v>
      </c>
      <c r="I521" s="16" t="s">
        <v>68</v>
      </c>
      <c r="J521" s="16" t="s">
        <v>1786</v>
      </c>
      <c r="K521" s="32" t="n">
        <v>2</v>
      </c>
      <c r="L521" s="33" t="n">
        <v>46387</v>
      </c>
      <c r="M521" s="33" t="n">
        <v>46388</v>
      </c>
      <c r="N521" s="16" t="s">
        <v>2922</v>
      </c>
      <c r="O521" s="16"/>
      <c r="P521" s="16" t="str">
        <f aca="false">IF(AND(L521&lt;=$D$2,M521&gt;=$C$2),"Sí","")</f>
        <v/>
      </c>
      <c r="Q521" s="18" t="str">
        <f aca="false">IF(COUNTIF(LOOKAHEAD!$A$5:$A$604,A521)&gt;0,"En Lookahead",IF(P521="Sí","INCORPORAR",""))</f>
        <v/>
      </c>
    </row>
    <row r="522" customFormat="false" ht="15" hidden="false" customHeight="false" outlineLevel="0" collapsed="false">
      <c r="A522" s="16" t="s">
        <v>2923</v>
      </c>
      <c r="B522" s="16" t="n">
        <v>517</v>
      </c>
      <c r="C522" s="16" t="s">
        <v>2924</v>
      </c>
      <c r="D522" s="16" t="n">
        <v>8</v>
      </c>
      <c r="E522" s="39" t="s">
        <v>1800</v>
      </c>
      <c r="F522" s="16" t="s">
        <v>1285</v>
      </c>
      <c r="G522" s="16" t="s">
        <v>322</v>
      </c>
      <c r="H522" s="16" t="s">
        <v>2225</v>
      </c>
      <c r="I522" s="16" t="s">
        <v>68</v>
      </c>
      <c r="J522" s="16" t="s">
        <v>1786</v>
      </c>
      <c r="K522" s="32" t="n">
        <v>1</v>
      </c>
      <c r="L522" s="33" t="n">
        <v>46386</v>
      </c>
      <c r="M522" s="33" t="n">
        <v>46386</v>
      </c>
      <c r="N522" s="16" t="s">
        <v>2925</v>
      </c>
      <c r="O522" s="16"/>
      <c r="P522" s="16" t="str">
        <f aca="false">IF(AND(L522&lt;=$D$2,M522&gt;=$C$2),"Sí","")</f>
        <v/>
      </c>
      <c r="Q522" s="18" t="str">
        <f aca="false">IF(COUNTIF(LOOKAHEAD!$A$5:$A$604,A522)&gt;0,"En Lookahead",IF(P522="Sí","INCORPORAR",""))</f>
        <v/>
      </c>
    </row>
    <row r="523" customFormat="false" ht="15" hidden="false" customHeight="false" outlineLevel="0" collapsed="false">
      <c r="A523" s="16" t="s">
        <v>2926</v>
      </c>
      <c r="B523" s="16" t="n">
        <v>518</v>
      </c>
      <c r="C523" s="16" t="s">
        <v>2927</v>
      </c>
      <c r="D523" s="16" t="n">
        <v>8</v>
      </c>
      <c r="E523" s="39" t="s">
        <v>1602</v>
      </c>
      <c r="F523" s="16" t="s">
        <v>1285</v>
      </c>
      <c r="G523" s="16" t="s">
        <v>322</v>
      </c>
      <c r="H523" s="16" t="s">
        <v>2225</v>
      </c>
      <c r="I523" s="16" t="s">
        <v>68</v>
      </c>
      <c r="J523" s="16" t="s">
        <v>1786</v>
      </c>
      <c r="K523" s="32" t="n">
        <v>1</v>
      </c>
      <c r="L523" s="33" t="n">
        <v>46390</v>
      </c>
      <c r="M523" s="33" t="n">
        <v>46390</v>
      </c>
      <c r="N523" s="16" t="s">
        <v>2928</v>
      </c>
      <c r="O523" s="16"/>
      <c r="P523" s="16" t="str">
        <f aca="false">IF(AND(L523&lt;=$D$2,M523&gt;=$C$2),"Sí","")</f>
        <v/>
      </c>
      <c r="Q523" s="18" t="str">
        <f aca="false">IF(COUNTIF(LOOKAHEAD!$A$5:$A$604,A523)&gt;0,"En Lookahead",IF(P523="Sí","INCORPORAR",""))</f>
        <v/>
      </c>
    </row>
    <row r="524" customFormat="false" ht="15" hidden="false" customHeight="false" outlineLevel="0" collapsed="false">
      <c r="A524" s="13" t="s">
        <v>2929</v>
      </c>
      <c r="B524" s="13" t="n">
        <v>519</v>
      </c>
      <c r="C524" s="13" t="s">
        <v>2930</v>
      </c>
      <c r="D524" s="13" t="n">
        <v>7</v>
      </c>
      <c r="E524" s="38" t="s">
        <v>1920</v>
      </c>
      <c r="F524" s="13" t="s">
        <v>1298</v>
      </c>
      <c r="G524" s="13" t="s">
        <v>322</v>
      </c>
      <c r="H524" s="13" t="s">
        <v>2225</v>
      </c>
      <c r="I524" s="13" t="s">
        <v>68</v>
      </c>
      <c r="J524" s="13" t="s">
        <v>2875</v>
      </c>
      <c r="K524" s="30" t="n">
        <v>27</v>
      </c>
      <c r="L524" s="31" t="n">
        <v>46386</v>
      </c>
      <c r="M524" s="31" t="n">
        <v>46412</v>
      </c>
      <c r="N524" s="13"/>
      <c r="O524" s="13"/>
      <c r="P524" s="13"/>
      <c r="Q524" s="13"/>
    </row>
    <row r="525" customFormat="false" ht="15" hidden="false" customHeight="false" outlineLevel="0" collapsed="false">
      <c r="A525" s="16" t="s">
        <v>2931</v>
      </c>
      <c r="B525" s="16" t="n">
        <v>520</v>
      </c>
      <c r="C525" s="16" t="s">
        <v>2932</v>
      </c>
      <c r="D525" s="16" t="n">
        <v>8</v>
      </c>
      <c r="E525" s="39" t="s">
        <v>2836</v>
      </c>
      <c r="F525" s="16" t="s">
        <v>1285</v>
      </c>
      <c r="G525" s="16" t="s">
        <v>322</v>
      </c>
      <c r="H525" s="16" t="s">
        <v>2225</v>
      </c>
      <c r="I525" s="16" t="s">
        <v>68</v>
      </c>
      <c r="J525" s="16" t="s">
        <v>1920</v>
      </c>
      <c r="K525" s="32" t="n">
        <v>1</v>
      </c>
      <c r="L525" s="33" t="n">
        <v>46410</v>
      </c>
      <c r="M525" s="33" t="n">
        <v>46410</v>
      </c>
      <c r="N525" s="16" t="s">
        <v>2933</v>
      </c>
      <c r="O525" s="16"/>
      <c r="P525" s="16" t="str">
        <f aca="false">IF(AND(L525&lt;=$D$2,M525&gt;=$C$2),"Sí","")</f>
        <v/>
      </c>
      <c r="Q525" s="18" t="str">
        <f aca="false">IF(COUNTIF(LOOKAHEAD!$A$5:$A$604,A525)&gt;0,"En Lookahead",IF(P525="Sí","INCORPORAR",""))</f>
        <v/>
      </c>
    </row>
    <row r="526" customFormat="false" ht="15" hidden="false" customHeight="false" outlineLevel="0" collapsed="false">
      <c r="A526" s="16" t="s">
        <v>2934</v>
      </c>
      <c r="B526" s="16" t="n">
        <v>521</v>
      </c>
      <c r="C526" s="16" t="s">
        <v>2935</v>
      </c>
      <c r="D526" s="16" t="n">
        <v>8</v>
      </c>
      <c r="E526" s="39" t="s">
        <v>2840</v>
      </c>
      <c r="F526" s="16" t="s">
        <v>1285</v>
      </c>
      <c r="G526" s="16" t="s">
        <v>322</v>
      </c>
      <c r="H526" s="16" t="s">
        <v>2225</v>
      </c>
      <c r="I526" s="16" t="s">
        <v>68</v>
      </c>
      <c r="J526" s="16" t="s">
        <v>1920</v>
      </c>
      <c r="K526" s="32" t="n">
        <v>12</v>
      </c>
      <c r="L526" s="33" t="n">
        <v>46386</v>
      </c>
      <c r="M526" s="33" t="n">
        <v>46397</v>
      </c>
      <c r="N526" s="16" t="s">
        <v>2936</v>
      </c>
      <c r="O526" s="16"/>
      <c r="P526" s="16" t="str">
        <f aca="false">IF(AND(L526&lt;=$D$2,M526&gt;=$C$2),"Sí","")</f>
        <v/>
      </c>
      <c r="Q526" s="18" t="str">
        <f aca="false">IF(COUNTIF(LOOKAHEAD!$A$5:$A$604,A526)&gt;0,"En Lookahead",IF(P526="Sí","INCORPORAR",""))</f>
        <v/>
      </c>
    </row>
    <row r="527" customFormat="false" ht="15" hidden="false" customHeight="false" outlineLevel="0" collapsed="false">
      <c r="A527" s="16" t="s">
        <v>2937</v>
      </c>
      <c r="B527" s="16" t="n">
        <v>522</v>
      </c>
      <c r="C527" s="16" t="s">
        <v>2938</v>
      </c>
      <c r="D527" s="16" t="n">
        <v>8</v>
      </c>
      <c r="E527" s="39" t="s">
        <v>1932</v>
      </c>
      <c r="F527" s="16" t="s">
        <v>1285</v>
      </c>
      <c r="G527" s="16" t="s">
        <v>322</v>
      </c>
      <c r="H527" s="16" t="s">
        <v>2225</v>
      </c>
      <c r="I527" s="16" t="s">
        <v>68</v>
      </c>
      <c r="J527" s="16" t="s">
        <v>1920</v>
      </c>
      <c r="K527" s="32" t="n">
        <v>12</v>
      </c>
      <c r="L527" s="33" t="n">
        <v>46398</v>
      </c>
      <c r="M527" s="33" t="n">
        <v>46409</v>
      </c>
      <c r="N527" s="16" t="s">
        <v>2939</v>
      </c>
      <c r="O527" s="16"/>
      <c r="P527" s="16" t="str">
        <f aca="false">IF(AND(L527&lt;=$D$2,M527&gt;=$C$2),"Sí","")</f>
        <v/>
      </c>
      <c r="Q527" s="18" t="str">
        <f aca="false">IF(COUNTIF(LOOKAHEAD!$A$5:$A$604,A527)&gt;0,"En Lookahead",IF(P527="Sí","INCORPORAR",""))</f>
        <v/>
      </c>
    </row>
    <row r="528" customFormat="false" ht="15" hidden="false" customHeight="false" outlineLevel="0" collapsed="false">
      <c r="A528" s="16" t="s">
        <v>2940</v>
      </c>
      <c r="B528" s="16" t="n">
        <v>523</v>
      </c>
      <c r="C528" s="16" t="s">
        <v>2941</v>
      </c>
      <c r="D528" s="16" t="n">
        <v>8</v>
      </c>
      <c r="E528" s="39" t="s">
        <v>1602</v>
      </c>
      <c r="F528" s="16" t="s">
        <v>1285</v>
      </c>
      <c r="G528" s="16" t="s">
        <v>322</v>
      </c>
      <c r="H528" s="16" t="s">
        <v>2225</v>
      </c>
      <c r="I528" s="16" t="s">
        <v>68</v>
      </c>
      <c r="J528" s="16" t="s">
        <v>1920</v>
      </c>
      <c r="K528" s="32" t="n">
        <v>2</v>
      </c>
      <c r="L528" s="33" t="n">
        <v>46411</v>
      </c>
      <c r="M528" s="33" t="n">
        <v>46412</v>
      </c>
      <c r="N528" s="16" t="s">
        <v>2942</v>
      </c>
      <c r="O528" s="16"/>
      <c r="P528" s="16" t="str">
        <f aca="false">IF(AND(L528&lt;=$D$2,M528&gt;=$C$2),"Sí","")</f>
        <v/>
      </c>
      <c r="Q528" s="18" t="str">
        <f aca="false">IF(COUNTIF(LOOKAHEAD!$A$5:$A$604,A528)&gt;0,"En Lookahead",IF(P528="Sí","INCORPORAR",""))</f>
        <v/>
      </c>
    </row>
    <row r="529" customFormat="false" ht="15" hidden="false" customHeight="false" outlineLevel="0" collapsed="false">
      <c r="A529" s="13" t="s">
        <v>2943</v>
      </c>
      <c r="B529" s="13" t="n">
        <v>524</v>
      </c>
      <c r="C529" s="13" t="s">
        <v>2944</v>
      </c>
      <c r="D529" s="13" t="n">
        <v>7</v>
      </c>
      <c r="E529" s="38" t="s">
        <v>2945</v>
      </c>
      <c r="F529" s="13" t="s">
        <v>1298</v>
      </c>
      <c r="G529" s="13" t="s">
        <v>322</v>
      </c>
      <c r="H529" s="13" t="s">
        <v>2225</v>
      </c>
      <c r="I529" s="13" t="s">
        <v>68</v>
      </c>
      <c r="J529" s="13" t="s">
        <v>2875</v>
      </c>
      <c r="K529" s="30" t="n">
        <v>4</v>
      </c>
      <c r="L529" s="31" t="n">
        <v>46411</v>
      </c>
      <c r="M529" s="31" t="n">
        <v>46414</v>
      </c>
      <c r="N529" s="13"/>
      <c r="O529" s="13"/>
      <c r="P529" s="13"/>
      <c r="Q529" s="13"/>
    </row>
    <row r="530" customFormat="false" ht="15" hidden="false" customHeight="false" outlineLevel="0" collapsed="false">
      <c r="A530" s="16" t="s">
        <v>2946</v>
      </c>
      <c r="B530" s="16" t="n">
        <v>525</v>
      </c>
      <c r="C530" s="16" t="s">
        <v>2947</v>
      </c>
      <c r="D530" s="16" t="n">
        <v>8</v>
      </c>
      <c r="E530" s="39" t="s">
        <v>2948</v>
      </c>
      <c r="F530" s="16" t="s">
        <v>1285</v>
      </c>
      <c r="G530" s="16" t="s">
        <v>322</v>
      </c>
      <c r="H530" s="16" t="s">
        <v>2225</v>
      </c>
      <c r="I530" s="16" t="s">
        <v>68</v>
      </c>
      <c r="J530" s="16" t="s">
        <v>2945</v>
      </c>
      <c r="K530" s="32" t="n">
        <v>1</v>
      </c>
      <c r="L530" s="33" t="n">
        <v>46413</v>
      </c>
      <c r="M530" s="33" t="n">
        <v>46413</v>
      </c>
      <c r="N530" s="16" t="s">
        <v>2949</v>
      </c>
      <c r="O530" s="16"/>
      <c r="P530" s="16" t="str">
        <f aca="false">IF(AND(L530&lt;=$D$2,M530&gt;=$C$2),"Sí","")</f>
        <v/>
      </c>
      <c r="Q530" s="18" t="str">
        <f aca="false">IF(COUNTIF(LOOKAHEAD!$A$5:$A$604,A530)&gt;0,"En Lookahead",IF(P530="Sí","INCORPORAR",""))</f>
        <v/>
      </c>
    </row>
    <row r="531" customFormat="false" ht="15" hidden="false" customHeight="false" outlineLevel="0" collapsed="false">
      <c r="A531" s="16" t="s">
        <v>2950</v>
      </c>
      <c r="B531" s="16" t="n">
        <v>526</v>
      </c>
      <c r="C531" s="16" t="s">
        <v>2951</v>
      </c>
      <c r="D531" s="16" t="n">
        <v>8</v>
      </c>
      <c r="E531" s="39" t="s">
        <v>2952</v>
      </c>
      <c r="F531" s="16" t="s">
        <v>1285</v>
      </c>
      <c r="G531" s="16" t="s">
        <v>322</v>
      </c>
      <c r="H531" s="16" t="s">
        <v>2225</v>
      </c>
      <c r="I531" s="16" t="s">
        <v>68</v>
      </c>
      <c r="J531" s="16" t="s">
        <v>2945</v>
      </c>
      <c r="K531" s="32" t="n">
        <v>1</v>
      </c>
      <c r="L531" s="33" t="n">
        <v>46412</v>
      </c>
      <c r="M531" s="33" t="n">
        <v>46412</v>
      </c>
      <c r="N531" s="16" t="s">
        <v>2953</v>
      </c>
      <c r="O531" s="16"/>
      <c r="P531" s="16" t="str">
        <f aca="false">IF(AND(L531&lt;=$D$2,M531&gt;=$C$2),"Sí","")</f>
        <v/>
      </c>
      <c r="Q531" s="18" t="str">
        <f aca="false">IF(COUNTIF(LOOKAHEAD!$A$5:$A$604,A531)&gt;0,"En Lookahead",IF(P531="Sí","INCORPORAR",""))</f>
        <v/>
      </c>
    </row>
    <row r="532" customFormat="false" ht="15" hidden="false" customHeight="false" outlineLevel="0" collapsed="false">
      <c r="A532" s="16" t="s">
        <v>2954</v>
      </c>
      <c r="B532" s="16" t="n">
        <v>527</v>
      </c>
      <c r="C532" s="16" t="s">
        <v>2955</v>
      </c>
      <c r="D532" s="16" t="n">
        <v>8</v>
      </c>
      <c r="E532" s="39" t="s">
        <v>2956</v>
      </c>
      <c r="F532" s="16" t="s">
        <v>1285</v>
      </c>
      <c r="G532" s="16" t="s">
        <v>322</v>
      </c>
      <c r="H532" s="16" t="s">
        <v>2225</v>
      </c>
      <c r="I532" s="16" t="s">
        <v>68</v>
      </c>
      <c r="J532" s="16" t="s">
        <v>2945</v>
      </c>
      <c r="K532" s="32" t="n">
        <v>1</v>
      </c>
      <c r="L532" s="33" t="n">
        <v>46411</v>
      </c>
      <c r="M532" s="33" t="n">
        <v>46411</v>
      </c>
      <c r="N532" s="16" t="s">
        <v>2942</v>
      </c>
      <c r="O532" s="16"/>
      <c r="P532" s="16" t="str">
        <f aca="false">IF(AND(L532&lt;=$D$2,M532&gt;=$C$2),"Sí","")</f>
        <v/>
      </c>
      <c r="Q532" s="18" t="str">
        <f aca="false">IF(COUNTIF(LOOKAHEAD!$A$5:$A$604,A532)&gt;0,"En Lookahead",IF(P532="Sí","INCORPORAR",""))</f>
        <v/>
      </c>
    </row>
    <row r="533" customFormat="false" ht="15" hidden="false" customHeight="false" outlineLevel="0" collapsed="false">
      <c r="A533" s="16" t="s">
        <v>2957</v>
      </c>
      <c r="B533" s="16" t="n">
        <v>528</v>
      </c>
      <c r="C533" s="16" t="s">
        <v>2958</v>
      </c>
      <c r="D533" s="16" t="n">
        <v>8</v>
      </c>
      <c r="E533" s="39" t="s">
        <v>1602</v>
      </c>
      <c r="F533" s="16" t="s">
        <v>1285</v>
      </c>
      <c r="G533" s="16" t="s">
        <v>322</v>
      </c>
      <c r="H533" s="16" t="s">
        <v>2225</v>
      </c>
      <c r="I533" s="16" t="s">
        <v>68</v>
      </c>
      <c r="J533" s="16" t="s">
        <v>2945</v>
      </c>
      <c r="K533" s="32" t="n">
        <v>1</v>
      </c>
      <c r="L533" s="33" t="n">
        <v>46414</v>
      </c>
      <c r="M533" s="33" t="n">
        <v>46414</v>
      </c>
      <c r="N533" s="16" t="s">
        <v>2959</v>
      </c>
      <c r="O533" s="16"/>
      <c r="P533" s="16" t="str">
        <f aca="false">IF(AND(L533&lt;=$D$2,M533&gt;=$C$2),"Sí","")</f>
        <v/>
      </c>
      <c r="Q533" s="18" t="str">
        <f aca="false">IF(COUNTIF(LOOKAHEAD!$A$5:$A$604,A533)&gt;0,"En Lookahead",IF(P533="Sí","INCORPORAR",""))</f>
        <v/>
      </c>
    </row>
    <row r="534" customFormat="false" ht="15" hidden="false" customHeight="false" outlineLevel="0" collapsed="false">
      <c r="A534" s="13" t="s">
        <v>2960</v>
      </c>
      <c r="B534" s="13" t="n">
        <v>529</v>
      </c>
      <c r="C534" s="13" t="s">
        <v>2961</v>
      </c>
      <c r="D534" s="13" t="n">
        <v>7</v>
      </c>
      <c r="E534" s="38" t="s">
        <v>2962</v>
      </c>
      <c r="F534" s="13" t="s">
        <v>1298</v>
      </c>
      <c r="G534" s="13" t="s">
        <v>322</v>
      </c>
      <c r="H534" s="13" t="s">
        <v>2225</v>
      </c>
      <c r="I534" s="13" t="s">
        <v>68</v>
      </c>
      <c r="J534" s="13" t="s">
        <v>2875</v>
      </c>
      <c r="K534" s="30" t="n">
        <v>10</v>
      </c>
      <c r="L534" s="31" t="n">
        <v>46412</v>
      </c>
      <c r="M534" s="31" t="n">
        <v>46421</v>
      </c>
      <c r="N534" s="13"/>
      <c r="O534" s="13"/>
      <c r="P534" s="13"/>
      <c r="Q534" s="13"/>
    </row>
    <row r="535" customFormat="false" ht="15" hidden="false" customHeight="false" outlineLevel="0" collapsed="false">
      <c r="A535" s="16" t="s">
        <v>2963</v>
      </c>
      <c r="B535" s="16" t="n">
        <v>530</v>
      </c>
      <c r="C535" s="16" t="s">
        <v>2964</v>
      </c>
      <c r="D535" s="16" t="n">
        <v>8</v>
      </c>
      <c r="E535" s="39" t="s">
        <v>2140</v>
      </c>
      <c r="F535" s="16" t="s">
        <v>1285</v>
      </c>
      <c r="G535" s="16" t="s">
        <v>322</v>
      </c>
      <c r="H535" s="16" t="s">
        <v>2225</v>
      </c>
      <c r="I535" s="16" t="s">
        <v>68</v>
      </c>
      <c r="J535" s="16" t="s">
        <v>2962</v>
      </c>
      <c r="K535" s="32" t="n">
        <v>10</v>
      </c>
      <c r="L535" s="33" t="n">
        <v>46412</v>
      </c>
      <c r="M535" s="33" t="n">
        <v>46421</v>
      </c>
      <c r="N535" s="16" t="s">
        <v>2953</v>
      </c>
      <c r="O535" s="16"/>
      <c r="P535" s="16" t="str">
        <f aca="false">IF(AND(L535&lt;=$D$2,M535&gt;=$C$2),"Sí","")</f>
        <v/>
      </c>
      <c r="Q535" s="18" t="str">
        <f aca="false">IF(COUNTIF(LOOKAHEAD!$A$5:$A$604,A535)&gt;0,"En Lookahead",IF(P535="Sí","INCORPORAR",""))</f>
        <v/>
      </c>
    </row>
    <row r="536" customFormat="false" ht="15" hidden="false" customHeight="false" outlineLevel="0" collapsed="false">
      <c r="A536" s="13" t="s">
        <v>2965</v>
      </c>
      <c r="B536" s="13" t="n">
        <v>531</v>
      </c>
      <c r="C536" s="13" t="s">
        <v>2966</v>
      </c>
      <c r="D536" s="13" t="n">
        <v>7</v>
      </c>
      <c r="E536" s="38" t="s">
        <v>2868</v>
      </c>
      <c r="F536" s="13" t="s">
        <v>1298</v>
      </c>
      <c r="G536" s="13" t="s">
        <v>322</v>
      </c>
      <c r="H536" s="13" t="s">
        <v>2225</v>
      </c>
      <c r="I536" s="13" t="s">
        <v>68</v>
      </c>
      <c r="J536" s="13" t="s">
        <v>2875</v>
      </c>
      <c r="K536" s="30" t="n">
        <v>14</v>
      </c>
      <c r="L536" s="31" t="n">
        <v>46422</v>
      </c>
      <c r="M536" s="31" t="n">
        <v>46435</v>
      </c>
      <c r="N536" s="13"/>
      <c r="O536" s="13"/>
      <c r="P536" s="13"/>
      <c r="Q536" s="13"/>
    </row>
    <row r="537" customFormat="false" ht="15" hidden="false" customHeight="false" outlineLevel="0" collapsed="false">
      <c r="A537" s="16" t="s">
        <v>2967</v>
      </c>
      <c r="B537" s="16" t="n">
        <v>532</v>
      </c>
      <c r="C537" s="16" t="s">
        <v>2968</v>
      </c>
      <c r="D537" s="16" t="n">
        <v>8</v>
      </c>
      <c r="E537" s="39" t="s">
        <v>2871</v>
      </c>
      <c r="F537" s="16" t="s">
        <v>1285</v>
      </c>
      <c r="G537" s="16" t="s">
        <v>322</v>
      </c>
      <c r="H537" s="16" t="s">
        <v>2225</v>
      </c>
      <c r="I537" s="16" t="s">
        <v>68</v>
      </c>
      <c r="J537" s="16" t="s">
        <v>2868</v>
      </c>
      <c r="K537" s="32" t="n">
        <v>14</v>
      </c>
      <c r="L537" s="33" t="n">
        <v>46422</v>
      </c>
      <c r="M537" s="33" t="n">
        <v>46435</v>
      </c>
      <c r="N537" s="16" t="s">
        <v>2969</v>
      </c>
      <c r="O537" s="16"/>
      <c r="P537" s="16" t="str">
        <f aca="false">IF(AND(L537&lt;=$D$2,M537&gt;=$C$2),"Sí","")</f>
        <v/>
      </c>
      <c r="Q537" s="18" t="str">
        <f aca="false">IF(COUNTIF(LOOKAHEAD!$A$5:$A$604,A537)&gt;0,"En Lookahead",IF(P537="Sí","INCORPORAR",""))</f>
        <v/>
      </c>
    </row>
    <row r="538" customFormat="false" ht="15" hidden="false" customHeight="false" outlineLevel="0" collapsed="false">
      <c r="A538" s="13" t="s">
        <v>2970</v>
      </c>
      <c r="B538" s="13" t="n">
        <v>533</v>
      </c>
      <c r="C538" s="13" t="s">
        <v>2971</v>
      </c>
      <c r="D538" s="13" t="n">
        <v>6</v>
      </c>
      <c r="E538" s="36" t="s">
        <v>2120</v>
      </c>
      <c r="F538" s="13" t="s">
        <v>1298</v>
      </c>
      <c r="G538" s="13" t="s">
        <v>322</v>
      </c>
      <c r="H538" s="13" t="s">
        <v>2225</v>
      </c>
      <c r="I538" s="13" t="s">
        <v>68</v>
      </c>
      <c r="J538" s="13" t="s">
        <v>1623</v>
      </c>
      <c r="K538" s="30" t="n">
        <v>4</v>
      </c>
      <c r="L538" s="31" t="n">
        <v>46411</v>
      </c>
      <c r="M538" s="31" t="n">
        <v>46414</v>
      </c>
      <c r="N538" s="13"/>
      <c r="O538" s="13"/>
      <c r="P538" s="13"/>
      <c r="Q538" s="13"/>
    </row>
    <row r="539" customFormat="false" ht="15" hidden="false" customHeight="false" outlineLevel="0" collapsed="false">
      <c r="A539" s="16" t="s">
        <v>2972</v>
      </c>
      <c r="B539" s="16" t="n">
        <v>534</v>
      </c>
      <c r="C539" s="16" t="s">
        <v>2973</v>
      </c>
      <c r="D539" s="16" t="n">
        <v>7</v>
      </c>
      <c r="E539" s="37" t="s">
        <v>2123</v>
      </c>
      <c r="F539" s="16" t="s">
        <v>1285</v>
      </c>
      <c r="G539" s="16" t="s">
        <v>322</v>
      </c>
      <c r="H539" s="16" t="s">
        <v>2225</v>
      </c>
      <c r="I539" s="16" t="s">
        <v>68</v>
      </c>
      <c r="J539" s="16" t="s">
        <v>2120</v>
      </c>
      <c r="K539" s="32" t="n">
        <v>1</v>
      </c>
      <c r="L539" s="33" t="n">
        <v>46413</v>
      </c>
      <c r="M539" s="33" t="n">
        <v>46413</v>
      </c>
      <c r="N539" s="16" t="s">
        <v>2974</v>
      </c>
      <c r="O539" s="16"/>
      <c r="P539" s="16" t="str">
        <f aca="false">IF(AND(L539&lt;=$D$2,M539&gt;=$C$2),"Sí","")</f>
        <v/>
      </c>
      <c r="Q539" s="18" t="str">
        <f aca="false">IF(COUNTIF(LOOKAHEAD!$A$5:$A$604,A539)&gt;0,"En Lookahead",IF(P539="Sí","INCORPORAR",""))</f>
        <v/>
      </c>
    </row>
    <row r="540" customFormat="false" ht="15" hidden="false" customHeight="false" outlineLevel="0" collapsed="false">
      <c r="A540" s="16" t="s">
        <v>2975</v>
      </c>
      <c r="B540" s="16" t="n">
        <v>535</v>
      </c>
      <c r="C540" s="16" t="s">
        <v>2976</v>
      </c>
      <c r="D540" s="16" t="n">
        <v>7</v>
      </c>
      <c r="E540" s="37" t="s">
        <v>2127</v>
      </c>
      <c r="F540" s="16" t="s">
        <v>1285</v>
      </c>
      <c r="G540" s="16" t="s">
        <v>322</v>
      </c>
      <c r="H540" s="16" t="s">
        <v>2225</v>
      </c>
      <c r="I540" s="16" t="s">
        <v>68</v>
      </c>
      <c r="J540" s="16" t="s">
        <v>2120</v>
      </c>
      <c r="K540" s="32" t="n">
        <v>1</v>
      </c>
      <c r="L540" s="33" t="n">
        <v>46412</v>
      </c>
      <c r="M540" s="33" t="n">
        <v>46412</v>
      </c>
      <c r="N540" s="16" t="s">
        <v>2977</v>
      </c>
      <c r="O540" s="16"/>
      <c r="P540" s="16" t="str">
        <f aca="false">IF(AND(L540&lt;=$D$2,M540&gt;=$C$2),"Sí","")</f>
        <v/>
      </c>
      <c r="Q540" s="18" t="str">
        <f aca="false">IF(COUNTIF(LOOKAHEAD!$A$5:$A$604,A540)&gt;0,"En Lookahead",IF(P540="Sí","INCORPORAR",""))</f>
        <v/>
      </c>
    </row>
    <row r="541" customFormat="false" ht="15" hidden="false" customHeight="false" outlineLevel="0" collapsed="false">
      <c r="A541" s="16" t="s">
        <v>2978</v>
      </c>
      <c r="B541" s="16" t="n">
        <v>536</v>
      </c>
      <c r="C541" s="16" t="s">
        <v>2979</v>
      </c>
      <c r="D541" s="16" t="n">
        <v>7</v>
      </c>
      <c r="E541" s="37" t="s">
        <v>2131</v>
      </c>
      <c r="F541" s="16" t="s">
        <v>1285</v>
      </c>
      <c r="G541" s="16" t="s">
        <v>322</v>
      </c>
      <c r="H541" s="16" t="s">
        <v>2225</v>
      </c>
      <c r="I541" s="16" t="s">
        <v>68</v>
      </c>
      <c r="J541" s="16" t="s">
        <v>2120</v>
      </c>
      <c r="K541" s="32" t="n">
        <v>1</v>
      </c>
      <c r="L541" s="33" t="n">
        <v>46411</v>
      </c>
      <c r="M541" s="33" t="n">
        <v>46411</v>
      </c>
      <c r="N541" s="16" t="s">
        <v>2942</v>
      </c>
      <c r="O541" s="16"/>
      <c r="P541" s="16" t="str">
        <f aca="false">IF(AND(L541&lt;=$D$2,M541&gt;=$C$2),"Sí","")</f>
        <v/>
      </c>
      <c r="Q541" s="18" t="str">
        <f aca="false">IF(COUNTIF(LOOKAHEAD!$A$5:$A$604,A541)&gt;0,"En Lookahead",IF(P541="Sí","INCORPORAR",""))</f>
        <v/>
      </c>
    </row>
    <row r="542" customFormat="false" ht="15" hidden="false" customHeight="false" outlineLevel="0" collapsed="false">
      <c r="A542" s="16" t="s">
        <v>2980</v>
      </c>
      <c r="B542" s="16" t="n">
        <v>537</v>
      </c>
      <c r="C542" s="16" t="s">
        <v>2981</v>
      </c>
      <c r="D542" s="16" t="n">
        <v>7</v>
      </c>
      <c r="E542" s="37" t="s">
        <v>1602</v>
      </c>
      <c r="F542" s="16" t="s">
        <v>1285</v>
      </c>
      <c r="G542" s="16" t="s">
        <v>322</v>
      </c>
      <c r="H542" s="16" t="s">
        <v>2225</v>
      </c>
      <c r="I542" s="16" t="s">
        <v>68</v>
      </c>
      <c r="J542" s="16" t="s">
        <v>2120</v>
      </c>
      <c r="K542" s="32" t="n">
        <v>1</v>
      </c>
      <c r="L542" s="33" t="n">
        <v>46414</v>
      </c>
      <c r="M542" s="33" t="n">
        <v>46414</v>
      </c>
      <c r="N542" s="16" t="s">
        <v>2982</v>
      </c>
      <c r="O542" s="16"/>
      <c r="P542" s="16" t="str">
        <f aca="false">IF(AND(L542&lt;=$D$2,M542&gt;=$C$2),"Sí","")</f>
        <v/>
      </c>
      <c r="Q542" s="18" t="str">
        <f aca="false">IF(COUNTIF(LOOKAHEAD!$A$5:$A$604,A542)&gt;0,"En Lookahead",IF(P542="Sí","INCORPORAR",""))</f>
        <v/>
      </c>
    </row>
    <row r="543" customFormat="false" ht="15" hidden="false" customHeight="false" outlineLevel="0" collapsed="false">
      <c r="A543" s="13" t="s">
        <v>2983</v>
      </c>
      <c r="B543" s="13" t="n">
        <v>538</v>
      </c>
      <c r="C543" s="13" t="s">
        <v>2984</v>
      </c>
      <c r="D543" s="13" t="n">
        <v>6</v>
      </c>
      <c r="E543" s="36" t="s">
        <v>2985</v>
      </c>
      <c r="F543" s="13" t="s">
        <v>1298</v>
      </c>
      <c r="G543" s="13" t="s">
        <v>322</v>
      </c>
      <c r="H543" s="13" t="s">
        <v>2225</v>
      </c>
      <c r="I543" s="13" t="s">
        <v>68</v>
      </c>
      <c r="J543" s="13" t="s">
        <v>1623</v>
      </c>
      <c r="K543" s="30" t="n">
        <v>4</v>
      </c>
      <c r="L543" s="31" t="n">
        <v>46412</v>
      </c>
      <c r="M543" s="31" t="n">
        <v>46415</v>
      </c>
      <c r="N543" s="13"/>
      <c r="O543" s="13"/>
      <c r="P543" s="13"/>
      <c r="Q543" s="13"/>
    </row>
    <row r="544" customFormat="false" ht="15" hidden="false" customHeight="false" outlineLevel="0" collapsed="false">
      <c r="A544" s="16" t="s">
        <v>2986</v>
      </c>
      <c r="B544" s="16" t="n">
        <v>539</v>
      </c>
      <c r="C544" s="16" t="s">
        <v>2987</v>
      </c>
      <c r="D544" s="16" t="n">
        <v>7</v>
      </c>
      <c r="E544" s="37" t="s">
        <v>2988</v>
      </c>
      <c r="F544" s="16" t="s">
        <v>1285</v>
      </c>
      <c r="G544" s="16" t="s">
        <v>322</v>
      </c>
      <c r="H544" s="16" t="s">
        <v>2225</v>
      </c>
      <c r="I544" s="16" t="s">
        <v>68</v>
      </c>
      <c r="J544" s="16" t="s">
        <v>2985</v>
      </c>
      <c r="K544" s="32" t="n">
        <v>1</v>
      </c>
      <c r="L544" s="33" t="n">
        <v>46414</v>
      </c>
      <c r="M544" s="33" t="n">
        <v>46414</v>
      </c>
      <c r="N544" s="16" t="s">
        <v>2989</v>
      </c>
      <c r="O544" s="16"/>
      <c r="P544" s="16" t="str">
        <f aca="false">IF(AND(L544&lt;=$D$2,M544&gt;=$C$2),"Sí","")</f>
        <v/>
      </c>
      <c r="Q544" s="18" t="str">
        <f aca="false">IF(COUNTIF(LOOKAHEAD!$A$5:$A$604,A544)&gt;0,"En Lookahead",IF(P544="Sí","INCORPORAR",""))</f>
        <v/>
      </c>
    </row>
    <row r="545" customFormat="false" ht="15" hidden="false" customHeight="false" outlineLevel="0" collapsed="false">
      <c r="A545" s="16" t="s">
        <v>2990</v>
      </c>
      <c r="B545" s="16" t="n">
        <v>540</v>
      </c>
      <c r="C545" s="16" t="s">
        <v>2991</v>
      </c>
      <c r="D545" s="16" t="n">
        <v>7</v>
      </c>
      <c r="E545" s="37" t="s">
        <v>1588</v>
      </c>
      <c r="F545" s="16" t="s">
        <v>1285</v>
      </c>
      <c r="G545" s="16" t="s">
        <v>322</v>
      </c>
      <c r="H545" s="16" t="s">
        <v>2225</v>
      </c>
      <c r="I545" s="16" t="s">
        <v>68</v>
      </c>
      <c r="J545" s="16" t="s">
        <v>2985</v>
      </c>
      <c r="K545" s="32" t="n">
        <v>1</v>
      </c>
      <c r="L545" s="33" t="n">
        <v>46413</v>
      </c>
      <c r="M545" s="33" t="n">
        <v>46413</v>
      </c>
      <c r="N545" s="16" t="s">
        <v>2992</v>
      </c>
      <c r="O545" s="16"/>
      <c r="P545" s="16" t="str">
        <f aca="false">IF(AND(L545&lt;=$D$2,M545&gt;=$C$2),"Sí","")</f>
        <v/>
      </c>
      <c r="Q545" s="18" t="str">
        <f aca="false">IF(COUNTIF(LOOKAHEAD!$A$5:$A$604,A545)&gt;0,"En Lookahead",IF(P545="Sí","INCORPORAR",""))</f>
        <v/>
      </c>
    </row>
    <row r="546" customFormat="false" ht="15" hidden="false" customHeight="false" outlineLevel="0" collapsed="false">
      <c r="A546" s="16" t="s">
        <v>2993</v>
      </c>
      <c r="B546" s="16" t="n">
        <v>541</v>
      </c>
      <c r="C546" s="16" t="s">
        <v>2994</v>
      </c>
      <c r="D546" s="16" t="n">
        <v>7</v>
      </c>
      <c r="E546" s="37" t="s">
        <v>2995</v>
      </c>
      <c r="F546" s="16" t="s">
        <v>1285</v>
      </c>
      <c r="G546" s="16" t="s">
        <v>322</v>
      </c>
      <c r="H546" s="16" t="s">
        <v>2225</v>
      </c>
      <c r="I546" s="16" t="s">
        <v>68</v>
      </c>
      <c r="J546" s="16" t="s">
        <v>2985</v>
      </c>
      <c r="K546" s="32" t="n">
        <v>1</v>
      </c>
      <c r="L546" s="33" t="n">
        <v>46412</v>
      </c>
      <c r="M546" s="33" t="n">
        <v>46412</v>
      </c>
      <c r="N546" s="16" t="s">
        <v>2977</v>
      </c>
      <c r="O546" s="16"/>
      <c r="P546" s="16" t="str">
        <f aca="false">IF(AND(L546&lt;=$D$2,M546&gt;=$C$2),"Sí","")</f>
        <v/>
      </c>
      <c r="Q546" s="18" t="str">
        <f aca="false">IF(COUNTIF(LOOKAHEAD!$A$5:$A$604,A546)&gt;0,"En Lookahead",IF(P546="Sí","INCORPORAR",""))</f>
        <v/>
      </c>
    </row>
    <row r="547" customFormat="false" ht="15" hidden="false" customHeight="false" outlineLevel="0" collapsed="false">
      <c r="A547" s="16" t="s">
        <v>2996</v>
      </c>
      <c r="B547" s="16" t="n">
        <v>542</v>
      </c>
      <c r="C547" s="16" t="s">
        <v>2997</v>
      </c>
      <c r="D547" s="16" t="n">
        <v>7</v>
      </c>
      <c r="E547" s="37" t="s">
        <v>1602</v>
      </c>
      <c r="F547" s="16" t="s">
        <v>1285</v>
      </c>
      <c r="G547" s="16" t="s">
        <v>322</v>
      </c>
      <c r="H547" s="16" t="s">
        <v>2225</v>
      </c>
      <c r="I547" s="16" t="s">
        <v>68</v>
      </c>
      <c r="J547" s="16" t="s">
        <v>2985</v>
      </c>
      <c r="K547" s="32" t="n">
        <v>1</v>
      </c>
      <c r="L547" s="33" t="n">
        <v>46415</v>
      </c>
      <c r="M547" s="33" t="n">
        <v>46415</v>
      </c>
      <c r="N547" s="16" t="s">
        <v>2998</v>
      </c>
      <c r="O547" s="16"/>
      <c r="P547" s="16" t="str">
        <f aca="false">IF(AND(L547&lt;=$D$2,M547&gt;=$C$2),"Sí","")</f>
        <v/>
      </c>
      <c r="Q547" s="18" t="str">
        <f aca="false">IF(COUNTIF(LOOKAHEAD!$A$5:$A$604,A547)&gt;0,"En Lookahead",IF(P547="Sí","INCORPORAR",""))</f>
        <v/>
      </c>
    </row>
    <row r="548" customFormat="false" ht="15" hidden="false" customHeight="false" outlineLevel="0" collapsed="false">
      <c r="A548" s="13" t="s">
        <v>2999</v>
      </c>
      <c r="B548" s="13" t="n">
        <v>543</v>
      </c>
      <c r="C548" s="13" t="s">
        <v>3000</v>
      </c>
      <c r="D548" s="13" t="n">
        <v>5</v>
      </c>
      <c r="E548" s="34" t="s">
        <v>2137</v>
      </c>
      <c r="F548" s="13" t="s">
        <v>1298</v>
      </c>
      <c r="G548" s="13" t="s">
        <v>322</v>
      </c>
      <c r="H548" s="13" t="s">
        <v>2225</v>
      </c>
      <c r="I548" s="13" t="s">
        <v>68</v>
      </c>
      <c r="J548" s="13" t="s">
        <v>2225</v>
      </c>
      <c r="K548" s="30" t="n">
        <v>9</v>
      </c>
      <c r="L548" s="31" t="n">
        <v>46362</v>
      </c>
      <c r="M548" s="31" t="n">
        <v>46370</v>
      </c>
      <c r="N548" s="13"/>
      <c r="O548" s="13"/>
      <c r="P548" s="13"/>
      <c r="Q548" s="13"/>
    </row>
    <row r="549" customFormat="false" ht="15" hidden="false" customHeight="false" outlineLevel="0" collapsed="false">
      <c r="A549" s="16" t="s">
        <v>3001</v>
      </c>
      <c r="B549" s="16" t="n">
        <v>544</v>
      </c>
      <c r="C549" s="16" t="s">
        <v>3002</v>
      </c>
      <c r="D549" s="16" t="n">
        <v>6</v>
      </c>
      <c r="E549" s="35" t="s">
        <v>2140</v>
      </c>
      <c r="F549" s="16" t="s">
        <v>1285</v>
      </c>
      <c r="G549" s="16" t="s">
        <v>322</v>
      </c>
      <c r="H549" s="16" t="s">
        <v>2225</v>
      </c>
      <c r="I549" s="16" t="s">
        <v>68</v>
      </c>
      <c r="J549" s="16" t="s">
        <v>2137</v>
      </c>
      <c r="K549" s="32" t="n">
        <v>1</v>
      </c>
      <c r="L549" s="33" t="n">
        <v>46363</v>
      </c>
      <c r="M549" s="33" t="n">
        <v>46363</v>
      </c>
      <c r="N549" s="16" t="s">
        <v>2865</v>
      </c>
      <c r="O549" s="16"/>
      <c r="P549" s="16" t="str">
        <f aca="false">IF(AND(L549&lt;=$D$2,M549&gt;=$C$2),"Sí","")</f>
        <v/>
      </c>
      <c r="Q549" s="18" t="str">
        <f aca="false">IF(COUNTIF(LOOKAHEAD!$A$5:$A$604,A549)&gt;0,"En Lookahead",IF(P549="Sí","INCORPORAR",""))</f>
        <v/>
      </c>
    </row>
    <row r="550" customFormat="false" ht="15" hidden="false" customHeight="false" outlineLevel="0" collapsed="false">
      <c r="A550" s="16" t="s">
        <v>3003</v>
      </c>
      <c r="B550" s="16" t="n">
        <v>545</v>
      </c>
      <c r="C550" s="16" t="s">
        <v>3004</v>
      </c>
      <c r="D550" s="16" t="n">
        <v>6</v>
      </c>
      <c r="E550" s="35" t="s">
        <v>2144</v>
      </c>
      <c r="F550" s="16" t="s">
        <v>1285</v>
      </c>
      <c r="G550" s="16" t="s">
        <v>322</v>
      </c>
      <c r="H550" s="16" t="s">
        <v>2225</v>
      </c>
      <c r="I550" s="16" t="s">
        <v>68</v>
      </c>
      <c r="J550" s="16" t="s">
        <v>2137</v>
      </c>
      <c r="K550" s="32" t="n">
        <v>4</v>
      </c>
      <c r="L550" s="33" t="n">
        <v>46362</v>
      </c>
      <c r="M550" s="33" t="n">
        <v>46365</v>
      </c>
      <c r="N550" s="16" t="s">
        <v>3005</v>
      </c>
      <c r="O550" s="16"/>
      <c r="P550" s="16" t="str">
        <f aca="false">IF(AND(L550&lt;=$D$2,M550&gt;=$C$2),"Sí","")</f>
        <v/>
      </c>
      <c r="Q550" s="18" t="str">
        <f aca="false">IF(COUNTIF(LOOKAHEAD!$A$5:$A$604,A550)&gt;0,"En Lookahead",IF(P550="Sí","INCORPORAR",""))</f>
        <v/>
      </c>
    </row>
    <row r="551" customFormat="false" ht="15" hidden="false" customHeight="false" outlineLevel="0" collapsed="false">
      <c r="A551" s="16" t="s">
        <v>3006</v>
      </c>
      <c r="B551" s="16" t="n">
        <v>546</v>
      </c>
      <c r="C551" s="16" t="s">
        <v>3007</v>
      </c>
      <c r="D551" s="16" t="n">
        <v>6</v>
      </c>
      <c r="E551" s="35" t="s">
        <v>3008</v>
      </c>
      <c r="F551" s="16" t="s">
        <v>1285</v>
      </c>
      <c r="G551" s="16" t="s">
        <v>322</v>
      </c>
      <c r="H551" s="16" t="s">
        <v>2225</v>
      </c>
      <c r="I551" s="16" t="s">
        <v>68</v>
      </c>
      <c r="J551" s="16" t="s">
        <v>2137</v>
      </c>
      <c r="K551" s="32" t="n">
        <v>5</v>
      </c>
      <c r="L551" s="33" t="n">
        <v>46366</v>
      </c>
      <c r="M551" s="33" t="n">
        <v>46370</v>
      </c>
      <c r="N551" s="16" t="s">
        <v>3009</v>
      </c>
      <c r="O551" s="16"/>
      <c r="P551" s="16" t="str">
        <f aca="false">IF(AND(L551&lt;=$D$2,M551&gt;=$C$2),"Sí","")</f>
        <v/>
      </c>
      <c r="Q551" s="18" t="str">
        <f aca="false">IF(COUNTIF(LOOKAHEAD!$A$5:$A$604,A551)&gt;0,"En Lookahead",IF(P551="Sí","INCORPORAR",""))</f>
        <v/>
      </c>
    </row>
    <row r="552" customFormat="false" ht="15" hidden="false" customHeight="false" outlineLevel="0" collapsed="false">
      <c r="A552" s="13" t="s">
        <v>3010</v>
      </c>
      <c r="B552" s="13" t="n">
        <v>547</v>
      </c>
      <c r="C552" s="13" t="s">
        <v>3011</v>
      </c>
      <c r="D552" s="13" t="n">
        <v>4</v>
      </c>
      <c r="E552" s="20" t="s">
        <v>3012</v>
      </c>
      <c r="F552" s="13" t="s">
        <v>1298</v>
      </c>
      <c r="G552" s="13" t="s">
        <v>322</v>
      </c>
      <c r="H552" s="13" t="s">
        <v>3012</v>
      </c>
      <c r="I552" s="13" t="s">
        <v>74</v>
      </c>
      <c r="J552" s="13" t="s">
        <v>1528</v>
      </c>
      <c r="K552" s="30" t="n">
        <v>280</v>
      </c>
      <c r="L552" s="31" t="n">
        <v>46005</v>
      </c>
      <c r="M552" s="31" t="n">
        <v>46364</v>
      </c>
      <c r="N552" s="13"/>
      <c r="O552" s="13" t="s">
        <v>1299</v>
      </c>
      <c r="P552" s="13"/>
      <c r="Q552" s="13"/>
    </row>
    <row r="553" customFormat="false" ht="15" hidden="false" customHeight="false" outlineLevel="0" collapsed="false">
      <c r="A553" s="13" t="s">
        <v>3013</v>
      </c>
      <c r="B553" s="13" t="n">
        <v>548</v>
      </c>
      <c r="C553" s="13" t="s">
        <v>3014</v>
      </c>
      <c r="D553" s="13" t="n">
        <v>5</v>
      </c>
      <c r="E553" s="34" t="s">
        <v>1534</v>
      </c>
      <c r="F553" s="13" t="s">
        <v>1298</v>
      </c>
      <c r="G553" s="13" t="s">
        <v>322</v>
      </c>
      <c r="H553" s="13" t="s">
        <v>3012</v>
      </c>
      <c r="I553" s="13" t="s">
        <v>74</v>
      </c>
      <c r="J553" s="13" t="s">
        <v>3012</v>
      </c>
      <c r="K553" s="30" t="n">
        <v>110</v>
      </c>
      <c r="L553" s="31" t="n">
        <v>46005</v>
      </c>
      <c r="M553" s="31" t="n">
        <v>46114</v>
      </c>
      <c r="N553" s="13"/>
      <c r="O553" s="13" t="s">
        <v>1299</v>
      </c>
      <c r="P553" s="13"/>
      <c r="Q553" s="13"/>
    </row>
    <row r="554" customFormat="false" ht="15" hidden="false" customHeight="false" outlineLevel="0" collapsed="false">
      <c r="A554" s="16" t="s">
        <v>3015</v>
      </c>
      <c r="B554" s="16" t="n">
        <v>549</v>
      </c>
      <c r="C554" s="16" t="s">
        <v>3016</v>
      </c>
      <c r="D554" s="16" t="n">
        <v>6</v>
      </c>
      <c r="E554" s="35" t="s">
        <v>1537</v>
      </c>
      <c r="F554" s="16" t="s">
        <v>1285</v>
      </c>
      <c r="G554" s="16" t="s">
        <v>322</v>
      </c>
      <c r="H554" s="16" t="s">
        <v>3012</v>
      </c>
      <c r="I554" s="16" t="s">
        <v>74</v>
      </c>
      <c r="J554" s="16" t="s">
        <v>1534</v>
      </c>
      <c r="K554" s="32" t="n">
        <v>1</v>
      </c>
      <c r="L554" s="33" t="n">
        <v>46005</v>
      </c>
      <c r="M554" s="33" t="n">
        <v>46005</v>
      </c>
      <c r="N554" s="16" t="s">
        <v>3017</v>
      </c>
      <c r="O554" s="16" t="s">
        <v>1299</v>
      </c>
      <c r="P554" s="16" t="str">
        <f aca="false">IF(AND(L554&lt;=$D$2,M554&gt;=$C$2),"Sí","")</f>
        <v/>
      </c>
      <c r="Q554" s="18" t="str">
        <f aca="false">IF(COUNTIF(LOOKAHEAD!$A$5:$A$604,A554)&gt;0,"En Lookahead",IF(P554="Sí","INCORPORAR",""))</f>
        <v/>
      </c>
    </row>
    <row r="555" customFormat="false" ht="15" hidden="false" customHeight="false" outlineLevel="0" collapsed="false">
      <c r="A555" s="16" t="s">
        <v>3018</v>
      </c>
      <c r="B555" s="16" t="n">
        <v>550</v>
      </c>
      <c r="C555" s="16" t="s">
        <v>3019</v>
      </c>
      <c r="D555" s="16" t="n">
        <v>6</v>
      </c>
      <c r="E555" s="35" t="s">
        <v>1541</v>
      </c>
      <c r="F555" s="16" t="s">
        <v>1285</v>
      </c>
      <c r="G555" s="16" t="s">
        <v>322</v>
      </c>
      <c r="H555" s="16" t="s">
        <v>3012</v>
      </c>
      <c r="I555" s="16" t="s">
        <v>74</v>
      </c>
      <c r="J555" s="16" t="s">
        <v>1534</v>
      </c>
      <c r="K555" s="32" t="n">
        <v>2</v>
      </c>
      <c r="L555" s="33" t="n">
        <v>46006</v>
      </c>
      <c r="M555" s="33" t="n">
        <v>46007</v>
      </c>
      <c r="N555" s="16" t="s">
        <v>3020</v>
      </c>
      <c r="O555" s="16"/>
      <c r="P555" s="16" t="str">
        <f aca="false">IF(AND(L555&lt;=$D$2,M555&gt;=$C$2),"Sí","")</f>
        <v/>
      </c>
      <c r="Q555" s="18" t="str">
        <f aca="false">IF(COUNTIF(LOOKAHEAD!$A$5:$A$604,A555)&gt;0,"En Lookahead",IF(P555="Sí","INCORPORAR",""))</f>
        <v/>
      </c>
    </row>
    <row r="556" customFormat="false" ht="15" hidden="false" customHeight="false" outlineLevel="0" collapsed="false">
      <c r="A556" s="16" t="s">
        <v>3021</v>
      </c>
      <c r="B556" s="16" t="n">
        <v>551</v>
      </c>
      <c r="C556" s="16" t="s">
        <v>3022</v>
      </c>
      <c r="D556" s="16" t="n">
        <v>6</v>
      </c>
      <c r="E556" s="35" t="s">
        <v>1545</v>
      </c>
      <c r="F556" s="16" t="s">
        <v>1285</v>
      </c>
      <c r="G556" s="16" t="s">
        <v>322</v>
      </c>
      <c r="H556" s="16" t="s">
        <v>3012</v>
      </c>
      <c r="I556" s="16" t="s">
        <v>74</v>
      </c>
      <c r="J556" s="16" t="s">
        <v>1534</v>
      </c>
      <c r="K556" s="32" t="n">
        <v>1</v>
      </c>
      <c r="L556" s="33" t="n">
        <v>46008</v>
      </c>
      <c r="M556" s="33" t="n">
        <v>46008</v>
      </c>
      <c r="N556" s="16" t="s">
        <v>3023</v>
      </c>
      <c r="O556" s="16"/>
      <c r="P556" s="16" t="str">
        <f aca="false">IF(AND(L556&lt;=$D$2,M556&gt;=$C$2),"Sí","")</f>
        <v/>
      </c>
      <c r="Q556" s="18" t="str">
        <f aca="false">IF(COUNTIF(LOOKAHEAD!$A$5:$A$604,A556)&gt;0,"En Lookahead",IF(P556="Sí","INCORPORAR",""))</f>
        <v/>
      </c>
    </row>
    <row r="557" customFormat="false" ht="15" hidden="false" customHeight="false" outlineLevel="0" collapsed="false">
      <c r="A557" s="16" t="s">
        <v>3024</v>
      </c>
      <c r="B557" s="16" t="n">
        <v>552</v>
      </c>
      <c r="C557" s="16" t="s">
        <v>3025</v>
      </c>
      <c r="D557" s="16" t="n">
        <v>6</v>
      </c>
      <c r="E557" s="35" t="s">
        <v>1549</v>
      </c>
      <c r="F557" s="16" t="s">
        <v>1285</v>
      </c>
      <c r="G557" s="16" t="s">
        <v>322</v>
      </c>
      <c r="H557" s="16" t="s">
        <v>3012</v>
      </c>
      <c r="I557" s="16" t="s">
        <v>74</v>
      </c>
      <c r="J557" s="16" t="s">
        <v>1534</v>
      </c>
      <c r="K557" s="32" t="n">
        <v>2</v>
      </c>
      <c r="L557" s="33" t="n">
        <v>46009</v>
      </c>
      <c r="M557" s="33" t="n">
        <v>46010</v>
      </c>
      <c r="N557" s="16" t="s">
        <v>3026</v>
      </c>
      <c r="O557" s="16"/>
      <c r="P557" s="16" t="str">
        <f aca="false">IF(AND(L557&lt;=$D$2,M557&gt;=$C$2),"Sí","")</f>
        <v/>
      </c>
      <c r="Q557" s="18" t="str">
        <f aca="false">IF(COUNTIF(LOOKAHEAD!$A$5:$A$604,A557)&gt;0,"En Lookahead",IF(P557="Sí","INCORPORAR",""))</f>
        <v/>
      </c>
    </row>
    <row r="558" customFormat="false" ht="15" hidden="false" customHeight="false" outlineLevel="0" collapsed="false">
      <c r="A558" s="16" t="s">
        <v>3027</v>
      </c>
      <c r="B558" s="16" t="n">
        <v>553</v>
      </c>
      <c r="C558" s="16" t="s">
        <v>3028</v>
      </c>
      <c r="D558" s="16" t="n">
        <v>6</v>
      </c>
      <c r="E558" s="35" t="s">
        <v>1553</v>
      </c>
      <c r="F558" s="16" t="s">
        <v>1285</v>
      </c>
      <c r="G558" s="16" t="s">
        <v>322</v>
      </c>
      <c r="H558" s="16" t="s">
        <v>3012</v>
      </c>
      <c r="I558" s="16" t="s">
        <v>74</v>
      </c>
      <c r="J558" s="16" t="s">
        <v>1534</v>
      </c>
      <c r="K558" s="32" t="n">
        <v>18</v>
      </c>
      <c r="L558" s="33" t="n">
        <v>46036</v>
      </c>
      <c r="M558" s="33" t="n">
        <v>46053</v>
      </c>
      <c r="N558" s="16" t="s">
        <v>3029</v>
      </c>
      <c r="O558" s="16"/>
      <c r="P558" s="16" t="str">
        <f aca="false">IF(AND(L558&lt;=$D$2,M558&gt;=$C$2),"Sí","")</f>
        <v/>
      </c>
      <c r="Q558" s="18" t="str">
        <f aca="false">IF(COUNTIF(LOOKAHEAD!$A$5:$A$604,A558)&gt;0,"En Lookahead",IF(P558="Sí","INCORPORAR",""))</f>
        <v/>
      </c>
    </row>
    <row r="559" customFormat="false" ht="15" hidden="false" customHeight="false" outlineLevel="0" collapsed="false">
      <c r="A559" s="16" t="s">
        <v>3030</v>
      </c>
      <c r="B559" s="16" t="n">
        <v>554</v>
      </c>
      <c r="C559" s="16" t="s">
        <v>3031</v>
      </c>
      <c r="D559" s="16" t="n">
        <v>6</v>
      </c>
      <c r="E559" s="35" t="s">
        <v>1557</v>
      </c>
      <c r="F559" s="16" t="s">
        <v>1285</v>
      </c>
      <c r="G559" s="16" t="s">
        <v>322</v>
      </c>
      <c r="H559" s="16" t="s">
        <v>3012</v>
      </c>
      <c r="I559" s="16" t="s">
        <v>74</v>
      </c>
      <c r="J559" s="16" t="s">
        <v>1534</v>
      </c>
      <c r="K559" s="32" t="n">
        <v>103</v>
      </c>
      <c r="L559" s="33" t="n">
        <v>46009</v>
      </c>
      <c r="M559" s="33" t="n">
        <v>46111</v>
      </c>
      <c r="N559" s="16" t="s">
        <v>3026</v>
      </c>
      <c r="O559" s="16"/>
      <c r="P559" s="16" t="str">
        <f aca="false">IF(AND(L559&lt;=$D$2,M559&gt;=$C$2),"Sí","")</f>
        <v/>
      </c>
      <c r="Q559" s="18" t="str">
        <f aca="false">IF(COUNTIF(LOOKAHEAD!$A$5:$A$604,A559)&gt;0,"En Lookahead",IF(P559="Sí","INCORPORAR",""))</f>
        <v/>
      </c>
    </row>
    <row r="560" customFormat="false" ht="15" hidden="false" customHeight="false" outlineLevel="0" collapsed="false">
      <c r="A560" s="16" t="s">
        <v>3032</v>
      </c>
      <c r="B560" s="16" t="n">
        <v>555</v>
      </c>
      <c r="C560" s="16" t="s">
        <v>3033</v>
      </c>
      <c r="D560" s="16" t="n">
        <v>6</v>
      </c>
      <c r="E560" s="35" t="s">
        <v>1560</v>
      </c>
      <c r="F560" s="16" t="s">
        <v>1285</v>
      </c>
      <c r="G560" s="16" t="s">
        <v>322</v>
      </c>
      <c r="H560" s="16" t="s">
        <v>3012</v>
      </c>
      <c r="I560" s="16" t="s">
        <v>74</v>
      </c>
      <c r="J560" s="16" t="s">
        <v>1534</v>
      </c>
      <c r="K560" s="32" t="n">
        <v>3</v>
      </c>
      <c r="L560" s="33" t="n">
        <v>46112</v>
      </c>
      <c r="M560" s="33" t="n">
        <v>46114</v>
      </c>
      <c r="N560" s="16" t="s">
        <v>3034</v>
      </c>
      <c r="O560" s="16"/>
      <c r="P560" s="16" t="str">
        <f aca="false">IF(AND(L560&lt;=$D$2,M560&gt;=$C$2),"Sí","")</f>
        <v/>
      </c>
      <c r="Q560" s="18" t="str">
        <f aca="false">IF(COUNTIF(LOOKAHEAD!$A$5:$A$604,A560)&gt;0,"En Lookahead",IF(P560="Sí","INCORPORAR",""))</f>
        <v/>
      </c>
    </row>
    <row r="561" customFormat="false" ht="15" hidden="false" customHeight="false" outlineLevel="0" collapsed="false">
      <c r="A561" s="16" t="s">
        <v>3035</v>
      </c>
      <c r="B561" s="16" t="n">
        <v>556</v>
      </c>
      <c r="C561" s="16" t="s">
        <v>3036</v>
      </c>
      <c r="D561" s="16" t="n">
        <v>6</v>
      </c>
      <c r="E561" s="35" t="s">
        <v>1564</v>
      </c>
      <c r="F561" s="16" t="s">
        <v>1285</v>
      </c>
      <c r="G561" s="16" t="s">
        <v>322</v>
      </c>
      <c r="H561" s="16" t="s">
        <v>3012</v>
      </c>
      <c r="I561" s="16" t="s">
        <v>74</v>
      </c>
      <c r="J561" s="16" t="s">
        <v>1534</v>
      </c>
      <c r="K561" s="32" t="n">
        <v>7</v>
      </c>
      <c r="L561" s="33" t="n">
        <v>46008</v>
      </c>
      <c r="M561" s="33" t="n">
        <v>46014</v>
      </c>
      <c r="N561" s="16" t="s">
        <v>3023</v>
      </c>
      <c r="O561" s="16"/>
      <c r="P561" s="16" t="str">
        <f aca="false">IF(AND(L561&lt;=$D$2,M561&gt;=$C$2),"Sí","")</f>
        <v/>
      </c>
      <c r="Q561" s="18" t="str">
        <f aca="false">IF(COUNTIF(LOOKAHEAD!$A$5:$A$604,A561)&gt;0,"En Lookahead",IF(P561="Sí","INCORPORAR",""))</f>
        <v/>
      </c>
    </row>
    <row r="562" customFormat="false" ht="15" hidden="false" customHeight="false" outlineLevel="0" collapsed="false">
      <c r="A562" s="16" t="s">
        <v>3037</v>
      </c>
      <c r="B562" s="16" t="n">
        <v>557</v>
      </c>
      <c r="C562" s="16" t="s">
        <v>3038</v>
      </c>
      <c r="D562" s="16" t="n">
        <v>6</v>
      </c>
      <c r="E562" s="35" t="s">
        <v>1567</v>
      </c>
      <c r="F562" s="16" t="s">
        <v>1285</v>
      </c>
      <c r="G562" s="16" t="s">
        <v>322</v>
      </c>
      <c r="H562" s="16" t="s">
        <v>3012</v>
      </c>
      <c r="I562" s="16" t="s">
        <v>74</v>
      </c>
      <c r="J562" s="16" t="s">
        <v>1534</v>
      </c>
      <c r="K562" s="32" t="n">
        <v>7</v>
      </c>
      <c r="L562" s="33" t="n">
        <v>46054</v>
      </c>
      <c r="M562" s="33" t="n">
        <v>46060</v>
      </c>
      <c r="N562" s="16" t="s">
        <v>3039</v>
      </c>
      <c r="O562" s="16"/>
      <c r="P562" s="16" t="str">
        <f aca="false">IF(AND(L562&lt;=$D$2,M562&gt;=$C$2),"Sí","")</f>
        <v/>
      </c>
      <c r="Q562" s="18" t="str">
        <f aca="false">IF(COUNTIF(LOOKAHEAD!$A$5:$A$604,A562)&gt;0,"En Lookahead",IF(P562="Sí","INCORPORAR",""))</f>
        <v/>
      </c>
    </row>
    <row r="563" customFormat="false" ht="15" hidden="false" customHeight="false" outlineLevel="0" collapsed="false">
      <c r="A563" s="13" t="s">
        <v>3040</v>
      </c>
      <c r="B563" s="13" t="n">
        <v>558</v>
      </c>
      <c r="C563" s="13" t="s">
        <v>3041</v>
      </c>
      <c r="D563" s="13" t="n">
        <v>5</v>
      </c>
      <c r="E563" s="34" t="s">
        <v>1571</v>
      </c>
      <c r="F563" s="13" t="s">
        <v>1298</v>
      </c>
      <c r="G563" s="13" t="s">
        <v>322</v>
      </c>
      <c r="H563" s="13" t="s">
        <v>3012</v>
      </c>
      <c r="I563" s="13" t="s">
        <v>74</v>
      </c>
      <c r="J563" s="13" t="s">
        <v>3012</v>
      </c>
      <c r="K563" s="30" t="n">
        <v>32</v>
      </c>
      <c r="L563" s="31" t="n">
        <v>46015</v>
      </c>
      <c r="M563" s="31" t="n">
        <v>46046</v>
      </c>
      <c r="N563" s="13"/>
      <c r="O563" s="13"/>
      <c r="P563" s="13"/>
      <c r="Q563" s="13"/>
    </row>
    <row r="564" customFormat="false" ht="15" hidden="false" customHeight="false" outlineLevel="0" collapsed="false">
      <c r="A564" s="13" t="s">
        <v>3042</v>
      </c>
      <c r="B564" s="13" t="n">
        <v>559</v>
      </c>
      <c r="C564" s="13" t="s">
        <v>3043</v>
      </c>
      <c r="D564" s="13" t="n">
        <v>6</v>
      </c>
      <c r="E564" s="36" t="s">
        <v>1574</v>
      </c>
      <c r="F564" s="13" t="s">
        <v>1298</v>
      </c>
      <c r="G564" s="13" t="s">
        <v>322</v>
      </c>
      <c r="H564" s="13" t="s">
        <v>3012</v>
      </c>
      <c r="I564" s="13" t="s">
        <v>74</v>
      </c>
      <c r="J564" s="13" t="s">
        <v>1571</v>
      </c>
      <c r="K564" s="30" t="n">
        <v>1</v>
      </c>
      <c r="L564" s="31" t="n">
        <v>46015</v>
      </c>
      <c r="M564" s="31" t="n">
        <v>46015</v>
      </c>
      <c r="N564" s="13"/>
      <c r="O564" s="13"/>
      <c r="P564" s="13"/>
      <c r="Q564" s="13"/>
    </row>
    <row r="565" customFormat="false" ht="15" hidden="false" customHeight="false" outlineLevel="0" collapsed="false">
      <c r="A565" s="16" t="s">
        <v>3044</v>
      </c>
      <c r="B565" s="16" t="n">
        <v>560</v>
      </c>
      <c r="C565" s="16" t="s">
        <v>3045</v>
      </c>
      <c r="D565" s="16" t="n">
        <v>7</v>
      </c>
      <c r="E565" s="37" t="s">
        <v>1577</v>
      </c>
      <c r="F565" s="16" t="s">
        <v>1285</v>
      </c>
      <c r="G565" s="16" t="s">
        <v>322</v>
      </c>
      <c r="H565" s="16" t="s">
        <v>3012</v>
      </c>
      <c r="I565" s="16" t="s">
        <v>74</v>
      </c>
      <c r="J565" s="16" t="s">
        <v>1574</v>
      </c>
      <c r="K565" s="32" t="n">
        <v>1</v>
      </c>
      <c r="L565" s="33" t="n">
        <v>46015</v>
      </c>
      <c r="M565" s="33" t="n">
        <v>46015</v>
      </c>
      <c r="N565" s="16" t="s">
        <v>3046</v>
      </c>
      <c r="O565" s="16"/>
      <c r="P565" s="16" t="str">
        <f aca="false">IF(AND(L565&lt;=$D$2,M565&gt;=$C$2),"Sí","")</f>
        <v/>
      </c>
      <c r="Q565" s="18" t="str">
        <f aca="false">IF(COUNTIF(LOOKAHEAD!$A$5:$A$604,A565)&gt;0,"En Lookahead",IF(P565="Sí","INCORPORAR",""))</f>
        <v/>
      </c>
    </row>
    <row r="566" customFormat="false" ht="15" hidden="false" customHeight="false" outlineLevel="0" collapsed="false">
      <c r="A566" s="13" t="s">
        <v>3047</v>
      </c>
      <c r="B566" s="13" t="n">
        <v>561</v>
      </c>
      <c r="C566" s="13" t="s">
        <v>3048</v>
      </c>
      <c r="D566" s="13" t="n">
        <v>6</v>
      </c>
      <c r="E566" s="36" t="s">
        <v>1581</v>
      </c>
      <c r="F566" s="13" t="s">
        <v>1298</v>
      </c>
      <c r="G566" s="13" t="s">
        <v>322</v>
      </c>
      <c r="H566" s="13" t="s">
        <v>3012</v>
      </c>
      <c r="I566" s="13" t="s">
        <v>74</v>
      </c>
      <c r="J566" s="13" t="s">
        <v>1571</v>
      </c>
      <c r="K566" s="30" t="n">
        <v>6</v>
      </c>
      <c r="L566" s="31" t="n">
        <v>46016</v>
      </c>
      <c r="M566" s="31" t="n">
        <v>46021</v>
      </c>
      <c r="N566" s="13"/>
      <c r="O566" s="13"/>
      <c r="P566" s="13"/>
      <c r="Q566" s="13"/>
    </row>
    <row r="567" customFormat="false" ht="15" hidden="false" customHeight="false" outlineLevel="0" collapsed="false">
      <c r="A567" s="16" t="s">
        <v>3049</v>
      </c>
      <c r="B567" s="16" t="n">
        <v>562</v>
      </c>
      <c r="C567" s="16" t="s">
        <v>3050</v>
      </c>
      <c r="D567" s="16" t="n">
        <v>7</v>
      </c>
      <c r="E567" s="37" t="s">
        <v>1584</v>
      </c>
      <c r="F567" s="16" t="s">
        <v>1285</v>
      </c>
      <c r="G567" s="16" t="s">
        <v>322</v>
      </c>
      <c r="H567" s="16" t="s">
        <v>3012</v>
      </c>
      <c r="I567" s="16" t="s">
        <v>74</v>
      </c>
      <c r="J567" s="16" t="s">
        <v>1581</v>
      </c>
      <c r="K567" s="32" t="n">
        <v>1</v>
      </c>
      <c r="L567" s="33" t="n">
        <v>46016</v>
      </c>
      <c r="M567" s="33" t="n">
        <v>46016</v>
      </c>
      <c r="N567" s="16" t="s">
        <v>3051</v>
      </c>
      <c r="O567" s="16"/>
      <c r="P567" s="16" t="str">
        <f aca="false">IF(AND(L567&lt;=$D$2,M567&gt;=$C$2),"Sí","")</f>
        <v/>
      </c>
      <c r="Q567" s="18" t="str">
        <f aca="false">IF(COUNTIF(LOOKAHEAD!$A$5:$A$604,A567)&gt;0,"En Lookahead",IF(P567="Sí","INCORPORAR",""))</f>
        <v/>
      </c>
    </row>
    <row r="568" customFormat="false" ht="15" hidden="false" customHeight="false" outlineLevel="0" collapsed="false">
      <c r="A568" s="16" t="s">
        <v>3052</v>
      </c>
      <c r="B568" s="16" t="n">
        <v>563</v>
      </c>
      <c r="C568" s="16" t="s">
        <v>3053</v>
      </c>
      <c r="D568" s="16" t="n">
        <v>7</v>
      </c>
      <c r="E568" s="37" t="s">
        <v>1588</v>
      </c>
      <c r="F568" s="16" t="s">
        <v>1285</v>
      </c>
      <c r="G568" s="16" t="s">
        <v>322</v>
      </c>
      <c r="H568" s="16" t="s">
        <v>3012</v>
      </c>
      <c r="I568" s="16" t="s">
        <v>74</v>
      </c>
      <c r="J568" s="16" t="s">
        <v>1581</v>
      </c>
      <c r="K568" s="32" t="n">
        <v>5</v>
      </c>
      <c r="L568" s="33" t="n">
        <v>46017</v>
      </c>
      <c r="M568" s="33" t="n">
        <v>46021</v>
      </c>
      <c r="N568" s="16" t="s">
        <v>3054</v>
      </c>
      <c r="O568" s="16"/>
      <c r="P568" s="16" t="str">
        <f aca="false">IF(AND(L568&lt;=$D$2,M568&gt;=$C$2),"Sí","")</f>
        <v/>
      </c>
      <c r="Q568" s="18" t="str">
        <f aca="false">IF(COUNTIF(LOOKAHEAD!$A$5:$A$604,A568)&gt;0,"En Lookahead",IF(P568="Sí","INCORPORAR",""))</f>
        <v/>
      </c>
    </row>
    <row r="569" customFormat="false" ht="15" hidden="false" customHeight="false" outlineLevel="0" collapsed="false">
      <c r="A569" s="13" t="s">
        <v>3055</v>
      </c>
      <c r="B569" s="13" t="n">
        <v>564</v>
      </c>
      <c r="C569" s="13" t="s">
        <v>3056</v>
      </c>
      <c r="D569" s="13" t="n">
        <v>6</v>
      </c>
      <c r="E569" s="36" t="s">
        <v>1592</v>
      </c>
      <c r="F569" s="13" t="s">
        <v>1298</v>
      </c>
      <c r="G569" s="13" t="s">
        <v>322</v>
      </c>
      <c r="H569" s="13" t="s">
        <v>3012</v>
      </c>
      <c r="I569" s="13" t="s">
        <v>74</v>
      </c>
      <c r="J569" s="13" t="s">
        <v>1571</v>
      </c>
      <c r="K569" s="30" t="n">
        <v>7</v>
      </c>
      <c r="L569" s="31" t="n">
        <v>46022</v>
      </c>
      <c r="M569" s="31" t="n">
        <v>46028</v>
      </c>
      <c r="N569" s="13"/>
      <c r="O569" s="13"/>
      <c r="P569" s="13"/>
      <c r="Q569" s="13"/>
    </row>
    <row r="570" customFormat="false" ht="15" hidden="false" customHeight="false" outlineLevel="0" collapsed="false">
      <c r="A570" s="16" t="s">
        <v>3057</v>
      </c>
      <c r="B570" s="16" t="n">
        <v>565</v>
      </c>
      <c r="C570" s="16" t="s">
        <v>3058</v>
      </c>
      <c r="D570" s="16" t="n">
        <v>7</v>
      </c>
      <c r="E570" s="37" t="s">
        <v>1595</v>
      </c>
      <c r="F570" s="16" t="s">
        <v>1285</v>
      </c>
      <c r="G570" s="16" t="s">
        <v>322</v>
      </c>
      <c r="H570" s="16" t="s">
        <v>3012</v>
      </c>
      <c r="I570" s="16" t="s">
        <v>74</v>
      </c>
      <c r="J570" s="16" t="s">
        <v>1592</v>
      </c>
      <c r="K570" s="32" t="n">
        <v>1</v>
      </c>
      <c r="L570" s="33" t="n">
        <v>46026</v>
      </c>
      <c r="M570" s="33" t="n">
        <v>46026</v>
      </c>
      <c r="N570" s="16" t="s">
        <v>3059</v>
      </c>
      <c r="O570" s="16"/>
      <c r="P570" s="16" t="str">
        <f aca="false">IF(AND(L570&lt;=$D$2,M570&gt;=$C$2),"Sí","")</f>
        <v/>
      </c>
      <c r="Q570" s="18" t="str">
        <f aca="false">IF(COUNTIF(LOOKAHEAD!$A$5:$A$604,A570)&gt;0,"En Lookahead",IF(P570="Sí","INCORPORAR",""))</f>
        <v/>
      </c>
    </row>
    <row r="571" customFormat="false" ht="15" hidden="false" customHeight="false" outlineLevel="0" collapsed="false">
      <c r="A571" s="16" t="s">
        <v>3060</v>
      </c>
      <c r="B571" s="16" t="n">
        <v>566</v>
      </c>
      <c r="C571" s="16" t="s">
        <v>3061</v>
      </c>
      <c r="D571" s="16" t="n">
        <v>7</v>
      </c>
      <c r="E571" s="37" t="s">
        <v>1588</v>
      </c>
      <c r="F571" s="16" t="s">
        <v>1285</v>
      </c>
      <c r="G571" s="16" t="s">
        <v>322</v>
      </c>
      <c r="H571" s="16" t="s">
        <v>3012</v>
      </c>
      <c r="I571" s="16" t="s">
        <v>74</v>
      </c>
      <c r="J571" s="16" t="s">
        <v>1592</v>
      </c>
      <c r="K571" s="32" t="n">
        <v>4</v>
      </c>
      <c r="L571" s="33" t="n">
        <v>46022</v>
      </c>
      <c r="M571" s="33" t="n">
        <v>46025</v>
      </c>
      <c r="N571" s="16" t="s">
        <v>3062</v>
      </c>
      <c r="O571" s="16"/>
      <c r="P571" s="16" t="str">
        <f aca="false">IF(AND(L571&lt;=$D$2,M571&gt;=$C$2),"Sí","")</f>
        <v/>
      </c>
      <c r="Q571" s="18" t="str">
        <f aca="false">IF(COUNTIF(LOOKAHEAD!$A$5:$A$604,A571)&gt;0,"En Lookahead",IF(P571="Sí","INCORPORAR",""))</f>
        <v/>
      </c>
    </row>
    <row r="572" customFormat="false" ht="15" hidden="false" customHeight="false" outlineLevel="0" collapsed="false">
      <c r="A572" s="16" t="s">
        <v>3063</v>
      </c>
      <c r="B572" s="16" t="n">
        <v>567</v>
      </c>
      <c r="C572" s="16" t="s">
        <v>3064</v>
      </c>
      <c r="D572" s="16" t="n">
        <v>7</v>
      </c>
      <c r="E572" s="37" t="s">
        <v>1602</v>
      </c>
      <c r="F572" s="16" t="s">
        <v>1285</v>
      </c>
      <c r="G572" s="16" t="s">
        <v>322</v>
      </c>
      <c r="H572" s="16" t="s">
        <v>3012</v>
      </c>
      <c r="I572" s="16" t="s">
        <v>74</v>
      </c>
      <c r="J572" s="16" t="s">
        <v>1592</v>
      </c>
      <c r="K572" s="32" t="n">
        <v>2</v>
      </c>
      <c r="L572" s="33" t="n">
        <v>46027</v>
      </c>
      <c r="M572" s="33" t="n">
        <v>46028</v>
      </c>
      <c r="N572" s="16" t="s">
        <v>3065</v>
      </c>
      <c r="O572" s="16"/>
      <c r="P572" s="16" t="str">
        <f aca="false">IF(AND(L572&lt;=$D$2,M572&gt;=$C$2),"Sí","")</f>
        <v/>
      </c>
      <c r="Q572" s="18" t="str">
        <f aca="false">IF(COUNTIF(LOOKAHEAD!$A$5:$A$604,A572)&gt;0,"En Lookahead",IF(P572="Sí","INCORPORAR",""))</f>
        <v/>
      </c>
    </row>
    <row r="573" customFormat="false" ht="15" hidden="false" customHeight="false" outlineLevel="0" collapsed="false">
      <c r="A573" s="13" t="s">
        <v>3066</v>
      </c>
      <c r="B573" s="13" t="n">
        <v>568</v>
      </c>
      <c r="C573" s="13" t="s">
        <v>3067</v>
      </c>
      <c r="D573" s="13" t="n">
        <v>6</v>
      </c>
      <c r="E573" s="36" t="s">
        <v>1606</v>
      </c>
      <c r="F573" s="13" t="s">
        <v>1298</v>
      </c>
      <c r="G573" s="13" t="s">
        <v>322</v>
      </c>
      <c r="H573" s="13" t="s">
        <v>3012</v>
      </c>
      <c r="I573" s="13" t="s">
        <v>74</v>
      </c>
      <c r="J573" s="13" t="s">
        <v>1571</v>
      </c>
      <c r="K573" s="30" t="n">
        <v>21</v>
      </c>
      <c r="L573" s="31" t="n">
        <v>46026</v>
      </c>
      <c r="M573" s="31" t="n">
        <v>46046</v>
      </c>
      <c r="N573" s="13"/>
      <c r="O573" s="13"/>
      <c r="P573" s="13"/>
      <c r="Q573" s="13"/>
    </row>
    <row r="574" customFormat="false" ht="15" hidden="false" customHeight="false" outlineLevel="0" collapsed="false">
      <c r="A574" s="16" t="s">
        <v>3068</v>
      </c>
      <c r="B574" s="16" t="n">
        <v>569</v>
      </c>
      <c r="C574" s="16" t="s">
        <v>3069</v>
      </c>
      <c r="D574" s="16" t="n">
        <v>7</v>
      </c>
      <c r="E574" s="37" t="s">
        <v>1609</v>
      </c>
      <c r="F574" s="16" t="s">
        <v>1285</v>
      </c>
      <c r="G574" s="16" t="s">
        <v>322</v>
      </c>
      <c r="H574" s="16" t="s">
        <v>3012</v>
      </c>
      <c r="I574" s="16" t="s">
        <v>74</v>
      </c>
      <c r="J574" s="16" t="s">
        <v>1606</v>
      </c>
      <c r="K574" s="32" t="n">
        <v>7</v>
      </c>
      <c r="L574" s="33" t="n">
        <v>46026</v>
      </c>
      <c r="M574" s="33" t="n">
        <v>46032</v>
      </c>
      <c r="N574" s="16" t="s">
        <v>3059</v>
      </c>
      <c r="O574" s="16"/>
      <c r="P574" s="16" t="str">
        <f aca="false">IF(AND(L574&lt;=$D$2,M574&gt;=$C$2),"Sí","")</f>
        <v/>
      </c>
      <c r="Q574" s="18" t="str">
        <f aca="false">IF(COUNTIF(LOOKAHEAD!$A$5:$A$604,A574)&gt;0,"En Lookahead",IF(P574="Sí","INCORPORAR",""))</f>
        <v/>
      </c>
    </row>
    <row r="575" customFormat="false" ht="15" hidden="false" customHeight="false" outlineLevel="0" collapsed="false">
      <c r="A575" s="16" t="s">
        <v>3070</v>
      </c>
      <c r="B575" s="16" t="n">
        <v>570</v>
      </c>
      <c r="C575" s="16" t="s">
        <v>3071</v>
      </c>
      <c r="D575" s="16" t="n">
        <v>7</v>
      </c>
      <c r="E575" s="37" t="s">
        <v>1588</v>
      </c>
      <c r="F575" s="16" t="s">
        <v>1285</v>
      </c>
      <c r="G575" s="16" t="s">
        <v>322</v>
      </c>
      <c r="H575" s="16" t="s">
        <v>3012</v>
      </c>
      <c r="I575" s="16" t="s">
        <v>74</v>
      </c>
      <c r="J575" s="16" t="s">
        <v>1606</v>
      </c>
      <c r="K575" s="32" t="n">
        <v>14</v>
      </c>
      <c r="L575" s="33" t="n">
        <v>46033</v>
      </c>
      <c r="M575" s="33" t="n">
        <v>46046</v>
      </c>
      <c r="N575" s="16" t="s">
        <v>3072</v>
      </c>
      <c r="O575" s="16"/>
      <c r="P575" s="16" t="str">
        <f aca="false">IF(AND(L575&lt;=$D$2,M575&gt;=$C$2),"Sí","")</f>
        <v/>
      </c>
      <c r="Q575" s="18" t="str">
        <f aca="false">IF(COUNTIF(LOOKAHEAD!$A$5:$A$604,A575)&gt;0,"En Lookahead",IF(P575="Sí","INCORPORAR",""))</f>
        <v/>
      </c>
    </row>
    <row r="576" customFormat="false" ht="15" hidden="false" customHeight="false" outlineLevel="0" collapsed="false">
      <c r="A576" s="13" t="s">
        <v>3073</v>
      </c>
      <c r="B576" s="13" t="n">
        <v>571</v>
      </c>
      <c r="C576" s="13" t="s">
        <v>3074</v>
      </c>
      <c r="D576" s="13" t="n">
        <v>6</v>
      </c>
      <c r="E576" s="36" t="s">
        <v>1616</v>
      </c>
      <c r="F576" s="13" t="s">
        <v>1298</v>
      </c>
      <c r="G576" s="13" t="s">
        <v>322</v>
      </c>
      <c r="H576" s="13" t="s">
        <v>3012</v>
      </c>
      <c r="I576" s="13" t="s">
        <v>74</v>
      </c>
      <c r="J576" s="13" t="s">
        <v>1571</v>
      </c>
      <c r="K576" s="30" t="n">
        <v>5</v>
      </c>
      <c r="L576" s="31" t="n">
        <v>46033</v>
      </c>
      <c r="M576" s="31" t="n">
        <v>46037</v>
      </c>
      <c r="N576" s="13"/>
      <c r="O576" s="13"/>
      <c r="P576" s="13"/>
      <c r="Q576" s="13"/>
    </row>
    <row r="577" customFormat="false" ht="15" hidden="false" customHeight="false" outlineLevel="0" collapsed="false">
      <c r="A577" s="16" t="s">
        <v>3075</v>
      </c>
      <c r="B577" s="16" t="n">
        <v>572</v>
      </c>
      <c r="C577" s="16" t="s">
        <v>3076</v>
      </c>
      <c r="D577" s="16" t="n">
        <v>7</v>
      </c>
      <c r="E577" s="37" t="s">
        <v>1619</v>
      </c>
      <c r="F577" s="16" t="s">
        <v>1285</v>
      </c>
      <c r="G577" s="16" t="s">
        <v>322</v>
      </c>
      <c r="H577" s="16" t="s">
        <v>3012</v>
      </c>
      <c r="I577" s="16" t="s">
        <v>74</v>
      </c>
      <c r="J577" s="16" t="s">
        <v>1616</v>
      </c>
      <c r="K577" s="32" t="n">
        <v>5</v>
      </c>
      <c r="L577" s="33" t="n">
        <v>46033</v>
      </c>
      <c r="M577" s="33" t="n">
        <v>46037</v>
      </c>
      <c r="N577" s="16" t="s">
        <v>3072</v>
      </c>
      <c r="O577" s="16"/>
      <c r="P577" s="16" t="str">
        <f aca="false">IF(AND(L577&lt;=$D$2,M577&gt;=$C$2),"Sí","")</f>
        <v/>
      </c>
      <c r="Q577" s="18" t="str">
        <f aca="false">IF(COUNTIF(LOOKAHEAD!$A$5:$A$604,A577)&gt;0,"En Lookahead",IF(P577="Sí","INCORPORAR",""))</f>
        <v/>
      </c>
    </row>
    <row r="578" customFormat="false" ht="15" hidden="false" customHeight="false" outlineLevel="0" collapsed="false">
      <c r="A578" s="13" t="s">
        <v>3077</v>
      </c>
      <c r="B578" s="13" t="n">
        <v>573</v>
      </c>
      <c r="C578" s="13" t="s">
        <v>3078</v>
      </c>
      <c r="D578" s="13" t="n">
        <v>5</v>
      </c>
      <c r="E578" s="34" t="s">
        <v>1623</v>
      </c>
      <c r="F578" s="13" t="s">
        <v>1298</v>
      </c>
      <c r="G578" s="13" t="s">
        <v>322</v>
      </c>
      <c r="H578" s="13" t="s">
        <v>3012</v>
      </c>
      <c r="I578" s="13" t="s">
        <v>74</v>
      </c>
      <c r="J578" s="13" t="s">
        <v>3012</v>
      </c>
      <c r="K578" s="30" t="n">
        <v>252</v>
      </c>
      <c r="L578" s="31" t="n">
        <v>46033</v>
      </c>
      <c r="M578" s="31" t="n">
        <v>46364</v>
      </c>
      <c r="N578" s="13"/>
      <c r="O578" s="13"/>
      <c r="P578" s="13"/>
      <c r="Q578" s="13"/>
    </row>
    <row r="579" customFormat="false" ht="15" hidden="false" customHeight="false" outlineLevel="0" collapsed="false">
      <c r="A579" s="13" t="s">
        <v>3079</v>
      </c>
      <c r="B579" s="13" t="n">
        <v>574</v>
      </c>
      <c r="C579" s="13" t="s">
        <v>3080</v>
      </c>
      <c r="D579" s="13" t="n">
        <v>6</v>
      </c>
      <c r="E579" s="36" t="s">
        <v>1626</v>
      </c>
      <c r="F579" s="13" t="s">
        <v>1298</v>
      </c>
      <c r="G579" s="13" t="s">
        <v>322</v>
      </c>
      <c r="H579" s="13" t="s">
        <v>3012</v>
      </c>
      <c r="I579" s="13" t="s">
        <v>74</v>
      </c>
      <c r="J579" s="13" t="s">
        <v>1623</v>
      </c>
      <c r="K579" s="30" t="n">
        <v>24</v>
      </c>
      <c r="L579" s="31" t="n">
        <v>46033</v>
      </c>
      <c r="M579" s="31" t="n">
        <v>46056</v>
      </c>
      <c r="N579" s="13"/>
      <c r="O579" s="13"/>
      <c r="P579" s="13"/>
      <c r="Q579" s="13"/>
    </row>
    <row r="580" customFormat="false" ht="15" hidden="false" customHeight="false" outlineLevel="0" collapsed="false">
      <c r="A580" s="16" t="s">
        <v>3081</v>
      </c>
      <c r="B580" s="16" t="n">
        <v>575</v>
      </c>
      <c r="C580" s="16" t="s">
        <v>3082</v>
      </c>
      <c r="D580" s="16" t="n">
        <v>7</v>
      </c>
      <c r="E580" s="37" t="s">
        <v>1629</v>
      </c>
      <c r="F580" s="16" t="s">
        <v>1285</v>
      </c>
      <c r="G580" s="16" t="s">
        <v>322</v>
      </c>
      <c r="H580" s="16" t="s">
        <v>3012</v>
      </c>
      <c r="I580" s="16" t="s">
        <v>74</v>
      </c>
      <c r="J580" s="16" t="s">
        <v>1626</v>
      </c>
      <c r="K580" s="32" t="n">
        <v>3</v>
      </c>
      <c r="L580" s="33" t="n">
        <v>46052</v>
      </c>
      <c r="M580" s="33" t="n">
        <v>46054</v>
      </c>
      <c r="N580" s="16" t="s">
        <v>3083</v>
      </c>
      <c r="O580" s="16"/>
      <c r="P580" s="16" t="str">
        <f aca="false">IF(AND(L580&lt;=$D$2,M580&gt;=$C$2),"Sí","")</f>
        <v/>
      </c>
      <c r="Q580" s="18" t="str">
        <f aca="false">IF(COUNTIF(LOOKAHEAD!$A$5:$A$604,A580)&gt;0,"En Lookahead",IF(P580="Sí","INCORPORAR",""))</f>
        <v/>
      </c>
    </row>
    <row r="581" customFormat="false" ht="15" hidden="false" customHeight="false" outlineLevel="0" collapsed="false">
      <c r="A581" s="16" t="s">
        <v>3084</v>
      </c>
      <c r="B581" s="16" t="n">
        <v>576</v>
      </c>
      <c r="C581" s="16" t="s">
        <v>3085</v>
      </c>
      <c r="D581" s="16" t="n">
        <v>7</v>
      </c>
      <c r="E581" s="37" t="s">
        <v>1633</v>
      </c>
      <c r="F581" s="16" t="s">
        <v>1285</v>
      </c>
      <c r="G581" s="16" t="s">
        <v>322</v>
      </c>
      <c r="H581" s="16" t="s">
        <v>3012</v>
      </c>
      <c r="I581" s="16" t="s">
        <v>74</v>
      </c>
      <c r="J581" s="16" t="s">
        <v>1626</v>
      </c>
      <c r="K581" s="32" t="n">
        <v>8</v>
      </c>
      <c r="L581" s="33" t="n">
        <v>46044</v>
      </c>
      <c r="M581" s="33" t="n">
        <v>46051</v>
      </c>
      <c r="N581" s="16" t="s">
        <v>3086</v>
      </c>
      <c r="O581" s="16"/>
      <c r="P581" s="16" t="str">
        <f aca="false">IF(AND(L581&lt;=$D$2,M581&gt;=$C$2),"Sí","")</f>
        <v/>
      </c>
      <c r="Q581" s="18" t="str">
        <f aca="false">IF(COUNTIF(LOOKAHEAD!$A$5:$A$604,A581)&gt;0,"En Lookahead",IF(P581="Sí","INCORPORAR",""))</f>
        <v/>
      </c>
    </row>
    <row r="582" customFormat="false" ht="15" hidden="false" customHeight="false" outlineLevel="0" collapsed="false">
      <c r="A582" s="16" t="s">
        <v>3087</v>
      </c>
      <c r="B582" s="16" t="n">
        <v>577</v>
      </c>
      <c r="C582" s="16" t="s">
        <v>3088</v>
      </c>
      <c r="D582" s="16" t="n">
        <v>7</v>
      </c>
      <c r="E582" s="37" t="s">
        <v>1637</v>
      </c>
      <c r="F582" s="16" t="s">
        <v>1285</v>
      </c>
      <c r="G582" s="16" t="s">
        <v>322</v>
      </c>
      <c r="H582" s="16" t="s">
        <v>3012</v>
      </c>
      <c r="I582" s="16" t="s">
        <v>74</v>
      </c>
      <c r="J582" s="16" t="s">
        <v>1626</v>
      </c>
      <c r="K582" s="32" t="n">
        <v>11</v>
      </c>
      <c r="L582" s="33" t="n">
        <v>46033</v>
      </c>
      <c r="M582" s="33" t="n">
        <v>46043</v>
      </c>
      <c r="N582" s="16" t="s">
        <v>3072</v>
      </c>
      <c r="O582" s="16"/>
      <c r="P582" s="16" t="str">
        <f aca="false">IF(AND(L582&lt;=$D$2,M582&gt;=$C$2),"Sí","")</f>
        <v/>
      </c>
      <c r="Q582" s="18" t="str">
        <f aca="false">IF(COUNTIF(LOOKAHEAD!$A$5:$A$604,A582)&gt;0,"En Lookahead",IF(P582="Sí","INCORPORAR",""))</f>
        <v/>
      </c>
    </row>
    <row r="583" customFormat="false" ht="15" hidden="false" customHeight="false" outlineLevel="0" collapsed="false">
      <c r="A583" s="16" t="s">
        <v>3089</v>
      </c>
      <c r="B583" s="16" t="n">
        <v>578</v>
      </c>
      <c r="C583" s="16" t="s">
        <v>3090</v>
      </c>
      <c r="D583" s="16" t="n">
        <v>7</v>
      </c>
      <c r="E583" s="37" t="s">
        <v>1602</v>
      </c>
      <c r="F583" s="16" t="s">
        <v>1285</v>
      </c>
      <c r="G583" s="16" t="s">
        <v>322</v>
      </c>
      <c r="H583" s="16" t="s">
        <v>3012</v>
      </c>
      <c r="I583" s="16" t="s">
        <v>74</v>
      </c>
      <c r="J583" s="16" t="s">
        <v>1626</v>
      </c>
      <c r="K583" s="32" t="n">
        <v>2</v>
      </c>
      <c r="L583" s="33" t="n">
        <v>46055</v>
      </c>
      <c r="M583" s="33" t="n">
        <v>46056</v>
      </c>
      <c r="N583" s="16" t="s">
        <v>3091</v>
      </c>
      <c r="O583" s="16"/>
      <c r="P583" s="16" t="str">
        <f aca="false">IF(AND(L583&lt;=$D$2,M583&gt;=$C$2),"Sí","")</f>
        <v/>
      </c>
      <c r="Q583" s="18" t="str">
        <f aca="false">IF(COUNTIF(LOOKAHEAD!$A$5:$A$604,A583)&gt;0,"En Lookahead",IF(P583="Sí","INCORPORAR",""))</f>
        <v/>
      </c>
    </row>
    <row r="584" customFormat="false" ht="15" hidden="false" customHeight="false" outlineLevel="0" collapsed="false">
      <c r="A584" s="13" t="s">
        <v>3092</v>
      </c>
      <c r="B584" s="13" t="n">
        <v>579</v>
      </c>
      <c r="C584" s="13" t="s">
        <v>3093</v>
      </c>
      <c r="D584" s="13" t="n">
        <v>6</v>
      </c>
      <c r="E584" s="36" t="s">
        <v>1644</v>
      </c>
      <c r="F584" s="13" t="s">
        <v>1298</v>
      </c>
      <c r="G584" s="13" t="s">
        <v>322</v>
      </c>
      <c r="H584" s="13" t="s">
        <v>3012</v>
      </c>
      <c r="I584" s="13" t="s">
        <v>74</v>
      </c>
      <c r="J584" s="13" t="s">
        <v>1623</v>
      </c>
      <c r="K584" s="30" t="n">
        <v>27</v>
      </c>
      <c r="L584" s="31" t="n">
        <v>46055</v>
      </c>
      <c r="M584" s="31" t="n">
        <v>46081</v>
      </c>
      <c r="N584" s="13"/>
      <c r="O584" s="13"/>
      <c r="P584" s="13"/>
      <c r="Q584" s="13"/>
    </row>
    <row r="585" customFormat="false" ht="15" hidden="false" customHeight="false" outlineLevel="0" collapsed="false">
      <c r="A585" s="16" t="s">
        <v>3094</v>
      </c>
      <c r="B585" s="16" t="n">
        <v>580</v>
      </c>
      <c r="C585" s="16" t="s">
        <v>3095</v>
      </c>
      <c r="D585" s="16" t="n">
        <v>7</v>
      </c>
      <c r="E585" s="37" t="s">
        <v>1647</v>
      </c>
      <c r="F585" s="16" t="s">
        <v>1285</v>
      </c>
      <c r="G585" s="16" t="s">
        <v>322</v>
      </c>
      <c r="H585" s="16" t="s">
        <v>3012</v>
      </c>
      <c r="I585" s="16" t="s">
        <v>74</v>
      </c>
      <c r="J585" s="16" t="s">
        <v>1644</v>
      </c>
      <c r="K585" s="32" t="n">
        <v>1</v>
      </c>
      <c r="L585" s="33" t="n">
        <v>46077</v>
      </c>
      <c r="M585" s="33" t="n">
        <v>46077</v>
      </c>
      <c r="N585" s="16" t="s">
        <v>3096</v>
      </c>
      <c r="O585" s="16"/>
      <c r="P585" s="16" t="str">
        <f aca="false">IF(AND(L585&lt;=$D$2,M585&gt;=$C$2),"Sí","")</f>
        <v/>
      </c>
      <c r="Q585" s="18" t="str">
        <f aca="false">IF(COUNTIF(LOOKAHEAD!$A$5:$A$604,A585)&gt;0,"En Lookahead",IF(P585="Sí","INCORPORAR",""))</f>
        <v/>
      </c>
    </row>
    <row r="586" customFormat="false" ht="15" hidden="false" customHeight="false" outlineLevel="0" collapsed="false">
      <c r="A586" s="16" t="s">
        <v>3097</v>
      </c>
      <c r="B586" s="16" t="n">
        <v>581</v>
      </c>
      <c r="C586" s="16" t="s">
        <v>3098</v>
      </c>
      <c r="D586" s="16" t="n">
        <v>7</v>
      </c>
      <c r="E586" s="37" t="s">
        <v>1651</v>
      </c>
      <c r="F586" s="16" t="s">
        <v>1285</v>
      </c>
      <c r="G586" s="16" t="s">
        <v>322</v>
      </c>
      <c r="H586" s="16" t="s">
        <v>3012</v>
      </c>
      <c r="I586" s="16" t="s">
        <v>74</v>
      </c>
      <c r="J586" s="16" t="s">
        <v>1644</v>
      </c>
      <c r="K586" s="32" t="n">
        <v>11</v>
      </c>
      <c r="L586" s="33" t="n">
        <v>46066</v>
      </c>
      <c r="M586" s="33" t="n">
        <v>46076</v>
      </c>
      <c r="N586" s="16" t="s">
        <v>3099</v>
      </c>
      <c r="O586" s="16"/>
      <c r="P586" s="16" t="str">
        <f aca="false">IF(AND(L586&lt;=$D$2,M586&gt;=$C$2),"Sí","")</f>
        <v/>
      </c>
      <c r="Q586" s="18" t="str">
        <f aca="false">IF(COUNTIF(LOOKAHEAD!$A$5:$A$604,A586)&gt;0,"En Lookahead",IF(P586="Sí","INCORPORAR",""))</f>
        <v/>
      </c>
    </row>
    <row r="587" customFormat="false" ht="15" hidden="false" customHeight="false" outlineLevel="0" collapsed="false">
      <c r="A587" s="16" t="s">
        <v>3100</v>
      </c>
      <c r="B587" s="16" t="n">
        <v>582</v>
      </c>
      <c r="C587" s="16" t="s">
        <v>3101</v>
      </c>
      <c r="D587" s="16" t="n">
        <v>7</v>
      </c>
      <c r="E587" s="37" t="s">
        <v>1637</v>
      </c>
      <c r="F587" s="16" t="s">
        <v>1285</v>
      </c>
      <c r="G587" s="16" t="s">
        <v>322</v>
      </c>
      <c r="H587" s="16" t="s">
        <v>3012</v>
      </c>
      <c r="I587" s="16" t="s">
        <v>74</v>
      </c>
      <c r="J587" s="16" t="s">
        <v>1644</v>
      </c>
      <c r="K587" s="32" t="n">
        <v>11</v>
      </c>
      <c r="L587" s="33" t="n">
        <v>46055</v>
      </c>
      <c r="M587" s="33" t="n">
        <v>46065</v>
      </c>
      <c r="N587" s="16" t="s">
        <v>3091</v>
      </c>
      <c r="O587" s="16"/>
      <c r="P587" s="16" t="str">
        <f aca="false">IF(AND(L587&lt;=$D$2,M587&gt;=$C$2),"Sí","")</f>
        <v/>
      </c>
      <c r="Q587" s="18" t="str">
        <f aca="false">IF(COUNTIF(LOOKAHEAD!$A$5:$A$604,A587)&gt;0,"En Lookahead",IF(P587="Sí","INCORPORAR",""))</f>
        <v/>
      </c>
    </row>
    <row r="588" customFormat="false" ht="15" hidden="false" customHeight="false" outlineLevel="0" collapsed="false">
      <c r="A588" s="16" t="s">
        <v>3102</v>
      </c>
      <c r="B588" s="16" t="n">
        <v>583</v>
      </c>
      <c r="C588" s="16" t="s">
        <v>3103</v>
      </c>
      <c r="D588" s="16" t="n">
        <v>7</v>
      </c>
      <c r="E588" s="37" t="s">
        <v>1602</v>
      </c>
      <c r="F588" s="16" t="s">
        <v>1285</v>
      </c>
      <c r="G588" s="16" t="s">
        <v>322</v>
      </c>
      <c r="H588" s="16" t="s">
        <v>3012</v>
      </c>
      <c r="I588" s="16" t="s">
        <v>74</v>
      </c>
      <c r="J588" s="16" t="s">
        <v>1644</v>
      </c>
      <c r="K588" s="32" t="n">
        <v>4</v>
      </c>
      <c r="L588" s="33" t="n">
        <v>46078</v>
      </c>
      <c r="M588" s="33" t="n">
        <v>46081</v>
      </c>
      <c r="N588" s="16" t="s">
        <v>3104</v>
      </c>
      <c r="O588" s="16"/>
      <c r="P588" s="16" t="str">
        <f aca="false">IF(AND(L588&lt;=$D$2,M588&gt;=$C$2),"Sí","")</f>
        <v/>
      </c>
      <c r="Q588" s="18" t="str">
        <f aca="false">IF(COUNTIF(LOOKAHEAD!$A$5:$A$604,A588)&gt;0,"En Lookahead",IF(P588="Sí","INCORPORAR",""))</f>
        <v/>
      </c>
    </row>
    <row r="589" customFormat="false" ht="15" hidden="false" customHeight="false" outlineLevel="0" collapsed="false">
      <c r="A589" s="13" t="s">
        <v>3105</v>
      </c>
      <c r="B589" s="13" t="n">
        <v>584</v>
      </c>
      <c r="C589" s="13" t="s">
        <v>3106</v>
      </c>
      <c r="D589" s="13" t="n">
        <v>6</v>
      </c>
      <c r="E589" s="36" t="s">
        <v>2295</v>
      </c>
      <c r="F589" s="13" t="s">
        <v>1298</v>
      </c>
      <c r="G589" s="13" t="s">
        <v>322</v>
      </c>
      <c r="H589" s="13" t="s">
        <v>3012</v>
      </c>
      <c r="I589" s="13" t="s">
        <v>74</v>
      </c>
      <c r="J589" s="13" t="s">
        <v>1623</v>
      </c>
      <c r="K589" s="30" t="n">
        <v>8</v>
      </c>
      <c r="L589" s="31" t="n">
        <v>46055</v>
      </c>
      <c r="M589" s="31" t="n">
        <v>46062</v>
      </c>
      <c r="N589" s="13"/>
      <c r="O589" s="13"/>
      <c r="P589" s="13"/>
      <c r="Q589" s="13"/>
    </row>
    <row r="590" customFormat="false" ht="15" hidden="false" customHeight="false" outlineLevel="0" collapsed="false">
      <c r="A590" s="16" t="s">
        <v>3107</v>
      </c>
      <c r="B590" s="16" t="n">
        <v>585</v>
      </c>
      <c r="C590" s="16" t="s">
        <v>3108</v>
      </c>
      <c r="D590" s="16" t="n">
        <v>7</v>
      </c>
      <c r="E590" s="37" t="s">
        <v>2298</v>
      </c>
      <c r="F590" s="16" t="s">
        <v>1285</v>
      </c>
      <c r="G590" s="16" t="s">
        <v>322</v>
      </c>
      <c r="H590" s="16" t="s">
        <v>3012</v>
      </c>
      <c r="I590" s="16" t="s">
        <v>74</v>
      </c>
      <c r="J590" s="16" t="s">
        <v>2295</v>
      </c>
      <c r="K590" s="32" t="n">
        <v>1</v>
      </c>
      <c r="L590" s="33" t="n">
        <v>46061</v>
      </c>
      <c r="M590" s="33" t="n">
        <v>46061</v>
      </c>
      <c r="N590" s="16" t="s">
        <v>3109</v>
      </c>
      <c r="O590" s="16"/>
      <c r="P590" s="16" t="str">
        <f aca="false">IF(AND(L590&lt;=$D$2,M590&gt;=$C$2),"Sí","")</f>
        <v/>
      </c>
      <c r="Q590" s="18" t="str">
        <f aca="false">IF(COUNTIF(LOOKAHEAD!$A$5:$A$604,A590)&gt;0,"En Lookahead",IF(P590="Sí","INCORPORAR",""))</f>
        <v/>
      </c>
    </row>
    <row r="591" customFormat="false" ht="15" hidden="false" customHeight="false" outlineLevel="0" collapsed="false">
      <c r="A591" s="16" t="s">
        <v>3110</v>
      </c>
      <c r="B591" s="16" t="n">
        <v>586</v>
      </c>
      <c r="C591" s="16" t="s">
        <v>3111</v>
      </c>
      <c r="D591" s="16" t="n">
        <v>7</v>
      </c>
      <c r="E591" s="37" t="s">
        <v>2302</v>
      </c>
      <c r="F591" s="16" t="s">
        <v>1285</v>
      </c>
      <c r="G591" s="16" t="s">
        <v>322</v>
      </c>
      <c r="H591" s="16" t="s">
        <v>3012</v>
      </c>
      <c r="I591" s="16" t="s">
        <v>74</v>
      </c>
      <c r="J591" s="16" t="s">
        <v>2295</v>
      </c>
      <c r="K591" s="32" t="n">
        <v>4</v>
      </c>
      <c r="L591" s="33" t="n">
        <v>46057</v>
      </c>
      <c r="M591" s="33" t="n">
        <v>46060</v>
      </c>
      <c r="N591" s="16" t="s">
        <v>3112</v>
      </c>
      <c r="O591" s="16"/>
      <c r="P591" s="16" t="str">
        <f aca="false">IF(AND(L591&lt;=$D$2,M591&gt;=$C$2),"Sí","")</f>
        <v/>
      </c>
      <c r="Q591" s="18" t="str">
        <f aca="false">IF(COUNTIF(LOOKAHEAD!$A$5:$A$604,A591)&gt;0,"En Lookahead",IF(P591="Sí","INCORPORAR",""))</f>
        <v/>
      </c>
    </row>
    <row r="592" customFormat="false" ht="15" hidden="false" customHeight="false" outlineLevel="0" collapsed="false">
      <c r="A592" s="16" t="s">
        <v>3113</v>
      </c>
      <c r="B592" s="16" t="n">
        <v>587</v>
      </c>
      <c r="C592" s="16" t="s">
        <v>3114</v>
      </c>
      <c r="D592" s="16" t="n">
        <v>7</v>
      </c>
      <c r="E592" s="37" t="s">
        <v>2306</v>
      </c>
      <c r="F592" s="16" t="s">
        <v>1285</v>
      </c>
      <c r="G592" s="16" t="s">
        <v>322</v>
      </c>
      <c r="H592" s="16" t="s">
        <v>3012</v>
      </c>
      <c r="I592" s="16" t="s">
        <v>74</v>
      </c>
      <c r="J592" s="16" t="s">
        <v>2295</v>
      </c>
      <c r="K592" s="32" t="n">
        <v>2</v>
      </c>
      <c r="L592" s="33" t="n">
        <v>46055</v>
      </c>
      <c r="M592" s="33" t="n">
        <v>46056</v>
      </c>
      <c r="N592" s="16" t="s">
        <v>3091</v>
      </c>
      <c r="O592" s="16"/>
      <c r="P592" s="16" t="str">
        <f aca="false">IF(AND(L592&lt;=$D$2,M592&gt;=$C$2),"Sí","")</f>
        <v/>
      </c>
      <c r="Q592" s="18" t="str">
        <f aca="false">IF(COUNTIF(LOOKAHEAD!$A$5:$A$604,A592)&gt;0,"En Lookahead",IF(P592="Sí","INCORPORAR",""))</f>
        <v/>
      </c>
    </row>
    <row r="593" customFormat="false" ht="15" hidden="false" customHeight="false" outlineLevel="0" collapsed="false">
      <c r="A593" s="16" t="s">
        <v>3115</v>
      </c>
      <c r="B593" s="16" t="n">
        <v>588</v>
      </c>
      <c r="C593" s="16" t="s">
        <v>3116</v>
      </c>
      <c r="D593" s="16" t="n">
        <v>7</v>
      </c>
      <c r="E593" s="37" t="s">
        <v>1602</v>
      </c>
      <c r="F593" s="16" t="s">
        <v>1285</v>
      </c>
      <c r="G593" s="16" t="s">
        <v>322</v>
      </c>
      <c r="H593" s="16" t="s">
        <v>3012</v>
      </c>
      <c r="I593" s="16" t="s">
        <v>74</v>
      </c>
      <c r="J593" s="16" t="s">
        <v>2295</v>
      </c>
      <c r="K593" s="32" t="n">
        <v>1</v>
      </c>
      <c r="L593" s="33" t="n">
        <v>46062</v>
      </c>
      <c r="M593" s="33" t="n">
        <v>46062</v>
      </c>
      <c r="N593" s="16" t="s">
        <v>3117</v>
      </c>
      <c r="O593" s="16"/>
      <c r="P593" s="16" t="str">
        <f aca="false">IF(AND(L593&lt;=$D$2,M593&gt;=$C$2),"Sí","")</f>
        <v/>
      </c>
      <c r="Q593" s="18" t="str">
        <f aca="false">IF(COUNTIF(LOOKAHEAD!$A$5:$A$604,A593)&gt;0,"En Lookahead",IF(P593="Sí","INCORPORAR",""))</f>
        <v/>
      </c>
    </row>
    <row r="594" customFormat="false" ht="15" hidden="false" customHeight="false" outlineLevel="0" collapsed="false">
      <c r="A594" s="13" t="s">
        <v>3118</v>
      </c>
      <c r="B594" s="13" t="n">
        <v>589</v>
      </c>
      <c r="C594" s="13" t="s">
        <v>3119</v>
      </c>
      <c r="D594" s="13" t="n">
        <v>6</v>
      </c>
      <c r="E594" s="36" t="s">
        <v>1660</v>
      </c>
      <c r="F594" s="13" t="s">
        <v>1298</v>
      </c>
      <c r="G594" s="13" t="s">
        <v>322</v>
      </c>
      <c r="H594" s="13" t="s">
        <v>3012</v>
      </c>
      <c r="I594" s="13" t="s">
        <v>74</v>
      </c>
      <c r="J594" s="13" t="s">
        <v>1623</v>
      </c>
      <c r="K594" s="30" t="n">
        <v>189</v>
      </c>
      <c r="L594" s="31" t="n">
        <v>46055</v>
      </c>
      <c r="M594" s="31" t="n">
        <v>46323</v>
      </c>
      <c r="N594" s="13"/>
      <c r="O594" s="13"/>
      <c r="P594" s="13"/>
      <c r="Q594" s="13"/>
    </row>
    <row r="595" customFormat="false" ht="15" hidden="false" customHeight="false" outlineLevel="0" collapsed="false">
      <c r="A595" s="13" t="s">
        <v>3120</v>
      </c>
      <c r="B595" s="13" t="n">
        <v>590</v>
      </c>
      <c r="C595" s="13" t="s">
        <v>3121</v>
      </c>
      <c r="D595" s="13" t="n">
        <v>7</v>
      </c>
      <c r="E595" s="38" t="s">
        <v>1663</v>
      </c>
      <c r="F595" s="13" t="s">
        <v>1298</v>
      </c>
      <c r="G595" s="13" t="s">
        <v>322</v>
      </c>
      <c r="H595" s="13" t="s">
        <v>3012</v>
      </c>
      <c r="I595" s="13" t="s">
        <v>74</v>
      </c>
      <c r="J595" s="13" t="s">
        <v>1660</v>
      </c>
      <c r="K595" s="30" t="n">
        <v>35</v>
      </c>
      <c r="L595" s="31" t="n">
        <v>46055</v>
      </c>
      <c r="M595" s="31" t="n">
        <v>46089</v>
      </c>
      <c r="N595" s="13"/>
      <c r="O595" s="13"/>
      <c r="P595" s="13"/>
      <c r="Q595" s="13"/>
    </row>
    <row r="596" customFormat="false" ht="15" hidden="false" customHeight="false" outlineLevel="0" collapsed="false">
      <c r="A596" s="16" t="s">
        <v>3122</v>
      </c>
      <c r="B596" s="16" t="n">
        <v>591</v>
      </c>
      <c r="C596" s="16" t="s">
        <v>3123</v>
      </c>
      <c r="D596" s="16" t="n">
        <v>8</v>
      </c>
      <c r="E596" s="39" t="s">
        <v>1666</v>
      </c>
      <c r="F596" s="16" t="s">
        <v>1285</v>
      </c>
      <c r="G596" s="16" t="s">
        <v>322</v>
      </c>
      <c r="H596" s="16" t="s">
        <v>3012</v>
      </c>
      <c r="I596" s="16" t="s">
        <v>74</v>
      </c>
      <c r="J596" s="16" t="s">
        <v>1663</v>
      </c>
      <c r="K596" s="32" t="n">
        <v>1</v>
      </c>
      <c r="L596" s="33" t="n">
        <v>46087</v>
      </c>
      <c r="M596" s="33" t="n">
        <v>46087</v>
      </c>
      <c r="N596" s="16" t="s">
        <v>3124</v>
      </c>
      <c r="O596" s="16"/>
      <c r="P596" s="16" t="str">
        <f aca="false">IF(AND(L596&lt;=$D$2,M596&gt;=$C$2),"Sí","")</f>
        <v/>
      </c>
      <c r="Q596" s="18" t="str">
        <f aca="false">IF(COUNTIF(LOOKAHEAD!$A$5:$A$604,A596)&gt;0,"En Lookahead",IF(P596="Sí","INCORPORAR",""))</f>
        <v/>
      </c>
    </row>
    <row r="597" customFormat="false" ht="15" hidden="false" customHeight="false" outlineLevel="0" collapsed="false">
      <c r="A597" s="16" t="s">
        <v>3125</v>
      </c>
      <c r="B597" s="16" t="n">
        <v>592</v>
      </c>
      <c r="C597" s="16" t="s">
        <v>3126</v>
      </c>
      <c r="D597" s="16" t="n">
        <v>8</v>
      </c>
      <c r="E597" s="39" t="s">
        <v>1670</v>
      </c>
      <c r="F597" s="16" t="s">
        <v>1285</v>
      </c>
      <c r="G597" s="16" t="s">
        <v>322</v>
      </c>
      <c r="H597" s="16" t="s">
        <v>3012</v>
      </c>
      <c r="I597" s="16" t="s">
        <v>74</v>
      </c>
      <c r="J597" s="16" t="s">
        <v>1663</v>
      </c>
      <c r="K597" s="32" t="n">
        <v>17</v>
      </c>
      <c r="L597" s="33" t="n">
        <v>46070</v>
      </c>
      <c r="M597" s="33" t="n">
        <v>46086</v>
      </c>
      <c r="N597" s="16" t="s">
        <v>3127</v>
      </c>
      <c r="O597" s="16"/>
      <c r="P597" s="16" t="str">
        <f aca="false">IF(AND(L597&lt;=$D$2,M597&gt;=$C$2),"Sí","")</f>
        <v/>
      </c>
      <c r="Q597" s="18" t="str">
        <f aca="false">IF(COUNTIF(LOOKAHEAD!$A$5:$A$604,A597)&gt;0,"En Lookahead",IF(P597="Sí","INCORPORAR",""))</f>
        <v/>
      </c>
    </row>
    <row r="598" customFormat="false" ht="15" hidden="false" customHeight="false" outlineLevel="0" collapsed="false">
      <c r="A598" s="16" t="s">
        <v>3128</v>
      </c>
      <c r="B598" s="16" t="n">
        <v>593</v>
      </c>
      <c r="C598" s="16" t="s">
        <v>3129</v>
      </c>
      <c r="D598" s="16" t="n">
        <v>8</v>
      </c>
      <c r="E598" s="39" t="s">
        <v>1674</v>
      </c>
      <c r="F598" s="16" t="s">
        <v>1285</v>
      </c>
      <c r="G598" s="16" t="s">
        <v>322</v>
      </c>
      <c r="H598" s="16" t="s">
        <v>3012</v>
      </c>
      <c r="I598" s="16" t="s">
        <v>74</v>
      </c>
      <c r="J598" s="16" t="s">
        <v>1663</v>
      </c>
      <c r="K598" s="32" t="n">
        <v>15</v>
      </c>
      <c r="L598" s="33" t="n">
        <v>46055</v>
      </c>
      <c r="M598" s="33" t="n">
        <v>46069</v>
      </c>
      <c r="N598" s="16" t="s">
        <v>3091</v>
      </c>
      <c r="O598" s="16"/>
      <c r="P598" s="16" t="str">
        <f aca="false">IF(AND(L598&lt;=$D$2,M598&gt;=$C$2),"Sí","")</f>
        <v/>
      </c>
      <c r="Q598" s="18" t="str">
        <f aca="false">IF(COUNTIF(LOOKAHEAD!$A$5:$A$604,A598)&gt;0,"En Lookahead",IF(P598="Sí","INCORPORAR",""))</f>
        <v/>
      </c>
    </row>
    <row r="599" customFormat="false" ht="15" hidden="false" customHeight="false" outlineLevel="0" collapsed="false">
      <c r="A599" s="16" t="s">
        <v>3130</v>
      </c>
      <c r="B599" s="16" t="n">
        <v>594</v>
      </c>
      <c r="C599" s="16" t="s">
        <v>3131</v>
      </c>
      <c r="D599" s="16" t="n">
        <v>8</v>
      </c>
      <c r="E599" s="39" t="s">
        <v>1677</v>
      </c>
      <c r="F599" s="16" t="s">
        <v>1285</v>
      </c>
      <c r="G599" s="16" t="s">
        <v>322</v>
      </c>
      <c r="H599" s="16" t="s">
        <v>3012</v>
      </c>
      <c r="I599" s="16" t="s">
        <v>74</v>
      </c>
      <c r="J599" s="16" t="s">
        <v>1663</v>
      </c>
      <c r="K599" s="32" t="n">
        <v>2</v>
      </c>
      <c r="L599" s="33" t="n">
        <v>46088</v>
      </c>
      <c r="M599" s="33" t="n">
        <v>46089</v>
      </c>
      <c r="N599" s="16" t="s">
        <v>3132</v>
      </c>
      <c r="O599" s="16"/>
      <c r="P599" s="16" t="str">
        <f aca="false">IF(AND(L599&lt;=$D$2,M599&gt;=$C$2),"Sí","")</f>
        <v/>
      </c>
      <c r="Q599" s="18" t="str">
        <f aca="false">IF(COUNTIF(LOOKAHEAD!$A$5:$A$604,A599)&gt;0,"En Lookahead",IF(P599="Sí","INCORPORAR",""))</f>
        <v/>
      </c>
    </row>
    <row r="600" customFormat="false" ht="15" hidden="false" customHeight="false" outlineLevel="0" collapsed="false">
      <c r="A600" s="13" t="s">
        <v>3133</v>
      </c>
      <c r="B600" s="13" t="n">
        <v>595</v>
      </c>
      <c r="C600" s="13" t="s">
        <v>3134</v>
      </c>
      <c r="D600" s="13" t="n">
        <v>7</v>
      </c>
      <c r="E600" s="38" t="s">
        <v>1681</v>
      </c>
      <c r="F600" s="13" t="s">
        <v>1298</v>
      </c>
      <c r="G600" s="13" t="s">
        <v>322</v>
      </c>
      <c r="H600" s="13" t="s">
        <v>3012</v>
      </c>
      <c r="I600" s="13" t="s">
        <v>74</v>
      </c>
      <c r="J600" s="13" t="s">
        <v>1660</v>
      </c>
      <c r="K600" s="30" t="n">
        <v>29</v>
      </c>
      <c r="L600" s="31" t="n">
        <v>46128</v>
      </c>
      <c r="M600" s="31" t="n">
        <v>46156</v>
      </c>
      <c r="N600" s="13"/>
      <c r="O600" s="13"/>
      <c r="P600" s="13"/>
      <c r="Q600" s="13"/>
    </row>
    <row r="601" customFormat="false" ht="15" hidden="false" customHeight="false" outlineLevel="0" collapsed="false">
      <c r="A601" s="16" t="s">
        <v>3135</v>
      </c>
      <c r="B601" s="16" t="n">
        <v>596</v>
      </c>
      <c r="C601" s="16" t="s">
        <v>3136</v>
      </c>
      <c r="D601" s="16" t="n">
        <v>8</v>
      </c>
      <c r="E601" s="39" t="s">
        <v>1684</v>
      </c>
      <c r="F601" s="16" t="s">
        <v>1285</v>
      </c>
      <c r="G601" s="16" t="s">
        <v>322</v>
      </c>
      <c r="H601" s="16" t="s">
        <v>3012</v>
      </c>
      <c r="I601" s="16" t="s">
        <v>74</v>
      </c>
      <c r="J601" s="16" t="s">
        <v>1681</v>
      </c>
      <c r="K601" s="32" t="n">
        <v>1</v>
      </c>
      <c r="L601" s="33" t="n">
        <v>46154</v>
      </c>
      <c r="M601" s="33" t="n">
        <v>46154</v>
      </c>
      <c r="N601" s="16" t="s">
        <v>3137</v>
      </c>
      <c r="O601" s="16"/>
      <c r="P601" s="16" t="str">
        <f aca="false">IF(AND(L601&lt;=$D$2,M601&gt;=$C$2),"Sí","")</f>
        <v/>
      </c>
      <c r="Q601" s="18" t="str">
        <f aca="false">IF(COUNTIF(LOOKAHEAD!$A$5:$A$604,A601)&gt;0,"En Lookahead",IF(P601="Sí","INCORPORAR",""))</f>
        <v/>
      </c>
    </row>
    <row r="602" customFormat="false" ht="15" hidden="false" customHeight="false" outlineLevel="0" collapsed="false">
      <c r="A602" s="16" t="s">
        <v>3138</v>
      </c>
      <c r="B602" s="16" t="n">
        <v>597</v>
      </c>
      <c r="C602" s="16" t="s">
        <v>3139</v>
      </c>
      <c r="D602" s="16" t="n">
        <v>8</v>
      </c>
      <c r="E602" s="39" t="s">
        <v>1688</v>
      </c>
      <c r="F602" s="16" t="s">
        <v>1285</v>
      </c>
      <c r="G602" s="16" t="s">
        <v>322</v>
      </c>
      <c r="H602" s="16" t="s">
        <v>3012</v>
      </c>
      <c r="I602" s="16" t="s">
        <v>74</v>
      </c>
      <c r="J602" s="16" t="s">
        <v>1681</v>
      </c>
      <c r="K602" s="32" t="n">
        <v>12</v>
      </c>
      <c r="L602" s="33" t="n">
        <v>46142</v>
      </c>
      <c r="M602" s="33" t="n">
        <v>46153</v>
      </c>
      <c r="N602" s="16" t="s">
        <v>3140</v>
      </c>
      <c r="O602" s="16"/>
      <c r="P602" s="16" t="str">
        <f aca="false">IF(AND(L602&lt;=$D$2,M602&gt;=$C$2),"Sí","")</f>
        <v/>
      </c>
      <c r="Q602" s="18" t="str">
        <f aca="false">IF(COUNTIF(LOOKAHEAD!$A$5:$A$604,A602)&gt;0,"En Lookahead",IF(P602="Sí","INCORPORAR",""))</f>
        <v/>
      </c>
    </row>
    <row r="603" customFormat="false" ht="15" hidden="false" customHeight="false" outlineLevel="0" collapsed="false">
      <c r="A603" s="16" t="s">
        <v>3141</v>
      </c>
      <c r="B603" s="16" t="n">
        <v>598</v>
      </c>
      <c r="C603" s="16" t="s">
        <v>3142</v>
      </c>
      <c r="D603" s="16" t="n">
        <v>8</v>
      </c>
      <c r="E603" s="39" t="s">
        <v>1674</v>
      </c>
      <c r="F603" s="16" t="s">
        <v>1285</v>
      </c>
      <c r="G603" s="16" t="s">
        <v>322</v>
      </c>
      <c r="H603" s="16" t="s">
        <v>3012</v>
      </c>
      <c r="I603" s="16" t="s">
        <v>74</v>
      </c>
      <c r="J603" s="16" t="s">
        <v>1681</v>
      </c>
      <c r="K603" s="32" t="n">
        <v>14</v>
      </c>
      <c r="L603" s="33" t="n">
        <v>46128</v>
      </c>
      <c r="M603" s="33" t="n">
        <v>46141</v>
      </c>
      <c r="N603" s="16" t="s">
        <v>3143</v>
      </c>
      <c r="O603" s="16"/>
      <c r="P603" s="16" t="str">
        <f aca="false">IF(AND(L603&lt;=$D$2,M603&gt;=$C$2),"Sí","")</f>
        <v/>
      </c>
      <c r="Q603" s="18" t="str">
        <f aca="false">IF(COUNTIF(LOOKAHEAD!$A$5:$A$604,A603)&gt;0,"En Lookahead",IF(P603="Sí","INCORPORAR",""))</f>
        <v/>
      </c>
    </row>
    <row r="604" customFormat="false" ht="15" hidden="false" customHeight="false" outlineLevel="0" collapsed="false">
      <c r="A604" s="16" t="s">
        <v>3144</v>
      </c>
      <c r="B604" s="16" t="n">
        <v>599</v>
      </c>
      <c r="C604" s="16" t="s">
        <v>3145</v>
      </c>
      <c r="D604" s="16" t="n">
        <v>8</v>
      </c>
      <c r="E604" s="39" t="s">
        <v>1677</v>
      </c>
      <c r="F604" s="16" t="s">
        <v>1285</v>
      </c>
      <c r="G604" s="16" t="s">
        <v>322</v>
      </c>
      <c r="H604" s="16" t="s">
        <v>3012</v>
      </c>
      <c r="I604" s="16" t="s">
        <v>74</v>
      </c>
      <c r="J604" s="16" t="s">
        <v>1681</v>
      </c>
      <c r="K604" s="32" t="n">
        <v>2</v>
      </c>
      <c r="L604" s="33" t="n">
        <v>46155</v>
      </c>
      <c r="M604" s="33" t="n">
        <v>46156</v>
      </c>
      <c r="N604" s="16" t="s">
        <v>3146</v>
      </c>
      <c r="O604" s="16"/>
      <c r="P604" s="16" t="str">
        <f aca="false">IF(AND(L604&lt;=$D$2,M604&gt;=$C$2),"Sí","")</f>
        <v/>
      </c>
      <c r="Q604" s="18" t="str">
        <f aca="false">IF(COUNTIF(LOOKAHEAD!$A$5:$A$604,A604)&gt;0,"En Lookahead",IF(P604="Sí","INCORPORAR",""))</f>
        <v/>
      </c>
    </row>
    <row r="605" customFormat="false" ht="15" hidden="false" customHeight="false" outlineLevel="0" collapsed="false">
      <c r="A605" s="13" t="s">
        <v>3147</v>
      </c>
      <c r="B605" s="13" t="n">
        <v>600</v>
      </c>
      <c r="C605" s="13" t="s">
        <v>3148</v>
      </c>
      <c r="D605" s="13" t="n">
        <v>7</v>
      </c>
      <c r="E605" s="38" t="s">
        <v>1698</v>
      </c>
      <c r="F605" s="13" t="s">
        <v>1298</v>
      </c>
      <c r="G605" s="13" t="s">
        <v>322</v>
      </c>
      <c r="H605" s="13" t="s">
        <v>3012</v>
      </c>
      <c r="I605" s="13" t="s">
        <v>74</v>
      </c>
      <c r="J605" s="13" t="s">
        <v>1660</v>
      </c>
      <c r="K605" s="30" t="n">
        <v>23</v>
      </c>
      <c r="L605" s="31" t="n">
        <v>46301</v>
      </c>
      <c r="M605" s="31" t="n">
        <v>46323</v>
      </c>
      <c r="N605" s="13"/>
      <c r="O605" s="13"/>
      <c r="P605" s="13"/>
      <c r="Q605" s="13"/>
    </row>
    <row r="606" customFormat="false" ht="15" hidden="false" customHeight="false" outlineLevel="0" collapsed="false">
      <c r="A606" s="16" t="s">
        <v>3149</v>
      </c>
      <c r="B606" s="16" t="n">
        <v>601</v>
      </c>
      <c r="C606" s="16" t="s">
        <v>3150</v>
      </c>
      <c r="D606" s="16" t="n">
        <v>8</v>
      </c>
      <c r="E606" s="39" t="s">
        <v>1701</v>
      </c>
      <c r="F606" s="16" t="s">
        <v>1285</v>
      </c>
      <c r="G606" s="16" t="s">
        <v>322</v>
      </c>
      <c r="H606" s="16" t="s">
        <v>3012</v>
      </c>
      <c r="I606" s="16" t="s">
        <v>74</v>
      </c>
      <c r="J606" s="16" t="s">
        <v>1698</v>
      </c>
      <c r="K606" s="32" t="n">
        <v>1</v>
      </c>
      <c r="L606" s="33" t="n">
        <v>46321</v>
      </c>
      <c r="M606" s="33" t="n">
        <v>46321</v>
      </c>
      <c r="N606" s="16" t="s">
        <v>3151</v>
      </c>
      <c r="O606" s="16"/>
      <c r="P606" s="16" t="str">
        <f aca="false">IF(AND(L606&lt;=$D$2,M606&gt;=$C$2),"Sí","")</f>
        <v>Sí</v>
      </c>
      <c r="Q606" s="18" t="str">
        <f aca="false">IF(COUNTIF(LOOKAHEAD!$A$5:$A$604,A606)&gt;0,"En Lookahead",IF(P606="Sí","INCORPORAR",""))</f>
        <v>En Lookahead</v>
      </c>
    </row>
    <row r="607" customFormat="false" ht="15" hidden="false" customHeight="false" outlineLevel="0" collapsed="false">
      <c r="A607" s="16" t="s">
        <v>3152</v>
      </c>
      <c r="B607" s="16" t="n">
        <v>602</v>
      </c>
      <c r="C607" s="16" t="s">
        <v>3153</v>
      </c>
      <c r="D607" s="16" t="n">
        <v>8</v>
      </c>
      <c r="E607" s="39" t="s">
        <v>1705</v>
      </c>
      <c r="F607" s="16" t="s">
        <v>1285</v>
      </c>
      <c r="G607" s="16" t="s">
        <v>322</v>
      </c>
      <c r="H607" s="16" t="s">
        <v>3012</v>
      </c>
      <c r="I607" s="16" t="s">
        <v>74</v>
      </c>
      <c r="J607" s="16" t="s">
        <v>1698</v>
      </c>
      <c r="K607" s="32" t="n">
        <v>9</v>
      </c>
      <c r="L607" s="33" t="n">
        <v>46312</v>
      </c>
      <c r="M607" s="33" t="n">
        <v>46320</v>
      </c>
      <c r="N607" s="16" t="s">
        <v>3154</v>
      </c>
      <c r="O607" s="16"/>
      <c r="P607" s="16" t="str">
        <f aca="false">IF(AND(L607&lt;=$D$2,M607&gt;=$C$2),"Sí","")</f>
        <v>Sí</v>
      </c>
      <c r="Q607" s="18" t="str">
        <f aca="false">IF(COUNTIF(LOOKAHEAD!$A$5:$A$604,A607)&gt;0,"En Lookahead",IF(P607="Sí","INCORPORAR",""))</f>
        <v>En Lookahead</v>
      </c>
    </row>
    <row r="608" customFormat="false" ht="15" hidden="false" customHeight="false" outlineLevel="0" collapsed="false">
      <c r="A608" s="16" t="s">
        <v>3155</v>
      </c>
      <c r="B608" s="16" t="n">
        <v>603</v>
      </c>
      <c r="C608" s="16" t="s">
        <v>3156</v>
      </c>
      <c r="D608" s="16" t="n">
        <v>8</v>
      </c>
      <c r="E608" s="39" t="s">
        <v>1674</v>
      </c>
      <c r="F608" s="16" t="s">
        <v>1285</v>
      </c>
      <c r="G608" s="16" t="s">
        <v>322</v>
      </c>
      <c r="H608" s="16" t="s">
        <v>3012</v>
      </c>
      <c r="I608" s="16" t="s">
        <v>74</v>
      </c>
      <c r="J608" s="16" t="s">
        <v>1698</v>
      </c>
      <c r="K608" s="32" t="n">
        <v>11</v>
      </c>
      <c r="L608" s="33" t="n">
        <v>46301</v>
      </c>
      <c r="M608" s="33" t="n">
        <v>46311</v>
      </c>
      <c r="N608" s="16" t="s">
        <v>3157</v>
      </c>
      <c r="O608" s="16"/>
      <c r="P608" s="16" t="str">
        <f aca="false">IF(AND(L608&lt;=$D$2,M608&gt;=$C$2),"Sí","")</f>
        <v>Sí</v>
      </c>
      <c r="Q608" s="18" t="str">
        <f aca="false">IF(COUNTIF(LOOKAHEAD!$A$5:$A$604,A608)&gt;0,"En Lookahead",IF(P608="Sí","INCORPORAR",""))</f>
        <v>En Lookahead</v>
      </c>
    </row>
    <row r="609" customFormat="false" ht="15" hidden="false" customHeight="false" outlineLevel="0" collapsed="false">
      <c r="A609" s="16" t="s">
        <v>3158</v>
      </c>
      <c r="B609" s="16" t="n">
        <v>604</v>
      </c>
      <c r="C609" s="16" t="s">
        <v>3159</v>
      </c>
      <c r="D609" s="16" t="n">
        <v>8</v>
      </c>
      <c r="E609" s="39" t="s">
        <v>1677</v>
      </c>
      <c r="F609" s="16" t="s">
        <v>1285</v>
      </c>
      <c r="G609" s="16" t="s">
        <v>322</v>
      </c>
      <c r="H609" s="16" t="s">
        <v>3012</v>
      </c>
      <c r="I609" s="16" t="s">
        <v>74</v>
      </c>
      <c r="J609" s="16" t="s">
        <v>1698</v>
      </c>
      <c r="K609" s="32" t="n">
        <v>2</v>
      </c>
      <c r="L609" s="33" t="n">
        <v>46322</v>
      </c>
      <c r="M609" s="33" t="n">
        <v>46323</v>
      </c>
      <c r="N609" s="16" t="s">
        <v>3160</v>
      </c>
      <c r="O609" s="16"/>
      <c r="P609" s="16" t="str">
        <f aca="false">IF(AND(L609&lt;=$D$2,M609&gt;=$C$2),"Sí","")</f>
        <v>Sí</v>
      </c>
      <c r="Q609" s="18" t="str">
        <f aca="false">IF(COUNTIF(LOOKAHEAD!$A$5:$A$604,A609)&gt;0,"En Lookahead",IF(P609="Sí","INCORPORAR",""))</f>
        <v>En Lookahead</v>
      </c>
    </row>
    <row r="610" customFormat="false" ht="15" hidden="false" customHeight="false" outlineLevel="0" collapsed="false">
      <c r="A610" s="13" t="s">
        <v>3161</v>
      </c>
      <c r="B610" s="13" t="n">
        <v>605</v>
      </c>
      <c r="C610" s="13" t="s">
        <v>3162</v>
      </c>
      <c r="D610" s="13" t="n">
        <v>6</v>
      </c>
      <c r="E610" s="36" t="s">
        <v>1731</v>
      </c>
      <c r="F610" s="13" t="s">
        <v>1298</v>
      </c>
      <c r="G610" s="13" t="s">
        <v>322</v>
      </c>
      <c r="H610" s="13" t="s">
        <v>3012</v>
      </c>
      <c r="I610" s="13" t="s">
        <v>74</v>
      </c>
      <c r="J610" s="13" t="s">
        <v>1623</v>
      </c>
      <c r="K610" s="30" t="n">
        <v>113</v>
      </c>
      <c r="L610" s="31" t="n">
        <v>46055</v>
      </c>
      <c r="M610" s="31" t="n">
        <v>46247</v>
      </c>
      <c r="N610" s="13"/>
      <c r="O610" s="13"/>
      <c r="P610" s="13"/>
      <c r="Q610" s="13"/>
    </row>
    <row r="611" customFormat="false" ht="15" hidden="false" customHeight="false" outlineLevel="0" collapsed="false">
      <c r="A611" s="13" t="s">
        <v>3163</v>
      </c>
      <c r="B611" s="13" t="n">
        <v>606</v>
      </c>
      <c r="C611" s="13" t="s">
        <v>3164</v>
      </c>
      <c r="D611" s="13" t="n">
        <v>7</v>
      </c>
      <c r="E611" s="38" t="s">
        <v>1734</v>
      </c>
      <c r="F611" s="13" t="s">
        <v>1298</v>
      </c>
      <c r="G611" s="13" t="s">
        <v>322</v>
      </c>
      <c r="H611" s="13" t="s">
        <v>3012</v>
      </c>
      <c r="I611" s="13" t="s">
        <v>74</v>
      </c>
      <c r="J611" s="13" t="s">
        <v>1731</v>
      </c>
      <c r="K611" s="30" t="n">
        <v>37</v>
      </c>
      <c r="L611" s="31" t="n">
        <v>46055</v>
      </c>
      <c r="M611" s="31" t="n">
        <v>46091</v>
      </c>
      <c r="N611" s="13"/>
      <c r="O611" s="13"/>
      <c r="P611" s="13"/>
      <c r="Q611" s="13"/>
    </row>
    <row r="612" customFormat="false" ht="15" hidden="false" customHeight="false" outlineLevel="0" collapsed="false">
      <c r="A612" s="16" t="s">
        <v>3165</v>
      </c>
      <c r="B612" s="16" t="n">
        <v>607</v>
      </c>
      <c r="C612" s="16" t="s">
        <v>3166</v>
      </c>
      <c r="D612" s="16" t="n">
        <v>8</v>
      </c>
      <c r="E612" s="39" t="s">
        <v>1737</v>
      </c>
      <c r="F612" s="16" t="s">
        <v>1285</v>
      </c>
      <c r="G612" s="16" t="s">
        <v>322</v>
      </c>
      <c r="H612" s="16" t="s">
        <v>3012</v>
      </c>
      <c r="I612" s="16" t="s">
        <v>74</v>
      </c>
      <c r="J612" s="16" t="s">
        <v>1734</v>
      </c>
      <c r="K612" s="32" t="n">
        <v>2</v>
      </c>
      <c r="L612" s="33" t="n">
        <v>46087</v>
      </c>
      <c r="M612" s="33" t="n">
        <v>46088</v>
      </c>
      <c r="N612" s="16" t="s">
        <v>3167</v>
      </c>
      <c r="O612" s="16"/>
      <c r="P612" s="16" t="str">
        <f aca="false">IF(AND(L612&lt;=$D$2,M612&gt;=$C$2),"Sí","")</f>
        <v/>
      </c>
      <c r="Q612" s="18" t="str">
        <f aca="false">IF(COUNTIF(LOOKAHEAD!$A$5:$A$604,A612)&gt;0,"En Lookahead",IF(P612="Sí","INCORPORAR",""))</f>
        <v/>
      </c>
    </row>
    <row r="613" customFormat="false" ht="15" hidden="false" customHeight="false" outlineLevel="0" collapsed="false">
      <c r="A613" s="16" t="s">
        <v>3168</v>
      </c>
      <c r="B613" s="16" t="n">
        <v>608</v>
      </c>
      <c r="C613" s="16" t="s">
        <v>3169</v>
      </c>
      <c r="D613" s="16" t="n">
        <v>8</v>
      </c>
      <c r="E613" s="39" t="s">
        <v>1741</v>
      </c>
      <c r="F613" s="16" t="s">
        <v>1285</v>
      </c>
      <c r="G613" s="16" t="s">
        <v>322</v>
      </c>
      <c r="H613" s="16" t="s">
        <v>3012</v>
      </c>
      <c r="I613" s="16" t="s">
        <v>74</v>
      </c>
      <c r="J613" s="16" t="s">
        <v>1734</v>
      </c>
      <c r="K613" s="32" t="n">
        <v>15</v>
      </c>
      <c r="L613" s="33" t="n">
        <v>46072</v>
      </c>
      <c r="M613" s="33" t="n">
        <v>46086</v>
      </c>
      <c r="N613" s="16" t="s">
        <v>3170</v>
      </c>
      <c r="O613" s="16"/>
      <c r="P613" s="16" t="str">
        <f aca="false">IF(AND(L613&lt;=$D$2,M613&gt;=$C$2),"Sí","")</f>
        <v/>
      </c>
      <c r="Q613" s="18" t="str">
        <f aca="false">IF(COUNTIF(LOOKAHEAD!$A$5:$A$604,A613)&gt;0,"En Lookahead",IF(P613="Sí","INCORPORAR",""))</f>
        <v/>
      </c>
    </row>
    <row r="614" customFormat="false" ht="15" hidden="false" customHeight="false" outlineLevel="0" collapsed="false">
      <c r="A614" s="16" t="s">
        <v>3171</v>
      </c>
      <c r="B614" s="16" t="n">
        <v>609</v>
      </c>
      <c r="C614" s="16" t="s">
        <v>3172</v>
      </c>
      <c r="D614" s="16" t="n">
        <v>8</v>
      </c>
      <c r="E614" s="39" t="s">
        <v>1745</v>
      </c>
      <c r="F614" s="16" t="s">
        <v>1285</v>
      </c>
      <c r="G614" s="16" t="s">
        <v>322</v>
      </c>
      <c r="H614" s="16" t="s">
        <v>3012</v>
      </c>
      <c r="I614" s="16" t="s">
        <v>74</v>
      </c>
      <c r="J614" s="16" t="s">
        <v>1734</v>
      </c>
      <c r="K614" s="32" t="n">
        <v>17</v>
      </c>
      <c r="L614" s="33" t="n">
        <v>46055</v>
      </c>
      <c r="M614" s="33" t="n">
        <v>46071</v>
      </c>
      <c r="N614" s="16" t="s">
        <v>3173</v>
      </c>
      <c r="O614" s="16"/>
      <c r="P614" s="16" t="str">
        <f aca="false">IF(AND(L614&lt;=$D$2,M614&gt;=$C$2),"Sí","")</f>
        <v/>
      </c>
      <c r="Q614" s="18" t="str">
        <f aca="false">IF(COUNTIF(LOOKAHEAD!$A$5:$A$604,A614)&gt;0,"En Lookahead",IF(P614="Sí","INCORPORAR",""))</f>
        <v/>
      </c>
    </row>
    <row r="615" customFormat="false" ht="15" hidden="false" customHeight="false" outlineLevel="0" collapsed="false">
      <c r="A615" s="16" t="s">
        <v>3174</v>
      </c>
      <c r="B615" s="16" t="n">
        <v>610</v>
      </c>
      <c r="C615" s="16" t="s">
        <v>3175</v>
      </c>
      <c r="D615" s="16" t="n">
        <v>8</v>
      </c>
      <c r="E615" s="39" t="s">
        <v>1677</v>
      </c>
      <c r="F615" s="16" t="s">
        <v>1285</v>
      </c>
      <c r="G615" s="16" t="s">
        <v>322</v>
      </c>
      <c r="H615" s="16" t="s">
        <v>3012</v>
      </c>
      <c r="I615" s="16" t="s">
        <v>74</v>
      </c>
      <c r="J615" s="16" t="s">
        <v>1734</v>
      </c>
      <c r="K615" s="32" t="n">
        <v>3</v>
      </c>
      <c r="L615" s="33" t="n">
        <v>46089</v>
      </c>
      <c r="M615" s="33" t="n">
        <v>46091</v>
      </c>
      <c r="N615" s="16" t="s">
        <v>3176</v>
      </c>
      <c r="O615" s="16"/>
      <c r="P615" s="16" t="str">
        <f aca="false">IF(AND(L615&lt;=$D$2,M615&gt;=$C$2),"Sí","")</f>
        <v/>
      </c>
      <c r="Q615" s="18" t="str">
        <f aca="false">IF(COUNTIF(LOOKAHEAD!$A$5:$A$604,A615)&gt;0,"En Lookahead",IF(P615="Sí","INCORPORAR",""))</f>
        <v/>
      </c>
    </row>
    <row r="616" customFormat="false" ht="15" hidden="false" customHeight="false" outlineLevel="0" collapsed="false">
      <c r="A616" s="13" t="s">
        <v>3177</v>
      </c>
      <c r="B616" s="13" t="n">
        <v>611</v>
      </c>
      <c r="C616" s="13" t="s">
        <v>3178</v>
      </c>
      <c r="D616" s="13" t="n">
        <v>7</v>
      </c>
      <c r="E616" s="38" t="s">
        <v>1752</v>
      </c>
      <c r="F616" s="13" t="s">
        <v>1298</v>
      </c>
      <c r="G616" s="13" t="s">
        <v>322</v>
      </c>
      <c r="H616" s="13" t="s">
        <v>3012</v>
      </c>
      <c r="I616" s="13" t="s">
        <v>74</v>
      </c>
      <c r="J616" s="13" t="s">
        <v>1731</v>
      </c>
      <c r="K616" s="30" t="n">
        <v>40</v>
      </c>
      <c r="L616" s="31" t="n">
        <v>46128</v>
      </c>
      <c r="M616" s="31" t="n">
        <v>46247</v>
      </c>
      <c r="N616" s="13"/>
      <c r="O616" s="13"/>
      <c r="P616" s="13"/>
      <c r="Q616" s="13"/>
    </row>
    <row r="617" customFormat="false" ht="15" hidden="false" customHeight="false" outlineLevel="0" collapsed="false">
      <c r="A617" s="16" t="s">
        <v>3179</v>
      </c>
      <c r="B617" s="16" t="n">
        <v>612</v>
      </c>
      <c r="C617" s="16" t="s">
        <v>3180</v>
      </c>
      <c r="D617" s="16" t="n">
        <v>8</v>
      </c>
      <c r="E617" s="39" t="s">
        <v>1755</v>
      </c>
      <c r="F617" s="16" t="s">
        <v>1285</v>
      </c>
      <c r="G617" s="16" t="s">
        <v>322</v>
      </c>
      <c r="H617" s="16" t="s">
        <v>3012</v>
      </c>
      <c r="I617" s="16" t="s">
        <v>74</v>
      </c>
      <c r="J617" s="16" t="s">
        <v>1752</v>
      </c>
      <c r="K617" s="32" t="n">
        <v>1</v>
      </c>
      <c r="L617" s="33" t="n">
        <v>46245</v>
      </c>
      <c r="M617" s="33" t="n">
        <v>46245</v>
      </c>
      <c r="N617" s="16" t="s">
        <v>3181</v>
      </c>
      <c r="O617" s="16"/>
      <c r="P617" s="16" t="str">
        <f aca="false">IF(AND(L617&lt;=$D$2,M617&gt;=$C$2),"Sí","")</f>
        <v/>
      </c>
      <c r="Q617" s="18" t="str">
        <f aca="false">IF(COUNTIF(LOOKAHEAD!$A$5:$A$604,A617)&gt;0,"En Lookahead",IF(P617="Sí","INCORPORAR",""))</f>
        <v/>
      </c>
    </row>
    <row r="618" customFormat="false" ht="15" hidden="false" customHeight="false" outlineLevel="0" collapsed="false">
      <c r="A618" s="16" t="s">
        <v>3182</v>
      </c>
      <c r="B618" s="16" t="n">
        <v>613</v>
      </c>
      <c r="C618" s="16" t="s">
        <v>3183</v>
      </c>
      <c r="D618" s="16" t="n">
        <v>8</v>
      </c>
      <c r="E618" s="39" t="s">
        <v>1759</v>
      </c>
      <c r="F618" s="16" t="s">
        <v>1285</v>
      </c>
      <c r="G618" s="16" t="s">
        <v>322</v>
      </c>
      <c r="H618" s="16" t="s">
        <v>3012</v>
      </c>
      <c r="I618" s="16" t="s">
        <v>74</v>
      </c>
      <c r="J618" s="16" t="s">
        <v>1752</v>
      </c>
      <c r="K618" s="32" t="n">
        <v>18</v>
      </c>
      <c r="L618" s="33" t="n">
        <v>46147</v>
      </c>
      <c r="M618" s="33" t="n">
        <v>46244</v>
      </c>
      <c r="N618" s="16" t="s">
        <v>3184</v>
      </c>
      <c r="O618" s="16"/>
      <c r="P618" s="16" t="str">
        <f aca="false">IF(AND(L618&lt;=$D$2,M618&gt;=$C$2),"Sí","")</f>
        <v/>
      </c>
      <c r="Q618" s="18" t="str">
        <f aca="false">IF(COUNTIF(LOOKAHEAD!$A$5:$A$604,A618)&gt;0,"En Lookahead",IF(P618="Sí","INCORPORAR",""))</f>
        <v/>
      </c>
    </row>
    <row r="619" customFormat="false" ht="15" hidden="false" customHeight="false" outlineLevel="0" collapsed="false">
      <c r="A619" s="16" t="s">
        <v>3185</v>
      </c>
      <c r="B619" s="16" t="n">
        <v>614</v>
      </c>
      <c r="C619" s="16" t="s">
        <v>3186</v>
      </c>
      <c r="D619" s="16" t="n">
        <v>8</v>
      </c>
      <c r="E619" s="39" t="s">
        <v>1745</v>
      </c>
      <c r="F619" s="16" t="s">
        <v>1285</v>
      </c>
      <c r="G619" s="16" t="s">
        <v>322</v>
      </c>
      <c r="H619" s="16" t="s">
        <v>3012</v>
      </c>
      <c r="I619" s="16" t="s">
        <v>74</v>
      </c>
      <c r="J619" s="16" t="s">
        <v>1752</v>
      </c>
      <c r="K619" s="32" t="n">
        <v>19</v>
      </c>
      <c r="L619" s="33" t="n">
        <v>46128</v>
      </c>
      <c r="M619" s="33" t="n">
        <v>46146</v>
      </c>
      <c r="N619" s="16" t="s">
        <v>3187</v>
      </c>
      <c r="O619" s="16"/>
      <c r="P619" s="16" t="str">
        <f aca="false">IF(AND(L619&lt;=$D$2,M619&gt;=$C$2),"Sí","")</f>
        <v/>
      </c>
      <c r="Q619" s="18" t="str">
        <f aca="false">IF(COUNTIF(LOOKAHEAD!$A$5:$A$604,A619)&gt;0,"En Lookahead",IF(P619="Sí","INCORPORAR",""))</f>
        <v/>
      </c>
    </row>
    <row r="620" customFormat="false" ht="15" hidden="false" customHeight="false" outlineLevel="0" collapsed="false">
      <c r="A620" s="16" t="s">
        <v>3188</v>
      </c>
      <c r="B620" s="16" t="n">
        <v>615</v>
      </c>
      <c r="C620" s="16" t="s">
        <v>3189</v>
      </c>
      <c r="D620" s="16" t="n">
        <v>8</v>
      </c>
      <c r="E620" s="39" t="s">
        <v>1677</v>
      </c>
      <c r="F620" s="16" t="s">
        <v>1285</v>
      </c>
      <c r="G620" s="16" t="s">
        <v>322</v>
      </c>
      <c r="H620" s="16" t="s">
        <v>3012</v>
      </c>
      <c r="I620" s="16" t="s">
        <v>74</v>
      </c>
      <c r="J620" s="16" t="s">
        <v>1752</v>
      </c>
      <c r="K620" s="32" t="n">
        <v>2</v>
      </c>
      <c r="L620" s="33" t="n">
        <v>46246</v>
      </c>
      <c r="M620" s="33" t="n">
        <v>46247</v>
      </c>
      <c r="N620" s="16" t="s">
        <v>3190</v>
      </c>
      <c r="O620" s="16"/>
      <c r="P620" s="16" t="str">
        <f aca="false">IF(AND(L620&lt;=$D$2,M620&gt;=$C$2),"Sí","")</f>
        <v/>
      </c>
      <c r="Q620" s="18" t="str">
        <f aca="false">IF(COUNTIF(LOOKAHEAD!$A$5:$A$604,A620)&gt;0,"En Lookahead",IF(P620="Sí","INCORPORAR",""))</f>
        <v/>
      </c>
    </row>
    <row r="621" customFormat="false" ht="15" hidden="false" customHeight="false" outlineLevel="0" collapsed="false">
      <c r="A621" s="13" t="s">
        <v>3191</v>
      </c>
      <c r="B621" s="13" t="n">
        <v>616</v>
      </c>
      <c r="C621" s="13" t="s">
        <v>3192</v>
      </c>
      <c r="D621" s="13" t="n">
        <v>6</v>
      </c>
      <c r="E621" s="36" t="s">
        <v>1786</v>
      </c>
      <c r="F621" s="13" t="s">
        <v>1298</v>
      </c>
      <c r="G621" s="13" t="s">
        <v>322</v>
      </c>
      <c r="H621" s="13" t="s">
        <v>3012</v>
      </c>
      <c r="I621" s="13" t="s">
        <v>74</v>
      </c>
      <c r="J621" s="13" t="s">
        <v>1623</v>
      </c>
      <c r="K621" s="30" t="n">
        <v>196</v>
      </c>
      <c r="L621" s="31" t="n">
        <v>46089</v>
      </c>
      <c r="M621" s="31" t="n">
        <v>46364</v>
      </c>
      <c r="N621" s="13"/>
      <c r="O621" s="13"/>
      <c r="P621" s="13"/>
      <c r="Q621" s="13"/>
    </row>
    <row r="622" customFormat="false" ht="15" hidden="false" customHeight="false" outlineLevel="0" collapsed="false">
      <c r="A622" s="13" t="s">
        <v>3193</v>
      </c>
      <c r="B622" s="13" t="n">
        <v>617</v>
      </c>
      <c r="C622" s="13" t="s">
        <v>3194</v>
      </c>
      <c r="D622" s="13" t="n">
        <v>7</v>
      </c>
      <c r="E622" s="38" t="s">
        <v>1789</v>
      </c>
      <c r="F622" s="13" t="s">
        <v>1298</v>
      </c>
      <c r="G622" s="13" t="s">
        <v>322</v>
      </c>
      <c r="H622" s="13" t="s">
        <v>3012</v>
      </c>
      <c r="I622" s="13" t="s">
        <v>74</v>
      </c>
      <c r="J622" s="13" t="s">
        <v>1786</v>
      </c>
      <c r="K622" s="30" t="n">
        <v>41</v>
      </c>
      <c r="L622" s="31" t="n">
        <v>46089</v>
      </c>
      <c r="M622" s="31" t="n">
        <v>46129</v>
      </c>
      <c r="N622" s="13"/>
      <c r="O622" s="13"/>
      <c r="P622" s="13"/>
      <c r="Q622" s="13"/>
    </row>
    <row r="623" customFormat="false" ht="15" hidden="false" customHeight="false" outlineLevel="0" collapsed="false">
      <c r="A623" s="16" t="s">
        <v>3195</v>
      </c>
      <c r="B623" s="16" t="n">
        <v>618</v>
      </c>
      <c r="C623" s="16" t="s">
        <v>3196</v>
      </c>
      <c r="D623" s="16" t="n">
        <v>8</v>
      </c>
      <c r="E623" s="39" t="s">
        <v>1792</v>
      </c>
      <c r="F623" s="16" t="s">
        <v>1285</v>
      </c>
      <c r="G623" s="16" t="s">
        <v>322</v>
      </c>
      <c r="H623" s="16" t="s">
        <v>3012</v>
      </c>
      <c r="I623" s="16" t="s">
        <v>74</v>
      </c>
      <c r="J623" s="16" t="s">
        <v>1789</v>
      </c>
      <c r="K623" s="32" t="n">
        <v>1</v>
      </c>
      <c r="L623" s="33" t="n">
        <v>46126</v>
      </c>
      <c r="M623" s="33" t="n">
        <v>46126</v>
      </c>
      <c r="N623" s="16" t="s">
        <v>3197</v>
      </c>
      <c r="O623" s="16"/>
      <c r="P623" s="16" t="str">
        <f aca="false">IF(AND(L623&lt;=$D$2,M623&gt;=$C$2),"Sí","")</f>
        <v/>
      </c>
      <c r="Q623" s="18" t="str">
        <f aca="false">IF(COUNTIF(LOOKAHEAD!$A$5:$A$604,A623)&gt;0,"En Lookahead",IF(P623="Sí","INCORPORAR",""))</f>
        <v/>
      </c>
    </row>
    <row r="624" customFormat="false" ht="15" hidden="false" customHeight="false" outlineLevel="0" collapsed="false">
      <c r="A624" s="16" t="s">
        <v>3198</v>
      </c>
      <c r="B624" s="16" t="n">
        <v>619</v>
      </c>
      <c r="C624" s="16" t="s">
        <v>3199</v>
      </c>
      <c r="D624" s="16" t="n">
        <v>8</v>
      </c>
      <c r="E624" s="39" t="s">
        <v>1796</v>
      </c>
      <c r="F624" s="16" t="s">
        <v>1285</v>
      </c>
      <c r="G624" s="16" t="s">
        <v>322</v>
      </c>
      <c r="H624" s="16" t="s">
        <v>3012</v>
      </c>
      <c r="I624" s="16" t="s">
        <v>74</v>
      </c>
      <c r="J624" s="16" t="s">
        <v>1789</v>
      </c>
      <c r="K624" s="32" t="n">
        <v>22</v>
      </c>
      <c r="L624" s="33" t="n">
        <v>46104</v>
      </c>
      <c r="M624" s="33" t="n">
        <v>46125</v>
      </c>
      <c r="N624" s="16" t="s">
        <v>3200</v>
      </c>
      <c r="O624" s="16"/>
      <c r="P624" s="16" t="str">
        <f aca="false">IF(AND(L624&lt;=$D$2,M624&gt;=$C$2),"Sí","")</f>
        <v/>
      </c>
      <c r="Q624" s="18" t="str">
        <f aca="false">IF(COUNTIF(LOOKAHEAD!$A$5:$A$604,A624)&gt;0,"En Lookahead",IF(P624="Sí","INCORPORAR",""))</f>
        <v/>
      </c>
    </row>
    <row r="625" customFormat="false" ht="15" hidden="false" customHeight="false" outlineLevel="0" collapsed="false">
      <c r="A625" s="16" t="s">
        <v>3201</v>
      </c>
      <c r="B625" s="16" t="n">
        <v>620</v>
      </c>
      <c r="C625" s="16" t="s">
        <v>3202</v>
      </c>
      <c r="D625" s="16" t="n">
        <v>8</v>
      </c>
      <c r="E625" s="39" t="s">
        <v>1800</v>
      </c>
      <c r="F625" s="16" t="s">
        <v>1285</v>
      </c>
      <c r="G625" s="16" t="s">
        <v>322</v>
      </c>
      <c r="H625" s="16" t="s">
        <v>3012</v>
      </c>
      <c r="I625" s="16" t="s">
        <v>74</v>
      </c>
      <c r="J625" s="16" t="s">
        <v>1789</v>
      </c>
      <c r="K625" s="32" t="n">
        <v>15</v>
      </c>
      <c r="L625" s="33" t="n">
        <v>46089</v>
      </c>
      <c r="M625" s="33" t="n">
        <v>46103</v>
      </c>
      <c r="N625" s="16" t="s">
        <v>3203</v>
      </c>
      <c r="O625" s="16"/>
      <c r="P625" s="16" t="str">
        <f aca="false">IF(AND(L625&lt;=$D$2,M625&gt;=$C$2),"Sí","")</f>
        <v/>
      </c>
      <c r="Q625" s="18" t="str">
        <f aca="false">IF(COUNTIF(LOOKAHEAD!$A$5:$A$604,A625)&gt;0,"En Lookahead",IF(P625="Sí","INCORPORAR",""))</f>
        <v/>
      </c>
    </row>
    <row r="626" customFormat="false" ht="15" hidden="false" customHeight="false" outlineLevel="0" collapsed="false">
      <c r="A626" s="16" t="s">
        <v>3204</v>
      </c>
      <c r="B626" s="16" t="n">
        <v>621</v>
      </c>
      <c r="C626" s="16" t="s">
        <v>3205</v>
      </c>
      <c r="D626" s="16" t="n">
        <v>8</v>
      </c>
      <c r="E626" s="39" t="s">
        <v>1602</v>
      </c>
      <c r="F626" s="16" t="s">
        <v>1285</v>
      </c>
      <c r="G626" s="16" t="s">
        <v>322</v>
      </c>
      <c r="H626" s="16" t="s">
        <v>3012</v>
      </c>
      <c r="I626" s="16" t="s">
        <v>74</v>
      </c>
      <c r="J626" s="16" t="s">
        <v>1789</v>
      </c>
      <c r="K626" s="32" t="n">
        <v>3</v>
      </c>
      <c r="L626" s="33" t="n">
        <v>46127</v>
      </c>
      <c r="M626" s="33" t="n">
        <v>46129</v>
      </c>
      <c r="N626" s="16" t="s">
        <v>3206</v>
      </c>
      <c r="O626" s="16"/>
      <c r="P626" s="16" t="str">
        <f aca="false">IF(AND(L626&lt;=$D$2,M626&gt;=$C$2),"Sí","")</f>
        <v/>
      </c>
      <c r="Q626" s="18" t="str">
        <f aca="false">IF(COUNTIF(LOOKAHEAD!$A$5:$A$604,A626)&gt;0,"En Lookahead",IF(P626="Sí","INCORPORAR",""))</f>
        <v/>
      </c>
    </row>
    <row r="627" customFormat="false" ht="15" hidden="false" customHeight="false" outlineLevel="0" collapsed="false">
      <c r="A627" s="13" t="s">
        <v>3207</v>
      </c>
      <c r="B627" s="13" t="n">
        <v>622</v>
      </c>
      <c r="C627" s="13" t="s">
        <v>3208</v>
      </c>
      <c r="D627" s="13" t="n">
        <v>7</v>
      </c>
      <c r="E627" s="38" t="s">
        <v>1806</v>
      </c>
      <c r="F627" s="13" t="s">
        <v>1298</v>
      </c>
      <c r="G627" s="13" t="s">
        <v>322</v>
      </c>
      <c r="H627" s="13" t="s">
        <v>3012</v>
      </c>
      <c r="I627" s="13" t="s">
        <v>74</v>
      </c>
      <c r="J627" s="13" t="s">
        <v>1786</v>
      </c>
      <c r="K627" s="30" t="n">
        <v>43</v>
      </c>
      <c r="L627" s="31" t="n">
        <v>46246</v>
      </c>
      <c r="M627" s="31" t="n">
        <v>46288</v>
      </c>
      <c r="N627" s="13"/>
      <c r="O627" s="13"/>
      <c r="P627" s="13"/>
      <c r="Q627" s="13"/>
    </row>
    <row r="628" customFormat="false" ht="15" hidden="false" customHeight="false" outlineLevel="0" collapsed="false">
      <c r="A628" s="16" t="s">
        <v>3209</v>
      </c>
      <c r="B628" s="16" t="n">
        <v>623</v>
      </c>
      <c r="C628" s="16" t="s">
        <v>3210</v>
      </c>
      <c r="D628" s="16" t="n">
        <v>8</v>
      </c>
      <c r="E628" s="39" t="s">
        <v>1809</v>
      </c>
      <c r="F628" s="16" t="s">
        <v>1285</v>
      </c>
      <c r="G628" s="16" t="s">
        <v>322</v>
      </c>
      <c r="H628" s="16" t="s">
        <v>3012</v>
      </c>
      <c r="I628" s="16" t="s">
        <v>74</v>
      </c>
      <c r="J628" s="16" t="s">
        <v>1806</v>
      </c>
      <c r="K628" s="32" t="n">
        <v>1</v>
      </c>
      <c r="L628" s="33" t="n">
        <v>46285</v>
      </c>
      <c r="M628" s="33" t="n">
        <v>46285</v>
      </c>
      <c r="N628" s="16" t="s">
        <v>3211</v>
      </c>
      <c r="O628" s="16"/>
      <c r="P628" s="16" t="str">
        <f aca="false">IF(AND(L628&lt;=$D$2,M628&gt;=$C$2),"Sí","")</f>
        <v/>
      </c>
      <c r="Q628" s="18" t="str">
        <f aca="false">IF(COUNTIF(LOOKAHEAD!$A$5:$A$604,A628)&gt;0,"En Lookahead",IF(P628="Sí","INCORPORAR",""))</f>
        <v/>
      </c>
    </row>
    <row r="629" customFormat="false" ht="15" hidden="false" customHeight="false" outlineLevel="0" collapsed="false">
      <c r="A629" s="16" t="s">
        <v>3212</v>
      </c>
      <c r="B629" s="16" t="n">
        <v>624</v>
      </c>
      <c r="C629" s="16" t="s">
        <v>3213</v>
      </c>
      <c r="D629" s="16" t="n">
        <v>8</v>
      </c>
      <c r="E629" s="39" t="s">
        <v>1813</v>
      </c>
      <c r="F629" s="16" t="s">
        <v>1285</v>
      </c>
      <c r="G629" s="16" t="s">
        <v>322</v>
      </c>
      <c r="H629" s="16" t="s">
        <v>3012</v>
      </c>
      <c r="I629" s="16" t="s">
        <v>74</v>
      </c>
      <c r="J629" s="16" t="s">
        <v>1806</v>
      </c>
      <c r="K629" s="32" t="n">
        <v>23</v>
      </c>
      <c r="L629" s="33" t="n">
        <v>46262</v>
      </c>
      <c r="M629" s="33" t="n">
        <v>46284</v>
      </c>
      <c r="N629" s="16" t="s">
        <v>3214</v>
      </c>
      <c r="O629" s="16"/>
      <c r="P629" s="16" t="str">
        <f aca="false">IF(AND(L629&lt;=$D$2,M629&gt;=$C$2),"Sí","")</f>
        <v/>
      </c>
      <c r="Q629" s="18" t="str">
        <f aca="false">IF(COUNTIF(LOOKAHEAD!$A$5:$A$604,A629)&gt;0,"En Lookahead",IF(P629="Sí","INCORPORAR",""))</f>
        <v/>
      </c>
    </row>
    <row r="630" customFormat="false" ht="15" hidden="false" customHeight="false" outlineLevel="0" collapsed="false">
      <c r="A630" s="16" t="s">
        <v>3215</v>
      </c>
      <c r="B630" s="16" t="n">
        <v>625</v>
      </c>
      <c r="C630" s="16" t="s">
        <v>3216</v>
      </c>
      <c r="D630" s="16" t="n">
        <v>8</v>
      </c>
      <c r="E630" s="39" t="s">
        <v>1800</v>
      </c>
      <c r="F630" s="16" t="s">
        <v>1285</v>
      </c>
      <c r="G630" s="16" t="s">
        <v>322</v>
      </c>
      <c r="H630" s="16" t="s">
        <v>3012</v>
      </c>
      <c r="I630" s="16" t="s">
        <v>74</v>
      </c>
      <c r="J630" s="16" t="s">
        <v>1806</v>
      </c>
      <c r="K630" s="32" t="n">
        <v>16</v>
      </c>
      <c r="L630" s="33" t="n">
        <v>46246</v>
      </c>
      <c r="M630" s="33" t="n">
        <v>46261</v>
      </c>
      <c r="N630" s="16" t="s">
        <v>3217</v>
      </c>
      <c r="O630" s="16"/>
      <c r="P630" s="16" t="str">
        <f aca="false">IF(AND(L630&lt;=$D$2,M630&gt;=$C$2),"Sí","")</f>
        <v/>
      </c>
      <c r="Q630" s="18" t="str">
        <f aca="false">IF(COUNTIF(LOOKAHEAD!$A$5:$A$604,A630)&gt;0,"En Lookahead",IF(P630="Sí","INCORPORAR",""))</f>
        <v/>
      </c>
    </row>
    <row r="631" customFormat="false" ht="15" hidden="false" customHeight="false" outlineLevel="0" collapsed="false">
      <c r="A631" s="16" t="s">
        <v>3218</v>
      </c>
      <c r="B631" s="16" t="n">
        <v>626</v>
      </c>
      <c r="C631" s="16" t="s">
        <v>3219</v>
      </c>
      <c r="D631" s="16" t="n">
        <v>8</v>
      </c>
      <c r="E631" s="39" t="s">
        <v>1602</v>
      </c>
      <c r="F631" s="16" t="s">
        <v>1285</v>
      </c>
      <c r="G631" s="16" t="s">
        <v>322</v>
      </c>
      <c r="H631" s="16" t="s">
        <v>3012</v>
      </c>
      <c r="I631" s="16" t="s">
        <v>74</v>
      </c>
      <c r="J631" s="16" t="s">
        <v>1806</v>
      </c>
      <c r="K631" s="32" t="n">
        <v>3</v>
      </c>
      <c r="L631" s="33" t="n">
        <v>46286</v>
      </c>
      <c r="M631" s="33" t="n">
        <v>46288</v>
      </c>
      <c r="N631" s="16" t="s">
        <v>3220</v>
      </c>
      <c r="O631" s="16"/>
      <c r="P631" s="16" t="str">
        <f aca="false">IF(AND(L631&lt;=$D$2,M631&gt;=$C$2),"Sí","")</f>
        <v/>
      </c>
      <c r="Q631" s="18" t="str">
        <f aca="false">IF(COUNTIF(LOOKAHEAD!$A$5:$A$604,A631)&gt;0,"En Lookahead",IF(P631="Sí","INCORPORAR",""))</f>
        <v/>
      </c>
    </row>
    <row r="632" customFormat="false" ht="15" hidden="false" customHeight="false" outlineLevel="0" collapsed="false">
      <c r="A632" s="13" t="s">
        <v>3221</v>
      </c>
      <c r="B632" s="13" t="n">
        <v>627</v>
      </c>
      <c r="C632" s="13" t="s">
        <v>3222</v>
      </c>
      <c r="D632" s="13" t="n">
        <v>7</v>
      </c>
      <c r="E632" s="38" t="s">
        <v>1822</v>
      </c>
      <c r="F632" s="13" t="s">
        <v>1298</v>
      </c>
      <c r="G632" s="13" t="s">
        <v>322</v>
      </c>
      <c r="H632" s="13" t="s">
        <v>3012</v>
      </c>
      <c r="I632" s="13" t="s">
        <v>74</v>
      </c>
      <c r="J632" s="13" t="s">
        <v>1786</v>
      </c>
      <c r="K632" s="30" t="n">
        <v>43</v>
      </c>
      <c r="L632" s="31" t="n">
        <v>46322</v>
      </c>
      <c r="M632" s="31" t="n">
        <v>46364</v>
      </c>
      <c r="N632" s="13"/>
      <c r="O632" s="13"/>
      <c r="P632" s="13"/>
      <c r="Q632" s="13"/>
    </row>
    <row r="633" customFormat="false" ht="15" hidden="false" customHeight="false" outlineLevel="0" collapsed="false">
      <c r="A633" s="16" t="s">
        <v>3223</v>
      </c>
      <c r="B633" s="16" t="n">
        <v>628</v>
      </c>
      <c r="C633" s="16" t="s">
        <v>3224</v>
      </c>
      <c r="D633" s="16" t="n">
        <v>8</v>
      </c>
      <c r="E633" s="39" t="s">
        <v>1825</v>
      </c>
      <c r="F633" s="16" t="s">
        <v>1285</v>
      </c>
      <c r="G633" s="16" t="s">
        <v>322</v>
      </c>
      <c r="H633" s="16" t="s">
        <v>3012</v>
      </c>
      <c r="I633" s="16" t="s">
        <v>74</v>
      </c>
      <c r="J633" s="16" t="s">
        <v>1822</v>
      </c>
      <c r="K633" s="32" t="n">
        <v>1</v>
      </c>
      <c r="L633" s="33" t="n">
        <v>46361</v>
      </c>
      <c r="M633" s="33" t="n">
        <v>46361</v>
      </c>
      <c r="N633" s="16" t="s">
        <v>3225</v>
      </c>
      <c r="O633" s="16"/>
      <c r="P633" s="16" t="str">
        <f aca="false">IF(AND(L633&lt;=$D$2,M633&gt;=$C$2),"Sí","")</f>
        <v/>
      </c>
      <c r="Q633" s="18" t="str">
        <f aca="false">IF(COUNTIF(LOOKAHEAD!$A$5:$A$604,A633)&gt;0,"En Lookahead",IF(P633="Sí","INCORPORAR",""))</f>
        <v/>
      </c>
    </row>
    <row r="634" customFormat="false" ht="15" hidden="false" customHeight="false" outlineLevel="0" collapsed="false">
      <c r="A634" s="16" t="s">
        <v>3226</v>
      </c>
      <c r="B634" s="16" t="n">
        <v>629</v>
      </c>
      <c r="C634" s="16" t="s">
        <v>3227</v>
      </c>
      <c r="D634" s="16" t="n">
        <v>8</v>
      </c>
      <c r="E634" s="39" t="s">
        <v>1829</v>
      </c>
      <c r="F634" s="16" t="s">
        <v>1285</v>
      </c>
      <c r="G634" s="16" t="s">
        <v>322</v>
      </c>
      <c r="H634" s="16" t="s">
        <v>3012</v>
      </c>
      <c r="I634" s="16" t="s">
        <v>74</v>
      </c>
      <c r="J634" s="16" t="s">
        <v>1822</v>
      </c>
      <c r="K634" s="32" t="n">
        <v>26</v>
      </c>
      <c r="L634" s="33" t="n">
        <v>46335</v>
      </c>
      <c r="M634" s="33" t="n">
        <v>46360</v>
      </c>
      <c r="N634" s="16" t="s">
        <v>3228</v>
      </c>
      <c r="O634" s="16"/>
      <c r="P634" s="16" t="str">
        <f aca="false">IF(AND(L634&lt;=$D$2,M634&gt;=$C$2),"Sí","")</f>
        <v>Sí</v>
      </c>
      <c r="Q634" s="18" t="str">
        <f aca="false">IF(COUNTIF(LOOKAHEAD!$A$5:$A$604,A634)&gt;0,"En Lookahead",IF(P634="Sí","INCORPORAR",""))</f>
        <v>En Lookahead</v>
      </c>
    </row>
    <row r="635" customFormat="false" ht="15" hidden="false" customHeight="false" outlineLevel="0" collapsed="false">
      <c r="A635" s="16" t="s">
        <v>3229</v>
      </c>
      <c r="B635" s="16" t="n">
        <v>630</v>
      </c>
      <c r="C635" s="16" t="s">
        <v>3230</v>
      </c>
      <c r="D635" s="16" t="n">
        <v>8</v>
      </c>
      <c r="E635" s="39" t="s">
        <v>1800</v>
      </c>
      <c r="F635" s="16" t="s">
        <v>1285</v>
      </c>
      <c r="G635" s="16" t="s">
        <v>322</v>
      </c>
      <c r="H635" s="16" t="s">
        <v>3012</v>
      </c>
      <c r="I635" s="16" t="s">
        <v>74</v>
      </c>
      <c r="J635" s="16" t="s">
        <v>1822</v>
      </c>
      <c r="K635" s="32" t="n">
        <v>13</v>
      </c>
      <c r="L635" s="33" t="n">
        <v>46322</v>
      </c>
      <c r="M635" s="33" t="n">
        <v>46334</v>
      </c>
      <c r="N635" s="16" t="s">
        <v>3160</v>
      </c>
      <c r="O635" s="16"/>
      <c r="P635" s="16" t="str">
        <f aca="false">IF(AND(L635&lt;=$D$2,M635&gt;=$C$2),"Sí","")</f>
        <v>Sí</v>
      </c>
      <c r="Q635" s="18" t="str">
        <f aca="false">IF(COUNTIF(LOOKAHEAD!$A$5:$A$604,A635)&gt;0,"En Lookahead",IF(P635="Sí","INCORPORAR",""))</f>
        <v>En Lookahead</v>
      </c>
    </row>
    <row r="636" customFormat="false" ht="15" hidden="false" customHeight="false" outlineLevel="0" collapsed="false">
      <c r="A636" s="16" t="s">
        <v>3231</v>
      </c>
      <c r="B636" s="16" t="n">
        <v>631</v>
      </c>
      <c r="C636" s="16" t="s">
        <v>3232</v>
      </c>
      <c r="D636" s="16" t="n">
        <v>8</v>
      </c>
      <c r="E636" s="39" t="s">
        <v>1602</v>
      </c>
      <c r="F636" s="16" t="s">
        <v>1285</v>
      </c>
      <c r="G636" s="16" t="s">
        <v>322</v>
      </c>
      <c r="H636" s="16" t="s">
        <v>3012</v>
      </c>
      <c r="I636" s="16" t="s">
        <v>74</v>
      </c>
      <c r="J636" s="16" t="s">
        <v>1822</v>
      </c>
      <c r="K636" s="32" t="n">
        <v>3</v>
      </c>
      <c r="L636" s="33" t="n">
        <v>46362</v>
      </c>
      <c r="M636" s="33" t="n">
        <v>46364</v>
      </c>
      <c r="N636" s="16" t="s">
        <v>3233</v>
      </c>
      <c r="O636" s="16"/>
      <c r="P636" s="16" t="str">
        <f aca="false">IF(AND(L636&lt;=$D$2,M636&gt;=$C$2),"Sí","")</f>
        <v/>
      </c>
      <c r="Q636" s="18" t="str">
        <f aca="false">IF(COUNTIF(LOOKAHEAD!$A$5:$A$604,A636)&gt;0,"En Lookahead",IF(P636="Sí","INCORPORAR",""))</f>
        <v/>
      </c>
    </row>
    <row r="637" customFormat="false" ht="15" hidden="false" customHeight="false" outlineLevel="0" collapsed="false">
      <c r="A637" s="13" t="s">
        <v>3234</v>
      </c>
      <c r="B637" s="13" t="n">
        <v>632</v>
      </c>
      <c r="C637" s="13" t="s">
        <v>3235</v>
      </c>
      <c r="D637" s="13" t="n">
        <v>6</v>
      </c>
      <c r="E637" s="36" t="s">
        <v>1853</v>
      </c>
      <c r="F637" s="13" t="s">
        <v>1298</v>
      </c>
      <c r="G637" s="13" t="s">
        <v>322</v>
      </c>
      <c r="H637" s="13" t="s">
        <v>3012</v>
      </c>
      <c r="I637" s="13" t="s">
        <v>74</v>
      </c>
      <c r="J637" s="13" t="s">
        <v>1623</v>
      </c>
      <c r="K637" s="30" t="n">
        <v>188</v>
      </c>
      <c r="L637" s="31" t="n">
        <v>46089</v>
      </c>
      <c r="M637" s="31" t="n">
        <v>46356</v>
      </c>
      <c r="N637" s="13"/>
      <c r="O637" s="13"/>
      <c r="P637" s="13"/>
      <c r="Q637" s="13"/>
    </row>
    <row r="638" customFormat="false" ht="15" hidden="false" customHeight="false" outlineLevel="0" collapsed="false">
      <c r="A638" s="13" t="s">
        <v>3236</v>
      </c>
      <c r="B638" s="13" t="n">
        <v>633</v>
      </c>
      <c r="C638" s="13" t="s">
        <v>3237</v>
      </c>
      <c r="D638" s="13" t="n">
        <v>7</v>
      </c>
      <c r="E638" s="38" t="s">
        <v>1856</v>
      </c>
      <c r="F638" s="13" t="s">
        <v>1298</v>
      </c>
      <c r="G638" s="13" t="s">
        <v>322</v>
      </c>
      <c r="H638" s="13" t="s">
        <v>3012</v>
      </c>
      <c r="I638" s="13" t="s">
        <v>74</v>
      </c>
      <c r="J638" s="13" t="s">
        <v>1853</v>
      </c>
      <c r="K638" s="30" t="n">
        <v>43</v>
      </c>
      <c r="L638" s="31" t="n">
        <v>46089</v>
      </c>
      <c r="M638" s="31" t="n">
        <v>46131</v>
      </c>
      <c r="N638" s="13"/>
      <c r="O638" s="13"/>
      <c r="P638" s="13"/>
      <c r="Q638" s="13"/>
    </row>
    <row r="639" customFormat="false" ht="15" hidden="false" customHeight="false" outlineLevel="0" collapsed="false">
      <c r="A639" s="16" t="s">
        <v>3238</v>
      </c>
      <c r="B639" s="16" t="n">
        <v>634</v>
      </c>
      <c r="C639" s="16" t="s">
        <v>3239</v>
      </c>
      <c r="D639" s="16" t="n">
        <v>8</v>
      </c>
      <c r="E639" s="39" t="s">
        <v>1859</v>
      </c>
      <c r="F639" s="16" t="s">
        <v>1285</v>
      </c>
      <c r="G639" s="16" t="s">
        <v>322</v>
      </c>
      <c r="H639" s="16" t="s">
        <v>3012</v>
      </c>
      <c r="I639" s="16" t="s">
        <v>74</v>
      </c>
      <c r="J639" s="16" t="s">
        <v>1856</v>
      </c>
      <c r="K639" s="32" t="n">
        <v>1</v>
      </c>
      <c r="L639" s="33" t="n">
        <v>46127</v>
      </c>
      <c r="M639" s="33" t="n">
        <v>46127</v>
      </c>
      <c r="N639" s="16" t="s">
        <v>3240</v>
      </c>
      <c r="O639" s="16"/>
      <c r="P639" s="16" t="str">
        <f aca="false">IF(AND(L639&lt;=$D$2,M639&gt;=$C$2),"Sí","")</f>
        <v/>
      </c>
      <c r="Q639" s="18" t="str">
        <f aca="false">IF(COUNTIF(LOOKAHEAD!$A$5:$A$604,A639)&gt;0,"En Lookahead",IF(P639="Sí","INCORPORAR",""))</f>
        <v/>
      </c>
    </row>
    <row r="640" customFormat="false" ht="15" hidden="false" customHeight="false" outlineLevel="0" collapsed="false">
      <c r="A640" s="16" t="s">
        <v>3241</v>
      </c>
      <c r="B640" s="16" t="n">
        <v>635</v>
      </c>
      <c r="C640" s="16" t="s">
        <v>3242</v>
      </c>
      <c r="D640" s="16" t="n">
        <v>8</v>
      </c>
      <c r="E640" s="39" t="s">
        <v>1863</v>
      </c>
      <c r="F640" s="16" t="s">
        <v>1285</v>
      </c>
      <c r="G640" s="16" t="s">
        <v>322</v>
      </c>
      <c r="H640" s="16" t="s">
        <v>3012</v>
      </c>
      <c r="I640" s="16" t="s">
        <v>74</v>
      </c>
      <c r="J640" s="16" t="s">
        <v>1856</v>
      </c>
      <c r="K640" s="32" t="n">
        <v>21</v>
      </c>
      <c r="L640" s="33" t="n">
        <v>46089</v>
      </c>
      <c r="M640" s="33" t="n">
        <v>46109</v>
      </c>
      <c r="N640" s="16" t="s">
        <v>3243</v>
      </c>
      <c r="O640" s="16"/>
      <c r="P640" s="16" t="str">
        <f aca="false">IF(AND(L640&lt;=$D$2,M640&gt;=$C$2),"Sí","")</f>
        <v/>
      </c>
      <c r="Q640" s="18" t="str">
        <f aca="false">IF(COUNTIF(LOOKAHEAD!$A$5:$A$604,A640)&gt;0,"En Lookahead",IF(P640="Sí","INCORPORAR",""))</f>
        <v/>
      </c>
    </row>
    <row r="641" customFormat="false" ht="15" hidden="false" customHeight="false" outlineLevel="0" collapsed="false">
      <c r="A641" s="16" t="s">
        <v>3244</v>
      </c>
      <c r="B641" s="16" t="n">
        <v>636</v>
      </c>
      <c r="C641" s="16" t="s">
        <v>3245</v>
      </c>
      <c r="D641" s="16" t="n">
        <v>8</v>
      </c>
      <c r="E641" s="39" t="s">
        <v>1867</v>
      </c>
      <c r="F641" s="16" t="s">
        <v>1285</v>
      </c>
      <c r="G641" s="16" t="s">
        <v>322</v>
      </c>
      <c r="H641" s="16" t="s">
        <v>3012</v>
      </c>
      <c r="I641" s="16" t="s">
        <v>74</v>
      </c>
      <c r="J641" s="16" t="s">
        <v>1856</v>
      </c>
      <c r="K641" s="32" t="n">
        <v>15</v>
      </c>
      <c r="L641" s="33" t="n">
        <v>46112</v>
      </c>
      <c r="M641" s="33" t="n">
        <v>46126</v>
      </c>
      <c r="N641" s="16" t="s">
        <v>3246</v>
      </c>
      <c r="O641" s="16"/>
      <c r="P641" s="16" t="str">
        <f aca="false">IF(AND(L641&lt;=$D$2,M641&gt;=$C$2),"Sí","")</f>
        <v/>
      </c>
      <c r="Q641" s="18" t="str">
        <f aca="false">IF(COUNTIF(LOOKAHEAD!$A$5:$A$604,A641)&gt;0,"En Lookahead",IF(P641="Sí","INCORPORAR",""))</f>
        <v/>
      </c>
    </row>
    <row r="642" customFormat="false" ht="15" hidden="false" customHeight="false" outlineLevel="0" collapsed="false">
      <c r="A642" s="16" t="s">
        <v>3247</v>
      </c>
      <c r="B642" s="16" t="n">
        <v>637</v>
      </c>
      <c r="C642" s="16" t="s">
        <v>3248</v>
      </c>
      <c r="D642" s="16" t="n">
        <v>8</v>
      </c>
      <c r="E642" s="39" t="s">
        <v>3249</v>
      </c>
      <c r="F642" s="16" t="s">
        <v>1285</v>
      </c>
      <c r="G642" s="16" t="s">
        <v>322</v>
      </c>
      <c r="H642" s="16" t="s">
        <v>3012</v>
      </c>
      <c r="I642" s="16" t="s">
        <v>74</v>
      </c>
      <c r="J642" s="16" t="s">
        <v>1856</v>
      </c>
      <c r="K642" s="32" t="n">
        <v>2</v>
      </c>
      <c r="L642" s="33" t="n">
        <v>46110</v>
      </c>
      <c r="M642" s="33" t="n">
        <v>46111</v>
      </c>
      <c r="N642" s="16" t="s">
        <v>3250</v>
      </c>
      <c r="O642" s="16"/>
      <c r="P642" s="16" t="str">
        <f aca="false">IF(AND(L642&lt;=$D$2,M642&gt;=$C$2),"Sí","")</f>
        <v/>
      </c>
      <c r="Q642" s="18" t="str">
        <f aca="false">IF(COUNTIF(LOOKAHEAD!$A$5:$A$604,A642)&gt;0,"En Lookahead",IF(P642="Sí","INCORPORAR",""))</f>
        <v/>
      </c>
    </row>
    <row r="643" customFormat="false" ht="15" hidden="false" customHeight="false" outlineLevel="0" collapsed="false">
      <c r="A643" s="16" t="s">
        <v>3251</v>
      </c>
      <c r="B643" s="16" t="n">
        <v>638</v>
      </c>
      <c r="C643" s="16" t="s">
        <v>3252</v>
      </c>
      <c r="D643" s="16" t="n">
        <v>8</v>
      </c>
      <c r="E643" s="39" t="s">
        <v>1602</v>
      </c>
      <c r="F643" s="16" t="s">
        <v>1285</v>
      </c>
      <c r="G643" s="16" t="s">
        <v>322</v>
      </c>
      <c r="H643" s="16" t="s">
        <v>3012</v>
      </c>
      <c r="I643" s="16" t="s">
        <v>74</v>
      </c>
      <c r="J643" s="16" t="s">
        <v>1856</v>
      </c>
      <c r="K643" s="32" t="n">
        <v>4</v>
      </c>
      <c r="L643" s="33" t="n">
        <v>46128</v>
      </c>
      <c r="M643" s="33" t="n">
        <v>46131</v>
      </c>
      <c r="N643" s="16" t="s">
        <v>3253</v>
      </c>
      <c r="O643" s="16"/>
      <c r="P643" s="16" t="str">
        <f aca="false">IF(AND(L643&lt;=$D$2,M643&gt;=$C$2),"Sí","")</f>
        <v/>
      </c>
      <c r="Q643" s="18" t="str">
        <f aca="false">IF(COUNTIF(LOOKAHEAD!$A$5:$A$604,A643)&gt;0,"En Lookahead",IF(P643="Sí","INCORPORAR",""))</f>
        <v/>
      </c>
    </row>
    <row r="644" customFormat="false" ht="15" hidden="false" customHeight="false" outlineLevel="0" collapsed="false">
      <c r="A644" s="13" t="s">
        <v>3254</v>
      </c>
      <c r="B644" s="13" t="n">
        <v>639</v>
      </c>
      <c r="C644" s="13" t="s">
        <v>3255</v>
      </c>
      <c r="D644" s="13" t="n">
        <v>7</v>
      </c>
      <c r="E644" s="38" t="s">
        <v>1878</v>
      </c>
      <c r="F644" s="13" t="s">
        <v>1298</v>
      </c>
      <c r="G644" s="13" t="s">
        <v>322</v>
      </c>
      <c r="H644" s="13" t="s">
        <v>3012</v>
      </c>
      <c r="I644" s="13" t="s">
        <v>74</v>
      </c>
      <c r="J644" s="13" t="s">
        <v>1853</v>
      </c>
      <c r="K644" s="30" t="n">
        <v>59</v>
      </c>
      <c r="L644" s="31" t="n">
        <v>46246</v>
      </c>
      <c r="M644" s="31" t="n">
        <v>46304</v>
      </c>
      <c r="N644" s="13"/>
      <c r="O644" s="13"/>
      <c r="P644" s="13"/>
      <c r="Q644" s="13"/>
    </row>
    <row r="645" customFormat="false" ht="15" hidden="false" customHeight="false" outlineLevel="0" collapsed="false">
      <c r="A645" s="16" t="s">
        <v>3256</v>
      </c>
      <c r="B645" s="16" t="n">
        <v>640</v>
      </c>
      <c r="C645" s="16" t="s">
        <v>3257</v>
      </c>
      <c r="D645" s="16" t="n">
        <v>8</v>
      </c>
      <c r="E645" s="39" t="s">
        <v>1881</v>
      </c>
      <c r="F645" s="16" t="s">
        <v>1285</v>
      </c>
      <c r="G645" s="16" t="s">
        <v>322</v>
      </c>
      <c r="H645" s="16" t="s">
        <v>3012</v>
      </c>
      <c r="I645" s="16" t="s">
        <v>74</v>
      </c>
      <c r="J645" s="16" t="s">
        <v>1878</v>
      </c>
      <c r="K645" s="32" t="n">
        <v>1</v>
      </c>
      <c r="L645" s="33" t="n">
        <v>46300</v>
      </c>
      <c r="M645" s="33" t="n">
        <v>46300</v>
      </c>
      <c r="N645" s="16" t="s">
        <v>3258</v>
      </c>
      <c r="O645" s="16"/>
      <c r="P645" s="16" t="str">
        <f aca="false">IF(AND(L645&lt;=$D$2,M645&gt;=$C$2),"Sí","")</f>
        <v>Sí</v>
      </c>
      <c r="Q645" s="18" t="str">
        <f aca="false">IF(COUNTIF(LOOKAHEAD!$A$5:$A$604,A645)&gt;0,"En Lookahead",IF(P645="Sí","INCORPORAR",""))</f>
        <v>En Lookahead</v>
      </c>
    </row>
    <row r="646" customFormat="false" ht="15" hidden="false" customHeight="false" outlineLevel="0" collapsed="false">
      <c r="A646" s="16" t="s">
        <v>3259</v>
      </c>
      <c r="B646" s="16" t="n">
        <v>641</v>
      </c>
      <c r="C646" s="16" t="s">
        <v>3260</v>
      </c>
      <c r="D646" s="16" t="n">
        <v>8</v>
      </c>
      <c r="E646" s="39" t="s">
        <v>1885</v>
      </c>
      <c r="F646" s="16" t="s">
        <v>1285</v>
      </c>
      <c r="G646" s="16" t="s">
        <v>322</v>
      </c>
      <c r="H646" s="16" t="s">
        <v>3012</v>
      </c>
      <c r="I646" s="16" t="s">
        <v>74</v>
      </c>
      <c r="J646" s="16" t="s">
        <v>1878</v>
      </c>
      <c r="K646" s="32" t="n">
        <v>34</v>
      </c>
      <c r="L646" s="33" t="n">
        <v>46246</v>
      </c>
      <c r="M646" s="33" t="n">
        <v>46279</v>
      </c>
      <c r="N646" s="16" t="s">
        <v>3261</v>
      </c>
      <c r="O646" s="16"/>
      <c r="P646" s="16" t="str">
        <f aca="false">IF(AND(L646&lt;=$D$2,M646&gt;=$C$2),"Sí","")</f>
        <v/>
      </c>
      <c r="Q646" s="18" t="str">
        <f aca="false">IF(COUNTIF(LOOKAHEAD!$A$5:$A$604,A646)&gt;0,"En Lookahead",IF(P646="Sí","INCORPORAR",""))</f>
        <v/>
      </c>
    </row>
    <row r="647" customFormat="false" ht="15" hidden="false" customHeight="false" outlineLevel="0" collapsed="false">
      <c r="A647" s="16" t="s">
        <v>3262</v>
      </c>
      <c r="B647" s="16" t="n">
        <v>642</v>
      </c>
      <c r="C647" s="16" t="s">
        <v>3263</v>
      </c>
      <c r="D647" s="16" t="n">
        <v>8</v>
      </c>
      <c r="E647" s="39" t="s">
        <v>1867</v>
      </c>
      <c r="F647" s="16" t="s">
        <v>1285</v>
      </c>
      <c r="G647" s="16" t="s">
        <v>322</v>
      </c>
      <c r="H647" s="16" t="s">
        <v>3012</v>
      </c>
      <c r="I647" s="16" t="s">
        <v>74</v>
      </c>
      <c r="J647" s="16" t="s">
        <v>1878</v>
      </c>
      <c r="K647" s="32" t="n">
        <v>18</v>
      </c>
      <c r="L647" s="33" t="n">
        <v>46282</v>
      </c>
      <c r="M647" s="33" t="n">
        <v>46299</v>
      </c>
      <c r="N647" s="16" t="s">
        <v>3264</v>
      </c>
      <c r="O647" s="16"/>
      <c r="P647" s="16" t="str">
        <f aca="false">IF(AND(L647&lt;=$D$2,M647&gt;=$C$2),"Sí","")</f>
        <v/>
      </c>
      <c r="Q647" s="18" t="str">
        <f aca="false">IF(COUNTIF(LOOKAHEAD!$A$5:$A$604,A647)&gt;0,"En Lookahead",IF(P647="Sí","INCORPORAR",""))</f>
        <v/>
      </c>
    </row>
    <row r="648" customFormat="false" ht="15" hidden="false" customHeight="false" outlineLevel="0" collapsed="false">
      <c r="A648" s="16" t="s">
        <v>3265</v>
      </c>
      <c r="B648" s="16" t="n">
        <v>643</v>
      </c>
      <c r="C648" s="16" t="s">
        <v>3266</v>
      </c>
      <c r="D648" s="16" t="n">
        <v>8</v>
      </c>
      <c r="E648" s="39" t="s">
        <v>3267</v>
      </c>
      <c r="F648" s="16" t="s">
        <v>1285</v>
      </c>
      <c r="G648" s="16" t="s">
        <v>322</v>
      </c>
      <c r="H648" s="16" t="s">
        <v>3012</v>
      </c>
      <c r="I648" s="16" t="s">
        <v>74</v>
      </c>
      <c r="J648" s="16" t="s">
        <v>1878</v>
      </c>
      <c r="K648" s="32" t="n">
        <v>2</v>
      </c>
      <c r="L648" s="33" t="n">
        <v>46280</v>
      </c>
      <c r="M648" s="33" t="n">
        <v>46281</v>
      </c>
      <c r="N648" s="16" t="s">
        <v>3268</v>
      </c>
      <c r="O648" s="16"/>
      <c r="P648" s="16" t="str">
        <f aca="false">IF(AND(L648&lt;=$D$2,M648&gt;=$C$2),"Sí","")</f>
        <v/>
      </c>
      <c r="Q648" s="18" t="str">
        <f aca="false">IF(COUNTIF(LOOKAHEAD!$A$5:$A$604,A648)&gt;0,"En Lookahead",IF(P648="Sí","INCORPORAR",""))</f>
        <v/>
      </c>
    </row>
    <row r="649" customFormat="false" ht="15" hidden="false" customHeight="false" outlineLevel="0" collapsed="false">
      <c r="A649" s="16" t="s">
        <v>3269</v>
      </c>
      <c r="B649" s="16" t="n">
        <v>644</v>
      </c>
      <c r="C649" s="16" t="s">
        <v>3270</v>
      </c>
      <c r="D649" s="16" t="n">
        <v>8</v>
      </c>
      <c r="E649" s="39" t="s">
        <v>1602</v>
      </c>
      <c r="F649" s="16" t="s">
        <v>1285</v>
      </c>
      <c r="G649" s="16" t="s">
        <v>322</v>
      </c>
      <c r="H649" s="16" t="s">
        <v>3012</v>
      </c>
      <c r="I649" s="16" t="s">
        <v>74</v>
      </c>
      <c r="J649" s="16" t="s">
        <v>1878</v>
      </c>
      <c r="K649" s="32" t="n">
        <v>4</v>
      </c>
      <c r="L649" s="33" t="n">
        <v>46301</v>
      </c>
      <c r="M649" s="33" t="n">
        <v>46304</v>
      </c>
      <c r="N649" s="16" t="s">
        <v>3271</v>
      </c>
      <c r="O649" s="16"/>
      <c r="P649" s="16" t="str">
        <f aca="false">IF(AND(L649&lt;=$D$2,M649&gt;=$C$2),"Sí","")</f>
        <v>Sí</v>
      </c>
      <c r="Q649" s="18" t="str">
        <f aca="false">IF(COUNTIF(LOOKAHEAD!$A$5:$A$604,A649)&gt;0,"En Lookahead",IF(P649="Sí","INCORPORAR",""))</f>
        <v>En Lookahead</v>
      </c>
    </row>
    <row r="650" customFormat="false" ht="15" hidden="false" customHeight="false" outlineLevel="0" collapsed="false">
      <c r="A650" s="13" t="s">
        <v>3272</v>
      </c>
      <c r="B650" s="13" t="n">
        <v>645</v>
      </c>
      <c r="C650" s="13" t="s">
        <v>3273</v>
      </c>
      <c r="D650" s="13" t="n">
        <v>7</v>
      </c>
      <c r="E650" s="38" t="s">
        <v>1899</v>
      </c>
      <c r="F650" s="13" t="s">
        <v>1298</v>
      </c>
      <c r="G650" s="13" t="s">
        <v>322</v>
      </c>
      <c r="H650" s="13" t="s">
        <v>3012</v>
      </c>
      <c r="I650" s="13" t="s">
        <v>74</v>
      </c>
      <c r="J650" s="13" t="s">
        <v>1853</v>
      </c>
      <c r="K650" s="30" t="n">
        <v>35</v>
      </c>
      <c r="L650" s="31" t="n">
        <v>46322</v>
      </c>
      <c r="M650" s="31" t="n">
        <v>46356</v>
      </c>
      <c r="N650" s="13"/>
      <c r="O650" s="13"/>
      <c r="P650" s="13"/>
      <c r="Q650" s="13"/>
    </row>
    <row r="651" customFormat="false" ht="15" hidden="false" customHeight="false" outlineLevel="0" collapsed="false">
      <c r="A651" s="16" t="s">
        <v>3274</v>
      </c>
      <c r="B651" s="16" t="n">
        <v>646</v>
      </c>
      <c r="C651" s="16" t="s">
        <v>3275</v>
      </c>
      <c r="D651" s="16" t="n">
        <v>8</v>
      </c>
      <c r="E651" s="39" t="s">
        <v>1902</v>
      </c>
      <c r="F651" s="16" t="s">
        <v>1285</v>
      </c>
      <c r="G651" s="16" t="s">
        <v>322</v>
      </c>
      <c r="H651" s="16" t="s">
        <v>3012</v>
      </c>
      <c r="I651" s="16" t="s">
        <v>74</v>
      </c>
      <c r="J651" s="16" t="s">
        <v>1899</v>
      </c>
      <c r="K651" s="32" t="n">
        <v>1</v>
      </c>
      <c r="L651" s="33" t="n">
        <v>46353</v>
      </c>
      <c r="M651" s="33" t="n">
        <v>46353</v>
      </c>
      <c r="N651" s="16" t="s">
        <v>3276</v>
      </c>
      <c r="O651" s="16"/>
      <c r="P651" s="16" t="str">
        <f aca="false">IF(AND(L651&lt;=$D$2,M651&gt;=$C$2),"Sí","")</f>
        <v/>
      </c>
      <c r="Q651" s="18" t="str">
        <f aca="false">IF(COUNTIF(LOOKAHEAD!$A$5:$A$604,A651)&gt;0,"En Lookahead",IF(P651="Sí","INCORPORAR",""))</f>
        <v/>
      </c>
    </row>
    <row r="652" customFormat="false" ht="15" hidden="false" customHeight="false" outlineLevel="0" collapsed="false">
      <c r="A652" s="16" t="s">
        <v>3277</v>
      </c>
      <c r="B652" s="16" t="n">
        <v>647</v>
      </c>
      <c r="C652" s="16" t="s">
        <v>3278</v>
      </c>
      <c r="D652" s="16" t="n">
        <v>8</v>
      </c>
      <c r="E652" s="39" t="s">
        <v>1906</v>
      </c>
      <c r="F652" s="16" t="s">
        <v>1285</v>
      </c>
      <c r="G652" s="16" t="s">
        <v>322</v>
      </c>
      <c r="H652" s="16" t="s">
        <v>3012</v>
      </c>
      <c r="I652" s="16" t="s">
        <v>74</v>
      </c>
      <c r="J652" s="16" t="s">
        <v>1899</v>
      </c>
      <c r="K652" s="32" t="n">
        <v>24</v>
      </c>
      <c r="L652" s="33" t="n">
        <v>46322</v>
      </c>
      <c r="M652" s="33" t="n">
        <v>46345</v>
      </c>
      <c r="N652" s="16" t="s">
        <v>3279</v>
      </c>
      <c r="O652" s="16"/>
      <c r="P652" s="16" t="str">
        <f aca="false">IF(AND(L652&lt;=$D$2,M652&gt;=$C$2),"Sí","")</f>
        <v>Sí</v>
      </c>
      <c r="Q652" s="18" t="str">
        <f aca="false">IF(COUNTIF(LOOKAHEAD!$A$5:$A$604,A652)&gt;0,"En Lookahead",IF(P652="Sí","INCORPORAR",""))</f>
        <v>En Lookahead</v>
      </c>
    </row>
    <row r="653" customFormat="false" ht="15" hidden="false" customHeight="false" outlineLevel="0" collapsed="false">
      <c r="A653" s="16" t="s">
        <v>3280</v>
      </c>
      <c r="B653" s="16" t="n">
        <v>648</v>
      </c>
      <c r="C653" s="16" t="s">
        <v>3281</v>
      </c>
      <c r="D653" s="16" t="n">
        <v>8</v>
      </c>
      <c r="E653" s="39" t="s">
        <v>1867</v>
      </c>
      <c r="F653" s="16" t="s">
        <v>1285</v>
      </c>
      <c r="G653" s="16" t="s">
        <v>322</v>
      </c>
      <c r="H653" s="16" t="s">
        <v>3012</v>
      </c>
      <c r="I653" s="16" t="s">
        <v>74</v>
      </c>
      <c r="J653" s="16" t="s">
        <v>1899</v>
      </c>
      <c r="K653" s="32" t="n">
        <v>5</v>
      </c>
      <c r="L653" s="33" t="n">
        <v>46348</v>
      </c>
      <c r="M653" s="33" t="n">
        <v>46352</v>
      </c>
      <c r="N653" s="16" t="s">
        <v>3282</v>
      </c>
      <c r="O653" s="16"/>
      <c r="P653" s="16" t="str">
        <f aca="false">IF(AND(L653&lt;=$D$2,M653&gt;=$C$2),"Sí","")</f>
        <v/>
      </c>
      <c r="Q653" s="18" t="str">
        <f aca="false">IF(COUNTIF(LOOKAHEAD!$A$5:$A$604,A653)&gt;0,"En Lookahead",IF(P653="Sí","INCORPORAR",""))</f>
        <v/>
      </c>
    </row>
    <row r="654" customFormat="false" ht="15" hidden="false" customHeight="false" outlineLevel="0" collapsed="false">
      <c r="A654" s="16" t="s">
        <v>3283</v>
      </c>
      <c r="B654" s="16" t="n">
        <v>649</v>
      </c>
      <c r="C654" s="16" t="s">
        <v>3284</v>
      </c>
      <c r="D654" s="16" t="n">
        <v>8</v>
      </c>
      <c r="E654" s="39" t="s">
        <v>3285</v>
      </c>
      <c r="F654" s="16" t="s">
        <v>1285</v>
      </c>
      <c r="G654" s="16" t="s">
        <v>322</v>
      </c>
      <c r="H654" s="16" t="s">
        <v>3012</v>
      </c>
      <c r="I654" s="16" t="s">
        <v>74</v>
      </c>
      <c r="J654" s="16" t="s">
        <v>1899</v>
      </c>
      <c r="K654" s="32" t="n">
        <v>2</v>
      </c>
      <c r="L654" s="33" t="n">
        <v>46346</v>
      </c>
      <c r="M654" s="33" t="n">
        <v>46347</v>
      </c>
      <c r="N654" s="16" t="s">
        <v>3286</v>
      </c>
      <c r="O654" s="16"/>
      <c r="P654" s="16" t="str">
        <f aca="false">IF(AND(L654&lt;=$D$2,M654&gt;=$C$2),"Sí","")</f>
        <v/>
      </c>
      <c r="Q654" s="18" t="str">
        <f aca="false">IF(COUNTIF(LOOKAHEAD!$A$5:$A$604,A654)&gt;0,"En Lookahead",IF(P654="Sí","INCORPORAR",""))</f>
        <v/>
      </c>
    </row>
    <row r="655" customFormat="false" ht="15" hidden="false" customHeight="false" outlineLevel="0" collapsed="false">
      <c r="A655" s="16" t="s">
        <v>3287</v>
      </c>
      <c r="B655" s="16" t="n">
        <v>650</v>
      </c>
      <c r="C655" s="16" t="s">
        <v>3288</v>
      </c>
      <c r="D655" s="16" t="n">
        <v>8</v>
      </c>
      <c r="E655" s="39" t="s">
        <v>1602</v>
      </c>
      <c r="F655" s="16" t="s">
        <v>1285</v>
      </c>
      <c r="G655" s="16" t="s">
        <v>322</v>
      </c>
      <c r="H655" s="16" t="s">
        <v>3012</v>
      </c>
      <c r="I655" s="16" t="s">
        <v>74</v>
      </c>
      <c r="J655" s="16" t="s">
        <v>1899</v>
      </c>
      <c r="K655" s="32" t="n">
        <v>3</v>
      </c>
      <c r="L655" s="33" t="n">
        <v>46354</v>
      </c>
      <c r="M655" s="33" t="n">
        <v>46356</v>
      </c>
      <c r="N655" s="16" t="s">
        <v>3289</v>
      </c>
      <c r="O655" s="16"/>
      <c r="P655" s="16" t="str">
        <f aca="false">IF(AND(L655&lt;=$D$2,M655&gt;=$C$2),"Sí","")</f>
        <v/>
      </c>
      <c r="Q655" s="18" t="str">
        <f aca="false">IF(COUNTIF(LOOKAHEAD!$A$5:$A$604,A655)&gt;0,"En Lookahead",IF(P655="Sí","INCORPORAR",""))</f>
        <v/>
      </c>
    </row>
    <row r="656" customFormat="false" ht="15" hidden="false" customHeight="false" outlineLevel="0" collapsed="false">
      <c r="A656" s="13" t="s">
        <v>3290</v>
      </c>
      <c r="B656" s="13" t="n">
        <v>651</v>
      </c>
      <c r="C656" s="13" t="s">
        <v>3291</v>
      </c>
      <c r="D656" s="13" t="n">
        <v>6</v>
      </c>
      <c r="E656" s="36" t="s">
        <v>1985</v>
      </c>
      <c r="F656" s="13" t="s">
        <v>1298</v>
      </c>
      <c r="G656" s="13" t="s">
        <v>322</v>
      </c>
      <c r="H656" s="13" t="s">
        <v>3012</v>
      </c>
      <c r="I656" s="13" t="s">
        <v>74</v>
      </c>
      <c r="J656" s="13" t="s">
        <v>1623</v>
      </c>
      <c r="K656" s="30" t="n">
        <v>9</v>
      </c>
      <c r="L656" s="31" t="n">
        <v>46248</v>
      </c>
      <c r="M656" s="31" t="n">
        <v>46256</v>
      </c>
      <c r="N656" s="13"/>
      <c r="O656" s="13"/>
      <c r="P656" s="13"/>
      <c r="Q656" s="13"/>
    </row>
    <row r="657" customFormat="false" ht="15" hidden="false" customHeight="false" outlineLevel="0" collapsed="false">
      <c r="A657" s="13" t="s">
        <v>3292</v>
      </c>
      <c r="B657" s="13" t="n">
        <v>652</v>
      </c>
      <c r="C657" s="13" t="s">
        <v>3293</v>
      </c>
      <c r="D657" s="13" t="n">
        <v>7</v>
      </c>
      <c r="E657" s="38" t="s">
        <v>1988</v>
      </c>
      <c r="F657" s="13" t="s">
        <v>1298</v>
      </c>
      <c r="G657" s="13" t="s">
        <v>322</v>
      </c>
      <c r="H657" s="13" t="s">
        <v>3012</v>
      </c>
      <c r="I657" s="13" t="s">
        <v>74</v>
      </c>
      <c r="J657" s="13" t="s">
        <v>1985</v>
      </c>
      <c r="K657" s="30" t="n">
        <v>6</v>
      </c>
      <c r="L657" s="31" t="n">
        <v>46248</v>
      </c>
      <c r="M657" s="31" t="n">
        <v>46253</v>
      </c>
      <c r="N657" s="13"/>
      <c r="O657" s="13"/>
      <c r="P657" s="13"/>
      <c r="Q657" s="13"/>
    </row>
    <row r="658" customFormat="false" ht="15" hidden="false" customHeight="false" outlineLevel="0" collapsed="false">
      <c r="A658" s="16" t="s">
        <v>3294</v>
      </c>
      <c r="B658" s="16" t="n">
        <v>653</v>
      </c>
      <c r="C658" s="16" t="s">
        <v>3295</v>
      </c>
      <c r="D658" s="16" t="n">
        <v>8</v>
      </c>
      <c r="E658" s="39" t="s">
        <v>1991</v>
      </c>
      <c r="F658" s="16" t="s">
        <v>1285</v>
      </c>
      <c r="G658" s="16" t="s">
        <v>322</v>
      </c>
      <c r="H658" s="16" t="s">
        <v>3012</v>
      </c>
      <c r="I658" s="16" t="s">
        <v>74</v>
      </c>
      <c r="J658" s="16" t="s">
        <v>1988</v>
      </c>
      <c r="K658" s="32" t="n">
        <v>1</v>
      </c>
      <c r="L658" s="33" t="n">
        <v>46252</v>
      </c>
      <c r="M658" s="33" t="n">
        <v>46252</v>
      </c>
      <c r="N658" s="16" t="s">
        <v>3296</v>
      </c>
      <c r="O658" s="16"/>
      <c r="P658" s="16" t="str">
        <f aca="false">IF(AND(L658&lt;=$D$2,M658&gt;=$C$2),"Sí","")</f>
        <v/>
      </c>
      <c r="Q658" s="18" t="str">
        <f aca="false">IF(COUNTIF(LOOKAHEAD!$A$5:$A$604,A658)&gt;0,"En Lookahead",IF(P658="Sí","INCORPORAR",""))</f>
        <v/>
      </c>
    </row>
    <row r="659" customFormat="false" ht="15" hidden="false" customHeight="false" outlineLevel="0" collapsed="false">
      <c r="A659" s="16" t="s">
        <v>3297</v>
      </c>
      <c r="B659" s="16" t="n">
        <v>654</v>
      </c>
      <c r="C659" s="16" t="s">
        <v>3298</v>
      </c>
      <c r="D659" s="16" t="n">
        <v>8</v>
      </c>
      <c r="E659" s="39" t="s">
        <v>1995</v>
      </c>
      <c r="F659" s="16" t="s">
        <v>1285</v>
      </c>
      <c r="G659" s="16" t="s">
        <v>322</v>
      </c>
      <c r="H659" s="16" t="s">
        <v>3012</v>
      </c>
      <c r="I659" s="16" t="s">
        <v>74</v>
      </c>
      <c r="J659" s="16" t="s">
        <v>1988</v>
      </c>
      <c r="K659" s="32" t="n">
        <v>2</v>
      </c>
      <c r="L659" s="33" t="n">
        <v>46250</v>
      </c>
      <c r="M659" s="33" t="n">
        <v>46251</v>
      </c>
      <c r="N659" s="16" t="s">
        <v>3299</v>
      </c>
      <c r="O659" s="16"/>
      <c r="P659" s="16" t="str">
        <f aca="false">IF(AND(L659&lt;=$D$2,M659&gt;=$C$2),"Sí","")</f>
        <v/>
      </c>
      <c r="Q659" s="18" t="str">
        <f aca="false">IF(COUNTIF(LOOKAHEAD!$A$5:$A$604,A659)&gt;0,"En Lookahead",IF(P659="Sí","INCORPORAR",""))</f>
        <v/>
      </c>
    </row>
    <row r="660" customFormat="false" ht="15" hidden="false" customHeight="false" outlineLevel="0" collapsed="false">
      <c r="A660" s="16" t="s">
        <v>3300</v>
      </c>
      <c r="B660" s="16" t="n">
        <v>655</v>
      </c>
      <c r="C660" s="16" t="s">
        <v>3301</v>
      </c>
      <c r="D660" s="16" t="n">
        <v>8</v>
      </c>
      <c r="E660" s="39" t="s">
        <v>1999</v>
      </c>
      <c r="F660" s="16" t="s">
        <v>1285</v>
      </c>
      <c r="G660" s="16" t="s">
        <v>322</v>
      </c>
      <c r="H660" s="16" t="s">
        <v>3012</v>
      </c>
      <c r="I660" s="16" t="s">
        <v>74</v>
      </c>
      <c r="J660" s="16" t="s">
        <v>1988</v>
      </c>
      <c r="K660" s="32" t="n">
        <v>2</v>
      </c>
      <c r="L660" s="33" t="n">
        <v>46248</v>
      </c>
      <c r="M660" s="33" t="n">
        <v>46249</v>
      </c>
      <c r="N660" s="16" t="s">
        <v>3302</v>
      </c>
      <c r="O660" s="16"/>
      <c r="P660" s="16" t="str">
        <f aca="false">IF(AND(L660&lt;=$D$2,M660&gt;=$C$2),"Sí","")</f>
        <v/>
      </c>
      <c r="Q660" s="18" t="str">
        <f aca="false">IF(COUNTIF(LOOKAHEAD!$A$5:$A$604,A660)&gt;0,"En Lookahead",IF(P660="Sí","INCORPORAR",""))</f>
        <v/>
      </c>
    </row>
    <row r="661" customFormat="false" ht="15" hidden="false" customHeight="false" outlineLevel="0" collapsed="false">
      <c r="A661" s="16" t="s">
        <v>3303</v>
      </c>
      <c r="B661" s="16" t="n">
        <v>656</v>
      </c>
      <c r="C661" s="16" t="s">
        <v>3304</v>
      </c>
      <c r="D661" s="16" t="n">
        <v>8</v>
      </c>
      <c r="E661" s="39" t="s">
        <v>1677</v>
      </c>
      <c r="F661" s="16" t="s">
        <v>1285</v>
      </c>
      <c r="G661" s="16" t="s">
        <v>322</v>
      </c>
      <c r="H661" s="16" t="s">
        <v>3012</v>
      </c>
      <c r="I661" s="16" t="s">
        <v>74</v>
      </c>
      <c r="J661" s="16" t="s">
        <v>1988</v>
      </c>
      <c r="K661" s="32" t="n">
        <v>1</v>
      </c>
      <c r="L661" s="33" t="n">
        <v>46253</v>
      </c>
      <c r="M661" s="33" t="n">
        <v>46253</v>
      </c>
      <c r="N661" s="16" t="s">
        <v>3305</v>
      </c>
      <c r="O661" s="16"/>
      <c r="P661" s="16" t="str">
        <f aca="false">IF(AND(L661&lt;=$D$2,M661&gt;=$C$2),"Sí","")</f>
        <v/>
      </c>
      <c r="Q661" s="18" t="str">
        <f aca="false">IF(COUNTIF(LOOKAHEAD!$A$5:$A$604,A661)&gt;0,"En Lookahead",IF(P661="Sí","INCORPORAR",""))</f>
        <v/>
      </c>
    </row>
    <row r="662" customFormat="false" ht="15" hidden="false" customHeight="false" outlineLevel="0" collapsed="false">
      <c r="A662" s="13" t="s">
        <v>3306</v>
      </c>
      <c r="B662" s="13" t="n">
        <v>657</v>
      </c>
      <c r="C662" s="13" t="s">
        <v>3307</v>
      </c>
      <c r="D662" s="13" t="n">
        <v>7</v>
      </c>
      <c r="E662" s="38" t="s">
        <v>2006</v>
      </c>
      <c r="F662" s="13" t="s">
        <v>1298</v>
      </c>
      <c r="G662" s="13" t="s">
        <v>322</v>
      </c>
      <c r="H662" s="13" t="s">
        <v>3012</v>
      </c>
      <c r="I662" s="13" t="s">
        <v>74</v>
      </c>
      <c r="J662" s="13" t="s">
        <v>1985</v>
      </c>
      <c r="K662" s="30" t="n">
        <v>6</v>
      </c>
      <c r="L662" s="31" t="n">
        <v>46248</v>
      </c>
      <c r="M662" s="31" t="n">
        <v>46253</v>
      </c>
      <c r="N662" s="13"/>
      <c r="O662" s="13"/>
      <c r="P662" s="13"/>
      <c r="Q662" s="13"/>
    </row>
    <row r="663" customFormat="false" ht="15" hidden="false" customHeight="false" outlineLevel="0" collapsed="false">
      <c r="A663" s="16" t="s">
        <v>3308</v>
      </c>
      <c r="B663" s="16" t="n">
        <v>658</v>
      </c>
      <c r="C663" s="16" t="s">
        <v>3309</v>
      </c>
      <c r="D663" s="16" t="n">
        <v>8</v>
      </c>
      <c r="E663" s="39" t="s">
        <v>2009</v>
      </c>
      <c r="F663" s="16" t="s">
        <v>1285</v>
      </c>
      <c r="G663" s="16" t="s">
        <v>322</v>
      </c>
      <c r="H663" s="16" t="s">
        <v>3012</v>
      </c>
      <c r="I663" s="16" t="s">
        <v>74</v>
      </c>
      <c r="J663" s="16" t="s">
        <v>2006</v>
      </c>
      <c r="K663" s="32" t="n">
        <v>1</v>
      </c>
      <c r="L663" s="33" t="n">
        <v>46252</v>
      </c>
      <c r="M663" s="33" t="n">
        <v>46252</v>
      </c>
      <c r="N663" s="16" t="s">
        <v>3310</v>
      </c>
      <c r="O663" s="16"/>
      <c r="P663" s="16" t="str">
        <f aca="false">IF(AND(L663&lt;=$D$2,M663&gt;=$C$2),"Sí","")</f>
        <v/>
      </c>
      <c r="Q663" s="18" t="str">
        <f aca="false">IF(COUNTIF(LOOKAHEAD!$A$5:$A$604,A663)&gt;0,"En Lookahead",IF(P663="Sí","INCORPORAR",""))</f>
        <v/>
      </c>
    </row>
    <row r="664" customFormat="false" ht="15" hidden="false" customHeight="false" outlineLevel="0" collapsed="false">
      <c r="A664" s="16" t="s">
        <v>3311</v>
      </c>
      <c r="B664" s="16" t="n">
        <v>659</v>
      </c>
      <c r="C664" s="16" t="s">
        <v>3312</v>
      </c>
      <c r="D664" s="16" t="n">
        <v>8</v>
      </c>
      <c r="E664" s="39" t="s">
        <v>2013</v>
      </c>
      <c r="F664" s="16" t="s">
        <v>1285</v>
      </c>
      <c r="G664" s="16" t="s">
        <v>322</v>
      </c>
      <c r="H664" s="16" t="s">
        <v>3012</v>
      </c>
      <c r="I664" s="16" t="s">
        <v>74</v>
      </c>
      <c r="J664" s="16" t="s">
        <v>2006</v>
      </c>
      <c r="K664" s="32" t="n">
        <v>2</v>
      </c>
      <c r="L664" s="33" t="n">
        <v>46250</v>
      </c>
      <c r="M664" s="33" t="n">
        <v>46251</v>
      </c>
      <c r="N664" s="16" t="s">
        <v>3313</v>
      </c>
      <c r="O664" s="16"/>
      <c r="P664" s="16" t="str">
        <f aca="false">IF(AND(L664&lt;=$D$2,M664&gt;=$C$2),"Sí","")</f>
        <v/>
      </c>
      <c r="Q664" s="18" t="str">
        <f aca="false">IF(COUNTIF(LOOKAHEAD!$A$5:$A$604,A664)&gt;0,"En Lookahead",IF(P664="Sí","INCORPORAR",""))</f>
        <v/>
      </c>
    </row>
    <row r="665" customFormat="false" ht="15" hidden="false" customHeight="false" outlineLevel="0" collapsed="false">
      <c r="A665" s="16" t="s">
        <v>3314</v>
      </c>
      <c r="B665" s="16" t="n">
        <v>660</v>
      </c>
      <c r="C665" s="16" t="s">
        <v>3315</v>
      </c>
      <c r="D665" s="16" t="n">
        <v>8</v>
      </c>
      <c r="E665" s="39" t="s">
        <v>1999</v>
      </c>
      <c r="F665" s="16" t="s">
        <v>1285</v>
      </c>
      <c r="G665" s="16" t="s">
        <v>322</v>
      </c>
      <c r="H665" s="16" t="s">
        <v>3012</v>
      </c>
      <c r="I665" s="16" t="s">
        <v>74</v>
      </c>
      <c r="J665" s="16" t="s">
        <v>2006</v>
      </c>
      <c r="K665" s="32" t="n">
        <v>2</v>
      </c>
      <c r="L665" s="33" t="n">
        <v>46248</v>
      </c>
      <c r="M665" s="33" t="n">
        <v>46249</v>
      </c>
      <c r="N665" s="16" t="s">
        <v>3302</v>
      </c>
      <c r="O665" s="16"/>
      <c r="P665" s="16" t="str">
        <f aca="false">IF(AND(L665&lt;=$D$2,M665&gt;=$C$2),"Sí","")</f>
        <v/>
      </c>
      <c r="Q665" s="18" t="str">
        <f aca="false">IF(COUNTIF(LOOKAHEAD!$A$5:$A$604,A665)&gt;0,"En Lookahead",IF(P665="Sí","INCORPORAR",""))</f>
        <v/>
      </c>
    </row>
    <row r="666" customFormat="false" ht="15" hidden="false" customHeight="false" outlineLevel="0" collapsed="false">
      <c r="A666" s="16" t="s">
        <v>3316</v>
      </c>
      <c r="B666" s="16" t="n">
        <v>661</v>
      </c>
      <c r="C666" s="16" t="s">
        <v>3317</v>
      </c>
      <c r="D666" s="16" t="n">
        <v>8</v>
      </c>
      <c r="E666" s="39" t="s">
        <v>1677</v>
      </c>
      <c r="F666" s="16" t="s">
        <v>1285</v>
      </c>
      <c r="G666" s="16" t="s">
        <v>322</v>
      </c>
      <c r="H666" s="16" t="s">
        <v>3012</v>
      </c>
      <c r="I666" s="16" t="s">
        <v>74</v>
      </c>
      <c r="J666" s="16" t="s">
        <v>2006</v>
      </c>
      <c r="K666" s="32" t="n">
        <v>1</v>
      </c>
      <c r="L666" s="33" t="n">
        <v>46253</v>
      </c>
      <c r="M666" s="33" t="n">
        <v>46253</v>
      </c>
      <c r="N666" s="16" t="s">
        <v>3318</v>
      </c>
      <c r="O666" s="16"/>
      <c r="P666" s="16" t="str">
        <f aca="false">IF(AND(L666&lt;=$D$2,M666&gt;=$C$2),"Sí","")</f>
        <v/>
      </c>
      <c r="Q666" s="18" t="str">
        <f aca="false">IF(COUNTIF(LOOKAHEAD!$A$5:$A$604,A666)&gt;0,"En Lookahead",IF(P666="Sí","INCORPORAR",""))</f>
        <v/>
      </c>
    </row>
    <row r="667" customFormat="false" ht="15" hidden="false" customHeight="false" outlineLevel="0" collapsed="false">
      <c r="A667" s="13" t="s">
        <v>3319</v>
      </c>
      <c r="B667" s="13" t="n">
        <v>662</v>
      </c>
      <c r="C667" s="13" t="s">
        <v>3320</v>
      </c>
      <c r="D667" s="13" t="n">
        <v>7</v>
      </c>
      <c r="E667" s="38" t="s">
        <v>2022</v>
      </c>
      <c r="F667" s="13" t="s">
        <v>1298</v>
      </c>
      <c r="G667" s="13" t="s">
        <v>322</v>
      </c>
      <c r="H667" s="13" t="s">
        <v>3012</v>
      </c>
      <c r="I667" s="13" t="s">
        <v>74</v>
      </c>
      <c r="J667" s="13" t="s">
        <v>1985</v>
      </c>
      <c r="K667" s="30" t="n">
        <v>9</v>
      </c>
      <c r="L667" s="31" t="n">
        <v>46248</v>
      </c>
      <c r="M667" s="31" t="n">
        <v>46256</v>
      </c>
      <c r="N667" s="13"/>
      <c r="O667" s="13"/>
      <c r="P667" s="13"/>
      <c r="Q667" s="13"/>
    </row>
    <row r="668" customFormat="false" ht="15" hidden="false" customHeight="false" outlineLevel="0" collapsed="false">
      <c r="A668" s="16" t="s">
        <v>3321</v>
      </c>
      <c r="B668" s="16" t="n">
        <v>663</v>
      </c>
      <c r="C668" s="16" t="s">
        <v>3322</v>
      </c>
      <c r="D668" s="16" t="n">
        <v>8</v>
      </c>
      <c r="E668" s="39" t="s">
        <v>2025</v>
      </c>
      <c r="F668" s="16" t="s">
        <v>1285</v>
      </c>
      <c r="G668" s="16" t="s">
        <v>322</v>
      </c>
      <c r="H668" s="16" t="s">
        <v>3012</v>
      </c>
      <c r="I668" s="16" t="s">
        <v>74</v>
      </c>
      <c r="J668" s="16" t="s">
        <v>2022</v>
      </c>
      <c r="K668" s="32" t="n">
        <v>1</v>
      </c>
      <c r="L668" s="33" t="n">
        <v>46255</v>
      </c>
      <c r="M668" s="33" t="n">
        <v>46255</v>
      </c>
      <c r="N668" s="16" t="s">
        <v>3323</v>
      </c>
      <c r="O668" s="16"/>
      <c r="P668" s="16" t="str">
        <f aca="false">IF(AND(L668&lt;=$D$2,M668&gt;=$C$2),"Sí","")</f>
        <v/>
      </c>
      <c r="Q668" s="18" t="str">
        <f aca="false">IF(COUNTIF(LOOKAHEAD!$A$5:$A$604,A668)&gt;0,"En Lookahead",IF(P668="Sí","INCORPORAR",""))</f>
        <v/>
      </c>
    </row>
    <row r="669" customFormat="false" ht="15" hidden="false" customHeight="false" outlineLevel="0" collapsed="false">
      <c r="A669" s="16" t="s">
        <v>3324</v>
      </c>
      <c r="B669" s="16" t="n">
        <v>664</v>
      </c>
      <c r="C669" s="16" t="s">
        <v>3325</v>
      </c>
      <c r="D669" s="16" t="n">
        <v>8</v>
      </c>
      <c r="E669" s="39" t="s">
        <v>2029</v>
      </c>
      <c r="F669" s="16" t="s">
        <v>1285</v>
      </c>
      <c r="G669" s="16" t="s">
        <v>322</v>
      </c>
      <c r="H669" s="16" t="s">
        <v>3012</v>
      </c>
      <c r="I669" s="16" t="s">
        <v>74</v>
      </c>
      <c r="J669" s="16" t="s">
        <v>2022</v>
      </c>
      <c r="K669" s="32" t="n">
        <v>5</v>
      </c>
      <c r="L669" s="33" t="n">
        <v>46250</v>
      </c>
      <c r="M669" s="33" t="n">
        <v>46254</v>
      </c>
      <c r="N669" s="16" t="s">
        <v>3326</v>
      </c>
      <c r="O669" s="16"/>
      <c r="P669" s="16" t="str">
        <f aca="false">IF(AND(L669&lt;=$D$2,M669&gt;=$C$2),"Sí","")</f>
        <v/>
      </c>
      <c r="Q669" s="18" t="str">
        <f aca="false">IF(COUNTIF(LOOKAHEAD!$A$5:$A$604,A669)&gt;0,"En Lookahead",IF(P669="Sí","INCORPORAR",""))</f>
        <v/>
      </c>
    </row>
    <row r="670" customFormat="false" ht="15" hidden="false" customHeight="false" outlineLevel="0" collapsed="false">
      <c r="A670" s="16" t="s">
        <v>3327</v>
      </c>
      <c r="B670" s="16" t="n">
        <v>665</v>
      </c>
      <c r="C670" s="16" t="s">
        <v>3328</v>
      </c>
      <c r="D670" s="16" t="n">
        <v>8</v>
      </c>
      <c r="E670" s="39" t="s">
        <v>1999</v>
      </c>
      <c r="F670" s="16" t="s">
        <v>1285</v>
      </c>
      <c r="G670" s="16" t="s">
        <v>322</v>
      </c>
      <c r="H670" s="16" t="s">
        <v>3012</v>
      </c>
      <c r="I670" s="16" t="s">
        <v>74</v>
      </c>
      <c r="J670" s="16" t="s">
        <v>2022</v>
      </c>
      <c r="K670" s="32" t="n">
        <v>2</v>
      </c>
      <c r="L670" s="33" t="n">
        <v>46248</v>
      </c>
      <c r="M670" s="33" t="n">
        <v>46249</v>
      </c>
      <c r="N670" s="16" t="s">
        <v>3302</v>
      </c>
      <c r="O670" s="16"/>
      <c r="P670" s="16" t="str">
        <f aca="false">IF(AND(L670&lt;=$D$2,M670&gt;=$C$2),"Sí","")</f>
        <v/>
      </c>
      <c r="Q670" s="18" t="str">
        <f aca="false">IF(COUNTIF(LOOKAHEAD!$A$5:$A$604,A670)&gt;0,"En Lookahead",IF(P670="Sí","INCORPORAR",""))</f>
        <v/>
      </c>
    </row>
    <row r="671" customFormat="false" ht="15" hidden="false" customHeight="false" outlineLevel="0" collapsed="false">
      <c r="A671" s="16" t="s">
        <v>3329</v>
      </c>
      <c r="B671" s="16" t="n">
        <v>666</v>
      </c>
      <c r="C671" s="16" t="s">
        <v>3330</v>
      </c>
      <c r="D671" s="16" t="n">
        <v>8</v>
      </c>
      <c r="E671" s="39" t="s">
        <v>1677</v>
      </c>
      <c r="F671" s="16" t="s">
        <v>1285</v>
      </c>
      <c r="G671" s="16" t="s">
        <v>322</v>
      </c>
      <c r="H671" s="16" t="s">
        <v>3012</v>
      </c>
      <c r="I671" s="16" t="s">
        <v>74</v>
      </c>
      <c r="J671" s="16" t="s">
        <v>2022</v>
      </c>
      <c r="K671" s="32" t="n">
        <v>1</v>
      </c>
      <c r="L671" s="33" t="n">
        <v>46256</v>
      </c>
      <c r="M671" s="33" t="n">
        <v>46256</v>
      </c>
      <c r="N671" s="16" t="s">
        <v>3331</v>
      </c>
      <c r="O671" s="16"/>
      <c r="P671" s="16" t="str">
        <f aca="false">IF(AND(L671&lt;=$D$2,M671&gt;=$C$2),"Sí","")</f>
        <v/>
      </c>
      <c r="Q671" s="18" t="str">
        <f aca="false">IF(COUNTIF(LOOKAHEAD!$A$5:$A$604,A671)&gt;0,"En Lookahead",IF(P671="Sí","INCORPORAR",""))</f>
        <v/>
      </c>
    </row>
    <row r="672" customFormat="false" ht="15" hidden="false" customHeight="false" outlineLevel="0" collapsed="false">
      <c r="A672" s="13" t="s">
        <v>3332</v>
      </c>
      <c r="B672" s="13" t="n">
        <v>667</v>
      </c>
      <c r="C672" s="13" t="s">
        <v>3333</v>
      </c>
      <c r="D672" s="13" t="n">
        <v>7</v>
      </c>
      <c r="E672" s="38" t="s">
        <v>2038</v>
      </c>
      <c r="F672" s="13" t="s">
        <v>1298</v>
      </c>
      <c r="G672" s="13" t="s">
        <v>322</v>
      </c>
      <c r="H672" s="13" t="s">
        <v>3012</v>
      </c>
      <c r="I672" s="13" t="s">
        <v>74</v>
      </c>
      <c r="J672" s="13" t="s">
        <v>1985</v>
      </c>
      <c r="K672" s="30" t="n">
        <v>5</v>
      </c>
      <c r="L672" s="31" t="n">
        <v>46248</v>
      </c>
      <c r="M672" s="31" t="n">
        <v>46252</v>
      </c>
      <c r="N672" s="13"/>
      <c r="O672" s="13"/>
      <c r="P672" s="13"/>
      <c r="Q672" s="13"/>
    </row>
    <row r="673" customFormat="false" ht="15" hidden="false" customHeight="false" outlineLevel="0" collapsed="false">
      <c r="A673" s="16" t="s">
        <v>3334</v>
      </c>
      <c r="B673" s="16" t="n">
        <v>668</v>
      </c>
      <c r="C673" s="16" t="s">
        <v>3335</v>
      </c>
      <c r="D673" s="16" t="n">
        <v>8</v>
      </c>
      <c r="E673" s="39" t="s">
        <v>2041</v>
      </c>
      <c r="F673" s="16" t="s">
        <v>1285</v>
      </c>
      <c r="G673" s="16" t="s">
        <v>322</v>
      </c>
      <c r="H673" s="16" t="s">
        <v>3012</v>
      </c>
      <c r="I673" s="16" t="s">
        <v>74</v>
      </c>
      <c r="J673" s="16" t="s">
        <v>2038</v>
      </c>
      <c r="K673" s="32" t="n">
        <v>1</v>
      </c>
      <c r="L673" s="33" t="n">
        <v>46251</v>
      </c>
      <c r="M673" s="33" t="n">
        <v>46251</v>
      </c>
      <c r="N673" s="16" t="s">
        <v>3336</v>
      </c>
      <c r="O673" s="16"/>
      <c r="P673" s="16" t="str">
        <f aca="false">IF(AND(L673&lt;=$D$2,M673&gt;=$C$2),"Sí","")</f>
        <v/>
      </c>
      <c r="Q673" s="18" t="str">
        <f aca="false">IF(COUNTIF(LOOKAHEAD!$A$5:$A$604,A673)&gt;0,"En Lookahead",IF(P673="Sí","INCORPORAR",""))</f>
        <v/>
      </c>
    </row>
    <row r="674" customFormat="false" ht="15" hidden="false" customHeight="false" outlineLevel="0" collapsed="false">
      <c r="A674" s="16" t="s">
        <v>3337</v>
      </c>
      <c r="B674" s="16" t="n">
        <v>669</v>
      </c>
      <c r="C674" s="16" t="s">
        <v>3338</v>
      </c>
      <c r="D674" s="16" t="n">
        <v>8</v>
      </c>
      <c r="E674" s="39" t="s">
        <v>2045</v>
      </c>
      <c r="F674" s="16" t="s">
        <v>1285</v>
      </c>
      <c r="G674" s="16" t="s">
        <v>322</v>
      </c>
      <c r="H674" s="16" t="s">
        <v>3012</v>
      </c>
      <c r="I674" s="16" t="s">
        <v>74</v>
      </c>
      <c r="J674" s="16" t="s">
        <v>2038</v>
      </c>
      <c r="K674" s="32" t="n">
        <v>2</v>
      </c>
      <c r="L674" s="33" t="n">
        <v>46249</v>
      </c>
      <c r="M674" s="33" t="n">
        <v>46250</v>
      </c>
      <c r="N674" s="16" t="s">
        <v>3339</v>
      </c>
      <c r="O674" s="16"/>
      <c r="P674" s="16" t="str">
        <f aca="false">IF(AND(L674&lt;=$D$2,M674&gt;=$C$2),"Sí","")</f>
        <v/>
      </c>
      <c r="Q674" s="18" t="str">
        <f aca="false">IF(COUNTIF(LOOKAHEAD!$A$5:$A$604,A674)&gt;0,"En Lookahead",IF(P674="Sí","INCORPORAR",""))</f>
        <v/>
      </c>
    </row>
    <row r="675" customFormat="false" ht="15" hidden="false" customHeight="false" outlineLevel="0" collapsed="false">
      <c r="A675" s="16" t="s">
        <v>3340</v>
      </c>
      <c r="B675" s="16" t="n">
        <v>670</v>
      </c>
      <c r="C675" s="16" t="s">
        <v>3341</v>
      </c>
      <c r="D675" s="16" t="n">
        <v>8</v>
      </c>
      <c r="E675" s="39" t="s">
        <v>1999</v>
      </c>
      <c r="F675" s="16" t="s">
        <v>1285</v>
      </c>
      <c r="G675" s="16" t="s">
        <v>322</v>
      </c>
      <c r="H675" s="16" t="s">
        <v>3012</v>
      </c>
      <c r="I675" s="16" t="s">
        <v>74</v>
      </c>
      <c r="J675" s="16" t="s">
        <v>2038</v>
      </c>
      <c r="K675" s="32" t="n">
        <v>1</v>
      </c>
      <c r="L675" s="33" t="n">
        <v>46248</v>
      </c>
      <c r="M675" s="33" t="n">
        <v>46248</v>
      </c>
      <c r="N675" s="16" t="s">
        <v>3302</v>
      </c>
      <c r="O675" s="16"/>
      <c r="P675" s="16" t="str">
        <f aca="false">IF(AND(L675&lt;=$D$2,M675&gt;=$C$2),"Sí","")</f>
        <v/>
      </c>
      <c r="Q675" s="18" t="str">
        <f aca="false">IF(COUNTIF(LOOKAHEAD!$A$5:$A$604,A675)&gt;0,"En Lookahead",IF(P675="Sí","INCORPORAR",""))</f>
        <v/>
      </c>
    </row>
    <row r="676" customFormat="false" ht="15" hidden="false" customHeight="false" outlineLevel="0" collapsed="false">
      <c r="A676" s="16" t="s">
        <v>3342</v>
      </c>
      <c r="B676" s="16" t="n">
        <v>671</v>
      </c>
      <c r="C676" s="16" t="s">
        <v>3343</v>
      </c>
      <c r="D676" s="16" t="n">
        <v>8</v>
      </c>
      <c r="E676" s="39" t="s">
        <v>1677</v>
      </c>
      <c r="F676" s="16" t="s">
        <v>1285</v>
      </c>
      <c r="G676" s="16" t="s">
        <v>322</v>
      </c>
      <c r="H676" s="16" t="s">
        <v>3012</v>
      </c>
      <c r="I676" s="16" t="s">
        <v>74</v>
      </c>
      <c r="J676" s="16" t="s">
        <v>2038</v>
      </c>
      <c r="K676" s="32" t="n">
        <v>1</v>
      </c>
      <c r="L676" s="33" t="n">
        <v>46252</v>
      </c>
      <c r="M676" s="33" t="n">
        <v>46252</v>
      </c>
      <c r="N676" s="16" t="s">
        <v>3344</v>
      </c>
      <c r="O676" s="16"/>
      <c r="P676" s="16" t="str">
        <f aca="false">IF(AND(L676&lt;=$D$2,M676&gt;=$C$2),"Sí","")</f>
        <v/>
      </c>
      <c r="Q676" s="18" t="str">
        <f aca="false">IF(COUNTIF(LOOKAHEAD!$A$5:$A$604,A676)&gt;0,"En Lookahead",IF(P676="Sí","INCORPORAR",""))</f>
        <v/>
      </c>
    </row>
    <row r="677" customFormat="false" ht="15" hidden="false" customHeight="false" outlineLevel="0" collapsed="false">
      <c r="A677" s="13" t="s">
        <v>3345</v>
      </c>
      <c r="B677" s="13" t="n">
        <v>672</v>
      </c>
      <c r="C677" s="13" t="s">
        <v>3346</v>
      </c>
      <c r="D677" s="13" t="n">
        <v>6</v>
      </c>
      <c r="E677" s="36" t="s">
        <v>2054</v>
      </c>
      <c r="F677" s="13" t="s">
        <v>1298</v>
      </c>
      <c r="G677" s="13" t="s">
        <v>322</v>
      </c>
      <c r="H677" s="13" t="s">
        <v>3012</v>
      </c>
      <c r="I677" s="13" t="s">
        <v>74</v>
      </c>
      <c r="J677" s="13" t="s">
        <v>1623</v>
      </c>
      <c r="K677" s="30" t="n">
        <v>9</v>
      </c>
      <c r="L677" s="31" t="n">
        <v>46252</v>
      </c>
      <c r="M677" s="31" t="n">
        <v>46260</v>
      </c>
      <c r="N677" s="13"/>
      <c r="O677" s="13"/>
      <c r="P677" s="13"/>
      <c r="Q677" s="13"/>
    </row>
    <row r="678" customFormat="false" ht="15" hidden="false" customHeight="false" outlineLevel="0" collapsed="false">
      <c r="A678" s="13" t="s">
        <v>3347</v>
      </c>
      <c r="B678" s="13" t="n">
        <v>673</v>
      </c>
      <c r="C678" s="13" t="s">
        <v>3348</v>
      </c>
      <c r="D678" s="13" t="n">
        <v>7</v>
      </c>
      <c r="E678" s="38" t="s">
        <v>2057</v>
      </c>
      <c r="F678" s="13" t="s">
        <v>1298</v>
      </c>
      <c r="G678" s="13" t="s">
        <v>322</v>
      </c>
      <c r="H678" s="13" t="s">
        <v>3012</v>
      </c>
      <c r="I678" s="13" t="s">
        <v>74</v>
      </c>
      <c r="J678" s="13" t="s">
        <v>2054</v>
      </c>
      <c r="K678" s="30" t="n">
        <v>5</v>
      </c>
      <c r="L678" s="31" t="n">
        <v>46253</v>
      </c>
      <c r="M678" s="31" t="n">
        <v>46257</v>
      </c>
      <c r="N678" s="13"/>
      <c r="O678" s="13"/>
      <c r="P678" s="13"/>
      <c r="Q678" s="13"/>
    </row>
    <row r="679" customFormat="false" ht="15" hidden="false" customHeight="false" outlineLevel="0" collapsed="false">
      <c r="A679" s="16" t="s">
        <v>3349</v>
      </c>
      <c r="B679" s="16" t="n">
        <v>674</v>
      </c>
      <c r="C679" s="16" t="s">
        <v>3350</v>
      </c>
      <c r="D679" s="16" t="n">
        <v>8</v>
      </c>
      <c r="E679" s="39" t="s">
        <v>2060</v>
      </c>
      <c r="F679" s="16" t="s">
        <v>1285</v>
      </c>
      <c r="G679" s="16" t="s">
        <v>322</v>
      </c>
      <c r="H679" s="16" t="s">
        <v>3012</v>
      </c>
      <c r="I679" s="16" t="s">
        <v>74</v>
      </c>
      <c r="J679" s="16" t="s">
        <v>2057</v>
      </c>
      <c r="K679" s="32" t="n">
        <v>1</v>
      </c>
      <c r="L679" s="33" t="n">
        <v>46256</v>
      </c>
      <c r="M679" s="33" t="n">
        <v>46256</v>
      </c>
      <c r="N679" s="16" t="s">
        <v>3351</v>
      </c>
      <c r="O679" s="16"/>
      <c r="P679" s="16" t="str">
        <f aca="false">IF(AND(L679&lt;=$D$2,M679&gt;=$C$2),"Sí","")</f>
        <v/>
      </c>
      <c r="Q679" s="18" t="str">
        <f aca="false">IF(COUNTIF(LOOKAHEAD!$A$5:$A$604,A679)&gt;0,"En Lookahead",IF(P679="Sí","INCORPORAR",""))</f>
        <v/>
      </c>
    </row>
    <row r="680" customFormat="false" ht="15" hidden="false" customHeight="false" outlineLevel="0" collapsed="false">
      <c r="A680" s="16" t="s">
        <v>3352</v>
      </c>
      <c r="B680" s="16" t="n">
        <v>675</v>
      </c>
      <c r="C680" s="16" t="s">
        <v>3353</v>
      </c>
      <c r="D680" s="16" t="n">
        <v>8</v>
      </c>
      <c r="E680" s="39" t="s">
        <v>2064</v>
      </c>
      <c r="F680" s="16" t="s">
        <v>1285</v>
      </c>
      <c r="G680" s="16" t="s">
        <v>322</v>
      </c>
      <c r="H680" s="16" t="s">
        <v>3012</v>
      </c>
      <c r="I680" s="16" t="s">
        <v>74</v>
      </c>
      <c r="J680" s="16" t="s">
        <v>2057</v>
      </c>
      <c r="K680" s="32" t="n">
        <v>2</v>
      </c>
      <c r="L680" s="33" t="n">
        <v>46254</v>
      </c>
      <c r="M680" s="33" t="n">
        <v>46255</v>
      </c>
      <c r="N680" s="16" t="s">
        <v>3354</v>
      </c>
      <c r="O680" s="16"/>
      <c r="P680" s="16" t="str">
        <f aca="false">IF(AND(L680&lt;=$D$2,M680&gt;=$C$2),"Sí","")</f>
        <v/>
      </c>
      <c r="Q680" s="18" t="str">
        <f aca="false">IF(COUNTIF(LOOKAHEAD!$A$5:$A$604,A680)&gt;0,"En Lookahead",IF(P680="Sí","INCORPORAR",""))</f>
        <v/>
      </c>
    </row>
    <row r="681" customFormat="false" ht="15" hidden="false" customHeight="false" outlineLevel="0" collapsed="false">
      <c r="A681" s="16" t="s">
        <v>3355</v>
      </c>
      <c r="B681" s="16" t="n">
        <v>676</v>
      </c>
      <c r="C681" s="16" t="s">
        <v>3356</v>
      </c>
      <c r="D681" s="16" t="n">
        <v>8</v>
      </c>
      <c r="E681" s="39" t="s">
        <v>1800</v>
      </c>
      <c r="F681" s="16" t="s">
        <v>1285</v>
      </c>
      <c r="G681" s="16" t="s">
        <v>322</v>
      </c>
      <c r="H681" s="16" t="s">
        <v>3012</v>
      </c>
      <c r="I681" s="16" t="s">
        <v>74</v>
      </c>
      <c r="J681" s="16" t="s">
        <v>2057</v>
      </c>
      <c r="K681" s="32" t="n">
        <v>1</v>
      </c>
      <c r="L681" s="33" t="n">
        <v>46253</v>
      </c>
      <c r="M681" s="33" t="n">
        <v>46253</v>
      </c>
      <c r="N681" s="16" t="s">
        <v>3305</v>
      </c>
      <c r="O681" s="16"/>
      <c r="P681" s="16" t="str">
        <f aca="false">IF(AND(L681&lt;=$D$2,M681&gt;=$C$2),"Sí","")</f>
        <v/>
      </c>
      <c r="Q681" s="18" t="str">
        <f aca="false">IF(COUNTIF(LOOKAHEAD!$A$5:$A$604,A681)&gt;0,"En Lookahead",IF(P681="Sí","INCORPORAR",""))</f>
        <v/>
      </c>
    </row>
    <row r="682" customFormat="false" ht="15" hidden="false" customHeight="false" outlineLevel="0" collapsed="false">
      <c r="A682" s="16" t="s">
        <v>3357</v>
      </c>
      <c r="B682" s="16" t="n">
        <v>677</v>
      </c>
      <c r="C682" s="16" t="s">
        <v>3358</v>
      </c>
      <c r="D682" s="16" t="n">
        <v>8</v>
      </c>
      <c r="E682" s="39" t="s">
        <v>1602</v>
      </c>
      <c r="F682" s="16" t="s">
        <v>1285</v>
      </c>
      <c r="G682" s="16" t="s">
        <v>322</v>
      </c>
      <c r="H682" s="16" t="s">
        <v>3012</v>
      </c>
      <c r="I682" s="16" t="s">
        <v>74</v>
      </c>
      <c r="J682" s="16" t="s">
        <v>2057</v>
      </c>
      <c r="K682" s="32" t="n">
        <v>1</v>
      </c>
      <c r="L682" s="33" t="n">
        <v>46257</v>
      </c>
      <c r="M682" s="33" t="n">
        <v>46257</v>
      </c>
      <c r="N682" s="16" t="s">
        <v>3359</v>
      </c>
      <c r="O682" s="16"/>
      <c r="P682" s="16" t="str">
        <f aca="false">IF(AND(L682&lt;=$D$2,M682&gt;=$C$2),"Sí","")</f>
        <v/>
      </c>
      <c r="Q682" s="18" t="str">
        <f aca="false">IF(COUNTIF(LOOKAHEAD!$A$5:$A$604,A682)&gt;0,"En Lookahead",IF(P682="Sí","INCORPORAR",""))</f>
        <v/>
      </c>
    </row>
    <row r="683" customFormat="false" ht="15" hidden="false" customHeight="false" outlineLevel="0" collapsed="false">
      <c r="A683" s="13" t="s">
        <v>3360</v>
      </c>
      <c r="B683" s="13" t="n">
        <v>678</v>
      </c>
      <c r="C683" s="13" t="s">
        <v>3361</v>
      </c>
      <c r="D683" s="13" t="n">
        <v>7</v>
      </c>
      <c r="E683" s="38" t="s">
        <v>2073</v>
      </c>
      <c r="F683" s="13" t="s">
        <v>1298</v>
      </c>
      <c r="G683" s="13" t="s">
        <v>322</v>
      </c>
      <c r="H683" s="13" t="s">
        <v>3012</v>
      </c>
      <c r="I683" s="13" t="s">
        <v>74</v>
      </c>
      <c r="J683" s="13" t="s">
        <v>2054</v>
      </c>
      <c r="K683" s="30" t="n">
        <v>5</v>
      </c>
      <c r="L683" s="31" t="n">
        <v>46253</v>
      </c>
      <c r="M683" s="31" t="n">
        <v>46257</v>
      </c>
      <c r="N683" s="13"/>
      <c r="O683" s="13"/>
      <c r="P683" s="13"/>
      <c r="Q683" s="13"/>
    </row>
    <row r="684" customFormat="false" ht="15" hidden="false" customHeight="false" outlineLevel="0" collapsed="false">
      <c r="A684" s="16" t="s">
        <v>3362</v>
      </c>
      <c r="B684" s="16" t="n">
        <v>679</v>
      </c>
      <c r="C684" s="16" t="s">
        <v>3363</v>
      </c>
      <c r="D684" s="16" t="n">
        <v>8</v>
      </c>
      <c r="E684" s="39" t="s">
        <v>2076</v>
      </c>
      <c r="F684" s="16" t="s">
        <v>1285</v>
      </c>
      <c r="G684" s="16" t="s">
        <v>322</v>
      </c>
      <c r="H684" s="16" t="s">
        <v>3012</v>
      </c>
      <c r="I684" s="16" t="s">
        <v>74</v>
      </c>
      <c r="J684" s="16" t="s">
        <v>2073</v>
      </c>
      <c r="K684" s="32" t="n">
        <v>1</v>
      </c>
      <c r="L684" s="33" t="n">
        <v>46256</v>
      </c>
      <c r="M684" s="33" t="n">
        <v>46256</v>
      </c>
      <c r="N684" s="16" t="s">
        <v>3364</v>
      </c>
      <c r="O684" s="16"/>
      <c r="P684" s="16" t="str">
        <f aca="false">IF(AND(L684&lt;=$D$2,M684&gt;=$C$2),"Sí","")</f>
        <v/>
      </c>
      <c r="Q684" s="18" t="str">
        <f aca="false">IF(COUNTIF(LOOKAHEAD!$A$5:$A$604,A684)&gt;0,"En Lookahead",IF(P684="Sí","INCORPORAR",""))</f>
        <v/>
      </c>
    </row>
    <row r="685" customFormat="false" ht="15" hidden="false" customHeight="false" outlineLevel="0" collapsed="false">
      <c r="A685" s="16" t="s">
        <v>3365</v>
      </c>
      <c r="B685" s="16" t="n">
        <v>680</v>
      </c>
      <c r="C685" s="16" t="s">
        <v>3366</v>
      </c>
      <c r="D685" s="16" t="n">
        <v>8</v>
      </c>
      <c r="E685" s="39" t="s">
        <v>2080</v>
      </c>
      <c r="F685" s="16" t="s">
        <v>1285</v>
      </c>
      <c r="G685" s="16" t="s">
        <v>322</v>
      </c>
      <c r="H685" s="16" t="s">
        <v>3012</v>
      </c>
      <c r="I685" s="16" t="s">
        <v>74</v>
      </c>
      <c r="J685" s="16" t="s">
        <v>2073</v>
      </c>
      <c r="K685" s="32" t="n">
        <v>2</v>
      </c>
      <c r="L685" s="33" t="n">
        <v>46254</v>
      </c>
      <c r="M685" s="33" t="n">
        <v>46255</v>
      </c>
      <c r="N685" s="16" t="s">
        <v>3367</v>
      </c>
      <c r="O685" s="16"/>
      <c r="P685" s="16" t="str">
        <f aca="false">IF(AND(L685&lt;=$D$2,M685&gt;=$C$2),"Sí","")</f>
        <v/>
      </c>
      <c r="Q685" s="18" t="str">
        <f aca="false">IF(COUNTIF(LOOKAHEAD!$A$5:$A$604,A685)&gt;0,"En Lookahead",IF(P685="Sí","INCORPORAR",""))</f>
        <v/>
      </c>
    </row>
    <row r="686" customFormat="false" ht="15" hidden="false" customHeight="false" outlineLevel="0" collapsed="false">
      <c r="A686" s="16" t="s">
        <v>3368</v>
      </c>
      <c r="B686" s="16" t="n">
        <v>681</v>
      </c>
      <c r="C686" s="16" t="s">
        <v>3369</v>
      </c>
      <c r="D686" s="16" t="n">
        <v>8</v>
      </c>
      <c r="E686" s="39" t="s">
        <v>1800</v>
      </c>
      <c r="F686" s="16" t="s">
        <v>1285</v>
      </c>
      <c r="G686" s="16" t="s">
        <v>322</v>
      </c>
      <c r="H686" s="16" t="s">
        <v>3012</v>
      </c>
      <c r="I686" s="16" t="s">
        <v>74</v>
      </c>
      <c r="J686" s="16" t="s">
        <v>2073</v>
      </c>
      <c r="K686" s="32" t="n">
        <v>1</v>
      </c>
      <c r="L686" s="33" t="n">
        <v>46253</v>
      </c>
      <c r="M686" s="33" t="n">
        <v>46253</v>
      </c>
      <c r="N686" s="16" t="s">
        <v>3318</v>
      </c>
      <c r="O686" s="16"/>
      <c r="P686" s="16" t="str">
        <f aca="false">IF(AND(L686&lt;=$D$2,M686&gt;=$C$2),"Sí","")</f>
        <v/>
      </c>
      <c r="Q686" s="18" t="str">
        <f aca="false">IF(COUNTIF(LOOKAHEAD!$A$5:$A$604,A686)&gt;0,"En Lookahead",IF(P686="Sí","INCORPORAR",""))</f>
        <v/>
      </c>
    </row>
    <row r="687" customFormat="false" ht="15" hidden="false" customHeight="false" outlineLevel="0" collapsed="false">
      <c r="A687" s="16" t="s">
        <v>3370</v>
      </c>
      <c r="B687" s="16" t="n">
        <v>682</v>
      </c>
      <c r="C687" s="16" t="s">
        <v>3371</v>
      </c>
      <c r="D687" s="16" t="n">
        <v>8</v>
      </c>
      <c r="E687" s="39" t="s">
        <v>1602</v>
      </c>
      <c r="F687" s="16" t="s">
        <v>1285</v>
      </c>
      <c r="G687" s="16" t="s">
        <v>322</v>
      </c>
      <c r="H687" s="16" t="s">
        <v>3012</v>
      </c>
      <c r="I687" s="16" t="s">
        <v>74</v>
      </c>
      <c r="J687" s="16" t="s">
        <v>2073</v>
      </c>
      <c r="K687" s="32" t="n">
        <v>1</v>
      </c>
      <c r="L687" s="33" t="n">
        <v>46257</v>
      </c>
      <c r="M687" s="33" t="n">
        <v>46257</v>
      </c>
      <c r="N687" s="16" t="s">
        <v>3372</v>
      </c>
      <c r="O687" s="16"/>
      <c r="P687" s="16" t="str">
        <f aca="false">IF(AND(L687&lt;=$D$2,M687&gt;=$C$2),"Sí","")</f>
        <v/>
      </c>
      <c r="Q687" s="18" t="str">
        <f aca="false">IF(COUNTIF(LOOKAHEAD!$A$5:$A$604,A687)&gt;0,"En Lookahead",IF(P687="Sí","INCORPORAR",""))</f>
        <v/>
      </c>
    </row>
    <row r="688" customFormat="false" ht="15" hidden="false" customHeight="false" outlineLevel="0" collapsed="false">
      <c r="A688" s="13" t="s">
        <v>3373</v>
      </c>
      <c r="B688" s="13" t="n">
        <v>683</v>
      </c>
      <c r="C688" s="13" t="s">
        <v>3374</v>
      </c>
      <c r="D688" s="13" t="n">
        <v>7</v>
      </c>
      <c r="E688" s="38" t="s">
        <v>2089</v>
      </c>
      <c r="F688" s="13" t="s">
        <v>1298</v>
      </c>
      <c r="G688" s="13" t="s">
        <v>322</v>
      </c>
      <c r="H688" s="13" t="s">
        <v>3012</v>
      </c>
      <c r="I688" s="13" t="s">
        <v>74</v>
      </c>
      <c r="J688" s="13" t="s">
        <v>2054</v>
      </c>
      <c r="K688" s="30" t="n">
        <v>5</v>
      </c>
      <c r="L688" s="31" t="n">
        <v>46256</v>
      </c>
      <c r="M688" s="31" t="n">
        <v>46260</v>
      </c>
      <c r="N688" s="13"/>
      <c r="O688" s="13"/>
      <c r="P688" s="13"/>
      <c r="Q688" s="13"/>
    </row>
    <row r="689" customFormat="false" ht="15" hidden="false" customHeight="false" outlineLevel="0" collapsed="false">
      <c r="A689" s="16" t="s">
        <v>3375</v>
      </c>
      <c r="B689" s="16" t="n">
        <v>684</v>
      </c>
      <c r="C689" s="16" t="s">
        <v>3376</v>
      </c>
      <c r="D689" s="16" t="n">
        <v>8</v>
      </c>
      <c r="E689" s="39" t="s">
        <v>2092</v>
      </c>
      <c r="F689" s="16" t="s">
        <v>1285</v>
      </c>
      <c r="G689" s="16" t="s">
        <v>322</v>
      </c>
      <c r="H689" s="16" t="s">
        <v>3012</v>
      </c>
      <c r="I689" s="16" t="s">
        <v>74</v>
      </c>
      <c r="J689" s="16" t="s">
        <v>2089</v>
      </c>
      <c r="K689" s="32" t="n">
        <v>1</v>
      </c>
      <c r="L689" s="33" t="n">
        <v>46259</v>
      </c>
      <c r="M689" s="33" t="n">
        <v>46259</v>
      </c>
      <c r="N689" s="16" t="s">
        <v>3377</v>
      </c>
      <c r="O689" s="16"/>
      <c r="P689" s="16" t="str">
        <f aca="false">IF(AND(L689&lt;=$D$2,M689&gt;=$C$2),"Sí","")</f>
        <v/>
      </c>
      <c r="Q689" s="18" t="str">
        <f aca="false">IF(COUNTIF(LOOKAHEAD!$A$5:$A$604,A689)&gt;0,"En Lookahead",IF(P689="Sí","INCORPORAR",""))</f>
        <v/>
      </c>
    </row>
    <row r="690" customFormat="false" ht="15" hidden="false" customHeight="false" outlineLevel="0" collapsed="false">
      <c r="A690" s="16" t="s">
        <v>3378</v>
      </c>
      <c r="B690" s="16" t="n">
        <v>685</v>
      </c>
      <c r="C690" s="16" t="s">
        <v>3379</v>
      </c>
      <c r="D690" s="16" t="n">
        <v>8</v>
      </c>
      <c r="E690" s="39" t="s">
        <v>2096</v>
      </c>
      <c r="F690" s="16" t="s">
        <v>1285</v>
      </c>
      <c r="G690" s="16" t="s">
        <v>322</v>
      </c>
      <c r="H690" s="16" t="s">
        <v>3012</v>
      </c>
      <c r="I690" s="16" t="s">
        <v>74</v>
      </c>
      <c r="J690" s="16" t="s">
        <v>2089</v>
      </c>
      <c r="K690" s="32" t="n">
        <v>2</v>
      </c>
      <c r="L690" s="33" t="n">
        <v>46257</v>
      </c>
      <c r="M690" s="33" t="n">
        <v>46258</v>
      </c>
      <c r="N690" s="16" t="s">
        <v>3380</v>
      </c>
      <c r="O690" s="16"/>
      <c r="P690" s="16" t="str">
        <f aca="false">IF(AND(L690&lt;=$D$2,M690&gt;=$C$2),"Sí","")</f>
        <v/>
      </c>
      <c r="Q690" s="18" t="str">
        <f aca="false">IF(COUNTIF(LOOKAHEAD!$A$5:$A$604,A690)&gt;0,"En Lookahead",IF(P690="Sí","INCORPORAR",""))</f>
        <v/>
      </c>
    </row>
    <row r="691" customFormat="false" ht="15" hidden="false" customHeight="false" outlineLevel="0" collapsed="false">
      <c r="A691" s="16" t="s">
        <v>3381</v>
      </c>
      <c r="B691" s="16" t="n">
        <v>686</v>
      </c>
      <c r="C691" s="16" t="s">
        <v>3382</v>
      </c>
      <c r="D691" s="16" t="n">
        <v>8</v>
      </c>
      <c r="E691" s="39" t="s">
        <v>1800</v>
      </c>
      <c r="F691" s="16" t="s">
        <v>1285</v>
      </c>
      <c r="G691" s="16" t="s">
        <v>322</v>
      </c>
      <c r="H691" s="16" t="s">
        <v>3012</v>
      </c>
      <c r="I691" s="16" t="s">
        <v>74</v>
      </c>
      <c r="J691" s="16" t="s">
        <v>2089</v>
      </c>
      <c r="K691" s="32" t="n">
        <v>1</v>
      </c>
      <c r="L691" s="33" t="n">
        <v>46256</v>
      </c>
      <c r="M691" s="33" t="n">
        <v>46256</v>
      </c>
      <c r="N691" s="16" t="s">
        <v>3331</v>
      </c>
      <c r="O691" s="16"/>
      <c r="P691" s="16" t="str">
        <f aca="false">IF(AND(L691&lt;=$D$2,M691&gt;=$C$2),"Sí","")</f>
        <v/>
      </c>
      <c r="Q691" s="18" t="str">
        <f aca="false">IF(COUNTIF(LOOKAHEAD!$A$5:$A$604,A691)&gt;0,"En Lookahead",IF(P691="Sí","INCORPORAR",""))</f>
        <v/>
      </c>
    </row>
    <row r="692" customFormat="false" ht="15" hidden="false" customHeight="false" outlineLevel="0" collapsed="false">
      <c r="A692" s="16" t="s">
        <v>3383</v>
      </c>
      <c r="B692" s="16" t="n">
        <v>687</v>
      </c>
      <c r="C692" s="16" t="s">
        <v>3384</v>
      </c>
      <c r="D692" s="16" t="n">
        <v>8</v>
      </c>
      <c r="E692" s="39" t="s">
        <v>1602</v>
      </c>
      <c r="F692" s="16" t="s">
        <v>1285</v>
      </c>
      <c r="G692" s="16" t="s">
        <v>322</v>
      </c>
      <c r="H692" s="16" t="s">
        <v>3012</v>
      </c>
      <c r="I692" s="16" t="s">
        <v>74</v>
      </c>
      <c r="J692" s="16" t="s">
        <v>2089</v>
      </c>
      <c r="K692" s="32" t="n">
        <v>1</v>
      </c>
      <c r="L692" s="33" t="n">
        <v>46260</v>
      </c>
      <c r="M692" s="33" t="n">
        <v>46260</v>
      </c>
      <c r="N692" s="16" t="s">
        <v>3385</v>
      </c>
      <c r="O692" s="16"/>
      <c r="P692" s="16" t="str">
        <f aca="false">IF(AND(L692&lt;=$D$2,M692&gt;=$C$2),"Sí","")</f>
        <v/>
      </c>
      <c r="Q692" s="18" t="str">
        <f aca="false">IF(COUNTIF(LOOKAHEAD!$A$5:$A$604,A692)&gt;0,"En Lookahead",IF(P692="Sí","INCORPORAR",""))</f>
        <v/>
      </c>
    </row>
    <row r="693" customFormat="false" ht="15" hidden="false" customHeight="false" outlineLevel="0" collapsed="false">
      <c r="A693" s="13" t="s">
        <v>3386</v>
      </c>
      <c r="B693" s="13" t="n">
        <v>688</v>
      </c>
      <c r="C693" s="13" t="s">
        <v>3387</v>
      </c>
      <c r="D693" s="13" t="n">
        <v>7</v>
      </c>
      <c r="E693" s="38" t="s">
        <v>2054</v>
      </c>
      <c r="F693" s="13" t="s">
        <v>1298</v>
      </c>
      <c r="G693" s="13" t="s">
        <v>322</v>
      </c>
      <c r="H693" s="13" t="s">
        <v>3012</v>
      </c>
      <c r="I693" s="13" t="s">
        <v>74</v>
      </c>
      <c r="J693" s="13" t="s">
        <v>2054</v>
      </c>
      <c r="K693" s="30" t="n">
        <v>5</v>
      </c>
      <c r="L693" s="31" t="n">
        <v>46252</v>
      </c>
      <c r="M693" s="31" t="n">
        <v>46256</v>
      </c>
      <c r="N693" s="13"/>
      <c r="O693" s="13"/>
      <c r="P693" s="13"/>
      <c r="Q693" s="13"/>
    </row>
    <row r="694" customFormat="false" ht="15" hidden="false" customHeight="false" outlineLevel="0" collapsed="false">
      <c r="A694" s="16" t="s">
        <v>3388</v>
      </c>
      <c r="B694" s="16" t="n">
        <v>689</v>
      </c>
      <c r="C694" s="16" t="s">
        <v>3389</v>
      </c>
      <c r="D694" s="16" t="n">
        <v>8</v>
      </c>
      <c r="E694" s="39" t="s">
        <v>2107</v>
      </c>
      <c r="F694" s="16" t="s">
        <v>1285</v>
      </c>
      <c r="G694" s="16" t="s">
        <v>322</v>
      </c>
      <c r="H694" s="16" t="s">
        <v>3012</v>
      </c>
      <c r="I694" s="16" t="s">
        <v>74</v>
      </c>
      <c r="J694" s="16" t="s">
        <v>2054</v>
      </c>
      <c r="K694" s="32" t="n">
        <v>1</v>
      </c>
      <c r="L694" s="33" t="n">
        <v>46255</v>
      </c>
      <c r="M694" s="33" t="n">
        <v>46255</v>
      </c>
      <c r="N694" s="16" t="s">
        <v>3390</v>
      </c>
      <c r="O694" s="16"/>
      <c r="P694" s="16" t="str">
        <f aca="false">IF(AND(L694&lt;=$D$2,M694&gt;=$C$2),"Sí","")</f>
        <v/>
      </c>
      <c r="Q694" s="18" t="str">
        <f aca="false">IF(COUNTIF(LOOKAHEAD!$A$5:$A$604,A694)&gt;0,"En Lookahead",IF(P694="Sí","INCORPORAR",""))</f>
        <v/>
      </c>
    </row>
    <row r="695" customFormat="false" ht="15" hidden="false" customHeight="false" outlineLevel="0" collapsed="false">
      <c r="A695" s="16" t="s">
        <v>3391</v>
      </c>
      <c r="B695" s="16" t="n">
        <v>690</v>
      </c>
      <c r="C695" s="16" t="s">
        <v>3392</v>
      </c>
      <c r="D695" s="16" t="n">
        <v>8</v>
      </c>
      <c r="E695" s="39" t="s">
        <v>2111</v>
      </c>
      <c r="F695" s="16" t="s">
        <v>1285</v>
      </c>
      <c r="G695" s="16" t="s">
        <v>322</v>
      </c>
      <c r="H695" s="16" t="s">
        <v>3012</v>
      </c>
      <c r="I695" s="16" t="s">
        <v>74</v>
      </c>
      <c r="J695" s="16" t="s">
        <v>2054</v>
      </c>
      <c r="K695" s="32" t="n">
        <v>2</v>
      </c>
      <c r="L695" s="33" t="n">
        <v>46253</v>
      </c>
      <c r="M695" s="33" t="n">
        <v>46254</v>
      </c>
      <c r="N695" s="16" t="s">
        <v>3393</v>
      </c>
      <c r="O695" s="16"/>
      <c r="P695" s="16" t="str">
        <f aca="false">IF(AND(L695&lt;=$D$2,M695&gt;=$C$2),"Sí","")</f>
        <v/>
      </c>
      <c r="Q695" s="18" t="str">
        <f aca="false">IF(COUNTIF(LOOKAHEAD!$A$5:$A$604,A695)&gt;0,"En Lookahead",IF(P695="Sí","INCORPORAR",""))</f>
        <v/>
      </c>
    </row>
    <row r="696" customFormat="false" ht="15" hidden="false" customHeight="false" outlineLevel="0" collapsed="false">
      <c r="A696" s="16" t="s">
        <v>3394</v>
      </c>
      <c r="B696" s="16" t="n">
        <v>691</v>
      </c>
      <c r="C696" s="16" t="s">
        <v>3395</v>
      </c>
      <c r="D696" s="16" t="n">
        <v>8</v>
      </c>
      <c r="E696" s="39" t="s">
        <v>1800</v>
      </c>
      <c r="F696" s="16" t="s">
        <v>1285</v>
      </c>
      <c r="G696" s="16" t="s">
        <v>322</v>
      </c>
      <c r="H696" s="16" t="s">
        <v>3012</v>
      </c>
      <c r="I696" s="16" t="s">
        <v>74</v>
      </c>
      <c r="J696" s="16" t="s">
        <v>2054</v>
      </c>
      <c r="K696" s="32" t="n">
        <v>1</v>
      </c>
      <c r="L696" s="33" t="n">
        <v>46252</v>
      </c>
      <c r="M696" s="33" t="n">
        <v>46252</v>
      </c>
      <c r="N696" s="16" t="s">
        <v>3344</v>
      </c>
      <c r="O696" s="16"/>
      <c r="P696" s="16" t="str">
        <f aca="false">IF(AND(L696&lt;=$D$2,M696&gt;=$C$2),"Sí","")</f>
        <v/>
      </c>
      <c r="Q696" s="18" t="str">
        <f aca="false">IF(COUNTIF(LOOKAHEAD!$A$5:$A$604,A696)&gt;0,"En Lookahead",IF(P696="Sí","INCORPORAR",""))</f>
        <v/>
      </c>
    </row>
    <row r="697" customFormat="false" ht="15" hidden="false" customHeight="false" outlineLevel="0" collapsed="false">
      <c r="A697" s="16" t="s">
        <v>3396</v>
      </c>
      <c r="B697" s="16" t="n">
        <v>692</v>
      </c>
      <c r="C697" s="16" t="s">
        <v>3397</v>
      </c>
      <c r="D697" s="16" t="n">
        <v>8</v>
      </c>
      <c r="E697" s="39" t="s">
        <v>1602</v>
      </c>
      <c r="F697" s="16" t="s">
        <v>1285</v>
      </c>
      <c r="G697" s="16" t="s">
        <v>322</v>
      </c>
      <c r="H697" s="16" t="s">
        <v>3012</v>
      </c>
      <c r="I697" s="16" t="s">
        <v>74</v>
      </c>
      <c r="J697" s="16" t="s">
        <v>2054</v>
      </c>
      <c r="K697" s="32" t="n">
        <v>1</v>
      </c>
      <c r="L697" s="33" t="n">
        <v>46256</v>
      </c>
      <c r="M697" s="33" t="n">
        <v>46256</v>
      </c>
      <c r="N697" s="16" t="s">
        <v>3398</v>
      </c>
      <c r="O697" s="16"/>
      <c r="P697" s="16" t="str">
        <f aca="false">IF(AND(L697&lt;=$D$2,M697&gt;=$C$2),"Sí","")</f>
        <v/>
      </c>
      <c r="Q697" s="18" t="str">
        <f aca="false">IF(COUNTIF(LOOKAHEAD!$A$5:$A$604,A697)&gt;0,"En Lookahead",IF(P697="Sí","INCORPORAR",""))</f>
        <v/>
      </c>
    </row>
    <row r="698" customFormat="false" ht="15" hidden="false" customHeight="false" outlineLevel="0" collapsed="false">
      <c r="A698" s="13" t="s">
        <v>3399</v>
      </c>
      <c r="B698" s="13" t="n">
        <v>693</v>
      </c>
      <c r="C698" s="13" t="s">
        <v>3400</v>
      </c>
      <c r="D698" s="13" t="n">
        <v>6</v>
      </c>
      <c r="E698" s="36" t="s">
        <v>3401</v>
      </c>
      <c r="F698" s="13" t="s">
        <v>1298</v>
      </c>
      <c r="G698" s="13" t="s">
        <v>322</v>
      </c>
      <c r="H698" s="13" t="s">
        <v>3012</v>
      </c>
      <c r="I698" s="13" t="s">
        <v>74</v>
      </c>
      <c r="J698" s="13" t="s">
        <v>1623</v>
      </c>
      <c r="K698" s="30" t="n">
        <v>7</v>
      </c>
      <c r="L698" s="31" t="n">
        <v>46354</v>
      </c>
      <c r="M698" s="31" t="n">
        <v>46360</v>
      </c>
      <c r="N698" s="13"/>
      <c r="O698" s="13"/>
      <c r="P698" s="13"/>
      <c r="Q698" s="13"/>
    </row>
    <row r="699" customFormat="false" ht="15" hidden="false" customHeight="false" outlineLevel="0" collapsed="false">
      <c r="A699" s="16" t="s">
        <v>3402</v>
      </c>
      <c r="B699" s="16" t="n">
        <v>694</v>
      </c>
      <c r="C699" s="16" t="s">
        <v>3403</v>
      </c>
      <c r="D699" s="16" t="n">
        <v>7</v>
      </c>
      <c r="E699" s="37" t="s">
        <v>3404</v>
      </c>
      <c r="F699" s="16" t="s">
        <v>1285</v>
      </c>
      <c r="G699" s="16" t="s">
        <v>322</v>
      </c>
      <c r="H699" s="16" t="s">
        <v>3012</v>
      </c>
      <c r="I699" s="16" t="s">
        <v>74</v>
      </c>
      <c r="J699" s="16" t="s">
        <v>3401</v>
      </c>
      <c r="K699" s="32" t="n">
        <v>1</v>
      </c>
      <c r="L699" s="33" t="n">
        <v>46359</v>
      </c>
      <c r="M699" s="33" t="n">
        <v>46359</v>
      </c>
      <c r="N699" s="16" t="s">
        <v>3405</v>
      </c>
      <c r="O699" s="16"/>
      <c r="P699" s="16" t="str">
        <f aca="false">IF(AND(L699&lt;=$D$2,M699&gt;=$C$2),"Sí","")</f>
        <v/>
      </c>
      <c r="Q699" s="18" t="str">
        <f aca="false">IF(COUNTIF(LOOKAHEAD!$A$5:$A$604,A699)&gt;0,"En Lookahead",IF(P699="Sí","INCORPORAR",""))</f>
        <v/>
      </c>
    </row>
    <row r="700" customFormat="false" ht="15" hidden="false" customHeight="false" outlineLevel="0" collapsed="false">
      <c r="A700" s="16" t="s">
        <v>3406</v>
      </c>
      <c r="B700" s="16" t="n">
        <v>695</v>
      </c>
      <c r="C700" s="16" t="s">
        <v>3407</v>
      </c>
      <c r="D700" s="16" t="n">
        <v>7</v>
      </c>
      <c r="E700" s="37" t="s">
        <v>3408</v>
      </c>
      <c r="F700" s="16" t="s">
        <v>1285</v>
      </c>
      <c r="G700" s="16" t="s">
        <v>322</v>
      </c>
      <c r="H700" s="16" t="s">
        <v>3012</v>
      </c>
      <c r="I700" s="16" t="s">
        <v>74</v>
      </c>
      <c r="J700" s="16" t="s">
        <v>3401</v>
      </c>
      <c r="K700" s="32" t="n">
        <v>4</v>
      </c>
      <c r="L700" s="33" t="n">
        <v>46355</v>
      </c>
      <c r="M700" s="33" t="n">
        <v>46358</v>
      </c>
      <c r="N700" s="16" t="s">
        <v>3409</v>
      </c>
      <c r="O700" s="16"/>
      <c r="P700" s="16" t="str">
        <f aca="false">IF(AND(L700&lt;=$D$2,M700&gt;=$C$2),"Sí","")</f>
        <v/>
      </c>
      <c r="Q700" s="18" t="str">
        <f aca="false">IF(COUNTIF(LOOKAHEAD!$A$5:$A$604,A700)&gt;0,"En Lookahead",IF(P700="Sí","INCORPORAR",""))</f>
        <v/>
      </c>
    </row>
    <row r="701" customFormat="false" ht="15" hidden="false" customHeight="false" outlineLevel="0" collapsed="false">
      <c r="A701" s="16" t="s">
        <v>3410</v>
      </c>
      <c r="B701" s="16" t="n">
        <v>696</v>
      </c>
      <c r="C701" s="16" t="s">
        <v>3411</v>
      </c>
      <c r="D701" s="16" t="n">
        <v>7</v>
      </c>
      <c r="E701" s="37" t="s">
        <v>3412</v>
      </c>
      <c r="F701" s="16" t="s">
        <v>1285</v>
      </c>
      <c r="G701" s="16" t="s">
        <v>322</v>
      </c>
      <c r="H701" s="16" t="s">
        <v>3012</v>
      </c>
      <c r="I701" s="16" t="s">
        <v>74</v>
      </c>
      <c r="J701" s="16" t="s">
        <v>3401</v>
      </c>
      <c r="K701" s="32" t="n">
        <v>1</v>
      </c>
      <c r="L701" s="33" t="n">
        <v>46354</v>
      </c>
      <c r="M701" s="33" t="n">
        <v>46354</v>
      </c>
      <c r="N701" s="16" t="s">
        <v>3289</v>
      </c>
      <c r="O701" s="16"/>
      <c r="P701" s="16" t="str">
        <f aca="false">IF(AND(L701&lt;=$D$2,M701&gt;=$C$2),"Sí","")</f>
        <v/>
      </c>
      <c r="Q701" s="18" t="str">
        <f aca="false">IF(COUNTIF(LOOKAHEAD!$A$5:$A$604,A701)&gt;0,"En Lookahead",IF(P701="Sí","INCORPORAR",""))</f>
        <v/>
      </c>
    </row>
    <row r="702" customFormat="false" ht="15" hidden="false" customHeight="false" outlineLevel="0" collapsed="false">
      <c r="A702" s="16" t="s">
        <v>3413</v>
      </c>
      <c r="B702" s="16" t="n">
        <v>697</v>
      </c>
      <c r="C702" s="16" t="s">
        <v>3414</v>
      </c>
      <c r="D702" s="16" t="n">
        <v>7</v>
      </c>
      <c r="E702" s="37" t="s">
        <v>1602</v>
      </c>
      <c r="F702" s="16" t="s">
        <v>1285</v>
      </c>
      <c r="G702" s="16" t="s">
        <v>322</v>
      </c>
      <c r="H702" s="16" t="s">
        <v>3012</v>
      </c>
      <c r="I702" s="16" t="s">
        <v>74</v>
      </c>
      <c r="J702" s="16" t="s">
        <v>3401</v>
      </c>
      <c r="K702" s="32" t="n">
        <v>1</v>
      </c>
      <c r="L702" s="33" t="n">
        <v>46360</v>
      </c>
      <c r="M702" s="33" t="n">
        <v>46360</v>
      </c>
      <c r="N702" s="16" t="s">
        <v>3415</v>
      </c>
      <c r="O702" s="16"/>
      <c r="P702" s="16" t="str">
        <f aca="false">IF(AND(L702&lt;=$D$2,M702&gt;=$C$2),"Sí","")</f>
        <v/>
      </c>
      <c r="Q702" s="18" t="str">
        <f aca="false">IF(COUNTIF(LOOKAHEAD!$A$5:$A$604,A702)&gt;0,"En Lookahead",IF(P702="Sí","INCORPORAR",""))</f>
        <v/>
      </c>
    </row>
    <row r="703" customFormat="false" ht="15" hidden="false" customHeight="false" outlineLevel="0" collapsed="false">
      <c r="A703" s="13" t="s">
        <v>3416</v>
      </c>
      <c r="B703" s="13" t="n">
        <v>698</v>
      </c>
      <c r="C703" s="13" t="s">
        <v>3417</v>
      </c>
      <c r="D703" s="13" t="n">
        <v>6</v>
      </c>
      <c r="E703" s="36" t="s">
        <v>2137</v>
      </c>
      <c r="F703" s="13" t="s">
        <v>1298</v>
      </c>
      <c r="G703" s="13" t="s">
        <v>322</v>
      </c>
      <c r="H703" s="13" t="s">
        <v>3012</v>
      </c>
      <c r="I703" s="13" t="s">
        <v>74</v>
      </c>
      <c r="J703" s="13" t="s">
        <v>1623</v>
      </c>
      <c r="K703" s="30" t="n">
        <v>2</v>
      </c>
      <c r="L703" s="31" t="n">
        <v>46354</v>
      </c>
      <c r="M703" s="31" t="n">
        <v>46355</v>
      </c>
      <c r="N703" s="13"/>
      <c r="O703" s="13"/>
      <c r="P703" s="13"/>
      <c r="Q703" s="13"/>
    </row>
    <row r="704" customFormat="false" ht="15" hidden="false" customHeight="false" outlineLevel="0" collapsed="false">
      <c r="A704" s="16" t="s">
        <v>3418</v>
      </c>
      <c r="B704" s="16" t="n">
        <v>699</v>
      </c>
      <c r="C704" s="16" t="s">
        <v>3419</v>
      </c>
      <c r="D704" s="16" t="n">
        <v>7</v>
      </c>
      <c r="E704" s="37" t="s">
        <v>2140</v>
      </c>
      <c r="F704" s="16" t="s">
        <v>1285</v>
      </c>
      <c r="G704" s="16" t="s">
        <v>322</v>
      </c>
      <c r="H704" s="16" t="s">
        <v>3012</v>
      </c>
      <c r="I704" s="16" t="s">
        <v>74</v>
      </c>
      <c r="J704" s="16" t="s">
        <v>2137</v>
      </c>
      <c r="K704" s="32" t="n">
        <v>1</v>
      </c>
      <c r="L704" s="33" t="n">
        <v>46355</v>
      </c>
      <c r="M704" s="33" t="n">
        <v>46355</v>
      </c>
      <c r="N704" s="16" t="s">
        <v>3420</v>
      </c>
      <c r="O704" s="16"/>
      <c r="P704" s="16" t="str">
        <f aca="false">IF(AND(L704&lt;=$D$2,M704&gt;=$C$2),"Sí","")</f>
        <v/>
      </c>
      <c r="Q704" s="18" t="str">
        <f aca="false">IF(COUNTIF(LOOKAHEAD!$A$5:$A$604,A704)&gt;0,"En Lookahead",IF(P704="Sí","INCORPORAR",""))</f>
        <v/>
      </c>
    </row>
    <row r="705" customFormat="false" ht="15" hidden="false" customHeight="false" outlineLevel="0" collapsed="false">
      <c r="A705" s="16" t="s">
        <v>3421</v>
      </c>
      <c r="B705" s="16" t="n">
        <v>700</v>
      </c>
      <c r="C705" s="16" t="s">
        <v>3422</v>
      </c>
      <c r="D705" s="16" t="n">
        <v>7</v>
      </c>
      <c r="E705" s="37" t="s">
        <v>2144</v>
      </c>
      <c r="F705" s="16" t="s">
        <v>1285</v>
      </c>
      <c r="G705" s="16" t="s">
        <v>322</v>
      </c>
      <c r="H705" s="16" t="s">
        <v>3012</v>
      </c>
      <c r="I705" s="16" t="s">
        <v>74</v>
      </c>
      <c r="J705" s="16" t="s">
        <v>2137</v>
      </c>
      <c r="K705" s="32" t="n">
        <v>1</v>
      </c>
      <c r="L705" s="33" t="n">
        <v>46354</v>
      </c>
      <c r="M705" s="33" t="n">
        <v>46354</v>
      </c>
      <c r="N705" s="16" t="s">
        <v>3423</v>
      </c>
      <c r="O705" s="16"/>
      <c r="P705" s="16" t="str">
        <f aca="false">IF(AND(L705&lt;=$D$2,M705&gt;=$C$2),"Sí","")</f>
        <v/>
      </c>
      <c r="Q705" s="18" t="str">
        <f aca="false">IF(COUNTIF(LOOKAHEAD!$A$5:$A$604,A705)&gt;0,"En Lookahead",IF(P705="Sí","INCORPORAR",""))</f>
        <v/>
      </c>
    </row>
    <row r="706" customFormat="false" ht="15" hidden="false" customHeight="false" outlineLevel="0" collapsed="false">
      <c r="A706" s="13" t="s">
        <v>3424</v>
      </c>
      <c r="B706" s="13" t="n">
        <v>701</v>
      </c>
      <c r="C706" s="13" t="s">
        <v>3425</v>
      </c>
      <c r="D706" s="13" t="n">
        <v>5</v>
      </c>
      <c r="E706" s="34" t="s">
        <v>3426</v>
      </c>
      <c r="F706" s="13" t="s">
        <v>1298</v>
      </c>
      <c r="G706" s="13" t="s">
        <v>322</v>
      </c>
      <c r="H706" s="13" t="s">
        <v>3012</v>
      </c>
      <c r="I706" s="13" t="s">
        <v>74</v>
      </c>
      <c r="J706" s="13" t="s">
        <v>3012</v>
      </c>
      <c r="K706" s="30" t="n">
        <v>13</v>
      </c>
      <c r="L706" s="31" t="n">
        <v>46256</v>
      </c>
      <c r="M706" s="31" t="n">
        <v>46268</v>
      </c>
      <c r="N706" s="13"/>
      <c r="O706" s="13"/>
      <c r="P706" s="13"/>
      <c r="Q706" s="13"/>
    </row>
    <row r="707" customFormat="false" ht="15" hidden="false" customHeight="false" outlineLevel="0" collapsed="false">
      <c r="A707" s="13" t="s">
        <v>3427</v>
      </c>
      <c r="B707" s="13" t="n">
        <v>702</v>
      </c>
      <c r="C707" s="13" t="s">
        <v>3428</v>
      </c>
      <c r="D707" s="13" t="n">
        <v>6</v>
      </c>
      <c r="E707" s="36" t="s">
        <v>3429</v>
      </c>
      <c r="F707" s="13" t="s">
        <v>1298</v>
      </c>
      <c r="G707" s="13" t="s">
        <v>322</v>
      </c>
      <c r="H707" s="13" t="s">
        <v>3012</v>
      </c>
      <c r="I707" s="13" t="s">
        <v>74</v>
      </c>
      <c r="J707" s="13" t="s">
        <v>3426</v>
      </c>
      <c r="K707" s="30" t="n">
        <v>13</v>
      </c>
      <c r="L707" s="31" t="n">
        <v>46256</v>
      </c>
      <c r="M707" s="31" t="n">
        <v>46268</v>
      </c>
      <c r="N707" s="13"/>
      <c r="O707" s="13"/>
      <c r="P707" s="13"/>
      <c r="Q707" s="13"/>
    </row>
    <row r="708" customFormat="false" ht="15" hidden="false" customHeight="false" outlineLevel="0" collapsed="false">
      <c r="A708" s="16" t="s">
        <v>3430</v>
      </c>
      <c r="B708" s="16" t="n">
        <v>703</v>
      </c>
      <c r="C708" s="16" t="s">
        <v>3431</v>
      </c>
      <c r="D708" s="16" t="n">
        <v>7</v>
      </c>
      <c r="E708" s="37" t="s">
        <v>3432</v>
      </c>
      <c r="F708" s="16" t="s">
        <v>1285</v>
      </c>
      <c r="G708" s="16" t="s">
        <v>322</v>
      </c>
      <c r="H708" s="16" t="s">
        <v>3012</v>
      </c>
      <c r="I708" s="16" t="s">
        <v>74</v>
      </c>
      <c r="J708" s="16" t="s">
        <v>3429</v>
      </c>
      <c r="K708" s="32" t="n">
        <v>4</v>
      </c>
      <c r="L708" s="33" t="n">
        <v>46256</v>
      </c>
      <c r="M708" s="33" t="n">
        <v>46259</v>
      </c>
      <c r="N708" s="16" t="s">
        <v>3398</v>
      </c>
      <c r="O708" s="16"/>
      <c r="P708" s="16" t="str">
        <f aca="false">IF(AND(L708&lt;=$D$2,M708&gt;=$C$2),"Sí","")</f>
        <v/>
      </c>
      <c r="Q708" s="18" t="str">
        <f aca="false">IF(COUNTIF(LOOKAHEAD!$A$5:$A$604,A708)&gt;0,"En Lookahead",IF(P708="Sí","INCORPORAR",""))</f>
        <v/>
      </c>
    </row>
    <row r="709" customFormat="false" ht="15" hidden="false" customHeight="false" outlineLevel="0" collapsed="false">
      <c r="A709" s="16" t="s">
        <v>3433</v>
      </c>
      <c r="B709" s="16" t="n">
        <v>704</v>
      </c>
      <c r="C709" s="16" t="s">
        <v>3434</v>
      </c>
      <c r="D709" s="16" t="n">
        <v>7</v>
      </c>
      <c r="E709" s="37" t="s">
        <v>3435</v>
      </c>
      <c r="F709" s="16" t="s">
        <v>1285</v>
      </c>
      <c r="G709" s="16" t="s">
        <v>322</v>
      </c>
      <c r="H709" s="16" t="s">
        <v>3012</v>
      </c>
      <c r="I709" s="16" t="s">
        <v>74</v>
      </c>
      <c r="J709" s="16" t="s">
        <v>3429</v>
      </c>
      <c r="K709" s="32" t="n">
        <v>6</v>
      </c>
      <c r="L709" s="33" t="n">
        <v>46256</v>
      </c>
      <c r="M709" s="33" t="n">
        <v>46261</v>
      </c>
      <c r="N709" s="16" t="s">
        <v>3436</v>
      </c>
      <c r="O709" s="16"/>
      <c r="P709" s="16" t="str">
        <f aca="false">IF(AND(L709&lt;=$D$2,M709&gt;=$C$2),"Sí","")</f>
        <v/>
      </c>
      <c r="Q709" s="18" t="str">
        <f aca="false">IF(COUNTIF(LOOKAHEAD!$A$5:$A$604,A709)&gt;0,"En Lookahead",IF(P709="Sí","INCORPORAR",""))</f>
        <v/>
      </c>
    </row>
    <row r="710" customFormat="false" ht="15" hidden="false" customHeight="false" outlineLevel="0" collapsed="false">
      <c r="A710" s="16" t="s">
        <v>3437</v>
      </c>
      <c r="B710" s="16" t="n">
        <v>705</v>
      </c>
      <c r="C710" s="16" t="s">
        <v>3438</v>
      </c>
      <c r="D710" s="16" t="n">
        <v>7</v>
      </c>
      <c r="E710" s="37" t="s">
        <v>3439</v>
      </c>
      <c r="F710" s="16" t="s">
        <v>1285</v>
      </c>
      <c r="G710" s="16" t="s">
        <v>322</v>
      </c>
      <c r="H710" s="16" t="s">
        <v>3012</v>
      </c>
      <c r="I710" s="16" t="s">
        <v>74</v>
      </c>
      <c r="J710" s="16" t="s">
        <v>3429</v>
      </c>
      <c r="K710" s="32" t="n">
        <v>1</v>
      </c>
      <c r="L710" s="33" t="n">
        <v>46262</v>
      </c>
      <c r="M710" s="33" t="n">
        <v>46262</v>
      </c>
      <c r="N710" s="16" t="s">
        <v>3440</v>
      </c>
      <c r="O710" s="16"/>
      <c r="P710" s="16" t="str">
        <f aca="false">IF(AND(L710&lt;=$D$2,M710&gt;=$C$2),"Sí","")</f>
        <v/>
      </c>
      <c r="Q710" s="18" t="str">
        <f aca="false">IF(COUNTIF(LOOKAHEAD!$A$5:$A$604,A710)&gt;0,"En Lookahead",IF(P710="Sí","INCORPORAR",""))</f>
        <v/>
      </c>
    </row>
    <row r="711" customFormat="false" ht="15" hidden="false" customHeight="false" outlineLevel="0" collapsed="false">
      <c r="A711" s="16" t="s">
        <v>3441</v>
      </c>
      <c r="B711" s="16" t="n">
        <v>706</v>
      </c>
      <c r="C711" s="16" t="s">
        <v>3442</v>
      </c>
      <c r="D711" s="16" t="n">
        <v>7</v>
      </c>
      <c r="E711" s="37" t="s">
        <v>3443</v>
      </c>
      <c r="F711" s="16" t="s">
        <v>1285</v>
      </c>
      <c r="G711" s="16" t="s">
        <v>322</v>
      </c>
      <c r="H711" s="16" t="s">
        <v>3012</v>
      </c>
      <c r="I711" s="16" t="s">
        <v>74</v>
      </c>
      <c r="J711" s="16" t="s">
        <v>3429</v>
      </c>
      <c r="K711" s="32" t="n">
        <v>1</v>
      </c>
      <c r="L711" s="33" t="n">
        <v>46262</v>
      </c>
      <c r="M711" s="33" t="n">
        <v>46262</v>
      </c>
      <c r="N711" s="16" t="s">
        <v>3444</v>
      </c>
      <c r="O711" s="16"/>
      <c r="P711" s="16" t="str">
        <f aca="false">IF(AND(L711&lt;=$D$2,M711&gt;=$C$2),"Sí","")</f>
        <v/>
      </c>
      <c r="Q711" s="18" t="str">
        <f aca="false">IF(COUNTIF(LOOKAHEAD!$A$5:$A$604,A711)&gt;0,"En Lookahead",IF(P711="Sí","INCORPORAR",""))</f>
        <v/>
      </c>
    </row>
    <row r="712" customFormat="false" ht="15" hidden="false" customHeight="false" outlineLevel="0" collapsed="false">
      <c r="A712" s="16" t="s">
        <v>3445</v>
      </c>
      <c r="B712" s="16" t="n">
        <v>707</v>
      </c>
      <c r="C712" s="16" t="s">
        <v>3446</v>
      </c>
      <c r="D712" s="16" t="n">
        <v>7</v>
      </c>
      <c r="E712" s="37" t="s">
        <v>3447</v>
      </c>
      <c r="F712" s="16" t="s">
        <v>1285</v>
      </c>
      <c r="G712" s="16" t="s">
        <v>322</v>
      </c>
      <c r="H712" s="16" t="s">
        <v>3012</v>
      </c>
      <c r="I712" s="16" t="s">
        <v>74</v>
      </c>
      <c r="J712" s="16" t="s">
        <v>3429</v>
      </c>
      <c r="K712" s="32" t="n">
        <v>3</v>
      </c>
      <c r="L712" s="33" t="n">
        <v>46263</v>
      </c>
      <c r="M712" s="33" t="n">
        <v>46265</v>
      </c>
      <c r="N712" s="16" t="s">
        <v>3448</v>
      </c>
      <c r="O712" s="16"/>
      <c r="P712" s="16" t="str">
        <f aca="false">IF(AND(L712&lt;=$D$2,M712&gt;=$C$2),"Sí","")</f>
        <v/>
      </c>
      <c r="Q712" s="18" t="str">
        <f aca="false">IF(COUNTIF(LOOKAHEAD!$A$5:$A$604,A712)&gt;0,"En Lookahead",IF(P712="Sí","INCORPORAR",""))</f>
        <v/>
      </c>
    </row>
    <row r="713" customFormat="false" ht="15" hidden="false" customHeight="false" outlineLevel="0" collapsed="false">
      <c r="A713" s="16" t="s">
        <v>3449</v>
      </c>
      <c r="B713" s="16" t="n">
        <v>708</v>
      </c>
      <c r="C713" s="16" t="s">
        <v>3450</v>
      </c>
      <c r="D713" s="16" t="n">
        <v>7</v>
      </c>
      <c r="E713" s="37" t="s">
        <v>3451</v>
      </c>
      <c r="F713" s="16" t="s">
        <v>1285</v>
      </c>
      <c r="G713" s="16" t="s">
        <v>322</v>
      </c>
      <c r="H713" s="16" t="s">
        <v>3012</v>
      </c>
      <c r="I713" s="16" t="s">
        <v>74</v>
      </c>
      <c r="J713" s="16" t="s">
        <v>3429</v>
      </c>
      <c r="K713" s="32" t="n">
        <v>3</v>
      </c>
      <c r="L713" s="33" t="n">
        <v>46266</v>
      </c>
      <c r="M713" s="33" t="n">
        <v>46268</v>
      </c>
      <c r="N713" s="16" t="s">
        <v>3452</v>
      </c>
      <c r="O713" s="16"/>
      <c r="P713" s="16" t="str">
        <f aca="false">IF(AND(L713&lt;=$D$2,M713&gt;=$C$2),"Sí","")</f>
        <v/>
      </c>
      <c r="Q713" s="18" t="str">
        <f aca="false">IF(COUNTIF(LOOKAHEAD!$A$5:$A$604,A713)&gt;0,"En Lookahead",IF(P713="Sí","INCORPORAR",""))</f>
        <v/>
      </c>
    </row>
    <row r="714" customFormat="false" ht="15" hidden="false" customHeight="false" outlineLevel="0" collapsed="false">
      <c r="A714" s="13" t="s">
        <v>3453</v>
      </c>
      <c r="B714" s="13" t="n">
        <v>709</v>
      </c>
      <c r="C714" s="13" t="s">
        <v>3454</v>
      </c>
      <c r="D714" s="13" t="n">
        <v>4</v>
      </c>
      <c r="E714" s="20" t="s">
        <v>3455</v>
      </c>
      <c r="F714" s="13" t="s">
        <v>1298</v>
      </c>
      <c r="G714" s="13" t="s">
        <v>322</v>
      </c>
      <c r="H714" s="13" t="s">
        <v>3455</v>
      </c>
      <c r="I714" s="13" t="s">
        <v>80</v>
      </c>
      <c r="J714" s="13" t="s">
        <v>1528</v>
      </c>
      <c r="K714" s="30" t="n">
        <v>98</v>
      </c>
      <c r="L714" s="31" t="n">
        <v>46051</v>
      </c>
      <c r="M714" s="31" t="n">
        <v>46148</v>
      </c>
      <c r="N714" s="13"/>
      <c r="O714" s="13" t="s">
        <v>1299</v>
      </c>
      <c r="P714" s="13"/>
      <c r="Q714" s="13"/>
    </row>
    <row r="715" customFormat="false" ht="15" hidden="false" customHeight="false" outlineLevel="0" collapsed="false">
      <c r="A715" s="13" t="s">
        <v>3456</v>
      </c>
      <c r="B715" s="13" t="n">
        <v>710</v>
      </c>
      <c r="C715" s="13" t="s">
        <v>3457</v>
      </c>
      <c r="D715" s="13" t="n">
        <v>5</v>
      </c>
      <c r="E715" s="34" t="s">
        <v>1534</v>
      </c>
      <c r="F715" s="13" t="s">
        <v>1298</v>
      </c>
      <c r="G715" s="13" t="s">
        <v>322</v>
      </c>
      <c r="H715" s="13" t="s">
        <v>3455</v>
      </c>
      <c r="I715" s="13" t="s">
        <v>80</v>
      </c>
      <c r="J715" s="13" t="s">
        <v>3455</v>
      </c>
      <c r="K715" s="30" t="n">
        <v>47</v>
      </c>
      <c r="L715" s="31" t="n">
        <v>46051</v>
      </c>
      <c r="M715" s="31" t="n">
        <v>46097</v>
      </c>
      <c r="N715" s="13"/>
      <c r="O715" s="13" t="s">
        <v>1299</v>
      </c>
      <c r="P715" s="13"/>
      <c r="Q715" s="13"/>
    </row>
    <row r="716" customFormat="false" ht="15" hidden="false" customHeight="false" outlineLevel="0" collapsed="false">
      <c r="A716" s="16" t="s">
        <v>3458</v>
      </c>
      <c r="B716" s="16" t="n">
        <v>711</v>
      </c>
      <c r="C716" s="16" t="s">
        <v>3459</v>
      </c>
      <c r="D716" s="16" t="n">
        <v>6</v>
      </c>
      <c r="E716" s="35" t="s">
        <v>1537</v>
      </c>
      <c r="F716" s="16" t="s">
        <v>1285</v>
      </c>
      <c r="G716" s="16" t="s">
        <v>322</v>
      </c>
      <c r="H716" s="16" t="s">
        <v>3455</v>
      </c>
      <c r="I716" s="16" t="s">
        <v>80</v>
      </c>
      <c r="J716" s="16" t="s">
        <v>1534</v>
      </c>
      <c r="K716" s="32" t="n">
        <v>1</v>
      </c>
      <c r="L716" s="33" t="n">
        <v>46051</v>
      </c>
      <c r="M716" s="33" t="n">
        <v>46051</v>
      </c>
      <c r="N716" s="16" t="s">
        <v>3460</v>
      </c>
      <c r="O716" s="16" t="s">
        <v>1299</v>
      </c>
      <c r="P716" s="16" t="str">
        <f aca="false">IF(AND(L716&lt;=$D$2,M716&gt;=$C$2),"Sí","")</f>
        <v/>
      </c>
      <c r="Q716" s="18" t="str">
        <f aca="false">IF(COUNTIF(LOOKAHEAD!$A$5:$A$604,A716)&gt;0,"En Lookahead",IF(P716="Sí","INCORPORAR",""))</f>
        <v/>
      </c>
    </row>
    <row r="717" customFormat="false" ht="15" hidden="false" customHeight="false" outlineLevel="0" collapsed="false">
      <c r="A717" s="16" t="s">
        <v>3461</v>
      </c>
      <c r="B717" s="16" t="n">
        <v>712</v>
      </c>
      <c r="C717" s="16" t="s">
        <v>3462</v>
      </c>
      <c r="D717" s="16" t="n">
        <v>6</v>
      </c>
      <c r="E717" s="35" t="s">
        <v>1541</v>
      </c>
      <c r="F717" s="16" t="s">
        <v>1285</v>
      </c>
      <c r="G717" s="16" t="s">
        <v>322</v>
      </c>
      <c r="H717" s="16" t="s">
        <v>3455</v>
      </c>
      <c r="I717" s="16" t="s">
        <v>80</v>
      </c>
      <c r="J717" s="16" t="s">
        <v>1534</v>
      </c>
      <c r="K717" s="32" t="n">
        <v>1</v>
      </c>
      <c r="L717" s="33" t="n">
        <v>46052</v>
      </c>
      <c r="M717" s="33" t="n">
        <v>46052</v>
      </c>
      <c r="N717" s="16" t="s">
        <v>3463</v>
      </c>
      <c r="O717" s="16"/>
      <c r="P717" s="16" t="str">
        <f aca="false">IF(AND(L717&lt;=$D$2,M717&gt;=$C$2),"Sí","")</f>
        <v/>
      </c>
      <c r="Q717" s="18" t="str">
        <f aca="false">IF(COUNTIF(LOOKAHEAD!$A$5:$A$604,A717)&gt;0,"En Lookahead",IF(P717="Sí","INCORPORAR",""))</f>
        <v/>
      </c>
    </row>
    <row r="718" customFormat="false" ht="15" hidden="false" customHeight="false" outlineLevel="0" collapsed="false">
      <c r="A718" s="16" t="s">
        <v>3464</v>
      </c>
      <c r="B718" s="16" t="n">
        <v>713</v>
      </c>
      <c r="C718" s="16" t="s">
        <v>3465</v>
      </c>
      <c r="D718" s="16" t="n">
        <v>6</v>
      </c>
      <c r="E718" s="35" t="s">
        <v>1545</v>
      </c>
      <c r="F718" s="16" t="s">
        <v>1285</v>
      </c>
      <c r="G718" s="16" t="s">
        <v>322</v>
      </c>
      <c r="H718" s="16" t="s">
        <v>3455</v>
      </c>
      <c r="I718" s="16" t="s">
        <v>80</v>
      </c>
      <c r="J718" s="16" t="s">
        <v>1534</v>
      </c>
      <c r="K718" s="32" t="n">
        <v>1</v>
      </c>
      <c r="L718" s="33" t="n">
        <v>46053</v>
      </c>
      <c r="M718" s="33" t="n">
        <v>46053</v>
      </c>
      <c r="N718" s="16" t="s">
        <v>3466</v>
      </c>
      <c r="O718" s="16"/>
      <c r="P718" s="16" t="str">
        <f aca="false">IF(AND(L718&lt;=$D$2,M718&gt;=$C$2),"Sí","")</f>
        <v/>
      </c>
      <c r="Q718" s="18" t="str">
        <f aca="false">IF(COUNTIF(LOOKAHEAD!$A$5:$A$604,A718)&gt;0,"En Lookahead",IF(P718="Sí","INCORPORAR",""))</f>
        <v/>
      </c>
    </row>
    <row r="719" customFormat="false" ht="15" hidden="false" customHeight="false" outlineLevel="0" collapsed="false">
      <c r="A719" s="16" t="s">
        <v>3467</v>
      </c>
      <c r="B719" s="16" t="n">
        <v>714</v>
      </c>
      <c r="C719" s="16" t="s">
        <v>3468</v>
      </c>
      <c r="D719" s="16" t="n">
        <v>6</v>
      </c>
      <c r="E719" s="35" t="s">
        <v>1549</v>
      </c>
      <c r="F719" s="16" t="s">
        <v>1285</v>
      </c>
      <c r="G719" s="16" t="s">
        <v>322</v>
      </c>
      <c r="H719" s="16" t="s">
        <v>3455</v>
      </c>
      <c r="I719" s="16" t="s">
        <v>80</v>
      </c>
      <c r="J719" s="16" t="s">
        <v>1534</v>
      </c>
      <c r="K719" s="32" t="n">
        <v>1</v>
      </c>
      <c r="L719" s="33" t="n">
        <v>46054</v>
      </c>
      <c r="M719" s="33" t="n">
        <v>46054</v>
      </c>
      <c r="N719" s="16" t="s">
        <v>3469</v>
      </c>
      <c r="O719" s="16"/>
      <c r="P719" s="16" t="str">
        <f aca="false">IF(AND(L719&lt;=$D$2,M719&gt;=$C$2),"Sí","")</f>
        <v/>
      </c>
      <c r="Q719" s="18" t="str">
        <f aca="false">IF(COUNTIF(LOOKAHEAD!$A$5:$A$604,A719)&gt;0,"En Lookahead",IF(P719="Sí","INCORPORAR",""))</f>
        <v/>
      </c>
    </row>
    <row r="720" customFormat="false" ht="15" hidden="false" customHeight="false" outlineLevel="0" collapsed="false">
      <c r="A720" s="16" t="s">
        <v>3470</v>
      </c>
      <c r="B720" s="16" t="n">
        <v>715</v>
      </c>
      <c r="C720" s="16" t="s">
        <v>3471</v>
      </c>
      <c r="D720" s="16" t="n">
        <v>6</v>
      </c>
      <c r="E720" s="35" t="s">
        <v>1553</v>
      </c>
      <c r="F720" s="16" t="s">
        <v>1285</v>
      </c>
      <c r="G720" s="16" t="s">
        <v>322</v>
      </c>
      <c r="H720" s="16" t="s">
        <v>3455</v>
      </c>
      <c r="I720" s="16" t="s">
        <v>80</v>
      </c>
      <c r="J720" s="16" t="s">
        <v>1534</v>
      </c>
      <c r="K720" s="32" t="n">
        <v>7</v>
      </c>
      <c r="L720" s="33" t="n">
        <v>46067</v>
      </c>
      <c r="M720" s="33" t="n">
        <v>46073</v>
      </c>
      <c r="N720" s="16" t="s">
        <v>3472</v>
      </c>
      <c r="O720" s="16"/>
      <c r="P720" s="16" t="str">
        <f aca="false">IF(AND(L720&lt;=$D$2,M720&gt;=$C$2),"Sí","")</f>
        <v/>
      </c>
      <c r="Q720" s="18" t="str">
        <f aca="false">IF(COUNTIF(LOOKAHEAD!$A$5:$A$604,A720)&gt;0,"En Lookahead",IF(P720="Sí","INCORPORAR",""))</f>
        <v/>
      </c>
    </row>
    <row r="721" customFormat="false" ht="15" hidden="false" customHeight="false" outlineLevel="0" collapsed="false">
      <c r="A721" s="16" t="s">
        <v>3473</v>
      </c>
      <c r="B721" s="16" t="n">
        <v>716</v>
      </c>
      <c r="C721" s="16" t="s">
        <v>3474</v>
      </c>
      <c r="D721" s="16" t="n">
        <v>6</v>
      </c>
      <c r="E721" s="35" t="s">
        <v>1557</v>
      </c>
      <c r="F721" s="16" t="s">
        <v>1285</v>
      </c>
      <c r="G721" s="16" t="s">
        <v>322</v>
      </c>
      <c r="H721" s="16" t="s">
        <v>3455</v>
      </c>
      <c r="I721" s="16" t="s">
        <v>80</v>
      </c>
      <c r="J721" s="16" t="s">
        <v>1534</v>
      </c>
      <c r="K721" s="32" t="n">
        <v>39</v>
      </c>
      <c r="L721" s="33" t="n">
        <v>46054</v>
      </c>
      <c r="M721" s="33" t="n">
        <v>46092</v>
      </c>
      <c r="N721" s="16" t="s">
        <v>3469</v>
      </c>
      <c r="O721" s="16"/>
      <c r="P721" s="16" t="str">
        <f aca="false">IF(AND(L721&lt;=$D$2,M721&gt;=$C$2),"Sí","")</f>
        <v/>
      </c>
      <c r="Q721" s="18" t="str">
        <f aca="false">IF(COUNTIF(LOOKAHEAD!$A$5:$A$604,A721)&gt;0,"En Lookahead",IF(P721="Sí","INCORPORAR",""))</f>
        <v/>
      </c>
    </row>
    <row r="722" customFormat="false" ht="15" hidden="false" customHeight="false" outlineLevel="0" collapsed="false">
      <c r="A722" s="16" t="s">
        <v>3475</v>
      </c>
      <c r="B722" s="16" t="n">
        <v>717</v>
      </c>
      <c r="C722" s="16" t="s">
        <v>3476</v>
      </c>
      <c r="D722" s="16" t="n">
        <v>6</v>
      </c>
      <c r="E722" s="35" t="s">
        <v>1560</v>
      </c>
      <c r="F722" s="16" t="s">
        <v>1285</v>
      </c>
      <c r="G722" s="16" t="s">
        <v>322</v>
      </c>
      <c r="H722" s="16" t="s">
        <v>3455</v>
      </c>
      <c r="I722" s="16" t="s">
        <v>80</v>
      </c>
      <c r="J722" s="16" t="s">
        <v>1534</v>
      </c>
      <c r="K722" s="32" t="n">
        <v>5</v>
      </c>
      <c r="L722" s="33" t="n">
        <v>46093</v>
      </c>
      <c r="M722" s="33" t="n">
        <v>46097</v>
      </c>
      <c r="N722" s="16" t="s">
        <v>3477</v>
      </c>
      <c r="O722" s="16"/>
      <c r="P722" s="16" t="str">
        <f aca="false">IF(AND(L722&lt;=$D$2,M722&gt;=$C$2),"Sí","")</f>
        <v/>
      </c>
      <c r="Q722" s="18" t="str">
        <f aca="false">IF(COUNTIF(LOOKAHEAD!$A$5:$A$604,A722)&gt;0,"En Lookahead",IF(P722="Sí","INCORPORAR",""))</f>
        <v/>
      </c>
    </row>
    <row r="723" customFormat="false" ht="15" hidden="false" customHeight="false" outlineLevel="0" collapsed="false">
      <c r="A723" s="16" t="s">
        <v>3478</v>
      </c>
      <c r="B723" s="16" t="n">
        <v>718</v>
      </c>
      <c r="C723" s="16" t="s">
        <v>3479</v>
      </c>
      <c r="D723" s="16" t="n">
        <v>6</v>
      </c>
      <c r="E723" s="35" t="s">
        <v>1564</v>
      </c>
      <c r="F723" s="16" t="s">
        <v>1285</v>
      </c>
      <c r="G723" s="16" t="s">
        <v>322</v>
      </c>
      <c r="H723" s="16" t="s">
        <v>3455</v>
      </c>
      <c r="I723" s="16" t="s">
        <v>80</v>
      </c>
      <c r="J723" s="16" t="s">
        <v>1534</v>
      </c>
      <c r="K723" s="32" t="n">
        <v>4</v>
      </c>
      <c r="L723" s="33" t="n">
        <v>46053</v>
      </c>
      <c r="M723" s="33" t="n">
        <v>46056</v>
      </c>
      <c r="N723" s="16" t="s">
        <v>3466</v>
      </c>
      <c r="O723" s="16"/>
      <c r="P723" s="16" t="str">
        <f aca="false">IF(AND(L723&lt;=$D$2,M723&gt;=$C$2),"Sí","")</f>
        <v/>
      </c>
      <c r="Q723" s="18" t="str">
        <f aca="false">IF(COUNTIF(LOOKAHEAD!$A$5:$A$604,A723)&gt;0,"En Lookahead",IF(P723="Sí","INCORPORAR",""))</f>
        <v/>
      </c>
    </row>
    <row r="724" customFormat="false" ht="15" hidden="false" customHeight="false" outlineLevel="0" collapsed="false">
      <c r="A724" s="16" t="s">
        <v>3480</v>
      </c>
      <c r="B724" s="16" t="n">
        <v>719</v>
      </c>
      <c r="C724" s="16" t="s">
        <v>3481</v>
      </c>
      <c r="D724" s="16" t="n">
        <v>6</v>
      </c>
      <c r="E724" s="35" t="s">
        <v>1567</v>
      </c>
      <c r="F724" s="16" t="s">
        <v>1285</v>
      </c>
      <c r="G724" s="16" t="s">
        <v>322</v>
      </c>
      <c r="H724" s="16" t="s">
        <v>3455</v>
      </c>
      <c r="I724" s="16" t="s">
        <v>80</v>
      </c>
      <c r="J724" s="16" t="s">
        <v>1534</v>
      </c>
      <c r="K724" s="32" t="n">
        <v>4</v>
      </c>
      <c r="L724" s="33" t="n">
        <v>46074</v>
      </c>
      <c r="M724" s="33" t="n">
        <v>46077</v>
      </c>
      <c r="N724" s="16" t="s">
        <v>3482</v>
      </c>
      <c r="O724" s="16"/>
      <c r="P724" s="16" t="str">
        <f aca="false">IF(AND(L724&lt;=$D$2,M724&gt;=$C$2),"Sí","")</f>
        <v/>
      </c>
      <c r="Q724" s="18" t="str">
        <f aca="false">IF(COUNTIF(LOOKAHEAD!$A$5:$A$604,A724)&gt;0,"En Lookahead",IF(P724="Sí","INCORPORAR",""))</f>
        <v/>
      </c>
    </row>
    <row r="725" customFormat="false" ht="15" hidden="false" customHeight="false" outlineLevel="0" collapsed="false">
      <c r="A725" s="13" t="s">
        <v>3483</v>
      </c>
      <c r="B725" s="13" t="n">
        <v>720</v>
      </c>
      <c r="C725" s="13" t="s">
        <v>3484</v>
      </c>
      <c r="D725" s="13" t="n">
        <v>5</v>
      </c>
      <c r="E725" s="34" t="s">
        <v>1571</v>
      </c>
      <c r="F725" s="13" t="s">
        <v>1298</v>
      </c>
      <c r="G725" s="13" t="s">
        <v>322</v>
      </c>
      <c r="H725" s="13" t="s">
        <v>3455</v>
      </c>
      <c r="I725" s="13" t="s">
        <v>80</v>
      </c>
      <c r="J725" s="13" t="s">
        <v>3455</v>
      </c>
      <c r="K725" s="30" t="n">
        <v>12</v>
      </c>
      <c r="L725" s="31" t="n">
        <v>46057</v>
      </c>
      <c r="M725" s="31" t="n">
        <v>46068</v>
      </c>
      <c r="N725" s="13"/>
      <c r="O725" s="13"/>
      <c r="P725" s="13"/>
      <c r="Q725" s="13"/>
    </row>
    <row r="726" customFormat="false" ht="15" hidden="false" customHeight="false" outlineLevel="0" collapsed="false">
      <c r="A726" s="13" t="s">
        <v>3485</v>
      </c>
      <c r="B726" s="13" t="n">
        <v>721</v>
      </c>
      <c r="C726" s="13" t="s">
        <v>3486</v>
      </c>
      <c r="D726" s="13" t="n">
        <v>6</v>
      </c>
      <c r="E726" s="36" t="s">
        <v>1574</v>
      </c>
      <c r="F726" s="13" t="s">
        <v>1298</v>
      </c>
      <c r="G726" s="13" t="s">
        <v>322</v>
      </c>
      <c r="H726" s="13" t="s">
        <v>3455</v>
      </c>
      <c r="I726" s="13" t="s">
        <v>80</v>
      </c>
      <c r="J726" s="13" t="s">
        <v>1571</v>
      </c>
      <c r="K726" s="30" t="n">
        <v>1</v>
      </c>
      <c r="L726" s="31" t="n">
        <v>46057</v>
      </c>
      <c r="M726" s="31" t="n">
        <v>46057</v>
      </c>
      <c r="N726" s="13"/>
      <c r="O726" s="13"/>
      <c r="P726" s="13"/>
      <c r="Q726" s="13"/>
    </row>
    <row r="727" customFormat="false" ht="15" hidden="false" customHeight="false" outlineLevel="0" collapsed="false">
      <c r="A727" s="16" t="s">
        <v>3487</v>
      </c>
      <c r="B727" s="16" t="n">
        <v>722</v>
      </c>
      <c r="C727" s="16" t="s">
        <v>3488</v>
      </c>
      <c r="D727" s="16" t="n">
        <v>7</v>
      </c>
      <c r="E727" s="37" t="s">
        <v>1577</v>
      </c>
      <c r="F727" s="16" t="s">
        <v>1285</v>
      </c>
      <c r="G727" s="16" t="s">
        <v>322</v>
      </c>
      <c r="H727" s="16" t="s">
        <v>3455</v>
      </c>
      <c r="I727" s="16" t="s">
        <v>80</v>
      </c>
      <c r="J727" s="16" t="s">
        <v>1574</v>
      </c>
      <c r="K727" s="32" t="n">
        <v>1</v>
      </c>
      <c r="L727" s="33" t="n">
        <v>46057</v>
      </c>
      <c r="M727" s="33" t="n">
        <v>46057</v>
      </c>
      <c r="N727" s="16" t="s">
        <v>3489</v>
      </c>
      <c r="O727" s="16"/>
      <c r="P727" s="16" t="str">
        <f aca="false">IF(AND(L727&lt;=$D$2,M727&gt;=$C$2),"Sí","")</f>
        <v/>
      </c>
      <c r="Q727" s="18" t="str">
        <f aca="false">IF(COUNTIF(LOOKAHEAD!$A$5:$A$604,A727)&gt;0,"En Lookahead",IF(P727="Sí","INCORPORAR",""))</f>
        <v/>
      </c>
    </row>
    <row r="728" customFormat="false" ht="15" hidden="false" customHeight="false" outlineLevel="0" collapsed="false">
      <c r="A728" s="13" t="s">
        <v>3490</v>
      </c>
      <c r="B728" s="13" t="n">
        <v>723</v>
      </c>
      <c r="C728" s="13" t="s">
        <v>3491</v>
      </c>
      <c r="D728" s="13" t="n">
        <v>6</v>
      </c>
      <c r="E728" s="36" t="s">
        <v>1581</v>
      </c>
      <c r="F728" s="13" t="s">
        <v>1298</v>
      </c>
      <c r="G728" s="13" t="s">
        <v>322</v>
      </c>
      <c r="H728" s="13" t="s">
        <v>3455</v>
      </c>
      <c r="I728" s="13" t="s">
        <v>80</v>
      </c>
      <c r="J728" s="13" t="s">
        <v>1571</v>
      </c>
      <c r="K728" s="30" t="n">
        <v>5</v>
      </c>
      <c r="L728" s="31" t="n">
        <v>46058</v>
      </c>
      <c r="M728" s="31" t="n">
        <v>46062</v>
      </c>
      <c r="N728" s="13"/>
      <c r="O728" s="13"/>
      <c r="P728" s="13"/>
      <c r="Q728" s="13"/>
    </row>
    <row r="729" customFormat="false" ht="15" hidden="false" customHeight="false" outlineLevel="0" collapsed="false">
      <c r="A729" s="16" t="s">
        <v>3492</v>
      </c>
      <c r="B729" s="16" t="n">
        <v>724</v>
      </c>
      <c r="C729" s="16" t="s">
        <v>3493</v>
      </c>
      <c r="D729" s="16" t="n">
        <v>7</v>
      </c>
      <c r="E729" s="37" t="s">
        <v>1584</v>
      </c>
      <c r="F729" s="16" t="s">
        <v>1285</v>
      </c>
      <c r="G729" s="16" t="s">
        <v>322</v>
      </c>
      <c r="H729" s="16" t="s">
        <v>3455</v>
      </c>
      <c r="I729" s="16" t="s">
        <v>80</v>
      </c>
      <c r="J729" s="16" t="s">
        <v>1581</v>
      </c>
      <c r="K729" s="32" t="n">
        <v>1</v>
      </c>
      <c r="L729" s="33" t="n">
        <v>46062</v>
      </c>
      <c r="M729" s="33" t="n">
        <v>46062</v>
      </c>
      <c r="N729" s="16" t="s">
        <v>3494</v>
      </c>
      <c r="O729" s="16"/>
      <c r="P729" s="16" t="str">
        <f aca="false">IF(AND(L729&lt;=$D$2,M729&gt;=$C$2),"Sí","")</f>
        <v/>
      </c>
      <c r="Q729" s="18" t="str">
        <f aca="false">IF(COUNTIF(LOOKAHEAD!$A$5:$A$604,A729)&gt;0,"En Lookahead",IF(P729="Sí","INCORPORAR",""))</f>
        <v/>
      </c>
    </row>
    <row r="730" customFormat="false" ht="15" hidden="false" customHeight="false" outlineLevel="0" collapsed="false">
      <c r="A730" s="16" t="s">
        <v>3495</v>
      </c>
      <c r="B730" s="16" t="n">
        <v>725</v>
      </c>
      <c r="C730" s="16" t="s">
        <v>3496</v>
      </c>
      <c r="D730" s="16" t="n">
        <v>7</v>
      </c>
      <c r="E730" s="37" t="s">
        <v>1588</v>
      </c>
      <c r="F730" s="16" t="s">
        <v>1285</v>
      </c>
      <c r="G730" s="16" t="s">
        <v>322</v>
      </c>
      <c r="H730" s="16" t="s">
        <v>3455</v>
      </c>
      <c r="I730" s="16" t="s">
        <v>80</v>
      </c>
      <c r="J730" s="16" t="s">
        <v>1581</v>
      </c>
      <c r="K730" s="32" t="n">
        <v>4</v>
      </c>
      <c r="L730" s="33" t="n">
        <v>46058</v>
      </c>
      <c r="M730" s="33" t="n">
        <v>46061</v>
      </c>
      <c r="N730" s="16" t="s">
        <v>3497</v>
      </c>
      <c r="O730" s="16"/>
      <c r="P730" s="16" t="str">
        <f aca="false">IF(AND(L730&lt;=$D$2,M730&gt;=$C$2),"Sí","")</f>
        <v/>
      </c>
      <c r="Q730" s="18" t="str">
        <f aca="false">IF(COUNTIF(LOOKAHEAD!$A$5:$A$604,A730)&gt;0,"En Lookahead",IF(P730="Sí","INCORPORAR",""))</f>
        <v/>
      </c>
    </row>
    <row r="731" customFormat="false" ht="15" hidden="false" customHeight="false" outlineLevel="0" collapsed="false">
      <c r="A731" s="13" t="s">
        <v>3498</v>
      </c>
      <c r="B731" s="13" t="n">
        <v>726</v>
      </c>
      <c r="C731" s="13" t="s">
        <v>3499</v>
      </c>
      <c r="D731" s="13" t="n">
        <v>6</v>
      </c>
      <c r="E731" s="36" t="s">
        <v>1592</v>
      </c>
      <c r="F731" s="13" t="s">
        <v>1298</v>
      </c>
      <c r="G731" s="13" t="s">
        <v>322</v>
      </c>
      <c r="H731" s="13" t="s">
        <v>3455</v>
      </c>
      <c r="I731" s="13" t="s">
        <v>80</v>
      </c>
      <c r="J731" s="13" t="s">
        <v>1571</v>
      </c>
      <c r="K731" s="30" t="n">
        <v>6</v>
      </c>
      <c r="L731" s="31" t="n">
        <v>46063</v>
      </c>
      <c r="M731" s="31" t="n">
        <v>46068</v>
      </c>
      <c r="N731" s="13"/>
      <c r="O731" s="13"/>
      <c r="P731" s="13"/>
      <c r="Q731" s="13"/>
    </row>
    <row r="732" customFormat="false" ht="15" hidden="false" customHeight="false" outlineLevel="0" collapsed="false">
      <c r="A732" s="16" t="s">
        <v>3500</v>
      </c>
      <c r="B732" s="16" t="n">
        <v>727</v>
      </c>
      <c r="C732" s="16" t="s">
        <v>3501</v>
      </c>
      <c r="D732" s="16" t="n">
        <v>7</v>
      </c>
      <c r="E732" s="37" t="s">
        <v>1595</v>
      </c>
      <c r="F732" s="16" t="s">
        <v>1285</v>
      </c>
      <c r="G732" s="16" t="s">
        <v>322</v>
      </c>
      <c r="H732" s="16" t="s">
        <v>3455</v>
      </c>
      <c r="I732" s="16" t="s">
        <v>80</v>
      </c>
      <c r="J732" s="16" t="s">
        <v>1592</v>
      </c>
      <c r="K732" s="32" t="n">
        <v>1</v>
      </c>
      <c r="L732" s="33" t="n">
        <v>46066</v>
      </c>
      <c r="M732" s="33" t="n">
        <v>46066</v>
      </c>
      <c r="N732" s="16" t="s">
        <v>3502</v>
      </c>
      <c r="O732" s="16"/>
      <c r="P732" s="16" t="str">
        <f aca="false">IF(AND(L732&lt;=$D$2,M732&gt;=$C$2),"Sí","")</f>
        <v/>
      </c>
      <c r="Q732" s="18" t="str">
        <f aca="false">IF(COUNTIF(LOOKAHEAD!$A$5:$A$604,A732)&gt;0,"En Lookahead",IF(P732="Sí","INCORPORAR",""))</f>
        <v/>
      </c>
    </row>
    <row r="733" customFormat="false" ht="15" hidden="false" customHeight="false" outlineLevel="0" collapsed="false">
      <c r="A733" s="16" t="s">
        <v>3503</v>
      </c>
      <c r="B733" s="16" t="n">
        <v>728</v>
      </c>
      <c r="C733" s="16" t="s">
        <v>3504</v>
      </c>
      <c r="D733" s="16" t="n">
        <v>7</v>
      </c>
      <c r="E733" s="37" t="s">
        <v>1588</v>
      </c>
      <c r="F733" s="16" t="s">
        <v>1285</v>
      </c>
      <c r="G733" s="16" t="s">
        <v>322</v>
      </c>
      <c r="H733" s="16" t="s">
        <v>3455</v>
      </c>
      <c r="I733" s="16" t="s">
        <v>80</v>
      </c>
      <c r="J733" s="16" t="s">
        <v>1592</v>
      </c>
      <c r="K733" s="32" t="n">
        <v>3</v>
      </c>
      <c r="L733" s="33" t="n">
        <v>46063</v>
      </c>
      <c r="M733" s="33" t="n">
        <v>46065</v>
      </c>
      <c r="N733" s="16" t="s">
        <v>3505</v>
      </c>
      <c r="O733" s="16"/>
      <c r="P733" s="16" t="str">
        <f aca="false">IF(AND(L733&lt;=$D$2,M733&gt;=$C$2),"Sí","")</f>
        <v/>
      </c>
      <c r="Q733" s="18" t="str">
        <f aca="false">IF(COUNTIF(LOOKAHEAD!$A$5:$A$604,A733)&gt;0,"En Lookahead",IF(P733="Sí","INCORPORAR",""))</f>
        <v/>
      </c>
    </row>
    <row r="734" customFormat="false" ht="15" hidden="false" customHeight="false" outlineLevel="0" collapsed="false">
      <c r="A734" s="16" t="s">
        <v>3506</v>
      </c>
      <c r="B734" s="16" t="n">
        <v>729</v>
      </c>
      <c r="C734" s="16" t="s">
        <v>3507</v>
      </c>
      <c r="D734" s="16" t="n">
        <v>7</v>
      </c>
      <c r="E734" s="37" t="s">
        <v>1602</v>
      </c>
      <c r="F734" s="16" t="s">
        <v>1285</v>
      </c>
      <c r="G734" s="16" t="s">
        <v>322</v>
      </c>
      <c r="H734" s="16" t="s">
        <v>3455</v>
      </c>
      <c r="I734" s="16" t="s">
        <v>80</v>
      </c>
      <c r="J734" s="16" t="s">
        <v>1592</v>
      </c>
      <c r="K734" s="32" t="n">
        <v>2</v>
      </c>
      <c r="L734" s="33" t="n">
        <v>46067</v>
      </c>
      <c r="M734" s="33" t="n">
        <v>46068</v>
      </c>
      <c r="N734" s="16" t="s">
        <v>3472</v>
      </c>
      <c r="O734" s="16"/>
      <c r="P734" s="16" t="str">
        <f aca="false">IF(AND(L734&lt;=$D$2,M734&gt;=$C$2),"Sí","")</f>
        <v/>
      </c>
      <c r="Q734" s="18" t="str">
        <f aca="false">IF(COUNTIF(LOOKAHEAD!$A$5:$A$604,A734)&gt;0,"En Lookahead",IF(P734="Sí","INCORPORAR",""))</f>
        <v/>
      </c>
    </row>
    <row r="735" customFormat="false" ht="15" hidden="false" customHeight="false" outlineLevel="0" collapsed="false">
      <c r="A735" s="13" t="s">
        <v>3508</v>
      </c>
      <c r="B735" s="13" t="n">
        <v>730</v>
      </c>
      <c r="C735" s="13" t="s">
        <v>3509</v>
      </c>
      <c r="D735" s="13" t="n">
        <v>6</v>
      </c>
      <c r="E735" s="36" t="s">
        <v>1606</v>
      </c>
      <c r="F735" s="13" t="s">
        <v>1298</v>
      </c>
      <c r="G735" s="13" t="s">
        <v>322</v>
      </c>
      <c r="H735" s="13" t="s">
        <v>3455</v>
      </c>
      <c r="I735" s="13" t="s">
        <v>80</v>
      </c>
      <c r="J735" s="13" t="s">
        <v>1571</v>
      </c>
      <c r="K735" s="30" t="n">
        <v>8</v>
      </c>
      <c r="L735" s="31" t="n">
        <v>46058</v>
      </c>
      <c r="M735" s="31" t="n">
        <v>46065</v>
      </c>
      <c r="N735" s="13"/>
      <c r="O735" s="13"/>
      <c r="P735" s="13"/>
      <c r="Q735" s="13"/>
    </row>
    <row r="736" customFormat="false" ht="15" hidden="false" customHeight="false" outlineLevel="0" collapsed="false">
      <c r="A736" s="16" t="s">
        <v>3510</v>
      </c>
      <c r="B736" s="16" t="n">
        <v>731</v>
      </c>
      <c r="C736" s="16" t="s">
        <v>3511</v>
      </c>
      <c r="D736" s="16" t="n">
        <v>7</v>
      </c>
      <c r="E736" s="37" t="s">
        <v>1609</v>
      </c>
      <c r="F736" s="16" t="s">
        <v>1285</v>
      </c>
      <c r="G736" s="16" t="s">
        <v>322</v>
      </c>
      <c r="H736" s="16" t="s">
        <v>3455</v>
      </c>
      <c r="I736" s="16" t="s">
        <v>80</v>
      </c>
      <c r="J736" s="16" t="s">
        <v>1606</v>
      </c>
      <c r="K736" s="32" t="n">
        <v>2</v>
      </c>
      <c r="L736" s="33" t="n">
        <v>46064</v>
      </c>
      <c r="M736" s="33" t="n">
        <v>46065</v>
      </c>
      <c r="N736" s="16" t="s">
        <v>3512</v>
      </c>
      <c r="O736" s="16"/>
      <c r="P736" s="16" t="str">
        <f aca="false">IF(AND(L736&lt;=$D$2,M736&gt;=$C$2),"Sí","")</f>
        <v/>
      </c>
      <c r="Q736" s="18" t="str">
        <f aca="false">IF(COUNTIF(LOOKAHEAD!$A$5:$A$604,A736)&gt;0,"En Lookahead",IF(P736="Sí","INCORPORAR",""))</f>
        <v/>
      </c>
    </row>
    <row r="737" customFormat="false" ht="15" hidden="false" customHeight="false" outlineLevel="0" collapsed="false">
      <c r="A737" s="16" t="s">
        <v>3513</v>
      </c>
      <c r="B737" s="16" t="n">
        <v>732</v>
      </c>
      <c r="C737" s="16" t="s">
        <v>3514</v>
      </c>
      <c r="D737" s="16" t="n">
        <v>7</v>
      </c>
      <c r="E737" s="37" t="s">
        <v>1588</v>
      </c>
      <c r="F737" s="16" t="s">
        <v>1285</v>
      </c>
      <c r="G737" s="16" t="s">
        <v>322</v>
      </c>
      <c r="H737" s="16" t="s">
        <v>3455</v>
      </c>
      <c r="I737" s="16" t="s">
        <v>80</v>
      </c>
      <c r="J737" s="16" t="s">
        <v>1606</v>
      </c>
      <c r="K737" s="32" t="n">
        <v>6</v>
      </c>
      <c r="L737" s="33" t="n">
        <v>46058</v>
      </c>
      <c r="M737" s="33" t="n">
        <v>46063</v>
      </c>
      <c r="N737" s="16" t="s">
        <v>3497</v>
      </c>
      <c r="O737" s="16"/>
      <c r="P737" s="16" t="str">
        <f aca="false">IF(AND(L737&lt;=$D$2,M737&gt;=$C$2),"Sí","")</f>
        <v/>
      </c>
      <c r="Q737" s="18" t="str">
        <f aca="false">IF(COUNTIF(LOOKAHEAD!$A$5:$A$604,A737)&gt;0,"En Lookahead",IF(P737="Sí","INCORPORAR",""))</f>
        <v/>
      </c>
    </row>
    <row r="738" customFormat="false" ht="15" hidden="false" customHeight="false" outlineLevel="0" collapsed="false">
      <c r="A738" s="13" t="s">
        <v>3515</v>
      </c>
      <c r="B738" s="13" t="n">
        <v>733</v>
      </c>
      <c r="C738" s="13" t="s">
        <v>3516</v>
      </c>
      <c r="D738" s="13" t="n">
        <v>6</v>
      </c>
      <c r="E738" s="36" t="s">
        <v>1616</v>
      </c>
      <c r="F738" s="13" t="s">
        <v>1298</v>
      </c>
      <c r="G738" s="13" t="s">
        <v>322</v>
      </c>
      <c r="H738" s="13" t="s">
        <v>3455</v>
      </c>
      <c r="I738" s="13" t="s">
        <v>80</v>
      </c>
      <c r="J738" s="13" t="s">
        <v>1571</v>
      </c>
      <c r="K738" s="30" t="n">
        <v>2</v>
      </c>
      <c r="L738" s="31" t="n">
        <v>46066</v>
      </c>
      <c r="M738" s="31" t="n">
        <v>46067</v>
      </c>
      <c r="N738" s="13"/>
      <c r="O738" s="13"/>
      <c r="P738" s="13"/>
      <c r="Q738" s="13"/>
    </row>
    <row r="739" customFormat="false" ht="15" hidden="false" customHeight="false" outlineLevel="0" collapsed="false">
      <c r="A739" s="16" t="s">
        <v>3517</v>
      </c>
      <c r="B739" s="16" t="n">
        <v>734</v>
      </c>
      <c r="C739" s="16" t="s">
        <v>3518</v>
      </c>
      <c r="D739" s="16" t="n">
        <v>7</v>
      </c>
      <c r="E739" s="37" t="s">
        <v>1619</v>
      </c>
      <c r="F739" s="16" t="s">
        <v>1285</v>
      </c>
      <c r="G739" s="16" t="s">
        <v>322</v>
      </c>
      <c r="H739" s="16" t="s">
        <v>3455</v>
      </c>
      <c r="I739" s="16" t="s">
        <v>80</v>
      </c>
      <c r="J739" s="16" t="s">
        <v>1616</v>
      </c>
      <c r="K739" s="32" t="n">
        <v>2</v>
      </c>
      <c r="L739" s="33" t="n">
        <v>46066</v>
      </c>
      <c r="M739" s="33" t="n">
        <v>46067</v>
      </c>
      <c r="N739" s="16" t="s">
        <v>3519</v>
      </c>
      <c r="O739" s="16"/>
      <c r="P739" s="16" t="str">
        <f aca="false">IF(AND(L739&lt;=$D$2,M739&gt;=$C$2),"Sí","")</f>
        <v/>
      </c>
      <c r="Q739" s="18" t="str">
        <f aca="false">IF(COUNTIF(LOOKAHEAD!$A$5:$A$604,A739)&gt;0,"En Lookahead",IF(P739="Sí","INCORPORAR",""))</f>
        <v/>
      </c>
    </row>
    <row r="740" customFormat="false" ht="15" hidden="false" customHeight="false" outlineLevel="0" collapsed="false">
      <c r="A740" s="13" t="s">
        <v>3520</v>
      </c>
      <c r="B740" s="13" t="n">
        <v>735</v>
      </c>
      <c r="C740" s="13" t="s">
        <v>3521</v>
      </c>
      <c r="D740" s="13" t="n">
        <v>5</v>
      </c>
      <c r="E740" s="34" t="s">
        <v>1623</v>
      </c>
      <c r="F740" s="13" t="s">
        <v>1298</v>
      </c>
      <c r="G740" s="13" t="s">
        <v>322</v>
      </c>
      <c r="H740" s="13" t="s">
        <v>3455</v>
      </c>
      <c r="I740" s="13" t="s">
        <v>80</v>
      </c>
      <c r="J740" s="13" t="s">
        <v>3455</v>
      </c>
      <c r="K740" s="30" t="n">
        <v>83</v>
      </c>
      <c r="L740" s="31" t="n">
        <v>46066</v>
      </c>
      <c r="M740" s="31" t="n">
        <v>46148</v>
      </c>
      <c r="N740" s="13"/>
      <c r="O740" s="13"/>
      <c r="P740" s="13"/>
      <c r="Q740" s="13"/>
    </row>
    <row r="741" customFormat="false" ht="15" hidden="false" customHeight="false" outlineLevel="0" collapsed="false">
      <c r="A741" s="13" t="s">
        <v>3522</v>
      </c>
      <c r="B741" s="13" t="n">
        <v>736</v>
      </c>
      <c r="C741" s="13" t="s">
        <v>3523</v>
      </c>
      <c r="D741" s="13" t="n">
        <v>6</v>
      </c>
      <c r="E741" s="36" t="s">
        <v>1626</v>
      </c>
      <c r="F741" s="13" t="s">
        <v>1298</v>
      </c>
      <c r="G741" s="13" t="s">
        <v>322</v>
      </c>
      <c r="H741" s="13" t="s">
        <v>3455</v>
      </c>
      <c r="I741" s="13" t="s">
        <v>80</v>
      </c>
      <c r="J741" s="13" t="s">
        <v>1623</v>
      </c>
      <c r="K741" s="30" t="n">
        <v>10</v>
      </c>
      <c r="L741" s="31" t="n">
        <v>46066</v>
      </c>
      <c r="M741" s="31" t="n">
        <v>46075</v>
      </c>
      <c r="N741" s="13"/>
      <c r="O741" s="13"/>
      <c r="P741" s="13"/>
      <c r="Q741" s="13"/>
    </row>
    <row r="742" customFormat="false" ht="15" hidden="false" customHeight="false" outlineLevel="0" collapsed="false">
      <c r="A742" s="16" t="s">
        <v>3524</v>
      </c>
      <c r="B742" s="16" t="n">
        <v>737</v>
      </c>
      <c r="C742" s="16" t="s">
        <v>3525</v>
      </c>
      <c r="D742" s="16" t="n">
        <v>7</v>
      </c>
      <c r="E742" s="37" t="s">
        <v>1629</v>
      </c>
      <c r="F742" s="16" t="s">
        <v>1285</v>
      </c>
      <c r="G742" s="16" t="s">
        <v>322</v>
      </c>
      <c r="H742" s="16" t="s">
        <v>3455</v>
      </c>
      <c r="I742" s="16" t="s">
        <v>80</v>
      </c>
      <c r="J742" s="16" t="s">
        <v>1626</v>
      </c>
      <c r="K742" s="32" t="n">
        <v>1</v>
      </c>
      <c r="L742" s="33" t="n">
        <v>46074</v>
      </c>
      <c r="M742" s="33" t="n">
        <v>46074</v>
      </c>
      <c r="N742" s="16" t="s">
        <v>3526</v>
      </c>
      <c r="O742" s="16"/>
      <c r="P742" s="16" t="str">
        <f aca="false">IF(AND(L742&lt;=$D$2,M742&gt;=$C$2),"Sí","")</f>
        <v/>
      </c>
      <c r="Q742" s="18" t="str">
        <f aca="false">IF(COUNTIF(LOOKAHEAD!$A$5:$A$604,A742)&gt;0,"En Lookahead",IF(P742="Sí","INCORPORAR",""))</f>
        <v/>
      </c>
    </row>
    <row r="743" customFormat="false" ht="15" hidden="false" customHeight="false" outlineLevel="0" collapsed="false">
      <c r="A743" s="16" t="s">
        <v>3527</v>
      </c>
      <c r="B743" s="16" t="n">
        <v>738</v>
      </c>
      <c r="C743" s="16" t="s">
        <v>3528</v>
      </c>
      <c r="D743" s="16" t="n">
        <v>7</v>
      </c>
      <c r="E743" s="37" t="s">
        <v>1633</v>
      </c>
      <c r="F743" s="16" t="s">
        <v>1285</v>
      </c>
      <c r="G743" s="16" t="s">
        <v>322</v>
      </c>
      <c r="H743" s="16" t="s">
        <v>3455</v>
      </c>
      <c r="I743" s="16" t="s">
        <v>80</v>
      </c>
      <c r="J743" s="16" t="s">
        <v>1626</v>
      </c>
      <c r="K743" s="32" t="n">
        <v>3</v>
      </c>
      <c r="L743" s="33" t="n">
        <v>46071</v>
      </c>
      <c r="M743" s="33" t="n">
        <v>46073</v>
      </c>
      <c r="N743" s="16" t="s">
        <v>3529</v>
      </c>
      <c r="O743" s="16"/>
      <c r="P743" s="16" t="str">
        <f aca="false">IF(AND(L743&lt;=$D$2,M743&gt;=$C$2),"Sí","")</f>
        <v/>
      </c>
      <c r="Q743" s="18" t="str">
        <f aca="false">IF(COUNTIF(LOOKAHEAD!$A$5:$A$604,A743)&gt;0,"En Lookahead",IF(P743="Sí","INCORPORAR",""))</f>
        <v/>
      </c>
    </row>
    <row r="744" customFormat="false" ht="15" hidden="false" customHeight="false" outlineLevel="0" collapsed="false">
      <c r="A744" s="16" t="s">
        <v>3530</v>
      </c>
      <c r="B744" s="16" t="n">
        <v>739</v>
      </c>
      <c r="C744" s="16" t="s">
        <v>3531</v>
      </c>
      <c r="D744" s="16" t="n">
        <v>7</v>
      </c>
      <c r="E744" s="37" t="s">
        <v>1637</v>
      </c>
      <c r="F744" s="16" t="s">
        <v>1285</v>
      </c>
      <c r="G744" s="16" t="s">
        <v>322</v>
      </c>
      <c r="H744" s="16" t="s">
        <v>3455</v>
      </c>
      <c r="I744" s="16" t="s">
        <v>80</v>
      </c>
      <c r="J744" s="16" t="s">
        <v>1626</v>
      </c>
      <c r="K744" s="32" t="n">
        <v>5</v>
      </c>
      <c r="L744" s="33" t="n">
        <v>46066</v>
      </c>
      <c r="M744" s="33" t="n">
        <v>46070</v>
      </c>
      <c r="N744" s="16" t="s">
        <v>3519</v>
      </c>
      <c r="O744" s="16"/>
      <c r="P744" s="16" t="str">
        <f aca="false">IF(AND(L744&lt;=$D$2,M744&gt;=$C$2),"Sí","")</f>
        <v/>
      </c>
      <c r="Q744" s="18" t="str">
        <f aca="false">IF(COUNTIF(LOOKAHEAD!$A$5:$A$604,A744)&gt;0,"En Lookahead",IF(P744="Sí","INCORPORAR",""))</f>
        <v/>
      </c>
    </row>
    <row r="745" customFormat="false" ht="15" hidden="false" customHeight="false" outlineLevel="0" collapsed="false">
      <c r="A745" s="16" t="s">
        <v>3532</v>
      </c>
      <c r="B745" s="16" t="n">
        <v>740</v>
      </c>
      <c r="C745" s="16" t="s">
        <v>3533</v>
      </c>
      <c r="D745" s="16" t="n">
        <v>7</v>
      </c>
      <c r="E745" s="37" t="s">
        <v>1602</v>
      </c>
      <c r="F745" s="16" t="s">
        <v>1285</v>
      </c>
      <c r="G745" s="16" t="s">
        <v>322</v>
      </c>
      <c r="H745" s="16" t="s">
        <v>3455</v>
      </c>
      <c r="I745" s="16" t="s">
        <v>80</v>
      </c>
      <c r="J745" s="16" t="s">
        <v>1626</v>
      </c>
      <c r="K745" s="32" t="n">
        <v>1</v>
      </c>
      <c r="L745" s="33" t="n">
        <v>46075</v>
      </c>
      <c r="M745" s="33" t="n">
        <v>46075</v>
      </c>
      <c r="N745" s="16" t="s">
        <v>3534</v>
      </c>
      <c r="O745" s="16"/>
      <c r="P745" s="16" t="str">
        <f aca="false">IF(AND(L745&lt;=$D$2,M745&gt;=$C$2),"Sí","")</f>
        <v/>
      </c>
      <c r="Q745" s="18" t="str">
        <f aca="false">IF(COUNTIF(LOOKAHEAD!$A$5:$A$604,A745)&gt;0,"En Lookahead",IF(P745="Sí","INCORPORAR",""))</f>
        <v/>
      </c>
    </row>
    <row r="746" customFormat="false" ht="15" hidden="false" customHeight="false" outlineLevel="0" collapsed="false">
      <c r="A746" s="13" t="s">
        <v>3535</v>
      </c>
      <c r="B746" s="13" t="n">
        <v>741</v>
      </c>
      <c r="C746" s="13" t="s">
        <v>3536</v>
      </c>
      <c r="D746" s="13" t="n">
        <v>6</v>
      </c>
      <c r="E746" s="36" t="s">
        <v>1644</v>
      </c>
      <c r="F746" s="13" t="s">
        <v>1298</v>
      </c>
      <c r="G746" s="13" t="s">
        <v>322</v>
      </c>
      <c r="H746" s="13" t="s">
        <v>3455</v>
      </c>
      <c r="I746" s="13" t="s">
        <v>80</v>
      </c>
      <c r="J746" s="13" t="s">
        <v>1623</v>
      </c>
      <c r="K746" s="30" t="n">
        <v>18</v>
      </c>
      <c r="L746" s="31" t="n">
        <v>46075</v>
      </c>
      <c r="M746" s="31" t="n">
        <v>46092</v>
      </c>
      <c r="N746" s="13"/>
      <c r="O746" s="13"/>
      <c r="P746" s="13"/>
      <c r="Q746" s="13"/>
    </row>
    <row r="747" customFormat="false" ht="15" hidden="false" customHeight="false" outlineLevel="0" collapsed="false">
      <c r="A747" s="16" t="s">
        <v>3537</v>
      </c>
      <c r="B747" s="16" t="n">
        <v>742</v>
      </c>
      <c r="C747" s="16" t="s">
        <v>3538</v>
      </c>
      <c r="D747" s="16" t="n">
        <v>7</v>
      </c>
      <c r="E747" s="37" t="s">
        <v>1647</v>
      </c>
      <c r="F747" s="16" t="s">
        <v>1285</v>
      </c>
      <c r="G747" s="16" t="s">
        <v>322</v>
      </c>
      <c r="H747" s="16" t="s">
        <v>3455</v>
      </c>
      <c r="I747" s="16" t="s">
        <v>80</v>
      </c>
      <c r="J747" s="16" t="s">
        <v>1644</v>
      </c>
      <c r="K747" s="32" t="n">
        <v>1</v>
      </c>
      <c r="L747" s="33" t="n">
        <v>46090</v>
      </c>
      <c r="M747" s="33" t="n">
        <v>46090</v>
      </c>
      <c r="N747" s="16" t="s">
        <v>3539</v>
      </c>
      <c r="O747" s="16"/>
      <c r="P747" s="16" t="str">
        <f aca="false">IF(AND(L747&lt;=$D$2,M747&gt;=$C$2),"Sí","")</f>
        <v/>
      </c>
      <c r="Q747" s="18" t="str">
        <f aca="false">IF(COUNTIF(LOOKAHEAD!$A$5:$A$604,A747)&gt;0,"En Lookahead",IF(P747="Sí","INCORPORAR",""))</f>
        <v/>
      </c>
    </row>
    <row r="748" customFormat="false" ht="15" hidden="false" customHeight="false" outlineLevel="0" collapsed="false">
      <c r="A748" s="16" t="s">
        <v>3540</v>
      </c>
      <c r="B748" s="16" t="n">
        <v>743</v>
      </c>
      <c r="C748" s="16" t="s">
        <v>3541</v>
      </c>
      <c r="D748" s="16" t="n">
        <v>7</v>
      </c>
      <c r="E748" s="37" t="s">
        <v>1651</v>
      </c>
      <c r="F748" s="16" t="s">
        <v>1285</v>
      </c>
      <c r="G748" s="16" t="s">
        <v>322</v>
      </c>
      <c r="H748" s="16" t="s">
        <v>3455</v>
      </c>
      <c r="I748" s="16" t="s">
        <v>80</v>
      </c>
      <c r="J748" s="16" t="s">
        <v>1644</v>
      </c>
      <c r="K748" s="32" t="n">
        <v>7</v>
      </c>
      <c r="L748" s="33" t="n">
        <v>46083</v>
      </c>
      <c r="M748" s="33" t="n">
        <v>46089</v>
      </c>
      <c r="N748" s="16" t="s">
        <v>3542</v>
      </c>
      <c r="O748" s="16"/>
      <c r="P748" s="16" t="str">
        <f aca="false">IF(AND(L748&lt;=$D$2,M748&gt;=$C$2),"Sí","")</f>
        <v/>
      </c>
      <c r="Q748" s="18" t="str">
        <f aca="false">IF(COUNTIF(LOOKAHEAD!$A$5:$A$604,A748)&gt;0,"En Lookahead",IF(P748="Sí","INCORPORAR",""))</f>
        <v/>
      </c>
    </row>
    <row r="749" customFormat="false" ht="15" hidden="false" customHeight="false" outlineLevel="0" collapsed="false">
      <c r="A749" s="16" t="s">
        <v>3543</v>
      </c>
      <c r="B749" s="16" t="n">
        <v>744</v>
      </c>
      <c r="C749" s="16" t="s">
        <v>3544</v>
      </c>
      <c r="D749" s="16" t="n">
        <v>7</v>
      </c>
      <c r="E749" s="37" t="s">
        <v>1637</v>
      </c>
      <c r="F749" s="16" t="s">
        <v>1285</v>
      </c>
      <c r="G749" s="16" t="s">
        <v>322</v>
      </c>
      <c r="H749" s="16" t="s">
        <v>3455</v>
      </c>
      <c r="I749" s="16" t="s">
        <v>80</v>
      </c>
      <c r="J749" s="16" t="s">
        <v>1644</v>
      </c>
      <c r="K749" s="32" t="n">
        <v>8</v>
      </c>
      <c r="L749" s="33" t="n">
        <v>46075</v>
      </c>
      <c r="M749" s="33" t="n">
        <v>46082</v>
      </c>
      <c r="N749" s="16" t="s">
        <v>3534</v>
      </c>
      <c r="O749" s="16"/>
      <c r="P749" s="16" t="str">
        <f aca="false">IF(AND(L749&lt;=$D$2,M749&gt;=$C$2),"Sí","")</f>
        <v/>
      </c>
      <c r="Q749" s="18" t="str">
        <f aca="false">IF(COUNTIF(LOOKAHEAD!$A$5:$A$604,A749)&gt;0,"En Lookahead",IF(P749="Sí","INCORPORAR",""))</f>
        <v/>
      </c>
    </row>
    <row r="750" customFormat="false" ht="15" hidden="false" customHeight="false" outlineLevel="0" collapsed="false">
      <c r="A750" s="16" t="s">
        <v>3545</v>
      </c>
      <c r="B750" s="16" t="n">
        <v>745</v>
      </c>
      <c r="C750" s="16" t="s">
        <v>3546</v>
      </c>
      <c r="D750" s="16" t="n">
        <v>7</v>
      </c>
      <c r="E750" s="37" t="s">
        <v>1602</v>
      </c>
      <c r="F750" s="16" t="s">
        <v>1285</v>
      </c>
      <c r="G750" s="16" t="s">
        <v>322</v>
      </c>
      <c r="H750" s="16" t="s">
        <v>3455</v>
      </c>
      <c r="I750" s="16" t="s">
        <v>80</v>
      </c>
      <c r="J750" s="16" t="s">
        <v>1644</v>
      </c>
      <c r="K750" s="32" t="n">
        <v>2</v>
      </c>
      <c r="L750" s="33" t="n">
        <v>46091</v>
      </c>
      <c r="M750" s="33" t="n">
        <v>46092</v>
      </c>
      <c r="N750" s="16" t="s">
        <v>3547</v>
      </c>
      <c r="O750" s="16"/>
      <c r="P750" s="16" t="str">
        <f aca="false">IF(AND(L750&lt;=$D$2,M750&gt;=$C$2),"Sí","")</f>
        <v/>
      </c>
      <c r="Q750" s="18" t="str">
        <f aca="false">IF(COUNTIF(LOOKAHEAD!$A$5:$A$604,A750)&gt;0,"En Lookahead",IF(P750="Sí","INCORPORAR",""))</f>
        <v/>
      </c>
    </row>
    <row r="751" customFormat="false" ht="15" hidden="false" customHeight="false" outlineLevel="0" collapsed="false">
      <c r="A751" s="13" t="s">
        <v>3548</v>
      </c>
      <c r="B751" s="13" t="n">
        <v>746</v>
      </c>
      <c r="C751" s="13" t="s">
        <v>3549</v>
      </c>
      <c r="D751" s="13" t="n">
        <v>6</v>
      </c>
      <c r="E751" s="36" t="s">
        <v>2295</v>
      </c>
      <c r="F751" s="13" t="s">
        <v>1298</v>
      </c>
      <c r="G751" s="13" t="s">
        <v>322</v>
      </c>
      <c r="H751" s="13" t="s">
        <v>3455</v>
      </c>
      <c r="I751" s="13" t="s">
        <v>80</v>
      </c>
      <c r="J751" s="13" t="s">
        <v>1623</v>
      </c>
      <c r="K751" s="30" t="n">
        <v>9</v>
      </c>
      <c r="L751" s="31" t="n">
        <v>46091</v>
      </c>
      <c r="M751" s="31" t="n">
        <v>46099</v>
      </c>
      <c r="N751" s="13"/>
      <c r="O751" s="13"/>
      <c r="P751" s="13"/>
      <c r="Q751" s="13"/>
    </row>
    <row r="752" customFormat="false" ht="15" hidden="false" customHeight="false" outlineLevel="0" collapsed="false">
      <c r="A752" s="16" t="s">
        <v>3550</v>
      </c>
      <c r="B752" s="16" t="n">
        <v>747</v>
      </c>
      <c r="C752" s="16" t="s">
        <v>3551</v>
      </c>
      <c r="D752" s="16" t="n">
        <v>7</v>
      </c>
      <c r="E752" s="37" t="s">
        <v>2298</v>
      </c>
      <c r="F752" s="16" t="s">
        <v>1285</v>
      </c>
      <c r="G752" s="16" t="s">
        <v>322</v>
      </c>
      <c r="H752" s="16" t="s">
        <v>3455</v>
      </c>
      <c r="I752" s="16" t="s">
        <v>80</v>
      </c>
      <c r="J752" s="16" t="s">
        <v>2295</v>
      </c>
      <c r="K752" s="32" t="n">
        <v>1</v>
      </c>
      <c r="L752" s="33" t="n">
        <v>46098</v>
      </c>
      <c r="M752" s="33" t="n">
        <v>46098</v>
      </c>
      <c r="N752" s="16" t="s">
        <v>3552</v>
      </c>
      <c r="O752" s="16"/>
      <c r="P752" s="16" t="str">
        <f aca="false">IF(AND(L752&lt;=$D$2,M752&gt;=$C$2),"Sí","")</f>
        <v/>
      </c>
      <c r="Q752" s="18" t="str">
        <f aca="false">IF(COUNTIF(LOOKAHEAD!$A$5:$A$604,A752)&gt;0,"En Lookahead",IF(P752="Sí","INCORPORAR",""))</f>
        <v/>
      </c>
    </row>
    <row r="753" customFormat="false" ht="15" hidden="false" customHeight="false" outlineLevel="0" collapsed="false">
      <c r="A753" s="16" t="s">
        <v>3553</v>
      </c>
      <c r="B753" s="16" t="n">
        <v>748</v>
      </c>
      <c r="C753" s="16" t="s">
        <v>3554</v>
      </c>
      <c r="D753" s="16" t="n">
        <v>7</v>
      </c>
      <c r="E753" s="37" t="s">
        <v>2302</v>
      </c>
      <c r="F753" s="16" t="s">
        <v>1285</v>
      </c>
      <c r="G753" s="16" t="s">
        <v>322</v>
      </c>
      <c r="H753" s="16" t="s">
        <v>3455</v>
      </c>
      <c r="I753" s="16" t="s">
        <v>80</v>
      </c>
      <c r="J753" s="16" t="s">
        <v>2295</v>
      </c>
      <c r="K753" s="32" t="n">
        <v>5</v>
      </c>
      <c r="L753" s="33" t="n">
        <v>46093</v>
      </c>
      <c r="M753" s="33" t="n">
        <v>46097</v>
      </c>
      <c r="N753" s="16" t="s">
        <v>3555</v>
      </c>
      <c r="O753" s="16"/>
      <c r="P753" s="16" t="str">
        <f aca="false">IF(AND(L753&lt;=$D$2,M753&gt;=$C$2),"Sí","")</f>
        <v/>
      </c>
      <c r="Q753" s="18" t="str">
        <f aca="false">IF(COUNTIF(LOOKAHEAD!$A$5:$A$604,A753)&gt;0,"En Lookahead",IF(P753="Sí","INCORPORAR",""))</f>
        <v/>
      </c>
    </row>
    <row r="754" customFormat="false" ht="15" hidden="false" customHeight="false" outlineLevel="0" collapsed="false">
      <c r="A754" s="16" t="s">
        <v>3556</v>
      </c>
      <c r="B754" s="16" t="n">
        <v>749</v>
      </c>
      <c r="C754" s="16" t="s">
        <v>3557</v>
      </c>
      <c r="D754" s="16" t="n">
        <v>7</v>
      </c>
      <c r="E754" s="37" t="s">
        <v>2306</v>
      </c>
      <c r="F754" s="16" t="s">
        <v>1285</v>
      </c>
      <c r="G754" s="16" t="s">
        <v>322</v>
      </c>
      <c r="H754" s="16" t="s">
        <v>3455</v>
      </c>
      <c r="I754" s="16" t="s">
        <v>80</v>
      </c>
      <c r="J754" s="16" t="s">
        <v>2295</v>
      </c>
      <c r="K754" s="32" t="n">
        <v>2</v>
      </c>
      <c r="L754" s="33" t="n">
        <v>46091</v>
      </c>
      <c r="M754" s="33" t="n">
        <v>46092</v>
      </c>
      <c r="N754" s="16" t="s">
        <v>3547</v>
      </c>
      <c r="O754" s="16"/>
      <c r="P754" s="16" t="str">
        <f aca="false">IF(AND(L754&lt;=$D$2,M754&gt;=$C$2),"Sí","")</f>
        <v/>
      </c>
      <c r="Q754" s="18" t="str">
        <f aca="false">IF(COUNTIF(LOOKAHEAD!$A$5:$A$604,A754)&gt;0,"En Lookahead",IF(P754="Sí","INCORPORAR",""))</f>
        <v/>
      </c>
    </row>
    <row r="755" customFormat="false" ht="15" hidden="false" customHeight="false" outlineLevel="0" collapsed="false">
      <c r="A755" s="16" t="s">
        <v>3558</v>
      </c>
      <c r="B755" s="16" t="n">
        <v>750</v>
      </c>
      <c r="C755" s="16" t="s">
        <v>3559</v>
      </c>
      <c r="D755" s="16" t="n">
        <v>7</v>
      </c>
      <c r="E755" s="37" t="s">
        <v>1602</v>
      </c>
      <c r="F755" s="16" t="s">
        <v>1285</v>
      </c>
      <c r="G755" s="16" t="s">
        <v>322</v>
      </c>
      <c r="H755" s="16" t="s">
        <v>3455</v>
      </c>
      <c r="I755" s="16" t="s">
        <v>80</v>
      </c>
      <c r="J755" s="16" t="s">
        <v>2295</v>
      </c>
      <c r="K755" s="32" t="n">
        <v>1</v>
      </c>
      <c r="L755" s="33" t="n">
        <v>46099</v>
      </c>
      <c r="M755" s="33" t="n">
        <v>46099</v>
      </c>
      <c r="N755" s="16" t="s">
        <v>3560</v>
      </c>
      <c r="O755" s="16"/>
      <c r="P755" s="16" t="str">
        <f aca="false">IF(AND(L755&lt;=$D$2,M755&gt;=$C$2),"Sí","")</f>
        <v/>
      </c>
      <c r="Q755" s="18" t="str">
        <f aca="false">IF(COUNTIF(LOOKAHEAD!$A$5:$A$604,A755)&gt;0,"En Lookahead",IF(P755="Sí","INCORPORAR",""))</f>
        <v/>
      </c>
    </row>
    <row r="756" customFormat="false" ht="15" hidden="false" customHeight="false" outlineLevel="0" collapsed="false">
      <c r="A756" s="13" t="s">
        <v>3561</v>
      </c>
      <c r="B756" s="13" t="n">
        <v>751</v>
      </c>
      <c r="C756" s="13" t="s">
        <v>3562</v>
      </c>
      <c r="D756" s="13" t="n">
        <v>6</v>
      </c>
      <c r="E756" s="36" t="s">
        <v>1660</v>
      </c>
      <c r="F756" s="13" t="s">
        <v>1298</v>
      </c>
      <c r="G756" s="13" t="s">
        <v>322</v>
      </c>
      <c r="H756" s="13" t="s">
        <v>3455</v>
      </c>
      <c r="I756" s="13" t="s">
        <v>80</v>
      </c>
      <c r="J756" s="13" t="s">
        <v>1623</v>
      </c>
      <c r="K756" s="30" t="n">
        <v>26</v>
      </c>
      <c r="L756" s="31" t="n">
        <v>46075</v>
      </c>
      <c r="M756" s="31" t="n">
        <v>46100</v>
      </c>
      <c r="N756" s="13"/>
      <c r="O756" s="13"/>
      <c r="P756" s="13"/>
      <c r="Q756" s="13"/>
    </row>
    <row r="757" customFormat="false" ht="15" hidden="false" customHeight="false" outlineLevel="0" collapsed="false">
      <c r="A757" s="16" t="s">
        <v>3563</v>
      </c>
      <c r="B757" s="16" t="n">
        <v>752</v>
      </c>
      <c r="C757" s="16" t="s">
        <v>3564</v>
      </c>
      <c r="D757" s="16" t="n">
        <v>7</v>
      </c>
      <c r="E757" s="37" t="s">
        <v>1737</v>
      </c>
      <c r="F757" s="16" t="s">
        <v>1285</v>
      </c>
      <c r="G757" s="16" t="s">
        <v>322</v>
      </c>
      <c r="H757" s="16" t="s">
        <v>3455</v>
      </c>
      <c r="I757" s="16" t="s">
        <v>80</v>
      </c>
      <c r="J757" s="16" t="s">
        <v>1660</v>
      </c>
      <c r="K757" s="32" t="n">
        <v>1</v>
      </c>
      <c r="L757" s="33" t="n">
        <v>46098</v>
      </c>
      <c r="M757" s="33" t="n">
        <v>46098</v>
      </c>
      <c r="N757" s="16" t="s">
        <v>3565</v>
      </c>
      <c r="O757" s="16"/>
      <c r="P757" s="16" t="str">
        <f aca="false">IF(AND(L757&lt;=$D$2,M757&gt;=$C$2),"Sí","")</f>
        <v/>
      </c>
      <c r="Q757" s="18" t="str">
        <f aca="false">IF(COUNTIF(LOOKAHEAD!$A$5:$A$604,A757)&gt;0,"En Lookahead",IF(P757="Sí","INCORPORAR",""))</f>
        <v/>
      </c>
    </row>
    <row r="758" customFormat="false" ht="15" hidden="false" customHeight="false" outlineLevel="0" collapsed="false">
      <c r="A758" s="16" t="s">
        <v>3566</v>
      </c>
      <c r="B758" s="16" t="n">
        <v>753</v>
      </c>
      <c r="C758" s="16" t="s">
        <v>3567</v>
      </c>
      <c r="D758" s="16" t="n">
        <v>7</v>
      </c>
      <c r="E758" s="37" t="s">
        <v>1670</v>
      </c>
      <c r="F758" s="16" t="s">
        <v>1285</v>
      </c>
      <c r="G758" s="16" t="s">
        <v>322</v>
      </c>
      <c r="H758" s="16" t="s">
        <v>3455</v>
      </c>
      <c r="I758" s="16" t="s">
        <v>80</v>
      </c>
      <c r="J758" s="16" t="s">
        <v>1660</v>
      </c>
      <c r="K758" s="32" t="n">
        <v>12</v>
      </c>
      <c r="L758" s="33" t="n">
        <v>46086</v>
      </c>
      <c r="M758" s="33" t="n">
        <v>46097</v>
      </c>
      <c r="N758" s="16" t="s">
        <v>3568</v>
      </c>
      <c r="O758" s="16"/>
      <c r="P758" s="16" t="str">
        <f aca="false">IF(AND(L758&lt;=$D$2,M758&gt;=$C$2),"Sí","")</f>
        <v/>
      </c>
      <c r="Q758" s="18" t="str">
        <f aca="false">IF(COUNTIF(LOOKAHEAD!$A$5:$A$604,A758)&gt;0,"En Lookahead",IF(P758="Sí","INCORPORAR",""))</f>
        <v/>
      </c>
    </row>
    <row r="759" customFormat="false" ht="15" hidden="false" customHeight="false" outlineLevel="0" collapsed="false">
      <c r="A759" s="16" t="s">
        <v>3569</v>
      </c>
      <c r="B759" s="16" t="n">
        <v>754</v>
      </c>
      <c r="C759" s="16" t="s">
        <v>3570</v>
      </c>
      <c r="D759" s="16" t="n">
        <v>7</v>
      </c>
      <c r="E759" s="37" t="s">
        <v>1674</v>
      </c>
      <c r="F759" s="16" t="s">
        <v>1285</v>
      </c>
      <c r="G759" s="16" t="s">
        <v>322</v>
      </c>
      <c r="H759" s="16" t="s">
        <v>3455</v>
      </c>
      <c r="I759" s="16" t="s">
        <v>80</v>
      </c>
      <c r="J759" s="16" t="s">
        <v>1660</v>
      </c>
      <c r="K759" s="32" t="n">
        <v>11</v>
      </c>
      <c r="L759" s="33" t="n">
        <v>46075</v>
      </c>
      <c r="M759" s="33" t="n">
        <v>46085</v>
      </c>
      <c r="N759" s="16" t="s">
        <v>3534</v>
      </c>
      <c r="O759" s="16"/>
      <c r="P759" s="16" t="str">
        <f aca="false">IF(AND(L759&lt;=$D$2,M759&gt;=$C$2),"Sí","")</f>
        <v/>
      </c>
      <c r="Q759" s="18" t="str">
        <f aca="false">IF(COUNTIF(LOOKAHEAD!$A$5:$A$604,A759)&gt;0,"En Lookahead",IF(P759="Sí","INCORPORAR",""))</f>
        <v/>
      </c>
    </row>
    <row r="760" customFormat="false" ht="15" hidden="false" customHeight="false" outlineLevel="0" collapsed="false">
      <c r="A760" s="16" t="s">
        <v>3571</v>
      </c>
      <c r="B760" s="16" t="n">
        <v>755</v>
      </c>
      <c r="C760" s="16" t="s">
        <v>3572</v>
      </c>
      <c r="D760" s="16" t="n">
        <v>7</v>
      </c>
      <c r="E760" s="37" t="s">
        <v>1677</v>
      </c>
      <c r="F760" s="16" t="s">
        <v>1285</v>
      </c>
      <c r="G760" s="16" t="s">
        <v>322</v>
      </c>
      <c r="H760" s="16" t="s">
        <v>3455</v>
      </c>
      <c r="I760" s="16" t="s">
        <v>80</v>
      </c>
      <c r="J760" s="16" t="s">
        <v>1660</v>
      </c>
      <c r="K760" s="32" t="n">
        <v>2</v>
      </c>
      <c r="L760" s="33" t="n">
        <v>46099</v>
      </c>
      <c r="M760" s="33" t="n">
        <v>46100</v>
      </c>
      <c r="N760" s="16" t="s">
        <v>3573</v>
      </c>
      <c r="O760" s="16"/>
      <c r="P760" s="16" t="str">
        <f aca="false">IF(AND(L760&lt;=$D$2,M760&gt;=$C$2),"Sí","")</f>
        <v/>
      </c>
      <c r="Q760" s="18" t="str">
        <f aca="false">IF(COUNTIF(LOOKAHEAD!$A$5:$A$604,A760)&gt;0,"En Lookahead",IF(P760="Sí","INCORPORAR",""))</f>
        <v/>
      </c>
    </row>
    <row r="761" customFormat="false" ht="15" hidden="false" customHeight="false" outlineLevel="0" collapsed="false">
      <c r="A761" s="13" t="s">
        <v>3574</v>
      </c>
      <c r="B761" s="13" t="n">
        <v>756</v>
      </c>
      <c r="C761" s="13" t="s">
        <v>3575</v>
      </c>
      <c r="D761" s="13" t="n">
        <v>6</v>
      </c>
      <c r="E761" s="36" t="s">
        <v>1731</v>
      </c>
      <c r="F761" s="13" t="s">
        <v>1298</v>
      </c>
      <c r="G761" s="13" t="s">
        <v>322</v>
      </c>
      <c r="H761" s="13" t="s">
        <v>3455</v>
      </c>
      <c r="I761" s="13" t="s">
        <v>80</v>
      </c>
      <c r="J761" s="13" t="s">
        <v>1623</v>
      </c>
      <c r="K761" s="30" t="n">
        <v>19</v>
      </c>
      <c r="L761" s="31" t="n">
        <v>46075</v>
      </c>
      <c r="M761" s="31" t="n">
        <v>46093</v>
      </c>
      <c r="N761" s="13"/>
      <c r="O761" s="13"/>
      <c r="P761" s="13"/>
      <c r="Q761" s="13"/>
    </row>
    <row r="762" customFormat="false" ht="15" hidden="false" customHeight="false" outlineLevel="0" collapsed="false">
      <c r="A762" s="16" t="s">
        <v>3576</v>
      </c>
      <c r="B762" s="16" t="n">
        <v>757</v>
      </c>
      <c r="C762" s="16" t="s">
        <v>3577</v>
      </c>
      <c r="D762" s="16" t="n">
        <v>7</v>
      </c>
      <c r="E762" s="37" t="s">
        <v>1737</v>
      </c>
      <c r="F762" s="16" t="s">
        <v>1285</v>
      </c>
      <c r="G762" s="16" t="s">
        <v>322</v>
      </c>
      <c r="H762" s="16" t="s">
        <v>3455</v>
      </c>
      <c r="I762" s="16" t="s">
        <v>80</v>
      </c>
      <c r="J762" s="16" t="s">
        <v>1731</v>
      </c>
      <c r="K762" s="32" t="n">
        <v>1</v>
      </c>
      <c r="L762" s="33" t="n">
        <v>46092</v>
      </c>
      <c r="M762" s="33" t="n">
        <v>46092</v>
      </c>
      <c r="N762" s="16" t="s">
        <v>3578</v>
      </c>
      <c r="O762" s="16"/>
      <c r="P762" s="16" t="str">
        <f aca="false">IF(AND(L762&lt;=$D$2,M762&gt;=$C$2),"Sí","")</f>
        <v/>
      </c>
      <c r="Q762" s="18" t="str">
        <f aca="false">IF(COUNTIF(LOOKAHEAD!$A$5:$A$604,A762)&gt;0,"En Lookahead",IF(P762="Sí","INCORPORAR",""))</f>
        <v/>
      </c>
    </row>
    <row r="763" customFormat="false" ht="15" hidden="false" customHeight="false" outlineLevel="0" collapsed="false">
      <c r="A763" s="16" t="s">
        <v>3579</v>
      </c>
      <c r="B763" s="16" t="n">
        <v>758</v>
      </c>
      <c r="C763" s="16" t="s">
        <v>3580</v>
      </c>
      <c r="D763" s="16" t="n">
        <v>7</v>
      </c>
      <c r="E763" s="37" t="s">
        <v>1741</v>
      </c>
      <c r="F763" s="16" t="s">
        <v>1285</v>
      </c>
      <c r="G763" s="16" t="s">
        <v>322</v>
      </c>
      <c r="H763" s="16" t="s">
        <v>3455</v>
      </c>
      <c r="I763" s="16" t="s">
        <v>80</v>
      </c>
      <c r="J763" s="16" t="s">
        <v>1731</v>
      </c>
      <c r="K763" s="32" t="n">
        <v>10</v>
      </c>
      <c r="L763" s="33" t="n">
        <v>46082</v>
      </c>
      <c r="M763" s="33" t="n">
        <v>46091</v>
      </c>
      <c r="N763" s="16" t="s">
        <v>3581</v>
      </c>
      <c r="O763" s="16"/>
      <c r="P763" s="16" t="str">
        <f aca="false">IF(AND(L763&lt;=$D$2,M763&gt;=$C$2),"Sí","")</f>
        <v/>
      </c>
      <c r="Q763" s="18" t="str">
        <f aca="false">IF(COUNTIF(LOOKAHEAD!$A$5:$A$604,A763)&gt;0,"En Lookahead",IF(P763="Sí","INCORPORAR",""))</f>
        <v/>
      </c>
    </row>
    <row r="764" customFormat="false" ht="15" hidden="false" customHeight="false" outlineLevel="0" collapsed="false">
      <c r="A764" s="16" t="s">
        <v>3582</v>
      </c>
      <c r="B764" s="16" t="n">
        <v>759</v>
      </c>
      <c r="C764" s="16" t="s">
        <v>3583</v>
      </c>
      <c r="D764" s="16" t="n">
        <v>7</v>
      </c>
      <c r="E764" s="37" t="s">
        <v>1745</v>
      </c>
      <c r="F764" s="16" t="s">
        <v>1285</v>
      </c>
      <c r="G764" s="16" t="s">
        <v>322</v>
      </c>
      <c r="H764" s="16" t="s">
        <v>3455</v>
      </c>
      <c r="I764" s="16" t="s">
        <v>80</v>
      </c>
      <c r="J764" s="16" t="s">
        <v>1731</v>
      </c>
      <c r="K764" s="32" t="n">
        <v>7</v>
      </c>
      <c r="L764" s="33" t="n">
        <v>46075</v>
      </c>
      <c r="M764" s="33" t="n">
        <v>46081</v>
      </c>
      <c r="N764" s="16" t="s">
        <v>3584</v>
      </c>
      <c r="O764" s="16"/>
      <c r="P764" s="16" t="str">
        <f aca="false">IF(AND(L764&lt;=$D$2,M764&gt;=$C$2),"Sí","")</f>
        <v/>
      </c>
      <c r="Q764" s="18" t="str">
        <f aca="false">IF(COUNTIF(LOOKAHEAD!$A$5:$A$604,A764)&gt;0,"En Lookahead",IF(P764="Sí","INCORPORAR",""))</f>
        <v/>
      </c>
    </row>
    <row r="765" customFormat="false" ht="15" hidden="false" customHeight="false" outlineLevel="0" collapsed="false">
      <c r="A765" s="16" t="s">
        <v>3585</v>
      </c>
      <c r="B765" s="16" t="n">
        <v>760</v>
      </c>
      <c r="C765" s="16" t="s">
        <v>3586</v>
      </c>
      <c r="D765" s="16" t="n">
        <v>7</v>
      </c>
      <c r="E765" s="37" t="s">
        <v>1677</v>
      </c>
      <c r="F765" s="16" t="s">
        <v>1285</v>
      </c>
      <c r="G765" s="16" t="s">
        <v>322</v>
      </c>
      <c r="H765" s="16" t="s">
        <v>3455</v>
      </c>
      <c r="I765" s="16" t="s">
        <v>80</v>
      </c>
      <c r="J765" s="16" t="s">
        <v>1731</v>
      </c>
      <c r="K765" s="32" t="n">
        <v>1</v>
      </c>
      <c r="L765" s="33" t="n">
        <v>46093</v>
      </c>
      <c r="M765" s="33" t="n">
        <v>46093</v>
      </c>
      <c r="N765" s="16" t="s">
        <v>3587</v>
      </c>
      <c r="O765" s="16"/>
      <c r="P765" s="16" t="str">
        <f aca="false">IF(AND(L765&lt;=$D$2,M765&gt;=$C$2),"Sí","")</f>
        <v/>
      </c>
      <c r="Q765" s="18" t="str">
        <f aca="false">IF(COUNTIF(LOOKAHEAD!$A$5:$A$604,A765)&gt;0,"En Lookahead",IF(P765="Sí","INCORPORAR",""))</f>
        <v/>
      </c>
    </row>
    <row r="766" customFormat="false" ht="15" hidden="false" customHeight="false" outlineLevel="0" collapsed="false">
      <c r="A766" s="13" t="s">
        <v>3588</v>
      </c>
      <c r="B766" s="13" t="n">
        <v>761</v>
      </c>
      <c r="C766" s="13" t="s">
        <v>3589</v>
      </c>
      <c r="D766" s="13" t="n">
        <v>6</v>
      </c>
      <c r="E766" s="36" t="s">
        <v>1786</v>
      </c>
      <c r="F766" s="13" t="s">
        <v>1298</v>
      </c>
      <c r="G766" s="13" t="s">
        <v>322</v>
      </c>
      <c r="H766" s="13" t="s">
        <v>3455</v>
      </c>
      <c r="I766" s="13" t="s">
        <v>80</v>
      </c>
      <c r="J766" s="13" t="s">
        <v>1623</v>
      </c>
      <c r="K766" s="30" t="n">
        <v>20</v>
      </c>
      <c r="L766" s="31" t="n">
        <v>46099</v>
      </c>
      <c r="M766" s="31" t="n">
        <v>46118</v>
      </c>
      <c r="N766" s="13"/>
      <c r="O766" s="13"/>
      <c r="P766" s="13"/>
      <c r="Q766" s="13"/>
    </row>
    <row r="767" customFormat="false" ht="15" hidden="false" customHeight="false" outlineLevel="0" collapsed="false">
      <c r="A767" s="16" t="s">
        <v>3590</v>
      </c>
      <c r="B767" s="16" t="n">
        <v>762</v>
      </c>
      <c r="C767" s="16" t="s">
        <v>3591</v>
      </c>
      <c r="D767" s="16" t="n">
        <v>7</v>
      </c>
      <c r="E767" s="37" t="s">
        <v>1792</v>
      </c>
      <c r="F767" s="16" t="s">
        <v>1285</v>
      </c>
      <c r="G767" s="16" t="s">
        <v>322</v>
      </c>
      <c r="H767" s="16" t="s">
        <v>3455</v>
      </c>
      <c r="I767" s="16" t="s">
        <v>80</v>
      </c>
      <c r="J767" s="16" t="s">
        <v>1786</v>
      </c>
      <c r="K767" s="32" t="n">
        <v>1</v>
      </c>
      <c r="L767" s="33" t="n">
        <v>46117</v>
      </c>
      <c r="M767" s="33" t="n">
        <v>46117</v>
      </c>
      <c r="N767" s="16" t="s">
        <v>3592</v>
      </c>
      <c r="O767" s="16"/>
      <c r="P767" s="16" t="str">
        <f aca="false">IF(AND(L767&lt;=$D$2,M767&gt;=$C$2),"Sí","")</f>
        <v/>
      </c>
      <c r="Q767" s="18" t="str">
        <f aca="false">IF(COUNTIF(LOOKAHEAD!$A$5:$A$604,A767)&gt;0,"En Lookahead",IF(P767="Sí","INCORPORAR",""))</f>
        <v/>
      </c>
    </row>
    <row r="768" customFormat="false" ht="15" hidden="false" customHeight="false" outlineLevel="0" collapsed="false">
      <c r="A768" s="16" t="s">
        <v>3593</v>
      </c>
      <c r="B768" s="16" t="n">
        <v>763</v>
      </c>
      <c r="C768" s="16" t="s">
        <v>3594</v>
      </c>
      <c r="D768" s="16" t="n">
        <v>7</v>
      </c>
      <c r="E768" s="37" t="s">
        <v>1796</v>
      </c>
      <c r="F768" s="16" t="s">
        <v>1285</v>
      </c>
      <c r="G768" s="16" t="s">
        <v>322</v>
      </c>
      <c r="H768" s="16" t="s">
        <v>3455</v>
      </c>
      <c r="I768" s="16" t="s">
        <v>80</v>
      </c>
      <c r="J768" s="16" t="s">
        <v>1786</v>
      </c>
      <c r="K768" s="32" t="n">
        <v>11</v>
      </c>
      <c r="L768" s="33" t="n">
        <v>46106</v>
      </c>
      <c r="M768" s="33" t="n">
        <v>46116</v>
      </c>
      <c r="N768" s="16" t="s">
        <v>3595</v>
      </c>
      <c r="O768" s="16"/>
      <c r="P768" s="16" t="str">
        <f aca="false">IF(AND(L768&lt;=$D$2,M768&gt;=$C$2),"Sí","")</f>
        <v/>
      </c>
      <c r="Q768" s="18" t="str">
        <f aca="false">IF(COUNTIF(LOOKAHEAD!$A$5:$A$604,A768)&gt;0,"En Lookahead",IF(P768="Sí","INCORPORAR",""))</f>
        <v/>
      </c>
    </row>
    <row r="769" customFormat="false" ht="15" hidden="false" customHeight="false" outlineLevel="0" collapsed="false">
      <c r="A769" s="16" t="s">
        <v>3596</v>
      </c>
      <c r="B769" s="16" t="n">
        <v>764</v>
      </c>
      <c r="C769" s="16" t="s">
        <v>3597</v>
      </c>
      <c r="D769" s="16" t="n">
        <v>7</v>
      </c>
      <c r="E769" s="37" t="s">
        <v>1800</v>
      </c>
      <c r="F769" s="16" t="s">
        <v>1285</v>
      </c>
      <c r="G769" s="16" t="s">
        <v>322</v>
      </c>
      <c r="H769" s="16" t="s">
        <v>3455</v>
      </c>
      <c r="I769" s="16" t="s">
        <v>80</v>
      </c>
      <c r="J769" s="16" t="s">
        <v>1786</v>
      </c>
      <c r="K769" s="32" t="n">
        <v>7</v>
      </c>
      <c r="L769" s="33" t="n">
        <v>46099</v>
      </c>
      <c r="M769" s="33" t="n">
        <v>46105</v>
      </c>
      <c r="N769" s="16" t="s">
        <v>3598</v>
      </c>
      <c r="O769" s="16"/>
      <c r="P769" s="16" t="str">
        <f aca="false">IF(AND(L769&lt;=$D$2,M769&gt;=$C$2),"Sí","")</f>
        <v/>
      </c>
      <c r="Q769" s="18" t="str">
        <f aca="false">IF(COUNTIF(LOOKAHEAD!$A$5:$A$604,A769)&gt;0,"En Lookahead",IF(P769="Sí","INCORPORAR",""))</f>
        <v/>
      </c>
    </row>
    <row r="770" customFormat="false" ht="15" hidden="false" customHeight="false" outlineLevel="0" collapsed="false">
      <c r="A770" s="16" t="s">
        <v>3599</v>
      </c>
      <c r="B770" s="16" t="n">
        <v>765</v>
      </c>
      <c r="C770" s="16" t="s">
        <v>3600</v>
      </c>
      <c r="D770" s="16" t="n">
        <v>7</v>
      </c>
      <c r="E770" s="37" t="s">
        <v>1602</v>
      </c>
      <c r="F770" s="16" t="s">
        <v>1285</v>
      </c>
      <c r="G770" s="16" t="s">
        <v>322</v>
      </c>
      <c r="H770" s="16" t="s">
        <v>3455</v>
      </c>
      <c r="I770" s="16" t="s">
        <v>80</v>
      </c>
      <c r="J770" s="16" t="s">
        <v>1786</v>
      </c>
      <c r="K770" s="32" t="n">
        <v>1</v>
      </c>
      <c r="L770" s="33" t="n">
        <v>46118</v>
      </c>
      <c r="M770" s="33" t="n">
        <v>46118</v>
      </c>
      <c r="N770" s="16" t="s">
        <v>3601</v>
      </c>
      <c r="O770" s="16"/>
      <c r="P770" s="16" t="str">
        <f aca="false">IF(AND(L770&lt;=$D$2,M770&gt;=$C$2),"Sí","")</f>
        <v/>
      </c>
      <c r="Q770" s="18" t="str">
        <f aca="false">IF(COUNTIF(LOOKAHEAD!$A$5:$A$604,A770)&gt;0,"En Lookahead",IF(P770="Sí","INCORPORAR",""))</f>
        <v/>
      </c>
    </row>
    <row r="771" customFormat="false" ht="15" hidden="false" customHeight="false" outlineLevel="0" collapsed="false">
      <c r="A771" s="13" t="s">
        <v>3602</v>
      </c>
      <c r="B771" s="13" t="n">
        <v>766</v>
      </c>
      <c r="C771" s="13" t="s">
        <v>3603</v>
      </c>
      <c r="D771" s="13" t="n">
        <v>6</v>
      </c>
      <c r="E771" s="36" t="s">
        <v>1853</v>
      </c>
      <c r="F771" s="13" t="s">
        <v>1298</v>
      </c>
      <c r="G771" s="13" t="s">
        <v>322</v>
      </c>
      <c r="H771" s="13" t="s">
        <v>3455</v>
      </c>
      <c r="I771" s="13" t="s">
        <v>80</v>
      </c>
      <c r="J771" s="13" t="s">
        <v>1623</v>
      </c>
      <c r="K771" s="30" t="n">
        <v>19</v>
      </c>
      <c r="L771" s="31" t="n">
        <v>46099</v>
      </c>
      <c r="M771" s="31" t="n">
        <v>46117</v>
      </c>
      <c r="N771" s="13"/>
      <c r="O771" s="13"/>
      <c r="P771" s="13"/>
      <c r="Q771" s="13"/>
    </row>
    <row r="772" customFormat="false" ht="15" hidden="false" customHeight="false" outlineLevel="0" collapsed="false">
      <c r="A772" s="16" t="s">
        <v>3604</v>
      </c>
      <c r="B772" s="16" t="n">
        <v>767</v>
      </c>
      <c r="C772" s="16" t="s">
        <v>3605</v>
      </c>
      <c r="D772" s="16" t="n">
        <v>7</v>
      </c>
      <c r="E772" s="37" t="s">
        <v>1859</v>
      </c>
      <c r="F772" s="16" t="s">
        <v>1285</v>
      </c>
      <c r="G772" s="16" t="s">
        <v>322</v>
      </c>
      <c r="H772" s="16" t="s">
        <v>3455</v>
      </c>
      <c r="I772" s="16" t="s">
        <v>80</v>
      </c>
      <c r="J772" s="16" t="s">
        <v>1853</v>
      </c>
      <c r="K772" s="32" t="n">
        <v>1</v>
      </c>
      <c r="L772" s="33" t="n">
        <v>46115</v>
      </c>
      <c r="M772" s="33" t="n">
        <v>46115</v>
      </c>
      <c r="N772" s="16" t="s">
        <v>3606</v>
      </c>
      <c r="O772" s="16"/>
      <c r="P772" s="16" t="str">
        <f aca="false">IF(AND(L772&lt;=$D$2,M772&gt;=$C$2),"Sí","")</f>
        <v/>
      </c>
      <c r="Q772" s="18" t="str">
        <f aca="false">IF(COUNTIF(LOOKAHEAD!$A$5:$A$604,A772)&gt;0,"En Lookahead",IF(P772="Sí","INCORPORAR",""))</f>
        <v/>
      </c>
    </row>
    <row r="773" customFormat="false" ht="15" hidden="false" customHeight="false" outlineLevel="0" collapsed="false">
      <c r="A773" s="16" t="s">
        <v>3607</v>
      </c>
      <c r="B773" s="16" t="n">
        <v>768</v>
      </c>
      <c r="C773" s="16" t="s">
        <v>3608</v>
      </c>
      <c r="D773" s="16" t="n">
        <v>7</v>
      </c>
      <c r="E773" s="37" t="s">
        <v>1863</v>
      </c>
      <c r="F773" s="16" t="s">
        <v>1285</v>
      </c>
      <c r="G773" s="16" t="s">
        <v>322</v>
      </c>
      <c r="H773" s="16" t="s">
        <v>3455</v>
      </c>
      <c r="I773" s="16" t="s">
        <v>80</v>
      </c>
      <c r="J773" s="16" t="s">
        <v>1853</v>
      </c>
      <c r="K773" s="32" t="n">
        <v>11</v>
      </c>
      <c r="L773" s="33" t="n">
        <v>46099</v>
      </c>
      <c r="M773" s="33" t="n">
        <v>46109</v>
      </c>
      <c r="N773" s="16" t="s">
        <v>3609</v>
      </c>
      <c r="O773" s="16"/>
      <c r="P773" s="16" t="str">
        <f aca="false">IF(AND(L773&lt;=$D$2,M773&gt;=$C$2),"Sí","")</f>
        <v/>
      </c>
      <c r="Q773" s="18" t="str">
        <f aca="false">IF(COUNTIF(LOOKAHEAD!$A$5:$A$604,A773)&gt;0,"En Lookahead",IF(P773="Sí","INCORPORAR",""))</f>
        <v/>
      </c>
    </row>
    <row r="774" customFormat="false" ht="15" hidden="false" customHeight="false" outlineLevel="0" collapsed="false">
      <c r="A774" s="16" t="s">
        <v>3610</v>
      </c>
      <c r="B774" s="16" t="n">
        <v>769</v>
      </c>
      <c r="C774" s="16" t="s">
        <v>3611</v>
      </c>
      <c r="D774" s="16" t="n">
        <v>7</v>
      </c>
      <c r="E774" s="37" t="s">
        <v>1867</v>
      </c>
      <c r="F774" s="16" t="s">
        <v>1285</v>
      </c>
      <c r="G774" s="16" t="s">
        <v>322</v>
      </c>
      <c r="H774" s="16" t="s">
        <v>3455</v>
      </c>
      <c r="I774" s="16" t="s">
        <v>80</v>
      </c>
      <c r="J774" s="16" t="s">
        <v>1853</v>
      </c>
      <c r="K774" s="32" t="n">
        <v>4</v>
      </c>
      <c r="L774" s="33" t="n">
        <v>46111</v>
      </c>
      <c r="M774" s="33" t="n">
        <v>46114</v>
      </c>
      <c r="N774" s="16" t="s">
        <v>3612</v>
      </c>
      <c r="O774" s="16"/>
      <c r="P774" s="16" t="str">
        <f aca="false">IF(AND(L774&lt;=$D$2,M774&gt;=$C$2),"Sí","")</f>
        <v/>
      </c>
      <c r="Q774" s="18" t="str">
        <f aca="false">IF(COUNTIF(LOOKAHEAD!$A$5:$A$604,A774)&gt;0,"En Lookahead",IF(P774="Sí","INCORPORAR",""))</f>
        <v/>
      </c>
    </row>
    <row r="775" customFormat="false" ht="15" hidden="false" customHeight="false" outlineLevel="0" collapsed="false">
      <c r="A775" s="16" t="s">
        <v>3613</v>
      </c>
      <c r="B775" s="16" t="n">
        <v>770</v>
      </c>
      <c r="C775" s="16" t="s">
        <v>3614</v>
      </c>
      <c r="D775" s="16" t="n">
        <v>7</v>
      </c>
      <c r="E775" s="37" t="s">
        <v>1871</v>
      </c>
      <c r="F775" s="16" t="s">
        <v>1285</v>
      </c>
      <c r="G775" s="16" t="s">
        <v>322</v>
      </c>
      <c r="H775" s="16" t="s">
        <v>3455</v>
      </c>
      <c r="I775" s="16" t="s">
        <v>80</v>
      </c>
      <c r="J775" s="16" t="s">
        <v>1853</v>
      </c>
      <c r="K775" s="32" t="n">
        <v>1</v>
      </c>
      <c r="L775" s="33" t="n">
        <v>46110</v>
      </c>
      <c r="M775" s="33" t="n">
        <v>46110</v>
      </c>
      <c r="N775" s="16" t="s">
        <v>3615</v>
      </c>
      <c r="O775" s="16"/>
      <c r="P775" s="16" t="str">
        <f aca="false">IF(AND(L775&lt;=$D$2,M775&gt;=$C$2),"Sí","")</f>
        <v/>
      </c>
      <c r="Q775" s="18" t="str">
        <f aca="false">IF(COUNTIF(LOOKAHEAD!$A$5:$A$604,A775)&gt;0,"En Lookahead",IF(P775="Sí","INCORPORAR",""))</f>
        <v/>
      </c>
    </row>
    <row r="776" customFormat="false" ht="15" hidden="false" customHeight="false" outlineLevel="0" collapsed="false">
      <c r="A776" s="16" t="s">
        <v>3616</v>
      </c>
      <c r="B776" s="16" t="n">
        <v>771</v>
      </c>
      <c r="C776" s="16" t="s">
        <v>3617</v>
      </c>
      <c r="D776" s="16" t="n">
        <v>7</v>
      </c>
      <c r="E776" s="37" t="s">
        <v>1602</v>
      </c>
      <c r="F776" s="16" t="s">
        <v>1285</v>
      </c>
      <c r="G776" s="16" t="s">
        <v>322</v>
      </c>
      <c r="H776" s="16" t="s">
        <v>3455</v>
      </c>
      <c r="I776" s="16" t="s">
        <v>80</v>
      </c>
      <c r="J776" s="16" t="s">
        <v>1853</v>
      </c>
      <c r="K776" s="32" t="n">
        <v>2</v>
      </c>
      <c r="L776" s="33" t="n">
        <v>46116</v>
      </c>
      <c r="M776" s="33" t="n">
        <v>46117</v>
      </c>
      <c r="N776" s="16" t="s">
        <v>3618</v>
      </c>
      <c r="O776" s="16"/>
      <c r="P776" s="16" t="str">
        <f aca="false">IF(AND(L776&lt;=$D$2,M776&gt;=$C$2),"Sí","")</f>
        <v/>
      </c>
      <c r="Q776" s="18" t="str">
        <f aca="false">IF(COUNTIF(LOOKAHEAD!$A$5:$A$604,A776)&gt;0,"En Lookahead",IF(P776="Sí","INCORPORAR",""))</f>
        <v/>
      </c>
    </row>
    <row r="777" customFormat="false" ht="15" hidden="false" customHeight="false" outlineLevel="0" collapsed="false">
      <c r="A777" s="13" t="s">
        <v>3619</v>
      </c>
      <c r="B777" s="13" t="n">
        <v>772</v>
      </c>
      <c r="C777" s="13" t="s">
        <v>3620</v>
      </c>
      <c r="D777" s="13" t="n">
        <v>6</v>
      </c>
      <c r="E777" s="36" t="s">
        <v>1920</v>
      </c>
      <c r="F777" s="13" t="s">
        <v>1298</v>
      </c>
      <c r="G777" s="13" t="s">
        <v>322</v>
      </c>
      <c r="H777" s="13" t="s">
        <v>3455</v>
      </c>
      <c r="I777" s="13" t="s">
        <v>80</v>
      </c>
      <c r="J777" s="13" t="s">
        <v>1623</v>
      </c>
      <c r="K777" s="30" t="n">
        <v>4</v>
      </c>
      <c r="L777" s="31" t="n">
        <v>46099</v>
      </c>
      <c r="M777" s="31" t="n">
        <v>46102</v>
      </c>
      <c r="N777" s="13"/>
      <c r="O777" s="13"/>
      <c r="P777" s="13"/>
      <c r="Q777" s="13"/>
    </row>
    <row r="778" customFormat="false" ht="15" hidden="false" customHeight="false" outlineLevel="0" collapsed="false">
      <c r="A778" s="16" t="s">
        <v>3621</v>
      </c>
      <c r="B778" s="16" t="n">
        <v>773</v>
      </c>
      <c r="C778" s="16" t="s">
        <v>3622</v>
      </c>
      <c r="D778" s="16" t="n">
        <v>7</v>
      </c>
      <c r="E778" s="37" t="s">
        <v>1859</v>
      </c>
      <c r="F778" s="16" t="s">
        <v>1285</v>
      </c>
      <c r="G778" s="16" t="s">
        <v>322</v>
      </c>
      <c r="H778" s="16" t="s">
        <v>3455</v>
      </c>
      <c r="I778" s="16" t="s">
        <v>80</v>
      </c>
      <c r="J778" s="16" t="s">
        <v>1920</v>
      </c>
      <c r="K778" s="32" t="n">
        <v>1</v>
      </c>
      <c r="L778" s="33" t="n">
        <v>46101</v>
      </c>
      <c r="M778" s="33" t="n">
        <v>46101</v>
      </c>
      <c r="N778" s="16" t="s">
        <v>3623</v>
      </c>
      <c r="O778" s="16"/>
      <c r="P778" s="16" t="str">
        <f aca="false">IF(AND(L778&lt;=$D$2,M778&gt;=$C$2),"Sí","")</f>
        <v/>
      </c>
      <c r="Q778" s="18" t="str">
        <f aca="false">IF(COUNTIF(LOOKAHEAD!$A$5:$A$604,A778)&gt;0,"En Lookahead",IF(P778="Sí","INCORPORAR",""))</f>
        <v/>
      </c>
    </row>
    <row r="779" customFormat="false" ht="15" hidden="false" customHeight="false" outlineLevel="0" collapsed="false">
      <c r="A779" s="16" t="s">
        <v>3624</v>
      </c>
      <c r="B779" s="16" t="n">
        <v>774</v>
      </c>
      <c r="C779" s="16" t="s">
        <v>3625</v>
      </c>
      <c r="D779" s="16" t="n">
        <v>7</v>
      </c>
      <c r="E779" s="37" t="s">
        <v>1929</v>
      </c>
      <c r="F779" s="16" t="s">
        <v>1285</v>
      </c>
      <c r="G779" s="16" t="s">
        <v>322</v>
      </c>
      <c r="H779" s="16" t="s">
        <v>3455</v>
      </c>
      <c r="I779" s="16" t="s">
        <v>80</v>
      </c>
      <c r="J779" s="16" t="s">
        <v>1920</v>
      </c>
      <c r="K779" s="32" t="n">
        <v>1</v>
      </c>
      <c r="L779" s="33" t="n">
        <v>46099</v>
      </c>
      <c r="M779" s="33" t="n">
        <v>46099</v>
      </c>
      <c r="N779" s="16" t="s">
        <v>3598</v>
      </c>
      <c r="O779" s="16"/>
      <c r="P779" s="16" t="str">
        <f aca="false">IF(AND(L779&lt;=$D$2,M779&gt;=$C$2),"Sí","")</f>
        <v/>
      </c>
      <c r="Q779" s="18" t="str">
        <f aca="false">IF(COUNTIF(LOOKAHEAD!$A$5:$A$604,A779)&gt;0,"En Lookahead",IF(P779="Sí","INCORPORAR",""))</f>
        <v/>
      </c>
    </row>
    <row r="780" customFormat="false" ht="15" hidden="false" customHeight="false" outlineLevel="0" collapsed="false">
      <c r="A780" s="16" t="s">
        <v>3626</v>
      </c>
      <c r="B780" s="16" t="n">
        <v>775</v>
      </c>
      <c r="C780" s="16" t="s">
        <v>3627</v>
      </c>
      <c r="D780" s="16" t="n">
        <v>7</v>
      </c>
      <c r="E780" s="37" t="s">
        <v>1932</v>
      </c>
      <c r="F780" s="16" t="s">
        <v>1285</v>
      </c>
      <c r="G780" s="16" t="s">
        <v>322</v>
      </c>
      <c r="H780" s="16" t="s">
        <v>3455</v>
      </c>
      <c r="I780" s="16" t="s">
        <v>80</v>
      </c>
      <c r="J780" s="16" t="s">
        <v>1920</v>
      </c>
      <c r="K780" s="32" t="n">
        <v>1</v>
      </c>
      <c r="L780" s="33" t="n">
        <v>46100</v>
      </c>
      <c r="M780" s="33" t="n">
        <v>46100</v>
      </c>
      <c r="N780" s="16" t="s">
        <v>3628</v>
      </c>
      <c r="O780" s="16"/>
      <c r="P780" s="16" t="str">
        <f aca="false">IF(AND(L780&lt;=$D$2,M780&gt;=$C$2),"Sí","")</f>
        <v/>
      </c>
      <c r="Q780" s="18" t="str">
        <f aca="false">IF(COUNTIF(LOOKAHEAD!$A$5:$A$604,A780)&gt;0,"En Lookahead",IF(P780="Sí","INCORPORAR",""))</f>
        <v/>
      </c>
    </row>
    <row r="781" customFormat="false" ht="15" hidden="false" customHeight="false" outlineLevel="0" collapsed="false">
      <c r="A781" s="16" t="s">
        <v>3629</v>
      </c>
      <c r="B781" s="16" t="n">
        <v>776</v>
      </c>
      <c r="C781" s="16" t="s">
        <v>3630</v>
      </c>
      <c r="D781" s="16" t="n">
        <v>7</v>
      </c>
      <c r="E781" s="37" t="s">
        <v>1602</v>
      </c>
      <c r="F781" s="16" t="s">
        <v>1285</v>
      </c>
      <c r="G781" s="16" t="s">
        <v>322</v>
      </c>
      <c r="H781" s="16" t="s">
        <v>3455</v>
      </c>
      <c r="I781" s="16" t="s">
        <v>80</v>
      </c>
      <c r="J781" s="16" t="s">
        <v>1920</v>
      </c>
      <c r="K781" s="32" t="n">
        <v>1</v>
      </c>
      <c r="L781" s="33" t="n">
        <v>46102</v>
      </c>
      <c r="M781" s="33" t="n">
        <v>46102</v>
      </c>
      <c r="N781" s="16" t="s">
        <v>3631</v>
      </c>
      <c r="O781" s="16"/>
      <c r="P781" s="16" t="str">
        <f aca="false">IF(AND(L781&lt;=$D$2,M781&gt;=$C$2),"Sí","")</f>
        <v/>
      </c>
      <c r="Q781" s="18" t="str">
        <f aca="false">IF(COUNTIF(LOOKAHEAD!$A$5:$A$604,A781)&gt;0,"En Lookahead",IF(P781="Sí","INCORPORAR",""))</f>
        <v/>
      </c>
    </row>
    <row r="782" customFormat="false" ht="15" hidden="false" customHeight="false" outlineLevel="0" collapsed="false">
      <c r="A782" s="13" t="s">
        <v>3632</v>
      </c>
      <c r="B782" s="13" t="n">
        <v>777</v>
      </c>
      <c r="C782" s="13" t="s">
        <v>3633</v>
      </c>
      <c r="D782" s="13" t="n">
        <v>6</v>
      </c>
      <c r="E782" s="36" t="s">
        <v>1985</v>
      </c>
      <c r="F782" s="13" t="s">
        <v>1298</v>
      </c>
      <c r="G782" s="13" t="s">
        <v>322</v>
      </c>
      <c r="H782" s="13" t="s">
        <v>3455</v>
      </c>
      <c r="I782" s="13" t="s">
        <v>80</v>
      </c>
      <c r="J782" s="13" t="s">
        <v>1623</v>
      </c>
      <c r="K782" s="30" t="n">
        <v>6</v>
      </c>
      <c r="L782" s="31" t="n">
        <v>46139</v>
      </c>
      <c r="M782" s="31" t="n">
        <v>46144</v>
      </c>
      <c r="N782" s="13"/>
      <c r="O782" s="13"/>
      <c r="P782" s="13"/>
      <c r="Q782" s="13"/>
    </row>
    <row r="783" customFormat="false" ht="15" hidden="false" customHeight="false" outlineLevel="0" collapsed="false">
      <c r="A783" s="16" t="s">
        <v>3634</v>
      </c>
      <c r="B783" s="16" t="n">
        <v>778</v>
      </c>
      <c r="C783" s="16" t="s">
        <v>3635</v>
      </c>
      <c r="D783" s="16" t="n">
        <v>7</v>
      </c>
      <c r="E783" s="37" t="s">
        <v>1991</v>
      </c>
      <c r="F783" s="16" t="s">
        <v>1285</v>
      </c>
      <c r="G783" s="16" t="s">
        <v>322</v>
      </c>
      <c r="H783" s="16" t="s">
        <v>3455</v>
      </c>
      <c r="I783" s="16" t="s">
        <v>80</v>
      </c>
      <c r="J783" s="16" t="s">
        <v>1985</v>
      </c>
      <c r="K783" s="32" t="n">
        <v>1</v>
      </c>
      <c r="L783" s="33" t="n">
        <v>46143</v>
      </c>
      <c r="M783" s="33" t="n">
        <v>46143</v>
      </c>
      <c r="N783" s="16" t="s">
        <v>3636</v>
      </c>
      <c r="O783" s="16"/>
      <c r="P783" s="16" t="str">
        <f aca="false">IF(AND(L783&lt;=$D$2,M783&gt;=$C$2),"Sí","")</f>
        <v/>
      </c>
      <c r="Q783" s="18" t="str">
        <f aca="false">IF(COUNTIF(LOOKAHEAD!$A$5:$A$604,A783)&gt;0,"En Lookahead",IF(P783="Sí","INCORPORAR",""))</f>
        <v/>
      </c>
    </row>
    <row r="784" customFormat="false" ht="15" hidden="false" customHeight="false" outlineLevel="0" collapsed="false">
      <c r="A784" s="16" t="s">
        <v>3637</v>
      </c>
      <c r="B784" s="16" t="n">
        <v>779</v>
      </c>
      <c r="C784" s="16" t="s">
        <v>3638</v>
      </c>
      <c r="D784" s="16" t="n">
        <v>7</v>
      </c>
      <c r="E784" s="37" t="s">
        <v>1995</v>
      </c>
      <c r="F784" s="16" t="s">
        <v>1285</v>
      </c>
      <c r="G784" s="16" t="s">
        <v>322</v>
      </c>
      <c r="H784" s="16" t="s">
        <v>3455</v>
      </c>
      <c r="I784" s="16" t="s">
        <v>80</v>
      </c>
      <c r="J784" s="16" t="s">
        <v>1985</v>
      </c>
      <c r="K784" s="32" t="n">
        <v>2</v>
      </c>
      <c r="L784" s="33" t="n">
        <v>46139</v>
      </c>
      <c r="M784" s="33" t="n">
        <v>46140</v>
      </c>
      <c r="N784" s="16" t="s">
        <v>3639</v>
      </c>
      <c r="O784" s="16"/>
      <c r="P784" s="16" t="str">
        <f aca="false">IF(AND(L784&lt;=$D$2,M784&gt;=$C$2),"Sí","")</f>
        <v/>
      </c>
      <c r="Q784" s="18" t="str">
        <f aca="false">IF(COUNTIF(LOOKAHEAD!$A$5:$A$604,A784)&gt;0,"En Lookahead",IF(P784="Sí","INCORPORAR",""))</f>
        <v/>
      </c>
    </row>
    <row r="785" customFormat="false" ht="15" hidden="false" customHeight="false" outlineLevel="0" collapsed="false">
      <c r="A785" s="16" t="s">
        <v>3640</v>
      </c>
      <c r="B785" s="16" t="n">
        <v>780</v>
      </c>
      <c r="C785" s="16" t="s">
        <v>3641</v>
      </c>
      <c r="D785" s="16" t="n">
        <v>7</v>
      </c>
      <c r="E785" s="37" t="s">
        <v>1999</v>
      </c>
      <c r="F785" s="16" t="s">
        <v>1285</v>
      </c>
      <c r="G785" s="16" t="s">
        <v>322</v>
      </c>
      <c r="H785" s="16" t="s">
        <v>3455</v>
      </c>
      <c r="I785" s="16" t="s">
        <v>80</v>
      </c>
      <c r="J785" s="16" t="s">
        <v>1985</v>
      </c>
      <c r="K785" s="32" t="n">
        <v>2</v>
      </c>
      <c r="L785" s="33" t="n">
        <v>46141</v>
      </c>
      <c r="M785" s="33" t="n">
        <v>46142</v>
      </c>
      <c r="N785" s="16" t="s">
        <v>3642</v>
      </c>
      <c r="O785" s="16"/>
      <c r="P785" s="16" t="str">
        <f aca="false">IF(AND(L785&lt;=$D$2,M785&gt;=$C$2),"Sí","")</f>
        <v/>
      </c>
      <c r="Q785" s="18" t="str">
        <f aca="false">IF(COUNTIF(LOOKAHEAD!$A$5:$A$604,A785)&gt;0,"En Lookahead",IF(P785="Sí","INCORPORAR",""))</f>
        <v/>
      </c>
    </row>
    <row r="786" customFormat="false" ht="15" hidden="false" customHeight="false" outlineLevel="0" collapsed="false">
      <c r="A786" s="16" t="s">
        <v>3643</v>
      </c>
      <c r="B786" s="16" t="n">
        <v>781</v>
      </c>
      <c r="C786" s="16" t="s">
        <v>3644</v>
      </c>
      <c r="D786" s="16" t="n">
        <v>7</v>
      </c>
      <c r="E786" s="37" t="s">
        <v>1677</v>
      </c>
      <c r="F786" s="16" t="s">
        <v>1285</v>
      </c>
      <c r="G786" s="16" t="s">
        <v>322</v>
      </c>
      <c r="H786" s="16" t="s">
        <v>3455</v>
      </c>
      <c r="I786" s="16" t="s">
        <v>80</v>
      </c>
      <c r="J786" s="16" t="s">
        <v>1985</v>
      </c>
      <c r="K786" s="32" t="n">
        <v>1</v>
      </c>
      <c r="L786" s="33" t="n">
        <v>46144</v>
      </c>
      <c r="M786" s="33" t="n">
        <v>46144</v>
      </c>
      <c r="N786" s="16" t="s">
        <v>3645</v>
      </c>
      <c r="O786" s="16"/>
      <c r="P786" s="16" t="str">
        <f aca="false">IF(AND(L786&lt;=$D$2,M786&gt;=$C$2),"Sí","")</f>
        <v/>
      </c>
      <c r="Q786" s="18" t="str">
        <f aca="false">IF(COUNTIF(LOOKAHEAD!$A$5:$A$604,A786)&gt;0,"En Lookahead",IF(P786="Sí","INCORPORAR",""))</f>
        <v/>
      </c>
    </row>
    <row r="787" customFormat="false" ht="15" hidden="false" customHeight="false" outlineLevel="0" collapsed="false">
      <c r="A787" s="13" t="s">
        <v>3646</v>
      </c>
      <c r="B787" s="13" t="n">
        <v>782</v>
      </c>
      <c r="C787" s="13" t="s">
        <v>3647</v>
      </c>
      <c r="D787" s="13" t="n">
        <v>6</v>
      </c>
      <c r="E787" s="36" t="s">
        <v>2054</v>
      </c>
      <c r="F787" s="13" t="s">
        <v>1298</v>
      </c>
      <c r="G787" s="13" t="s">
        <v>322</v>
      </c>
      <c r="H787" s="13" t="s">
        <v>3455</v>
      </c>
      <c r="I787" s="13" t="s">
        <v>80</v>
      </c>
      <c r="J787" s="13" t="s">
        <v>1623</v>
      </c>
      <c r="K787" s="30" t="n">
        <v>5</v>
      </c>
      <c r="L787" s="31" t="n">
        <v>46144</v>
      </c>
      <c r="M787" s="31" t="n">
        <v>46148</v>
      </c>
      <c r="N787" s="13"/>
      <c r="O787" s="13"/>
      <c r="P787" s="13"/>
      <c r="Q787" s="13"/>
    </row>
    <row r="788" customFormat="false" ht="15" hidden="false" customHeight="false" outlineLevel="0" collapsed="false">
      <c r="A788" s="16" t="s">
        <v>3648</v>
      </c>
      <c r="B788" s="16" t="n">
        <v>783</v>
      </c>
      <c r="C788" s="16" t="s">
        <v>3649</v>
      </c>
      <c r="D788" s="16" t="n">
        <v>7</v>
      </c>
      <c r="E788" s="37" t="s">
        <v>2060</v>
      </c>
      <c r="F788" s="16" t="s">
        <v>1285</v>
      </c>
      <c r="G788" s="16" t="s">
        <v>322</v>
      </c>
      <c r="H788" s="16" t="s">
        <v>3455</v>
      </c>
      <c r="I788" s="16" t="s">
        <v>80</v>
      </c>
      <c r="J788" s="16" t="s">
        <v>2054</v>
      </c>
      <c r="K788" s="32" t="n">
        <v>1</v>
      </c>
      <c r="L788" s="33" t="n">
        <v>46147</v>
      </c>
      <c r="M788" s="33" t="n">
        <v>46147</v>
      </c>
      <c r="N788" s="16" t="s">
        <v>3650</v>
      </c>
      <c r="O788" s="16"/>
      <c r="P788" s="16" t="str">
        <f aca="false">IF(AND(L788&lt;=$D$2,M788&gt;=$C$2),"Sí","")</f>
        <v/>
      </c>
      <c r="Q788" s="18" t="str">
        <f aca="false">IF(COUNTIF(LOOKAHEAD!$A$5:$A$604,A788)&gt;0,"En Lookahead",IF(P788="Sí","INCORPORAR",""))</f>
        <v/>
      </c>
    </row>
    <row r="789" customFormat="false" ht="15" hidden="false" customHeight="false" outlineLevel="0" collapsed="false">
      <c r="A789" s="16" t="s">
        <v>3651</v>
      </c>
      <c r="B789" s="16" t="n">
        <v>784</v>
      </c>
      <c r="C789" s="16" t="s">
        <v>3652</v>
      </c>
      <c r="D789" s="16" t="n">
        <v>7</v>
      </c>
      <c r="E789" s="37" t="s">
        <v>2064</v>
      </c>
      <c r="F789" s="16" t="s">
        <v>1285</v>
      </c>
      <c r="G789" s="16" t="s">
        <v>322</v>
      </c>
      <c r="H789" s="16" t="s">
        <v>3455</v>
      </c>
      <c r="I789" s="16" t="s">
        <v>80</v>
      </c>
      <c r="J789" s="16" t="s">
        <v>2054</v>
      </c>
      <c r="K789" s="32" t="n">
        <v>2</v>
      </c>
      <c r="L789" s="33" t="n">
        <v>46145</v>
      </c>
      <c r="M789" s="33" t="n">
        <v>46146</v>
      </c>
      <c r="N789" s="16" t="s">
        <v>3653</v>
      </c>
      <c r="O789" s="16"/>
      <c r="P789" s="16" t="str">
        <f aca="false">IF(AND(L789&lt;=$D$2,M789&gt;=$C$2),"Sí","")</f>
        <v/>
      </c>
      <c r="Q789" s="18" t="str">
        <f aca="false">IF(COUNTIF(LOOKAHEAD!$A$5:$A$604,A789)&gt;0,"En Lookahead",IF(P789="Sí","INCORPORAR",""))</f>
        <v/>
      </c>
    </row>
    <row r="790" customFormat="false" ht="15" hidden="false" customHeight="false" outlineLevel="0" collapsed="false">
      <c r="A790" s="16" t="s">
        <v>3654</v>
      </c>
      <c r="B790" s="16" t="n">
        <v>785</v>
      </c>
      <c r="C790" s="16" t="s">
        <v>3655</v>
      </c>
      <c r="D790" s="16" t="n">
        <v>7</v>
      </c>
      <c r="E790" s="37" t="s">
        <v>1800</v>
      </c>
      <c r="F790" s="16" t="s">
        <v>1285</v>
      </c>
      <c r="G790" s="16" t="s">
        <v>322</v>
      </c>
      <c r="H790" s="16" t="s">
        <v>3455</v>
      </c>
      <c r="I790" s="16" t="s">
        <v>80</v>
      </c>
      <c r="J790" s="16" t="s">
        <v>2054</v>
      </c>
      <c r="K790" s="32" t="n">
        <v>1</v>
      </c>
      <c r="L790" s="33" t="n">
        <v>46144</v>
      </c>
      <c r="M790" s="33" t="n">
        <v>46144</v>
      </c>
      <c r="N790" s="16" t="s">
        <v>3645</v>
      </c>
      <c r="O790" s="16"/>
      <c r="P790" s="16" t="str">
        <f aca="false">IF(AND(L790&lt;=$D$2,M790&gt;=$C$2),"Sí","")</f>
        <v/>
      </c>
      <c r="Q790" s="18" t="str">
        <f aca="false">IF(COUNTIF(LOOKAHEAD!$A$5:$A$604,A790)&gt;0,"En Lookahead",IF(P790="Sí","INCORPORAR",""))</f>
        <v/>
      </c>
    </row>
    <row r="791" customFormat="false" ht="15" hidden="false" customHeight="false" outlineLevel="0" collapsed="false">
      <c r="A791" s="16" t="s">
        <v>3656</v>
      </c>
      <c r="B791" s="16" t="n">
        <v>786</v>
      </c>
      <c r="C791" s="16" t="s">
        <v>3657</v>
      </c>
      <c r="D791" s="16" t="n">
        <v>7</v>
      </c>
      <c r="E791" s="37" t="s">
        <v>1602</v>
      </c>
      <c r="F791" s="16" t="s">
        <v>1285</v>
      </c>
      <c r="G791" s="16" t="s">
        <v>322</v>
      </c>
      <c r="H791" s="16" t="s">
        <v>3455</v>
      </c>
      <c r="I791" s="16" t="s">
        <v>80</v>
      </c>
      <c r="J791" s="16" t="s">
        <v>2054</v>
      </c>
      <c r="K791" s="32" t="n">
        <v>1</v>
      </c>
      <c r="L791" s="33" t="n">
        <v>46148</v>
      </c>
      <c r="M791" s="33" t="n">
        <v>46148</v>
      </c>
      <c r="N791" s="16" t="s">
        <v>3658</v>
      </c>
      <c r="O791" s="16"/>
      <c r="P791" s="16" t="str">
        <f aca="false">IF(AND(L791&lt;=$D$2,M791&gt;=$C$2),"Sí","")</f>
        <v/>
      </c>
      <c r="Q791" s="18" t="str">
        <f aca="false">IF(COUNTIF(LOOKAHEAD!$A$5:$A$604,A791)&gt;0,"En Lookahead",IF(P791="Sí","INCORPORAR",""))</f>
        <v/>
      </c>
    </row>
    <row r="792" customFormat="false" ht="15" hidden="false" customHeight="false" outlineLevel="0" collapsed="false">
      <c r="A792" s="13" t="s">
        <v>3659</v>
      </c>
      <c r="B792" s="13" t="n">
        <v>787</v>
      </c>
      <c r="C792" s="13" t="s">
        <v>3660</v>
      </c>
      <c r="D792" s="13" t="n">
        <v>6</v>
      </c>
      <c r="E792" s="36" t="s">
        <v>2120</v>
      </c>
      <c r="F792" s="13" t="s">
        <v>1298</v>
      </c>
      <c r="G792" s="13" t="s">
        <v>322</v>
      </c>
      <c r="H792" s="13" t="s">
        <v>3455</v>
      </c>
      <c r="I792" s="13" t="s">
        <v>80</v>
      </c>
      <c r="J792" s="13" t="s">
        <v>1623</v>
      </c>
      <c r="K792" s="30" t="n">
        <v>5</v>
      </c>
      <c r="L792" s="31" t="n">
        <v>46116</v>
      </c>
      <c r="M792" s="31" t="n">
        <v>46120</v>
      </c>
      <c r="N792" s="13"/>
      <c r="O792" s="13"/>
      <c r="P792" s="13"/>
      <c r="Q792" s="13"/>
    </row>
    <row r="793" customFormat="false" ht="15" hidden="false" customHeight="false" outlineLevel="0" collapsed="false">
      <c r="A793" s="16" t="s">
        <v>3661</v>
      </c>
      <c r="B793" s="16" t="n">
        <v>788</v>
      </c>
      <c r="C793" s="16" t="s">
        <v>3662</v>
      </c>
      <c r="D793" s="16" t="n">
        <v>7</v>
      </c>
      <c r="E793" s="37" t="s">
        <v>2123</v>
      </c>
      <c r="F793" s="16" t="s">
        <v>1285</v>
      </c>
      <c r="G793" s="16" t="s">
        <v>322</v>
      </c>
      <c r="H793" s="16" t="s">
        <v>3455</v>
      </c>
      <c r="I793" s="16" t="s">
        <v>80</v>
      </c>
      <c r="J793" s="16" t="s">
        <v>2120</v>
      </c>
      <c r="K793" s="32" t="n">
        <v>1</v>
      </c>
      <c r="L793" s="33" t="n">
        <v>46119</v>
      </c>
      <c r="M793" s="33" t="n">
        <v>46119</v>
      </c>
      <c r="N793" s="16" t="s">
        <v>3663</v>
      </c>
      <c r="O793" s="16"/>
      <c r="P793" s="16" t="str">
        <f aca="false">IF(AND(L793&lt;=$D$2,M793&gt;=$C$2),"Sí","")</f>
        <v/>
      </c>
      <c r="Q793" s="18" t="str">
        <f aca="false">IF(COUNTIF(LOOKAHEAD!$A$5:$A$604,A793)&gt;0,"En Lookahead",IF(P793="Sí","INCORPORAR",""))</f>
        <v/>
      </c>
    </row>
    <row r="794" customFormat="false" ht="15" hidden="false" customHeight="false" outlineLevel="0" collapsed="false">
      <c r="A794" s="16" t="s">
        <v>3664</v>
      </c>
      <c r="B794" s="16" t="n">
        <v>789</v>
      </c>
      <c r="C794" s="16" t="s">
        <v>3665</v>
      </c>
      <c r="D794" s="16" t="n">
        <v>7</v>
      </c>
      <c r="E794" s="37" t="s">
        <v>2127</v>
      </c>
      <c r="F794" s="16" t="s">
        <v>1285</v>
      </c>
      <c r="G794" s="16" t="s">
        <v>322</v>
      </c>
      <c r="H794" s="16" t="s">
        <v>3455</v>
      </c>
      <c r="I794" s="16" t="s">
        <v>80</v>
      </c>
      <c r="J794" s="16" t="s">
        <v>2120</v>
      </c>
      <c r="K794" s="32" t="n">
        <v>2</v>
      </c>
      <c r="L794" s="33" t="n">
        <v>46117</v>
      </c>
      <c r="M794" s="33" t="n">
        <v>46118</v>
      </c>
      <c r="N794" s="16" t="s">
        <v>3666</v>
      </c>
      <c r="O794" s="16"/>
      <c r="P794" s="16" t="str">
        <f aca="false">IF(AND(L794&lt;=$D$2,M794&gt;=$C$2),"Sí","")</f>
        <v/>
      </c>
      <c r="Q794" s="18" t="str">
        <f aca="false">IF(COUNTIF(LOOKAHEAD!$A$5:$A$604,A794)&gt;0,"En Lookahead",IF(P794="Sí","INCORPORAR",""))</f>
        <v/>
      </c>
    </row>
    <row r="795" customFormat="false" ht="15" hidden="false" customHeight="false" outlineLevel="0" collapsed="false">
      <c r="A795" s="16" t="s">
        <v>3667</v>
      </c>
      <c r="B795" s="16" t="n">
        <v>790</v>
      </c>
      <c r="C795" s="16" t="s">
        <v>3668</v>
      </c>
      <c r="D795" s="16" t="n">
        <v>7</v>
      </c>
      <c r="E795" s="37" t="s">
        <v>2131</v>
      </c>
      <c r="F795" s="16" t="s">
        <v>1285</v>
      </c>
      <c r="G795" s="16" t="s">
        <v>322</v>
      </c>
      <c r="H795" s="16" t="s">
        <v>3455</v>
      </c>
      <c r="I795" s="16" t="s">
        <v>80</v>
      </c>
      <c r="J795" s="16" t="s">
        <v>2120</v>
      </c>
      <c r="K795" s="32" t="n">
        <v>1</v>
      </c>
      <c r="L795" s="33" t="n">
        <v>46116</v>
      </c>
      <c r="M795" s="33" t="n">
        <v>46116</v>
      </c>
      <c r="N795" s="16" t="s">
        <v>3618</v>
      </c>
      <c r="O795" s="16"/>
      <c r="P795" s="16" t="str">
        <f aca="false">IF(AND(L795&lt;=$D$2,M795&gt;=$C$2),"Sí","")</f>
        <v/>
      </c>
      <c r="Q795" s="18" t="str">
        <f aca="false">IF(COUNTIF(LOOKAHEAD!$A$5:$A$604,A795)&gt;0,"En Lookahead",IF(P795="Sí","INCORPORAR",""))</f>
        <v/>
      </c>
    </row>
    <row r="796" customFormat="false" ht="15" hidden="false" customHeight="false" outlineLevel="0" collapsed="false">
      <c r="A796" s="16" t="s">
        <v>3669</v>
      </c>
      <c r="B796" s="16" t="n">
        <v>791</v>
      </c>
      <c r="C796" s="16" t="s">
        <v>3670</v>
      </c>
      <c r="D796" s="16" t="n">
        <v>7</v>
      </c>
      <c r="E796" s="37" t="s">
        <v>1602</v>
      </c>
      <c r="F796" s="16" t="s">
        <v>1285</v>
      </c>
      <c r="G796" s="16" t="s">
        <v>322</v>
      </c>
      <c r="H796" s="16" t="s">
        <v>3455</v>
      </c>
      <c r="I796" s="16" t="s">
        <v>80</v>
      </c>
      <c r="J796" s="16" t="s">
        <v>2120</v>
      </c>
      <c r="K796" s="32" t="n">
        <v>1</v>
      </c>
      <c r="L796" s="33" t="n">
        <v>46120</v>
      </c>
      <c r="M796" s="33" t="n">
        <v>46120</v>
      </c>
      <c r="N796" s="16" t="s">
        <v>3671</v>
      </c>
      <c r="O796" s="16"/>
      <c r="P796" s="16" t="str">
        <f aca="false">IF(AND(L796&lt;=$D$2,M796&gt;=$C$2),"Sí","")</f>
        <v/>
      </c>
      <c r="Q796" s="18" t="str">
        <f aca="false">IF(COUNTIF(LOOKAHEAD!$A$5:$A$604,A796)&gt;0,"En Lookahead",IF(P796="Sí","INCORPORAR",""))</f>
        <v/>
      </c>
    </row>
    <row r="797" customFormat="false" ht="15" hidden="false" customHeight="false" outlineLevel="0" collapsed="false">
      <c r="A797" s="13" t="s">
        <v>3672</v>
      </c>
      <c r="B797" s="13" t="n">
        <v>792</v>
      </c>
      <c r="C797" s="13" t="s">
        <v>3673</v>
      </c>
      <c r="D797" s="13" t="n">
        <v>6</v>
      </c>
      <c r="E797" s="36" t="s">
        <v>2985</v>
      </c>
      <c r="F797" s="13" t="s">
        <v>1298</v>
      </c>
      <c r="G797" s="13" t="s">
        <v>322</v>
      </c>
      <c r="H797" s="13" t="s">
        <v>3455</v>
      </c>
      <c r="I797" s="13" t="s">
        <v>80</v>
      </c>
      <c r="J797" s="13" t="s">
        <v>1623</v>
      </c>
      <c r="K797" s="30" t="n">
        <v>4</v>
      </c>
      <c r="L797" s="31" t="n">
        <v>46116</v>
      </c>
      <c r="M797" s="31" t="n">
        <v>46119</v>
      </c>
      <c r="N797" s="13"/>
      <c r="O797" s="13"/>
      <c r="P797" s="13"/>
      <c r="Q797" s="13"/>
    </row>
    <row r="798" customFormat="false" ht="15" hidden="false" customHeight="false" outlineLevel="0" collapsed="false">
      <c r="A798" s="16" t="s">
        <v>3674</v>
      </c>
      <c r="B798" s="16" t="n">
        <v>793</v>
      </c>
      <c r="C798" s="16" t="s">
        <v>3675</v>
      </c>
      <c r="D798" s="16" t="n">
        <v>7</v>
      </c>
      <c r="E798" s="37" t="s">
        <v>2988</v>
      </c>
      <c r="F798" s="16" t="s">
        <v>1285</v>
      </c>
      <c r="G798" s="16" t="s">
        <v>322</v>
      </c>
      <c r="H798" s="16" t="s">
        <v>3455</v>
      </c>
      <c r="I798" s="16" t="s">
        <v>80</v>
      </c>
      <c r="J798" s="16" t="s">
        <v>2985</v>
      </c>
      <c r="K798" s="32" t="n">
        <v>1</v>
      </c>
      <c r="L798" s="33" t="n">
        <v>46118</v>
      </c>
      <c r="M798" s="33" t="n">
        <v>46118</v>
      </c>
      <c r="N798" s="16" t="s">
        <v>3676</v>
      </c>
      <c r="O798" s="16"/>
      <c r="P798" s="16" t="str">
        <f aca="false">IF(AND(L798&lt;=$D$2,M798&gt;=$C$2),"Sí","")</f>
        <v/>
      </c>
      <c r="Q798" s="18" t="str">
        <f aca="false">IF(COUNTIF(LOOKAHEAD!$A$5:$A$604,A798)&gt;0,"En Lookahead",IF(P798="Sí","INCORPORAR",""))</f>
        <v/>
      </c>
    </row>
    <row r="799" customFormat="false" ht="15" hidden="false" customHeight="false" outlineLevel="0" collapsed="false">
      <c r="A799" s="16" t="s">
        <v>3677</v>
      </c>
      <c r="B799" s="16" t="n">
        <v>794</v>
      </c>
      <c r="C799" s="16" t="s">
        <v>3678</v>
      </c>
      <c r="D799" s="16" t="n">
        <v>7</v>
      </c>
      <c r="E799" s="37" t="s">
        <v>1588</v>
      </c>
      <c r="F799" s="16" t="s">
        <v>1285</v>
      </c>
      <c r="G799" s="16" t="s">
        <v>322</v>
      </c>
      <c r="H799" s="16" t="s">
        <v>3455</v>
      </c>
      <c r="I799" s="16" t="s">
        <v>80</v>
      </c>
      <c r="J799" s="16" t="s">
        <v>2985</v>
      </c>
      <c r="K799" s="32" t="n">
        <v>1</v>
      </c>
      <c r="L799" s="33" t="n">
        <v>46116</v>
      </c>
      <c r="M799" s="33" t="n">
        <v>46116</v>
      </c>
      <c r="N799" s="16" t="s">
        <v>3618</v>
      </c>
      <c r="O799" s="16"/>
      <c r="P799" s="16" t="str">
        <f aca="false">IF(AND(L799&lt;=$D$2,M799&gt;=$C$2),"Sí","")</f>
        <v/>
      </c>
      <c r="Q799" s="18" t="str">
        <f aca="false">IF(COUNTIF(LOOKAHEAD!$A$5:$A$604,A799)&gt;0,"En Lookahead",IF(P799="Sí","INCORPORAR",""))</f>
        <v/>
      </c>
    </row>
    <row r="800" customFormat="false" ht="15" hidden="false" customHeight="false" outlineLevel="0" collapsed="false">
      <c r="A800" s="16" t="s">
        <v>3679</v>
      </c>
      <c r="B800" s="16" t="n">
        <v>795</v>
      </c>
      <c r="C800" s="16" t="s">
        <v>3680</v>
      </c>
      <c r="D800" s="16" t="n">
        <v>7</v>
      </c>
      <c r="E800" s="37" t="s">
        <v>2995</v>
      </c>
      <c r="F800" s="16" t="s">
        <v>1285</v>
      </c>
      <c r="G800" s="16" t="s">
        <v>322</v>
      </c>
      <c r="H800" s="16" t="s">
        <v>3455</v>
      </c>
      <c r="I800" s="16" t="s">
        <v>80</v>
      </c>
      <c r="J800" s="16" t="s">
        <v>2985</v>
      </c>
      <c r="K800" s="32" t="n">
        <v>1</v>
      </c>
      <c r="L800" s="33" t="n">
        <v>46117</v>
      </c>
      <c r="M800" s="33" t="n">
        <v>46117</v>
      </c>
      <c r="N800" s="16" t="s">
        <v>3681</v>
      </c>
      <c r="O800" s="16"/>
      <c r="P800" s="16" t="str">
        <f aca="false">IF(AND(L800&lt;=$D$2,M800&gt;=$C$2),"Sí","")</f>
        <v/>
      </c>
      <c r="Q800" s="18" t="str">
        <f aca="false">IF(COUNTIF(LOOKAHEAD!$A$5:$A$604,A800)&gt;0,"En Lookahead",IF(P800="Sí","INCORPORAR",""))</f>
        <v/>
      </c>
    </row>
    <row r="801" customFormat="false" ht="15" hidden="false" customHeight="false" outlineLevel="0" collapsed="false">
      <c r="A801" s="16" t="s">
        <v>3682</v>
      </c>
      <c r="B801" s="16" t="n">
        <v>796</v>
      </c>
      <c r="C801" s="16" t="s">
        <v>3683</v>
      </c>
      <c r="D801" s="16" t="n">
        <v>7</v>
      </c>
      <c r="E801" s="37" t="s">
        <v>1602</v>
      </c>
      <c r="F801" s="16" t="s">
        <v>1285</v>
      </c>
      <c r="G801" s="16" t="s">
        <v>322</v>
      </c>
      <c r="H801" s="16" t="s">
        <v>3455</v>
      </c>
      <c r="I801" s="16" t="s">
        <v>80</v>
      </c>
      <c r="J801" s="16" t="s">
        <v>2985</v>
      </c>
      <c r="K801" s="32" t="n">
        <v>1</v>
      </c>
      <c r="L801" s="33" t="n">
        <v>46119</v>
      </c>
      <c r="M801" s="33" t="n">
        <v>46119</v>
      </c>
      <c r="N801" s="16" t="s">
        <v>3684</v>
      </c>
      <c r="O801" s="16"/>
      <c r="P801" s="16" t="str">
        <f aca="false">IF(AND(L801&lt;=$D$2,M801&gt;=$C$2),"Sí","")</f>
        <v/>
      </c>
      <c r="Q801" s="18" t="str">
        <f aca="false">IF(COUNTIF(LOOKAHEAD!$A$5:$A$604,A801)&gt;0,"En Lookahead",IF(P801="Sí","INCORPORAR",""))</f>
        <v/>
      </c>
    </row>
    <row r="802" customFormat="false" ht="15" hidden="false" customHeight="false" outlineLevel="0" collapsed="false">
      <c r="A802" s="13" t="s">
        <v>3685</v>
      </c>
      <c r="B802" s="13" t="n">
        <v>797</v>
      </c>
      <c r="C802" s="13" t="s">
        <v>3686</v>
      </c>
      <c r="D802" s="13" t="n">
        <v>5</v>
      </c>
      <c r="E802" s="34" t="s">
        <v>2137</v>
      </c>
      <c r="F802" s="13" t="s">
        <v>1298</v>
      </c>
      <c r="G802" s="13" t="s">
        <v>322</v>
      </c>
      <c r="H802" s="13" t="s">
        <v>3455</v>
      </c>
      <c r="I802" s="13" t="s">
        <v>80</v>
      </c>
      <c r="J802" s="13" t="s">
        <v>3455</v>
      </c>
      <c r="K802" s="30" t="n">
        <v>2</v>
      </c>
      <c r="L802" s="31" t="n">
        <v>46116</v>
      </c>
      <c r="M802" s="31" t="n">
        <v>46117</v>
      </c>
      <c r="N802" s="13"/>
      <c r="O802" s="13"/>
      <c r="P802" s="13"/>
      <c r="Q802" s="13"/>
    </row>
    <row r="803" customFormat="false" ht="15" hidden="false" customHeight="false" outlineLevel="0" collapsed="false">
      <c r="A803" s="16" t="s">
        <v>3687</v>
      </c>
      <c r="B803" s="16" t="n">
        <v>798</v>
      </c>
      <c r="C803" s="16" t="s">
        <v>3688</v>
      </c>
      <c r="D803" s="16" t="n">
        <v>6</v>
      </c>
      <c r="E803" s="35" t="s">
        <v>2140</v>
      </c>
      <c r="F803" s="16" t="s">
        <v>1285</v>
      </c>
      <c r="G803" s="16" t="s">
        <v>322</v>
      </c>
      <c r="H803" s="16" t="s">
        <v>3455</v>
      </c>
      <c r="I803" s="16" t="s">
        <v>80</v>
      </c>
      <c r="J803" s="16" t="s">
        <v>2137</v>
      </c>
      <c r="K803" s="32" t="n">
        <v>1</v>
      </c>
      <c r="L803" s="33" t="n">
        <v>46116</v>
      </c>
      <c r="M803" s="33" t="n">
        <v>46116</v>
      </c>
      <c r="N803" s="16" t="s">
        <v>3618</v>
      </c>
      <c r="O803" s="16"/>
      <c r="P803" s="16" t="str">
        <f aca="false">IF(AND(L803&lt;=$D$2,M803&gt;=$C$2),"Sí","")</f>
        <v/>
      </c>
      <c r="Q803" s="18" t="str">
        <f aca="false">IF(COUNTIF(LOOKAHEAD!$A$5:$A$604,A803)&gt;0,"En Lookahead",IF(P803="Sí","INCORPORAR",""))</f>
        <v/>
      </c>
    </row>
    <row r="804" customFormat="false" ht="15" hidden="false" customHeight="false" outlineLevel="0" collapsed="false">
      <c r="A804" s="16" t="s">
        <v>3689</v>
      </c>
      <c r="B804" s="16" t="n">
        <v>799</v>
      </c>
      <c r="C804" s="16" t="s">
        <v>3690</v>
      </c>
      <c r="D804" s="16" t="n">
        <v>6</v>
      </c>
      <c r="E804" s="35" t="s">
        <v>2144</v>
      </c>
      <c r="F804" s="16" t="s">
        <v>1285</v>
      </c>
      <c r="G804" s="16" t="s">
        <v>322</v>
      </c>
      <c r="H804" s="16" t="s">
        <v>3455</v>
      </c>
      <c r="I804" s="16" t="s">
        <v>80</v>
      </c>
      <c r="J804" s="16" t="s">
        <v>2137</v>
      </c>
      <c r="K804" s="32" t="n">
        <v>1</v>
      </c>
      <c r="L804" s="33" t="n">
        <v>46117</v>
      </c>
      <c r="M804" s="33" t="n">
        <v>46117</v>
      </c>
      <c r="N804" s="16" t="s">
        <v>3691</v>
      </c>
      <c r="O804" s="16"/>
      <c r="P804" s="16" t="str">
        <f aca="false">IF(AND(L804&lt;=$D$2,M804&gt;=$C$2),"Sí","")</f>
        <v/>
      </c>
      <c r="Q804" s="18" t="str">
        <f aca="false">IF(COUNTIF(LOOKAHEAD!$A$5:$A$604,A804)&gt;0,"En Lookahead",IF(P804="Sí","INCORPORAR",""))</f>
        <v/>
      </c>
    </row>
    <row r="805" customFormat="false" ht="15" hidden="false" customHeight="false" outlineLevel="0" collapsed="false">
      <c r="A805" s="13" t="s">
        <v>3692</v>
      </c>
      <c r="B805" s="13" t="n">
        <v>800</v>
      </c>
      <c r="C805" s="13" t="s">
        <v>3693</v>
      </c>
      <c r="D805" s="13" t="n">
        <v>4</v>
      </c>
      <c r="E805" s="20" t="s">
        <v>3694</v>
      </c>
      <c r="F805" s="13" t="s">
        <v>1298</v>
      </c>
      <c r="G805" s="13" t="s">
        <v>322</v>
      </c>
      <c r="H805" s="13" t="s">
        <v>3694</v>
      </c>
      <c r="I805" s="13" t="s">
        <v>86</v>
      </c>
      <c r="J805" s="13" t="s">
        <v>1528</v>
      </c>
      <c r="K805" s="30" t="n">
        <v>183</v>
      </c>
      <c r="L805" s="31" t="n">
        <v>46092</v>
      </c>
      <c r="M805" s="31" t="n">
        <v>46354</v>
      </c>
      <c r="N805" s="13"/>
      <c r="O805" s="13" t="s">
        <v>1299</v>
      </c>
      <c r="P805" s="13"/>
      <c r="Q805" s="13"/>
    </row>
    <row r="806" customFormat="false" ht="15" hidden="false" customHeight="false" outlineLevel="0" collapsed="false">
      <c r="A806" s="13" t="s">
        <v>3695</v>
      </c>
      <c r="B806" s="13" t="n">
        <v>801</v>
      </c>
      <c r="C806" s="13" t="s">
        <v>3696</v>
      </c>
      <c r="D806" s="13" t="n">
        <v>5</v>
      </c>
      <c r="E806" s="34" t="s">
        <v>1534</v>
      </c>
      <c r="F806" s="13" t="s">
        <v>1298</v>
      </c>
      <c r="G806" s="13" t="s">
        <v>322</v>
      </c>
      <c r="H806" s="13" t="s">
        <v>3694</v>
      </c>
      <c r="I806" s="13" t="s">
        <v>86</v>
      </c>
      <c r="J806" s="13" t="s">
        <v>3694</v>
      </c>
      <c r="K806" s="30" t="n">
        <v>69</v>
      </c>
      <c r="L806" s="31" t="n">
        <v>46092</v>
      </c>
      <c r="M806" s="31" t="n">
        <v>46240</v>
      </c>
      <c r="N806" s="13"/>
      <c r="O806" s="13" t="s">
        <v>1299</v>
      </c>
      <c r="P806" s="13"/>
      <c r="Q806" s="13"/>
    </row>
    <row r="807" customFormat="false" ht="15" hidden="false" customHeight="false" outlineLevel="0" collapsed="false">
      <c r="A807" s="16" t="s">
        <v>3697</v>
      </c>
      <c r="B807" s="16" t="n">
        <v>802</v>
      </c>
      <c r="C807" s="16" t="s">
        <v>3698</v>
      </c>
      <c r="D807" s="16" t="n">
        <v>6</v>
      </c>
      <c r="E807" s="35" t="s">
        <v>1537</v>
      </c>
      <c r="F807" s="16" t="s">
        <v>1285</v>
      </c>
      <c r="G807" s="16" t="s">
        <v>322</v>
      </c>
      <c r="H807" s="16" t="s">
        <v>3694</v>
      </c>
      <c r="I807" s="16" t="s">
        <v>86</v>
      </c>
      <c r="J807" s="16" t="s">
        <v>1534</v>
      </c>
      <c r="K807" s="32" t="n">
        <v>1</v>
      </c>
      <c r="L807" s="33" t="n">
        <v>46092</v>
      </c>
      <c r="M807" s="33" t="n">
        <v>46092</v>
      </c>
      <c r="N807" s="16" t="s">
        <v>3699</v>
      </c>
      <c r="O807" s="16" t="s">
        <v>1299</v>
      </c>
      <c r="P807" s="16" t="str">
        <f aca="false">IF(AND(L807&lt;=$D$2,M807&gt;=$C$2),"Sí","")</f>
        <v/>
      </c>
      <c r="Q807" s="18" t="str">
        <f aca="false">IF(COUNTIF(LOOKAHEAD!$A$5:$A$604,A807)&gt;0,"En Lookahead",IF(P807="Sí","INCORPORAR",""))</f>
        <v/>
      </c>
    </row>
    <row r="808" customFormat="false" ht="15" hidden="false" customHeight="false" outlineLevel="0" collapsed="false">
      <c r="A808" s="16" t="s">
        <v>3700</v>
      </c>
      <c r="B808" s="16" t="n">
        <v>803</v>
      </c>
      <c r="C808" s="16" t="s">
        <v>3701</v>
      </c>
      <c r="D808" s="16" t="n">
        <v>6</v>
      </c>
      <c r="E808" s="35" t="s">
        <v>1541</v>
      </c>
      <c r="F808" s="16" t="s">
        <v>1285</v>
      </c>
      <c r="G808" s="16" t="s">
        <v>322</v>
      </c>
      <c r="H808" s="16" t="s">
        <v>3694</v>
      </c>
      <c r="I808" s="16" t="s">
        <v>86</v>
      </c>
      <c r="J808" s="16" t="s">
        <v>1534</v>
      </c>
      <c r="K808" s="32" t="n">
        <v>1</v>
      </c>
      <c r="L808" s="33" t="n">
        <v>46093</v>
      </c>
      <c r="M808" s="33" t="n">
        <v>46093</v>
      </c>
      <c r="N808" s="16" t="s">
        <v>3702</v>
      </c>
      <c r="O808" s="16"/>
      <c r="P808" s="16" t="str">
        <f aca="false">IF(AND(L808&lt;=$D$2,M808&gt;=$C$2),"Sí","")</f>
        <v/>
      </c>
      <c r="Q808" s="18" t="str">
        <f aca="false">IF(COUNTIF(LOOKAHEAD!$A$5:$A$604,A808)&gt;0,"En Lookahead",IF(P808="Sí","INCORPORAR",""))</f>
        <v/>
      </c>
    </row>
    <row r="809" customFormat="false" ht="15" hidden="false" customHeight="false" outlineLevel="0" collapsed="false">
      <c r="A809" s="16" t="s">
        <v>3703</v>
      </c>
      <c r="B809" s="16" t="n">
        <v>804</v>
      </c>
      <c r="C809" s="16" t="s">
        <v>3704</v>
      </c>
      <c r="D809" s="16" t="n">
        <v>6</v>
      </c>
      <c r="E809" s="35" t="s">
        <v>1545</v>
      </c>
      <c r="F809" s="16" t="s">
        <v>1285</v>
      </c>
      <c r="G809" s="16" t="s">
        <v>322</v>
      </c>
      <c r="H809" s="16" t="s">
        <v>3694</v>
      </c>
      <c r="I809" s="16" t="s">
        <v>86</v>
      </c>
      <c r="J809" s="16" t="s">
        <v>1534</v>
      </c>
      <c r="K809" s="32" t="n">
        <v>1</v>
      </c>
      <c r="L809" s="33" t="n">
        <v>46094</v>
      </c>
      <c r="M809" s="33" t="n">
        <v>46094</v>
      </c>
      <c r="N809" s="16" t="s">
        <v>3705</v>
      </c>
      <c r="O809" s="16"/>
      <c r="P809" s="16" t="str">
        <f aca="false">IF(AND(L809&lt;=$D$2,M809&gt;=$C$2),"Sí","")</f>
        <v/>
      </c>
      <c r="Q809" s="18" t="str">
        <f aca="false">IF(COUNTIF(LOOKAHEAD!$A$5:$A$604,A809)&gt;0,"En Lookahead",IF(P809="Sí","INCORPORAR",""))</f>
        <v/>
      </c>
    </row>
    <row r="810" customFormat="false" ht="15" hidden="false" customHeight="false" outlineLevel="0" collapsed="false">
      <c r="A810" s="16" t="s">
        <v>3706</v>
      </c>
      <c r="B810" s="16" t="n">
        <v>805</v>
      </c>
      <c r="C810" s="16" t="s">
        <v>3707</v>
      </c>
      <c r="D810" s="16" t="n">
        <v>6</v>
      </c>
      <c r="E810" s="35" t="s">
        <v>1549</v>
      </c>
      <c r="F810" s="16" t="s">
        <v>1285</v>
      </c>
      <c r="G810" s="16" t="s">
        <v>322</v>
      </c>
      <c r="H810" s="16" t="s">
        <v>3694</v>
      </c>
      <c r="I810" s="16" t="s">
        <v>86</v>
      </c>
      <c r="J810" s="16" t="s">
        <v>1534</v>
      </c>
      <c r="K810" s="32" t="n">
        <v>1</v>
      </c>
      <c r="L810" s="33" t="n">
        <v>46095</v>
      </c>
      <c r="M810" s="33" t="n">
        <v>46095</v>
      </c>
      <c r="N810" s="16" t="s">
        <v>3708</v>
      </c>
      <c r="O810" s="16"/>
      <c r="P810" s="16" t="str">
        <f aca="false">IF(AND(L810&lt;=$D$2,M810&gt;=$C$2),"Sí","")</f>
        <v/>
      </c>
      <c r="Q810" s="18" t="str">
        <f aca="false">IF(COUNTIF(LOOKAHEAD!$A$5:$A$604,A810)&gt;0,"En Lookahead",IF(P810="Sí","INCORPORAR",""))</f>
        <v/>
      </c>
    </row>
    <row r="811" customFormat="false" ht="15" hidden="false" customHeight="false" outlineLevel="0" collapsed="false">
      <c r="A811" s="16" t="s">
        <v>3709</v>
      </c>
      <c r="B811" s="16" t="n">
        <v>806</v>
      </c>
      <c r="C811" s="16" t="s">
        <v>3710</v>
      </c>
      <c r="D811" s="16" t="n">
        <v>6</v>
      </c>
      <c r="E811" s="35" t="s">
        <v>1553</v>
      </c>
      <c r="F811" s="16" t="s">
        <v>1285</v>
      </c>
      <c r="G811" s="16" t="s">
        <v>322</v>
      </c>
      <c r="H811" s="16" t="s">
        <v>3694</v>
      </c>
      <c r="I811" s="16" t="s">
        <v>86</v>
      </c>
      <c r="J811" s="16" t="s">
        <v>1534</v>
      </c>
      <c r="K811" s="32" t="n">
        <v>11</v>
      </c>
      <c r="L811" s="33" t="n">
        <v>46111</v>
      </c>
      <c r="M811" s="33" t="n">
        <v>46121</v>
      </c>
      <c r="N811" s="16" t="s">
        <v>3711</v>
      </c>
      <c r="O811" s="16"/>
      <c r="P811" s="16" t="str">
        <f aca="false">IF(AND(L811&lt;=$D$2,M811&gt;=$C$2),"Sí","")</f>
        <v/>
      </c>
      <c r="Q811" s="18" t="str">
        <f aca="false">IF(COUNTIF(LOOKAHEAD!$A$5:$A$604,A811)&gt;0,"En Lookahead",IF(P811="Sí","INCORPORAR",""))</f>
        <v/>
      </c>
    </row>
    <row r="812" customFormat="false" ht="15" hidden="false" customHeight="false" outlineLevel="0" collapsed="false">
      <c r="A812" s="16" t="s">
        <v>3712</v>
      </c>
      <c r="B812" s="16" t="n">
        <v>807</v>
      </c>
      <c r="C812" s="16" t="s">
        <v>3713</v>
      </c>
      <c r="D812" s="16" t="n">
        <v>6</v>
      </c>
      <c r="E812" s="35" t="s">
        <v>1557</v>
      </c>
      <c r="F812" s="16" t="s">
        <v>1285</v>
      </c>
      <c r="G812" s="16" t="s">
        <v>322</v>
      </c>
      <c r="H812" s="16" t="s">
        <v>3694</v>
      </c>
      <c r="I812" s="16" t="s">
        <v>86</v>
      </c>
      <c r="J812" s="16" t="s">
        <v>1534</v>
      </c>
      <c r="K812" s="32" t="n">
        <v>64</v>
      </c>
      <c r="L812" s="33" t="n">
        <v>46095</v>
      </c>
      <c r="M812" s="33" t="n">
        <v>46238</v>
      </c>
      <c r="N812" s="16" t="s">
        <v>3708</v>
      </c>
      <c r="O812" s="16"/>
      <c r="P812" s="16" t="str">
        <f aca="false">IF(AND(L812&lt;=$D$2,M812&gt;=$C$2),"Sí","")</f>
        <v/>
      </c>
      <c r="Q812" s="18" t="str">
        <f aca="false">IF(COUNTIF(LOOKAHEAD!$A$5:$A$604,A812)&gt;0,"En Lookahead",IF(P812="Sí","INCORPORAR",""))</f>
        <v/>
      </c>
    </row>
    <row r="813" customFormat="false" ht="15" hidden="false" customHeight="false" outlineLevel="0" collapsed="false">
      <c r="A813" s="16" t="s">
        <v>3714</v>
      </c>
      <c r="B813" s="16" t="n">
        <v>808</v>
      </c>
      <c r="C813" s="16" t="s">
        <v>3715</v>
      </c>
      <c r="D813" s="16" t="n">
        <v>6</v>
      </c>
      <c r="E813" s="35" t="s">
        <v>1560</v>
      </c>
      <c r="F813" s="16" t="s">
        <v>1285</v>
      </c>
      <c r="G813" s="16" t="s">
        <v>322</v>
      </c>
      <c r="H813" s="16" t="s">
        <v>3694</v>
      </c>
      <c r="I813" s="16" t="s">
        <v>86</v>
      </c>
      <c r="J813" s="16" t="s">
        <v>1534</v>
      </c>
      <c r="K813" s="32" t="n">
        <v>2</v>
      </c>
      <c r="L813" s="33" t="n">
        <v>46239</v>
      </c>
      <c r="M813" s="33" t="n">
        <v>46240</v>
      </c>
      <c r="N813" s="16" t="s">
        <v>3716</v>
      </c>
      <c r="O813" s="16"/>
      <c r="P813" s="16" t="str">
        <f aca="false">IF(AND(L813&lt;=$D$2,M813&gt;=$C$2),"Sí","")</f>
        <v/>
      </c>
      <c r="Q813" s="18" t="str">
        <f aca="false">IF(COUNTIF(LOOKAHEAD!$A$5:$A$604,A813)&gt;0,"En Lookahead",IF(P813="Sí","INCORPORAR",""))</f>
        <v/>
      </c>
    </row>
    <row r="814" customFormat="false" ht="15" hidden="false" customHeight="false" outlineLevel="0" collapsed="false">
      <c r="A814" s="16" t="s">
        <v>3717</v>
      </c>
      <c r="B814" s="16" t="n">
        <v>809</v>
      </c>
      <c r="C814" s="16" t="s">
        <v>3718</v>
      </c>
      <c r="D814" s="16" t="n">
        <v>6</v>
      </c>
      <c r="E814" s="35" t="s">
        <v>1564</v>
      </c>
      <c r="F814" s="16" t="s">
        <v>1285</v>
      </c>
      <c r="G814" s="16" t="s">
        <v>322</v>
      </c>
      <c r="H814" s="16" t="s">
        <v>3694</v>
      </c>
      <c r="I814" s="16" t="s">
        <v>86</v>
      </c>
      <c r="J814" s="16" t="s">
        <v>1534</v>
      </c>
      <c r="K814" s="32" t="n">
        <v>6</v>
      </c>
      <c r="L814" s="33" t="n">
        <v>46094</v>
      </c>
      <c r="M814" s="33" t="n">
        <v>46099</v>
      </c>
      <c r="N814" s="16" t="s">
        <v>3705</v>
      </c>
      <c r="O814" s="16"/>
      <c r="P814" s="16" t="str">
        <f aca="false">IF(AND(L814&lt;=$D$2,M814&gt;=$C$2),"Sí","")</f>
        <v/>
      </c>
      <c r="Q814" s="18" t="str">
        <f aca="false">IF(COUNTIF(LOOKAHEAD!$A$5:$A$604,A814)&gt;0,"En Lookahead",IF(P814="Sí","INCORPORAR",""))</f>
        <v/>
      </c>
    </row>
    <row r="815" customFormat="false" ht="15" hidden="false" customHeight="false" outlineLevel="0" collapsed="false">
      <c r="A815" s="16" t="s">
        <v>3719</v>
      </c>
      <c r="B815" s="16" t="n">
        <v>810</v>
      </c>
      <c r="C815" s="16" t="s">
        <v>3720</v>
      </c>
      <c r="D815" s="16" t="n">
        <v>6</v>
      </c>
      <c r="E815" s="35" t="s">
        <v>1567</v>
      </c>
      <c r="F815" s="16" t="s">
        <v>1285</v>
      </c>
      <c r="G815" s="16" t="s">
        <v>322</v>
      </c>
      <c r="H815" s="16" t="s">
        <v>3694</v>
      </c>
      <c r="I815" s="16" t="s">
        <v>86</v>
      </c>
      <c r="J815" s="16" t="s">
        <v>1534</v>
      </c>
      <c r="K815" s="32" t="n">
        <v>6</v>
      </c>
      <c r="L815" s="33" t="n">
        <v>46122</v>
      </c>
      <c r="M815" s="33" t="n">
        <v>46127</v>
      </c>
      <c r="N815" s="16" t="s">
        <v>3721</v>
      </c>
      <c r="O815" s="16"/>
      <c r="P815" s="16" t="str">
        <f aca="false">IF(AND(L815&lt;=$D$2,M815&gt;=$C$2),"Sí","")</f>
        <v/>
      </c>
      <c r="Q815" s="18" t="str">
        <f aca="false">IF(COUNTIF(LOOKAHEAD!$A$5:$A$604,A815)&gt;0,"En Lookahead",IF(P815="Sí","INCORPORAR",""))</f>
        <v/>
      </c>
    </row>
    <row r="816" customFormat="false" ht="15" hidden="false" customHeight="false" outlineLevel="0" collapsed="false">
      <c r="A816" s="13" t="s">
        <v>3722</v>
      </c>
      <c r="B816" s="13" t="n">
        <v>811</v>
      </c>
      <c r="C816" s="13" t="s">
        <v>3723</v>
      </c>
      <c r="D816" s="13" t="n">
        <v>5</v>
      </c>
      <c r="E816" s="34" t="s">
        <v>1571</v>
      </c>
      <c r="F816" s="13" t="s">
        <v>1298</v>
      </c>
      <c r="G816" s="13" t="s">
        <v>322</v>
      </c>
      <c r="H816" s="13" t="s">
        <v>3694</v>
      </c>
      <c r="I816" s="13" t="s">
        <v>86</v>
      </c>
      <c r="J816" s="13" t="s">
        <v>3694</v>
      </c>
      <c r="K816" s="30" t="n">
        <v>19</v>
      </c>
      <c r="L816" s="31" t="n">
        <v>46100</v>
      </c>
      <c r="M816" s="31" t="n">
        <v>46118</v>
      </c>
      <c r="N816" s="13"/>
      <c r="O816" s="13"/>
      <c r="P816" s="13"/>
      <c r="Q816" s="13"/>
    </row>
    <row r="817" customFormat="false" ht="15" hidden="false" customHeight="false" outlineLevel="0" collapsed="false">
      <c r="A817" s="13" t="s">
        <v>3724</v>
      </c>
      <c r="B817" s="13" t="n">
        <v>812</v>
      </c>
      <c r="C817" s="13" t="s">
        <v>3725</v>
      </c>
      <c r="D817" s="13" t="n">
        <v>6</v>
      </c>
      <c r="E817" s="36" t="s">
        <v>1574</v>
      </c>
      <c r="F817" s="13" t="s">
        <v>1298</v>
      </c>
      <c r="G817" s="13" t="s">
        <v>322</v>
      </c>
      <c r="H817" s="13" t="s">
        <v>3694</v>
      </c>
      <c r="I817" s="13" t="s">
        <v>86</v>
      </c>
      <c r="J817" s="13" t="s">
        <v>1571</v>
      </c>
      <c r="K817" s="30" t="n">
        <v>1</v>
      </c>
      <c r="L817" s="31" t="n">
        <v>46100</v>
      </c>
      <c r="M817" s="31" t="n">
        <v>46100</v>
      </c>
      <c r="N817" s="13"/>
      <c r="O817" s="13"/>
      <c r="P817" s="13"/>
      <c r="Q817" s="13"/>
    </row>
    <row r="818" customFormat="false" ht="15" hidden="false" customHeight="false" outlineLevel="0" collapsed="false">
      <c r="A818" s="16" t="s">
        <v>3726</v>
      </c>
      <c r="B818" s="16" t="n">
        <v>813</v>
      </c>
      <c r="C818" s="16" t="s">
        <v>3727</v>
      </c>
      <c r="D818" s="16" t="n">
        <v>7</v>
      </c>
      <c r="E818" s="37" t="s">
        <v>1577</v>
      </c>
      <c r="F818" s="16" t="s">
        <v>1285</v>
      </c>
      <c r="G818" s="16" t="s">
        <v>322</v>
      </c>
      <c r="H818" s="16" t="s">
        <v>3694</v>
      </c>
      <c r="I818" s="16" t="s">
        <v>86</v>
      </c>
      <c r="J818" s="16" t="s">
        <v>1574</v>
      </c>
      <c r="K818" s="32" t="n">
        <v>1</v>
      </c>
      <c r="L818" s="33" t="n">
        <v>46100</v>
      </c>
      <c r="M818" s="33" t="n">
        <v>46100</v>
      </c>
      <c r="N818" s="16" t="s">
        <v>3728</v>
      </c>
      <c r="O818" s="16"/>
      <c r="P818" s="16" t="str">
        <f aca="false">IF(AND(L818&lt;=$D$2,M818&gt;=$C$2),"Sí","")</f>
        <v/>
      </c>
      <c r="Q818" s="18" t="str">
        <f aca="false">IF(COUNTIF(LOOKAHEAD!$A$5:$A$604,A818)&gt;0,"En Lookahead",IF(P818="Sí","INCORPORAR",""))</f>
        <v/>
      </c>
    </row>
    <row r="819" customFormat="false" ht="15" hidden="false" customHeight="false" outlineLevel="0" collapsed="false">
      <c r="A819" s="13" t="s">
        <v>3729</v>
      </c>
      <c r="B819" s="13" t="n">
        <v>814</v>
      </c>
      <c r="C819" s="13" t="s">
        <v>3730</v>
      </c>
      <c r="D819" s="13" t="n">
        <v>6</v>
      </c>
      <c r="E819" s="36" t="s">
        <v>1581</v>
      </c>
      <c r="F819" s="13" t="s">
        <v>1298</v>
      </c>
      <c r="G819" s="13" t="s">
        <v>322</v>
      </c>
      <c r="H819" s="13" t="s">
        <v>3694</v>
      </c>
      <c r="I819" s="13" t="s">
        <v>86</v>
      </c>
      <c r="J819" s="13" t="s">
        <v>1571</v>
      </c>
      <c r="K819" s="30" t="n">
        <v>5</v>
      </c>
      <c r="L819" s="31" t="n">
        <v>46101</v>
      </c>
      <c r="M819" s="31" t="n">
        <v>46105</v>
      </c>
      <c r="N819" s="13"/>
      <c r="O819" s="13"/>
      <c r="P819" s="13"/>
      <c r="Q819" s="13"/>
    </row>
    <row r="820" customFormat="false" ht="15" hidden="false" customHeight="false" outlineLevel="0" collapsed="false">
      <c r="A820" s="16" t="s">
        <v>3731</v>
      </c>
      <c r="B820" s="16" t="n">
        <v>815</v>
      </c>
      <c r="C820" s="16" t="s">
        <v>3732</v>
      </c>
      <c r="D820" s="16" t="n">
        <v>7</v>
      </c>
      <c r="E820" s="37" t="s">
        <v>1584</v>
      </c>
      <c r="F820" s="16" t="s">
        <v>1285</v>
      </c>
      <c r="G820" s="16" t="s">
        <v>322</v>
      </c>
      <c r="H820" s="16" t="s">
        <v>3694</v>
      </c>
      <c r="I820" s="16" t="s">
        <v>86</v>
      </c>
      <c r="J820" s="16" t="s">
        <v>1581</v>
      </c>
      <c r="K820" s="32" t="n">
        <v>1</v>
      </c>
      <c r="L820" s="33" t="n">
        <v>46105</v>
      </c>
      <c r="M820" s="33" t="n">
        <v>46105</v>
      </c>
      <c r="N820" s="16" t="s">
        <v>3733</v>
      </c>
      <c r="O820" s="16"/>
      <c r="P820" s="16" t="str">
        <f aca="false">IF(AND(L820&lt;=$D$2,M820&gt;=$C$2),"Sí","")</f>
        <v/>
      </c>
      <c r="Q820" s="18" t="str">
        <f aca="false">IF(COUNTIF(LOOKAHEAD!$A$5:$A$604,A820)&gt;0,"En Lookahead",IF(P820="Sí","INCORPORAR",""))</f>
        <v/>
      </c>
    </row>
    <row r="821" customFormat="false" ht="15" hidden="false" customHeight="false" outlineLevel="0" collapsed="false">
      <c r="A821" s="16" t="s">
        <v>3734</v>
      </c>
      <c r="B821" s="16" t="n">
        <v>816</v>
      </c>
      <c r="C821" s="16" t="s">
        <v>3735</v>
      </c>
      <c r="D821" s="16" t="n">
        <v>7</v>
      </c>
      <c r="E821" s="37" t="s">
        <v>1588</v>
      </c>
      <c r="F821" s="16" t="s">
        <v>1285</v>
      </c>
      <c r="G821" s="16" t="s">
        <v>322</v>
      </c>
      <c r="H821" s="16" t="s">
        <v>3694</v>
      </c>
      <c r="I821" s="16" t="s">
        <v>86</v>
      </c>
      <c r="J821" s="16" t="s">
        <v>1581</v>
      </c>
      <c r="K821" s="32" t="n">
        <v>4</v>
      </c>
      <c r="L821" s="33" t="n">
        <v>46101</v>
      </c>
      <c r="M821" s="33" t="n">
        <v>46104</v>
      </c>
      <c r="N821" s="16" t="s">
        <v>3736</v>
      </c>
      <c r="O821" s="16"/>
      <c r="P821" s="16" t="str">
        <f aca="false">IF(AND(L821&lt;=$D$2,M821&gt;=$C$2),"Sí","")</f>
        <v/>
      </c>
      <c r="Q821" s="18" t="str">
        <f aca="false">IF(COUNTIF(LOOKAHEAD!$A$5:$A$604,A821)&gt;0,"En Lookahead",IF(P821="Sí","INCORPORAR",""))</f>
        <v/>
      </c>
    </row>
    <row r="822" customFormat="false" ht="15" hidden="false" customHeight="false" outlineLevel="0" collapsed="false">
      <c r="A822" s="13" t="s">
        <v>3737</v>
      </c>
      <c r="B822" s="13" t="n">
        <v>817</v>
      </c>
      <c r="C822" s="13" t="s">
        <v>3738</v>
      </c>
      <c r="D822" s="13" t="n">
        <v>6</v>
      </c>
      <c r="E822" s="36" t="s">
        <v>1592</v>
      </c>
      <c r="F822" s="13" t="s">
        <v>1298</v>
      </c>
      <c r="G822" s="13" t="s">
        <v>322</v>
      </c>
      <c r="H822" s="13" t="s">
        <v>3694</v>
      </c>
      <c r="I822" s="13" t="s">
        <v>86</v>
      </c>
      <c r="J822" s="13" t="s">
        <v>1571</v>
      </c>
      <c r="K822" s="30" t="n">
        <v>7</v>
      </c>
      <c r="L822" s="31" t="n">
        <v>46106</v>
      </c>
      <c r="M822" s="31" t="n">
        <v>46112</v>
      </c>
      <c r="N822" s="13"/>
      <c r="O822" s="13"/>
      <c r="P822" s="13"/>
      <c r="Q822" s="13"/>
    </row>
    <row r="823" customFormat="false" ht="15" hidden="false" customHeight="false" outlineLevel="0" collapsed="false">
      <c r="A823" s="16" t="s">
        <v>3739</v>
      </c>
      <c r="B823" s="16" t="n">
        <v>818</v>
      </c>
      <c r="C823" s="16" t="s">
        <v>3740</v>
      </c>
      <c r="D823" s="16" t="n">
        <v>7</v>
      </c>
      <c r="E823" s="37" t="s">
        <v>1595</v>
      </c>
      <c r="F823" s="16" t="s">
        <v>1285</v>
      </c>
      <c r="G823" s="16" t="s">
        <v>322</v>
      </c>
      <c r="H823" s="16" t="s">
        <v>3694</v>
      </c>
      <c r="I823" s="16" t="s">
        <v>86</v>
      </c>
      <c r="J823" s="16" t="s">
        <v>1592</v>
      </c>
      <c r="K823" s="32" t="n">
        <v>1</v>
      </c>
      <c r="L823" s="33" t="n">
        <v>46110</v>
      </c>
      <c r="M823" s="33" t="n">
        <v>46110</v>
      </c>
      <c r="N823" s="16" t="s">
        <v>3741</v>
      </c>
      <c r="O823" s="16"/>
      <c r="P823" s="16" t="str">
        <f aca="false">IF(AND(L823&lt;=$D$2,M823&gt;=$C$2),"Sí","")</f>
        <v/>
      </c>
      <c r="Q823" s="18" t="str">
        <f aca="false">IF(COUNTIF(LOOKAHEAD!$A$5:$A$604,A823)&gt;0,"En Lookahead",IF(P823="Sí","INCORPORAR",""))</f>
        <v/>
      </c>
    </row>
    <row r="824" customFormat="false" ht="15" hidden="false" customHeight="false" outlineLevel="0" collapsed="false">
      <c r="A824" s="16" t="s">
        <v>3742</v>
      </c>
      <c r="B824" s="16" t="n">
        <v>819</v>
      </c>
      <c r="C824" s="16" t="s">
        <v>3743</v>
      </c>
      <c r="D824" s="16" t="n">
        <v>7</v>
      </c>
      <c r="E824" s="37" t="s">
        <v>1588</v>
      </c>
      <c r="F824" s="16" t="s">
        <v>1285</v>
      </c>
      <c r="G824" s="16" t="s">
        <v>322</v>
      </c>
      <c r="H824" s="16" t="s">
        <v>3694</v>
      </c>
      <c r="I824" s="16" t="s">
        <v>86</v>
      </c>
      <c r="J824" s="16" t="s">
        <v>1592</v>
      </c>
      <c r="K824" s="32" t="n">
        <v>4</v>
      </c>
      <c r="L824" s="33" t="n">
        <v>46106</v>
      </c>
      <c r="M824" s="33" t="n">
        <v>46109</v>
      </c>
      <c r="N824" s="16" t="s">
        <v>3744</v>
      </c>
      <c r="O824" s="16"/>
      <c r="P824" s="16" t="str">
        <f aca="false">IF(AND(L824&lt;=$D$2,M824&gt;=$C$2),"Sí","")</f>
        <v/>
      </c>
      <c r="Q824" s="18" t="str">
        <f aca="false">IF(COUNTIF(LOOKAHEAD!$A$5:$A$604,A824)&gt;0,"En Lookahead",IF(P824="Sí","INCORPORAR",""))</f>
        <v/>
      </c>
    </row>
    <row r="825" customFormat="false" ht="15" hidden="false" customHeight="false" outlineLevel="0" collapsed="false">
      <c r="A825" s="16" t="s">
        <v>3745</v>
      </c>
      <c r="B825" s="16" t="n">
        <v>820</v>
      </c>
      <c r="C825" s="16" t="s">
        <v>3746</v>
      </c>
      <c r="D825" s="16" t="n">
        <v>7</v>
      </c>
      <c r="E825" s="37" t="s">
        <v>1602</v>
      </c>
      <c r="F825" s="16" t="s">
        <v>1285</v>
      </c>
      <c r="G825" s="16" t="s">
        <v>322</v>
      </c>
      <c r="H825" s="16" t="s">
        <v>3694</v>
      </c>
      <c r="I825" s="16" t="s">
        <v>86</v>
      </c>
      <c r="J825" s="16" t="s">
        <v>1592</v>
      </c>
      <c r="K825" s="32" t="n">
        <v>2</v>
      </c>
      <c r="L825" s="33" t="n">
        <v>46111</v>
      </c>
      <c r="M825" s="33" t="n">
        <v>46112</v>
      </c>
      <c r="N825" s="16" t="s">
        <v>3711</v>
      </c>
      <c r="O825" s="16"/>
      <c r="P825" s="16" t="str">
        <f aca="false">IF(AND(L825&lt;=$D$2,M825&gt;=$C$2),"Sí","")</f>
        <v/>
      </c>
      <c r="Q825" s="18" t="str">
        <f aca="false">IF(COUNTIF(LOOKAHEAD!$A$5:$A$604,A825)&gt;0,"En Lookahead",IF(P825="Sí","INCORPORAR",""))</f>
        <v/>
      </c>
    </row>
    <row r="826" customFormat="false" ht="15" hidden="false" customHeight="false" outlineLevel="0" collapsed="false">
      <c r="A826" s="13" t="s">
        <v>3747</v>
      </c>
      <c r="B826" s="13" t="n">
        <v>821</v>
      </c>
      <c r="C826" s="13" t="s">
        <v>3748</v>
      </c>
      <c r="D826" s="13" t="n">
        <v>6</v>
      </c>
      <c r="E826" s="36" t="s">
        <v>1606</v>
      </c>
      <c r="F826" s="13" t="s">
        <v>1298</v>
      </c>
      <c r="G826" s="13" t="s">
        <v>322</v>
      </c>
      <c r="H826" s="13" t="s">
        <v>3694</v>
      </c>
      <c r="I826" s="13" t="s">
        <v>86</v>
      </c>
      <c r="J826" s="13" t="s">
        <v>1571</v>
      </c>
      <c r="K826" s="30" t="n">
        <v>14</v>
      </c>
      <c r="L826" s="31" t="n">
        <v>46101</v>
      </c>
      <c r="M826" s="31" t="n">
        <v>46114</v>
      </c>
      <c r="N826" s="13"/>
      <c r="O826" s="13"/>
      <c r="P826" s="13"/>
      <c r="Q826" s="13"/>
    </row>
    <row r="827" customFormat="false" ht="15" hidden="false" customHeight="false" outlineLevel="0" collapsed="false">
      <c r="A827" s="16" t="s">
        <v>3749</v>
      </c>
      <c r="B827" s="16" t="n">
        <v>822</v>
      </c>
      <c r="C827" s="16" t="s">
        <v>3750</v>
      </c>
      <c r="D827" s="16" t="n">
        <v>7</v>
      </c>
      <c r="E827" s="37" t="s">
        <v>1609</v>
      </c>
      <c r="F827" s="16" t="s">
        <v>1285</v>
      </c>
      <c r="G827" s="16" t="s">
        <v>322</v>
      </c>
      <c r="H827" s="16" t="s">
        <v>3694</v>
      </c>
      <c r="I827" s="16" t="s">
        <v>86</v>
      </c>
      <c r="J827" s="16" t="s">
        <v>1606</v>
      </c>
      <c r="K827" s="32" t="n">
        <v>4</v>
      </c>
      <c r="L827" s="33" t="n">
        <v>46111</v>
      </c>
      <c r="M827" s="33" t="n">
        <v>46114</v>
      </c>
      <c r="N827" s="16" t="s">
        <v>3751</v>
      </c>
      <c r="O827" s="16"/>
      <c r="P827" s="16" t="str">
        <f aca="false">IF(AND(L827&lt;=$D$2,M827&gt;=$C$2),"Sí","")</f>
        <v/>
      </c>
      <c r="Q827" s="18" t="str">
        <f aca="false">IF(COUNTIF(LOOKAHEAD!$A$5:$A$604,A827)&gt;0,"En Lookahead",IF(P827="Sí","INCORPORAR",""))</f>
        <v/>
      </c>
    </row>
    <row r="828" customFormat="false" ht="15" hidden="false" customHeight="false" outlineLevel="0" collapsed="false">
      <c r="A828" s="16" t="s">
        <v>3752</v>
      </c>
      <c r="B828" s="16" t="n">
        <v>823</v>
      </c>
      <c r="C828" s="16" t="s">
        <v>3753</v>
      </c>
      <c r="D828" s="16" t="n">
        <v>7</v>
      </c>
      <c r="E828" s="37" t="s">
        <v>1588</v>
      </c>
      <c r="F828" s="16" t="s">
        <v>1285</v>
      </c>
      <c r="G828" s="16" t="s">
        <v>322</v>
      </c>
      <c r="H828" s="16" t="s">
        <v>3694</v>
      </c>
      <c r="I828" s="16" t="s">
        <v>86</v>
      </c>
      <c r="J828" s="16" t="s">
        <v>1606</v>
      </c>
      <c r="K828" s="32" t="n">
        <v>10</v>
      </c>
      <c r="L828" s="33" t="n">
        <v>46101</v>
      </c>
      <c r="M828" s="33" t="n">
        <v>46110</v>
      </c>
      <c r="N828" s="16" t="s">
        <v>3736</v>
      </c>
      <c r="O828" s="16"/>
      <c r="P828" s="16" t="str">
        <f aca="false">IF(AND(L828&lt;=$D$2,M828&gt;=$C$2),"Sí","")</f>
        <v/>
      </c>
      <c r="Q828" s="18" t="str">
        <f aca="false">IF(COUNTIF(LOOKAHEAD!$A$5:$A$604,A828)&gt;0,"En Lookahead",IF(P828="Sí","INCORPORAR",""))</f>
        <v/>
      </c>
    </row>
    <row r="829" customFormat="false" ht="15" hidden="false" customHeight="false" outlineLevel="0" collapsed="false">
      <c r="A829" s="13" t="s">
        <v>3754</v>
      </c>
      <c r="B829" s="13" t="n">
        <v>824</v>
      </c>
      <c r="C829" s="13" t="s">
        <v>3755</v>
      </c>
      <c r="D829" s="13" t="n">
        <v>6</v>
      </c>
      <c r="E829" s="36" t="s">
        <v>1616</v>
      </c>
      <c r="F829" s="13" t="s">
        <v>1298</v>
      </c>
      <c r="G829" s="13" t="s">
        <v>322</v>
      </c>
      <c r="H829" s="13" t="s">
        <v>3694</v>
      </c>
      <c r="I829" s="13" t="s">
        <v>86</v>
      </c>
      <c r="J829" s="13" t="s">
        <v>1571</v>
      </c>
      <c r="K829" s="30" t="n">
        <v>4</v>
      </c>
      <c r="L829" s="31" t="n">
        <v>46115</v>
      </c>
      <c r="M829" s="31" t="n">
        <v>46118</v>
      </c>
      <c r="N829" s="13"/>
      <c r="O829" s="13"/>
      <c r="P829" s="13"/>
      <c r="Q829" s="13"/>
    </row>
    <row r="830" customFormat="false" ht="15" hidden="false" customHeight="false" outlineLevel="0" collapsed="false">
      <c r="A830" s="16" t="s">
        <v>3756</v>
      </c>
      <c r="B830" s="16" t="n">
        <v>825</v>
      </c>
      <c r="C830" s="16" t="s">
        <v>3757</v>
      </c>
      <c r="D830" s="16" t="n">
        <v>7</v>
      </c>
      <c r="E830" s="37" t="s">
        <v>1619</v>
      </c>
      <c r="F830" s="16" t="s">
        <v>1285</v>
      </c>
      <c r="G830" s="16" t="s">
        <v>322</v>
      </c>
      <c r="H830" s="16" t="s">
        <v>3694</v>
      </c>
      <c r="I830" s="16" t="s">
        <v>86</v>
      </c>
      <c r="J830" s="16" t="s">
        <v>1616</v>
      </c>
      <c r="K830" s="32" t="n">
        <v>4</v>
      </c>
      <c r="L830" s="33" t="n">
        <v>46115</v>
      </c>
      <c r="M830" s="33" t="n">
        <v>46118</v>
      </c>
      <c r="N830" s="16" t="s">
        <v>3758</v>
      </c>
      <c r="O830" s="16"/>
      <c r="P830" s="16" t="str">
        <f aca="false">IF(AND(L830&lt;=$D$2,M830&gt;=$C$2),"Sí","")</f>
        <v/>
      </c>
      <c r="Q830" s="18" t="str">
        <f aca="false">IF(COUNTIF(LOOKAHEAD!$A$5:$A$604,A830)&gt;0,"En Lookahead",IF(P830="Sí","INCORPORAR",""))</f>
        <v/>
      </c>
    </row>
    <row r="831" customFormat="false" ht="15" hidden="false" customHeight="false" outlineLevel="0" collapsed="false">
      <c r="A831" s="13" t="s">
        <v>3759</v>
      </c>
      <c r="B831" s="13" t="n">
        <v>826</v>
      </c>
      <c r="C831" s="13" t="s">
        <v>3760</v>
      </c>
      <c r="D831" s="13" t="n">
        <v>5</v>
      </c>
      <c r="E831" s="34" t="s">
        <v>1623</v>
      </c>
      <c r="F831" s="13" t="s">
        <v>1298</v>
      </c>
      <c r="G831" s="13" t="s">
        <v>322</v>
      </c>
      <c r="H831" s="13" t="s">
        <v>3694</v>
      </c>
      <c r="I831" s="13" t="s">
        <v>86</v>
      </c>
      <c r="J831" s="13" t="s">
        <v>3694</v>
      </c>
      <c r="K831" s="30" t="n">
        <v>160</v>
      </c>
      <c r="L831" s="31" t="n">
        <v>46115</v>
      </c>
      <c r="M831" s="31" t="n">
        <v>46354</v>
      </c>
      <c r="N831" s="13"/>
      <c r="O831" s="13"/>
      <c r="P831" s="13"/>
      <c r="Q831" s="13"/>
    </row>
    <row r="832" customFormat="false" ht="15" hidden="false" customHeight="false" outlineLevel="0" collapsed="false">
      <c r="A832" s="13" t="s">
        <v>3761</v>
      </c>
      <c r="B832" s="13" t="n">
        <v>827</v>
      </c>
      <c r="C832" s="13" t="s">
        <v>3762</v>
      </c>
      <c r="D832" s="13" t="n">
        <v>6</v>
      </c>
      <c r="E832" s="36" t="s">
        <v>1626</v>
      </c>
      <c r="F832" s="13" t="s">
        <v>1298</v>
      </c>
      <c r="G832" s="13" t="s">
        <v>322</v>
      </c>
      <c r="H832" s="13" t="s">
        <v>3694</v>
      </c>
      <c r="I832" s="13" t="s">
        <v>86</v>
      </c>
      <c r="J832" s="13" t="s">
        <v>1623</v>
      </c>
      <c r="K832" s="30" t="n">
        <v>15</v>
      </c>
      <c r="L832" s="31" t="n">
        <v>46115</v>
      </c>
      <c r="M832" s="31" t="n">
        <v>46129</v>
      </c>
      <c r="N832" s="13"/>
      <c r="O832" s="13"/>
      <c r="P832" s="13"/>
      <c r="Q832" s="13"/>
    </row>
    <row r="833" customFormat="false" ht="15" hidden="false" customHeight="false" outlineLevel="0" collapsed="false">
      <c r="A833" s="16" t="s">
        <v>3763</v>
      </c>
      <c r="B833" s="16" t="n">
        <v>828</v>
      </c>
      <c r="C833" s="16" t="s">
        <v>3764</v>
      </c>
      <c r="D833" s="16" t="n">
        <v>7</v>
      </c>
      <c r="E833" s="37" t="s">
        <v>1629</v>
      </c>
      <c r="F833" s="16" t="s">
        <v>1285</v>
      </c>
      <c r="G833" s="16" t="s">
        <v>322</v>
      </c>
      <c r="H833" s="16" t="s">
        <v>3694</v>
      </c>
      <c r="I833" s="16" t="s">
        <v>86</v>
      </c>
      <c r="J833" s="16" t="s">
        <v>1626</v>
      </c>
      <c r="K833" s="32" t="n">
        <v>1</v>
      </c>
      <c r="L833" s="33" t="n">
        <v>46127</v>
      </c>
      <c r="M833" s="33" t="n">
        <v>46127</v>
      </c>
      <c r="N833" s="16" t="s">
        <v>3765</v>
      </c>
      <c r="O833" s="16"/>
      <c r="P833" s="16" t="str">
        <f aca="false">IF(AND(L833&lt;=$D$2,M833&gt;=$C$2),"Sí","")</f>
        <v/>
      </c>
      <c r="Q833" s="18" t="str">
        <f aca="false">IF(COUNTIF(LOOKAHEAD!$A$5:$A$604,A833)&gt;0,"En Lookahead",IF(P833="Sí","INCORPORAR",""))</f>
        <v/>
      </c>
    </row>
    <row r="834" customFormat="false" ht="15" hidden="false" customHeight="false" outlineLevel="0" collapsed="false">
      <c r="A834" s="16" t="s">
        <v>3766</v>
      </c>
      <c r="B834" s="16" t="n">
        <v>829</v>
      </c>
      <c r="C834" s="16" t="s">
        <v>3767</v>
      </c>
      <c r="D834" s="16" t="n">
        <v>7</v>
      </c>
      <c r="E834" s="37" t="s">
        <v>1633</v>
      </c>
      <c r="F834" s="16" t="s">
        <v>1285</v>
      </c>
      <c r="G834" s="16" t="s">
        <v>322</v>
      </c>
      <c r="H834" s="16" t="s">
        <v>3694</v>
      </c>
      <c r="I834" s="16" t="s">
        <v>86</v>
      </c>
      <c r="J834" s="16" t="s">
        <v>1626</v>
      </c>
      <c r="K834" s="32" t="n">
        <v>4</v>
      </c>
      <c r="L834" s="33" t="n">
        <v>46123</v>
      </c>
      <c r="M834" s="33" t="n">
        <v>46126</v>
      </c>
      <c r="N834" s="16" t="s">
        <v>3768</v>
      </c>
      <c r="O834" s="16"/>
      <c r="P834" s="16" t="str">
        <f aca="false">IF(AND(L834&lt;=$D$2,M834&gt;=$C$2),"Sí","")</f>
        <v/>
      </c>
      <c r="Q834" s="18" t="str">
        <f aca="false">IF(COUNTIF(LOOKAHEAD!$A$5:$A$604,A834)&gt;0,"En Lookahead",IF(P834="Sí","INCORPORAR",""))</f>
        <v/>
      </c>
    </row>
    <row r="835" customFormat="false" ht="15" hidden="false" customHeight="false" outlineLevel="0" collapsed="false">
      <c r="A835" s="16" t="s">
        <v>3769</v>
      </c>
      <c r="B835" s="16" t="n">
        <v>830</v>
      </c>
      <c r="C835" s="16" t="s">
        <v>3770</v>
      </c>
      <c r="D835" s="16" t="n">
        <v>7</v>
      </c>
      <c r="E835" s="37" t="s">
        <v>1637</v>
      </c>
      <c r="F835" s="16" t="s">
        <v>1285</v>
      </c>
      <c r="G835" s="16" t="s">
        <v>322</v>
      </c>
      <c r="H835" s="16" t="s">
        <v>3694</v>
      </c>
      <c r="I835" s="16" t="s">
        <v>86</v>
      </c>
      <c r="J835" s="16" t="s">
        <v>1626</v>
      </c>
      <c r="K835" s="32" t="n">
        <v>8</v>
      </c>
      <c r="L835" s="33" t="n">
        <v>46115</v>
      </c>
      <c r="M835" s="33" t="n">
        <v>46122</v>
      </c>
      <c r="N835" s="16" t="s">
        <v>3758</v>
      </c>
      <c r="O835" s="16"/>
      <c r="P835" s="16" t="str">
        <f aca="false">IF(AND(L835&lt;=$D$2,M835&gt;=$C$2),"Sí","")</f>
        <v/>
      </c>
      <c r="Q835" s="18" t="str">
        <f aca="false">IF(COUNTIF(LOOKAHEAD!$A$5:$A$604,A835)&gt;0,"En Lookahead",IF(P835="Sí","INCORPORAR",""))</f>
        <v/>
      </c>
    </row>
    <row r="836" customFormat="false" ht="15" hidden="false" customHeight="false" outlineLevel="0" collapsed="false">
      <c r="A836" s="16" t="s">
        <v>3771</v>
      </c>
      <c r="B836" s="16" t="n">
        <v>831</v>
      </c>
      <c r="C836" s="16" t="s">
        <v>3772</v>
      </c>
      <c r="D836" s="16" t="n">
        <v>7</v>
      </c>
      <c r="E836" s="37" t="s">
        <v>1602</v>
      </c>
      <c r="F836" s="16" t="s">
        <v>1285</v>
      </c>
      <c r="G836" s="16" t="s">
        <v>322</v>
      </c>
      <c r="H836" s="16" t="s">
        <v>3694</v>
      </c>
      <c r="I836" s="16" t="s">
        <v>86</v>
      </c>
      <c r="J836" s="16" t="s">
        <v>1626</v>
      </c>
      <c r="K836" s="32" t="n">
        <v>2</v>
      </c>
      <c r="L836" s="33" t="n">
        <v>46128</v>
      </c>
      <c r="M836" s="33" t="n">
        <v>46129</v>
      </c>
      <c r="N836" s="16" t="s">
        <v>3773</v>
      </c>
      <c r="O836" s="16"/>
      <c r="P836" s="16" t="str">
        <f aca="false">IF(AND(L836&lt;=$D$2,M836&gt;=$C$2),"Sí","")</f>
        <v/>
      </c>
      <c r="Q836" s="18" t="str">
        <f aca="false">IF(COUNTIF(LOOKAHEAD!$A$5:$A$604,A836)&gt;0,"En Lookahead",IF(P836="Sí","INCORPORAR",""))</f>
        <v/>
      </c>
    </row>
    <row r="837" customFormat="false" ht="15" hidden="false" customHeight="false" outlineLevel="0" collapsed="false">
      <c r="A837" s="13" t="s">
        <v>3774</v>
      </c>
      <c r="B837" s="13" t="n">
        <v>832</v>
      </c>
      <c r="C837" s="13" t="s">
        <v>3775</v>
      </c>
      <c r="D837" s="13" t="n">
        <v>6</v>
      </c>
      <c r="E837" s="36" t="s">
        <v>1644</v>
      </c>
      <c r="F837" s="13" t="s">
        <v>1298</v>
      </c>
      <c r="G837" s="13" t="s">
        <v>322</v>
      </c>
      <c r="H837" s="13" t="s">
        <v>3694</v>
      </c>
      <c r="I837" s="13" t="s">
        <v>86</v>
      </c>
      <c r="J837" s="13" t="s">
        <v>1623</v>
      </c>
      <c r="K837" s="30" t="n">
        <v>33</v>
      </c>
      <c r="L837" s="31" t="n">
        <v>46128</v>
      </c>
      <c r="M837" s="31" t="n">
        <v>46240</v>
      </c>
      <c r="N837" s="13"/>
      <c r="O837" s="13"/>
      <c r="P837" s="13"/>
      <c r="Q837" s="13"/>
    </row>
    <row r="838" customFormat="false" ht="15" hidden="false" customHeight="false" outlineLevel="0" collapsed="false">
      <c r="A838" s="16" t="s">
        <v>3776</v>
      </c>
      <c r="B838" s="16" t="n">
        <v>833</v>
      </c>
      <c r="C838" s="16" t="s">
        <v>3777</v>
      </c>
      <c r="D838" s="16" t="n">
        <v>7</v>
      </c>
      <c r="E838" s="37" t="s">
        <v>1647</v>
      </c>
      <c r="F838" s="16" t="s">
        <v>1285</v>
      </c>
      <c r="G838" s="16" t="s">
        <v>322</v>
      </c>
      <c r="H838" s="16" t="s">
        <v>3694</v>
      </c>
      <c r="I838" s="16" t="s">
        <v>86</v>
      </c>
      <c r="J838" s="16" t="s">
        <v>1644</v>
      </c>
      <c r="K838" s="32" t="n">
        <v>1</v>
      </c>
      <c r="L838" s="33" t="n">
        <v>46156</v>
      </c>
      <c r="M838" s="33" t="n">
        <v>46156</v>
      </c>
      <c r="N838" s="16" t="s">
        <v>3778</v>
      </c>
      <c r="O838" s="16"/>
      <c r="P838" s="16" t="str">
        <f aca="false">IF(AND(L838&lt;=$D$2,M838&gt;=$C$2),"Sí","")</f>
        <v/>
      </c>
      <c r="Q838" s="18" t="str">
        <f aca="false">IF(COUNTIF(LOOKAHEAD!$A$5:$A$604,A838)&gt;0,"En Lookahead",IF(P838="Sí","INCORPORAR",""))</f>
        <v/>
      </c>
    </row>
    <row r="839" customFormat="false" ht="15" hidden="false" customHeight="false" outlineLevel="0" collapsed="false">
      <c r="A839" s="16" t="s">
        <v>3779</v>
      </c>
      <c r="B839" s="16" t="n">
        <v>834</v>
      </c>
      <c r="C839" s="16" t="s">
        <v>3780</v>
      </c>
      <c r="D839" s="16" t="n">
        <v>7</v>
      </c>
      <c r="E839" s="37" t="s">
        <v>1651</v>
      </c>
      <c r="F839" s="16" t="s">
        <v>1285</v>
      </c>
      <c r="G839" s="16" t="s">
        <v>322</v>
      </c>
      <c r="H839" s="16" t="s">
        <v>3694</v>
      </c>
      <c r="I839" s="16" t="s">
        <v>86</v>
      </c>
      <c r="J839" s="16" t="s">
        <v>1644</v>
      </c>
      <c r="K839" s="32" t="n">
        <v>13</v>
      </c>
      <c r="L839" s="33" t="n">
        <v>46143</v>
      </c>
      <c r="M839" s="33" t="n">
        <v>46155</v>
      </c>
      <c r="N839" s="16" t="s">
        <v>3781</v>
      </c>
      <c r="O839" s="16"/>
      <c r="P839" s="16" t="str">
        <f aca="false">IF(AND(L839&lt;=$D$2,M839&gt;=$C$2),"Sí","")</f>
        <v/>
      </c>
      <c r="Q839" s="18" t="str">
        <f aca="false">IF(COUNTIF(LOOKAHEAD!$A$5:$A$604,A839)&gt;0,"En Lookahead",IF(P839="Sí","INCORPORAR",""))</f>
        <v/>
      </c>
    </row>
    <row r="840" customFormat="false" ht="15" hidden="false" customHeight="false" outlineLevel="0" collapsed="false">
      <c r="A840" s="16" t="s">
        <v>3782</v>
      </c>
      <c r="B840" s="16" t="n">
        <v>835</v>
      </c>
      <c r="C840" s="16" t="s">
        <v>3783</v>
      </c>
      <c r="D840" s="16" t="n">
        <v>7</v>
      </c>
      <c r="E840" s="37" t="s">
        <v>1637</v>
      </c>
      <c r="F840" s="16" t="s">
        <v>1285</v>
      </c>
      <c r="G840" s="16" t="s">
        <v>322</v>
      </c>
      <c r="H840" s="16" t="s">
        <v>3694</v>
      </c>
      <c r="I840" s="16" t="s">
        <v>86</v>
      </c>
      <c r="J840" s="16" t="s">
        <v>1644</v>
      </c>
      <c r="K840" s="32" t="n">
        <v>15</v>
      </c>
      <c r="L840" s="33" t="n">
        <v>46128</v>
      </c>
      <c r="M840" s="33" t="n">
        <v>46142</v>
      </c>
      <c r="N840" s="16" t="s">
        <v>3773</v>
      </c>
      <c r="O840" s="16"/>
      <c r="P840" s="16" t="str">
        <f aca="false">IF(AND(L840&lt;=$D$2,M840&gt;=$C$2),"Sí","")</f>
        <v/>
      </c>
      <c r="Q840" s="18" t="str">
        <f aca="false">IF(COUNTIF(LOOKAHEAD!$A$5:$A$604,A840)&gt;0,"En Lookahead",IF(P840="Sí","INCORPORAR",""))</f>
        <v/>
      </c>
    </row>
    <row r="841" customFormat="false" ht="15" hidden="false" customHeight="false" outlineLevel="0" collapsed="false">
      <c r="A841" s="16" t="s">
        <v>3784</v>
      </c>
      <c r="B841" s="16" t="n">
        <v>836</v>
      </c>
      <c r="C841" s="16" t="s">
        <v>3785</v>
      </c>
      <c r="D841" s="16" t="n">
        <v>7</v>
      </c>
      <c r="E841" s="37" t="s">
        <v>1602</v>
      </c>
      <c r="F841" s="16" t="s">
        <v>1285</v>
      </c>
      <c r="G841" s="16" t="s">
        <v>322</v>
      </c>
      <c r="H841" s="16" t="s">
        <v>3694</v>
      </c>
      <c r="I841" s="16" t="s">
        <v>86</v>
      </c>
      <c r="J841" s="16" t="s">
        <v>1644</v>
      </c>
      <c r="K841" s="32" t="n">
        <v>4</v>
      </c>
      <c r="L841" s="33" t="n">
        <v>46237</v>
      </c>
      <c r="M841" s="33" t="n">
        <v>46240</v>
      </c>
      <c r="N841" s="16" t="s">
        <v>3786</v>
      </c>
      <c r="O841" s="16"/>
      <c r="P841" s="16" t="str">
        <f aca="false">IF(AND(L841&lt;=$D$2,M841&gt;=$C$2),"Sí","")</f>
        <v/>
      </c>
      <c r="Q841" s="18" t="str">
        <f aca="false">IF(COUNTIF(LOOKAHEAD!$A$5:$A$604,A841)&gt;0,"En Lookahead",IF(P841="Sí","INCORPORAR",""))</f>
        <v/>
      </c>
    </row>
    <row r="842" customFormat="false" ht="15" hidden="false" customHeight="false" outlineLevel="0" collapsed="false">
      <c r="A842" s="13" t="s">
        <v>3787</v>
      </c>
      <c r="B842" s="13" t="n">
        <v>837</v>
      </c>
      <c r="C842" s="13" t="s">
        <v>3788</v>
      </c>
      <c r="D842" s="13" t="n">
        <v>6</v>
      </c>
      <c r="E842" s="36" t="s">
        <v>1660</v>
      </c>
      <c r="F842" s="13" t="s">
        <v>1298</v>
      </c>
      <c r="G842" s="13" t="s">
        <v>322</v>
      </c>
      <c r="H842" s="13" t="s">
        <v>3694</v>
      </c>
      <c r="I842" s="13" t="s">
        <v>86</v>
      </c>
      <c r="J842" s="13" t="s">
        <v>1623</v>
      </c>
      <c r="K842" s="30" t="n">
        <v>104</v>
      </c>
      <c r="L842" s="31" t="n">
        <v>46128</v>
      </c>
      <c r="M842" s="31" t="n">
        <v>46311</v>
      </c>
      <c r="N842" s="13"/>
      <c r="O842" s="13"/>
      <c r="P842" s="13"/>
      <c r="Q842" s="13"/>
    </row>
    <row r="843" customFormat="false" ht="15" hidden="false" customHeight="false" outlineLevel="0" collapsed="false">
      <c r="A843" s="13" t="s">
        <v>3789</v>
      </c>
      <c r="B843" s="13" t="n">
        <v>838</v>
      </c>
      <c r="C843" s="13" t="s">
        <v>3790</v>
      </c>
      <c r="D843" s="13" t="n">
        <v>7</v>
      </c>
      <c r="E843" s="38" t="s">
        <v>1663</v>
      </c>
      <c r="F843" s="13" t="s">
        <v>1298</v>
      </c>
      <c r="G843" s="13" t="s">
        <v>322</v>
      </c>
      <c r="H843" s="13" t="s">
        <v>3694</v>
      </c>
      <c r="I843" s="13" t="s">
        <v>86</v>
      </c>
      <c r="J843" s="13" t="s">
        <v>1660</v>
      </c>
      <c r="K843" s="30" t="n">
        <v>40</v>
      </c>
      <c r="L843" s="31" t="n">
        <v>46128</v>
      </c>
      <c r="M843" s="31" t="n">
        <v>46247</v>
      </c>
      <c r="N843" s="13"/>
      <c r="O843" s="13"/>
      <c r="P843" s="13"/>
      <c r="Q843" s="13"/>
    </row>
    <row r="844" customFormat="false" ht="15" hidden="false" customHeight="false" outlineLevel="0" collapsed="false">
      <c r="A844" s="16" t="s">
        <v>3791</v>
      </c>
      <c r="B844" s="16" t="n">
        <v>839</v>
      </c>
      <c r="C844" s="16" t="s">
        <v>3792</v>
      </c>
      <c r="D844" s="16" t="n">
        <v>8</v>
      </c>
      <c r="E844" s="39" t="s">
        <v>1666</v>
      </c>
      <c r="F844" s="16" t="s">
        <v>1285</v>
      </c>
      <c r="G844" s="16" t="s">
        <v>322</v>
      </c>
      <c r="H844" s="16" t="s">
        <v>3694</v>
      </c>
      <c r="I844" s="16" t="s">
        <v>86</v>
      </c>
      <c r="J844" s="16" t="s">
        <v>1663</v>
      </c>
      <c r="K844" s="32" t="n">
        <v>1</v>
      </c>
      <c r="L844" s="33" t="n">
        <v>46244</v>
      </c>
      <c r="M844" s="33" t="n">
        <v>46244</v>
      </c>
      <c r="N844" s="16" t="s">
        <v>3793</v>
      </c>
      <c r="O844" s="16"/>
      <c r="P844" s="16" t="str">
        <f aca="false">IF(AND(L844&lt;=$D$2,M844&gt;=$C$2),"Sí","")</f>
        <v/>
      </c>
      <c r="Q844" s="18" t="str">
        <f aca="false">IF(COUNTIF(LOOKAHEAD!$A$5:$A$604,A844)&gt;0,"En Lookahead",IF(P844="Sí","INCORPORAR",""))</f>
        <v/>
      </c>
    </row>
    <row r="845" customFormat="false" ht="15" hidden="false" customHeight="false" outlineLevel="0" collapsed="false">
      <c r="A845" s="16" t="s">
        <v>3794</v>
      </c>
      <c r="B845" s="16" t="n">
        <v>840</v>
      </c>
      <c r="C845" s="16" t="s">
        <v>3795</v>
      </c>
      <c r="D845" s="16" t="n">
        <v>8</v>
      </c>
      <c r="E845" s="39" t="s">
        <v>1670</v>
      </c>
      <c r="F845" s="16" t="s">
        <v>1285</v>
      </c>
      <c r="G845" s="16" t="s">
        <v>322</v>
      </c>
      <c r="H845" s="16" t="s">
        <v>3694</v>
      </c>
      <c r="I845" s="16" t="s">
        <v>86</v>
      </c>
      <c r="J845" s="16" t="s">
        <v>1663</v>
      </c>
      <c r="K845" s="32" t="n">
        <v>19</v>
      </c>
      <c r="L845" s="33" t="n">
        <v>46145</v>
      </c>
      <c r="M845" s="33" t="n">
        <v>46243</v>
      </c>
      <c r="N845" s="16" t="s">
        <v>3796</v>
      </c>
      <c r="O845" s="16"/>
      <c r="P845" s="16" t="str">
        <f aca="false">IF(AND(L845&lt;=$D$2,M845&gt;=$C$2),"Sí","")</f>
        <v/>
      </c>
      <c r="Q845" s="18" t="str">
        <f aca="false">IF(COUNTIF(LOOKAHEAD!$A$5:$A$604,A845)&gt;0,"En Lookahead",IF(P845="Sí","INCORPORAR",""))</f>
        <v/>
      </c>
    </row>
    <row r="846" customFormat="false" ht="15" hidden="false" customHeight="false" outlineLevel="0" collapsed="false">
      <c r="A846" s="16" t="s">
        <v>3797</v>
      </c>
      <c r="B846" s="16" t="n">
        <v>841</v>
      </c>
      <c r="C846" s="16" t="s">
        <v>3798</v>
      </c>
      <c r="D846" s="16" t="n">
        <v>8</v>
      </c>
      <c r="E846" s="39" t="s">
        <v>1674</v>
      </c>
      <c r="F846" s="16" t="s">
        <v>1285</v>
      </c>
      <c r="G846" s="16" t="s">
        <v>322</v>
      </c>
      <c r="H846" s="16" t="s">
        <v>3694</v>
      </c>
      <c r="I846" s="16" t="s">
        <v>86</v>
      </c>
      <c r="J846" s="16" t="s">
        <v>1663</v>
      </c>
      <c r="K846" s="32" t="n">
        <v>17</v>
      </c>
      <c r="L846" s="33" t="n">
        <v>46128</v>
      </c>
      <c r="M846" s="33" t="n">
        <v>46144</v>
      </c>
      <c r="N846" s="16" t="s">
        <v>3773</v>
      </c>
      <c r="O846" s="16"/>
      <c r="P846" s="16" t="str">
        <f aca="false">IF(AND(L846&lt;=$D$2,M846&gt;=$C$2),"Sí","")</f>
        <v/>
      </c>
      <c r="Q846" s="18" t="str">
        <f aca="false">IF(COUNTIF(LOOKAHEAD!$A$5:$A$604,A846)&gt;0,"En Lookahead",IF(P846="Sí","INCORPORAR",""))</f>
        <v/>
      </c>
    </row>
    <row r="847" customFormat="false" ht="15" hidden="false" customHeight="false" outlineLevel="0" collapsed="false">
      <c r="A847" s="16" t="s">
        <v>3799</v>
      </c>
      <c r="B847" s="16" t="n">
        <v>842</v>
      </c>
      <c r="C847" s="16" t="s">
        <v>3800</v>
      </c>
      <c r="D847" s="16" t="n">
        <v>8</v>
      </c>
      <c r="E847" s="39" t="s">
        <v>1677</v>
      </c>
      <c r="F847" s="16" t="s">
        <v>1285</v>
      </c>
      <c r="G847" s="16" t="s">
        <v>322</v>
      </c>
      <c r="H847" s="16" t="s">
        <v>3694</v>
      </c>
      <c r="I847" s="16" t="s">
        <v>86</v>
      </c>
      <c r="J847" s="16" t="s">
        <v>1663</v>
      </c>
      <c r="K847" s="32" t="n">
        <v>3</v>
      </c>
      <c r="L847" s="33" t="n">
        <v>46245</v>
      </c>
      <c r="M847" s="33" t="n">
        <v>46247</v>
      </c>
      <c r="N847" s="16" t="s">
        <v>3801</v>
      </c>
      <c r="O847" s="16"/>
      <c r="P847" s="16" t="str">
        <f aca="false">IF(AND(L847&lt;=$D$2,M847&gt;=$C$2),"Sí","")</f>
        <v/>
      </c>
      <c r="Q847" s="18" t="str">
        <f aca="false">IF(COUNTIF(LOOKAHEAD!$A$5:$A$604,A847)&gt;0,"En Lookahead",IF(P847="Sí","INCORPORAR",""))</f>
        <v/>
      </c>
    </row>
    <row r="848" customFormat="false" ht="15" hidden="false" customHeight="false" outlineLevel="0" collapsed="false">
      <c r="A848" s="13" t="s">
        <v>3802</v>
      </c>
      <c r="B848" s="13" t="n">
        <v>843</v>
      </c>
      <c r="C848" s="13" t="s">
        <v>3803</v>
      </c>
      <c r="D848" s="13" t="n">
        <v>7</v>
      </c>
      <c r="E848" s="38" t="s">
        <v>1681</v>
      </c>
      <c r="F848" s="13" t="s">
        <v>1298</v>
      </c>
      <c r="G848" s="13" t="s">
        <v>322</v>
      </c>
      <c r="H848" s="13" t="s">
        <v>3694</v>
      </c>
      <c r="I848" s="13" t="s">
        <v>86</v>
      </c>
      <c r="J848" s="13" t="s">
        <v>1660</v>
      </c>
      <c r="K848" s="30" t="n">
        <v>29</v>
      </c>
      <c r="L848" s="31" t="n">
        <v>46283</v>
      </c>
      <c r="M848" s="31" t="n">
        <v>46311</v>
      </c>
      <c r="N848" s="13"/>
      <c r="O848" s="13"/>
      <c r="P848" s="13"/>
      <c r="Q848" s="13"/>
    </row>
    <row r="849" customFormat="false" ht="15" hidden="false" customHeight="false" outlineLevel="0" collapsed="false">
      <c r="A849" s="16" t="s">
        <v>3804</v>
      </c>
      <c r="B849" s="16" t="n">
        <v>844</v>
      </c>
      <c r="C849" s="16" t="s">
        <v>3805</v>
      </c>
      <c r="D849" s="16" t="n">
        <v>8</v>
      </c>
      <c r="E849" s="39" t="s">
        <v>1684</v>
      </c>
      <c r="F849" s="16" t="s">
        <v>1285</v>
      </c>
      <c r="G849" s="16" t="s">
        <v>322</v>
      </c>
      <c r="H849" s="16" t="s">
        <v>3694</v>
      </c>
      <c r="I849" s="16" t="s">
        <v>86</v>
      </c>
      <c r="J849" s="16" t="s">
        <v>1681</v>
      </c>
      <c r="K849" s="32" t="n">
        <v>1</v>
      </c>
      <c r="L849" s="33" t="n">
        <v>46309</v>
      </c>
      <c r="M849" s="33" t="n">
        <v>46309</v>
      </c>
      <c r="N849" s="16" t="s">
        <v>3806</v>
      </c>
      <c r="O849" s="16"/>
      <c r="P849" s="16" t="str">
        <f aca="false">IF(AND(L849&lt;=$D$2,M849&gt;=$C$2),"Sí","")</f>
        <v>Sí</v>
      </c>
      <c r="Q849" s="18" t="str">
        <f aca="false">IF(COUNTIF(LOOKAHEAD!$A$5:$A$604,A849)&gt;0,"En Lookahead",IF(P849="Sí","INCORPORAR",""))</f>
        <v>En Lookahead</v>
      </c>
    </row>
    <row r="850" customFormat="false" ht="15" hidden="false" customHeight="false" outlineLevel="0" collapsed="false">
      <c r="A850" s="16" t="s">
        <v>3807</v>
      </c>
      <c r="B850" s="16" t="n">
        <v>845</v>
      </c>
      <c r="C850" s="16" t="s">
        <v>3808</v>
      </c>
      <c r="D850" s="16" t="n">
        <v>8</v>
      </c>
      <c r="E850" s="39" t="s">
        <v>1688</v>
      </c>
      <c r="F850" s="16" t="s">
        <v>1285</v>
      </c>
      <c r="G850" s="16" t="s">
        <v>322</v>
      </c>
      <c r="H850" s="16" t="s">
        <v>3694</v>
      </c>
      <c r="I850" s="16" t="s">
        <v>86</v>
      </c>
      <c r="J850" s="16" t="s">
        <v>1681</v>
      </c>
      <c r="K850" s="32" t="n">
        <v>13</v>
      </c>
      <c r="L850" s="33" t="n">
        <v>46296</v>
      </c>
      <c r="M850" s="33" t="n">
        <v>46308</v>
      </c>
      <c r="N850" s="16" t="s">
        <v>3809</v>
      </c>
      <c r="O850" s="16"/>
      <c r="P850" s="16" t="str">
        <f aca="false">IF(AND(L850&lt;=$D$2,M850&gt;=$C$2),"Sí","")</f>
        <v>Sí</v>
      </c>
      <c r="Q850" s="18" t="str">
        <f aca="false">IF(COUNTIF(LOOKAHEAD!$A$5:$A$604,A850)&gt;0,"En Lookahead",IF(P850="Sí","INCORPORAR",""))</f>
        <v>En Lookahead</v>
      </c>
    </row>
    <row r="851" customFormat="false" ht="15" hidden="false" customHeight="false" outlineLevel="0" collapsed="false">
      <c r="A851" s="16" t="s">
        <v>3810</v>
      </c>
      <c r="B851" s="16" t="n">
        <v>846</v>
      </c>
      <c r="C851" s="16" t="s">
        <v>3811</v>
      </c>
      <c r="D851" s="16" t="n">
        <v>8</v>
      </c>
      <c r="E851" s="39" t="s">
        <v>1674</v>
      </c>
      <c r="F851" s="16" t="s">
        <v>1285</v>
      </c>
      <c r="G851" s="16" t="s">
        <v>322</v>
      </c>
      <c r="H851" s="16" t="s">
        <v>3694</v>
      </c>
      <c r="I851" s="16" t="s">
        <v>86</v>
      </c>
      <c r="J851" s="16" t="s">
        <v>1681</v>
      </c>
      <c r="K851" s="32" t="n">
        <v>13</v>
      </c>
      <c r="L851" s="33" t="n">
        <v>46283</v>
      </c>
      <c r="M851" s="33" t="n">
        <v>46295</v>
      </c>
      <c r="N851" s="16" t="s">
        <v>3812</v>
      </c>
      <c r="O851" s="16"/>
      <c r="P851" s="16" t="str">
        <f aca="false">IF(AND(L851&lt;=$D$2,M851&gt;=$C$2),"Sí","")</f>
        <v/>
      </c>
      <c r="Q851" s="18" t="str">
        <f aca="false">IF(COUNTIF(LOOKAHEAD!$A$5:$A$604,A851)&gt;0,"En Lookahead",IF(P851="Sí","INCORPORAR",""))</f>
        <v/>
      </c>
    </row>
    <row r="852" customFormat="false" ht="15" hidden="false" customHeight="false" outlineLevel="0" collapsed="false">
      <c r="A852" s="16" t="s">
        <v>3813</v>
      </c>
      <c r="B852" s="16" t="n">
        <v>847</v>
      </c>
      <c r="C852" s="16" t="s">
        <v>3814</v>
      </c>
      <c r="D852" s="16" t="n">
        <v>8</v>
      </c>
      <c r="E852" s="39" t="s">
        <v>1677</v>
      </c>
      <c r="F852" s="16" t="s">
        <v>1285</v>
      </c>
      <c r="G852" s="16" t="s">
        <v>322</v>
      </c>
      <c r="H852" s="16" t="s">
        <v>3694</v>
      </c>
      <c r="I852" s="16" t="s">
        <v>86</v>
      </c>
      <c r="J852" s="16" t="s">
        <v>1681</v>
      </c>
      <c r="K852" s="32" t="n">
        <v>2</v>
      </c>
      <c r="L852" s="33" t="n">
        <v>46310</v>
      </c>
      <c r="M852" s="33" t="n">
        <v>46311</v>
      </c>
      <c r="N852" s="16" t="s">
        <v>3815</v>
      </c>
      <c r="O852" s="16"/>
      <c r="P852" s="16" t="str">
        <f aca="false">IF(AND(L852&lt;=$D$2,M852&gt;=$C$2),"Sí","")</f>
        <v>Sí</v>
      </c>
      <c r="Q852" s="18" t="str">
        <f aca="false">IF(COUNTIF(LOOKAHEAD!$A$5:$A$604,A852)&gt;0,"En Lookahead",IF(P852="Sí","INCORPORAR",""))</f>
        <v>En Lookahead</v>
      </c>
    </row>
    <row r="853" customFormat="false" ht="15" hidden="false" customHeight="false" outlineLevel="0" collapsed="false">
      <c r="A853" s="13" t="s">
        <v>3816</v>
      </c>
      <c r="B853" s="13" t="n">
        <v>848</v>
      </c>
      <c r="C853" s="13" t="s">
        <v>3817</v>
      </c>
      <c r="D853" s="13" t="n">
        <v>6</v>
      </c>
      <c r="E853" s="36" t="s">
        <v>1731</v>
      </c>
      <c r="F853" s="13" t="s">
        <v>1298</v>
      </c>
      <c r="G853" s="13" t="s">
        <v>322</v>
      </c>
      <c r="H853" s="13" t="s">
        <v>3694</v>
      </c>
      <c r="I853" s="13" t="s">
        <v>86</v>
      </c>
      <c r="J853" s="13" t="s">
        <v>1623</v>
      </c>
      <c r="K853" s="30" t="n">
        <v>88</v>
      </c>
      <c r="L853" s="31" t="n">
        <v>46128</v>
      </c>
      <c r="M853" s="31" t="n">
        <v>46295</v>
      </c>
      <c r="N853" s="13"/>
      <c r="O853" s="13"/>
      <c r="P853" s="13"/>
      <c r="Q853" s="13"/>
    </row>
    <row r="854" customFormat="false" ht="15" hidden="false" customHeight="false" outlineLevel="0" collapsed="false">
      <c r="A854" s="13" t="s">
        <v>3818</v>
      </c>
      <c r="B854" s="13" t="n">
        <v>849</v>
      </c>
      <c r="C854" s="13" t="s">
        <v>3819</v>
      </c>
      <c r="D854" s="13" t="n">
        <v>7</v>
      </c>
      <c r="E854" s="38" t="s">
        <v>1734</v>
      </c>
      <c r="F854" s="13" t="s">
        <v>1298</v>
      </c>
      <c r="G854" s="13" t="s">
        <v>322</v>
      </c>
      <c r="H854" s="13" t="s">
        <v>3694</v>
      </c>
      <c r="I854" s="13" t="s">
        <v>86</v>
      </c>
      <c r="J854" s="13" t="s">
        <v>1731</v>
      </c>
      <c r="K854" s="30" t="n">
        <v>18</v>
      </c>
      <c r="L854" s="31" t="n">
        <v>46128</v>
      </c>
      <c r="M854" s="31" t="n">
        <v>46145</v>
      </c>
      <c r="N854" s="13"/>
      <c r="O854" s="13"/>
      <c r="P854" s="13"/>
      <c r="Q854" s="13"/>
    </row>
    <row r="855" customFormat="false" ht="15" hidden="false" customHeight="false" outlineLevel="0" collapsed="false">
      <c r="A855" s="16" t="s">
        <v>3820</v>
      </c>
      <c r="B855" s="16" t="n">
        <v>850</v>
      </c>
      <c r="C855" s="16" t="s">
        <v>3821</v>
      </c>
      <c r="D855" s="16" t="n">
        <v>8</v>
      </c>
      <c r="E855" s="39" t="s">
        <v>1737</v>
      </c>
      <c r="F855" s="16" t="s">
        <v>1285</v>
      </c>
      <c r="G855" s="16" t="s">
        <v>322</v>
      </c>
      <c r="H855" s="16" t="s">
        <v>3694</v>
      </c>
      <c r="I855" s="16" t="s">
        <v>86</v>
      </c>
      <c r="J855" s="16" t="s">
        <v>1734</v>
      </c>
      <c r="K855" s="32" t="n">
        <v>1</v>
      </c>
      <c r="L855" s="33" t="n">
        <v>46144</v>
      </c>
      <c r="M855" s="33" t="n">
        <v>46144</v>
      </c>
      <c r="N855" s="16" t="s">
        <v>3822</v>
      </c>
      <c r="O855" s="16"/>
      <c r="P855" s="16" t="str">
        <f aca="false">IF(AND(L855&lt;=$D$2,M855&gt;=$C$2),"Sí","")</f>
        <v/>
      </c>
      <c r="Q855" s="18" t="str">
        <f aca="false">IF(COUNTIF(LOOKAHEAD!$A$5:$A$604,A855)&gt;0,"En Lookahead",IF(P855="Sí","INCORPORAR",""))</f>
        <v/>
      </c>
    </row>
    <row r="856" customFormat="false" ht="15" hidden="false" customHeight="false" outlineLevel="0" collapsed="false">
      <c r="A856" s="16" t="s">
        <v>3823</v>
      </c>
      <c r="B856" s="16" t="n">
        <v>851</v>
      </c>
      <c r="C856" s="16" t="s">
        <v>3824</v>
      </c>
      <c r="D856" s="16" t="n">
        <v>8</v>
      </c>
      <c r="E856" s="39" t="s">
        <v>1741</v>
      </c>
      <c r="F856" s="16" t="s">
        <v>1285</v>
      </c>
      <c r="G856" s="16" t="s">
        <v>322</v>
      </c>
      <c r="H856" s="16" t="s">
        <v>3694</v>
      </c>
      <c r="I856" s="16" t="s">
        <v>86</v>
      </c>
      <c r="J856" s="16" t="s">
        <v>1734</v>
      </c>
      <c r="K856" s="32" t="n">
        <v>10</v>
      </c>
      <c r="L856" s="33" t="n">
        <v>46134</v>
      </c>
      <c r="M856" s="33" t="n">
        <v>46143</v>
      </c>
      <c r="N856" s="16" t="s">
        <v>3825</v>
      </c>
      <c r="O856" s="16"/>
      <c r="P856" s="16" t="str">
        <f aca="false">IF(AND(L856&lt;=$D$2,M856&gt;=$C$2),"Sí","")</f>
        <v/>
      </c>
      <c r="Q856" s="18" t="str">
        <f aca="false">IF(COUNTIF(LOOKAHEAD!$A$5:$A$604,A856)&gt;0,"En Lookahead",IF(P856="Sí","INCORPORAR",""))</f>
        <v/>
      </c>
    </row>
    <row r="857" customFormat="false" ht="15" hidden="false" customHeight="false" outlineLevel="0" collapsed="false">
      <c r="A857" s="16" t="s">
        <v>3826</v>
      </c>
      <c r="B857" s="16" t="n">
        <v>852</v>
      </c>
      <c r="C857" s="16" t="s">
        <v>3827</v>
      </c>
      <c r="D857" s="16" t="n">
        <v>8</v>
      </c>
      <c r="E857" s="39" t="s">
        <v>1745</v>
      </c>
      <c r="F857" s="16" t="s">
        <v>1285</v>
      </c>
      <c r="G857" s="16" t="s">
        <v>322</v>
      </c>
      <c r="H857" s="16" t="s">
        <v>3694</v>
      </c>
      <c r="I857" s="16" t="s">
        <v>86</v>
      </c>
      <c r="J857" s="16" t="s">
        <v>1734</v>
      </c>
      <c r="K857" s="32" t="n">
        <v>6</v>
      </c>
      <c r="L857" s="33" t="n">
        <v>46128</v>
      </c>
      <c r="M857" s="33" t="n">
        <v>46133</v>
      </c>
      <c r="N857" s="16" t="s">
        <v>3828</v>
      </c>
      <c r="O857" s="16"/>
      <c r="P857" s="16" t="str">
        <f aca="false">IF(AND(L857&lt;=$D$2,M857&gt;=$C$2),"Sí","")</f>
        <v/>
      </c>
      <c r="Q857" s="18" t="str">
        <f aca="false">IF(COUNTIF(LOOKAHEAD!$A$5:$A$604,A857)&gt;0,"En Lookahead",IF(P857="Sí","INCORPORAR",""))</f>
        <v/>
      </c>
    </row>
    <row r="858" customFormat="false" ht="15" hidden="false" customHeight="false" outlineLevel="0" collapsed="false">
      <c r="A858" s="16" t="s">
        <v>3829</v>
      </c>
      <c r="B858" s="16" t="n">
        <v>853</v>
      </c>
      <c r="C858" s="16" t="s">
        <v>3830</v>
      </c>
      <c r="D858" s="16" t="n">
        <v>8</v>
      </c>
      <c r="E858" s="39" t="s">
        <v>1677</v>
      </c>
      <c r="F858" s="16" t="s">
        <v>1285</v>
      </c>
      <c r="G858" s="16" t="s">
        <v>322</v>
      </c>
      <c r="H858" s="16" t="s">
        <v>3694</v>
      </c>
      <c r="I858" s="16" t="s">
        <v>86</v>
      </c>
      <c r="J858" s="16" t="s">
        <v>1734</v>
      </c>
      <c r="K858" s="32" t="n">
        <v>1</v>
      </c>
      <c r="L858" s="33" t="n">
        <v>46145</v>
      </c>
      <c r="M858" s="33" t="n">
        <v>46145</v>
      </c>
      <c r="N858" s="16" t="s">
        <v>3831</v>
      </c>
      <c r="O858" s="16"/>
      <c r="P858" s="16" t="str">
        <f aca="false">IF(AND(L858&lt;=$D$2,M858&gt;=$C$2),"Sí","")</f>
        <v/>
      </c>
      <c r="Q858" s="18" t="str">
        <f aca="false">IF(COUNTIF(LOOKAHEAD!$A$5:$A$604,A858)&gt;0,"En Lookahead",IF(P858="Sí","INCORPORAR",""))</f>
        <v/>
      </c>
    </row>
    <row r="859" customFormat="false" ht="15" hidden="false" customHeight="false" outlineLevel="0" collapsed="false">
      <c r="A859" s="13" t="s">
        <v>3832</v>
      </c>
      <c r="B859" s="13" t="n">
        <v>854</v>
      </c>
      <c r="C859" s="13" t="s">
        <v>3833</v>
      </c>
      <c r="D859" s="13" t="n">
        <v>7</v>
      </c>
      <c r="E859" s="38" t="s">
        <v>1752</v>
      </c>
      <c r="F859" s="13" t="s">
        <v>1298</v>
      </c>
      <c r="G859" s="13" t="s">
        <v>322</v>
      </c>
      <c r="H859" s="13" t="s">
        <v>3694</v>
      </c>
      <c r="I859" s="13" t="s">
        <v>86</v>
      </c>
      <c r="J859" s="13" t="s">
        <v>1731</v>
      </c>
      <c r="K859" s="30" t="n">
        <v>13</v>
      </c>
      <c r="L859" s="31" t="n">
        <v>46283</v>
      </c>
      <c r="M859" s="31" t="n">
        <v>46295</v>
      </c>
      <c r="N859" s="13"/>
      <c r="O859" s="13"/>
      <c r="P859" s="13"/>
      <c r="Q859" s="13"/>
    </row>
    <row r="860" customFormat="false" ht="15" hidden="false" customHeight="false" outlineLevel="0" collapsed="false">
      <c r="A860" s="16" t="s">
        <v>3834</v>
      </c>
      <c r="B860" s="16" t="n">
        <v>855</v>
      </c>
      <c r="C860" s="16" t="s">
        <v>3835</v>
      </c>
      <c r="D860" s="16" t="n">
        <v>8</v>
      </c>
      <c r="E860" s="39" t="s">
        <v>1755</v>
      </c>
      <c r="F860" s="16" t="s">
        <v>1285</v>
      </c>
      <c r="G860" s="16" t="s">
        <v>322</v>
      </c>
      <c r="H860" s="16" t="s">
        <v>3694</v>
      </c>
      <c r="I860" s="16" t="s">
        <v>86</v>
      </c>
      <c r="J860" s="16" t="s">
        <v>1752</v>
      </c>
      <c r="K860" s="32" t="n">
        <v>1</v>
      </c>
      <c r="L860" s="33" t="n">
        <v>46294</v>
      </c>
      <c r="M860" s="33" t="n">
        <v>46294</v>
      </c>
      <c r="N860" s="16" t="s">
        <v>3836</v>
      </c>
      <c r="O860" s="16"/>
      <c r="P860" s="16" t="str">
        <f aca="false">IF(AND(L860&lt;=$D$2,M860&gt;=$C$2),"Sí","")</f>
        <v/>
      </c>
      <c r="Q860" s="18" t="str">
        <f aca="false">IF(COUNTIF(LOOKAHEAD!$A$5:$A$604,A860)&gt;0,"En Lookahead",IF(P860="Sí","INCORPORAR",""))</f>
        <v/>
      </c>
    </row>
    <row r="861" customFormat="false" ht="15" hidden="false" customHeight="false" outlineLevel="0" collapsed="false">
      <c r="A861" s="16" t="s">
        <v>3837</v>
      </c>
      <c r="B861" s="16" t="n">
        <v>856</v>
      </c>
      <c r="C861" s="16" t="s">
        <v>3838</v>
      </c>
      <c r="D861" s="16" t="n">
        <v>8</v>
      </c>
      <c r="E861" s="39" t="s">
        <v>1759</v>
      </c>
      <c r="F861" s="16" t="s">
        <v>1285</v>
      </c>
      <c r="G861" s="16" t="s">
        <v>322</v>
      </c>
      <c r="H861" s="16" t="s">
        <v>3694</v>
      </c>
      <c r="I861" s="16" t="s">
        <v>86</v>
      </c>
      <c r="J861" s="16" t="s">
        <v>1752</v>
      </c>
      <c r="K861" s="32" t="n">
        <v>6</v>
      </c>
      <c r="L861" s="33" t="n">
        <v>46288</v>
      </c>
      <c r="M861" s="33" t="n">
        <v>46293</v>
      </c>
      <c r="N861" s="16" t="s">
        <v>3839</v>
      </c>
      <c r="O861" s="16"/>
      <c r="P861" s="16" t="str">
        <f aca="false">IF(AND(L861&lt;=$D$2,M861&gt;=$C$2),"Sí","")</f>
        <v/>
      </c>
      <c r="Q861" s="18" t="str">
        <f aca="false">IF(COUNTIF(LOOKAHEAD!$A$5:$A$604,A861)&gt;0,"En Lookahead",IF(P861="Sí","INCORPORAR",""))</f>
        <v/>
      </c>
    </row>
    <row r="862" customFormat="false" ht="15" hidden="false" customHeight="false" outlineLevel="0" collapsed="false">
      <c r="A862" s="16" t="s">
        <v>3840</v>
      </c>
      <c r="B862" s="16" t="n">
        <v>857</v>
      </c>
      <c r="C862" s="16" t="s">
        <v>3841</v>
      </c>
      <c r="D862" s="16" t="n">
        <v>8</v>
      </c>
      <c r="E862" s="39" t="s">
        <v>1745</v>
      </c>
      <c r="F862" s="16" t="s">
        <v>1285</v>
      </c>
      <c r="G862" s="16" t="s">
        <v>322</v>
      </c>
      <c r="H862" s="16" t="s">
        <v>3694</v>
      </c>
      <c r="I862" s="16" t="s">
        <v>86</v>
      </c>
      <c r="J862" s="16" t="s">
        <v>1752</v>
      </c>
      <c r="K862" s="32" t="n">
        <v>5</v>
      </c>
      <c r="L862" s="33" t="n">
        <v>46283</v>
      </c>
      <c r="M862" s="33" t="n">
        <v>46287</v>
      </c>
      <c r="N862" s="16" t="s">
        <v>3842</v>
      </c>
      <c r="O862" s="16"/>
      <c r="P862" s="16" t="str">
        <f aca="false">IF(AND(L862&lt;=$D$2,M862&gt;=$C$2),"Sí","")</f>
        <v/>
      </c>
      <c r="Q862" s="18" t="str">
        <f aca="false">IF(COUNTIF(LOOKAHEAD!$A$5:$A$604,A862)&gt;0,"En Lookahead",IF(P862="Sí","INCORPORAR",""))</f>
        <v/>
      </c>
    </row>
    <row r="863" customFormat="false" ht="15" hidden="false" customHeight="false" outlineLevel="0" collapsed="false">
      <c r="A863" s="16" t="s">
        <v>3843</v>
      </c>
      <c r="B863" s="16" t="n">
        <v>858</v>
      </c>
      <c r="C863" s="16" t="s">
        <v>3844</v>
      </c>
      <c r="D863" s="16" t="n">
        <v>8</v>
      </c>
      <c r="E863" s="39" t="s">
        <v>1677</v>
      </c>
      <c r="F863" s="16" t="s">
        <v>1285</v>
      </c>
      <c r="G863" s="16" t="s">
        <v>322</v>
      </c>
      <c r="H863" s="16" t="s">
        <v>3694</v>
      </c>
      <c r="I863" s="16" t="s">
        <v>86</v>
      </c>
      <c r="J863" s="16" t="s">
        <v>1752</v>
      </c>
      <c r="K863" s="32" t="n">
        <v>1</v>
      </c>
      <c r="L863" s="33" t="n">
        <v>46295</v>
      </c>
      <c r="M863" s="33" t="n">
        <v>46295</v>
      </c>
      <c r="N863" s="16" t="s">
        <v>3845</v>
      </c>
      <c r="O863" s="16"/>
      <c r="P863" s="16" t="str">
        <f aca="false">IF(AND(L863&lt;=$D$2,M863&gt;=$C$2),"Sí","")</f>
        <v/>
      </c>
      <c r="Q863" s="18" t="str">
        <f aca="false">IF(COUNTIF(LOOKAHEAD!$A$5:$A$604,A863)&gt;0,"En Lookahead",IF(P863="Sí","INCORPORAR",""))</f>
        <v/>
      </c>
    </row>
    <row r="864" customFormat="false" ht="15" hidden="false" customHeight="false" outlineLevel="0" collapsed="false">
      <c r="A864" s="13" t="s">
        <v>3846</v>
      </c>
      <c r="B864" s="13" t="n">
        <v>859</v>
      </c>
      <c r="C864" s="13" t="s">
        <v>3847</v>
      </c>
      <c r="D864" s="13" t="n">
        <v>6</v>
      </c>
      <c r="E864" s="36" t="s">
        <v>1786</v>
      </c>
      <c r="F864" s="13" t="s">
        <v>1298</v>
      </c>
      <c r="G864" s="13" t="s">
        <v>322</v>
      </c>
      <c r="H864" s="13" t="s">
        <v>3694</v>
      </c>
      <c r="I864" s="13" t="s">
        <v>86</v>
      </c>
      <c r="J864" s="13" t="s">
        <v>1623</v>
      </c>
      <c r="K864" s="30" t="n">
        <v>109</v>
      </c>
      <c r="L864" s="31" t="n">
        <v>46245</v>
      </c>
      <c r="M864" s="31" t="n">
        <v>46353</v>
      </c>
      <c r="N864" s="13"/>
      <c r="O864" s="13"/>
      <c r="P864" s="13"/>
      <c r="Q864" s="13"/>
    </row>
    <row r="865" customFormat="false" ht="15" hidden="false" customHeight="false" outlineLevel="0" collapsed="false">
      <c r="A865" s="13" t="s">
        <v>3848</v>
      </c>
      <c r="B865" s="13" t="n">
        <v>860</v>
      </c>
      <c r="C865" s="13" t="s">
        <v>3849</v>
      </c>
      <c r="D865" s="13" t="n">
        <v>7</v>
      </c>
      <c r="E865" s="38" t="s">
        <v>1789</v>
      </c>
      <c r="F865" s="13" t="s">
        <v>1298</v>
      </c>
      <c r="G865" s="13" t="s">
        <v>322</v>
      </c>
      <c r="H865" s="13" t="s">
        <v>3694</v>
      </c>
      <c r="I865" s="13" t="s">
        <v>86</v>
      </c>
      <c r="J865" s="13" t="s">
        <v>1786</v>
      </c>
      <c r="K865" s="30" t="n">
        <v>41</v>
      </c>
      <c r="L865" s="31" t="n">
        <v>46245</v>
      </c>
      <c r="M865" s="31" t="n">
        <v>46285</v>
      </c>
      <c r="N865" s="13"/>
      <c r="O865" s="13"/>
      <c r="P865" s="13"/>
      <c r="Q865" s="13"/>
    </row>
    <row r="866" customFormat="false" ht="15" hidden="false" customHeight="false" outlineLevel="0" collapsed="false">
      <c r="A866" s="16" t="s">
        <v>3850</v>
      </c>
      <c r="B866" s="16" t="n">
        <v>861</v>
      </c>
      <c r="C866" s="16" t="s">
        <v>3851</v>
      </c>
      <c r="D866" s="16" t="n">
        <v>8</v>
      </c>
      <c r="E866" s="39" t="s">
        <v>1792</v>
      </c>
      <c r="F866" s="16" t="s">
        <v>1285</v>
      </c>
      <c r="G866" s="16" t="s">
        <v>322</v>
      </c>
      <c r="H866" s="16" t="s">
        <v>3694</v>
      </c>
      <c r="I866" s="16" t="s">
        <v>86</v>
      </c>
      <c r="J866" s="16" t="s">
        <v>1789</v>
      </c>
      <c r="K866" s="32" t="n">
        <v>1</v>
      </c>
      <c r="L866" s="33" t="n">
        <v>46282</v>
      </c>
      <c r="M866" s="33" t="n">
        <v>46282</v>
      </c>
      <c r="N866" s="16" t="s">
        <v>3852</v>
      </c>
      <c r="O866" s="16"/>
      <c r="P866" s="16" t="str">
        <f aca="false">IF(AND(L866&lt;=$D$2,M866&gt;=$C$2),"Sí","")</f>
        <v/>
      </c>
      <c r="Q866" s="18" t="str">
        <f aca="false">IF(COUNTIF(LOOKAHEAD!$A$5:$A$604,A866)&gt;0,"En Lookahead",IF(P866="Sí","INCORPORAR",""))</f>
        <v/>
      </c>
    </row>
    <row r="867" customFormat="false" ht="15" hidden="false" customHeight="false" outlineLevel="0" collapsed="false">
      <c r="A867" s="16" t="s">
        <v>3853</v>
      </c>
      <c r="B867" s="16" t="n">
        <v>862</v>
      </c>
      <c r="C867" s="16" t="s">
        <v>3854</v>
      </c>
      <c r="D867" s="16" t="n">
        <v>8</v>
      </c>
      <c r="E867" s="39" t="s">
        <v>1796</v>
      </c>
      <c r="F867" s="16" t="s">
        <v>1285</v>
      </c>
      <c r="G867" s="16" t="s">
        <v>322</v>
      </c>
      <c r="H867" s="16" t="s">
        <v>3694</v>
      </c>
      <c r="I867" s="16" t="s">
        <v>86</v>
      </c>
      <c r="J867" s="16" t="s">
        <v>1789</v>
      </c>
      <c r="K867" s="32" t="n">
        <v>23</v>
      </c>
      <c r="L867" s="33" t="n">
        <v>46259</v>
      </c>
      <c r="M867" s="33" t="n">
        <v>46281</v>
      </c>
      <c r="N867" s="16" t="s">
        <v>3855</v>
      </c>
      <c r="O867" s="16"/>
      <c r="P867" s="16" t="str">
        <f aca="false">IF(AND(L867&lt;=$D$2,M867&gt;=$C$2),"Sí","")</f>
        <v/>
      </c>
      <c r="Q867" s="18" t="str">
        <f aca="false">IF(COUNTIF(LOOKAHEAD!$A$5:$A$604,A867)&gt;0,"En Lookahead",IF(P867="Sí","INCORPORAR",""))</f>
        <v/>
      </c>
    </row>
    <row r="868" customFormat="false" ht="15" hidden="false" customHeight="false" outlineLevel="0" collapsed="false">
      <c r="A868" s="16" t="s">
        <v>3856</v>
      </c>
      <c r="B868" s="16" t="n">
        <v>863</v>
      </c>
      <c r="C868" s="16" t="s">
        <v>3857</v>
      </c>
      <c r="D868" s="16" t="n">
        <v>8</v>
      </c>
      <c r="E868" s="39" t="s">
        <v>1800</v>
      </c>
      <c r="F868" s="16" t="s">
        <v>1285</v>
      </c>
      <c r="G868" s="16" t="s">
        <v>322</v>
      </c>
      <c r="H868" s="16" t="s">
        <v>3694</v>
      </c>
      <c r="I868" s="16" t="s">
        <v>86</v>
      </c>
      <c r="J868" s="16" t="s">
        <v>1789</v>
      </c>
      <c r="K868" s="32" t="n">
        <v>14</v>
      </c>
      <c r="L868" s="33" t="n">
        <v>46245</v>
      </c>
      <c r="M868" s="33" t="n">
        <v>46258</v>
      </c>
      <c r="N868" s="16" t="s">
        <v>3858</v>
      </c>
      <c r="O868" s="16"/>
      <c r="P868" s="16" t="str">
        <f aca="false">IF(AND(L868&lt;=$D$2,M868&gt;=$C$2),"Sí","")</f>
        <v/>
      </c>
      <c r="Q868" s="18" t="str">
        <f aca="false">IF(COUNTIF(LOOKAHEAD!$A$5:$A$604,A868)&gt;0,"En Lookahead",IF(P868="Sí","INCORPORAR",""))</f>
        <v/>
      </c>
    </row>
    <row r="869" customFormat="false" ht="15" hidden="false" customHeight="false" outlineLevel="0" collapsed="false">
      <c r="A869" s="16" t="s">
        <v>3859</v>
      </c>
      <c r="B869" s="16" t="n">
        <v>864</v>
      </c>
      <c r="C869" s="16" t="s">
        <v>3860</v>
      </c>
      <c r="D869" s="16" t="n">
        <v>8</v>
      </c>
      <c r="E869" s="39" t="s">
        <v>1602</v>
      </c>
      <c r="F869" s="16" t="s">
        <v>1285</v>
      </c>
      <c r="G869" s="16" t="s">
        <v>322</v>
      </c>
      <c r="H869" s="16" t="s">
        <v>3694</v>
      </c>
      <c r="I869" s="16" t="s">
        <v>86</v>
      </c>
      <c r="J869" s="16" t="s">
        <v>1789</v>
      </c>
      <c r="K869" s="32" t="n">
        <v>3</v>
      </c>
      <c r="L869" s="33" t="n">
        <v>46283</v>
      </c>
      <c r="M869" s="33" t="n">
        <v>46285</v>
      </c>
      <c r="N869" s="16" t="s">
        <v>3861</v>
      </c>
      <c r="O869" s="16"/>
      <c r="P869" s="16" t="str">
        <f aca="false">IF(AND(L869&lt;=$D$2,M869&gt;=$C$2),"Sí","")</f>
        <v/>
      </c>
      <c r="Q869" s="18" t="str">
        <f aca="false">IF(COUNTIF(LOOKAHEAD!$A$5:$A$604,A869)&gt;0,"En Lookahead",IF(P869="Sí","INCORPORAR",""))</f>
        <v/>
      </c>
    </row>
    <row r="870" customFormat="false" ht="15" hidden="false" customHeight="false" outlineLevel="0" collapsed="false">
      <c r="A870" s="13" t="s">
        <v>3862</v>
      </c>
      <c r="B870" s="13" t="n">
        <v>865</v>
      </c>
      <c r="C870" s="13" t="s">
        <v>3863</v>
      </c>
      <c r="D870" s="13" t="n">
        <v>7</v>
      </c>
      <c r="E870" s="38" t="s">
        <v>1806</v>
      </c>
      <c r="F870" s="13" t="s">
        <v>1298</v>
      </c>
      <c r="G870" s="13" t="s">
        <v>322</v>
      </c>
      <c r="H870" s="13" t="s">
        <v>3694</v>
      </c>
      <c r="I870" s="13" t="s">
        <v>86</v>
      </c>
      <c r="J870" s="13" t="s">
        <v>1786</v>
      </c>
      <c r="K870" s="30" t="n">
        <v>44</v>
      </c>
      <c r="L870" s="31" t="n">
        <v>46310</v>
      </c>
      <c r="M870" s="31" t="n">
        <v>46353</v>
      </c>
      <c r="N870" s="13"/>
      <c r="O870" s="13"/>
      <c r="P870" s="13"/>
      <c r="Q870" s="13"/>
    </row>
    <row r="871" customFormat="false" ht="15" hidden="false" customHeight="false" outlineLevel="0" collapsed="false">
      <c r="A871" s="16" t="s">
        <v>3864</v>
      </c>
      <c r="B871" s="16" t="n">
        <v>866</v>
      </c>
      <c r="C871" s="16" t="s">
        <v>3865</v>
      </c>
      <c r="D871" s="16" t="n">
        <v>8</v>
      </c>
      <c r="E871" s="39" t="s">
        <v>1809</v>
      </c>
      <c r="F871" s="16" t="s">
        <v>1285</v>
      </c>
      <c r="G871" s="16" t="s">
        <v>322</v>
      </c>
      <c r="H871" s="16" t="s">
        <v>3694</v>
      </c>
      <c r="I871" s="16" t="s">
        <v>86</v>
      </c>
      <c r="J871" s="16" t="s">
        <v>1806</v>
      </c>
      <c r="K871" s="32" t="n">
        <v>1</v>
      </c>
      <c r="L871" s="33" t="n">
        <v>46350</v>
      </c>
      <c r="M871" s="33" t="n">
        <v>46350</v>
      </c>
      <c r="N871" s="16" t="s">
        <v>3866</v>
      </c>
      <c r="O871" s="16"/>
      <c r="P871" s="16" t="str">
        <f aca="false">IF(AND(L871&lt;=$D$2,M871&gt;=$C$2),"Sí","")</f>
        <v/>
      </c>
      <c r="Q871" s="18" t="str">
        <f aca="false">IF(COUNTIF(LOOKAHEAD!$A$5:$A$604,A871)&gt;0,"En Lookahead",IF(P871="Sí","INCORPORAR",""))</f>
        <v/>
      </c>
    </row>
    <row r="872" customFormat="false" ht="15" hidden="false" customHeight="false" outlineLevel="0" collapsed="false">
      <c r="A872" s="16" t="s">
        <v>3867</v>
      </c>
      <c r="B872" s="16" t="n">
        <v>867</v>
      </c>
      <c r="C872" s="16" t="s">
        <v>3868</v>
      </c>
      <c r="D872" s="16" t="n">
        <v>8</v>
      </c>
      <c r="E872" s="39" t="s">
        <v>1813</v>
      </c>
      <c r="F872" s="16" t="s">
        <v>1285</v>
      </c>
      <c r="G872" s="16" t="s">
        <v>322</v>
      </c>
      <c r="H872" s="16" t="s">
        <v>3694</v>
      </c>
      <c r="I872" s="16" t="s">
        <v>86</v>
      </c>
      <c r="J872" s="16" t="s">
        <v>1806</v>
      </c>
      <c r="K872" s="32" t="n">
        <v>25</v>
      </c>
      <c r="L872" s="33" t="n">
        <v>46325</v>
      </c>
      <c r="M872" s="33" t="n">
        <v>46349</v>
      </c>
      <c r="N872" s="16" t="s">
        <v>3869</v>
      </c>
      <c r="O872" s="16"/>
      <c r="P872" s="16" t="str">
        <f aca="false">IF(AND(L872&lt;=$D$2,M872&gt;=$C$2),"Sí","")</f>
        <v>Sí</v>
      </c>
      <c r="Q872" s="18" t="str">
        <f aca="false">IF(COUNTIF(LOOKAHEAD!$A$5:$A$604,A872)&gt;0,"En Lookahead",IF(P872="Sí","INCORPORAR",""))</f>
        <v>En Lookahead</v>
      </c>
    </row>
    <row r="873" customFormat="false" ht="15" hidden="false" customHeight="false" outlineLevel="0" collapsed="false">
      <c r="A873" s="16" t="s">
        <v>3870</v>
      </c>
      <c r="B873" s="16" t="n">
        <v>868</v>
      </c>
      <c r="C873" s="16" t="s">
        <v>3871</v>
      </c>
      <c r="D873" s="16" t="n">
        <v>8</v>
      </c>
      <c r="E873" s="39" t="s">
        <v>1800</v>
      </c>
      <c r="F873" s="16" t="s">
        <v>1285</v>
      </c>
      <c r="G873" s="16" t="s">
        <v>322</v>
      </c>
      <c r="H873" s="16" t="s">
        <v>3694</v>
      </c>
      <c r="I873" s="16" t="s">
        <v>86</v>
      </c>
      <c r="J873" s="16" t="s">
        <v>1806</v>
      </c>
      <c r="K873" s="32" t="n">
        <v>15</v>
      </c>
      <c r="L873" s="33" t="n">
        <v>46310</v>
      </c>
      <c r="M873" s="33" t="n">
        <v>46324</v>
      </c>
      <c r="N873" s="16" t="s">
        <v>3872</v>
      </c>
      <c r="O873" s="16"/>
      <c r="P873" s="16" t="str">
        <f aca="false">IF(AND(L873&lt;=$D$2,M873&gt;=$C$2),"Sí","")</f>
        <v>Sí</v>
      </c>
      <c r="Q873" s="18" t="str">
        <f aca="false">IF(COUNTIF(LOOKAHEAD!$A$5:$A$604,A873)&gt;0,"En Lookahead",IF(P873="Sí","INCORPORAR",""))</f>
        <v>En Lookahead</v>
      </c>
    </row>
    <row r="874" customFormat="false" ht="15" hidden="false" customHeight="false" outlineLevel="0" collapsed="false">
      <c r="A874" s="16" t="s">
        <v>3873</v>
      </c>
      <c r="B874" s="16" t="n">
        <v>869</v>
      </c>
      <c r="C874" s="16" t="s">
        <v>3874</v>
      </c>
      <c r="D874" s="16" t="n">
        <v>8</v>
      </c>
      <c r="E874" s="39" t="s">
        <v>1602</v>
      </c>
      <c r="F874" s="16" t="s">
        <v>1285</v>
      </c>
      <c r="G874" s="16" t="s">
        <v>322</v>
      </c>
      <c r="H874" s="16" t="s">
        <v>3694</v>
      </c>
      <c r="I874" s="16" t="s">
        <v>86</v>
      </c>
      <c r="J874" s="16" t="s">
        <v>1806</v>
      </c>
      <c r="K874" s="32" t="n">
        <v>3</v>
      </c>
      <c r="L874" s="33" t="n">
        <v>46351</v>
      </c>
      <c r="M874" s="33" t="n">
        <v>46353</v>
      </c>
      <c r="N874" s="16" t="s">
        <v>3875</v>
      </c>
      <c r="O874" s="16"/>
      <c r="P874" s="16" t="str">
        <f aca="false">IF(AND(L874&lt;=$D$2,M874&gt;=$C$2),"Sí","")</f>
        <v/>
      </c>
      <c r="Q874" s="18" t="str">
        <f aca="false">IF(COUNTIF(LOOKAHEAD!$A$5:$A$604,A874)&gt;0,"En Lookahead",IF(P874="Sí","INCORPORAR",""))</f>
        <v/>
      </c>
    </row>
    <row r="875" customFormat="false" ht="15" hidden="false" customHeight="false" outlineLevel="0" collapsed="false">
      <c r="A875" s="13" t="s">
        <v>3876</v>
      </c>
      <c r="B875" s="13" t="n">
        <v>870</v>
      </c>
      <c r="C875" s="13" t="s">
        <v>3877</v>
      </c>
      <c r="D875" s="13" t="n">
        <v>6</v>
      </c>
      <c r="E875" s="36" t="s">
        <v>1853</v>
      </c>
      <c r="F875" s="13" t="s">
        <v>1298</v>
      </c>
      <c r="G875" s="13" t="s">
        <v>322</v>
      </c>
      <c r="H875" s="13" t="s">
        <v>3694</v>
      </c>
      <c r="I875" s="13" t="s">
        <v>86</v>
      </c>
      <c r="J875" s="13" t="s">
        <v>1623</v>
      </c>
      <c r="K875" s="30" t="n">
        <v>110</v>
      </c>
      <c r="L875" s="31" t="n">
        <v>46245</v>
      </c>
      <c r="M875" s="31" t="n">
        <v>46354</v>
      </c>
      <c r="N875" s="13"/>
      <c r="O875" s="13"/>
      <c r="P875" s="13"/>
      <c r="Q875" s="13"/>
    </row>
    <row r="876" customFormat="false" ht="15" hidden="false" customHeight="false" outlineLevel="0" collapsed="false">
      <c r="A876" s="13" t="s">
        <v>3878</v>
      </c>
      <c r="B876" s="13" t="n">
        <v>871</v>
      </c>
      <c r="C876" s="13" t="s">
        <v>3879</v>
      </c>
      <c r="D876" s="13" t="n">
        <v>7</v>
      </c>
      <c r="E876" s="38" t="s">
        <v>1856</v>
      </c>
      <c r="F876" s="13" t="s">
        <v>1298</v>
      </c>
      <c r="G876" s="13" t="s">
        <v>322</v>
      </c>
      <c r="H876" s="13" t="s">
        <v>3694</v>
      </c>
      <c r="I876" s="13" t="s">
        <v>86</v>
      </c>
      <c r="J876" s="13" t="s">
        <v>1853</v>
      </c>
      <c r="K876" s="30" t="n">
        <v>36</v>
      </c>
      <c r="L876" s="31" t="n">
        <v>46245</v>
      </c>
      <c r="M876" s="31" t="n">
        <v>46280</v>
      </c>
      <c r="N876" s="13"/>
      <c r="O876" s="13"/>
      <c r="P876" s="13"/>
      <c r="Q876" s="13"/>
    </row>
    <row r="877" customFormat="false" ht="15" hidden="false" customHeight="false" outlineLevel="0" collapsed="false">
      <c r="A877" s="16" t="s">
        <v>3880</v>
      </c>
      <c r="B877" s="16" t="n">
        <v>872</v>
      </c>
      <c r="C877" s="16" t="s">
        <v>3881</v>
      </c>
      <c r="D877" s="16" t="n">
        <v>8</v>
      </c>
      <c r="E877" s="39" t="s">
        <v>1859</v>
      </c>
      <c r="F877" s="16" t="s">
        <v>1285</v>
      </c>
      <c r="G877" s="16" t="s">
        <v>322</v>
      </c>
      <c r="H877" s="16" t="s">
        <v>3694</v>
      </c>
      <c r="I877" s="16" t="s">
        <v>86</v>
      </c>
      <c r="J877" s="16" t="s">
        <v>1856</v>
      </c>
      <c r="K877" s="32" t="n">
        <v>1</v>
      </c>
      <c r="L877" s="33" t="n">
        <v>46276</v>
      </c>
      <c r="M877" s="33" t="n">
        <v>46276</v>
      </c>
      <c r="N877" s="16" t="s">
        <v>3882</v>
      </c>
      <c r="O877" s="16"/>
      <c r="P877" s="16" t="str">
        <f aca="false">IF(AND(L877&lt;=$D$2,M877&gt;=$C$2),"Sí","")</f>
        <v/>
      </c>
      <c r="Q877" s="18" t="str">
        <f aca="false">IF(COUNTIF(LOOKAHEAD!$A$5:$A$604,A877)&gt;0,"En Lookahead",IF(P877="Sí","INCORPORAR",""))</f>
        <v/>
      </c>
    </row>
    <row r="878" customFormat="false" ht="15" hidden="false" customHeight="false" outlineLevel="0" collapsed="false">
      <c r="A878" s="16" t="s">
        <v>3883</v>
      </c>
      <c r="B878" s="16" t="n">
        <v>873</v>
      </c>
      <c r="C878" s="16" t="s">
        <v>3884</v>
      </c>
      <c r="D878" s="16" t="n">
        <v>8</v>
      </c>
      <c r="E878" s="39" t="s">
        <v>1863</v>
      </c>
      <c r="F878" s="16" t="s">
        <v>1285</v>
      </c>
      <c r="G878" s="16" t="s">
        <v>322</v>
      </c>
      <c r="H878" s="16" t="s">
        <v>3694</v>
      </c>
      <c r="I878" s="16" t="s">
        <v>86</v>
      </c>
      <c r="J878" s="16" t="s">
        <v>1856</v>
      </c>
      <c r="K878" s="32" t="n">
        <v>22</v>
      </c>
      <c r="L878" s="33" t="n">
        <v>46245</v>
      </c>
      <c r="M878" s="33" t="n">
        <v>46266</v>
      </c>
      <c r="N878" s="16" t="s">
        <v>3885</v>
      </c>
      <c r="O878" s="16"/>
      <c r="P878" s="16" t="str">
        <f aca="false">IF(AND(L878&lt;=$D$2,M878&gt;=$C$2),"Sí","")</f>
        <v/>
      </c>
      <c r="Q878" s="18" t="str">
        <f aca="false">IF(COUNTIF(LOOKAHEAD!$A$5:$A$604,A878)&gt;0,"En Lookahead",IF(P878="Sí","INCORPORAR",""))</f>
        <v/>
      </c>
    </row>
    <row r="879" customFormat="false" ht="15" hidden="false" customHeight="false" outlineLevel="0" collapsed="false">
      <c r="A879" s="16" t="s">
        <v>3886</v>
      </c>
      <c r="B879" s="16" t="n">
        <v>874</v>
      </c>
      <c r="C879" s="16" t="s">
        <v>3887</v>
      </c>
      <c r="D879" s="16" t="n">
        <v>8</v>
      </c>
      <c r="E879" s="39" t="s">
        <v>1867</v>
      </c>
      <c r="F879" s="16" t="s">
        <v>1285</v>
      </c>
      <c r="G879" s="16" t="s">
        <v>322</v>
      </c>
      <c r="H879" s="16" t="s">
        <v>3694</v>
      </c>
      <c r="I879" s="16" t="s">
        <v>86</v>
      </c>
      <c r="J879" s="16" t="s">
        <v>1856</v>
      </c>
      <c r="K879" s="32" t="n">
        <v>7</v>
      </c>
      <c r="L879" s="33" t="n">
        <v>46269</v>
      </c>
      <c r="M879" s="33" t="n">
        <v>46275</v>
      </c>
      <c r="N879" s="16" t="s">
        <v>3888</v>
      </c>
      <c r="O879" s="16"/>
      <c r="P879" s="16" t="str">
        <f aca="false">IF(AND(L879&lt;=$D$2,M879&gt;=$C$2),"Sí","")</f>
        <v/>
      </c>
      <c r="Q879" s="18" t="str">
        <f aca="false">IF(COUNTIF(LOOKAHEAD!$A$5:$A$604,A879)&gt;0,"En Lookahead",IF(P879="Sí","INCORPORAR",""))</f>
        <v/>
      </c>
    </row>
    <row r="880" customFormat="false" ht="15" hidden="false" customHeight="false" outlineLevel="0" collapsed="false">
      <c r="A880" s="16" t="s">
        <v>3889</v>
      </c>
      <c r="B880" s="16" t="n">
        <v>875</v>
      </c>
      <c r="C880" s="16" t="s">
        <v>3890</v>
      </c>
      <c r="D880" s="16" t="n">
        <v>8</v>
      </c>
      <c r="E880" s="39" t="s">
        <v>1871</v>
      </c>
      <c r="F880" s="16" t="s">
        <v>1285</v>
      </c>
      <c r="G880" s="16" t="s">
        <v>322</v>
      </c>
      <c r="H880" s="16" t="s">
        <v>3694</v>
      </c>
      <c r="I880" s="16" t="s">
        <v>86</v>
      </c>
      <c r="J880" s="16" t="s">
        <v>1856</v>
      </c>
      <c r="K880" s="32" t="n">
        <v>2</v>
      </c>
      <c r="L880" s="33" t="n">
        <v>46267</v>
      </c>
      <c r="M880" s="33" t="n">
        <v>46268</v>
      </c>
      <c r="N880" s="16" t="s">
        <v>3891</v>
      </c>
      <c r="O880" s="16"/>
      <c r="P880" s="16" t="str">
        <f aca="false">IF(AND(L880&lt;=$D$2,M880&gt;=$C$2),"Sí","")</f>
        <v/>
      </c>
      <c r="Q880" s="18" t="str">
        <f aca="false">IF(COUNTIF(LOOKAHEAD!$A$5:$A$604,A880)&gt;0,"En Lookahead",IF(P880="Sí","INCORPORAR",""))</f>
        <v/>
      </c>
    </row>
    <row r="881" customFormat="false" ht="15" hidden="false" customHeight="false" outlineLevel="0" collapsed="false">
      <c r="A881" s="16" t="s">
        <v>3892</v>
      </c>
      <c r="B881" s="16" t="n">
        <v>876</v>
      </c>
      <c r="C881" s="16" t="s">
        <v>3893</v>
      </c>
      <c r="D881" s="16" t="n">
        <v>8</v>
      </c>
      <c r="E881" s="39" t="s">
        <v>1602</v>
      </c>
      <c r="F881" s="16" t="s">
        <v>1285</v>
      </c>
      <c r="G881" s="16" t="s">
        <v>322</v>
      </c>
      <c r="H881" s="16" t="s">
        <v>3694</v>
      </c>
      <c r="I881" s="16" t="s">
        <v>86</v>
      </c>
      <c r="J881" s="16" t="s">
        <v>1856</v>
      </c>
      <c r="K881" s="32" t="n">
        <v>4</v>
      </c>
      <c r="L881" s="33" t="n">
        <v>46277</v>
      </c>
      <c r="M881" s="33" t="n">
        <v>46280</v>
      </c>
      <c r="N881" s="16" t="s">
        <v>3894</v>
      </c>
      <c r="O881" s="16"/>
      <c r="P881" s="16" t="str">
        <f aca="false">IF(AND(L881&lt;=$D$2,M881&gt;=$C$2),"Sí","")</f>
        <v/>
      </c>
      <c r="Q881" s="18" t="str">
        <f aca="false">IF(COUNTIF(LOOKAHEAD!$A$5:$A$604,A881)&gt;0,"En Lookahead",IF(P881="Sí","INCORPORAR",""))</f>
        <v/>
      </c>
    </row>
    <row r="882" customFormat="false" ht="15" hidden="false" customHeight="false" outlineLevel="0" collapsed="false">
      <c r="A882" s="13" t="s">
        <v>3895</v>
      </c>
      <c r="B882" s="13" t="n">
        <v>877</v>
      </c>
      <c r="C882" s="13" t="s">
        <v>3896</v>
      </c>
      <c r="D882" s="13" t="n">
        <v>7</v>
      </c>
      <c r="E882" s="38" t="s">
        <v>1878</v>
      </c>
      <c r="F882" s="13" t="s">
        <v>1298</v>
      </c>
      <c r="G882" s="13" t="s">
        <v>322</v>
      </c>
      <c r="H882" s="13" t="s">
        <v>3694</v>
      </c>
      <c r="I882" s="13" t="s">
        <v>86</v>
      </c>
      <c r="J882" s="13" t="s">
        <v>1853</v>
      </c>
      <c r="K882" s="30" t="n">
        <v>45</v>
      </c>
      <c r="L882" s="31" t="n">
        <v>46310</v>
      </c>
      <c r="M882" s="31" t="n">
        <v>46354</v>
      </c>
      <c r="N882" s="13"/>
      <c r="O882" s="13"/>
      <c r="P882" s="13"/>
      <c r="Q882" s="13"/>
    </row>
    <row r="883" customFormat="false" ht="15" hidden="false" customHeight="false" outlineLevel="0" collapsed="false">
      <c r="A883" s="16" t="s">
        <v>3897</v>
      </c>
      <c r="B883" s="16" t="n">
        <v>878</v>
      </c>
      <c r="C883" s="16" t="s">
        <v>3898</v>
      </c>
      <c r="D883" s="16" t="n">
        <v>8</v>
      </c>
      <c r="E883" s="39" t="s">
        <v>1881</v>
      </c>
      <c r="F883" s="16" t="s">
        <v>1285</v>
      </c>
      <c r="G883" s="16" t="s">
        <v>322</v>
      </c>
      <c r="H883" s="16" t="s">
        <v>3694</v>
      </c>
      <c r="I883" s="16" t="s">
        <v>86</v>
      </c>
      <c r="J883" s="16" t="s">
        <v>1878</v>
      </c>
      <c r="K883" s="32" t="n">
        <v>1</v>
      </c>
      <c r="L883" s="33" t="n">
        <v>46350</v>
      </c>
      <c r="M883" s="33" t="n">
        <v>46350</v>
      </c>
      <c r="N883" s="16" t="s">
        <v>3899</v>
      </c>
      <c r="O883" s="16"/>
      <c r="P883" s="16" t="str">
        <f aca="false">IF(AND(L883&lt;=$D$2,M883&gt;=$C$2),"Sí","")</f>
        <v/>
      </c>
      <c r="Q883" s="18" t="str">
        <f aca="false">IF(COUNTIF(LOOKAHEAD!$A$5:$A$604,A883)&gt;0,"En Lookahead",IF(P883="Sí","INCORPORAR",""))</f>
        <v/>
      </c>
    </row>
    <row r="884" customFormat="false" ht="15" hidden="false" customHeight="false" outlineLevel="0" collapsed="false">
      <c r="A884" s="16" t="s">
        <v>3900</v>
      </c>
      <c r="B884" s="16" t="n">
        <v>879</v>
      </c>
      <c r="C884" s="16" t="s">
        <v>3901</v>
      </c>
      <c r="D884" s="16" t="n">
        <v>8</v>
      </c>
      <c r="E884" s="39" t="s">
        <v>1885</v>
      </c>
      <c r="F884" s="16" t="s">
        <v>1285</v>
      </c>
      <c r="G884" s="16" t="s">
        <v>322</v>
      </c>
      <c r="H884" s="16" t="s">
        <v>3694</v>
      </c>
      <c r="I884" s="16" t="s">
        <v>86</v>
      </c>
      <c r="J884" s="16" t="s">
        <v>1878</v>
      </c>
      <c r="K884" s="32" t="n">
        <v>30</v>
      </c>
      <c r="L884" s="33" t="n">
        <v>46310</v>
      </c>
      <c r="M884" s="33" t="n">
        <v>46339</v>
      </c>
      <c r="N884" s="16" t="s">
        <v>3902</v>
      </c>
      <c r="O884" s="16"/>
      <c r="P884" s="16" t="str">
        <f aca="false">IF(AND(L884&lt;=$D$2,M884&gt;=$C$2),"Sí","")</f>
        <v>Sí</v>
      </c>
      <c r="Q884" s="18" t="str">
        <f aca="false">IF(COUNTIF(LOOKAHEAD!$A$5:$A$604,A884)&gt;0,"En Lookahead",IF(P884="Sí","INCORPORAR",""))</f>
        <v>En Lookahead</v>
      </c>
    </row>
    <row r="885" customFormat="false" ht="15" hidden="false" customHeight="false" outlineLevel="0" collapsed="false">
      <c r="A885" s="16" t="s">
        <v>3903</v>
      </c>
      <c r="B885" s="16" t="n">
        <v>880</v>
      </c>
      <c r="C885" s="16" t="s">
        <v>3904</v>
      </c>
      <c r="D885" s="16" t="n">
        <v>8</v>
      </c>
      <c r="E885" s="39" t="s">
        <v>1867</v>
      </c>
      <c r="F885" s="16" t="s">
        <v>1285</v>
      </c>
      <c r="G885" s="16" t="s">
        <v>322</v>
      </c>
      <c r="H885" s="16" t="s">
        <v>3694</v>
      </c>
      <c r="I885" s="16" t="s">
        <v>86</v>
      </c>
      <c r="J885" s="16" t="s">
        <v>1878</v>
      </c>
      <c r="K885" s="32" t="n">
        <v>8</v>
      </c>
      <c r="L885" s="33" t="n">
        <v>46342</v>
      </c>
      <c r="M885" s="33" t="n">
        <v>46349</v>
      </c>
      <c r="N885" s="16" t="s">
        <v>3905</v>
      </c>
      <c r="O885" s="16"/>
      <c r="P885" s="16" t="str">
        <f aca="false">IF(AND(L885&lt;=$D$2,M885&gt;=$C$2),"Sí","")</f>
        <v/>
      </c>
      <c r="Q885" s="18" t="str">
        <f aca="false">IF(COUNTIF(LOOKAHEAD!$A$5:$A$604,A885)&gt;0,"En Lookahead",IF(P885="Sí","INCORPORAR",""))</f>
        <v/>
      </c>
    </row>
    <row r="886" customFormat="false" ht="15" hidden="false" customHeight="false" outlineLevel="0" collapsed="false">
      <c r="A886" s="16" t="s">
        <v>3906</v>
      </c>
      <c r="B886" s="16" t="n">
        <v>881</v>
      </c>
      <c r="C886" s="16" t="s">
        <v>3907</v>
      </c>
      <c r="D886" s="16" t="n">
        <v>8</v>
      </c>
      <c r="E886" s="39" t="s">
        <v>1892</v>
      </c>
      <c r="F886" s="16" t="s">
        <v>1285</v>
      </c>
      <c r="G886" s="16" t="s">
        <v>322</v>
      </c>
      <c r="H886" s="16" t="s">
        <v>3694</v>
      </c>
      <c r="I886" s="16" t="s">
        <v>86</v>
      </c>
      <c r="J886" s="16" t="s">
        <v>1878</v>
      </c>
      <c r="K886" s="32" t="n">
        <v>2</v>
      </c>
      <c r="L886" s="33" t="n">
        <v>46340</v>
      </c>
      <c r="M886" s="33" t="n">
        <v>46341</v>
      </c>
      <c r="N886" s="16" t="s">
        <v>3908</v>
      </c>
      <c r="O886" s="16"/>
      <c r="P886" s="16" t="str">
        <f aca="false">IF(AND(L886&lt;=$D$2,M886&gt;=$C$2),"Sí","")</f>
        <v>Sí</v>
      </c>
      <c r="Q886" s="18" t="str">
        <f aca="false">IF(COUNTIF(LOOKAHEAD!$A$5:$A$604,A886)&gt;0,"En Lookahead",IF(P886="Sí","INCORPORAR",""))</f>
        <v>En Lookahead</v>
      </c>
    </row>
    <row r="887" customFormat="false" ht="15" hidden="false" customHeight="false" outlineLevel="0" collapsed="false">
      <c r="A887" s="16" t="s">
        <v>3909</v>
      </c>
      <c r="B887" s="16" t="n">
        <v>882</v>
      </c>
      <c r="C887" s="16" t="s">
        <v>3910</v>
      </c>
      <c r="D887" s="16" t="n">
        <v>8</v>
      </c>
      <c r="E887" s="39" t="s">
        <v>1602</v>
      </c>
      <c r="F887" s="16" t="s">
        <v>1285</v>
      </c>
      <c r="G887" s="16" t="s">
        <v>322</v>
      </c>
      <c r="H887" s="16" t="s">
        <v>3694</v>
      </c>
      <c r="I887" s="16" t="s">
        <v>86</v>
      </c>
      <c r="J887" s="16" t="s">
        <v>1878</v>
      </c>
      <c r="K887" s="32" t="n">
        <v>4</v>
      </c>
      <c r="L887" s="33" t="n">
        <v>46351</v>
      </c>
      <c r="M887" s="33" t="n">
        <v>46354</v>
      </c>
      <c r="N887" s="16" t="s">
        <v>3911</v>
      </c>
      <c r="O887" s="16"/>
      <c r="P887" s="16" t="str">
        <f aca="false">IF(AND(L887&lt;=$D$2,M887&gt;=$C$2),"Sí","")</f>
        <v/>
      </c>
      <c r="Q887" s="18" t="str">
        <f aca="false">IF(COUNTIF(LOOKAHEAD!$A$5:$A$604,A887)&gt;0,"En Lookahead",IF(P887="Sí","INCORPORAR",""))</f>
        <v/>
      </c>
    </row>
    <row r="888" customFormat="false" ht="15" hidden="false" customHeight="false" outlineLevel="0" collapsed="false">
      <c r="A888" s="13" t="s">
        <v>3912</v>
      </c>
      <c r="B888" s="13" t="n">
        <v>883</v>
      </c>
      <c r="C888" s="13" t="s">
        <v>3913</v>
      </c>
      <c r="D888" s="13" t="n">
        <v>6</v>
      </c>
      <c r="E888" s="36" t="s">
        <v>1985</v>
      </c>
      <c r="F888" s="13" t="s">
        <v>1298</v>
      </c>
      <c r="G888" s="13" t="s">
        <v>322</v>
      </c>
      <c r="H888" s="13" t="s">
        <v>3694</v>
      </c>
      <c r="I888" s="13" t="s">
        <v>86</v>
      </c>
      <c r="J888" s="13" t="s">
        <v>1623</v>
      </c>
      <c r="K888" s="30" t="n">
        <v>6</v>
      </c>
      <c r="L888" s="31" t="n">
        <v>46304</v>
      </c>
      <c r="M888" s="31" t="n">
        <v>46309</v>
      </c>
      <c r="N888" s="13"/>
      <c r="O888" s="13"/>
      <c r="P888" s="13"/>
      <c r="Q888" s="13"/>
    </row>
    <row r="889" customFormat="false" ht="15" hidden="false" customHeight="false" outlineLevel="0" collapsed="false">
      <c r="A889" s="13" t="s">
        <v>3914</v>
      </c>
      <c r="B889" s="13" t="n">
        <v>884</v>
      </c>
      <c r="C889" s="13" t="s">
        <v>3915</v>
      </c>
      <c r="D889" s="13" t="n">
        <v>7</v>
      </c>
      <c r="E889" s="38" t="s">
        <v>1988</v>
      </c>
      <c r="F889" s="13" t="s">
        <v>1298</v>
      </c>
      <c r="G889" s="13" t="s">
        <v>322</v>
      </c>
      <c r="H889" s="13" t="s">
        <v>3694</v>
      </c>
      <c r="I889" s="13" t="s">
        <v>86</v>
      </c>
      <c r="J889" s="13" t="s">
        <v>1985</v>
      </c>
      <c r="K889" s="30" t="n">
        <v>6</v>
      </c>
      <c r="L889" s="31" t="n">
        <v>46304</v>
      </c>
      <c r="M889" s="31" t="n">
        <v>46309</v>
      </c>
      <c r="N889" s="13"/>
      <c r="O889" s="13"/>
      <c r="P889" s="13"/>
      <c r="Q889" s="13"/>
    </row>
    <row r="890" customFormat="false" ht="15" hidden="false" customHeight="false" outlineLevel="0" collapsed="false">
      <c r="A890" s="16" t="s">
        <v>3916</v>
      </c>
      <c r="B890" s="16" t="n">
        <v>885</v>
      </c>
      <c r="C890" s="16" t="s">
        <v>3917</v>
      </c>
      <c r="D890" s="16" t="n">
        <v>8</v>
      </c>
      <c r="E890" s="39" t="s">
        <v>1991</v>
      </c>
      <c r="F890" s="16" t="s">
        <v>1285</v>
      </c>
      <c r="G890" s="16" t="s">
        <v>322</v>
      </c>
      <c r="H890" s="16" t="s">
        <v>3694</v>
      </c>
      <c r="I890" s="16" t="s">
        <v>86</v>
      </c>
      <c r="J890" s="16" t="s">
        <v>1988</v>
      </c>
      <c r="K890" s="32" t="n">
        <v>1</v>
      </c>
      <c r="L890" s="33" t="n">
        <v>46308</v>
      </c>
      <c r="M890" s="33" t="n">
        <v>46308</v>
      </c>
      <c r="N890" s="16" t="s">
        <v>3918</v>
      </c>
      <c r="O890" s="16"/>
      <c r="P890" s="16" t="str">
        <f aca="false">IF(AND(L890&lt;=$D$2,M890&gt;=$C$2),"Sí","")</f>
        <v>Sí</v>
      </c>
      <c r="Q890" s="18" t="str">
        <f aca="false">IF(COUNTIF(LOOKAHEAD!$A$5:$A$604,A890)&gt;0,"En Lookahead",IF(P890="Sí","INCORPORAR",""))</f>
        <v>En Lookahead</v>
      </c>
    </row>
    <row r="891" customFormat="false" ht="15" hidden="false" customHeight="false" outlineLevel="0" collapsed="false">
      <c r="A891" s="16" t="s">
        <v>3919</v>
      </c>
      <c r="B891" s="16" t="n">
        <v>886</v>
      </c>
      <c r="C891" s="16" t="s">
        <v>3920</v>
      </c>
      <c r="D891" s="16" t="n">
        <v>8</v>
      </c>
      <c r="E891" s="39" t="s">
        <v>1995</v>
      </c>
      <c r="F891" s="16" t="s">
        <v>1285</v>
      </c>
      <c r="G891" s="16" t="s">
        <v>322</v>
      </c>
      <c r="H891" s="16" t="s">
        <v>3694</v>
      </c>
      <c r="I891" s="16" t="s">
        <v>86</v>
      </c>
      <c r="J891" s="16" t="s">
        <v>1988</v>
      </c>
      <c r="K891" s="32" t="n">
        <v>2</v>
      </c>
      <c r="L891" s="33" t="n">
        <v>46306</v>
      </c>
      <c r="M891" s="33" t="n">
        <v>46307</v>
      </c>
      <c r="N891" s="16" t="s">
        <v>3921</v>
      </c>
      <c r="O891" s="16"/>
      <c r="P891" s="16" t="str">
        <f aca="false">IF(AND(L891&lt;=$D$2,M891&gt;=$C$2),"Sí","")</f>
        <v>Sí</v>
      </c>
      <c r="Q891" s="18" t="str">
        <f aca="false">IF(COUNTIF(LOOKAHEAD!$A$5:$A$604,A891)&gt;0,"En Lookahead",IF(P891="Sí","INCORPORAR",""))</f>
        <v>En Lookahead</v>
      </c>
    </row>
    <row r="892" customFormat="false" ht="15" hidden="false" customHeight="false" outlineLevel="0" collapsed="false">
      <c r="A892" s="16" t="s">
        <v>3922</v>
      </c>
      <c r="B892" s="16" t="n">
        <v>887</v>
      </c>
      <c r="C892" s="16" t="s">
        <v>3923</v>
      </c>
      <c r="D892" s="16" t="n">
        <v>8</v>
      </c>
      <c r="E892" s="39" t="s">
        <v>1999</v>
      </c>
      <c r="F892" s="16" t="s">
        <v>1285</v>
      </c>
      <c r="G892" s="16" t="s">
        <v>322</v>
      </c>
      <c r="H892" s="16" t="s">
        <v>3694</v>
      </c>
      <c r="I892" s="16" t="s">
        <v>86</v>
      </c>
      <c r="J892" s="16" t="s">
        <v>1988</v>
      </c>
      <c r="K892" s="32" t="n">
        <v>2</v>
      </c>
      <c r="L892" s="33" t="n">
        <v>46304</v>
      </c>
      <c r="M892" s="33" t="n">
        <v>46305</v>
      </c>
      <c r="N892" s="16" t="s">
        <v>3924</v>
      </c>
      <c r="O892" s="16"/>
      <c r="P892" s="16" t="str">
        <f aca="false">IF(AND(L892&lt;=$D$2,M892&gt;=$C$2),"Sí","")</f>
        <v>Sí</v>
      </c>
      <c r="Q892" s="18" t="str">
        <f aca="false">IF(COUNTIF(LOOKAHEAD!$A$5:$A$604,A892)&gt;0,"En Lookahead",IF(P892="Sí","INCORPORAR",""))</f>
        <v>En Lookahead</v>
      </c>
    </row>
    <row r="893" customFormat="false" ht="15" hidden="false" customHeight="false" outlineLevel="0" collapsed="false">
      <c r="A893" s="16" t="s">
        <v>3925</v>
      </c>
      <c r="B893" s="16" t="n">
        <v>888</v>
      </c>
      <c r="C893" s="16" t="s">
        <v>3926</v>
      </c>
      <c r="D893" s="16" t="n">
        <v>8</v>
      </c>
      <c r="E893" s="39" t="s">
        <v>1677</v>
      </c>
      <c r="F893" s="16" t="s">
        <v>1285</v>
      </c>
      <c r="G893" s="16" t="s">
        <v>322</v>
      </c>
      <c r="H893" s="16" t="s">
        <v>3694</v>
      </c>
      <c r="I893" s="16" t="s">
        <v>86</v>
      </c>
      <c r="J893" s="16" t="s">
        <v>1988</v>
      </c>
      <c r="K893" s="32" t="n">
        <v>1</v>
      </c>
      <c r="L893" s="33" t="n">
        <v>46309</v>
      </c>
      <c r="M893" s="33" t="n">
        <v>46309</v>
      </c>
      <c r="N893" s="16" t="s">
        <v>3927</v>
      </c>
      <c r="O893" s="16"/>
      <c r="P893" s="16" t="str">
        <f aca="false">IF(AND(L893&lt;=$D$2,M893&gt;=$C$2),"Sí","")</f>
        <v>Sí</v>
      </c>
      <c r="Q893" s="18" t="str">
        <f aca="false">IF(COUNTIF(LOOKAHEAD!$A$5:$A$604,A893)&gt;0,"En Lookahead",IF(P893="Sí","INCORPORAR",""))</f>
        <v>En Lookahead</v>
      </c>
    </row>
    <row r="894" customFormat="false" ht="15" hidden="false" customHeight="false" outlineLevel="0" collapsed="false">
      <c r="A894" s="13" t="s">
        <v>3928</v>
      </c>
      <c r="B894" s="13" t="n">
        <v>889</v>
      </c>
      <c r="C894" s="13" t="s">
        <v>3929</v>
      </c>
      <c r="D894" s="13" t="n">
        <v>7</v>
      </c>
      <c r="E894" s="38" t="s">
        <v>2006</v>
      </c>
      <c r="F894" s="13" t="s">
        <v>1298</v>
      </c>
      <c r="G894" s="13" t="s">
        <v>322</v>
      </c>
      <c r="H894" s="13" t="s">
        <v>3694</v>
      </c>
      <c r="I894" s="13" t="s">
        <v>86</v>
      </c>
      <c r="J894" s="13" t="s">
        <v>1985</v>
      </c>
      <c r="K894" s="30" t="n">
        <v>4</v>
      </c>
      <c r="L894" s="31" t="n">
        <v>46304</v>
      </c>
      <c r="M894" s="31" t="n">
        <v>46307</v>
      </c>
      <c r="N894" s="13"/>
      <c r="O894" s="13"/>
      <c r="P894" s="13"/>
      <c r="Q894" s="13"/>
    </row>
    <row r="895" customFormat="false" ht="15" hidden="false" customHeight="false" outlineLevel="0" collapsed="false">
      <c r="A895" s="16" t="s">
        <v>3930</v>
      </c>
      <c r="B895" s="16" t="n">
        <v>890</v>
      </c>
      <c r="C895" s="16" t="s">
        <v>3931</v>
      </c>
      <c r="D895" s="16" t="n">
        <v>8</v>
      </c>
      <c r="E895" s="39" t="s">
        <v>2009</v>
      </c>
      <c r="F895" s="16" t="s">
        <v>1285</v>
      </c>
      <c r="G895" s="16" t="s">
        <v>322</v>
      </c>
      <c r="H895" s="16" t="s">
        <v>3694</v>
      </c>
      <c r="I895" s="16" t="s">
        <v>86</v>
      </c>
      <c r="J895" s="16" t="s">
        <v>2006</v>
      </c>
      <c r="K895" s="32" t="n">
        <v>1</v>
      </c>
      <c r="L895" s="33" t="n">
        <v>46307</v>
      </c>
      <c r="M895" s="33" t="n">
        <v>46307</v>
      </c>
      <c r="N895" s="16" t="s">
        <v>3932</v>
      </c>
      <c r="O895" s="16"/>
      <c r="P895" s="16" t="str">
        <f aca="false">IF(AND(L895&lt;=$D$2,M895&gt;=$C$2),"Sí","")</f>
        <v>Sí</v>
      </c>
      <c r="Q895" s="18" t="str">
        <f aca="false">IF(COUNTIF(LOOKAHEAD!$A$5:$A$604,A895)&gt;0,"En Lookahead",IF(P895="Sí","INCORPORAR",""))</f>
        <v>En Lookahead</v>
      </c>
    </row>
    <row r="896" customFormat="false" ht="15" hidden="false" customHeight="false" outlineLevel="0" collapsed="false">
      <c r="A896" s="16" t="s">
        <v>3933</v>
      </c>
      <c r="B896" s="16" t="n">
        <v>891</v>
      </c>
      <c r="C896" s="16" t="s">
        <v>3934</v>
      </c>
      <c r="D896" s="16" t="n">
        <v>8</v>
      </c>
      <c r="E896" s="39" t="s">
        <v>2013</v>
      </c>
      <c r="F896" s="16" t="s">
        <v>1285</v>
      </c>
      <c r="G896" s="16" t="s">
        <v>322</v>
      </c>
      <c r="H896" s="16" t="s">
        <v>3694</v>
      </c>
      <c r="I896" s="16" t="s">
        <v>86</v>
      </c>
      <c r="J896" s="16" t="s">
        <v>2006</v>
      </c>
      <c r="K896" s="32" t="n">
        <v>2</v>
      </c>
      <c r="L896" s="33" t="n">
        <v>46305</v>
      </c>
      <c r="M896" s="33" t="n">
        <v>46306</v>
      </c>
      <c r="N896" s="16" t="s">
        <v>3935</v>
      </c>
      <c r="O896" s="16"/>
      <c r="P896" s="16" t="str">
        <f aca="false">IF(AND(L896&lt;=$D$2,M896&gt;=$C$2),"Sí","")</f>
        <v>Sí</v>
      </c>
      <c r="Q896" s="18" t="str">
        <f aca="false">IF(COUNTIF(LOOKAHEAD!$A$5:$A$604,A896)&gt;0,"En Lookahead",IF(P896="Sí","INCORPORAR",""))</f>
        <v>En Lookahead</v>
      </c>
    </row>
    <row r="897" customFormat="false" ht="15" hidden="false" customHeight="false" outlineLevel="0" collapsed="false">
      <c r="A897" s="16" t="s">
        <v>3936</v>
      </c>
      <c r="B897" s="16" t="n">
        <v>892</v>
      </c>
      <c r="C897" s="16" t="s">
        <v>3937</v>
      </c>
      <c r="D897" s="16" t="n">
        <v>8</v>
      </c>
      <c r="E897" s="39" t="s">
        <v>1999</v>
      </c>
      <c r="F897" s="16" t="s">
        <v>1285</v>
      </c>
      <c r="G897" s="16" t="s">
        <v>322</v>
      </c>
      <c r="H897" s="16" t="s">
        <v>3694</v>
      </c>
      <c r="I897" s="16" t="s">
        <v>86</v>
      </c>
      <c r="J897" s="16" t="s">
        <v>2006</v>
      </c>
      <c r="K897" s="32" t="n">
        <v>1</v>
      </c>
      <c r="L897" s="33" t="n">
        <v>46304</v>
      </c>
      <c r="M897" s="33" t="n">
        <v>46304</v>
      </c>
      <c r="N897" s="16" t="s">
        <v>3924</v>
      </c>
      <c r="O897" s="16"/>
      <c r="P897" s="16" t="str">
        <f aca="false">IF(AND(L897&lt;=$D$2,M897&gt;=$C$2),"Sí","")</f>
        <v>Sí</v>
      </c>
      <c r="Q897" s="18" t="str">
        <f aca="false">IF(COUNTIF(LOOKAHEAD!$A$5:$A$604,A897)&gt;0,"En Lookahead",IF(P897="Sí","INCORPORAR",""))</f>
        <v>En Lookahead</v>
      </c>
    </row>
    <row r="898" customFormat="false" ht="15" hidden="false" customHeight="false" outlineLevel="0" collapsed="false">
      <c r="A898" s="16" t="s">
        <v>3938</v>
      </c>
      <c r="B898" s="16" t="n">
        <v>893</v>
      </c>
      <c r="C898" s="16" t="s">
        <v>3939</v>
      </c>
      <c r="D898" s="16" t="n">
        <v>8</v>
      </c>
      <c r="E898" s="39" t="s">
        <v>1677</v>
      </c>
      <c r="F898" s="16" t="s">
        <v>1285</v>
      </c>
      <c r="G898" s="16" t="s">
        <v>322</v>
      </c>
      <c r="H898" s="16" t="s">
        <v>3694</v>
      </c>
      <c r="I898" s="16" t="s">
        <v>86</v>
      </c>
      <c r="J898" s="16" t="s">
        <v>2006</v>
      </c>
      <c r="K898" s="32" t="n">
        <v>1</v>
      </c>
      <c r="L898" s="33" t="n">
        <v>46307</v>
      </c>
      <c r="M898" s="33" t="n">
        <v>46307</v>
      </c>
      <c r="N898" s="16" t="s">
        <v>3932</v>
      </c>
      <c r="O898" s="16"/>
      <c r="P898" s="16" t="str">
        <f aca="false">IF(AND(L898&lt;=$D$2,M898&gt;=$C$2),"Sí","")</f>
        <v>Sí</v>
      </c>
      <c r="Q898" s="18" t="str">
        <f aca="false">IF(COUNTIF(LOOKAHEAD!$A$5:$A$604,A898)&gt;0,"En Lookahead",IF(P898="Sí","INCORPORAR",""))</f>
        <v>En Lookahead</v>
      </c>
    </row>
    <row r="899" customFormat="false" ht="15" hidden="false" customHeight="false" outlineLevel="0" collapsed="false">
      <c r="A899" s="13" t="s">
        <v>3940</v>
      </c>
      <c r="B899" s="13" t="n">
        <v>894</v>
      </c>
      <c r="C899" s="13" t="s">
        <v>3941</v>
      </c>
      <c r="D899" s="13" t="n">
        <v>7</v>
      </c>
      <c r="E899" s="38" t="s">
        <v>2038</v>
      </c>
      <c r="F899" s="13" t="s">
        <v>1298</v>
      </c>
      <c r="G899" s="13" t="s">
        <v>322</v>
      </c>
      <c r="H899" s="13" t="s">
        <v>3694</v>
      </c>
      <c r="I899" s="13" t="s">
        <v>86</v>
      </c>
      <c r="J899" s="13" t="s">
        <v>1985</v>
      </c>
      <c r="K899" s="30" t="n">
        <v>5</v>
      </c>
      <c r="L899" s="31" t="n">
        <v>46304</v>
      </c>
      <c r="M899" s="31" t="n">
        <v>46308</v>
      </c>
      <c r="N899" s="13"/>
      <c r="O899" s="13"/>
      <c r="P899" s="13"/>
      <c r="Q899" s="13"/>
    </row>
    <row r="900" customFormat="false" ht="15" hidden="false" customHeight="false" outlineLevel="0" collapsed="false">
      <c r="A900" s="16" t="s">
        <v>3942</v>
      </c>
      <c r="B900" s="16" t="n">
        <v>895</v>
      </c>
      <c r="C900" s="16" t="s">
        <v>3943</v>
      </c>
      <c r="D900" s="16" t="n">
        <v>8</v>
      </c>
      <c r="E900" s="39" t="s">
        <v>2041</v>
      </c>
      <c r="F900" s="16" t="s">
        <v>1285</v>
      </c>
      <c r="G900" s="16" t="s">
        <v>322</v>
      </c>
      <c r="H900" s="16" t="s">
        <v>3694</v>
      </c>
      <c r="I900" s="16" t="s">
        <v>86</v>
      </c>
      <c r="J900" s="16" t="s">
        <v>2038</v>
      </c>
      <c r="K900" s="32" t="n">
        <v>1</v>
      </c>
      <c r="L900" s="33" t="n">
        <v>46307</v>
      </c>
      <c r="M900" s="33" t="n">
        <v>46307</v>
      </c>
      <c r="N900" s="16" t="s">
        <v>3944</v>
      </c>
      <c r="O900" s="16"/>
      <c r="P900" s="16" t="str">
        <f aca="false">IF(AND(L900&lt;=$D$2,M900&gt;=$C$2),"Sí","")</f>
        <v>Sí</v>
      </c>
      <c r="Q900" s="18" t="str">
        <f aca="false">IF(COUNTIF(LOOKAHEAD!$A$5:$A$604,A900)&gt;0,"En Lookahead",IF(P900="Sí","INCORPORAR",""))</f>
        <v>En Lookahead</v>
      </c>
    </row>
    <row r="901" customFormat="false" ht="15" hidden="false" customHeight="false" outlineLevel="0" collapsed="false">
      <c r="A901" s="16" t="s">
        <v>3945</v>
      </c>
      <c r="B901" s="16" t="n">
        <v>896</v>
      </c>
      <c r="C901" s="16" t="s">
        <v>3946</v>
      </c>
      <c r="D901" s="16" t="n">
        <v>8</v>
      </c>
      <c r="E901" s="39" t="s">
        <v>2045</v>
      </c>
      <c r="F901" s="16" t="s">
        <v>1285</v>
      </c>
      <c r="G901" s="16" t="s">
        <v>322</v>
      </c>
      <c r="H901" s="16" t="s">
        <v>3694</v>
      </c>
      <c r="I901" s="16" t="s">
        <v>86</v>
      </c>
      <c r="J901" s="16" t="s">
        <v>2038</v>
      </c>
      <c r="K901" s="32" t="n">
        <v>2</v>
      </c>
      <c r="L901" s="33" t="n">
        <v>46305</v>
      </c>
      <c r="M901" s="33" t="n">
        <v>46306</v>
      </c>
      <c r="N901" s="16" t="s">
        <v>3947</v>
      </c>
      <c r="O901" s="16"/>
      <c r="P901" s="16" t="str">
        <f aca="false">IF(AND(L901&lt;=$D$2,M901&gt;=$C$2),"Sí","")</f>
        <v>Sí</v>
      </c>
      <c r="Q901" s="18" t="str">
        <f aca="false">IF(COUNTIF(LOOKAHEAD!$A$5:$A$604,A901)&gt;0,"En Lookahead",IF(P901="Sí","INCORPORAR",""))</f>
        <v>En Lookahead</v>
      </c>
    </row>
    <row r="902" customFormat="false" ht="15" hidden="false" customHeight="false" outlineLevel="0" collapsed="false">
      <c r="A902" s="16" t="s">
        <v>3948</v>
      </c>
      <c r="B902" s="16" t="n">
        <v>897</v>
      </c>
      <c r="C902" s="16" t="s">
        <v>3949</v>
      </c>
      <c r="D902" s="16" t="n">
        <v>8</v>
      </c>
      <c r="E902" s="39" t="s">
        <v>1999</v>
      </c>
      <c r="F902" s="16" t="s">
        <v>1285</v>
      </c>
      <c r="G902" s="16" t="s">
        <v>322</v>
      </c>
      <c r="H902" s="16" t="s">
        <v>3694</v>
      </c>
      <c r="I902" s="16" t="s">
        <v>86</v>
      </c>
      <c r="J902" s="16" t="s">
        <v>2038</v>
      </c>
      <c r="K902" s="32" t="n">
        <v>1</v>
      </c>
      <c r="L902" s="33" t="n">
        <v>46304</v>
      </c>
      <c r="M902" s="33" t="n">
        <v>46304</v>
      </c>
      <c r="N902" s="16" t="s">
        <v>3924</v>
      </c>
      <c r="O902" s="16"/>
      <c r="P902" s="16" t="str">
        <f aca="false">IF(AND(L902&lt;=$D$2,M902&gt;=$C$2),"Sí","")</f>
        <v>Sí</v>
      </c>
      <c r="Q902" s="18" t="str">
        <f aca="false">IF(COUNTIF(LOOKAHEAD!$A$5:$A$604,A902)&gt;0,"En Lookahead",IF(P902="Sí","INCORPORAR",""))</f>
        <v>En Lookahead</v>
      </c>
    </row>
    <row r="903" customFormat="false" ht="15" hidden="false" customHeight="false" outlineLevel="0" collapsed="false">
      <c r="A903" s="16" t="s">
        <v>3950</v>
      </c>
      <c r="B903" s="16" t="n">
        <v>898</v>
      </c>
      <c r="C903" s="16" t="s">
        <v>3951</v>
      </c>
      <c r="D903" s="16" t="n">
        <v>8</v>
      </c>
      <c r="E903" s="39" t="s">
        <v>1677</v>
      </c>
      <c r="F903" s="16" t="s">
        <v>1285</v>
      </c>
      <c r="G903" s="16" t="s">
        <v>322</v>
      </c>
      <c r="H903" s="16" t="s">
        <v>3694</v>
      </c>
      <c r="I903" s="16" t="s">
        <v>86</v>
      </c>
      <c r="J903" s="16" t="s">
        <v>2038</v>
      </c>
      <c r="K903" s="32" t="n">
        <v>1</v>
      </c>
      <c r="L903" s="33" t="n">
        <v>46308</v>
      </c>
      <c r="M903" s="33" t="n">
        <v>46308</v>
      </c>
      <c r="N903" s="16" t="s">
        <v>3952</v>
      </c>
      <c r="O903" s="16"/>
      <c r="P903" s="16" t="str">
        <f aca="false">IF(AND(L903&lt;=$D$2,M903&gt;=$C$2),"Sí","")</f>
        <v>Sí</v>
      </c>
      <c r="Q903" s="18" t="str">
        <f aca="false">IF(COUNTIF(LOOKAHEAD!$A$5:$A$604,A903)&gt;0,"En Lookahead",IF(P903="Sí","INCORPORAR",""))</f>
        <v>En Lookahead</v>
      </c>
    </row>
    <row r="904" customFormat="false" ht="15" hidden="false" customHeight="false" outlineLevel="0" collapsed="false">
      <c r="A904" s="13" t="s">
        <v>3953</v>
      </c>
      <c r="B904" s="13" t="n">
        <v>899</v>
      </c>
      <c r="C904" s="13" t="s">
        <v>3954</v>
      </c>
      <c r="D904" s="13" t="n">
        <v>6</v>
      </c>
      <c r="E904" s="36" t="s">
        <v>2054</v>
      </c>
      <c r="F904" s="13" t="s">
        <v>1298</v>
      </c>
      <c r="G904" s="13" t="s">
        <v>322</v>
      </c>
      <c r="H904" s="13" t="s">
        <v>3694</v>
      </c>
      <c r="I904" s="13" t="s">
        <v>86</v>
      </c>
      <c r="J904" s="13" t="s">
        <v>1623</v>
      </c>
      <c r="K904" s="30" t="n">
        <v>6</v>
      </c>
      <c r="L904" s="31" t="n">
        <v>46308</v>
      </c>
      <c r="M904" s="31" t="n">
        <v>46313</v>
      </c>
      <c r="N904" s="13"/>
      <c r="O904" s="13"/>
      <c r="P904" s="13"/>
      <c r="Q904" s="13"/>
    </row>
    <row r="905" customFormat="false" ht="15" hidden="false" customHeight="false" outlineLevel="0" collapsed="false">
      <c r="A905" s="13" t="s">
        <v>3955</v>
      </c>
      <c r="B905" s="13" t="n">
        <v>900</v>
      </c>
      <c r="C905" s="13" t="s">
        <v>3956</v>
      </c>
      <c r="D905" s="13" t="n">
        <v>7</v>
      </c>
      <c r="E905" s="38" t="s">
        <v>2057</v>
      </c>
      <c r="F905" s="13" t="s">
        <v>1298</v>
      </c>
      <c r="G905" s="13" t="s">
        <v>322</v>
      </c>
      <c r="H905" s="13" t="s">
        <v>3694</v>
      </c>
      <c r="I905" s="13" t="s">
        <v>86</v>
      </c>
      <c r="J905" s="13" t="s">
        <v>2054</v>
      </c>
      <c r="K905" s="30" t="n">
        <v>5</v>
      </c>
      <c r="L905" s="31" t="n">
        <v>46309</v>
      </c>
      <c r="M905" s="31" t="n">
        <v>46313</v>
      </c>
      <c r="N905" s="13"/>
      <c r="O905" s="13"/>
      <c r="P905" s="13"/>
      <c r="Q905" s="13"/>
    </row>
    <row r="906" customFormat="false" ht="15" hidden="false" customHeight="false" outlineLevel="0" collapsed="false">
      <c r="A906" s="16" t="s">
        <v>3957</v>
      </c>
      <c r="B906" s="16" t="n">
        <v>901</v>
      </c>
      <c r="C906" s="16" t="s">
        <v>3958</v>
      </c>
      <c r="D906" s="16" t="n">
        <v>8</v>
      </c>
      <c r="E906" s="39" t="s">
        <v>2060</v>
      </c>
      <c r="F906" s="16" t="s">
        <v>1285</v>
      </c>
      <c r="G906" s="16" t="s">
        <v>322</v>
      </c>
      <c r="H906" s="16" t="s">
        <v>3694</v>
      </c>
      <c r="I906" s="16" t="s">
        <v>86</v>
      </c>
      <c r="J906" s="16" t="s">
        <v>2057</v>
      </c>
      <c r="K906" s="32" t="n">
        <v>1</v>
      </c>
      <c r="L906" s="33" t="n">
        <v>46312</v>
      </c>
      <c r="M906" s="33" t="n">
        <v>46312</v>
      </c>
      <c r="N906" s="16" t="s">
        <v>3959</v>
      </c>
      <c r="O906" s="16"/>
      <c r="P906" s="16" t="str">
        <f aca="false">IF(AND(L906&lt;=$D$2,M906&gt;=$C$2),"Sí","")</f>
        <v>Sí</v>
      </c>
      <c r="Q906" s="18" t="str">
        <f aca="false">IF(COUNTIF(LOOKAHEAD!$A$5:$A$604,A906)&gt;0,"En Lookahead",IF(P906="Sí","INCORPORAR",""))</f>
        <v>En Lookahead</v>
      </c>
    </row>
    <row r="907" customFormat="false" ht="15" hidden="false" customHeight="false" outlineLevel="0" collapsed="false">
      <c r="A907" s="16" t="s">
        <v>3960</v>
      </c>
      <c r="B907" s="16" t="n">
        <v>902</v>
      </c>
      <c r="C907" s="16" t="s">
        <v>3961</v>
      </c>
      <c r="D907" s="16" t="n">
        <v>8</v>
      </c>
      <c r="E907" s="39" t="s">
        <v>2064</v>
      </c>
      <c r="F907" s="16" t="s">
        <v>1285</v>
      </c>
      <c r="G907" s="16" t="s">
        <v>322</v>
      </c>
      <c r="H907" s="16" t="s">
        <v>3694</v>
      </c>
      <c r="I907" s="16" t="s">
        <v>86</v>
      </c>
      <c r="J907" s="16" t="s">
        <v>2057</v>
      </c>
      <c r="K907" s="32" t="n">
        <v>2</v>
      </c>
      <c r="L907" s="33" t="n">
        <v>46310</v>
      </c>
      <c r="M907" s="33" t="n">
        <v>46311</v>
      </c>
      <c r="N907" s="16" t="s">
        <v>3962</v>
      </c>
      <c r="O907" s="16"/>
      <c r="P907" s="16" t="str">
        <f aca="false">IF(AND(L907&lt;=$D$2,M907&gt;=$C$2),"Sí","")</f>
        <v>Sí</v>
      </c>
      <c r="Q907" s="18" t="str">
        <f aca="false">IF(COUNTIF(LOOKAHEAD!$A$5:$A$604,A907)&gt;0,"En Lookahead",IF(P907="Sí","INCORPORAR",""))</f>
        <v>En Lookahead</v>
      </c>
    </row>
    <row r="908" customFormat="false" ht="15" hidden="false" customHeight="false" outlineLevel="0" collapsed="false">
      <c r="A908" s="16" t="s">
        <v>3963</v>
      </c>
      <c r="B908" s="16" t="n">
        <v>903</v>
      </c>
      <c r="C908" s="16" t="s">
        <v>3964</v>
      </c>
      <c r="D908" s="16" t="n">
        <v>8</v>
      </c>
      <c r="E908" s="39" t="s">
        <v>1800</v>
      </c>
      <c r="F908" s="16" t="s">
        <v>1285</v>
      </c>
      <c r="G908" s="16" t="s">
        <v>322</v>
      </c>
      <c r="H908" s="16" t="s">
        <v>3694</v>
      </c>
      <c r="I908" s="16" t="s">
        <v>86</v>
      </c>
      <c r="J908" s="16" t="s">
        <v>2057</v>
      </c>
      <c r="K908" s="32" t="n">
        <v>1</v>
      </c>
      <c r="L908" s="33" t="n">
        <v>46309</v>
      </c>
      <c r="M908" s="33" t="n">
        <v>46309</v>
      </c>
      <c r="N908" s="16" t="s">
        <v>3927</v>
      </c>
      <c r="O908" s="16"/>
      <c r="P908" s="16" t="str">
        <f aca="false">IF(AND(L908&lt;=$D$2,M908&gt;=$C$2),"Sí","")</f>
        <v>Sí</v>
      </c>
      <c r="Q908" s="18" t="str">
        <f aca="false">IF(COUNTIF(LOOKAHEAD!$A$5:$A$604,A908)&gt;0,"En Lookahead",IF(P908="Sí","INCORPORAR",""))</f>
        <v>En Lookahead</v>
      </c>
    </row>
    <row r="909" customFormat="false" ht="15" hidden="false" customHeight="false" outlineLevel="0" collapsed="false">
      <c r="A909" s="16" t="s">
        <v>3965</v>
      </c>
      <c r="B909" s="16" t="n">
        <v>904</v>
      </c>
      <c r="C909" s="16" t="s">
        <v>3966</v>
      </c>
      <c r="D909" s="16" t="n">
        <v>8</v>
      </c>
      <c r="E909" s="39" t="s">
        <v>1602</v>
      </c>
      <c r="F909" s="16" t="s">
        <v>1285</v>
      </c>
      <c r="G909" s="16" t="s">
        <v>322</v>
      </c>
      <c r="H909" s="16" t="s">
        <v>3694</v>
      </c>
      <c r="I909" s="16" t="s">
        <v>86</v>
      </c>
      <c r="J909" s="16" t="s">
        <v>2057</v>
      </c>
      <c r="K909" s="32" t="n">
        <v>1</v>
      </c>
      <c r="L909" s="33" t="n">
        <v>46313</v>
      </c>
      <c r="M909" s="33" t="n">
        <v>46313</v>
      </c>
      <c r="N909" s="16" t="s">
        <v>3967</v>
      </c>
      <c r="O909" s="16"/>
      <c r="P909" s="16" t="str">
        <f aca="false">IF(AND(L909&lt;=$D$2,M909&gt;=$C$2),"Sí","")</f>
        <v>Sí</v>
      </c>
      <c r="Q909" s="18" t="str">
        <f aca="false">IF(COUNTIF(LOOKAHEAD!$A$5:$A$604,A909)&gt;0,"En Lookahead",IF(P909="Sí","INCORPORAR",""))</f>
        <v>En Lookahead</v>
      </c>
    </row>
    <row r="910" customFormat="false" ht="15" hidden="false" customHeight="false" outlineLevel="0" collapsed="false">
      <c r="A910" s="13" t="s">
        <v>3968</v>
      </c>
      <c r="B910" s="13" t="n">
        <v>905</v>
      </c>
      <c r="C910" s="13" t="s">
        <v>3969</v>
      </c>
      <c r="D910" s="13" t="n">
        <v>7</v>
      </c>
      <c r="E910" s="38" t="s">
        <v>2073</v>
      </c>
      <c r="F910" s="13" t="s">
        <v>1298</v>
      </c>
      <c r="G910" s="13" t="s">
        <v>322</v>
      </c>
      <c r="H910" s="13" t="s">
        <v>3694</v>
      </c>
      <c r="I910" s="13" t="s">
        <v>86</v>
      </c>
      <c r="J910" s="13" t="s">
        <v>2054</v>
      </c>
      <c r="K910" s="30" t="n">
        <v>4</v>
      </c>
      <c r="L910" s="31" t="n">
        <v>46308</v>
      </c>
      <c r="M910" s="31" t="n">
        <v>46311</v>
      </c>
      <c r="N910" s="13"/>
      <c r="O910" s="13"/>
      <c r="P910" s="13"/>
      <c r="Q910" s="13"/>
    </row>
    <row r="911" customFormat="false" ht="15" hidden="false" customHeight="false" outlineLevel="0" collapsed="false">
      <c r="A911" s="16" t="s">
        <v>3970</v>
      </c>
      <c r="B911" s="16" t="n">
        <v>906</v>
      </c>
      <c r="C911" s="16" t="s">
        <v>3971</v>
      </c>
      <c r="D911" s="16" t="n">
        <v>8</v>
      </c>
      <c r="E911" s="39" t="s">
        <v>2076</v>
      </c>
      <c r="F911" s="16" t="s">
        <v>1285</v>
      </c>
      <c r="G911" s="16" t="s">
        <v>322</v>
      </c>
      <c r="H911" s="16" t="s">
        <v>3694</v>
      </c>
      <c r="I911" s="16" t="s">
        <v>86</v>
      </c>
      <c r="J911" s="16" t="s">
        <v>2073</v>
      </c>
      <c r="K911" s="32" t="n">
        <v>1</v>
      </c>
      <c r="L911" s="33" t="n">
        <v>46310</v>
      </c>
      <c r="M911" s="33" t="n">
        <v>46310</v>
      </c>
      <c r="N911" s="16" t="s">
        <v>3972</v>
      </c>
      <c r="O911" s="16"/>
      <c r="P911" s="16" t="str">
        <f aca="false">IF(AND(L911&lt;=$D$2,M911&gt;=$C$2),"Sí","")</f>
        <v>Sí</v>
      </c>
      <c r="Q911" s="18" t="str">
        <f aca="false">IF(COUNTIF(LOOKAHEAD!$A$5:$A$604,A911)&gt;0,"En Lookahead",IF(P911="Sí","INCORPORAR",""))</f>
        <v>En Lookahead</v>
      </c>
    </row>
    <row r="912" customFormat="false" ht="15" hidden="false" customHeight="false" outlineLevel="0" collapsed="false">
      <c r="A912" s="16" t="s">
        <v>3973</v>
      </c>
      <c r="B912" s="16" t="n">
        <v>907</v>
      </c>
      <c r="C912" s="16" t="s">
        <v>3974</v>
      </c>
      <c r="D912" s="16" t="n">
        <v>8</v>
      </c>
      <c r="E912" s="39" t="s">
        <v>2080</v>
      </c>
      <c r="F912" s="16" t="s">
        <v>1285</v>
      </c>
      <c r="G912" s="16" t="s">
        <v>322</v>
      </c>
      <c r="H912" s="16" t="s">
        <v>3694</v>
      </c>
      <c r="I912" s="16" t="s">
        <v>86</v>
      </c>
      <c r="J912" s="16" t="s">
        <v>2073</v>
      </c>
      <c r="K912" s="32" t="n">
        <v>1</v>
      </c>
      <c r="L912" s="33" t="n">
        <v>46309</v>
      </c>
      <c r="M912" s="33" t="n">
        <v>46309</v>
      </c>
      <c r="N912" s="16" t="s">
        <v>3975</v>
      </c>
      <c r="O912" s="16"/>
      <c r="P912" s="16" t="str">
        <f aca="false">IF(AND(L912&lt;=$D$2,M912&gt;=$C$2),"Sí","")</f>
        <v>Sí</v>
      </c>
      <c r="Q912" s="18" t="str">
        <f aca="false">IF(COUNTIF(LOOKAHEAD!$A$5:$A$604,A912)&gt;0,"En Lookahead",IF(P912="Sí","INCORPORAR",""))</f>
        <v>En Lookahead</v>
      </c>
    </row>
    <row r="913" customFormat="false" ht="15" hidden="false" customHeight="false" outlineLevel="0" collapsed="false">
      <c r="A913" s="16" t="s">
        <v>3976</v>
      </c>
      <c r="B913" s="16" t="n">
        <v>908</v>
      </c>
      <c r="C913" s="16" t="s">
        <v>3977</v>
      </c>
      <c r="D913" s="16" t="n">
        <v>8</v>
      </c>
      <c r="E913" s="39" t="s">
        <v>1800</v>
      </c>
      <c r="F913" s="16" t="s">
        <v>1285</v>
      </c>
      <c r="G913" s="16" t="s">
        <v>322</v>
      </c>
      <c r="H913" s="16" t="s">
        <v>3694</v>
      </c>
      <c r="I913" s="16" t="s">
        <v>86</v>
      </c>
      <c r="J913" s="16" t="s">
        <v>2073</v>
      </c>
      <c r="K913" s="32" t="n">
        <v>1</v>
      </c>
      <c r="L913" s="33" t="n">
        <v>46308</v>
      </c>
      <c r="M913" s="33" t="n">
        <v>46308</v>
      </c>
      <c r="N913" s="16" t="s">
        <v>3978</v>
      </c>
      <c r="O913" s="16"/>
      <c r="P913" s="16" t="str">
        <f aca="false">IF(AND(L913&lt;=$D$2,M913&gt;=$C$2),"Sí","")</f>
        <v>Sí</v>
      </c>
      <c r="Q913" s="18" t="str">
        <f aca="false">IF(COUNTIF(LOOKAHEAD!$A$5:$A$604,A913)&gt;0,"En Lookahead",IF(P913="Sí","INCORPORAR",""))</f>
        <v>En Lookahead</v>
      </c>
    </row>
    <row r="914" customFormat="false" ht="15" hidden="false" customHeight="false" outlineLevel="0" collapsed="false">
      <c r="A914" s="16" t="s">
        <v>3979</v>
      </c>
      <c r="B914" s="16" t="n">
        <v>909</v>
      </c>
      <c r="C914" s="16" t="s">
        <v>3980</v>
      </c>
      <c r="D914" s="16" t="n">
        <v>8</v>
      </c>
      <c r="E914" s="39" t="s">
        <v>1602</v>
      </c>
      <c r="F914" s="16" t="s">
        <v>1285</v>
      </c>
      <c r="G914" s="16" t="s">
        <v>322</v>
      </c>
      <c r="H914" s="16" t="s">
        <v>3694</v>
      </c>
      <c r="I914" s="16" t="s">
        <v>86</v>
      </c>
      <c r="J914" s="16" t="s">
        <v>2073</v>
      </c>
      <c r="K914" s="32" t="n">
        <v>1</v>
      </c>
      <c r="L914" s="33" t="n">
        <v>46311</v>
      </c>
      <c r="M914" s="33" t="n">
        <v>46311</v>
      </c>
      <c r="N914" s="16" t="s">
        <v>3981</v>
      </c>
      <c r="O914" s="16"/>
      <c r="P914" s="16" t="str">
        <f aca="false">IF(AND(L914&lt;=$D$2,M914&gt;=$C$2),"Sí","")</f>
        <v>Sí</v>
      </c>
      <c r="Q914" s="18" t="str">
        <f aca="false">IF(COUNTIF(LOOKAHEAD!$A$5:$A$604,A914)&gt;0,"En Lookahead",IF(P914="Sí","INCORPORAR",""))</f>
        <v>En Lookahead</v>
      </c>
    </row>
    <row r="915" customFormat="false" ht="15" hidden="false" customHeight="false" outlineLevel="0" collapsed="false">
      <c r="A915" s="13" t="s">
        <v>3982</v>
      </c>
      <c r="B915" s="13" t="n">
        <v>910</v>
      </c>
      <c r="C915" s="13" t="s">
        <v>3983</v>
      </c>
      <c r="D915" s="13" t="n">
        <v>7</v>
      </c>
      <c r="E915" s="38" t="s">
        <v>2054</v>
      </c>
      <c r="F915" s="13" t="s">
        <v>1298</v>
      </c>
      <c r="G915" s="13" t="s">
        <v>322</v>
      </c>
      <c r="H915" s="13" t="s">
        <v>3694</v>
      </c>
      <c r="I915" s="13" t="s">
        <v>86</v>
      </c>
      <c r="J915" s="13" t="s">
        <v>2054</v>
      </c>
      <c r="K915" s="30" t="n">
        <v>6</v>
      </c>
      <c r="L915" s="31" t="n">
        <v>46308</v>
      </c>
      <c r="M915" s="31" t="n">
        <v>46313</v>
      </c>
      <c r="N915" s="13"/>
      <c r="O915" s="13"/>
      <c r="P915" s="13"/>
      <c r="Q915" s="13"/>
    </row>
    <row r="916" customFormat="false" ht="15" hidden="false" customHeight="false" outlineLevel="0" collapsed="false">
      <c r="A916" s="16" t="s">
        <v>3984</v>
      </c>
      <c r="B916" s="16" t="n">
        <v>911</v>
      </c>
      <c r="C916" s="16" t="s">
        <v>3985</v>
      </c>
      <c r="D916" s="16" t="n">
        <v>8</v>
      </c>
      <c r="E916" s="39" t="s">
        <v>2107</v>
      </c>
      <c r="F916" s="16" t="s">
        <v>1285</v>
      </c>
      <c r="G916" s="16" t="s">
        <v>322</v>
      </c>
      <c r="H916" s="16" t="s">
        <v>3694</v>
      </c>
      <c r="I916" s="16" t="s">
        <v>86</v>
      </c>
      <c r="J916" s="16" t="s">
        <v>2054</v>
      </c>
      <c r="K916" s="32" t="n">
        <v>1</v>
      </c>
      <c r="L916" s="33" t="n">
        <v>46312</v>
      </c>
      <c r="M916" s="33" t="n">
        <v>46312</v>
      </c>
      <c r="N916" s="16" t="s">
        <v>3986</v>
      </c>
      <c r="O916" s="16"/>
      <c r="P916" s="16" t="str">
        <f aca="false">IF(AND(L916&lt;=$D$2,M916&gt;=$C$2),"Sí","")</f>
        <v>Sí</v>
      </c>
      <c r="Q916" s="18" t="str">
        <f aca="false">IF(COUNTIF(LOOKAHEAD!$A$5:$A$604,A916)&gt;0,"En Lookahead",IF(P916="Sí","INCORPORAR",""))</f>
        <v>En Lookahead</v>
      </c>
    </row>
    <row r="917" customFormat="false" ht="15" hidden="false" customHeight="false" outlineLevel="0" collapsed="false">
      <c r="A917" s="16" t="s">
        <v>3987</v>
      </c>
      <c r="B917" s="16" t="n">
        <v>912</v>
      </c>
      <c r="C917" s="16" t="s">
        <v>3988</v>
      </c>
      <c r="D917" s="16" t="n">
        <v>8</v>
      </c>
      <c r="E917" s="39" t="s">
        <v>2111</v>
      </c>
      <c r="F917" s="16" t="s">
        <v>1285</v>
      </c>
      <c r="G917" s="16" t="s">
        <v>322</v>
      </c>
      <c r="H917" s="16" t="s">
        <v>3694</v>
      </c>
      <c r="I917" s="16" t="s">
        <v>86</v>
      </c>
      <c r="J917" s="16" t="s">
        <v>2054</v>
      </c>
      <c r="K917" s="32" t="n">
        <v>2</v>
      </c>
      <c r="L917" s="33" t="n">
        <v>46310</v>
      </c>
      <c r="M917" s="33" t="n">
        <v>46311</v>
      </c>
      <c r="N917" s="16" t="s">
        <v>3989</v>
      </c>
      <c r="O917" s="16"/>
      <c r="P917" s="16" t="str">
        <f aca="false">IF(AND(L917&lt;=$D$2,M917&gt;=$C$2),"Sí","")</f>
        <v>Sí</v>
      </c>
      <c r="Q917" s="18" t="str">
        <f aca="false">IF(COUNTIF(LOOKAHEAD!$A$5:$A$604,A917)&gt;0,"En Lookahead",IF(P917="Sí","INCORPORAR",""))</f>
        <v>En Lookahead</v>
      </c>
    </row>
    <row r="918" customFormat="false" ht="15" hidden="false" customHeight="false" outlineLevel="0" collapsed="false">
      <c r="A918" s="16" t="s">
        <v>3990</v>
      </c>
      <c r="B918" s="16" t="n">
        <v>913</v>
      </c>
      <c r="C918" s="16" t="s">
        <v>3991</v>
      </c>
      <c r="D918" s="16" t="n">
        <v>8</v>
      </c>
      <c r="E918" s="39" t="s">
        <v>1800</v>
      </c>
      <c r="F918" s="16" t="s">
        <v>1285</v>
      </c>
      <c r="G918" s="16" t="s">
        <v>322</v>
      </c>
      <c r="H918" s="16" t="s">
        <v>3694</v>
      </c>
      <c r="I918" s="16" t="s">
        <v>86</v>
      </c>
      <c r="J918" s="16" t="s">
        <v>2054</v>
      </c>
      <c r="K918" s="32" t="n">
        <v>2</v>
      </c>
      <c r="L918" s="33" t="n">
        <v>46308</v>
      </c>
      <c r="M918" s="33" t="n">
        <v>46309</v>
      </c>
      <c r="N918" s="16" t="s">
        <v>3952</v>
      </c>
      <c r="O918" s="16"/>
      <c r="P918" s="16" t="str">
        <f aca="false">IF(AND(L918&lt;=$D$2,M918&gt;=$C$2),"Sí","")</f>
        <v>Sí</v>
      </c>
      <c r="Q918" s="18" t="str">
        <f aca="false">IF(COUNTIF(LOOKAHEAD!$A$5:$A$604,A918)&gt;0,"En Lookahead",IF(P918="Sí","INCORPORAR",""))</f>
        <v>En Lookahead</v>
      </c>
    </row>
    <row r="919" customFormat="false" ht="15" hidden="false" customHeight="false" outlineLevel="0" collapsed="false">
      <c r="A919" s="16" t="s">
        <v>3992</v>
      </c>
      <c r="B919" s="16" t="n">
        <v>914</v>
      </c>
      <c r="C919" s="16" t="s">
        <v>3993</v>
      </c>
      <c r="D919" s="16" t="n">
        <v>8</v>
      </c>
      <c r="E919" s="39" t="s">
        <v>1602</v>
      </c>
      <c r="F919" s="16" t="s">
        <v>1285</v>
      </c>
      <c r="G919" s="16" t="s">
        <v>322</v>
      </c>
      <c r="H919" s="16" t="s">
        <v>3694</v>
      </c>
      <c r="I919" s="16" t="s">
        <v>86</v>
      </c>
      <c r="J919" s="16" t="s">
        <v>2054</v>
      </c>
      <c r="K919" s="32" t="n">
        <v>1</v>
      </c>
      <c r="L919" s="33" t="n">
        <v>46313</v>
      </c>
      <c r="M919" s="33" t="n">
        <v>46313</v>
      </c>
      <c r="N919" s="16" t="s">
        <v>3994</v>
      </c>
      <c r="O919" s="16"/>
      <c r="P919" s="16" t="str">
        <f aca="false">IF(AND(L919&lt;=$D$2,M919&gt;=$C$2),"Sí","")</f>
        <v>Sí</v>
      </c>
      <c r="Q919" s="18" t="str">
        <f aca="false">IF(COUNTIF(LOOKAHEAD!$A$5:$A$604,A919)&gt;0,"En Lookahead",IF(P919="Sí","INCORPORAR",""))</f>
        <v>En Lookahead</v>
      </c>
    </row>
    <row r="920" customFormat="false" ht="15" hidden="false" customHeight="false" outlineLevel="0" collapsed="false">
      <c r="A920" s="13" t="s">
        <v>3995</v>
      </c>
      <c r="B920" s="13" t="n">
        <v>915</v>
      </c>
      <c r="C920" s="13" t="s">
        <v>3996</v>
      </c>
      <c r="D920" s="13" t="n">
        <v>6</v>
      </c>
      <c r="E920" s="36" t="s">
        <v>3401</v>
      </c>
      <c r="F920" s="13" t="s">
        <v>1298</v>
      </c>
      <c r="G920" s="13" t="s">
        <v>322</v>
      </c>
      <c r="H920" s="13" t="s">
        <v>3694</v>
      </c>
      <c r="I920" s="13" t="s">
        <v>86</v>
      </c>
      <c r="J920" s="13" t="s">
        <v>1623</v>
      </c>
      <c r="K920" s="30" t="n">
        <v>14</v>
      </c>
      <c r="L920" s="31" t="n">
        <v>46308</v>
      </c>
      <c r="M920" s="31" t="n">
        <v>46321</v>
      </c>
      <c r="N920" s="13"/>
      <c r="O920" s="13"/>
      <c r="P920" s="13"/>
      <c r="Q920" s="13"/>
    </row>
    <row r="921" customFormat="false" ht="15" hidden="false" customHeight="false" outlineLevel="0" collapsed="false">
      <c r="A921" s="16" t="s">
        <v>3997</v>
      </c>
      <c r="B921" s="16" t="n">
        <v>916</v>
      </c>
      <c r="C921" s="16" t="s">
        <v>3998</v>
      </c>
      <c r="D921" s="16" t="n">
        <v>7</v>
      </c>
      <c r="E921" s="37" t="s">
        <v>3404</v>
      </c>
      <c r="F921" s="16" t="s">
        <v>1285</v>
      </c>
      <c r="G921" s="16" t="s">
        <v>322</v>
      </c>
      <c r="H921" s="16" t="s">
        <v>3694</v>
      </c>
      <c r="I921" s="16" t="s">
        <v>86</v>
      </c>
      <c r="J921" s="16" t="s">
        <v>3401</v>
      </c>
      <c r="K921" s="32" t="n">
        <v>1</v>
      </c>
      <c r="L921" s="33" t="n">
        <v>46319</v>
      </c>
      <c r="M921" s="33" t="n">
        <v>46319</v>
      </c>
      <c r="N921" s="16" t="s">
        <v>3999</v>
      </c>
      <c r="O921" s="16"/>
      <c r="P921" s="16" t="str">
        <f aca="false">IF(AND(L921&lt;=$D$2,M921&gt;=$C$2),"Sí","")</f>
        <v>Sí</v>
      </c>
      <c r="Q921" s="18" t="str">
        <f aca="false">IF(COUNTIF(LOOKAHEAD!$A$5:$A$604,A921)&gt;0,"En Lookahead",IF(P921="Sí","INCORPORAR",""))</f>
        <v>En Lookahead</v>
      </c>
    </row>
    <row r="922" customFormat="false" ht="15" hidden="false" customHeight="false" outlineLevel="0" collapsed="false">
      <c r="A922" s="16" t="s">
        <v>4000</v>
      </c>
      <c r="B922" s="16" t="n">
        <v>917</v>
      </c>
      <c r="C922" s="16" t="s">
        <v>4001</v>
      </c>
      <c r="D922" s="16" t="n">
        <v>7</v>
      </c>
      <c r="E922" s="37" t="s">
        <v>3408</v>
      </c>
      <c r="F922" s="16" t="s">
        <v>1285</v>
      </c>
      <c r="G922" s="16" t="s">
        <v>322</v>
      </c>
      <c r="H922" s="16" t="s">
        <v>3694</v>
      </c>
      <c r="I922" s="16" t="s">
        <v>86</v>
      </c>
      <c r="J922" s="16" t="s">
        <v>3401</v>
      </c>
      <c r="K922" s="32" t="n">
        <v>9</v>
      </c>
      <c r="L922" s="33" t="n">
        <v>46310</v>
      </c>
      <c r="M922" s="33" t="n">
        <v>46318</v>
      </c>
      <c r="N922" s="16" t="s">
        <v>4002</v>
      </c>
      <c r="O922" s="16"/>
      <c r="P922" s="16" t="str">
        <f aca="false">IF(AND(L922&lt;=$D$2,M922&gt;=$C$2),"Sí","")</f>
        <v>Sí</v>
      </c>
      <c r="Q922" s="18" t="str">
        <f aca="false">IF(COUNTIF(LOOKAHEAD!$A$5:$A$604,A922)&gt;0,"En Lookahead",IF(P922="Sí","INCORPORAR",""))</f>
        <v>En Lookahead</v>
      </c>
    </row>
    <row r="923" customFormat="false" ht="15" hidden="false" customHeight="false" outlineLevel="0" collapsed="false">
      <c r="A923" s="16" t="s">
        <v>4003</v>
      </c>
      <c r="B923" s="16" t="n">
        <v>918</v>
      </c>
      <c r="C923" s="16" t="s">
        <v>4004</v>
      </c>
      <c r="D923" s="16" t="n">
        <v>7</v>
      </c>
      <c r="E923" s="37" t="s">
        <v>3412</v>
      </c>
      <c r="F923" s="16" t="s">
        <v>1285</v>
      </c>
      <c r="G923" s="16" t="s">
        <v>322</v>
      </c>
      <c r="H923" s="16" t="s">
        <v>3694</v>
      </c>
      <c r="I923" s="16" t="s">
        <v>86</v>
      </c>
      <c r="J923" s="16" t="s">
        <v>3401</v>
      </c>
      <c r="K923" s="32" t="n">
        <v>2</v>
      </c>
      <c r="L923" s="33" t="n">
        <v>46308</v>
      </c>
      <c r="M923" s="33" t="n">
        <v>46309</v>
      </c>
      <c r="N923" s="16" t="s">
        <v>3952</v>
      </c>
      <c r="O923" s="16"/>
      <c r="P923" s="16" t="str">
        <f aca="false">IF(AND(L923&lt;=$D$2,M923&gt;=$C$2),"Sí","")</f>
        <v>Sí</v>
      </c>
      <c r="Q923" s="18" t="str">
        <f aca="false">IF(COUNTIF(LOOKAHEAD!$A$5:$A$604,A923)&gt;0,"En Lookahead",IF(P923="Sí","INCORPORAR",""))</f>
        <v>En Lookahead</v>
      </c>
    </row>
    <row r="924" customFormat="false" ht="15" hidden="false" customHeight="false" outlineLevel="0" collapsed="false">
      <c r="A924" s="16" t="s">
        <v>4005</v>
      </c>
      <c r="B924" s="16" t="n">
        <v>919</v>
      </c>
      <c r="C924" s="16" t="s">
        <v>4006</v>
      </c>
      <c r="D924" s="16" t="n">
        <v>7</v>
      </c>
      <c r="E924" s="37" t="s">
        <v>1602</v>
      </c>
      <c r="F924" s="16" t="s">
        <v>1285</v>
      </c>
      <c r="G924" s="16" t="s">
        <v>322</v>
      </c>
      <c r="H924" s="16" t="s">
        <v>3694</v>
      </c>
      <c r="I924" s="16" t="s">
        <v>86</v>
      </c>
      <c r="J924" s="16" t="s">
        <v>3401</v>
      </c>
      <c r="K924" s="32" t="n">
        <v>2</v>
      </c>
      <c r="L924" s="33" t="n">
        <v>46320</v>
      </c>
      <c r="M924" s="33" t="n">
        <v>46321</v>
      </c>
      <c r="N924" s="16" t="s">
        <v>4007</v>
      </c>
      <c r="O924" s="16"/>
      <c r="P924" s="16" t="str">
        <f aca="false">IF(AND(L924&lt;=$D$2,M924&gt;=$C$2),"Sí","")</f>
        <v>Sí</v>
      </c>
      <c r="Q924" s="18" t="str">
        <f aca="false">IF(COUNTIF(LOOKAHEAD!$A$5:$A$604,A924)&gt;0,"En Lookahead",IF(P924="Sí","INCORPORAR",""))</f>
        <v>En Lookahead</v>
      </c>
    </row>
    <row r="925" customFormat="false" ht="15" hidden="false" customHeight="false" outlineLevel="0" collapsed="false">
      <c r="A925" s="13" t="s">
        <v>4008</v>
      </c>
      <c r="B925" s="13" t="n">
        <v>920</v>
      </c>
      <c r="C925" s="13" t="s">
        <v>4009</v>
      </c>
      <c r="D925" s="13" t="n">
        <v>5</v>
      </c>
      <c r="E925" s="34" t="s">
        <v>2137</v>
      </c>
      <c r="F925" s="13" t="s">
        <v>1298</v>
      </c>
      <c r="G925" s="13" t="s">
        <v>322</v>
      </c>
      <c r="H925" s="13" t="s">
        <v>3694</v>
      </c>
      <c r="I925" s="13" t="s">
        <v>86</v>
      </c>
      <c r="J925" s="13" t="s">
        <v>3694</v>
      </c>
      <c r="K925" s="30" t="n">
        <v>2</v>
      </c>
      <c r="L925" s="31" t="n">
        <v>46322</v>
      </c>
      <c r="M925" s="31" t="n">
        <v>46323</v>
      </c>
      <c r="N925" s="13"/>
      <c r="O925" s="13"/>
      <c r="P925" s="13"/>
      <c r="Q925" s="13"/>
    </row>
    <row r="926" customFormat="false" ht="15" hidden="false" customHeight="false" outlineLevel="0" collapsed="false">
      <c r="A926" s="16" t="s">
        <v>4010</v>
      </c>
      <c r="B926" s="16" t="n">
        <v>921</v>
      </c>
      <c r="C926" s="16" t="s">
        <v>4011</v>
      </c>
      <c r="D926" s="16" t="n">
        <v>6</v>
      </c>
      <c r="E926" s="35" t="s">
        <v>2140</v>
      </c>
      <c r="F926" s="16" t="s">
        <v>1285</v>
      </c>
      <c r="G926" s="16" t="s">
        <v>322</v>
      </c>
      <c r="H926" s="16" t="s">
        <v>3694</v>
      </c>
      <c r="I926" s="16" t="s">
        <v>86</v>
      </c>
      <c r="J926" s="16" t="s">
        <v>2137</v>
      </c>
      <c r="K926" s="32" t="n">
        <v>1</v>
      </c>
      <c r="L926" s="33" t="n">
        <v>46322</v>
      </c>
      <c r="M926" s="33" t="n">
        <v>46322</v>
      </c>
      <c r="N926" s="16" t="s">
        <v>4012</v>
      </c>
      <c r="O926" s="16"/>
      <c r="P926" s="16" t="str">
        <f aca="false">IF(AND(L926&lt;=$D$2,M926&gt;=$C$2),"Sí","")</f>
        <v>Sí</v>
      </c>
      <c r="Q926" s="18" t="str">
        <f aca="false">IF(COUNTIF(LOOKAHEAD!$A$5:$A$604,A926)&gt;0,"En Lookahead",IF(P926="Sí","INCORPORAR",""))</f>
        <v>En Lookahead</v>
      </c>
    </row>
    <row r="927" customFormat="false" ht="15" hidden="false" customHeight="false" outlineLevel="0" collapsed="false">
      <c r="A927" s="16" t="s">
        <v>4013</v>
      </c>
      <c r="B927" s="16" t="n">
        <v>922</v>
      </c>
      <c r="C927" s="16" t="s">
        <v>4014</v>
      </c>
      <c r="D927" s="16" t="n">
        <v>6</v>
      </c>
      <c r="E927" s="35" t="s">
        <v>2144</v>
      </c>
      <c r="F927" s="16" t="s">
        <v>1285</v>
      </c>
      <c r="G927" s="16" t="s">
        <v>322</v>
      </c>
      <c r="H927" s="16" t="s">
        <v>3694</v>
      </c>
      <c r="I927" s="16" t="s">
        <v>86</v>
      </c>
      <c r="J927" s="16" t="s">
        <v>2137</v>
      </c>
      <c r="K927" s="32" t="n">
        <v>1</v>
      </c>
      <c r="L927" s="33" t="n">
        <v>46323</v>
      </c>
      <c r="M927" s="33" t="n">
        <v>46323</v>
      </c>
      <c r="N927" s="16" t="s">
        <v>4015</v>
      </c>
      <c r="O927" s="16"/>
      <c r="P927" s="16" t="str">
        <f aca="false">IF(AND(L927&lt;=$D$2,M927&gt;=$C$2),"Sí","")</f>
        <v>Sí</v>
      </c>
      <c r="Q927" s="18" t="str">
        <f aca="false">IF(COUNTIF(LOOKAHEAD!$A$5:$A$604,A927)&gt;0,"En Lookahead",IF(P927="Sí","INCORPORAR",""))</f>
        <v>En Lookahead</v>
      </c>
    </row>
    <row r="928" customFormat="false" ht="15" hidden="false" customHeight="false" outlineLevel="0" collapsed="false">
      <c r="A928" s="13" t="s">
        <v>4016</v>
      </c>
      <c r="B928" s="13" t="n">
        <v>923</v>
      </c>
      <c r="C928" s="13" t="s">
        <v>4017</v>
      </c>
      <c r="D928" s="13" t="n">
        <v>4</v>
      </c>
      <c r="E928" s="20" t="s">
        <v>4018</v>
      </c>
      <c r="F928" s="13" t="s">
        <v>1298</v>
      </c>
      <c r="G928" s="13" t="s">
        <v>322</v>
      </c>
      <c r="H928" s="13" t="s">
        <v>4018</v>
      </c>
      <c r="I928" s="13" t="s">
        <v>92</v>
      </c>
      <c r="J928" s="13" t="s">
        <v>1528</v>
      </c>
      <c r="K928" s="30" t="n">
        <v>264</v>
      </c>
      <c r="L928" s="31" t="n">
        <v>46246</v>
      </c>
      <c r="M928" s="31" t="n">
        <v>46509</v>
      </c>
      <c r="N928" s="13"/>
      <c r="O928" s="13" t="s">
        <v>1299</v>
      </c>
      <c r="P928" s="13"/>
      <c r="Q928" s="13"/>
    </row>
    <row r="929" customFormat="false" ht="15" hidden="false" customHeight="false" outlineLevel="0" collapsed="false">
      <c r="A929" s="13" t="s">
        <v>4019</v>
      </c>
      <c r="B929" s="13" t="n">
        <v>924</v>
      </c>
      <c r="C929" s="13" t="s">
        <v>4020</v>
      </c>
      <c r="D929" s="13" t="n">
        <v>5</v>
      </c>
      <c r="E929" s="34" t="s">
        <v>1534</v>
      </c>
      <c r="F929" s="13" t="s">
        <v>1298</v>
      </c>
      <c r="G929" s="13" t="s">
        <v>322</v>
      </c>
      <c r="H929" s="13" t="s">
        <v>4018</v>
      </c>
      <c r="I929" s="13" t="s">
        <v>92</v>
      </c>
      <c r="J929" s="13" t="s">
        <v>4018</v>
      </c>
      <c r="K929" s="30" t="n">
        <v>125</v>
      </c>
      <c r="L929" s="31" t="n">
        <v>46246</v>
      </c>
      <c r="M929" s="31" t="n">
        <v>46370</v>
      </c>
      <c r="N929" s="13"/>
      <c r="O929" s="13" t="s">
        <v>1299</v>
      </c>
      <c r="P929" s="13"/>
      <c r="Q929" s="13"/>
    </row>
    <row r="930" customFormat="false" ht="15" hidden="false" customHeight="false" outlineLevel="0" collapsed="false">
      <c r="A930" s="16" t="s">
        <v>4021</v>
      </c>
      <c r="B930" s="16" t="n">
        <v>925</v>
      </c>
      <c r="C930" s="16" t="s">
        <v>4022</v>
      </c>
      <c r="D930" s="16" t="n">
        <v>6</v>
      </c>
      <c r="E930" s="35" t="s">
        <v>1537</v>
      </c>
      <c r="F930" s="16" t="s">
        <v>1285</v>
      </c>
      <c r="G930" s="16" t="s">
        <v>322</v>
      </c>
      <c r="H930" s="16" t="s">
        <v>4018</v>
      </c>
      <c r="I930" s="16" t="s">
        <v>92</v>
      </c>
      <c r="J930" s="16" t="s">
        <v>1534</v>
      </c>
      <c r="K930" s="32" t="n">
        <v>2</v>
      </c>
      <c r="L930" s="33" t="n">
        <v>46246</v>
      </c>
      <c r="M930" s="33" t="n">
        <v>46247</v>
      </c>
      <c r="N930" s="16" t="s">
        <v>4023</v>
      </c>
      <c r="O930" s="16" t="s">
        <v>1299</v>
      </c>
      <c r="P930" s="16" t="str">
        <f aca="false">IF(AND(L930&lt;=$D$2,M930&gt;=$C$2),"Sí","")</f>
        <v/>
      </c>
      <c r="Q930" s="18" t="str">
        <f aca="false">IF(COUNTIF(LOOKAHEAD!$A$5:$A$604,A930)&gt;0,"En Lookahead",IF(P930="Sí","INCORPORAR",""))</f>
        <v/>
      </c>
    </row>
    <row r="931" customFormat="false" ht="15" hidden="false" customHeight="false" outlineLevel="0" collapsed="false">
      <c r="A931" s="16" t="s">
        <v>4024</v>
      </c>
      <c r="B931" s="16" t="n">
        <v>926</v>
      </c>
      <c r="C931" s="16" t="s">
        <v>4025</v>
      </c>
      <c r="D931" s="16" t="n">
        <v>6</v>
      </c>
      <c r="E931" s="35" t="s">
        <v>1541</v>
      </c>
      <c r="F931" s="16" t="s">
        <v>1285</v>
      </c>
      <c r="G931" s="16" t="s">
        <v>322</v>
      </c>
      <c r="H931" s="16" t="s">
        <v>4018</v>
      </c>
      <c r="I931" s="16" t="s">
        <v>92</v>
      </c>
      <c r="J931" s="16" t="s">
        <v>1534</v>
      </c>
      <c r="K931" s="32" t="n">
        <v>2</v>
      </c>
      <c r="L931" s="33" t="n">
        <v>46248</v>
      </c>
      <c r="M931" s="33" t="n">
        <v>46249</v>
      </c>
      <c r="N931" s="16" t="s">
        <v>4026</v>
      </c>
      <c r="O931" s="16" t="s">
        <v>1299</v>
      </c>
      <c r="P931" s="16" t="str">
        <f aca="false">IF(AND(L931&lt;=$D$2,M931&gt;=$C$2),"Sí","")</f>
        <v/>
      </c>
      <c r="Q931" s="18" t="str">
        <f aca="false">IF(COUNTIF(LOOKAHEAD!$A$5:$A$604,A931)&gt;0,"En Lookahead",IF(P931="Sí","INCORPORAR",""))</f>
        <v/>
      </c>
    </row>
    <row r="932" customFormat="false" ht="15" hidden="false" customHeight="false" outlineLevel="0" collapsed="false">
      <c r="A932" s="16" t="s">
        <v>4027</v>
      </c>
      <c r="B932" s="16" t="n">
        <v>927</v>
      </c>
      <c r="C932" s="16" t="s">
        <v>4028</v>
      </c>
      <c r="D932" s="16" t="n">
        <v>6</v>
      </c>
      <c r="E932" s="35" t="s">
        <v>1545</v>
      </c>
      <c r="F932" s="16" t="s">
        <v>1285</v>
      </c>
      <c r="G932" s="16" t="s">
        <v>322</v>
      </c>
      <c r="H932" s="16" t="s">
        <v>4018</v>
      </c>
      <c r="I932" s="16" t="s">
        <v>92</v>
      </c>
      <c r="J932" s="16" t="s">
        <v>1534</v>
      </c>
      <c r="K932" s="32" t="n">
        <v>1</v>
      </c>
      <c r="L932" s="33" t="n">
        <v>46250</v>
      </c>
      <c r="M932" s="33" t="n">
        <v>46250</v>
      </c>
      <c r="N932" s="16" t="s">
        <v>4029</v>
      </c>
      <c r="O932" s="16"/>
      <c r="P932" s="16" t="str">
        <f aca="false">IF(AND(L932&lt;=$D$2,M932&gt;=$C$2),"Sí","")</f>
        <v/>
      </c>
      <c r="Q932" s="18" t="str">
        <f aca="false">IF(COUNTIF(LOOKAHEAD!$A$5:$A$604,A932)&gt;0,"En Lookahead",IF(P932="Sí","INCORPORAR",""))</f>
        <v/>
      </c>
    </row>
    <row r="933" customFormat="false" ht="15" hidden="false" customHeight="false" outlineLevel="0" collapsed="false">
      <c r="A933" s="16" t="s">
        <v>4030</v>
      </c>
      <c r="B933" s="16" t="n">
        <v>928</v>
      </c>
      <c r="C933" s="16" t="s">
        <v>4031</v>
      </c>
      <c r="D933" s="16" t="n">
        <v>6</v>
      </c>
      <c r="E933" s="35" t="s">
        <v>1549</v>
      </c>
      <c r="F933" s="16" t="s">
        <v>1285</v>
      </c>
      <c r="G933" s="16" t="s">
        <v>322</v>
      </c>
      <c r="H933" s="16" t="s">
        <v>4018</v>
      </c>
      <c r="I933" s="16" t="s">
        <v>92</v>
      </c>
      <c r="J933" s="16" t="s">
        <v>1534</v>
      </c>
      <c r="K933" s="32" t="n">
        <v>2</v>
      </c>
      <c r="L933" s="33" t="n">
        <v>46251</v>
      </c>
      <c r="M933" s="33" t="n">
        <v>46252</v>
      </c>
      <c r="N933" s="16" t="s">
        <v>4032</v>
      </c>
      <c r="O933" s="16"/>
      <c r="P933" s="16" t="str">
        <f aca="false">IF(AND(L933&lt;=$D$2,M933&gt;=$C$2),"Sí","")</f>
        <v/>
      </c>
      <c r="Q933" s="18" t="str">
        <f aca="false">IF(COUNTIF(LOOKAHEAD!$A$5:$A$604,A933)&gt;0,"En Lookahead",IF(P933="Sí","INCORPORAR",""))</f>
        <v/>
      </c>
    </row>
    <row r="934" customFormat="false" ht="15" hidden="false" customHeight="false" outlineLevel="0" collapsed="false">
      <c r="A934" s="16" t="s">
        <v>4033</v>
      </c>
      <c r="B934" s="16" t="n">
        <v>929</v>
      </c>
      <c r="C934" s="16" t="s">
        <v>4034</v>
      </c>
      <c r="D934" s="16" t="n">
        <v>6</v>
      </c>
      <c r="E934" s="35" t="s">
        <v>1553</v>
      </c>
      <c r="F934" s="16" t="s">
        <v>1285</v>
      </c>
      <c r="G934" s="16" t="s">
        <v>322</v>
      </c>
      <c r="H934" s="16" t="s">
        <v>4018</v>
      </c>
      <c r="I934" s="16" t="s">
        <v>92</v>
      </c>
      <c r="J934" s="16" t="s">
        <v>1534</v>
      </c>
      <c r="K934" s="32" t="n">
        <v>21</v>
      </c>
      <c r="L934" s="33" t="n">
        <v>46259</v>
      </c>
      <c r="M934" s="33" t="n">
        <v>46279</v>
      </c>
      <c r="N934" s="16" t="s">
        <v>4035</v>
      </c>
      <c r="O934" s="16"/>
      <c r="P934" s="16" t="str">
        <f aca="false">IF(AND(L934&lt;=$D$2,M934&gt;=$C$2),"Sí","")</f>
        <v/>
      </c>
      <c r="Q934" s="18" t="str">
        <f aca="false">IF(COUNTIF(LOOKAHEAD!$A$5:$A$604,A934)&gt;0,"En Lookahead",IF(P934="Sí","INCORPORAR",""))</f>
        <v/>
      </c>
    </row>
    <row r="935" customFormat="false" ht="15" hidden="false" customHeight="false" outlineLevel="0" collapsed="false">
      <c r="A935" s="16" t="s">
        <v>4036</v>
      </c>
      <c r="B935" s="16" t="n">
        <v>930</v>
      </c>
      <c r="C935" s="16" t="s">
        <v>4037</v>
      </c>
      <c r="D935" s="16" t="n">
        <v>6</v>
      </c>
      <c r="E935" s="35" t="s">
        <v>1557</v>
      </c>
      <c r="F935" s="16" t="s">
        <v>1285</v>
      </c>
      <c r="G935" s="16" t="s">
        <v>322</v>
      </c>
      <c r="H935" s="16" t="s">
        <v>4018</v>
      </c>
      <c r="I935" s="16" t="s">
        <v>92</v>
      </c>
      <c r="J935" s="16" t="s">
        <v>1534</v>
      </c>
      <c r="K935" s="32" t="n">
        <v>115</v>
      </c>
      <c r="L935" s="33" t="n">
        <v>46251</v>
      </c>
      <c r="M935" s="33" t="n">
        <v>46365</v>
      </c>
      <c r="N935" s="16" t="s">
        <v>4032</v>
      </c>
      <c r="O935" s="16"/>
      <c r="P935" s="16" t="str">
        <f aca="false">IF(AND(L935&lt;=$D$2,M935&gt;=$C$2),"Sí","")</f>
        <v>Sí</v>
      </c>
      <c r="Q935" s="18" t="str">
        <f aca="false">IF(COUNTIF(LOOKAHEAD!$A$5:$A$604,A935)&gt;0,"En Lookahead",IF(P935="Sí","INCORPORAR",""))</f>
        <v>En Lookahead</v>
      </c>
    </row>
    <row r="936" customFormat="false" ht="15" hidden="false" customHeight="false" outlineLevel="0" collapsed="false">
      <c r="A936" s="16" t="s">
        <v>4038</v>
      </c>
      <c r="B936" s="16" t="n">
        <v>931</v>
      </c>
      <c r="C936" s="16" t="s">
        <v>4039</v>
      </c>
      <c r="D936" s="16" t="n">
        <v>6</v>
      </c>
      <c r="E936" s="35" t="s">
        <v>1560</v>
      </c>
      <c r="F936" s="16" t="s">
        <v>1285</v>
      </c>
      <c r="G936" s="16" t="s">
        <v>322</v>
      </c>
      <c r="H936" s="16" t="s">
        <v>4018</v>
      </c>
      <c r="I936" s="16" t="s">
        <v>92</v>
      </c>
      <c r="J936" s="16" t="s">
        <v>1534</v>
      </c>
      <c r="K936" s="32" t="n">
        <v>5</v>
      </c>
      <c r="L936" s="33" t="n">
        <v>46366</v>
      </c>
      <c r="M936" s="33" t="n">
        <v>46370</v>
      </c>
      <c r="N936" s="16" t="s">
        <v>4040</v>
      </c>
      <c r="O936" s="16"/>
      <c r="P936" s="16" t="str">
        <f aca="false">IF(AND(L936&lt;=$D$2,M936&gt;=$C$2),"Sí","")</f>
        <v/>
      </c>
      <c r="Q936" s="18" t="str">
        <f aca="false">IF(COUNTIF(LOOKAHEAD!$A$5:$A$604,A936)&gt;0,"En Lookahead",IF(P936="Sí","INCORPORAR",""))</f>
        <v/>
      </c>
    </row>
    <row r="937" customFormat="false" ht="15" hidden="false" customHeight="false" outlineLevel="0" collapsed="false">
      <c r="A937" s="16" t="s">
        <v>4041</v>
      </c>
      <c r="B937" s="16" t="n">
        <v>932</v>
      </c>
      <c r="C937" s="16" t="s">
        <v>4042</v>
      </c>
      <c r="D937" s="16" t="n">
        <v>6</v>
      </c>
      <c r="E937" s="35" t="s">
        <v>1564</v>
      </c>
      <c r="F937" s="16" t="s">
        <v>1285</v>
      </c>
      <c r="G937" s="16" t="s">
        <v>322</v>
      </c>
      <c r="H937" s="16" t="s">
        <v>4018</v>
      </c>
      <c r="I937" s="16" t="s">
        <v>92</v>
      </c>
      <c r="J937" s="16" t="s">
        <v>1534</v>
      </c>
      <c r="K937" s="32" t="n">
        <v>6</v>
      </c>
      <c r="L937" s="33" t="n">
        <v>46250</v>
      </c>
      <c r="M937" s="33" t="n">
        <v>46255</v>
      </c>
      <c r="N937" s="16" t="s">
        <v>4029</v>
      </c>
      <c r="O937" s="16" t="s">
        <v>1299</v>
      </c>
      <c r="P937" s="16" t="str">
        <f aca="false">IF(AND(L937&lt;=$D$2,M937&gt;=$C$2),"Sí","")</f>
        <v/>
      </c>
      <c r="Q937" s="18" t="str">
        <f aca="false">IF(COUNTIF(LOOKAHEAD!$A$5:$A$604,A937)&gt;0,"En Lookahead",IF(P937="Sí","INCORPORAR",""))</f>
        <v/>
      </c>
    </row>
    <row r="938" customFormat="false" ht="15" hidden="false" customHeight="false" outlineLevel="0" collapsed="false">
      <c r="A938" s="16" t="s">
        <v>4043</v>
      </c>
      <c r="B938" s="16" t="n">
        <v>933</v>
      </c>
      <c r="C938" s="16" t="s">
        <v>4044</v>
      </c>
      <c r="D938" s="16" t="n">
        <v>6</v>
      </c>
      <c r="E938" s="35" t="s">
        <v>1567</v>
      </c>
      <c r="F938" s="16" t="s">
        <v>1285</v>
      </c>
      <c r="G938" s="16" t="s">
        <v>322</v>
      </c>
      <c r="H938" s="16" t="s">
        <v>4018</v>
      </c>
      <c r="I938" s="16" t="s">
        <v>92</v>
      </c>
      <c r="J938" s="16" t="s">
        <v>1534</v>
      </c>
      <c r="K938" s="32" t="n">
        <v>6</v>
      </c>
      <c r="L938" s="33" t="n">
        <v>46280</v>
      </c>
      <c r="M938" s="33" t="n">
        <v>46285</v>
      </c>
      <c r="N938" s="16" t="s">
        <v>4045</v>
      </c>
      <c r="O938" s="16"/>
      <c r="P938" s="16" t="str">
        <f aca="false">IF(AND(L938&lt;=$D$2,M938&gt;=$C$2),"Sí","")</f>
        <v/>
      </c>
      <c r="Q938" s="18" t="str">
        <f aca="false">IF(COUNTIF(LOOKAHEAD!$A$5:$A$604,A938)&gt;0,"En Lookahead",IF(P938="Sí","INCORPORAR",""))</f>
        <v/>
      </c>
    </row>
    <row r="939" customFormat="false" ht="15" hidden="false" customHeight="false" outlineLevel="0" collapsed="false">
      <c r="A939" s="13" t="s">
        <v>4046</v>
      </c>
      <c r="B939" s="13" t="n">
        <v>934</v>
      </c>
      <c r="C939" s="13" t="s">
        <v>4047</v>
      </c>
      <c r="D939" s="13" t="n">
        <v>5</v>
      </c>
      <c r="E939" s="34" t="s">
        <v>1571</v>
      </c>
      <c r="F939" s="13" t="s">
        <v>1298</v>
      </c>
      <c r="G939" s="13" t="s">
        <v>322</v>
      </c>
      <c r="H939" s="13" t="s">
        <v>4018</v>
      </c>
      <c r="I939" s="13" t="s">
        <v>92</v>
      </c>
      <c r="J939" s="13" t="s">
        <v>4018</v>
      </c>
      <c r="K939" s="30" t="n">
        <v>13</v>
      </c>
      <c r="L939" s="31" t="n">
        <v>46256</v>
      </c>
      <c r="M939" s="31" t="n">
        <v>46268</v>
      </c>
      <c r="N939" s="13"/>
      <c r="O939" s="13" t="s">
        <v>1299</v>
      </c>
      <c r="P939" s="13"/>
      <c r="Q939" s="13"/>
    </row>
    <row r="940" customFormat="false" ht="15" hidden="false" customHeight="false" outlineLevel="0" collapsed="false">
      <c r="A940" s="13" t="s">
        <v>4048</v>
      </c>
      <c r="B940" s="13" t="n">
        <v>935</v>
      </c>
      <c r="C940" s="13" t="s">
        <v>4049</v>
      </c>
      <c r="D940" s="13" t="n">
        <v>6</v>
      </c>
      <c r="E940" s="36" t="s">
        <v>1581</v>
      </c>
      <c r="F940" s="13" t="s">
        <v>1298</v>
      </c>
      <c r="G940" s="13" t="s">
        <v>322</v>
      </c>
      <c r="H940" s="13" t="s">
        <v>4018</v>
      </c>
      <c r="I940" s="13" t="s">
        <v>92</v>
      </c>
      <c r="J940" s="13" t="s">
        <v>1571</v>
      </c>
      <c r="K940" s="30" t="n">
        <v>2</v>
      </c>
      <c r="L940" s="31" t="n">
        <v>46256</v>
      </c>
      <c r="M940" s="31" t="n">
        <v>46257</v>
      </c>
      <c r="N940" s="13"/>
      <c r="O940" s="13" t="s">
        <v>1299</v>
      </c>
      <c r="P940" s="13"/>
      <c r="Q940" s="13"/>
    </row>
    <row r="941" customFormat="false" ht="15" hidden="false" customHeight="false" outlineLevel="0" collapsed="false">
      <c r="A941" s="16" t="s">
        <v>4050</v>
      </c>
      <c r="B941" s="16" t="n">
        <v>936</v>
      </c>
      <c r="C941" s="16" t="s">
        <v>4051</v>
      </c>
      <c r="D941" s="16" t="n">
        <v>7</v>
      </c>
      <c r="E941" s="37" t="s">
        <v>1584</v>
      </c>
      <c r="F941" s="16" t="s">
        <v>1285</v>
      </c>
      <c r="G941" s="16" t="s">
        <v>322</v>
      </c>
      <c r="H941" s="16" t="s">
        <v>4018</v>
      </c>
      <c r="I941" s="16" t="s">
        <v>92</v>
      </c>
      <c r="J941" s="16" t="s">
        <v>1581</v>
      </c>
      <c r="K941" s="32" t="n">
        <v>1</v>
      </c>
      <c r="L941" s="33" t="n">
        <v>46256</v>
      </c>
      <c r="M941" s="33" t="n">
        <v>46256</v>
      </c>
      <c r="N941" s="16" t="s">
        <v>4052</v>
      </c>
      <c r="O941" s="16" t="s">
        <v>1299</v>
      </c>
      <c r="P941" s="16" t="str">
        <f aca="false">IF(AND(L941&lt;=$D$2,M941&gt;=$C$2),"Sí","")</f>
        <v/>
      </c>
      <c r="Q941" s="18" t="str">
        <f aca="false">IF(COUNTIF(LOOKAHEAD!$A$5:$A$604,A941)&gt;0,"En Lookahead",IF(P941="Sí","INCORPORAR",""))</f>
        <v/>
      </c>
    </row>
    <row r="942" customFormat="false" ht="15" hidden="false" customHeight="false" outlineLevel="0" collapsed="false">
      <c r="A942" s="16" t="s">
        <v>4053</v>
      </c>
      <c r="B942" s="16" t="n">
        <v>937</v>
      </c>
      <c r="C942" s="16" t="s">
        <v>4054</v>
      </c>
      <c r="D942" s="16" t="n">
        <v>7</v>
      </c>
      <c r="E942" s="37" t="s">
        <v>1588</v>
      </c>
      <c r="F942" s="16" t="s">
        <v>1285</v>
      </c>
      <c r="G942" s="16" t="s">
        <v>322</v>
      </c>
      <c r="H942" s="16" t="s">
        <v>4018</v>
      </c>
      <c r="I942" s="16" t="s">
        <v>92</v>
      </c>
      <c r="J942" s="16" t="s">
        <v>1581</v>
      </c>
      <c r="K942" s="32" t="n">
        <v>1</v>
      </c>
      <c r="L942" s="33" t="n">
        <v>46257</v>
      </c>
      <c r="M942" s="33" t="n">
        <v>46257</v>
      </c>
      <c r="N942" s="16" t="s">
        <v>4055</v>
      </c>
      <c r="O942" s="16"/>
      <c r="P942" s="16" t="str">
        <f aca="false">IF(AND(L942&lt;=$D$2,M942&gt;=$C$2),"Sí","")</f>
        <v/>
      </c>
      <c r="Q942" s="18" t="str">
        <f aca="false">IF(COUNTIF(LOOKAHEAD!$A$5:$A$604,A942)&gt;0,"En Lookahead",IF(P942="Sí","INCORPORAR",""))</f>
        <v/>
      </c>
    </row>
    <row r="943" customFormat="false" ht="15" hidden="false" customHeight="false" outlineLevel="0" collapsed="false">
      <c r="A943" s="13" t="s">
        <v>4056</v>
      </c>
      <c r="B943" s="13" t="n">
        <v>938</v>
      </c>
      <c r="C943" s="13" t="s">
        <v>4057</v>
      </c>
      <c r="D943" s="13" t="n">
        <v>6</v>
      </c>
      <c r="E943" s="36" t="s">
        <v>1592</v>
      </c>
      <c r="F943" s="13" t="s">
        <v>1298</v>
      </c>
      <c r="G943" s="13" t="s">
        <v>322</v>
      </c>
      <c r="H943" s="13" t="s">
        <v>4018</v>
      </c>
      <c r="I943" s="13" t="s">
        <v>92</v>
      </c>
      <c r="J943" s="13" t="s">
        <v>1571</v>
      </c>
      <c r="K943" s="30" t="n">
        <v>3</v>
      </c>
      <c r="L943" s="31" t="n">
        <v>46257</v>
      </c>
      <c r="M943" s="31" t="n">
        <v>46259</v>
      </c>
      <c r="N943" s="13"/>
      <c r="O943" s="13" t="s">
        <v>1299</v>
      </c>
      <c r="P943" s="13"/>
      <c r="Q943" s="13"/>
    </row>
    <row r="944" customFormat="false" ht="15" hidden="false" customHeight="false" outlineLevel="0" collapsed="false">
      <c r="A944" s="16" t="s">
        <v>4058</v>
      </c>
      <c r="B944" s="16" t="n">
        <v>939</v>
      </c>
      <c r="C944" s="16" t="s">
        <v>4059</v>
      </c>
      <c r="D944" s="16" t="n">
        <v>7</v>
      </c>
      <c r="E944" s="37" t="s">
        <v>1595</v>
      </c>
      <c r="F944" s="16" t="s">
        <v>1285</v>
      </c>
      <c r="G944" s="16" t="s">
        <v>322</v>
      </c>
      <c r="H944" s="16" t="s">
        <v>4018</v>
      </c>
      <c r="I944" s="16" t="s">
        <v>92</v>
      </c>
      <c r="J944" s="16" t="s">
        <v>1592</v>
      </c>
      <c r="K944" s="32" t="n">
        <v>1</v>
      </c>
      <c r="L944" s="33" t="n">
        <v>46258</v>
      </c>
      <c r="M944" s="33" t="n">
        <v>46258</v>
      </c>
      <c r="N944" s="16" t="s">
        <v>4060</v>
      </c>
      <c r="O944" s="16" t="s">
        <v>1299</v>
      </c>
      <c r="P944" s="16" t="str">
        <f aca="false">IF(AND(L944&lt;=$D$2,M944&gt;=$C$2),"Sí","")</f>
        <v/>
      </c>
      <c r="Q944" s="18" t="str">
        <f aca="false">IF(COUNTIF(LOOKAHEAD!$A$5:$A$604,A944)&gt;0,"En Lookahead",IF(P944="Sí","INCORPORAR",""))</f>
        <v/>
      </c>
    </row>
    <row r="945" customFormat="false" ht="15" hidden="false" customHeight="false" outlineLevel="0" collapsed="false">
      <c r="A945" s="16" t="s">
        <v>4061</v>
      </c>
      <c r="B945" s="16" t="n">
        <v>940</v>
      </c>
      <c r="C945" s="16" t="s">
        <v>4062</v>
      </c>
      <c r="D945" s="16" t="n">
        <v>7</v>
      </c>
      <c r="E945" s="37" t="s">
        <v>1588</v>
      </c>
      <c r="F945" s="16" t="s">
        <v>1285</v>
      </c>
      <c r="G945" s="16" t="s">
        <v>322</v>
      </c>
      <c r="H945" s="16" t="s">
        <v>4018</v>
      </c>
      <c r="I945" s="16" t="s">
        <v>92</v>
      </c>
      <c r="J945" s="16" t="s">
        <v>1592</v>
      </c>
      <c r="K945" s="32" t="n">
        <v>1</v>
      </c>
      <c r="L945" s="33" t="n">
        <v>46257</v>
      </c>
      <c r="M945" s="33" t="n">
        <v>46257</v>
      </c>
      <c r="N945" s="16" t="s">
        <v>4055</v>
      </c>
      <c r="O945" s="16" t="s">
        <v>1299</v>
      </c>
      <c r="P945" s="16" t="str">
        <f aca="false">IF(AND(L945&lt;=$D$2,M945&gt;=$C$2),"Sí","")</f>
        <v/>
      </c>
      <c r="Q945" s="18" t="str">
        <f aca="false">IF(COUNTIF(LOOKAHEAD!$A$5:$A$604,A945)&gt;0,"En Lookahead",IF(P945="Sí","INCORPORAR",""))</f>
        <v/>
      </c>
    </row>
    <row r="946" customFormat="false" ht="15" hidden="false" customHeight="false" outlineLevel="0" collapsed="false">
      <c r="A946" s="16" t="s">
        <v>4063</v>
      </c>
      <c r="B946" s="16" t="n">
        <v>941</v>
      </c>
      <c r="C946" s="16" t="s">
        <v>4064</v>
      </c>
      <c r="D946" s="16" t="n">
        <v>7</v>
      </c>
      <c r="E946" s="37" t="s">
        <v>1602</v>
      </c>
      <c r="F946" s="16" t="s">
        <v>1285</v>
      </c>
      <c r="G946" s="16" t="s">
        <v>322</v>
      </c>
      <c r="H946" s="16" t="s">
        <v>4018</v>
      </c>
      <c r="I946" s="16" t="s">
        <v>92</v>
      </c>
      <c r="J946" s="16" t="s">
        <v>1592</v>
      </c>
      <c r="K946" s="32" t="n">
        <v>1</v>
      </c>
      <c r="L946" s="33" t="n">
        <v>46259</v>
      </c>
      <c r="M946" s="33" t="n">
        <v>46259</v>
      </c>
      <c r="N946" s="16" t="s">
        <v>4035</v>
      </c>
      <c r="O946" s="16"/>
      <c r="P946" s="16" t="str">
        <f aca="false">IF(AND(L946&lt;=$D$2,M946&gt;=$C$2),"Sí","")</f>
        <v/>
      </c>
      <c r="Q946" s="18" t="str">
        <f aca="false">IF(COUNTIF(LOOKAHEAD!$A$5:$A$604,A946)&gt;0,"En Lookahead",IF(P946="Sí","INCORPORAR",""))</f>
        <v/>
      </c>
    </row>
    <row r="947" customFormat="false" ht="15" hidden="false" customHeight="false" outlineLevel="0" collapsed="false">
      <c r="A947" s="13" t="s">
        <v>4065</v>
      </c>
      <c r="B947" s="13" t="n">
        <v>942</v>
      </c>
      <c r="C947" s="13" t="s">
        <v>4066</v>
      </c>
      <c r="D947" s="13" t="n">
        <v>6</v>
      </c>
      <c r="E947" s="36" t="s">
        <v>1606</v>
      </c>
      <c r="F947" s="13" t="s">
        <v>1298</v>
      </c>
      <c r="G947" s="13" t="s">
        <v>322</v>
      </c>
      <c r="H947" s="13" t="s">
        <v>4018</v>
      </c>
      <c r="I947" s="13" t="s">
        <v>92</v>
      </c>
      <c r="J947" s="13" t="s">
        <v>1571</v>
      </c>
      <c r="K947" s="30" t="n">
        <v>10</v>
      </c>
      <c r="L947" s="31" t="n">
        <v>46259</v>
      </c>
      <c r="M947" s="31" t="n">
        <v>46268</v>
      </c>
      <c r="N947" s="13"/>
      <c r="O947" s="13" t="s">
        <v>1299</v>
      </c>
      <c r="P947" s="13"/>
      <c r="Q947" s="13"/>
    </row>
    <row r="948" customFormat="false" ht="15" hidden="false" customHeight="false" outlineLevel="0" collapsed="false">
      <c r="A948" s="16" t="s">
        <v>4067</v>
      </c>
      <c r="B948" s="16" t="n">
        <v>943</v>
      </c>
      <c r="C948" s="16" t="s">
        <v>4068</v>
      </c>
      <c r="D948" s="16" t="n">
        <v>7</v>
      </c>
      <c r="E948" s="37" t="s">
        <v>1609</v>
      </c>
      <c r="F948" s="16" t="s">
        <v>1285</v>
      </c>
      <c r="G948" s="16" t="s">
        <v>322</v>
      </c>
      <c r="H948" s="16" t="s">
        <v>4018</v>
      </c>
      <c r="I948" s="16" t="s">
        <v>92</v>
      </c>
      <c r="J948" s="16" t="s">
        <v>1606</v>
      </c>
      <c r="K948" s="32" t="n">
        <v>4</v>
      </c>
      <c r="L948" s="33" t="n">
        <v>46259</v>
      </c>
      <c r="M948" s="33" t="n">
        <v>46262</v>
      </c>
      <c r="N948" s="16" t="s">
        <v>4035</v>
      </c>
      <c r="O948" s="16" t="s">
        <v>1299</v>
      </c>
      <c r="P948" s="16" t="str">
        <f aca="false">IF(AND(L948&lt;=$D$2,M948&gt;=$C$2),"Sí","")</f>
        <v/>
      </c>
      <c r="Q948" s="18" t="str">
        <f aca="false">IF(COUNTIF(LOOKAHEAD!$A$5:$A$604,A948)&gt;0,"En Lookahead",IF(P948="Sí","INCORPORAR",""))</f>
        <v/>
      </c>
    </row>
    <row r="949" customFormat="false" ht="15" hidden="false" customHeight="false" outlineLevel="0" collapsed="false">
      <c r="A949" s="16" t="s">
        <v>4069</v>
      </c>
      <c r="B949" s="16" t="n">
        <v>944</v>
      </c>
      <c r="C949" s="16" t="s">
        <v>4070</v>
      </c>
      <c r="D949" s="16" t="n">
        <v>7</v>
      </c>
      <c r="E949" s="37" t="s">
        <v>1588</v>
      </c>
      <c r="F949" s="16" t="s">
        <v>1285</v>
      </c>
      <c r="G949" s="16" t="s">
        <v>322</v>
      </c>
      <c r="H949" s="16" t="s">
        <v>4018</v>
      </c>
      <c r="I949" s="16" t="s">
        <v>92</v>
      </c>
      <c r="J949" s="16" t="s">
        <v>1606</v>
      </c>
      <c r="K949" s="32" t="n">
        <v>6</v>
      </c>
      <c r="L949" s="33" t="n">
        <v>46263</v>
      </c>
      <c r="M949" s="33" t="n">
        <v>46268</v>
      </c>
      <c r="N949" s="16" t="s">
        <v>4071</v>
      </c>
      <c r="O949" s="16"/>
      <c r="P949" s="16" t="str">
        <f aca="false">IF(AND(L949&lt;=$D$2,M949&gt;=$C$2),"Sí","")</f>
        <v/>
      </c>
      <c r="Q949" s="18" t="str">
        <f aca="false">IF(COUNTIF(LOOKAHEAD!$A$5:$A$604,A949)&gt;0,"En Lookahead",IF(P949="Sí","INCORPORAR",""))</f>
        <v/>
      </c>
    </row>
    <row r="950" customFormat="false" ht="15" hidden="false" customHeight="false" outlineLevel="0" collapsed="false">
      <c r="A950" s="13" t="s">
        <v>4072</v>
      </c>
      <c r="B950" s="13" t="n">
        <v>945</v>
      </c>
      <c r="C950" s="13" t="s">
        <v>4073</v>
      </c>
      <c r="D950" s="13" t="n">
        <v>6</v>
      </c>
      <c r="E950" s="36" t="s">
        <v>1616</v>
      </c>
      <c r="F950" s="13" t="s">
        <v>1298</v>
      </c>
      <c r="G950" s="13" t="s">
        <v>322</v>
      </c>
      <c r="H950" s="13" t="s">
        <v>4018</v>
      </c>
      <c r="I950" s="13" t="s">
        <v>92</v>
      </c>
      <c r="J950" s="13" t="s">
        <v>1571</v>
      </c>
      <c r="K950" s="30" t="n">
        <v>4</v>
      </c>
      <c r="L950" s="31" t="n">
        <v>46263</v>
      </c>
      <c r="M950" s="31" t="n">
        <v>46266</v>
      </c>
      <c r="N950" s="13"/>
      <c r="O950" s="13"/>
      <c r="P950" s="13"/>
      <c r="Q950" s="13"/>
    </row>
    <row r="951" customFormat="false" ht="15" hidden="false" customHeight="false" outlineLevel="0" collapsed="false">
      <c r="A951" s="16" t="s">
        <v>4074</v>
      </c>
      <c r="B951" s="16" t="n">
        <v>946</v>
      </c>
      <c r="C951" s="16" t="s">
        <v>4075</v>
      </c>
      <c r="D951" s="16" t="n">
        <v>7</v>
      </c>
      <c r="E951" s="37" t="s">
        <v>1619</v>
      </c>
      <c r="F951" s="16" t="s">
        <v>1285</v>
      </c>
      <c r="G951" s="16" t="s">
        <v>322</v>
      </c>
      <c r="H951" s="16" t="s">
        <v>4018</v>
      </c>
      <c r="I951" s="16" t="s">
        <v>92</v>
      </c>
      <c r="J951" s="16" t="s">
        <v>1616</v>
      </c>
      <c r="K951" s="32" t="n">
        <v>4</v>
      </c>
      <c r="L951" s="33" t="n">
        <v>46263</v>
      </c>
      <c r="M951" s="33" t="n">
        <v>46266</v>
      </c>
      <c r="N951" s="16" t="s">
        <v>4071</v>
      </c>
      <c r="O951" s="16"/>
      <c r="P951" s="16" t="str">
        <f aca="false">IF(AND(L951&lt;=$D$2,M951&gt;=$C$2),"Sí","")</f>
        <v/>
      </c>
      <c r="Q951" s="18" t="str">
        <f aca="false">IF(COUNTIF(LOOKAHEAD!$A$5:$A$604,A951)&gt;0,"En Lookahead",IF(P951="Sí","INCORPORAR",""))</f>
        <v/>
      </c>
    </row>
    <row r="952" customFormat="false" ht="15" hidden="false" customHeight="false" outlineLevel="0" collapsed="false">
      <c r="A952" s="13" t="s">
        <v>4076</v>
      </c>
      <c r="B952" s="13" t="n">
        <v>947</v>
      </c>
      <c r="C952" s="13" t="s">
        <v>4077</v>
      </c>
      <c r="D952" s="13" t="n">
        <v>5</v>
      </c>
      <c r="E952" s="34" t="s">
        <v>1623</v>
      </c>
      <c r="F952" s="13" t="s">
        <v>1298</v>
      </c>
      <c r="G952" s="13" t="s">
        <v>322</v>
      </c>
      <c r="H952" s="13" t="s">
        <v>4018</v>
      </c>
      <c r="I952" s="13" t="s">
        <v>92</v>
      </c>
      <c r="J952" s="13" t="s">
        <v>4018</v>
      </c>
      <c r="K952" s="30" t="n">
        <v>241</v>
      </c>
      <c r="L952" s="31" t="n">
        <v>46263</v>
      </c>
      <c r="M952" s="31" t="n">
        <v>46503</v>
      </c>
      <c r="N952" s="13"/>
      <c r="O952" s="13" t="s">
        <v>1299</v>
      </c>
      <c r="P952" s="13"/>
      <c r="Q952" s="13"/>
    </row>
    <row r="953" customFormat="false" ht="15" hidden="false" customHeight="false" outlineLevel="0" collapsed="false">
      <c r="A953" s="13" t="s">
        <v>4078</v>
      </c>
      <c r="B953" s="13" t="n">
        <v>948</v>
      </c>
      <c r="C953" s="13" t="s">
        <v>4079</v>
      </c>
      <c r="D953" s="13" t="n">
        <v>6</v>
      </c>
      <c r="E953" s="36" t="s">
        <v>1626</v>
      </c>
      <c r="F953" s="13" t="s">
        <v>1298</v>
      </c>
      <c r="G953" s="13" t="s">
        <v>322</v>
      </c>
      <c r="H953" s="13" t="s">
        <v>4018</v>
      </c>
      <c r="I953" s="13" t="s">
        <v>92</v>
      </c>
      <c r="J953" s="13" t="s">
        <v>1623</v>
      </c>
      <c r="K953" s="30" t="n">
        <v>25</v>
      </c>
      <c r="L953" s="31" t="n">
        <v>46263</v>
      </c>
      <c r="M953" s="31" t="n">
        <v>46287</v>
      </c>
      <c r="N953" s="13"/>
      <c r="O953" s="13" t="s">
        <v>1299</v>
      </c>
      <c r="P953" s="13"/>
      <c r="Q953" s="13"/>
    </row>
    <row r="954" customFormat="false" ht="15" hidden="false" customHeight="false" outlineLevel="0" collapsed="false">
      <c r="A954" s="16" t="s">
        <v>4080</v>
      </c>
      <c r="B954" s="16" t="n">
        <v>949</v>
      </c>
      <c r="C954" s="16" t="s">
        <v>4081</v>
      </c>
      <c r="D954" s="16" t="n">
        <v>7</v>
      </c>
      <c r="E954" s="37" t="s">
        <v>1629</v>
      </c>
      <c r="F954" s="16" t="s">
        <v>1285</v>
      </c>
      <c r="G954" s="16" t="s">
        <v>322</v>
      </c>
      <c r="H954" s="16" t="s">
        <v>4018</v>
      </c>
      <c r="I954" s="16" t="s">
        <v>92</v>
      </c>
      <c r="J954" s="16" t="s">
        <v>1626</v>
      </c>
      <c r="K954" s="32" t="n">
        <v>4</v>
      </c>
      <c r="L954" s="33" t="n">
        <v>46281</v>
      </c>
      <c r="M954" s="33" t="n">
        <v>46284</v>
      </c>
      <c r="N954" s="16" t="s">
        <v>4082</v>
      </c>
      <c r="O954" s="16" t="s">
        <v>1299</v>
      </c>
      <c r="P954" s="16" t="str">
        <f aca="false">IF(AND(L954&lt;=$D$2,M954&gt;=$C$2),"Sí","")</f>
        <v/>
      </c>
      <c r="Q954" s="18" t="str">
        <f aca="false">IF(COUNTIF(LOOKAHEAD!$A$5:$A$604,A954)&gt;0,"En Lookahead",IF(P954="Sí","INCORPORAR",""))</f>
        <v/>
      </c>
    </row>
    <row r="955" customFormat="false" ht="15" hidden="false" customHeight="false" outlineLevel="0" collapsed="false">
      <c r="A955" s="16" t="s">
        <v>4083</v>
      </c>
      <c r="B955" s="16" t="n">
        <v>950</v>
      </c>
      <c r="C955" s="16" t="s">
        <v>4084</v>
      </c>
      <c r="D955" s="16" t="n">
        <v>7</v>
      </c>
      <c r="E955" s="37" t="s">
        <v>1633</v>
      </c>
      <c r="F955" s="16" t="s">
        <v>1285</v>
      </c>
      <c r="G955" s="16" t="s">
        <v>322</v>
      </c>
      <c r="H955" s="16" t="s">
        <v>4018</v>
      </c>
      <c r="I955" s="16" t="s">
        <v>92</v>
      </c>
      <c r="J955" s="16" t="s">
        <v>1626</v>
      </c>
      <c r="K955" s="32" t="n">
        <v>11</v>
      </c>
      <c r="L955" s="33" t="n">
        <v>46270</v>
      </c>
      <c r="M955" s="33" t="n">
        <v>46280</v>
      </c>
      <c r="N955" s="16" t="s">
        <v>4085</v>
      </c>
      <c r="O955" s="16" t="s">
        <v>1299</v>
      </c>
      <c r="P955" s="16" t="str">
        <f aca="false">IF(AND(L955&lt;=$D$2,M955&gt;=$C$2),"Sí","")</f>
        <v/>
      </c>
      <c r="Q955" s="18" t="str">
        <f aca="false">IF(COUNTIF(LOOKAHEAD!$A$5:$A$604,A955)&gt;0,"En Lookahead",IF(P955="Sí","INCORPORAR",""))</f>
        <v/>
      </c>
    </row>
    <row r="956" customFormat="false" ht="15" hidden="false" customHeight="false" outlineLevel="0" collapsed="false">
      <c r="A956" s="16" t="s">
        <v>4086</v>
      </c>
      <c r="B956" s="16" t="n">
        <v>951</v>
      </c>
      <c r="C956" s="16" t="s">
        <v>4087</v>
      </c>
      <c r="D956" s="16" t="n">
        <v>7</v>
      </c>
      <c r="E956" s="37" t="s">
        <v>1637</v>
      </c>
      <c r="F956" s="16" t="s">
        <v>1285</v>
      </c>
      <c r="G956" s="16" t="s">
        <v>322</v>
      </c>
      <c r="H956" s="16" t="s">
        <v>4018</v>
      </c>
      <c r="I956" s="16" t="s">
        <v>92</v>
      </c>
      <c r="J956" s="16" t="s">
        <v>1626</v>
      </c>
      <c r="K956" s="32" t="n">
        <v>7</v>
      </c>
      <c r="L956" s="33" t="n">
        <v>46263</v>
      </c>
      <c r="M956" s="33" t="n">
        <v>46269</v>
      </c>
      <c r="N956" s="16" t="s">
        <v>4071</v>
      </c>
      <c r="O956" s="16" t="s">
        <v>1299</v>
      </c>
      <c r="P956" s="16" t="str">
        <f aca="false">IF(AND(L956&lt;=$D$2,M956&gt;=$C$2),"Sí","")</f>
        <v/>
      </c>
      <c r="Q956" s="18" t="str">
        <f aca="false">IF(COUNTIF(LOOKAHEAD!$A$5:$A$604,A956)&gt;0,"En Lookahead",IF(P956="Sí","INCORPORAR",""))</f>
        <v/>
      </c>
    </row>
    <row r="957" customFormat="false" ht="15" hidden="false" customHeight="false" outlineLevel="0" collapsed="false">
      <c r="A957" s="16" t="s">
        <v>4088</v>
      </c>
      <c r="B957" s="16" t="n">
        <v>952</v>
      </c>
      <c r="C957" s="16" t="s">
        <v>4089</v>
      </c>
      <c r="D957" s="16" t="n">
        <v>7</v>
      </c>
      <c r="E957" s="37" t="s">
        <v>1602</v>
      </c>
      <c r="F957" s="16" t="s">
        <v>1285</v>
      </c>
      <c r="G957" s="16" t="s">
        <v>322</v>
      </c>
      <c r="H957" s="16" t="s">
        <v>4018</v>
      </c>
      <c r="I957" s="16" t="s">
        <v>92</v>
      </c>
      <c r="J957" s="16" t="s">
        <v>1626</v>
      </c>
      <c r="K957" s="32" t="n">
        <v>3</v>
      </c>
      <c r="L957" s="33" t="n">
        <v>46285</v>
      </c>
      <c r="M957" s="33" t="n">
        <v>46287</v>
      </c>
      <c r="N957" s="16" t="s">
        <v>4090</v>
      </c>
      <c r="O957" s="16"/>
      <c r="P957" s="16" t="str">
        <f aca="false">IF(AND(L957&lt;=$D$2,M957&gt;=$C$2),"Sí","")</f>
        <v/>
      </c>
      <c r="Q957" s="18" t="str">
        <f aca="false">IF(COUNTIF(LOOKAHEAD!$A$5:$A$604,A957)&gt;0,"En Lookahead",IF(P957="Sí","INCORPORAR",""))</f>
        <v/>
      </c>
    </row>
    <row r="958" customFormat="false" ht="15" hidden="false" customHeight="false" outlineLevel="0" collapsed="false">
      <c r="A958" s="13" t="s">
        <v>4091</v>
      </c>
      <c r="B958" s="13" t="n">
        <v>953</v>
      </c>
      <c r="C958" s="13" t="s">
        <v>4092</v>
      </c>
      <c r="D958" s="13" t="n">
        <v>6</v>
      </c>
      <c r="E958" s="36" t="s">
        <v>1660</v>
      </c>
      <c r="F958" s="13" t="s">
        <v>1298</v>
      </c>
      <c r="G958" s="13" t="s">
        <v>322</v>
      </c>
      <c r="H958" s="13" t="s">
        <v>4018</v>
      </c>
      <c r="I958" s="13" t="s">
        <v>92</v>
      </c>
      <c r="J958" s="13" t="s">
        <v>1623</v>
      </c>
      <c r="K958" s="30" t="n">
        <v>123</v>
      </c>
      <c r="L958" s="31" t="n">
        <v>46285</v>
      </c>
      <c r="M958" s="31" t="n">
        <v>46407</v>
      </c>
      <c r="N958" s="13"/>
      <c r="O958" s="13" t="s">
        <v>1299</v>
      </c>
      <c r="P958" s="13"/>
      <c r="Q958" s="13"/>
    </row>
    <row r="959" customFormat="false" ht="15" hidden="false" customHeight="false" outlineLevel="0" collapsed="false">
      <c r="A959" s="13" t="s">
        <v>4093</v>
      </c>
      <c r="B959" s="13" t="n">
        <v>954</v>
      </c>
      <c r="C959" s="13" t="s">
        <v>4094</v>
      </c>
      <c r="D959" s="13" t="n">
        <v>7</v>
      </c>
      <c r="E959" s="38" t="s">
        <v>1663</v>
      </c>
      <c r="F959" s="13" t="s">
        <v>1298</v>
      </c>
      <c r="G959" s="13" t="s">
        <v>322</v>
      </c>
      <c r="H959" s="13" t="s">
        <v>4018</v>
      </c>
      <c r="I959" s="13" t="s">
        <v>92</v>
      </c>
      <c r="J959" s="13" t="s">
        <v>1660</v>
      </c>
      <c r="K959" s="30" t="n">
        <v>35</v>
      </c>
      <c r="L959" s="31" t="n">
        <v>46285</v>
      </c>
      <c r="M959" s="31" t="n">
        <v>46319</v>
      </c>
      <c r="N959" s="13"/>
      <c r="O959" s="13" t="s">
        <v>1299</v>
      </c>
      <c r="P959" s="13"/>
      <c r="Q959" s="13"/>
    </row>
    <row r="960" customFormat="false" ht="15" hidden="false" customHeight="false" outlineLevel="0" collapsed="false">
      <c r="A960" s="16" t="s">
        <v>4095</v>
      </c>
      <c r="B960" s="16" t="n">
        <v>955</v>
      </c>
      <c r="C960" s="16" t="s">
        <v>4096</v>
      </c>
      <c r="D960" s="16" t="n">
        <v>8</v>
      </c>
      <c r="E960" s="39" t="s">
        <v>4097</v>
      </c>
      <c r="F960" s="16" t="s">
        <v>1285</v>
      </c>
      <c r="G960" s="16" t="s">
        <v>322</v>
      </c>
      <c r="H960" s="16" t="s">
        <v>4018</v>
      </c>
      <c r="I960" s="16" t="s">
        <v>92</v>
      </c>
      <c r="J960" s="16" t="s">
        <v>1663</v>
      </c>
      <c r="K960" s="32" t="n">
        <v>1</v>
      </c>
      <c r="L960" s="33" t="n">
        <v>46317</v>
      </c>
      <c r="M960" s="33" t="n">
        <v>46317</v>
      </c>
      <c r="N960" s="16" t="s">
        <v>4098</v>
      </c>
      <c r="O960" s="16" t="s">
        <v>1299</v>
      </c>
      <c r="P960" s="16" t="str">
        <f aca="false">IF(AND(L960&lt;=$D$2,M960&gt;=$C$2),"Sí","")</f>
        <v>Sí</v>
      </c>
      <c r="Q960" s="18" t="str">
        <f aca="false">IF(COUNTIF(LOOKAHEAD!$A$5:$A$604,A960)&gt;0,"En Lookahead",IF(P960="Sí","INCORPORAR",""))</f>
        <v>En Lookahead</v>
      </c>
    </row>
    <row r="961" customFormat="false" ht="15" hidden="false" customHeight="false" outlineLevel="0" collapsed="false">
      <c r="A961" s="16" t="s">
        <v>4099</v>
      </c>
      <c r="B961" s="16" t="n">
        <v>956</v>
      </c>
      <c r="C961" s="16" t="s">
        <v>4100</v>
      </c>
      <c r="D961" s="16" t="n">
        <v>8</v>
      </c>
      <c r="E961" s="39" t="s">
        <v>1670</v>
      </c>
      <c r="F961" s="16" t="s">
        <v>1285</v>
      </c>
      <c r="G961" s="16" t="s">
        <v>322</v>
      </c>
      <c r="H961" s="16" t="s">
        <v>4018</v>
      </c>
      <c r="I961" s="16" t="s">
        <v>92</v>
      </c>
      <c r="J961" s="16" t="s">
        <v>1663</v>
      </c>
      <c r="K961" s="32" t="n">
        <v>16</v>
      </c>
      <c r="L961" s="33" t="n">
        <v>46301</v>
      </c>
      <c r="M961" s="33" t="n">
        <v>46316</v>
      </c>
      <c r="N961" s="16" t="s">
        <v>4101</v>
      </c>
      <c r="O961" s="16" t="s">
        <v>1299</v>
      </c>
      <c r="P961" s="16" t="str">
        <f aca="false">IF(AND(L961&lt;=$D$2,M961&gt;=$C$2),"Sí","")</f>
        <v>Sí</v>
      </c>
      <c r="Q961" s="18" t="str">
        <f aca="false">IF(COUNTIF(LOOKAHEAD!$A$5:$A$604,A961)&gt;0,"En Lookahead",IF(P961="Sí","INCORPORAR",""))</f>
        <v>En Lookahead</v>
      </c>
    </row>
    <row r="962" customFormat="false" ht="15" hidden="false" customHeight="false" outlineLevel="0" collapsed="false">
      <c r="A962" s="16" t="s">
        <v>4102</v>
      </c>
      <c r="B962" s="16" t="n">
        <v>957</v>
      </c>
      <c r="C962" s="16" t="s">
        <v>4103</v>
      </c>
      <c r="D962" s="16" t="n">
        <v>8</v>
      </c>
      <c r="E962" s="39" t="s">
        <v>1674</v>
      </c>
      <c r="F962" s="16" t="s">
        <v>1285</v>
      </c>
      <c r="G962" s="16" t="s">
        <v>322</v>
      </c>
      <c r="H962" s="16" t="s">
        <v>4018</v>
      </c>
      <c r="I962" s="16" t="s">
        <v>92</v>
      </c>
      <c r="J962" s="16" t="s">
        <v>1663</v>
      </c>
      <c r="K962" s="32" t="n">
        <v>16</v>
      </c>
      <c r="L962" s="33" t="n">
        <v>46285</v>
      </c>
      <c r="M962" s="33" t="n">
        <v>46300</v>
      </c>
      <c r="N962" s="16" t="s">
        <v>4090</v>
      </c>
      <c r="O962" s="16" t="s">
        <v>1299</v>
      </c>
      <c r="P962" s="16" t="str">
        <f aca="false">IF(AND(L962&lt;=$D$2,M962&gt;=$C$2),"Sí","")</f>
        <v>Sí</v>
      </c>
      <c r="Q962" s="18" t="str">
        <f aca="false">IF(COUNTIF(LOOKAHEAD!$A$5:$A$604,A962)&gt;0,"En Lookahead",IF(P962="Sí","INCORPORAR",""))</f>
        <v>En Lookahead</v>
      </c>
    </row>
    <row r="963" customFormat="false" ht="15" hidden="false" customHeight="false" outlineLevel="0" collapsed="false">
      <c r="A963" s="16" t="s">
        <v>4104</v>
      </c>
      <c r="B963" s="16" t="n">
        <v>958</v>
      </c>
      <c r="C963" s="16" t="s">
        <v>4105</v>
      </c>
      <c r="D963" s="16" t="n">
        <v>8</v>
      </c>
      <c r="E963" s="39" t="s">
        <v>1677</v>
      </c>
      <c r="F963" s="16" t="s">
        <v>1285</v>
      </c>
      <c r="G963" s="16" t="s">
        <v>322</v>
      </c>
      <c r="H963" s="16" t="s">
        <v>4018</v>
      </c>
      <c r="I963" s="16" t="s">
        <v>92</v>
      </c>
      <c r="J963" s="16" t="s">
        <v>1663</v>
      </c>
      <c r="K963" s="32" t="n">
        <v>2</v>
      </c>
      <c r="L963" s="33" t="n">
        <v>46318</v>
      </c>
      <c r="M963" s="33" t="n">
        <v>46319</v>
      </c>
      <c r="N963" s="16" t="s">
        <v>4106</v>
      </c>
      <c r="O963" s="16"/>
      <c r="P963" s="16" t="str">
        <f aca="false">IF(AND(L963&lt;=$D$2,M963&gt;=$C$2),"Sí","")</f>
        <v>Sí</v>
      </c>
      <c r="Q963" s="18" t="str">
        <f aca="false">IF(COUNTIF(LOOKAHEAD!$A$5:$A$604,A963)&gt;0,"En Lookahead",IF(P963="Sí","INCORPORAR",""))</f>
        <v>En Lookahead</v>
      </c>
    </row>
    <row r="964" customFormat="false" ht="15" hidden="false" customHeight="false" outlineLevel="0" collapsed="false">
      <c r="A964" s="13" t="s">
        <v>4107</v>
      </c>
      <c r="B964" s="13" t="n">
        <v>959</v>
      </c>
      <c r="C964" s="13" t="s">
        <v>4108</v>
      </c>
      <c r="D964" s="13" t="n">
        <v>7</v>
      </c>
      <c r="E964" s="38" t="s">
        <v>1681</v>
      </c>
      <c r="F964" s="13" t="s">
        <v>1298</v>
      </c>
      <c r="G964" s="13" t="s">
        <v>322</v>
      </c>
      <c r="H964" s="13" t="s">
        <v>4018</v>
      </c>
      <c r="I964" s="13" t="s">
        <v>92</v>
      </c>
      <c r="J964" s="13" t="s">
        <v>1660</v>
      </c>
      <c r="K964" s="30" t="n">
        <v>25</v>
      </c>
      <c r="L964" s="31" t="n">
        <v>46383</v>
      </c>
      <c r="M964" s="31" t="n">
        <v>46407</v>
      </c>
      <c r="N964" s="13"/>
      <c r="O964" s="13"/>
      <c r="P964" s="13"/>
      <c r="Q964" s="13"/>
    </row>
    <row r="965" customFormat="false" ht="15" hidden="false" customHeight="false" outlineLevel="0" collapsed="false">
      <c r="A965" s="16" t="s">
        <v>4109</v>
      </c>
      <c r="B965" s="16" t="n">
        <v>960</v>
      </c>
      <c r="C965" s="16" t="s">
        <v>4110</v>
      </c>
      <c r="D965" s="16" t="n">
        <v>8</v>
      </c>
      <c r="E965" s="39" t="s">
        <v>1684</v>
      </c>
      <c r="F965" s="16" t="s">
        <v>1285</v>
      </c>
      <c r="G965" s="16" t="s">
        <v>322</v>
      </c>
      <c r="H965" s="16" t="s">
        <v>4018</v>
      </c>
      <c r="I965" s="16" t="s">
        <v>92</v>
      </c>
      <c r="J965" s="16" t="s">
        <v>1681</v>
      </c>
      <c r="K965" s="32" t="n">
        <v>1</v>
      </c>
      <c r="L965" s="33" t="n">
        <v>46405</v>
      </c>
      <c r="M965" s="33" t="n">
        <v>46405</v>
      </c>
      <c r="N965" s="16" t="s">
        <v>4111</v>
      </c>
      <c r="O965" s="16"/>
      <c r="P965" s="16" t="str">
        <f aca="false">IF(AND(L965&lt;=$D$2,M965&gt;=$C$2),"Sí","")</f>
        <v/>
      </c>
      <c r="Q965" s="18" t="str">
        <f aca="false">IF(COUNTIF(LOOKAHEAD!$A$5:$A$604,A965)&gt;0,"En Lookahead",IF(P965="Sí","INCORPORAR",""))</f>
        <v/>
      </c>
    </row>
    <row r="966" customFormat="false" ht="15" hidden="false" customHeight="false" outlineLevel="0" collapsed="false">
      <c r="A966" s="16" t="s">
        <v>4112</v>
      </c>
      <c r="B966" s="16" t="n">
        <v>961</v>
      </c>
      <c r="C966" s="16" t="s">
        <v>4113</v>
      </c>
      <c r="D966" s="16" t="n">
        <v>8</v>
      </c>
      <c r="E966" s="39" t="s">
        <v>1688</v>
      </c>
      <c r="F966" s="16" t="s">
        <v>1285</v>
      </c>
      <c r="G966" s="16" t="s">
        <v>322</v>
      </c>
      <c r="H966" s="16" t="s">
        <v>4018</v>
      </c>
      <c r="I966" s="16" t="s">
        <v>92</v>
      </c>
      <c r="J966" s="16" t="s">
        <v>1681</v>
      </c>
      <c r="K966" s="32" t="n">
        <v>10</v>
      </c>
      <c r="L966" s="33" t="n">
        <v>46395</v>
      </c>
      <c r="M966" s="33" t="n">
        <v>46404</v>
      </c>
      <c r="N966" s="16" t="s">
        <v>4114</v>
      </c>
      <c r="O966" s="16"/>
      <c r="P966" s="16" t="str">
        <f aca="false">IF(AND(L966&lt;=$D$2,M966&gt;=$C$2),"Sí","")</f>
        <v/>
      </c>
      <c r="Q966" s="18" t="str">
        <f aca="false">IF(COUNTIF(LOOKAHEAD!$A$5:$A$604,A966)&gt;0,"En Lookahead",IF(P966="Sí","INCORPORAR",""))</f>
        <v/>
      </c>
    </row>
    <row r="967" customFormat="false" ht="15" hidden="false" customHeight="false" outlineLevel="0" collapsed="false">
      <c r="A967" s="16" t="s">
        <v>4115</v>
      </c>
      <c r="B967" s="16" t="n">
        <v>962</v>
      </c>
      <c r="C967" s="16" t="s">
        <v>4116</v>
      </c>
      <c r="D967" s="16" t="n">
        <v>8</v>
      </c>
      <c r="E967" s="39" t="s">
        <v>1674</v>
      </c>
      <c r="F967" s="16" t="s">
        <v>1285</v>
      </c>
      <c r="G967" s="16" t="s">
        <v>322</v>
      </c>
      <c r="H967" s="16" t="s">
        <v>4018</v>
      </c>
      <c r="I967" s="16" t="s">
        <v>92</v>
      </c>
      <c r="J967" s="16" t="s">
        <v>1681</v>
      </c>
      <c r="K967" s="32" t="n">
        <v>12</v>
      </c>
      <c r="L967" s="33" t="n">
        <v>46383</v>
      </c>
      <c r="M967" s="33" t="n">
        <v>46394</v>
      </c>
      <c r="N967" s="16" t="s">
        <v>4117</v>
      </c>
      <c r="O967" s="16"/>
      <c r="P967" s="16" t="str">
        <f aca="false">IF(AND(L967&lt;=$D$2,M967&gt;=$C$2),"Sí","")</f>
        <v/>
      </c>
      <c r="Q967" s="18" t="str">
        <f aca="false">IF(COUNTIF(LOOKAHEAD!$A$5:$A$604,A967)&gt;0,"En Lookahead",IF(P967="Sí","INCORPORAR",""))</f>
        <v/>
      </c>
    </row>
    <row r="968" customFormat="false" ht="15" hidden="false" customHeight="false" outlineLevel="0" collapsed="false">
      <c r="A968" s="16" t="s">
        <v>4118</v>
      </c>
      <c r="B968" s="16" t="n">
        <v>963</v>
      </c>
      <c r="C968" s="16" t="s">
        <v>4119</v>
      </c>
      <c r="D968" s="16" t="n">
        <v>8</v>
      </c>
      <c r="E968" s="39" t="s">
        <v>1677</v>
      </c>
      <c r="F968" s="16" t="s">
        <v>1285</v>
      </c>
      <c r="G968" s="16" t="s">
        <v>322</v>
      </c>
      <c r="H968" s="16" t="s">
        <v>4018</v>
      </c>
      <c r="I968" s="16" t="s">
        <v>92</v>
      </c>
      <c r="J968" s="16" t="s">
        <v>1681</v>
      </c>
      <c r="K968" s="32" t="n">
        <v>2</v>
      </c>
      <c r="L968" s="33" t="n">
        <v>46406</v>
      </c>
      <c r="M968" s="33" t="n">
        <v>46407</v>
      </c>
      <c r="N968" s="16" t="s">
        <v>4120</v>
      </c>
      <c r="O968" s="16"/>
      <c r="P968" s="16" t="str">
        <f aca="false">IF(AND(L968&lt;=$D$2,M968&gt;=$C$2),"Sí","")</f>
        <v/>
      </c>
      <c r="Q968" s="18" t="str">
        <f aca="false">IF(COUNTIF(LOOKAHEAD!$A$5:$A$604,A968)&gt;0,"En Lookahead",IF(P968="Sí","INCORPORAR",""))</f>
        <v/>
      </c>
    </row>
    <row r="969" customFormat="false" ht="15" hidden="false" customHeight="false" outlineLevel="0" collapsed="false">
      <c r="A969" s="13" t="s">
        <v>4121</v>
      </c>
      <c r="B969" s="13" t="n">
        <v>964</v>
      </c>
      <c r="C969" s="13" t="s">
        <v>4122</v>
      </c>
      <c r="D969" s="13" t="n">
        <v>6</v>
      </c>
      <c r="E969" s="36" t="s">
        <v>1731</v>
      </c>
      <c r="F969" s="13" t="s">
        <v>1298</v>
      </c>
      <c r="G969" s="13" t="s">
        <v>322</v>
      </c>
      <c r="H969" s="13" t="s">
        <v>4018</v>
      </c>
      <c r="I969" s="13" t="s">
        <v>92</v>
      </c>
      <c r="J969" s="13" t="s">
        <v>1623</v>
      </c>
      <c r="K969" s="30" t="n">
        <v>117</v>
      </c>
      <c r="L969" s="31" t="n">
        <v>46285</v>
      </c>
      <c r="M969" s="31" t="n">
        <v>46401</v>
      </c>
      <c r="N969" s="13"/>
      <c r="O969" s="13"/>
      <c r="P969" s="13"/>
      <c r="Q969" s="13"/>
    </row>
    <row r="970" customFormat="false" ht="15" hidden="false" customHeight="false" outlineLevel="0" collapsed="false">
      <c r="A970" s="13" t="s">
        <v>4123</v>
      </c>
      <c r="B970" s="13" t="n">
        <v>965</v>
      </c>
      <c r="C970" s="13" t="s">
        <v>4124</v>
      </c>
      <c r="D970" s="13" t="n">
        <v>7</v>
      </c>
      <c r="E970" s="38" t="s">
        <v>1734</v>
      </c>
      <c r="F970" s="13" t="s">
        <v>1298</v>
      </c>
      <c r="G970" s="13" t="s">
        <v>322</v>
      </c>
      <c r="H970" s="13" t="s">
        <v>4018</v>
      </c>
      <c r="I970" s="13" t="s">
        <v>92</v>
      </c>
      <c r="J970" s="13" t="s">
        <v>1731</v>
      </c>
      <c r="K970" s="30" t="n">
        <v>34</v>
      </c>
      <c r="L970" s="31" t="n">
        <v>46285</v>
      </c>
      <c r="M970" s="31" t="n">
        <v>46318</v>
      </c>
      <c r="N970" s="13"/>
      <c r="O970" s="13"/>
      <c r="P970" s="13"/>
      <c r="Q970" s="13"/>
    </row>
    <row r="971" customFormat="false" ht="15" hidden="false" customHeight="false" outlineLevel="0" collapsed="false">
      <c r="A971" s="16" t="s">
        <v>4125</v>
      </c>
      <c r="B971" s="16" t="n">
        <v>966</v>
      </c>
      <c r="C971" s="16" t="s">
        <v>4126</v>
      </c>
      <c r="D971" s="16" t="n">
        <v>8</v>
      </c>
      <c r="E971" s="39" t="s">
        <v>4127</v>
      </c>
      <c r="F971" s="16" t="s">
        <v>1285</v>
      </c>
      <c r="G971" s="16" t="s">
        <v>322</v>
      </c>
      <c r="H971" s="16" t="s">
        <v>4018</v>
      </c>
      <c r="I971" s="16" t="s">
        <v>92</v>
      </c>
      <c r="J971" s="16" t="s">
        <v>1734</v>
      </c>
      <c r="K971" s="32" t="n">
        <v>1</v>
      </c>
      <c r="L971" s="33" t="n">
        <v>46316</v>
      </c>
      <c r="M971" s="33" t="n">
        <v>46316</v>
      </c>
      <c r="N971" s="16" t="s">
        <v>4128</v>
      </c>
      <c r="O971" s="16"/>
      <c r="P971" s="16" t="str">
        <f aca="false">IF(AND(L971&lt;=$D$2,M971&gt;=$C$2),"Sí","")</f>
        <v>Sí</v>
      </c>
      <c r="Q971" s="18" t="str">
        <f aca="false">IF(COUNTIF(LOOKAHEAD!$A$5:$A$604,A971)&gt;0,"En Lookahead",IF(P971="Sí","INCORPORAR",""))</f>
        <v>En Lookahead</v>
      </c>
    </row>
    <row r="972" customFormat="false" ht="15" hidden="false" customHeight="false" outlineLevel="0" collapsed="false">
      <c r="A972" s="16" t="s">
        <v>4129</v>
      </c>
      <c r="B972" s="16" t="n">
        <v>967</v>
      </c>
      <c r="C972" s="16" t="s">
        <v>4130</v>
      </c>
      <c r="D972" s="16" t="n">
        <v>8</v>
      </c>
      <c r="E972" s="39" t="s">
        <v>1741</v>
      </c>
      <c r="F972" s="16" t="s">
        <v>1285</v>
      </c>
      <c r="G972" s="16" t="s">
        <v>322</v>
      </c>
      <c r="H972" s="16" t="s">
        <v>4018</v>
      </c>
      <c r="I972" s="16" t="s">
        <v>92</v>
      </c>
      <c r="J972" s="16" t="s">
        <v>1734</v>
      </c>
      <c r="K972" s="32" t="n">
        <v>15</v>
      </c>
      <c r="L972" s="33" t="n">
        <v>46301</v>
      </c>
      <c r="M972" s="33" t="n">
        <v>46315</v>
      </c>
      <c r="N972" s="16" t="s">
        <v>4131</v>
      </c>
      <c r="O972" s="16"/>
      <c r="P972" s="16" t="str">
        <f aca="false">IF(AND(L972&lt;=$D$2,M972&gt;=$C$2),"Sí","")</f>
        <v>Sí</v>
      </c>
      <c r="Q972" s="18" t="str">
        <f aca="false">IF(COUNTIF(LOOKAHEAD!$A$5:$A$604,A972)&gt;0,"En Lookahead",IF(P972="Sí","INCORPORAR",""))</f>
        <v>En Lookahead</v>
      </c>
    </row>
    <row r="973" customFormat="false" ht="15" hidden="false" customHeight="false" outlineLevel="0" collapsed="false">
      <c r="A973" s="16" t="s">
        <v>4132</v>
      </c>
      <c r="B973" s="16" t="n">
        <v>968</v>
      </c>
      <c r="C973" s="16" t="s">
        <v>4133</v>
      </c>
      <c r="D973" s="16" t="n">
        <v>8</v>
      </c>
      <c r="E973" s="39" t="s">
        <v>1745</v>
      </c>
      <c r="F973" s="16" t="s">
        <v>1285</v>
      </c>
      <c r="G973" s="16" t="s">
        <v>322</v>
      </c>
      <c r="H973" s="16" t="s">
        <v>4018</v>
      </c>
      <c r="I973" s="16" t="s">
        <v>92</v>
      </c>
      <c r="J973" s="16" t="s">
        <v>1734</v>
      </c>
      <c r="K973" s="32" t="n">
        <v>16</v>
      </c>
      <c r="L973" s="33" t="n">
        <v>46285</v>
      </c>
      <c r="M973" s="33" t="n">
        <v>46300</v>
      </c>
      <c r="N973" s="16" t="s">
        <v>4134</v>
      </c>
      <c r="O973" s="16"/>
      <c r="P973" s="16" t="str">
        <f aca="false">IF(AND(L973&lt;=$D$2,M973&gt;=$C$2),"Sí","")</f>
        <v>Sí</v>
      </c>
      <c r="Q973" s="18" t="str">
        <f aca="false">IF(COUNTIF(LOOKAHEAD!$A$5:$A$604,A973)&gt;0,"En Lookahead",IF(P973="Sí","INCORPORAR",""))</f>
        <v>En Lookahead</v>
      </c>
    </row>
    <row r="974" customFormat="false" ht="15" hidden="false" customHeight="false" outlineLevel="0" collapsed="false">
      <c r="A974" s="16" t="s">
        <v>4135</v>
      </c>
      <c r="B974" s="16" t="n">
        <v>969</v>
      </c>
      <c r="C974" s="16" t="s">
        <v>4136</v>
      </c>
      <c r="D974" s="16" t="n">
        <v>8</v>
      </c>
      <c r="E974" s="39" t="s">
        <v>1677</v>
      </c>
      <c r="F974" s="16" t="s">
        <v>1285</v>
      </c>
      <c r="G974" s="16" t="s">
        <v>322</v>
      </c>
      <c r="H974" s="16" t="s">
        <v>4018</v>
      </c>
      <c r="I974" s="16" t="s">
        <v>92</v>
      </c>
      <c r="J974" s="16" t="s">
        <v>1734</v>
      </c>
      <c r="K974" s="32" t="n">
        <v>2</v>
      </c>
      <c r="L974" s="33" t="n">
        <v>46317</v>
      </c>
      <c r="M974" s="33" t="n">
        <v>46318</v>
      </c>
      <c r="N974" s="16" t="s">
        <v>4137</v>
      </c>
      <c r="O974" s="16"/>
      <c r="P974" s="16" t="str">
        <f aca="false">IF(AND(L974&lt;=$D$2,M974&gt;=$C$2),"Sí","")</f>
        <v>Sí</v>
      </c>
      <c r="Q974" s="18" t="str">
        <f aca="false">IF(COUNTIF(LOOKAHEAD!$A$5:$A$604,A974)&gt;0,"En Lookahead",IF(P974="Sí","INCORPORAR",""))</f>
        <v>En Lookahead</v>
      </c>
    </row>
    <row r="975" customFormat="false" ht="15" hidden="false" customHeight="false" outlineLevel="0" collapsed="false">
      <c r="A975" s="13" t="s">
        <v>4138</v>
      </c>
      <c r="B975" s="13" t="n">
        <v>970</v>
      </c>
      <c r="C975" s="13" t="s">
        <v>4139</v>
      </c>
      <c r="D975" s="13" t="n">
        <v>7</v>
      </c>
      <c r="E975" s="38" t="s">
        <v>1752</v>
      </c>
      <c r="F975" s="13" t="s">
        <v>1298</v>
      </c>
      <c r="G975" s="13" t="s">
        <v>322</v>
      </c>
      <c r="H975" s="13" t="s">
        <v>4018</v>
      </c>
      <c r="I975" s="13" t="s">
        <v>92</v>
      </c>
      <c r="J975" s="13" t="s">
        <v>1731</v>
      </c>
      <c r="K975" s="30" t="n">
        <v>19</v>
      </c>
      <c r="L975" s="31" t="n">
        <v>46383</v>
      </c>
      <c r="M975" s="31" t="n">
        <v>46401</v>
      </c>
      <c r="N975" s="13"/>
      <c r="O975" s="13"/>
      <c r="P975" s="13"/>
      <c r="Q975" s="13"/>
    </row>
    <row r="976" customFormat="false" ht="15" hidden="false" customHeight="false" outlineLevel="0" collapsed="false">
      <c r="A976" s="16" t="s">
        <v>4140</v>
      </c>
      <c r="B976" s="16" t="n">
        <v>971</v>
      </c>
      <c r="C976" s="16" t="s">
        <v>4141</v>
      </c>
      <c r="D976" s="16" t="n">
        <v>8</v>
      </c>
      <c r="E976" s="39" t="s">
        <v>1755</v>
      </c>
      <c r="F976" s="16" t="s">
        <v>1285</v>
      </c>
      <c r="G976" s="16" t="s">
        <v>322</v>
      </c>
      <c r="H976" s="16" t="s">
        <v>4018</v>
      </c>
      <c r="I976" s="16" t="s">
        <v>92</v>
      </c>
      <c r="J976" s="16" t="s">
        <v>1752</v>
      </c>
      <c r="K976" s="32" t="n">
        <v>1</v>
      </c>
      <c r="L976" s="33" t="n">
        <v>46400</v>
      </c>
      <c r="M976" s="33" t="n">
        <v>46400</v>
      </c>
      <c r="N976" s="16" t="s">
        <v>4142</v>
      </c>
      <c r="O976" s="16"/>
      <c r="P976" s="16" t="str">
        <f aca="false">IF(AND(L976&lt;=$D$2,M976&gt;=$C$2),"Sí","")</f>
        <v/>
      </c>
      <c r="Q976" s="18" t="str">
        <f aca="false">IF(COUNTIF(LOOKAHEAD!$A$5:$A$604,A976)&gt;0,"En Lookahead",IF(P976="Sí","INCORPORAR",""))</f>
        <v/>
      </c>
    </row>
    <row r="977" customFormat="false" ht="15" hidden="false" customHeight="false" outlineLevel="0" collapsed="false">
      <c r="A977" s="16" t="s">
        <v>4143</v>
      </c>
      <c r="B977" s="16" t="n">
        <v>972</v>
      </c>
      <c r="C977" s="16" t="s">
        <v>4144</v>
      </c>
      <c r="D977" s="16" t="n">
        <v>8</v>
      </c>
      <c r="E977" s="39" t="s">
        <v>1759</v>
      </c>
      <c r="F977" s="16" t="s">
        <v>1285</v>
      </c>
      <c r="G977" s="16" t="s">
        <v>322</v>
      </c>
      <c r="H977" s="16" t="s">
        <v>4018</v>
      </c>
      <c r="I977" s="16" t="s">
        <v>92</v>
      </c>
      <c r="J977" s="16" t="s">
        <v>1752</v>
      </c>
      <c r="K977" s="32" t="n">
        <v>8</v>
      </c>
      <c r="L977" s="33" t="n">
        <v>46392</v>
      </c>
      <c r="M977" s="33" t="n">
        <v>46399</v>
      </c>
      <c r="N977" s="16" t="s">
        <v>4145</v>
      </c>
      <c r="O977" s="16"/>
      <c r="P977" s="16" t="str">
        <f aca="false">IF(AND(L977&lt;=$D$2,M977&gt;=$C$2),"Sí","")</f>
        <v/>
      </c>
      <c r="Q977" s="18" t="str">
        <f aca="false">IF(COUNTIF(LOOKAHEAD!$A$5:$A$604,A977)&gt;0,"En Lookahead",IF(P977="Sí","INCORPORAR",""))</f>
        <v/>
      </c>
    </row>
    <row r="978" customFormat="false" ht="15" hidden="false" customHeight="false" outlineLevel="0" collapsed="false">
      <c r="A978" s="16" t="s">
        <v>4146</v>
      </c>
      <c r="B978" s="16" t="n">
        <v>973</v>
      </c>
      <c r="C978" s="16" t="s">
        <v>4147</v>
      </c>
      <c r="D978" s="16" t="n">
        <v>8</v>
      </c>
      <c r="E978" s="39" t="s">
        <v>1745</v>
      </c>
      <c r="F978" s="16" t="s">
        <v>1285</v>
      </c>
      <c r="G978" s="16" t="s">
        <v>322</v>
      </c>
      <c r="H978" s="16" t="s">
        <v>4018</v>
      </c>
      <c r="I978" s="16" t="s">
        <v>92</v>
      </c>
      <c r="J978" s="16" t="s">
        <v>1752</v>
      </c>
      <c r="K978" s="32" t="n">
        <v>9</v>
      </c>
      <c r="L978" s="33" t="n">
        <v>46383</v>
      </c>
      <c r="M978" s="33" t="n">
        <v>46391</v>
      </c>
      <c r="N978" s="16" t="s">
        <v>4148</v>
      </c>
      <c r="O978" s="16"/>
      <c r="P978" s="16" t="str">
        <f aca="false">IF(AND(L978&lt;=$D$2,M978&gt;=$C$2),"Sí","")</f>
        <v/>
      </c>
      <c r="Q978" s="18" t="str">
        <f aca="false">IF(COUNTIF(LOOKAHEAD!$A$5:$A$604,A978)&gt;0,"En Lookahead",IF(P978="Sí","INCORPORAR",""))</f>
        <v/>
      </c>
    </row>
    <row r="979" customFormat="false" ht="15" hidden="false" customHeight="false" outlineLevel="0" collapsed="false">
      <c r="A979" s="16" t="s">
        <v>4149</v>
      </c>
      <c r="B979" s="16" t="n">
        <v>974</v>
      </c>
      <c r="C979" s="16" t="s">
        <v>4150</v>
      </c>
      <c r="D979" s="16" t="n">
        <v>8</v>
      </c>
      <c r="E979" s="39" t="s">
        <v>1677</v>
      </c>
      <c r="F979" s="16" t="s">
        <v>1285</v>
      </c>
      <c r="G979" s="16" t="s">
        <v>322</v>
      </c>
      <c r="H979" s="16" t="s">
        <v>4018</v>
      </c>
      <c r="I979" s="16" t="s">
        <v>92</v>
      </c>
      <c r="J979" s="16" t="s">
        <v>1752</v>
      </c>
      <c r="K979" s="32" t="n">
        <v>1</v>
      </c>
      <c r="L979" s="33" t="n">
        <v>46401</v>
      </c>
      <c r="M979" s="33" t="n">
        <v>46401</v>
      </c>
      <c r="N979" s="16" t="s">
        <v>4151</v>
      </c>
      <c r="O979" s="16"/>
      <c r="P979" s="16" t="str">
        <f aca="false">IF(AND(L979&lt;=$D$2,M979&gt;=$C$2),"Sí","")</f>
        <v/>
      </c>
      <c r="Q979" s="18" t="str">
        <f aca="false">IF(COUNTIF(LOOKAHEAD!$A$5:$A$604,A979)&gt;0,"En Lookahead",IF(P979="Sí","INCORPORAR",""))</f>
        <v/>
      </c>
    </row>
    <row r="980" customFormat="false" ht="15" hidden="false" customHeight="false" outlineLevel="0" collapsed="false">
      <c r="A980" s="13" t="s">
        <v>4152</v>
      </c>
      <c r="B980" s="13" t="n">
        <v>975</v>
      </c>
      <c r="C980" s="13" t="s">
        <v>4153</v>
      </c>
      <c r="D980" s="13" t="n">
        <v>6</v>
      </c>
      <c r="E980" s="36" t="s">
        <v>4154</v>
      </c>
      <c r="F980" s="13" t="s">
        <v>1298</v>
      </c>
      <c r="G980" s="13" t="s">
        <v>322</v>
      </c>
      <c r="H980" s="13" t="s">
        <v>4018</v>
      </c>
      <c r="I980" s="13" t="s">
        <v>92</v>
      </c>
      <c r="J980" s="13" t="s">
        <v>1623</v>
      </c>
      <c r="K980" s="30" t="n">
        <v>159</v>
      </c>
      <c r="L980" s="31" t="n">
        <v>46285</v>
      </c>
      <c r="M980" s="31" t="n">
        <v>46443</v>
      </c>
      <c r="N980" s="13"/>
      <c r="O980" s="13"/>
      <c r="P980" s="13"/>
      <c r="Q980" s="13"/>
    </row>
    <row r="981" customFormat="false" ht="15" hidden="false" customHeight="false" outlineLevel="0" collapsed="false">
      <c r="A981" s="16" t="s">
        <v>4155</v>
      </c>
      <c r="B981" s="16" t="n">
        <v>976</v>
      </c>
      <c r="C981" s="16" t="s">
        <v>4156</v>
      </c>
      <c r="D981" s="16" t="n">
        <v>7</v>
      </c>
      <c r="E981" s="37" t="s">
        <v>4127</v>
      </c>
      <c r="F981" s="16" t="s">
        <v>1285</v>
      </c>
      <c r="G981" s="16" t="s">
        <v>322</v>
      </c>
      <c r="H981" s="16" t="s">
        <v>4018</v>
      </c>
      <c r="I981" s="16" t="s">
        <v>92</v>
      </c>
      <c r="J981" s="16" t="s">
        <v>4154</v>
      </c>
      <c r="K981" s="32" t="n">
        <v>3</v>
      </c>
      <c r="L981" s="33" t="n">
        <v>46428</v>
      </c>
      <c r="M981" s="33" t="n">
        <v>46430</v>
      </c>
      <c r="N981" s="16" t="s">
        <v>4157</v>
      </c>
      <c r="O981" s="16"/>
      <c r="P981" s="16" t="str">
        <f aca="false">IF(AND(L981&lt;=$D$2,M981&gt;=$C$2),"Sí","")</f>
        <v/>
      </c>
      <c r="Q981" s="18" t="str">
        <f aca="false">IF(COUNTIF(LOOKAHEAD!$A$5:$A$604,A981)&gt;0,"En Lookahead",IF(P981="Sí","INCORPORAR",""))</f>
        <v/>
      </c>
    </row>
    <row r="982" customFormat="false" ht="15" hidden="false" customHeight="false" outlineLevel="0" collapsed="false">
      <c r="A982" s="16" t="s">
        <v>4158</v>
      </c>
      <c r="B982" s="16" t="n">
        <v>977</v>
      </c>
      <c r="C982" s="16" t="s">
        <v>4159</v>
      </c>
      <c r="D982" s="16" t="n">
        <v>7</v>
      </c>
      <c r="E982" s="37" t="s">
        <v>4160</v>
      </c>
      <c r="F982" s="16" t="s">
        <v>1285</v>
      </c>
      <c r="G982" s="16" t="s">
        <v>322</v>
      </c>
      <c r="H982" s="16" t="s">
        <v>4018</v>
      </c>
      <c r="I982" s="16" t="s">
        <v>92</v>
      </c>
      <c r="J982" s="16" t="s">
        <v>4154</v>
      </c>
      <c r="K982" s="32" t="n">
        <v>117</v>
      </c>
      <c r="L982" s="33" t="n">
        <v>46311</v>
      </c>
      <c r="M982" s="33" t="n">
        <v>46427</v>
      </c>
      <c r="N982" s="16" t="s">
        <v>4161</v>
      </c>
      <c r="O982" s="16"/>
      <c r="P982" s="16" t="str">
        <f aca="false">IF(AND(L982&lt;=$D$2,M982&gt;=$C$2),"Sí","")</f>
        <v>Sí</v>
      </c>
      <c r="Q982" s="18" t="str">
        <f aca="false">IF(COUNTIF(LOOKAHEAD!$A$5:$A$604,A982)&gt;0,"En Lookahead",IF(P982="Sí","INCORPORAR",""))</f>
        <v>En Lookahead</v>
      </c>
    </row>
    <row r="983" customFormat="false" ht="15" hidden="false" customHeight="false" outlineLevel="0" collapsed="false">
      <c r="A983" s="16" t="s">
        <v>4162</v>
      </c>
      <c r="B983" s="16" t="n">
        <v>978</v>
      </c>
      <c r="C983" s="16" t="s">
        <v>4163</v>
      </c>
      <c r="D983" s="16" t="n">
        <v>7</v>
      </c>
      <c r="E983" s="37" t="s">
        <v>4164</v>
      </c>
      <c r="F983" s="16" t="s">
        <v>1285</v>
      </c>
      <c r="G983" s="16" t="s">
        <v>322</v>
      </c>
      <c r="H983" s="16" t="s">
        <v>4018</v>
      </c>
      <c r="I983" s="16" t="s">
        <v>92</v>
      </c>
      <c r="J983" s="16" t="s">
        <v>4154</v>
      </c>
      <c r="K983" s="32" t="n">
        <v>26</v>
      </c>
      <c r="L983" s="33" t="n">
        <v>46285</v>
      </c>
      <c r="M983" s="33" t="n">
        <v>46310</v>
      </c>
      <c r="N983" s="16" t="s">
        <v>4090</v>
      </c>
      <c r="O983" s="16"/>
      <c r="P983" s="16" t="str">
        <f aca="false">IF(AND(L983&lt;=$D$2,M983&gt;=$C$2),"Sí","")</f>
        <v>Sí</v>
      </c>
      <c r="Q983" s="18" t="str">
        <f aca="false">IF(COUNTIF(LOOKAHEAD!$A$5:$A$604,A983)&gt;0,"En Lookahead",IF(P983="Sí","INCORPORAR",""))</f>
        <v>En Lookahead</v>
      </c>
    </row>
    <row r="984" customFormat="false" ht="15" hidden="false" customHeight="false" outlineLevel="0" collapsed="false">
      <c r="A984" s="16" t="s">
        <v>4165</v>
      </c>
      <c r="B984" s="16" t="n">
        <v>979</v>
      </c>
      <c r="C984" s="16" t="s">
        <v>4166</v>
      </c>
      <c r="D984" s="16" t="n">
        <v>7</v>
      </c>
      <c r="E984" s="37" t="s">
        <v>1677</v>
      </c>
      <c r="F984" s="16" t="s">
        <v>1285</v>
      </c>
      <c r="G984" s="16" t="s">
        <v>322</v>
      </c>
      <c r="H984" s="16" t="s">
        <v>4018</v>
      </c>
      <c r="I984" s="16" t="s">
        <v>92</v>
      </c>
      <c r="J984" s="16" t="s">
        <v>4154</v>
      </c>
      <c r="K984" s="32" t="n">
        <v>13</v>
      </c>
      <c r="L984" s="33" t="n">
        <v>46431</v>
      </c>
      <c r="M984" s="33" t="n">
        <v>46443</v>
      </c>
      <c r="N984" s="16" t="s">
        <v>4167</v>
      </c>
      <c r="O984" s="16"/>
      <c r="P984" s="16" t="str">
        <f aca="false">IF(AND(L984&lt;=$D$2,M984&gt;=$C$2),"Sí","")</f>
        <v/>
      </c>
      <c r="Q984" s="18" t="str">
        <f aca="false">IF(COUNTIF(LOOKAHEAD!$A$5:$A$604,A984)&gt;0,"En Lookahead",IF(P984="Sí","INCORPORAR",""))</f>
        <v/>
      </c>
    </row>
    <row r="985" customFormat="false" ht="15" hidden="false" customHeight="false" outlineLevel="0" collapsed="false">
      <c r="A985" s="13" t="s">
        <v>4168</v>
      </c>
      <c r="B985" s="13" t="n">
        <v>980</v>
      </c>
      <c r="C985" s="13" t="s">
        <v>4169</v>
      </c>
      <c r="D985" s="13" t="n">
        <v>6</v>
      </c>
      <c r="E985" s="36" t="s">
        <v>1786</v>
      </c>
      <c r="F985" s="13" t="s">
        <v>1298</v>
      </c>
      <c r="G985" s="13" t="s">
        <v>322</v>
      </c>
      <c r="H985" s="13" t="s">
        <v>4018</v>
      </c>
      <c r="I985" s="13" t="s">
        <v>92</v>
      </c>
      <c r="J985" s="13" t="s">
        <v>1623</v>
      </c>
      <c r="K985" s="30" t="n">
        <v>168</v>
      </c>
      <c r="L985" s="31" t="n">
        <v>46318</v>
      </c>
      <c r="M985" s="31" t="n">
        <v>46485</v>
      </c>
      <c r="N985" s="13"/>
      <c r="O985" s="13" t="s">
        <v>1299</v>
      </c>
      <c r="P985" s="13"/>
      <c r="Q985" s="13"/>
    </row>
    <row r="986" customFormat="false" ht="15" hidden="false" customHeight="false" outlineLevel="0" collapsed="false">
      <c r="A986" s="13" t="s">
        <v>4170</v>
      </c>
      <c r="B986" s="13" t="n">
        <v>981</v>
      </c>
      <c r="C986" s="13" t="s">
        <v>4171</v>
      </c>
      <c r="D986" s="13" t="n">
        <v>7</v>
      </c>
      <c r="E986" s="38" t="s">
        <v>1789</v>
      </c>
      <c r="F986" s="13" t="s">
        <v>1298</v>
      </c>
      <c r="G986" s="13" t="s">
        <v>322</v>
      </c>
      <c r="H986" s="13" t="s">
        <v>4018</v>
      </c>
      <c r="I986" s="13" t="s">
        <v>92</v>
      </c>
      <c r="J986" s="13" t="s">
        <v>1786</v>
      </c>
      <c r="K986" s="30" t="n">
        <v>70</v>
      </c>
      <c r="L986" s="31" t="n">
        <v>46318</v>
      </c>
      <c r="M986" s="31" t="n">
        <v>46387</v>
      </c>
      <c r="N986" s="13"/>
      <c r="O986" s="13" t="s">
        <v>1299</v>
      </c>
      <c r="P986" s="13"/>
      <c r="Q986" s="13"/>
    </row>
    <row r="987" customFormat="false" ht="15" hidden="false" customHeight="false" outlineLevel="0" collapsed="false">
      <c r="A987" s="16" t="s">
        <v>4172</v>
      </c>
      <c r="B987" s="16" t="n">
        <v>982</v>
      </c>
      <c r="C987" s="16" t="s">
        <v>4173</v>
      </c>
      <c r="D987" s="16" t="n">
        <v>8</v>
      </c>
      <c r="E987" s="39" t="s">
        <v>1792</v>
      </c>
      <c r="F987" s="16" t="s">
        <v>1285</v>
      </c>
      <c r="G987" s="16" t="s">
        <v>322</v>
      </c>
      <c r="H987" s="16" t="s">
        <v>4018</v>
      </c>
      <c r="I987" s="16" t="s">
        <v>92</v>
      </c>
      <c r="J987" s="16" t="s">
        <v>1789</v>
      </c>
      <c r="K987" s="32" t="n">
        <v>1</v>
      </c>
      <c r="L987" s="33" t="n">
        <v>46382</v>
      </c>
      <c r="M987" s="33" t="n">
        <v>46382</v>
      </c>
      <c r="N987" s="16" t="s">
        <v>4174</v>
      </c>
      <c r="O987" s="16"/>
      <c r="P987" s="16" t="str">
        <f aca="false">IF(AND(L987&lt;=$D$2,M987&gt;=$C$2),"Sí","")</f>
        <v/>
      </c>
      <c r="Q987" s="18" t="str">
        <f aca="false">IF(COUNTIF(LOOKAHEAD!$A$5:$A$604,A987)&gt;0,"En Lookahead",IF(P987="Sí","INCORPORAR",""))</f>
        <v/>
      </c>
    </row>
    <row r="988" customFormat="false" ht="15" hidden="false" customHeight="false" outlineLevel="0" collapsed="false">
      <c r="A988" s="16" t="s">
        <v>4175</v>
      </c>
      <c r="B988" s="16" t="n">
        <v>983</v>
      </c>
      <c r="C988" s="16" t="s">
        <v>4176</v>
      </c>
      <c r="D988" s="16" t="n">
        <v>8</v>
      </c>
      <c r="E988" s="39" t="s">
        <v>1796</v>
      </c>
      <c r="F988" s="16" t="s">
        <v>1285</v>
      </c>
      <c r="G988" s="16" t="s">
        <v>322</v>
      </c>
      <c r="H988" s="16" t="s">
        <v>4018</v>
      </c>
      <c r="I988" s="16" t="s">
        <v>92</v>
      </c>
      <c r="J988" s="16" t="s">
        <v>1789</v>
      </c>
      <c r="K988" s="32" t="n">
        <v>30</v>
      </c>
      <c r="L988" s="33" t="n">
        <v>46352</v>
      </c>
      <c r="M988" s="33" t="n">
        <v>46381</v>
      </c>
      <c r="N988" s="16" t="s">
        <v>4177</v>
      </c>
      <c r="O988" s="16"/>
      <c r="P988" s="16" t="str">
        <f aca="false">IF(AND(L988&lt;=$D$2,M988&gt;=$C$2),"Sí","")</f>
        <v/>
      </c>
      <c r="Q988" s="18" t="str">
        <f aca="false">IF(COUNTIF(LOOKAHEAD!$A$5:$A$604,A988)&gt;0,"En Lookahead",IF(P988="Sí","INCORPORAR",""))</f>
        <v/>
      </c>
    </row>
    <row r="989" customFormat="false" ht="15" hidden="false" customHeight="false" outlineLevel="0" collapsed="false">
      <c r="A989" s="16" t="s">
        <v>4178</v>
      </c>
      <c r="B989" s="16" t="n">
        <v>984</v>
      </c>
      <c r="C989" s="16" t="s">
        <v>4179</v>
      </c>
      <c r="D989" s="16" t="n">
        <v>8</v>
      </c>
      <c r="E989" s="39" t="s">
        <v>1800</v>
      </c>
      <c r="F989" s="16" t="s">
        <v>1285</v>
      </c>
      <c r="G989" s="16" t="s">
        <v>322</v>
      </c>
      <c r="H989" s="16" t="s">
        <v>4018</v>
      </c>
      <c r="I989" s="16" t="s">
        <v>92</v>
      </c>
      <c r="J989" s="16" t="s">
        <v>1789</v>
      </c>
      <c r="K989" s="32" t="n">
        <v>34</v>
      </c>
      <c r="L989" s="33" t="n">
        <v>46318</v>
      </c>
      <c r="M989" s="33" t="n">
        <v>46351</v>
      </c>
      <c r="N989" s="16" t="s">
        <v>4180</v>
      </c>
      <c r="O989" s="16" t="s">
        <v>1299</v>
      </c>
      <c r="P989" s="16" t="str">
        <f aca="false">IF(AND(L989&lt;=$D$2,M989&gt;=$C$2),"Sí","")</f>
        <v>Sí</v>
      </c>
      <c r="Q989" s="18" t="str">
        <f aca="false">IF(COUNTIF(LOOKAHEAD!$A$5:$A$604,A989)&gt;0,"En Lookahead",IF(P989="Sí","INCORPORAR",""))</f>
        <v>En Lookahead</v>
      </c>
    </row>
    <row r="990" customFormat="false" ht="15" hidden="false" customHeight="false" outlineLevel="0" collapsed="false">
      <c r="A990" s="16" t="s">
        <v>4181</v>
      </c>
      <c r="B990" s="16" t="n">
        <v>985</v>
      </c>
      <c r="C990" s="16" t="s">
        <v>4182</v>
      </c>
      <c r="D990" s="16" t="n">
        <v>8</v>
      </c>
      <c r="E990" s="39" t="s">
        <v>1602</v>
      </c>
      <c r="F990" s="16" t="s">
        <v>1285</v>
      </c>
      <c r="G990" s="16" t="s">
        <v>322</v>
      </c>
      <c r="H990" s="16" t="s">
        <v>4018</v>
      </c>
      <c r="I990" s="16" t="s">
        <v>92</v>
      </c>
      <c r="J990" s="16" t="s">
        <v>1789</v>
      </c>
      <c r="K990" s="32" t="n">
        <v>5</v>
      </c>
      <c r="L990" s="33" t="n">
        <v>46383</v>
      </c>
      <c r="M990" s="33" t="n">
        <v>46387</v>
      </c>
      <c r="N990" s="16" t="s">
        <v>4117</v>
      </c>
      <c r="O990" s="16"/>
      <c r="P990" s="16" t="str">
        <f aca="false">IF(AND(L990&lt;=$D$2,M990&gt;=$C$2),"Sí","")</f>
        <v/>
      </c>
      <c r="Q990" s="18" t="str">
        <f aca="false">IF(COUNTIF(LOOKAHEAD!$A$5:$A$604,A990)&gt;0,"En Lookahead",IF(P990="Sí","INCORPORAR",""))</f>
        <v/>
      </c>
    </row>
    <row r="991" customFormat="false" ht="15" hidden="false" customHeight="false" outlineLevel="0" collapsed="false">
      <c r="A991" s="13" t="s">
        <v>4183</v>
      </c>
      <c r="B991" s="13" t="n">
        <v>986</v>
      </c>
      <c r="C991" s="13" t="s">
        <v>4184</v>
      </c>
      <c r="D991" s="13" t="n">
        <v>7</v>
      </c>
      <c r="E991" s="38" t="s">
        <v>1806</v>
      </c>
      <c r="F991" s="13" t="s">
        <v>1298</v>
      </c>
      <c r="G991" s="13" t="s">
        <v>322</v>
      </c>
      <c r="H991" s="13" t="s">
        <v>4018</v>
      </c>
      <c r="I991" s="13" t="s">
        <v>92</v>
      </c>
      <c r="J991" s="13" t="s">
        <v>1786</v>
      </c>
      <c r="K991" s="30" t="n">
        <v>80</v>
      </c>
      <c r="L991" s="31" t="n">
        <v>46406</v>
      </c>
      <c r="M991" s="31" t="n">
        <v>46485</v>
      </c>
      <c r="N991" s="13"/>
      <c r="O991" s="13"/>
      <c r="P991" s="13"/>
      <c r="Q991" s="13"/>
    </row>
    <row r="992" customFormat="false" ht="15" hidden="false" customHeight="false" outlineLevel="0" collapsed="false">
      <c r="A992" s="16" t="s">
        <v>4185</v>
      </c>
      <c r="B992" s="16" t="n">
        <v>987</v>
      </c>
      <c r="C992" s="16" t="s">
        <v>4186</v>
      </c>
      <c r="D992" s="16" t="n">
        <v>8</v>
      </c>
      <c r="E992" s="39" t="s">
        <v>1809</v>
      </c>
      <c r="F992" s="16" t="s">
        <v>1285</v>
      </c>
      <c r="G992" s="16" t="s">
        <v>322</v>
      </c>
      <c r="H992" s="16" t="s">
        <v>4018</v>
      </c>
      <c r="I992" s="16" t="s">
        <v>92</v>
      </c>
      <c r="J992" s="16" t="s">
        <v>1806</v>
      </c>
      <c r="K992" s="32" t="n">
        <v>1</v>
      </c>
      <c r="L992" s="33" t="n">
        <v>46481</v>
      </c>
      <c r="M992" s="33" t="n">
        <v>46481</v>
      </c>
      <c r="N992" s="16" t="s">
        <v>4187</v>
      </c>
      <c r="O992" s="16"/>
      <c r="P992" s="16" t="str">
        <f aca="false">IF(AND(L992&lt;=$D$2,M992&gt;=$C$2),"Sí","")</f>
        <v/>
      </c>
      <c r="Q992" s="18" t="str">
        <f aca="false">IF(COUNTIF(LOOKAHEAD!$A$5:$A$604,A992)&gt;0,"En Lookahead",IF(P992="Sí","INCORPORAR",""))</f>
        <v/>
      </c>
    </row>
    <row r="993" customFormat="false" ht="15" hidden="false" customHeight="false" outlineLevel="0" collapsed="false">
      <c r="A993" s="16" t="s">
        <v>4188</v>
      </c>
      <c r="B993" s="16" t="n">
        <v>988</v>
      </c>
      <c r="C993" s="16" t="s">
        <v>4189</v>
      </c>
      <c r="D993" s="16" t="n">
        <v>8</v>
      </c>
      <c r="E993" s="39" t="s">
        <v>1813</v>
      </c>
      <c r="F993" s="16" t="s">
        <v>1285</v>
      </c>
      <c r="G993" s="16" t="s">
        <v>322</v>
      </c>
      <c r="H993" s="16" t="s">
        <v>4018</v>
      </c>
      <c r="I993" s="16" t="s">
        <v>92</v>
      </c>
      <c r="J993" s="16" t="s">
        <v>1806</v>
      </c>
      <c r="K993" s="32" t="n">
        <v>40</v>
      </c>
      <c r="L993" s="33" t="n">
        <v>46441</v>
      </c>
      <c r="M993" s="33" t="n">
        <v>46480</v>
      </c>
      <c r="N993" s="16" t="s">
        <v>4190</v>
      </c>
      <c r="O993" s="16"/>
      <c r="P993" s="16" t="str">
        <f aca="false">IF(AND(L993&lt;=$D$2,M993&gt;=$C$2),"Sí","")</f>
        <v/>
      </c>
      <c r="Q993" s="18" t="str">
        <f aca="false">IF(COUNTIF(LOOKAHEAD!$A$5:$A$604,A993)&gt;0,"En Lookahead",IF(P993="Sí","INCORPORAR",""))</f>
        <v/>
      </c>
    </row>
    <row r="994" customFormat="false" ht="15" hidden="false" customHeight="false" outlineLevel="0" collapsed="false">
      <c r="A994" s="16" t="s">
        <v>4191</v>
      </c>
      <c r="B994" s="16" t="n">
        <v>989</v>
      </c>
      <c r="C994" s="16" t="s">
        <v>4192</v>
      </c>
      <c r="D994" s="16" t="n">
        <v>8</v>
      </c>
      <c r="E994" s="39" t="s">
        <v>1800</v>
      </c>
      <c r="F994" s="16" t="s">
        <v>1285</v>
      </c>
      <c r="G994" s="16" t="s">
        <v>322</v>
      </c>
      <c r="H994" s="16" t="s">
        <v>4018</v>
      </c>
      <c r="I994" s="16" t="s">
        <v>92</v>
      </c>
      <c r="J994" s="16" t="s">
        <v>1806</v>
      </c>
      <c r="K994" s="32" t="n">
        <v>35</v>
      </c>
      <c r="L994" s="33" t="n">
        <v>46406</v>
      </c>
      <c r="M994" s="33" t="n">
        <v>46440</v>
      </c>
      <c r="N994" s="16" t="s">
        <v>4193</v>
      </c>
      <c r="O994" s="16"/>
      <c r="P994" s="16" t="str">
        <f aca="false">IF(AND(L994&lt;=$D$2,M994&gt;=$C$2),"Sí","")</f>
        <v/>
      </c>
      <c r="Q994" s="18" t="str">
        <f aca="false">IF(COUNTIF(LOOKAHEAD!$A$5:$A$604,A994)&gt;0,"En Lookahead",IF(P994="Sí","INCORPORAR",""))</f>
        <v/>
      </c>
    </row>
    <row r="995" customFormat="false" ht="15" hidden="false" customHeight="false" outlineLevel="0" collapsed="false">
      <c r="A995" s="16" t="s">
        <v>4194</v>
      </c>
      <c r="B995" s="16" t="n">
        <v>990</v>
      </c>
      <c r="C995" s="16" t="s">
        <v>4195</v>
      </c>
      <c r="D995" s="16" t="n">
        <v>8</v>
      </c>
      <c r="E995" s="39" t="s">
        <v>1602</v>
      </c>
      <c r="F995" s="16" t="s">
        <v>1285</v>
      </c>
      <c r="G995" s="16" t="s">
        <v>322</v>
      </c>
      <c r="H995" s="16" t="s">
        <v>4018</v>
      </c>
      <c r="I995" s="16" t="s">
        <v>92</v>
      </c>
      <c r="J995" s="16" t="s">
        <v>1806</v>
      </c>
      <c r="K995" s="32" t="n">
        <v>4</v>
      </c>
      <c r="L995" s="33" t="n">
        <v>46482</v>
      </c>
      <c r="M995" s="33" t="n">
        <v>46485</v>
      </c>
      <c r="N995" s="16" t="s">
        <v>4196</v>
      </c>
      <c r="O995" s="16"/>
      <c r="P995" s="16" t="str">
        <f aca="false">IF(AND(L995&lt;=$D$2,M995&gt;=$C$2),"Sí","")</f>
        <v/>
      </c>
      <c r="Q995" s="18" t="str">
        <f aca="false">IF(COUNTIF(LOOKAHEAD!$A$5:$A$604,A995)&gt;0,"En Lookahead",IF(P995="Sí","INCORPORAR",""))</f>
        <v/>
      </c>
    </row>
    <row r="996" customFormat="false" ht="15" hidden="false" customHeight="false" outlineLevel="0" collapsed="false">
      <c r="A996" s="13" t="s">
        <v>4197</v>
      </c>
      <c r="B996" s="13" t="n">
        <v>991</v>
      </c>
      <c r="C996" s="13" t="s">
        <v>4198</v>
      </c>
      <c r="D996" s="13" t="n">
        <v>6</v>
      </c>
      <c r="E996" s="36" t="s">
        <v>1853</v>
      </c>
      <c r="F996" s="13" t="s">
        <v>1298</v>
      </c>
      <c r="G996" s="13" t="s">
        <v>322</v>
      </c>
      <c r="H996" s="13" t="s">
        <v>4018</v>
      </c>
      <c r="I996" s="13" t="s">
        <v>92</v>
      </c>
      <c r="J996" s="13" t="s">
        <v>1623</v>
      </c>
      <c r="K996" s="30" t="n">
        <v>165</v>
      </c>
      <c r="L996" s="31" t="n">
        <v>46318</v>
      </c>
      <c r="M996" s="31" t="n">
        <v>46482</v>
      </c>
      <c r="N996" s="13"/>
      <c r="O996" s="13" t="s">
        <v>1299</v>
      </c>
      <c r="P996" s="13"/>
      <c r="Q996" s="13"/>
    </row>
    <row r="997" customFormat="false" ht="15" hidden="false" customHeight="false" outlineLevel="0" collapsed="false">
      <c r="A997" s="13" t="s">
        <v>4199</v>
      </c>
      <c r="B997" s="13" t="n">
        <v>992</v>
      </c>
      <c r="C997" s="13" t="s">
        <v>4200</v>
      </c>
      <c r="D997" s="13" t="n">
        <v>7</v>
      </c>
      <c r="E997" s="38" t="s">
        <v>1856</v>
      </c>
      <c r="F997" s="13" t="s">
        <v>1298</v>
      </c>
      <c r="G997" s="13" t="s">
        <v>322</v>
      </c>
      <c r="H997" s="13" t="s">
        <v>4018</v>
      </c>
      <c r="I997" s="13" t="s">
        <v>92</v>
      </c>
      <c r="J997" s="13" t="s">
        <v>1853</v>
      </c>
      <c r="K997" s="30" t="n">
        <v>26</v>
      </c>
      <c r="L997" s="31" t="n">
        <v>46318</v>
      </c>
      <c r="M997" s="31" t="n">
        <v>46343</v>
      </c>
      <c r="N997" s="13"/>
      <c r="O997" s="13" t="s">
        <v>1299</v>
      </c>
      <c r="P997" s="13"/>
      <c r="Q997" s="13"/>
    </row>
    <row r="998" customFormat="false" ht="15" hidden="false" customHeight="false" outlineLevel="0" collapsed="false">
      <c r="A998" s="16" t="s">
        <v>4201</v>
      </c>
      <c r="B998" s="16" t="n">
        <v>993</v>
      </c>
      <c r="C998" s="16" t="s">
        <v>4202</v>
      </c>
      <c r="D998" s="16" t="n">
        <v>8</v>
      </c>
      <c r="E998" s="39" t="s">
        <v>1859</v>
      </c>
      <c r="F998" s="16" t="s">
        <v>1285</v>
      </c>
      <c r="G998" s="16" t="s">
        <v>322</v>
      </c>
      <c r="H998" s="16" t="s">
        <v>4018</v>
      </c>
      <c r="I998" s="16" t="s">
        <v>92</v>
      </c>
      <c r="J998" s="16" t="s">
        <v>1856</v>
      </c>
      <c r="K998" s="32" t="n">
        <v>1</v>
      </c>
      <c r="L998" s="33" t="n">
        <v>46339</v>
      </c>
      <c r="M998" s="33" t="n">
        <v>46339</v>
      </c>
      <c r="N998" s="16" t="s">
        <v>4203</v>
      </c>
      <c r="O998" s="16" t="s">
        <v>1299</v>
      </c>
      <c r="P998" s="16" t="str">
        <f aca="false">IF(AND(L998&lt;=$D$2,M998&gt;=$C$2),"Sí","")</f>
        <v>Sí</v>
      </c>
      <c r="Q998" s="18" t="str">
        <f aca="false">IF(COUNTIF(LOOKAHEAD!$A$5:$A$604,A998)&gt;0,"En Lookahead",IF(P998="Sí","INCORPORAR",""))</f>
        <v>En Lookahead</v>
      </c>
    </row>
    <row r="999" customFormat="false" ht="15" hidden="false" customHeight="false" outlineLevel="0" collapsed="false">
      <c r="A999" s="16" t="s">
        <v>4204</v>
      </c>
      <c r="B999" s="16" t="n">
        <v>994</v>
      </c>
      <c r="C999" s="16" t="s">
        <v>4205</v>
      </c>
      <c r="D999" s="16" t="n">
        <v>8</v>
      </c>
      <c r="E999" s="39" t="s">
        <v>1863</v>
      </c>
      <c r="F999" s="16" t="s">
        <v>1285</v>
      </c>
      <c r="G999" s="16" t="s">
        <v>322</v>
      </c>
      <c r="H999" s="16" t="s">
        <v>4018</v>
      </c>
      <c r="I999" s="16" t="s">
        <v>92</v>
      </c>
      <c r="J999" s="16" t="s">
        <v>1856</v>
      </c>
      <c r="K999" s="32" t="n">
        <v>10</v>
      </c>
      <c r="L999" s="33" t="n">
        <v>46318</v>
      </c>
      <c r="M999" s="33" t="n">
        <v>46327</v>
      </c>
      <c r="N999" s="16" t="s">
        <v>4206</v>
      </c>
      <c r="O999" s="16" t="s">
        <v>1299</v>
      </c>
      <c r="P999" s="16" t="str">
        <f aca="false">IF(AND(L999&lt;=$D$2,M999&gt;=$C$2),"Sí","")</f>
        <v>Sí</v>
      </c>
      <c r="Q999" s="18" t="str">
        <f aca="false">IF(COUNTIF(LOOKAHEAD!$A$5:$A$604,A999)&gt;0,"En Lookahead",IF(P999="Sí","INCORPORAR",""))</f>
        <v>En Lookahead</v>
      </c>
    </row>
    <row r="1000" customFormat="false" ht="15" hidden="false" customHeight="false" outlineLevel="0" collapsed="false">
      <c r="A1000" s="16" t="s">
        <v>4207</v>
      </c>
      <c r="B1000" s="16" t="n">
        <v>995</v>
      </c>
      <c r="C1000" s="16" t="s">
        <v>4208</v>
      </c>
      <c r="D1000" s="16" t="n">
        <v>8</v>
      </c>
      <c r="E1000" s="39" t="s">
        <v>1867</v>
      </c>
      <c r="F1000" s="16" t="s">
        <v>1285</v>
      </c>
      <c r="G1000" s="16" t="s">
        <v>322</v>
      </c>
      <c r="H1000" s="16" t="s">
        <v>4018</v>
      </c>
      <c r="I1000" s="16" t="s">
        <v>92</v>
      </c>
      <c r="J1000" s="16" t="s">
        <v>1856</v>
      </c>
      <c r="K1000" s="32" t="n">
        <v>9</v>
      </c>
      <c r="L1000" s="33" t="n">
        <v>46330</v>
      </c>
      <c r="M1000" s="33" t="n">
        <v>46338</v>
      </c>
      <c r="N1000" s="16" t="s">
        <v>4209</v>
      </c>
      <c r="O1000" s="16" t="s">
        <v>1299</v>
      </c>
      <c r="P1000" s="16" t="str">
        <f aca="false">IF(AND(L1000&lt;=$D$2,M1000&gt;=$C$2),"Sí","")</f>
        <v>Sí</v>
      </c>
      <c r="Q1000" s="18" t="str">
        <f aca="false">IF(COUNTIF(LOOKAHEAD!$A$5:$A$604,A1000)&gt;0,"En Lookahead",IF(P1000="Sí","INCORPORAR",""))</f>
        <v>En Lookahead</v>
      </c>
    </row>
    <row r="1001" customFormat="false" ht="15" hidden="false" customHeight="false" outlineLevel="0" collapsed="false">
      <c r="A1001" s="16" t="s">
        <v>4210</v>
      </c>
      <c r="B1001" s="16" t="n">
        <v>996</v>
      </c>
      <c r="C1001" s="16" t="s">
        <v>4211</v>
      </c>
      <c r="D1001" s="16" t="n">
        <v>8</v>
      </c>
      <c r="E1001" s="39" t="s">
        <v>3249</v>
      </c>
      <c r="F1001" s="16" t="s">
        <v>1285</v>
      </c>
      <c r="G1001" s="16" t="s">
        <v>322</v>
      </c>
      <c r="H1001" s="16" t="s">
        <v>4018</v>
      </c>
      <c r="I1001" s="16" t="s">
        <v>92</v>
      </c>
      <c r="J1001" s="16" t="s">
        <v>1856</v>
      </c>
      <c r="K1001" s="32" t="n">
        <v>2</v>
      </c>
      <c r="L1001" s="33" t="n">
        <v>46328</v>
      </c>
      <c r="M1001" s="33" t="n">
        <v>46329</v>
      </c>
      <c r="N1001" s="16" t="s">
        <v>4212</v>
      </c>
      <c r="O1001" s="16" t="s">
        <v>1299</v>
      </c>
      <c r="P1001" s="16" t="str">
        <f aca="false">IF(AND(L1001&lt;=$D$2,M1001&gt;=$C$2),"Sí","")</f>
        <v>Sí</v>
      </c>
      <c r="Q1001" s="18" t="str">
        <f aca="false">IF(COUNTIF(LOOKAHEAD!$A$5:$A$604,A1001)&gt;0,"En Lookahead",IF(P1001="Sí","INCORPORAR",""))</f>
        <v>En Lookahead</v>
      </c>
    </row>
    <row r="1002" customFormat="false" ht="15" hidden="false" customHeight="false" outlineLevel="0" collapsed="false">
      <c r="A1002" s="16" t="s">
        <v>4213</v>
      </c>
      <c r="B1002" s="16" t="n">
        <v>997</v>
      </c>
      <c r="C1002" s="16" t="s">
        <v>4214</v>
      </c>
      <c r="D1002" s="16" t="n">
        <v>8</v>
      </c>
      <c r="E1002" s="39" t="s">
        <v>1602</v>
      </c>
      <c r="F1002" s="16" t="s">
        <v>1285</v>
      </c>
      <c r="G1002" s="16" t="s">
        <v>322</v>
      </c>
      <c r="H1002" s="16" t="s">
        <v>4018</v>
      </c>
      <c r="I1002" s="16" t="s">
        <v>92</v>
      </c>
      <c r="J1002" s="16" t="s">
        <v>1856</v>
      </c>
      <c r="K1002" s="32" t="n">
        <v>4</v>
      </c>
      <c r="L1002" s="33" t="n">
        <v>46340</v>
      </c>
      <c r="M1002" s="33" t="n">
        <v>46343</v>
      </c>
      <c r="N1002" s="16" t="s">
        <v>4215</v>
      </c>
      <c r="O1002" s="16"/>
      <c r="P1002" s="16" t="str">
        <f aca="false">IF(AND(L1002&lt;=$D$2,M1002&gt;=$C$2),"Sí","")</f>
        <v>Sí</v>
      </c>
      <c r="Q1002" s="18" t="str">
        <f aca="false">IF(COUNTIF(LOOKAHEAD!$A$5:$A$604,A1002)&gt;0,"En Lookahead",IF(P1002="Sí","INCORPORAR",""))</f>
        <v>En Lookahead</v>
      </c>
    </row>
    <row r="1003" customFormat="false" ht="15" hidden="false" customHeight="false" outlineLevel="0" collapsed="false">
      <c r="A1003" s="13" t="s">
        <v>4216</v>
      </c>
      <c r="B1003" s="13" t="n">
        <v>998</v>
      </c>
      <c r="C1003" s="13" t="s">
        <v>4217</v>
      </c>
      <c r="D1003" s="13" t="n">
        <v>7</v>
      </c>
      <c r="E1003" s="38" t="s">
        <v>1878</v>
      </c>
      <c r="F1003" s="13" t="s">
        <v>1298</v>
      </c>
      <c r="G1003" s="13" t="s">
        <v>322</v>
      </c>
      <c r="H1003" s="13" t="s">
        <v>4018</v>
      </c>
      <c r="I1003" s="13" t="s">
        <v>92</v>
      </c>
      <c r="J1003" s="13" t="s">
        <v>1853</v>
      </c>
      <c r="K1003" s="30" t="n">
        <v>42</v>
      </c>
      <c r="L1003" s="31" t="n">
        <v>46441</v>
      </c>
      <c r="M1003" s="31" t="n">
        <v>46482</v>
      </c>
      <c r="N1003" s="13"/>
      <c r="O1003" s="13"/>
      <c r="P1003" s="13"/>
      <c r="Q1003" s="13"/>
    </row>
    <row r="1004" customFormat="false" ht="15" hidden="false" customHeight="false" outlineLevel="0" collapsed="false">
      <c r="A1004" s="16" t="s">
        <v>4218</v>
      </c>
      <c r="B1004" s="16" t="n">
        <v>999</v>
      </c>
      <c r="C1004" s="16" t="s">
        <v>4219</v>
      </c>
      <c r="D1004" s="16" t="n">
        <v>8</v>
      </c>
      <c r="E1004" s="39" t="s">
        <v>1881</v>
      </c>
      <c r="F1004" s="16" t="s">
        <v>1285</v>
      </c>
      <c r="G1004" s="16" t="s">
        <v>322</v>
      </c>
      <c r="H1004" s="16" t="s">
        <v>4018</v>
      </c>
      <c r="I1004" s="16" t="s">
        <v>92</v>
      </c>
      <c r="J1004" s="16" t="s">
        <v>1878</v>
      </c>
      <c r="K1004" s="32" t="n">
        <v>1</v>
      </c>
      <c r="L1004" s="33" t="n">
        <v>46478</v>
      </c>
      <c r="M1004" s="33" t="n">
        <v>46478</v>
      </c>
      <c r="N1004" s="16" t="s">
        <v>4220</v>
      </c>
      <c r="O1004" s="16"/>
      <c r="P1004" s="16" t="str">
        <f aca="false">IF(AND(L1004&lt;=$D$2,M1004&gt;=$C$2),"Sí","")</f>
        <v/>
      </c>
      <c r="Q1004" s="18" t="str">
        <f aca="false">IF(COUNTIF(LOOKAHEAD!$A$5:$A$604,A1004)&gt;0,"En Lookahead",IF(P1004="Sí","INCORPORAR",""))</f>
        <v/>
      </c>
    </row>
    <row r="1005" customFormat="false" ht="15" hidden="false" customHeight="false" outlineLevel="0" collapsed="false">
      <c r="A1005" s="16" t="s">
        <v>4221</v>
      </c>
      <c r="B1005" s="16" t="n">
        <v>1000</v>
      </c>
      <c r="C1005" s="16" t="s">
        <v>4222</v>
      </c>
      <c r="D1005" s="16" t="n">
        <v>8</v>
      </c>
      <c r="E1005" s="39" t="s">
        <v>1885</v>
      </c>
      <c r="F1005" s="16" t="s">
        <v>1285</v>
      </c>
      <c r="G1005" s="16" t="s">
        <v>322</v>
      </c>
      <c r="H1005" s="16" t="s">
        <v>4018</v>
      </c>
      <c r="I1005" s="16" t="s">
        <v>92</v>
      </c>
      <c r="J1005" s="16" t="s">
        <v>1878</v>
      </c>
      <c r="K1005" s="32" t="n">
        <v>28</v>
      </c>
      <c r="L1005" s="33" t="n">
        <v>46441</v>
      </c>
      <c r="M1005" s="33" t="n">
        <v>46468</v>
      </c>
      <c r="N1005" s="16" t="s">
        <v>4223</v>
      </c>
      <c r="O1005" s="16"/>
      <c r="P1005" s="16" t="str">
        <f aca="false">IF(AND(L1005&lt;=$D$2,M1005&gt;=$C$2),"Sí","")</f>
        <v/>
      </c>
      <c r="Q1005" s="18" t="str">
        <f aca="false">IF(COUNTIF(LOOKAHEAD!$A$5:$A$604,A1005)&gt;0,"En Lookahead",IF(P1005="Sí","INCORPORAR",""))</f>
        <v/>
      </c>
    </row>
    <row r="1006" customFormat="false" ht="15" hidden="false" customHeight="false" outlineLevel="0" collapsed="false">
      <c r="A1006" s="16" t="s">
        <v>4224</v>
      </c>
      <c r="B1006" s="16" t="n">
        <v>1001</v>
      </c>
      <c r="C1006" s="16" t="s">
        <v>4225</v>
      </c>
      <c r="D1006" s="16" t="n">
        <v>8</v>
      </c>
      <c r="E1006" s="39" t="s">
        <v>1867</v>
      </c>
      <c r="F1006" s="16" t="s">
        <v>1285</v>
      </c>
      <c r="G1006" s="16" t="s">
        <v>322</v>
      </c>
      <c r="H1006" s="16" t="s">
        <v>4018</v>
      </c>
      <c r="I1006" s="16" t="s">
        <v>92</v>
      </c>
      <c r="J1006" s="16" t="s">
        <v>1878</v>
      </c>
      <c r="K1006" s="32" t="n">
        <v>7</v>
      </c>
      <c r="L1006" s="33" t="n">
        <v>46471</v>
      </c>
      <c r="M1006" s="33" t="n">
        <v>46477</v>
      </c>
      <c r="N1006" s="16" t="s">
        <v>4226</v>
      </c>
      <c r="O1006" s="16"/>
      <c r="P1006" s="16" t="str">
        <f aca="false">IF(AND(L1006&lt;=$D$2,M1006&gt;=$C$2),"Sí","")</f>
        <v/>
      </c>
      <c r="Q1006" s="18" t="str">
        <f aca="false">IF(COUNTIF(LOOKAHEAD!$A$5:$A$604,A1006)&gt;0,"En Lookahead",IF(P1006="Sí","INCORPORAR",""))</f>
        <v/>
      </c>
    </row>
    <row r="1007" customFormat="false" ht="15" hidden="false" customHeight="false" outlineLevel="0" collapsed="false">
      <c r="A1007" s="16" t="s">
        <v>4227</v>
      </c>
      <c r="B1007" s="16" t="n">
        <v>1002</v>
      </c>
      <c r="C1007" s="16" t="s">
        <v>4228</v>
      </c>
      <c r="D1007" s="16" t="n">
        <v>8</v>
      </c>
      <c r="E1007" s="39" t="s">
        <v>3267</v>
      </c>
      <c r="F1007" s="16" t="s">
        <v>1285</v>
      </c>
      <c r="G1007" s="16" t="s">
        <v>322</v>
      </c>
      <c r="H1007" s="16" t="s">
        <v>4018</v>
      </c>
      <c r="I1007" s="16" t="s">
        <v>92</v>
      </c>
      <c r="J1007" s="16" t="s">
        <v>1878</v>
      </c>
      <c r="K1007" s="32" t="n">
        <v>2</v>
      </c>
      <c r="L1007" s="33" t="n">
        <v>46469</v>
      </c>
      <c r="M1007" s="33" t="n">
        <v>46470</v>
      </c>
      <c r="N1007" s="16" t="s">
        <v>4229</v>
      </c>
      <c r="O1007" s="16"/>
      <c r="P1007" s="16" t="str">
        <f aca="false">IF(AND(L1007&lt;=$D$2,M1007&gt;=$C$2),"Sí","")</f>
        <v/>
      </c>
      <c r="Q1007" s="18" t="str">
        <f aca="false">IF(COUNTIF(LOOKAHEAD!$A$5:$A$604,A1007)&gt;0,"En Lookahead",IF(P1007="Sí","INCORPORAR",""))</f>
        <v/>
      </c>
    </row>
    <row r="1008" customFormat="false" ht="15" hidden="false" customHeight="false" outlineLevel="0" collapsed="false">
      <c r="A1008" s="16" t="s">
        <v>4230</v>
      </c>
      <c r="B1008" s="16" t="n">
        <v>1003</v>
      </c>
      <c r="C1008" s="16" t="s">
        <v>4231</v>
      </c>
      <c r="D1008" s="16" t="n">
        <v>8</v>
      </c>
      <c r="E1008" s="39" t="s">
        <v>1602</v>
      </c>
      <c r="F1008" s="16" t="s">
        <v>1285</v>
      </c>
      <c r="G1008" s="16" t="s">
        <v>322</v>
      </c>
      <c r="H1008" s="16" t="s">
        <v>4018</v>
      </c>
      <c r="I1008" s="16" t="s">
        <v>92</v>
      </c>
      <c r="J1008" s="16" t="s">
        <v>1878</v>
      </c>
      <c r="K1008" s="32" t="n">
        <v>4</v>
      </c>
      <c r="L1008" s="33" t="n">
        <v>46479</v>
      </c>
      <c r="M1008" s="33" t="n">
        <v>46482</v>
      </c>
      <c r="N1008" s="16" t="s">
        <v>4232</v>
      </c>
      <c r="O1008" s="16"/>
      <c r="P1008" s="16" t="str">
        <f aca="false">IF(AND(L1008&lt;=$D$2,M1008&gt;=$C$2),"Sí","")</f>
        <v/>
      </c>
      <c r="Q1008" s="18" t="str">
        <f aca="false">IF(COUNTIF(LOOKAHEAD!$A$5:$A$604,A1008)&gt;0,"En Lookahead",IF(P1008="Sí","INCORPORAR",""))</f>
        <v/>
      </c>
    </row>
    <row r="1009" customFormat="false" ht="15" hidden="false" customHeight="false" outlineLevel="0" collapsed="false">
      <c r="A1009" s="13" t="s">
        <v>4233</v>
      </c>
      <c r="B1009" s="13" t="n">
        <v>1004</v>
      </c>
      <c r="C1009" s="13" t="s">
        <v>4234</v>
      </c>
      <c r="D1009" s="13" t="n">
        <v>6</v>
      </c>
      <c r="E1009" s="36" t="s">
        <v>1985</v>
      </c>
      <c r="F1009" s="13" t="s">
        <v>1298</v>
      </c>
      <c r="G1009" s="13" t="s">
        <v>322</v>
      </c>
      <c r="H1009" s="13" t="s">
        <v>4018</v>
      </c>
      <c r="I1009" s="13" t="s">
        <v>92</v>
      </c>
      <c r="J1009" s="13" t="s">
        <v>1623</v>
      </c>
      <c r="K1009" s="30" t="n">
        <v>9</v>
      </c>
      <c r="L1009" s="31" t="n">
        <v>46367</v>
      </c>
      <c r="M1009" s="31" t="n">
        <v>46375</v>
      </c>
      <c r="N1009" s="13"/>
      <c r="O1009" s="13"/>
      <c r="P1009" s="13"/>
      <c r="Q1009" s="13"/>
    </row>
    <row r="1010" customFormat="false" ht="15" hidden="false" customHeight="false" outlineLevel="0" collapsed="false">
      <c r="A1010" s="13" t="s">
        <v>4235</v>
      </c>
      <c r="B1010" s="13" t="n">
        <v>1005</v>
      </c>
      <c r="C1010" s="13" t="s">
        <v>4236</v>
      </c>
      <c r="D1010" s="13" t="n">
        <v>7</v>
      </c>
      <c r="E1010" s="38" t="s">
        <v>1988</v>
      </c>
      <c r="F1010" s="13" t="s">
        <v>1298</v>
      </c>
      <c r="G1010" s="13" t="s">
        <v>322</v>
      </c>
      <c r="H1010" s="13" t="s">
        <v>4018</v>
      </c>
      <c r="I1010" s="13" t="s">
        <v>92</v>
      </c>
      <c r="J1010" s="13" t="s">
        <v>1985</v>
      </c>
      <c r="K1010" s="30" t="n">
        <v>9</v>
      </c>
      <c r="L1010" s="31" t="n">
        <v>46367</v>
      </c>
      <c r="M1010" s="31" t="n">
        <v>46375</v>
      </c>
      <c r="N1010" s="13"/>
      <c r="O1010" s="13"/>
      <c r="P1010" s="13"/>
      <c r="Q1010" s="13"/>
    </row>
    <row r="1011" customFormat="false" ht="15" hidden="false" customHeight="false" outlineLevel="0" collapsed="false">
      <c r="A1011" s="16" t="s">
        <v>4237</v>
      </c>
      <c r="B1011" s="16" t="n">
        <v>1006</v>
      </c>
      <c r="C1011" s="16" t="s">
        <v>4238</v>
      </c>
      <c r="D1011" s="16" t="n">
        <v>8</v>
      </c>
      <c r="E1011" s="39" t="s">
        <v>1991</v>
      </c>
      <c r="F1011" s="16" t="s">
        <v>1285</v>
      </c>
      <c r="G1011" s="16" t="s">
        <v>322</v>
      </c>
      <c r="H1011" s="16" t="s">
        <v>4018</v>
      </c>
      <c r="I1011" s="16" t="s">
        <v>92</v>
      </c>
      <c r="J1011" s="16" t="s">
        <v>1988</v>
      </c>
      <c r="K1011" s="32" t="n">
        <v>1</v>
      </c>
      <c r="L1011" s="33" t="n">
        <v>46374</v>
      </c>
      <c r="M1011" s="33" t="n">
        <v>46374</v>
      </c>
      <c r="N1011" s="16" t="s">
        <v>4239</v>
      </c>
      <c r="O1011" s="16"/>
      <c r="P1011" s="16" t="str">
        <f aca="false">IF(AND(L1011&lt;=$D$2,M1011&gt;=$C$2),"Sí","")</f>
        <v/>
      </c>
      <c r="Q1011" s="18" t="str">
        <f aca="false">IF(COUNTIF(LOOKAHEAD!$A$5:$A$604,A1011)&gt;0,"En Lookahead",IF(P1011="Sí","INCORPORAR",""))</f>
        <v/>
      </c>
    </row>
    <row r="1012" customFormat="false" ht="15" hidden="false" customHeight="false" outlineLevel="0" collapsed="false">
      <c r="A1012" s="16" t="s">
        <v>4240</v>
      </c>
      <c r="B1012" s="16" t="n">
        <v>1007</v>
      </c>
      <c r="C1012" s="16" t="s">
        <v>4241</v>
      </c>
      <c r="D1012" s="16" t="n">
        <v>8</v>
      </c>
      <c r="E1012" s="39" t="s">
        <v>1995</v>
      </c>
      <c r="F1012" s="16" t="s">
        <v>1285</v>
      </c>
      <c r="G1012" s="16" t="s">
        <v>322</v>
      </c>
      <c r="H1012" s="16" t="s">
        <v>4018</v>
      </c>
      <c r="I1012" s="16" t="s">
        <v>92</v>
      </c>
      <c r="J1012" s="16" t="s">
        <v>1988</v>
      </c>
      <c r="K1012" s="32" t="n">
        <v>4</v>
      </c>
      <c r="L1012" s="33" t="n">
        <v>46370</v>
      </c>
      <c r="M1012" s="33" t="n">
        <v>46373</v>
      </c>
      <c r="N1012" s="16" t="s">
        <v>4242</v>
      </c>
      <c r="O1012" s="16"/>
      <c r="P1012" s="16" t="str">
        <f aca="false">IF(AND(L1012&lt;=$D$2,M1012&gt;=$C$2),"Sí","")</f>
        <v/>
      </c>
      <c r="Q1012" s="18" t="str">
        <f aca="false">IF(COUNTIF(LOOKAHEAD!$A$5:$A$604,A1012)&gt;0,"En Lookahead",IF(P1012="Sí","INCORPORAR",""))</f>
        <v/>
      </c>
    </row>
    <row r="1013" customFormat="false" ht="15" hidden="false" customHeight="false" outlineLevel="0" collapsed="false">
      <c r="A1013" s="16" t="s">
        <v>4243</v>
      </c>
      <c r="B1013" s="16" t="n">
        <v>1008</v>
      </c>
      <c r="C1013" s="16" t="s">
        <v>4244</v>
      </c>
      <c r="D1013" s="16" t="n">
        <v>8</v>
      </c>
      <c r="E1013" s="39" t="s">
        <v>1999</v>
      </c>
      <c r="F1013" s="16" t="s">
        <v>1285</v>
      </c>
      <c r="G1013" s="16" t="s">
        <v>322</v>
      </c>
      <c r="H1013" s="16" t="s">
        <v>4018</v>
      </c>
      <c r="I1013" s="16" t="s">
        <v>92</v>
      </c>
      <c r="J1013" s="16" t="s">
        <v>1988</v>
      </c>
      <c r="K1013" s="32" t="n">
        <v>3</v>
      </c>
      <c r="L1013" s="33" t="n">
        <v>46367</v>
      </c>
      <c r="M1013" s="33" t="n">
        <v>46369</v>
      </c>
      <c r="N1013" s="16" t="s">
        <v>4245</v>
      </c>
      <c r="O1013" s="16"/>
      <c r="P1013" s="16" t="str">
        <f aca="false">IF(AND(L1013&lt;=$D$2,M1013&gt;=$C$2),"Sí","")</f>
        <v/>
      </c>
      <c r="Q1013" s="18" t="str">
        <f aca="false">IF(COUNTIF(LOOKAHEAD!$A$5:$A$604,A1013)&gt;0,"En Lookahead",IF(P1013="Sí","INCORPORAR",""))</f>
        <v/>
      </c>
    </row>
    <row r="1014" customFormat="false" ht="15" hidden="false" customHeight="false" outlineLevel="0" collapsed="false">
      <c r="A1014" s="16" t="s">
        <v>4246</v>
      </c>
      <c r="B1014" s="16" t="n">
        <v>1009</v>
      </c>
      <c r="C1014" s="16" t="s">
        <v>4247</v>
      </c>
      <c r="D1014" s="16" t="n">
        <v>8</v>
      </c>
      <c r="E1014" s="39" t="s">
        <v>1677</v>
      </c>
      <c r="F1014" s="16" t="s">
        <v>1285</v>
      </c>
      <c r="G1014" s="16" t="s">
        <v>322</v>
      </c>
      <c r="H1014" s="16" t="s">
        <v>4018</v>
      </c>
      <c r="I1014" s="16" t="s">
        <v>92</v>
      </c>
      <c r="J1014" s="16" t="s">
        <v>1988</v>
      </c>
      <c r="K1014" s="32" t="n">
        <v>1</v>
      </c>
      <c r="L1014" s="33" t="n">
        <v>46375</v>
      </c>
      <c r="M1014" s="33" t="n">
        <v>46375</v>
      </c>
      <c r="N1014" s="16" t="s">
        <v>4248</v>
      </c>
      <c r="O1014" s="16"/>
      <c r="P1014" s="16" t="str">
        <f aca="false">IF(AND(L1014&lt;=$D$2,M1014&gt;=$C$2),"Sí","")</f>
        <v/>
      </c>
      <c r="Q1014" s="18" t="str">
        <f aca="false">IF(COUNTIF(LOOKAHEAD!$A$5:$A$604,A1014)&gt;0,"En Lookahead",IF(P1014="Sí","INCORPORAR",""))</f>
        <v/>
      </c>
    </row>
    <row r="1015" customFormat="false" ht="15" hidden="false" customHeight="false" outlineLevel="0" collapsed="false">
      <c r="A1015" s="13" t="s">
        <v>4249</v>
      </c>
      <c r="B1015" s="13" t="n">
        <v>1010</v>
      </c>
      <c r="C1015" s="13" t="s">
        <v>4250</v>
      </c>
      <c r="D1015" s="13" t="n">
        <v>7</v>
      </c>
      <c r="E1015" s="38" t="s">
        <v>2006</v>
      </c>
      <c r="F1015" s="13" t="s">
        <v>1298</v>
      </c>
      <c r="G1015" s="13" t="s">
        <v>322</v>
      </c>
      <c r="H1015" s="13" t="s">
        <v>4018</v>
      </c>
      <c r="I1015" s="13" t="s">
        <v>92</v>
      </c>
      <c r="J1015" s="13" t="s">
        <v>1985</v>
      </c>
      <c r="K1015" s="30" t="n">
        <v>8</v>
      </c>
      <c r="L1015" s="31" t="n">
        <v>46367</v>
      </c>
      <c r="M1015" s="31" t="n">
        <v>46374</v>
      </c>
      <c r="N1015" s="13"/>
      <c r="O1015" s="13"/>
      <c r="P1015" s="13"/>
      <c r="Q1015" s="13"/>
    </row>
    <row r="1016" customFormat="false" ht="15" hidden="false" customHeight="false" outlineLevel="0" collapsed="false">
      <c r="A1016" s="16" t="s">
        <v>4251</v>
      </c>
      <c r="B1016" s="16" t="n">
        <v>1011</v>
      </c>
      <c r="C1016" s="16" t="s">
        <v>4252</v>
      </c>
      <c r="D1016" s="16" t="n">
        <v>8</v>
      </c>
      <c r="E1016" s="39" t="s">
        <v>2009</v>
      </c>
      <c r="F1016" s="16" t="s">
        <v>1285</v>
      </c>
      <c r="G1016" s="16" t="s">
        <v>322</v>
      </c>
      <c r="H1016" s="16" t="s">
        <v>4018</v>
      </c>
      <c r="I1016" s="16" t="s">
        <v>92</v>
      </c>
      <c r="J1016" s="16" t="s">
        <v>2006</v>
      </c>
      <c r="K1016" s="32" t="n">
        <v>1</v>
      </c>
      <c r="L1016" s="33" t="n">
        <v>46373</v>
      </c>
      <c r="M1016" s="33" t="n">
        <v>46373</v>
      </c>
      <c r="N1016" s="16" t="s">
        <v>4253</v>
      </c>
      <c r="O1016" s="16"/>
      <c r="P1016" s="16" t="str">
        <f aca="false">IF(AND(L1016&lt;=$D$2,M1016&gt;=$C$2),"Sí","")</f>
        <v/>
      </c>
      <c r="Q1016" s="18" t="str">
        <f aca="false">IF(COUNTIF(LOOKAHEAD!$A$5:$A$604,A1016)&gt;0,"En Lookahead",IF(P1016="Sí","INCORPORAR",""))</f>
        <v/>
      </c>
    </row>
    <row r="1017" customFormat="false" ht="15" hidden="false" customHeight="false" outlineLevel="0" collapsed="false">
      <c r="A1017" s="16" t="s">
        <v>4254</v>
      </c>
      <c r="B1017" s="16" t="n">
        <v>1012</v>
      </c>
      <c r="C1017" s="16" t="s">
        <v>4255</v>
      </c>
      <c r="D1017" s="16" t="n">
        <v>8</v>
      </c>
      <c r="E1017" s="39" t="s">
        <v>2013</v>
      </c>
      <c r="F1017" s="16" t="s">
        <v>1285</v>
      </c>
      <c r="G1017" s="16" t="s">
        <v>322</v>
      </c>
      <c r="H1017" s="16" t="s">
        <v>4018</v>
      </c>
      <c r="I1017" s="16" t="s">
        <v>92</v>
      </c>
      <c r="J1017" s="16" t="s">
        <v>2006</v>
      </c>
      <c r="K1017" s="32" t="n">
        <v>3</v>
      </c>
      <c r="L1017" s="33" t="n">
        <v>46370</v>
      </c>
      <c r="M1017" s="33" t="n">
        <v>46372</v>
      </c>
      <c r="N1017" s="16" t="s">
        <v>4256</v>
      </c>
      <c r="O1017" s="16"/>
      <c r="P1017" s="16" t="str">
        <f aca="false">IF(AND(L1017&lt;=$D$2,M1017&gt;=$C$2),"Sí","")</f>
        <v/>
      </c>
      <c r="Q1017" s="18" t="str">
        <f aca="false">IF(COUNTIF(LOOKAHEAD!$A$5:$A$604,A1017)&gt;0,"En Lookahead",IF(P1017="Sí","INCORPORAR",""))</f>
        <v/>
      </c>
    </row>
    <row r="1018" customFormat="false" ht="15" hidden="false" customHeight="false" outlineLevel="0" collapsed="false">
      <c r="A1018" s="16" t="s">
        <v>4257</v>
      </c>
      <c r="B1018" s="16" t="n">
        <v>1013</v>
      </c>
      <c r="C1018" s="16" t="s">
        <v>4258</v>
      </c>
      <c r="D1018" s="16" t="n">
        <v>8</v>
      </c>
      <c r="E1018" s="39" t="s">
        <v>1999</v>
      </c>
      <c r="F1018" s="16" t="s">
        <v>1285</v>
      </c>
      <c r="G1018" s="16" t="s">
        <v>322</v>
      </c>
      <c r="H1018" s="16" t="s">
        <v>4018</v>
      </c>
      <c r="I1018" s="16" t="s">
        <v>92</v>
      </c>
      <c r="J1018" s="16" t="s">
        <v>2006</v>
      </c>
      <c r="K1018" s="32" t="n">
        <v>3</v>
      </c>
      <c r="L1018" s="33" t="n">
        <v>46367</v>
      </c>
      <c r="M1018" s="33" t="n">
        <v>46369</v>
      </c>
      <c r="N1018" s="16" t="s">
        <v>4245</v>
      </c>
      <c r="O1018" s="16"/>
      <c r="P1018" s="16" t="str">
        <f aca="false">IF(AND(L1018&lt;=$D$2,M1018&gt;=$C$2),"Sí","")</f>
        <v/>
      </c>
      <c r="Q1018" s="18" t="str">
        <f aca="false">IF(COUNTIF(LOOKAHEAD!$A$5:$A$604,A1018)&gt;0,"En Lookahead",IF(P1018="Sí","INCORPORAR",""))</f>
        <v/>
      </c>
    </row>
    <row r="1019" customFormat="false" ht="15" hidden="false" customHeight="false" outlineLevel="0" collapsed="false">
      <c r="A1019" s="16" t="s">
        <v>4259</v>
      </c>
      <c r="B1019" s="16" t="n">
        <v>1014</v>
      </c>
      <c r="C1019" s="16" t="s">
        <v>4260</v>
      </c>
      <c r="D1019" s="16" t="n">
        <v>8</v>
      </c>
      <c r="E1019" s="39" t="s">
        <v>1677</v>
      </c>
      <c r="F1019" s="16" t="s">
        <v>1285</v>
      </c>
      <c r="G1019" s="16" t="s">
        <v>322</v>
      </c>
      <c r="H1019" s="16" t="s">
        <v>4018</v>
      </c>
      <c r="I1019" s="16" t="s">
        <v>92</v>
      </c>
      <c r="J1019" s="16" t="s">
        <v>2006</v>
      </c>
      <c r="K1019" s="32" t="n">
        <v>1</v>
      </c>
      <c r="L1019" s="33" t="n">
        <v>46374</v>
      </c>
      <c r="M1019" s="33" t="n">
        <v>46374</v>
      </c>
      <c r="N1019" s="16" t="s">
        <v>4261</v>
      </c>
      <c r="O1019" s="16"/>
      <c r="P1019" s="16" t="str">
        <f aca="false">IF(AND(L1019&lt;=$D$2,M1019&gt;=$C$2),"Sí","")</f>
        <v/>
      </c>
      <c r="Q1019" s="18" t="str">
        <f aca="false">IF(COUNTIF(LOOKAHEAD!$A$5:$A$604,A1019)&gt;0,"En Lookahead",IF(P1019="Sí","INCORPORAR",""))</f>
        <v/>
      </c>
    </row>
    <row r="1020" customFormat="false" ht="15" hidden="false" customHeight="false" outlineLevel="0" collapsed="false">
      <c r="A1020" s="13" t="s">
        <v>4262</v>
      </c>
      <c r="B1020" s="13" t="n">
        <v>1015</v>
      </c>
      <c r="C1020" s="13" t="s">
        <v>4263</v>
      </c>
      <c r="D1020" s="13" t="n">
        <v>7</v>
      </c>
      <c r="E1020" s="38" t="s">
        <v>2038</v>
      </c>
      <c r="F1020" s="13" t="s">
        <v>1298</v>
      </c>
      <c r="G1020" s="13" t="s">
        <v>322</v>
      </c>
      <c r="H1020" s="13" t="s">
        <v>4018</v>
      </c>
      <c r="I1020" s="13" t="s">
        <v>92</v>
      </c>
      <c r="J1020" s="13" t="s">
        <v>1985</v>
      </c>
      <c r="K1020" s="30" t="n">
        <v>5</v>
      </c>
      <c r="L1020" s="31" t="n">
        <v>46367</v>
      </c>
      <c r="M1020" s="31" t="n">
        <v>46371</v>
      </c>
      <c r="N1020" s="13"/>
      <c r="O1020" s="13"/>
      <c r="P1020" s="13"/>
      <c r="Q1020" s="13"/>
    </row>
    <row r="1021" customFormat="false" ht="15" hidden="false" customHeight="false" outlineLevel="0" collapsed="false">
      <c r="A1021" s="16" t="s">
        <v>4264</v>
      </c>
      <c r="B1021" s="16" t="n">
        <v>1016</v>
      </c>
      <c r="C1021" s="16" t="s">
        <v>4265</v>
      </c>
      <c r="D1021" s="16" t="n">
        <v>8</v>
      </c>
      <c r="E1021" s="39" t="s">
        <v>2041</v>
      </c>
      <c r="F1021" s="16" t="s">
        <v>1285</v>
      </c>
      <c r="G1021" s="16" t="s">
        <v>322</v>
      </c>
      <c r="H1021" s="16" t="s">
        <v>4018</v>
      </c>
      <c r="I1021" s="16" t="s">
        <v>92</v>
      </c>
      <c r="J1021" s="16" t="s">
        <v>2038</v>
      </c>
      <c r="K1021" s="32" t="n">
        <v>1</v>
      </c>
      <c r="L1021" s="33" t="n">
        <v>46370</v>
      </c>
      <c r="M1021" s="33" t="n">
        <v>46370</v>
      </c>
      <c r="N1021" s="16" t="s">
        <v>4266</v>
      </c>
      <c r="O1021" s="16"/>
      <c r="P1021" s="16" t="str">
        <f aca="false">IF(AND(L1021&lt;=$D$2,M1021&gt;=$C$2),"Sí","")</f>
        <v/>
      </c>
      <c r="Q1021" s="18" t="str">
        <f aca="false">IF(COUNTIF(LOOKAHEAD!$A$5:$A$604,A1021)&gt;0,"En Lookahead",IF(P1021="Sí","INCORPORAR",""))</f>
        <v/>
      </c>
    </row>
    <row r="1022" customFormat="false" ht="15" hidden="false" customHeight="false" outlineLevel="0" collapsed="false">
      <c r="A1022" s="16" t="s">
        <v>4267</v>
      </c>
      <c r="B1022" s="16" t="n">
        <v>1017</v>
      </c>
      <c r="C1022" s="16" t="s">
        <v>4268</v>
      </c>
      <c r="D1022" s="16" t="n">
        <v>8</v>
      </c>
      <c r="E1022" s="39" t="s">
        <v>2045</v>
      </c>
      <c r="F1022" s="16" t="s">
        <v>1285</v>
      </c>
      <c r="G1022" s="16" t="s">
        <v>322</v>
      </c>
      <c r="H1022" s="16" t="s">
        <v>4018</v>
      </c>
      <c r="I1022" s="16" t="s">
        <v>92</v>
      </c>
      <c r="J1022" s="16" t="s">
        <v>2038</v>
      </c>
      <c r="K1022" s="32" t="n">
        <v>2</v>
      </c>
      <c r="L1022" s="33" t="n">
        <v>46368</v>
      </c>
      <c r="M1022" s="33" t="n">
        <v>46369</v>
      </c>
      <c r="N1022" s="16" t="s">
        <v>4269</v>
      </c>
      <c r="O1022" s="16"/>
      <c r="P1022" s="16" t="str">
        <f aca="false">IF(AND(L1022&lt;=$D$2,M1022&gt;=$C$2),"Sí","")</f>
        <v/>
      </c>
      <c r="Q1022" s="18" t="str">
        <f aca="false">IF(COUNTIF(LOOKAHEAD!$A$5:$A$604,A1022)&gt;0,"En Lookahead",IF(P1022="Sí","INCORPORAR",""))</f>
        <v/>
      </c>
    </row>
    <row r="1023" customFormat="false" ht="15" hidden="false" customHeight="false" outlineLevel="0" collapsed="false">
      <c r="A1023" s="16" t="s">
        <v>4270</v>
      </c>
      <c r="B1023" s="16" t="n">
        <v>1018</v>
      </c>
      <c r="C1023" s="16" t="s">
        <v>4271</v>
      </c>
      <c r="D1023" s="16" t="n">
        <v>8</v>
      </c>
      <c r="E1023" s="39" t="s">
        <v>1999</v>
      </c>
      <c r="F1023" s="16" t="s">
        <v>1285</v>
      </c>
      <c r="G1023" s="16" t="s">
        <v>322</v>
      </c>
      <c r="H1023" s="16" t="s">
        <v>4018</v>
      </c>
      <c r="I1023" s="16" t="s">
        <v>92</v>
      </c>
      <c r="J1023" s="16" t="s">
        <v>2038</v>
      </c>
      <c r="K1023" s="32" t="n">
        <v>1</v>
      </c>
      <c r="L1023" s="33" t="n">
        <v>46367</v>
      </c>
      <c r="M1023" s="33" t="n">
        <v>46367</v>
      </c>
      <c r="N1023" s="16" t="s">
        <v>4245</v>
      </c>
      <c r="O1023" s="16"/>
      <c r="P1023" s="16" t="str">
        <f aca="false">IF(AND(L1023&lt;=$D$2,M1023&gt;=$C$2),"Sí","")</f>
        <v/>
      </c>
      <c r="Q1023" s="18" t="str">
        <f aca="false">IF(COUNTIF(LOOKAHEAD!$A$5:$A$604,A1023)&gt;0,"En Lookahead",IF(P1023="Sí","INCORPORAR",""))</f>
        <v/>
      </c>
    </row>
    <row r="1024" customFormat="false" ht="15" hidden="false" customHeight="false" outlineLevel="0" collapsed="false">
      <c r="A1024" s="16" t="s">
        <v>4272</v>
      </c>
      <c r="B1024" s="16" t="n">
        <v>1019</v>
      </c>
      <c r="C1024" s="16" t="s">
        <v>4273</v>
      </c>
      <c r="D1024" s="16" t="n">
        <v>8</v>
      </c>
      <c r="E1024" s="39" t="s">
        <v>1677</v>
      </c>
      <c r="F1024" s="16" t="s">
        <v>1285</v>
      </c>
      <c r="G1024" s="16" t="s">
        <v>322</v>
      </c>
      <c r="H1024" s="16" t="s">
        <v>4018</v>
      </c>
      <c r="I1024" s="16" t="s">
        <v>92</v>
      </c>
      <c r="J1024" s="16" t="s">
        <v>2038</v>
      </c>
      <c r="K1024" s="32" t="n">
        <v>1</v>
      </c>
      <c r="L1024" s="33" t="n">
        <v>46371</v>
      </c>
      <c r="M1024" s="33" t="n">
        <v>46371</v>
      </c>
      <c r="N1024" s="16" t="s">
        <v>4274</v>
      </c>
      <c r="O1024" s="16"/>
      <c r="P1024" s="16" t="str">
        <f aca="false">IF(AND(L1024&lt;=$D$2,M1024&gt;=$C$2),"Sí","")</f>
        <v/>
      </c>
      <c r="Q1024" s="18" t="str">
        <f aca="false">IF(COUNTIF(LOOKAHEAD!$A$5:$A$604,A1024)&gt;0,"En Lookahead",IF(P1024="Sí","INCORPORAR",""))</f>
        <v/>
      </c>
    </row>
    <row r="1025" customFormat="false" ht="15" hidden="false" customHeight="false" outlineLevel="0" collapsed="false">
      <c r="A1025" s="13" t="s">
        <v>4275</v>
      </c>
      <c r="B1025" s="13" t="n">
        <v>1020</v>
      </c>
      <c r="C1025" s="13" t="s">
        <v>4276</v>
      </c>
      <c r="D1025" s="13" t="n">
        <v>6</v>
      </c>
      <c r="E1025" s="36" t="s">
        <v>2054</v>
      </c>
      <c r="F1025" s="13" t="s">
        <v>1298</v>
      </c>
      <c r="G1025" s="13" t="s">
        <v>322</v>
      </c>
      <c r="H1025" s="13" t="s">
        <v>4018</v>
      </c>
      <c r="I1025" s="13" t="s">
        <v>92</v>
      </c>
      <c r="J1025" s="13" t="s">
        <v>1623</v>
      </c>
      <c r="K1025" s="30" t="n">
        <v>10</v>
      </c>
      <c r="L1025" s="31" t="n">
        <v>46371</v>
      </c>
      <c r="M1025" s="31" t="n">
        <v>46380</v>
      </c>
      <c r="N1025" s="13"/>
      <c r="O1025" s="13"/>
      <c r="P1025" s="13"/>
      <c r="Q1025" s="13"/>
    </row>
    <row r="1026" customFormat="false" ht="15" hidden="false" customHeight="false" outlineLevel="0" collapsed="false">
      <c r="A1026" s="13" t="s">
        <v>4277</v>
      </c>
      <c r="B1026" s="13" t="n">
        <v>1021</v>
      </c>
      <c r="C1026" s="13" t="s">
        <v>4278</v>
      </c>
      <c r="D1026" s="13" t="n">
        <v>7</v>
      </c>
      <c r="E1026" s="38" t="s">
        <v>2057</v>
      </c>
      <c r="F1026" s="13" t="s">
        <v>1298</v>
      </c>
      <c r="G1026" s="13" t="s">
        <v>322</v>
      </c>
      <c r="H1026" s="13" t="s">
        <v>4018</v>
      </c>
      <c r="I1026" s="13" t="s">
        <v>92</v>
      </c>
      <c r="J1026" s="13" t="s">
        <v>2054</v>
      </c>
      <c r="K1026" s="30" t="n">
        <v>6</v>
      </c>
      <c r="L1026" s="31" t="n">
        <v>46375</v>
      </c>
      <c r="M1026" s="31" t="n">
        <v>46380</v>
      </c>
      <c r="N1026" s="13"/>
      <c r="O1026" s="13"/>
      <c r="P1026" s="13"/>
      <c r="Q1026" s="13"/>
    </row>
    <row r="1027" customFormat="false" ht="15" hidden="false" customHeight="false" outlineLevel="0" collapsed="false">
      <c r="A1027" s="16" t="s">
        <v>4279</v>
      </c>
      <c r="B1027" s="16" t="n">
        <v>1022</v>
      </c>
      <c r="C1027" s="16" t="s">
        <v>4280</v>
      </c>
      <c r="D1027" s="16" t="n">
        <v>8</v>
      </c>
      <c r="E1027" s="39" t="s">
        <v>2060</v>
      </c>
      <c r="F1027" s="16" t="s">
        <v>1285</v>
      </c>
      <c r="G1027" s="16" t="s">
        <v>322</v>
      </c>
      <c r="H1027" s="16" t="s">
        <v>4018</v>
      </c>
      <c r="I1027" s="16" t="s">
        <v>92</v>
      </c>
      <c r="J1027" s="16" t="s">
        <v>2057</v>
      </c>
      <c r="K1027" s="32" t="n">
        <v>1</v>
      </c>
      <c r="L1027" s="33" t="n">
        <v>46379</v>
      </c>
      <c r="M1027" s="33" t="n">
        <v>46379</v>
      </c>
      <c r="N1027" s="16" t="s">
        <v>4281</v>
      </c>
      <c r="O1027" s="16"/>
      <c r="P1027" s="16" t="str">
        <f aca="false">IF(AND(L1027&lt;=$D$2,M1027&gt;=$C$2),"Sí","")</f>
        <v/>
      </c>
      <c r="Q1027" s="18" t="str">
        <f aca="false">IF(COUNTIF(LOOKAHEAD!$A$5:$A$604,A1027)&gt;0,"En Lookahead",IF(P1027="Sí","INCORPORAR",""))</f>
        <v/>
      </c>
    </row>
    <row r="1028" customFormat="false" ht="15" hidden="false" customHeight="false" outlineLevel="0" collapsed="false">
      <c r="A1028" s="16" t="s">
        <v>4282</v>
      </c>
      <c r="B1028" s="16" t="n">
        <v>1023</v>
      </c>
      <c r="C1028" s="16" t="s">
        <v>4283</v>
      </c>
      <c r="D1028" s="16" t="n">
        <v>8</v>
      </c>
      <c r="E1028" s="39" t="s">
        <v>2064</v>
      </c>
      <c r="F1028" s="16" t="s">
        <v>1285</v>
      </c>
      <c r="G1028" s="16" t="s">
        <v>322</v>
      </c>
      <c r="H1028" s="16" t="s">
        <v>4018</v>
      </c>
      <c r="I1028" s="16" t="s">
        <v>92</v>
      </c>
      <c r="J1028" s="16" t="s">
        <v>2057</v>
      </c>
      <c r="K1028" s="32" t="n">
        <v>3</v>
      </c>
      <c r="L1028" s="33" t="n">
        <v>46376</v>
      </c>
      <c r="M1028" s="33" t="n">
        <v>46378</v>
      </c>
      <c r="N1028" s="16" t="s">
        <v>4284</v>
      </c>
      <c r="O1028" s="16"/>
      <c r="P1028" s="16" t="str">
        <f aca="false">IF(AND(L1028&lt;=$D$2,M1028&gt;=$C$2),"Sí","")</f>
        <v/>
      </c>
      <c r="Q1028" s="18" t="str">
        <f aca="false">IF(COUNTIF(LOOKAHEAD!$A$5:$A$604,A1028)&gt;0,"En Lookahead",IF(P1028="Sí","INCORPORAR",""))</f>
        <v/>
      </c>
    </row>
    <row r="1029" customFormat="false" ht="15" hidden="false" customHeight="false" outlineLevel="0" collapsed="false">
      <c r="A1029" s="16" t="s">
        <v>4285</v>
      </c>
      <c r="B1029" s="16" t="n">
        <v>1024</v>
      </c>
      <c r="C1029" s="16" t="s">
        <v>4286</v>
      </c>
      <c r="D1029" s="16" t="n">
        <v>8</v>
      </c>
      <c r="E1029" s="39" t="s">
        <v>1800</v>
      </c>
      <c r="F1029" s="16" t="s">
        <v>1285</v>
      </c>
      <c r="G1029" s="16" t="s">
        <v>322</v>
      </c>
      <c r="H1029" s="16" t="s">
        <v>4018</v>
      </c>
      <c r="I1029" s="16" t="s">
        <v>92</v>
      </c>
      <c r="J1029" s="16" t="s">
        <v>2057</v>
      </c>
      <c r="K1029" s="32" t="n">
        <v>1</v>
      </c>
      <c r="L1029" s="33" t="n">
        <v>46375</v>
      </c>
      <c r="M1029" s="33" t="n">
        <v>46375</v>
      </c>
      <c r="N1029" s="16" t="s">
        <v>4248</v>
      </c>
      <c r="O1029" s="16"/>
      <c r="P1029" s="16" t="str">
        <f aca="false">IF(AND(L1029&lt;=$D$2,M1029&gt;=$C$2),"Sí","")</f>
        <v/>
      </c>
      <c r="Q1029" s="18" t="str">
        <f aca="false">IF(COUNTIF(LOOKAHEAD!$A$5:$A$604,A1029)&gt;0,"En Lookahead",IF(P1029="Sí","INCORPORAR",""))</f>
        <v/>
      </c>
    </row>
    <row r="1030" customFormat="false" ht="15" hidden="false" customHeight="false" outlineLevel="0" collapsed="false">
      <c r="A1030" s="16" t="s">
        <v>4287</v>
      </c>
      <c r="B1030" s="16" t="n">
        <v>1025</v>
      </c>
      <c r="C1030" s="16" t="s">
        <v>4288</v>
      </c>
      <c r="D1030" s="16" t="n">
        <v>8</v>
      </c>
      <c r="E1030" s="39" t="s">
        <v>1602</v>
      </c>
      <c r="F1030" s="16" t="s">
        <v>1285</v>
      </c>
      <c r="G1030" s="16" t="s">
        <v>322</v>
      </c>
      <c r="H1030" s="16" t="s">
        <v>4018</v>
      </c>
      <c r="I1030" s="16" t="s">
        <v>92</v>
      </c>
      <c r="J1030" s="16" t="s">
        <v>2057</v>
      </c>
      <c r="K1030" s="32" t="n">
        <v>1</v>
      </c>
      <c r="L1030" s="33" t="n">
        <v>46380</v>
      </c>
      <c r="M1030" s="33" t="n">
        <v>46380</v>
      </c>
      <c r="N1030" s="16" t="s">
        <v>4289</v>
      </c>
      <c r="O1030" s="16"/>
      <c r="P1030" s="16" t="str">
        <f aca="false">IF(AND(L1030&lt;=$D$2,M1030&gt;=$C$2),"Sí","")</f>
        <v/>
      </c>
      <c r="Q1030" s="18" t="str">
        <f aca="false">IF(COUNTIF(LOOKAHEAD!$A$5:$A$604,A1030)&gt;0,"En Lookahead",IF(P1030="Sí","INCORPORAR",""))</f>
        <v/>
      </c>
    </row>
    <row r="1031" customFormat="false" ht="15" hidden="false" customHeight="false" outlineLevel="0" collapsed="false">
      <c r="A1031" s="13" t="s">
        <v>4290</v>
      </c>
      <c r="B1031" s="13" t="n">
        <v>1026</v>
      </c>
      <c r="C1031" s="13" t="s">
        <v>4291</v>
      </c>
      <c r="D1031" s="13" t="n">
        <v>7</v>
      </c>
      <c r="E1031" s="38" t="s">
        <v>2073</v>
      </c>
      <c r="F1031" s="13" t="s">
        <v>1298</v>
      </c>
      <c r="G1031" s="13" t="s">
        <v>322</v>
      </c>
      <c r="H1031" s="13" t="s">
        <v>4018</v>
      </c>
      <c r="I1031" s="13" t="s">
        <v>92</v>
      </c>
      <c r="J1031" s="13" t="s">
        <v>2054</v>
      </c>
      <c r="K1031" s="30" t="n">
        <v>5</v>
      </c>
      <c r="L1031" s="31" t="n">
        <v>46374</v>
      </c>
      <c r="M1031" s="31" t="n">
        <v>46378</v>
      </c>
      <c r="N1031" s="13"/>
      <c r="O1031" s="13"/>
      <c r="P1031" s="13"/>
      <c r="Q1031" s="13"/>
    </row>
    <row r="1032" customFormat="false" ht="15" hidden="false" customHeight="false" outlineLevel="0" collapsed="false">
      <c r="A1032" s="16" t="s">
        <v>4292</v>
      </c>
      <c r="B1032" s="16" t="n">
        <v>1027</v>
      </c>
      <c r="C1032" s="16" t="s">
        <v>4293</v>
      </c>
      <c r="D1032" s="16" t="n">
        <v>8</v>
      </c>
      <c r="E1032" s="39" t="s">
        <v>2076</v>
      </c>
      <c r="F1032" s="16" t="s">
        <v>1285</v>
      </c>
      <c r="G1032" s="16" t="s">
        <v>322</v>
      </c>
      <c r="H1032" s="16" t="s">
        <v>4018</v>
      </c>
      <c r="I1032" s="16" t="s">
        <v>92</v>
      </c>
      <c r="J1032" s="16" t="s">
        <v>2073</v>
      </c>
      <c r="K1032" s="32" t="n">
        <v>1</v>
      </c>
      <c r="L1032" s="33" t="n">
        <v>46377</v>
      </c>
      <c r="M1032" s="33" t="n">
        <v>46377</v>
      </c>
      <c r="N1032" s="16" t="s">
        <v>4294</v>
      </c>
      <c r="O1032" s="16"/>
      <c r="P1032" s="16" t="str">
        <f aca="false">IF(AND(L1032&lt;=$D$2,M1032&gt;=$C$2),"Sí","")</f>
        <v/>
      </c>
      <c r="Q1032" s="18" t="str">
        <f aca="false">IF(COUNTIF(LOOKAHEAD!$A$5:$A$604,A1032)&gt;0,"En Lookahead",IF(P1032="Sí","INCORPORAR",""))</f>
        <v/>
      </c>
    </row>
    <row r="1033" customFormat="false" ht="15" hidden="false" customHeight="false" outlineLevel="0" collapsed="false">
      <c r="A1033" s="16" t="s">
        <v>4295</v>
      </c>
      <c r="B1033" s="16" t="n">
        <v>1028</v>
      </c>
      <c r="C1033" s="16" t="s">
        <v>4296</v>
      </c>
      <c r="D1033" s="16" t="n">
        <v>8</v>
      </c>
      <c r="E1033" s="39" t="s">
        <v>2080</v>
      </c>
      <c r="F1033" s="16" t="s">
        <v>1285</v>
      </c>
      <c r="G1033" s="16" t="s">
        <v>322</v>
      </c>
      <c r="H1033" s="16" t="s">
        <v>4018</v>
      </c>
      <c r="I1033" s="16" t="s">
        <v>92</v>
      </c>
      <c r="J1033" s="16" t="s">
        <v>2073</v>
      </c>
      <c r="K1033" s="32" t="n">
        <v>2</v>
      </c>
      <c r="L1033" s="33" t="n">
        <v>46375</v>
      </c>
      <c r="M1033" s="33" t="n">
        <v>46376</v>
      </c>
      <c r="N1033" s="16" t="s">
        <v>4297</v>
      </c>
      <c r="O1033" s="16"/>
      <c r="P1033" s="16" t="str">
        <f aca="false">IF(AND(L1033&lt;=$D$2,M1033&gt;=$C$2),"Sí","")</f>
        <v/>
      </c>
      <c r="Q1033" s="18" t="str">
        <f aca="false">IF(COUNTIF(LOOKAHEAD!$A$5:$A$604,A1033)&gt;0,"En Lookahead",IF(P1033="Sí","INCORPORAR",""))</f>
        <v/>
      </c>
    </row>
    <row r="1034" customFormat="false" ht="15" hidden="false" customHeight="false" outlineLevel="0" collapsed="false">
      <c r="A1034" s="16" t="s">
        <v>4298</v>
      </c>
      <c r="B1034" s="16" t="n">
        <v>1029</v>
      </c>
      <c r="C1034" s="16" t="s">
        <v>4299</v>
      </c>
      <c r="D1034" s="16" t="n">
        <v>8</v>
      </c>
      <c r="E1034" s="39" t="s">
        <v>1800</v>
      </c>
      <c r="F1034" s="16" t="s">
        <v>1285</v>
      </c>
      <c r="G1034" s="16" t="s">
        <v>322</v>
      </c>
      <c r="H1034" s="16" t="s">
        <v>4018</v>
      </c>
      <c r="I1034" s="16" t="s">
        <v>92</v>
      </c>
      <c r="J1034" s="16" t="s">
        <v>2073</v>
      </c>
      <c r="K1034" s="32" t="n">
        <v>1</v>
      </c>
      <c r="L1034" s="33" t="n">
        <v>46374</v>
      </c>
      <c r="M1034" s="33" t="n">
        <v>46374</v>
      </c>
      <c r="N1034" s="16" t="s">
        <v>4261</v>
      </c>
      <c r="O1034" s="16"/>
      <c r="P1034" s="16" t="str">
        <f aca="false">IF(AND(L1034&lt;=$D$2,M1034&gt;=$C$2),"Sí","")</f>
        <v/>
      </c>
      <c r="Q1034" s="18" t="str">
        <f aca="false">IF(COUNTIF(LOOKAHEAD!$A$5:$A$604,A1034)&gt;0,"En Lookahead",IF(P1034="Sí","INCORPORAR",""))</f>
        <v/>
      </c>
    </row>
    <row r="1035" customFormat="false" ht="15" hidden="false" customHeight="false" outlineLevel="0" collapsed="false">
      <c r="A1035" s="16" t="s">
        <v>4300</v>
      </c>
      <c r="B1035" s="16" t="n">
        <v>1030</v>
      </c>
      <c r="C1035" s="16" t="s">
        <v>4301</v>
      </c>
      <c r="D1035" s="16" t="n">
        <v>8</v>
      </c>
      <c r="E1035" s="39" t="s">
        <v>1602</v>
      </c>
      <c r="F1035" s="16" t="s">
        <v>1285</v>
      </c>
      <c r="G1035" s="16" t="s">
        <v>322</v>
      </c>
      <c r="H1035" s="16" t="s">
        <v>4018</v>
      </c>
      <c r="I1035" s="16" t="s">
        <v>92</v>
      </c>
      <c r="J1035" s="16" t="s">
        <v>2073</v>
      </c>
      <c r="K1035" s="32" t="n">
        <v>1</v>
      </c>
      <c r="L1035" s="33" t="n">
        <v>46378</v>
      </c>
      <c r="M1035" s="33" t="n">
        <v>46378</v>
      </c>
      <c r="N1035" s="16" t="s">
        <v>4302</v>
      </c>
      <c r="O1035" s="16"/>
      <c r="P1035" s="16" t="str">
        <f aca="false">IF(AND(L1035&lt;=$D$2,M1035&gt;=$C$2),"Sí","")</f>
        <v/>
      </c>
      <c r="Q1035" s="18" t="str">
        <f aca="false">IF(COUNTIF(LOOKAHEAD!$A$5:$A$604,A1035)&gt;0,"En Lookahead",IF(P1035="Sí","INCORPORAR",""))</f>
        <v/>
      </c>
    </row>
    <row r="1036" customFormat="false" ht="15" hidden="false" customHeight="false" outlineLevel="0" collapsed="false">
      <c r="A1036" s="13" t="s">
        <v>4303</v>
      </c>
      <c r="B1036" s="13" t="n">
        <v>1031</v>
      </c>
      <c r="C1036" s="13" t="s">
        <v>4304</v>
      </c>
      <c r="D1036" s="13" t="n">
        <v>7</v>
      </c>
      <c r="E1036" s="38" t="s">
        <v>2054</v>
      </c>
      <c r="F1036" s="13" t="s">
        <v>1298</v>
      </c>
      <c r="G1036" s="13" t="s">
        <v>322</v>
      </c>
      <c r="H1036" s="13" t="s">
        <v>4018</v>
      </c>
      <c r="I1036" s="13" t="s">
        <v>92</v>
      </c>
      <c r="J1036" s="13" t="s">
        <v>2054</v>
      </c>
      <c r="K1036" s="30" t="n">
        <v>5</v>
      </c>
      <c r="L1036" s="31" t="n">
        <v>46371</v>
      </c>
      <c r="M1036" s="31" t="n">
        <v>46375</v>
      </c>
      <c r="N1036" s="13"/>
      <c r="O1036" s="13"/>
      <c r="P1036" s="13"/>
      <c r="Q1036" s="13"/>
    </row>
    <row r="1037" customFormat="false" ht="15" hidden="false" customHeight="false" outlineLevel="0" collapsed="false">
      <c r="A1037" s="16" t="s">
        <v>4305</v>
      </c>
      <c r="B1037" s="16" t="n">
        <v>1032</v>
      </c>
      <c r="C1037" s="16" t="s">
        <v>4306</v>
      </c>
      <c r="D1037" s="16" t="n">
        <v>8</v>
      </c>
      <c r="E1037" s="39" t="s">
        <v>2092</v>
      </c>
      <c r="F1037" s="16" t="s">
        <v>1285</v>
      </c>
      <c r="G1037" s="16" t="s">
        <v>322</v>
      </c>
      <c r="H1037" s="16" t="s">
        <v>4018</v>
      </c>
      <c r="I1037" s="16" t="s">
        <v>92</v>
      </c>
      <c r="J1037" s="16" t="s">
        <v>2054</v>
      </c>
      <c r="K1037" s="32" t="n">
        <v>1</v>
      </c>
      <c r="L1037" s="33" t="n">
        <v>46374</v>
      </c>
      <c r="M1037" s="33" t="n">
        <v>46374</v>
      </c>
      <c r="N1037" s="16" t="s">
        <v>4307</v>
      </c>
      <c r="O1037" s="16"/>
      <c r="P1037" s="16" t="str">
        <f aca="false">IF(AND(L1037&lt;=$D$2,M1037&gt;=$C$2),"Sí","")</f>
        <v/>
      </c>
      <c r="Q1037" s="18" t="str">
        <f aca="false">IF(COUNTIF(LOOKAHEAD!$A$5:$A$604,A1037)&gt;0,"En Lookahead",IF(P1037="Sí","INCORPORAR",""))</f>
        <v/>
      </c>
    </row>
    <row r="1038" customFormat="false" ht="15" hidden="false" customHeight="false" outlineLevel="0" collapsed="false">
      <c r="A1038" s="16" t="s">
        <v>4308</v>
      </c>
      <c r="B1038" s="16" t="n">
        <v>1033</v>
      </c>
      <c r="C1038" s="16" t="s">
        <v>4309</v>
      </c>
      <c r="D1038" s="16" t="n">
        <v>8</v>
      </c>
      <c r="E1038" s="39" t="s">
        <v>2096</v>
      </c>
      <c r="F1038" s="16" t="s">
        <v>1285</v>
      </c>
      <c r="G1038" s="16" t="s">
        <v>322</v>
      </c>
      <c r="H1038" s="16" t="s">
        <v>4018</v>
      </c>
      <c r="I1038" s="16" t="s">
        <v>92</v>
      </c>
      <c r="J1038" s="16" t="s">
        <v>2054</v>
      </c>
      <c r="K1038" s="32" t="n">
        <v>2</v>
      </c>
      <c r="L1038" s="33" t="n">
        <v>46372</v>
      </c>
      <c r="M1038" s="33" t="n">
        <v>46373</v>
      </c>
      <c r="N1038" s="16" t="s">
        <v>4310</v>
      </c>
      <c r="O1038" s="16"/>
      <c r="P1038" s="16" t="str">
        <f aca="false">IF(AND(L1038&lt;=$D$2,M1038&gt;=$C$2),"Sí","")</f>
        <v/>
      </c>
      <c r="Q1038" s="18" t="str">
        <f aca="false">IF(COUNTIF(LOOKAHEAD!$A$5:$A$604,A1038)&gt;0,"En Lookahead",IF(P1038="Sí","INCORPORAR",""))</f>
        <v/>
      </c>
    </row>
    <row r="1039" customFormat="false" ht="15" hidden="false" customHeight="false" outlineLevel="0" collapsed="false">
      <c r="A1039" s="16" t="s">
        <v>4311</v>
      </c>
      <c r="B1039" s="16" t="n">
        <v>1034</v>
      </c>
      <c r="C1039" s="16" t="s">
        <v>4312</v>
      </c>
      <c r="D1039" s="16" t="n">
        <v>8</v>
      </c>
      <c r="E1039" s="39" t="s">
        <v>1800</v>
      </c>
      <c r="F1039" s="16" t="s">
        <v>1285</v>
      </c>
      <c r="G1039" s="16" t="s">
        <v>322</v>
      </c>
      <c r="H1039" s="16" t="s">
        <v>4018</v>
      </c>
      <c r="I1039" s="16" t="s">
        <v>92</v>
      </c>
      <c r="J1039" s="16" t="s">
        <v>2054</v>
      </c>
      <c r="K1039" s="32" t="n">
        <v>1</v>
      </c>
      <c r="L1039" s="33" t="n">
        <v>46371</v>
      </c>
      <c r="M1039" s="33" t="n">
        <v>46371</v>
      </c>
      <c r="N1039" s="16" t="s">
        <v>4274</v>
      </c>
      <c r="O1039" s="16"/>
      <c r="P1039" s="16" t="str">
        <f aca="false">IF(AND(L1039&lt;=$D$2,M1039&gt;=$C$2),"Sí","")</f>
        <v/>
      </c>
      <c r="Q1039" s="18" t="str">
        <f aca="false">IF(COUNTIF(LOOKAHEAD!$A$5:$A$604,A1039)&gt;0,"En Lookahead",IF(P1039="Sí","INCORPORAR",""))</f>
        <v/>
      </c>
    </row>
    <row r="1040" customFormat="false" ht="15" hidden="false" customHeight="false" outlineLevel="0" collapsed="false">
      <c r="A1040" s="16" t="s">
        <v>4313</v>
      </c>
      <c r="B1040" s="16" t="n">
        <v>1035</v>
      </c>
      <c r="C1040" s="16" t="s">
        <v>4314</v>
      </c>
      <c r="D1040" s="16" t="n">
        <v>8</v>
      </c>
      <c r="E1040" s="39" t="s">
        <v>1602</v>
      </c>
      <c r="F1040" s="16" t="s">
        <v>1285</v>
      </c>
      <c r="G1040" s="16" t="s">
        <v>322</v>
      </c>
      <c r="H1040" s="16" t="s">
        <v>4018</v>
      </c>
      <c r="I1040" s="16" t="s">
        <v>92</v>
      </c>
      <c r="J1040" s="16" t="s">
        <v>2054</v>
      </c>
      <c r="K1040" s="32" t="n">
        <v>1</v>
      </c>
      <c r="L1040" s="33" t="n">
        <v>46375</v>
      </c>
      <c r="M1040" s="33" t="n">
        <v>46375</v>
      </c>
      <c r="N1040" s="16" t="s">
        <v>4315</v>
      </c>
      <c r="O1040" s="16"/>
      <c r="P1040" s="16" t="str">
        <f aca="false">IF(AND(L1040&lt;=$D$2,M1040&gt;=$C$2),"Sí","")</f>
        <v/>
      </c>
      <c r="Q1040" s="18" t="str">
        <f aca="false">IF(COUNTIF(LOOKAHEAD!$A$5:$A$604,A1040)&gt;0,"En Lookahead",IF(P1040="Sí","INCORPORAR",""))</f>
        <v/>
      </c>
    </row>
    <row r="1041" customFormat="false" ht="15" hidden="false" customHeight="false" outlineLevel="0" collapsed="false">
      <c r="A1041" s="13" t="s">
        <v>4316</v>
      </c>
      <c r="B1041" s="13" t="n">
        <v>1036</v>
      </c>
      <c r="C1041" s="13" t="s">
        <v>4317</v>
      </c>
      <c r="D1041" s="13" t="n">
        <v>6</v>
      </c>
      <c r="E1041" s="36" t="s">
        <v>2120</v>
      </c>
      <c r="F1041" s="13" t="s">
        <v>1298</v>
      </c>
      <c r="G1041" s="13" t="s">
        <v>322</v>
      </c>
      <c r="H1041" s="13" t="s">
        <v>4018</v>
      </c>
      <c r="I1041" s="13" t="s">
        <v>92</v>
      </c>
      <c r="J1041" s="13" t="s">
        <v>1623</v>
      </c>
      <c r="K1041" s="30" t="n">
        <v>4</v>
      </c>
      <c r="L1041" s="31" t="n">
        <v>46479</v>
      </c>
      <c r="M1041" s="31" t="n">
        <v>46482</v>
      </c>
      <c r="N1041" s="13"/>
      <c r="O1041" s="13"/>
      <c r="P1041" s="13"/>
      <c r="Q1041" s="13"/>
    </row>
    <row r="1042" customFormat="false" ht="15" hidden="false" customHeight="false" outlineLevel="0" collapsed="false">
      <c r="A1042" s="16" t="s">
        <v>4318</v>
      </c>
      <c r="B1042" s="16" t="n">
        <v>1037</v>
      </c>
      <c r="C1042" s="16" t="s">
        <v>4319</v>
      </c>
      <c r="D1042" s="16" t="n">
        <v>7</v>
      </c>
      <c r="E1042" s="37" t="s">
        <v>2123</v>
      </c>
      <c r="F1042" s="16" t="s">
        <v>1285</v>
      </c>
      <c r="G1042" s="16" t="s">
        <v>322</v>
      </c>
      <c r="H1042" s="16" t="s">
        <v>4018</v>
      </c>
      <c r="I1042" s="16" t="s">
        <v>92</v>
      </c>
      <c r="J1042" s="16" t="s">
        <v>2120</v>
      </c>
      <c r="K1042" s="32" t="n">
        <v>1</v>
      </c>
      <c r="L1042" s="33" t="n">
        <v>46481</v>
      </c>
      <c r="M1042" s="33" t="n">
        <v>46481</v>
      </c>
      <c r="N1042" s="16" t="s">
        <v>4320</v>
      </c>
      <c r="O1042" s="16"/>
      <c r="P1042" s="16" t="str">
        <f aca="false">IF(AND(L1042&lt;=$D$2,M1042&gt;=$C$2),"Sí","")</f>
        <v/>
      </c>
      <c r="Q1042" s="18" t="str">
        <f aca="false">IF(COUNTIF(LOOKAHEAD!$A$5:$A$604,A1042)&gt;0,"En Lookahead",IF(P1042="Sí","INCORPORAR",""))</f>
        <v/>
      </c>
    </row>
    <row r="1043" customFormat="false" ht="15" hidden="false" customHeight="false" outlineLevel="0" collapsed="false">
      <c r="A1043" s="16" t="s">
        <v>4321</v>
      </c>
      <c r="B1043" s="16" t="n">
        <v>1038</v>
      </c>
      <c r="C1043" s="16" t="s">
        <v>4322</v>
      </c>
      <c r="D1043" s="16" t="n">
        <v>7</v>
      </c>
      <c r="E1043" s="37" t="s">
        <v>2127</v>
      </c>
      <c r="F1043" s="16" t="s">
        <v>1285</v>
      </c>
      <c r="G1043" s="16" t="s">
        <v>322</v>
      </c>
      <c r="H1043" s="16" t="s">
        <v>4018</v>
      </c>
      <c r="I1043" s="16" t="s">
        <v>92</v>
      </c>
      <c r="J1043" s="16" t="s">
        <v>2120</v>
      </c>
      <c r="K1043" s="32" t="n">
        <v>1</v>
      </c>
      <c r="L1043" s="33" t="n">
        <v>46480</v>
      </c>
      <c r="M1043" s="33" t="n">
        <v>46480</v>
      </c>
      <c r="N1043" s="16" t="s">
        <v>4323</v>
      </c>
      <c r="O1043" s="16"/>
      <c r="P1043" s="16" t="str">
        <f aca="false">IF(AND(L1043&lt;=$D$2,M1043&gt;=$C$2),"Sí","")</f>
        <v/>
      </c>
      <c r="Q1043" s="18" t="str">
        <f aca="false">IF(COUNTIF(LOOKAHEAD!$A$5:$A$604,A1043)&gt;0,"En Lookahead",IF(P1043="Sí","INCORPORAR",""))</f>
        <v/>
      </c>
    </row>
    <row r="1044" customFormat="false" ht="15" hidden="false" customHeight="false" outlineLevel="0" collapsed="false">
      <c r="A1044" s="16" t="s">
        <v>4324</v>
      </c>
      <c r="B1044" s="16" t="n">
        <v>1039</v>
      </c>
      <c r="C1044" s="16" t="s">
        <v>4325</v>
      </c>
      <c r="D1044" s="16" t="n">
        <v>7</v>
      </c>
      <c r="E1044" s="37" t="s">
        <v>2131</v>
      </c>
      <c r="F1044" s="16" t="s">
        <v>1285</v>
      </c>
      <c r="G1044" s="16" t="s">
        <v>322</v>
      </c>
      <c r="H1044" s="16" t="s">
        <v>4018</v>
      </c>
      <c r="I1044" s="16" t="s">
        <v>92</v>
      </c>
      <c r="J1044" s="16" t="s">
        <v>2120</v>
      </c>
      <c r="K1044" s="32" t="n">
        <v>1</v>
      </c>
      <c r="L1044" s="33" t="n">
        <v>46479</v>
      </c>
      <c r="M1044" s="33" t="n">
        <v>46479</v>
      </c>
      <c r="N1044" s="16" t="s">
        <v>4232</v>
      </c>
      <c r="O1044" s="16"/>
      <c r="P1044" s="16" t="str">
        <f aca="false">IF(AND(L1044&lt;=$D$2,M1044&gt;=$C$2),"Sí","")</f>
        <v/>
      </c>
      <c r="Q1044" s="18" t="str">
        <f aca="false">IF(COUNTIF(LOOKAHEAD!$A$5:$A$604,A1044)&gt;0,"En Lookahead",IF(P1044="Sí","INCORPORAR",""))</f>
        <v/>
      </c>
    </row>
    <row r="1045" customFormat="false" ht="15" hidden="false" customHeight="false" outlineLevel="0" collapsed="false">
      <c r="A1045" s="16" t="s">
        <v>4326</v>
      </c>
      <c r="B1045" s="16" t="n">
        <v>1040</v>
      </c>
      <c r="C1045" s="16" t="s">
        <v>4327</v>
      </c>
      <c r="D1045" s="16" t="n">
        <v>7</v>
      </c>
      <c r="E1045" s="37" t="s">
        <v>1602</v>
      </c>
      <c r="F1045" s="16" t="s">
        <v>1285</v>
      </c>
      <c r="G1045" s="16" t="s">
        <v>322</v>
      </c>
      <c r="H1045" s="16" t="s">
        <v>4018</v>
      </c>
      <c r="I1045" s="16" t="s">
        <v>92</v>
      </c>
      <c r="J1045" s="16" t="s">
        <v>2120</v>
      </c>
      <c r="K1045" s="32" t="n">
        <v>1</v>
      </c>
      <c r="L1045" s="33" t="n">
        <v>46482</v>
      </c>
      <c r="M1045" s="33" t="n">
        <v>46482</v>
      </c>
      <c r="N1045" s="16" t="s">
        <v>4328</v>
      </c>
      <c r="O1045" s="16"/>
      <c r="P1045" s="16" t="str">
        <f aca="false">IF(AND(L1045&lt;=$D$2,M1045&gt;=$C$2),"Sí","")</f>
        <v/>
      </c>
      <c r="Q1045" s="18" t="str">
        <f aca="false">IF(COUNTIF(LOOKAHEAD!$A$5:$A$604,A1045)&gt;0,"En Lookahead",IF(P1045="Sí","INCORPORAR",""))</f>
        <v/>
      </c>
    </row>
    <row r="1046" customFormat="false" ht="15" hidden="false" customHeight="false" outlineLevel="0" collapsed="false">
      <c r="A1046" s="13" t="s">
        <v>4329</v>
      </c>
      <c r="B1046" s="13" t="n">
        <v>1041</v>
      </c>
      <c r="C1046" s="13" t="s">
        <v>4330</v>
      </c>
      <c r="D1046" s="13" t="n">
        <v>6</v>
      </c>
      <c r="E1046" s="36" t="s">
        <v>3401</v>
      </c>
      <c r="F1046" s="13" t="s">
        <v>1298</v>
      </c>
      <c r="G1046" s="13" t="s">
        <v>322</v>
      </c>
      <c r="H1046" s="13" t="s">
        <v>4018</v>
      </c>
      <c r="I1046" s="13" t="s">
        <v>92</v>
      </c>
      <c r="J1046" s="13" t="s">
        <v>1623</v>
      </c>
      <c r="K1046" s="30" t="n">
        <v>20</v>
      </c>
      <c r="L1046" s="31" t="n">
        <v>46482</v>
      </c>
      <c r="M1046" s="31" t="n">
        <v>46501</v>
      </c>
      <c r="N1046" s="13"/>
      <c r="O1046" s="13"/>
      <c r="P1046" s="13"/>
      <c r="Q1046" s="13"/>
    </row>
    <row r="1047" customFormat="false" ht="15" hidden="false" customHeight="false" outlineLevel="0" collapsed="false">
      <c r="A1047" s="16" t="s">
        <v>4331</v>
      </c>
      <c r="B1047" s="16" t="n">
        <v>1042</v>
      </c>
      <c r="C1047" s="16" t="s">
        <v>4332</v>
      </c>
      <c r="D1047" s="16" t="n">
        <v>7</v>
      </c>
      <c r="E1047" s="37" t="s">
        <v>3404</v>
      </c>
      <c r="F1047" s="16" t="s">
        <v>1285</v>
      </c>
      <c r="G1047" s="16" t="s">
        <v>322</v>
      </c>
      <c r="H1047" s="16" t="s">
        <v>4018</v>
      </c>
      <c r="I1047" s="16" t="s">
        <v>92</v>
      </c>
      <c r="J1047" s="16" t="s">
        <v>3401</v>
      </c>
      <c r="K1047" s="32" t="n">
        <v>1</v>
      </c>
      <c r="L1047" s="33" t="n">
        <v>46499</v>
      </c>
      <c r="M1047" s="33" t="n">
        <v>46499</v>
      </c>
      <c r="N1047" s="16" t="s">
        <v>4333</v>
      </c>
      <c r="O1047" s="16"/>
      <c r="P1047" s="16" t="str">
        <f aca="false">IF(AND(L1047&lt;=$D$2,M1047&gt;=$C$2),"Sí","")</f>
        <v/>
      </c>
      <c r="Q1047" s="18" t="str">
        <f aca="false">IF(COUNTIF(LOOKAHEAD!$A$5:$A$604,A1047)&gt;0,"En Lookahead",IF(P1047="Sí","INCORPORAR",""))</f>
        <v/>
      </c>
    </row>
    <row r="1048" customFormat="false" ht="15" hidden="false" customHeight="false" outlineLevel="0" collapsed="false">
      <c r="A1048" s="16" t="s">
        <v>4334</v>
      </c>
      <c r="B1048" s="16" t="n">
        <v>1043</v>
      </c>
      <c r="C1048" s="16" t="s">
        <v>4335</v>
      </c>
      <c r="D1048" s="16" t="n">
        <v>7</v>
      </c>
      <c r="E1048" s="37" t="s">
        <v>3408</v>
      </c>
      <c r="F1048" s="16" t="s">
        <v>1285</v>
      </c>
      <c r="G1048" s="16" t="s">
        <v>322</v>
      </c>
      <c r="H1048" s="16" t="s">
        <v>4018</v>
      </c>
      <c r="I1048" s="16" t="s">
        <v>92</v>
      </c>
      <c r="J1048" s="16" t="s">
        <v>3401</v>
      </c>
      <c r="K1048" s="32" t="n">
        <v>14</v>
      </c>
      <c r="L1048" s="33" t="n">
        <v>46485</v>
      </c>
      <c r="M1048" s="33" t="n">
        <v>46498</v>
      </c>
      <c r="N1048" s="16" t="s">
        <v>4336</v>
      </c>
      <c r="O1048" s="16"/>
      <c r="P1048" s="16" t="str">
        <f aca="false">IF(AND(L1048&lt;=$D$2,M1048&gt;=$C$2),"Sí","")</f>
        <v/>
      </c>
      <c r="Q1048" s="18" t="str">
        <f aca="false">IF(COUNTIF(LOOKAHEAD!$A$5:$A$604,A1048)&gt;0,"En Lookahead",IF(P1048="Sí","INCORPORAR",""))</f>
        <v/>
      </c>
    </row>
    <row r="1049" customFormat="false" ht="15" hidden="false" customHeight="false" outlineLevel="0" collapsed="false">
      <c r="A1049" s="16" t="s">
        <v>4337</v>
      </c>
      <c r="B1049" s="16" t="n">
        <v>1044</v>
      </c>
      <c r="C1049" s="16" t="s">
        <v>4338</v>
      </c>
      <c r="D1049" s="16" t="n">
        <v>7</v>
      </c>
      <c r="E1049" s="37" t="s">
        <v>2131</v>
      </c>
      <c r="F1049" s="16" t="s">
        <v>1285</v>
      </c>
      <c r="G1049" s="16" t="s">
        <v>322</v>
      </c>
      <c r="H1049" s="16" t="s">
        <v>4018</v>
      </c>
      <c r="I1049" s="16" t="s">
        <v>92</v>
      </c>
      <c r="J1049" s="16" t="s">
        <v>3401</v>
      </c>
      <c r="K1049" s="32" t="n">
        <v>3</v>
      </c>
      <c r="L1049" s="33" t="n">
        <v>46482</v>
      </c>
      <c r="M1049" s="33" t="n">
        <v>46484</v>
      </c>
      <c r="N1049" s="16" t="s">
        <v>4328</v>
      </c>
      <c r="O1049" s="16"/>
      <c r="P1049" s="16" t="str">
        <f aca="false">IF(AND(L1049&lt;=$D$2,M1049&gt;=$C$2),"Sí","")</f>
        <v/>
      </c>
      <c r="Q1049" s="18" t="str">
        <f aca="false">IF(COUNTIF(LOOKAHEAD!$A$5:$A$604,A1049)&gt;0,"En Lookahead",IF(P1049="Sí","INCORPORAR",""))</f>
        <v/>
      </c>
    </row>
    <row r="1050" customFormat="false" ht="15" hidden="false" customHeight="false" outlineLevel="0" collapsed="false">
      <c r="A1050" s="16" t="s">
        <v>4339</v>
      </c>
      <c r="B1050" s="16" t="n">
        <v>1045</v>
      </c>
      <c r="C1050" s="16" t="s">
        <v>4340</v>
      </c>
      <c r="D1050" s="16" t="n">
        <v>7</v>
      </c>
      <c r="E1050" s="37" t="s">
        <v>1602</v>
      </c>
      <c r="F1050" s="16" t="s">
        <v>1285</v>
      </c>
      <c r="G1050" s="16" t="s">
        <v>322</v>
      </c>
      <c r="H1050" s="16" t="s">
        <v>4018</v>
      </c>
      <c r="I1050" s="16" t="s">
        <v>92</v>
      </c>
      <c r="J1050" s="16" t="s">
        <v>3401</v>
      </c>
      <c r="K1050" s="32" t="n">
        <v>2</v>
      </c>
      <c r="L1050" s="33" t="n">
        <v>46500</v>
      </c>
      <c r="M1050" s="33" t="n">
        <v>46501</v>
      </c>
      <c r="N1050" s="16" t="s">
        <v>4341</v>
      </c>
      <c r="O1050" s="16"/>
      <c r="P1050" s="16" t="str">
        <f aca="false">IF(AND(L1050&lt;=$D$2,M1050&gt;=$C$2),"Sí","")</f>
        <v/>
      </c>
      <c r="Q1050" s="18" t="str">
        <f aca="false">IF(COUNTIF(LOOKAHEAD!$A$5:$A$604,A1050)&gt;0,"En Lookahead",IF(P1050="Sí","INCORPORAR",""))</f>
        <v/>
      </c>
    </row>
    <row r="1051" customFormat="false" ht="15" hidden="false" customHeight="false" outlineLevel="0" collapsed="false">
      <c r="A1051" s="13" t="s">
        <v>4342</v>
      </c>
      <c r="B1051" s="13" t="n">
        <v>1046</v>
      </c>
      <c r="C1051" s="13" t="s">
        <v>4343</v>
      </c>
      <c r="D1051" s="13" t="n">
        <v>6</v>
      </c>
      <c r="E1051" s="36" t="s">
        <v>2985</v>
      </c>
      <c r="F1051" s="13" t="s">
        <v>1298</v>
      </c>
      <c r="G1051" s="13" t="s">
        <v>322</v>
      </c>
      <c r="H1051" s="13" t="s">
        <v>4018</v>
      </c>
      <c r="I1051" s="13" t="s">
        <v>92</v>
      </c>
      <c r="J1051" s="13" t="s">
        <v>1623</v>
      </c>
      <c r="K1051" s="30" t="n">
        <v>4</v>
      </c>
      <c r="L1051" s="31" t="n">
        <v>46500</v>
      </c>
      <c r="M1051" s="31" t="n">
        <v>46503</v>
      </c>
      <c r="N1051" s="13"/>
      <c r="O1051" s="13"/>
      <c r="P1051" s="13"/>
      <c r="Q1051" s="13"/>
    </row>
    <row r="1052" customFormat="false" ht="15" hidden="false" customHeight="false" outlineLevel="0" collapsed="false">
      <c r="A1052" s="16" t="s">
        <v>4344</v>
      </c>
      <c r="B1052" s="16" t="n">
        <v>1047</v>
      </c>
      <c r="C1052" s="16" t="s">
        <v>4345</v>
      </c>
      <c r="D1052" s="16" t="n">
        <v>7</v>
      </c>
      <c r="E1052" s="37" t="s">
        <v>2988</v>
      </c>
      <c r="F1052" s="16" t="s">
        <v>1285</v>
      </c>
      <c r="G1052" s="16" t="s">
        <v>322</v>
      </c>
      <c r="H1052" s="16" t="s">
        <v>4018</v>
      </c>
      <c r="I1052" s="16" t="s">
        <v>92</v>
      </c>
      <c r="J1052" s="16" t="s">
        <v>2985</v>
      </c>
      <c r="K1052" s="32" t="n">
        <v>1</v>
      </c>
      <c r="L1052" s="33" t="n">
        <v>46502</v>
      </c>
      <c r="M1052" s="33" t="n">
        <v>46502</v>
      </c>
      <c r="N1052" s="16" t="s">
        <v>4346</v>
      </c>
      <c r="O1052" s="16"/>
      <c r="P1052" s="16" t="str">
        <f aca="false">IF(AND(L1052&lt;=$D$2,M1052&gt;=$C$2),"Sí","")</f>
        <v/>
      </c>
      <c r="Q1052" s="18" t="str">
        <f aca="false">IF(COUNTIF(LOOKAHEAD!$A$5:$A$604,A1052)&gt;0,"En Lookahead",IF(P1052="Sí","INCORPORAR",""))</f>
        <v/>
      </c>
    </row>
    <row r="1053" customFormat="false" ht="15" hidden="false" customHeight="false" outlineLevel="0" collapsed="false">
      <c r="A1053" s="16" t="s">
        <v>4347</v>
      </c>
      <c r="B1053" s="16" t="n">
        <v>1048</v>
      </c>
      <c r="C1053" s="16" t="s">
        <v>4348</v>
      </c>
      <c r="D1053" s="16" t="n">
        <v>7</v>
      </c>
      <c r="E1053" s="37" t="s">
        <v>1588</v>
      </c>
      <c r="F1053" s="16" t="s">
        <v>1285</v>
      </c>
      <c r="G1053" s="16" t="s">
        <v>322</v>
      </c>
      <c r="H1053" s="16" t="s">
        <v>4018</v>
      </c>
      <c r="I1053" s="16" t="s">
        <v>92</v>
      </c>
      <c r="J1053" s="16" t="s">
        <v>2985</v>
      </c>
      <c r="K1053" s="32" t="n">
        <v>1</v>
      </c>
      <c r="L1053" s="33" t="n">
        <v>46501</v>
      </c>
      <c r="M1053" s="33" t="n">
        <v>46501</v>
      </c>
      <c r="N1053" s="16" t="s">
        <v>4349</v>
      </c>
      <c r="O1053" s="16"/>
      <c r="P1053" s="16" t="str">
        <f aca="false">IF(AND(L1053&lt;=$D$2,M1053&gt;=$C$2),"Sí","")</f>
        <v/>
      </c>
      <c r="Q1053" s="18" t="str">
        <f aca="false">IF(COUNTIF(LOOKAHEAD!$A$5:$A$604,A1053)&gt;0,"En Lookahead",IF(P1053="Sí","INCORPORAR",""))</f>
        <v/>
      </c>
    </row>
    <row r="1054" customFormat="false" ht="15" hidden="false" customHeight="false" outlineLevel="0" collapsed="false">
      <c r="A1054" s="16" t="s">
        <v>4350</v>
      </c>
      <c r="B1054" s="16" t="n">
        <v>1049</v>
      </c>
      <c r="C1054" s="16" t="s">
        <v>4351</v>
      </c>
      <c r="D1054" s="16" t="n">
        <v>7</v>
      </c>
      <c r="E1054" s="37" t="s">
        <v>2995</v>
      </c>
      <c r="F1054" s="16" t="s">
        <v>1285</v>
      </c>
      <c r="G1054" s="16" t="s">
        <v>322</v>
      </c>
      <c r="H1054" s="16" t="s">
        <v>4018</v>
      </c>
      <c r="I1054" s="16" t="s">
        <v>92</v>
      </c>
      <c r="J1054" s="16" t="s">
        <v>2985</v>
      </c>
      <c r="K1054" s="32" t="n">
        <v>1</v>
      </c>
      <c r="L1054" s="33" t="n">
        <v>46500</v>
      </c>
      <c r="M1054" s="33" t="n">
        <v>46500</v>
      </c>
      <c r="N1054" s="16" t="s">
        <v>4341</v>
      </c>
      <c r="O1054" s="16"/>
      <c r="P1054" s="16" t="str">
        <f aca="false">IF(AND(L1054&lt;=$D$2,M1054&gt;=$C$2),"Sí","")</f>
        <v/>
      </c>
      <c r="Q1054" s="18" t="str">
        <f aca="false">IF(COUNTIF(LOOKAHEAD!$A$5:$A$604,A1054)&gt;0,"En Lookahead",IF(P1054="Sí","INCORPORAR",""))</f>
        <v/>
      </c>
    </row>
    <row r="1055" customFormat="false" ht="15" hidden="false" customHeight="false" outlineLevel="0" collapsed="false">
      <c r="A1055" s="16" t="s">
        <v>4352</v>
      </c>
      <c r="B1055" s="16" t="n">
        <v>1050</v>
      </c>
      <c r="C1055" s="16" t="s">
        <v>4353</v>
      </c>
      <c r="D1055" s="16" t="n">
        <v>7</v>
      </c>
      <c r="E1055" s="37" t="s">
        <v>1602</v>
      </c>
      <c r="F1055" s="16" t="s">
        <v>1285</v>
      </c>
      <c r="G1055" s="16" t="s">
        <v>322</v>
      </c>
      <c r="H1055" s="16" t="s">
        <v>4018</v>
      </c>
      <c r="I1055" s="16" t="s">
        <v>92</v>
      </c>
      <c r="J1055" s="16" t="s">
        <v>2985</v>
      </c>
      <c r="K1055" s="32" t="n">
        <v>1</v>
      </c>
      <c r="L1055" s="33" t="n">
        <v>46503</v>
      </c>
      <c r="M1055" s="33" t="n">
        <v>46503</v>
      </c>
      <c r="N1055" s="16" t="s">
        <v>4354</v>
      </c>
      <c r="O1055" s="16"/>
      <c r="P1055" s="16" t="str">
        <f aca="false">IF(AND(L1055&lt;=$D$2,M1055&gt;=$C$2),"Sí","")</f>
        <v/>
      </c>
      <c r="Q1055" s="18" t="str">
        <f aca="false">IF(COUNTIF(LOOKAHEAD!$A$5:$A$604,A1055)&gt;0,"En Lookahead",IF(P1055="Sí","INCORPORAR",""))</f>
        <v/>
      </c>
    </row>
    <row r="1056" customFormat="false" ht="15" hidden="false" customHeight="false" outlineLevel="0" collapsed="false">
      <c r="A1056" s="13" t="s">
        <v>4355</v>
      </c>
      <c r="B1056" s="13" t="n">
        <v>1051</v>
      </c>
      <c r="C1056" s="13" t="s">
        <v>4356</v>
      </c>
      <c r="D1056" s="13" t="n">
        <v>6</v>
      </c>
      <c r="E1056" s="36" t="s">
        <v>2137</v>
      </c>
      <c r="F1056" s="13" t="s">
        <v>1298</v>
      </c>
      <c r="G1056" s="13" t="s">
        <v>322</v>
      </c>
      <c r="H1056" s="13" t="s">
        <v>4018</v>
      </c>
      <c r="I1056" s="13" t="s">
        <v>92</v>
      </c>
      <c r="J1056" s="13" t="s">
        <v>1623</v>
      </c>
      <c r="K1056" s="30" t="n">
        <v>6</v>
      </c>
      <c r="L1056" s="31" t="n">
        <v>46483</v>
      </c>
      <c r="M1056" s="31" t="n">
        <v>46488</v>
      </c>
      <c r="N1056" s="13"/>
      <c r="O1056" s="13"/>
      <c r="P1056" s="13"/>
      <c r="Q1056" s="13"/>
    </row>
    <row r="1057" customFormat="false" ht="15" hidden="false" customHeight="false" outlineLevel="0" collapsed="false">
      <c r="A1057" s="16" t="s">
        <v>4357</v>
      </c>
      <c r="B1057" s="16" t="n">
        <v>1052</v>
      </c>
      <c r="C1057" s="16" t="s">
        <v>4358</v>
      </c>
      <c r="D1057" s="16" t="n">
        <v>7</v>
      </c>
      <c r="E1057" s="37" t="s">
        <v>2140</v>
      </c>
      <c r="F1057" s="16" t="s">
        <v>1285</v>
      </c>
      <c r="G1057" s="16" t="s">
        <v>322</v>
      </c>
      <c r="H1057" s="16" t="s">
        <v>4018</v>
      </c>
      <c r="I1057" s="16" t="s">
        <v>92</v>
      </c>
      <c r="J1057" s="16" t="s">
        <v>2137</v>
      </c>
      <c r="K1057" s="32" t="n">
        <v>4</v>
      </c>
      <c r="L1057" s="33" t="n">
        <v>46483</v>
      </c>
      <c r="M1057" s="33" t="n">
        <v>46486</v>
      </c>
      <c r="N1057" s="16" t="s">
        <v>4359</v>
      </c>
      <c r="O1057" s="16"/>
      <c r="P1057" s="16" t="str">
        <f aca="false">IF(AND(L1057&lt;=$D$2,M1057&gt;=$C$2),"Sí","")</f>
        <v/>
      </c>
      <c r="Q1057" s="18" t="str">
        <f aca="false">IF(COUNTIF(LOOKAHEAD!$A$5:$A$604,A1057)&gt;0,"En Lookahead",IF(P1057="Sí","INCORPORAR",""))</f>
        <v/>
      </c>
    </row>
    <row r="1058" customFormat="false" ht="15" hidden="false" customHeight="false" outlineLevel="0" collapsed="false">
      <c r="A1058" s="16" t="s">
        <v>4360</v>
      </c>
      <c r="B1058" s="16" t="n">
        <v>1053</v>
      </c>
      <c r="C1058" s="16" t="s">
        <v>4361</v>
      </c>
      <c r="D1058" s="16" t="n">
        <v>7</v>
      </c>
      <c r="E1058" s="37" t="s">
        <v>2144</v>
      </c>
      <c r="F1058" s="16" t="s">
        <v>1285</v>
      </c>
      <c r="G1058" s="16" t="s">
        <v>322</v>
      </c>
      <c r="H1058" s="16" t="s">
        <v>4018</v>
      </c>
      <c r="I1058" s="16" t="s">
        <v>92</v>
      </c>
      <c r="J1058" s="16" t="s">
        <v>2137</v>
      </c>
      <c r="K1058" s="32" t="n">
        <v>2</v>
      </c>
      <c r="L1058" s="33" t="n">
        <v>46487</v>
      </c>
      <c r="M1058" s="33" t="n">
        <v>46488</v>
      </c>
      <c r="N1058" s="16" t="s">
        <v>4362</v>
      </c>
      <c r="O1058" s="16"/>
      <c r="P1058" s="16" t="str">
        <f aca="false">IF(AND(L1058&lt;=$D$2,M1058&gt;=$C$2),"Sí","")</f>
        <v/>
      </c>
      <c r="Q1058" s="18" t="str">
        <f aca="false">IF(COUNTIF(LOOKAHEAD!$A$5:$A$604,A1058)&gt;0,"En Lookahead",IF(P1058="Sí","INCORPORAR",""))</f>
        <v/>
      </c>
    </row>
    <row r="1059" customFormat="false" ht="15" hidden="false" customHeight="false" outlineLevel="0" collapsed="false">
      <c r="A1059" s="13" t="s">
        <v>4363</v>
      </c>
      <c r="B1059" s="13" t="n">
        <v>1054</v>
      </c>
      <c r="C1059" s="13" t="s">
        <v>4364</v>
      </c>
      <c r="D1059" s="13" t="n">
        <v>5</v>
      </c>
      <c r="E1059" s="34" t="s">
        <v>4365</v>
      </c>
      <c r="F1059" s="13" t="s">
        <v>1298</v>
      </c>
      <c r="G1059" s="13" t="s">
        <v>322</v>
      </c>
      <c r="H1059" s="13" t="s">
        <v>4018</v>
      </c>
      <c r="I1059" s="13" t="s">
        <v>92</v>
      </c>
      <c r="J1059" s="13" t="s">
        <v>4018</v>
      </c>
      <c r="K1059" s="30" t="n">
        <v>12</v>
      </c>
      <c r="L1059" s="31" t="n">
        <v>46498</v>
      </c>
      <c r="M1059" s="31" t="n">
        <v>46509</v>
      </c>
      <c r="N1059" s="13"/>
      <c r="O1059" s="13"/>
      <c r="P1059" s="13"/>
      <c r="Q1059" s="13"/>
    </row>
    <row r="1060" customFormat="false" ht="15" hidden="false" customHeight="false" outlineLevel="0" collapsed="false">
      <c r="A1060" s="13" t="s">
        <v>4366</v>
      </c>
      <c r="B1060" s="13" t="n">
        <v>1055</v>
      </c>
      <c r="C1060" s="13" t="s">
        <v>4367</v>
      </c>
      <c r="D1060" s="13" t="n">
        <v>6</v>
      </c>
      <c r="E1060" s="36" t="s">
        <v>4368</v>
      </c>
      <c r="F1060" s="13" t="s">
        <v>1298</v>
      </c>
      <c r="G1060" s="13" t="s">
        <v>322</v>
      </c>
      <c r="H1060" s="13" t="s">
        <v>4018</v>
      </c>
      <c r="I1060" s="13" t="s">
        <v>92</v>
      </c>
      <c r="J1060" s="13" t="s">
        <v>4365</v>
      </c>
      <c r="K1060" s="30" t="n">
        <v>12</v>
      </c>
      <c r="L1060" s="31" t="n">
        <v>46498</v>
      </c>
      <c r="M1060" s="31" t="n">
        <v>46509</v>
      </c>
      <c r="N1060" s="13"/>
      <c r="O1060" s="13"/>
      <c r="P1060" s="13"/>
      <c r="Q1060" s="13"/>
    </row>
    <row r="1061" customFormat="false" ht="15" hidden="false" customHeight="false" outlineLevel="0" collapsed="false">
      <c r="A1061" s="16" t="s">
        <v>4369</v>
      </c>
      <c r="B1061" s="16" t="n">
        <v>1056</v>
      </c>
      <c r="C1061" s="16" t="s">
        <v>4370</v>
      </c>
      <c r="D1061" s="16" t="n">
        <v>7</v>
      </c>
      <c r="E1061" s="37" t="s">
        <v>4371</v>
      </c>
      <c r="F1061" s="16" t="s">
        <v>1285</v>
      </c>
      <c r="G1061" s="16" t="s">
        <v>322</v>
      </c>
      <c r="H1061" s="16" t="s">
        <v>4018</v>
      </c>
      <c r="I1061" s="16" t="s">
        <v>92</v>
      </c>
      <c r="J1061" s="16" t="s">
        <v>4368</v>
      </c>
      <c r="K1061" s="32" t="n">
        <v>1</v>
      </c>
      <c r="L1061" s="33" t="n">
        <v>46498</v>
      </c>
      <c r="M1061" s="33" t="n">
        <v>46498</v>
      </c>
      <c r="N1061" s="16" t="s">
        <v>4372</v>
      </c>
      <c r="O1061" s="16"/>
      <c r="P1061" s="16" t="str">
        <f aca="false">IF(AND(L1061&lt;=$D$2,M1061&gt;=$C$2),"Sí","")</f>
        <v/>
      </c>
      <c r="Q1061" s="18" t="str">
        <f aca="false">IF(COUNTIF(LOOKAHEAD!$A$5:$A$604,A1061)&gt;0,"En Lookahead",IF(P1061="Sí","INCORPORAR",""))</f>
        <v/>
      </c>
    </row>
    <row r="1062" customFormat="false" ht="15" hidden="false" customHeight="false" outlineLevel="0" collapsed="false">
      <c r="A1062" s="16" t="s">
        <v>4373</v>
      </c>
      <c r="B1062" s="16" t="n">
        <v>1057</v>
      </c>
      <c r="C1062" s="16" t="s">
        <v>4374</v>
      </c>
      <c r="D1062" s="16" t="n">
        <v>7</v>
      </c>
      <c r="E1062" s="37" t="s">
        <v>4375</v>
      </c>
      <c r="F1062" s="16" t="s">
        <v>1285</v>
      </c>
      <c r="G1062" s="16" t="s">
        <v>322</v>
      </c>
      <c r="H1062" s="16" t="s">
        <v>4018</v>
      </c>
      <c r="I1062" s="16" t="s">
        <v>92</v>
      </c>
      <c r="J1062" s="16" t="s">
        <v>4368</v>
      </c>
      <c r="K1062" s="32" t="n">
        <v>1</v>
      </c>
      <c r="L1062" s="33" t="n">
        <v>46498</v>
      </c>
      <c r="M1062" s="33" t="n">
        <v>46498</v>
      </c>
      <c r="N1062" s="16" t="s">
        <v>4376</v>
      </c>
      <c r="O1062" s="16"/>
      <c r="P1062" s="16" t="str">
        <f aca="false">IF(AND(L1062&lt;=$D$2,M1062&gt;=$C$2),"Sí","")</f>
        <v/>
      </c>
      <c r="Q1062" s="18" t="str">
        <f aca="false">IF(COUNTIF(LOOKAHEAD!$A$5:$A$604,A1062)&gt;0,"En Lookahead",IF(P1062="Sí","INCORPORAR",""))</f>
        <v/>
      </c>
    </row>
    <row r="1063" customFormat="false" ht="15" hidden="false" customHeight="false" outlineLevel="0" collapsed="false">
      <c r="A1063" s="16" t="s">
        <v>4377</v>
      </c>
      <c r="B1063" s="16" t="n">
        <v>1058</v>
      </c>
      <c r="C1063" s="16" t="s">
        <v>4378</v>
      </c>
      <c r="D1063" s="16" t="n">
        <v>7</v>
      </c>
      <c r="E1063" s="37" t="s">
        <v>4379</v>
      </c>
      <c r="F1063" s="16" t="s">
        <v>1285</v>
      </c>
      <c r="G1063" s="16" t="s">
        <v>322</v>
      </c>
      <c r="H1063" s="16" t="s">
        <v>4018</v>
      </c>
      <c r="I1063" s="16" t="s">
        <v>92</v>
      </c>
      <c r="J1063" s="16" t="s">
        <v>4368</v>
      </c>
      <c r="K1063" s="32" t="n">
        <v>1</v>
      </c>
      <c r="L1063" s="33" t="n">
        <v>46498</v>
      </c>
      <c r="M1063" s="33" t="n">
        <v>46498</v>
      </c>
      <c r="N1063" s="16" t="s">
        <v>4376</v>
      </c>
      <c r="O1063" s="16"/>
      <c r="P1063" s="16" t="str">
        <f aca="false">IF(AND(L1063&lt;=$D$2,M1063&gt;=$C$2),"Sí","")</f>
        <v/>
      </c>
      <c r="Q1063" s="18" t="str">
        <f aca="false">IF(COUNTIF(LOOKAHEAD!$A$5:$A$604,A1063)&gt;0,"En Lookahead",IF(P1063="Sí","INCORPORAR",""))</f>
        <v/>
      </c>
    </row>
    <row r="1064" customFormat="false" ht="15" hidden="false" customHeight="false" outlineLevel="0" collapsed="false">
      <c r="A1064" s="16" t="s">
        <v>4380</v>
      </c>
      <c r="B1064" s="16" t="n">
        <v>1059</v>
      </c>
      <c r="C1064" s="16" t="s">
        <v>4381</v>
      </c>
      <c r="D1064" s="16" t="n">
        <v>7</v>
      </c>
      <c r="E1064" s="37" t="s">
        <v>4382</v>
      </c>
      <c r="F1064" s="16" t="s">
        <v>1285</v>
      </c>
      <c r="G1064" s="16" t="s">
        <v>322</v>
      </c>
      <c r="H1064" s="16" t="s">
        <v>4018</v>
      </c>
      <c r="I1064" s="16" t="s">
        <v>92</v>
      </c>
      <c r="J1064" s="16" t="s">
        <v>4368</v>
      </c>
      <c r="K1064" s="32" t="n">
        <v>1</v>
      </c>
      <c r="L1064" s="33" t="n">
        <v>46498</v>
      </c>
      <c r="M1064" s="33" t="n">
        <v>46498</v>
      </c>
      <c r="N1064" s="16" t="s">
        <v>4376</v>
      </c>
      <c r="O1064" s="16"/>
      <c r="P1064" s="16" t="str">
        <f aca="false">IF(AND(L1064&lt;=$D$2,M1064&gt;=$C$2),"Sí","")</f>
        <v/>
      </c>
      <c r="Q1064" s="18" t="str">
        <f aca="false">IF(COUNTIF(LOOKAHEAD!$A$5:$A$604,A1064)&gt;0,"En Lookahead",IF(P1064="Sí","INCORPORAR",""))</f>
        <v/>
      </c>
    </row>
    <row r="1065" customFormat="false" ht="15" hidden="false" customHeight="false" outlineLevel="0" collapsed="false">
      <c r="A1065" s="16" t="s">
        <v>4383</v>
      </c>
      <c r="B1065" s="16" t="n">
        <v>1060</v>
      </c>
      <c r="C1065" s="16" t="s">
        <v>4384</v>
      </c>
      <c r="D1065" s="16" t="n">
        <v>7</v>
      </c>
      <c r="E1065" s="37" t="s">
        <v>4385</v>
      </c>
      <c r="F1065" s="16" t="s">
        <v>1285</v>
      </c>
      <c r="G1065" s="16" t="s">
        <v>322</v>
      </c>
      <c r="H1065" s="16" t="s">
        <v>4018</v>
      </c>
      <c r="I1065" s="16" t="s">
        <v>92</v>
      </c>
      <c r="J1065" s="16" t="s">
        <v>4368</v>
      </c>
      <c r="K1065" s="32" t="n">
        <v>1</v>
      </c>
      <c r="L1065" s="33" t="n">
        <v>46498</v>
      </c>
      <c r="M1065" s="33" t="n">
        <v>46498</v>
      </c>
      <c r="N1065" s="16" t="s">
        <v>4376</v>
      </c>
      <c r="O1065" s="16"/>
      <c r="P1065" s="16" t="str">
        <f aca="false">IF(AND(L1065&lt;=$D$2,M1065&gt;=$C$2),"Sí","")</f>
        <v/>
      </c>
      <c r="Q1065" s="18" t="str">
        <f aca="false">IF(COUNTIF(LOOKAHEAD!$A$5:$A$604,A1065)&gt;0,"En Lookahead",IF(P1065="Sí","INCORPORAR",""))</f>
        <v/>
      </c>
    </row>
    <row r="1066" customFormat="false" ht="15" hidden="false" customHeight="false" outlineLevel="0" collapsed="false">
      <c r="A1066" s="16" t="s">
        <v>4386</v>
      </c>
      <c r="B1066" s="16" t="n">
        <v>1061</v>
      </c>
      <c r="C1066" s="16" t="s">
        <v>4387</v>
      </c>
      <c r="D1066" s="16" t="n">
        <v>7</v>
      </c>
      <c r="E1066" s="37" t="s">
        <v>4388</v>
      </c>
      <c r="F1066" s="16" t="s">
        <v>1285</v>
      </c>
      <c r="G1066" s="16" t="s">
        <v>322</v>
      </c>
      <c r="H1066" s="16" t="s">
        <v>4018</v>
      </c>
      <c r="I1066" s="16" t="s">
        <v>92</v>
      </c>
      <c r="J1066" s="16" t="s">
        <v>4368</v>
      </c>
      <c r="K1066" s="32" t="n">
        <v>1</v>
      </c>
      <c r="L1066" s="33" t="n">
        <v>46498</v>
      </c>
      <c r="M1066" s="33" t="n">
        <v>46498</v>
      </c>
      <c r="N1066" s="16" t="s">
        <v>4376</v>
      </c>
      <c r="O1066" s="16"/>
      <c r="P1066" s="16" t="str">
        <f aca="false">IF(AND(L1066&lt;=$D$2,M1066&gt;=$C$2),"Sí","")</f>
        <v/>
      </c>
      <c r="Q1066" s="18" t="str">
        <f aca="false">IF(COUNTIF(LOOKAHEAD!$A$5:$A$604,A1066)&gt;0,"En Lookahead",IF(P1066="Sí","INCORPORAR",""))</f>
        <v/>
      </c>
    </row>
    <row r="1067" customFormat="false" ht="15" hidden="false" customHeight="false" outlineLevel="0" collapsed="false">
      <c r="A1067" s="16" t="s">
        <v>4389</v>
      </c>
      <c r="B1067" s="16" t="n">
        <v>1062</v>
      </c>
      <c r="C1067" s="16" t="s">
        <v>4390</v>
      </c>
      <c r="D1067" s="16" t="n">
        <v>7</v>
      </c>
      <c r="E1067" s="37" t="s">
        <v>4391</v>
      </c>
      <c r="F1067" s="16" t="s">
        <v>1285</v>
      </c>
      <c r="G1067" s="16" t="s">
        <v>322</v>
      </c>
      <c r="H1067" s="16" t="s">
        <v>4018</v>
      </c>
      <c r="I1067" s="16" t="s">
        <v>92</v>
      </c>
      <c r="J1067" s="16" t="s">
        <v>4368</v>
      </c>
      <c r="K1067" s="32" t="n">
        <v>2</v>
      </c>
      <c r="L1067" s="33" t="n">
        <v>46498</v>
      </c>
      <c r="M1067" s="33" t="n">
        <v>46499</v>
      </c>
      <c r="N1067" s="16" t="s">
        <v>4376</v>
      </c>
      <c r="O1067" s="16"/>
      <c r="P1067" s="16" t="str">
        <f aca="false">IF(AND(L1067&lt;=$D$2,M1067&gt;=$C$2),"Sí","")</f>
        <v/>
      </c>
      <c r="Q1067" s="18" t="str">
        <f aca="false">IF(COUNTIF(LOOKAHEAD!$A$5:$A$604,A1067)&gt;0,"En Lookahead",IF(P1067="Sí","INCORPORAR",""))</f>
        <v/>
      </c>
    </row>
    <row r="1068" customFormat="false" ht="15" hidden="false" customHeight="false" outlineLevel="0" collapsed="false">
      <c r="A1068" s="16" t="s">
        <v>4392</v>
      </c>
      <c r="B1068" s="16" t="n">
        <v>1063</v>
      </c>
      <c r="C1068" s="16" t="s">
        <v>4393</v>
      </c>
      <c r="D1068" s="16" t="n">
        <v>7</v>
      </c>
      <c r="E1068" s="37" t="s">
        <v>2207</v>
      </c>
      <c r="F1068" s="16" t="s">
        <v>1285</v>
      </c>
      <c r="G1068" s="16" t="s">
        <v>322</v>
      </c>
      <c r="H1068" s="16" t="s">
        <v>4018</v>
      </c>
      <c r="I1068" s="16" t="s">
        <v>92</v>
      </c>
      <c r="J1068" s="16" t="s">
        <v>4368</v>
      </c>
      <c r="K1068" s="32" t="n">
        <v>1</v>
      </c>
      <c r="L1068" s="33" t="n">
        <v>46499</v>
      </c>
      <c r="M1068" s="33" t="n">
        <v>46499</v>
      </c>
      <c r="N1068" s="16" t="s">
        <v>4394</v>
      </c>
      <c r="O1068" s="16"/>
      <c r="P1068" s="16" t="str">
        <f aca="false">IF(AND(L1068&lt;=$D$2,M1068&gt;=$C$2),"Sí","")</f>
        <v/>
      </c>
      <c r="Q1068" s="18" t="str">
        <f aca="false">IF(COUNTIF(LOOKAHEAD!$A$5:$A$604,A1068)&gt;0,"En Lookahead",IF(P1068="Sí","INCORPORAR",""))</f>
        <v/>
      </c>
    </row>
    <row r="1069" customFormat="false" ht="15" hidden="false" customHeight="false" outlineLevel="0" collapsed="false">
      <c r="A1069" s="16" t="s">
        <v>4395</v>
      </c>
      <c r="B1069" s="16" t="n">
        <v>1064</v>
      </c>
      <c r="C1069" s="16" t="s">
        <v>4396</v>
      </c>
      <c r="D1069" s="16" t="n">
        <v>7</v>
      </c>
      <c r="E1069" s="37" t="s">
        <v>2211</v>
      </c>
      <c r="F1069" s="16" t="s">
        <v>1285</v>
      </c>
      <c r="G1069" s="16" t="s">
        <v>322</v>
      </c>
      <c r="H1069" s="16" t="s">
        <v>4018</v>
      </c>
      <c r="I1069" s="16" t="s">
        <v>92</v>
      </c>
      <c r="J1069" s="16" t="s">
        <v>4368</v>
      </c>
      <c r="K1069" s="32" t="n">
        <v>4</v>
      </c>
      <c r="L1069" s="33" t="n">
        <v>46500</v>
      </c>
      <c r="M1069" s="33" t="n">
        <v>46503</v>
      </c>
      <c r="N1069" s="16" t="s">
        <v>4397</v>
      </c>
      <c r="O1069" s="16"/>
      <c r="P1069" s="16" t="str">
        <f aca="false">IF(AND(L1069&lt;=$D$2,M1069&gt;=$C$2),"Sí","")</f>
        <v/>
      </c>
      <c r="Q1069" s="18" t="str">
        <f aca="false">IF(COUNTIF(LOOKAHEAD!$A$5:$A$604,A1069)&gt;0,"En Lookahead",IF(P1069="Sí","INCORPORAR",""))</f>
        <v/>
      </c>
    </row>
    <row r="1070" customFormat="false" ht="15" hidden="false" customHeight="false" outlineLevel="0" collapsed="false">
      <c r="A1070" s="16" t="s">
        <v>4398</v>
      </c>
      <c r="B1070" s="16" t="n">
        <v>1065</v>
      </c>
      <c r="C1070" s="16" t="s">
        <v>4399</v>
      </c>
      <c r="D1070" s="16" t="n">
        <v>7</v>
      </c>
      <c r="E1070" s="37" t="s">
        <v>4400</v>
      </c>
      <c r="F1070" s="16" t="s">
        <v>1285</v>
      </c>
      <c r="G1070" s="16" t="s">
        <v>322</v>
      </c>
      <c r="H1070" s="16" t="s">
        <v>4018</v>
      </c>
      <c r="I1070" s="16" t="s">
        <v>92</v>
      </c>
      <c r="J1070" s="16" t="s">
        <v>4368</v>
      </c>
      <c r="K1070" s="32" t="n">
        <v>3</v>
      </c>
      <c r="L1070" s="33" t="n">
        <v>46504</v>
      </c>
      <c r="M1070" s="33" t="n">
        <v>46506</v>
      </c>
      <c r="N1070" s="16" t="s">
        <v>4401</v>
      </c>
      <c r="O1070" s="16"/>
      <c r="P1070" s="16" t="str">
        <f aca="false">IF(AND(L1070&lt;=$D$2,M1070&gt;=$C$2),"Sí","")</f>
        <v/>
      </c>
      <c r="Q1070" s="18" t="str">
        <f aca="false">IF(COUNTIF(LOOKAHEAD!$A$5:$A$604,A1070)&gt;0,"En Lookahead",IF(P1070="Sí","INCORPORAR",""))</f>
        <v/>
      </c>
    </row>
    <row r="1071" customFormat="false" ht="15" hidden="false" customHeight="false" outlineLevel="0" collapsed="false">
      <c r="A1071" s="16" t="s">
        <v>4402</v>
      </c>
      <c r="B1071" s="16" t="n">
        <v>1066</v>
      </c>
      <c r="C1071" s="16" t="s">
        <v>4403</v>
      </c>
      <c r="D1071" s="16" t="n">
        <v>7</v>
      </c>
      <c r="E1071" s="37" t="s">
        <v>4404</v>
      </c>
      <c r="F1071" s="16" t="s">
        <v>1285</v>
      </c>
      <c r="G1071" s="16" t="s">
        <v>322</v>
      </c>
      <c r="H1071" s="16" t="s">
        <v>4018</v>
      </c>
      <c r="I1071" s="16" t="s">
        <v>92</v>
      </c>
      <c r="J1071" s="16" t="s">
        <v>4368</v>
      </c>
      <c r="K1071" s="32" t="n">
        <v>2</v>
      </c>
      <c r="L1071" s="33" t="n">
        <v>46507</v>
      </c>
      <c r="M1071" s="33" t="n">
        <v>46508</v>
      </c>
      <c r="N1071" s="16" t="s">
        <v>4405</v>
      </c>
      <c r="O1071" s="16"/>
      <c r="P1071" s="16" t="str">
        <f aca="false">IF(AND(L1071&lt;=$D$2,M1071&gt;=$C$2),"Sí","")</f>
        <v/>
      </c>
      <c r="Q1071" s="18" t="str">
        <f aca="false">IF(COUNTIF(LOOKAHEAD!$A$5:$A$604,A1071)&gt;0,"En Lookahead",IF(P1071="Sí","INCORPORAR",""))</f>
        <v/>
      </c>
    </row>
    <row r="1072" customFormat="false" ht="15" hidden="false" customHeight="false" outlineLevel="0" collapsed="false">
      <c r="A1072" s="16" t="s">
        <v>4406</v>
      </c>
      <c r="B1072" s="16" t="n">
        <v>1067</v>
      </c>
      <c r="C1072" s="16" t="s">
        <v>4407</v>
      </c>
      <c r="D1072" s="16" t="n">
        <v>7</v>
      </c>
      <c r="E1072" s="37" t="s">
        <v>4408</v>
      </c>
      <c r="F1072" s="16" t="s">
        <v>1285</v>
      </c>
      <c r="G1072" s="16" t="s">
        <v>322</v>
      </c>
      <c r="H1072" s="16" t="s">
        <v>4018</v>
      </c>
      <c r="I1072" s="16" t="s">
        <v>92</v>
      </c>
      <c r="J1072" s="16" t="s">
        <v>4368</v>
      </c>
      <c r="K1072" s="32" t="n">
        <v>1</v>
      </c>
      <c r="L1072" s="33" t="n">
        <v>46500</v>
      </c>
      <c r="M1072" s="33" t="n">
        <v>46500</v>
      </c>
      <c r="N1072" s="16" t="s">
        <v>4409</v>
      </c>
      <c r="O1072" s="16"/>
      <c r="P1072" s="16" t="str">
        <f aca="false">IF(AND(L1072&lt;=$D$2,M1072&gt;=$C$2),"Sí","")</f>
        <v/>
      </c>
      <c r="Q1072" s="18" t="str">
        <f aca="false">IF(COUNTIF(LOOKAHEAD!$A$5:$A$604,A1072)&gt;0,"En Lookahead",IF(P1072="Sí","INCORPORAR",""))</f>
        <v/>
      </c>
    </row>
    <row r="1073" customFormat="false" ht="15" hidden="false" customHeight="false" outlineLevel="0" collapsed="false">
      <c r="A1073" s="16" t="s">
        <v>4410</v>
      </c>
      <c r="B1073" s="16" t="n">
        <v>1068</v>
      </c>
      <c r="C1073" s="16" t="s">
        <v>4411</v>
      </c>
      <c r="D1073" s="16" t="n">
        <v>7</v>
      </c>
      <c r="E1073" s="37" t="s">
        <v>4412</v>
      </c>
      <c r="F1073" s="16" t="s">
        <v>1285</v>
      </c>
      <c r="G1073" s="16" t="s">
        <v>322</v>
      </c>
      <c r="H1073" s="16" t="s">
        <v>4018</v>
      </c>
      <c r="I1073" s="16" t="s">
        <v>92</v>
      </c>
      <c r="J1073" s="16" t="s">
        <v>4368</v>
      </c>
      <c r="K1073" s="32" t="n">
        <v>1</v>
      </c>
      <c r="L1073" s="33" t="n">
        <v>46509</v>
      </c>
      <c r="M1073" s="33" t="n">
        <v>46509</v>
      </c>
      <c r="N1073" s="16" t="s">
        <v>4413</v>
      </c>
      <c r="O1073" s="16"/>
      <c r="P1073" s="16" t="str">
        <f aca="false">IF(AND(L1073&lt;=$D$2,M1073&gt;=$C$2),"Sí","")</f>
        <v/>
      </c>
      <c r="Q1073" s="18" t="str">
        <f aca="false">IF(COUNTIF(LOOKAHEAD!$A$5:$A$604,A1073)&gt;0,"En Lookahead",IF(P1073="Sí","INCORPORAR",""))</f>
        <v/>
      </c>
    </row>
    <row r="1074" customFormat="false" ht="15" hidden="false" customHeight="false" outlineLevel="0" collapsed="false">
      <c r="A1074" s="13" t="s">
        <v>4414</v>
      </c>
      <c r="B1074" s="13" t="n">
        <v>1069</v>
      </c>
      <c r="C1074" s="13" t="s">
        <v>4415</v>
      </c>
      <c r="D1074" s="13" t="n">
        <v>4</v>
      </c>
      <c r="E1074" s="20" t="s">
        <v>4416</v>
      </c>
      <c r="F1074" s="13" t="s">
        <v>1298</v>
      </c>
      <c r="G1074" s="13" t="s">
        <v>322</v>
      </c>
      <c r="H1074" s="13" t="s">
        <v>4416</v>
      </c>
      <c r="I1074" s="13" t="s">
        <v>98</v>
      </c>
      <c r="J1074" s="13" t="s">
        <v>1528</v>
      </c>
      <c r="K1074" s="30" t="n">
        <v>65</v>
      </c>
      <c r="L1074" s="31" t="n">
        <v>46155</v>
      </c>
      <c r="M1074" s="31" t="n">
        <v>46299</v>
      </c>
      <c r="N1074" s="13"/>
      <c r="O1074" s="13" t="s">
        <v>1299</v>
      </c>
      <c r="P1074" s="13"/>
      <c r="Q1074" s="13"/>
    </row>
    <row r="1075" customFormat="false" ht="15" hidden="false" customHeight="false" outlineLevel="0" collapsed="false">
      <c r="A1075" s="13" t="s">
        <v>4417</v>
      </c>
      <c r="B1075" s="13" t="n">
        <v>1070</v>
      </c>
      <c r="C1075" s="13" t="s">
        <v>4418</v>
      </c>
      <c r="D1075" s="13" t="n">
        <v>5</v>
      </c>
      <c r="E1075" s="34" t="s">
        <v>1534</v>
      </c>
      <c r="F1075" s="13" t="s">
        <v>1298</v>
      </c>
      <c r="G1075" s="13" t="s">
        <v>322</v>
      </c>
      <c r="H1075" s="13" t="s">
        <v>4416</v>
      </c>
      <c r="I1075" s="13" t="s">
        <v>98</v>
      </c>
      <c r="J1075" s="13" t="s">
        <v>4416</v>
      </c>
      <c r="K1075" s="30" t="n">
        <v>32</v>
      </c>
      <c r="L1075" s="31" t="n">
        <v>46155</v>
      </c>
      <c r="M1075" s="31" t="n">
        <v>46266</v>
      </c>
      <c r="N1075" s="13"/>
      <c r="O1075" s="13" t="s">
        <v>1299</v>
      </c>
      <c r="P1075" s="13"/>
      <c r="Q1075" s="13"/>
    </row>
    <row r="1076" customFormat="false" ht="15" hidden="false" customHeight="false" outlineLevel="0" collapsed="false">
      <c r="A1076" s="16" t="s">
        <v>4419</v>
      </c>
      <c r="B1076" s="16" t="n">
        <v>1071</v>
      </c>
      <c r="C1076" s="16" t="s">
        <v>4420</v>
      </c>
      <c r="D1076" s="16" t="n">
        <v>6</v>
      </c>
      <c r="E1076" s="35" t="s">
        <v>1545</v>
      </c>
      <c r="F1076" s="16" t="s">
        <v>1285</v>
      </c>
      <c r="G1076" s="16" t="s">
        <v>322</v>
      </c>
      <c r="H1076" s="16" t="s">
        <v>4416</v>
      </c>
      <c r="I1076" s="16" t="s">
        <v>98</v>
      </c>
      <c r="J1076" s="16" t="s">
        <v>1534</v>
      </c>
      <c r="K1076" s="32" t="n">
        <v>11</v>
      </c>
      <c r="L1076" s="33" t="n">
        <v>46155</v>
      </c>
      <c r="M1076" s="33" t="n">
        <v>46245</v>
      </c>
      <c r="N1076" s="16" t="s">
        <v>4421</v>
      </c>
      <c r="O1076" s="16" t="s">
        <v>1299</v>
      </c>
      <c r="P1076" s="16" t="str">
        <f aca="false">IF(AND(L1076&lt;=$D$2,M1076&gt;=$C$2),"Sí","")</f>
        <v/>
      </c>
      <c r="Q1076" s="18" t="str">
        <f aca="false">IF(COUNTIF(LOOKAHEAD!$A$5:$A$604,A1076)&gt;0,"En Lookahead",IF(P1076="Sí","INCORPORAR",""))</f>
        <v/>
      </c>
    </row>
    <row r="1077" customFormat="false" ht="15" hidden="false" customHeight="false" outlineLevel="0" collapsed="false">
      <c r="A1077" s="16" t="s">
        <v>4422</v>
      </c>
      <c r="B1077" s="16" t="n">
        <v>1072</v>
      </c>
      <c r="C1077" s="16" t="s">
        <v>4423</v>
      </c>
      <c r="D1077" s="16" t="n">
        <v>6</v>
      </c>
      <c r="E1077" s="35" t="s">
        <v>1549</v>
      </c>
      <c r="F1077" s="16" t="s">
        <v>1285</v>
      </c>
      <c r="G1077" s="16" t="s">
        <v>322</v>
      </c>
      <c r="H1077" s="16" t="s">
        <v>4416</v>
      </c>
      <c r="I1077" s="16" t="s">
        <v>98</v>
      </c>
      <c r="J1077" s="16" t="s">
        <v>1534</v>
      </c>
      <c r="K1077" s="32" t="n">
        <v>1</v>
      </c>
      <c r="L1077" s="33" t="n">
        <v>46246</v>
      </c>
      <c r="M1077" s="33" t="n">
        <v>46246</v>
      </c>
      <c r="N1077" s="16" t="s">
        <v>4023</v>
      </c>
      <c r="O1077" s="16"/>
      <c r="P1077" s="16" t="str">
        <f aca="false">IF(AND(L1077&lt;=$D$2,M1077&gt;=$C$2),"Sí","")</f>
        <v/>
      </c>
      <c r="Q1077" s="18" t="str">
        <f aca="false">IF(COUNTIF(LOOKAHEAD!$A$5:$A$604,A1077)&gt;0,"En Lookahead",IF(P1077="Sí","INCORPORAR",""))</f>
        <v/>
      </c>
    </row>
    <row r="1078" customFormat="false" ht="15" hidden="false" customHeight="false" outlineLevel="0" collapsed="false">
      <c r="A1078" s="16" t="s">
        <v>4424</v>
      </c>
      <c r="B1078" s="16" t="n">
        <v>1073</v>
      </c>
      <c r="C1078" s="16" t="s">
        <v>4425</v>
      </c>
      <c r="D1078" s="16" t="n">
        <v>6</v>
      </c>
      <c r="E1078" s="35" t="s">
        <v>1553</v>
      </c>
      <c r="F1078" s="16" t="s">
        <v>1285</v>
      </c>
      <c r="G1078" s="16" t="s">
        <v>322</v>
      </c>
      <c r="H1078" s="16" t="s">
        <v>4416</v>
      </c>
      <c r="I1078" s="16" t="s">
        <v>98</v>
      </c>
      <c r="J1078" s="16" t="s">
        <v>1534</v>
      </c>
      <c r="K1078" s="32" t="n">
        <v>1</v>
      </c>
      <c r="L1078" s="33" t="n">
        <v>46265</v>
      </c>
      <c r="M1078" s="33" t="n">
        <v>46265</v>
      </c>
      <c r="N1078" s="16" t="s">
        <v>4426</v>
      </c>
      <c r="O1078" s="16"/>
      <c r="P1078" s="16" t="str">
        <f aca="false">IF(AND(L1078&lt;=$D$2,M1078&gt;=$C$2),"Sí","")</f>
        <v/>
      </c>
      <c r="Q1078" s="18" t="str">
        <f aca="false">IF(COUNTIF(LOOKAHEAD!$A$5:$A$604,A1078)&gt;0,"En Lookahead",IF(P1078="Sí","INCORPORAR",""))</f>
        <v/>
      </c>
    </row>
    <row r="1079" customFormat="false" ht="15" hidden="false" customHeight="false" outlineLevel="0" collapsed="false">
      <c r="A1079" s="16" t="s">
        <v>4427</v>
      </c>
      <c r="B1079" s="16" t="n">
        <v>1074</v>
      </c>
      <c r="C1079" s="16" t="s">
        <v>4428</v>
      </c>
      <c r="D1079" s="16" t="n">
        <v>6</v>
      </c>
      <c r="E1079" s="35" t="s">
        <v>1557</v>
      </c>
      <c r="F1079" s="16" t="s">
        <v>1285</v>
      </c>
      <c r="G1079" s="16" t="s">
        <v>322</v>
      </c>
      <c r="H1079" s="16" t="s">
        <v>4416</v>
      </c>
      <c r="I1079" s="16" t="s">
        <v>98</v>
      </c>
      <c r="J1079" s="16" t="s">
        <v>1534</v>
      </c>
      <c r="K1079" s="32" t="n">
        <v>7</v>
      </c>
      <c r="L1079" s="33" t="n">
        <v>46246</v>
      </c>
      <c r="M1079" s="33" t="n">
        <v>46252</v>
      </c>
      <c r="N1079" s="16" t="s">
        <v>4023</v>
      </c>
      <c r="O1079" s="16"/>
      <c r="P1079" s="16" t="str">
        <f aca="false">IF(AND(L1079&lt;=$D$2,M1079&gt;=$C$2),"Sí","")</f>
        <v/>
      </c>
      <c r="Q1079" s="18" t="str">
        <f aca="false">IF(COUNTIF(LOOKAHEAD!$A$5:$A$604,A1079)&gt;0,"En Lookahead",IF(P1079="Sí","INCORPORAR",""))</f>
        <v/>
      </c>
    </row>
    <row r="1080" customFormat="false" ht="15" hidden="false" customHeight="false" outlineLevel="0" collapsed="false">
      <c r="A1080" s="16" t="s">
        <v>4429</v>
      </c>
      <c r="B1080" s="16" t="n">
        <v>1075</v>
      </c>
      <c r="C1080" s="16" t="s">
        <v>4430</v>
      </c>
      <c r="D1080" s="16" t="n">
        <v>6</v>
      </c>
      <c r="E1080" s="35" t="s">
        <v>1560</v>
      </c>
      <c r="F1080" s="16" t="s">
        <v>1285</v>
      </c>
      <c r="G1080" s="16" t="s">
        <v>322</v>
      </c>
      <c r="H1080" s="16" t="s">
        <v>4416</v>
      </c>
      <c r="I1080" s="16" t="s">
        <v>98</v>
      </c>
      <c r="J1080" s="16" t="s">
        <v>1534</v>
      </c>
      <c r="K1080" s="32" t="n">
        <v>1</v>
      </c>
      <c r="L1080" s="33" t="n">
        <v>46253</v>
      </c>
      <c r="M1080" s="33" t="n">
        <v>46253</v>
      </c>
      <c r="N1080" s="16" t="s">
        <v>4431</v>
      </c>
      <c r="O1080" s="16"/>
      <c r="P1080" s="16" t="str">
        <f aca="false">IF(AND(L1080&lt;=$D$2,M1080&gt;=$C$2),"Sí","")</f>
        <v/>
      </c>
      <c r="Q1080" s="18" t="str">
        <f aca="false">IF(COUNTIF(LOOKAHEAD!$A$5:$A$604,A1080)&gt;0,"En Lookahead",IF(P1080="Sí","INCORPORAR",""))</f>
        <v/>
      </c>
    </row>
    <row r="1081" customFormat="false" ht="15" hidden="false" customHeight="false" outlineLevel="0" collapsed="false">
      <c r="A1081" s="16" t="s">
        <v>4432</v>
      </c>
      <c r="B1081" s="16" t="n">
        <v>1076</v>
      </c>
      <c r="C1081" s="16" t="s">
        <v>4433</v>
      </c>
      <c r="D1081" s="16" t="n">
        <v>6</v>
      </c>
      <c r="E1081" s="35" t="s">
        <v>1564</v>
      </c>
      <c r="F1081" s="16" t="s">
        <v>1285</v>
      </c>
      <c r="G1081" s="16" t="s">
        <v>322</v>
      </c>
      <c r="H1081" s="16" t="s">
        <v>4416</v>
      </c>
      <c r="I1081" s="16" t="s">
        <v>98</v>
      </c>
      <c r="J1081" s="16" t="s">
        <v>1534</v>
      </c>
      <c r="K1081" s="32" t="n">
        <v>1</v>
      </c>
      <c r="L1081" s="33" t="n">
        <v>46246</v>
      </c>
      <c r="M1081" s="33" t="n">
        <v>46246</v>
      </c>
      <c r="N1081" s="16" t="s">
        <v>4023</v>
      </c>
      <c r="O1081" s="16"/>
      <c r="P1081" s="16" t="str">
        <f aca="false">IF(AND(L1081&lt;=$D$2,M1081&gt;=$C$2),"Sí","")</f>
        <v/>
      </c>
      <c r="Q1081" s="18" t="str">
        <f aca="false">IF(COUNTIF(LOOKAHEAD!$A$5:$A$604,A1081)&gt;0,"En Lookahead",IF(P1081="Sí","INCORPORAR",""))</f>
        <v/>
      </c>
    </row>
    <row r="1082" customFormat="false" ht="15" hidden="false" customHeight="false" outlineLevel="0" collapsed="false">
      <c r="A1082" s="16" t="s">
        <v>4434</v>
      </c>
      <c r="B1082" s="16" t="n">
        <v>1077</v>
      </c>
      <c r="C1082" s="16" t="s">
        <v>4435</v>
      </c>
      <c r="D1082" s="16" t="n">
        <v>6</v>
      </c>
      <c r="E1082" s="35" t="s">
        <v>1567</v>
      </c>
      <c r="F1082" s="16" t="s">
        <v>1285</v>
      </c>
      <c r="G1082" s="16" t="s">
        <v>322</v>
      </c>
      <c r="H1082" s="16" t="s">
        <v>4416</v>
      </c>
      <c r="I1082" s="16" t="s">
        <v>98</v>
      </c>
      <c r="J1082" s="16" t="s">
        <v>1534</v>
      </c>
      <c r="K1082" s="32" t="n">
        <v>1</v>
      </c>
      <c r="L1082" s="33" t="n">
        <v>46266</v>
      </c>
      <c r="M1082" s="33" t="n">
        <v>46266</v>
      </c>
      <c r="N1082" s="16" t="s">
        <v>4436</v>
      </c>
      <c r="O1082" s="16"/>
      <c r="P1082" s="16" t="str">
        <f aca="false">IF(AND(L1082&lt;=$D$2,M1082&gt;=$C$2),"Sí","")</f>
        <v/>
      </c>
      <c r="Q1082" s="18" t="str">
        <f aca="false">IF(COUNTIF(LOOKAHEAD!$A$5:$A$604,A1082)&gt;0,"En Lookahead",IF(P1082="Sí","INCORPORAR",""))</f>
        <v/>
      </c>
    </row>
    <row r="1083" customFormat="false" ht="15" hidden="false" customHeight="false" outlineLevel="0" collapsed="false">
      <c r="A1083" s="13" t="s">
        <v>4437</v>
      </c>
      <c r="B1083" s="13" t="n">
        <v>1078</v>
      </c>
      <c r="C1083" s="13" t="s">
        <v>4438</v>
      </c>
      <c r="D1083" s="13" t="n">
        <v>5</v>
      </c>
      <c r="E1083" s="34" t="s">
        <v>1571</v>
      </c>
      <c r="F1083" s="13" t="s">
        <v>1298</v>
      </c>
      <c r="G1083" s="13" t="s">
        <v>322</v>
      </c>
      <c r="H1083" s="13" t="s">
        <v>4416</v>
      </c>
      <c r="I1083" s="13" t="s">
        <v>98</v>
      </c>
      <c r="J1083" s="13" t="s">
        <v>4416</v>
      </c>
      <c r="K1083" s="30" t="n">
        <v>19</v>
      </c>
      <c r="L1083" s="31" t="n">
        <v>46247</v>
      </c>
      <c r="M1083" s="31" t="n">
        <v>46265</v>
      </c>
      <c r="N1083" s="13"/>
      <c r="O1083" s="13"/>
      <c r="P1083" s="13"/>
      <c r="Q1083" s="13"/>
    </row>
    <row r="1084" customFormat="false" ht="15" hidden="false" customHeight="false" outlineLevel="0" collapsed="false">
      <c r="A1084" s="13" t="s">
        <v>4439</v>
      </c>
      <c r="B1084" s="13" t="n">
        <v>1079</v>
      </c>
      <c r="C1084" s="13" t="s">
        <v>4440</v>
      </c>
      <c r="D1084" s="13" t="n">
        <v>6</v>
      </c>
      <c r="E1084" s="36" t="s">
        <v>1574</v>
      </c>
      <c r="F1084" s="13" t="s">
        <v>1298</v>
      </c>
      <c r="G1084" s="13" t="s">
        <v>322</v>
      </c>
      <c r="H1084" s="13" t="s">
        <v>4416</v>
      </c>
      <c r="I1084" s="13" t="s">
        <v>98</v>
      </c>
      <c r="J1084" s="13" t="s">
        <v>1571</v>
      </c>
      <c r="K1084" s="30" t="n">
        <v>1</v>
      </c>
      <c r="L1084" s="31" t="n">
        <v>46247</v>
      </c>
      <c r="M1084" s="31" t="n">
        <v>46247</v>
      </c>
      <c r="N1084" s="13"/>
      <c r="O1084" s="13"/>
      <c r="P1084" s="13"/>
      <c r="Q1084" s="13"/>
    </row>
    <row r="1085" customFormat="false" ht="15" hidden="false" customHeight="false" outlineLevel="0" collapsed="false">
      <c r="A1085" s="16" t="s">
        <v>4441</v>
      </c>
      <c r="B1085" s="16" t="n">
        <v>1080</v>
      </c>
      <c r="C1085" s="16" t="s">
        <v>4442</v>
      </c>
      <c r="D1085" s="16" t="n">
        <v>7</v>
      </c>
      <c r="E1085" s="37" t="s">
        <v>1577</v>
      </c>
      <c r="F1085" s="16" t="s">
        <v>1285</v>
      </c>
      <c r="G1085" s="16" t="s">
        <v>322</v>
      </c>
      <c r="H1085" s="16" t="s">
        <v>4416</v>
      </c>
      <c r="I1085" s="16" t="s">
        <v>98</v>
      </c>
      <c r="J1085" s="16" t="s">
        <v>1574</v>
      </c>
      <c r="K1085" s="32" t="n">
        <v>1</v>
      </c>
      <c r="L1085" s="33" t="n">
        <v>46247</v>
      </c>
      <c r="M1085" s="33" t="n">
        <v>46247</v>
      </c>
      <c r="N1085" s="16" t="s">
        <v>4443</v>
      </c>
      <c r="O1085" s="16"/>
      <c r="P1085" s="16" t="str">
        <f aca="false">IF(AND(L1085&lt;=$D$2,M1085&gt;=$C$2),"Sí","")</f>
        <v/>
      </c>
      <c r="Q1085" s="18" t="str">
        <f aca="false">IF(COUNTIF(LOOKAHEAD!$A$5:$A$604,A1085)&gt;0,"En Lookahead",IF(P1085="Sí","INCORPORAR",""))</f>
        <v/>
      </c>
    </row>
    <row r="1086" customFormat="false" ht="15" hidden="false" customHeight="false" outlineLevel="0" collapsed="false">
      <c r="A1086" s="13" t="s">
        <v>4444</v>
      </c>
      <c r="B1086" s="13" t="n">
        <v>1081</v>
      </c>
      <c r="C1086" s="13" t="s">
        <v>4445</v>
      </c>
      <c r="D1086" s="13" t="n">
        <v>6</v>
      </c>
      <c r="E1086" s="36" t="s">
        <v>1616</v>
      </c>
      <c r="F1086" s="13" t="s">
        <v>1298</v>
      </c>
      <c r="G1086" s="13" t="s">
        <v>322</v>
      </c>
      <c r="H1086" s="13" t="s">
        <v>4416</v>
      </c>
      <c r="I1086" s="13" t="s">
        <v>98</v>
      </c>
      <c r="J1086" s="13" t="s">
        <v>1571</v>
      </c>
      <c r="K1086" s="30" t="n">
        <v>1</v>
      </c>
      <c r="L1086" s="31" t="n">
        <v>46265</v>
      </c>
      <c r="M1086" s="31" t="n">
        <v>46265</v>
      </c>
      <c r="N1086" s="13"/>
      <c r="O1086" s="13"/>
      <c r="P1086" s="13"/>
      <c r="Q1086" s="13"/>
    </row>
    <row r="1087" customFormat="false" ht="15" hidden="false" customHeight="false" outlineLevel="0" collapsed="false">
      <c r="A1087" s="16" t="s">
        <v>4446</v>
      </c>
      <c r="B1087" s="16" t="n">
        <v>1082</v>
      </c>
      <c r="C1087" s="16" t="s">
        <v>4447</v>
      </c>
      <c r="D1087" s="16" t="n">
        <v>7</v>
      </c>
      <c r="E1087" s="37" t="s">
        <v>1619</v>
      </c>
      <c r="F1087" s="16" t="s">
        <v>1285</v>
      </c>
      <c r="G1087" s="16" t="s">
        <v>322</v>
      </c>
      <c r="H1087" s="16" t="s">
        <v>4416</v>
      </c>
      <c r="I1087" s="16" t="s">
        <v>98</v>
      </c>
      <c r="J1087" s="16" t="s">
        <v>1616</v>
      </c>
      <c r="K1087" s="32" t="n">
        <v>1</v>
      </c>
      <c r="L1087" s="33" t="n">
        <v>46265</v>
      </c>
      <c r="M1087" s="33" t="n">
        <v>46265</v>
      </c>
      <c r="N1087" s="16" t="s">
        <v>4426</v>
      </c>
      <c r="O1087" s="16"/>
      <c r="P1087" s="16" t="str">
        <f aca="false">IF(AND(L1087&lt;=$D$2,M1087&gt;=$C$2),"Sí","")</f>
        <v/>
      </c>
      <c r="Q1087" s="18" t="str">
        <f aca="false">IF(COUNTIF(LOOKAHEAD!$A$5:$A$604,A1087)&gt;0,"En Lookahead",IF(P1087="Sí","INCORPORAR",""))</f>
        <v/>
      </c>
    </row>
    <row r="1088" customFormat="false" ht="15" hidden="false" customHeight="false" outlineLevel="0" collapsed="false">
      <c r="A1088" s="13" t="s">
        <v>4448</v>
      </c>
      <c r="B1088" s="13" t="n">
        <v>1083</v>
      </c>
      <c r="C1088" s="13" t="s">
        <v>4449</v>
      </c>
      <c r="D1088" s="13" t="n">
        <v>5</v>
      </c>
      <c r="E1088" s="34" t="s">
        <v>1623</v>
      </c>
      <c r="F1088" s="13" t="s">
        <v>1298</v>
      </c>
      <c r="G1088" s="13" t="s">
        <v>322</v>
      </c>
      <c r="H1088" s="13" t="s">
        <v>4416</v>
      </c>
      <c r="I1088" s="13" t="s">
        <v>98</v>
      </c>
      <c r="J1088" s="13" t="s">
        <v>4416</v>
      </c>
      <c r="K1088" s="30" t="n">
        <v>52</v>
      </c>
      <c r="L1088" s="31" t="n">
        <v>46248</v>
      </c>
      <c r="M1088" s="31" t="n">
        <v>46299</v>
      </c>
      <c r="N1088" s="13"/>
      <c r="O1088" s="13"/>
      <c r="P1088" s="13"/>
      <c r="Q1088" s="13"/>
    </row>
    <row r="1089" customFormat="false" ht="15" hidden="false" customHeight="false" outlineLevel="0" collapsed="false">
      <c r="A1089" s="13" t="s">
        <v>4450</v>
      </c>
      <c r="B1089" s="13" t="n">
        <v>1084</v>
      </c>
      <c r="C1089" s="13" t="s">
        <v>4451</v>
      </c>
      <c r="D1089" s="13" t="n">
        <v>6</v>
      </c>
      <c r="E1089" s="36" t="s">
        <v>1626</v>
      </c>
      <c r="F1089" s="13" t="s">
        <v>1298</v>
      </c>
      <c r="G1089" s="13" t="s">
        <v>322</v>
      </c>
      <c r="H1089" s="13" t="s">
        <v>4416</v>
      </c>
      <c r="I1089" s="13" t="s">
        <v>98</v>
      </c>
      <c r="J1089" s="13" t="s">
        <v>1623</v>
      </c>
      <c r="K1089" s="30" t="n">
        <v>10</v>
      </c>
      <c r="L1089" s="31" t="n">
        <v>46248</v>
      </c>
      <c r="M1089" s="31" t="n">
        <v>46257</v>
      </c>
      <c r="N1089" s="13"/>
      <c r="O1089" s="13"/>
      <c r="P1089" s="13"/>
      <c r="Q1089" s="13"/>
    </row>
    <row r="1090" customFormat="false" ht="15" hidden="false" customHeight="false" outlineLevel="0" collapsed="false">
      <c r="A1090" s="16" t="s">
        <v>4452</v>
      </c>
      <c r="B1090" s="16" t="n">
        <v>1085</v>
      </c>
      <c r="C1090" s="16" t="s">
        <v>4453</v>
      </c>
      <c r="D1090" s="16" t="n">
        <v>7</v>
      </c>
      <c r="E1090" s="37" t="s">
        <v>1629</v>
      </c>
      <c r="F1090" s="16" t="s">
        <v>1285</v>
      </c>
      <c r="G1090" s="16" t="s">
        <v>322</v>
      </c>
      <c r="H1090" s="16" t="s">
        <v>4416</v>
      </c>
      <c r="I1090" s="16" t="s">
        <v>98</v>
      </c>
      <c r="J1090" s="16" t="s">
        <v>1626</v>
      </c>
      <c r="K1090" s="32" t="n">
        <v>1</v>
      </c>
      <c r="L1090" s="33" t="n">
        <v>46256</v>
      </c>
      <c r="M1090" s="33" t="n">
        <v>46256</v>
      </c>
      <c r="N1090" s="16" t="s">
        <v>4454</v>
      </c>
      <c r="O1090" s="16"/>
      <c r="P1090" s="16" t="str">
        <f aca="false">IF(AND(L1090&lt;=$D$2,M1090&gt;=$C$2),"Sí","")</f>
        <v/>
      </c>
      <c r="Q1090" s="18" t="str">
        <f aca="false">IF(COUNTIF(LOOKAHEAD!$A$5:$A$604,A1090)&gt;0,"En Lookahead",IF(P1090="Sí","INCORPORAR",""))</f>
        <v/>
      </c>
    </row>
    <row r="1091" customFormat="false" ht="15" hidden="false" customHeight="false" outlineLevel="0" collapsed="false">
      <c r="A1091" s="16" t="s">
        <v>4455</v>
      </c>
      <c r="B1091" s="16" t="n">
        <v>1086</v>
      </c>
      <c r="C1091" s="16" t="s">
        <v>4456</v>
      </c>
      <c r="D1091" s="16" t="n">
        <v>7</v>
      </c>
      <c r="E1091" s="37" t="s">
        <v>1633</v>
      </c>
      <c r="F1091" s="16" t="s">
        <v>1285</v>
      </c>
      <c r="G1091" s="16" t="s">
        <v>322</v>
      </c>
      <c r="H1091" s="16" t="s">
        <v>4416</v>
      </c>
      <c r="I1091" s="16" t="s">
        <v>98</v>
      </c>
      <c r="J1091" s="16" t="s">
        <v>1626</v>
      </c>
      <c r="K1091" s="32" t="n">
        <v>3</v>
      </c>
      <c r="L1091" s="33" t="n">
        <v>46253</v>
      </c>
      <c r="M1091" s="33" t="n">
        <v>46255</v>
      </c>
      <c r="N1091" s="16" t="s">
        <v>4457</v>
      </c>
      <c r="O1091" s="16"/>
      <c r="P1091" s="16" t="str">
        <f aca="false">IF(AND(L1091&lt;=$D$2,M1091&gt;=$C$2),"Sí","")</f>
        <v/>
      </c>
      <c r="Q1091" s="18" t="str">
        <f aca="false">IF(COUNTIF(LOOKAHEAD!$A$5:$A$604,A1091)&gt;0,"En Lookahead",IF(P1091="Sí","INCORPORAR",""))</f>
        <v/>
      </c>
    </row>
    <row r="1092" customFormat="false" ht="15" hidden="false" customHeight="false" outlineLevel="0" collapsed="false">
      <c r="A1092" s="16" t="s">
        <v>4458</v>
      </c>
      <c r="B1092" s="16" t="n">
        <v>1087</v>
      </c>
      <c r="C1092" s="16" t="s">
        <v>4459</v>
      </c>
      <c r="D1092" s="16" t="n">
        <v>7</v>
      </c>
      <c r="E1092" s="37" t="s">
        <v>1637</v>
      </c>
      <c r="F1092" s="16" t="s">
        <v>1285</v>
      </c>
      <c r="G1092" s="16" t="s">
        <v>322</v>
      </c>
      <c r="H1092" s="16" t="s">
        <v>4416</v>
      </c>
      <c r="I1092" s="16" t="s">
        <v>98</v>
      </c>
      <c r="J1092" s="16" t="s">
        <v>1626</v>
      </c>
      <c r="K1092" s="32" t="n">
        <v>5</v>
      </c>
      <c r="L1092" s="33" t="n">
        <v>46248</v>
      </c>
      <c r="M1092" s="33" t="n">
        <v>46252</v>
      </c>
      <c r="N1092" s="16" t="s">
        <v>4460</v>
      </c>
      <c r="O1092" s="16"/>
      <c r="P1092" s="16" t="str">
        <f aca="false">IF(AND(L1092&lt;=$D$2,M1092&gt;=$C$2),"Sí","")</f>
        <v/>
      </c>
      <c r="Q1092" s="18" t="str">
        <f aca="false">IF(COUNTIF(LOOKAHEAD!$A$5:$A$604,A1092)&gt;0,"En Lookahead",IF(P1092="Sí","INCORPORAR",""))</f>
        <v/>
      </c>
    </row>
    <row r="1093" customFormat="false" ht="15" hidden="false" customHeight="false" outlineLevel="0" collapsed="false">
      <c r="A1093" s="16" t="s">
        <v>4461</v>
      </c>
      <c r="B1093" s="16" t="n">
        <v>1088</v>
      </c>
      <c r="C1093" s="16" t="s">
        <v>4462</v>
      </c>
      <c r="D1093" s="16" t="n">
        <v>7</v>
      </c>
      <c r="E1093" s="37" t="s">
        <v>1602</v>
      </c>
      <c r="F1093" s="16" t="s">
        <v>1285</v>
      </c>
      <c r="G1093" s="16" t="s">
        <v>322</v>
      </c>
      <c r="H1093" s="16" t="s">
        <v>4416</v>
      </c>
      <c r="I1093" s="16" t="s">
        <v>98</v>
      </c>
      <c r="J1093" s="16" t="s">
        <v>1626</v>
      </c>
      <c r="K1093" s="32" t="n">
        <v>1</v>
      </c>
      <c r="L1093" s="33" t="n">
        <v>46257</v>
      </c>
      <c r="M1093" s="33" t="n">
        <v>46257</v>
      </c>
      <c r="N1093" s="16" t="s">
        <v>4463</v>
      </c>
      <c r="O1093" s="16"/>
      <c r="P1093" s="16" t="str">
        <f aca="false">IF(AND(L1093&lt;=$D$2,M1093&gt;=$C$2),"Sí","")</f>
        <v/>
      </c>
      <c r="Q1093" s="18" t="str">
        <f aca="false">IF(COUNTIF(LOOKAHEAD!$A$5:$A$604,A1093)&gt;0,"En Lookahead",IF(P1093="Sí","INCORPORAR",""))</f>
        <v/>
      </c>
    </row>
    <row r="1094" customFormat="false" ht="15" hidden="false" customHeight="false" outlineLevel="0" collapsed="false">
      <c r="A1094" s="13" t="s">
        <v>4464</v>
      </c>
      <c r="B1094" s="13" t="n">
        <v>1089</v>
      </c>
      <c r="C1094" s="13" t="s">
        <v>4465</v>
      </c>
      <c r="D1094" s="13" t="n">
        <v>6</v>
      </c>
      <c r="E1094" s="36" t="s">
        <v>2295</v>
      </c>
      <c r="F1094" s="13" t="s">
        <v>1298</v>
      </c>
      <c r="G1094" s="13" t="s">
        <v>322</v>
      </c>
      <c r="H1094" s="13" t="s">
        <v>4416</v>
      </c>
      <c r="I1094" s="13" t="s">
        <v>98</v>
      </c>
      <c r="J1094" s="13" t="s">
        <v>1623</v>
      </c>
      <c r="K1094" s="30" t="n">
        <v>9</v>
      </c>
      <c r="L1094" s="31" t="n">
        <v>46257</v>
      </c>
      <c r="M1094" s="31" t="n">
        <v>46265</v>
      </c>
      <c r="N1094" s="13"/>
      <c r="O1094" s="13"/>
      <c r="P1094" s="13"/>
      <c r="Q1094" s="13"/>
    </row>
    <row r="1095" customFormat="false" ht="15" hidden="false" customHeight="false" outlineLevel="0" collapsed="false">
      <c r="A1095" s="16" t="s">
        <v>4466</v>
      </c>
      <c r="B1095" s="16" t="n">
        <v>1090</v>
      </c>
      <c r="C1095" s="16" t="s">
        <v>4467</v>
      </c>
      <c r="D1095" s="16" t="n">
        <v>7</v>
      </c>
      <c r="E1095" s="37" t="s">
        <v>2298</v>
      </c>
      <c r="F1095" s="16" t="s">
        <v>1285</v>
      </c>
      <c r="G1095" s="16" t="s">
        <v>322</v>
      </c>
      <c r="H1095" s="16" t="s">
        <v>4416</v>
      </c>
      <c r="I1095" s="16" t="s">
        <v>98</v>
      </c>
      <c r="J1095" s="16" t="s">
        <v>2295</v>
      </c>
      <c r="K1095" s="32" t="n">
        <v>1</v>
      </c>
      <c r="L1095" s="33" t="n">
        <v>46264</v>
      </c>
      <c r="M1095" s="33" t="n">
        <v>46264</v>
      </c>
      <c r="N1095" s="16" t="s">
        <v>4468</v>
      </c>
      <c r="O1095" s="16"/>
      <c r="P1095" s="16" t="str">
        <f aca="false">IF(AND(L1095&lt;=$D$2,M1095&gt;=$C$2),"Sí","")</f>
        <v/>
      </c>
      <c r="Q1095" s="18" t="str">
        <f aca="false">IF(COUNTIF(LOOKAHEAD!$A$5:$A$604,A1095)&gt;0,"En Lookahead",IF(P1095="Sí","INCORPORAR",""))</f>
        <v/>
      </c>
    </row>
    <row r="1096" customFormat="false" ht="15" hidden="false" customHeight="false" outlineLevel="0" collapsed="false">
      <c r="A1096" s="16" t="s">
        <v>4469</v>
      </c>
      <c r="B1096" s="16" t="n">
        <v>1091</v>
      </c>
      <c r="C1096" s="16" t="s">
        <v>4470</v>
      </c>
      <c r="D1096" s="16" t="n">
        <v>7</v>
      </c>
      <c r="E1096" s="37" t="s">
        <v>2302</v>
      </c>
      <c r="F1096" s="16" t="s">
        <v>1285</v>
      </c>
      <c r="G1096" s="16" t="s">
        <v>322</v>
      </c>
      <c r="H1096" s="16" t="s">
        <v>4416</v>
      </c>
      <c r="I1096" s="16" t="s">
        <v>98</v>
      </c>
      <c r="J1096" s="16" t="s">
        <v>2295</v>
      </c>
      <c r="K1096" s="32" t="n">
        <v>5</v>
      </c>
      <c r="L1096" s="33" t="n">
        <v>46259</v>
      </c>
      <c r="M1096" s="33" t="n">
        <v>46263</v>
      </c>
      <c r="N1096" s="16" t="s">
        <v>4471</v>
      </c>
      <c r="O1096" s="16"/>
      <c r="P1096" s="16" t="str">
        <f aca="false">IF(AND(L1096&lt;=$D$2,M1096&gt;=$C$2),"Sí","")</f>
        <v/>
      </c>
      <c r="Q1096" s="18" t="str">
        <f aca="false">IF(COUNTIF(LOOKAHEAD!$A$5:$A$604,A1096)&gt;0,"En Lookahead",IF(P1096="Sí","INCORPORAR",""))</f>
        <v/>
      </c>
    </row>
    <row r="1097" customFormat="false" ht="15" hidden="false" customHeight="false" outlineLevel="0" collapsed="false">
      <c r="A1097" s="16" t="s">
        <v>4472</v>
      </c>
      <c r="B1097" s="16" t="n">
        <v>1092</v>
      </c>
      <c r="C1097" s="16" t="s">
        <v>4473</v>
      </c>
      <c r="D1097" s="16" t="n">
        <v>7</v>
      </c>
      <c r="E1097" s="37" t="s">
        <v>2306</v>
      </c>
      <c r="F1097" s="16" t="s">
        <v>1285</v>
      </c>
      <c r="G1097" s="16" t="s">
        <v>322</v>
      </c>
      <c r="H1097" s="16" t="s">
        <v>4416</v>
      </c>
      <c r="I1097" s="16" t="s">
        <v>98</v>
      </c>
      <c r="J1097" s="16" t="s">
        <v>2295</v>
      </c>
      <c r="K1097" s="32" t="n">
        <v>2</v>
      </c>
      <c r="L1097" s="33" t="n">
        <v>46257</v>
      </c>
      <c r="M1097" s="33" t="n">
        <v>46258</v>
      </c>
      <c r="N1097" s="16" t="s">
        <v>4463</v>
      </c>
      <c r="O1097" s="16"/>
      <c r="P1097" s="16" t="str">
        <f aca="false">IF(AND(L1097&lt;=$D$2,M1097&gt;=$C$2),"Sí","")</f>
        <v/>
      </c>
      <c r="Q1097" s="18" t="str">
        <f aca="false">IF(COUNTIF(LOOKAHEAD!$A$5:$A$604,A1097)&gt;0,"En Lookahead",IF(P1097="Sí","INCORPORAR",""))</f>
        <v/>
      </c>
    </row>
    <row r="1098" customFormat="false" ht="15" hidden="false" customHeight="false" outlineLevel="0" collapsed="false">
      <c r="A1098" s="16" t="s">
        <v>4474</v>
      </c>
      <c r="B1098" s="16" t="n">
        <v>1093</v>
      </c>
      <c r="C1098" s="16" t="s">
        <v>4475</v>
      </c>
      <c r="D1098" s="16" t="n">
        <v>7</v>
      </c>
      <c r="E1098" s="37" t="s">
        <v>1602</v>
      </c>
      <c r="F1098" s="16" t="s">
        <v>1285</v>
      </c>
      <c r="G1098" s="16" t="s">
        <v>322</v>
      </c>
      <c r="H1098" s="16" t="s">
        <v>4416</v>
      </c>
      <c r="I1098" s="16" t="s">
        <v>98</v>
      </c>
      <c r="J1098" s="16" t="s">
        <v>2295</v>
      </c>
      <c r="K1098" s="32" t="n">
        <v>1</v>
      </c>
      <c r="L1098" s="33" t="n">
        <v>46265</v>
      </c>
      <c r="M1098" s="33" t="n">
        <v>46265</v>
      </c>
      <c r="N1098" s="16" t="s">
        <v>4426</v>
      </c>
      <c r="O1098" s="16"/>
      <c r="P1098" s="16" t="str">
        <f aca="false">IF(AND(L1098&lt;=$D$2,M1098&gt;=$C$2),"Sí","")</f>
        <v/>
      </c>
      <c r="Q1098" s="18" t="str">
        <f aca="false">IF(COUNTIF(LOOKAHEAD!$A$5:$A$604,A1098)&gt;0,"En Lookahead",IF(P1098="Sí","INCORPORAR",""))</f>
        <v/>
      </c>
    </row>
    <row r="1099" customFormat="false" ht="15" hidden="false" customHeight="false" outlineLevel="0" collapsed="false">
      <c r="A1099" s="13" t="s">
        <v>4476</v>
      </c>
      <c r="B1099" s="13" t="n">
        <v>1094</v>
      </c>
      <c r="C1099" s="13" t="s">
        <v>4477</v>
      </c>
      <c r="D1099" s="13" t="n">
        <v>6</v>
      </c>
      <c r="E1099" s="36" t="s">
        <v>1660</v>
      </c>
      <c r="F1099" s="13" t="s">
        <v>1298</v>
      </c>
      <c r="G1099" s="13" t="s">
        <v>322</v>
      </c>
      <c r="H1099" s="13" t="s">
        <v>4416</v>
      </c>
      <c r="I1099" s="13" t="s">
        <v>98</v>
      </c>
      <c r="J1099" s="13" t="s">
        <v>1623</v>
      </c>
      <c r="K1099" s="30" t="n">
        <v>17</v>
      </c>
      <c r="L1099" s="31" t="n">
        <v>46257</v>
      </c>
      <c r="M1099" s="31" t="n">
        <v>46273</v>
      </c>
      <c r="N1099" s="13"/>
      <c r="O1099" s="13"/>
      <c r="P1099" s="13"/>
      <c r="Q1099" s="13"/>
    </row>
    <row r="1100" customFormat="false" ht="15" hidden="false" customHeight="false" outlineLevel="0" collapsed="false">
      <c r="A1100" s="16" t="s">
        <v>4478</v>
      </c>
      <c r="B1100" s="16" t="n">
        <v>1095</v>
      </c>
      <c r="C1100" s="16" t="s">
        <v>4479</v>
      </c>
      <c r="D1100" s="16" t="n">
        <v>7</v>
      </c>
      <c r="E1100" s="37" t="s">
        <v>1666</v>
      </c>
      <c r="F1100" s="16" t="s">
        <v>1285</v>
      </c>
      <c r="G1100" s="16" t="s">
        <v>322</v>
      </c>
      <c r="H1100" s="16" t="s">
        <v>4416</v>
      </c>
      <c r="I1100" s="16" t="s">
        <v>98</v>
      </c>
      <c r="J1100" s="16" t="s">
        <v>1660</v>
      </c>
      <c r="K1100" s="32" t="n">
        <v>1</v>
      </c>
      <c r="L1100" s="33" t="n">
        <v>46272</v>
      </c>
      <c r="M1100" s="33" t="n">
        <v>46272</v>
      </c>
      <c r="N1100" s="16" t="s">
        <v>4480</v>
      </c>
      <c r="O1100" s="16"/>
      <c r="P1100" s="16" t="str">
        <f aca="false">IF(AND(L1100&lt;=$D$2,M1100&gt;=$C$2),"Sí","")</f>
        <v/>
      </c>
      <c r="Q1100" s="18" t="str">
        <f aca="false">IF(COUNTIF(LOOKAHEAD!$A$5:$A$604,A1100)&gt;0,"En Lookahead",IF(P1100="Sí","INCORPORAR",""))</f>
        <v/>
      </c>
    </row>
    <row r="1101" customFormat="false" ht="15" hidden="false" customHeight="false" outlineLevel="0" collapsed="false">
      <c r="A1101" s="16" t="s">
        <v>4481</v>
      </c>
      <c r="B1101" s="16" t="n">
        <v>1096</v>
      </c>
      <c r="C1101" s="16" t="s">
        <v>4482</v>
      </c>
      <c r="D1101" s="16" t="n">
        <v>7</v>
      </c>
      <c r="E1101" s="37" t="s">
        <v>1670</v>
      </c>
      <c r="F1101" s="16" t="s">
        <v>1285</v>
      </c>
      <c r="G1101" s="16" t="s">
        <v>322</v>
      </c>
      <c r="H1101" s="16" t="s">
        <v>4416</v>
      </c>
      <c r="I1101" s="16" t="s">
        <v>98</v>
      </c>
      <c r="J1101" s="16" t="s">
        <v>1660</v>
      </c>
      <c r="K1101" s="32" t="n">
        <v>9</v>
      </c>
      <c r="L1101" s="33" t="n">
        <v>46263</v>
      </c>
      <c r="M1101" s="33" t="n">
        <v>46271</v>
      </c>
      <c r="N1101" s="16" t="s">
        <v>4483</v>
      </c>
      <c r="O1101" s="16"/>
      <c r="P1101" s="16" t="str">
        <f aca="false">IF(AND(L1101&lt;=$D$2,M1101&gt;=$C$2),"Sí","")</f>
        <v/>
      </c>
      <c r="Q1101" s="18" t="str">
        <f aca="false">IF(COUNTIF(LOOKAHEAD!$A$5:$A$604,A1101)&gt;0,"En Lookahead",IF(P1101="Sí","INCORPORAR",""))</f>
        <v/>
      </c>
    </row>
    <row r="1102" customFormat="false" ht="15" hidden="false" customHeight="false" outlineLevel="0" collapsed="false">
      <c r="A1102" s="16" t="s">
        <v>4484</v>
      </c>
      <c r="B1102" s="16" t="n">
        <v>1097</v>
      </c>
      <c r="C1102" s="16" t="s">
        <v>4485</v>
      </c>
      <c r="D1102" s="16" t="n">
        <v>7</v>
      </c>
      <c r="E1102" s="37" t="s">
        <v>1674</v>
      </c>
      <c r="F1102" s="16" t="s">
        <v>1285</v>
      </c>
      <c r="G1102" s="16" t="s">
        <v>322</v>
      </c>
      <c r="H1102" s="16" t="s">
        <v>4416</v>
      </c>
      <c r="I1102" s="16" t="s">
        <v>98</v>
      </c>
      <c r="J1102" s="16" t="s">
        <v>1660</v>
      </c>
      <c r="K1102" s="32" t="n">
        <v>6</v>
      </c>
      <c r="L1102" s="33" t="n">
        <v>46257</v>
      </c>
      <c r="M1102" s="33" t="n">
        <v>46262</v>
      </c>
      <c r="N1102" s="16" t="s">
        <v>4463</v>
      </c>
      <c r="O1102" s="16"/>
      <c r="P1102" s="16" t="str">
        <f aca="false">IF(AND(L1102&lt;=$D$2,M1102&gt;=$C$2),"Sí","")</f>
        <v/>
      </c>
      <c r="Q1102" s="18" t="str">
        <f aca="false">IF(COUNTIF(LOOKAHEAD!$A$5:$A$604,A1102)&gt;0,"En Lookahead",IF(P1102="Sí","INCORPORAR",""))</f>
        <v/>
      </c>
    </row>
    <row r="1103" customFormat="false" ht="15" hidden="false" customHeight="false" outlineLevel="0" collapsed="false">
      <c r="A1103" s="16" t="s">
        <v>4486</v>
      </c>
      <c r="B1103" s="16" t="n">
        <v>1098</v>
      </c>
      <c r="C1103" s="16" t="s">
        <v>4487</v>
      </c>
      <c r="D1103" s="16" t="n">
        <v>7</v>
      </c>
      <c r="E1103" s="37" t="s">
        <v>1677</v>
      </c>
      <c r="F1103" s="16" t="s">
        <v>1285</v>
      </c>
      <c r="G1103" s="16" t="s">
        <v>322</v>
      </c>
      <c r="H1103" s="16" t="s">
        <v>4416</v>
      </c>
      <c r="I1103" s="16" t="s">
        <v>98</v>
      </c>
      <c r="J1103" s="16" t="s">
        <v>1660</v>
      </c>
      <c r="K1103" s="32" t="n">
        <v>1</v>
      </c>
      <c r="L1103" s="33" t="n">
        <v>46273</v>
      </c>
      <c r="M1103" s="33" t="n">
        <v>46273</v>
      </c>
      <c r="N1103" s="16" t="s">
        <v>4488</v>
      </c>
      <c r="O1103" s="16"/>
      <c r="P1103" s="16" t="str">
        <f aca="false">IF(AND(L1103&lt;=$D$2,M1103&gt;=$C$2),"Sí","")</f>
        <v/>
      </c>
      <c r="Q1103" s="18" t="str">
        <f aca="false">IF(COUNTIF(LOOKAHEAD!$A$5:$A$604,A1103)&gt;0,"En Lookahead",IF(P1103="Sí","INCORPORAR",""))</f>
        <v/>
      </c>
    </row>
    <row r="1104" customFormat="false" ht="15" hidden="false" customHeight="false" outlineLevel="0" collapsed="false">
      <c r="A1104" s="13" t="s">
        <v>4489</v>
      </c>
      <c r="B1104" s="13" t="n">
        <v>1099</v>
      </c>
      <c r="C1104" s="13" t="s">
        <v>4490</v>
      </c>
      <c r="D1104" s="13" t="n">
        <v>6</v>
      </c>
      <c r="E1104" s="36" t="s">
        <v>1786</v>
      </c>
      <c r="F1104" s="13" t="s">
        <v>1298</v>
      </c>
      <c r="G1104" s="13" t="s">
        <v>322</v>
      </c>
      <c r="H1104" s="13" t="s">
        <v>4416</v>
      </c>
      <c r="I1104" s="13" t="s">
        <v>98</v>
      </c>
      <c r="J1104" s="13" t="s">
        <v>1623</v>
      </c>
      <c r="K1104" s="30" t="n">
        <v>7</v>
      </c>
      <c r="L1104" s="31" t="n">
        <v>46273</v>
      </c>
      <c r="M1104" s="31" t="n">
        <v>46279</v>
      </c>
      <c r="N1104" s="13"/>
      <c r="O1104" s="13"/>
      <c r="P1104" s="13"/>
      <c r="Q1104" s="13"/>
    </row>
    <row r="1105" customFormat="false" ht="15" hidden="false" customHeight="false" outlineLevel="0" collapsed="false">
      <c r="A1105" s="16" t="s">
        <v>4491</v>
      </c>
      <c r="B1105" s="16" t="n">
        <v>1100</v>
      </c>
      <c r="C1105" s="16" t="s">
        <v>4492</v>
      </c>
      <c r="D1105" s="16" t="n">
        <v>7</v>
      </c>
      <c r="E1105" s="37" t="s">
        <v>1792</v>
      </c>
      <c r="F1105" s="16" t="s">
        <v>1285</v>
      </c>
      <c r="G1105" s="16" t="s">
        <v>322</v>
      </c>
      <c r="H1105" s="16" t="s">
        <v>4416</v>
      </c>
      <c r="I1105" s="16" t="s">
        <v>98</v>
      </c>
      <c r="J1105" s="16" t="s">
        <v>1786</v>
      </c>
      <c r="K1105" s="32" t="n">
        <v>1</v>
      </c>
      <c r="L1105" s="33" t="n">
        <v>46278</v>
      </c>
      <c r="M1105" s="33" t="n">
        <v>46278</v>
      </c>
      <c r="N1105" s="16" t="s">
        <v>4493</v>
      </c>
      <c r="O1105" s="16"/>
      <c r="P1105" s="16" t="str">
        <f aca="false">IF(AND(L1105&lt;=$D$2,M1105&gt;=$C$2),"Sí","")</f>
        <v/>
      </c>
      <c r="Q1105" s="18" t="str">
        <f aca="false">IF(COUNTIF(LOOKAHEAD!$A$5:$A$604,A1105)&gt;0,"En Lookahead",IF(P1105="Sí","INCORPORAR",""))</f>
        <v/>
      </c>
    </row>
    <row r="1106" customFormat="false" ht="15" hidden="false" customHeight="false" outlineLevel="0" collapsed="false">
      <c r="A1106" s="16" t="s">
        <v>4494</v>
      </c>
      <c r="B1106" s="16" t="n">
        <v>1101</v>
      </c>
      <c r="C1106" s="16" t="s">
        <v>4495</v>
      </c>
      <c r="D1106" s="16" t="n">
        <v>7</v>
      </c>
      <c r="E1106" s="37" t="s">
        <v>1796</v>
      </c>
      <c r="F1106" s="16" t="s">
        <v>1285</v>
      </c>
      <c r="G1106" s="16" t="s">
        <v>322</v>
      </c>
      <c r="H1106" s="16" t="s">
        <v>4416</v>
      </c>
      <c r="I1106" s="16" t="s">
        <v>98</v>
      </c>
      <c r="J1106" s="16" t="s">
        <v>1786</v>
      </c>
      <c r="K1106" s="32" t="n">
        <v>3</v>
      </c>
      <c r="L1106" s="33" t="n">
        <v>46275</v>
      </c>
      <c r="M1106" s="33" t="n">
        <v>46277</v>
      </c>
      <c r="N1106" s="16" t="s">
        <v>4496</v>
      </c>
      <c r="O1106" s="16"/>
      <c r="P1106" s="16" t="str">
        <f aca="false">IF(AND(L1106&lt;=$D$2,M1106&gt;=$C$2),"Sí","")</f>
        <v/>
      </c>
      <c r="Q1106" s="18" t="str">
        <f aca="false">IF(COUNTIF(LOOKAHEAD!$A$5:$A$604,A1106)&gt;0,"En Lookahead",IF(P1106="Sí","INCORPORAR",""))</f>
        <v/>
      </c>
    </row>
    <row r="1107" customFormat="false" ht="15" hidden="false" customHeight="false" outlineLevel="0" collapsed="false">
      <c r="A1107" s="16" t="s">
        <v>4497</v>
      </c>
      <c r="B1107" s="16" t="n">
        <v>1102</v>
      </c>
      <c r="C1107" s="16" t="s">
        <v>4498</v>
      </c>
      <c r="D1107" s="16" t="n">
        <v>7</v>
      </c>
      <c r="E1107" s="37" t="s">
        <v>1800</v>
      </c>
      <c r="F1107" s="16" t="s">
        <v>1285</v>
      </c>
      <c r="G1107" s="16" t="s">
        <v>322</v>
      </c>
      <c r="H1107" s="16" t="s">
        <v>4416</v>
      </c>
      <c r="I1107" s="16" t="s">
        <v>98</v>
      </c>
      <c r="J1107" s="16" t="s">
        <v>1786</v>
      </c>
      <c r="K1107" s="32" t="n">
        <v>2</v>
      </c>
      <c r="L1107" s="33" t="n">
        <v>46273</v>
      </c>
      <c r="M1107" s="33" t="n">
        <v>46274</v>
      </c>
      <c r="N1107" s="16" t="s">
        <v>4488</v>
      </c>
      <c r="O1107" s="16"/>
      <c r="P1107" s="16" t="str">
        <f aca="false">IF(AND(L1107&lt;=$D$2,M1107&gt;=$C$2),"Sí","")</f>
        <v/>
      </c>
      <c r="Q1107" s="18" t="str">
        <f aca="false">IF(COUNTIF(LOOKAHEAD!$A$5:$A$604,A1107)&gt;0,"En Lookahead",IF(P1107="Sí","INCORPORAR",""))</f>
        <v/>
      </c>
    </row>
    <row r="1108" customFormat="false" ht="15" hidden="false" customHeight="false" outlineLevel="0" collapsed="false">
      <c r="A1108" s="16" t="s">
        <v>4499</v>
      </c>
      <c r="B1108" s="16" t="n">
        <v>1103</v>
      </c>
      <c r="C1108" s="16" t="s">
        <v>4500</v>
      </c>
      <c r="D1108" s="16" t="n">
        <v>7</v>
      </c>
      <c r="E1108" s="37" t="s">
        <v>1602</v>
      </c>
      <c r="F1108" s="16" t="s">
        <v>1285</v>
      </c>
      <c r="G1108" s="16" t="s">
        <v>322</v>
      </c>
      <c r="H1108" s="16" t="s">
        <v>4416</v>
      </c>
      <c r="I1108" s="16" t="s">
        <v>98</v>
      </c>
      <c r="J1108" s="16" t="s">
        <v>1786</v>
      </c>
      <c r="K1108" s="32" t="n">
        <v>1</v>
      </c>
      <c r="L1108" s="33" t="n">
        <v>46279</v>
      </c>
      <c r="M1108" s="33" t="n">
        <v>46279</v>
      </c>
      <c r="N1108" s="16" t="s">
        <v>4501</v>
      </c>
      <c r="O1108" s="16"/>
      <c r="P1108" s="16" t="str">
        <f aca="false">IF(AND(L1108&lt;=$D$2,M1108&gt;=$C$2),"Sí","")</f>
        <v/>
      </c>
      <c r="Q1108" s="18" t="str">
        <f aca="false">IF(COUNTIF(LOOKAHEAD!$A$5:$A$604,A1108)&gt;0,"En Lookahead",IF(P1108="Sí","INCORPORAR",""))</f>
        <v/>
      </c>
    </row>
    <row r="1109" customFormat="false" ht="15" hidden="false" customHeight="false" outlineLevel="0" collapsed="false">
      <c r="A1109" s="13" t="s">
        <v>4502</v>
      </c>
      <c r="B1109" s="13" t="n">
        <v>1104</v>
      </c>
      <c r="C1109" s="13" t="s">
        <v>4503</v>
      </c>
      <c r="D1109" s="13" t="n">
        <v>6</v>
      </c>
      <c r="E1109" s="36" t="s">
        <v>1853</v>
      </c>
      <c r="F1109" s="13" t="s">
        <v>1298</v>
      </c>
      <c r="G1109" s="13" t="s">
        <v>322</v>
      </c>
      <c r="H1109" s="13" t="s">
        <v>4416</v>
      </c>
      <c r="I1109" s="13" t="s">
        <v>98</v>
      </c>
      <c r="J1109" s="13" t="s">
        <v>1623</v>
      </c>
      <c r="K1109" s="30" t="n">
        <v>9</v>
      </c>
      <c r="L1109" s="31" t="n">
        <v>46273</v>
      </c>
      <c r="M1109" s="31" t="n">
        <v>46281</v>
      </c>
      <c r="N1109" s="13"/>
      <c r="O1109" s="13"/>
      <c r="P1109" s="13"/>
      <c r="Q1109" s="13"/>
    </row>
    <row r="1110" customFormat="false" ht="15" hidden="false" customHeight="false" outlineLevel="0" collapsed="false">
      <c r="A1110" s="16" t="s">
        <v>4504</v>
      </c>
      <c r="B1110" s="16" t="n">
        <v>1105</v>
      </c>
      <c r="C1110" s="16" t="s">
        <v>4505</v>
      </c>
      <c r="D1110" s="16" t="n">
        <v>7</v>
      </c>
      <c r="E1110" s="37" t="s">
        <v>1859</v>
      </c>
      <c r="F1110" s="16" t="s">
        <v>1285</v>
      </c>
      <c r="G1110" s="16" t="s">
        <v>322</v>
      </c>
      <c r="H1110" s="16" t="s">
        <v>4416</v>
      </c>
      <c r="I1110" s="16" t="s">
        <v>98</v>
      </c>
      <c r="J1110" s="16" t="s">
        <v>1853</v>
      </c>
      <c r="K1110" s="32" t="n">
        <v>1</v>
      </c>
      <c r="L1110" s="33" t="n">
        <v>46280</v>
      </c>
      <c r="M1110" s="33" t="n">
        <v>46280</v>
      </c>
      <c r="N1110" s="16" t="s">
        <v>4506</v>
      </c>
      <c r="O1110" s="16"/>
      <c r="P1110" s="16" t="str">
        <f aca="false">IF(AND(L1110&lt;=$D$2,M1110&gt;=$C$2),"Sí","")</f>
        <v/>
      </c>
      <c r="Q1110" s="18" t="str">
        <f aca="false">IF(COUNTIF(LOOKAHEAD!$A$5:$A$604,A1110)&gt;0,"En Lookahead",IF(P1110="Sí","INCORPORAR",""))</f>
        <v/>
      </c>
    </row>
    <row r="1111" customFormat="false" ht="15" hidden="false" customHeight="false" outlineLevel="0" collapsed="false">
      <c r="A1111" s="16" t="s">
        <v>4507</v>
      </c>
      <c r="B1111" s="16" t="n">
        <v>1106</v>
      </c>
      <c r="C1111" s="16" t="s">
        <v>4508</v>
      </c>
      <c r="D1111" s="16" t="n">
        <v>7</v>
      </c>
      <c r="E1111" s="37" t="s">
        <v>1863</v>
      </c>
      <c r="F1111" s="16" t="s">
        <v>1285</v>
      </c>
      <c r="G1111" s="16" t="s">
        <v>322</v>
      </c>
      <c r="H1111" s="16" t="s">
        <v>4416</v>
      </c>
      <c r="I1111" s="16" t="s">
        <v>98</v>
      </c>
      <c r="J1111" s="16" t="s">
        <v>1853</v>
      </c>
      <c r="K1111" s="32" t="n">
        <v>4</v>
      </c>
      <c r="L1111" s="33" t="n">
        <v>46273</v>
      </c>
      <c r="M1111" s="33" t="n">
        <v>46276</v>
      </c>
      <c r="N1111" s="16" t="s">
        <v>4509</v>
      </c>
      <c r="O1111" s="16"/>
      <c r="P1111" s="16" t="str">
        <f aca="false">IF(AND(L1111&lt;=$D$2,M1111&gt;=$C$2),"Sí","")</f>
        <v/>
      </c>
      <c r="Q1111" s="18" t="str">
        <f aca="false">IF(COUNTIF(LOOKAHEAD!$A$5:$A$604,A1111)&gt;0,"En Lookahead",IF(P1111="Sí","INCORPORAR",""))</f>
        <v/>
      </c>
    </row>
    <row r="1112" customFormat="false" ht="15" hidden="false" customHeight="false" outlineLevel="0" collapsed="false">
      <c r="A1112" s="16" t="s">
        <v>4510</v>
      </c>
      <c r="B1112" s="16" t="n">
        <v>1107</v>
      </c>
      <c r="C1112" s="16" t="s">
        <v>4511</v>
      </c>
      <c r="D1112" s="16" t="n">
        <v>7</v>
      </c>
      <c r="E1112" s="37" t="s">
        <v>1867</v>
      </c>
      <c r="F1112" s="16" t="s">
        <v>1285</v>
      </c>
      <c r="G1112" s="16" t="s">
        <v>322</v>
      </c>
      <c r="H1112" s="16" t="s">
        <v>4416</v>
      </c>
      <c r="I1112" s="16" t="s">
        <v>98</v>
      </c>
      <c r="J1112" s="16" t="s">
        <v>1853</v>
      </c>
      <c r="K1112" s="32" t="n">
        <v>2</v>
      </c>
      <c r="L1112" s="33" t="n">
        <v>46278</v>
      </c>
      <c r="M1112" s="33" t="n">
        <v>46279</v>
      </c>
      <c r="N1112" s="16" t="s">
        <v>4512</v>
      </c>
      <c r="O1112" s="16"/>
      <c r="P1112" s="16" t="str">
        <f aca="false">IF(AND(L1112&lt;=$D$2,M1112&gt;=$C$2),"Sí","")</f>
        <v/>
      </c>
      <c r="Q1112" s="18" t="str">
        <f aca="false">IF(COUNTIF(LOOKAHEAD!$A$5:$A$604,A1112)&gt;0,"En Lookahead",IF(P1112="Sí","INCORPORAR",""))</f>
        <v/>
      </c>
    </row>
    <row r="1113" customFormat="false" ht="15" hidden="false" customHeight="false" outlineLevel="0" collapsed="false">
      <c r="A1113" s="16" t="s">
        <v>4513</v>
      </c>
      <c r="B1113" s="16" t="n">
        <v>1108</v>
      </c>
      <c r="C1113" s="16" t="s">
        <v>4514</v>
      </c>
      <c r="D1113" s="16" t="n">
        <v>7</v>
      </c>
      <c r="E1113" s="37" t="s">
        <v>1871</v>
      </c>
      <c r="F1113" s="16" t="s">
        <v>1285</v>
      </c>
      <c r="G1113" s="16" t="s">
        <v>322</v>
      </c>
      <c r="H1113" s="16" t="s">
        <v>4416</v>
      </c>
      <c r="I1113" s="16" t="s">
        <v>98</v>
      </c>
      <c r="J1113" s="16" t="s">
        <v>1853</v>
      </c>
      <c r="K1113" s="32" t="n">
        <v>1</v>
      </c>
      <c r="L1113" s="33" t="n">
        <v>46277</v>
      </c>
      <c r="M1113" s="33" t="n">
        <v>46277</v>
      </c>
      <c r="N1113" s="16" t="s">
        <v>4515</v>
      </c>
      <c r="O1113" s="16"/>
      <c r="P1113" s="16" t="str">
        <f aca="false">IF(AND(L1113&lt;=$D$2,M1113&gt;=$C$2),"Sí","")</f>
        <v/>
      </c>
      <c r="Q1113" s="18" t="str">
        <f aca="false">IF(COUNTIF(LOOKAHEAD!$A$5:$A$604,A1113)&gt;0,"En Lookahead",IF(P1113="Sí","INCORPORAR",""))</f>
        <v/>
      </c>
    </row>
    <row r="1114" customFormat="false" ht="15" hidden="false" customHeight="false" outlineLevel="0" collapsed="false">
      <c r="A1114" s="16" t="s">
        <v>4516</v>
      </c>
      <c r="B1114" s="16" t="n">
        <v>1109</v>
      </c>
      <c r="C1114" s="16" t="s">
        <v>4517</v>
      </c>
      <c r="D1114" s="16" t="n">
        <v>7</v>
      </c>
      <c r="E1114" s="37" t="s">
        <v>1602</v>
      </c>
      <c r="F1114" s="16" t="s">
        <v>1285</v>
      </c>
      <c r="G1114" s="16" t="s">
        <v>322</v>
      </c>
      <c r="H1114" s="16" t="s">
        <v>4416</v>
      </c>
      <c r="I1114" s="16" t="s">
        <v>98</v>
      </c>
      <c r="J1114" s="16" t="s">
        <v>1853</v>
      </c>
      <c r="K1114" s="32" t="n">
        <v>1</v>
      </c>
      <c r="L1114" s="33" t="n">
        <v>46281</v>
      </c>
      <c r="M1114" s="33" t="n">
        <v>46281</v>
      </c>
      <c r="N1114" s="16" t="s">
        <v>4518</v>
      </c>
      <c r="O1114" s="16"/>
      <c r="P1114" s="16" t="str">
        <f aca="false">IF(AND(L1114&lt;=$D$2,M1114&gt;=$C$2),"Sí","")</f>
        <v/>
      </c>
      <c r="Q1114" s="18" t="str">
        <f aca="false">IF(COUNTIF(LOOKAHEAD!$A$5:$A$604,A1114)&gt;0,"En Lookahead",IF(P1114="Sí","INCORPORAR",""))</f>
        <v/>
      </c>
    </row>
    <row r="1115" customFormat="false" ht="15" hidden="false" customHeight="false" outlineLevel="0" collapsed="false">
      <c r="A1115" s="13" t="s">
        <v>4519</v>
      </c>
      <c r="B1115" s="13" t="n">
        <v>1110</v>
      </c>
      <c r="C1115" s="13" t="s">
        <v>4520</v>
      </c>
      <c r="D1115" s="13" t="n">
        <v>6</v>
      </c>
      <c r="E1115" s="36" t="s">
        <v>1985</v>
      </c>
      <c r="F1115" s="13" t="s">
        <v>1298</v>
      </c>
      <c r="G1115" s="13" t="s">
        <v>322</v>
      </c>
      <c r="H1115" s="13" t="s">
        <v>4416</v>
      </c>
      <c r="I1115" s="13" t="s">
        <v>98</v>
      </c>
      <c r="J1115" s="13" t="s">
        <v>1623</v>
      </c>
      <c r="K1115" s="30" t="n">
        <v>4</v>
      </c>
      <c r="L1115" s="31" t="n">
        <v>46291</v>
      </c>
      <c r="M1115" s="31" t="n">
        <v>46294</v>
      </c>
      <c r="N1115" s="13"/>
      <c r="O1115" s="13"/>
      <c r="P1115" s="13"/>
      <c r="Q1115" s="13"/>
    </row>
    <row r="1116" customFormat="false" ht="15" hidden="false" customHeight="false" outlineLevel="0" collapsed="false">
      <c r="A1116" s="13" t="s">
        <v>4521</v>
      </c>
      <c r="B1116" s="13" t="n">
        <v>1111</v>
      </c>
      <c r="C1116" s="13" t="s">
        <v>4522</v>
      </c>
      <c r="D1116" s="13" t="n">
        <v>7</v>
      </c>
      <c r="E1116" s="38" t="s">
        <v>1988</v>
      </c>
      <c r="F1116" s="13" t="s">
        <v>1298</v>
      </c>
      <c r="G1116" s="13" t="s">
        <v>322</v>
      </c>
      <c r="H1116" s="13" t="s">
        <v>4416</v>
      </c>
      <c r="I1116" s="13" t="s">
        <v>98</v>
      </c>
      <c r="J1116" s="13" t="s">
        <v>1985</v>
      </c>
      <c r="K1116" s="30" t="n">
        <v>4</v>
      </c>
      <c r="L1116" s="31" t="n">
        <v>46291</v>
      </c>
      <c r="M1116" s="31" t="n">
        <v>46294</v>
      </c>
      <c r="N1116" s="13"/>
      <c r="O1116" s="13"/>
      <c r="P1116" s="13"/>
      <c r="Q1116" s="13"/>
    </row>
    <row r="1117" customFormat="false" ht="15" hidden="false" customHeight="false" outlineLevel="0" collapsed="false">
      <c r="A1117" s="16" t="s">
        <v>4523</v>
      </c>
      <c r="B1117" s="16" t="n">
        <v>1112</v>
      </c>
      <c r="C1117" s="16" t="s">
        <v>4524</v>
      </c>
      <c r="D1117" s="16" t="n">
        <v>8</v>
      </c>
      <c r="E1117" s="39" t="s">
        <v>1991</v>
      </c>
      <c r="F1117" s="16" t="s">
        <v>1285</v>
      </c>
      <c r="G1117" s="16" t="s">
        <v>322</v>
      </c>
      <c r="H1117" s="16" t="s">
        <v>4416</v>
      </c>
      <c r="I1117" s="16" t="s">
        <v>98</v>
      </c>
      <c r="J1117" s="16" t="s">
        <v>1988</v>
      </c>
      <c r="K1117" s="32" t="n">
        <v>1</v>
      </c>
      <c r="L1117" s="33" t="n">
        <v>46293</v>
      </c>
      <c r="M1117" s="33" t="n">
        <v>46293</v>
      </c>
      <c r="N1117" s="16" t="s">
        <v>4525</v>
      </c>
      <c r="O1117" s="16"/>
      <c r="P1117" s="16" t="str">
        <f aca="false">IF(AND(L1117&lt;=$D$2,M1117&gt;=$C$2),"Sí","")</f>
        <v/>
      </c>
      <c r="Q1117" s="18" t="str">
        <f aca="false">IF(COUNTIF(LOOKAHEAD!$A$5:$A$604,A1117)&gt;0,"En Lookahead",IF(P1117="Sí","INCORPORAR",""))</f>
        <v/>
      </c>
    </row>
    <row r="1118" customFormat="false" ht="15" hidden="false" customHeight="false" outlineLevel="0" collapsed="false">
      <c r="A1118" s="16" t="s">
        <v>4526</v>
      </c>
      <c r="B1118" s="16" t="n">
        <v>1113</v>
      </c>
      <c r="C1118" s="16" t="s">
        <v>4527</v>
      </c>
      <c r="D1118" s="16" t="n">
        <v>8</v>
      </c>
      <c r="E1118" s="39" t="s">
        <v>1995</v>
      </c>
      <c r="F1118" s="16" t="s">
        <v>1285</v>
      </c>
      <c r="G1118" s="16" t="s">
        <v>322</v>
      </c>
      <c r="H1118" s="16" t="s">
        <v>4416</v>
      </c>
      <c r="I1118" s="16" t="s">
        <v>98</v>
      </c>
      <c r="J1118" s="16" t="s">
        <v>1988</v>
      </c>
      <c r="K1118" s="32" t="n">
        <v>1</v>
      </c>
      <c r="L1118" s="33" t="n">
        <v>46292</v>
      </c>
      <c r="M1118" s="33" t="n">
        <v>46292</v>
      </c>
      <c r="N1118" s="16" t="s">
        <v>4528</v>
      </c>
      <c r="O1118" s="16"/>
      <c r="P1118" s="16" t="str">
        <f aca="false">IF(AND(L1118&lt;=$D$2,M1118&gt;=$C$2),"Sí","")</f>
        <v/>
      </c>
      <c r="Q1118" s="18" t="str">
        <f aca="false">IF(COUNTIF(LOOKAHEAD!$A$5:$A$604,A1118)&gt;0,"En Lookahead",IF(P1118="Sí","INCORPORAR",""))</f>
        <v/>
      </c>
    </row>
    <row r="1119" customFormat="false" ht="15" hidden="false" customHeight="false" outlineLevel="0" collapsed="false">
      <c r="A1119" s="16" t="s">
        <v>4529</v>
      </c>
      <c r="B1119" s="16" t="n">
        <v>1114</v>
      </c>
      <c r="C1119" s="16" t="s">
        <v>4530</v>
      </c>
      <c r="D1119" s="16" t="n">
        <v>8</v>
      </c>
      <c r="E1119" s="39" t="s">
        <v>1999</v>
      </c>
      <c r="F1119" s="16" t="s">
        <v>1285</v>
      </c>
      <c r="G1119" s="16" t="s">
        <v>322</v>
      </c>
      <c r="H1119" s="16" t="s">
        <v>4416</v>
      </c>
      <c r="I1119" s="16" t="s">
        <v>98</v>
      </c>
      <c r="J1119" s="16" t="s">
        <v>1988</v>
      </c>
      <c r="K1119" s="32" t="n">
        <v>1</v>
      </c>
      <c r="L1119" s="33" t="n">
        <v>46291</v>
      </c>
      <c r="M1119" s="33" t="n">
        <v>46291</v>
      </c>
      <c r="N1119" s="16" t="s">
        <v>4531</v>
      </c>
      <c r="O1119" s="16"/>
      <c r="P1119" s="16" t="str">
        <f aca="false">IF(AND(L1119&lt;=$D$2,M1119&gt;=$C$2),"Sí","")</f>
        <v/>
      </c>
      <c r="Q1119" s="18" t="str">
        <f aca="false">IF(COUNTIF(LOOKAHEAD!$A$5:$A$604,A1119)&gt;0,"En Lookahead",IF(P1119="Sí","INCORPORAR",""))</f>
        <v/>
      </c>
    </row>
    <row r="1120" customFormat="false" ht="15" hidden="false" customHeight="false" outlineLevel="0" collapsed="false">
      <c r="A1120" s="16" t="s">
        <v>4532</v>
      </c>
      <c r="B1120" s="16" t="n">
        <v>1115</v>
      </c>
      <c r="C1120" s="16" t="s">
        <v>4533</v>
      </c>
      <c r="D1120" s="16" t="n">
        <v>8</v>
      </c>
      <c r="E1120" s="39" t="s">
        <v>1677</v>
      </c>
      <c r="F1120" s="16" t="s">
        <v>1285</v>
      </c>
      <c r="G1120" s="16" t="s">
        <v>322</v>
      </c>
      <c r="H1120" s="16" t="s">
        <v>4416</v>
      </c>
      <c r="I1120" s="16" t="s">
        <v>98</v>
      </c>
      <c r="J1120" s="16" t="s">
        <v>1988</v>
      </c>
      <c r="K1120" s="32" t="n">
        <v>1</v>
      </c>
      <c r="L1120" s="33" t="n">
        <v>46294</v>
      </c>
      <c r="M1120" s="33" t="n">
        <v>46294</v>
      </c>
      <c r="N1120" s="16" t="s">
        <v>4534</v>
      </c>
      <c r="O1120" s="16"/>
      <c r="P1120" s="16" t="str">
        <f aca="false">IF(AND(L1120&lt;=$D$2,M1120&gt;=$C$2),"Sí","")</f>
        <v/>
      </c>
      <c r="Q1120" s="18" t="str">
        <f aca="false">IF(COUNTIF(LOOKAHEAD!$A$5:$A$604,A1120)&gt;0,"En Lookahead",IF(P1120="Sí","INCORPORAR",""))</f>
        <v/>
      </c>
    </row>
    <row r="1121" customFormat="false" ht="15" hidden="false" customHeight="false" outlineLevel="0" collapsed="false">
      <c r="A1121" s="13" t="s">
        <v>4535</v>
      </c>
      <c r="B1121" s="13" t="n">
        <v>1116</v>
      </c>
      <c r="C1121" s="13" t="s">
        <v>4536</v>
      </c>
      <c r="D1121" s="13" t="n">
        <v>7</v>
      </c>
      <c r="E1121" s="38" t="s">
        <v>2038</v>
      </c>
      <c r="F1121" s="13" t="s">
        <v>1298</v>
      </c>
      <c r="G1121" s="13" t="s">
        <v>322</v>
      </c>
      <c r="H1121" s="13" t="s">
        <v>4416</v>
      </c>
      <c r="I1121" s="13" t="s">
        <v>98</v>
      </c>
      <c r="J1121" s="13" t="s">
        <v>1985</v>
      </c>
      <c r="K1121" s="30" t="n">
        <v>4</v>
      </c>
      <c r="L1121" s="31" t="n">
        <v>46291</v>
      </c>
      <c r="M1121" s="31" t="n">
        <v>46294</v>
      </c>
      <c r="N1121" s="13"/>
      <c r="O1121" s="13"/>
      <c r="P1121" s="13"/>
      <c r="Q1121" s="13"/>
    </row>
    <row r="1122" customFormat="false" ht="15" hidden="false" customHeight="false" outlineLevel="0" collapsed="false">
      <c r="A1122" s="16" t="s">
        <v>4537</v>
      </c>
      <c r="B1122" s="16" t="n">
        <v>1117</v>
      </c>
      <c r="C1122" s="16" t="s">
        <v>4538</v>
      </c>
      <c r="D1122" s="16" t="n">
        <v>8</v>
      </c>
      <c r="E1122" s="39" t="s">
        <v>2041</v>
      </c>
      <c r="F1122" s="16" t="s">
        <v>1285</v>
      </c>
      <c r="G1122" s="16" t="s">
        <v>322</v>
      </c>
      <c r="H1122" s="16" t="s">
        <v>4416</v>
      </c>
      <c r="I1122" s="16" t="s">
        <v>98</v>
      </c>
      <c r="J1122" s="16" t="s">
        <v>2038</v>
      </c>
      <c r="K1122" s="32" t="n">
        <v>1</v>
      </c>
      <c r="L1122" s="33" t="n">
        <v>46293</v>
      </c>
      <c r="M1122" s="33" t="n">
        <v>46293</v>
      </c>
      <c r="N1122" s="16" t="s">
        <v>4539</v>
      </c>
      <c r="O1122" s="16"/>
      <c r="P1122" s="16" t="str">
        <f aca="false">IF(AND(L1122&lt;=$D$2,M1122&gt;=$C$2),"Sí","")</f>
        <v/>
      </c>
      <c r="Q1122" s="18" t="str">
        <f aca="false">IF(COUNTIF(LOOKAHEAD!$A$5:$A$604,A1122)&gt;0,"En Lookahead",IF(P1122="Sí","INCORPORAR",""))</f>
        <v/>
      </c>
    </row>
    <row r="1123" customFormat="false" ht="15" hidden="false" customHeight="false" outlineLevel="0" collapsed="false">
      <c r="A1123" s="16" t="s">
        <v>4540</v>
      </c>
      <c r="B1123" s="16" t="n">
        <v>1118</v>
      </c>
      <c r="C1123" s="16" t="s">
        <v>4541</v>
      </c>
      <c r="D1123" s="16" t="n">
        <v>8</v>
      </c>
      <c r="E1123" s="39" t="s">
        <v>2045</v>
      </c>
      <c r="F1123" s="16" t="s">
        <v>1285</v>
      </c>
      <c r="G1123" s="16" t="s">
        <v>322</v>
      </c>
      <c r="H1123" s="16" t="s">
        <v>4416</v>
      </c>
      <c r="I1123" s="16" t="s">
        <v>98</v>
      </c>
      <c r="J1123" s="16" t="s">
        <v>2038</v>
      </c>
      <c r="K1123" s="32" t="n">
        <v>1</v>
      </c>
      <c r="L1123" s="33" t="n">
        <v>46292</v>
      </c>
      <c r="M1123" s="33" t="n">
        <v>46292</v>
      </c>
      <c r="N1123" s="16" t="s">
        <v>4542</v>
      </c>
      <c r="O1123" s="16"/>
      <c r="P1123" s="16" t="str">
        <f aca="false">IF(AND(L1123&lt;=$D$2,M1123&gt;=$C$2),"Sí","")</f>
        <v/>
      </c>
      <c r="Q1123" s="18" t="str">
        <f aca="false">IF(COUNTIF(LOOKAHEAD!$A$5:$A$604,A1123)&gt;0,"En Lookahead",IF(P1123="Sí","INCORPORAR",""))</f>
        <v/>
      </c>
    </row>
    <row r="1124" customFormat="false" ht="15" hidden="false" customHeight="false" outlineLevel="0" collapsed="false">
      <c r="A1124" s="16" t="s">
        <v>4543</v>
      </c>
      <c r="B1124" s="16" t="n">
        <v>1119</v>
      </c>
      <c r="C1124" s="16" t="s">
        <v>4544</v>
      </c>
      <c r="D1124" s="16" t="n">
        <v>8</v>
      </c>
      <c r="E1124" s="39" t="s">
        <v>1999</v>
      </c>
      <c r="F1124" s="16" t="s">
        <v>1285</v>
      </c>
      <c r="G1124" s="16" t="s">
        <v>322</v>
      </c>
      <c r="H1124" s="16" t="s">
        <v>4416</v>
      </c>
      <c r="I1124" s="16" t="s">
        <v>98</v>
      </c>
      <c r="J1124" s="16" t="s">
        <v>2038</v>
      </c>
      <c r="K1124" s="32" t="n">
        <v>1</v>
      </c>
      <c r="L1124" s="33" t="n">
        <v>46291</v>
      </c>
      <c r="M1124" s="33" t="n">
        <v>46291</v>
      </c>
      <c r="N1124" s="16" t="s">
        <v>4531</v>
      </c>
      <c r="O1124" s="16"/>
      <c r="P1124" s="16" t="str">
        <f aca="false">IF(AND(L1124&lt;=$D$2,M1124&gt;=$C$2),"Sí","")</f>
        <v/>
      </c>
      <c r="Q1124" s="18" t="str">
        <f aca="false">IF(COUNTIF(LOOKAHEAD!$A$5:$A$604,A1124)&gt;0,"En Lookahead",IF(P1124="Sí","INCORPORAR",""))</f>
        <v/>
      </c>
    </row>
    <row r="1125" customFormat="false" ht="15" hidden="false" customHeight="false" outlineLevel="0" collapsed="false">
      <c r="A1125" s="16" t="s">
        <v>4545</v>
      </c>
      <c r="B1125" s="16" t="n">
        <v>1120</v>
      </c>
      <c r="C1125" s="16" t="s">
        <v>4546</v>
      </c>
      <c r="D1125" s="16" t="n">
        <v>8</v>
      </c>
      <c r="E1125" s="39" t="s">
        <v>1677</v>
      </c>
      <c r="F1125" s="16" t="s">
        <v>1285</v>
      </c>
      <c r="G1125" s="16" t="s">
        <v>322</v>
      </c>
      <c r="H1125" s="16" t="s">
        <v>4416</v>
      </c>
      <c r="I1125" s="16" t="s">
        <v>98</v>
      </c>
      <c r="J1125" s="16" t="s">
        <v>2038</v>
      </c>
      <c r="K1125" s="32" t="n">
        <v>1</v>
      </c>
      <c r="L1125" s="33" t="n">
        <v>46294</v>
      </c>
      <c r="M1125" s="33" t="n">
        <v>46294</v>
      </c>
      <c r="N1125" s="16" t="s">
        <v>4547</v>
      </c>
      <c r="O1125" s="16"/>
      <c r="P1125" s="16" t="str">
        <f aca="false">IF(AND(L1125&lt;=$D$2,M1125&gt;=$C$2),"Sí","")</f>
        <v/>
      </c>
      <c r="Q1125" s="18" t="str">
        <f aca="false">IF(COUNTIF(LOOKAHEAD!$A$5:$A$604,A1125)&gt;0,"En Lookahead",IF(P1125="Sí","INCORPORAR",""))</f>
        <v/>
      </c>
    </row>
    <row r="1126" customFormat="false" ht="15" hidden="false" customHeight="false" outlineLevel="0" collapsed="false">
      <c r="A1126" s="13" t="s">
        <v>4548</v>
      </c>
      <c r="B1126" s="13" t="n">
        <v>1121</v>
      </c>
      <c r="C1126" s="13" t="s">
        <v>4549</v>
      </c>
      <c r="D1126" s="13" t="n">
        <v>6</v>
      </c>
      <c r="E1126" s="36" t="s">
        <v>2054</v>
      </c>
      <c r="F1126" s="13" t="s">
        <v>1298</v>
      </c>
      <c r="G1126" s="13" t="s">
        <v>322</v>
      </c>
      <c r="H1126" s="13" t="s">
        <v>4416</v>
      </c>
      <c r="I1126" s="13" t="s">
        <v>98</v>
      </c>
      <c r="J1126" s="13" t="s">
        <v>1623</v>
      </c>
      <c r="K1126" s="30" t="n">
        <v>4</v>
      </c>
      <c r="L1126" s="31" t="n">
        <v>46294</v>
      </c>
      <c r="M1126" s="31" t="n">
        <v>46297</v>
      </c>
      <c r="N1126" s="13"/>
      <c r="O1126" s="13"/>
      <c r="P1126" s="13"/>
      <c r="Q1126" s="13"/>
    </row>
    <row r="1127" customFormat="false" ht="15" hidden="false" customHeight="false" outlineLevel="0" collapsed="false">
      <c r="A1127" s="13" t="s">
        <v>4550</v>
      </c>
      <c r="B1127" s="13" t="n">
        <v>1122</v>
      </c>
      <c r="C1127" s="13" t="s">
        <v>4551</v>
      </c>
      <c r="D1127" s="13" t="n">
        <v>7</v>
      </c>
      <c r="E1127" s="38" t="s">
        <v>2057</v>
      </c>
      <c r="F1127" s="13" t="s">
        <v>1298</v>
      </c>
      <c r="G1127" s="13" t="s">
        <v>322</v>
      </c>
      <c r="H1127" s="13" t="s">
        <v>4416</v>
      </c>
      <c r="I1127" s="13" t="s">
        <v>98</v>
      </c>
      <c r="J1127" s="13" t="s">
        <v>2054</v>
      </c>
      <c r="K1127" s="30" t="n">
        <v>4</v>
      </c>
      <c r="L1127" s="31" t="n">
        <v>46294</v>
      </c>
      <c r="M1127" s="31" t="n">
        <v>46297</v>
      </c>
      <c r="N1127" s="13"/>
      <c r="O1127" s="13"/>
      <c r="P1127" s="13"/>
      <c r="Q1127" s="13"/>
    </row>
    <row r="1128" customFormat="false" ht="15" hidden="false" customHeight="false" outlineLevel="0" collapsed="false">
      <c r="A1128" s="16" t="s">
        <v>4552</v>
      </c>
      <c r="B1128" s="16" t="n">
        <v>1123</v>
      </c>
      <c r="C1128" s="16" t="s">
        <v>4553</v>
      </c>
      <c r="D1128" s="16" t="n">
        <v>8</v>
      </c>
      <c r="E1128" s="39" t="s">
        <v>2060</v>
      </c>
      <c r="F1128" s="16" t="s">
        <v>1285</v>
      </c>
      <c r="G1128" s="16" t="s">
        <v>322</v>
      </c>
      <c r="H1128" s="16" t="s">
        <v>4416</v>
      </c>
      <c r="I1128" s="16" t="s">
        <v>98</v>
      </c>
      <c r="J1128" s="16" t="s">
        <v>2057</v>
      </c>
      <c r="K1128" s="32" t="n">
        <v>1</v>
      </c>
      <c r="L1128" s="33" t="n">
        <v>46296</v>
      </c>
      <c r="M1128" s="33" t="n">
        <v>46296</v>
      </c>
      <c r="N1128" s="16" t="s">
        <v>4554</v>
      </c>
      <c r="O1128" s="16"/>
      <c r="P1128" s="16" t="str">
        <f aca="false">IF(AND(L1128&lt;=$D$2,M1128&gt;=$C$2),"Sí","")</f>
        <v/>
      </c>
      <c r="Q1128" s="18" t="str">
        <f aca="false">IF(COUNTIF(LOOKAHEAD!$A$5:$A$604,A1128)&gt;0,"En Lookahead",IF(P1128="Sí","INCORPORAR",""))</f>
        <v/>
      </c>
    </row>
    <row r="1129" customFormat="false" ht="15" hidden="false" customHeight="false" outlineLevel="0" collapsed="false">
      <c r="A1129" s="16" t="s">
        <v>4555</v>
      </c>
      <c r="B1129" s="16" t="n">
        <v>1124</v>
      </c>
      <c r="C1129" s="16" t="s">
        <v>4556</v>
      </c>
      <c r="D1129" s="16" t="n">
        <v>8</v>
      </c>
      <c r="E1129" s="39" t="s">
        <v>2064</v>
      </c>
      <c r="F1129" s="16" t="s">
        <v>1285</v>
      </c>
      <c r="G1129" s="16" t="s">
        <v>322</v>
      </c>
      <c r="H1129" s="16" t="s">
        <v>4416</v>
      </c>
      <c r="I1129" s="16" t="s">
        <v>98</v>
      </c>
      <c r="J1129" s="16" t="s">
        <v>2057</v>
      </c>
      <c r="K1129" s="32" t="n">
        <v>1</v>
      </c>
      <c r="L1129" s="33" t="n">
        <v>46295</v>
      </c>
      <c r="M1129" s="33" t="n">
        <v>46295</v>
      </c>
      <c r="N1129" s="16" t="s">
        <v>4557</v>
      </c>
      <c r="O1129" s="16"/>
      <c r="P1129" s="16" t="str">
        <f aca="false">IF(AND(L1129&lt;=$D$2,M1129&gt;=$C$2),"Sí","")</f>
        <v/>
      </c>
      <c r="Q1129" s="18" t="str">
        <f aca="false">IF(COUNTIF(LOOKAHEAD!$A$5:$A$604,A1129)&gt;0,"En Lookahead",IF(P1129="Sí","INCORPORAR",""))</f>
        <v/>
      </c>
    </row>
    <row r="1130" customFormat="false" ht="15" hidden="false" customHeight="false" outlineLevel="0" collapsed="false">
      <c r="A1130" s="16" t="s">
        <v>4558</v>
      </c>
      <c r="B1130" s="16" t="n">
        <v>1125</v>
      </c>
      <c r="C1130" s="16" t="s">
        <v>4559</v>
      </c>
      <c r="D1130" s="16" t="n">
        <v>8</v>
      </c>
      <c r="E1130" s="39" t="s">
        <v>1800</v>
      </c>
      <c r="F1130" s="16" t="s">
        <v>1285</v>
      </c>
      <c r="G1130" s="16" t="s">
        <v>322</v>
      </c>
      <c r="H1130" s="16" t="s">
        <v>4416</v>
      </c>
      <c r="I1130" s="16" t="s">
        <v>98</v>
      </c>
      <c r="J1130" s="16" t="s">
        <v>2057</v>
      </c>
      <c r="K1130" s="32" t="n">
        <v>1</v>
      </c>
      <c r="L1130" s="33" t="n">
        <v>46294</v>
      </c>
      <c r="M1130" s="33" t="n">
        <v>46294</v>
      </c>
      <c r="N1130" s="16" t="s">
        <v>4534</v>
      </c>
      <c r="O1130" s="16"/>
      <c r="P1130" s="16" t="str">
        <f aca="false">IF(AND(L1130&lt;=$D$2,M1130&gt;=$C$2),"Sí","")</f>
        <v/>
      </c>
      <c r="Q1130" s="18" t="str">
        <f aca="false">IF(COUNTIF(LOOKAHEAD!$A$5:$A$604,A1130)&gt;0,"En Lookahead",IF(P1130="Sí","INCORPORAR",""))</f>
        <v/>
      </c>
    </row>
    <row r="1131" customFormat="false" ht="15" hidden="false" customHeight="false" outlineLevel="0" collapsed="false">
      <c r="A1131" s="16" t="s">
        <v>4560</v>
      </c>
      <c r="B1131" s="16" t="n">
        <v>1126</v>
      </c>
      <c r="C1131" s="16" t="s">
        <v>4561</v>
      </c>
      <c r="D1131" s="16" t="n">
        <v>8</v>
      </c>
      <c r="E1131" s="39" t="s">
        <v>1602</v>
      </c>
      <c r="F1131" s="16" t="s">
        <v>1285</v>
      </c>
      <c r="G1131" s="16" t="s">
        <v>322</v>
      </c>
      <c r="H1131" s="16" t="s">
        <v>4416</v>
      </c>
      <c r="I1131" s="16" t="s">
        <v>98</v>
      </c>
      <c r="J1131" s="16" t="s">
        <v>2057</v>
      </c>
      <c r="K1131" s="32" t="n">
        <v>1</v>
      </c>
      <c r="L1131" s="33" t="n">
        <v>46297</v>
      </c>
      <c r="M1131" s="33" t="n">
        <v>46297</v>
      </c>
      <c r="N1131" s="16" t="s">
        <v>4562</v>
      </c>
      <c r="O1131" s="16"/>
      <c r="P1131" s="16" t="str">
        <f aca="false">IF(AND(L1131&lt;=$D$2,M1131&gt;=$C$2),"Sí","")</f>
        <v/>
      </c>
      <c r="Q1131" s="18" t="str">
        <f aca="false">IF(COUNTIF(LOOKAHEAD!$A$5:$A$604,A1131)&gt;0,"En Lookahead",IF(P1131="Sí","INCORPORAR",""))</f>
        <v/>
      </c>
    </row>
    <row r="1132" customFormat="false" ht="15" hidden="false" customHeight="false" outlineLevel="0" collapsed="false">
      <c r="A1132" s="13" t="s">
        <v>4563</v>
      </c>
      <c r="B1132" s="13" t="n">
        <v>1127</v>
      </c>
      <c r="C1132" s="13" t="s">
        <v>4564</v>
      </c>
      <c r="D1132" s="13" t="n">
        <v>7</v>
      </c>
      <c r="E1132" s="38" t="s">
        <v>4565</v>
      </c>
      <c r="F1132" s="13" t="s">
        <v>1298</v>
      </c>
      <c r="G1132" s="13" t="s">
        <v>322</v>
      </c>
      <c r="H1132" s="13" t="s">
        <v>4416</v>
      </c>
      <c r="I1132" s="13" t="s">
        <v>98</v>
      </c>
      <c r="J1132" s="13" t="s">
        <v>2054</v>
      </c>
      <c r="K1132" s="30" t="n">
        <v>4</v>
      </c>
      <c r="L1132" s="31" t="n">
        <v>46294</v>
      </c>
      <c r="M1132" s="31" t="n">
        <v>46297</v>
      </c>
      <c r="N1132" s="13"/>
      <c r="O1132" s="13"/>
      <c r="P1132" s="13"/>
      <c r="Q1132" s="13"/>
    </row>
    <row r="1133" customFormat="false" ht="15" hidden="false" customHeight="false" outlineLevel="0" collapsed="false">
      <c r="A1133" s="16" t="s">
        <v>4566</v>
      </c>
      <c r="B1133" s="16" t="n">
        <v>1128</v>
      </c>
      <c r="C1133" s="16" t="s">
        <v>4567</v>
      </c>
      <c r="D1133" s="16" t="n">
        <v>8</v>
      </c>
      <c r="E1133" s="39" t="s">
        <v>2107</v>
      </c>
      <c r="F1133" s="16" t="s">
        <v>1285</v>
      </c>
      <c r="G1133" s="16" t="s">
        <v>322</v>
      </c>
      <c r="H1133" s="16" t="s">
        <v>4416</v>
      </c>
      <c r="I1133" s="16" t="s">
        <v>98</v>
      </c>
      <c r="J1133" s="16" t="s">
        <v>4565</v>
      </c>
      <c r="K1133" s="32" t="n">
        <v>1</v>
      </c>
      <c r="L1133" s="33" t="n">
        <v>46296</v>
      </c>
      <c r="M1133" s="33" t="n">
        <v>46296</v>
      </c>
      <c r="N1133" s="16" t="s">
        <v>4568</v>
      </c>
      <c r="O1133" s="16"/>
      <c r="P1133" s="16" t="str">
        <f aca="false">IF(AND(L1133&lt;=$D$2,M1133&gt;=$C$2),"Sí","")</f>
        <v/>
      </c>
      <c r="Q1133" s="18" t="str">
        <f aca="false">IF(COUNTIF(LOOKAHEAD!$A$5:$A$604,A1133)&gt;0,"En Lookahead",IF(P1133="Sí","INCORPORAR",""))</f>
        <v/>
      </c>
    </row>
    <row r="1134" customFormat="false" ht="15" hidden="false" customHeight="false" outlineLevel="0" collapsed="false">
      <c r="A1134" s="16" t="s">
        <v>4569</v>
      </c>
      <c r="B1134" s="16" t="n">
        <v>1129</v>
      </c>
      <c r="C1134" s="16" t="s">
        <v>4570</v>
      </c>
      <c r="D1134" s="16" t="n">
        <v>8</v>
      </c>
      <c r="E1134" s="39" t="s">
        <v>2080</v>
      </c>
      <c r="F1134" s="16" t="s">
        <v>1285</v>
      </c>
      <c r="G1134" s="16" t="s">
        <v>322</v>
      </c>
      <c r="H1134" s="16" t="s">
        <v>4416</v>
      </c>
      <c r="I1134" s="16" t="s">
        <v>98</v>
      </c>
      <c r="J1134" s="16" t="s">
        <v>4565</v>
      </c>
      <c r="K1134" s="32" t="n">
        <v>1</v>
      </c>
      <c r="L1134" s="33" t="n">
        <v>46295</v>
      </c>
      <c r="M1134" s="33" t="n">
        <v>46295</v>
      </c>
      <c r="N1134" s="16" t="s">
        <v>4571</v>
      </c>
      <c r="O1134" s="16"/>
      <c r="P1134" s="16" t="str">
        <f aca="false">IF(AND(L1134&lt;=$D$2,M1134&gt;=$C$2),"Sí","")</f>
        <v/>
      </c>
      <c r="Q1134" s="18" t="str">
        <f aca="false">IF(COUNTIF(LOOKAHEAD!$A$5:$A$604,A1134)&gt;0,"En Lookahead",IF(P1134="Sí","INCORPORAR",""))</f>
        <v/>
      </c>
    </row>
    <row r="1135" customFormat="false" ht="15" hidden="false" customHeight="false" outlineLevel="0" collapsed="false">
      <c r="A1135" s="16" t="s">
        <v>4572</v>
      </c>
      <c r="B1135" s="16" t="n">
        <v>1130</v>
      </c>
      <c r="C1135" s="16" t="s">
        <v>4573</v>
      </c>
      <c r="D1135" s="16" t="n">
        <v>8</v>
      </c>
      <c r="E1135" s="39" t="s">
        <v>1800</v>
      </c>
      <c r="F1135" s="16" t="s">
        <v>1285</v>
      </c>
      <c r="G1135" s="16" t="s">
        <v>322</v>
      </c>
      <c r="H1135" s="16" t="s">
        <v>4416</v>
      </c>
      <c r="I1135" s="16" t="s">
        <v>98</v>
      </c>
      <c r="J1135" s="16" t="s">
        <v>4565</v>
      </c>
      <c r="K1135" s="32" t="n">
        <v>1</v>
      </c>
      <c r="L1135" s="33" t="n">
        <v>46294</v>
      </c>
      <c r="M1135" s="33" t="n">
        <v>46294</v>
      </c>
      <c r="N1135" s="16" t="s">
        <v>4547</v>
      </c>
      <c r="O1135" s="16"/>
      <c r="P1135" s="16" t="str">
        <f aca="false">IF(AND(L1135&lt;=$D$2,M1135&gt;=$C$2),"Sí","")</f>
        <v/>
      </c>
      <c r="Q1135" s="18" t="str">
        <f aca="false">IF(COUNTIF(LOOKAHEAD!$A$5:$A$604,A1135)&gt;0,"En Lookahead",IF(P1135="Sí","INCORPORAR",""))</f>
        <v/>
      </c>
    </row>
    <row r="1136" customFormat="false" ht="15" hidden="false" customHeight="false" outlineLevel="0" collapsed="false">
      <c r="A1136" s="16" t="s">
        <v>4574</v>
      </c>
      <c r="B1136" s="16" t="n">
        <v>1131</v>
      </c>
      <c r="C1136" s="16" t="s">
        <v>4575</v>
      </c>
      <c r="D1136" s="16" t="n">
        <v>8</v>
      </c>
      <c r="E1136" s="39" t="s">
        <v>1602</v>
      </c>
      <c r="F1136" s="16" t="s">
        <v>1285</v>
      </c>
      <c r="G1136" s="16" t="s">
        <v>322</v>
      </c>
      <c r="H1136" s="16" t="s">
        <v>4416</v>
      </c>
      <c r="I1136" s="16" t="s">
        <v>98</v>
      </c>
      <c r="J1136" s="16" t="s">
        <v>4565</v>
      </c>
      <c r="K1136" s="32" t="n">
        <v>1</v>
      </c>
      <c r="L1136" s="33" t="n">
        <v>46297</v>
      </c>
      <c r="M1136" s="33" t="n">
        <v>46297</v>
      </c>
      <c r="N1136" s="16" t="s">
        <v>4576</v>
      </c>
      <c r="O1136" s="16"/>
      <c r="P1136" s="16" t="str">
        <f aca="false">IF(AND(L1136&lt;=$D$2,M1136&gt;=$C$2),"Sí","")</f>
        <v/>
      </c>
      <c r="Q1136" s="18" t="str">
        <f aca="false">IF(COUNTIF(LOOKAHEAD!$A$5:$A$604,A1136)&gt;0,"En Lookahead",IF(P1136="Sí","INCORPORAR",""))</f>
        <v/>
      </c>
    </row>
    <row r="1137" customFormat="false" ht="15" hidden="false" customHeight="false" outlineLevel="0" collapsed="false">
      <c r="A1137" s="13" t="s">
        <v>4577</v>
      </c>
      <c r="B1137" s="13" t="n">
        <v>1132</v>
      </c>
      <c r="C1137" s="13" t="s">
        <v>4578</v>
      </c>
      <c r="D1137" s="13" t="n">
        <v>6</v>
      </c>
      <c r="E1137" s="36" t="s">
        <v>3401</v>
      </c>
      <c r="F1137" s="13" t="s">
        <v>1298</v>
      </c>
      <c r="G1137" s="13" t="s">
        <v>322</v>
      </c>
      <c r="H1137" s="13" t="s">
        <v>4416</v>
      </c>
      <c r="I1137" s="13" t="s">
        <v>98</v>
      </c>
      <c r="J1137" s="13" t="s">
        <v>1623</v>
      </c>
      <c r="K1137" s="30" t="n">
        <v>6</v>
      </c>
      <c r="L1137" s="31" t="n">
        <v>46294</v>
      </c>
      <c r="M1137" s="31" t="n">
        <v>46299</v>
      </c>
      <c r="N1137" s="13"/>
      <c r="O1137" s="13"/>
      <c r="P1137" s="13"/>
      <c r="Q1137" s="13"/>
    </row>
    <row r="1138" customFormat="false" ht="15" hidden="false" customHeight="false" outlineLevel="0" collapsed="false">
      <c r="A1138" s="16" t="s">
        <v>4579</v>
      </c>
      <c r="B1138" s="16" t="n">
        <v>1133</v>
      </c>
      <c r="C1138" s="16" t="s">
        <v>4580</v>
      </c>
      <c r="D1138" s="16" t="n">
        <v>7</v>
      </c>
      <c r="E1138" s="37" t="s">
        <v>3404</v>
      </c>
      <c r="F1138" s="16" t="s">
        <v>1285</v>
      </c>
      <c r="G1138" s="16" t="s">
        <v>322</v>
      </c>
      <c r="H1138" s="16" t="s">
        <v>4416</v>
      </c>
      <c r="I1138" s="16" t="s">
        <v>98</v>
      </c>
      <c r="J1138" s="16" t="s">
        <v>3401</v>
      </c>
      <c r="K1138" s="32" t="n">
        <v>1</v>
      </c>
      <c r="L1138" s="33" t="n">
        <v>46298</v>
      </c>
      <c r="M1138" s="33" t="n">
        <v>46298</v>
      </c>
      <c r="N1138" s="16" t="s">
        <v>4581</v>
      </c>
      <c r="O1138" s="16"/>
      <c r="P1138" s="16" t="str">
        <f aca="false">IF(AND(L1138&lt;=$D$2,M1138&gt;=$C$2),"Sí","")</f>
        <v/>
      </c>
      <c r="Q1138" s="18" t="str">
        <f aca="false">IF(COUNTIF(LOOKAHEAD!$A$5:$A$604,A1138)&gt;0,"En Lookahead",IF(P1138="Sí","INCORPORAR",""))</f>
        <v/>
      </c>
    </row>
    <row r="1139" customFormat="false" ht="15" hidden="false" customHeight="false" outlineLevel="0" collapsed="false">
      <c r="A1139" s="16" t="s">
        <v>4582</v>
      </c>
      <c r="B1139" s="16" t="n">
        <v>1134</v>
      </c>
      <c r="C1139" s="16" t="s">
        <v>4583</v>
      </c>
      <c r="D1139" s="16" t="n">
        <v>7</v>
      </c>
      <c r="E1139" s="37" t="s">
        <v>3408</v>
      </c>
      <c r="F1139" s="16" t="s">
        <v>1285</v>
      </c>
      <c r="G1139" s="16" t="s">
        <v>322</v>
      </c>
      <c r="H1139" s="16" t="s">
        <v>4416</v>
      </c>
      <c r="I1139" s="16" t="s">
        <v>98</v>
      </c>
      <c r="J1139" s="16" t="s">
        <v>3401</v>
      </c>
      <c r="K1139" s="32" t="n">
        <v>3</v>
      </c>
      <c r="L1139" s="33" t="n">
        <v>46295</v>
      </c>
      <c r="M1139" s="33" t="n">
        <v>46297</v>
      </c>
      <c r="N1139" s="16" t="s">
        <v>4584</v>
      </c>
      <c r="O1139" s="16"/>
      <c r="P1139" s="16" t="str">
        <f aca="false">IF(AND(L1139&lt;=$D$2,M1139&gt;=$C$2),"Sí","")</f>
        <v/>
      </c>
      <c r="Q1139" s="18" t="str">
        <f aca="false">IF(COUNTIF(LOOKAHEAD!$A$5:$A$604,A1139)&gt;0,"En Lookahead",IF(P1139="Sí","INCORPORAR",""))</f>
        <v/>
      </c>
    </row>
    <row r="1140" customFormat="false" ht="15" hidden="false" customHeight="false" outlineLevel="0" collapsed="false">
      <c r="A1140" s="16" t="s">
        <v>4585</v>
      </c>
      <c r="B1140" s="16" t="n">
        <v>1135</v>
      </c>
      <c r="C1140" s="16" t="s">
        <v>4586</v>
      </c>
      <c r="D1140" s="16" t="n">
        <v>7</v>
      </c>
      <c r="E1140" s="37" t="s">
        <v>3412</v>
      </c>
      <c r="F1140" s="16" t="s">
        <v>1285</v>
      </c>
      <c r="G1140" s="16" t="s">
        <v>322</v>
      </c>
      <c r="H1140" s="16" t="s">
        <v>4416</v>
      </c>
      <c r="I1140" s="16" t="s">
        <v>98</v>
      </c>
      <c r="J1140" s="16" t="s">
        <v>3401</v>
      </c>
      <c r="K1140" s="32" t="n">
        <v>1</v>
      </c>
      <c r="L1140" s="33" t="n">
        <v>46294</v>
      </c>
      <c r="M1140" s="33" t="n">
        <v>46294</v>
      </c>
      <c r="N1140" s="16" t="s">
        <v>4547</v>
      </c>
      <c r="O1140" s="16"/>
      <c r="P1140" s="16" t="str">
        <f aca="false">IF(AND(L1140&lt;=$D$2,M1140&gt;=$C$2),"Sí","")</f>
        <v/>
      </c>
      <c r="Q1140" s="18" t="str">
        <f aca="false">IF(COUNTIF(LOOKAHEAD!$A$5:$A$604,A1140)&gt;0,"En Lookahead",IF(P1140="Sí","INCORPORAR",""))</f>
        <v/>
      </c>
    </row>
    <row r="1141" customFormat="false" ht="15" hidden="false" customHeight="false" outlineLevel="0" collapsed="false">
      <c r="A1141" s="16" t="s">
        <v>4587</v>
      </c>
      <c r="B1141" s="16" t="n">
        <v>1136</v>
      </c>
      <c r="C1141" s="16" t="s">
        <v>4588</v>
      </c>
      <c r="D1141" s="16" t="n">
        <v>7</v>
      </c>
      <c r="E1141" s="37" t="s">
        <v>1602</v>
      </c>
      <c r="F1141" s="16" t="s">
        <v>1285</v>
      </c>
      <c r="G1141" s="16" t="s">
        <v>322</v>
      </c>
      <c r="H1141" s="16" t="s">
        <v>4416</v>
      </c>
      <c r="I1141" s="16" t="s">
        <v>98</v>
      </c>
      <c r="J1141" s="16" t="s">
        <v>3401</v>
      </c>
      <c r="K1141" s="32" t="n">
        <v>1</v>
      </c>
      <c r="L1141" s="33" t="n">
        <v>46299</v>
      </c>
      <c r="M1141" s="33" t="n">
        <v>46299</v>
      </c>
      <c r="N1141" s="16" t="s">
        <v>4589</v>
      </c>
      <c r="O1141" s="16"/>
      <c r="P1141" s="16" t="str">
        <f aca="false">IF(AND(L1141&lt;=$D$2,M1141&gt;=$C$2),"Sí","")</f>
        <v/>
      </c>
      <c r="Q1141" s="18" t="str">
        <f aca="false">IF(COUNTIF(LOOKAHEAD!$A$5:$A$604,A1141)&gt;0,"En Lookahead",IF(P1141="Sí","INCORPORAR",""))</f>
        <v/>
      </c>
    </row>
    <row r="1142" customFormat="false" ht="15" hidden="false" customHeight="false" outlineLevel="0" collapsed="false">
      <c r="A1142" s="13" t="s">
        <v>4590</v>
      </c>
      <c r="B1142" s="13" t="n">
        <v>1137</v>
      </c>
      <c r="C1142" s="13" t="s">
        <v>4591</v>
      </c>
      <c r="D1142" s="13" t="n">
        <v>6</v>
      </c>
      <c r="E1142" s="36" t="s">
        <v>2985</v>
      </c>
      <c r="F1142" s="13" t="s">
        <v>1298</v>
      </c>
      <c r="G1142" s="13" t="s">
        <v>322</v>
      </c>
      <c r="H1142" s="13" t="s">
        <v>4416</v>
      </c>
      <c r="I1142" s="13" t="s">
        <v>98</v>
      </c>
      <c r="J1142" s="13" t="s">
        <v>1623</v>
      </c>
      <c r="K1142" s="30" t="n">
        <v>4</v>
      </c>
      <c r="L1142" s="31" t="n">
        <v>46281</v>
      </c>
      <c r="M1142" s="31" t="n">
        <v>46284</v>
      </c>
      <c r="N1142" s="13"/>
      <c r="O1142" s="13"/>
      <c r="P1142" s="13"/>
      <c r="Q1142" s="13"/>
    </row>
    <row r="1143" customFormat="false" ht="15" hidden="false" customHeight="false" outlineLevel="0" collapsed="false">
      <c r="A1143" s="16" t="s">
        <v>4592</v>
      </c>
      <c r="B1143" s="16" t="n">
        <v>1138</v>
      </c>
      <c r="C1143" s="16" t="s">
        <v>4593</v>
      </c>
      <c r="D1143" s="16" t="n">
        <v>7</v>
      </c>
      <c r="E1143" s="37" t="s">
        <v>2988</v>
      </c>
      <c r="F1143" s="16" t="s">
        <v>1285</v>
      </c>
      <c r="G1143" s="16" t="s">
        <v>322</v>
      </c>
      <c r="H1143" s="16" t="s">
        <v>4416</v>
      </c>
      <c r="I1143" s="16" t="s">
        <v>98</v>
      </c>
      <c r="J1143" s="16" t="s">
        <v>2985</v>
      </c>
      <c r="K1143" s="32" t="n">
        <v>1</v>
      </c>
      <c r="L1143" s="33" t="n">
        <v>46283</v>
      </c>
      <c r="M1143" s="33" t="n">
        <v>46283</v>
      </c>
      <c r="N1143" s="16" t="s">
        <v>4594</v>
      </c>
      <c r="O1143" s="16"/>
      <c r="P1143" s="16" t="str">
        <f aca="false">IF(AND(L1143&lt;=$D$2,M1143&gt;=$C$2),"Sí","")</f>
        <v/>
      </c>
      <c r="Q1143" s="18" t="str">
        <f aca="false">IF(COUNTIF(LOOKAHEAD!$A$5:$A$604,A1143)&gt;0,"En Lookahead",IF(P1143="Sí","INCORPORAR",""))</f>
        <v/>
      </c>
    </row>
    <row r="1144" customFormat="false" ht="15" hidden="false" customHeight="false" outlineLevel="0" collapsed="false">
      <c r="A1144" s="16" t="s">
        <v>4595</v>
      </c>
      <c r="B1144" s="16" t="n">
        <v>1139</v>
      </c>
      <c r="C1144" s="16" t="s">
        <v>4596</v>
      </c>
      <c r="D1144" s="16" t="n">
        <v>7</v>
      </c>
      <c r="E1144" s="37" t="s">
        <v>1588</v>
      </c>
      <c r="F1144" s="16" t="s">
        <v>1285</v>
      </c>
      <c r="G1144" s="16" t="s">
        <v>322</v>
      </c>
      <c r="H1144" s="16" t="s">
        <v>4416</v>
      </c>
      <c r="I1144" s="16" t="s">
        <v>98</v>
      </c>
      <c r="J1144" s="16" t="s">
        <v>2985</v>
      </c>
      <c r="K1144" s="32" t="n">
        <v>1</v>
      </c>
      <c r="L1144" s="33" t="n">
        <v>46282</v>
      </c>
      <c r="M1144" s="33" t="n">
        <v>46282</v>
      </c>
      <c r="N1144" s="16" t="s">
        <v>4597</v>
      </c>
      <c r="O1144" s="16"/>
      <c r="P1144" s="16" t="str">
        <f aca="false">IF(AND(L1144&lt;=$D$2,M1144&gt;=$C$2),"Sí","")</f>
        <v/>
      </c>
      <c r="Q1144" s="18" t="str">
        <f aca="false">IF(COUNTIF(LOOKAHEAD!$A$5:$A$604,A1144)&gt;0,"En Lookahead",IF(P1144="Sí","INCORPORAR",""))</f>
        <v/>
      </c>
    </row>
    <row r="1145" customFormat="false" ht="15" hidden="false" customHeight="false" outlineLevel="0" collapsed="false">
      <c r="A1145" s="16" t="s">
        <v>4598</v>
      </c>
      <c r="B1145" s="16" t="n">
        <v>1140</v>
      </c>
      <c r="C1145" s="16" t="s">
        <v>4599</v>
      </c>
      <c r="D1145" s="16" t="n">
        <v>7</v>
      </c>
      <c r="E1145" s="37" t="s">
        <v>2995</v>
      </c>
      <c r="F1145" s="16" t="s">
        <v>1285</v>
      </c>
      <c r="G1145" s="16" t="s">
        <v>322</v>
      </c>
      <c r="H1145" s="16" t="s">
        <v>4416</v>
      </c>
      <c r="I1145" s="16" t="s">
        <v>98</v>
      </c>
      <c r="J1145" s="16" t="s">
        <v>2985</v>
      </c>
      <c r="K1145" s="32" t="n">
        <v>1</v>
      </c>
      <c r="L1145" s="33" t="n">
        <v>46281</v>
      </c>
      <c r="M1145" s="33" t="n">
        <v>46281</v>
      </c>
      <c r="N1145" s="16" t="s">
        <v>4518</v>
      </c>
      <c r="O1145" s="16"/>
      <c r="P1145" s="16" t="str">
        <f aca="false">IF(AND(L1145&lt;=$D$2,M1145&gt;=$C$2),"Sí","")</f>
        <v/>
      </c>
      <c r="Q1145" s="18" t="str">
        <f aca="false">IF(COUNTIF(LOOKAHEAD!$A$5:$A$604,A1145)&gt;0,"En Lookahead",IF(P1145="Sí","INCORPORAR",""))</f>
        <v/>
      </c>
    </row>
    <row r="1146" customFormat="false" ht="15" hidden="false" customHeight="false" outlineLevel="0" collapsed="false">
      <c r="A1146" s="16" t="s">
        <v>4600</v>
      </c>
      <c r="B1146" s="16" t="n">
        <v>1141</v>
      </c>
      <c r="C1146" s="16" t="s">
        <v>4601</v>
      </c>
      <c r="D1146" s="16" t="n">
        <v>7</v>
      </c>
      <c r="E1146" s="37" t="s">
        <v>1602</v>
      </c>
      <c r="F1146" s="16" t="s">
        <v>1285</v>
      </c>
      <c r="G1146" s="16" t="s">
        <v>322</v>
      </c>
      <c r="H1146" s="16" t="s">
        <v>4416</v>
      </c>
      <c r="I1146" s="16" t="s">
        <v>98</v>
      </c>
      <c r="J1146" s="16" t="s">
        <v>2985</v>
      </c>
      <c r="K1146" s="32" t="n">
        <v>1</v>
      </c>
      <c r="L1146" s="33" t="n">
        <v>46284</v>
      </c>
      <c r="M1146" s="33" t="n">
        <v>46284</v>
      </c>
      <c r="N1146" s="16" t="s">
        <v>4602</v>
      </c>
      <c r="O1146" s="16"/>
      <c r="P1146" s="16" t="str">
        <f aca="false">IF(AND(L1146&lt;=$D$2,M1146&gt;=$C$2),"Sí","")</f>
        <v/>
      </c>
      <c r="Q1146" s="18" t="str">
        <f aca="false">IF(COUNTIF(LOOKAHEAD!$A$5:$A$604,A1146)&gt;0,"En Lookahead",IF(P1146="Sí","INCORPORAR",""))</f>
        <v/>
      </c>
    </row>
    <row r="1147" customFormat="false" ht="15" hidden="false" customHeight="false" outlineLevel="0" collapsed="false">
      <c r="A1147" s="13" t="s">
        <v>4603</v>
      </c>
      <c r="B1147" s="13" t="n">
        <v>1142</v>
      </c>
      <c r="C1147" s="13" t="s">
        <v>4604</v>
      </c>
      <c r="D1147" s="13" t="n">
        <v>6</v>
      </c>
      <c r="E1147" s="36" t="s">
        <v>2137</v>
      </c>
      <c r="F1147" s="13" t="s">
        <v>1298</v>
      </c>
      <c r="G1147" s="13" t="s">
        <v>322</v>
      </c>
      <c r="H1147" s="13" t="s">
        <v>4416</v>
      </c>
      <c r="I1147" s="13" t="s">
        <v>98</v>
      </c>
      <c r="J1147" s="13" t="s">
        <v>1623</v>
      </c>
      <c r="K1147" s="30" t="n">
        <v>1</v>
      </c>
      <c r="L1147" s="31" t="n">
        <v>46282</v>
      </c>
      <c r="M1147" s="31" t="n">
        <v>46282</v>
      </c>
      <c r="N1147" s="13"/>
      <c r="O1147" s="13"/>
      <c r="P1147" s="13"/>
      <c r="Q1147" s="13"/>
    </row>
    <row r="1148" customFormat="false" ht="15" hidden="false" customHeight="false" outlineLevel="0" collapsed="false">
      <c r="A1148" s="16" t="s">
        <v>4605</v>
      </c>
      <c r="B1148" s="16" t="n">
        <v>1143</v>
      </c>
      <c r="C1148" s="16" t="s">
        <v>4606</v>
      </c>
      <c r="D1148" s="16" t="n">
        <v>7</v>
      </c>
      <c r="E1148" s="37" t="s">
        <v>2144</v>
      </c>
      <c r="F1148" s="16" t="s">
        <v>1285</v>
      </c>
      <c r="G1148" s="16" t="s">
        <v>322</v>
      </c>
      <c r="H1148" s="16" t="s">
        <v>4416</v>
      </c>
      <c r="I1148" s="16" t="s">
        <v>98</v>
      </c>
      <c r="J1148" s="16" t="s">
        <v>2137</v>
      </c>
      <c r="K1148" s="32" t="n">
        <v>1</v>
      </c>
      <c r="L1148" s="33" t="n">
        <v>46282</v>
      </c>
      <c r="M1148" s="33" t="n">
        <v>46282</v>
      </c>
      <c r="N1148" s="16" t="s">
        <v>4607</v>
      </c>
      <c r="O1148" s="16"/>
      <c r="P1148" s="16" t="str">
        <f aca="false">IF(AND(L1148&lt;=$D$2,M1148&gt;=$C$2),"Sí","")</f>
        <v/>
      </c>
      <c r="Q1148" s="18" t="str">
        <f aca="false">IF(COUNTIF(LOOKAHEAD!$A$5:$A$604,A1148)&gt;0,"En Lookahead",IF(P1148="Sí","INCORPORAR",""))</f>
        <v/>
      </c>
    </row>
    <row r="1149" customFormat="false" ht="15" hidden="false" customHeight="false" outlineLevel="0" collapsed="false">
      <c r="A1149" s="13" t="s">
        <v>4608</v>
      </c>
      <c r="B1149" s="13" t="n">
        <v>1144</v>
      </c>
      <c r="C1149" s="13" t="s">
        <v>4609</v>
      </c>
      <c r="D1149" s="13" t="n">
        <v>4</v>
      </c>
      <c r="E1149" s="20" t="s">
        <v>4610</v>
      </c>
      <c r="F1149" s="13" t="s">
        <v>1298</v>
      </c>
      <c r="G1149" s="13" t="s">
        <v>322</v>
      </c>
      <c r="H1149" s="13" t="s">
        <v>4610</v>
      </c>
      <c r="I1149" s="13" t="s">
        <v>104</v>
      </c>
      <c r="J1149" s="13" t="s">
        <v>1528</v>
      </c>
      <c r="K1149" s="30" t="n">
        <v>283</v>
      </c>
      <c r="L1149" s="31" t="n">
        <v>46133</v>
      </c>
      <c r="M1149" s="31" t="n">
        <v>46495</v>
      </c>
      <c r="N1149" s="13"/>
      <c r="O1149" s="13" t="s">
        <v>1299</v>
      </c>
      <c r="P1149" s="13"/>
      <c r="Q1149" s="13"/>
    </row>
    <row r="1150" customFormat="false" ht="15" hidden="false" customHeight="false" outlineLevel="0" collapsed="false">
      <c r="A1150" s="13" t="s">
        <v>4611</v>
      </c>
      <c r="B1150" s="13" t="n">
        <v>1145</v>
      </c>
      <c r="C1150" s="13" t="s">
        <v>4612</v>
      </c>
      <c r="D1150" s="13" t="n">
        <v>5</v>
      </c>
      <c r="E1150" s="34" t="s">
        <v>1534</v>
      </c>
      <c r="F1150" s="13" t="s">
        <v>1298</v>
      </c>
      <c r="G1150" s="13" t="s">
        <v>322</v>
      </c>
      <c r="H1150" s="13" t="s">
        <v>4610</v>
      </c>
      <c r="I1150" s="13" t="s">
        <v>104</v>
      </c>
      <c r="J1150" s="13" t="s">
        <v>4610</v>
      </c>
      <c r="K1150" s="30" t="n">
        <v>118</v>
      </c>
      <c r="L1150" s="31" t="n">
        <v>46133</v>
      </c>
      <c r="M1150" s="31" t="n">
        <v>46330</v>
      </c>
      <c r="N1150" s="13"/>
      <c r="O1150" s="13" t="s">
        <v>1299</v>
      </c>
      <c r="P1150" s="13"/>
      <c r="Q1150" s="13"/>
    </row>
    <row r="1151" customFormat="false" ht="15" hidden="false" customHeight="false" outlineLevel="0" collapsed="false">
      <c r="A1151" s="16" t="s">
        <v>4613</v>
      </c>
      <c r="B1151" s="16" t="n">
        <v>1146</v>
      </c>
      <c r="C1151" s="16" t="s">
        <v>4614</v>
      </c>
      <c r="D1151" s="16" t="n">
        <v>6</v>
      </c>
      <c r="E1151" s="35" t="s">
        <v>1537</v>
      </c>
      <c r="F1151" s="16" t="s">
        <v>1285</v>
      </c>
      <c r="G1151" s="16" t="s">
        <v>322</v>
      </c>
      <c r="H1151" s="16" t="s">
        <v>4610</v>
      </c>
      <c r="I1151" s="16" t="s">
        <v>104</v>
      </c>
      <c r="J1151" s="16" t="s">
        <v>1534</v>
      </c>
      <c r="K1151" s="32" t="n">
        <v>2</v>
      </c>
      <c r="L1151" s="33" t="n">
        <v>46133</v>
      </c>
      <c r="M1151" s="33" t="n">
        <v>46134</v>
      </c>
      <c r="N1151" s="16" t="s">
        <v>4615</v>
      </c>
      <c r="O1151" s="16" t="s">
        <v>1299</v>
      </c>
      <c r="P1151" s="16" t="str">
        <f aca="false">IF(AND(L1151&lt;=$D$2,M1151&gt;=$C$2),"Sí","")</f>
        <v/>
      </c>
      <c r="Q1151" s="18" t="str">
        <f aca="false">IF(COUNTIF(LOOKAHEAD!$A$5:$A$604,A1151)&gt;0,"En Lookahead",IF(P1151="Sí","INCORPORAR",""))</f>
        <v/>
      </c>
    </row>
    <row r="1152" customFormat="false" ht="15" hidden="false" customHeight="false" outlineLevel="0" collapsed="false">
      <c r="A1152" s="16" t="s">
        <v>4616</v>
      </c>
      <c r="B1152" s="16" t="n">
        <v>1147</v>
      </c>
      <c r="C1152" s="16" t="s">
        <v>4617</v>
      </c>
      <c r="D1152" s="16" t="n">
        <v>6</v>
      </c>
      <c r="E1152" s="35" t="s">
        <v>1541</v>
      </c>
      <c r="F1152" s="16" t="s">
        <v>1285</v>
      </c>
      <c r="G1152" s="16" t="s">
        <v>322</v>
      </c>
      <c r="H1152" s="16" t="s">
        <v>4610</v>
      </c>
      <c r="I1152" s="16" t="s">
        <v>104</v>
      </c>
      <c r="J1152" s="16" t="s">
        <v>1534</v>
      </c>
      <c r="K1152" s="32" t="n">
        <v>1</v>
      </c>
      <c r="L1152" s="33" t="n">
        <v>46135</v>
      </c>
      <c r="M1152" s="33" t="n">
        <v>46135</v>
      </c>
      <c r="N1152" s="16" t="s">
        <v>4618</v>
      </c>
      <c r="O1152" s="16"/>
      <c r="P1152" s="16" t="str">
        <f aca="false">IF(AND(L1152&lt;=$D$2,M1152&gt;=$C$2),"Sí","")</f>
        <v/>
      </c>
      <c r="Q1152" s="18" t="str">
        <f aca="false">IF(COUNTIF(LOOKAHEAD!$A$5:$A$604,A1152)&gt;0,"En Lookahead",IF(P1152="Sí","INCORPORAR",""))</f>
        <v/>
      </c>
    </row>
    <row r="1153" customFormat="false" ht="15" hidden="false" customHeight="false" outlineLevel="0" collapsed="false">
      <c r="A1153" s="16" t="s">
        <v>4619</v>
      </c>
      <c r="B1153" s="16" t="n">
        <v>1148</v>
      </c>
      <c r="C1153" s="16" t="s">
        <v>4620</v>
      </c>
      <c r="D1153" s="16" t="n">
        <v>6</v>
      </c>
      <c r="E1153" s="35" t="s">
        <v>1545</v>
      </c>
      <c r="F1153" s="16" t="s">
        <v>1285</v>
      </c>
      <c r="G1153" s="16" t="s">
        <v>322</v>
      </c>
      <c r="H1153" s="16" t="s">
        <v>4610</v>
      </c>
      <c r="I1153" s="16" t="s">
        <v>104</v>
      </c>
      <c r="J1153" s="16" t="s">
        <v>1534</v>
      </c>
      <c r="K1153" s="32" t="n">
        <v>1</v>
      </c>
      <c r="L1153" s="33" t="n">
        <v>46136</v>
      </c>
      <c r="M1153" s="33" t="n">
        <v>46136</v>
      </c>
      <c r="N1153" s="16" t="s">
        <v>4621</v>
      </c>
      <c r="O1153" s="16"/>
      <c r="P1153" s="16" t="str">
        <f aca="false">IF(AND(L1153&lt;=$D$2,M1153&gt;=$C$2),"Sí","")</f>
        <v/>
      </c>
      <c r="Q1153" s="18" t="str">
        <f aca="false">IF(COUNTIF(LOOKAHEAD!$A$5:$A$604,A1153)&gt;0,"En Lookahead",IF(P1153="Sí","INCORPORAR",""))</f>
        <v/>
      </c>
    </row>
    <row r="1154" customFormat="false" ht="15" hidden="false" customHeight="false" outlineLevel="0" collapsed="false">
      <c r="A1154" s="16" t="s">
        <v>4622</v>
      </c>
      <c r="B1154" s="16" t="n">
        <v>1149</v>
      </c>
      <c r="C1154" s="16" t="s">
        <v>4623</v>
      </c>
      <c r="D1154" s="16" t="n">
        <v>6</v>
      </c>
      <c r="E1154" s="35" t="s">
        <v>1549</v>
      </c>
      <c r="F1154" s="16" t="s">
        <v>1285</v>
      </c>
      <c r="G1154" s="16" t="s">
        <v>322</v>
      </c>
      <c r="H1154" s="16" t="s">
        <v>4610</v>
      </c>
      <c r="I1154" s="16" t="s">
        <v>104</v>
      </c>
      <c r="J1154" s="16" t="s">
        <v>1534</v>
      </c>
      <c r="K1154" s="32" t="n">
        <v>1</v>
      </c>
      <c r="L1154" s="33" t="n">
        <v>46137</v>
      </c>
      <c r="M1154" s="33" t="n">
        <v>46137</v>
      </c>
      <c r="N1154" s="16" t="s">
        <v>4624</v>
      </c>
      <c r="O1154" s="16"/>
      <c r="P1154" s="16" t="str">
        <f aca="false">IF(AND(L1154&lt;=$D$2,M1154&gt;=$C$2),"Sí","")</f>
        <v/>
      </c>
      <c r="Q1154" s="18" t="str">
        <f aca="false">IF(COUNTIF(LOOKAHEAD!$A$5:$A$604,A1154)&gt;0,"En Lookahead",IF(P1154="Sí","INCORPORAR",""))</f>
        <v/>
      </c>
    </row>
    <row r="1155" customFormat="false" ht="15" hidden="false" customHeight="false" outlineLevel="0" collapsed="false">
      <c r="A1155" s="16" t="s">
        <v>4625</v>
      </c>
      <c r="B1155" s="16" t="n">
        <v>1150</v>
      </c>
      <c r="C1155" s="16" t="s">
        <v>4626</v>
      </c>
      <c r="D1155" s="16" t="n">
        <v>6</v>
      </c>
      <c r="E1155" s="35" t="s">
        <v>1553</v>
      </c>
      <c r="F1155" s="16" t="s">
        <v>1285</v>
      </c>
      <c r="G1155" s="16" t="s">
        <v>322</v>
      </c>
      <c r="H1155" s="16" t="s">
        <v>4610</v>
      </c>
      <c r="I1155" s="16" t="s">
        <v>104</v>
      </c>
      <c r="J1155" s="16" t="s">
        <v>1534</v>
      </c>
      <c r="K1155" s="32" t="n">
        <v>10</v>
      </c>
      <c r="L1155" s="33" t="n">
        <v>46316</v>
      </c>
      <c r="M1155" s="33" t="n">
        <v>46325</v>
      </c>
      <c r="N1155" s="16" t="s">
        <v>4627</v>
      </c>
      <c r="O1155" s="16"/>
      <c r="P1155" s="16" t="str">
        <f aca="false">IF(AND(L1155&lt;=$D$2,M1155&gt;=$C$2),"Sí","")</f>
        <v>Sí</v>
      </c>
      <c r="Q1155" s="18" t="str">
        <f aca="false">IF(COUNTIF(LOOKAHEAD!$A$5:$A$604,A1155)&gt;0,"En Lookahead",IF(P1155="Sí","INCORPORAR",""))</f>
        <v>En Lookahead</v>
      </c>
    </row>
    <row r="1156" customFormat="false" ht="15" hidden="false" customHeight="false" outlineLevel="0" collapsed="false">
      <c r="A1156" s="16" t="s">
        <v>4628</v>
      </c>
      <c r="B1156" s="16" t="n">
        <v>1151</v>
      </c>
      <c r="C1156" s="16" t="s">
        <v>4629</v>
      </c>
      <c r="D1156" s="16" t="n">
        <v>6</v>
      </c>
      <c r="E1156" s="35" t="s">
        <v>1557</v>
      </c>
      <c r="F1156" s="16" t="s">
        <v>1285</v>
      </c>
      <c r="G1156" s="16" t="s">
        <v>322</v>
      </c>
      <c r="H1156" s="16" t="s">
        <v>4610</v>
      </c>
      <c r="I1156" s="16" t="s">
        <v>104</v>
      </c>
      <c r="J1156" s="16" t="s">
        <v>1534</v>
      </c>
      <c r="K1156" s="32" t="n">
        <v>71</v>
      </c>
      <c r="L1156" s="33" t="n">
        <v>46137</v>
      </c>
      <c r="M1156" s="33" t="n">
        <v>46287</v>
      </c>
      <c r="N1156" s="16" t="s">
        <v>4624</v>
      </c>
      <c r="O1156" s="16"/>
      <c r="P1156" s="16" t="str">
        <f aca="false">IF(AND(L1156&lt;=$D$2,M1156&gt;=$C$2),"Sí","")</f>
        <v/>
      </c>
      <c r="Q1156" s="18" t="str">
        <f aca="false">IF(COUNTIF(LOOKAHEAD!$A$5:$A$604,A1156)&gt;0,"En Lookahead",IF(P1156="Sí","INCORPORAR",""))</f>
        <v/>
      </c>
    </row>
    <row r="1157" customFormat="false" ht="15" hidden="false" customHeight="false" outlineLevel="0" collapsed="false">
      <c r="A1157" s="16" t="s">
        <v>4630</v>
      </c>
      <c r="B1157" s="16" t="n">
        <v>1152</v>
      </c>
      <c r="C1157" s="16" t="s">
        <v>4631</v>
      </c>
      <c r="D1157" s="16" t="n">
        <v>6</v>
      </c>
      <c r="E1157" s="35" t="s">
        <v>1560</v>
      </c>
      <c r="F1157" s="16" t="s">
        <v>1285</v>
      </c>
      <c r="G1157" s="16" t="s">
        <v>322</v>
      </c>
      <c r="H1157" s="16" t="s">
        <v>4610</v>
      </c>
      <c r="I1157" s="16" t="s">
        <v>104</v>
      </c>
      <c r="J1157" s="16" t="s">
        <v>1534</v>
      </c>
      <c r="K1157" s="32" t="n">
        <v>4</v>
      </c>
      <c r="L1157" s="33" t="n">
        <v>46288</v>
      </c>
      <c r="M1157" s="33" t="n">
        <v>46291</v>
      </c>
      <c r="N1157" s="16" t="s">
        <v>4632</v>
      </c>
      <c r="O1157" s="16"/>
      <c r="P1157" s="16" t="str">
        <f aca="false">IF(AND(L1157&lt;=$D$2,M1157&gt;=$C$2),"Sí","")</f>
        <v/>
      </c>
      <c r="Q1157" s="18" t="str">
        <f aca="false">IF(COUNTIF(LOOKAHEAD!$A$5:$A$604,A1157)&gt;0,"En Lookahead",IF(P1157="Sí","INCORPORAR",""))</f>
        <v/>
      </c>
    </row>
    <row r="1158" customFormat="false" ht="15" hidden="false" customHeight="false" outlineLevel="0" collapsed="false">
      <c r="A1158" s="16" t="s">
        <v>4633</v>
      </c>
      <c r="B1158" s="16" t="n">
        <v>1153</v>
      </c>
      <c r="C1158" s="16" t="s">
        <v>4634</v>
      </c>
      <c r="D1158" s="16" t="n">
        <v>6</v>
      </c>
      <c r="E1158" s="35" t="s">
        <v>1564</v>
      </c>
      <c r="F1158" s="16" t="s">
        <v>1285</v>
      </c>
      <c r="G1158" s="16" t="s">
        <v>322</v>
      </c>
      <c r="H1158" s="16" t="s">
        <v>4610</v>
      </c>
      <c r="I1158" s="16" t="s">
        <v>104</v>
      </c>
      <c r="J1158" s="16" t="s">
        <v>1534</v>
      </c>
      <c r="K1158" s="32" t="n">
        <v>5</v>
      </c>
      <c r="L1158" s="33" t="n">
        <v>46136</v>
      </c>
      <c r="M1158" s="33" t="n">
        <v>46140</v>
      </c>
      <c r="N1158" s="16" t="s">
        <v>4621</v>
      </c>
      <c r="O1158" s="16"/>
      <c r="P1158" s="16" t="str">
        <f aca="false">IF(AND(L1158&lt;=$D$2,M1158&gt;=$C$2),"Sí","")</f>
        <v/>
      </c>
      <c r="Q1158" s="18" t="str">
        <f aca="false">IF(COUNTIF(LOOKAHEAD!$A$5:$A$604,A1158)&gt;0,"En Lookahead",IF(P1158="Sí","INCORPORAR",""))</f>
        <v/>
      </c>
    </row>
    <row r="1159" customFormat="false" ht="15" hidden="false" customHeight="false" outlineLevel="0" collapsed="false">
      <c r="A1159" s="16" t="s">
        <v>4635</v>
      </c>
      <c r="B1159" s="16" t="n">
        <v>1154</v>
      </c>
      <c r="C1159" s="16" t="s">
        <v>4636</v>
      </c>
      <c r="D1159" s="16" t="n">
        <v>6</v>
      </c>
      <c r="E1159" s="35" t="s">
        <v>1567</v>
      </c>
      <c r="F1159" s="16" t="s">
        <v>1285</v>
      </c>
      <c r="G1159" s="16" t="s">
        <v>322</v>
      </c>
      <c r="H1159" s="16" t="s">
        <v>4610</v>
      </c>
      <c r="I1159" s="16" t="s">
        <v>104</v>
      </c>
      <c r="J1159" s="16" t="s">
        <v>1534</v>
      </c>
      <c r="K1159" s="32" t="n">
        <v>5</v>
      </c>
      <c r="L1159" s="33" t="n">
        <v>46326</v>
      </c>
      <c r="M1159" s="33" t="n">
        <v>46330</v>
      </c>
      <c r="N1159" s="16" t="s">
        <v>4637</v>
      </c>
      <c r="O1159" s="16"/>
      <c r="P1159" s="16" t="str">
        <f aca="false">IF(AND(L1159&lt;=$D$2,M1159&gt;=$C$2),"Sí","")</f>
        <v>Sí</v>
      </c>
      <c r="Q1159" s="18" t="str">
        <f aca="false">IF(COUNTIF(LOOKAHEAD!$A$5:$A$604,A1159)&gt;0,"En Lookahead",IF(P1159="Sí","INCORPORAR",""))</f>
        <v>En Lookahead</v>
      </c>
    </row>
    <row r="1160" customFormat="false" ht="15" hidden="false" customHeight="false" outlineLevel="0" collapsed="false">
      <c r="A1160" s="13" t="s">
        <v>4638</v>
      </c>
      <c r="B1160" s="13" t="n">
        <v>1155</v>
      </c>
      <c r="C1160" s="13" t="s">
        <v>4639</v>
      </c>
      <c r="D1160" s="13" t="n">
        <v>5</v>
      </c>
      <c r="E1160" s="34" t="s">
        <v>1571</v>
      </c>
      <c r="F1160" s="13" t="s">
        <v>1298</v>
      </c>
      <c r="G1160" s="13" t="s">
        <v>322</v>
      </c>
      <c r="H1160" s="13" t="s">
        <v>4610</v>
      </c>
      <c r="I1160" s="13" t="s">
        <v>104</v>
      </c>
      <c r="J1160" s="13" t="s">
        <v>4610</v>
      </c>
      <c r="K1160" s="30" t="n">
        <v>113</v>
      </c>
      <c r="L1160" s="31" t="n">
        <v>46136</v>
      </c>
      <c r="M1160" s="31" t="n">
        <v>46328</v>
      </c>
      <c r="N1160" s="13"/>
      <c r="O1160" s="13"/>
      <c r="P1160" s="13"/>
      <c r="Q1160" s="13"/>
    </row>
    <row r="1161" customFormat="false" ht="15" hidden="false" customHeight="false" outlineLevel="0" collapsed="false">
      <c r="A1161" s="13" t="s">
        <v>4640</v>
      </c>
      <c r="B1161" s="13" t="n">
        <v>1156</v>
      </c>
      <c r="C1161" s="13" t="s">
        <v>4641</v>
      </c>
      <c r="D1161" s="13" t="n">
        <v>6</v>
      </c>
      <c r="E1161" s="36" t="s">
        <v>1574</v>
      </c>
      <c r="F1161" s="13" t="s">
        <v>1298</v>
      </c>
      <c r="G1161" s="13" t="s">
        <v>322</v>
      </c>
      <c r="H1161" s="13" t="s">
        <v>4610</v>
      </c>
      <c r="I1161" s="13" t="s">
        <v>104</v>
      </c>
      <c r="J1161" s="13" t="s">
        <v>1571</v>
      </c>
      <c r="K1161" s="30" t="n">
        <v>1</v>
      </c>
      <c r="L1161" s="31" t="n">
        <v>46136</v>
      </c>
      <c r="M1161" s="31" t="n">
        <v>46136</v>
      </c>
      <c r="N1161" s="13"/>
      <c r="O1161" s="13"/>
      <c r="P1161" s="13"/>
      <c r="Q1161" s="13"/>
    </row>
    <row r="1162" customFormat="false" ht="15" hidden="false" customHeight="false" outlineLevel="0" collapsed="false">
      <c r="A1162" s="16" t="s">
        <v>4642</v>
      </c>
      <c r="B1162" s="16" t="n">
        <v>1157</v>
      </c>
      <c r="C1162" s="16" t="s">
        <v>4643</v>
      </c>
      <c r="D1162" s="16" t="n">
        <v>7</v>
      </c>
      <c r="E1162" s="37" t="s">
        <v>1577</v>
      </c>
      <c r="F1162" s="16" t="s">
        <v>1285</v>
      </c>
      <c r="G1162" s="16" t="s">
        <v>322</v>
      </c>
      <c r="H1162" s="16" t="s">
        <v>4610</v>
      </c>
      <c r="I1162" s="16" t="s">
        <v>104</v>
      </c>
      <c r="J1162" s="16" t="s">
        <v>1574</v>
      </c>
      <c r="K1162" s="32" t="n">
        <v>1</v>
      </c>
      <c r="L1162" s="33" t="n">
        <v>46136</v>
      </c>
      <c r="M1162" s="33" t="n">
        <v>46136</v>
      </c>
      <c r="N1162" s="16" t="s">
        <v>4621</v>
      </c>
      <c r="O1162" s="16"/>
      <c r="P1162" s="16" t="str">
        <f aca="false">IF(AND(L1162&lt;=$D$2,M1162&gt;=$C$2),"Sí","")</f>
        <v/>
      </c>
      <c r="Q1162" s="18" t="str">
        <f aca="false">IF(COUNTIF(LOOKAHEAD!$A$5:$A$604,A1162)&gt;0,"En Lookahead",IF(P1162="Sí","INCORPORAR",""))</f>
        <v/>
      </c>
    </row>
    <row r="1163" customFormat="false" ht="15" hidden="false" customHeight="false" outlineLevel="0" collapsed="false">
      <c r="A1163" s="13" t="s">
        <v>4644</v>
      </c>
      <c r="B1163" s="13" t="n">
        <v>1158</v>
      </c>
      <c r="C1163" s="13" t="s">
        <v>4645</v>
      </c>
      <c r="D1163" s="13" t="n">
        <v>6</v>
      </c>
      <c r="E1163" s="36" t="s">
        <v>1581</v>
      </c>
      <c r="F1163" s="13" t="s">
        <v>1298</v>
      </c>
      <c r="G1163" s="13" t="s">
        <v>322</v>
      </c>
      <c r="H1163" s="13" t="s">
        <v>4610</v>
      </c>
      <c r="I1163" s="13" t="s">
        <v>104</v>
      </c>
      <c r="J1163" s="13" t="s">
        <v>1571</v>
      </c>
      <c r="K1163" s="30" t="n">
        <v>5</v>
      </c>
      <c r="L1163" s="31" t="n">
        <v>46137</v>
      </c>
      <c r="M1163" s="31" t="n">
        <v>46141</v>
      </c>
      <c r="N1163" s="13"/>
      <c r="O1163" s="13"/>
      <c r="P1163" s="13"/>
      <c r="Q1163" s="13"/>
    </row>
    <row r="1164" customFormat="false" ht="15" hidden="false" customHeight="false" outlineLevel="0" collapsed="false">
      <c r="A1164" s="16" t="s">
        <v>4646</v>
      </c>
      <c r="B1164" s="16" t="n">
        <v>1159</v>
      </c>
      <c r="C1164" s="16" t="s">
        <v>4647</v>
      </c>
      <c r="D1164" s="16" t="n">
        <v>7</v>
      </c>
      <c r="E1164" s="37" t="s">
        <v>1584</v>
      </c>
      <c r="F1164" s="16" t="s">
        <v>1285</v>
      </c>
      <c r="G1164" s="16" t="s">
        <v>322</v>
      </c>
      <c r="H1164" s="16" t="s">
        <v>4610</v>
      </c>
      <c r="I1164" s="16" t="s">
        <v>104</v>
      </c>
      <c r="J1164" s="16" t="s">
        <v>1581</v>
      </c>
      <c r="K1164" s="32" t="n">
        <v>1</v>
      </c>
      <c r="L1164" s="33" t="n">
        <v>46141</v>
      </c>
      <c r="M1164" s="33" t="n">
        <v>46141</v>
      </c>
      <c r="N1164" s="16" t="s">
        <v>4648</v>
      </c>
      <c r="O1164" s="16"/>
      <c r="P1164" s="16" t="str">
        <f aca="false">IF(AND(L1164&lt;=$D$2,M1164&gt;=$C$2),"Sí","")</f>
        <v/>
      </c>
      <c r="Q1164" s="18" t="str">
        <f aca="false">IF(COUNTIF(LOOKAHEAD!$A$5:$A$604,A1164)&gt;0,"En Lookahead",IF(P1164="Sí","INCORPORAR",""))</f>
        <v/>
      </c>
    </row>
    <row r="1165" customFormat="false" ht="15" hidden="false" customHeight="false" outlineLevel="0" collapsed="false">
      <c r="A1165" s="16" t="s">
        <v>4649</v>
      </c>
      <c r="B1165" s="16" t="n">
        <v>1160</v>
      </c>
      <c r="C1165" s="16" t="s">
        <v>4650</v>
      </c>
      <c r="D1165" s="16" t="n">
        <v>7</v>
      </c>
      <c r="E1165" s="37" t="s">
        <v>1588</v>
      </c>
      <c r="F1165" s="16" t="s">
        <v>1285</v>
      </c>
      <c r="G1165" s="16" t="s">
        <v>322</v>
      </c>
      <c r="H1165" s="16" t="s">
        <v>4610</v>
      </c>
      <c r="I1165" s="16" t="s">
        <v>104</v>
      </c>
      <c r="J1165" s="16" t="s">
        <v>1581</v>
      </c>
      <c r="K1165" s="32" t="n">
        <v>4</v>
      </c>
      <c r="L1165" s="33" t="n">
        <v>46137</v>
      </c>
      <c r="M1165" s="33" t="n">
        <v>46140</v>
      </c>
      <c r="N1165" s="16" t="s">
        <v>4651</v>
      </c>
      <c r="O1165" s="16"/>
      <c r="P1165" s="16" t="str">
        <f aca="false">IF(AND(L1165&lt;=$D$2,M1165&gt;=$C$2),"Sí","")</f>
        <v/>
      </c>
      <c r="Q1165" s="18" t="str">
        <f aca="false">IF(COUNTIF(LOOKAHEAD!$A$5:$A$604,A1165)&gt;0,"En Lookahead",IF(P1165="Sí","INCORPORAR",""))</f>
        <v/>
      </c>
    </row>
    <row r="1166" customFormat="false" ht="15" hidden="false" customHeight="false" outlineLevel="0" collapsed="false">
      <c r="A1166" s="13" t="s">
        <v>4652</v>
      </c>
      <c r="B1166" s="13" t="n">
        <v>1161</v>
      </c>
      <c r="C1166" s="13" t="s">
        <v>4653</v>
      </c>
      <c r="D1166" s="13" t="n">
        <v>6</v>
      </c>
      <c r="E1166" s="36" t="s">
        <v>1592</v>
      </c>
      <c r="F1166" s="13" t="s">
        <v>1298</v>
      </c>
      <c r="G1166" s="13" t="s">
        <v>322</v>
      </c>
      <c r="H1166" s="13" t="s">
        <v>4610</v>
      </c>
      <c r="I1166" s="13" t="s">
        <v>104</v>
      </c>
      <c r="J1166" s="13" t="s">
        <v>1571</v>
      </c>
      <c r="K1166" s="30" t="n">
        <v>96</v>
      </c>
      <c r="L1166" s="31" t="n">
        <v>46142</v>
      </c>
      <c r="M1166" s="31" t="n">
        <v>46317</v>
      </c>
      <c r="N1166" s="13"/>
      <c r="O1166" s="13"/>
      <c r="P1166" s="13"/>
      <c r="Q1166" s="13"/>
    </row>
    <row r="1167" customFormat="false" ht="15" hidden="false" customHeight="false" outlineLevel="0" collapsed="false">
      <c r="A1167" s="16" t="s">
        <v>4654</v>
      </c>
      <c r="B1167" s="16" t="n">
        <v>1162</v>
      </c>
      <c r="C1167" s="16" t="s">
        <v>4655</v>
      </c>
      <c r="D1167" s="16" t="n">
        <v>7</v>
      </c>
      <c r="E1167" s="37" t="s">
        <v>1595</v>
      </c>
      <c r="F1167" s="16" t="s">
        <v>1285</v>
      </c>
      <c r="G1167" s="16" t="s">
        <v>322</v>
      </c>
      <c r="H1167" s="16" t="s">
        <v>4610</v>
      </c>
      <c r="I1167" s="16" t="s">
        <v>104</v>
      </c>
      <c r="J1167" s="16" t="s">
        <v>1592</v>
      </c>
      <c r="K1167" s="32" t="n">
        <v>1</v>
      </c>
      <c r="L1167" s="33" t="n">
        <v>46315</v>
      </c>
      <c r="M1167" s="33" t="n">
        <v>46315</v>
      </c>
      <c r="N1167" s="16" t="s">
        <v>4656</v>
      </c>
      <c r="O1167" s="16"/>
      <c r="P1167" s="16" t="str">
        <f aca="false">IF(AND(L1167&lt;=$D$2,M1167&gt;=$C$2),"Sí","")</f>
        <v>Sí</v>
      </c>
      <c r="Q1167" s="18" t="str">
        <f aca="false">IF(COUNTIF(LOOKAHEAD!$A$5:$A$604,A1167)&gt;0,"En Lookahead",IF(P1167="Sí","INCORPORAR",""))</f>
        <v>En Lookahead</v>
      </c>
    </row>
    <row r="1168" customFormat="false" ht="15" hidden="false" customHeight="false" outlineLevel="0" collapsed="false">
      <c r="A1168" s="16" t="s">
        <v>4657</v>
      </c>
      <c r="B1168" s="16" t="n">
        <v>1163</v>
      </c>
      <c r="C1168" s="16" t="s">
        <v>4658</v>
      </c>
      <c r="D1168" s="16" t="n">
        <v>7</v>
      </c>
      <c r="E1168" s="37" t="s">
        <v>1588</v>
      </c>
      <c r="F1168" s="16" t="s">
        <v>1285</v>
      </c>
      <c r="G1168" s="16" t="s">
        <v>322</v>
      </c>
      <c r="H1168" s="16" t="s">
        <v>4610</v>
      </c>
      <c r="I1168" s="16" t="s">
        <v>104</v>
      </c>
      <c r="J1168" s="16" t="s">
        <v>1592</v>
      </c>
      <c r="K1168" s="32" t="n">
        <v>3</v>
      </c>
      <c r="L1168" s="33" t="n">
        <v>46142</v>
      </c>
      <c r="M1168" s="33" t="n">
        <v>46144</v>
      </c>
      <c r="N1168" s="16" t="s">
        <v>4659</v>
      </c>
      <c r="O1168" s="16"/>
      <c r="P1168" s="16" t="str">
        <f aca="false">IF(AND(L1168&lt;=$D$2,M1168&gt;=$C$2),"Sí","")</f>
        <v/>
      </c>
      <c r="Q1168" s="18" t="str">
        <f aca="false">IF(COUNTIF(LOOKAHEAD!$A$5:$A$604,A1168)&gt;0,"En Lookahead",IF(P1168="Sí","INCORPORAR",""))</f>
        <v/>
      </c>
    </row>
    <row r="1169" customFormat="false" ht="15" hidden="false" customHeight="false" outlineLevel="0" collapsed="false">
      <c r="A1169" s="16" t="s">
        <v>4660</v>
      </c>
      <c r="B1169" s="16" t="n">
        <v>1164</v>
      </c>
      <c r="C1169" s="16" t="s">
        <v>4661</v>
      </c>
      <c r="D1169" s="16" t="n">
        <v>7</v>
      </c>
      <c r="E1169" s="37" t="s">
        <v>1602</v>
      </c>
      <c r="F1169" s="16" t="s">
        <v>1285</v>
      </c>
      <c r="G1169" s="16" t="s">
        <v>322</v>
      </c>
      <c r="H1169" s="16" t="s">
        <v>4610</v>
      </c>
      <c r="I1169" s="16" t="s">
        <v>104</v>
      </c>
      <c r="J1169" s="16" t="s">
        <v>1592</v>
      </c>
      <c r="K1169" s="32" t="n">
        <v>2</v>
      </c>
      <c r="L1169" s="33" t="n">
        <v>46316</v>
      </c>
      <c r="M1169" s="33" t="n">
        <v>46317</v>
      </c>
      <c r="N1169" s="16" t="s">
        <v>4627</v>
      </c>
      <c r="O1169" s="16"/>
      <c r="P1169" s="16" t="str">
        <f aca="false">IF(AND(L1169&lt;=$D$2,M1169&gt;=$C$2),"Sí","")</f>
        <v>Sí</v>
      </c>
      <c r="Q1169" s="18" t="str">
        <f aca="false">IF(COUNTIF(LOOKAHEAD!$A$5:$A$604,A1169)&gt;0,"En Lookahead",IF(P1169="Sí","INCORPORAR",""))</f>
        <v>En Lookahead</v>
      </c>
    </row>
    <row r="1170" customFormat="false" ht="15" hidden="false" customHeight="false" outlineLevel="0" collapsed="false">
      <c r="A1170" s="13" t="s">
        <v>4662</v>
      </c>
      <c r="B1170" s="13" t="n">
        <v>1165</v>
      </c>
      <c r="C1170" s="13" t="s">
        <v>4663</v>
      </c>
      <c r="D1170" s="13" t="n">
        <v>6</v>
      </c>
      <c r="E1170" s="36" t="s">
        <v>1606</v>
      </c>
      <c r="F1170" s="13" t="s">
        <v>1298</v>
      </c>
      <c r="G1170" s="13" t="s">
        <v>322</v>
      </c>
      <c r="H1170" s="13" t="s">
        <v>4610</v>
      </c>
      <c r="I1170" s="13" t="s">
        <v>104</v>
      </c>
      <c r="J1170" s="13" t="s">
        <v>1571</v>
      </c>
      <c r="K1170" s="30" t="n">
        <v>13</v>
      </c>
      <c r="L1170" s="31" t="n">
        <v>46316</v>
      </c>
      <c r="M1170" s="31" t="n">
        <v>46328</v>
      </c>
      <c r="N1170" s="13"/>
      <c r="O1170" s="13"/>
      <c r="P1170" s="13"/>
      <c r="Q1170" s="13"/>
    </row>
    <row r="1171" customFormat="false" ht="15" hidden="false" customHeight="false" outlineLevel="0" collapsed="false">
      <c r="A1171" s="16" t="s">
        <v>4664</v>
      </c>
      <c r="B1171" s="16" t="n">
        <v>1166</v>
      </c>
      <c r="C1171" s="16" t="s">
        <v>4665</v>
      </c>
      <c r="D1171" s="16" t="n">
        <v>7</v>
      </c>
      <c r="E1171" s="37" t="s">
        <v>1609</v>
      </c>
      <c r="F1171" s="16" t="s">
        <v>1285</v>
      </c>
      <c r="G1171" s="16" t="s">
        <v>322</v>
      </c>
      <c r="H1171" s="16" t="s">
        <v>4610</v>
      </c>
      <c r="I1171" s="16" t="s">
        <v>104</v>
      </c>
      <c r="J1171" s="16" t="s">
        <v>1606</v>
      </c>
      <c r="K1171" s="32" t="n">
        <v>6</v>
      </c>
      <c r="L1171" s="33" t="n">
        <v>46323</v>
      </c>
      <c r="M1171" s="33" t="n">
        <v>46328</v>
      </c>
      <c r="N1171" s="16" t="s">
        <v>4666</v>
      </c>
      <c r="O1171" s="16"/>
      <c r="P1171" s="16" t="str">
        <f aca="false">IF(AND(L1171&lt;=$D$2,M1171&gt;=$C$2),"Sí","")</f>
        <v>Sí</v>
      </c>
      <c r="Q1171" s="18" t="str">
        <f aca="false">IF(COUNTIF(LOOKAHEAD!$A$5:$A$604,A1171)&gt;0,"En Lookahead",IF(P1171="Sí","INCORPORAR",""))</f>
        <v>En Lookahead</v>
      </c>
    </row>
    <row r="1172" customFormat="false" ht="15" hidden="false" customHeight="false" outlineLevel="0" collapsed="false">
      <c r="A1172" s="16" t="s">
        <v>4667</v>
      </c>
      <c r="B1172" s="16" t="n">
        <v>1167</v>
      </c>
      <c r="C1172" s="16" t="s">
        <v>4668</v>
      </c>
      <c r="D1172" s="16" t="n">
        <v>7</v>
      </c>
      <c r="E1172" s="37" t="s">
        <v>1588</v>
      </c>
      <c r="F1172" s="16" t="s">
        <v>1285</v>
      </c>
      <c r="G1172" s="16" t="s">
        <v>322</v>
      </c>
      <c r="H1172" s="16" t="s">
        <v>4610</v>
      </c>
      <c r="I1172" s="16" t="s">
        <v>104</v>
      </c>
      <c r="J1172" s="16" t="s">
        <v>1606</v>
      </c>
      <c r="K1172" s="32" t="n">
        <v>7</v>
      </c>
      <c r="L1172" s="33" t="n">
        <v>46316</v>
      </c>
      <c r="M1172" s="33" t="n">
        <v>46322</v>
      </c>
      <c r="N1172" s="16" t="s">
        <v>4627</v>
      </c>
      <c r="O1172" s="16"/>
      <c r="P1172" s="16" t="str">
        <f aca="false">IF(AND(L1172&lt;=$D$2,M1172&gt;=$C$2),"Sí","")</f>
        <v>Sí</v>
      </c>
      <c r="Q1172" s="18" t="str">
        <f aca="false">IF(COUNTIF(LOOKAHEAD!$A$5:$A$604,A1172)&gt;0,"En Lookahead",IF(P1172="Sí","INCORPORAR",""))</f>
        <v>En Lookahead</v>
      </c>
    </row>
    <row r="1173" customFormat="false" ht="15" hidden="false" customHeight="false" outlineLevel="0" collapsed="false">
      <c r="A1173" s="13" t="s">
        <v>4669</v>
      </c>
      <c r="B1173" s="13" t="n">
        <v>1168</v>
      </c>
      <c r="C1173" s="13" t="s">
        <v>4670</v>
      </c>
      <c r="D1173" s="13" t="n">
        <v>6</v>
      </c>
      <c r="E1173" s="36" t="s">
        <v>1616</v>
      </c>
      <c r="F1173" s="13" t="s">
        <v>1298</v>
      </c>
      <c r="G1173" s="13" t="s">
        <v>322</v>
      </c>
      <c r="H1173" s="13" t="s">
        <v>4610</v>
      </c>
      <c r="I1173" s="13" t="s">
        <v>104</v>
      </c>
      <c r="J1173" s="13" t="s">
        <v>1571</v>
      </c>
      <c r="K1173" s="30" t="n">
        <v>3</v>
      </c>
      <c r="L1173" s="31" t="n">
        <v>46316</v>
      </c>
      <c r="M1173" s="31" t="n">
        <v>46318</v>
      </c>
      <c r="N1173" s="13"/>
      <c r="O1173" s="13"/>
      <c r="P1173" s="13"/>
      <c r="Q1173" s="13"/>
    </row>
    <row r="1174" customFormat="false" ht="15" hidden="false" customHeight="false" outlineLevel="0" collapsed="false">
      <c r="A1174" s="16" t="s">
        <v>4671</v>
      </c>
      <c r="B1174" s="16" t="n">
        <v>1169</v>
      </c>
      <c r="C1174" s="16" t="s">
        <v>4672</v>
      </c>
      <c r="D1174" s="16" t="n">
        <v>7</v>
      </c>
      <c r="E1174" s="37" t="s">
        <v>1619</v>
      </c>
      <c r="F1174" s="16" t="s">
        <v>1285</v>
      </c>
      <c r="G1174" s="16" t="s">
        <v>322</v>
      </c>
      <c r="H1174" s="16" t="s">
        <v>4610</v>
      </c>
      <c r="I1174" s="16" t="s">
        <v>104</v>
      </c>
      <c r="J1174" s="16" t="s">
        <v>1616</v>
      </c>
      <c r="K1174" s="32" t="n">
        <v>3</v>
      </c>
      <c r="L1174" s="33" t="n">
        <v>46316</v>
      </c>
      <c r="M1174" s="33" t="n">
        <v>46318</v>
      </c>
      <c r="N1174" s="16" t="s">
        <v>4627</v>
      </c>
      <c r="O1174" s="16"/>
      <c r="P1174" s="16" t="str">
        <f aca="false">IF(AND(L1174&lt;=$D$2,M1174&gt;=$C$2),"Sí","")</f>
        <v>Sí</v>
      </c>
      <c r="Q1174" s="18" t="str">
        <f aca="false">IF(COUNTIF(LOOKAHEAD!$A$5:$A$604,A1174)&gt;0,"En Lookahead",IF(P1174="Sí","INCORPORAR",""))</f>
        <v>En Lookahead</v>
      </c>
    </row>
    <row r="1175" customFormat="false" ht="15" hidden="false" customHeight="false" outlineLevel="0" collapsed="false">
      <c r="A1175" s="13" t="s">
        <v>4673</v>
      </c>
      <c r="B1175" s="13" t="n">
        <v>1170</v>
      </c>
      <c r="C1175" s="13" t="s">
        <v>4674</v>
      </c>
      <c r="D1175" s="13" t="n">
        <v>5</v>
      </c>
      <c r="E1175" s="34" t="s">
        <v>1623</v>
      </c>
      <c r="F1175" s="13" t="s">
        <v>1298</v>
      </c>
      <c r="G1175" s="13" t="s">
        <v>322</v>
      </c>
      <c r="H1175" s="13" t="s">
        <v>4610</v>
      </c>
      <c r="I1175" s="13" t="s">
        <v>104</v>
      </c>
      <c r="J1175" s="13" t="s">
        <v>4610</v>
      </c>
      <c r="K1175" s="30" t="n">
        <v>164</v>
      </c>
      <c r="L1175" s="31" t="n">
        <v>46329</v>
      </c>
      <c r="M1175" s="31" t="n">
        <v>46492</v>
      </c>
      <c r="N1175" s="13"/>
      <c r="O1175" s="13"/>
      <c r="P1175" s="13"/>
      <c r="Q1175" s="13"/>
    </row>
    <row r="1176" customFormat="false" ht="15" hidden="false" customHeight="false" outlineLevel="0" collapsed="false">
      <c r="A1176" s="13" t="s">
        <v>4675</v>
      </c>
      <c r="B1176" s="13" t="n">
        <v>1171</v>
      </c>
      <c r="C1176" s="13" t="s">
        <v>4676</v>
      </c>
      <c r="D1176" s="13" t="n">
        <v>6</v>
      </c>
      <c r="E1176" s="36" t="s">
        <v>1626</v>
      </c>
      <c r="F1176" s="13" t="s">
        <v>1298</v>
      </c>
      <c r="G1176" s="13" t="s">
        <v>322</v>
      </c>
      <c r="H1176" s="13" t="s">
        <v>4610</v>
      </c>
      <c r="I1176" s="13" t="s">
        <v>104</v>
      </c>
      <c r="J1176" s="13" t="s">
        <v>1623</v>
      </c>
      <c r="K1176" s="30" t="n">
        <v>19</v>
      </c>
      <c r="L1176" s="31" t="n">
        <v>46329</v>
      </c>
      <c r="M1176" s="31" t="n">
        <v>46347</v>
      </c>
      <c r="N1176" s="13"/>
      <c r="O1176" s="13"/>
      <c r="P1176" s="13"/>
      <c r="Q1176" s="13"/>
    </row>
    <row r="1177" customFormat="false" ht="15" hidden="false" customHeight="false" outlineLevel="0" collapsed="false">
      <c r="A1177" s="16" t="s">
        <v>4677</v>
      </c>
      <c r="B1177" s="16" t="n">
        <v>1172</v>
      </c>
      <c r="C1177" s="16" t="s">
        <v>4678</v>
      </c>
      <c r="D1177" s="16" t="n">
        <v>7</v>
      </c>
      <c r="E1177" s="37" t="s">
        <v>1629</v>
      </c>
      <c r="F1177" s="16" t="s">
        <v>1285</v>
      </c>
      <c r="G1177" s="16" t="s">
        <v>322</v>
      </c>
      <c r="H1177" s="16" t="s">
        <v>4610</v>
      </c>
      <c r="I1177" s="16" t="s">
        <v>104</v>
      </c>
      <c r="J1177" s="16" t="s">
        <v>1626</v>
      </c>
      <c r="K1177" s="32" t="n">
        <v>2</v>
      </c>
      <c r="L1177" s="33" t="n">
        <v>46344</v>
      </c>
      <c r="M1177" s="33" t="n">
        <v>46345</v>
      </c>
      <c r="N1177" s="16" t="s">
        <v>4679</v>
      </c>
      <c r="O1177" s="16"/>
      <c r="P1177" s="16" t="str">
        <f aca="false">IF(AND(L1177&lt;=$D$2,M1177&gt;=$C$2),"Sí","")</f>
        <v/>
      </c>
      <c r="Q1177" s="18" t="str">
        <f aca="false">IF(COUNTIF(LOOKAHEAD!$A$5:$A$604,A1177)&gt;0,"En Lookahead",IF(P1177="Sí","INCORPORAR",""))</f>
        <v/>
      </c>
    </row>
    <row r="1178" customFormat="false" ht="15" hidden="false" customHeight="false" outlineLevel="0" collapsed="false">
      <c r="A1178" s="16" t="s">
        <v>4680</v>
      </c>
      <c r="B1178" s="16" t="n">
        <v>1173</v>
      </c>
      <c r="C1178" s="16" t="s">
        <v>4681</v>
      </c>
      <c r="D1178" s="16" t="n">
        <v>7</v>
      </c>
      <c r="E1178" s="37" t="s">
        <v>1633</v>
      </c>
      <c r="F1178" s="16" t="s">
        <v>1285</v>
      </c>
      <c r="G1178" s="16" t="s">
        <v>322</v>
      </c>
      <c r="H1178" s="16" t="s">
        <v>4610</v>
      </c>
      <c r="I1178" s="16" t="s">
        <v>104</v>
      </c>
      <c r="J1178" s="16" t="s">
        <v>1626</v>
      </c>
      <c r="K1178" s="32" t="n">
        <v>5</v>
      </c>
      <c r="L1178" s="33" t="n">
        <v>46339</v>
      </c>
      <c r="M1178" s="33" t="n">
        <v>46343</v>
      </c>
      <c r="N1178" s="16" t="s">
        <v>4682</v>
      </c>
      <c r="O1178" s="16"/>
      <c r="P1178" s="16" t="str">
        <f aca="false">IF(AND(L1178&lt;=$D$2,M1178&gt;=$C$2),"Sí","")</f>
        <v>Sí</v>
      </c>
      <c r="Q1178" s="18" t="str">
        <f aca="false">IF(COUNTIF(LOOKAHEAD!$A$5:$A$604,A1178)&gt;0,"En Lookahead",IF(P1178="Sí","INCORPORAR",""))</f>
        <v>En Lookahead</v>
      </c>
    </row>
    <row r="1179" customFormat="false" ht="15" hidden="false" customHeight="false" outlineLevel="0" collapsed="false">
      <c r="A1179" s="16" t="s">
        <v>4683</v>
      </c>
      <c r="B1179" s="16" t="n">
        <v>1174</v>
      </c>
      <c r="C1179" s="16" t="s">
        <v>4684</v>
      </c>
      <c r="D1179" s="16" t="n">
        <v>7</v>
      </c>
      <c r="E1179" s="37" t="s">
        <v>1637</v>
      </c>
      <c r="F1179" s="16" t="s">
        <v>1285</v>
      </c>
      <c r="G1179" s="16" t="s">
        <v>322</v>
      </c>
      <c r="H1179" s="16" t="s">
        <v>4610</v>
      </c>
      <c r="I1179" s="16" t="s">
        <v>104</v>
      </c>
      <c r="J1179" s="16" t="s">
        <v>1626</v>
      </c>
      <c r="K1179" s="32" t="n">
        <v>10</v>
      </c>
      <c r="L1179" s="33" t="n">
        <v>46329</v>
      </c>
      <c r="M1179" s="33" t="n">
        <v>46338</v>
      </c>
      <c r="N1179" s="16" t="s">
        <v>4685</v>
      </c>
      <c r="O1179" s="16"/>
      <c r="P1179" s="16" t="str">
        <f aca="false">IF(AND(L1179&lt;=$D$2,M1179&gt;=$C$2),"Sí","")</f>
        <v>Sí</v>
      </c>
      <c r="Q1179" s="18" t="str">
        <f aca="false">IF(COUNTIF(LOOKAHEAD!$A$5:$A$604,A1179)&gt;0,"En Lookahead",IF(P1179="Sí","INCORPORAR",""))</f>
        <v>En Lookahead</v>
      </c>
    </row>
    <row r="1180" customFormat="false" ht="15" hidden="false" customHeight="false" outlineLevel="0" collapsed="false">
      <c r="A1180" s="16" t="s">
        <v>4686</v>
      </c>
      <c r="B1180" s="16" t="n">
        <v>1175</v>
      </c>
      <c r="C1180" s="16" t="s">
        <v>4687</v>
      </c>
      <c r="D1180" s="16" t="n">
        <v>7</v>
      </c>
      <c r="E1180" s="37" t="s">
        <v>1602</v>
      </c>
      <c r="F1180" s="16" t="s">
        <v>1285</v>
      </c>
      <c r="G1180" s="16" t="s">
        <v>322</v>
      </c>
      <c r="H1180" s="16" t="s">
        <v>4610</v>
      </c>
      <c r="I1180" s="16" t="s">
        <v>104</v>
      </c>
      <c r="J1180" s="16" t="s">
        <v>1626</v>
      </c>
      <c r="K1180" s="32" t="n">
        <v>2</v>
      </c>
      <c r="L1180" s="33" t="n">
        <v>46346</v>
      </c>
      <c r="M1180" s="33" t="n">
        <v>46347</v>
      </c>
      <c r="N1180" s="16" t="s">
        <v>4688</v>
      </c>
      <c r="O1180" s="16"/>
      <c r="P1180" s="16" t="str">
        <f aca="false">IF(AND(L1180&lt;=$D$2,M1180&gt;=$C$2),"Sí","")</f>
        <v/>
      </c>
      <c r="Q1180" s="18" t="str">
        <f aca="false">IF(COUNTIF(LOOKAHEAD!$A$5:$A$604,A1180)&gt;0,"En Lookahead",IF(P1180="Sí","INCORPORAR",""))</f>
        <v/>
      </c>
    </row>
    <row r="1181" customFormat="false" ht="15" hidden="false" customHeight="false" outlineLevel="0" collapsed="false">
      <c r="A1181" s="13" t="s">
        <v>4689</v>
      </c>
      <c r="B1181" s="13" t="n">
        <v>1176</v>
      </c>
      <c r="C1181" s="13" t="s">
        <v>4690</v>
      </c>
      <c r="D1181" s="13" t="n">
        <v>6</v>
      </c>
      <c r="E1181" s="36" t="s">
        <v>1644</v>
      </c>
      <c r="F1181" s="13" t="s">
        <v>1298</v>
      </c>
      <c r="G1181" s="13" t="s">
        <v>322</v>
      </c>
      <c r="H1181" s="13" t="s">
        <v>4610</v>
      </c>
      <c r="I1181" s="13" t="s">
        <v>104</v>
      </c>
      <c r="J1181" s="13" t="s">
        <v>1623</v>
      </c>
      <c r="K1181" s="30" t="n">
        <v>15</v>
      </c>
      <c r="L1181" s="31" t="n">
        <v>46346</v>
      </c>
      <c r="M1181" s="31" t="n">
        <v>46360</v>
      </c>
      <c r="N1181" s="13"/>
      <c r="O1181" s="13"/>
      <c r="P1181" s="13"/>
      <c r="Q1181" s="13"/>
    </row>
    <row r="1182" customFormat="false" ht="15" hidden="false" customHeight="false" outlineLevel="0" collapsed="false">
      <c r="A1182" s="16" t="s">
        <v>4691</v>
      </c>
      <c r="B1182" s="16" t="n">
        <v>1177</v>
      </c>
      <c r="C1182" s="16" t="s">
        <v>4692</v>
      </c>
      <c r="D1182" s="16" t="n">
        <v>7</v>
      </c>
      <c r="E1182" s="37" t="s">
        <v>1647</v>
      </c>
      <c r="F1182" s="16" t="s">
        <v>1285</v>
      </c>
      <c r="G1182" s="16" t="s">
        <v>322</v>
      </c>
      <c r="H1182" s="16" t="s">
        <v>4610</v>
      </c>
      <c r="I1182" s="16" t="s">
        <v>104</v>
      </c>
      <c r="J1182" s="16" t="s">
        <v>1644</v>
      </c>
      <c r="K1182" s="32" t="n">
        <v>1</v>
      </c>
      <c r="L1182" s="33" t="n">
        <v>46358</v>
      </c>
      <c r="M1182" s="33" t="n">
        <v>46358</v>
      </c>
      <c r="N1182" s="16" t="s">
        <v>4693</v>
      </c>
      <c r="O1182" s="16"/>
      <c r="P1182" s="16" t="str">
        <f aca="false">IF(AND(L1182&lt;=$D$2,M1182&gt;=$C$2),"Sí","")</f>
        <v/>
      </c>
      <c r="Q1182" s="18" t="str">
        <f aca="false">IF(COUNTIF(LOOKAHEAD!$A$5:$A$604,A1182)&gt;0,"En Lookahead",IF(P1182="Sí","INCORPORAR",""))</f>
        <v/>
      </c>
    </row>
    <row r="1183" customFormat="false" ht="15" hidden="false" customHeight="false" outlineLevel="0" collapsed="false">
      <c r="A1183" s="16" t="s">
        <v>4694</v>
      </c>
      <c r="B1183" s="16" t="n">
        <v>1178</v>
      </c>
      <c r="C1183" s="16" t="s">
        <v>4695</v>
      </c>
      <c r="D1183" s="16" t="n">
        <v>7</v>
      </c>
      <c r="E1183" s="37" t="s">
        <v>1651</v>
      </c>
      <c r="F1183" s="16" t="s">
        <v>1285</v>
      </c>
      <c r="G1183" s="16" t="s">
        <v>322</v>
      </c>
      <c r="H1183" s="16" t="s">
        <v>4610</v>
      </c>
      <c r="I1183" s="16" t="s">
        <v>104</v>
      </c>
      <c r="J1183" s="16" t="s">
        <v>1644</v>
      </c>
      <c r="K1183" s="32" t="n">
        <v>6</v>
      </c>
      <c r="L1183" s="33" t="n">
        <v>46352</v>
      </c>
      <c r="M1183" s="33" t="n">
        <v>46357</v>
      </c>
      <c r="N1183" s="16" t="s">
        <v>4696</v>
      </c>
      <c r="O1183" s="16"/>
      <c r="P1183" s="16" t="str">
        <f aca="false">IF(AND(L1183&lt;=$D$2,M1183&gt;=$C$2),"Sí","")</f>
        <v/>
      </c>
      <c r="Q1183" s="18" t="str">
        <f aca="false">IF(COUNTIF(LOOKAHEAD!$A$5:$A$604,A1183)&gt;0,"En Lookahead",IF(P1183="Sí","INCORPORAR",""))</f>
        <v/>
      </c>
    </row>
    <row r="1184" customFormat="false" ht="15" hidden="false" customHeight="false" outlineLevel="0" collapsed="false">
      <c r="A1184" s="16" t="s">
        <v>4697</v>
      </c>
      <c r="B1184" s="16" t="n">
        <v>1179</v>
      </c>
      <c r="C1184" s="16" t="s">
        <v>4698</v>
      </c>
      <c r="D1184" s="16" t="n">
        <v>7</v>
      </c>
      <c r="E1184" s="37" t="s">
        <v>1637</v>
      </c>
      <c r="F1184" s="16" t="s">
        <v>1285</v>
      </c>
      <c r="G1184" s="16" t="s">
        <v>322</v>
      </c>
      <c r="H1184" s="16" t="s">
        <v>4610</v>
      </c>
      <c r="I1184" s="16" t="s">
        <v>104</v>
      </c>
      <c r="J1184" s="16" t="s">
        <v>1644</v>
      </c>
      <c r="K1184" s="32" t="n">
        <v>6</v>
      </c>
      <c r="L1184" s="33" t="n">
        <v>46346</v>
      </c>
      <c r="M1184" s="33" t="n">
        <v>46351</v>
      </c>
      <c r="N1184" s="16" t="s">
        <v>4688</v>
      </c>
      <c r="O1184" s="16"/>
      <c r="P1184" s="16" t="str">
        <f aca="false">IF(AND(L1184&lt;=$D$2,M1184&gt;=$C$2),"Sí","")</f>
        <v/>
      </c>
      <c r="Q1184" s="18" t="str">
        <f aca="false">IF(COUNTIF(LOOKAHEAD!$A$5:$A$604,A1184)&gt;0,"En Lookahead",IF(P1184="Sí","INCORPORAR",""))</f>
        <v/>
      </c>
    </row>
    <row r="1185" customFormat="false" ht="15" hidden="false" customHeight="false" outlineLevel="0" collapsed="false">
      <c r="A1185" s="16" t="s">
        <v>4699</v>
      </c>
      <c r="B1185" s="16" t="n">
        <v>1180</v>
      </c>
      <c r="C1185" s="16" t="s">
        <v>4700</v>
      </c>
      <c r="D1185" s="16" t="n">
        <v>7</v>
      </c>
      <c r="E1185" s="37" t="s">
        <v>1602</v>
      </c>
      <c r="F1185" s="16" t="s">
        <v>1285</v>
      </c>
      <c r="G1185" s="16" t="s">
        <v>322</v>
      </c>
      <c r="H1185" s="16" t="s">
        <v>4610</v>
      </c>
      <c r="I1185" s="16" t="s">
        <v>104</v>
      </c>
      <c r="J1185" s="16" t="s">
        <v>1644</v>
      </c>
      <c r="K1185" s="32" t="n">
        <v>2</v>
      </c>
      <c r="L1185" s="33" t="n">
        <v>46359</v>
      </c>
      <c r="M1185" s="33" t="n">
        <v>46360</v>
      </c>
      <c r="N1185" s="16" t="s">
        <v>4701</v>
      </c>
      <c r="O1185" s="16"/>
      <c r="P1185" s="16" t="str">
        <f aca="false">IF(AND(L1185&lt;=$D$2,M1185&gt;=$C$2),"Sí","")</f>
        <v/>
      </c>
      <c r="Q1185" s="18" t="str">
        <f aca="false">IF(COUNTIF(LOOKAHEAD!$A$5:$A$604,A1185)&gt;0,"En Lookahead",IF(P1185="Sí","INCORPORAR",""))</f>
        <v/>
      </c>
    </row>
    <row r="1186" customFormat="false" ht="15" hidden="false" customHeight="false" outlineLevel="0" collapsed="false">
      <c r="A1186" s="13" t="s">
        <v>4702</v>
      </c>
      <c r="B1186" s="13" t="n">
        <v>1181</v>
      </c>
      <c r="C1186" s="13" t="s">
        <v>4703</v>
      </c>
      <c r="D1186" s="13" t="n">
        <v>6</v>
      </c>
      <c r="E1186" s="36" t="s">
        <v>4704</v>
      </c>
      <c r="F1186" s="13" t="s">
        <v>1298</v>
      </c>
      <c r="G1186" s="13" t="s">
        <v>322</v>
      </c>
      <c r="H1186" s="13" t="s">
        <v>4610</v>
      </c>
      <c r="I1186" s="13" t="s">
        <v>104</v>
      </c>
      <c r="J1186" s="13" t="s">
        <v>1623</v>
      </c>
      <c r="K1186" s="30" t="n">
        <v>95</v>
      </c>
      <c r="L1186" s="31" t="n">
        <v>46346</v>
      </c>
      <c r="M1186" s="31" t="n">
        <v>46440</v>
      </c>
      <c r="N1186" s="13"/>
      <c r="O1186" s="13"/>
      <c r="P1186" s="13"/>
      <c r="Q1186" s="13"/>
    </row>
    <row r="1187" customFormat="false" ht="15" hidden="false" customHeight="false" outlineLevel="0" collapsed="false">
      <c r="A1187" s="13" t="s">
        <v>4705</v>
      </c>
      <c r="B1187" s="13" t="n">
        <v>1182</v>
      </c>
      <c r="C1187" s="13" t="s">
        <v>4706</v>
      </c>
      <c r="D1187" s="13" t="n">
        <v>7</v>
      </c>
      <c r="E1187" s="38" t="s">
        <v>4707</v>
      </c>
      <c r="F1187" s="13" t="s">
        <v>1298</v>
      </c>
      <c r="G1187" s="13" t="s">
        <v>322</v>
      </c>
      <c r="H1187" s="13" t="s">
        <v>4610</v>
      </c>
      <c r="I1187" s="13" t="s">
        <v>104</v>
      </c>
      <c r="J1187" s="13" t="s">
        <v>4704</v>
      </c>
      <c r="K1187" s="30" t="n">
        <v>95</v>
      </c>
      <c r="L1187" s="31" t="n">
        <v>46346</v>
      </c>
      <c r="M1187" s="31" t="n">
        <v>46440</v>
      </c>
      <c r="N1187" s="13"/>
      <c r="O1187" s="13"/>
      <c r="P1187" s="13"/>
      <c r="Q1187" s="13"/>
    </row>
    <row r="1188" customFormat="false" ht="15" hidden="false" customHeight="false" outlineLevel="0" collapsed="false">
      <c r="A1188" s="16" t="s">
        <v>4708</v>
      </c>
      <c r="B1188" s="16" t="n">
        <v>1183</v>
      </c>
      <c r="C1188" s="16" t="s">
        <v>4709</v>
      </c>
      <c r="D1188" s="16" t="n">
        <v>8</v>
      </c>
      <c r="E1188" s="39" t="s">
        <v>4127</v>
      </c>
      <c r="F1188" s="16" t="s">
        <v>1285</v>
      </c>
      <c r="G1188" s="16" t="s">
        <v>322</v>
      </c>
      <c r="H1188" s="16" t="s">
        <v>4610</v>
      </c>
      <c r="I1188" s="16" t="s">
        <v>104</v>
      </c>
      <c r="J1188" s="16" t="s">
        <v>4707</v>
      </c>
      <c r="K1188" s="32" t="n">
        <v>2</v>
      </c>
      <c r="L1188" s="33" t="n">
        <v>46431</v>
      </c>
      <c r="M1188" s="33" t="n">
        <v>46432</v>
      </c>
      <c r="N1188" s="16" t="s">
        <v>4710</v>
      </c>
      <c r="O1188" s="16"/>
      <c r="P1188" s="16" t="str">
        <f aca="false">IF(AND(L1188&lt;=$D$2,M1188&gt;=$C$2),"Sí","")</f>
        <v/>
      </c>
      <c r="Q1188" s="18" t="str">
        <f aca="false">IF(COUNTIF(LOOKAHEAD!$A$5:$A$604,A1188)&gt;0,"En Lookahead",IF(P1188="Sí","INCORPORAR",""))</f>
        <v/>
      </c>
    </row>
    <row r="1189" customFormat="false" ht="15" hidden="false" customHeight="false" outlineLevel="0" collapsed="false">
      <c r="A1189" s="16" t="s">
        <v>4711</v>
      </c>
      <c r="B1189" s="16" t="n">
        <v>1184</v>
      </c>
      <c r="C1189" s="16" t="s">
        <v>4712</v>
      </c>
      <c r="D1189" s="16" t="n">
        <v>8</v>
      </c>
      <c r="E1189" s="39" t="s">
        <v>4713</v>
      </c>
      <c r="F1189" s="16" t="s">
        <v>1285</v>
      </c>
      <c r="G1189" s="16" t="s">
        <v>322</v>
      </c>
      <c r="H1189" s="16" t="s">
        <v>4610</v>
      </c>
      <c r="I1189" s="16" t="s">
        <v>104</v>
      </c>
      <c r="J1189" s="16" t="s">
        <v>4707</v>
      </c>
      <c r="K1189" s="32" t="n">
        <v>67</v>
      </c>
      <c r="L1189" s="33" t="n">
        <v>46364</v>
      </c>
      <c r="M1189" s="33" t="n">
        <v>46430</v>
      </c>
      <c r="N1189" s="16" t="s">
        <v>4714</v>
      </c>
      <c r="O1189" s="16"/>
      <c r="P1189" s="16" t="str">
        <f aca="false">IF(AND(L1189&lt;=$D$2,M1189&gt;=$C$2),"Sí","")</f>
        <v/>
      </c>
      <c r="Q1189" s="18" t="str">
        <f aca="false">IF(COUNTIF(LOOKAHEAD!$A$5:$A$604,A1189)&gt;0,"En Lookahead",IF(P1189="Sí","INCORPORAR",""))</f>
        <v/>
      </c>
    </row>
    <row r="1190" customFormat="false" ht="15" hidden="false" customHeight="false" outlineLevel="0" collapsed="false">
      <c r="A1190" s="16" t="s">
        <v>4715</v>
      </c>
      <c r="B1190" s="16" t="n">
        <v>1185</v>
      </c>
      <c r="C1190" s="16" t="s">
        <v>4716</v>
      </c>
      <c r="D1190" s="16" t="n">
        <v>8</v>
      </c>
      <c r="E1190" s="39" t="s">
        <v>4164</v>
      </c>
      <c r="F1190" s="16" t="s">
        <v>1285</v>
      </c>
      <c r="G1190" s="16" t="s">
        <v>322</v>
      </c>
      <c r="H1190" s="16" t="s">
        <v>4610</v>
      </c>
      <c r="I1190" s="16" t="s">
        <v>104</v>
      </c>
      <c r="J1190" s="16" t="s">
        <v>4707</v>
      </c>
      <c r="K1190" s="32" t="n">
        <v>18</v>
      </c>
      <c r="L1190" s="33" t="n">
        <v>46346</v>
      </c>
      <c r="M1190" s="33" t="n">
        <v>46363</v>
      </c>
      <c r="N1190" s="16" t="s">
        <v>4688</v>
      </c>
      <c r="O1190" s="16"/>
      <c r="P1190" s="16" t="str">
        <f aca="false">IF(AND(L1190&lt;=$D$2,M1190&gt;=$C$2),"Sí","")</f>
        <v/>
      </c>
      <c r="Q1190" s="18" t="str">
        <f aca="false">IF(COUNTIF(LOOKAHEAD!$A$5:$A$604,A1190)&gt;0,"En Lookahead",IF(P1190="Sí","INCORPORAR",""))</f>
        <v/>
      </c>
    </row>
    <row r="1191" customFormat="false" ht="15" hidden="false" customHeight="false" outlineLevel="0" collapsed="false">
      <c r="A1191" s="16" t="s">
        <v>4717</v>
      </c>
      <c r="B1191" s="16" t="n">
        <v>1186</v>
      </c>
      <c r="C1191" s="16" t="s">
        <v>4718</v>
      </c>
      <c r="D1191" s="16" t="n">
        <v>8</v>
      </c>
      <c r="E1191" s="39" t="s">
        <v>1677</v>
      </c>
      <c r="F1191" s="16" t="s">
        <v>1285</v>
      </c>
      <c r="G1191" s="16" t="s">
        <v>322</v>
      </c>
      <c r="H1191" s="16" t="s">
        <v>4610</v>
      </c>
      <c r="I1191" s="16" t="s">
        <v>104</v>
      </c>
      <c r="J1191" s="16" t="s">
        <v>4707</v>
      </c>
      <c r="K1191" s="32" t="n">
        <v>8</v>
      </c>
      <c r="L1191" s="33" t="n">
        <v>46433</v>
      </c>
      <c r="M1191" s="33" t="n">
        <v>46440</v>
      </c>
      <c r="N1191" s="16" t="s">
        <v>4719</v>
      </c>
      <c r="O1191" s="16"/>
      <c r="P1191" s="16" t="str">
        <f aca="false">IF(AND(L1191&lt;=$D$2,M1191&gt;=$C$2),"Sí","")</f>
        <v/>
      </c>
      <c r="Q1191" s="18" t="str">
        <f aca="false">IF(COUNTIF(LOOKAHEAD!$A$5:$A$604,A1191)&gt;0,"En Lookahead",IF(P1191="Sí","INCORPORAR",""))</f>
        <v/>
      </c>
    </row>
    <row r="1192" customFormat="false" ht="15" hidden="false" customHeight="false" outlineLevel="0" collapsed="false">
      <c r="A1192" s="13" t="s">
        <v>4720</v>
      </c>
      <c r="B1192" s="13" t="n">
        <v>1187</v>
      </c>
      <c r="C1192" s="13" t="s">
        <v>4721</v>
      </c>
      <c r="D1192" s="13" t="n">
        <v>6</v>
      </c>
      <c r="E1192" s="36" t="s">
        <v>1660</v>
      </c>
      <c r="F1192" s="13" t="s">
        <v>1298</v>
      </c>
      <c r="G1192" s="13" t="s">
        <v>322</v>
      </c>
      <c r="H1192" s="13" t="s">
        <v>4610</v>
      </c>
      <c r="I1192" s="13" t="s">
        <v>104</v>
      </c>
      <c r="J1192" s="13" t="s">
        <v>1623</v>
      </c>
      <c r="K1192" s="30" t="n">
        <v>114</v>
      </c>
      <c r="L1192" s="31" t="n">
        <v>46346</v>
      </c>
      <c r="M1192" s="31" t="n">
        <v>46459</v>
      </c>
      <c r="N1192" s="13"/>
      <c r="O1192" s="13"/>
      <c r="P1192" s="13"/>
      <c r="Q1192" s="13"/>
    </row>
    <row r="1193" customFormat="false" ht="15" hidden="false" customHeight="false" outlineLevel="0" collapsed="false">
      <c r="A1193" s="13" t="s">
        <v>4722</v>
      </c>
      <c r="B1193" s="13" t="n">
        <v>1188</v>
      </c>
      <c r="C1193" s="13" t="s">
        <v>4723</v>
      </c>
      <c r="D1193" s="13" t="n">
        <v>7</v>
      </c>
      <c r="E1193" s="38" t="s">
        <v>4724</v>
      </c>
      <c r="F1193" s="13" t="s">
        <v>1298</v>
      </c>
      <c r="G1193" s="13" t="s">
        <v>322</v>
      </c>
      <c r="H1193" s="13" t="s">
        <v>4610</v>
      </c>
      <c r="I1193" s="13" t="s">
        <v>104</v>
      </c>
      <c r="J1193" s="13" t="s">
        <v>1660</v>
      </c>
      <c r="K1193" s="30" t="n">
        <v>19</v>
      </c>
      <c r="L1193" s="31" t="n">
        <v>46346</v>
      </c>
      <c r="M1193" s="31" t="n">
        <v>46364</v>
      </c>
      <c r="N1193" s="13"/>
      <c r="O1193" s="13"/>
      <c r="P1193" s="13"/>
      <c r="Q1193" s="13"/>
    </row>
    <row r="1194" customFormat="false" ht="15" hidden="false" customHeight="false" outlineLevel="0" collapsed="false">
      <c r="A1194" s="16" t="s">
        <v>4725</v>
      </c>
      <c r="B1194" s="16" t="n">
        <v>1189</v>
      </c>
      <c r="C1194" s="16" t="s">
        <v>4726</v>
      </c>
      <c r="D1194" s="16" t="n">
        <v>8</v>
      </c>
      <c r="E1194" s="39" t="s">
        <v>4727</v>
      </c>
      <c r="F1194" s="16" t="s">
        <v>1285</v>
      </c>
      <c r="G1194" s="16" t="s">
        <v>322</v>
      </c>
      <c r="H1194" s="16" t="s">
        <v>4610</v>
      </c>
      <c r="I1194" s="16" t="s">
        <v>104</v>
      </c>
      <c r="J1194" s="16" t="s">
        <v>4724</v>
      </c>
      <c r="K1194" s="32" t="n">
        <v>1</v>
      </c>
      <c r="L1194" s="33" t="n">
        <v>46362</v>
      </c>
      <c r="M1194" s="33" t="n">
        <v>46362</v>
      </c>
      <c r="N1194" s="16" t="s">
        <v>4728</v>
      </c>
      <c r="O1194" s="16"/>
      <c r="P1194" s="16" t="str">
        <f aca="false">IF(AND(L1194&lt;=$D$2,M1194&gt;=$C$2),"Sí","")</f>
        <v/>
      </c>
      <c r="Q1194" s="18" t="str">
        <f aca="false">IF(COUNTIF(LOOKAHEAD!$A$5:$A$604,A1194)&gt;0,"En Lookahead",IF(P1194="Sí","INCORPORAR",""))</f>
        <v/>
      </c>
    </row>
    <row r="1195" customFormat="false" ht="15" hidden="false" customHeight="false" outlineLevel="0" collapsed="false">
      <c r="A1195" s="16" t="s">
        <v>4729</v>
      </c>
      <c r="B1195" s="16" t="n">
        <v>1190</v>
      </c>
      <c r="C1195" s="16" t="s">
        <v>4730</v>
      </c>
      <c r="D1195" s="16" t="n">
        <v>8</v>
      </c>
      <c r="E1195" s="39" t="s">
        <v>4731</v>
      </c>
      <c r="F1195" s="16" t="s">
        <v>1285</v>
      </c>
      <c r="G1195" s="16" t="s">
        <v>322</v>
      </c>
      <c r="H1195" s="16" t="s">
        <v>4610</v>
      </c>
      <c r="I1195" s="16" t="s">
        <v>104</v>
      </c>
      <c r="J1195" s="16" t="s">
        <v>4724</v>
      </c>
      <c r="K1195" s="32" t="n">
        <v>7</v>
      </c>
      <c r="L1195" s="33" t="n">
        <v>46355</v>
      </c>
      <c r="M1195" s="33" t="n">
        <v>46361</v>
      </c>
      <c r="N1195" s="16" t="s">
        <v>4732</v>
      </c>
      <c r="O1195" s="16"/>
      <c r="P1195" s="16" t="str">
        <f aca="false">IF(AND(L1195&lt;=$D$2,M1195&gt;=$C$2),"Sí","")</f>
        <v/>
      </c>
      <c r="Q1195" s="18" t="str">
        <f aca="false">IF(COUNTIF(LOOKAHEAD!$A$5:$A$604,A1195)&gt;0,"En Lookahead",IF(P1195="Sí","INCORPORAR",""))</f>
        <v/>
      </c>
    </row>
    <row r="1196" customFormat="false" ht="15" hidden="false" customHeight="false" outlineLevel="0" collapsed="false">
      <c r="A1196" s="16" t="s">
        <v>4733</v>
      </c>
      <c r="B1196" s="16" t="n">
        <v>1191</v>
      </c>
      <c r="C1196" s="16" t="s">
        <v>4734</v>
      </c>
      <c r="D1196" s="16" t="n">
        <v>8</v>
      </c>
      <c r="E1196" s="39" t="s">
        <v>1674</v>
      </c>
      <c r="F1196" s="16" t="s">
        <v>1285</v>
      </c>
      <c r="G1196" s="16" t="s">
        <v>322</v>
      </c>
      <c r="H1196" s="16" t="s">
        <v>4610</v>
      </c>
      <c r="I1196" s="16" t="s">
        <v>104</v>
      </c>
      <c r="J1196" s="16" t="s">
        <v>4724</v>
      </c>
      <c r="K1196" s="32" t="n">
        <v>9</v>
      </c>
      <c r="L1196" s="33" t="n">
        <v>46346</v>
      </c>
      <c r="M1196" s="33" t="n">
        <v>46354</v>
      </c>
      <c r="N1196" s="16" t="s">
        <v>4688</v>
      </c>
      <c r="O1196" s="16"/>
      <c r="P1196" s="16" t="str">
        <f aca="false">IF(AND(L1196&lt;=$D$2,M1196&gt;=$C$2),"Sí","")</f>
        <v/>
      </c>
      <c r="Q1196" s="18" t="str">
        <f aca="false">IF(COUNTIF(LOOKAHEAD!$A$5:$A$604,A1196)&gt;0,"En Lookahead",IF(P1196="Sí","INCORPORAR",""))</f>
        <v/>
      </c>
    </row>
    <row r="1197" customFormat="false" ht="15" hidden="false" customHeight="false" outlineLevel="0" collapsed="false">
      <c r="A1197" s="16" t="s">
        <v>4735</v>
      </c>
      <c r="B1197" s="16" t="n">
        <v>1192</v>
      </c>
      <c r="C1197" s="16" t="s">
        <v>4736</v>
      </c>
      <c r="D1197" s="16" t="n">
        <v>8</v>
      </c>
      <c r="E1197" s="39" t="s">
        <v>1677</v>
      </c>
      <c r="F1197" s="16" t="s">
        <v>1285</v>
      </c>
      <c r="G1197" s="16" t="s">
        <v>322</v>
      </c>
      <c r="H1197" s="16" t="s">
        <v>4610</v>
      </c>
      <c r="I1197" s="16" t="s">
        <v>104</v>
      </c>
      <c r="J1197" s="16" t="s">
        <v>4724</v>
      </c>
      <c r="K1197" s="32" t="n">
        <v>2</v>
      </c>
      <c r="L1197" s="33" t="n">
        <v>46363</v>
      </c>
      <c r="M1197" s="33" t="n">
        <v>46364</v>
      </c>
      <c r="N1197" s="16" t="s">
        <v>4737</v>
      </c>
      <c r="O1197" s="16"/>
      <c r="P1197" s="16" t="str">
        <f aca="false">IF(AND(L1197&lt;=$D$2,M1197&gt;=$C$2),"Sí","")</f>
        <v/>
      </c>
      <c r="Q1197" s="18" t="str">
        <f aca="false">IF(COUNTIF(LOOKAHEAD!$A$5:$A$604,A1197)&gt;0,"En Lookahead",IF(P1197="Sí","INCORPORAR",""))</f>
        <v/>
      </c>
    </row>
    <row r="1198" customFormat="false" ht="15" hidden="false" customHeight="false" outlineLevel="0" collapsed="false">
      <c r="A1198" s="13" t="s">
        <v>4738</v>
      </c>
      <c r="B1198" s="13" t="n">
        <v>1193</v>
      </c>
      <c r="C1198" s="13" t="s">
        <v>4739</v>
      </c>
      <c r="D1198" s="13" t="n">
        <v>7</v>
      </c>
      <c r="E1198" s="38" t="s">
        <v>1663</v>
      </c>
      <c r="F1198" s="13" t="s">
        <v>1298</v>
      </c>
      <c r="G1198" s="13" t="s">
        <v>322</v>
      </c>
      <c r="H1198" s="13" t="s">
        <v>4610</v>
      </c>
      <c r="I1198" s="13" t="s">
        <v>104</v>
      </c>
      <c r="J1198" s="13" t="s">
        <v>1660</v>
      </c>
      <c r="K1198" s="30" t="n">
        <v>25</v>
      </c>
      <c r="L1198" s="31" t="n">
        <v>46380</v>
      </c>
      <c r="M1198" s="31" t="n">
        <v>46404</v>
      </c>
      <c r="N1198" s="13"/>
      <c r="O1198" s="13"/>
      <c r="P1198" s="13"/>
      <c r="Q1198" s="13"/>
    </row>
    <row r="1199" customFormat="false" ht="15" hidden="false" customHeight="false" outlineLevel="0" collapsed="false">
      <c r="A1199" s="16" t="s">
        <v>4740</v>
      </c>
      <c r="B1199" s="16" t="n">
        <v>1194</v>
      </c>
      <c r="C1199" s="16" t="s">
        <v>4741</v>
      </c>
      <c r="D1199" s="16" t="n">
        <v>8</v>
      </c>
      <c r="E1199" s="39" t="s">
        <v>1666</v>
      </c>
      <c r="F1199" s="16" t="s">
        <v>1285</v>
      </c>
      <c r="G1199" s="16" t="s">
        <v>322</v>
      </c>
      <c r="H1199" s="16" t="s">
        <v>4610</v>
      </c>
      <c r="I1199" s="16" t="s">
        <v>104</v>
      </c>
      <c r="J1199" s="16" t="s">
        <v>1663</v>
      </c>
      <c r="K1199" s="32" t="n">
        <v>1</v>
      </c>
      <c r="L1199" s="33" t="n">
        <v>46402</v>
      </c>
      <c r="M1199" s="33" t="n">
        <v>46402</v>
      </c>
      <c r="N1199" s="16" t="s">
        <v>4742</v>
      </c>
      <c r="O1199" s="16"/>
      <c r="P1199" s="16" t="str">
        <f aca="false">IF(AND(L1199&lt;=$D$2,M1199&gt;=$C$2),"Sí","")</f>
        <v/>
      </c>
      <c r="Q1199" s="18" t="str">
        <f aca="false">IF(COUNTIF(LOOKAHEAD!$A$5:$A$604,A1199)&gt;0,"En Lookahead",IF(P1199="Sí","INCORPORAR",""))</f>
        <v/>
      </c>
    </row>
    <row r="1200" customFormat="false" ht="15" hidden="false" customHeight="false" outlineLevel="0" collapsed="false">
      <c r="A1200" s="16" t="s">
        <v>4743</v>
      </c>
      <c r="B1200" s="16" t="n">
        <v>1195</v>
      </c>
      <c r="C1200" s="16" t="s">
        <v>4744</v>
      </c>
      <c r="D1200" s="16" t="n">
        <v>8</v>
      </c>
      <c r="E1200" s="39" t="s">
        <v>1670</v>
      </c>
      <c r="F1200" s="16" t="s">
        <v>1285</v>
      </c>
      <c r="G1200" s="16" t="s">
        <v>322</v>
      </c>
      <c r="H1200" s="16" t="s">
        <v>4610</v>
      </c>
      <c r="I1200" s="16" t="s">
        <v>104</v>
      </c>
      <c r="J1200" s="16" t="s">
        <v>1663</v>
      </c>
      <c r="K1200" s="32" t="n">
        <v>11</v>
      </c>
      <c r="L1200" s="33" t="n">
        <v>46391</v>
      </c>
      <c r="M1200" s="33" t="n">
        <v>46401</v>
      </c>
      <c r="N1200" s="16" t="s">
        <v>4745</v>
      </c>
      <c r="O1200" s="16"/>
      <c r="P1200" s="16" t="str">
        <f aca="false">IF(AND(L1200&lt;=$D$2,M1200&gt;=$C$2),"Sí","")</f>
        <v/>
      </c>
      <c r="Q1200" s="18" t="str">
        <f aca="false">IF(COUNTIF(LOOKAHEAD!$A$5:$A$604,A1200)&gt;0,"En Lookahead",IF(P1200="Sí","INCORPORAR",""))</f>
        <v/>
      </c>
    </row>
    <row r="1201" customFormat="false" ht="15" hidden="false" customHeight="false" outlineLevel="0" collapsed="false">
      <c r="A1201" s="16" t="s">
        <v>4746</v>
      </c>
      <c r="B1201" s="16" t="n">
        <v>1196</v>
      </c>
      <c r="C1201" s="16" t="s">
        <v>4747</v>
      </c>
      <c r="D1201" s="16" t="n">
        <v>8</v>
      </c>
      <c r="E1201" s="39" t="s">
        <v>1674</v>
      </c>
      <c r="F1201" s="16" t="s">
        <v>1285</v>
      </c>
      <c r="G1201" s="16" t="s">
        <v>322</v>
      </c>
      <c r="H1201" s="16" t="s">
        <v>4610</v>
      </c>
      <c r="I1201" s="16" t="s">
        <v>104</v>
      </c>
      <c r="J1201" s="16" t="s">
        <v>1663</v>
      </c>
      <c r="K1201" s="32" t="n">
        <v>11</v>
      </c>
      <c r="L1201" s="33" t="n">
        <v>46380</v>
      </c>
      <c r="M1201" s="33" t="n">
        <v>46390</v>
      </c>
      <c r="N1201" s="16" t="s">
        <v>4748</v>
      </c>
      <c r="O1201" s="16"/>
      <c r="P1201" s="16" t="str">
        <f aca="false">IF(AND(L1201&lt;=$D$2,M1201&gt;=$C$2),"Sí","")</f>
        <v/>
      </c>
      <c r="Q1201" s="18" t="str">
        <f aca="false">IF(COUNTIF(LOOKAHEAD!$A$5:$A$604,A1201)&gt;0,"En Lookahead",IF(P1201="Sí","INCORPORAR",""))</f>
        <v/>
      </c>
    </row>
    <row r="1202" customFormat="false" ht="15" hidden="false" customHeight="false" outlineLevel="0" collapsed="false">
      <c r="A1202" s="16" t="s">
        <v>4749</v>
      </c>
      <c r="B1202" s="16" t="n">
        <v>1197</v>
      </c>
      <c r="C1202" s="16" t="s">
        <v>4750</v>
      </c>
      <c r="D1202" s="16" t="n">
        <v>8</v>
      </c>
      <c r="E1202" s="39" t="s">
        <v>1677</v>
      </c>
      <c r="F1202" s="16" t="s">
        <v>1285</v>
      </c>
      <c r="G1202" s="16" t="s">
        <v>322</v>
      </c>
      <c r="H1202" s="16" t="s">
        <v>4610</v>
      </c>
      <c r="I1202" s="16" t="s">
        <v>104</v>
      </c>
      <c r="J1202" s="16" t="s">
        <v>1663</v>
      </c>
      <c r="K1202" s="32" t="n">
        <v>2</v>
      </c>
      <c r="L1202" s="33" t="n">
        <v>46403</v>
      </c>
      <c r="M1202" s="33" t="n">
        <v>46404</v>
      </c>
      <c r="N1202" s="16" t="s">
        <v>4751</v>
      </c>
      <c r="O1202" s="16"/>
      <c r="P1202" s="16" t="str">
        <f aca="false">IF(AND(L1202&lt;=$D$2,M1202&gt;=$C$2),"Sí","")</f>
        <v/>
      </c>
      <c r="Q1202" s="18" t="str">
        <f aca="false">IF(COUNTIF(LOOKAHEAD!$A$5:$A$604,A1202)&gt;0,"En Lookahead",IF(P1202="Sí","INCORPORAR",""))</f>
        <v/>
      </c>
    </row>
    <row r="1203" customFormat="false" ht="15" hidden="false" customHeight="false" outlineLevel="0" collapsed="false">
      <c r="A1203" s="13" t="s">
        <v>4752</v>
      </c>
      <c r="B1203" s="13" t="n">
        <v>1198</v>
      </c>
      <c r="C1203" s="13" t="s">
        <v>4753</v>
      </c>
      <c r="D1203" s="13" t="n">
        <v>7</v>
      </c>
      <c r="E1203" s="38" t="s">
        <v>1681</v>
      </c>
      <c r="F1203" s="13" t="s">
        <v>1298</v>
      </c>
      <c r="G1203" s="13" t="s">
        <v>322</v>
      </c>
      <c r="H1203" s="13" t="s">
        <v>4610</v>
      </c>
      <c r="I1203" s="13" t="s">
        <v>104</v>
      </c>
      <c r="J1203" s="13" t="s">
        <v>1660</v>
      </c>
      <c r="K1203" s="30" t="n">
        <v>23</v>
      </c>
      <c r="L1203" s="31" t="n">
        <v>46437</v>
      </c>
      <c r="M1203" s="31" t="n">
        <v>46459</v>
      </c>
      <c r="N1203" s="13"/>
      <c r="O1203" s="13"/>
      <c r="P1203" s="13"/>
      <c r="Q1203" s="13"/>
    </row>
    <row r="1204" customFormat="false" ht="15" hidden="false" customHeight="false" outlineLevel="0" collapsed="false">
      <c r="A1204" s="16" t="s">
        <v>4754</v>
      </c>
      <c r="B1204" s="16" t="n">
        <v>1199</v>
      </c>
      <c r="C1204" s="16" t="s">
        <v>4755</v>
      </c>
      <c r="D1204" s="16" t="n">
        <v>8</v>
      </c>
      <c r="E1204" s="39" t="s">
        <v>1684</v>
      </c>
      <c r="F1204" s="16" t="s">
        <v>1285</v>
      </c>
      <c r="G1204" s="16" t="s">
        <v>322</v>
      </c>
      <c r="H1204" s="16" t="s">
        <v>4610</v>
      </c>
      <c r="I1204" s="16" t="s">
        <v>104</v>
      </c>
      <c r="J1204" s="16" t="s">
        <v>1681</v>
      </c>
      <c r="K1204" s="32" t="n">
        <v>1</v>
      </c>
      <c r="L1204" s="33" t="n">
        <v>46457</v>
      </c>
      <c r="M1204" s="33" t="n">
        <v>46457</v>
      </c>
      <c r="N1204" s="16" t="s">
        <v>4756</v>
      </c>
      <c r="O1204" s="16"/>
      <c r="P1204" s="16" t="str">
        <f aca="false">IF(AND(L1204&lt;=$D$2,M1204&gt;=$C$2),"Sí","")</f>
        <v/>
      </c>
      <c r="Q1204" s="18" t="str">
        <f aca="false">IF(COUNTIF(LOOKAHEAD!$A$5:$A$604,A1204)&gt;0,"En Lookahead",IF(P1204="Sí","INCORPORAR",""))</f>
        <v/>
      </c>
    </row>
    <row r="1205" customFormat="false" ht="15" hidden="false" customHeight="false" outlineLevel="0" collapsed="false">
      <c r="A1205" s="16" t="s">
        <v>4757</v>
      </c>
      <c r="B1205" s="16" t="n">
        <v>1200</v>
      </c>
      <c r="C1205" s="16" t="s">
        <v>4758</v>
      </c>
      <c r="D1205" s="16" t="n">
        <v>8</v>
      </c>
      <c r="E1205" s="39" t="s">
        <v>1688</v>
      </c>
      <c r="F1205" s="16" t="s">
        <v>1285</v>
      </c>
      <c r="G1205" s="16" t="s">
        <v>322</v>
      </c>
      <c r="H1205" s="16" t="s">
        <v>4610</v>
      </c>
      <c r="I1205" s="16" t="s">
        <v>104</v>
      </c>
      <c r="J1205" s="16" t="s">
        <v>1681</v>
      </c>
      <c r="K1205" s="32" t="n">
        <v>10</v>
      </c>
      <c r="L1205" s="33" t="n">
        <v>46447</v>
      </c>
      <c r="M1205" s="33" t="n">
        <v>46456</v>
      </c>
      <c r="N1205" s="16" t="s">
        <v>4759</v>
      </c>
      <c r="O1205" s="16"/>
      <c r="P1205" s="16" t="str">
        <f aca="false">IF(AND(L1205&lt;=$D$2,M1205&gt;=$C$2),"Sí","")</f>
        <v/>
      </c>
      <c r="Q1205" s="18" t="str">
        <f aca="false">IF(COUNTIF(LOOKAHEAD!$A$5:$A$604,A1205)&gt;0,"En Lookahead",IF(P1205="Sí","INCORPORAR",""))</f>
        <v/>
      </c>
    </row>
    <row r="1206" customFormat="false" ht="15" hidden="false" customHeight="false" outlineLevel="0" collapsed="false">
      <c r="A1206" s="16" t="s">
        <v>4760</v>
      </c>
      <c r="B1206" s="16" t="n">
        <v>1201</v>
      </c>
      <c r="C1206" s="16" t="s">
        <v>4761</v>
      </c>
      <c r="D1206" s="16" t="n">
        <v>8</v>
      </c>
      <c r="E1206" s="39" t="s">
        <v>1674</v>
      </c>
      <c r="F1206" s="16" t="s">
        <v>1285</v>
      </c>
      <c r="G1206" s="16" t="s">
        <v>322</v>
      </c>
      <c r="H1206" s="16" t="s">
        <v>4610</v>
      </c>
      <c r="I1206" s="16" t="s">
        <v>104</v>
      </c>
      <c r="J1206" s="16" t="s">
        <v>1681</v>
      </c>
      <c r="K1206" s="32" t="n">
        <v>10</v>
      </c>
      <c r="L1206" s="33" t="n">
        <v>46437</v>
      </c>
      <c r="M1206" s="33" t="n">
        <v>46446</v>
      </c>
      <c r="N1206" s="16" t="s">
        <v>4762</v>
      </c>
      <c r="O1206" s="16"/>
      <c r="P1206" s="16" t="str">
        <f aca="false">IF(AND(L1206&lt;=$D$2,M1206&gt;=$C$2),"Sí","")</f>
        <v/>
      </c>
      <c r="Q1206" s="18" t="str">
        <f aca="false">IF(COUNTIF(LOOKAHEAD!$A$5:$A$604,A1206)&gt;0,"En Lookahead",IF(P1206="Sí","INCORPORAR",""))</f>
        <v/>
      </c>
    </row>
    <row r="1207" customFormat="false" ht="15" hidden="false" customHeight="false" outlineLevel="0" collapsed="false">
      <c r="A1207" s="16" t="s">
        <v>4763</v>
      </c>
      <c r="B1207" s="16" t="n">
        <v>1202</v>
      </c>
      <c r="C1207" s="16" t="s">
        <v>4764</v>
      </c>
      <c r="D1207" s="16" t="n">
        <v>8</v>
      </c>
      <c r="E1207" s="39" t="s">
        <v>1677</v>
      </c>
      <c r="F1207" s="16" t="s">
        <v>1285</v>
      </c>
      <c r="G1207" s="16" t="s">
        <v>322</v>
      </c>
      <c r="H1207" s="16" t="s">
        <v>4610</v>
      </c>
      <c r="I1207" s="16" t="s">
        <v>104</v>
      </c>
      <c r="J1207" s="16" t="s">
        <v>1681</v>
      </c>
      <c r="K1207" s="32" t="n">
        <v>2</v>
      </c>
      <c r="L1207" s="33" t="n">
        <v>46458</v>
      </c>
      <c r="M1207" s="33" t="n">
        <v>46459</v>
      </c>
      <c r="N1207" s="16" t="s">
        <v>4765</v>
      </c>
      <c r="O1207" s="16"/>
      <c r="P1207" s="16" t="str">
        <f aca="false">IF(AND(L1207&lt;=$D$2,M1207&gt;=$C$2),"Sí","")</f>
        <v/>
      </c>
      <c r="Q1207" s="18" t="str">
        <f aca="false">IF(COUNTIF(LOOKAHEAD!$A$5:$A$604,A1207)&gt;0,"En Lookahead",IF(P1207="Sí","INCORPORAR",""))</f>
        <v/>
      </c>
    </row>
    <row r="1208" customFormat="false" ht="15" hidden="false" customHeight="false" outlineLevel="0" collapsed="false">
      <c r="A1208" s="13" t="s">
        <v>4766</v>
      </c>
      <c r="B1208" s="13" t="n">
        <v>1203</v>
      </c>
      <c r="C1208" s="13" t="s">
        <v>4767</v>
      </c>
      <c r="D1208" s="13" t="n">
        <v>6</v>
      </c>
      <c r="E1208" s="36" t="s">
        <v>1731</v>
      </c>
      <c r="F1208" s="13" t="s">
        <v>1298</v>
      </c>
      <c r="G1208" s="13" t="s">
        <v>322</v>
      </c>
      <c r="H1208" s="13" t="s">
        <v>4610</v>
      </c>
      <c r="I1208" s="13" t="s">
        <v>104</v>
      </c>
      <c r="J1208" s="13" t="s">
        <v>1623</v>
      </c>
      <c r="K1208" s="30" t="n">
        <v>111</v>
      </c>
      <c r="L1208" s="31" t="n">
        <v>46346</v>
      </c>
      <c r="M1208" s="31" t="n">
        <v>46456</v>
      </c>
      <c r="N1208" s="13"/>
      <c r="O1208" s="13"/>
      <c r="P1208" s="13"/>
      <c r="Q1208" s="13"/>
    </row>
    <row r="1209" customFormat="false" ht="15" hidden="false" customHeight="false" outlineLevel="0" collapsed="false">
      <c r="A1209" s="13" t="s">
        <v>4768</v>
      </c>
      <c r="B1209" s="13" t="n">
        <v>1204</v>
      </c>
      <c r="C1209" s="13" t="s">
        <v>4769</v>
      </c>
      <c r="D1209" s="13" t="n">
        <v>7</v>
      </c>
      <c r="E1209" s="38" t="s">
        <v>4770</v>
      </c>
      <c r="F1209" s="13" t="s">
        <v>1298</v>
      </c>
      <c r="G1209" s="13" t="s">
        <v>322</v>
      </c>
      <c r="H1209" s="13" t="s">
        <v>4610</v>
      </c>
      <c r="I1209" s="13" t="s">
        <v>104</v>
      </c>
      <c r="J1209" s="13" t="s">
        <v>1731</v>
      </c>
      <c r="K1209" s="30" t="n">
        <v>13</v>
      </c>
      <c r="L1209" s="31" t="n">
        <v>46346</v>
      </c>
      <c r="M1209" s="31" t="n">
        <v>46358</v>
      </c>
      <c r="N1209" s="13"/>
      <c r="O1209" s="13"/>
      <c r="P1209" s="13"/>
      <c r="Q1209" s="13"/>
    </row>
    <row r="1210" customFormat="false" ht="15" hidden="false" customHeight="false" outlineLevel="0" collapsed="false">
      <c r="A1210" s="16" t="s">
        <v>4771</v>
      </c>
      <c r="B1210" s="16" t="n">
        <v>1205</v>
      </c>
      <c r="C1210" s="16" t="s">
        <v>4772</v>
      </c>
      <c r="D1210" s="16" t="n">
        <v>8</v>
      </c>
      <c r="E1210" s="39" t="s">
        <v>4773</v>
      </c>
      <c r="F1210" s="16" t="s">
        <v>1285</v>
      </c>
      <c r="G1210" s="16" t="s">
        <v>322</v>
      </c>
      <c r="H1210" s="16" t="s">
        <v>4610</v>
      </c>
      <c r="I1210" s="16" t="s">
        <v>104</v>
      </c>
      <c r="J1210" s="16" t="s">
        <v>4770</v>
      </c>
      <c r="K1210" s="32" t="n">
        <v>1</v>
      </c>
      <c r="L1210" s="33" t="n">
        <v>46357</v>
      </c>
      <c r="M1210" s="33" t="n">
        <v>46357</v>
      </c>
      <c r="N1210" s="16" t="s">
        <v>4774</v>
      </c>
      <c r="O1210" s="16"/>
      <c r="P1210" s="16" t="str">
        <f aca="false">IF(AND(L1210&lt;=$D$2,M1210&gt;=$C$2),"Sí","")</f>
        <v/>
      </c>
      <c r="Q1210" s="18" t="str">
        <f aca="false">IF(COUNTIF(LOOKAHEAD!$A$5:$A$604,A1210)&gt;0,"En Lookahead",IF(P1210="Sí","INCORPORAR",""))</f>
        <v/>
      </c>
    </row>
    <row r="1211" customFormat="false" ht="15" hidden="false" customHeight="false" outlineLevel="0" collapsed="false">
      <c r="A1211" s="16" t="s">
        <v>4775</v>
      </c>
      <c r="B1211" s="16" t="n">
        <v>1206</v>
      </c>
      <c r="C1211" s="16" t="s">
        <v>4776</v>
      </c>
      <c r="D1211" s="16" t="n">
        <v>8</v>
      </c>
      <c r="E1211" s="39" t="s">
        <v>4777</v>
      </c>
      <c r="F1211" s="16" t="s">
        <v>1285</v>
      </c>
      <c r="G1211" s="16" t="s">
        <v>322</v>
      </c>
      <c r="H1211" s="16" t="s">
        <v>4610</v>
      </c>
      <c r="I1211" s="16" t="s">
        <v>104</v>
      </c>
      <c r="J1211" s="16" t="s">
        <v>4770</v>
      </c>
      <c r="K1211" s="32" t="n">
        <v>7</v>
      </c>
      <c r="L1211" s="33" t="n">
        <v>46350</v>
      </c>
      <c r="M1211" s="33" t="n">
        <v>46356</v>
      </c>
      <c r="N1211" s="16" t="s">
        <v>4778</v>
      </c>
      <c r="O1211" s="16"/>
      <c r="P1211" s="16" t="str">
        <f aca="false">IF(AND(L1211&lt;=$D$2,M1211&gt;=$C$2),"Sí","")</f>
        <v/>
      </c>
      <c r="Q1211" s="18" t="str">
        <f aca="false">IF(COUNTIF(LOOKAHEAD!$A$5:$A$604,A1211)&gt;0,"En Lookahead",IF(P1211="Sí","INCORPORAR",""))</f>
        <v/>
      </c>
    </row>
    <row r="1212" customFormat="false" ht="15" hidden="false" customHeight="false" outlineLevel="0" collapsed="false">
      <c r="A1212" s="16" t="s">
        <v>4779</v>
      </c>
      <c r="B1212" s="16" t="n">
        <v>1207</v>
      </c>
      <c r="C1212" s="16" t="s">
        <v>4780</v>
      </c>
      <c r="D1212" s="16" t="n">
        <v>8</v>
      </c>
      <c r="E1212" s="39" t="s">
        <v>1745</v>
      </c>
      <c r="F1212" s="16" t="s">
        <v>1285</v>
      </c>
      <c r="G1212" s="16" t="s">
        <v>322</v>
      </c>
      <c r="H1212" s="16" t="s">
        <v>4610</v>
      </c>
      <c r="I1212" s="16" t="s">
        <v>104</v>
      </c>
      <c r="J1212" s="16" t="s">
        <v>4770</v>
      </c>
      <c r="K1212" s="32" t="n">
        <v>4</v>
      </c>
      <c r="L1212" s="33" t="n">
        <v>46346</v>
      </c>
      <c r="M1212" s="33" t="n">
        <v>46349</v>
      </c>
      <c r="N1212" s="16" t="s">
        <v>4781</v>
      </c>
      <c r="O1212" s="16"/>
      <c r="P1212" s="16" t="str">
        <f aca="false">IF(AND(L1212&lt;=$D$2,M1212&gt;=$C$2),"Sí","")</f>
        <v/>
      </c>
      <c r="Q1212" s="18" t="str">
        <f aca="false">IF(COUNTIF(LOOKAHEAD!$A$5:$A$604,A1212)&gt;0,"En Lookahead",IF(P1212="Sí","INCORPORAR",""))</f>
        <v/>
      </c>
    </row>
    <row r="1213" customFormat="false" ht="15" hidden="false" customHeight="false" outlineLevel="0" collapsed="false">
      <c r="A1213" s="16" t="s">
        <v>4782</v>
      </c>
      <c r="B1213" s="16" t="n">
        <v>1208</v>
      </c>
      <c r="C1213" s="16" t="s">
        <v>4783</v>
      </c>
      <c r="D1213" s="16" t="n">
        <v>8</v>
      </c>
      <c r="E1213" s="39" t="s">
        <v>1677</v>
      </c>
      <c r="F1213" s="16" t="s">
        <v>1285</v>
      </c>
      <c r="G1213" s="16" t="s">
        <v>322</v>
      </c>
      <c r="H1213" s="16" t="s">
        <v>4610</v>
      </c>
      <c r="I1213" s="16" t="s">
        <v>104</v>
      </c>
      <c r="J1213" s="16" t="s">
        <v>4770</v>
      </c>
      <c r="K1213" s="32" t="n">
        <v>1</v>
      </c>
      <c r="L1213" s="33" t="n">
        <v>46358</v>
      </c>
      <c r="M1213" s="33" t="n">
        <v>46358</v>
      </c>
      <c r="N1213" s="16" t="s">
        <v>4784</v>
      </c>
      <c r="O1213" s="16"/>
      <c r="P1213" s="16" t="str">
        <f aca="false">IF(AND(L1213&lt;=$D$2,M1213&gt;=$C$2),"Sí","")</f>
        <v/>
      </c>
      <c r="Q1213" s="18" t="str">
        <f aca="false">IF(COUNTIF(LOOKAHEAD!$A$5:$A$604,A1213)&gt;0,"En Lookahead",IF(P1213="Sí","INCORPORAR",""))</f>
        <v/>
      </c>
    </row>
    <row r="1214" customFormat="false" ht="15" hidden="false" customHeight="false" outlineLevel="0" collapsed="false">
      <c r="A1214" s="13" t="s">
        <v>4785</v>
      </c>
      <c r="B1214" s="13" t="n">
        <v>1209</v>
      </c>
      <c r="C1214" s="13" t="s">
        <v>4786</v>
      </c>
      <c r="D1214" s="13" t="n">
        <v>7</v>
      </c>
      <c r="E1214" s="38" t="s">
        <v>1734</v>
      </c>
      <c r="F1214" s="13" t="s">
        <v>1298</v>
      </c>
      <c r="G1214" s="13" t="s">
        <v>322</v>
      </c>
      <c r="H1214" s="13" t="s">
        <v>4610</v>
      </c>
      <c r="I1214" s="13" t="s">
        <v>104</v>
      </c>
      <c r="J1214" s="13" t="s">
        <v>1731</v>
      </c>
      <c r="K1214" s="30" t="n">
        <v>25</v>
      </c>
      <c r="L1214" s="31" t="n">
        <v>46380</v>
      </c>
      <c r="M1214" s="31" t="n">
        <v>46404</v>
      </c>
      <c r="N1214" s="13"/>
      <c r="O1214" s="13"/>
      <c r="P1214" s="13"/>
      <c r="Q1214" s="13"/>
    </row>
    <row r="1215" customFormat="false" ht="15" hidden="false" customHeight="false" outlineLevel="0" collapsed="false">
      <c r="A1215" s="16" t="s">
        <v>4787</v>
      </c>
      <c r="B1215" s="16" t="n">
        <v>1210</v>
      </c>
      <c r="C1215" s="16" t="s">
        <v>4788</v>
      </c>
      <c r="D1215" s="16" t="n">
        <v>8</v>
      </c>
      <c r="E1215" s="39" t="s">
        <v>1737</v>
      </c>
      <c r="F1215" s="16" t="s">
        <v>1285</v>
      </c>
      <c r="G1215" s="16" t="s">
        <v>322</v>
      </c>
      <c r="H1215" s="16" t="s">
        <v>4610</v>
      </c>
      <c r="I1215" s="16" t="s">
        <v>104</v>
      </c>
      <c r="J1215" s="16" t="s">
        <v>1734</v>
      </c>
      <c r="K1215" s="32" t="n">
        <v>1</v>
      </c>
      <c r="L1215" s="33" t="n">
        <v>46402</v>
      </c>
      <c r="M1215" s="33" t="n">
        <v>46402</v>
      </c>
      <c r="N1215" s="16" t="s">
        <v>4789</v>
      </c>
      <c r="O1215" s="16"/>
      <c r="P1215" s="16" t="str">
        <f aca="false">IF(AND(L1215&lt;=$D$2,M1215&gt;=$C$2),"Sí","")</f>
        <v/>
      </c>
      <c r="Q1215" s="18" t="str">
        <f aca="false">IF(COUNTIF(LOOKAHEAD!$A$5:$A$604,A1215)&gt;0,"En Lookahead",IF(P1215="Sí","INCORPORAR",""))</f>
        <v/>
      </c>
    </row>
    <row r="1216" customFormat="false" ht="15" hidden="false" customHeight="false" outlineLevel="0" collapsed="false">
      <c r="A1216" s="16" t="s">
        <v>4790</v>
      </c>
      <c r="B1216" s="16" t="n">
        <v>1211</v>
      </c>
      <c r="C1216" s="16" t="s">
        <v>4791</v>
      </c>
      <c r="D1216" s="16" t="n">
        <v>8</v>
      </c>
      <c r="E1216" s="39" t="s">
        <v>1741</v>
      </c>
      <c r="F1216" s="16" t="s">
        <v>1285</v>
      </c>
      <c r="G1216" s="16" t="s">
        <v>322</v>
      </c>
      <c r="H1216" s="16" t="s">
        <v>4610</v>
      </c>
      <c r="I1216" s="16" t="s">
        <v>104</v>
      </c>
      <c r="J1216" s="16" t="s">
        <v>1734</v>
      </c>
      <c r="K1216" s="32" t="n">
        <v>14</v>
      </c>
      <c r="L1216" s="33" t="n">
        <v>46388</v>
      </c>
      <c r="M1216" s="33" t="n">
        <v>46401</v>
      </c>
      <c r="N1216" s="16" t="s">
        <v>4792</v>
      </c>
      <c r="O1216" s="16"/>
      <c r="P1216" s="16" t="str">
        <f aca="false">IF(AND(L1216&lt;=$D$2,M1216&gt;=$C$2),"Sí","")</f>
        <v/>
      </c>
      <c r="Q1216" s="18" t="str">
        <f aca="false">IF(COUNTIF(LOOKAHEAD!$A$5:$A$604,A1216)&gt;0,"En Lookahead",IF(P1216="Sí","INCORPORAR",""))</f>
        <v/>
      </c>
    </row>
    <row r="1217" customFormat="false" ht="15" hidden="false" customHeight="false" outlineLevel="0" collapsed="false">
      <c r="A1217" s="16" t="s">
        <v>4793</v>
      </c>
      <c r="B1217" s="16" t="n">
        <v>1212</v>
      </c>
      <c r="C1217" s="16" t="s">
        <v>4794</v>
      </c>
      <c r="D1217" s="16" t="n">
        <v>8</v>
      </c>
      <c r="E1217" s="39" t="s">
        <v>1745</v>
      </c>
      <c r="F1217" s="16" t="s">
        <v>1285</v>
      </c>
      <c r="G1217" s="16" t="s">
        <v>322</v>
      </c>
      <c r="H1217" s="16" t="s">
        <v>4610</v>
      </c>
      <c r="I1217" s="16" t="s">
        <v>104</v>
      </c>
      <c r="J1217" s="16" t="s">
        <v>1734</v>
      </c>
      <c r="K1217" s="32" t="n">
        <v>8</v>
      </c>
      <c r="L1217" s="33" t="n">
        <v>46380</v>
      </c>
      <c r="M1217" s="33" t="n">
        <v>46387</v>
      </c>
      <c r="N1217" s="16" t="s">
        <v>4795</v>
      </c>
      <c r="O1217" s="16"/>
      <c r="P1217" s="16" t="str">
        <f aca="false">IF(AND(L1217&lt;=$D$2,M1217&gt;=$C$2),"Sí","")</f>
        <v/>
      </c>
      <c r="Q1217" s="18" t="str">
        <f aca="false">IF(COUNTIF(LOOKAHEAD!$A$5:$A$604,A1217)&gt;0,"En Lookahead",IF(P1217="Sí","INCORPORAR",""))</f>
        <v/>
      </c>
    </row>
    <row r="1218" customFormat="false" ht="15" hidden="false" customHeight="false" outlineLevel="0" collapsed="false">
      <c r="A1218" s="16" t="s">
        <v>4796</v>
      </c>
      <c r="B1218" s="16" t="n">
        <v>1213</v>
      </c>
      <c r="C1218" s="16" t="s">
        <v>4797</v>
      </c>
      <c r="D1218" s="16" t="n">
        <v>8</v>
      </c>
      <c r="E1218" s="39" t="s">
        <v>1677</v>
      </c>
      <c r="F1218" s="16" t="s">
        <v>1285</v>
      </c>
      <c r="G1218" s="16" t="s">
        <v>322</v>
      </c>
      <c r="H1218" s="16" t="s">
        <v>4610</v>
      </c>
      <c r="I1218" s="16" t="s">
        <v>104</v>
      </c>
      <c r="J1218" s="16" t="s">
        <v>1734</v>
      </c>
      <c r="K1218" s="32" t="n">
        <v>2</v>
      </c>
      <c r="L1218" s="33" t="n">
        <v>46403</v>
      </c>
      <c r="M1218" s="33" t="n">
        <v>46404</v>
      </c>
      <c r="N1218" s="16" t="s">
        <v>4798</v>
      </c>
      <c r="O1218" s="16"/>
      <c r="P1218" s="16" t="str">
        <f aca="false">IF(AND(L1218&lt;=$D$2,M1218&gt;=$C$2),"Sí","")</f>
        <v/>
      </c>
      <c r="Q1218" s="18" t="str">
        <f aca="false">IF(COUNTIF(LOOKAHEAD!$A$5:$A$604,A1218)&gt;0,"En Lookahead",IF(P1218="Sí","INCORPORAR",""))</f>
        <v/>
      </c>
    </row>
    <row r="1219" customFormat="false" ht="15" hidden="false" customHeight="false" outlineLevel="0" collapsed="false">
      <c r="A1219" s="13" t="s">
        <v>4799</v>
      </c>
      <c r="B1219" s="13" t="n">
        <v>1214</v>
      </c>
      <c r="C1219" s="13" t="s">
        <v>4800</v>
      </c>
      <c r="D1219" s="13" t="n">
        <v>7</v>
      </c>
      <c r="E1219" s="38" t="s">
        <v>1752</v>
      </c>
      <c r="F1219" s="13" t="s">
        <v>1298</v>
      </c>
      <c r="G1219" s="13" t="s">
        <v>322</v>
      </c>
      <c r="H1219" s="13" t="s">
        <v>4610</v>
      </c>
      <c r="I1219" s="13" t="s">
        <v>104</v>
      </c>
      <c r="J1219" s="13" t="s">
        <v>1731</v>
      </c>
      <c r="K1219" s="30" t="n">
        <v>20</v>
      </c>
      <c r="L1219" s="31" t="n">
        <v>46437</v>
      </c>
      <c r="M1219" s="31" t="n">
        <v>46456</v>
      </c>
      <c r="N1219" s="13"/>
      <c r="O1219" s="13"/>
      <c r="P1219" s="13"/>
      <c r="Q1219" s="13"/>
    </row>
    <row r="1220" customFormat="false" ht="15" hidden="false" customHeight="false" outlineLevel="0" collapsed="false">
      <c r="A1220" s="16" t="s">
        <v>4801</v>
      </c>
      <c r="B1220" s="16" t="n">
        <v>1215</v>
      </c>
      <c r="C1220" s="16" t="s">
        <v>4802</v>
      </c>
      <c r="D1220" s="16" t="n">
        <v>8</v>
      </c>
      <c r="E1220" s="39" t="s">
        <v>1755</v>
      </c>
      <c r="F1220" s="16" t="s">
        <v>1285</v>
      </c>
      <c r="G1220" s="16" t="s">
        <v>322</v>
      </c>
      <c r="H1220" s="16" t="s">
        <v>4610</v>
      </c>
      <c r="I1220" s="16" t="s">
        <v>104</v>
      </c>
      <c r="J1220" s="16" t="s">
        <v>1752</v>
      </c>
      <c r="K1220" s="32" t="n">
        <v>1</v>
      </c>
      <c r="L1220" s="33" t="n">
        <v>46454</v>
      </c>
      <c r="M1220" s="33" t="n">
        <v>46454</v>
      </c>
      <c r="N1220" s="16" t="s">
        <v>4803</v>
      </c>
      <c r="O1220" s="16"/>
      <c r="P1220" s="16" t="str">
        <f aca="false">IF(AND(L1220&lt;=$D$2,M1220&gt;=$C$2),"Sí","")</f>
        <v/>
      </c>
      <c r="Q1220" s="18" t="str">
        <f aca="false">IF(COUNTIF(LOOKAHEAD!$A$5:$A$604,A1220)&gt;0,"En Lookahead",IF(P1220="Sí","INCORPORAR",""))</f>
        <v/>
      </c>
    </row>
    <row r="1221" customFormat="false" ht="15" hidden="false" customHeight="false" outlineLevel="0" collapsed="false">
      <c r="A1221" s="16" t="s">
        <v>4804</v>
      </c>
      <c r="B1221" s="16" t="n">
        <v>1216</v>
      </c>
      <c r="C1221" s="16" t="s">
        <v>4805</v>
      </c>
      <c r="D1221" s="16" t="n">
        <v>8</v>
      </c>
      <c r="E1221" s="39" t="s">
        <v>1759</v>
      </c>
      <c r="F1221" s="16" t="s">
        <v>1285</v>
      </c>
      <c r="G1221" s="16" t="s">
        <v>322</v>
      </c>
      <c r="H1221" s="16" t="s">
        <v>4610</v>
      </c>
      <c r="I1221" s="16" t="s">
        <v>104</v>
      </c>
      <c r="J1221" s="16" t="s">
        <v>1752</v>
      </c>
      <c r="K1221" s="32" t="n">
        <v>11</v>
      </c>
      <c r="L1221" s="33" t="n">
        <v>46443</v>
      </c>
      <c r="M1221" s="33" t="n">
        <v>46453</v>
      </c>
      <c r="N1221" s="16" t="s">
        <v>4806</v>
      </c>
      <c r="O1221" s="16"/>
      <c r="P1221" s="16" t="str">
        <f aca="false">IF(AND(L1221&lt;=$D$2,M1221&gt;=$C$2),"Sí","")</f>
        <v/>
      </c>
      <c r="Q1221" s="18" t="str">
        <f aca="false">IF(COUNTIF(LOOKAHEAD!$A$5:$A$604,A1221)&gt;0,"En Lookahead",IF(P1221="Sí","INCORPORAR",""))</f>
        <v/>
      </c>
    </row>
    <row r="1222" customFormat="false" ht="15" hidden="false" customHeight="false" outlineLevel="0" collapsed="false">
      <c r="A1222" s="16" t="s">
        <v>4807</v>
      </c>
      <c r="B1222" s="16" t="n">
        <v>1217</v>
      </c>
      <c r="C1222" s="16" t="s">
        <v>4808</v>
      </c>
      <c r="D1222" s="16" t="n">
        <v>8</v>
      </c>
      <c r="E1222" s="39" t="s">
        <v>1745</v>
      </c>
      <c r="F1222" s="16" t="s">
        <v>1285</v>
      </c>
      <c r="G1222" s="16" t="s">
        <v>322</v>
      </c>
      <c r="H1222" s="16" t="s">
        <v>4610</v>
      </c>
      <c r="I1222" s="16" t="s">
        <v>104</v>
      </c>
      <c r="J1222" s="16" t="s">
        <v>1752</v>
      </c>
      <c r="K1222" s="32" t="n">
        <v>6</v>
      </c>
      <c r="L1222" s="33" t="n">
        <v>46437</v>
      </c>
      <c r="M1222" s="33" t="n">
        <v>46442</v>
      </c>
      <c r="N1222" s="16" t="s">
        <v>4809</v>
      </c>
      <c r="O1222" s="16"/>
      <c r="P1222" s="16" t="str">
        <f aca="false">IF(AND(L1222&lt;=$D$2,M1222&gt;=$C$2),"Sí","")</f>
        <v/>
      </c>
      <c r="Q1222" s="18" t="str">
        <f aca="false">IF(COUNTIF(LOOKAHEAD!$A$5:$A$604,A1222)&gt;0,"En Lookahead",IF(P1222="Sí","INCORPORAR",""))</f>
        <v/>
      </c>
    </row>
    <row r="1223" customFormat="false" ht="15" hidden="false" customHeight="false" outlineLevel="0" collapsed="false">
      <c r="A1223" s="16" t="s">
        <v>4810</v>
      </c>
      <c r="B1223" s="16" t="n">
        <v>1218</v>
      </c>
      <c r="C1223" s="16" t="s">
        <v>4811</v>
      </c>
      <c r="D1223" s="16" t="n">
        <v>8</v>
      </c>
      <c r="E1223" s="39" t="s">
        <v>1677</v>
      </c>
      <c r="F1223" s="16" t="s">
        <v>1285</v>
      </c>
      <c r="G1223" s="16" t="s">
        <v>322</v>
      </c>
      <c r="H1223" s="16" t="s">
        <v>4610</v>
      </c>
      <c r="I1223" s="16" t="s">
        <v>104</v>
      </c>
      <c r="J1223" s="16" t="s">
        <v>1752</v>
      </c>
      <c r="K1223" s="32" t="n">
        <v>2</v>
      </c>
      <c r="L1223" s="33" t="n">
        <v>46455</v>
      </c>
      <c r="M1223" s="33" t="n">
        <v>46456</v>
      </c>
      <c r="N1223" s="16" t="s">
        <v>4812</v>
      </c>
      <c r="O1223" s="16"/>
      <c r="P1223" s="16" t="str">
        <f aca="false">IF(AND(L1223&lt;=$D$2,M1223&gt;=$C$2),"Sí","")</f>
        <v/>
      </c>
      <c r="Q1223" s="18" t="str">
        <f aca="false">IF(COUNTIF(LOOKAHEAD!$A$5:$A$604,A1223)&gt;0,"En Lookahead",IF(P1223="Sí","INCORPORAR",""))</f>
        <v/>
      </c>
    </row>
    <row r="1224" customFormat="false" ht="15" hidden="false" customHeight="false" outlineLevel="0" collapsed="false">
      <c r="A1224" s="13" t="s">
        <v>4813</v>
      </c>
      <c r="B1224" s="13" t="n">
        <v>1219</v>
      </c>
      <c r="C1224" s="13" t="s">
        <v>4814</v>
      </c>
      <c r="D1224" s="13" t="n">
        <v>6</v>
      </c>
      <c r="E1224" s="36" t="s">
        <v>1786</v>
      </c>
      <c r="F1224" s="13" t="s">
        <v>1298</v>
      </c>
      <c r="G1224" s="13" t="s">
        <v>322</v>
      </c>
      <c r="H1224" s="13" t="s">
        <v>4610</v>
      </c>
      <c r="I1224" s="13" t="s">
        <v>104</v>
      </c>
      <c r="J1224" s="13" t="s">
        <v>1623</v>
      </c>
      <c r="K1224" s="30" t="n">
        <v>123</v>
      </c>
      <c r="L1224" s="31" t="n">
        <v>46363</v>
      </c>
      <c r="M1224" s="31" t="n">
        <v>46485</v>
      </c>
      <c r="N1224" s="13"/>
      <c r="O1224" s="13"/>
      <c r="P1224" s="13"/>
      <c r="Q1224" s="13"/>
    </row>
    <row r="1225" customFormat="false" ht="15" hidden="false" customHeight="false" outlineLevel="0" collapsed="false">
      <c r="A1225" s="13" t="s">
        <v>4815</v>
      </c>
      <c r="B1225" s="13" t="n">
        <v>1220</v>
      </c>
      <c r="C1225" s="13" t="s">
        <v>4816</v>
      </c>
      <c r="D1225" s="13" t="n">
        <v>7</v>
      </c>
      <c r="E1225" s="38" t="s">
        <v>4817</v>
      </c>
      <c r="F1225" s="13" t="s">
        <v>1298</v>
      </c>
      <c r="G1225" s="13" t="s">
        <v>322</v>
      </c>
      <c r="H1225" s="13" t="s">
        <v>4610</v>
      </c>
      <c r="I1225" s="13" t="s">
        <v>104</v>
      </c>
      <c r="J1225" s="13" t="s">
        <v>1786</v>
      </c>
      <c r="K1225" s="30" t="n">
        <v>14</v>
      </c>
      <c r="L1225" s="31" t="n">
        <v>46363</v>
      </c>
      <c r="M1225" s="31" t="n">
        <v>46376</v>
      </c>
      <c r="N1225" s="13"/>
      <c r="O1225" s="13"/>
      <c r="P1225" s="13"/>
      <c r="Q1225" s="13"/>
    </row>
    <row r="1226" customFormat="false" ht="15" hidden="false" customHeight="false" outlineLevel="0" collapsed="false">
      <c r="A1226" s="16" t="s">
        <v>4818</v>
      </c>
      <c r="B1226" s="16" t="n">
        <v>1221</v>
      </c>
      <c r="C1226" s="16" t="s">
        <v>4819</v>
      </c>
      <c r="D1226" s="16" t="n">
        <v>8</v>
      </c>
      <c r="E1226" s="39" t="s">
        <v>4820</v>
      </c>
      <c r="F1226" s="16" t="s">
        <v>1285</v>
      </c>
      <c r="G1226" s="16" t="s">
        <v>322</v>
      </c>
      <c r="H1226" s="16" t="s">
        <v>4610</v>
      </c>
      <c r="I1226" s="16" t="s">
        <v>104</v>
      </c>
      <c r="J1226" s="16" t="s">
        <v>4817</v>
      </c>
      <c r="K1226" s="32" t="n">
        <v>1</v>
      </c>
      <c r="L1226" s="33" t="n">
        <v>46375</v>
      </c>
      <c r="M1226" s="33" t="n">
        <v>46375</v>
      </c>
      <c r="N1226" s="16" t="s">
        <v>4821</v>
      </c>
      <c r="O1226" s="16"/>
      <c r="P1226" s="16" t="str">
        <f aca="false">IF(AND(L1226&lt;=$D$2,M1226&gt;=$C$2),"Sí","")</f>
        <v/>
      </c>
      <c r="Q1226" s="18" t="str">
        <f aca="false">IF(COUNTIF(LOOKAHEAD!$A$5:$A$604,A1226)&gt;0,"En Lookahead",IF(P1226="Sí","INCORPORAR",""))</f>
        <v/>
      </c>
    </row>
    <row r="1227" customFormat="false" ht="15" hidden="false" customHeight="false" outlineLevel="0" collapsed="false">
      <c r="A1227" s="16" t="s">
        <v>4822</v>
      </c>
      <c r="B1227" s="16" t="n">
        <v>1222</v>
      </c>
      <c r="C1227" s="16" t="s">
        <v>4823</v>
      </c>
      <c r="D1227" s="16" t="n">
        <v>8</v>
      </c>
      <c r="E1227" s="39" t="s">
        <v>4824</v>
      </c>
      <c r="F1227" s="16" t="s">
        <v>1285</v>
      </c>
      <c r="G1227" s="16" t="s">
        <v>322</v>
      </c>
      <c r="H1227" s="16" t="s">
        <v>4610</v>
      </c>
      <c r="I1227" s="16" t="s">
        <v>104</v>
      </c>
      <c r="J1227" s="16" t="s">
        <v>4817</v>
      </c>
      <c r="K1227" s="32" t="n">
        <v>5</v>
      </c>
      <c r="L1227" s="33" t="n">
        <v>46370</v>
      </c>
      <c r="M1227" s="33" t="n">
        <v>46374</v>
      </c>
      <c r="N1227" s="16" t="s">
        <v>4825</v>
      </c>
      <c r="O1227" s="16"/>
      <c r="P1227" s="16" t="str">
        <f aca="false">IF(AND(L1227&lt;=$D$2,M1227&gt;=$C$2),"Sí","")</f>
        <v/>
      </c>
      <c r="Q1227" s="18" t="str">
        <f aca="false">IF(COUNTIF(LOOKAHEAD!$A$5:$A$604,A1227)&gt;0,"En Lookahead",IF(P1227="Sí","INCORPORAR",""))</f>
        <v/>
      </c>
    </row>
    <row r="1228" customFormat="false" ht="15" hidden="false" customHeight="false" outlineLevel="0" collapsed="false">
      <c r="A1228" s="16" t="s">
        <v>4826</v>
      </c>
      <c r="B1228" s="16" t="n">
        <v>1223</v>
      </c>
      <c r="C1228" s="16" t="s">
        <v>4827</v>
      </c>
      <c r="D1228" s="16" t="n">
        <v>8</v>
      </c>
      <c r="E1228" s="39" t="s">
        <v>1800</v>
      </c>
      <c r="F1228" s="16" t="s">
        <v>1285</v>
      </c>
      <c r="G1228" s="16" t="s">
        <v>322</v>
      </c>
      <c r="H1228" s="16" t="s">
        <v>4610</v>
      </c>
      <c r="I1228" s="16" t="s">
        <v>104</v>
      </c>
      <c r="J1228" s="16" t="s">
        <v>4817</v>
      </c>
      <c r="K1228" s="32" t="n">
        <v>7</v>
      </c>
      <c r="L1228" s="33" t="n">
        <v>46363</v>
      </c>
      <c r="M1228" s="33" t="n">
        <v>46369</v>
      </c>
      <c r="N1228" s="16" t="s">
        <v>4828</v>
      </c>
      <c r="O1228" s="16"/>
      <c r="P1228" s="16" t="str">
        <f aca="false">IF(AND(L1228&lt;=$D$2,M1228&gt;=$C$2),"Sí","")</f>
        <v/>
      </c>
      <c r="Q1228" s="18" t="str">
        <f aca="false">IF(COUNTIF(LOOKAHEAD!$A$5:$A$604,A1228)&gt;0,"En Lookahead",IF(P1228="Sí","INCORPORAR",""))</f>
        <v/>
      </c>
    </row>
    <row r="1229" customFormat="false" ht="15" hidden="false" customHeight="false" outlineLevel="0" collapsed="false">
      <c r="A1229" s="16" t="s">
        <v>4829</v>
      </c>
      <c r="B1229" s="16" t="n">
        <v>1224</v>
      </c>
      <c r="C1229" s="16" t="s">
        <v>4830</v>
      </c>
      <c r="D1229" s="16" t="n">
        <v>8</v>
      </c>
      <c r="E1229" s="39" t="s">
        <v>1602</v>
      </c>
      <c r="F1229" s="16" t="s">
        <v>1285</v>
      </c>
      <c r="G1229" s="16" t="s">
        <v>322</v>
      </c>
      <c r="H1229" s="16" t="s">
        <v>4610</v>
      </c>
      <c r="I1229" s="16" t="s">
        <v>104</v>
      </c>
      <c r="J1229" s="16" t="s">
        <v>4817</v>
      </c>
      <c r="K1229" s="32" t="n">
        <v>1</v>
      </c>
      <c r="L1229" s="33" t="n">
        <v>46376</v>
      </c>
      <c r="M1229" s="33" t="n">
        <v>46376</v>
      </c>
      <c r="N1229" s="16" t="s">
        <v>4831</v>
      </c>
      <c r="O1229" s="16"/>
      <c r="P1229" s="16" t="str">
        <f aca="false">IF(AND(L1229&lt;=$D$2,M1229&gt;=$C$2),"Sí","")</f>
        <v/>
      </c>
      <c r="Q1229" s="18" t="str">
        <f aca="false">IF(COUNTIF(LOOKAHEAD!$A$5:$A$604,A1229)&gt;0,"En Lookahead",IF(P1229="Sí","INCORPORAR",""))</f>
        <v/>
      </c>
    </row>
    <row r="1230" customFormat="false" ht="15" hidden="false" customHeight="false" outlineLevel="0" collapsed="false">
      <c r="A1230" s="13" t="s">
        <v>4832</v>
      </c>
      <c r="B1230" s="13" t="n">
        <v>1225</v>
      </c>
      <c r="C1230" s="13" t="s">
        <v>4833</v>
      </c>
      <c r="D1230" s="13" t="n">
        <v>7</v>
      </c>
      <c r="E1230" s="38" t="s">
        <v>1789</v>
      </c>
      <c r="F1230" s="13" t="s">
        <v>1298</v>
      </c>
      <c r="G1230" s="13" t="s">
        <v>322</v>
      </c>
      <c r="H1230" s="13" t="s">
        <v>4610</v>
      </c>
      <c r="I1230" s="13" t="s">
        <v>104</v>
      </c>
      <c r="J1230" s="13" t="s">
        <v>1786</v>
      </c>
      <c r="K1230" s="30" t="n">
        <v>29</v>
      </c>
      <c r="L1230" s="31" t="n">
        <v>46403</v>
      </c>
      <c r="M1230" s="31" t="n">
        <v>46431</v>
      </c>
      <c r="N1230" s="13"/>
      <c r="O1230" s="13"/>
      <c r="P1230" s="13"/>
      <c r="Q1230" s="13"/>
    </row>
    <row r="1231" customFormat="false" ht="15" hidden="false" customHeight="false" outlineLevel="0" collapsed="false">
      <c r="A1231" s="16" t="s">
        <v>4834</v>
      </c>
      <c r="B1231" s="16" t="n">
        <v>1226</v>
      </c>
      <c r="C1231" s="16" t="s">
        <v>4835</v>
      </c>
      <c r="D1231" s="16" t="n">
        <v>8</v>
      </c>
      <c r="E1231" s="39" t="s">
        <v>1792</v>
      </c>
      <c r="F1231" s="16" t="s">
        <v>1285</v>
      </c>
      <c r="G1231" s="16" t="s">
        <v>322</v>
      </c>
      <c r="H1231" s="16" t="s">
        <v>4610</v>
      </c>
      <c r="I1231" s="16" t="s">
        <v>104</v>
      </c>
      <c r="J1231" s="16" t="s">
        <v>1789</v>
      </c>
      <c r="K1231" s="32" t="n">
        <v>1</v>
      </c>
      <c r="L1231" s="33" t="n">
        <v>46429</v>
      </c>
      <c r="M1231" s="33" t="n">
        <v>46429</v>
      </c>
      <c r="N1231" s="16" t="s">
        <v>4836</v>
      </c>
      <c r="O1231" s="16"/>
      <c r="P1231" s="16" t="str">
        <f aca="false">IF(AND(L1231&lt;=$D$2,M1231&gt;=$C$2),"Sí","")</f>
        <v/>
      </c>
      <c r="Q1231" s="18" t="str">
        <f aca="false">IF(COUNTIF(LOOKAHEAD!$A$5:$A$604,A1231)&gt;0,"En Lookahead",IF(P1231="Sí","INCORPORAR",""))</f>
        <v/>
      </c>
    </row>
    <row r="1232" customFormat="false" ht="15" hidden="false" customHeight="false" outlineLevel="0" collapsed="false">
      <c r="A1232" s="16" t="s">
        <v>4837</v>
      </c>
      <c r="B1232" s="16" t="n">
        <v>1227</v>
      </c>
      <c r="C1232" s="16" t="s">
        <v>4838</v>
      </c>
      <c r="D1232" s="16" t="n">
        <v>8</v>
      </c>
      <c r="E1232" s="39" t="s">
        <v>1796</v>
      </c>
      <c r="F1232" s="16" t="s">
        <v>1285</v>
      </c>
      <c r="G1232" s="16" t="s">
        <v>322</v>
      </c>
      <c r="H1232" s="16" t="s">
        <v>4610</v>
      </c>
      <c r="I1232" s="16" t="s">
        <v>104</v>
      </c>
      <c r="J1232" s="16" t="s">
        <v>1789</v>
      </c>
      <c r="K1232" s="32" t="n">
        <v>16</v>
      </c>
      <c r="L1232" s="33" t="n">
        <v>46413</v>
      </c>
      <c r="M1232" s="33" t="n">
        <v>46428</v>
      </c>
      <c r="N1232" s="16" t="s">
        <v>4839</v>
      </c>
      <c r="O1232" s="16"/>
      <c r="P1232" s="16" t="str">
        <f aca="false">IF(AND(L1232&lt;=$D$2,M1232&gt;=$C$2),"Sí","")</f>
        <v/>
      </c>
      <c r="Q1232" s="18" t="str">
        <f aca="false">IF(COUNTIF(LOOKAHEAD!$A$5:$A$604,A1232)&gt;0,"En Lookahead",IF(P1232="Sí","INCORPORAR",""))</f>
        <v/>
      </c>
    </row>
    <row r="1233" customFormat="false" ht="15" hidden="false" customHeight="false" outlineLevel="0" collapsed="false">
      <c r="A1233" s="16" t="s">
        <v>4840</v>
      </c>
      <c r="B1233" s="16" t="n">
        <v>1228</v>
      </c>
      <c r="C1233" s="16" t="s">
        <v>4841</v>
      </c>
      <c r="D1233" s="16" t="n">
        <v>8</v>
      </c>
      <c r="E1233" s="39" t="s">
        <v>1800</v>
      </c>
      <c r="F1233" s="16" t="s">
        <v>1285</v>
      </c>
      <c r="G1233" s="16" t="s">
        <v>322</v>
      </c>
      <c r="H1233" s="16" t="s">
        <v>4610</v>
      </c>
      <c r="I1233" s="16" t="s">
        <v>104</v>
      </c>
      <c r="J1233" s="16" t="s">
        <v>1789</v>
      </c>
      <c r="K1233" s="32" t="n">
        <v>10</v>
      </c>
      <c r="L1233" s="33" t="n">
        <v>46403</v>
      </c>
      <c r="M1233" s="33" t="n">
        <v>46412</v>
      </c>
      <c r="N1233" s="16" t="s">
        <v>4842</v>
      </c>
      <c r="O1233" s="16"/>
      <c r="P1233" s="16" t="str">
        <f aca="false">IF(AND(L1233&lt;=$D$2,M1233&gt;=$C$2),"Sí","")</f>
        <v/>
      </c>
      <c r="Q1233" s="18" t="str">
        <f aca="false">IF(COUNTIF(LOOKAHEAD!$A$5:$A$604,A1233)&gt;0,"En Lookahead",IF(P1233="Sí","INCORPORAR",""))</f>
        <v/>
      </c>
    </row>
    <row r="1234" customFormat="false" ht="15" hidden="false" customHeight="false" outlineLevel="0" collapsed="false">
      <c r="A1234" s="16" t="s">
        <v>4843</v>
      </c>
      <c r="B1234" s="16" t="n">
        <v>1229</v>
      </c>
      <c r="C1234" s="16" t="s">
        <v>4844</v>
      </c>
      <c r="D1234" s="16" t="n">
        <v>8</v>
      </c>
      <c r="E1234" s="39" t="s">
        <v>1602</v>
      </c>
      <c r="F1234" s="16" t="s">
        <v>1285</v>
      </c>
      <c r="G1234" s="16" t="s">
        <v>322</v>
      </c>
      <c r="H1234" s="16" t="s">
        <v>4610</v>
      </c>
      <c r="I1234" s="16" t="s">
        <v>104</v>
      </c>
      <c r="J1234" s="16" t="s">
        <v>1789</v>
      </c>
      <c r="K1234" s="32" t="n">
        <v>2</v>
      </c>
      <c r="L1234" s="33" t="n">
        <v>46430</v>
      </c>
      <c r="M1234" s="33" t="n">
        <v>46431</v>
      </c>
      <c r="N1234" s="16" t="s">
        <v>4845</v>
      </c>
      <c r="O1234" s="16"/>
      <c r="P1234" s="16" t="str">
        <f aca="false">IF(AND(L1234&lt;=$D$2,M1234&gt;=$C$2),"Sí","")</f>
        <v/>
      </c>
      <c r="Q1234" s="18" t="str">
        <f aca="false">IF(COUNTIF(LOOKAHEAD!$A$5:$A$604,A1234)&gt;0,"En Lookahead",IF(P1234="Sí","INCORPORAR",""))</f>
        <v/>
      </c>
    </row>
    <row r="1235" customFormat="false" ht="15" hidden="false" customHeight="false" outlineLevel="0" collapsed="false">
      <c r="A1235" s="13" t="s">
        <v>4846</v>
      </c>
      <c r="B1235" s="13" t="n">
        <v>1230</v>
      </c>
      <c r="C1235" s="13" t="s">
        <v>4847</v>
      </c>
      <c r="D1235" s="13" t="n">
        <v>7</v>
      </c>
      <c r="E1235" s="38" t="s">
        <v>1806</v>
      </c>
      <c r="F1235" s="13" t="s">
        <v>1298</v>
      </c>
      <c r="G1235" s="13" t="s">
        <v>322</v>
      </c>
      <c r="H1235" s="13" t="s">
        <v>4610</v>
      </c>
      <c r="I1235" s="13" t="s">
        <v>104</v>
      </c>
      <c r="J1235" s="13" t="s">
        <v>1786</v>
      </c>
      <c r="K1235" s="30" t="n">
        <v>28</v>
      </c>
      <c r="L1235" s="31" t="n">
        <v>46458</v>
      </c>
      <c r="M1235" s="31" t="n">
        <v>46485</v>
      </c>
      <c r="N1235" s="13"/>
      <c r="O1235" s="13"/>
      <c r="P1235" s="13"/>
      <c r="Q1235" s="13"/>
    </row>
    <row r="1236" customFormat="false" ht="15" hidden="false" customHeight="false" outlineLevel="0" collapsed="false">
      <c r="A1236" s="16" t="s">
        <v>4848</v>
      </c>
      <c r="B1236" s="16" t="n">
        <v>1231</v>
      </c>
      <c r="C1236" s="16" t="s">
        <v>4849</v>
      </c>
      <c r="D1236" s="16" t="n">
        <v>8</v>
      </c>
      <c r="E1236" s="39" t="s">
        <v>1809</v>
      </c>
      <c r="F1236" s="16" t="s">
        <v>1285</v>
      </c>
      <c r="G1236" s="16" t="s">
        <v>322</v>
      </c>
      <c r="H1236" s="16" t="s">
        <v>4610</v>
      </c>
      <c r="I1236" s="16" t="s">
        <v>104</v>
      </c>
      <c r="J1236" s="16" t="s">
        <v>1806</v>
      </c>
      <c r="K1236" s="32" t="n">
        <v>1</v>
      </c>
      <c r="L1236" s="33" t="n">
        <v>46483</v>
      </c>
      <c r="M1236" s="33" t="n">
        <v>46483</v>
      </c>
      <c r="N1236" s="16" t="s">
        <v>4850</v>
      </c>
      <c r="O1236" s="16"/>
      <c r="P1236" s="16" t="str">
        <f aca="false">IF(AND(L1236&lt;=$D$2,M1236&gt;=$C$2),"Sí","")</f>
        <v/>
      </c>
      <c r="Q1236" s="18" t="str">
        <f aca="false">IF(COUNTIF(LOOKAHEAD!$A$5:$A$604,A1236)&gt;0,"En Lookahead",IF(P1236="Sí","INCORPORAR",""))</f>
        <v/>
      </c>
    </row>
    <row r="1237" customFormat="false" ht="15" hidden="false" customHeight="false" outlineLevel="0" collapsed="false">
      <c r="A1237" s="16" t="s">
        <v>4851</v>
      </c>
      <c r="B1237" s="16" t="n">
        <v>1232</v>
      </c>
      <c r="C1237" s="16" t="s">
        <v>4852</v>
      </c>
      <c r="D1237" s="16" t="n">
        <v>8</v>
      </c>
      <c r="E1237" s="39" t="s">
        <v>1813</v>
      </c>
      <c r="F1237" s="16" t="s">
        <v>1285</v>
      </c>
      <c r="G1237" s="16" t="s">
        <v>322</v>
      </c>
      <c r="H1237" s="16" t="s">
        <v>4610</v>
      </c>
      <c r="I1237" s="16" t="s">
        <v>104</v>
      </c>
      <c r="J1237" s="16" t="s">
        <v>1806</v>
      </c>
      <c r="K1237" s="32" t="n">
        <v>16</v>
      </c>
      <c r="L1237" s="33" t="n">
        <v>46467</v>
      </c>
      <c r="M1237" s="33" t="n">
        <v>46482</v>
      </c>
      <c r="N1237" s="16" t="s">
        <v>4853</v>
      </c>
      <c r="O1237" s="16"/>
      <c r="P1237" s="16" t="str">
        <f aca="false">IF(AND(L1237&lt;=$D$2,M1237&gt;=$C$2),"Sí","")</f>
        <v/>
      </c>
      <c r="Q1237" s="18" t="str">
        <f aca="false">IF(COUNTIF(LOOKAHEAD!$A$5:$A$604,A1237)&gt;0,"En Lookahead",IF(P1237="Sí","INCORPORAR",""))</f>
        <v/>
      </c>
    </row>
    <row r="1238" customFormat="false" ht="15" hidden="false" customHeight="false" outlineLevel="0" collapsed="false">
      <c r="A1238" s="16" t="s">
        <v>4854</v>
      </c>
      <c r="B1238" s="16" t="n">
        <v>1233</v>
      </c>
      <c r="C1238" s="16" t="s">
        <v>4855</v>
      </c>
      <c r="D1238" s="16" t="n">
        <v>8</v>
      </c>
      <c r="E1238" s="39" t="s">
        <v>1800</v>
      </c>
      <c r="F1238" s="16" t="s">
        <v>1285</v>
      </c>
      <c r="G1238" s="16" t="s">
        <v>322</v>
      </c>
      <c r="H1238" s="16" t="s">
        <v>4610</v>
      </c>
      <c r="I1238" s="16" t="s">
        <v>104</v>
      </c>
      <c r="J1238" s="16" t="s">
        <v>1806</v>
      </c>
      <c r="K1238" s="32" t="n">
        <v>9</v>
      </c>
      <c r="L1238" s="33" t="n">
        <v>46458</v>
      </c>
      <c r="M1238" s="33" t="n">
        <v>46466</v>
      </c>
      <c r="N1238" s="16" t="s">
        <v>4856</v>
      </c>
      <c r="O1238" s="16"/>
      <c r="P1238" s="16" t="str">
        <f aca="false">IF(AND(L1238&lt;=$D$2,M1238&gt;=$C$2),"Sí","")</f>
        <v/>
      </c>
      <c r="Q1238" s="18" t="str">
        <f aca="false">IF(COUNTIF(LOOKAHEAD!$A$5:$A$604,A1238)&gt;0,"En Lookahead",IF(P1238="Sí","INCORPORAR",""))</f>
        <v/>
      </c>
    </row>
    <row r="1239" customFormat="false" ht="15" hidden="false" customHeight="false" outlineLevel="0" collapsed="false">
      <c r="A1239" s="16" t="s">
        <v>4857</v>
      </c>
      <c r="B1239" s="16" t="n">
        <v>1234</v>
      </c>
      <c r="C1239" s="16" t="s">
        <v>4858</v>
      </c>
      <c r="D1239" s="16" t="n">
        <v>8</v>
      </c>
      <c r="E1239" s="39" t="s">
        <v>1602</v>
      </c>
      <c r="F1239" s="16" t="s">
        <v>1285</v>
      </c>
      <c r="G1239" s="16" t="s">
        <v>322</v>
      </c>
      <c r="H1239" s="16" t="s">
        <v>4610</v>
      </c>
      <c r="I1239" s="16" t="s">
        <v>104</v>
      </c>
      <c r="J1239" s="16" t="s">
        <v>1806</v>
      </c>
      <c r="K1239" s="32" t="n">
        <v>2</v>
      </c>
      <c r="L1239" s="33" t="n">
        <v>46484</v>
      </c>
      <c r="M1239" s="33" t="n">
        <v>46485</v>
      </c>
      <c r="N1239" s="16" t="s">
        <v>4859</v>
      </c>
      <c r="O1239" s="16"/>
      <c r="P1239" s="16" t="str">
        <f aca="false">IF(AND(L1239&lt;=$D$2,M1239&gt;=$C$2),"Sí","")</f>
        <v/>
      </c>
      <c r="Q1239" s="18" t="str">
        <f aca="false">IF(COUNTIF(LOOKAHEAD!$A$5:$A$604,A1239)&gt;0,"En Lookahead",IF(P1239="Sí","INCORPORAR",""))</f>
        <v/>
      </c>
    </row>
    <row r="1240" customFormat="false" ht="15" hidden="false" customHeight="false" outlineLevel="0" collapsed="false">
      <c r="A1240" s="13" t="s">
        <v>4860</v>
      </c>
      <c r="B1240" s="13" t="n">
        <v>1235</v>
      </c>
      <c r="C1240" s="13" t="s">
        <v>4861</v>
      </c>
      <c r="D1240" s="13" t="n">
        <v>6</v>
      </c>
      <c r="E1240" s="36" t="s">
        <v>1853</v>
      </c>
      <c r="F1240" s="13" t="s">
        <v>1298</v>
      </c>
      <c r="G1240" s="13" t="s">
        <v>322</v>
      </c>
      <c r="H1240" s="13" t="s">
        <v>4610</v>
      </c>
      <c r="I1240" s="13" t="s">
        <v>104</v>
      </c>
      <c r="J1240" s="13" t="s">
        <v>1623</v>
      </c>
      <c r="K1240" s="30" t="n">
        <v>121</v>
      </c>
      <c r="L1240" s="31" t="n">
        <v>46370</v>
      </c>
      <c r="M1240" s="31" t="n">
        <v>46490</v>
      </c>
      <c r="N1240" s="13"/>
      <c r="O1240" s="13"/>
      <c r="P1240" s="13"/>
      <c r="Q1240" s="13"/>
    </row>
    <row r="1241" customFormat="false" ht="15" hidden="false" customHeight="false" outlineLevel="0" collapsed="false">
      <c r="A1241" s="13" t="s">
        <v>4862</v>
      </c>
      <c r="B1241" s="13" t="n">
        <v>1236</v>
      </c>
      <c r="C1241" s="13" t="s">
        <v>4863</v>
      </c>
      <c r="D1241" s="13" t="n">
        <v>7</v>
      </c>
      <c r="E1241" s="38" t="s">
        <v>4864</v>
      </c>
      <c r="F1241" s="13" t="s">
        <v>1298</v>
      </c>
      <c r="G1241" s="13" t="s">
        <v>322</v>
      </c>
      <c r="H1241" s="13" t="s">
        <v>4610</v>
      </c>
      <c r="I1241" s="13" t="s">
        <v>104</v>
      </c>
      <c r="J1241" s="13" t="s">
        <v>1853</v>
      </c>
      <c r="K1241" s="30" t="n">
        <v>12</v>
      </c>
      <c r="L1241" s="31" t="n">
        <v>46370</v>
      </c>
      <c r="M1241" s="31" t="n">
        <v>46381</v>
      </c>
      <c r="N1241" s="13"/>
      <c r="O1241" s="13"/>
      <c r="P1241" s="13"/>
      <c r="Q1241" s="13"/>
    </row>
    <row r="1242" customFormat="false" ht="15" hidden="false" customHeight="false" outlineLevel="0" collapsed="false">
      <c r="A1242" s="16" t="s">
        <v>4865</v>
      </c>
      <c r="B1242" s="16" t="n">
        <v>1237</v>
      </c>
      <c r="C1242" s="16" t="s">
        <v>4866</v>
      </c>
      <c r="D1242" s="16" t="n">
        <v>8</v>
      </c>
      <c r="E1242" s="39" t="s">
        <v>4867</v>
      </c>
      <c r="F1242" s="16" t="s">
        <v>1285</v>
      </c>
      <c r="G1242" s="16" t="s">
        <v>322</v>
      </c>
      <c r="H1242" s="16" t="s">
        <v>4610</v>
      </c>
      <c r="I1242" s="16" t="s">
        <v>104</v>
      </c>
      <c r="J1242" s="16" t="s">
        <v>4864</v>
      </c>
      <c r="K1242" s="32" t="n">
        <v>1</v>
      </c>
      <c r="L1242" s="33" t="n">
        <v>46379</v>
      </c>
      <c r="M1242" s="33" t="n">
        <v>46379</v>
      </c>
      <c r="N1242" s="16" t="s">
        <v>4868</v>
      </c>
      <c r="O1242" s="16"/>
      <c r="P1242" s="16" t="str">
        <f aca="false">IF(AND(L1242&lt;=$D$2,M1242&gt;=$C$2),"Sí","")</f>
        <v/>
      </c>
      <c r="Q1242" s="18" t="str">
        <f aca="false">IF(COUNTIF(LOOKAHEAD!$A$5:$A$604,A1242)&gt;0,"En Lookahead",IF(P1242="Sí","INCORPORAR",""))</f>
        <v/>
      </c>
    </row>
    <row r="1243" customFormat="false" ht="15" hidden="false" customHeight="false" outlineLevel="0" collapsed="false">
      <c r="A1243" s="16" t="s">
        <v>4869</v>
      </c>
      <c r="B1243" s="16" t="n">
        <v>1238</v>
      </c>
      <c r="C1243" s="16" t="s">
        <v>4870</v>
      </c>
      <c r="D1243" s="16" t="n">
        <v>8</v>
      </c>
      <c r="E1243" s="39" t="s">
        <v>4871</v>
      </c>
      <c r="F1243" s="16" t="s">
        <v>1285</v>
      </c>
      <c r="G1243" s="16" t="s">
        <v>322</v>
      </c>
      <c r="H1243" s="16" t="s">
        <v>4610</v>
      </c>
      <c r="I1243" s="16" t="s">
        <v>104</v>
      </c>
      <c r="J1243" s="16" t="s">
        <v>4864</v>
      </c>
      <c r="K1243" s="32" t="n">
        <v>5</v>
      </c>
      <c r="L1243" s="33" t="n">
        <v>46370</v>
      </c>
      <c r="M1243" s="33" t="n">
        <v>46374</v>
      </c>
      <c r="N1243" s="16" t="s">
        <v>4872</v>
      </c>
      <c r="O1243" s="16"/>
      <c r="P1243" s="16" t="str">
        <f aca="false">IF(AND(L1243&lt;=$D$2,M1243&gt;=$C$2),"Sí","")</f>
        <v/>
      </c>
      <c r="Q1243" s="18" t="str">
        <f aca="false">IF(COUNTIF(LOOKAHEAD!$A$5:$A$604,A1243)&gt;0,"En Lookahead",IF(P1243="Sí","INCORPORAR",""))</f>
        <v/>
      </c>
    </row>
    <row r="1244" customFormat="false" ht="15" hidden="false" customHeight="false" outlineLevel="0" collapsed="false">
      <c r="A1244" s="16" t="s">
        <v>4873</v>
      </c>
      <c r="B1244" s="16" t="n">
        <v>1239</v>
      </c>
      <c r="C1244" s="16" t="s">
        <v>4874</v>
      </c>
      <c r="D1244" s="16" t="n">
        <v>8</v>
      </c>
      <c r="E1244" s="39" t="s">
        <v>1867</v>
      </c>
      <c r="F1244" s="16" t="s">
        <v>1285</v>
      </c>
      <c r="G1244" s="16" t="s">
        <v>322</v>
      </c>
      <c r="H1244" s="16" t="s">
        <v>4610</v>
      </c>
      <c r="I1244" s="16" t="s">
        <v>104</v>
      </c>
      <c r="J1244" s="16" t="s">
        <v>4864</v>
      </c>
      <c r="K1244" s="32" t="n">
        <v>3</v>
      </c>
      <c r="L1244" s="33" t="n">
        <v>46376</v>
      </c>
      <c r="M1244" s="33" t="n">
        <v>46378</v>
      </c>
      <c r="N1244" s="16" t="s">
        <v>4875</v>
      </c>
      <c r="O1244" s="16"/>
      <c r="P1244" s="16" t="str">
        <f aca="false">IF(AND(L1244&lt;=$D$2,M1244&gt;=$C$2),"Sí","")</f>
        <v/>
      </c>
      <c r="Q1244" s="18" t="str">
        <f aca="false">IF(COUNTIF(LOOKAHEAD!$A$5:$A$604,A1244)&gt;0,"En Lookahead",IF(P1244="Sí","INCORPORAR",""))</f>
        <v/>
      </c>
    </row>
    <row r="1245" customFormat="false" ht="15" hidden="false" customHeight="false" outlineLevel="0" collapsed="false">
      <c r="A1245" s="16" t="s">
        <v>4876</v>
      </c>
      <c r="B1245" s="16" t="n">
        <v>1240</v>
      </c>
      <c r="C1245" s="16" t="s">
        <v>4877</v>
      </c>
      <c r="D1245" s="16" t="n">
        <v>8</v>
      </c>
      <c r="E1245" s="39" t="s">
        <v>1871</v>
      </c>
      <c r="F1245" s="16" t="s">
        <v>1285</v>
      </c>
      <c r="G1245" s="16" t="s">
        <v>322</v>
      </c>
      <c r="H1245" s="16" t="s">
        <v>4610</v>
      </c>
      <c r="I1245" s="16" t="s">
        <v>104</v>
      </c>
      <c r="J1245" s="16" t="s">
        <v>4864</v>
      </c>
      <c r="K1245" s="32" t="n">
        <v>1</v>
      </c>
      <c r="L1245" s="33" t="n">
        <v>46375</v>
      </c>
      <c r="M1245" s="33" t="n">
        <v>46375</v>
      </c>
      <c r="N1245" s="16" t="s">
        <v>4878</v>
      </c>
      <c r="O1245" s="16"/>
      <c r="P1245" s="16" t="str">
        <f aca="false">IF(AND(L1245&lt;=$D$2,M1245&gt;=$C$2),"Sí","")</f>
        <v/>
      </c>
      <c r="Q1245" s="18" t="str">
        <f aca="false">IF(COUNTIF(LOOKAHEAD!$A$5:$A$604,A1245)&gt;0,"En Lookahead",IF(P1245="Sí","INCORPORAR",""))</f>
        <v/>
      </c>
    </row>
    <row r="1246" customFormat="false" ht="15" hidden="false" customHeight="false" outlineLevel="0" collapsed="false">
      <c r="A1246" s="16" t="s">
        <v>4879</v>
      </c>
      <c r="B1246" s="16" t="n">
        <v>1241</v>
      </c>
      <c r="C1246" s="16" t="s">
        <v>4880</v>
      </c>
      <c r="D1246" s="16" t="n">
        <v>8</v>
      </c>
      <c r="E1246" s="39" t="s">
        <v>1602</v>
      </c>
      <c r="F1246" s="16" t="s">
        <v>1285</v>
      </c>
      <c r="G1246" s="16" t="s">
        <v>322</v>
      </c>
      <c r="H1246" s="16" t="s">
        <v>4610</v>
      </c>
      <c r="I1246" s="16" t="s">
        <v>104</v>
      </c>
      <c r="J1246" s="16" t="s">
        <v>4864</v>
      </c>
      <c r="K1246" s="32" t="n">
        <v>2</v>
      </c>
      <c r="L1246" s="33" t="n">
        <v>46380</v>
      </c>
      <c r="M1246" s="33" t="n">
        <v>46381</v>
      </c>
      <c r="N1246" s="16" t="s">
        <v>4881</v>
      </c>
      <c r="O1246" s="16"/>
      <c r="P1246" s="16" t="str">
        <f aca="false">IF(AND(L1246&lt;=$D$2,M1246&gt;=$C$2),"Sí","")</f>
        <v/>
      </c>
      <c r="Q1246" s="18" t="str">
        <f aca="false">IF(COUNTIF(LOOKAHEAD!$A$5:$A$604,A1246)&gt;0,"En Lookahead",IF(P1246="Sí","INCORPORAR",""))</f>
        <v/>
      </c>
    </row>
    <row r="1247" customFormat="false" ht="15" hidden="false" customHeight="false" outlineLevel="0" collapsed="false">
      <c r="A1247" s="13" t="s">
        <v>4882</v>
      </c>
      <c r="B1247" s="13" t="n">
        <v>1242</v>
      </c>
      <c r="C1247" s="13" t="s">
        <v>4883</v>
      </c>
      <c r="D1247" s="13" t="n">
        <v>7</v>
      </c>
      <c r="E1247" s="38" t="s">
        <v>1856</v>
      </c>
      <c r="F1247" s="13" t="s">
        <v>1298</v>
      </c>
      <c r="G1247" s="13" t="s">
        <v>322</v>
      </c>
      <c r="H1247" s="13" t="s">
        <v>4610</v>
      </c>
      <c r="I1247" s="13" t="s">
        <v>104</v>
      </c>
      <c r="J1247" s="13" t="s">
        <v>1853</v>
      </c>
      <c r="K1247" s="30" t="n">
        <v>27</v>
      </c>
      <c r="L1247" s="31" t="n">
        <v>46413</v>
      </c>
      <c r="M1247" s="31" t="n">
        <v>46439</v>
      </c>
      <c r="N1247" s="13"/>
      <c r="O1247" s="13"/>
      <c r="P1247" s="13"/>
      <c r="Q1247" s="13"/>
    </row>
    <row r="1248" customFormat="false" ht="15" hidden="false" customHeight="false" outlineLevel="0" collapsed="false">
      <c r="A1248" s="16" t="s">
        <v>4884</v>
      </c>
      <c r="B1248" s="16" t="n">
        <v>1243</v>
      </c>
      <c r="C1248" s="16" t="s">
        <v>4885</v>
      </c>
      <c r="D1248" s="16" t="n">
        <v>8</v>
      </c>
      <c r="E1248" s="39" t="s">
        <v>1859</v>
      </c>
      <c r="F1248" s="16" t="s">
        <v>1285</v>
      </c>
      <c r="G1248" s="16" t="s">
        <v>322</v>
      </c>
      <c r="H1248" s="16" t="s">
        <v>4610</v>
      </c>
      <c r="I1248" s="16" t="s">
        <v>104</v>
      </c>
      <c r="J1248" s="16" t="s">
        <v>1856</v>
      </c>
      <c r="K1248" s="32" t="n">
        <v>1</v>
      </c>
      <c r="L1248" s="33" t="n">
        <v>46436</v>
      </c>
      <c r="M1248" s="33" t="n">
        <v>46436</v>
      </c>
      <c r="N1248" s="16" t="s">
        <v>4886</v>
      </c>
      <c r="O1248" s="16"/>
      <c r="P1248" s="16" t="str">
        <f aca="false">IF(AND(L1248&lt;=$D$2,M1248&gt;=$C$2),"Sí","")</f>
        <v/>
      </c>
      <c r="Q1248" s="18" t="str">
        <f aca="false">IF(COUNTIF(LOOKAHEAD!$A$5:$A$604,A1248)&gt;0,"En Lookahead",IF(P1248="Sí","INCORPORAR",""))</f>
        <v/>
      </c>
    </row>
    <row r="1249" customFormat="false" ht="15" hidden="false" customHeight="false" outlineLevel="0" collapsed="false">
      <c r="A1249" s="16" t="s">
        <v>4887</v>
      </c>
      <c r="B1249" s="16" t="n">
        <v>1244</v>
      </c>
      <c r="C1249" s="16" t="s">
        <v>4888</v>
      </c>
      <c r="D1249" s="16" t="n">
        <v>8</v>
      </c>
      <c r="E1249" s="39" t="s">
        <v>1863</v>
      </c>
      <c r="F1249" s="16" t="s">
        <v>1285</v>
      </c>
      <c r="G1249" s="16" t="s">
        <v>322</v>
      </c>
      <c r="H1249" s="16" t="s">
        <v>4610</v>
      </c>
      <c r="I1249" s="16" t="s">
        <v>104</v>
      </c>
      <c r="J1249" s="16" t="s">
        <v>1856</v>
      </c>
      <c r="K1249" s="32" t="n">
        <v>16</v>
      </c>
      <c r="L1249" s="33" t="n">
        <v>46413</v>
      </c>
      <c r="M1249" s="33" t="n">
        <v>46428</v>
      </c>
      <c r="N1249" s="16" t="s">
        <v>4889</v>
      </c>
      <c r="O1249" s="16"/>
      <c r="P1249" s="16" t="str">
        <f aca="false">IF(AND(L1249&lt;=$D$2,M1249&gt;=$C$2),"Sí","")</f>
        <v/>
      </c>
      <c r="Q1249" s="18" t="str">
        <f aca="false">IF(COUNTIF(LOOKAHEAD!$A$5:$A$604,A1249)&gt;0,"En Lookahead",IF(P1249="Sí","INCORPORAR",""))</f>
        <v/>
      </c>
    </row>
    <row r="1250" customFormat="false" ht="15" hidden="false" customHeight="false" outlineLevel="0" collapsed="false">
      <c r="A1250" s="16" t="s">
        <v>4890</v>
      </c>
      <c r="B1250" s="16" t="n">
        <v>1245</v>
      </c>
      <c r="C1250" s="16" t="s">
        <v>4891</v>
      </c>
      <c r="D1250" s="16" t="n">
        <v>8</v>
      </c>
      <c r="E1250" s="39" t="s">
        <v>1867</v>
      </c>
      <c r="F1250" s="16" t="s">
        <v>1285</v>
      </c>
      <c r="G1250" s="16" t="s">
        <v>322</v>
      </c>
      <c r="H1250" s="16" t="s">
        <v>4610</v>
      </c>
      <c r="I1250" s="16" t="s">
        <v>104</v>
      </c>
      <c r="J1250" s="16" t="s">
        <v>1856</v>
      </c>
      <c r="K1250" s="32" t="n">
        <v>6</v>
      </c>
      <c r="L1250" s="33" t="n">
        <v>46430</v>
      </c>
      <c r="M1250" s="33" t="n">
        <v>46435</v>
      </c>
      <c r="N1250" s="16" t="s">
        <v>4892</v>
      </c>
      <c r="O1250" s="16"/>
      <c r="P1250" s="16" t="str">
        <f aca="false">IF(AND(L1250&lt;=$D$2,M1250&gt;=$C$2),"Sí","")</f>
        <v/>
      </c>
      <c r="Q1250" s="18" t="str">
        <f aca="false">IF(COUNTIF(LOOKAHEAD!$A$5:$A$604,A1250)&gt;0,"En Lookahead",IF(P1250="Sí","INCORPORAR",""))</f>
        <v/>
      </c>
    </row>
    <row r="1251" customFormat="false" ht="15" hidden="false" customHeight="false" outlineLevel="0" collapsed="false">
      <c r="A1251" s="16" t="s">
        <v>4893</v>
      </c>
      <c r="B1251" s="16" t="n">
        <v>1246</v>
      </c>
      <c r="C1251" s="16" t="s">
        <v>4894</v>
      </c>
      <c r="D1251" s="16" t="n">
        <v>8</v>
      </c>
      <c r="E1251" s="39" t="s">
        <v>4895</v>
      </c>
      <c r="F1251" s="16" t="s">
        <v>1285</v>
      </c>
      <c r="G1251" s="16" t="s">
        <v>322</v>
      </c>
      <c r="H1251" s="16" t="s">
        <v>4610</v>
      </c>
      <c r="I1251" s="16" t="s">
        <v>104</v>
      </c>
      <c r="J1251" s="16" t="s">
        <v>1856</v>
      </c>
      <c r="K1251" s="32" t="n">
        <v>1</v>
      </c>
      <c r="L1251" s="33" t="n">
        <v>46429</v>
      </c>
      <c r="M1251" s="33" t="n">
        <v>46429</v>
      </c>
      <c r="N1251" s="16" t="s">
        <v>4896</v>
      </c>
      <c r="O1251" s="16"/>
      <c r="P1251" s="16" t="str">
        <f aca="false">IF(AND(L1251&lt;=$D$2,M1251&gt;=$C$2),"Sí","")</f>
        <v/>
      </c>
      <c r="Q1251" s="18" t="str">
        <f aca="false">IF(COUNTIF(LOOKAHEAD!$A$5:$A$604,A1251)&gt;0,"En Lookahead",IF(P1251="Sí","INCORPORAR",""))</f>
        <v/>
      </c>
    </row>
    <row r="1252" customFormat="false" ht="15" hidden="false" customHeight="false" outlineLevel="0" collapsed="false">
      <c r="A1252" s="16" t="s">
        <v>4897</v>
      </c>
      <c r="B1252" s="16" t="n">
        <v>1247</v>
      </c>
      <c r="C1252" s="16" t="s">
        <v>4898</v>
      </c>
      <c r="D1252" s="16" t="n">
        <v>8</v>
      </c>
      <c r="E1252" s="39" t="s">
        <v>1602</v>
      </c>
      <c r="F1252" s="16" t="s">
        <v>1285</v>
      </c>
      <c r="G1252" s="16" t="s">
        <v>322</v>
      </c>
      <c r="H1252" s="16" t="s">
        <v>4610</v>
      </c>
      <c r="I1252" s="16" t="s">
        <v>104</v>
      </c>
      <c r="J1252" s="16" t="s">
        <v>1856</v>
      </c>
      <c r="K1252" s="32" t="n">
        <v>3</v>
      </c>
      <c r="L1252" s="33" t="n">
        <v>46437</v>
      </c>
      <c r="M1252" s="33" t="n">
        <v>46439</v>
      </c>
      <c r="N1252" s="16" t="s">
        <v>4899</v>
      </c>
      <c r="O1252" s="16"/>
      <c r="P1252" s="16" t="str">
        <f aca="false">IF(AND(L1252&lt;=$D$2,M1252&gt;=$C$2),"Sí","")</f>
        <v/>
      </c>
      <c r="Q1252" s="18" t="str">
        <f aca="false">IF(COUNTIF(LOOKAHEAD!$A$5:$A$604,A1252)&gt;0,"En Lookahead",IF(P1252="Sí","INCORPORAR",""))</f>
        <v/>
      </c>
    </row>
    <row r="1253" customFormat="false" ht="15" hidden="false" customHeight="false" outlineLevel="0" collapsed="false">
      <c r="A1253" s="13" t="s">
        <v>4900</v>
      </c>
      <c r="B1253" s="13" t="n">
        <v>1248</v>
      </c>
      <c r="C1253" s="13" t="s">
        <v>4901</v>
      </c>
      <c r="D1253" s="13" t="n">
        <v>7</v>
      </c>
      <c r="E1253" s="38" t="s">
        <v>1878</v>
      </c>
      <c r="F1253" s="13" t="s">
        <v>1298</v>
      </c>
      <c r="G1253" s="13" t="s">
        <v>322</v>
      </c>
      <c r="H1253" s="13" t="s">
        <v>4610</v>
      </c>
      <c r="I1253" s="13" t="s">
        <v>104</v>
      </c>
      <c r="J1253" s="13" t="s">
        <v>1853</v>
      </c>
      <c r="K1253" s="30" t="n">
        <v>24</v>
      </c>
      <c r="L1253" s="31" t="n">
        <v>46467</v>
      </c>
      <c r="M1253" s="31" t="n">
        <v>46490</v>
      </c>
      <c r="N1253" s="13"/>
      <c r="O1253" s="13"/>
      <c r="P1253" s="13"/>
      <c r="Q1253" s="13"/>
    </row>
    <row r="1254" customFormat="false" ht="15" hidden="false" customHeight="false" outlineLevel="0" collapsed="false">
      <c r="A1254" s="16" t="s">
        <v>4902</v>
      </c>
      <c r="B1254" s="16" t="n">
        <v>1249</v>
      </c>
      <c r="C1254" s="16" t="s">
        <v>4903</v>
      </c>
      <c r="D1254" s="16" t="n">
        <v>8</v>
      </c>
      <c r="E1254" s="39" t="s">
        <v>1881</v>
      </c>
      <c r="F1254" s="16" t="s">
        <v>1285</v>
      </c>
      <c r="G1254" s="16" t="s">
        <v>322</v>
      </c>
      <c r="H1254" s="16" t="s">
        <v>4610</v>
      </c>
      <c r="I1254" s="16" t="s">
        <v>104</v>
      </c>
      <c r="J1254" s="16" t="s">
        <v>1878</v>
      </c>
      <c r="K1254" s="32" t="n">
        <v>1</v>
      </c>
      <c r="L1254" s="33" t="n">
        <v>46488</v>
      </c>
      <c r="M1254" s="33" t="n">
        <v>46488</v>
      </c>
      <c r="N1254" s="16" t="s">
        <v>4904</v>
      </c>
      <c r="O1254" s="16"/>
      <c r="P1254" s="16" t="str">
        <f aca="false">IF(AND(L1254&lt;=$D$2,M1254&gt;=$C$2),"Sí","")</f>
        <v/>
      </c>
      <c r="Q1254" s="18" t="str">
        <f aca="false">IF(COUNTIF(LOOKAHEAD!$A$5:$A$604,A1254)&gt;0,"En Lookahead",IF(P1254="Sí","INCORPORAR",""))</f>
        <v/>
      </c>
    </row>
    <row r="1255" customFormat="false" ht="15" hidden="false" customHeight="false" outlineLevel="0" collapsed="false">
      <c r="A1255" s="16" t="s">
        <v>4905</v>
      </c>
      <c r="B1255" s="16" t="n">
        <v>1250</v>
      </c>
      <c r="C1255" s="16" t="s">
        <v>4906</v>
      </c>
      <c r="D1255" s="16" t="n">
        <v>8</v>
      </c>
      <c r="E1255" s="39" t="s">
        <v>1885</v>
      </c>
      <c r="F1255" s="16" t="s">
        <v>1285</v>
      </c>
      <c r="G1255" s="16" t="s">
        <v>322</v>
      </c>
      <c r="H1255" s="16" t="s">
        <v>4610</v>
      </c>
      <c r="I1255" s="16" t="s">
        <v>104</v>
      </c>
      <c r="J1255" s="16" t="s">
        <v>1878</v>
      </c>
      <c r="K1255" s="32" t="n">
        <v>16</v>
      </c>
      <c r="L1255" s="33" t="n">
        <v>46467</v>
      </c>
      <c r="M1255" s="33" t="n">
        <v>46482</v>
      </c>
      <c r="N1255" s="16" t="s">
        <v>4907</v>
      </c>
      <c r="O1255" s="16"/>
      <c r="P1255" s="16" t="str">
        <f aca="false">IF(AND(L1255&lt;=$D$2,M1255&gt;=$C$2),"Sí","")</f>
        <v/>
      </c>
      <c r="Q1255" s="18" t="str">
        <f aca="false">IF(COUNTIF(LOOKAHEAD!$A$5:$A$604,A1255)&gt;0,"En Lookahead",IF(P1255="Sí","INCORPORAR",""))</f>
        <v/>
      </c>
    </row>
    <row r="1256" customFormat="false" ht="15" hidden="false" customHeight="false" outlineLevel="0" collapsed="false">
      <c r="A1256" s="16" t="s">
        <v>4908</v>
      </c>
      <c r="B1256" s="16" t="n">
        <v>1251</v>
      </c>
      <c r="C1256" s="16" t="s">
        <v>4909</v>
      </c>
      <c r="D1256" s="16" t="n">
        <v>8</v>
      </c>
      <c r="E1256" s="39" t="s">
        <v>1867</v>
      </c>
      <c r="F1256" s="16" t="s">
        <v>1285</v>
      </c>
      <c r="G1256" s="16" t="s">
        <v>322</v>
      </c>
      <c r="H1256" s="16" t="s">
        <v>4610</v>
      </c>
      <c r="I1256" s="16" t="s">
        <v>104</v>
      </c>
      <c r="J1256" s="16" t="s">
        <v>1878</v>
      </c>
      <c r="K1256" s="32" t="n">
        <v>4</v>
      </c>
      <c r="L1256" s="33" t="n">
        <v>46484</v>
      </c>
      <c r="M1256" s="33" t="n">
        <v>46487</v>
      </c>
      <c r="N1256" s="16" t="s">
        <v>4910</v>
      </c>
      <c r="O1256" s="16"/>
      <c r="P1256" s="16" t="str">
        <f aca="false">IF(AND(L1256&lt;=$D$2,M1256&gt;=$C$2),"Sí","")</f>
        <v/>
      </c>
      <c r="Q1256" s="18" t="str">
        <f aca="false">IF(COUNTIF(LOOKAHEAD!$A$5:$A$604,A1256)&gt;0,"En Lookahead",IF(P1256="Sí","INCORPORAR",""))</f>
        <v/>
      </c>
    </row>
    <row r="1257" customFormat="false" ht="15" hidden="false" customHeight="false" outlineLevel="0" collapsed="false">
      <c r="A1257" s="16" t="s">
        <v>4911</v>
      </c>
      <c r="B1257" s="16" t="n">
        <v>1252</v>
      </c>
      <c r="C1257" s="16" t="s">
        <v>4912</v>
      </c>
      <c r="D1257" s="16" t="n">
        <v>8</v>
      </c>
      <c r="E1257" s="39" t="s">
        <v>1892</v>
      </c>
      <c r="F1257" s="16" t="s">
        <v>1285</v>
      </c>
      <c r="G1257" s="16" t="s">
        <v>322</v>
      </c>
      <c r="H1257" s="16" t="s">
        <v>4610</v>
      </c>
      <c r="I1257" s="16" t="s">
        <v>104</v>
      </c>
      <c r="J1257" s="16" t="s">
        <v>1878</v>
      </c>
      <c r="K1257" s="32" t="n">
        <v>1</v>
      </c>
      <c r="L1257" s="33" t="n">
        <v>46483</v>
      </c>
      <c r="M1257" s="33" t="n">
        <v>46483</v>
      </c>
      <c r="N1257" s="16" t="s">
        <v>4913</v>
      </c>
      <c r="O1257" s="16"/>
      <c r="P1257" s="16" t="str">
        <f aca="false">IF(AND(L1257&lt;=$D$2,M1257&gt;=$C$2),"Sí","")</f>
        <v/>
      </c>
      <c r="Q1257" s="18" t="str">
        <f aca="false">IF(COUNTIF(LOOKAHEAD!$A$5:$A$604,A1257)&gt;0,"En Lookahead",IF(P1257="Sí","INCORPORAR",""))</f>
        <v/>
      </c>
    </row>
    <row r="1258" customFormat="false" ht="15" hidden="false" customHeight="false" outlineLevel="0" collapsed="false">
      <c r="A1258" s="16" t="s">
        <v>4914</v>
      </c>
      <c r="B1258" s="16" t="n">
        <v>1253</v>
      </c>
      <c r="C1258" s="16" t="s">
        <v>4915</v>
      </c>
      <c r="D1258" s="16" t="n">
        <v>8</v>
      </c>
      <c r="E1258" s="39" t="s">
        <v>1602</v>
      </c>
      <c r="F1258" s="16" t="s">
        <v>1285</v>
      </c>
      <c r="G1258" s="16" t="s">
        <v>322</v>
      </c>
      <c r="H1258" s="16" t="s">
        <v>4610</v>
      </c>
      <c r="I1258" s="16" t="s">
        <v>104</v>
      </c>
      <c r="J1258" s="16" t="s">
        <v>1878</v>
      </c>
      <c r="K1258" s="32" t="n">
        <v>2</v>
      </c>
      <c r="L1258" s="33" t="n">
        <v>46489</v>
      </c>
      <c r="M1258" s="33" t="n">
        <v>46490</v>
      </c>
      <c r="N1258" s="16" t="s">
        <v>4916</v>
      </c>
      <c r="O1258" s="16"/>
      <c r="P1258" s="16" t="str">
        <f aca="false">IF(AND(L1258&lt;=$D$2,M1258&gt;=$C$2),"Sí","")</f>
        <v/>
      </c>
      <c r="Q1258" s="18" t="str">
        <f aca="false">IF(COUNTIF(LOOKAHEAD!$A$5:$A$604,A1258)&gt;0,"En Lookahead",IF(P1258="Sí","INCORPORAR",""))</f>
        <v/>
      </c>
    </row>
    <row r="1259" customFormat="false" ht="15" hidden="false" customHeight="false" outlineLevel="0" collapsed="false">
      <c r="A1259" s="13" t="s">
        <v>4917</v>
      </c>
      <c r="B1259" s="13" t="n">
        <v>1254</v>
      </c>
      <c r="C1259" s="13" t="s">
        <v>4918</v>
      </c>
      <c r="D1259" s="13" t="n">
        <v>6</v>
      </c>
      <c r="E1259" s="36" t="s">
        <v>2626</v>
      </c>
      <c r="F1259" s="13" t="s">
        <v>1298</v>
      </c>
      <c r="G1259" s="13" t="s">
        <v>322</v>
      </c>
      <c r="H1259" s="13" t="s">
        <v>4610</v>
      </c>
      <c r="I1259" s="13" t="s">
        <v>104</v>
      </c>
      <c r="J1259" s="13" t="s">
        <v>1623</v>
      </c>
      <c r="K1259" s="30" t="n">
        <v>8</v>
      </c>
      <c r="L1259" s="31" t="n">
        <v>46437</v>
      </c>
      <c r="M1259" s="31" t="n">
        <v>46444</v>
      </c>
      <c r="N1259" s="13"/>
      <c r="O1259" s="13"/>
      <c r="P1259" s="13"/>
      <c r="Q1259" s="13"/>
    </row>
    <row r="1260" customFormat="false" ht="15" hidden="false" customHeight="false" outlineLevel="0" collapsed="false">
      <c r="A1260" s="13" t="s">
        <v>4919</v>
      </c>
      <c r="B1260" s="13" t="n">
        <v>1255</v>
      </c>
      <c r="C1260" s="13" t="s">
        <v>4920</v>
      </c>
      <c r="D1260" s="13" t="n">
        <v>7</v>
      </c>
      <c r="E1260" s="38" t="s">
        <v>4921</v>
      </c>
      <c r="F1260" s="13" t="s">
        <v>1298</v>
      </c>
      <c r="G1260" s="13" t="s">
        <v>322</v>
      </c>
      <c r="H1260" s="13" t="s">
        <v>4610</v>
      </c>
      <c r="I1260" s="13" t="s">
        <v>104</v>
      </c>
      <c r="J1260" s="13" t="s">
        <v>2626</v>
      </c>
      <c r="K1260" s="30" t="n">
        <v>8</v>
      </c>
      <c r="L1260" s="31" t="n">
        <v>46437</v>
      </c>
      <c r="M1260" s="31" t="n">
        <v>46444</v>
      </c>
      <c r="N1260" s="13"/>
      <c r="O1260" s="13"/>
      <c r="P1260" s="13"/>
      <c r="Q1260" s="13"/>
    </row>
    <row r="1261" customFormat="false" ht="15" hidden="false" customHeight="false" outlineLevel="0" collapsed="false">
      <c r="A1261" s="16" t="s">
        <v>4922</v>
      </c>
      <c r="B1261" s="16" t="n">
        <v>1256</v>
      </c>
      <c r="C1261" s="16" t="s">
        <v>4923</v>
      </c>
      <c r="D1261" s="16" t="n">
        <v>8</v>
      </c>
      <c r="E1261" s="39" t="s">
        <v>2632</v>
      </c>
      <c r="F1261" s="16" t="s">
        <v>1285</v>
      </c>
      <c r="G1261" s="16" t="s">
        <v>322</v>
      </c>
      <c r="H1261" s="16" t="s">
        <v>4610</v>
      </c>
      <c r="I1261" s="16" t="s">
        <v>104</v>
      </c>
      <c r="J1261" s="16" t="s">
        <v>4921</v>
      </c>
      <c r="K1261" s="32" t="n">
        <v>1</v>
      </c>
      <c r="L1261" s="33" t="n">
        <v>46443</v>
      </c>
      <c r="M1261" s="33" t="n">
        <v>46443</v>
      </c>
      <c r="N1261" s="16" t="s">
        <v>4924</v>
      </c>
      <c r="O1261" s="16"/>
      <c r="P1261" s="16" t="str">
        <f aca="false">IF(AND(L1261&lt;=$D$2,M1261&gt;=$C$2),"Sí","")</f>
        <v/>
      </c>
      <c r="Q1261" s="18" t="str">
        <f aca="false">IF(COUNTIF(LOOKAHEAD!$A$5:$A$604,A1261)&gt;0,"En Lookahead",IF(P1261="Sí","INCORPORAR",""))</f>
        <v/>
      </c>
    </row>
    <row r="1262" customFormat="false" ht="15" hidden="false" customHeight="false" outlineLevel="0" collapsed="false">
      <c r="A1262" s="16" t="s">
        <v>4925</v>
      </c>
      <c r="B1262" s="16" t="n">
        <v>1257</v>
      </c>
      <c r="C1262" s="16" t="s">
        <v>4926</v>
      </c>
      <c r="D1262" s="16" t="n">
        <v>8</v>
      </c>
      <c r="E1262" s="39" t="s">
        <v>2636</v>
      </c>
      <c r="F1262" s="16" t="s">
        <v>1285</v>
      </c>
      <c r="G1262" s="16" t="s">
        <v>322</v>
      </c>
      <c r="H1262" s="16" t="s">
        <v>4610</v>
      </c>
      <c r="I1262" s="16" t="s">
        <v>104</v>
      </c>
      <c r="J1262" s="16" t="s">
        <v>4921</v>
      </c>
      <c r="K1262" s="32" t="n">
        <v>4</v>
      </c>
      <c r="L1262" s="33" t="n">
        <v>46439</v>
      </c>
      <c r="M1262" s="33" t="n">
        <v>46442</v>
      </c>
      <c r="N1262" s="16" t="s">
        <v>4927</v>
      </c>
      <c r="O1262" s="16"/>
      <c r="P1262" s="16" t="str">
        <f aca="false">IF(AND(L1262&lt;=$D$2,M1262&gt;=$C$2),"Sí","")</f>
        <v/>
      </c>
      <c r="Q1262" s="18" t="str">
        <f aca="false">IF(COUNTIF(LOOKAHEAD!$A$5:$A$604,A1262)&gt;0,"En Lookahead",IF(P1262="Sí","INCORPORAR",""))</f>
        <v/>
      </c>
    </row>
    <row r="1263" customFormat="false" ht="15" hidden="false" customHeight="false" outlineLevel="0" collapsed="false">
      <c r="A1263" s="16" t="s">
        <v>4928</v>
      </c>
      <c r="B1263" s="16" t="n">
        <v>1258</v>
      </c>
      <c r="C1263" s="16" t="s">
        <v>4929</v>
      </c>
      <c r="D1263" s="16" t="n">
        <v>8</v>
      </c>
      <c r="E1263" s="39" t="s">
        <v>2639</v>
      </c>
      <c r="F1263" s="16" t="s">
        <v>1285</v>
      </c>
      <c r="G1263" s="16" t="s">
        <v>322</v>
      </c>
      <c r="H1263" s="16" t="s">
        <v>4610</v>
      </c>
      <c r="I1263" s="16" t="s">
        <v>104</v>
      </c>
      <c r="J1263" s="16" t="s">
        <v>4921</v>
      </c>
      <c r="K1263" s="32" t="n">
        <v>2</v>
      </c>
      <c r="L1263" s="33" t="n">
        <v>46437</v>
      </c>
      <c r="M1263" s="33" t="n">
        <v>46438</v>
      </c>
      <c r="N1263" s="16" t="s">
        <v>4899</v>
      </c>
      <c r="O1263" s="16"/>
      <c r="P1263" s="16" t="str">
        <f aca="false">IF(AND(L1263&lt;=$D$2,M1263&gt;=$C$2),"Sí","")</f>
        <v/>
      </c>
      <c r="Q1263" s="18" t="str">
        <f aca="false">IF(COUNTIF(LOOKAHEAD!$A$5:$A$604,A1263)&gt;0,"En Lookahead",IF(P1263="Sí","INCORPORAR",""))</f>
        <v/>
      </c>
    </row>
    <row r="1264" customFormat="false" ht="15" hidden="false" customHeight="false" outlineLevel="0" collapsed="false">
      <c r="A1264" s="16" t="s">
        <v>4930</v>
      </c>
      <c r="B1264" s="16" t="n">
        <v>1259</v>
      </c>
      <c r="C1264" s="16" t="s">
        <v>4931</v>
      </c>
      <c r="D1264" s="16" t="n">
        <v>8</v>
      </c>
      <c r="E1264" s="39" t="s">
        <v>1602</v>
      </c>
      <c r="F1264" s="16" t="s">
        <v>1285</v>
      </c>
      <c r="G1264" s="16" t="s">
        <v>322</v>
      </c>
      <c r="H1264" s="16" t="s">
        <v>4610</v>
      </c>
      <c r="I1264" s="16" t="s">
        <v>104</v>
      </c>
      <c r="J1264" s="16" t="s">
        <v>4921</v>
      </c>
      <c r="K1264" s="32" t="n">
        <v>1</v>
      </c>
      <c r="L1264" s="33" t="n">
        <v>46444</v>
      </c>
      <c r="M1264" s="33" t="n">
        <v>46444</v>
      </c>
      <c r="N1264" s="16" t="s">
        <v>4932</v>
      </c>
      <c r="O1264" s="16"/>
      <c r="P1264" s="16" t="str">
        <f aca="false">IF(AND(L1264&lt;=$D$2,M1264&gt;=$C$2),"Sí","")</f>
        <v/>
      </c>
      <c r="Q1264" s="18" t="str">
        <f aca="false">IF(COUNTIF(LOOKAHEAD!$A$5:$A$604,A1264)&gt;0,"En Lookahead",IF(P1264="Sí","INCORPORAR",""))</f>
        <v/>
      </c>
    </row>
    <row r="1265" customFormat="false" ht="15" hidden="false" customHeight="false" outlineLevel="0" collapsed="false">
      <c r="A1265" s="13" t="s">
        <v>4933</v>
      </c>
      <c r="B1265" s="13" t="n">
        <v>1260</v>
      </c>
      <c r="C1265" s="13" t="s">
        <v>4934</v>
      </c>
      <c r="D1265" s="13" t="n">
        <v>6</v>
      </c>
      <c r="E1265" s="36" t="s">
        <v>1985</v>
      </c>
      <c r="F1265" s="13" t="s">
        <v>1298</v>
      </c>
      <c r="G1265" s="13" t="s">
        <v>322</v>
      </c>
      <c r="H1265" s="13" t="s">
        <v>4610</v>
      </c>
      <c r="I1265" s="13" t="s">
        <v>104</v>
      </c>
      <c r="J1265" s="13" t="s">
        <v>1623</v>
      </c>
      <c r="K1265" s="30" t="n">
        <v>5</v>
      </c>
      <c r="L1265" s="31" t="n">
        <v>46404</v>
      </c>
      <c r="M1265" s="31" t="n">
        <v>46408</v>
      </c>
      <c r="N1265" s="13"/>
      <c r="O1265" s="13"/>
      <c r="P1265" s="13"/>
      <c r="Q1265" s="13"/>
    </row>
    <row r="1266" customFormat="false" ht="15" hidden="false" customHeight="false" outlineLevel="0" collapsed="false">
      <c r="A1266" s="13" t="s">
        <v>4935</v>
      </c>
      <c r="B1266" s="13" t="n">
        <v>1261</v>
      </c>
      <c r="C1266" s="13" t="s">
        <v>4936</v>
      </c>
      <c r="D1266" s="13" t="n">
        <v>7</v>
      </c>
      <c r="E1266" s="38" t="s">
        <v>1988</v>
      </c>
      <c r="F1266" s="13" t="s">
        <v>1298</v>
      </c>
      <c r="G1266" s="13" t="s">
        <v>322</v>
      </c>
      <c r="H1266" s="13" t="s">
        <v>4610</v>
      </c>
      <c r="I1266" s="13" t="s">
        <v>104</v>
      </c>
      <c r="J1266" s="13" t="s">
        <v>1985</v>
      </c>
      <c r="K1266" s="30" t="n">
        <v>4</v>
      </c>
      <c r="L1266" s="31" t="n">
        <v>46404</v>
      </c>
      <c r="M1266" s="31" t="n">
        <v>46407</v>
      </c>
      <c r="N1266" s="13"/>
      <c r="O1266" s="13"/>
      <c r="P1266" s="13"/>
      <c r="Q1266" s="13"/>
    </row>
    <row r="1267" customFormat="false" ht="15" hidden="false" customHeight="false" outlineLevel="0" collapsed="false">
      <c r="A1267" s="16" t="s">
        <v>4937</v>
      </c>
      <c r="B1267" s="16" t="n">
        <v>1262</v>
      </c>
      <c r="C1267" s="16" t="s">
        <v>4938</v>
      </c>
      <c r="D1267" s="16" t="n">
        <v>8</v>
      </c>
      <c r="E1267" s="39" t="s">
        <v>1991</v>
      </c>
      <c r="F1267" s="16" t="s">
        <v>1285</v>
      </c>
      <c r="G1267" s="16" t="s">
        <v>322</v>
      </c>
      <c r="H1267" s="16" t="s">
        <v>4610</v>
      </c>
      <c r="I1267" s="16" t="s">
        <v>104</v>
      </c>
      <c r="J1267" s="16" t="s">
        <v>1988</v>
      </c>
      <c r="K1267" s="32" t="n">
        <v>1</v>
      </c>
      <c r="L1267" s="33" t="n">
        <v>46406</v>
      </c>
      <c r="M1267" s="33" t="n">
        <v>46406</v>
      </c>
      <c r="N1267" s="16" t="s">
        <v>4939</v>
      </c>
      <c r="O1267" s="16"/>
      <c r="P1267" s="16" t="str">
        <f aca="false">IF(AND(L1267&lt;=$D$2,M1267&gt;=$C$2),"Sí","")</f>
        <v/>
      </c>
      <c r="Q1267" s="18" t="str">
        <f aca="false">IF(COUNTIF(LOOKAHEAD!$A$5:$A$604,A1267)&gt;0,"En Lookahead",IF(P1267="Sí","INCORPORAR",""))</f>
        <v/>
      </c>
    </row>
    <row r="1268" customFormat="false" ht="15" hidden="false" customHeight="false" outlineLevel="0" collapsed="false">
      <c r="A1268" s="16" t="s">
        <v>4940</v>
      </c>
      <c r="B1268" s="16" t="n">
        <v>1263</v>
      </c>
      <c r="C1268" s="16" t="s">
        <v>4941</v>
      </c>
      <c r="D1268" s="16" t="n">
        <v>8</v>
      </c>
      <c r="E1268" s="39" t="s">
        <v>1995</v>
      </c>
      <c r="F1268" s="16" t="s">
        <v>1285</v>
      </c>
      <c r="G1268" s="16" t="s">
        <v>322</v>
      </c>
      <c r="H1268" s="16" t="s">
        <v>4610</v>
      </c>
      <c r="I1268" s="16" t="s">
        <v>104</v>
      </c>
      <c r="J1268" s="16" t="s">
        <v>1988</v>
      </c>
      <c r="K1268" s="32" t="n">
        <v>1</v>
      </c>
      <c r="L1268" s="33" t="n">
        <v>46405</v>
      </c>
      <c r="M1268" s="33" t="n">
        <v>46405</v>
      </c>
      <c r="N1268" s="16" t="s">
        <v>4942</v>
      </c>
      <c r="O1268" s="16"/>
      <c r="P1268" s="16" t="str">
        <f aca="false">IF(AND(L1268&lt;=$D$2,M1268&gt;=$C$2),"Sí","")</f>
        <v/>
      </c>
      <c r="Q1268" s="18" t="str">
        <f aca="false">IF(COUNTIF(LOOKAHEAD!$A$5:$A$604,A1268)&gt;0,"En Lookahead",IF(P1268="Sí","INCORPORAR",""))</f>
        <v/>
      </c>
    </row>
    <row r="1269" customFormat="false" ht="15" hidden="false" customHeight="false" outlineLevel="0" collapsed="false">
      <c r="A1269" s="16" t="s">
        <v>4943</v>
      </c>
      <c r="B1269" s="16" t="n">
        <v>1264</v>
      </c>
      <c r="C1269" s="16" t="s">
        <v>4944</v>
      </c>
      <c r="D1269" s="16" t="n">
        <v>8</v>
      </c>
      <c r="E1269" s="39" t="s">
        <v>1999</v>
      </c>
      <c r="F1269" s="16" t="s">
        <v>1285</v>
      </c>
      <c r="G1269" s="16" t="s">
        <v>322</v>
      </c>
      <c r="H1269" s="16" t="s">
        <v>4610</v>
      </c>
      <c r="I1269" s="16" t="s">
        <v>104</v>
      </c>
      <c r="J1269" s="16" t="s">
        <v>1988</v>
      </c>
      <c r="K1269" s="32" t="n">
        <v>1</v>
      </c>
      <c r="L1269" s="33" t="n">
        <v>46404</v>
      </c>
      <c r="M1269" s="33" t="n">
        <v>46404</v>
      </c>
      <c r="N1269" s="16" t="s">
        <v>4945</v>
      </c>
      <c r="O1269" s="16"/>
      <c r="P1269" s="16" t="str">
        <f aca="false">IF(AND(L1269&lt;=$D$2,M1269&gt;=$C$2),"Sí","")</f>
        <v/>
      </c>
      <c r="Q1269" s="18" t="str">
        <f aca="false">IF(COUNTIF(LOOKAHEAD!$A$5:$A$604,A1269)&gt;0,"En Lookahead",IF(P1269="Sí","INCORPORAR",""))</f>
        <v/>
      </c>
    </row>
    <row r="1270" customFormat="false" ht="15" hidden="false" customHeight="false" outlineLevel="0" collapsed="false">
      <c r="A1270" s="16" t="s">
        <v>4946</v>
      </c>
      <c r="B1270" s="16" t="n">
        <v>1265</v>
      </c>
      <c r="C1270" s="16" t="s">
        <v>4947</v>
      </c>
      <c r="D1270" s="16" t="n">
        <v>8</v>
      </c>
      <c r="E1270" s="39" t="s">
        <v>1677</v>
      </c>
      <c r="F1270" s="16" t="s">
        <v>1285</v>
      </c>
      <c r="G1270" s="16" t="s">
        <v>322</v>
      </c>
      <c r="H1270" s="16" t="s">
        <v>4610</v>
      </c>
      <c r="I1270" s="16" t="s">
        <v>104</v>
      </c>
      <c r="J1270" s="16" t="s">
        <v>1988</v>
      </c>
      <c r="K1270" s="32" t="n">
        <v>1</v>
      </c>
      <c r="L1270" s="33" t="n">
        <v>46407</v>
      </c>
      <c r="M1270" s="33" t="n">
        <v>46407</v>
      </c>
      <c r="N1270" s="16" t="s">
        <v>4948</v>
      </c>
      <c r="O1270" s="16"/>
      <c r="P1270" s="16" t="str">
        <f aca="false">IF(AND(L1270&lt;=$D$2,M1270&gt;=$C$2),"Sí","")</f>
        <v/>
      </c>
      <c r="Q1270" s="18" t="str">
        <f aca="false">IF(COUNTIF(LOOKAHEAD!$A$5:$A$604,A1270)&gt;0,"En Lookahead",IF(P1270="Sí","INCORPORAR",""))</f>
        <v/>
      </c>
    </row>
    <row r="1271" customFormat="false" ht="15" hidden="false" customHeight="false" outlineLevel="0" collapsed="false">
      <c r="A1271" s="13" t="s">
        <v>4949</v>
      </c>
      <c r="B1271" s="13" t="n">
        <v>1266</v>
      </c>
      <c r="C1271" s="13" t="s">
        <v>4950</v>
      </c>
      <c r="D1271" s="13" t="n">
        <v>7</v>
      </c>
      <c r="E1271" s="38" t="s">
        <v>2006</v>
      </c>
      <c r="F1271" s="13" t="s">
        <v>1298</v>
      </c>
      <c r="G1271" s="13" t="s">
        <v>322</v>
      </c>
      <c r="H1271" s="13" t="s">
        <v>4610</v>
      </c>
      <c r="I1271" s="13" t="s">
        <v>104</v>
      </c>
      <c r="J1271" s="13" t="s">
        <v>1985</v>
      </c>
      <c r="K1271" s="30" t="n">
        <v>5</v>
      </c>
      <c r="L1271" s="31" t="n">
        <v>46404</v>
      </c>
      <c r="M1271" s="31" t="n">
        <v>46408</v>
      </c>
      <c r="N1271" s="13"/>
      <c r="O1271" s="13"/>
      <c r="P1271" s="13"/>
      <c r="Q1271" s="13"/>
    </row>
    <row r="1272" customFormat="false" ht="15" hidden="false" customHeight="false" outlineLevel="0" collapsed="false">
      <c r="A1272" s="16" t="s">
        <v>4951</v>
      </c>
      <c r="B1272" s="16" t="n">
        <v>1267</v>
      </c>
      <c r="C1272" s="16" t="s">
        <v>4952</v>
      </c>
      <c r="D1272" s="16" t="n">
        <v>8</v>
      </c>
      <c r="E1272" s="39" t="s">
        <v>2009</v>
      </c>
      <c r="F1272" s="16" t="s">
        <v>1285</v>
      </c>
      <c r="G1272" s="16" t="s">
        <v>322</v>
      </c>
      <c r="H1272" s="16" t="s">
        <v>4610</v>
      </c>
      <c r="I1272" s="16" t="s">
        <v>104</v>
      </c>
      <c r="J1272" s="16" t="s">
        <v>2006</v>
      </c>
      <c r="K1272" s="32" t="n">
        <v>1</v>
      </c>
      <c r="L1272" s="33" t="n">
        <v>46407</v>
      </c>
      <c r="M1272" s="33" t="n">
        <v>46407</v>
      </c>
      <c r="N1272" s="16" t="s">
        <v>4953</v>
      </c>
      <c r="O1272" s="16"/>
      <c r="P1272" s="16" t="str">
        <f aca="false">IF(AND(L1272&lt;=$D$2,M1272&gt;=$C$2),"Sí","")</f>
        <v/>
      </c>
      <c r="Q1272" s="18" t="str">
        <f aca="false">IF(COUNTIF(LOOKAHEAD!$A$5:$A$604,A1272)&gt;0,"En Lookahead",IF(P1272="Sí","INCORPORAR",""))</f>
        <v/>
      </c>
    </row>
    <row r="1273" customFormat="false" ht="15" hidden="false" customHeight="false" outlineLevel="0" collapsed="false">
      <c r="A1273" s="16" t="s">
        <v>4954</v>
      </c>
      <c r="B1273" s="16" t="n">
        <v>1268</v>
      </c>
      <c r="C1273" s="16" t="s">
        <v>4955</v>
      </c>
      <c r="D1273" s="16" t="n">
        <v>8</v>
      </c>
      <c r="E1273" s="39" t="s">
        <v>2013</v>
      </c>
      <c r="F1273" s="16" t="s">
        <v>1285</v>
      </c>
      <c r="G1273" s="16" t="s">
        <v>322</v>
      </c>
      <c r="H1273" s="16" t="s">
        <v>4610</v>
      </c>
      <c r="I1273" s="16" t="s">
        <v>104</v>
      </c>
      <c r="J1273" s="16" t="s">
        <v>2006</v>
      </c>
      <c r="K1273" s="32" t="n">
        <v>2</v>
      </c>
      <c r="L1273" s="33" t="n">
        <v>46405</v>
      </c>
      <c r="M1273" s="33" t="n">
        <v>46406</v>
      </c>
      <c r="N1273" s="16" t="s">
        <v>4956</v>
      </c>
      <c r="O1273" s="16"/>
      <c r="P1273" s="16" t="str">
        <f aca="false">IF(AND(L1273&lt;=$D$2,M1273&gt;=$C$2),"Sí","")</f>
        <v/>
      </c>
      <c r="Q1273" s="18" t="str">
        <f aca="false">IF(COUNTIF(LOOKAHEAD!$A$5:$A$604,A1273)&gt;0,"En Lookahead",IF(P1273="Sí","INCORPORAR",""))</f>
        <v/>
      </c>
    </row>
    <row r="1274" customFormat="false" ht="15" hidden="false" customHeight="false" outlineLevel="0" collapsed="false">
      <c r="A1274" s="16" t="s">
        <v>4957</v>
      </c>
      <c r="B1274" s="16" t="n">
        <v>1269</v>
      </c>
      <c r="C1274" s="16" t="s">
        <v>4958</v>
      </c>
      <c r="D1274" s="16" t="n">
        <v>8</v>
      </c>
      <c r="E1274" s="39" t="s">
        <v>1999</v>
      </c>
      <c r="F1274" s="16" t="s">
        <v>1285</v>
      </c>
      <c r="G1274" s="16" t="s">
        <v>322</v>
      </c>
      <c r="H1274" s="16" t="s">
        <v>4610</v>
      </c>
      <c r="I1274" s="16" t="s">
        <v>104</v>
      </c>
      <c r="J1274" s="16" t="s">
        <v>2006</v>
      </c>
      <c r="K1274" s="32" t="n">
        <v>1</v>
      </c>
      <c r="L1274" s="33" t="n">
        <v>46404</v>
      </c>
      <c r="M1274" s="33" t="n">
        <v>46404</v>
      </c>
      <c r="N1274" s="16" t="s">
        <v>4945</v>
      </c>
      <c r="O1274" s="16"/>
      <c r="P1274" s="16" t="str">
        <f aca="false">IF(AND(L1274&lt;=$D$2,M1274&gt;=$C$2),"Sí","")</f>
        <v/>
      </c>
      <c r="Q1274" s="18" t="str">
        <f aca="false">IF(COUNTIF(LOOKAHEAD!$A$5:$A$604,A1274)&gt;0,"En Lookahead",IF(P1274="Sí","INCORPORAR",""))</f>
        <v/>
      </c>
    </row>
    <row r="1275" customFormat="false" ht="15" hidden="false" customHeight="false" outlineLevel="0" collapsed="false">
      <c r="A1275" s="16" t="s">
        <v>4959</v>
      </c>
      <c r="B1275" s="16" t="n">
        <v>1270</v>
      </c>
      <c r="C1275" s="16" t="s">
        <v>4960</v>
      </c>
      <c r="D1275" s="16" t="n">
        <v>8</v>
      </c>
      <c r="E1275" s="39" t="s">
        <v>1677</v>
      </c>
      <c r="F1275" s="16" t="s">
        <v>1285</v>
      </c>
      <c r="G1275" s="16" t="s">
        <v>322</v>
      </c>
      <c r="H1275" s="16" t="s">
        <v>4610</v>
      </c>
      <c r="I1275" s="16" t="s">
        <v>104</v>
      </c>
      <c r="J1275" s="16" t="s">
        <v>2006</v>
      </c>
      <c r="K1275" s="32" t="n">
        <v>1</v>
      </c>
      <c r="L1275" s="33" t="n">
        <v>46408</v>
      </c>
      <c r="M1275" s="33" t="n">
        <v>46408</v>
      </c>
      <c r="N1275" s="16" t="s">
        <v>4961</v>
      </c>
      <c r="O1275" s="16"/>
      <c r="P1275" s="16" t="str">
        <f aca="false">IF(AND(L1275&lt;=$D$2,M1275&gt;=$C$2),"Sí","")</f>
        <v/>
      </c>
      <c r="Q1275" s="18" t="str">
        <f aca="false">IF(COUNTIF(LOOKAHEAD!$A$5:$A$604,A1275)&gt;0,"En Lookahead",IF(P1275="Sí","INCORPORAR",""))</f>
        <v/>
      </c>
    </row>
    <row r="1276" customFormat="false" ht="15" hidden="false" customHeight="false" outlineLevel="0" collapsed="false">
      <c r="A1276" s="13" t="s">
        <v>4962</v>
      </c>
      <c r="B1276" s="13" t="n">
        <v>1271</v>
      </c>
      <c r="C1276" s="13" t="s">
        <v>4963</v>
      </c>
      <c r="D1276" s="13" t="n">
        <v>7</v>
      </c>
      <c r="E1276" s="38" t="s">
        <v>2038</v>
      </c>
      <c r="F1276" s="13" t="s">
        <v>1298</v>
      </c>
      <c r="G1276" s="13" t="s">
        <v>322</v>
      </c>
      <c r="H1276" s="13" t="s">
        <v>4610</v>
      </c>
      <c r="I1276" s="13" t="s">
        <v>104</v>
      </c>
      <c r="J1276" s="13" t="s">
        <v>1985</v>
      </c>
      <c r="K1276" s="30" t="n">
        <v>5</v>
      </c>
      <c r="L1276" s="31" t="n">
        <v>46404</v>
      </c>
      <c r="M1276" s="31" t="n">
        <v>46408</v>
      </c>
      <c r="N1276" s="13"/>
      <c r="O1276" s="13"/>
      <c r="P1276" s="13"/>
      <c r="Q1276" s="13"/>
    </row>
    <row r="1277" customFormat="false" ht="15" hidden="false" customHeight="false" outlineLevel="0" collapsed="false">
      <c r="A1277" s="16" t="s">
        <v>4964</v>
      </c>
      <c r="B1277" s="16" t="n">
        <v>1272</v>
      </c>
      <c r="C1277" s="16" t="s">
        <v>4965</v>
      </c>
      <c r="D1277" s="16" t="n">
        <v>8</v>
      </c>
      <c r="E1277" s="39" t="s">
        <v>2041</v>
      </c>
      <c r="F1277" s="16" t="s">
        <v>1285</v>
      </c>
      <c r="G1277" s="16" t="s">
        <v>322</v>
      </c>
      <c r="H1277" s="16" t="s">
        <v>4610</v>
      </c>
      <c r="I1277" s="16" t="s">
        <v>104</v>
      </c>
      <c r="J1277" s="16" t="s">
        <v>2038</v>
      </c>
      <c r="K1277" s="32" t="n">
        <v>1</v>
      </c>
      <c r="L1277" s="33" t="n">
        <v>46407</v>
      </c>
      <c r="M1277" s="33" t="n">
        <v>46407</v>
      </c>
      <c r="N1277" s="16" t="s">
        <v>4966</v>
      </c>
      <c r="O1277" s="16"/>
      <c r="P1277" s="16" t="str">
        <f aca="false">IF(AND(L1277&lt;=$D$2,M1277&gt;=$C$2),"Sí","")</f>
        <v/>
      </c>
      <c r="Q1277" s="18" t="str">
        <f aca="false">IF(COUNTIF(LOOKAHEAD!$A$5:$A$604,A1277)&gt;0,"En Lookahead",IF(P1277="Sí","INCORPORAR",""))</f>
        <v/>
      </c>
    </row>
    <row r="1278" customFormat="false" ht="15" hidden="false" customHeight="false" outlineLevel="0" collapsed="false">
      <c r="A1278" s="16" t="s">
        <v>4967</v>
      </c>
      <c r="B1278" s="16" t="n">
        <v>1273</v>
      </c>
      <c r="C1278" s="16" t="s">
        <v>4968</v>
      </c>
      <c r="D1278" s="16" t="n">
        <v>8</v>
      </c>
      <c r="E1278" s="39" t="s">
        <v>2045</v>
      </c>
      <c r="F1278" s="16" t="s">
        <v>1285</v>
      </c>
      <c r="G1278" s="16" t="s">
        <v>322</v>
      </c>
      <c r="H1278" s="16" t="s">
        <v>4610</v>
      </c>
      <c r="I1278" s="16" t="s">
        <v>104</v>
      </c>
      <c r="J1278" s="16" t="s">
        <v>2038</v>
      </c>
      <c r="K1278" s="32" t="n">
        <v>2</v>
      </c>
      <c r="L1278" s="33" t="n">
        <v>46405</v>
      </c>
      <c r="M1278" s="33" t="n">
        <v>46406</v>
      </c>
      <c r="N1278" s="16" t="s">
        <v>4969</v>
      </c>
      <c r="O1278" s="16"/>
      <c r="P1278" s="16" t="str">
        <f aca="false">IF(AND(L1278&lt;=$D$2,M1278&gt;=$C$2),"Sí","")</f>
        <v/>
      </c>
      <c r="Q1278" s="18" t="str">
        <f aca="false">IF(COUNTIF(LOOKAHEAD!$A$5:$A$604,A1278)&gt;0,"En Lookahead",IF(P1278="Sí","INCORPORAR",""))</f>
        <v/>
      </c>
    </row>
    <row r="1279" customFormat="false" ht="15" hidden="false" customHeight="false" outlineLevel="0" collapsed="false">
      <c r="A1279" s="16" t="s">
        <v>4970</v>
      </c>
      <c r="B1279" s="16" t="n">
        <v>1274</v>
      </c>
      <c r="C1279" s="16" t="s">
        <v>4971</v>
      </c>
      <c r="D1279" s="16" t="n">
        <v>8</v>
      </c>
      <c r="E1279" s="39" t="s">
        <v>1999</v>
      </c>
      <c r="F1279" s="16" t="s">
        <v>1285</v>
      </c>
      <c r="G1279" s="16" t="s">
        <v>322</v>
      </c>
      <c r="H1279" s="16" t="s">
        <v>4610</v>
      </c>
      <c r="I1279" s="16" t="s">
        <v>104</v>
      </c>
      <c r="J1279" s="16" t="s">
        <v>2038</v>
      </c>
      <c r="K1279" s="32" t="n">
        <v>1</v>
      </c>
      <c r="L1279" s="33" t="n">
        <v>46404</v>
      </c>
      <c r="M1279" s="33" t="n">
        <v>46404</v>
      </c>
      <c r="N1279" s="16" t="s">
        <v>4945</v>
      </c>
      <c r="O1279" s="16"/>
      <c r="P1279" s="16" t="str">
        <f aca="false">IF(AND(L1279&lt;=$D$2,M1279&gt;=$C$2),"Sí","")</f>
        <v/>
      </c>
      <c r="Q1279" s="18" t="str">
        <f aca="false">IF(COUNTIF(LOOKAHEAD!$A$5:$A$604,A1279)&gt;0,"En Lookahead",IF(P1279="Sí","INCORPORAR",""))</f>
        <v/>
      </c>
    </row>
    <row r="1280" customFormat="false" ht="15" hidden="false" customHeight="false" outlineLevel="0" collapsed="false">
      <c r="A1280" s="16" t="s">
        <v>4972</v>
      </c>
      <c r="B1280" s="16" t="n">
        <v>1275</v>
      </c>
      <c r="C1280" s="16" t="s">
        <v>4973</v>
      </c>
      <c r="D1280" s="16" t="n">
        <v>8</v>
      </c>
      <c r="E1280" s="39" t="s">
        <v>1677</v>
      </c>
      <c r="F1280" s="16" t="s">
        <v>1285</v>
      </c>
      <c r="G1280" s="16" t="s">
        <v>322</v>
      </c>
      <c r="H1280" s="16" t="s">
        <v>4610</v>
      </c>
      <c r="I1280" s="16" t="s">
        <v>104</v>
      </c>
      <c r="J1280" s="16" t="s">
        <v>2038</v>
      </c>
      <c r="K1280" s="32" t="n">
        <v>1</v>
      </c>
      <c r="L1280" s="33" t="n">
        <v>46408</v>
      </c>
      <c r="M1280" s="33" t="n">
        <v>46408</v>
      </c>
      <c r="N1280" s="16" t="s">
        <v>4974</v>
      </c>
      <c r="O1280" s="16"/>
      <c r="P1280" s="16" t="str">
        <f aca="false">IF(AND(L1280&lt;=$D$2,M1280&gt;=$C$2),"Sí","")</f>
        <v/>
      </c>
      <c r="Q1280" s="18" t="str">
        <f aca="false">IF(COUNTIF(LOOKAHEAD!$A$5:$A$604,A1280)&gt;0,"En Lookahead",IF(P1280="Sí","INCORPORAR",""))</f>
        <v/>
      </c>
    </row>
    <row r="1281" customFormat="false" ht="15" hidden="false" customHeight="false" outlineLevel="0" collapsed="false">
      <c r="A1281" s="13" t="s">
        <v>4975</v>
      </c>
      <c r="B1281" s="13" t="n">
        <v>1276</v>
      </c>
      <c r="C1281" s="13" t="s">
        <v>4976</v>
      </c>
      <c r="D1281" s="13" t="n">
        <v>6</v>
      </c>
      <c r="E1281" s="36" t="s">
        <v>2054</v>
      </c>
      <c r="F1281" s="13" t="s">
        <v>1298</v>
      </c>
      <c r="G1281" s="13" t="s">
        <v>322</v>
      </c>
      <c r="H1281" s="13" t="s">
        <v>4610</v>
      </c>
      <c r="I1281" s="13" t="s">
        <v>104</v>
      </c>
      <c r="J1281" s="13" t="s">
        <v>1623</v>
      </c>
      <c r="K1281" s="30" t="n">
        <v>6</v>
      </c>
      <c r="L1281" s="31" t="n">
        <v>46407</v>
      </c>
      <c r="M1281" s="31" t="n">
        <v>46412</v>
      </c>
      <c r="N1281" s="13"/>
      <c r="O1281" s="13"/>
      <c r="P1281" s="13"/>
      <c r="Q1281" s="13"/>
    </row>
    <row r="1282" customFormat="false" ht="15" hidden="false" customHeight="false" outlineLevel="0" collapsed="false">
      <c r="A1282" s="13" t="s">
        <v>4977</v>
      </c>
      <c r="B1282" s="13" t="n">
        <v>1277</v>
      </c>
      <c r="C1282" s="13" t="s">
        <v>4978</v>
      </c>
      <c r="D1282" s="13" t="n">
        <v>7</v>
      </c>
      <c r="E1282" s="38" t="s">
        <v>2057</v>
      </c>
      <c r="F1282" s="13" t="s">
        <v>1298</v>
      </c>
      <c r="G1282" s="13" t="s">
        <v>322</v>
      </c>
      <c r="H1282" s="13" t="s">
        <v>4610</v>
      </c>
      <c r="I1282" s="13" t="s">
        <v>104</v>
      </c>
      <c r="J1282" s="13" t="s">
        <v>2054</v>
      </c>
      <c r="K1282" s="30" t="n">
        <v>5</v>
      </c>
      <c r="L1282" s="31" t="n">
        <v>46407</v>
      </c>
      <c r="M1282" s="31" t="n">
        <v>46411</v>
      </c>
      <c r="N1282" s="13"/>
      <c r="O1282" s="13"/>
      <c r="P1282" s="13"/>
      <c r="Q1282" s="13"/>
    </row>
    <row r="1283" customFormat="false" ht="15" hidden="false" customHeight="false" outlineLevel="0" collapsed="false">
      <c r="A1283" s="16" t="s">
        <v>4979</v>
      </c>
      <c r="B1283" s="16" t="n">
        <v>1278</v>
      </c>
      <c r="C1283" s="16" t="s">
        <v>4980</v>
      </c>
      <c r="D1283" s="16" t="n">
        <v>8</v>
      </c>
      <c r="E1283" s="39" t="s">
        <v>2060</v>
      </c>
      <c r="F1283" s="16" t="s">
        <v>1285</v>
      </c>
      <c r="G1283" s="16" t="s">
        <v>322</v>
      </c>
      <c r="H1283" s="16" t="s">
        <v>4610</v>
      </c>
      <c r="I1283" s="16" t="s">
        <v>104</v>
      </c>
      <c r="J1283" s="16" t="s">
        <v>2057</v>
      </c>
      <c r="K1283" s="32" t="n">
        <v>1</v>
      </c>
      <c r="L1283" s="33" t="n">
        <v>46410</v>
      </c>
      <c r="M1283" s="33" t="n">
        <v>46410</v>
      </c>
      <c r="N1283" s="16" t="s">
        <v>4981</v>
      </c>
      <c r="O1283" s="16"/>
      <c r="P1283" s="16" t="str">
        <f aca="false">IF(AND(L1283&lt;=$D$2,M1283&gt;=$C$2),"Sí","")</f>
        <v/>
      </c>
      <c r="Q1283" s="18" t="str">
        <f aca="false">IF(COUNTIF(LOOKAHEAD!$A$5:$A$604,A1283)&gt;0,"En Lookahead",IF(P1283="Sí","INCORPORAR",""))</f>
        <v/>
      </c>
    </row>
    <row r="1284" customFormat="false" ht="15" hidden="false" customHeight="false" outlineLevel="0" collapsed="false">
      <c r="A1284" s="16" t="s">
        <v>4982</v>
      </c>
      <c r="B1284" s="16" t="n">
        <v>1279</v>
      </c>
      <c r="C1284" s="16" t="s">
        <v>4983</v>
      </c>
      <c r="D1284" s="16" t="n">
        <v>8</v>
      </c>
      <c r="E1284" s="39" t="s">
        <v>2064</v>
      </c>
      <c r="F1284" s="16" t="s">
        <v>1285</v>
      </c>
      <c r="G1284" s="16" t="s">
        <v>322</v>
      </c>
      <c r="H1284" s="16" t="s">
        <v>4610</v>
      </c>
      <c r="I1284" s="16" t="s">
        <v>104</v>
      </c>
      <c r="J1284" s="16" t="s">
        <v>2057</v>
      </c>
      <c r="K1284" s="32" t="n">
        <v>2</v>
      </c>
      <c r="L1284" s="33" t="n">
        <v>46408</v>
      </c>
      <c r="M1284" s="33" t="n">
        <v>46409</v>
      </c>
      <c r="N1284" s="16" t="s">
        <v>4984</v>
      </c>
      <c r="O1284" s="16"/>
      <c r="P1284" s="16" t="str">
        <f aca="false">IF(AND(L1284&lt;=$D$2,M1284&gt;=$C$2),"Sí","")</f>
        <v/>
      </c>
      <c r="Q1284" s="18" t="str">
        <f aca="false">IF(COUNTIF(LOOKAHEAD!$A$5:$A$604,A1284)&gt;0,"En Lookahead",IF(P1284="Sí","INCORPORAR",""))</f>
        <v/>
      </c>
    </row>
    <row r="1285" customFormat="false" ht="15" hidden="false" customHeight="false" outlineLevel="0" collapsed="false">
      <c r="A1285" s="16" t="s">
        <v>4985</v>
      </c>
      <c r="B1285" s="16" t="n">
        <v>1280</v>
      </c>
      <c r="C1285" s="16" t="s">
        <v>4986</v>
      </c>
      <c r="D1285" s="16" t="n">
        <v>8</v>
      </c>
      <c r="E1285" s="39" t="s">
        <v>1800</v>
      </c>
      <c r="F1285" s="16" t="s">
        <v>1285</v>
      </c>
      <c r="G1285" s="16" t="s">
        <v>322</v>
      </c>
      <c r="H1285" s="16" t="s">
        <v>4610</v>
      </c>
      <c r="I1285" s="16" t="s">
        <v>104</v>
      </c>
      <c r="J1285" s="16" t="s">
        <v>2057</v>
      </c>
      <c r="K1285" s="32" t="n">
        <v>1</v>
      </c>
      <c r="L1285" s="33" t="n">
        <v>46407</v>
      </c>
      <c r="M1285" s="33" t="n">
        <v>46407</v>
      </c>
      <c r="N1285" s="16" t="s">
        <v>4948</v>
      </c>
      <c r="O1285" s="16"/>
      <c r="P1285" s="16" t="str">
        <f aca="false">IF(AND(L1285&lt;=$D$2,M1285&gt;=$C$2),"Sí","")</f>
        <v/>
      </c>
      <c r="Q1285" s="18" t="str">
        <f aca="false">IF(COUNTIF(LOOKAHEAD!$A$5:$A$604,A1285)&gt;0,"En Lookahead",IF(P1285="Sí","INCORPORAR",""))</f>
        <v/>
      </c>
    </row>
    <row r="1286" customFormat="false" ht="15" hidden="false" customHeight="false" outlineLevel="0" collapsed="false">
      <c r="A1286" s="16" t="s">
        <v>4987</v>
      </c>
      <c r="B1286" s="16" t="n">
        <v>1281</v>
      </c>
      <c r="C1286" s="16" t="s">
        <v>4988</v>
      </c>
      <c r="D1286" s="16" t="n">
        <v>8</v>
      </c>
      <c r="E1286" s="39" t="s">
        <v>1602</v>
      </c>
      <c r="F1286" s="16" t="s">
        <v>1285</v>
      </c>
      <c r="G1286" s="16" t="s">
        <v>322</v>
      </c>
      <c r="H1286" s="16" t="s">
        <v>4610</v>
      </c>
      <c r="I1286" s="16" t="s">
        <v>104</v>
      </c>
      <c r="J1286" s="16" t="s">
        <v>2057</v>
      </c>
      <c r="K1286" s="32" t="n">
        <v>1</v>
      </c>
      <c r="L1286" s="33" t="n">
        <v>46411</v>
      </c>
      <c r="M1286" s="33" t="n">
        <v>46411</v>
      </c>
      <c r="N1286" s="16" t="s">
        <v>4989</v>
      </c>
      <c r="O1286" s="16"/>
      <c r="P1286" s="16" t="str">
        <f aca="false">IF(AND(L1286&lt;=$D$2,M1286&gt;=$C$2),"Sí","")</f>
        <v/>
      </c>
      <c r="Q1286" s="18" t="str">
        <f aca="false">IF(COUNTIF(LOOKAHEAD!$A$5:$A$604,A1286)&gt;0,"En Lookahead",IF(P1286="Sí","INCORPORAR",""))</f>
        <v/>
      </c>
    </row>
    <row r="1287" customFormat="false" ht="15" hidden="false" customHeight="false" outlineLevel="0" collapsed="false">
      <c r="A1287" s="13" t="s">
        <v>4990</v>
      </c>
      <c r="B1287" s="13" t="n">
        <v>1282</v>
      </c>
      <c r="C1287" s="13" t="s">
        <v>4991</v>
      </c>
      <c r="D1287" s="13" t="n">
        <v>7</v>
      </c>
      <c r="E1287" s="38" t="s">
        <v>2073</v>
      </c>
      <c r="F1287" s="13" t="s">
        <v>1298</v>
      </c>
      <c r="G1287" s="13" t="s">
        <v>322</v>
      </c>
      <c r="H1287" s="13" t="s">
        <v>4610</v>
      </c>
      <c r="I1287" s="13" t="s">
        <v>104</v>
      </c>
      <c r="J1287" s="13" t="s">
        <v>2054</v>
      </c>
      <c r="K1287" s="30" t="n">
        <v>4</v>
      </c>
      <c r="L1287" s="31" t="n">
        <v>46408</v>
      </c>
      <c r="M1287" s="31" t="n">
        <v>46411</v>
      </c>
      <c r="N1287" s="13"/>
      <c r="O1287" s="13"/>
      <c r="P1287" s="13"/>
      <c r="Q1287" s="13"/>
    </row>
    <row r="1288" customFormat="false" ht="15" hidden="false" customHeight="false" outlineLevel="0" collapsed="false">
      <c r="A1288" s="16" t="s">
        <v>4992</v>
      </c>
      <c r="B1288" s="16" t="n">
        <v>1283</v>
      </c>
      <c r="C1288" s="16" t="s">
        <v>4993</v>
      </c>
      <c r="D1288" s="16" t="n">
        <v>8</v>
      </c>
      <c r="E1288" s="39" t="s">
        <v>2076</v>
      </c>
      <c r="F1288" s="16" t="s">
        <v>1285</v>
      </c>
      <c r="G1288" s="16" t="s">
        <v>322</v>
      </c>
      <c r="H1288" s="16" t="s">
        <v>4610</v>
      </c>
      <c r="I1288" s="16" t="s">
        <v>104</v>
      </c>
      <c r="J1288" s="16" t="s">
        <v>2073</v>
      </c>
      <c r="K1288" s="32" t="n">
        <v>1</v>
      </c>
      <c r="L1288" s="33" t="n">
        <v>46410</v>
      </c>
      <c r="M1288" s="33" t="n">
        <v>46410</v>
      </c>
      <c r="N1288" s="16" t="s">
        <v>4994</v>
      </c>
      <c r="O1288" s="16"/>
      <c r="P1288" s="16" t="str">
        <f aca="false">IF(AND(L1288&lt;=$D$2,M1288&gt;=$C$2),"Sí","")</f>
        <v/>
      </c>
      <c r="Q1288" s="18" t="str">
        <f aca="false">IF(COUNTIF(LOOKAHEAD!$A$5:$A$604,A1288)&gt;0,"En Lookahead",IF(P1288="Sí","INCORPORAR",""))</f>
        <v/>
      </c>
    </row>
    <row r="1289" customFormat="false" ht="15" hidden="false" customHeight="false" outlineLevel="0" collapsed="false">
      <c r="A1289" s="16" t="s">
        <v>4995</v>
      </c>
      <c r="B1289" s="16" t="n">
        <v>1284</v>
      </c>
      <c r="C1289" s="16" t="s">
        <v>4996</v>
      </c>
      <c r="D1289" s="16" t="n">
        <v>8</v>
      </c>
      <c r="E1289" s="39" t="s">
        <v>2080</v>
      </c>
      <c r="F1289" s="16" t="s">
        <v>1285</v>
      </c>
      <c r="G1289" s="16" t="s">
        <v>322</v>
      </c>
      <c r="H1289" s="16" t="s">
        <v>4610</v>
      </c>
      <c r="I1289" s="16" t="s">
        <v>104</v>
      </c>
      <c r="J1289" s="16" t="s">
        <v>2073</v>
      </c>
      <c r="K1289" s="32" t="n">
        <v>1</v>
      </c>
      <c r="L1289" s="33" t="n">
        <v>46409</v>
      </c>
      <c r="M1289" s="33" t="n">
        <v>46409</v>
      </c>
      <c r="N1289" s="16" t="s">
        <v>4997</v>
      </c>
      <c r="O1289" s="16"/>
      <c r="P1289" s="16" t="str">
        <f aca="false">IF(AND(L1289&lt;=$D$2,M1289&gt;=$C$2),"Sí","")</f>
        <v/>
      </c>
      <c r="Q1289" s="18" t="str">
        <f aca="false">IF(COUNTIF(LOOKAHEAD!$A$5:$A$604,A1289)&gt;0,"En Lookahead",IF(P1289="Sí","INCORPORAR",""))</f>
        <v/>
      </c>
    </row>
    <row r="1290" customFormat="false" ht="15" hidden="false" customHeight="false" outlineLevel="0" collapsed="false">
      <c r="A1290" s="16" t="s">
        <v>4998</v>
      </c>
      <c r="B1290" s="16" t="n">
        <v>1285</v>
      </c>
      <c r="C1290" s="16" t="s">
        <v>4999</v>
      </c>
      <c r="D1290" s="16" t="n">
        <v>8</v>
      </c>
      <c r="E1290" s="39" t="s">
        <v>1800</v>
      </c>
      <c r="F1290" s="16" t="s">
        <v>1285</v>
      </c>
      <c r="G1290" s="16" t="s">
        <v>322</v>
      </c>
      <c r="H1290" s="16" t="s">
        <v>4610</v>
      </c>
      <c r="I1290" s="16" t="s">
        <v>104</v>
      </c>
      <c r="J1290" s="16" t="s">
        <v>2073</v>
      </c>
      <c r="K1290" s="32" t="n">
        <v>1</v>
      </c>
      <c r="L1290" s="33" t="n">
        <v>46408</v>
      </c>
      <c r="M1290" s="33" t="n">
        <v>46408</v>
      </c>
      <c r="N1290" s="16" t="s">
        <v>4961</v>
      </c>
      <c r="O1290" s="16"/>
      <c r="P1290" s="16" t="str">
        <f aca="false">IF(AND(L1290&lt;=$D$2,M1290&gt;=$C$2),"Sí","")</f>
        <v/>
      </c>
      <c r="Q1290" s="18" t="str">
        <f aca="false">IF(COUNTIF(LOOKAHEAD!$A$5:$A$604,A1290)&gt;0,"En Lookahead",IF(P1290="Sí","INCORPORAR",""))</f>
        <v/>
      </c>
    </row>
    <row r="1291" customFormat="false" ht="15" hidden="false" customHeight="false" outlineLevel="0" collapsed="false">
      <c r="A1291" s="16" t="s">
        <v>5000</v>
      </c>
      <c r="B1291" s="16" t="n">
        <v>1286</v>
      </c>
      <c r="C1291" s="16" t="s">
        <v>5001</v>
      </c>
      <c r="D1291" s="16" t="n">
        <v>8</v>
      </c>
      <c r="E1291" s="39" t="s">
        <v>1602</v>
      </c>
      <c r="F1291" s="16" t="s">
        <v>1285</v>
      </c>
      <c r="G1291" s="16" t="s">
        <v>322</v>
      </c>
      <c r="H1291" s="16" t="s">
        <v>4610</v>
      </c>
      <c r="I1291" s="16" t="s">
        <v>104</v>
      </c>
      <c r="J1291" s="16" t="s">
        <v>2073</v>
      </c>
      <c r="K1291" s="32" t="n">
        <v>1</v>
      </c>
      <c r="L1291" s="33" t="n">
        <v>46411</v>
      </c>
      <c r="M1291" s="33" t="n">
        <v>46411</v>
      </c>
      <c r="N1291" s="16" t="s">
        <v>5002</v>
      </c>
      <c r="O1291" s="16"/>
      <c r="P1291" s="16" t="str">
        <f aca="false">IF(AND(L1291&lt;=$D$2,M1291&gt;=$C$2),"Sí","")</f>
        <v/>
      </c>
      <c r="Q1291" s="18" t="str">
        <f aca="false">IF(COUNTIF(LOOKAHEAD!$A$5:$A$604,A1291)&gt;0,"En Lookahead",IF(P1291="Sí","INCORPORAR",""))</f>
        <v/>
      </c>
    </row>
    <row r="1292" customFormat="false" ht="15" hidden="false" customHeight="false" outlineLevel="0" collapsed="false">
      <c r="A1292" s="13" t="s">
        <v>5003</v>
      </c>
      <c r="B1292" s="13" t="n">
        <v>1287</v>
      </c>
      <c r="C1292" s="13" t="s">
        <v>5004</v>
      </c>
      <c r="D1292" s="13" t="n">
        <v>7</v>
      </c>
      <c r="E1292" s="38" t="s">
        <v>2054</v>
      </c>
      <c r="F1292" s="13" t="s">
        <v>1298</v>
      </c>
      <c r="G1292" s="13" t="s">
        <v>322</v>
      </c>
      <c r="H1292" s="13" t="s">
        <v>4610</v>
      </c>
      <c r="I1292" s="13" t="s">
        <v>104</v>
      </c>
      <c r="J1292" s="13" t="s">
        <v>2054</v>
      </c>
      <c r="K1292" s="30" t="n">
        <v>5</v>
      </c>
      <c r="L1292" s="31" t="n">
        <v>46408</v>
      </c>
      <c r="M1292" s="31" t="n">
        <v>46412</v>
      </c>
      <c r="N1292" s="13"/>
      <c r="O1292" s="13"/>
      <c r="P1292" s="13"/>
      <c r="Q1292" s="13"/>
    </row>
    <row r="1293" customFormat="false" ht="15" hidden="false" customHeight="false" outlineLevel="0" collapsed="false">
      <c r="A1293" s="16" t="s">
        <v>5005</v>
      </c>
      <c r="B1293" s="16" t="n">
        <v>1288</v>
      </c>
      <c r="C1293" s="16" t="s">
        <v>5006</v>
      </c>
      <c r="D1293" s="16" t="n">
        <v>8</v>
      </c>
      <c r="E1293" s="39" t="s">
        <v>2107</v>
      </c>
      <c r="F1293" s="16" t="s">
        <v>1285</v>
      </c>
      <c r="G1293" s="16" t="s">
        <v>322</v>
      </c>
      <c r="H1293" s="16" t="s">
        <v>4610</v>
      </c>
      <c r="I1293" s="16" t="s">
        <v>104</v>
      </c>
      <c r="J1293" s="16" t="s">
        <v>2054</v>
      </c>
      <c r="K1293" s="32" t="n">
        <v>1</v>
      </c>
      <c r="L1293" s="33" t="n">
        <v>46411</v>
      </c>
      <c r="M1293" s="33" t="n">
        <v>46411</v>
      </c>
      <c r="N1293" s="16" t="s">
        <v>5007</v>
      </c>
      <c r="O1293" s="16"/>
      <c r="P1293" s="16" t="str">
        <f aca="false">IF(AND(L1293&lt;=$D$2,M1293&gt;=$C$2),"Sí","")</f>
        <v/>
      </c>
      <c r="Q1293" s="18" t="str">
        <f aca="false">IF(COUNTIF(LOOKAHEAD!$A$5:$A$604,A1293)&gt;0,"En Lookahead",IF(P1293="Sí","INCORPORAR",""))</f>
        <v/>
      </c>
    </row>
    <row r="1294" customFormat="false" ht="15" hidden="false" customHeight="false" outlineLevel="0" collapsed="false">
      <c r="A1294" s="16" t="s">
        <v>5008</v>
      </c>
      <c r="B1294" s="16" t="n">
        <v>1289</v>
      </c>
      <c r="C1294" s="16" t="s">
        <v>5009</v>
      </c>
      <c r="D1294" s="16" t="n">
        <v>8</v>
      </c>
      <c r="E1294" s="39" t="s">
        <v>2096</v>
      </c>
      <c r="F1294" s="16" t="s">
        <v>1285</v>
      </c>
      <c r="G1294" s="16" t="s">
        <v>322</v>
      </c>
      <c r="H1294" s="16" t="s">
        <v>4610</v>
      </c>
      <c r="I1294" s="16" t="s">
        <v>104</v>
      </c>
      <c r="J1294" s="16" t="s">
        <v>2054</v>
      </c>
      <c r="K1294" s="32" t="n">
        <v>2</v>
      </c>
      <c r="L1294" s="33" t="n">
        <v>46409</v>
      </c>
      <c r="M1294" s="33" t="n">
        <v>46410</v>
      </c>
      <c r="N1294" s="16" t="s">
        <v>5010</v>
      </c>
      <c r="O1294" s="16"/>
      <c r="P1294" s="16" t="str">
        <f aca="false">IF(AND(L1294&lt;=$D$2,M1294&gt;=$C$2),"Sí","")</f>
        <v/>
      </c>
      <c r="Q1294" s="18" t="str">
        <f aca="false">IF(COUNTIF(LOOKAHEAD!$A$5:$A$604,A1294)&gt;0,"En Lookahead",IF(P1294="Sí","INCORPORAR",""))</f>
        <v/>
      </c>
    </row>
    <row r="1295" customFormat="false" ht="15" hidden="false" customHeight="false" outlineLevel="0" collapsed="false">
      <c r="A1295" s="16" t="s">
        <v>5011</v>
      </c>
      <c r="B1295" s="16" t="n">
        <v>1290</v>
      </c>
      <c r="C1295" s="16" t="s">
        <v>5012</v>
      </c>
      <c r="D1295" s="16" t="n">
        <v>8</v>
      </c>
      <c r="E1295" s="39" t="s">
        <v>1800</v>
      </c>
      <c r="F1295" s="16" t="s">
        <v>1285</v>
      </c>
      <c r="G1295" s="16" t="s">
        <v>322</v>
      </c>
      <c r="H1295" s="16" t="s">
        <v>4610</v>
      </c>
      <c r="I1295" s="16" t="s">
        <v>104</v>
      </c>
      <c r="J1295" s="16" t="s">
        <v>2054</v>
      </c>
      <c r="K1295" s="32" t="n">
        <v>1</v>
      </c>
      <c r="L1295" s="33" t="n">
        <v>46408</v>
      </c>
      <c r="M1295" s="33" t="n">
        <v>46408</v>
      </c>
      <c r="N1295" s="16" t="s">
        <v>4974</v>
      </c>
      <c r="O1295" s="16"/>
      <c r="P1295" s="16" t="str">
        <f aca="false">IF(AND(L1295&lt;=$D$2,M1295&gt;=$C$2),"Sí","")</f>
        <v/>
      </c>
      <c r="Q1295" s="18" t="str">
        <f aca="false">IF(COUNTIF(LOOKAHEAD!$A$5:$A$604,A1295)&gt;0,"En Lookahead",IF(P1295="Sí","INCORPORAR",""))</f>
        <v/>
      </c>
    </row>
    <row r="1296" customFormat="false" ht="15" hidden="false" customHeight="false" outlineLevel="0" collapsed="false">
      <c r="A1296" s="16" t="s">
        <v>5013</v>
      </c>
      <c r="B1296" s="16" t="n">
        <v>1291</v>
      </c>
      <c r="C1296" s="16" t="s">
        <v>5014</v>
      </c>
      <c r="D1296" s="16" t="n">
        <v>8</v>
      </c>
      <c r="E1296" s="39" t="s">
        <v>1602</v>
      </c>
      <c r="F1296" s="16" t="s">
        <v>1285</v>
      </c>
      <c r="G1296" s="16" t="s">
        <v>322</v>
      </c>
      <c r="H1296" s="16" t="s">
        <v>4610</v>
      </c>
      <c r="I1296" s="16" t="s">
        <v>104</v>
      </c>
      <c r="J1296" s="16" t="s">
        <v>2054</v>
      </c>
      <c r="K1296" s="32" t="n">
        <v>1</v>
      </c>
      <c r="L1296" s="33" t="n">
        <v>46412</v>
      </c>
      <c r="M1296" s="33" t="n">
        <v>46412</v>
      </c>
      <c r="N1296" s="16" t="s">
        <v>5015</v>
      </c>
      <c r="O1296" s="16"/>
      <c r="P1296" s="16" t="str">
        <f aca="false">IF(AND(L1296&lt;=$D$2,M1296&gt;=$C$2),"Sí","")</f>
        <v/>
      </c>
      <c r="Q1296" s="18" t="str">
        <f aca="false">IF(COUNTIF(LOOKAHEAD!$A$5:$A$604,A1296)&gt;0,"En Lookahead",IF(P1296="Sí","INCORPORAR",""))</f>
        <v/>
      </c>
    </row>
    <row r="1297" customFormat="false" ht="15" hidden="false" customHeight="false" outlineLevel="0" collapsed="false">
      <c r="A1297" s="13" t="s">
        <v>5016</v>
      </c>
      <c r="B1297" s="13" t="n">
        <v>1292</v>
      </c>
      <c r="C1297" s="13" t="s">
        <v>5017</v>
      </c>
      <c r="D1297" s="13" t="n">
        <v>6</v>
      </c>
      <c r="E1297" s="36" t="s">
        <v>3401</v>
      </c>
      <c r="F1297" s="13" t="s">
        <v>1298</v>
      </c>
      <c r="G1297" s="13" t="s">
        <v>322</v>
      </c>
      <c r="H1297" s="13" t="s">
        <v>4610</v>
      </c>
      <c r="I1297" s="13" t="s">
        <v>104</v>
      </c>
      <c r="J1297" s="13" t="s">
        <v>1623</v>
      </c>
      <c r="K1297" s="30" t="n">
        <v>4</v>
      </c>
      <c r="L1297" s="31" t="n">
        <v>46489</v>
      </c>
      <c r="M1297" s="31" t="n">
        <v>46492</v>
      </c>
      <c r="N1297" s="13"/>
      <c r="O1297" s="13"/>
      <c r="P1297" s="13"/>
      <c r="Q1297" s="13"/>
    </row>
    <row r="1298" customFormat="false" ht="15" hidden="false" customHeight="false" outlineLevel="0" collapsed="false">
      <c r="A1298" s="16" t="s">
        <v>5018</v>
      </c>
      <c r="B1298" s="16" t="n">
        <v>1293</v>
      </c>
      <c r="C1298" s="16" t="s">
        <v>5019</v>
      </c>
      <c r="D1298" s="16" t="n">
        <v>7</v>
      </c>
      <c r="E1298" s="37" t="s">
        <v>3404</v>
      </c>
      <c r="F1298" s="16" t="s">
        <v>1285</v>
      </c>
      <c r="G1298" s="16" t="s">
        <v>322</v>
      </c>
      <c r="H1298" s="16" t="s">
        <v>4610</v>
      </c>
      <c r="I1298" s="16" t="s">
        <v>104</v>
      </c>
      <c r="J1298" s="16" t="s">
        <v>3401</v>
      </c>
      <c r="K1298" s="32" t="n">
        <v>1</v>
      </c>
      <c r="L1298" s="33" t="n">
        <v>46491</v>
      </c>
      <c r="M1298" s="33" t="n">
        <v>46491</v>
      </c>
      <c r="N1298" s="16" t="s">
        <v>5020</v>
      </c>
      <c r="O1298" s="16"/>
      <c r="P1298" s="16" t="str">
        <f aca="false">IF(AND(L1298&lt;=$D$2,M1298&gt;=$C$2),"Sí","")</f>
        <v/>
      </c>
      <c r="Q1298" s="18" t="str">
        <f aca="false">IF(COUNTIF(LOOKAHEAD!$A$5:$A$604,A1298)&gt;0,"En Lookahead",IF(P1298="Sí","INCORPORAR",""))</f>
        <v/>
      </c>
    </row>
    <row r="1299" customFormat="false" ht="15" hidden="false" customHeight="false" outlineLevel="0" collapsed="false">
      <c r="A1299" s="16" t="s">
        <v>5021</v>
      </c>
      <c r="B1299" s="16" t="n">
        <v>1294</v>
      </c>
      <c r="C1299" s="16" t="s">
        <v>5022</v>
      </c>
      <c r="D1299" s="16" t="n">
        <v>7</v>
      </c>
      <c r="E1299" s="37" t="s">
        <v>3408</v>
      </c>
      <c r="F1299" s="16" t="s">
        <v>1285</v>
      </c>
      <c r="G1299" s="16" t="s">
        <v>322</v>
      </c>
      <c r="H1299" s="16" t="s">
        <v>4610</v>
      </c>
      <c r="I1299" s="16" t="s">
        <v>104</v>
      </c>
      <c r="J1299" s="16" t="s">
        <v>3401</v>
      </c>
      <c r="K1299" s="32" t="n">
        <v>1</v>
      </c>
      <c r="L1299" s="33" t="n">
        <v>46490</v>
      </c>
      <c r="M1299" s="33" t="n">
        <v>46490</v>
      </c>
      <c r="N1299" s="16" t="s">
        <v>5023</v>
      </c>
      <c r="O1299" s="16"/>
      <c r="P1299" s="16" t="str">
        <f aca="false">IF(AND(L1299&lt;=$D$2,M1299&gt;=$C$2),"Sí","")</f>
        <v/>
      </c>
      <c r="Q1299" s="18" t="str">
        <f aca="false">IF(COUNTIF(LOOKAHEAD!$A$5:$A$604,A1299)&gt;0,"En Lookahead",IF(P1299="Sí","INCORPORAR",""))</f>
        <v/>
      </c>
    </row>
    <row r="1300" customFormat="false" ht="15" hidden="false" customHeight="false" outlineLevel="0" collapsed="false">
      <c r="A1300" s="16" t="s">
        <v>5024</v>
      </c>
      <c r="B1300" s="16" t="n">
        <v>1295</v>
      </c>
      <c r="C1300" s="16" t="s">
        <v>5025</v>
      </c>
      <c r="D1300" s="16" t="n">
        <v>7</v>
      </c>
      <c r="E1300" s="37" t="s">
        <v>3412</v>
      </c>
      <c r="F1300" s="16" t="s">
        <v>1285</v>
      </c>
      <c r="G1300" s="16" t="s">
        <v>322</v>
      </c>
      <c r="H1300" s="16" t="s">
        <v>4610</v>
      </c>
      <c r="I1300" s="16" t="s">
        <v>104</v>
      </c>
      <c r="J1300" s="16" t="s">
        <v>3401</v>
      </c>
      <c r="K1300" s="32" t="n">
        <v>1</v>
      </c>
      <c r="L1300" s="33" t="n">
        <v>46489</v>
      </c>
      <c r="M1300" s="33" t="n">
        <v>46489</v>
      </c>
      <c r="N1300" s="16" t="s">
        <v>4916</v>
      </c>
      <c r="O1300" s="16"/>
      <c r="P1300" s="16" t="str">
        <f aca="false">IF(AND(L1300&lt;=$D$2,M1300&gt;=$C$2),"Sí","")</f>
        <v/>
      </c>
      <c r="Q1300" s="18" t="str">
        <f aca="false">IF(COUNTIF(LOOKAHEAD!$A$5:$A$604,A1300)&gt;0,"En Lookahead",IF(P1300="Sí","INCORPORAR",""))</f>
        <v/>
      </c>
    </row>
    <row r="1301" customFormat="false" ht="15" hidden="false" customHeight="false" outlineLevel="0" collapsed="false">
      <c r="A1301" s="16" t="s">
        <v>5026</v>
      </c>
      <c r="B1301" s="16" t="n">
        <v>1296</v>
      </c>
      <c r="C1301" s="16" t="s">
        <v>5027</v>
      </c>
      <c r="D1301" s="16" t="n">
        <v>7</v>
      </c>
      <c r="E1301" s="37" t="s">
        <v>1602</v>
      </c>
      <c r="F1301" s="16" t="s">
        <v>1285</v>
      </c>
      <c r="G1301" s="16" t="s">
        <v>322</v>
      </c>
      <c r="H1301" s="16" t="s">
        <v>4610</v>
      </c>
      <c r="I1301" s="16" t="s">
        <v>104</v>
      </c>
      <c r="J1301" s="16" t="s">
        <v>3401</v>
      </c>
      <c r="K1301" s="32" t="n">
        <v>1</v>
      </c>
      <c r="L1301" s="33" t="n">
        <v>46492</v>
      </c>
      <c r="M1301" s="33" t="n">
        <v>46492</v>
      </c>
      <c r="N1301" s="16" t="s">
        <v>5028</v>
      </c>
      <c r="O1301" s="16"/>
      <c r="P1301" s="16" t="str">
        <f aca="false">IF(AND(L1301&lt;=$D$2,M1301&gt;=$C$2),"Sí","")</f>
        <v/>
      </c>
      <c r="Q1301" s="18" t="str">
        <f aca="false">IF(COUNTIF(LOOKAHEAD!$A$5:$A$604,A1301)&gt;0,"En Lookahead",IF(P1301="Sí","INCORPORAR",""))</f>
        <v/>
      </c>
    </row>
    <row r="1302" customFormat="false" ht="15" hidden="false" customHeight="false" outlineLevel="0" collapsed="false">
      <c r="A1302" s="13" t="s">
        <v>5029</v>
      </c>
      <c r="B1302" s="13" t="n">
        <v>1297</v>
      </c>
      <c r="C1302" s="13" t="s">
        <v>5030</v>
      </c>
      <c r="D1302" s="13" t="n">
        <v>5</v>
      </c>
      <c r="E1302" s="34" t="s">
        <v>2137</v>
      </c>
      <c r="F1302" s="13" t="s">
        <v>1298</v>
      </c>
      <c r="G1302" s="13" t="s">
        <v>322</v>
      </c>
      <c r="H1302" s="13" t="s">
        <v>4610</v>
      </c>
      <c r="I1302" s="13" t="s">
        <v>104</v>
      </c>
      <c r="J1302" s="13" t="s">
        <v>4610</v>
      </c>
      <c r="K1302" s="30" t="n">
        <v>5</v>
      </c>
      <c r="L1302" s="31" t="n">
        <v>46491</v>
      </c>
      <c r="M1302" s="31" t="n">
        <v>46495</v>
      </c>
      <c r="N1302" s="13"/>
      <c r="O1302" s="13"/>
      <c r="P1302" s="13"/>
      <c r="Q1302" s="13"/>
    </row>
    <row r="1303" customFormat="false" ht="15" hidden="false" customHeight="false" outlineLevel="0" collapsed="false">
      <c r="A1303" s="16" t="s">
        <v>5031</v>
      </c>
      <c r="B1303" s="16" t="n">
        <v>1298</v>
      </c>
      <c r="C1303" s="16" t="s">
        <v>5032</v>
      </c>
      <c r="D1303" s="16" t="n">
        <v>6</v>
      </c>
      <c r="E1303" s="35" t="s">
        <v>2140</v>
      </c>
      <c r="F1303" s="16" t="s">
        <v>1285</v>
      </c>
      <c r="G1303" s="16" t="s">
        <v>322</v>
      </c>
      <c r="H1303" s="16" t="s">
        <v>4610</v>
      </c>
      <c r="I1303" s="16" t="s">
        <v>104</v>
      </c>
      <c r="J1303" s="16" t="s">
        <v>2137</v>
      </c>
      <c r="K1303" s="32" t="n">
        <v>4</v>
      </c>
      <c r="L1303" s="33" t="n">
        <v>46491</v>
      </c>
      <c r="M1303" s="33" t="n">
        <v>46494</v>
      </c>
      <c r="N1303" s="16" t="s">
        <v>5033</v>
      </c>
      <c r="O1303" s="16"/>
      <c r="P1303" s="16" t="str">
        <f aca="false">IF(AND(L1303&lt;=$D$2,M1303&gt;=$C$2),"Sí","")</f>
        <v/>
      </c>
      <c r="Q1303" s="18" t="str">
        <f aca="false">IF(COUNTIF(LOOKAHEAD!$A$5:$A$604,A1303)&gt;0,"En Lookahead",IF(P1303="Sí","INCORPORAR",""))</f>
        <v/>
      </c>
    </row>
    <row r="1304" customFormat="false" ht="15" hidden="false" customHeight="false" outlineLevel="0" collapsed="false">
      <c r="A1304" s="16" t="s">
        <v>5034</v>
      </c>
      <c r="B1304" s="16" t="n">
        <v>1299</v>
      </c>
      <c r="C1304" s="16" t="s">
        <v>5035</v>
      </c>
      <c r="D1304" s="16" t="n">
        <v>6</v>
      </c>
      <c r="E1304" s="35" t="s">
        <v>2144</v>
      </c>
      <c r="F1304" s="16" t="s">
        <v>1285</v>
      </c>
      <c r="G1304" s="16" t="s">
        <v>322</v>
      </c>
      <c r="H1304" s="16" t="s">
        <v>4610</v>
      </c>
      <c r="I1304" s="16" t="s">
        <v>104</v>
      </c>
      <c r="J1304" s="16" t="s">
        <v>2137</v>
      </c>
      <c r="K1304" s="32" t="n">
        <v>1</v>
      </c>
      <c r="L1304" s="33" t="n">
        <v>46495</v>
      </c>
      <c r="M1304" s="33" t="n">
        <v>46495</v>
      </c>
      <c r="N1304" s="16" t="s">
        <v>5036</v>
      </c>
      <c r="O1304" s="16"/>
      <c r="P1304" s="16" t="str">
        <f aca="false">IF(AND(L1304&lt;=$D$2,M1304&gt;=$C$2),"Sí","")</f>
        <v/>
      </c>
      <c r="Q1304" s="18" t="str">
        <f aca="false">IF(COUNTIF(LOOKAHEAD!$A$5:$A$604,A1304)&gt;0,"En Lookahead",IF(P1304="Sí","INCORPORAR",""))</f>
        <v/>
      </c>
    </row>
    <row r="1305" customFormat="false" ht="15" hidden="false" customHeight="false" outlineLevel="0" collapsed="false">
      <c r="A1305" s="13" t="s">
        <v>5037</v>
      </c>
      <c r="B1305" s="13" t="n">
        <v>1300</v>
      </c>
      <c r="C1305" s="13" t="s">
        <v>5038</v>
      </c>
      <c r="D1305" s="13" t="n">
        <v>4</v>
      </c>
      <c r="E1305" s="20" t="s">
        <v>5039</v>
      </c>
      <c r="F1305" s="13" t="s">
        <v>1298</v>
      </c>
      <c r="G1305" s="13" t="s">
        <v>322</v>
      </c>
      <c r="H1305" s="13" t="s">
        <v>5039</v>
      </c>
      <c r="I1305" s="13" t="s">
        <v>109</v>
      </c>
      <c r="J1305" s="13" t="s">
        <v>1528</v>
      </c>
      <c r="K1305" s="30" t="n">
        <v>217</v>
      </c>
      <c r="L1305" s="31" t="n">
        <v>46145</v>
      </c>
      <c r="M1305" s="31" t="n">
        <v>46441</v>
      </c>
      <c r="N1305" s="13"/>
      <c r="O1305" s="13"/>
      <c r="P1305" s="13"/>
      <c r="Q1305" s="13"/>
    </row>
    <row r="1306" customFormat="false" ht="15" hidden="false" customHeight="false" outlineLevel="0" collapsed="false">
      <c r="A1306" s="13" t="s">
        <v>5040</v>
      </c>
      <c r="B1306" s="13" t="n">
        <v>1301</v>
      </c>
      <c r="C1306" s="13" t="s">
        <v>5041</v>
      </c>
      <c r="D1306" s="13" t="n">
        <v>5</v>
      </c>
      <c r="E1306" s="34" t="s">
        <v>1534</v>
      </c>
      <c r="F1306" s="13" t="s">
        <v>1298</v>
      </c>
      <c r="G1306" s="13" t="s">
        <v>322</v>
      </c>
      <c r="H1306" s="13" t="s">
        <v>5039</v>
      </c>
      <c r="I1306" s="13" t="s">
        <v>109</v>
      </c>
      <c r="J1306" s="13" t="s">
        <v>5039</v>
      </c>
      <c r="K1306" s="30" t="n">
        <v>112</v>
      </c>
      <c r="L1306" s="31" t="n">
        <v>46145</v>
      </c>
      <c r="M1306" s="31" t="n">
        <v>46336</v>
      </c>
      <c r="N1306" s="13"/>
      <c r="O1306" s="13"/>
      <c r="P1306" s="13"/>
      <c r="Q1306" s="13"/>
    </row>
    <row r="1307" customFormat="false" ht="15" hidden="false" customHeight="false" outlineLevel="0" collapsed="false">
      <c r="A1307" s="16" t="s">
        <v>5042</v>
      </c>
      <c r="B1307" s="16" t="n">
        <v>1302</v>
      </c>
      <c r="C1307" s="16" t="s">
        <v>5043</v>
      </c>
      <c r="D1307" s="16" t="n">
        <v>6</v>
      </c>
      <c r="E1307" s="35" t="s">
        <v>1537</v>
      </c>
      <c r="F1307" s="16" t="s">
        <v>1285</v>
      </c>
      <c r="G1307" s="16" t="s">
        <v>322</v>
      </c>
      <c r="H1307" s="16" t="s">
        <v>5039</v>
      </c>
      <c r="I1307" s="16" t="s">
        <v>109</v>
      </c>
      <c r="J1307" s="16" t="s">
        <v>1534</v>
      </c>
      <c r="K1307" s="32" t="n">
        <v>1</v>
      </c>
      <c r="L1307" s="33" t="n">
        <v>46145</v>
      </c>
      <c r="M1307" s="33" t="n">
        <v>46145</v>
      </c>
      <c r="N1307" s="16" t="s">
        <v>5044</v>
      </c>
      <c r="O1307" s="16"/>
      <c r="P1307" s="16" t="str">
        <f aca="false">IF(AND(L1307&lt;=$D$2,M1307&gt;=$C$2),"Sí","")</f>
        <v/>
      </c>
      <c r="Q1307" s="18" t="str">
        <f aca="false">IF(COUNTIF(LOOKAHEAD!$A$5:$A$604,A1307)&gt;0,"En Lookahead",IF(P1307="Sí","INCORPORAR",""))</f>
        <v/>
      </c>
    </row>
    <row r="1308" customFormat="false" ht="15" hidden="false" customHeight="false" outlineLevel="0" collapsed="false">
      <c r="A1308" s="16" t="s">
        <v>5045</v>
      </c>
      <c r="B1308" s="16" t="n">
        <v>1303</v>
      </c>
      <c r="C1308" s="16" t="s">
        <v>5046</v>
      </c>
      <c r="D1308" s="16" t="n">
        <v>6</v>
      </c>
      <c r="E1308" s="35" t="s">
        <v>1541</v>
      </c>
      <c r="F1308" s="16" t="s">
        <v>1285</v>
      </c>
      <c r="G1308" s="16" t="s">
        <v>322</v>
      </c>
      <c r="H1308" s="16" t="s">
        <v>5039</v>
      </c>
      <c r="I1308" s="16" t="s">
        <v>109</v>
      </c>
      <c r="J1308" s="16" t="s">
        <v>1534</v>
      </c>
      <c r="K1308" s="32" t="n">
        <v>1</v>
      </c>
      <c r="L1308" s="33" t="n">
        <v>46146</v>
      </c>
      <c r="M1308" s="33" t="n">
        <v>46146</v>
      </c>
      <c r="N1308" s="16" t="s">
        <v>5047</v>
      </c>
      <c r="O1308" s="16"/>
      <c r="P1308" s="16" t="str">
        <f aca="false">IF(AND(L1308&lt;=$D$2,M1308&gt;=$C$2),"Sí","")</f>
        <v/>
      </c>
      <c r="Q1308" s="18" t="str">
        <f aca="false">IF(COUNTIF(LOOKAHEAD!$A$5:$A$604,A1308)&gt;0,"En Lookahead",IF(P1308="Sí","INCORPORAR",""))</f>
        <v/>
      </c>
    </row>
    <row r="1309" customFormat="false" ht="15" hidden="false" customHeight="false" outlineLevel="0" collapsed="false">
      <c r="A1309" s="16" t="s">
        <v>5048</v>
      </c>
      <c r="B1309" s="16" t="n">
        <v>1304</v>
      </c>
      <c r="C1309" s="16" t="s">
        <v>5049</v>
      </c>
      <c r="D1309" s="16" t="n">
        <v>6</v>
      </c>
      <c r="E1309" s="35" t="s">
        <v>1545</v>
      </c>
      <c r="F1309" s="16" t="s">
        <v>1285</v>
      </c>
      <c r="G1309" s="16" t="s">
        <v>322</v>
      </c>
      <c r="H1309" s="16" t="s">
        <v>5039</v>
      </c>
      <c r="I1309" s="16" t="s">
        <v>109</v>
      </c>
      <c r="J1309" s="16" t="s">
        <v>1534</v>
      </c>
      <c r="K1309" s="32" t="n">
        <v>1</v>
      </c>
      <c r="L1309" s="33" t="n">
        <v>46147</v>
      </c>
      <c r="M1309" s="33" t="n">
        <v>46147</v>
      </c>
      <c r="N1309" s="16" t="s">
        <v>5050</v>
      </c>
      <c r="O1309" s="16"/>
      <c r="P1309" s="16" t="str">
        <f aca="false">IF(AND(L1309&lt;=$D$2,M1309&gt;=$C$2),"Sí","")</f>
        <v/>
      </c>
      <c r="Q1309" s="18" t="str">
        <f aca="false">IF(COUNTIF(LOOKAHEAD!$A$5:$A$604,A1309)&gt;0,"En Lookahead",IF(P1309="Sí","INCORPORAR",""))</f>
        <v/>
      </c>
    </row>
    <row r="1310" customFormat="false" ht="15" hidden="false" customHeight="false" outlineLevel="0" collapsed="false">
      <c r="A1310" s="16" t="s">
        <v>5051</v>
      </c>
      <c r="B1310" s="16" t="n">
        <v>1305</v>
      </c>
      <c r="C1310" s="16" t="s">
        <v>5052</v>
      </c>
      <c r="D1310" s="16" t="n">
        <v>6</v>
      </c>
      <c r="E1310" s="35" t="s">
        <v>1549</v>
      </c>
      <c r="F1310" s="16" t="s">
        <v>1285</v>
      </c>
      <c r="G1310" s="16" t="s">
        <v>322</v>
      </c>
      <c r="H1310" s="16" t="s">
        <v>5039</v>
      </c>
      <c r="I1310" s="16" t="s">
        <v>109</v>
      </c>
      <c r="J1310" s="16" t="s">
        <v>1534</v>
      </c>
      <c r="K1310" s="32" t="n">
        <v>1</v>
      </c>
      <c r="L1310" s="33" t="n">
        <v>46148</v>
      </c>
      <c r="M1310" s="33" t="n">
        <v>46148</v>
      </c>
      <c r="N1310" s="16" t="s">
        <v>5053</v>
      </c>
      <c r="O1310" s="16"/>
      <c r="P1310" s="16" t="str">
        <f aca="false">IF(AND(L1310&lt;=$D$2,M1310&gt;=$C$2),"Sí","")</f>
        <v/>
      </c>
      <c r="Q1310" s="18" t="str">
        <f aca="false">IF(COUNTIF(LOOKAHEAD!$A$5:$A$604,A1310)&gt;0,"En Lookahead",IF(P1310="Sí","INCORPORAR",""))</f>
        <v/>
      </c>
    </row>
    <row r="1311" customFormat="false" ht="15" hidden="false" customHeight="false" outlineLevel="0" collapsed="false">
      <c r="A1311" s="16" t="s">
        <v>5054</v>
      </c>
      <c r="B1311" s="16" t="n">
        <v>1306</v>
      </c>
      <c r="C1311" s="16" t="s">
        <v>5055</v>
      </c>
      <c r="D1311" s="16" t="n">
        <v>6</v>
      </c>
      <c r="E1311" s="35" t="s">
        <v>1553</v>
      </c>
      <c r="F1311" s="16" t="s">
        <v>1285</v>
      </c>
      <c r="G1311" s="16" t="s">
        <v>322</v>
      </c>
      <c r="H1311" s="16" t="s">
        <v>5039</v>
      </c>
      <c r="I1311" s="16" t="s">
        <v>109</v>
      </c>
      <c r="J1311" s="16" t="s">
        <v>1534</v>
      </c>
      <c r="K1311" s="32" t="n">
        <v>4</v>
      </c>
      <c r="L1311" s="33" t="n">
        <v>46330</v>
      </c>
      <c r="M1311" s="33" t="n">
        <v>46333</v>
      </c>
      <c r="N1311" s="16" t="s">
        <v>5056</v>
      </c>
      <c r="O1311" s="16"/>
      <c r="P1311" s="16" t="str">
        <f aca="false">IF(AND(L1311&lt;=$D$2,M1311&gt;=$C$2),"Sí","")</f>
        <v>Sí</v>
      </c>
      <c r="Q1311" s="18" t="str">
        <f aca="false">IF(COUNTIF(LOOKAHEAD!$A$5:$A$604,A1311)&gt;0,"En Lookahead",IF(P1311="Sí","INCORPORAR",""))</f>
        <v>En Lookahead</v>
      </c>
    </row>
    <row r="1312" customFormat="false" ht="15" hidden="false" customHeight="false" outlineLevel="0" collapsed="false">
      <c r="A1312" s="16" t="s">
        <v>5057</v>
      </c>
      <c r="B1312" s="16" t="n">
        <v>1307</v>
      </c>
      <c r="C1312" s="16" t="s">
        <v>5058</v>
      </c>
      <c r="D1312" s="16" t="n">
        <v>6</v>
      </c>
      <c r="E1312" s="35" t="s">
        <v>1557</v>
      </c>
      <c r="F1312" s="16" t="s">
        <v>1285</v>
      </c>
      <c r="G1312" s="16" t="s">
        <v>322</v>
      </c>
      <c r="H1312" s="16" t="s">
        <v>5039</v>
      </c>
      <c r="I1312" s="16" t="s">
        <v>109</v>
      </c>
      <c r="J1312" s="16" t="s">
        <v>1534</v>
      </c>
      <c r="K1312" s="32" t="n">
        <v>7</v>
      </c>
      <c r="L1312" s="33" t="n">
        <v>46149</v>
      </c>
      <c r="M1312" s="33" t="n">
        <v>46155</v>
      </c>
      <c r="N1312" s="16" t="s">
        <v>5059</v>
      </c>
      <c r="O1312" s="16"/>
      <c r="P1312" s="16" t="str">
        <f aca="false">IF(AND(L1312&lt;=$D$2,M1312&gt;=$C$2),"Sí","")</f>
        <v/>
      </c>
      <c r="Q1312" s="18" t="str">
        <f aca="false">IF(COUNTIF(LOOKAHEAD!$A$5:$A$604,A1312)&gt;0,"En Lookahead",IF(P1312="Sí","INCORPORAR",""))</f>
        <v/>
      </c>
    </row>
    <row r="1313" customFormat="false" ht="15" hidden="false" customHeight="false" outlineLevel="0" collapsed="false">
      <c r="A1313" s="16" t="s">
        <v>5060</v>
      </c>
      <c r="B1313" s="16" t="n">
        <v>1308</v>
      </c>
      <c r="C1313" s="16" t="s">
        <v>5061</v>
      </c>
      <c r="D1313" s="16" t="n">
        <v>6</v>
      </c>
      <c r="E1313" s="35" t="s">
        <v>1560</v>
      </c>
      <c r="F1313" s="16" t="s">
        <v>1285</v>
      </c>
      <c r="G1313" s="16" t="s">
        <v>322</v>
      </c>
      <c r="H1313" s="16" t="s">
        <v>5039</v>
      </c>
      <c r="I1313" s="16" t="s">
        <v>109</v>
      </c>
      <c r="J1313" s="16" t="s">
        <v>1534</v>
      </c>
      <c r="K1313" s="32" t="n">
        <v>5</v>
      </c>
      <c r="L1313" s="33" t="n">
        <v>46156</v>
      </c>
      <c r="M1313" s="33" t="n">
        <v>46240</v>
      </c>
      <c r="N1313" s="16" t="s">
        <v>5062</v>
      </c>
      <c r="O1313" s="16"/>
      <c r="P1313" s="16" t="str">
        <f aca="false">IF(AND(L1313&lt;=$D$2,M1313&gt;=$C$2),"Sí","")</f>
        <v/>
      </c>
      <c r="Q1313" s="18" t="str">
        <f aca="false">IF(COUNTIF(LOOKAHEAD!$A$5:$A$604,A1313)&gt;0,"En Lookahead",IF(P1313="Sí","INCORPORAR",""))</f>
        <v/>
      </c>
    </row>
    <row r="1314" customFormat="false" ht="15" hidden="false" customHeight="false" outlineLevel="0" collapsed="false">
      <c r="A1314" s="16" t="s">
        <v>5063</v>
      </c>
      <c r="B1314" s="16" t="n">
        <v>1309</v>
      </c>
      <c r="C1314" s="16" t="s">
        <v>5064</v>
      </c>
      <c r="D1314" s="16" t="n">
        <v>6</v>
      </c>
      <c r="E1314" s="35" t="s">
        <v>1564</v>
      </c>
      <c r="F1314" s="16" t="s">
        <v>1285</v>
      </c>
      <c r="G1314" s="16" t="s">
        <v>322</v>
      </c>
      <c r="H1314" s="16" t="s">
        <v>5039</v>
      </c>
      <c r="I1314" s="16" t="s">
        <v>109</v>
      </c>
      <c r="J1314" s="16" t="s">
        <v>1534</v>
      </c>
      <c r="K1314" s="32" t="n">
        <v>3</v>
      </c>
      <c r="L1314" s="33" t="n">
        <v>46148</v>
      </c>
      <c r="M1314" s="33" t="n">
        <v>46150</v>
      </c>
      <c r="N1314" s="16" t="s">
        <v>5065</v>
      </c>
      <c r="O1314" s="16"/>
      <c r="P1314" s="16" t="str">
        <f aca="false">IF(AND(L1314&lt;=$D$2,M1314&gt;=$C$2),"Sí","")</f>
        <v/>
      </c>
      <c r="Q1314" s="18" t="str">
        <f aca="false">IF(COUNTIF(LOOKAHEAD!$A$5:$A$604,A1314)&gt;0,"En Lookahead",IF(P1314="Sí","INCORPORAR",""))</f>
        <v/>
      </c>
    </row>
    <row r="1315" customFormat="false" ht="15" hidden="false" customHeight="false" outlineLevel="0" collapsed="false">
      <c r="A1315" s="16" t="s">
        <v>5066</v>
      </c>
      <c r="B1315" s="16" t="n">
        <v>1310</v>
      </c>
      <c r="C1315" s="16" t="s">
        <v>5067</v>
      </c>
      <c r="D1315" s="16" t="n">
        <v>6</v>
      </c>
      <c r="E1315" s="35" t="s">
        <v>1567</v>
      </c>
      <c r="F1315" s="16" t="s">
        <v>1285</v>
      </c>
      <c r="G1315" s="16" t="s">
        <v>322</v>
      </c>
      <c r="H1315" s="16" t="s">
        <v>5039</v>
      </c>
      <c r="I1315" s="16" t="s">
        <v>109</v>
      </c>
      <c r="J1315" s="16" t="s">
        <v>1534</v>
      </c>
      <c r="K1315" s="32" t="n">
        <v>3</v>
      </c>
      <c r="L1315" s="33" t="n">
        <v>46334</v>
      </c>
      <c r="M1315" s="33" t="n">
        <v>46336</v>
      </c>
      <c r="N1315" s="16" t="s">
        <v>5068</v>
      </c>
      <c r="O1315" s="16"/>
      <c r="P1315" s="16" t="str">
        <f aca="false">IF(AND(L1315&lt;=$D$2,M1315&gt;=$C$2),"Sí","")</f>
        <v>Sí</v>
      </c>
      <c r="Q1315" s="18" t="str">
        <f aca="false">IF(COUNTIF(LOOKAHEAD!$A$5:$A$604,A1315)&gt;0,"En Lookahead",IF(P1315="Sí","INCORPORAR",""))</f>
        <v>En Lookahead</v>
      </c>
    </row>
    <row r="1316" customFormat="false" ht="15" hidden="false" customHeight="false" outlineLevel="0" collapsed="false">
      <c r="A1316" s="13" t="s">
        <v>5069</v>
      </c>
      <c r="B1316" s="13" t="n">
        <v>1311</v>
      </c>
      <c r="C1316" s="13" t="s">
        <v>5070</v>
      </c>
      <c r="D1316" s="13" t="n">
        <v>5</v>
      </c>
      <c r="E1316" s="34" t="s">
        <v>1571</v>
      </c>
      <c r="F1316" s="13" t="s">
        <v>1298</v>
      </c>
      <c r="G1316" s="13" t="s">
        <v>322</v>
      </c>
      <c r="H1316" s="13" t="s">
        <v>5039</v>
      </c>
      <c r="I1316" s="13" t="s">
        <v>109</v>
      </c>
      <c r="J1316" s="13" t="s">
        <v>5039</v>
      </c>
      <c r="K1316" s="30" t="n">
        <v>112</v>
      </c>
      <c r="L1316" s="31" t="n">
        <v>46147</v>
      </c>
      <c r="M1316" s="31" t="n">
        <v>46338</v>
      </c>
      <c r="N1316" s="13"/>
      <c r="O1316" s="13"/>
      <c r="P1316" s="13"/>
      <c r="Q1316" s="13"/>
    </row>
    <row r="1317" customFormat="false" ht="15" hidden="false" customHeight="false" outlineLevel="0" collapsed="false">
      <c r="A1317" s="13" t="s">
        <v>5071</v>
      </c>
      <c r="B1317" s="13" t="n">
        <v>1312</v>
      </c>
      <c r="C1317" s="13" t="s">
        <v>5072</v>
      </c>
      <c r="D1317" s="13" t="n">
        <v>6</v>
      </c>
      <c r="E1317" s="36" t="s">
        <v>1574</v>
      </c>
      <c r="F1317" s="13" t="s">
        <v>1298</v>
      </c>
      <c r="G1317" s="13" t="s">
        <v>322</v>
      </c>
      <c r="H1317" s="13" t="s">
        <v>5039</v>
      </c>
      <c r="I1317" s="13" t="s">
        <v>109</v>
      </c>
      <c r="J1317" s="13" t="s">
        <v>1571</v>
      </c>
      <c r="K1317" s="30" t="n">
        <v>1</v>
      </c>
      <c r="L1317" s="31" t="n">
        <v>46147</v>
      </c>
      <c r="M1317" s="31" t="n">
        <v>46147</v>
      </c>
      <c r="N1317" s="13"/>
      <c r="O1317" s="13"/>
      <c r="P1317" s="13"/>
      <c r="Q1317" s="13"/>
    </row>
    <row r="1318" customFormat="false" ht="15" hidden="false" customHeight="false" outlineLevel="0" collapsed="false">
      <c r="A1318" s="16" t="s">
        <v>5073</v>
      </c>
      <c r="B1318" s="16" t="n">
        <v>1313</v>
      </c>
      <c r="C1318" s="16" t="s">
        <v>5074</v>
      </c>
      <c r="D1318" s="16" t="n">
        <v>7</v>
      </c>
      <c r="E1318" s="37" t="s">
        <v>1577</v>
      </c>
      <c r="F1318" s="16" t="s">
        <v>1285</v>
      </c>
      <c r="G1318" s="16" t="s">
        <v>322</v>
      </c>
      <c r="H1318" s="16" t="s">
        <v>5039</v>
      </c>
      <c r="I1318" s="16" t="s">
        <v>109</v>
      </c>
      <c r="J1318" s="16" t="s">
        <v>1574</v>
      </c>
      <c r="K1318" s="32" t="n">
        <v>1</v>
      </c>
      <c r="L1318" s="33" t="n">
        <v>46147</v>
      </c>
      <c r="M1318" s="33" t="n">
        <v>46147</v>
      </c>
      <c r="N1318" s="16" t="s">
        <v>5050</v>
      </c>
      <c r="O1318" s="16"/>
      <c r="P1318" s="16" t="str">
        <f aca="false">IF(AND(L1318&lt;=$D$2,M1318&gt;=$C$2),"Sí","")</f>
        <v/>
      </c>
      <c r="Q1318" s="18" t="str">
        <f aca="false">IF(COUNTIF(LOOKAHEAD!$A$5:$A$604,A1318)&gt;0,"En Lookahead",IF(P1318="Sí","INCORPORAR",""))</f>
        <v/>
      </c>
    </row>
    <row r="1319" customFormat="false" ht="15" hidden="false" customHeight="false" outlineLevel="0" collapsed="false">
      <c r="A1319" s="13" t="s">
        <v>5075</v>
      </c>
      <c r="B1319" s="13" t="n">
        <v>1314</v>
      </c>
      <c r="C1319" s="13" t="s">
        <v>5076</v>
      </c>
      <c r="D1319" s="13" t="n">
        <v>6</v>
      </c>
      <c r="E1319" s="36" t="s">
        <v>1581</v>
      </c>
      <c r="F1319" s="13" t="s">
        <v>1298</v>
      </c>
      <c r="G1319" s="13" t="s">
        <v>322</v>
      </c>
      <c r="H1319" s="13" t="s">
        <v>5039</v>
      </c>
      <c r="I1319" s="13" t="s">
        <v>109</v>
      </c>
      <c r="J1319" s="13" t="s">
        <v>1571</v>
      </c>
      <c r="K1319" s="30" t="n">
        <v>4</v>
      </c>
      <c r="L1319" s="31" t="n">
        <v>46148</v>
      </c>
      <c r="M1319" s="31" t="n">
        <v>46151</v>
      </c>
      <c r="N1319" s="13"/>
      <c r="O1319" s="13"/>
      <c r="P1319" s="13"/>
      <c r="Q1319" s="13"/>
    </row>
    <row r="1320" customFormat="false" ht="15" hidden="false" customHeight="false" outlineLevel="0" collapsed="false">
      <c r="A1320" s="16" t="s">
        <v>5077</v>
      </c>
      <c r="B1320" s="16" t="n">
        <v>1315</v>
      </c>
      <c r="C1320" s="16" t="s">
        <v>5078</v>
      </c>
      <c r="D1320" s="16" t="n">
        <v>7</v>
      </c>
      <c r="E1320" s="37" t="s">
        <v>1584</v>
      </c>
      <c r="F1320" s="16" t="s">
        <v>1285</v>
      </c>
      <c r="G1320" s="16" t="s">
        <v>322</v>
      </c>
      <c r="H1320" s="16" t="s">
        <v>5039</v>
      </c>
      <c r="I1320" s="16" t="s">
        <v>109</v>
      </c>
      <c r="J1320" s="16" t="s">
        <v>1581</v>
      </c>
      <c r="K1320" s="32" t="n">
        <v>1</v>
      </c>
      <c r="L1320" s="33" t="n">
        <v>46151</v>
      </c>
      <c r="M1320" s="33" t="n">
        <v>46151</v>
      </c>
      <c r="N1320" s="16" t="s">
        <v>5079</v>
      </c>
      <c r="O1320" s="16"/>
      <c r="P1320" s="16" t="str">
        <f aca="false">IF(AND(L1320&lt;=$D$2,M1320&gt;=$C$2),"Sí","")</f>
        <v/>
      </c>
      <c r="Q1320" s="18" t="str">
        <f aca="false">IF(COUNTIF(LOOKAHEAD!$A$5:$A$604,A1320)&gt;0,"En Lookahead",IF(P1320="Sí","INCORPORAR",""))</f>
        <v/>
      </c>
    </row>
    <row r="1321" customFormat="false" ht="15" hidden="false" customHeight="false" outlineLevel="0" collapsed="false">
      <c r="A1321" s="16" t="s">
        <v>5080</v>
      </c>
      <c r="B1321" s="16" t="n">
        <v>1316</v>
      </c>
      <c r="C1321" s="16" t="s">
        <v>5081</v>
      </c>
      <c r="D1321" s="16" t="n">
        <v>7</v>
      </c>
      <c r="E1321" s="37" t="s">
        <v>1588</v>
      </c>
      <c r="F1321" s="16" t="s">
        <v>1285</v>
      </c>
      <c r="G1321" s="16" t="s">
        <v>322</v>
      </c>
      <c r="H1321" s="16" t="s">
        <v>5039</v>
      </c>
      <c r="I1321" s="16" t="s">
        <v>109</v>
      </c>
      <c r="J1321" s="16" t="s">
        <v>1581</v>
      </c>
      <c r="K1321" s="32" t="n">
        <v>3</v>
      </c>
      <c r="L1321" s="33" t="n">
        <v>46148</v>
      </c>
      <c r="M1321" s="33" t="n">
        <v>46150</v>
      </c>
      <c r="N1321" s="16" t="s">
        <v>5065</v>
      </c>
      <c r="O1321" s="16"/>
      <c r="P1321" s="16" t="str">
        <f aca="false">IF(AND(L1321&lt;=$D$2,M1321&gt;=$C$2),"Sí","")</f>
        <v/>
      </c>
      <c r="Q1321" s="18" t="str">
        <f aca="false">IF(COUNTIF(LOOKAHEAD!$A$5:$A$604,A1321)&gt;0,"En Lookahead",IF(P1321="Sí","INCORPORAR",""))</f>
        <v/>
      </c>
    </row>
    <row r="1322" customFormat="false" ht="15" hidden="false" customHeight="false" outlineLevel="0" collapsed="false">
      <c r="A1322" s="13" t="s">
        <v>5082</v>
      </c>
      <c r="B1322" s="13" t="n">
        <v>1317</v>
      </c>
      <c r="C1322" s="13" t="s">
        <v>5083</v>
      </c>
      <c r="D1322" s="13" t="n">
        <v>6</v>
      </c>
      <c r="E1322" s="36" t="s">
        <v>1592</v>
      </c>
      <c r="F1322" s="13" t="s">
        <v>1298</v>
      </c>
      <c r="G1322" s="13" t="s">
        <v>322</v>
      </c>
      <c r="H1322" s="13" t="s">
        <v>5039</v>
      </c>
      <c r="I1322" s="13" t="s">
        <v>109</v>
      </c>
      <c r="J1322" s="13" t="s">
        <v>1571</v>
      </c>
      <c r="K1322" s="30" t="n">
        <v>99</v>
      </c>
      <c r="L1322" s="31" t="n">
        <v>46152</v>
      </c>
      <c r="M1322" s="31" t="n">
        <v>46330</v>
      </c>
      <c r="N1322" s="13"/>
      <c r="O1322" s="13"/>
      <c r="P1322" s="13"/>
      <c r="Q1322" s="13"/>
    </row>
    <row r="1323" customFormat="false" ht="15" hidden="false" customHeight="false" outlineLevel="0" collapsed="false">
      <c r="A1323" s="16" t="s">
        <v>5084</v>
      </c>
      <c r="B1323" s="16" t="n">
        <v>1318</v>
      </c>
      <c r="C1323" s="16" t="s">
        <v>5085</v>
      </c>
      <c r="D1323" s="16" t="n">
        <v>7</v>
      </c>
      <c r="E1323" s="37" t="s">
        <v>1595</v>
      </c>
      <c r="F1323" s="16" t="s">
        <v>1285</v>
      </c>
      <c r="G1323" s="16" t="s">
        <v>322</v>
      </c>
      <c r="H1323" s="16" t="s">
        <v>5039</v>
      </c>
      <c r="I1323" s="16" t="s">
        <v>109</v>
      </c>
      <c r="J1323" s="16" t="s">
        <v>1592</v>
      </c>
      <c r="K1323" s="32" t="n">
        <v>1</v>
      </c>
      <c r="L1323" s="33" t="n">
        <v>46329</v>
      </c>
      <c r="M1323" s="33" t="n">
        <v>46329</v>
      </c>
      <c r="N1323" s="16" t="s">
        <v>5086</v>
      </c>
      <c r="O1323" s="16"/>
      <c r="P1323" s="16" t="str">
        <f aca="false">IF(AND(L1323&lt;=$D$2,M1323&gt;=$C$2),"Sí","")</f>
        <v>Sí</v>
      </c>
      <c r="Q1323" s="18" t="str">
        <f aca="false">IF(COUNTIF(LOOKAHEAD!$A$5:$A$604,A1323)&gt;0,"En Lookahead",IF(P1323="Sí","INCORPORAR",""))</f>
        <v>En Lookahead</v>
      </c>
    </row>
    <row r="1324" customFormat="false" ht="15" hidden="false" customHeight="false" outlineLevel="0" collapsed="false">
      <c r="A1324" s="16" t="s">
        <v>5087</v>
      </c>
      <c r="B1324" s="16" t="n">
        <v>1319</v>
      </c>
      <c r="C1324" s="16" t="s">
        <v>5088</v>
      </c>
      <c r="D1324" s="16" t="n">
        <v>7</v>
      </c>
      <c r="E1324" s="37" t="s">
        <v>1588</v>
      </c>
      <c r="F1324" s="16" t="s">
        <v>1285</v>
      </c>
      <c r="G1324" s="16" t="s">
        <v>322</v>
      </c>
      <c r="H1324" s="16" t="s">
        <v>5039</v>
      </c>
      <c r="I1324" s="16" t="s">
        <v>109</v>
      </c>
      <c r="J1324" s="16" t="s">
        <v>1592</v>
      </c>
      <c r="K1324" s="32" t="n">
        <v>2</v>
      </c>
      <c r="L1324" s="33" t="n">
        <v>46152</v>
      </c>
      <c r="M1324" s="33" t="n">
        <v>46153</v>
      </c>
      <c r="N1324" s="16" t="s">
        <v>5089</v>
      </c>
      <c r="O1324" s="16"/>
      <c r="P1324" s="16" t="str">
        <f aca="false">IF(AND(L1324&lt;=$D$2,M1324&gt;=$C$2),"Sí","")</f>
        <v/>
      </c>
      <c r="Q1324" s="18" t="str">
        <f aca="false">IF(COUNTIF(LOOKAHEAD!$A$5:$A$604,A1324)&gt;0,"En Lookahead",IF(P1324="Sí","INCORPORAR",""))</f>
        <v/>
      </c>
    </row>
    <row r="1325" customFormat="false" ht="15" hidden="false" customHeight="false" outlineLevel="0" collapsed="false">
      <c r="A1325" s="16" t="s">
        <v>5090</v>
      </c>
      <c r="B1325" s="16" t="n">
        <v>1320</v>
      </c>
      <c r="C1325" s="16" t="s">
        <v>5091</v>
      </c>
      <c r="D1325" s="16" t="n">
        <v>7</v>
      </c>
      <c r="E1325" s="37" t="s">
        <v>1602</v>
      </c>
      <c r="F1325" s="16" t="s">
        <v>1285</v>
      </c>
      <c r="G1325" s="16" t="s">
        <v>322</v>
      </c>
      <c r="H1325" s="16" t="s">
        <v>5039</v>
      </c>
      <c r="I1325" s="16" t="s">
        <v>109</v>
      </c>
      <c r="J1325" s="16" t="s">
        <v>1592</v>
      </c>
      <c r="K1325" s="32" t="n">
        <v>1</v>
      </c>
      <c r="L1325" s="33" t="n">
        <v>46330</v>
      </c>
      <c r="M1325" s="33" t="n">
        <v>46330</v>
      </c>
      <c r="N1325" s="16" t="s">
        <v>5056</v>
      </c>
      <c r="O1325" s="16"/>
      <c r="P1325" s="16" t="str">
        <f aca="false">IF(AND(L1325&lt;=$D$2,M1325&gt;=$C$2),"Sí","")</f>
        <v>Sí</v>
      </c>
      <c r="Q1325" s="18" t="str">
        <f aca="false">IF(COUNTIF(LOOKAHEAD!$A$5:$A$604,A1325)&gt;0,"En Lookahead",IF(P1325="Sí","INCORPORAR",""))</f>
        <v>En Lookahead</v>
      </c>
    </row>
    <row r="1326" customFormat="false" ht="15" hidden="false" customHeight="false" outlineLevel="0" collapsed="false">
      <c r="A1326" s="13" t="s">
        <v>5092</v>
      </c>
      <c r="B1326" s="13" t="n">
        <v>1321</v>
      </c>
      <c r="C1326" s="13" t="s">
        <v>5093</v>
      </c>
      <c r="D1326" s="13" t="n">
        <v>6</v>
      </c>
      <c r="E1326" s="36" t="s">
        <v>1606</v>
      </c>
      <c r="F1326" s="13" t="s">
        <v>1298</v>
      </c>
      <c r="G1326" s="13" t="s">
        <v>322</v>
      </c>
      <c r="H1326" s="13" t="s">
        <v>5039</v>
      </c>
      <c r="I1326" s="13" t="s">
        <v>109</v>
      </c>
      <c r="J1326" s="13" t="s">
        <v>1571</v>
      </c>
      <c r="K1326" s="30" t="n">
        <v>3</v>
      </c>
      <c r="L1326" s="31" t="n">
        <v>46330</v>
      </c>
      <c r="M1326" s="31" t="n">
        <v>46332</v>
      </c>
      <c r="N1326" s="13"/>
      <c r="O1326" s="13"/>
      <c r="P1326" s="13"/>
      <c r="Q1326" s="13"/>
    </row>
    <row r="1327" customFormat="false" ht="15" hidden="false" customHeight="false" outlineLevel="0" collapsed="false">
      <c r="A1327" s="16" t="s">
        <v>5094</v>
      </c>
      <c r="B1327" s="16" t="n">
        <v>1322</v>
      </c>
      <c r="C1327" s="16" t="s">
        <v>5095</v>
      </c>
      <c r="D1327" s="16" t="n">
        <v>7</v>
      </c>
      <c r="E1327" s="37" t="s">
        <v>1609</v>
      </c>
      <c r="F1327" s="16" t="s">
        <v>1285</v>
      </c>
      <c r="G1327" s="16" t="s">
        <v>322</v>
      </c>
      <c r="H1327" s="16" t="s">
        <v>5039</v>
      </c>
      <c r="I1327" s="16" t="s">
        <v>109</v>
      </c>
      <c r="J1327" s="16" t="s">
        <v>1606</v>
      </c>
      <c r="K1327" s="32" t="n">
        <v>1</v>
      </c>
      <c r="L1327" s="33" t="n">
        <v>46332</v>
      </c>
      <c r="M1327" s="33" t="n">
        <v>46332</v>
      </c>
      <c r="N1327" s="16" t="s">
        <v>5096</v>
      </c>
      <c r="O1327" s="16"/>
      <c r="P1327" s="16" t="str">
        <f aca="false">IF(AND(L1327&lt;=$D$2,M1327&gt;=$C$2),"Sí","")</f>
        <v>Sí</v>
      </c>
      <c r="Q1327" s="18" t="str">
        <f aca="false">IF(COUNTIF(LOOKAHEAD!$A$5:$A$604,A1327)&gt;0,"En Lookahead",IF(P1327="Sí","INCORPORAR",""))</f>
        <v>En Lookahead</v>
      </c>
    </row>
    <row r="1328" customFormat="false" ht="15" hidden="false" customHeight="false" outlineLevel="0" collapsed="false">
      <c r="A1328" s="16" t="s">
        <v>5097</v>
      </c>
      <c r="B1328" s="16" t="n">
        <v>1323</v>
      </c>
      <c r="C1328" s="16" t="s">
        <v>5098</v>
      </c>
      <c r="D1328" s="16" t="n">
        <v>7</v>
      </c>
      <c r="E1328" s="37" t="s">
        <v>1588</v>
      </c>
      <c r="F1328" s="16" t="s">
        <v>1285</v>
      </c>
      <c r="G1328" s="16" t="s">
        <v>322</v>
      </c>
      <c r="H1328" s="16" t="s">
        <v>5039</v>
      </c>
      <c r="I1328" s="16" t="s">
        <v>109</v>
      </c>
      <c r="J1328" s="16" t="s">
        <v>1606</v>
      </c>
      <c r="K1328" s="32" t="n">
        <v>2</v>
      </c>
      <c r="L1328" s="33" t="n">
        <v>46330</v>
      </c>
      <c r="M1328" s="33" t="n">
        <v>46331</v>
      </c>
      <c r="N1328" s="16" t="s">
        <v>5056</v>
      </c>
      <c r="O1328" s="16"/>
      <c r="P1328" s="16" t="str">
        <f aca="false">IF(AND(L1328&lt;=$D$2,M1328&gt;=$C$2),"Sí","")</f>
        <v>Sí</v>
      </c>
      <c r="Q1328" s="18" t="str">
        <f aca="false">IF(COUNTIF(LOOKAHEAD!$A$5:$A$604,A1328)&gt;0,"En Lookahead",IF(P1328="Sí","INCORPORAR",""))</f>
        <v>En Lookahead</v>
      </c>
    </row>
    <row r="1329" customFormat="false" ht="15" hidden="false" customHeight="false" outlineLevel="0" collapsed="false">
      <c r="A1329" s="13" t="s">
        <v>5099</v>
      </c>
      <c r="B1329" s="13" t="n">
        <v>1324</v>
      </c>
      <c r="C1329" s="13" t="s">
        <v>5100</v>
      </c>
      <c r="D1329" s="13" t="n">
        <v>6</v>
      </c>
      <c r="E1329" s="36" t="s">
        <v>1616</v>
      </c>
      <c r="F1329" s="13" t="s">
        <v>1298</v>
      </c>
      <c r="G1329" s="13" t="s">
        <v>322</v>
      </c>
      <c r="H1329" s="13" t="s">
        <v>5039</v>
      </c>
      <c r="I1329" s="13" t="s">
        <v>109</v>
      </c>
      <c r="J1329" s="13" t="s">
        <v>1571</v>
      </c>
      <c r="K1329" s="30" t="n">
        <v>2</v>
      </c>
      <c r="L1329" s="31" t="n">
        <v>46337</v>
      </c>
      <c r="M1329" s="31" t="n">
        <v>46338</v>
      </c>
      <c r="N1329" s="13"/>
      <c r="O1329" s="13"/>
      <c r="P1329" s="13"/>
      <c r="Q1329" s="13"/>
    </row>
    <row r="1330" customFormat="false" ht="15" hidden="false" customHeight="false" outlineLevel="0" collapsed="false">
      <c r="A1330" s="16" t="s">
        <v>5101</v>
      </c>
      <c r="B1330" s="16" t="n">
        <v>1325</v>
      </c>
      <c r="C1330" s="16" t="s">
        <v>5102</v>
      </c>
      <c r="D1330" s="16" t="n">
        <v>7</v>
      </c>
      <c r="E1330" s="37" t="s">
        <v>1619</v>
      </c>
      <c r="F1330" s="16" t="s">
        <v>1285</v>
      </c>
      <c r="G1330" s="16" t="s">
        <v>322</v>
      </c>
      <c r="H1330" s="16" t="s">
        <v>5039</v>
      </c>
      <c r="I1330" s="16" t="s">
        <v>109</v>
      </c>
      <c r="J1330" s="16" t="s">
        <v>1616</v>
      </c>
      <c r="K1330" s="32" t="n">
        <v>2</v>
      </c>
      <c r="L1330" s="33" t="n">
        <v>46337</v>
      </c>
      <c r="M1330" s="33" t="n">
        <v>46338</v>
      </c>
      <c r="N1330" s="16" t="s">
        <v>5103</v>
      </c>
      <c r="O1330" s="16"/>
      <c r="P1330" s="16" t="str">
        <f aca="false">IF(AND(L1330&lt;=$D$2,M1330&gt;=$C$2),"Sí","")</f>
        <v>Sí</v>
      </c>
      <c r="Q1330" s="18" t="str">
        <f aca="false">IF(COUNTIF(LOOKAHEAD!$A$5:$A$604,A1330)&gt;0,"En Lookahead",IF(P1330="Sí","INCORPORAR",""))</f>
        <v>En Lookahead</v>
      </c>
    </row>
    <row r="1331" customFormat="false" ht="15" hidden="false" customHeight="false" outlineLevel="0" collapsed="false">
      <c r="A1331" s="13" t="s">
        <v>5104</v>
      </c>
      <c r="B1331" s="13" t="n">
        <v>1326</v>
      </c>
      <c r="C1331" s="13" t="s">
        <v>5105</v>
      </c>
      <c r="D1331" s="13" t="n">
        <v>5</v>
      </c>
      <c r="E1331" s="34" t="s">
        <v>1623</v>
      </c>
      <c r="F1331" s="13" t="s">
        <v>1298</v>
      </c>
      <c r="G1331" s="13" t="s">
        <v>322</v>
      </c>
      <c r="H1331" s="13" t="s">
        <v>5039</v>
      </c>
      <c r="I1331" s="13" t="s">
        <v>109</v>
      </c>
      <c r="J1331" s="13" t="s">
        <v>5039</v>
      </c>
      <c r="K1331" s="30" t="n">
        <v>107</v>
      </c>
      <c r="L1331" s="31" t="n">
        <v>46333</v>
      </c>
      <c r="M1331" s="31" t="n">
        <v>46439</v>
      </c>
      <c r="N1331" s="13"/>
      <c r="O1331" s="13"/>
      <c r="P1331" s="13"/>
      <c r="Q1331" s="13"/>
    </row>
    <row r="1332" customFormat="false" ht="15" hidden="false" customHeight="false" outlineLevel="0" collapsed="false">
      <c r="A1332" s="13" t="s">
        <v>5106</v>
      </c>
      <c r="B1332" s="13" t="n">
        <v>1327</v>
      </c>
      <c r="C1332" s="13" t="s">
        <v>5107</v>
      </c>
      <c r="D1332" s="13" t="n">
        <v>6</v>
      </c>
      <c r="E1332" s="36" t="s">
        <v>1626</v>
      </c>
      <c r="F1332" s="13" t="s">
        <v>1298</v>
      </c>
      <c r="G1332" s="13" t="s">
        <v>322</v>
      </c>
      <c r="H1332" s="13" t="s">
        <v>5039</v>
      </c>
      <c r="I1332" s="13" t="s">
        <v>109</v>
      </c>
      <c r="J1332" s="13" t="s">
        <v>1623</v>
      </c>
      <c r="K1332" s="30" t="n">
        <v>7</v>
      </c>
      <c r="L1332" s="31" t="n">
        <v>46333</v>
      </c>
      <c r="M1332" s="31" t="n">
        <v>46339</v>
      </c>
      <c r="N1332" s="13"/>
      <c r="O1332" s="13"/>
      <c r="P1332" s="13"/>
      <c r="Q1332" s="13"/>
    </row>
    <row r="1333" customFormat="false" ht="15" hidden="false" customHeight="false" outlineLevel="0" collapsed="false">
      <c r="A1333" s="16" t="s">
        <v>5108</v>
      </c>
      <c r="B1333" s="16" t="n">
        <v>1328</v>
      </c>
      <c r="C1333" s="16" t="s">
        <v>5109</v>
      </c>
      <c r="D1333" s="16" t="n">
        <v>7</v>
      </c>
      <c r="E1333" s="37" t="s">
        <v>1629</v>
      </c>
      <c r="F1333" s="16" t="s">
        <v>1285</v>
      </c>
      <c r="G1333" s="16" t="s">
        <v>322</v>
      </c>
      <c r="H1333" s="16" t="s">
        <v>5039</v>
      </c>
      <c r="I1333" s="16" t="s">
        <v>109</v>
      </c>
      <c r="J1333" s="16" t="s">
        <v>1626</v>
      </c>
      <c r="K1333" s="32" t="n">
        <v>1</v>
      </c>
      <c r="L1333" s="33" t="n">
        <v>46338</v>
      </c>
      <c r="M1333" s="33" t="n">
        <v>46338</v>
      </c>
      <c r="N1333" s="16" t="s">
        <v>5110</v>
      </c>
      <c r="O1333" s="16"/>
      <c r="P1333" s="16" t="str">
        <f aca="false">IF(AND(L1333&lt;=$D$2,M1333&gt;=$C$2),"Sí","")</f>
        <v>Sí</v>
      </c>
      <c r="Q1333" s="18" t="str">
        <f aca="false">IF(COUNTIF(LOOKAHEAD!$A$5:$A$604,A1333)&gt;0,"En Lookahead",IF(P1333="Sí","INCORPORAR",""))</f>
        <v>En Lookahead</v>
      </c>
    </row>
    <row r="1334" customFormat="false" ht="15" hidden="false" customHeight="false" outlineLevel="0" collapsed="false">
      <c r="A1334" s="16" t="s">
        <v>5111</v>
      </c>
      <c r="B1334" s="16" t="n">
        <v>1329</v>
      </c>
      <c r="C1334" s="16" t="s">
        <v>5112</v>
      </c>
      <c r="D1334" s="16" t="n">
        <v>7</v>
      </c>
      <c r="E1334" s="37" t="s">
        <v>1633</v>
      </c>
      <c r="F1334" s="16" t="s">
        <v>1285</v>
      </c>
      <c r="G1334" s="16" t="s">
        <v>322</v>
      </c>
      <c r="H1334" s="16" t="s">
        <v>5039</v>
      </c>
      <c r="I1334" s="16" t="s">
        <v>109</v>
      </c>
      <c r="J1334" s="16" t="s">
        <v>1626</v>
      </c>
      <c r="K1334" s="32" t="n">
        <v>2</v>
      </c>
      <c r="L1334" s="33" t="n">
        <v>46336</v>
      </c>
      <c r="M1334" s="33" t="n">
        <v>46337</v>
      </c>
      <c r="N1334" s="16" t="s">
        <v>5113</v>
      </c>
      <c r="O1334" s="16"/>
      <c r="P1334" s="16" t="str">
        <f aca="false">IF(AND(L1334&lt;=$D$2,M1334&gt;=$C$2),"Sí","")</f>
        <v>Sí</v>
      </c>
      <c r="Q1334" s="18" t="str">
        <f aca="false">IF(COUNTIF(LOOKAHEAD!$A$5:$A$604,A1334)&gt;0,"En Lookahead",IF(P1334="Sí","INCORPORAR",""))</f>
        <v>En Lookahead</v>
      </c>
    </row>
    <row r="1335" customFormat="false" ht="15" hidden="false" customHeight="false" outlineLevel="0" collapsed="false">
      <c r="A1335" s="16" t="s">
        <v>5114</v>
      </c>
      <c r="B1335" s="16" t="n">
        <v>1330</v>
      </c>
      <c r="C1335" s="16" t="s">
        <v>5115</v>
      </c>
      <c r="D1335" s="16" t="n">
        <v>7</v>
      </c>
      <c r="E1335" s="37" t="s">
        <v>1637</v>
      </c>
      <c r="F1335" s="16" t="s">
        <v>1285</v>
      </c>
      <c r="G1335" s="16" t="s">
        <v>322</v>
      </c>
      <c r="H1335" s="16" t="s">
        <v>5039</v>
      </c>
      <c r="I1335" s="16" t="s">
        <v>109</v>
      </c>
      <c r="J1335" s="16" t="s">
        <v>1626</v>
      </c>
      <c r="K1335" s="32" t="n">
        <v>3</v>
      </c>
      <c r="L1335" s="33" t="n">
        <v>46333</v>
      </c>
      <c r="M1335" s="33" t="n">
        <v>46335</v>
      </c>
      <c r="N1335" s="16" t="s">
        <v>5116</v>
      </c>
      <c r="O1335" s="16"/>
      <c r="P1335" s="16" t="str">
        <f aca="false">IF(AND(L1335&lt;=$D$2,M1335&gt;=$C$2),"Sí","")</f>
        <v>Sí</v>
      </c>
      <c r="Q1335" s="18" t="str">
        <f aca="false">IF(COUNTIF(LOOKAHEAD!$A$5:$A$604,A1335)&gt;0,"En Lookahead",IF(P1335="Sí","INCORPORAR",""))</f>
        <v>En Lookahead</v>
      </c>
    </row>
    <row r="1336" customFormat="false" ht="15" hidden="false" customHeight="false" outlineLevel="0" collapsed="false">
      <c r="A1336" s="16" t="s">
        <v>5117</v>
      </c>
      <c r="B1336" s="16" t="n">
        <v>1331</v>
      </c>
      <c r="C1336" s="16" t="s">
        <v>5118</v>
      </c>
      <c r="D1336" s="16" t="n">
        <v>7</v>
      </c>
      <c r="E1336" s="37" t="s">
        <v>1602</v>
      </c>
      <c r="F1336" s="16" t="s">
        <v>1285</v>
      </c>
      <c r="G1336" s="16" t="s">
        <v>322</v>
      </c>
      <c r="H1336" s="16" t="s">
        <v>5039</v>
      </c>
      <c r="I1336" s="16" t="s">
        <v>109</v>
      </c>
      <c r="J1336" s="16" t="s">
        <v>1626</v>
      </c>
      <c r="K1336" s="32" t="n">
        <v>1</v>
      </c>
      <c r="L1336" s="33" t="n">
        <v>46339</v>
      </c>
      <c r="M1336" s="33" t="n">
        <v>46339</v>
      </c>
      <c r="N1336" s="16" t="s">
        <v>5119</v>
      </c>
      <c r="O1336" s="16"/>
      <c r="P1336" s="16" t="str">
        <f aca="false">IF(AND(L1336&lt;=$D$2,M1336&gt;=$C$2),"Sí","")</f>
        <v>Sí</v>
      </c>
      <c r="Q1336" s="18" t="str">
        <f aca="false">IF(COUNTIF(LOOKAHEAD!$A$5:$A$604,A1336)&gt;0,"En Lookahead",IF(P1336="Sí","INCORPORAR",""))</f>
        <v>En Lookahead</v>
      </c>
    </row>
    <row r="1337" customFormat="false" ht="15" hidden="false" customHeight="false" outlineLevel="0" collapsed="false">
      <c r="A1337" s="13" t="s">
        <v>5120</v>
      </c>
      <c r="B1337" s="13" t="n">
        <v>1332</v>
      </c>
      <c r="C1337" s="13" t="s">
        <v>5121</v>
      </c>
      <c r="D1337" s="13" t="n">
        <v>6</v>
      </c>
      <c r="E1337" s="36" t="s">
        <v>1644</v>
      </c>
      <c r="F1337" s="13" t="s">
        <v>1298</v>
      </c>
      <c r="G1337" s="13" t="s">
        <v>322</v>
      </c>
      <c r="H1337" s="13" t="s">
        <v>5039</v>
      </c>
      <c r="I1337" s="13" t="s">
        <v>109</v>
      </c>
      <c r="J1337" s="13" t="s">
        <v>1623</v>
      </c>
      <c r="K1337" s="30" t="n">
        <v>17</v>
      </c>
      <c r="L1337" s="31" t="n">
        <v>46339</v>
      </c>
      <c r="M1337" s="31" t="n">
        <v>46355</v>
      </c>
      <c r="N1337" s="13"/>
      <c r="O1337" s="13"/>
      <c r="P1337" s="13"/>
      <c r="Q1337" s="13"/>
    </row>
    <row r="1338" customFormat="false" ht="15" hidden="false" customHeight="false" outlineLevel="0" collapsed="false">
      <c r="A1338" s="16" t="s">
        <v>5122</v>
      </c>
      <c r="B1338" s="16" t="n">
        <v>1333</v>
      </c>
      <c r="C1338" s="16" t="s">
        <v>5123</v>
      </c>
      <c r="D1338" s="16" t="n">
        <v>7</v>
      </c>
      <c r="E1338" s="37" t="s">
        <v>1647</v>
      </c>
      <c r="F1338" s="16" t="s">
        <v>1285</v>
      </c>
      <c r="G1338" s="16" t="s">
        <v>322</v>
      </c>
      <c r="H1338" s="16" t="s">
        <v>5039</v>
      </c>
      <c r="I1338" s="16" t="s">
        <v>109</v>
      </c>
      <c r="J1338" s="16" t="s">
        <v>1644</v>
      </c>
      <c r="K1338" s="32" t="n">
        <v>1</v>
      </c>
      <c r="L1338" s="33" t="n">
        <v>46353</v>
      </c>
      <c r="M1338" s="33" t="n">
        <v>46353</v>
      </c>
      <c r="N1338" s="16" t="s">
        <v>5124</v>
      </c>
      <c r="O1338" s="16"/>
      <c r="P1338" s="16" t="str">
        <f aca="false">IF(AND(L1338&lt;=$D$2,M1338&gt;=$C$2),"Sí","")</f>
        <v/>
      </c>
      <c r="Q1338" s="18" t="str">
        <f aca="false">IF(COUNTIF(LOOKAHEAD!$A$5:$A$604,A1338)&gt;0,"En Lookahead",IF(P1338="Sí","INCORPORAR",""))</f>
        <v/>
      </c>
    </row>
    <row r="1339" customFormat="false" ht="15" hidden="false" customHeight="false" outlineLevel="0" collapsed="false">
      <c r="A1339" s="16" t="s">
        <v>5125</v>
      </c>
      <c r="B1339" s="16" t="n">
        <v>1334</v>
      </c>
      <c r="C1339" s="16" t="s">
        <v>5126</v>
      </c>
      <c r="D1339" s="16" t="n">
        <v>7</v>
      </c>
      <c r="E1339" s="37" t="s">
        <v>1651</v>
      </c>
      <c r="F1339" s="16" t="s">
        <v>1285</v>
      </c>
      <c r="G1339" s="16" t="s">
        <v>322</v>
      </c>
      <c r="H1339" s="16" t="s">
        <v>5039</v>
      </c>
      <c r="I1339" s="16" t="s">
        <v>109</v>
      </c>
      <c r="J1339" s="16" t="s">
        <v>1644</v>
      </c>
      <c r="K1339" s="32" t="n">
        <v>6</v>
      </c>
      <c r="L1339" s="33" t="n">
        <v>46347</v>
      </c>
      <c r="M1339" s="33" t="n">
        <v>46352</v>
      </c>
      <c r="N1339" s="16" t="s">
        <v>5127</v>
      </c>
      <c r="O1339" s="16"/>
      <c r="P1339" s="16" t="str">
        <f aca="false">IF(AND(L1339&lt;=$D$2,M1339&gt;=$C$2),"Sí","")</f>
        <v/>
      </c>
      <c r="Q1339" s="18" t="str">
        <f aca="false">IF(COUNTIF(LOOKAHEAD!$A$5:$A$604,A1339)&gt;0,"En Lookahead",IF(P1339="Sí","INCORPORAR",""))</f>
        <v/>
      </c>
    </row>
    <row r="1340" customFormat="false" ht="15" hidden="false" customHeight="false" outlineLevel="0" collapsed="false">
      <c r="A1340" s="16" t="s">
        <v>5128</v>
      </c>
      <c r="B1340" s="16" t="n">
        <v>1335</v>
      </c>
      <c r="C1340" s="16" t="s">
        <v>5129</v>
      </c>
      <c r="D1340" s="16" t="n">
        <v>7</v>
      </c>
      <c r="E1340" s="37" t="s">
        <v>1637</v>
      </c>
      <c r="F1340" s="16" t="s">
        <v>1285</v>
      </c>
      <c r="G1340" s="16" t="s">
        <v>322</v>
      </c>
      <c r="H1340" s="16" t="s">
        <v>5039</v>
      </c>
      <c r="I1340" s="16" t="s">
        <v>109</v>
      </c>
      <c r="J1340" s="16" t="s">
        <v>1644</v>
      </c>
      <c r="K1340" s="32" t="n">
        <v>8</v>
      </c>
      <c r="L1340" s="33" t="n">
        <v>46339</v>
      </c>
      <c r="M1340" s="33" t="n">
        <v>46346</v>
      </c>
      <c r="N1340" s="16" t="s">
        <v>5119</v>
      </c>
      <c r="O1340" s="16"/>
      <c r="P1340" s="16" t="str">
        <f aca="false">IF(AND(L1340&lt;=$D$2,M1340&gt;=$C$2),"Sí","")</f>
        <v>Sí</v>
      </c>
      <c r="Q1340" s="18" t="str">
        <f aca="false">IF(COUNTIF(LOOKAHEAD!$A$5:$A$604,A1340)&gt;0,"En Lookahead",IF(P1340="Sí","INCORPORAR",""))</f>
        <v>En Lookahead</v>
      </c>
    </row>
    <row r="1341" customFormat="false" ht="15" hidden="false" customHeight="false" outlineLevel="0" collapsed="false">
      <c r="A1341" s="16" t="s">
        <v>5130</v>
      </c>
      <c r="B1341" s="16" t="n">
        <v>1336</v>
      </c>
      <c r="C1341" s="16" t="s">
        <v>5131</v>
      </c>
      <c r="D1341" s="16" t="n">
        <v>7</v>
      </c>
      <c r="E1341" s="37" t="s">
        <v>1602</v>
      </c>
      <c r="F1341" s="16" t="s">
        <v>1285</v>
      </c>
      <c r="G1341" s="16" t="s">
        <v>322</v>
      </c>
      <c r="H1341" s="16" t="s">
        <v>5039</v>
      </c>
      <c r="I1341" s="16" t="s">
        <v>109</v>
      </c>
      <c r="J1341" s="16" t="s">
        <v>1644</v>
      </c>
      <c r="K1341" s="32" t="n">
        <v>2</v>
      </c>
      <c r="L1341" s="33" t="n">
        <v>46354</v>
      </c>
      <c r="M1341" s="33" t="n">
        <v>46355</v>
      </c>
      <c r="N1341" s="16" t="s">
        <v>5132</v>
      </c>
      <c r="O1341" s="16"/>
      <c r="P1341" s="16" t="str">
        <f aca="false">IF(AND(L1341&lt;=$D$2,M1341&gt;=$C$2),"Sí","")</f>
        <v/>
      </c>
      <c r="Q1341" s="18" t="str">
        <f aca="false">IF(COUNTIF(LOOKAHEAD!$A$5:$A$604,A1341)&gt;0,"En Lookahead",IF(P1341="Sí","INCORPORAR",""))</f>
        <v/>
      </c>
    </row>
    <row r="1342" customFormat="false" ht="15" hidden="false" customHeight="false" outlineLevel="0" collapsed="false">
      <c r="A1342" s="13" t="s">
        <v>5133</v>
      </c>
      <c r="B1342" s="13" t="n">
        <v>1337</v>
      </c>
      <c r="C1342" s="13" t="s">
        <v>5134</v>
      </c>
      <c r="D1342" s="13" t="n">
        <v>6</v>
      </c>
      <c r="E1342" s="36" t="s">
        <v>1660</v>
      </c>
      <c r="F1342" s="13" t="s">
        <v>1298</v>
      </c>
      <c r="G1342" s="13" t="s">
        <v>322</v>
      </c>
      <c r="H1342" s="13" t="s">
        <v>5039</v>
      </c>
      <c r="I1342" s="13" t="s">
        <v>109</v>
      </c>
      <c r="J1342" s="13" t="s">
        <v>1623</v>
      </c>
      <c r="K1342" s="30" t="n">
        <v>60</v>
      </c>
      <c r="L1342" s="31" t="n">
        <v>46339</v>
      </c>
      <c r="M1342" s="31" t="n">
        <v>46398</v>
      </c>
      <c r="N1342" s="13"/>
      <c r="O1342" s="13"/>
      <c r="P1342" s="13"/>
      <c r="Q1342" s="13"/>
    </row>
    <row r="1343" customFormat="false" ht="15" hidden="false" customHeight="false" outlineLevel="0" collapsed="false">
      <c r="A1343" s="13" t="s">
        <v>5135</v>
      </c>
      <c r="B1343" s="13" t="n">
        <v>1338</v>
      </c>
      <c r="C1343" s="13" t="s">
        <v>5136</v>
      </c>
      <c r="D1343" s="13" t="n">
        <v>7</v>
      </c>
      <c r="E1343" s="38" t="s">
        <v>1663</v>
      </c>
      <c r="F1343" s="13" t="s">
        <v>1298</v>
      </c>
      <c r="G1343" s="13" t="s">
        <v>322</v>
      </c>
      <c r="H1343" s="13" t="s">
        <v>5039</v>
      </c>
      <c r="I1343" s="13" t="s">
        <v>109</v>
      </c>
      <c r="J1343" s="13" t="s">
        <v>1660</v>
      </c>
      <c r="K1343" s="30" t="n">
        <v>22</v>
      </c>
      <c r="L1343" s="31" t="n">
        <v>46339</v>
      </c>
      <c r="M1343" s="31" t="n">
        <v>46360</v>
      </c>
      <c r="N1343" s="13"/>
      <c r="O1343" s="13"/>
      <c r="P1343" s="13"/>
      <c r="Q1343" s="13"/>
    </row>
    <row r="1344" customFormat="false" ht="15" hidden="false" customHeight="false" outlineLevel="0" collapsed="false">
      <c r="A1344" s="16" t="s">
        <v>5137</v>
      </c>
      <c r="B1344" s="16" t="n">
        <v>1339</v>
      </c>
      <c r="C1344" s="16" t="s">
        <v>5138</v>
      </c>
      <c r="D1344" s="16" t="n">
        <v>8</v>
      </c>
      <c r="E1344" s="39" t="s">
        <v>1666</v>
      </c>
      <c r="F1344" s="16" t="s">
        <v>1285</v>
      </c>
      <c r="G1344" s="16" t="s">
        <v>322</v>
      </c>
      <c r="H1344" s="16" t="s">
        <v>5039</v>
      </c>
      <c r="I1344" s="16" t="s">
        <v>109</v>
      </c>
      <c r="J1344" s="16" t="s">
        <v>1663</v>
      </c>
      <c r="K1344" s="32" t="n">
        <v>1</v>
      </c>
      <c r="L1344" s="33" t="n">
        <v>46358</v>
      </c>
      <c r="M1344" s="33" t="n">
        <v>46358</v>
      </c>
      <c r="N1344" s="16" t="s">
        <v>5139</v>
      </c>
      <c r="O1344" s="16"/>
      <c r="P1344" s="16" t="str">
        <f aca="false">IF(AND(L1344&lt;=$D$2,M1344&gt;=$C$2),"Sí","")</f>
        <v/>
      </c>
      <c r="Q1344" s="18" t="str">
        <f aca="false">IF(COUNTIF(LOOKAHEAD!$A$5:$A$604,A1344)&gt;0,"En Lookahead",IF(P1344="Sí","INCORPORAR",""))</f>
        <v/>
      </c>
    </row>
    <row r="1345" customFormat="false" ht="15" hidden="false" customHeight="false" outlineLevel="0" collapsed="false">
      <c r="A1345" s="16" t="s">
        <v>5140</v>
      </c>
      <c r="B1345" s="16" t="n">
        <v>1340</v>
      </c>
      <c r="C1345" s="16" t="s">
        <v>5141</v>
      </c>
      <c r="D1345" s="16" t="n">
        <v>8</v>
      </c>
      <c r="E1345" s="39" t="s">
        <v>1670</v>
      </c>
      <c r="F1345" s="16" t="s">
        <v>1285</v>
      </c>
      <c r="G1345" s="16" t="s">
        <v>322</v>
      </c>
      <c r="H1345" s="16" t="s">
        <v>5039</v>
      </c>
      <c r="I1345" s="16" t="s">
        <v>109</v>
      </c>
      <c r="J1345" s="16" t="s">
        <v>1663</v>
      </c>
      <c r="K1345" s="32" t="n">
        <v>10</v>
      </c>
      <c r="L1345" s="33" t="n">
        <v>46348</v>
      </c>
      <c r="M1345" s="33" t="n">
        <v>46357</v>
      </c>
      <c r="N1345" s="16" t="s">
        <v>5142</v>
      </c>
      <c r="O1345" s="16"/>
      <c r="P1345" s="16" t="str">
        <f aca="false">IF(AND(L1345&lt;=$D$2,M1345&gt;=$C$2),"Sí","")</f>
        <v/>
      </c>
      <c r="Q1345" s="18" t="str">
        <f aca="false">IF(COUNTIF(LOOKAHEAD!$A$5:$A$604,A1345)&gt;0,"En Lookahead",IF(P1345="Sí","INCORPORAR",""))</f>
        <v/>
      </c>
    </row>
    <row r="1346" customFormat="false" ht="15" hidden="false" customHeight="false" outlineLevel="0" collapsed="false">
      <c r="A1346" s="16" t="s">
        <v>5143</v>
      </c>
      <c r="B1346" s="16" t="n">
        <v>1341</v>
      </c>
      <c r="C1346" s="16" t="s">
        <v>5144</v>
      </c>
      <c r="D1346" s="16" t="n">
        <v>8</v>
      </c>
      <c r="E1346" s="39" t="s">
        <v>1674</v>
      </c>
      <c r="F1346" s="16" t="s">
        <v>1285</v>
      </c>
      <c r="G1346" s="16" t="s">
        <v>322</v>
      </c>
      <c r="H1346" s="16" t="s">
        <v>5039</v>
      </c>
      <c r="I1346" s="16" t="s">
        <v>109</v>
      </c>
      <c r="J1346" s="16" t="s">
        <v>1663</v>
      </c>
      <c r="K1346" s="32" t="n">
        <v>9</v>
      </c>
      <c r="L1346" s="33" t="n">
        <v>46339</v>
      </c>
      <c r="M1346" s="33" t="n">
        <v>46347</v>
      </c>
      <c r="N1346" s="16" t="s">
        <v>5119</v>
      </c>
      <c r="O1346" s="16"/>
      <c r="P1346" s="16" t="str">
        <f aca="false">IF(AND(L1346&lt;=$D$2,M1346&gt;=$C$2),"Sí","")</f>
        <v>Sí</v>
      </c>
      <c r="Q1346" s="18" t="str">
        <f aca="false">IF(COUNTIF(LOOKAHEAD!$A$5:$A$604,A1346)&gt;0,"En Lookahead",IF(P1346="Sí","INCORPORAR",""))</f>
        <v>En Lookahead</v>
      </c>
    </row>
    <row r="1347" customFormat="false" ht="15" hidden="false" customHeight="false" outlineLevel="0" collapsed="false">
      <c r="A1347" s="16" t="s">
        <v>5145</v>
      </c>
      <c r="B1347" s="16" t="n">
        <v>1342</v>
      </c>
      <c r="C1347" s="16" t="s">
        <v>5146</v>
      </c>
      <c r="D1347" s="16" t="n">
        <v>8</v>
      </c>
      <c r="E1347" s="39" t="s">
        <v>1677</v>
      </c>
      <c r="F1347" s="16" t="s">
        <v>1285</v>
      </c>
      <c r="G1347" s="16" t="s">
        <v>322</v>
      </c>
      <c r="H1347" s="16" t="s">
        <v>5039</v>
      </c>
      <c r="I1347" s="16" t="s">
        <v>109</v>
      </c>
      <c r="J1347" s="16" t="s">
        <v>1663</v>
      </c>
      <c r="K1347" s="32" t="n">
        <v>2</v>
      </c>
      <c r="L1347" s="33" t="n">
        <v>46359</v>
      </c>
      <c r="M1347" s="33" t="n">
        <v>46360</v>
      </c>
      <c r="N1347" s="16" t="s">
        <v>5147</v>
      </c>
      <c r="O1347" s="16"/>
      <c r="P1347" s="16" t="str">
        <f aca="false">IF(AND(L1347&lt;=$D$2,M1347&gt;=$C$2),"Sí","")</f>
        <v/>
      </c>
      <c r="Q1347" s="18" t="str">
        <f aca="false">IF(COUNTIF(LOOKAHEAD!$A$5:$A$604,A1347)&gt;0,"En Lookahead",IF(P1347="Sí","INCORPORAR",""))</f>
        <v/>
      </c>
    </row>
    <row r="1348" customFormat="false" ht="15" hidden="false" customHeight="false" outlineLevel="0" collapsed="false">
      <c r="A1348" s="13" t="s">
        <v>5148</v>
      </c>
      <c r="B1348" s="13" t="n">
        <v>1343</v>
      </c>
      <c r="C1348" s="13" t="s">
        <v>5149</v>
      </c>
      <c r="D1348" s="13" t="n">
        <v>7</v>
      </c>
      <c r="E1348" s="38" t="s">
        <v>1681</v>
      </c>
      <c r="F1348" s="13" t="s">
        <v>1298</v>
      </c>
      <c r="G1348" s="13" t="s">
        <v>322</v>
      </c>
      <c r="H1348" s="13" t="s">
        <v>5039</v>
      </c>
      <c r="I1348" s="13" t="s">
        <v>109</v>
      </c>
      <c r="J1348" s="13" t="s">
        <v>1660</v>
      </c>
      <c r="K1348" s="30" t="n">
        <v>15</v>
      </c>
      <c r="L1348" s="31" t="n">
        <v>46384</v>
      </c>
      <c r="M1348" s="31" t="n">
        <v>46398</v>
      </c>
      <c r="N1348" s="13"/>
      <c r="O1348" s="13"/>
      <c r="P1348" s="13"/>
      <c r="Q1348" s="13"/>
    </row>
    <row r="1349" customFormat="false" ht="15" hidden="false" customHeight="false" outlineLevel="0" collapsed="false">
      <c r="A1349" s="16" t="s">
        <v>5150</v>
      </c>
      <c r="B1349" s="16" t="n">
        <v>1344</v>
      </c>
      <c r="C1349" s="16" t="s">
        <v>5151</v>
      </c>
      <c r="D1349" s="16" t="n">
        <v>8</v>
      </c>
      <c r="E1349" s="39" t="s">
        <v>1684</v>
      </c>
      <c r="F1349" s="16" t="s">
        <v>1285</v>
      </c>
      <c r="G1349" s="16" t="s">
        <v>322</v>
      </c>
      <c r="H1349" s="16" t="s">
        <v>5039</v>
      </c>
      <c r="I1349" s="16" t="s">
        <v>109</v>
      </c>
      <c r="J1349" s="16" t="s">
        <v>1681</v>
      </c>
      <c r="K1349" s="32" t="n">
        <v>1</v>
      </c>
      <c r="L1349" s="33" t="n">
        <v>46397</v>
      </c>
      <c r="M1349" s="33" t="n">
        <v>46397</v>
      </c>
      <c r="N1349" s="16" t="s">
        <v>5152</v>
      </c>
      <c r="O1349" s="16"/>
      <c r="P1349" s="16" t="str">
        <f aca="false">IF(AND(L1349&lt;=$D$2,M1349&gt;=$C$2),"Sí","")</f>
        <v/>
      </c>
      <c r="Q1349" s="18" t="str">
        <f aca="false">IF(COUNTIF(LOOKAHEAD!$A$5:$A$604,A1349)&gt;0,"En Lookahead",IF(P1349="Sí","INCORPORAR",""))</f>
        <v/>
      </c>
    </row>
    <row r="1350" customFormat="false" ht="15" hidden="false" customHeight="false" outlineLevel="0" collapsed="false">
      <c r="A1350" s="16" t="s">
        <v>5153</v>
      </c>
      <c r="B1350" s="16" t="n">
        <v>1345</v>
      </c>
      <c r="C1350" s="16" t="s">
        <v>5154</v>
      </c>
      <c r="D1350" s="16" t="n">
        <v>8</v>
      </c>
      <c r="E1350" s="39" t="s">
        <v>1688</v>
      </c>
      <c r="F1350" s="16" t="s">
        <v>1285</v>
      </c>
      <c r="G1350" s="16" t="s">
        <v>322</v>
      </c>
      <c r="H1350" s="16" t="s">
        <v>5039</v>
      </c>
      <c r="I1350" s="16" t="s">
        <v>109</v>
      </c>
      <c r="J1350" s="16" t="s">
        <v>1681</v>
      </c>
      <c r="K1350" s="32" t="n">
        <v>7</v>
      </c>
      <c r="L1350" s="33" t="n">
        <v>46390</v>
      </c>
      <c r="M1350" s="33" t="n">
        <v>46396</v>
      </c>
      <c r="N1350" s="16" t="s">
        <v>5155</v>
      </c>
      <c r="O1350" s="16"/>
      <c r="P1350" s="16" t="str">
        <f aca="false">IF(AND(L1350&lt;=$D$2,M1350&gt;=$C$2),"Sí","")</f>
        <v/>
      </c>
      <c r="Q1350" s="18" t="str">
        <f aca="false">IF(COUNTIF(LOOKAHEAD!$A$5:$A$604,A1350)&gt;0,"En Lookahead",IF(P1350="Sí","INCORPORAR",""))</f>
        <v/>
      </c>
    </row>
    <row r="1351" customFormat="false" ht="15" hidden="false" customHeight="false" outlineLevel="0" collapsed="false">
      <c r="A1351" s="16" t="s">
        <v>5156</v>
      </c>
      <c r="B1351" s="16" t="n">
        <v>1346</v>
      </c>
      <c r="C1351" s="16" t="s">
        <v>5157</v>
      </c>
      <c r="D1351" s="16" t="n">
        <v>8</v>
      </c>
      <c r="E1351" s="39" t="s">
        <v>1674</v>
      </c>
      <c r="F1351" s="16" t="s">
        <v>1285</v>
      </c>
      <c r="G1351" s="16" t="s">
        <v>322</v>
      </c>
      <c r="H1351" s="16" t="s">
        <v>5039</v>
      </c>
      <c r="I1351" s="16" t="s">
        <v>109</v>
      </c>
      <c r="J1351" s="16" t="s">
        <v>1681</v>
      </c>
      <c r="K1351" s="32" t="n">
        <v>6</v>
      </c>
      <c r="L1351" s="33" t="n">
        <v>46384</v>
      </c>
      <c r="M1351" s="33" t="n">
        <v>46389</v>
      </c>
      <c r="N1351" s="16" t="s">
        <v>5158</v>
      </c>
      <c r="O1351" s="16"/>
      <c r="P1351" s="16" t="str">
        <f aca="false">IF(AND(L1351&lt;=$D$2,M1351&gt;=$C$2),"Sí","")</f>
        <v/>
      </c>
      <c r="Q1351" s="18" t="str">
        <f aca="false">IF(COUNTIF(LOOKAHEAD!$A$5:$A$604,A1351)&gt;0,"En Lookahead",IF(P1351="Sí","INCORPORAR",""))</f>
        <v/>
      </c>
    </row>
    <row r="1352" customFormat="false" ht="15" hidden="false" customHeight="false" outlineLevel="0" collapsed="false">
      <c r="A1352" s="16" t="s">
        <v>5159</v>
      </c>
      <c r="B1352" s="16" t="n">
        <v>1347</v>
      </c>
      <c r="C1352" s="16" t="s">
        <v>5160</v>
      </c>
      <c r="D1352" s="16" t="n">
        <v>8</v>
      </c>
      <c r="E1352" s="39" t="s">
        <v>1677</v>
      </c>
      <c r="F1352" s="16" t="s">
        <v>1285</v>
      </c>
      <c r="G1352" s="16" t="s">
        <v>322</v>
      </c>
      <c r="H1352" s="16" t="s">
        <v>5039</v>
      </c>
      <c r="I1352" s="16" t="s">
        <v>109</v>
      </c>
      <c r="J1352" s="16" t="s">
        <v>1681</v>
      </c>
      <c r="K1352" s="32" t="n">
        <v>1</v>
      </c>
      <c r="L1352" s="33" t="n">
        <v>46398</v>
      </c>
      <c r="M1352" s="33" t="n">
        <v>46398</v>
      </c>
      <c r="N1352" s="16" t="s">
        <v>5161</v>
      </c>
      <c r="O1352" s="16"/>
      <c r="P1352" s="16" t="str">
        <f aca="false">IF(AND(L1352&lt;=$D$2,M1352&gt;=$C$2),"Sí","")</f>
        <v/>
      </c>
      <c r="Q1352" s="18" t="str">
        <f aca="false">IF(COUNTIF(LOOKAHEAD!$A$5:$A$604,A1352)&gt;0,"En Lookahead",IF(P1352="Sí","INCORPORAR",""))</f>
        <v/>
      </c>
    </row>
    <row r="1353" customFormat="false" ht="15" hidden="false" customHeight="false" outlineLevel="0" collapsed="false">
      <c r="A1353" s="13" t="s">
        <v>5162</v>
      </c>
      <c r="B1353" s="13" t="n">
        <v>1348</v>
      </c>
      <c r="C1353" s="13" t="s">
        <v>5163</v>
      </c>
      <c r="D1353" s="13" t="n">
        <v>6</v>
      </c>
      <c r="E1353" s="36" t="s">
        <v>1731</v>
      </c>
      <c r="F1353" s="13" t="s">
        <v>1298</v>
      </c>
      <c r="G1353" s="13" t="s">
        <v>322</v>
      </c>
      <c r="H1353" s="13" t="s">
        <v>5039</v>
      </c>
      <c r="I1353" s="13" t="s">
        <v>109</v>
      </c>
      <c r="J1353" s="13" t="s">
        <v>1623</v>
      </c>
      <c r="K1353" s="30" t="n">
        <v>65</v>
      </c>
      <c r="L1353" s="31" t="n">
        <v>46339</v>
      </c>
      <c r="M1353" s="31" t="n">
        <v>46403</v>
      </c>
      <c r="N1353" s="13"/>
      <c r="O1353" s="13"/>
      <c r="P1353" s="13"/>
      <c r="Q1353" s="13"/>
    </row>
    <row r="1354" customFormat="false" ht="15" hidden="false" customHeight="false" outlineLevel="0" collapsed="false">
      <c r="A1354" s="13" t="s">
        <v>5164</v>
      </c>
      <c r="B1354" s="13" t="n">
        <v>1349</v>
      </c>
      <c r="C1354" s="13" t="s">
        <v>5165</v>
      </c>
      <c r="D1354" s="13" t="n">
        <v>7</v>
      </c>
      <c r="E1354" s="38" t="s">
        <v>1734</v>
      </c>
      <c r="F1354" s="13" t="s">
        <v>1298</v>
      </c>
      <c r="G1354" s="13" t="s">
        <v>322</v>
      </c>
      <c r="H1354" s="13" t="s">
        <v>5039</v>
      </c>
      <c r="I1354" s="13" t="s">
        <v>109</v>
      </c>
      <c r="J1354" s="13" t="s">
        <v>1731</v>
      </c>
      <c r="K1354" s="30" t="n">
        <v>27</v>
      </c>
      <c r="L1354" s="31" t="n">
        <v>46339</v>
      </c>
      <c r="M1354" s="31" t="n">
        <v>46365</v>
      </c>
      <c r="N1354" s="13"/>
      <c r="O1354" s="13"/>
      <c r="P1354" s="13"/>
      <c r="Q1354" s="13"/>
    </row>
    <row r="1355" customFormat="false" ht="15" hidden="false" customHeight="false" outlineLevel="0" collapsed="false">
      <c r="A1355" s="16" t="s">
        <v>5166</v>
      </c>
      <c r="B1355" s="16" t="n">
        <v>1350</v>
      </c>
      <c r="C1355" s="16" t="s">
        <v>5167</v>
      </c>
      <c r="D1355" s="16" t="n">
        <v>8</v>
      </c>
      <c r="E1355" s="39" t="s">
        <v>2390</v>
      </c>
      <c r="F1355" s="16" t="s">
        <v>1285</v>
      </c>
      <c r="G1355" s="16" t="s">
        <v>322</v>
      </c>
      <c r="H1355" s="16" t="s">
        <v>5039</v>
      </c>
      <c r="I1355" s="16" t="s">
        <v>109</v>
      </c>
      <c r="J1355" s="16" t="s">
        <v>1734</v>
      </c>
      <c r="K1355" s="32" t="n">
        <v>1</v>
      </c>
      <c r="L1355" s="33" t="n">
        <v>46363</v>
      </c>
      <c r="M1355" s="33" t="n">
        <v>46363</v>
      </c>
      <c r="N1355" s="16" t="s">
        <v>5168</v>
      </c>
      <c r="O1355" s="16"/>
      <c r="P1355" s="16" t="str">
        <f aca="false">IF(AND(L1355&lt;=$D$2,M1355&gt;=$C$2),"Sí","")</f>
        <v/>
      </c>
      <c r="Q1355" s="18" t="str">
        <f aca="false">IF(COUNTIF(LOOKAHEAD!$A$5:$A$604,A1355)&gt;0,"En Lookahead",IF(P1355="Sí","INCORPORAR",""))</f>
        <v/>
      </c>
    </row>
    <row r="1356" customFormat="false" ht="15" hidden="false" customHeight="false" outlineLevel="0" collapsed="false">
      <c r="A1356" s="16" t="s">
        <v>5169</v>
      </c>
      <c r="B1356" s="16" t="n">
        <v>1351</v>
      </c>
      <c r="C1356" s="16" t="s">
        <v>5170</v>
      </c>
      <c r="D1356" s="16" t="n">
        <v>8</v>
      </c>
      <c r="E1356" s="39" t="s">
        <v>1741</v>
      </c>
      <c r="F1356" s="16" t="s">
        <v>1285</v>
      </c>
      <c r="G1356" s="16" t="s">
        <v>322</v>
      </c>
      <c r="H1356" s="16" t="s">
        <v>5039</v>
      </c>
      <c r="I1356" s="16" t="s">
        <v>109</v>
      </c>
      <c r="J1356" s="16" t="s">
        <v>1734</v>
      </c>
      <c r="K1356" s="32" t="n">
        <v>14</v>
      </c>
      <c r="L1356" s="33" t="n">
        <v>46349</v>
      </c>
      <c r="M1356" s="33" t="n">
        <v>46362</v>
      </c>
      <c r="N1356" s="16" t="s">
        <v>5171</v>
      </c>
      <c r="O1356" s="16"/>
      <c r="P1356" s="16" t="str">
        <f aca="false">IF(AND(L1356&lt;=$D$2,M1356&gt;=$C$2),"Sí","")</f>
        <v/>
      </c>
      <c r="Q1356" s="18" t="str">
        <f aca="false">IF(COUNTIF(LOOKAHEAD!$A$5:$A$604,A1356)&gt;0,"En Lookahead",IF(P1356="Sí","INCORPORAR",""))</f>
        <v/>
      </c>
    </row>
    <row r="1357" customFormat="false" ht="15" hidden="false" customHeight="false" outlineLevel="0" collapsed="false">
      <c r="A1357" s="16" t="s">
        <v>5172</v>
      </c>
      <c r="B1357" s="16" t="n">
        <v>1352</v>
      </c>
      <c r="C1357" s="16" t="s">
        <v>5173</v>
      </c>
      <c r="D1357" s="16" t="n">
        <v>8</v>
      </c>
      <c r="E1357" s="39" t="s">
        <v>1745</v>
      </c>
      <c r="F1357" s="16" t="s">
        <v>1285</v>
      </c>
      <c r="G1357" s="16" t="s">
        <v>322</v>
      </c>
      <c r="H1357" s="16" t="s">
        <v>5039</v>
      </c>
      <c r="I1357" s="16" t="s">
        <v>109</v>
      </c>
      <c r="J1357" s="16" t="s">
        <v>1734</v>
      </c>
      <c r="K1357" s="32" t="n">
        <v>10</v>
      </c>
      <c r="L1357" s="33" t="n">
        <v>46339</v>
      </c>
      <c r="M1357" s="33" t="n">
        <v>46348</v>
      </c>
      <c r="N1357" s="16" t="s">
        <v>5174</v>
      </c>
      <c r="O1357" s="16"/>
      <c r="P1357" s="16" t="str">
        <f aca="false">IF(AND(L1357&lt;=$D$2,M1357&gt;=$C$2),"Sí","")</f>
        <v>Sí</v>
      </c>
      <c r="Q1357" s="18" t="str">
        <f aca="false">IF(COUNTIF(LOOKAHEAD!$A$5:$A$604,A1357)&gt;0,"En Lookahead",IF(P1357="Sí","INCORPORAR",""))</f>
        <v>En Lookahead</v>
      </c>
    </row>
    <row r="1358" customFormat="false" ht="15" hidden="false" customHeight="false" outlineLevel="0" collapsed="false">
      <c r="A1358" s="16" t="s">
        <v>5175</v>
      </c>
      <c r="B1358" s="16" t="n">
        <v>1353</v>
      </c>
      <c r="C1358" s="16" t="s">
        <v>5176</v>
      </c>
      <c r="D1358" s="16" t="n">
        <v>8</v>
      </c>
      <c r="E1358" s="39" t="s">
        <v>1677</v>
      </c>
      <c r="F1358" s="16" t="s">
        <v>1285</v>
      </c>
      <c r="G1358" s="16" t="s">
        <v>322</v>
      </c>
      <c r="H1358" s="16" t="s">
        <v>5039</v>
      </c>
      <c r="I1358" s="16" t="s">
        <v>109</v>
      </c>
      <c r="J1358" s="16" t="s">
        <v>1734</v>
      </c>
      <c r="K1358" s="32" t="n">
        <v>2</v>
      </c>
      <c r="L1358" s="33" t="n">
        <v>46364</v>
      </c>
      <c r="M1358" s="33" t="n">
        <v>46365</v>
      </c>
      <c r="N1358" s="16" t="s">
        <v>5177</v>
      </c>
      <c r="O1358" s="16"/>
      <c r="P1358" s="16" t="str">
        <f aca="false">IF(AND(L1358&lt;=$D$2,M1358&gt;=$C$2),"Sí","")</f>
        <v/>
      </c>
      <c r="Q1358" s="18" t="str">
        <f aca="false">IF(COUNTIF(LOOKAHEAD!$A$5:$A$604,A1358)&gt;0,"En Lookahead",IF(P1358="Sí","INCORPORAR",""))</f>
        <v/>
      </c>
    </row>
    <row r="1359" customFormat="false" ht="15" hidden="false" customHeight="false" outlineLevel="0" collapsed="false">
      <c r="A1359" s="13" t="s">
        <v>5178</v>
      </c>
      <c r="B1359" s="13" t="n">
        <v>1354</v>
      </c>
      <c r="C1359" s="13" t="s">
        <v>5179</v>
      </c>
      <c r="D1359" s="13" t="n">
        <v>7</v>
      </c>
      <c r="E1359" s="38" t="s">
        <v>1752</v>
      </c>
      <c r="F1359" s="13" t="s">
        <v>1298</v>
      </c>
      <c r="G1359" s="13" t="s">
        <v>322</v>
      </c>
      <c r="H1359" s="13" t="s">
        <v>5039</v>
      </c>
      <c r="I1359" s="13" t="s">
        <v>109</v>
      </c>
      <c r="J1359" s="13" t="s">
        <v>1731</v>
      </c>
      <c r="K1359" s="30" t="n">
        <v>20</v>
      </c>
      <c r="L1359" s="31" t="n">
        <v>46384</v>
      </c>
      <c r="M1359" s="31" t="n">
        <v>46403</v>
      </c>
      <c r="N1359" s="13"/>
      <c r="O1359" s="13"/>
      <c r="P1359" s="13"/>
      <c r="Q1359" s="13"/>
    </row>
    <row r="1360" customFormat="false" ht="15" hidden="false" customHeight="false" outlineLevel="0" collapsed="false">
      <c r="A1360" s="16" t="s">
        <v>5180</v>
      </c>
      <c r="B1360" s="16" t="n">
        <v>1355</v>
      </c>
      <c r="C1360" s="16" t="s">
        <v>5181</v>
      </c>
      <c r="D1360" s="16" t="n">
        <v>8</v>
      </c>
      <c r="E1360" s="39" t="s">
        <v>1755</v>
      </c>
      <c r="F1360" s="16" t="s">
        <v>1285</v>
      </c>
      <c r="G1360" s="16" t="s">
        <v>322</v>
      </c>
      <c r="H1360" s="16" t="s">
        <v>5039</v>
      </c>
      <c r="I1360" s="16" t="s">
        <v>109</v>
      </c>
      <c r="J1360" s="16" t="s">
        <v>1752</v>
      </c>
      <c r="K1360" s="32" t="n">
        <v>1</v>
      </c>
      <c r="L1360" s="33" t="n">
        <v>46401</v>
      </c>
      <c r="M1360" s="33" t="n">
        <v>46401</v>
      </c>
      <c r="N1360" s="16" t="s">
        <v>5182</v>
      </c>
      <c r="O1360" s="16"/>
      <c r="P1360" s="16" t="str">
        <f aca="false">IF(AND(L1360&lt;=$D$2,M1360&gt;=$C$2),"Sí","")</f>
        <v/>
      </c>
      <c r="Q1360" s="18" t="str">
        <f aca="false">IF(COUNTIF(LOOKAHEAD!$A$5:$A$604,A1360)&gt;0,"En Lookahead",IF(P1360="Sí","INCORPORAR",""))</f>
        <v/>
      </c>
    </row>
    <row r="1361" customFormat="false" ht="15" hidden="false" customHeight="false" outlineLevel="0" collapsed="false">
      <c r="A1361" s="16" t="s">
        <v>5183</v>
      </c>
      <c r="B1361" s="16" t="n">
        <v>1356</v>
      </c>
      <c r="C1361" s="16" t="s">
        <v>5184</v>
      </c>
      <c r="D1361" s="16" t="n">
        <v>8</v>
      </c>
      <c r="E1361" s="39" t="s">
        <v>1759</v>
      </c>
      <c r="F1361" s="16" t="s">
        <v>1285</v>
      </c>
      <c r="G1361" s="16" t="s">
        <v>322</v>
      </c>
      <c r="H1361" s="16" t="s">
        <v>5039</v>
      </c>
      <c r="I1361" s="16" t="s">
        <v>109</v>
      </c>
      <c r="J1361" s="16" t="s">
        <v>1752</v>
      </c>
      <c r="K1361" s="32" t="n">
        <v>11</v>
      </c>
      <c r="L1361" s="33" t="n">
        <v>46390</v>
      </c>
      <c r="M1361" s="33" t="n">
        <v>46400</v>
      </c>
      <c r="N1361" s="16" t="s">
        <v>5185</v>
      </c>
      <c r="O1361" s="16"/>
      <c r="P1361" s="16" t="str">
        <f aca="false">IF(AND(L1361&lt;=$D$2,M1361&gt;=$C$2),"Sí","")</f>
        <v/>
      </c>
      <c r="Q1361" s="18" t="str">
        <f aca="false">IF(COUNTIF(LOOKAHEAD!$A$5:$A$604,A1361)&gt;0,"En Lookahead",IF(P1361="Sí","INCORPORAR",""))</f>
        <v/>
      </c>
    </row>
    <row r="1362" customFormat="false" ht="15" hidden="false" customHeight="false" outlineLevel="0" collapsed="false">
      <c r="A1362" s="16" t="s">
        <v>5186</v>
      </c>
      <c r="B1362" s="16" t="n">
        <v>1357</v>
      </c>
      <c r="C1362" s="16" t="s">
        <v>5187</v>
      </c>
      <c r="D1362" s="16" t="n">
        <v>8</v>
      </c>
      <c r="E1362" s="39" t="s">
        <v>1745</v>
      </c>
      <c r="F1362" s="16" t="s">
        <v>1285</v>
      </c>
      <c r="G1362" s="16" t="s">
        <v>322</v>
      </c>
      <c r="H1362" s="16" t="s">
        <v>5039</v>
      </c>
      <c r="I1362" s="16" t="s">
        <v>109</v>
      </c>
      <c r="J1362" s="16" t="s">
        <v>1752</v>
      </c>
      <c r="K1362" s="32" t="n">
        <v>6</v>
      </c>
      <c r="L1362" s="33" t="n">
        <v>46384</v>
      </c>
      <c r="M1362" s="33" t="n">
        <v>46389</v>
      </c>
      <c r="N1362" s="16" t="s">
        <v>5188</v>
      </c>
      <c r="O1362" s="16"/>
      <c r="P1362" s="16" t="str">
        <f aca="false">IF(AND(L1362&lt;=$D$2,M1362&gt;=$C$2),"Sí","")</f>
        <v/>
      </c>
      <c r="Q1362" s="18" t="str">
        <f aca="false">IF(COUNTIF(LOOKAHEAD!$A$5:$A$604,A1362)&gt;0,"En Lookahead",IF(P1362="Sí","INCORPORAR",""))</f>
        <v/>
      </c>
    </row>
    <row r="1363" customFormat="false" ht="15" hidden="false" customHeight="false" outlineLevel="0" collapsed="false">
      <c r="A1363" s="16" t="s">
        <v>5189</v>
      </c>
      <c r="B1363" s="16" t="n">
        <v>1358</v>
      </c>
      <c r="C1363" s="16" t="s">
        <v>5190</v>
      </c>
      <c r="D1363" s="16" t="n">
        <v>8</v>
      </c>
      <c r="E1363" s="39" t="s">
        <v>1677</v>
      </c>
      <c r="F1363" s="16" t="s">
        <v>1285</v>
      </c>
      <c r="G1363" s="16" t="s">
        <v>322</v>
      </c>
      <c r="H1363" s="16" t="s">
        <v>5039</v>
      </c>
      <c r="I1363" s="16" t="s">
        <v>109</v>
      </c>
      <c r="J1363" s="16" t="s">
        <v>1752</v>
      </c>
      <c r="K1363" s="32" t="n">
        <v>2</v>
      </c>
      <c r="L1363" s="33" t="n">
        <v>46402</v>
      </c>
      <c r="M1363" s="33" t="n">
        <v>46403</v>
      </c>
      <c r="N1363" s="16" t="s">
        <v>5191</v>
      </c>
      <c r="O1363" s="16"/>
      <c r="P1363" s="16" t="str">
        <f aca="false">IF(AND(L1363&lt;=$D$2,M1363&gt;=$C$2),"Sí","")</f>
        <v/>
      </c>
      <c r="Q1363" s="18" t="str">
        <f aca="false">IF(COUNTIF(LOOKAHEAD!$A$5:$A$604,A1363)&gt;0,"En Lookahead",IF(P1363="Sí","INCORPORAR",""))</f>
        <v/>
      </c>
    </row>
    <row r="1364" customFormat="false" ht="15" hidden="false" customHeight="false" outlineLevel="0" collapsed="false">
      <c r="A1364" s="13" t="s">
        <v>5192</v>
      </c>
      <c r="B1364" s="13" t="n">
        <v>1359</v>
      </c>
      <c r="C1364" s="13" t="s">
        <v>5193</v>
      </c>
      <c r="D1364" s="13" t="n">
        <v>6</v>
      </c>
      <c r="E1364" s="36" t="s">
        <v>1786</v>
      </c>
      <c r="F1364" s="13" t="s">
        <v>1298</v>
      </c>
      <c r="G1364" s="13" t="s">
        <v>322</v>
      </c>
      <c r="H1364" s="13" t="s">
        <v>5039</v>
      </c>
      <c r="I1364" s="13" t="s">
        <v>109</v>
      </c>
      <c r="J1364" s="13" t="s">
        <v>1623</v>
      </c>
      <c r="K1364" s="30" t="n">
        <v>58</v>
      </c>
      <c r="L1364" s="31" t="n">
        <v>46364</v>
      </c>
      <c r="M1364" s="31" t="n">
        <v>46421</v>
      </c>
      <c r="N1364" s="13"/>
      <c r="O1364" s="13"/>
      <c r="P1364" s="13"/>
      <c r="Q1364" s="13"/>
    </row>
    <row r="1365" customFormat="false" ht="15" hidden="false" customHeight="false" outlineLevel="0" collapsed="false">
      <c r="A1365" s="13" t="s">
        <v>5194</v>
      </c>
      <c r="B1365" s="13" t="n">
        <v>1360</v>
      </c>
      <c r="C1365" s="13" t="s">
        <v>5195</v>
      </c>
      <c r="D1365" s="13" t="n">
        <v>7</v>
      </c>
      <c r="E1365" s="38" t="s">
        <v>1789</v>
      </c>
      <c r="F1365" s="13" t="s">
        <v>1298</v>
      </c>
      <c r="G1365" s="13" t="s">
        <v>322</v>
      </c>
      <c r="H1365" s="13" t="s">
        <v>5039</v>
      </c>
      <c r="I1365" s="13" t="s">
        <v>109</v>
      </c>
      <c r="J1365" s="13" t="s">
        <v>1786</v>
      </c>
      <c r="K1365" s="30" t="n">
        <v>22</v>
      </c>
      <c r="L1365" s="31" t="n">
        <v>46364</v>
      </c>
      <c r="M1365" s="31" t="n">
        <v>46385</v>
      </c>
      <c r="N1365" s="13"/>
      <c r="O1365" s="13"/>
      <c r="P1365" s="13"/>
      <c r="Q1365" s="13"/>
    </row>
    <row r="1366" customFormat="false" ht="15" hidden="false" customHeight="false" outlineLevel="0" collapsed="false">
      <c r="A1366" s="16" t="s">
        <v>5196</v>
      </c>
      <c r="B1366" s="16" t="n">
        <v>1361</v>
      </c>
      <c r="C1366" s="16" t="s">
        <v>5197</v>
      </c>
      <c r="D1366" s="16" t="n">
        <v>8</v>
      </c>
      <c r="E1366" s="39" t="s">
        <v>1792</v>
      </c>
      <c r="F1366" s="16" t="s">
        <v>1285</v>
      </c>
      <c r="G1366" s="16" t="s">
        <v>322</v>
      </c>
      <c r="H1366" s="16" t="s">
        <v>5039</v>
      </c>
      <c r="I1366" s="16" t="s">
        <v>109</v>
      </c>
      <c r="J1366" s="16" t="s">
        <v>1789</v>
      </c>
      <c r="K1366" s="32" t="n">
        <v>1</v>
      </c>
      <c r="L1366" s="33" t="n">
        <v>46383</v>
      </c>
      <c r="M1366" s="33" t="n">
        <v>46383</v>
      </c>
      <c r="N1366" s="16" t="s">
        <v>5198</v>
      </c>
      <c r="O1366" s="16"/>
      <c r="P1366" s="16" t="str">
        <f aca="false">IF(AND(L1366&lt;=$D$2,M1366&gt;=$C$2),"Sí","")</f>
        <v/>
      </c>
      <c r="Q1366" s="18" t="str">
        <f aca="false">IF(COUNTIF(LOOKAHEAD!$A$5:$A$604,A1366)&gt;0,"En Lookahead",IF(P1366="Sí","INCORPORAR",""))</f>
        <v/>
      </c>
    </row>
    <row r="1367" customFormat="false" ht="15" hidden="false" customHeight="false" outlineLevel="0" collapsed="false">
      <c r="A1367" s="16" t="s">
        <v>5199</v>
      </c>
      <c r="B1367" s="16" t="n">
        <v>1362</v>
      </c>
      <c r="C1367" s="16" t="s">
        <v>5200</v>
      </c>
      <c r="D1367" s="16" t="n">
        <v>8</v>
      </c>
      <c r="E1367" s="39" t="s">
        <v>1796</v>
      </c>
      <c r="F1367" s="16" t="s">
        <v>1285</v>
      </c>
      <c r="G1367" s="16" t="s">
        <v>322</v>
      </c>
      <c r="H1367" s="16" t="s">
        <v>5039</v>
      </c>
      <c r="I1367" s="16" t="s">
        <v>109</v>
      </c>
      <c r="J1367" s="16" t="s">
        <v>1789</v>
      </c>
      <c r="K1367" s="32" t="n">
        <v>10</v>
      </c>
      <c r="L1367" s="33" t="n">
        <v>46373</v>
      </c>
      <c r="M1367" s="33" t="n">
        <v>46382</v>
      </c>
      <c r="N1367" s="16" t="s">
        <v>5201</v>
      </c>
      <c r="O1367" s="16"/>
      <c r="P1367" s="16" t="str">
        <f aca="false">IF(AND(L1367&lt;=$D$2,M1367&gt;=$C$2),"Sí","")</f>
        <v/>
      </c>
      <c r="Q1367" s="18" t="str">
        <f aca="false">IF(COUNTIF(LOOKAHEAD!$A$5:$A$604,A1367)&gt;0,"En Lookahead",IF(P1367="Sí","INCORPORAR",""))</f>
        <v/>
      </c>
    </row>
    <row r="1368" customFormat="false" ht="15" hidden="false" customHeight="false" outlineLevel="0" collapsed="false">
      <c r="A1368" s="16" t="s">
        <v>5202</v>
      </c>
      <c r="B1368" s="16" t="n">
        <v>1363</v>
      </c>
      <c r="C1368" s="16" t="s">
        <v>5203</v>
      </c>
      <c r="D1368" s="16" t="n">
        <v>8</v>
      </c>
      <c r="E1368" s="39" t="s">
        <v>1800</v>
      </c>
      <c r="F1368" s="16" t="s">
        <v>1285</v>
      </c>
      <c r="G1368" s="16" t="s">
        <v>322</v>
      </c>
      <c r="H1368" s="16" t="s">
        <v>5039</v>
      </c>
      <c r="I1368" s="16" t="s">
        <v>109</v>
      </c>
      <c r="J1368" s="16" t="s">
        <v>1789</v>
      </c>
      <c r="K1368" s="32" t="n">
        <v>9</v>
      </c>
      <c r="L1368" s="33" t="n">
        <v>46364</v>
      </c>
      <c r="M1368" s="33" t="n">
        <v>46372</v>
      </c>
      <c r="N1368" s="16" t="s">
        <v>5204</v>
      </c>
      <c r="O1368" s="16"/>
      <c r="P1368" s="16" t="str">
        <f aca="false">IF(AND(L1368&lt;=$D$2,M1368&gt;=$C$2),"Sí","")</f>
        <v/>
      </c>
      <c r="Q1368" s="18" t="str">
        <f aca="false">IF(COUNTIF(LOOKAHEAD!$A$5:$A$604,A1368)&gt;0,"En Lookahead",IF(P1368="Sí","INCORPORAR",""))</f>
        <v/>
      </c>
    </row>
    <row r="1369" customFormat="false" ht="15" hidden="false" customHeight="false" outlineLevel="0" collapsed="false">
      <c r="A1369" s="16" t="s">
        <v>5205</v>
      </c>
      <c r="B1369" s="16" t="n">
        <v>1364</v>
      </c>
      <c r="C1369" s="16" t="s">
        <v>5206</v>
      </c>
      <c r="D1369" s="16" t="n">
        <v>8</v>
      </c>
      <c r="E1369" s="39" t="s">
        <v>1602</v>
      </c>
      <c r="F1369" s="16" t="s">
        <v>1285</v>
      </c>
      <c r="G1369" s="16" t="s">
        <v>322</v>
      </c>
      <c r="H1369" s="16" t="s">
        <v>5039</v>
      </c>
      <c r="I1369" s="16" t="s">
        <v>109</v>
      </c>
      <c r="J1369" s="16" t="s">
        <v>1789</v>
      </c>
      <c r="K1369" s="32" t="n">
        <v>2</v>
      </c>
      <c r="L1369" s="33" t="n">
        <v>46384</v>
      </c>
      <c r="M1369" s="33" t="n">
        <v>46385</v>
      </c>
      <c r="N1369" s="16" t="s">
        <v>5158</v>
      </c>
      <c r="O1369" s="16"/>
      <c r="P1369" s="16" t="str">
        <f aca="false">IF(AND(L1369&lt;=$D$2,M1369&gt;=$C$2),"Sí","")</f>
        <v/>
      </c>
      <c r="Q1369" s="18" t="str">
        <f aca="false">IF(COUNTIF(LOOKAHEAD!$A$5:$A$604,A1369)&gt;0,"En Lookahead",IF(P1369="Sí","INCORPORAR",""))</f>
        <v/>
      </c>
    </row>
    <row r="1370" customFormat="false" ht="15" hidden="false" customHeight="false" outlineLevel="0" collapsed="false">
      <c r="A1370" s="13" t="s">
        <v>5207</v>
      </c>
      <c r="B1370" s="13" t="n">
        <v>1365</v>
      </c>
      <c r="C1370" s="13" t="s">
        <v>5208</v>
      </c>
      <c r="D1370" s="13" t="n">
        <v>7</v>
      </c>
      <c r="E1370" s="38" t="s">
        <v>1806</v>
      </c>
      <c r="F1370" s="13" t="s">
        <v>1298</v>
      </c>
      <c r="G1370" s="13" t="s">
        <v>322</v>
      </c>
      <c r="H1370" s="13" t="s">
        <v>5039</v>
      </c>
      <c r="I1370" s="13" t="s">
        <v>109</v>
      </c>
      <c r="J1370" s="13" t="s">
        <v>1786</v>
      </c>
      <c r="K1370" s="30" t="n">
        <v>20</v>
      </c>
      <c r="L1370" s="31" t="n">
        <v>46402</v>
      </c>
      <c r="M1370" s="31" t="n">
        <v>46421</v>
      </c>
      <c r="N1370" s="13"/>
      <c r="O1370" s="13"/>
      <c r="P1370" s="13"/>
      <c r="Q1370" s="13"/>
    </row>
    <row r="1371" customFormat="false" ht="15" hidden="false" customHeight="false" outlineLevel="0" collapsed="false">
      <c r="A1371" s="16" t="s">
        <v>5209</v>
      </c>
      <c r="B1371" s="16" t="n">
        <v>1366</v>
      </c>
      <c r="C1371" s="16" t="s">
        <v>5210</v>
      </c>
      <c r="D1371" s="16" t="n">
        <v>8</v>
      </c>
      <c r="E1371" s="39" t="s">
        <v>1809</v>
      </c>
      <c r="F1371" s="16" t="s">
        <v>1285</v>
      </c>
      <c r="G1371" s="16" t="s">
        <v>322</v>
      </c>
      <c r="H1371" s="16" t="s">
        <v>5039</v>
      </c>
      <c r="I1371" s="16" t="s">
        <v>109</v>
      </c>
      <c r="J1371" s="16" t="s">
        <v>1806</v>
      </c>
      <c r="K1371" s="32" t="n">
        <v>1</v>
      </c>
      <c r="L1371" s="33" t="n">
        <v>46420</v>
      </c>
      <c r="M1371" s="33" t="n">
        <v>46420</v>
      </c>
      <c r="N1371" s="16" t="s">
        <v>5211</v>
      </c>
      <c r="O1371" s="16"/>
      <c r="P1371" s="16" t="str">
        <f aca="false">IF(AND(L1371&lt;=$D$2,M1371&gt;=$C$2),"Sí","")</f>
        <v/>
      </c>
      <c r="Q1371" s="18" t="str">
        <f aca="false">IF(COUNTIF(LOOKAHEAD!$A$5:$A$604,A1371)&gt;0,"En Lookahead",IF(P1371="Sí","INCORPORAR",""))</f>
        <v/>
      </c>
    </row>
    <row r="1372" customFormat="false" ht="15" hidden="false" customHeight="false" outlineLevel="0" collapsed="false">
      <c r="A1372" s="16" t="s">
        <v>5212</v>
      </c>
      <c r="B1372" s="16" t="n">
        <v>1367</v>
      </c>
      <c r="C1372" s="16" t="s">
        <v>5213</v>
      </c>
      <c r="D1372" s="16" t="n">
        <v>8</v>
      </c>
      <c r="E1372" s="39" t="s">
        <v>1813</v>
      </c>
      <c r="F1372" s="16" t="s">
        <v>1285</v>
      </c>
      <c r="G1372" s="16" t="s">
        <v>322</v>
      </c>
      <c r="H1372" s="16" t="s">
        <v>5039</v>
      </c>
      <c r="I1372" s="16" t="s">
        <v>109</v>
      </c>
      <c r="J1372" s="16" t="s">
        <v>1806</v>
      </c>
      <c r="K1372" s="32" t="n">
        <v>10</v>
      </c>
      <c r="L1372" s="33" t="n">
        <v>46410</v>
      </c>
      <c r="M1372" s="33" t="n">
        <v>46419</v>
      </c>
      <c r="N1372" s="16" t="s">
        <v>5214</v>
      </c>
      <c r="O1372" s="16"/>
      <c r="P1372" s="16" t="str">
        <f aca="false">IF(AND(L1372&lt;=$D$2,M1372&gt;=$C$2),"Sí","")</f>
        <v/>
      </c>
      <c r="Q1372" s="18" t="str">
        <f aca="false">IF(COUNTIF(LOOKAHEAD!$A$5:$A$604,A1372)&gt;0,"En Lookahead",IF(P1372="Sí","INCORPORAR",""))</f>
        <v/>
      </c>
    </row>
    <row r="1373" customFormat="false" ht="15" hidden="false" customHeight="false" outlineLevel="0" collapsed="false">
      <c r="A1373" s="16" t="s">
        <v>5215</v>
      </c>
      <c r="B1373" s="16" t="n">
        <v>1368</v>
      </c>
      <c r="C1373" s="16" t="s">
        <v>5216</v>
      </c>
      <c r="D1373" s="16" t="n">
        <v>8</v>
      </c>
      <c r="E1373" s="39" t="s">
        <v>1800</v>
      </c>
      <c r="F1373" s="16" t="s">
        <v>1285</v>
      </c>
      <c r="G1373" s="16" t="s">
        <v>322</v>
      </c>
      <c r="H1373" s="16" t="s">
        <v>5039</v>
      </c>
      <c r="I1373" s="16" t="s">
        <v>109</v>
      </c>
      <c r="J1373" s="16" t="s">
        <v>1806</v>
      </c>
      <c r="K1373" s="32" t="n">
        <v>8</v>
      </c>
      <c r="L1373" s="33" t="n">
        <v>46402</v>
      </c>
      <c r="M1373" s="33" t="n">
        <v>46409</v>
      </c>
      <c r="N1373" s="16" t="s">
        <v>5217</v>
      </c>
      <c r="O1373" s="16"/>
      <c r="P1373" s="16" t="str">
        <f aca="false">IF(AND(L1373&lt;=$D$2,M1373&gt;=$C$2),"Sí","")</f>
        <v/>
      </c>
      <c r="Q1373" s="18" t="str">
        <f aca="false">IF(COUNTIF(LOOKAHEAD!$A$5:$A$604,A1373)&gt;0,"En Lookahead",IF(P1373="Sí","INCORPORAR",""))</f>
        <v/>
      </c>
    </row>
    <row r="1374" customFormat="false" ht="15" hidden="false" customHeight="false" outlineLevel="0" collapsed="false">
      <c r="A1374" s="16" t="s">
        <v>5218</v>
      </c>
      <c r="B1374" s="16" t="n">
        <v>1369</v>
      </c>
      <c r="C1374" s="16" t="s">
        <v>5219</v>
      </c>
      <c r="D1374" s="16" t="n">
        <v>8</v>
      </c>
      <c r="E1374" s="39" t="s">
        <v>1602</v>
      </c>
      <c r="F1374" s="16" t="s">
        <v>1285</v>
      </c>
      <c r="G1374" s="16" t="s">
        <v>322</v>
      </c>
      <c r="H1374" s="16" t="s">
        <v>5039</v>
      </c>
      <c r="I1374" s="16" t="s">
        <v>109</v>
      </c>
      <c r="J1374" s="16" t="s">
        <v>1806</v>
      </c>
      <c r="K1374" s="32" t="n">
        <v>1</v>
      </c>
      <c r="L1374" s="33" t="n">
        <v>46421</v>
      </c>
      <c r="M1374" s="33" t="n">
        <v>46421</v>
      </c>
      <c r="N1374" s="16" t="s">
        <v>5220</v>
      </c>
      <c r="O1374" s="16"/>
      <c r="P1374" s="16" t="str">
        <f aca="false">IF(AND(L1374&lt;=$D$2,M1374&gt;=$C$2),"Sí","")</f>
        <v/>
      </c>
      <c r="Q1374" s="18" t="str">
        <f aca="false">IF(COUNTIF(LOOKAHEAD!$A$5:$A$604,A1374)&gt;0,"En Lookahead",IF(P1374="Sí","INCORPORAR",""))</f>
        <v/>
      </c>
    </row>
    <row r="1375" customFormat="false" ht="15" hidden="false" customHeight="false" outlineLevel="0" collapsed="false">
      <c r="A1375" s="13" t="s">
        <v>5221</v>
      </c>
      <c r="B1375" s="13" t="n">
        <v>1370</v>
      </c>
      <c r="C1375" s="13" t="s">
        <v>5222</v>
      </c>
      <c r="D1375" s="13" t="n">
        <v>6</v>
      </c>
      <c r="E1375" s="36" t="s">
        <v>1853</v>
      </c>
      <c r="F1375" s="13" t="s">
        <v>1298</v>
      </c>
      <c r="G1375" s="13" t="s">
        <v>322</v>
      </c>
      <c r="H1375" s="13" t="s">
        <v>5039</v>
      </c>
      <c r="I1375" s="13" t="s">
        <v>109</v>
      </c>
      <c r="J1375" s="13" t="s">
        <v>1623</v>
      </c>
      <c r="K1375" s="30" t="n">
        <v>67</v>
      </c>
      <c r="L1375" s="31" t="n">
        <v>46373</v>
      </c>
      <c r="M1375" s="31" t="n">
        <v>46439</v>
      </c>
      <c r="N1375" s="13"/>
      <c r="O1375" s="13"/>
      <c r="P1375" s="13"/>
      <c r="Q1375" s="13"/>
    </row>
    <row r="1376" customFormat="false" ht="15" hidden="false" customHeight="false" outlineLevel="0" collapsed="false">
      <c r="A1376" s="13" t="s">
        <v>5223</v>
      </c>
      <c r="B1376" s="13" t="n">
        <v>1371</v>
      </c>
      <c r="C1376" s="13" t="s">
        <v>5224</v>
      </c>
      <c r="D1376" s="13" t="n">
        <v>7</v>
      </c>
      <c r="E1376" s="38" t="s">
        <v>1856</v>
      </c>
      <c r="F1376" s="13" t="s">
        <v>1298</v>
      </c>
      <c r="G1376" s="13" t="s">
        <v>322</v>
      </c>
      <c r="H1376" s="13" t="s">
        <v>5039</v>
      </c>
      <c r="I1376" s="13" t="s">
        <v>109</v>
      </c>
      <c r="J1376" s="13" t="s">
        <v>1853</v>
      </c>
      <c r="K1376" s="30" t="n">
        <v>25</v>
      </c>
      <c r="L1376" s="31" t="n">
        <v>46373</v>
      </c>
      <c r="M1376" s="31" t="n">
        <v>46397</v>
      </c>
      <c r="N1376" s="13"/>
      <c r="O1376" s="13"/>
      <c r="P1376" s="13"/>
      <c r="Q1376" s="13"/>
    </row>
    <row r="1377" customFormat="false" ht="15" hidden="false" customHeight="false" outlineLevel="0" collapsed="false">
      <c r="A1377" s="16" t="s">
        <v>5225</v>
      </c>
      <c r="B1377" s="16" t="n">
        <v>1372</v>
      </c>
      <c r="C1377" s="16" t="s">
        <v>5226</v>
      </c>
      <c r="D1377" s="16" t="n">
        <v>8</v>
      </c>
      <c r="E1377" s="39" t="s">
        <v>1859</v>
      </c>
      <c r="F1377" s="16" t="s">
        <v>1285</v>
      </c>
      <c r="G1377" s="16" t="s">
        <v>322</v>
      </c>
      <c r="H1377" s="16" t="s">
        <v>5039</v>
      </c>
      <c r="I1377" s="16" t="s">
        <v>109</v>
      </c>
      <c r="J1377" s="16" t="s">
        <v>1856</v>
      </c>
      <c r="K1377" s="32" t="n">
        <v>1</v>
      </c>
      <c r="L1377" s="33" t="n">
        <v>46395</v>
      </c>
      <c r="M1377" s="33" t="n">
        <v>46395</v>
      </c>
      <c r="N1377" s="16" t="s">
        <v>5227</v>
      </c>
      <c r="O1377" s="16"/>
      <c r="P1377" s="16" t="str">
        <f aca="false">IF(AND(L1377&lt;=$D$2,M1377&gt;=$C$2),"Sí","")</f>
        <v/>
      </c>
      <c r="Q1377" s="18" t="str">
        <f aca="false">IF(COUNTIF(LOOKAHEAD!$A$5:$A$604,A1377)&gt;0,"En Lookahead",IF(P1377="Sí","INCORPORAR",""))</f>
        <v/>
      </c>
    </row>
    <row r="1378" customFormat="false" ht="15" hidden="false" customHeight="false" outlineLevel="0" collapsed="false">
      <c r="A1378" s="16" t="s">
        <v>5228</v>
      </c>
      <c r="B1378" s="16" t="n">
        <v>1373</v>
      </c>
      <c r="C1378" s="16" t="s">
        <v>5229</v>
      </c>
      <c r="D1378" s="16" t="n">
        <v>8</v>
      </c>
      <c r="E1378" s="39" t="s">
        <v>1863</v>
      </c>
      <c r="F1378" s="16" t="s">
        <v>1285</v>
      </c>
      <c r="G1378" s="16" t="s">
        <v>322</v>
      </c>
      <c r="H1378" s="16" t="s">
        <v>5039</v>
      </c>
      <c r="I1378" s="16" t="s">
        <v>109</v>
      </c>
      <c r="J1378" s="16" t="s">
        <v>1856</v>
      </c>
      <c r="K1378" s="32" t="n">
        <v>10</v>
      </c>
      <c r="L1378" s="33" t="n">
        <v>46373</v>
      </c>
      <c r="M1378" s="33" t="n">
        <v>46382</v>
      </c>
      <c r="N1378" s="16" t="s">
        <v>5230</v>
      </c>
      <c r="O1378" s="16"/>
      <c r="P1378" s="16" t="str">
        <f aca="false">IF(AND(L1378&lt;=$D$2,M1378&gt;=$C$2),"Sí","")</f>
        <v/>
      </c>
      <c r="Q1378" s="18" t="str">
        <f aca="false">IF(COUNTIF(LOOKAHEAD!$A$5:$A$604,A1378)&gt;0,"En Lookahead",IF(P1378="Sí","INCORPORAR",""))</f>
        <v/>
      </c>
    </row>
    <row r="1379" customFormat="false" ht="15" hidden="false" customHeight="false" outlineLevel="0" collapsed="false">
      <c r="A1379" s="16" t="s">
        <v>5231</v>
      </c>
      <c r="B1379" s="16" t="n">
        <v>1374</v>
      </c>
      <c r="C1379" s="16" t="s">
        <v>5232</v>
      </c>
      <c r="D1379" s="16" t="n">
        <v>8</v>
      </c>
      <c r="E1379" s="39" t="s">
        <v>1867</v>
      </c>
      <c r="F1379" s="16" t="s">
        <v>1285</v>
      </c>
      <c r="G1379" s="16" t="s">
        <v>322</v>
      </c>
      <c r="H1379" s="16" t="s">
        <v>5039</v>
      </c>
      <c r="I1379" s="16" t="s">
        <v>109</v>
      </c>
      <c r="J1379" s="16" t="s">
        <v>1856</v>
      </c>
      <c r="K1379" s="32" t="n">
        <v>11</v>
      </c>
      <c r="L1379" s="33" t="n">
        <v>46384</v>
      </c>
      <c r="M1379" s="33" t="n">
        <v>46394</v>
      </c>
      <c r="N1379" s="16" t="s">
        <v>5233</v>
      </c>
      <c r="O1379" s="16"/>
      <c r="P1379" s="16" t="str">
        <f aca="false">IF(AND(L1379&lt;=$D$2,M1379&gt;=$C$2),"Sí","")</f>
        <v/>
      </c>
      <c r="Q1379" s="18" t="str">
        <f aca="false">IF(COUNTIF(LOOKAHEAD!$A$5:$A$604,A1379)&gt;0,"En Lookahead",IF(P1379="Sí","INCORPORAR",""))</f>
        <v/>
      </c>
    </row>
    <row r="1380" customFormat="false" ht="15" hidden="false" customHeight="false" outlineLevel="0" collapsed="false">
      <c r="A1380" s="16" t="s">
        <v>5234</v>
      </c>
      <c r="B1380" s="16" t="n">
        <v>1375</v>
      </c>
      <c r="C1380" s="16" t="s">
        <v>5235</v>
      </c>
      <c r="D1380" s="16" t="n">
        <v>8</v>
      </c>
      <c r="E1380" s="39" t="s">
        <v>3249</v>
      </c>
      <c r="F1380" s="16" t="s">
        <v>1285</v>
      </c>
      <c r="G1380" s="16" t="s">
        <v>322</v>
      </c>
      <c r="H1380" s="16" t="s">
        <v>5039</v>
      </c>
      <c r="I1380" s="16" t="s">
        <v>109</v>
      </c>
      <c r="J1380" s="16" t="s">
        <v>1856</v>
      </c>
      <c r="K1380" s="32" t="n">
        <v>1</v>
      </c>
      <c r="L1380" s="33" t="n">
        <v>46383</v>
      </c>
      <c r="M1380" s="33" t="n">
        <v>46383</v>
      </c>
      <c r="N1380" s="16" t="s">
        <v>5236</v>
      </c>
      <c r="O1380" s="16"/>
      <c r="P1380" s="16" t="str">
        <f aca="false">IF(AND(L1380&lt;=$D$2,M1380&gt;=$C$2),"Sí","")</f>
        <v/>
      </c>
      <c r="Q1380" s="18" t="str">
        <f aca="false">IF(COUNTIF(LOOKAHEAD!$A$5:$A$604,A1380)&gt;0,"En Lookahead",IF(P1380="Sí","INCORPORAR",""))</f>
        <v/>
      </c>
    </row>
    <row r="1381" customFormat="false" ht="15" hidden="false" customHeight="false" outlineLevel="0" collapsed="false">
      <c r="A1381" s="16" t="s">
        <v>5237</v>
      </c>
      <c r="B1381" s="16" t="n">
        <v>1376</v>
      </c>
      <c r="C1381" s="16" t="s">
        <v>5238</v>
      </c>
      <c r="D1381" s="16" t="n">
        <v>8</v>
      </c>
      <c r="E1381" s="39" t="s">
        <v>1602</v>
      </c>
      <c r="F1381" s="16" t="s">
        <v>1285</v>
      </c>
      <c r="G1381" s="16" t="s">
        <v>322</v>
      </c>
      <c r="H1381" s="16" t="s">
        <v>5039</v>
      </c>
      <c r="I1381" s="16" t="s">
        <v>109</v>
      </c>
      <c r="J1381" s="16" t="s">
        <v>1856</v>
      </c>
      <c r="K1381" s="32" t="n">
        <v>2</v>
      </c>
      <c r="L1381" s="33" t="n">
        <v>46396</v>
      </c>
      <c r="M1381" s="33" t="n">
        <v>46397</v>
      </c>
      <c r="N1381" s="16" t="s">
        <v>5239</v>
      </c>
      <c r="O1381" s="16"/>
      <c r="P1381" s="16" t="str">
        <f aca="false">IF(AND(L1381&lt;=$D$2,M1381&gt;=$C$2),"Sí","")</f>
        <v/>
      </c>
      <c r="Q1381" s="18" t="str">
        <f aca="false">IF(COUNTIF(LOOKAHEAD!$A$5:$A$604,A1381)&gt;0,"En Lookahead",IF(P1381="Sí","INCORPORAR",""))</f>
        <v/>
      </c>
    </row>
    <row r="1382" customFormat="false" ht="15" hidden="false" customHeight="false" outlineLevel="0" collapsed="false">
      <c r="A1382" s="13" t="s">
        <v>5240</v>
      </c>
      <c r="B1382" s="13" t="n">
        <v>1377</v>
      </c>
      <c r="C1382" s="13" t="s">
        <v>5241</v>
      </c>
      <c r="D1382" s="13" t="n">
        <v>7</v>
      </c>
      <c r="E1382" s="38" t="s">
        <v>1878</v>
      </c>
      <c r="F1382" s="13" t="s">
        <v>1298</v>
      </c>
      <c r="G1382" s="13" t="s">
        <v>322</v>
      </c>
      <c r="H1382" s="13" t="s">
        <v>5039</v>
      </c>
      <c r="I1382" s="13" t="s">
        <v>109</v>
      </c>
      <c r="J1382" s="13" t="s">
        <v>1853</v>
      </c>
      <c r="K1382" s="30" t="n">
        <v>30</v>
      </c>
      <c r="L1382" s="31" t="n">
        <v>46410</v>
      </c>
      <c r="M1382" s="31" t="n">
        <v>46439</v>
      </c>
      <c r="N1382" s="13"/>
      <c r="O1382" s="13"/>
      <c r="P1382" s="13"/>
      <c r="Q1382" s="13"/>
    </row>
    <row r="1383" customFormat="false" ht="15" hidden="false" customHeight="false" outlineLevel="0" collapsed="false">
      <c r="A1383" s="16" t="s">
        <v>5242</v>
      </c>
      <c r="B1383" s="16" t="n">
        <v>1378</v>
      </c>
      <c r="C1383" s="16" t="s">
        <v>5243</v>
      </c>
      <c r="D1383" s="16" t="n">
        <v>8</v>
      </c>
      <c r="E1383" s="39" t="s">
        <v>1881</v>
      </c>
      <c r="F1383" s="16" t="s">
        <v>1285</v>
      </c>
      <c r="G1383" s="16" t="s">
        <v>322</v>
      </c>
      <c r="H1383" s="16" t="s">
        <v>5039</v>
      </c>
      <c r="I1383" s="16" t="s">
        <v>109</v>
      </c>
      <c r="J1383" s="16" t="s">
        <v>1878</v>
      </c>
      <c r="K1383" s="32" t="n">
        <v>1</v>
      </c>
      <c r="L1383" s="33" t="n">
        <v>46437</v>
      </c>
      <c r="M1383" s="33" t="n">
        <v>46437</v>
      </c>
      <c r="N1383" s="16" t="s">
        <v>5244</v>
      </c>
      <c r="O1383" s="16"/>
      <c r="P1383" s="16" t="str">
        <f aca="false">IF(AND(L1383&lt;=$D$2,M1383&gt;=$C$2),"Sí","")</f>
        <v/>
      </c>
      <c r="Q1383" s="18" t="str">
        <f aca="false">IF(COUNTIF(LOOKAHEAD!$A$5:$A$604,A1383)&gt;0,"En Lookahead",IF(P1383="Sí","INCORPORAR",""))</f>
        <v/>
      </c>
    </row>
    <row r="1384" customFormat="false" ht="15" hidden="false" customHeight="false" outlineLevel="0" collapsed="false">
      <c r="A1384" s="16" t="s">
        <v>5245</v>
      </c>
      <c r="B1384" s="16" t="n">
        <v>1379</v>
      </c>
      <c r="C1384" s="16" t="s">
        <v>5246</v>
      </c>
      <c r="D1384" s="16" t="n">
        <v>8</v>
      </c>
      <c r="E1384" s="39" t="s">
        <v>1885</v>
      </c>
      <c r="F1384" s="16" t="s">
        <v>1285</v>
      </c>
      <c r="G1384" s="16" t="s">
        <v>322</v>
      </c>
      <c r="H1384" s="16" t="s">
        <v>5039</v>
      </c>
      <c r="I1384" s="16" t="s">
        <v>109</v>
      </c>
      <c r="J1384" s="16" t="s">
        <v>1878</v>
      </c>
      <c r="K1384" s="32" t="n">
        <v>15</v>
      </c>
      <c r="L1384" s="33" t="n">
        <v>46410</v>
      </c>
      <c r="M1384" s="33" t="n">
        <v>46424</v>
      </c>
      <c r="N1384" s="16" t="s">
        <v>5247</v>
      </c>
      <c r="O1384" s="16"/>
      <c r="P1384" s="16" t="str">
        <f aca="false">IF(AND(L1384&lt;=$D$2,M1384&gt;=$C$2),"Sí","")</f>
        <v/>
      </c>
      <c r="Q1384" s="18" t="str">
        <f aca="false">IF(COUNTIF(LOOKAHEAD!$A$5:$A$604,A1384)&gt;0,"En Lookahead",IF(P1384="Sí","INCORPORAR",""))</f>
        <v/>
      </c>
    </row>
    <row r="1385" customFormat="false" ht="15" hidden="false" customHeight="false" outlineLevel="0" collapsed="false">
      <c r="A1385" s="16" t="s">
        <v>5248</v>
      </c>
      <c r="B1385" s="16" t="n">
        <v>1380</v>
      </c>
      <c r="C1385" s="16" t="s">
        <v>5249</v>
      </c>
      <c r="D1385" s="16" t="n">
        <v>8</v>
      </c>
      <c r="E1385" s="39" t="s">
        <v>1867</v>
      </c>
      <c r="F1385" s="16" t="s">
        <v>1285</v>
      </c>
      <c r="G1385" s="16" t="s">
        <v>322</v>
      </c>
      <c r="H1385" s="16" t="s">
        <v>5039</v>
      </c>
      <c r="I1385" s="16" t="s">
        <v>109</v>
      </c>
      <c r="J1385" s="16" t="s">
        <v>1878</v>
      </c>
      <c r="K1385" s="32" t="n">
        <v>11</v>
      </c>
      <c r="L1385" s="33" t="n">
        <v>46426</v>
      </c>
      <c r="M1385" s="33" t="n">
        <v>46436</v>
      </c>
      <c r="N1385" s="16" t="s">
        <v>5250</v>
      </c>
      <c r="O1385" s="16"/>
      <c r="P1385" s="16" t="str">
        <f aca="false">IF(AND(L1385&lt;=$D$2,M1385&gt;=$C$2),"Sí","")</f>
        <v/>
      </c>
      <c r="Q1385" s="18" t="str">
        <f aca="false">IF(COUNTIF(LOOKAHEAD!$A$5:$A$604,A1385)&gt;0,"En Lookahead",IF(P1385="Sí","INCORPORAR",""))</f>
        <v/>
      </c>
    </row>
    <row r="1386" customFormat="false" ht="15" hidden="false" customHeight="false" outlineLevel="0" collapsed="false">
      <c r="A1386" s="16" t="s">
        <v>5251</v>
      </c>
      <c r="B1386" s="16" t="n">
        <v>1381</v>
      </c>
      <c r="C1386" s="16" t="s">
        <v>5252</v>
      </c>
      <c r="D1386" s="16" t="n">
        <v>8</v>
      </c>
      <c r="E1386" s="39" t="s">
        <v>3249</v>
      </c>
      <c r="F1386" s="16" t="s">
        <v>1285</v>
      </c>
      <c r="G1386" s="16" t="s">
        <v>322</v>
      </c>
      <c r="H1386" s="16" t="s">
        <v>5039</v>
      </c>
      <c r="I1386" s="16" t="s">
        <v>109</v>
      </c>
      <c r="J1386" s="16" t="s">
        <v>1878</v>
      </c>
      <c r="K1386" s="32" t="n">
        <v>1</v>
      </c>
      <c r="L1386" s="33" t="n">
        <v>46425</v>
      </c>
      <c r="M1386" s="33" t="n">
        <v>46425</v>
      </c>
      <c r="N1386" s="16" t="s">
        <v>5253</v>
      </c>
      <c r="O1386" s="16"/>
      <c r="P1386" s="16" t="str">
        <f aca="false">IF(AND(L1386&lt;=$D$2,M1386&gt;=$C$2),"Sí","")</f>
        <v/>
      </c>
      <c r="Q1386" s="18" t="str">
        <f aca="false">IF(COUNTIF(LOOKAHEAD!$A$5:$A$604,A1386)&gt;0,"En Lookahead",IF(P1386="Sí","INCORPORAR",""))</f>
        <v/>
      </c>
    </row>
    <row r="1387" customFormat="false" ht="15" hidden="false" customHeight="false" outlineLevel="0" collapsed="false">
      <c r="A1387" s="16" t="s">
        <v>5254</v>
      </c>
      <c r="B1387" s="16" t="n">
        <v>1382</v>
      </c>
      <c r="C1387" s="16" t="s">
        <v>5255</v>
      </c>
      <c r="D1387" s="16" t="n">
        <v>8</v>
      </c>
      <c r="E1387" s="39" t="s">
        <v>1602</v>
      </c>
      <c r="F1387" s="16" t="s">
        <v>1285</v>
      </c>
      <c r="G1387" s="16" t="s">
        <v>322</v>
      </c>
      <c r="H1387" s="16" t="s">
        <v>5039</v>
      </c>
      <c r="I1387" s="16" t="s">
        <v>109</v>
      </c>
      <c r="J1387" s="16" t="s">
        <v>1878</v>
      </c>
      <c r="K1387" s="32" t="n">
        <v>2</v>
      </c>
      <c r="L1387" s="33" t="n">
        <v>46438</v>
      </c>
      <c r="M1387" s="33" t="n">
        <v>46439</v>
      </c>
      <c r="N1387" s="16" t="s">
        <v>5256</v>
      </c>
      <c r="O1387" s="16"/>
      <c r="P1387" s="16" t="str">
        <f aca="false">IF(AND(L1387&lt;=$D$2,M1387&gt;=$C$2),"Sí","")</f>
        <v/>
      </c>
      <c r="Q1387" s="18" t="str">
        <f aca="false">IF(COUNTIF(LOOKAHEAD!$A$5:$A$604,A1387)&gt;0,"En Lookahead",IF(P1387="Sí","INCORPORAR",""))</f>
        <v/>
      </c>
    </row>
    <row r="1388" customFormat="false" ht="15" hidden="false" customHeight="false" outlineLevel="0" collapsed="false">
      <c r="A1388" s="13" t="s">
        <v>5257</v>
      </c>
      <c r="B1388" s="13" t="n">
        <v>1383</v>
      </c>
      <c r="C1388" s="13" t="s">
        <v>5258</v>
      </c>
      <c r="D1388" s="13" t="n">
        <v>6</v>
      </c>
      <c r="E1388" s="36" t="s">
        <v>1985</v>
      </c>
      <c r="F1388" s="13" t="s">
        <v>1298</v>
      </c>
      <c r="G1388" s="13" t="s">
        <v>322</v>
      </c>
      <c r="H1388" s="13" t="s">
        <v>5039</v>
      </c>
      <c r="I1388" s="13" t="s">
        <v>109</v>
      </c>
      <c r="J1388" s="13" t="s">
        <v>1623</v>
      </c>
      <c r="K1388" s="30" t="n">
        <v>4</v>
      </c>
      <c r="L1388" s="31" t="n">
        <v>46406</v>
      </c>
      <c r="M1388" s="31" t="n">
        <v>46409</v>
      </c>
      <c r="N1388" s="13"/>
      <c r="O1388" s="13"/>
      <c r="P1388" s="13"/>
      <c r="Q1388" s="13"/>
    </row>
    <row r="1389" customFormat="false" ht="15" hidden="false" customHeight="false" outlineLevel="0" collapsed="false">
      <c r="A1389" s="13" t="s">
        <v>5259</v>
      </c>
      <c r="B1389" s="13" t="n">
        <v>1384</v>
      </c>
      <c r="C1389" s="13" t="s">
        <v>5260</v>
      </c>
      <c r="D1389" s="13" t="n">
        <v>7</v>
      </c>
      <c r="E1389" s="38" t="s">
        <v>1988</v>
      </c>
      <c r="F1389" s="13" t="s">
        <v>1298</v>
      </c>
      <c r="G1389" s="13" t="s">
        <v>322</v>
      </c>
      <c r="H1389" s="13" t="s">
        <v>5039</v>
      </c>
      <c r="I1389" s="13" t="s">
        <v>109</v>
      </c>
      <c r="J1389" s="13" t="s">
        <v>1985</v>
      </c>
      <c r="K1389" s="30" t="n">
        <v>4</v>
      </c>
      <c r="L1389" s="31" t="n">
        <v>46406</v>
      </c>
      <c r="M1389" s="31" t="n">
        <v>46409</v>
      </c>
      <c r="N1389" s="13"/>
      <c r="O1389" s="13"/>
      <c r="P1389" s="13"/>
      <c r="Q1389" s="13"/>
    </row>
    <row r="1390" customFormat="false" ht="15" hidden="false" customHeight="false" outlineLevel="0" collapsed="false">
      <c r="A1390" s="16" t="s">
        <v>5261</v>
      </c>
      <c r="B1390" s="16" t="n">
        <v>1385</v>
      </c>
      <c r="C1390" s="16" t="s">
        <v>5262</v>
      </c>
      <c r="D1390" s="16" t="n">
        <v>8</v>
      </c>
      <c r="E1390" s="39" t="s">
        <v>1991</v>
      </c>
      <c r="F1390" s="16" t="s">
        <v>1285</v>
      </c>
      <c r="G1390" s="16" t="s">
        <v>322</v>
      </c>
      <c r="H1390" s="16" t="s">
        <v>5039</v>
      </c>
      <c r="I1390" s="16" t="s">
        <v>109</v>
      </c>
      <c r="J1390" s="16" t="s">
        <v>1988</v>
      </c>
      <c r="K1390" s="32" t="n">
        <v>1</v>
      </c>
      <c r="L1390" s="33" t="n">
        <v>46408</v>
      </c>
      <c r="M1390" s="33" t="n">
        <v>46408</v>
      </c>
      <c r="N1390" s="16" t="s">
        <v>5263</v>
      </c>
      <c r="O1390" s="16"/>
      <c r="P1390" s="16" t="str">
        <f aca="false">IF(AND(L1390&lt;=$D$2,M1390&gt;=$C$2),"Sí","")</f>
        <v/>
      </c>
      <c r="Q1390" s="18" t="str">
        <f aca="false">IF(COUNTIF(LOOKAHEAD!$A$5:$A$604,A1390)&gt;0,"En Lookahead",IF(P1390="Sí","INCORPORAR",""))</f>
        <v/>
      </c>
    </row>
    <row r="1391" customFormat="false" ht="15" hidden="false" customHeight="false" outlineLevel="0" collapsed="false">
      <c r="A1391" s="16" t="s">
        <v>5264</v>
      </c>
      <c r="B1391" s="16" t="n">
        <v>1386</v>
      </c>
      <c r="C1391" s="16" t="s">
        <v>5265</v>
      </c>
      <c r="D1391" s="16" t="n">
        <v>8</v>
      </c>
      <c r="E1391" s="39" t="s">
        <v>1995</v>
      </c>
      <c r="F1391" s="16" t="s">
        <v>1285</v>
      </c>
      <c r="G1391" s="16" t="s">
        <v>322</v>
      </c>
      <c r="H1391" s="16" t="s">
        <v>5039</v>
      </c>
      <c r="I1391" s="16" t="s">
        <v>109</v>
      </c>
      <c r="J1391" s="16" t="s">
        <v>1988</v>
      </c>
      <c r="K1391" s="32" t="n">
        <v>1</v>
      </c>
      <c r="L1391" s="33" t="n">
        <v>46407</v>
      </c>
      <c r="M1391" s="33" t="n">
        <v>46407</v>
      </c>
      <c r="N1391" s="16" t="s">
        <v>5266</v>
      </c>
      <c r="O1391" s="16"/>
      <c r="P1391" s="16" t="str">
        <f aca="false">IF(AND(L1391&lt;=$D$2,M1391&gt;=$C$2),"Sí","")</f>
        <v/>
      </c>
      <c r="Q1391" s="18" t="str">
        <f aca="false">IF(COUNTIF(LOOKAHEAD!$A$5:$A$604,A1391)&gt;0,"En Lookahead",IF(P1391="Sí","INCORPORAR",""))</f>
        <v/>
      </c>
    </row>
    <row r="1392" customFormat="false" ht="15" hidden="false" customHeight="false" outlineLevel="0" collapsed="false">
      <c r="A1392" s="16" t="s">
        <v>5267</v>
      </c>
      <c r="B1392" s="16" t="n">
        <v>1387</v>
      </c>
      <c r="C1392" s="16" t="s">
        <v>5268</v>
      </c>
      <c r="D1392" s="16" t="n">
        <v>8</v>
      </c>
      <c r="E1392" s="39" t="s">
        <v>1999</v>
      </c>
      <c r="F1392" s="16" t="s">
        <v>1285</v>
      </c>
      <c r="G1392" s="16" t="s">
        <v>322</v>
      </c>
      <c r="H1392" s="16" t="s">
        <v>5039</v>
      </c>
      <c r="I1392" s="16" t="s">
        <v>109</v>
      </c>
      <c r="J1392" s="16" t="s">
        <v>1988</v>
      </c>
      <c r="K1392" s="32" t="n">
        <v>1</v>
      </c>
      <c r="L1392" s="33" t="n">
        <v>46406</v>
      </c>
      <c r="M1392" s="33" t="n">
        <v>46406</v>
      </c>
      <c r="N1392" s="16" t="s">
        <v>5269</v>
      </c>
      <c r="O1392" s="16"/>
      <c r="P1392" s="16" t="str">
        <f aca="false">IF(AND(L1392&lt;=$D$2,M1392&gt;=$C$2),"Sí","")</f>
        <v/>
      </c>
      <c r="Q1392" s="18" t="str">
        <f aca="false">IF(COUNTIF(LOOKAHEAD!$A$5:$A$604,A1392)&gt;0,"En Lookahead",IF(P1392="Sí","INCORPORAR",""))</f>
        <v/>
      </c>
    </row>
    <row r="1393" customFormat="false" ht="15" hidden="false" customHeight="false" outlineLevel="0" collapsed="false">
      <c r="A1393" s="16" t="s">
        <v>5270</v>
      </c>
      <c r="B1393" s="16" t="n">
        <v>1388</v>
      </c>
      <c r="C1393" s="16" t="s">
        <v>5271</v>
      </c>
      <c r="D1393" s="16" t="n">
        <v>8</v>
      </c>
      <c r="E1393" s="39" t="s">
        <v>1677</v>
      </c>
      <c r="F1393" s="16" t="s">
        <v>1285</v>
      </c>
      <c r="G1393" s="16" t="s">
        <v>322</v>
      </c>
      <c r="H1393" s="16" t="s">
        <v>5039</v>
      </c>
      <c r="I1393" s="16" t="s">
        <v>109</v>
      </c>
      <c r="J1393" s="16" t="s">
        <v>1988</v>
      </c>
      <c r="K1393" s="32" t="n">
        <v>1</v>
      </c>
      <c r="L1393" s="33" t="n">
        <v>46409</v>
      </c>
      <c r="M1393" s="33" t="n">
        <v>46409</v>
      </c>
      <c r="N1393" s="16" t="s">
        <v>5272</v>
      </c>
      <c r="O1393" s="16"/>
      <c r="P1393" s="16" t="str">
        <f aca="false">IF(AND(L1393&lt;=$D$2,M1393&gt;=$C$2),"Sí","")</f>
        <v/>
      </c>
      <c r="Q1393" s="18" t="str">
        <f aca="false">IF(COUNTIF(LOOKAHEAD!$A$5:$A$604,A1393)&gt;0,"En Lookahead",IF(P1393="Sí","INCORPORAR",""))</f>
        <v/>
      </c>
    </row>
    <row r="1394" customFormat="false" ht="15" hidden="false" customHeight="false" outlineLevel="0" collapsed="false">
      <c r="A1394" s="13" t="s">
        <v>5273</v>
      </c>
      <c r="B1394" s="13" t="n">
        <v>1389</v>
      </c>
      <c r="C1394" s="13" t="s">
        <v>5274</v>
      </c>
      <c r="D1394" s="13" t="n">
        <v>7</v>
      </c>
      <c r="E1394" s="38" t="s">
        <v>2006</v>
      </c>
      <c r="F1394" s="13" t="s">
        <v>1298</v>
      </c>
      <c r="G1394" s="13" t="s">
        <v>322</v>
      </c>
      <c r="H1394" s="13" t="s">
        <v>5039</v>
      </c>
      <c r="I1394" s="13" t="s">
        <v>109</v>
      </c>
      <c r="J1394" s="13" t="s">
        <v>1985</v>
      </c>
      <c r="K1394" s="30" t="n">
        <v>4</v>
      </c>
      <c r="L1394" s="31" t="n">
        <v>46406</v>
      </c>
      <c r="M1394" s="31" t="n">
        <v>46409</v>
      </c>
      <c r="N1394" s="13"/>
      <c r="O1394" s="13"/>
      <c r="P1394" s="13"/>
      <c r="Q1394" s="13"/>
    </row>
    <row r="1395" customFormat="false" ht="15" hidden="false" customHeight="false" outlineLevel="0" collapsed="false">
      <c r="A1395" s="16" t="s">
        <v>5275</v>
      </c>
      <c r="B1395" s="16" t="n">
        <v>1390</v>
      </c>
      <c r="C1395" s="16" t="s">
        <v>5276</v>
      </c>
      <c r="D1395" s="16" t="n">
        <v>8</v>
      </c>
      <c r="E1395" s="39" t="s">
        <v>2009</v>
      </c>
      <c r="F1395" s="16" t="s">
        <v>1285</v>
      </c>
      <c r="G1395" s="16" t="s">
        <v>322</v>
      </c>
      <c r="H1395" s="16" t="s">
        <v>5039</v>
      </c>
      <c r="I1395" s="16" t="s">
        <v>109</v>
      </c>
      <c r="J1395" s="16" t="s">
        <v>2006</v>
      </c>
      <c r="K1395" s="32" t="n">
        <v>1</v>
      </c>
      <c r="L1395" s="33" t="n">
        <v>46408</v>
      </c>
      <c r="M1395" s="33" t="n">
        <v>46408</v>
      </c>
      <c r="N1395" s="16" t="s">
        <v>5277</v>
      </c>
      <c r="O1395" s="16"/>
      <c r="P1395" s="16" t="str">
        <f aca="false">IF(AND(L1395&lt;=$D$2,M1395&gt;=$C$2),"Sí","")</f>
        <v/>
      </c>
      <c r="Q1395" s="18" t="str">
        <f aca="false">IF(COUNTIF(LOOKAHEAD!$A$5:$A$604,A1395)&gt;0,"En Lookahead",IF(P1395="Sí","INCORPORAR",""))</f>
        <v/>
      </c>
    </row>
    <row r="1396" customFormat="false" ht="15" hidden="false" customHeight="false" outlineLevel="0" collapsed="false">
      <c r="A1396" s="16" t="s">
        <v>5278</v>
      </c>
      <c r="B1396" s="16" t="n">
        <v>1391</v>
      </c>
      <c r="C1396" s="16" t="s">
        <v>5279</v>
      </c>
      <c r="D1396" s="16" t="n">
        <v>8</v>
      </c>
      <c r="E1396" s="39" t="s">
        <v>2013</v>
      </c>
      <c r="F1396" s="16" t="s">
        <v>1285</v>
      </c>
      <c r="G1396" s="16" t="s">
        <v>322</v>
      </c>
      <c r="H1396" s="16" t="s">
        <v>5039</v>
      </c>
      <c r="I1396" s="16" t="s">
        <v>109</v>
      </c>
      <c r="J1396" s="16" t="s">
        <v>2006</v>
      </c>
      <c r="K1396" s="32" t="n">
        <v>1</v>
      </c>
      <c r="L1396" s="33" t="n">
        <v>46407</v>
      </c>
      <c r="M1396" s="33" t="n">
        <v>46407</v>
      </c>
      <c r="N1396" s="16" t="s">
        <v>5280</v>
      </c>
      <c r="O1396" s="16"/>
      <c r="P1396" s="16" t="str">
        <f aca="false">IF(AND(L1396&lt;=$D$2,M1396&gt;=$C$2),"Sí","")</f>
        <v/>
      </c>
      <c r="Q1396" s="18" t="str">
        <f aca="false">IF(COUNTIF(LOOKAHEAD!$A$5:$A$604,A1396)&gt;0,"En Lookahead",IF(P1396="Sí","INCORPORAR",""))</f>
        <v/>
      </c>
    </row>
    <row r="1397" customFormat="false" ht="15" hidden="false" customHeight="false" outlineLevel="0" collapsed="false">
      <c r="A1397" s="16" t="s">
        <v>5281</v>
      </c>
      <c r="B1397" s="16" t="n">
        <v>1392</v>
      </c>
      <c r="C1397" s="16" t="s">
        <v>5282</v>
      </c>
      <c r="D1397" s="16" t="n">
        <v>8</v>
      </c>
      <c r="E1397" s="39" t="s">
        <v>1999</v>
      </c>
      <c r="F1397" s="16" t="s">
        <v>1285</v>
      </c>
      <c r="G1397" s="16" t="s">
        <v>322</v>
      </c>
      <c r="H1397" s="16" t="s">
        <v>5039</v>
      </c>
      <c r="I1397" s="16" t="s">
        <v>109</v>
      </c>
      <c r="J1397" s="16" t="s">
        <v>2006</v>
      </c>
      <c r="K1397" s="32" t="n">
        <v>1</v>
      </c>
      <c r="L1397" s="33" t="n">
        <v>46406</v>
      </c>
      <c r="M1397" s="33" t="n">
        <v>46406</v>
      </c>
      <c r="N1397" s="16" t="s">
        <v>5269</v>
      </c>
      <c r="O1397" s="16"/>
      <c r="P1397" s="16" t="str">
        <f aca="false">IF(AND(L1397&lt;=$D$2,M1397&gt;=$C$2),"Sí","")</f>
        <v/>
      </c>
      <c r="Q1397" s="18" t="str">
        <f aca="false">IF(COUNTIF(LOOKAHEAD!$A$5:$A$604,A1397)&gt;0,"En Lookahead",IF(P1397="Sí","INCORPORAR",""))</f>
        <v/>
      </c>
    </row>
    <row r="1398" customFormat="false" ht="15" hidden="false" customHeight="false" outlineLevel="0" collapsed="false">
      <c r="A1398" s="16" t="s">
        <v>5283</v>
      </c>
      <c r="B1398" s="16" t="n">
        <v>1393</v>
      </c>
      <c r="C1398" s="16" t="s">
        <v>5284</v>
      </c>
      <c r="D1398" s="16" t="n">
        <v>8</v>
      </c>
      <c r="E1398" s="39" t="s">
        <v>1677</v>
      </c>
      <c r="F1398" s="16" t="s">
        <v>1285</v>
      </c>
      <c r="G1398" s="16" t="s">
        <v>322</v>
      </c>
      <c r="H1398" s="16" t="s">
        <v>5039</v>
      </c>
      <c r="I1398" s="16" t="s">
        <v>109</v>
      </c>
      <c r="J1398" s="16" t="s">
        <v>2006</v>
      </c>
      <c r="K1398" s="32" t="n">
        <v>1</v>
      </c>
      <c r="L1398" s="33" t="n">
        <v>46409</v>
      </c>
      <c r="M1398" s="33" t="n">
        <v>46409</v>
      </c>
      <c r="N1398" s="16" t="s">
        <v>5285</v>
      </c>
      <c r="O1398" s="16"/>
      <c r="P1398" s="16" t="str">
        <f aca="false">IF(AND(L1398&lt;=$D$2,M1398&gt;=$C$2),"Sí","")</f>
        <v/>
      </c>
      <c r="Q1398" s="18" t="str">
        <f aca="false">IF(COUNTIF(LOOKAHEAD!$A$5:$A$604,A1398)&gt;0,"En Lookahead",IF(P1398="Sí","INCORPORAR",""))</f>
        <v/>
      </c>
    </row>
    <row r="1399" customFormat="false" ht="15" hidden="false" customHeight="false" outlineLevel="0" collapsed="false">
      <c r="A1399" s="13" t="s">
        <v>5286</v>
      </c>
      <c r="B1399" s="13" t="n">
        <v>1394</v>
      </c>
      <c r="C1399" s="13" t="s">
        <v>5287</v>
      </c>
      <c r="D1399" s="13" t="n">
        <v>7</v>
      </c>
      <c r="E1399" s="38" t="s">
        <v>2038</v>
      </c>
      <c r="F1399" s="13" t="s">
        <v>1298</v>
      </c>
      <c r="G1399" s="13" t="s">
        <v>322</v>
      </c>
      <c r="H1399" s="13" t="s">
        <v>5039</v>
      </c>
      <c r="I1399" s="13" t="s">
        <v>109</v>
      </c>
      <c r="J1399" s="13" t="s">
        <v>1985</v>
      </c>
      <c r="K1399" s="30" t="n">
        <v>4</v>
      </c>
      <c r="L1399" s="31" t="n">
        <v>46406</v>
      </c>
      <c r="M1399" s="31" t="n">
        <v>46409</v>
      </c>
      <c r="N1399" s="13"/>
      <c r="O1399" s="13"/>
      <c r="P1399" s="13"/>
      <c r="Q1399" s="13"/>
    </row>
    <row r="1400" customFormat="false" ht="15" hidden="false" customHeight="false" outlineLevel="0" collapsed="false">
      <c r="A1400" s="16" t="s">
        <v>5288</v>
      </c>
      <c r="B1400" s="16" t="n">
        <v>1395</v>
      </c>
      <c r="C1400" s="16" t="s">
        <v>5289</v>
      </c>
      <c r="D1400" s="16" t="n">
        <v>8</v>
      </c>
      <c r="E1400" s="39" t="s">
        <v>2041</v>
      </c>
      <c r="F1400" s="16" t="s">
        <v>1285</v>
      </c>
      <c r="G1400" s="16" t="s">
        <v>322</v>
      </c>
      <c r="H1400" s="16" t="s">
        <v>5039</v>
      </c>
      <c r="I1400" s="16" t="s">
        <v>109</v>
      </c>
      <c r="J1400" s="16" t="s">
        <v>2038</v>
      </c>
      <c r="K1400" s="32" t="n">
        <v>1</v>
      </c>
      <c r="L1400" s="33" t="n">
        <v>46408</v>
      </c>
      <c r="M1400" s="33" t="n">
        <v>46408</v>
      </c>
      <c r="N1400" s="16" t="s">
        <v>5290</v>
      </c>
      <c r="O1400" s="16"/>
      <c r="P1400" s="16" t="str">
        <f aca="false">IF(AND(L1400&lt;=$D$2,M1400&gt;=$C$2),"Sí","")</f>
        <v/>
      </c>
      <c r="Q1400" s="18" t="str">
        <f aca="false">IF(COUNTIF(LOOKAHEAD!$A$5:$A$604,A1400)&gt;0,"En Lookahead",IF(P1400="Sí","INCORPORAR",""))</f>
        <v/>
      </c>
    </row>
    <row r="1401" customFormat="false" ht="15" hidden="false" customHeight="false" outlineLevel="0" collapsed="false">
      <c r="A1401" s="16" t="s">
        <v>5291</v>
      </c>
      <c r="B1401" s="16" t="n">
        <v>1396</v>
      </c>
      <c r="C1401" s="16" t="s">
        <v>5292</v>
      </c>
      <c r="D1401" s="16" t="n">
        <v>8</v>
      </c>
      <c r="E1401" s="39" t="s">
        <v>2045</v>
      </c>
      <c r="F1401" s="16" t="s">
        <v>1285</v>
      </c>
      <c r="G1401" s="16" t="s">
        <v>322</v>
      </c>
      <c r="H1401" s="16" t="s">
        <v>5039</v>
      </c>
      <c r="I1401" s="16" t="s">
        <v>109</v>
      </c>
      <c r="J1401" s="16" t="s">
        <v>2038</v>
      </c>
      <c r="K1401" s="32" t="n">
        <v>1</v>
      </c>
      <c r="L1401" s="33" t="n">
        <v>46407</v>
      </c>
      <c r="M1401" s="33" t="n">
        <v>46407</v>
      </c>
      <c r="N1401" s="16" t="s">
        <v>5293</v>
      </c>
      <c r="O1401" s="16"/>
      <c r="P1401" s="16" t="str">
        <f aca="false">IF(AND(L1401&lt;=$D$2,M1401&gt;=$C$2),"Sí","")</f>
        <v/>
      </c>
      <c r="Q1401" s="18" t="str">
        <f aca="false">IF(COUNTIF(LOOKAHEAD!$A$5:$A$604,A1401)&gt;0,"En Lookahead",IF(P1401="Sí","INCORPORAR",""))</f>
        <v/>
      </c>
    </row>
    <row r="1402" customFormat="false" ht="15" hidden="false" customHeight="false" outlineLevel="0" collapsed="false">
      <c r="A1402" s="16" t="s">
        <v>5294</v>
      </c>
      <c r="B1402" s="16" t="n">
        <v>1397</v>
      </c>
      <c r="C1402" s="16" t="s">
        <v>5295</v>
      </c>
      <c r="D1402" s="16" t="n">
        <v>8</v>
      </c>
      <c r="E1402" s="39" t="s">
        <v>1999</v>
      </c>
      <c r="F1402" s="16" t="s">
        <v>1285</v>
      </c>
      <c r="G1402" s="16" t="s">
        <v>322</v>
      </c>
      <c r="H1402" s="16" t="s">
        <v>5039</v>
      </c>
      <c r="I1402" s="16" t="s">
        <v>109</v>
      </c>
      <c r="J1402" s="16" t="s">
        <v>2038</v>
      </c>
      <c r="K1402" s="32" t="n">
        <v>1</v>
      </c>
      <c r="L1402" s="33" t="n">
        <v>46406</v>
      </c>
      <c r="M1402" s="33" t="n">
        <v>46406</v>
      </c>
      <c r="N1402" s="16" t="s">
        <v>5269</v>
      </c>
      <c r="O1402" s="16"/>
      <c r="P1402" s="16" t="str">
        <f aca="false">IF(AND(L1402&lt;=$D$2,M1402&gt;=$C$2),"Sí","")</f>
        <v/>
      </c>
      <c r="Q1402" s="18" t="str">
        <f aca="false">IF(COUNTIF(LOOKAHEAD!$A$5:$A$604,A1402)&gt;0,"En Lookahead",IF(P1402="Sí","INCORPORAR",""))</f>
        <v/>
      </c>
    </row>
    <row r="1403" customFormat="false" ht="15" hidden="false" customHeight="false" outlineLevel="0" collapsed="false">
      <c r="A1403" s="16" t="s">
        <v>5296</v>
      </c>
      <c r="B1403" s="16" t="n">
        <v>1398</v>
      </c>
      <c r="C1403" s="16" t="s">
        <v>5297</v>
      </c>
      <c r="D1403" s="16" t="n">
        <v>8</v>
      </c>
      <c r="E1403" s="39" t="s">
        <v>1677</v>
      </c>
      <c r="F1403" s="16" t="s">
        <v>1285</v>
      </c>
      <c r="G1403" s="16" t="s">
        <v>322</v>
      </c>
      <c r="H1403" s="16" t="s">
        <v>5039</v>
      </c>
      <c r="I1403" s="16" t="s">
        <v>109</v>
      </c>
      <c r="J1403" s="16" t="s">
        <v>2038</v>
      </c>
      <c r="K1403" s="32" t="n">
        <v>1</v>
      </c>
      <c r="L1403" s="33" t="n">
        <v>46409</v>
      </c>
      <c r="M1403" s="33" t="n">
        <v>46409</v>
      </c>
      <c r="N1403" s="16" t="s">
        <v>5298</v>
      </c>
      <c r="O1403" s="16"/>
      <c r="P1403" s="16" t="str">
        <f aca="false">IF(AND(L1403&lt;=$D$2,M1403&gt;=$C$2),"Sí","")</f>
        <v/>
      </c>
      <c r="Q1403" s="18" t="str">
        <f aca="false">IF(COUNTIF(LOOKAHEAD!$A$5:$A$604,A1403)&gt;0,"En Lookahead",IF(P1403="Sí","INCORPORAR",""))</f>
        <v/>
      </c>
    </row>
    <row r="1404" customFormat="false" ht="15" hidden="false" customHeight="false" outlineLevel="0" collapsed="false">
      <c r="A1404" s="13" t="s">
        <v>5299</v>
      </c>
      <c r="B1404" s="13" t="n">
        <v>1399</v>
      </c>
      <c r="C1404" s="13" t="s">
        <v>5300</v>
      </c>
      <c r="D1404" s="13" t="n">
        <v>6</v>
      </c>
      <c r="E1404" s="36" t="s">
        <v>2054</v>
      </c>
      <c r="F1404" s="13" t="s">
        <v>1298</v>
      </c>
      <c r="G1404" s="13" t="s">
        <v>322</v>
      </c>
      <c r="H1404" s="13" t="s">
        <v>5039</v>
      </c>
      <c r="I1404" s="13" t="s">
        <v>109</v>
      </c>
      <c r="J1404" s="13" t="s">
        <v>1623</v>
      </c>
      <c r="K1404" s="30" t="n">
        <v>5</v>
      </c>
      <c r="L1404" s="31" t="n">
        <v>46409</v>
      </c>
      <c r="M1404" s="31" t="n">
        <v>46413</v>
      </c>
      <c r="N1404" s="13"/>
      <c r="O1404" s="13"/>
      <c r="P1404" s="13"/>
      <c r="Q1404" s="13"/>
    </row>
    <row r="1405" customFormat="false" ht="15" hidden="false" customHeight="false" outlineLevel="0" collapsed="false">
      <c r="A1405" s="13" t="s">
        <v>5301</v>
      </c>
      <c r="B1405" s="13" t="n">
        <v>1400</v>
      </c>
      <c r="C1405" s="13" t="s">
        <v>5302</v>
      </c>
      <c r="D1405" s="13" t="n">
        <v>7</v>
      </c>
      <c r="E1405" s="38" t="s">
        <v>2057</v>
      </c>
      <c r="F1405" s="13" t="s">
        <v>1298</v>
      </c>
      <c r="G1405" s="13" t="s">
        <v>322</v>
      </c>
      <c r="H1405" s="13" t="s">
        <v>5039</v>
      </c>
      <c r="I1405" s="13" t="s">
        <v>109</v>
      </c>
      <c r="J1405" s="13" t="s">
        <v>2054</v>
      </c>
      <c r="K1405" s="30" t="n">
        <v>4</v>
      </c>
      <c r="L1405" s="31" t="n">
        <v>46409</v>
      </c>
      <c r="M1405" s="31" t="n">
        <v>46412</v>
      </c>
      <c r="N1405" s="13"/>
      <c r="O1405" s="13"/>
      <c r="P1405" s="13"/>
      <c r="Q1405" s="13"/>
    </row>
    <row r="1406" customFormat="false" ht="15" hidden="false" customHeight="false" outlineLevel="0" collapsed="false">
      <c r="A1406" s="16" t="s">
        <v>5303</v>
      </c>
      <c r="B1406" s="16" t="n">
        <v>1401</v>
      </c>
      <c r="C1406" s="16" t="s">
        <v>5304</v>
      </c>
      <c r="D1406" s="16" t="n">
        <v>8</v>
      </c>
      <c r="E1406" s="39" t="s">
        <v>2060</v>
      </c>
      <c r="F1406" s="16" t="s">
        <v>1285</v>
      </c>
      <c r="G1406" s="16" t="s">
        <v>322</v>
      </c>
      <c r="H1406" s="16" t="s">
        <v>5039</v>
      </c>
      <c r="I1406" s="16" t="s">
        <v>109</v>
      </c>
      <c r="J1406" s="16" t="s">
        <v>2057</v>
      </c>
      <c r="K1406" s="32" t="n">
        <v>1</v>
      </c>
      <c r="L1406" s="33" t="n">
        <v>46411</v>
      </c>
      <c r="M1406" s="33" t="n">
        <v>46411</v>
      </c>
      <c r="N1406" s="16" t="s">
        <v>5305</v>
      </c>
      <c r="O1406" s="16"/>
      <c r="P1406" s="16" t="str">
        <f aca="false">IF(AND(L1406&lt;=$D$2,M1406&gt;=$C$2),"Sí","")</f>
        <v/>
      </c>
      <c r="Q1406" s="18" t="str">
        <f aca="false">IF(COUNTIF(LOOKAHEAD!$A$5:$A$604,A1406)&gt;0,"En Lookahead",IF(P1406="Sí","INCORPORAR",""))</f>
        <v/>
      </c>
    </row>
    <row r="1407" customFormat="false" ht="15" hidden="false" customHeight="false" outlineLevel="0" collapsed="false">
      <c r="A1407" s="16" t="s">
        <v>5306</v>
      </c>
      <c r="B1407" s="16" t="n">
        <v>1402</v>
      </c>
      <c r="C1407" s="16" t="s">
        <v>5307</v>
      </c>
      <c r="D1407" s="16" t="n">
        <v>8</v>
      </c>
      <c r="E1407" s="39" t="s">
        <v>2064</v>
      </c>
      <c r="F1407" s="16" t="s">
        <v>1285</v>
      </c>
      <c r="G1407" s="16" t="s">
        <v>322</v>
      </c>
      <c r="H1407" s="16" t="s">
        <v>5039</v>
      </c>
      <c r="I1407" s="16" t="s">
        <v>109</v>
      </c>
      <c r="J1407" s="16" t="s">
        <v>2057</v>
      </c>
      <c r="K1407" s="32" t="n">
        <v>1</v>
      </c>
      <c r="L1407" s="33" t="n">
        <v>46410</v>
      </c>
      <c r="M1407" s="33" t="n">
        <v>46410</v>
      </c>
      <c r="N1407" s="16" t="s">
        <v>5308</v>
      </c>
      <c r="O1407" s="16"/>
      <c r="P1407" s="16" t="str">
        <f aca="false">IF(AND(L1407&lt;=$D$2,M1407&gt;=$C$2),"Sí","")</f>
        <v/>
      </c>
      <c r="Q1407" s="18" t="str">
        <f aca="false">IF(COUNTIF(LOOKAHEAD!$A$5:$A$604,A1407)&gt;0,"En Lookahead",IF(P1407="Sí","INCORPORAR",""))</f>
        <v/>
      </c>
    </row>
    <row r="1408" customFormat="false" ht="15" hidden="false" customHeight="false" outlineLevel="0" collapsed="false">
      <c r="A1408" s="16" t="s">
        <v>5309</v>
      </c>
      <c r="B1408" s="16" t="n">
        <v>1403</v>
      </c>
      <c r="C1408" s="16" t="s">
        <v>5310</v>
      </c>
      <c r="D1408" s="16" t="n">
        <v>8</v>
      </c>
      <c r="E1408" s="39" t="s">
        <v>1800</v>
      </c>
      <c r="F1408" s="16" t="s">
        <v>1285</v>
      </c>
      <c r="G1408" s="16" t="s">
        <v>322</v>
      </c>
      <c r="H1408" s="16" t="s">
        <v>5039</v>
      </c>
      <c r="I1408" s="16" t="s">
        <v>109</v>
      </c>
      <c r="J1408" s="16" t="s">
        <v>2057</v>
      </c>
      <c r="K1408" s="32" t="n">
        <v>1</v>
      </c>
      <c r="L1408" s="33" t="n">
        <v>46409</v>
      </c>
      <c r="M1408" s="33" t="n">
        <v>46409</v>
      </c>
      <c r="N1408" s="16" t="s">
        <v>5272</v>
      </c>
      <c r="O1408" s="16"/>
      <c r="P1408" s="16" t="str">
        <f aca="false">IF(AND(L1408&lt;=$D$2,M1408&gt;=$C$2),"Sí","")</f>
        <v/>
      </c>
      <c r="Q1408" s="18" t="str">
        <f aca="false">IF(COUNTIF(LOOKAHEAD!$A$5:$A$604,A1408)&gt;0,"En Lookahead",IF(P1408="Sí","INCORPORAR",""))</f>
        <v/>
      </c>
    </row>
    <row r="1409" customFormat="false" ht="15" hidden="false" customHeight="false" outlineLevel="0" collapsed="false">
      <c r="A1409" s="16" t="s">
        <v>5311</v>
      </c>
      <c r="B1409" s="16" t="n">
        <v>1404</v>
      </c>
      <c r="C1409" s="16" t="s">
        <v>5312</v>
      </c>
      <c r="D1409" s="16" t="n">
        <v>8</v>
      </c>
      <c r="E1409" s="39" t="s">
        <v>1602</v>
      </c>
      <c r="F1409" s="16" t="s">
        <v>1285</v>
      </c>
      <c r="G1409" s="16" t="s">
        <v>322</v>
      </c>
      <c r="H1409" s="16" t="s">
        <v>5039</v>
      </c>
      <c r="I1409" s="16" t="s">
        <v>109</v>
      </c>
      <c r="J1409" s="16" t="s">
        <v>2057</v>
      </c>
      <c r="K1409" s="32" t="n">
        <v>1</v>
      </c>
      <c r="L1409" s="33" t="n">
        <v>46412</v>
      </c>
      <c r="M1409" s="33" t="n">
        <v>46412</v>
      </c>
      <c r="N1409" s="16" t="s">
        <v>5313</v>
      </c>
      <c r="O1409" s="16"/>
      <c r="P1409" s="16" t="str">
        <f aca="false">IF(AND(L1409&lt;=$D$2,M1409&gt;=$C$2),"Sí","")</f>
        <v/>
      </c>
      <c r="Q1409" s="18" t="str">
        <f aca="false">IF(COUNTIF(LOOKAHEAD!$A$5:$A$604,A1409)&gt;0,"En Lookahead",IF(P1409="Sí","INCORPORAR",""))</f>
        <v/>
      </c>
    </row>
    <row r="1410" customFormat="false" ht="15" hidden="false" customHeight="false" outlineLevel="0" collapsed="false">
      <c r="A1410" s="13" t="s">
        <v>5314</v>
      </c>
      <c r="B1410" s="13" t="n">
        <v>1405</v>
      </c>
      <c r="C1410" s="13" t="s">
        <v>5315</v>
      </c>
      <c r="D1410" s="13" t="n">
        <v>7</v>
      </c>
      <c r="E1410" s="38" t="s">
        <v>2073</v>
      </c>
      <c r="F1410" s="13" t="s">
        <v>1298</v>
      </c>
      <c r="G1410" s="13" t="s">
        <v>322</v>
      </c>
      <c r="H1410" s="13" t="s">
        <v>5039</v>
      </c>
      <c r="I1410" s="13" t="s">
        <v>109</v>
      </c>
      <c r="J1410" s="13" t="s">
        <v>2054</v>
      </c>
      <c r="K1410" s="30" t="n">
        <v>5</v>
      </c>
      <c r="L1410" s="31" t="n">
        <v>46409</v>
      </c>
      <c r="M1410" s="31" t="n">
        <v>46413</v>
      </c>
      <c r="N1410" s="13"/>
      <c r="O1410" s="13"/>
      <c r="P1410" s="13"/>
      <c r="Q1410" s="13"/>
    </row>
    <row r="1411" customFormat="false" ht="15" hidden="false" customHeight="false" outlineLevel="0" collapsed="false">
      <c r="A1411" s="16" t="s">
        <v>5316</v>
      </c>
      <c r="B1411" s="16" t="n">
        <v>1406</v>
      </c>
      <c r="C1411" s="16" t="s">
        <v>5317</v>
      </c>
      <c r="D1411" s="16" t="n">
        <v>8</v>
      </c>
      <c r="E1411" s="39" t="s">
        <v>2076</v>
      </c>
      <c r="F1411" s="16" t="s">
        <v>1285</v>
      </c>
      <c r="G1411" s="16" t="s">
        <v>322</v>
      </c>
      <c r="H1411" s="16" t="s">
        <v>5039</v>
      </c>
      <c r="I1411" s="16" t="s">
        <v>109</v>
      </c>
      <c r="J1411" s="16" t="s">
        <v>2073</v>
      </c>
      <c r="K1411" s="32" t="n">
        <v>1</v>
      </c>
      <c r="L1411" s="33" t="n">
        <v>46412</v>
      </c>
      <c r="M1411" s="33" t="n">
        <v>46412</v>
      </c>
      <c r="N1411" s="16" t="s">
        <v>5318</v>
      </c>
      <c r="O1411" s="16"/>
      <c r="P1411" s="16" t="str">
        <f aca="false">IF(AND(L1411&lt;=$D$2,M1411&gt;=$C$2),"Sí","")</f>
        <v/>
      </c>
      <c r="Q1411" s="18" t="str">
        <f aca="false">IF(COUNTIF(LOOKAHEAD!$A$5:$A$604,A1411)&gt;0,"En Lookahead",IF(P1411="Sí","INCORPORAR",""))</f>
        <v/>
      </c>
    </row>
    <row r="1412" customFormat="false" ht="15" hidden="false" customHeight="false" outlineLevel="0" collapsed="false">
      <c r="A1412" s="16" t="s">
        <v>5319</v>
      </c>
      <c r="B1412" s="16" t="n">
        <v>1407</v>
      </c>
      <c r="C1412" s="16" t="s">
        <v>5320</v>
      </c>
      <c r="D1412" s="16" t="n">
        <v>8</v>
      </c>
      <c r="E1412" s="39" t="s">
        <v>2080</v>
      </c>
      <c r="F1412" s="16" t="s">
        <v>1285</v>
      </c>
      <c r="G1412" s="16" t="s">
        <v>322</v>
      </c>
      <c r="H1412" s="16" t="s">
        <v>5039</v>
      </c>
      <c r="I1412" s="16" t="s">
        <v>109</v>
      </c>
      <c r="J1412" s="16" t="s">
        <v>2073</v>
      </c>
      <c r="K1412" s="32" t="n">
        <v>2</v>
      </c>
      <c r="L1412" s="33" t="n">
        <v>46410</v>
      </c>
      <c r="M1412" s="33" t="n">
        <v>46411</v>
      </c>
      <c r="N1412" s="16" t="s">
        <v>5321</v>
      </c>
      <c r="O1412" s="16"/>
      <c r="P1412" s="16" t="str">
        <f aca="false">IF(AND(L1412&lt;=$D$2,M1412&gt;=$C$2),"Sí","")</f>
        <v/>
      </c>
      <c r="Q1412" s="18" t="str">
        <f aca="false">IF(COUNTIF(LOOKAHEAD!$A$5:$A$604,A1412)&gt;0,"En Lookahead",IF(P1412="Sí","INCORPORAR",""))</f>
        <v/>
      </c>
    </row>
    <row r="1413" customFormat="false" ht="15" hidden="false" customHeight="false" outlineLevel="0" collapsed="false">
      <c r="A1413" s="16" t="s">
        <v>5322</v>
      </c>
      <c r="B1413" s="16" t="n">
        <v>1408</v>
      </c>
      <c r="C1413" s="16" t="s">
        <v>5323</v>
      </c>
      <c r="D1413" s="16" t="n">
        <v>8</v>
      </c>
      <c r="E1413" s="39" t="s">
        <v>1800</v>
      </c>
      <c r="F1413" s="16" t="s">
        <v>1285</v>
      </c>
      <c r="G1413" s="16" t="s">
        <v>322</v>
      </c>
      <c r="H1413" s="16" t="s">
        <v>5039</v>
      </c>
      <c r="I1413" s="16" t="s">
        <v>109</v>
      </c>
      <c r="J1413" s="16" t="s">
        <v>2073</v>
      </c>
      <c r="K1413" s="32" t="n">
        <v>1</v>
      </c>
      <c r="L1413" s="33" t="n">
        <v>46409</v>
      </c>
      <c r="M1413" s="33" t="n">
        <v>46409</v>
      </c>
      <c r="N1413" s="16" t="s">
        <v>5285</v>
      </c>
      <c r="O1413" s="16"/>
      <c r="P1413" s="16" t="str">
        <f aca="false">IF(AND(L1413&lt;=$D$2,M1413&gt;=$C$2),"Sí","")</f>
        <v/>
      </c>
      <c r="Q1413" s="18" t="str">
        <f aca="false">IF(COUNTIF(LOOKAHEAD!$A$5:$A$604,A1413)&gt;0,"En Lookahead",IF(P1413="Sí","INCORPORAR",""))</f>
        <v/>
      </c>
    </row>
    <row r="1414" customFormat="false" ht="15" hidden="false" customHeight="false" outlineLevel="0" collapsed="false">
      <c r="A1414" s="16" t="s">
        <v>5324</v>
      </c>
      <c r="B1414" s="16" t="n">
        <v>1409</v>
      </c>
      <c r="C1414" s="16" t="s">
        <v>5325</v>
      </c>
      <c r="D1414" s="16" t="n">
        <v>8</v>
      </c>
      <c r="E1414" s="39" t="s">
        <v>1602</v>
      </c>
      <c r="F1414" s="16" t="s">
        <v>1285</v>
      </c>
      <c r="G1414" s="16" t="s">
        <v>322</v>
      </c>
      <c r="H1414" s="16" t="s">
        <v>5039</v>
      </c>
      <c r="I1414" s="16" t="s">
        <v>109</v>
      </c>
      <c r="J1414" s="16" t="s">
        <v>2073</v>
      </c>
      <c r="K1414" s="32" t="n">
        <v>1</v>
      </c>
      <c r="L1414" s="33" t="n">
        <v>46413</v>
      </c>
      <c r="M1414" s="33" t="n">
        <v>46413</v>
      </c>
      <c r="N1414" s="16" t="s">
        <v>5326</v>
      </c>
      <c r="O1414" s="16"/>
      <c r="P1414" s="16" t="str">
        <f aca="false">IF(AND(L1414&lt;=$D$2,M1414&gt;=$C$2),"Sí","")</f>
        <v/>
      </c>
      <c r="Q1414" s="18" t="str">
        <f aca="false">IF(COUNTIF(LOOKAHEAD!$A$5:$A$604,A1414)&gt;0,"En Lookahead",IF(P1414="Sí","INCORPORAR",""))</f>
        <v/>
      </c>
    </row>
    <row r="1415" customFormat="false" ht="15" hidden="false" customHeight="false" outlineLevel="0" collapsed="false">
      <c r="A1415" s="13" t="s">
        <v>5327</v>
      </c>
      <c r="B1415" s="13" t="n">
        <v>1410</v>
      </c>
      <c r="C1415" s="13" t="s">
        <v>5328</v>
      </c>
      <c r="D1415" s="13" t="n">
        <v>7</v>
      </c>
      <c r="E1415" s="38" t="s">
        <v>2054</v>
      </c>
      <c r="F1415" s="13" t="s">
        <v>1298</v>
      </c>
      <c r="G1415" s="13" t="s">
        <v>322</v>
      </c>
      <c r="H1415" s="13" t="s">
        <v>5039</v>
      </c>
      <c r="I1415" s="13" t="s">
        <v>109</v>
      </c>
      <c r="J1415" s="13" t="s">
        <v>2054</v>
      </c>
      <c r="K1415" s="30" t="n">
        <v>5</v>
      </c>
      <c r="L1415" s="31" t="n">
        <v>46409</v>
      </c>
      <c r="M1415" s="31" t="n">
        <v>46413</v>
      </c>
      <c r="N1415" s="13"/>
      <c r="O1415" s="13"/>
      <c r="P1415" s="13"/>
      <c r="Q1415" s="13"/>
    </row>
    <row r="1416" customFormat="false" ht="15" hidden="false" customHeight="false" outlineLevel="0" collapsed="false">
      <c r="A1416" s="16" t="s">
        <v>5329</v>
      </c>
      <c r="B1416" s="16" t="n">
        <v>1411</v>
      </c>
      <c r="C1416" s="16" t="s">
        <v>5330</v>
      </c>
      <c r="D1416" s="16" t="n">
        <v>8</v>
      </c>
      <c r="E1416" s="39" t="s">
        <v>2107</v>
      </c>
      <c r="F1416" s="16" t="s">
        <v>1285</v>
      </c>
      <c r="G1416" s="16" t="s">
        <v>322</v>
      </c>
      <c r="H1416" s="16" t="s">
        <v>5039</v>
      </c>
      <c r="I1416" s="16" t="s">
        <v>109</v>
      </c>
      <c r="J1416" s="16" t="s">
        <v>2054</v>
      </c>
      <c r="K1416" s="32" t="n">
        <v>1</v>
      </c>
      <c r="L1416" s="33" t="n">
        <v>46412</v>
      </c>
      <c r="M1416" s="33" t="n">
        <v>46412</v>
      </c>
      <c r="N1416" s="16" t="s">
        <v>5331</v>
      </c>
      <c r="O1416" s="16"/>
      <c r="P1416" s="16" t="str">
        <f aca="false">IF(AND(L1416&lt;=$D$2,M1416&gt;=$C$2),"Sí","")</f>
        <v/>
      </c>
      <c r="Q1416" s="18" t="str">
        <f aca="false">IF(COUNTIF(LOOKAHEAD!$A$5:$A$604,A1416)&gt;0,"En Lookahead",IF(P1416="Sí","INCORPORAR",""))</f>
        <v/>
      </c>
    </row>
    <row r="1417" customFormat="false" ht="15" hidden="false" customHeight="false" outlineLevel="0" collapsed="false">
      <c r="A1417" s="16" t="s">
        <v>5332</v>
      </c>
      <c r="B1417" s="16" t="n">
        <v>1412</v>
      </c>
      <c r="C1417" s="16" t="s">
        <v>5333</v>
      </c>
      <c r="D1417" s="16" t="n">
        <v>8</v>
      </c>
      <c r="E1417" s="39" t="s">
        <v>2096</v>
      </c>
      <c r="F1417" s="16" t="s">
        <v>1285</v>
      </c>
      <c r="G1417" s="16" t="s">
        <v>322</v>
      </c>
      <c r="H1417" s="16" t="s">
        <v>5039</v>
      </c>
      <c r="I1417" s="16" t="s">
        <v>109</v>
      </c>
      <c r="J1417" s="16" t="s">
        <v>2054</v>
      </c>
      <c r="K1417" s="32" t="n">
        <v>2</v>
      </c>
      <c r="L1417" s="33" t="n">
        <v>46410</v>
      </c>
      <c r="M1417" s="33" t="n">
        <v>46411</v>
      </c>
      <c r="N1417" s="16" t="s">
        <v>5334</v>
      </c>
      <c r="O1417" s="16"/>
      <c r="P1417" s="16" t="str">
        <f aca="false">IF(AND(L1417&lt;=$D$2,M1417&gt;=$C$2),"Sí","")</f>
        <v/>
      </c>
      <c r="Q1417" s="18" t="str">
        <f aca="false">IF(COUNTIF(LOOKAHEAD!$A$5:$A$604,A1417)&gt;0,"En Lookahead",IF(P1417="Sí","INCORPORAR",""))</f>
        <v/>
      </c>
    </row>
    <row r="1418" customFormat="false" ht="15" hidden="false" customHeight="false" outlineLevel="0" collapsed="false">
      <c r="A1418" s="16" t="s">
        <v>5335</v>
      </c>
      <c r="B1418" s="16" t="n">
        <v>1413</v>
      </c>
      <c r="C1418" s="16" t="s">
        <v>5336</v>
      </c>
      <c r="D1418" s="16" t="n">
        <v>8</v>
      </c>
      <c r="E1418" s="39" t="s">
        <v>1800</v>
      </c>
      <c r="F1418" s="16" t="s">
        <v>1285</v>
      </c>
      <c r="G1418" s="16" t="s">
        <v>322</v>
      </c>
      <c r="H1418" s="16" t="s">
        <v>5039</v>
      </c>
      <c r="I1418" s="16" t="s">
        <v>109</v>
      </c>
      <c r="J1418" s="16" t="s">
        <v>2054</v>
      </c>
      <c r="K1418" s="32" t="n">
        <v>1</v>
      </c>
      <c r="L1418" s="33" t="n">
        <v>46409</v>
      </c>
      <c r="M1418" s="33" t="n">
        <v>46409</v>
      </c>
      <c r="N1418" s="16" t="s">
        <v>5298</v>
      </c>
      <c r="O1418" s="16"/>
      <c r="P1418" s="16" t="str">
        <f aca="false">IF(AND(L1418&lt;=$D$2,M1418&gt;=$C$2),"Sí","")</f>
        <v/>
      </c>
      <c r="Q1418" s="18" t="str">
        <f aca="false">IF(COUNTIF(LOOKAHEAD!$A$5:$A$604,A1418)&gt;0,"En Lookahead",IF(P1418="Sí","INCORPORAR",""))</f>
        <v/>
      </c>
    </row>
    <row r="1419" customFormat="false" ht="15" hidden="false" customHeight="false" outlineLevel="0" collapsed="false">
      <c r="A1419" s="16" t="s">
        <v>5337</v>
      </c>
      <c r="B1419" s="16" t="n">
        <v>1414</v>
      </c>
      <c r="C1419" s="16" t="s">
        <v>5338</v>
      </c>
      <c r="D1419" s="16" t="n">
        <v>8</v>
      </c>
      <c r="E1419" s="39" t="s">
        <v>1602</v>
      </c>
      <c r="F1419" s="16" t="s">
        <v>1285</v>
      </c>
      <c r="G1419" s="16" t="s">
        <v>322</v>
      </c>
      <c r="H1419" s="16" t="s">
        <v>5039</v>
      </c>
      <c r="I1419" s="16" t="s">
        <v>109</v>
      </c>
      <c r="J1419" s="16" t="s">
        <v>2054</v>
      </c>
      <c r="K1419" s="32" t="n">
        <v>1</v>
      </c>
      <c r="L1419" s="33" t="n">
        <v>46413</v>
      </c>
      <c r="M1419" s="33" t="n">
        <v>46413</v>
      </c>
      <c r="N1419" s="16" t="s">
        <v>5339</v>
      </c>
      <c r="O1419" s="16"/>
      <c r="P1419" s="16" t="str">
        <f aca="false">IF(AND(L1419&lt;=$D$2,M1419&gt;=$C$2),"Sí","")</f>
        <v/>
      </c>
      <c r="Q1419" s="18" t="str">
        <f aca="false">IF(COUNTIF(LOOKAHEAD!$A$5:$A$604,A1419)&gt;0,"En Lookahead",IF(P1419="Sí","INCORPORAR",""))</f>
        <v/>
      </c>
    </row>
    <row r="1420" customFormat="false" ht="15" hidden="false" customHeight="false" outlineLevel="0" collapsed="false">
      <c r="A1420" s="13" t="s">
        <v>5340</v>
      </c>
      <c r="B1420" s="13" t="n">
        <v>1415</v>
      </c>
      <c r="C1420" s="13" t="s">
        <v>5341</v>
      </c>
      <c r="D1420" s="13" t="n">
        <v>5</v>
      </c>
      <c r="E1420" s="34" t="s">
        <v>2137</v>
      </c>
      <c r="F1420" s="13" t="s">
        <v>1298</v>
      </c>
      <c r="G1420" s="13" t="s">
        <v>322</v>
      </c>
      <c r="H1420" s="13" t="s">
        <v>5039</v>
      </c>
      <c r="I1420" s="13" t="s">
        <v>109</v>
      </c>
      <c r="J1420" s="13" t="s">
        <v>5039</v>
      </c>
      <c r="K1420" s="30" t="n">
        <v>2</v>
      </c>
      <c r="L1420" s="31" t="n">
        <v>46440</v>
      </c>
      <c r="M1420" s="31" t="n">
        <v>46441</v>
      </c>
      <c r="N1420" s="13"/>
      <c r="O1420" s="13"/>
      <c r="P1420" s="13"/>
      <c r="Q1420" s="13"/>
    </row>
    <row r="1421" customFormat="false" ht="15" hidden="false" customHeight="false" outlineLevel="0" collapsed="false">
      <c r="A1421" s="16" t="s">
        <v>5342</v>
      </c>
      <c r="B1421" s="16" t="n">
        <v>1416</v>
      </c>
      <c r="C1421" s="16" t="s">
        <v>5343</v>
      </c>
      <c r="D1421" s="16" t="n">
        <v>6</v>
      </c>
      <c r="E1421" s="35" t="s">
        <v>2140</v>
      </c>
      <c r="F1421" s="16" t="s">
        <v>1285</v>
      </c>
      <c r="G1421" s="16" t="s">
        <v>322</v>
      </c>
      <c r="H1421" s="16" t="s">
        <v>5039</v>
      </c>
      <c r="I1421" s="16" t="s">
        <v>109</v>
      </c>
      <c r="J1421" s="16" t="s">
        <v>2137</v>
      </c>
      <c r="K1421" s="32" t="n">
        <v>1</v>
      </c>
      <c r="L1421" s="33" t="n">
        <v>46440</v>
      </c>
      <c r="M1421" s="33" t="n">
        <v>46440</v>
      </c>
      <c r="N1421" s="16" t="s">
        <v>5344</v>
      </c>
      <c r="O1421" s="16"/>
      <c r="P1421" s="16" t="str">
        <f aca="false">IF(AND(L1421&lt;=$D$2,M1421&gt;=$C$2),"Sí","")</f>
        <v/>
      </c>
      <c r="Q1421" s="18" t="str">
        <f aca="false">IF(COUNTIF(LOOKAHEAD!$A$5:$A$604,A1421)&gt;0,"En Lookahead",IF(P1421="Sí","INCORPORAR",""))</f>
        <v/>
      </c>
    </row>
    <row r="1422" customFormat="false" ht="15" hidden="false" customHeight="false" outlineLevel="0" collapsed="false">
      <c r="A1422" s="16" t="s">
        <v>5345</v>
      </c>
      <c r="B1422" s="16" t="n">
        <v>1417</v>
      </c>
      <c r="C1422" s="16" t="s">
        <v>5346</v>
      </c>
      <c r="D1422" s="16" t="n">
        <v>6</v>
      </c>
      <c r="E1422" s="35" t="s">
        <v>2144</v>
      </c>
      <c r="F1422" s="16" t="s">
        <v>1285</v>
      </c>
      <c r="G1422" s="16" t="s">
        <v>322</v>
      </c>
      <c r="H1422" s="16" t="s">
        <v>5039</v>
      </c>
      <c r="I1422" s="16" t="s">
        <v>109</v>
      </c>
      <c r="J1422" s="16" t="s">
        <v>2137</v>
      </c>
      <c r="K1422" s="32" t="n">
        <v>1</v>
      </c>
      <c r="L1422" s="33" t="n">
        <v>46441</v>
      </c>
      <c r="M1422" s="33" t="n">
        <v>46441</v>
      </c>
      <c r="N1422" s="16" t="s">
        <v>5347</v>
      </c>
      <c r="O1422" s="16"/>
      <c r="P1422" s="16" t="str">
        <f aca="false">IF(AND(L1422&lt;=$D$2,M1422&gt;=$C$2),"Sí","")</f>
        <v/>
      </c>
      <c r="Q1422" s="18" t="str">
        <f aca="false">IF(COUNTIF(LOOKAHEAD!$A$5:$A$604,A1422)&gt;0,"En Lookahead",IF(P1422="Sí","INCORPORAR",""))</f>
        <v/>
      </c>
    </row>
    <row r="1423" customFormat="false" ht="15" hidden="false" customHeight="false" outlineLevel="0" collapsed="false">
      <c r="A1423" s="13" t="s">
        <v>5348</v>
      </c>
      <c r="B1423" s="13" t="n">
        <v>1418</v>
      </c>
      <c r="C1423" s="13" t="s">
        <v>5349</v>
      </c>
      <c r="D1423" s="13" t="n">
        <v>4</v>
      </c>
      <c r="E1423" s="20" t="s">
        <v>5350</v>
      </c>
      <c r="F1423" s="13" t="s">
        <v>1298</v>
      </c>
      <c r="G1423" s="13" t="s">
        <v>322</v>
      </c>
      <c r="H1423" s="13" t="s">
        <v>5350</v>
      </c>
      <c r="I1423" s="13" t="s">
        <v>114</v>
      </c>
      <c r="J1423" s="13" t="s">
        <v>1528</v>
      </c>
      <c r="K1423" s="30" t="n">
        <v>96</v>
      </c>
      <c r="L1423" s="31" t="n">
        <v>46146</v>
      </c>
      <c r="M1423" s="31" t="n">
        <v>46321</v>
      </c>
      <c r="N1423" s="13"/>
      <c r="O1423" s="13"/>
      <c r="P1423" s="13"/>
      <c r="Q1423" s="13"/>
    </row>
    <row r="1424" customFormat="false" ht="15" hidden="false" customHeight="false" outlineLevel="0" collapsed="false">
      <c r="A1424" s="13" t="s">
        <v>5351</v>
      </c>
      <c r="B1424" s="13" t="n">
        <v>1419</v>
      </c>
      <c r="C1424" s="13" t="s">
        <v>5352</v>
      </c>
      <c r="D1424" s="13" t="n">
        <v>5</v>
      </c>
      <c r="E1424" s="34" t="s">
        <v>1534</v>
      </c>
      <c r="F1424" s="13" t="s">
        <v>1298</v>
      </c>
      <c r="G1424" s="13" t="s">
        <v>322</v>
      </c>
      <c r="H1424" s="13" t="s">
        <v>5350</v>
      </c>
      <c r="I1424" s="13" t="s">
        <v>114</v>
      </c>
      <c r="J1424" s="13" t="s">
        <v>5350</v>
      </c>
      <c r="K1424" s="30" t="n">
        <v>45</v>
      </c>
      <c r="L1424" s="31" t="n">
        <v>46146</v>
      </c>
      <c r="M1424" s="31" t="n">
        <v>46270</v>
      </c>
      <c r="N1424" s="13"/>
      <c r="O1424" s="13"/>
      <c r="P1424" s="13"/>
      <c r="Q1424" s="13"/>
    </row>
    <row r="1425" customFormat="false" ht="15" hidden="false" customHeight="false" outlineLevel="0" collapsed="false">
      <c r="A1425" s="16" t="s">
        <v>5353</v>
      </c>
      <c r="B1425" s="16" t="n">
        <v>1420</v>
      </c>
      <c r="C1425" s="16" t="s">
        <v>5354</v>
      </c>
      <c r="D1425" s="16" t="n">
        <v>6</v>
      </c>
      <c r="E1425" s="35" t="s">
        <v>1545</v>
      </c>
      <c r="F1425" s="16" t="s">
        <v>1285</v>
      </c>
      <c r="G1425" s="16" t="s">
        <v>322</v>
      </c>
      <c r="H1425" s="16" t="s">
        <v>5350</v>
      </c>
      <c r="I1425" s="16" t="s">
        <v>114</v>
      </c>
      <c r="J1425" s="16" t="s">
        <v>1534</v>
      </c>
      <c r="K1425" s="32" t="n">
        <v>10</v>
      </c>
      <c r="L1425" s="33" t="n">
        <v>46146</v>
      </c>
      <c r="M1425" s="33" t="n">
        <v>46155</v>
      </c>
      <c r="N1425" s="16" t="s">
        <v>5047</v>
      </c>
      <c r="O1425" s="16"/>
      <c r="P1425" s="16" t="str">
        <f aca="false">IF(AND(L1425&lt;=$D$2,M1425&gt;=$C$2),"Sí","")</f>
        <v/>
      </c>
      <c r="Q1425" s="18" t="str">
        <f aca="false">IF(COUNTIF(LOOKAHEAD!$A$5:$A$604,A1425)&gt;0,"En Lookahead",IF(P1425="Sí","INCORPORAR",""))</f>
        <v/>
      </c>
    </row>
    <row r="1426" customFormat="false" ht="15" hidden="false" customHeight="false" outlineLevel="0" collapsed="false">
      <c r="A1426" s="16" t="s">
        <v>5355</v>
      </c>
      <c r="B1426" s="16" t="n">
        <v>1421</v>
      </c>
      <c r="C1426" s="16" t="s">
        <v>5356</v>
      </c>
      <c r="D1426" s="16" t="n">
        <v>6</v>
      </c>
      <c r="E1426" s="35" t="s">
        <v>1549</v>
      </c>
      <c r="F1426" s="16" t="s">
        <v>1285</v>
      </c>
      <c r="G1426" s="16" t="s">
        <v>322</v>
      </c>
      <c r="H1426" s="16" t="s">
        <v>5350</v>
      </c>
      <c r="I1426" s="16" t="s">
        <v>114</v>
      </c>
      <c r="J1426" s="16" t="s">
        <v>1534</v>
      </c>
      <c r="K1426" s="32" t="n">
        <v>1</v>
      </c>
      <c r="L1426" s="33" t="n">
        <v>46156</v>
      </c>
      <c r="M1426" s="33" t="n">
        <v>46156</v>
      </c>
      <c r="N1426" s="16" t="s">
        <v>5357</v>
      </c>
      <c r="O1426" s="16"/>
      <c r="P1426" s="16" t="str">
        <f aca="false">IF(AND(L1426&lt;=$D$2,M1426&gt;=$C$2),"Sí","")</f>
        <v/>
      </c>
      <c r="Q1426" s="18" t="str">
        <f aca="false">IF(COUNTIF(LOOKAHEAD!$A$5:$A$604,A1426)&gt;0,"En Lookahead",IF(P1426="Sí","INCORPORAR",""))</f>
        <v/>
      </c>
    </row>
    <row r="1427" customFormat="false" ht="15" hidden="false" customHeight="false" outlineLevel="0" collapsed="false">
      <c r="A1427" s="16" t="s">
        <v>5358</v>
      </c>
      <c r="B1427" s="16" t="n">
        <v>1422</v>
      </c>
      <c r="C1427" s="16" t="s">
        <v>5359</v>
      </c>
      <c r="D1427" s="16" t="n">
        <v>6</v>
      </c>
      <c r="E1427" s="35" t="s">
        <v>1553</v>
      </c>
      <c r="F1427" s="16" t="s">
        <v>1285</v>
      </c>
      <c r="G1427" s="16" t="s">
        <v>322</v>
      </c>
      <c r="H1427" s="16" t="s">
        <v>5350</v>
      </c>
      <c r="I1427" s="16" t="s">
        <v>114</v>
      </c>
      <c r="J1427" s="16" t="s">
        <v>1534</v>
      </c>
      <c r="K1427" s="32" t="n">
        <v>2</v>
      </c>
      <c r="L1427" s="33" t="n">
        <v>46267</v>
      </c>
      <c r="M1427" s="33" t="n">
        <v>46268</v>
      </c>
      <c r="N1427" s="16" t="s">
        <v>5360</v>
      </c>
      <c r="O1427" s="16"/>
      <c r="P1427" s="16" t="str">
        <f aca="false">IF(AND(L1427&lt;=$D$2,M1427&gt;=$C$2),"Sí","")</f>
        <v/>
      </c>
      <c r="Q1427" s="18" t="str">
        <f aca="false">IF(COUNTIF(LOOKAHEAD!$A$5:$A$604,A1427)&gt;0,"En Lookahead",IF(P1427="Sí","INCORPORAR",""))</f>
        <v/>
      </c>
    </row>
    <row r="1428" customFormat="false" ht="15" hidden="false" customHeight="false" outlineLevel="0" collapsed="false">
      <c r="A1428" s="16" t="s">
        <v>5361</v>
      </c>
      <c r="B1428" s="16" t="n">
        <v>1423</v>
      </c>
      <c r="C1428" s="16" t="s">
        <v>5362</v>
      </c>
      <c r="D1428" s="16" t="n">
        <v>6</v>
      </c>
      <c r="E1428" s="35" t="s">
        <v>1557</v>
      </c>
      <c r="F1428" s="16" t="s">
        <v>1285</v>
      </c>
      <c r="G1428" s="16" t="s">
        <v>322</v>
      </c>
      <c r="H1428" s="16" t="s">
        <v>5350</v>
      </c>
      <c r="I1428" s="16" t="s">
        <v>114</v>
      </c>
      <c r="J1428" s="16" t="s">
        <v>1534</v>
      </c>
      <c r="K1428" s="32" t="n">
        <v>7</v>
      </c>
      <c r="L1428" s="33" t="n">
        <v>46156</v>
      </c>
      <c r="M1428" s="33" t="n">
        <v>46242</v>
      </c>
      <c r="N1428" s="16" t="s">
        <v>5357</v>
      </c>
      <c r="O1428" s="16"/>
      <c r="P1428" s="16" t="str">
        <f aca="false">IF(AND(L1428&lt;=$D$2,M1428&gt;=$C$2),"Sí","")</f>
        <v/>
      </c>
      <c r="Q1428" s="18" t="str">
        <f aca="false">IF(COUNTIF(LOOKAHEAD!$A$5:$A$604,A1428)&gt;0,"En Lookahead",IF(P1428="Sí","INCORPORAR",""))</f>
        <v/>
      </c>
    </row>
    <row r="1429" customFormat="false" ht="15" hidden="false" customHeight="false" outlineLevel="0" collapsed="false">
      <c r="A1429" s="16" t="s">
        <v>5363</v>
      </c>
      <c r="B1429" s="16" t="n">
        <v>1424</v>
      </c>
      <c r="C1429" s="16" t="s">
        <v>5364</v>
      </c>
      <c r="D1429" s="16" t="n">
        <v>6</v>
      </c>
      <c r="E1429" s="35" t="s">
        <v>1560</v>
      </c>
      <c r="F1429" s="16" t="s">
        <v>1285</v>
      </c>
      <c r="G1429" s="16" t="s">
        <v>322</v>
      </c>
      <c r="H1429" s="16" t="s">
        <v>5350</v>
      </c>
      <c r="I1429" s="16" t="s">
        <v>114</v>
      </c>
      <c r="J1429" s="16" t="s">
        <v>1534</v>
      </c>
      <c r="K1429" s="32" t="n">
        <v>1</v>
      </c>
      <c r="L1429" s="33" t="n">
        <v>46243</v>
      </c>
      <c r="M1429" s="33" t="n">
        <v>46243</v>
      </c>
      <c r="N1429" s="16" t="s">
        <v>5365</v>
      </c>
      <c r="O1429" s="16"/>
      <c r="P1429" s="16" t="str">
        <f aca="false">IF(AND(L1429&lt;=$D$2,M1429&gt;=$C$2),"Sí","")</f>
        <v/>
      </c>
      <c r="Q1429" s="18" t="str">
        <f aca="false">IF(COUNTIF(LOOKAHEAD!$A$5:$A$604,A1429)&gt;0,"En Lookahead",IF(P1429="Sí","INCORPORAR",""))</f>
        <v/>
      </c>
    </row>
    <row r="1430" customFormat="false" ht="15" hidden="false" customHeight="false" outlineLevel="0" collapsed="false">
      <c r="A1430" s="16" t="s">
        <v>5366</v>
      </c>
      <c r="B1430" s="16" t="n">
        <v>1425</v>
      </c>
      <c r="C1430" s="16" t="s">
        <v>5367</v>
      </c>
      <c r="D1430" s="16" t="n">
        <v>6</v>
      </c>
      <c r="E1430" s="35" t="s">
        <v>1564</v>
      </c>
      <c r="F1430" s="16" t="s">
        <v>1285</v>
      </c>
      <c r="G1430" s="16" t="s">
        <v>322</v>
      </c>
      <c r="H1430" s="16" t="s">
        <v>5350</v>
      </c>
      <c r="I1430" s="16" t="s">
        <v>114</v>
      </c>
      <c r="J1430" s="16" t="s">
        <v>1534</v>
      </c>
      <c r="K1430" s="32" t="n">
        <v>2</v>
      </c>
      <c r="L1430" s="33" t="n">
        <v>46156</v>
      </c>
      <c r="M1430" s="33" t="n">
        <v>46237</v>
      </c>
      <c r="N1430" s="16" t="s">
        <v>5357</v>
      </c>
      <c r="O1430" s="16"/>
      <c r="P1430" s="16" t="str">
        <f aca="false">IF(AND(L1430&lt;=$D$2,M1430&gt;=$C$2),"Sí","")</f>
        <v/>
      </c>
      <c r="Q1430" s="18" t="str">
        <f aca="false">IF(COUNTIF(LOOKAHEAD!$A$5:$A$604,A1430)&gt;0,"En Lookahead",IF(P1430="Sí","INCORPORAR",""))</f>
        <v/>
      </c>
    </row>
    <row r="1431" customFormat="false" ht="15" hidden="false" customHeight="false" outlineLevel="0" collapsed="false">
      <c r="A1431" s="16" t="s">
        <v>5368</v>
      </c>
      <c r="B1431" s="16" t="n">
        <v>1426</v>
      </c>
      <c r="C1431" s="16" t="s">
        <v>5369</v>
      </c>
      <c r="D1431" s="16" t="n">
        <v>6</v>
      </c>
      <c r="E1431" s="35" t="s">
        <v>1567</v>
      </c>
      <c r="F1431" s="16" t="s">
        <v>1285</v>
      </c>
      <c r="G1431" s="16" t="s">
        <v>322</v>
      </c>
      <c r="H1431" s="16" t="s">
        <v>5350</v>
      </c>
      <c r="I1431" s="16" t="s">
        <v>114</v>
      </c>
      <c r="J1431" s="16" t="s">
        <v>1534</v>
      </c>
      <c r="K1431" s="32" t="n">
        <v>2</v>
      </c>
      <c r="L1431" s="33" t="n">
        <v>46269</v>
      </c>
      <c r="M1431" s="33" t="n">
        <v>46270</v>
      </c>
      <c r="N1431" s="16" t="s">
        <v>5370</v>
      </c>
      <c r="O1431" s="16"/>
      <c r="P1431" s="16" t="str">
        <f aca="false">IF(AND(L1431&lt;=$D$2,M1431&gt;=$C$2),"Sí","")</f>
        <v/>
      </c>
      <c r="Q1431" s="18" t="str">
        <f aca="false">IF(COUNTIF(LOOKAHEAD!$A$5:$A$604,A1431)&gt;0,"En Lookahead",IF(P1431="Sí","INCORPORAR",""))</f>
        <v/>
      </c>
    </row>
    <row r="1432" customFormat="false" ht="15" hidden="false" customHeight="false" outlineLevel="0" collapsed="false">
      <c r="A1432" s="13" t="s">
        <v>5371</v>
      </c>
      <c r="B1432" s="13" t="n">
        <v>1427</v>
      </c>
      <c r="C1432" s="13" t="s">
        <v>5372</v>
      </c>
      <c r="D1432" s="13" t="n">
        <v>5</v>
      </c>
      <c r="E1432" s="34" t="s">
        <v>1571</v>
      </c>
      <c r="F1432" s="13" t="s">
        <v>1298</v>
      </c>
      <c r="G1432" s="13" t="s">
        <v>322</v>
      </c>
      <c r="H1432" s="13" t="s">
        <v>5350</v>
      </c>
      <c r="I1432" s="13" t="s">
        <v>114</v>
      </c>
      <c r="J1432" s="13" t="s">
        <v>5350</v>
      </c>
      <c r="K1432" s="30" t="n">
        <v>3</v>
      </c>
      <c r="L1432" s="31" t="n">
        <v>46237</v>
      </c>
      <c r="M1432" s="31" t="n">
        <v>46239</v>
      </c>
      <c r="N1432" s="13"/>
      <c r="O1432" s="13"/>
      <c r="P1432" s="13"/>
      <c r="Q1432" s="13"/>
    </row>
    <row r="1433" customFormat="false" ht="15" hidden="false" customHeight="false" outlineLevel="0" collapsed="false">
      <c r="A1433" s="16" t="s">
        <v>5373</v>
      </c>
      <c r="B1433" s="16" t="n">
        <v>1428</v>
      </c>
      <c r="C1433" s="16" t="s">
        <v>5374</v>
      </c>
      <c r="D1433" s="16" t="n">
        <v>6</v>
      </c>
      <c r="E1433" s="35" t="s">
        <v>1577</v>
      </c>
      <c r="F1433" s="16" t="s">
        <v>1285</v>
      </c>
      <c r="G1433" s="16" t="s">
        <v>322</v>
      </c>
      <c r="H1433" s="16" t="s">
        <v>5350</v>
      </c>
      <c r="I1433" s="16" t="s">
        <v>114</v>
      </c>
      <c r="J1433" s="16" t="s">
        <v>1571</v>
      </c>
      <c r="K1433" s="32" t="n">
        <v>1</v>
      </c>
      <c r="L1433" s="33" t="n">
        <v>46237</v>
      </c>
      <c r="M1433" s="33" t="n">
        <v>46237</v>
      </c>
      <c r="N1433" s="16" t="s">
        <v>5375</v>
      </c>
      <c r="O1433" s="16"/>
      <c r="P1433" s="16" t="str">
        <f aca="false">IF(AND(L1433&lt;=$D$2,M1433&gt;=$C$2),"Sí","")</f>
        <v/>
      </c>
      <c r="Q1433" s="18" t="str">
        <f aca="false">IF(COUNTIF(LOOKAHEAD!$A$5:$A$604,A1433)&gt;0,"En Lookahead",IF(P1433="Sí","INCORPORAR",""))</f>
        <v/>
      </c>
    </row>
    <row r="1434" customFormat="false" ht="15" hidden="false" customHeight="false" outlineLevel="0" collapsed="false">
      <c r="A1434" s="16" t="s">
        <v>5376</v>
      </c>
      <c r="B1434" s="16" t="n">
        <v>1429</v>
      </c>
      <c r="C1434" s="16" t="s">
        <v>5377</v>
      </c>
      <c r="D1434" s="16" t="n">
        <v>6</v>
      </c>
      <c r="E1434" s="35" t="s">
        <v>1602</v>
      </c>
      <c r="F1434" s="16" t="s">
        <v>1285</v>
      </c>
      <c r="G1434" s="16" t="s">
        <v>322</v>
      </c>
      <c r="H1434" s="16" t="s">
        <v>5350</v>
      </c>
      <c r="I1434" s="16" t="s">
        <v>114</v>
      </c>
      <c r="J1434" s="16" t="s">
        <v>1571</v>
      </c>
      <c r="K1434" s="32" t="n">
        <v>1</v>
      </c>
      <c r="L1434" s="33" t="n">
        <v>46239</v>
      </c>
      <c r="M1434" s="33" t="n">
        <v>46239</v>
      </c>
      <c r="N1434" s="16" t="s">
        <v>5378</v>
      </c>
      <c r="O1434" s="16"/>
      <c r="P1434" s="16" t="str">
        <f aca="false">IF(AND(L1434&lt;=$D$2,M1434&gt;=$C$2),"Sí","")</f>
        <v/>
      </c>
      <c r="Q1434" s="18" t="str">
        <f aca="false">IF(COUNTIF(LOOKAHEAD!$A$5:$A$604,A1434)&gt;0,"En Lookahead",IF(P1434="Sí","INCORPORAR",""))</f>
        <v/>
      </c>
    </row>
    <row r="1435" customFormat="false" ht="15" hidden="false" customHeight="false" outlineLevel="0" collapsed="false">
      <c r="A1435" s="16" t="s">
        <v>5379</v>
      </c>
      <c r="B1435" s="16" t="n">
        <v>1430</v>
      </c>
      <c r="C1435" s="16" t="s">
        <v>5380</v>
      </c>
      <c r="D1435" s="16" t="n">
        <v>6</v>
      </c>
      <c r="E1435" s="35" t="s">
        <v>1619</v>
      </c>
      <c r="F1435" s="16" t="s">
        <v>1285</v>
      </c>
      <c r="G1435" s="16" t="s">
        <v>322</v>
      </c>
      <c r="H1435" s="16" t="s">
        <v>5350</v>
      </c>
      <c r="I1435" s="16" t="s">
        <v>114</v>
      </c>
      <c r="J1435" s="16" t="s">
        <v>1571</v>
      </c>
      <c r="K1435" s="32" t="n">
        <v>1</v>
      </c>
      <c r="L1435" s="33" t="n">
        <v>46238</v>
      </c>
      <c r="M1435" s="33" t="n">
        <v>46238</v>
      </c>
      <c r="N1435" s="16" t="s">
        <v>5381</v>
      </c>
      <c r="O1435" s="16"/>
      <c r="P1435" s="16" t="str">
        <f aca="false">IF(AND(L1435&lt;=$D$2,M1435&gt;=$C$2),"Sí","")</f>
        <v/>
      </c>
      <c r="Q1435" s="18" t="str">
        <f aca="false">IF(COUNTIF(LOOKAHEAD!$A$5:$A$604,A1435)&gt;0,"En Lookahead",IF(P1435="Sí","INCORPORAR",""))</f>
        <v/>
      </c>
    </row>
    <row r="1436" customFormat="false" ht="15" hidden="false" customHeight="false" outlineLevel="0" collapsed="false">
      <c r="A1436" s="13" t="s">
        <v>5382</v>
      </c>
      <c r="B1436" s="13" t="n">
        <v>1431</v>
      </c>
      <c r="C1436" s="13" t="s">
        <v>5383</v>
      </c>
      <c r="D1436" s="13" t="n">
        <v>5</v>
      </c>
      <c r="E1436" s="34" t="s">
        <v>1623</v>
      </c>
      <c r="F1436" s="13" t="s">
        <v>1298</v>
      </c>
      <c r="G1436" s="13" t="s">
        <v>322</v>
      </c>
      <c r="H1436" s="13" t="s">
        <v>5350</v>
      </c>
      <c r="I1436" s="13" t="s">
        <v>114</v>
      </c>
      <c r="J1436" s="13" t="s">
        <v>5350</v>
      </c>
      <c r="K1436" s="30" t="n">
        <v>84</v>
      </c>
      <c r="L1436" s="31" t="n">
        <v>46238</v>
      </c>
      <c r="M1436" s="31" t="n">
        <v>46321</v>
      </c>
      <c r="N1436" s="13"/>
      <c r="O1436" s="13"/>
      <c r="P1436" s="13"/>
      <c r="Q1436" s="13"/>
    </row>
    <row r="1437" customFormat="false" ht="15" hidden="false" customHeight="false" outlineLevel="0" collapsed="false">
      <c r="A1437" s="13" t="s">
        <v>5384</v>
      </c>
      <c r="B1437" s="13" t="n">
        <v>1432</v>
      </c>
      <c r="C1437" s="13" t="s">
        <v>5385</v>
      </c>
      <c r="D1437" s="13" t="n">
        <v>6</v>
      </c>
      <c r="E1437" s="36" t="s">
        <v>1626</v>
      </c>
      <c r="F1437" s="13" t="s">
        <v>1298</v>
      </c>
      <c r="G1437" s="13" t="s">
        <v>322</v>
      </c>
      <c r="H1437" s="13" t="s">
        <v>5350</v>
      </c>
      <c r="I1437" s="13" t="s">
        <v>114</v>
      </c>
      <c r="J1437" s="13" t="s">
        <v>1623</v>
      </c>
      <c r="K1437" s="30" t="n">
        <v>21</v>
      </c>
      <c r="L1437" s="31" t="n">
        <v>46238</v>
      </c>
      <c r="M1437" s="31" t="n">
        <v>46258</v>
      </c>
      <c r="N1437" s="13"/>
      <c r="O1437" s="13"/>
      <c r="P1437" s="13"/>
      <c r="Q1437" s="13"/>
    </row>
    <row r="1438" customFormat="false" ht="15" hidden="false" customHeight="false" outlineLevel="0" collapsed="false">
      <c r="A1438" s="16" t="s">
        <v>5386</v>
      </c>
      <c r="B1438" s="16" t="n">
        <v>1433</v>
      </c>
      <c r="C1438" s="16" t="s">
        <v>5387</v>
      </c>
      <c r="D1438" s="16" t="n">
        <v>7</v>
      </c>
      <c r="E1438" s="37" t="s">
        <v>1629</v>
      </c>
      <c r="F1438" s="16" t="s">
        <v>1285</v>
      </c>
      <c r="G1438" s="16" t="s">
        <v>322</v>
      </c>
      <c r="H1438" s="16" t="s">
        <v>5350</v>
      </c>
      <c r="I1438" s="16" t="s">
        <v>114</v>
      </c>
      <c r="J1438" s="16" t="s">
        <v>1626</v>
      </c>
      <c r="K1438" s="32" t="n">
        <v>1</v>
      </c>
      <c r="L1438" s="33" t="n">
        <v>46256</v>
      </c>
      <c r="M1438" s="33" t="n">
        <v>46256</v>
      </c>
      <c r="N1438" s="16" t="s">
        <v>5388</v>
      </c>
      <c r="O1438" s="16"/>
      <c r="P1438" s="16" t="str">
        <f aca="false">IF(AND(L1438&lt;=$D$2,M1438&gt;=$C$2),"Sí","")</f>
        <v/>
      </c>
      <c r="Q1438" s="18" t="str">
        <f aca="false">IF(COUNTIF(LOOKAHEAD!$A$5:$A$604,A1438)&gt;0,"En Lookahead",IF(P1438="Sí","INCORPORAR",""))</f>
        <v/>
      </c>
    </row>
    <row r="1439" customFormat="false" ht="15" hidden="false" customHeight="false" outlineLevel="0" collapsed="false">
      <c r="A1439" s="16" t="s">
        <v>5389</v>
      </c>
      <c r="B1439" s="16" t="n">
        <v>1434</v>
      </c>
      <c r="C1439" s="16" t="s">
        <v>5390</v>
      </c>
      <c r="D1439" s="16" t="n">
        <v>7</v>
      </c>
      <c r="E1439" s="37" t="s">
        <v>1633</v>
      </c>
      <c r="F1439" s="16" t="s">
        <v>1285</v>
      </c>
      <c r="G1439" s="16" t="s">
        <v>322</v>
      </c>
      <c r="H1439" s="16" t="s">
        <v>5350</v>
      </c>
      <c r="I1439" s="16" t="s">
        <v>114</v>
      </c>
      <c r="J1439" s="16" t="s">
        <v>1626</v>
      </c>
      <c r="K1439" s="32" t="n">
        <v>8</v>
      </c>
      <c r="L1439" s="33" t="n">
        <v>46248</v>
      </c>
      <c r="M1439" s="33" t="n">
        <v>46255</v>
      </c>
      <c r="N1439" s="16" t="s">
        <v>5391</v>
      </c>
      <c r="O1439" s="16"/>
      <c r="P1439" s="16" t="str">
        <f aca="false">IF(AND(L1439&lt;=$D$2,M1439&gt;=$C$2),"Sí","")</f>
        <v/>
      </c>
      <c r="Q1439" s="18" t="str">
        <f aca="false">IF(COUNTIF(LOOKAHEAD!$A$5:$A$604,A1439)&gt;0,"En Lookahead",IF(P1439="Sí","INCORPORAR",""))</f>
        <v/>
      </c>
    </row>
    <row r="1440" customFormat="false" ht="15" hidden="false" customHeight="false" outlineLevel="0" collapsed="false">
      <c r="A1440" s="16" t="s">
        <v>5392</v>
      </c>
      <c r="B1440" s="16" t="n">
        <v>1435</v>
      </c>
      <c r="C1440" s="16" t="s">
        <v>5393</v>
      </c>
      <c r="D1440" s="16" t="n">
        <v>7</v>
      </c>
      <c r="E1440" s="37" t="s">
        <v>1637</v>
      </c>
      <c r="F1440" s="16" t="s">
        <v>1285</v>
      </c>
      <c r="G1440" s="16" t="s">
        <v>322</v>
      </c>
      <c r="H1440" s="16" t="s">
        <v>5350</v>
      </c>
      <c r="I1440" s="16" t="s">
        <v>114</v>
      </c>
      <c r="J1440" s="16" t="s">
        <v>1626</v>
      </c>
      <c r="K1440" s="32" t="n">
        <v>10</v>
      </c>
      <c r="L1440" s="33" t="n">
        <v>46238</v>
      </c>
      <c r="M1440" s="33" t="n">
        <v>46247</v>
      </c>
      <c r="N1440" s="16" t="s">
        <v>5381</v>
      </c>
      <c r="O1440" s="16"/>
      <c r="P1440" s="16" t="str">
        <f aca="false">IF(AND(L1440&lt;=$D$2,M1440&gt;=$C$2),"Sí","")</f>
        <v/>
      </c>
      <c r="Q1440" s="18" t="str">
        <f aca="false">IF(COUNTIF(LOOKAHEAD!$A$5:$A$604,A1440)&gt;0,"En Lookahead",IF(P1440="Sí","INCORPORAR",""))</f>
        <v/>
      </c>
    </row>
    <row r="1441" customFormat="false" ht="15" hidden="false" customHeight="false" outlineLevel="0" collapsed="false">
      <c r="A1441" s="16" t="s">
        <v>5394</v>
      </c>
      <c r="B1441" s="16" t="n">
        <v>1436</v>
      </c>
      <c r="C1441" s="16" t="s">
        <v>5395</v>
      </c>
      <c r="D1441" s="16" t="n">
        <v>7</v>
      </c>
      <c r="E1441" s="37" t="s">
        <v>1602</v>
      </c>
      <c r="F1441" s="16" t="s">
        <v>1285</v>
      </c>
      <c r="G1441" s="16" t="s">
        <v>322</v>
      </c>
      <c r="H1441" s="16" t="s">
        <v>5350</v>
      </c>
      <c r="I1441" s="16" t="s">
        <v>114</v>
      </c>
      <c r="J1441" s="16" t="s">
        <v>1626</v>
      </c>
      <c r="K1441" s="32" t="n">
        <v>2</v>
      </c>
      <c r="L1441" s="33" t="n">
        <v>46257</v>
      </c>
      <c r="M1441" s="33" t="n">
        <v>46258</v>
      </c>
      <c r="N1441" s="16" t="s">
        <v>5396</v>
      </c>
      <c r="O1441" s="16"/>
      <c r="P1441" s="16" t="str">
        <f aca="false">IF(AND(L1441&lt;=$D$2,M1441&gt;=$C$2),"Sí","")</f>
        <v/>
      </c>
      <c r="Q1441" s="18" t="str">
        <f aca="false">IF(COUNTIF(LOOKAHEAD!$A$5:$A$604,A1441)&gt;0,"En Lookahead",IF(P1441="Sí","INCORPORAR",""))</f>
        <v/>
      </c>
    </row>
    <row r="1442" customFormat="false" ht="15" hidden="false" customHeight="false" outlineLevel="0" collapsed="false">
      <c r="A1442" s="13" t="s">
        <v>5397</v>
      </c>
      <c r="B1442" s="13" t="n">
        <v>1437</v>
      </c>
      <c r="C1442" s="13" t="s">
        <v>5398</v>
      </c>
      <c r="D1442" s="13" t="n">
        <v>6</v>
      </c>
      <c r="E1442" s="36" t="s">
        <v>2295</v>
      </c>
      <c r="F1442" s="13" t="s">
        <v>1298</v>
      </c>
      <c r="G1442" s="13" t="s">
        <v>322</v>
      </c>
      <c r="H1442" s="13" t="s">
        <v>5350</v>
      </c>
      <c r="I1442" s="13" t="s">
        <v>114</v>
      </c>
      <c r="J1442" s="13" t="s">
        <v>1623</v>
      </c>
      <c r="K1442" s="30" t="n">
        <v>11</v>
      </c>
      <c r="L1442" s="31" t="n">
        <v>46257</v>
      </c>
      <c r="M1442" s="31" t="n">
        <v>46267</v>
      </c>
      <c r="N1442" s="13"/>
      <c r="O1442" s="13"/>
      <c r="P1442" s="13"/>
      <c r="Q1442" s="13"/>
    </row>
    <row r="1443" customFormat="false" ht="15" hidden="false" customHeight="false" outlineLevel="0" collapsed="false">
      <c r="A1443" s="16" t="s">
        <v>5399</v>
      </c>
      <c r="B1443" s="16" t="n">
        <v>1438</v>
      </c>
      <c r="C1443" s="16" t="s">
        <v>5400</v>
      </c>
      <c r="D1443" s="16" t="n">
        <v>7</v>
      </c>
      <c r="E1443" s="37" t="s">
        <v>2298</v>
      </c>
      <c r="F1443" s="16" t="s">
        <v>1285</v>
      </c>
      <c r="G1443" s="16" t="s">
        <v>322</v>
      </c>
      <c r="H1443" s="16" t="s">
        <v>5350</v>
      </c>
      <c r="I1443" s="16" t="s">
        <v>114</v>
      </c>
      <c r="J1443" s="16" t="s">
        <v>2295</v>
      </c>
      <c r="K1443" s="32" t="n">
        <v>1</v>
      </c>
      <c r="L1443" s="33" t="n">
        <v>46266</v>
      </c>
      <c r="M1443" s="33" t="n">
        <v>46266</v>
      </c>
      <c r="N1443" s="16" t="s">
        <v>5401</v>
      </c>
      <c r="O1443" s="16"/>
      <c r="P1443" s="16" t="str">
        <f aca="false">IF(AND(L1443&lt;=$D$2,M1443&gt;=$C$2),"Sí","")</f>
        <v/>
      </c>
      <c r="Q1443" s="18" t="str">
        <f aca="false">IF(COUNTIF(LOOKAHEAD!$A$5:$A$604,A1443)&gt;0,"En Lookahead",IF(P1443="Sí","INCORPORAR",""))</f>
        <v/>
      </c>
    </row>
    <row r="1444" customFormat="false" ht="15" hidden="false" customHeight="false" outlineLevel="0" collapsed="false">
      <c r="A1444" s="16" t="s">
        <v>5402</v>
      </c>
      <c r="B1444" s="16" t="n">
        <v>1439</v>
      </c>
      <c r="C1444" s="16" t="s">
        <v>5403</v>
      </c>
      <c r="D1444" s="16" t="n">
        <v>7</v>
      </c>
      <c r="E1444" s="37" t="s">
        <v>2302</v>
      </c>
      <c r="F1444" s="16" t="s">
        <v>1285</v>
      </c>
      <c r="G1444" s="16" t="s">
        <v>322</v>
      </c>
      <c r="H1444" s="16" t="s">
        <v>5350</v>
      </c>
      <c r="I1444" s="16" t="s">
        <v>114</v>
      </c>
      <c r="J1444" s="16" t="s">
        <v>2295</v>
      </c>
      <c r="K1444" s="32" t="n">
        <v>3</v>
      </c>
      <c r="L1444" s="33" t="n">
        <v>46263</v>
      </c>
      <c r="M1444" s="33" t="n">
        <v>46265</v>
      </c>
      <c r="N1444" s="16" t="s">
        <v>5404</v>
      </c>
      <c r="O1444" s="16"/>
      <c r="P1444" s="16" t="str">
        <f aca="false">IF(AND(L1444&lt;=$D$2,M1444&gt;=$C$2),"Sí","")</f>
        <v/>
      </c>
      <c r="Q1444" s="18" t="str">
        <f aca="false">IF(COUNTIF(LOOKAHEAD!$A$5:$A$604,A1444)&gt;0,"En Lookahead",IF(P1444="Sí","INCORPORAR",""))</f>
        <v/>
      </c>
    </row>
    <row r="1445" customFormat="false" ht="15" hidden="false" customHeight="false" outlineLevel="0" collapsed="false">
      <c r="A1445" s="16" t="s">
        <v>5405</v>
      </c>
      <c r="B1445" s="16" t="n">
        <v>1440</v>
      </c>
      <c r="C1445" s="16" t="s">
        <v>5406</v>
      </c>
      <c r="D1445" s="16" t="n">
        <v>7</v>
      </c>
      <c r="E1445" s="37" t="s">
        <v>2306</v>
      </c>
      <c r="F1445" s="16" t="s">
        <v>1285</v>
      </c>
      <c r="G1445" s="16" t="s">
        <v>322</v>
      </c>
      <c r="H1445" s="16" t="s">
        <v>5350</v>
      </c>
      <c r="I1445" s="16" t="s">
        <v>114</v>
      </c>
      <c r="J1445" s="16" t="s">
        <v>2295</v>
      </c>
      <c r="K1445" s="32" t="n">
        <v>6</v>
      </c>
      <c r="L1445" s="33" t="n">
        <v>46257</v>
      </c>
      <c r="M1445" s="33" t="n">
        <v>46262</v>
      </c>
      <c r="N1445" s="16" t="s">
        <v>5396</v>
      </c>
      <c r="O1445" s="16"/>
      <c r="P1445" s="16" t="str">
        <f aca="false">IF(AND(L1445&lt;=$D$2,M1445&gt;=$C$2),"Sí","")</f>
        <v/>
      </c>
      <c r="Q1445" s="18" t="str">
        <f aca="false">IF(COUNTIF(LOOKAHEAD!$A$5:$A$604,A1445)&gt;0,"En Lookahead",IF(P1445="Sí","INCORPORAR",""))</f>
        <v/>
      </c>
    </row>
    <row r="1446" customFormat="false" ht="15" hidden="false" customHeight="false" outlineLevel="0" collapsed="false">
      <c r="A1446" s="16" t="s">
        <v>5407</v>
      </c>
      <c r="B1446" s="16" t="n">
        <v>1441</v>
      </c>
      <c r="C1446" s="16" t="s">
        <v>5408</v>
      </c>
      <c r="D1446" s="16" t="n">
        <v>7</v>
      </c>
      <c r="E1446" s="37" t="s">
        <v>1602</v>
      </c>
      <c r="F1446" s="16" t="s">
        <v>1285</v>
      </c>
      <c r="G1446" s="16" t="s">
        <v>322</v>
      </c>
      <c r="H1446" s="16" t="s">
        <v>5350</v>
      </c>
      <c r="I1446" s="16" t="s">
        <v>114</v>
      </c>
      <c r="J1446" s="16" t="s">
        <v>2295</v>
      </c>
      <c r="K1446" s="32" t="n">
        <v>1</v>
      </c>
      <c r="L1446" s="33" t="n">
        <v>46267</v>
      </c>
      <c r="M1446" s="33" t="n">
        <v>46267</v>
      </c>
      <c r="N1446" s="16" t="s">
        <v>5360</v>
      </c>
      <c r="O1446" s="16"/>
      <c r="P1446" s="16" t="str">
        <f aca="false">IF(AND(L1446&lt;=$D$2,M1446&gt;=$C$2),"Sí","")</f>
        <v/>
      </c>
      <c r="Q1446" s="18" t="str">
        <f aca="false">IF(COUNTIF(LOOKAHEAD!$A$5:$A$604,A1446)&gt;0,"En Lookahead",IF(P1446="Sí","INCORPORAR",""))</f>
        <v/>
      </c>
    </row>
    <row r="1447" customFormat="false" ht="15" hidden="false" customHeight="false" outlineLevel="0" collapsed="false">
      <c r="A1447" s="13" t="s">
        <v>5409</v>
      </c>
      <c r="B1447" s="13" t="n">
        <v>1442</v>
      </c>
      <c r="C1447" s="13" t="s">
        <v>5410</v>
      </c>
      <c r="D1447" s="13" t="n">
        <v>6</v>
      </c>
      <c r="E1447" s="36" t="s">
        <v>1660</v>
      </c>
      <c r="F1447" s="13" t="s">
        <v>1298</v>
      </c>
      <c r="G1447" s="13" t="s">
        <v>322</v>
      </c>
      <c r="H1447" s="13" t="s">
        <v>5350</v>
      </c>
      <c r="I1447" s="13" t="s">
        <v>114</v>
      </c>
      <c r="J1447" s="13" t="s">
        <v>1623</v>
      </c>
      <c r="K1447" s="30" t="n">
        <v>29</v>
      </c>
      <c r="L1447" s="31" t="n">
        <v>46257</v>
      </c>
      <c r="M1447" s="31" t="n">
        <v>46285</v>
      </c>
      <c r="N1447" s="13"/>
      <c r="O1447" s="13"/>
      <c r="P1447" s="13"/>
      <c r="Q1447" s="13"/>
    </row>
    <row r="1448" customFormat="false" ht="15" hidden="false" customHeight="false" outlineLevel="0" collapsed="false">
      <c r="A1448" s="16" t="s">
        <v>5411</v>
      </c>
      <c r="B1448" s="16" t="n">
        <v>1443</v>
      </c>
      <c r="C1448" s="16" t="s">
        <v>5412</v>
      </c>
      <c r="D1448" s="16" t="n">
        <v>7</v>
      </c>
      <c r="E1448" s="37" t="s">
        <v>1666</v>
      </c>
      <c r="F1448" s="16" t="s">
        <v>1285</v>
      </c>
      <c r="G1448" s="16" t="s">
        <v>322</v>
      </c>
      <c r="H1448" s="16" t="s">
        <v>5350</v>
      </c>
      <c r="I1448" s="16" t="s">
        <v>114</v>
      </c>
      <c r="J1448" s="16" t="s">
        <v>1660</v>
      </c>
      <c r="K1448" s="32" t="n">
        <v>1</v>
      </c>
      <c r="L1448" s="33" t="n">
        <v>46282</v>
      </c>
      <c r="M1448" s="33" t="n">
        <v>46282</v>
      </c>
      <c r="N1448" s="16" t="s">
        <v>5413</v>
      </c>
      <c r="O1448" s="16"/>
      <c r="P1448" s="16" t="str">
        <f aca="false">IF(AND(L1448&lt;=$D$2,M1448&gt;=$C$2),"Sí","")</f>
        <v/>
      </c>
      <c r="Q1448" s="18" t="str">
        <f aca="false">IF(COUNTIF(LOOKAHEAD!$A$5:$A$604,A1448)&gt;0,"En Lookahead",IF(P1448="Sí","INCORPORAR",""))</f>
        <v/>
      </c>
    </row>
    <row r="1449" customFormat="false" ht="15" hidden="false" customHeight="false" outlineLevel="0" collapsed="false">
      <c r="A1449" s="16" t="s">
        <v>5414</v>
      </c>
      <c r="B1449" s="16" t="n">
        <v>1444</v>
      </c>
      <c r="C1449" s="16" t="s">
        <v>5415</v>
      </c>
      <c r="D1449" s="16" t="n">
        <v>7</v>
      </c>
      <c r="E1449" s="37" t="s">
        <v>1670</v>
      </c>
      <c r="F1449" s="16" t="s">
        <v>1285</v>
      </c>
      <c r="G1449" s="16" t="s">
        <v>322</v>
      </c>
      <c r="H1449" s="16" t="s">
        <v>5350</v>
      </c>
      <c r="I1449" s="16" t="s">
        <v>114</v>
      </c>
      <c r="J1449" s="16" t="s">
        <v>1660</v>
      </c>
      <c r="K1449" s="32" t="n">
        <v>17</v>
      </c>
      <c r="L1449" s="33" t="n">
        <v>46265</v>
      </c>
      <c r="M1449" s="33" t="n">
        <v>46281</v>
      </c>
      <c r="N1449" s="16" t="s">
        <v>5416</v>
      </c>
      <c r="O1449" s="16"/>
      <c r="P1449" s="16" t="str">
        <f aca="false">IF(AND(L1449&lt;=$D$2,M1449&gt;=$C$2),"Sí","")</f>
        <v/>
      </c>
      <c r="Q1449" s="18" t="str">
        <f aca="false">IF(COUNTIF(LOOKAHEAD!$A$5:$A$604,A1449)&gt;0,"En Lookahead",IF(P1449="Sí","INCORPORAR",""))</f>
        <v/>
      </c>
    </row>
    <row r="1450" customFormat="false" ht="15" hidden="false" customHeight="false" outlineLevel="0" collapsed="false">
      <c r="A1450" s="16" t="s">
        <v>5417</v>
      </c>
      <c r="B1450" s="16" t="n">
        <v>1445</v>
      </c>
      <c r="C1450" s="16" t="s">
        <v>5418</v>
      </c>
      <c r="D1450" s="16" t="n">
        <v>7</v>
      </c>
      <c r="E1450" s="37" t="s">
        <v>1674</v>
      </c>
      <c r="F1450" s="16" t="s">
        <v>1285</v>
      </c>
      <c r="G1450" s="16" t="s">
        <v>322</v>
      </c>
      <c r="H1450" s="16" t="s">
        <v>5350</v>
      </c>
      <c r="I1450" s="16" t="s">
        <v>114</v>
      </c>
      <c r="J1450" s="16" t="s">
        <v>1660</v>
      </c>
      <c r="K1450" s="32" t="n">
        <v>8</v>
      </c>
      <c r="L1450" s="33" t="n">
        <v>46257</v>
      </c>
      <c r="M1450" s="33" t="n">
        <v>46264</v>
      </c>
      <c r="N1450" s="16" t="s">
        <v>5396</v>
      </c>
      <c r="O1450" s="16"/>
      <c r="P1450" s="16" t="str">
        <f aca="false">IF(AND(L1450&lt;=$D$2,M1450&gt;=$C$2),"Sí","")</f>
        <v/>
      </c>
      <c r="Q1450" s="18" t="str">
        <f aca="false">IF(COUNTIF(LOOKAHEAD!$A$5:$A$604,A1450)&gt;0,"En Lookahead",IF(P1450="Sí","INCORPORAR",""))</f>
        <v/>
      </c>
    </row>
    <row r="1451" customFormat="false" ht="15" hidden="false" customHeight="false" outlineLevel="0" collapsed="false">
      <c r="A1451" s="16" t="s">
        <v>5419</v>
      </c>
      <c r="B1451" s="16" t="n">
        <v>1446</v>
      </c>
      <c r="C1451" s="16" t="s">
        <v>5420</v>
      </c>
      <c r="D1451" s="16" t="n">
        <v>7</v>
      </c>
      <c r="E1451" s="37" t="s">
        <v>1677</v>
      </c>
      <c r="F1451" s="16" t="s">
        <v>1285</v>
      </c>
      <c r="G1451" s="16" t="s">
        <v>322</v>
      </c>
      <c r="H1451" s="16" t="s">
        <v>5350</v>
      </c>
      <c r="I1451" s="16" t="s">
        <v>114</v>
      </c>
      <c r="J1451" s="16" t="s">
        <v>1660</v>
      </c>
      <c r="K1451" s="32" t="n">
        <v>3</v>
      </c>
      <c r="L1451" s="33" t="n">
        <v>46283</v>
      </c>
      <c r="M1451" s="33" t="n">
        <v>46285</v>
      </c>
      <c r="N1451" s="16" t="s">
        <v>5421</v>
      </c>
      <c r="O1451" s="16"/>
      <c r="P1451" s="16" t="str">
        <f aca="false">IF(AND(L1451&lt;=$D$2,M1451&gt;=$C$2),"Sí","")</f>
        <v/>
      </c>
      <c r="Q1451" s="18" t="str">
        <f aca="false">IF(COUNTIF(LOOKAHEAD!$A$5:$A$604,A1451)&gt;0,"En Lookahead",IF(P1451="Sí","INCORPORAR",""))</f>
        <v/>
      </c>
    </row>
    <row r="1452" customFormat="false" ht="15" hidden="false" customHeight="false" outlineLevel="0" collapsed="false">
      <c r="A1452" s="13" t="s">
        <v>5422</v>
      </c>
      <c r="B1452" s="13" t="n">
        <v>1447</v>
      </c>
      <c r="C1452" s="13" t="s">
        <v>5423</v>
      </c>
      <c r="D1452" s="13" t="n">
        <v>6</v>
      </c>
      <c r="E1452" s="36" t="s">
        <v>1731</v>
      </c>
      <c r="F1452" s="13" t="s">
        <v>1298</v>
      </c>
      <c r="G1452" s="13" t="s">
        <v>322</v>
      </c>
      <c r="H1452" s="13" t="s">
        <v>5350</v>
      </c>
      <c r="I1452" s="13" t="s">
        <v>114</v>
      </c>
      <c r="J1452" s="13" t="s">
        <v>1623</v>
      </c>
      <c r="K1452" s="30" t="n">
        <v>31</v>
      </c>
      <c r="L1452" s="31" t="n">
        <v>46257</v>
      </c>
      <c r="M1452" s="31" t="n">
        <v>46287</v>
      </c>
      <c r="N1452" s="13"/>
      <c r="O1452" s="13"/>
      <c r="P1452" s="13"/>
      <c r="Q1452" s="13"/>
    </row>
    <row r="1453" customFormat="false" ht="15" hidden="false" customHeight="false" outlineLevel="0" collapsed="false">
      <c r="A1453" s="16" t="s">
        <v>5424</v>
      </c>
      <c r="B1453" s="16" t="n">
        <v>1448</v>
      </c>
      <c r="C1453" s="16" t="s">
        <v>5425</v>
      </c>
      <c r="D1453" s="16" t="n">
        <v>7</v>
      </c>
      <c r="E1453" s="37" t="s">
        <v>1737</v>
      </c>
      <c r="F1453" s="16" t="s">
        <v>1285</v>
      </c>
      <c r="G1453" s="16" t="s">
        <v>322</v>
      </c>
      <c r="H1453" s="16" t="s">
        <v>5350</v>
      </c>
      <c r="I1453" s="16" t="s">
        <v>114</v>
      </c>
      <c r="J1453" s="16" t="s">
        <v>1731</v>
      </c>
      <c r="K1453" s="32" t="n">
        <v>2</v>
      </c>
      <c r="L1453" s="33" t="n">
        <v>46283</v>
      </c>
      <c r="M1453" s="33" t="n">
        <v>46284</v>
      </c>
      <c r="N1453" s="16" t="s">
        <v>5426</v>
      </c>
      <c r="O1453" s="16"/>
      <c r="P1453" s="16" t="str">
        <f aca="false">IF(AND(L1453&lt;=$D$2,M1453&gt;=$C$2),"Sí","")</f>
        <v/>
      </c>
      <c r="Q1453" s="18" t="str">
        <f aca="false">IF(COUNTIF(LOOKAHEAD!$A$5:$A$604,A1453)&gt;0,"En Lookahead",IF(P1453="Sí","INCORPORAR",""))</f>
        <v/>
      </c>
    </row>
    <row r="1454" customFormat="false" ht="15" hidden="false" customHeight="false" outlineLevel="0" collapsed="false">
      <c r="A1454" s="16" t="s">
        <v>5427</v>
      </c>
      <c r="B1454" s="16" t="n">
        <v>1449</v>
      </c>
      <c r="C1454" s="16" t="s">
        <v>5428</v>
      </c>
      <c r="D1454" s="16" t="n">
        <v>7</v>
      </c>
      <c r="E1454" s="37" t="s">
        <v>1741</v>
      </c>
      <c r="F1454" s="16" t="s">
        <v>1285</v>
      </c>
      <c r="G1454" s="16" t="s">
        <v>322</v>
      </c>
      <c r="H1454" s="16" t="s">
        <v>5350</v>
      </c>
      <c r="I1454" s="16" t="s">
        <v>114</v>
      </c>
      <c r="J1454" s="16" t="s">
        <v>1731</v>
      </c>
      <c r="K1454" s="32" t="n">
        <v>22</v>
      </c>
      <c r="L1454" s="33" t="n">
        <v>46261</v>
      </c>
      <c r="M1454" s="33" t="n">
        <v>46282</v>
      </c>
      <c r="N1454" s="16" t="s">
        <v>5429</v>
      </c>
      <c r="O1454" s="16"/>
      <c r="P1454" s="16" t="str">
        <f aca="false">IF(AND(L1454&lt;=$D$2,M1454&gt;=$C$2),"Sí","")</f>
        <v/>
      </c>
      <c r="Q1454" s="18" t="str">
        <f aca="false">IF(COUNTIF(LOOKAHEAD!$A$5:$A$604,A1454)&gt;0,"En Lookahead",IF(P1454="Sí","INCORPORAR",""))</f>
        <v/>
      </c>
    </row>
    <row r="1455" customFormat="false" ht="15" hidden="false" customHeight="false" outlineLevel="0" collapsed="false">
      <c r="A1455" s="16" t="s">
        <v>5430</v>
      </c>
      <c r="B1455" s="16" t="n">
        <v>1450</v>
      </c>
      <c r="C1455" s="16" t="s">
        <v>5431</v>
      </c>
      <c r="D1455" s="16" t="n">
        <v>7</v>
      </c>
      <c r="E1455" s="37" t="s">
        <v>1745</v>
      </c>
      <c r="F1455" s="16" t="s">
        <v>1285</v>
      </c>
      <c r="G1455" s="16" t="s">
        <v>322</v>
      </c>
      <c r="H1455" s="16" t="s">
        <v>5350</v>
      </c>
      <c r="I1455" s="16" t="s">
        <v>114</v>
      </c>
      <c r="J1455" s="16" t="s">
        <v>1731</v>
      </c>
      <c r="K1455" s="32" t="n">
        <v>4</v>
      </c>
      <c r="L1455" s="33" t="n">
        <v>46257</v>
      </c>
      <c r="M1455" s="33" t="n">
        <v>46260</v>
      </c>
      <c r="N1455" s="16" t="s">
        <v>5432</v>
      </c>
      <c r="O1455" s="16"/>
      <c r="P1455" s="16" t="str">
        <f aca="false">IF(AND(L1455&lt;=$D$2,M1455&gt;=$C$2),"Sí","")</f>
        <v/>
      </c>
      <c r="Q1455" s="18" t="str">
        <f aca="false">IF(COUNTIF(LOOKAHEAD!$A$5:$A$604,A1455)&gt;0,"En Lookahead",IF(P1455="Sí","INCORPORAR",""))</f>
        <v/>
      </c>
    </row>
    <row r="1456" customFormat="false" ht="15" hidden="false" customHeight="false" outlineLevel="0" collapsed="false">
      <c r="A1456" s="16" t="s">
        <v>5433</v>
      </c>
      <c r="B1456" s="16" t="n">
        <v>1451</v>
      </c>
      <c r="C1456" s="16" t="s">
        <v>5434</v>
      </c>
      <c r="D1456" s="16" t="n">
        <v>7</v>
      </c>
      <c r="E1456" s="37" t="s">
        <v>1677</v>
      </c>
      <c r="F1456" s="16" t="s">
        <v>1285</v>
      </c>
      <c r="G1456" s="16" t="s">
        <v>322</v>
      </c>
      <c r="H1456" s="16" t="s">
        <v>5350</v>
      </c>
      <c r="I1456" s="16" t="s">
        <v>114</v>
      </c>
      <c r="J1456" s="16" t="s">
        <v>1731</v>
      </c>
      <c r="K1456" s="32" t="n">
        <v>3</v>
      </c>
      <c r="L1456" s="33" t="n">
        <v>46285</v>
      </c>
      <c r="M1456" s="33" t="n">
        <v>46287</v>
      </c>
      <c r="N1456" s="16" t="s">
        <v>5435</v>
      </c>
      <c r="O1456" s="16"/>
      <c r="P1456" s="16" t="str">
        <f aca="false">IF(AND(L1456&lt;=$D$2,M1456&gt;=$C$2),"Sí","")</f>
        <v/>
      </c>
      <c r="Q1456" s="18" t="str">
        <f aca="false">IF(COUNTIF(LOOKAHEAD!$A$5:$A$604,A1456)&gt;0,"En Lookahead",IF(P1456="Sí","INCORPORAR",""))</f>
        <v/>
      </c>
    </row>
    <row r="1457" customFormat="false" ht="15" hidden="false" customHeight="false" outlineLevel="0" collapsed="false">
      <c r="A1457" s="13" t="s">
        <v>5436</v>
      </c>
      <c r="B1457" s="13" t="n">
        <v>1452</v>
      </c>
      <c r="C1457" s="13" t="s">
        <v>5437</v>
      </c>
      <c r="D1457" s="13" t="n">
        <v>6</v>
      </c>
      <c r="E1457" s="36" t="s">
        <v>1786</v>
      </c>
      <c r="F1457" s="13" t="s">
        <v>1298</v>
      </c>
      <c r="G1457" s="13" t="s">
        <v>322</v>
      </c>
      <c r="H1457" s="13" t="s">
        <v>5350</v>
      </c>
      <c r="I1457" s="13" t="s">
        <v>114</v>
      </c>
      <c r="J1457" s="13" t="s">
        <v>1623</v>
      </c>
      <c r="K1457" s="30" t="n">
        <v>13</v>
      </c>
      <c r="L1457" s="31" t="n">
        <v>46285</v>
      </c>
      <c r="M1457" s="31" t="n">
        <v>46297</v>
      </c>
      <c r="N1457" s="13"/>
      <c r="O1457" s="13"/>
      <c r="P1457" s="13"/>
      <c r="Q1457" s="13"/>
    </row>
    <row r="1458" customFormat="false" ht="15" hidden="false" customHeight="false" outlineLevel="0" collapsed="false">
      <c r="A1458" s="16" t="s">
        <v>5438</v>
      </c>
      <c r="B1458" s="16" t="n">
        <v>1453</v>
      </c>
      <c r="C1458" s="16" t="s">
        <v>5439</v>
      </c>
      <c r="D1458" s="16" t="n">
        <v>7</v>
      </c>
      <c r="E1458" s="37" t="s">
        <v>1792</v>
      </c>
      <c r="F1458" s="16" t="s">
        <v>1285</v>
      </c>
      <c r="G1458" s="16" t="s">
        <v>322</v>
      </c>
      <c r="H1458" s="16" t="s">
        <v>5350</v>
      </c>
      <c r="I1458" s="16" t="s">
        <v>114</v>
      </c>
      <c r="J1458" s="16" t="s">
        <v>1786</v>
      </c>
      <c r="K1458" s="32" t="n">
        <v>1</v>
      </c>
      <c r="L1458" s="33" t="n">
        <v>46296</v>
      </c>
      <c r="M1458" s="33" t="n">
        <v>46296</v>
      </c>
      <c r="N1458" s="16" t="s">
        <v>5440</v>
      </c>
      <c r="O1458" s="16"/>
      <c r="P1458" s="16" t="str">
        <f aca="false">IF(AND(L1458&lt;=$D$2,M1458&gt;=$C$2),"Sí","")</f>
        <v/>
      </c>
      <c r="Q1458" s="18" t="str">
        <f aca="false">IF(COUNTIF(LOOKAHEAD!$A$5:$A$604,A1458)&gt;0,"En Lookahead",IF(P1458="Sí","INCORPORAR",""))</f>
        <v/>
      </c>
    </row>
    <row r="1459" customFormat="false" ht="15" hidden="false" customHeight="false" outlineLevel="0" collapsed="false">
      <c r="A1459" s="16" t="s">
        <v>5441</v>
      </c>
      <c r="B1459" s="16" t="n">
        <v>1454</v>
      </c>
      <c r="C1459" s="16" t="s">
        <v>5442</v>
      </c>
      <c r="D1459" s="16" t="n">
        <v>7</v>
      </c>
      <c r="E1459" s="37" t="s">
        <v>1796</v>
      </c>
      <c r="F1459" s="16" t="s">
        <v>1285</v>
      </c>
      <c r="G1459" s="16" t="s">
        <v>322</v>
      </c>
      <c r="H1459" s="16" t="s">
        <v>5350</v>
      </c>
      <c r="I1459" s="16" t="s">
        <v>114</v>
      </c>
      <c r="J1459" s="16" t="s">
        <v>1786</v>
      </c>
      <c r="K1459" s="32" t="n">
        <v>7</v>
      </c>
      <c r="L1459" s="33" t="n">
        <v>46289</v>
      </c>
      <c r="M1459" s="33" t="n">
        <v>46295</v>
      </c>
      <c r="N1459" s="16" t="s">
        <v>5443</v>
      </c>
      <c r="O1459" s="16"/>
      <c r="P1459" s="16" t="str">
        <f aca="false">IF(AND(L1459&lt;=$D$2,M1459&gt;=$C$2),"Sí","")</f>
        <v/>
      </c>
      <c r="Q1459" s="18" t="str">
        <f aca="false">IF(COUNTIF(LOOKAHEAD!$A$5:$A$604,A1459)&gt;0,"En Lookahead",IF(P1459="Sí","INCORPORAR",""))</f>
        <v/>
      </c>
    </row>
    <row r="1460" customFormat="false" ht="15" hidden="false" customHeight="false" outlineLevel="0" collapsed="false">
      <c r="A1460" s="16" t="s">
        <v>5444</v>
      </c>
      <c r="B1460" s="16" t="n">
        <v>1455</v>
      </c>
      <c r="C1460" s="16" t="s">
        <v>5445</v>
      </c>
      <c r="D1460" s="16" t="n">
        <v>7</v>
      </c>
      <c r="E1460" s="37" t="s">
        <v>1800</v>
      </c>
      <c r="F1460" s="16" t="s">
        <v>1285</v>
      </c>
      <c r="G1460" s="16" t="s">
        <v>322</v>
      </c>
      <c r="H1460" s="16" t="s">
        <v>5350</v>
      </c>
      <c r="I1460" s="16" t="s">
        <v>114</v>
      </c>
      <c r="J1460" s="16" t="s">
        <v>1786</v>
      </c>
      <c r="K1460" s="32" t="n">
        <v>4</v>
      </c>
      <c r="L1460" s="33" t="n">
        <v>46285</v>
      </c>
      <c r="M1460" s="33" t="n">
        <v>46288</v>
      </c>
      <c r="N1460" s="16" t="s">
        <v>5446</v>
      </c>
      <c r="O1460" s="16"/>
      <c r="P1460" s="16" t="str">
        <f aca="false">IF(AND(L1460&lt;=$D$2,M1460&gt;=$C$2),"Sí","")</f>
        <v/>
      </c>
      <c r="Q1460" s="18" t="str">
        <f aca="false">IF(COUNTIF(LOOKAHEAD!$A$5:$A$604,A1460)&gt;0,"En Lookahead",IF(P1460="Sí","INCORPORAR",""))</f>
        <v/>
      </c>
    </row>
    <row r="1461" customFormat="false" ht="15" hidden="false" customHeight="false" outlineLevel="0" collapsed="false">
      <c r="A1461" s="16" t="s">
        <v>5447</v>
      </c>
      <c r="B1461" s="16" t="n">
        <v>1456</v>
      </c>
      <c r="C1461" s="16" t="s">
        <v>5448</v>
      </c>
      <c r="D1461" s="16" t="n">
        <v>7</v>
      </c>
      <c r="E1461" s="37" t="s">
        <v>1602</v>
      </c>
      <c r="F1461" s="16" t="s">
        <v>1285</v>
      </c>
      <c r="G1461" s="16" t="s">
        <v>322</v>
      </c>
      <c r="H1461" s="16" t="s">
        <v>5350</v>
      </c>
      <c r="I1461" s="16" t="s">
        <v>114</v>
      </c>
      <c r="J1461" s="16" t="s">
        <v>1786</v>
      </c>
      <c r="K1461" s="32" t="n">
        <v>1</v>
      </c>
      <c r="L1461" s="33" t="n">
        <v>46297</v>
      </c>
      <c r="M1461" s="33" t="n">
        <v>46297</v>
      </c>
      <c r="N1461" s="16" t="s">
        <v>5449</v>
      </c>
      <c r="O1461" s="16"/>
      <c r="P1461" s="16" t="str">
        <f aca="false">IF(AND(L1461&lt;=$D$2,M1461&gt;=$C$2),"Sí","")</f>
        <v/>
      </c>
      <c r="Q1461" s="18" t="str">
        <f aca="false">IF(COUNTIF(LOOKAHEAD!$A$5:$A$604,A1461)&gt;0,"En Lookahead",IF(P1461="Sí","INCORPORAR",""))</f>
        <v/>
      </c>
    </row>
    <row r="1462" customFormat="false" ht="15" hidden="false" customHeight="false" outlineLevel="0" collapsed="false">
      <c r="A1462" s="13" t="s">
        <v>5450</v>
      </c>
      <c r="B1462" s="13" t="n">
        <v>1457</v>
      </c>
      <c r="C1462" s="13" t="s">
        <v>5451</v>
      </c>
      <c r="D1462" s="13" t="n">
        <v>6</v>
      </c>
      <c r="E1462" s="36" t="s">
        <v>2491</v>
      </c>
      <c r="F1462" s="13" t="s">
        <v>1298</v>
      </c>
      <c r="G1462" s="13" t="s">
        <v>322</v>
      </c>
      <c r="H1462" s="13" t="s">
        <v>5350</v>
      </c>
      <c r="I1462" s="13" t="s">
        <v>114</v>
      </c>
      <c r="J1462" s="13" t="s">
        <v>1623</v>
      </c>
      <c r="K1462" s="30" t="n">
        <v>7</v>
      </c>
      <c r="L1462" s="31" t="n">
        <v>46289</v>
      </c>
      <c r="M1462" s="31" t="n">
        <v>46295</v>
      </c>
      <c r="N1462" s="13"/>
      <c r="O1462" s="13"/>
      <c r="P1462" s="13"/>
      <c r="Q1462" s="13"/>
    </row>
    <row r="1463" customFormat="false" ht="15" hidden="false" customHeight="false" outlineLevel="0" collapsed="false">
      <c r="A1463" s="16" t="s">
        <v>5452</v>
      </c>
      <c r="B1463" s="16" t="n">
        <v>1458</v>
      </c>
      <c r="C1463" s="16" t="s">
        <v>5453</v>
      </c>
      <c r="D1463" s="16" t="n">
        <v>7</v>
      </c>
      <c r="E1463" s="37" t="s">
        <v>1859</v>
      </c>
      <c r="F1463" s="16" t="s">
        <v>1285</v>
      </c>
      <c r="G1463" s="16" t="s">
        <v>322</v>
      </c>
      <c r="H1463" s="16" t="s">
        <v>5350</v>
      </c>
      <c r="I1463" s="16" t="s">
        <v>114</v>
      </c>
      <c r="J1463" s="16" t="s">
        <v>2491</v>
      </c>
      <c r="K1463" s="32" t="n">
        <v>1</v>
      </c>
      <c r="L1463" s="33" t="n">
        <v>46294</v>
      </c>
      <c r="M1463" s="33" t="n">
        <v>46294</v>
      </c>
      <c r="N1463" s="16" t="s">
        <v>5454</v>
      </c>
      <c r="O1463" s="16"/>
      <c r="P1463" s="16" t="str">
        <f aca="false">IF(AND(L1463&lt;=$D$2,M1463&gt;=$C$2),"Sí","")</f>
        <v/>
      </c>
      <c r="Q1463" s="18" t="str">
        <f aca="false">IF(COUNTIF(LOOKAHEAD!$A$5:$A$604,A1463)&gt;0,"En Lookahead",IF(P1463="Sí","INCORPORAR",""))</f>
        <v/>
      </c>
    </row>
    <row r="1464" customFormat="false" ht="15" hidden="false" customHeight="false" outlineLevel="0" collapsed="false">
      <c r="A1464" s="16" t="s">
        <v>5455</v>
      </c>
      <c r="B1464" s="16" t="n">
        <v>1459</v>
      </c>
      <c r="C1464" s="16" t="s">
        <v>5456</v>
      </c>
      <c r="D1464" s="16" t="n">
        <v>7</v>
      </c>
      <c r="E1464" s="37" t="s">
        <v>1929</v>
      </c>
      <c r="F1464" s="16" t="s">
        <v>1285</v>
      </c>
      <c r="G1464" s="16" t="s">
        <v>322</v>
      </c>
      <c r="H1464" s="16" t="s">
        <v>5350</v>
      </c>
      <c r="I1464" s="16" t="s">
        <v>114</v>
      </c>
      <c r="J1464" s="16" t="s">
        <v>2491</v>
      </c>
      <c r="K1464" s="32" t="n">
        <v>1</v>
      </c>
      <c r="L1464" s="33" t="n">
        <v>46293</v>
      </c>
      <c r="M1464" s="33" t="n">
        <v>46293</v>
      </c>
      <c r="N1464" s="16" t="s">
        <v>5457</v>
      </c>
      <c r="O1464" s="16"/>
      <c r="P1464" s="16" t="str">
        <f aca="false">IF(AND(L1464&lt;=$D$2,M1464&gt;=$C$2),"Sí","")</f>
        <v/>
      </c>
      <c r="Q1464" s="18" t="str">
        <f aca="false">IF(COUNTIF(LOOKAHEAD!$A$5:$A$604,A1464)&gt;0,"En Lookahead",IF(P1464="Sí","INCORPORAR",""))</f>
        <v/>
      </c>
    </row>
    <row r="1465" customFormat="false" ht="15" hidden="false" customHeight="false" outlineLevel="0" collapsed="false">
      <c r="A1465" s="16" t="s">
        <v>5458</v>
      </c>
      <c r="B1465" s="16" t="n">
        <v>1460</v>
      </c>
      <c r="C1465" s="16" t="s">
        <v>5459</v>
      </c>
      <c r="D1465" s="16" t="n">
        <v>7</v>
      </c>
      <c r="E1465" s="37" t="s">
        <v>1932</v>
      </c>
      <c r="F1465" s="16" t="s">
        <v>1285</v>
      </c>
      <c r="G1465" s="16" t="s">
        <v>322</v>
      </c>
      <c r="H1465" s="16" t="s">
        <v>5350</v>
      </c>
      <c r="I1465" s="16" t="s">
        <v>114</v>
      </c>
      <c r="J1465" s="16" t="s">
        <v>2491</v>
      </c>
      <c r="K1465" s="32" t="n">
        <v>4</v>
      </c>
      <c r="L1465" s="33" t="n">
        <v>46289</v>
      </c>
      <c r="M1465" s="33" t="n">
        <v>46292</v>
      </c>
      <c r="N1465" s="16" t="s">
        <v>5460</v>
      </c>
      <c r="O1465" s="16"/>
      <c r="P1465" s="16" t="str">
        <f aca="false">IF(AND(L1465&lt;=$D$2,M1465&gt;=$C$2),"Sí","")</f>
        <v/>
      </c>
      <c r="Q1465" s="18" t="str">
        <f aca="false">IF(COUNTIF(LOOKAHEAD!$A$5:$A$604,A1465)&gt;0,"En Lookahead",IF(P1465="Sí","INCORPORAR",""))</f>
        <v/>
      </c>
    </row>
    <row r="1466" customFormat="false" ht="15" hidden="false" customHeight="false" outlineLevel="0" collapsed="false">
      <c r="A1466" s="16" t="s">
        <v>5461</v>
      </c>
      <c r="B1466" s="16" t="n">
        <v>1461</v>
      </c>
      <c r="C1466" s="16" t="s">
        <v>5462</v>
      </c>
      <c r="D1466" s="16" t="n">
        <v>7</v>
      </c>
      <c r="E1466" s="37" t="s">
        <v>1602</v>
      </c>
      <c r="F1466" s="16" t="s">
        <v>1285</v>
      </c>
      <c r="G1466" s="16" t="s">
        <v>322</v>
      </c>
      <c r="H1466" s="16" t="s">
        <v>5350</v>
      </c>
      <c r="I1466" s="16" t="s">
        <v>114</v>
      </c>
      <c r="J1466" s="16" t="s">
        <v>2491</v>
      </c>
      <c r="K1466" s="32" t="n">
        <v>1</v>
      </c>
      <c r="L1466" s="33" t="n">
        <v>46295</v>
      </c>
      <c r="M1466" s="33" t="n">
        <v>46295</v>
      </c>
      <c r="N1466" s="16" t="s">
        <v>5463</v>
      </c>
      <c r="O1466" s="16"/>
      <c r="P1466" s="16" t="str">
        <f aca="false">IF(AND(L1466&lt;=$D$2,M1466&gt;=$C$2),"Sí","")</f>
        <v/>
      </c>
      <c r="Q1466" s="18" t="str">
        <f aca="false">IF(COUNTIF(LOOKAHEAD!$A$5:$A$604,A1466)&gt;0,"En Lookahead",IF(P1466="Sí","INCORPORAR",""))</f>
        <v/>
      </c>
    </row>
    <row r="1467" customFormat="false" ht="15" hidden="false" customHeight="false" outlineLevel="0" collapsed="false">
      <c r="A1467" s="13" t="s">
        <v>5464</v>
      </c>
      <c r="B1467" s="13" t="n">
        <v>1462</v>
      </c>
      <c r="C1467" s="13" t="s">
        <v>5465</v>
      </c>
      <c r="D1467" s="13" t="n">
        <v>6</v>
      </c>
      <c r="E1467" s="36" t="s">
        <v>1853</v>
      </c>
      <c r="F1467" s="13" t="s">
        <v>1298</v>
      </c>
      <c r="G1467" s="13" t="s">
        <v>322</v>
      </c>
      <c r="H1467" s="13" t="s">
        <v>5350</v>
      </c>
      <c r="I1467" s="13" t="s">
        <v>114</v>
      </c>
      <c r="J1467" s="13" t="s">
        <v>1623</v>
      </c>
      <c r="K1467" s="30" t="n">
        <v>10</v>
      </c>
      <c r="L1467" s="31" t="n">
        <v>46289</v>
      </c>
      <c r="M1467" s="31" t="n">
        <v>46298</v>
      </c>
      <c r="N1467" s="13"/>
      <c r="O1467" s="13"/>
      <c r="P1467" s="13"/>
      <c r="Q1467" s="13"/>
    </row>
    <row r="1468" customFormat="false" ht="15" hidden="false" customHeight="false" outlineLevel="0" collapsed="false">
      <c r="A1468" s="16" t="s">
        <v>5466</v>
      </c>
      <c r="B1468" s="16" t="n">
        <v>1463</v>
      </c>
      <c r="C1468" s="16" t="s">
        <v>5467</v>
      </c>
      <c r="D1468" s="16" t="n">
        <v>7</v>
      </c>
      <c r="E1468" s="37" t="s">
        <v>1859</v>
      </c>
      <c r="F1468" s="16" t="s">
        <v>1285</v>
      </c>
      <c r="G1468" s="16" t="s">
        <v>322</v>
      </c>
      <c r="H1468" s="16" t="s">
        <v>5350</v>
      </c>
      <c r="I1468" s="16" t="s">
        <v>114</v>
      </c>
      <c r="J1468" s="16" t="s">
        <v>1853</v>
      </c>
      <c r="K1468" s="32" t="n">
        <v>1</v>
      </c>
      <c r="L1468" s="33" t="n">
        <v>46297</v>
      </c>
      <c r="M1468" s="33" t="n">
        <v>46297</v>
      </c>
      <c r="N1468" s="16" t="s">
        <v>5468</v>
      </c>
      <c r="O1468" s="16"/>
      <c r="P1468" s="16" t="str">
        <f aca="false">IF(AND(L1468&lt;=$D$2,M1468&gt;=$C$2),"Sí","")</f>
        <v/>
      </c>
      <c r="Q1468" s="18" t="str">
        <f aca="false">IF(COUNTIF(LOOKAHEAD!$A$5:$A$604,A1468)&gt;0,"En Lookahead",IF(P1468="Sí","INCORPORAR",""))</f>
        <v/>
      </c>
    </row>
    <row r="1469" customFormat="false" ht="15" hidden="false" customHeight="false" outlineLevel="0" collapsed="false">
      <c r="A1469" s="16" t="s">
        <v>5469</v>
      </c>
      <c r="B1469" s="16" t="n">
        <v>1464</v>
      </c>
      <c r="C1469" s="16" t="s">
        <v>5470</v>
      </c>
      <c r="D1469" s="16" t="n">
        <v>7</v>
      </c>
      <c r="E1469" s="37" t="s">
        <v>1863</v>
      </c>
      <c r="F1469" s="16" t="s">
        <v>1285</v>
      </c>
      <c r="G1469" s="16" t="s">
        <v>322</v>
      </c>
      <c r="H1469" s="16" t="s">
        <v>5350</v>
      </c>
      <c r="I1469" s="16" t="s">
        <v>114</v>
      </c>
      <c r="J1469" s="16" t="s">
        <v>1853</v>
      </c>
      <c r="K1469" s="32" t="n">
        <v>5</v>
      </c>
      <c r="L1469" s="33" t="n">
        <v>46289</v>
      </c>
      <c r="M1469" s="33" t="n">
        <v>46293</v>
      </c>
      <c r="N1469" s="16" t="s">
        <v>5460</v>
      </c>
      <c r="O1469" s="16"/>
      <c r="P1469" s="16" t="str">
        <f aca="false">IF(AND(L1469&lt;=$D$2,M1469&gt;=$C$2),"Sí","")</f>
        <v/>
      </c>
      <c r="Q1469" s="18" t="str">
        <f aca="false">IF(COUNTIF(LOOKAHEAD!$A$5:$A$604,A1469)&gt;0,"En Lookahead",IF(P1469="Sí","INCORPORAR",""))</f>
        <v/>
      </c>
    </row>
    <row r="1470" customFormat="false" ht="15" hidden="false" customHeight="false" outlineLevel="0" collapsed="false">
      <c r="A1470" s="16" t="s">
        <v>5471</v>
      </c>
      <c r="B1470" s="16" t="n">
        <v>1465</v>
      </c>
      <c r="C1470" s="16" t="s">
        <v>5472</v>
      </c>
      <c r="D1470" s="16" t="n">
        <v>7</v>
      </c>
      <c r="E1470" s="37" t="s">
        <v>1867</v>
      </c>
      <c r="F1470" s="16" t="s">
        <v>1285</v>
      </c>
      <c r="G1470" s="16" t="s">
        <v>322</v>
      </c>
      <c r="H1470" s="16" t="s">
        <v>5350</v>
      </c>
      <c r="I1470" s="16" t="s">
        <v>114</v>
      </c>
      <c r="J1470" s="16" t="s">
        <v>1853</v>
      </c>
      <c r="K1470" s="32" t="n">
        <v>2</v>
      </c>
      <c r="L1470" s="33" t="n">
        <v>46295</v>
      </c>
      <c r="M1470" s="33" t="n">
        <v>46296</v>
      </c>
      <c r="N1470" s="16" t="s">
        <v>5473</v>
      </c>
      <c r="O1470" s="16"/>
      <c r="P1470" s="16" t="str">
        <f aca="false">IF(AND(L1470&lt;=$D$2,M1470&gt;=$C$2),"Sí","")</f>
        <v/>
      </c>
      <c r="Q1470" s="18" t="str">
        <f aca="false">IF(COUNTIF(LOOKAHEAD!$A$5:$A$604,A1470)&gt;0,"En Lookahead",IF(P1470="Sí","INCORPORAR",""))</f>
        <v/>
      </c>
    </row>
    <row r="1471" customFormat="false" ht="15" hidden="false" customHeight="false" outlineLevel="0" collapsed="false">
      <c r="A1471" s="16" t="s">
        <v>5474</v>
      </c>
      <c r="B1471" s="16" t="n">
        <v>1466</v>
      </c>
      <c r="C1471" s="16" t="s">
        <v>5475</v>
      </c>
      <c r="D1471" s="16" t="n">
        <v>7</v>
      </c>
      <c r="E1471" s="37" t="s">
        <v>1871</v>
      </c>
      <c r="F1471" s="16" t="s">
        <v>1285</v>
      </c>
      <c r="G1471" s="16" t="s">
        <v>322</v>
      </c>
      <c r="H1471" s="16" t="s">
        <v>5350</v>
      </c>
      <c r="I1471" s="16" t="s">
        <v>114</v>
      </c>
      <c r="J1471" s="16" t="s">
        <v>1853</v>
      </c>
      <c r="K1471" s="32" t="n">
        <v>1</v>
      </c>
      <c r="L1471" s="33" t="n">
        <v>46294</v>
      </c>
      <c r="M1471" s="33" t="n">
        <v>46294</v>
      </c>
      <c r="N1471" s="16" t="s">
        <v>5476</v>
      </c>
      <c r="O1471" s="16"/>
      <c r="P1471" s="16" t="str">
        <f aca="false">IF(AND(L1471&lt;=$D$2,M1471&gt;=$C$2),"Sí","")</f>
        <v/>
      </c>
      <c r="Q1471" s="18" t="str">
        <f aca="false">IF(COUNTIF(LOOKAHEAD!$A$5:$A$604,A1471)&gt;0,"En Lookahead",IF(P1471="Sí","INCORPORAR",""))</f>
        <v/>
      </c>
    </row>
    <row r="1472" customFormat="false" ht="15" hidden="false" customHeight="false" outlineLevel="0" collapsed="false">
      <c r="A1472" s="16" t="s">
        <v>5477</v>
      </c>
      <c r="B1472" s="16" t="n">
        <v>1467</v>
      </c>
      <c r="C1472" s="16" t="s">
        <v>5478</v>
      </c>
      <c r="D1472" s="16" t="n">
        <v>7</v>
      </c>
      <c r="E1472" s="37" t="s">
        <v>1602</v>
      </c>
      <c r="F1472" s="16" t="s">
        <v>1285</v>
      </c>
      <c r="G1472" s="16" t="s">
        <v>322</v>
      </c>
      <c r="H1472" s="16" t="s">
        <v>5350</v>
      </c>
      <c r="I1472" s="16" t="s">
        <v>114</v>
      </c>
      <c r="J1472" s="16" t="s">
        <v>1853</v>
      </c>
      <c r="K1472" s="32" t="n">
        <v>1</v>
      </c>
      <c r="L1472" s="33" t="n">
        <v>46298</v>
      </c>
      <c r="M1472" s="33" t="n">
        <v>46298</v>
      </c>
      <c r="N1472" s="16" t="s">
        <v>5479</v>
      </c>
      <c r="O1472" s="16"/>
      <c r="P1472" s="16" t="str">
        <f aca="false">IF(AND(L1472&lt;=$D$2,M1472&gt;=$C$2),"Sí","")</f>
        <v/>
      </c>
      <c r="Q1472" s="18" t="str">
        <f aca="false">IF(COUNTIF(LOOKAHEAD!$A$5:$A$604,A1472)&gt;0,"En Lookahead",IF(P1472="Sí","INCORPORAR",""))</f>
        <v/>
      </c>
    </row>
    <row r="1473" customFormat="false" ht="15" hidden="false" customHeight="false" outlineLevel="0" collapsed="false">
      <c r="A1473" s="13" t="s">
        <v>5480</v>
      </c>
      <c r="B1473" s="13" t="n">
        <v>1468</v>
      </c>
      <c r="C1473" s="13" t="s">
        <v>5481</v>
      </c>
      <c r="D1473" s="13" t="n">
        <v>6</v>
      </c>
      <c r="E1473" s="36" t="s">
        <v>1985</v>
      </c>
      <c r="F1473" s="13" t="s">
        <v>1298</v>
      </c>
      <c r="G1473" s="13" t="s">
        <v>322</v>
      </c>
      <c r="H1473" s="13" t="s">
        <v>5350</v>
      </c>
      <c r="I1473" s="13" t="s">
        <v>114</v>
      </c>
      <c r="J1473" s="13" t="s">
        <v>1623</v>
      </c>
      <c r="K1473" s="30" t="n">
        <v>5</v>
      </c>
      <c r="L1473" s="31" t="n">
        <v>46313</v>
      </c>
      <c r="M1473" s="31" t="n">
        <v>46317</v>
      </c>
      <c r="N1473" s="13"/>
      <c r="O1473" s="13"/>
      <c r="P1473" s="13"/>
      <c r="Q1473" s="13"/>
    </row>
    <row r="1474" customFormat="false" ht="15" hidden="false" customHeight="false" outlineLevel="0" collapsed="false">
      <c r="A1474" s="16" t="s">
        <v>5482</v>
      </c>
      <c r="B1474" s="16" t="n">
        <v>1469</v>
      </c>
      <c r="C1474" s="16" t="s">
        <v>5483</v>
      </c>
      <c r="D1474" s="16" t="n">
        <v>7</v>
      </c>
      <c r="E1474" s="37" t="s">
        <v>1991</v>
      </c>
      <c r="F1474" s="16" t="s">
        <v>1285</v>
      </c>
      <c r="G1474" s="16" t="s">
        <v>322</v>
      </c>
      <c r="H1474" s="16" t="s">
        <v>5350</v>
      </c>
      <c r="I1474" s="16" t="s">
        <v>114</v>
      </c>
      <c r="J1474" s="16" t="s">
        <v>1985</v>
      </c>
      <c r="K1474" s="32" t="n">
        <v>1</v>
      </c>
      <c r="L1474" s="33" t="n">
        <v>46316</v>
      </c>
      <c r="M1474" s="33" t="n">
        <v>46316</v>
      </c>
      <c r="N1474" s="16" t="s">
        <v>5484</v>
      </c>
      <c r="O1474" s="16"/>
      <c r="P1474" s="16" t="str">
        <f aca="false">IF(AND(L1474&lt;=$D$2,M1474&gt;=$C$2),"Sí","")</f>
        <v>Sí</v>
      </c>
      <c r="Q1474" s="18" t="str">
        <f aca="false">IF(COUNTIF(LOOKAHEAD!$A$5:$A$604,A1474)&gt;0,"En Lookahead",IF(P1474="Sí","INCORPORAR",""))</f>
        <v>En Lookahead</v>
      </c>
    </row>
    <row r="1475" customFormat="false" ht="15" hidden="false" customHeight="false" outlineLevel="0" collapsed="false">
      <c r="A1475" s="16" t="s">
        <v>5485</v>
      </c>
      <c r="B1475" s="16" t="n">
        <v>1470</v>
      </c>
      <c r="C1475" s="16" t="s">
        <v>5486</v>
      </c>
      <c r="D1475" s="16" t="n">
        <v>7</v>
      </c>
      <c r="E1475" s="37" t="s">
        <v>1995</v>
      </c>
      <c r="F1475" s="16" t="s">
        <v>1285</v>
      </c>
      <c r="G1475" s="16" t="s">
        <v>322</v>
      </c>
      <c r="H1475" s="16" t="s">
        <v>5350</v>
      </c>
      <c r="I1475" s="16" t="s">
        <v>114</v>
      </c>
      <c r="J1475" s="16" t="s">
        <v>1985</v>
      </c>
      <c r="K1475" s="32" t="n">
        <v>1</v>
      </c>
      <c r="L1475" s="33" t="n">
        <v>46315</v>
      </c>
      <c r="M1475" s="33" t="n">
        <v>46315</v>
      </c>
      <c r="N1475" s="16" t="s">
        <v>5487</v>
      </c>
      <c r="O1475" s="16"/>
      <c r="P1475" s="16" t="str">
        <f aca="false">IF(AND(L1475&lt;=$D$2,M1475&gt;=$C$2),"Sí","")</f>
        <v>Sí</v>
      </c>
      <c r="Q1475" s="18" t="str">
        <f aca="false">IF(COUNTIF(LOOKAHEAD!$A$5:$A$604,A1475)&gt;0,"En Lookahead",IF(P1475="Sí","INCORPORAR",""))</f>
        <v>En Lookahead</v>
      </c>
    </row>
    <row r="1476" customFormat="false" ht="15" hidden="false" customHeight="false" outlineLevel="0" collapsed="false">
      <c r="A1476" s="16" t="s">
        <v>5488</v>
      </c>
      <c r="B1476" s="16" t="n">
        <v>1471</v>
      </c>
      <c r="C1476" s="16" t="s">
        <v>5489</v>
      </c>
      <c r="D1476" s="16" t="n">
        <v>7</v>
      </c>
      <c r="E1476" s="37" t="s">
        <v>1999</v>
      </c>
      <c r="F1476" s="16" t="s">
        <v>1285</v>
      </c>
      <c r="G1476" s="16" t="s">
        <v>322</v>
      </c>
      <c r="H1476" s="16" t="s">
        <v>5350</v>
      </c>
      <c r="I1476" s="16" t="s">
        <v>114</v>
      </c>
      <c r="J1476" s="16" t="s">
        <v>1985</v>
      </c>
      <c r="K1476" s="32" t="n">
        <v>2</v>
      </c>
      <c r="L1476" s="33" t="n">
        <v>46313</v>
      </c>
      <c r="M1476" s="33" t="n">
        <v>46314</v>
      </c>
      <c r="N1476" s="16" t="s">
        <v>5490</v>
      </c>
      <c r="O1476" s="16"/>
      <c r="P1476" s="16" t="str">
        <f aca="false">IF(AND(L1476&lt;=$D$2,M1476&gt;=$C$2),"Sí","")</f>
        <v>Sí</v>
      </c>
      <c r="Q1476" s="18" t="str">
        <f aca="false">IF(COUNTIF(LOOKAHEAD!$A$5:$A$604,A1476)&gt;0,"En Lookahead",IF(P1476="Sí","INCORPORAR",""))</f>
        <v>En Lookahead</v>
      </c>
    </row>
    <row r="1477" customFormat="false" ht="15" hidden="false" customHeight="false" outlineLevel="0" collapsed="false">
      <c r="A1477" s="16" t="s">
        <v>5491</v>
      </c>
      <c r="B1477" s="16" t="n">
        <v>1472</v>
      </c>
      <c r="C1477" s="16" t="s">
        <v>5492</v>
      </c>
      <c r="D1477" s="16" t="n">
        <v>7</v>
      </c>
      <c r="E1477" s="37" t="s">
        <v>1677</v>
      </c>
      <c r="F1477" s="16" t="s">
        <v>1285</v>
      </c>
      <c r="G1477" s="16" t="s">
        <v>322</v>
      </c>
      <c r="H1477" s="16" t="s">
        <v>5350</v>
      </c>
      <c r="I1477" s="16" t="s">
        <v>114</v>
      </c>
      <c r="J1477" s="16" t="s">
        <v>1985</v>
      </c>
      <c r="K1477" s="32" t="n">
        <v>1</v>
      </c>
      <c r="L1477" s="33" t="n">
        <v>46317</v>
      </c>
      <c r="M1477" s="33" t="n">
        <v>46317</v>
      </c>
      <c r="N1477" s="16" t="s">
        <v>5493</v>
      </c>
      <c r="O1477" s="16"/>
      <c r="P1477" s="16" t="str">
        <f aca="false">IF(AND(L1477&lt;=$D$2,M1477&gt;=$C$2),"Sí","")</f>
        <v>Sí</v>
      </c>
      <c r="Q1477" s="18" t="str">
        <f aca="false">IF(COUNTIF(LOOKAHEAD!$A$5:$A$604,A1477)&gt;0,"En Lookahead",IF(P1477="Sí","INCORPORAR",""))</f>
        <v>En Lookahead</v>
      </c>
    </row>
    <row r="1478" customFormat="false" ht="15" hidden="false" customHeight="false" outlineLevel="0" collapsed="false">
      <c r="A1478" s="13" t="s">
        <v>5494</v>
      </c>
      <c r="B1478" s="13" t="n">
        <v>1473</v>
      </c>
      <c r="C1478" s="13" t="s">
        <v>5495</v>
      </c>
      <c r="D1478" s="13" t="n">
        <v>6</v>
      </c>
      <c r="E1478" s="36" t="s">
        <v>2054</v>
      </c>
      <c r="F1478" s="13" t="s">
        <v>1298</v>
      </c>
      <c r="G1478" s="13" t="s">
        <v>322</v>
      </c>
      <c r="H1478" s="13" t="s">
        <v>5350</v>
      </c>
      <c r="I1478" s="13" t="s">
        <v>114</v>
      </c>
      <c r="J1478" s="13" t="s">
        <v>1623</v>
      </c>
      <c r="K1478" s="30" t="n">
        <v>5</v>
      </c>
      <c r="L1478" s="31" t="n">
        <v>46317</v>
      </c>
      <c r="M1478" s="31" t="n">
        <v>46321</v>
      </c>
      <c r="N1478" s="13"/>
      <c r="O1478" s="13"/>
      <c r="P1478" s="13"/>
      <c r="Q1478" s="13"/>
    </row>
    <row r="1479" customFormat="false" ht="15" hidden="false" customHeight="false" outlineLevel="0" collapsed="false">
      <c r="A1479" s="16" t="s">
        <v>5496</v>
      </c>
      <c r="B1479" s="16" t="n">
        <v>1474</v>
      </c>
      <c r="C1479" s="16" t="s">
        <v>5497</v>
      </c>
      <c r="D1479" s="16" t="n">
        <v>7</v>
      </c>
      <c r="E1479" s="37" t="s">
        <v>2060</v>
      </c>
      <c r="F1479" s="16" t="s">
        <v>1285</v>
      </c>
      <c r="G1479" s="16" t="s">
        <v>322</v>
      </c>
      <c r="H1479" s="16" t="s">
        <v>5350</v>
      </c>
      <c r="I1479" s="16" t="s">
        <v>114</v>
      </c>
      <c r="J1479" s="16" t="s">
        <v>2054</v>
      </c>
      <c r="K1479" s="32" t="n">
        <v>1</v>
      </c>
      <c r="L1479" s="33" t="n">
        <v>46320</v>
      </c>
      <c r="M1479" s="33" t="n">
        <v>46320</v>
      </c>
      <c r="N1479" s="16" t="s">
        <v>5498</v>
      </c>
      <c r="O1479" s="16"/>
      <c r="P1479" s="16" t="str">
        <f aca="false">IF(AND(L1479&lt;=$D$2,M1479&gt;=$C$2),"Sí","")</f>
        <v>Sí</v>
      </c>
      <c r="Q1479" s="18" t="str">
        <f aca="false">IF(COUNTIF(LOOKAHEAD!$A$5:$A$604,A1479)&gt;0,"En Lookahead",IF(P1479="Sí","INCORPORAR",""))</f>
        <v>En Lookahead</v>
      </c>
    </row>
    <row r="1480" customFormat="false" ht="15" hidden="false" customHeight="false" outlineLevel="0" collapsed="false">
      <c r="A1480" s="16" t="s">
        <v>5499</v>
      </c>
      <c r="B1480" s="16" t="n">
        <v>1475</v>
      </c>
      <c r="C1480" s="16" t="s">
        <v>5500</v>
      </c>
      <c r="D1480" s="16" t="n">
        <v>7</v>
      </c>
      <c r="E1480" s="37" t="s">
        <v>2064</v>
      </c>
      <c r="F1480" s="16" t="s">
        <v>1285</v>
      </c>
      <c r="G1480" s="16" t="s">
        <v>322</v>
      </c>
      <c r="H1480" s="16" t="s">
        <v>5350</v>
      </c>
      <c r="I1480" s="16" t="s">
        <v>114</v>
      </c>
      <c r="J1480" s="16" t="s">
        <v>2054</v>
      </c>
      <c r="K1480" s="32" t="n">
        <v>2</v>
      </c>
      <c r="L1480" s="33" t="n">
        <v>46318</v>
      </c>
      <c r="M1480" s="33" t="n">
        <v>46319</v>
      </c>
      <c r="N1480" s="16" t="s">
        <v>5501</v>
      </c>
      <c r="O1480" s="16"/>
      <c r="P1480" s="16" t="str">
        <f aca="false">IF(AND(L1480&lt;=$D$2,M1480&gt;=$C$2),"Sí","")</f>
        <v>Sí</v>
      </c>
      <c r="Q1480" s="18" t="str">
        <f aca="false">IF(COUNTIF(LOOKAHEAD!$A$5:$A$604,A1480)&gt;0,"En Lookahead",IF(P1480="Sí","INCORPORAR",""))</f>
        <v>En Lookahead</v>
      </c>
    </row>
    <row r="1481" customFormat="false" ht="15" hidden="false" customHeight="false" outlineLevel="0" collapsed="false">
      <c r="A1481" s="16" t="s">
        <v>5502</v>
      </c>
      <c r="B1481" s="16" t="n">
        <v>1476</v>
      </c>
      <c r="C1481" s="16" t="s">
        <v>5503</v>
      </c>
      <c r="D1481" s="16" t="n">
        <v>7</v>
      </c>
      <c r="E1481" s="37" t="s">
        <v>1800</v>
      </c>
      <c r="F1481" s="16" t="s">
        <v>1285</v>
      </c>
      <c r="G1481" s="16" t="s">
        <v>322</v>
      </c>
      <c r="H1481" s="16" t="s">
        <v>5350</v>
      </c>
      <c r="I1481" s="16" t="s">
        <v>114</v>
      </c>
      <c r="J1481" s="16" t="s">
        <v>2054</v>
      </c>
      <c r="K1481" s="32" t="n">
        <v>1</v>
      </c>
      <c r="L1481" s="33" t="n">
        <v>46317</v>
      </c>
      <c r="M1481" s="33" t="n">
        <v>46317</v>
      </c>
      <c r="N1481" s="16" t="s">
        <v>5493</v>
      </c>
      <c r="O1481" s="16"/>
      <c r="P1481" s="16" t="str">
        <f aca="false">IF(AND(L1481&lt;=$D$2,M1481&gt;=$C$2),"Sí","")</f>
        <v>Sí</v>
      </c>
      <c r="Q1481" s="18" t="str">
        <f aca="false">IF(COUNTIF(LOOKAHEAD!$A$5:$A$604,A1481)&gt;0,"En Lookahead",IF(P1481="Sí","INCORPORAR",""))</f>
        <v>En Lookahead</v>
      </c>
    </row>
    <row r="1482" customFormat="false" ht="15" hidden="false" customHeight="false" outlineLevel="0" collapsed="false">
      <c r="A1482" s="16" t="s">
        <v>5504</v>
      </c>
      <c r="B1482" s="16" t="n">
        <v>1477</v>
      </c>
      <c r="C1482" s="16" t="s">
        <v>5505</v>
      </c>
      <c r="D1482" s="16" t="n">
        <v>7</v>
      </c>
      <c r="E1482" s="37" t="s">
        <v>1602</v>
      </c>
      <c r="F1482" s="16" t="s">
        <v>1285</v>
      </c>
      <c r="G1482" s="16" t="s">
        <v>322</v>
      </c>
      <c r="H1482" s="16" t="s">
        <v>5350</v>
      </c>
      <c r="I1482" s="16" t="s">
        <v>114</v>
      </c>
      <c r="J1482" s="16" t="s">
        <v>2054</v>
      </c>
      <c r="K1482" s="32" t="n">
        <v>1</v>
      </c>
      <c r="L1482" s="33" t="n">
        <v>46321</v>
      </c>
      <c r="M1482" s="33" t="n">
        <v>46321</v>
      </c>
      <c r="N1482" s="16" t="s">
        <v>5506</v>
      </c>
      <c r="O1482" s="16"/>
      <c r="P1482" s="16" t="str">
        <f aca="false">IF(AND(L1482&lt;=$D$2,M1482&gt;=$C$2),"Sí","")</f>
        <v>Sí</v>
      </c>
      <c r="Q1482" s="18" t="str">
        <f aca="false">IF(COUNTIF(LOOKAHEAD!$A$5:$A$604,A1482)&gt;0,"En Lookahead",IF(P1482="Sí","INCORPORAR",""))</f>
        <v>En Lookahead</v>
      </c>
    </row>
    <row r="1483" customFormat="false" ht="15" hidden="false" customHeight="false" outlineLevel="0" collapsed="false">
      <c r="A1483" s="13" t="s">
        <v>5507</v>
      </c>
      <c r="B1483" s="13" t="n">
        <v>1478</v>
      </c>
      <c r="C1483" s="13" t="s">
        <v>5508</v>
      </c>
      <c r="D1483" s="13" t="n">
        <v>6</v>
      </c>
      <c r="E1483" s="36" t="s">
        <v>2120</v>
      </c>
      <c r="F1483" s="13" t="s">
        <v>1298</v>
      </c>
      <c r="G1483" s="13" t="s">
        <v>322</v>
      </c>
      <c r="H1483" s="13" t="s">
        <v>5350</v>
      </c>
      <c r="I1483" s="13" t="s">
        <v>114</v>
      </c>
      <c r="J1483" s="13" t="s">
        <v>1623</v>
      </c>
      <c r="K1483" s="30" t="n">
        <v>6</v>
      </c>
      <c r="L1483" s="31" t="n">
        <v>46298</v>
      </c>
      <c r="M1483" s="31" t="n">
        <v>46303</v>
      </c>
      <c r="N1483" s="13"/>
      <c r="O1483" s="13"/>
      <c r="P1483" s="13"/>
      <c r="Q1483" s="13"/>
    </row>
    <row r="1484" customFormat="false" ht="15" hidden="false" customHeight="false" outlineLevel="0" collapsed="false">
      <c r="A1484" s="16" t="s">
        <v>5509</v>
      </c>
      <c r="B1484" s="16" t="n">
        <v>1479</v>
      </c>
      <c r="C1484" s="16" t="s">
        <v>5510</v>
      </c>
      <c r="D1484" s="16" t="n">
        <v>7</v>
      </c>
      <c r="E1484" s="37" t="s">
        <v>2123</v>
      </c>
      <c r="F1484" s="16" t="s">
        <v>1285</v>
      </c>
      <c r="G1484" s="16" t="s">
        <v>322</v>
      </c>
      <c r="H1484" s="16" t="s">
        <v>5350</v>
      </c>
      <c r="I1484" s="16" t="s">
        <v>114</v>
      </c>
      <c r="J1484" s="16" t="s">
        <v>2120</v>
      </c>
      <c r="K1484" s="32" t="n">
        <v>1</v>
      </c>
      <c r="L1484" s="33" t="n">
        <v>46302</v>
      </c>
      <c r="M1484" s="33" t="n">
        <v>46302</v>
      </c>
      <c r="N1484" s="16" t="s">
        <v>5511</v>
      </c>
      <c r="O1484" s="16"/>
      <c r="P1484" s="16" t="str">
        <f aca="false">IF(AND(L1484&lt;=$D$2,M1484&gt;=$C$2),"Sí","")</f>
        <v>Sí</v>
      </c>
      <c r="Q1484" s="18" t="str">
        <f aca="false">IF(COUNTIF(LOOKAHEAD!$A$5:$A$604,A1484)&gt;0,"En Lookahead",IF(P1484="Sí","INCORPORAR",""))</f>
        <v>En Lookahead</v>
      </c>
    </row>
    <row r="1485" customFormat="false" ht="15" hidden="false" customHeight="false" outlineLevel="0" collapsed="false">
      <c r="A1485" s="16" t="s">
        <v>5512</v>
      </c>
      <c r="B1485" s="16" t="n">
        <v>1480</v>
      </c>
      <c r="C1485" s="16" t="s">
        <v>5513</v>
      </c>
      <c r="D1485" s="16" t="n">
        <v>7</v>
      </c>
      <c r="E1485" s="37" t="s">
        <v>2127</v>
      </c>
      <c r="F1485" s="16" t="s">
        <v>1285</v>
      </c>
      <c r="G1485" s="16" t="s">
        <v>322</v>
      </c>
      <c r="H1485" s="16" t="s">
        <v>5350</v>
      </c>
      <c r="I1485" s="16" t="s">
        <v>114</v>
      </c>
      <c r="J1485" s="16" t="s">
        <v>2120</v>
      </c>
      <c r="K1485" s="32" t="n">
        <v>3</v>
      </c>
      <c r="L1485" s="33" t="n">
        <v>46299</v>
      </c>
      <c r="M1485" s="33" t="n">
        <v>46301</v>
      </c>
      <c r="N1485" s="16" t="s">
        <v>5514</v>
      </c>
      <c r="O1485" s="16"/>
      <c r="P1485" s="16" t="str">
        <f aca="false">IF(AND(L1485&lt;=$D$2,M1485&gt;=$C$2),"Sí","")</f>
        <v>Sí</v>
      </c>
      <c r="Q1485" s="18" t="str">
        <f aca="false">IF(COUNTIF(LOOKAHEAD!$A$5:$A$604,A1485)&gt;0,"En Lookahead",IF(P1485="Sí","INCORPORAR",""))</f>
        <v>En Lookahead</v>
      </c>
    </row>
    <row r="1486" customFormat="false" ht="15" hidden="false" customHeight="false" outlineLevel="0" collapsed="false">
      <c r="A1486" s="16" t="s">
        <v>5515</v>
      </c>
      <c r="B1486" s="16" t="n">
        <v>1481</v>
      </c>
      <c r="C1486" s="16" t="s">
        <v>5516</v>
      </c>
      <c r="D1486" s="16" t="n">
        <v>7</v>
      </c>
      <c r="E1486" s="37" t="s">
        <v>5517</v>
      </c>
      <c r="F1486" s="16" t="s">
        <v>1285</v>
      </c>
      <c r="G1486" s="16" t="s">
        <v>322</v>
      </c>
      <c r="H1486" s="16" t="s">
        <v>5350</v>
      </c>
      <c r="I1486" s="16" t="s">
        <v>114</v>
      </c>
      <c r="J1486" s="16" t="s">
        <v>2120</v>
      </c>
      <c r="K1486" s="32" t="n">
        <v>1</v>
      </c>
      <c r="L1486" s="33" t="n">
        <v>46298</v>
      </c>
      <c r="M1486" s="33" t="n">
        <v>46298</v>
      </c>
      <c r="N1486" s="16" t="s">
        <v>5479</v>
      </c>
      <c r="O1486" s="16"/>
      <c r="P1486" s="16" t="str">
        <f aca="false">IF(AND(L1486&lt;=$D$2,M1486&gt;=$C$2),"Sí","")</f>
        <v/>
      </c>
      <c r="Q1486" s="18" t="str">
        <f aca="false">IF(COUNTIF(LOOKAHEAD!$A$5:$A$604,A1486)&gt;0,"En Lookahead",IF(P1486="Sí","INCORPORAR",""))</f>
        <v/>
      </c>
    </row>
    <row r="1487" customFormat="false" ht="15" hidden="false" customHeight="false" outlineLevel="0" collapsed="false">
      <c r="A1487" s="16" t="s">
        <v>5518</v>
      </c>
      <c r="B1487" s="16" t="n">
        <v>1482</v>
      </c>
      <c r="C1487" s="16" t="s">
        <v>5519</v>
      </c>
      <c r="D1487" s="16" t="n">
        <v>7</v>
      </c>
      <c r="E1487" s="37" t="s">
        <v>1602</v>
      </c>
      <c r="F1487" s="16" t="s">
        <v>1285</v>
      </c>
      <c r="G1487" s="16" t="s">
        <v>322</v>
      </c>
      <c r="H1487" s="16" t="s">
        <v>5350</v>
      </c>
      <c r="I1487" s="16" t="s">
        <v>114</v>
      </c>
      <c r="J1487" s="16" t="s">
        <v>2120</v>
      </c>
      <c r="K1487" s="32" t="n">
        <v>1</v>
      </c>
      <c r="L1487" s="33" t="n">
        <v>46303</v>
      </c>
      <c r="M1487" s="33" t="n">
        <v>46303</v>
      </c>
      <c r="N1487" s="16" t="s">
        <v>5520</v>
      </c>
      <c r="O1487" s="16"/>
      <c r="P1487" s="16" t="str">
        <f aca="false">IF(AND(L1487&lt;=$D$2,M1487&gt;=$C$2),"Sí","")</f>
        <v>Sí</v>
      </c>
      <c r="Q1487" s="18" t="str">
        <f aca="false">IF(COUNTIF(LOOKAHEAD!$A$5:$A$604,A1487)&gt;0,"En Lookahead",IF(P1487="Sí","INCORPORAR",""))</f>
        <v>En Lookahead</v>
      </c>
    </row>
    <row r="1488" customFormat="false" ht="15" hidden="false" customHeight="false" outlineLevel="0" collapsed="false">
      <c r="A1488" s="13" t="s">
        <v>5521</v>
      </c>
      <c r="B1488" s="13" t="n">
        <v>1483</v>
      </c>
      <c r="C1488" s="13" t="s">
        <v>5522</v>
      </c>
      <c r="D1488" s="13" t="n">
        <v>6</v>
      </c>
      <c r="E1488" s="36" t="s">
        <v>2137</v>
      </c>
      <c r="F1488" s="13" t="s">
        <v>1298</v>
      </c>
      <c r="G1488" s="13" t="s">
        <v>322</v>
      </c>
      <c r="H1488" s="13" t="s">
        <v>5350</v>
      </c>
      <c r="I1488" s="13" t="s">
        <v>114</v>
      </c>
      <c r="J1488" s="13" t="s">
        <v>1623</v>
      </c>
      <c r="K1488" s="30" t="n">
        <v>1</v>
      </c>
      <c r="L1488" s="31" t="n">
        <v>46299</v>
      </c>
      <c r="M1488" s="31" t="n">
        <v>46299</v>
      </c>
      <c r="N1488" s="13"/>
      <c r="O1488" s="13"/>
      <c r="P1488" s="13"/>
      <c r="Q1488" s="13"/>
    </row>
    <row r="1489" customFormat="false" ht="15" hidden="false" customHeight="false" outlineLevel="0" collapsed="false">
      <c r="A1489" s="16" t="s">
        <v>5523</v>
      </c>
      <c r="B1489" s="16" t="n">
        <v>1484</v>
      </c>
      <c r="C1489" s="16" t="s">
        <v>5524</v>
      </c>
      <c r="D1489" s="16" t="n">
        <v>7</v>
      </c>
      <c r="E1489" s="37" t="s">
        <v>2144</v>
      </c>
      <c r="F1489" s="16" t="s">
        <v>1285</v>
      </c>
      <c r="G1489" s="16" t="s">
        <v>322</v>
      </c>
      <c r="H1489" s="16" t="s">
        <v>5350</v>
      </c>
      <c r="I1489" s="16" t="s">
        <v>114</v>
      </c>
      <c r="J1489" s="16" t="s">
        <v>2137</v>
      </c>
      <c r="K1489" s="32" t="n">
        <v>1</v>
      </c>
      <c r="L1489" s="33" t="n">
        <v>46299</v>
      </c>
      <c r="M1489" s="33" t="n">
        <v>46299</v>
      </c>
      <c r="N1489" s="16" t="s">
        <v>5525</v>
      </c>
      <c r="O1489" s="16"/>
      <c r="P1489" s="16" t="str">
        <f aca="false">IF(AND(L1489&lt;=$D$2,M1489&gt;=$C$2),"Sí","")</f>
        <v/>
      </c>
      <c r="Q1489" s="18" t="str">
        <f aca="false">IF(COUNTIF(LOOKAHEAD!$A$5:$A$604,A1489)&gt;0,"En Lookahead",IF(P1489="Sí","INCORPORAR",""))</f>
        <v/>
      </c>
    </row>
    <row r="1490" customFormat="false" ht="15" hidden="false" customHeight="false" outlineLevel="0" collapsed="false">
      <c r="A1490" s="13" t="s">
        <v>5526</v>
      </c>
      <c r="B1490" s="13" t="n">
        <v>1485</v>
      </c>
      <c r="C1490" s="13" t="s">
        <v>5527</v>
      </c>
      <c r="D1490" s="13" t="n">
        <v>5</v>
      </c>
      <c r="E1490" s="34" t="s">
        <v>5528</v>
      </c>
      <c r="F1490" s="13" t="s">
        <v>1298</v>
      </c>
      <c r="G1490" s="13" t="s">
        <v>322</v>
      </c>
      <c r="H1490" s="13" t="s">
        <v>5350</v>
      </c>
      <c r="I1490" s="13" t="s">
        <v>114</v>
      </c>
      <c r="J1490" s="13" t="s">
        <v>5350</v>
      </c>
      <c r="K1490" s="30" t="n">
        <v>15</v>
      </c>
      <c r="L1490" s="31" t="n">
        <v>46298</v>
      </c>
      <c r="M1490" s="31" t="n">
        <v>46312</v>
      </c>
      <c r="N1490" s="13"/>
      <c r="O1490" s="13"/>
      <c r="P1490" s="13"/>
      <c r="Q1490" s="13"/>
    </row>
    <row r="1491" customFormat="false" ht="15" hidden="false" customHeight="false" outlineLevel="0" collapsed="false">
      <c r="A1491" s="16" t="s">
        <v>5529</v>
      </c>
      <c r="B1491" s="16" t="n">
        <v>1486</v>
      </c>
      <c r="C1491" s="16" t="s">
        <v>5530</v>
      </c>
      <c r="D1491" s="16" t="n">
        <v>6</v>
      </c>
      <c r="E1491" s="35" t="s">
        <v>5531</v>
      </c>
      <c r="F1491" s="16" t="s">
        <v>1285</v>
      </c>
      <c r="G1491" s="16" t="s">
        <v>322</v>
      </c>
      <c r="H1491" s="16" t="s">
        <v>5350</v>
      </c>
      <c r="I1491" s="16" t="s">
        <v>114</v>
      </c>
      <c r="J1491" s="16" t="s">
        <v>5528</v>
      </c>
      <c r="K1491" s="32" t="n">
        <v>2</v>
      </c>
      <c r="L1491" s="33" t="n">
        <v>46307</v>
      </c>
      <c r="M1491" s="33" t="n">
        <v>46308</v>
      </c>
      <c r="N1491" s="16" t="s">
        <v>5532</v>
      </c>
      <c r="O1491" s="16"/>
      <c r="P1491" s="16" t="str">
        <f aca="false">IF(AND(L1491&lt;=$D$2,M1491&gt;=$C$2),"Sí","")</f>
        <v>Sí</v>
      </c>
      <c r="Q1491" s="18" t="str">
        <f aca="false">IF(COUNTIF(LOOKAHEAD!$A$5:$A$604,A1491)&gt;0,"En Lookahead",IF(P1491="Sí","INCORPORAR",""))</f>
        <v>En Lookahead</v>
      </c>
    </row>
    <row r="1492" customFormat="false" ht="15" hidden="false" customHeight="false" outlineLevel="0" collapsed="false">
      <c r="A1492" s="16" t="s">
        <v>5533</v>
      </c>
      <c r="B1492" s="16" t="n">
        <v>1487</v>
      </c>
      <c r="C1492" s="16" t="s">
        <v>5534</v>
      </c>
      <c r="D1492" s="16" t="n">
        <v>6</v>
      </c>
      <c r="E1492" s="35" t="s">
        <v>5535</v>
      </c>
      <c r="F1492" s="16" t="s">
        <v>1285</v>
      </c>
      <c r="G1492" s="16" t="s">
        <v>322</v>
      </c>
      <c r="H1492" s="16" t="s">
        <v>5350</v>
      </c>
      <c r="I1492" s="16" t="s">
        <v>114</v>
      </c>
      <c r="J1492" s="16" t="s">
        <v>5528</v>
      </c>
      <c r="K1492" s="32" t="n">
        <v>2</v>
      </c>
      <c r="L1492" s="33" t="n">
        <v>46307</v>
      </c>
      <c r="M1492" s="33" t="n">
        <v>46308</v>
      </c>
      <c r="N1492" s="16" t="s">
        <v>5532</v>
      </c>
      <c r="O1492" s="16"/>
      <c r="P1492" s="16" t="str">
        <f aca="false">IF(AND(L1492&lt;=$D$2,M1492&gt;=$C$2),"Sí","")</f>
        <v>Sí</v>
      </c>
      <c r="Q1492" s="18" t="str">
        <f aca="false">IF(COUNTIF(LOOKAHEAD!$A$5:$A$604,A1492)&gt;0,"En Lookahead",IF(P1492="Sí","INCORPORAR",""))</f>
        <v>En Lookahead</v>
      </c>
    </row>
    <row r="1493" customFormat="false" ht="15" hidden="false" customHeight="false" outlineLevel="0" collapsed="false">
      <c r="A1493" s="16" t="s">
        <v>5536</v>
      </c>
      <c r="B1493" s="16" t="n">
        <v>1488</v>
      </c>
      <c r="C1493" s="16" t="s">
        <v>5537</v>
      </c>
      <c r="D1493" s="16" t="n">
        <v>6</v>
      </c>
      <c r="E1493" s="35" t="s">
        <v>4391</v>
      </c>
      <c r="F1493" s="16" t="s">
        <v>1285</v>
      </c>
      <c r="G1493" s="16" t="s">
        <v>322</v>
      </c>
      <c r="H1493" s="16" t="s">
        <v>5350</v>
      </c>
      <c r="I1493" s="16" t="s">
        <v>114</v>
      </c>
      <c r="J1493" s="16" t="s">
        <v>5528</v>
      </c>
      <c r="K1493" s="32" t="n">
        <v>3</v>
      </c>
      <c r="L1493" s="33" t="n">
        <v>46309</v>
      </c>
      <c r="M1493" s="33" t="n">
        <v>46311</v>
      </c>
      <c r="N1493" s="16" t="s">
        <v>5538</v>
      </c>
      <c r="O1493" s="16"/>
      <c r="P1493" s="16" t="str">
        <f aca="false">IF(AND(L1493&lt;=$D$2,M1493&gt;=$C$2),"Sí","")</f>
        <v>Sí</v>
      </c>
      <c r="Q1493" s="18" t="str">
        <f aca="false">IF(COUNTIF(LOOKAHEAD!$A$5:$A$604,A1493)&gt;0,"En Lookahead",IF(P1493="Sí","INCORPORAR",""))</f>
        <v>En Lookahead</v>
      </c>
    </row>
    <row r="1494" customFormat="false" ht="15" hidden="false" customHeight="false" outlineLevel="0" collapsed="false">
      <c r="A1494" s="16" t="s">
        <v>5539</v>
      </c>
      <c r="B1494" s="16" t="n">
        <v>1489</v>
      </c>
      <c r="C1494" s="16" t="s">
        <v>5540</v>
      </c>
      <c r="D1494" s="16" t="n">
        <v>6</v>
      </c>
      <c r="E1494" s="35" t="s">
        <v>5541</v>
      </c>
      <c r="F1494" s="16" t="s">
        <v>1285</v>
      </c>
      <c r="G1494" s="16" t="s">
        <v>322</v>
      </c>
      <c r="H1494" s="16" t="s">
        <v>5350</v>
      </c>
      <c r="I1494" s="16" t="s">
        <v>114</v>
      </c>
      <c r="J1494" s="16" t="s">
        <v>5528</v>
      </c>
      <c r="K1494" s="32" t="n">
        <v>4</v>
      </c>
      <c r="L1494" s="33" t="n">
        <v>46302</v>
      </c>
      <c r="M1494" s="33" t="n">
        <v>46305</v>
      </c>
      <c r="N1494" s="16" t="s">
        <v>5542</v>
      </c>
      <c r="O1494" s="16"/>
      <c r="P1494" s="16" t="str">
        <f aca="false">IF(AND(L1494&lt;=$D$2,M1494&gt;=$C$2),"Sí","")</f>
        <v>Sí</v>
      </c>
      <c r="Q1494" s="18" t="str">
        <f aca="false">IF(COUNTIF(LOOKAHEAD!$A$5:$A$604,A1494)&gt;0,"En Lookahead",IF(P1494="Sí","INCORPORAR",""))</f>
        <v>En Lookahead</v>
      </c>
    </row>
    <row r="1495" customFormat="false" ht="15" hidden="false" customHeight="false" outlineLevel="0" collapsed="false">
      <c r="A1495" s="16" t="s">
        <v>5543</v>
      </c>
      <c r="B1495" s="16" t="n">
        <v>1490</v>
      </c>
      <c r="C1495" s="16" t="s">
        <v>5544</v>
      </c>
      <c r="D1495" s="16" t="n">
        <v>6</v>
      </c>
      <c r="E1495" s="35" t="s">
        <v>2207</v>
      </c>
      <c r="F1495" s="16" t="s">
        <v>1285</v>
      </c>
      <c r="G1495" s="16" t="s">
        <v>322</v>
      </c>
      <c r="H1495" s="16" t="s">
        <v>5350</v>
      </c>
      <c r="I1495" s="16" t="s">
        <v>114</v>
      </c>
      <c r="J1495" s="16" t="s">
        <v>5528</v>
      </c>
      <c r="K1495" s="32" t="n">
        <v>1</v>
      </c>
      <c r="L1495" s="33" t="n">
        <v>46306</v>
      </c>
      <c r="M1495" s="33" t="n">
        <v>46306</v>
      </c>
      <c r="N1495" s="16" t="s">
        <v>5545</v>
      </c>
      <c r="O1495" s="16"/>
      <c r="P1495" s="16" t="str">
        <f aca="false">IF(AND(L1495&lt;=$D$2,M1495&gt;=$C$2),"Sí","")</f>
        <v>Sí</v>
      </c>
      <c r="Q1495" s="18" t="str">
        <f aca="false">IF(COUNTIF(LOOKAHEAD!$A$5:$A$604,A1495)&gt;0,"En Lookahead",IF(P1495="Sí","INCORPORAR",""))</f>
        <v>En Lookahead</v>
      </c>
    </row>
    <row r="1496" customFormat="false" ht="15" hidden="false" customHeight="false" outlineLevel="0" collapsed="false">
      <c r="A1496" s="16" t="s">
        <v>5546</v>
      </c>
      <c r="B1496" s="16" t="n">
        <v>1491</v>
      </c>
      <c r="C1496" s="16" t="s">
        <v>5547</v>
      </c>
      <c r="D1496" s="16" t="n">
        <v>6</v>
      </c>
      <c r="E1496" s="35" t="s">
        <v>2211</v>
      </c>
      <c r="F1496" s="16" t="s">
        <v>1285</v>
      </c>
      <c r="G1496" s="16" t="s">
        <v>322</v>
      </c>
      <c r="H1496" s="16" t="s">
        <v>5350</v>
      </c>
      <c r="I1496" s="16" t="s">
        <v>114</v>
      </c>
      <c r="J1496" s="16" t="s">
        <v>5528</v>
      </c>
      <c r="K1496" s="32" t="n">
        <v>2</v>
      </c>
      <c r="L1496" s="33" t="n">
        <v>46311</v>
      </c>
      <c r="M1496" s="33" t="n">
        <v>46312</v>
      </c>
      <c r="N1496" s="16" t="s">
        <v>5548</v>
      </c>
      <c r="O1496" s="16"/>
      <c r="P1496" s="16" t="str">
        <f aca="false">IF(AND(L1496&lt;=$D$2,M1496&gt;=$C$2),"Sí","")</f>
        <v>Sí</v>
      </c>
      <c r="Q1496" s="18" t="str">
        <f aca="false">IF(COUNTIF(LOOKAHEAD!$A$5:$A$604,A1496)&gt;0,"En Lookahead",IF(P1496="Sí","INCORPORAR",""))</f>
        <v>En Lookahead</v>
      </c>
    </row>
    <row r="1497" customFormat="false" ht="15" hidden="false" customHeight="false" outlineLevel="0" collapsed="false">
      <c r="A1497" s="16" t="s">
        <v>5549</v>
      </c>
      <c r="B1497" s="16" t="n">
        <v>1492</v>
      </c>
      <c r="C1497" s="16" t="s">
        <v>5550</v>
      </c>
      <c r="D1497" s="16" t="n">
        <v>6</v>
      </c>
      <c r="E1497" s="35" t="s">
        <v>2215</v>
      </c>
      <c r="F1497" s="16" t="s">
        <v>1285</v>
      </c>
      <c r="G1497" s="16" t="s">
        <v>322</v>
      </c>
      <c r="H1497" s="16" t="s">
        <v>5350</v>
      </c>
      <c r="I1497" s="16" t="s">
        <v>114</v>
      </c>
      <c r="J1497" s="16" t="s">
        <v>5528</v>
      </c>
      <c r="K1497" s="32" t="n">
        <v>4</v>
      </c>
      <c r="L1497" s="33" t="n">
        <v>46298</v>
      </c>
      <c r="M1497" s="33" t="n">
        <v>46301</v>
      </c>
      <c r="N1497" s="16" t="s">
        <v>5551</v>
      </c>
      <c r="O1497" s="16"/>
      <c r="P1497" s="16" t="str">
        <f aca="false">IF(AND(L1497&lt;=$D$2,M1497&gt;=$C$2),"Sí","")</f>
        <v>Sí</v>
      </c>
      <c r="Q1497" s="18" t="str">
        <f aca="false">IF(COUNTIF(LOOKAHEAD!$A$5:$A$604,A1497)&gt;0,"En Lookahead",IF(P1497="Sí","INCORPORAR",""))</f>
        <v>En Lookahead</v>
      </c>
    </row>
    <row r="1498" customFormat="false" ht="15" hidden="false" customHeight="false" outlineLevel="0" collapsed="false">
      <c r="A1498" s="16" t="s">
        <v>5552</v>
      </c>
      <c r="B1498" s="16" t="n">
        <v>1493</v>
      </c>
      <c r="C1498" s="16" t="s">
        <v>5553</v>
      </c>
      <c r="D1498" s="16" t="n">
        <v>6</v>
      </c>
      <c r="E1498" s="35" t="s">
        <v>2219</v>
      </c>
      <c r="F1498" s="16" t="s">
        <v>1285</v>
      </c>
      <c r="G1498" s="16" t="s">
        <v>322</v>
      </c>
      <c r="H1498" s="16" t="s">
        <v>5350</v>
      </c>
      <c r="I1498" s="16" t="s">
        <v>114</v>
      </c>
      <c r="J1498" s="16" t="s">
        <v>5528</v>
      </c>
      <c r="K1498" s="32" t="n">
        <v>2</v>
      </c>
      <c r="L1498" s="33" t="n">
        <v>46309</v>
      </c>
      <c r="M1498" s="33" t="n">
        <v>46310</v>
      </c>
      <c r="N1498" s="16" t="s">
        <v>5554</v>
      </c>
      <c r="O1498" s="16"/>
      <c r="P1498" s="16" t="str">
        <f aca="false">IF(AND(L1498&lt;=$D$2,M1498&gt;=$C$2),"Sí","")</f>
        <v>Sí</v>
      </c>
      <c r="Q1498" s="18" t="str">
        <f aca="false">IF(COUNTIF(LOOKAHEAD!$A$5:$A$604,A1498)&gt;0,"En Lookahead",IF(P1498="Sí","INCORPORAR",""))</f>
        <v>En Lookahead</v>
      </c>
    </row>
    <row r="1499" customFormat="false" ht="15" hidden="false" customHeight="false" outlineLevel="0" collapsed="false">
      <c r="A1499" s="16" t="s">
        <v>5555</v>
      </c>
      <c r="B1499" s="16" t="n">
        <v>1494</v>
      </c>
      <c r="C1499" s="16" t="s">
        <v>5556</v>
      </c>
      <c r="D1499" s="16" t="n">
        <v>6</v>
      </c>
      <c r="E1499" s="35" t="s">
        <v>4400</v>
      </c>
      <c r="F1499" s="16" t="s">
        <v>1285</v>
      </c>
      <c r="G1499" s="16" t="s">
        <v>322</v>
      </c>
      <c r="H1499" s="16" t="s">
        <v>5350</v>
      </c>
      <c r="I1499" s="16" t="s">
        <v>114</v>
      </c>
      <c r="J1499" s="16" t="s">
        <v>5528</v>
      </c>
      <c r="K1499" s="32" t="n">
        <v>2</v>
      </c>
      <c r="L1499" s="33" t="n">
        <v>46307</v>
      </c>
      <c r="M1499" s="33" t="n">
        <v>46308</v>
      </c>
      <c r="N1499" s="16" t="s">
        <v>5557</v>
      </c>
      <c r="O1499" s="16"/>
      <c r="P1499" s="16" t="str">
        <f aca="false">IF(AND(L1499&lt;=$D$2,M1499&gt;=$C$2),"Sí","")</f>
        <v>Sí</v>
      </c>
      <c r="Q1499" s="18" t="str">
        <f aca="false">IF(COUNTIF(LOOKAHEAD!$A$5:$A$604,A1499)&gt;0,"En Lookahead",IF(P1499="Sí","INCORPORAR",""))</f>
        <v>En Lookahead</v>
      </c>
    </row>
    <row r="1500" customFormat="false" ht="15" hidden="false" customHeight="false" outlineLevel="0" collapsed="false">
      <c r="A1500" s="16" t="s">
        <v>5558</v>
      </c>
      <c r="B1500" s="16" t="n">
        <v>1495</v>
      </c>
      <c r="C1500" s="16" t="s">
        <v>5559</v>
      </c>
      <c r="D1500" s="16" t="n">
        <v>6</v>
      </c>
      <c r="E1500" s="35" t="s">
        <v>4408</v>
      </c>
      <c r="F1500" s="16" t="s">
        <v>1285</v>
      </c>
      <c r="G1500" s="16" t="s">
        <v>322</v>
      </c>
      <c r="H1500" s="16" t="s">
        <v>5350</v>
      </c>
      <c r="I1500" s="16" t="s">
        <v>114</v>
      </c>
      <c r="J1500" s="16" t="s">
        <v>5528</v>
      </c>
      <c r="K1500" s="32" t="n">
        <v>1</v>
      </c>
      <c r="L1500" s="33" t="n">
        <v>46298</v>
      </c>
      <c r="M1500" s="33" t="n">
        <v>46298</v>
      </c>
      <c r="N1500" s="16" t="s">
        <v>5560</v>
      </c>
      <c r="O1500" s="16"/>
      <c r="P1500" s="16" t="str">
        <f aca="false">IF(AND(L1500&lt;=$D$2,M1500&gt;=$C$2),"Sí","")</f>
        <v/>
      </c>
      <c r="Q1500" s="18" t="str">
        <f aca="false">IF(COUNTIF(LOOKAHEAD!$A$5:$A$604,A1500)&gt;0,"En Lookahead",IF(P1500="Sí","INCORPORAR",""))</f>
        <v/>
      </c>
    </row>
    <row r="1501" customFormat="false" ht="15" hidden="false" customHeight="false" outlineLevel="0" collapsed="false">
      <c r="A1501" s="13" t="s">
        <v>5561</v>
      </c>
      <c r="B1501" s="13" t="n">
        <v>1496</v>
      </c>
      <c r="C1501" s="13" t="s">
        <v>5562</v>
      </c>
      <c r="D1501" s="13" t="n">
        <v>4</v>
      </c>
      <c r="E1501" s="20" t="s">
        <v>5563</v>
      </c>
      <c r="F1501" s="13" t="s">
        <v>1298</v>
      </c>
      <c r="G1501" s="13" t="s">
        <v>322</v>
      </c>
      <c r="H1501" s="13" t="s">
        <v>5563</v>
      </c>
      <c r="I1501" s="13" t="s">
        <v>118</v>
      </c>
      <c r="J1501" s="13" t="s">
        <v>1528</v>
      </c>
      <c r="K1501" s="30" t="n">
        <v>33</v>
      </c>
      <c r="L1501" s="31" t="n">
        <v>46093</v>
      </c>
      <c r="M1501" s="31" t="n">
        <v>46125</v>
      </c>
      <c r="N1501" s="13"/>
      <c r="O1501" s="13"/>
      <c r="P1501" s="13"/>
      <c r="Q1501" s="13"/>
    </row>
    <row r="1502" customFormat="false" ht="15" hidden="false" customHeight="false" outlineLevel="0" collapsed="false">
      <c r="A1502" s="13" t="s">
        <v>5564</v>
      </c>
      <c r="B1502" s="13" t="n">
        <v>1497</v>
      </c>
      <c r="C1502" s="13" t="s">
        <v>5565</v>
      </c>
      <c r="D1502" s="13" t="n">
        <v>5</v>
      </c>
      <c r="E1502" s="34" t="s">
        <v>1534</v>
      </c>
      <c r="F1502" s="13" t="s">
        <v>1298</v>
      </c>
      <c r="G1502" s="13" t="s">
        <v>322</v>
      </c>
      <c r="H1502" s="13" t="s">
        <v>5563</v>
      </c>
      <c r="I1502" s="13" t="s">
        <v>118</v>
      </c>
      <c r="J1502" s="13" t="s">
        <v>5563</v>
      </c>
      <c r="K1502" s="30" t="n">
        <v>32</v>
      </c>
      <c r="L1502" s="31" t="n">
        <v>46093</v>
      </c>
      <c r="M1502" s="31" t="n">
        <v>46124</v>
      </c>
      <c r="N1502" s="13"/>
      <c r="O1502" s="13"/>
      <c r="P1502" s="13"/>
      <c r="Q1502" s="13"/>
    </row>
    <row r="1503" customFormat="false" ht="15" hidden="false" customHeight="false" outlineLevel="0" collapsed="false">
      <c r="A1503" s="16" t="s">
        <v>5566</v>
      </c>
      <c r="B1503" s="16" t="n">
        <v>1498</v>
      </c>
      <c r="C1503" s="16" t="s">
        <v>5567</v>
      </c>
      <c r="D1503" s="16" t="n">
        <v>6</v>
      </c>
      <c r="E1503" s="35" t="s">
        <v>1541</v>
      </c>
      <c r="F1503" s="16" t="s">
        <v>1285</v>
      </c>
      <c r="G1503" s="16" t="s">
        <v>322</v>
      </c>
      <c r="H1503" s="16" t="s">
        <v>5563</v>
      </c>
      <c r="I1503" s="16" t="s">
        <v>118</v>
      </c>
      <c r="J1503" s="16" t="s">
        <v>1534</v>
      </c>
      <c r="K1503" s="32" t="n">
        <v>1</v>
      </c>
      <c r="L1503" s="33" t="n">
        <v>46093</v>
      </c>
      <c r="M1503" s="33" t="n">
        <v>46093</v>
      </c>
      <c r="N1503" s="16" t="s">
        <v>3702</v>
      </c>
      <c r="O1503" s="16"/>
      <c r="P1503" s="16" t="str">
        <f aca="false">IF(AND(L1503&lt;=$D$2,M1503&gt;=$C$2),"Sí","")</f>
        <v/>
      </c>
      <c r="Q1503" s="18" t="str">
        <f aca="false">IF(COUNTIF(LOOKAHEAD!$A$5:$A$604,A1503)&gt;0,"En Lookahead",IF(P1503="Sí","INCORPORAR",""))</f>
        <v/>
      </c>
    </row>
    <row r="1504" customFormat="false" ht="15" hidden="false" customHeight="false" outlineLevel="0" collapsed="false">
      <c r="A1504" s="16" t="s">
        <v>5568</v>
      </c>
      <c r="B1504" s="16" t="n">
        <v>1499</v>
      </c>
      <c r="C1504" s="16" t="s">
        <v>5569</v>
      </c>
      <c r="D1504" s="16" t="n">
        <v>6</v>
      </c>
      <c r="E1504" s="35" t="s">
        <v>1549</v>
      </c>
      <c r="F1504" s="16" t="s">
        <v>1285</v>
      </c>
      <c r="G1504" s="16" t="s">
        <v>322</v>
      </c>
      <c r="H1504" s="16" t="s">
        <v>5563</v>
      </c>
      <c r="I1504" s="16" t="s">
        <v>118</v>
      </c>
      <c r="J1504" s="16" t="s">
        <v>1534</v>
      </c>
      <c r="K1504" s="32" t="n">
        <v>1</v>
      </c>
      <c r="L1504" s="33" t="n">
        <v>46094</v>
      </c>
      <c r="M1504" s="33" t="n">
        <v>46094</v>
      </c>
      <c r="N1504" s="16" t="s">
        <v>5570</v>
      </c>
      <c r="O1504" s="16"/>
      <c r="P1504" s="16" t="str">
        <f aca="false">IF(AND(L1504&lt;=$D$2,M1504&gt;=$C$2),"Sí","")</f>
        <v/>
      </c>
      <c r="Q1504" s="18" t="str">
        <f aca="false">IF(COUNTIF(LOOKAHEAD!$A$5:$A$604,A1504)&gt;0,"En Lookahead",IF(P1504="Sí","INCORPORAR",""))</f>
        <v/>
      </c>
    </row>
    <row r="1505" customFormat="false" ht="15" hidden="false" customHeight="false" outlineLevel="0" collapsed="false">
      <c r="A1505" s="16" t="s">
        <v>5571</v>
      </c>
      <c r="B1505" s="16" t="n">
        <v>1500</v>
      </c>
      <c r="C1505" s="16" t="s">
        <v>5572</v>
      </c>
      <c r="D1505" s="16" t="n">
        <v>6</v>
      </c>
      <c r="E1505" s="35" t="s">
        <v>1553</v>
      </c>
      <c r="F1505" s="16" t="s">
        <v>1285</v>
      </c>
      <c r="G1505" s="16" t="s">
        <v>322</v>
      </c>
      <c r="H1505" s="16" t="s">
        <v>5563</v>
      </c>
      <c r="I1505" s="16" t="s">
        <v>118</v>
      </c>
      <c r="J1505" s="16" t="s">
        <v>1534</v>
      </c>
      <c r="K1505" s="32" t="n">
        <v>2</v>
      </c>
      <c r="L1505" s="33" t="n">
        <v>46109</v>
      </c>
      <c r="M1505" s="33" t="n">
        <v>46110</v>
      </c>
      <c r="N1505" s="16" t="s">
        <v>5573</v>
      </c>
      <c r="O1505" s="16"/>
      <c r="P1505" s="16" t="str">
        <f aca="false">IF(AND(L1505&lt;=$D$2,M1505&gt;=$C$2),"Sí","")</f>
        <v/>
      </c>
      <c r="Q1505" s="18" t="str">
        <f aca="false">IF(COUNTIF(LOOKAHEAD!$A$5:$A$604,A1505)&gt;0,"En Lookahead",IF(P1505="Sí","INCORPORAR",""))</f>
        <v/>
      </c>
    </row>
    <row r="1506" customFormat="false" ht="15" hidden="false" customHeight="false" outlineLevel="0" collapsed="false">
      <c r="A1506" s="16" t="s">
        <v>5574</v>
      </c>
      <c r="B1506" s="16" t="n">
        <v>1501</v>
      </c>
      <c r="C1506" s="16" t="s">
        <v>5575</v>
      </c>
      <c r="D1506" s="16" t="n">
        <v>6</v>
      </c>
      <c r="E1506" s="35" t="s">
        <v>1557</v>
      </c>
      <c r="F1506" s="16" t="s">
        <v>1285</v>
      </c>
      <c r="G1506" s="16" t="s">
        <v>322</v>
      </c>
      <c r="H1506" s="16" t="s">
        <v>5563</v>
      </c>
      <c r="I1506" s="16" t="s">
        <v>118</v>
      </c>
      <c r="J1506" s="16" t="s">
        <v>1534</v>
      </c>
      <c r="K1506" s="32" t="n">
        <v>11</v>
      </c>
      <c r="L1506" s="33" t="n">
        <v>46113</v>
      </c>
      <c r="M1506" s="33" t="n">
        <v>46123</v>
      </c>
      <c r="N1506" s="16" t="s">
        <v>5576</v>
      </c>
      <c r="O1506" s="16"/>
      <c r="P1506" s="16" t="str">
        <f aca="false">IF(AND(L1506&lt;=$D$2,M1506&gt;=$C$2),"Sí","")</f>
        <v/>
      </c>
      <c r="Q1506" s="18" t="str">
        <f aca="false">IF(COUNTIF(LOOKAHEAD!$A$5:$A$604,A1506)&gt;0,"En Lookahead",IF(P1506="Sí","INCORPORAR",""))</f>
        <v/>
      </c>
    </row>
    <row r="1507" customFormat="false" ht="15" hidden="false" customHeight="false" outlineLevel="0" collapsed="false">
      <c r="A1507" s="16" t="s">
        <v>5577</v>
      </c>
      <c r="B1507" s="16" t="n">
        <v>1502</v>
      </c>
      <c r="C1507" s="16" t="s">
        <v>5578</v>
      </c>
      <c r="D1507" s="16" t="n">
        <v>6</v>
      </c>
      <c r="E1507" s="35" t="s">
        <v>1560</v>
      </c>
      <c r="F1507" s="16" t="s">
        <v>1285</v>
      </c>
      <c r="G1507" s="16" t="s">
        <v>322</v>
      </c>
      <c r="H1507" s="16" t="s">
        <v>5563</v>
      </c>
      <c r="I1507" s="16" t="s">
        <v>118</v>
      </c>
      <c r="J1507" s="16" t="s">
        <v>1534</v>
      </c>
      <c r="K1507" s="32" t="n">
        <v>1</v>
      </c>
      <c r="L1507" s="33" t="n">
        <v>46124</v>
      </c>
      <c r="M1507" s="33" t="n">
        <v>46124</v>
      </c>
      <c r="N1507" s="16" t="s">
        <v>5579</v>
      </c>
      <c r="O1507" s="16"/>
      <c r="P1507" s="16" t="str">
        <f aca="false">IF(AND(L1507&lt;=$D$2,M1507&gt;=$C$2),"Sí","")</f>
        <v/>
      </c>
      <c r="Q1507" s="18" t="str">
        <f aca="false">IF(COUNTIF(LOOKAHEAD!$A$5:$A$604,A1507)&gt;0,"En Lookahead",IF(P1507="Sí","INCORPORAR",""))</f>
        <v/>
      </c>
    </row>
    <row r="1508" customFormat="false" ht="15" hidden="false" customHeight="false" outlineLevel="0" collapsed="false">
      <c r="A1508" s="16" t="s">
        <v>5580</v>
      </c>
      <c r="B1508" s="16" t="n">
        <v>1503</v>
      </c>
      <c r="C1508" s="16" t="s">
        <v>5581</v>
      </c>
      <c r="D1508" s="16" t="n">
        <v>6</v>
      </c>
      <c r="E1508" s="35" t="s">
        <v>1564</v>
      </c>
      <c r="F1508" s="16" t="s">
        <v>1285</v>
      </c>
      <c r="G1508" s="16" t="s">
        <v>322</v>
      </c>
      <c r="H1508" s="16" t="s">
        <v>5563</v>
      </c>
      <c r="I1508" s="16" t="s">
        <v>118</v>
      </c>
      <c r="J1508" s="16" t="s">
        <v>1534</v>
      </c>
      <c r="K1508" s="32" t="n">
        <v>1</v>
      </c>
      <c r="L1508" s="33" t="n">
        <v>46112</v>
      </c>
      <c r="M1508" s="33" t="n">
        <v>46112</v>
      </c>
      <c r="N1508" s="16" t="s">
        <v>5582</v>
      </c>
      <c r="O1508" s="16"/>
      <c r="P1508" s="16" t="str">
        <f aca="false">IF(AND(L1508&lt;=$D$2,M1508&gt;=$C$2),"Sí","")</f>
        <v/>
      </c>
      <c r="Q1508" s="18" t="str">
        <f aca="false">IF(COUNTIF(LOOKAHEAD!$A$5:$A$604,A1508)&gt;0,"En Lookahead",IF(P1508="Sí","INCORPORAR",""))</f>
        <v/>
      </c>
    </row>
    <row r="1509" customFormat="false" ht="15" hidden="false" customHeight="false" outlineLevel="0" collapsed="false">
      <c r="A1509" s="16" t="s">
        <v>5583</v>
      </c>
      <c r="B1509" s="16" t="n">
        <v>1504</v>
      </c>
      <c r="C1509" s="16" t="s">
        <v>5584</v>
      </c>
      <c r="D1509" s="16" t="n">
        <v>6</v>
      </c>
      <c r="E1509" s="35" t="s">
        <v>1567</v>
      </c>
      <c r="F1509" s="16" t="s">
        <v>1285</v>
      </c>
      <c r="G1509" s="16" t="s">
        <v>322</v>
      </c>
      <c r="H1509" s="16" t="s">
        <v>5563</v>
      </c>
      <c r="I1509" s="16" t="s">
        <v>118</v>
      </c>
      <c r="J1509" s="16" t="s">
        <v>1534</v>
      </c>
      <c r="K1509" s="32" t="n">
        <v>1</v>
      </c>
      <c r="L1509" s="33" t="n">
        <v>46111</v>
      </c>
      <c r="M1509" s="33" t="n">
        <v>46111</v>
      </c>
      <c r="N1509" s="16" t="s">
        <v>5585</v>
      </c>
      <c r="O1509" s="16"/>
      <c r="P1509" s="16" t="str">
        <f aca="false">IF(AND(L1509&lt;=$D$2,M1509&gt;=$C$2),"Sí","")</f>
        <v/>
      </c>
      <c r="Q1509" s="18" t="str">
        <f aca="false">IF(COUNTIF(LOOKAHEAD!$A$5:$A$604,A1509)&gt;0,"En Lookahead",IF(P1509="Sí","INCORPORAR",""))</f>
        <v/>
      </c>
    </row>
    <row r="1510" customFormat="false" ht="15" hidden="false" customHeight="false" outlineLevel="0" collapsed="false">
      <c r="A1510" s="13" t="s">
        <v>5586</v>
      </c>
      <c r="B1510" s="13" t="n">
        <v>1505</v>
      </c>
      <c r="C1510" s="13" t="s">
        <v>5587</v>
      </c>
      <c r="D1510" s="13" t="n">
        <v>5</v>
      </c>
      <c r="E1510" s="34" t="s">
        <v>1571</v>
      </c>
      <c r="F1510" s="13" t="s">
        <v>1298</v>
      </c>
      <c r="G1510" s="13" t="s">
        <v>322</v>
      </c>
      <c r="H1510" s="13" t="s">
        <v>5563</v>
      </c>
      <c r="I1510" s="13" t="s">
        <v>118</v>
      </c>
      <c r="J1510" s="13" t="s">
        <v>5563</v>
      </c>
      <c r="K1510" s="30" t="n">
        <v>19</v>
      </c>
      <c r="L1510" s="31" t="n">
        <v>46094</v>
      </c>
      <c r="M1510" s="31" t="n">
        <v>46112</v>
      </c>
      <c r="N1510" s="13"/>
      <c r="O1510" s="13"/>
      <c r="P1510" s="13"/>
      <c r="Q1510" s="13"/>
    </row>
    <row r="1511" customFormat="false" ht="15" hidden="false" customHeight="false" outlineLevel="0" collapsed="false">
      <c r="A1511" s="16" t="s">
        <v>5588</v>
      </c>
      <c r="B1511" s="16" t="n">
        <v>1506</v>
      </c>
      <c r="C1511" s="16" t="s">
        <v>5589</v>
      </c>
      <c r="D1511" s="16" t="n">
        <v>6</v>
      </c>
      <c r="E1511" s="35" t="s">
        <v>1577</v>
      </c>
      <c r="F1511" s="16" t="s">
        <v>1285</v>
      </c>
      <c r="G1511" s="16" t="s">
        <v>322</v>
      </c>
      <c r="H1511" s="16" t="s">
        <v>5563</v>
      </c>
      <c r="I1511" s="16" t="s">
        <v>118</v>
      </c>
      <c r="J1511" s="16" t="s">
        <v>1571</v>
      </c>
      <c r="K1511" s="32" t="n">
        <v>1</v>
      </c>
      <c r="L1511" s="33" t="n">
        <v>46094</v>
      </c>
      <c r="M1511" s="33" t="n">
        <v>46094</v>
      </c>
      <c r="N1511" s="16" t="s">
        <v>5570</v>
      </c>
      <c r="O1511" s="16"/>
      <c r="P1511" s="16" t="str">
        <f aca="false">IF(AND(L1511&lt;=$D$2,M1511&gt;=$C$2),"Sí","")</f>
        <v/>
      </c>
      <c r="Q1511" s="18" t="str">
        <f aca="false">IF(COUNTIF(LOOKAHEAD!$A$5:$A$604,A1511)&gt;0,"En Lookahead",IF(P1511="Sí","INCORPORAR",""))</f>
        <v/>
      </c>
    </row>
    <row r="1512" customFormat="false" ht="15" hidden="false" customHeight="false" outlineLevel="0" collapsed="false">
      <c r="A1512" s="16" t="s">
        <v>5590</v>
      </c>
      <c r="B1512" s="16" t="n">
        <v>1507</v>
      </c>
      <c r="C1512" s="16" t="s">
        <v>5591</v>
      </c>
      <c r="D1512" s="16" t="n">
        <v>6</v>
      </c>
      <c r="E1512" s="35" t="s">
        <v>1584</v>
      </c>
      <c r="F1512" s="16" t="s">
        <v>1285</v>
      </c>
      <c r="G1512" s="16" t="s">
        <v>322</v>
      </c>
      <c r="H1512" s="16" t="s">
        <v>5563</v>
      </c>
      <c r="I1512" s="16" t="s">
        <v>118</v>
      </c>
      <c r="J1512" s="16" t="s">
        <v>1571</v>
      </c>
      <c r="K1512" s="32" t="n">
        <v>1</v>
      </c>
      <c r="L1512" s="33" t="n">
        <v>46096</v>
      </c>
      <c r="M1512" s="33" t="n">
        <v>46096</v>
      </c>
      <c r="N1512" s="16" t="s">
        <v>5592</v>
      </c>
      <c r="O1512" s="16"/>
      <c r="P1512" s="16" t="str">
        <f aca="false">IF(AND(L1512&lt;=$D$2,M1512&gt;=$C$2),"Sí","")</f>
        <v/>
      </c>
      <c r="Q1512" s="18" t="str">
        <f aca="false">IF(COUNTIF(LOOKAHEAD!$A$5:$A$604,A1512)&gt;0,"En Lookahead",IF(P1512="Sí","INCORPORAR",""))</f>
        <v/>
      </c>
    </row>
    <row r="1513" customFormat="false" ht="15" hidden="false" customHeight="false" outlineLevel="0" collapsed="false">
      <c r="A1513" s="16" t="s">
        <v>5593</v>
      </c>
      <c r="B1513" s="16" t="n">
        <v>1508</v>
      </c>
      <c r="C1513" s="16" t="s">
        <v>5594</v>
      </c>
      <c r="D1513" s="16" t="n">
        <v>6</v>
      </c>
      <c r="E1513" s="35" t="s">
        <v>1588</v>
      </c>
      <c r="F1513" s="16" t="s">
        <v>1285</v>
      </c>
      <c r="G1513" s="16" t="s">
        <v>322</v>
      </c>
      <c r="H1513" s="16" t="s">
        <v>5563</v>
      </c>
      <c r="I1513" s="16" t="s">
        <v>118</v>
      </c>
      <c r="J1513" s="16" t="s">
        <v>1571</v>
      </c>
      <c r="K1513" s="32" t="n">
        <v>1</v>
      </c>
      <c r="L1513" s="33" t="n">
        <v>46095</v>
      </c>
      <c r="M1513" s="33" t="n">
        <v>46095</v>
      </c>
      <c r="N1513" s="16" t="s">
        <v>5595</v>
      </c>
      <c r="O1513" s="16"/>
      <c r="P1513" s="16" t="str">
        <f aca="false">IF(AND(L1513&lt;=$D$2,M1513&gt;=$C$2),"Sí","")</f>
        <v/>
      </c>
      <c r="Q1513" s="18" t="str">
        <f aca="false">IF(COUNTIF(LOOKAHEAD!$A$5:$A$604,A1513)&gt;0,"En Lookahead",IF(P1513="Sí","INCORPORAR",""))</f>
        <v/>
      </c>
    </row>
    <row r="1514" customFormat="false" ht="15" hidden="false" customHeight="false" outlineLevel="0" collapsed="false">
      <c r="A1514" s="16" t="s">
        <v>5596</v>
      </c>
      <c r="B1514" s="16" t="n">
        <v>1509</v>
      </c>
      <c r="C1514" s="16" t="s">
        <v>5597</v>
      </c>
      <c r="D1514" s="16" t="n">
        <v>6</v>
      </c>
      <c r="E1514" s="35" t="s">
        <v>1609</v>
      </c>
      <c r="F1514" s="16" t="s">
        <v>1285</v>
      </c>
      <c r="G1514" s="16" t="s">
        <v>322</v>
      </c>
      <c r="H1514" s="16" t="s">
        <v>5563</v>
      </c>
      <c r="I1514" s="16" t="s">
        <v>118</v>
      </c>
      <c r="J1514" s="16" t="s">
        <v>1571</v>
      </c>
      <c r="K1514" s="32" t="n">
        <v>1</v>
      </c>
      <c r="L1514" s="33" t="n">
        <v>46096</v>
      </c>
      <c r="M1514" s="33" t="n">
        <v>46096</v>
      </c>
      <c r="N1514" s="16" t="s">
        <v>5598</v>
      </c>
      <c r="O1514" s="16"/>
      <c r="P1514" s="16" t="str">
        <f aca="false">IF(AND(L1514&lt;=$D$2,M1514&gt;=$C$2),"Sí","")</f>
        <v/>
      </c>
      <c r="Q1514" s="18" t="str">
        <f aca="false">IF(COUNTIF(LOOKAHEAD!$A$5:$A$604,A1514)&gt;0,"En Lookahead",IF(P1514="Sí","INCORPORAR",""))</f>
        <v/>
      </c>
    </row>
    <row r="1515" customFormat="false" ht="15" hidden="false" customHeight="false" outlineLevel="0" collapsed="false">
      <c r="A1515" s="16" t="s">
        <v>5599</v>
      </c>
      <c r="B1515" s="16" t="n">
        <v>1510</v>
      </c>
      <c r="C1515" s="16" t="s">
        <v>5600</v>
      </c>
      <c r="D1515" s="16" t="n">
        <v>6</v>
      </c>
      <c r="E1515" s="35" t="s">
        <v>1588</v>
      </c>
      <c r="F1515" s="16" t="s">
        <v>1285</v>
      </c>
      <c r="G1515" s="16" t="s">
        <v>322</v>
      </c>
      <c r="H1515" s="16" t="s">
        <v>5563</v>
      </c>
      <c r="I1515" s="16" t="s">
        <v>118</v>
      </c>
      <c r="J1515" s="16" t="s">
        <v>1571</v>
      </c>
      <c r="K1515" s="32" t="n">
        <v>1</v>
      </c>
      <c r="L1515" s="33" t="n">
        <v>46095</v>
      </c>
      <c r="M1515" s="33" t="n">
        <v>46095</v>
      </c>
      <c r="N1515" s="16" t="s">
        <v>5595</v>
      </c>
      <c r="O1515" s="16"/>
      <c r="P1515" s="16" t="str">
        <f aca="false">IF(AND(L1515&lt;=$D$2,M1515&gt;=$C$2),"Sí","")</f>
        <v/>
      </c>
      <c r="Q1515" s="18" t="str">
        <f aca="false">IF(COUNTIF(LOOKAHEAD!$A$5:$A$604,A1515)&gt;0,"En Lookahead",IF(P1515="Sí","INCORPORAR",""))</f>
        <v/>
      </c>
    </row>
    <row r="1516" customFormat="false" ht="15" hidden="false" customHeight="false" outlineLevel="0" collapsed="false">
      <c r="A1516" s="16" t="s">
        <v>5601</v>
      </c>
      <c r="B1516" s="16" t="n">
        <v>1511</v>
      </c>
      <c r="C1516" s="16" t="s">
        <v>5602</v>
      </c>
      <c r="D1516" s="16" t="n">
        <v>6</v>
      </c>
      <c r="E1516" s="35" t="s">
        <v>1595</v>
      </c>
      <c r="F1516" s="16" t="s">
        <v>1285</v>
      </c>
      <c r="G1516" s="16" t="s">
        <v>322</v>
      </c>
      <c r="H1516" s="16" t="s">
        <v>5563</v>
      </c>
      <c r="I1516" s="16" t="s">
        <v>118</v>
      </c>
      <c r="J1516" s="16" t="s">
        <v>1571</v>
      </c>
      <c r="K1516" s="32" t="n">
        <v>1</v>
      </c>
      <c r="L1516" s="33" t="n">
        <v>46096</v>
      </c>
      <c r="M1516" s="33" t="n">
        <v>46096</v>
      </c>
      <c r="N1516" s="16" t="s">
        <v>5603</v>
      </c>
      <c r="O1516" s="16"/>
      <c r="P1516" s="16" t="str">
        <f aca="false">IF(AND(L1516&lt;=$D$2,M1516&gt;=$C$2),"Sí","")</f>
        <v/>
      </c>
      <c r="Q1516" s="18" t="str">
        <f aca="false">IF(COUNTIF(LOOKAHEAD!$A$5:$A$604,A1516)&gt;0,"En Lookahead",IF(P1516="Sí","INCORPORAR",""))</f>
        <v/>
      </c>
    </row>
    <row r="1517" customFormat="false" ht="15" hidden="false" customHeight="false" outlineLevel="0" collapsed="false">
      <c r="A1517" s="16" t="s">
        <v>5604</v>
      </c>
      <c r="B1517" s="16" t="n">
        <v>1512</v>
      </c>
      <c r="C1517" s="16" t="s">
        <v>5605</v>
      </c>
      <c r="D1517" s="16" t="n">
        <v>6</v>
      </c>
      <c r="E1517" s="35" t="s">
        <v>1588</v>
      </c>
      <c r="F1517" s="16" t="s">
        <v>1285</v>
      </c>
      <c r="G1517" s="16" t="s">
        <v>322</v>
      </c>
      <c r="H1517" s="16" t="s">
        <v>5563</v>
      </c>
      <c r="I1517" s="16" t="s">
        <v>118</v>
      </c>
      <c r="J1517" s="16" t="s">
        <v>1571</v>
      </c>
      <c r="K1517" s="32" t="n">
        <v>1</v>
      </c>
      <c r="L1517" s="33" t="n">
        <v>46095</v>
      </c>
      <c r="M1517" s="33" t="n">
        <v>46095</v>
      </c>
      <c r="N1517" s="16" t="s">
        <v>5595</v>
      </c>
      <c r="O1517" s="16"/>
      <c r="P1517" s="16" t="str">
        <f aca="false">IF(AND(L1517&lt;=$D$2,M1517&gt;=$C$2),"Sí","")</f>
        <v/>
      </c>
      <c r="Q1517" s="18" t="str">
        <f aca="false">IF(COUNTIF(LOOKAHEAD!$A$5:$A$604,A1517)&gt;0,"En Lookahead",IF(P1517="Sí","INCORPORAR",""))</f>
        <v/>
      </c>
    </row>
    <row r="1518" customFormat="false" ht="15" hidden="false" customHeight="false" outlineLevel="0" collapsed="false">
      <c r="A1518" s="16" t="s">
        <v>5606</v>
      </c>
      <c r="B1518" s="16" t="n">
        <v>1513</v>
      </c>
      <c r="C1518" s="16" t="s">
        <v>5607</v>
      </c>
      <c r="D1518" s="16" t="n">
        <v>6</v>
      </c>
      <c r="E1518" s="35" t="s">
        <v>1602</v>
      </c>
      <c r="F1518" s="16" t="s">
        <v>1285</v>
      </c>
      <c r="G1518" s="16" t="s">
        <v>322</v>
      </c>
      <c r="H1518" s="16" t="s">
        <v>5563</v>
      </c>
      <c r="I1518" s="16" t="s">
        <v>118</v>
      </c>
      <c r="J1518" s="16" t="s">
        <v>1571</v>
      </c>
      <c r="K1518" s="32" t="n">
        <v>1</v>
      </c>
      <c r="L1518" s="33" t="n">
        <v>46097</v>
      </c>
      <c r="M1518" s="33" t="n">
        <v>46097</v>
      </c>
      <c r="N1518" s="16" t="s">
        <v>5608</v>
      </c>
      <c r="O1518" s="16"/>
      <c r="P1518" s="16" t="str">
        <f aca="false">IF(AND(L1518&lt;=$D$2,M1518&gt;=$C$2),"Sí","")</f>
        <v/>
      </c>
      <c r="Q1518" s="18" t="str">
        <f aca="false">IF(COUNTIF(LOOKAHEAD!$A$5:$A$604,A1518)&gt;0,"En Lookahead",IF(P1518="Sí","INCORPORAR",""))</f>
        <v/>
      </c>
    </row>
    <row r="1519" customFormat="false" ht="15" hidden="false" customHeight="false" outlineLevel="0" collapsed="false">
      <c r="A1519" s="16" t="s">
        <v>5609</v>
      </c>
      <c r="B1519" s="16" t="n">
        <v>1514</v>
      </c>
      <c r="C1519" s="16" t="s">
        <v>5610</v>
      </c>
      <c r="D1519" s="16" t="n">
        <v>6</v>
      </c>
      <c r="E1519" s="35" t="s">
        <v>1619</v>
      </c>
      <c r="F1519" s="16" t="s">
        <v>1285</v>
      </c>
      <c r="G1519" s="16" t="s">
        <v>322</v>
      </c>
      <c r="H1519" s="16" t="s">
        <v>5563</v>
      </c>
      <c r="I1519" s="16" t="s">
        <v>118</v>
      </c>
      <c r="J1519" s="16" t="s">
        <v>1571</v>
      </c>
      <c r="K1519" s="32" t="n">
        <v>1</v>
      </c>
      <c r="L1519" s="33" t="n">
        <v>46112</v>
      </c>
      <c r="M1519" s="33" t="n">
        <v>46112</v>
      </c>
      <c r="N1519" s="16" t="s">
        <v>5582</v>
      </c>
      <c r="O1519" s="16"/>
      <c r="P1519" s="16" t="str">
        <f aca="false">IF(AND(L1519&lt;=$D$2,M1519&gt;=$C$2),"Sí","")</f>
        <v/>
      </c>
      <c r="Q1519" s="18" t="str">
        <f aca="false">IF(COUNTIF(LOOKAHEAD!$A$5:$A$604,A1519)&gt;0,"En Lookahead",IF(P1519="Sí","INCORPORAR",""))</f>
        <v/>
      </c>
    </row>
    <row r="1520" customFormat="false" ht="15" hidden="false" customHeight="false" outlineLevel="0" collapsed="false">
      <c r="A1520" s="13" t="s">
        <v>5611</v>
      </c>
      <c r="B1520" s="13" t="n">
        <v>1515</v>
      </c>
      <c r="C1520" s="13" t="s">
        <v>5612</v>
      </c>
      <c r="D1520" s="13" t="n">
        <v>5</v>
      </c>
      <c r="E1520" s="34" t="s">
        <v>1623</v>
      </c>
      <c r="F1520" s="13" t="s">
        <v>1298</v>
      </c>
      <c r="G1520" s="13" t="s">
        <v>322</v>
      </c>
      <c r="H1520" s="13" t="s">
        <v>5563</v>
      </c>
      <c r="I1520" s="13" t="s">
        <v>118</v>
      </c>
      <c r="J1520" s="13" t="s">
        <v>5563</v>
      </c>
      <c r="K1520" s="30" t="n">
        <v>30</v>
      </c>
      <c r="L1520" s="31" t="n">
        <v>46096</v>
      </c>
      <c r="M1520" s="31" t="n">
        <v>46125</v>
      </c>
      <c r="N1520" s="13"/>
      <c r="O1520" s="13"/>
      <c r="P1520" s="13"/>
      <c r="Q1520" s="13"/>
    </row>
    <row r="1521" customFormat="false" ht="15" hidden="false" customHeight="false" outlineLevel="0" collapsed="false">
      <c r="A1521" s="13" t="s">
        <v>5613</v>
      </c>
      <c r="B1521" s="13" t="n">
        <v>1516</v>
      </c>
      <c r="C1521" s="13" t="s">
        <v>5614</v>
      </c>
      <c r="D1521" s="13" t="n">
        <v>6</v>
      </c>
      <c r="E1521" s="36" t="s">
        <v>1626</v>
      </c>
      <c r="F1521" s="13" t="s">
        <v>1298</v>
      </c>
      <c r="G1521" s="13" t="s">
        <v>322</v>
      </c>
      <c r="H1521" s="13" t="s">
        <v>5563</v>
      </c>
      <c r="I1521" s="13" t="s">
        <v>118</v>
      </c>
      <c r="J1521" s="13" t="s">
        <v>1623</v>
      </c>
      <c r="K1521" s="30" t="n">
        <v>7</v>
      </c>
      <c r="L1521" s="31" t="n">
        <v>46096</v>
      </c>
      <c r="M1521" s="31" t="n">
        <v>46102</v>
      </c>
      <c r="N1521" s="13"/>
      <c r="O1521" s="13"/>
      <c r="P1521" s="13"/>
      <c r="Q1521" s="13"/>
    </row>
    <row r="1522" customFormat="false" ht="15" hidden="false" customHeight="false" outlineLevel="0" collapsed="false">
      <c r="A1522" s="16" t="s">
        <v>5615</v>
      </c>
      <c r="B1522" s="16" t="n">
        <v>1517</v>
      </c>
      <c r="C1522" s="16" t="s">
        <v>5616</v>
      </c>
      <c r="D1522" s="16" t="n">
        <v>7</v>
      </c>
      <c r="E1522" s="37" t="s">
        <v>1629</v>
      </c>
      <c r="F1522" s="16" t="s">
        <v>1285</v>
      </c>
      <c r="G1522" s="16" t="s">
        <v>322</v>
      </c>
      <c r="H1522" s="16" t="s">
        <v>5563</v>
      </c>
      <c r="I1522" s="16" t="s">
        <v>118</v>
      </c>
      <c r="J1522" s="16" t="s">
        <v>1626</v>
      </c>
      <c r="K1522" s="32" t="n">
        <v>1</v>
      </c>
      <c r="L1522" s="33" t="n">
        <v>46101</v>
      </c>
      <c r="M1522" s="33" t="n">
        <v>46101</v>
      </c>
      <c r="N1522" s="16" t="s">
        <v>5617</v>
      </c>
      <c r="O1522" s="16"/>
      <c r="P1522" s="16" t="str">
        <f aca="false">IF(AND(L1522&lt;=$D$2,M1522&gt;=$C$2),"Sí","")</f>
        <v/>
      </c>
      <c r="Q1522" s="18" t="str">
        <f aca="false">IF(COUNTIF(LOOKAHEAD!$A$5:$A$604,A1522)&gt;0,"En Lookahead",IF(P1522="Sí","INCORPORAR",""))</f>
        <v/>
      </c>
    </row>
    <row r="1523" customFormat="false" ht="15" hidden="false" customHeight="false" outlineLevel="0" collapsed="false">
      <c r="A1523" s="16" t="s">
        <v>5618</v>
      </c>
      <c r="B1523" s="16" t="n">
        <v>1518</v>
      </c>
      <c r="C1523" s="16" t="s">
        <v>5619</v>
      </c>
      <c r="D1523" s="16" t="n">
        <v>7</v>
      </c>
      <c r="E1523" s="37" t="s">
        <v>1633</v>
      </c>
      <c r="F1523" s="16" t="s">
        <v>1285</v>
      </c>
      <c r="G1523" s="16" t="s">
        <v>322</v>
      </c>
      <c r="H1523" s="16" t="s">
        <v>5563</v>
      </c>
      <c r="I1523" s="16" t="s">
        <v>118</v>
      </c>
      <c r="J1523" s="16" t="s">
        <v>1626</v>
      </c>
      <c r="K1523" s="32" t="n">
        <v>1</v>
      </c>
      <c r="L1523" s="33" t="n">
        <v>46100</v>
      </c>
      <c r="M1523" s="33" t="n">
        <v>46100</v>
      </c>
      <c r="N1523" s="16" t="s">
        <v>5620</v>
      </c>
      <c r="O1523" s="16"/>
      <c r="P1523" s="16" t="str">
        <f aca="false">IF(AND(L1523&lt;=$D$2,M1523&gt;=$C$2),"Sí","")</f>
        <v/>
      </c>
      <c r="Q1523" s="18" t="str">
        <f aca="false">IF(COUNTIF(LOOKAHEAD!$A$5:$A$604,A1523)&gt;0,"En Lookahead",IF(P1523="Sí","INCORPORAR",""))</f>
        <v/>
      </c>
    </row>
    <row r="1524" customFormat="false" ht="15" hidden="false" customHeight="false" outlineLevel="0" collapsed="false">
      <c r="A1524" s="16" t="s">
        <v>5621</v>
      </c>
      <c r="B1524" s="16" t="n">
        <v>1519</v>
      </c>
      <c r="C1524" s="16" t="s">
        <v>5622</v>
      </c>
      <c r="D1524" s="16" t="n">
        <v>7</v>
      </c>
      <c r="E1524" s="37" t="s">
        <v>1637</v>
      </c>
      <c r="F1524" s="16" t="s">
        <v>1285</v>
      </c>
      <c r="G1524" s="16" t="s">
        <v>322</v>
      </c>
      <c r="H1524" s="16" t="s">
        <v>5563</v>
      </c>
      <c r="I1524" s="16" t="s">
        <v>118</v>
      </c>
      <c r="J1524" s="16" t="s">
        <v>1626</v>
      </c>
      <c r="K1524" s="32" t="n">
        <v>4</v>
      </c>
      <c r="L1524" s="33" t="n">
        <v>46096</v>
      </c>
      <c r="M1524" s="33" t="n">
        <v>46099</v>
      </c>
      <c r="N1524" s="16" t="s">
        <v>5623</v>
      </c>
      <c r="O1524" s="16"/>
      <c r="P1524" s="16" t="str">
        <f aca="false">IF(AND(L1524&lt;=$D$2,M1524&gt;=$C$2),"Sí","")</f>
        <v/>
      </c>
      <c r="Q1524" s="18" t="str">
        <f aca="false">IF(COUNTIF(LOOKAHEAD!$A$5:$A$604,A1524)&gt;0,"En Lookahead",IF(P1524="Sí","INCORPORAR",""))</f>
        <v/>
      </c>
    </row>
    <row r="1525" customFormat="false" ht="15" hidden="false" customHeight="false" outlineLevel="0" collapsed="false">
      <c r="A1525" s="16" t="s">
        <v>5624</v>
      </c>
      <c r="B1525" s="16" t="n">
        <v>1520</v>
      </c>
      <c r="C1525" s="16" t="s">
        <v>5625</v>
      </c>
      <c r="D1525" s="16" t="n">
        <v>7</v>
      </c>
      <c r="E1525" s="37" t="s">
        <v>1602</v>
      </c>
      <c r="F1525" s="16" t="s">
        <v>1285</v>
      </c>
      <c r="G1525" s="16" t="s">
        <v>322</v>
      </c>
      <c r="H1525" s="16" t="s">
        <v>5563</v>
      </c>
      <c r="I1525" s="16" t="s">
        <v>118</v>
      </c>
      <c r="J1525" s="16" t="s">
        <v>1626</v>
      </c>
      <c r="K1525" s="32" t="n">
        <v>1</v>
      </c>
      <c r="L1525" s="33" t="n">
        <v>46102</v>
      </c>
      <c r="M1525" s="33" t="n">
        <v>46102</v>
      </c>
      <c r="N1525" s="16" t="s">
        <v>5626</v>
      </c>
      <c r="O1525" s="16"/>
      <c r="P1525" s="16" t="str">
        <f aca="false">IF(AND(L1525&lt;=$D$2,M1525&gt;=$C$2),"Sí","")</f>
        <v/>
      </c>
      <c r="Q1525" s="18" t="str">
        <f aca="false">IF(COUNTIF(LOOKAHEAD!$A$5:$A$604,A1525)&gt;0,"En Lookahead",IF(P1525="Sí","INCORPORAR",""))</f>
        <v/>
      </c>
    </row>
    <row r="1526" customFormat="false" ht="15" hidden="false" customHeight="false" outlineLevel="0" collapsed="false">
      <c r="A1526" s="13" t="s">
        <v>5627</v>
      </c>
      <c r="B1526" s="13" t="n">
        <v>1521</v>
      </c>
      <c r="C1526" s="13" t="s">
        <v>5628</v>
      </c>
      <c r="D1526" s="13" t="n">
        <v>6</v>
      </c>
      <c r="E1526" s="36" t="s">
        <v>1644</v>
      </c>
      <c r="F1526" s="13" t="s">
        <v>1298</v>
      </c>
      <c r="G1526" s="13" t="s">
        <v>322</v>
      </c>
      <c r="H1526" s="13" t="s">
        <v>5563</v>
      </c>
      <c r="I1526" s="13" t="s">
        <v>118</v>
      </c>
      <c r="J1526" s="13" t="s">
        <v>1623</v>
      </c>
      <c r="K1526" s="30" t="n">
        <v>5</v>
      </c>
      <c r="L1526" s="31" t="n">
        <v>46096</v>
      </c>
      <c r="M1526" s="31" t="n">
        <v>46100</v>
      </c>
      <c r="N1526" s="13"/>
      <c r="O1526" s="13"/>
      <c r="P1526" s="13"/>
      <c r="Q1526" s="13"/>
    </row>
    <row r="1527" customFormat="false" ht="15" hidden="false" customHeight="false" outlineLevel="0" collapsed="false">
      <c r="A1527" s="16" t="s">
        <v>5629</v>
      </c>
      <c r="B1527" s="16" t="n">
        <v>1522</v>
      </c>
      <c r="C1527" s="16" t="s">
        <v>5630</v>
      </c>
      <c r="D1527" s="16" t="n">
        <v>7</v>
      </c>
      <c r="E1527" s="37" t="s">
        <v>1647</v>
      </c>
      <c r="F1527" s="16" t="s">
        <v>1285</v>
      </c>
      <c r="G1527" s="16" t="s">
        <v>322</v>
      </c>
      <c r="H1527" s="16" t="s">
        <v>5563</v>
      </c>
      <c r="I1527" s="16" t="s">
        <v>118</v>
      </c>
      <c r="J1527" s="16" t="s">
        <v>1644</v>
      </c>
      <c r="K1527" s="32" t="n">
        <v>1</v>
      </c>
      <c r="L1527" s="33" t="n">
        <v>46099</v>
      </c>
      <c r="M1527" s="33" t="n">
        <v>46099</v>
      </c>
      <c r="N1527" s="16" t="s">
        <v>5631</v>
      </c>
      <c r="O1527" s="16"/>
      <c r="P1527" s="16" t="str">
        <f aca="false">IF(AND(L1527&lt;=$D$2,M1527&gt;=$C$2),"Sí","")</f>
        <v/>
      </c>
      <c r="Q1527" s="18" t="str">
        <f aca="false">IF(COUNTIF(LOOKAHEAD!$A$5:$A$604,A1527)&gt;0,"En Lookahead",IF(P1527="Sí","INCORPORAR",""))</f>
        <v/>
      </c>
    </row>
    <row r="1528" customFormat="false" ht="15" hidden="false" customHeight="false" outlineLevel="0" collapsed="false">
      <c r="A1528" s="16" t="s">
        <v>5632</v>
      </c>
      <c r="B1528" s="16" t="n">
        <v>1523</v>
      </c>
      <c r="C1528" s="16" t="s">
        <v>5633</v>
      </c>
      <c r="D1528" s="16" t="n">
        <v>7</v>
      </c>
      <c r="E1528" s="37" t="s">
        <v>1651</v>
      </c>
      <c r="F1528" s="16" t="s">
        <v>1285</v>
      </c>
      <c r="G1528" s="16" t="s">
        <v>322</v>
      </c>
      <c r="H1528" s="16" t="s">
        <v>5563</v>
      </c>
      <c r="I1528" s="16" t="s">
        <v>118</v>
      </c>
      <c r="J1528" s="16" t="s">
        <v>1644</v>
      </c>
      <c r="K1528" s="32" t="n">
        <v>1</v>
      </c>
      <c r="L1528" s="33" t="n">
        <v>46098</v>
      </c>
      <c r="M1528" s="33" t="n">
        <v>46098</v>
      </c>
      <c r="N1528" s="16" t="s">
        <v>5634</v>
      </c>
      <c r="O1528" s="16"/>
      <c r="P1528" s="16" t="str">
        <f aca="false">IF(AND(L1528&lt;=$D$2,M1528&gt;=$C$2),"Sí","")</f>
        <v/>
      </c>
      <c r="Q1528" s="18" t="str">
        <f aca="false">IF(COUNTIF(LOOKAHEAD!$A$5:$A$604,A1528)&gt;0,"En Lookahead",IF(P1528="Sí","INCORPORAR",""))</f>
        <v/>
      </c>
    </row>
    <row r="1529" customFormat="false" ht="15" hidden="false" customHeight="false" outlineLevel="0" collapsed="false">
      <c r="A1529" s="16" t="s">
        <v>5635</v>
      </c>
      <c r="B1529" s="16" t="n">
        <v>1524</v>
      </c>
      <c r="C1529" s="16" t="s">
        <v>5636</v>
      </c>
      <c r="D1529" s="16" t="n">
        <v>7</v>
      </c>
      <c r="E1529" s="37" t="s">
        <v>1637</v>
      </c>
      <c r="F1529" s="16" t="s">
        <v>1285</v>
      </c>
      <c r="G1529" s="16" t="s">
        <v>322</v>
      </c>
      <c r="H1529" s="16" t="s">
        <v>5563</v>
      </c>
      <c r="I1529" s="16" t="s">
        <v>118</v>
      </c>
      <c r="J1529" s="16" t="s">
        <v>1644</v>
      </c>
      <c r="K1529" s="32" t="n">
        <v>2</v>
      </c>
      <c r="L1529" s="33" t="n">
        <v>46096</v>
      </c>
      <c r="M1529" s="33" t="n">
        <v>46097</v>
      </c>
      <c r="N1529" s="16" t="s">
        <v>5637</v>
      </c>
      <c r="O1529" s="16"/>
      <c r="P1529" s="16" t="str">
        <f aca="false">IF(AND(L1529&lt;=$D$2,M1529&gt;=$C$2),"Sí","")</f>
        <v/>
      </c>
      <c r="Q1529" s="18" t="str">
        <f aca="false">IF(COUNTIF(LOOKAHEAD!$A$5:$A$604,A1529)&gt;0,"En Lookahead",IF(P1529="Sí","INCORPORAR",""))</f>
        <v/>
      </c>
    </row>
    <row r="1530" customFormat="false" ht="15" hidden="false" customHeight="false" outlineLevel="0" collapsed="false">
      <c r="A1530" s="16" t="s">
        <v>5638</v>
      </c>
      <c r="B1530" s="16" t="n">
        <v>1525</v>
      </c>
      <c r="C1530" s="16" t="s">
        <v>5639</v>
      </c>
      <c r="D1530" s="16" t="n">
        <v>7</v>
      </c>
      <c r="E1530" s="37" t="s">
        <v>1602</v>
      </c>
      <c r="F1530" s="16" t="s">
        <v>1285</v>
      </c>
      <c r="G1530" s="16" t="s">
        <v>322</v>
      </c>
      <c r="H1530" s="16" t="s">
        <v>5563</v>
      </c>
      <c r="I1530" s="16" t="s">
        <v>118</v>
      </c>
      <c r="J1530" s="16" t="s">
        <v>1644</v>
      </c>
      <c r="K1530" s="32" t="n">
        <v>1</v>
      </c>
      <c r="L1530" s="33" t="n">
        <v>46100</v>
      </c>
      <c r="M1530" s="33" t="n">
        <v>46100</v>
      </c>
      <c r="N1530" s="16" t="s">
        <v>5640</v>
      </c>
      <c r="O1530" s="16"/>
      <c r="P1530" s="16" t="str">
        <f aca="false">IF(AND(L1530&lt;=$D$2,M1530&gt;=$C$2),"Sí","")</f>
        <v/>
      </c>
      <c r="Q1530" s="18" t="str">
        <f aca="false">IF(COUNTIF(LOOKAHEAD!$A$5:$A$604,A1530)&gt;0,"En Lookahead",IF(P1530="Sí","INCORPORAR",""))</f>
        <v/>
      </c>
    </row>
    <row r="1531" customFormat="false" ht="15" hidden="false" customHeight="false" outlineLevel="0" collapsed="false">
      <c r="A1531" s="13" t="s">
        <v>5641</v>
      </c>
      <c r="B1531" s="13" t="n">
        <v>1526</v>
      </c>
      <c r="C1531" s="13" t="s">
        <v>5642</v>
      </c>
      <c r="D1531" s="13" t="n">
        <v>6</v>
      </c>
      <c r="E1531" s="36" t="s">
        <v>1731</v>
      </c>
      <c r="F1531" s="13" t="s">
        <v>1298</v>
      </c>
      <c r="G1531" s="13" t="s">
        <v>322</v>
      </c>
      <c r="H1531" s="13" t="s">
        <v>5563</v>
      </c>
      <c r="I1531" s="13" t="s">
        <v>118</v>
      </c>
      <c r="J1531" s="13" t="s">
        <v>1623</v>
      </c>
      <c r="K1531" s="30" t="n">
        <v>19</v>
      </c>
      <c r="L1531" s="31" t="n">
        <v>46102</v>
      </c>
      <c r="M1531" s="31" t="n">
        <v>46120</v>
      </c>
      <c r="N1531" s="13"/>
      <c r="O1531" s="13"/>
      <c r="P1531" s="13"/>
      <c r="Q1531" s="13"/>
    </row>
    <row r="1532" customFormat="false" ht="15" hidden="false" customHeight="false" outlineLevel="0" collapsed="false">
      <c r="A1532" s="13" t="s">
        <v>5643</v>
      </c>
      <c r="B1532" s="13" t="n">
        <v>1527</v>
      </c>
      <c r="C1532" s="13" t="s">
        <v>5644</v>
      </c>
      <c r="D1532" s="13" t="n">
        <v>7</v>
      </c>
      <c r="E1532" s="38" t="s">
        <v>1734</v>
      </c>
      <c r="F1532" s="13" t="s">
        <v>1298</v>
      </c>
      <c r="G1532" s="13" t="s">
        <v>322</v>
      </c>
      <c r="H1532" s="13" t="s">
        <v>5563</v>
      </c>
      <c r="I1532" s="13" t="s">
        <v>118</v>
      </c>
      <c r="J1532" s="13" t="s">
        <v>1731</v>
      </c>
      <c r="K1532" s="30" t="n">
        <v>8</v>
      </c>
      <c r="L1532" s="31" t="n">
        <v>46102</v>
      </c>
      <c r="M1532" s="31" t="n">
        <v>46109</v>
      </c>
      <c r="N1532" s="13"/>
      <c r="O1532" s="13"/>
      <c r="P1532" s="13"/>
      <c r="Q1532" s="13"/>
    </row>
    <row r="1533" customFormat="false" ht="15" hidden="false" customHeight="false" outlineLevel="0" collapsed="false">
      <c r="A1533" s="16" t="s">
        <v>5645</v>
      </c>
      <c r="B1533" s="16" t="n">
        <v>1528</v>
      </c>
      <c r="C1533" s="16" t="s">
        <v>5646</v>
      </c>
      <c r="D1533" s="16" t="n">
        <v>8</v>
      </c>
      <c r="E1533" s="39" t="s">
        <v>1737</v>
      </c>
      <c r="F1533" s="16" t="s">
        <v>1285</v>
      </c>
      <c r="G1533" s="16" t="s">
        <v>322</v>
      </c>
      <c r="H1533" s="16" t="s">
        <v>5563</v>
      </c>
      <c r="I1533" s="16" t="s">
        <v>118</v>
      </c>
      <c r="J1533" s="16" t="s">
        <v>1734</v>
      </c>
      <c r="K1533" s="32" t="n">
        <v>1</v>
      </c>
      <c r="L1533" s="33" t="n">
        <v>46108</v>
      </c>
      <c r="M1533" s="33" t="n">
        <v>46108</v>
      </c>
      <c r="N1533" s="16" t="s">
        <v>5647</v>
      </c>
      <c r="O1533" s="16"/>
      <c r="P1533" s="16" t="str">
        <f aca="false">IF(AND(L1533&lt;=$D$2,M1533&gt;=$C$2),"Sí","")</f>
        <v/>
      </c>
      <c r="Q1533" s="18" t="str">
        <f aca="false">IF(COUNTIF(LOOKAHEAD!$A$5:$A$604,A1533)&gt;0,"En Lookahead",IF(P1533="Sí","INCORPORAR",""))</f>
        <v/>
      </c>
    </row>
    <row r="1534" customFormat="false" ht="15" hidden="false" customHeight="false" outlineLevel="0" collapsed="false">
      <c r="A1534" s="16" t="s">
        <v>5648</v>
      </c>
      <c r="B1534" s="16" t="n">
        <v>1529</v>
      </c>
      <c r="C1534" s="16" t="s">
        <v>5649</v>
      </c>
      <c r="D1534" s="16" t="n">
        <v>8</v>
      </c>
      <c r="E1534" s="39" t="s">
        <v>1741</v>
      </c>
      <c r="F1534" s="16" t="s">
        <v>1285</v>
      </c>
      <c r="G1534" s="16" t="s">
        <v>322</v>
      </c>
      <c r="H1534" s="16" t="s">
        <v>5563</v>
      </c>
      <c r="I1534" s="16" t="s">
        <v>118</v>
      </c>
      <c r="J1534" s="16" t="s">
        <v>1734</v>
      </c>
      <c r="K1534" s="32" t="n">
        <v>4</v>
      </c>
      <c r="L1534" s="33" t="n">
        <v>46104</v>
      </c>
      <c r="M1534" s="33" t="n">
        <v>46107</v>
      </c>
      <c r="N1534" s="16" t="s">
        <v>5650</v>
      </c>
      <c r="O1534" s="16"/>
      <c r="P1534" s="16" t="str">
        <f aca="false">IF(AND(L1534&lt;=$D$2,M1534&gt;=$C$2),"Sí","")</f>
        <v/>
      </c>
      <c r="Q1534" s="18" t="str">
        <f aca="false">IF(COUNTIF(LOOKAHEAD!$A$5:$A$604,A1534)&gt;0,"En Lookahead",IF(P1534="Sí","INCORPORAR",""))</f>
        <v/>
      </c>
    </row>
    <row r="1535" customFormat="false" ht="15" hidden="false" customHeight="false" outlineLevel="0" collapsed="false">
      <c r="A1535" s="16" t="s">
        <v>5651</v>
      </c>
      <c r="B1535" s="16" t="n">
        <v>1530</v>
      </c>
      <c r="C1535" s="16" t="s">
        <v>5652</v>
      </c>
      <c r="D1535" s="16" t="n">
        <v>8</v>
      </c>
      <c r="E1535" s="39" t="s">
        <v>1745</v>
      </c>
      <c r="F1535" s="16" t="s">
        <v>1285</v>
      </c>
      <c r="G1535" s="16" t="s">
        <v>322</v>
      </c>
      <c r="H1535" s="16" t="s">
        <v>5563</v>
      </c>
      <c r="I1535" s="16" t="s">
        <v>118</v>
      </c>
      <c r="J1535" s="16" t="s">
        <v>1734</v>
      </c>
      <c r="K1535" s="32" t="n">
        <v>2</v>
      </c>
      <c r="L1535" s="33" t="n">
        <v>46102</v>
      </c>
      <c r="M1535" s="33" t="n">
        <v>46103</v>
      </c>
      <c r="N1535" s="16" t="s">
        <v>5626</v>
      </c>
      <c r="O1535" s="16"/>
      <c r="P1535" s="16" t="str">
        <f aca="false">IF(AND(L1535&lt;=$D$2,M1535&gt;=$C$2),"Sí","")</f>
        <v/>
      </c>
      <c r="Q1535" s="18" t="str">
        <f aca="false">IF(COUNTIF(LOOKAHEAD!$A$5:$A$604,A1535)&gt;0,"En Lookahead",IF(P1535="Sí","INCORPORAR",""))</f>
        <v/>
      </c>
    </row>
    <row r="1536" customFormat="false" ht="15" hidden="false" customHeight="false" outlineLevel="0" collapsed="false">
      <c r="A1536" s="16" t="s">
        <v>5653</v>
      </c>
      <c r="B1536" s="16" t="n">
        <v>1531</v>
      </c>
      <c r="C1536" s="16" t="s">
        <v>5654</v>
      </c>
      <c r="D1536" s="16" t="n">
        <v>8</v>
      </c>
      <c r="E1536" s="39" t="s">
        <v>1677</v>
      </c>
      <c r="F1536" s="16" t="s">
        <v>1285</v>
      </c>
      <c r="G1536" s="16" t="s">
        <v>322</v>
      </c>
      <c r="H1536" s="16" t="s">
        <v>5563</v>
      </c>
      <c r="I1536" s="16" t="s">
        <v>118</v>
      </c>
      <c r="J1536" s="16" t="s">
        <v>1734</v>
      </c>
      <c r="K1536" s="32" t="n">
        <v>1</v>
      </c>
      <c r="L1536" s="33" t="n">
        <v>46109</v>
      </c>
      <c r="M1536" s="33" t="n">
        <v>46109</v>
      </c>
      <c r="N1536" s="16" t="s">
        <v>5573</v>
      </c>
      <c r="O1536" s="16"/>
      <c r="P1536" s="16" t="str">
        <f aca="false">IF(AND(L1536&lt;=$D$2,M1536&gt;=$C$2),"Sí","")</f>
        <v/>
      </c>
      <c r="Q1536" s="18" t="str">
        <f aca="false">IF(COUNTIF(LOOKAHEAD!$A$5:$A$604,A1536)&gt;0,"En Lookahead",IF(P1536="Sí","INCORPORAR",""))</f>
        <v/>
      </c>
    </row>
    <row r="1537" customFormat="false" ht="15" hidden="false" customHeight="false" outlineLevel="0" collapsed="false">
      <c r="A1537" s="13" t="s">
        <v>5655</v>
      </c>
      <c r="B1537" s="13" t="n">
        <v>1532</v>
      </c>
      <c r="C1537" s="13" t="s">
        <v>5656</v>
      </c>
      <c r="D1537" s="13" t="n">
        <v>7</v>
      </c>
      <c r="E1537" s="38" t="s">
        <v>1752</v>
      </c>
      <c r="F1537" s="13" t="s">
        <v>1298</v>
      </c>
      <c r="G1537" s="13" t="s">
        <v>322</v>
      </c>
      <c r="H1537" s="13" t="s">
        <v>5563</v>
      </c>
      <c r="I1537" s="13" t="s">
        <v>118</v>
      </c>
      <c r="J1537" s="13" t="s">
        <v>1731</v>
      </c>
      <c r="K1537" s="30" t="n">
        <v>7</v>
      </c>
      <c r="L1537" s="31" t="n">
        <v>46114</v>
      </c>
      <c r="M1537" s="31" t="n">
        <v>46120</v>
      </c>
      <c r="N1537" s="13"/>
      <c r="O1537" s="13"/>
      <c r="P1537" s="13"/>
      <c r="Q1537" s="13"/>
    </row>
    <row r="1538" customFormat="false" ht="15" hidden="false" customHeight="false" outlineLevel="0" collapsed="false">
      <c r="A1538" s="16" t="s">
        <v>5657</v>
      </c>
      <c r="B1538" s="16" t="n">
        <v>1533</v>
      </c>
      <c r="C1538" s="16" t="s">
        <v>5658</v>
      </c>
      <c r="D1538" s="16" t="n">
        <v>8</v>
      </c>
      <c r="E1538" s="39" t="s">
        <v>1755</v>
      </c>
      <c r="F1538" s="16" t="s">
        <v>1285</v>
      </c>
      <c r="G1538" s="16" t="s">
        <v>322</v>
      </c>
      <c r="H1538" s="16" t="s">
        <v>5563</v>
      </c>
      <c r="I1538" s="16" t="s">
        <v>118</v>
      </c>
      <c r="J1538" s="16" t="s">
        <v>1752</v>
      </c>
      <c r="K1538" s="32" t="n">
        <v>1</v>
      </c>
      <c r="L1538" s="33" t="n">
        <v>46119</v>
      </c>
      <c r="M1538" s="33" t="n">
        <v>46119</v>
      </c>
      <c r="N1538" s="16" t="s">
        <v>5659</v>
      </c>
      <c r="O1538" s="16"/>
      <c r="P1538" s="16" t="str">
        <f aca="false">IF(AND(L1538&lt;=$D$2,M1538&gt;=$C$2),"Sí","")</f>
        <v/>
      </c>
      <c r="Q1538" s="18" t="str">
        <f aca="false">IF(COUNTIF(LOOKAHEAD!$A$5:$A$604,A1538)&gt;0,"En Lookahead",IF(P1538="Sí","INCORPORAR",""))</f>
        <v/>
      </c>
    </row>
    <row r="1539" customFormat="false" ht="15" hidden="false" customHeight="false" outlineLevel="0" collapsed="false">
      <c r="A1539" s="16" t="s">
        <v>5660</v>
      </c>
      <c r="B1539" s="16" t="n">
        <v>1534</v>
      </c>
      <c r="C1539" s="16" t="s">
        <v>5661</v>
      </c>
      <c r="D1539" s="16" t="n">
        <v>8</v>
      </c>
      <c r="E1539" s="39" t="s">
        <v>1759</v>
      </c>
      <c r="F1539" s="16" t="s">
        <v>1285</v>
      </c>
      <c r="G1539" s="16" t="s">
        <v>322</v>
      </c>
      <c r="H1539" s="16" t="s">
        <v>5563</v>
      </c>
      <c r="I1539" s="16" t="s">
        <v>118</v>
      </c>
      <c r="J1539" s="16" t="s">
        <v>1752</v>
      </c>
      <c r="K1539" s="32" t="n">
        <v>3</v>
      </c>
      <c r="L1539" s="33" t="n">
        <v>46116</v>
      </c>
      <c r="M1539" s="33" t="n">
        <v>46118</v>
      </c>
      <c r="N1539" s="16" t="s">
        <v>5662</v>
      </c>
      <c r="O1539" s="16"/>
      <c r="P1539" s="16" t="str">
        <f aca="false">IF(AND(L1539&lt;=$D$2,M1539&gt;=$C$2),"Sí","")</f>
        <v/>
      </c>
      <c r="Q1539" s="18" t="str">
        <f aca="false">IF(COUNTIF(LOOKAHEAD!$A$5:$A$604,A1539)&gt;0,"En Lookahead",IF(P1539="Sí","INCORPORAR",""))</f>
        <v/>
      </c>
    </row>
    <row r="1540" customFormat="false" ht="15" hidden="false" customHeight="false" outlineLevel="0" collapsed="false">
      <c r="A1540" s="16" t="s">
        <v>5663</v>
      </c>
      <c r="B1540" s="16" t="n">
        <v>1535</v>
      </c>
      <c r="C1540" s="16" t="s">
        <v>5664</v>
      </c>
      <c r="D1540" s="16" t="n">
        <v>8</v>
      </c>
      <c r="E1540" s="39" t="s">
        <v>1745</v>
      </c>
      <c r="F1540" s="16" t="s">
        <v>1285</v>
      </c>
      <c r="G1540" s="16" t="s">
        <v>322</v>
      </c>
      <c r="H1540" s="16" t="s">
        <v>5563</v>
      </c>
      <c r="I1540" s="16" t="s">
        <v>118</v>
      </c>
      <c r="J1540" s="16" t="s">
        <v>1752</v>
      </c>
      <c r="K1540" s="32" t="n">
        <v>2</v>
      </c>
      <c r="L1540" s="33" t="n">
        <v>46114</v>
      </c>
      <c r="M1540" s="33" t="n">
        <v>46115</v>
      </c>
      <c r="N1540" s="16" t="s">
        <v>5665</v>
      </c>
      <c r="O1540" s="16"/>
      <c r="P1540" s="16" t="str">
        <f aca="false">IF(AND(L1540&lt;=$D$2,M1540&gt;=$C$2),"Sí","")</f>
        <v/>
      </c>
      <c r="Q1540" s="18" t="str">
        <f aca="false">IF(COUNTIF(LOOKAHEAD!$A$5:$A$604,A1540)&gt;0,"En Lookahead",IF(P1540="Sí","INCORPORAR",""))</f>
        <v/>
      </c>
    </row>
    <row r="1541" customFormat="false" ht="15" hidden="false" customHeight="false" outlineLevel="0" collapsed="false">
      <c r="A1541" s="16" t="s">
        <v>5666</v>
      </c>
      <c r="B1541" s="16" t="n">
        <v>1536</v>
      </c>
      <c r="C1541" s="16" t="s">
        <v>5667</v>
      </c>
      <c r="D1541" s="16" t="n">
        <v>8</v>
      </c>
      <c r="E1541" s="39" t="s">
        <v>1677</v>
      </c>
      <c r="F1541" s="16" t="s">
        <v>1285</v>
      </c>
      <c r="G1541" s="16" t="s">
        <v>322</v>
      </c>
      <c r="H1541" s="16" t="s">
        <v>5563</v>
      </c>
      <c r="I1541" s="16" t="s">
        <v>118</v>
      </c>
      <c r="J1541" s="16" t="s">
        <v>1752</v>
      </c>
      <c r="K1541" s="32" t="n">
        <v>1</v>
      </c>
      <c r="L1541" s="33" t="n">
        <v>46120</v>
      </c>
      <c r="M1541" s="33" t="n">
        <v>46120</v>
      </c>
      <c r="N1541" s="16" t="s">
        <v>5668</v>
      </c>
      <c r="O1541" s="16"/>
      <c r="P1541" s="16" t="str">
        <f aca="false">IF(AND(L1541&lt;=$D$2,M1541&gt;=$C$2),"Sí","")</f>
        <v/>
      </c>
      <c r="Q1541" s="18" t="str">
        <f aca="false">IF(COUNTIF(LOOKAHEAD!$A$5:$A$604,A1541)&gt;0,"En Lookahead",IF(P1541="Sí","INCORPORAR",""))</f>
        <v/>
      </c>
    </row>
    <row r="1542" customFormat="false" ht="15" hidden="false" customHeight="false" outlineLevel="0" collapsed="false">
      <c r="A1542" s="13" t="s">
        <v>5669</v>
      </c>
      <c r="B1542" s="13" t="n">
        <v>1537</v>
      </c>
      <c r="C1542" s="13" t="s">
        <v>5670</v>
      </c>
      <c r="D1542" s="13" t="n">
        <v>6</v>
      </c>
      <c r="E1542" s="36" t="s">
        <v>1786</v>
      </c>
      <c r="F1542" s="13" t="s">
        <v>1298</v>
      </c>
      <c r="G1542" s="13" t="s">
        <v>322</v>
      </c>
      <c r="H1542" s="13" t="s">
        <v>5563</v>
      </c>
      <c r="I1542" s="13" t="s">
        <v>118</v>
      </c>
      <c r="J1542" s="13" t="s">
        <v>1623</v>
      </c>
      <c r="K1542" s="30" t="n">
        <v>17</v>
      </c>
      <c r="L1542" s="31" t="n">
        <v>46109</v>
      </c>
      <c r="M1542" s="31" t="n">
        <v>46125</v>
      </c>
      <c r="N1542" s="13"/>
      <c r="O1542" s="13"/>
      <c r="P1542" s="13"/>
      <c r="Q1542" s="13"/>
    </row>
    <row r="1543" customFormat="false" ht="15" hidden="false" customHeight="false" outlineLevel="0" collapsed="false">
      <c r="A1543" s="13" t="s">
        <v>5671</v>
      </c>
      <c r="B1543" s="13" t="n">
        <v>1538</v>
      </c>
      <c r="C1543" s="13" t="s">
        <v>5672</v>
      </c>
      <c r="D1543" s="13" t="n">
        <v>7</v>
      </c>
      <c r="E1543" s="38" t="s">
        <v>1789</v>
      </c>
      <c r="F1543" s="13" t="s">
        <v>1298</v>
      </c>
      <c r="G1543" s="13" t="s">
        <v>322</v>
      </c>
      <c r="H1543" s="13" t="s">
        <v>5563</v>
      </c>
      <c r="I1543" s="13" t="s">
        <v>118</v>
      </c>
      <c r="J1543" s="13" t="s">
        <v>1786</v>
      </c>
      <c r="K1543" s="30" t="n">
        <v>6</v>
      </c>
      <c r="L1543" s="31" t="n">
        <v>46109</v>
      </c>
      <c r="M1543" s="31" t="n">
        <v>46114</v>
      </c>
      <c r="N1543" s="13"/>
      <c r="O1543" s="13"/>
      <c r="P1543" s="13"/>
      <c r="Q1543" s="13"/>
    </row>
    <row r="1544" customFormat="false" ht="15" hidden="false" customHeight="false" outlineLevel="0" collapsed="false">
      <c r="A1544" s="16" t="s">
        <v>5673</v>
      </c>
      <c r="B1544" s="16" t="n">
        <v>1539</v>
      </c>
      <c r="C1544" s="16" t="s">
        <v>5674</v>
      </c>
      <c r="D1544" s="16" t="n">
        <v>8</v>
      </c>
      <c r="E1544" s="39" t="s">
        <v>1792</v>
      </c>
      <c r="F1544" s="16" t="s">
        <v>1285</v>
      </c>
      <c r="G1544" s="16" t="s">
        <v>322</v>
      </c>
      <c r="H1544" s="16" t="s">
        <v>5563</v>
      </c>
      <c r="I1544" s="16" t="s">
        <v>118</v>
      </c>
      <c r="J1544" s="16" t="s">
        <v>1789</v>
      </c>
      <c r="K1544" s="32" t="n">
        <v>1</v>
      </c>
      <c r="L1544" s="33" t="n">
        <v>46113</v>
      </c>
      <c r="M1544" s="33" t="n">
        <v>46113</v>
      </c>
      <c r="N1544" s="16" t="s">
        <v>5675</v>
      </c>
      <c r="O1544" s="16"/>
      <c r="P1544" s="16" t="str">
        <f aca="false">IF(AND(L1544&lt;=$D$2,M1544&gt;=$C$2),"Sí","")</f>
        <v/>
      </c>
      <c r="Q1544" s="18" t="str">
        <f aca="false">IF(COUNTIF(LOOKAHEAD!$A$5:$A$604,A1544)&gt;0,"En Lookahead",IF(P1544="Sí","INCORPORAR",""))</f>
        <v/>
      </c>
    </row>
    <row r="1545" customFormat="false" ht="15" hidden="false" customHeight="false" outlineLevel="0" collapsed="false">
      <c r="A1545" s="16" t="s">
        <v>5676</v>
      </c>
      <c r="B1545" s="16" t="n">
        <v>1540</v>
      </c>
      <c r="C1545" s="16" t="s">
        <v>5677</v>
      </c>
      <c r="D1545" s="16" t="n">
        <v>8</v>
      </c>
      <c r="E1545" s="39" t="s">
        <v>1796</v>
      </c>
      <c r="F1545" s="16" t="s">
        <v>1285</v>
      </c>
      <c r="G1545" s="16" t="s">
        <v>322</v>
      </c>
      <c r="H1545" s="16" t="s">
        <v>5563</v>
      </c>
      <c r="I1545" s="16" t="s">
        <v>118</v>
      </c>
      <c r="J1545" s="16" t="s">
        <v>1789</v>
      </c>
      <c r="K1545" s="32" t="n">
        <v>2</v>
      </c>
      <c r="L1545" s="33" t="n">
        <v>46111</v>
      </c>
      <c r="M1545" s="33" t="n">
        <v>46112</v>
      </c>
      <c r="N1545" s="16" t="s">
        <v>5678</v>
      </c>
      <c r="O1545" s="16"/>
      <c r="P1545" s="16" t="str">
        <f aca="false">IF(AND(L1545&lt;=$D$2,M1545&gt;=$C$2),"Sí","")</f>
        <v/>
      </c>
      <c r="Q1545" s="18" t="str">
        <f aca="false">IF(COUNTIF(LOOKAHEAD!$A$5:$A$604,A1545)&gt;0,"En Lookahead",IF(P1545="Sí","INCORPORAR",""))</f>
        <v/>
      </c>
    </row>
    <row r="1546" customFormat="false" ht="15" hidden="false" customHeight="false" outlineLevel="0" collapsed="false">
      <c r="A1546" s="16" t="s">
        <v>5679</v>
      </c>
      <c r="B1546" s="16" t="n">
        <v>1541</v>
      </c>
      <c r="C1546" s="16" t="s">
        <v>5680</v>
      </c>
      <c r="D1546" s="16" t="n">
        <v>8</v>
      </c>
      <c r="E1546" s="39" t="s">
        <v>1800</v>
      </c>
      <c r="F1546" s="16" t="s">
        <v>1285</v>
      </c>
      <c r="G1546" s="16" t="s">
        <v>322</v>
      </c>
      <c r="H1546" s="16" t="s">
        <v>5563</v>
      </c>
      <c r="I1546" s="16" t="s">
        <v>118</v>
      </c>
      <c r="J1546" s="16" t="s">
        <v>1789</v>
      </c>
      <c r="K1546" s="32" t="n">
        <v>2</v>
      </c>
      <c r="L1546" s="33" t="n">
        <v>46109</v>
      </c>
      <c r="M1546" s="33" t="n">
        <v>46110</v>
      </c>
      <c r="N1546" s="16" t="s">
        <v>5573</v>
      </c>
      <c r="O1546" s="16"/>
      <c r="P1546" s="16" t="str">
        <f aca="false">IF(AND(L1546&lt;=$D$2,M1546&gt;=$C$2),"Sí","")</f>
        <v/>
      </c>
      <c r="Q1546" s="18" t="str">
        <f aca="false">IF(COUNTIF(LOOKAHEAD!$A$5:$A$604,A1546)&gt;0,"En Lookahead",IF(P1546="Sí","INCORPORAR",""))</f>
        <v/>
      </c>
    </row>
    <row r="1547" customFormat="false" ht="15" hidden="false" customHeight="false" outlineLevel="0" collapsed="false">
      <c r="A1547" s="16" t="s">
        <v>5681</v>
      </c>
      <c r="B1547" s="16" t="n">
        <v>1542</v>
      </c>
      <c r="C1547" s="16" t="s">
        <v>5682</v>
      </c>
      <c r="D1547" s="16" t="n">
        <v>8</v>
      </c>
      <c r="E1547" s="39" t="s">
        <v>1602</v>
      </c>
      <c r="F1547" s="16" t="s">
        <v>1285</v>
      </c>
      <c r="G1547" s="16" t="s">
        <v>322</v>
      </c>
      <c r="H1547" s="16" t="s">
        <v>5563</v>
      </c>
      <c r="I1547" s="16" t="s">
        <v>118</v>
      </c>
      <c r="J1547" s="16" t="s">
        <v>1789</v>
      </c>
      <c r="K1547" s="32" t="n">
        <v>1</v>
      </c>
      <c r="L1547" s="33" t="n">
        <v>46114</v>
      </c>
      <c r="M1547" s="33" t="n">
        <v>46114</v>
      </c>
      <c r="N1547" s="16" t="s">
        <v>5665</v>
      </c>
      <c r="O1547" s="16"/>
      <c r="P1547" s="16" t="str">
        <f aca="false">IF(AND(L1547&lt;=$D$2,M1547&gt;=$C$2),"Sí","")</f>
        <v/>
      </c>
      <c r="Q1547" s="18" t="str">
        <f aca="false">IF(COUNTIF(LOOKAHEAD!$A$5:$A$604,A1547)&gt;0,"En Lookahead",IF(P1547="Sí","INCORPORAR",""))</f>
        <v/>
      </c>
    </row>
    <row r="1548" customFormat="false" ht="15" hidden="false" customHeight="false" outlineLevel="0" collapsed="false">
      <c r="A1548" s="13" t="s">
        <v>5683</v>
      </c>
      <c r="B1548" s="13" t="n">
        <v>1543</v>
      </c>
      <c r="C1548" s="13" t="s">
        <v>5684</v>
      </c>
      <c r="D1548" s="13" t="n">
        <v>7</v>
      </c>
      <c r="E1548" s="38" t="s">
        <v>1806</v>
      </c>
      <c r="F1548" s="13" t="s">
        <v>1298</v>
      </c>
      <c r="G1548" s="13" t="s">
        <v>322</v>
      </c>
      <c r="H1548" s="13" t="s">
        <v>5563</v>
      </c>
      <c r="I1548" s="13" t="s">
        <v>118</v>
      </c>
      <c r="J1548" s="13" t="s">
        <v>1786</v>
      </c>
      <c r="K1548" s="30" t="n">
        <v>6</v>
      </c>
      <c r="L1548" s="31" t="n">
        <v>46120</v>
      </c>
      <c r="M1548" s="31" t="n">
        <v>46125</v>
      </c>
      <c r="N1548" s="13"/>
      <c r="O1548" s="13"/>
      <c r="P1548" s="13"/>
      <c r="Q1548" s="13"/>
    </row>
    <row r="1549" customFormat="false" ht="15" hidden="false" customHeight="false" outlineLevel="0" collapsed="false">
      <c r="A1549" s="16" t="s">
        <v>5685</v>
      </c>
      <c r="B1549" s="16" t="n">
        <v>1544</v>
      </c>
      <c r="C1549" s="16" t="s">
        <v>5686</v>
      </c>
      <c r="D1549" s="16" t="n">
        <v>8</v>
      </c>
      <c r="E1549" s="39" t="s">
        <v>1809</v>
      </c>
      <c r="F1549" s="16" t="s">
        <v>1285</v>
      </c>
      <c r="G1549" s="16" t="s">
        <v>322</v>
      </c>
      <c r="H1549" s="16" t="s">
        <v>5563</v>
      </c>
      <c r="I1549" s="16" t="s">
        <v>118</v>
      </c>
      <c r="J1549" s="16" t="s">
        <v>1806</v>
      </c>
      <c r="K1549" s="32" t="n">
        <v>1</v>
      </c>
      <c r="L1549" s="33" t="n">
        <v>46124</v>
      </c>
      <c r="M1549" s="33" t="n">
        <v>46124</v>
      </c>
      <c r="N1549" s="16" t="s">
        <v>5687</v>
      </c>
      <c r="O1549" s="16"/>
      <c r="P1549" s="16" t="str">
        <f aca="false">IF(AND(L1549&lt;=$D$2,M1549&gt;=$C$2),"Sí","")</f>
        <v/>
      </c>
      <c r="Q1549" s="18" t="str">
        <f aca="false">IF(COUNTIF(LOOKAHEAD!$A$5:$A$604,A1549)&gt;0,"En Lookahead",IF(P1549="Sí","INCORPORAR",""))</f>
        <v/>
      </c>
    </row>
    <row r="1550" customFormat="false" ht="15" hidden="false" customHeight="false" outlineLevel="0" collapsed="false">
      <c r="A1550" s="16" t="s">
        <v>5688</v>
      </c>
      <c r="B1550" s="16" t="n">
        <v>1545</v>
      </c>
      <c r="C1550" s="16" t="s">
        <v>5689</v>
      </c>
      <c r="D1550" s="16" t="n">
        <v>8</v>
      </c>
      <c r="E1550" s="39" t="s">
        <v>1813</v>
      </c>
      <c r="F1550" s="16" t="s">
        <v>1285</v>
      </c>
      <c r="G1550" s="16" t="s">
        <v>322</v>
      </c>
      <c r="H1550" s="16" t="s">
        <v>5563</v>
      </c>
      <c r="I1550" s="16" t="s">
        <v>118</v>
      </c>
      <c r="J1550" s="16" t="s">
        <v>1806</v>
      </c>
      <c r="K1550" s="32" t="n">
        <v>2</v>
      </c>
      <c r="L1550" s="33" t="n">
        <v>46122</v>
      </c>
      <c r="M1550" s="33" t="n">
        <v>46123</v>
      </c>
      <c r="N1550" s="16" t="s">
        <v>5690</v>
      </c>
      <c r="O1550" s="16"/>
      <c r="P1550" s="16" t="str">
        <f aca="false">IF(AND(L1550&lt;=$D$2,M1550&gt;=$C$2),"Sí","")</f>
        <v/>
      </c>
      <c r="Q1550" s="18" t="str">
        <f aca="false">IF(COUNTIF(LOOKAHEAD!$A$5:$A$604,A1550)&gt;0,"En Lookahead",IF(P1550="Sí","INCORPORAR",""))</f>
        <v/>
      </c>
    </row>
    <row r="1551" customFormat="false" ht="15" hidden="false" customHeight="false" outlineLevel="0" collapsed="false">
      <c r="A1551" s="16" t="s">
        <v>5691</v>
      </c>
      <c r="B1551" s="16" t="n">
        <v>1546</v>
      </c>
      <c r="C1551" s="16" t="s">
        <v>5692</v>
      </c>
      <c r="D1551" s="16" t="n">
        <v>8</v>
      </c>
      <c r="E1551" s="39" t="s">
        <v>1800</v>
      </c>
      <c r="F1551" s="16" t="s">
        <v>1285</v>
      </c>
      <c r="G1551" s="16" t="s">
        <v>322</v>
      </c>
      <c r="H1551" s="16" t="s">
        <v>5563</v>
      </c>
      <c r="I1551" s="16" t="s">
        <v>118</v>
      </c>
      <c r="J1551" s="16" t="s">
        <v>1806</v>
      </c>
      <c r="K1551" s="32" t="n">
        <v>2</v>
      </c>
      <c r="L1551" s="33" t="n">
        <v>46120</v>
      </c>
      <c r="M1551" s="33" t="n">
        <v>46121</v>
      </c>
      <c r="N1551" s="16" t="s">
        <v>5668</v>
      </c>
      <c r="O1551" s="16"/>
      <c r="P1551" s="16" t="str">
        <f aca="false">IF(AND(L1551&lt;=$D$2,M1551&gt;=$C$2),"Sí","")</f>
        <v/>
      </c>
      <c r="Q1551" s="18" t="str">
        <f aca="false">IF(COUNTIF(LOOKAHEAD!$A$5:$A$604,A1551)&gt;0,"En Lookahead",IF(P1551="Sí","INCORPORAR",""))</f>
        <v/>
      </c>
    </row>
    <row r="1552" customFormat="false" ht="15" hidden="false" customHeight="false" outlineLevel="0" collapsed="false">
      <c r="A1552" s="16" t="s">
        <v>5693</v>
      </c>
      <c r="B1552" s="16" t="n">
        <v>1547</v>
      </c>
      <c r="C1552" s="16" t="s">
        <v>5694</v>
      </c>
      <c r="D1552" s="16" t="n">
        <v>8</v>
      </c>
      <c r="E1552" s="39" t="s">
        <v>1602</v>
      </c>
      <c r="F1552" s="16" t="s">
        <v>1285</v>
      </c>
      <c r="G1552" s="16" t="s">
        <v>322</v>
      </c>
      <c r="H1552" s="16" t="s">
        <v>5563</v>
      </c>
      <c r="I1552" s="16" t="s">
        <v>118</v>
      </c>
      <c r="J1552" s="16" t="s">
        <v>1806</v>
      </c>
      <c r="K1552" s="32" t="n">
        <v>1</v>
      </c>
      <c r="L1552" s="33" t="n">
        <v>46125</v>
      </c>
      <c r="M1552" s="33" t="n">
        <v>46125</v>
      </c>
      <c r="N1552" s="16" t="s">
        <v>5695</v>
      </c>
      <c r="O1552" s="16"/>
      <c r="P1552" s="16" t="str">
        <f aca="false">IF(AND(L1552&lt;=$D$2,M1552&gt;=$C$2),"Sí","")</f>
        <v/>
      </c>
      <c r="Q1552" s="18" t="str">
        <f aca="false">IF(COUNTIF(LOOKAHEAD!$A$5:$A$604,A1552)&gt;0,"En Lookahead",IF(P1552="Sí","INCORPORAR",""))</f>
        <v/>
      </c>
    </row>
    <row r="1553" customFormat="false" ht="15" hidden="false" customHeight="false" outlineLevel="0" collapsed="false">
      <c r="A1553" s="13" t="s">
        <v>5696</v>
      </c>
      <c r="B1553" s="13" t="n">
        <v>1548</v>
      </c>
      <c r="C1553" s="13" t="s">
        <v>5697</v>
      </c>
      <c r="D1553" s="13" t="n">
        <v>6</v>
      </c>
      <c r="E1553" s="36" t="s">
        <v>1853</v>
      </c>
      <c r="F1553" s="13" t="s">
        <v>1298</v>
      </c>
      <c r="G1553" s="13" t="s">
        <v>322</v>
      </c>
      <c r="H1553" s="13" t="s">
        <v>5563</v>
      </c>
      <c r="I1553" s="13" t="s">
        <v>118</v>
      </c>
      <c r="J1553" s="13" t="s">
        <v>1623</v>
      </c>
      <c r="K1553" s="30" t="n">
        <v>5</v>
      </c>
      <c r="L1553" s="31" t="n">
        <v>46111</v>
      </c>
      <c r="M1553" s="31" t="n">
        <v>46115</v>
      </c>
      <c r="N1553" s="13"/>
      <c r="O1553" s="13"/>
      <c r="P1553" s="13"/>
      <c r="Q1553" s="13"/>
    </row>
    <row r="1554" customFormat="false" ht="15" hidden="false" customHeight="false" outlineLevel="0" collapsed="false">
      <c r="A1554" s="16" t="s">
        <v>5698</v>
      </c>
      <c r="B1554" s="16" t="n">
        <v>1549</v>
      </c>
      <c r="C1554" s="16" t="s">
        <v>5699</v>
      </c>
      <c r="D1554" s="16" t="n">
        <v>7</v>
      </c>
      <c r="E1554" s="37" t="s">
        <v>1859</v>
      </c>
      <c r="F1554" s="16" t="s">
        <v>1285</v>
      </c>
      <c r="G1554" s="16" t="s">
        <v>322</v>
      </c>
      <c r="H1554" s="16" t="s">
        <v>5563</v>
      </c>
      <c r="I1554" s="16" t="s">
        <v>118</v>
      </c>
      <c r="J1554" s="16" t="s">
        <v>1853</v>
      </c>
      <c r="K1554" s="32" t="n">
        <v>1</v>
      </c>
      <c r="L1554" s="33" t="n">
        <v>46114</v>
      </c>
      <c r="M1554" s="33" t="n">
        <v>46114</v>
      </c>
      <c r="N1554" s="16" t="s">
        <v>5700</v>
      </c>
      <c r="O1554" s="16"/>
      <c r="P1554" s="16" t="str">
        <f aca="false">IF(AND(L1554&lt;=$D$2,M1554&gt;=$C$2),"Sí","")</f>
        <v/>
      </c>
      <c r="Q1554" s="18" t="str">
        <f aca="false">IF(COUNTIF(LOOKAHEAD!$A$5:$A$604,A1554)&gt;0,"En Lookahead",IF(P1554="Sí","INCORPORAR",""))</f>
        <v/>
      </c>
    </row>
    <row r="1555" customFormat="false" ht="15" hidden="false" customHeight="false" outlineLevel="0" collapsed="false">
      <c r="A1555" s="16" t="s">
        <v>5701</v>
      </c>
      <c r="B1555" s="16" t="n">
        <v>1550</v>
      </c>
      <c r="C1555" s="16" t="s">
        <v>5702</v>
      </c>
      <c r="D1555" s="16" t="n">
        <v>7</v>
      </c>
      <c r="E1555" s="37" t="s">
        <v>1863</v>
      </c>
      <c r="F1555" s="16" t="s">
        <v>1285</v>
      </c>
      <c r="G1555" s="16" t="s">
        <v>322</v>
      </c>
      <c r="H1555" s="16" t="s">
        <v>5563</v>
      </c>
      <c r="I1555" s="16" t="s">
        <v>118</v>
      </c>
      <c r="J1555" s="16" t="s">
        <v>1853</v>
      </c>
      <c r="K1555" s="32" t="n">
        <v>1</v>
      </c>
      <c r="L1555" s="33" t="n">
        <v>46111</v>
      </c>
      <c r="M1555" s="33" t="n">
        <v>46111</v>
      </c>
      <c r="N1555" s="16" t="s">
        <v>5703</v>
      </c>
      <c r="O1555" s="16"/>
      <c r="P1555" s="16" t="str">
        <f aca="false">IF(AND(L1555&lt;=$D$2,M1555&gt;=$C$2),"Sí","")</f>
        <v/>
      </c>
      <c r="Q1555" s="18" t="str">
        <f aca="false">IF(COUNTIF(LOOKAHEAD!$A$5:$A$604,A1555)&gt;0,"En Lookahead",IF(P1555="Sí","INCORPORAR",""))</f>
        <v/>
      </c>
    </row>
    <row r="1556" customFormat="false" ht="15" hidden="false" customHeight="false" outlineLevel="0" collapsed="false">
      <c r="A1556" s="16" t="s">
        <v>5704</v>
      </c>
      <c r="B1556" s="16" t="n">
        <v>1551</v>
      </c>
      <c r="C1556" s="16" t="s">
        <v>5705</v>
      </c>
      <c r="D1556" s="16" t="n">
        <v>7</v>
      </c>
      <c r="E1556" s="37" t="s">
        <v>1867</v>
      </c>
      <c r="F1556" s="16" t="s">
        <v>1285</v>
      </c>
      <c r="G1556" s="16" t="s">
        <v>322</v>
      </c>
      <c r="H1556" s="16" t="s">
        <v>5563</v>
      </c>
      <c r="I1556" s="16" t="s">
        <v>118</v>
      </c>
      <c r="J1556" s="16" t="s">
        <v>1853</v>
      </c>
      <c r="K1556" s="32" t="n">
        <v>1</v>
      </c>
      <c r="L1556" s="33" t="n">
        <v>46113</v>
      </c>
      <c r="M1556" s="33" t="n">
        <v>46113</v>
      </c>
      <c r="N1556" s="16" t="s">
        <v>5706</v>
      </c>
      <c r="O1556" s="16"/>
      <c r="P1556" s="16" t="str">
        <f aca="false">IF(AND(L1556&lt;=$D$2,M1556&gt;=$C$2),"Sí","")</f>
        <v/>
      </c>
      <c r="Q1556" s="18" t="str">
        <f aca="false">IF(COUNTIF(LOOKAHEAD!$A$5:$A$604,A1556)&gt;0,"En Lookahead",IF(P1556="Sí","INCORPORAR",""))</f>
        <v/>
      </c>
    </row>
    <row r="1557" customFormat="false" ht="15" hidden="false" customHeight="false" outlineLevel="0" collapsed="false">
      <c r="A1557" s="16" t="s">
        <v>5707</v>
      </c>
      <c r="B1557" s="16" t="n">
        <v>1552</v>
      </c>
      <c r="C1557" s="16" t="s">
        <v>5708</v>
      </c>
      <c r="D1557" s="16" t="n">
        <v>7</v>
      </c>
      <c r="E1557" s="37" t="s">
        <v>1871</v>
      </c>
      <c r="F1557" s="16" t="s">
        <v>1285</v>
      </c>
      <c r="G1557" s="16" t="s">
        <v>322</v>
      </c>
      <c r="H1557" s="16" t="s">
        <v>5563</v>
      </c>
      <c r="I1557" s="16" t="s">
        <v>118</v>
      </c>
      <c r="J1557" s="16" t="s">
        <v>1853</v>
      </c>
      <c r="K1557" s="32" t="n">
        <v>1</v>
      </c>
      <c r="L1557" s="33" t="n">
        <v>46112</v>
      </c>
      <c r="M1557" s="33" t="n">
        <v>46112</v>
      </c>
      <c r="N1557" s="16" t="s">
        <v>5709</v>
      </c>
      <c r="O1557" s="16"/>
      <c r="P1557" s="16" t="str">
        <f aca="false">IF(AND(L1557&lt;=$D$2,M1557&gt;=$C$2),"Sí","")</f>
        <v/>
      </c>
      <c r="Q1557" s="18" t="str">
        <f aca="false">IF(COUNTIF(LOOKAHEAD!$A$5:$A$604,A1557)&gt;0,"En Lookahead",IF(P1557="Sí","INCORPORAR",""))</f>
        <v/>
      </c>
    </row>
    <row r="1558" customFormat="false" ht="15" hidden="false" customHeight="false" outlineLevel="0" collapsed="false">
      <c r="A1558" s="16" t="s">
        <v>5710</v>
      </c>
      <c r="B1558" s="16" t="n">
        <v>1553</v>
      </c>
      <c r="C1558" s="16" t="s">
        <v>5711</v>
      </c>
      <c r="D1558" s="16" t="n">
        <v>7</v>
      </c>
      <c r="E1558" s="37" t="s">
        <v>1602</v>
      </c>
      <c r="F1558" s="16" t="s">
        <v>1285</v>
      </c>
      <c r="G1558" s="16" t="s">
        <v>322</v>
      </c>
      <c r="H1558" s="16" t="s">
        <v>5563</v>
      </c>
      <c r="I1558" s="16" t="s">
        <v>118</v>
      </c>
      <c r="J1558" s="16" t="s">
        <v>1853</v>
      </c>
      <c r="K1558" s="32" t="n">
        <v>1</v>
      </c>
      <c r="L1558" s="33" t="n">
        <v>46115</v>
      </c>
      <c r="M1558" s="33" t="n">
        <v>46115</v>
      </c>
      <c r="N1558" s="16" t="s">
        <v>5712</v>
      </c>
      <c r="O1558" s="16"/>
      <c r="P1558" s="16" t="str">
        <f aca="false">IF(AND(L1558&lt;=$D$2,M1558&gt;=$C$2),"Sí","")</f>
        <v/>
      </c>
      <c r="Q1558" s="18" t="str">
        <f aca="false">IF(COUNTIF(LOOKAHEAD!$A$5:$A$604,A1558)&gt;0,"En Lookahead",IF(P1558="Sí","INCORPORAR",""))</f>
        <v/>
      </c>
    </row>
    <row r="1559" customFormat="false" ht="15" hidden="false" customHeight="false" outlineLevel="0" collapsed="false">
      <c r="A1559" s="13" t="s">
        <v>5713</v>
      </c>
      <c r="B1559" s="13" t="n">
        <v>1554</v>
      </c>
      <c r="C1559" s="13" t="s">
        <v>5714</v>
      </c>
      <c r="D1559" s="13" t="n">
        <v>6</v>
      </c>
      <c r="E1559" s="36" t="s">
        <v>2626</v>
      </c>
      <c r="F1559" s="13" t="s">
        <v>1298</v>
      </c>
      <c r="G1559" s="13" t="s">
        <v>322</v>
      </c>
      <c r="H1559" s="13" t="s">
        <v>5563</v>
      </c>
      <c r="I1559" s="13" t="s">
        <v>118</v>
      </c>
      <c r="J1559" s="13" t="s">
        <v>1623</v>
      </c>
      <c r="K1559" s="30" t="n">
        <v>9</v>
      </c>
      <c r="L1559" s="31" t="n">
        <v>46114</v>
      </c>
      <c r="M1559" s="31" t="n">
        <v>46122</v>
      </c>
      <c r="N1559" s="13"/>
      <c r="O1559" s="13"/>
      <c r="P1559" s="13"/>
      <c r="Q1559" s="13"/>
    </row>
    <row r="1560" customFormat="false" ht="15" hidden="false" customHeight="false" outlineLevel="0" collapsed="false">
      <c r="A1560" s="16" t="s">
        <v>5715</v>
      </c>
      <c r="B1560" s="16" t="n">
        <v>1555</v>
      </c>
      <c r="C1560" s="16" t="s">
        <v>5716</v>
      </c>
      <c r="D1560" s="16" t="n">
        <v>7</v>
      </c>
      <c r="E1560" s="37" t="s">
        <v>2632</v>
      </c>
      <c r="F1560" s="16" t="s">
        <v>1285</v>
      </c>
      <c r="G1560" s="16" t="s">
        <v>322</v>
      </c>
      <c r="H1560" s="16" t="s">
        <v>5563</v>
      </c>
      <c r="I1560" s="16" t="s">
        <v>118</v>
      </c>
      <c r="J1560" s="16" t="s">
        <v>2626</v>
      </c>
      <c r="K1560" s="32" t="n">
        <v>1</v>
      </c>
      <c r="L1560" s="33" t="n">
        <v>46121</v>
      </c>
      <c r="M1560" s="33" t="n">
        <v>46121</v>
      </c>
      <c r="N1560" s="16" t="s">
        <v>5717</v>
      </c>
      <c r="O1560" s="16"/>
      <c r="P1560" s="16" t="str">
        <f aca="false">IF(AND(L1560&lt;=$D$2,M1560&gt;=$C$2),"Sí","")</f>
        <v/>
      </c>
      <c r="Q1560" s="18" t="str">
        <f aca="false">IF(COUNTIF(LOOKAHEAD!$A$5:$A$604,A1560)&gt;0,"En Lookahead",IF(P1560="Sí","INCORPORAR",""))</f>
        <v/>
      </c>
    </row>
    <row r="1561" customFormat="false" ht="15" hidden="false" customHeight="false" outlineLevel="0" collapsed="false">
      <c r="A1561" s="16" t="s">
        <v>5718</v>
      </c>
      <c r="B1561" s="16" t="n">
        <v>1556</v>
      </c>
      <c r="C1561" s="16" t="s">
        <v>5719</v>
      </c>
      <c r="D1561" s="16" t="n">
        <v>7</v>
      </c>
      <c r="E1561" s="37" t="s">
        <v>2636</v>
      </c>
      <c r="F1561" s="16" t="s">
        <v>1285</v>
      </c>
      <c r="G1561" s="16" t="s">
        <v>322</v>
      </c>
      <c r="H1561" s="16" t="s">
        <v>5563</v>
      </c>
      <c r="I1561" s="16" t="s">
        <v>118</v>
      </c>
      <c r="J1561" s="16" t="s">
        <v>2626</v>
      </c>
      <c r="K1561" s="32" t="n">
        <v>5</v>
      </c>
      <c r="L1561" s="33" t="n">
        <v>46116</v>
      </c>
      <c r="M1561" s="33" t="n">
        <v>46120</v>
      </c>
      <c r="N1561" s="16" t="s">
        <v>5720</v>
      </c>
      <c r="O1561" s="16"/>
      <c r="P1561" s="16" t="str">
        <f aca="false">IF(AND(L1561&lt;=$D$2,M1561&gt;=$C$2),"Sí","")</f>
        <v/>
      </c>
      <c r="Q1561" s="18" t="str">
        <f aca="false">IF(COUNTIF(LOOKAHEAD!$A$5:$A$604,A1561)&gt;0,"En Lookahead",IF(P1561="Sí","INCORPORAR",""))</f>
        <v/>
      </c>
    </row>
    <row r="1562" customFormat="false" ht="15" hidden="false" customHeight="false" outlineLevel="0" collapsed="false">
      <c r="A1562" s="16" t="s">
        <v>5721</v>
      </c>
      <c r="B1562" s="16" t="n">
        <v>1557</v>
      </c>
      <c r="C1562" s="16" t="s">
        <v>5722</v>
      </c>
      <c r="D1562" s="16" t="n">
        <v>7</v>
      </c>
      <c r="E1562" s="37" t="s">
        <v>2639</v>
      </c>
      <c r="F1562" s="16" t="s">
        <v>1285</v>
      </c>
      <c r="G1562" s="16" t="s">
        <v>322</v>
      </c>
      <c r="H1562" s="16" t="s">
        <v>5563</v>
      </c>
      <c r="I1562" s="16" t="s">
        <v>118</v>
      </c>
      <c r="J1562" s="16" t="s">
        <v>2626</v>
      </c>
      <c r="K1562" s="32" t="n">
        <v>2</v>
      </c>
      <c r="L1562" s="33" t="n">
        <v>46114</v>
      </c>
      <c r="M1562" s="33" t="n">
        <v>46115</v>
      </c>
      <c r="N1562" s="16" t="s">
        <v>5700</v>
      </c>
      <c r="O1562" s="16"/>
      <c r="P1562" s="16" t="str">
        <f aca="false">IF(AND(L1562&lt;=$D$2,M1562&gt;=$C$2),"Sí","")</f>
        <v/>
      </c>
      <c r="Q1562" s="18" t="str">
        <f aca="false">IF(COUNTIF(LOOKAHEAD!$A$5:$A$604,A1562)&gt;0,"En Lookahead",IF(P1562="Sí","INCORPORAR",""))</f>
        <v/>
      </c>
    </row>
    <row r="1563" customFormat="false" ht="15" hidden="false" customHeight="false" outlineLevel="0" collapsed="false">
      <c r="A1563" s="16" t="s">
        <v>5723</v>
      </c>
      <c r="B1563" s="16" t="n">
        <v>1558</v>
      </c>
      <c r="C1563" s="16" t="s">
        <v>5724</v>
      </c>
      <c r="D1563" s="16" t="n">
        <v>7</v>
      </c>
      <c r="E1563" s="37" t="s">
        <v>1602</v>
      </c>
      <c r="F1563" s="16" t="s">
        <v>1285</v>
      </c>
      <c r="G1563" s="16" t="s">
        <v>322</v>
      </c>
      <c r="H1563" s="16" t="s">
        <v>5563</v>
      </c>
      <c r="I1563" s="16" t="s">
        <v>118</v>
      </c>
      <c r="J1563" s="16" t="s">
        <v>2626</v>
      </c>
      <c r="K1563" s="32" t="n">
        <v>1</v>
      </c>
      <c r="L1563" s="33" t="n">
        <v>46122</v>
      </c>
      <c r="M1563" s="33" t="n">
        <v>46122</v>
      </c>
      <c r="N1563" s="16" t="s">
        <v>5725</v>
      </c>
      <c r="O1563" s="16"/>
      <c r="P1563" s="16" t="str">
        <f aca="false">IF(AND(L1563&lt;=$D$2,M1563&gt;=$C$2),"Sí","")</f>
        <v/>
      </c>
      <c r="Q1563" s="18" t="str">
        <f aca="false">IF(COUNTIF(LOOKAHEAD!$A$5:$A$604,A1563)&gt;0,"En Lookahead",IF(P1563="Sí","INCORPORAR",""))</f>
        <v/>
      </c>
    </row>
    <row r="1564" customFormat="false" ht="15" hidden="false" customHeight="false" outlineLevel="0" collapsed="false">
      <c r="A1564" s="13" t="s">
        <v>5726</v>
      </c>
      <c r="B1564" s="13" t="n">
        <v>1559</v>
      </c>
      <c r="C1564" s="13" t="s">
        <v>5727</v>
      </c>
      <c r="D1564" s="13" t="n">
        <v>6</v>
      </c>
      <c r="E1564" s="36" t="s">
        <v>1985</v>
      </c>
      <c r="F1564" s="13" t="s">
        <v>1298</v>
      </c>
      <c r="G1564" s="13" t="s">
        <v>322</v>
      </c>
      <c r="H1564" s="13" t="s">
        <v>5563</v>
      </c>
      <c r="I1564" s="13" t="s">
        <v>118</v>
      </c>
      <c r="J1564" s="13" t="s">
        <v>1623</v>
      </c>
      <c r="K1564" s="30" t="n">
        <v>4</v>
      </c>
      <c r="L1564" s="31" t="n">
        <v>46119</v>
      </c>
      <c r="M1564" s="31" t="n">
        <v>46122</v>
      </c>
      <c r="N1564" s="13"/>
      <c r="O1564" s="13"/>
      <c r="P1564" s="13"/>
      <c r="Q1564" s="13"/>
    </row>
    <row r="1565" customFormat="false" ht="15" hidden="false" customHeight="false" outlineLevel="0" collapsed="false">
      <c r="A1565" s="16" t="s">
        <v>5728</v>
      </c>
      <c r="B1565" s="16" t="n">
        <v>1560</v>
      </c>
      <c r="C1565" s="16" t="s">
        <v>5729</v>
      </c>
      <c r="D1565" s="16" t="n">
        <v>7</v>
      </c>
      <c r="E1565" s="37" t="s">
        <v>1991</v>
      </c>
      <c r="F1565" s="16" t="s">
        <v>1285</v>
      </c>
      <c r="G1565" s="16" t="s">
        <v>322</v>
      </c>
      <c r="H1565" s="16" t="s">
        <v>5563</v>
      </c>
      <c r="I1565" s="16" t="s">
        <v>118</v>
      </c>
      <c r="J1565" s="16" t="s">
        <v>1985</v>
      </c>
      <c r="K1565" s="32" t="n">
        <v>1</v>
      </c>
      <c r="L1565" s="33" t="n">
        <v>46121</v>
      </c>
      <c r="M1565" s="33" t="n">
        <v>46121</v>
      </c>
      <c r="N1565" s="16" t="s">
        <v>5730</v>
      </c>
      <c r="O1565" s="16"/>
      <c r="P1565" s="16" t="str">
        <f aca="false">IF(AND(L1565&lt;=$D$2,M1565&gt;=$C$2),"Sí","")</f>
        <v/>
      </c>
      <c r="Q1565" s="18" t="str">
        <f aca="false">IF(COUNTIF(LOOKAHEAD!$A$5:$A$604,A1565)&gt;0,"En Lookahead",IF(P1565="Sí","INCORPORAR",""))</f>
        <v/>
      </c>
    </row>
    <row r="1566" customFormat="false" ht="15" hidden="false" customHeight="false" outlineLevel="0" collapsed="false">
      <c r="A1566" s="16" t="s">
        <v>5731</v>
      </c>
      <c r="B1566" s="16" t="n">
        <v>1561</v>
      </c>
      <c r="C1566" s="16" t="s">
        <v>5732</v>
      </c>
      <c r="D1566" s="16" t="n">
        <v>7</v>
      </c>
      <c r="E1566" s="37" t="s">
        <v>1995</v>
      </c>
      <c r="F1566" s="16" t="s">
        <v>1285</v>
      </c>
      <c r="G1566" s="16" t="s">
        <v>322</v>
      </c>
      <c r="H1566" s="16" t="s">
        <v>5563</v>
      </c>
      <c r="I1566" s="16" t="s">
        <v>118</v>
      </c>
      <c r="J1566" s="16" t="s">
        <v>1985</v>
      </c>
      <c r="K1566" s="32" t="n">
        <v>1</v>
      </c>
      <c r="L1566" s="33" t="n">
        <v>46120</v>
      </c>
      <c r="M1566" s="33" t="n">
        <v>46120</v>
      </c>
      <c r="N1566" s="16" t="s">
        <v>5733</v>
      </c>
      <c r="O1566" s="16"/>
      <c r="P1566" s="16" t="str">
        <f aca="false">IF(AND(L1566&lt;=$D$2,M1566&gt;=$C$2),"Sí","")</f>
        <v/>
      </c>
      <c r="Q1566" s="18" t="str">
        <f aca="false">IF(COUNTIF(LOOKAHEAD!$A$5:$A$604,A1566)&gt;0,"En Lookahead",IF(P1566="Sí","INCORPORAR",""))</f>
        <v/>
      </c>
    </row>
    <row r="1567" customFormat="false" ht="15" hidden="false" customHeight="false" outlineLevel="0" collapsed="false">
      <c r="A1567" s="16" t="s">
        <v>5734</v>
      </c>
      <c r="B1567" s="16" t="n">
        <v>1562</v>
      </c>
      <c r="C1567" s="16" t="s">
        <v>5735</v>
      </c>
      <c r="D1567" s="16" t="n">
        <v>7</v>
      </c>
      <c r="E1567" s="37" t="s">
        <v>1999</v>
      </c>
      <c r="F1567" s="16" t="s">
        <v>1285</v>
      </c>
      <c r="G1567" s="16" t="s">
        <v>322</v>
      </c>
      <c r="H1567" s="16" t="s">
        <v>5563</v>
      </c>
      <c r="I1567" s="16" t="s">
        <v>118</v>
      </c>
      <c r="J1567" s="16" t="s">
        <v>1985</v>
      </c>
      <c r="K1567" s="32" t="n">
        <v>1</v>
      </c>
      <c r="L1567" s="33" t="n">
        <v>46119</v>
      </c>
      <c r="M1567" s="33" t="n">
        <v>46119</v>
      </c>
      <c r="N1567" s="16" t="s">
        <v>5736</v>
      </c>
      <c r="O1567" s="16"/>
      <c r="P1567" s="16" t="str">
        <f aca="false">IF(AND(L1567&lt;=$D$2,M1567&gt;=$C$2),"Sí","")</f>
        <v/>
      </c>
      <c r="Q1567" s="18" t="str">
        <f aca="false">IF(COUNTIF(LOOKAHEAD!$A$5:$A$604,A1567)&gt;0,"En Lookahead",IF(P1567="Sí","INCORPORAR",""))</f>
        <v/>
      </c>
    </row>
    <row r="1568" customFormat="false" ht="15" hidden="false" customHeight="false" outlineLevel="0" collapsed="false">
      <c r="A1568" s="16" t="s">
        <v>5737</v>
      </c>
      <c r="B1568" s="16" t="n">
        <v>1563</v>
      </c>
      <c r="C1568" s="16" t="s">
        <v>5738</v>
      </c>
      <c r="D1568" s="16" t="n">
        <v>7</v>
      </c>
      <c r="E1568" s="37" t="s">
        <v>1677</v>
      </c>
      <c r="F1568" s="16" t="s">
        <v>1285</v>
      </c>
      <c r="G1568" s="16" t="s">
        <v>322</v>
      </c>
      <c r="H1568" s="16" t="s">
        <v>5563</v>
      </c>
      <c r="I1568" s="16" t="s">
        <v>118</v>
      </c>
      <c r="J1568" s="16" t="s">
        <v>1985</v>
      </c>
      <c r="K1568" s="32" t="n">
        <v>1</v>
      </c>
      <c r="L1568" s="33" t="n">
        <v>46122</v>
      </c>
      <c r="M1568" s="33" t="n">
        <v>46122</v>
      </c>
      <c r="N1568" s="16" t="s">
        <v>5739</v>
      </c>
      <c r="O1568" s="16"/>
      <c r="P1568" s="16" t="str">
        <f aca="false">IF(AND(L1568&lt;=$D$2,M1568&gt;=$C$2),"Sí","")</f>
        <v/>
      </c>
      <c r="Q1568" s="18" t="str">
        <f aca="false">IF(COUNTIF(LOOKAHEAD!$A$5:$A$604,A1568)&gt;0,"En Lookahead",IF(P1568="Sí","INCORPORAR",""))</f>
        <v/>
      </c>
    </row>
    <row r="1569" customFormat="false" ht="15" hidden="false" customHeight="false" outlineLevel="0" collapsed="false">
      <c r="A1569" s="13" t="s">
        <v>5740</v>
      </c>
      <c r="B1569" s="13" t="n">
        <v>1564</v>
      </c>
      <c r="C1569" s="13" t="s">
        <v>5741</v>
      </c>
      <c r="D1569" s="13" t="n">
        <v>6</v>
      </c>
      <c r="E1569" s="36" t="s">
        <v>2054</v>
      </c>
      <c r="F1569" s="13" t="s">
        <v>1298</v>
      </c>
      <c r="G1569" s="13" t="s">
        <v>322</v>
      </c>
      <c r="H1569" s="13" t="s">
        <v>5563</v>
      </c>
      <c r="I1569" s="13" t="s">
        <v>118</v>
      </c>
      <c r="J1569" s="13" t="s">
        <v>1623</v>
      </c>
      <c r="K1569" s="30" t="n">
        <v>4</v>
      </c>
      <c r="L1569" s="31" t="n">
        <v>46122</v>
      </c>
      <c r="M1569" s="31" t="n">
        <v>46125</v>
      </c>
      <c r="N1569" s="13"/>
      <c r="O1569" s="13"/>
      <c r="P1569" s="13"/>
      <c r="Q1569" s="13"/>
    </row>
    <row r="1570" customFormat="false" ht="15" hidden="false" customHeight="false" outlineLevel="0" collapsed="false">
      <c r="A1570" s="16" t="s">
        <v>5742</v>
      </c>
      <c r="B1570" s="16" t="n">
        <v>1565</v>
      </c>
      <c r="C1570" s="16" t="s">
        <v>5743</v>
      </c>
      <c r="D1570" s="16" t="n">
        <v>7</v>
      </c>
      <c r="E1570" s="37" t="s">
        <v>2060</v>
      </c>
      <c r="F1570" s="16" t="s">
        <v>1285</v>
      </c>
      <c r="G1570" s="16" t="s">
        <v>322</v>
      </c>
      <c r="H1570" s="16" t="s">
        <v>5563</v>
      </c>
      <c r="I1570" s="16" t="s">
        <v>118</v>
      </c>
      <c r="J1570" s="16" t="s">
        <v>2054</v>
      </c>
      <c r="K1570" s="32" t="n">
        <v>1</v>
      </c>
      <c r="L1570" s="33" t="n">
        <v>46124</v>
      </c>
      <c r="M1570" s="33" t="n">
        <v>46124</v>
      </c>
      <c r="N1570" s="16" t="s">
        <v>5744</v>
      </c>
      <c r="O1570" s="16"/>
      <c r="P1570" s="16" t="str">
        <f aca="false">IF(AND(L1570&lt;=$D$2,M1570&gt;=$C$2),"Sí","")</f>
        <v/>
      </c>
      <c r="Q1570" s="18" t="str">
        <f aca="false">IF(COUNTIF(LOOKAHEAD!$A$5:$A$604,A1570)&gt;0,"En Lookahead",IF(P1570="Sí","INCORPORAR",""))</f>
        <v/>
      </c>
    </row>
    <row r="1571" customFormat="false" ht="15" hidden="false" customHeight="false" outlineLevel="0" collapsed="false">
      <c r="A1571" s="16" t="s">
        <v>5745</v>
      </c>
      <c r="B1571" s="16" t="n">
        <v>1566</v>
      </c>
      <c r="C1571" s="16" t="s">
        <v>5746</v>
      </c>
      <c r="D1571" s="16" t="n">
        <v>7</v>
      </c>
      <c r="E1571" s="37" t="s">
        <v>2080</v>
      </c>
      <c r="F1571" s="16" t="s">
        <v>1285</v>
      </c>
      <c r="G1571" s="16" t="s">
        <v>322</v>
      </c>
      <c r="H1571" s="16" t="s">
        <v>5563</v>
      </c>
      <c r="I1571" s="16" t="s">
        <v>118</v>
      </c>
      <c r="J1571" s="16" t="s">
        <v>2054</v>
      </c>
      <c r="K1571" s="32" t="n">
        <v>1</v>
      </c>
      <c r="L1571" s="33" t="n">
        <v>46123</v>
      </c>
      <c r="M1571" s="33" t="n">
        <v>46123</v>
      </c>
      <c r="N1571" s="16" t="s">
        <v>5747</v>
      </c>
      <c r="O1571" s="16"/>
      <c r="P1571" s="16" t="str">
        <f aca="false">IF(AND(L1571&lt;=$D$2,M1571&gt;=$C$2),"Sí","")</f>
        <v/>
      </c>
      <c r="Q1571" s="18" t="str">
        <f aca="false">IF(COUNTIF(LOOKAHEAD!$A$5:$A$604,A1571)&gt;0,"En Lookahead",IF(P1571="Sí","INCORPORAR",""))</f>
        <v/>
      </c>
    </row>
    <row r="1572" customFormat="false" ht="15" hidden="false" customHeight="false" outlineLevel="0" collapsed="false">
      <c r="A1572" s="16" t="s">
        <v>5748</v>
      </c>
      <c r="B1572" s="16" t="n">
        <v>1567</v>
      </c>
      <c r="C1572" s="16" t="s">
        <v>5749</v>
      </c>
      <c r="D1572" s="16" t="n">
        <v>7</v>
      </c>
      <c r="E1572" s="37" t="s">
        <v>1800</v>
      </c>
      <c r="F1572" s="16" t="s">
        <v>1285</v>
      </c>
      <c r="G1572" s="16" t="s">
        <v>322</v>
      </c>
      <c r="H1572" s="16" t="s">
        <v>5563</v>
      </c>
      <c r="I1572" s="16" t="s">
        <v>118</v>
      </c>
      <c r="J1572" s="16" t="s">
        <v>2054</v>
      </c>
      <c r="K1572" s="32" t="n">
        <v>1</v>
      </c>
      <c r="L1572" s="33" t="n">
        <v>46122</v>
      </c>
      <c r="M1572" s="33" t="n">
        <v>46122</v>
      </c>
      <c r="N1572" s="16" t="s">
        <v>5739</v>
      </c>
      <c r="O1572" s="16"/>
      <c r="P1572" s="16" t="str">
        <f aca="false">IF(AND(L1572&lt;=$D$2,M1572&gt;=$C$2),"Sí","")</f>
        <v/>
      </c>
      <c r="Q1572" s="18" t="str">
        <f aca="false">IF(COUNTIF(LOOKAHEAD!$A$5:$A$604,A1572)&gt;0,"En Lookahead",IF(P1572="Sí","INCORPORAR",""))</f>
        <v/>
      </c>
    </row>
    <row r="1573" customFormat="false" ht="15" hidden="false" customHeight="false" outlineLevel="0" collapsed="false">
      <c r="A1573" s="16" t="s">
        <v>5750</v>
      </c>
      <c r="B1573" s="16" t="n">
        <v>1568</v>
      </c>
      <c r="C1573" s="16" t="s">
        <v>5751</v>
      </c>
      <c r="D1573" s="16" t="n">
        <v>7</v>
      </c>
      <c r="E1573" s="37" t="s">
        <v>1602</v>
      </c>
      <c r="F1573" s="16" t="s">
        <v>1285</v>
      </c>
      <c r="G1573" s="16" t="s">
        <v>322</v>
      </c>
      <c r="H1573" s="16" t="s">
        <v>5563</v>
      </c>
      <c r="I1573" s="16" t="s">
        <v>118</v>
      </c>
      <c r="J1573" s="16" t="s">
        <v>2054</v>
      </c>
      <c r="K1573" s="32" t="n">
        <v>1</v>
      </c>
      <c r="L1573" s="33" t="n">
        <v>46125</v>
      </c>
      <c r="M1573" s="33" t="n">
        <v>46125</v>
      </c>
      <c r="N1573" s="16" t="s">
        <v>5752</v>
      </c>
      <c r="O1573" s="16"/>
      <c r="P1573" s="16" t="str">
        <f aca="false">IF(AND(L1573&lt;=$D$2,M1573&gt;=$C$2),"Sí","")</f>
        <v/>
      </c>
      <c r="Q1573" s="18" t="str">
        <f aca="false">IF(COUNTIF(LOOKAHEAD!$A$5:$A$604,A1573)&gt;0,"En Lookahead",IF(P1573="Sí","INCORPORAR",""))</f>
        <v/>
      </c>
    </row>
    <row r="1574" customFormat="false" ht="15" hidden="false" customHeight="false" outlineLevel="0" collapsed="false">
      <c r="A1574" s="13" t="s">
        <v>5753</v>
      </c>
      <c r="B1574" s="13" t="n">
        <v>1569</v>
      </c>
      <c r="C1574" s="13" t="s">
        <v>5754</v>
      </c>
      <c r="D1574" s="13" t="n">
        <v>6</v>
      </c>
      <c r="E1574" s="36" t="s">
        <v>2137</v>
      </c>
      <c r="F1574" s="13" t="s">
        <v>1298</v>
      </c>
      <c r="G1574" s="13" t="s">
        <v>322</v>
      </c>
      <c r="H1574" s="13" t="s">
        <v>5563</v>
      </c>
      <c r="I1574" s="13" t="s">
        <v>118</v>
      </c>
      <c r="J1574" s="13" t="s">
        <v>1623</v>
      </c>
      <c r="K1574" s="30" t="n">
        <v>1</v>
      </c>
      <c r="L1574" s="31" t="n">
        <v>46116</v>
      </c>
      <c r="M1574" s="31" t="n">
        <v>46116</v>
      </c>
      <c r="N1574" s="13"/>
      <c r="O1574" s="13"/>
      <c r="P1574" s="13"/>
      <c r="Q1574" s="13"/>
    </row>
    <row r="1575" customFormat="false" ht="15" hidden="false" customHeight="false" outlineLevel="0" collapsed="false">
      <c r="A1575" s="16" t="s">
        <v>5755</v>
      </c>
      <c r="B1575" s="16" t="n">
        <v>1570</v>
      </c>
      <c r="C1575" s="16" t="s">
        <v>5756</v>
      </c>
      <c r="D1575" s="16" t="n">
        <v>7</v>
      </c>
      <c r="E1575" s="37" t="s">
        <v>2144</v>
      </c>
      <c r="F1575" s="16" t="s">
        <v>1285</v>
      </c>
      <c r="G1575" s="16" t="s">
        <v>322</v>
      </c>
      <c r="H1575" s="16" t="s">
        <v>5563</v>
      </c>
      <c r="I1575" s="16" t="s">
        <v>118</v>
      </c>
      <c r="J1575" s="16" t="s">
        <v>2137</v>
      </c>
      <c r="K1575" s="32" t="n">
        <v>1</v>
      </c>
      <c r="L1575" s="33" t="n">
        <v>46116</v>
      </c>
      <c r="M1575" s="33" t="n">
        <v>46116</v>
      </c>
      <c r="N1575" s="16" t="s">
        <v>5757</v>
      </c>
      <c r="O1575" s="16"/>
      <c r="P1575" s="16" t="str">
        <f aca="false">IF(AND(L1575&lt;=$D$2,M1575&gt;=$C$2),"Sí","")</f>
        <v/>
      </c>
      <c r="Q1575" s="18" t="str">
        <f aca="false">IF(COUNTIF(LOOKAHEAD!$A$5:$A$604,A1575)&gt;0,"En Lookahead",IF(P1575="Sí","INCORPORAR",""))</f>
        <v/>
      </c>
    </row>
    <row r="1576" customFormat="false" ht="15" hidden="false" customHeight="false" outlineLevel="0" collapsed="false">
      <c r="A1576" s="13" t="s">
        <v>5758</v>
      </c>
      <c r="B1576" s="13" t="n">
        <v>1571</v>
      </c>
      <c r="C1576" s="13" t="s">
        <v>5759</v>
      </c>
      <c r="D1576" s="13" t="n">
        <v>4</v>
      </c>
      <c r="E1576" s="20" t="s">
        <v>5760</v>
      </c>
      <c r="F1576" s="13" t="s">
        <v>1298</v>
      </c>
      <c r="G1576" s="13" t="s">
        <v>322</v>
      </c>
      <c r="H1576" s="13" t="s">
        <v>5760</v>
      </c>
      <c r="I1576" s="13" t="s">
        <v>121</v>
      </c>
      <c r="J1576" s="13" t="s">
        <v>1528</v>
      </c>
      <c r="K1576" s="30" t="n">
        <v>105</v>
      </c>
      <c r="L1576" s="31" t="n">
        <v>46248</v>
      </c>
      <c r="M1576" s="31" t="n">
        <v>46352</v>
      </c>
      <c r="N1576" s="13"/>
      <c r="O1576" s="13"/>
      <c r="P1576" s="13"/>
      <c r="Q1576" s="13"/>
    </row>
    <row r="1577" customFormat="false" ht="15" hidden="false" customHeight="false" outlineLevel="0" collapsed="false">
      <c r="A1577" s="13" t="s">
        <v>5761</v>
      </c>
      <c r="B1577" s="13" t="n">
        <v>1572</v>
      </c>
      <c r="C1577" s="13" t="s">
        <v>5762</v>
      </c>
      <c r="D1577" s="13" t="n">
        <v>5</v>
      </c>
      <c r="E1577" s="34" t="s">
        <v>1534</v>
      </c>
      <c r="F1577" s="13" t="s">
        <v>1298</v>
      </c>
      <c r="G1577" s="13" t="s">
        <v>322</v>
      </c>
      <c r="H1577" s="13" t="s">
        <v>5760</v>
      </c>
      <c r="I1577" s="13" t="s">
        <v>121</v>
      </c>
      <c r="J1577" s="13" t="s">
        <v>5760</v>
      </c>
      <c r="K1577" s="30" t="n">
        <v>11</v>
      </c>
      <c r="L1577" s="31" t="n">
        <v>46248</v>
      </c>
      <c r="M1577" s="31" t="n">
        <v>46258</v>
      </c>
      <c r="N1577" s="13"/>
      <c r="O1577" s="13"/>
      <c r="P1577" s="13"/>
      <c r="Q1577" s="13"/>
    </row>
    <row r="1578" customFormat="false" ht="15" hidden="false" customHeight="false" outlineLevel="0" collapsed="false">
      <c r="A1578" s="16" t="s">
        <v>5763</v>
      </c>
      <c r="B1578" s="16" t="n">
        <v>1573</v>
      </c>
      <c r="C1578" s="16" t="s">
        <v>5764</v>
      </c>
      <c r="D1578" s="16" t="n">
        <v>6</v>
      </c>
      <c r="E1578" s="35" t="s">
        <v>1541</v>
      </c>
      <c r="F1578" s="16" t="s">
        <v>1285</v>
      </c>
      <c r="G1578" s="16" t="s">
        <v>322</v>
      </c>
      <c r="H1578" s="16" t="s">
        <v>5760</v>
      </c>
      <c r="I1578" s="16" t="s">
        <v>121</v>
      </c>
      <c r="J1578" s="16" t="s">
        <v>1534</v>
      </c>
      <c r="K1578" s="32" t="n">
        <v>1</v>
      </c>
      <c r="L1578" s="33" t="n">
        <v>46248</v>
      </c>
      <c r="M1578" s="33" t="n">
        <v>46248</v>
      </c>
      <c r="N1578" s="16" t="s">
        <v>4026</v>
      </c>
      <c r="O1578" s="16"/>
      <c r="P1578" s="16" t="str">
        <f aca="false">IF(AND(L1578&lt;=$D$2,M1578&gt;=$C$2),"Sí","")</f>
        <v/>
      </c>
      <c r="Q1578" s="18" t="str">
        <f aca="false">IF(COUNTIF(LOOKAHEAD!$A$5:$A$604,A1578)&gt;0,"En Lookahead",IF(P1578="Sí","INCORPORAR",""))</f>
        <v/>
      </c>
    </row>
    <row r="1579" customFormat="false" ht="15" hidden="false" customHeight="false" outlineLevel="0" collapsed="false">
      <c r="A1579" s="16" t="s">
        <v>5765</v>
      </c>
      <c r="B1579" s="16" t="n">
        <v>1574</v>
      </c>
      <c r="C1579" s="16" t="s">
        <v>5766</v>
      </c>
      <c r="D1579" s="16" t="n">
        <v>6</v>
      </c>
      <c r="E1579" s="35" t="s">
        <v>1545</v>
      </c>
      <c r="F1579" s="16" t="s">
        <v>1285</v>
      </c>
      <c r="G1579" s="16" t="s">
        <v>322</v>
      </c>
      <c r="H1579" s="16" t="s">
        <v>5760</v>
      </c>
      <c r="I1579" s="16" t="s">
        <v>121</v>
      </c>
      <c r="J1579" s="16" t="s">
        <v>1534</v>
      </c>
      <c r="K1579" s="32" t="n">
        <v>1</v>
      </c>
      <c r="L1579" s="33" t="n">
        <v>46249</v>
      </c>
      <c r="M1579" s="33" t="n">
        <v>46249</v>
      </c>
      <c r="N1579" s="16" t="s">
        <v>5767</v>
      </c>
      <c r="O1579" s="16"/>
      <c r="P1579" s="16" t="str">
        <f aca="false">IF(AND(L1579&lt;=$D$2,M1579&gt;=$C$2),"Sí","")</f>
        <v/>
      </c>
      <c r="Q1579" s="18" t="str">
        <f aca="false">IF(COUNTIF(LOOKAHEAD!$A$5:$A$604,A1579)&gt;0,"En Lookahead",IF(P1579="Sí","INCORPORAR",""))</f>
        <v/>
      </c>
    </row>
    <row r="1580" customFormat="false" ht="15" hidden="false" customHeight="false" outlineLevel="0" collapsed="false">
      <c r="A1580" s="16" t="s">
        <v>5768</v>
      </c>
      <c r="B1580" s="16" t="n">
        <v>1575</v>
      </c>
      <c r="C1580" s="16" t="s">
        <v>5769</v>
      </c>
      <c r="D1580" s="16" t="n">
        <v>6</v>
      </c>
      <c r="E1580" s="35" t="s">
        <v>1549</v>
      </c>
      <c r="F1580" s="16" t="s">
        <v>1285</v>
      </c>
      <c r="G1580" s="16" t="s">
        <v>322</v>
      </c>
      <c r="H1580" s="16" t="s">
        <v>5760</v>
      </c>
      <c r="I1580" s="16" t="s">
        <v>121</v>
      </c>
      <c r="J1580" s="16" t="s">
        <v>1534</v>
      </c>
      <c r="K1580" s="32" t="n">
        <v>1</v>
      </c>
      <c r="L1580" s="33" t="n">
        <v>46250</v>
      </c>
      <c r="M1580" s="33" t="n">
        <v>46250</v>
      </c>
      <c r="N1580" s="16" t="s">
        <v>5770</v>
      </c>
      <c r="O1580" s="16"/>
      <c r="P1580" s="16" t="str">
        <f aca="false">IF(AND(L1580&lt;=$D$2,M1580&gt;=$C$2),"Sí","")</f>
        <v/>
      </c>
      <c r="Q1580" s="18" t="str">
        <f aca="false">IF(COUNTIF(LOOKAHEAD!$A$5:$A$604,A1580)&gt;0,"En Lookahead",IF(P1580="Sí","INCORPORAR",""))</f>
        <v/>
      </c>
    </row>
    <row r="1581" customFormat="false" ht="15" hidden="false" customHeight="false" outlineLevel="0" collapsed="false">
      <c r="A1581" s="16" t="s">
        <v>5771</v>
      </c>
      <c r="B1581" s="16" t="n">
        <v>1576</v>
      </c>
      <c r="C1581" s="16" t="s">
        <v>5772</v>
      </c>
      <c r="D1581" s="16" t="n">
        <v>6</v>
      </c>
      <c r="E1581" s="35" t="s">
        <v>1553</v>
      </c>
      <c r="F1581" s="16" t="s">
        <v>1285</v>
      </c>
      <c r="G1581" s="16" t="s">
        <v>322</v>
      </c>
      <c r="H1581" s="16" t="s">
        <v>5760</v>
      </c>
      <c r="I1581" s="16" t="s">
        <v>121</v>
      </c>
      <c r="J1581" s="16" t="s">
        <v>1534</v>
      </c>
      <c r="K1581" s="32" t="n">
        <v>2</v>
      </c>
      <c r="L1581" s="33" t="n">
        <v>46251</v>
      </c>
      <c r="M1581" s="33" t="n">
        <v>46252</v>
      </c>
      <c r="N1581" s="16" t="s">
        <v>5773</v>
      </c>
      <c r="O1581" s="16"/>
      <c r="P1581" s="16" t="str">
        <f aca="false">IF(AND(L1581&lt;=$D$2,M1581&gt;=$C$2),"Sí","")</f>
        <v/>
      </c>
      <c r="Q1581" s="18" t="str">
        <f aca="false">IF(COUNTIF(LOOKAHEAD!$A$5:$A$604,A1581)&gt;0,"En Lookahead",IF(P1581="Sí","INCORPORAR",""))</f>
        <v/>
      </c>
    </row>
    <row r="1582" customFormat="false" ht="15" hidden="false" customHeight="false" outlineLevel="0" collapsed="false">
      <c r="A1582" s="16" t="s">
        <v>5774</v>
      </c>
      <c r="B1582" s="16" t="n">
        <v>1577</v>
      </c>
      <c r="C1582" s="16" t="s">
        <v>5775</v>
      </c>
      <c r="D1582" s="16" t="n">
        <v>6</v>
      </c>
      <c r="E1582" s="35" t="s">
        <v>1557</v>
      </c>
      <c r="F1582" s="16" t="s">
        <v>1285</v>
      </c>
      <c r="G1582" s="16" t="s">
        <v>322</v>
      </c>
      <c r="H1582" s="16" t="s">
        <v>5760</v>
      </c>
      <c r="I1582" s="16" t="s">
        <v>121</v>
      </c>
      <c r="J1582" s="16" t="s">
        <v>1534</v>
      </c>
      <c r="K1582" s="32" t="n">
        <v>8</v>
      </c>
      <c r="L1582" s="33" t="n">
        <v>46250</v>
      </c>
      <c r="M1582" s="33" t="n">
        <v>46257</v>
      </c>
      <c r="N1582" s="16" t="s">
        <v>5770</v>
      </c>
      <c r="O1582" s="16"/>
      <c r="P1582" s="16" t="str">
        <f aca="false">IF(AND(L1582&lt;=$D$2,M1582&gt;=$C$2),"Sí","")</f>
        <v/>
      </c>
      <c r="Q1582" s="18" t="str">
        <f aca="false">IF(COUNTIF(LOOKAHEAD!$A$5:$A$604,A1582)&gt;0,"En Lookahead",IF(P1582="Sí","INCORPORAR",""))</f>
        <v/>
      </c>
    </row>
    <row r="1583" customFormat="false" ht="15" hidden="false" customHeight="false" outlineLevel="0" collapsed="false">
      <c r="A1583" s="16" t="s">
        <v>5776</v>
      </c>
      <c r="B1583" s="16" t="n">
        <v>1578</v>
      </c>
      <c r="C1583" s="16" t="s">
        <v>5777</v>
      </c>
      <c r="D1583" s="16" t="n">
        <v>6</v>
      </c>
      <c r="E1583" s="35" t="s">
        <v>1560</v>
      </c>
      <c r="F1583" s="16" t="s">
        <v>1285</v>
      </c>
      <c r="G1583" s="16" t="s">
        <v>322</v>
      </c>
      <c r="H1583" s="16" t="s">
        <v>5760</v>
      </c>
      <c r="I1583" s="16" t="s">
        <v>121</v>
      </c>
      <c r="J1583" s="16" t="s">
        <v>1534</v>
      </c>
      <c r="K1583" s="32" t="n">
        <v>1</v>
      </c>
      <c r="L1583" s="33" t="n">
        <v>46258</v>
      </c>
      <c r="M1583" s="33" t="n">
        <v>46258</v>
      </c>
      <c r="N1583" s="16" t="s">
        <v>5778</v>
      </c>
      <c r="O1583" s="16"/>
      <c r="P1583" s="16" t="str">
        <f aca="false">IF(AND(L1583&lt;=$D$2,M1583&gt;=$C$2),"Sí","")</f>
        <v/>
      </c>
      <c r="Q1583" s="18" t="str">
        <f aca="false">IF(COUNTIF(LOOKAHEAD!$A$5:$A$604,A1583)&gt;0,"En Lookahead",IF(P1583="Sí","INCORPORAR",""))</f>
        <v/>
      </c>
    </row>
    <row r="1584" customFormat="false" ht="15" hidden="false" customHeight="false" outlineLevel="0" collapsed="false">
      <c r="A1584" s="16" t="s">
        <v>5779</v>
      </c>
      <c r="B1584" s="16" t="n">
        <v>1579</v>
      </c>
      <c r="C1584" s="16" t="s">
        <v>5780</v>
      </c>
      <c r="D1584" s="16" t="n">
        <v>6</v>
      </c>
      <c r="E1584" s="35" t="s">
        <v>1564</v>
      </c>
      <c r="F1584" s="16" t="s">
        <v>1285</v>
      </c>
      <c r="G1584" s="16" t="s">
        <v>322</v>
      </c>
      <c r="H1584" s="16" t="s">
        <v>5760</v>
      </c>
      <c r="I1584" s="16" t="s">
        <v>121</v>
      </c>
      <c r="J1584" s="16" t="s">
        <v>1534</v>
      </c>
      <c r="K1584" s="32" t="n">
        <v>1</v>
      </c>
      <c r="L1584" s="33" t="n">
        <v>46254</v>
      </c>
      <c r="M1584" s="33" t="n">
        <v>46254</v>
      </c>
      <c r="N1584" s="16" t="s">
        <v>5781</v>
      </c>
      <c r="O1584" s="16"/>
      <c r="P1584" s="16" t="str">
        <f aca="false">IF(AND(L1584&lt;=$D$2,M1584&gt;=$C$2),"Sí","")</f>
        <v/>
      </c>
      <c r="Q1584" s="18" t="str">
        <f aca="false">IF(COUNTIF(LOOKAHEAD!$A$5:$A$604,A1584)&gt;0,"En Lookahead",IF(P1584="Sí","INCORPORAR",""))</f>
        <v/>
      </c>
    </row>
    <row r="1585" customFormat="false" ht="15" hidden="false" customHeight="false" outlineLevel="0" collapsed="false">
      <c r="A1585" s="16" t="s">
        <v>5782</v>
      </c>
      <c r="B1585" s="16" t="n">
        <v>1580</v>
      </c>
      <c r="C1585" s="16" t="s">
        <v>5783</v>
      </c>
      <c r="D1585" s="16" t="n">
        <v>6</v>
      </c>
      <c r="E1585" s="35" t="s">
        <v>1567</v>
      </c>
      <c r="F1585" s="16" t="s">
        <v>1285</v>
      </c>
      <c r="G1585" s="16" t="s">
        <v>322</v>
      </c>
      <c r="H1585" s="16" t="s">
        <v>5760</v>
      </c>
      <c r="I1585" s="16" t="s">
        <v>121</v>
      </c>
      <c r="J1585" s="16" t="s">
        <v>1534</v>
      </c>
      <c r="K1585" s="32" t="n">
        <v>1</v>
      </c>
      <c r="L1585" s="33" t="n">
        <v>46253</v>
      </c>
      <c r="M1585" s="33" t="n">
        <v>46253</v>
      </c>
      <c r="N1585" s="16" t="s">
        <v>5784</v>
      </c>
      <c r="O1585" s="16"/>
      <c r="P1585" s="16" t="str">
        <f aca="false">IF(AND(L1585&lt;=$D$2,M1585&gt;=$C$2),"Sí","")</f>
        <v/>
      </c>
      <c r="Q1585" s="18" t="str">
        <f aca="false">IF(COUNTIF(LOOKAHEAD!$A$5:$A$604,A1585)&gt;0,"En Lookahead",IF(P1585="Sí","INCORPORAR",""))</f>
        <v/>
      </c>
    </row>
    <row r="1586" customFormat="false" ht="15" hidden="false" customHeight="false" outlineLevel="0" collapsed="false">
      <c r="A1586" s="13" t="s">
        <v>5785</v>
      </c>
      <c r="B1586" s="13" t="n">
        <v>1581</v>
      </c>
      <c r="C1586" s="13" t="s">
        <v>5786</v>
      </c>
      <c r="D1586" s="13" t="n">
        <v>5</v>
      </c>
      <c r="E1586" s="34" t="s">
        <v>1571</v>
      </c>
      <c r="F1586" s="13" t="s">
        <v>1298</v>
      </c>
      <c r="G1586" s="13" t="s">
        <v>322</v>
      </c>
      <c r="H1586" s="13" t="s">
        <v>5760</v>
      </c>
      <c r="I1586" s="13" t="s">
        <v>121</v>
      </c>
      <c r="J1586" s="13" t="s">
        <v>5760</v>
      </c>
      <c r="K1586" s="30" t="n">
        <v>3</v>
      </c>
      <c r="L1586" s="31" t="n">
        <v>46254</v>
      </c>
      <c r="M1586" s="31" t="n">
        <v>46256</v>
      </c>
      <c r="N1586" s="13"/>
      <c r="O1586" s="13"/>
      <c r="P1586" s="13"/>
      <c r="Q1586" s="13"/>
    </row>
    <row r="1587" customFormat="false" ht="15" hidden="false" customHeight="false" outlineLevel="0" collapsed="false">
      <c r="A1587" s="16" t="s">
        <v>5787</v>
      </c>
      <c r="B1587" s="16" t="n">
        <v>1582</v>
      </c>
      <c r="C1587" s="16" t="s">
        <v>5788</v>
      </c>
      <c r="D1587" s="16" t="n">
        <v>6</v>
      </c>
      <c r="E1587" s="35" t="s">
        <v>1577</v>
      </c>
      <c r="F1587" s="16" t="s">
        <v>1285</v>
      </c>
      <c r="G1587" s="16" t="s">
        <v>322</v>
      </c>
      <c r="H1587" s="16" t="s">
        <v>5760</v>
      </c>
      <c r="I1587" s="16" t="s">
        <v>121</v>
      </c>
      <c r="J1587" s="16" t="s">
        <v>1571</v>
      </c>
      <c r="K1587" s="32" t="n">
        <v>1</v>
      </c>
      <c r="L1587" s="33" t="n">
        <v>46254</v>
      </c>
      <c r="M1587" s="33" t="n">
        <v>46254</v>
      </c>
      <c r="N1587" s="16" t="s">
        <v>5781</v>
      </c>
      <c r="O1587" s="16"/>
      <c r="P1587" s="16" t="str">
        <f aca="false">IF(AND(L1587&lt;=$D$2,M1587&gt;=$C$2),"Sí","")</f>
        <v/>
      </c>
      <c r="Q1587" s="18" t="str">
        <f aca="false">IF(COUNTIF(LOOKAHEAD!$A$5:$A$604,A1587)&gt;0,"En Lookahead",IF(P1587="Sí","INCORPORAR",""))</f>
        <v/>
      </c>
    </row>
    <row r="1588" customFormat="false" ht="15" hidden="false" customHeight="false" outlineLevel="0" collapsed="false">
      <c r="A1588" s="16" t="s">
        <v>5789</v>
      </c>
      <c r="B1588" s="16" t="n">
        <v>1583</v>
      </c>
      <c r="C1588" s="16" t="s">
        <v>5790</v>
      </c>
      <c r="D1588" s="16" t="n">
        <v>6</v>
      </c>
      <c r="E1588" s="35" t="s">
        <v>1584</v>
      </c>
      <c r="F1588" s="16" t="s">
        <v>1285</v>
      </c>
      <c r="G1588" s="16" t="s">
        <v>322</v>
      </c>
      <c r="H1588" s="16" t="s">
        <v>5760</v>
      </c>
      <c r="I1588" s="16" t="s">
        <v>121</v>
      </c>
      <c r="J1588" s="16" t="s">
        <v>1571</v>
      </c>
      <c r="K1588" s="32" t="n">
        <v>1</v>
      </c>
      <c r="L1588" s="33" t="n">
        <v>46256</v>
      </c>
      <c r="M1588" s="33" t="n">
        <v>46256</v>
      </c>
      <c r="N1588" s="16" t="s">
        <v>5791</v>
      </c>
      <c r="O1588" s="16"/>
      <c r="P1588" s="16" t="str">
        <f aca="false">IF(AND(L1588&lt;=$D$2,M1588&gt;=$C$2),"Sí","")</f>
        <v/>
      </c>
      <c r="Q1588" s="18" t="str">
        <f aca="false">IF(COUNTIF(LOOKAHEAD!$A$5:$A$604,A1588)&gt;0,"En Lookahead",IF(P1588="Sí","INCORPORAR",""))</f>
        <v/>
      </c>
    </row>
    <row r="1589" customFormat="false" ht="15" hidden="false" customHeight="false" outlineLevel="0" collapsed="false">
      <c r="A1589" s="16" t="s">
        <v>5792</v>
      </c>
      <c r="B1589" s="16" t="n">
        <v>1584</v>
      </c>
      <c r="C1589" s="16" t="s">
        <v>5793</v>
      </c>
      <c r="D1589" s="16" t="n">
        <v>6</v>
      </c>
      <c r="E1589" s="35" t="s">
        <v>1588</v>
      </c>
      <c r="F1589" s="16" t="s">
        <v>1285</v>
      </c>
      <c r="G1589" s="16" t="s">
        <v>322</v>
      </c>
      <c r="H1589" s="16" t="s">
        <v>5760</v>
      </c>
      <c r="I1589" s="16" t="s">
        <v>121</v>
      </c>
      <c r="J1589" s="16" t="s">
        <v>1571</v>
      </c>
      <c r="K1589" s="32" t="n">
        <v>1</v>
      </c>
      <c r="L1589" s="33" t="n">
        <v>46255</v>
      </c>
      <c r="M1589" s="33" t="n">
        <v>46255</v>
      </c>
      <c r="N1589" s="16" t="s">
        <v>5794</v>
      </c>
      <c r="O1589" s="16"/>
      <c r="P1589" s="16" t="str">
        <f aca="false">IF(AND(L1589&lt;=$D$2,M1589&gt;=$C$2),"Sí","")</f>
        <v/>
      </c>
      <c r="Q1589" s="18" t="str">
        <f aca="false">IF(COUNTIF(LOOKAHEAD!$A$5:$A$604,A1589)&gt;0,"En Lookahead",IF(P1589="Sí","INCORPORAR",""))</f>
        <v/>
      </c>
    </row>
    <row r="1590" customFormat="false" ht="15" hidden="false" customHeight="false" outlineLevel="0" collapsed="false">
      <c r="A1590" s="16" t="s">
        <v>5795</v>
      </c>
      <c r="B1590" s="16" t="n">
        <v>1585</v>
      </c>
      <c r="C1590" s="16" t="s">
        <v>5796</v>
      </c>
      <c r="D1590" s="16" t="n">
        <v>6</v>
      </c>
      <c r="E1590" s="35" t="s">
        <v>5797</v>
      </c>
      <c r="F1590" s="16" t="s">
        <v>1285</v>
      </c>
      <c r="G1590" s="16" t="s">
        <v>322</v>
      </c>
      <c r="H1590" s="16" t="s">
        <v>5760</v>
      </c>
      <c r="I1590" s="16" t="s">
        <v>121</v>
      </c>
      <c r="J1590" s="16" t="s">
        <v>1571</v>
      </c>
      <c r="K1590" s="32" t="n">
        <v>1</v>
      </c>
      <c r="L1590" s="33" t="n">
        <v>46256</v>
      </c>
      <c r="M1590" s="33" t="n">
        <v>46256</v>
      </c>
      <c r="N1590" s="16" t="s">
        <v>5798</v>
      </c>
      <c r="O1590" s="16"/>
      <c r="P1590" s="16" t="str">
        <f aca="false">IF(AND(L1590&lt;=$D$2,M1590&gt;=$C$2),"Sí","")</f>
        <v/>
      </c>
      <c r="Q1590" s="18" t="str">
        <f aca="false">IF(COUNTIF(LOOKAHEAD!$A$5:$A$604,A1590)&gt;0,"En Lookahead",IF(P1590="Sí","INCORPORAR",""))</f>
        <v/>
      </c>
    </row>
    <row r="1591" customFormat="false" ht="15" hidden="false" customHeight="false" outlineLevel="0" collapsed="false">
      <c r="A1591" s="16" t="s">
        <v>5799</v>
      </c>
      <c r="B1591" s="16" t="n">
        <v>1586</v>
      </c>
      <c r="C1591" s="16" t="s">
        <v>5800</v>
      </c>
      <c r="D1591" s="16" t="n">
        <v>6</v>
      </c>
      <c r="E1591" s="35" t="s">
        <v>1588</v>
      </c>
      <c r="F1591" s="16" t="s">
        <v>1285</v>
      </c>
      <c r="G1591" s="16" t="s">
        <v>322</v>
      </c>
      <c r="H1591" s="16" t="s">
        <v>5760</v>
      </c>
      <c r="I1591" s="16" t="s">
        <v>121</v>
      </c>
      <c r="J1591" s="16" t="s">
        <v>1571</v>
      </c>
      <c r="K1591" s="32" t="n">
        <v>1</v>
      </c>
      <c r="L1591" s="33" t="n">
        <v>46255</v>
      </c>
      <c r="M1591" s="33" t="n">
        <v>46255</v>
      </c>
      <c r="N1591" s="16" t="s">
        <v>5794</v>
      </c>
      <c r="O1591" s="16"/>
      <c r="P1591" s="16" t="str">
        <f aca="false">IF(AND(L1591&lt;=$D$2,M1591&gt;=$C$2),"Sí","")</f>
        <v/>
      </c>
      <c r="Q1591" s="18" t="str">
        <f aca="false">IF(COUNTIF(LOOKAHEAD!$A$5:$A$604,A1591)&gt;0,"En Lookahead",IF(P1591="Sí","INCORPORAR",""))</f>
        <v/>
      </c>
    </row>
    <row r="1592" customFormat="false" ht="15" hidden="false" customHeight="false" outlineLevel="0" collapsed="false">
      <c r="A1592" s="16" t="s">
        <v>5801</v>
      </c>
      <c r="B1592" s="16" t="n">
        <v>1587</v>
      </c>
      <c r="C1592" s="16" t="s">
        <v>5802</v>
      </c>
      <c r="D1592" s="16" t="n">
        <v>6</v>
      </c>
      <c r="E1592" s="35" t="s">
        <v>1609</v>
      </c>
      <c r="F1592" s="16" t="s">
        <v>1285</v>
      </c>
      <c r="G1592" s="16" t="s">
        <v>322</v>
      </c>
      <c r="H1592" s="16" t="s">
        <v>5760</v>
      </c>
      <c r="I1592" s="16" t="s">
        <v>121</v>
      </c>
      <c r="J1592" s="16" t="s">
        <v>1571</v>
      </c>
      <c r="K1592" s="32" t="n">
        <v>1</v>
      </c>
      <c r="L1592" s="33" t="n">
        <v>46256</v>
      </c>
      <c r="M1592" s="33" t="n">
        <v>46256</v>
      </c>
      <c r="N1592" s="16" t="s">
        <v>5803</v>
      </c>
      <c r="O1592" s="16"/>
      <c r="P1592" s="16" t="str">
        <f aca="false">IF(AND(L1592&lt;=$D$2,M1592&gt;=$C$2),"Sí","")</f>
        <v/>
      </c>
      <c r="Q1592" s="18" t="str">
        <f aca="false">IF(COUNTIF(LOOKAHEAD!$A$5:$A$604,A1592)&gt;0,"En Lookahead",IF(P1592="Sí","INCORPORAR",""))</f>
        <v/>
      </c>
    </row>
    <row r="1593" customFormat="false" ht="15" hidden="false" customHeight="false" outlineLevel="0" collapsed="false">
      <c r="A1593" s="16" t="s">
        <v>5804</v>
      </c>
      <c r="B1593" s="16" t="n">
        <v>1588</v>
      </c>
      <c r="C1593" s="16" t="s">
        <v>5805</v>
      </c>
      <c r="D1593" s="16" t="n">
        <v>6</v>
      </c>
      <c r="E1593" s="35" t="s">
        <v>1588</v>
      </c>
      <c r="F1593" s="16" t="s">
        <v>1285</v>
      </c>
      <c r="G1593" s="16" t="s">
        <v>322</v>
      </c>
      <c r="H1593" s="16" t="s">
        <v>5760</v>
      </c>
      <c r="I1593" s="16" t="s">
        <v>121</v>
      </c>
      <c r="J1593" s="16" t="s">
        <v>1571</v>
      </c>
      <c r="K1593" s="32" t="n">
        <v>1</v>
      </c>
      <c r="L1593" s="33" t="n">
        <v>46255</v>
      </c>
      <c r="M1593" s="33" t="n">
        <v>46255</v>
      </c>
      <c r="N1593" s="16" t="s">
        <v>5794</v>
      </c>
      <c r="O1593" s="16"/>
      <c r="P1593" s="16" t="str">
        <f aca="false">IF(AND(L1593&lt;=$D$2,M1593&gt;=$C$2),"Sí","")</f>
        <v/>
      </c>
      <c r="Q1593" s="18" t="str">
        <f aca="false">IF(COUNTIF(LOOKAHEAD!$A$5:$A$604,A1593)&gt;0,"En Lookahead",IF(P1593="Sí","INCORPORAR",""))</f>
        <v/>
      </c>
    </row>
    <row r="1594" customFormat="false" ht="15" hidden="false" customHeight="false" outlineLevel="0" collapsed="false">
      <c r="A1594" s="16" t="s">
        <v>5806</v>
      </c>
      <c r="B1594" s="16" t="n">
        <v>1589</v>
      </c>
      <c r="C1594" s="16" t="s">
        <v>5807</v>
      </c>
      <c r="D1594" s="16" t="n">
        <v>6</v>
      </c>
      <c r="E1594" s="35" t="s">
        <v>1619</v>
      </c>
      <c r="F1594" s="16" t="s">
        <v>1285</v>
      </c>
      <c r="G1594" s="16" t="s">
        <v>322</v>
      </c>
      <c r="H1594" s="16" t="s">
        <v>5760</v>
      </c>
      <c r="I1594" s="16" t="s">
        <v>121</v>
      </c>
      <c r="J1594" s="16" t="s">
        <v>1571</v>
      </c>
      <c r="K1594" s="32" t="n">
        <v>1</v>
      </c>
      <c r="L1594" s="33" t="n">
        <v>46254</v>
      </c>
      <c r="M1594" s="33" t="n">
        <v>46254</v>
      </c>
      <c r="N1594" s="16" t="s">
        <v>5781</v>
      </c>
      <c r="O1594" s="16"/>
      <c r="P1594" s="16" t="str">
        <f aca="false">IF(AND(L1594&lt;=$D$2,M1594&gt;=$C$2),"Sí","")</f>
        <v/>
      </c>
      <c r="Q1594" s="18" t="str">
        <f aca="false">IF(COUNTIF(LOOKAHEAD!$A$5:$A$604,A1594)&gt;0,"En Lookahead",IF(P1594="Sí","INCORPORAR",""))</f>
        <v/>
      </c>
    </row>
    <row r="1595" customFormat="false" ht="15" hidden="false" customHeight="false" outlineLevel="0" collapsed="false">
      <c r="A1595" s="13" t="s">
        <v>5808</v>
      </c>
      <c r="B1595" s="13" t="n">
        <v>1590</v>
      </c>
      <c r="C1595" s="13" t="s">
        <v>5809</v>
      </c>
      <c r="D1595" s="13" t="n">
        <v>5</v>
      </c>
      <c r="E1595" s="34" t="s">
        <v>1623</v>
      </c>
      <c r="F1595" s="13" t="s">
        <v>1298</v>
      </c>
      <c r="G1595" s="13" t="s">
        <v>322</v>
      </c>
      <c r="H1595" s="13" t="s">
        <v>5760</v>
      </c>
      <c r="I1595" s="13" t="s">
        <v>121</v>
      </c>
      <c r="J1595" s="13" t="s">
        <v>5760</v>
      </c>
      <c r="K1595" s="30" t="n">
        <v>96</v>
      </c>
      <c r="L1595" s="31" t="n">
        <v>46257</v>
      </c>
      <c r="M1595" s="31" t="n">
        <v>46352</v>
      </c>
      <c r="N1595" s="13"/>
      <c r="O1595" s="13"/>
      <c r="P1595" s="13"/>
      <c r="Q1595" s="13"/>
    </row>
    <row r="1596" customFormat="false" ht="15" hidden="false" customHeight="false" outlineLevel="0" collapsed="false">
      <c r="A1596" s="13" t="s">
        <v>5810</v>
      </c>
      <c r="B1596" s="13" t="n">
        <v>1591</v>
      </c>
      <c r="C1596" s="13" t="s">
        <v>5811</v>
      </c>
      <c r="D1596" s="13" t="n">
        <v>6</v>
      </c>
      <c r="E1596" s="36" t="s">
        <v>2295</v>
      </c>
      <c r="F1596" s="13" t="s">
        <v>1298</v>
      </c>
      <c r="G1596" s="13" t="s">
        <v>322</v>
      </c>
      <c r="H1596" s="13" t="s">
        <v>5760</v>
      </c>
      <c r="I1596" s="13" t="s">
        <v>121</v>
      </c>
      <c r="J1596" s="13" t="s">
        <v>1623</v>
      </c>
      <c r="K1596" s="30" t="n">
        <v>4</v>
      </c>
      <c r="L1596" s="31" t="n">
        <v>46257</v>
      </c>
      <c r="M1596" s="31" t="n">
        <v>46260</v>
      </c>
      <c r="N1596" s="13"/>
      <c r="O1596" s="13"/>
      <c r="P1596" s="13"/>
      <c r="Q1596" s="13"/>
    </row>
    <row r="1597" customFormat="false" ht="15" hidden="false" customHeight="false" outlineLevel="0" collapsed="false">
      <c r="A1597" s="16" t="s">
        <v>5812</v>
      </c>
      <c r="B1597" s="16" t="n">
        <v>1592</v>
      </c>
      <c r="C1597" s="16" t="s">
        <v>5813</v>
      </c>
      <c r="D1597" s="16" t="n">
        <v>7</v>
      </c>
      <c r="E1597" s="37" t="s">
        <v>2298</v>
      </c>
      <c r="F1597" s="16" t="s">
        <v>1285</v>
      </c>
      <c r="G1597" s="16" t="s">
        <v>322</v>
      </c>
      <c r="H1597" s="16" t="s">
        <v>5760</v>
      </c>
      <c r="I1597" s="16" t="s">
        <v>121</v>
      </c>
      <c r="J1597" s="16" t="s">
        <v>2295</v>
      </c>
      <c r="K1597" s="32" t="n">
        <v>1</v>
      </c>
      <c r="L1597" s="33" t="n">
        <v>46259</v>
      </c>
      <c r="M1597" s="33" t="n">
        <v>46259</v>
      </c>
      <c r="N1597" s="16" t="s">
        <v>5814</v>
      </c>
      <c r="O1597" s="16"/>
      <c r="P1597" s="16" t="str">
        <f aca="false">IF(AND(L1597&lt;=$D$2,M1597&gt;=$C$2),"Sí","")</f>
        <v/>
      </c>
      <c r="Q1597" s="18" t="str">
        <f aca="false">IF(COUNTIF(LOOKAHEAD!$A$5:$A$604,A1597)&gt;0,"En Lookahead",IF(P1597="Sí","INCORPORAR",""))</f>
        <v/>
      </c>
    </row>
    <row r="1598" customFormat="false" ht="15" hidden="false" customHeight="false" outlineLevel="0" collapsed="false">
      <c r="A1598" s="16" t="s">
        <v>5815</v>
      </c>
      <c r="B1598" s="16" t="n">
        <v>1593</v>
      </c>
      <c r="C1598" s="16" t="s">
        <v>5816</v>
      </c>
      <c r="D1598" s="16" t="n">
        <v>7</v>
      </c>
      <c r="E1598" s="37" t="s">
        <v>2302</v>
      </c>
      <c r="F1598" s="16" t="s">
        <v>1285</v>
      </c>
      <c r="G1598" s="16" t="s">
        <v>322</v>
      </c>
      <c r="H1598" s="16" t="s">
        <v>5760</v>
      </c>
      <c r="I1598" s="16" t="s">
        <v>121</v>
      </c>
      <c r="J1598" s="16" t="s">
        <v>2295</v>
      </c>
      <c r="K1598" s="32" t="n">
        <v>1</v>
      </c>
      <c r="L1598" s="33" t="n">
        <v>46258</v>
      </c>
      <c r="M1598" s="33" t="n">
        <v>46258</v>
      </c>
      <c r="N1598" s="16" t="s">
        <v>5817</v>
      </c>
      <c r="O1598" s="16"/>
      <c r="P1598" s="16" t="str">
        <f aca="false">IF(AND(L1598&lt;=$D$2,M1598&gt;=$C$2),"Sí","")</f>
        <v/>
      </c>
      <c r="Q1598" s="18" t="str">
        <f aca="false">IF(COUNTIF(LOOKAHEAD!$A$5:$A$604,A1598)&gt;0,"En Lookahead",IF(P1598="Sí","INCORPORAR",""))</f>
        <v/>
      </c>
    </row>
    <row r="1599" customFormat="false" ht="15" hidden="false" customHeight="false" outlineLevel="0" collapsed="false">
      <c r="A1599" s="16" t="s">
        <v>5818</v>
      </c>
      <c r="B1599" s="16" t="n">
        <v>1594</v>
      </c>
      <c r="C1599" s="16" t="s">
        <v>5819</v>
      </c>
      <c r="D1599" s="16" t="n">
        <v>7</v>
      </c>
      <c r="E1599" s="37" t="s">
        <v>2306</v>
      </c>
      <c r="F1599" s="16" t="s">
        <v>1285</v>
      </c>
      <c r="G1599" s="16" t="s">
        <v>322</v>
      </c>
      <c r="H1599" s="16" t="s">
        <v>5760</v>
      </c>
      <c r="I1599" s="16" t="s">
        <v>121</v>
      </c>
      <c r="J1599" s="16" t="s">
        <v>2295</v>
      </c>
      <c r="K1599" s="32" t="n">
        <v>1</v>
      </c>
      <c r="L1599" s="33" t="n">
        <v>46257</v>
      </c>
      <c r="M1599" s="33" t="n">
        <v>46257</v>
      </c>
      <c r="N1599" s="16" t="s">
        <v>5820</v>
      </c>
      <c r="O1599" s="16"/>
      <c r="P1599" s="16" t="str">
        <f aca="false">IF(AND(L1599&lt;=$D$2,M1599&gt;=$C$2),"Sí","")</f>
        <v/>
      </c>
      <c r="Q1599" s="18" t="str">
        <f aca="false">IF(COUNTIF(LOOKAHEAD!$A$5:$A$604,A1599)&gt;0,"En Lookahead",IF(P1599="Sí","INCORPORAR",""))</f>
        <v/>
      </c>
    </row>
    <row r="1600" customFormat="false" ht="15" hidden="false" customHeight="false" outlineLevel="0" collapsed="false">
      <c r="A1600" s="16" t="s">
        <v>5821</v>
      </c>
      <c r="B1600" s="16" t="n">
        <v>1595</v>
      </c>
      <c r="C1600" s="16" t="s">
        <v>5822</v>
      </c>
      <c r="D1600" s="16" t="n">
        <v>7</v>
      </c>
      <c r="E1600" s="37" t="s">
        <v>1602</v>
      </c>
      <c r="F1600" s="16" t="s">
        <v>1285</v>
      </c>
      <c r="G1600" s="16" t="s">
        <v>322</v>
      </c>
      <c r="H1600" s="16" t="s">
        <v>5760</v>
      </c>
      <c r="I1600" s="16" t="s">
        <v>121</v>
      </c>
      <c r="J1600" s="16" t="s">
        <v>2295</v>
      </c>
      <c r="K1600" s="32" t="n">
        <v>1</v>
      </c>
      <c r="L1600" s="33" t="n">
        <v>46260</v>
      </c>
      <c r="M1600" s="33" t="n">
        <v>46260</v>
      </c>
      <c r="N1600" s="16" t="s">
        <v>5823</v>
      </c>
      <c r="O1600" s="16"/>
      <c r="P1600" s="16" t="str">
        <f aca="false">IF(AND(L1600&lt;=$D$2,M1600&gt;=$C$2),"Sí","")</f>
        <v/>
      </c>
      <c r="Q1600" s="18" t="str">
        <f aca="false">IF(COUNTIF(LOOKAHEAD!$A$5:$A$604,A1600)&gt;0,"En Lookahead",IF(P1600="Sí","INCORPORAR",""))</f>
        <v/>
      </c>
    </row>
    <row r="1601" customFormat="false" ht="15" hidden="false" customHeight="false" outlineLevel="0" collapsed="false">
      <c r="A1601" s="13" t="s">
        <v>5824</v>
      </c>
      <c r="B1601" s="13" t="n">
        <v>1596</v>
      </c>
      <c r="C1601" s="13" t="s">
        <v>5825</v>
      </c>
      <c r="D1601" s="13" t="n">
        <v>6</v>
      </c>
      <c r="E1601" s="36" t="s">
        <v>1626</v>
      </c>
      <c r="F1601" s="13" t="s">
        <v>1298</v>
      </c>
      <c r="G1601" s="13" t="s">
        <v>322</v>
      </c>
      <c r="H1601" s="13" t="s">
        <v>5760</v>
      </c>
      <c r="I1601" s="13" t="s">
        <v>121</v>
      </c>
      <c r="J1601" s="13" t="s">
        <v>1623</v>
      </c>
      <c r="K1601" s="30" t="n">
        <v>4</v>
      </c>
      <c r="L1601" s="31" t="n">
        <v>46257</v>
      </c>
      <c r="M1601" s="31" t="n">
        <v>46260</v>
      </c>
      <c r="N1601" s="13"/>
      <c r="O1601" s="13"/>
      <c r="P1601" s="13"/>
      <c r="Q1601" s="13"/>
    </row>
    <row r="1602" customFormat="false" ht="15" hidden="false" customHeight="false" outlineLevel="0" collapsed="false">
      <c r="A1602" s="16" t="s">
        <v>5826</v>
      </c>
      <c r="B1602" s="16" t="n">
        <v>1597</v>
      </c>
      <c r="C1602" s="16" t="s">
        <v>5827</v>
      </c>
      <c r="D1602" s="16" t="n">
        <v>7</v>
      </c>
      <c r="E1602" s="37" t="s">
        <v>1629</v>
      </c>
      <c r="F1602" s="16" t="s">
        <v>1285</v>
      </c>
      <c r="G1602" s="16" t="s">
        <v>322</v>
      </c>
      <c r="H1602" s="16" t="s">
        <v>5760</v>
      </c>
      <c r="I1602" s="16" t="s">
        <v>121</v>
      </c>
      <c r="J1602" s="16" t="s">
        <v>1626</v>
      </c>
      <c r="K1602" s="32" t="n">
        <v>1</v>
      </c>
      <c r="L1602" s="33" t="n">
        <v>46259</v>
      </c>
      <c r="M1602" s="33" t="n">
        <v>46259</v>
      </c>
      <c r="N1602" s="16" t="s">
        <v>5828</v>
      </c>
      <c r="O1602" s="16"/>
      <c r="P1602" s="16" t="str">
        <f aca="false">IF(AND(L1602&lt;=$D$2,M1602&gt;=$C$2),"Sí","")</f>
        <v/>
      </c>
      <c r="Q1602" s="18" t="str">
        <f aca="false">IF(COUNTIF(LOOKAHEAD!$A$5:$A$604,A1602)&gt;0,"En Lookahead",IF(P1602="Sí","INCORPORAR",""))</f>
        <v/>
      </c>
    </row>
    <row r="1603" customFormat="false" ht="15" hidden="false" customHeight="false" outlineLevel="0" collapsed="false">
      <c r="A1603" s="16" t="s">
        <v>5829</v>
      </c>
      <c r="B1603" s="16" t="n">
        <v>1598</v>
      </c>
      <c r="C1603" s="16" t="s">
        <v>5830</v>
      </c>
      <c r="D1603" s="16" t="n">
        <v>7</v>
      </c>
      <c r="E1603" s="37" t="s">
        <v>1633</v>
      </c>
      <c r="F1603" s="16" t="s">
        <v>1285</v>
      </c>
      <c r="G1603" s="16" t="s">
        <v>322</v>
      </c>
      <c r="H1603" s="16" t="s">
        <v>5760</v>
      </c>
      <c r="I1603" s="16" t="s">
        <v>121</v>
      </c>
      <c r="J1603" s="16" t="s">
        <v>1626</v>
      </c>
      <c r="K1603" s="32" t="n">
        <v>1</v>
      </c>
      <c r="L1603" s="33" t="n">
        <v>46258</v>
      </c>
      <c r="M1603" s="33" t="n">
        <v>46258</v>
      </c>
      <c r="N1603" s="16" t="s">
        <v>5831</v>
      </c>
      <c r="O1603" s="16"/>
      <c r="P1603" s="16" t="str">
        <f aca="false">IF(AND(L1603&lt;=$D$2,M1603&gt;=$C$2),"Sí","")</f>
        <v/>
      </c>
      <c r="Q1603" s="18" t="str">
        <f aca="false">IF(COUNTIF(LOOKAHEAD!$A$5:$A$604,A1603)&gt;0,"En Lookahead",IF(P1603="Sí","INCORPORAR",""))</f>
        <v/>
      </c>
    </row>
    <row r="1604" customFormat="false" ht="15" hidden="false" customHeight="false" outlineLevel="0" collapsed="false">
      <c r="A1604" s="16" t="s">
        <v>5832</v>
      </c>
      <c r="B1604" s="16" t="n">
        <v>1599</v>
      </c>
      <c r="C1604" s="16" t="s">
        <v>5833</v>
      </c>
      <c r="D1604" s="16" t="n">
        <v>7</v>
      </c>
      <c r="E1604" s="37" t="s">
        <v>1637</v>
      </c>
      <c r="F1604" s="16" t="s">
        <v>1285</v>
      </c>
      <c r="G1604" s="16" t="s">
        <v>322</v>
      </c>
      <c r="H1604" s="16" t="s">
        <v>5760</v>
      </c>
      <c r="I1604" s="16" t="s">
        <v>121</v>
      </c>
      <c r="J1604" s="16" t="s">
        <v>1626</v>
      </c>
      <c r="K1604" s="32" t="n">
        <v>1</v>
      </c>
      <c r="L1604" s="33" t="n">
        <v>46257</v>
      </c>
      <c r="M1604" s="33" t="n">
        <v>46257</v>
      </c>
      <c r="N1604" s="16" t="s">
        <v>5834</v>
      </c>
      <c r="O1604" s="16"/>
      <c r="P1604" s="16" t="str">
        <f aca="false">IF(AND(L1604&lt;=$D$2,M1604&gt;=$C$2),"Sí","")</f>
        <v/>
      </c>
      <c r="Q1604" s="18" t="str">
        <f aca="false">IF(COUNTIF(LOOKAHEAD!$A$5:$A$604,A1604)&gt;0,"En Lookahead",IF(P1604="Sí","INCORPORAR",""))</f>
        <v/>
      </c>
    </row>
    <row r="1605" customFormat="false" ht="15" hidden="false" customHeight="false" outlineLevel="0" collapsed="false">
      <c r="A1605" s="16" t="s">
        <v>5835</v>
      </c>
      <c r="B1605" s="16" t="n">
        <v>1600</v>
      </c>
      <c r="C1605" s="16" t="s">
        <v>5836</v>
      </c>
      <c r="D1605" s="16" t="n">
        <v>7</v>
      </c>
      <c r="E1605" s="37" t="s">
        <v>1602</v>
      </c>
      <c r="F1605" s="16" t="s">
        <v>1285</v>
      </c>
      <c r="G1605" s="16" t="s">
        <v>322</v>
      </c>
      <c r="H1605" s="16" t="s">
        <v>5760</v>
      </c>
      <c r="I1605" s="16" t="s">
        <v>121</v>
      </c>
      <c r="J1605" s="16" t="s">
        <v>1626</v>
      </c>
      <c r="K1605" s="32" t="n">
        <v>1</v>
      </c>
      <c r="L1605" s="33" t="n">
        <v>46260</v>
      </c>
      <c r="M1605" s="33" t="n">
        <v>46260</v>
      </c>
      <c r="N1605" s="16" t="s">
        <v>5837</v>
      </c>
      <c r="O1605" s="16"/>
      <c r="P1605" s="16" t="str">
        <f aca="false">IF(AND(L1605&lt;=$D$2,M1605&gt;=$C$2),"Sí","")</f>
        <v/>
      </c>
      <c r="Q1605" s="18" t="str">
        <f aca="false">IF(COUNTIF(LOOKAHEAD!$A$5:$A$604,A1605)&gt;0,"En Lookahead",IF(P1605="Sí","INCORPORAR",""))</f>
        <v/>
      </c>
    </row>
    <row r="1606" customFormat="false" ht="15" hidden="false" customHeight="false" outlineLevel="0" collapsed="false">
      <c r="A1606" s="13" t="s">
        <v>5838</v>
      </c>
      <c r="B1606" s="13" t="n">
        <v>1601</v>
      </c>
      <c r="C1606" s="13" t="s">
        <v>5839</v>
      </c>
      <c r="D1606" s="13" t="n">
        <v>6</v>
      </c>
      <c r="E1606" s="36" t="s">
        <v>1644</v>
      </c>
      <c r="F1606" s="13" t="s">
        <v>1298</v>
      </c>
      <c r="G1606" s="13" t="s">
        <v>322</v>
      </c>
      <c r="H1606" s="13" t="s">
        <v>5760</v>
      </c>
      <c r="I1606" s="13" t="s">
        <v>121</v>
      </c>
      <c r="J1606" s="13" t="s">
        <v>1623</v>
      </c>
      <c r="K1606" s="30" t="n">
        <v>7</v>
      </c>
      <c r="L1606" s="31" t="n">
        <v>46260</v>
      </c>
      <c r="M1606" s="31" t="n">
        <v>46266</v>
      </c>
      <c r="N1606" s="13"/>
      <c r="O1606" s="13"/>
      <c r="P1606" s="13"/>
      <c r="Q1606" s="13"/>
    </row>
    <row r="1607" customFormat="false" ht="15" hidden="false" customHeight="false" outlineLevel="0" collapsed="false">
      <c r="A1607" s="16" t="s">
        <v>5840</v>
      </c>
      <c r="B1607" s="16" t="n">
        <v>1602</v>
      </c>
      <c r="C1607" s="16" t="s">
        <v>5841</v>
      </c>
      <c r="D1607" s="16" t="n">
        <v>7</v>
      </c>
      <c r="E1607" s="37" t="s">
        <v>1647</v>
      </c>
      <c r="F1607" s="16" t="s">
        <v>1285</v>
      </c>
      <c r="G1607" s="16" t="s">
        <v>322</v>
      </c>
      <c r="H1607" s="16" t="s">
        <v>5760</v>
      </c>
      <c r="I1607" s="16" t="s">
        <v>121</v>
      </c>
      <c r="J1607" s="16" t="s">
        <v>1644</v>
      </c>
      <c r="K1607" s="32" t="n">
        <v>1</v>
      </c>
      <c r="L1607" s="33" t="n">
        <v>46265</v>
      </c>
      <c r="M1607" s="33" t="n">
        <v>46265</v>
      </c>
      <c r="N1607" s="16" t="s">
        <v>5842</v>
      </c>
      <c r="O1607" s="16"/>
      <c r="P1607" s="16" t="str">
        <f aca="false">IF(AND(L1607&lt;=$D$2,M1607&gt;=$C$2),"Sí","")</f>
        <v/>
      </c>
      <c r="Q1607" s="18" t="str">
        <f aca="false">IF(COUNTIF(LOOKAHEAD!$A$5:$A$604,A1607)&gt;0,"En Lookahead",IF(P1607="Sí","INCORPORAR",""))</f>
        <v/>
      </c>
    </row>
    <row r="1608" customFormat="false" ht="15" hidden="false" customHeight="false" outlineLevel="0" collapsed="false">
      <c r="A1608" s="16" t="s">
        <v>5843</v>
      </c>
      <c r="B1608" s="16" t="n">
        <v>1603</v>
      </c>
      <c r="C1608" s="16" t="s">
        <v>5844</v>
      </c>
      <c r="D1608" s="16" t="n">
        <v>7</v>
      </c>
      <c r="E1608" s="37" t="s">
        <v>1651</v>
      </c>
      <c r="F1608" s="16" t="s">
        <v>1285</v>
      </c>
      <c r="G1608" s="16" t="s">
        <v>322</v>
      </c>
      <c r="H1608" s="16" t="s">
        <v>5760</v>
      </c>
      <c r="I1608" s="16" t="s">
        <v>121</v>
      </c>
      <c r="J1608" s="16" t="s">
        <v>1644</v>
      </c>
      <c r="K1608" s="32" t="n">
        <v>2</v>
      </c>
      <c r="L1608" s="33" t="n">
        <v>46263</v>
      </c>
      <c r="M1608" s="33" t="n">
        <v>46264</v>
      </c>
      <c r="N1608" s="16" t="s">
        <v>5845</v>
      </c>
      <c r="O1608" s="16"/>
      <c r="P1608" s="16" t="str">
        <f aca="false">IF(AND(L1608&lt;=$D$2,M1608&gt;=$C$2),"Sí","")</f>
        <v/>
      </c>
      <c r="Q1608" s="18" t="str">
        <f aca="false">IF(COUNTIF(LOOKAHEAD!$A$5:$A$604,A1608)&gt;0,"En Lookahead",IF(P1608="Sí","INCORPORAR",""))</f>
        <v/>
      </c>
    </row>
    <row r="1609" customFormat="false" ht="15" hidden="false" customHeight="false" outlineLevel="0" collapsed="false">
      <c r="A1609" s="16" t="s">
        <v>5846</v>
      </c>
      <c r="B1609" s="16" t="n">
        <v>1604</v>
      </c>
      <c r="C1609" s="16" t="s">
        <v>5847</v>
      </c>
      <c r="D1609" s="16" t="n">
        <v>7</v>
      </c>
      <c r="E1609" s="37" t="s">
        <v>1637</v>
      </c>
      <c r="F1609" s="16" t="s">
        <v>1285</v>
      </c>
      <c r="G1609" s="16" t="s">
        <v>322</v>
      </c>
      <c r="H1609" s="16" t="s">
        <v>5760</v>
      </c>
      <c r="I1609" s="16" t="s">
        <v>121</v>
      </c>
      <c r="J1609" s="16" t="s">
        <v>1644</v>
      </c>
      <c r="K1609" s="32" t="n">
        <v>3</v>
      </c>
      <c r="L1609" s="33" t="n">
        <v>46260</v>
      </c>
      <c r="M1609" s="33" t="n">
        <v>46262</v>
      </c>
      <c r="N1609" s="16" t="s">
        <v>5837</v>
      </c>
      <c r="O1609" s="16"/>
      <c r="P1609" s="16" t="str">
        <f aca="false">IF(AND(L1609&lt;=$D$2,M1609&gt;=$C$2),"Sí","")</f>
        <v/>
      </c>
      <c r="Q1609" s="18" t="str">
        <f aca="false">IF(COUNTIF(LOOKAHEAD!$A$5:$A$604,A1609)&gt;0,"En Lookahead",IF(P1609="Sí","INCORPORAR",""))</f>
        <v/>
      </c>
    </row>
    <row r="1610" customFormat="false" ht="15" hidden="false" customHeight="false" outlineLevel="0" collapsed="false">
      <c r="A1610" s="16" t="s">
        <v>5848</v>
      </c>
      <c r="B1610" s="16" t="n">
        <v>1605</v>
      </c>
      <c r="C1610" s="16" t="s">
        <v>5849</v>
      </c>
      <c r="D1610" s="16" t="n">
        <v>7</v>
      </c>
      <c r="E1610" s="37" t="s">
        <v>1602</v>
      </c>
      <c r="F1610" s="16" t="s">
        <v>1285</v>
      </c>
      <c r="G1610" s="16" t="s">
        <v>322</v>
      </c>
      <c r="H1610" s="16" t="s">
        <v>5760</v>
      </c>
      <c r="I1610" s="16" t="s">
        <v>121</v>
      </c>
      <c r="J1610" s="16" t="s">
        <v>1644</v>
      </c>
      <c r="K1610" s="32" t="n">
        <v>1</v>
      </c>
      <c r="L1610" s="33" t="n">
        <v>46266</v>
      </c>
      <c r="M1610" s="33" t="n">
        <v>46266</v>
      </c>
      <c r="N1610" s="16" t="s">
        <v>5850</v>
      </c>
      <c r="O1610" s="16"/>
      <c r="P1610" s="16" t="str">
        <f aca="false">IF(AND(L1610&lt;=$D$2,M1610&gt;=$C$2),"Sí","")</f>
        <v/>
      </c>
      <c r="Q1610" s="18" t="str">
        <f aca="false">IF(COUNTIF(LOOKAHEAD!$A$5:$A$604,A1610)&gt;0,"En Lookahead",IF(P1610="Sí","INCORPORAR",""))</f>
        <v/>
      </c>
    </row>
    <row r="1611" customFormat="false" ht="15" hidden="false" customHeight="false" outlineLevel="0" collapsed="false">
      <c r="A1611" s="13" t="s">
        <v>5851</v>
      </c>
      <c r="B1611" s="13" t="n">
        <v>1606</v>
      </c>
      <c r="C1611" s="13" t="s">
        <v>5852</v>
      </c>
      <c r="D1611" s="13" t="n">
        <v>6</v>
      </c>
      <c r="E1611" s="36" t="s">
        <v>1660</v>
      </c>
      <c r="F1611" s="13" t="s">
        <v>1298</v>
      </c>
      <c r="G1611" s="13" t="s">
        <v>322</v>
      </c>
      <c r="H1611" s="13" t="s">
        <v>5760</v>
      </c>
      <c r="I1611" s="13" t="s">
        <v>121</v>
      </c>
      <c r="J1611" s="13" t="s">
        <v>1623</v>
      </c>
      <c r="K1611" s="30" t="n">
        <v>57</v>
      </c>
      <c r="L1611" s="31" t="n">
        <v>46260</v>
      </c>
      <c r="M1611" s="31" t="n">
        <v>46316</v>
      </c>
      <c r="N1611" s="13"/>
      <c r="O1611" s="13"/>
      <c r="P1611" s="13"/>
      <c r="Q1611" s="13"/>
    </row>
    <row r="1612" customFormat="false" ht="15" hidden="false" customHeight="false" outlineLevel="0" collapsed="false">
      <c r="A1612" s="13" t="s">
        <v>5853</v>
      </c>
      <c r="B1612" s="13" t="n">
        <v>1607</v>
      </c>
      <c r="C1612" s="13" t="s">
        <v>5854</v>
      </c>
      <c r="D1612" s="13" t="n">
        <v>7</v>
      </c>
      <c r="E1612" s="38" t="s">
        <v>1663</v>
      </c>
      <c r="F1612" s="13" t="s">
        <v>1298</v>
      </c>
      <c r="G1612" s="13" t="s">
        <v>322</v>
      </c>
      <c r="H1612" s="13" t="s">
        <v>5760</v>
      </c>
      <c r="I1612" s="13" t="s">
        <v>121</v>
      </c>
      <c r="J1612" s="13" t="s">
        <v>1660</v>
      </c>
      <c r="K1612" s="30" t="n">
        <v>6</v>
      </c>
      <c r="L1612" s="31" t="n">
        <v>46260</v>
      </c>
      <c r="M1612" s="31" t="n">
        <v>46265</v>
      </c>
      <c r="N1612" s="13"/>
      <c r="O1612" s="13"/>
      <c r="P1612" s="13"/>
      <c r="Q1612" s="13"/>
    </row>
    <row r="1613" customFormat="false" ht="15" hidden="false" customHeight="false" outlineLevel="0" collapsed="false">
      <c r="A1613" s="16" t="s">
        <v>5855</v>
      </c>
      <c r="B1613" s="16" t="n">
        <v>1608</v>
      </c>
      <c r="C1613" s="16" t="s">
        <v>5856</v>
      </c>
      <c r="D1613" s="16" t="n">
        <v>8</v>
      </c>
      <c r="E1613" s="39" t="s">
        <v>1666</v>
      </c>
      <c r="F1613" s="16" t="s">
        <v>1285</v>
      </c>
      <c r="G1613" s="16" t="s">
        <v>322</v>
      </c>
      <c r="H1613" s="16" t="s">
        <v>5760</v>
      </c>
      <c r="I1613" s="16" t="s">
        <v>121</v>
      </c>
      <c r="J1613" s="16" t="s">
        <v>1663</v>
      </c>
      <c r="K1613" s="32" t="n">
        <v>1</v>
      </c>
      <c r="L1613" s="33" t="n">
        <v>46264</v>
      </c>
      <c r="M1613" s="33" t="n">
        <v>46264</v>
      </c>
      <c r="N1613" s="16" t="s">
        <v>5857</v>
      </c>
      <c r="O1613" s="16"/>
      <c r="P1613" s="16" t="str">
        <f aca="false">IF(AND(L1613&lt;=$D$2,M1613&gt;=$C$2),"Sí","")</f>
        <v/>
      </c>
      <c r="Q1613" s="18" t="str">
        <f aca="false">IF(COUNTIF(LOOKAHEAD!$A$5:$A$604,A1613)&gt;0,"En Lookahead",IF(P1613="Sí","INCORPORAR",""))</f>
        <v/>
      </c>
    </row>
    <row r="1614" customFormat="false" ht="15" hidden="false" customHeight="false" outlineLevel="0" collapsed="false">
      <c r="A1614" s="16" t="s">
        <v>5858</v>
      </c>
      <c r="B1614" s="16" t="n">
        <v>1609</v>
      </c>
      <c r="C1614" s="16" t="s">
        <v>5859</v>
      </c>
      <c r="D1614" s="16" t="n">
        <v>8</v>
      </c>
      <c r="E1614" s="39" t="s">
        <v>1670</v>
      </c>
      <c r="F1614" s="16" t="s">
        <v>1285</v>
      </c>
      <c r="G1614" s="16" t="s">
        <v>322</v>
      </c>
      <c r="H1614" s="16" t="s">
        <v>5760</v>
      </c>
      <c r="I1614" s="16" t="s">
        <v>121</v>
      </c>
      <c r="J1614" s="16" t="s">
        <v>1663</v>
      </c>
      <c r="K1614" s="32" t="n">
        <v>2</v>
      </c>
      <c r="L1614" s="33" t="n">
        <v>46262</v>
      </c>
      <c r="M1614" s="33" t="n">
        <v>46263</v>
      </c>
      <c r="N1614" s="16" t="s">
        <v>5860</v>
      </c>
      <c r="O1614" s="16"/>
      <c r="P1614" s="16" t="str">
        <f aca="false">IF(AND(L1614&lt;=$D$2,M1614&gt;=$C$2),"Sí","")</f>
        <v/>
      </c>
      <c r="Q1614" s="18" t="str">
        <f aca="false">IF(COUNTIF(LOOKAHEAD!$A$5:$A$604,A1614)&gt;0,"En Lookahead",IF(P1614="Sí","INCORPORAR",""))</f>
        <v/>
      </c>
    </row>
    <row r="1615" customFormat="false" ht="15" hidden="false" customHeight="false" outlineLevel="0" collapsed="false">
      <c r="A1615" s="16" t="s">
        <v>5861</v>
      </c>
      <c r="B1615" s="16" t="n">
        <v>1610</v>
      </c>
      <c r="C1615" s="16" t="s">
        <v>5862</v>
      </c>
      <c r="D1615" s="16" t="n">
        <v>8</v>
      </c>
      <c r="E1615" s="39" t="s">
        <v>1674</v>
      </c>
      <c r="F1615" s="16" t="s">
        <v>1285</v>
      </c>
      <c r="G1615" s="16" t="s">
        <v>322</v>
      </c>
      <c r="H1615" s="16" t="s">
        <v>5760</v>
      </c>
      <c r="I1615" s="16" t="s">
        <v>121</v>
      </c>
      <c r="J1615" s="16" t="s">
        <v>1663</v>
      </c>
      <c r="K1615" s="32" t="n">
        <v>2</v>
      </c>
      <c r="L1615" s="33" t="n">
        <v>46260</v>
      </c>
      <c r="M1615" s="33" t="n">
        <v>46261</v>
      </c>
      <c r="N1615" s="16" t="s">
        <v>5837</v>
      </c>
      <c r="O1615" s="16"/>
      <c r="P1615" s="16" t="str">
        <f aca="false">IF(AND(L1615&lt;=$D$2,M1615&gt;=$C$2),"Sí","")</f>
        <v/>
      </c>
      <c r="Q1615" s="18" t="str">
        <f aca="false">IF(COUNTIF(LOOKAHEAD!$A$5:$A$604,A1615)&gt;0,"En Lookahead",IF(P1615="Sí","INCORPORAR",""))</f>
        <v/>
      </c>
    </row>
    <row r="1616" customFormat="false" ht="15" hidden="false" customHeight="false" outlineLevel="0" collapsed="false">
      <c r="A1616" s="16" t="s">
        <v>5863</v>
      </c>
      <c r="B1616" s="16" t="n">
        <v>1611</v>
      </c>
      <c r="C1616" s="16" t="s">
        <v>5864</v>
      </c>
      <c r="D1616" s="16" t="n">
        <v>8</v>
      </c>
      <c r="E1616" s="39" t="s">
        <v>1677</v>
      </c>
      <c r="F1616" s="16" t="s">
        <v>1285</v>
      </c>
      <c r="G1616" s="16" t="s">
        <v>322</v>
      </c>
      <c r="H1616" s="16" t="s">
        <v>5760</v>
      </c>
      <c r="I1616" s="16" t="s">
        <v>121</v>
      </c>
      <c r="J1616" s="16" t="s">
        <v>1663</v>
      </c>
      <c r="K1616" s="32" t="n">
        <v>1</v>
      </c>
      <c r="L1616" s="33" t="n">
        <v>46265</v>
      </c>
      <c r="M1616" s="33" t="n">
        <v>46265</v>
      </c>
      <c r="N1616" s="16" t="s">
        <v>5865</v>
      </c>
      <c r="O1616" s="16"/>
      <c r="P1616" s="16" t="str">
        <f aca="false">IF(AND(L1616&lt;=$D$2,M1616&gt;=$C$2),"Sí","")</f>
        <v/>
      </c>
      <c r="Q1616" s="18" t="str">
        <f aca="false">IF(COUNTIF(LOOKAHEAD!$A$5:$A$604,A1616)&gt;0,"En Lookahead",IF(P1616="Sí","INCORPORAR",""))</f>
        <v/>
      </c>
    </row>
    <row r="1617" customFormat="false" ht="15" hidden="false" customHeight="false" outlineLevel="0" collapsed="false">
      <c r="A1617" s="13" t="s">
        <v>5866</v>
      </c>
      <c r="B1617" s="13" t="n">
        <v>1612</v>
      </c>
      <c r="C1617" s="13" t="s">
        <v>5867</v>
      </c>
      <c r="D1617" s="13" t="n">
        <v>7</v>
      </c>
      <c r="E1617" s="38" t="s">
        <v>1681</v>
      </c>
      <c r="F1617" s="13" t="s">
        <v>1298</v>
      </c>
      <c r="G1617" s="13" t="s">
        <v>322</v>
      </c>
      <c r="H1617" s="13" t="s">
        <v>5760</v>
      </c>
      <c r="I1617" s="13" t="s">
        <v>121</v>
      </c>
      <c r="J1617" s="13" t="s">
        <v>1660</v>
      </c>
      <c r="K1617" s="30" t="n">
        <v>5</v>
      </c>
      <c r="L1617" s="31" t="n">
        <v>46312</v>
      </c>
      <c r="M1617" s="31" t="n">
        <v>46316</v>
      </c>
      <c r="N1617" s="13"/>
      <c r="O1617" s="13"/>
      <c r="P1617" s="13"/>
      <c r="Q1617" s="13"/>
    </row>
    <row r="1618" customFormat="false" ht="15" hidden="false" customHeight="false" outlineLevel="0" collapsed="false">
      <c r="A1618" s="16" t="s">
        <v>5868</v>
      </c>
      <c r="B1618" s="16" t="n">
        <v>1613</v>
      </c>
      <c r="C1618" s="16" t="s">
        <v>5869</v>
      </c>
      <c r="D1618" s="16" t="n">
        <v>8</v>
      </c>
      <c r="E1618" s="39" t="s">
        <v>1684</v>
      </c>
      <c r="F1618" s="16" t="s">
        <v>1285</v>
      </c>
      <c r="G1618" s="16" t="s">
        <v>322</v>
      </c>
      <c r="H1618" s="16" t="s">
        <v>5760</v>
      </c>
      <c r="I1618" s="16" t="s">
        <v>121</v>
      </c>
      <c r="J1618" s="16" t="s">
        <v>1681</v>
      </c>
      <c r="K1618" s="32" t="n">
        <v>1</v>
      </c>
      <c r="L1618" s="33" t="n">
        <v>46315</v>
      </c>
      <c r="M1618" s="33" t="n">
        <v>46315</v>
      </c>
      <c r="N1618" s="16" t="s">
        <v>5870</v>
      </c>
      <c r="O1618" s="16"/>
      <c r="P1618" s="16" t="str">
        <f aca="false">IF(AND(L1618&lt;=$D$2,M1618&gt;=$C$2),"Sí","")</f>
        <v>Sí</v>
      </c>
      <c r="Q1618" s="18" t="str">
        <f aca="false">IF(COUNTIF(LOOKAHEAD!$A$5:$A$604,A1618)&gt;0,"En Lookahead",IF(P1618="Sí","INCORPORAR",""))</f>
        <v>En Lookahead</v>
      </c>
    </row>
    <row r="1619" customFormat="false" ht="15" hidden="false" customHeight="false" outlineLevel="0" collapsed="false">
      <c r="A1619" s="16" t="s">
        <v>5871</v>
      </c>
      <c r="B1619" s="16" t="n">
        <v>1614</v>
      </c>
      <c r="C1619" s="16" t="s">
        <v>5872</v>
      </c>
      <c r="D1619" s="16" t="n">
        <v>8</v>
      </c>
      <c r="E1619" s="39" t="s">
        <v>1688</v>
      </c>
      <c r="F1619" s="16" t="s">
        <v>1285</v>
      </c>
      <c r="G1619" s="16" t="s">
        <v>322</v>
      </c>
      <c r="H1619" s="16" t="s">
        <v>5760</v>
      </c>
      <c r="I1619" s="16" t="s">
        <v>121</v>
      </c>
      <c r="J1619" s="16" t="s">
        <v>1681</v>
      </c>
      <c r="K1619" s="32" t="n">
        <v>2</v>
      </c>
      <c r="L1619" s="33" t="n">
        <v>46313</v>
      </c>
      <c r="M1619" s="33" t="n">
        <v>46314</v>
      </c>
      <c r="N1619" s="16" t="s">
        <v>5873</v>
      </c>
      <c r="O1619" s="16"/>
      <c r="P1619" s="16" t="str">
        <f aca="false">IF(AND(L1619&lt;=$D$2,M1619&gt;=$C$2),"Sí","")</f>
        <v>Sí</v>
      </c>
      <c r="Q1619" s="18" t="str">
        <f aca="false">IF(COUNTIF(LOOKAHEAD!$A$5:$A$604,A1619)&gt;0,"En Lookahead",IF(P1619="Sí","INCORPORAR",""))</f>
        <v>En Lookahead</v>
      </c>
    </row>
    <row r="1620" customFormat="false" ht="15" hidden="false" customHeight="false" outlineLevel="0" collapsed="false">
      <c r="A1620" s="16" t="s">
        <v>5874</v>
      </c>
      <c r="B1620" s="16" t="n">
        <v>1615</v>
      </c>
      <c r="C1620" s="16" t="s">
        <v>5875</v>
      </c>
      <c r="D1620" s="16" t="n">
        <v>8</v>
      </c>
      <c r="E1620" s="39" t="s">
        <v>1674</v>
      </c>
      <c r="F1620" s="16" t="s">
        <v>1285</v>
      </c>
      <c r="G1620" s="16" t="s">
        <v>322</v>
      </c>
      <c r="H1620" s="16" t="s">
        <v>5760</v>
      </c>
      <c r="I1620" s="16" t="s">
        <v>121</v>
      </c>
      <c r="J1620" s="16" t="s">
        <v>1681</v>
      </c>
      <c r="K1620" s="32" t="n">
        <v>1</v>
      </c>
      <c r="L1620" s="33" t="n">
        <v>46312</v>
      </c>
      <c r="M1620" s="33" t="n">
        <v>46312</v>
      </c>
      <c r="N1620" s="16" t="s">
        <v>5876</v>
      </c>
      <c r="O1620" s="16"/>
      <c r="P1620" s="16" t="str">
        <f aca="false">IF(AND(L1620&lt;=$D$2,M1620&gt;=$C$2),"Sí","")</f>
        <v>Sí</v>
      </c>
      <c r="Q1620" s="18" t="str">
        <f aca="false">IF(COUNTIF(LOOKAHEAD!$A$5:$A$604,A1620)&gt;0,"En Lookahead",IF(P1620="Sí","INCORPORAR",""))</f>
        <v>En Lookahead</v>
      </c>
    </row>
    <row r="1621" customFormat="false" ht="15" hidden="false" customHeight="false" outlineLevel="0" collapsed="false">
      <c r="A1621" s="16" t="s">
        <v>5877</v>
      </c>
      <c r="B1621" s="16" t="n">
        <v>1616</v>
      </c>
      <c r="C1621" s="16" t="s">
        <v>5878</v>
      </c>
      <c r="D1621" s="16" t="n">
        <v>8</v>
      </c>
      <c r="E1621" s="39" t="s">
        <v>1677</v>
      </c>
      <c r="F1621" s="16" t="s">
        <v>1285</v>
      </c>
      <c r="G1621" s="16" t="s">
        <v>322</v>
      </c>
      <c r="H1621" s="16" t="s">
        <v>5760</v>
      </c>
      <c r="I1621" s="16" t="s">
        <v>121</v>
      </c>
      <c r="J1621" s="16" t="s">
        <v>1681</v>
      </c>
      <c r="K1621" s="32" t="n">
        <v>1</v>
      </c>
      <c r="L1621" s="33" t="n">
        <v>46316</v>
      </c>
      <c r="M1621" s="33" t="n">
        <v>46316</v>
      </c>
      <c r="N1621" s="16" t="s">
        <v>5879</v>
      </c>
      <c r="O1621" s="16"/>
      <c r="P1621" s="16" t="str">
        <f aca="false">IF(AND(L1621&lt;=$D$2,M1621&gt;=$C$2),"Sí","")</f>
        <v>Sí</v>
      </c>
      <c r="Q1621" s="18" t="str">
        <f aca="false">IF(COUNTIF(LOOKAHEAD!$A$5:$A$604,A1621)&gt;0,"En Lookahead",IF(P1621="Sí","INCORPORAR",""))</f>
        <v>En Lookahead</v>
      </c>
    </row>
    <row r="1622" customFormat="false" ht="15" hidden="false" customHeight="false" outlineLevel="0" collapsed="false">
      <c r="A1622" s="13" t="s">
        <v>5880</v>
      </c>
      <c r="B1622" s="13" t="n">
        <v>1617</v>
      </c>
      <c r="C1622" s="13" t="s">
        <v>5881</v>
      </c>
      <c r="D1622" s="13" t="n">
        <v>6</v>
      </c>
      <c r="E1622" s="36" t="s">
        <v>1731</v>
      </c>
      <c r="F1622" s="13" t="s">
        <v>1298</v>
      </c>
      <c r="G1622" s="13" t="s">
        <v>322</v>
      </c>
      <c r="H1622" s="13" t="s">
        <v>5760</v>
      </c>
      <c r="I1622" s="13" t="s">
        <v>121</v>
      </c>
      <c r="J1622" s="13" t="s">
        <v>1623</v>
      </c>
      <c r="K1622" s="30" t="n">
        <v>72</v>
      </c>
      <c r="L1622" s="31" t="n">
        <v>46260</v>
      </c>
      <c r="M1622" s="31" t="n">
        <v>46331</v>
      </c>
      <c r="N1622" s="13"/>
      <c r="O1622" s="13"/>
      <c r="P1622" s="13"/>
      <c r="Q1622" s="13"/>
    </row>
    <row r="1623" customFormat="false" ht="15" hidden="false" customHeight="false" outlineLevel="0" collapsed="false">
      <c r="A1623" s="13" t="s">
        <v>5882</v>
      </c>
      <c r="B1623" s="13" t="n">
        <v>1618</v>
      </c>
      <c r="C1623" s="13" t="s">
        <v>5883</v>
      </c>
      <c r="D1623" s="13" t="n">
        <v>7</v>
      </c>
      <c r="E1623" s="38" t="s">
        <v>1734</v>
      </c>
      <c r="F1623" s="13" t="s">
        <v>1298</v>
      </c>
      <c r="G1623" s="13" t="s">
        <v>322</v>
      </c>
      <c r="H1623" s="13" t="s">
        <v>5760</v>
      </c>
      <c r="I1623" s="13" t="s">
        <v>121</v>
      </c>
      <c r="J1623" s="13" t="s">
        <v>1731</v>
      </c>
      <c r="K1623" s="30" t="n">
        <v>49</v>
      </c>
      <c r="L1623" s="31" t="n">
        <v>46260</v>
      </c>
      <c r="M1623" s="31" t="n">
        <v>46308</v>
      </c>
      <c r="N1623" s="13"/>
      <c r="O1623" s="13"/>
      <c r="P1623" s="13"/>
      <c r="Q1623" s="13"/>
    </row>
    <row r="1624" customFormat="false" ht="15" hidden="false" customHeight="false" outlineLevel="0" collapsed="false">
      <c r="A1624" s="16" t="s">
        <v>5884</v>
      </c>
      <c r="B1624" s="16" t="n">
        <v>1619</v>
      </c>
      <c r="C1624" s="16" t="s">
        <v>5885</v>
      </c>
      <c r="D1624" s="16" t="n">
        <v>8</v>
      </c>
      <c r="E1624" s="39" t="s">
        <v>4127</v>
      </c>
      <c r="F1624" s="16" t="s">
        <v>1285</v>
      </c>
      <c r="G1624" s="16" t="s">
        <v>322</v>
      </c>
      <c r="H1624" s="16" t="s">
        <v>5760</v>
      </c>
      <c r="I1624" s="16" t="s">
        <v>121</v>
      </c>
      <c r="J1624" s="16" t="s">
        <v>1734</v>
      </c>
      <c r="K1624" s="32" t="n">
        <v>2</v>
      </c>
      <c r="L1624" s="33" t="n">
        <v>46303</v>
      </c>
      <c r="M1624" s="33" t="n">
        <v>46304</v>
      </c>
      <c r="N1624" s="16" t="s">
        <v>5886</v>
      </c>
      <c r="O1624" s="16"/>
      <c r="P1624" s="16" t="str">
        <f aca="false">IF(AND(L1624&lt;=$D$2,M1624&gt;=$C$2),"Sí","")</f>
        <v>Sí</v>
      </c>
      <c r="Q1624" s="18" t="str">
        <f aca="false">IF(COUNTIF(LOOKAHEAD!$A$5:$A$604,A1624)&gt;0,"En Lookahead",IF(P1624="Sí","INCORPORAR",""))</f>
        <v>En Lookahead</v>
      </c>
    </row>
    <row r="1625" customFormat="false" ht="15" hidden="false" customHeight="false" outlineLevel="0" collapsed="false">
      <c r="A1625" s="16" t="s">
        <v>5887</v>
      </c>
      <c r="B1625" s="16" t="n">
        <v>1620</v>
      </c>
      <c r="C1625" s="16" t="s">
        <v>5888</v>
      </c>
      <c r="D1625" s="16" t="n">
        <v>8</v>
      </c>
      <c r="E1625" s="39" t="s">
        <v>1741</v>
      </c>
      <c r="F1625" s="16" t="s">
        <v>1285</v>
      </c>
      <c r="G1625" s="16" t="s">
        <v>322</v>
      </c>
      <c r="H1625" s="16" t="s">
        <v>5760</v>
      </c>
      <c r="I1625" s="16" t="s">
        <v>121</v>
      </c>
      <c r="J1625" s="16" t="s">
        <v>1734</v>
      </c>
      <c r="K1625" s="32" t="n">
        <v>31</v>
      </c>
      <c r="L1625" s="33" t="n">
        <v>46272</v>
      </c>
      <c r="M1625" s="33" t="n">
        <v>46302</v>
      </c>
      <c r="N1625" s="16" t="s">
        <v>5889</v>
      </c>
      <c r="O1625" s="16"/>
      <c r="P1625" s="16" t="str">
        <f aca="false">IF(AND(L1625&lt;=$D$2,M1625&gt;=$C$2),"Sí","")</f>
        <v>Sí</v>
      </c>
      <c r="Q1625" s="18" t="str">
        <f aca="false">IF(COUNTIF(LOOKAHEAD!$A$5:$A$604,A1625)&gt;0,"En Lookahead",IF(P1625="Sí","INCORPORAR",""))</f>
        <v>En Lookahead</v>
      </c>
    </row>
    <row r="1626" customFormat="false" ht="15" hidden="false" customHeight="false" outlineLevel="0" collapsed="false">
      <c r="A1626" s="16" t="s">
        <v>5890</v>
      </c>
      <c r="B1626" s="16" t="n">
        <v>1621</v>
      </c>
      <c r="C1626" s="16" t="s">
        <v>5891</v>
      </c>
      <c r="D1626" s="16" t="n">
        <v>8</v>
      </c>
      <c r="E1626" s="39" t="s">
        <v>1745</v>
      </c>
      <c r="F1626" s="16" t="s">
        <v>1285</v>
      </c>
      <c r="G1626" s="16" t="s">
        <v>322</v>
      </c>
      <c r="H1626" s="16" t="s">
        <v>5760</v>
      </c>
      <c r="I1626" s="16" t="s">
        <v>121</v>
      </c>
      <c r="J1626" s="16" t="s">
        <v>1734</v>
      </c>
      <c r="K1626" s="32" t="n">
        <v>12</v>
      </c>
      <c r="L1626" s="33" t="n">
        <v>46260</v>
      </c>
      <c r="M1626" s="33" t="n">
        <v>46271</v>
      </c>
      <c r="N1626" s="16" t="s">
        <v>5892</v>
      </c>
      <c r="O1626" s="16"/>
      <c r="P1626" s="16" t="str">
        <f aca="false">IF(AND(L1626&lt;=$D$2,M1626&gt;=$C$2),"Sí","")</f>
        <v/>
      </c>
      <c r="Q1626" s="18" t="str">
        <f aca="false">IF(COUNTIF(LOOKAHEAD!$A$5:$A$604,A1626)&gt;0,"En Lookahead",IF(P1626="Sí","INCORPORAR",""))</f>
        <v/>
      </c>
    </row>
    <row r="1627" customFormat="false" ht="15" hidden="false" customHeight="false" outlineLevel="0" collapsed="false">
      <c r="A1627" s="16" t="s">
        <v>5893</v>
      </c>
      <c r="B1627" s="16" t="n">
        <v>1622</v>
      </c>
      <c r="C1627" s="16" t="s">
        <v>5894</v>
      </c>
      <c r="D1627" s="16" t="n">
        <v>8</v>
      </c>
      <c r="E1627" s="39" t="s">
        <v>1677</v>
      </c>
      <c r="F1627" s="16" t="s">
        <v>1285</v>
      </c>
      <c r="G1627" s="16" t="s">
        <v>322</v>
      </c>
      <c r="H1627" s="16" t="s">
        <v>5760</v>
      </c>
      <c r="I1627" s="16" t="s">
        <v>121</v>
      </c>
      <c r="J1627" s="16" t="s">
        <v>1734</v>
      </c>
      <c r="K1627" s="32" t="n">
        <v>4</v>
      </c>
      <c r="L1627" s="33" t="n">
        <v>46305</v>
      </c>
      <c r="M1627" s="33" t="n">
        <v>46308</v>
      </c>
      <c r="N1627" s="16" t="s">
        <v>5895</v>
      </c>
      <c r="O1627" s="16"/>
      <c r="P1627" s="16" t="str">
        <f aca="false">IF(AND(L1627&lt;=$D$2,M1627&gt;=$C$2),"Sí","")</f>
        <v>Sí</v>
      </c>
      <c r="Q1627" s="18" t="str">
        <f aca="false">IF(COUNTIF(LOOKAHEAD!$A$5:$A$604,A1627)&gt;0,"En Lookahead",IF(P1627="Sí","INCORPORAR",""))</f>
        <v>En Lookahead</v>
      </c>
    </row>
    <row r="1628" customFormat="false" ht="15" hidden="false" customHeight="false" outlineLevel="0" collapsed="false">
      <c r="A1628" s="13" t="s">
        <v>5896</v>
      </c>
      <c r="B1628" s="13" t="n">
        <v>1623</v>
      </c>
      <c r="C1628" s="13" t="s">
        <v>5897</v>
      </c>
      <c r="D1628" s="13" t="n">
        <v>7</v>
      </c>
      <c r="E1628" s="38" t="s">
        <v>1752</v>
      </c>
      <c r="F1628" s="13" t="s">
        <v>1298</v>
      </c>
      <c r="G1628" s="13" t="s">
        <v>322</v>
      </c>
      <c r="H1628" s="13" t="s">
        <v>5760</v>
      </c>
      <c r="I1628" s="13" t="s">
        <v>121</v>
      </c>
      <c r="J1628" s="13" t="s">
        <v>1731</v>
      </c>
      <c r="K1628" s="30" t="n">
        <v>20</v>
      </c>
      <c r="L1628" s="31" t="n">
        <v>46312</v>
      </c>
      <c r="M1628" s="31" t="n">
        <v>46331</v>
      </c>
      <c r="N1628" s="13"/>
      <c r="O1628" s="13"/>
      <c r="P1628" s="13"/>
      <c r="Q1628" s="13"/>
    </row>
    <row r="1629" customFormat="false" ht="15" hidden="false" customHeight="false" outlineLevel="0" collapsed="false">
      <c r="A1629" s="16" t="s">
        <v>5898</v>
      </c>
      <c r="B1629" s="16" t="n">
        <v>1624</v>
      </c>
      <c r="C1629" s="16" t="s">
        <v>5899</v>
      </c>
      <c r="D1629" s="16" t="n">
        <v>8</v>
      </c>
      <c r="E1629" s="39" t="s">
        <v>1755</v>
      </c>
      <c r="F1629" s="16" t="s">
        <v>1285</v>
      </c>
      <c r="G1629" s="16" t="s">
        <v>322</v>
      </c>
      <c r="H1629" s="16" t="s">
        <v>5760</v>
      </c>
      <c r="I1629" s="16" t="s">
        <v>121</v>
      </c>
      <c r="J1629" s="16" t="s">
        <v>1752</v>
      </c>
      <c r="K1629" s="32" t="n">
        <v>1</v>
      </c>
      <c r="L1629" s="33" t="n">
        <v>46329</v>
      </c>
      <c r="M1629" s="33" t="n">
        <v>46329</v>
      </c>
      <c r="N1629" s="16" t="s">
        <v>5900</v>
      </c>
      <c r="O1629" s="16"/>
      <c r="P1629" s="16" t="str">
        <f aca="false">IF(AND(L1629&lt;=$D$2,M1629&gt;=$C$2),"Sí","")</f>
        <v>Sí</v>
      </c>
      <c r="Q1629" s="18" t="str">
        <f aca="false">IF(COUNTIF(LOOKAHEAD!$A$5:$A$604,A1629)&gt;0,"En Lookahead",IF(P1629="Sí","INCORPORAR",""))</f>
        <v>En Lookahead</v>
      </c>
    </row>
    <row r="1630" customFormat="false" ht="15" hidden="false" customHeight="false" outlineLevel="0" collapsed="false">
      <c r="A1630" s="16" t="s">
        <v>5901</v>
      </c>
      <c r="B1630" s="16" t="n">
        <v>1625</v>
      </c>
      <c r="C1630" s="16" t="s">
        <v>5902</v>
      </c>
      <c r="D1630" s="16" t="n">
        <v>8</v>
      </c>
      <c r="E1630" s="39" t="s">
        <v>1759</v>
      </c>
      <c r="F1630" s="16" t="s">
        <v>1285</v>
      </c>
      <c r="G1630" s="16" t="s">
        <v>322</v>
      </c>
      <c r="H1630" s="16" t="s">
        <v>5760</v>
      </c>
      <c r="I1630" s="16" t="s">
        <v>121</v>
      </c>
      <c r="J1630" s="16" t="s">
        <v>1752</v>
      </c>
      <c r="K1630" s="32" t="n">
        <v>11</v>
      </c>
      <c r="L1630" s="33" t="n">
        <v>46318</v>
      </c>
      <c r="M1630" s="33" t="n">
        <v>46328</v>
      </c>
      <c r="N1630" s="16" t="s">
        <v>5903</v>
      </c>
      <c r="O1630" s="16"/>
      <c r="P1630" s="16" t="str">
        <f aca="false">IF(AND(L1630&lt;=$D$2,M1630&gt;=$C$2),"Sí","")</f>
        <v>Sí</v>
      </c>
      <c r="Q1630" s="18" t="str">
        <f aca="false">IF(COUNTIF(LOOKAHEAD!$A$5:$A$604,A1630)&gt;0,"En Lookahead",IF(P1630="Sí","INCORPORAR",""))</f>
        <v>En Lookahead</v>
      </c>
    </row>
    <row r="1631" customFormat="false" ht="15" hidden="false" customHeight="false" outlineLevel="0" collapsed="false">
      <c r="A1631" s="16" t="s">
        <v>5904</v>
      </c>
      <c r="B1631" s="16" t="n">
        <v>1626</v>
      </c>
      <c r="C1631" s="16" t="s">
        <v>5905</v>
      </c>
      <c r="D1631" s="16" t="n">
        <v>8</v>
      </c>
      <c r="E1631" s="39" t="s">
        <v>1745</v>
      </c>
      <c r="F1631" s="16" t="s">
        <v>1285</v>
      </c>
      <c r="G1631" s="16" t="s">
        <v>322</v>
      </c>
      <c r="H1631" s="16" t="s">
        <v>5760</v>
      </c>
      <c r="I1631" s="16" t="s">
        <v>121</v>
      </c>
      <c r="J1631" s="16" t="s">
        <v>1752</v>
      </c>
      <c r="K1631" s="32" t="n">
        <v>6</v>
      </c>
      <c r="L1631" s="33" t="n">
        <v>46312</v>
      </c>
      <c r="M1631" s="33" t="n">
        <v>46317</v>
      </c>
      <c r="N1631" s="16" t="s">
        <v>5906</v>
      </c>
      <c r="O1631" s="16"/>
      <c r="P1631" s="16" t="str">
        <f aca="false">IF(AND(L1631&lt;=$D$2,M1631&gt;=$C$2),"Sí","")</f>
        <v>Sí</v>
      </c>
      <c r="Q1631" s="18" t="str">
        <f aca="false">IF(COUNTIF(LOOKAHEAD!$A$5:$A$604,A1631)&gt;0,"En Lookahead",IF(P1631="Sí","INCORPORAR",""))</f>
        <v>En Lookahead</v>
      </c>
    </row>
    <row r="1632" customFormat="false" ht="15" hidden="false" customHeight="false" outlineLevel="0" collapsed="false">
      <c r="A1632" s="16" t="s">
        <v>5907</v>
      </c>
      <c r="B1632" s="16" t="n">
        <v>1627</v>
      </c>
      <c r="C1632" s="16" t="s">
        <v>5908</v>
      </c>
      <c r="D1632" s="16" t="n">
        <v>8</v>
      </c>
      <c r="E1632" s="39" t="s">
        <v>1677</v>
      </c>
      <c r="F1632" s="16" t="s">
        <v>1285</v>
      </c>
      <c r="G1632" s="16" t="s">
        <v>322</v>
      </c>
      <c r="H1632" s="16" t="s">
        <v>5760</v>
      </c>
      <c r="I1632" s="16" t="s">
        <v>121</v>
      </c>
      <c r="J1632" s="16" t="s">
        <v>1752</v>
      </c>
      <c r="K1632" s="32" t="n">
        <v>2</v>
      </c>
      <c r="L1632" s="33" t="n">
        <v>46330</v>
      </c>
      <c r="M1632" s="33" t="n">
        <v>46331</v>
      </c>
      <c r="N1632" s="16" t="s">
        <v>5909</v>
      </c>
      <c r="O1632" s="16"/>
      <c r="P1632" s="16" t="str">
        <f aca="false">IF(AND(L1632&lt;=$D$2,M1632&gt;=$C$2),"Sí","")</f>
        <v>Sí</v>
      </c>
      <c r="Q1632" s="18" t="str">
        <f aca="false">IF(COUNTIF(LOOKAHEAD!$A$5:$A$604,A1632)&gt;0,"En Lookahead",IF(P1632="Sí","INCORPORAR",""))</f>
        <v>En Lookahead</v>
      </c>
    </row>
    <row r="1633" customFormat="false" ht="15" hidden="false" customHeight="false" outlineLevel="0" collapsed="false">
      <c r="A1633" s="13" t="s">
        <v>5910</v>
      </c>
      <c r="B1633" s="13" t="n">
        <v>1628</v>
      </c>
      <c r="C1633" s="13" t="s">
        <v>5911</v>
      </c>
      <c r="D1633" s="13" t="n">
        <v>6</v>
      </c>
      <c r="E1633" s="36" t="s">
        <v>1786</v>
      </c>
      <c r="F1633" s="13" t="s">
        <v>1298</v>
      </c>
      <c r="G1633" s="13" t="s">
        <v>322</v>
      </c>
      <c r="H1633" s="13" t="s">
        <v>5760</v>
      </c>
      <c r="I1633" s="13" t="s">
        <v>121</v>
      </c>
      <c r="J1633" s="13" t="s">
        <v>1623</v>
      </c>
      <c r="K1633" s="30" t="n">
        <v>33</v>
      </c>
      <c r="L1633" s="31" t="n">
        <v>46305</v>
      </c>
      <c r="M1633" s="31" t="n">
        <v>46337</v>
      </c>
      <c r="N1633" s="13"/>
      <c r="O1633" s="13"/>
      <c r="P1633" s="13"/>
      <c r="Q1633" s="13"/>
    </row>
    <row r="1634" customFormat="false" ht="15" hidden="false" customHeight="false" outlineLevel="0" collapsed="false">
      <c r="A1634" s="13" t="s">
        <v>5912</v>
      </c>
      <c r="B1634" s="13" t="n">
        <v>1629</v>
      </c>
      <c r="C1634" s="13" t="s">
        <v>5913</v>
      </c>
      <c r="D1634" s="13" t="n">
        <v>7</v>
      </c>
      <c r="E1634" s="38" t="s">
        <v>1789</v>
      </c>
      <c r="F1634" s="13" t="s">
        <v>1298</v>
      </c>
      <c r="G1634" s="13" t="s">
        <v>322</v>
      </c>
      <c r="H1634" s="13" t="s">
        <v>5760</v>
      </c>
      <c r="I1634" s="13" t="s">
        <v>121</v>
      </c>
      <c r="J1634" s="13" t="s">
        <v>1786</v>
      </c>
      <c r="K1634" s="30" t="n">
        <v>8</v>
      </c>
      <c r="L1634" s="31" t="n">
        <v>46305</v>
      </c>
      <c r="M1634" s="31" t="n">
        <v>46312</v>
      </c>
      <c r="N1634" s="13"/>
      <c r="O1634" s="13"/>
      <c r="P1634" s="13"/>
      <c r="Q1634" s="13"/>
    </row>
    <row r="1635" customFormat="false" ht="15" hidden="false" customHeight="false" outlineLevel="0" collapsed="false">
      <c r="A1635" s="16" t="s">
        <v>5914</v>
      </c>
      <c r="B1635" s="16" t="n">
        <v>1630</v>
      </c>
      <c r="C1635" s="16" t="s">
        <v>5915</v>
      </c>
      <c r="D1635" s="16" t="n">
        <v>8</v>
      </c>
      <c r="E1635" s="39" t="s">
        <v>1792</v>
      </c>
      <c r="F1635" s="16" t="s">
        <v>1285</v>
      </c>
      <c r="G1635" s="16" t="s">
        <v>322</v>
      </c>
      <c r="H1635" s="16" t="s">
        <v>5760</v>
      </c>
      <c r="I1635" s="16" t="s">
        <v>121</v>
      </c>
      <c r="J1635" s="16" t="s">
        <v>1789</v>
      </c>
      <c r="K1635" s="32" t="n">
        <v>1</v>
      </c>
      <c r="L1635" s="33" t="n">
        <v>46311</v>
      </c>
      <c r="M1635" s="33" t="n">
        <v>46311</v>
      </c>
      <c r="N1635" s="16" t="s">
        <v>5916</v>
      </c>
      <c r="O1635" s="16"/>
      <c r="P1635" s="16" t="str">
        <f aca="false">IF(AND(L1635&lt;=$D$2,M1635&gt;=$C$2),"Sí","")</f>
        <v>Sí</v>
      </c>
      <c r="Q1635" s="18" t="str">
        <f aca="false">IF(COUNTIF(LOOKAHEAD!$A$5:$A$604,A1635)&gt;0,"En Lookahead",IF(P1635="Sí","INCORPORAR",""))</f>
        <v>En Lookahead</v>
      </c>
    </row>
    <row r="1636" customFormat="false" ht="15" hidden="false" customHeight="false" outlineLevel="0" collapsed="false">
      <c r="A1636" s="16" t="s">
        <v>5917</v>
      </c>
      <c r="B1636" s="16" t="n">
        <v>1631</v>
      </c>
      <c r="C1636" s="16" t="s">
        <v>5918</v>
      </c>
      <c r="D1636" s="16" t="n">
        <v>8</v>
      </c>
      <c r="E1636" s="39" t="s">
        <v>1796</v>
      </c>
      <c r="F1636" s="16" t="s">
        <v>1285</v>
      </c>
      <c r="G1636" s="16" t="s">
        <v>322</v>
      </c>
      <c r="H1636" s="16" t="s">
        <v>5760</v>
      </c>
      <c r="I1636" s="16" t="s">
        <v>121</v>
      </c>
      <c r="J1636" s="16" t="s">
        <v>1789</v>
      </c>
      <c r="K1636" s="32" t="n">
        <v>3</v>
      </c>
      <c r="L1636" s="33" t="n">
        <v>46308</v>
      </c>
      <c r="M1636" s="33" t="n">
        <v>46310</v>
      </c>
      <c r="N1636" s="16" t="s">
        <v>5919</v>
      </c>
      <c r="O1636" s="16"/>
      <c r="P1636" s="16" t="str">
        <f aca="false">IF(AND(L1636&lt;=$D$2,M1636&gt;=$C$2),"Sí","")</f>
        <v>Sí</v>
      </c>
      <c r="Q1636" s="18" t="str">
        <f aca="false">IF(COUNTIF(LOOKAHEAD!$A$5:$A$604,A1636)&gt;0,"En Lookahead",IF(P1636="Sí","INCORPORAR",""))</f>
        <v>En Lookahead</v>
      </c>
    </row>
    <row r="1637" customFormat="false" ht="15" hidden="false" customHeight="false" outlineLevel="0" collapsed="false">
      <c r="A1637" s="16" t="s">
        <v>5920</v>
      </c>
      <c r="B1637" s="16" t="n">
        <v>1632</v>
      </c>
      <c r="C1637" s="16" t="s">
        <v>5921</v>
      </c>
      <c r="D1637" s="16" t="n">
        <v>8</v>
      </c>
      <c r="E1637" s="39" t="s">
        <v>1800</v>
      </c>
      <c r="F1637" s="16" t="s">
        <v>1285</v>
      </c>
      <c r="G1637" s="16" t="s">
        <v>322</v>
      </c>
      <c r="H1637" s="16" t="s">
        <v>5760</v>
      </c>
      <c r="I1637" s="16" t="s">
        <v>121</v>
      </c>
      <c r="J1637" s="16" t="s">
        <v>1789</v>
      </c>
      <c r="K1637" s="32" t="n">
        <v>3</v>
      </c>
      <c r="L1637" s="33" t="n">
        <v>46305</v>
      </c>
      <c r="M1637" s="33" t="n">
        <v>46307</v>
      </c>
      <c r="N1637" s="16" t="s">
        <v>5922</v>
      </c>
      <c r="O1637" s="16"/>
      <c r="P1637" s="16" t="str">
        <f aca="false">IF(AND(L1637&lt;=$D$2,M1637&gt;=$C$2),"Sí","")</f>
        <v>Sí</v>
      </c>
      <c r="Q1637" s="18" t="str">
        <f aca="false">IF(COUNTIF(LOOKAHEAD!$A$5:$A$604,A1637)&gt;0,"En Lookahead",IF(P1637="Sí","INCORPORAR",""))</f>
        <v>En Lookahead</v>
      </c>
    </row>
    <row r="1638" customFormat="false" ht="15" hidden="false" customHeight="false" outlineLevel="0" collapsed="false">
      <c r="A1638" s="16" t="s">
        <v>5923</v>
      </c>
      <c r="B1638" s="16" t="n">
        <v>1633</v>
      </c>
      <c r="C1638" s="16" t="s">
        <v>5924</v>
      </c>
      <c r="D1638" s="16" t="n">
        <v>8</v>
      </c>
      <c r="E1638" s="39" t="s">
        <v>1602</v>
      </c>
      <c r="F1638" s="16" t="s">
        <v>1285</v>
      </c>
      <c r="G1638" s="16" t="s">
        <v>322</v>
      </c>
      <c r="H1638" s="16" t="s">
        <v>5760</v>
      </c>
      <c r="I1638" s="16" t="s">
        <v>121</v>
      </c>
      <c r="J1638" s="16" t="s">
        <v>1789</v>
      </c>
      <c r="K1638" s="32" t="n">
        <v>1</v>
      </c>
      <c r="L1638" s="33" t="n">
        <v>46312</v>
      </c>
      <c r="M1638" s="33" t="n">
        <v>46312</v>
      </c>
      <c r="N1638" s="16" t="s">
        <v>5876</v>
      </c>
      <c r="O1638" s="16"/>
      <c r="P1638" s="16" t="str">
        <f aca="false">IF(AND(L1638&lt;=$D$2,M1638&gt;=$C$2),"Sí","")</f>
        <v>Sí</v>
      </c>
      <c r="Q1638" s="18" t="str">
        <f aca="false">IF(COUNTIF(LOOKAHEAD!$A$5:$A$604,A1638)&gt;0,"En Lookahead",IF(P1638="Sí","INCORPORAR",""))</f>
        <v>En Lookahead</v>
      </c>
    </row>
    <row r="1639" customFormat="false" ht="15" hidden="false" customHeight="false" outlineLevel="0" collapsed="false">
      <c r="A1639" s="13" t="s">
        <v>5925</v>
      </c>
      <c r="B1639" s="13" t="n">
        <v>1634</v>
      </c>
      <c r="C1639" s="13" t="s">
        <v>5926</v>
      </c>
      <c r="D1639" s="13" t="n">
        <v>7</v>
      </c>
      <c r="E1639" s="38" t="s">
        <v>1806</v>
      </c>
      <c r="F1639" s="13" t="s">
        <v>1298</v>
      </c>
      <c r="G1639" s="13" t="s">
        <v>322</v>
      </c>
      <c r="H1639" s="13" t="s">
        <v>5760</v>
      </c>
      <c r="I1639" s="13" t="s">
        <v>121</v>
      </c>
      <c r="J1639" s="13" t="s">
        <v>1786</v>
      </c>
      <c r="K1639" s="30" t="n">
        <v>8</v>
      </c>
      <c r="L1639" s="31" t="n">
        <v>46330</v>
      </c>
      <c r="M1639" s="31" t="n">
        <v>46337</v>
      </c>
      <c r="N1639" s="13"/>
      <c r="O1639" s="13"/>
      <c r="P1639" s="13"/>
      <c r="Q1639" s="13"/>
    </row>
    <row r="1640" customFormat="false" ht="15" hidden="false" customHeight="false" outlineLevel="0" collapsed="false">
      <c r="A1640" s="16" t="s">
        <v>5927</v>
      </c>
      <c r="B1640" s="16" t="n">
        <v>1635</v>
      </c>
      <c r="C1640" s="16" t="s">
        <v>5928</v>
      </c>
      <c r="D1640" s="16" t="n">
        <v>8</v>
      </c>
      <c r="E1640" s="39" t="s">
        <v>1809</v>
      </c>
      <c r="F1640" s="16" t="s">
        <v>1285</v>
      </c>
      <c r="G1640" s="16" t="s">
        <v>322</v>
      </c>
      <c r="H1640" s="16" t="s">
        <v>5760</v>
      </c>
      <c r="I1640" s="16" t="s">
        <v>121</v>
      </c>
      <c r="J1640" s="16" t="s">
        <v>1806</v>
      </c>
      <c r="K1640" s="32" t="n">
        <v>1</v>
      </c>
      <c r="L1640" s="33" t="n">
        <v>46336</v>
      </c>
      <c r="M1640" s="33" t="n">
        <v>46336</v>
      </c>
      <c r="N1640" s="16" t="s">
        <v>5929</v>
      </c>
      <c r="O1640" s="16"/>
      <c r="P1640" s="16" t="str">
        <f aca="false">IF(AND(L1640&lt;=$D$2,M1640&gt;=$C$2),"Sí","")</f>
        <v>Sí</v>
      </c>
      <c r="Q1640" s="18" t="str">
        <f aca="false">IF(COUNTIF(LOOKAHEAD!$A$5:$A$604,A1640)&gt;0,"En Lookahead",IF(P1640="Sí","INCORPORAR",""))</f>
        <v>En Lookahead</v>
      </c>
    </row>
    <row r="1641" customFormat="false" ht="15" hidden="false" customHeight="false" outlineLevel="0" collapsed="false">
      <c r="A1641" s="16" t="s">
        <v>5930</v>
      </c>
      <c r="B1641" s="16" t="n">
        <v>1636</v>
      </c>
      <c r="C1641" s="16" t="s">
        <v>5931</v>
      </c>
      <c r="D1641" s="16" t="n">
        <v>8</v>
      </c>
      <c r="E1641" s="39" t="s">
        <v>1813</v>
      </c>
      <c r="F1641" s="16" t="s">
        <v>1285</v>
      </c>
      <c r="G1641" s="16" t="s">
        <v>322</v>
      </c>
      <c r="H1641" s="16" t="s">
        <v>5760</v>
      </c>
      <c r="I1641" s="16" t="s">
        <v>121</v>
      </c>
      <c r="J1641" s="16" t="s">
        <v>1806</v>
      </c>
      <c r="K1641" s="32" t="n">
        <v>3</v>
      </c>
      <c r="L1641" s="33" t="n">
        <v>46333</v>
      </c>
      <c r="M1641" s="33" t="n">
        <v>46335</v>
      </c>
      <c r="N1641" s="16" t="s">
        <v>5932</v>
      </c>
      <c r="O1641" s="16"/>
      <c r="P1641" s="16" t="str">
        <f aca="false">IF(AND(L1641&lt;=$D$2,M1641&gt;=$C$2),"Sí","")</f>
        <v>Sí</v>
      </c>
      <c r="Q1641" s="18" t="str">
        <f aca="false">IF(COUNTIF(LOOKAHEAD!$A$5:$A$604,A1641)&gt;0,"En Lookahead",IF(P1641="Sí","INCORPORAR",""))</f>
        <v>En Lookahead</v>
      </c>
    </row>
    <row r="1642" customFormat="false" ht="15" hidden="false" customHeight="false" outlineLevel="0" collapsed="false">
      <c r="A1642" s="16" t="s">
        <v>5933</v>
      </c>
      <c r="B1642" s="16" t="n">
        <v>1637</v>
      </c>
      <c r="C1642" s="16" t="s">
        <v>5934</v>
      </c>
      <c r="D1642" s="16" t="n">
        <v>8</v>
      </c>
      <c r="E1642" s="39" t="s">
        <v>1800</v>
      </c>
      <c r="F1642" s="16" t="s">
        <v>1285</v>
      </c>
      <c r="G1642" s="16" t="s">
        <v>322</v>
      </c>
      <c r="H1642" s="16" t="s">
        <v>5760</v>
      </c>
      <c r="I1642" s="16" t="s">
        <v>121</v>
      </c>
      <c r="J1642" s="16" t="s">
        <v>1806</v>
      </c>
      <c r="K1642" s="32" t="n">
        <v>3</v>
      </c>
      <c r="L1642" s="33" t="n">
        <v>46330</v>
      </c>
      <c r="M1642" s="33" t="n">
        <v>46332</v>
      </c>
      <c r="N1642" s="16" t="s">
        <v>5935</v>
      </c>
      <c r="O1642" s="16"/>
      <c r="P1642" s="16" t="str">
        <f aca="false">IF(AND(L1642&lt;=$D$2,M1642&gt;=$C$2),"Sí","")</f>
        <v>Sí</v>
      </c>
      <c r="Q1642" s="18" t="str">
        <f aca="false">IF(COUNTIF(LOOKAHEAD!$A$5:$A$604,A1642)&gt;0,"En Lookahead",IF(P1642="Sí","INCORPORAR",""))</f>
        <v>En Lookahead</v>
      </c>
    </row>
    <row r="1643" customFormat="false" ht="15" hidden="false" customHeight="false" outlineLevel="0" collapsed="false">
      <c r="A1643" s="16" t="s">
        <v>5936</v>
      </c>
      <c r="B1643" s="16" t="n">
        <v>1638</v>
      </c>
      <c r="C1643" s="16" t="s">
        <v>5937</v>
      </c>
      <c r="D1643" s="16" t="n">
        <v>8</v>
      </c>
      <c r="E1643" s="39" t="s">
        <v>1602</v>
      </c>
      <c r="F1643" s="16" t="s">
        <v>1285</v>
      </c>
      <c r="G1643" s="16" t="s">
        <v>322</v>
      </c>
      <c r="H1643" s="16" t="s">
        <v>5760</v>
      </c>
      <c r="I1643" s="16" t="s">
        <v>121</v>
      </c>
      <c r="J1643" s="16" t="s">
        <v>1806</v>
      </c>
      <c r="K1643" s="32" t="n">
        <v>1</v>
      </c>
      <c r="L1643" s="33" t="n">
        <v>46337</v>
      </c>
      <c r="M1643" s="33" t="n">
        <v>46337</v>
      </c>
      <c r="N1643" s="16" t="s">
        <v>5938</v>
      </c>
      <c r="O1643" s="16"/>
      <c r="P1643" s="16" t="str">
        <f aca="false">IF(AND(L1643&lt;=$D$2,M1643&gt;=$C$2),"Sí","")</f>
        <v>Sí</v>
      </c>
      <c r="Q1643" s="18" t="str">
        <f aca="false">IF(COUNTIF(LOOKAHEAD!$A$5:$A$604,A1643)&gt;0,"En Lookahead",IF(P1643="Sí","INCORPORAR",""))</f>
        <v>En Lookahead</v>
      </c>
    </row>
    <row r="1644" customFormat="false" ht="15" hidden="false" customHeight="false" outlineLevel="0" collapsed="false">
      <c r="A1644" s="13" t="s">
        <v>5939</v>
      </c>
      <c r="B1644" s="13" t="n">
        <v>1639</v>
      </c>
      <c r="C1644" s="13" t="s">
        <v>5940</v>
      </c>
      <c r="D1644" s="13" t="n">
        <v>6</v>
      </c>
      <c r="E1644" s="36" t="s">
        <v>1853</v>
      </c>
      <c r="F1644" s="13" t="s">
        <v>1298</v>
      </c>
      <c r="G1644" s="13" t="s">
        <v>322</v>
      </c>
      <c r="H1644" s="13" t="s">
        <v>5760</v>
      </c>
      <c r="I1644" s="13" t="s">
        <v>121</v>
      </c>
      <c r="J1644" s="13" t="s">
        <v>1623</v>
      </c>
      <c r="K1644" s="30" t="n">
        <v>34</v>
      </c>
      <c r="L1644" s="31" t="n">
        <v>46308</v>
      </c>
      <c r="M1644" s="31" t="n">
        <v>46341</v>
      </c>
      <c r="N1644" s="13"/>
      <c r="O1644" s="13"/>
      <c r="P1644" s="13"/>
      <c r="Q1644" s="13"/>
    </row>
    <row r="1645" customFormat="false" ht="15" hidden="false" customHeight="false" outlineLevel="0" collapsed="false">
      <c r="A1645" s="13" t="s">
        <v>5941</v>
      </c>
      <c r="B1645" s="13" t="n">
        <v>1640</v>
      </c>
      <c r="C1645" s="13" t="s">
        <v>5942</v>
      </c>
      <c r="D1645" s="13" t="n">
        <v>7</v>
      </c>
      <c r="E1645" s="38" t="s">
        <v>1856</v>
      </c>
      <c r="F1645" s="13" t="s">
        <v>1298</v>
      </c>
      <c r="G1645" s="13" t="s">
        <v>322</v>
      </c>
      <c r="H1645" s="13" t="s">
        <v>5760</v>
      </c>
      <c r="I1645" s="13" t="s">
        <v>121</v>
      </c>
      <c r="J1645" s="13" t="s">
        <v>1853</v>
      </c>
      <c r="K1645" s="30" t="n">
        <v>6</v>
      </c>
      <c r="L1645" s="31" t="n">
        <v>46308</v>
      </c>
      <c r="M1645" s="31" t="n">
        <v>46313</v>
      </c>
      <c r="N1645" s="13"/>
      <c r="O1645" s="13"/>
      <c r="P1645" s="13"/>
      <c r="Q1645" s="13"/>
    </row>
    <row r="1646" customFormat="false" ht="15" hidden="false" customHeight="false" outlineLevel="0" collapsed="false">
      <c r="A1646" s="16" t="s">
        <v>5943</v>
      </c>
      <c r="B1646" s="16" t="n">
        <v>1641</v>
      </c>
      <c r="C1646" s="16" t="s">
        <v>5944</v>
      </c>
      <c r="D1646" s="16" t="n">
        <v>8</v>
      </c>
      <c r="E1646" s="39" t="s">
        <v>1859</v>
      </c>
      <c r="F1646" s="16" t="s">
        <v>1285</v>
      </c>
      <c r="G1646" s="16" t="s">
        <v>322</v>
      </c>
      <c r="H1646" s="16" t="s">
        <v>5760</v>
      </c>
      <c r="I1646" s="16" t="s">
        <v>121</v>
      </c>
      <c r="J1646" s="16" t="s">
        <v>1856</v>
      </c>
      <c r="K1646" s="32" t="n">
        <v>1</v>
      </c>
      <c r="L1646" s="33" t="n">
        <v>46312</v>
      </c>
      <c r="M1646" s="33" t="n">
        <v>46312</v>
      </c>
      <c r="N1646" s="16" t="s">
        <v>5945</v>
      </c>
      <c r="O1646" s="16"/>
      <c r="P1646" s="16" t="str">
        <f aca="false">IF(AND(L1646&lt;=$D$2,M1646&gt;=$C$2),"Sí","")</f>
        <v>Sí</v>
      </c>
      <c r="Q1646" s="18" t="str">
        <f aca="false">IF(COUNTIF(LOOKAHEAD!$A$5:$A$604,A1646)&gt;0,"En Lookahead",IF(P1646="Sí","INCORPORAR",""))</f>
        <v>En Lookahead</v>
      </c>
    </row>
    <row r="1647" customFormat="false" ht="15" hidden="false" customHeight="false" outlineLevel="0" collapsed="false">
      <c r="A1647" s="16" t="s">
        <v>5946</v>
      </c>
      <c r="B1647" s="16" t="n">
        <v>1642</v>
      </c>
      <c r="C1647" s="16" t="s">
        <v>5947</v>
      </c>
      <c r="D1647" s="16" t="n">
        <v>8</v>
      </c>
      <c r="E1647" s="39" t="s">
        <v>1863</v>
      </c>
      <c r="F1647" s="16" t="s">
        <v>1285</v>
      </c>
      <c r="G1647" s="16" t="s">
        <v>322</v>
      </c>
      <c r="H1647" s="16" t="s">
        <v>5760</v>
      </c>
      <c r="I1647" s="16" t="s">
        <v>121</v>
      </c>
      <c r="J1647" s="16" t="s">
        <v>1856</v>
      </c>
      <c r="K1647" s="32" t="n">
        <v>2</v>
      </c>
      <c r="L1647" s="33" t="n">
        <v>46308</v>
      </c>
      <c r="M1647" s="33" t="n">
        <v>46309</v>
      </c>
      <c r="N1647" s="16" t="s">
        <v>5948</v>
      </c>
      <c r="O1647" s="16"/>
      <c r="P1647" s="16" t="str">
        <f aca="false">IF(AND(L1647&lt;=$D$2,M1647&gt;=$C$2),"Sí","")</f>
        <v>Sí</v>
      </c>
      <c r="Q1647" s="18" t="str">
        <f aca="false">IF(COUNTIF(LOOKAHEAD!$A$5:$A$604,A1647)&gt;0,"En Lookahead",IF(P1647="Sí","INCORPORAR",""))</f>
        <v>En Lookahead</v>
      </c>
    </row>
    <row r="1648" customFormat="false" ht="15" hidden="false" customHeight="false" outlineLevel="0" collapsed="false">
      <c r="A1648" s="16" t="s">
        <v>5949</v>
      </c>
      <c r="B1648" s="16" t="n">
        <v>1643</v>
      </c>
      <c r="C1648" s="16" t="s">
        <v>5950</v>
      </c>
      <c r="D1648" s="16" t="n">
        <v>8</v>
      </c>
      <c r="E1648" s="39" t="s">
        <v>1867</v>
      </c>
      <c r="F1648" s="16" t="s">
        <v>1285</v>
      </c>
      <c r="G1648" s="16" t="s">
        <v>322</v>
      </c>
      <c r="H1648" s="16" t="s">
        <v>5760</v>
      </c>
      <c r="I1648" s="16" t="s">
        <v>121</v>
      </c>
      <c r="J1648" s="16" t="s">
        <v>1856</v>
      </c>
      <c r="K1648" s="32" t="n">
        <v>1</v>
      </c>
      <c r="L1648" s="33" t="n">
        <v>46311</v>
      </c>
      <c r="M1648" s="33" t="n">
        <v>46311</v>
      </c>
      <c r="N1648" s="16" t="s">
        <v>5951</v>
      </c>
      <c r="O1648" s="16"/>
      <c r="P1648" s="16" t="str">
        <f aca="false">IF(AND(L1648&lt;=$D$2,M1648&gt;=$C$2),"Sí","")</f>
        <v>Sí</v>
      </c>
      <c r="Q1648" s="18" t="str">
        <f aca="false">IF(COUNTIF(LOOKAHEAD!$A$5:$A$604,A1648)&gt;0,"En Lookahead",IF(P1648="Sí","INCORPORAR",""))</f>
        <v>En Lookahead</v>
      </c>
    </row>
    <row r="1649" customFormat="false" ht="15" hidden="false" customHeight="false" outlineLevel="0" collapsed="false">
      <c r="A1649" s="16" t="s">
        <v>5952</v>
      </c>
      <c r="B1649" s="16" t="n">
        <v>1644</v>
      </c>
      <c r="C1649" s="16" t="s">
        <v>5953</v>
      </c>
      <c r="D1649" s="16" t="n">
        <v>8</v>
      </c>
      <c r="E1649" s="39" t="s">
        <v>1871</v>
      </c>
      <c r="F1649" s="16" t="s">
        <v>1285</v>
      </c>
      <c r="G1649" s="16" t="s">
        <v>322</v>
      </c>
      <c r="H1649" s="16" t="s">
        <v>5760</v>
      </c>
      <c r="I1649" s="16" t="s">
        <v>121</v>
      </c>
      <c r="J1649" s="16" t="s">
        <v>1856</v>
      </c>
      <c r="K1649" s="32" t="n">
        <v>1</v>
      </c>
      <c r="L1649" s="33" t="n">
        <v>46310</v>
      </c>
      <c r="M1649" s="33" t="n">
        <v>46310</v>
      </c>
      <c r="N1649" s="16" t="s">
        <v>5954</v>
      </c>
      <c r="O1649" s="16"/>
      <c r="P1649" s="16" t="str">
        <f aca="false">IF(AND(L1649&lt;=$D$2,M1649&gt;=$C$2),"Sí","")</f>
        <v>Sí</v>
      </c>
      <c r="Q1649" s="18" t="str">
        <f aca="false">IF(COUNTIF(LOOKAHEAD!$A$5:$A$604,A1649)&gt;0,"En Lookahead",IF(P1649="Sí","INCORPORAR",""))</f>
        <v>En Lookahead</v>
      </c>
    </row>
    <row r="1650" customFormat="false" ht="15" hidden="false" customHeight="false" outlineLevel="0" collapsed="false">
      <c r="A1650" s="16" t="s">
        <v>5955</v>
      </c>
      <c r="B1650" s="16" t="n">
        <v>1645</v>
      </c>
      <c r="C1650" s="16" t="s">
        <v>5956</v>
      </c>
      <c r="D1650" s="16" t="n">
        <v>8</v>
      </c>
      <c r="E1650" s="39" t="s">
        <v>1602</v>
      </c>
      <c r="F1650" s="16" t="s">
        <v>1285</v>
      </c>
      <c r="G1650" s="16" t="s">
        <v>322</v>
      </c>
      <c r="H1650" s="16" t="s">
        <v>5760</v>
      </c>
      <c r="I1650" s="16" t="s">
        <v>121</v>
      </c>
      <c r="J1650" s="16" t="s">
        <v>1856</v>
      </c>
      <c r="K1650" s="32" t="n">
        <v>1</v>
      </c>
      <c r="L1650" s="33" t="n">
        <v>46313</v>
      </c>
      <c r="M1650" s="33" t="n">
        <v>46313</v>
      </c>
      <c r="N1650" s="16" t="s">
        <v>5957</v>
      </c>
      <c r="O1650" s="16"/>
      <c r="P1650" s="16" t="str">
        <f aca="false">IF(AND(L1650&lt;=$D$2,M1650&gt;=$C$2),"Sí","")</f>
        <v>Sí</v>
      </c>
      <c r="Q1650" s="18" t="str">
        <f aca="false">IF(COUNTIF(LOOKAHEAD!$A$5:$A$604,A1650)&gt;0,"En Lookahead",IF(P1650="Sí","INCORPORAR",""))</f>
        <v>En Lookahead</v>
      </c>
    </row>
    <row r="1651" customFormat="false" ht="15" hidden="false" customHeight="false" outlineLevel="0" collapsed="false">
      <c r="A1651" s="13" t="s">
        <v>5958</v>
      </c>
      <c r="B1651" s="13" t="n">
        <v>1646</v>
      </c>
      <c r="C1651" s="13" t="s">
        <v>5959</v>
      </c>
      <c r="D1651" s="13" t="n">
        <v>7</v>
      </c>
      <c r="E1651" s="38" t="s">
        <v>1878</v>
      </c>
      <c r="F1651" s="13" t="s">
        <v>1298</v>
      </c>
      <c r="G1651" s="13" t="s">
        <v>322</v>
      </c>
      <c r="H1651" s="13" t="s">
        <v>5760</v>
      </c>
      <c r="I1651" s="13" t="s">
        <v>121</v>
      </c>
      <c r="J1651" s="13" t="s">
        <v>1853</v>
      </c>
      <c r="K1651" s="30" t="n">
        <v>9</v>
      </c>
      <c r="L1651" s="31" t="n">
        <v>46333</v>
      </c>
      <c r="M1651" s="31" t="n">
        <v>46341</v>
      </c>
      <c r="N1651" s="13"/>
      <c r="O1651" s="13"/>
      <c r="P1651" s="13"/>
      <c r="Q1651" s="13"/>
    </row>
    <row r="1652" customFormat="false" ht="15" hidden="false" customHeight="false" outlineLevel="0" collapsed="false">
      <c r="A1652" s="16" t="s">
        <v>5960</v>
      </c>
      <c r="B1652" s="16" t="n">
        <v>1647</v>
      </c>
      <c r="C1652" s="16" t="s">
        <v>5961</v>
      </c>
      <c r="D1652" s="16" t="n">
        <v>8</v>
      </c>
      <c r="E1652" s="39" t="s">
        <v>4867</v>
      </c>
      <c r="F1652" s="16" t="s">
        <v>1285</v>
      </c>
      <c r="G1652" s="16" t="s">
        <v>322</v>
      </c>
      <c r="H1652" s="16" t="s">
        <v>5760</v>
      </c>
      <c r="I1652" s="16" t="s">
        <v>121</v>
      </c>
      <c r="J1652" s="16" t="s">
        <v>1878</v>
      </c>
      <c r="K1652" s="32" t="n">
        <v>1</v>
      </c>
      <c r="L1652" s="33" t="n">
        <v>46340</v>
      </c>
      <c r="M1652" s="33" t="n">
        <v>46340</v>
      </c>
      <c r="N1652" s="16" t="s">
        <v>5962</v>
      </c>
      <c r="O1652" s="16"/>
      <c r="P1652" s="16" t="str">
        <f aca="false">IF(AND(L1652&lt;=$D$2,M1652&gt;=$C$2),"Sí","")</f>
        <v>Sí</v>
      </c>
      <c r="Q1652" s="18" t="str">
        <f aca="false">IF(COUNTIF(LOOKAHEAD!$A$5:$A$604,A1652)&gt;0,"En Lookahead",IF(P1652="Sí","INCORPORAR",""))</f>
        <v>En Lookahead</v>
      </c>
    </row>
    <row r="1653" customFormat="false" ht="15" hidden="false" customHeight="false" outlineLevel="0" collapsed="false">
      <c r="A1653" s="16" t="s">
        <v>5963</v>
      </c>
      <c r="B1653" s="16" t="n">
        <v>1648</v>
      </c>
      <c r="C1653" s="16" t="s">
        <v>5964</v>
      </c>
      <c r="D1653" s="16" t="n">
        <v>8</v>
      </c>
      <c r="E1653" s="39" t="s">
        <v>1885</v>
      </c>
      <c r="F1653" s="16" t="s">
        <v>1285</v>
      </c>
      <c r="G1653" s="16" t="s">
        <v>322</v>
      </c>
      <c r="H1653" s="16" t="s">
        <v>5760</v>
      </c>
      <c r="I1653" s="16" t="s">
        <v>121</v>
      </c>
      <c r="J1653" s="16" t="s">
        <v>1878</v>
      </c>
      <c r="K1653" s="32" t="n">
        <v>5</v>
      </c>
      <c r="L1653" s="33" t="n">
        <v>46333</v>
      </c>
      <c r="M1653" s="33" t="n">
        <v>46337</v>
      </c>
      <c r="N1653" s="16" t="s">
        <v>5965</v>
      </c>
      <c r="O1653" s="16"/>
      <c r="P1653" s="16" t="str">
        <f aca="false">IF(AND(L1653&lt;=$D$2,M1653&gt;=$C$2),"Sí","")</f>
        <v>Sí</v>
      </c>
      <c r="Q1653" s="18" t="str">
        <f aca="false">IF(COUNTIF(LOOKAHEAD!$A$5:$A$604,A1653)&gt;0,"En Lookahead",IF(P1653="Sí","INCORPORAR",""))</f>
        <v>En Lookahead</v>
      </c>
    </row>
    <row r="1654" customFormat="false" ht="15" hidden="false" customHeight="false" outlineLevel="0" collapsed="false">
      <c r="A1654" s="16" t="s">
        <v>5966</v>
      </c>
      <c r="B1654" s="16" t="n">
        <v>1649</v>
      </c>
      <c r="C1654" s="16" t="s">
        <v>5967</v>
      </c>
      <c r="D1654" s="16" t="n">
        <v>8</v>
      </c>
      <c r="E1654" s="39" t="s">
        <v>1867</v>
      </c>
      <c r="F1654" s="16" t="s">
        <v>1285</v>
      </c>
      <c r="G1654" s="16" t="s">
        <v>322</v>
      </c>
      <c r="H1654" s="16" t="s">
        <v>5760</v>
      </c>
      <c r="I1654" s="16" t="s">
        <v>121</v>
      </c>
      <c r="J1654" s="16" t="s">
        <v>1878</v>
      </c>
      <c r="K1654" s="32" t="n">
        <v>1</v>
      </c>
      <c r="L1654" s="33" t="n">
        <v>46339</v>
      </c>
      <c r="M1654" s="33" t="n">
        <v>46339</v>
      </c>
      <c r="N1654" s="16" t="s">
        <v>5968</v>
      </c>
      <c r="O1654" s="16"/>
      <c r="P1654" s="16" t="str">
        <f aca="false">IF(AND(L1654&lt;=$D$2,M1654&gt;=$C$2),"Sí","")</f>
        <v>Sí</v>
      </c>
      <c r="Q1654" s="18" t="str">
        <f aca="false">IF(COUNTIF(LOOKAHEAD!$A$5:$A$604,A1654)&gt;0,"En Lookahead",IF(P1654="Sí","INCORPORAR",""))</f>
        <v>En Lookahead</v>
      </c>
    </row>
    <row r="1655" customFormat="false" ht="15" hidden="false" customHeight="false" outlineLevel="0" collapsed="false">
      <c r="A1655" s="16" t="s">
        <v>5969</v>
      </c>
      <c r="B1655" s="16" t="n">
        <v>1650</v>
      </c>
      <c r="C1655" s="16" t="s">
        <v>5970</v>
      </c>
      <c r="D1655" s="16" t="n">
        <v>8</v>
      </c>
      <c r="E1655" s="39" t="s">
        <v>1892</v>
      </c>
      <c r="F1655" s="16" t="s">
        <v>1285</v>
      </c>
      <c r="G1655" s="16" t="s">
        <v>322</v>
      </c>
      <c r="H1655" s="16" t="s">
        <v>5760</v>
      </c>
      <c r="I1655" s="16" t="s">
        <v>121</v>
      </c>
      <c r="J1655" s="16" t="s">
        <v>1878</v>
      </c>
      <c r="K1655" s="32" t="n">
        <v>1</v>
      </c>
      <c r="L1655" s="33" t="n">
        <v>46338</v>
      </c>
      <c r="M1655" s="33" t="n">
        <v>46338</v>
      </c>
      <c r="N1655" s="16" t="s">
        <v>5971</v>
      </c>
      <c r="O1655" s="16"/>
      <c r="P1655" s="16" t="str">
        <f aca="false">IF(AND(L1655&lt;=$D$2,M1655&gt;=$C$2),"Sí","")</f>
        <v>Sí</v>
      </c>
      <c r="Q1655" s="18" t="str">
        <f aca="false">IF(COUNTIF(LOOKAHEAD!$A$5:$A$604,A1655)&gt;0,"En Lookahead",IF(P1655="Sí","INCORPORAR",""))</f>
        <v>En Lookahead</v>
      </c>
    </row>
    <row r="1656" customFormat="false" ht="15" hidden="false" customHeight="false" outlineLevel="0" collapsed="false">
      <c r="A1656" s="16" t="s">
        <v>5972</v>
      </c>
      <c r="B1656" s="16" t="n">
        <v>1651</v>
      </c>
      <c r="C1656" s="16" t="s">
        <v>5973</v>
      </c>
      <c r="D1656" s="16" t="n">
        <v>8</v>
      </c>
      <c r="E1656" s="39" t="s">
        <v>1602</v>
      </c>
      <c r="F1656" s="16" t="s">
        <v>1285</v>
      </c>
      <c r="G1656" s="16" t="s">
        <v>322</v>
      </c>
      <c r="H1656" s="16" t="s">
        <v>5760</v>
      </c>
      <c r="I1656" s="16" t="s">
        <v>121</v>
      </c>
      <c r="J1656" s="16" t="s">
        <v>1878</v>
      </c>
      <c r="K1656" s="32" t="n">
        <v>1</v>
      </c>
      <c r="L1656" s="33" t="n">
        <v>46341</v>
      </c>
      <c r="M1656" s="33" t="n">
        <v>46341</v>
      </c>
      <c r="N1656" s="16" t="s">
        <v>5974</v>
      </c>
      <c r="O1656" s="16"/>
      <c r="P1656" s="16" t="str">
        <f aca="false">IF(AND(L1656&lt;=$D$2,M1656&gt;=$C$2),"Sí","")</f>
        <v>Sí</v>
      </c>
      <c r="Q1656" s="18" t="str">
        <f aca="false">IF(COUNTIF(LOOKAHEAD!$A$5:$A$604,A1656)&gt;0,"En Lookahead",IF(P1656="Sí","INCORPORAR",""))</f>
        <v>En Lookahead</v>
      </c>
    </row>
    <row r="1657" customFormat="false" ht="15" hidden="false" customHeight="false" outlineLevel="0" collapsed="false">
      <c r="A1657" s="13" t="s">
        <v>5975</v>
      </c>
      <c r="B1657" s="13" t="n">
        <v>1652</v>
      </c>
      <c r="C1657" s="13" t="s">
        <v>5976</v>
      </c>
      <c r="D1657" s="13" t="n">
        <v>6</v>
      </c>
      <c r="E1657" s="36" t="s">
        <v>2626</v>
      </c>
      <c r="F1657" s="13" t="s">
        <v>1298</v>
      </c>
      <c r="G1657" s="13" t="s">
        <v>322</v>
      </c>
      <c r="H1657" s="13" t="s">
        <v>5760</v>
      </c>
      <c r="I1657" s="13" t="s">
        <v>121</v>
      </c>
      <c r="J1657" s="13" t="s">
        <v>1623</v>
      </c>
      <c r="K1657" s="30" t="n">
        <v>12</v>
      </c>
      <c r="L1657" s="31" t="n">
        <v>46341</v>
      </c>
      <c r="M1657" s="31" t="n">
        <v>46352</v>
      </c>
      <c r="N1657" s="13"/>
      <c r="O1657" s="13"/>
      <c r="P1657" s="13"/>
      <c r="Q1657" s="13"/>
    </row>
    <row r="1658" customFormat="false" ht="15" hidden="false" customHeight="false" outlineLevel="0" collapsed="false">
      <c r="A1658" s="16" t="s">
        <v>5977</v>
      </c>
      <c r="B1658" s="16" t="n">
        <v>1653</v>
      </c>
      <c r="C1658" s="16" t="s">
        <v>5978</v>
      </c>
      <c r="D1658" s="16" t="n">
        <v>7</v>
      </c>
      <c r="E1658" s="37" t="s">
        <v>2632</v>
      </c>
      <c r="F1658" s="16" t="s">
        <v>1285</v>
      </c>
      <c r="G1658" s="16" t="s">
        <v>322</v>
      </c>
      <c r="H1658" s="16" t="s">
        <v>5760</v>
      </c>
      <c r="I1658" s="16" t="s">
        <v>121</v>
      </c>
      <c r="J1658" s="16" t="s">
        <v>2626</v>
      </c>
      <c r="K1658" s="32" t="n">
        <v>1</v>
      </c>
      <c r="L1658" s="33" t="n">
        <v>46351</v>
      </c>
      <c r="M1658" s="33" t="n">
        <v>46351</v>
      </c>
      <c r="N1658" s="16" t="s">
        <v>5979</v>
      </c>
      <c r="O1658" s="16"/>
      <c r="P1658" s="16" t="str">
        <f aca="false">IF(AND(L1658&lt;=$D$2,M1658&gt;=$C$2),"Sí","")</f>
        <v/>
      </c>
      <c r="Q1658" s="18" t="str">
        <f aca="false">IF(COUNTIF(LOOKAHEAD!$A$5:$A$604,A1658)&gt;0,"En Lookahead",IF(P1658="Sí","INCORPORAR",""))</f>
        <v/>
      </c>
    </row>
    <row r="1659" customFormat="false" ht="15" hidden="false" customHeight="false" outlineLevel="0" collapsed="false">
      <c r="A1659" s="16" t="s">
        <v>5980</v>
      </c>
      <c r="B1659" s="16" t="n">
        <v>1654</v>
      </c>
      <c r="C1659" s="16" t="s">
        <v>5981</v>
      </c>
      <c r="D1659" s="16" t="n">
        <v>7</v>
      </c>
      <c r="E1659" s="37" t="s">
        <v>2636</v>
      </c>
      <c r="F1659" s="16" t="s">
        <v>1285</v>
      </c>
      <c r="G1659" s="16" t="s">
        <v>322</v>
      </c>
      <c r="H1659" s="16" t="s">
        <v>5760</v>
      </c>
      <c r="I1659" s="16" t="s">
        <v>121</v>
      </c>
      <c r="J1659" s="16" t="s">
        <v>2626</v>
      </c>
      <c r="K1659" s="32" t="n">
        <v>7</v>
      </c>
      <c r="L1659" s="33" t="n">
        <v>46344</v>
      </c>
      <c r="M1659" s="33" t="n">
        <v>46350</v>
      </c>
      <c r="N1659" s="16" t="s">
        <v>5982</v>
      </c>
      <c r="O1659" s="16"/>
      <c r="P1659" s="16" t="str">
        <f aca="false">IF(AND(L1659&lt;=$D$2,M1659&gt;=$C$2),"Sí","")</f>
        <v/>
      </c>
      <c r="Q1659" s="18" t="str">
        <f aca="false">IF(COUNTIF(LOOKAHEAD!$A$5:$A$604,A1659)&gt;0,"En Lookahead",IF(P1659="Sí","INCORPORAR",""))</f>
        <v/>
      </c>
    </row>
    <row r="1660" customFormat="false" ht="15" hidden="false" customHeight="false" outlineLevel="0" collapsed="false">
      <c r="A1660" s="16" t="s">
        <v>5983</v>
      </c>
      <c r="B1660" s="16" t="n">
        <v>1655</v>
      </c>
      <c r="C1660" s="16" t="s">
        <v>5984</v>
      </c>
      <c r="D1660" s="16" t="n">
        <v>7</v>
      </c>
      <c r="E1660" s="37" t="s">
        <v>2639</v>
      </c>
      <c r="F1660" s="16" t="s">
        <v>1285</v>
      </c>
      <c r="G1660" s="16" t="s">
        <v>322</v>
      </c>
      <c r="H1660" s="16" t="s">
        <v>5760</v>
      </c>
      <c r="I1660" s="16" t="s">
        <v>121</v>
      </c>
      <c r="J1660" s="16" t="s">
        <v>2626</v>
      </c>
      <c r="K1660" s="32" t="n">
        <v>3</v>
      </c>
      <c r="L1660" s="33" t="n">
        <v>46341</v>
      </c>
      <c r="M1660" s="33" t="n">
        <v>46343</v>
      </c>
      <c r="N1660" s="16" t="s">
        <v>5974</v>
      </c>
      <c r="O1660" s="16"/>
      <c r="P1660" s="16" t="str">
        <f aca="false">IF(AND(L1660&lt;=$D$2,M1660&gt;=$C$2),"Sí","")</f>
        <v>Sí</v>
      </c>
      <c r="Q1660" s="18" t="str">
        <f aca="false">IF(COUNTIF(LOOKAHEAD!$A$5:$A$604,A1660)&gt;0,"En Lookahead",IF(P1660="Sí","INCORPORAR",""))</f>
        <v>En Lookahead</v>
      </c>
    </row>
    <row r="1661" customFormat="false" ht="15" hidden="false" customHeight="false" outlineLevel="0" collapsed="false">
      <c r="A1661" s="16" t="s">
        <v>5985</v>
      </c>
      <c r="B1661" s="16" t="n">
        <v>1656</v>
      </c>
      <c r="C1661" s="16" t="s">
        <v>5986</v>
      </c>
      <c r="D1661" s="16" t="n">
        <v>7</v>
      </c>
      <c r="E1661" s="37" t="s">
        <v>1602</v>
      </c>
      <c r="F1661" s="16" t="s">
        <v>1285</v>
      </c>
      <c r="G1661" s="16" t="s">
        <v>322</v>
      </c>
      <c r="H1661" s="16" t="s">
        <v>5760</v>
      </c>
      <c r="I1661" s="16" t="s">
        <v>121</v>
      </c>
      <c r="J1661" s="16" t="s">
        <v>2626</v>
      </c>
      <c r="K1661" s="32" t="n">
        <v>1</v>
      </c>
      <c r="L1661" s="33" t="n">
        <v>46352</v>
      </c>
      <c r="M1661" s="33" t="n">
        <v>46352</v>
      </c>
      <c r="N1661" s="16" t="s">
        <v>5987</v>
      </c>
      <c r="O1661" s="16"/>
      <c r="P1661" s="16" t="str">
        <f aca="false">IF(AND(L1661&lt;=$D$2,M1661&gt;=$C$2),"Sí","")</f>
        <v/>
      </c>
      <c r="Q1661" s="18" t="str">
        <f aca="false">IF(COUNTIF(LOOKAHEAD!$A$5:$A$604,A1661)&gt;0,"En Lookahead",IF(P1661="Sí","INCORPORAR",""))</f>
        <v/>
      </c>
    </row>
    <row r="1662" customFormat="false" ht="15" hidden="false" customHeight="false" outlineLevel="0" collapsed="false">
      <c r="A1662" s="13" t="s">
        <v>5988</v>
      </c>
      <c r="B1662" s="13" t="n">
        <v>1657</v>
      </c>
      <c r="C1662" s="13" t="s">
        <v>5989</v>
      </c>
      <c r="D1662" s="13" t="n">
        <v>6</v>
      </c>
      <c r="E1662" s="36" t="s">
        <v>1985</v>
      </c>
      <c r="F1662" s="13" t="s">
        <v>1298</v>
      </c>
      <c r="G1662" s="13" t="s">
        <v>322</v>
      </c>
      <c r="H1662" s="13" t="s">
        <v>5760</v>
      </c>
      <c r="I1662" s="13" t="s">
        <v>121</v>
      </c>
      <c r="J1662" s="13" t="s">
        <v>1623</v>
      </c>
      <c r="K1662" s="30" t="n">
        <v>4</v>
      </c>
      <c r="L1662" s="31" t="n">
        <v>46317</v>
      </c>
      <c r="M1662" s="31" t="n">
        <v>46320</v>
      </c>
      <c r="N1662" s="13"/>
      <c r="O1662" s="13"/>
      <c r="P1662" s="13"/>
      <c r="Q1662" s="13"/>
    </row>
    <row r="1663" customFormat="false" ht="15" hidden="false" customHeight="false" outlineLevel="0" collapsed="false">
      <c r="A1663" s="16" t="s">
        <v>5990</v>
      </c>
      <c r="B1663" s="16" t="n">
        <v>1658</v>
      </c>
      <c r="C1663" s="16" t="s">
        <v>5991</v>
      </c>
      <c r="D1663" s="16" t="n">
        <v>7</v>
      </c>
      <c r="E1663" s="37" t="s">
        <v>1991</v>
      </c>
      <c r="F1663" s="16" t="s">
        <v>1285</v>
      </c>
      <c r="G1663" s="16" t="s">
        <v>322</v>
      </c>
      <c r="H1663" s="16" t="s">
        <v>5760</v>
      </c>
      <c r="I1663" s="16" t="s">
        <v>121</v>
      </c>
      <c r="J1663" s="16" t="s">
        <v>1985</v>
      </c>
      <c r="K1663" s="32" t="n">
        <v>1</v>
      </c>
      <c r="L1663" s="33" t="n">
        <v>46319</v>
      </c>
      <c r="M1663" s="33" t="n">
        <v>46319</v>
      </c>
      <c r="N1663" s="16" t="s">
        <v>5992</v>
      </c>
      <c r="O1663" s="16"/>
      <c r="P1663" s="16" t="str">
        <f aca="false">IF(AND(L1663&lt;=$D$2,M1663&gt;=$C$2),"Sí","")</f>
        <v>Sí</v>
      </c>
      <c r="Q1663" s="18" t="str">
        <f aca="false">IF(COUNTIF(LOOKAHEAD!$A$5:$A$604,A1663)&gt;0,"En Lookahead",IF(P1663="Sí","INCORPORAR",""))</f>
        <v>En Lookahead</v>
      </c>
    </row>
    <row r="1664" customFormat="false" ht="15" hidden="false" customHeight="false" outlineLevel="0" collapsed="false">
      <c r="A1664" s="16" t="s">
        <v>5993</v>
      </c>
      <c r="B1664" s="16" t="n">
        <v>1659</v>
      </c>
      <c r="C1664" s="16" t="s">
        <v>5994</v>
      </c>
      <c r="D1664" s="16" t="n">
        <v>7</v>
      </c>
      <c r="E1664" s="37" t="s">
        <v>1995</v>
      </c>
      <c r="F1664" s="16" t="s">
        <v>1285</v>
      </c>
      <c r="G1664" s="16" t="s">
        <v>322</v>
      </c>
      <c r="H1664" s="16" t="s">
        <v>5760</v>
      </c>
      <c r="I1664" s="16" t="s">
        <v>121</v>
      </c>
      <c r="J1664" s="16" t="s">
        <v>1985</v>
      </c>
      <c r="K1664" s="32" t="n">
        <v>1</v>
      </c>
      <c r="L1664" s="33" t="n">
        <v>46318</v>
      </c>
      <c r="M1664" s="33" t="n">
        <v>46318</v>
      </c>
      <c r="N1664" s="16" t="s">
        <v>5995</v>
      </c>
      <c r="O1664" s="16"/>
      <c r="P1664" s="16" t="str">
        <f aca="false">IF(AND(L1664&lt;=$D$2,M1664&gt;=$C$2),"Sí","")</f>
        <v>Sí</v>
      </c>
      <c r="Q1664" s="18" t="str">
        <f aca="false">IF(COUNTIF(LOOKAHEAD!$A$5:$A$604,A1664)&gt;0,"En Lookahead",IF(P1664="Sí","INCORPORAR",""))</f>
        <v>En Lookahead</v>
      </c>
    </row>
    <row r="1665" customFormat="false" ht="15" hidden="false" customHeight="false" outlineLevel="0" collapsed="false">
      <c r="A1665" s="16" t="s">
        <v>5996</v>
      </c>
      <c r="B1665" s="16" t="n">
        <v>1660</v>
      </c>
      <c r="C1665" s="16" t="s">
        <v>5997</v>
      </c>
      <c r="D1665" s="16" t="n">
        <v>7</v>
      </c>
      <c r="E1665" s="37" t="s">
        <v>1999</v>
      </c>
      <c r="F1665" s="16" t="s">
        <v>1285</v>
      </c>
      <c r="G1665" s="16" t="s">
        <v>322</v>
      </c>
      <c r="H1665" s="16" t="s">
        <v>5760</v>
      </c>
      <c r="I1665" s="16" t="s">
        <v>121</v>
      </c>
      <c r="J1665" s="16" t="s">
        <v>1985</v>
      </c>
      <c r="K1665" s="32" t="n">
        <v>1</v>
      </c>
      <c r="L1665" s="33" t="n">
        <v>46317</v>
      </c>
      <c r="M1665" s="33" t="n">
        <v>46317</v>
      </c>
      <c r="N1665" s="16" t="s">
        <v>5998</v>
      </c>
      <c r="O1665" s="16"/>
      <c r="P1665" s="16" t="str">
        <f aca="false">IF(AND(L1665&lt;=$D$2,M1665&gt;=$C$2),"Sí","")</f>
        <v>Sí</v>
      </c>
      <c r="Q1665" s="18" t="str">
        <f aca="false">IF(COUNTIF(LOOKAHEAD!$A$5:$A$604,A1665)&gt;0,"En Lookahead",IF(P1665="Sí","INCORPORAR",""))</f>
        <v>En Lookahead</v>
      </c>
    </row>
    <row r="1666" customFormat="false" ht="15" hidden="false" customHeight="false" outlineLevel="0" collapsed="false">
      <c r="A1666" s="16" t="s">
        <v>5999</v>
      </c>
      <c r="B1666" s="16" t="n">
        <v>1661</v>
      </c>
      <c r="C1666" s="16" t="s">
        <v>6000</v>
      </c>
      <c r="D1666" s="16" t="n">
        <v>7</v>
      </c>
      <c r="E1666" s="37" t="s">
        <v>1677</v>
      </c>
      <c r="F1666" s="16" t="s">
        <v>1285</v>
      </c>
      <c r="G1666" s="16" t="s">
        <v>322</v>
      </c>
      <c r="H1666" s="16" t="s">
        <v>5760</v>
      </c>
      <c r="I1666" s="16" t="s">
        <v>121</v>
      </c>
      <c r="J1666" s="16" t="s">
        <v>1985</v>
      </c>
      <c r="K1666" s="32" t="n">
        <v>1</v>
      </c>
      <c r="L1666" s="33" t="n">
        <v>46320</v>
      </c>
      <c r="M1666" s="33" t="n">
        <v>46320</v>
      </c>
      <c r="N1666" s="16" t="s">
        <v>6001</v>
      </c>
      <c r="O1666" s="16"/>
      <c r="P1666" s="16" t="str">
        <f aca="false">IF(AND(L1666&lt;=$D$2,M1666&gt;=$C$2),"Sí","")</f>
        <v>Sí</v>
      </c>
      <c r="Q1666" s="18" t="str">
        <f aca="false">IF(COUNTIF(LOOKAHEAD!$A$5:$A$604,A1666)&gt;0,"En Lookahead",IF(P1666="Sí","INCORPORAR",""))</f>
        <v>En Lookahead</v>
      </c>
    </row>
    <row r="1667" customFormat="false" ht="15" hidden="false" customHeight="false" outlineLevel="0" collapsed="false">
      <c r="A1667" s="13" t="s">
        <v>6002</v>
      </c>
      <c r="B1667" s="13" t="n">
        <v>1662</v>
      </c>
      <c r="C1667" s="13" t="s">
        <v>6003</v>
      </c>
      <c r="D1667" s="13" t="n">
        <v>6</v>
      </c>
      <c r="E1667" s="36" t="s">
        <v>2054</v>
      </c>
      <c r="F1667" s="13" t="s">
        <v>1298</v>
      </c>
      <c r="G1667" s="13" t="s">
        <v>322</v>
      </c>
      <c r="H1667" s="13" t="s">
        <v>5760</v>
      </c>
      <c r="I1667" s="13" t="s">
        <v>121</v>
      </c>
      <c r="J1667" s="13" t="s">
        <v>1623</v>
      </c>
      <c r="K1667" s="30" t="n">
        <v>4</v>
      </c>
      <c r="L1667" s="31" t="n">
        <v>46320</v>
      </c>
      <c r="M1667" s="31" t="n">
        <v>46323</v>
      </c>
      <c r="N1667" s="13"/>
      <c r="O1667" s="13"/>
      <c r="P1667" s="13"/>
      <c r="Q1667" s="13"/>
    </row>
    <row r="1668" customFormat="false" ht="15" hidden="false" customHeight="false" outlineLevel="0" collapsed="false">
      <c r="A1668" s="16" t="s">
        <v>6004</v>
      </c>
      <c r="B1668" s="16" t="n">
        <v>1663</v>
      </c>
      <c r="C1668" s="16" t="s">
        <v>6005</v>
      </c>
      <c r="D1668" s="16" t="n">
        <v>7</v>
      </c>
      <c r="E1668" s="37" t="s">
        <v>2060</v>
      </c>
      <c r="F1668" s="16" t="s">
        <v>1285</v>
      </c>
      <c r="G1668" s="16" t="s">
        <v>322</v>
      </c>
      <c r="H1668" s="16" t="s">
        <v>5760</v>
      </c>
      <c r="I1668" s="16" t="s">
        <v>121</v>
      </c>
      <c r="J1668" s="16" t="s">
        <v>2054</v>
      </c>
      <c r="K1668" s="32" t="n">
        <v>1</v>
      </c>
      <c r="L1668" s="33" t="n">
        <v>46322</v>
      </c>
      <c r="M1668" s="33" t="n">
        <v>46322</v>
      </c>
      <c r="N1668" s="16" t="s">
        <v>6006</v>
      </c>
      <c r="O1668" s="16"/>
      <c r="P1668" s="16" t="str">
        <f aca="false">IF(AND(L1668&lt;=$D$2,M1668&gt;=$C$2),"Sí","")</f>
        <v>Sí</v>
      </c>
      <c r="Q1668" s="18" t="str">
        <f aca="false">IF(COUNTIF(LOOKAHEAD!$A$5:$A$604,A1668)&gt;0,"En Lookahead",IF(P1668="Sí","INCORPORAR",""))</f>
        <v>En Lookahead</v>
      </c>
    </row>
    <row r="1669" customFormat="false" ht="15" hidden="false" customHeight="false" outlineLevel="0" collapsed="false">
      <c r="A1669" s="16" t="s">
        <v>6007</v>
      </c>
      <c r="B1669" s="16" t="n">
        <v>1664</v>
      </c>
      <c r="C1669" s="16" t="s">
        <v>6008</v>
      </c>
      <c r="D1669" s="16" t="n">
        <v>7</v>
      </c>
      <c r="E1669" s="37" t="s">
        <v>2080</v>
      </c>
      <c r="F1669" s="16" t="s">
        <v>1285</v>
      </c>
      <c r="G1669" s="16" t="s">
        <v>322</v>
      </c>
      <c r="H1669" s="16" t="s">
        <v>5760</v>
      </c>
      <c r="I1669" s="16" t="s">
        <v>121</v>
      </c>
      <c r="J1669" s="16" t="s">
        <v>2054</v>
      </c>
      <c r="K1669" s="32" t="n">
        <v>1</v>
      </c>
      <c r="L1669" s="33" t="n">
        <v>46321</v>
      </c>
      <c r="M1669" s="33" t="n">
        <v>46321</v>
      </c>
      <c r="N1669" s="16" t="s">
        <v>6009</v>
      </c>
      <c r="O1669" s="16"/>
      <c r="P1669" s="16" t="str">
        <f aca="false">IF(AND(L1669&lt;=$D$2,M1669&gt;=$C$2),"Sí","")</f>
        <v>Sí</v>
      </c>
      <c r="Q1669" s="18" t="str">
        <f aca="false">IF(COUNTIF(LOOKAHEAD!$A$5:$A$604,A1669)&gt;0,"En Lookahead",IF(P1669="Sí","INCORPORAR",""))</f>
        <v>En Lookahead</v>
      </c>
    </row>
    <row r="1670" customFormat="false" ht="15" hidden="false" customHeight="false" outlineLevel="0" collapsed="false">
      <c r="A1670" s="16" t="s">
        <v>6010</v>
      </c>
      <c r="B1670" s="16" t="n">
        <v>1665</v>
      </c>
      <c r="C1670" s="16" t="s">
        <v>6011</v>
      </c>
      <c r="D1670" s="16" t="n">
        <v>7</v>
      </c>
      <c r="E1670" s="37" t="s">
        <v>1800</v>
      </c>
      <c r="F1670" s="16" t="s">
        <v>1285</v>
      </c>
      <c r="G1670" s="16" t="s">
        <v>322</v>
      </c>
      <c r="H1670" s="16" t="s">
        <v>5760</v>
      </c>
      <c r="I1670" s="16" t="s">
        <v>121</v>
      </c>
      <c r="J1670" s="16" t="s">
        <v>2054</v>
      </c>
      <c r="K1670" s="32" t="n">
        <v>1</v>
      </c>
      <c r="L1670" s="33" t="n">
        <v>46320</v>
      </c>
      <c r="M1670" s="33" t="n">
        <v>46320</v>
      </c>
      <c r="N1670" s="16" t="s">
        <v>6001</v>
      </c>
      <c r="O1670" s="16"/>
      <c r="P1670" s="16" t="str">
        <f aca="false">IF(AND(L1670&lt;=$D$2,M1670&gt;=$C$2),"Sí","")</f>
        <v>Sí</v>
      </c>
      <c r="Q1670" s="18" t="str">
        <f aca="false">IF(COUNTIF(LOOKAHEAD!$A$5:$A$604,A1670)&gt;0,"En Lookahead",IF(P1670="Sí","INCORPORAR",""))</f>
        <v>En Lookahead</v>
      </c>
    </row>
    <row r="1671" customFormat="false" ht="15" hidden="false" customHeight="false" outlineLevel="0" collapsed="false">
      <c r="A1671" s="16" t="s">
        <v>6012</v>
      </c>
      <c r="B1671" s="16" t="n">
        <v>1666</v>
      </c>
      <c r="C1671" s="16" t="s">
        <v>6013</v>
      </c>
      <c r="D1671" s="16" t="n">
        <v>7</v>
      </c>
      <c r="E1671" s="37" t="s">
        <v>1602</v>
      </c>
      <c r="F1671" s="16" t="s">
        <v>1285</v>
      </c>
      <c r="G1671" s="16" t="s">
        <v>322</v>
      </c>
      <c r="H1671" s="16" t="s">
        <v>5760</v>
      </c>
      <c r="I1671" s="16" t="s">
        <v>121</v>
      </c>
      <c r="J1671" s="16" t="s">
        <v>2054</v>
      </c>
      <c r="K1671" s="32" t="n">
        <v>1</v>
      </c>
      <c r="L1671" s="33" t="n">
        <v>46323</v>
      </c>
      <c r="M1671" s="33" t="n">
        <v>46323</v>
      </c>
      <c r="N1671" s="16" t="s">
        <v>6014</v>
      </c>
      <c r="O1671" s="16"/>
      <c r="P1671" s="16" t="str">
        <f aca="false">IF(AND(L1671&lt;=$D$2,M1671&gt;=$C$2),"Sí","")</f>
        <v>Sí</v>
      </c>
      <c r="Q1671" s="18" t="str">
        <f aca="false">IF(COUNTIF(LOOKAHEAD!$A$5:$A$604,A1671)&gt;0,"En Lookahead",IF(P1671="Sí","INCORPORAR",""))</f>
        <v>En Lookahead</v>
      </c>
    </row>
    <row r="1672" customFormat="false" ht="15" hidden="false" customHeight="false" outlineLevel="0" collapsed="false">
      <c r="A1672" s="13" t="s">
        <v>6015</v>
      </c>
      <c r="B1672" s="13" t="n">
        <v>1667</v>
      </c>
      <c r="C1672" s="13" t="s">
        <v>6016</v>
      </c>
      <c r="D1672" s="13" t="n">
        <v>6</v>
      </c>
      <c r="E1672" s="36" t="s">
        <v>6017</v>
      </c>
      <c r="F1672" s="13" t="s">
        <v>1298</v>
      </c>
      <c r="G1672" s="13" t="s">
        <v>322</v>
      </c>
      <c r="H1672" s="13" t="s">
        <v>5760</v>
      </c>
      <c r="I1672" s="13" t="s">
        <v>121</v>
      </c>
      <c r="J1672" s="13" t="s">
        <v>1623</v>
      </c>
      <c r="K1672" s="30" t="n">
        <v>5</v>
      </c>
      <c r="L1672" s="31" t="n">
        <v>46341</v>
      </c>
      <c r="M1672" s="31" t="n">
        <v>46345</v>
      </c>
      <c r="N1672" s="13"/>
      <c r="O1672" s="13"/>
      <c r="P1672" s="13"/>
      <c r="Q1672" s="13"/>
    </row>
    <row r="1673" customFormat="false" ht="15" hidden="false" customHeight="false" outlineLevel="0" collapsed="false">
      <c r="A1673" s="16" t="s">
        <v>6018</v>
      </c>
      <c r="B1673" s="16" t="n">
        <v>1668</v>
      </c>
      <c r="C1673" s="16" t="s">
        <v>6019</v>
      </c>
      <c r="D1673" s="16" t="n">
        <v>7</v>
      </c>
      <c r="E1673" s="37" t="s">
        <v>2123</v>
      </c>
      <c r="F1673" s="16" t="s">
        <v>1285</v>
      </c>
      <c r="G1673" s="16" t="s">
        <v>322</v>
      </c>
      <c r="H1673" s="16" t="s">
        <v>5760</v>
      </c>
      <c r="I1673" s="16" t="s">
        <v>121</v>
      </c>
      <c r="J1673" s="16" t="s">
        <v>6017</v>
      </c>
      <c r="K1673" s="32" t="n">
        <v>1</v>
      </c>
      <c r="L1673" s="33" t="n">
        <v>46344</v>
      </c>
      <c r="M1673" s="33" t="n">
        <v>46344</v>
      </c>
      <c r="N1673" s="16" t="s">
        <v>6020</v>
      </c>
      <c r="O1673" s="16"/>
      <c r="P1673" s="16" t="str">
        <f aca="false">IF(AND(L1673&lt;=$D$2,M1673&gt;=$C$2),"Sí","")</f>
        <v/>
      </c>
      <c r="Q1673" s="18" t="str">
        <f aca="false">IF(COUNTIF(LOOKAHEAD!$A$5:$A$604,A1673)&gt;0,"En Lookahead",IF(P1673="Sí","INCORPORAR",""))</f>
        <v/>
      </c>
    </row>
    <row r="1674" customFormat="false" ht="15" hidden="false" customHeight="false" outlineLevel="0" collapsed="false">
      <c r="A1674" s="16" t="s">
        <v>6021</v>
      </c>
      <c r="B1674" s="16" t="n">
        <v>1669</v>
      </c>
      <c r="C1674" s="16" t="s">
        <v>6022</v>
      </c>
      <c r="D1674" s="16" t="n">
        <v>7</v>
      </c>
      <c r="E1674" s="37" t="s">
        <v>2127</v>
      </c>
      <c r="F1674" s="16" t="s">
        <v>1285</v>
      </c>
      <c r="G1674" s="16" t="s">
        <v>322</v>
      </c>
      <c r="H1674" s="16" t="s">
        <v>5760</v>
      </c>
      <c r="I1674" s="16" t="s">
        <v>121</v>
      </c>
      <c r="J1674" s="16" t="s">
        <v>6017</v>
      </c>
      <c r="K1674" s="32" t="n">
        <v>2</v>
      </c>
      <c r="L1674" s="33" t="n">
        <v>46342</v>
      </c>
      <c r="M1674" s="33" t="n">
        <v>46343</v>
      </c>
      <c r="N1674" s="16" t="s">
        <v>6023</v>
      </c>
      <c r="O1674" s="16"/>
      <c r="P1674" s="16" t="str">
        <f aca="false">IF(AND(L1674&lt;=$D$2,M1674&gt;=$C$2),"Sí","")</f>
        <v/>
      </c>
      <c r="Q1674" s="18" t="str">
        <f aca="false">IF(COUNTIF(LOOKAHEAD!$A$5:$A$604,A1674)&gt;0,"En Lookahead",IF(P1674="Sí","INCORPORAR",""))</f>
        <v/>
      </c>
    </row>
    <row r="1675" customFormat="false" ht="15" hidden="false" customHeight="false" outlineLevel="0" collapsed="false">
      <c r="A1675" s="16" t="s">
        <v>6024</v>
      </c>
      <c r="B1675" s="16" t="n">
        <v>1670</v>
      </c>
      <c r="C1675" s="16" t="s">
        <v>6025</v>
      </c>
      <c r="D1675" s="16" t="n">
        <v>7</v>
      </c>
      <c r="E1675" s="37" t="s">
        <v>2131</v>
      </c>
      <c r="F1675" s="16" t="s">
        <v>1285</v>
      </c>
      <c r="G1675" s="16" t="s">
        <v>322</v>
      </c>
      <c r="H1675" s="16" t="s">
        <v>5760</v>
      </c>
      <c r="I1675" s="16" t="s">
        <v>121</v>
      </c>
      <c r="J1675" s="16" t="s">
        <v>6017</v>
      </c>
      <c r="K1675" s="32" t="n">
        <v>1</v>
      </c>
      <c r="L1675" s="33" t="n">
        <v>46341</v>
      </c>
      <c r="M1675" s="33" t="n">
        <v>46341</v>
      </c>
      <c r="N1675" s="16" t="s">
        <v>5974</v>
      </c>
      <c r="O1675" s="16"/>
      <c r="P1675" s="16" t="str">
        <f aca="false">IF(AND(L1675&lt;=$D$2,M1675&gt;=$C$2),"Sí","")</f>
        <v>Sí</v>
      </c>
      <c r="Q1675" s="18" t="str">
        <f aca="false">IF(COUNTIF(LOOKAHEAD!$A$5:$A$604,A1675)&gt;0,"En Lookahead",IF(P1675="Sí","INCORPORAR",""))</f>
        <v>En Lookahead</v>
      </c>
    </row>
    <row r="1676" customFormat="false" ht="15" hidden="false" customHeight="false" outlineLevel="0" collapsed="false">
      <c r="A1676" s="16" t="s">
        <v>6026</v>
      </c>
      <c r="B1676" s="16" t="n">
        <v>1671</v>
      </c>
      <c r="C1676" s="16" t="s">
        <v>6027</v>
      </c>
      <c r="D1676" s="16" t="n">
        <v>7</v>
      </c>
      <c r="E1676" s="37" t="s">
        <v>1602</v>
      </c>
      <c r="F1676" s="16" t="s">
        <v>1285</v>
      </c>
      <c r="G1676" s="16" t="s">
        <v>322</v>
      </c>
      <c r="H1676" s="16" t="s">
        <v>5760</v>
      </c>
      <c r="I1676" s="16" t="s">
        <v>121</v>
      </c>
      <c r="J1676" s="16" t="s">
        <v>6017</v>
      </c>
      <c r="K1676" s="32" t="n">
        <v>1</v>
      </c>
      <c r="L1676" s="33" t="n">
        <v>46345</v>
      </c>
      <c r="M1676" s="33" t="n">
        <v>46345</v>
      </c>
      <c r="N1676" s="16" t="s">
        <v>6028</v>
      </c>
      <c r="O1676" s="16"/>
      <c r="P1676" s="16" t="str">
        <f aca="false">IF(AND(L1676&lt;=$D$2,M1676&gt;=$C$2),"Sí","")</f>
        <v/>
      </c>
      <c r="Q1676" s="18" t="str">
        <f aca="false">IF(COUNTIF(LOOKAHEAD!$A$5:$A$604,A1676)&gt;0,"En Lookahead",IF(P1676="Sí","INCORPORAR",""))</f>
        <v/>
      </c>
    </row>
    <row r="1677" customFormat="false" ht="15" hidden="false" customHeight="false" outlineLevel="0" collapsed="false">
      <c r="A1677" s="13" t="s">
        <v>6029</v>
      </c>
      <c r="B1677" s="13" t="n">
        <v>1672</v>
      </c>
      <c r="C1677" s="13" t="s">
        <v>6030</v>
      </c>
      <c r="D1677" s="13" t="n">
        <v>6</v>
      </c>
      <c r="E1677" s="36" t="s">
        <v>2137</v>
      </c>
      <c r="F1677" s="13" t="s">
        <v>1298</v>
      </c>
      <c r="G1677" s="13" t="s">
        <v>322</v>
      </c>
      <c r="H1677" s="13" t="s">
        <v>5760</v>
      </c>
      <c r="I1677" s="13" t="s">
        <v>121</v>
      </c>
      <c r="J1677" s="13" t="s">
        <v>1623</v>
      </c>
      <c r="K1677" s="30" t="n">
        <v>1</v>
      </c>
      <c r="L1677" s="31" t="n">
        <v>46342</v>
      </c>
      <c r="M1677" s="31" t="n">
        <v>46342</v>
      </c>
      <c r="N1677" s="13"/>
      <c r="O1677" s="13"/>
      <c r="P1677" s="13"/>
      <c r="Q1677" s="13"/>
    </row>
    <row r="1678" customFormat="false" ht="15" hidden="false" customHeight="false" outlineLevel="0" collapsed="false">
      <c r="A1678" s="16" t="s">
        <v>6031</v>
      </c>
      <c r="B1678" s="16" t="n">
        <v>1673</v>
      </c>
      <c r="C1678" s="16" t="s">
        <v>6032</v>
      </c>
      <c r="D1678" s="16" t="n">
        <v>7</v>
      </c>
      <c r="E1678" s="37" t="s">
        <v>2144</v>
      </c>
      <c r="F1678" s="16" t="s">
        <v>1285</v>
      </c>
      <c r="G1678" s="16" t="s">
        <v>322</v>
      </c>
      <c r="H1678" s="16" t="s">
        <v>5760</v>
      </c>
      <c r="I1678" s="16" t="s">
        <v>121</v>
      </c>
      <c r="J1678" s="16" t="s">
        <v>2137</v>
      </c>
      <c r="K1678" s="32" t="n">
        <v>1</v>
      </c>
      <c r="L1678" s="33" t="n">
        <v>46342</v>
      </c>
      <c r="M1678" s="33" t="n">
        <v>46342</v>
      </c>
      <c r="N1678" s="16" t="s">
        <v>6033</v>
      </c>
      <c r="O1678" s="16"/>
      <c r="P1678" s="16" t="str">
        <f aca="false">IF(AND(L1678&lt;=$D$2,M1678&gt;=$C$2),"Sí","")</f>
        <v/>
      </c>
      <c r="Q1678" s="18" t="str">
        <f aca="false">IF(COUNTIF(LOOKAHEAD!$A$5:$A$604,A1678)&gt;0,"En Lookahead",IF(P1678="Sí","INCORPORAR",""))</f>
        <v/>
      </c>
    </row>
    <row r="1679" customFormat="false" ht="15" hidden="false" customHeight="false" outlineLevel="0" collapsed="false">
      <c r="A1679" s="13" t="s">
        <v>6034</v>
      </c>
      <c r="B1679" s="13" t="n">
        <v>1674</v>
      </c>
      <c r="C1679" s="13" t="s">
        <v>6035</v>
      </c>
      <c r="D1679" s="13" t="n">
        <v>4</v>
      </c>
      <c r="E1679" s="20" t="s">
        <v>6036</v>
      </c>
      <c r="F1679" s="13" t="s">
        <v>1298</v>
      </c>
      <c r="G1679" s="13" t="s">
        <v>322</v>
      </c>
      <c r="H1679" s="13" t="s">
        <v>6036</v>
      </c>
      <c r="I1679" s="13" t="s">
        <v>123</v>
      </c>
      <c r="J1679" s="13" t="s">
        <v>1528</v>
      </c>
      <c r="K1679" s="30" t="n">
        <v>65</v>
      </c>
      <c r="L1679" s="31" t="n">
        <v>45960</v>
      </c>
      <c r="M1679" s="31" t="n">
        <v>46024</v>
      </c>
      <c r="N1679" s="13"/>
      <c r="O1679" s="13"/>
      <c r="P1679" s="13"/>
      <c r="Q1679" s="13"/>
    </row>
    <row r="1680" customFormat="false" ht="15" hidden="false" customHeight="false" outlineLevel="0" collapsed="false">
      <c r="A1680" s="13" t="s">
        <v>6037</v>
      </c>
      <c r="B1680" s="13" t="n">
        <v>1675</v>
      </c>
      <c r="C1680" s="13" t="s">
        <v>6038</v>
      </c>
      <c r="D1680" s="13" t="n">
        <v>5</v>
      </c>
      <c r="E1680" s="34" t="s">
        <v>1534</v>
      </c>
      <c r="F1680" s="13" t="s">
        <v>1298</v>
      </c>
      <c r="G1680" s="13" t="s">
        <v>322</v>
      </c>
      <c r="H1680" s="13" t="s">
        <v>6036</v>
      </c>
      <c r="I1680" s="13" t="s">
        <v>123</v>
      </c>
      <c r="J1680" s="13" t="s">
        <v>6036</v>
      </c>
      <c r="K1680" s="30" t="n">
        <v>11</v>
      </c>
      <c r="L1680" s="31" t="n">
        <v>45960</v>
      </c>
      <c r="M1680" s="31" t="n">
        <v>45970</v>
      </c>
      <c r="N1680" s="13"/>
      <c r="O1680" s="13"/>
      <c r="P1680" s="13"/>
      <c r="Q1680" s="13"/>
    </row>
    <row r="1681" customFormat="false" ht="15" hidden="false" customHeight="false" outlineLevel="0" collapsed="false">
      <c r="A1681" s="16" t="s">
        <v>6039</v>
      </c>
      <c r="B1681" s="16" t="n">
        <v>1676</v>
      </c>
      <c r="C1681" s="16" t="s">
        <v>6040</v>
      </c>
      <c r="D1681" s="16" t="n">
        <v>6</v>
      </c>
      <c r="E1681" s="35" t="s">
        <v>1541</v>
      </c>
      <c r="F1681" s="16" t="s">
        <v>1285</v>
      </c>
      <c r="G1681" s="16" t="s">
        <v>322</v>
      </c>
      <c r="H1681" s="16" t="s">
        <v>6036</v>
      </c>
      <c r="I1681" s="16" t="s">
        <v>123</v>
      </c>
      <c r="J1681" s="16" t="s">
        <v>1534</v>
      </c>
      <c r="K1681" s="32" t="n">
        <v>1</v>
      </c>
      <c r="L1681" s="33" t="n">
        <v>45960</v>
      </c>
      <c r="M1681" s="33" t="n">
        <v>45960</v>
      </c>
      <c r="N1681" s="16" t="s">
        <v>2233</v>
      </c>
      <c r="O1681" s="16"/>
      <c r="P1681" s="16" t="str">
        <f aca="false">IF(AND(L1681&lt;=$D$2,M1681&gt;=$C$2),"Sí","")</f>
        <v/>
      </c>
      <c r="Q1681" s="18" t="str">
        <f aca="false">IF(COUNTIF(LOOKAHEAD!$A$5:$A$604,A1681)&gt;0,"En Lookahead",IF(P1681="Sí","INCORPORAR",""))</f>
        <v/>
      </c>
    </row>
    <row r="1682" customFormat="false" ht="15" hidden="false" customHeight="false" outlineLevel="0" collapsed="false">
      <c r="A1682" s="16" t="s">
        <v>6041</v>
      </c>
      <c r="B1682" s="16" t="n">
        <v>1677</v>
      </c>
      <c r="C1682" s="16" t="s">
        <v>6042</v>
      </c>
      <c r="D1682" s="16" t="n">
        <v>6</v>
      </c>
      <c r="E1682" s="35" t="s">
        <v>1549</v>
      </c>
      <c r="F1682" s="16" t="s">
        <v>1285</v>
      </c>
      <c r="G1682" s="16" t="s">
        <v>322</v>
      </c>
      <c r="H1682" s="16" t="s">
        <v>6036</v>
      </c>
      <c r="I1682" s="16" t="s">
        <v>123</v>
      </c>
      <c r="J1682" s="16" t="s">
        <v>1534</v>
      </c>
      <c r="K1682" s="32" t="n">
        <v>1</v>
      </c>
      <c r="L1682" s="33" t="n">
        <v>45961</v>
      </c>
      <c r="M1682" s="33" t="n">
        <v>45961</v>
      </c>
      <c r="N1682" s="16" t="s">
        <v>6043</v>
      </c>
      <c r="O1682" s="16"/>
      <c r="P1682" s="16" t="str">
        <f aca="false">IF(AND(L1682&lt;=$D$2,M1682&gt;=$C$2),"Sí","")</f>
        <v/>
      </c>
      <c r="Q1682" s="18" t="str">
        <f aca="false">IF(COUNTIF(LOOKAHEAD!$A$5:$A$604,A1682)&gt;0,"En Lookahead",IF(P1682="Sí","INCORPORAR",""))</f>
        <v/>
      </c>
    </row>
    <row r="1683" customFormat="false" ht="15" hidden="false" customHeight="false" outlineLevel="0" collapsed="false">
      <c r="A1683" s="16" t="s">
        <v>6044</v>
      </c>
      <c r="B1683" s="16" t="n">
        <v>1678</v>
      </c>
      <c r="C1683" s="16" t="s">
        <v>6045</v>
      </c>
      <c r="D1683" s="16" t="n">
        <v>6</v>
      </c>
      <c r="E1683" s="35" t="s">
        <v>1553</v>
      </c>
      <c r="F1683" s="16" t="s">
        <v>1285</v>
      </c>
      <c r="G1683" s="16" t="s">
        <v>322</v>
      </c>
      <c r="H1683" s="16" t="s">
        <v>6036</v>
      </c>
      <c r="I1683" s="16" t="s">
        <v>123</v>
      </c>
      <c r="J1683" s="16" t="s">
        <v>1534</v>
      </c>
      <c r="K1683" s="32" t="n">
        <v>4</v>
      </c>
      <c r="L1683" s="33" t="n">
        <v>45965</v>
      </c>
      <c r="M1683" s="33" t="n">
        <v>45968</v>
      </c>
      <c r="N1683" s="16" t="s">
        <v>6046</v>
      </c>
      <c r="O1683" s="16"/>
      <c r="P1683" s="16" t="str">
        <f aca="false">IF(AND(L1683&lt;=$D$2,M1683&gt;=$C$2),"Sí","")</f>
        <v/>
      </c>
      <c r="Q1683" s="18" t="str">
        <f aca="false">IF(COUNTIF(LOOKAHEAD!$A$5:$A$604,A1683)&gt;0,"En Lookahead",IF(P1683="Sí","INCORPORAR",""))</f>
        <v/>
      </c>
    </row>
    <row r="1684" customFormat="false" ht="15" hidden="false" customHeight="false" outlineLevel="0" collapsed="false">
      <c r="A1684" s="16" t="s">
        <v>6047</v>
      </c>
      <c r="B1684" s="16" t="n">
        <v>1679</v>
      </c>
      <c r="C1684" s="16" t="s">
        <v>6048</v>
      </c>
      <c r="D1684" s="16" t="n">
        <v>6</v>
      </c>
      <c r="E1684" s="35" t="s">
        <v>1557</v>
      </c>
      <c r="F1684" s="16" t="s">
        <v>1285</v>
      </c>
      <c r="G1684" s="16" t="s">
        <v>322</v>
      </c>
      <c r="H1684" s="16" t="s">
        <v>6036</v>
      </c>
      <c r="I1684" s="16" t="s">
        <v>123</v>
      </c>
      <c r="J1684" s="16" t="s">
        <v>1534</v>
      </c>
      <c r="K1684" s="32" t="n">
        <v>5</v>
      </c>
      <c r="L1684" s="33" t="n">
        <v>45962</v>
      </c>
      <c r="M1684" s="33" t="n">
        <v>45966</v>
      </c>
      <c r="N1684" s="16" t="s">
        <v>6049</v>
      </c>
      <c r="O1684" s="16"/>
      <c r="P1684" s="16" t="str">
        <f aca="false">IF(AND(L1684&lt;=$D$2,M1684&gt;=$C$2),"Sí","")</f>
        <v/>
      </c>
      <c r="Q1684" s="18" t="str">
        <f aca="false">IF(COUNTIF(LOOKAHEAD!$A$5:$A$604,A1684)&gt;0,"En Lookahead",IF(P1684="Sí","INCORPORAR",""))</f>
        <v/>
      </c>
    </row>
    <row r="1685" customFormat="false" ht="15" hidden="false" customHeight="false" outlineLevel="0" collapsed="false">
      <c r="A1685" s="16" t="s">
        <v>6050</v>
      </c>
      <c r="B1685" s="16" t="n">
        <v>1680</v>
      </c>
      <c r="C1685" s="16" t="s">
        <v>6051</v>
      </c>
      <c r="D1685" s="16" t="n">
        <v>6</v>
      </c>
      <c r="E1685" s="35" t="s">
        <v>1560</v>
      </c>
      <c r="F1685" s="16" t="s">
        <v>1285</v>
      </c>
      <c r="G1685" s="16" t="s">
        <v>322</v>
      </c>
      <c r="H1685" s="16" t="s">
        <v>6036</v>
      </c>
      <c r="I1685" s="16" t="s">
        <v>123</v>
      </c>
      <c r="J1685" s="16" t="s">
        <v>1534</v>
      </c>
      <c r="K1685" s="32" t="n">
        <v>1</v>
      </c>
      <c r="L1685" s="33" t="n">
        <v>45967</v>
      </c>
      <c r="M1685" s="33" t="n">
        <v>45967</v>
      </c>
      <c r="N1685" s="16" t="s">
        <v>6052</v>
      </c>
      <c r="O1685" s="16"/>
      <c r="P1685" s="16" t="str">
        <f aca="false">IF(AND(L1685&lt;=$D$2,M1685&gt;=$C$2),"Sí","")</f>
        <v/>
      </c>
      <c r="Q1685" s="18" t="str">
        <f aca="false">IF(COUNTIF(LOOKAHEAD!$A$5:$A$604,A1685)&gt;0,"En Lookahead",IF(P1685="Sí","INCORPORAR",""))</f>
        <v/>
      </c>
    </row>
    <row r="1686" customFormat="false" ht="15" hidden="false" customHeight="false" outlineLevel="0" collapsed="false">
      <c r="A1686" s="16" t="s">
        <v>6053</v>
      </c>
      <c r="B1686" s="16" t="n">
        <v>1681</v>
      </c>
      <c r="C1686" s="16" t="s">
        <v>6054</v>
      </c>
      <c r="D1686" s="16" t="n">
        <v>6</v>
      </c>
      <c r="E1686" s="35" t="s">
        <v>1564</v>
      </c>
      <c r="F1686" s="16" t="s">
        <v>1285</v>
      </c>
      <c r="G1686" s="16" t="s">
        <v>322</v>
      </c>
      <c r="H1686" s="16" t="s">
        <v>6036</v>
      </c>
      <c r="I1686" s="16" t="s">
        <v>123</v>
      </c>
      <c r="J1686" s="16" t="s">
        <v>1534</v>
      </c>
      <c r="K1686" s="32" t="n">
        <v>1</v>
      </c>
      <c r="L1686" s="33" t="n">
        <v>45970</v>
      </c>
      <c r="M1686" s="33" t="n">
        <v>45970</v>
      </c>
      <c r="N1686" s="16" t="s">
        <v>6055</v>
      </c>
      <c r="O1686" s="16"/>
      <c r="P1686" s="16" t="str">
        <f aca="false">IF(AND(L1686&lt;=$D$2,M1686&gt;=$C$2),"Sí","")</f>
        <v/>
      </c>
      <c r="Q1686" s="18" t="str">
        <f aca="false">IF(COUNTIF(LOOKAHEAD!$A$5:$A$604,A1686)&gt;0,"En Lookahead",IF(P1686="Sí","INCORPORAR",""))</f>
        <v/>
      </c>
    </row>
    <row r="1687" customFormat="false" ht="15" hidden="false" customHeight="false" outlineLevel="0" collapsed="false">
      <c r="A1687" s="16" t="s">
        <v>6056</v>
      </c>
      <c r="B1687" s="16" t="n">
        <v>1682</v>
      </c>
      <c r="C1687" s="16" t="s">
        <v>6057</v>
      </c>
      <c r="D1687" s="16" t="n">
        <v>6</v>
      </c>
      <c r="E1687" s="35" t="s">
        <v>1567</v>
      </c>
      <c r="F1687" s="16" t="s">
        <v>1285</v>
      </c>
      <c r="G1687" s="16" t="s">
        <v>322</v>
      </c>
      <c r="H1687" s="16" t="s">
        <v>6036</v>
      </c>
      <c r="I1687" s="16" t="s">
        <v>123</v>
      </c>
      <c r="J1687" s="16" t="s">
        <v>1534</v>
      </c>
      <c r="K1687" s="32" t="n">
        <v>1</v>
      </c>
      <c r="L1687" s="33" t="n">
        <v>45969</v>
      </c>
      <c r="M1687" s="33" t="n">
        <v>45969</v>
      </c>
      <c r="N1687" s="16" t="s">
        <v>6058</v>
      </c>
      <c r="O1687" s="16"/>
      <c r="P1687" s="16" t="str">
        <f aca="false">IF(AND(L1687&lt;=$D$2,M1687&gt;=$C$2),"Sí","")</f>
        <v/>
      </c>
      <c r="Q1687" s="18" t="str">
        <f aca="false">IF(COUNTIF(LOOKAHEAD!$A$5:$A$604,A1687)&gt;0,"En Lookahead",IF(P1687="Sí","INCORPORAR",""))</f>
        <v/>
      </c>
    </row>
    <row r="1688" customFormat="false" ht="15" hidden="false" customHeight="false" outlineLevel="0" collapsed="false">
      <c r="A1688" s="13" t="s">
        <v>6059</v>
      </c>
      <c r="B1688" s="13" t="n">
        <v>1683</v>
      </c>
      <c r="C1688" s="13" t="s">
        <v>6060</v>
      </c>
      <c r="D1688" s="13" t="n">
        <v>5</v>
      </c>
      <c r="E1688" s="34" t="s">
        <v>1571</v>
      </c>
      <c r="F1688" s="13" t="s">
        <v>1298</v>
      </c>
      <c r="G1688" s="13" t="s">
        <v>322</v>
      </c>
      <c r="H1688" s="13" t="s">
        <v>6036</v>
      </c>
      <c r="I1688" s="13" t="s">
        <v>123</v>
      </c>
      <c r="J1688" s="13" t="s">
        <v>6036</v>
      </c>
      <c r="K1688" s="30" t="n">
        <v>10</v>
      </c>
      <c r="L1688" s="31" t="n">
        <v>45961</v>
      </c>
      <c r="M1688" s="31" t="n">
        <v>45970</v>
      </c>
      <c r="N1688" s="13"/>
      <c r="O1688" s="13"/>
      <c r="P1688" s="13"/>
      <c r="Q1688" s="13"/>
    </row>
    <row r="1689" customFormat="false" ht="15" hidden="false" customHeight="false" outlineLevel="0" collapsed="false">
      <c r="A1689" s="13" t="s">
        <v>6061</v>
      </c>
      <c r="B1689" s="13" t="n">
        <v>1684</v>
      </c>
      <c r="C1689" s="13" t="s">
        <v>6062</v>
      </c>
      <c r="D1689" s="13" t="n">
        <v>6</v>
      </c>
      <c r="E1689" s="36" t="s">
        <v>1581</v>
      </c>
      <c r="F1689" s="13" t="s">
        <v>1298</v>
      </c>
      <c r="G1689" s="13" t="s">
        <v>322</v>
      </c>
      <c r="H1689" s="13" t="s">
        <v>6036</v>
      </c>
      <c r="I1689" s="13" t="s">
        <v>123</v>
      </c>
      <c r="J1689" s="13" t="s">
        <v>1571</v>
      </c>
      <c r="K1689" s="30" t="n">
        <v>2</v>
      </c>
      <c r="L1689" s="31" t="n">
        <v>45961</v>
      </c>
      <c r="M1689" s="31" t="n">
        <v>45962</v>
      </c>
      <c r="N1689" s="13"/>
      <c r="O1689" s="13"/>
      <c r="P1689" s="13"/>
      <c r="Q1689" s="13"/>
    </row>
    <row r="1690" customFormat="false" ht="15" hidden="false" customHeight="false" outlineLevel="0" collapsed="false">
      <c r="A1690" s="16" t="s">
        <v>6063</v>
      </c>
      <c r="B1690" s="16" t="n">
        <v>1685</v>
      </c>
      <c r="C1690" s="16" t="s">
        <v>6064</v>
      </c>
      <c r="D1690" s="16" t="n">
        <v>7</v>
      </c>
      <c r="E1690" s="37" t="s">
        <v>1584</v>
      </c>
      <c r="F1690" s="16" t="s">
        <v>1285</v>
      </c>
      <c r="G1690" s="16" t="s">
        <v>322</v>
      </c>
      <c r="H1690" s="16" t="s">
        <v>6036</v>
      </c>
      <c r="I1690" s="16" t="s">
        <v>123</v>
      </c>
      <c r="J1690" s="16" t="s">
        <v>1581</v>
      </c>
      <c r="K1690" s="32" t="n">
        <v>1</v>
      </c>
      <c r="L1690" s="33" t="n">
        <v>45962</v>
      </c>
      <c r="M1690" s="33" t="n">
        <v>45962</v>
      </c>
      <c r="N1690" s="16" t="s">
        <v>6065</v>
      </c>
      <c r="O1690" s="16"/>
      <c r="P1690" s="16" t="str">
        <f aca="false">IF(AND(L1690&lt;=$D$2,M1690&gt;=$C$2),"Sí","")</f>
        <v/>
      </c>
      <c r="Q1690" s="18" t="str">
        <f aca="false">IF(COUNTIF(LOOKAHEAD!$A$5:$A$604,A1690)&gt;0,"En Lookahead",IF(P1690="Sí","INCORPORAR",""))</f>
        <v/>
      </c>
    </row>
    <row r="1691" customFormat="false" ht="15" hidden="false" customHeight="false" outlineLevel="0" collapsed="false">
      <c r="A1691" s="16" t="s">
        <v>6066</v>
      </c>
      <c r="B1691" s="16" t="n">
        <v>1686</v>
      </c>
      <c r="C1691" s="16" t="s">
        <v>6067</v>
      </c>
      <c r="D1691" s="16" t="n">
        <v>7</v>
      </c>
      <c r="E1691" s="37" t="s">
        <v>1588</v>
      </c>
      <c r="F1691" s="16" t="s">
        <v>1285</v>
      </c>
      <c r="G1691" s="16" t="s">
        <v>322</v>
      </c>
      <c r="H1691" s="16" t="s">
        <v>6036</v>
      </c>
      <c r="I1691" s="16" t="s">
        <v>123</v>
      </c>
      <c r="J1691" s="16" t="s">
        <v>1581</v>
      </c>
      <c r="K1691" s="32" t="n">
        <v>1</v>
      </c>
      <c r="L1691" s="33" t="n">
        <v>45961</v>
      </c>
      <c r="M1691" s="33" t="n">
        <v>45961</v>
      </c>
      <c r="N1691" s="16" t="s">
        <v>6043</v>
      </c>
      <c r="O1691" s="16"/>
      <c r="P1691" s="16" t="str">
        <f aca="false">IF(AND(L1691&lt;=$D$2,M1691&gt;=$C$2),"Sí","")</f>
        <v/>
      </c>
      <c r="Q1691" s="18" t="str">
        <f aca="false">IF(COUNTIF(LOOKAHEAD!$A$5:$A$604,A1691)&gt;0,"En Lookahead",IF(P1691="Sí","INCORPORAR",""))</f>
        <v/>
      </c>
    </row>
    <row r="1692" customFormat="false" ht="15" hidden="false" customHeight="false" outlineLevel="0" collapsed="false">
      <c r="A1692" s="13" t="s">
        <v>6068</v>
      </c>
      <c r="B1692" s="13" t="n">
        <v>1687</v>
      </c>
      <c r="C1692" s="13" t="s">
        <v>6069</v>
      </c>
      <c r="D1692" s="13" t="n">
        <v>6</v>
      </c>
      <c r="E1692" s="36" t="s">
        <v>1592</v>
      </c>
      <c r="F1692" s="13" t="s">
        <v>1298</v>
      </c>
      <c r="G1692" s="13" t="s">
        <v>322</v>
      </c>
      <c r="H1692" s="13" t="s">
        <v>6036</v>
      </c>
      <c r="I1692" s="13" t="s">
        <v>123</v>
      </c>
      <c r="J1692" s="13" t="s">
        <v>1571</v>
      </c>
      <c r="K1692" s="30" t="n">
        <v>3</v>
      </c>
      <c r="L1692" s="31" t="n">
        <v>45963</v>
      </c>
      <c r="M1692" s="31" t="n">
        <v>45965</v>
      </c>
      <c r="N1692" s="13"/>
      <c r="O1692" s="13"/>
      <c r="P1692" s="13"/>
      <c r="Q1692" s="13"/>
    </row>
    <row r="1693" customFormat="false" ht="15" hidden="false" customHeight="false" outlineLevel="0" collapsed="false">
      <c r="A1693" s="16" t="s">
        <v>6070</v>
      </c>
      <c r="B1693" s="16" t="n">
        <v>1688</v>
      </c>
      <c r="C1693" s="16" t="s">
        <v>6071</v>
      </c>
      <c r="D1693" s="16" t="n">
        <v>7</v>
      </c>
      <c r="E1693" s="37" t="s">
        <v>1595</v>
      </c>
      <c r="F1693" s="16" t="s">
        <v>1285</v>
      </c>
      <c r="G1693" s="16" t="s">
        <v>322</v>
      </c>
      <c r="H1693" s="16" t="s">
        <v>6036</v>
      </c>
      <c r="I1693" s="16" t="s">
        <v>123</v>
      </c>
      <c r="J1693" s="16" t="s">
        <v>1592</v>
      </c>
      <c r="K1693" s="32" t="n">
        <v>1</v>
      </c>
      <c r="L1693" s="33" t="n">
        <v>45964</v>
      </c>
      <c r="M1693" s="33" t="n">
        <v>45964</v>
      </c>
      <c r="N1693" s="16" t="s">
        <v>6072</v>
      </c>
      <c r="O1693" s="16"/>
      <c r="P1693" s="16" t="str">
        <f aca="false">IF(AND(L1693&lt;=$D$2,M1693&gt;=$C$2),"Sí","")</f>
        <v/>
      </c>
      <c r="Q1693" s="18" t="str">
        <f aca="false">IF(COUNTIF(LOOKAHEAD!$A$5:$A$604,A1693)&gt;0,"En Lookahead",IF(P1693="Sí","INCORPORAR",""))</f>
        <v/>
      </c>
    </row>
    <row r="1694" customFormat="false" ht="15" hidden="false" customHeight="false" outlineLevel="0" collapsed="false">
      <c r="A1694" s="16" t="s">
        <v>6073</v>
      </c>
      <c r="B1694" s="16" t="n">
        <v>1689</v>
      </c>
      <c r="C1694" s="16" t="s">
        <v>6074</v>
      </c>
      <c r="D1694" s="16" t="n">
        <v>7</v>
      </c>
      <c r="E1694" s="37" t="s">
        <v>1588</v>
      </c>
      <c r="F1694" s="16" t="s">
        <v>1285</v>
      </c>
      <c r="G1694" s="16" t="s">
        <v>322</v>
      </c>
      <c r="H1694" s="16" t="s">
        <v>6036</v>
      </c>
      <c r="I1694" s="16" t="s">
        <v>123</v>
      </c>
      <c r="J1694" s="16" t="s">
        <v>1592</v>
      </c>
      <c r="K1694" s="32" t="n">
        <v>1</v>
      </c>
      <c r="L1694" s="33" t="n">
        <v>45963</v>
      </c>
      <c r="M1694" s="33" t="n">
        <v>45963</v>
      </c>
      <c r="N1694" s="16" t="s">
        <v>6075</v>
      </c>
      <c r="O1694" s="16"/>
      <c r="P1694" s="16" t="str">
        <f aca="false">IF(AND(L1694&lt;=$D$2,M1694&gt;=$C$2),"Sí","")</f>
        <v/>
      </c>
      <c r="Q1694" s="18" t="str">
        <f aca="false">IF(COUNTIF(LOOKAHEAD!$A$5:$A$604,A1694)&gt;0,"En Lookahead",IF(P1694="Sí","INCORPORAR",""))</f>
        <v/>
      </c>
    </row>
    <row r="1695" customFormat="false" ht="15" hidden="false" customHeight="false" outlineLevel="0" collapsed="false">
      <c r="A1695" s="16" t="s">
        <v>6076</v>
      </c>
      <c r="B1695" s="16" t="n">
        <v>1690</v>
      </c>
      <c r="C1695" s="16" t="s">
        <v>6077</v>
      </c>
      <c r="D1695" s="16" t="n">
        <v>7</v>
      </c>
      <c r="E1695" s="37" t="s">
        <v>1602</v>
      </c>
      <c r="F1695" s="16" t="s">
        <v>1285</v>
      </c>
      <c r="G1695" s="16" t="s">
        <v>322</v>
      </c>
      <c r="H1695" s="16" t="s">
        <v>6036</v>
      </c>
      <c r="I1695" s="16" t="s">
        <v>123</v>
      </c>
      <c r="J1695" s="16" t="s">
        <v>1592</v>
      </c>
      <c r="K1695" s="32" t="n">
        <v>1</v>
      </c>
      <c r="L1695" s="33" t="n">
        <v>45965</v>
      </c>
      <c r="M1695" s="33" t="n">
        <v>45965</v>
      </c>
      <c r="N1695" s="16" t="s">
        <v>6046</v>
      </c>
      <c r="O1695" s="16"/>
      <c r="P1695" s="16" t="str">
        <f aca="false">IF(AND(L1695&lt;=$D$2,M1695&gt;=$C$2),"Sí","")</f>
        <v/>
      </c>
      <c r="Q1695" s="18" t="str">
        <f aca="false">IF(COUNTIF(LOOKAHEAD!$A$5:$A$604,A1695)&gt;0,"En Lookahead",IF(P1695="Sí","INCORPORAR",""))</f>
        <v/>
      </c>
    </row>
    <row r="1696" customFormat="false" ht="15" hidden="false" customHeight="false" outlineLevel="0" collapsed="false">
      <c r="A1696" s="13" t="s">
        <v>6078</v>
      </c>
      <c r="B1696" s="13" t="n">
        <v>1691</v>
      </c>
      <c r="C1696" s="13" t="s">
        <v>6079</v>
      </c>
      <c r="D1696" s="13" t="n">
        <v>6</v>
      </c>
      <c r="E1696" s="36" t="s">
        <v>1606</v>
      </c>
      <c r="F1696" s="13" t="s">
        <v>1298</v>
      </c>
      <c r="G1696" s="13" t="s">
        <v>322</v>
      </c>
      <c r="H1696" s="13" t="s">
        <v>6036</v>
      </c>
      <c r="I1696" s="13" t="s">
        <v>123</v>
      </c>
      <c r="J1696" s="13" t="s">
        <v>1571</v>
      </c>
      <c r="K1696" s="30" t="n">
        <v>4</v>
      </c>
      <c r="L1696" s="31" t="n">
        <v>45961</v>
      </c>
      <c r="M1696" s="31" t="n">
        <v>45964</v>
      </c>
      <c r="N1696" s="13"/>
      <c r="O1696" s="13"/>
      <c r="P1696" s="13"/>
      <c r="Q1696" s="13"/>
    </row>
    <row r="1697" customFormat="false" ht="15" hidden="false" customHeight="false" outlineLevel="0" collapsed="false">
      <c r="A1697" s="16" t="s">
        <v>6080</v>
      </c>
      <c r="B1697" s="16" t="n">
        <v>1692</v>
      </c>
      <c r="C1697" s="16" t="s">
        <v>6081</v>
      </c>
      <c r="D1697" s="16" t="n">
        <v>7</v>
      </c>
      <c r="E1697" s="37" t="s">
        <v>1609</v>
      </c>
      <c r="F1697" s="16" t="s">
        <v>1285</v>
      </c>
      <c r="G1697" s="16" t="s">
        <v>322</v>
      </c>
      <c r="H1697" s="16" t="s">
        <v>6036</v>
      </c>
      <c r="I1697" s="16" t="s">
        <v>123</v>
      </c>
      <c r="J1697" s="16" t="s">
        <v>1606</v>
      </c>
      <c r="K1697" s="32" t="n">
        <v>2</v>
      </c>
      <c r="L1697" s="33" t="n">
        <v>45963</v>
      </c>
      <c r="M1697" s="33" t="n">
        <v>45964</v>
      </c>
      <c r="N1697" s="16" t="s">
        <v>6082</v>
      </c>
      <c r="O1697" s="16"/>
      <c r="P1697" s="16" t="str">
        <f aca="false">IF(AND(L1697&lt;=$D$2,M1697&gt;=$C$2),"Sí","")</f>
        <v/>
      </c>
      <c r="Q1697" s="18" t="str">
        <f aca="false">IF(COUNTIF(LOOKAHEAD!$A$5:$A$604,A1697)&gt;0,"En Lookahead",IF(P1697="Sí","INCORPORAR",""))</f>
        <v/>
      </c>
    </row>
    <row r="1698" customFormat="false" ht="15" hidden="false" customHeight="false" outlineLevel="0" collapsed="false">
      <c r="A1698" s="16" t="s">
        <v>6083</v>
      </c>
      <c r="B1698" s="16" t="n">
        <v>1693</v>
      </c>
      <c r="C1698" s="16" t="s">
        <v>6084</v>
      </c>
      <c r="D1698" s="16" t="n">
        <v>7</v>
      </c>
      <c r="E1698" s="37" t="s">
        <v>1588</v>
      </c>
      <c r="F1698" s="16" t="s">
        <v>1285</v>
      </c>
      <c r="G1698" s="16" t="s">
        <v>322</v>
      </c>
      <c r="H1698" s="16" t="s">
        <v>6036</v>
      </c>
      <c r="I1698" s="16" t="s">
        <v>123</v>
      </c>
      <c r="J1698" s="16" t="s">
        <v>1606</v>
      </c>
      <c r="K1698" s="32" t="n">
        <v>2</v>
      </c>
      <c r="L1698" s="33" t="n">
        <v>45961</v>
      </c>
      <c r="M1698" s="33" t="n">
        <v>45962</v>
      </c>
      <c r="N1698" s="16" t="s">
        <v>6043</v>
      </c>
      <c r="O1698" s="16"/>
      <c r="P1698" s="16" t="str">
        <f aca="false">IF(AND(L1698&lt;=$D$2,M1698&gt;=$C$2),"Sí","")</f>
        <v/>
      </c>
      <c r="Q1698" s="18" t="str">
        <f aca="false">IF(COUNTIF(LOOKAHEAD!$A$5:$A$604,A1698)&gt;0,"En Lookahead",IF(P1698="Sí","INCORPORAR",""))</f>
        <v/>
      </c>
    </row>
    <row r="1699" customFormat="false" ht="15" hidden="false" customHeight="false" outlineLevel="0" collapsed="false">
      <c r="A1699" s="13" t="s">
        <v>6085</v>
      </c>
      <c r="B1699" s="13" t="n">
        <v>1694</v>
      </c>
      <c r="C1699" s="13" t="s">
        <v>6086</v>
      </c>
      <c r="D1699" s="13" t="n">
        <v>6</v>
      </c>
      <c r="E1699" s="36" t="s">
        <v>1616</v>
      </c>
      <c r="F1699" s="13" t="s">
        <v>1298</v>
      </c>
      <c r="G1699" s="13" t="s">
        <v>322</v>
      </c>
      <c r="H1699" s="13" t="s">
        <v>6036</v>
      </c>
      <c r="I1699" s="13" t="s">
        <v>123</v>
      </c>
      <c r="J1699" s="13" t="s">
        <v>1571</v>
      </c>
      <c r="K1699" s="30" t="n">
        <v>1</v>
      </c>
      <c r="L1699" s="31" t="n">
        <v>45970</v>
      </c>
      <c r="M1699" s="31" t="n">
        <v>45970</v>
      </c>
      <c r="N1699" s="13"/>
      <c r="O1699" s="13"/>
      <c r="P1699" s="13"/>
      <c r="Q1699" s="13"/>
    </row>
    <row r="1700" customFormat="false" ht="15" hidden="false" customHeight="false" outlineLevel="0" collapsed="false">
      <c r="A1700" s="16" t="s">
        <v>6087</v>
      </c>
      <c r="B1700" s="16" t="n">
        <v>1695</v>
      </c>
      <c r="C1700" s="16" t="s">
        <v>6088</v>
      </c>
      <c r="D1700" s="16" t="n">
        <v>7</v>
      </c>
      <c r="E1700" s="37" t="s">
        <v>1619</v>
      </c>
      <c r="F1700" s="16" t="s">
        <v>1285</v>
      </c>
      <c r="G1700" s="16" t="s">
        <v>322</v>
      </c>
      <c r="H1700" s="16" t="s">
        <v>6036</v>
      </c>
      <c r="I1700" s="16" t="s">
        <v>123</v>
      </c>
      <c r="J1700" s="16" t="s">
        <v>1616</v>
      </c>
      <c r="K1700" s="32" t="n">
        <v>1</v>
      </c>
      <c r="L1700" s="33" t="n">
        <v>45970</v>
      </c>
      <c r="M1700" s="33" t="n">
        <v>45970</v>
      </c>
      <c r="N1700" s="16" t="s">
        <v>6055</v>
      </c>
      <c r="O1700" s="16"/>
      <c r="P1700" s="16" t="str">
        <f aca="false">IF(AND(L1700&lt;=$D$2,M1700&gt;=$C$2),"Sí","")</f>
        <v/>
      </c>
      <c r="Q1700" s="18" t="str">
        <f aca="false">IF(COUNTIF(LOOKAHEAD!$A$5:$A$604,A1700)&gt;0,"En Lookahead",IF(P1700="Sí","INCORPORAR",""))</f>
        <v/>
      </c>
    </row>
    <row r="1701" customFormat="false" ht="15" hidden="false" customHeight="false" outlineLevel="0" collapsed="false">
      <c r="A1701" s="13" t="s">
        <v>6089</v>
      </c>
      <c r="B1701" s="13" t="n">
        <v>1696</v>
      </c>
      <c r="C1701" s="13" t="s">
        <v>6090</v>
      </c>
      <c r="D1701" s="13" t="n">
        <v>5</v>
      </c>
      <c r="E1701" s="34" t="s">
        <v>1623</v>
      </c>
      <c r="F1701" s="13" t="s">
        <v>1298</v>
      </c>
      <c r="G1701" s="13" t="s">
        <v>322</v>
      </c>
      <c r="H1701" s="13" t="s">
        <v>6036</v>
      </c>
      <c r="I1701" s="13" t="s">
        <v>123</v>
      </c>
      <c r="J1701" s="13" t="s">
        <v>6036</v>
      </c>
      <c r="K1701" s="30" t="n">
        <v>60</v>
      </c>
      <c r="L1701" s="31" t="n">
        <v>45965</v>
      </c>
      <c r="M1701" s="31" t="n">
        <v>46024</v>
      </c>
      <c r="N1701" s="13"/>
      <c r="O1701" s="13"/>
      <c r="P1701" s="13"/>
      <c r="Q1701" s="13"/>
    </row>
    <row r="1702" customFormat="false" ht="15" hidden="false" customHeight="false" outlineLevel="0" collapsed="false">
      <c r="A1702" s="13" t="s">
        <v>6091</v>
      </c>
      <c r="B1702" s="13" t="n">
        <v>1697</v>
      </c>
      <c r="C1702" s="13" t="s">
        <v>6092</v>
      </c>
      <c r="D1702" s="13" t="n">
        <v>6</v>
      </c>
      <c r="E1702" s="36" t="s">
        <v>1626</v>
      </c>
      <c r="F1702" s="13" t="s">
        <v>1298</v>
      </c>
      <c r="G1702" s="13" t="s">
        <v>322</v>
      </c>
      <c r="H1702" s="13" t="s">
        <v>6036</v>
      </c>
      <c r="I1702" s="13" t="s">
        <v>123</v>
      </c>
      <c r="J1702" s="13" t="s">
        <v>1623</v>
      </c>
      <c r="K1702" s="30" t="n">
        <v>8</v>
      </c>
      <c r="L1702" s="31" t="n">
        <v>45965</v>
      </c>
      <c r="M1702" s="31" t="n">
        <v>45972</v>
      </c>
      <c r="N1702" s="13"/>
      <c r="O1702" s="13"/>
      <c r="P1702" s="13"/>
      <c r="Q1702" s="13"/>
    </row>
    <row r="1703" customFormat="false" ht="15" hidden="false" customHeight="false" outlineLevel="0" collapsed="false">
      <c r="A1703" s="16" t="s">
        <v>6093</v>
      </c>
      <c r="B1703" s="16" t="n">
        <v>1698</v>
      </c>
      <c r="C1703" s="16" t="s">
        <v>6094</v>
      </c>
      <c r="D1703" s="16" t="n">
        <v>7</v>
      </c>
      <c r="E1703" s="37" t="s">
        <v>1629</v>
      </c>
      <c r="F1703" s="16" t="s">
        <v>1285</v>
      </c>
      <c r="G1703" s="16" t="s">
        <v>322</v>
      </c>
      <c r="H1703" s="16" t="s">
        <v>6036</v>
      </c>
      <c r="I1703" s="16" t="s">
        <v>123</v>
      </c>
      <c r="J1703" s="16" t="s">
        <v>1626</v>
      </c>
      <c r="K1703" s="32" t="n">
        <v>1</v>
      </c>
      <c r="L1703" s="33" t="n">
        <v>45971</v>
      </c>
      <c r="M1703" s="33" t="n">
        <v>45971</v>
      </c>
      <c r="N1703" s="16" t="s">
        <v>6095</v>
      </c>
      <c r="O1703" s="16"/>
      <c r="P1703" s="16" t="str">
        <f aca="false">IF(AND(L1703&lt;=$D$2,M1703&gt;=$C$2),"Sí","")</f>
        <v/>
      </c>
      <c r="Q1703" s="18" t="str">
        <f aca="false">IF(COUNTIF(LOOKAHEAD!$A$5:$A$604,A1703)&gt;0,"En Lookahead",IF(P1703="Sí","INCORPORAR",""))</f>
        <v/>
      </c>
    </row>
    <row r="1704" customFormat="false" ht="15" hidden="false" customHeight="false" outlineLevel="0" collapsed="false">
      <c r="A1704" s="16" t="s">
        <v>6096</v>
      </c>
      <c r="B1704" s="16" t="n">
        <v>1699</v>
      </c>
      <c r="C1704" s="16" t="s">
        <v>6097</v>
      </c>
      <c r="D1704" s="16" t="n">
        <v>7</v>
      </c>
      <c r="E1704" s="37" t="s">
        <v>1633</v>
      </c>
      <c r="F1704" s="16" t="s">
        <v>1285</v>
      </c>
      <c r="G1704" s="16" t="s">
        <v>322</v>
      </c>
      <c r="H1704" s="16" t="s">
        <v>6036</v>
      </c>
      <c r="I1704" s="16" t="s">
        <v>123</v>
      </c>
      <c r="J1704" s="16" t="s">
        <v>1626</v>
      </c>
      <c r="K1704" s="32" t="n">
        <v>1</v>
      </c>
      <c r="L1704" s="33" t="n">
        <v>45970</v>
      </c>
      <c r="M1704" s="33" t="n">
        <v>45970</v>
      </c>
      <c r="N1704" s="16" t="s">
        <v>6098</v>
      </c>
      <c r="O1704" s="16"/>
      <c r="P1704" s="16" t="str">
        <f aca="false">IF(AND(L1704&lt;=$D$2,M1704&gt;=$C$2),"Sí","")</f>
        <v/>
      </c>
      <c r="Q1704" s="18" t="str">
        <f aca="false">IF(COUNTIF(LOOKAHEAD!$A$5:$A$604,A1704)&gt;0,"En Lookahead",IF(P1704="Sí","INCORPORAR",""))</f>
        <v/>
      </c>
    </row>
    <row r="1705" customFormat="false" ht="15" hidden="false" customHeight="false" outlineLevel="0" collapsed="false">
      <c r="A1705" s="16" t="s">
        <v>6099</v>
      </c>
      <c r="B1705" s="16" t="n">
        <v>1700</v>
      </c>
      <c r="C1705" s="16" t="s">
        <v>6100</v>
      </c>
      <c r="D1705" s="16" t="n">
        <v>7</v>
      </c>
      <c r="E1705" s="37" t="s">
        <v>1637</v>
      </c>
      <c r="F1705" s="16" t="s">
        <v>1285</v>
      </c>
      <c r="G1705" s="16" t="s">
        <v>322</v>
      </c>
      <c r="H1705" s="16" t="s">
        <v>6036</v>
      </c>
      <c r="I1705" s="16" t="s">
        <v>123</v>
      </c>
      <c r="J1705" s="16" t="s">
        <v>1626</v>
      </c>
      <c r="K1705" s="32" t="n">
        <v>5</v>
      </c>
      <c r="L1705" s="33" t="n">
        <v>45965</v>
      </c>
      <c r="M1705" s="33" t="n">
        <v>45969</v>
      </c>
      <c r="N1705" s="16" t="s">
        <v>6101</v>
      </c>
      <c r="O1705" s="16"/>
      <c r="P1705" s="16" t="str">
        <f aca="false">IF(AND(L1705&lt;=$D$2,M1705&gt;=$C$2),"Sí","")</f>
        <v/>
      </c>
      <c r="Q1705" s="18" t="str">
        <f aca="false">IF(COUNTIF(LOOKAHEAD!$A$5:$A$604,A1705)&gt;0,"En Lookahead",IF(P1705="Sí","INCORPORAR",""))</f>
        <v/>
      </c>
    </row>
    <row r="1706" customFormat="false" ht="15" hidden="false" customHeight="false" outlineLevel="0" collapsed="false">
      <c r="A1706" s="16" t="s">
        <v>6102</v>
      </c>
      <c r="B1706" s="16" t="n">
        <v>1701</v>
      </c>
      <c r="C1706" s="16" t="s">
        <v>6103</v>
      </c>
      <c r="D1706" s="16" t="n">
        <v>7</v>
      </c>
      <c r="E1706" s="37" t="s">
        <v>1602</v>
      </c>
      <c r="F1706" s="16" t="s">
        <v>1285</v>
      </c>
      <c r="G1706" s="16" t="s">
        <v>322</v>
      </c>
      <c r="H1706" s="16" t="s">
        <v>6036</v>
      </c>
      <c r="I1706" s="16" t="s">
        <v>123</v>
      </c>
      <c r="J1706" s="16" t="s">
        <v>1626</v>
      </c>
      <c r="K1706" s="32" t="n">
        <v>1</v>
      </c>
      <c r="L1706" s="33" t="n">
        <v>45972</v>
      </c>
      <c r="M1706" s="33" t="n">
        <v>45972</v>
      </c>
      <c r="N1706" s="16" t="s">
        <v>6104</v>
      </c>
      <c r="O1706" s="16"/>
      <c r="P1706" s="16" t="str">
        <f aca="false">IF(AND(L1706&lt;=$D$2,M1706&gt;=$C$2),"Sí","")</f>
        <v/>
      </c>
      <c r="Q1706" s="18" t="str">
        <f aca="false">IF(COUNTIF(LOOKAHEAD!$A$5:$A$604,A1706)&gt;0,"En Lookahead",IF(P1706="Sí","INCORPORAR",""))</f>
        <v/>
      </c>
    </row>
    <row r="1707" customFormat="false" ht="15" hidden="false" customHeight="false" outlineLevel="0" collapsed="false">
      <c r="A1707" s="13" t="s">
        <v>6105</v>
      </c>
      <c r="B1707" s="13" t="n">
        <v>1702</v>
      </c>
      <c r="C1707" s="13" t="s">
        <v>6106</v>
      </c>
      <c r="D1707" s="13" t="n">
        <v>6</v>
      </c>
      <c r="E1707" s="36" t="s">
        <v>1660</v>
      </c>
      <c r="F1707" s="13" t="s">
        <v>1298</v>
      </c>
      <c r="G1707" s="13" t="s">
        <v>322</v>
      </c>
      <c r="H1707" s="13" t="s">
        <v>6036</v>
      </c>
      <c r="I1707" s="13" t="s">
        <v>123</v>
      </c>
      <c r="J1707" s="13" t="s">
        <v>1623</v>
      </c>
      <c r="K1707" s="30" t="n">
        <v>39</v>
      </c>
      <c r="L1707" s="31" t="n">
        <v>45972</v>
      </c>
      <c r="M1707" s="31" t="n">
        <v>46010</v>
      </c>
      <c r="N1707" s="13"/>
      <c r="O1707" s="13"/>
      <c r="P1707" s="13"/>
      <c r="Q1707" s="13"/>
    </row>
    <row r="1708" customFormat="false" ht="15" hidden="false" customHeight="false" outlineLevel="0" collapsed="false">
      <c r="A1708" s="13" t="s">
        <v>6107</v>
      </c>
      <c r="B1708" s="13" t="n">
        <v>1703</v>
      </c>
      <c r="C1708" s="13" t="s">
        <v>6108</v>
      </c>
      <c r="D1708" s="13" t="n">
        <v>7</v>
      </c>
      <c r="E1708" s="38" t="s">
        <v>1663</v>
      </c>
      <c r="F1708" s="13" t="s">
        <v>1298</v>
      </c>
      <c r="G1708" s="13" t="s">
        <v>322</v>
      </c>
      <c r="H1708" s="13" t="s">
        <v>6036</v>
      </c>
      <c r="I1708" s="13" t="s">
        <v>123</v>
      </c>
      <c r="J1708" s="13" t="s">
        <v>1660</v>
      </c>
      <c r="K1708" s="30" t="n">
        <v>7</v>
      </c>
      <c r="L1708" s="31" t="n">
        <v>45972</v>
      </c>
      <c r="M1708" s="31" t="n">
        <v>45978</v>
      </c>
      <c r="N1708" s="13"/>
      <c r="O1708" s="13"/>
      <c r="P1708" s="13"/>
      <c r="Q1708" s="13"/>
    </row>
    <row r="1709" customFormat="false" ht="15" hidden="false" customHeight="false" outlineLevel="0" collapsed="false">
      <c r="A1709" s="16" t="s">
        <v>6109</v>
      </c>
      <c r="B1709" s="16" t="n">
        <v>1704</v>
      </c>
      <c r="C1709" s="16" t="s">
        <v>6110</v>
      </c>
      <c r="D1709" s="16" t="n">
        <v>8</v>
      </c>
      <c r="E1709" s="39" t="s">
        <v>1666</v>
      </c>
      <c r="F1709" s="16" t="s">
        <v>1285</v>
      </c>
      <c r="G1709" s="16" t="s">
        <v>322</v>
      </c>
      <c r="H1709" s="16" t="s">
        <v>6036</v>
      </c>
      <c r="I1709" s="16" t="s">
        <v>123</v>
      </c>
      <c r="J1709" s="16" t="s">
        <v>1663</v>
      </c>
      <c r="K1709" s="32" t="n">
        <v>1</v>
      </c>
      <c r="L1709" s="33" t="n">
        <v>45977</v>
      </c>
      <c r="M1709" s="33" t="n">
        <v>45977</v>
      </c>
      <c r="N1709" s="16" t="s">
        <v>6111</v>
      </c>
      <c r="O1709" s="16"/>
      <c r="P1709" s="16" t="str">
        <f aca="false">IF(AND(L1709&lt;=$D$2,M1709&gt;=$C$2),"Sí","")</f>
        <v/>
      </c>
      <c r="Q1709" s="18" t="str">
        <f aca="false">IF(COUNTIF(LOOKAHEAD!$A$5:$A$604,A1709)&gt;0,"En Lookahead",IF(P1709="Sí","INCORPORAR",""))</f>
        <v/>
      </c>
    </row>
    <row r="1710" customFormat="false" ht="15" hidden="false" customHeight="false" outlineLevel="0" collapsed="false">
      <c r="A1710" s="16" t="s">
        <v>6112</v>
      </c>
      <c r="B1710" s="16" t="n">
        <v>1705</v>
      </c>
      <c r="C1710" s="16" t="s">
        <v>6113</v>
      </c>
      <c r="D1710" s="16" t="n">
        <v>8</v>
      </c>
      <c r="E1710" s="39" t="s">
        <v>1670</v>
      </c>
      <c r="F1710" s="16" t="s">
        <v>1285</v>
      </c>
      <c r="G1710" s="16" t="s">
        <v>322</v>
      </c>
      <c r="H1710" s="16" t="s">
        <v>6036</v>
      </c>
      <c r="I1710" s="16" t="s">
        <v>123</v>
      </c>
      <c r="J1710" s="16" t="s">
        <v>1663</v>
      </c>
      <c r="K1710" s="32" t="n">
        <v>3</v>
      </c>
      <c r="L1710" s="33" t="n">
        <v>45974</v>
      </c>
      <c r="M1710" s="33" t="n">
        <v>45976</v>
      </c>
      <c r="N1710" s="16" t="s">
        <v>6114</v>
      </c>
      <c r="O1710" s="16"/>
      <c r="P1710" s="16" t="str">
        <f aca="false">IF(AND(L1710&lt;=$D$2,M1710&gt;=$C$2),"Sí","")</f>
        <v/>
      </c>
      <c r="Q1710" s="18" t="str">
        <f aca="false">IF(COUNTIF(LOOKAHEAD!$A$5:$A$604,A1710)&gt;0,"En Lookahead",IF(P1710="Sí","INCORPORAR",""))</f>
        <v/>
      </c>
    </row>
    <row r="1711" customFormat="false" ht="15" hidden="false" customHeight="false" outlineLevel="0" collapsed="false">
      <c r="A1711" s="16" t="s">
        <v>6115</v>
      </c>
      <c r="B1711" s="16" t="n">
        <v>1706</v>
      </c>
      <c r="C1711" s="16" t="s">
        <v>6116</v>
      </c>
      <c r="D1711" s="16" t="n">
        <v>8</v>
      </c>
      <c r="E1711" s="39" t="s">
        <v>1674</v>
      </c>
      <c r="F1711" s="16" t="s">
        <v>1285</v>
      </c>
      <c r="G1711" s="16" t="s">
        <v>322</v>
      </c>
      <c r="H1711" s="16" t="s">
        <v>6036</v>
      </c>
      <c r="I1711" s="16" t="s">
        <v>123</v>
      </c>
      <c r="J1711" s="16" t="s">
        <v>1663</v>
      </c>
      <c r="K1711" s="32" t="n">
        <v>2</v>
      </c>
      <c r="L1711" s="33" t="n">
        <v>45972</v>
      </c>
      <c r="M1711" s="33" t="n">
        <v>45973</v>
      </c>
      <c r="N1711" s="16" t="s">
        <v>6104</v>
      </c>
      <c r="O1711" s="16"/>
      <c r="P1711" s="16" t="str">
        <f aca="false">IF(AND(L1711&lt;=$D$2,M1711&gt;=$C$2),"Sí","")</f>
        <v/>
      </c>
      <c r="Q1711" s="18" t="str">
        <f aca="false">IF(COUNTIF(LOOKAHEAD!$A$5:$A$604,A1711)&gt;0,"En Lookahead",IF(P1711="Sí","INCORPORAR",""))</f>
        <v/>
      </c>
    </row>
    <row r="1712" customFormat="false" ht="15" hidden="false" customHeight="false" outlineLevel="0" collapsed="false">
      <c r="A1712" s="16" t="s">
        <v>6117</v>
      </c>
      <c r="B1712" s="16" t="n">
        <v>1707</v>
      </c>
      <c r="C1712" s="16" t="s">
        <v>6118</v>
      </c>
      <c r="D1712" s="16" t="n">
        <v>8</v>
      </c>
      <c r="E1712" s="39" t="s">
        <v>1677</v>
      </c>
      <c r="F1712" s="16" t="s">
        <v>1285</v>
      </c>
      <c r="G1712" s="16" t="s">
        <v>322</v>
      </c>
      <c r="H1712" s="16" t="s">
        <v>6036</v>
      </c>
      <c r="I1712" s="16" t="s">
        <v>123</v>
      </c>
      <c r="J1712" s="16" t="s">
        <v>1663</v>
      </c>
      <c r="K1712" s="32" t="n">
        <v>1</v>
      </c>
      <c r="L1712" s="33" t="n">
        <v>45978</v>
      </c>
      <c r="M1712" s="33" t="n">
        <v>45978</v>
      </c>
      <c r="N1712" s="16" t="s">
        <v>6119</v>
      </c>
      <c r="O1712" s="16"/>
      <c r="P1712" s="16" t="str">
        <f aca="false">IF(AND(L1712&lt;=$D$2,M1712&gt;=$C$2),"Sí","")</f>
        <v/>
      </c>
      <c r="Q1712" s="18" t="str">
        <f aca="false">IF(COUNTIF(LOOKAHEAD!$A$5:$A$604,A1712)&gt;0,"En Lookahead",IF(P1712="Sí","INCORPORAR",""))</f>
        <v/>
      </c>
    </row>
    <row r="1713" customFormat="false" ht="15" hidden="false" customHeight="false" outlineLevel="0" collapsed="false">
      <c r="A1713" s="13" t="s">
        <v>6120</v>
      </c>
      <c r="B1713" s="13" t="n">
        <v>1708</v>
      </c>
      <c r="C1713" s="13" t="s">
        <v>6121</v>
      </c>
      <c r="D1713" s="13" t="n">
        <v>7</v>
      </c>
      <c r="E1713" s="38" t="s">
        <v>1681</v>
      </c>
      <c r="F1713" s="13" t="s">
        <v>1298</v>
      </c>
      <c r="G1713" s="13" t="s">
        <v>322</v>
      </c>
      <c r="H1713" s="13" t="s">
        <v>6036</v>
      </c>
      <c r="I1713" s="13" t="s">
        <v>123</v>
      </c>
      <c r="J1713" s="13" t="s">
        <v>1660</v>
      </c>
      <c r="K1713" s="30" t="n">
        <v>6</v>
      </c>
      <c r="L1713" s="31" t="n">
        <v>45989</v>
      </c>
      <c r="M1713" s="31" t="n">
        <v>45994</v>
      </c>
      <c r="N1713" s="13"/>
      <c r="O1713" s="13"/>
      <c r="P1713" s="13"/>
      <c r="Q1713" s="13"/>
    </row>
    <row r="1714" customFormat="false" ht="15" hidden="false" customHeight="false" outlineLevel="0" collapsed="false">
      <c r="A1714" s="16" t="s">
        <v>6122</v>
      </c>
      <c r="B1714" s="16" t="n">
        <v>1709</v>
      </c>
      <c r="C1714" s="16" t="s">
        <v>6123</v>
      </c>
      <c r="D1714" s="16" t="n">
        <v>8</v>
      </c>
      <c r="E1714" s="39" t="s">
        <v>1684</v>
      </c>
      <c r="F1714" s="16" t="s">
        <v>1285</v>
      </c>
      <c r="G1714" s="16" t="s">
        <v>322</v>
      </c>
      <c r="H1714" s="16" t="s">
        <v>6036</v>
      </c>
      <c r="I1714" s="16" t="s">
        <v>123</v>
      </c>
      <c r="J1714" s="16" t="s">
        <v>1681</v>
      </c>
      <c r="K1714" s="32" t="n">
        <v>1</v>
      </c>
      <c r="L1714" s="33" t="n">
        <v>45993</v>
      </c>
      <c r="M1714" s="33" t="n">
        <v>45993</v>
      </c>
      <c r="N1714" s="16" t="s">
        <v>6124</v>
      </c>
      <c r="O1714" s="16"/>
      <c r="P1714" s="16" t="str">
        <f aca="false">IF(AND(L1714&lt;=$D$2,M1714&gt;=$C$2),"Sí","")</f>
        <v/>
      </c>
      <c r="Q1714" s="18" t="str">
        <f aca="false">IF(COUNTIF(LOOKAHEAD!$A$5:$A$604,A1714)&gt;0,"En Lookahead",IF(P1714="Sí","INCORPORAR",""))</f>
        <v/>
      </c>
    </row>
    <row r="1715" customFormat="false" ht="15" hidden="false" customHeight="false" outlineLevel="0" collapsed="false">
      <c r="A1715" s="16" t="s">
        <v>6125</v>
      </c>
      <c r="B1715" s="16" t="n">
        <v>1710</v>
      </c>
      <c r="C1715" s="16" t="s">
        <v>6126</v>
      </c>
      <c r="D1715" s="16" t="n">
        <v>8</v>
      </c>
      <c r="E1715" s="39" t="s">
        <v>1688</v>
      </c>
      <c r="F1715" s="16" t="s">
        <v>1285</v>
      </c>
      <c r="G1715" s="16" t="s">
        <v>322</v>
      </c>
      <c r="H1715" s="16" t="s">
        <v>6036</v>
      </c>
      <c r="I1715" s="16" t="s">
        <v>123</v>
      </c>
      <c r="J1715" s="16" t="s">
        <v>1681</v>
      </c>
      <c r="K1715" s="32" t="n">
        <v>2</v>
      </c>
      <c r="L1715" s="33" t="n">
        <v>45991</v>
      </c>
      <c r="M1715" s="33" t="n">
        <v>45992</v>
      </c>
      <c r="N1715" s="16" t="s">
        <v>6127</v>
      </c>
      <c r="O1715" s="16"/>
      <c r="P1715" s="16" t="str">
        <f aca="false">IF(AND(L1715&lt;=$D$2,M1715&gt;=$C$2),"Sí","")</f>
        <v/>
      </c>
      <c r="Q1715" s="18" t="str">
        <f aca="false">IF(COUNTIF(LOOKAHEAD!$A$5:$A$604,A1715)&gt;0,"En Lookahead",IF(P1715="Sí","INCORPORAR",""))</f>
        <v/>
      </c>
    </row>
    <row r="1716" customFormat="false" ht="15" hidden="false" customHeight="false" outlineLevel="0" collapsed="false">
      <c r="A1716" s="16" t="s">
        <v>6128</v>
      </c>
      <c r="B1716" s="16" t="n">
        <v>1711</v>
      </c>
      <c r="C1716" s="16" t="s">
        <v>6129</v>
      </c>
      <c r="D1716" s="16" t="n">
        <v>8</v>
      </c>
      <c r="E1716" s="39" t="s">
        <v>1674</v>
      </c>
      <c r="F1716" s="16" t="s">
        <v>1285</v>
      </c>
      <c r="G1716" s="16" t="s">
        <v>322</v>
      </c>
      <c r="H1716" s="16" t="s">
        <v>6036</v>
      </c>
      <c r="I1716" s="16" t="s">
        <v>123</v>
      </c>
      <c r="J1716" s="16" t="s">
        <v>1681</v>
      </c>
      <c r="K1716" s="32" t="n">
        <v>2</v>
      </c>
      <c r="L1716" s="33" t="n">
        <v>45989</v>
      </c>
      <c r="M1716" s="33" t="n">
        <v>45990</v>
      </c>
      <c r="N1716" s="16" t="s">
        <v>6130</v>
      </c>
      <c r="O1716" s="16"/>
      <c r="P1716" s="16" t="str">
        <f aca="false">IF(AND(L1716&lt;=$D$2,M1716&gt;=$C$2),"Sí","")</f>
        <v/>
      </c>
      <c r="Q1716" s="18" t="str">
        <f aca="false">IF(COUNTIF(LOOKAHEAD!$A$5:$A$604,A1716)&gt;0,"En Lookahead",IF(P1716="Sí","INCORPORAR",""))</f>
        <v/>
      </c>
    </row>
    <row r="1717" customFormat="false" ht="15" hidden="false" customHeight="false" outlineLevel="0" collapsed="false">
      <c r="A1717" s="16" t="s">
        <v>6131</v>
      </c>
      <c r="B1717" s="16" t="n">
        <v>1712</v>
      </c>
      <c r="C1717" s="16" t="s">
        <v>6132</v>
      </c>
      <c r="D1717" s="16" t="n">
        <v>8</v>
      </c>
      <c r="E1717" s="39" t="s">
        <v>1677</v>
      </c>
      <c r="F1717" s="16" t="s">
        <v>1285</v>
      </c>
      <c r="G1717" s="16" t="s">
        <v>322</v>
      </c>
      <c r="H1717" s="16" t="s">
        <v>6036</v>
      </c>
      <c r="I1717" s="16" t="s">
        <v>123</v>
      </c>
      <c r="J1717" s="16" t="s">
        <v>1681</v>
      </c>
      <c r="K1717" s="32" t="n">
        <v>1</v>
      </c>
      <c r="L1717" s="33" t="n">
        <v>45994</v>
      </c>
      <c r="M1717" s="33" t="n">
        <v>45994</v>
      </c>
      <c r="N1717" s="16" t="s">
        <v>6133</v>
      </c>
      <c r="O1717" s="16"/>
      <c r="P1717" s="16" t="str">
        <f aca="false">IF(AND(L1717&lt;=$D$2,M1717&gt;=$C$2),"Sí","")</f>
        <v/>
      </c>
      <c r="Q1717" s="18" t="str">
        <f aca="false">IF(COUNTIF(LOOKAHEAD!$A$5:$A$604,A1717)&gt;0,"En Lookahead",IF(P1717="Sí","INCORPORAR",""))</f>
        <v/>
      </c>
    </row>
    <row r="1718" customFormat="false" ht="15" hidden="false" customHeight="false" outlineLevel="0" collapsed="false">
      <c r="A1718" s="13" t="s">
        <v>6134</v>
      </c>
      <c r="B1718" s="13" t="n">
        <v>1713</v>
      </c>
      <c r="C1718" s="13" t="s">
        <v>6135</v>
      </c>
      <c r="D1718" s="13" t="n">
        <v>7</v>
      </c>
      <c r="E1718" s="38" t="s">
        <v>1698</v>
      </c>
      <c r="F1718" s="13" t="s">
        <v>1298</v>
      </c>
      <c r="G1718" s="13" t="s">
        <v>322</v>
      </c>
      <c r="H1718" s="13" t="s">
        <v>6036</v>
      </c>
      <c r="I1718" s="13" t="s">
        <v>123</v>
      </c>
      <c r="J1718" s="13" t="s">
        <v>1660</v>
      </c>
      <c r="K1718" s="30" t="n">
        <v>6</v>
      </c>
      <c r="L1718" s="31" t="n">
        <v>46005</v>
      </c>
      <c r="M1718" s="31" t="n">
        <v>46010</v>
      </c>
      <c r="N1718" s="13"/>
      <c r="O1718" s="13"/>
      <c r="P1718" s="13"/>
      <c r="Q1718" s="13"/>
    </row>
    <row r="1719" customFormat="false" ht="15" hidden="false" customHeight="false" outlineLevel="0" collapsed="false">
      <c r="A1719" s="16" t="s">
        <v>6136</v>
      </c>
      <c r="B1719" s="16" t="n">
        <v>1714</v>
      </c>
      <c r="C1719" s="16" t="s">
        <v>6137</v>
      </c>
      <c r="D1719" s="16" t="n">
        <v>8</v>
      </c>
      <c r="E1719" s="39" t="s">
        <v>1701</v>
      </c>
      <c r="F1719" s="16" t="s">
        <v>1285</v>
      </c>
      <c r="G1719" s="16" t="s">
        <v>322</v>
      </c>
      <c r="H1719" s="16" t="s">
        <v>6036</v>
      </c>
      <c r="I1719" s="16" t="s">
        <v>123</v>
      </c>
      <c r="J1719" s="16" t="s">
        <v>1698</v>
      </c>
      <c r="K1719" s="32" t="n">
        <v>1</v>
      </c>
      <c r="L1719" s="33" t="n">
        <v>46009</v>
      </c>
      <c r="M1719" s="33" t="n">
        <v>46009</v>
      </c>
      <c r="N1719" s="16" t="s">
        <v>6138</v>
      </c>
      <c r="O1719" s="16"/>
      <c r="P1719" s="16" t="str">
        <f aca="false">IF(AND(L1719&lt;=$D$2,M1719&gt;=$C$2),"Sí","")</f>
        <v/>
      </c>
      <c r="Q1719" s="18" t="str">
        <f aca="false">IF(COUNTIF(LOOKAHEAD!$A$5:$A$604,A1719)&gt;0,"En Lookahead",IF(P1719="Sí","INCORPORAR",""))</f>
        <v/>
      </c>
    </row>
    <row r="1720" customFormat="false" ht="15" hidden="false" customHeight="false" outlineLevel="0" collapsed="false">
      <c r="A1720" s="16" t="s">
        <v>6139</v>
      </c>
      <c r="B1720" s="16" t="n">
        <v>1715</v>
      </c>
      <c r="C1720" s="16" t="s">
        <v>6140</v>
      </c>
      <c r="D1720" s="16" t="n">
        <v>8</v>
      </c>
      <c r="E1720" s="39" t="s">
        <v>1705</v>
      </c>
      <c r="F1720" s="16" t="s">
        <v>1285</v>
      </c>
      <c r="G1720" s="16" t="s">
        <v>322</v>
      </c>
      <c r="H1720" s="16" t="s">
        <v>6036</v>
      </c>
      <c r="I1720" s="16" t="s">
        <v>123</v>
      </c>
      <c r="J1720" s="16" t="s">
        <v>1698</v>
      </c>
      <c r="K1720" s="32" t="n">
        <v>2</v>
      </c>
      <c r="L1720" s="33" t="n">
        <v>46007</v>
      </c>
      <c r="M1720" s="33" t="n">
        <v>46008</v>
      </c>
      <c r="N1720" s="16" t="s">
        <v>6141</v>
      </c>
      <c r="O1720" s="16"/>
      <c r="P1720" s="16" t="str">
        <f aca="false">IF(AND(L1720&lt;=$D$2,M1720&gt;=$C$2),"Sí","")</f>
        <v/>
      </c>
      <c r="Q1720" s="18" t="str">
        <f aca="false">IF(COUNTIF(LOOKAHEAD!$A$5:$A$604,A1720)&gt;0,"En Lookahead",IF(P1720="Sí","INCORPORAR",""))</f>
        <v/>
      </c>
    </row>
    <row r="1721" customFormat="false" ht="15" hidden="false" customHeight="false" outlineLevel="0" collapsed="false">
      <c r="A1721" s="16" t="s">
        <v>6142</v>
      </c>
      <c r="B1721" s="16" t="n">
        <v>1716</v>
      </c>
      <c r="C1721" s="16" t="s">
        <v>6143</v>
      </c>
      <c r="D1721" s="16" t="n">
        <v>8</v>
      </c>
      <c r="E1721" s="39" t="s">
        <v>1674</v>
      </c>
      <c r="F1721" s="16" t="s">
        <v>1285</v>
      </c>
      <c r="G1721" s="16" t="s">
        <v>322</v>
      </c>
      <c r="H1721" s="16" t="s">
        <v>6036</v>
      </c>
      <c r="I1721" s="16" t="s">
        <v>123</v>
      </c>
      <c r="J1721" s="16" t="s">
        <v>1698</v>
      </c>
      <c r="K1721" s="32" t="n">
        <v>2</v>
      </c>
      <c r="L1721" s="33" t="n">
        <v>46005</v>
      </c>
      <c r="M1721" s="33" t="n">
        <v>46006</v>
      </c>
      <c r="N1721" s="16" t="s">
        <v>6144</v>
      </c>
      <c r="O1721" s="16"/>
      <c r="P1721" s="16" t="str">
        <f aca="false">IF(AND(L1721&lt;=$D$2,M1721&gt;=$C$2),"Sí","")</f>
        <v/>
      </c>
      <c r="Q1721" s="18" t="str">
        <f aca="false">IF(COUNTIF(LOOKAHEAD!$A$5:$A$604,A1721)&gt;0,"En Lookahead",IF(P1721="Sí","INCORPORAR",""))</f>
        <v/>
      </c>
    </row>
    <row r="1722" customFormat="false" ht="15" hidden="false" customHeight="false" outlineLevel="0" collapsed="false">
      <c r="A1722" s="16" t="s">
        <v>6145</v>
      </c>
      <c r="B1722" s="16" t="n">
        <v>1717</v>
      </c>
      <c r="C1722" s="16" t="s">
        <v>6146</v>
      </c>
      <c r="D1722" s="16" t="n">
        <v>8</v>
      </c>
      <c r="E1722" s="39" t="s">
        <v>1677</v>
      </c>
      <c r="F1722" s="16" t="s">
        <v>1285</v>
      </c>
      <c r="G1722" s="16" t="s">
        <v>322</v>
      </c>
      <c r="H1722" s="16" t="s">
        <v>6036</v>
      </c>
      <c r="I1722" s="16" t="s">
        <v>123</v>
      </c>
      <c r="J1722" s="16" t="s">
        <v>1698</v>
      </c>
      <c r="K1722" s="32" t="n">
        <v>1</v>
      </c>
      <c r="L1722" s="33" t="n">
        <v>46010</v>
      </c>
      <c r="M1722" s="33" t="n">
        <v>46010</v>
      </c>
      <c r="N1722" s="16" t="s">
        <v>6147</v>
      </c>
      <c r="O1722" s="16"/>
      <c r="P1722" s="16" t="str">
        <f aca="false">IF(AND(L1722&lt;=$D$2,M1722&gt;=$C$2),"Sí","")</f>
        <v/>
      </c>
      <c r="Q1722" s="18" t="str">
        <f aca="false">IF(COUNTIF(LOOKAHEAD!$A$5:$A$604,A1722)&gt;0,"En Lookahead",IF(P1722="Sí","INCORPORAR",""))</f>
        <v/>
      </c>
    </row>
    <row r="1723" customFormat="false" ht="15" hidden="false" customHeight="false" outlineLevel="0" collapsed="false">
      <c r="A1723" s="13" t="s">
        <v>6148</v>
      </c>
      <c r="B1723" s="13" t="n">
        <v>1718</v>
      </c>
      <c r="C1723" s="13" t="s">
        <v>6149</v>
      </c>
      <c r="D1723" s="13" t="n">
        <v>6</v>
      </c>
      <c r="E1723" s="36" t="s">
        <v>1731</v>
      </c>
      <c r="F1723" s="13" t="s">
        <v>1298</v>
      </c>
      <c r="G1723" s="13" t="s">
        <v>322</v>
      </c>
      <c r="H1723" s="13" t="s">
        <v>6036</v>
      </c>
      <c r="I1723" s="13" t="s">
        <v>123</v>
      </c>
      <c r="J1723" s="13" t="s">
        <v>1623</v>
      </c>
      <c r="K1723" s="30" t="n">
        <v>44</v>
      </c>
      <c r="L1723" s="31" t="n">
        <v>45972</v>
      </c>
      <c r="M1723" s="31" t="n">
        <v>46015</v>
      </c>
      <c r="N1723" s="13"/>
      <c r="O1723" s="13"/>
      <c r="P1723" s="13"/>
      <c r="Q1723" s="13"/>
    </row>
    <row r="1724" customFormat="false" ht="15" hidden="false" customHeight="false" outlineLevel="0" collapsed="false">
      <c r="A1724" s="13" t="s">
        <v>6150</v>
      </c>
      <c r="B1724" s="13" t="n">
        <v>1719</v>
      </c>
      <c r="C1724" s="13" t="s">
        <v>6151</v>
      </c>
      <c r="D1724" s="13" t="n">
        <v>7</v>
      </c>
      <c r="E1724" s="38" t="s">
        <v>1734</v>
      </c>
      <c r="F1724" s="13" t="s">
        <v>1298</v>
      </c>
      <c r="G1724" s="13" t="s">
        <v>322</v>
      </c>
      <c r="H1724" s="13" t="s">
        <v>6036</v>
      </c>
      <c r="I1724" s="13" t="s">
        <v>123</v>
      </c>
      <c r="J1724" s="13" t="s">
        <v>1731</v>
      </c>
      <c r="K1724" s="30" t="n">
        <v>13</v>
      </c>
      <c r="L1724" s="31" t="n">
        <v>45972</v>
      </c>
      <c r="M1724" s="31" t="n">
        <v>45984</v>
      </c>
      <c r="N1724" s="13"/>
      <c r="O1724" s="13"/>
      <c r="P1724" s="13"/>
      <c r="Q1724" s="13"/>
    </row>
    <row r="1725" customFormat="false" ht="15" hidden="false" customHeight="false" outlineLevel="0" collapsed="false">
      <c r="A1725" s="16" t="s">
        <v>6152</v>
      </c>
      <c r="B1725" s="16" t="n">
        <v>1720</v>
      </c>
      <c r="C1725" s="16" t="s">
        <v>6153</v>
      </c>
      <c r="D1725" s="16" t="n">
        <v>8</v>
      </c>
      <c r="E1725" s="39" t="s">
        <v>1737</v>
      </c>
      <c r="F1725" s="16" t="s">
        <v>1285</v>
      </c>
      <c r="G1725" s="16" t="s">
        <v>322</v>
      </c>
      <c r="H1725" s="16" t="s">
        <v>6036</v>
      </c>
      <c r="I1725" s="16" t="s">
        <v>123</v>
      </c>
      <c r="J1725" s="16" t="s">
        <v>1734</v>
      </c>
      <c r="K1725" s="32" t="n">
        <v>1</v>
      </c>
      <c r="L1725" s="33" t="n">
        <v>45983</v>
      </c>
      <c r="M1725" s="33" t="n">
        <v>45983</v>
      </c>
      <c r="N1725" s="16" t="s">
        <v>6154</v>
      </c>
      <c r="O1725" s="16"/>
      <c r="P1725" s="16" t="str">
        <f aca="false">IF(AND(L1725&lt;=$D$2,M1725&gt;=$C$2),"Sí","")</f>
        <v/>
      </c>
      <c r="Q1725" s="18" t="str">
        <f aca="false">IF(COUNTIF(LOOKAHEAD!$A$5:$A$604,A1725)&gt;0,"En Lookahead",IF(P1725="Sí","INCORPORAR",""))</f>
        <v/>
      </c>
    </row>
    <row r="1726" customFormat="false" ht="15" hidden="false" customHeight="false" outlineLevel="0" collapsed="false">
      <c r="A1726" s="16" t="s">
        <v>6155</v>
      </c>
      <c r="B1726" s="16" t="n">
        <v>1721</v>
      </c>
      <c r="C1726" s="16" t="s">
        <v>6156</v>
      </c>
      <c r="D1726" s="16" t="n">
        <v>8</v>
      </c>
      <c r="E1726" s="39" t="s">
        <v>1741</v>
      </c>
      <c r="F1726" s="16" t="s">
        <v>1285</v>
      </c>
      <c r="G1726" s="16" t="s">
        <v>322</v>
      </c>
      <c r="H1726" s="16" t="s">
        <v>6036</v>
      </c>
      <c r="I1726" s="16" t="s">
        <v>123</v>
      </c>
      <c r="J1726" s="16" t="s">
        <v>1734</v>
      </c>
      <c r="K1726" s="32" t="n">
        <v>8</v>
      </c>
      <c r="L1726" s="33" t="n">
        <v>45975</v>
      </c>
      <c r="M1726" s="33" t="n">
        <v>45982</v>
      </c>
      <c r="N1726" s="16" t="s">
        <v>6157</v>
      </c>
      <c r="O1726" s="16"/>
      <c r="P1726" s="16" t="str">
        <f aca="false">IF(AND(L1726&lt;=$D$2,M1726&gt;=$C$2),"Sí","")</f>
        <v/>
      </c>
      <c r="Q1726" s="18" t="str">
        <f aca="false">IF(COUNTIF(LOOKAHEAD!$A$5:$A$604,A1726)&gt;0,"En Lookahead",IF(P1726="Sí","INCORPORAR",""))</f>
        <v/>
      </c>
    </row>
    <row r="1727" customFormat="false" ht="15" hidden="false" customHeight="false" outlineLevel="0" collapsed="false">
      <c r="A1727" s="16" t="s">
        <v>6158</v>
      </c>
      <c r="B1727" s="16" t="n">
        <v>1722</v>
      </c>
      <c r="C1727" s="16" t="s">
        <v>6159</v>
      </c>
      <c r="D1727" s="16" t="n">
        <v>8</v>
      </c>
      <c r="E1727" s="39" t="s">
        <v>1745</v>
      </c>
      <c r="F1727" s="16" t="s">
        <v>1285</v>
      </c>
      <c r="G1727" s="16" t="s">
        <v>322</v>
      </c>
      <c r="H1727" s="16" t="s">
        <v>6036</v>
      </c>
      <c r="I1727" s="16" t="s">
        <v>123</v>
      </c>
      <c r="J1727" s="16" t="s">
        <v>1734</v>
      </c>
      <c r="K1727" s="32" t="n">
        <v>3</v>
      </c>
      <c r="L1727" s="33" t="n">
        <v>45972</v>
      </c>
      <c r="M1727" s="33" t="n">
        <v>45974</v>
      </c>
      <c r="N1727" s="16" t="s">
        <v>6160</v>
      </c>
      <c r="O1727" s="16"/>
      <c r="P1727" s="16" t="str">
        <f aca="false">IF(AND(L1727&lt;=$D$2,M1727&gt;=$C$2),"Sí","")</f>
        <v/>
      </c>
      <c r="Q1727" s="18" t="str">
        <f aca="false">IF(COUNTIF(LOOKAHEAD!$A$5:$A$604,A1727)&gt;0,"En Lookahead",IF(P1727="Sí","INCORPORAR",""))</f>
        <v/>
      </c>
    </row>
    <row r="1728" customFormat="false" ht="15" hidden="false" customHeight="false" outlineLevel="0" collapsed="false">
      <c r="A1728" s="16" t="s">
        <v>6161</v>
      </c>
      <c r="B1728" s="16" t="n">
        <v>1723</v>
      </c>
      <c r="C1728" s="16" t="s">
        <v>6162</v>
      </c>
      <c r="D1728" s="16" t="n">
        <v>8</v>
      </c>
      <c r="E1728" s="39" t="s">
        <v>1677</v>
      </c>
      <c r="F1728" s="16" t="s">
        <v>1285</v>
      </c>
      <c r="G1728" s="16" t="s">
        <v>322</v>
      </c>
      <c r="H1728" s="16" t="s">
        <v>6036</v>
      </c>
      <c r="I1728" s="16" t="s">
        <v>123</v>
      </c>
      <c r="J1728" s="16" t="s">
        <v>1734</v>
      </c>
      <c r="K1728" s="32" t="n">
        <v>1</v>
      </c>
      <c r="L1728" s="33" t="n">
        <v>45984</v>
      </c>
      <c r="M1728" s="33" t="n">
        <v>45984</v>
      </c>
      <c r="N1728" s="16" t="s">
        <v>6163</v>
      </c>
      <c r="O1728" s="16"/>
      <c r="P1728" s="16" t="str">
        <f aca="false">IF(AND(L1728&lt;=$D$2,M1728&gt;=$C$2),"Sí","")</f>
        <v/>
      </c>
      <c r="Q1728" s="18" t="str">
        <f aca="false">IF(COUNTIF(LOOKAHEAD!$A$5:$A$604,A1728)&gt;0,"En Lookahead",IF(P1728="Sí","INCORPORAR",""))</f>
        <v/>
      </c>
    </row>
    <row r="1729" customFormat="false" ht="15" hidden="false" customHeight="false" outlineLevel="0" collapsed="false">
      <c r="A1729" s="13" t="s">
        <v>6164</v>
      </c>
      <c r="B1729" s="13" t="n">
        <v>1724</v>
      </c>
      <c r="C1729" s="13" t="s">
        <v>6165</v>
      </c>
      <c r="D1729" s="13" t="n">
        <v>7</v>
      </c>
      <c r="E1729" s="38" t="s">
        <v>1752</v>
      </c>
      <c r="F1729" s="13" t="s">
        <v>1298</v>
      </c>
      <c r="G1729" s="13" t="s">
        <v>322</v>
      </c>
      <c r="H1729" s="13" t="s">
        <v>6036</v>
      </c>
      <c r="I1729" s="13" t="s">
        <v>123</v>
      </c>
      <c r="J1729" s="13" t="s">
        <v>1731</v>
      </c>
      <c r="K1729" s="30" t="n">
        <v>11</v>
      </c>
      <c r="L1729" s="31" t="n">
        <v>45989</v>
      </c>
      <c r="M1729" s="31" t="n">
        <v>45999</v>
      </c>
      <c r="N1729" s="13"/>
      <c r="O1729" s="13"/>
      <c r="P1729" s="13"/>
      <c r="Q1729" s="13"/>
    </row>
    <row r="1730" customFormat="false" ht="15" hidden="false" customHeight="false" outlineLevel="0" collapsed="false">
      <c r="A1730" s="16" t="s">
        <v>6166</v>
      </c>
      <c r="B1730" s="16" t="n">
        <v>1725</v>
      </c>
      <c r="C1730" s="16" t="s">
        <v>6167</v>
      </c>
      <c r="D1730" s="16" t="n">
        <v>8</v>
      </c>
      <c r="E1730" s="39" t="s">
        <v>1755</v>
      </c>
      <c r="F1730" s="16" t="s">
        <v>1285</v>
      </c>
      <c r="G1730" s="16" t="s">
        <v>322</v>
      </c>
      <c r="H1730" s="16" t="s">
        <v>6036</v>
      </c>
      <c r="I1730" s="16" t="s">
        <v>123</v>
      </c>
      <c r="J1730" s="16" t="s">
        <v>1752</v>
      </c>
      <c r="K1730" s="32" t="n">
        <v>1</v>
      </c>
      <c r="L1730" s="33" t="n">
        <v>45998</v>
      </c>
      <c r="M1730" s="33" t="n">
        <v>45998</v>
      </c>
      <c r="N1730" s="16" t="s">
        <v>6168</v>
      </c>
      <c r="O1730" s="16"/>
      <c r="P1730" s="16" t="str">
        <f aca="false">IF(AND(L1730&lt;=$D$2,M1730&gt;=$C$2),"Sí","")</f>
        <v/>
      </c>
      <c r="Q1730" s="18" t="str">
        <f aca="false">IF(COUNTIF(LOOKAHEAD!$A$5:$A$604,A1730)&gt;0,"En Lookahead",IF(P1730="Sí","INCORPORAR",""))</f>
        <v/>
      </c>
    </row>
    <row r="1731" customFormat="false" ht="15" hidden="false" customHeight="false" outlineLevel="0" collapsed="false">
      <c r="A1731" s="16" t="s">
        <v>6169</v>
      </c>
      <c r="B1731" s="16" t="n">
        <v>1726</v>
      </c>
      <c r="C1731" s="16" t="s">
        <v>6170</v>
      </c>
      <c r="D1731" s="16" t="n">
        <v>8</v>
      </c>
      <c r="E1731" s="39" t="s">
        <v>1759</v>
      </c>
      <c r="F1731" s="16" t="s">
        <v>1285</v>
      </c>
      <c r="G1731" s="16" t="s">
        <v>322</v>
      </c>
      <c r="H1731" s="16" t="s">
        <v>6036</v>
      </c>
      <c r="I1731" s="16" t="s">
        <v>123</v>
      </c>
      <c r="J1731" s="16" t="s">
        <v>1752</v>
      </c>
      <c r="K1731" s="32" t="n">
        <v>6</v>
      </c>
      <c r="L1731" s="33" t="n">
        <v>45992</v>
      </c>
      <c r="M1731" s="33" t="n">
        <v>45997</v>
      </c>
      <c r="N1731" s="16" t="s">
        <v>6171</v>
      </c>
      <c r="O1731" s="16"/>
      <c r="P1731" s="16" t="str">
        <f aca="false">IF(AND(L1731&lt;=$D$2,M1731&gt;=$C$2),"Sí","")</f>
        <v/>
      </c>
      <c r="Q1731" s="18" t="str">
        <f aca="false">IF(COUNTIF(LOOKAHEAD!$A$5:$A$604,A1731)&gt;0,"En Lookahead",IF(P1731="Sí","INCORPORAR",""))</f>
        <v/>
      </c>
    </row>
    <row r="1732" customFormat="false" ht="15" hidden="false" customHeight="false" outlineLevel="0" collapsed="false">
      <c r="A1732" s="16" t="s">
        <v>6172</v>
      </c>
      <c r="B1732" s="16" t="n">
        <v>1727</v>
      </c>
      <c r="C1732" s="16" t="s">
        <v>6173</v>
      </c>
      <c r="D1732" s="16" t="n">
        <v>8</v>
      </c>
      <c r="E1732" s="39" t="s">
        <v>1745</v>
      </c>
      <c r="F1732" s="16" t="s">
        <v>1285</v>
      </c>
      <c r="G1732" s="16" t="s">
        <v>322</v>
      </c>
      <c r="H1732" s="16" t="s">
        <v>6036</v>
      </c>
      <c r="I1732" s="16" t="s">
        <v>123</v>
      </c>
      <c r="J1732" s="16" t="s">
        <v>1752</v>
      </c>
      <c r="K1732" s="32" t="n">
        <v>3</v>
      </c>
      <c r="L1732" s="33" t="n">
        <v>45989</v>
      </c>
      <c r="M1732" s="33" t="n">
        <v>45991</v>
      </c>
      <c r="N1732" s="16" t="s">
        <v>6174</v>
      </c>
      <c r="O1732" s="16"/>
      <c r="P1732" s="16" t="str">
        <f aca="false">IF(AND(L1732&lt;=$D$2,M1732&gt;=$C$2),"Sí","")</f>
        <v/>
      </c>
      <c r="Q1732" s="18" t="str">
        <f aca="false">IF(COUNTIF(LOOKAHEAD!$A$5:$A$604,A1732)&gt;0,"En Lookahead",IF(P1732="Sí","INCORPORAR",""))</f>
        <v/>
      </c>
    </row>
    <row r="1733" customFormat="false" ht="15" hidden="false" customHeight="false" outlineLevel="0" collapsed="false">
      <c r="A1733" s="16" t="s">
        <v>6175</v>
      </c>
      <c r="B1733" s="16" t="n">
        <v>1728</v>
      </c>
      <c r="C1733" s="16" t="s">
        <v>6176</v>
      </c>
      <c r="D1733" s="16" t="n">
        <v>8</v>
      </c>
      <c r="E1733" s="39" t="s">
        <v>1677</v>
      </c>
      <c r="F1733" s="16" t="s">
        <v>1285</v>
      </c>
      <c r="G1733" s="16" t="s">
        <v>322</v>
      </c>
      <c r="H1733" s="16" t="s">
        <v>6036</v>
      </c>
      <c r="I1733" s="16" t="s">
        <v>123</v>
      </c>
      <c r="J1733" s="16" t="s">
        <v>1752</v>
      </c>
      <c r="K1733" s="32" t="n">
        <v>1</v>
      </c>
      <c r="L1733" s="33" t="n">
        <v>45999</v>
      </c>
      <c r="M1733" s="33" t="n">
        <v>45999</v>
      </c>
      <c r="N1733" s="16" t="s">
        <v>6177</v>
      </c>
      <c r="O1733" s="16"/>
      <c r="P1733" s="16" t="str">
        <f aca="false">IF(AND(L1733&lt;=$D$2,M1733&gt;=$C$2),"Sí","")</f>
        <v/>
      </c>
      <c r="Q1733" s="18" t="str">
        <f aca="false">IF(COUNTIF(LOOKAHEAD!$A$5:$A$604,A1733)&gt;0,"En Lookahead",IF(P1733="Sí","INCORPORAR",""))</f>
        <v/>
      </c>
    </row>
    <row r="1734" customFormat="false" ht="15" hidden="false" customHeight="false" outlineLevel="0" collapsed="false">
      <c r="A1734" s="13" t="s">
        <v>6178</v>
      </c>
      <c r="B1734" s="13" t="n">
        <v>1729</v>
      </c>
      <c r="C1734" s="13" t="s">
        <v>6179</v>
      </c>
      <c r="D1734" s="13" t="n">
        <v>7</v>
      </c>
      <c r="E1734" s="38" t="s">
        <v>1769</v>
      </c>
      <c r="F1734" s="13" t="s">
        <v>1298</v>
      </c>
      <c r="G1734" s="13" t="s">
        <v>322</v>
      </c>
      <c r="H1734" s="13" t="s">
        <v>6036</v>
      </c>
      <c r="I1734" s="13" t="s">
        <v>123</v>
      </c>
      <c r="J1734" s="13" t="s">
        <v>1731</v>
      </c>
      <c r="K1734" s="30" t="n">
        <v>11</v>
      </c>
      <c r="L1734" s="31" t="n">
        <v>46005</v>
      </c>
      <c r="M1734" s="31" t="n">
        <v>46015</v>
      </c>
      <c r="N1734" s="13"/>
      <c r="O1734" s="13"/>
      <c r="P1734" s="13"/>
      <c r="Q1734" s="13"/>
    </row>
    <row r="1735" customFormat="false" ht="15" hidden="false" customHeight="false" outlineLevel="0" collapsed="false">
      <c r="A1735" s="16" t="s">
        <v>6180</v>
      </c>
      <c r="B1735" s="16" t="n">
        <v>1730</v>
      </c>
      <c r="C1735" s="16" t="s">
        <v>6181</v>
      </c>
      <c r="D1735" s="16" t="n">
        <v>8</v>
      </c>
      <c r="E1735" s="39" t="s">
        <v>1772</v>
      </c>
      <c r="F1735" s="16" t="s">
        <v>1285</v>
      </c>
      <c r="G1735" s="16" t="s">
        <v>322</v>
      </c>
      <c r="H1735" s="16" t="s">
        <v>6036</v>
      </c>
      <c r="I1735" s="16" t="s">
        <v>123</v>
      </c>
      <c r="J1735" s="16" t="s">
        <v>1769</v>
      </c>
      <c r="K1735" s="32" t="n">
        <v>1</v>
      </c>
      <c r="L1735" s="33" t="n">
        <v>46014</v>
      </c>
      <c r="M1735" s="33" t="n">
        <v>46014</v>
      </c>
      <c r="N1735" s="16" t="s">
        <v>6182</v>
      </c>
      <c r="O1735" s="16"/>
      <c r="P1735" s="16" t="str">
        <f aca="false">IF(AND(L1735&lt;=$D$2,M1735&gt;=$C$2),"Sí","")</f>
        <v/>
      </c>
      <c r="Q1735" s="18" t="str">
        <f aca="false">IF(COUNTIF(LOOKAHEAD!$A$5:$A$604,A1735)&gt;0,"En Lookahead",IF(P1735="Sí","INCORPORAR",""))</f>
        <v/>
      </c>
    </row>
    <row r="1736" customFormat="false" ht="15" hidden="false" customHeight="false" outlineLevel="0" collapsed="false">
      <c r="A1736" s="16" t="s">
        <v>6183</v>
      </c>
      <c r="B1736" s="16" t="n">
        <v>1731</v>
      </c>
      <c r="C1736" s="16" t="s">
        <v>6184</v>
      </c>
      <c r="D1736" s="16" t="n">
        <v>8</v>
      </c>
      <c r="E1736" s="39" t="s">
        <v>1776</v>
      </c>
      <c r="F1736" s="16" t="s">
        <v>1285</v>
      </c>
      <c r="G1736" s="16" t="s">
        <v>322</v>
      </c>
      <c r="H1736" s="16" t="s">
        <v>6036</v>
      </c>
      <c r="I1736" s="16" t="s">
        <v>123</v>
      </c>
      <c r="J1736" s="16" t="s">
        <v>1769</v>
      </c>
      <c r="K1736" s="32" t="n">
        <v>6</v>
      </c>
      <c r="L1736" s="33" t="n">
        <v>46008</v>
      </c>
      <c r="M1736" s="33" t="n">
        <v>46013</v>
      </c>
      <c r="N1736" s="16" t="s">
        <v>6185</v>
      </c>
      <c r="O1736" s="16"/>
      <c r="P1736" s="16" t="str">
        <f aca="false">IF(AND(L1736&lt;=$D$2,M1736&gt;=$C$2),"Sí","")</f>
        <v/>
      </c>
      <c r="Q1736" s="18" t="str">
        <f aca="false">IF(COUNTIF(LOOKAHEAD!$A$5:$A$604,A1736)&gt;0,"En Lookahead",IF(P1736="Sí","INCORPORAR",""))</f>
        <v/>
      </c>
    </row>
    <row r="1737" customFormat="false" ht="15" hidden="false" customHeight="false" outlineLevel="0" collapsed="false">
      <c r="A1737" s="16" t="s">
        <v>6186</v>
      </c>
      <c r="B1737" s="16" t="n">
        <v>1732</v>
      </c>
      <c r="C1737" s="16" t="s">
        <v>6187</v>
      </c>
      <c r="D1737" s="16" t="n">
        <v>8</v>
      </c>
      <c r="E1737" s="39" t="s">
        <v>1745</v>
      </c>
      <c r="F1737" s="16" t="s">
        <v>1285</v>
      </c>
      <c r="G1737" s="16" t="s">
        <v>322</v>
      </c>
      <c r="H1737" s="16" t="s">
        <v>6036</v>
      </c>
      <c r="I1737" s="16" t="s">
        <v>123</v>
      </c>
      <c r="J1737" s="16" t="s">
        <v>1769</v>
      </c>
      <c r="K1737" s="32" t="n">
        <v>3</v>
      </c>
      <c r="L1737" s="33" t="n">
        <v>46005</v>
      </c>
      <c r="M1737" s="33" t="n">
        <v>46007</v>
      </c>
      <c r="N1737" s="16" t="s">
        <v>6188</v>
      </c>
      <c r="O1737" s="16"/>
      <c r="P1737" s="16" t="str">
        <f aca="false">IF(AND(L1737&lt;=$D$2,M1737&gt;=$C$2),"Sí","")</f>
        <v/>
      </c>
      <c r="Q1737" s="18" t="str">
        <f aca="false">IF(COUNTIF(LOOKAHEAD!$A$5:$A$604,A1737)&gt;0,"En Lookahead",IF(P1737="Sí","INCORPORAR",""))</f>
        <v/>
      </c>
    </row>
    <row r="1738" customFormat="false" ht="15" hidden="false" customHeight="false" outlineLevel="0" collapsed="false">
      <c r="A1738" s="16" t="s">
        <v>6189</v>
      </c>
      <c r="B1738" s="16" t="n">
        <v>1733</v>
      </c>
      <c r="C1738" s="16" t="s">
        <v>6190</v>
      </c>
      <c r="D1738" s="16" t="n">
        <v>8</v>
      </c>
      <c r="E1738" s="39" t="s">
        <v>1677</v>
      </c>
      <c r="F1738" s="16" t="s">
        <v>1285</v>
      </c>
      <c r="G1738" s="16" t="s">
        <v>322</v>
      </c>
      <c r="H1738" s="16" t="s">
        <v>6036</v>
      </c>
      <c r="I1738" s="16" t="s">
        <v>123</v>
      </c>
      <c r="J1738" s="16" t="s">
        <v>1769</v>
      </c>
      <c r="K1738" s="32" t="n">
        <v>1</v>
      </c>
      <c r="L1738" s="33" t="n">
        <v>46015</v>
      </c>
      <c r="M1738" s="33" t="n">
        <v>46015</v>
      </c>
      <c r="N1738" s="16" t="s">
        <v>6191</v>
      </c>
      <c r="O1738" s="16"/>
      <c r="P1738" s="16" t="str">
        <f aca="false">IF(AND(L1738&lt;=$D$2,M1738&gt;=$C$2),"Sí","")</f>
        <v/>
      </c>
      <c r="Q1738" s="18" t="str">
        <f aca="false">IF(COUNTIF(LOOKAHEAD!$A$5:$A$604,A1738)&gt;0,"En Lookahead",IF(P1738="Sí","INCORPORAR",""))</f>
        <v/>
      </c>
    </row>
    <row r="1739" customFormat="false" ht="15" hidden="false" customHeight="false" outlineLevel="0" collapsed="false">
      <c r="A1739" s="13" t="s">
        <v>6192</v>
      </c>
      <c r="B1739" s="13" t="n">
        <v>1734</v>
      </c>
      <c r="C1739" s="13" t="s">
        <v>6193</v>
      </c>
      <c r="D1739" s="13" t="n">
        <v>6</v>
      </c>
      <c r="E1739" s="36" t="s">
        <v>1786</v>
      </c>
      <c r="F1739" s="13" t="s">
        <v>1298</v>
      </c>
      <c r="G1739" s="13" t="s">
        <v>322</v>
      </c>
      <c r="H1739" s="13" t="s">
        <v>6036</v>
      </c>
      <c r="I1739" s="13" t="s">
        <v>123</v>
      </c>
      <c r="J1739" s="13" t="s">
        <v>1623</v>
      </c>
      <c r="K1739" s="30" t="n">
        <v>37</v>
      </c>
      <c r="L1739" s="31" t="n">
        <v>45984</v>
      </c>
      <c r="M1739" s="31" t="n">
        <v>46020</v>
      </c>
      <c r="N1739" s="13"/>
      <c r="O1739" s="13"/>
      <c r="P1739" s="13"/>
      <c r="Q1739" s="13"/>
    </row>
    <row r="1740" customFormat="false" ht="15" hidden="false" customHeight="false" outlineLevel="0" collapsed="false">
      <c r="A1740" s="13" t="s">
        <v>6194</v>
      </c>
      <c r="B1740" s="13" t="n">
        <v>1735</v>
      </c>
      <c r="C1740" s="13" t="s">
        <v>6195</v>
      </c>
      <c r="D1740" s="13" t="n">
        <v>7</v>
      </c>
      <c r="E1740" s="38" t="s">
        <v>1789</v>
      </c>
      <c r="F1740" s="13" t="s">
        <v>1298</v>
      </c>
      <c r="G1740" s="13" t="s">
        <v>322</v>
      </c>
      <c r="H1740" s="13" t="s">
        <v>6036</v>
      </c>
      <c r="I1740" s="13" t="s">
        <v>123</v>
      </c>
      <c r="J1740" s="13" t="s">
        <v>1786</v>
      </c>
      <c r="K1740" s="30" t="n">
        <v>6</v>
      </c>
      <c r="L1740" s="31" t="n">
        <v>45984</v>
      </c>
      <c r="M1740" s="31" t="n">
        <v>45989</v>
      </c>
      <c r="N1740" s="13"/>
      <c r="O1740" s="13"/>
      <c r="P1740" s="13"/>
      <c r="Q1740" s="13"/>
    </row>
    <row r="1741" customFormat="false" ht="15" hidden="false" customHeight="false" outlineLevel="0" collapsed="false">
      <c r="A1741" s="16" t="s">
        <v>6196</v>
      </c>
      <c r="B1741" s="16" t="n">
        <v>1736</v>
      </c>
      <c r="C1741" s="16" t="s">
        <v>6197</v>
      </c>
      <c r="D1741" s="16" t="n">
        <v>8</v>
      </c>
      <c r="E1741" s="39" t="s">
        <v>1792</v>
      </c>
      <c r="F1741" s="16" t="s">
        <v>1285</v>
      </c>
      <c r="G1741" s="16" t="s">
        <v>322</v>
      </c>
      <c r="H1741" s="16" t="s">
        <v>6036</v>
      </c>
      <c r="I1741" s="16" t="s">
        <v>123</v>
      </c>
      <c r="J1741" s="16" t="s">
        <v>1789</v>
      </c>
      <c r="K1741" s="32" t="n">
        <v>1</v>
      </c>
      <c r="L1741" s="33" t="n">
        <v>45988</v>
      </c>
      <c r="M1741" s="33" t="n">
        <v>45988</v>
      </c>
      <c r="N1741" s="16" t="s">
        <v>6198</v>
      </c>
      <c r="O1741" s="16"/>
      <c r="P1741" s="16" t="str">
        <f aca="false">IF(AND(L1741&lt;=$D$2,M1741&gt;=$C$2),"Sí","")</f>
        <v/>
      </c>
      <c r="Q1741" s="18" t="str">
        <f aca="false">IF(COUNTIF(LOOKAHEAD!$A$5:$A$604,A1741)&gt;0,"En Lookahead",IF(P1741="Sí","INCORPORAR",""))</f>
        <v/>
      </c>
    </row>
    <row r="1742" customFormat="false" ht="15" hidden="false" customHeight="false" outlineLevel="0" collapsed="false">
      <c r="A1742" s="16" t="s">
        <v>6199</v>
      </c>
      <c r="B1742" s="16" t="n">
        <v>1737</v>
      </c>
      <c r="C1742" s="16" t="s">
        <v>6200</v>
      </c>
      <c r="D1742" s="16" t="n">
        <v>8</v>
      </c>
      <c r="E1742" s="39" t="s">
        <v>1796</v>
      </c>
      <c r="F1742" s="16" t="s">
        <v>1285</v>
      </c>
      <c r="G1742" s="16" t="s">
        <v>322</v>
      </c>
      <c r="H1742" s="16" t="s">
        <v>6036</v>
      </c>
      <c r="I1742" s="16" t="s">
        <v>123</v>
      </c>
      <c r="J1742" s="16" t="s">
        <v>1789</v>
      </c>
      <c r="K1742" s="32" t="n">
        <v>2</v>
      </c>
      <c r="L1742" s="33" t="n">
        <v>45986</v>
      </c>
      <c r="M1742" s="33" t="n">
        <v>45987</v>
      </c>
      <c r="N1742" s="16" t="s">
        <v>6201</v>
      </c>
      <c r="O1742" s="16"/>
      <c r="P1742" s="16" t="str">
        <f aca="false">IF(AND(L1742&lt;=$D$2,M1742&gt;=$C$2),"Sí","")</f>
        <v/>
      </c>
      <c r="Q1742" s="18" t="str">
        <f aca="false">IF(COUNTIF(LOOKAHEAD!$A$5:$A$604,A1742)&gt;0,"En Lookahead",IF(P1742="Sí","INCORPORAR",""))</f>
        <v/>
      </c>
    </row>
    <row r="1743" customFormat="false" ht="15" hidden="false" customHeight="false" outlineLevel="0" collapsed="false">
      <c r="A1743" s="16" t="s">
        <v>6202</v>
      </c>
      <c r="B1743" s="16" t="n">
        <v>1738</v>
      </c>
      <c r="C1743" s="16" t="s">
        <v>6203</v>
      </c>
      <c r="D1743" s="16" t="n">
        <v>8</v>
      </c>
      <c r="E1743" s="39" t="s">
        <v>1800</v>
      </c>
      <c r="F1743" s="16" t="s">
        <v>1285</v>
      </c>
      <c r="G1743" s="16" t="s">
        <v>322</v>
      </c>
      <c r="H1743" s="16" t="s">
        <v>6036</v>
      </c>
      <c r="I1743" s="16" t="s">
        <v>123</v>
      </c>
      <c r="J1743" s="16" t="s">
        <v>1789</v>
      </c>
      <c r="K1743" s="32" t="n">
        <v>2</v>
      </c>
      <c r="L1743" s="33" t="n">
        <v>45984</v>
      </c>
      <c r="M1743" s="33" t="n">
        <v>45985</v>
      </c>
      <c r="N1743" s="16" t="s">
        <v>6204</v>
      </c>
      <c r="O1743" s="16"/>
      <c r="P1743" s="16" t="str">
        <f aca="false">IF(AND(L1743&lt;=$D$2,M1743&gt;=$C$2),"Sí","")</f>
        <v/>
      </c>
      <c r="Q1743" s="18" t="str">
        <f aca="false">IF(COUNTIF(LOOKAHEAD!$A$5:$A$604,A1743)&gt;0,"En Lookahead",IF(P1743="Sí","INCORPORAR",""))</f>
        <v/>
      </c>
    </row>
    <row r="1744" customFormat="false" ht="15" hidden="false" customHeight="false" outlineLevel="0" collapsed="false">
      <c r="A1744" s="16" t="s">
        <v>6205</v>
      </c>
      <c r="B1744" s="16" t="n">
        <v>1739</v>
      </c>
      <c r="C1744" s="16" t="s">
        <v>6206</v>
      </c>
      <c r="D1744" s="16" t="n">
        <v>8</v>
      </c>
      <c r="E1744" s="39" t="s">
        <v>1602</v>
      </c>
      <c r="F1744" s="16" t="s">
        <v>1285</v>
      </c>
      <c r="G1744" s="16" t="s">
        <v>322</v>
      </c>
      <c r="H1744" s="16" t="s">
        <v>6036</v>
      </c>
      <c r="I1744" s="16" t="s">
        <v>123</v>
      </c>
      <c r="J1744" s="16" t="s">
        <v>1789</v>
      </c>
      <c r="K1744" s="32" t="n">
        <v>1</v>
      </c>
      <c r="L1744" s="33" t="n">
        <v>45989</v>
      </c>
      <c r="M1744" s="33" t="n">
        <v>45989</v>
      </c>
      <c r="N1744" s="16" t="s">
        <v>6207</v>
      </c>
      <c r="O1744" s="16"/>
      <c r="P1744" s="16" t="str">
        <f aca="false">IF(AND(L1744&lt;=$D$2,M1744&gt;=$C$2),"Sí","")</f>
        <v/>
      </c>
      <c r="Q1744" s="18" t="str">
        <f aca="false">IF(COUNTIF(LOOKAHEAD!$A$5:$A$604,A1744)&gt;0,"En Lookahead",IF(P1744="Sí","INCORPORAR",""))</f>
        <v/>
      </c>
    </row>
    <row r="1745" customFormat="false" ht="15" hidden="false" customHeight="false" outlineLevel="0" collapsed="false">
      <c r="A1745" s="13" t="s">
        <v>6208</v>
      </c>
      <c r="B1745" s="13" t="n">
        <v>1740</v>
      </c>
      <c r="C1745" s="13" t="s">
        <v>6209</v>
      </c>
      <c r="D1745" s="13" t="n">
        <v>7</v>
      </c>
      <c r="E1745" s="38" t="s">
        <v>1806</v>
      </c>
      <c r="F1745" s="13" t="s">
        <v>1298</v>
      </c>
      <c r="G1745" s="13" t="s">
        <v>322</v>
      </c>
      <c r="H1745" s="13" t="s">
        <v>6036</v>
      </c>
      <c r="I1745" s="13" t="s">
        <v>123</v>
      </c>
      <c r="J1745" s="13" t="s">
        <v>1786</v>
      </c>
      <c r="K1745" s="30" t="n">
        <v>6</v>
      </c>
      <c r="L1745" s="31" t="n">
        <v>45999</v>
      </c>
      <c r="M1745" s="31" t="n">
        <v>46004</v>
      </c>
      <c r="N1745" s="13"/>
      <c r="O1745" s="13"/>
      <c r="P1745" s="13"/>
      <c r="Q1745" s="13"/>
    </row>
    <row r="1746" customFormat="false" ht="15" hidden="false" customHeight="false" outlineLevel="0" collapsed="false">
      <c r="A1746" s="16" t="s">
        <v>6210</v>
      </c>
      <c r="B1746" s="16" t="n">
        <v>1741</v>
      </c>
      <c r="C1746" s="16" t="s">
        <v>6211</v>
      </c>
      <c r="D1746" s="16" t="n">
        <v>8</v>
      </c>
      <c r="E1746" s="39" t="s">
        <v>1809</v>
      </c>
      <c r="F1746" s="16" t="s">
        <v>1285</v>
      </c>
      <c r="G1746" s="16" t="s">
        <v>322</v>
      </c>
      <c r="H1746" s="16" t="s">
        <v>6036</v>
      </c>
      <c r="I1746" s="16" t="s">
        <v>123</v>
      </c>
      <c r="J1746" s="16" t="s">
        <v>1806</v>
      </c>
      <c r="K1746" s="32" t="n">
        <v>1</v>
      </c>
      <c r="L1746" s="33" t="n">
        <v>46003</v>
      </c>
      <c r="M1746" s="33" t="n">
        <v>46003</v>
      </c>
      <c r="N1746" s="16" t="s">
        <v>6212</v>
      </c>
      <c r="O1746" s="16"/>
      <c r="P1746" s="16" t="str">
        <f aca="false">IF(AND(L1746&lt;=$D$2,M1746&gt;=$C$2),"Sí","")</f>
        <v/>
      </c>
      <c r="Q1746" s="18" t="str">
        <f aca="false">IF(COUNTIF(LOOKAHEAD!$A$5:$A$604,A1746)&gt;0,"En Lookahead",IF(P1746="Sí","INCORPORAR",""))</f>
        <v/>
      </c>
    </row>
    <row r="1747" customFormat="false" ht="15" hidden="false" customHeight="false" outlineLevel="0" collapsed="false">
      <c r="A1747" s="16" t="s">
        <v>6213</v>
      </c>
      <c r="B1747" s="16" t="n">
        <v>1742</v>
      </c>
      <c r="C1747" s="16" t="s">
        <v>6214</v>
      </c>
      <c r="D1747" s="16" t="n">
        <v>8</v>
      </c>
      <c r="E1747" s="39" t="s">
        <v>1813</v>
      </c>
      <c r="F1747" s="16" t="s">
        <v>1285</v>
      </c>
      <c r="G1747" s="16" t="s">
        <v>322</v>
      </c>
      <c r="H1747" s="16" t="s">
        <v>6036</v>
      </c>
      <c r="I1747" s="16" t="s">
        <v>123</v>
      </c>
      <c r="J1747" s="16" t="s">
        <v>1806</v>
      </c>
      <c r="K1747" s="32" t="n">
        <v>2</v>
      </c>
      <c r="L1747" s="33" t="n">
        <v>46001</v>
      </c>
      <c r="M1747" s="33" t="n">
        <v>46002</v>
      </c>
      <c r="N1747" s="16" t="s">
        <v>6215</v>
      </c>
      <c r="O1747" s="16"/>
      <c r="P1747" s="16" t="str">
        <f aca="false">IF(AND(L1747&lt;=$D$2,M1747&gt;=$C$2),"Sí","")</f>
        <v/>
      </c>
      <c r="Q1747" s="18" t="str">
        <f aca="false">IF(COUNTIF(LOOKAHEAD!$A$5:$A$604,A1747)&gt;0,"En Lookahead",IF(P1747="Sí","INCORPORAR",""))</f>
        <v/>
      </c>
    </row>
    <row r="1748" customFormat="false" ht="15" hidden="false" customHeight="false" outlineLevel="0" collapsed="false">
      <c r="A1748" s="16" t="s">
        <v>6216</v>
      </c>
      <c r="B1748" s="16" t="n">
        <v>1743</v>
      </c>
      <c r="C1748" s="16" t="s">
        <v>6217</v>
      </c>
      <c r="D1748" s="16" t="n">
        <v>8</v>
      </c>
      <c r="E1748" s="39" t="s">
        <v>1800</v>
      </c>
      <c r="F1748" s="16" t="s">
        <v>1285</v>
      </c>
      <c r="G1748" s="16" t="s">
        <v>322</v>
      </c>
      <c r="H1748" s="16" t="s">
        <v>6036</v>
      </c>
      <c r="I1748" s="16" t="s">
        <v>123</v>
      </c>
      <c r="J1748" s="16" t="s">
        <v>1806</v>
      </c>
      <c r="K1748" s="32" t="n">
        <v>2</v>
      </c>
      <c r="L1748" s="33" t="n">
        <v>45999</v>
      </c>
      <c r="M1748" s="33" t="n">
        <v>46000</v>
      </c>
      <c r="N1748" s="16" t="s">
        <v>6218</v>
      </c>
      <c r="O1748" s="16"/>
      <c r="P1748" s="16" t="str">
        <f aca="false">IF(AND(L1748&lt;=$D$2,M1748&gt;=$C$2),"Sí","")</f>
        <v/>
      </c>
      <c r="Q1748" s="18" t="str">
        <f aca="false">IF(COUNTIF(LOOKAHEAD!$A$5:$A$604,A1748)&gt;0,"En Lookahead",IF(P1748="Sí","INCORPORAR",""))</f>
        <v/>
      </c>
    </row>
    <row r="1749" customFormat="false" ht="15" hidden="false" customHeight="false" outlineLevel="0" collapsed="false">
      <c r="A1749" s="16" t="s">
        <v>6219</v>
      </c>
      <c r="B1749" s="16" t="n">
        <v>1744</v>
      </c>
      <c r="C1749" s="16" t="s">
        <v>6220</v>
      </c>
      <c r="D1749" s="16" t="n">
        <v>8</v>
      </c>
      <c r="E1749" s="39" t="s">
        <v>1602</v>
      </c>
      <c r="F1749" s="16" t="s">
        <v>1285</v>
      </c>
      <c r="G1749" s="16" t="s">
        <v>322</v>
      </c>
      <c r="H1749" s="16" t="s">
        <v>6036</v>
      </c>
      <c r="I1749" s="16" t="s">
        <v>123</v>
      </c>
      <c r="J1749" s="16" t="s">
        <v>1806</v>
      </c>
      <c r="K1749" s="32" t="n">
        <v>1</v>
      </c>
      <c r="L1749" s="33" t="n">
        <v>46004</v>
      </c>
      <c r="M1749" s="33" t="n">
        <v>46004</v>
      </c>
      <c r="N1749" s="16" t="s">
        <v>6221</v>
      </c>
      <c r="O1749" s="16"/>
      <c r="P1749" s="16" t="str">
        <f aca="false">IF(AND(L1749&lt;=$D$2,M1749&gt;=$C$2),"Sí","")</f>
        <v/>
      </c>
      <c r="Q1749" s="18" t="str">
        <f aca="false">IF(COUNTIF(LOOKAHEAD!$A$5:$A$604,A1749)&gt;0,"En Lookahead",IF(P1749="Sí","INCORPORAR",""))</f>
        <v/>
      </c>
    </row>
    <row r="1750" customFormat="false" ht="15" hidden="false" customHeight="false" outlineLevel="0" collapsed="false">
      <c r="A1750" s="13" t="s">
        <v>6222</v>
      </c>
      <c r="B1750" s="13" t="n">
        <v>1745</v>
      </c>
      <c r="C1750" s="13" t="s">
        <v>6223</v>
      </c>
      <c r="D1750" s="13" t="n">
        <v>7</v>
      </c>
      <c r="E1750" s="38" t="s">
        <v>1822</v>
      </c>
      <c r="F1750" s="13" t="s">
        <v>1298</v>
      </c>
      <c r="G1750" s="13" t="s">
        <v>322</v>
      </c>
      <c r="H1750" s="13" t="s">
        <v>6036</v>
      </c>
      <c r="I1750" s="13" t="s">
        <v>123</v>
      </c>
      <c r="J1750" s="13" t="s">
        <v>1786</v>
      </c>
      <c r="K1750" s="30" t="n">
        <v>6</v>
      </c>
      <c r="L1750" s="31" t="n">
        <v>46015</v>
      </c>
      <c r="M1750" s="31" t="n">
        <v>46020</v>
      </c>
      <c r="N1750" s="13"/>
      <c r="O1750" s="13"/>
      <c r="P1750" s="13"/>
      <c r="Q1750" s="13"/>
    </row>
    <row r="1751" customFormat="false" ht="15" hidden="false" customHeight="false" outlineLevel="0" collapsed="false">
      <c r="A1751" s="16" t="s">
        <v>6224</v>
      </c>
      <c r="B1751" s="16" t="n">
        <v>1746</v>
      </c>
      <c r="C1751" s="16" t="s">
        <v>6225</v>
      </c>
      <c r="D1751" s="16" t="n">
        <v>8</v>
      </c>
      <c r="E1751" s="39" t="s">
        <v>1825</v>
      </c>
      <c r="F1751" s="16" t="s">
        <v>1285</v>
      </c>
      <c r="G1751" s="16" t="s">
        <v>322</v>
      </c>
      <c r="H1751" s="16" t="s">
        <v>6036</v>
      </c>
      <c r="I1751" s="16" t="s">
        <v>123</v>
      </c>
      <c r="J1751" s="16" t="s">
        <v>1822</v>
      </c>
      <c r="K1751" s="32" t="n">
        <v>1</v>
      </c>
      <c r="L1751" s="33" t="n">
        <v>46019</v>
      </c>
      <c r="M1751" s="33" t="n">
        <v>46019</v>
      </c>
      <c r="N1751" s="16" t="s">
        <v>6226</v>
      </c>
      <c r="O1751" s="16"/>
      <c r="P1751" s="16" t="str">
        <f aca="false">IF(AND(L1751&lt;=$D$2,M1751&gt;=$C$2),"Sí","")</f>
        <v/>
      </c>
      <c r="Q1751" s="18" t="str">
        <f aca="false">IF(COUNTIF(LOOKAHEAD!$A$5:$A$604,A1751)&gt;0,"En Lookahead",IF(P1751="Sí","INCORPORAR",""))</f>
        <v/>
      </c>
    </row>
    <row r="1752" customFormat="false" ht="15" hidden="false" customHeight="false" outlineLevel="0" collapsed="false">
      <c r="A1752" s="16" t="s">
        <v>6227</v>
      </c>
      <c r="B1752" s="16" t="n">
        <v>1747</v>
      </c>
      <c r="C1752" s="16" t="s">
        <v>6228</v>
      </c>
      <c r="D1752" s="16" t="n">
        <v>8</v>
      </c>
      <c r="E1752" s="39" t="s">
        <v>1829</v>
      </c>
      <c r="F1752" s="16" t="s">
        <v>1285</v>
      </c>
      <c r="G1752" s="16" t="s">
        <v>322</v>
      </c>
      <c r="H1752" s="16" t="s">
        <v>6036</v>
      </c>
      <c r="I1752" s="16" t="s">
        <v>123</v>
      </c>
      <c r="J1752" s="16" t="s">
        <v>1822</v>
      </c>
      <c r="K1752" s="32" t="n">
        <v>2</v>
      </c>
      <c r="L1752" s="33" t="n">
        <v>46017</v>
      </c>
      <c r="M1752" s="33" t="n">
        <v>46018</v>
      </c>
      <c r="N1752" s="16" t="s">
        <v>6229</v>
      </c>
      <c r="O1752" s="16"/>
      <c r="P1752" s="16" t="str">
        <f aca="false">IF(AND(L1752&lt;=$D$2,M1752&gt;=$C$2),"Sí","")</f>
        <v/>
      </c>
      <c r="Q1752" s="18" t="str">
        <f aca="false">IF(COUNTIF(LOOKAHEAD!$A$5:$A$604,A1752)&gt;0,"En Lookahead",IF(P1752="Sí","INCORPORAR",""))</f>
        <v/>
      </c>
    </row>
    <row r="1753" customFormat="false" ht="15" hidden="false" customHeight="false" outlineLevel="0" collapsed="false">
      <c r="A1753" s="16" t="s">
        <v>6230</v>
      </c>
      <c r="B1753" s="16" t="n">
        <v>1748</v>
      </c>
      <c r="C1753" s="16" t="s">
        <v>6231</v>
      </c>
      <c r="D1753" s="16" t="n">
        <v>8</v>
      </c>
      <c r="E1753" s="39" t="s">
        <v>1800</v>
      </c>
      <c r="F1753" s="16" t="s">
        <v>1285</v>
      </c>
      <c r="G1753" s="16" t="s">
        <v>322</v>
      </c>
      <c r="H1753" s="16" t="s">
        <v>6036</v>
      </c>
      <c r="I1753" s="16" t="s">
        <v>123</v>
      </c>
      <c r="J1753" s="16" t="s">
        <v>1822</v>
      </c>
      <c r="K1753" s="32" t="n">
        <v>2</v>
      </c>
      <c r="L1753" s="33" t="n">
        <v>46015</v>
      </c>
      <c r="M1753" s="33" t="n">
        <v>46016</v>
      </c>
      <c r="N1753" s="16" t="s">
        <v>6232</v>
      </c>
      <c r="O1753" s="16"/>
      <c r="P1753" s="16" t="str">
        <f aca="false">IF(AND(L1753&lt;=$D$2,M1753&gt;=$C$2),"Sí","")</f>
        <v/>
      </c>
      <c r="Q1753" s="18" t="str">
        <f aca="false">IF(COUNTIF(LOOKAHEAD!$A$5:$A$604,A1753)&gt;0,"En Lookahead",IF(P1753="Sí","INCORPORAR",""))</f>
        <v/>
      </c>
    </row>
    <row r="1754" customFormat="false" ht="15" hidden="false" customHeight="false" outlineLevel="0" collapsed="false">
      <c r="A1754" s="16" t="s">
        <v>6233</v>
      </c>
      <c r="B1754" s="16" t="n">
        <v>1749</v>
      </c>
      <c r="C1754" s="16" t="s">
        <v>6234</v>
      </c>
      <c r="D1754" s="16" t="n">
        <v>8</v>
      </c>
      <c r="E1754" s="39" t="s">
        <v>1602</v>
      </c>
      <c r="F1754" s="16" t="s">
        <v>1285</v>
      </c>
      <c r="G1754" s="16" t="s">
        <v>322</v>
      </c>
      <c r="H1754" s="16" t="s">
        <v>6036</v>
      </c>
      <c r="I1754" s="16" t="s">
        <v>123</v>
      </c>
      <c r="J1754" s="16" t="s">
        <v>1822</v>
      </c>
      <c r="K1754" s="32" t="n">
        <v>1</v>
      </c>
      <c r="L1754" s="33" t="n">
        <v>46020</v>
      </c>
      <c r="M1754" s="33" t="n">
        <v>46020</v>
      </c>
      <c r="N1754" s="16" t="s">
        <v>6235</v>
      </c>
      <c r="O1754" s="16"/>
      <c r="P1754" s="16" t="str">
        <f aca="false">IF(AND(L1754&lt;=$D$2,M1754&gt;=$C$2),"Sí","")</f>
        <v/>
      </c>
      <c r="Q1754" s="18" t="str">
        <f aca="false">IF(COUNTIF(LOOKAHEAD!$A$5:$A$604,A1754)&gt;0,"En Lookahead",IF(P1754="Sí","INCORPORAR",""))</f>
        <v/>
      </c>
    </row>
    <row r="1755" customFormat="false" ht="15" hidden="false" customHeight="false" outlineLevel="0" collapsed="false">
      <c r="A1755" s="13" t="s">
        <v>6236</v>
      </c>
      <c r="B1755" s="13" t="n">
        <v>1750</v>
      </c>
      <c r="C1755" s="13" t="s">
        <v>6237</v>
      </c>
      <c r="D1755" s="13" t="n">
        <v>6</v>
      </c>
      <c r="E1755" s="36" t="s">
        <v>1853</v>
      </c>
      <c r="F1755" s="13" t="s">
        <v>1298</v>
      </c>
      <c r="G1755" s="13" t="s">
        <v>322</v>
      </c>
      <c r="H1755" s="13" t="s">
        <v>6036</v>
      </c>
      <c r="I1755" s="13" t="s">
        <v>123</v>
      </c>
      <c r="J1755" s="13" t="s">
        <v>1623</v>
      </c>
      <c r="K1755" s="30" t="n">
        <v>38</v>
      </c>
      <c r="L1755" s="31" t="n">
        <v>45984</v>
      </c>
      <c r="M1755" s="31" t="n">
        <v>46021</v>
      </c>
      <c r="N1755" s="13"/>
      <c r="O1755" s="13"/>
      <c r="P1755" s="13"/>
      <c r="Q1755" s="13"/>
    </row>
    <row r="1756" customFormat="false" ht="15" hidden="false" customHeight="false" outlineLevel="0" collapsed="false">
      <c r="A1756" s="13" t="s">
        <v>6238</v>
      </c>
      <c r="B1756" s="13" t="n">
        <v>1751</v>
      </c>
      <c r="C1756" s="13" t="s">
        <v>6239</v>
      </c>
      <c r="D1756" s="13" t="n">
        <v>7</v>
      </c>
      <c r="E1756" s="38" t="s">
        <v>1856</v>
      </c>
      <c r="F1756" s="13" t="s">
        <v>1298</v>
      </c>
      <c r="G1756" s="13" t="s">
        <v>322</v>
      </c>
      <c r="H1756" s="13" t="s">
        <v>6036</v>
      </c>
      <c r="I1756" s="13" t="s">
        <v>123</v>
      </c>
      <c r="J1756" s="13" t="s">
        <v>1853</v>
      </c>
      <c r="K1756" s="30" t="n">
        <v>6</v>
      </c>
      <c r="L1756" s="31" t="n">
        <v>45984</v>
      </c>
      <c r="M1756" s="31" t="n">
        <v>45989</v>
      </c>
      <c r="N1756" s="13"/>
      <c r="O1756" s="13"/>
      <c r="P1756" s="13"/>
      <c r="Q1756" s="13"/>
    </row>
    <row r="1757" customFormat="false" ht="15" hidden="false" customHeight="false" outlineLevel="0" collapsed="false">
      <c r="A1757" s="16" t="s">
        <v>6240</v>
      </c>
      <c r="B1757" s="16" t="n">
        <v>1752</v>
      </c>
      <c r="C1757" s="16" t="s">
        <v>6241</v>
      </c>
      <c r="D1757" s="16" t="n">
        <v>8</v>
      </c>
      <c r="E1757" s="39" t="s">
        <v>1859</v>
      </c>
      <c r="F1757" s="16" t="s">
        <v>1285</v>
      </c>
      <c r="G1757" s="16" t="s">
        <v>322</v>
      </c>
      <c r="H1757" s="16" t="s">
        <v>6036</v>
      </c>
      <c r="I1757" s="16" t="s">
        <v>123</v>
      </c>
      <c r="J1757" s="16" t="s">
        <v>1856</v>
      </c>
      <c r="K1757" s="32" t="n">
        <v>1</v>
      </c>
      <c r="L1757" s="33" t="n">
        <v>45988</v>
      </c>
      <c r="M1757" s="33" t="n">
        <v>45988</v>
      </c>
      <c r="N1757" s="16" t="s">
        <v>6242</v>
      </c>
      <c r="O1757" s="16"/>
      <c r="P1757" s="16" t="str">
        <f aca="false">IF(AND(L1757&lt;=$D$2,M1757&gt;=$C$2),"Sí","")</f>
        <v/>
      </c>
      <c r="Q1757" s="18" t="str">
        <f aca="false">IF(COUNTIF(LOOKAHEAD!$A$5:$A$604,A1757)&gt;0,"En Lookahead",IF(P1757="Sí","INCORPORAR",""))</f>
        <v/>
      </c>
    </row>
    <row r="1758" customFormat="false" ht="15" hidden="false" customHeight="false" outlineLevel="0" collapsed="false">
      <c r="A1758" s="16" t="s">
        <v>6243</v>
      </c>
      <c r="B1758" s="16" t="n">
        <v>1753</v>
      </c>
      <c r="C1758" s="16" t="s">
        <v>6244</v>
      </c>
      <c r="D1758" s="16" t="n">
        <v>8</v>
      </c>
      <c r="E1758" s="39" t="s">
        <v>1863</v>
      </c>
      <c r="F1758" s="16" t="s">
        <v>1285</v>
      </c>
      <c r="G1758" s="16" t="s">
        <v>322</v>
      </c>
      <c r="H1758" s="16" t="s">
        <v>6036</v>
      </c>
      <c r="I1758" s="16" t="s">
        <v>123</v>
      </c>
      <c r="J1758" s="16" t="s">
        <v>1856</v>
      </c>
      <c r="K1758" s="32" t="n">
        <v>2</v>
      </c>
      <c r="L1758" s="33" t="n">
        <v>45984</v>
      </c>
      <c r="M1758" s="33" t="n">
        <v>45985</v>
      </c>
      <c r="N1758" s="16" t="s">
        <v>6245</v>
      </c>
      <c r="O1758" s="16"/>
      <c r="P1758" s="16" t="str">
        <f aca="false">IF(AND(L1758&lt;=$D$2,M1758&gt;=$C$2),"Sí","")</f>
        <v/>
      </c>
      <c r="Q1758" s="18" t="str">
        <f aca="false">IF(COUNTIF(LOOKAHEAD!$A$5:$A$604,A1758)&gt;0,"En Lookahead",IF(P1758="Sí","INCORPORAR",""))</f>
        <v/>
      </c>
    </row>
    <row r="1759" customFormat="false" ht="15" hidden="false" customHeight="false" outlineLevel="0" collapsed="false">
      <c r="A1759" s="16" t="s">
        <v>6246</v>
      </c>
      <c r="B1759" s="16" t="n">
        <v>1754</v>
      </c>
      <c r="C1759" s="16" t="s">
        <v>6247</v>
      </c>
      <c r="D1759" s="16" t="n">
        <v>8</v>
      </c>
      <c r="E1759" s="39" t="s">
        <v>1867</v>
      </c>
      <c r="F1759" s="16" t="s">
        <v>1285</v>
      </c>
      <c r="G1759" s="16" t="s">
        <v>322</v>
      </c>
      <c r="H1759" s="16" t="s">
        <v>6036</v>
      </c>
      <c r="I1759" s="16" t="s">
        <v>123</v>
      </c>
      <c r="J1759" s="16" t="s">
        <v>1856</v>
      </c>
      <c r="K1759" s="32" t="n">
        <v>1</v>
      </c>
      <c r="L1759" s="33" t="n">
        <v>45987</v>
      </c>
      <c r="M1759" s="33" t="n">
        <v>45987</v>
      </c>
      <c r="N1759" s="16" t="s">
        <v>6248</v>
      </c>
      <c r="O1759" s="16"/>
      <c r="P1759" s="16" t="str">
        <f aca="false">IF(AND(L1759&lt;=$D$2,M1759&gt;=$C$2),"Sí","")</f>
        <v/>
      </c>
      <c r="Q1759" s="18" t="str">
        <f aca="false">IF(COUNTIF(LOOKAHEAD!$A$5:$A$604,A1759)&gt;0,"En Lookahead",IF(P1759="Sí","INCORPORAR",""))</f>
        <v/>
      </c>
    </row>
    <row r="1760" customFormat="false" ht="15" hidden="false" customHeight="false" outlineLevel="0" collapsed="false">
      <c r="A1760" s="16" t="s">
        <v>6249</v>
      </c>
      <c r="B1760" s="16" t="n">
        <v>1755</v>
      </c>
      <c r="C1760" s="16" t="s">
        <v>6250</v>
      </c>
      <c r="D1760" s="16" t="n">
        <v>8</v>
      </c>
      <c r="E1760" s="39" t="s">
        <v>1871</v>
      </c>
      <c r="F1760" s="16" t="s">
        <v>1285</v>
      </c>
      <c r="G1760" s="16" t="s">
        <v>322</v>
      </c>
      <c r="H1760" s="16" t="s">
        <v>6036</v>
      </c>
      <c r="I1760" s="16" t="s">
        <v>123</v>
      </c>
      <c r="J1760" s="16" t="s">
        <v>1856</v>
      </c>
      <c r="K1760" s="32" t="n">
        <v>1</v>
      </c>
      <c r="L1760" s="33" t="n">
        <v>45986</v>
      </c>
      <c r="M1760" s="33" t="n">
        <v>45986</v>
      </c>
      <c r="N1760" s="16" t="s">
        <v>6251</v>
      </c>
      <c r="O1760" s="16"/>
      <c r="P1760" s="16" t="str">
        <f aca="false">IF(AND(L1760&lt;=$D$2,M1760&gt;=$C$2),"Sí","")</f>
        <v/>
      </c>
      <c r="Q1760" s="18" t="str">
        <f aca="false">IF(COUNTIF(LOOKAHEAD!$A$5:$A$604,A1760)&gt;0,"En Lookahead",IF(P1760="Sí","INCORPORAR",""))</f>
        <v/>
      </c>
    </row>
    <row r="1761" customFormat="false" ht="15" hidden="false" customHeight="false" outlineLevel="0" collapsed="false">
      <c r="A1761" s="16" t="s">
        <v>6252</v>
      </c>
      <c r="B1761" s="16" t="n">
        <v>1756</v>
      </c>
      <c r="C1761" s="16" t="s">
        <v>6253</v>
      </c>
      <c r="D1761" s="16" t="n">
        <v>8</v>
      </c>
      <c r="E1761" s="39" t="s">
        <v>1602</v>
      </c>
      <c r="F1761" s="16" t="s">
        <v>1285</v>
      </c>
      <c r="G1761" s="16" t="s">
        <v>322</v>
      </c>
      <c r="H1761" s="16" t="s">
        <v>6036</v>
      </c>
      <c r="I1761" s="16" t="s">
        <v>123</v>
      </c>
      <c r="J1761" s="16" t="s">
        <v>1856</v>
      </c>
      <c r="K1761" s="32" t="n">
        <v>1</v>
      </c>
      <c r="L1761" s="33" t="n">
        <v>45989</v>
      </c>
      <c r="M1761" s="33" t="n">
        <v>45989</v>
      </c>
      <c r="N1761" s="16" t="s">
        <v>6254</v>
      </c>
      <c r="O1761" s="16"/>
      <c r="P1761" s="16" t="str">
        <f aca="false">IF(AND(L1761&lt;=$D$2,M1761&gt;=$C$2),"Sí","")</f>
        <v/>
      </c>
      <c r="Q1761" s="18" t="str">
        <f aca="false">IF(COUNTIF(LOOKAHEAD!$A$5:$A$604,A1761)&gt;0,"En Lookahead",IF(P1761="Sí","INCORPORAR",""))</f>
        <v/>
      </c>
    </row>
    <row r="1762" customFormat="false" ht="15" hidden="false" customHeight="false" outlineLevel="0" collapsed="false">
      <c r="A1762" s="13" t="s">
        <v>6255</v>
      </c>
      <c r="B1762" s="13" t="n">
        <v>1757</v>
      </c>
      <c r="C1762" s="13" t="s">
        <v>6256</v>
      </c>
      <c r="D1762" s="13" t="n">
        <v>7</v>
      </c>
      <c r="E1762" s="38" t="s">
        <v>1878</v>
      </c>
      <c r="F1762" s="13" t="s">
        <v>1298</v>
      </c>
      <c r="G1762" s="13" t="s">
        <v>322</v>
      </c>
      <c r="H1762" s="13" t="s">
        <v>6036</v>
      </c>
      <c r="I1762" s="13" t="s">
        <v>123</v>
      </c>
      <c r="J1762" s="13" t="s">
        <v>1853</v>
      </c>
      <c r="K1762" s="30" t="n">
        <v>7</v>
      </c>
      <c r="L1762" s="31" t="n">
        <v>45999</v>
      </c>
      <c r="M1762" s="31" t="n">
        <v>46005</v>
      </c>
      <c r="N1762" s="13"/>
      <c r="O1762" s="13"/>
      <c r="P1762" s="13"/>
      <c r="Q1762" s="13"/>
    </row>
    <row r="1763" customFormat="false" ht="15" hidden="false" customHeight="false" outlineLevel="0" collapsed="false">
      <c r="A1763" s="16" t="s">
        <v>6257</v>
      </c>
      <c r="B1763" s="16" t="n">
        <v>1758</v>
      </c>
      <c r="C1763" s="16" t="s">
        <v>6258</v>
      </c>
      <c r="D1763" s="16" t="n">
        <v>8</v>
      </c>
      <c r="E1763" s="39" t="s">
        <v>1881</v>
      </c>
      <c r="F1763" s="16" t="s">
        <v>1285</v>
      </c>
      <c r="G1763" s="16" t="s">
        <v>322</v>
      </c>
      <c r="H1763" s="16" t="s">
        <v>6036</v>
      </c>
      <c r="I1763" s="16" t="s">
        <v>123</v>
      </c>
      <c r="J1763" s="16" t="s">
        <v>1878</v>
      </c>
      <c r="K1763" s="32" t="n">
        <v>1</v>
      </c>
      <c r="L1763" s="33" t="n">
        <v>46004</v>
      </c>
      <c r="M1763" s="33" t="n">
        <v>46004</v>
      </c>
      <c r="N1763" s="16" t="s">
        <v>6259</v>
      </c>
      <c r="O1763" s="16"/>
      <c r="P1763" s="16" t="str">
        <f aca="false">IF(AND(L1763&lt;=$D$2,M1763&gt;=$C$2),"Sí","")</f>
        <v/>
      </c>
      <c r="Q1763" s="18" t="str">
        <f aca="false">IF(COUNTIF(LOOKAHEAD!$A$5:$A$604,A1763)&gt;0,"En Lookahead",IF(P1763="Sí","INCORPORAR",""))</f>
        <v/>
      </c>
    </row>
    <row r="1764" customFormat="false" ht="15" hidden="false" customHeight="false" outlineLevel="0" collapsed="false">
      <c r="A1764" s="16" t="s">
        <v>6260</v>
      </c>
      <c r="B1764" s="16" t="n">
        <v>1759</v>
      </c>
      <c r="C1764" s="16" t="s">
        <v>6261</v>
      </c>
      <c r="D1764" s="16" t="n">
        <v>8</v>
      </c>
      <c r="E1764" s="39" t="s">
        <v>1885</v>
      </c>
      <c r="F1764" s="16" t="s">
        <v>1285</v>
      </c>
      <c r="G1764" s="16" t="s">
        <v>322</v>
      </c>
      <c r="H1764" s="16" t="s">
        <v>6036</v>
      </c>
      <c r="I1764" s="16" t="s">
        <v>123</v>
      </c>
      <c r="J1764" s="16" t="s">
        <v>1878</v>
      </c>
      <c r="K1764" s="32" t="n">
        <v>3</v>
      </c>
      <c r="L1764" s="33" t="n">
        <v>45999</v>
      </c>
      <c r="M1764" s="33" t="n">
        <v>46001</v>
      </c>
      <c r="N1764" s="16" t="s">
        <v>6218</v>
      </c>
      <c r="O1764" s="16"/>
      <c r="P1764" s="16" t="str">
        <f aca="false">IF(AND(L1764&lt;=$D$2,M1764&gt;=$C$2),"Sí","")</f>
        <v/>
      </c>
      <c r="Q1764" s="18" t="str">
        <f aca="false">IF(COUNTIF(LOOKAHEAD!$A$5:$A$604,A1764)&gt;0,"En Lookahead",IF(P1764="Sí","INCORPORAR",""))</f>
        <v/>
      </c>
    </row>
    <row r="1765" customFormat="false" ht="15" hidden="false" customHeight="false" outlineLevel="0" collapsed="false">
      <c r="A1765" s="16" t="s">
        <v>6262</v>
      </c>
      <c r="B1765" s="16" t="n">
        <v>1760</v>
      </c>
      <c r="C1765" s="16" t="s">
        <v>6263</v>
      </c>
      <c r="D1765" s="16" t="n">
        <v>8</v>
      </c>
      <c r="E1765" s="39" t="s">
        <v>1867</v>
      </c>
      <c r="F1765" s="16" t="s">
        <v>1285</v>
      </c>
      <c r="G1765" s="16" t="s">
        <v>322</v>
      </c>
      <c r="H1765" s="16" t="s">
        <v>6036</v>
      </c>
      <c r="I1765" s="16" t="s">
        <v>123</v>
      </c>
      <c r="J1765" s="16" t="s">
        <v>1878</v>
      </c>
      <c r="K1765" s="32" t="n">
        <v>1</v>
      </c>
      <c r="L1765" s="33" t="n">
        <v>46003</v>
      </c>
      <c r="M1765" s="33" t="n">
        <v>46003</v>
      </c>
      <c r="N1765" s="16" t="s">
        <v>6264</v>
      </c>
      <c r="O1765" s="16"/>
      <c r="P1765" s="16" t="str">
        <f aca="false">IF(AND(L1765&lt;=$D$2,M1765&gt;=$C$2),"Sí","")</f>
        <v/>
      </c>
      <c r="Q1765" s="18" t="str">
        <f aca="false">IF(COUNTIF(LOOKAHEAD!$A$5:$A$604,A1765)&gt;0,"En Lookahead",IF(P1765="Sí","INCORPORAR",""))</f>
        <v/>
      </c>
    </row>
    <row r="1766" customFormat="false" ht="15" hidden="false" customHeight="false" outlineLevel="0" collapsed="false">
      <c r="A1766" s="16" t="s">
        <v>6265</v>
      </c>
      <c r="B1766" s="16" t="n">
        <v>1761</v>
      </c>
      <c r="C1766" s="16" t="s">
        <v>6266</v>
      </c>
      <c r="D1766" s="16" t="n">
        <v>8</v>
      </c>
      <c r="E1766" s="39" t="s">
        <v>1892</v>
      </c>
      <c r="F1766" s="16" t="s">
        <v>1285</v>
      </c>
      <c r="G1766" s="16" t="s">
        <v>322</v>
      </c>
      <c r="H1766" s="16" t="s">
        <v>6036</v>
      </c>
      <c r="I1766" s="16" t="s">
        <v>123</v>
      </c>
      <c r="J1766" s="16" t="s">
        <v>1878</v>
      </c>
      <c r="K1766" s="32" t="n">
        <v>1</v>
      </c>
      <c r="L1766" s="33" t="n">
        <v>46002</v>
      </c>
      <c r="M1766" s="33" t="n">
        <v>46002</v>
      </c>
      <c r="N1766" s="16" t="s">
        <v>6267</v>
      </c>
      <c r="O1766" s="16"/>
      <c r="P1766" s="16" t="str">
        <f aca="false">IF(AND(L1766&lt;=$D$2,M1766&gt;=$C$2),"Sí","")</f>
        <v/>
      </c>
      <c r="Q1766" s="18" t="str">
        <f aca="false">IF(COUNTIF(LOOKAHEAD!$A$5:$A$604,A1766)&gt;0,"En Lookahead",IF(P1766="Sí","INCORPORAR",""))</f>
        <v/>
      </c>
    </row>
    <row r="1767" customFormat="false" ht="15" hidden="false" customHeight="false" outlineLevel="0" collapsed="false">
      <c r="A1767" s="16" t="s">
        <v>6268</v>
      </c>
      <c r="B1767" s="16" t="n">
        <v>1762</v>
      </c>
      <c r="C1767" s="16" t="s">
        <v>6269</v>
      </c>
      <c r="D1767" s="16" t="n">
        <v>8</v>
      </c>
      <c r="E1767" s="39" t="s">
        <v>1602</v>
      </c>
      <c r="F1767" s="16" t="s">
        <v>1285</v>
      </c>
      <c r="G1767" s="16" t="s">
        <v>322</v>
      </c>
      <c r="H1767" s="16" t="s">
        <v>6036</v>
      </c>
      <c r="I1767" s="16" t="s">
        <v>123</v>
      </c>
      <c r="J1767" s="16" t="s">
        <v>1878</v>
      </c>
      <c r="K1767" s="32" t="n">
        <v>1</v>
      </c>
      <c r="L1767" s="33" t="n">
        <v>46005</v>
      </c>
      <c r="M1767" s="33" t="n">
        <v>46005</v>
      </c>
      <c r="N1767" s="16" t="s">
        <v>6270</v>
      </c>
      <c r="O1767" s="16"/>
      <c r="P1767" s="16" t="str">
        <f aca="false">IF(AND(L1767&lt;=$D$2,M1767&gt;=$C$2),"Sí","")</f>
        <v/>
      </c>
      <c r="Q1767" s="18" t="str">
        <f aca="false">IF(COUNTIF(LOOKAHEAD!$A$5:$A$604,A1767)&gt;0,"En Lookahead",IF(P1767="Sí","INCORPORAR",""))</f>
        <v/>
      </c>
    </row>
    <row r="1768" customFormat="false" ht="15" hidden="false" customHeight="false" outlineLevel="0" collapsed="false">
      <c r="A1768" s="13" t="s">
        <v>6271</v>
      </c>
      <c r="B1768" s="13" t="n">
        <v>1763</v>
      </c>
      <c r="C1768" s="13" t="s">
        <v>6272</v>
      </c>
      <c r="D1768" s="13" t="n">
        <v>7</v>
      </c>
      <c r="E1768" s="38" t="s">
        <v>1899</v>
      </c>
      <c r="F1768" s="13" t="s">
        <v>1298</v>
      </c>
      <c r="G1768" s="13" t="s">
        <v>322</v>
      </c>
      <c r="H1768" s="13" t="s">
        <v>6036</v>
      </c>
      <c r="I1768" s="13" t="s">
        <v>123</v>
      </c>
      <c r="J1768" s="13" t="s">
        <v>1853</v>
      </c>
      <c r="K1768" s="30" t="n">
        <v>7</v>
      </c>
      <c r="L1768" s="31" t="n">
        <v>46015</v>
      </c>
      <c r="M1768" s="31" t="n">
        <v>46021</v>
      </c>
      <c r="N1768" s="13"/>
      <c r="O1768" s="13"/>
      <c r="P1768" s="13"/>
      <c r="Q1768" s="13"/>
    </row>
    <row r="1769" customFormat="false" ht="15" hidden="false" customHeight="false" outlineLevel="0" collapsed="false">
      <c r="A1769" s="16" t="s">
        <v>6273</v>
      </c>
      <c r="B1769" s="16" t="n">
        <v>1764</v>
      </c>
      <c r="C1769" s="16" t="s">
        <v>6274</v>
      </c>
      <c r="D1769" s="16" t="n">
        <v>8</v>
      </c>
      <c r="E1769" s="39" t="s">
        <v>1902</v>
      </c>
      <c r="F1769" s="16" t="s">
        <v>1285</v>
      </c>
      <c r="G1769" s="16" t="s">
        <v>322</v>
      </c>
      <c r="H1769" s="16" t="s">
        <v>6036</v>
      </c>
      <c r="I1769" s="16" t="s">
        <v>123</v>
      </c>
      <c r="J1769" s="16" t="s">
        <v>1899</v>
      </c>
      <c r="K1769" s="32" t="n">
        <v>1</v>
      </c>
      <c r="L1769" s="33" t="n">
        <v>46020</v>
      </c>
      <c r="M1769" s="33" t="n">
        <v>46020</v>
      </c>
      <c r="N1769" s="16" t="s">
        <v>6275</v>
      </c>
      <c r="O1769" s="16"/>
      <c r="P1769" s="16" t="str">
        <f aca="false">IF(AND(L1769&lt;=$D$2,M1769&gt;=$C$2),"Sí","")</f>
        <v/>
      </c>
      <c r="Q1769" s="18" t="str">
        <f aca="false">IF(COUNTIF(LOOKAHEAD!$A$5:$A$604,A1769)&gt;0,"En Lookahead",IF(P1769="Sí","INCORPORAR",""))</f>
        <v/>
      </c>
    </row>
    <row r="1770" customFormat="false" ht="15" hidden="false" customHeight="false" outlineLevel="0" collapsed="false">
      <c r="A1770" s="16" t="s">
        <v>6276</v>
      </c>
      <c r="B1770" s="16" t="n">
        <v>1765</v>
      </c>
      <c r="C1770" s="16" t="s">
        <v>6277</v>
      </c>
      <c r="D1770" s="16" t="n">
        <v>8</v>
      </c>
      <c r="E1770" s="39" t="s">
        <v>1906</v>
      </c>
      <c r="F1770" s="16" t="s">
        <v>1285</v>
      </c>
      <c r="G1770" s="16" t="s">
        <v>322</v>
      </c>
      <c r="H1770" s="16" t="s">
        <v>6036</v>
      </c>
      <c r="I1770" s="16" t="s">
        <v>123</v>
      </c>
      <c r="J1770" s="16" t="s">
        <v>1899</v>
      </c>
      <c r="K1770" s="32" t="n">
        <v>3</v>
      </c>
      <c r="L1770" s="33" t="n">
        <v>46015</v>
      </c>
      <c r="M1770" s="33" t="n">
        <v>46017</v>
      </c>
      <c r="N1770" s="16" t="s">
        <v>6232</v>
      </c>
      <c r="O1770" s="16"/>
      <c r="P1770" s="16" t="str">
        <f aca="false">IF(AND(L1770&lt;=$D$2,M1770&gt;=$C$2),"Sí","")</f>
        <v/>
      </c>
      <c r="Q1770" s="18" t="str">
        <f aca="false">IF(COUNTIF(LOOKAHEAD!$A$5:$A$604,A1770)&gt;0,"En Lookahead",IF(P1770="Sí","INCORPORAR",""))</f>
        <v/>
      </c>
    </row>
    <row r="1771" customFormat="false" ht="15" hidden="false" customHeight="false" outlineLevel="0" collapsed="false">
      <c r="A1771" s="16" t="s">
        <v>6278</v>
      </c>
      <c r="B1771" s="16" t="n">
        <v>1766</v>
      </c>
      <c r="C1771" s="16" t="s">
        <v>6279</v>
      </c>
      <c r="D1771" s="16" t="n">
        <v>8</v>
      </c>
      <c r="E1771" s="39" t="s">
        <v>1867</v>
      </c>
      <c r="F1771" s="16" t="s">
        <v>1285</v>
      </c>
      <c r="G1771" s="16" t="s">
        <v>322</v>
      </c>
      <c r="H1771" s="16" t="s">
        <v>6036</v>
      </c>
      <c r="I1771" s="16" t="s">
        <v>123</v>
      </c>
      <c r="J1771" s="16" t="s">
        <v>1899</v>
      </c>
      <c r="K1771" s="32" t="n">
        <v>1</v>
      </c>
      <c r="L1771" s="33" t="n">
        <v>46019</v>
      </c>
      <c r="M1771" s="33" t="n">
        <v>46019</v>
      </c>
      <c r="N1771" s="16" t="s">
        <v>6280</v>
      </c>
      <c r="O1771" s="16"/>
      <c r="P1771" s="16" t="str">
        <f aca="false">IF(AND(L1771&lt;=$D$2,M1771&gt;=$C$2),"Sí","")</f>
        <v/>
      </c>
      <c r="Q1771" s="18" t="str">
        <f aca="false">IF(COUNTIF(LOOKAHEAD!$A$5:$A$604,A1771)&gt;0,"En Lookahead",IF(P1771="Sí","INCORPORAR",""))</f>
        <v/>
      </c>
    </row>
    <row r="1772" customFormat="false" ht="15" hidden="false" customHeight="false" outlineLevel="0" collapsed="false">
      <c r="A1772" s="16" t="s">
        <v>6281</v>
      </c>
      <c r="B1772" s="16" t="n">
        <v>1767</v>
      </c>
      <c r="C1772" s="16" t="s">
        <v>6282</v>
      </c>
      <c r="D1772" s="16" t="n">
        <v>8</v>
      </c>
      <c r="E1772" s="39" t="s">
        <v>1913</v>
      </c>
      <c r="F1772" s="16" t="s">
        <v>1285</v>
      </c>
      <c r="G1772" s="16" t="s">
        <v>322</v>
      </c>
      <c r="H1772" s="16" t="s">
        <v>6036</v>
      </c>
      <c r="I1772" s="16" t="s">
        <v>123</v>
      </c>
      <c r="J1772" s="16" t="s">
        <v>1899</v>
      </c>
      <c r="K1772" s="32" t="n">
        <v>1</v>
      </c>
      <c r="L1772" s="33" t="n">
        <v>46018</v>
      </c>
      <c r="M1772" s="33" t="n">
        <v>46018</v>
      </c>
      <c r="N1772" s="16" t="s">
        <v>6283</v>
      </c>
      <c r="O1772" s="16"/>
      <c r="P1772" s="16" t="str">
        <f aca="false">IF(AND(L1772&lt;=$D$2,M1772&gt;=$C$2),"Sí","")</f>
        <v/>
      </c>
      <c r="Q1772" s="18" t="str">
        <f aca="false">IF(COUNTIF(LOOKAHEAD!$A$5:$A$604,A1772)&gt;0,"En Lookahead",IF(P1772="Sí","INCORPORAR",""))</f>
        <v/>
      </c>
    </row>
    <row r="1773" customFormat="false" ht="15" hidden="false" customHeight="false" outlineLevel="0" collapsed="false">
      <c r="A1773" s="16" t="s">
        <v>6284</v>
      </c>
      <c r="B1773" s="16" t="n">
        <v>1768</v>
      </c>
      <c r="C1773" s="16" t="s">
        <v>6285</v>
      </c>
      <c r="D1773" s="16" t="n">
        <v>8</v>
      </c>
      <c r="E1773" s="39" t="s">
        <v>1602</v>
      </c>
      <c r="F1773" s="16" t="s">
        <v>1285</v>
      </c>
      <c r="G1773" s="16" t="s">
        <v>322</v>
      </c>
      <c r="H1773" s="16" t="s">
        <v>6036</v>
      </c>
      <c r="I1773" s="16" t="s">
        <v>123</v>
      </c>
      <c r="J1773" s="16" t="s">
        <v>1899</v>
      </c>
      <c r="K1773" s="32" t="n">
        <v>1</v>
      </c>
      <c r="L1773" s="33" t="n">
        <v>46021</v>
      </c>
      <c r="M1773" s="33" t="n">
        <v>46021</v>
      </c>
      <c r="N1773" s="16" t="s">
        <v>6286</v>
      </c>
      <c r="O1773" s="16"/>
      <c r="P1773" s="16" t="str">
        <f aca="false">IF(AND(L1773&lt;=$D$2,M1773&gt;=$C$2),"Sí","")</f>
        <v/>
      </c>
      <c r="Q1773" s="18" t="str">
        <f aca="false">IF(COUNTIF(LOOKAHEAD!$A$5:$A$604,A1773)&gt;0,"En Lookahead",IF(P1773="Sí","INCORPORAR",""))</f>
        <v/>
      </c>
    </row>
    <row r="1774" customFormat="false" ht="15" hidden="false" customHeight="false" outlineLevel="0" collapsed="false">
      <c r="A1774" s="13" t="s">
        <v>6287</v>
      </c>
      <c r="B1774" s="13" t="n">
        <v>1769</v>
      </c>
      <c r="C1774" s="13" t="s">
        <v>6288</v>
      </c>
      <c r="D1774" s="13" t="n">
        <v>6</v>
      </c>
      <c r="E1774" s="36" t="s">
        <v>1985</v>
      </c>
      <c r="F1774" s="13" t="s">
        <v>1298</v>
      </c>
      <c r="G1774" s="13" t="s">
        <v>322</v>
      </c>
      <c r="H1774" s="13" t="s">
        <v>6036</v>
      </c>
      <c r="I1774" s="13" t="s">
        <v>123</v>
      </c>
      <c r="J1774" s="13" t="s">
        <v>1623</v>
      </c>
      <c r="K1774" s="30" t="n">
        <v>4</v>
      </c>
      <c r="L1774" s="31" t="n">
        <v>45990</v>
      </c>
      <c r="M1774" s="31" t="n">
        <v>45993</v>
      </c>
      <c r="N1774" s="13"/>
      <c r="O1774" s="13"/>
      <c r="P1774" s="13"/>
      <c r="Q1774" s="13"/>
    </row>
    <row r="1775" customFormat="false" ht="15" hidden="false" customHeight="false" outlineLevel="0" collapsed="false">
      <c r="A1775" s="13" t="s">
        <v>6289</v>
      </c>
      <c r="B1775" s="13" t="n">
        <v>1770</v>
      </c>
      <c r="C1775" s="13" t="s">
        <v>6290</v>
      </c>
      <c r="D1775" s="13" t="n">
        <v>7</v>
      </c>
      <c r="E1775" s="38" t="s">
        <v>1988</v>
      </c>
      <c r="F1775" s="13" t="s">
        <v>1298</v>
      </c>
      <c r="G1775" s="13" t="s">
        <v>322</v>
      </c>
      <c r="H1775" s="13" t="s">
        <v>6036</v>
      </c>
      <c r="I1775" s="13" t="s">
        <v>123</v>
      </c>
      <c r="J1775" s="13" t="s">
        <v>1985</v>
      </c>
      <c r="K1775" s="30" t="n">
        <v>4</v>
      </c>
      <c r="L1775" s="31" t="n">
        <v>45990</v>
      </c>
      <c r="M1775" s="31" t="n">
        <v>45993</v>
      </c>
      <c r="N1775" s="13"/>
      <c r="O1775" s="13"/>
      <c r="P1775" s="13"/>
      <c r="Q1775" s="13"/>
    </row>
    <row r="1776" customFormat="false" ht="15" hidden="false" customHeight="false" outlineLevel="0" collapsed="false">
      <c r="A1776" s="16" t="s">
        <v>6291</v>
      </c>
      <c r="B1776" s="16" t="n">
        <v>1771</v>
      </c>
      <c r="C1776" s="16" t="s">
        <v>6292</v>
      </c>
      <c r="D1776" s="16" t="n">
        <v>8</v>
      </c>
      <c r="E1776" s="39" t="s">
        <v>1991</v>
      </c>
      <c r="F1776" s="16" t="s">
        <v>1285</v>
      </c>
      <c r="G1776" s="16" t="s">
        <v>322</v>
      </c>
      <c r="H1776" s="16" t="s">
        <v>6036</v>
      </c>
      <c r="I1776" s="16" t="s">
        <v>123</v>
      </c>
      <c r="J1776" s="16" t="s">
        <v>1988</v>
      </c>
      <c r="K1776" s="32" t="n">
        <v>1</v>
      </c>
      <c r="L1776" s="33" t="n">
        <v>45992</v>
      </c>
      <c r="M1776" s="33" t="n">
        <v>45992</v>
      </c>
      <c r="N1776" s="16" t="s">
        <v>6293</v>
      </c>
      <c r="O1776" s="16"/>
      <c r="P1776" s="16" t="str">
        <f aca="false">IF(AND(L1776&lt;=$D$2,M1776&gt;=$C$2),"Sí","")</f>
        <v/>
      </c>
      <c r="Q1776" s="18" t="str">
        <f aca="false">IF(COUNTIF(LOOKAHEAD!$A$5:$A$604,A1776)&gt;0,"En Lookahead",IF(P1776="Sí","INCORPORAR",""))</f>
        <v/>
      </c>
    </row>
    <row r="1777" customFormat="false" ht="15" hidden="false" customHeight="false" outlineLevel="0" collapsed="false">
      <c r="A1777" s="16" t="s">
        <v>6294</v>
      </c>
      <c r="B1777" s="16" t="n">
        <v>1772</v>
      </c>
      <c r="C1777" s="16" t="s">
        <v>6295</v>
      </c>
      <c r="D1777" s="16" t="n">
        <v>8</v>
      </c>
      <c r="E1777" s="39" t="s">
        <v>1995</v>
      </c>
      <c r="F1777" s="16" t="s">
        <v>1285</v>
      </c>
      <c r="G1777" s="16" t="s">
        <v>322</v>
      </c>
      <c r="H1777" s="16" t="s">
        <v>6036</v>
      </c>
      <c r="I1777" s="16" t="s">
        <v>123</v>
      </c>
      <c r="J1777" s="16" t="s">
        <v>1988</v>
      </c>
      <c r="K1777" s="32" t="n">
        <v>1</v>
      </c>
      <c r="L1777" s="33" t="n">
        <v>45991</v>
      </c>
      <c r="M1777" s="33" t="n">
        <v>45991</v>
      </c>
      <c r="N1777" s="16" t="s">
        <v>6296</v>
      </c>
      <c r="O1777" s="16"/>
      <c r="P1777" s="16" t="str">
        <f aca="false">IF(AND(L1777&lt;=$D$2,M1777&gt;=$C$2),"Sí","")</f>
        <v/>
      </c>
      <c r="Q1777" s="18" t="str">
        <f aca="false">IF(COUNTIF(LOOKAHEAD!$A$5:$A$604,A1777)&gt;0,"En Lookahead",IF(P1777="Sí","INCORPORAR",""))</f>
        <v/>
      </c>
    </row>
    <row r="1778" customFormat="false" ht="15" hidden="false" customHeight="false" outlineLevel="0" collapsed="false">
      <c r="A1778" s="16" t="s">
        <v>6297</v>
      </c>
      <c r="B1778" s="16" t="n">
        <v>1773</v>
      </c>
      <c r="C1778" s="16" t="s">
        <v>6298</v>
      </c>
      <c r="D1778" s="16" t="n">
        <v>8</v>
      </c>
      <c r="E1778" s="39" t="s">
        <v>1999</v>
      </c>
      <c r="F1778" s="16" t="s">
        <v>1285</v>
      </c>
      <c r="G1778" s="16" t="s">
        <v>322</v>
      </c>
      <c r="H1778" s="16" t="s">
        <v>6036</v>
      </c>
      <c r="I1778" s="16" t="s">
        <v>123</v>
      </c>
      <c r="J1778" s="16" t="s">
        <v>1988</v>
      </c>
      <c r="K1778" s="32" t="n">
        <v>1</v>
      </c>
      <c r="L1778" s="33" t="n">
        <v>45990</v>
      </c>
      <c r="M1778" s="33" t="n">
        <v>45990</v>
      </c>
      <c r="N1778" s="16" t="s">
        <v>6299</v>
      </c>
      <c r="O1778" s="16"/>
      <c r="P1778" s="16" t="str">
        <f aca="false">IF(AND(L1778&lt;=$D$2,M1778&gt;=$C$2),"Sí","")</f>
        <v/>
      </c>
      <c r="Q1778" s="18" t="str">
        <f aca="false">IF(COUNTIF(LOOKAHEAD!$A$5:$A$604,A1778)&gt;0,"En Lookahead",IF(P1778="Sí","INCORPORAR",""))</f>
        <v/>
      </c>
    </row>
    <row r="1779" customFormat="false" ht="15" hidden="false" customHeight="false" outlineLevel="0" collapsed="false">
      <c r="A1779" s="16" t="s">
        <v>6300</v>
      </c>
      <c r="B1779" s="16" t="n">
        <v>1774</v>
      </c>
      <c r="C1779" s="16" t="s">
        <v>6301</v>
      </c>
      <c r="D1779" s="16" t="n">
        <v>8</v>
      </c>
      <c r="E1779" s="39" t="s">
        <v>1677</v>
      </c>
      <c r="F1779" s="16" t="s">
        <v>1285</v>
      </c>
      <c r="G1779" s="16" t="s">
        <v>322</v>
      </c>
      <c r="H1779" s="16" t="s">
        <v>6036</v>
      </c>
      <c r="I1779" s="16" t="s">
        <v>123</v>
      </c>
      <c r="J1779" s="16" t="s">
        <v>1988</v>
      </c>
      <c r="K1779" s="32" t="n">
        <v>1</v>
      </c>
      <c r="L1779" s="33" t="n">
        <v>45993</v>
      </c>
      <c r="M1779" s="33" t="n">
        <v>45993</v>
      </c>
      <c r="N1779" s="16" t="s">
        <v>6302</v>
      </c>
      <c r="O1779" s="16"/>
      <c r="P1779" s="16" t="str">
        <f aca="false">IF(AND(L1779&lt;=$D$2,M1779&gt;=$C$2),"Sí","")</f>
        <v/>
      </c>
      <c r="Q1779" s="18" t="str">
        <f aca="false">IF(COUNTIF(LOOKAHEAD!$A$5:$A$604,A1779)&gt;0,"En Lookahead",IF(P1779="Sí","INCORPORAR",""))</f>
        <v/>
      </c>
    </row>
    <row r="1780" customFormat="false" ht="15" hidden="false" customHeight="false" outlineLevel="0" collapsed="false">
      <c r="A1780" s="13" t="s">
        <v>6303</v>
      </c>
      <c r="B1780" s="13" t="n">
        <v>1775</v>
      </c>
      <c r="C1780" s="13" t="s">
        <v>6304</v>
      </c>
      <c r="D1780" s="13" t="n">
        <v>7</v>
      </c>
      <c r="E1780" s="38" t="s">
        <v>2006</v>
      </c>
      <c r="F1780" s="13" t="s">
        <v>1298</v>
      </c>
      <c r="G1780" s="13" t="s">
        <v>322</v>
      </c>
      <c r="H1780" s="13" t="s">
        <v>6036</v>
      </c>
      <c r="I1780" s="13" t="s">
        <v>123</v>
      </c>
      <c r="J1780" s="13" t="s">
        <v>1985</v>
      </c>
      <c r="K1780" s="30" t="n">
        <v>4</v>
      </c>
      <c r="L1780" s="31" t="n">
        <v>45990</v>
      </c>
      <c r="M1780" s="31" t="n">
        <v>45993</v>
      </c>
      <c r="N1780" s="13"/>
      <c r="O1780" s="13"/>
      <c r="P1780" s="13"/>
      <c r="Q1780" s="13"/>
    </row>
    <row r="1781" customFormat="false" ht="15" hidden="false" customHeight="false" outlineLevel="0" collapsed="false">
      <c r="A1781" s="16" t="s">
        <v>6305</v>
      </c>
      <c r="B1781" s="16" t="n">
        <v>1776</v>
      </c>
      <c r="C1781" s="16" t="s">
        <v>6306</v>
      </c>
      <c r="D1781" s="16" t="n">
        <v>8</v>
      </c>
      <c r="E1781" s="39" t="s">
        <v>2009</v>
      </c>
      <c r="F1781" s="16" t="s">
        <v>1285</v>
      </c>
      <c r="G1781" s="16" t="s">
        <v>322</v>
      </c>
      <c r="H1781" s="16" t="s">
        <v>6036</v>
      </c>
      <c r="I1781" s="16" t="s">
        <v>123</v>
      </c>
      <c r="J1781" s="16" t="s">
        <v>2006</v>
      </c>
      <c r="K1781" s="32" t="n">
        <v>1</v>
      </c>
      <c r="L1781" s="33" t="n">
        <v>45992</v>
      </c>
      <c r="M1781" s="33" t="n">
        <v>45992</v>
      </c>
      <c r="N1781" s="16" t="s">
        <v>6307</v>
      </c>
      <c r="O1781" s="16"/>
      <c r="P1781" s="16" t="str">
        <f aca="false">IF(AND(L1781&lt;=$D$2,M1781&gt;=$C$2),"Sí","")</f>
        <v/>
      </c>
      <c r="Q1781" s="18" t="str">
        <f aca="false">IF(COUNTIF(LOOKAHEAD!$A$5:$A$604,A1781)&gt;0,"En Lookahead",IF(P1781="Sí","INCORPORAR",""))</f>
        <v/>
      </c>
    </row>
    <row r="1782" customFormat="false" ht="15" hidden="false" customHeight="false" outlineLevel="0" collapsed="false">
      <c r="A1782" s="16" t="s">
        <v>6308</v>
      </c>
      <c r="B1782" s="16" t="n">
        <v>1777</v>
      </c>
      <c r="C1782" s="16" t="s">
        <v>6309</v>
      </c>
      <c r="D1782" s="16" t="n">
        <v>8</v>
      </c>
      <c r="E1782" s="39" t="s">
        <v>2013</v>
      </c>
      <c r="F1782" s="16" t="s">
        <v>1285</v>
      </c>
      <c r="G1782" s="16" t="s">
        <v>322</v>
      </c>
      <c r="H1782" s="16" t="s">
        <v>6036</v>
      </c>
      <c r="I1782" s="16" t="s">
        <v>123</v>
      </c>
      <c r="J1782" s="16" t="s">
        <v>2006</v>
      </c>
      <c r="K1782" s="32" t="n">
        <v>1</v>
      </c>
      <c r="L1782" s="33" t="n">
        <v>45991</v>
      </c>
      <c r="M1782" s="33" t="n">
        <v>45991</v>
      </c>
      <c r="N1782" s="16" t="s">
        <v>6310</v>
      </c>
      <c r="O1782" s="16"/>
      <c r="P1782" s="16" t="str">
        <f aca="false">IF(AND(L1782&lt;=$D$2,M1782&gt;=$C$2),"Sí","")</f>
        <v/>
      </c>
      <c r="Q1782" s="18" t="str">
        <f aca="false">IF(COUNTIF(LOOKAHEAD!$A$5:$A$604,A1782)&gt;0,"En Lookahead",IF(P1782="Sí","INCORPORAR",""))</f>
        <v/>
      </c>
    </row>
    <row r="1783" customFormat="false" ht="15" hidden="false" customHeight="false" outlineLevel="0" collapsed="false">
      <c r="A1783" s="16" t="s">
        <v>6311</v>
      </c>
      <c r="B1783" s="16" t="n">
        <v>1778</v>
      </c>
      <c r="C1783" s="16" t="s">
        <v>6312</v>
      </c>
      <c r="D1783" s="16" t="n">
        <v>8</v>
      </c>
      <c r="E1783" s="39" t="s">
        <v>1999</v>
      </c>
      <c r="F1783" s="16" t="s">
        <v>1285</v>
      </c>
      <c r="G1783" s="16" t="s">
        <v>322</v>
      </c>
      <c r="H1783" s="16" t="s">
        <v>6036</v>
      </c>
      <c r="I1783" s="16" t="s">
        <v>123</v>
      </c>
      <c r="J1783" s="16" t="s">
        <v>2006</v>
      </c>
      <c r="K1783" s="32" t="n">
        <v>1</v>
      </c>
      <c r="L1783" s="33" t="n">
        <v>45990</v>
      </c>
      <c r="M1783" s="33" t="n">
        <v>45990</v>
      </c>
      <c r="N1783" s="16" t="s">
        <v>6299</v>
      </c>
      <c r="O1783" s="16"/>
      <c r="P1783" s="16" t="str">
        <f aca="false">IF(AND(L1783&lt;=$D$2,M1783&gt;=$C$2),"Sí","")</f>
        <v/>
      </c>
      <c r="Q1783" s="18" t="str">
        <f aca="false">IF(COUNTIF(LOOKAHEAD!$A$5:$A$604,A1783)&gt;0,"En Lookahead",IF(P1783="Sí","INCORPORAR",""))</f>
        <v/>
      </c>
    </row>
    <row r="1784" customFormat="false" ht="15" hidden="false" customHeight="false" outlineLevel="0" collapsed="false">
      <c r="A1784" s="16" t="s">
        <v>6313</v>
      </c>
      <c r="B1784" s="16" t="n">
        <v>1779</v>
      </c>
      <c r="C1784" s="16" t="s">
        <v>6314</v>
      </c>
      <c r="D1784" s="16" t="n">
        <v>8</v>
      </c>
      <c r="E1784" s="39" t="s">
        <v>1677</v>
      </c>
      <c r="F1784" s="16" t="s">
        <v>1285</v>
      </c>
      <c r="G1784" s="16" t="s">
        <v>322</v>
      </c>
      <c r="H1784" s="16" t="s">
        <v>6036</v>
      </c>
      <c r="I1784" s="16" t="s">
        <v>123</v>
      </c>
      <c r="J1784" s="16" t="s">
        <v>2006</v>
      </c>
      <c r="K1784" s="32" t="n">
        <v>1</v>
      </c>
      <c r="L1784" s="33" t="n">
        <v>45993</v>
      </c>
      <c r="M1784" s="33" t="n">
        <v>45993</v>
      </c>
      <c r="N1784" s="16" t="s">
        <v>6315</v>
      </c>
      <c r="O1784" s="16"/>
      <c r="P1784" s="16" t="str">
        <f aca="false">IF(AND(L1784&lt;=$D$2,M1784&gt;=$C$2),"Sí","")</f>
        <v/>
      </c>
      <c r="Q1784" s="18" t="str">
        <f aca="false">IF(COUNTIF(LOOKAHEAD!$A$5:$A$604,A1784)&gt;0,"En Lookahead",IF(P1784="Sí","INCORPORAR",""))</f>
        <v/>
      </c>
    </row>
    <row r="1785" customFormat="false" ht="15" hidden="false" customHeight="false" outlineLevel="0" collapsed="false">
      <c r="A1785" s="13" t="s">
        <v>6316</v>
      </c>
      <c r="B1785" s="13" t="n">
        <v>1780</v>
      </c>
      <c r="C1785" s="13" t="s">
        <v>6317</v>
      </c>
      <c r="D1785" s="13" t="n">
        <v>7</v>
      </c>
      <c r="E1785" s="38" t="s">
        <v>2022</v>
      </c>
      <c r="F1785" s="13" t="s">
        <v>1298</v>
      </c>
      <c r="G1785" s="13" t="s">
        <v>322</v>
      </c>
      <c r="H1785" s="13" t="s">
        <v>6036</v>
      </c>
      <c r="I1785" s="13" t="s">
        <v>123</v>
      </c>
      <c r="J1785" s="13" t="s">
        <v>1985</v>
      </c>
      <c r="K1785" s="30" t="n">
        <v>4</v>
      </c>
      <c r="L1785" s="31" t="n">
        <v>45990</v>
      </c>
      <c r="M1785" s="31" t="n">
        <v>45993</v>
      </c>
      <c r="N1785" s="13"/>
      <c r="O1785" s="13"/>
      <c r="P1785" s="13"/>
      <c r="Q1785" s="13"/>
    </row>
    <row r="1786" customFormat="false" ht="15" hidden="false" customHeight="false" outlineLevel="0" collapsed="false">
      <c r="A1786" s="16" t="s">
        <v>6318</v>
      </c>
      <c r="B1786" s="16" t="n">
        <v>1781</v>
      </c>
      <c r="C1786" s="16" t="s">
        <v>6319</v>
      </c>
      <c r="D1786" s="16" t="n">
        <v>8</v>
      </c>
      <c r="E1786" s="39" t="s">
        <v>2025</v>
      </c>
      <c r="F1786" s="16" t="s">
        <v>1285</v>
      </c>
      <c r="G1786" s="16" t="s">
        <v>322</v>
      </c>
      <c r="H1786" s="16" t="s">
        <v>6036</v>
      </c>
      <c r="I1786" s="16" t="s">
        <v>123</v>
      </c>
      <c r="J1786" s="16" t="s">
        <v>2022</v>
      </c>
      <c r="K1786" s="32" t="n">
        <v>1</v>
      </c>
      <c r="L1786" s="33" t="n">
        <v>45992</v>
      </c>
      <c r="M1786" s="33" t="n">
        <v>45992</v>
      </c>
      <c r="N1786" s="16" t="s">
        <v>6320</v>
      </c>
      <c r="O1786" s="16"/>
      <c r="P1786" s="16" t="str">
        <f aca="false">IF(AND(L1786&lt;=$D$2,M1786&gt;=$C$2),"Sí","")</f>
        <v/>
      </c>
      <c r="Q1786" s="18" t="str">
        <f aca="false">IF(COUNTIF(LOOKAHEAD!$A$5:$A$604,A1786)&gt;0,"En Lookahead",IF(P1786="Sí","INCORPORAR",""))</f>
        <v/>
      </c>
    </row>
    <row r="1787" customFormat="false" ht="15" hidden="false" customHeight="false" outlineLevel="0" collapsed="false">
      <c r="A1787" s="16" t="s">
        <v>6321</v>
      </c>
      <c r="B1787" s="16" t="n">
        <v>1782</v>
      </c>
      <c r="C1787" s="16" t="s">
        <v>6322</v>
      </c>
      <c r="D1787" s="16" t="n">
        <v>8</v>
      </c>
      <c r="E1787" s="39" t="s">
        <v>2029</v>
      </c>
      <c r="F1787" s="16" t="s">
        <v>1285</v>
      </c>
      <c r="G1787" s="16" t="s">
        <v>322</v>
      </c>
      <c r="H1787" s="16" t="s">
        <v>6036</v>
      </c>
      <c r="I1787" s="16" t="s">
        <v>123</v>
      </c>
      <c r="J1787" s="16" t="s">
        <v>2022</v>
      </c>
      <c r="K1787" s="32" t="n">
        <v>1</v>
      </c>
      <c r="L1787" s="33" t="n">
        <v>45991</v>
      </c>
      <c r="M1787" s="33" t="n">
        <v>45991</v>
      </c>
      <c r="N1787" s="16" t="s">
        <v>6323</v>
      </c>
      <c r="O1787" s="16"/>
      <c r="P1787" s="16" t="str">
        <f aca="false">IF(AND(L1787&lt;=$D$2,M1787&gt;=$C$2),"Sí","")</f>
        <v/>
      </c>
      <c r="Q1787" s="18" t="str">
        <f aca="false">IF(COUNTIF(LOOKAHEAD!$A$5:$A$604,A1787)&gt;0,"En Lookahead",IF(P1787="Sí","INCORPORAR",""))</f>
        <v/>
      </c>
    </row>
    <row r="1788" customFormat="false" ht="15" hidden="false" customHeight="false" outlineLevel="0" collapsed="false">
      <c r="A1788" s="16" t="s">
        <v>6324</v>
      </c>
      <c r="B1788" s="16" t="n">
        <v>1783</v>
      </c>
      <c r="C1788" s="16" t="s">
        <v>6325</v>
      </c>
      <c r="D1788" s="16" t="n">
        <v>8</v>
      </c>
      <c r="E1788" s="39" t="s">
        <v>1999</v>
      </c>
      <c r="F1788" s="16" t="s">
        <v>1285</v>
      </c>
      <c r="G1788" s="16" t="s">
        <v>322</v>
      </c>
      <c r="H1788" s="16" t="s">
        <v>6036</v>
      </c>
      <c r="I1788" s="16" t="s">
        <v>123</v>
      </c>
      <c r="J1788" s="16" t="s">
        <v>2022</v>
      </c>
      <c r="K1788" s="32" t="n">
        <v>1</v>
      </c>
      <c r="L1788" s="33" t="n">
        <v>45990</v>
      </c>
      <c r="M1788" s="33" t="n">
        <v>45990</v>
      </c>
      <c r="N1788" s="16" t="s">
        <v>6299</v>
      </c>
      <c r="O1788" s="16"/>
      <c r="P1788" s="16" t="str">
        <f aca="false">IF(AND(L1788&lt;=$D$2,M1788&gt;=$C$2),"Sí","")</f>
        <v/>
      </c>
      <c r="Q1788" s="18" t="str">
        <f aca="false">IF(COUNTIF(LOOKAHEAD!$A$5:$A$604,A1788)&gt;0,"En Lookahead",IF(P1788="Sí","INCORPORAR",""))</f>
        <v/>
      </c>
    </row>
    <row r="1789" customFormat="false" ht="15" hidden="false" customHeight="false" outlineLevel="0" collapsed="false">
      <c r="A1789" s="16" t="s">
        <v>6326</v>
      </c>
      <c r="B1789" s="16" t="n">
        <v>1784</v>
      </c>
      <c r="C1789" s="16" t="s">
        <v>6327</v>
      </c>
      <c r="D1789" s="16" t="n">
        <v>8</v>
      </c>
      <c r="E1789" s="39" t="s">
        <v>1677</v>
      </c>
      <c r="F1789" s="16" t="s">
        <v>1285</v>
      </c>
      <c r="G1789" s="16" t="s">
        <v>322</v>
      </c>
      <c r="H1789" s="16" t="s">
        <v>6036</v>
      </c>
      <c r="I1789" s="16" t="s">
        <v>123</v>
      </c>
      <c r="J1789" s="16" t="s">
        <v>2022</v>
      </c>
      <c r="K1789" s="32" t="n">
        <v>1</v>
      </c>
      <c r="L1789" s="33" t="n">
        <v>45993</v>
      </c>
      <c r="M1789" s="33" t="n">
        <v>45993</v>
      </c>
      <c r="N1789" s="16" t="s">
        <v>6328</v>
      </c>
      <c r="O1789" s="16"/>
      <c r="P1789" s="16" t="str">
        <f aca="false">IF(AND(L1789&lt;=$D$2,M1789&gt;=$C$2),"Sí","")</f>
        <v/>
      </c>
      <c r="Q1789" s="18" t="str">
        <f aca="false">IF(COUNTIF(LOOKAHEAD!$A$5:$A$604,A1789)&gt;0,"En Lookahead",IF(P1789="Sí","INCORPORAR",""))</f>
        <v/>
      </c>
    </row>
    <row r="1790" customFormat="false" ht="15" hidden="false" customHeight="false" outlineLevel="0" collapsed="false">
      <c r="A1790" s="13" t="s">
        <v>6329</v>
      </c>
      <c r="B1790" s="13" t="n">
        <v>1785</v>
      </c>
      <c r="C1790" s="13" t="s">
        <v>6330</v>
      </c>
      <c r="D1790" s="13" t="n">
        <v>6</v>
      </c>
      <c r="E1790" s="36" t="s">
        <v>2054</v>
      </c>
      <c r="F1790" s="13" t="s">
        <v>1298</v>
      </c>
      <c r="G1790" s="13" t="s">
        <v>322</v>
      </c>
      <c r="H1790" s="13" t="s">
        <v>6036</v>
      </c>
      <c r="I1790" s="13" t="s">
        <v>123</v>
      </c>
      <c r="J1790" s="13" t="s">
        <v>1623</v>
      </c>
      <c r="K1790" s="30" t="n">
        <v>4</v>
      </c>
      <c r="L1790" s="31" t="n">
        <v>45993</v>
      </c>
      <c r="M1790" s="31" t="n">
        <v>45996</v>
      </c>
      <c r="N1790" s="13"/>
      <c r="O1790" s="13"/>
      <c r="P1790" s="13"/>
      <c r="Q1790" s="13"/>
    </row>
    <row r="1791" customFormat="false" ht="15" hidden="false" customHeight="false" outlineLevel="0" collapsed="false">
      <c r="A1791" s="13" t="s">
        <v>6331</v>
      </c>
      <c r="B1791" s="13" t="n">
        <v>1786</v>
      </c>
      <c r="C1791" s="13" t="s">
        <v>6332</v>
      </c>
      <c r="D1791" s="13" t="n">
        <v>7</v>
      </c>
      <c r="E1791" s="38" t="s">
        <v>2057</v>
      </c>
      <c r="F1791" s="13" t="s">
        <v>1298</v>
      </c>
      <c r="G1791" s="13" t="s">
        <v>322</v>
      </c>
      <c r="H1791" s="13" t="s">
        <v>6036</v>
      </c>
      <c r="I1791" s="13" t="s">
        <v>123</v>
      </c>
      <c r="J1791" s="13" t="s">
        <v>2054</v>
      </c>
      <c r="K1791" s="30" t="n">
        <v>4</v>
      </c>
      <c r="L1791" s="31" t="n">
        <v>45993</v>
      </c>
      <c r="M1791" s="31" t="n">
        <v>45996</v>
      </c>
      <c r="N1791" s="13"/>
      <c r="O1791" s="13"/>
      <c r="P1791" s="13"/>
      <c r="Q1791" s="13"/>
    </row>
    <row r="1792" customFormat="false" ht="15" hidden="false" customHeight="false" outlineLevel="0" collapsed="false">
      <c r="A1792" s="16" t="s">
        <v>6333</v>
      </c>
      <c r="B1792" s="16" t="n">
        <v>1787</v>
      </c>
      <c r="C1792" s="16" t="s">
        <v>6334</v>
      </c>
      <c r="D1792" s="16" t="n">
        <v>8</v>
      </c>
      <c r="E1792" s="39" t="s">
        <v>2060</v>
      </c>
      <c r="F1792" s="16" t="s">
        <v>1285</v>
      </c>
      <c r="G1792" s="16" t="s">
        <v>322</v>
      </c>
      <c r="H1792" s="16" t="s">
        <v>6036</v>
      </c>
      <c r="I1792" s="16" t="s">
        <v>123</v>
      </c>
      <c r="J1792" s="16" t="s">
        <v>2057</v>
      </c>
      <c r="K1792" s="32" t="n">
        <v>1</v>
      </c>
      <c r="L1792" s="33" t="n">
        <v>45995</v>
      </c>
      <c r="M1792" s="33" t="n">
        <v>45995</v>
      </c>
      <c r="N1792" s="16" t="s">
        <v>6335</v>
      </c>
      <c r="O1792" s="16"/>
      <c r="P1792" s="16" t="str">
        <f aca="false">IF(AND(L1792&lt;=$D$2,M1792&gt;=$C$2),"Sí","")</f>
        <v/>
      </c>
      <c r="Q1792" s="18" t="str">
        <f aca="false">IF(COUNTIF(LOOKAHEAD!$A$5:$A$604,A1792)&gt;0,"En Lookahead",IF(P1792="Sí","INCORPORAR",""))</f>
        <v/>
      </c>
    </row>
    <row r="1793" customFormat="false" ht="15" hidden="false" customHeight="false" outlineLevel="0" collapsed="false">
      <c r="A1793" s="16" t="s">
        <v>6336</v>
      </c>
      <c r="B1793" s="16" t="n">
        <v>1788</v>
      </c>
      <c r="C1793" s="16" t="s">
        <v>6337</v>
      </c>
      <c r="D1793" s="16" t="n">
        <v>8</v>
      </c>
      <c r="E1793" s="39" t="s">
        <v>2064</v>
      </c>
      <c r="F1793" s="16" t="s">
        <v>1285</v>
      </c>
      <c r="G1793" s="16" t="s">
        <v>322</v>
      </c>
      <c r="H1793" s="16" t="s">
        <v>6036</v>
      </c>
      <c r="I1793" s="16" t="s">
        <v>123</v>
      </c>
      <c r="J1793" s="16" t="s">
        <v>2057</v>
      </c>
      <c r="K1793" s="32" t="n">
        <v>1</v>
      </c>
      <c r="L1793" s="33" t="n">
        <v>45994</v>
      </c>
      <c r="M1793" s="33" t="n">
        <v>45994</v>
      </c>
      <c r="N1793" s="16" t="s">
        <v>6338</v>
      </c>
      <c r="O1793" s="16"/>
      <c r="P1793" s="16" t="str">
        <f aca="false">IF(AND(L1793&lt;=$D$2,M1793&gt;=$C$2),"Sí","")</f>
        <v/>
      </c>
      <c r="Q1793" s="18" t="str">
        <f aca="false">IF(COUNTIF(LOOKAHEAD!$A$5:$A$604,A1793)&gt;0,"En Lookahead",IF(P1793="Sí","INCORPORAR",""))</f>
        <v/>
      </c>
    </row>
    <row r="1794" customFormat="false" ht="15" hidden="false" customHeight="false" outlineLevel="0" collapsed="false">
      <c r="A1794" s="16" t="s">
        <v>6339</v>
      </c>
      <c r="B1794" s="16" t="n">
        <v>1789</v>
      </c>
      <c r="C1794" s="16" t="s">
        <v>6340</v>
      </c>
      <c r="D1794" s="16" t="n">
        <v>8</v>
      </c>
      <c r="E1794" s="39" t="s">
        <v>1800</v>
      </c>
      <c r="F1794" s="16" t="s">
        <v>1285</v>
      </c>
      <c r="G1794" s="16" t="s">
        <v>322</v>
      </c>
      <c r="H1794" s="16" t="s">
        <v>6036</v>
      </c>
      <c r="I1794" s="16" t="s">
        <v>123</v>
      </c>
      <c r="J1794" s="16" t="s">
        <v>2057</v>
      </c>
      <c r="K1794" s="32" t="n">
        <v>1</v>
      </c>
      <c r="L1794" s="33" t="n">
        <v>45993</v>
      </c>
      <c r="M1794" s="33" t="n">
        <v>45993</v>
      </c>
      <c r="N1794" s="16" t="s">
        <v>6302</v>
      </c>
      <c r="O1794" s="16"/>
      <c r="P1794" s="16" t="str">
        <f aca="false">IF(AND(L1794&lt;=$D$2,M1794&gt;=$C$2),"Sí","")</f>
        <v/>
      </c>
      <c r="Q1794" s="18" t="str">
        <f aca="false">IF(COUNTIF(LOOKAHEAD!$A$5:$A$604,A1794)&gt;0,"En Lookahead",IF(P1794="Sí","INCORPORAR",""))</f>
        <v/>
      </c>
    </row>
    <row r="1795" customFormat="false" ht="15" hidden="false" customHeight="false" outlineLevel="0" collapsed="false">
      <c r="A1795" s="16" t="s">
        <v>6341</v>
      </c>
      <c r="B1795" s="16" t="n">
        <v>1790</v>
      </c>
      <c r="C1795" s="16" t="s">
        <v>6342</v>
      </c>
      <c r="D1795" s="16" t="n">
        <v>8</v>
      </c>
      <c r="E1795" s="39" t="s">
        <v>1602</v>
      </c>
      <c r="F1795" s="16" t="s">
        <v>1285</v>
      </c>
      <c r="G1795" s="16" t="s">
        <v>322</v>
      </c>
      <c r="H1795" s="16" t="s">
        <v>6036</v>
      </c>
      <c r="I1795" s="16" t="s">
        <v>123</v>
      </c>
      <c r="J1795" s="16" t="s">
        <v>2057</v>
      </c>
      <c r="K1795" s="32" t="n">
        <v>1</v>
      </c>
      <c r="L1795" s="33" t="n">
        <v>45996</v>
      </c>
      <c r="M1795" s="33" t="n">
        <v>45996</v>
      </c>
      <c r="N1795" s="16" t="s">
        <v>6343</v>
      </c>
      <c r="O1795" s="16"/>
      <c r="P1795" s="16" t="str">
        <f aca="false">IF(AND(L1795&lt;=$D$2,M1795&gt;=$C$2),"Sí","")</f>
        <v/>
      </c>
      <c r="Q1795" s="18" t="str">
        <f aca="false">IF(COUNTIF(LOOKAHEAD!$A$5:$A$604,A1795)&gt;0,"En Lookahead",IF(P1795="Sí","INCORPORAR",""))</f>
        <v/>
      </c>
    </row>
    <row r="1796" customFormat="false" ht="15" hidden="false" customHeight="false" outlineLevel="0" collapsed="false">
      <c r="A1796" s="13" t="s">
        <v>6344</v>
      </c>
      <c r="B1796" s="13" t="n">
        <v>1791</v>
      </c>
      <c r="C1796" s="13" t="s">
        <v>6345</v>
      </c>
      <c r="D1796" s="13" t="n">
        <v>7</v>
      </c>
      <c r="E1796" s="38" t="s">
        <v>2073</v>
      </c>
      <c r="F1796" s="13" t="s">
        <v>1298</v>
      </c>
      <c r="G1796" s="13" t="s">
        <v>322</v>
      </c>
      <c r="H1796" s="13" t="s">
        <v>6036</v>
      </c>
      <c r="I1796" s="13" t="s">
        <v>123</v>
      </c>
      <c r="J1796" s="13" t="s">
        <v>2054</v>
      </c>
      <c r="K1796" s="30" t="n">
        <v>4</v>
      </c>
      <c r="L1796" s="31" t="n">
        <v>45993</v>
      </c>
      <c r="M1796" s="31" t="n">
        <v>45996</v>
      </c>
      <c r="N1796" s="13"/>
      <c r="O1796" s="13"/>
      <c r="P1796" s="13"/>
      <c r="Q1796" s="13"/>
    </row>
    <row r="1797" customFormat="false" ht="15" hidden="false" customHeight="false" outlineLevel="0" collapsed="false">
      <c r="A1797" s="16" t="s">
        <v>6346</v>
      </c>
      <c r="B1797" s="16" t="n">
        <v>1792</v>
      </c>
      <c r="C1797" s="16" t="s">
        <v>6347</v>
      </c>
      <c r="D1797" s="16" t="n">
        <v>8</v>
      </c>
      <c r="E1797" s="39" t="s">
        <v>2076</v>
      </c>
      <c r="F1797" s="16" t="s">
        <v>1285</v>
      </c>
      <c r="G1797" s="16" t="s">
        <v>322</v>
      </c>
      <c r="H1797" s="16" t="s">
        <v>6036</v>
      </c>
      <c r="I1797" s="16" t="s">
        <v>123</v>
      </c>
      <c r="J1797" s="16" t="s">
        <v>2073</v>
      </c>
      <c r="K1797" s="32" t="n">
        <v>1</v>
      </c>
      <c r="L1797" s="33" t="n">
        <v>45995</v>
      </c>
      <c r="M1797" s="33" t="n">
        <v>45995</v>
      </c>
      <c r="N1797" s="16" t="s">
        <v>6348</v>
      </c>
      <c r="O1797" s="16"/>
      <c r="P1797" s="16" t="str">
        <f aca="false">IF(AND(L1797&lt;=$D$2,M1797&gt;=$C$2),"Sí","")</f>
        <v/>
      </c>
      <c r="Q1797" s="18" t="str">
        <f aca="false">IF(COUNTIF(LOOKAHEAD!$A$5:$A$604,A1797)&gt;0,"En Lookahead",IF(P1797="Sí","INCORPORAR",""))</f>
        <v/>
      </c>
    </row>
    <row r="1798" customFormat="false" ht="15" hidden="false" customHeight="false" outlineLevel="0" collapsed="false">
      <c r="A1798" s="16" t="s">
        <v>6349</v>
      </c>
      <c r="B1798" s="16" t="n">
        <v>1793</v>
      </c>
      <c r="C1798" s="16" t="s">
        <v>6350</v>
      </c>
      <c r="D1798" s="16" t="n">
        <v>8</v>
      </c>
      <c r="E1798" s="39" t="s">
        <v>2080</v>
      </c>
      <c r="F1798" s="16" t="s">
        <v>1285</v>
      </c>
      <c r="G1798" s="16" t="s">
        <v>322</v>
      </c>
      <c r="H1798" s="16" t="s">
        <v>6036</v>
      </c>
      <c r="I1798" s="16" t="s">
        <v>123</v>
      </c>
      <c r="J1798" s="16" t="s">
        <v>2073</v>
      </c>
      <c r="K1798" s="32" t="n">
        <v>1</v>
      </c>
      <c r="L1798" s="33" t="n">
        <v>45994</v>
      </c>
      <c r="M1798" s="33" t="n">
        <v>45994</v>
      </c>
      <c r="N1798" s="16" t="s">
        <v>6351</v>
      </c>
      <c r="O1798" s="16"/>
      <c r="P1798" s="16" t="str">
        <f aca="false">IF(AND(L1798&lt;=$D$2,M1798&gt;=$C$2),"Sí","")</f>
        <v/>
      </c>
      <c r="Q1798" s="18" t="str">
        <f aca="false">IF(COUNTIF(LOOKAHEAD!$A$5:$A$604,A1798)&gt;0,"En Lookahead",IF(P1798="Sí","INCORPORAR",""))</f>
        <v/>
      </c>
    </row>
    <row r="1799" customFormat="false" ht="15" hidden="false" customHeight="false" outlineLevel="0" collapsed="false">
      <c r="A1799" s="16" t="s">
        <v>6352</v>
      </c>
      <c r="B1799" s="16" t="n">
        <v>1794</v>
      </c>
      <c r="C1799" s="16" t="s">
        <v>6353</v>
      </c>
      <c r="D1799" s="16" t="n">
        <v>8</v>
      </c>
      <c r="E1799" s="39" t="s">
        <v>1800</v>
      </c>
      <c r="F1799" s="16" t="s">
        <v>1285</v>
      </c>
      <c r="G1799" s="16" t="s">
        <v>322</v>
      </c>
      <c r="H1799" s="16" t="s">
        <v>6036</v>
      </c>
      <c r="I1799" s="16" t="s">
        <v>123</v>
      </c>
      <c r="J1799" s="16" t="s">
        <v>2073</v>
      </c>
      <c r="K1799" s="32" t="n">
        <v>1</v>
      </c>
      <c r="L1799" s="33" t="n">
        <v>45993</v>
      </c>
      <c r="M1799" s="33" t="n">
        <v>45993</v>
      </c>
      <c r="N1799" s="16" t="s">
        <v>6315</v>
      </c>
      <c r="O1799" s="16"/>
      <c r="P1799" s="16" t="str">
        <f aca="false">IF(AND(L1799&lt;=$D$2,M1799&gt;=$C$2),"Sí","")</f>
        <v/>
      </c>
      <c r="Q1799" s="18" t="str">
        <f aca="false">IF(COUNTIF(LOOKAHEAD!$A$5:$A$604,A1799)&gt;0,"En Lookahead",IF(P1799="Sí","INCORPORAR",""))</f>
        <v/>
      </c>
    </row>
    <row r="1800" customFormat="false" ht="15" hidden="false" customHeight="false" outlineLevel="0" collapsed="false">
      <c r="A1800" s="16" t="s">
        <v>6354</v>
      </c>
      <c r="B1800" s="16" t="n">
        <v>1795</v>
      </c>
      <c r="C1800" s="16" t="s">
        <v>6355</v>
      </c>
      <c r="D1800" s="16" t="n">
        <v>8</v>
      </c>
      <c r="E1800" s="39" t="s">
        <v>1602</v>
      </c>
      <c r="F1800" s="16" t="s">
        <v>1285</v>
      </c>
      <c r="G1800" s="16" t="s">
        <v>322</v>
      </c>
      <c r="H1800" s="16" t="s">
        <v>6036</v>
      </c>
      <c r="I1800" s="16" t="s">
        <v>123</v>
      </c>
      <c r="J1800" s="16" t="s">
        <v>2073</v>
      </c>
      <c r="K1800" s="32" t="n">
        <v>1</v>
      </c>
      <c r="L1800" s="33" t="n">
        <v>45996</v>
      </c>
      <c r="M1800" s="33" t="n">
        <v>45996</v>
      </c>
      <c r="N1800" s="16" t="s">
        <v>6356</v>
      </c>
      <c r="O1800" s="16"/>
      <c r="P1800" s="16" t="str">
        <f aca="false">IF(AND(L1800&lt;=$D$2,M1800&gt;=$C$2),"Sí","")</f>
        <v/>
      </c>
      <c r="Q1800" s="18" t="str">
        <f aca="false">IF(COUNTIF(LOOKAHEAD!$A$5:$A$604,A1800)&gt;0,"En Lookahead",IF(P1800="Sí","INCORPORAR",""))</f>
        <v/>
      </c>
    </row>
    <row r="1801" customFormat="false" ht="15" hidden="false" customHeight="false" outlineLevel="0" collapsed="false">
      <c r="A1801" s="13" t="s">
        <v>6357</v>
      </c>
      <c r="B1801" s="13" t="n">
        <v>1796</v>
      </c>
      <c r="C1801" s="13" t="s">
        <v>6358</v>
      </c>
      <c r="D1801" s="13" t="n">
        <v>7</v>
      </c>
      <c r="E1801" s="38" t="s">
        <v>2054</v>
      </c>
      <c r="F1801" s="13" t="s">
        <v>1298</v>
      </c>
      <c r="G1801" s="13" t="s">
        <v>322</v>
      </c>
      <c r="H1801" s="13" t="s">
        <v>6036</v>
      </c>
      <c r="I1801" s="13" t="s">
        <v>123</v>
      </c>
      <c r="J1801" s="13" t="s">
        <v>2054</v>
      </c>
      <c r="K1801" s="30" t="n">
        <v>4</v>
      </c>
      <c r="L1801" s="31" t="n">
        <v>45993</v>
      </c>
      <c r="M1801" s="31" t="n">
        <v>45996</v>
      </c>
      <c r="N1801" s="13"/>
      <c r="O1801" s="13"/>
      <c r="P1801" s="13"/>
      <c r="Q1801" s="13"/>
    </row>
    <row r="1802" customFormat="false" ht="15" hidden="false" customHeight="false" outlineLevel="0" collapsed="false">
      <c r="A1802" s="16" t="s">
        <v>6359</v>
      </c>
      <c r="B1802" s="16" t="n">
        <v>1797</v>
      </c>
      <c r="C1802" s="16" t="s">
        <v>6360</v>
      </c>
      <c r="D1802" s="16" t="n">
        <v>8</v>
      </c>
      <c r="E1802" s="39" t="s">
        <v>2092</v>
      </c>
      <c r="F1802" s="16" t="s">
        <v>1285</v>
      </c>
      <c r="G1802" s="16" t="s">
        <v>322</v>
      </c>
      <c r="H1802" s="16" t="s">
        <v>6036</v>
      </c>
      <c r="I1802" s="16" t="s">
        <v>123</v>
      </c>
      <c r="J1802" s="16" t="s">
        <v>2054</v>
      </c>
      <c r="K1802" s="32" t="n">
        <v>1</v>
      </c>
      <c r="L1802" s="33" t="n">
        <v>45995</v>
      </c>
      <c r="M1802" s="33" t="n">
        <v>45995</v>
      </c>
      <c r="N1802" s="16" t="s">
        <v>6361</v>
      </c>
      <c r="O1802" s="16"/>
      <c r="P1802" s="16" t="str">
        <f aca="false">IF(AND(L1802&lt;=$D$2,M1802&gt;=$C$2),"Sí","")</f>
        <v/>
      </c>
      <c r="Q1802" s="18" t="str">
        <f aca="false">IF(COUNTIF(LOOKAHEAD!$A$5:$A$604,A1802)&gt;0,"En Lookahead",IF(P1802="Sí","INCORPORAR",""))</f>
        <v/>
      </c>
    </row>
    <row r="1803" customFormat="false" ht="15" hidden="false" customHeight="false" outlineLevel="0" collapsed="false">
      <c r="A1803" s="16" t="s">
        <v>6362</v>
      </c>
      <c r="B1803" s="16" t="n">
        <v>1798</v>
      </c>
      <c r="C1803" s="16" t="s">
        <v>6363</v>
      </c>
      <c r="D1803" s="16" t="n">
        <v>8</v>
      </c>
      <c r="E1803" s="39" t="s">
        <v>2096</v>
      </c>
      <c r="F1803" s="16" t="s">
        <v>1285</v>
      </c>
      <c r="G1803" s="16" t="s">
        <v>322</v>
      </c>
      <c r="H1803" s="16" t="s">
        <v>6036</v>
      </c>
      <c r="I1803" s="16" t="s">
        <v>123</v>
      </c>
      <c r="J1803" s="16" t="s">
        <v>2054</v>
      </c>
      <c r="K1803" s="32" t="n">
        <v>1</v>
      </c>
      <c r="L1803" s="33" t="n">
        <v>45994</v>
      </c>
      <c r="M1803" s="33" t="n">
        <v>45994</v>
      </c>
      <c r="N1803" s="16" t="s">
        <v>6364</v>
      </c>
      <c r="O1803" s="16"/>
      <c r="P1803" s="16" t="str">
        <f aca="false">IF(AND(L1803&lt;=$D$2,M1803&gt;=$C$2),"Sí","")</f>
        <v/>
      </c>
      <c r="Q1803" s="18" t="str">
        <f aca="false">IF(COUNTIF(LOOKAHEAD!$A$5:$A$604,A1803)&gt;0,"En Lookahead",IF(P1803="Sí","INCORPORAR",""))</f>
        <v/>
      </c>
    </row>
    <row r="1804" customFormat="false" ht="15" hidden="false" customHeight="false" outlineLevel="0" collapsed="false">
      <c r="A1804" s="16" t="s">
        <v>6365</v>
      </c>
      <c r="B1804" s="16" t="n">
        <v>1799</v>
      </c>
      <c r="C1804" s="16" t="s">
        <v>6366</v>
      </c>
      <c r="D1804" s="16" t="n">
        <v>8</v>
      </c>
      <c r="E1804" s="39" t="s">
        <v>1800</v>
      </c>
      <c r="F1804" s="16" t="s">
        <v>1285</v>
      </c>
      <c r="G1804" s="16" t="s">
        <v>322</v>
      </c>
      <c r="H1804" s="16" t="s">
        <v>6036</v>
      </c>
      <c r="I1804" s="16" t="s">
        <v>123</v>
      </c>
      <c r="J1804" s="16" t="s">
        <v>2054</v>
      </c>
      <c r="K1804" s="32" t="n">
        <v>1</v>
      </c>
      <c r="L1804" s="33" t="n">
        <v>45993</v>
      </c>
      <c r="M1804" s="33" t="n">
        <v>45993</v>
      </c>
      <c r="N1804" s="16" t="s">
        <v>6328</v>
      </c>
      <c r="O1804" s="16"/>
      <c r="P1804" s="16" t="str">
        <f aca="false">IF(AND(L1804&lt;=$D$2,M1804&gt;=$C$2),"Sí","")</f>
        <v/>
      </c>
      <c r="Q1804" s="18" t="str">
        <f aca="false">IF(COUNTIF(LOOKAHEAD!$A$5:$A$604,A1804)&gt;0,"En Lookahead",IF(P1804="Sí","INCORPORAR",""))</f>
        <v/>
      </c>
    </row>
    <row r="1805" customFormat="false" ht="15" hidden="false" customHeight="false" outlineLevel="0" collapsed="false">
      <c r="A1805" s="16" t="s">
        <v>6367</v>
      </c>
      <c r="B1805" s="16" t="n">
        <v>1800</v>
      </c>
      <c r="C1805" s="16" t="s">
        <v>6368</v>
      </c>
      <c r="D1805" s="16" t="n">
        <v>8</v>
      </c>
      <c r="E1805" s="39" t="s">
        <v>1602</v>
      </c>
      <c r="F1805" s="16" t="s">
        <v>1285</v>
      </c>
      <c r="G1805" s="16" t="s">
        <v>322</v>
      </c>
      <c r="H1805" s="16" t="s">
        <v>6036</v>
      </c>
      <c r="I1805" s="16" t="s">
        <v>123</v>
      </c>
      <c r="J1805" s="16" t="s">
        <v>2054</v>
      </c>
      <c r="K1805" s="32" t="n">
        <v>1</v>
      </c>
      <c r="L1805" s="33" t="n">
        <v>45996</v>
      </c>
      <c r="M1805" s="33" t="n">
        <v>45996</v>
      </c>
      <c r="N1805" s="16" t="s">
        <v>6369</v>
      </c>
      <c r="O1805" s="16"/>
      <c r="P1805" s="16" t="str">
        <f aca="false">IF(AND(L1805&lt;=$D$2,M1805&gt;=$C$2),"Sí","")</f>
        <v/>
      </c>
      <c r="Q1805" s="18" t="str">
        <f aca="false">IF(COUNTIF(LOOKAHEAD!$A$5:$A$604,A1805)&gt;0,"En Lookahead",IF(P1805="Sí","INCORPORAR",""))</f>
        <v/>
      </c>
    </row>
    <row r="1806" customFormat="false" ht="15" hidden="false" customHeight="false" outlineLevel="0" collapsed="false">
      <c r="A1806" s="13" t="s">
        <v>6370</v>
      </c>
      <c r="B1806" s="13" t="n">
        <v>1801</v>
      </c>
      <c r="C1806" s="13" t="s">
        <v>6371</v>
      </c>
      <c r="D1806" s="13" t="n">
        <v>6</v>
      </c>
      <c r="E1806" s="36" t="s">
        <v>2120</v>
      </c>
      <c r="F1806" s="13" t="s">
        <v>1298</v>
      </c>
      <c r="G1806" s="13" t="s">
        <v>322</v>
      </c>
      <c r="H1806" s="13" t="s">
        <v>6036</v>
      </c>
      <c r="I1806" s="13" t="s">
        <v>123</v>
      </c>
      <c r="J1806" s="13" t="s">
        <v>1623</v>
      </c>
      <c r="K1806" s="30" t="n">
        <v>4</v>
      </c>
      <c r="L1806" s="31" t="n">
        <v>46021</v>
      </c>
      <c r="M1806" s="31" t="n">
        <v>46024</v>
      </c>
      <c r="N1806" s="13"/>
      <c r="O1806" s="13"/>
      <c r="P1806" s="13"/>
      <c r="Q1806" s="13"/>
    </row>
    <row r="1807" customFormat="false" ht="15" hidden="false" customHeight="false" outlineLevel="0" collapsed="false">
      <c r="A1807" s="16" t="s">
        <v>6372</v>
      </c>
      <c r="B1807" s="16" t="n">
        <v>1802</v>
      </c>
      <c r="C1807" s="16" t="s">
        <v>6373</v>
      </c>
      <c r="D1807" s="16" t="n">
        <v>7</v>
      </c>
      <c r="E1807" s="37" t="s">
        <v>2123</v>
      </c>
      <c r="F1807" s="16" t="s">
        <v>1285</v>
      </c>
      <c r="G1807" s="16" t="s">
        <v>322</v>
      </c>
      <c r="H1807" s="16" t="s">
        <v>6036</v>
      </c>
      <c r="I1807" s="16" t="s">
        <v>123</v>
      </c>
      <c r="J1807" s="16" t="s">
        <v>2120</v>
      </c>
      <c r="K1807" s="32" t="n">
        <v>1</v>
      </c>
      <c r="L1807" s="33" t="n">
        <v>46023</v>
      </c>
      <c r="M1807" s="33" t="n">
        <v>46023</v>
      </c>
      <c r="N1807" s="16" t="s">
        <v>6374</v>
      </c>
      <c r="O1807" s="16"/>
      <c r="P1807" s="16" t="str">
        <f aca="false">IF(AND(L1807&lt;=$D$2,M1807&gt;=$C$2),"Sí","")</f>
        <v/>
      </c>
      <c r="Q1807" s="18" t="str">
        <f aca="false">IF(COUNTIF(LOOKAHEAD!$A$5:$A$604,A1807)&gt;0,"En Lookahead",IF(P1807="Sí","INCORPORAR",""))</f>
        <v/>
      </c>
    </row>
    <row r="1808" customFormat="false" ht="15" hidden="false" customHeight="false" outlineLevel="0" collapsed="false">
      <c r="A1808" s="16" t="s">
        <v>6375</v>
      </c>
      <c r="B1808" s="16" t="n">
        <v>1803</v>
      </c>
      <c r="C1808" s="16" t="s">
        <v>6376</v>
      </c>
      <c r="D1808" s="16" t="n">
        <v>7</v>
      </c>
      <c r="E1808" s="37" t="s">
        <v>2127</v>
      </c>
      <c r="F1808" s="16" t="s">
        <v>1285</v>
      </c>
      <c r="G1808" s="16" t="s">
        <v>322</v>
      </c>
      <c r="H1808" s="16" t="s">
        <v>6036</v>
      </c>
      <c r="I1808" s="16" t="s">
        <v>123</v>
      </c>
      <c r="J1808" s="16" t="s">
        <v>2120</v>
      </c>
      <c r="K1808" s="32" t="n">
        <v>1</v>
      </c>
      <c r="L1808" s="33" t="n">
        <v>46022</v>
      </c>
      <c r="M1808" s="33" t="n">
        <v>46022</v>
      </c>
      <c r="N1808" s="16" t="s">
        <v>6377</v>
      </c>
      <c r="O1808" s="16"/>
      <c r="P1808" s="16" t="str">
        <f aca="false">IF(AND(L1808&lt;=$D$2,M1808&gt;=$C$2),"Sí","")</f>
        <v/>
      </c>
      <c r="Q1808" s="18" t="str">
        <f aca="false">IF(COUNTIF(LOOKAHEAD!$A$5:$A$604,A1808)&gt;0,"En Lookahead",IF(P1808="Sí","INCORPORAR",""))</f>
        <v/>
      </c>
    </row>
    <row r="1809" customFormat="false" ht="15" hidden="false" customHeight="false" outlineLevel="0" collapsed="false">
      <c r="A1809" s="16" t="s">
        <v>6378</v>
      </c>
      <c r="B1809" s="16" t="n">
        <v>1804</v>
      </c>
      <c r="C1809" s="16" t="s">
        <v>6379</v>
      </c>
      <c r="D1809" s="16" t="n">
        <v>7</v>
      </c>
      <c r="E1809" s="37" t="s">
        <v>2131</v>
      </c>
      <c r="F1809" s="16" t="s">
        <v>1285</v>
      </c>
      <c r="G1809" s="16" t="s">
        <v>322</v>
      </c>
      <c r="H1809" s="16" t="s">
        <v>6036</v>
      </c>
      <c r="I1809" s="16" t="s">
        <v>123</v>
      </c>
      <c r="J1809" s="16" t="s">
        <v>2120</v>
      </c>
      <c r="K1809" s="32" t="n">
        <v>1</v>
      </c>
      <c r="L1809" s="33" t="n">
        <v>46021</v>
      </c>
      <c r="M1809" s="33" t="n">
        <v>46021</v>
      </c>
      <c r="N1809" s="16" t="s">
        <v>6286</v>
      </c>
      <c r="O1809" s="16"/>
      <c r="P1809" s="16" t="str">
        <f aca="false">IF(AND(L1809&lt;=$D$2,M1809&gt;=$C$2),"Sí","")</f>
        <v/>
      </c>
      <c r="Q1809" s="18" t="str">
        <f aca="false">IF(COUNTIF(LOOKAHEAD!$A$5:$A$604,A1809)&gt;0,"En Lookahead",IF(P1809="Sí","INCORPORAR",""))</f>
        <v/>
      </c>
    </row>
    <row r="1810" customFormat="false" ht="15" hidden="false" customHeight="false" outlineLevel="0" collapsed="false">
      <c r="A1810" s="16" t="s">
        <v>6380</v>
      </c>
      <c r="B1810" s="16" t="n">
        <v>1805</v>
      </c>
      <c r="C1810" s="16" t="s">
        <v>6381</v>
      </c>
      <c r="D1810" s="16" t="n">
        <v>7</v>
      </c>
      <c r="E1810" s="37" t="s">
        <v>1602</v>
      </c>
      <c r="F1810" s="16" t="s">
        <v>1285</v>
      </c>
      <c r="G1810" s="16" t="s">
        <v>322</v>
      </c>
      <c r="H1810" s="16" t="s">
        <v>6036</v>
      </c>
      <c r="I1810" s="16" t="s">
        <v>123</v>
      </c>
      <c r="J1810" s="16" t="s">
        <v>2120</v>
      </c>
      <c r="K1810" s="32" t="n">
        <v>1</v>
      </c>
      <c r="L1810" s="33" t="n">
        <v>46024</v>
      </c>
      <c r="M1810" s="33" t="n">
        <v>46024</v>
      </c>
      <c r="N1810" s="16" t="s">
        <v>6382</v>
      </c>
      <c r="O1810" s="16"/>
      <c r="P1810" s="16" t="str">
        <f aca="false">IF(AND(L1810&lt;=$D$2,M1810&gt;=$C$2),"Sí","")</f>
        <v/>
      </c>
      <c r="Q1810" s="18" t="str">
        <f aca="false">IF(COUNTIF(LOOKAHEAD!$A$5:$A$604,A1810)&gt;0,"En Lookahead",IF(P1810="Sí","INCORPORAR",""))</f>
        <v/>
      </c>
    </row>
    <row r="1811" customFormat="false" ht="15" hidden="false" customHeight="false" outlineLevel="0" collapsed="false">
      <c r="A1811" s="13" t="s">
        <v>6383</v>
      </c>
      <c r="B1811" s="13" t="n">
        <v>1806</v>
      </c>
      <c r="C1811" s="13" t="s">
        <v>6384</v>
      </c>
      <c r="D1811" s="13" t="n">
        <v>5</v>
      </c>
      <c r="E1811" s="34" t="s">
        <v>2137</v>
      </c>
      <c r="F1811" s="13" t="s">
        <v>1298</v>
      </c>
      <c r="G1811" s="13" t="s">
        <v>322</v>
      </c>
      <c r="H1811" s="13" t="s">
        <v>6036</v>
      </c>
      <c r="I1811" s="13" t="s">
        <v>123</v>
      </c>
      <c r="J1811" s="13" t="s">
        <v>6036</v>
      </c>
      <c r="K1811" s="30" t="n">
        <v>2</v>
      </c>
      <c r="L1811" s="31" t="n">
        <v>46022</v>
      </c>
      <c r="M1811" s="31" t="n">
        <v>46023</v>
      </c>
      <c r="N1811" s="13"/>
      <c r="O1811" s="13"/>
      <c r="P1811" s="13"/>
      <c r="Q1811" s="13"/>
    </row>
    <row r="1812" customFormat="false" ht="15" hidden="false" customHeight="false" outlineLevel="0" collapsed="false">
      <c r="A1812" s="16" t="s">
        <v>6385</v>
      </c>
      <c r="B1812" s="16" t="n">
        <v>1807</v>
      </c>
      <c r="C1812" s="16" t="s">
        <v>6386</v>
      </c>
      <c r="D1812" s="16" t="n">
        <v>6</v>
      </c>
      <c r="E1812" s="35" t="s">
        <v>2140</v>
      </c>
      <c r="F1812" s="16" t="s">
        <v>1285</v>
      </c>
      <c r="G1812" s="16" t="s">
        <v>322</v>
      </c>
      <c r="H1812" s="16" t="s">
        <v>6036</v>
      </c>
      <c r="I1812" s="16" t="s">
        <v>123</v>
      </c>
      <c r="J1812" s="16" t="s">
        <v>2137</v>
      </c>
      <c r="K1812" s="32" t="n">
        <v>1</v>
      </c>
      <c r="L1812" s="33" t="n">
        <v>46022</v>
      </c>
      <c r="M1812" s="33" t="n">
        <v>46022</v>
      </c>
      <c r="N1812" s="16" t="s">
        <v>6387</v>
      </c>
      <c r="O1812" s="16"/>
      <c r="P1812" s="16" t="str">
        <f aca="false">IF(AND(L1812&lt;=$D$2,M1812&gt;=$C$2),"Sí","")</f>
        <v/>
      </c>
      <c r="Q1812" s="18" t="str">
        <f aca="false">IF(COUNTIF(LOOKAHEAD!$A$5:$A$604,A1812)&gt;0,"En Lookahead",IF(P1812="Sí","INCORPORAR",""))</f>
        <v/>
      </c>
    </row>
    <row r="1813" customFormat="false" ht="15" hidden="false" customHeight="false" outlineLevel="0" collapsed="false">
      <c r="A1813" s="16" t="s">
        <v>6388</v>
      </c>
      <c r="B1813" s="16" t="n">
        <v>1808</v>
      </c>
      <c r="C1813" s="16" t="s">
        <v>6389</v>
      </c>
      <c r="D1813" s="16" t="n">
        <v>6</v>
      </c>
      <c r="E1813" s="35" t="s">
        <v>2144</v>
      </c>
      <c r="F1813" s="16" t="s">
        <v>1285</v>
      </c>
      <c r="G1813" s="16" t="s">
        <v>322</v>
      </c>
      <c r="H1813" s="16" t="s">
        <v>6036</v>
      </c>
      <c r="I1813" s="16" t="s">
        <v>123</v>
      </c>
      <c r="J1813" s="16" t="s">
        <v>2137</v>
      </c>
      <c r="K1813" s="32" t="n">
        <v>1</v>
      </c>
      <c r="L1813" s="33" t="n">
        <v>46023</v>
      </c>
      <c r="M1813" s="33" t="n">
        <v>46023</v>
      </c>
      <c r="N1813" s="16" t="s">
        <v>6390</v>
      </c>
      <c r="O1813" s="16"/>
      <c r="P1813" s="16" t="str">
        <f aca="false">IF(AND(L1813&lt;=$D$2,M1813&gt;=$C$2),"Sí","")</f>
        <v/>
      </c>
      <c r="Q1813" s="18" t="str">
        <f aca="false">IF(COUNTIF(LOOKAHEAD!$A$5:$A$604,A1813)&gt;0,"En Lookahead",IF(P1813="Sí","INCORPORAR",""))</f>
        <v/>
      </c>
    </row>
    <row r="1814" customFormat="false" ht="15" hidden="false" customHeight="false" outlineLevel="0" collapsed="false">
      <c r="A1814" s="13" t="s">
        <v>6391</v>
      </c>
      <c r="B1814" s="13" t="n">
        <v>1809</v>
      </c>
      <c r="C1814" s="13" t="s">
        <v>6392</v>
      </c>
      <c r="D1814" s="13" t="n">
        <v>4</v>
      </c>
      <c r="E1814" s="20" t="s">
        <v>6393</v>
      </c>
      <c r="F1814" s="13" t="s">
        <v>1298</v>
      </c>
      <c r="G1814" s="13" t="s">
        <v>322</v>
      </c>
      <c r="H1814" s="13" t="s">
        <v>6393</v>
      </c>
      <c r="I1814" s="13" t="s">
        <v>125</v>
      </c>
      <c r="J1814" s="13" t="s">
        <v>1528</v>
      </c>
      <c r="K1814" s="30" t="n">
        <v>52</v>
      </c>
      <c r="L1814" s="31" t="n">
        <v>45972</v>
      </c>
      <c r="M1814" s="31" t="n">
        <v>46023</v>
      </c>
      <c r="N1814" s="13"/>
      <c r="O1814" s="13"/>
      <c r="P1814" s="13"/>
      <c r="Q1814" s="13"/>
    </row>
    <row r="1815" customFormat="false" ht="15" hidden="false" customHeight="false" outlineLevel="0" collapsed="false">
      <c r="A1815" s="13" t="s">
        <v>6394</v>
      </c>
      <c r="B1815" s="13" t="n">
        <v>1810</v>
      </c>
      <c r="C1815" s="13" t="s">
        <v>6395</v>
      </c>
      <c r="D1815" s="13" t="n">
        <v>5</v>
      </c>
      <c r="E1815" s="34" t="s">
        <v>1534</v>
      </c>
      <c r="F1815" s="13" t="s">
        <v>1298</v>
      </c>
      <c r="G1815" s="13" t="s">
        <v>322</v>
      </c>
      <c r="H1815" s="13" t="s">
        <v>6393</v>
      </c>
      <c r="I1815" s="13" t="s">
        <v>125</v>
      </c>
      <c r="J1815" s="13" t="s">
        <v>6393</v>
      </c>
      <c r="K1815" s="30" t="n">
        <v>10</v>
      </c>
      <c r="L1815" s="31" t="n">
        <v>45972</v>
      </c>
      <c r="M1815" s="31" t="n">
        <v>45981</v>
      </c>
      <c r="N1815" s="13"/>
      <c r="O1815" s="13"/>
      <c r="P1815" s="13"/>
      <c r="Q1815" s="13"/>
    </row>
    <row r="1816" customFormat="false" ht="15" hidden="false" customHeight="false" outlineLevel="0" collapsed="false">
      <c r="A1816" s="16" t="s">
        <v>6396</v>
      </c>
      <c r="B1816" s="16" t="n">
        <v>1811</v>
      </c>
      <c r="C1816" s="16" t="s">
        <v>6397</v>
      </c>
      <c r="D1816" s="16" t="n">
        <v>6</v>
      </c>
      <c r="E1816" s="35" t="s">
        <v>1541</v>
      </c>
      <c r="F1816" s="16" t="s">
        <v>1285</v>
      </c>
      <c r="G1816" s="16" t="s">
        <v>322</v>
      </c>
      <c r="H1816" s="16" t="s">
        <v>6393</v>
      </c>
      <c r="I1816" s="16" t="s">
        <v>125</v>
      </c>
      <c r="J1816" s="16" t="s">
        <v>1534</v>
      </c>
      <c r="K1816" s="32" t="n">
        <v>1</v>
      </c>
      <c r="L1816" s="33" t="n">
        <v>45972</v>
      </c>
      <c r="M1816" s="33" t="n">
        <v>45972</v>
      </c>
      <c r="N1816" s="16" t="s">
        <v>6104</v>
      </c>
      <c r="O1816" s="16"/>
      <c r="P1816" s="16" t="str">
        <f aca="false">IF(AND(L1816&lt;=$D$2,M1816&gt;=$C$2),"Sí","")</f>
        <v/>
      </c>
      <c r="Q1816" s="18" t="str">
        <f aca="false">IF(COUNTIF(LOOKAHEAD!$A$5:$A$604,A1816)&gt;0,"En Lookahead",IF(P1816="Sí","INCORPORAR",""))</f>
        <v/>
      </c>
    </row>
    <row r="1817" customFormat="false" ht="15" hidden="false" customHeight="false" outlineLevel="0" collapsed="false">
      <c r="A1817" s="16" t="s">
        <v>6398</v>
      </c>
      <c r="B1817" s="16" t="n">
        <v>1812</v>
      </c>
      <c r="C1817" s="16" t="s">
        <v>6399</v>
      </c>
      <c r="D1817" s="16" t="n">
        <v>6</v>
      </c>
      <c r="E1817" s="35" t="s">
        <v>1549</v>
      </c>
      <c r="F1817" s="16" t="s">
        <v>1285</v>
      </c>
      <c r="G1817" s="16" t="s">
        <v>322</v>
      </c>
      <c r="H1817" s="16" t="s">
        <v>6393</v>
      </c>
      <c r="I1817" s="16" t="s">
        <v>125</v>
      </c>
      <c r="J1817" s="16" t="s">
        <v>1534</v>
      </c>
      <c r="K1817" s="32" t="n">
        <v>1</v>
      </c>
      <c r="L1817" s="33" t="n">
        <v>45973</v>
      </c>
      <c r="M1817" s="33" t="n">
        <v>45973</v>
      </c>
      <c r="N1817" s="16" t="s">
        <v>6400</v>
      </c>
      <c r="O1817" s="16"/>
      <c r="P1817" s="16" t="str">
        <f aca="false">IF(AND(L1817&lt;=$D$2,M1817&gt;=$C$2),"Sí","")</f>
        <v/>
      </c>
      <c r="Q1817" s="18" t="str">
        <f aca="false">IF(COUNTIF(LOOKAHEAD!$A$5:$A$604,A1817)&gt;0,"En Lookahead",IF(P1817="Sí","INCORPORAR",""))</f>
        <v/>
      </c>
    </row>
    <row r="1818" customFormat="false" ht="15" hidden="false" customHeight="false" outlineLevel="0" collapsed="false">
      <c r="A1818" s="16" t="s">
        <v>6401</v>
      </c>
      <c r="B1818" s="16" t="n">
        <v>1813</v>
      </c>
      <c r="C1818" s="16" t="s">
        <v>6402</v>
      </c>
      <c r="D1818" s="16" t="n">
        <v>6</v>
      </c>
      <c r="E1818" s="35" t="s">
        <v>1553</v>
      </c>
      <c r="F1818" s="16" t="s">
        <v>1285</v>
      </c>
      <c r="G1818" s="16" t="s">
        <v>322</v>
      </c>
      <c r="H1818" s="16" t="s">
        <v>6393</v>
      </c>
      <c r="I1818" s="16" t="s">
        <v>125</v>
      </c>
      <c r="J1818" s="16" t="s">
        <v>1534</v>
      </c>
      <c r="K1818" s="32" t="n">
        <v>1</v>
      </c>
      <c r="L1818" s="33" t="n">
        <v>45981</v>
      </c>
      <c r="M1818" s="33" t="n">
        <v>45981</v>
      </c>
      <c r="N1818" s="16" t="s">
        <v>6403</v>
      </c>
      <c r="O1818" s="16"/>
      <c r="P1818" s="16" t="str">
        <f aca="false">IF(AND(L1818&lt;=$D$2,M1818&gt;=$C$2),"Sí","")</f>
        <v/>
      </c>
      <c r="Q1818" s="18" t="str">
        <f aca="false">IF(COUNTIF(LOOKAHEAD!$A$5:$A$604,A1818)&gt;0,"En Lookahead",IF(P1818="Sí","INCORPORAR",""))</f>
        <v/>
      </c>
    </row>
    <row r="1819" customFormat="false" ht="15" hidden="false" customHeight="false" outlineLevel="0" collapsed="false">
      <c r="A1819" s="16" t="s">
        <v>6404</v>
      </c>
      <c r="B1819" s="16" t="n">
        <v>1814</v>
      </c>
      <c r="C1819" s="16" t="s">
        <v>6405</v>
      </c>
      <c r="D1819" s="16" t="n">
        <v>6</v>
      </c>
      <c r="E1819" s="35" t="s">
        <v>1557</v>
      </c>
      <c r="F1819" s="16" t="s">
        <v>1285</v>
      </c>
      <c r="G1819" s="16" t="s">
        <v>322</v>
      </c>
      <c r="H1819" s="16" t="s">
        <v>6393</v>
      </c>
      <c r="I1819" s="16" t="s">
        <v>125</v>
      </c>
      <c r="J1819" s="16" t="s">
        <v>1534</v>
      </c>
      <c r="K1819" s="32" t="n">
        <v>6</v>
      </c>
      <c r="L1819" s="33" t="n">
        <v>45974</v>
      </c>
      <c r="M1819" s="33" t="n">
        <v>45979</v>
      </c>
      <c r="N1819" s="16" t="s">
        <v>6406</v>
      </c>
      <c r="O1819" s="16"/>
      <c r="P1819" s="16" t="str">
        <f aca="false">IF(AND(L1819&lt;=$D$2,M1819&gt;=$C$2),"Sí","")</f>
        <v/>
      </c>
      <c r="Q1819" s="18" t="str">
        <f aca="false">IF(COUNTIF(LOOKAHEAD!$A$5:$A$604,A1819)&gt;0,"En Lookahead",IF(P1819="Sí","INCORPORAR",""))</f>
        <v/>
      </c>
    </row>
    <row r="1820" customFormat="false" ht="15" hidden="false" customHeight="false" outlineLevel="0" collapsed="false">
      <c r="A1820" s="16" t="s">
        <v>6407</v>
      </c>
      <c r="B1820" s="16" t="n">
        <v>1815</v>
      </c>
      <c r="C1820" s="16" t="s">
        <v>6408</v>
      </c>
      <c r="D1820" s="16" t="n">
        <v>6</v>
      </c>
      <c r="E1820" s="35" t="s">
        <v>1560</v>
      </c>
      <c r="F1820" s="16" t="s">
        <v>1285</v>
      </c>
      <c r="G1820" s="16" t="s">
        <v>322</v>
      </c>
      <c r="H1820" s="16" t="s">
        <v>6393</v>
      </c>
      <c r="I1820" s="16" t="s">
        <v>125</v>
      </c>
      <c r="J1820" s="16" t="s">
        <v>1534</v>
      </c>
      <c r="K1820" s="32" t="n">
        <v>1</v>
      </c>
      <c r="L1820" s="33" t="n">
        <v>45980</v>
      </c>
      <c r="M1820" s="33" t="n">
        <v>45980</v>
      </c>
      <c r="N1820" s="16" t="s">
        <v>6409</v>
      </c>
      <c r="O1820" s="16"/>
      <c r="P1820" s="16" t="str">
        <f aca="false">IF(AND(L1820&lt;=$D$2,M1820&gt;=$C$2),"Sí","")</f>
        <v/>
      </c>
      <c r="Q1820" s="18" t="str">
        <f aca="false">IF(COUNTIF(LOOKAHEAD!$A$5:$A$604,A1820)&gt;0,"En Lookahead",IF(P1820="Sí","INCORPORAR",""))</f>
        <v/>
      </c>
    </row>
    <row r="1821" customFormat="false" ht="15" hidden="false" customHeight="false" outlineLevel="0" collapsed="false">
      <c r="A1821" s="16" t="s">
        <v>6410</v>
      </c>
      <c r="B1821" s="16" t="n">
        <v>1816</v>
      </c>
      <c r="C1821" s="16" t="s">
        <v>6411</v>
      </c>
      <c r="D1821" s="16" t="n">
        <v>6</v>
      </c>
      <c r="E1821" s="35" t="s">
        <v>1564</v>
      </c>
      <c r="F1821" s="16" t="s">
        <v>1285</v>
      </c>
      <c r="G1821" s="16" t="s">
        <v>322</v>
      </c>
      <c r="H1821" s="16" t="s">
        <v>6393</v>
      </c>
      <c r="I1821" s="16" t="s">
        <v>125</v>
      </c>
      <c r="J1821" s="16" t="s">
        <v>1534</v>
      </c>
      <c r="K1821" s="32" t="n">
        <v>1</v>
      </c>
      <c r="L1821" s="33" t="n">
        <v>45974</v>
      </c>
      <c r="M1821" s="33" t="n">
        <v>45974</v>
      </c>
      <c r="N1821" s="16" t="s">
        <v>6406</v>
      </c>
      <c r="O1821" s="16"/>
      <c r="P1821" s="16" t="str">
        <f aca="false">IF(AND(L1821&lt;=$D$2,M1821&gt;=$C$2),"Sí","")</f>
        <v/>
      </c>
      <c r="Q1821" s="18" t="str">
        <f aca="false">IF(COUNTIF(LOOKAHEAD!$A$5:$A$604,A1821)&gt;0,"En Lookahead",IF(P1821="Sí","INCORPORAR",""))</f>
        <v/>
      </c>
    </row>
    <row r="1822" customFormat="false" ht="15" hidden="false" customHeight="false" outlineLevel="0" collapsed="false">
      <c r="A1822" s="16" t="s">
        <v>6412</v>
      </c>
      <c r="B1822" s="16" t="n">
        <v>1817</v>
      </c>
      <c r="C1822" s="16" t="s">
        <v>6413</v>
      </c>
      <c r="D1822" s="16" t="n">
        <v>6</v>
      </c>
      <c r="E1822" s="35" t="s">
        <v>1567</v>
      </c>
      <c r="F1822" s="16" t="s">
        <v>1285</v>
      </c>
      <c r="G1822" s="16" t="s">
        <v>322</v>
      </c>
      <c r="H1822" s="16" t="s">
        <v>6393</v>
      </c>
      <c r="I1822" s="16" t="s">
        <v>125</v>
      </c>
      <c r="J1822" s="16" t="s">
        <v>1534</v>
      </c>
      <c r="K1822" s="32" t="n">
        <v>1</v>
      </c>
      <c r="L1822" s="33" t="n">
        <v>45975</v>
      </c>
      <c r="M1822" s="33" t="n">
        <v>45975</v>
      </c>
      <c r="N1822" s="16" t="s">
        <v>6414</v>
      </c>
      <c r="O1822" s="16"/>
      <c r="P1822" s="16" t="str">
        <f aca="false">IF(AND(L1822&lt;=$D$2,M1822&gt;=$C$2),"Sí","")</f>
        <v/>
      </c>
      <c r="Q1822" s="18" t="str">
        <f aca="false">IF(COUNTIF(LOOKAHEAD!$A$5:$A$604,A1822)&gt;0,"En Lookahead",IF(P1822="Sí","INCORPORAR",""))</f>
        <v/>
      </c>
    </row>
    <row r="1823" customFormat="false" ht="15" hidden="false" customHeight="false" outlineLevel="0" collapsed="false">
      <c r="A1823" s="13" t="s">
        <v>6415</v>
      </c>
      <c r="B1823" s="13" t="n">
        <v>1818</v>
      </c>
      <c r="C1823" s="13" t="s">
        <v>6416</v>
      </c>
      <c r="D1823" s="13" t="n">
        <v>5</v>
      </c>
      <c r="E1823" s="34" t="s">
        <v>1571</v>
      </c>
      <c r="F1823" s="13" t="s">
        <v>1298</v>
      </c>
      <c r="G1823" s="13" t="s">
        <v>322</v>
      </c>
      <c r="H1823" s="13" t="s">
        <v>6393</v>
      </c>
      <c r="I1823" s="13" t="s">
        <v>125</v>
      </c>
      <c r="J1823" s="13" t="s">
        <v>6393</v>
      </c>
      <c r="K1823" s="30" t="n">
        <v>6</v>
      </c>
      <c r="L1823" s="31" t="n">
        <v>45976</v>
      </c>
      <c r="M1823" s="31" t="n">
        <v>45981</v>
      </c>
      <c r="N1823" s="13"/>
      <c r="O1823" s="13"/>
      <c r="P1823" s="13"/>
      <c r="Q1823" s="13"/>
    </row>
    <row r="1824" customFormat="false" ht="15" hidden="false" customHeight="false" outlineLevel="0" collapsed="false">
      <c r="A1824" s="13" t="s">
        <v>6417</v>
      </c>
      <c r="B1824" s="13" t="n">
        <v>1819</v>
      </c>
      <c r="C1824" s="13" t="s">
        <v>6418</v>
      </c>
      <c r="D1824" s="13" t="n">
        <v>6</v>
      </c>
      <c r="E1824" s="36" t="s">
        <v>1574</v>
      </c>
      <c r="F1824" s="13" t="s">
        <v>1298</v>
      </c>
      <c r="G1824" s="13" t="s">
        <v>322</v>
      </c>
      <c r="H1824" s="13" t="s">
        <v>6393</v>
      </c>
      <c r="I1824" s="13" t="s">
        <v>125</v>
      </c>
      <c r="J1824" s="13" t="s">
        <v>1571</v>
      </c>
      <c r="K1824" s="30" t="n">
        <v>1</v>
      </c>
      <c r="L1824" s="31" t="n">
        <v>45976</v>
      </c>
      <c r="M1824" s="31" t="n">
        <v>45976</v>
      </c>
      <c r="N1824" s="13"/>
      <c r="O1824" s="13"/>
      <c r="P1824" s="13"/>
      <c r="Q1824" s="13"/>
    </row>
    <row r="1825" customFormat="false" ht="15" hidden="false" customHeight="false" outlineLevel="0" collapsed="false">
      <c r="A1825" s="16" t="s">
        <v>6419</v>
      </c>
      <c r="B1825" s="16" t="n">
        <v>1820</v>
      </c>
      <c r="C1825" s="16" t="s">
        <v>6420</v>
      </c>
      <c r="D1825" s="16" t="n">
        <v>7</v>
      </c>
      <c r="E1825" s="37" t="s">
        <v>1577</v>
      </c>
      <c r="F1825" s="16" t="s">
        <v>1285</v>
      </c>
      <c r="G1825" s="16" t="s">
        <v>322</v>
      </c>
      <c r="H1825" s="16" t="s">
        <v>6393</v>
      </c>
      <c r="I1825" s="16" t="s">
        <v>125</v>
      </c>
      <c r="J1825" s="16" t="s">
        <v>1574</v>
      </c>
      <c r="K1825" s="32" t="n">
        <v>1</v>
      </c>
      <c r="L1825" s="33" t="n">
        <v>45976</v>
      </c>
      <c r="M1825" s="33" t="n">
        <v>45976</v>
      </c>
      <c r="N1825" s="16" t="s">
        <v>6421</v>
      </c>
      <c r="O1825" s="16"/>
      <c r="P1825" s="16" t="str">
        <f aca="false">IF(AND(L1825&lt;=$D$2,M1825&gt;=$C$2),"Sí","")</f>
        <v/>
      </c>
      <c r="Q1825" s="18" t="str">
        <f aca="false">IF(COUNTIF(LOOKAHEAD!$A$5:$A$604,A1825)&gt;0,"En Lookahead",IF(P1825="Sí","INCORPORAR",""))</f>
        <v/>
      </c>
    </row>
    <row r="1826" customFormat="false" ht="15" hidden="false" customHeight="false" outlineLevel="0" collapsed="false">
      <c r="A1826" s="13" t="s">
        <v>6422</v>
      </c>
      <c r="B1826" s="13" t="n">
        <v>1821</v>
      </c>
      <c r="C1826" s="13" t="s">
        <v>6423</v>
      </c>
      <c r="D1826" s="13" t="n">
        <v>6</v>
      </c>
      <c r="E1826" s="36" t="s">
        <v>1581</v>
      </c>
      <c r="F1826" s="13" t="s">
        <v>1298</v>
      </c>
      <c r="G1826" s="13" t="s">
        <v>322</v>
      </c>
      <c r="H1826" s="13" t="s">
        <v>6393</v>
      </c>
      <c r="I1826" s="13" t="s">
        <v>125</v>
      </c>
      <c r="J1826" s="13" t="s">
        <v>1571</v>
      </c>
      <c r="K1826" s="30" t="n">
        <v>2</v>
      </c>
      <c r="L1826" s="31" t="n">
        <v>45977</v>
      </c>
      <c r="M1826" s="31" t="n">
        <v>45978</v>
      </c>
      <c r="N1826" s="13"/>
      <c r="O1826" s="13"/>
      <c r="P1826" s="13"/>
      <c r="Q1826" s="13"/>
    </row>
    <row r="1827" customFormat="false" ht="15" hidden="false" customHeight="false" outlineLevel="0" collapsed="false">
      <c r="A1827" s="16" t="s">
        <v>6424</v>
      </c>
      <c r="B1827" s="16" t="n">
        <v>1822</v>
      </c>
      <c r="C1827" s="16" t="s">
        <v>6425</v>
      </c>
      <c r="D1827" s="16" t="n">
        <v>7</v>
      </c>
      <c r="E1827" s="37" t="s">
        <v>1584</v>
      </c>
      <c r="F1827" s="16" t="s">
        <v>1285</v>
      </c>
      <c r="G1827" s="16" t="s">
        <v>322</v>
      </c>
      <c r="H1827" s="16" t="s">
        <v>6393</v>
      </c>
      <c r="I1827" s="16" t="s">
        <v>125</v>
      </c>
      <c r="J1827" s="16" t="s">
        <v>1581</v>
      </c>
      <c r="K1827" s="32" t="n">
        <v>1</v>
      </c>
      <c r="L1827" s="33" t="n">
        <v>45978</v>
      </c>
      <c r="M1827" s="33" t="n">
        <v>45978</v>
      </c>
      <c r="N1827" s="16" t="s">
        <v>6426</v>
      </c>
      <c r="O1827" s="16"/>
      <c r="P1827" s="16" t="str">
        <f aca="false">IF(AND(L1827&lt;=$D$2,M1827&gt;=$C$2),"Sí","")</f>
        <v/>
      </c>
      <c r="Q1827" s="18" t="str">
        <f aca="false">IF(COUNTIF(LOOKAHEAD!$A$5:$A$604,A1827)&gt;0,"En Lookahead",IF(P1827="Sí","INCORPORAR",""))</f>
        <v/>
      </c>
    </row>
    <row r="1828" customFormat="false" ht="15" hidden="false" customHeight="false" outlineLevel="0" collapsed="false">
      <c r="A1828" s="16" t="s">
        <v>6427</v>
      </c>
      <c r="B1828" s="16" t="n">
        <v>1823</v>
      </c>
      <c r="C1828" s="16" t="s">
        <v>6428</v>
      </c>
      <c r="D1828" s="16" t="n">
        <v>7</v>
      </c>
      <c r="E1828" s="37" t="s">
        <v>1588</v>
      </c>
      <c r="F1828" s="16" t="s">
        <v>1285</v>
      </c>
      <c r="G1828" s="16" t="s">
        <v>322</v>
      </c>
      <c r="H1828" s="16" t="s">
        <v>6393</v>
      </c>
      <c r="I1828" s="16" t="s">
        <v>125</v>
      </c>
      <c r="J1828" s="16" t="s">
        <v>1581</v>
      </c>
      <c r="K1828" s="32" t="n">
        <v>1</v>
      </c>
      <c r="L1828" s="33" t="n">
        <v>45977</v>
      </c>
      <c r="M1828" s="33" t="n">
        <v>45977</v>
      </c>
      <c r="N1828" s="16" t="s">
        <v>6429</v>
      </c>
      <c r="O1828" s="16"/>
      <c r="P1828" s="16" t="str">
        <f aca="false">IF(AND(L1828&lt;=$D$2,M1828&gt;=$C$2),"Sí","")</f>
        <v/>
      </c>
      <c r="Q1828" s="18" t="str">
        <f aca="false">IF(COUNTIF(LOOKAHEAD!$A$5:$A$604,A1828)&gt;0,"En Lookahead",IF(P1828="Sí","INCORPORAR",""))</f>
        <v/>
      </c>
    </row>
    <row r="1829" customFormat="false" ht="15" hidden="false" customHeight="false" outlineLevel="0" collapsed="false">
      <c r="A1829" s="13" t="s">
        <v>6430</v>
      </c>
      <c r="B1829" s="13" t="n">
        <v>1824</v>
      </c>
      <c r="C1829" s="13" t="s">
        <v>6431</v>
      </c>
      <c r="D1829" s="13" t="n">
        <v>6</v>
      </c>
      <c r="E1829" s="36" t="s">
        <v>1592</v>
      </c>
      <c r="F1829" s="13" t="s">
        <v>1298</v>
      </c>
      <c r="G1829" s="13" t="s">
        <v>322</v>
      </c>
      <c r="H1829" s="13" t="s">
        <v>6393</v>
      </c>
      <c r="I1829" s="13" t="s">
        <v>125</v>
      </c>
      <c r="J1829" s="13" t="s">
        <v>1571</v>
      </c>
      <c r="K1829" s="30" t="n">
        <v>3</v>
      </c>
      <c r="L1829" s="31" t="n">
        <v>45979</v>
      </c>
      <c r="M1829" s="31" t="n">
        <v>45981</v>
      </c>
      <c r="N1829" s="13"/>
      <c r="O1829" s="13"/>
      <c r="P1829" s="13"/>
      <c r="Q1829" s="13"/>
    </row>
    <row r="1830" customFormat="false" ht="15" hidden="false" customHeight="false" outlineLevel="0" collapsed="false">
      <c r="A1830" s="16" t="s">
        <v>6432</v>
      </c>
      <c r="B1830" s="16" t="n">
        <v>1825</v>
      </c>
      <c r="C1830" s="16" t="s">
        <v>6433</v>
      </c>
      <c r="D1830" s="16" t="n">
        <v>7</v>
      </c>
      <c r="E1830" s="37" t="s">
        <v>1595</v>
      </c>
      <c r="F1830" s="16" t="s">
        <v>1285</v>
      </c>
      <c r="G1830" s="16" t="s">
        <v>322</v>
      </c>
      <c r="H1830" s="16" t="s">
        <v>6393</v>
      </c>
      <c r="I1830" s="16" t="s">
        <v>125</v>
      </c>
      <c r="J1830" s="16" t="s">
        <v>1592</v>
      </c>
      <c r="K1830" s="32" t="n">
        <v>1</v>
      </c>
      <c r="L1830" s="33" t="n">
        <v>45980</v>
      </c>
      <c r="M1830" s="33" t="n">
        <v>45980</v>
      </c>
      <c r="N1830" s="16" t="s">
        <v>6434</v>
      </c>
      <c r="O1830" s="16"/>
      <c r="P1830" s="16" t="str">
        <f aca="false">IF(AND(L1830&lt;=$D$2,M1830&gt;=$C$2),"Sí","")</f>
        <v/>
      </c>
      <c r="Q1830" s="18" t="str">
        <f aca="false">IF(COUNTIF(LOOKAHEAD!$A$5:$A$604,A1830)&gt;0,"En Lookahead",IF(P1830="Sí","INCORPORAR",""))</f>
        <v/>
      </c>
    </row>
    <row r="1831" customFormat="false" ht="15" hidden="false" customHeight="false" outlineLevel="0" collapsed="false">
      <c r="A1831" s="16" t="s">
        <v>6435</v>
      </c>
      <c r="B1831" s="16" t="n">
        <v>1826</v>
      </c>
      <c r="C1831" s="16" t="s">
        <v>6436</v>
      </c>
      <c r="D1831" s="16" t="n">
        <v>7</v>
      </c>
      <c r="E1831" s="37" t="s">
        <v>1588</v>
      </c>
      <c r="F1831" s="16" t="s">
        <v>1285</v>
      </c>
      <c r="G1831" s="16" t="s">
        <v>322</v>
      </c>
      <c r="H1831" s="16" t="s">
        <v>6393</v>
      </c>
      <c r="I1831" s="16" t="s">
        <v>125</v>
      </c>
      <c r="J1831" s="16" t="s">
        <v>1592</v>
      </c>
      <c r="K1831" s="32" t="n">
        <v>1</v>
      </c>
      <c r="L1831" s="33" t="n">
        <v>45979</v>
      </c>
      <c r="M1831" s="33" t="n">
        <v>45979</v>
      </c>
      <c r="N1831" s="16" t="s">
        <v>6437</v>
      </c>
      <c r="O1831" s="16"/>
      <c r="P1831" s="16" t="str">
        <f aca="false">IF(AND(L1831&lt;=$D$2,M1831&gt;=$C$2),"Sí","")</f>
        <v/>
      </c>
      <c r="Q1831" s="18" t="str">
        <f aca="false">IF(COUNTIF(LOOKAHEAD!$A$5:$A$604,A1831)&gt;0,"En Lookahead",IF(P1831="Sí","INCORPORAR",""))</f>
        <v/>
      </c>
    </row>
    <row r="1832" customFormat="false" ht="15" hidden="false" customHeight="false" outlineLevel="0" collapsed="false">
      <c r="A1832" s="16" t="s">
        <v>6438</v>
      </c>
      <c r="B1832" s="16" t="n">
        <v>1827</v>
      </c>
      <c r="C1832" s="16" t="s">
        <v>6439</v>
      </c>
      <c r="D1832" s="16" t="n">
        <v>7</v>
      </c>
      <c r="E1832" s="37" t="s">
        <v>6440</v>
      </c>
      <c r="F1832" s="16" t="s">
        <v>1285</v>
      </c>
      <c r="G1832" s="16" t="s">
        <v>322</v>
      </c>
      <c r="H1832" s="16" t="s">
        <v>6393</v>
      </c>
      <c r="I1832" s="16" t="s">
        <v>125</v>
      </c>
      <c r="J1832" s="16" t="s">
        <v>1592</v>
      </c>
      <c r="K1832" s="32" t="n">
        <v>1</v>
      </c>
      <c r="L1832" s="33" t="n">
        <v>45981</v>
      </c>
      <c r="M1832" s="33" t="n">
        <v>45981</v>
      </c>
      <c r="N1832" s="16" t="s">
        <v>6403</v>
      </c>
      <c r="O1832" s="16"/>
      <c r="P1832" s="16" t="str">
        <f aca="false">IF(AND(L1832&lt;=$D$2,M1832&gt;=$C$2),"Sí","")</f>
        <v/>
      </c>
      <c r="Q1832" s="18" t="str">
        <f aca="false">IF(COUNTIF(LOOKAHEAD!$A$5:$A$604,A1832)&gt;0,"En Lookahead",IF(P1832="Sí","INCORPORAR",""))</f>
        <v/>
      </c>
    </row>
    <row r="1833" customFormat="false" ht="15" hidden="false" customHeight="false" outlineLevel="0" collapsed="false">
      <c r="A1833" s="13" t="s">
        <v>6441</v>
      </c>
      <c r="B1833" s="13" t="n">
        <v>1828</v>
      </c>
      <c r="C1833" s="13" t="s">
        <v>6442</v>
      </c>
      <c r="D1833" s="13" t="n">
        <v>6</v>
      </c>
      <c r="E1833" s="36" t="s">
        <v>1606</v>
      </c>
      <c r="F1833" s="13" t="s">
        <v>1298</v>
      </c>
      <c r="G1833" s="13" t="s">
        <v>322</v>
      </c>
      <c r="H1833" s="13" t="s">
        <v>6393</v>
      </c>
      <c r="I1833" s="13" t="s">
        <v>125</v>
      </c>
      <c r="J1833" s="13" t="s">
        <v>1571</v>
      </c>
      <c r="K1833" s="30" t="n">
        <v>2</v>
      </c>
      <c r="L1833" s="31" t="n">
        <v>45977</v>
      </c>
      <c r="M1833" s="31" t="n">
        <v>45978</v>
      </c>
      <c r="N1833" s="13"/>
      <c r="O1833" s="13"/>
      <c r="P1833" s="13"/>
      <c r="Q1833" s="13"/>
    </row>
    <row r="1834" customFormat="false" ht="15" hidden="false" customHeight="false" outlineLevel="0" collapsed="false">
      <c r="A1834" s="16" t="s">
        <v>6443</v>
      </c>
      <c r="B1834" s="16" t="n">
        <v>1829</v>
      </c>
      <c r="C1834" s="16" t="s">
        <v>6444</v>
      </c>
      <c r="D1834" s="16" t="n">
        <v>7</v>
      </c>
      <c r="E1834" s="37" t="s">
        <v>1609</v>
      </c>
      <c r="F1834" s="16" t="s">
        <v>1285</v>
      </c>
      <c r="G1834" s="16" t="s">
        <v>322</v>
      </c>
      <c r="H1834" s="16" t="s">
        <v>6393</v>
      </c>
      <c r="I1834" s="16" t="s">
        <v>125</v>
      </c>
      <c r="J1834" s="16" t="s">
        <v>1606</v>
      </c>
      <c r="K1834" s="32" t="n">
        <v>1</v>
      </c>
      <c r="L1834" s="33" t="n">
        <v>45978</v>
      </c>
      <c r="M1834" s="33" t="n">
        <v>45978</v>
      </c>
      <c r="N1834" s="16" t="s">
        <v>6445</v>
      </c>
      <c r="O1834" s="16"/>
      <c r="P1834" s="16" t="str">
        <f aca="false">IF(AND(L1834&lt;=$D$2,M1834&gt;=$C$2),"Sí","")</f>
        <v/>
      </c>
      <c r="Q1834" s="18" t="str">
        <f aca="false">IF(COUNTIF(LOOKAHEAD!$A$5:$A$604,A1834)&gt;0,"En Lookahead",IF(P1834="Sí","INCORPORAR",""))</f>
        <v/>
      </c>
    </row>
    <row r="1835" customFormat="false" ht="15" hidden="false" customHeight="false" outlineLevel="0" collapsed="false">
      <c r="A1835" s="16" t="s">
        <v>6446</v>
      </c>
      <c r="B1835" s="16" t="n">
        <v>1830</v>
      </c>
      <c r="C1835" s="16" t="s">
        <v>6447</v>
      </c>
      <c r="D1835" s="16" t="n">
        <v>7</v>
      </c>
      <c r="E1835" s="37" t="s">
        <v>1588</v>
      </c>
      <c r="F1835" s="16" t="s">
        <v>1285</v>
      </c>
      <c r="G1835" s="16" t="s">
        <v>322</v>
      </c>
      <c r="H1835" s="16" t="s">
        <v>6393</v>
      </c>
      <c r="I1835" s="16" t="s">
        <v>125</v>
      </c>
      <c r="J1835" s="16" t="s">
        <v>1606</v>
      </c>
      <c r="K1835" s="32" t="n">
        <v>1</v>
      </c>
      <c r="L1835" s="33" t="n">
        <v>45977</v>
      </c>
      <c r="M1835" s="33" t="n">
        <v>45977</v>
      </c>
      <c r="N1835" s="16" t="s">
        <v>6429</v>
      </c>
      <c r="O1835" s="16"/>
      <c r="P1835" s="16" t="str">
        <f aca="false">IF(AND(L1835&lt;=$D$2,M1835&gt;=$C$2),"Sí","")</f>
        <v/>
      </c>
      <c r="Q1835" s="18" t="str">
        <f aca="false">IF(COUNTIF(LOOKAHEAD!$A$5:$A$604,A1835)&gt;0,"En Lookahead",IF(P1835="Sí","INCORPORAR",""))</f>
        <v/>
      </c>
    </row>
    <row r="1836" customFormat="false" ht="15" hidden="false" customHeight="false" outlineLevel="0" collapsed="false">
      <c r="A1836" s="13" t="s">
        <v>6448</v>
      </c>
      <c r="B1836" s="13" t="n">
        <v>1831</v>
      </c>
      <c r="C1836" s="13" t="s">
        <v>6449</v>
      </c>
      <c r="D1836" s="13" t="n">
        <v>6</v>
      </c>
      <c r="E1836" s="36" t="s">
        <v>1616</v>
      </c>
      <c r="F1836" s="13" t="s">
        <v>1298</v>
      </c>
      <c r="G1836" s="13" t="s">
        <v>322</v>
      </c>
      <c r="H1836" s="13" t="s">
        <v>6393</v>
      </c>
      <c r="I1836" s="13" t="s">
        <v>125</v>
      </c>
      <c r="J1836" s="13" t="s">
        <v>1571</v>
      </c>
      <c r="K1836" s="30" t="n">
        <v>1</v>
      </c>
      <c r="L1836" s="31" t="n">
        <v>45976</v>
      </c>
      <c r="M1836" s="31" t="n">
        <v>45976</v>
      </c>
      <c r="N1836" s="13"/>
      <c r="O1836" s="13"/>
      <c r="P1836" s="13"/>
      <c r="Q1836" s="13"/>
    </row>
    <row r="1837" customFormat="false" ht="15" hidden="false" customHeight="false" outlineLevel="0" collapsed="false">
      <c r="A1837" s="16" t="s">
        <v>6450</v>
      </c>
      <c r="B1837" s="16" t="n">
        <v>1832</v>
      </c>
      <c r="C1837" s="16" t="s">
        <v>6451</v>
      </c>
      <c r="D1837" s="16" t="n">
        <v>7</v>
      </c>
      <c r="E1837" s="37" t="s">
        <v>1619</v>
      </c>
      <c r="F1837" s="16" t="s">
        <v>1285</v>
      </c>
      <c r="G1837" s="16" t="s">
        <v>322</v>
      </c>
      <c r="H1837" s="16" t="s">
        <v>6393</v>
      </c>
      <c r="I1837" s="16" t="s">
        <v>125</v>
      </c>
      <c r="J1837" s="16" t="s">
        <v>1616</v>
      </c>
      <c r="K1837" s="32" t="n">
        <v>1</v>
      </c>
      <c r="L1837" s="33" t="n">
        <v>45976</v>
      </c>
      <c r="M1837" s="33" t="n">
        <v>45976</v>
      </c>
      <c r="N1837" s="16" t="s">
        <v>6421</v>
      </c>
      <c r="O1837" s="16"/>
      <c r="P1837" s="16" t="str">
        <f aca="false">IF(AND(L1837&lt;=$D$2,M1837&gt;=$C$2),"Sí","")</f>
        <v/>
      </c>
      <c r="Q1837" s="18" t="str">
        <f aca="false">IF(COUNTIF(LOOKAHEAD!$A$5:$A$604,A1837)&gt;0,"En Lookahead",IF(P1837="Sí","INCORPORAR",""))</f>
        <v/>
      </c>
    </row>
    <row r="1838" customFormat="false" ht="15" hidden="false" customHeight="false" outlineLevel="0" collapsed="false">
      <c r="A1838" s="13" t="s">
        <v>6452</v>
      </c>
      <c r="B1838" s="13" t="n">
        <v>1833</v>
      </c>
      <c r="C1838" s="13" t="s">
        <v>6453</v>
      </c>
      <c r="D1838" s="13" t="n">
        <v>5</v>
      </c>
      <c r="E1838" s="34" t="s">
        <v>1623</v>
      </c>
      <c r="F1838" s="13" t="s">
        <v>1298</v>
      </c>
      <c r="G1838" s="13" t="s">
        <v>322</v>
      </c>
      <c r="H1838" s="13" t="s">
        <v>6393</v>
      </c>
      <c r="I1838" s="13" t="s">
        <v>125</v>
      </c>
      <c r="J1838" s="13" t="s">
        <v>6393</v>
      </c>
      <c r="K1838" s="30" t="n">
        <v>45</v>
      </c>
      <c r="L1838" s="31" t="n">
        <v>45979</v>
      </c>
      <c r="M1838" s="31" t="n">
        <v>46023</v>
      </c>
      <c r="N1838" s="13"/>
      <c r="O1838" s="13"/>
      <c r="P1838" s="13"/>
      <c r="Q1838" s="13"/>
    </row>
    <row r="1839" customFormat="false" ht="15" hidden="false" customHeight="false" outlineLevel="0" collapsed="false">
      <c r="A1839" s="13" t="s">
        <v>6454</v>
      </c>
      <c r="B1839" s="13" t="n">
        <v>1834</v>
      </c>
      <c r="C1839" s="13" t="s">
        <v>6455</v>
      </c>
      <c r="D1839" s="13" t="n">
        <v>6</v>
      </c>
      <c r="E1839" s="36" t="s">
        <v>1626</v>
      </c>
      <c r="F1839" s="13" t="s">
        <v>1298</v>
      </c>
      <c r="G1839" s="13" t="s">
        <v>322</v>
      </c>
      <c r="H1839" s="13" t="s">
        <v>6393</v>
      </c>
      <c r="I1839" s="13" t="s">
        <v>125</v>
      </c>
      <c r="J1839" s="13" t="s">
        <v>1623</v>
      </c>
      <c r="K1839" s="30" t="n">
        <v>4</v>
      </c>
      <c r="L1839" s="31" t="n">
        <v>45979</v>
      </c>
      <c r="M1839" s="31" t="n">
        <v>45982</v>
      </c>
      <c r="N1839" s="13"/>
      <c r="O1839" s="13"/>
      <c r="P1839" s="13"/>
      <c r="Q1839" s="13"/>
    </row>
    <row r="1840" customFormat="false" ht="15" hidden="false" customHeight="false" outlineLevel="0" collapsed="false">
      <c r="A1840" s="16" t="s">
        <v>6456</v>
      </c>
      <c r="B1840" s="16" t="n">
        <v>1835</v>
      </c>
      <c r="C1840" s="16" t="s">
        <v>6457</v>
      </c>
      <c r="D1840" s="16" t="n">
        <v>7</v>
      </c>
      <c r="E1840" s="37" t="s">
        <v>1629</v>
      </c>
      <c r="F1840" s="16" t="s">
        <v>1285</v>
      </c>
      <c r="G1840" s="16" t="s">
        <v>322</v>
      </c>
      <c r="H1840" s="16" t="s">
        <v>6393</v>
      </c>
      <c r="I1840" s="16" t="s">
        <v>125</v>
      </c>
      <c r="J1840" s="16" t="s">
        <v>1626</v>
      </c>
      <c r="K1840" s="32" t="n">
        <v>1</v>
      </c>
      <c r="L1840" s="33" t="n">
        <v>45981</v>
      </c>
      <c r="M1840" s="33" t="n">
        <v>45981</v>
      </c>
      <c r="N1840" s="16" t="s">
        <v>6458</v>
      </c>
      <c r="O1840" s="16"/>
      <c r="P1840" s="16" t="str">
        <f aca="false">IF(AND(L1840&lt;=$D$2,M1840&gt;=$C$2),"Sí","")</f>
        <v/>
      </c>
      <c r="Q1840" s="18" t="str">
        <f aca="false">IF(COUNTIF(LOOKAHEAD!$A$5:$A$604,A1840)&gt;0,"En Lookahead",IF(P1840="Sí","INCORPORAR",""))</f>
        <v/>
      </c>
    </row>
    <row r="1841" customFormat="false" ht="15" hidden="false" customHeight="false" outlineLevel="0" collapsed="false">
      <c r="A1841" s="16" t="s">
        <v>6459</v>
      </c>
      <c r="B1841" s="16" t="n">
        <v>1836</v>
      </c>
      <c r="C1841" s="16" t="s">
        <v>6460</v>
      </c>
      <c r="D1841" s="16" t="n">
        <v>7</v>
      </c>
      <c r="E1841" s="37" t="s">
        <v>1633</v>
      </c>
      <c r="F1841" s="16" t="s">
        <v>1285</v>
      </c>
      <c r="G1841" s="16" t="s">
        <v>322</v>
      </c>
      <c r="H1841" s="16" t="s">
        <v>6393</v>
      </c>
      <c r="I1841" s="16" t="s">
        <v>125</v>
      </c>
      <c r="J1841" s="16" t="s">
        <v>1626</v>
      </c>
      <c r="K1841" s="32" t="n">
        <v>1</v>
      </c>
      <c r="L1841" s="33" t="n">
        <v>45980</v>
      </c>
      <c r="M1841" s="33" t="n">
        <v>45980</v>
      </c>
      <c r="N1841" s="16" t="s">
        <v>6461</v>
      </c>
      <c r="O1841" s="16"/>
      <c r="P1841" s="16" t="str">
        <f aca="false">IF(AND(L1841&lt;=$D$2,M1841&gt;=$C$2),"Sí","")</f>
        <v/>
      </c>
      <c r="Q1841" s="18" t="str">
        <f aca="false">IF(COUNTIF(LOOKAHEAD!$A$5:$A$604,A1841)&gt;0,"En Lookahead",IF(P1841="Sí","INCORPORAR",""))</f>
        <v/>
      </c>
    </row>
    <row r="1842" customFormat="false" ht="15" hidden="false" customHeight="false" outlineLevel="0" collapsed="false">
      <c r="A1842" s="16" t="s">
        <v>6462</v>
      </c>
      <c r="B1842" s="16" t="n">
        <v>1837</v>
      </c>
      <c r="C1842" s="16" t="s">
        <v>6463</v>
      </c>
      <c r="D1842" s="16" t="n">
        <v>7</v>
      </c>
      <c r="E1842" s="37" t="s">
        <v>1637</v>
      </c>
      <c r="F1842" s="16" t="s">
        <v>1285</v>
      </c>
      <c r="G1842" s="16" t="s">
        <v>322</v>
      </c>
      <c r="H1842" s="16" t="s">
        <v>6393</v>
      </c>
      <c r="I1842" s="16" t="s">
        <v>125</v>
      </c>
      <c r="J1842" s="16" t="s">
        <v>1626</v>
      </c>
      <c r="K1842" s="32" t="n">
        <v>1</v>
      </c>
      <c r="L1842" s="33" t="n">
        <v>45979</v>
      </c>
      <c r="M1842" s="33" t="n">
        <v>45979</v>
      </c>
      <c r="N1842" s="16" t="s">
        <v>6464</v>
      </c>
      <c r="O1842" s="16"/>
      <c r="P1842" s="16" t="str">
        <f aca="false">IF(AND(L1842&lt;=$D$2,M1842&gt;=$C$2),"Sí","")</f>
        <v/>
      </c>
      <c r="Q1842" s="18" t="str">
        <f aca="false">IF(COUNTIF(LOOKAHEAD!$A$5:$A$604,A1842)&gt;0,"En Lookahead",IF(P1842="Sí","INCORPORAR",""))</f>
        <v/>
      </c>
    </row>
    <row r="1843" customFormat="false" ht="15" hidden="false" customHeight="false" outlineLevel="0" collapsed="false">
      <c r="A1843" s="16" t="s">
        <v>6465</v>
      </c>
      <c r="B1843" s="16" t="n">
        <v>1838</v>
      </c>
      <c r="C1843" s="16" t="s">
        <v>6466</v>
      </c>
      <c r="D1843" s="16" t="n">
        <v>7</v>
      </c>
      <c r="E1843" s="37" t="s">
        <v>6440</v>
      </c>
      <c r="F1843" s="16" t="s">
        <v>1285</v>
      </c>
      <c r="G1843" s="16" t="s">
        <v>322</v>
      </c>
      <c r="H1843" s="16" t="s">
        <v>6393</v>
      </c>
      <c r="I1843" s="16" t="s">
        <v>125</v>
      </c>
      <c r="J1843" s="16" t="s">
        <v>1626</v>
      </c>
      <c r="K1843" s="32" t="n">
        <v>1</v>
      </c>
      <c r="L1843" s="33" t="n">
        <v>45982</v>
      </c>
      <c r="M1843" s="33" t="n">
        <v>45982</v>
      </c>
      <c r="N1843" s="16" t="s">
        <v>6467</v>
      </c>
      <c r="O1843" s="16"/>
      <c r="P1843" s="16" t="str">
        <f aca="false">IF(AND(L1843&lt;=$D$2,M1843&gt;=$C$2),"Sí","")</f>
        <v/>
      </c>
      <c r="Q1843" s="18" t="str">
        <f aca="false">IF(COUNTIF(LOOKAHEAD!$A$5:$A$604,A1843)&gt;0,"En Lookahead",IF(P1843="Sí","INCORPORAR",""))</f>
        <v/>
      </c>
    </row>
    <row r="1844" customFormat="false" ht="15" hidden="false" customHeight="false" outlineLevel="0" collapsed="false">
      <c r="A1844" s="13" t="s">
        <v>6468</v>
      </c>
      <c r="B1844" s="13" t="n">
        <v>1839</v>
      </c>
      <c r="C1844" s="13" t="s">
        <v>6469</v>
      </c>
      <c r="D1844" s="13" t="n">
        <v>6</v>
      </c>
      <c r="E1844" s="36" t="s">
        <v>1644</v>
      </c>
      <c r="F1844" s="13" t="s">
        <v>1298</v>
      </c>
      <c r="G1844" s="13" t="s">
        <v>322</v>
      </c>
      <c r="H1844" s="13" t="s">
        <v>6393</v>
      </c>
      <c r="I1844" s="13" t="s">
        <v>125</v>
      </c>
      <c r="J1844" s="13" t="s">
        <v>1623</v>
      </c>
      <c r="K1844" s="30" t="n">
        <v>7</v>
      </c>
      <c r="L1844" s="31" t="n">
        <v>45979</v>
      </c>
      <c r="M1844" s="31" t="n">
        <v>45985</v>
      </c>
      <c r="N1844" s="13"/>
      <c r="O1844" s="13"/>
      <c r="P1844" s="13"/>
      <c r="Q1844" s="13"/>
    </row>
    <row r="1845" customFormat="false" ht="15" hidden="false" customHeight="false" outlineLevel="0" collapsed="false">
      <c r="A1845" s="16" t="s">
        <v>6470</v>
      </c>
      <c r="B1845" s="16" t="n">
        <v>1840</v>
      </c>
      <c r="C1845" s="16" t="s">
        <v>6471</v>
      </c>
      <c r="D1845" s="16" t="n">
        <v>7</v>
      </c>
      <c r="E1845" s="37" t="s">
        <v>1647</v>
      </c>
      <c r="F1845" s="16" t="s">
        <v>1285</v>
      </c>
      <c r="G1845" s="16" t="s">
        <v>322</v>
      </c>
      <c r="H1845" s="16" t="s">
        <v>6393</v>
      </c>
      <c r="I1845" s="16" t="s">
        <v>125</v>
      </c>
      <c r="J1845" s="16" t="s">
        <v>1644</v>
      </c>
      <c r="K1845" s="32" t="n">
        <v>1</v>
      </c>
      <c r="L1845" s="33" t="n">
        <v>45984</v>
      </c>
      <c r="M1845" s="33" t="n">
        <v>45984</v>
      </c>
      <c r="N1845" s="16" t="s">
        <v>6472</v>
      </c>
      <c r="O1845" s="16"/>
      <c r="P1845" s="16" t="str">
        <f aca="false">IF(AND(L1845&lt;=$D$2,M1845&gt;=$C$2),"Sí","")</f>
        <v/>
      </c>
      <c r="Q1845" s="18" t="str">
        <f aca="false">IF(COUNTIF(LOOKAHEAD!$A$5:$A$604,A1845)&gt;0,"En Lookahead",IF(P1845="Sí","INCORPORAR",""))</f>
        <v/>
      </c>
    </row>
    <row r="1846" customFormat="false" ht="15" hidden="false" customHeight="false" outlineLevel="0" collapsed="false">
      <c r="A1846" s="16" t="s">
        <v>6473</v>
      </c>
      <c r="B1846" s="16" t="n">
        <v>1841</v>
      </c>
      <c r="C1846" s="16" t="s">
        <v>6474</v>
      </c>
      <c r="D1846" s="16" t="n">
        <v>7</v>
      </c>
      <c r="E1846" s="37" t="s">
        <v>1651</v>
      </c>
      <c r="F1846" s="16" t="s">
        <v>1285</v>
      </c>
      <c r="G1846" s="16" t="s">
        <v>322</v>
      </c>
      <c r="H1846" s="16" t="s">
        <v>6393</v>
      </c>
      <c r="I1846" s="16" t="s">
        <v>125</v>
      </c>
      <c r="J1846" s="16" t="s">
        <v>1644</v>
      </c>
      <c r="K1846" s="32" t="n">
        <v>2</v>
      </c>
      <c r="L1846" s="33" t="n">
        <v>45982</v>
      </c>
      <c r="M1846" s="33" t="n">
        <v>45983</v>
      </c>
      <c r="N1846" s="16" t="s">
        <v>6475</v>
      </c>
      <c r="O1846" s="16"/>
      <c r="P1846" s="16" t="str">
        <f aca="false">IF(AND(L1846&lt;=$D$2,M1846&gt;=$C$2),"Sí","")</f>
        <v/>
      </c>
      <c r="Q1846" s="18" t="str">
        <f aca="false">IF(COUNTIF(LOOKAHEAD!$A$5:$A$604,A1846)&gt;0,"En Lookahead",IF(P1846="Sí","INCORPORAR",""))</f>
        <v/>
      </c>
    </row>
    <row r="1847" customFormat="false" ht="15" hidden="false" customHeight="false" outlineLevel="0" collapsed="false">
      <c r="A1847" s="16" t="s">
        <v>6476</v>
      </c>
      <c r="B1847" s="16" t="n">
        <v>1842</v>
      </c>
      <c r="C1847" s="16" t="s">
        <v>6477</v>
      </c>
      <c r="D1847" s="16" t="n">
        <v>7</v>
      </c>
      <c r="E1847" s="37" t="s">
        <v>1637</v>
      </c>
      <c r="F1847" s="16" t="s">
        <v>1285</v>
      </c>
      <c r="G1847" s="16" t="s">
        <v>322</v>
      </c>
      <c r="H1847" s="16" t="s">
        <v>6393</v>
      </c>
      <c r="I1847" s="16" t="s">
        <v>125</v>
      </c>
      <c r="J1847" s="16" t="s">
        <v>1644</v>
      </c>
      <c r="K1847" s="32" t="n">
        <v>3</v>
      </c>
      <c r="L1847" s="33" t="n">
        <v>45979</v>
      </c>
      <c r="M1847" s="33" t="n">
        <v>45981</v>
      </c>
      <c r="N1847" s="16" t="s">
        <v>6478</v>
      </c>
      <c r="O1847" s="16"/>
      <c r="P1847" s="16" t="str">
        <f aca="false">IF(AND(L1847&lt;=$D$2,M1847&gt;=$C$2),"Sí","")</f>
        <v/>
      </c>
      <c r="Q1847" s="18" t="str">
        <f aca="false">IF(COUNTIF(LOOKAHEAD!$A$5:$A$604,A1847)&gt;0,"En Lookahead",IF(P1847="Sí","INCORPORAR",""))</f>
        <v/>
      </c>
    </row>
    <row r="1848" customFormat="false" ht="15" hidden="false" customHeight="false" outlineLevel="0" collapsed="false">
      <c r="A1848" s="16" t="s">
        <v>6479</v>
      </c>
      <c r="B1848" s="16" t="n">
        <v>1843</v>
      </c>
      <c r="C1848" s="16" t="s">
        <v>6480</v>
      </c>
      <c r="D1848" s="16" t="n">
        <v>7</v>
      </c>
      <c r="E1848" s="37" t="s">
        <v>1602</v>
      </c>
      <c r="F1848" s="16" t="s">
        <v>1285</v>
      </c>
      <c r="G1848" s="16" t="s">
        <v>322</v>
      </c>
      <c r="H1848" s="16" t="s">
        <v>6393</v>
      </c>
      <c r="I1848" s="16" t="s">
        <v>125</v>
      </c>
      <c r="J1848" s="16" t="s">
        <v>1644</v>
      </c>
      <c r="K1848" s="32" t="n">
        <v>1</v>
      </c>
      <c r="L1848" s="33" t="n">
        <v>45985</v>
      </c>
      <c r="M1848" s="33" t="n">
        <v>45985</v>
      </c>
      <c r="N1848" s="16" t="s">
        <v>6481</v>
      </c>
      <c r="O1848" s="16"/>
      <c r="P1848" s="16" t="str">
        <f aca="false">IF(AND(L1848&lt;=$D$2,M1848&gt;=$C$2),"Sí","")</f>
        <v/>
      </c>
      <c r="Q1848" s="18" t="str">
        <f aca="false">IF(COUNTIF(LOOKAHEAD!$A$5:$A$604,A1848)&gt;0,"En Lookahead",IF(P1848="Sí","INCORPORAR",""))</f>
        <v/>
      </c>
    </row>
    <row r="1849" customFormat="false" ht="15" hidden="false" customHeight="false" outlineLevel="0" collapsed="false">
      <c r="A1849" s="13" t="s">
        <v>6482</v>
      </c>
      <c r="B1849" s="13" t="n">
        <v>1844</v>
      </c>
      <c r="C1849" s="13" t="s">
        <v>6483</v>
      </c>
      <c r="D1849" s="13" t="n">
        <v>6</v>
      </c>
      <c r="E1849" s="36" t="s">
        <v>1660</v>
      </c>
      <c r="F1849" s="13" t="s">
        <v>1298</v>
      </c>
      <c r="G1849" s="13" t="s">
        <v>322</v>
      </c>
      <c r="H1849" s="13" t="s">
        <v>6393</v>
      </c>
      <c r="I1849" s="13" t="s">
        <v>125</v>
      </c>
      <c r="J1849" s="13" t="s">
        <v>1623</v>
      </c>
      <c r="K1849" s="30" t="n">
        <v>27</v>
      </c>
      <c r="L1849" s="31" t="n">
        <v>45982</v>
      </c>
      <c r="M1849" s="31" t="n">
        <v>46008</v>
      </c>
      <c r="N1849" s="13"/>
      <c r="O1849" s="13"/>
      <c r="P1849" s="13"/>
      <c r="Q1849" s="13"/>
    </row>
    <row r="1850" customFormat="false" ht="15" hidden="false" customHeight="false" outlineLevel="0" collapsed="false">
      <c r="A1850" s="13" t="s">
        <v>6484</v>
      </c>
      <c r="B1850" s="13" t="n">
        <v>1845</v>
      </c>
      <c r="C1850" s="13" t="s">
        <v>6485</v>
      </c>
      <c r="D1850" s="13" t="n">
        <v>7</v>
      </c>
      <c r="E1850" s="38" t="s">
        <v>1663</v>
      </c>
      <c r="F1850" s="13" t="s">
        <v>1298</v>
      </c>
      <c r="G1850" s="13" t="s">
        <v>322</v>
      </c>
      <c r="H1850" s="13" t="s">
        <v>6393</v>
      </c>
      <c r="I1850" s="13" t="s">
        <v>125</v>
      </c>
      <c r="J1850" s="13" t="s">
        <v>1660</v>
      </c>
      <c r="K1850" s="30" t="n">
        <v>7</v>
      </c>
      <c r="L1850" s="31" t="n">
        <v>45982</v>
      </c>
      <c r="M1850" s="31" t="n">
        <v>45988</v>
      </c>
      <c r="N1850" s="13"/>
      <c r="O1850" s="13"/>
      <c r="P1850" s="13"/>
      <c r="Q1850" s="13"/>
    </row>
    <row r="1851" customFormat="false" ht="15" hidden="false" customHeight="false" outlineLevel="0" collapsed="false">
      <c r="A1851" s="16" t="s">
        <v>6486</v>
      </c>
      <c r="B1851" s="16" t="n">
        <v>1846</v>
      </c>
      <c r="C1851" s="16" t="s">
        <v>6487</v>
      </c>
      <c r="D1851" s="16" t="n">
        <v>8</v>
      </c>
      <c r="E1851" s="39" t="s">
        <v>4097</v>
      </c>
      <c r="F1851" s="16" t="s">
        <v>1285</v>
      </c>
      <c r="G1851" s="16" t="s">
        <v>322</v>
      </c>
      <c r="H1851" s="16" t="s">
        <v>6393</v>
      </c>
      <c r="I1851" s="16" t="s">
        <v>125</v>
      </c>
      <c r="J1851" s="16" t="s">
        <v>1663</v>
      </c>
      <c r="K1851" s="32" t="n">
        <v>1</v>
      </c>
      <c r="L1851" s="33" t="n">
        <v>45987</v>
      </c>
      <c r="M1851" s="33" t="n">
        <v>45987</v>
      </c>
      <c r="N1851" s="16" t="s">
        <v>6488</v>
      </c>
      <c r="O1851" s="16"/>
      <c r="P1851" s="16" t="str">
        <f aca="false">IF(AND(L1851&lt;=$D$2,M1851&gt;=$C$2),"Sí","")</f>
        <v/>
      </c>
      <c r="Q1851" s="18" t="str">
        <f aca="false">IF(COUNTIF(LOOKAHEAD!$A$5:$A$604,A1851)&gt;0,"En Lookahead",IF(P1851="Sí","INCORPORAR",""))</f>
        <v/>
      </c>
    </row>
    <row r="1852" customFormat="false" ht="15" hidden="false" customHeight="false" outlineLevel="0" collapsed="false">
      <c r="A1852" s="16" t="s">
        <v>6489</v>
      </c>
      <c r="B1852" s="16" t="n">
        <v>1847</v>
      </c>
      <c r="C1852" s="16" t="s">
        <v>6490</v>
      </c>
      <c r="D1852" s="16" t="n">
        <v>8</v>
      </c>
      <c r="E1852" s="39" t="s">
        <v>1670</v>
      </c>
      <c r="F1852" s="16" t="s">
        <v>1285</v>
      </c>
      <c r="G1852" s="16" t="s">
        <v>322</v>
      </c>
      <c r="H1852" s="16" t="s">
        <v>6393</v>
      </c>
      <c r="I1852" s="16" t="s">
        <v>125</v>
      </c>
      <c r="J1852" s="16" t="s">
        <v>1663</v>
      </c>
      <c r="K1852" s="32" t="n">
        <v>3</v>
      </c>
      <c r="L1852" s="33" t="n">
        <v>45984</v>
      </c>
      <c r="M1852" s="33" t="n">
        <v>45986</v>
      </c>
      <c r="N1852" s="16" t="s">
        <v>6491</v>
      </c>
      <c r="O1852" s="16"/>
      <c r="P1852" s="16" t="str">
        <f aca="false">IF(AND(L1852&lt;=$D$2,M1852&gt;=$C$2),"Sí","")</f>
        <v/>
      </c>
      <c r="Q1852" s="18" t="str">
        <f aca="false">IF(COUNTIF(LOOKAHEAD!$A$5:$A$604,A1852)&gt;0,"En Lookahead",IF(P1852="Sí","INCORPORAR",""))</f>
        <v/>
      </c>
    </row>
    <row r="1853" customFormat="false" ht="15" hidden="false" customHeight="false" outlineLevel="0" collapsed="false">
      <c r="A1853" s="16" t="s">
        <v>6492</v>
      </c>
      <c r="B1853" s="16" t="n">
        <v>1848</v>
      </c>
      <c r="C1853" s="16" t="s">
        <v>6493</v>
      </c>
      <c r="D1853" s="16" t="n">
        <v>8</v>
      </c>
      <c r="E1853" s="39" t="s">
        <v>1674</v>
      </c>
      <c r="F1853" s="16" t="s">
        <v>1285</v>
      </c>
      <c r="G1853" s="16" t="s">
        <v>322</v>
      </c>
      <c r="H1853" s="16" t="s">
        <v>6393</v>
      </c>
      <c r="I1853" s="16" t="s">
        <v>125</v>
      </c>
      <c r="J1853" s="16" t="s">
        <v>1663</v>
      </c>
      <c r="K1853" s="32" t="n">
        <v>2</v>
      </c>
      <c r="L1853" s="33" t="n">
        <v>45982</v>
      </c>
      <c r="M1853" s="33" t="n">
        <v>45983</v>
      </c>
      <c r="N1853" s="16" t="s">
        <v>6467</v>
      </c>
      <c r="O1853" s="16"/>
      <c r="P1853" s="16" t="str">
        <f aca="false">IF(AND(L1853&lt;=$D$2,M1853&gt;=$C$2),"Sí","")</f>
        <v/>
      </c>
      <c r="Q1853" s="18" t="str">
        <f aca="false">IF(COUNTIF(LOOKAHEAD!$A$5:$A$604,A1853)&gt;0,"En Lookahead",IF(P1853="Sí","INCORPORAR",""))</f>
        <v/>
      </c>
    </row>
    <row r="1854" customFormat="false" ht="15" hidden="false" customHeight="false" outlineLevel="0" collapsed="false">
      <c r="A1854" s="16" t="s">
        <v>6494</v>
      </c>
      <c r="B1854" s="16" t="n">
        <v>1849</v>
      </c>
      <c r="C1854" s="16" t="s">
        <v>6495</v>
      </c>
      <c r="D1854" s="16" t="n">
        <v>8</v>
      </c>
      <c r="E1854" s="39" t="s">
        <v>1677</v>
      </c>
      <c r="F1854" s="16" t="s">
        <v>1285</v>
      </c>
      <c r="G1854" s="16" t="s">
        <v>322</v>
      </c>
      <c r="H1854" s="16" t="s">
        <v>6393</v>
      </c>
      <c r="I1854" s="16" t="s">
        <v>125</v>
      </c>
      <c r="J1854" s="16" t="s">
        <v>1663</v>
      </c>
      <c r="K1854" s="32" t="n">
        <v>1</v>
      </c>
      <c r="L1854" s="33" t="n">
        <v>45988</v>
      </c>
      <c r="M1854" s="33" t="n">
        <v>45988</v>
      </c>
      <c r="N1854" s="16" t="s">
        <v>6496</v>
      </c>
      <c r="O1854" s="16"/>
      <c r="P1854" s="16" t="str">
        <f aca="false">IF(AND(L1854&lt;=$D$2,M1854&gt;=$C$2),"Sí","")</f>
        <v/>
      </c>
      <c r="Q1854" s="18" t="str">
        <f aca="false">IF(COUNTIF(LOOKAHEAD!$A$5:$A$604,A1854)&gt;0,"En Lookahead",IF(P1854="Sí","INCORPORAR",""))</f>
        <v/>
      </c>
    </row>
    <row r="1855" customFormat="false" ht="15" hidden="false" customHeight="false" outlineLevel="0" collapsed="false">
      <c r="A1855" s="13" t="s">
        <v>6497</v>
      </c>
      <c r="B1855" s="13" t="n">
        <v>1850</v>
      </c>
      <c r="C1855" s="13" t="s">
        <v>6498</v>
      </c>
      <c r="D1855" s="13" t="n">
        <v>7</v>
      </c>
      <c r="E1855" s="38" t="s">
        <v>1681</v>
      </c>
      <c r="F1855" s="13" t="s">
        <v>1298</v>
      </c>
      <c r="G1855" s="13" t="s">
        <v>322</v>
      </c>
      <c r="H1855" s="13" t="s">
        <v>6393</v>
      </c>
      <c r="I1855" s="13" t="s">
        <v>125</v>
      </c>
      <c r="J1855" s="13" t="s">
        <v>1660</v>
      </c>
      <c r="K1855" s="30" t="n">
        <v>6</v>
      </c>
      <c r="L1855" s="31" t="n">
        <v>46003</v>
      </c>
      <c r="M1855" s="31" t="n">
        <v>46008</v>
      </c>
      <c r="N1855" s="13"/>
      <c r="O1855" s="13"/>
      <c r="P1855" s="13"/>
      <c r="Q1855" s="13"/>
    </row>
    <row r="1856" customFormat="false" ht="15" hidden="false" customHeight="false" outlineLevel="0" collapsed="false">
      <c r="A1856" s="16" t="s">
        <v>6499</v>
      </c>
      <c r="B1856" s="16" t="n">
        <v>1851</v>
      </c>
      <c r="C1856" s="16" t="s">
        <v>6500</v>
      </c>
      <c r="D1856" s="16" t="n">
        <v>8</v>
      </c>
      <c r="E1856" s="39" t="s">
        <v>1684</v>
      </c>
      <c r="F1856" s="16" t="s">
        <v>1285</v>
      </c>
      <c r="G1856" s="16" t="s">
        <v>322</v>
      </c>
      <c r="H1856" s="16" t="s">
        <v>6393</v>
      </c>
      <c r="I1856" s="16" t="s">
        <v>125</v>
      </c>
      <c r="J1856" s="16" t="s">
        <v>1681</v>
      </c>
      <c r="K1856" s="32" t="n">
        <v>1</v>
      </c>
      <c r="L1856" s="33" t="n">
        <v>46007</v>
      </c>
      <c r="M1856" s="33" t="n">
        <v>46007</v>
      </c>
      <c r="N1856" s="16" t="s">
        <v>6501</v>
      </c>
      <c r="O1856" s="16"/>
      <c r="P1856" s="16" t="str">
        <f aca="false">IF(AND(L1856&lt;=$D$2,M1856&gt;=$C$2),"Sí","")</f>
        <v/>
      </c>
      <c r="Q1856" s="18" t="str">
        <f aca="false">IF(COUNTIF(LOOKAHEAD!$A$5:$A$604,A1856)&gt;0,"En Lookahead",IF(P1856="Sí","INCORPORAR",""))</f>
        <v/>
      </c>
    </row>
    <row r="1857" customFormat="false" ht="15" hidden="false" customHeight="false" outlineLevel="0" collapsed="false">
      <c r="A1857" s="16" t="s">
        <v>6502</v>
      </c>
      <c r="B1857" s="16" t="n">
        <v>1852</v>
      </c>
      <c r="C1857" s="16" t="s">
        <v>6503</v>
      </c>
      <c r="D1857" s="16" t="n">
        <v>8</v>
      </c>
      <c r="E1857" s="39" t="s">
        <v>1688</v>
      </c>
      <c r="F1857" s="16" t="s">
        <v>1285</v>
      </c>
      <c r="G1857" s="16" t="s">
        <v>322</v>
      </c>
      <c r="H1857" s="16" t="s">
        <v>6393</v>
      </c>
      <c r="I1857" s="16" t="s">
        <v>125</v>
      </c>
      <c r="J1857" s="16" t="s">
        <v>1681</v>
      </c>
      <c r="K1857" s="32" t="n">
        <v>2</v>
      </c>
      <c r="L1857" s="33" t="n">
        <v>46005</v>
      </c>
      <c r="M1857" s="33" t="n">
        <v>46006</v>
      </c>
      <c r="N1857" s="16" t="s">
        <v>6504</v>
      </c>
      <c r="O1857" s="16"/>
      <c r="P1857" s="16" t="str">
        <f aca="false">IF(AND(L1857&lt;=$D$2,M1857&gt;=$C$2),"Sí","")</f>
        <v/>
      </c>
      <c r="Q1857" s="18" t="str">
        <f aca="false">IF(COUNTIF(LOOKAHEAD!$A$5:$A$604,A1857)&gt;0,"En Lookahead",IF(P1857="Sí","INCORPORAR",""))</f>
        <v/>
      </c>
    </row>
    <row r="1858" customFormat="false" ht="15" hidden="false" customHeight="false" outlineLevel="0" collapsed="false">
      <c r="A1858" s="16" t="s">
        <v>6505</v>
      </c>
      <c r="B1858" s="16" t="n">
        <v>1853</v>
      </c>
      <c r="C1858" s="16" t="s">
        <v>6506</v>
      </c>
      <c r="D1858" s="16" t="n">
        <v>8</v>
      </c>
      <c r="E1858" s="39" t="s">
        <v>1674</v>
      </c>
      <c r="F1858" s="16" t="s">
        <v>1285</v>
      </c>
      <c r="G1858" s="16" t="s">
        <v>322</v>
      </c>
      <c r="H1858" s="16" t="s">
        <v>6393</v>
      </c>
      <c r="I1858" s="16" t="s">
        <v>125</v>
      </c>
      <c r="J1858" s="16" t="s">
        <v>1681</v>
      </c>
      <c r="K1858" s="32" t="n">
        <v>2</v>
      </c>
      <c r="L1858" s="33" t="n">
        <v>46003</v>
      </c>
      <c r="M1858" s="33" t="n">
        <v>46004</v>
      </c>
      <c r="N1858" s="16" t="s">
        <v>6507</v>
      </c>
      <c r="O1858" s="16"/>
      <c r="P1858" s="16" t="str">
        <f aca="false">IF(AND(L1858&lt;=$D$2,M1858&gt;=$C$2),"Sí","")</f>
        <v/>
      </c>
      <c r="Q1858" s="18" t="str">
        <f aca="false">IF(COUNTIF(LOOKAHEAD!$A$5:$A$604,A1858)&gt;0,"En Lookahead",IF(P1858="Sí","INCORPORAR",""))</f>
        <v/>
      </c>
    </row>
    <row r="1859" customFormat="false" ht="15" hidden="false" customHeight="false" outlineLevel="0" collapsed="false">
      <c r="A1859" s="16" t="s">
        <v>6508</v>
      </c>
      <c r="B1859" s="16" t="n">
        <v>1854</v>
      </c>
      <c r="C1859" s="16" t="s">
        <v>6509</v>
      </c>
      <c r="D1859" s="16" t="n">
        <v>8</v>
      </c>
      <c r="E1859" s="39" t="s">
        <v>1677</v>
      </c>
      <c r="F1859" s="16" t="s">
        <v>1285</v>
      </c>
      <c r="G1859" s="16" t="s">
        <v>322</v>
      </c>
      <c r="H1859" s="16" t="s">
        <v>6393</v>
      </c>
      <c r="I1859" s="16" t="s">
        <v>125</v>
      </c>
      <c r="J1859" s="16" t="s">
        <v>1681</v>
      </c>
      <c r="K1859" s="32" t="n">
        <v>1</v>
      </c>
      <c r="L1859" s="33" t="n">
        <v>46008</v>
      </c>
      <c r="M1859" s="33" t="n">
        <v>46008</v>
      </c>
      <c r="N1859" s="16" t="s">
        <v>6510</v>
      </c>
      <c r="O1859" s="16"/>
      <c r="P1859" s="16" t="str">
        <f aca="false">IF(AND(L1859&lt;=$D$2,M1859&gt;=$C$2),"Sí","")</f>
        <v/>
      </c>
      <c r="Q1859" s="18" t="str">
        <f aca="false">IF(COUNTIF(LOOKAHEAD!$A$5:$A$604,A1859)&gt;0,"En Lookahead",IF(P1859="Sí","INCORPORAR",""))</f>
        <v/>
      </c>
    </row>
    <row r="1860" customFormat="false" ht="15" hidden="false" customHeight="false" outlineLevel="0" collapsed="false">
      <c r="A1860" s="13" t="s">
        <v>6511</v>
      </c>
      <c r="B1860" s="13" t="n">
        <v>1855</v>
      </c>
      <c r="C1860" s="13" t="s">
        <v>6512</v>
      </c>
      <c r="D1860" s="13" t="n">
        <v>6</v>
      </c>
      <c r="E1860" s="36" t="s">
        <v>1731</v>
      </c>
      <c r="F1860" s="13" t="s">
        <v>1298</v>
      </c>
      <c r="G1860" s="13" t="s">
        <v>322</v>
      </c>
      <c r="H1860" s="13" t="s">
        <v>6393</v>
      </c>
      <c r="I1860" s="13" t="s">
        <v>125</v>
      </c>
      <c r="J1860" s="13" t="s">
        <v>1623</v>
      </c>
      <c r="K1860" s="30" t="n">
        <v>14</v>
      </c>
      <c r="L1860" s="31" t="n">
        <v>45982</v>
      </c>
      <c r="M1860" s="31" t="n">
        <v>45995</v>
      </c>
      <c r="N1860" s="13"/>
      <c r="O1860" s="13"/>
      <c r="P1860" s="13"/>
      <c r="Q1860" s="13"/>
    </row>
    <row r="1861" customFormat="false" ht="15" hidden="false" customHeight="false" outlineLevel="0" collapsed="false">
      <c r="A1861" s="13" t="s">
        <v>6513</v>
      </c>
      <c r="B1861" s="13" t="n">
        <v>1856</v>
      </c>
      <c r="C1861" s="13" t="s">
        <v>6514</v>
      </c>
      <c r="D1861" s="13" t="n">
        <v>7</v>
      </c>
      <c r="E1861" s="38" t="s">
        <v>1734</v>
      </c>
      <c r="F1861" s="13" t="s">
        <v>1298</v>
      </c>
      <c r="G1861" s="13" t="s">
        <v>322</v>
      </c>
      <c r="H1861" s="13" t="s">
        <v>6393</v>
      </c>
      <c r="I1861" s="13" t="s">
        <v>125</v>
      </c>
      <c r="J1861" s="13" t="s">
        <v>1731</v>
      </c>
      <c r="K1861" s="30" t="n">
        <v>14</v>
      </c>
      <c r="L1861" s="31" t="n">
        <v>45982</v>
      </c>
      <c r="M1861" s="31" t="n">
        <v>45995</v>
      </c>
      <c r="N1861" s="13"/>
      <c r="O1861" s="13"/>
      <c r="P1861" s="13"/>
      <c r="Q1861" s="13"/>
    </row>
    <row r="1862" customFormat="false" ht="15" hidden="false" customHeight="false" outlineLevel="0" collapsed="false">
      <c r="A1862" s="16" t="s">
        <v>6515</v>
      </c>
      <c r="B1862" s="16" t="n">
        <v>1857</v>
      </c>
      <c r="C1862" s="16" t="s">
        <v>6516</v>
      </c>
      <c r="D1862" s="16" t="n">
        <v>8</v>
      </c>
      <c r="E1862" s="39" t="s">
        <v>4127</v>
      </c>
      <c r="F1862" s="16" t="s">
        <v>1285</v>
      </c>
      <c r="G1862" s="16" t="s">
        <v>322</v>
      </c>
      <c r="H1862" s="16" t="s">
        <v>6393</v>
      </c>
      <c r="I1862" s="16" t="s">
        <v>125</v>
      </c>
      <c r="J1862" s="16" t="s">
        <v>1734</v>
      </c>
      <c r="K1862" s="32" t="n">
        <v>1</v>
      </c>
      <c r="L1862" s="33" t="n">
        <v>45994</v>
      </c>
      <c r="M1862" s="33" t="n">
        <v>45994</v>
      </c>
      <c r="N1862" s="16" t="s">
        <v>6517</v>
      </c>
      <c r="O1862" s="16"/>
      <c r="P1862" s="16" t="str">
        <f aca="false">IF(AND(L1862&lt;=$D$2,M1862&gt;=$C$2),"Sí","")</f>
        <v/>
      </c>
      <c r="Q1862" s="18" t="str">
        <f aca="false">IF(COUNTIF(LOOKAHEAD!$A$5:$A$604,A1862)&gt;0,"En Lookahead",IF(P1862="Sí","INCORPORAR",""))</f>
        <v/>
      </c>
    </row>
    <row r="1863" customFormat="false" ht="15" hidden="false" customHeight="false" outlineLevel="0" collapsed="false">
      <c r="A1863" s="16" t="s">
        <v>6518</v>
      </c>
      <c r="B1863" s="16" t="n">
        <v>1858</v>
      </c>
      <c r="C1863" s="16" t="s">
        <v>6519</v>
      </c>
      <c r="D1863" s="16" t="n">
        <v>8</v>
      </c>
      <c r="E1863" s="39" t="s">
        <v>1741</v>
      </c>
      <c r="F1863" s="16" t="s">
        <v>1285</v>
      </c>
      <c r="G1863" s="16" t="s">
        <v>322</v>
      </c>
      <c r="H1863" s="16" t="s">
        <v>6393</v>
      </c>
      <c r="I1863" s="16" t="s">
        <v>125</v>
      </c>
      <c r="J1863" s="16" t="s">
        <v>1734</v>
      </c>
      <c r="K1863" s="32" t="n">
        <v>8</v>
      </c>
      <c r="L1863" s="33" t="n">
        <v>45986</v>
      </c>
      <c r="M1863" s="33" t="n">
        <v>45993</v>
      </c>
      <c r="N1863" s="16" t="s">
        <v>6520</v>
      </c>
      <c r="O1863" s="16"/>
      <c r="P1863" s="16" t="str">
        <f aca="false">IF(AND(L1863&lt;=$D$2,M1863&gt;=$C$2),"Sí","")</f>
        <v/>
      </c>
      <c r="Q1863" s="18" t="str">
        <f aca="false">IF(COUNTIF(LOOKAHEAD!$A$5:$A$604,A1863)&gt;0,"En Lookahead",IF(P1863="Sí","INCORPORAR",""))</f>
        <v/>
      </c>
    </row>
    <row r="1864" customFormat="false" ht="15" hidden="false" customHeight="false" outlineLevel="0" collapsed="false">
      <c r="A1864" s="16" t="s">
        <v>6521</v>
      </c>
      <c r="B1864" s="16" t="n">
        <v>1859</v>
      </c>
      <c r="C1864" s="16" t="s">
        <v>6522</v>
      </c>
      <c r="D1864" s="16" t="n">
        <v>8</v>
      </c>
      <c r="E1864" s="39" t="s">
        <v>1745</v>
      </c>
      <c r="F1864" s="16" t="s">
        <v>1285</v>
      </c>
      <c r="G1864" s="16" t="s">
        <v>322</v>
      </c>
      <c r="H1864" s="16" t="s">
        <v>6393</v>
      </c>
      <c r="I1864" s="16" t="s">
        <v>125</v>
      </c>
      <c r="J1864" s="16" t="s">
        <v>1734</v>
      </c>
      <c r="K1864" s="32" t="n">
        <v>4</v>
      </c>
      <c r="L1864" s="33" t="n">
        <v>45982</v>
      </c>
      <c r="M1864" s="33" t="n">
        <v>45985</v>
      </c>
      <c r="N1864" s="16" t="s">
        <v>6523</v>
      </c>
      <c r="O1864" s="16"/>
      <c r="P1864" s="16" t="str">
        <f aca="false">IF(AND(L1864&lt;=$D$2,M1864&gt;=$C$2),"Sí","")</f>
        <v/>
      </c>
      <c r="Q1864" s="18" t="str">
        <f aca="false">IF(COUNTIF(LOOKAHEAD!$A$5:$A$604,A1864)&gt;0,"En Lookahead",IF(P1864="Sí","INCORPORAR",""))</f>
        <v/>
      </c>
    </row>
    <row r="1865" customFormat="false" ht="15" hidden="false" customHeight="false" outlineLevel="0" collapsed="false">
      <c r="A1865" s="16" t="s">
        <v>6524</v>
      </c>
      <c r="B1865" s="16" t="n">
        <v>1860</v>
      </c>
      <c r="C1865" s="16" t="s">
        <v>6525</v>
      </c>
      <c r="D1865" s="16" t="n">
        <v>8</v>
      </c>
      <c r="E1865" s="39" t="s">
        <v>1677</v>
      </c>
      <c r="F1865" s="16" t="s">
        <v>1285</v>
      </c>
      <c r="G1865" s="16" t="s">
        <v>322</v>
      </c>
      <c r="H1865" s="16" t="s">
        <v>6393</v>
      </c>
      <c r="I1865" s="16" t="s">
        <v>125</v>
      </c>
      <c r="J1865" s="16" t="s">
        <v>1734</v>
      </c>
      <c r="K1865" s="32" t="n">
        <v>1</v>
      </c>
      <c r="L1865" s="33" t="n">
        <v>45995</v>
      </c>
      <c r="M1865" s="33" t="n">
        <v>45995</v>
      </c>
      <c r="N1865" s="16" t="s">
        <v>6526</v>
      </c>
      <c r="O1865" s="16"/>
      <c r="P1865" s="16" t="str">
        <f aca="false">IF(AND(L1865&lt;=$D$2,M1865&gt;=$C$2),"Sí","")</f>
        <v/>
      </c>
      <c r="Q1865" s="18" t="str">
        <f aca="false">IF(COUNTIF(LOOKAHEAD!$A$5:$A$604,A1865)&gt;0,"En Lookahead",IF(P1865="Sí","INCORPORAR",""))</f>
        <v/>
      </c>
    </row>
    <row r="1866" customFormat="false" ht="15" hidden="false" customHeight="false" outlineLevel="0" collapsed="false">
      <c r="A1866" s="13" t="s">
        <v>6527</v>
      </c>
      <c r="B1866" s="13" t="n">
        <v>1861</v>
      </c>
      <c r="C1866" s="13" t="s">
        <v>6528</v>
      </c>
      <c r="D1866" s="13" t="n">
        <v>7</v>
      </c>
      <c r="E1866" s="38" t="s">
        <v>1752</v>
      </c>
      <c r="F1866" s="13" t="s">
        <v>1298</v>
      </c>
      <c r="G1866" s="13" t="s">
        <v>322</v>
      </c>
      <c r="H1866" s="13" t="s">
        <v>6393</v>
      </c>
      <c r="I1866" s="13" t="s">
        <v>125</v>
      </c>
      <c r="J1866" s="13" t="s">
        <v>1731</v>
      </c>
      <c r="K1866" s="30" t="n">
        <v>11</v>
      </c>
      <c r="L1866" s="31" t="n">
        <v>45985</v>
      </c>
      <c r="M1866" s="31" t="n">
        <v>45995</v>
      </c>
      <c r="N1866" s="13"/>
      <c r="O1866" s="13"/>
      <c r="P1866" s="13"/>
      <c r="Q1866" s="13"/>
    </row>
    <row r="1867" customFormat="false" ht="15" hidden="false" customHeight="false" outlineLevel="0" collapsed="false">
      <c r="A1867" s="16" t="s">
        <v>6529</v>
      </c>
      <c r="B1867" s="16" t="n">
        <v>1862</v>
      </c>
      <c r="C1867" s="16" t="s">
        <v>6530</v>
      </c>
      <c r="D1867" s="16" t="n">
        <v>8</v>
      </c>
      <c r="E1867" s="39" t="s">
        <v>1755</v>
      </c>
      <c r="F1867" s="16" t="s">
        <v>1285</v>
      </c>
      <c r="G1867" s="16" t="s">
        <v>322</v>
      </c>
      <c r="H1867" s="16" t="s">
        <v>6393</v>
      </c>
      <c r="I1867" s="16" t="s">
        <v>125</v>
      </c>
      <c r="J1867" s="16" t="s">
        <v>1752</v>
      </c>
      <c r="K1867" s="32" t="n">
        <v>1</v>
      </c>
      <c r="L1867" s="33" t="n">
        <v>45994</v>
      </c>
      <c r="M1867" s="33" t="n">
        <v>45994</v>
      </c>
      <c r="N1867" s="16" t="s">
        <v>6531</v>
      </c>
      <c r="O1867" s="16"/>
      <c r="P1867" s="16" t="str">
        <f aca="false">IF(AND(L1867&lt;=$D$2,M1867&gt;=$C$2),"Sí","")</f>
        <v/>
      </c>
      <c r="Q1867" s="18" t="str">
        <f aca="false">IF(COUNTIF(LOOKAHEAD!$A$5:$A$604,A1867)&gt;0,"En Lookahead",IF(P1867="Sí","INCORPORAR",""))</f>
        <v/>
      </c>
    </row>
    <row r="1868" customFormat="false" ht="15" hidden="false" customHeight="false" outlineLevel="0" collapsed="false">
      <c r="A1868" s="16" t="s">
        <v>6532</v>
      </c>
      <c r="B1868" s="16" t="n">
        <v>1863</v>
      </c>
      <c r="C1868" s="16" t="s">
        <v>6533</v>
      </c>
      <c r="D1868" s="16" t="n">
        <v>8</v>
      </c>
      <c r="E1868" s="39" t="s">
        <v>1759</v>
      </c>
      <c r="F1868" s="16" t="s">
        <v>1285</v>
      </c>
      <c r="G1868" s="16" t="s">
        <v>322</v>
      </c>
      <c r="H1868" s="16" t="s">
        <v>6393</v>
      </c>
      <c r="I1868" s="16" t="s">
        <v>125</v>
      </c>
      <c r="J1868" s="16" t="s">
        <v>1752</v>
      </c>
      <c r="K1868" s="32" t="n">
        <v>5</v>
      </c>
      <c r="L1868" s="33" t="n">
        <v>45989</v>
      </c>
      <c r="M1868" s="33" t="n">
        <v>45993</v>
      </c>
      <c r="N1868" s="16" t="s">
        <v>6534</v>
      </c>
      <c r="O1868" s="16"/>
      <c r="P1868" s="16" t="str">
        <f aca="false">IF(AND(L1868&lt;=$D$2,M1868&gt;=$C$2),"Sí","")</f>
        <v/>
      </c>
      <c r="Q1868" s="18" t="str">
        <f aca="false">IF(COUNTIF(LOOKAHEAD!$A$5:$A$604,A1868)&gt;0,"En Lookahead",IF(P1868="Sí","INCORPORAR",""))</f>
        <v/>
      </c>
    </row>
    <row r="1869" customFormat="false" ht="15" hidden="false" customHeight="false" outlineLevel="0" collapsed="false">
      <c r="A1869" s="16" t="s">
        <v>6535</v>
      </c>
      <c r="B1869" s="16" t="n">
        <v>1864</v>
      </c>
      <c r="C1869" s="16" t="s">
        <v>6536</v>
      </c>
      <c r="D1869" s="16" t="n">
        <v>8</v>
      </c>
      <c r="E1869" s="39" t="s">
        <v>1745</v>
      </c>
      <c r="F1869" s="16" t="s">
        <v>1285</v>
      </c>
      <c r="G1869" s="16" t="s">
        <v>322</v>
      </c>
      <c r="H1869" s="16" t="s">
        <v>6393</v>
      </c>
      <c r="I1869" s="16" t="s">
        <v>125</v>
      </c>
      <c r="J1869" s="16" t="s">
        <v>1752</v>
      </c>
      <c r="K1869" s="32" t="n">
        <v>4</v>
      </c>
      <c r="L1869" s="33" t="n">
        <v>45985</v>
      </c>
      <c r="M1869" s="33" t="n">
        <v>45988</v>
      </c>
      <c r="N1869" s="16" t="s">
        <v>6537</v>
      </c>
      <c r="O1869" s="16"/>
      <c r="P1869" s="16" t="str">
        <f aca="false">IF(AND(L1869&lt;=$D$2,M1869&gt;=$C$2),"Sí","")</f>
        <v/>
      </c>
      <c r="Q1869" s="18" t="str">
        <f aca="false">IF(COUNTIF(LOOKAHEAD!$A$5:$A$604,A1869)&gt;0,"En Lookahead",IF(P1869="Sí","INCORPORAR",""))</f>
        <v/>
      </c>
    </row>
    <row r="1870" customFormat="false" ht="15" hidden="false" customHeight="false" outlineLevel="0" collapsed="false">
      <c r="A1870" s="16" t="s">
        <v>6538</v>
      </c>
      <c r="B1870" s="16" t="n">
        <v>1865</v>
      </c>
      <c r="C1870" s="16" t="s">
        <v>6539</v>
      </c>
      <c r="D1870" s="16" t="n">
        <v>8</v>
      </c>
      <c r="E1870" s="39" t="s">
        <v>1677</v>
      </c>
      <c r="F1870" s="16" t="s">
        <v>1285</v>
      </c>
      <c r="G1870" s="16" t="s">
        <v>322</v>
      </c>
      <c r="H1870" s="16" t="s">
        <v>6393</v>
      </c>
      <c r="I1870" s="16" t="s">
        <v>125</v>
      </c>
      <c r="J1870" s="16" t="s">
        <v>1752</v>
      </c>
      <c r="K1870" s="32" t="n">
        <v>1</v>
      </c>
      <c r="L1870" s="33" t="n">
        <v>45995</v>
      </c>
      <c r="M1870" s="33" t="n">
        <v>45995</v>
      </c>
      <c r="N1870" s="16" t="s">
        <v>6540</v>
      </c>
      <c r="O1870" s="16"/>
      <c r="P1870" s="16" t="str">
        <f aca="false">IF(AND(L1870&lt;=$D$2,M1870&gt;=$C$2),"Sí","")</f>
        <v/>
      </c>
      <c r="Q1870" s="18" t="str">
        <f aca="false">IF(COUNTIF(LOOKAHEAD!$A$5:$A$604,A1870)&gt;0,"En Lookahead",IF(P1870="Sí","INCORPORAR",""))</f>
        <v/>
      </c>
    </row>
    <row r="1871" customFormat="false" ht="15" hidden="false" customHeight="false" outlineLevel="0" collapsed="false">
      <c r="A1871" s="13" t="s">
        <v>6541</v>
      </c>
      <c r="B1871" s="13" t="n">
        <v>1866</v>
      </c>
      <c r="C1871" s="13" t="s">
        <v>6542</v>
      </c>
      <c r="D1871" s="13" t="n">
        <v>6</v>
      </c>
      <c r="E1871" s="36" t="s">
        <v>1786</v>
      </c>
      <c r="F1871" s="13" t="s">
        <v>1298</v>
      </c>
      <c r="G1871" s="13" t="s">
        <v>322</v>
      </c>
      <c r="H1871" s="13" t="s">
        <v>6393</v>
      </c>
      <c r="I1871" s="13" t="s">
        <v>125</v>
      </c>
      <c r="J1871" s="13" t="s">
        <v>1623</v>
      </c>
      <c r="K1871" s="30" t="n">
        <v>20</v>
      </c>
      <c r="L1871" s="31" t="n">
        <v>45995</v>
      </c>
      <c r="M1871" s="31" t="n">
        <v>46014</v>
      </c>
      <c r="N1871" s="13"/>
      <c r="O1871" s="13"/>
      <c r="P1871" s="13"/>
      <c r="Q1871" s="13"/>
    </row>
    <row r="1872" customFormat="false" ht="15" hidden="false" customHeight="false" outlineLevel="0" collapsed="false">
      <c r="A1872" s="13" t="s">
        <v>6543</v>
      </c>
      <c r="B1872" s="13" t="n">
        <v>1867</v>
      </c>
      <c r="C1872" s="13" t="s">
        <v>6544</v>
      </c>
      <c r="D1872" s="13" t="n">
        <v>7</v>
      </c>
      <c r="E1872" s="38" t="s">
        <v>1789</v>
      </c>
      <c r="F1872" s="13" t="s">
        <v>1298</v>
      </c>
      <c r="G1872" s="13" t="s">
        <v>322</v>
      </c>
      <c r="H1872" s="13" t="s">
        <v>6393</v>
      </c>
      <c r="I1872" s="13" t="s">
        <v>125</v>
      </c>
      <c r="J1872" s="13" t="s">
        <v>1786</v>
      </c>
      <c r="K1872" s="30" t="n">
        <v>7</v>
      </c>
      <c r="L1872" s="31" t="n">
        <v>45995</v>
      </c>
      <c r="M1872" s="31" t="n">
        <v>46001</v>
      </c>
      <c r="N1872" s="13"/>
      <c r="O1872" s="13"/>
      <c r="P1872" s="13"/>
      <c r="Q1872" s="13"/>
    </row>
    <row r="1873" customFormat="false" ht="15" hidden="false" customHeight="false" outlineLevel="0" collapsed="false">
      <c r="A1873" s="16" t="s">
        <v>6545</v>
      </c>
      <c r="B1873" s="16" t="n">
        <v>1868</v>
      </c>
      <c r="C1873" s="16" t="s">
        <v>6546</v>
      </c>
      <c r="D1873" s="16" t="n">
        <v>8</v>
      </c>
      <c r="E1873" s="39" t="s">
        <v>1792</v>
      </c>
      <c r="F1873" s="16" t="s">
        <v>1285</v>
      </c>
      <c r="G1873" s="16" t="s">
        <v>322</v>
      </c>
      <c r="H1873" s="16" t="s">
        <v>6393</v>
      </c>
      <c r="I1873" s="16" t="s">
        <v>125</v>
      </c>
      <c r="J1873" s="16" t="s">
        <v>1789</v>
      </c>
      <c r="K1873" s="32" t="n">
        <v>1</v>
      </c>
      <c r="L1873" s="33" t="n">
        <v>46000</v>
      </c>
      <c r="M1873" s="33" t="n">
        <v>46000</v>
      </c>
      <c r="N1873" s="16" t="s">
        <v>6547</v>
      </c>
      <c r="O1873" s="16"/>
      <c r="P1873" s="16" t="str">
        <f aca="false">IF(AND(L1873&lt;=$D$2,M1873&gt;=$C$2),"Sí","")</f>
        <v/>
      </c>
      <c r="Q1873" s="18" t="str">
        <f aca="false">IF(COUNTIF(LOOKAHEAD!$A$5:$A$604,A1873)&gt;0,"En Lookahead",IF(P1873="Sí","INCORPORAR",""))</f>
        <v/>
      </c>
    </row>
    <row r="1874" customFormat="false" ht="15" hidden="false" customHeight="false" outlineLevel="0" collapsed="false">
      <c r="A1874" s="16" t="s">
        <v>6548</v>
      </c>
      <c r="B1874" s="16" t="n">
        <v>1869</v>
      </c>
      <c r="C1874" s="16" t="s">
        <v>6549</v>
      </c>
      <c r="D1874" s="16" t="n">
        <v>8</v>
      </c>
      <c r="E1874" s="39" t="s">
        <v>1796</v>
      </c>
      <c r="F1874" s="16" t="s">
        <v>1285</v>
      </c>
      <c r="G1874" s="16" t="s">
        <v>322</v>
      </c>
      <c r="H1874" s="16" t="s">
        <v>6393</v>
      </c>
      <c r="I1874" s="16" t="s">
        <v>125</v>
      </c>
      <c r="J1874" s="16" t="s">
        <v>1789</v>
      </c>
      <c r="K1874" s="32" t="n">
        <v>2</v>
      </c>
      <c r="L1874" s="33" t="n">
        <v>45998</v>
      </c>
      <c r="M1874" s="33" t="n">
        <v>45999</v>
      </c>
      <c r="N1874" s="16" t="s">
        <v>6550</v>
      </c>
      <c r="O1874" s="16"/>
      <c r="P1874" s="16" t="str">
        <f aca="false">IF(AND(L1874&lt;=$D$2,M1874&gt;=$C$2),"Sí","")</f>
        <v/>
      </c>
      <c r="Q1874" s="18" t="str">
        <f aca="false">IF(COUNTIF(LOOKAHEAD!$A$5:$A$604,A1874)&gt;0,"En Lookahead",IF(P1874="Sí","INCORPORAR",""))</f>
        <v/>
      </c>
    </row>
    <row r="1875" customFormat="false" ht="15" hidden="false" customHeight="false" outlineLevel="0" collapsed="false">
      <c r="A1875" s="16" t="s">
        <v>6551</v>
      </c>
      <c r="B1875" s="16" t="n">
        <v>1870</v>
      </c>
      <c r="C1875" s="16" t="s">
        <v>6552</v>
      </c>
      <c r="D1875" s="16" t="n">
        <v>8</v>
      </c>
      <c r="E1875" s="39" t="s">
        <v>1800</v>
      </c>
      <c r="F1875" s="16" t="s">
        <v>1285</v>
      </c>
      <c r="G1875" s="16" t="s">
        <v>322</v>
      </c>
      <c r="H1875" s="16" t="s">
        <v>6393</v>
      </c>
      <c r="I1875" s="16" t="s">
        <v>125</v>
      </c>
      <c r="J1875" s="16" t="s">
        <v>1789</v>
      </c>
      <c r="K1875" s="32" t="n">
        <v>3</v>
      </c>
      <c r="L1875" s="33" t="n">
        <v>45995</v>
      </c>
      <c r="M1875" s="33" t="n">
        <v>45997</v>
      </c>
      <c r="N1875" s="16" t="s">
        <v>6553</v>
      </c>
      <c r="O1875" s="16"/>
      <c r="P1875" s="16" t="str">
        <f aca="false">IF(AND(L1875&lt;=$D$2,M1875&gt;=$C$2),"Sí","")</f>
        <v/>
      </c>
      <c r="Q1875" s="18" t="str">
        <f aca="false">IF(COUNTIF(LOOKAHEAD!$A$5:$A$604,A1875)&gt;0,"En Lookahead",IF(P1875="Sí","INCORPORAR",""))</f>
        <v/>
      </c>
    </row>
    <row r="1876" customFormat="false" ht="15" hidden="false" customHeight="false" outlineLevel="0" collapsed="false">
      <c r="A1876" s="16" t="s">
        <v>6554</v>
      </c>
      <c r="B1876" s="16" t="n">
        <v>1871</v>
      </c>
      <c r="C1876" s="16" t="s">
        <v>6555</v>
      </c>
      <c r="D1876" s="16" t="n">
        <v>8</v>
      </c>
      <c r="E1876" s="39" t="s">
        <v>1602</v>
      </c>
      <c r="F1876" s="16" t="s">
        <v>1285</v>
      </c>
      <c r="G1876" s="16" t="s">
        <v>322</v>
      </c>
      <c r="H1876" s="16" t="s">
        <v>6393</v>
      </c>
      <c r="I1876" s="16" t="s">
        <v>125</v>
      </c>
      <c r="J1876" s="16" t="s">
        <v>1789</v>
      </c>
      <c r="K1876" s="32" t="n">
        <v>1</v>
      </c>
      <c r="L1876" s="33" t="n">
        <v>46001</v>
      </c>
      <c r="M1876" s="33" t="n">
        <v>46001</v>
      </c>
      <c r="N1876" s="16" t="s">
        <v>6556</v>
      </c>
      <c r="O1876" s="16"/>
      <c r="P1876" s="16" t="str">
        <f aca="false">IF(AND(L1876&lt;=$D$2,M1876&gt;=$C$2),"Sí","")</f>
        <v/>
      </c>
      <c r="Q1876" s="18" t="str">
        <f aca="false">IF(COUNTIF(LOOKAHEAD!$A$5:$A$604,A1876)&gt;0,"En Lookahead",IF(P1876="Sí","INCORPORAR",""))</f>
        <v/>
      </c>
    </row>
    <row r="1877" customFormat="false" ht="15" hidden="false" customHeight="false" outlineLevel="0" collapsed="false">
      <c r="A1877" s="13" t="s">
        <v>6557</v>
      </c>
      <c r="B1877" s="13" t="n">
        <v>1872</v>
      </c>
      <c r="C1877" s="13" t="s">
        <v>6558</v>
      </c>
      <c r="D1877" s="13" t="n">
        <v>7</v>
      </c>
      <c r="E1877" s="38" t="s">
        <v>1806</v>
      </c>
      <c r="F1877" s="13" t="s">
        <v>1298</v>
      </c>
      <c r="G1877" s="13" t="s">
        <v>322</v>
      </c>
      <c r="H1877" s="13" t="s">
        <v>6393</v>
      </c>
      <c r="I1877" s="13" t="s">
        <v>125</v>
      </c>
      <c r="J1877" s="13" t="s">
        <v>1786</v>
      </c>
      <c r="K1877" s="30" t="n">
        <v>7</v>
      </c>
      <c r="L1877" s="31" t="n">
        <v>46008</v>
      </c>
      <c r="M1877" s="31" t="n">
        <v>46014</v>
      </c>
      <c r="N1877" s="13"/>
      <c r="O1877" s="13"/>
      <c r="P1877" s="13"/>
      <c r="Q1877" s="13"/>
    </row>
    <row r="1878" customFormat="false" ht="15" hidden="false" customHeight="false" outlineLevel="0" collapsed="false">
      <c r="A1878" s="16" t="s">
        <v>6559</v>
      </c>
      <c r="B1878" s="16" t="n">
        <v>1873</v>
      </c>
      <c r="C1878" s="16" t="s">
        <v>6560</v>
      </c>
      <c r="D1878" s="16" t="n">
        <v>8</v>
      </c>
      <c r="E1878" s="39" t="s">
        <v>1809</v>
      </c>
      <c r="F1878" s="16" t="s">
        <v>1285</v>
      </c>
      <c r="G1878" s="16" t="s">
        <v>322</v>
      </c>
      <c r="H1878" s="16" t="s">
        <v>6393</v>
      </c>
      <c r="I1878" s="16" t="s">
        <v>125</v>
      </c>
      <c r="J1878" s="16" t="s">
        <v>1806</v>
      </c>
      <c r="K1878" s="32" t="n">
        <v>1</v>
      </c>
      <c r="L1878" s="33" t="n">
        <v>46013</v>
      </c>
      <c r="M1878" s="33" t="n">
        <v>46013</v>
      </c>
      <c r="N1878" s="16" t="s">
        <v>6561</v>
      </c>
      <c r="O1878" s="16"/>
      <c r="P1878" s="16" t="str">
        <f aca="false">IF(AND(L1878&lt;=$D$2,M1878&gt;=$C$2),"Sí","")</f>
        <v/>
      </c>
      <c r="Q1878" s="18" t="str">
        <f aca="false">IF(COUNTIF(LOOKAHEAD!$A$5:$A$604,A1878)&gt;0,"En Lookahead",IF(P1878="Sí","INCORPORAR",""))</f>
        <v/>
      </c>
    </row>
    <row r="1879" customFormat="false" ht="15" hidden="false" customHeight="false" outlineLevel="0" collapsed="false">
      <c r="A1879" s="16" t="s">
        <v>6562</v>
      </c>
      <c r="B1879" s="16" t="n">
        <v>1874</v>
      </c>
      <c r="C1879" s="16" t="s">
        <v>6563</v>
      </c>
      <c r="D1879" s="16" t="n">
        <v>8</v>
      </c>
      <c r="E1879" s="39" t="s">
        <v>1813</v>
      </c>
      <c r="F1879" s="16" t="s">
        <v>1285</v>
      </c>
      <c r="G1879" s="16" t="s">
        <v>322</v>
      </c>
      <c r="H1879" s="16" t="s">
        <v>6393</v>
      </c>
      <c r="I1879" s="16" t="s">
        <v>125</v>
      </c>
      <c r="J1879" s="16" t="s">
        <v>1806</v>
      </c>
      <c r="K1879" s="32" t="n">
        <v>2</v>
      </c>
      <c r="L1879" s="33" t="n">
        <v>46011</v>
      </c>
      <c r="M1879" s="33" t="n">
        <v>46012</v>
      </c>
      <c r="N1879" s="16" t="s">
        <v>6564</v>
      </c>
      <c r="O1879" s="16"/>
      <c r="P1879" s="16" t="str">
        <f aca="false">IF(AND(L1879&lt;=$D$2,M1879&gt;=$C$2),"Sí","")</f>
        <v/>
      </c>
      <c r="Q1879" s="18" t="str">
        <f aca="false">IF(COUNTIF(LOOKAHEAD!$A$5:$A$604,A1879)&gt;0,"En Lookahead",IF(P1879="Sí","INCORPORAR",""))</f>
        <v/>
      </c>
    </row>
    <row r="1880" customFormat="false" ht="15" hidden="false" customHeight="false" outlineLevel="0" collapsed="false">
      <c r="A1880" s="16" t="s">
        <v>6565</v>
      </c>
      <c r="B1880" s="16" t="n">
        <v>1875</v>
      </c>
      <c r="C1880" s="16" t="s">
        <v>6566</v>
      </c>
      <c r="D1880" s="16" t="n">
        <v>8</v>
      </c>
      <c r="E1880" s="39" t="s">
        <v>1800</v>
      </c>
      <c r="F1880" s="16" t="s">
        <v>1285</v>
      </c>
      <c r="G1880" s="16" t="s">
        <v>322</v>
      </c>
      <c r="H1880" s="16" t="s">
        <v>6393</v>
      </c>
      <c r="I1880" s="16" t="s">
        <v>125</v>
      </c>
      <c r="J1880" s="16" t="s">
        <v>1806</v>
      </c>
      <c r="K1880" s="32" t="n">
        <v>3</v>
      </c>
      <c r="L1880" s="33" t="n">
        <v>46008</v>
      </c>
      <c r="M1880" s="33" t="n">
        <v>46010</v>
      </c>
      <c r="N1880" s="16" t="s">
        <v>6567</v>
      </c>
      <c r="O1880" s="16"/>
      <c r="P1880" s="16" t="str">
        <f aca="false">IF(AND(L1880&lt;=$D$2,M1880&gt;=$C$2),"Sí","")</f>
        <v/>
      </c>
      <c r="Q1880" s="18" t="str">
        <f aca="false">IF(COUNTIF(LOOKAHEAD!$A$5:$A$604,A1880)&gt;0,"En Lookahead",IF(P1880="Sí","INCORPORAR",""))</f>
        <v/>
      </c>
    </row>
    <row r="1881" customFormat="false" ht="15" hidden="false" customHeight="false" outlineLevel="0" collapsed="false">
      <c r="A1881" s="16" t="s">
        <v>6568</v>
      </c>
      <c r="B1881" s="16" t="n">
        <v>1876</v>
      </c>
      <c r="C1881" s="16" t="s">
        <v>6569</v>
      </c>
      <c r="D1881" s="16" t="n">
        <v>8</v>
      </c>
      <c r="E1881" s="39" t="s">
        <v>1602</v>
      </c>
      <c r="F1881" s="16" t="s">
        <v>1285</v>
      </c>
      <c r="G1881" s="16" t="s">
        <v>322</v>
      </c>
      <c r="H1881" s="16" t="s">
        <v>6393</v>
      </c>
      <c r="I1881" s="16" t="s">
        <v>125</v>
      </c>
      <c r="J1881" s="16" t="s">
        <v>1806</v>
      </c>
      <c r="K1881" s="32" t="n">
        <v>1</v>
      </c>
      <c r="L1881" s="33" t="n">
        <v>46014</v>
      </c>
      <c r="M1881" s="33" t="n">
        <v>46014</v>
      </c>
      <c r="N1881" s="16" t="s">
        <v>6570</v>
      </c>
      <c r="O1881" s="16"/>
      <c r="P1881" s="16" t="str">
        <f aca="false">IF(AND(L1881&lt;=$D$2,M1881&gt;=$C$2),"Sí","")</f>
        <v/>
      </c>
      <c r="Q1881" s="18" t="str">
        <f aca="false">IF(COUNTIF(LOOKAHEAD!$A$5:$A$604,A1881)&gt;0,"En Lookahead",IF(P1881="Sí","INCORPORAR",""))</f>
        <v/>
      </c>
    </row>
    <row r="1882" customFormat="false" ht="15" hidden="false" customHeight="false" outlineLevel="0" collapsed="false">
      <c r="A1882" s="13" t="s">
        <v>6571</v>
      </c>
      <c r="B1882" s="13" t="n">
        <v>1877</v>
      </c>
      <c r="C1882" s="13" t="s">
        <v>6572</v>
      </c>
      <c r="D1882" s="13" t="n">
        <v>6</v>
      </c>
      <c r="E1882" s="36" t="s">
        <v>1853</v>
      </c>
      <c r="F1882" s="13" t="s">
        <v>1298</v>
      </c>
      <c r="G1882" s="13" t="s">
        <v>322</v>
      </c>
      <c r="H1882" s="13" t="s">
        <v>6393</v>
      </c>
      <c r="I1882" s="13" t="s">
        <v>125</v>
      </c>
      <c r="J1882" s="13" t="s">
        <v>1623</v>
      </c>
      <c r="K1882" s="30" t="n">
        <v>19</v>
      </c>
      <c r="L1882" s="31" t="n">
        <v>45998</v>
      </c>
      <c r="M1882" s="31" t="n">
        <v>46016</v>
      </c>
      <c r="N1882" s="13"/>
      <c r="O1882" s="13"/>
      <c r="P1882" s="13"/>
      <c r="Q1882" s="13"/>
    </row>
    <row r="1883" customFormat="false" ht="15" hidden="false" customHeight="false" outlineLevel="0" collapsed="false">
      <c r="A1883" s="13" t="s">
        <v>6573</v>
      </c>
      <c r="B1883" s="13" t="n">
        <v>1878</v>
      </c>
      <c r="C1883" s="13" t="s">
        <v>6574</v>
      </c>
      <c r="D1883" s="13" t="n">
        <v>7</v>
      </c>
      <c r="E1883" s="38" t="s">
        <v>1856</v>
      </c>
      <c r="F1883" s="13" t="s">
        <v>1298</v>
      </c>
      <c r="G1883" s="13" t="s">
        <v>322</v>
      </c>
      <c r="H1883" s="13" t="s">
        <v>6393</v>
      </c>
      <c r="I1883" s="13" t="s">
        <v>125</v>
      </c>
      <c r="J1883" s="13" t="s">
        <v>1853</v>
      </c>
      <c r="K1883" s="30" t="n">
        <v>6</v>
      </c>
      <c r="L1883" s="31" t="n">
        <v>45998</v>
      </c>
      <c r="M1883" s="31" t="n">
        <v>46003</v>
      </c>
      <c r="N1883" s="13"/>
      <c r="O1883" s="13"/>
      <c r="P1883" s="13"/>
      <c r="Q1883" s="13"/>
    </row>
    <row r="1884" customFormat="false" ht="15" hidden="false" customHeight="false" outlineLevel="0" collapsed="false">
      <c r="A1884" s="16" t="s">
        <v>6575</v>
      </c>
      <c r="B1884" s="16" t="n">
        <v>1879</v>
      </c>
      <c r="C1884" s="16" t="s">
        <v>6576</v>
      </c>
      <c r="D1884" s="16" t="n">
        <v>8</v>
      </c>
      <c r="E1884" s="39" t="s">
        <v>1859</v>
      </c>
      <c r="F1884" s="16" t="s">
        <v>1285</v>
      </c>
      <c r="G1884" s="16" t="s">
        <v>322</v>
      </c>
      <c r="H1884" s="16" t="s">
        <v>6393</v>
      </c>
      <c r="I1884" s="16" t="s">
        <v>125</v>
      </c>
      <c r="J1884" s="16" t="s">
        <v>1856</v>
      </c>
      <c r="K1884" s="32" t="n">
        <v>1</v>
      </c>
      <c r="L1884" s="33" t="n">
        <v>46002</v>
      </c>
      <c r="M1884" s="33" t="n">
        <v>46002</v>
      </c>
      <c r="N1884" s="16" t="s">
        <v>6577</v>
      </c>
      <c r="O1884" s="16"/>
      <c r="P1884" s="16" t="str">
        <f aca="false">IF(AND(L1884&lt;=$D$2,M1884&gt;=$C$2),"Sí","")</f>
        <v/>
      </c>
      <c r="Q1884" s="18" t="str">
        <f aca="false">IF(COUNTIF(LOOKAHEAD!$A$5:$A$604,A1884)&gt;0,"En Lookahead",IF(P1884="Sí","INCORPORAR",""))</f>
        <v/>
      </c>
    </row>
    <row r="1885" customFormat="false" ht="15" hidden="false" customHeight="false" outlineLevel="0" collapsed="false">
      <c r="A1885" s="16" t="s">
        <v>6578</v>
      </c>
      <c r="B1885" s="16" t="n">
        <v>1880</v>
      </c>
      <c r="C1885" s="16" t="s">
        <v>6579</v>
      </c>
      <c r="D1885" s="16" t="n">
        <v>8</v>
      </c>
      <c r="E1885" s="39" t="s">
        <v>1863</v>
      </c>
      <c r="F1885" s="16" t="s">
        <v>1285</v>
      </c>
      <c r="G1885" s="16" t="s">
        <v>322</v>
      </c>
      <c r="H1885" s="16" t="s">
        <v>6393</v>
      </c>
      <c r="I1885" s="16" t="s">
        <v>125</v>
      </c>
      <c r="J1885" s="16" t="s">
        <v>1856</v>
      </c>
      <c r="K1885" s="32" t="n">
        <v>2</v>
      </c>
      <c r="L1885" s="33" t="n">
        <v>45998</v>
      </c>
      <c r="M1885" s="33" t="n">
        <v>45999</v>
      </c>
      <c r="N1885" s="16" t="s">
        <v>6580</v>
      </c>
      <c r="O1885" s="16"/>
      <c r="P1885" s="16" t="str">
        <f aca="false">IF(AND(L1885&lt;=$D$2,M1885&gt;=$C$2),"Sí","")</f>
        <v/>
      </c>
      <c r="Q1885" s="18" t="str">
        <f aca="false">IF(COUNTIF(LOOKAHEAD!$A$5:$A$604,A1885)&gt;0,"En Lookahead",IF(P1885="Sí","INCORPORAR",""))</f>
        <v/>
      </c>
    </row>
    <row r="1886" customFormat="false" ht="15" hidden="false" customHeight="false" outlineLevel="0" collapsed="false">
      <c r="A1886" s="16" t="s">
        <v>6581</v>
      </c>
      <c r="B1886" s="16" t="n">
        <v>1881</v>
      </c>
      <c r="C1886" s="16" t="s">
        <v>6582</v>
      </c>
      <c r="D1886" s="16" t="n">
        <v>8</v>
      </c>
      <c r="E1886" s="39" t="s">
        <v>1867</v>
      </c>
      <c r="F1886" s="16" t="s">
        <v>1285</v>
      </c>
      <c r="G1886" s="16" t="s">
        <v>322</v>
      </c>
      <c r="H1886" s="16" t="s">
        <v>6393</v>
      </c>
      <c r="I1886" s="16" t="s">
        <v>125</v>
      </c>
      <c r="J1886" s="16" t="s">
        <v>1856</v>
      </c>
      <c r="K1886" s="32" t="n">
        <v>1</v>
      </c>
      <c r="L1886" s="33" t="n">
        <v>46001</v>
      </c>
      <c r="M1886" s="33" t="n">
        <v>46001</v>
      </c>
      <c r="N1886" s="16" t="s">
        <v>6583</v>
      </c>
      <c r="O1886" s="16"/>
      <c r="P1886" s="16" t="str">
        <f aca="false">IF(AND(L1886&lt;=$D$2,M1886&gt;=$C$2),"Sí","")</f>
        <v/>
      </c>
      <c r="Q1886" s="18" t="str">
        <f aca="false">IF(COUNTIF(LOOKAHEAD!$A$5:$A$604,A1886)&gt;0,"En Lookahead",IF(P1886="Sí","INCORPORAR",""))</f>
        <v/>
      </c>
    </row>
    <row r="1887" customFormat="false" ht="15" hidden="false" customHeight="false" outlineLevel="0" collapsed="false">
      <c r="A1887" s="16" t="s">
        <v>6584</v>
      </c>
      <c r="B1887" s="16" t="n">
        <v>1882</v>
      </c>
      <c r="C1887" s="16" t="s">
        <v>6585</v>
      </c>
      <c r="D1887" s="16" t="n">
        <v>8</v>
      </c>
      <c r="E1887" s="39" t="s">
        <v>1871</v>
      </c>
      <c r="F1887" s="16" t="s">
        <v>1285</v>
      </c>
      <c r="G1887" s="16" t="s">
        <v>322</v>
      </c>
      <c r="H1887" s="16" t="s">
        <v>6393</v>
      </c>
      <c r="I1887" s="16" t="s">
        <v>125</v>
      </c>
      <c r="J1887" s="16" t="s">
        <v>1856</v>
      </c>
      <c r="K1887" s="32" t="n">
        <v>1</v>
      </c>
      <c r="L1887" s="33" t="n">
        <v>46000</v>
      </c>
      <c r="M1887" s="33" t="n">
        <v>46000</v>
      </c>
      <c r="N1887" s="16" t="s">
        <v>6586</v>
      </c>
      <c r="O1887" s="16"/>
      <c r="P1887" s="16" t="str">
        <f aca="false">IF(AND(L1887&lt;=$D$2,M1887&gt;=$C$2),"Sí","")</f>
        <v/>
      </c>
      <c r="Q1887" s="18" t="str">
        <f aca="false">IF(COUNTIF(LOOKAHEAD!$A$5:$A$604,A1887)&gt;0,"En Lookahead",IF(P1887="Sí","INCORPORAR",""))</f>
        <v/>
      </c>
    </row>
    <row r="1888" customFormat="false" ht="15" hidden="false" customHeight="false" outlineLevel="0" collapsed="false">
      <c r="A1888" s="16" t="s">
        <v>6587</v>
      </c>
      <c r="B1888" s="16" t="n">
        <v>1883</v>
      </c>
      <c r="C1888" s="16" t="s">
        <v>6588</v>
      </c>
      <c r="D1888" s="16" t="n">
        <v>8</v>
      </c>
      <c r="E1888" s="39" t="s">
        <v>1602</v>
      </c>
      <c r="F1888" s="16" t="s">
        <v>1285</v>
      </c>
      <c r="G1888" s="16" t="s">
        <v>322</v>
      </c>
      <c r="H1888" s="16" t="s">
        <v>6393</v>
      </c>
      <c r="I1888" s="16" t="s">
        <v>125</v>
      </c>
      <c r="J1888" s="16" t="s">
        <v>1856</v>
      </c>
      <c r="K1888" s="32" t="n">
        <v>1</v>
      </c>
      <c r="L1888" s="33" t="n">
        <v>46003</v>
      </c>
      <c r="M1888" s="33" t="n">
        <v>46003</v>
      </c>
      <c r="N1888" s="16" t="s">
        <v>6589</v>
      </c>
      <c r="O1888" s="16"/>
      <c r="P1888" s="16" t="str">
        <f aca="false">IF(AND(L1888&lt;=$D$2,M1888&gt;=$C$2),"Sí","")</f>
        <v/>
      </c>
      <c r="Q1888" s="18" t="str">
        <f aca="false">IF(COUNTIF(LOOKAHEAD!$A$5:$A$604,A1888)&gt;0,"En Lookahead",IF(P1888="Sí","INCORPORAR",""))</f>
        <v/>
      </c>
    </row>
    <row r="1889" customFormat="false" ht="15" hidden="false" customHeight="false" outlineLevel="0" collapsed="false">
      <c r="A1889" s="13" t="s">
        <v>6590</v>
      </c>
      <c r="B1889" s="13" t="n">
        <v>1884</v>
      </c>
      <c r="C1889" s="13" t="s">
        <v>6591</v>
      </c>
      <c r="D1889" s="13" t="n">
        <v>7</v>
      </c>
      <c r="E1889" s="38" t="s">
        <v>1878</v>
      </c>
      <c r="F1889" s="13" t="s">
        <v>1298</v>
      </c>
      <c r="G1889" s="13" t="s">
        <v>322</v>
      </c>
      <c r="H1889" s="13" t="s">
        <v>6393</v>
      </c>
      <c r="I1889" s="13" t="s">
        <v>125</v>
      </c>
      <c r="J1889" s="13" t="s">
        <v>1853</v>
      </c>
      <c r="K1889" s="30" t="n">
        <v>6</v>
      </c>
      <c r="L1889" s="31" t="n">
        <v>46011</v>
      </c>
      <c r="M1889" s="31" t="n">
        <v>46016</v>
      </c>
      <c r="N1889" s="13"/>
      <c r="O1889" s="13"/>
      <c r="P1889" s="13"/>
      <c r="Q1889" s="13"/>
    </row>
    <row r="1890" customFormat="false" ht="15" hidden="false" customHeight="false" outlineLevel="0" collapsed="false">
      <c r="A1890" s="16" t="s">
        <v>6592</v>
      </c>
      <c r="B1890" s="16" t="n">
        <v>1885</v>
      </c>
      <c r="C1890" s="16" t="s">
        <v>6593</v>
      </c>
      <c r="D1890" s="16" t="n">
        <v>8</v>
      </c>
      <c r="E1890" s="39" t="s">
        <v>1881</v>
      </c>
      <c r="F1890" s="16" t="s">
        <v>1285</v>
      </c>
      <c r="G1890" s="16" t="s">
        <v>322</v>
      </c>
      <c r="H1890" s="16" t="s">
        <v>6393</v>
      </c>
      <c r="I1890" s="16" t="s">
        <v>125</v>
      </c>
      <c r="J1890" s="16" t="s">
        <v>1878</v>
      </c>
      <c r="K1890" s="32" t="n">
        <v>1</v>
      </c>
      <c r="L1890" s="33" t="n">
        <v>46015</v>
      </c>
      <c r="M1890" s="33" t="n">
        <v>46015</v>
      </c>
      <c r="N1890" s="16" t="s">
        <v>6594</v>
      </c>
      <c r="O1890" s="16"/>
      <c r="P1890" s="16" t="str">
        <f aca="false">IF(AND(L1890&lt;=$D$2,M1890&gt;=$C$2),"Sí","")</f>
        <v/>
      </c>
      <c r="Q1890" s="18" t="str">
        <f aca="false">IF(COUNTIF(LOOKAHEAD!$A$5:$A$604,A1890)&gt;0,"En Lookahead",IF(P1890="Sí","INCORPORAR",""))</f>
        <v/>
      </c>
    </row>
    <row r="1891" customFormat="false" ht="15" hidden="false" customHeight="false" outlineLevel="0" collapsed="false">
      <c r="A1891" s="16" t="s">
        <v>6595</v>
      </c>
      <c r="B1891" s="16" t="n">
        <v>1886</v>
      </c>
      <c r="C1891" s="16" t="s">
        <v>6596</v>
      </c>
      <c r="D1891" s="16" t="n">
        <v>8</v>
      </c>
      <c r="E1891" s="39" t="s">
        <v>1885</v>
      </c>
      <c r="F1891" s="16" t="s">
        <v>1285</v>
      </c>
      <c r="G1891" s="16" t="s">
        <v>322</v>
      </c>
      <c r="H1891" s="16" t="s">
        <v>6393</v>
      </c>
      <c r="I1891" s="16" t="s">
        <v>125</v>
      </c>
      <c r="J1891" s="16" t="s">
        <v>1878</v>
      </c>
      <c r="K1891" s="32" t="n">
        <v>2</v>
      </c>
      <c r="L1891" s="33" t="n">
        <v>46011</v>
      </c>
      <c r="M1891" s="33" t="n">
        <v>46012</v>
      </c>
      <c r="N1891" s="16" t="s">
        <v>6597</v>
      </c>
      <c r="O1891" s="16"/>
      <c r="P1891" s="16" t="str">
        <f aca="false">IF(AND(L1891&lt;=$D$2,M1891&gt;=$C$2),"Sí","")</f>
        <v/>
      </c>
      <c r="Q1891" s="18" t="str">
        <f aca="false">IF(COUNTIF(LOOKAHEAD!$A$5:$A$604,A1891)&gt;0,"En Lookahead",IF(P1891="Sí","INCORPORAR",""))</f>
        <v/>
      </c>
    </row>
    <row r="1892" customFormat="false" ht="15" hidden="false" customHeight="false" outlineLevel="0" collapsed="false">
      <c r="A1892" s="16" t="s">
        <v>6598</v>
      </c>
      <c r="B1892" s="16" t="n">
        <v>1887</v>
      </c>
      <c r="C1892" s="16" t="s">
        <v>6599</v>
      </c>
      <c r="D1892" s="16" t="n">
        <v>8</v>
      </c>
      <c r="E1892" s="39" t="s">
        <v>1867</v>
      </c>
      <c r="F1892" s="16" t="s">
        <v>1285</v>
      </c>
      <c r="G1892" s="16" t="s">
        <v>322</v>
      </c>
      <c r="H1892" s="16" t="s">
        <v>6393</v>
      </c>
      <c r="I1892" s="16" t="s">
        <v>125</v>
      </c>
      <c r="J1892" s="16" t="s">
        <v>1878</v>
      </c>
      <c r="K1892" s="32" t="n">
        <v>1</v>
      </c>
      <c r="L1892" s="33" t="n">
        <v>46014</v>
      </c>
      <c r="M1892" s="33" t="n">
        <v>46014</v>
      </c>
      <c r="N1892" s="16" t="s">
        <v>6600</v>
      </c>
      <c r="O1892" s="16"/>
      <c r="P1892" s="16" t="str">
        <f aca="false">IF(AND(L1892&lt;=$D$2,M1892&gt;=$C$2),"Sí","")</f>
        <v/>
      </c>
      <c r="Q1892" s="18" t="str">
        <f aca="false">IF(COUNTIF(LOOKAHEAD!$A$5:$A$604,A1892)&gt;0,"En Lookahead",IF(P1892="Sí","INCORPORAR",""))</f>
        <v/>
      </c>
    </row>
    <row r="1893" customFormat="false" ht="15" hidden="false" customHeight="false" outlineLevel="0" collapsed="false">
      <c r="A1893" s="16" t="s">
        <v>6601</v>
      </c>
      <c r="B1893" s="16" t="n">
        <v>1888</v>
      </c>
      <c r="C1893" s="16" t="s">
        <v>6602</v>
      </c>
      <c r="D1893" s="16" t="n">
        <v>8</v>
      </c>
      <c r="E1893" s="39" t="s">
        <v>1892</v>
      </c>
      <c r="F1893" s="16" t="s">
        <v>1285</v>
      </c>
      <c r="G1893" s="16" t="s">
        <v>322</v>
      </c>
      <c r="H1893" s="16" t="s">
        <v>6393</v>
      </c>
      <c r="I1893" s="16" t="s">
        <v>125</v>
      </c>
      <c r="J1893" s="16" t="s">
        <v>1878</v>
      </c>
      <c r="K1893" s="32" t="n">
        <v>1</v>
      </c>
      <c r="L1893" s="33" t="n">
        <v>46013</v>
      </c>
      <c r="M1893" s="33" t="n">
        <v>46013</v>
      </c>
      <c r="N1893" s="16" t="s">
        <v>6603</v>
      </c>
      <c r="O1893" s="16"/>
      <c r="P1893" s="16" t="str">
        <f aca="false">IF(AND(L1893&lt;=$D$2,M1893&gt;=$C$2),"Sí","")</f>
        <v/>
      </c>
      <c r="Q1893" s="18" t="str">
        <f aca="false">IF(COUNTIF(LOOKAHEAD!$A$5:$A$604,A1893)&gt;0,"En Lookahead",IF(P1893="Sí","INCORPORAR",""))</f>
        <v/>
      </c>
    </row>
    <row r="1894" customFormat="false" ht="15" hidden="false" customHeight="false" outlineLevel="0" collapsed="false">
      <c r="A1894" s="16" t="s">
        <v>6604</v>
      </c>
      <c r="B1894" s="16" t="n">
        <v>1889</v>
      </c>
      <c r="C1894" s="16" t="s">
        <v>6605</v>
      </c>
      <c r="D1894" s="16" t="n">
        <v>8</v>
      </c>
      <c r="E1894" s="39" t="s">
        <v>1602</v>
      </c>
      <c r="F1894" s="16" t="s">
        <v>1285</v>
      </c>
      <c r="G1894" s="16" t="s">
        <v>322</v>
      </c>
      <c r="H1894" s="16" t="s">
        <v>6393</v>
      </c>
      <c r="I1894" s="16" t="s">
        <v>125</v>
      </c>
      <c r="J1894" s="16" t="s">
        <v>1878</v>
      </c>
      <c r="K1894" s="32" t="n">
        <v>1</v>
      </c>
      <c r="L1894" s="33" t="n">
        <v>46016</v>
      </c>
      <c r="M1894" s="33" t="n">
        <v>46016</v>
      </c>
      <c r="N1894" s="16" t="s">
        <v>6606</v>
      </c>
      <c r="O1894" s="16"/>
      <c r="P1894" s="16" t="str">
        <f aca="false">IF(AND(L1894&lt;=$D$2,M1894&gt;=$C$2),"Sí","")</f>
        <v/>
      </c>
      <c r="Q1894" s="18" t="str">
        <f aca="false">IF(COUNTIF(LOOKAHEAD!$A$5:$A$604,A1894)&gt;0,"En Lookahead",IF(P1894="Sí","INCORPORAR",""))</f>
        <v/>
      </c>
    </row>
    <row r="1895" customFormat="false" ht="15" hidden="false" customHeight="false" outlineLevel="0" collapsed="false">
      <c r="A1895" s="13" t="s">
        <v>6607</v>
      </c>
      <c r="B1895" s="13" t="n">
        <v>1890</v>
      </c>
      <c r="C1895" s="13" t="s">
        <v>6608</v>
      </c>
      <c r="D1895" s="13" t="n">
        <v>6</v>
      </c>
      <c r="E1895" s="36" t="s">
        <v>1985</v>
      </c>
      <c r="F1895" s="13" t="s">
        <v>1298</v>
      </c>
      <c r="G1895" s="13" t="s">
        <v>322</v>
      </c>
      <c r="H1895" s="13" t="s">
        <v>6393</v>
      </c>
      <c r="I1895" s="13" t="s">
        <v>125</v>
      </c>
      <c r="J1895" s="13" t="s">
        <v>1623</v>
      </c>
      <c r="K1895" s="30" t="n">
        <v>4</v>
      </c>
      <c r="L1895" s="31" t="n">
        <v>46020</v>
      </c>
      <c r="M1895" s="31" t="n">
        <v>46023</v>
      </c>
      <c r="N1895" s="13"/>
      <c r="O1895" s="13"/>
      <c r="P1895" s="13"/>
      <c r="Q1895" s="13"/>
    </row>
    <row r="1896" customFormat="false" ht="15" hidden="false" customHeight="false" outlineLevel="0" collapsed="false">
      <c r="A1896" s="13" t="s">
        <v>6609</v>
      </c>
      <c r="B1896" s="13" t="n">
        <v>1891</v>
      </c>
      <c r="C1896" s="13" t="s">
        <v>6610</v>
      </c>
      <c r="D1896" s="13" t="n">
        <v>7</v>
      </c>
      <c r="E1896" s="38" t="s">
        <v>1988</v>
      </c>
      <c r="F1896" s="13" t="s">
        <v>1298</v>
      </c>
      <c r="G1896" s="13" t="s">
        <v>322</v>
      </c>
      <c r="H1896" s="13" t="s">
        <v>6393</v>
      </c>
      <c r="I1896" s="13" t="s">
        <v>125</v>
      </c>
      <c r="J1896" s="13" t="s">
        <v>1985</v>
      </c>
      <c r="K1896" s="30" t="n">
        <v>4</v>
      </c>
      <c r="L1896" s="31" t="n">
        <v>46020</v>
      </c>
      <c r="M1896" s="31" t="n">
        <v>46023</v>
      </c>
      <c r="N1896" s="13"/>
      <c r="O1896" s="13"/>
      <c r="P1896" s="13"/>
      <c r="Q1896" s="13"/>
    </row>
    <row r="1897" customFormat="false" ht="15" hidden="false" customHeight="false" outlineLevel="0" collapsed="false">
      <c r="A1897" s="16" t="s">
        <v>6611</v>
      </c>
      <c r="B1897" s="16" t="n">
        <v>1892</v>
      </c>
      <c r="C1897" s="16" t="s">
        <v>6612</v>
      </c>
      <c r="D1897" s="16" t="n">
        <v>8</v>
      </c>
      <c r="E1897" s="39" t="s">
        <v>1991</v>
      </c>
      <c r="F1897" s="16" t="s">
        <v>1285</v>
      </c>
      <c r="G1897" s="16" t="s">
        <v>322</v>
      </c>
      <c r="H1897" s="16" t="s">
        <v>6393</v>
      </c>
      <c r="I1897" s="16" t="s">
        <v>125</v>
      </c>
      <c r="J1897" s="16" t="s">
        <v>1988</v>
      </c>
      <c r="K1897" s="32" t="n">
        <v>1</v>
      </c>
      <c r="L1897" s="33" t="n">
        <v>46022</v>
      </c>
      <c r="M1897" s="33" t="n">
        <v>46022</v>
      </c>
      <c r="N1897" s="16" t="s">
        <v>6613</v>
      </c>
      <c r="O1897" s="16"/>
      <c r="P1897" s="16" t="str">
        <f aca="false">IF(AND(L1897&lt;=$D$2,M1897&gt;=$C$2),"Sí","")</f>
        <v/>
      </c>
      <c r="Q1897" s="18" t="str">
        <f aca="false">IF(COUNTIF(LOOKAHEAD!$A$5:$A$604,A1897)&gt;0,"En Lookahead",IF(P1897="Sí","INCORPORAR",""))</f>
        <v/>
      </c>
    </row>
    <row r="1898" customFormat="false" ht="15" hidden="false" customHeight="false" outlineLevel="0" collapsed="false">
      <c r="A1898" s="16" t="s">
        <v>6614</v>
      </c>
      <c r="B1898" s="16" t="n">
        <v>1893</v>
      </c>
      <c r="C1898" s="16" t="s">
        <v>6615</v>
      </c>
      <c r="D1898" s="16" t="n">
        <v>8</v>
      </c>
      <c r="E1898" s="39" t="s">
        <v>1995</v>
      </c>
      <c r="F1898" s="16" t="s">
        <v>1285</v>
      </c>
      <c r="G1898" s="16" t="s">
        <v>322</v>
      </c>
      <c r="H1898" s="16" t="s">
        <v>6393</v>
      </c>
      <c r="I1898" s="16" t="s">
        <v>125</v>
      </c>
      <c r="J1898" s="16" t="s">
        <v>1988</v>
      </c>
      <c r="K1898" s="32" t="n">
        <v>1</v>
      </c>
      <c r="L1898" s="33" t="n">
        <v>46021</v>
      </c>
      <c r="M1898" s="33" t="n">
        <v>46021</v>
      </c>
      <c r="N1898" s="16" t="s">
        <v>6616</v>
      </c>
      <c r="O1898" s="16"/>
      <c r="P1898" s="16" t="str">
        <f aca="false">IF(AND(L1898&lt;=$D$2,M1898&gt;=$C$2),"Sí","")</f>
        <v/>
      </c>
      <c r="Q1898" s="18" t="str">
        <f aca="false">IF(COUNTIF(LOOKAHEAD!$A$5:$A$604,A1898)&gt;0,"En Lookahead",IF(P1898="Sí","INCORPORAR",""))</f>
        <v/>
      </c>
    </row>
    <row r="1899" customFormat="false" ht="15" hidden="false" customHeight="false" outlineLevel="0" collapsed="false">
      <c r="A1899" s="16" t="s">
        <v>6617</v>
      </c>
      <c r="B1899" s="16" t="n">
        <v>1894</v>
      </c>
      <c r="C1899" s="16" t="s">
        <v>6618</v>
      </c>
      <c r="D1899" s="16" t="n">
        <v>8</v>
      </c>
      <c r="E1899" s="39" t="s">
        <v>1999</v>
      </c>
      <c r="F1899" s="16" t="s">
        <v>1285</v>
      </c>
      <c r="G1899" s="16" t="s">
        <v>322</v>
      </c>
      <c r="H1899" s="16" t="s">
        <v>6393</v>
      </c>
      <c r="I1899" s="16" t="s">
        <v>125</v>
      </c>
      <c r="J1899" s="16" t="s">
        <v>1988</v>
      </c>
      <c r="K1899" s="32" t="n">
        <v>1</v>
      </c>
      <c r="L1899" s="33" t="n">
        <v>46020</v>
      </c>
      <c r="M1899" s="33" t="n">
        <v>46020</v>
      </c>
      <c r="N1899" s="16" t="s">
        <v>6619</v>
      </c>
      <c r="O1899" s="16"/>
      <c r="P1899" s="16" t="str">
        <f aca="false">IF(AND(L1899&lt;=$D$2,M1899&gt;=$C$2),"Sí","")</f>
        <v/>
      </c>
      <c r="Q1899" s="18" t="str">
        <f aca="false">IF(COUNTIF(LOOKAHEAD!$A$5:$A$604,A1899)&gt;0,"En Lookahead",IF(P1899="Sí","INCORPORAR",""))</f>
        <v/>
      </c>
    </row>
    <row r="1900" customFormat="false" ht="15" hidden="false" customHeight="false" outlineLevel="0" collapsed="false">
      <c r="A1900" s="16" t="s">
        <v>6620</v>
      </c>
      <c r="B1900" s="16" t="n">
        <v>1895</v>
      </c>
      <c r="C1900" s="16" t="s">
        <v>6621</v>
      </c>
      <c r="D1900" s="16" t="n">
        <v>8</v>
      </c>
      <c r="E1900" s="39" t="s">
        <v>1677</v>
      </c>
      <c r="F1900" s="16" t="s">
        <v>1285</v>
      </c>
      <c r="G1900" s="16" t="s">
        <v>322</v>
      </c>
      <c r="H1900" s="16" t="s">
        <v>6393</v>
      </c>
      <c r="I1900" s="16" t="s">
        <v>125</v>
      </c>
      <c r="J1900" s="16" t="s">
        <v>1988</v>
      </c>
      <c r="K1900" s="32" t="n">
        <v>1</v>
      </c>
      <c r="L1900" s="33" t="n">
        <v>46023</v>
      </c>
      <c r="M1900" s="33" t="n">
        <v>46023</v>
      </c>
      <c r="N1900" s="16" t="s">
        <v>6622</v>
      </c>
      <c r="O1900" s="16"/>
      <c r="P1900" s="16" t="str">
        <f aca="false">IF(AND(L1900&lt;=$D$2,M1900&gt;=$C$2),"Sí","")</f>
        <v/>
      </c>
      <c r="Q1900" s="18" t="str">
        <f aca="false">IF(COUNTIF(LOOKAHEAD!$A$5:$A$604,A1900)&gt;0,"En Lookahead",IF(P1900="Sí","INCORPORAR",""))</f>
        <v/>
      </c>
    </row>
    <row r="1901" customFormat="false" ht="15" hidden="false" customHeight="false" outlineLevel="0" collapsed="false">
      <c r="A1901" s="13" t="s">
        <v>6623</v>
      </c>
      <c r="B1901" s="13" t="n">
        <v>1896</v>
      </c>
      <c r="C1901" s="13" t="s">
        <v>6624</v>
      </c>
      <c r="D1901" s="13" t="n">
        <v>7</v>
      </c>
      <c r="E1901" s="38" t="s">
        <v>2006</v>
      </c>
      <c r="F1901" s="13" t="s">
        <v>1298</v>
      </c>
      <c r="G1901" s="13" t="s">
        <v>322</v>
      </c>
      <c r="H1901" s="13" t="s">
        <v>6393</v>
      </c>
      <c r="I1901" s="13" t="s">
        <v>125</v>
      </c>
      <c r="J1901" s="13" t="s">
        <v>1985</v>
      </c>
      <c r="K1901" s="30" t="n">
        <v>4</v>
      </c>
      <c r="L1901" s="31" t="n">
        <v>46020</v>
      </c>
      <c r="M1901" s="31" t="n">
        <v>46023</v>
      </c>
      <c r="N1901" s="13"/>
      <c r="O1901" s="13"/>
      <c r="P1901" s="13"/>
      <c r="Q1901" s="13"/>
    </row>
    <row r="1902" customFormat="false" ht="15" hidden="false" customHeight="false" outlineLevel="0" collapsed="false">
      <c r="A1902" s="16" t="s">
        <v>6625</v>
      </c>
      <c r="B1902" s="16" t="n">
        <v>1897</v>
      </c>
      <c r="C1902" s="16" t="s">
        <v>6626</v>
      </c>
      <c r="D1902" s="16" t="n">
        <v>8</v>
      </c>
      <c r="E1902" s="39" t="s">
        <v>2009</v>
      </c>
      <c r="F1902" s="16" t="s">
        <v>1285</v>
      </c>
      <c r="G1902" s="16" t="s">
        <v>322</v>
      </c>
      <c r="H1902" s="16" t="s">
        <v>6393</v>
      </c>
      <c r="I1902" s="16" t="s">
        <v>125</v>
      </c>
      <c r="J1902" s="16" t="s">
        <v>2006</v>
      </c>
      <c r="K1902" s="32" t="n">
        <v>1</v>
      </c>
      <c r="L1902" s="33" t="n">
        <v>46022</v>
      </c>
      <c r="M1902" s="33" t="n">
        <v>46022</v>
      </c>
      <c r="N1902" s="16" t="s">
        <v>6627</v>
      </c>
      <c r="O1902" s="16"/>
      <c r="P1902" s="16" t="str">
        <f aca="false">IF(AND(L1902&lt;=$D$2,M1902&gt;=$C$2),"Sí","")</f>
        <v/>
      </c>
      <c r="Q1902" s="18" t="str">
        <f aca="false">IF(COUNTIF(LOOKAHEAD!$A$5:$A$604,A1902)&gt;0,"En Lookahead",IF(P1902="Sí","INCORPORAR",""))</f>
        <v/>
      </c>
    </row>
    <row r="1903" customFormat="false" ht="15" hidden="false" customHeight="false" outlineLevel="0" collapsed="false">
      <c r="A1903" s="16" t="s">
        <v>6628</v>
      </c>
      <c r="B1903" s="16" t="n">
        <v>1898</v>
      </c>
      <c r="C1903" s="16" t="s">
        <v>6629</v>
      </c>
      <c r="D1903" s="16" t="n">
        <v>8</v>
      </c>
      <c r="E1903" s="39" t="s">
        <v>2013</v>
      </c>
      <c r="F1903" s="16" t="s">
        <v>1285</v>
      </c>
      <c r="G1903" s="16" t="s">
        <v>322</v>
      </c>
      <c r="H1903" s="16" t="s">
        <v>6393</v>
      </c>
      <c r="I1903" s="16" t="s">
        <v>125</v>
      </c>
      <c r="J1903" s="16" t="s">
        <v>2006</v>
      </c>
      <c r="K1903" s="32" t="n">
        <v>1</v>
      </c>
      <c r="L1903" s="33" t="n">
        <v>46021</v>
      </c>
      <c r="M1903" s="33" t="n">
        <v>46021</v>
      </c>
      <c r="N1903" s="16" t="s">
        <v>6630</v>
      </c>
      <c r="O1903" s="16"/>
      <c r="P1903" s="16" t="str">
        <f aca="false">IF(AND(L1903&lt;=$D$2,M1903&gt;=$C$2),"Sí","")</f>
        <v/>
      </c>
      <c r="Q1903" s="18" t="str">
        <f aca="false">IF(COUNTIF(LOOKAHEAD!$A$5:$A$604,A1903)&gt;0,"En Lookahead",IF(P1903="Sí","INCORPORAR",""))</f>
        <v/>
      </c>
    </row>
    <row r="1904" customFormat="false" ht="15" hidden="false" customHeight="false" outlineLevel="0" collapsed="false">
      <c r="A1904" s="16" t="s">
        <v>6631</v>
      </c>
      <c r="B1904" s="16" t="n">
        <v>1899</v>
      </c>
      <c r="C1904" s="16" t="s">
        <v>6632</v>
      </c>
      <c r="D1904" s="16" t="n">
        <v>8</v>
      </c>
      <c r="E1904" s="39" t="s">
        <v>1999</v>
      </c>
      <c r="F1904" s="16" t="s">
        <v>1285</v>
      </c>
      <c r="G1904" s="16" t="s">
        <v>322</v>
      </c>
      <c r="H1904" s="16" t="s">
        <v>6393</v>
      </c>
      <c r="I1904" s="16" t="s">
        <v>125</v>
      </c>
      <c r="J1904" s="16" t="s">
        <v>2006</v>
      </c>
      <c r="K1904" s="32" t="n">
        <v>1</v>
      </c>
      <c r="L1904" s="33" t="n">
        <v>46020</v>
      </c>
      <c r="M1904" s="33" t="n">
        <v>46020</v>
      </c>
      <c r="N1904" s="16" t="s">
        <v>6619</v>
      </c>
      <c r="O1904" s="16"/>
      <c r="P1904" s="16" t="str">
        <f aca="false">IF(AND(L1904&lt;=$D$2,M1904&gt;=$C$2),"Sí","")</f>
        <v/>
      </c>
      <c r="Q1904" s="18" t="str">
        <f aca="false">IF(COUNTIF(LOOKAHEAD!$A$5:$A$604,A1904)&gt;0,"En Lookahead",IF(P1904="Sí","INCORPORAR",""))</f>
        <v/>
      </c>
    </row>
    <row r="1905" customFormat="false" ht="15" hidden="false" customHeight="false" outlineLevel="0" collapsed="false">
      <c r="A1905" s="16" t="s">
        <v>6633</v>
      </c>
      <c r="B1905" s="16" t="n">
        <v>1900</v>
      </c>
      <c r="C1905" s="16" t="s">
        <v>6634</v>
      </c>
      <c r="D1905" s="16" t="n">
        <v>8</v>
      </c>
      <c r="E1905" s="39" t="s">
        <v>1677</v>
      </c>
      <c r="F1905" s="16" t="s">
        <v>1285</v>
      </c>
      <c r="G1905" s="16" t="s">
        <v>322</v>
      </c>
      <c r="H1905" s="16" t="s">
        <v>6393</v>
      </c>
      <c r="I1905" s="16" t="s">
        <v>125</v>
      </c>
      <c r="J1905" s="16" t="s">
        <v>2006</v>
      </c>
      <c r="K1905" s="32" t="n">
        <v>1</v>
      </c>
      <c r="L1905" s="33" t="n">
        <v>46023</v>
      </c>
      <c r="M1905" s="33" t="n">
        <v>46023</v>
      </c>
      <c r="N1905" s="16" t="s">
        <v>6635</v>
      </c>
      <c r="O1905" s="16"/>
      <c r="P1905" s="16" t="str">
        <f aca="false">IF(AND(L1905&lt;=$D$2,M1905&gt;=$C$2),"Sí","")</f>
        <v/>
      </c>
      <c r="Q1905" s="18" t="str">
        <f aca="false">IF(COUNTIF(LOOKAHEAD!$A$5:$A$604,A1905)&gt;0,"En Lookahead",IF(P1905="Sí","INCORPORAR",""))</f>
        <v/>
      </c>
    </row>
    <row r="1906" customFormat="false" ht="15" hidden="false" customHeight="false" outlineLevel="0" collapsed="false">
      <c r="A1906" s="13" t="s">
        <v>6636</v>
      </c>
      <c r="B1906" s="13" t="n">
        <v>1901</v>
      </c>
      <c r="C1906" s="13" t="s">
        <v>6637</v>
      </c>
      <c r="D1906" s="13" t="n">
        <v>7</v>
      </c>
      <c r="E1906" s="38" t="s">
        <v>2038</v>
      </c>
      <c r="F1906" s="13" t="s">
        <v>1298</v>
      </c>
      <c r="G1906" s="13" t="s">
        <v>322</v>
      </c>
      <c r="H1906" s="13" t="s">
        <v>6393</v>
      </c>
      <c r="I1906" s="13" t="s">
        <v>125</v>
      </c>
      <c r="J1906" s="13" t="s">
        <v>1985</v>
      </c>
      <c r="K1906" s="30" t="n">
        <v>4</v>
      </c>
      <c r="L1906" s="31" t="n">
        <v>46020</v>
      </c>
      <c r="M1906" s="31" t="n">
        <v>46023</v>
      </c>
      <c r="N1906" s="13"/>
      <c r="O1906" s="13"/>
      <c r="P1906" s="13"/>
      <c r="Q1906" s="13"/>
    </row>
    <row r="1907" customFormat="false" ht="15" hidden="false" customHeight="false" outlineLevel="0" collapsed="false">
      <c r="A1907" s="16" t="s">
        <v>6638</v>
      </c>
      <c r="B1907" s="16" t="n">
        <v>1902</v>
      </c>
      <c r="C1907" s="16" t="s">
        <v>6639</v>
      </c>
      <c r="D1907" s="16" t="n">
        <v>8</v>
      </c>
      <c r="E1907" s="39" t="s">
        <v>2025</v>
      </c>
      <c r="F1907" s="16" t="s">
        <v>1285</v>
      </c>
      <c r="G1907" s="16" t="s">
        <v>322</v>
      </c>
      <c r="H1907" s="16" t="s">
        <v>6393</v>
      </c>
      <c r="I1907" s="16" t="s">
        <v>125</v>
      </c>
      <c r="J1907" s="16" t="s">
        <v>2038</v>
      </c>
      <c r="K1907" s="32" t="n">
        <v>1</v>
      </c>
      <c r="L1907" s="33" t="n">
        <v>46022</v>
      </c>
      <c r="M1907" s="33" t="n">
        <v>46022</v>
      </c>
      <c r="N1907" s="16" t="s">
        <v>6640</v>
      </c>
      <c r="O1907" s="16"/>
      <c r="P1907" s="16" t="str">
        <f aca="false">IF(AND(L1907&lt;=$D$2,M1907&gt;=$C$2),"Sí","")</f>
        <v/>
      </c>
      <c r="Q1907" s="18" t="str">
        <f aca="false">IF(COUNTIF(LOOKAHEAD!$A$5:$A$604,A1907)&gt;0,"En Lookahead",IF(P1907="Sí","INCORPORAR",""))</f>
        <v/>
      </c>
    </row>
    <row r="1908" customFormat="false" ht="15" hidden="false" customHeight="false" outlineLevel="0" collapsed="false">
      <c r="A1908" s="16" t="s">
        <v>6641</v>
      </c>
      <c r="B1908" s="16" t="n">
        <v>1903</v>
      </c>
      <c r="C1908" s="16" t="s">
        <v>6642</v>
      </c>
      <c r="D1908" s="16" t="n">
        <v>8</v>
      </c>
      <c r="E1908" s="39" t="s">
        <v>2029</v>
      </c>
      <c r="F1908" s="16" t="s">
        <v>1285</v>
      </c>
      <c r="G1908" s="16" t="s">
        <v>322</v>
      </c>
      <c r="H1908" s="16" t="s">
        <v>6393</v>
      </c>
      <c r="I1908" s="16" t="s">
        <v>125</v>
      </c>
      <c r="J1908" s="16" t="s">
        <v>2038</v>
      </c>
      <c r="K1908" s="32" t="n">
        <v>1</v>
      </c>
      <c r="L1908" s="33" t="n">
        <v>46021</v>
      </c>
      <c r="M1908" s="33" t="n">
        <v>46021</v>
      </c>
      <c r="N1908" s="16" t="s">
        <v>6643</v>
      </c>
      <c r="O1908" s="16"/>
      <c r="P1908" s="16" t="str">
        <f aca="false">IF(AND(L1908&lt;=$D$2,M1908&gt;=$C$2),"Sí","")</f>
        <v/>
      </c>
      <c r="Q1908" s="18" t="str">
        <f aca="false">IF(COUNTIF(LOOKAHEAD!$A$5:$A$604,A1908)&gt;0,"En Lookahead",IF(P1908="Sí","INCORPORAR",""))</f>
        <v/>
      </c>
    </row>
    <row r="1909" customFormat="false" ht="15" hidden="false" customHeight="false" outlineLevel="0" collapsed="false">
      <c r="A1909" s="16" t="s">
        <v>6644</v>
      </c>
      <c r="B1909" s="16" t="n">
        <v>1904</v>
      </c>
      <c r="C1909" s="16" t="s">
        <v>6645</v>
      </c>
      <c r="D1909" s="16" t="n">
        <v>8</v>
      </c>
      <c r="E1909" s="39" t="s">
        <v>1999</v>
      </c>
      <c r="F1909" s="16" t="s">
        <v>1285</v>
      </c>
      <c r="G1909" s="16" t="s">
        <v>322</v>
      </c>
      <c r="H1909" s="16" t="s">
        <v>6393</v>
      </c>
      <c r="I1909" s="16" t="s">
        <v>125</v>
      </c>
      <c r="J1909" s="16" t="s">
        <v>2038</v>
      </c>
      <c r="K1909" s="32" t="n">
        <v>1</v>
      </c>
      <c r="L1909" s="33" t="n">
        <v>46020</v>
      </c>
      <c r="M1909" s="33" t="n">
        <v>46020</v>
      </c>
      <c r="N1909" s="16" t="s">
        <v>6619</v>
      </c>
      <c r="O1909" s="16"/>
      <c r="P1909" s="16" t="str">
        <f aca="false">IF(AND(L1909&lt;=$D$2,M1909&gt;=$C$2),"Sí","")</f>
        <v/>
      </c>
      <c r="Q1909" s="18" t="str">
        <f aca="false">IF(COUNTIF(LOOKAHEAD!$A$5:$A$604,A1909)&gt;0,"En Lookahead",IF(P1909="Sí","INCORPORAR",""))</f>
        <v/>
      </c>
    </row>
    <row r="1910" customFormat="false" ht="15" hidden="false" customHeight="false" outlineLevel="0" collapsed="false">
      <c r="A1910" s="16" t="s">
        <v>6646</v>
      </c>
      <c r="B1910" s="16" t="n">
        <v>1905</v>
      </c>
      <c r="C1910" s="16" t="s">
        <v>6647</v>
      </c>
      <c r="D1910" s="16" t="n">
        <v>8</v>
      </c>
      <c r="E1910" s="39" t="s">
        <v>1677</v>
      </c>
      <c r="F1910" s="16" t="s">
        <v>1285</v>
      </c>
      <c r="G1910" s="16" t="s">
        <v>322</v>
      </c>
      <c r="H1910" s="16" t="s">
        <v>6393</v>
      </c>
      <c r="I1910" s="16" t="s">
        <v>125</v>
      </c>
      <c r="J1910" s="16" t="s">
        <v>2038</v>
      </c>
      <c r="K1910" s="32" t="n">
        <v>1</v>
      </c>
      <c r="L1910" s="33" t="n">
        <v>46023</v>
      </c>
      <c r="M1910" s="33" t="n">
        <v>46023</v>
      </c>
      <c r="N1910" s="16" t="s">
        <v>6648</v>
      </c>
      <c r="O1910" s="16"/>
      <c r="P1910" s="16" t="str">
        <f aca="false">IF(AND(L1910&lt;=$D$2,M1910&gt;=$C$2),"Sí","")</f>
        <v/>
      </c>
      <c r="Q1910" s="18" t="str">
        <f aca="false">IF(COUNTIF(LOOKAHEAD!$A$5:$A$604,A1910)&gt;0,"En Lookahead",IF(P1910="Sí","INCORPORAR",""))</f>
        <v/>
      </c>
    </row>
    <row r="1911" customFormat="false" ht="15" hidden="false" customHeight="false" outlineLevel="0" collapsed="false">
      <c r="A1911" s="13" t="s">
        <v>6649</v>
      </c>
      <c r="B1911" s="13" t="n">
        <v>1906</v>
      </c>
      <c r="C1911" s="13" t="s">
        <v>6650</v>
      </c>
      <c r="D1911" s="13" t="n">
        <v>6</v>
      </c>
      <c r="E1911" s="36" t="s">
        <v>2054</v>
      </c>
      <c r="F1911" s="13" t="s">
        <v>1298</v>
      </c>
      <c r="G1911" s="13" t="s">
        <v>322</v>
      </c>
      <c r="H1911" s="13" t="s">
        <v>6393</v>
      </c>
      <c r="I1911" s="13" t="s">
        <v>125</v>
      </c>
      <c r="J1911" s="13" t="s">
        <v>1623</v>
      </c>
      <c r="K1911" s="30" t="n">
        <v>4</v>
      </c>
      <c r="L1911" s="31" t="n">
        <v>46020</v>
      </c>
      <c r="M1911" s="31" t="n">
        <v>46023</v>
      </c>
      <c r="N1911" s="13"/>
      <c r="O1911" s="13"/>
      <c r="P1911" s="13"/>
      <c r="Q1911" s="13"/>
    </row>
    <row r="1912" customFormat="false" ht="15" hidden="false" customHeight="false" outlineLevel="0" collapsed="false">
      <c r="A1912" s="13" t="s">
        <v>6651</v>
      </c>
      <c r="B1912" s="13" t="n">
        <v>1907</v>
      </c>
      <c r="C1912" s="13" t="s">
        <v>6652</v>
      </c>
      <c r="D1912" s="13" t="n">
        <v>7</v>
      </c>
      <c r="E1912" s="38" t="s">
        <v>2057</v>
      </c>
      <c r="F1912" s="13" t="s">
        <v>1298</v>
      </c>
      <c r="G1912" s="13" t="s">
        <v>322</v>
      </c>
      <c r="H1912" s="13" t="s">
        <v>6393</v>
      </c>
      <c r="I1912" s="13" t="s">
        <v>125</v>
      </c>
      <c r="J1912" s="13" t="s">
        <v>2054</v>
      </c>
      <c r="K1912" s="30" t="n">
        <v>4</v>
      </c>
      <c r="L1912" s="31" t="n">
        <v>46020</v>
      </c>
      <c r="M1912" s="31" t="n">
        <v>46023</v>
      </c>
      <c r="N1912" s="13"/>
      <c r="O1912" s="13"/>
      <c r="P1912" s="13"/>
      <c r="Q1912" s="13"/>
    </row>
    <row r="1913" customFormat="false" ht="15" hidden="false" customHeight="false" outlineLevel="0" collapsed="false">
      <c r="A1913" s="16" t="s">
        <v>6653</v>
      </c>
      <c r="B1913" s="16" t="n">
        <v>1908</v>
      </c>
      <c r="C1913" s="16" t="s">
        <v>6654</v>
      </c>
      <c r="D1913" s="16" t="n">
        <v>8</v>
      </c>
      <c r="E1913" s="39" t="s">
        <v>2060</v>
      </c>
      <c r="F1913" s="16" t="s">
        <v>1285</v>
      </c>
      <c r="G1913" s="16" t="s">
        <v>322</v>
      </c>
      <c r="H1913" s="16" t="s">
        <v>6393</v>
      </c>
      <c r="I1913" s="16" t="s">
        <v>125</v>
      </c>
      <c r="J1913" s="16" t="s">
        <v>2057</v>
      </c>
      <c r="K1913" s="32" t="n">
        <v>1</v>
      </c>
      <c r="L1913" s="33" t="n">
        <v>46022</v>
      </c>
      <c r="M1913" s="33" t="n">
        <v>46022</v>
      </c>
      <c r="N1913" s="16" t="s">
        <v>6655</v>
      </c>
      <c r="O1913" s="16"/>
      <c r="P1913" s="16" t="str">
        <f aca="false">IF(AND(L1913&lt;=$D$2,M1913&gt;=$C$2),"Sí","")</f>
        <v/>
      </c>
      <c r="Q1913" s="18" t="str">
        <f aca="false">IF(COUNTIF(LOOKAHEAD!$A$5:$A$604,A1913)&gt;0,"En Lookahead",IF(P1913="Sí","INCORPORAR",""))</f>
        <v/>
      </c>
    </row>
    <row r="1914" customFormat="false" ht="15" hidden="false" customHeight="false" outlineLevel="0" collapsed="false">
      <c r="A1914" s="16" t="s">
        <v>6656</v>
      </c>
      <c r="B1914" s="16" t="n">
        <v>1909</v>
      </c>
      <c r="C1914" s="16" t="s">
        <v>6657</v>
      </c>
      <c r="D1914" s="16" t="n">
        <v>8</v>
      </c>
      <c r="E1914" s="39" t="s">
        <v>1796</v>
      </c>
      <c r="F1914" s="16" t="s">
        <v>1285</v>
      </c>
      <c r="G1914" s="16" t="s">
        <v>322</v>
      </c>
      <c r="H1914" s="16" t="s">
        <v>6393</v>
      </c>
      <c r="I1914" s="16" t="s">
        <v>125</v>
      </c>
      <c r="J1914" s="16" t="s">
        <v>2057</v>
      </c>
      <c r="K1914" s="32" t="n">
        <v>1</v>
      </c>
      <c r="L1914" s="33" t="n">
        <v>46021</v>
      </c>
      <c r="M1914" s="33" t="n">
        <v>46021</v>
      </c>
      <c r="N1914" s="16" t="s">
        <v>6658</v>
      </c>
      <c r="O1914" s="16"/>
      <c r="P1914" s="16" t="str">
        <f aca="false">IF(AND(L1914&lt;=$D$2,M1914&gt;=$C$2),"Sí","")</f>
        <v/>
      </c>
      <c r="Q1914" s="18" t="str">
        <f aca="false">IF(COUNTIF(LOOKAHEAD!$A$5:$A$604,A1914)&gt;0,"En Lookahead",IF(P1914="Sí","INCORPORAR",""))</f>
        <v/>
      </c>
    </row>
    <row r="1915" customFormat="false" ht="15" hidden="false" customHeight="false" outlineLevel="0" collapsed="false">
      <c r="A1915" s="16" t="s">
        <v>6659</v>
      </c>
      <c r="B1915" s="16" t="n">
        <v>1910</v>
      </c>
      <c r="C1915" s="16" t="s">
        <v>6660</v>
      </c>
      <c r="D1915" s="16" t="n">
        <v>8</v>
      </c>
      <c r="E1915" s="39" t="s">
        <v>1800</v>
      </c>
      <c r="F1915" s="16" t="s">
        <v>1285</v>
      </c>
      <c r="G1915" s="16" t="s">
        <v>322</v>
      </c>
      <c r="H1915" s="16" t="s">
        <v>6393</v>
      </c>
      <c r="I1915" s="16" t="s">
        <v>125</v>
      </c>
      <c r="J1915" s="16" t="s">
        <v>2057</v>
      </c>
      <c r="K1915" s="32" t="n">
        <v>1</v>
      </c>
      <c r="L1915" s="33" t="n">
        <v>46020</v>
      </c>
      <c r="M1915" s="33" t="n">
        <v>46020</v>
      </c>
      <c r="N1915" s="16" t="s">
        <v>6661</v>
      </c>
      <c r="O1915" s="16"/>
      <c r="P1915" s="16" t="str">
        <f aca="false">IF(AND(L1915&lt;=$D$2,M1915&gt;=$C$2),"Sí","")</f>
        <v/>
      </c>
      <c r="Q1915" s="18" t="str">
        <f aca="false">IF(COUNTIF(LOOKAHEAD!$A$5:$A$604,A1915)&gt;0,"En Lookahead",IF(P1915="Sí","INCORPORAR",""))</f>
        <v/>
      </c>
    </row>
    <row r="1916" customFormat="false" ht="15" hidden="false" customHeight="false" outlineLevel="0" collapsed="false">
      <c r="A1916" s="16" t="s">
        <v>6662</v>
      </c>
      <c r="B1916" s="16" t="n">
        <v>1911</v>
      </c>
      <c r="C1916" s="16" t="s">
        <v>6663</v>
      </c>
      <c r="D1916" s="16" t="n">
        <v>8</v>
      </c>
      <c r="E1916" s="39" t="s">
        <v>1602</v>
      </c>
      <c r="F1916" s="16" t="s">
        <v>1285</v>
      </c>
      <c r="G1916" s="16" t="s">
        <v>322</v>
      </c>
      <c r="H1916" s="16" t="s">
        <v>6393</v>
      </c>
      <c r="I1916" s="16" t="s">
        <v>125</v>
      </c>
      <c r="J1916" s="16" t="s">
        <v>2057</v>
      </c>
      <c r="K1916" s="32" t="n">
        <v>1</v>
      </c>
      <c r="L1916" s="33" t="n">
        <v>46023</v>
      </c>
      <c r="M1916" s="33" t="n">
        <v>46023</v>
      </c>
      <c r="N1916" s="16" t="s">
        <v>6664</v>
      </c>
      <c r="O1916" s="16"/>
      <c r="P1916" s="16" t="str">
        <f aca="false">IF(AND(L1916&lt;=$D$2,M1916&gt;=$C$2),"Sí","")</f>
        <v/>
      </c>
      <c r="Q1916" s="18" t="str">
        <f aca="false">IF(COUNTIF(LOOKAHEAD!$A$5:$A$604,A1916)&gt;0,"En Lookahead",IF(P1916="Sí","INCORPORAR",""))</f>
        <v/>
      </c>
    </row>
    <row r="1917" customFormat="false" ht="15" hidden="false" customHeight="false" outlineLevel="0" collapsed="false">
      <c r="A1917" s="13" t="s">
        <v>6665</v>
      </c>
      <c r="B1917" s="13" t="n">
        <v>1912</v>
      </c>
      <c r="C1917" s="13" t="s">
        <v>6666</v>
      </c>
      <c r="D1917" s="13" t="n">
        <v>7</v>
      </c>
      <c r="E1917" s="38" t="s">
        <v>2073</v>
      </c>
      <c r="F1917" s="13" t="s">
        <v>1298</v>
      </c>
      <c r="G1917" s="13" t="s">
        <v>322</v>
      </c>
      <c r="H1917" s="13" t="s">
        <v>6393</v>
      </c>
      <c r="I1917" s="13" t="s">
        <v>125</v>
      </c>
      <c r="J1917" s="13" t="s">
        <v>2054</v>
      </c>
      <c r="K1917" s="30" t="n">
        <v>4</v>
      </c>
      <c r="L1917" s="31" t="n">
        <v>46020</v>
      </c>
      <c r="M1917" s="31" t="n">
        <v>46023</v>
      </c>
      <c r="N1917" s="13"/>
      <c r="O1917" s="13"/>
      <c r="P1917" s="13"/>
      <c r="Q1917" s="13"/>
    </row>
    <row r="1918" customFormat="false" ht="15" hidden="false" customHeight="false" outlineLevel="0" collapsed="false">
      <c r="A1918" s="16" t="s">
        <v>6667</v>
      </c>
      <c r="B1918" s="16" t="n">
        <v>1913</v>
      </c>
      <c r="C1918" s="16" t="s">
        <v>6668</v>
      </c>
      <c r="D1918" s="16" t="n">
        <v>8</v>
      </c>
      <c r="E1918" s="39" t="s">
        <v>2076</v>
      </c>
      <c r="F1918" s="16" t="s">
        <v>1285</v>
      </c>
      <c r="G1918" s="16" t="s">
        <v>322</v>
      </c>
      <c r="H1918" s="16" t="s">
        <v>6393</v>
      </c>
      <c r="I1918" s="16" t="s">
        <v>125</v>
      </c>
      <c r="J1918" s="16" t="s">
        <v>2073</v>
      </c>
      <c r="K1918" s="32" t="n">
        <v>1</v>
      </c>
      <c r="L1918" s="33" t="n">
        <v>46022</v>
      </c>
      <c r="M1918" s="33" t="n">
        <v>46022</v>
      </c>
      <c r="N1918" s="16" t="s">
        <v>6669</v>
      </c>
      <c r="O1918" s="16"/>
      <c r="P1918" s="16" t="str">
        <f aca="false">IF(AND(L1918&lt;=$D$2,M1918&gt;=$C$2),"Sí","")</f>
        <v/>
      </c>
      <c r="Q1918" s="18" t="str">
        <f aca="false">IF(COUNTIF(LOOKAHEAD!$A$5:$A$604,A1918)&gt;0,"En Lookahead",IF(P1918="Sí","INCORPORAR",""))</f>
        <v/>
      </c>
    </row>
    <row r="1919" customFormat="false" ht="15" hidden="false" customHeight="false" outlineLevel="0" collapsed="false">
      <c r="A1919" s="16" t="s">
        <v>6670</v>
      </c>
      <c r="B1919" s="16" t="n">
        <v>1914</v>
      </c>
      <c r="C1919" s="16" t="s">
        <v>6671</v>
      </c>
      <c r="D1919" s="16" t="n">
        <v>8</v>
      </c>
      <c r="E1919" s="39" t="s">
        <v>2080</v>
      </c>
      <c r="F1919" s="16" t="s">
        <v>1285</v>
      </c>
      <c r="G1919" s="16" t="s">
        <v>322</v>
      </c>
      <c r="H1919" s="16" t="s">
        <v>6393</v>
      </c>
      <c r="I1919" s="16" t="s">
        <v>125</v>
      </c>
      <c r="J1919" s="16" t="s">
        <v>2073</v>
      </c>
      <c r="K1919" s="32" t="n">
        <v>1</v>
      </c>
      <c r="L1919" s="33" t="n">
        <v>46021</v>
      </c>
      <c r="M1919" s="33" t="n">
        <v>46021</v>
      </c>
      <c r="N1919" s="16" t="s">
        <v>6672</v>
      </c>
      <c r="O1919" s="16"/>
      <c r="P1919" s="16" t="str">
        <f aca="false">IF(AND(L1919&lt;=$D$2,M1919&gt;=$C$2),"Sí","")</f>
        <v/>
      </c>
      <c r="Q1919" s="18" t="str">
        <f aca="false">IF(COUNTIF(LOOKAHEAD!$A$5:$A$604,A1919)&gt;0,"En Lookahead",IF(P1919="Sí","INCORPORAR",""))</f>
        <v/>
      </c>
    </row>
    <row r="1920" customFormat="false" ht="15" hidden="false" customHeight="false" outlineLevel="0" collapsed="false">
      <c r="A1920" s="16" t="s">
        <v>6673</v>
      </c>
      <c r="B1920" s="16" t="n">
        <v>1915</v>
      </c>
      <c r="C1920" s="16" t="s">
        <v>6674</v>
      </c>
      <c r="D1920" s="16" t="n">
        <v>8</v>
      </c>
      <c r="E1920" s="39" t="s">
        <v>1800</v>
      </c>
      <c r="F1920" s="16" t="s">
        <v>1285</v>
      </c>
      <c r="G1920" s="16" t="s">
        <v>322</v>
      </c>
      <c r="H1920" s="16" t="s">
        <v>6393</v>
      </c>
      <c r="I1920" s="16" t="s">
        <v>125</v>
      </c>
      <c r="J1920" s="16" t="s">
        <v>2073</v>
      </c>
      <c r="K1920" s="32" t="n">
        <v>1</v>
      </c>
      <c r="L1920" s="33" t="n">
        <v>46020</v>
      </c>
      <c r="M1920" s="33" t="n">
        <v>46020</v>
      </c>
      <c r="N1920" s="16" t="s">
        <v>6675</v>
      </c>
      <c r="O1920" s="16"/>
      <c r="P1920" s="16" t="str">
        <f aca="false">IF(AND(L1920&lt;=$D$2,M1920&gt;=$C$2),"Sí","")</f>
        <v/>
      </c>
      <c r="Q1920" s="18" t="str">
        <f aca="false">IF(COUNTIF(LOOKAHEAD!$A$5:$A$604,A1920)&gt;0,"En Lookahead",IF(P1920="Sí","INCORPORAR",""))</f>
        <v/>
      </c>
    </row>
    <row r="1921" customFormat="false" ht="15" hidden="false" customHeight="false" outlineLevel="0" collapsed="false">
      <c r="A1921" s="16" t="s">
        <v>6676</v>
      </c>
      <c r="B1921" s="16" t="n">
        <v>1916</v>
      </c>
      <c r="C1921" s="16" t="s">
        <v>6677</v>
      </c>
      <c r="D1921" s="16" t="n">
        <v>8</v>
      </c>
      <c r="E1921" s="39" t="s">
        <v>1602</v>
      </c>
      <c r="F1921" s="16" t="s">
        <v>1285</v>
      </c>
      <c r="G1921" s="16" t="s">
        <v>322</v>
      </c>
      <c r="H1921" s="16" t="s">
        <v>6393</v>
      </c>
      <c r="I1921" s="16" t="s">
        <v>125</v>
      </c>
      <c r="J1921" s="16" t="s">
        <v>2073</v>
      </c>
      <c r="K1921" s="32" t="n">
        <v>1</v>
      </c>
      <c r="L1921" s="33" t="n">
        <v>46023</v>
      </c>
      <c r="M1921" s="33" t="n">
        <v>46023</v>
      </c>
      <c r="N1921" s="16" t="s">
        <v>6678</v>
      </c>
      <c r="O1921" s="16"/>
      <c r="P1921" s="16" t="str">
        <f aca="false">IF(AND(L1921&lt;=$D$2,M1921&gt;=$C$2),"Sí","")</f>
        <v/>
      </c>
      <c r="Q1921" s="18" t="str">
        <f aca="false">IF(COUNTIF(LOOKAHEAD!$A$5:$A$604,A1921)&gt;0,"En Lookahead",IF(P1921="Sí","INCORPORAR",""))</f>
        <v/>
      </c>
    </row>
    <row r="1922" customFormat="false" ht="15" hidden="false" customHeight="false" outlineLevel="0" collapsed="false">
      <c r="A1922" s="13" t="s">
        <v>6679</v>
      </c>
      <c r="B1922" s="13" t="n">
        <v>1917</v>
      </c>
      <c r="C1922" s="13" t="s">
        <v>6680</v>
      </c>
      <c r="D1922" s="13" t="n">
        <v>7</v>
      </c>
      <c r="E1922" s="38" t="s">
        <v>2054</v>
      </c>
      <c r="F1922" s="13" t="s">
        <v>1298</v>
      </c>
      <c r="G1922" s="13" t="s">
        <v>322</v>
      </c>
      <c r="H1922" s="13" t="s">
        <v>6393</v>
      </c>
      <c r="I1922" s="13" t="s">
        <v>125</v>
      </c>
      <c r="J1922" s="13" t="s">
        <v>2054</v>
      </c>
      <c r="K1922" s="30" t="n">
        <v>4</v>
      </c>
      <c r="L1922" s="31" t="n">
        <v>46020</v>
      </c>
      <c r="M1922" s="31" t="n">
        <v>46023</v>
      </c>
      <c r="N1922" s="13"/>
      <c r="O1922" s="13"/>
      <c r="P1922" s="13"/>
      <c r="Q1922" s="13"/>
    </row>
    <row r="1923" customFormat="false" ht="15" hidden="false" customHeight="false" outlineLevel="0" collapsed="false">
      <c r="A1923" s="16" t="s">
        <v>6681</v>
      </c>
      <c r="B1923" s="16" t="n">
        <v>1918</v>
      </c>
      <c r="C1923" s="16" t="s">
        <v>6682</v>
      </c>
      <c r="D1923" s="16" t="n">
        <v>8</v>
      </c>
      <c r="E1923" s="39" t="s">
        <v>2092</v>
      </c>
      <c r="F1923" s="16" t="s">
        <v>1285</v>
      </c>
      <c r="G1923" s="16" t="s">
        <v>322</v>
      </c>
      <c r="H1923" s="16" t="s">
        <v>6393</v>
      </c>
      <c r="I1923" s="16" t="s">
        <v>125</v>
      </c>
      <c r="J1923" s="16" t="s">
        <v>2054</v>
      </c>
      <c r="K1923" s="32" t="n">
        <v>1</v>
      </c>
      <c r="L1923" s="33" t="n">
        <v>46022</v>
      </c>
      <c r="M1923" s="33" t="n">
        <v>46022</v>
      </c>
      <c r="N1923" s="16" t="s">
        <v>6683</v>
      </c>
      <c r="O1923" s="16"/>
      <c r="P1923" s="16" t="str">
        <f aca="false">IF(AND(L1923&lt;=$D$2,M1923&gt;=$C$2),"Sí","")</f>
        <v/>
      </c>
      <c r="Q1923" s="18" t="str">
        <f aca="false">IF(COUNTIF(LOOKAHEAD!$A$5:$A$604,A1923)&gt;0,"En Lookahead",IF(P1923="Sí","INCORPORAR",""))</f>
        <v/>
      </c>
    </row>
    <row r="1924" customFormat="false" ht="15" hidden="false" customHeight="false" outlineLevel="0" collapsed="false">
      <c r="A1924" s="16" t="s">
        <v>6684</v>
      </c>
      <c r="B1924" s="16" t="n">
        <v>1919</v>
      </c>
      <c r="C1924" s="16" t="s">
        <v>6685</v>
      </c>
      <c r="D1924" s="16" t="n">
        <v>8</v>
      </c>
      <c r="E1924" s="39" t="s">
        <v>2096</v>
      </c>
      <c r="F1924" s="16" t="s">
        <v>1285</v>
      </c>
      <c r="G1924" s="16" t="s">
        <v>322</v>
      </c>
      <c r="H1924" s="16" t="s">
        <v>6393</v>
      </c>
      <c r="I1924" s="16" t="s">
        <v>125</v>
      </c>
      <c r="J1924" s="16" t="s">
        <v>2054</v>
      </c>
      <c r="K1924" s="32" t="n">
        <v>1</v>
      </c>
      <c r="L1924" s="33" t="n">
        <v>46021</v>
      </c>
      <c r="M1924" s="33" t="n">
        <v>46021</v>
      </c>
      <c r="N1924" s="16" t="s">
        <v>6686</v>
      </c>
      <c r="O1924" s="16"/>
      <c r="P1924" s="16" t="str">
        <f aca="false">IF(AND(L1924&lt;=$D$2,M1924&gt;=$C$2),"Sí","")</f>
        <v/>
      </c>
      <c r="Q1924" s="18" t="str">
        <f aca="false">IF(COUNTIF(LOOKAHEAD!$A$5:$A$604,A1924)&gt;0,"En Lookahead",IF(P1924="Sí","INCORPORAR",""))</f>
        <v/>
      </c>
    </row>
    <row r="1925" customFormat="false" ht="15" hidden="false" customHeight="false" outlineLevel="0" collapsed="false">
      <c r="A1925" s="16" t="s">
        <v>6687</v>
      </c>
      <c r="B1925" s="16" t="n">
        <v>1920</v>
      </c>
      <c r="C1925" s="16" t="s">
        <v>6688</v>
      </c>
      <c r="D1925" s="16" t="n">
        <v>8</v>
      </c>
      <c r="E1925" s="39" t="s">
        <v>1800</v>
      </c>
      <c r="F1925" s="16" t="s">
        <v>1285</v>
      </c>
      <c r="G1925" s="16" t="s">
        <v>322</v>
      </c>
      <c r="H1925" s="16" t="s">
        <v>6393</v>
      </c>
      <c r="I1925" s="16" t="s">
        <v>125</v>
      </c>
      <c r="J1925" s="16" t="s">
        <v>2054</v>
      </c>
      <c r="K1925" s="32" t="n">
        <v>1</v>
      </c>
      <c r="L1925" s="33" t="n">
        <v>46020</v>
      </c>
      <c r="M1925" s="33" t="n">
        <v>46020</v>
      </c>
      <c r="N1925" s="16" t="s">
        <v>6689</v>
      </c>
      <c r="O1925" s="16"/>
      <c r="P1925" s="16" t="str">
        <f aca="false">IF(AND(L1925&lt;=$D$2,M1925&gt;=$C$2),"Sí","")</f>
        <v/>
      </c>
      <c r="Q1925" s="18" t="str">
        <f aca="false">IF(COUNTIF(LOOKAHEAD!$A$5:$A$604,A1925)&gt;0,"En Lookahead",IF(P1925="Sí","INCORPORAR",""))</f>
        <v/>
      </c>
    </row>
    <row r="1926" customFormat="false" ht="15" hidden="false" customHeight="false" outlineLevel="0" collapsed="false">
      <c r="A1926" s="16" t="s">
        <v>6690</v>
      </c>
      <c r="B1926" s="16" t="n">
        <v>1921</v>
      </c>
      <c r="C1926" s="16" t="s">
        <v>6691</v>
      </c>
      <c r="D1926" s="16" t="n">
        <v>8</v>
      </c>
      <c r="E1926" s="39" t="s">
        <v>1602</v>
      </c>
      <c r="F1926" s="16" t="s">
        <v>1285</v>
      </c>
      <c r="G1926" s="16" t="s">
        <v>322</v>
      </c>
      <c r="H1926" s="16" t="s">
        <v>6393</v>
      </c>
      <c r="I1926" s="16" t="s">
        <v>125</v>
      </c>
      <c r="J1926" s="16" t="s">
        <v>2054</v>
      </c>
      <c r="K1926" s="32" t="n">
        <v>1</v>
      </c>
      <c r="L1926" s="33" t="n">
        <v>46023</v>
      </c>
      <c r="M1926" s="33" t="n">
        <v>46023</v>
      </c>
      <c r="N1926" s="16" t="s">
        <v>6692</v>
      </c>
      <c r="O1926" s="16"/>
      <c r="P1926" s="16" t="str">
        <f aca="false">IF(AND(L1926&lt;=$D$2,M1926&gt;=$C$2),"Sí","")</f>
        <v/>
      </c>
      <c r="Q1926" s="18" t="str">
        <f aca="false">IF(COUNTIF(LOOKAHEAD!$A$5:$A$604,A1926)&gt;0,"En Lookahead",IF(P1926="Sí","INCORPORAR",""))</f>
        <v/>
      </c>
    </row>
    <row r="1927" customFormat="false" ht="15" hidden="false" customHeight="false" outlineLevel="0" collapsed="false">
      <c r="A1927" s="13" t="s">
        <v>6693</v>
      </c>
      <c r="B1927" s="13" t="n">
        <v>1922</v>
      </c>
      <c r="C1927" s="13" t="s">
        <v>6694</v>
      </c>
      <c r="D1927" s="13" t="n">
        <v>6</v>
      </c>
      <c r="E1927" s="36" t="s">
        <v>2120</v>
      </c>
      <c r="F1927" s="13" t="s">
        <v>1298</v>
      </c>
      <c r="G1927" s="13" t="s">
        <v>322</v>
      </c>
      <c r="H1927" s="13" t="s">
        <v>6393</v>
      </c>
      <c r="I1927" s="13" t="s">
        <v>125</v>
      </c>
      <c r="J1927" s="13" t="s">
        <v>1623</v>
      </c>
      <c r="K1927" s="30" t="n">
        <v>4</v>
      </c>
      <c r="L1927" s="31" t="n">
        <v>46016</v>
      </c>
      <c r="M1927" s="31" t="n">
        <v>46019</v>
      </c>
      <c r="N1927" s="13"/>
      <c r="O1927" s="13"/>
      <c r="P1927" s="13"/>
      <c r="Q1927" s="13"/>
    </row>
    <row r="1928" customFormat="false" ht="15" hidden="false" customHeight="false" outlineLevel="0" collapsed="false">
      <c r="A1928" s="16" t="s">
        <v>6695</v>
      </c>
      <c r="B1928" s="16" t="n">
        <v>1923</v>
      </c>
      <c r="C1928" s="16" t="s">
        <v>6696</v>
      </c>
      <c r="D1928" s="16" t="n">
        <v>7</v>
      </c>
      <c r="E1928" s="37" t="s">
        <v>2123</v>
      </c>
      <c r="F1928" s="16" t="s">
        <v>1285</v>
      </c>
      <c r="G1928" s="16" t="s">
        <v>322</v>
      </c>
      <c r="H1928" s="16" t="s">
        <v>6393</v>
      </c>
      <c r="I1928" s="16" t="s">
        <v>125</v>
      </c>
      <c r="J1928" s="16" t="s">
        <v>2120</v>
      </c>
      <c r="K1928" s="32" t="n">
        <v>1</v>
      </c>
      <c r="L1928" s="33" t="n">
        <v>46018</v>
      </c>
      <c r="M1928" s="33" t="n">
        <v>46018</v>
      </c>
      <c r="N1928" s="16" t="s">
        <v>6697</v>
      </c>
      <c r="O1928" s="16"/>
      <c r="P1928" s="16" t="str">
        <f aca="false">IF(AND(L1928&lt;=$D$2,M1928&gt;=$C$2),"Sí","")</f>
        <v/>
      </c>
      <c r="Q1928" s="18" t="str">
        <f aca="false">IF(COUNTIF(LOOKAHEAD!$A$5:$A$604,A1928)&gt;0,"En Lookahead",IF(P1928="Sí","INCORPORAR",""))</f>
        <v/>
      </c>
    </row>
    <row r="1929" customFormat="false" ht="15" hidden="false" customHeight="false" outlineLevel="0" collapsed="false">
      <c r="A1929" s="16" t="s">
        <v>6698</v>
      </c>
      <c r="B1929" s="16" t="n">
        <v>1924</v>
      </c>
      <c r="C1929" s="16" t="s">
        <v>6699</v>
      </c>
      <c r="D1929" s="16" t="n">
        <v>7</v>
      </c>
      <c r="E1929" s="37" t="s">
        <v>2127</v>
      </c>
      <c r="F1929" s="16" t="s">
        <v>1285</v>
      </c>
      <c r="G1929" s="16" t="s">
        <v>322</v>
      </c>
      <c r="H1929" s="16" t="s">
        <v>6393</v>
      </c>
      <c r="I1929" s="16" t="s">
        <v>125</v>
      </c>
      <c r="J1929" s="16" t="s">
        <v>2120</v>
      </c>
      <c r="K1929" s="32" t="n">
        <v>1</v>
      </c>
      <c r="L1929" s="33" t="n">
        <v>46017</v>
      </c>
      <c r="M1929" s="33" t="n">
        <v>46017</v>
      </c>
      <c r="N1929" s="16" t="s">
        <v>6700</v>
      </c>
      <c r="O1929" s="16"/>
      <c r="P1929" s="16" t="str">
        <f aca="false">IF(AND(L1929&lt;=$D$2,M1929&gt;=$C$2),"Sí","")</f>
        <v/>
      </c>
      <c r="Q1929" s="18" t="str">
        <f aca="false">IF(COUNTIF(LOOKAHEAD!$A$5:$A$604,A1929)&gt;0,"En Lookahead",IF(P1929="Sí","INCORPORAR",""))</f>
        <v/>
      </c>
    </row>
    <row r="1930" customFormat="false" ht="15" hidden="false" customHeight="false" outlineLevel="0" collapsed="false">
      <c r="A1930" s="16" t="s">
        <v>6701</v>
      </c>
      <c r="B1930" s="16" t="n">
        <v>1925</v>
      </c>
      <c r="C1930" s="16" t="s">
        <v>6702</v>
      </c>
      <c r="D1930" s="16" t="n">
        <v>7</v>
      </c>
      <c r="E1930" s="37" t="s">
        <v>2131</v>
      </c>
      <c r="F1930" s="16" t="s">
        <v>1285</v>
      </c>
      <c r="G1930" s="16" t="s">
        <v>322</v>
      </c>
      <c r="H1930" s="16" t="s">
        <v>6393</v>
      </c>
      <c r="I1930" s="16" t="s">
        <v>125</v>
      </c>
      <c r="J1930" s="16" t="s">
        <v>2120</v>
      </c>
      <c r="K1930" s="32" t="n">
        <v>1</v>
      </c>
      <c r="L1930" s="33" t="n">
        <v>46016</v>
      </c>
      <c r="M1930" s="33" t="n">
        <v>46016</v>
      </c>
      <c r="N1930" s="16" t="s">
        <v>6606</v>
      </c>
      <c r="O1930" s="16"/>
      <c r="P1930" s="16" t="str">
        <f aca="false">IF(AND(L1930&lt;=$D$2,M1930&gt;=$C$2),"Sí","")</f>
        <v/>
      </c>
      <c r="Q1930" s="18" t="str">
        <f aca="false">IF(COUNTIF(LOOKAHEAD!$A$5:$A$604,A1930)&gt;0,"En Lookahead",IF(P1930="Sí","INCORPORAR",""))</f>
        <v/>
      </c>
    </row>
    <row r="1931" customFormat="false" ht="15" hidden="false" customHeight="false" outlineLevel="0" collapsed="false">
      <c r="A1931" s="16" t="s">
        <v>6703</v>
      </c>
      <c r="B1931" s="16" t="n">
        <v>1926</v>
      </c>
      <c r="C1931" s="16" t="s">
        <v>6704</v>
      </c>
      <c r="D1931" s="16" t="n">
        <v>7</v>
      </c>
      <c r="E1931" s="37" t="s">
        <v>1602</v>
      </c>
      <c r="F1931" s="16" t="s">
        <v>1285</v>
      </c>
      <c r="G1931" s="16" t="s">
        <v>322</v>
      </c>
      <c r="H1931" s="16" t="s">
        <v>6393</v>
      </c>
      <c r="I1931" s="16" t="s">
        <v>125</v>
      </c>
      <c r="J1931" s="16" t="s">
        <v>2120</v>
      </c>
      <c r="K1931" s="32" t="n">
        <v>1</v>
      </c>
      <c r="L1931" s="33" t="n">
        <v>46019</v>
      </c>
      <c r="M1931" s="33" t="n">
        <v>46019</v>
      </c>
      <c r="N1931" s="16" t="s">
        <v>6705</v>
      </c>
      <c r="O1931" s="16"/>
      <c r="P1931" s="16" t="str">
        <f aca="false">IF(AND(L1931&lt;=$D$2,M1931&gt;=$C$2),"Sí","")</f>
        <v/>
      </c>
      <c r="Q1931" s="18" t="str">
        <f aca="false">IF(COUNTIF(LOOKAHEAD!$A$5:$A$604,A1931)&gt;0,"En Lookahead",IF(P1931="Sí","INCORPORAR",""))</f>
        <v/>
      </c>
    </row>
    <row r="1932" customFormat="false" ht="15" hidden="false" customHeight="false" outlineLevel="0" collapsed="false">
      <c r="A1932" s="13" t="s">
        <v>6706</v>
      </c>
      <c r="B1932" s="13" t="n">
        <v>1927</v>
      </c>
      <c r="C1932" s="13" t="s">
        <v>6707</v>
      </c>
      <c r="D1932" s="13" t="n">
        <v>5</v>
      </c>
      <c r="E1932" s="34" t="s">
        <v>2137</v>
      </c>
      <c r="F1932" s="13" t="s">
        <v>1298</v>
      </c>
      <c r="G1932" s="13" t="s">
        <v>322</v>
      </c>
      <c r="H1932" s="13" t="s">
        <v>6393</v>
      </c>
      <c r="I1932" s="13" t="s">
        <v>125</v>
      </c>
      <c r="J1932" s="13" t="s">
        <v>6393</v>
      </c>
      <c r="K1932" s="30" t="n">
        <v>2</v>
      </c>
      <c r="L1932" s="31" t="n">
        <v>46017</v>
      </c>
      <c r="M1932" s="31" t="n">
        <v>46018</v>
      </c>
      <c r="N1932" s="13"/>
      <c r="O1932" s="13"/>
      <c r="P1932" s="13"/>
      <c r="Q1932" s="13"/>
    </row>
    <row r="1933" customFormat="false" ht="15" hidden="false" customHeight="false" outlineLevel="0" collapsed="false">
      <c r="A1933" s="16" t="s">
        <v>6708</v>
      </c>
      <c r="B1933" s="16" t="n">
        <v>1928</v>
      </c>
      <c r="C1933" s="16" t="s">
        <v>6709</v>
      </c>
      <c r="D1933" s="16" t="n">
        <v>6</v>
      </c>
      <c r="E1933" s="35" t="s">
        <v>2140</v>
      </c>
      <c r="F1933" s="16" t="s">
        <v>1285</v>
      </c>
      <c r="G1933" s="16" t="s">
        <v>322</v>
      </c>
      <c r="H1933" s="16" t="s">
        <v>6393</v>
      </c>
      <c r="I1933" s="16" t="s">
        <v>125</v>
      </c>
      <c r="J1933" s="16" t="s">
        <v>2137</v>
      </c>
      <c r="K1933" s="32" t="n">
        <v>1</v>
      </c>
      <c r="L1933" s="33" t="n">
        <v>46017</v>
      </c>
      <c r="M1933" s="33" t="n">
        <v>46017</v>
      </c>
      <c r="N1933" s="16" t="s">
        <v>6710</v>
      </c>
      <c r="O1933" s="16"/>
      <c r="P1933" s="16" t="str">
        <f aca="false">IF(AND(L1933&lt;=$D$2,M1933&gt;=$C$2),"Sí","")</f>
        <v/>
      </c>
      <c r="Q1933" s="18" t="str">
        <f aca="false">IF(COUNTIF(LOOKAHEAD!$A$5:$A$604,A1933)&gt;0,"En Lookahead",IF(P1933="Sí","INCORPORAR",""))</f>
        <v/>
      </c>
    </row>
    <row r="1934" customFormat="false" ht="15" hidden="false" customHeight="false" outlineLevel="0" collapsed="false">
      <c r="A1934" s="16" t="s">
        <v>6711</v>
      </c>
      <c r="B1934" s="16" t="n">
        <v>1929</v>
      </c>
      <c r="C1934" s="16" t="s">
        <v>6712</v>
      </c>
      <c r="D1934" s="16" t="n">
        <v>6</v>
      </c>
      <c r="E1934" s="35" t="s">
        <v>2144</v>
      </c>
      <c r="F1934" s="16" t="s">
        <v>1285</v>
      </c>
      <c r="G1934" s="16" t="s">
        <v>322</v>
      </c>
      <c r="H1934" s="16" t="s">
        <v>6393</v>
      </c>
      <c r="I1934" s="16" t="s">
        <v>125</v>
      </c>
      <c r="J1934" s="16" t="s">
        <v>2137</v>
      </c>
      <c r="K1934" s="32" t="n">
        <v>1</v>
      </c>
      <c r="L1934" s="33" t="n">
        <v>46018</v>
      </c>
      <c r="M1934" s="33" t="n">
        <v>46018</v>
      </c>
      <c r="N1934" s="16" t="s">
        <v>6713</v>
      </c>
      <c r="O1934" s="16"/>
      <c r="P1934" s="16" t="str">
        <f aca="false">IF(AND(L1934&lt;=$D$2,M1934&gt;=$C$2),"Sí","")</f>
        <v/>
      </c>
      <c r="Q1934" s="18" t="str">
        <f aca="false">IF(COUNTIF(LOOKAHEAD!$A$5:$A$604,A1934)&gt;0,"En Lookahead",IF(P1934="Sí","INCORPORAR",""))</f>
        <v/>
      </c>
    </row>
    <row r="1935" customFormat="false" ht="15" hidden="false" customHeight="false" outlineLevel="0" collapsed="false">
      <c r="A1935" s="13" t="s">
        <v>6714</v>
      </c>
      <c r="B1935" s="13" t="n">
        <v>1930</v>
      </c>
      <c r="C1935" s="13" t="s">
        <v>6715</v>
      </c>
      <c r="D1935" s="13" t="n">
        <v>4</v>
      </c>
      <c r="E1935" s="20" t="s">
        <v>6716</v>
      </c>
      <c r="F1935" s="13" t="s">
        <v>1298</v>
      </c>
      <c r="G1935" s="13" t="s">
        <v>322</v>
      </c>
      <c r="H1935" s="13" t="s">
        <v>6716</v>
      </c>
      <c r="I1935" s="13" t="s">
        <v>129</v>
      </c>
      <c r="J1935" s="13" t="s">
        <v>1528</v>
      </c>
      <c r="K1935" s="30" t="n">
        <v>180</v>
      </c>
      <c r="L1935" s="31" t="n">
        <v>45918</v>
      </c>
      <c r="M1935" s="31" t="n">
        <v>46097</v>
      </c>
      <c r="N1935" s="13"/>
      <c r="O1935" s="13"/>
      <c r="P1935" s="13"/>
      <c r="Q1935" s="13"/>
    </row>
    <row r="1936" customFormat="false" ht="15" hidden="false" customHeight="false" outlineLevel="0" collapsed="false">
      <c r="A1936" s="13" t="s">
        <v>6717</v>
      </c>
      <c r="B1936" s="13" t="n">
        <v>1931</v>
      </c>
      <c r="C1936" s="13" t="s">
        <v>6718</v>
      </c>
      <c r="D1936" s="13" t="n">
        <v>5</v>
      </c>
      <c r="E1936" s="34" t="s">
        <v>1368</v>
      </c>
      <c r="F1936" s="13" t="s">
        <v>1298</v>
      </c>
      <c r="G1936" s="13" t="s">
        <v>322</v>
      </c>
      <c r="H1936" s="13" t="s">
        <v>6716</v>
      </c>
      <c r="I1936" s="13" t="s">
        <v>129</v>
      </c>
      <c r="J1936" s="13" t="s">
        <v>6716</v>
      </c>
      <c r="K1936" s="30" t="n">
        <v>25</v>
      </c>
      <c r="L1936" s="31" t="n">
        <v>45918</v>
      </c>
      <c r="M1936" s="31" t="n">
        <v>45942</v>
      </c>
      <c r="N1936" s="13"/>
      <c r="O1936" s="13"/>
      <c r="P1936" s="13"/>
      <c r="Q1936" s="13"/>
    </row>
    <row r="1937" customFormat="false" ht="15" hidden="false" customHeight="false" outlineLevel="0" collapsed="false">
      <c r="A1937" s="16" t="s">
        <v>6719</v>
      </c>
      <c r="B1937" s="16" t="n">
        <v>1932</v>
      </c>
      <c r="C1937" s="16" t="s">
        <v>6720</v>
      </c>
      <c r="D1937" s="16" t="n">
        <v>6</v>
      </c>
      <c r="E1937" s="35" t="s">
        <v>6721</v>
      </c>
      <c r="F1937" s="16" t="s">
        <v>1285</v>
      </c>
      <c r="G1937" s="16" t="s">
        <v>322</v>
      </c>
      <c r="H1937" s="16" t="s">
        <v>6716</v>
      </c>
      <c r="I1937" s="16" t="s">
        <v>129</v>
      </c>
      <c r="J1937" s="16" t="s">
        <v>1368</v>
      </c>
      <c r="K1937" s="32" t="n">
        <v>15</v>
      </c>
      <c r="L1937" s="33" t="n">
        <v>45918</v>
      </c>
      <c r="M1937" s="33" t="n">
        <v>45932</v>
      </c>
      <c r="N1937" s="16" t="s">
        <v>6722</v>
      </c>
      <c r="O1937" s="16"/>
      <c r="P1937" s="16" t="str">
        <f aca="false">IF(AND(L1937&lt;=$D$2,M1937&gt;=$C$2),"Sí","")</f>
        <v/>
      </c>
      <c r="Q1937" s="18" t="str">
        <f aca="false">IF(COUNTIF(LOOKAHEAD!$A$5:$A$604,A1937)&gt;0,"En Lookahead",IF(P1937="Sí","INCORPORAR",""))</f>
        <v/>
      </c>
    </row>
    <row r="1938" customFormat="false" ht="15" hidden="false" customHeight="false" outlineLevel="0" collapsed="false">
      <c r="A1938" s="16" t="s">
        <v>6723</v>
      </c>
      <c r="B1938" s="16" t="n">
        <v>1933</v>
      </c>
      <c r="C1938" s="16" t="s">
        <v>6724</v>
      </c>
      <c r="D1938" s="16" t="n">
        <v>6</v>
      </c>
      <c r="E1938" s="35" t="s">
        <v>6725</v>
      </c>
      <c r="F1938" s="16" t="s">
        <v>1285</v>
      </c>
      <c r="G1938" s="16" t="s">
        <v>322</v>
      </c>
      <c r="H1938" s="16" t="s">
        <v>6716</v>
      </c>
      <c r="I1938" s="16" t="s">
        <v>129</v>
      </c>
      <c r="J1938" s="16" t="s">
        <v>1368</v>
      </c>
      <c r="K1938" s="32" t="n">
        <v>10</v>
      </c>
      <c r="L1938" s="33" t="n">
        <v>45933</v>
      </c>
      <c r="M1938" s="33" t="n">
        <v>45942</v>
      </c>
      <c r="N1938" s="16" t="s">
        <v>6726</v>
      </c>
      <c r="O1938" s="16"/>
      <c r="P1938" s="16" t="str">
        <f aca="false">IF(AND(L1938&lt;=$D$2,M1938&gt;=$C$2),"Sí","")</f>
        <v/>
      </c>
      <c r="Q1938" s="18" t="str">
        <f aca="false">IF(COUNTIF(LOOKAHEAD!$A$5:$A$604,A1938)&gt;0,"En Lookahead",IF(P1938="Sí","INCORPORAR",""))</f>
        <v/>
      </c>
    </row>
    <row r="1939" customFormat="false" ht="15" hidden="false" customHeight="false" outlineLevel="0" collapsed="false">
      <c r="A1939" s="13" t="s">
        <v>6727</v>
      </c>
      <c r="B1939" s="13" t="n">
        <v>1934</v>
      </c>
      <c r="C1939" s="13" t="s">
        <v>6728</v>
      </c>
      <c r="D1939" s="13" t="n">
        <v>5</v>
      </c>
      <c r="E1939" s="34" t="s">
        <v>1534</v>
      </c>
      <c r="F1939" s="13" t="s">
        <v>1298</v>
      </c>
      <c r="G1939" s="13" t="s">
        <v>322</v>
      </c>
      <c r="H1939" s="13" t="s">
        <v>6716</v>
      </c>
      <c r="I1939" s="13" t="s">
        <v>129</v>
      </c>
      <c r="J1939" s="13" t="s">
        <v>6716</v>
      </c>
      <c r="K1939" s="30" t="n">
        <v>20</v>
      </c>
      <c r="L1939" s="31" t="n">
        <v>45943</v>
      </c>
      <c r="M1939" s="31" t="n">
        <v>45962</v>
      </c>
      <c r="N1939" s="13"/>
      <c r="O1939" s="13"/>
      <c r="P1939" s="13"/>
      <c r="Q1939" s="13"/>
    </row>
    <row r="1940" customFormat="false" ht="15" hidden="false" customHeight="false" outlineLevel="0" collapsed="false">
      <c r="A1940" s="16" t="s">
        <v>6729</v>
      </c>
      <c r="B1940" s="16" t="n">
        <v>1935</v>
      </c>
      <c r="C1940" s="16" t="s">
        <v>6730</v>
      </c>
      <c r="D1940" s="16" t="n">
        <v>6</v>
      </c>
      <c r="E1940" s="35" t="s">
        <v>1537</v>
      </c>
      <c r="F1940" s="16" t="s">
        <v>1285</v>
      </c>
      <c r="G1940" s="16" t="s">
        <v>322</v>
      </c>
      <c r="H1940" s="16" t="s">
        <v>6716</v>
      </c>
      <c r="I1940" s="16" t="s">
        <v>129</v>
      </c>
      <c r="J1940" s="16" t="s">
        <v>1534</v>
      </c>
      <c r="K1940" s="32" t="n">
        <v>2</v>
      </c>
      <c r="L1940" s="33" t="n">
        <v>45943</v>
      </c>
      <c r="M1940" s="33" t="n">
        <v>45944</v>
      </c>
      <c r="N1940" s="16" t="s">
        <v>6731</v>
      </c>
      <c r="O1940" s="16"/>
      <c r="P1940" s="16" t="str">
        <f aca="false">IF(AND(L1940&lt;=$D$2,M1940&gt;=$C$2),"Sí","")</f>
        <v/>
      </c>
      <c r="Q1940" s="18" t="str">
        <f aca="false">IF(COUNTIF(LOOKAHEAD!$A$5:$A$604,A1940)&gt;0,"En Lookahead",IF(P1940="Sí","INCORPORAR",""))</f>
        <v/>
      </c>
    </row>
    <row r="1941" customFormat="false" ht="15" hidden="false" customHeight="false" outlineLevel="0" collapsed="false">
      <c r="A1941" s="16" t="s">
        <v>6732</v>
      </c>
      <c r="B1941" s="16" t="n">
        <v>1936</v>
      </c>
      <c r="C1941" s="16" t="s">
        <v>6733</v>
      </c>
      <c r="D1941" s="16" t="n">
        <v>6</v>
      </c>
      <c r="E1941" s="35" t="s">
        <v>1553</v>
      </c>
      <c r="F1941" s="16" t="s">
        <v>1285</v>
      </c>
      <c r="G1941" s="16" t="s">
        <v>322</v>
      </c>
      <c r="H1941" s="16" t="s">
        <v>6716</v>
      </c>
      <c r="I1941" s="16" t="s">
        <v>129</v>
      </c>
      <c r="J1941" s="16" t="s">
        <v>1534</v>
      </c>
      <c r="K1941" s="32" t="n">
        <v>10</v>
      </c>
      <c r="L1941" s="33" t="n">
        <v>45945</v>
      </c>
      <c r="M1941" s="33" t="n">
        <v>45954</v>
      </c>
      <c r="N1941" s="16" t="s">
        <v>6734</v>
      </c>
      <c r="O1941" s="16"/>
      <c r="P1941" s="16" t="str">
        <f aca="false">IF(AND(L1941&lt;=$D$2,M1941&gt;=$C$2),"Sí","")</f>
        <v/>
      </c>
      <c r="Q1941" s="18" t="str">
        <f aca="false">IF(COUNTIF(LOOKAHEAD!$A$5:$A$604,A1941)&gt;0,"En Lookahead",IF(P1941="Sí","INCORPORAR",""))</f>
        <v/>
      </c>
    </row>
    <row r="1942" customFormat="false" ht="15" hidden="false" customHeight="false" outlineLevel="0" collapsed="false">
      <c r="A1942" s="16" t="s">
        <v>6735</v>
      </c>
      <c r="B1942" s="16" t="n">
        <v>1937</v>
      </c>
      <c r="C1942" s="16" t="s">
        <v>6736</v>
      </c>
      <c r="D1942" s="16" t="n">
        <v>6</v>
      </c>
      <c r="E1942" s="35" t="s">
        <v>1557</v>
      </c>
      <c r="F1942" s="16" t="s">
        <v>1285</v>
      </c>
      <c r="G1942" s="16" t="s">
        <v>322</v>
      </c>
      <c r="H1942" s="16" t="s">
        <v>6716</v>
      </c>
      <c r="I1942" s="16" t="s">
        <v>129</v>
      </c>
      <c r="J1942" s="16" t="s">
        <v>1534</v>
      </c>
      <c r="K1942" s="32" t="n">
        <v>5</v>
      </c>
      <c r="L1942" s="33" t="n">
        <v>45955</v>
      </c>
      <c r="M1942" s="33" t="n">
        <v>45959</v>
      </c>
      <c r="N1942" s="16" t="s">
        <v>6737</v>
      </c>
      <c r="O1942" s="16"/>
      <c r="P1942" s="16" t="str">
        <f aca="false">IF(AND(L1942&lt;=$D$2,M1942&gt;=$C$2),"Sí","")</f>
        <v/>
      </c>
      <c r="Q1942" s="18" t="str">
        <f aca="false">IF(COUNTIF(LOOKAHEAD!$A$5:$A$604,A1942)&gt;0,"En Lookahead",IF(P1942="Sí","INCORPORAR",""))</f>
        <v/>
      </c>
    </row>
    <row r="1943" customFormat="false" ht="15" hidden="false" customHeight="false" outlineLevel="0" collapsed="false">
      <c r="A1943" s="16" t="s">
        <v>6738</v>
      </c>
      <c r="B1943" s="16" t="n">
        <v>1938</v>
      </c>
      <c r="C1943" s="16" t="s">
        <v>6739</v>
      </c>
      <c r="D1943" s="16" t="n">
        <v>6</v>
      </c>
      <c r="E1943" s="35" t="s">
        <v>1560</v>
      </c>
      <c r="F1943" s="16" t="s">
        <v>1285</v>
      </c>
      <c r="G1943" s="16" t="s">
        <v>322</v>
      </c>
      <c r="H1943" s="16" t="s">
        <v>6716</v>
      </c>
      <c r="I1943" s="16" t="s">
        <v>129</v>
      </c>
      <c r="J1943" s="16" t="s">
        <v>1534</v>
      </c>
      <c r="K1943" s="32" t="n">
        <v>3</v>
      </c>
      <c r="L1943" s="33" t="n">
        <v>45960</v>
      </c>
      <c r="M1943" s="33" t="n">
        <v>45962</v>
      </c>
      <c r="N1943" s="16" t="s">
        <v>6740</v>
      </c>
      <c r="O1943" s="16"/>
      <c r="P1943" s="16" t="str">
        <f aca="false">IF(AND(L1943&lt;=$D$2,M1943&gt;=$C$2),"Sí","")</f>
        <v/>
      </c>
      <c r="Q1943" s="18" t="str">
        <f aca="false">IF(COUNTIF(LOOKAHEAD!$A$5:$A$604,A1943)&gt;0,"En Lookahead",IF(P1943="Sí","INCORPORAR",""))</f>
        <v/>
      </c>
    </row>
    <row r="1944" customFormat="false" ht="15" hidden="false" customHeight="false" outlineLevel="0" collapsed="false">
      <c r="A1944" s="13" t="s">
        <v>6741</v>
      </c>
      <c r="B1944" s="13" t="n">
        <v>1939</v>
      </c>
      <c r="C1944" s="13" t="s">
        <v>6742</v>
      </c>
      <c r="D1944" s="13" t="n">
        <v>5</v>
      </c>
      <c r="E1944" s="34" t="s">
        <v>6743</v>
      </c>
      <c r="F1944" s="13" t="s">
        <v>1298</v>
      </c>
      <c r="G1944" s="13" t="s">
        <v>322</v>
      </c>
      <c r="H1944" s="13" t="s">
        <v>6716</v>
      </c>
      <c r="I1944" s="13" t="s">
        <v>129</v>
      </c>
      <c r="J1944" s="13" t="s">
        <v>6716</v>
      </c>
      <c r="K1944" s="30" t="n">
        <v>110</v>
      </c>
      <c r="L1944" s="31" t="n">
        <v>45963</v>
      </c>
      <c r="M1944" s="31" t="n">
        <v>46072</v>
      </c>
      <c r="N1944" s="13"/>
      <c r="O1944" s="13"/>
      <c r="P1944" s="13"/>
      <c r="Q1944" s="13"/>
    </row>
    <row r="1945" customFormat="false" ht="15" hidden="false" customHeight="false" outlineLevel="0" collapsed="false">
      <c r="A1945" s="13" t="s">
        <v>6744</v>
      </c>
      <c r="B1945" s="13" t="n">
        <v>1940</v>
      </c>
      <c r="C1945" s="13" t="s">
        <v>6745</v>
      </c>
      <c r="D1945" s="13" t="n">
        <v>6</v>
      </c>
      <c r="E1945" s="36" t="s">
        <v>1534</v>
      </c>
      <c r="F1945" s="13" t="s">
        <v>1298</v>
      </c>
      <c r="G1945" s="13" t="s">
        <v>322</v>
      </c>
      <c r="H1945" s="13" t="s">
        <v>6716</v>
      </c>
      <c r="I1945" s="13" t="s">
        <v>129</v>
      </c>
      <c r="J1945" s="13" t="s">
        <v>6743</v>
      </c>
      <c r="K1945" s="30" t="n">
        <v>44</v>
      </c>
      <c r="L1945" s="31" t="n">
        <v>45963</v>
      </c>
      <c r="M1945" s="31" t="n">
        <v>46006</v>
      </c>
      <c r="N1945" s="13"/>
      <c r="O1945" s="13"/>
      <c r="P1945" s="13"/>
      <c r="Q1945" s="13"/>
    </row>
    <row r="1946" customFormat="false" ht="15" hidden="false" customHeight="false" outlineLevel="0" collapsed="false">
      <c r="A1946" s="16" t="s">
        <v>6746</v>
      </c>
      <c r="B1946" s="16" t="n">
        <v>1941</v>
      </c>
      <c r="C1946" s="16" t="s">
        <v>6747</v>
      </c>
      <c r="D1946" s="16" t="n">
        <v>7</v>
      </c>
      <c r="E1946" s="37" t="s">
        <v>1564</v>
      </c>
      <c r="F1946" s="16" t="s">
        <v>1285</v>
      </c>
      <c r="G1946" s="16" t="s">
        <v>322</v>
      </c>
      <c r="H1946" s="16" t="s">
        <v>6716</v>
      </c>
      <c r="I1946" s="16" t="s">
        <v>129</v>
      </c>
      <c r="J1946" s="16" t="s">
        <v>1534</v>
      </c>
      <c r="K1946" s="32" t="n">
        <v>22</v>
      </c>
      <c r="L1946" s="33" t="n">
        <v>45985</v>
      </c>
      <c r="M1946" s="33" t="n">
        <v>46006</v>
      </c>
      <c r="N1946" s="16" t="s">
        <v>6748</v>
      </c>
      <c r="O1946" s="16"/>
      <c r="P1946" s="16" t="str">
        <f aca="false">IF(AND(L1946&lt;=$D$2,M1946&gt;=$C$2),"Sí","")</f>
        <v/>
      </c>
      <c r="Q1946" s="18" t="str">
        <f aca="false">IF(COUNTIF(LOOKAHEAD!$A$5:$A$604,A1946)&gt;0,"En Lookahead",IF(P1946="Sí","INCORPORAR",""))</f>
        <v/>
      </c>
    </row>
    <row r="1947" customFormat="false" ht="15" hidden="false" customHeight="false" outlineLevel="0" collapsed="false">
      <c r="A1947" s="16" t="s">
        <v>6749</v>
      </c>
      <c r="B1947" s="16" t="n">
        <v>1942</v>
      </c>
      <c r="C1947" s="16" t="s">
        <v>6750</v>
      </c>
      <c r="D1947" s="16" t="n">
        <v>7</v>
      </c>
      <c r="E1947" s="37" t="s">
        <v>1567</v>
      </c>
      <c r="F1947" s="16" t="s">
        <v>1285</v>
      </c>
      <c r="G1947" s="16" t="s">
        <v>322</v>
      </c>
      <c r="H1947" s="16" t="s">
        <v>6716</v>
      </c>
      <c r="I1947" s="16" t="s">
        <v>129</v>
      </c>
      <c r="J1947" s="16" t="s">
        <v>1534</v>
      </c>
      <c r="K1947" s="32" t="n">
        <v>22</v>
      </c>
      <c r="L1947" s="33" t="n">
        <v>45963</v>
      </c>
      <c r="M1947" s="33" t="n">
        <v>45984</v>
      </c>
      <c r="N1947" s="16" t="s">
        <v>6751</v>
      </c>
      <c r="O1947" s="16"/>
      <c r="P1947" s="16" t="str">
        <f aca="false">IF(AND(L1947&lt;=$D$2,M1947&gt;=$C$2),"Sí","")</f>
        <v/>
      </c>
      <c r="Q1947" s="18" t="str">
        <f aca="false">IF(COUNTIF(LOOKAHEAD!$A$5:$A$604,A1947)&gt;0,"En Lookahead",IF(P1947="Sí","INCORPORAR",""))</f>
        <v/>
      </c>
    </row>
    <row r="1948" customFormat="false" ht="15" hidden="false" customHeight="false" outlineLevel="0" collapsed="false">
      <c r="A1948" s="13" t="s">
        <v>6752</v>
      </c>
      <c r="B1948" s="13" t="n">
        <v>1943</v>
      </c>
      <c r="C1948" s="13" t="s">
        <v>6753</v>
      </c>
      <c r="D1948" s="13" t="n">
        <v>6</v>
      </c>
      <c r="E1948" s="36" t="s">
        <v>6754</v>
      </c>
      <c r="F1948" s="13" t="s">
        <v>1298</v>
      </c>
      <c r="G1948" s="13" t="s">
        <v>322</v>
      </c>
      <c r="H1948" s="13" t="s">
        <v>6716</v>
      </c>
      <c r="I1948" s="13" t="s">
        <v>129</v>
      </c>
      <c r="J1948" s="13" t="s">
        <v>6743</v>
      </c>
      <c r="K1948" s="30" t="n">
        <v>73</v>
      </c>
      <c r="L1948" s="31" t="n">
        <v>45985</v>
      </c>
      <c r="M1948" s="31" t="n">
        <v>46057</v>
      </c>
      <c r="N1948" s="13"/>
      <c r="O1948" s="13"/>
      <c r="P1948" s="13"/>
      <c r="Q1948" s="13"/>
    </row>
    <row r="1949" customFormat="false" ht="15" hidden="false" customHeight="false" outlineLevel="0" collapsed="false">
      <c r="A1949" s="13" t="s">
        <v>6755</v>
      </c>
      <c r="B1949" s="13" t="n">
        <v>1944</v>
      </c>
      <c r="C1949" s="13" t="s">
        <v>6756</v>
      </c>
      <c r="D1949" s="13" t="n">
        <v>7</v>
      </c>
      <c r="E1949" s="38" t="s">
        <v>6757</v>
      </c>
      <c r="F1949" s="13" t="s">
        <v>1298</v>
      </c>
      <c r="G1949" s="13" t="s">
        <v>322</v>
      </c>
      <c r="H1949" s="13" t="s">
        <v>6716</v>
      </c>
      <c r="I1949" s="13" t="s">
        <v>129</v>
      </c>
      <c r="J1949" s="13" t="s">
        <v>6754</v>
      </c>
      <c r="K1949" s="30" t="n">
        <v>51</v>
      </c>
      <c r="L1949" s="31" t="n">
        <v>46007</v>
      </c>
      <c r="M1949" s="31" t="n">
        <v>46057</v>
      </c>
      <c r="N1949" s="13"/>
      <c r="O1949" s="13"/>
      <c r="P1949" s="13"/>
      <c r="Q1949" s="13"/>
    </row>
    <row r="1950" customFormat="false" ht="15" hidden="false" customHeight="false" outlineLevel="0" collapsed="false">
      <c r="A1950" s="16" t="s">
        <v>6758</v>
      </c>
      <c r="B1950" s="16" t="n">
        <v>1945</v>
      </c>
      <c r="C1950" s="16" t="s">
        <v>6759</v>
      </c>
      <c r="D1950" s="16" t="n">
        <v>8</v>
      </c>
      <c r="E1950" s="39" t="s">
        <v>6760</v>
      </c>
      <c r="F1950" s="16" t="s">
        <v>1285</v>
      </c>
      <c r="G1950" s="16" t="s">
        <v>322</v>
      </c>
      <c r="H1950" s="16" t="s">
        <v>6716</v>
      </c>
      <c r="I1950" s="16" t="s">
        <v>129</v>
      </c>
      <c r="J1950" s="16" t="s">
        <v>6757</v>
      </c>
      <c r="K1950" s="32" t="n">
        <v>3</v>
      </c>
      <c r="L1950" s="33" t="n">
        <v>46055</v>
      </c>
      <c r="M1950" s="33" t="n">
        <v>46057</v>
      </c>
      <c r="N1950" s="16" t="s">
        <v>6761</v>
      </c>
      <c r="O1950" s="16"/>
      <c r="P1950" s="16" t="str">
        <f aca="false">IF(AND(L1950&lt;=$D$2,M1950&gt;=$C$2),"Sí","")</f>
        <v/>
      </c>
      <c r="Q1950" s="18" t="str">
        <f aca="false">IF(COUNTIF(LOOKAHEAD!$A$5:$A$604,A1950)&gt;0,"En Lookahead",IF(P1950="Sí","INCORPORAR",""))</f>
        <v/>
      </c>
    </row>
    <row r="1951" customFormat="false" ht="15" hidden="false" customHeight="false" outlineLevel="0" collapsed="false">
      <c r="A1951" s="16" t="s">
        <v>6762</v>
      </c>
      <c r="B1951" s="16" t="n">
        <v>1946</v>
      </c>
      <c r="C1951" s="16" t="s">
        <v>6763</v>
      </c>
      <c r="D1951" s="16" t="n">
        <v>8</v>
      </c>
      <c r="E1951" s="39" t="s">
        <v>6764</v>
      </c>
      <c r="F1951" s="16" t="s">
        <v>1285</v>
      </c>
      <c r="G1951" s="16" t="s">
        <v>322</v>
      </c>
      <c r="H1951" s="16" t="s">
        <v>6716</v>
      </c>
      <c r="I1951" s="16" t="s">
        <v>129</v>
      </c>
      <c r="J1951" s="16" t="s">
        <v>6757</v>
      </c>
      <c r="K1951" s="32" t="n">
        <v>48</v>
      </c>
      <c r="L1951" s="33" t="n">
        <v>46007</v>
      </c>
      <c r="M1951" s="33" t="n">
        <v>46054</v>
      </c>
      <c r="N1951" s="16" t="s">
        <v>6765</v>
      </c>
      <c r="O1951" s="16"/>
      <c r="P1951" s="16" t="str">
        <f aca="false">IF(AND(L1951&lt;=$D$2,M1951&gt;=$C$2),"Sí","")</f>
        <v/>
      </c>
      <c r="Q1951" s="18" t="str">
        <f aca="false">IF(COUNTIF(LOOKAHEAD!$A$5:$A$604,A1951)&gt;0,"En Lookahead",IF(P1951="Sí","INCORPORAR",""))</f>
        <v/>
      </c>
    </row>
    <row r="1952" customFormat="false" ht="15" hidden="false" customHeight="false" outlineLevel="0" collapsed="false">
      <c r="A1952" s="13" t="s">
        <v>6766</v>
      </c>
      <c r="B1952" s="13" t="n">
        <v>1947</v>
      </c>
      <c r="C1952" s="13" t="s">
        <v>6767</v>
      </c>
      <c r="D1952" s="13" t="n">
        <v>7</v>
      </c>
      <c r="E1952" s="38" t="s">
        <v>1616</v>
      </c>
      <c r="F1952" s="13" t="s">
        <v>1298</v>
      </c>
      <c r="G1952" s="13" t="s">
        <v>322</v>
      </c>
      <c r="H1952" s="13" t="s">
        <v>6716</v>
      </c>
      <c r="I1952" s="13" t="s">
        <v>129</v>
      </c>
      <c r="J1952" s="13" t="s">
        <v>6754</v>
      </c>
      <c r="K1952" s="30" t="n">
        <v>27</v>
      </c>
      <c r="L1952" s="31" t="n">
        <v>45985</v>
      </c>
      <c r="M1952" s="31" t="n">
        <v>46011</v>
      </c>
      <c r="N1952" s="13"/>
      <c r="O1952" s="13"/>
      <c r="P1952" s="13"/>
      <c r="Q1952" s="13"/>
    </row>
    <row r="1953" customFormat="false" ht="15" hidden="false" customHeight="false" outlineLevel="0" collapsed="false">
      <c r="A1953" s="16" t="s">
        <v>6768</v>
      </c>
      <c r="B1953" s="16" t="n">
        <v>1948</v>
      </c>
      <c r="C1953" s="16" t="s">
        <v>6769</v>
      </c>
      <c r="D1953" s="16" t="n">
        <v>8</v>
      </c>
      <c r="E1953" s="39" t="s">
        <v>1619</v>
      </c>
      <c r="F1953" s="16" t="s">
        <v>1285</v>
      </c>
      <c r="G1953" s="16" t="s">
        <v>322</v>
      </c>
      <c r="H1953" s="16" t="s">
        <v>6716</v>
      </c>
      <c r="I1953" s="16" t="s">
        <v>129</v>
      </c>
      <c r="J1953" s="16" t="s">
        <v>1616</v>
      </c>
      <c r="K1953" s="32" t="n">
        <v>27</v>
      </c>
      <c r="L1953" s="33" t="n">
        <v>45985</v>
      </c>
      <c r="M1953" s="33" t="n">
        <v>46011</v>
      </c>
      <c r="N1953" s="16" t="s">
        <v>6748</v>
      </c>
      <c r="O1953" s="16"/>
      <c r="P1953" s="16" t="str">
        <f aca="false">IF(AND(L1953&lt;=$D$2,M1953&gt;=$C$2),"Sí","")</f>
        <v/>
      </c>
      <c r="Q1953" s="18" t="str">
        <f aca="false">IF(COUNTIF(LOOKAHEAD!$A$5:$A$604,A1953)&gt;0,"En Lookahead",IF(P1953="Sí","INCORPORAR",""))</f>
        <v/>
      </c>
    </row>
    <row r="1954" customFormat="false" ht="15" hidden="false" customHeight="false" outlineLevel="0" collapsed="false">
      <c r="A1954" s="13" t="s">
        <v>6770</v>
      </c>
      <c r="B1954" s="13" t="n">
        <v>1949</v>
      </c>
      <c r="C1954" s="13" t="s">
        <v>6771</v>
      </c>
      <c r="D1954" s="13" t="n">
        <v>6</v>
      </c>
      <c r="E1954" s="36" t="s">
        <v>2137</v>
      </c>
      <c r="F1954" s="13" t="s">
        <v>1298</v>
      </c>
      <c r="G1954" s="13" t="s">
        <v>322</v>
      </c>
      <c r="H1954" s="13" t="s">
        <v>6716</v>
      </c>
      <c r="I1954" s="13" t="s">
        <v>129</v>
      </c>
      <c r="J1954" s="13" t="s">
        <v>6743</v>
      </c>
      <c r="K1954" s="30" t="n">
        <v>15</v>
      </c>
      <c r="L1954" s="31" t="n">
        <v>46058</v>
      </c>
      <c r="M1954" s="31" t="n">
        <v>46072</v>
      </c>
      <c r="N1954" s="13"/>
      <c r="O1954" s="13"/>
      <c r="P1954" s="13"/>
      <c r="Q1954" s="13"/>
    </row>
    <row r="1955" customFormat="false" ht="15" hidden="false" customHeight="false" outlineLevel="0" collapsed="false">
      <c r="A1955" s="16" t="s">
        <v>6772</v>
      </c>
      <c r="B1955" s="16" t="n">
        <v>1950</v>
      </c>
      <c r="C1955" s="16" t="s">
        <v>6773</v>
      </c>
      <c r="D1955" s="16" t="n">
        <v>7</v>
      </c>
      <c r="E1955" s="37" t="s">
        <v>6440</v>
      </c>
      <c r="F1955" s="16" t="s">
        <v>1285</v>
      </c>
      <c r="G1955" s="16" t="s">
        <v>322</v>
      </c>
      <c r="H1955" s="16" t="s">
        <v>6716</v>
      </c>
      <c r="I1955" s="16" t="s">
        <v>129</v>
      </c>
      <c r="J1955" s="16" t="s">
        <v>2137</v>
      </c>
      <c r="K1955" s="32" t="n">
        <v>14</v>
      </c>
      <c r="L1955" s="33" t="n">
        <v>46058</v>
      </c>
      <c r="M1955" s="33" t="n">
        <v>46071</v>
      </c>
      <c r="N1955" s="16" t="s">
        <v>6774</v>
      </c>
      <c r="O1955" s="16"/>
      <c r="P1955" s="16" t="str">
        <f aca="false">IF(AND(L1955&lt;=$D$2,M1955&gt;=$C$2),"Sí","")</f>
        <v/>
      </c>
      <c r="Q1955" s="18" t="str">
        <f aca="false">IF(COUNTIF(LOOKAHEAD!$A$5:$A$604,A1955)&gt;0,"En Lookahead",IF(P1955="Sí","INCORPORAR",""))</f>
        <v/>
      </c>
    </row>
    <row r="1956" customFormat="false" ht="15" hidden="false" customHeight="false" outlineLevel="0" collapsed="false">
      <c r="A1956" s="16" t="s">
        <v>6775</v>
      </c>
      <c r="B1956" s="16" t="n">
        <v>1951</v>
      </c>
      <c r="C1956" s="16" t="s">
        <v>6776</v>
      </c>
      <c r="D1956" s="16" t="n">
        <v>7</v>
      </c>
      <c r="E1956" s="37" t="s">
        <v>6777</v>
      </c>
      <c r="F1956" s="16" t="s">
        <v>1285</v>
      </c>
      <c r="G1956" s="16" t="s">
        <v>322</v>
      </c>
      <c r="H1956" s="16" t="s">
        <v>6716</v>
      </c>
      <c r="I1956" s="16" t="s">
        <v>129</v>
      </c>
      <c r="J1956" s="16" t="s">
        <v>2137</v>
      </c>
      <c r="K1956" s="32" t="n">
        <v>1</v>
      </c>
      <c r="L1956" s="33" t="n">
        <v>46072</v>
      </c>
      <c r="M1956" s="33" t="n">
        <v>46072</v>
      </c>
      <c r="N1956" s="16" t="s">
        <v>6778</v>
      </c>
      <c r="O1956" s="16"/>
      <c r="P1956" s="16" t="str">
        <f aca="false">IF(AND(L1956&lt;=$D$2,M1956&gt;=$C$2),"Sí","")</f>
        <v/>
      </c>
      <c r="Q1956" s="18" t="str">
        <f aca="false">IF(COUNTIF(LOOKAHEAD!$A$5:$A$604,A1956)&gt;0,"En Lookahead",IF(P1956="Sí","INCORPORAR",""))</f>
        <v/>
      </c>
    </row>
    <row r="1957" customFormat="false" ht="15" hidden="false" customHeight="false" outlineLevel="0" collapsed="false">
      <c r="A1957" s="13" t="s">
        <v>6779</v>
      </c>
      <c r="B1957" s="13" t="n">
        <v>1952</v>
      </c>
      <c r="C1957" s="13" t="s">
        <v>6780</v>
      </c>
      <c r="D1957" s="13" t="n">
        <v>5</v>
      </c>
      <c r="E1957" s="34" t="s">
        <v>6781</v>
      </c>
      <c r="F1957" s="13" t="s">
        <v>1298</v>
      </c>
      <c r="G1957" s="13" t="s">
        <v>322</v>
      </c>
      <c r="H1957" s="13" t="s">
        <v>6716</v>
      </c>
      <c r="I1957" s="13" t="s">
        <v>129</v>
      </c>
      <c r="J1957" s="13" t="s">
        <v>6716</v>
      </c>
      <c r="K1957" s="30" t="n">
        <v>56</v>
      </c>
      <c r="L1957" s="31" t="n">
        <v>45943</v>
      </c>
      <c r="M1957" s="31" t="n">
        <v>45998</v>
      </c>
      <c r="N1957" s="13"/>
      <c r="O1957" s="13"/>
      <c r="P1957" s="13"/>
      <c r="Q1957" s="13"/>
    </row>
    <row r="1958" customFormat="false" ht="15" hidden="false" customHeight="false" outlineLevel="0" collapsed="false">
      <c r="A1958" s="13" t="s">
        <v>6782</v>
      </c>
      <c r="B1958" s="13" t="n">
        <v>1953</v>
      </c>
      <c r="C1958" s="13" t="s">
        <v>6783</v>
      </c>
      <c r="D1958" s="13" t="n">
        <v>6</v>
      </c>
      <c r="E1958" s="36" t="s">
        <v>1534</v>
      </c>
      <c r="F1958" s="13" t="s">
        <v>1298</v>
      </c>
      <c r="G1958" s="13" t="s">
        <v>322</v>
      </c>
      <c r="H1958" s="13" t="s">
        <v>6716</v>
      </c>
      <c r="I1958" s="13" t="s">
        <v>129</v>
      </c>
      <c r="J1958" s="13" t="s">
        <v>6781</v>
      </c>
      <c r="K1958" s="30" t="n">
        <v>40</v>
      </c>
      <c r="L1958" s="31" t="n">
        <v>45943</v>
      </c>
      <c r="M1958" s="31" t="n">
        <v>45982</v>
      </c>
      <c r="N1958" s="13"/>
      <c r="O1958" s="13"/>
      <c r="P1958" s="13"/>
      <c r="Q1958" s="13"/>
    </row>
    <row r="1959" customFormat="false" ht="15" hidden="false" customHeight="false" outlineLevel="0" collapsed="false">
      <c r="A1959" s="16" t="s">
        <v>6784</v>
      </c>
      <c r="B1959" s="16" t="n">
        <v>1954</v>
      </c>
      <c r="C1959" s="16" t="s">
        <v>6785</v>
      </c>
      <c r="D1959" s="16" t="n">
        <v>7</v>
      </c>
      <c r="E1959" s="37" t="s">
        <v>6786</v>
      </c>
      <c r="F1959" s="16" t="s">
        <v>1285</v>
      </c>
      <c r="G1959" s="16" t="s">
        <v>322</v>
      </c>
      <c r="H1959" s="16" t="s">
        <v>6716</v>
      </c>
      <c r="I1959" s="16" t="s">
        <v>129</v>
      </c>
      <c r="J1959" s="16" t="s">
        <v>1534</v>
      </c>
      <c r="K1959" s="32" t="n">
        <v>17</v>
      </c>
      <c r="L1959" s="33" t="n">
        <v>45943</v>
      </c>
      <c r="M1959" s="33" t="n">
        <v>45959</v>
      </c>
      <c r="N1959" s="16" t="s">
        <v>6731</v>
      </c>
      <c r="O1959" s="16"/>
      <c r="P1959" s="16" t="str">
        <f aca="false">IF(AND(L1959&lt;=$D$2,M1959&gt;=$C$2),"Sí","")</f>
        <v/>
      </c>
      <c r="Q1959" s="18" t="str">
        <f aca="false">IF(COUNTIF(LOOKAHEAD!$A$5:$A$604,A1959)&gt;0,"En Lookahead",IF(P1959="Sí","INCORPORAR",""))</f>
        <v/>
      </c>
    </row>
    <row r="1960" customFormat="false" ht="15" hidden="false" customHeight="false" outlineLevel="0" collapsed="false">
      <c r="A1960" s="16" t="s">
        <v>6787</v>
      </c>
      <c r="B1960" s="16" t="n">
        <v>1955</v>
      </c>
      <c r="C1960" s="16" t="s">
        <v>6788</v>
      </c>
      <c r="D1960" s="16" t="n">
        <v>7</v>
      </c>
      <c r="E1960" s="37" t="s">
        <v>1553</v>
      </c>
      <c r="F1960" s="16" t="s">
        <v>1285</v>
      </c>
      <c r="G1960" s="16" t="s">
        <v>322</v>
      </c>
      <c r="H1960" s="16" t="s">
        <v>6716</v>
      </c>
      <c r="I1960" s="16" t="s">
        <v>129</v>
      </c>
      <c r="J1960" s="16" t="s">
        <v>1534</v>
      </c>
      <c r="K1960" s="32" t="n">
        <v>2</v>
      </c>
      <c r="L1960" s="33" t="n">
        <v>45960</v>
      </c>
      <c r="M1960" s="33" t="n">
        <v>45961</v>
      </c>
      <c r="N1960" s="16" t="s">
        <v>6789</v>
      </c>
      <c r="O1960" s="16"/>
      <c r="P1960" s="16" t="str">
        <f aca="false">IF(AND(L1960&lt;=$D$2,M1960&gt;=$C$2),"Sí","")</f>
        <v/>
      </c>
      <c r="Q1960" s="18" t="str">
        <f aca="false">IF(COUNTIF(LOOKAHEAD!$A$5:$A$604,A1960)&gt;0,"En Lookahead",IF(P1960="Sí","INCORPORAR",""))</f>
        <v/>
      </c>
    </row>
    <row r="1961" customFormat="false" ht="15" hidden="false" customHeight="false" outlineLevel="0" collapsed="false">
      <c r="A1961" s="16" t="s">
        <v>6790</v>
      </c>
      <c r="B1961" s="16" t="n">
        <v>1956</v>
      </c>
      <c r="C1961" s="16" t="s">
        <v>6791</v>
      </c>
      <c r="D1961" s="16" t="n">
        <v>7</v>
      </c>
      <c r="E1961" s="37" t="s">
        <v>1557</v>
      </c>
      <c r="F1961" s="16" t="s">
        <v>1285</v>
      </c>
      <c r="G1961" s="16" t="s">
        <v>322</v>
      </c>
      <c r="H1961" s="16" t="s">
        <v>6716</v>
      </c>
      <c r="I1961" s="16" t="s">
        <v>129</v>
      </c>
      <c r="J1961" s="16" t="s">
        <v>1534</v>
      </c>
      <c r="K1961" s="32" t="n">
        <v>10</v>
      </c>
      <c r="L1961" s="33" t="n">
        <v>45962</v>
      </c>
      <c r="M1961" s="33" t="n">
        <v>45971</v>
      </c>
      <c r="N1961" s="16" t="s">
        <v>6792</v>
      </c>
      <c r="O1961" s="16"/>
      <c r="P1961" s="16" t="str">
        <f aca="false">IF(AND(L1961&lt;=$D$2,M1961&gt;=$C$2),"Sí","")</f>
        <v/>
      </c>
      <c r="Q1961" s="18" t="str">
        <f aca="false">IF(COUNTIF(LOOKAHEAD!$A$5:$A$604,A1961)&gt;0,"En Lookahead",IF(P1961="Sí","INCORPORAR",""))</f>
        <v/>
      </c>
    </row>
    <row r="1962" customFormat="false" ht="15" hidden="false" customHeight="false" outlineLevel="0" collapsed="false">
      <c r="A1962" s="16" t="s">
        <v>6793</v>
      </c>
      <c r="B1962" s="16" t="n">
        <v>1957</v>
      </c>
      <c r="C1962" s="16" t="s">
        <v>6794</v>
      </c>
      <c r="D1962" s="16" t="n">
        <v>7</v>
      </c>
      <c r="E1962" s="37" t="s">
        <v>1560</v>
      </c>
      <c r="F1962" s="16" t="s">
        <v>1285</v>
      </c>
      <c r="G1962" s="16" t="s">
        <v>322</v>
      </c>
      <c r="H1962" s="16" t="s">
        <v>6716</v>
      </c>
      <c r="I1962" s="16" t="s">
        <v>129</v>
      </c>
      <c r="J1962" s="16" t="s">
        <v>1534</v>
      </c>
      <c r="K1962" s="32" t="n">
        <v>1</v>
      </c>
      <c r="L1962" s="33" t="n">
        <v>45972</v>
      </c>
      <c r="M1962" s="33" t="n">
        <v>45972</v>
      </c>
      <c r="N1962" s="16" t="s">
        <v>6795</v>
      </c>
      <c r="O1962" s="16"/>
      <c r="P1962" s="16" t="str">
        <f aca="false">IF(AND(L1962&lt;=$D$2,M1962&gt;=$C$2),"Sí","")</f>
        <v/>
      </c>
      <c r="Q1962" s="18" t="str">
        <f aca="false">IF(COUNTIF(LOOKAHEAD!$A$5:$A$604,A1962)&gt;0,"En Lookahead",IF(P1962="Sí","INCORPORAR",""))</f>
        <v/>
      </c>
    </row>
    <row r="1963" customFormat="false" ht="15" hidden="false" customHeight="false" outlineLevel="0" collapsed="false">
      <c r="A1963" s="16" t="s">
        <v>6796</v>
      </c>
      <c r="B1963" s="16" t="n">
        <v>1958</v>
      </c>
      <c r="C1963" s="16" t="s">
        <v>6797</v>
      </c>
      <c r="D1963" s="16" t="n">
        <v>7</v>
      </c>
      <c r="E1963" s="37" t="s">
        <v>1564</v>
      </c>
      <c r="F1963" s="16" t="s">
        <v>1285</v>
      </c>
      <c r="G1963" s="16" t="s">
        <v>322</v>
      </c>
      <c r="H1963" s="16" t="s">
        <v>6716</v>
      </c>
      <c r="I1963" s="16" t="s">
        <v>129</v>
      </c>
      <c r="J1963" s="16" t="s">
        <v>1534</v>
      </c>
      <c r="K1963" s="32" t="n">
        <v>5</v>
      </c>
      <c r="L1963" s="33" t="n">
        <v>45973</v>
      </c>
      <c r="M1963" s="33" t="n">
        <v>45977</v>
      </c>
      <c r="N1963" s="16" t="s">
        <v>6798</v>
      </c>
      <c r="O1963" s="16"/>
      <c r="P1963" s="16" t="str">
        <f aca="false">IF(AND(L1963&lt;=$D$2,M1963&gt;=$C$2),"Sí","")</f>
        <v/>
      </c>
      <c r="Q1963" s="18" t="str">
        <f aca="false">IF(COUNTIF(LOOKAHEAD!$A$5:$A$604,A1963)&gt;0,"En Lookahead",IF(P1963="Sí","INCORPORAR",""))</f>
        <v/>
      </c>
    </row>
    <row r="1964" customFormat="false" ht="15" hidden="false" customHeight="false" outlineLevel="0" collapsed="false">
      <c r="A1964" s="16" t="s">
        <v>6799</v>
      </c>
      <c r="B1964" s="16" t="n">
        <v>1959</v>
      </c>
      <c r="C1964" s="16" t="s">
        <v>6800</v>
      </c>
      <c r="D1964" s="16" t="n">
        <v>7</v>
      </c>
      <c r="E1964" s="37" t="s">
        <v>1567</v>
      </c>
      <c r="F1964" s="16" t="s">
        <v>1285</v>
      </c>
      <c r="G1964" s="16" t="s">
        <v>322</v>
      </c>
      <c r="H1964" s="16" t="s">
        <v>6716</v>
      </c>
      <c r="I1964" s="16" t="s">
        <v>129</v>
      </c>
      <c r="J1964" s="16" t="s">
        <v>1534</v>
      </c>
      <c r="K1964" s="32" t="n">
        <v>5</v>
      </c>
      <c r="L1964" s="33" t="n">
        <v>45978</v>
      </c>
      <c r="M1964" s="33" t="n">
        <v>45982</v>
      </c>
      <c r="N1964" s="16" t="s">
        <v>6801</v>
      </c>
      <c r="O1964" s="16"/>
      <c r="P1964" s="16" t="str">
        <f aca="false">IF(AND(L1964&lt;=$D$2,M1964&gt;=$C$2),"Sí","")</f>
        <v/>
      </c>
      <c r="Q1964" s="18" t="str">
        <f aca="false">IF(COUNTIF(LOOKAHEAD!$A$5:$A$604,A1964)&gt;0,"En Lookahead",IF(P1964="Sí","INCORPORAR",""))</f>
        <v/>
      </c>
    </row>
    <row r="1965" customFormat="false" ht="15" hidden="false" customHeight="false" outlineLevel="0" collapsed="false">
      <c r="A1965" s="13" t="s">
        <v>6802</v>
      </c>
      <c r="B1965" s="13" t="n">
        <v>1960</v>
      </c>
      <c r="C1965" s="13" t="s">
        <v>6803</v>
      </c>
      <c r="D1965" s="13" t="n">
        <v>6</v>
      </c>
      <c r="E1965" s="36" t="s">
        <v>6754</v>
      </c>
      <c r="F1965" s="13" t="s">
        <v>1298</v>
      </c>
      <c r="G1965" s="13" t="s">
        <v>322</v>
      </c>
      <c r="H1965" s="13" t="s">
        <v>6716</v>
      </c>
      <c r="I1965" s="13" t="s">
        <v>129</v>
      </c>
      <c r="J1965" s="13" t="s">
        <v>6781</v>
      </c>
      <c r="K1965" s="30" t="n">
        <v>4</v>
      </c>
      <c r="L1965" s="31" t="n">
        <v>45983</v>
      </c>
      <c r="M1965" s="31" t="n">
        <v>45986</v>
      </c>
      <c r="N1965" s="13"/>
      <c r="O1965" s="13"/>
      <c r="P1965" s="13"/>
      <c r="Q1965" s="13"/>
    </row>
    <row r="1966" customFormat="false" ht="15" hidden="false" customHeight="false" outlineLevel="0" collapsed="false">
      <c r="A1966" s="16" t="s">
        <v>6804</v>
      </c>
      <c r="B1966" s="16" t="n">
        <v>1961</v>
      </c>
      <c r="C1966" s="16" t="s">
        <v>6805</v>
      </c>
      <c r="D1966" s="16" t="n">
        <v>7</v>
      </c>
      <c r="E1966" s="37" t="s">
        <v>1619</v>
      </c>
      <c r="F1966" s="16" t="s">
        <v>1285</v>
      </c>
      <c r="G1966" s="16" t="s">
        <v>322</v>
      </c>
      <c r="H1966" s="16" t="s">
        <v>6716</v>
      </c>
      <c r="I1966" s="16" t="s">
        <v>129</v>
      </c>
      <c r="J1966" s="16" t="s">
        <v>6754</v>
      </c>
      <c r="K1966" s="32" t="n">
        <v>4</v>
      </c>
      <c r="L1966" s="33" t="n">
        <v>45983</v>
      </c>
      <c r="M1966" s="33" t="n">
        <v>45986</v>
      </c>
      <c r="N1966" s="16" t="s">
        <v>6806</v>
      </c>
      <c r="O1966" s="16"/>
      <c r="P1966" s="16" t="str">
        <f aca="false">IF(AND(L1966&lt;=$D$2,M1966&gt;=$C$2),"Sí","")</f>
        <v/>
      </c>
      <c r="Q1966" s="18" t="str">
        <f aca="false">IF(COUNTIF(LOOKAHEAD!$A$5:$A$604,A1966)&gt;0,"En Lookahead",IF(P1966="Sí","INCORPORAR",""))</f>
        <v/>
      </c>
    </row>
    <row r="1967" customFormat="false" ht="15" hidden="false" customHeight="false" outlineLevel="0" collapsed="false">
      <c r="A1967" s="13" t="s">
        <v>6807</v>
      </c>
      <c r="B1967" s="13" t="n">
        <v>1962</v>
      </c>
      <c r="C1967" s="13" t="s">
        <v>6808</v>
      </c>
      <c r="D1967" s="13" t="n">
        <v>6</v>
      </c>
      <c r="E1967" s="36" t="s">
        <v>2137</v>
      </c>
      <c r="F1967" s="13" t="s">
        <v>1298</v>
      </c>
      <c r="G1967" s="13" t="s">
        <v>322</v>
      </c>
      <c r="H1967" s="13" t="s">
        <v>6716</v>
      </c>
      <c r="I1967" s="13" t="s">
        <v>129</v>
      </c>
      <c r="J1967" s="13" t="s">
        <v>6781</v>
      </c>
      <c r="K1967" s="30" t="n">
        <v>12</v>
      </c>
      <c r="L1967" s="31" t="n">
        <v>45987</v>
      </c>
      <c r="M1967" s="31" t="n">
        <v>45998</v>
      </c>
      <c r="N1967" s="13"/>
      <c r="O1967" s="13"/>
      <c r="P1967" s="13"/>
      <c r="Q1967" s="13"/>
    </row>
    <row r="1968" customFormat="false" ht="15" hidden="false" customHeight="false" outlineLevel="0" collapsed="false">
      <c r="A1968" s="16" t="s">
        <v>6809</v>
      </c>
      <c r="B1968" s="16" t="n">
        <v>1963</v>
      </c>
      <c r="C1968" s="16" t="s">
        <v>6810</v>
      </c>
      <c r="D1968" s="16" t="n">
        <v>7</v>
      </c>
      <c r="E1968" s="37" t="s">
        <v>6440</v>
      </c>
      <c r="F1968" s="16" t="s">
        <v>1285</v>
      </c>
      <c r="G1968" s="16" t="s">
        <v>322</v>
      </c>
      <c r="H1968" s="16" t="s">
        <v>6716</v>
      </c>
      <c r="I1968" s="16" t="s">
        <v>129</v>
      </c>
      <c r="J1968" s="16" t="s">
        <v>2137</v>
      </c>
      <c r="K1968" s="32" t="n">
        <v>4</v>
      </c>
      <c r="L1968" s="33" t="n">
        <v>45987</v>
      </c>
      <c r="M1968" s="33" t="n">
        <v>45990</v>
      </c>
      <c r="N1968" s="16" t="s">
        <v>6811</v>
      </c>
      <c r="O1968" s="16"/>
      <c r="P1968" s="16" t="str">
        <f aca="false">IF(AND(L1968&lt;=$D$2,M1968&gt;=$C$2),"Sí","")</f>
        <v/>
      </c>
      <c r="Q1968" s="18" t="str">
        <f aca="false">IF(COUNTIF(LOOKAHEAD!$A$5:$A$604,A1968)&gt;0,"En Lookahead",IF(P1968="Sí","INCORPORAR",""))</f>
        <v/>
      </c>
    </row>
    <row r="1969" customFormat="false" ht="15" hidden="false" customHeight="false" outlineLevel="0" collapsed="false">
      <c r="A1969" s="16" t="s">
        <v>6812</v>
      </c>
      <c r="B1969" s="16" t="n">
        <v>1964</v>
      </c>
      <c r="C1969" s="16" t="s">
        <v>6813</v>
      </c>
      <c r="D1969" s="16" t="n">
        <v>7</v>
      </c>
      <c r="E1969" s="37" t="s">
        <v>2144</v>
      </c>
      <c r="F1969" s="16" t="s">
        <v>1285</v>
      </c>
      <c r="G1969" s="16" t="s">
        <v>322</v>
      </c>
      <c r="H1969" s="16" t="s">
        <v>6716</v>
      </c>
      <c r="I1969" s="16" t="s">
        <v>129</v>
      </c>
      <c r="J1969" s="16" t="s">
        <v>2137</v>
      </c>
      <c r="K1969" s="32" t="n">
        <v>8</v>
      </c>
      <c r="L1969" s="33" t="n">
        <v>45991</v>
      </c>
      <c r="M1969" s="33" t="n">
        <v>45998</v>
      </c>
      <c r="N1969" s="16" t="s">
        <v>6814</v>
      </c>
      <c r="O1969" s="16"/>
      <c r="P1969" s="16" t="str">
        <f aca="false">IF(AND(L1969&lt;=$D$2,M1969&gt;=$C$2),"Sí","")</f>
        <v/>
      </c>
      <c r="Q1969" s="18" t="str">
        <f aca="false">IF(COUNTIF(LOOKAHEAD!$A$5:$A$604,A1969)&gt;0,"En Lookahead",IF(P1969="Sí","INCORPORAR",""))</f>
        <v/>
      </c>
    </row>
    <row r="1970" customFormat="false" ht="15" hidden="false" customHeight="false" outlineLevel="0" collapsed="false">
      <c r="A1970" s="13" t="s">
        <v>6815</v>
      </c>
      <c r="B1970" s="13" t="n">
        <v>1965</v>
      </c>
      <c r="C1970" s="13" t="s">
        <v>6816</v>
      </c>
      <c r="D1970" s="13" t="n">
        <v>5</v>
      </c>
      <c r="E1970" s="34" t="s">
        <v>6817</v>
      </c>
      <c r="F1970" s="13" t="s">
        <v>1298</v>
      </c>
      <c r="G1970" s="13" t="s">
        <v>322</v>
      </c>
      <c r="H1970" s="13" t="s">
        <v>6716</v>
      </c>
      <c r="I1970" s="13" t="s">
        <v>129</v>
      </c>
      <c r="J1970" s="13" t="s">
        <v>6716</v>
      </c>
      <c r="K1970" s="30" t="n">
        <v>107</v>
      </c>
      <c r="L1970" s="31" t="n">
        <v>45991</v>
      </c>
      <c r="M1970" s="31" t="n">
        <v>46097</v>
      </c>
      <c r="N1970" s="13"/>
      <c r="O1970" s="13"/>
      <c r="P1970" s="13"/>
      <c r="Q1970" s="13"/>
    </row>
    <row r="1971" customFormat="false" ht="15" hidden="false" customHeight="false" outlineLevel="0" collapsed="false">
      <c r="A1971" s="13" t="s">
        <v>6818</v>
      </c>
      <c r="B1971" s="13" t="n">
        <v>1966</v>
      </c>
      <c r="C1971" s="13" t="s">
        <v>6819</v>
      </c>
      <c r="D1971" s="13" t="n">
        <v>6</v>
      </c>
      <c r="E1971" s="36" t="s">
        <v>6820</v>
      </c>
      <c r="F1971" s="13" t="s">
        <v>1298</v>
      </c>
      <c r="G1971" s="13" t="s">
        <v>322</v>
      </c>
      <c r="H1971" s="13" t="s">
        <v>6716</v>
      </c>
      <c r="I1971" s="13" t="s">
        <v>129</v>
      </c>
      <c r="J1971" s="13" t="s">
        <v>6817</v>
      </c>
      <c r="K1971" s="30" t="n">
        <v>9</v>
      </c>
      <c r="L1971" s="31" t="n">
        <v>45991</v>
      </c>
      <c r="M1971" s="31" t="n">
        <v>45999</v>
      </c>
      <c r="N1971" s="13"/>
      <c r="O1971" s="13"/>
      <c r="P1971" s="13"/>
      <c r="Q1971" s="13"/>
    </row>
    <row r="1972" customFormat="false" ht="15" hidden="false" customHeight="false" outlineLevel="0" collapsed="false">
      <c r="A1972" s="16" t="s">
        <v>6821</v>
      </c>
      <c r="B1972" s="16" t="n">
        <v>1967</v>
      </c>
      <c r="C1972" s="16" t="s">
        <v>6822</v>
      </c>
      <c r="D1972" s="16" t="n">
        <v>7</v>
      </c>
      <c r="E1972" s="37" t="s">
        <v>6823</v>
      </c>
      <c r="F1972" s="16" t="s">
        <v>1285</v>
      </c>
      <c r="G1972" s="16" t="s">
        <v>322</v>
      </c>
      <c r="H1972" s="16" t="s">
        <v>6716</v>
      </c>
      <c r="I1972" s="16" t="s">
        <v>129</v>
      </c>
      <c r="J1972" s="16" t="s">
        <v>6820</v>
      </c>
      <c r="K1972" s="32" t="n">
        <v>3</v>
      </c>
      <c r="L1972" s="33" t="n">
        <v>45996</v>
      </c>
      <c r="M1972" s="33" t="n">
        <v>45998</v>
      </c>
      <c r="N1972" s="16" t="s">
        <v>6824</v>
      </c>
      <c r="O1972" s="16"/>
      <c r="P1972" s="16" t="str">
        <f aca="false">IF(AND(L1972&lt;=$D$2,M1972&gt;=$C$2),"Sí","")</f>
        <v/>
      </c>
      <c r="Q1972" s="18" t="str">
        <f aca="false">IF(COUNTIF(LOOKAHEAD!$A$5:$A$604,A1972)&gt;0,"En Lookahead",IF(P1972="Sí","INCORPORAR",""))</f>
        <v/>
      </c>
    </row>
    <row r="1973" customFormat="false" ht="15" hidden="false" customHeight="false" outlineLevel="0" collapsed="false">
      <c r="A1973" s="16" t="s">
        <v>6825</v>
      </c>
      <c r="B1973" s="16" t="n">
        <v>1968</v>
      </c>
      <c r="C1973" s="16" t="s">
        <v>6826</v>
      </c>
      <c r="D1973" s="16" t="n">
        <v>7</v>
      </c>
      <c r="E1973" s="37" t="s">
        <v>4400</v>
      </c>
      <c r="F1973" s="16" t="s">
        <v>1285</v>
      </c>
      <c r="G1973" s="16" t="s">
        <v>322</v>
      </c>
      <c r="H1973" s="16" t="s">
        <v>6716</v>
      </c>
      <c r="I1973" s="16" t="s">
        <v>129</v>
      </c>
      <c r="J1973" s="16" t="s">
        <v>6820</v>
      </c>
      <c r="K1973" s="32" t="n">
        <v>2</v>
      </c>
      <c r="L1973" s="33" t="n">
        <v>45994</v>
      </c>
      <c r="M1973" s="33" t="n">
        <v>45995</v>
      </c>
      <c r="N1973" s="16" t="s">
        <v>6827</v>
      </c>
      <c r="O1973" s="16"/>
      <c r="P1973" s="16" t="str">
        <f aca="false">IF(AND(L1973&lt;=$D$2,M1973&gt;=$C$2),"Sí","")</f>
        <v/>
      </c>
      <c r="Q1973" s="18" t="str">
        <f aca="false">IF(COUNTIF(LOOKAHEAD!$A$5:$A$604,A1973)&gt;0,"En Lookahead",IF(P1973="Sí","INCORPORAR",""))</f>
        <v/>
      </c>
    </row>
    <row r="1974" customFormat="false" ht="15" hidden="false" customHeight="false" outlineLevel="0" collapsed="false">
      <c r="A1974" s="16" t="s">
        <v>6828</v>
      </c>
      <c r="B1974" s="16" t="n">
        <v>1969</v>
      </c>
      <c r="C1974" s="16" t="s">
        <v>6829</v>
      </c>
      <c r="D1974" s="16" t="n">
        <v>7</v>
      </c>
      <c r="E1974" s="37" t="s">
        <v>6830</v>
      </c>
      <c r="F1974" s="16" t="s">
        <v>1285</v>
      </c>
      <c r="G1974" s="16" t="s">
        <v>322</v>
      </c>
      <c r="H1974" s="16" t="s">
        <v>6716</v>
      </c>
      <c r="I1974" s="16" t="s">
        <v>129</v>
      </c>
      <c r="J1974" s="16" t="s">
        <v>6820</v>
      </c>
      <c r="K1974" s="32" t="n">
        <v>3</v>
      </c>
      <c r="L1974" s="33" t="n">
        <v>45991</v>
      </c>
      <c r="M1974" s="33" t="n">
        <v>45993</v>
      </c>
      <c r="N1974" s="16" t="s">
        <v>6814</v>
      </c>
      <c r="O1974" s="16"/>
      <c r="P1974" s="16" t="str">
        <f aca="false">IF(AND(L1974&lt;=$D$2,M1974&gt;=$C$2),"Sí","")</f>
        <v/>
      </c>
      <c r="Q1974" s="18" t="str">
        <f aca="false">IF(COUNTIF(LOOKAHEAD!$A$5:$A$604,A1974)&gt;0,"En Lookahead",IF(P1974="Sí","INCORPORAR",""))</f>
        <v/>
      </c>
    </row>
    <row r="1975" customFormat="false" ht="15" hidden="false" customHeight="false" outlineLevel="0" collapsed="false">
      <c r="A1975" s="16" t="s">
        <v>6831</v>
      </c>
      <c r="B1975" s="16" t="n">
        <v>1970</v>
      </c>
      <c r="C1975" s="16" t="s">
        <v>6832</v>
      </c>
      <c r="D1975" s="16" t="n">
        <v>7</v>
      </c>
      <c r="E1975" s="37" t="s">
        <v>2207</v>
      </c>
      <c r="F1975" s="16" t="s">
        <v>1285</v>
      </c>
      <c r="G1975" s="16" t="s">
        <v>322</v>
      </c>
      <c r="H1975" s="16" t="s">
        <v>6716</v>
      </c>
      <c r="I1975" s="16" t="s">
        <v>129</v>
      </c>
      <c r="J1975" s="16" t="s">
        <v>6820</v>
      </c>
      <c r="K1975" s="32" t="n">
        <v>1</v>
      </c>
      <c r="L1975" s="33" t="n">
        <v>45999</v>
      </c>
      <c r="M1975" s="33" t="n">
        <v>45999</v>
      </c>
      <c r="N1975" s="16" t="s">
        <v>6833</v>
      </c>
      <c r="O1975" s="16"/>
      <c r="P1975" s="16" t="str">
        <f aca="false">IF(AND(L1975&lt;=$D$2,M1975&gt;=$C$2),"Sí","")</f>
        <v/>
      </c>
      <c r="Q1975" s="18" t="str">
        <f aca="false">IF(COUNTIF(LOOKAHEAD!$A$5:$A$604,A1975)&gt;0,"En Lookahead",IF(P1975="Sí","INCORPORAR",""))</f>
        <v/>
      </c>
    </row>
    <row r="1976" customFormat="false" ht="15" hidden="false" customHeight="false" outlineLevel="0" collapsed="false">
      <c r="A1976" s="13" t="s">
        <v>6834</v>
      </c>
      <c r="B1976" s="13" t="n">
        <v>1971</v>
      </c>
      <c r="C1976" s="13" t="s">
        <v>6835</v>
      </c>
      <c r="D1976" s="13" t="n">
        <v>6</v>
      </c>
      <c r="E1976" s="36" t="s">
        <v>6836</v>
      </c>
      <c r="F1976" s="13" t="s">
        <v>1298</v>
      </c>
      <c r="G1976" s="13" t="s">
        <v>322</v>
      </c>
      <c r="H1976" s="13" t="s">
        <v>6716</v>
      </c>
      <c r="I1976" s="13" t="s">
        <v>129</v>
      </c>
      <c r="J1976" s="13" t="s">
        <v>6817</v>
      </c>
      <c r="K1976" s="30" t="n">
        <v>9</v>
      </c>
      <c r="L1976" s="31" t="n">
        <v>46000</v>
      </c>
      <c r="M1976" s="31" t="n">
        <v>46008</v>
      </c>
      <c r="N1976" s="13"/>
      <c r="O1976" s="13"/>
      <c r="P1976" s="13"/>
      <c r="Q1976" s="13"/>
    </row>
    <row r="1977" customFormat="false" ht="15" hidden="false" customHeight="false" outlineLevel="0" collapsed="false">
      <c r="A1977" s="16" t="s">
        <v>6837</v>
      </c>
      <c r="B1977" s="16" t="n">
        <v>1972</v>
      </c>
      <c r="C1977" s="16" t="s">
        <v>6838</v>
      </c>
      <c r="D1977" s="16" t="n">
        <v>7</v>
      </c>
      <c r="E1977" s="37" t="s">
        <v>6839</v>
      </c>
      <c r="F1977" s="16" t="s">
        <v>1285</v>
      </c>
      <c r="G1977" s="16" t="s">
        <v>322</v>
      </c>
      <c r="H1977" s="16" t="s">
        <v>6716</v>
      </c>
      <c r="I1977" s="16" t="s">
        <v>129</v>
      </c>
      <c r="J1977" s="16" t="s">
        <v>6836</v>
      </c>
      <c r="K1977" s="32" t="n">
        <v>2</v>
      </c>
      <c r="L1977" s="33" t="n">
        <v>46006</v>
      </c>
      <c r="M1977" s="33" t="n">
        <v>46007</v>
      </c>
      <c r="N1977" s="16" t="s">
        <v>6840</v>
      </c>
      <c r="O1977" s="16"/>
      <c r="P1977" s="16" t="str">
        <f aca="false">IF(AND(L1977&lt;=$D$2,M1977&gt;=$C$2),"Sí","")</f>
        <v/>
      </c>
      <c r="Q1977" s="18" t="str">
        <f aca="false">IF(COUNTIF(LOOKAHEAD!$A$5:$A$604,A1977)&gt;0,"En Lookahead",IF(P1977="Sí","INCORPORAR",""))</f>
        <v/>
      </c>
    </row>
    <row r="1978" customFormat="false" ht="15" hidden="false" customHeight="false" outlineLevel="0" collapsed="false">
      <c r="A1978" s="16" t="s">
        <v>6841</v>
      </c>
      <c r="B1978" s="16" t="n">
        <v>1973</v>
      </c>
      <c r="C1978" s="16" t="s">
        <v>6842</v>
      </c>
      <c r="D1978" s="16" t="n">
        <v>7</v>
      </c>
      <c r="E1978" s="37" t="s">
        <v>4400</v>
      </c>
      <c r="F1978" s="16" t="s">
        <v>1285</v>
      </c>
      <c r="G1978" s="16" t="s">
        <v>322</v>
      </c>
      <c r="H1978" s="16" t="s">
        <v>6716</v>
      </c>
      <c r="I1978" s="16" t="s">
        <v>129</v>
      </c>
      <c r="J1978" s="16" t="s">
        <v>6836</v>
      </c>
      <c r="K1978" s="32" t="n">
        <v>3</v>
      </c>
      <c r="L1978" s="33" t="n">
        <v>46003</v>
      </c>
      <c r="M1978" s="33" t="n">
        <v>46005</v>
      </c>
      <c r="N1978" s="16" t="s">
        <v>6843</v>
      </c>
      <c r="O1978" s="16"/>
      <c r="P1978" s="16" t="str">
        <f aca="false">IF(AND(L1978&lt;=$D$2,M1978&gt;=$C$2),"Sí","")</f>
        <v/>
      </c>
      <c r="Q1978" s="18" t="str">
        <f aca="false">IF(COUNTIF(LOOKAHEAD!$A$5:$A$604,A1978)&gt;0,"En Lookahead",IF(P1978="Sí","INCORPORAR",""))</f>
        <v/>
      </c>
    </row>
    <row r="1979" customFormat="false" ht="15" hidden="false" customHeight="false" outlineLevel="0" collapsed="false">
      <c r="A1979" s="16" t="s">
        <v>6844</v>
      </c>
      <c r="B1979" s="16" t="n">
        <v>1974</v>
      </c>
      <c r="C1979" s="16" t="s">
        <v>6845</v>
      </c>
      <c r="D1979" s="16" t="n">
        <v>7</v>
      </c>
      <c r="E1979" s="37" t="s">
        <v>6830</v>
      </c>
      <c r="F1979" s="16" t="s">
        <v>1285</v>
      </c>
      <c r="G1979" s="16" t="s">
        <v>322</v>
      </c>
      <c r="H1979" s="16" t="s">
        <v>6716</v>
      </c>
      <c r="I1979" s="16" t="s">
        <v>129</v>
      </c>
      <c r="J1979" s="16" t="s">
        <v>6836</v>
      </c>
      <c r="K1979" s="32" t="n">
        <v>3</v>
      </c>
      <c r="L1979" s="33" t="n">
        <v>46000</v>
      </c>
      <c r="M1979" s="33" t="n">
        <v>46002</v>
      </c>
      <c r="N1979" s="16" t="s">
        <v>6846</v>
      </c>
      <c r="O1979" s="16"/>
      <c r="P1979" s="16" t="str">
        <f aca="false">IF(AND(L1979&lt;=$D$2,M1979&gt;=$C$2),"Sí","")</f>
        <v/>
      </c>
      <c r="Q1979" s="18" t="str">
        <f aca="false">IF(COUNTIF(LOOKAHEAD!$A$5:$A$604,A1979)&gt;0,"En Lookahead",IF(P1979="Sí","INCORPORAR",""))</f>
        <v/>
      </c>
    </row>
    <row r="1980" customFormat="false" ht="15" hidden="false" customHeight="false" outlineLevel="0" collapsed="false">
      <c r="A1980" s="16" t="s">
        <v>6847</v>
      </c>
      <c r="B1980" s="16" t="n">
        <v>1975</v>
      </c>
      <c r="C1980" s="16" t="s">
        <v>6848</v>
      </c>
      <c r="D1980" s="16" t="n">
        <v>7</v>
      </c>
      <c r="E1980" s="37" t="s">
        <v>2207</v>
      </c>
      <c r="F1980" s="16" t="s">
        <v>1285</v>
      </c>
      <c r="G1980" s="16" t="s">
        <v>322</v>
      </c>
      <c r="H1980" s="16" t="s">
        <v>6716</v>
      </c>
      <c r="I1980" s="16" t="s">
        <v>129</v>
      </c>
      <c r="J1980" s="16" t="s">
        <v>6836</v>
      </c>
      <c r="K1980" s="32" t="n">
        <v>1</v>
      </c>
      <c r="L1980" s="33" t="n">
        <v>46008</v>
      </c>
      <c r="M1980" s="33" t="n">
        <v>46008</v>
      </c>
      <c r="N1980" s="16" t="s">
        <v>6849</v>
      </c>
      <c r="O1980" s="16"/>
      <c r="P1980" s="16" t="str">
        <f aca="false">IF(AND(L1980&lt;=$D$2,M1980&gt;=$C$2),"Sí","")</f>
        <v/>
      </c>
      <c r="Q1980" s="18" t="str">
        <f aca="false">IF(COUNTIF(LOOKAHEAD!$A$5:$A$604,A1980)&gt;0,"En Lookahead",IF(P1980="Sí","INCORPORAR",""))</f>
        <v/>
      </c>
    </row>
    <row r="1981" customFormat="false" ht="15" hidden="false" customHeight="false" outlineLevel="0" collapsed="false">
      <c r="A1981" s="13" t="s">
        <v>6850</v>
      </c>
      <c r="B1981" s="13" t="n">
        <v>1976</v>
      </c>
      <c r="C1981" s="13" t="s">
        <v>6851</v>
      </c>
      <c r="D1981" s="13" t="n">
        <v>6</v>
      </c>
      <c r="E1981" s="36" t="s">
        <v>6852</v>
      </c>
      <c r="F1981" s="13" t="s">
        <v>1298</v>
      </c>
      <c r="G1981" s="13" t="s">
        <v>322</v>
      </c>
      <c r="H1981" s="13" t="s">
        <v>6716</v>
      </c>
      <c r="I1981" s="13" t="s">
        <v>129</v>
      </c>
      <c r="J1981" s="13" t="s">
        <v>6817</v>
      </c>
      <c r="K1981" s="30" t="n">
        <v>32</v>
      </c>
      <c r="L1981" s="31" t="n">
        <v>46009</v>
      </c>
      <c r="M1981" s="31" t="n">
        <v>46040</v>
      </c>
      <c r="N1981" s="13"/>
      <c r="O1981" s="13"/>
      <c r="P1981" s="13"/>
      <c r="Q1981" s="13"/>
    </row>
    <row r="1982" customFormat="false" ht="15" hidden="false" customHeight="false" outlineLevel="0" collapsed="false">
      <c r="A1982" s="16" t="s">
        <v>6853</v>
      </c>
      <c r="B1982" s="16" t="n">
        <v>1977</v>
      </c>
      <c r="C1982" s="16" t="s">
        <v>6854</v>
      </c>
      <c r="D1982" s="16" t="n">
        <v>7</v>
      </c>
      <c r="E1982" s="37" t="s">
        <v>6855</v>
      </c>
      <c r="F1982" s="16" t="s">
        <v>1285</v>
      </c>
      <c r="G1982" s="16" t="s">
        <v>322</v>
      </c>
      <c r="H1982" s="16" t="s">
        <v>6716</v>
      </c>
      <c r="I1982" s="16" t="s">
        <v>129</v>
      </c>
      <c r="J1982" s="16" t="s">
        <v>6852</v>
      </c>
      <c r="K1982" s="32" t="n">
        <v>1</v>
      </c>
      <c r="L1982" s="33" t="n">
        <v>46032</v>
      </c>
      <c r="M1982" s="33" t="n">
        <v>46032</v>
      </c>
      <c r="N1982" s="16" t="s">
        <v>6856</v>
      </c>
      <c r="O1982" s="16"/>
      <c r="P1982" s="16" t="str">
        <f aca="false">IF(AND(L1982&lt;=$D$2,M1982&gt;=$C$2),"Sí","")</f>
        <v/>
      </c>
      <c r="Q1982" s="18" t="str">
        <f aca="false">IF(COUNTIF(LOOKAHEAD!$A$5:$A$604,A1982)&gt;0,"En Lookahead",IF(P1982="Sí","INCORPORAR",""))</f>
        <v/>
      </c>
    </row>
    <row r="1983" customFormat="false" ht="15" hidden="false" customHeight="false" outlineLevel="0" collapsed="false">
      <c r="A1983" s="16" t="s">
        <v>6857</v>
      </c>
      <c r="B1983" s="16" t="n">
        <v>1978</v>
      </c>
      <c r="C1983" s="16" t="s">
        <v>6858</v>
      </c>
      <c r="D1983" s="16" t="n">
        <v>7</v>
      </c>
      <c r="E1983" s="37" t="s">
        <v>6859</v>
      </c>
      <c r="F1983" s="16" t="s">
        <v>1285</v>
      </c>
      <c r="G1983" s="16" t="s">
        <v>322</v>
      </c>
      <c r="H1983" s="16" t="s">
        <v>6716</v>
      </c>
      <c r="I1983" s="16" t="s">
        <v>129</v>
      </c>
      <c r="J1983" s="16" t="s">
        <v>6852</v>
      </c>
      <c r="K1983" s="32" t="n">
        <v>1</v>
      </c>
      <c r="L1983" s="33" t="n">
        <v>46032</v>
      </c>
      <c r="M1983" s="33" t="n">
        <v>46032</v>
      </c>
      <c r="N1983" s="16" t="s">
        <v>6856</v>
      </c>
      <c r="O1983" s="16"/>
      <c r="P1983" s="16" t="str">
        <f aca="false">IF(AND(L1983&lt;=$D$2,M1983&gt;=$C$2),"Sí","")</f>
        <v/>
      </c>
      <c r="Q1983" s="18" t="str">
        <f aca="false">IF(COUNTIF(LOOKAHEAD!$A$5:$A$604,A1983)&gt;0,"En Lookahead",IF(P1983="Sí","INCORPORAR",""))</f>
        <v/>
      </c>
    </row>
    <row r="1984" customFormat="false" ht="15" hidden="false" customHeight="false" outlineLevel="0" collapsed="false">
      <c r="A1984" s="16" t="s">
        <v>6860</v>
      </c>
      <c r="B1984" s="16" t="n">
        <v>1979</v>
      </c>
      <c r="C1984" s="16" t="s">
        <v>6861</v>
      </c>
      <c r="D1984" s="16" t="n">
        <v>7</v>
      </c>
      <c r="E1984" s="37" t="s">
        <v>6862</v>
      </c>
      <c r="F1984" s="16" t="s">
        <v>1285</v>
      </c>
      <c r="G1984" s="16" t="s">
        <v>322</v>
      </c>
      <c r="H1984" s="16" t="s">
        <v>6716</v>
      </c>
      <c r="I1984" s="16" t="s">
        <v>129</v>
      </c>
      <c r="J1984" s="16" t="s">
        <v>6852</v>
      </c>
      <c r="K1984" s="32" t="n">
        <v>12</v>
      </c>
      <c r="L1984" s="33" t="n">
        <v>46017</v>
      </c>
      <c r="M1984" s="33" t="n">
        <v>46028</v>
      </c>
      <c r="N1984" s="16" t="s">
        <v>6863</v>
      </c>
      <c r="O1984" s="16"/>
      <c r="P1984" s="16" t="str">
        <f aca="false">IF(AND(L1984&lt;=$D$2,M1984&gt;=$C$2),"Sí","")</f>
        <v/>
      </c>
      <c r="Q1984" s="18" t="str">
        <f aca="false">IF(COUNTIF(LOOKAHEAD!$A$5:$A$604,A1984)&gt;0,"En Lookahead",IF(P1984="Sí","INCORPORAR",""))</f>
        <v/>
      </c>
    </row>
    <row r="1985" customFormat="false" ht="15" hidden="false" customHeight="false" outlineLevel="0" collapsed="false">
      <c r="A1985" s="16" t="s">
        <v>6864</v>
      </c>
      <c r="B1985" s="16" t="n">
        <v>1980</v>
      </c>
      <c r="C1985" s="16" t="s">
        <v>6865</v>
      </c>
      <c r="D1985" s="16" t="n">
        <v>7</v>
      </c>
      <c r="E1985" s="37" t="s">
        <v>6866</v>
      </c>
      <c r="F1985" s="16" t="s">
        <v>1285</v>
      </c>
      <c r="G1985" s="16" t="s">
        <v>322</v>
      </c>
      <c r="H1985" s="16" t="s">
        <v>6716</v>
      </c>
      <c r="I1985" s="16" t="s">
        <v>129</v>
      </c>
      <c r="J1985" s="16" t="s">
        <v>6852</v>
      </c>
      <c r="K1985" s="32" t="n">
        <v>14</v>
      </c>
      <c r="L1985" s="33" t="n">
        <v>46017</v>
      </c>
      <c r="M1985" s="33" t="n">
        <v>46030</v>
      </c>
      <c r="N1985" s="16" t="s">
        <v>6867</v>
      </c>
      <c r="O1985" s="16"/>
      <c r="P1985" s="16" t="str">
        <f aca="false">IF(AND(L1985&lt;=$D$2,M1985&gt;=$C$2),"Sí","")</f>
        <v/>
      </c>
      <c r="Q1985" s="18" t="str">
        <f aca="false">IF(COUNTIF(LOOKAHEAD!$A$5:$A$604,A1985)&gt;0,"En Lookahead",IF(P1985="Sí","INCORPORAR",""))</f>
        <v/>
      </c>
    </row>
    <row r="1986" customFormat="false" ht="15" hidden="false" customHeight="false" outlineLevel="0" collapsed="false">
      <c r="A1986" s="16" t="s">
        <v>6868</v>
      </c>
      <c r="B1986" s="16" t="n">
        <v>1981</v>
      </c>
      <c r="C1986" s="16" t="s">
        <v>6869</v>
      </c>
      <c r="D1986" s="16" t="n">
        <v>7</v>
      </c>
      <c r="E1986" s="37" t="s">
        <v>6870</v>
      </c>
      <c r="F1986" s="16" t="s">
        <v>1285</v>
      </c>
      <c r="G1986" s="16" t="s">
        <v>322</v>
      </c>
      <c r="H1986" s="16" t="s">
        <v>6716</v>
      </c>
      <c r="I1986" s="16" t="s">
        <v>129</v>
      </c>
      <c r="J1986" s="16" t="s">
        <v>6852</v>
      </c>
      <c r="K1986" s="32" t="n">
        <v>5</v>
      </c>
      <c r="L1986" s="33" t="n">
        <v>46017</v>
      </c>
      <c r="M1986" s="33" t="n">
        <v>46021</v>
      </c>
      <c r="N1986" s="16" t="s">
        <v>6867</v>
      </c>
      <c r="O1986" s="16"/>
      <c r="P1986" s="16" t="str">
        <f aca="false">IF(AND(L1986&lt;=$D$2,M1986&gt;=$C$2),"Sí","")</f>
        <v/>
      </c>
      <c r="Q1986" s="18" t="str">
        <f aca="false">IF(COUNTIF(LOOKAHEAD!$A$5:$A$604,A1986)&gt;0,"En Lookahead",IF(P1986="Sí","INCORPORAR",""))</f>
        <v/>
      </c>
    </row>
    <row r="1987" customFormat="false" ht="15" hidden="false" customHeight="false" outlineLevel="0" collapsed="false">
      <c r="A1987" s="16" t="s">
        <v>6871</v>
      </c>
      <c r="B1987" s="16" t="n">
        <v>1982</v>
      </c>
      <c r="C1987" s="16" t="s">
        <v>6872</v>
      </c>
      <c r="D1987" s="16" t="n">
        <v>7</v>
      </c>
      <c r="E1987" s="37" t="s">
        <v>2215</v>
      </c>
      <c r="F1987" s="16" t="s">
        <v>1285</v>
      </c>
      <c r="G1987" s="16" t="s">
        <v>322</v>
      </c>
      <c r="H1987" s="16" t="s">
        <v>6716</v>
      </c>
      <c r="I1987" s="16" t="s">
        <v>129</v>
      </c>
      <c r="J1987" s="16" t="s">
        <v>6852</v>
      </c>
      <c r="K1987" s="32" t="n">
        <v>8</v>
      </c>
      <c r="L1987" s="33" t="n">
        <v>46009</v>
      </c>
      <c r="M1987" s="33" t="n">
        <v>46016</v>
      </c>
      <c r="N1987" s="16" t="s">
        <v>6873</v>
      </c>
      <c r="O1987" s="16"/>
      <c r="P1987" s="16" t="str">
        <f aca="false">IF(AND(L1987&lt;=$D$2,M1987&gt;=$C$2),"Sí","")</f>
        <v/>
      </c>
      <c r="Q1987" s="18" t="str">
        <f aca="false">IF(COUNTIF(LOOKAHEAD!$A$5:$A$604,A1987)&gt;0,"En Lookahead",IF(P1987="Sí","INCORPORAR",""))</f>
        <v/>
      </c>
    </row>
    <row r="1988" customFormat="false" ht="15" hidden="false" customHeight="false" outlineLevel="0" collapsed="false">
      <c r="A1988" s="16" t="s">
        <v>6874</v>
      </c>
      <c r="B1988" s="16" t="n">
        <v>1983</v>
      </c>
      <c r="C1988" s="16" t="s">
        <v>6875</v>
      </c>
      <c r="D1988" s="16" t="n">
        <v>7</v>
      </c>
      <c r="E1988" s="37" t="s">
        <v>2219</v>
      </c>
      <c r="F1988" s="16" t="s">
        <v>1285</v>
      </c>
      <c r="G1988" s="16" t="s">
        <v>322</v>
      </c>
      <c r="H1988" s="16" t="s">
        <v>6716</v>
      </c>
      <c r="I1988" s="16" t="s">
        <v>129</v>
      </c>
      <c r="J1988" s="16" t="s">
        <v>6852</v>
      </c>
      <c r="K1988" s="32" t="n">
        <v>8</v>
      </c>
      <c r="L1988" s="33" t="n">
        <v>46033</v>
      </c>
      <c r="M1988" s="33" t="n">
        <v>46040</v>
      </c>
      <c r="N1988" s="16" t="s">
        <v>6876</v>
      </c>
      <c r="O1988" s="16"/>
      <c r="P1988" s="16" t="str">
        <f aca="false">IF(AND(L1988&lt;=$D$2,M1988&gt;=$C$2),"Sí","")</f>
        <v/>
      </c>
      <c r="Q1988" s="18" t="str">
        <f aca="false">IF(COUNTIF(LOOKAHEAD!$A$5:$A$604,A1988)&gt;0,"En Lookahead",IF(P1988="Sí","INCORPORAR",""))</f>
        <v/>
      </c>
    </row>
    <row r="1989" customFormat="false" ht="15" hidden="false" customHeight="false" outlineLevel="0" collapsed="false">
      <c r="A1989" s="16" t="s">
        <v>6877</v>
      </c>
      <c r="B1989" s="16" t="n">
        <v>1984</v>
      </c>
      <c r="C1989" s="16" t="s">
        <v>6878</v>
      </c>
      <c r="D1989" s="16" t="n">
        <v>7</v>
      </c>
      <c r="E1989" s="37" t="s">
        <v>2207</v>
      </c>
      <c r="F1989" s="16" t="s">
        <v>1285</v>
      </c>
      <c r="G1989" s="16" t="s">
        <v>322</v>
      </c>
      <c r="H1989" s="16" t="s">
        <v>6716</v>
      </c>
      <c r="I1989" s="16" t="s">
        <v>129</v>
      </c>
      <c r="J1989" s="16" t="s">
        <v>6852</v>
      </c>
      <c r="K1989" s="32" t="n">
        <v>1</v>
      </c>
      <c r="L1989" s="33" t="n">
        <v>46031</v>
      </c>
      <c r="M1989" s="33" t="n">
        <v>46031</v>
      </c>
      <c r="N1989" s="16" t="s">
        <v>6879</v>
      </c>
      <c r="O1989" s="16"/>
      <c r="P1989" s="16" t="str">
        <f aca="false">IF(AND(L1989&lt;=$D$2,M1989&gt;=$C$2),"Sí","")</f>
        <v/>
      </c>
      <c r="Q1989" s="18" t="str">
        <f aca="false">IF(COUNTIF(LOOKAHEAD!$A$5:$A$604,A1989)&gt;0,"En Lookahead",IF(P1989="Sí","INCORPORAR",""))</f>
        <v/>
      </c>
    </row>
    <row r="1990" customFormat="false" ht="15" hidden="false" customHeight="false" outlineLevel="0" collapsed="false">
      <c r="A1990" s="13" t="s">
        <v>6880</v>
      </c>
      <c r="B1990" s="13" t="n">
        <v>1985</v>
      </c>
      <c r="C1990" s="13" t="s">
        <v>6881</v>
      </c>
      <c r="D1990" s="13" t="n">
        <v>6</v>
      </c>
      <c r="E1990" s="36" t="s">
        <v>6882</v>
      </c>
      <c r="F1990" s="13" t="s">
        <v>1298</v>
      </c>
      <c r="G1990" s="13" t="s">
        <v>322</v>
      </c>
      <c r="H1990" s="13" t="s">
        <v>6716</v>
      </c>
      <c r="I1990" s="13" t="s">
        <v>129</v>
      </c>
      <c r="J1990" s="13" t="s">
        <v>6817</v>
      </c>
      <c r="K1990" s="30" t="n">
        <v>20</v>
      </c>
      <c r="L1990" s="31" t="n">
        <v>46041</v>
      </c>
      <c r="M1990" s="31" t="n">
        <v>46060</v>
      </c>
      <c r="N1990" s="13"/>
      <c r="O1990" s="13"/>
      <c r="P1990" s="13"/>
      <c r="Q1990" s="13"/>
    </row>
    <row r="1991" customFormat="false" ht="15" hidden="false" customHeight="false" outlineLevel="0" collapsed="false">
      <c r="A1991" s="16" t="s">
        <v>6883</v>
      </c>
      <c r="B1991" s="16" t="n">
        <v>1986</v>
      </c>
      <c r="C1991" s="16" t="s">
        <v>6884</v>
      </c>
      <c r="D1991" s="16" t="n">
        <v>7</v>
      </c>
      <c r="E1991" s="37" t="s">
        <v>6859</v>
      </c>
      <c r="F1991" s="16" t="s">
        <v>1285</v>
      </c>
      <c r="G1991" s="16" t="s">
        <v>322</v>
      </c>
      <c r="H1991" s="16" t="s">
        <v>6716</v>
      </c>
      <c r="I1991" s="16" t="s">
        <v>129</v>
      </c>
      <c r="J1991" s="16" t="s">
        <v>6882</v>
      </c>
      <c r="K1991" s="32" t="n">
        <v>2</v>
      </c>
      <c r="L1991" s="33" t="n">
        <v>46056</v>
      </c>
      <c r="M1991" s="33" t="n">
        <v>46057</v>
      </c>
      <c r="N1991" s="16" t="s">
        <v>6885</v>
      </c>
      <c r="O1991" s="16"/>
      <c r="P1991" s="16" t="str">
        <f aca="false">IF(AND(L1991&lt;=$D$2,M1991&gt;=$C$2),"Sí","")</f>
        <v/>
      </c>
      <c r="Q1991" s="18" t="str">
        <f aca="false">IF(COUNTIF(LOOKAHEAD!$A$5:$A$604,A1991)&gt;0,"En Lookahead",IF(P1991="Sí","INCORPORAR",""))</f>
        <v/>
      </c>
    </row>
    <row r="1992" customFormat="false" ht="15" hidden="false" customHeight="false" outlineLevel="0" collapsed="false">
      <c r="A1992" s="16" t="s">
        <v>6886</v>
      </c>
      <c r="B1992" s="16" t="n">
        <v>1987</v>
      </c>
      <c r="C1992" s="16" t="s">
        <v>6887</v>
      </c>
      <c r="D1992" s="16" t="n">
        <v>7</v>
      </c>
      <c r="E1992" s="37" t="s">
        <v>6855</v>
      </c>
      <c r="F1992" s="16" t="s">
        <v>1285</v>
      </c>
      <c r="G1992" s="16" t="s">
        <v>322</v>
      </c>
      <c r="H1992" s="16" t="s">
        <v>6716</v>
      </c>
      <c r="I1992" s="16" t="s">
        <v>129</v>
      </c>
      <c r="J1992" s="16" t="s">
        <v>6882</v>
      </c>
      <c r="K1992" s="32" t="n">
        <v>1</v>
      </c>
      <c r="L1992" s="33" t="n">
        <v>46056</v>
      </c>
      <c r="M1992" s="33" t="n">
        <v>46056</v>
      </c>
      <c r="N1992" s="16" t="s">
        <v>6885</v>
      </c>
      <c r="O1992" s="16"/>
      <c r="P1992" s="16" t="str">
        <f aca="false">IF(AND(L1992&lt;=$D$2,M1992&gt;=$C$2),"Sí","")</f>
        <v/>
      </c>
      <c r="Q1992" s="18" t="str">
        <f aca="false">IF(COUNTIF(LOOKAHEAD!$A$5:$A$604,A1992)&gt;0,"En Lookahead",IF(P1992="Sí","INCORPORAR",""))</f>
        <v/>
      </c>
    </row>
    <row r="1993" customFormat="false" ht="15" hidden="false" customHeight="false" outlineLevel="0" collapsed="false">
      <c r="A1993" s="16" t="s">
        <v>6888</v>
      </c>
      <c r="B1993" s="16" t="n">
        <v>1988</v>
      </c>
      <c r="C1993" s="16" t="s">
        <v>6889</v>
      </c>
      <c r="D1993" s="16" t="n">
        <v>7</v>
      </c>
      <c r="E1993" s="37" t="s">
        <v>6890</v>
      </c>
      <c r="F1993" s="16" t="s">
        <v>1285</v>
      </c>
      <c r="G1993" s="16" t="s">
        <v>322</v>
      </c>
      <c r="H1993" s="16" t="s">
        <v>6716</v>
      </c>
      <c r="I1993" s="16" t="s">
        <v>129</v>
      </c>
      <c r="J1993" s="16" t="s">
        <v>6882</v>
      </c>
      <c r="K1993" s="32" t="n">
        <v>11</v>
      </c>
      <c r="L1993" s="33" t="n">
        <v>46044</v>
      </c>
      <c r="M1993" s="33" t="n">
        <v>46054</v>
      </c>
      <c r="N1993" s="16" t="s">
        <v>6891</v>
      </c>
      <c r="O1993" s="16"/>
      <c r="P1993" s="16" t="str">
        <f aca="false">IF(AND(L1993&lt;=$D$2,M1993&gt;=$C$2),"Sí","")</f>
        <v/>
      </c>
      <c r="Q1993" s="18" t="str">
        <f aca="false">IF(COUNTIF(LOOKAHEAD!$A$5:$A$604,A1993)&gt;0,"En Lookahead",IF(P1993="Sí","INCORPORAR",""))</f>
        <v/>
      </c>
    </row>
    <row r="1994" customFormat="false" ht="15" hidden="false" customHeight="false" outlineLevel="0" collapsed="false">
      <c r="A1994" s="16" t="s">
        <v>6892</v>
      </c>
      <c r="B1994" s="16" t="n">
        <v>1989</v>
      </c>
      <c r="C1994" s="16" t="s">
        <v>6893</v>
      </c>
      <c r="D1994" s="16" t="n">
        <v>7</v>
      </c>
      <c r="E1994" s="37" t="s">
        <v>6870</v>
      </c>
      <c r="F1994" s="16" t="s">
        <v>1285</v>
      </c>
      <c r="G1994" s="16" t="s">
        <v>322</v>
      </c>
      <c r="H1994" s="16" t="s">
        <v>6716</v>
      </c>
      <c r="I1994" s="16" t="s">
        <v>129</v>
      </c>
      <c r="J1994" s="16" t="s">
        <v>6882</v>
      </c>
      <c r="K1994" s="32" t="n">
        <v>2</v>
      </c>
      <c r="L1994" s="33" t="n">
        <v>46044</v>
      </c>
      <c r="M1994" s="33" t="n">
        <v>46045</v>
      </c>
      <c r="N1994" s="16" t="s">
        <v>6894</v>
      </c>
      <c r="O1994" s="16"/>
      <c r="P1994" s="16" t="str">
        <f aca="false">IF(AND(L1994&lt;=$D$2,M1994&gt;=$C$2),"Sí","")</f>
        <v/>
      </c>
      <c r="Q1994" s="18" t="str">
        <f aca="false">IF(COUNTIF(LOOKAHEAD!$A$5:$A$604,A1994)&gt;0,"En Lookahead",IF(P1994="Sí","INCORPORAR",""))</f>
        <v/>
      </c>
    </row>
    <row r="1995" customFormat="false" ht="15" hidden="false" customHeight="false" outlineLevel="0" collapsed="false">
      <c r="A1995" s="16" t="s">
        <v>6895</v>
      </c>
      <c r="B1995" s="16" t="n">
        <v>1990</v>
      </c>
      <c r="C1995" s="16" t="s">
        <v>6896</v>
      </c>
      <c r="D1995" s="16" t="n">
        <v>7</v>
      </c>
      <c r="E1995" s="37" t="s">
        <v>2215</v>
      </c>
      <c r="F1995" s="16" t="s">
        <v>1285</v>
      </c>
      <c r="G1995" s="16" t="s">
        <v>322</v>
      </c>
      <c r="H1995" s="16" t="s">
        <v>6716</v>
      </c>
      <c r="I1995" s="16" t="s">
        <v>129</v>
      </c>
      <c r="J1995" s="16" t="s">
        <v>6882</v>
      </c>
      <c r="K1995" s="32" t="n">
        <v>3</v>
      </c>
      <c r="L1995" s="33" t="n">
        <v>46041</v>
      </c>
      <c r="M1995" s="33" t="n">
        <v>46043</v>
      </c>
      <c r="N1995" s="16" t="s">
        <v>6897</v>
      </c>
      <c r="O1995" s="16"/>
      <c r="P1995" s="16" t="str">
        <f aca="false">IF(AND(L1995&lt;=$D$2,M1995&gt;=$C$2),"Sí","")</f>
        <v/>
      </c>
      <c r="Q1995" s="18" t="str">
        <f aca="false">IF(COUNTIF(LOOKAHEAD!$A$5:$A$604,A1995)&gt;0,"En Lookahead",IF(P1995="Sí","INCORPORAR",""))</f>
        <v/>
      </c>
    </row>
    <row r="1996" customFormat="false" ht="15" hidden="false" customHeight="false" outlineLevel="0" collapsed="false">
      <c r="A1996" s="16" t="s">
        <v>6898</v>
      </c>
      <c r="B1996" s="16" t="n">
        <v>1991</v>
      </c>
      <c r="C1996" s="16" t="s">
        <v>6899</v>
      </c>
      <c r="D1996" s="16" t="n">
        <v>7</v>
      </c>
      <c r="E1996" s="37" t="s">
        <v>2219</v>
      </c>
      <c r="F1996" s="16" t="s">
        <v>1285</v>
      </c>
      <c r="G1996" s="16" t="s">
        <v>322</v>
      </c>
      <c r="H1996" s="16" t="s">
        <v>6716</v>
      </c>
      <c r="I1996" s="16" t="s">
        <v>129</v>
      </c>
      <c r="J1996" s="16" t="s">
        <v>6882</v>
      </c>
      <c r="K1996" s="32" t="n">
        <v>3</v>
      </c>
      <c r="L1996" s="33" t="n">
        <v>46058</v>
      </c>
      <c r="M1996" s="33" t="n">
        <v>46060</v>
      </c>
      <c r="N1996" s="16" t="s">
        <v>6900</v>
      </c>
      <c r="O1996" s="16"/>
      <c r="P1996" s="16" t="str">
        <f aca="false">IF(AND(L1996&lt;=$D$2,M1996&gt;=$C$2),"Sí","")</f>
        <v/>
      </c>
      <c r="Q1996" s="18" t="str">
        <f aca="false">IF(COUNTIF(LOOKAHEAD!$A$5:$A$604,A1996)&gt;0,"En Lookahead",IF(P1996="Sí","INCORPORAR",""))</f>
        <v/>
      </c>
    </row>
    <row r="1997" customFormat="false" ht="15" hidden="false" customHeight="false" outlineLevel="0" collapsed="false">
      <c r="A1997" s="16" t="s">
        <v>6901</v>
      </c>
      <c r="B1997" s="16" t="n">
        <v>1992</v>
      </c>
      <c r="C1997" s="16" t="s">
        <v>6902</v>
      </c>
      <c r="D1997" s="16" t="n">
        <v>7</v>
      </c>
      <c r="E1997" s="37" t="s">
        <v>2207</v>
      </c>
      <c r="F1997" s="16" t="s">
        <v>1285</v>
      </c>
      <c r="G1997" s="16" t="s">
        <v>322</v>
      </c>
      <c r="H1997" s="16" t="s">
        <v>6716</v>
      </c>
      <c r="I1997" s="16" t="s">
        <v>129</v>
      </c>
      <c r="J1997" s="16" t="s">
        <v>6882</v>
      </c>
      <c r="K1997" s="32" t="n">
        <v>1</v>
      </c>
      <c r="L1997" s="33" t="n">
        <v>46055</v>
      </c>
      <c r="M1997" s="33" t="n">
        <v>46055</v>
      </c>
      <c r="N1997" s="16" t="s">
        <v>6903</v>
      </c>
      <c r="O1997" s="16"/>
      <c r="P1997" s="16" t="str">
        <f aca="false">IF(AND(L1997&lt;=$D$2,M1997&gt;=$C$2),"Sí","")</f>
        <v/>
      </c>
      <c r="Q1997" s="18" t="str">
        <f aca="false">IF(COUNTIF(LOOKAHEAD!$A$5:$A$604,A1997)&gt;0,"En Lookahead",IF(P1997="Sí","INCORPORAR",""))</f>
        <v/>
      </c>
    </row>
    <row r="1998" customFormat="false" ht="15" hidden="false" customHeight="false" outlineLevel="0" collapsed="false">
      <c r="A1998" s="13" t="s">
        <v>6904</v>
      </c>
      <c r="B1998" s="13" t="n">
        <v>1993</v>
      </c>
      <c r="C1998" s="13" t="s">
        <v>6905</v>
      </c>
      <c r="D1998" s="13" t="n">
        <v>6</v>
      </c>
      <c r="E1998" s="36" t="s">
        <v>6906</v>
      </c>
      <c r="F1998" s="13" t="s">
        <v>1298</v>
      </c>
      <c r="G1998" s="13" t="s">
        <v>322</v>
      </c>
      <c r="H1998" s="13" t="s">
        <v>6716</v>
      </c>
      <c r="I1998" s="13" t="s">
        <v>129</v>
      </c>
      <c r="J1998" s="13" t="s">
        <v>6817</v>
      </c>
      <c r="K1998" s="30" t="n">
        <v>12</v>
      </c>
      <c r="L1998" s="31" t="n">
        <v>46061</v>
      </c>
      <c r="M1998" s="31" t="n">
        <v>46072</v>
      </c>
      <c r="N1998" s="13"/>
      <c r="O1998" s="13"/>
      <c r="P1998" s="13"/>
      <c r="Q1998" s="13"/>
    </row>
    <row r="1999" customFormat="false" ht="15" hidden="false" customHeight="false" outlineLevel="0" collapsed="false">
      <c r="A1999" s="16" t="s">
        <v>6907</v>
      </c>
      <c r="B1999" s="16" t="n">
        <v>1994</v>
      </c>
      <c r="C1999" s="16" t="s">
        <v>6908</v>
      </c>
      <c r="D1999" s="16" t="n">
        <v>7</v>
      </c>
      <c r="E1999" s="37" t="s">
        <v>6909</v>
      </c>
      <c r="F1999" s="16" t="s">
        <v>1285</v>
      </c>
      <c r="G1999" s="16" t="s">
        <v>322</v>
      </c>
      <c r="H1999" s="16" t="s">
        <v>6716</v>
      </c>
      <c r="I1999" s="16" t="s">
        <v>129</v>
      </c>
      <c r="J1999" s="16" t="s">
        <v>6906</v>
      </c>
      <c r="K1999" s="32" t="n">
        <v>7</v>
      </c>
      <c r="L1999" s="33" t="n">
        <v>46064</v>
      </c>
      <c r="M1999" s="33" t="n">
        <v>46070</v>
      </c>
      <c r="N1999" s="16" t="s">
        <v>6910</v>
      </c>
      <c r="O1999" s="16"/>
      <c r="P1999" s="16" t="str">
        <f aca="false">IF(AND(L1999&lt;=$D$2,M1999&gt;=$C$2),"Sí","")</f>
        <v/>
      </c>
      <c r="Q1999" s="18" t="str">
        <f aca="false">IF(COUNTIF(LOOKAHEAD!$A$5:$A$604,A1999)&gt;0,"En Lookahead",IF(P1999="Sí","INCORPORAR",""))</f>
        <v/>
      </c>
    </row>
    <row r="2000" customFormat="false" ht="15" hidden="false" customHeight="false" outlineLevel="0" collapsed="false">
      <c r="A2000" s="16" t="s">
        <v>6911</v>
      </c>
      <c r="B2000" s="16" t="n">
        <v>1995</v>
      </c>
      <c r="C2000" s="16" t="s">
        <v>6912</v>
      </c>
      <c r="D2000" s="16" t="n">
        <v>7</v>
      </c>
      <c r="E2000" s="37" t="s">
        <v>6870</v>
      </c>
      <c r="F2000" s="16" t="s">
        <v>1285</v>
      </c>
      <c r="G2000" s="16" t="s">
        <v>322</v>
      </c>
      <c r="H2000" s="16" t="s">
        <v>6716</v>
      </c>
      <c r="I2000" s="16" t="s">
        <v>129</v>
      </c>
      <c r="J2000" s="16" t="s">
        <v>6906</v>
      </c>
      <c r="K2000" s="32" t="n">
        <v>2</v>
      </c>
      <c r="L2000" s="33" t="n">
        <v>46061</v>
      </c>
      <c r="M2000" s="33" t="n">
        <v>46062</v>
      </c>
      <c r="N2000" s="16" t="s">
        <v>6913</v>
      </c>
      <c r="O2000" s="16"/>
      <c r="P2000" s="16" t="str">
        <f aca="false">IF(AND(L2000&lt;=$D$2,M2000&gt;=$C$2),"Sí","")</f>
        <v/>
      </c>
      <c r="Q2000" s="18" t="str">
        <f aca="false">IF(COUNTIF(LOOKAHEAD!$A$5:$A$604,A2000)&gt;0,"En Lookahead",IF(P2000="Sí","INCORPORAR",""))</f>
        <v/>
      </c>
    </row>
    <row r="2001" customFormat="false" ht="15" hidden="false" customHeight="false" outlineLevel="0" collapsed="false">
      <c r="A2001" s="16" t="s">
        <v>6914</v>
      </c>
      <c r="B2001" s="16" t="n">
        <v>1996</v>
      </c>
      <c r="C2001" s="16" t="s">
        <v>6915</v>
      </c>
      <c r="D2001" s="16" t="n">
        <v>7</v>
      </c>
      <c r="E2001" s="37" t="s">
        <v>2215</v>
      </c>
      <c r="F2001" s="16" t="s">
        <v>1285</v>
      </c>
      <c r="G2001" s="16" t="s">
        <v>322</v>
      </c>
      <c r="H2001" s="16" t="s">
        <v>6716</v>
      </c>
      <c r="I2001" s="16" t="s">
        <v>129</v>
      </c>
      <c r="J2001" s="16" t="s">
        <v>6906</v>
      </c>
      <c r="K2001" s="32" t="n">
        <v>2</v>
      </c>
      <c r="L2001" s="33" t="n">
        <v>46061</v>
      </c>
      <c r="M2001" s="33" t="n">
        <v>46062</v>
      </c>
      <c r="N2001" s="16" t="s">
        <v>6916</v>
      </c>
      <c r="O2001" s="16"/>
      <c r="P2001" s="16" t="str">
        <f aca="false">IF(AND(L2001&lt;=$D$2,M2001&gt;=$C$2),"Sí","")</f>
        <v/>
      </c>
      <c r="Q2001" s="18" t="str">
        <f aca="false">IF(COUNTIF(LOOKAHEAD!$A$5:$A$604,A2001)&gt;0,"En Lookahead",IF(P2001="Sí","INCORPORAR",""))</f>
        <v/>
      </c>
    </row>
    <row r="2002" customFormat="false" ht="15" hidden="false" customHeight="false" outlineLevel="0" collapsed="false">
      <c r="A2002" s="16" t="s">
        <v>6917</v>
      </c>
      <c r="B2002" s="16" t="n">
        <v>1997</v>
      </c>
      <c r="C2002" s="16" t="s">
        <v>6918</v>
      </c>
      <c r="D2002" s="16" t="n">
        <v>7</v>
      </c>
      <c r="E2002" s="37" t="s">
        <v>2219</v>
      </c>
      <c r="F2002" s="16" t="s">
        <v>1285</v>
      </c>
      <c r="G2002" s="16" t="s">
        <v>322</v>
      </c>
      <c r="H2002" s="16" t="s">
        <v>6716</v>
      </c>
      <c r="I2002" s="16" t="s">
        <v>129</v>
      </c>
      <c r="J2002" s="16" t="s">
        <v>6906</v>
      </c>
      <c r="K2002" s="32" t="n">
        <v>2</v>
      </c>
      <c r="L2002" s="33" t="n">
        <v>46071</v>
      </c>
      <c r="M2002" s="33" t="n">
        <v>46072</v>
      </c>
      <c r="N2002" s="16" t="s">
        <v>6919</v>
      </c>
      <c r="O2002" s="16"/>
      <c r="P2002" s="16" t="str">
        <f aca="false">IF(AND(L2002&lt;=$D$2,M2002&gt;=$C$2),"Sí","")</f>
        <v/>
      </c>
      <c r="Q2002" s="18" t="str">
        <f aca="false">IF(COUNTIF(LOOKAHEAD!$A$5:$A$604,A2002)&gt;0,"En Lookahead",IF(P2002="Sí","INCORPORAR",""))</f>
        <v/>
      </c>
    </row>
    <row r="2003" customFormat="false" ht="15" hidden="false" customHeight="false" outlineLevel="0" collapsed="false">
      <c r="A2003" s="16" t="s">
        <v>6920</v>
      </c>
      <c r="B2003" s="16" t="n">
        <v>1998</v>
      </c>
      <c r="C2003" s="16" t="s">
        <v>6921</v>
      </c>
      <c r="D2003" s="16" t="n">
        <v>7</v>
      </c>
      <c r="E2003" s="37" t="s">
        <v>2207</v>
      </c>
      <c r="F2003" s="16" t="s">
        <v>1285</v>
      </c>
      <c r="G2003" s="16" t="s">
        <v>322</v>
      </c>
      <c r="H2003" s="16" t="s">
        <v>6716</v>
      </c>
      <c r="I2003" s="16" t="s">
        <v>129</v>
      </c>
      <c r="J2003" s="16" t="s">
        <v>6906</v>
      </c>
      <c r="K2003" s="32" t="n">
        <v>1</v>
      </c>
      <c r="L2003" s="33" t="n">
        <v>46063</v>
      </c>
      <c r="M2003" s="33" t="n">
        <v>46063</v>
      </c>
      <c r="N2003" s="16" t="s">
        <v>6922</v>
      </c>
      <c r="O2003" s="16"/>
      <c r="P2003" s="16" t="str">
        <f aca="false">IF(AND(L2003&lt;=$D$2,M2003&gt;=$C$2),"Sí","")</f>
        <v/>
      </c>
      <c r="Q2003" s="18" t="str">
        <f aca="false">IF(COUNTIF(LOOKAHEAD!$A$5:$A$604,A2003)&gt;0,"En Lookahead",IF(P2003="Sí","INCORPORAR",""))</f>
        <v/>
      </c>
    </row>
    <row r="2004" customFormat="false" ht="15" hidden="false" customHeight="false" outlineLevel="0" collapsed="false">
      <c r="A2004" s="13" t="s">
        <v>6923</v>
      </c>
      <c r="B2004" s="13" t="n">
        <v>1999</v>
      </c>
      <c r="C2004" s="13" t="s">
        <v>6924</v>
      </c>
      <c r="D2004" s="13" t="n">
        <v>6</v>
      </c>
      <c r="E2004" s="36" t="s">
        <v>6925</v>
      </c>
      <c r="F2004" s="13" t="s">
        <v>1298</v>
      </c>
      <c r="G2004" s="13" t="s">
        <v>322</v>
      </c>
      <c r="H2004" s="13" t="s">
        <v>6716</v>
      </c>
      <c r="I2004" s="13" t="s">
        <v>129</v>
      </c>
      <c r="J2004" s="13" t="s">
        <v>6817</v>
      </c>
      <c r="K2004" s="30" t="n">
        <v>5</v>
      </c>
      <c r="L2004" s="31" t="n">
        <v>46073</v>
      </c>
      <c r="M2004" s="31" t="n">
        <v>46077</v>
      </c>
      <c r="N2004" s="13"/>
      <c r="O2004" s="13"/>
      <c r="P2004" s="13"/>
      <c r="Q2004" s="13"/>
    </row>
    <row r="2005" customFormat="false" ht="15" hidden="false" customHeight="false" outlineLevel="0" collapsed="false">
      <c r="A2005" s="16" t="s">
        <v>6926</v>
      </c>
      <c r="B2005" s="16" t="n">
        <v>2000</v>
      </c>
      <c r="C2005" s="16" t="s">
        <v>6927</v>
      </c>
      <c r="D2005" s="16" t="n">
        <v>7</v>
      </c>
      <c r="E2005" s="37" t="s">
        <v>6909</v>
      </c>
      <c r="F2005" s="16" t="s">
        <v>1285</v>
      </c>
      <c r="G2005" s="16" t="s">
        <v>322</v>
      </c>
      <c r="H2005" s="16" t="s">
        <v>6716</v>
      </c>
      <c r="I2005" s="16" t="s">
        <v>129</v>
      </c>
      <c r="J2005" s="16" t="s">
        <v>6925</v>
      </c>
      <c r="K2005" s="32" t="n">
        <v>2</v>
      </c>
      <c r="L2005" s="33" t="n">
        <v>46075</v>
      </c>
      <c r="M2005" s="33" t="n">
        <v>46076</v>
      </c>
      <c r="N2005" s="16" t="s">
        <v>6928</v>
      </c>
      <c r="O2005" s="16"/>
      <c r="P2005" s="16" t="str">
        <f aca="false">IF(AND(L2005&lt;=$D$2,M2005&gt;=$C$2),"Sí","")</f>
        <v/>
      </c>
      <c r="Q2005" s="18" t="str">
        <f aca="false">IF(COUNTIF(LOOKAHEAD!$A$5:$A$604,A2005)&gt;0,"En Lookahead",IF(P2005="Sí","INCORPORAR",""))</f>
        <v/>
      </c>
    </row>
    <row r="2006" customFormat="false" ht="15" hidden="false" customHeight="false" outlineLevel="0" collapsed="false">
      <c r="A2006" s="16" t="s">
        <v>6929</v>
      </c>
      <c r="B2006" s="16" t="n">
        <v>2001</v>
      </c>
      <c r="C2006" s="16" t="s">
        <v>6930</v>
      </c>
      <c r="D2006" s="16" t="n">
        <v>7</v>
      </c>
      <c r="E2006" s="37" t="s">
        <v>6870</v>
      </c>
      <c r="F2006" s="16" t="s">
        <v>1285</v>
      </c>
      <c r="G2006" s="16" t="s">
        <v>322</v>
      </c>
      <c r="H2006" s="16" t="s">
        <v>6716</v>
      </c>
      <c r="I2006" s="16" t="s">
        <v>129</v>
      </c>
      <c r="J2006" s="16" t="s">
        <v>6925</v>
      </c>
      <c r="K2006" s="32" t="n">
        <v>1</v>
      </c>
      <c r="L2006" s="33" t="n">
        <v>46073</v>
      </c>
      <c r="M2006" s="33" t="n">
        <v>46073</v>
      </c>
      <c r="N2006" s="16" t="s">
        <v>6931</v>
      </c>
      <c r="O2006" s="16"/>
      <c r="P2006" s="16" t="str">
        <f aca="false">IF(AND(L2006&lt;=$D$2,M2006&gt;=$C$2),"Sí","")</f>
        <v/>
      </c>
      <c r="Q2006" s="18" t="str">
        <f aca="false">IF(COUNTIF(LOOKAHEAD!$A$5:$A$604,A2006)&gt;0,"En Lookahead",IF(P2006="Sí","INCORPORAR",""))</f>
        <v/>
      </c>
    </row>
    <row r="2007" customFormat="false" ht="15" hidden="false" customHeight="false" outlineLevel="0" collapsed="false">
      <c r="A2007" s="16" t="s">
        <v>6932</v>
      </c>
      <c r="B2007" s="16" t="n">
        <v>2002</v>
      </c>
      <c r="C2007" s="16" t="s">
        <v>6933</v>
      </c>
      <c r="D2007" s="16" t="n">
        <v>7</v>
      </c>
      <c r="E2007" s="37" t="s">
        <v>2215</v>
      </c>
      <c r="F2007" s="16" t="s">
        <v>1285</v>
      </c>
      <c r="G2007" s="16" t="s">
        <v>322</v>
      </c>
      <c r="H2007" s="16" t="s">
        <v>6716</v>
      </c>
      <c r="I2007" s="16" t="s">
        <v>129</v>
      </c>
      <c r="J2007" s="16" t="s">
        <v>6925</v>
      </c>
      <c r="K2007" s="32" t="n">
        <v>1</v>
      </c>
      <c r="L2007" s="33" t="n">
        <v>46073</v>
      </c>
      <c r="M2007" s="33" t="n">
        <v>46073</v>
      </c>
      <c r="N2007" s="16" t="s">
        <v>6934</v>
      </c>
      <c r="O2007" s="16"/>
      <c r="P2007" s="16" t="str">
        <f aca="false">IF(AND(L2007&lt;=$D$2,M2007&gt;=$C$2),"Sí","")</f>
        <v/>
      </c>
      <c r="Q2007" s="18" t="str">
        <f aca="false">IF(COUNTIF(LOOKAHEAD!$A$5:$A$604,A2007)&gt;0,"En Lookahead",IF(P2007="Sí","INCORPORAR",""))</f>
        <v/>
      </c>
    </row>
    <row r="2008" customFormat="false" ht="15" hidden="false" customHeight="false" outlineLevel="0" collapsed="false">
      <c r="A2008" s="16" t="s">
        <v>6935</v>
      </c>
      <c r="B2008" s="16" t="n">
        <v>2003</v>
      </c>
      <c r="C2008" s="16" t="s">
        <v>6936</v>
      </c>
      <c r="D2008" s="16" t="n">
        <v>7</v>
      </c>
      <c r="E2008" s="37" t="s">
        <v>2219</v>
      </c>
      <c r="F2008" s="16" t="s">
        <v>1285</v>
      </c>
      <c r="G2008" s="16" t="s">
        <v>322</v>
      </c>
      <c r="H2008" s="16" t="s">
        <v>6716</v>
      </c>
      <c r="I2008" s="16" t="s">
        <v>129</v>
      </c>
      <c r="J2008" s="16" t="s">
        <v>6925</v>
      </c>
      <c r="K2008" s="32" t="n">
        <v>1</v>
      </c>
      <c r="L2008" s="33" t="n">
        <v>46077</v>
      </c>
      <c r="M2008" s="33" t="n">
        <v>46077</v>
      </c>
      <c r="N2008" s="16" t="s">
        <v>6937</v>
      </c>
      <c r="O2008" s="16"/>
      <c r="P2008" s="16" t="str">
        <f aca="false">IF(AND(L2008&lt;=$D$2,M2008&gt;=$C$2),"Sí","")</f>
        <v/>
      </c>
      <c r="Q2008" s="18" t="str">
        <f aca="false">IF(COUNTIF(LOOKAHEAD!$A$5:$A$604,A2008)&gt;0,"En Lookahead",IF(P2008="Sí","INCORPORAR",""))</f>
        <v/>
      </c>
    </row>
    <row r="2009" customFormat="false" ht="15" hidden="false" customHeight="false" outlineLevel="0" collapsed="false">
      <c r="A2009" s="16" t="s">
        <v>6938</v>
      </c>
      <c r="B2009" s="16" t="n">
        <v>2004</v>
      </c>
      <c r="C2009" s="16" t="s">
        <v>6939</v>
      </c>
      <c r="D2009" s="16" t="n">
        <v>7</v>
      </c>
      <c r="E2009" s="37" t="s">
        <v>2207</v>
      </c>
      <c r="F2009" s="16" t="s">
        <v>1285</v>
      </c>
      <c r="G2009" s="16" t="s">
        <v>322</v>
      </c>
      <c r="H2009" s="16" t="s">
        <v>6716</v>
      </c>
      <c r="I2009" s="16" t="s">
        <v>129</v>
      </c>
      <c r="J2009" s="16" t="s">
        <v>6925</v>
      </c>
      <c r="K2009" s="32" t="n">
        <v>1</v>
      </c>
      <c r="L2009" s="33" t="n">
        <v>46074</v>
      </c>
      <c r="M2009" s="33" t="n">
        <v>46074</v>
      </c>
      <c r="N2009" s="16" t="s">
        <v>6940</v>
      </c>
      <c r="O2009" s="16"/>
      <c r="P2009" s="16" t="str">
        <f aca="false">IF(AND(L2009&lt;=$D$2,M2009&gt;=$C$2),"Sí","")</f>
        <v/>
      </c>
      <c r="Q2009" s="18" t="str">
        <f aca="false">IF(COUNTIF(LOOKAHEAD!$A$5:$A$604,A2009)&gt;0,"En Lookahead",IF(P2009="Sí","INCORPORAR",""))</f>
        <v/>
      </c>
    </row>
    <row r="2010" customFormat="false" ht="15" hidden="false" customHeight="false" outlineLevel="0" collapsed="false">
      <c r="A2010" s="13" t="s">
        <v>6941</v>
      </c>
      <c r="B2010" s="13" t="n">
        <v>2005</v>
      </c>
      <c r="C2010" s="13" t="s">
        <v>6942</v>
      </c>
      <c r="D2010" s="13" t="n">
        <v>6</v>
      </c>
      <c r="E2010" s="36" t="s">
        <v>6943</v>
      </c>
      <c r="F2010" s="13" t="s">
        <v>1298</v>
      </c>
      <c r="G2010" s="13" t="s">
        <v>322</v>
      </c>
      <c r="H2010" s="13" t="s">
        <v>6716</v>
      </c>
      <c r="I2010" s="13" t="s">
        <v>129</v>
      </c>
      <c r="J2010" s="13" t="s">
        <v>6817</v>
      </c>
      <c r="K2010" s="30" t="n">
        <v>20</v>
      </c>
      <c r="L2010" s="31" t="n">
        <v>46078</v>
      </c>
      <c r="M2010" s="31" t="n">
        <v>46097</v>
      </c>
      <c r="N2010" s="13"/>
      <c r="O2010" s="13"/>
      <c r="P2010" s="13"/>
      <c r="Q2010" s="13"/>
    </row>
    <row r="2011" customFormat="false" ht="15" hidden="false" customHeight="false" outlineLevel="0" collapsed="false">
      <c r="A2011" s="16" t="s">
        <v>6944</v>
      </c>
      <c r="B2011" s="16" t="n">
        <v>2006</v>
      </c>
      <c r="C2011" s="16" t="s">
        <v>6945</v>
      </c>
      <c r="D2011" s="16" t="n">
        <v>7</v>
      </c>
      <c r="E2011" s="37" t="s">
        <v>6946</v>
      </c>
      <c r="F2011" s="16" t="s">
        <v>1285</v>
      </c>
      <c r="G2011" s="16" t="s">
        <v>322</v>
      </c>
      <c r="H2011" s="16" t="s">
        <v>6716</v>
      </c>
      <c r="I2011" s="16" t="s">
        <v>129</v>
      </c>
      <c r="J2011" s="16" t="s">
        <v>6943</v>
      </c>
      <c r="K2011" s="32" t="n">
        <v>1</v>
      </c>
      <c r="L2011" s="33" t="n">
        <v>46093</v>
      </c>
      <c r="M2011" s="33" t="n">
        <v>46093</v>
      </c>
      <c r="N2011" s="16" t="s">
        <v>6947</v>
      </c>
      <c r="O2011" s="16"/>
      <c r="P2011" s="16" t="str">
        <f aca="false">IF(AND(L2011&lt;=$D$2,M2011&gt;=$C$2),"Sí","")</f>
        <v/>
      </c>
      <c r="Q2011" s="18" t="str">
        <f aca="false">IF(COUNTIF(LOOKAHEAD!$A$5:$A$604,A2011)&gt;0,"En Lookahead",IF(P2011="Sí","INCORPORAR",""))</f>
        <v/>
      </c>
    </row>
    <row r="2012" customFormat="false" ht="15" hidden="false" customHeight="false" outlineLevel="0" collapsed="false">
      <c r="A2012" s="16" t="s">
        <v>6948</v>
      </c>
      <c r="B2012" s="16" t="n">
        <v>2007</v>
      </c>
      <c r="C2012" s="16" t="s">
        <v>6949</v>
      </c>
      <c r="D2012" s="16" t="n">
        <v>7</v>
      </c>
      <c r="E2012" s="37" t="s">
        <v>6890</v>
      </c>
      <c r="F2012" s="16" t="s">
        <v>1285</v>
      </c>
      <c r="G2012" s="16" t="s">
        <v>322</v>
      </c>
      <c r="H2012" s="16" t="s">
        <v>6716</v>
      </c>
      <c r="I2012" s="16" t="s">
        <v>129</v>
      </c>
      <c r="J2012" s="16" t="s">
        <v>6943</v>
      </c>
      <c r="K2012" s="32" t="n">
        <v>11</v>
      </c>
      <c r="L2012" s="33" t="n">
        <v>46081</v>
      </c>
      <c r="M2012" s="33" t="n">
        <v>46091</v>
      </c>
      <c r="N2012" s="16" t="s">
        <v>6950</v>
      </c>
      <c r="O2012" s="16"/>
      <c r="P2012" s="16" t="str">
        <f aca="false">IF(AND(L2012&lt;=$D$2,M2012&gt;=$C$2),"Sí","")</f>
        <v/>
      </c>
      <c r="Q2012" s="18" t="str">
        <f aca="false">IF(COUNTIF(LOOKAHEAD!$A$5:$A$604,A2012)&gt;0,"En Lookahead",IF(P2012="Sí","INCORPORAR",""))</f>
        <v/>
      </c>
    </row>
    <row r="2013" customFormat="false" ht="15" hidden="false" customHeight="false" outlineLevel="0" collapsed="false">
      <c r="A2013" s="16" t="s">
        <v>6951</v>
      </c>
      <c r="B2013" s="16" t="n">
        <v>2008</v>
      </c>
      <c r="C2013" s="16" t="s">
        <v>6952</v>
      </c>
      <c r="D2013" s="16" t="n">
        <v>7</v>
      </c>
      <c r="E2013" s="37" t="s">
        <v>6870</v>
      </c>
      <c r="F2013" s="16" t="s">
        <v>1285</v>
      </c>
      <c r="G2013" s="16" t="s">
        <v>322</v>
      </c>
      <c r="H2013" s="16" t="s">
        <v>6716</v>
      </c>
      <c r="I2013" s="16" t="s">
        <v>129</v>
      </c>
      <c r="J2013" s="16" t="s">
        <v>6943</v>
      </c>
      <c r="K2013" s="32" t="n">
        <v>2</v>
      </c>
      <c r="L2013" s="33" t="n">
        <v>46078</v>
      </c>
      <c r="M2013" s="33" t="n">
        <v>46079</v>
      </c>
      <c r="N2013" s="16" t="s">
        <v>6953</v>
      </c>
      <c r="O2013" s="16"/>
      <c r="P2013" s="16" t="str">
        <f aca="false">IF(AND(L2013&lt;=$D$2,M2013&gt;=$C$2),"Sí","")</f>
        <v/>
      </c>
      <c r="Q2013" s="18" t="str">
        <f aca="false">IF(COUNTIF(LOOKAHEAD!$A$5:$A$604,A2013)&gt;0,"En Lookahead",IF(P2013="Sí","INCORPORAR",""))</f>
        <v/>
      </c>
    </row>
    <row r="2014" customFormat="false" ht="15" hidden="false" customHeight="false" outlineLevel="0" collapsed="false">
      <c r="A2014" s="16" t="s">
        <v>6954</v>
      </c>
      <c r="B2014" s="16" t="n">
        <v>2009</v>
      </c>
      <c r="C2014" s="16" t="s">
        <v>6955</v>
      </c>
      <c r="D2014" s="16" t="n">
        <v>7</v>
      </c>
      <c r="E2014" s="37" t="s">
        <v>2215</v>
      </c>
      <c r="F2014" s="16" t="s">
        <v>1285</v>
      </c>
      <c r="G2014" s="16" t="s">
        <v>322</v>
      </c>
      <c r="H2014" s="16" t="s">
        <v>6716</v>
      </c>
      <c r="I2014" s="16" t="s">
        <v>129</v>
      </c>
      <c r="J2014" s="16" t="s">
        <v>6943</v>
      </c>
      <c r="K2014" s="32" t="n">
        <v>3</v>
      </c>
      <c r="L2014" s="33" t="n">
        <v>46078</v>
      </c>
      <c r="M2014" s="33" t="n">
        <v>46080</v>
      </c>
      <c r="N2014" s="16" t="s">
        <v>6956</v>
      </c>
      <c r="O2014" s="16"/>
      <c r="P2014" s="16" t="str">
        <f aca="false">IF(AND(L2014&lt;=$D$2,M2014&gt;=$C$2),"Sí","")</f>
        <v/>
      </c>
      <c r="Q2014" s="18" t="str">
        <f aca="false">IF(COUNTIF(LOOKAHEAD!$A$5:$A$604,A2014)&gt;0,"En Lookahead",IF(P2014="Sí","INCORPORAR",""))</f>
        <v/>
      </c>
    </row>
    <row r="2015" customFormat="false" ht="15" hidden="false" customHeight="false" outlineLevel="0" collapsed="false">
      <c r="A2015" s="16" t="s">
        <v>6957</v>
      </c>
      <c r="B2015" s="16" t="n">
        <v>2010</v>
      </c>
      <c r="C2015" s="16" t="s">
        <v>6958</v>
      </c>
      <c r="D2015" s="16" t="n">
        <v>7</v>
      </c>
      <c r="E2015" s="37" t="s">
        <v>2219</v>
      </c>
      <c r="F2015" s="16" t="s">
        <v>1285</v>
      </c>
      <c r="G2015" s="16" t="s">
        <v>322</v>
      </c>
      <c r="H2015" s="16" t="s">
        <v>6716</v>
      </c>
      <c r="I2015" s="16" t="s">
        <v>129</v>
      </c>
      <c r="J2015" s="16" t="s">
        <v>6943</v>
      </c>
      <c r="K2015" s="32" t="n">
        <v>3</v>
      </c>
      <c r="L2015" s="33" t="n">
        <v>46095</v>
      </c>
      <c r="M2015" s="33" t="n">
        <v>46097</v>
      </c>
      <c r="N2015" s="16" t="s">
        <v>6959</v>
      </c>
      <c r="O2015" s="16"/>
      <c r="P2015" s="16" t="str">
        <f aca="false">IF(AND(L2015&lt;=$D$2,M2015&gt;=$C$2),"Sí","")</f>
        <v/>
      </c>
      <c r="Q2015" s="18" t="str">
        <f aca="false">IF(COUNTIF(LOOKAHEAD!$A$5:$A$604,A2015)&gt;0,"En Lookahead",IF(P2015="Sí","INCORPORAR",""))</f>
        <v/>
      </c>
    </row>
    <row r="2016" customFormat="false" ht="15" hidden="false" customHeight="false" outlineLevel="0" collapsed="false">
      <c r="A2016" s="16" t="s">
        <v>6960</v>
      </c>
      <c r="B2016" s="16" t="n">
        <v>2011</v>
      </c>
      <c r="C2016" s="16" t="s">
        <v>6961</v>
      </c>
      <c r="D2016" s="16" t="n">
        <v>7</v>
      </c>
      <c r="E2016" s="37" t="s">
        <v>2207</v>
      </c>
      <c r="F2016" s="16" t="s">
        <v>1285</v>
      </c>
      <c r="G2016" s="16" t="s">
        <v>322</v>
      </c>
      <c r="H2016" s="16" t="s">
        <v>6716</v>
      </c>
      <c r="I2016" s="16" t="s">
        <v>129</v>
      </c>
      <c r="J2016" s="16" t="s">
        <v>6943</v>
      </c>
      <c r="K2016" s="32" t="n">
        <v>1</v>
      </c>
      <c r="L2016" s="33" t="n">
        <v>46092</v>
      </c>
      <c r="M2016" s="33" t="n">
        <v>46092</v>
      </c>
      <c r="N2016" s="16" t="s">
        <v>6962</v>
      </c>
      <c r="O2016" s="16"/>
      <c r="P2016" s="16" t="str">
        <f aca="false">IF(AND(L2016&lt;=$D$2,M2016&gt;=$C$2),"Sí","")</f>
        <v/>
      </c>
      <c r="Q2016" s="18" t="str">
        <f aca="false">IF(COUNTIF(LOOKAHEAD!$A$5:$A$604,A2016)&gt;0,"En Lookahead",IF(P2016="Sí","INCORPORAR",""))</f>
        <v/>
      </c>
    </row>
    <row r="2017" customFormat="false" ht="15" hidden="false" customHeight="false" outlineLevel="0" collapsed="false">
      <c r="A2017" s="13" t="s">
        <v>6963</v>
      </c>
      <c r="B2017" s="13" t="n">
        <v>2012</v>
      </c>
      <c r="C2017" s="13" t="s">
        <v>6964</v>
      </c>
      <c r="D2017" s="13" t="n">
        <v>5</v>
      </c>
      <c r="E2017" s="34" t="s">
        <v>6965</v>
      </c>
      <c r="F2017" s="13" t="s">
        <v>1298</v>
      </c>
      <c r="G2017" s="13" t="s">
        <v>322</v>
      </c>
      <c r="H2017" s="13" t="s">
        <v>6716</v>
      </c>
      <c r="I2017" s="13" t="s">
        <v>129</v>
      </c>
      <c r="J2017" s="13" t="s">
        <v>6716</v>
      </c>
      <c r="K2017" s="30" t="n">
        <v>35</v>
      </c>
      <c r="L2017" s="31" t="n">
        <v>45943</v>
      </c>
      <c r="M2017" s="31" t="n">
        <v>45977</v>
      </c>
      <c r="N2017" s="13"/>
      <c r="O2017" s="13"/>
      <c r="P2017" s="13"/>
      <c r="Q2017" s="13"/>
    </row>
    <row r="2018" customFormat="false" ht="15" hidden="false" customHeight="false" outlineLevel="0" collapsed="false">
      <c r="A2018" s="13" t="s">
        <v>6966</v>
      </c>
      <c r="B2018" s="13" t="n">
        <v>2013</v>
      </c>
      <c r="C2018" s="13" t="s">
        <v>6967</v>
      </c>
      <c r="D2018" s="13" t="n">
        <v>6</v>
      </c>
      <c r="E2018" s="36" t="s">
        <v>1534</v>
      </c>
      <c r="F2018" s="13" t="s">
        <v>1298</v>
      </c>
      <c r="G2018" s="13" t="s">
        <v>322</v>
      </c>
      <c r="H2018" s="13" t="s">
        <v>6716</v>
      </c>
      <c r="I2018" s="13" t="s">
        <v>129</v>
      </c>
      <c r="J2018" s="13" t="s">
        <v>6965</v>
      </c>
      <c r="K2018" s="30" t="n">
        <v>9</v>
      </c>
      <c r="L2018" s="31" t="n">
        <v>45943</v>
      </c>
      <c r="M2018" s="31" t="n">
        <v>45951</v>
      </c>
      <c r="N2018" s="13"/>
      <c r="O2018" s="13"/>
      <c r="P2018" s="13"/>
      <c r="Q2018" s="13"/>
    </row>
    <row r="2019" customFormat="false" ht="15" hidden="false" customHeight="false" outlineLevel="0" collapsed="false">
      <c r="A2019" s="16" t="s">
        <v>6968</v>
      </c>
      <c r="B2019" s="16" t="n">
        <v>2014</v>
      </c>
      <c r="C2019" s="16" t="s">
        <v>6969</v>
      </c>
      <c r="D2019" s="16" t="n">
        <v>7</v>
      </c>
      <c r="E2019" s="37" t="s">
        <v>1537</v>
      </c>
      <c r="F2019" s="16" t="s">
        <v>1285</v>
      </c>
      <c r="G2019" s="16" t="s">
        <v>322</v>
      </c>
      <c r="H2019" s="16" t="s">
        <v>6716</v>
      </c>
      <c r="I2019" s="16" t="s">
        <v>129</v>
      </c>
      <c r="J2019" s="16" t="s">
        <v>1534</v>
      </c>
      <c r="K2019" s="32" t="n">
        <v>1</v>
      </c>
      <c r="L2019" s="33" t="n">
        <v>45943</v>
      </c>
      <c r="M2019" s="33" t="n">
        <v>45943</v>
      </c>
      <c r="N2019" s="16" t="s">
        <v>6970</v>
      </c>
      <c r="O2019" s="16"/>
      <c r="P2019" s="16" t="str">
        <f aca="false">IF(AND(L2019&lt;=$D$2,M2019&gt;=$C$2),"Sí","")</f>
        <v/>
      </c>
      <c r="Q2019" s="18" t="str">
        <f aca="false">IF(COUNTIF(LOOKAHEAD!$A$5:$A$604,A2019)&gt;0,"En Lookahead",IF(P2019="Sí","INCORPORAR",""))</f>
        <v/>
      </c>
    </row>
    <row r="2020" customFormat="false" ht="15" hidden="false" customHeight="false" outlineLevel="0" collapsed="false">
      <c r="A2020" s="16" t="s">
        <v>6971</v>
      </c>
      <c r="B2020" s="16" t="n">
        <v>2015</v>
      </c>
      <c r="C2020" s="16" t="s">
        <v>6972</v>
      </c>
      <c r="D2020" s="16" t="n">
        <v>7</v>
      </c>
      <c r="E2020" s="37" t="s">
        <v>1560</v>
      </c>
      <c r="F2020" s="16" t="s">
        <v>1285</v>
      </c>
      <c r="G2020" s="16" t="s">
        <v>322</v>
      </c>
      <c r="H2020" s="16" t="s">
        <v>6716</v>
      </c>
      <c r="I2020" s="16" t="s">
        <v>129</v>
      </c>
      <c r="J2020" s="16" t="s">
        <v>1534</v>
      </c>
      <c r="K2020" s="32" t="n">
        <v>1</v>
      </c>
      <c r="L2020" s="33" t="n">
        <v>45947</v>
      </c>
      <c r="M2020" s="33" t="n">
        <v>45947</v>
      </c>
      <c r="N2020" s="16" t="s">
        <v>6973</v>
      </c>
      <c r="O2020" s="16"/>
      <c r="P2020" s="16" t="str">
        <f aca="false">IF(AND(L2020&lt;=$D$2,M2020&gt;=$C$2),"Sí","")</f>
        <v/>
      </c>
      <c r="Q2020" s="18" t="str">
        <f aca="false">IF(COUNTIF(LOOKAHEAD!$A$5:$A$604,A2020)&gt;0,"En Lookahead",IF(P2020="Sí","INCORPORAR",""))</f>
        <v/>
      </c>
    </row>
    <row r="2021" customFormat="false" ht="15" hidden="false" customHeight="false" outlineLevel="0" collapsed="false">
      <c r="A2021" s="16" t="s">
        <v>6974</v>
      </c>
      <c r="B2021" s="16" t="n">
        <v>2016</v>
      </c>
      <c r="C2021" s="16" t="s">
        <v>6975</v>
      </c>
      <c r="D2021" s="16" t="n">
        <v>7</v>
      </c>
      <c r="E2021" s="37" t="s">
        <v>6976</v>
      </c>
      <c r="F2021" s="16" t="s">
        <v>1285</v>
      </c>
      <c r="G2021" s="16" t="s">
        <v>322</v>
      </c>
      <c r="H2021" s="16" t="s">
        <v>6716</v>
      </c>
      <c r="I2021" s="16" t="s">
        <v>129</v>
      </c>
      <c r="J2021" s="16" t="s">
        <v>1534</v>
      </c>
      <c r="K2021" s="32" t="n">
        <v>1</v>
      </c>
      <c r="L2021" s="33" t="n">
        <v>45944</v>
      </c>
      <c r="M2021" s="33" t="n">
        <v>45944</v>
      </c>
      <c r="N2021" s="16" t="s">
        <v>6977</v>
      </c>
      <c r="O2021" s="16"/>
      <c r="P2021" s="16" t="str">
        <f aca="false">IF(AND(L2021&lt;=$D$2,M2021&gt;=$C$2),"Sí","")</f>
        <v/>
      </c>
      <c r="Q2021" s="18" t="str">
        <f aca="false">IF(COUNTIF(LOOKAHEAD!$A$5:$A$604,A2021)&gt;0,"En Lookahead",IF(P2021="Sí","INCORPORAR",""))</f>
        <v/>
      </c>
    </row>
    <row r="2022" customFormat="false" ht="15" hidden="false" customHeight="false" outlineLevel="0" collapsed="false">
      <c r="A2022" s="16" t="s">
        <v>6978</v>
      </c>
      <c r="B2022" s="16" t="n">
        <v>2017</v>
      </c>
      <c r="C2022" s="16" t="s">
        <v>6979</v>
      </c>
      <c r="D2022" s="16" t="n">
        <v>7</v>
      </c>
      <c r="E2022" s="37" t="s">
        <v>6980</v>
      </c>
      <c r="F2022" s="16" t="s">
        <v>1285</v>
      </c>
      <c r="G2022" s="16" t="s">
        <v>322</v>
      </c>
      <c r="H2022" s="16" t="s">
        <v>6716</v>
      </c>
      <c r="I2022" s="16" t="s">
        <v>129</v>
      </c>
      <c r="J2022" s="16" t="s">
        <v>1534</v>
      </c>
      <c r="K2022" s="32" t="n">
        <v>7</v>
      </c>
      <c r="L2022" s="33" t="n">
        <v>45945</v>
      </c>
      <c r="M2022" s="33" t="n">
        <v>45951</v>
      </c>
      <c r="N2022" s="16" t="s">
        <v>6981</v>
      </c>
      <c r="O2022" s="16"/>
      <c r="P2022" s="16" t="str">
        <f aca="false">IF(AND(L2022&lt;=$D$2,M2022&gt;=$C$2),"Sí","")</f>
        <v/>
      </c>
      <c r="Q2022" s="18" t="str">
        <f aca="false">IF(COUNTIF(LOOKAHEAD!$A$5:$A$604,A2022)&gt;0,"En Lookahead",IF(P2022="Sí","INCORPORAR",""))</f>
        <v/>
      </c>
    </row>
    <row r="2023" customFormat="false" ht="15" hidden="false" customHeight="false" outlineLevel="0" collapsed="false">
      <c r="A2023" s="13" t="s">
        <v>6982</v>
      </c>
      <c r="B2023" s="13" t="n">
        <v>2018</v>
      </c>
      <c r="C2023" s="13" t="s">
        <v>6983</v>
      </c>
      <c r="D2023" s="13" t="n">
        <v>6</v>
      </c>
      <c r="E2023" s="36" t="s">
        <v>6984</v>
      </c>
      <c r="F2023" s="13" t="s">
        <v>1298</v>
      </c>
      <c r="G2023" s="13" t="s">
        <v>322</v>
      </c>
      <c r="H2023" s="13" t="s">
        <v>6716</v>
      </c>
      <c r="I2023" s="13" t="s">
        <v>129</v>
      </c>
      <c r="J2023" s="13" t="s">
        <v>6965</v>
      </c>
      <c r="K2023" s="30" t="n">
        <v>9</v>
      </c>
      <c r="L2023" s="31" t="n">
        <v>45945</v>
      </c>
      <c r="M2023" s="31" t="n">
        <v>45953</v>
      </c>
      <c r="N2023" s="13"/>
      <c r="O2023" s="13"/>
      <c r="P2023" s="13"/>
      <c r="Q2023" s="13"/>
    </row>
    <row r="2024" customFormat="false" ht="15" hidden="false" customHeight="false" outlineLevel="0" collapsed="false">
      <c r="A2024" s="16" t="s">
        <v>6985</v>
      </c>
      <c r="B2024" s="16" t="n">
        <v>2019</v>
      </c>
      <c r="C2024" s="16" t="s">
        <v>6986</v>
      </c>
      <c r="D2024" s="16" t="n">
        <v>7</v>
      </c>
      <c r="E2024" s="37" t="s">
        <v>6987</v>
      </c>
      <c r="F2024" s="16" t="s">
        <v>1285</v>
      </c>
      <c r="G2024" s="16" t="s">
        <v>322</v>
      </c>
      <c r="H2024" s="16" t="s">
        <v>6716</v>
      </c>
      <c r="I2024" s="16" t="s">
        <v>129</v>
      </c>
      <c r="J2024" s="16" t="s">
        <v>6984</v>
      </c>
      <c r="K2024" s="32" t="n">
        <v>1</v>
      </c>
      <c r="L2024" s="33" t="n">
        <v>45945</v>
      </c>
      <c r="M2024" s="33" t="n">
        <v>45945</v>
      </c>
      <c r="N2024" s="16" t="s">
        <v>6981</v>
      </c>
      <c r="O2024" s="16"/>
      <c r="P2024" s="16" t="str">
        <f aca="false">IF(AND(L2024&lt;=$D$2,M2024&gt;=$C$2),"Sí","")</f>
        <v/>
      </c>
      <c r="Q2024" s="18" t="str">
        <f aca="false">IF(COUNTIF(LOOKAHEAD!$A$5:$A$604,A2024)&gt;0,"En Lookahead",IF(P2024="Sí","INCORPORAR",""))</f>
        <v/>
      </c>
    </row>
    <row r="2025" customFormat="false" ht="15" hidden="false" customHeight="false" outlineLevel="0" collapsed="false">
      <c r="A2025" s="16" t="s">
        <v>6988</v>
      </c>
      <c r="B2025" s="16" t="n">
        <v>2020</v>
      </c>
      <c r="C2025" s="16" t="s">
        <v>6989</v>
      </c>
      <c r="D2025" s="16" t="n">
        <v>7</v>
      </c>
      <c r="E2025" s="37" t="s">
        <v>6990</v>
      </c>
      <c r="F2025" s="16" t="s">
        <v>1285</v>
      </c>
      <c r="G2025" s="16" t="s">
        <v>322</v>
      </c>
      <c r="H2025" s="16" t="s">
        <v>6716</v>
      </c>
      <c r="I2025" s="16" t="s">
        <v>129</v>
      </c>
      <c r="J2025" s="16" t="s">
        <v>6984</v>
      </c>
      <c r="K2025" s="32" t="n">
        <v>1</v>
      </c>
      <c r="L2025" s="33" t="n">
        <v>45946</v>
      </c>
      <c r="M2025" s="33" t="n">
        <v>45946</v>
      </c>
      <c r="N2025" s="16" t="s">
        <v>6991</v>
      </c>
      <c r="O2025" s="16"/>
      <c r="P2025" s="16" t="str">
        <f aca="false">IF(AND(L2025&lt;=$D$2,M2025&gt;=$C$2),"Sí","")</f>
        <v/>
      </c>
      <c r="Q2025" s="18" t="str">
        <f aca="false">IF(COUNTIF(LOOKAHEAD!$A$5:$A$604,A2025)&gt;0,"En Lookahead",IF(P2025="Sí","INCORPORAR",""))</f>
        <v/>
      </c>
    </row>
    <row r="2026" customFormat="false" ht="15" hidden="false" customHeight="false" outlineLevel="0" collapsed="false">
      <c r="A2026" s="16" t="s">
        <v>6992</v>
      </c>
      <c r="B2026" s="16" t="n">
        <v>2021</v>
      </c>
      <c r="C2026" s="16" t="s">
        <v>6993</v>
      </c>
      <c r="D2026" s="16" t="n">
        <v>7</v>
      </c>
      <c r="E2026" s="37" t="s">
        <v>6994</v>
      </c>
      <c r="F2026" s="16" t="s">
        <v>1285</v>
      </c>
      <c r="G2026" s="16" t="s">
        <v>322</v>
      </c>
      <c r="H2026" s="16" t="s">
        <v>6716</v>
      </c>
      <c r="I2026" s="16" t="s">
        <v>129</v>
      </c>
      <c r="J2026" s="16" t="s">
        <v>6984</v>
      </c>
      <c r="K2026" s="32" t="n">
        <v>7</v>
      </c>
      <c r="L2026" s="33" t="n">
        <v>45947</v>
      </c>
      <c r="M2026" s="33" t="n">
        <v>45953</v>
      </c>
      <c r="N2026" s="16" t="s">
        <v>6995</v>
      </c>
      <c r="O2026" s="16"/>
      <c r="P2026" s="16" t="str">
        <f aca="false">IF(AND(L2026&lt;=$D$2,M2026&gt;=$C$2),"Sí","")</f>
        <v/>
      </c>
      <c r="Q2026" s="18" t="str">
        <f aca="false">IF(COUNTIF(LOOKAHEAD!$A$5:$A$604,A2026)&gt;0,"En Lookahead",IF(P2026="Sí","INCORPORAR",""))</f>
        <v/>
      </c>
    </row>
    <row r="2027" customFormat="false" ht="15" hidden="false" customHeight="false" outlineLevel="0" collapsed="false">
      <c r="A2027" s="13" t="s">
        <v>6996</v>
      </c>
      <c r="B2027" s="13" t="n">
        <v>2022</v>
      </c>
      <c r="C2027" s="13" t="s">
        <v>6997</v>
      </c>
      <c r="D2027" s="13" t="n">
        <v>6</v>
      </c>
      <c r="E2027" s="36" t="s">
        <v>6998</v>
      </c>
      <c r="F2027" s="13" t="s">
        <v>1298</v>
      </c>
      <c r="G2027" s="13" t="s">
        <v>322</v>
      </c>
      <c r="H2027" s="13" t="s">
        <v>6716</v>
      </c>
      <c r="I2027" s="13" t="s">
        <v>129</v>
      </c>
      <c r="J2027" s="13" t="s">
        <v>6965</v>
      </c>
      <c r="K2027" s="30" t="n">
        <v>24</v>
      </c>
      <c r="L2027" s="31" t="n">
        <v>45947</v>
      </c>
      <c r="M2027" s="31" t="n">
        <v>45970</v>
      </c>
      <c r="N2027" s="13"/>
      <c r="O2027" s="13"/>
      <c r="P2027" s="13"/>
      <c r="Q2027" s="13"/>
    </row>
    <row r="2028" customFormat="false" ht="15" hidden="false" customHeight="false" outlineLevel="0" collapsed="false">
      <c r="A2028" s="16" t="s">
        <v>6999</v>
      </c>
      <c r="B2028" s="16" t="n">
        <v>2023</v>
      </c>
      <c r="C2028" s="16" t="s">
        <v>7000</v>
      </c>
      <c r="D2028" s="16" t="n">
        <v>7</v>
      </c>
      <c r="E2028" s="37" t="s">
        <v>7001</v>
      </c>
      <c r="F2028" s="16" t="s">
        <v>1285</v>
      </c>
      <c r="G2028" s="16" t="s">
        <v>322</v>
      </c>
      <c r="H2028" s="16" t="s">
        <v>6716</v>
      </c>
      <c r="I2028" s="16" t="s">
        <v>129</v>
      </c>
      <c r="J2028" s="16" t="s">
        <v>6998</v>
      </c>
      <c r="K2028" s="32" t="n">
        <v>17</v>
      </c>
      <c r="L2028" s="33" t="n">
        <v>45948</v>
      </c>
      <c r="M2028" s="33" t="n">
        <v>45964</v>
      </c>
      <c r="N2028" s="16" t="s">
        <v>7002</v>
      </c>
      <c r="O2028" s="16"/>
      <c r="P2028" s="16" t="str">
        <f aca="false">IF(AND(L2028&lt;=$D$2,M2028&gt;=$C$2),"Sí","")</f>
        <v/>
      </c>
      <c r="Q2028" s="18" t="str">
        <f aca="false">IF(COUNTIF(LOOKAHEAD!$A$5:$A$604,A2028)&gt;0,"En Lookahead",IF(P2028="Sí","INCORPORAR",""))</f>
        <v/>
      </c>
    </row>
    <row r="2029" customFormat="false" ht="15" hidden="false" customHeight="false" outlineLevel="0" collapsed="false">
      <c r="A2029" s="16" t="s">
        <v>7003</v>
      </c>
      <c r="B2029" s="16" t="n">
        <v>2024</v>
      </c>
      <c r="C2029" s="16" t="s">
        <v>7004</v>
      </c>
      <c r="D2029" s="16" t="n">
        <v>7</v>
      </c>
      <c r="E2029" s="37" t="s">
        <v>7005</v>
      </c>
      <c r="F2029" s="16" t="s">
        <v>1285</v>
      </c>
      <c r="G2029" s="16" t="s">
        <v>322</v>
      </c>
      <c r="H2029" s="16" t="s">
        <v>6716</v>
      </c>
      <c r="I2029" s="16" t="s">
        <v>129</v>
      </c>
      <c r="J2029" s="16" t="s">
        <v>6998</v>
      </c>
      <c r="K2029" s="32" t="n">
        <v>2</v>
      </c>
      <c r="L2029" s="33" t="n">
        <v>45965</v>
      </c>
      <c r="M2029" s="33" t="n">
        <v>45966</v>
      </c>
      <c r="N2029" s="16" t="s">
        <v>7006</v>
      </c>
      <c r="O2029" s="16"/>
      <c r="P2029" s="16" t="str">
        <f aca="false">IF(AND(L2029&lt;=$D$2,M2029&gt;=$C$2),"Sí","")</f>
        <v/>
      </c>
      <c r="Q2029" s="18" t="str">
        <f aca="false">IF(COUNTIF(LOOKAHEAD!$A$5:$A$604,A2029)&gt;0,"En Lookahead",IF(P2029="Sí","INCORPORAR",""))</f>
        <v/>
      </c>
    </row>
    <row r="2030" customFormat="false" ht="15" hidden="false" customHeight="false" outlineLevel="0" collapsed="false">
      <c r="A2030" s="16" t="s">
        <v>7007</v>
      </c>
      <c r="B2030" s="16" t="n">
        <v>2025</v>
      </c>
      <c r="C2030" s="16" t="s">
        <v>7008</v>
      </c>
      <c r="D2030" s="16" t="n">
        <v>7</v>
      </c>
      <c r="E2030" s="37" t="s">
        <v>7009</v>
      </c>
      <c r="F2030" s="16" t="s">
        <v>1285</v>
      </c>
      <c r="G2030" s="16" t="s">
        <v>322</v>
      </c>
      <c r="H2030" s="16" t="s">
        <v>6716</v>
      </c>
      <c r="I2030" s="16" t="s">
        <v>129</v>
      </c>
      <c r="J2030" s="16" t="s">
        <v>6998</v>
      </c>
      <c r="K2030" s="32" t="n">
        <v>4</v>
      </c>
      <c r="L2030" s="33" t="n">
        <v>45967</v>
      </c>
      <c r="M2030" s="33" t="n">
        <v>45970</v>
      </c>
      <c r="N2030" s="16" t="s">
        <v>7010</v>
      </c>
      <c r="O2030" s="16"/>
      <c r="P2030" s="16" t="str">
        <f aca="false">IF(AND(L2030&lt;=$D$2,M2030&gt;=$C$2),"Sí","")</f>
        <v/>
      </c>
      <c r="Q2030" s="18" t="str">
        <f aca="false">IF(COUNTIF(LOOKAHEAD!$A$5:$A$604,A2030)&gt;0,"En Lookahead",IF(P2030="Sí","INCORPORAR",""))</f>
        <v/>
      </c>
    </row>
    <row r="2031" customFormat="false" ht="15" hidden="false" customHeight="false" outlineLevel="0" collapsed="false">
      <c r="A2031" s="16" t="s">
        <v>7011</v>
      </c>
      <c r="B2031" s="16" t="n">
        <v>2026</v>
      </c>
      <c r="C2031" s="16" t="s">
        <v>7012</v>
      </c>
      <c r="D2031" s="16" t="n">
        <v>7</v>
      </c>
      <c r="E2031" s="37" t="s">
        <v>7013</v>
      </c>
      <c r="F2031" s="16" t="s">
        <v>1285</v>
      </c>
      <c r="G2031" s="16" t="s">
        <v>322</v>
      </c>
      <c r="H2031" s="16" t="s">
        <v>6716</v>
      </c>
      <c r="I2031" s="16" t="s">
        <v>129</v>
      </c>
      <c r="J2031" s="16" t="s">
        <v>6998</v>
      </c>
      <c r="K2031" s="32" t="n">
        <v>1</v>
      </c>
      <c r="L2031" s="33" t="n">
        <v>45947</v>
      </c>
      <c r="M2031" s="33" t="n">
        <v>45947</v>
      </c>
      <c r="N2031" s="16" t="s">
        <v>6995</v>
      </c>
      <c r="O2031" s="16"/>
      <c r="P2031" s="16" t="str">
        <f aca="false">IF(AND(L2031&lt;=$D$2,M2031&gt;=$C$2),"Sí","")</f>
        <v/>
      </c>
      <c r="Q2031" s="18" t="str">
        <f aca="false">IF(COUNTIF(LOOKAHEAD!$A$5:$A$604,A2031)&gt;0,"En Lookahead",IF(P2031="Sí","INCORPORAR",""))</f>
        <v/>
      </c>
    </row>
    <row r="2032" customFormat="false" ht="15" hidden="false" customHeight="false" outlineLevel="0" collapsed="false">
      <c r="A2032" s="16" t="s">
        <v>7014</v>
      </c>
      <c r="B2032" s="16" t="n">
        <v>2027</v>
      </c>
      <c r="C2032" s="16" t="s">
        <v>7015</v>
      </c>
      <c r="D2032" s="16" t="n">
        <v>7</v>
      </c>
      <c r="E2032" s="37" t="s">
        <v>7016</v>
      </c>
      <c r="F2032" s="16" t="s">
        <v>1285</v>
      </c>
      <c r="G2032" s="16" t="s">
        <v>322</v>
      </c>
      <c r="H2032" s="16" t="s">
        <v>6716</v>
      </c>
      <c r="I2032" s="16" t="s">
        <v>129</v>
      </c>
      <c r="J2032" s="16" t="s">
        <v>6998</v>
      </c>
      <c r="K2032" s="32" t="n">
        <v>1</v>
      </c>
      <c r="L2032" s="33" t="n">
        <v>45947</v>
      </c>
      <c r="M2032" s="33" t="n">
        <v>45947</v>
      </c>
      <c r="N2032" s="16" t="s">
        <v>7017</v>
      </c>
      <c r="O2032" s="16"/>
      <c r="P2032" s="16" t="str">
        <f aca="false">IF(AND(L2032&lt;=$D$2,M2032&gt;=$C$2),"Sí","")</f>
        <v/>
      </c>
      <c r="Q2032" s="18" t="str">
        <f aca="false">IF(COUNTIF(LOOKAHEAD!$A$5:$A$604,A2032)&gt;0,"En Lookahead",IF(P2032="Sí","INCORPORAR",""))</f>
        <v/>
      </c>
    </row>
    <row r="2033" customFormat="false" ht="15" hidden="false" customHeight="false" outlineLevel="0" collapsed="false">
      <c r="A2033" s="13" t="s">
        <v>7018</v>
      </c>
      <c r="B2033" s="13" t="n">
        <v>2028</v>
      </c>
      <c r="C2033" s="13" t="s">
        <v>7019</v>
      </c>
      <c r="D2033" s="13" t="n">
        <v>6</v>
      </c>
      <c r="E2033" s="36" t="s">
        <v>2137</v>
      </c>
      <c r="F2033" s="13" t="s">
        <v>1298</v>
      </c>
      <c r="G2033" s="13" t="s">
        <v>322</v>
      </c>
      <c r="H2033" s="13" t="s">
        <v>6716</v>
      </c>
      <c r="I2033" s="13" t="s">
        <v>129</v>
      </c>
      <c r="J2033" s="13" t="s">
        <v>6965</v>
      </c>
      <c r="K2033" s="30" t="n">
        <v>11</v>
      </c>
      <c r="L2033" s="31" t="n">
        <v>45967</v>
      </c>
      <c r="M2033" s="31" t="n">
        <v>45977</v>
      </c>
      <c r="N2033" s="13"/>
      <c r="O2033" s="13"/>
      <c r="P2033" s="13"/>
      <c r="Q2033" s="13"/>
    </row>
    <row r="2034" customFormat="false" ht="15" hidden="false" customHeight="false" outlineLevel="0" collapsed="false">
      <c r="A2034" s="16" t="s">
        <v>7020</v>
      </c>
      <c r="B2034" s="16" t="n">
        <v>2029</v>
      </c>
      <c r="C2034" s="16" t="s">
        <v>7021</v>
      </c>
      <c r="D2034" s="16" t="n">
        <v>7</v>
      </c>
      <c r="E2034" s="37" t="s">
        <v>7022</v>
      </c>
      <c r="F2034" s="16" t="s">
        <v>1285</v>
      </c>
      <c r="G2034" s="16" t="s">
        <v>322</v>
      </c>
      <c r="H2034" s="16" t="s">
        <v>6716</v>
      </c>
      <c r="I2034" s="16" t="s">
        <v>129</v>
      </c>
      <c r="J2034" s="16" t="s">
        <v>2137</v>
      </c>
      <c r="K2034" s="32" t="n">
        <v>5</v>
      </c>
      <c r="L2034" s="33" t="n">
        <v>45967</v>
      </c>
      <c r="M2034" s="33" t="n">
        <v>45971</v>
      </c>
      <c r="N2034" s="16" t="s">
        <v>7010</v>
      </c>
      <c r="O2034" s="16"/>
      <c r="P2034" s="16" t="str">
        <f aca="false">IF(AND(L2034&lt;=$D$2,M2034&gt;=$C$2),"Sí","")</f>
        <v/>
      </c>
      <c r="Q2034" s="18" t="str">
        <f aca="false">IF(COUNTIF(LOOKAHEAD!$A$5:$A$604,A2034)&gt;0,"En Lookahead",IF(P2034="Sí","INCORPORAR",""))</f>
        <v/>
      </c>
    </row>
    <row r="2035" customFormat="false" ht="15" hidden="false" customHeight="false" outlineLevel="0" collapsed="false">
      <c r="A2035" s="16" t="s">
        <v>7023</v>
      </c>
      <c r="B2035" s="16" t="n">
        <v>2030</v>
      </c>
      <c r="C2035" s="16" t="s">
        <v>7024</v>
      </c>
      <c r="D2035" s="16" t="n">
        <v>7</v>
      </c>
      <c r="E2035" s="37" t="s">
        <v>7025</v>
      </c>
      <c r="F2035" s="16" t="s">
        <v>1285</v>
      </c>
      <c r="G2035" s="16" t="s">
        <v>322</v>
      </c>
      <c r="H2035" s="16" t="s">
        <v>6716</v>
      </c>
      <c r="I2035" s="16" t="s">
        <v>129</v>
      </c>
      <c r="J2035" s="16" t="s">
        <v>2137</v>
      </c>
      <c r="K2035" s="32" t="n">
        <v>6</v>
      </c>
      <c r="L2035" s="33" t="n">
        <v>45972</v>
      </c>
      <c r="M2035" s="33" t="n">
        <v>45977</v>
      </c>
      <c r="N2035" s="16" t="s">
        <v>7026</v>
      </c>
      <c r="O2035" s="16"/>
      <c r="P2035" s="16" t="str">
        <f aca="false">IF(AND(L2035&lt;=$D$2,M2035&gt;=$C$2),"Sí","")</f>
        <v/>
      </c>
      <c r="Q2035" s="18" t="str">
        <f aca="false">IF(COUNTIF(LOOKAHEAD!$A$5:$A$604,A2035)&gt;0,"En Lookahead",IF(P2035="Sí","INCORPORAR",""))</f>
        <v/>
      </c>
    </row>
    <row r="2036" customFormat="false" ht="15" hidden="false" customHeight="false" outlineLevel="0" collapsed="false">
      <c r="A2036" s="13" t="s">
        <v>7027</v>
      </c>
      <c r="B2036" s="13" t="n">
        <v>2031</v>
      </c>
      <c r="C2036" s="13" t="s">
        <v>7028</v>
      </c>
      <c r="D2036" s="13" t="n">
        <v>5</v>
      </c>
      <c r="E2036" s="34" t="s">
        <v>4154</v>
      </c>
      <c r="F2036" s="13" t="s">
        <v>1298</v>
      </c>
      <c r="G2036" s="13" t="s">
        <v>322</v>
      </c>
      <c r="H2036" s="13" t="s">
        <v>6716</v>
      </c>
      <c r="I2036" s="13" t="s">
        <v>129</v>
      </c>
      <c r="J2036" s="13" t="s">
        <v>6716</v>
      </c>
      <c r="K2036" s="30" t="n">
        <v>49</v>
      </c>
      <c r="L2036" s="31" t="n">
        <v>45943</v>
      </c>
      <c r="M2036" s="31" t="n">
        <v>45991</v>
      </c>
      <c r="N2036" s="13"/>
      <c r="O2036" s="13"/>
      <c r="P2036" s="13"/>
      <c r="Q2036" s="13"/>
    </row>
    <row r="2037" customFormat="false" ht="15" hidden="false" customHeight="false" outlineLevel="0" collapsed="false">
      <c r="A2037" s="13" t="s">
        <v>7029</v>
      </c>
      <c r="B2037" s="13" t="n">
        <v>2032</v>
      </c>
      <c r="C2037" s="13" t="s">
        <v>7030</v>
      </c>
      <c r="D2037" s="13" t="n">
        <v>6</v>
      </c>
      <c r="E2037" s="36" t="s">
        <v>7031</v>
      </c>
      <c r="F2037" s="13" t="s">
        <v>1298</v>
      </c>
      <c r="G2037" s="13" t="s">
        <v>322</v>
      </c>
      <c r="H2037" s="13" t="s">
        <v>6716</v>
      </c>
      <c r="I2037" s="13" t="s">
        <v>129</v>
      </c>
      <c r="J2037" s="13" t="s">
        <v>4154</v>
      </c>
      <c r="K2037" s="30" t="n">
        <v>1</v>
      </c>
      <c r="L2037" s="31" t="n">
        <v>45943</v>
      </c>
      <c r="M2037" s="31" t="n">
        <v>45943</v>
      </c>
      <c r="N2037" s="13"/>
      <c r="O2037" s="13"/>
      <c r="P2037" s="13"/>
      <c r="Q2037" s="13"/>
    </row>
    <row r="2038" customFormat="false" ht="15" hidden="false" customHeight="false" outlineLevel="0" collapsed="false">
      <c r="A2038" s="16" t="s">
        <v>7032</v>
      </c>
      <c r="B2038" s="16" t="n">
        <v>2033</v>
      </c>
      <c r="C2038" s="16" t="s">
        <v>7033</v>
      </c>
      <c r="D2038" s="16" t="n">
        <v>7</v>
      </c>
      <c r="E2038" s="37" t="s">
        <v>1577</v>
      </c>
      <c r="F2038" s="16" t="s">
        <v>1285</v>
      </c>
      <c r="G2038" s="16" t="s">
        <v>322</v>
      </c>
      <c r="H2038" s="16" t="s">
        <v>6716</v>
      </c>
      <c r="I2038" s="16" t="s">
        <v>129</v>
      </c>
      <c r="J2038" s="16" t="s">
        <v>7031</v>
      </c>
      <c r="K2038" s="32" t="n">
        <v>1</v>
      </c>
      <c r="L2038" s="33" t="n">
        <v>45943</v>
      </c>
      <c r="M2038" s="33" t="n">
        <v>45943</v>
      </c>
      <c r="N2038" s="16" t="s">
        <v>7034</v>
      </c>
      <c r="O2038" s="16"/>
      <c r="P2038" s="16" t="str">
        <f aca="false">IF(AND(L2038&lt;=$D$2,M2038&gt;=$C$2),"Sí","")</f>
        <v/>
      </c>
      <c r="Q2038" s="18" t="str">
        <f aca="false">IF(COUNTIF(LOOKAHEAD!$A$5:$A$604,A2038)&gt;0,"En Lookahead",IF(P2038="Sí","INCORPORAR",""))</f>
        <v/>
      </c>
    </row>
    <row r="2039" customFormat="false" ht="15" hidden="false" customHeight="false" outlineLevel="0" collapsed="false">
      <c r="A2039" s="13" t="s">
        <v>7035</v>
      </c>
      <c r="B2039" s="13" t="n">
        <v>2034</v>
      </c>
      <c r="C2039" s="13" t="s">
        <v>7036</v>
      </c>
      <c r="D2039" s="13" t="n">
        <v>6</v>
      </c>
      <c r="E2039" s="36" t="s">
        <v>1626</v>
      </c>
      <c r="F2039" s="13" t="s">
        <v>1298</v>
      </c>
      <c r="G2039" s="13" t="s">
        <v>322</v>
      </c>
      <c r="H2039" s="13" t="s">
        <v>6716</v>
      </c>
      <c r="I2039" s="13" t="s">
        <v>129</v>
      </c>
      <c r="J2039" s="13" t="s">
        <v>4154</v>
      </c>
      <c r="K2039" s="30" t="n">
        <v>16</v>
      </c>
      <c r="L2039" s="31" t="n">
        <v>45944</v>
      </c>
      <c r="M2039" s="31" t="n">
        <v>45959</v>
      </c>
      <c r="N2039" s="13"/>
      <c r="O2039" s="13"/>
      <c r="P2039" s="13"/>
      <c r="Q2039" s="13"/>
    </row>
    <row r="2040" customFormat="false" ht="15" hidden="false" customHeight="false" outlineLevel="0" collapsed="false">
      <c r="A2040" s="16" t="s">
        <v>7037</v>
      </c>
      <c r="B2040" s="16" t="n">
        <v>2035</v>
      </c>
      <c r="C2040" s="16" t="s">
        <v>7038</v>
      </c>
      <c r="D2040" s="16" t="n">
        <v>7</v>
      </c>
      <c r="E2040" s="37" t="s">
        <v>1629</v>
      </c>
      <c r="F2040" s="16" t="s">
        <v>1285</v>
      </c>
      <c r="G2040" s="16" t="s">
        <v>322</v>
      </c>
      <c r="H2040" s="16" t="s">
        <v>6716</v>
      </c>
      <c r="I2040" s="16" t="s">
        <v>129</v>
      </c>
      <c r="J2040" s="16" t="s">
        <v>1626</v>
      </c>
      <c r="K2040" s="32" t="n">
        <v>1</v>
      </c>
      <c r="L2040" s="33" t="n">
        <v>45958</v>
      </c>
      <c r="M2040" s="33" t="n">
        <v>45958</v>
      </c>
      <c r="N2040" s="16" t="s">
        <v>7039</v>
      </c>
      <c r="O2040" s="16"/>
      <c r="P2040" s="16" t="str">
        <f aca="false">IF(AND(L2040&lt;=$D$2,M2040&gt;=$C$2),"Sí","")</f>
        <v/>
      </c>
      <c r="Q2040" s="18" t="str">
        <f aca="false">IF(COUNTIF(LOOKAHEAD!$A$5:$A$604,A2040)&gt;0,"En Lookahead",IF(P2040="Sí","INCORPORAR",""))</f>
        <v/>
      </c>
    </row>
    <row r="2041" customFormat="false" ht="15" hidden="false" customHeight="false" outlineLevel="0" collapsed="false">
      <c r="A2041" s="16" t="s">
        <v>7040</v>
      </c>
      <c r="B2041" s="16" t="n">
        <v>2036</v>
      </c>
      <c r="C2041" s="16" t="s">
        <v>7041</v>
      </c>
      <c r="D2041" s="16" t="n">
        <v>7</v>
      </c>
      <c r="E2041" s="37" t="s">
        <v>1633</v>
      </c>
      <c r="F2041" s="16" t="s">
        <v>1285</v>
      </c>
      <c r="G2041" s="16" t="s">
        <v>322</v>
      </c>
      <c r="H2041" s="16" t="s">
        <v>6716</v>
      </c>
      <c r="I2041" s="16" t="s">
        <v>129</v>
      </c>
      <c r="J2041" s="16" t="s">
        <v>1626</v>
      </c>
      <c r="K2041" s="32" t="n">
        <v>5</v>
      </c>
      <c r="L2041" s="33" t="n">
        <v>45953</v>
      </c>
      <c r="M2041" s="33" t="n">
        <v>45957</v>
      </c>
      <c r="N2041" s="16" t="s">
        <v>7042</v>
      </c>
      <c r="O2041" s="16"/>
      <c r="P2041" s="16" t="str">
        <f aca="false">IF(AND(L2041&lt;=$D$2,M2041&gt;=$C$2),"Sí","")</f>
        <v/>
      </c>
      <c r="Q2041" s="18" t="str">
        <f aca="false">IF(COUNTIF(LOOKAHEAD!$A$5:$A$604,A2041)&gt;0,"En Lookahead",IF(P2041="Sí","INCORPORAR",""))</f>
        <v/>
      </c>
    </row>
    <row r="2042" customFormat="false" ht="15" hidden="false" customHeight="false" outlineLevel="0" collapsed="false">
      <c r="A2042" s="16" t="s">
        <v>7043</v>
      </c>
      <c r="B2042" s="16" t="n">
        <v>2037</v>
      </c>
      <c r="C2042" s="16" t="s">
        <v>7044</v>
      </c>
      <c r="D2042" s="16" t="n">
        <v>7</v>
      </c>
      <c r="E2042" s="37" t="s">
        <v>1637</v>
      </c>
      <c r="F2042" s="16" t="s">
        <v>1285</v>
      </c>
      <c r="G2042" s="16" t="s">
        <v>322</v>
      </c>
      <c r="H2042" s="16" t="s">
        <v>6716</v>
      </c>
      <c r="I2042" s="16" t="s">
        <v>129</v>
      </c>
      <c r="J2042" s="16" t="s">
        <v>1626</v>
      </c>
      <c r="K2042" s="32" t="n">
        <v>9</v>
      </c>
      <c r="L2042" s="33" t="n">
        <v>45944</v>
      </c>
      <c r="M2042" s="33" t="n">
        <v>45952</v>
      </c>
      <c r="N2042" s="16" t="s">
        <v>7045</v>
      </c>
      <c r="O2042" s="16"/>
      <c r="P2042" s="16" t="str">
        <f aca="false">IF(AND(L2042&lt;=$D$2,M2042&gt;=$C$2),"Sí","")</f>
        <v/>
      </c>
      <c r="Q2042" s="18" t="str">
        <f aca="false">IF(COUNTIF(LOOKAHEAD!$A$5:$A$604,A2042)&gt;0,"En Lookahead",IF(P2042="Sí","INCORPORAR",""))</f>
        <v/>
      </c>
    </row>
    <row r="2043" customFormat="false" ht="15" hidden="false" customHeight="false" outlineLevel="0" collapsed="false">
      <c r="A2043" s="16" t="s">
        <v>7046</v>
      </c>
      <c r="B2043" s="16" t="n">
        <v>2038</v>
      </c>
      <c r="C2043" s="16" t="s">
        <v>7047</v>
      </c>
      <c r="D2043" s="16" t="n">
        <v>7</v>
      </c>
      <c r="E2043" s="37" t="s">
        <v>1602</v>
      </c>
      <c r="F2043" s="16" t="s">
        <v>1285</v>
      </c>
      <c r="G2043" s="16" t="s">
        <v>322</v>
      </c>
      <c r="H2043" s="16" t="s">
        <v>6716</v>
      </c>
      <c r="I2043" s="16" t="s">
        <v>129</v>
      </c>
      <c r="J2043" s="16" t="s">
        <v>1626</v>
      </c>
      <c r="K2043" s="32" t="n">
        <v>1</v>
      </c>
      <c r="L2043" s="33" t="n">
        <v>45959</v>
      </c>
      <c r="M2043" s="33" t="n">
        <v>45959</v>
      </c>
      <c r="N2043" s="16" t="s">
        <v>7048</v>
      </c>
      <c r="O2043" s="16"/>
      <c r="P2043" s="16" t="str">
        <f aca="false">IF(AND(L2043&lt;=$D$2,M2043&gt;=$C$2),"Sí","")</f>
        <v/>
      </c>
      <c r="Q2043" s="18" t="str">
        <f aca="false">IF(COUNTIF(LOOKAHEAD!$A$5:$A$604,A2043)&gt;0,"En Lookahead",IF(P2043="Sí","INCORPORAR",""))</f>
        <v/>
      </c>
    </row>
    <row r="2044" customFormat="false" ht="15" hidden="false" customHeight="false" outlineLevel="0" collapsed="false">
      <c r="A2044" s="13" t="s">
        <v>7049</v>
      </c>
      <c r="B2044" s="13" t="n">
        <v>2039</v>
      </c>
      <c r="C2044" s="13" t="s">
        <v>7050</v>
      </c>
      <c r="D2044" s="13" t="n">
        <v>6</v>
      </c>
      <c r="E2044" s="36" t="s">
        <v>7051</v>
      </c>
      <c r="F2044" s="13" t="s">
        <v>1298</v>
      </c>
      <c r="G2044" s="13" t="s">
        <v>322</v>
      </c>
      <c r="H2044" s="13" t="s">
        <v>6716</v>
      </c>
      <c r="I2044" s="13" t="s">
        <v>129</v>
      </c>
      <c r="J2044" s="13" t="s">
        <v>4154</v>
      </c>
      <c r="K2044" s="30" t="n">
        <v>33</v>
      </c>
      <c r="L2044" s="31" t="n">
        <v>45959</v>
      </c>
      <c r="M2044" s="31" t="n">
        <v>45991</v>
      </c>
      <c r="N2044" s="13"/>
      <c r="O2044" s="13"/>
      <c r="P2044" s="13"/>
      <c r="Q2044" s="13"/>
    </row>
    <row r="2045" customFormat="false" ht="15" hidden="false" customHeight="false" outlineLevel="0" collapsed="false">
      <c r="A2045" s="16" t="s">
        <v>7052</v>
      </c>
      <c r="B2045" s="16" t="n">
        <v>2040</v>
      </c>
      <c r="C2045" s="16" t="s">
        <v>7053</v>
      </c>
      <c r="D2045" s="16" t="n">
        <v>7</v>
      </c>
      <c r="E2045" s="37" t="s">
        <v>4127</v>
      </c>
      <c r="F2045" s="16" t="s">
        <v>1285</v>
      </c>
      <c r="G2045" s="16" t="s">
        <v>322</v>
      </c>
      <c r="H2045" s="16" t="s">
        <v>6716</v>
      </c>
      <c r="I2045" s="16" t="s">
        <v>129</v>
      </c>
      <c r="J2045" s="16" t="s">
        <v>7051</v>
      </c>
      <c r="K2045" s="32" t="n">
        <v>1</v>
      </c>
      <c r="L2045" s="33" t="n">
        <v>45988</v>
      </c>
      <c r="M2045" s="33" t="n">
        <v>45988</v>
      </c>
      <c r="N2045" s="16" t="s">
        <v>7054</v>
      </c>
      <c r="O2045" s="16"/>
      <c r="P2045" s="16" t="str">
        <f aca="false">IF(AND(L2045&lt;=$D$2,M2045&gt;=$C$2),"Sí","")</f>
        <v/>
      </c>
      <c r="Q2045" s="18" t="str">
        <f aca="false">IF(COUNTIF(LOOKAHEAD!$A$5:$A$604,A2045)&gt;0,"En Lookahead",IF(P2045="Sí","INCORPORAR",""))</f>
        <v/>
      </c>
    </row>
    <row r="2046" customFormat="false" ht="15" hidden="false" customHeight="false" outlineLevel="0" collapsed="false">
      <c r="A2046" s="16" t="s">
        <v>7055</v>
      </c>
      <c r="B2046" s="16" t="n">
        <v>2041</v>
      </c>
      <c r="C2046" s="16" t="s">
        <v>7056</v>
      </c>
      <c r="D2046" s="16" t="n">
        <v>7</v>
      </c>
      <c r="E2046" s="37" t="s">
        <v>4713</v>
      </c>
      <c r="F2046" s="16" t="s">
        <v>1285</v>
      </c>
      <c r="G2046" s="16" t="s">
        <v>322</v>
      </c>
      <c r="H2046" s="16" t="s">
        <v>6716</v>
      </c>
      <c r="I2046" s="16" t="s">
        <v>129</v>
      </c>
      <c r="J2046" s="16" t="s">
        <v>7051</v>
      </c>
      <c r="K2046" s="32" t="n">
        <v>28</v>
      </c>
      <c r="L2046" s="33" t="n">
        <v>45960</v>
      </c>
      <c r="M2046" s="33" t="n">
        <v>45987</v>
      </c>
      <c r="N2046" s="16" t="s">
        <v>7057</v>
      </c>
      <c r="O2046" s="16"/>
      <c r="P2046" s="16" t="str">
        <f aca="false">IF(AND(L2046&lt;=$D$2,M2046&gt;=$C$2),"Sí","")</f>
        <v/>
      </c>
      <c r="Q2046" s="18" t="str">
        <f aca="false">IF(COUNTIF(LOOKAHEAD!$A$5:$A$604,A2046)&gt;0,"En Lookahead",IF(P2046="Sí","INCORPORAR",""))</f>
        <v/>
      </c>
    </row>
    <row r="2047" customFormat="false" ht="15" hidden="false" customHeight="false" outlineLevel="0" collapsed="false">
      <c r="A2047" s="16" t="s">
        <v>7058</v>
      </c>
      <c r="B2047" s="16" t="n">
        <v>2042</v>
      </c>
      <c r="C2047" s="16" t="s">
        <v>7059</v>
      </c>
      <c r="D2047" s="16" t="n">
        <v>7</v>
      </c>
      <c r="E2047" s="37" t="s">
        <v>4164</v>
      </c>
      <c r="F2047" s="16" t="s">
        <v>1285</v>
      </c>
      <c r="G2047" s="16" t="s">
        <v>322</v>
      </c>
      <c r="H2047" s="16" t="s">
        <v>6716</v>
      </c>
      <c r="I2047" s="16" t="s">
        <v>129</v>
      </c>
      <c r="J2047" s="16" t="s">
        <v>7051</v>
      </c>
      <c r="K2047" s="32" t="n">
        <v>1</v>
      </c>
      <c r="L2047" s="33" t="n">
        <v>45959</v>
      </c>
      <c r="M2047" s="33" t="n">
        <v>45959</v>
      </c>
      <c r="N2047" s="16" t="s">
        <v>7048</v>
      </c>
      <c r="O2047" s="16"/>
      <c r="P2047" s="16" t="str">
        <f aca="false">IF(AND(L2047&lt;=$D$2,M2047&gt;=$C$2),"Sí","")</f>
        <v/>
      </c>
      <c r="Q2047" s="18" t="str">
        <f aca="false">IF(COUNTIF(LOOKAHEAD!$A$5:$A$604,A2047)&gt;0,"En Lookahead",IF(P2047="Sí","INCORPORAR",""))</f>
        <v/>
      </c>
    </row>
    <row r="2048" customFormat="false" ht="15" hidden="false" customHeight="false" outlineLevel="0" collapsed="false">
      <c r="A2048" s="16" t="s">
        <v>7060</v>
      </c>
      <c r="B2048" s="16" t="n">
        <v>2043</v>
      </c>
      <c r="C2048" s="16" t="s">
        <v>7061</v>
      </c>
      <c r="D2048" s="16" t="n">
        <v>7</v>
      </c>
      <c r="E2048" s="37" t="s">
        <v>1677</v>
      </c>
      <c r="F2048" s="16" t="s">
        <v>1285</v>
      </c>
      <c r="G2048" s="16" t="s">
        <v>322</v>
      </c>
      <c r="H2048" s="16" t="s">
        <v>6716</v>
      </c>
      <c r="I2048" s="16" t="s">
        <v>129</v>
      </c>
      <c r="J2048" s="16" t="s">
        <v>7051</v>
      </c>
      <c r="K2048" s="32" t="n">
        <v>3</v>
      </c>
      <c r="L2048" s="33" t="n">
        <v>45989</v>
      </c>
      <c r="M2048" s="33" t="n">
        <v>45991</v>
      </c>
      <c r="N2048" s="16" t="s">
        <v>7062</v>
      </c>
      <c r="O2048" s="16"/>
      <c r="P2048" s="16" t="str">
        <f aca="false">IF(AND(L2048&lt;=$D$2,M2048&gt;=$C$2),"Sí","")</f>
        <v/>
      </c>
      <c r="Q2048" s="18" t="str">
        <f aca="false">IF(COUNTIF(LOOKAHEAD!$A$5:$A$604,A2048)&gt;0,"En Lookahead",IF(P2048="Sí","INCORPORAR",""))</f>
        <v/>
      </c>
    </row>
    <row r="2049" customFormat="false" ht="15" hidden="false" customHeight="false" outlineLevel="0" collapsed="false">
      <c r="A2049" s="13" t="s">
        <v>7063</v>
      </c>
      <c r="B2049" s="13" t="n">
        <v>2044</v>
      </c>
      <c r="C2049" s="13" t="s">
        <v>7064</v>
      </c>
      <c r="D2049" s="13" t="n">
        <v>4</v>
      </c>
      <c r="E2049" s="20" t="s">
        <v>7065</v>
      </c>
      <c r="F2049" s="13" t="s">
        <v>1298</v>
      </c>
      <c r="G2049" s="13" t="s">
        <v>322</v>
      </c>
      <c r="H2049" s="13" t="s">
        <v>7065</v>
      </c>
      <c r="I2049" s="13" t="s">
        <v>134</v>
      </c>
      <c r="J2049" s="13" t="s">
        <v>1528</v>
      </c>
      <c r="K2049" s="30" t="n">
        <v>36</v>
      </c>
      <c r="L2049" s="31" t="n">
        <v>45973</v>
      </c>
      <c r="M2049" s="31" t="n">
        <v>46008</v>
      </c>
      <c r="N2049" s="13"/>
      <c r="O2049" s="13"/>
      <c r="P2049" s="13"/>
      <c r="Q2049" s="13"/>
    </row>
    <row r="2050" customFormat="false" ht="15" hidden="false" customHeight="false" outlineLevel="0" collapsed="false">
      <c r="A2050" s="13" t="s">
        <v>7066</v>
      </c>
      <c r="B2050" s="13" t="n">
        <v>2045</v>
      </c>
      <c r="C2050" s="13" t="s">
        <v>7067</v>
      </c>
      <c r="D2050" s="13" t="n">
        <v>5</v>
      </c>
      <c r="E2050" s="34" t="s">
        <v>1534</v>
      </c>
      <c r="F2050" s="13" t="s">
        <v>1298</v>
      </c>
      <c r="G2050" s="13" t="s">
        <v>322</v>
      </c>
      <c r="H2050" s="13" t="s">
        <v>7065</v>
      </c>
      <c r="I2050" s="13" t="s">
        <v>134</v>
      </c>
      <c r="J2050" s="13" t="s">
        <v>7065</v>
      </c>
      <c r="K2050" s="30" t="n">
        <v>27</v>
      </c>
      <c r="L2050" s="31" t="n">
        <v>45973</v>
      </c>
      <c r="M2050" s="31" t="n">
        <v>45999</v>
      </c>
      <c r="N2050" s="13"/>
      <c r="O2050" s="13"/>
      <c r="P2050" s="13"/>
      <c r="Q2050" s="13"/>
    </row>
    <row r="2051" customFormat="false" ht="15" hidden="false" customHeight="false" outlineLevel="0" collapsed="false">
      <c r="A2051" s="16" t="s">
        <v>7068</v>
      </c>
      <c r="B2051" s="16" t="n">
        <v>2046</v>
      </c>
      <c r="C2051" s="16" t="s">
        <v>7069</v>
      </c>
      <c r="D2051" s="16" t="n">
        <v>6</v>
      </c>
      <c r="E2051" s="35" t="s">
        <v>1545</v>
      </c>
      <c r="F2051" s="16" t="s">
        <v>1285</v>
      </c>
      <c r="G2051" s="16" t="s">
        <v>322</v>
      </c>
      <c r="H2051" s="16" t="s">
        <v>7065</v>
      </c>
      <c r="I2051" s="16" t="s">
        <v>134</v>
      </c>
      <c r="J2051" s="16" t="s">
        <v>1534</v>
      </c>
      <c r="K2051" s="32" t="n">
        <v>11</v>
      </c>
      <c r="L2051" s="33" t="n">
        <v>45973</v>
      </c>
      <c r="M2051" s="33" t="n">
        <v>45983</v>
      </c>
      <c r="N2051" s="16" t="s">
        <v>6400</v>
      </c>
      <c r="O2051" s="16"/>
      <c r="P2051" s="16" t="str">
        <f aca="false">IF(AND(L2051&lt;=$D$2,M2051&gt;=$C$2),"Sí","")</f>
        <v/>
      </c>
      <c r="Q2051" s="18" t="str">
        <f aca="false">IF(COUNTIF(LOOKAHEAD!$A$5:$A$604,A2051)&gt;0,"En Lookahead",IF(P2051="Sí","INCORPORAR",""))</f>
        <v/>
      </c>
    </row>
    <row r="2052" customFormat="false" ht="15" hidden="false" customHeight="false" outlineLevel="0" collapsed="false">
      <c r="A2052" s="16" t="s">
        <v>7070</v>
      </c>
      <c r="B2052" s="16" t="n">
        <v>2047</v>
      </c>
      <c r="C2052" s="16" t="s">
        <v>7071</v>
      </c>
      <c r="D2052" s="16" t="n">
        <v>6</v>
      </c>
      <c r="E2052" s="35" t="s">
        <v>1553</v>
      </c>
      <c r="F2052" s="16" t="s">
        <v>1285</v>
      </c>
      <c r="G2052" s="16" t="s">
        <v>322</v>
      </c>
      <c r="H2052" s="16" t="s">
        <v>7065</v>
      </c>
      <c r="I2052" s="16" t="s">
        <v>134</v>
      </c>
      <c r="J2052" s="16" t="s">
        <v>1534</v>
      </c>
      <c r="K2052" s="32" t="n">
        <v>1</v>
      </c>
      <c r="L2052" s="33" t="n">
        <v>45999</v>
      </c>
      <c r="M2052" s="33" t="n">
        <v>45999</v>
      </c>
      <c r="N2052" s="16" t="s">
        <v>7072</v>
      </c>
      <c r="O2052" s="16"/>
      <c r="P2052" s="16" t="str">
        <f aca="false">IF(AND(L2052&lt;=$D$2,M2052&gt;=$C$2),"Sí","")</f>
        <v/>
      </c>
      <c r="Q2052" s="18" t="str">
        <f aca="false">IF(COUNTIF(LOOKAHEAD!$A$5:$A$604,A2052)&gt;0,"En Lookahead",IF(P2052="Sí","INCORPORAR",""))</f>
        <v/>
      </c>
    </row>
    <row r="2053" customFormat="false" ht="15" hidden="false" customHeight="false" outlineLevel="0" collapsed="false">
      <c r="A2053" s="16" t="s">
        <v>7073</v>
      </c>
      <c r="B2053" s="16" t="n">
        <v>2048</v>
      </c>
      <c r="C2053" s="16" t="s">
        <v>7074</v>
      </c>
      <c r="D2053" s="16" t="n">
        <v>6</v>
      </c>
      <c r="E2053" s="35" t="s">
        <v>1564</v>
      </c>
      <c r="F2053" s="16" t="s">
        <v>1285</v>
      </c>
      <c r="G2053" s="16" t="s">
        <v>322</v>
      </c>
      <c r="H2053" s="16" t="s">
        <v>7065</v>
      </c>
      <c r="I2053" s="16" t="s">
        <v>134</v>
      </c>
      <c r="J2053" s="16" t="s">
        <v>1534</v>
      </c>
      <c r="K2053" s="32" t="n">
        <v>1</v>
      </c>
      <c r="L2053" s="33" t="n">
        <v>45984</v>
      </c>
      <c r="M2053" s="33" t="n">
        <v>45984</v>
      </c>
      <c r="N2053" s="16" t="s">
        <v>7075</v>
      </c>
      <c r="O2053" s="16"/>
      <c r="P2053" s="16" t="str">
        <f aca="false">IF(AND(L2053&lt;=$D$2,M2053&gt;=$C$2),"Sí","")</f>
        <v/>
      </c>
      <c r="Q2053" s="18" t="str">
        <f aca="false">IF(COUNTIF(LOOKAHEAD!$A$5:$A$604,A2053)&gt;0,"En Lookahead",IF(P2053="Sí","INCORPORAR",""))</f>
        <v/>
      </c>
    </row>
    <row r="2054" customFormat="false" ht="15" hidden="false" customHeight="false" outlineLevel="0" collapsed="false">
      <c r="A2054" s="16" t="s">
        <v>7076</v>
      </c>
      <c r="B2054" s="16" t="n">
        <v>2049</v>
      </c>
      <c r="C2054" s="16" t="s">
        <v>7077</v>
      </c>
      <c r="D2054" s="16" t="n">
        <v>6</v>
      </c>
      <c r="E2054" s="35" t="s">
        <v>1557</v>
      </c>
      <c r="F2054" s="16" t="s">
        <v>1285</v>
      </c>
      <c r="G2054" s="16" t="s">
        <v>322</v>
      </c>
      <c r="H2054" s="16" t="s">
        <v>7065</v>
      </c>
      <c r="I2054" s="16" t="s">
        <v>134</v>
      </c>
      <c r="J2054" s="16" t="s">
        <v>1534</v>
      </c>
      <c r="K2054" s="32" t="n">
        <v>7</v>
      </c>
      <c r="L2054" s="33" t="n">
        <v>45984</v>
      </c>
      <c r="M2054" s="33" t="n">
        <v>45990</v>
      </c>
      <c r="N2054" s="16" t="s">
        <v>7075</v>
      </c>
      <c r="O2054" s="16"/>
      <c r="P2054" s="16" t="str">
        <f aca="false">IF(AND(L2054&lt;=$D$2,M2054&gt;=$C$2),"Sí","")</f>
        <v/>
      </c>
      <c r="Q2054" s="18" t="str">
        <f aca="false">IF(COUNTIF(LOOKAHEAD!$A$5:$A$604,A2054)&gt;0,"En Lookahead",IF(P2054="Sí","INCORPORAR",""))</f>
        <v/>
      </c>
    </row>
    <row r="2055" customFormat="false" ht="15" hidden="false" customHeight="false" outlineLevel="0" collapsed="false">
      <c r="A2055" s="16" t="s">
        <v>7078</v>
      </c>
      <c r="B2055" s="16" t="n">
        <v>2050</v>
      </c>
      <c r="C2055" s="16" t="s">
        <v>7079</v>
      </c>
      <c r="D2055" s="16" t="n">
        <v>6</v>
      </c>
      <c r="E2055" s="35" t="s">
        <v>1560</v>
      </c>
      <c r="F2055" s="16" t="s">
        <v>1285</v>
      </c>
      <c r="G2055" s="16" t="s">
        <v>322</v>
      </c>
      <c r="H2055" s="16" t="s">
        <v>7065</v>
      </c>
      <c r="I2055" s="16" t="s">
        <v>134</v>
      </c>
      <c r="J2055" s="16" t="s">
        <v>1534</v>
      </c>
      <c r="K2055" s="32" t="n">
        <v>1</v>
      </c>
      <c r="L2055" s="33" t="n">
        <v>45991</v>
      </c>
      <c r="M2055" s="33" t="n">
        <v>45991</v>
      </c>
      <c r="N2055" s="16" t="s">
        <v>7080</v>
      </c>
      <c r="O2055" s="16"/>
      <c r="P2055" s="16" t="str">
        <f aca="false">IF(AND(L2055&lt;=$D$2,M2055&gt;=$C$2),"Sí","")</f>
        <v/>
      </c>
      <c r="Q2055" s="18" t="str">
        <f aca="false">IF(COUNTIF(LOOKAHEAD!$A$5:$A$604,A2055)&gt;0,"En Lookahead",IF(P2055="Sí","INCORPORAR",""))</f>
        <v/>
      </c>
    </row>
    <row r="2056" customFormat="false" ht="15" hidden="false" customHeight="false" outlineLevel="0" collapsed="false">
      <c r="A2056" s="16" t="s">
        <v>7081</v>
      </c>
      <c r="B2056" s="16" t="n">
        <v>2051</v>
      </c>
      <c r="C2056" s="16" t="s">
        <v>7082</v>
      </c>
      <c r="D2056" s="16" t="n">
        <v>6</v>
      </c>
      <c r="E2056" s="35" t="s">
        <v>1567</v>
      </c>
      <c r="F2056" s="16" t="s">
        <v>1285</v>
      </c>
      <c r="G2056" s="16" t="s">
        <v>322</v>
      </c>
      <c r="H2056" s="16" t="s">
        <v>7065</v>
      </c>
      <c r="I2056" s="16" t="s">
        <v>134</v>
      </c>
      <c r="J2056" s="16" t="s">
        <v>1534</v>
      </c>
      <c r="K2056" s="32" t="n">
        <v>1</v>
      </c>
      <c r="L2056" s="33" t="n">
        <v>45985</v>
      </c>
      <c r="M2056" s="33" t="n">
        <v>45985</v>
      </c>
      <c r="N2056" s="16" t="s">
        <v>7083</v>
      </c>
      <c r="O2056" s="16"/>
      <c r="P2056" s="16" t="str">
        <f aca="false">IF(AND(L2056&lt;=$D$2,M2056&gt;=$C$2),"Sí","")</f>
        <v/>
      </c>
      <c r="Q2056" s="18" t="str">
        <f aca="false">IF(COUNTIF(LOOKAHEAD!$A$5:$A$604,A2056)&gt;0,"En Lookahead",IF(P2056="Sí","INCORPORAR",""))</f>
        <v/>
      </c>
    </row>
    <row r="2057" customFormat="false" ht="15" hidden="false" customHeight="false" outlineLevel="0" collapsed="false">
      <c r="A2057" s="13" t="s">
        <v>7084</v>
      </c>
      <c r="B2057" s="13" t="n">
        <v>2052</v>
      </c>
      <c r="C2057" s="13" t="s">
        <v>7085</v>
      </c>
      <c r="D2057" s="13" t="n">
        <v>5</v>
      </c>
      <c r="E2057" s="34" t="s">
        <v>1571</v>
      </c>
      <c r="F2057" s="13" t="s">
        <v>1298</v>
      </c>
      <c r="G2057" s="13" t="s">
        <v>322</v>
      </c>
      <c r="H2057" s="13" t="s">
        <v>7065</v>
      </c>
      <c r="I2057" s="13" t="s">
        <v>134</v>
      </c>
      <c r="J2057" s="13" t="s">
        <v>7065</v>
      </c>
      <c r="K2057" s="30" t="n">
        <v>5</v>
      </c>
      <c r="L2057" s="31" t="n">
        <v>45986</v>
      </c>
      <c r="M2057" s="31" t="n">
        <v>45990</v>
      </c>
      <c r="N2057" s="13"/>
      <c r="O2057" s="13"/>
      <c r="P2057" s="13"/>
      <c r="Q2057" s="13"/>
    </row>
    <row r="2058" customFormat="false" ht="15" hidden="false" customHeight="false" outlineLevel="0" collapsed="false">
      <c r="A2058" s="13" t="s">
        <v>7086</v>
      </c>
      <c r="B2058" s="13" t="n">
        <v>2053</v>
      </c>
      <c r="C2058" s="13" t="s">
        <v>7087</v>
      </c>
      <c r="D2058" s="13" t="n">
        <v>6</v>
      </c>
      <c r="E2058" s="36" t="s">
        <v>1581</v>
      </c>
      <c r="F2058" s="13" t="s">
        <v>1298</v>
      </c>
      <c r="G2058" s="13" t="s">
        <v>322</v>
      </c>
      <c r="H2058" s="13" t="s">
        <v>7065</v>
      </c>
      <c r="I2058" s="13" t="s">
        <v>134</v>
      </c>
      <c r="J2058" s="13" t="s">
        <v>1571</v>
      </c>
      <c r="K2058" s="30" t="n">
        <v>5</v>
      </c>
      <c r="L2058" s="31" t="n">
        <v>45986</v>
      </c>
      <c r="M2058" s="31" t="n">
        <v>45990</v>
      </c>
      <c r="N2058" s="13"/>
      <c r="O2058" s="13"/>
      <c r="P2058" s="13"/>
      <c r="Q2058" s="13"/>
    </row>
    <row r="2059" customFormat="false" ht="15" hidden="false" customHeight="false" outlineLevel="0" collapsed="false">
      <c r="A2059" s="16" t="s">
        <v>7088</v>
      </c>
      <c r="B2059" s="16" t="n">
        <v>2054</v>
      </c>
      <c r="C2059" s="16" t="s">
        <v>7089</v>
      </c>
      <c r="D2059" s="16" t="n">
        <v>7</v>
      </c>
      <c r="E2059" s="37" t="s">
        <v>1584</v>
      </c>
      <c r="F2059" s="16" t="s">
        <v>1285</v>
      </c>
      <c r="G2059" s="16" t="s">
        <v>322</v>
      </c>
      <c r="H2059" s="16" t="s">
        <v>7065</v>
      </c>
      <c r="I2059" s="16" t="s">
        <v>134</v>
      </c>
      <c r="J2059" s="16" t="s">
        <v>1581</v>
      </c>
      <c r="K2059" s="32" t="n">
        <v>1</v>
      </c>
      <c r="L2059" s="33" t="n">
        <v>45990</v>
      </c>
      <c r="M2059" s="33" t="n">
        <v>45990</v>
      </c>
      <c r="N2059" s="16" t="s">
        <v>7090</v>
      </c>
      <c r="O2059" s="16"/>
      <c r="P2059" s="16" t="str">
        <f aca="false">IF(AND(L2059&lt;=$D$2,M2059&gt;=$C$2),"Sí","")</f>
        <v/>
      </c>
      <c r="Q2059" s="18" t="str">
        <f aca="false">IF(COUNTIF(LOOKAHEAD!$A$5:$A$604,A2059)&gt;0,"En Lookahead",IF(P2059="Sí","INCORPORAR",""))</f>
        <v/>
      </c>
    </row>
    <row r="2060" customFormat="false" ht="15" hidden="false" customHeight="false" outlineLevel="0" collapsed="false">
      <c r="A2060" s="16" t="s">
        <v>7091</v>
      </c>
      <c r="B2060" s="16" t="n">
        <v>2055</v>
      </c>
      <c r="C2060" s="16" t="s">
        <v>7092</v>
      </c>
      <c r="D2060" s="16" t="n">
        <v>7</v>
      </c>
      <c r="E2060" s="37" t="s">
        <v>1588</v>
      </c>
      <c r="F2060" s="16" t="s">
        <v>1285</v>
      </c>
      <c r="G2060" s="16" t="s">
        <v>322</v>
      </c>
      <c r="H2060" s="16" t="s">
        <v>7065</v>
      </c>
      <c r="I2060" s="16" t="s">
        <v>134</v>
      </c>
      <c r="J2060" s="16" t="s">
        <v>1581</v>
      </c>
      <c r="K2060" s="32" t="n">
        <v>4</v>
      </c>
      <c r="L2060" s="33" t="n">
        <v>45986</v>
      </c>
      <c r="M2060" s="33" t="n">
        <v>45989</v>
      </c>
      <c r="N2060" s="16" t="s">
        <v>7093</v>
      </c>
      <c r="O2060" s="16"/>
      <c r="P2060" s="16" t="str">
        <f aca="false">IF(AND(L2060&lt;=$D$2,M2060&gt;=$C$2),"Sí","")</f>
        <v/>
      </c>
      <c r="Q2060" s="18" t="str">
        <f aca="false">IF(COUNTIF(LOOKAHEAD!$A$5:$A$604,A2060)&gt;0,"En Lookahead",IF(P2060="Sí","INCORPORAR",""))</f>
        <v/>
      </c>
    </row>
    <row r="2061" customFormat="false" ht="15" hidden="false" customHeight="false" outlineLevel="0" collapsed="false">
      <c r="A2061" s="13" t="s">
        <v>7094</v>
      </c>
      <c r="B2061" s="13" t="n">
        <v>2056</v>
      </c>
      <c r="C2061" s="13" t="s">
        <v>7095</v>
      </c>
      <c r="D2061" s="13" t="n">
        <v>5</v>
      </c>
      <c r="E2061" s="34" t="s">
        <v>1623</v>
      </c>
      <c r="F2061" s="13" t="s">
        <v>1298</v>
      </c>
      <c r="G2061" s="13" t="s">
        <v>322</v>
      </c>
      <c r="H2061" s="13" t="s">
        <v>7065</v>
      </c>
      <c r="I2061" s="13" t="s">
        <v>134</v>
      </c>
      <c r="J2061" s="13" t="s">
        <v>7065</v>
      </c>
      <c r="K2061" s="30" t="n">
        <v>18</v>
      </c>
      <c r="L2061" s="31" t="n">
        <v>45991</v>
      </c>
      <c r="M2061" s="31" t="n">
        <v>46008</v>
      </c>
      <c r="N2061" s="13"/>
      <c r="O2061" s="13"/>
      <c r="P2061" s="13"/>
      <c r="Q2061" s="13"/>
    </row>
    <row r="2062" customFormat="false" ht="15" hidden="false" customHeight="false" outlineLevel="0" collapsed="false">
      <c r="A2062" s="13" t="s">
        <v>7096</v>
      </c>
      <c r="B2062" s="13" t="n">
        <v>2057</v>
      </c>
      <c r="C2062" s="13" t="s">
        <v>7097</v>
      </c>
      <c r="D2062" s="13" t="n">
        <v>6</v>
      </c>
      <c r="E2062" s="36" t="s">
        <v>2295</v>
      </c>
      <c r="F2062" s="13" t="s">
        <v>1298</v>
      </c>
      <c r="G2062" s="13" t="s">
        <v>322</v>
      </c>
      <c r="H2062" s="13" t="s">
        <v>7065</v>
      </c>
      <c r="I2062" s="13" t="s">
        <v>134</v>
      </c>
      <c r="J2062" s="13" t="s">
        <v>1623</v>
      </c>
      <c r="K2062" s="30" t="n">
        <v>9</v>
      </c>
      <c r="L2062" s="31" t="n">
        <v>45991</v>
      </c>
      <c r="M2062" s="31" t="n">
        <v>45999</v>
      </c>
      <c r="N2062" s="13"/>
      <c r="O2062" s="13"/>
      <c r="P2062" s="13"/>
      <c r="Q2062" s="13"/>
    </row>
    <row r="2063" customFormat="false" ht="15" hidden="false" customHeight="false" outlineLevel="0" collapsed="false">
      <c r="A2063" s="16" t="s">
        <v>7098</v>
      </c>
      <c r="B2063" s="16" t="n">
        <v>2058</v>
      </c>
      <c r="C2063" s="16" t="s">
        <v>7099</v>
      </c>
      <c r="D2063" s="16" t="n">
        <v>7</v>
      </c>
      <c r="E2063" s="37" t="s">
        <v>7100</v>
      </c>
      <c r="F2063" s="16" t="s">
        <v>1285</v>
      </c>
      <c r="G2063" s="16" t="s">
        <v>322</v>
      </c>
      <c r="H2063" s="16" t="s">
        <v>7065</v>
      </c>
      <c r="I2063" s="16" t="s">
        <v>134</v>
      </c>
      <c r="J2063" s="16" t="s">
        <v>2295</v>
      </c>
      <c r="K2063" s="32" t="n">
        <v>1</v>
      </c>
      <c r="L2063" s="33" t="n">
        <v>45998</v>
      </c>
      <c r="M2063" s="33" t="n">
        <v>45998</v>
      </c>
      <c r="N2063" s="16" t="s">
        <v>7101</v>
      </c>
      <c r="O2063" s="16"/>
      <c r="P2063" s="16" t="str">
        <f aca="false">IF(AND(L2063&lt;=$D$2,M2063&gt;=$C$2),"Sí","")</f>
        <v/>
      </c>
      <c r="Q2063" s="18" t="str">
        <f aca="false">IF(COUNTIF(LOOKAHEAD!$A$5:$A$604,A2063)&gt;0,"En Lookahead",IF(P2063="Sí","INCORPORAR",""))</f>
        <v/>
      </c>
    </row>
    <row r="2064" customFormat="false" ht="15" hidden="false" customHeight="false" outlineLevel="0" collapsed="false">
      <c r="A2064" s="16" t="s">
        <v>7102</v>
      </c>
      <c r="B2064" s="16" t="n">
        <v>2059</v>
      </c>
      <c r="C2064" s="16" t="s">
        <v>7103</v>
      </c>
      <c r="D2064" s="16" t="n">
        <v>7</v>
      </c>
      <c r="E2064" s="37" t="s">
        <v>2302</v>
      </c>
      <c r="F2064" s="16" t="s">
        <v>1285</v>
      </c>
      <c r="G2064" s="16" t="s">
        <v>322</v>
      </c>
      <c r="H2064" s="16" t="s">
        <v>7065</v>
      </c>
      <c r="I2064" s="16" t="s">
        <v>134</v>
      </c>
      <c r="J2064" s="16" t="s">
        <v>2295</v>
      </c>
      <c r="K2064" s="32" t="n">
        <v>6</v>
      </c>
      <c r="L2064" s="33" t="n">
        <v>45992</v>
      </c>
      <c r="M2064" s="33" t="n">
        <v>45997</v>
      </c>
      <c r="N2064" s="16" t="s">
        <v>7104</v>
      </c>
      <c r="O2064" s="16"/>
      <c r="P2064" s="16" t="str">
        <f aca="false">IF(AND(L2064&lt;=$D$2,M2064&gt;=$C$2),"Sí","")</f>
        <v/>
      </c>
      <c r="Q2064" s="18" t="str">
        <f aca="false">IF(COUNTIF(LOOKAHEAD!$A$5:$A$604,A2064)&gt;0,"En Lookahead",IF(P2064="Sí","INCORPORAR",""))</f>
        <v/>
      </c>
    </row>
    <row r="2065" customFormat="false" ht="15" hidden="false" customHeight="false" outlineLevel="0" collapsed="false">
      <c r="A2065" s="16" t="s">
        <v>7105</v>
      </c>
      <c r="B2065" s="16" t="n">
        <v>2060</v>
      </c>
      <c r="C2065" s="16" t="s">
        <v>7106</v>
      </c>
      <c r="D2065" s="16" t="n">
        <v>7</v>
      </c>
      <c r="E2065" s="37" t="s">
        <v>2306</v>
      </c>
      <c r="F2065" s="16" t="s">
        <v>1285</v>
      </c>
      <c r="G2065" s="16" t="s">
        <v>322</v>
      </c>
      <c r="H2065" s="16" t="s">
        <v>7065</v>
      </c>
      <c r="I2065" s="16" t="s">
        <v>134</v>
      </c>
      <c r="J2065" s="16" t="s">
        <v>2295</v>
      </c>
      <c r="K2065" s="32" t="n">
        <v>1</v>
      </c>
      <c r="L2065" s="33" t="n">
        <v>45991</v>
      </c>
      <c r="M2065" s="33" t="n">
        <v>45991</v>
      </c>
      <c r="N2065" s="16" t="s">
        <v>7107</v>
      </c>
      <c r="O2065" s="16"/>
      <c r="P2065" s="16" t="str">
        <f aca="false">IF(AND(L2065&lt;=$D$2,M2065&gt;=$C$2),"Sí","")</f>
        <v/>
      </c>
      <c r="Q2065" s="18" t="str">
        <f aca="false">IF(COUNTIF(LOOKAHEAD!$A$5:$A$604,A2065)&gt;0,"En Lookahead",IF(P2065="Sí","INCORPORAR",""))</f>
        <v/>
      </c>
    </row>
    <row r="2066" customFormat="false" ht="15" hidden="false" customHeight="false" outlineLevel="0" collapsed="false">
      <c r="A2066" s="16" t="s">
        <v>7108</v>
      </c>
      <c r="B2066" s="16" t="n">
        <v>2061</v>
      </c>
      <c r="C2066" s="16" t="s">
        <v>7109</v>
      </c>
      <c r="D2066" s="16" t="n">
        <v>7</v>
      </c>
      <c r="E2066" s="37" t="s">
        <v>1602</v>
      </c>
      <c r="F2066" s="16" t="s">
        <v>1285</v>
      </c>
      <c r="G2066" s="16" t="s">
        <v>322</v>
      </c>
      <c r="H2066" s="16" t="s">
        <v>7065</v>
      </c>
      <c r="I2066" s="16" t="s">
        <v>134</v>
      </c>
      <c r="J2066" s="16" t="s">
        <v>2295</v>
      </c>
      <c r="K2066" s="32" t="n">
        <v>1</v>
      </c>
      <c r="L2066" s="33" t="n">
        <v>45999</v>
      </c>
      <c r="M2066" s="33" t="n">
        <v>45999</v>
      </c>
      <c r="N2066" s="16" t="s">
        <v>7072</v>
      </c>
      <c r="O2066" s="16"/>
      <c r="P2066" s="16" t="str">
        <f aca="false">IF(AND(L2066&lt;=$D$2,M2066&gt;=$C$2),"Sí","")</f>
        <v/>
      </c>
      <c r="Q2066" s="18" t="str">
        <f aca="false">IF(COUNTIF(LOOKAHEAD!$A$5:$A$604,A2066)&gt;0,"En Lookahead",IF(P2066="Sí","INCORPORAR",""))</f>
        <v/>
      </c>
    </row>
    <row r="2067" customFormat="false" ht="15" hidden="false" customHeight="false" outlineLevel="0" collapsed="false">
      <c r="A2067" s="13" t="s">
        <v>7110</v>
      </c>
      <c r="B2067" s="13" t="n">
        <v>2062</v>
      </c>
      <c r="C2067" s="13" t="s">
        <v>7111</v>
      </c>
      <c r="D2067" s="13" t="n">
        <v>6</v>
      </c>
      <c r="E2067" s="36" t="s">
        <v>1660</v>
      </c>
      <c r="F2067" s="13" t="s">
        <v>1298</v>
      </c>
      <c r="G2067" s="13" t="s">
        <v>322</v>
      </c>
      <c r="H2067" s="13" t="s">
        <v>7065</v>
      </c>
      <c r="I2067" s="13" t="s">
        <v>134</v>
      </c>
      <c r="J2067" s="13" t="s">
        <v>1623</v>
      </c>
      <c r="K2067" s="30" t="n">
        <v>7</v>
      </c>
      <c r="L2067" s="31" t="n">
        <v>45999</v>
      </c>
      <c r="M2067" s="31" t="n">
        <v>46005</v>
      </c>
      <c r="N2067" s="13"/>
      <c r="O2067" s="13"/>
      <c r="P2067" s="13"/>
      <c r="Q2067" s="13"/>
    </row>
    <row r="2068" customFormat="false" ht="15" hidden="false" customHeight="false" outlineLevel="0" collapsed="false">
      <c r="A2068" s="16" t="s">
        <v>7112</v>
      </c>
      <c r="B2068" s="16" t="n">
        <v>2063</v>
      </c>
      <c r="C2068" s="16" t="s">
        <v>7113</v>
      </c>
      <c r="D2068" s="16" t="n">
        <v>7</v>
      </c>
      <c r="E2068" s="37" t="s">
        <v>7114</v>
      </c>
      <c r="F2068" s="16" t="s">
        <v>1285</v>
      </c>
      <c r="G2068" s="16" t="s">
        <v>322</v>
      </c>
      <c r="H2068" s="16" t="s">
        <v>7065</v>
      </c>
      <c r="I2068" s="16" t="s">
        <v>134</v>
      </c>
      <c r="J2068" s="16" t="s">
        <v>1660</v>
      </c>
      <c r="K2068" s="32" t="n">
        <v>1</v>
      </c>
      <c r="L2068" s="33" t="n">
        <v>46004</v>
      </c>
      <c r="M2068" s="33" t="n">
        <v>46004</v>
      </c>
      <c r="N2068" s="16" t="s">
        <v>7115</v>
      </c>
      <c r="O2068" s="16"/>
      <c r="P2068" s="16" t="str">
        <f aca="false">IF(AND(L2068&lt;=$D$2,M2068&gt;=$C$2),"Sí","")</f>
        <v/>
      </c>
      <c r="Q2068" s="18" t="str">
        <f aca="false">IF(COUNTIF(LOOKAHEAD!$A$5:$A$604,A2068)&gt;0,"En Lookahead",IF(P2068="Sí","INCORPORAR",""))</f>
        <v/>
      </c>
    </row>
    <row r="2069" customFormat="false" ht="15" hidden="false" customHeight="false" outlineLevel="0" collapsed="false">
      <c r="A2069" s="16" t="s">
        <v>7116</v>
      </c>
      <c r="B2069" s="16" t="n">
        <v>2064</v>
      </c>
      <c r="C2069" s="16" t="s">
        <v>7117</v>
      </c>
      <c r="D2069" s="16" t="n">
        <v>7</v>
      </c>
      <c r="E2069" s="37" t="s">
        <v>7118</v>
      </c>
      <c r="F2069" s="16" t="s">
        <v>1285</v>
      </c>
      <c r="G2069" s="16" t="s">
        <v>322</v>
      </c>
      <c r="H2069" s="16" t="s">
        <v>7065</v>
      </c>
      <c r="I2069" s="16" t="s">
        <v>134</v>
      </c>
      <c r="J2069" s="16" t="s">
        <v>1660</v>
      </c>
      <c r="K2069" s="32" t="n">
        <v>3</v>
      </c>
      <c r="L2069" s="33" t="n">
        <v>46001</v>
      </c>
      <c r="M2069" s="33" t="n">
        <v>46003</v>
      </c>
      <c r="N2069" s="16" t="s">
        <v>7119</v>
      </c>
      <c r="O2069" s="16"/>
      <c r="P2069" s="16" t="str">
        <f aca="false">IF(AND(L2069&lt;=$D$2,M2069&gt;=$C$2),"Sí","")</f>
        <v/>
      </c>
      <c r="Q2069" s="18" t="str">
        <f aca="false">IF(COUNTIF(LOOKAHEAD!$A$5:$A$604,A2069)&gt;0,"En Lookahead",IF(P2069="Sí","INCORPORAR",""))</f>
        <v/>
      </c>
    </row>
    <row r="2070" customFormat="false" ht="15" hidden="false" customHeight="false" outlineLevel="0" collapsed="false">
      <c r="A2070" s="16" t="s">
        <v>7120</v>
      </c>
      <c r="B2070" s="16" t="n">
        <v>2065</v>
      </c>
      <c r="C2070" s="16" t="s">
        <v>7121</v>
      </c>
      <c r="D2070" s="16" t="n">
        <v>7</v>
      </c>
      <c r="E2070" s="37" t="s">
        <v>1674</v>
      </c>
      <c r="F2070" s="16" t="s">
        <v>1285</v>
      </c>
      <c r="G2070" s="16" t="s">
        <v>322</v>
      </c>
      <c r="H2070" s="16" t="s">
        <v>7065</v>
      </c>
      <c r="I2070" s="16" t="s">
        <v>134</v>
      </c>
      <c r="J2070" s="16" t="s">
        <v>1660</v>
      </c>
      <c r="K2070" s="32" t="n">
        <v>2</v>
      </c>
      <c r="L2070" s="33" t="n">
        <v>45999</v>
      </c>
      <c r="M2070" s="33" t="n">
        <v>46000</v>
      </c>
      <c r="N2070" s="16" t="s">
        <v>7072</v>
      </c>
      <c r="O2070" s="16"/>
      <c r="P2070" s="16" t="str">
        <f aca="false">IF(AND(L2070&lt;=$D$2,M2070&gt;=$C$2),"Sí","")</f>
        <v/>
      </c>
      <c r="Q2070" s="18" t="str">
        <f aca="false">IF(COUNTIF(LOOKAHEAD!$A$5:$A$604,A2070)&gt;0,"En Lookahead",IF(P2070="Sí","INCORPORAR",""))</f>
        <v/>
      </c>
    </row>
    <row r="2071" customFormat="false" ht="15" hidden="false" customHeight="false" outlineLevel="0" collapsed="false">
      <c r="A2071" s="16" t="s">
        <v>7122</v>
      </c>
      <c r="B2071" s="16" t="n">
        <v>2066</v>
      </c>
      <c r="C2071" s="16" t="s">
        <v>7123</v>
      </c>
      <c r="D2071" s="16" t="n">
        <v>7</v>
      </c>
      <c r="E2071" s="37" t="s">
        <v>1677</v>
      </c>
      <c r="F2071" s="16" t="s">
        <v>1285</v>
      </c>
      <c r="G2071" s="16" t="s">
        <v>322</v>
      </c>
      <c r="H2071" s="16" t="s">
        <v>7065</v>
      </c>
      <c r="I2071" s="16" t="s">
        <v>134</v>
      </c>
      <c r="J2071" s="16" t="s">
        <v>1660</v>
      </c>
      <c r="K2071" s="32" t="n">
        <v>1</v>
      </c>
      <c r="L2071" s="33" t="n">
        <v>46005</v>
      </c>
      <c r="M2071" s="33" t="n">
        <v>46005</v>
      </c>
      <c r="N2071" s="16" t="s">
        <v>7124</v>
      </c>
      <c r="O2071" s="16"/>
      <c r="P2071" s="16" t="str">
        <f aca="false">IF(AND(L2071&lt;=$D$2,M2071&gt;=$C$2),"Sí","")</f>
        <v/>
      </c>
      <c r="Q2071" s="18" t="str">
        <f aca="false">IF(COUNTIF(LOOKAHEAD!$A$5:$A$604,A2071)&gt;0,"En Lookahead",IF(P2071="Sí","INCORPORAR",""))</f>
        <v/>
      </c>
    </row>
    <row r="2072" customFormat="false" ht="15" hidden="false" customHeight="false" outlineLevel="0" collapsed="false">
      <c r="A2072" s="13" t="s">
        <v>7125</v>
      </c>
      <c r="B2072" s="13" t="n">
        <v>2067</v>
      </c>
      <c r="C2072" s="13" t="s">
        <v>7126</v>
      </c>
      <c r="D2072" s="13" t="n">
        <v>6</v>
      </c>
      <c r="E2072" s="36" t="s">
        <v>1786</v>
      </c>
      <c r="F2072" s="13" t="s">
        <v>1298</v>
      </c>
      <c r="G2072" s="13" t="s">
        <v>322</v>
      </c>
      <c r="H2072" s="13" t="s">
        <v>7065</v>
      </c>
      <c r="I2072" s="13" t="s">
        <v>134</v>
      </c>
      <c r="J2072" s="13" t="s">
        <v>1623</v>
      </c>
      <c r="K2072" s="30" t="n">
        <v>4</v>
      </c>
      <c r="L2072" s="31" t="n">
        <v>46005</v>
      </c>
      <c r="M2072" s="31" t="n">
        <v>46008</v>
      </c>
      <c r="N2072" s="13"/>
      <c r="O2072" s="13"/>
      <c r="P2072" s="13"/>
      <c r="Q2072" s="13"/>
    </row>
    <row r="2073" customFormat="false" ht="15" hidden="false" customHeight="false" outlineLevel="0" collapsed="false">
      <c r="A2073" s="16" t="s">
        <v>7127</v>
      </c>
      <c r="B2073" s="16" t="n">
        <v>2068</v>
      </c>
      <c r="C2073" s="16" t="s">
        <v>7128</v>
      </c>
      <c r="D2073" s="16" t="n">
        <v>7</v>
      </c>
      <c r="E2073" s="37" t="s">
        <v>1792</v>
      </c>
      <c r="F2073" s="16" t="s">
        <v>1285</v>
      </c>
      <c r="G2073" s="16" t="s">
        <v>322</v>
      </c>
      <c r="H2073" s="16" t="s">
        <v>7065</v>
      </c>
      <c r="I2073" s="16" t="s">
        <v>134</v>
      </c>
      <c r="J2073" s="16" t="s">
        <v>1786</v>
      </c>
      <c r="K2073" s="32" t="n">
        <v>1</v>
      </c>
      <c r="L2073" s="33" t="n">
        <v>46007</v>
      </c>
      <c r="M2073" s="33" t="n">
        <v>46007</v>
      </c>
      <c r="N2073" s="16" t="s">
        <v>7129</v>
      </c>
      <c r="O2073" s="16"/>
      <c r="P2073" s="16" t="str">
        <f aca="false">IF(AND(L2073&lt;=$D$2,M2073&gt;=$C$2),"Sí","")</f>
        <v/>
      </c>
      <c r="Q2073" s="18" t="str">
        <f aca="false">IF(COUNTIF(LOOKAHEAD!$A$5:$A$604,A2073)&gt;0,"En Lookahead",IF(P2073="Sí","INCORPORAR",""))</f>
        <v/>
      </c>
    </row>
    <row r="2074" customFormat="false" ht="15" hidden="false" customHeight="false" outlineLevel="0" collapsed="false">
      <c r="A2074" s="16" t="s">
        <v>7130</v>
      </c>
      <c r="B2074" s="16" t="n">
        <v>2069</v>
      </c>
      <c r="C2074" s="16" t="s">
        <v>7131</v>
      </c>
      <c r="D2074" s="16" t="n">
        <v>7</v>
      </c>
      <c r="E2074" s="37" t="s">
        <v>1796</v>
      </c>
      <c r="F2074" s="16" t="s">
        <v>1285</v>
      </c>
      <c r="G2074" s="16" t="s">
        <v>322</v>
      </c>
      <c r="H2074" s="16" t="s">
        <v>7065</v>
      </c>
      <c r="I2074" s="16" t="s">
        <v>134</v>
      </c>
      <c r="J2074" s="16" t="s">
        <v>1786</v>
      </c>
      <c r="K2074" s="32" t="n">
        <v>1</v>
      </c>
      <c r="L2074" s="33" t="n">
        <v>46006</v>
      </c>
      <c r="M2074" s="33" t="n">
        <v>46006</v>
      </c>
      <c r="N2074" s="16" t="s">
        <v>7132</v>
      </c>
      <c r="O2074" s="16"/>
      <c r="P2074" s="16" t="str">
        <f aca="false">IF(AND(L2074&lt;=$D$2,M2074&gt;=$C$2),"Sí","")</f>
        <v/>
      </c>
      <c r="Q2074" s="18" t="str">
        <f aca="false">IF(COUNTIF(LOOKAHEAD!$A$5:$A$604,A2074)&gt;0,"En Lookahead",IF(P2074="Sí","INCORPORAR",""))</f>
        <v/>
      </c>
    </row>
    <row r="2075" customFormat="false" ht="15" hidden="false" customHeight="false" outlineLevel="0" collapsed="false">
      <c r="A2075" s="16" t="s">
        <v>7133</v>
      </c>
      <c r="B2075" s="16" t="n">
        <v>2070</v>
      </c>
      <c r="C2075" s="16" t="s">
        <v>7134</v>
      </c>
      <c r="D2075" s="16" t="n">
        <v>7</v>
      </c>
      <c r="E2075" s="37" t="s">
        <v>1800</v>
      </c>
      <c r="F2075" s="16" t="s">
        <v>1285</v>
      </c>
      <c r="G2075" s="16" t="s">
        <v>322</v>
      </c>
      <c r="H2075" s="16" t="s">
        <v>7065</v>
      </c>
      <c r="I2075" s="16" t="s">
        <v>134</v>
      </c>
      <c r="J2075" s="16" t="s">
        <v>1786</v>
      </c>
      <c r="K2075" s="32" t="n">
        <v>1</v>
      </c>
      <c r="L2075" s="33" t="n">
        <v>46005</v>
      </c>
      <c r="M2075" s="33" t="n">
        <v>46005</v>
      </c>
      <c r="N2075" s="16" t="s">
        <v>7124</v>
      </c>
      <c r="O2075" s="16"/>
      <c r="P2075" s="16" t="str">
        <f aca="false">IF(AND(L2075&lt;=$D$2,M2075&gt;=$C$2),"Sí","")</f>
        <v/>
      </c>
      <c r="Q2075" s="18" t="str">
        <f aca="false">IF(COUNTIF(LOOKAHEAD!$A$5:$A$604,A2075)&gt;0,"En Lookahead",IF(P2075="Sí","INCORPORAR",""))</f>
        <v/>
      </c>
    </row>
    <row r="2076" customFormat="false" ht="15" hidden="false" customHeight="false" outlineLevel="0" collapsed="false">
      <c r="A2076" s="16" t="s">
        <v>7135</v>
      </c>
      <c r="B2076" s="16" t="n">
        <v>2071</v>
      </c>
      <c r="C2076" s="16" t="s">
        <v>7136</v>
      </c>
      <c r="D2076" s="16" t="n">
        <v>7</v>
      </c>
      <c r="E2076" s="37" t="s">
        <v>1602</v>
      </c>
      <c r="F2076" s="16" t="s">
        <v>1285</v>
      </c>
      <c r="G2076" s="16" t="s">
        <v>322</v>
      </c>
      <c r="H2076" s="16" t="s">
        <v>7065</v>
      </c>
      <c r="I2076" s="16" t="s">
        <v>134</v>
      </c>
      <c r="J2076" s="16" t="s">
        <v>1786</v>
      </c>
      <c r="K2076" s="32" t="n">
        <v>1</v>
      </c>
      <c r="L2076" s="33" t="n">
        <v>46008</v>
      </c>
      <c r="M2076" s="33" t="n">
        <v>46008</v>
      </c>
      <c r="N2076" s="16" t="s">
        <v>7137</v>
      </c>
      <c r="O2076" s="16"/>
      <c r="P2076" s="16" t="str">
        <f aca="false">IF(AND(L2076&lt;=$D$2,M2076&gt;=$C$2),"Sí","")</f>
        <v/>
      </c>
      <c r="Q2076" s="18" t="str">
        <f aca="false">IF(COUNTIF(LOOKAHEAD!$A$5:$A$604,A2076)&gt;0,"En Lookahead",IF(P2076="Sí","INCORPORAR",""))</f>
        <v/>
      </c>
    </row>
    <row r="2077" customFormat="false" ht="15" hidden="false" customHeight="false" outlineLevel="0" collapsed="false">
      <c r="A2077" s="13" t="s">
        <v>7138</v>
      </c>
      <c r="B2077" s="13" t="n">
        <v>2072</v>
      </c>
      <c r="C2077" s="13" t="s">
        <v>7139</v>
      </c>
      <c r="D2077" s="13" t="n">
        <v>6</v>
      </c>
      <c r="E2077" s="36" t="s">
        <v>2137</v>
      </c>
      <c r="F2077" s="13" t="s">
        <v>1298</v>
      </c>
      <c r="G2077" s="13" t="s">
        <v>322</v>
      </c>
      <c r="H2077" s="13" t="s">
        <v>7065</v>
      </c>
      <c r="I2077" s="13" t="s">
        <v>134</v>
      </c>
      <c r="J2077" s="13" t="s">
        <v>1623</v>
      </c>
      <c r="K2077" s="30" t="n">
        <v>1</v>
      </c>
      <c r="L2077" s="31" t="n">
        <v>46006</v>
      </c>
      <c r="M2077" s="31" t="n">
        <v>46006</v>
      </c>
      <c r="N2077" s="13"/>
      <c r="O2077" s="13"/>
      <c r="P2077" s="13"/>
      <c r="Q2077" s="13"/>
    </row>
    <row r="2078" customFormat="false" ht="15" hidden="false" customHeight="false" outlineLevel="0" collapsed="false">
      <c r="A2078" s="16" t="s">
        <v>7140</v>
      </c>
      <c r="B2078" s="16" t="n">
        <v>2073</v>
      </c>
      <c r="C2078" s="16" t="s">
        <v>7141</v>
      </c>
      <c r="D2078" s="16" t="n">
        <v>7</v>
      </c>
      <c r="E2078" s="37" t="s">
        <v>2144</v>
      </c>
      <c r="F2078" s="16" t="s">
        <v>1285</v>
      </c>
      <c r="G2078" s="16" t="s">
        <v>322</v>
      </c>
      <c r="H2078" s="16" t="s">
        <v>7065</v>
      </c>
      <c r="I2078" s="16" t="s">
        <v>134</v>
      </c>
      <c r="J2078" s="16" t="s">
        <v>2137</v>
      </c>
      <c r="K2078" s="32" t="n">
        <v>1</v>
      </c>
      <c r="L2078" s="33" t="n">
        <v>46006</v>
      </c>
      <c r="M2078" s="33" t="n">
        <v>46006</v>
      </c>
      <c r="N2078" s="16" t="s">
        <v>7142</v>
      </c>
      <c r="O2078" s="16"/>
      <c r="P2078" s="16" t="str">
        <f aca="false">IF(AND(L2078&lt;=$D$2,M2078&gt;=$C$2),"Sí","")</f>
        <v/>
      </c>
      <c r="Q2078" s="18" t="str">
        <f aca="false">IF(COUNTIF(LOOKAHEAD!$A$5:$A$604,A2078)&gt;0,"En Lookahead",IF(P2078="Sí","INCORPORAR",""))</f>
        <v/>
      </c>
    </row>
    <row r="2079" customFormat="false" ht="15" hidden="false" customHeight="false" outlineLevel="0" collapsed="false">
      <c r="A2079" s="13" t="s">
        <v>7143</v>
      </c>
      <c r="B2079" s="13" t="n">
        <v>2074</v>
      </c>
      <c r="C2079" s="13" t="s">
        <v>7144</v>
      </c>
      <c r="D2079" s="13" t="n">
        <v>4</v>
      </c>
      <c r="E2079" s="20" t="s">
        <v>7145</v>
      </c>
      <c r="F2079" s="13" t="s">
        <v>1298</v>
      </c>
      <c r="G2079" s="13" t="s">
        <v>322</v>
      </c>
      <c r="H2079" s="13" t="s">
        <v>7145</v>
      </c>
      <c r="I2079" s="13" t="s">
        <v>136</v>
      </c>
      <c r="J2079" s="13" t="s">
        <v>1528</v>
      </c>
      <c r="K2079" s="30" t="n">
        <v>126</v>
      </c>
      <c r="L2079" s="31" t="n">
        <v>45969</v>
      </c>
      <c r="M2079" s="31" t="n">
        <v>46094</v>
      </c>
      <c r="N2079" s="13"/>
      <c r="O2079" s="13"/>
      <c r="P2079" s="13"/>
      <c r="Q2079" s="13"/>
    </row>
    <row r="2080" customFormat="false" ht="15" hidden="false" customHeight="false" outlineLevel="0" collapsed="false">
      <c r="A2080" s="13" t="s">
        <v>7146</v>
      </c>
      <c r="B2080" s="13" t="n">
        <v>2075</v>
      </c>
      <c r="C2080" s="13" t="s">
        <v>7147</v>
      </c>
      <c r="D2080" s="13" t="n">
        <v>5</v>
      </c>
      <c r="E2080" s="34" t="s">
        <v>7148</v>
      </c>
      <c r="F2080" s="13" t="s">
        <v>1298</v>
      </c>
      <c r="G2080" s="13" t="s">
        <v>322</v>
      </c>
      <c r="H2080" s="13" t="s">
        <v>7145</v>
      </c>
      <c r="I2080" s="13" t="s">
        <v>136</v>
      </c>
      <c r="J2080" s="13" t="s">
        <v>7145</v>
      </c>
      <c r="K2080" s="30" t="n">
        <v>126</v>
      </c>
      <c r="L2080" s="31" t="n">
        <v>45969</v>
      </c>
      <c r="M2080" s="31" t="n">
        <v>46094</v>
      </c>
      <c r="N2080" s="13"/>
      <c r="O2080" s="13"/>
      <c r="P2080" s="13"/>
      <c r="Q2080" s="13"/>
    </row>
    <row r="2081" customFormat="false" ht="15" hidden="false" customHeight="false" outlineLevel="0" collapsed="false">
      <c r="A2081" s="16" t="s">
        <v>7149</v>
      </c>
      <c r="B2081" s="16" t="n">
        <v>2076</v>
      </c>
      <c r="C2081" s="16" t="s">
        <v>7150</v>
      </c>
      <c r="D2081" s="16" t="n">
        <v>6</v>
      </c>
      <c r="E2081" s="35" t="s">
        <v>7151</v>
      </c>
      <c r="F2081" s="16" t="s">
        <v>1285</v>
      </c>
      <c r="G2081" s="16" t="s">
        <v>322</v>
      </c>
      <c r="H2081" s="16" t="s">
        <v>7145</v>
      </c>
      <c r="I2081" s="16" t="s">
        <v>136</v>
      </c>
      <c r="J2081" s="16" t="s">
        <v>7148</v>
      </c>
      <c r="K2081" s="32" t="n">
        <v>2</v>
      </c>
      <c r="L2081" s="33" t="n">
        <v>46018</v>
      </c>
      <c r="M2081" s="33" t="n">
        <v>46019</v>
      </c>
      <c r="N2081" s="16" t="s">
        <v>7152</v>
      </c>
      <c r="O2081" s="16"/>
      <c r="P2081" s="16" t="str">
        <f aca="false">IF(AND(L2081&lt;=$D$2,M2081&gt;=$C$2),"Sí","")</f>
        <v/>
      </c>
      <c r="Q2081" s="18" t="str">
        <f aca="false">IF(COUNTIF(LOOKAHEAD!$A$5:$A$604,A2081)&gt;0,"En Lookahead",IF(P2081="Sí","INCORPORAR",""))</f>
        <v/>
      </c>
    </row>
    <row r="2082" customFormat="false" ht="15" hidden="false" customHeight="false" outlineLevel="0" collapsed="false">
      <c r="A2082" s="16" t="s">
        <v>7153</v>
      </c>
      <c r="B2082" s="16" t="n">
        <v>2077</v>
      </c>
      <c r="C2082" s="16" t="s">
        <v>7154</v>
      </c>
      <c r="D2082" s="16" t="n">
        <v>6</v>
      </c>
      <c r="E2082" s="35" t="s">
        <v>7155</v>
      </c>
      <c r="F2082" s="16" t="s">
        <v>1285</v>
      </c>
      <c r="G2082" s="16" t="s">
        <v>322</v>
      </c>
      <c r="H2082" s="16" t="s">
        <v>7145</v>
      </c>
      <c r="I2082" s="16" t="s">
        <v>136</v>
      </c>
      <c r="J2082" s="16" t="s">
        <v>7148</v>
      </c>
      <c r="K2082" s="32" t="n">
        <v>96</v>
      </c>
      <c r="L2082" s="33" t="n">
        <v>45999</v>
      </c>
      <c r="M2082" s="33" t="n">
        <v>46094</v>
      </c>
      <c r="N2082" s="16" t="s">
        <v>6833</v>
      </c>
      <c r="O2082" s="16"/>
      <c r="P2082" s="16" t="str">
        <f aca="false">IF(AND(L2082&lt;=$D$2,M2082&gt;=$C$2),"Sí","")</f>
        <v/>
      </c>
      <c r="Q2082" s="18" t="str">
        <f aca="false">IF(COUNTIF(LOOKAHEAD!$A$5:$A$604,A2082)&gt;0,"En Lookahead",IF(P2082="Sí","INCORPORAR",""))</f>
        <v/>
      </c>
    </row>
    <row r="2083" customFormat="false" ht="15" hidden="false" customHeight="false" outlineLevel="0" collapsed="false">
      <c r="A2083" s="16" t="s">
        <v>7156</v>
      </c>
      <c r="B2083" s="16" t="n">
        <v>2078</v>
      </c>
      <c r="C2083" s="16" t="s">
        <v>7157</v>
      </c>
      <c r="D2083" s="16" t="n">
        <v>6</v>
      </c>
      <c r="E2083" s="35" t="s">
        <v>7158</v>
      </c>
      <c r="F2083" s="16" t="s">
        <v>1285</v>
      </c>
      <c r="G2083" s="16" t="s">
        <v>322</v>
      </c>
      <c r="H2083" s="16" t="s">
        <v>7145</v>
      </c>
      <c r="I2083" s="16" t="s">
        <v>136</v>
      </c>
      <c r="J2083" s="16" t="s">
        <v>7148</v>
      </c>
      <c r="K2083" s="32" t="n">
        <v>24</v>
      </c>
      <c r="L2083" s="33" t="n">
        <v>45969</v>
      </c>
      <c r="M2083" s="33" t="n">
        <v>45992</v>
      </c>
      <c r="N2083" s="16" t="s">
        <v>7159</v>
      </c>
      <c r="O2083" s="16"/>
      <c r="P2083" s="16" t="str">
        <f aca="false">IF(AND(L2083&lt;=$D$2,M2083&gt;=$C$2),"Sí","")</f>
        <v/>
      </c>
      <c r="Q2083" s="18" t="str">
        <f aca="false">IF(COUNTIF(LOOKAHEAD!$A$5:$A$604,A2083)&gt;0,"En Lookahead",IF(P2083="Sí","INCORPORAR",""))</f>
        <v/>
      </c>
    </row>
    <row r="2084" customFormat="false" ht="15" hidden="false" customHeight="false" outlineLevel="0" collapsed="false">
      <c r="A2084" s="16" t="s">
        <v>7160</v>
      </c>
      <c r="B2084" s="16" t="n">
        <v>2079</v>
      </c>
      <c r="C2084" s="16" t="s">
        <v>7161</v>
      </c>
      <c r="D2084" s="16" t="n">
        <v>6</v>
      </c>
      <c r="E2084" s="35" t="s">
        <v>7162</v>
      </c>
      <c r="F2084" s="16" t="s">
        <v>1285</v>
      </c>
      <c r="G2084" s="16" t="s">
        <v>322</v>
      </c>
      <c r="H2084" s="16" t="s">
        <v>7145</v>
      </c>
      <c r="I2084" s="16" t="s">
        <v>136</v>
      </c>
      <c r="J2084" s="16" t="s">
        <v>7148</v>
      </c>
      <c r="K2084" s="32" t="n">
        <v>1</v>
      </c>
      <c r="L2084" s="33" t="n">
        <v>45991</v>
      </c>
      <c r="M2084" s="33" t="n">
        <v>45991</v>
      </c>
      <c r="N2084" s="16" t="s">
        <v>1568</v>
      </c>
      <c r="O2084" s="16"/>
      <c r="P2084" s="16" t="str">
        <f aca="false">IF(AND(L2084&lt;=$D$2,M2084&gt;=$C$2),"Sí","")</f>
        <v/>
      </c>
      <c r="Q2084" s="18" t="str">
        <f aca="false">IF(COUNTIF(LOOKAHEAD!$A$5:$A$604,A2084)&gt;0,"En Lookahead",IF(P2084="Sí","INCORPORAR",""))</f>
        <v/>
      </c>
    </row>
    <row r="2085" customFormat="false" ht="15" hidden="false" customHeight="false" outlineLevel="0" collapsed="false">
      <c r="A2085" s="16" t="s">
        <v>7163</v>
      </c>
      <c r="B2085" s="16" t="n">
        <v>2080</v>
      </c>
      <c r="C2085" s="16" t="s">
        <v>7164</v>
      </c>
      <c r="D2085" s="16" t="n">
        <v>6</v>
      </c>
      <c r="E2085" s="35" t="s">
        <v>7165</v>
      </c>
      <c r="F2085" s="16" t="s">
        <v>1285</v>
      </c>
      <c r="G2085" s="16" t="s">
        <v>322</v>
      </c>
      <c r="H2085" s="16" t="s">
        <v>7145</v>
      </c>
      <c r="I2085" s="16" t="s">
        <v>136</v>
      </c>
      <c r="J2085" s="16" t="s">
        <v>7148</v>
      </c>
      <c r="K2085" s="32" t="n">
        <v>3</v>
      </c>
      <c r="L2085" s="33" t="n">
        <v>45971</v>
      </c>
      <c r="M2085" s="33" t="n">
        <v>45973</v>
      </c>
      <c r="N2085" s="16" t="s">
        <v>7166</v>
      </c>
      <c r="O2085" s="16"/>
      <c r="P2085" s="16" t="str">
        <f aca="false">IF(AND(L2085&lt;=$D$2,M2085&gt;=$C$2),"Sí","")</f>
        <v/>
      </c>
      <c r="Q2085" s="18" t="str">
        <f aca="false">IF(COUNTIF(LOOKAHEAD!$A$5:$A$604,A2085)&gt;0,"En Lookahead",IF(P2085="Sí","INCORPORAR",""))</f>
        <v/>
      </c>
    </row>
    <row r="2086" customFormat="false" ht="15" hidden="false" customHeight="false" outlineLevel="0" collapsed="false">
      <c r="A2086" s="25" t="s">
        <v>7167</v>
      </c>
      <c r="B2086" s="25" t="n">
        <v>2081</v>
      </c>
      <c r="C2086" s="25" t="s">
        <v>7168</v>
      </c>
      <c r="D2086" s="25" t="n">
        <v>2</v>
      </c>
      <c r="E2086" s="28" t="s">
        <v>7169</v>
      </c>
      <c r="F2086" s="25" t="s">
        <v>1298</v>
      </c>
      <c r="G2086" s="25" t="s">
        <v>563</v>
      </c>
      <c r="H2086" s="25"/>
      <c r="I2086" s="25"/>
      <c r="J2086" s="25" t="s">
        <v>1302</v>
      </c>
      <c r="K2086" s="26" t="n">
        <v>541</v>
      </c>
      <c r="L2086" s="27" t="n">
        <v>45989</v>
      </c>
      <c r="M2086" s="27" t="n">
        <v>46609</v>
      </c>
      <c r="N2086" s="25"/>
      <c r="O2086" s="25"/>
      <c r="P2086" s="25"/>
      <c r="Q2086" s="25"/>
    </row>
    <row r="2087" customFormat="false" ht="15" hidden="false" customHeight="false" outlineLevel="0" collapsed="false">
      <c r="A2087" s="25" t="s">
        <v>7170</v>
      </c>
      <c r="B2087" s="25" t="n">
        <v>2082</v>
      </c>
      <c r="C2087" s="25" t="s">
        <v>7171</v>
      </c>
      <c r="D2087" s="25" t="n">
        <v>3</v>
      </c>
      <c r="E2087" s="29" t="s">
        <v>7172</v>
      </c>
      <c r="F2087" s="25" t="s">
        <v>1298</v>
      </c>
      <c r="G2087" s="25" t="s">
        <v>563</v>
      </c>
      <c r="H2087" s="25"/>
      <c r="I2087" s="25"/>
      <c r="J2087" s="25" t="s">
        <v>7169</v>
      </c>
      <c r="K2087" s="26" t="n">
        <v>541</v>
      </c>
      <c r="L2087" s="27" t="n">
        <v>45989</v>
      </c>
      <c r="M2087" s="27" t="n">
        <v>46609</v>
      </c>
      <c r="N2087" s="25"/>
      <c r="O2087" s="25"/>
      <c r="P2087" s="25"/>
      <c r="Q2087" s="25"/>
    </row>
    <row r="2088" customFormat="false" ht="15" hidden="false" customHeight="false" outlineLevel="0" collapsed="false">
      <c r="A2088" s="13" t="s">
        <v>7173</v>
      </c>
      <c r="B2088" s="13" t="n">
        <v>2083</v>
      </c>
      <c r="C2088" s="13" t="s">
        <v>7174</v>
      </c>
      <c r="D2088" s="13" t="n">
        <v>4</v>
      </c>
      <c r="E2088" s="20" t="s">
        <v>1531</v>
      </c>
      <c r="F2088" s="13" t="s">
        <v>1298</v>
      </c>
      <c r="G2088" s="13" t="s">
        <v>563</v>
      </c>
      <c r="H2088" s="13" t="s">
        <v>1531</v>
      </c>
      <c r="I2088" s="13" t="s">
        <v>62</v>
      </c>
      <c r="J2088" s="13" t="s">
        <v>7172</v>
      </c>
      <c r="K2088" s="30" t="n">
        <v>236</v>
      </c>
      <c r="L2088" s="31" t="n">
        <v>46039</v>
      </c>
      <c r="M2088" s="31" t="n">
        <v>46354</v>
      </c>
      <c r="N2088" s="13"/>
      <c r="O2088" s="13"/>
      <c r="P2088" s="13"/>
      <c r="Q2088" s="13"/>
    </row>
    <row r="2089" customFormat="false" ht="15" hidden="false" customHeight="false" outlineLevel="0" collapsed="false">
      <c r="A2089" s="13" t="s">
        <v>7175</v>
      </c>
      <c r="B2089" s="13" t="n">
        <v>2084</v>
      </c>
      <c r="C2089" s="13" t="s">
        <v>7176</v>
      </c>
      <c r="D2089" s="13" t="n">
        <v>5</v>
      </c>
      <c r="E2089" s="34" t="s">
        <v>7177</v>
      </c>
      <c r="F2089" s="13" t="s">
        <v>1298</v>
      </c>
      <c r="G2089" s="13" t="s">
        <v>563</v>
      </c>
      <c r="H2089" s="13" t="s">
        <v>1531</v>
      </c>
      <c r="I2089" s="13" t="s">
        <v>62</v>
      </c>
      <c r="J2089" s="13" t="s">
        <v>1531</v>
      </c>
      <c r="K2089" s="30" t="n">
        <v>104</v>
      </c>
      <c r="L2089" s="31" t="n">
        <v>46039</v>
      </c>
      <c r="M2089" s="31" t="n">
        <v>46142</v>
      </c>
      <c r="N2089" s="13"/>
      <c r="O2089" s="13"/>
      <c r="P2089" s="13"/>
      <c r="Q2089" s="13"/>
    </row>
    <row r="2090" customFormat="false" ht="15" hidden="false" customHeight="false" outlineLevel="0" collapsed="false">
      <c r="A2090" s="16" t="s">
        <v>7178</v>
      </c>
      <c r="B2090" s="16" t="n">
        <v>2085</v>
      </c>
      <c r="C2090" s="16" t="s">
        <v>7179</v>
      </c>
      <c r="D2090" s="16" t="n">
        <v>6</v>
      </c>
      <c r="E2090" s="35" t="s">
        <v>7180</v>
      </c>
      <c r="F2090" s="16" t="s">
        <v>1285</v>
      </c>
      <c r="G2090" s="16" t="s">
        <v>563</v>
      </c>
      <c r="H2090" s="16" t="s">
        <v>1531</v>
      </c>
      <c r="I2090" s="16" t="s">
        <v>62</v>
      </c>
      <c r="J2090" s="16" t="s">
        <v>7177</v>
      </c>
      <c r="K2090" s="32" t="n">
        <v>31</v>
      </c>
      <c r="L2090" s="33" t="n">
        <v>46039</v>
      </c>
      <c r="M2090" s="33" t="n">
        <v>46069</v>
      </c>
      <c r="N2090" s="16" t="s">
        <v>1875</v>
      </c>
      <c r="O2090" s="16"/>
      <c r="P2090" s="16" t="str">
        <f aca="false">IF(AND(L2090&lt;=$D$2,M2090&gt;=$C$2),"Sí","")</f>
        <v/>
      </c>
      <c r="Q2090" s="18" t="str">
        <f aca="false">IF(COUNTIF(LOOKAHEAD!$A$5:$A$604,A2090)&gt;0,"En Lookahead",IF(P2090="Sí","INCORPORAR",""))</f>
        <v/>
      </c>
    </row>
    <row r="2091" customFormat="false" ht="15" hidden="false" customHeight="false" outlineLevel="0" collapsed="false">
      <c r="A2091" s="16" t="s">
        <v>7181</v>
      </c>
      <c r="B2091" s="16" t="n">
        <v>2086</v>
      </c>
      <c r="C2091" s="16" t="s">
        <v>7182</v>
      </c>
      <c r="D2091" s="16" t="n">
        <v>6</v>
      </c>
      <c r="E2091" s="35" t="s">
        <v>7183</v>
      </c>
      <c r="F2091" s="16" t="s">
        <v>1285</v>
      </c>
      <c r="G2091" s="16" t="s">
        <v>563</v>
      </c>
      <c r="H2091" s="16" t="s">
        <v>1531</v>
      </c>
      <c r="I2091" s="16" t="s">
        <v>62</v>
      </c>
      <c r="J2091" s="16" t="s">
        <v>7177</v>
      </c>
      <c r="K2091" s="32" t="n">
        <v>31</v>
      </c>
      <c r="L2091" s="33" t="n">
        <v>46070</v>
      </c>
      <c r="M2091" s="33" t="n">
        <v>46100</v>
      </c>
      <c r="N2091" s="16" t="s">
        <v>2000</v>
      </c>
      <c r="O2091" s="16"/>
      <c r="P2091" s="16" t="str">
        <f aca="false">IF(AND(L2091&lt;=$D$2,M2091&gt;=$C$2),"Sí","")</f>
        <v/>
      </c>
      <c r="Q2091" s="18" t="str">
        <f aca="false">IF(COUNTIF(LOOKAHEAD!$A$5:$A$604,A2091)&gt;0,"En Lookahead",IF(P2091="Sí","INCORPORAR",""))</f>
        <v/>
      </c>
    </row>
    <row r="2092" customFormat="false" ht="15" hidden="false" customHeight="false" outlineLevel="0" collapsed="false">
      <c r="A2092" s="16" t="s">
        <v>7184</v>
      </c>
      <c r="B2092" s="16" t="n">
        <v>2087</v>
      </c>
      <c r="C2092" s="16" t="s">
        <v>7185</v>
      </c>
      <c r="D2092" s="16" t="n">
        <v>6</v>
      </c>
      <c r="E2092" s="35" t="s">
        <v>7186</v>
      </c>
      <c r="F2092" s="16" t="s">
        <v>1285</v>
      </c>
      <c r="G2092" s="16" t="s">
        <v>563</v>
      </c>
      <c r="H2092" s="16" t="s">
        <v>1531</v>
      </c>
      <c r="I2092" s="16" t="s">
        <v>62</v>
      </c>
      <c r="J2092" s="16" t="s">
        <v>7177</v>
      </c>
      <c r="K2092" s="32" t="n">
        <v>18</v>
      </c>
      <c r="L2092" s="33" t="n">
        <v>46101</v>
      </c>
      <c r="M2092" s="33" t="n">
        <v>46118</v>
      </c>
      <c r="N2092" s="16" t="s">
        <v>7187</v>
      </c>
      <c r="O2092" s="16"/>
      <c r="P2092" s="16" t="str">
        <f aca="false">IF(AND(L2092&lt;=$D$2,M2092&gt;=$C$2),"Sí","")</f>
        <v/>
      </c>
      <c r="Q2092" s="18" t="str">
        <f aca="false">IF(COUNTIF(LOOKAHEAD!$A$5:$A$604,A2092)&gt;0,"En Lookahead",IF(P2092="Sí","INCORPORAR",""))</f>
        <v/>
      </c>
    </row>
    <row r="2093" customFormat="false" ht="15" hidden="false" customHeight="false" outlineLevel="0" collapsed="false">
      <c r="A2093" s="16" t="s">
        <v>7188</v>
      </c>
      <c r="B2093" s="16" t="n">
        <v>2088</v>
      </c>
      <c r="C2093" s="16" t="s">
        <v>7189</v>
      </c>
      <c r="D2093" s="16" t="n">
        <v>6</v>
      </c>
      <c r="E2093" s="35" t="s">
        <v>7190</v>
      </c>
      <c r="F2093" s="16" t="s">
        <v>1285</v>
      </c>
      <c r="G2093" s="16" t="s">
        <v>563</v>
      </c>
      <c r="H2093" s="16" t="s">
        <v>1531</v>
      </c>
      <c r="I2093" s="16" t="s">
        <v>62</v>
      </c>
      <c r="J2093" s="16" t="s">
        <v>7177</v>
      </c>
      <c r="K2093" s="32" t="n">
        <v>5</v>
      </c>
      <c r="L2093" s="33" t="n">
        <v>46119</v>
      </c>
      <c r="M2093" s="33" t="n">
        <v>46123</v>
      </c>
      <c r="N2093" s="16" t="s">
        <v>7191</v>
      </c>
      <c r="O2093" s="16"/>
      <c r="P2093" s="16" t="str">
        <f aca="false">IF(AND(L2093&lt;=$D$2,M2093&gt;=$C$2),"Sí","")</f>
        <v/>
      </c>
      <c r="Q2093" s="18" t="str">
        <f aca="false">IF(COUNTIF(LOOKAHEAD!$A$5:$A$604,A2093)&gt;0,"En Lookahead",IF(P2093="Sí","INCORPORAR",""))</f>
        <v/>
      </c>
    </row>
    <row r="2094" customFormat="false" ht="15" hidden="false" customHeight="false" outlineLevel="0" collapsed="false">
      <c r="A2094" s="16" t="s">
        <v>7192</v>
      </c>
      <c r="B2094" s="16" t="n">
        <v>2089</v>
      </c>
      <c r="C2094" s="16" t="s">
        <v>7193</v>
      </c>
      <c r="D2094" s="16" t="n">
        <v>6</v>
      </c>
      <c r="E2094" s="35" t="s">
        <v>7194</v>
      </c>
      <c r="F2094" s="16" t="s">
        <v>1285</v>
      </c>
      <c r="G2094" s="16" t="s">
        <v>563</v>
      </c>
      <c r="H2094" s="16" t="s">
        <v>1531</v>
      </c>
      <c r="I2094" s="16" t="s">
        <v>62</v>
      </c>
      <c r="J2094" s="16" t="s">
        <v>7177</v>
      </c>
      <c r="K2094" s="32" t="n">
        <v>1</v>
      </c>
      <c r="L2094" s="33" t="n">
        <v>46124</v>
      </c>
      <c r="M2094" s="33" t="n">
        <v>46124</v>
      </c>
      <c r="N2094" s="16" t="s">
        <v>7195</v>
      </c>
      <c r="O2094" s="16"/>
      <c r="P2094" s="16" t="str">
        <f aca="false">IF(AND(L2094&lt;=$D$2,M2094&gt;=$C$2),"Sí","")</f>
        <v/>
      </c>
      <c r="Q2094" s="18" t="str">
        <f aca="false">IF(COUNTIF(LOOKAHEAD!$A$5:$A$604,A2094)&gt;0,"En Lookahead",IF(P2094="Sí","INCORPORAR",""))</f>
        <v/>
      </c>
    </row>
    <row r="2095" customFormat="false" ht="15" hidden="false" customHeight="false" outlineLevel="0" collapsed="false">
      <c r="A2095" s="16" t="s">
        <v>7196</v>
      </c>
      <c r="B2095" s="16" t="n">
        <v>2090</v>
      </c>
      <c r="C2095" s="16" t="s">
        <v>7197</v>
      </c>
      <c r="D2095" s="16" t="n">
        <v>6</v>
      </c>
      <c r="E2095" s="35" t="s">
        <v>7198</v>
      </c>
      <c r="F2095" s="16" t="s">
        <v>1285</v>
      </c>
      <c r="G2095" s="16" t="s">
        <v>563</v>
      </c>
      <c r="H2095" s="16" t="s">
        <v>1531</v>
      </c>
      <c r="I2095" s="16" t="s">
        <v>62</v>
      </c>
      <c r="J2095" s="16" t="s">
        <v>7177</v>
      </c>
      <c r="K2095" s="32" t="n">
        <v>2</v>
      </c>
      <c r="L2095" s="33" t="n">
        <v>46125</v>
      </c>
      <c r="M2095" s="33" t="n">
        <v>46126</v>
      </c>
      <c r="N2095" s="16" t="s">
        <v>7199</v>
      </c>
      <c r="O2095" s="16"/>
      <c r="P2095" s="16" t="str">
        <f aca="false">IF(AND(L2095&lt;=$D$2,M2095&gt;=$C$2),"Sí","")</f>
        <v/>
      </c>
      <c r="Q2095" s="18" t="str">
        <f aca="false">IF(COUNTIF(LOOKAHEAD!$A$5:$A$604,A2095)&gt;0,"En Lookahead",IF(P2095="Sí","INCORPORAR",""))</f>
        <v/>
      </c>
    </row>
    <row r="2096" customFormat="false" ht="15" hidden="false" customHeight="false" outlineLevel="0" collapsed="false">
      <c r="A2096" s="16" t="s">
        <v>7200</v>
      </c>
      <c r="B2096" s="16" t="n">
        <v>2091</v>
      </c>
      <c r="C2096" s="16" t="s">
        <v>7201</v>
      </c>
      <c r="D2096" s="16" t="n">
        <v>6</v>
      </c>
      <c r="E2096" s="35" t="s">
        <v>7202</v>
      </c>
      <c r="F2096" s="16" t="s">
        <v>1285</v>
      </c>
      <c r="G2096" s="16" t="s">
        <v>563</v>
      </c>
      <c r="H2096" s="16" t="s">
        <v>1531</v>
      </c>
      <c r="I2096" s="16" t="s">
        <v>62</v>
      </c>
      <c r="J2096" s="16" t="s">
        <v>7177</v>
      </c>
      <c r="K2096" s="32" t="n">
        <v>16</v>
      </c>
      <c r="L2096" s="33" t="n">
        <v>46127</v>
      </c>
      <c r="M2096" s="33" t="n">
        <v>46142</v>
      </c>
      <c r="N2096" s="16" t="s">
        <v>7203</v>
      </c>
      <c r="O2096" s="16"/>
      <c r="P2096" s="16" t="str">
        <f aca="false">IF(AND(L2096&lt;=$D$2,M2096&gt;=$C$2),"Sí","")</f>
        <v/>
      </c>
      <c r="Q2096" s="18" t="str">
        <f aca="false">IF(COUNTIF(LOOKAHEAD!$A$5:$A$604,A2096)&gt;0,"En Lookahead",IF(P2096="Sí","INCORPORAR",""))</f>
        <v/>
      </c>
    </row>
    <row r="2097" customFormat="false" ht="15" hidden="false" customHeight="false" outlineLevel="0" collapsed="false">
      <c r="A2097" s="13" t="s">
        <v>7204</v>
      </c>
      <c r="B2097" s="13" t="n">
        <v>2092</v>
      </c>
      <c r="C2097" s="13" t="s">
        <v>7205</v>
      </c>
      <c r="D2097" s="13" t="n">
        <v>5</v>
      </c>
      <c r="E2097" s="34" t="s">
        <v>7206</v>
      </c>
      <c r="F2097" s="13" t="s">
        <v>1298</v>
      </c>
      <c r="G2097" s="13" t="s">
        <v>563</v>
      </c>
      <c r="H2097" s="13" t="s">
        <v>1531</v>
      </c>
      <c r="I2097" s="13" t="s">
        <v>62</v>
      </c>
      <c r="J2097" s="13" t="s">
        <v>1531</v>
      </c>
      <c r="K2097" s="30" t="n">
        <v>56</v>
      </c>
      <c r="L2097" s="31" t="n">
        <v>46101</v>
      </c>
      <c r="M2097" s="31" t="n">
        <v>46156</v>
      </c>
      <c r="N2097" s="13"/>
      <c r="O2097" s="13"/>
      <c r="P2097" s="13"/>
      <c r="Q2097" s="13"/>
    </row>
    <row r="2098" customFormat="false" ht="15" hidden="false" customHeight="false" outlineLevel="0" collapsed="false">
      <c r="A2098" s="16" t="s">
        <v>7207</v>
      </c>
      <c r="B2098" s="16" t="n">
        <v>2093</v>
      </c>
      <c r="C2098" s="16" t="s">
        <v>7208</v>
      </c>
      <c r="D2098" s="16" t="n">
        <v>6</v>
      </c>
      <c r="E2098" s="35" t="s">
        <v>7209</v>
      </c>
      <c r="F2098" s="16" t="s">
        <v>1285</v>
      </c>
      <c r="G2098" s="16" t="s">
        <v>563</v>
      </c>
      <c r="H2098" s="16" t="s">
        <v>1531</v>
      </c>
      <c r="I2098" s="16" t="s">
        <v>62</v>
      </c>
      <c r="J2098" s="16" t="s">
        <v>7206</v>
      </c>
      <c r="K2098" s="32" t="n">
        <v>20</v>
      </c>
      <c r="L2098" s="33" t="n">
        <v>46101</v>
      </c>
      <c r="M2098" s="33" t="n">
        <v>46120</v>
      </c>
      <c r="N2098" s="16" t="s">
        <v>7187</v>
      </c>
      <c r="O2098" s="16"/>
      <c r="P2098" s="16" t="str">
        <f aca="false">IF(AND(L2098&lt;=$D$2,M2098&gt;=$C$2),"Sí","")</f>
        <v/>
      </c>
      <c r="Q2098" s="18" t="str">
        <f aca="false">IF(COUNTIF(LOOKAHEAD!$A$5:$A$604,A2098)&gt;0,"En Lookahead",IF(P2098="Sí","INCORPORAR",""))</f>
        <v/>
      </c>
    </row>
    <row r="2099" customFormat="false" ht="15" hidden="false" customHeight="false" outlineLevel="0" collapsed="false">
      <c r="A2099" s="16" t="s">
        <v>7210</v>
      </c>
      <c r="B2099" s="16" t="n">
        <v>2094</v>
      </c>
      <c r="C2099" s="16" t="s">
        <v>7211</v>
      </c>
      <c r="D2099" s="16" t="n">
        <v>6</v>
      </c>
      <c r="E2099" s="35" t="s">
        <v>7212</v>
      </c>
      <c r="F2099" s="16" t="s">
        <v>1285</v>
      </c>
      <c r="G2099" s="16" t="s">
        <v>563</v>
      </c>
      <c r="H2099" s="16" t="s">
        <v>1531</v>
      </c>
      <c r="I2099" s="16" t="s">
        <v>62</v>
      </c>
      <c r="J2099" s="16" t="s">
        <v>7206</v>
      </c>
      <c r="K2099" s="32" t="n">
        <v>20</v>
      </c>
      <c r="L2099" s="33" t="n">
        <v>46121</v>
      </c>
      <c r="M2099" s="33" t="n">
        <v>46140</v>
      </c>
      <c r="N2099" s="16" t="s">
        <v>7213</v>
      </c>
      <c r="O2099" s="16"/>
      <c r="P2099" s="16" t="str">
        <f aca="false">IF(AND(L2099&lt;=$D$2,M2099&gt;=$C$2),"Sí","")</f>
        <v/>
      </c>
      <c r="Q2099" s="18" t="str">
        <f aca="false">IF(COUNTIF(LOOKAHEAD!$A$5:$A$604,A2099)&gt;0,"En Lookahead",IF(P2099="Sí","INCORPORAR",""))</f>
        <v/>
      </c>
    </row>
    <row r="2100" customFormat="false" ht="15" hidden="false" customHeight="false" outlineLevel="0" collapsed="false">
      <c r="A2100" s="16" t="s">
        <v>7214</v>
      </c>
      <c r="B2100" s="16" t="n">
        <v>2095</v>
      </c>
      <c r="C2100" s="16" t="s">
        <v>7215</v>
      </c>
      <c r="D2100" s="16" t="n">
        <v>6</v>
      </c>
      <c r="E2100" s="35" t="s">
        <v>7216</v>
      </c>
      <c r="F2100" s="16" t="s">
        <v>1285</v>
      </c>
      <c r="G2100" s="16" t="s">
        <v>563</v>
      </c>
      <c r="H2100" s="16" t="s">
        <v>1531</v>
      </c>
      <c r="I2100" s="16" t="s">
        <v>62</v>
      </c>
      <c r="J2100" s="16" t="s">
        <v>7206</v>
      </c>
      <c r="K2100" s="32" t="n">
        <v>8</v>
      </c>
      <c r="L2100" s="33" t="n">
        <v>46141</v>
      </c>
      <c r="M2100" s="33" t="n">
        <v>46148</v>
      </c>
      <c r="N2100" s="16" t="s">
        <v>7217</v>
      </c>
      <c r="O2100" s="16"/>
      <c r="P2100" s="16" t="str">
        <f aca="false">IF(AND(L2100&lt;=$D$2,M2100&gt;=$C$2),"Sí","")</f>
        <v/>
      </c>
      <c r="Q2100" s="18" t="str">
        <f aca="false">IF(COUNTIF(LOOKAHEAD!$A$5:$A$604,A2100)&gt;0,"En Lookahead",IF(P2100="Sí","INCORPORAR",""))</f>
        <v/>
      </c>
    </row>
    <row r="2101" customFormat="false" ht="15" hidden="false" customHeight="false" outlineLevel="0" collapsed="false">
      <c r="A2101" s="16" t="s">
        <v>7218</v>
      </c>
      <c r="B2101" s="16" t="n">
        <v>2096</v>
      </c>
      <c r="C2101" s="16" t="s">
        <v>7219</v>
      </c>
      <c r="D2101" s="16" t="n">
        <v>6</v>
      </c>
      <c r="E2101" s="35" t="s">
        <v>7220</v>
      </c>
      <c r="F2101" s="16" t="s">
        <v>1285</v>
      </c>
      <c r="G2101" s="16" t="s">
        <v>563</v>
      </c>
      <c r="H2101" s="16" t="s">
        <v>1531</v>
      </c>
      <c r="I2101" s="16" t="s">
        <v>62</v>
      </c>
      <c r="J2101" s="16" t="s">
        <v>7206</v>
      </c>
      <c r="K2101" s="32" t="n">
        <v>8</v>
      </c>
      <c r="L2101" s="33" t="n">
        <v>46149</v>
      </c>
      <c r="M2101" s="33" t="n">
        <v>46156</v>
      </c>
      <c r="N2101" s="16" t="s">
        <v>7221</v>
      </c>
      <c r="O2101" s="16"/>
      <c r="P2101" s="16" t="str">
        <f aca="false">IF(AND(L2101&lt;=$D$2,M2101&gt;=$C$2),"Sí","")</f>
        <v/>
      </c>
      <c r="Q2101" s="18" t="str">
        <f aca="false">IF(COUNTIF(LOOKAHEAD!$A$5:$A$604,A2101)&gt;0,"En Lookahead",IF(P2101="Sí","INCORPORAR",""))</f>
        <v/>
      </c>
    </row>
    <row r="2102" customFormat="false" ht="15" hidden="false" customHeight="false" outlineLevel="0" collapsed="false">
      <c r="A2102" s="16" t="s">
        <v>7222</v>
      </c>
      <c r="B2102" s="16" t="n">
        <v>2097</v>
      </c>
      <c r="C2102" s="16" t="s">
        <v>7223</v>
      </c>
      <c r="D2102" s="16" t="n">
        <v>6</v>
      </c>
      <c r="E2102" s="35" t="s">
        <v>7224</v>
      </c>
      <c r="F2102" s="16" t="s">
        <v>1285</v>
      </c>
      <c r="G2102" s="16" t="s">
        <v>563</v>
      </c>
      <c r="H2102" s="16" t="s">
        <v>1531</v>
      </c>
      <c r="I2102" s="16" t="s">
        <v>62</v>
      </c>
      <c r="J2102" s="16" t="s">
        <v>7206</v>
      </c>
      <c r="K2102" s="32" t="n">
        <v>10</v>
      </c>
      <c r="L2102" s="33" t="n">
        <v>46138</v>
      </c>
      <c r="M2102" s="33" t="n">
        <v>46147</v>
      </c>
      <c r="N2102" s="16" t="s">
        <v>7225</v>
      </c>
      <c r="O2102" s="16"/>
      <c r="P2102" s="16" t="str">
        <f aca="false">IF(AND(L2102&lt;=$D$2,M2102&gt;=$C$2),"Sí","")</f>
        <v/>
      </c>
      <c r="Q2102" s="18" t="str">
        <f aca="false">IF(COUNTIF(LOOKAHEAD!$A$5:$A$604,A2102)&gt;0,"En Lookahead",IF(P2102="Sí","INCORPORAR",""))</f>
        <v/>
      </c>
    </row>
    <row r="2103" customFormat="false" ht="15" hidden="false" customHeight="false" outlineLevel="0" collapsed="false">
      <c r="A2103" s="16" t="s">
        <v>7226</v>
      </c>
      <c r="B2103" s="16" t="n">
        <v>2098</v>
      </c>
      <c r="C2103" s="16" t="s">
        <v>7227</v>
      </c>
      <c r="D2103" s="16" t="n">
        <v>6</v>
      </c>
      <c r="E2103" s="35" t="s">
        <v>7228</v>
      </c>
      <c r="F2103" s="16" t="s">
        <v>1285</v>
      </c>
      <c r="G2103" s="16" t="s">
        <v>563</v>
      </c>
      <c r="H2103" s="16" t="s">
        <v>1531</v>
      </c>
      <c r="I2103" s="16" t="s">
        <v>62</v>
      </c>
      <c r="J2103" s="16" t="s">
        <v>7206</v>
      </c>
      <c r="K2103" s="32" t="n">
        <v>10</v>
      </c>
      <c r="L2103" s="33" t="n">
        <v>46139</v>
      </c>
      <c r="M2103" s="33" t="n">
        <v>46148</v>
      </c>
      <c r="N2103" s="16" t="s">
        <v>7229</v>
      </c>
      <c r="O2103" s="16"/>
      <c r="P2103" s="16" t="str">
        <f aca="false">IF(AND(L2103&lt;=$D$2,M2103&gt;=$C$2),"Sí","")</f>
        <v/>
      </c>
      <c r="Q2103" s="18" t="str">
        <f aca="false">IF(COUNTIF(LOOKAHEAD!$A$5:$A$604,A2103)&gt;0,"En Lookahead",IF(P2103="Sí","INCORPORAR",""))</f>
        <v/>
      </c>
    </row>
    <row r="2104" customFormat="false" ht="15" hidden="false" customHeight="false" outlineLevel="0" collapsed="false">
      <c r="A2104" s="16" t="s">
        <v>7230</v>
      </c>
      <c r="B2104" s="16" t="n">
        <v>2099</v>
      </c>
      <c r="C2104" s="16" t="s">
        <v>7231</v>
      </c>
      <c r="D2104" s="16" t="n">
        <v>6</v>
      </c>
      <c r="E2104" s="35" t="s">
        <v>7232</v>
      </c>
      <c r="F2104" s="16" t="s">
        <v>1285</v>
      </c>
      <c r="G2104" s="16" t="s">
        <v>563</v>
      </c>
      <c r="H2104" s="16" t="s">
        <v>1531</v>
      </c>
      <c r="I2104" s="16" t="s">
        <v>62</v>
      </c>
      <c r="J2104" s="16" t="s">
        <v>7206</v>
      </c>
      <c r="K2104" s="32" t="n">
        <v>25</v>
      </c>
      <c r="L2104" s="33" t="n">
        <v>46122</v>
      </c>
      <c r="M2104" s="33" t="n">
        <v>46146</v>
      </c>
      <c r="N2104" s="16" t="s">
        <v>7233</v>
      </c>
      <c r="O2104" s="16"/>
      <c r="P2104" s="16" t="str">
        <f aca="false">IF(AND(L2104&lt;=$D$2,M2104&gt;=$C$2),"Sí","")</f>
        <v/>
      </c>
      <c r="Q2104" s="18" t="str">
        <f aca="false">IF(COUNTIF(LOOKAHEAD!$A$5:$A$604,A2104)&gt;0,"En Lookahead",IF(P2104="Sí","INCORPORAR",""))</f>
        <v/>
      </c>
    </row>
    <row r="2105" customFormat="false" ht="15" hidden="false" customHeight="false" outlineLevel="0" collapsed="false">
      <c r="A2105" s="13" t="s">
        <v>7234</v>
      </c>
      <c r="B2105" s="13" t="n">
        <v>2100</v>
      </c>
      <c r="C2105" s="13" t="s">
        <v>7235</v>
      </c>
      <c r="D2105" s="13" t="n">
        <v>5</v>
      </c>
      <c r="E2105" s="34" t="s">
        <v>7236</v>
      </c>
      <c r="F2105" s="13" t="s">
        <v>1298</v>
      </c>
      <c r="G2105" s="13" t="s">
        <v>563</v>
      </c>
      <c r="H2105" s="13" t="s">
        <v>1531</v>
      </c>
      <c r="I2105" s="13" t="s">
        <v>62</v>
      </c>
      <c r="J2105" s="13" t="s">
        <v>1531</v>
      </c>
      <c r="K2105" s="30" t="n">
        <v>27</v>
      </c>
      <c r="L2105" s="31" t="n">
        <v>46141</v>
      </c>
      <c r="M2105" s="31" t="n">
        <v>46247</v>
      </c>
      <c r="N2105" s="13"/>
      <c r="O2105" s="13"/>
      <c r="P2105" s="13"/>
      <c r="Q2105" s="13"/>
    </row>
    <row r="2106" customFormat="false" ht="15" hidden="false" customHeight="false" outlineLevel="0" collapsed="false">
      <c r="A2106" s="16" t="s">
        <v>7237</v>
      </c>
      <c r="B2106" s="16" t="n">
        <v>2101</v>
      </c>
      <c r="C2106" s="16" t="s">
        <v>7238</v>
      </c>
      <c r="D2106" s="16" t="n">
        <v>6</v>
      </c>
      <c r="E2106" s="35" t="s">
        <v>7239</v>
      </c>
      <c r="F2106" s="16" t="s">
        <v>1285</v>
      </c>
      <c r="G2106" s="16" t="s">
        <v>563</v>
      </c>
      <c r="H2106" s="16" t="s">
        <v>1531</v>
      </c>
      <c r="I2106" s="16" t="s">
        <v>62</v>
      </c>
      <c r="J2106" s="16" t="s">
        <v>7236</v>
      </c>
      <c r="K2106" s="32" t="n">
        <v>5</v>
      </c>
      <c r="L2106" s="33" t="n">
        <v>46141</v>
      </c>
      <c r="M2106" s="33" t="n">
        <v>46145</v>
      </c>
      <c r="N2106" s="16" t="s">
        <v>7217</v>
      </c>
      <c r="O2106" s="16"/>
      <c r="P2106" s="16" t="str">
        <f aca="false">IF(AND(L2106&lt;=$D$2,M2106&gt;=$C$2),"Sí","")</f>
        <v/>
      </c>
      <c r="Q2106" s="18" t="str">
        <f aca="false">IF(COUNTIF(LOOKAHEAD!$A$5:$A$604,A2106)&gt;0,"En Lookahead",IF(P2106="Sí","INCORPORAR",""))</f>
        <v/>
      </c>
    </row>
    <row r="2107" customFormat="false" ht="15" hidden="false" customHeight="false" outlineLevel="0" collapsed="false">
      <c r="A2107" s="16" t="s">
        <v>7240</v>
      </c>
      <c r="B2107" s="16" t="n">
        <v>2102</v>
      </c>
      <c r="C2107" s="16" t="s">
        <v>7241</v>
      </c>
      <c r="D2107" s="16" t="n">
        <v>6</v>
      </c>
      <c r="E2107" s="35" t="s">
        <v>7242</v>
      </c>
      <c r="F2107" s="16" t="s">
        <v>1285</v>
      </c>
      <c r="G2107" s="16" t="s">
        <v>563</v>
      </c>
      <c r="H2107" s="16" t="s">
        <v>1531</v>
      </c>
      <c r="I2107" s="16" t="s">
        <v>62</v>
      </c>
      <c r="J2107" s="16" t="s">
        <v>7236</v>
      </c>
      <c r="K2107" s="32" t="n">
        <v>15</v>
      </c>
      <c r="L2107" s="33" t="n">
        <v>46146</v>
      </c>
      <c r="M2107" s="33" t="n">
        <v>46240</v>
      </c>
      <c r="N2107" s="16" t="s">
        <v>7243</v>
      </c>
      <c r="O2107" s="16"/>
      <c r="P2107" s="16" t="str">
        <f aca="false">IF(AND(L2107&lt;=$D$2,M2107&gt;=$C$2),"Sí","")</f>
        <v/>
      </c>
      <c r="Q2107" s="18" t="str">
        <f aca="false">IF(COUNTIF(LOOKAHEAD!$A$5:$A$604,A2107)&gt;0,"En Lookahead",IF(P2107="Sí","INCORPORAR",""))</f>
        <v/>
      </c>
    </row>
    <row r="2108" customFormat="false" ht="15" hidden="false" customHeight="false" outlineLevel="0" collapsed="false">
      <c r="A2108" s="16" t="s">
        <v>7244</v>
      </c>
      <c r="B2108" s="16" t="n">
        <v>2103</v>
      </c>
      <c r="C2108" s="16" t="s">
        <v>7245</v>
      </c>
      <c r="D2108" s="16" t="n">
        <v>6</v>
      </c>
      <c r="E2108" s="35" t="s">
        <v>7246</v>
      </c>
      <c r="F2108" s="16" t="s">
        <v>1285</v>
      </c>
      <c r="G2108" s="16" t="s">
        <v>563</v>
      </c>
      <c r="H2108" s="16" t="s">
        <v>1531</v>
      </c>
      <c r="I2108" s="16" t="s">
        <v>62</v>
      </c>
      <c r="J2108" s="16" t="s">
        <v>7236</v>
      </c>
      <c r="K2108" s="32" t="n">
        <v>7</v>
      </c>
      <c r="L2108" s="33" t="n">
        <v>46241</v>
      </c>
      <c r="M2108" s="33" t="n">
        <v>46247</v>
      </c>
      <c r="N2108" s="16" t="s">
        <v>7247</v>
      </c>
      <c r="O2108" s="16"/>
      <c r="P2108" s="16" t="str">
        <f aca="false">IF(AND(L2108&lt;=$D$2,M2108&gt;=$C$2),"Sí","")</f>
        <v/>
      </c>
      <c r="Q2108" s="18" t="str">
        <f aca="false">IF(COUNTIF(LOOKAHEAD!$A$5:$A$604,A2108)&gt;0,"En Lookahead",IF(P2108="Sí","INCORPORAR",""))</f>
        <v/>
      </c>
    </row>
    <row r="2109" customFormat="false" ht="15" hidden="false" customHeight="false" outlineLevel="0" collapsed="false">
      <c r="A2109" s="13" t="s">
        <v>7248</v>
      </c>
      <c r="B2109" s="13" t="n">
        <v>2104</v>
      </c>
      <c r="C2109" s="13" t="s">
        <v>7249</v>
      </c>
      <c r="D2109" s="13" t="n">
        <v>5</v>
      </c>
      <c r="E2109" s="34" t="s">
        <v>7250</v>
      </c>
      <c r="F2109" s="13" t="s">
        <v>1298</v>
      </c>
      <c r="G2109" s="13" t="s">
        <v>563</v>
      </c>
      <c r="H2109" s="13" t="s">
        <v>1531</v>
      </c>
      <c r="I2109" s="13" t="s">
        <v>62</v>
      </c>
      <c r="J2109" s="13" t="s">
        <v>1531</v>
      </c>
      <c r="K2109" s="30" t="n">
        <v>51</v>
      </c>
      <c r="L2109" s="31" t="n">
        <v>46248</v>
      </c>
      <c r="M2109" s="31" t="n">
        <v>46298</v>
      </c>
      <c r="N2109" s="13"/>
      <c r="O2109" s="13"/>
      <c r="P2109" s="13"/>
      <c r="Q2109" s="13"/>
    </row>
    <row r="2110" customFormat="false" ht="15" hidden="false" customHeight="false" outlineLevel="0" collapsed="false">
      <c r="A2110" s="13" t="s">
        <v>7251</v>
      </c>
      <c r="B2110" s="13" t="n">
        <v>2105</v>
      </c>
      <c r="C2110" s="13" t="s">
        <v>7252</v>
      </c>
      <c r="D2110" s="13" t="n">
        <v>6</v>
      </c>
      <c r="E2110" s="36" t="s">
        <v>7253</v>
      </c>
      <c r="F2110" s="13" t="s">
        <v>1298</v>
      </c>
      <c r="G2110" s="13" t="s">
        <v>563</v>
      </c>
      <c r="H2110" s="13" t="s">
        <v>1531</v>
      </c>
      <c r="I2110" s="13" t="s">
        <v>62</v>
      </c>
      <c r="J2110" s="13" t="s">
        <v>7250</v>
      </c>
      <c r="K2110" s="30" t="n">
        <v>8</v>
      </c>
      <c r="L2110" s="31" t="n">
        <v>46248</v>
      </c>
      <c r="M2110" s="31" t="n">
        <v>46255</v>
      </c>
      <c r="N2110" s="13"/>
      <c r="O2110" s="13"/>
      <c r="P2110" s="13"/>
      <c r="Q2110" s="13"/>
    </row>
    <row r="2111" customFormat="false" ht="15" hidden="false" customHeight="false" outlineLevel="0" collapsed="false">
      <c r="A2111" s="16" t="s">
        <v>7254</v>
      </c>
      <c r="B2111" s="16" t="n">
        <v>2106</v>
      </c>
      <c r="C2111" s="16" t="s">
        <v>7255</v>
      </c>
      <c r="D2111" s="16" t="n">
        <v>7</v>
      </c>
      <c r="E2111" s="37" t="s">
        <v>7256</v>
      </c>
      <c r="F2111" s="16" t="s">
        <v>1285</v>
      </c>
      <c r="G2111" s="16" t="s">
        <v>563</v>
      </c>
      <c r="H2111" s="16" t="s">
        <v>1531</v>
      </c>
      <c r="I2111" s="16" t="s">
        <v>62</v>
      </c>
      <c r="J2111" s="16" t="s">
        <v>7253</v>
      </c>
      <c r="K2111" s="32" t="n">
        <v>8</v>
      </c>
      <c r="L2111" s="33" t="n">
        <v>46248</v>
      </c>
      <c r="M2111" s="33" t="n">
        <v>46255</v>
      </c>
      <c r="N2111" s="16" t="s">
        <v>7257</v>
      </c>
      <c r="O2111" s="16"/>
      <c r="P2111" s="16" t="str">
        <f aca="false">IF(AND(L2111&lt;=$D$2,M2111&gt;=$C$2),"Sí","")</f>
        <v/>
      </c>
      <c r="Q2111" s="18" t="str">
        <f aca="false">IF(COUNTIF(LOOKAHEAD!$A$5:$A$604,A2111)&gt;0,"En Lookahead",IF(P2111="Sí","INCORPORAR",""))</f>
        <v/>
      </c>
    </row>
    <row r="2112" customFormat="false" ht="15" hidden="false" customHeight="false" outlineLevel="0" collapsed="false">
      <c r="A2112" s="13" t="s">
        <v>7258</v>
      </c>
      <c r="B2112" s="13" t="n">
        <v>2107</v>
      </c>
      <c r="C2112" s="13" t="s">
        <v>7259</v>
      </c>
      <c r="D2112" s="13" t="n">
        <v>6</v>
      </c>
      <c r="E2112" s="36" t="s">
        <v>7260</v>
      </c>
      <c r="F2112" s="13" t="s">
        <v>1298</v>
      </c>
      <c r="G2112" s="13" t="s">
        <v>563</v>
      </c>
      <c r="H2112" s="13" t="s">
        <v>1531</v>
      </c>
      <c r="I2112" s="13" t="s">
        <v>62</v>
      </c>
      <c r="J2112" s="13" t="s">
        <v>7250</v>
      </c>
      <c r="K2112" s="30" t="n">
        <v>43</v>
      </c>
      <c r="L2112" s="31" t="n">
        <v>46256</v>
      </c>
      <c r="M2112" s="31" t="n">
        <v>46298</v>
      </c>
      <c r="N2112" s="13"/>
      <c r="O2112" s="13"/>
      <c r="P2112" s="13"/>
      <c r="Q2112" s="13"/>
    </row>
    <row r="2113" customFormat="false" ht="15" hidden="false" customHeight="false" outlineLevel="0" collapsed="false">
      <c r="A2113" s="16" t="s">
        <v>7261</v>
      </c>
      <c r="B2113" s="16" t="n">
        <v>2108</v>
      </c>
      <c r="C2113" s="16" t="s">
        <v>7262</v>
      </c>
      <c r="D2113" s="16" t="n">
        <v>7</v>
      </c>
      <c r="E2113" s="37" t="s">
        <v>7263</v>
      </c>
      <c r="F2113" s="16" t="s">
        <v>1285</v>
      </c>
      <c r="G2113" s="16" t="s">
        <v>563</v>
      </c>
      <c r="H2113" s="16" t="s">
        <v>1531</v>
      </c>
      <c r="I2113" s="16" t="s">
        <v>62</v>
      </c>
      <c r="J2113" s="16" t="s">
        <v>7260</v>
      </c>
      <c r="K2113" s="32" t="n">
        <v>4</v>
      </c>
      <c r="L2113" s="33" t="n">
        <v>46256</v>
      </c>
      <c r="M2113" s="33" t="n">
        <v>46259</v>
      </c>
      <c r="N2113" s="16" t="s">
        <v>7264</v>
      </c>
      <c r="O2113" s="16"/>
      <c r="P2113" s="16" t="str">
        <f aca="false">IF(AND(L2113&lt;=$D$2,M2113&gt;=$C$2),"Sí","")</f>
        <v/>
      </c>
      <c r="Q2113" s="18" t="str">
        <f aca="false">IF(COUNTIF(LOOKAHEAD!$A$5:$A$604,A2113)&gt;0,"En Lookahead",IF(P2113="Sí","INCORPORAR",""))</f>
        <v/>
      </c>
    </row>
    <row r="2114" customFormat="false" ht="15" hidden="false" customHeight="false" outlineLevel="0" collapsed="false">
      <c r="A2114" s="16" t="s">
        <v>7265</v>
      </c>
      <c r="B2114" s="16" t="n">
        <v>2109</v>
      </c>
      <c r="C2114" s="16" t="s">
        <v>7266</v>
      </c>
      <c r="D2114" s="16" t="n">
        <v>7</v>
      </c>
      <c r="E2114" s="37" t="s">
        <v>7267</v>
      </c>
      <c r="F2114" s="16" t="s">
        <v>1285</v>
      </c>
      <c r="G2114" s="16" t="s">
        <v>563</v>
      </c>
      <c r="H2114" s="16" t="s">
        <v>1531</v>
      </c>
      <c r="I2114" s="16" t="s">
        <v>62</v>
      </c>
      <c r="J2114" s="16" t="s">
        <v>7260</v>
      </c>
      <c r="K2114" s="32" t="n">
        <v>30</v>
      </c>
      <c r="L2114" s="33" t="n">
        <v>46260</v>
      </c>
      <c r="M2114" s="33" t="n">
        <v>46289</v>
      </c>
      <c r="N2114" s="16" t="s">
        <v>7268</v>
      </c>
      <c r="O2114" s="16"/>
      <c r="P2114" s="16" t="str">
        <f aca="false">IF(AND(L2114&lt;=$D$2,M2114&gt;=$C$2),"Sí","")</f>
        <v/>
      </c>
      <c r="Q2114" s="18" t="str">
        <f aca="false">IF(COUNTIF(LOOKAHEAD!$A$5:$A$604,A2114)&gt;0,"En Lookahead",IF(P2114="Sí","INCORPORAR",""))</f>
        <v/>
      </c>
    </row>
    <row r="2115" customFormat="false" ht="15" hidden="false" customHeight="false" outlineLevel="0" collapsed="false">
      <c r="A2115" s="16" t="s">
        <v>7269</v>
      </c>
      <c r="B2115" s="16" t="n">
        <v>2110</v>
      </c>
      <c r="C2115" s="16" t="s">
        <v>7270</v>
      </c>
      <c r="D2115" s="16" t="n">
        <v>7</v>
      </c>
      <c r="E2115" s="37" t="s">
        <v>7271</v>
      </c>
      <c r="F2115" s="16" t="s">
        <v>1285</v>
      </c>
      <c r="G2115" s="16" t="s">
        <v>563</v>
      </c>
      <c r="H2115" s="16" t="s">
        <v>1531</v>
      </c>
      <c r="I2115" s="16" t="s">
        <v>62</v>
      </c>
      <c r="J2115" s="16" t="s">
        <v>7260</v>
      </c>
      <c r="K2115" s="32" t="n">
        <v>7</v>
      </c>
      <c r="L2115" s="33" t="n">
        <v>46290</v>
      </c>
      <c r="M2115" s="33" t="n">
        <v>46296</v>
      </c>
      <c r="N2115" s="16" t="s">
        <v>7272</v>
      </c>
      <c r="O2115" s="16"/>
      <c r="P2115" s="16" t="str">
        <f aca="false">IF(AND(L2115&lt;=$D$2,M2115&gt;=$C$2),"Sí","")</f>
        <v/>
      </c>
      <c r="Q2115" s="18" t="str">
        <f aca="false">IF(COUNTIF(LOOKAHEAD!$A$5:$A$604,A2115)&gt;0,"En Lookahead",IF(P2115="Sí","INCORPORAR",""))</f>
        <v/>
      </c>
    </row>
    <row r="2116" customFormat="false" ht="15" hidden="false" customHeight="false" outlineLevel="0" collapsed="false">
      <c r="A2116" s="16" t="s">
        <v>7273</v>
      </c>
      <c r="B2116" s="16" t="n">
        <v>2111</v>
      </c>
      <c r="C2116" s="16" t="s">
        <v>7274</v>
      </c>
      <c r="D2116" s="16" t="n">
        <v>7</v>
      </c>
      <c r="E2116" s="37" t="s">
        <v>7275</v>
      </c>
      <c r="F2116" s="16" t="s">
        <v>1285</v>
      </c>
      <c r="G2116" s="16" t="s">
        <v>563</v>
      </c>
      <c r="H2116" s="16" t="s">
        <v>1531</v>
      </c>
      <c r="I2116" s="16" t="s">
        <v>62</v>
      </c>
      <c r="J2116" s="16" t="s">
        <v>7260</v>
      </c>
      <c r="K2116" s="32" t="n">
        <v>2</v>
      </c>
      <c r="L2116" s="33" t="n">
        <v>46297</v>
      </c>
      <c r="M2116" s="33" t="n">
        <v>46298</v>
      </c>
      <c r="N2116" s="16" t="s">
        <v>7276</v>
      </c>
      <c r="O2116" s="16"/>
      <c r="P2116" s="16" t="str">
        <f aca="false">IF(AND(L2116&lt;=$D$2,M2116&gt;=$C$2),"Sí","")</f>
        <v/>
      </c>
      <c r="Q2116" s="18" t="str">
        <f aca="false">IF(COUNTIF(LOOKAHEAD!$A$5:$A$604,A2116)&gt;0,"En Lookahead",IF(P2116="Sí","INCORPORAR",""))</f>
        <v/>
      </c>
    </row>
    <row r="2117" customFormat="false" ht="15" hidden="false" customHeight="false" outlineLevel="0" collapsed="false">
      <c r="A2117" s="13" t="s">
        <v>7277</v>
      </c>
      <c r="B2117" s="13" t="n">
        <v>2112</v>
      </c>
      <c r="C2117" s="13" t="s">
        <v>7278</v>
      </c>
      <c r="D2117" s="13" t="n">
        <v>5</v>
      </c>
      <c r="E2117" s="34" t="s">
        <v>7279</v>
      </c>
      <c r="F2117" s="13" t="s">
        <v>1298</v>
      </c>
      <c r="G2117" s="13" t="s">
        <v>563</v>
      </c>
      <c r="H2117" s="13" t="s">
        <v>1531</v>
      </c>
      <c r="I2117" s="13" t="s">
        <v>62</v>
      </c>
      <c r="J2117" s="13" t="s">
        <v>1531</v>
      </c>
      <c r="K2117" s="30" t="n">
        <v>28</v>
      </c>
      <c r="L2117" s="31" t="n">
        <v>46256</v>
      </c>
      <c r="M2117" s="31" t="n">
        <v>46283</v>
      </c>
      <c r="N2117" s="13"/>
      <c r="O2117" s="13"/>
      <c r="P2117" s="13"/>
      <c r="Q2117" s="13"/>
    </row>
    <row r="2118" customFormat="false" ht="15" hidden="false" customHeight="false" outlineLevel="0" collapsed="false">
      <c r="A2118" s="16" t="s">
        <v>7280</v>
      </c>
      <c r="B2118" s="16" t="n">
        <v>2113</v>
      </c>
      <c r="C2118" s="16" t="s">
        <v>7281</v>
      </c>
      <c r="D2118" s="16" t="n">
        <v>6</v>
      </c>
      <c r="E2118" s="35" t="s">
        <v>7282</v>
      </c>
      <c r="F2118" s="16" t="s">
        <v>1285</v>
      </c>
      <c r="G2118" s="16" t="s">
        <v>563</v>
      </c>
      <c r="H2118" s="16" t="s">
        <v>1531</v>
      </c>
      <c r="I2118" s="16" t="s">
        <v>62</v>
      </c>
      <c r="J2118" s="16" t="s">
        <v>7279</v>
      </c>
      <c r="K2118" s="32" t="n">
        <v>6</v>
      </c>
      <c r="L2118" s="33" t="n">
        <v>46256</v>
      </c>
      <c r="M2118" s="33" t="n">
        <v>46261</v>
      </c>
      <c r="N2118" s="16" t="s">
        <v>7283</v>
      </c>
      <c r="O2118" s="16"/>
      <c r="P2118" s="16" t="str">
        <f aca="false">IF(AND(L2118&lt;=$D$2,M2118&gt;=$C$2),"Sí","")</f>
        <v/>
      </c>
      <c r="Q2118" s="18" t="str">
        <f aca="false">IF(COUNTIF(LOOKAHEAD!$A$5:$A$604,A2118)&gt;0,"En Lookahead",IF(P2118="Sí","INCORPORAR",""))</f>
        <v/>
      </c>
    </row>
    <row r="2119" customFormat="false" ht="15" hidden="false" customHeight="false" outlineLevel="0" collapsed="false">
      <c r="A2119" s="16" t="s">
        <v>7284</v>
      </c>
      <c r="B2119" s="16" t="n">
        <v>2114</v>
      </c>
      <c r="C2119" s="16" t="s">
        <v>7285</v>
      </c>
      <c r="D2119" s="16" t="n">
        <v>6</v>
      </c>
      <c r="E2119" s="35" t="s">
        <v>7286</v>
      </c>
      <c r="F2119" s="16" t="s">
        <v>1285</v>
      </c>
      <c r="G2119" s="16" t="s">
        <v>563</v>
      </c>
      <c r="H2119" s="16" t="s">
        <v>1531</v>
      </c>
      <c r="I2119" s="16" t="s">
        <v>62</v>
      </c>
      <c r="J2119" s="16" t="s">
        <v>7279</v>
      </c>
      <c r="K2119" s="32" t="n">
        <v>28</v>
      </c>
      <c r="L2119" s="33" t="n">
        <v>46256</v>
      </c>
      <c r="M2119" s="33" t="n">
        <v>46283</v>
      </c>
      <c r="N2119" s="16" t="s">
        <v>7287</v>
      </c>
      <c r="O2119" s="16"/>
      <c r="P2119" s="16" t="str">
        <f aca="false">IF(AND(L2119&lt;=$D$2,M2119&gt;=$C$2),"Sí","")</f>
        <v/>
      </c>
      <c r="Q2119" s="18" t="str">
        <f aca="false">IF(COUNTIF(LOOKAHEAD!$A$5:$A$604,A2119)&gt;0,"En Lookahead",IF(P2119="Sí","INCORPORAR",""))</f>
        <v/>
      </c>
    </row>
    <row r="2120" customFormat="false" ht="15" hidden="false" customHeight="false" outlineLevel="0" collapsed="false">
      <c r="A2120" s="16" t="s">
        <v>7288</v>
      </c>
      <c r="B2120" s="16" t="n">
        <v>2115</v>
      </c>
      <c r="C2120" s="16" t="s">
        <v>7289</v>
      </c>
      <c r="D2120" s="16" t="n">
        <v>6</v>
      </c>
      <c r="E2120" s="35" t="s">
        <v>7290</v>
      </c>
      <c r="F2120" s="16" t="s">
        <v>1285</v>
      </c>
      <c r="G2120" s="16" t="s">
        <v>563</v>
      </c>
      <c r="H2120" s="16" t="s">
        <v>1531</v>
      </c>
      <c r="I2120" s="16" t="s">
        <v>62</v>
      </c>
      <c r="J2120" s="16" t="s">
        <v>7279</v>
      </c>
      <c r="K2120" s="32" t="n">
        <v>1</v>
      </c>
      <c r="L2120" s="33" t="n">
        <v>46256</v>
      </c>
      <c r="M2120" s="33" t="n">
        <v>46256</v>
      </c>
      <c r="N2120" s="16" t="s">
        <v>7287</v>
      </c>
      <c r="O2120" s="16"/>
      <c r="P2120" s="16" t="str">
        <f aca="false">IF(AND(L2120&lt;=$D$2,M2120&gt;=$C$2),"Sí","")</f>
        <v/>
      </c>
      <c r="Q2120" s="18" t="str">
        <f aca="false">IF(COUNTIF(LOOKAHEAD!$A$5:$A$604,A2120)&gt;0,"En Lookahead",IF(P2120="Sí","INCORPORAR",""))</f>
        <v/>
      </c>
    </row>
    <row r="2121" customFormat="false" ht="15" hidden="false" customHeight="false" outlineLevel="0" collapsed="false">
      <c r="A2121" s="16" t="s">
        <v>7291</v>
      </c>
      <c r="B2121" s="16" t="n">
        <v>2116</v>
      </c>
      <c r="C2121" s="16" t="s">
        <v>7292</v>
      </c>
      <c r="D2121" s="16" t="n">
        <v>6</v>
      </c>
      <c r="E2121" s="35" t="s">
        <v>7293</v>
      </c>
      <c r="F2121" s="16" t="s">
        <v>1285</v>
      </c>
      <c r="G2121" s="16" t="s">
        <v>563</v>
      </c>
      <c r="H2121" s="16" t="s">
        <v>1531</v>
      </c>
      <c r="I2121" s="16" t="s">
        <v>62</v>
      </c>
      <c r="J2121" s="16" t="s">
        <v>7279</v>
      </c>
      <c r="K2121" s="32" t="n">
        <v>2</v>
      </c>
      <c r="L2121" s="33" t="n">
        <v>46256</v>
      </c>
      <c r="M2121" s="33" t="n">
        <v>46257</v>
      </c>
      <c r="N2121" s="16" t="s">
        <v>7287</v>
      </c>
      <c r="O2121" s="16"/>
      <c r="P2121" s="16" t="str">
        <f aca="false">IF(AND(L2121&lt;=$D$2,M2121&gt;=$C$2),"Sí","")</f>
        <v/>
      </c>
      <c r="Q2121" s="18" t="str">
        <f aca="false">IF(COUNTIF(LOOKAHEAD!$A$5:$A$604,A2121)&gt;0,"En Lookahead",IF(P2121="Sí","INCORPORAR",""))</f>
        <v/>
      </c>
    </row>
    <row r="2122" customFormat="false" ht="15" hidden="false" customHeight="false" outlineLevel="0" collapsed="false">
      <c r="A2122" s="13" t="s">
        <v>7294</v>
      </c>
      <c r="B2122" s="13" t="n">
        <v>2117</v>
      </c>
      <c r="C2122" s="13" t="s">
        <v>7295</v>
      </c>
      <c r="D2122" s="13" t="n">
        <v>5</v>
      </c>
      <c r="E2122" s="34" t="s">
        <v>7296</v>
      </c>
      <c r="F2122" s="13" t="s">
        <v>1298</v>
      </c>
      <c r="G2122" s="13" t="s">
        <v>563</v>
      </c>
      <c r="H2122" s="13" t="s">
        <v>1531</v>
      </c>
      <c r="I2122" s="13" t="s">
        <v>62</v>
      </c>
      <c r="J2122" s="13" t="s">
        <v>1531</v>
      </c>
      <c r="K2122" s="30" t="n">
        <v>3</v>
      </c>
      <c r="L2122" s="31" t="n">
        <v>46258</v>
      </c>
      <c r="M2122" s="31" t="n">
        <v>46260</v>
      </c>
      <c r="N2122" s="13"/>
      <c r="O2122" s="13"/>
      <c r="P2122" s="13"/>
      <c r="Q2122" s="13"/>
    </row>
    <row r="2123" customFormat="false" ht="15" hidden="false" customHeight="false" outlineLevel="0" collapsed="false">
      <c r="A2123" s="16" t="s">
        <v>7297</v>
      </c>
      <c r="B2123" s="16" t="n">
        <v>2118</v>
      </c>
      <c r="C2123" s="16" t="s">
        <v>7298</v>
      </c>
      <c r="D2123" s="16" t="n">
        <v>6</v>
      </c>
      <c r="E2123" s="35" t="s">
        <v>7299</v>
      </c>
      <c r="F2123" s="16" t="s">
        <v>1285</v>
      </c>
      <c r="G2123" s="16" t="s">
        <v>563</v>
      </c>
      <c r="H2123" s="16" t="s">
        <v>1531</v>
      </c>
      <c r="I2123" s="16" t="s">
        <v>62</v>
      </c>
      <c r="J2123" s="16" t="s">
        <v>7296</v>
      </c>
      <c r="K2123" s="32" t="n">
        <v>3</v>
      </c>
      <c r="L2123" s="33" t="n">
        <v>46258</v>
      </c>
      <c r="M2123" s="33" t="n">
        <v>46260</v>
      </c>
      <c r="N2123" s="16" t="s">
        <v>7300</v>
      </c>
      <c r="O2123" s="16"/>
      <c r="P2123" s="16" t="str">
        <f aca="false">IF(AND(L2123&lt;=$D$2,M2123&gt;=$C$2),"Sí","")</f>
        <v/>
      </c>
      <c r="Q2123" s="18" t="str">
        <f aca="false">IF(COUNTIF(LOOKAHEAD!$A$5:$A$604,A2123)&gt;0,"En Lookahead",IF(P2123="Sí","INCORPORAR",""))</f>
        <v/>
      </c>
    </row>
    <row r="2124" customFormat="false" ht="15" hidden="false" customHeight="false" outlineLevel="0" collapsed="false">
      <c r="A2124" s="16" t="s">
        <v>7301</v>
      </c>
      <c r="B2124" s="16" t="n">
        <v>2119</v>
      </c>
      <c r="C2124" s="16" t="s">
        <v>7302</v>
      </c>
      <c r="D2124" s="16" t="n">
        <v>6</v>
      </c>
      <c r="E2124" s="35" t="s">
        <v>7303</v>
      </c>
      <c r="F2124" s="16" t="s">
        <v>1285</v>
      </c>
      <c r="G2124" s="16" t="s">
        <v>563</v>
      </c>
      <c r="H2124" s="16" t="s">
        <v>1531</v>
      </c>
      <c r="I2124" s="16" t="s">
        <v>62</v>
      </c>
      <c r="J2124" s="16" t="s">
        <v>7296</v>
      </c>
      <c r="K2124" s="32" t="n">
        <v>1</v>
      </c>
      <c r="L2124" s="33" t="n">
        <v>46258</v>
      </c>
      <c r="M2124" s="33" t="n">
        <v>46258</v>
      </c>
      <c r="N2124" s="16" t="s">
        <v>7304</v>
      </c>
      <c r="O2124" s="16"/>
      <c r="P2124" s="16" t="str">
        <f aca="false">IF(AND(L2124&lt;=$D$2,M2124&gt;=$C$2),"Sí","")</f>
        <v/>
      </c>
      <c r="Q2124" s="18" t="str">
        <f aca="false">IF(COUNTIF(LOOKAHEAD!$A$5:$A$604,A2124)&gt;0,"En Lookahead",IF(P2124="Sí","INCORPORAR",""))</f>
        <v/>
      </c>
    </row>
    <row r="2125" customFormat="false" ht="15" hidden="false" customHeight="false" outlineLevel="0" collapsed="false">
      <c r="A2125" s="13" t="s">
        <v>7305</v>
      </c>
      <c r="B2125" s="13" t="n">
        <v>2120</v>
      </c>
      <c r="C2125" s="13" t="s">
        <v>7306</v>
      </c>
      <c r="D2125" s="13" t="n">
        <v>5</v>
      </c>
      <c r="E2125" s="34" t="s">
        <v>7307</v>
      </c>
      <c r="F2125" s="13" t="s">
        <v>1298</v>
      </c>
      <c r="G2125" s="13" t="s">
        <v>563</v>
      </c>
      <c r="H2125" s="13" t="s">
        <v>1531</v>
      </c>
      <c r="I2125" s="13" t="s">
        <v>62</v>
      </c>
      <c r="J2125" s="13" t="s">
        <v>1531</v>
      </c>
      <c r="K2125" s="30" t="n">
        <v>7</v>
      </c>
      <c r="L2125" s="31" t="n">
        <v>46258</v>
      </c>
      <c r="M2125" s="31" t="n">
        <v>46264</v>
      </c>
      <c r="N2125" s="13"/>
      <c r="O2125" s="13"/>
      <c r="P2125" s="13"/>
      <c r="Q2125" s="13"/>
    </row>
    <row r="2126" customFormat="false" ht="15" hidden="false" customHeight="false" outlineLevel="0" collapsed="false">
      <c r="A2126" s="13" t="s">
        <v>7308</v>
      </c>
      <c r="B2126" s="13" t="n">
        <v>2121</v>
      </c>
      <c r="C2126" s="13" t="s">
        <v>7309</v>
      </c>
      <c r="D2126" s="13" t="n">
        <v>6</v>
      </c>
      <c r="E2126" s="36" t="s">
        <v>7310</v>
      </c>
      <c r="F2126" s="13" t="s">
        <v>1298</v>
      </c>
      <c r="G2126" s="13" t="s">
        <v>563</v>
      </c>
      <c r="H2126" s="13" t="s">
        <v>1531</v>
      </c>
      <c r="I2126" s="13" t="s">
        <v>62</v>
      </c>
      <c r="J2126" s="13" t="s">
        <v>7307</v>
      </c>
      <c r="K2126" s="30" t="n">
        <v>7</v>
      </c>
      <c r="L2126" s="31" t="n">
        <v>46258</v>
      </c>
      <c r="M2126" s="31" t="n">
        <v>46264</v>
      </c>
      <c r="N2126" s="13"/>
      <c r="O2126" s="13"/>
      <c r="P2126" s="13"/>
      <c r="Q2126" s="13"/>
    </row>
    <row r="2127" customFormat="false" ht="15" hidden="false" customHeight="false" outlineLevel="0" collapsed="false">
      <c r="A2127" s="16" t="s">
        <v>7311</v>
      </c>
      <c r="B2127" s="16" t="n">
        <v>2122</v>
      </c>
      <c r="C2127" s="16" t="s">
        <v>7312</v>
      </c>
      <c r="D2127" s="16" t="n">
        <v>7</v>
      </c>
      <c r="E2127" s="37" t="s">
        <v>7313</v>
      </c>
      <c r="F2127" s="16" t="s">
        <v>1285</v>
      </c>
      <c r="G2127" s="16" t="s">
        <v>563</v>
      </c>
      <c r="H2127" s="16" t="s">
        <v>1531</v>
      </c>
      <c r="I2127" s="16" t="s">
        <v>62</v>
      </c>
      <c r="J2127" s="16" t="s">
        <v>7310</v>
      </c>
      <c r="K2127" s="32" t="n">
        <v>1</v>
      </c>
      <c r="L2127" s="33" t="n">
        <v>46258</v>
      </c>
      <c r="M2127" s="33" t="n">
        <v>46258</v>
      </c>
      <c r="N2127" s="16" t="s">
        <v>7300</v>
      </c>
      <c r="O2127" s="16"/>
      <c r="P2127" s="16" t="str">
        <f aca="false">IF(AND(L2127&lt;=$D$2,M2127&gt;=$C$2),"Sí","")</f>
        <v/>
      </c>
      <c r="Q2127" s="18" t="str">
        <f aca="false">IF(COUNTIF(LOOKAHEAD!$A$5:$A$604,A2127)&gt;0,"En Lookahead",IF(P2127="Sí","INCORPORAR",""))</f>
        <v/>
      </c>
    </row>
    <row r="2128" customFormat="false" ht="15" hidden="false" customHeight="false" outlineLevel="0" collapsed="false">
      <c r="A2128" s="16" t="s">
        <v>7314</v>
      </c>
      <c r="B2128" s="16" t="n">
        <v>2123</v>
      </c>
      <c r="C2128" s="16" t="s">
        <v>7315</v>
      </c>
      <c r="D2128" s="16" t="n">
        <v>7</v>
      </c>
      <c r="E2128" s="37" t="s">
        <v>7316</v>
      </c>
      <c r="F2128" s="16" t="s">
        <v>1285</v>
      </c>
      <c r="G2128" s="16" t="s">
        <v>563</v>
      </c>
      <c r="H2128" s="16" t="s">
        <v>1531</v>
      </c>
      <c r="I2128" s="16" t="s">
        <v>62</v>
      </c>
      <c r="J2128" s="16" t="s">
        <v>7310</v>
      </c>
      <c r="K2128" s="32" t="n">
        <v>3</v>
      </c>
      <c r="L2128" s="33" t="n">
        <v>46259</v>
      </c>
      <c r="M2128" s="33" t="n">
        <v>46261</v>
      </c>
      <c r="N2128" s="16" t="s">
        <v>7317</v>
      </c>
      <c r="O2128" s="16"/>
      <c r="P2128" s="16" t="str">
        <f aca="false">IF(AND(L2128&lt;=$D$2,M2128&gt;=$C$2),"Sí","")</f>
        <v/>
      </c>
      <c r="Q2128" s="18" t="str">
        <f aca="false">IF(COUNTIF(LOOKAHEAD!$A$5:$A$604,A2128)&gt;0,"En Lookahead",IF(P2128="Sí","INCORPORAR",""))</f>
        <v/>
      </c>
    </row>
    <row r="2129" customFormat="false" ht="15" hidden="false" customHeight="false" outlineLevel="0" collapsed="false">
      <c r="A2129" s="16" t="s">
        <v>7318</v>
      </c>
      <c r="B2129" s="16" t="n">
        <v>2124</v>
      </c>
      <c r="C2129" s="16" t="s">
        <v>7319</v>
      </c>
      <c r="D2129" s="16" t="n">
        <v>7</v>
      </c>
      <c r="E2129" s="37" t="s">
        <v>7320</v>
      </c>
      <c r="F2129" s="16" t="s">
        <v>1285</v>
      </c>
      <c r="G2129" s="16" t="s">
        <v>563</v>
      </c>
      <c r="H2129" s="16" t="s">
        <v>1531</v>
      </c>
      <c r="I2129" s="16" t="s">
        <v>62</v>
      </c>
      <c r="J2129" s="16" t="s">
        <v>7310</v>
      </c>
      <c r="K2129" s="32" t="n">
        <v>2</v>
      </c>
      <c r="L2129" s="33" t="n">
        <v>46262</v>
      </c>
      <c r="M2129" s="33" t="n">
        <v>46263</v>
      </c>
      <c r="N2129" s="16" t="s">
        <v>7321</v>
      </c>
      <c r="O2129" s="16"/>
      <c r="P2129" s="16" t="str">
        <f aca="false">IF(AND(L2129&lt;=$D$2,M2129&gt;=$C$2),"Sí","")</f>
        <v/>
      </c>
      <c r="Q2129" s="18" t="str">
        <f aca="false">IF(COUNTIF(LOOKAHEAD!$A$5:$A$604,A2129)&gt;0,"En Lookahead",IF(P2129="Sí","INCORPORAR",""))</f>
        <v/>
      </c>
    </row>
    <row r="2130" customFormat="false" ht="15" hidden="false" customHeight="false" outlineLevel="0" collapsed="false">
      <c r="A2130" s="16" t="s">
        <v>7322</v>
      </c>
      <c r="B2130" s="16" t="n">
        <v>2125</v>
      </c>
      <c r="C2130" s="16" t="s">
        <v>7323</v>
      </c>
      <c r="D2130" s="16" t="n">
        <v>7</v>
      </c>
      <c r="E2130" s="37" t="s">
        <v>7324</v>
      </c>
      <c r="F2130" s="16" t="s">
        <v>1285</v>
      </c>
      <c r="G2130" s="16" t="s">
        <v>563</v>
      </c>
      <c r="H2130" s="16" t="s">
        <v>1531</v>
      </c>
      <c r="I2130" s="16" t="s">
        <v>62</v>
      </c>
      <c r="J2130" s="16" t="s">
        <v>7310</v>
      </c>
      <c r="K2130" s="32" t="n">
        <v>1</v>
      </c>
      <c r="L2130" s="33" t="n">
        <v>46264</v>
      </c>
      <c r="M2130" s="33" t="n">
        <v>46264</v>
      </c>
      <c r="N2130" s="16" t="s">
        <v>7325</v>
      </c>
      <c r="O2130" s="16"/>
      <c r="P2130" s="16" t="str">
        <f aca="false">IF(AND(L2130&lt;=$D$2,M2130&gt;=$C$2),"Sí","")</f>
        <v/>
      </c>
      <c r="Q2130" s="18" t="str">
        <f aca="false">IF(COUNTIF(LOOKAHEAD!$A$5:$A$604,A2130)&gt;0,"En Lookahead",IF(P2130="Sí","INCORPORAR",""))</f>
        <v/>
      </c>
    </row>
    <row r="2131" customFormat="false" ht="15" hidden="false" customHeight="false" outlineLevel="0" collapsed="false">
      <c r="A2131" s="13" t="s">
        <v>7326</v>
      </c>
      <c r="B2131" s="13" t="n">
        <v>2126</v>
      </c>
      <c r="C2131" s="13" t="s">
        <v>7327</v>
      </c>
      <c r="D2131" s="13" t="n">
        <v>5</v>
      </c>
      <c r="E2131" s="34" t="s">
        <v>7328</v>
      </c>
      <c r="F2131" s="13" t="s">
        <v>1298</v>
      </c>
      <c r="G2131" s="13" t="s">
        <v>563</v>
      </c>
      <c r="H2131" s="13" t="s">
        <v>1531</v>
      </c>
      <c r="I2131" s="13" t="s">
        <v>62</v>
      </c>
      <c r="J2131" s="13" t="s">
        <v>1531</v>
      </c>
      <c r="K2131" s="30" t="n">
        <v>14</v>
      </c>
      <c r="L2131" s="31" t="n">
        <v>46265</v>
      </c>
      <c r="M2131" s="31" t="n">
        <v>46278</v>
      </c>
      <c r="N2131" s="13"/>
      <c r="O2131" s="13"/>
      <c r="P2131" s="13"/>
      <c r="Q2131" s="13"/>
    </row>
    <row r="2132" customFormat="false" ht="15" hidden="false" customHeight="false" outlineLevel="0" collapsed="false">
      <c r="A2132" s="13" t="s">
        <v>7329</v>
      </c>
      <c r="B2132" s="13" t="n">
        <v>2127</v>
      </c>
      <c r="C2132" s="13" t="s">
        <v>7330</v>
      </c>
      <c r="D2132" s="13" t="n">
        <v>6</v>
      </c>
      <c r="E2132" s="36" t="s">
        <v>7310</v>
      </c>
      <c r="F2132" s="13" t="s">
        <v>1298</v>
      </c>
      <c r="G2132" s="13" t="s">
        <v>563</v>
      </c>
      <c r="H2132" s="13" t="s">
        <v>1531</v>
      </c>
      <c r="I2132" s="13" t="s">
        <v>62</v>
      </c>
      <c r="J2132" s="13" t="s">
        <v>7328</v>
      </c>
      <c r="K2132" s="30" t="n">
        <v>9</v>
      </c>
      <c r="L2132" s="31" t="n">
        <v>46265</v>
      </c>
      <c r="M2132" s="31" t="n">
        <v>46273</v>
      </c>
      <c r="N2132" s="13"/>
      <c r="O2132" s="13"/>
      <c r="P2132" s="13"/>
      <c r="Q2132" s="13"/>
    </row>
    <row r="2133" customFormat="false" ht="15" hidden="false" customHeight="false" outlineLevel="0" collapsed="false">
      <c r="A2133" s="16" t="s">
        <v>7331</v>
      </c>
      <c r="B2133" s="16" t="n">
        <v>2128</v>
      </c>
      <c r="C2133" s="16" t="s">
        <v>7332</v>
      </c>
      <c r="D2133" s="16" t="n">
        <v>7</v>
      </c>
      <c r="E2133" s="37" t="s">
        <v>7333</v>
      </c>
      <c r="F2133" s="16" t="s">
        <v>1285</v>
      </c>
      <c r="G2133" s="16" t="s">
        <v>563</v>
      </c>
      <c r="H2133" s="16" t="s">
        <v>1531</v>
      </c>
      <c r="I2133" s="16" t="s">
        <v>62</v>
      </c>
      <c r="J2133" s="16" t="s">
        <v>7310</v>
      </c>
      <c r="K2133" s="32" t="n">
        <v>1</v>
      </c>
      <c r="L2133" s="33" t="n">
        <v>46265</v>
      </c>
      <c r="M2133" s="33" t="n">
        <v>46265</v>
      </c>
      <c r="N2133" s="16" t="s">
        <v>7334</v>
      </c>
      <c r="O2133" s="16"/>
      <c r="P2133" s="16" t="str">
        <f aca="false">IF(AND(L2133&lt;=$D$2,M2133&gt;=$C$2),"Sí","")</f>
        <v/>
      </c>
      <c r="Q2133" s="18" t="str">
        <f aca="false">IF(COUNTIF(LOOKAHEAD!$A$5:$A$604,A2133)&gt;0,"En Lookahead",IF(P2133="Sí","INCORPORAR",""))</f>
        <v/>
      </c>
    </row>
    <row r="2134" customFormat="false" ht="15" hidden="false" customHeight="false" outlineLevel="0" collapsed="false">
      <c r="A2134" s="16" t="s">
        <v>7335</v>
      </c>
      <c r="B2134" s="16" t="n">
        <v>2129</v>
      </c>
      <c r="C2134" s="16" t="s">
        <v>7336</v>
      </c>
      <c r="D2134" s="16" t="n">
        <v>7</v>
      </c>
      <c r="E2134" s="37" t="s">
        <v>7337</v>
      </c>
      <c r="F2134" s="16" t="s">
        <v>1285</v>
      </c>
      <c r="G2134" s="16" t="s">
        <v>563</v>
      </c>
      <c r="H2134" s="16" t="s">
        <v>1531</v>
      </c>
      <c r="I2134" s="16" t="s">
        <v>62</v>
      </c>
      <c r="J2134" s="16" t="s">
        <v>7310</v>
      </c>
      <c r="K2134" s="32" t="n">
        <v>4</v>
      </c>
      <c r="L2134" s="33" t="n">
        <v>46266</v>
      </c>
      <c r="M2134" s="33" t="n">
        <v>46269</v>
      </c>
      <c r="N2134" s="16" t="s">
        <v>7338</v>
      </c>
      <c r="O2134" s="16"/>
      <c r="P2134" s="16" t="str">
        <f aca="false">IF(AND(L2134&lt;=$D$2,M2134&gt;=$C$2),"Sí","")</f>
        <v/>
      </c>
      <c r="Q2134" s="18" t="str">
        <f aca="false">IF(COUNTIF(LOOKAHEAD!$A$5:$A$604,A2134)&gt;0,"En Lookahead",IF(P2134="Sí","INCORPORAR",""))</f>
        <v/>
      </c>
    </row>
    <row r="2135" customFormat="false" ht="15" hidden="false" customHeight="false" outlineLevel="0" collapsed="false">
      <c r="A2135" s="16" t="s">
        <v>7339</v>
      </c>
      <c r="B2135" s="16" t="n">
        <v>2130</v>
      </c>
      <c r="C2135" s="16" t="s">
        <v>7340</v>
      </c>
      <c r="D2135" s="16" t="n">
        <v>7</v>
      </c>
      <c r="E2135" s="37" t="s">
        <v>7341</v>
      </c>
      <c r="F2135" s="16" t="s">
        <v>1285</v>
      </c>
      <c r="G2135" s="16" t="s">
        <v>563</v>
      </c>
      <c r="H2135" s="16" t="s">
        <v>1531</v>
      </c>
      <c r="I2135" s="16" t="s">
        <v>62</v>
      </c>
      <c r="J2135" s="16" t="s">
        <v>7310</v>
      </c>
      <c r="K2135" s="32" t="n">
        <v>3</v>
      </c>
      <c r="L2135" s="33" t="n">
        <v>46270</v>
      </c>
      <c r="M2135" s="33" t="n">
        <v>46272</v>
      </c>
      <c r="N2135" s="16" t="s">
        <v>7342</v>
      </c>
      <c r="O2135" s="16"/>
      <c r="P2135" s="16" t="str">
        <f aca="false">IF(AND(L2135&lt;=$D$2,M2135&gt;=$C$2),"Sí","")</f>
        <v/>
      </c>
      <c r="Q2135" s="18" t="str">
        <f aca="false">IF(COUNTIF(LOOKAHEAD!$A$5:$A$604,A2135)&gt;0,"En Lookahead",IF(P2135="Sí","INCORPORAR",""))</f>
        <v/>
      </c>
    </row>
    <row r="2136" customFormat="false" ht="15" hidden="false" customHeight="false" outlineLevel="0" collapsed="false">
      <c r="A2136" s="16" t="s">
        <v>7343</v>
      </c>
      <c r="B2136" s="16" t="n">
        <v>2131</v>
      </c>
      <c r="C2136" s="16" t="s">
        <v>7344</v>
      </c>
      <c r="D2136" s="16" t="n">
        <v>7</v>
      </c>
      <c r="E2136" s="37" t="s">
        <v>7345</v>
      </c>
      <c r="F2136" s="16" t="s">
        <v>1285</v>
      </c>
      <c r="G2136" s="16" t="s">
        <v>563</v>
      </c>
      <c r="H2136" s="16" t="s">
        <v>1531</v>
      </c>
      <c r="I2136" s="16" t="s">
        <v>62</v>
      </c>
      <c r="J2136" s="16" t="s">
        <v>7310</v>
      </c>
      <c r="K2136" s="32" t="n">
        <v>1</v>
      </c>
      <c r="L2136" s="33" t="n">
        <v>46273</v>
      </c>
      <c r="M2136" s="33" t="n">
        <v>46273</v>
      </c>
      <c r="N2136" s="16" t="s">
        <v>7346</v>
      </c>
      <c r="O2136" s="16"/>
      <c r="P2136" s="16" t="str">
        <f aca="false">IF(AND(L2136&lt;=$D$2,M2136&gt;=$C$2),"Sí","")</f>
        <v/>
      </c>
      <c r="Q2136" s="18" t="str">
        <f aca="false">IF(COUNTIF(LOOKAHEAD!$A$5:$A$604,A2136)&gt;0,"En Lookahead",IF(P2136="Sí","INCORPORAR",""))</f>
        <v/>
      </c>
    </row>
    <row r="2137" customFormat="false" ht="15" hidden="false" customHeight="false" outlineLevel="0" collapsed="false">
      <c r="A2137" s="13" t="s">
        <v>7347</v>
      </c>
      <c r="B2137" s="13" t="n">
        <v>2132</v>
      </c>
      <c r="C2137" s="13" t="s">
        <v>7348</v>
      </c>
      <c r="D2137" s="13" t="n">
        <v>6</v>
      </c>
      <c r="E2137" s="36" t="s">
        <v>7349</v>
      </c>
      <c r="F2137" s="13" t="s">
        <v>1298</v>
      </c>
      <c r="G2137" s="13" t="s">
        <v>563</v>
      </c>
      <c r="H2137" s="13" t="s">
        <v>1531</v>
      </c>
      <c r="I2137" s="13" t="s">
        <v>62</v>
      </c>
      <c r="J2137" s="13" t="s">
        <v>7328</v>
      </c>
      <c r="K2137" s="30" t="n">
        <v>5</v>
      </c>
      <c r="L2137" s="31" t="n">
        <v>46274</v>
      </c>
      <c r="M2137" s="31" t="n">
        <v>46278</v>
      </c>
      <c r="N2137" s="13"/>
      <c r="O2137" s="13"/>
      <c r="P2137" s="13"/>
      <c r="Q2137" s="13"/>
    </row>
    <row r="2138" customFormat="false" ht="15" hidden="false" customHeight="false" outlineLevel="0" collapsed="false">
      <c r="A2138" s="16" t="s">
        <v>7350</v>
      </c>
      <c r="B2138" s="16" t="n">
        <v>2133</v>
      </c>
      <c r="C2138" s="16" t="s">
        <v>7351</v>
      </c>
      <c r="D2138" s="16" t="n">
        <v>7</v>
      </c>
      <c r="E2138" s="37" t="s">
        <v>7352</v>
      </c>
      <c r="F2138" s="16" t="s">
        <v>1285</v>
      </c>
      <c r="G2138" s="16" t="s">
        <v>563</v>
      </c>
      <c r="H2138" s="16" t="s">
        <v>1531</v>
      </c>
      <c r="I2138" s="16" t="s">
        <v>62</v>
      </c>
      <c r="J2138" s="16" t="s">
        <v>7349</v>
      </c>
      <c r="K2138" s="32" t="n">
        <v>5</v>
      </c>
      <c r="L2138" s="33" t="n">
        <v>46274</v>
      </c>
      <c r="M2138" s="33" t="n">
        <v>46278</v>
      </c>
      <c r="N2138" s="16" t="s">
        <v>7353</v>
      </c>
      <c r="O2138" s="16"/>
      <c r="P2138" s="16" t="str">
        <f aca="false">IF(AND(L2138&lt;=$D$2,M2138&gt;=$C$2),"Sí","")</f>
        <v/>
      </c>
      <c r="Q2138" s="18" t="str">
        <f aca="false">IF(COUNTIF(LOOKAHEAD!$A$5:$A$604,A2138)&gt;0,"En Lookahead",IF(P2138="Sí","INCORPORAR",""))</f>
        <v/>
      </c>
    </row>
    <row r="2139" customFormat="false" ht="15" hidden="false" customHeight="false" outlineLevel="0" collapsed="false">
      <c r="A2139" s="13" t="s">
        <v>7354</v>
      </c>
      <c r="B2139" s="13" t="n">
        <v>2134</v>
      </c>
      <c r="C2139" s="13" t="s">
        <v>7355</v>
      </c>
      <c r="D2139" s="13" t="n">
        <v>6</v>
      </c>
      <c r="E2139" s="36" t="s">
        <v>7356</v>
      </c>
      <c r="F2139" s="13" t="s">
        <v>1298</v>
      </c>
      <c r="G2139" s="13" t="s">
        <v>563</v>
      </c>
      <c r="H2139" s="13" t="s">
        <v>1531</v>
      </c>
      <c r="I2139" s="13" t="s">
        <v>62</v>
      </c>
      <c r="J2139" s="13" t="s">
        <v>7328</v>
      </c>
      <c r="K2139" s="30" t="n">
        <v>1</v>
      </c>
      <c r="L2139" s="31" t="n">
        <v>46274</v>
      </c>
      <c r="M2139" s="31" t="n">
        <v>46274</v>
      </c>
      <c r="N2139" s="13"/>
      <c r="O2139" s="13"/>
      <c r="P2139" s="13"/>
      <c r="Q2139" s="13"/>
    </row>
    <row r="2140" customFormat="false" ht="15" hidden="false" customHeight="false" outlineLevel="0" collapsed="false">
      <c r="A2140" s="16" t="s">
        <v>7357</v>
      </c>
      <c r="B2140" s="16" t="n">
        <v>2135</v>
      </c>
      <c r="C2140" s="16" t="s">
        <v>7358</v>
      </c>
      <c r="D2140" s="16" t="n">
        <v>7</v>
      </c>
      <c r="E2140" s="37" t="s">
        <v>7359</v>
      </c>
      <c r="F2140" s="16" t="s">
        <v>1285</v>
      </c>
      <c r="G2140" s="16" t="s">
        <v>563</v>
      </c>
      <c r="H2140" s="16" t="s">
        <v>1531</v>
      </c>
      <c r="I2140" s="16" t="s">
        <v>62</v>
      </c>
      <c r="J2140" s="16" t="s">
        <v>7356</v>
      </c>
      <c r="K2140" s="32" t="n">
        <v>1</v>
      </c>
      <c r="L2140" s="33" t="n">
        <v>46274</v>
      </c>
      <c r="M2140" s="33" t="n">
        <v>46274</v>
      </c>
      <c r="N2140" s="16" t="s">
        <v>7353</v>
      </c>
      <c r="O2140" s="16"/>
      <c r="P2140" s="16" t="str">
        <f aca="false">IF(AND(L2140&lt;=$D$2,M2140&gt;=$C$2),"Sí","")</f>
        <v/>
      </c>
      <c r="Q2140" s="18" t="str">
        <f aca="false">IF(COUNTIF(LOOKAHEAD!$A$5:$A$604,A2140)&gt;0,"En Lookahead",IF(P2140="Sí","INCORPORAR",""))</f>
        <v/>
      </c>
    </row>
    <row r="2141" customFormat="false" ht="15" hidden="false" customHeight="false" outlineLevel="0" collapsed="false">
      <c r="A2141" s="13" t="s">
        <v>7360</v>
      </c>
      <c r="B2141" s="13" t="n">
        <v>2136</v>
      </c>
      <c r="C2141" s="13" t="s">
        <v>7361</v>
      </c>
      <c r="D2141" s="13" t="n">
        <v>6</v>
      </c>
      <c r="E2141" s="36" t="s">
        <v>7362</v>
      </c>
      <c r="F2141" s="13" t="s">
        <v>1298</v>
      </c>
      <c r="G2141" s="13" t="s">
        <v>563</v>
      </c>
      <c r="H2141" s="13" t="s">
        <v>1531</v>
      </c>
      <c r="I2141" s="13" t="s">
        <v>62</v>
      </c>
      <c r="J2141" s="13" t="s">
        <v>7328</v>
      </c>
      <c r="K2141" s="30" t="n">
        <v>3</v>
      </c>
      <c r="L2141" s="31" t="n">
        <v>46274</v>
      </c>
      <c r="M2141" s="31" t="n">
        <v>46276</v>
      </c>
      <c r="N2141" s="13"/>
      <c r="O2141" s="13"/>
      <c r="P2141" s="13"/>
      <c r="Q2141" s="13"/>
    </row>
    <row r="2142" customFormat="false" ht="15" hidden="false" customHeight="false" outlineLevel="0" collapsed="false">
      <c r="A2142" s="16" t="s">
        <v>7363</v>
      </c>
      <c r="B2142" s="16" t="n">
        <v>2137</v>
      </c>
      <c r="C2142" s="16" t="s">
        <v>7364</v>
      </c>
      <c r="D2142" s="16" t="n">
        <v>7</v>
      </c>
      <c r="E2142" s="37" t="s">
        <v>7365</v>
      </c>
      <c r="F2142" s="16" t="s">
        <v>1285</v>
      </c>
      <c r="G2142" s="16" t="s">
        <v>563</v>
      </c>
      <c r="H2142" s="16" t="s">
        <v>1531</v>
      </c>
      <c r="I2142" s="16" t="s">
        <v>62</v>
      </c>
      <c r="J2142" s="16" t="s">
        <v>7362</v>
      </c>
      <c r="K2142" s="32" t="n">
        <v>3</v>
      </c>
      <c r="L2142" s="33" t="n">
        <v>46274</v>
      </c>
      <c r="M2142" s="33" t="n">
        <v>46276</v>
      </c>
      <c r="N2142" s="16" t="s">
        <v>7353</v>
      </c>
      <c r="O2142" s="16"/>
      <c r="P2142" s="16" t="str">
        <f aca="false">IF(AND(L2142&lt;=$D$2,M2142&gt;=$C$2),"Sí","")</f>
        <v/>
      </c>
      <c r="Q2142" s="18" t="str">
        <f aca="false">IF(COUNTIF(LOOKAHEAD!$A$5:$A$604,A2142)&gt;0,"En Lookahead",IF(P2142="Sí","INCORPORAR",""))</f>
        <v/>
      </c>
    </row>
    <row r="2143" customFormat="false" ht="15" hidden="false" customHeight="false" outlineLevel="0" collapsed="false">
      <c r="A2143" s="13" t="s">
        <v>7366</v>
      </c>
      <c r="B2143" s="13" t="n">
        <v>2138</v>
      </c>
      <c r="C2143" s="13" t="s">
        <v>7367</v>
      </c>
      <c r="D2143" s="13" t="n">
        <v>5</v>
      </c>
      <c r="E2143" s="34" t="s">
        <v>7368</v>
      </c>
      <c r="F2143" s="13" t="s">
        <v>1298</v>
      </c>
      <c r="G2143" s="13" t="s">
        <v>563</v>
      </c>
      <c r="H2143" s="13" t="s">
        <v>1531</v>
      </c>
      <c r="I2143" s="13" t="s">
        <v>62</v>
      </c>
      <c r="J2143" s="13" t="s">
        <v>1531</v>
      </c>
      <c r="K2143" s="30" t="n">
        <v>42</v>
      </c>
      <c r="L2143" s="31" t="n">
        <v>46274</v>
      </c>
      <c r="M2143" s="31" t="n">
        <v>46315</v>
      </c>
      <c r="N2143" s="13"/>
      <c r="O2143" s="13"/>
      <c r="P2143" s="13"/>
      <c r="Q2143" s="13"/>
    </row>
    <row r="2144" customFormat="false" ht="15" hidden="false" customHeight="false" outlineLevel="0" collapsed="false">
      <c r="A2144" s="13" t="s">
        <v>7369</v>
      </c>
      <c r="B2144" s="13" t="n">
        <v>2139</v>
      </c>
      <c r="C2144" s="13" t="s">
        <v>7370</v>
      </c>
      <c r="D2144" s="13" t="n">
        <v>6</v>
      </c>
      <c r="E2144" s="36" t="s">
        <v>7310</v>
      </c>
      <c r="F2144" s="13" t="s">
        <v>1298</v>
      </c>
      <c r="G2144" s="13" t="s">
        <v>563</v>
      </c>
      <c r="H2144" s="13" t="s">
        <v>1531</v>
      </c>
      <c r="I2144" s="13" t="s">
        <v>62</v>
      </c>
      <c r="J2144" s="13" t="s">
        <v>7368</v>
      </c>
      <c r="K2144" s="30" t="n">
        <v>15</v>
      </c>
      <c r="L2144" s="31" t="n">
        <v>46274</v>
      </c>
      <c r="M2144" s="31" t="n">
        <v>46288</v>
      </c>
      <c r="N2144" s="13"/>
      <c r="O2144" s="13"/>
      <c r="P2144" s="13"/>
      <c r="Q2144" s="13"/>
    </row>
    <row r="2145" customFormat="false" ht="15" hidden="false" customHeight="false" outlineLevel="0" collapsed="false">
      <c r="A2145" s="16" t="s">
        <v>7371</v>
      </c>
      <c r="B2145" s="16" t="n">
        <v>2140</v>
      </c>
      <c r="C2145" s="16" t="s">
        <v>7372</v>
      </c>
      <c r="D2145" s="16" t="n">
        <v>7</v>
      </c>
      <c r="E2145" s="37" t="s">
        <v>7373</v>
      </c>
      <c r="F2145" s="16" t="s">
        <v>1285</v>
      </c>
      <c r="G2145" s="16" t="s">
        <v>563</v>
      </c>
      <c r="H2145" s="16" t="s">
        <v>1531</v>
      </c>
      <c r="I2145" s="16" t="s">
        <v>62</v>
      </c>
      <c r="J2145" s="16" t="s">
        <v>7310</v>
      </c>
      <c r="K2145" s="32" t="n">
        <v>2</v>
      </c>
      <c r="L2145" s="33" t="n">
        <v>46274</v>
      </c>
      <c r="M2145" s="33" t="n">
        <v>46275</v>
      </c>
      <c r="N2145" s="16" t="s">
        <v>7353</v>
      </c>
      <c r="O2145" s="16"/>
      <c r="P2145" s="16" t="str">
        <f aca="false">IF(AND(L2145&lt;=$D$2,M2145&gt;=$C$2),"Sí","")</f>
        <v/>
      </c>
      <c r="Q2145" s="18" t="str">
        <f aca="false">IF(COUNTIF(LOOKAHEAD!$A$5:$A$604,A2145)&gt;0,"En Lookahead",IF(P2145="Sí","INCORPORAR",""))</f>
        <v/>
      </c>
    </row>
    <row r="2146" customFormat="false" ht="15" hidden="false" customHeight="false" outlineLevel="0" collapsed="false">
      <c r="A2146" s="16" t="s">
        <v>7374</v>
      </c>
      <c r="B2146" s="16" t="n">
        <v>2141</v>
      </c>
      <c r="C2146" s="16" t="s">
        <v>7375</v>
      </c>
      <c r="D2146" s="16" t="n">
        <v>7</v>
      </c>
      <c r="E2146" s="37" t="s">
        <v>7376</v>
      </c>
      <c r="F2146" s="16" t="s">
        <v>1285</v>
      </c>
      <c r="G2146" s="16" t="s">
        <v>563</v>
      </c>
      <c r="H2146" s="16" t="s">
        <v>1531</v>
      </c>
      <c r="I2146" s="16" t="s">
        <v>62</v>
      </c>
      <c r="J2146" s="16" t="s">
        <v>7310</v>
      </c>
      <c r="K2146" s="32" t="n">
        <v>7</v>
      </c>
      <c r="L2146" s="33" t="n">
        <v>46276</v>
      </c>
      <c r="M2146" s="33" t="n">
        <v>46282</v>
      </c>
      <c r="N2146" s="16" t="s">
        <v>7377</v>
      </c>
      <c r="O2146" s="16"/>
      <c r="P2146" s="16" t="str">
        <f aca="false">IF(AND(L2146&lt;=$D$2,M2146&gt;=$C$2),"Sí","")</f>
        <v/>
      </c>
      <c r="Q2146" s="18" t="str">
        <f aca="false">IF(COUNTIF(LOOKAHEAD!$A$5:$A$604,A2146)&gt;0,"En Lookahead",IF(P2146="Sí","INCORPORAR",""))</f>
        <v/>
      </c>
    </row>
    <row r="2147" customFormat="false" ht="15" hidden="false" customHeight="false" outlineLevel="0" collapsed="false">
      <c r="A2147" s="16" t="s">
        <v>7378</v>
      </c>
      <c r="B2147" s="16" t="n">
        <v>2142</v>
      </c>
      <c r="C2147" s="16" t="s">
        <v>7379</v>
      </c>
      <c r="D2147" s="16" t="n">
        <v>7</v>
      </c>
      <c r="E2147" s="37" t="s">
        <v>7380</v>
      </c>
      <c r="F2147" s="16" t="s">
        <v>1285</v>
      </c>
      <c r="G2147" s="16" t="s">
        <v>563</v>
      </c>
      <c r="H2147" s="16" t="s">
        <v>1531</v>
      </c>
      <c r="I2147" s="16" t="s">
        <v>62</v>
      </c>
      <c r="J2147" s="16" t="s">
        <v>7310</v>
      </c>
      <c r="K2147" s="32" t="n">
        <v>1</v>
      </c>
      <c r="L2147" s="33" t="n">
        <v>46283</v>
      </c>
      <c r="M2147" s="33" t="n">
        <v>46283</v>
      </c>
      <c r="N2147" s="16" t="s">
        <v>7381</v>
      </c>
      <c r="O2147" s="16"/>
      <c r="P2147" s="16" t="str">
        <f aca="false">IF(AND(L2147&lt;=$D$2,M2147&gt;=$C$2),"Sí","")</f>
        <v/>
      </c>
      <c r="Q2147" s="18" t="str">
        <f aca="false">IF(COUNTIF(LOOKAHEAD!$A$5:$A$604,A2147)&gt;0,"En Lookahead",IF(P2147="Sí","INCORPORAR",""))</f>
        <v/>
      </c>
    </row>
    <row r="2148" customFormat="false" ht="15" hidden="false" customHeight="false" outlineLevel="0" collapsed="false">
      <c r="A2148" s="16" t="s">
        <v>7382</v>
      </c>
      <c r="B2148" s="16" t="n">
        <v>2143</v>
      </c>
      <c r="C2148" s="16" t="s">
        <v>7383</v>
      </c>
      <c r="D2148" s="16" t="n">
        <v>7</v>
      </c>
      <c r="E2148" s="37" t="s">
        <v>7384</v>
      </c>
      <c r="F2148" s="16" t="s">
        <v>1285</v>
      </c>
      <c r="G2148" s="16" t="s">
        <v>563</v>
      </c>
      <c r="H2148" s="16" t="s">
        <v>1531</v>
      </c>
      <c r="I2148" s="16" t="s">
        <v>62</v>
      </c>
      <c r="J2148" s="16" t="s">
        <v>7310</v>
      </c>
      <c r="K2148" s="32" t="n">
        <v>3</v>
      </c>
      <c r="L2148" s="33" t="n">
        <v>46284</v>
      </c>
      <c r="M2148" s="33" t="n">
        <v>46286</v>
      </c>
      <c r="N2148" s="16" t="s">
        <v>7385</v>
      </c>
      <c r="O2148" s="16"/>
      <c r="P2148" s="16" t="str">
        <f aca="false">IF(AND(L2148&lt;=$D$2,M2148&gt;=$C$2),"Sí","")</f>
        <v/>
      </c>
      <c r="Q2148" s="18" t="str">
        <f aca="false">IF(COUNTIF(LOOKAHEAD!$A$5:$A$604,A2148)&gt;0,"En Lookahead",IF(P2148="Sí","INCORPORAR",""))</f>
        <v/>
      </c>
    </row>
    <row r="2149" customFormat="false" ht="15" hidden="false" customHeight="false" outlineLevel="0" collapsed="false">
      <c r="A2149" s="16" t="s">
        <v>7386</v>
      </c>
      <c r="B2149" s="16" t="n">
        <v>2144</v>
      </c>
      <c r="C2149" s="16" t="s">
        <v>7387</v>
      </c>
      <c r="D2149" s="16" t="n">
        <v>7</v>
      </c>
      <c r="E2149" s="37" t="s">
        <v>7388</v>
      </c>
      <c r="F2149" s="16" t="s">
        <v>1285</v>
      </c>
      <c r="G2149" s="16" t="s">
        <v>563</v>
      </c>
      <c r="H2149" s="16" t="s">
        <v>1531</v>
      </c>
      <c r="I2149" s="16" t="s">
        <v>62</v>
      </c>
      <c r="J2149" s="16" t="s">
        <v>7310</v>
      </c>
      <c r="K2149" s="32" t="n">
        <v>2</v>
      </c>
      <c r="L2149" s="33" t="n">
        <v>46287</v>
      </c>
      <c r="M2149" s="33" t="n">
        <v>46288</v>
      </c>
      <c r="N2149" s="16" t="s">
        <v>7389</v>
      </c>
      <c r="O2149" s="16"/>
      <c r="P2149" s="16" t="str">
        <f aca="false">IF(AND(L2149&lt;=$D$2,M2149&gt;=$C$2),"Sí","")</f>
        <v/>
      </c>
      <c r="Q2149" s="18" t="str">
        <f aca="false">IF(COUNTIF(LOOKAHEAD!$A$5:$A$604,A2149)&gt;0,"En Lookahead",IF(P2149="Sí","INCORPORAR",""))</f>
        <v/>
      </c>
    </row>
    <row r="2150" customFormat="false" ht="15" hidden="false" customHeight="false" outlineLevel="0" collapsed="false">
      <c r="A2150" s="13" t="s">
        <v>7390</v>
      </c>
      <c r="B2150" s="13" t="n">
        <v>2145</v>
      </c>
      <c r="C2150" s="13" t="s">
        <v>7391</v>
      </c>
      <c r="D2150" s="13" t="n">
        <v>6</v>
      </c>
      <c r="E2150" s="36" t="s">
        <v>7349</v>
      </c>
      <c r="F2150" s="13" t="s">
        <v>1298</v>
      </c>
      <c r="G2150" s="13" t="s">
        <v>563</v>
      </c>
      <c r="H2150" s="13" t="s">
        <v>1531</v>
      </c>
      <c r="I2150" s="13" t="s">
        <v>62</v>
      </c>
      <c r="J2150" s="13" t="s">
        <v>7368</v>
      </c>
      <c r="K2150" s="30" t="n">
        <v>3</v>
      </c>
      <c r="L2150" s="31" t="n">
        <v>46289</v>
      </c>
      <c r="M2150" s="31" t="n">
        <v>46291</v>
      </c>
      <c r="N2150" s="13"/>
      <c r="O2150" s="13"/>
      <c r="P2150" s="13"/>
      <c r="Q2150" s="13"/>
    </row>
    <row r="2151" customFormat="false" ht="15" hidden="false" customHeight="false" outlineLevel="0" collapsed="false">
      <c r="A2151" s="16" t="s">
        <v>7392</v>
      </c>
      <c r="B2151" s="16" t="n">
        <v>2146</v>
      </c>
      <c r="C2151" s="16" t="s">
        <v>7393</v>
      </c>
      <c r="D2151" s="16" t="n">
        <v>7</v>
      </c>
      <c r="E2151" s="37" t="s">
        <v>7394</v>
      </c>
      <c r="F2151" s="16" t="s">
        <v>1285</v>
      </c>
      <c r="G2151" s="16" t="s">
        <v>563</v>
      </c>
      <c r="H2151" s="16" t="s">
        <v>1531</v>
      </c>
      <c r="I2151" s="16" t="s">
        <v>62</v>
      </c>
      <c r="J2151" s="16" t="s">
        <v>7349</v>
      </c>
      <c r="K2151" s="32" t="n">
        <v>3</v>
      </c>
      <c r="L2151" s="33" t="n">
        <v>46289</v>
      </c>
      <c r="M2151" s="33" t="n">
        <v>46291</v>
      </c>
      <c r="N2151" s="16" t="s">
        <v>7395</v>
      </c>
      <c r="O2151" s="16"/>
      <c r="P2151" s="16" t="str">
        <f aca="false">IF(AND(L2151&lt;=$D$2,M2151&gt;=$C$2),"Sí","")</f>
        <v/>
      </c>
      <c r="Q2151" s="18" t="str">
        <f aca="false">IF(COUNTIF(LOOKAHEAD!$A$5:$A$604,A2151)&gt;0,"En Lookahead",IF(P2151="Sí","INCORPORAR",""))</f>
        <v/>
      </c>
    </row>
    <row r="2152" customFormat="false" ht="15" hidden="false" customHeight="false" outlineLevel="0" collapsed="false">
      <c r="A2152" s="13" t="s">
        <v>7396</v>
      </c>
      <c r="B2152" s="13" t="n">
        <v>2147</v>
      </c>
      <c r="C2152" s="13" t="s">
        <v>7397</v>
      </c>
      <c r="D2152" s="13" t="n">
        <v>6</v>
      </c>
      <c r="E2152" s="36" t="s">
        <v>7398</v>
      </c>
      <c r="F2152" s="13" t="s">
        <v>1298</v>
      </c>
      <c r="G2152" s="13" t="s">
        <v>563</v>
      </c>
      <c r="H2152" s="13" t="s">
        <v>1531</v>
      </c>
      <c r="I2152" s="13" t="s">
        <v>62</v>
      </c>
      <c r="J2152" s="13" t="s">
        <v>7368</v>
      </c>
      <c r="K2152" s="30" t="n">
        <v>6</v>
      </c>
      <c r="L2152" s="31" t="n">
        <v>46292</v>
      </c>
      <c r="M2152" s="31" t="n">
        <v>46297</v>
      </c>
      <c r="N2152" s="13"/>
      <c r="O2152" s="13"/>
      <c r="P2152" s="13"/>
      <c r="Q2152" s="13"/>
    </row>
    <row r="2153" customFormat="false" ht="15" hidden="false" customHeight="false" outlineLevel="0" collapsed="false">
      <c r="A2153" s="16" t="s">
        <v>7399</v>
      </c>
      <c r="B2153" s="16" t="n">
        <v>2148</v>
      </c>
      <c r="C2153" s="16" t="s">
        <v>7400</v>
      </c>
      <c r="D2153" s="16" t="n">
        <v>7</v>
      </c>
      <c r="E2153" s="37" t="s">
        <v>7401</v>
      </c>
      <c r="F2153" s="16" t="s">
        <v>1285</v>
      </c>
      <c r="G2153" s="16" t="s">
        <v>563</v>
      </c>
      <c r="H2153" s="16" t="s">
        <v>1531</v>
      </c>
      <c r="I2153" s="16" t="s">
        <v>62</v>
      </c>
      <c r="J2153" s="16" t="s">
        <v>7398</v>
      </c>
      <c r="K2153" s="32" t="n">
        <v>5</v>
      </c>
      <c r="L2153" s="33" t="n">
        <v>46292</v>
      </c>
      <c r="M2153" s="33" t="n">
        <v>46296</v>
      </c>
      <c r="N2153" s="16" t="s">
        <v>7402</v>
      </c>
      <c r="O2153" s="16"/>
      <c r="P2153" s="16" t="str">
        <f aca="false">IF(AND(L2153&lt;=$D$2,M2153&gt;=$C$2),"Sí","")</f>
        <v/>
      </c>
      <c r="Q2153" s="18" t="str">
        <f aca="false">IF(COUNTIF(LOOKAHEAD!$A$5:$A$604,A2153)&gt;0,"En Lookahead",IF(P2153="Sí","INCORPORAR",""))</f>
        <v/>
      </c>
    </row>
    <row r="2154" customFormat="false" ht="15" hidden="false" customHeight="false" outlineLevel="0" collapsed="false">
      <c r="A2154" s="16" t="s">
        <v>7403</v>
      </c>
      <c r="B2154" s="16" t="n">
        <v>2149</v>
      </c>
      <c r="C2154" s="16" t="s">
        <v>7404</v>
      </c>
      <c r="D2154" s="16" t="n">
        <v>7</v>
      </c>
      <c r="E2154" s="37" t="s">
        <v>7405</v>
      </c>
      <c r="F2154" s="16" t="s">
        <v>1285</v>
      </c>
      <c r="G2154" s="16" t="s">
        <v>563</v>
      </c>
      <c r="H2154" s="16" t="s">
        <v>1531</v>
      </c>
      <c r="I2154" s="16" t="s">
        <v>62</v>
      </c>
      <c r="J2154" s="16" t="s">
        <v>7398</v>
      </c>
      <c r="K2154" s="32" t="n">
        <v>1</v>
      </c>
      <c r="L2154" s="33" t="n">
        <v>46297</v>
      </c>
      <c r="M2154" s="33" t="n">
        <v>46297</v>
      </c>
      <c r="N2154" s="16" t="s">
        <v>7406</v>
      </c>
      <c r="O2154" s="16"/>
      <c r="P2154" s="16" t="str">
        <f aca="false">IF(AND(L2154&lt;=$D$2,M2154&gt;=$C$2),"Sí","")</f>
        <v/>
      </c>
      <c r="Q2154" s="18" t="str">
        <f aca="false">IF(COUNTIF(LOOKAHEAD!$A$5:$A$604,A2154)&gt;0,"En Lookahead",IF(P2154="Sí","INCORPORAR",""))</f>
        <v/>
      </c>
    </row>
    <row r="2155" customFormat="false" ht="15" hidden="false" customHeight="false" outlineLevel="0" collapsed="false">
      <c r="A2155" s="13" t="s">
        <v>7407</v>
      </c>
      <c r="B2155" s="13" t="n">
        <v>2150</v>
      </c>
      <c r="C2155" s="13" t="s">
        <v>7408</v>
      </c>
      <c r="D2155" s="13" t="n">
        <v>6</v>
      </c>
      <c r="E2155" s="36" t="s">
        <v>7409</v>
      </c>
      <c r="F2155" s="13" t="s">
        <v>1298</v>
      </c>
      <c r="G2155" s="13" t="s">
        <v>563</v>
      </c>
      <c r="H2155" s="13" t="s">
        <v>1531</v>
      </c>
      <c r="I2155" s="13" t="s">
        <v>62</v>
      </c>
      <c r="J2155" s="13" t="s">
        <v>7368</v>
      </c>
      <c r="K2155" s="30" t="n">
        <v>18</v>
      </c>
      <c r="L2155" s="31" t="n">
        <v>46298</v>
      </c>
      <c r="M2155" s="31" t="n">
        <v>46315</v>
      </c>
      <c r="N2155" s="13"/>
      <c r="O2155" s="13"/>
      <c r="P2155" s="13"/>
      <c r="Q2155" s="13"/>
    </row>
    <row r="2156" customFormat="false" ht="15" hidden="false" customHeight="false" outlineLevel="0" collapsed="false">
      <c r="A2156" s="16" t="s">
        <v>7410</v>
      </c>
      <c r="B2156" s="16" t="n">
        <v>2151</v>
      </c>
      <c r="C2156" s="16" t="s">
        <v>7411</v>
      </c>
      <c r="D2156" s="16" t="n">
        <v>7</v>
      </c>
      <c r="E2156" s="37" t="s">
        <v>7412</v>
      </c>
      <c r="F2156" s="16" t="s">
        <v>1285</v>
      </c>
      <c r="G2156" s="16" t="s">
        <v>563</v>
      </c>
      <c r="H2156" s="16" t="s">
        <v>1531</v>
      </c>
      <c r="I2156" s="16" t="s">
        <v>62</v>
      </c>
      <c r="J2156" s="16" t="s">
        <v>7409</v>
      </c>
      <c r="K2156" s="32" t="n">
        <v>18</v>
      </c>
      <c r="L2156" s="33" t="n">
        <v>46298</v>
      </c>
      <c r="M2156" s="33" t="n">
        <v>46315</v>
      </c>
      <c r="N2156" s="16" t="s">
        <v>7413</v>
      </c>
      <c r="O2156" s="16"/>
      <c r="P2156" s="16" t="str">
        <f aca="false">IF(AND(L2156&lt;=$D$2,M2156&gt;=$C$2),"Sí","")</f>
        <v>Sí</v>
      </c>
      <c r="Q2156" s="18" t="str">
        <f aca="false">IF(COUNTIF(LOOKAHEAD!$A$5:$A$604,A2156)&gt;0,"En Lookahead",IF(P2156="Sí","INCORPORAR",""))</f>
        <v>En Lookahead</v>
      </c>
    </row>
    <row r="2157" customFormat="false" ht="15" hidden="false" customHeight="false" outlineLevel="0" collapsed="false">
      <c r="A2157" s="13" t="s">
        <v>7414</v>
      </c>
      <c r="B2157" s="13" t="n">
        <v>2152</v>
      </c>
      <c r="C2157" s="13" t="s">
        <v>7415</v>
      </c>
      <c r="D2157" s="13" t="n">
        <v>5</v>
      </c>
      <c r="E2157" s="34" t="s">
        <v>7416</v>
      </c>
      <c r="F2157" s="13" t="s">
        <v>1298</v>
      </c>
      <c r="G2157" s="13" t="s">
        <v>563</v>
      </c>
      <c r="H2157" s="13" t="s">
        <v>1531</v>
      </c>
      <c r="I2157" s="13" t="s">
        <v>62</v>
      </c>
      <c r="J2157" s="13" t="s">
        <v>1531</v>
      </c>
      <c r="K2157" s="30" t="n">
        <v>108</v>
      </c>
      <c r="L2157" s="31" t="n">
        <v>46141</v>
      </c>
      <c r="M2157" s="31" t="n">
        <v>46328</v>
      </c>
      <c r="N2157" s="13"/>
      <c r="O2157" s="13"/>
      <c r="P2157" s="13"/>
      <c r="Q2157" s="13"/>
    </row>
    <row r="2158" customFormat="false" ht="15" hidden="false" customHeight="false" outlineLevel="0" collapsed="false">
      <c r="A2158" s="16" t="s">
        <v>7417</v>
      </c>
      <c r="B2158" s="16" t="n">
        <v>2153</v>
      </c>
      <c r="C2158" s="16" t="s">
        <v>7418</v>
      </c>
      <c r="D2158" s="16" t="n">
        <v>6</v>
      </c>
      <c r="E2158" s="35" t="s">
        <v>7419</v>
      </c>
      <c r="F2158" s="16" t="s">
        <v>1285</v>
      </c>
      <c r="G2158" s="16" t="s">
        <v>563</v>
      </c>
      <c r="H2158" s="16" t="s">
        <v>1531</v>
      </c>
      <c r="I2158" s="16" t="s">
        <v>62</v>
      </c>
      <c r="J2158" s="16" t="s">
        <v>7416</v>
      </c>
      <c r="K2158" s="32" t="n">
        <v>62</v>
      </c>
      <c r="L2158" s="33" t="n">
        <v>46141</v>
      </c>
      <c r="M2158" s="33" t="n">
        <v>46282</v>
      </c>
      <c r="N2158" s="16" t="s">
        <v>7217</v>
      </c>
      <c r="O2158" s="16"/>
      <c r="P2158" s="16" t="str">
        <f aca="false">IF(AND(L2158&lt;=$D$2,M2158&gt;=$C$2),"Sí","")</f>
        <v/>
      </c>
      <c r="Q2158" s="18" t="str">
        <f aca="false">IF(COUNTIF(LOOKAHEAD!$A$5:$A$604,A2158)&gt;0,"En Lookahead",IF(P2158="Sí","INCORPORAR",""))</f>
        <v/>
      </c>
    </row>
    <row r="2159" customFormat="false" ht="15" hidden="false" customHeight="false" outlineLevel="0" collapsed="false">
      <c r="A2159" s="16" t="s">
        <v>7420</v>
      </c>
      <c r="B2159" s="16" t="n">
        <v>2154</v>
      </c>
      <c r="C2159" s="16" t="s">
        <v>7421</v>
      </c>
      <c r="D2159" s="16" t="n">
        <v>6</v>
      </c>
      <c r="E2159" s="35" t="s">
        <v>7422</v>
      </c>
      <c r="F2159" s="16" t="s">
        <v>1285</v>
      </c>
      <c r="G2159" s="16" t="s">
        <v>563</v>
      </c>
      <c r="H2159" s="16" t="s">
        <v>1531</v>
      </c>
      <c r="I2159" s="16" t="s">
        <v>62</v>
      </c>
      <c r="J2159" s="16" t="s">
        <v>7416</v>
      </c>
      <c r="K2159" s="32" t="n">
        <v>39</v>
      </c>
      <c r="L2159" s="33" t="n">
        <v>46283</v>
      </c>
      <c r="M2159" s="33" t="n">
        <v>46321</v>
      </c>
      <c r="N2159" s="16" t="s">
        <v>7423</v>
      </c>
      <c r="O2159" s="16"/>
      <c r="P2159" s="16" t="str">
        <f aca="false">IF(AND(L2159&lt;=$D$2,M2159&gt;=$C$2),"Sí","")</f>
        <v>Sí</v>
      </c>
      <c r="Q2159" s="18" t="str">
        <f aca="false">IF(COUNTIF(LOOKAHEAD!$A$5:$A$604,A2159)&gt;0,"En Lookahead",IF(P2159="Sí","INCORPORAR",""))</f>
        <v>En Lookahead</v>
      </c>
    </row>
    <row r="2160" customFormat="false" ht="15" hidden="false" customHeight="false" outlineLevel="0" collapsed="false">
      <c r="A2160" s="16" t="s">
        <v>7424</v>
      </c>
      <c r="B2160" s="16" t="n">
        <v>2155</v>
      </c>
      <c r="C2160" s="16" t="s">
        <v>7425</v>
      </c>
      <c r="D2160" s="16" t="n">
        <v>6</v>
      </c>
      <c r="E2160" s="35" t="s">
        <v>7426</v>
      </c>
      <c r="F2160" s="16" t="s">
        <v>1285</v>
      </c>
      <c r="G2160" s="16" t="s">
        <v>563</v>
      </c>
      <c r="H2160" s="16" t="s">
        <v>1531</v>
      </c>
      <c r="I2160" s="16" t="s">
        <v>62</v>
      </c>
      <c r="J2160" s="16" t="s">
        <v>7416</v>
      </c>
      <c r="K2160" s="32" t="n">
        <v>9</v>
      </c>
      <c r="L2160" s="33" t="n">
        <v>46146</v>
      </c>
      <c r="M2160" s="33" t="n">
        <v>46154</v>
      </c>
      <c r="N2160" s="16" t="s">
        <v>7243</v>
      </c>
      <c r="O2160" s="16"/>
      <c r="P2160" s="16" t="str">
        <f aca="false">IF(AND(L2160&lt;=$D$2,M2160&gt;=$C$2),"Sí","")</f>
        <v/>
      </c>
      <c r="Q2160" s="18" t="str">
        <f aca="false">IF(COUNTIF(LOOKAHEAD!$A$5:$A$604,A2160)&gt;0,"En Lookahead",IF(P2160="Sí","INCORPORAR",""))</f>
        <v/>
      </c>
    </row>
    <row r="2161" customFormat="false" ht="15" hidden="false" customHeight="false" outlineLevel="0" collapsed="false">
      <c r="A2161" s="16" t="s">
        <v>7427</v>
      </c>
      <c r="B2161" s="16" t="n">
        <v>2156</v>
      </c>
      <c r="C2161" s="16" t="s">
        <v>7428</v>
      </c>
      <c r="D2161" s="16" t="n">
        <v>6</v>
      </c>
      <c r="E2161" s="35" t="s">
        <v>7429</v>
      </c>
      <c r="F2161" s="16" t="s">
        <v>1285</v>
      </c>
      <c r="G2161" s="16" t="s">
        <v>563</v>
      </c>
      <c r="H2161" s="16" t="s">
        <v>1531</v>
      </c>
      <c r="I2161" s="16" t="s">
        <v>62</v>
      </c>
      <c r="J2161" s="16" t="s">
        <v>7416</v>
      </c>
      <c r="K2161" s="32" t="n">
        <v>1</v>
      </c>
      <c r="L2161" s="33" t="n">
        <v>46265</v>
      </c>
      <c r="M2161" s="33" t="n">
        <v>46265</v>
      </c>
      <c r="N2161" s="16" t="s">
        <v>7334</v>
      </c>
      <c r="O2161" s="16"/>
      <c r="P2161" s="16" t="str">
        <f aca="false">IF(AND(L2161&lt;=$D$2,M2161&gt;=$C$2),"Sí","")</f>
        <v/>
      </c>
      <c r="Q2161" s="18" t="str">
        <f aca="false">IF(COUNTIF(LOOKAHEAD!$A$5:$A$604,A2161)&gt;0,"En Lookahead",IF(P2161="Sí","INCORPORAR",""))</f>
        <v/>
      </c>
    </row>
    <row r="2162" customFormat="false" ht="15" hidden="false" customHeight="false" outlineLevel="0" collapsed="false">
      <c r="A2162" s="16" t="s">
        <v>7430</v>
      </c>
      <c r="B2162" s="16" t="n">
        <v>2157</v>
      </c>
      <c r="C2162" s="16" t="s">
        <v>7431</v>
      </c>
      <c r="D2162" s="16" t="n">
        <v>6</v>
      </c>
      <c r="E2162" s="35" t="s">
        <v>7432</v>
      </c>
      <c r="F2162" s="16" t="s">
        <v>1285</v>
      </c>
      <c r="G2162" s="16" t="s">
        <v>563</v>
      </c>
      <c r="H2162" s="16" t="s">
        <v>1531</v>
      </c>
      <c r="I2162" s="16" t="s">
        <v>62</v>
      </c>
      <c r="J2162" s="16" t="s">
        <v>7416</v>
      </c>
      <c r="K2162" s="32" t="n">
        <v>5</v>
      </c>
      <c r="L2162" s="33" t="n">
        <v>46322</v>
      </c>
      <c r="M2162" s="33" t="n">
        <v>46326</v>
      </c>
      <c r="N2162" s="16" t="s">
        <v>7433</v>
      </c>
      <c r="O2162" s="16"/>
      <c r="P2162" s="16" t="str">
        <f aca="false">IF(AND(L2162&lt;=$D$2,M2162&gt;=$C$2),"Sí","")</f>
        <v>Sí</v>
      </c>
      <c r="Q2162" s="18" t="str">
        <f aca="false">IF(COUNTIF(LOOKAHEAD!$A$5:$A$604,A2162)&gt;0,"En Lookahead",IF(P2162="Sí","INCORPORAR",""))</f>
        <v>En Lookahead</v>
      </c>
    </row>
    <row r="2163" customFormat="false" ht="15" hidden="false" customHeight="false" outlineLevel="0" collapsed="false">
      <c r="A2163" s="16" t="s">
        <v>7434</v>
      </c>
      <c r="B2163" s="16" t="n">
        <v>2158</v>
      </c>
      <c r="C2163" s="16" t="s">
        <v>7435</v>
      </c>
      <c r="D2163" s="16" t="n">
        <v>6</v>
      </c>
      <c r="E2163" s="35" t="s">
        <v>7436</v>
      </c>
      <c r="F2163" s="16" t="s">
        <v>1285</v>
      </c>
      <c r="G2163" s="16" t="s">
        <v>563</v>
      </c>
      <c r="H2163" s="16" t="s">
        <v>1531</v>
      </c>
      <c r="I2163" s="16" t="s">
        <v>62</v>
      </c>
      <c r="J2163" s="16" t="s">
        <v>7416</v>
      </c>
      <c r="K2163" s="32" t="n">
        <v>2</v>
      </c>
      <c r="L2163" s="33" t="n">
        <v>46327</v>
      </c>
      <c r="M2163" s="33" t="n">
        <v>46328</v>
      </c>
      <c r="N2163" s="16" t="s">
        <v>7437</v>
      </c>
      <c r="O2163" s="16"/>
      <c r="P2163" s="16" t="str">
        <f aca="false">IF(AND(L2163&lt;=$D$2,M2163&gt;=$C$2),"Sí","")</f>
        <v>Sí</v>
      </c>
      <c r="Q2163" s="18" t="str">
        <f aca="false">IF(COUNTIF(LOOKAHEAD!$A$5:$A$604,A2163)&gt;0,"En Lookahead",IF(P2163="Sí","INCORPORAR",""))</f>
        <v>En Lookahead</v>
      </c>
    </row>
    <row r="2164" customFormat="false" ht="15" hidden="false" customHeight="false" outlineLevel="0" collapsed="false">
      <c r="A2164" s="13" t="s">
        <v>7438</v>
      </c>
      <c r="B2164" s="13" t="n">
        <v>2159</v>
      </c>
      <c r="C2164" s="13" t="s">
        <v>7439</v>
      </c>
      <c r="D2164" s="13" t="n">
        <v>5</v>
      </c>
      <c r="E2164" s="34" t="s">
        <v>7440</v>
      </c>
      <c r="F2164" s="13" t="s">
        <v>1298</v>
      </c>
      <c r="G2164" s="13" t="s">
        <v>563</v>
      </c>
      <c r="H2164" s="13" t="s">
        <v>1531</v>
      </c>
      <c r="I2164" s="13" t="s">
        <v>62</v>
      </c>
      <c r="J2164" s="13" t="s">
        <v>1531</v>
      </c>
      <c r="K2164" s="30" t="n">
        <v>18</v>
      </c>
      <c r="L2164" s="31" t="n">
        <v>46329</v>
      </c>
      <c r="M2164" s="31" t="n">
        <v>46346</v>
      </c>
      <c r="N2164" s="13"/>
      <c r="O2164" s="13"/>
      <c r="P2164" s="13"/>
      <c r="Q2164" s="13"/>
    </row>
    <row r="2165" customFormat="false" ht="15" hidden="false" customHeight="false" outlineLevel="0" collapsed="false">
      <c r="A2165" s="16" t="s">
        <v>7441</v>
      </c>
      <c r="B2165" s="16" t="n">
        <v>2160</v>
      </c>
      <c r="C2165" s="16" t="s">
        <v>7442</v>
      </c>
      <c r="D2165" s="16" t="n">
        <v>6</v>
      </c>
      <c r="E2165" s="35" t="s">
        <v>7443</v>
      </c>
      <c r="F2165" s="16" t="s">
        <v>1285</v>
      </c>
      <c r="G2165" s="16" t="s">
        <v>563</v>
      </c>
      <c r="H2165" s="16" t="s">
        <v>1531</v>
      </c>
      <c r="I2165" s="16" t="s">
        <v>62</v>
      </c>
      <c r="J2165" s="16" t="s">
        <v>7440</v>
      </c>
      <c r="K2165" s="32" t="n">
        <v>2</v>
      </c>
      <c r="L2165" s="33" t="n">
        <v>46329</v>
      </c>
      <c r="M2165" s="33" t="n">
        <v>46330</v>
      </c>
      <c r="N2165" s="16" t="s">
        <v>7444</v>
      </c>
      <c r="O2165" s="16"/>
      <c r="P2165" s="16" t="str">
        <f aca="false">IF(AND(L2165&lt;=$D$2,M2165&gt;=$C$2),"Sí","")</f>
        <v>Sí</v>
      </c>
      <c r="Q2165" s="18" t="str">
        <f aca="false">IF(COUNTIF(LOOKAHEAD!$A$5:$A$604,A2165)&gt;0,"En Lookahead",IF(P2165="Sí","INCORPORAR",""))</f>
        <v>En Lookahead</v>
      </c>
    </row>
    <row r="2166" customFormat="false" ht="15" hidden="false" customHeight="false" outlineLevel="0" collapsed="false">
      <c r="A2166" s="16" t="s">
        <v>7445</v>
      </c>
      <c r="B2166" s="16" t="n">
        <v>2161</v>
      </c>
      <c r="C2166" s="16" t="s">
        <v>7446</v>
      </c>
      <c r="D2166" s="16" t="n">
        <v>6</v>
      </c>
      <c r="E2166" s="35" t="s">
        <v>7447</v>
      </c>
      <c r="F2166" s="16" t="s">
        <v>1285</v>
      </c>
      <c r="G2166" s="16" t="s">
        <v>563</v>
      </c>
      <c r="H2166" s="16" t="s">
        <v>1531</v>
      </c>
      <c r="I2166" s="16" t="s">
        <v>62</v>
      </c>
      <c r="J2166" s="16" t="s">
        <v>7440</v>
      </c>
      <c r="K2166" s="32" t="n">
        <v>2</v>
      </c>
      <c r="L2166" s="33" t="n">
        <v>46331</v>
      </c>
      <c r="M2166" s="33" t="n">
        <v>46332</v>
      </c>
      <c r="N2166" s="16" t="s">
        <v>7448</v>
      </c>
      <c r="O2166" s="16"/>
      <c r="P2166" s="16" t="str">
        <f aca="false">IF(AND(L2166&lt;=$D$2,M2166&gt;=$C$2),"Sí","")</f>
        <v>Sí</v>
      </c>
      <c r="Q2166" s="18" t="str">
        <f aca="false">IF(COUNTIF(LOOKAHEAD!$A$5:$A$604,A2166)&gt;0,"En Lookahead",IF(P2166="Sí","INCORPORAR",""))</f>
        <v>En Lookahead</v>
      </c>
    </row>
    <row r="2167" customFormat="false" ht="15" hidden="false" customHeight="false" outlineLevel="0" collapsed="false">
      <c r="A2167" s="16" t="s">
        <v>7449</v>
      </c>
      <c r="B2167" s="16" t="n">
        <v>2162</v>
      </c>
      <c r="C2167" s="16" t="s">
        <v>7450</v>
      </c>
      <c r="D2167" s="16" t="n">
        <v>6</v>
      </c>
      <c r="E2167" s="35" t="s">
        <v>7451</v>
      </c>
      <c r="F2167" s="16" t="s">
        <v>1285</v>
      </c>
      <c r="G2167" s="16" t="s">
        <v>563</v>
      </c>
      <c r="H2167" s="16" t="s">
        <v>1531</v>
      </c>
      <c r="I2167" s="16" t="s">
        <v>62</v>
      </c>
      <c r="J2167" s="16" t="s">
        <v>7440</v>
      </c>
      <c r="K2167" s="32" t="n">
        <v>14</v>
      </c>
      <c r="L2167" s="33" t="n">
        <v>46333</v>
      </c>
      <c r="M2167" s="33" t="n">
        <v>46346</v>
      </c>
      <c r="N2167" s="16" t="s">
        <v>7452</v>
      </c>
      <c r="O2167" s="16"/>
      <c r="P2167" s="16" t="str">
        <f aca="false">IF(AND(L2167&lt;=$D$2,M2167&gt;=$C$2),"Sí","")</f>
        <v>Sí</v>
      </c>
      <c r="Q2167" s="18" t="str">
        <f aca="false">IF(COUNTIF(LOOKAHEAD!$A$5:$A$604,A2167)&gt;0,"En Lookahead",IF(P2167="Sí","INCORPORAR",""))</f>
        <v>En Lookahead</v>
      </c>
    </row>
    <row r="2168" customFormat="false" ht="15" hidden="false" customHeight="false" outlineLevel="0" collapsed="false">
      <c r="A2168" s="13" t="s">
        <v>7453</v>
      </c>
      <c r="B2168" s="13" t="n">
        <v>2163</v>
      </c>
      <c r="C2168" s="13" t="s">
        <v>7454</v>
      </c>
      <c r="D2168" s="13" t="n">
        <v>5</v>
      </c>
      <c r="E2168" s="34" t="s">
        <v>7455</v>
      </c>
      <c r="F2168" s="13" t="s">
        <v>1298</v>
      </c>
      <c r="G2168" s="13" t="s">
        <v>563</v>
      </c>
      <c r="H2168" s="13" t="s">
        <v>1531</v>
      </c>
      <c r="I2168" s="13" t="s">
        <v>62</v>
      </c>
      <c r="J2168" s="13" t="s">
        <v>1531</v>
      </c>
      <c r="K2168" s="30" t="n">
        <v>8</v>
      </c>
      <c r="L2168" s="31" t="n">
        <v>46347</v>
      </c>
      <c r="M2168" s="31" t="n">
        <v>46354</v>
      </c>
      <c r="N2168" s="13"/>
      <c r="O2168" s="13"/>
      <c r="P2168" s="13"/>
      <c r="Q2168" s="13"/>
    </row>
    <row r="2169" customFormat="false" ht="15" hidden="false" customHeight="false" outlineLevel="0" collapsed="false">
      <c r="A2169" s="13" t="s">
        <v>7456</v>
      </c>
      <c r="B2169" s="13" t="n">
        <v>2164</v>
      </c>
      <c r="C2169" s="13" t="s">
        <v>7457</v>
      </c>
      <c r="D2169" s="13" t="n">
        <v>6</v>
      </c>
      <c r="E2169" s="36" t="s">
        <v>7458</v>
      </c>
      <c r="F2169" s="13" t="s">
        <v>1298</v>
      </c>
      <c r="G2169" s="13" t="s">
        <v>563</v>
      </c>
      <c r="H2169" s="13" t="s">
        <v>1531</v>
      </c>
      <c r="I2169" s="13" t="s">
        <v>62</v>
      </c>
      <c r="J2169" s="13" t="s">
        <v>7455</v>
      </c>
      <c r="K2169" s="30" t="n">
        <v>5</v>
      </c>
      <c r="L2169" s="31" t="n">
        <v>46347</v>
      </c>
      <c r="M2169" s="31" t="n">
        <v>46351</v>
      </c>
      <c r="N2169" s="13"/>
      <c r="O2169" s="13"/>
      <c r="P2169" s="13"/>
      <c r="Q2169" s="13"/>
    </row>
    <row r="2170" customFormat="false" ht="15" hidden="false" customHeight="false" outlineLevel="0" collapsed="false">
      <c r="A2170" s="16" t="s">
        <v>7459</v>
      </c>
      <c r="B2170" s="16" t="n">
        <v>2165</v>
      </c>
      <c r="C2170" s="16" t="s">
        <v>7460</v>
      </c>
      <c r="D2170" s="16" t="n">
        <v>7</v>
      </c>
      <c r="E2170" s="37" t="s">
        <v>7461</v>
      </c>
      <c r="F2170" s="16" t="s">
        <v>1285</v>
      </c>
      <c r="G2170" s="16" t="s">
        <v>563</v>
      </c>
      <c r="H2170" s="16" t="s">
        <v>1531</v>
      </c>
      <c r="I2170" s="16" t="s">
        <v>62</v>
      </c>
      <c r="J2170" s="16" t="s">
        <v>7458</v>
      </c>
      <c r="K2170" s="32" t="n">
        <v>3</v>
      </c>
      <c r="L2170" s="33" t="n">
        <v>46347</v>
      </c>
      <c r="M2170" s="33" t="n">
        <v>46349</v>
      </c>
      <c r="N2170" s="16" t="s">
        <v>7462</v>
      </c>
      <c r="O2170" s="16"/>
      <c r="P2170" s="16" t="str">
        <f aca="false">IF(AND(L2170&lt;=$D$2,M2170&gt;=$C$2),"Sí","")</f>
        <v/>
      </c>
      <c r="Q2170" s="18" t="str">
        <f aca="false">IF(COUNTIF(LOOKAHEAD!$A$5:$A$604,A2170)&gt;0,"En Lookahead",IF(P2170="Sí","INCORPORAR",""))</f>
        <v/>
      </c>
    </row>
    <row r="2171" customFormat="false" ht="15" hidden="false" customHeight="false" outlineLevel="0" collapsed="false">
      <c r="A2171" s="16" t="s">
        <v>7463</v>
      </c>
      <c r="B2171" s="16" t="n">
        <v>2166</v>
      </c>
      <c r="C2171" s="16" t="s">
        <v>7464</v>
      </c>
      <c r="D2171" s="16" t="n">
        <v>7</v>
      </c>
      <c r="E2171" s="37" t="s">
        <v>7465</v>
      </c>
      <c r="F2171" s="16" t="s">
        <v>1285</v>
      </c>
      <c r="G2171" s="16" t="s">
        <v>563</v>
      </c>
      <c r="H2171" s="16" t="s">
        <v>1531</v>
      </c>
      <c r="I2171" s="16" t="s">
        <v>62</v>
      </c>
      <c r="J2171" s="16" t="s">
        <v>7458</v>
      </c>
      <c r="K2171" s="32" t="n">
        <v>1</v>
      </c>
      <c r="L2171" s="33" t="n">
        <v>46350</v>
      </c>
      <c r="M2171" s="33" t="n">
        <v>46350</v>
      </c>
      <c r="N2171" s="16" t="s">
        <v>7466</v>
      </c>
      <c r="O2171" s="16"/>
      <c r="P2171" s="16" t="str">
        <f aca="false">IF(AND(L2171&lt;=$D$2,M2171&gt;=$C$2),"Sí","")</f>
        <v/>
      </c>
      <c r="Q2171" s="18" t="str">
        <f aca="false">IF(COUNTIF(LOOKAHEAD!$A$5:$A$604,A2171)&gt;0,"En Lookahead",IF(P2171="Sí","INCORPORAR",""))</f>
        <v/>
      </c>
    </row>
    <row r="2172" customFormat="false" ht="15" hidden="false" customHeight="false" outlineLevel="0" collapsed="false">
      <c r="A2172" s="16" t="s">
        <v>7467</v>
      </c>
      <c r="B2172" s="16" t="n">
        <v>2167</v>
      </c>
      <c r="C2172" s="16" t="s">
        <v>7468</v>
      </c>
      <c r="D2172" s="16" t="n">
        <v>7</v>
      </c>
      <c r="E2172" s="37" t="s">
        <v>7469</v>
      </c>
      <c r="F2172" s="16" t="s">
        <v>1285</v>
      </c>
      <c r="G2172" s="16" t="s">
        <v>563</v>
      </c>
      <c r="H2172" s="16" t="s">
        <v>1531</v>
      </c>
      <c r="I2172" s="16" t="s">
        <v>62</v>
      </c>
      <c r="J2172" s="16" t="s">
        <v>7458</v>
      </c>
      <c r="K2172" s="32" t="n">
        <v>1</v>
      </c>
      <c r="L2172" s="33" t="n">
        <v>46351</v>
      </c>
      <c r="M2172" s="33" t="n">
        <v>46351</v>
      </c>
      <c r="N2172" s="16" t="s">
        <v>7470</v>
      </c>
      <c r="O2172" s="16"/>
      <c r="P2172" s="16" t="str">
        <f aca="false">IF(AND(L2172&lt;=$D$2,M2172&gt;=$C$2),"Sí","")</f>
        <v/>
      </c>
      <c r="Q2172" s="18" t="str">
        <f aca="false">IF(COUNTIF(LOOKAHEAD!$A$5:$A$604,A2172)&gt;0,"En Lookahead",IF(P2172="Sí","INCORPORAR",""))</f>
        <v/>
      </c>
    </row>
    <row r="2173" customFormat="false" ht="15" hidden="false" customHeight="false" outlineLevel="0" collapsed="false">
      <c r="A2173" s="13" t="s">
        <v>7471</v>
      </c>
      <c r="B2173" s="13" t="n">
        <v>2168</v>
      </c>
      <c r="C2173" s="13" t="s">
        <v>7472</v>
      </c>
      <c r="D2173" s="13" t="n">
        <v>6</v>
      </c>
      <c r="E2173" s="36" t="s">
        <v>7473</v>
      </c>
      <c r="F2173" s="13" t="s">
        <v>1298</v>
      </c>
      <c r="G2173" s="13" t="s">
        <v>563</v>
      </c>
      <c r="H2173" s="13" t="s">
        <v>1531</v>
      </c>
      <c r="I2173" s="13" t="s">
        <v>62</v>
      </c>
      <c r="J2173" s="13" t="s">
        <v>7455</v>
      </c>
      <c r="K2173" s="30" t="n">
        <v>3</v>
      </c>
      <c r="L2173" s="31" t="n">
        <v>46352</v>
      </c>
      <c r="M2173" s="31" t="n">
        <v>46354</v>
      </c>
      <c r="N2173" s="13"/>
      <c r="O2173" s="13"/>
      <c r="P2173" s="13"/>
      <c r="Q2173" s="13"/>
    </row>
    <row r="2174" customFormat="false" ht="15" hidden="false" customHeight="false" outlineLevel="0" collapsed="false">
      <c r="A2174" s="16" t="s">
        <v>7474</v>
      </c>
      <c r="B2174" s="16" t="n">
        <v>2169</v>
      </c>
      <c r="C2174" s="16" t="s">
        <v>7475</v>
      </c>
      <c r="D2174" s="16" t="n">
        <v>7</v>
      </c>
      <c r="E2174" s="37" t="s">
        <v>7476</v>
      </c>
      <c r="F2174" s="16" t="s">
        <v>1285</v>
      </c>
      <c r="G2174" s="16" t="s">
        <v>563</v>
      </c>
      <c r="H2174" s="16" t="s">
        <v>1531</v>
      </c>
      <c r="I2174" s="16" t="s">
        <v>62</v>
      </c>
      <c r="J2174" s="16" t="s">
        <v>7473</v>
      </c>
      <c r="K2174" s="32" t="n">
        <v>1</v>
      </c>
      <c r="L2174" s="33" t="n">
        <v>46352</v>
      </c>
      <c r="M2174" s="33" t="n">
        <v>46352</v>
      </c>
      <c r="N2174" s="16" t="s">
        <v>7477</v>
      </c>
      <c r="O2174" s="16"/>
      <c r="P2174" s="16" t="str">
        <f aca="false">IF(AND(L2174&lt;=$D$2,M2174&gt;=$C$2),"Sí","")</f>
        <v/>
      </c>
      <c r="Q2174" s="18" t="str">
        <f aca="false">IF(COUNTIF(LOOKAHEAD!$A$5:$A$604,A2174)&gt;0,"En Lookahead",IF(P2174="Sí","INCORPORAR",""))</f>
        <v/>
      </c>
    </row>
    <row r="2175" customFormat="false" ht="15" hidden="false" customHeight="false" outlineLevel="0" collapsed="false">
      <c r="A2175" s="16" t="s">
        <v>7478</v>
      </c>
      <c r="B2175" s="16" t="n">
        <v>2170</v>
      </c>
      <c r="C2175" s="16" t="s">
        <v>7479</v>
      </c>
      <c r="D2175" s="16" t="n">
        <v>7</v>
      </c>
      <c r="E2175" s="37" t="s">
        <v>7480</v>
      </c>
      <c r="F2175" s="16" t="s">
        <v>1285</v>
      </c>
      <c r="G2175" s="16" t="s">
        <v>563</v>
      </c>
      <c r="H2175" s="16" t="s">
        <v>1531</v>
      </c>
      <c r="I2175" s="16" t="s">
        <v>62</v>
      </c>
      <c r="J2175" s="16" t="s">
        <v>7473</v>
      </c>
      <c r="K2175" s="32" t="n">
        <v>2</v>
      </c>
      <c r="L2175" s="33" t="n">
        <v>46353</v>
      </c>
      <c r="M2175" s="33" t="n">
        <v>46354</v>
      </c>
      <c r="N2175" s="16" t="s">
        <v>7481</v>
      </c>
      <c r="O2175" s="16"/>
      <c r="P2175" s="16" t="str">
        <f aca="false">IF(AND(L2175&lt;=$D$2,M2175&gt;=$C$2),"Sí","")</f>
        <v/>
      </c>
      <c r="Q2175" s="18" t="str">
        <f aca="false">IF(COUNTIF(LOOKAHEAD!$A$5:$A$604,A2175)&gt;0,"En Lookahead",IF(P2175="Sí","INCORPORAR",""))</f>
        <v/>
      </c>
    </row>
    <row r="2176" customFormat="false" ht="15" hidden="false" customHeight="false" outlineLevel="0" collapsed="false">
      <c r="A2176" s="13" t="s">
        <v>7482</v>
      </c>
      <c r="B2176" s="13" t="n">
        <v>2171</v>
      </c>
      <c r="C2176" s="13" t="s">
        <v>7483</v>
      </c>
      <c r="D2176" s="13" t="n">
        <v>4</v>
      </c>
      <c r="E2176" s="20" t="s">
        <v>2225</v>
      </c>
      <c r="F2176" s="13" t="s">
        <v>1298</v>
      </c>
      <c r="G2176" s="13" t="s">
        <v>563</v>
      </c>
      <c r="H2176" s="13" t="s">
        <v>2225</v>
      </c>
      <c r="I2176" s="13" t="s">
        <v>68</v>
      </c>
      <c r="J2176" s="13" t="s">
        <v>7172</v>
      </c>
      <c r="K2176" s="30" t="n">
        <v>389</v>
      </c>
      <c r="L2176" s="31" t="n">
        <v>46104</v>
      </c>
      <c r="M2176" s="31" t="n">
        <v>46572</v>
      </c>
      <c r="N2176" s="13"/>
      <c r="O2176" s="13"/>
      <c r="P2176" s="13"/>
      <c r="Q2176" s="13"/>
    </row>
    <row r="2177" customFormat="false" ht="15" hidden="false" customHeight="false" outlineLevel="0" collapsed="false">
      <c r="A2177" s="13" t="s">
        <v>7484</v>
      </c>
      <c r="B2177" s="13" t="n">
        <v>2172</v>
      </c>
      <c r="C2177" s="13" t="s">
        <v>7485</v>
      </c>
      <c r="D2177" s="13" t="n">
        <v>5</v>
      </c>
      <c r="E2177" s="34" t="s">
        <v>7177</v>
      </c>
      <c r="F2177" s="13" t="s">
        <v>1298</v>
      </c>
      <c r="G2177" s="13" t="s">
        <v>563</v>
      </c>
      <c r="H2177" s="13" t="s">
        <v>2225</v>
      </c>
      <c r="I2177" s="13" t="s">
        <v>68</v>
      </c>
      <c r="J2177" s="13" t="s">
        <v>2225</v>
      </c>
      <c r="K2177" s="30" t="n">
        <v>171</v>
      </c>
      <c r="L2177" s="31" t="n">
        <v>46104</v>
      </c>
      <c r="M2177" s="31" t="n">
        <v>46354</v>
      </c>
      <c r="N2177" s="13"/>
      <c r="O2177" s="13"/>
      <c r="P2177" s="13"/>
      <c r="Q2177" s="13"/>
    </row>
    <row r="2178" customFormat="false" ht="15" hidden="false" customHeight="false" outlineLevel="0" collapsed="false">
      <c r="A2178" s="16" t="s">
        <v>7486</v>
      </c>
      <c r="B2178" s="16" t="n">
        <v>2173</v>
      </c>
      <c r="C2178" s="16" t="s">
        <v>7487</v>
      </c>
      <c r="D2178" s="16" t="n">
        <v>6</v>
      </c>
      <c r="E2178" s="35" t="s">
        <v>7180</v>
      </c>
      <c r="F2178" s="16" t="s">
        <v>1285</v>
      </c>
      <c r="G2178" s="16" t="s">
        <v>563</v>
      </c>
      <c r="H2178" s="16" t="s">
        <v>2225</v>
      </c>
      <c r="I2178" s="16" t="s">
        <v>68</v>
      </c>
      <c r="J2178" s="16" t="s">
        <v>7177</v>
      </c>
      <c r="K2178" s="32" t="n">
        <v>20</v>
      </c>
      <c r="L2178" s="33" t="n">
        <v>46104</v>
      </c>
      <c r="M2178" s="33" t="n">
        <v>46123</v>
      </c>
      <c r="N2178" s="16" t="s">
        <v>2569</v>
      </c>
      <c r="O2178" s="16"/>
      <c r="P2178" s="16" t="str">
        <f aca="false">IF(AND(L2178&lt;=$D$2,M2178&gt;=$C$2),"Sí","")</f>
        <v/>
      </c>
      <c r="Q2178" s="18" t="str">
        <f aca="false">IF(COUNTIF(LOOKAHEAD!$A$5:$A$604,A2178)&gt;0,"En Lookahead",IF(P2178="Sí","INCORPORAR",""))</f>
        <v/>
      </c>
    </row>
    <row r="2179" customFormat="false" ht="15" hidden="false" customHeight="false" outlineLevel="0" collapsed="false">
      <c r="A2179" s="16" t="s">
        <v>7488</v>
      </c>
      <c r="B2179" s="16" t="n">
        <v>2174</v>
      </c>
      <c r="C2179" s="16" t="s">
        <v>7489</v>
      </c>
      <c r="D2179" s="16" t="n">
        <v>6</v>
      </c>
      <c r="E2179" s="35" t="s">
        <v>7183</v>
      </c>
      <c r="F2179" s="16" t="s">
        <v>1285</v>
      </c>
      <c r="G2179" s="16" t="s">
        <v>563</v>
      </c>
      <c r="H2179" s="16" t="s">
        <v>2225</v>
      </c>
      <c r="I2179" s="16" t="s">
        <v>68</v>
      </c>
      <c r="J2179" s="16" t="s">
        <v>7177</v>
      </c>
      <c r="K2179" s="32" t="n">
        <v>7</v>
      </c>
      <c r="L2179" s="33" t="n">
        <v>46124</v>
      </c>
      <c r="M2179" s="33" t="n">
        <v>46130</v>
      </c>
      <c r="N2179" s="16" t="s">
        <v>2701</v>
      </c>
      <c r="O2179" s="16"/>
      <c r="P2179" s="16" t="str">
        <f aca="false">IF(AND(L2179&lt;=$D$2,M2179&gt;=$C$2),"Sí","")</f>
        <v/>
      </c>
      <c r="Q2179" s="18" t="str">
        <f aca="false">IF(COUNTIF(LOOKAHEAD!$A$5:$A$604,A2179)&gt;0,"En Lookahead",IF(P2179="Sí","INCORPORAR",""))</f>
        <v/>
      </c>
    </row>
    <row r="2180" customFormat="false" ht="15" hidden="false" customHeight="false" outlineLevel="0" collapsed="false">
      <c r="A2180" s="16" t="s">
        <v>7490</v>
      </c>
      <c r="B2180" s="16" t="n">
        <v>2175</v>
      </c>
      <c r="C2180" s="16" t="s">
        <v>7491</v>
      </c>
      <c r="D2180" s="16" t="n">
        <v>6</v>
      </c>
      <c r="E2180" s="35" t="s">
        <v>7186</v>
      </c>
      <c r="F2180" s="16" t="s">
        <v>1285</v>
      </c>
      <c r="G2180" s="16" t="s">
        <v>563</v>
      </c>
      <c r="H2180" s="16" t="s">
        <v>2225</v>
      </c>
      <c r="I2180" s="16" t="s">
        <v>68</v>
      </c>
      <c r="J2180" s="16" t="s">
        <v>7177</v>
      </c>
      <c r="K2180" s="32" t="n">
        <v>34</v>
      </c>
      <c r="L2180" s="33" t="n">
        <v>46131</v>
      </c>
      <c r="M2180" s="33" t="n">
        <v>46244</v>
      </c>
      <c r="N2180" s="16" t="s">
        <v>7492</v>
      </c>
      <c r="O2180" s="16"/>
      <c r="P2180" s="16" t="str">
        <f aca="false">IF(AND(L2180&lt;=$D$2,M2180&gt;=$C$2),"Sí","")</f>
        <v/>
      </c>
      <c r="Q2180" s="18" t="str">
        <f aca="false">IF(COUNTIF(LOOKAHEAD!$A$5:$A$604,A2180)&gt;0,"En Lookahead",IF(P2180="Sí","INCORPORAR",""))</f>
        <v/>
      </c>
    </row>
    <row r="2181" customFormat="false" ht="15" hidden="false" customHeight="false" outlineLevel="0" collapsed="false">
      <c r="A2181" s="16" t="s">
        <v>7493</v>
      </c>
      <c r="B2181" s="16" t="n">
        <v>2176</v>
      </c>
      <c r="C2181" s="16" t="s">
        <v>7494</v>
      </c>
      <c r="D2181" s="16" t="n">
        <v>6</v>
      </c>
      <c r="E2181" s="35" t="s">
        <v>7190</v>
      </c>
      <c r="F2181" s="16" t="s">
        <v>1285</v>
      </c>
      <c r="G2181" s="16" t="s">
        <v>563</v>
      </c>
      <c r="H2181" s="16" t="s">
        <v>2225</v>
      </c>
      <c r="I2181" s="16" t="s">
        <v>68</v>
      </c>
      <c r="J2181" s="16" t="s">
        <v>7177</v>
      </c>
      <c r="K2181" s="32" t="n">
        <v>6</v>
      </c>
      <c r="L2181" s="33" t="n">
        <v>46330</v>
      </c>
      <c r="M2181" s="33" t="n">
        <v>46335</v>
      </c>
      <c r="N2181" s="16" t="s">
        <v>7495</v>
      </c>
      <c r="O2181" s="16"/>
      <c r="P2181" s="16" t="str">
        <f aca="false">IF(AND(L2181&lt;=$D$2,M2181&gt;=$C$2),"Sí","")</f>
        <v>Sí</v>
      </c>
      <c r="Q2181" s="18" t="str">
        <f aca="false">IF(COUNTIF(LOOKAHEAD!$A$5:$A$604,A2181)&gt;0,"En Lookahead",IF(P2181="Sí","INCORPORAR",""))</f>
        <v>En Lookahead</v>
      </c>
    </row>
    <row r="2182" customFormat="false" ht="15" hidden="false" customHeight="false" outlineLevel="0" collapsed="false">
      <c r="A2182" s="16" t="s">
        <v>7496</v>
      </c>
      <c r="B2182" s="16" t="n">
        <v>2177</v>
      </c>
      <c r="C2182" s="16" t="s">
        <v>7497</v>
      </c>
      <c r="D2182" s="16" t="n">
        <v>6</v>
      </c>
      <c r="E2182" s="35" t="s">
        <v>7194</v>
      </c>
      <c r="F2182" s="16" t="s">
        <v>1285</v>
      </c>
      <c r="G2182" s="16" t="s">
        <v>563</v>
      </c>
      <c r="H2182" s="16" t="s">
        <v>2225</v>
      </c>
      <c r="I2182" s="16" t="s">
        <v>68</v>
      </c>
      <c r="J2182" s="16" t="s">
        <v>7177</v>
      </c>
      <c r="K2182" s="32" t="n">
        <v>2</v>
      </c>
      <c r="L2182" s="33" t="n">
        <v>46336</v>
      </c>
      <c r="M2182" s="33" t="n">
        <v>46337</v>
      </c>
      <c r="N2182" s="16" t="s">
        <v>7498</v>
      </c>
      <c r="O2182" s="16"/>
      <c r="P2182" s="16" t="str">
        <f aca="false">IF(AND(L2182&lt;=$D$2,M2182&gt;=$C$2),"Sí","")</f>
        <v>Sí</v>
      </c>
      <c r="Q2182" s="18" t="str">
        <f aca="false">IF(COUNTIF(LOOKAHEAD!$A$5:$A$604,A2182)&gt;0,"En Lookahead",IF(P2182="Sí","INCORPORAR",""))</f>
        <v>En Lookahead</v>
      </c>
    </row>
    <row r="2183" customFormat="false" ht="15" hidden="false" customHeight="false" outlineLevel="0" collapsed="false">
      <c r="A2183" s="16" t="s">
        <v>7499</v>
      </c>
      <c r="B2183" s="16" t="n">
        <v>2178</v>
      </c>
      <c r="C2183" s="16" t="s">
        <v>7500</v>
      </c>
      <c r="D2183" s="16" t="n">
        <v>6</v>
      </c>
      <c r="E2183" s="35" t="s">
        <v>7501</v>
      </c>
      <c r="F2183" s="16" t="s">
        <v>1285</v>
      </c>
      <c r="G2183" s="16" t="s">
        <v>563</v>
      </c>
      <c r="H2183" s="16" t="s">
        <v>2225</v>
      </c>
      <c r="I2183" s="16" t="s">
        <v>68</v>
      </c>
      <c r="J2183" s="16" t="s">
        <v>7177</v>
      </c>
      <c r="K2183" s="32" t="n">
        <v>3</v>
      </c>
      <c r="L2183" s="33" t="n">
        <v>46338</v>
      </c>
      <c r="M2183" s="33" t="n">
        <v>46340</v>
      </c>
      <c r="N2183" s="16" t="s">
        <v>7502</v>
      </c>
      <c r="O2183" s="16"/>
      <c r="P2183" s="16" t="str">
        <f aca="false">IF(AND(L2183&lt;=$D$2,M2183&gt;=$C$2),"Sí","")</f>
        <v>Sí</v>
      </c>
      <c r="Q2183" s="18" t="str">
        <f aca="false">IF(COUNTIF(LOOKAHEAD!$A$5:$A$604,A2183)&gt;0,"En Lookahead",IF(P2183="Sí","INCORPORAR",""))</f>
        <v>En Lookahead</v>
      </c>
    </row>
    <row r="2184" customFormat="false" ht="15" hidden="false" customHeight="false" outlineLevel="0" collapsed="false">
      <c r="A2184" s="16" t="s">
        <v>7503</v>
      </c>
      <c r="B2184" s="16" t="n">
        <v>2179</v>
      </c>
      <c r="C2184" s="16" t="s">
        <v>7504</v>
      </c>
      <c r="D2184" s="16" t="n">
        <v>6</v>
      </c>
      <c r="E2184" s="35" t="s">
        <v>7202</v>
      </c>
      <c r="F2184" s="16" t="s">
        <v>1285</v>
      </c>
      <c r="G2184" s="16" t="s">
        <v>563</v>
      </c>
      <c r="H2184" s="16" t="s">
        <v>2225</v>
      </c>
      <c r="I2184" s="16" t="s">
        <v>68</v>
      </c>
      <c r="J2184" s="16" t="s">
        <v>7177</v>
      </c>
      <c r="K2184" s="32" t="n">
        <v>6</v>
      </c>
      <c r="L2184" s="33" t="n">
        <v>46341</v>
      </c>
      <c r="M2184" s="33" t="n">
        <v>46346</v>
      </c>
      <c r="N2184" s="16" t="s">
        <v>7505</v>
      </c>
      <c r="O2184" s="16"/>
      <c r="P2184" s="16" t="str">
        <f aca="false">IF(AND(L2184&lt;=$D$2,M2184&gt;=$C$2),"Sí","")</f>
        <v>Sí</v>
      </c>
      <c r="Q2184" s="18" t="str">
        <f aca="false">IF(COUNTIF(LOOKAHEAD!$A$5:$A$604,A2184)&gt;0,"En Lookahead",IF(P2184="Sí","INCORPORAR",""))</f>
        <v>En Lookahead</v>
      </c>
    </row>
    <row r="2185" customFormat="false" ht="15" hidden="false" customHeight="false" outlineLevel="0" collapsed="false">
      <c r="A2185" s="16" t="s">
        <v>7506</v>
      </c>
      <c r="B2185" s="16" t="n">
        <v>2180</v>
      </c>
      <c r="C2185" s="16" t="s">
        <v>7507</v>
      </c>
      <c r="D2185" s="16" t="n">
        <v>6</v>
      </c>
      <c r="E2185" s="35" t="s">
        <v>7508</v>
      </c>
      <c r="F2185" s="16" t="s">
        <v>1285</v>
      </c>
      <c r="G2185" s="16" t="s">
        <v>563</v>
      </c>
      <c r="H2185" s="16" t="s">
        <v>2225</v>
      </c>
      <c r="I2185" s="16" t="s">
        <v>68</v>
      </c>
      <c r="J2185" s="16" t="s">
        <v>7177</v>
      </c>
      <c r="K2185" s="32" t="n">
        <v>7</v>
      </c>
      <c r="L2185" s="33" t="n">
        <v>46347</v>
      </c>
      <c r="M2185" s="33" t="n">
        <v>46353</v>
      </c>
      <c r="N2185" s="16" t="s">
        <v>7509</v>
      </c>
      <c r="O2185" s="16"/>
      <c r="P2185" s="16" t="str">
        <f aca="false">IF(AND(L2185&lt;=$D$2,M2185&gt;=$C$2),"Sí","")</f>
        <v/>
      </c>
      <c r="Q2185" s="18" t="str">
        <f aca="false">IF(COUNTIF(LOOKAHEAD!$A$5:$A$604,A2185)&gt;0,"En Lookahead",IF(P2185="Sí","INCORPORAR",""))</f>
        <v/>
      </c>
    </row>
    <row r="2186" customFormat="false" ht="15" hidden="false" customHeight="false" outlineLevel="0" collapsed="false">
      <c r="A2186" s="16" t="s">
        <v>7510</v>
      </c>
      <c r="B2186" s="16" t="n">
        <v>2181</v>
      </c>
      <c r="C2186" s="16" t="s">
        <v>7511</v>
      </c>
      <c r="D2186" s="16" t="n">
        <v>6</v>
      </c>
      <c r="E2186" s="35" t="s">
        <v>7512</v>
      </c>
      <c r="F2186" s="16" t="s">
        <v>1285</v>
      </c>
      <c r="G2186" s="16" t="s">
        <v>563</v>
      </c>
      <c r="H2186" s="16" t="s">
        <v>2225</v>
      </c>
      <c r="I2186" s="16" t="s">
        <v>68</v>
      </c>
      <c r="J2186" s="16" t="s">
        <v>7177</v>
      </c>
      <c r="K2186" s="32" t="n">
        <v>1</v>
      </c>
      <c r="L2186" s="33" t="n">
        <v>46354</v>
      </c>
      <c r="M2186" s="33" t="n">
        <v>46354</v>
      </c>
      <c r="N2186" s="16" t="s">
        <v>7513</v>
      </c>
      <c r="O2186" s="16"/>
      <c r="P2186" s="16" t="str">
        <f aca="false">IF(AND(L2186&lt;=$D$2,M2186&gt;=$C$2),"Sí","")</f>
        <v/>
      </c>
      <c r="Q2186" s="18" t="str">
        <f aca="false">IF(COUNTIF(LOOKAHEAD!$A$5:$A$604,A2186)&gt;0,"En Lookahead",IF(P2186="Sí","INCORPORAR",""))</f>
        <v/>
      </c>
    </row>
    <row r="2187" customFormat="false" ht="15" hidden="false" customHeight="false" outlineLevel="0" collapsed="false">
      <c r="A2187" s="13" t="s">
        <v>7514</v>
      </c>
      <c r="B2187" s="13" t="n">
        <v>2182</v>
      </c>
      <c r="C2187" s="13" t="s">
        <v>7515</v>
      </c>
      <c r="D2187" s="13" t="n">
        <v>5</v>
      </c>
      <c r="E2187" s="34" t="s">
        <v>7206</v>
      </c>
      <c r="F2187" s="13" t="s">
        <v>1298</v>
      </c>
      <c r="G2187" s="13" t="s">
        <v>563</v>
      </c>
      <c r="H2187" s="13" t="s">
        <v>2225</v>
      </c>
      <c r="I2187" s="13" t="s">
        <v>68</v>
      </c>
      <c r="J2187" s="13" t="s">
        <v>2225</v>
      </c>
      <c r="K2187" s="30" t="n">
        <v>185</v>
      </c>
      <c r="L2187" s="31" t="n">
        <v>46131</v>
      </c>
      <c r="M2187" s="31" t="n">
        <v>46395</v>
      </c>
      <c r="N2187" s="13"/>
      <c r="O2187" s="13"/>
      <c r="P2187" s="13"/>
      <c r="Q2187" s="13"/>
    </row>
    <row r="2188" customFormat="false" ht="15" hidden="false" customHeight="false" outlineLevel="0" collapsed="false">
      <c r="A2188" s="16" t="s">
        <v>7516</v>
      </c>
      <c r="B2188" s="16" t="n">
        <v>2183</v>
      </c>
      <c r="C2188" s="16" t="s">
        <v>7517</v>
      </c>
      <c r="D2188" s="16" t="n">
        <v>6</v>
      </c>
      <c r="E2188" s="35" t="s">
        <v>7209</v>
      </c>
      <c r="F2188" s="16" t="s">
        <v>1285</v>
      </c>
      <c r="G2188" s="16" t="s">
        <v>563</v>
      </c>
      <c r="H2188" s="16" t="s">
        <v>2225</v>
      </c>
      <c r="I2188" s="16" t="s">
        <v>68</v>
      </c>
      <c r="J2188" s="16" t="s">
        <v>7206</v>
      </c>
      <c r="K2188" s="32" t="n">
        <v>15</v>
      </c>
      <c r="L2188" s="33" t="n">
        <v>46131</v>
      </c>
      <c r="M2188" s="33" t="n">
        <v>46145</v>
      </c>
      <c r="N2188" s="16" t="s">
        <v>7492</v>
      </c>
      <c r="O2188" s="16"/>
      <c r="P2188" s="16" t="str">
        <f aca="false">IF(AND(L2188&lt;=$D$2,M2188&gt;=$C$2),"Sí","")</f>
        <v/>
      </c>
      <c r="Q2188" s="18" t="str">
        <f aca="false">IF(COUNTIF(LOOKAHEAD!$A$5:$A$604,A2188)&gt;0,"En Lookahead",IF(P2188="Sí","INCORPORAR",""))</f>
        <v/>
      </c>
    </row>
    <row r="2189" customFormat="false" ht="15" hidden="false" customHeight="false" outlineLevel="0" collapsed="false">
      <c r="A2189" s="16" t="s">
        <v>7518</v>
      </c>
      <c r="B2189" s="16" t="n">
        <v>2184</v>
      </c>
      <c r="C2189" s="16" t="s">
        <v>7519</v>
      </c>
      <c r="D2189" s="16" t="n">
        <v>6</v>
      </c>
      <c r="E2189" s="35" t="s">
        <v>7212</v>
      </c>
      <c r="F2189" s="16" t="s">
        <v>1285</v>
      </c>
      <c r="G2189" s="16" t="s">
        <v>563</v>
      </c>
      <c r="H2189" s="16" t="s">
        <v>2225</v>
      </c>
      <c r="I2189" s="16" t="s">
        <v>68</v>
      </c>
      <c r="J2189" s="16" t="s">
        <v>7206</v>
      </c>
      <c r="K2189" s="32" t="n">
        <v>10</v>
      </c>
      <c r="L2189" s="33" t="n">
        <v>46346</v>
      </c>
      <c r="M2189" s="33" t="n">
        <v>46355</v>
      </c>
      <c r="N2189" s="16" t="s">
        <v>7520</v>
      </c>
      <c r="O2189" s="16"/>
      <c r="P2189" s="16" t="str">
        <f aca="false">IF(AND(L2189&lt;=$D$2,M2189&gt;=$C$2),"Sí","")</f>
        <v/>
      </c>
      <c r="Q2189" s="18" t="str">
        <f aca="false">IF(COUNTIF(LOOKAHEAD!$A$5:$A$604,A2189)&gt;0,"En Lookahead",IF(P2189="Sí","INCORPORAR",""))</f>
        <v/>
      </c>
    </row>
    <row r="2190" customFormat="false" ht="15" hidden="false" customHeight="false" outlineLevel="0" collapsed="false">
      <c r="A2190" s="16" t="s">
        <v>7521</v>
      </c>
      <c r="B2190" s="16" t="n">
        <v>2185</v>
      </c>
      <c r="C2190" s="16" t="s">
        <v>7522</v>
      </c>
      <c r="D2190" s="16" t="n">
        <v>6</v>
      </c>
      <c r="E2190" s="35" t="s">
        <v>7224</v>
      </c>
      <c r="F2190" s="16" t="s">
        <v>1285</v>
      </c>
      <c r="G2190" s="16" t="s">
        <v>563</v>
      </c>
      <c r="H2190" s="16" t="s">
        <v>2225</v>
      </c>
      <c r="I2190" s="16" t="s">
        <v>68</v>
      </c>
      <c r="J2190" s="16" t="s">
        <v>7206</v>
      </c>
      <c r="K2190" s="32" t="n">
        <v>6</v>
      </c>
      <c r="L2190" s="33" t="n">
        <v>46356</v>
      </c>
      <c r="M2190" s="33" t="n">
        <v>46361</v>
      </c>
      <c r="N2190" s="16" t="s">
        <v>7523</v>
      </c>
      <c r="O2190" s="16"/>
      <c r="P2190" s="16" t="str">
        <f aca="false">IF(AND(L2190&lt;=$D$2,M2190&gt;=$C$2),"Sí","")</f>
        <v/>
      </c>
      <c r="Q2190" s="18" t="str">
        <f aca="false">IF(COUNTIF(LOOKAHEAD!$A$5:$A$604,A2190)&gt;0,"En Lookahead",IF(P2190="Sí","INCORPORAR",""))</f>
        <v/>
      </c>
    </row>
    <row r="2191" customFormat="false" ht="15" hidden="false" customHeight="false" outlineLevel="0" collapsed="false">
      <c r="A2191" s="16" t="s">
        <v>7524</v>
      </c>
      <c r="B2191" s="16" t="n">
        <v>2186</v>
      </c>
      <c r="C2191" s="16" t="s">
        <v>7525</v>
      </c>
      <c r="D2191" s="16" t="n">
        <v>6</v>
      </c>
      <c r="E2191" s="35" t="s">
        <v>7228</v>
      </c>
      <c r="F2191" s="16" t="s">
        <v>1285</v>
      </c>
      <c r="G2191" s="16" t="s">
        <v>563</v>
      </c>
      <c r="H2191" s="16" t="s">
        <v>2225</v>
      </c>
      <c r="I2191" s="16" t="s">
        <v>68</v>
      </c>
      <c r="J2191" s="16" t="s">
        <v>7206</v>
      </c>
      <c r="K2191" s="32" t="n">
        <v>9</v>
      </c>
      <c r="L2191" s="33" t="n">
        <v>46355</v>
      </c>
      <c r="M2191" s="33" t="n">
        <v>46363</v>
      </c>
      <c r="N2191" s="16" t="s">
        <v>7526</v>
      </c>
      <c r="O2191" s="16"/>
      <c r="P2191" s="16" t="str">
        <f aca="false">IF(AND(L2191&lt;=$D$2,M2191&gt;=$C$2),"Sí","")</f>
        <v/>
      </c>
      <c r="Q2191" s="18" t="str">
        <f aca="false">IF(COUNTIF(LOOKAHEAD!$A$5:$A$604,A2191)&gt;0,"En Lookahead",IF(P2191="Sí","INCORPORAR",""))</f>
        <v/>
      </c>
    </row>
    <row r="2192" customFormat="false" ht="15" hidden="false" customHeight="false" outlineLevel="0" collapsed="false">
      <c r="A2192" s="16" t="s">
        <v>7527</v>
      </c>
      <c r="B2192" s="16" t="n">
        <v>2187</v>
      </c>
      <c r="C2192" s="16" t="s">
        <v>7528</v>
      </c>
      <c r="D2192" s="16" t="n">
        <v>6</v>
      </c>
      <c r="E2192" s="35" t="s">
        <v>7232</v>
      </c>
      <c r="F2192" s="16" t="s">
        <v>1285</v>
      </c>
      <c r="G2192" s="16" t="s">
        <v>563</v>
      </c>
      <c r="H2192" s="16" t="s">
        <v>2225</v>
      </c>
      <c r="I2192" s="16" t="s">
        <v>68</v>
      </c>
      <c r="J2192" s="16" t="s">
        <v>7206</v>
      </c>
      <c r="K2192" s="32" t="n">
        <v>10</v>
      </c>
      <c r="L2192" s="33" t="n">
        <v>46356</v>
      </c>
      <c r="M2192" s="33" t="n">
        <v>46365</v>
      </c>
      <c r="N2192" s="16" t="s">
        <v>7529</v>
      </c>
      <c r="O2192" s="16"/>
      <c r="P2192" s="16" t="str">
        <f aca="false">IF(AND(L2192&lt;=$D$2,M2192&gt;=$C$2),"Sí","")</f>
        <v/>
      </c>
      <c r="Q2192" s="18" t="str">
        <f aca="false">IF(COUNTIF(LOOKAHEAD!$A$5:$A$604,A2192)&gt;0,"En Lookahead",IF(P2192="Sí","INCORPORAR",""))</f>
        <v/>
      </c>
    </row>
    <row r="2193" customFormat="false" ht="15" hidden="false" customHeight="false" outlineLevel="0" collapsed="false">
      <c r="A2193" s="16" t="s">
        <v>7530</v>
      </c>
      <c r="B2193" s="16" t="n">
        <v>2188</v>
      </c>
      <c r="C2193" s="16" t="s">
        <v>7531</v>
      </c>
      <c r="D2193" s="16" t="n">
        <v>6</v>
      </c>
      <c r="E2193" s="35" t="s">
        <v>7532</v>
      </c>
      <c r="F2193" s="16" t="s">
        <v>1285</v>
      </c>
      <c r="G2193" s="16" t="s">
        <v>563</v>
      </c>
      <c r="H2193" s="16" t="s">
        <v>2225</v>
      </c>
      <c r="I2193" s="16" t="s">
        <v>68</v>
      </c>
      <c r="J2193" s="16" t="s">
        <v>7206</v>
      </c>
      <c r="K2193" s="32" t="n">
        <v>8</v>
      </c>
      <c r="L2193" s="33" t="n">
        <v>46366</v>
      </c>
      <c r="M2193" s="33" t="n">
        <v>46373</v>
      </c>
      <c r="N2193" s="16" t="s">
        <v>7533</v>
      </c>
      <c r="O2193" s="16"/>
      <c r="P2193" s="16" t="str">
        <f aca="false">IF(AND(L2193&lt;=$D$2,M2193&gt;=$C$2),"Sí","")</f>
        <v/>
      </c>
      <c r="Q2193" s="18" t="str">
        <f aca="false">IF(COUNTIF(LOOKAHEAD!$A$5:$A$604,A2193)&gt;0,"En Lookahead",IF(P2193="Sí","INCORPORAR",""))</f>
        <v/>
      </c>
    </row>
    <row r="2194" customFormat="false" ht="15" hidden="false" customHeight="false" outlineLevel="0" collapsed="false">
      <c r="A2194" s="16" t="s">
        <v>7534</v>
      </c>
      <c r="B2194" s="16" t="n">
        <v>2189</v>
      </c>
      <c r="C2194" s="16" t="s">
        <v>7535</v>
      </c>
      <c r="D2194" s="16" t="n">
        <v>6</v>
      </c>
      <c r="E2194" s="35" t="s">
        <v>7536</v>
      </c>
      <c r="F2194" s="16" t="s">
        <v>1285</v>
      </c>
      <c r="G2194" s="16" t="s">
        <v>563</v>
      </c>
      <c r="H2194" s="16" t="s">
        <v>2225</v>
      </c>
      <c r="I2194" s="16" t="s">
        <v>68</v>
      </c>
      <c r="J2194" s="16" t="s">
        <v>7206</v>
      </c>
      <c r="K2194" s="32" t="n">
        <v>8</v>
      </c>
      <c r="L2194" s="33" t="n">
        <v>46374</v>
      </c>
      <c r="M2194" s="33" t="n">
        <v>46381</v>
      </c>
      <c r="N2194" s="16" t="s">
        <v>7537</v>
      </c>
      <c r="O2194" s="16"/>
      <c r="P2194" s="16" t="str">
        <f aca="false">IF(AND(L2194&lt;=$D$2,M2194&gt;=$C$2),"Sí","")</f>
        <v/>
      </c>
      <c r="Q2194" s="18" t="str">
        <f aca="false">IF(COUNTIF(LOOKAHEAD!$A$5:$A$604,A2194)&gt;0,"En Lookahead",IF(P2194="Sí","INCORPORAR",""))</f>
        <v/>
      </c>
    </row>
    <row r="2195" customFormat="false" ht="15" hidden="false" customHeight="false" outlineLevel="0" collapsed="false">
      <c r="A2195" s="16" t="s">
        <v>7538</v>
      </c>
      <c r="B2195" s="16" t="n">
        <v>2190</v>
      </c>
      <c r="C2195" s="16" t="s">
        <v>7539</v>
      </c>
      <c r="D2195" s="16" t="n">
        <v>6</v>
      </c>
      <c r="E2195" s="35" t="s">
        <v>7216</v>
      </c>
      <c r="F2195" s="16" t="s">
        <v>1285</v>
      </c>
      <c r="G2195" s="16" t="s">
        <v>563</v>
      </c>
      <c r="H2195" s="16" t="s">
        <v>2225</v>
      </c>
      <c r="I2195" s="16" t="s">
        <v>68</v>
      </c>
      <c r="J2195" s="16" t="s">
        <v>7206</v>
      </c>
      <c r="K2195" s="32" t="n">
        <v>7</v>
      </c>
      <c r="L2195" s="33" t="n">
        <v>46382</v>
      </c>
      <c r="M2195" s="33" t="n">
        <v>46388</v>
      </c>
      <c r="N2195" s="16" t="s">
        <v>7540</v>
      </c>
      <c r="O2195" s="16"/>
      <c r="P2195" s="16" t="str">
        <f aca="false">IF(AND(L2195&lt;=$D$2,M2195&gt;=$C$2),"Sí","")</f>
        <v/>
      </c>
      <c r="Q2195" s="18" t="str">
        <f aca="false">IF(COUNTIF(LOOKAHEAD!$A$5:$A$604,A2195)&gt;0,"En Lookahead",IF(P2195="Sí","INCORPORAR",""))</f>
        <v/>
      </c>
    </row>
    <row r="2196" customFormat="false" ht="15" hidden="false" customHeight="false" outlineLevel="0" collapsed="false">
      <c r="A2196" s="16" t="s">
        <v>7541</v>
      </c>
      <c r="B2196" s="16" t="n">
        <v>2191</v>
      </c>
      <c r="C2196" s="16" t="s">
        <v>7542</v>
      </c>
      <c r="D2196" s="16" t="n">
        <v>6</v>
      </c>
      <c r="E2196" s="35" t="s">
        <v>7220</v>
      </c>
      <c r="F2196" s="16" t="s">
        <v>1285</v>
      </c>
      <c r="G2196" s="16" t="s">
        <v>563</v>
      </c>
      <c r="H2196" s="16" t="s">
        <v>2225</v>
      </c>
      <c r="I2196" s="16" t="s">
        <v>68</v>
      </c>
      <c r="J2196" s="16" t="s">
        <v>7206</v>
      </c>
      <c r="K2196" s="32" t="n">
        <v>7</v>
      </c>
      <c r="L2196" s="33" t="n">
        <v>46389</v>
      </c>
      <c r="M2196" s="33" t="n">
        <v>46395</v>
      </c>
      <c r="N2196" s="16" t="s">
        <v>7543</v>
      </c>
      <c r="O2196" s="16"/>
      <c r="P2196" s="16" t="str">
        <f aca="false">IF(AND(L2196&lt;=$D$2,M2196&gt;=$C$2),"Sí","")</f>
        <v/>
      </c>
      <c r="Q2196" s="18" t="str">
        <f aca="false">IF(COUNTIF(LOOKAHEAD!$A$5:$A$604,A2196)&gt;0,"En Lookahead",IF(P2196="Sí","INCORPORAR",""))</f>
        <v/>
      </c>
    </row>
    <row r="2197" customFormat="false" ht="15" hidden="false" customHeight="false" outlineLevel="0" collapsed="false">
      <c r="A2197" s="13" t="s">
        <v>7544</v>
      </c>
      <c r="B2197" s="13" t="n">
        <v>2192</v>
      </c>
      <c r="C2197" s="13" t="s">
        <v>7545</v>
      </c>
      <c r="D2197" s="13" t="n">
        <v>5</v>
      </c>
      <c r="E2197" s="34" t="s">
        <v>7236</v>
      </c>
      <c r="F2197" s="13" t="s">
        <v>1298</v>
      </c>
      <c r="G2197" s="13" t="s">
        <v>563</v>
      </c>
      <c r="H2197" s="13" t="s">
        <v>2225</v>
      </c>
      <c r="I2197" s="13" t="s">
        <v>68</v>
      </c>
      <c r="J2197" s="13" t="s">
        <v>2225</v>
      </c>
      <c r="K2197" s="30" t="n">
        <v>54</v>
      </c>
      <c r="L2197" s="31" t="n">
        <v>46356</v>
      </c>
      <c r="M2197" s="31" t="n">
        <v>46409</v>
      </c>
      <c r="N2197" s="13"/>
      <c r="O2197" s="13"/>
      <c r="P2197" s="13"/>
      <c r="Q2197" s="13"/>
    </row>
    <row r="2198" customFormat="false" ht="15" hidden="false" customHeight="false" outlineLevel="0" collapsed="false">
      <c r="A2198" s="16" t="s">
        <v>7546</v>
      </c>
      <c r="B2198" s="16" t="n">
        <v>2193</v>
      </c>
      <c r="C2198" s="16" t="s">
        <v>7547</v>
      </c>
      <c r="D2198" s="16" t="n">
        <v>6</v>
      </c>
      <c r="E2198" s="35" t="s">
        <v>7239</v>
      </c>
      <c r="F2198" s="16" t="s">
        <v>1285</v>
      </c>
      <c r="G2198" s="16" t="s">
        <v>563</v>
      </c>
      <c r="H2198" s="16" t="s">
        <v>2225</v>
      </c>
      <c r="I2198" s="16" t="s">
        <v>68</v>
      </c>
      <c r="J2198" s="16" t="s">
        <v>7236</v>
      </c>
      <c r="K2198" s="32" t="n">
        <v>21</v>
      </c>
      <c r="L2198" s="33" t="n">
        <v>46356</v>
      </c>
      <c r="M2198" s="33" t="n">
        <v>46376</v>
      </c>
      <c r="N2198" s="16" t="s">
        <v>7523</v>
      </c>
      <c r="O2198" s="16"/>
      <c r="P2198" s="16" t="str">
        <f aca="false">IF(AND(L2198&lt;=$D$2,M2198&gt;=$C$2),"Sí","")</f>
        <v/>
      </c>
      <c r="Q2198" s="18" t="str">
        <f aca="false">IF(COUNTIF(LOOKAHEAD!$A$5:$A$604,A2198)&gt;0,"En Lookahead",IF(P2198="Sí","INCORPORAR",""))</f>
        <v/>
      </c>
    </row>
    <row r="2199" customFormat="false" ht="15" hidden="false" customHeight="false" outlineLevel="0" collapsed="false">
      <c r="A2199" s="16" t="s">
        <v>7548</v>
      </c>
      <c r="B2199" s="16" t="n">
        <v>2194</v>
      </c>
      <c r="C2199" s="16" t="s">
        <v>7549</v>
      </c>
      <c r="D2199" s="16" t="n">
        <v>6</v>
      </c>
      <c r="E2199" s="35" t="s">
        <v>7242</v>
      </c>
      <c r="F2199" s="16" t="s">
        <v>1285</v>
      </c>
      <c r="G2199" s="16" t="s">
        <v>563</v>
      </c>
      <c r="H2199" s="16" t="s">
        <v>2225</v>
      </c>
      <c r="I2199" s="16" t="s">
        <v>68</v>
      </c>
      <c r="J2199" s="16" t="s">
        <v>7236</v>
      </c>
      <c r="K2199" s="32" t="n">
        <v>20</v>
      </c>
      <c r="L2199" s="33" t="n">
        <v>46377</v>
      </c>
      <c r="M2199" s="33" t="n">
        <v>46396</v>
      </c>
      <c r="N2199" s="16" t="s">
        <v>7550</v>
      </c>
      <c r="O2199" s="16"/>
      <c r="P2199" s="16" t="str">
        <f aca="false">IF(AND(L2199&lt;=$D$2,M2199&gt;=$C$2),"Sí","")</f>
        <v/>
      </c>
      <c r="Q2199" s="18" t="str">
        <f aca="false">IF(COUNTIF(LOOKAHEAD!$A$5:$A$604,A2199)&gt;0,"En Lookahead",IF(P2199="Sí","INCORPORAR",""))</f>
        <v/>
      </c>
    </row>
    <row r="2200" customFormat="false" ht="15" hidden="false" customHeight="false" outlineLevel="0" collapsed="false">
      <c r="A2200" s="16" t="s">
        <v>7551</v>
      </c>
      <c r="B2200" s="16" t="n">
        <v>2195</v>
      </c>
      <c r="C2200" s="16" t="s">
        <v>7552</v>
      </c>
      <c r="D2200" s="16" t="n">
        <v>6</v>
      </c>
      <c r="E2200" s="35" t="s">
        <v>7553</v>
      </c>
      <c r="F2200" s="16" t="s">
        <v>1285</v>
      </c>
      <c r="G2200" s="16" t="s">
        <v>563</v>
      </c>
      <c r="H2200" s="16" t="s">
        <v>2225</v>
      </c>
      <c r="I2200" s="16" t="s">
        <v>68</v>
      </c>
      <c r="J2200" s="16" t="s">
        <v>7236</v>
      </c>
      <c r="K2200" s="32" t="n">
        <v>13</v>
      </c>
      <c r="L2200" s="33" t="n">
        <v>46397</v>
      </c>
      <c r="M2200" s="33" t="n">
        <v>46409</v>
      </c>
      <c r="N2200" s="16" t="s">
        <v>7554</v>
      </c>
      <c r="O2200" s="16"/>
      <c r="P2200" s="16" t="str">
        <f aca="false">IF(AND(L2200&lt;=$D$2,M2200&gt;=$C$2),"Sí","")</f>
        <v/>
      </c>
      <c r="Q2200" s="18" t="str">
        <f aca="false">IF(COUNTIF(LOOKAHEAD!$A$5:$A$604,A2200)&gt;0,"En Lookahead",IF(P2200="Sí","INCORPORAR",""))</f>
        <v/>
      </c>
    </row>
    <row r="2201" customFormat="false" ht="15" hidden="false" customHeight="false" outlineLevel="0" collapsed="false">
      <c r="A2201" s="13" t="s">
        <v>7555</v>
      </c>
      <c r="B2201" s="13" t="n">
        <v>2196</v>
      </c>
      <c r="C2201" s="13" t="s">
        <v>7556</v>
      </c>
      <c r="D2201" s="13" t="n">
        <v>5</v>
      </c>
      <c r="E2201" s="34" t="s">
        <v>7250</v>
      </c>
      <c r="F2201" s="13" t="s">
        <v>1298</v>
      </c>
      <c r="G2201" s="13" t="s">
        <v>563</v>
      </c>
      <c r="H2201" s="13" t="s">
        <v>2225</v>
      </c>
      <c r="I2201" s="13" t="s">
        <v>68</v>
      </c>
      <c r="J2201" s="13" t="s">
        <v>2225</v>
      </c>
      <c r="K2201" s="30" t="n">
        <v>126</v>
      </c>
      <c r="L2201" s="31" t="n">
        <v>46410</v>
      </c>
      <c r="M2201" s="31" t="n">
        <v>46535</v>
      </c>
      <c r="N2201" s="13"/>
      <c r="O2201" s="13"/>
      <c r="P2201" s="13"/>
      <c r="Q2201" s="13"/>
    </row>
    <row r="2202" customFormat="false" ht="15" hidden="false" customHeight="false" outlineLevel="0" collapsed="false">
      <c r="A2202" s="13" t="s">
        <v>7557</v>
      </c>
      <c r="B2202" s="13" t="n">
        <v>2197</v>
      </c>
      <c r="C2202" s="13" t="s">
        <v>7558</v>
      </c>
      <c r="D2202" s="13" t="n">
        <v>6</v>
      </c>
      <c r="E2202" s="36" t="s">
        <v>7253</v>
      </c>
      <c r="F2202" s="13" t="s">
        <v>1298</v>
      </c>
      <c r="G2202" s="13" t="s">
        <v>563</v>
      </c>
      <c r="H2202" s="13" t="s">
        <v>2225</v>
      </c>
      <c r="I2202" s="13" t="s">
        <v>68</v>
      </c>
      <c r="J2202" s="13" t="s">
        <v>7250</v>
      </c>
      <c r="K2202" s="30" t="n">
        <v>25</v>
      </c>
      <c r="L2202" s="31" t="n">
        <v>46410</v>
      </c>
      <c r="M2202" s="31" t="n">
        <v>46434</v>
      </c>
      <c r="N2202" s="13"/>
      <c r="O2202" s="13"/>
      <c r="P2202" s="13"/>
      <c r="Q2202" s="13"/>
    </row>
    <row r="2203" customFormat="false" ht="15" hidden="false" customHeight="false" outlineLevel="0" collapsed="false">
      <c r="A2203" s="16" t="s">
        <v>7559</v>
      </c>
      <c r="B2203" s="16" t="n">
        <v>2198</v>
      </c>
      <c r="C2203" s="16" t="s">
        <v>7560</v>
      </c>
      <c r="D2203" s="16" t="n">
        <v>7</v>
      </c>
      <c r="E2203" s="37" t="s">
        <v>7256</v>
      </c>
      <c r="F2203" s="16" t="s">
        <v>1285</v>
      </c>
      <c r="G2203" s="16" t="s">
        <v>563</v>
      </c>
      <c r="H2203" s="16" t="s">
        <v>2225</v>
      </c>
      <c r="I2203" s="16" t="s">
        <v>68</v>
      </c>
      <c r="J2203" s="16" t="s">
        <v>7253</v>
      </c>
      <c r="K2203" s="32" t="n">
        <v>25</v>
      </c>
      <c r="L2203" s="33" t="n">
        <v>46410</v>
      </c>
      <c r="M2203" s="33" t="n">
        <v>46434</v>
      </c>
      <c r="N2203" s="16" t="s">
        <v>7561</v>
      </c>
      <c r="O2203" s="16"/>
      <c r="P2203" s="16" t="str">
        <f aca="false">IF(AND(L2203&lt;=$D$2,M2203&gt;=$C$2),"Sí","")</f>
        <v/>
      </c>
      <c r="Q2203" s="18" t="str">
        <f aca="false">IF(COUNTIF(LOOKAHEAD!$A$5:$A$604,A2203)&gt;0,"En Lookahead",IF(P2203="Sí","INCORPORAR",""))</f>
        <v/>
      </c>
    </row>
    <row r="2204" customFormat="false" ht="15" hidden="false" customHeight="false" outlineLevel="0" collapsed="false">
      <c r="A2204" s="13" t="s">
        <v>7562</v>
      </c>
      <c r="B2204" s="13" t="n">
        <v>2199</v>
      </c>
      <c r="C2204" s="13" t="s">
        <v>7563</v>
      </c>
      <c r="D2204" s="13" t="n">
        <v>6</v>
      </c>
      <c r="E2204" s="36" t="s">
        <v>7260</v>
      </c>
      <c r="F2204" s="13" t="s">
        <v>1298</v>
      </c>
      <c r="G2204" s="13" t="s">
        <v>563</v>
      </c>
      <c r="H2204" s="13" t="s">
        <v>2225</v>
      </c>
      <c r="I2204" s="13" t="s">
        <v>68</v>
      </c>
      <c r="J2204" s="13" t="s">
        <v>7250</v>
      </c>
      <c r="K2204" s="30" t="n">
        <v>95</v>
      </c>
      <c r="L2204" s="31" t="n">
        <v>46435</v>
      </c>
      <c r="M2204" s="31" t="n">
        <v>46529</v>
      </c>
      <c r="N2204" s="13"/>
      <c r="O2204" s="13"/>
      <c r="P2204" s="13"/>
      <c r="Q2204" s="13"/>
    </row>
    <row r="2205" customFormat="false" ht="15" hidden="false" customHeight="false" outlineLevel="0" collapsed="false">
      <c r="A2205" s="16" t="s">
        <v>7564</v>
      </c>
      <c r="B2205" s="16" t="n">
        <v>2200</v>
      </c>
      <c r="C2205" s="16" t="s">
        <v>7565</v>
      </c>
      <c r="D2205" s="16" t="n">
        <v>7</v>
      </c>
      <c r="E2205" s="37" t="s">
        <v>7263</v>
      </c>
      <c r="F2205" s="16" t="s">
        <v>1285</v>
      </c>
      <c r="G2205" s="16" t="s">
        <v>563</v>
      </c>
      <c r="H2205" s="16" t="s">
        <v>2225</v>
      </c>
      <c r="I2205" s="16" t="s">
        <v>68</v>
      </c>
      <c r="J2205" s="16" t="s">
        <v>7260</v>
      </c>
      <c r="K2205" s="32" t="n">
        <v>17</v>
      </c>
      <c r="L2205" s="33" t="n">
        <v>46435</v>
      </c>
      <c r="M2205" s="33" t="n">
        <v>46451</v>
      </c>
      <c r="N2205" s="16" t="s">
        <v>7566</v>
      </c>
      <c r="O2205" s="16"/>
      <c r="P2205" s="16" t="str">
        <f aca="false">IF(AND(L2205&lt;=$D$2,M2205&gt;=$C$2),"Sí","")</f>
        <v/>
      </c>
      <c r="Q2205" s="18" t="str">
        <f aca="false">IF(COUNTIF(LOOKAHEAD!$A$5:$A$604,A2205)&gt;0,"En Lookahead",IF(P2205="Sí","INCORPORAR",""))</f>
        <v/>
      </c>
    </row>
    <row r="2206" customFormat="false" ht="15" hidden="false" customHeight="false" outlineLevel="0" collapsed="false">
      <c r="A2206" s="16" t="s">
        <v>7567</v>
      </c>
      <c r="B2206" s="16" t="n">
        <v>2201</v>
      </c>
      <c r="C2206" s="16" t="s">
        <v>7568</v>
      </c>
      <c r="D2206" s="16" t="n">
        <v>7</v>
      </c>
      <c r="E2206" s="37" t="s">
        <v>7267</v>
      </c>
      <c r="F2206" s="16" t="s">
        <v>1285</v>
      </c>
      <c r="G2206" s="16" t="s">
        <v>563</v>
      </c>
      <c r="H2206" s="16" t="s">
        <v>2225</v>
      </c>
      <c r="I2206" s="16" t="s">
        <v>68</v>
      </c>
      <c r="J2206" s="16" t="s">
        <v>7260</v>
      </c>
      <c r="K2206" s="32" t="n">
        <v>35</v>
      </c>
      <c r="L2206" s="33" t="n">
        <v>46452</v>
      </c>
      <c r="M2206" s="33" t="n">
        <v>46486</v>
      </c>
      <c r="N2206" s="16" t="s">
        <v>7569</v>
      </c>
      <c r="O2206" s="16"/>
      <c r="P2206" s="16" t="str">
        <f aca="false">IF(AND(L2206&lt;=$D$2,M2206&gt;=$C$2),"Sí","")</f>
        <v/>
      </c>
      <c r="Q2206" s="18" t="str">
        <f aca="false">IF(COUNTIF(LOOKAHEAD!$A$5:$A$604,A2206)&gt;0,"En Lookahead",IF(P2206="Sí","INCORPORAR",""))</f>
        <v/>
      </c>
    </row>
    <row r="2207" customFormat="false" ht="15" hidden="false" customHeight="false" outlineLevel="0" collapsed="false">
      <c r="A2207" s="16" t="s">
        <v>7570</v>
      </c>
      <c r="B2207" s="16" t="n">
        <v>2202</v>
      </c>
      <c r="C2207" s="16" t="s">
        <v>7571</v>
      </c>
      <c r="D2207" s="16" t="n">
        <v>7</v>
      </c>
      <c r="E2207" s="37" t="s">
        <v>7572</v>
      </c>
      <c r="F2207" s="16" t="s">
        <v>1285</v>
      </c>
      <c r="G2207" s="16" t="s">
        <v>563</v>
      </c>
      <c r="H2207" s="16" t="s">
        <v>2225</v>
      </c>
      <c r="I2207" s="16" t="s">
        <v>68</v>
      </c>
      <c r="J2207" s="16" t="s">
        <v>7260</v>
      </c>
      <c r="K2207" s="32" t="n">
        <v>24</v>
      </c>
      <c r="L2207" s="33" t="n">
        <v>46487</v>
      </c>
      <c r="M2207" s="33" t="n">
        <v>46510</v>
      </c>
      <c r="N2207" s="16" t="s">
        <v>7573</v>
      </c>
      <c r="O2207" s="16"/>
      <c r="P2207" s="16" t="str">
        <f aca="false">IF(AND(L2207&lt;=$D$2,M2207&gt;=$C$2),"Sí","")</f>
        <v/>
      </c>
      <c r="Q2207" s="18" t="str">
        <f aca="false">IF(COUNTIF(LOOKAHEAD!$A$5:$A$604,A2207)&gt;0,"En Lookahead",IF(P2207="Sí","INCORPORAR",""))</f>
        <v/>
      </c>
    </row>
    <row r="2208" customFormat="false" ht="15" hidden="false" customHeight="false" outlineLevel="0" collapsed="false">
      <c r="A2208" s="16" t="s">
        <v>7574</v>
      </c>
      <c r="B2208" s="16" t="n">
        <v>2203</v>
      </c>
      <c r="C2208" s="16" t="s">
        <v>7575</v>
      </c>
      <c r="D2208" s="16" t="n">
        <v>7</v>
      </c>
      <c r="E2208" s="37" t="s">
        <v>7271</v>
      </c>
      <c r="F2208" s="16" t="s">
        <v>1285</v>
      </c>
      <c r="G2208" s="16" t="s">
        <v>563</v>
      </c>
      <c r="H2208" s="16" t="s">
        <v>2225</v>
      </c>
      <c r="I2208" s="16" t="s">
        <v>68</v>
      </c>
      <c r="J2208" s="16" t="s">
        <v>7260</v>
      </c>
      <c r="K2208" s="32" t="n">
        <v>14</v>
      </c>
      <c r="L2208" s="33" t="n">
        <v>46511</v>
      </c>
      <c r="M2208" s="33" t="n">
        <v>46524</v>
      </c>
      <c r="N2208" s="16" t="s">
        <v>7576</v>
      </c>
      <c r="O2208" s="16"/>
      <c r="P2208" s="16" t="str">
        <f aca="false">IF(AND(L2208&lt;=$D$2,M2208&gt;=$C$2),"Sí","")</f>
        <v/>
      </c>
      <c r="Q2208" s="18" t="str">
        <f aca="false">IF(COUNTIF(LOOKAHEAD!$A$5:$A$604,A2208)&gt;0,"En Lookahead",IF(P2208="Sí","INCORPORAR",""))</f>
        <v/>
      </c>
    </row>
    <row r="2209" customFormat="false" ht="15" hidden="false" customHeight="false" outlineLevel="0" collapsed="false">
      <c r="A2209" s="16" t="s">
        <v>7577</v>
      </c>
      <c r="B2209" s="16" t="n">
        <v>2204</v>
      </c>
      <c r="C2209" s="16" t="s">
        <v>7578</v>
      </c>
      <c r="D2209" s="16" t="n">
        <v>7</v>
      </c>
      <c r="E2209" s="37" t="s">
        <v>7579</v>
      </c>
      <c r="F2209" s="16" t="s">
        <v>1285</v>
      </c>
      <c r="G2209" s="16" t="s">
        <v>563</v>
      </c>
      <c r="H2209" s="16" t="s">
        <v>2225</v>
      </c>
      <c r="I2209" s="16" t="s">
        <v>68</v>
      </c>
      <c r="J2209" s="16" t="s">
        <v>7260</v>
      </c>
      <c r="K2209" s="32" t="n">
        <v>5</v>
      </c>
      <c r="L2209" s="33" t="n">
        <v>46525</v>
      </c>
      <c r="M2209" s="33" t="n">
        <v>46529</v>
      </c>
      <c r="N2209" s="16" t="s">
        <v>7580</v>
      </c>
      <c r="O2209" s="16"/>
      <c r="P2209" s="16" t="str">
        <f aca="false">IF(AND(L2209&lt;=$D$2,M2209&gt;=$C$2),"Sí","")</f>
        <v/>
      </c>
      <c r="Q2209" s="18" t="str">
        <f aca="false">IF(COUNTIF(LOOKAHEAD!$A$5:$A$604,A2209)&gt;0,"En Lookahead",IF(P2209="Sí","INCORPORAR",""))</f>
        <v/>
      </c>
    </row>
    <row r="2210" customFormat="false" ht="15" hidden="false" customHeight="false" outlineLevel="0" collapsed="false">
      <c r="A2210" s="13" t="s">
        <v>7581</v>
      </c>
      <c r="B2210" s="13" t="n">
        <v>2205</v>
      </c>
      <c r="C2210" s="13" t="s">
        <v>7582</v>
      </c>
      <c r="D2210" s="13" t="n">
        <v>6</v>
      </c>
      <c r="E2210" s="36" t="s">
        <v>7583</v>
      </c>
      <c r="F2210" s="13" t="s">
        <v>1298</v>
      </c>
      <c r="G2210" s="13" t="s">
        <v>563</v>
      </c>
      <c r="H2210" s="13" t="s">
        <v>2225</v>
      </c>
      <c r="I2210" s="13" t="s">
        <v>68</v>
      </c>
      <c r="J2210" s="13" t="s">
        <v>7250</v>
      </c>
      <c r="K2210" s="30" t="n">
        <v>6</v>
      </c>
      <c r="L2210" s="31" t="n">
        <v>46530</v>
      </c>
      <c r="M2210" s="31" t="n">
        <v>46535</v>
      </c>
      <c r="N2210" s="13"/>
      <c r="O2210" s="13"/>
      <c r="P2210" s="13"/>
      <c r="Q2210" s="13"/>
    </row>
    <row r="2211" customFormat="false" ht="15" hidden="false" customHeight="false" outlineLevel="0" collapsed="false">
      <c r="A2211" s="16" t="s">
        <v>7584</v>
      </c>
      <c r="B2211" s="16" t="n">
        <v>2206</v>
      </c>
      <c r="C2211" s="16" t="s">
        <v>7585</v>
      </c>
      <c r="D2211" s="16" t="n">
        <v>7</v>
      </c>
      <c r="E2211" s="37" t="s">
        <v>7586</v>
      </c>
      <c r="F2211" s="16" t="s">
        <v>1285</v>
      </c>
      <c r="G2211" s="16" t="s">
        <v>563</v>
      </c>
      <c r="H2211" s="16" t="s">
        <v>2225</v>
      </c>
      <c r="I2211" s="16" t="s">
        <v>68</v>
      </c>
      <c r="J2211" s="16" t="s">
        <v>7583</v>
      </c>
      <c r="K2211" s="32" t="n">
        <v>6</v>
      </c>
      <c r="L2211" s="33" t="n">
        <v>46530</v>
      </c>
      <c r="M2211" s="33" t="n">
        <v>46535</v>
      </c>
      <c r="N2211" s="16" t="s">
        <v>7587</v>
      </c>
      <c r="O2211" s="16"/>
      <c r="P2211" s="16" t="str">
        <f aca="false">IF(AND(L2211&lt;=$D$2,M2211&gt;=$C$2),"Sí","")</f>
        <v/>
      </c>
      <c r="Q2211" s="18" t="str">
        <f aca="false">IF(COUNTIF(LOOKAHEAD!$A$5:$A$604,A2211)&gt;0,"En Lookahead",IF(P2211="Sí","INCORPORAR",""))</f>
        <v/>
      </c>
    </row>
    <row r="2212" customFormat="false" ht="15" hidden="false" customHeight="false" outlineLevel="0" collapsed="false">
      <c r="A2212" s="13" t="s">
        <v>7588</v>
      </c>
      <c r="B2212" s="13" t="n">
        <v>2207</v>
      </c>
      <c r="C2212" s="13" t="s">
        <v>7589</v>
      </c>
      <c r="D2212" s="13" t="n">
        <v>5</v>
      </c>
      <c r="E2212" s="34" t="s">
        <v>7279</v>
      </c>
      <c r="F2212" s="13" t="s">
        <v>1298</v>
      </c>
      <c r="G2212" s="13" t="s">
        <v>563</v>
      </c>
      <c r="H2212" s="13" t="s">
        <v>2225</v>
      </c>
      <c r="I2212" s="13" t="s">
        <v>68</v>
      </c>
      <c r="J2212" s="13" t="s">
        <v>2225</v>
      </c>
      <c r="K2212" s="30" t="n">
        <v>30</v>
      </c>
      <c r="L2212" s="31" t="n">
        <v>46435</v>
      </c>
      <c r="M2212" s="31" t="n">
        <v>46464</v>
      </c>
      <c r="N2212" s="13"/>
      <c r="O2212" s="13"/>
      <c r="P2212" s="13"/>
      <c r="Q2212" s="13"/>
    </row>
    <row r="2213" customFormat="false" ht="15" hidden="false" customHeight="false" outlineLevel="0" collapsed="false">
      <c r="A2213" s="16" t="s">
        <v>7590</v>
      </c>
      <c r="B2213" s="16" t="n">
        <v>2208</v>
      </c>
      <c r="C2213" s="16" t="s">
        <v>7591</v>
      </c>
      <c r="D2213" s="16" t="n">
        <v>6</v>
      </c>
      <c r="E2213" s="35" t="s">
        <v>7286</v>
      </c>
      <c r="F2213" s="16" t="s">
        <v>1285</v>
      </c>
      <c r="G2213" s="16" t="s">
        <v>563</v>
      </c>
      <c r="H2213" s="16" t="s">
        <v>2225</v>
      </c>
      <c r="I2213" s="16" t="s">
        <v>68</v>
      </c>
      <c r="J2213" s="16" t="s">
        <v>7279</v>
      </c>
      <c r="K2213" s="32" t="n">
        <v>30</v>
      </c>
      <c r="L2213" s="33" t="n">
        <v>46435</v>
      </c>
      <c r="M2213" s="33" t="n">
        <v>46464</v>
      </c>
      <c r="N2213" s="16" t="s">
        <v>7592</v>
      </c>
      <c r="O2213" s="16"/>
      <c r="P2213" s="16" t="str">
        <f aca="false">IF(AND(L2213&lt;=$D$2,M2213&gt;=$C$2),"Sí","")</f>
        <v/>
      </c>
      <c r="Q2213" s="18" t="str">
        <f aca="false">IF(COUNTIF(LOOKAHEAD!$A$5:$A$604,A2213)&gt;0,"En Lookahead",IF(P2213="Sí","INCORPORAR",""))</f>
        <v/>
      </c>
    </row>
    <row r="2214" customFormat="false" ht="15" hidden="false" customHeight="false" outlineLevel="0" collapsed="false">
      <c r="A2214" s="16" t="s">
        <v>7593</v>
      </c>
      <c r="B2214" s="16" t="n">
        <v>2209</v>
      </c>
      <c r="C2214" s="16" t="s">
        <v>7594</v>
      </c>
      <c r="D2214" s="16" t="n">
        <v>6</v>
      </c>
      <c r="E2214" s="35" t="s">
        <v>7290</v>
      </c>
      <c r="F2214" s="16" t="s">
        <v>1285</v>
      </c>
      <c r="G2214" s="16" t="s">
        <v>563</v>
      </c>
      <c r="H2214" s="16" t="s">
        <v>2225</v>
      </c>
      <c r="I2214" s="16" t="s">
        <v>68</v>
      </c>
      <c r="J2214" s="16" t="s">
        <v>7279</v>
      </c>
      <c r="K2214" s="32" t="n">
        <v>8</v>
      </c>
      <c r="L2214" s="33" t="n">
        <v>46435</v>
      </c>
      <c r="M2214" s="33" t="n">
        <v>46442</v>
      </c>
      <c r="N2214" s="16" t="s">
        <v>7595</v>
      </c>
      <c r="O2214" s="16"/>
      <c r="P2214" s="16" t="str">
        <f aca="false">IF(AND(L2214&lt;=$D$2,M2214&gt;=$C$2),"Sí","")</f>
        <v/>
      </c>
      <c r="Q2214" s="18" t="str">
        <f aca="false">IF(COUNTIF(LOOKAHEAD!$A$5:$A$604,A2214)&gt;0,"En Lookahead",IF(P2214="Sí","INCORPORAR",""))</f>
        <v/>
      </c>
    </row>
    <row r="2215" customFormat="false" ht="15" hidden="false" customHeight="false" outlineLevel="0" collapsed="false">
      <c r="A2215" s="16" t="s">
        <v>7596</v>
      </c>
      <c r="B2215" s="16" t="n">
        <v>2210</v>
      </c>
      <c r="C2215" s="16" t="s">
        <v>7597</v>
      </c>
      <c r="D2215" s="16" t="n">
        <v>6</v>
      </c>
      <c r="E2215" s="35" t="s">
        <v>7293</v>
      </c>
      <c r="F2215" s="16" t="s">
        <v>1285</v>
      </c>
      <c r="G2215" s="16" t="s">
        <v>563</v>
      </c>
      <c r="H2215" s="16" t="s">
        <v>2225</v>
      </c>
      <c r="I2215" s="16" t="s">
        <v>68</v>
      </c>
      <c r="J2215" s="16" t="s">
        <v>7279</v>
      </c>
      <c r="K2215" s="32" t="n">
        <v>29</v>
      </c>
      <c r="L2215" s="33" t="n">
        <v>46435</v>
      </c>
      <c r="M2215" s="33" t="n">
        <v>46463</v>
      </c>
      <c r="N2215" s="16" t="s">
        <v>7595</v>
      </c>
      <c r="O2215" s="16"/>
      <c r="P2215" s="16" t="str">
        <f aca="false">IF(AND(L2215&lt;=$D$2,M2215&gt;=$C$2),"Sí","")</f>
        <v/>
      </c>
      <c r="Q2215" s="18" t="str">
        <f aca="false">IF(COUNTIF(LOOKAHEAD!$A$5:$A$604,A2215)&gt;0,"En Lookahead",IF(P2215="Sí","INCORPORAR",""))</f>
        <v/>
      </c>
    </row>
    <row r="2216" customFormat="false" ht="15" hidden="false" customHeight="false" outlineLevel="0" collapsed="false">
      <c r="A2216" s="16" t="s">
        <v>7598</v>
      </c>
      <c r="B2216" s="16" t="n">
        <v>2211</v>
      </c>
      <c r="C2216" s="16" t="s">
        <v>7599</v>
      </c>
      <c r="D2216" s="16" t="n">
        <v>6</v>
      </c>
      <c r="E2216" s="35" t="s">
        <v>7600</v>
      </c>
      <c r="F2216" s="16" t="s">
        <v>1285</v>
      </c>
      <c r="G2216" s="16" t="s">
        <v>563</v>
      </c>
      <c r="H2216" s="16" t="s">
        <v>2225</v>
      </c>
      <c r="I2216" s="16" t="s">
        <v>68</v>
      </c>
      <c r="J2216" s="16" t="s">
        <v>7279</v>
      </c>
      <c r="K2216" s="32" t="n">
        <v>5</v>
      </c>
      <c r="L2216" s="33" t="n">
        <v>46435</v>
      </c>
      <c r="M2216" s="33" t="n">
        <v>46439</v>
      </c>
      <c r="N2216" s="16" t="s">
        <v>7595</v>
      </c>
      <c r="O2216" s="16"/>
      <c r="P2216" s="16" t="str">
        <f aca="false">IF(AND(L2216&lt;=$D$2,M2216&gt;=$C$2),"Sí","")</f>
        <v/>
      </c>
      <c r="Q2216" s="18" t="str">
        <f aca="false">IF(COUNTIF(LOOKAHEAD!$A$5:$A$604,A2216)&gt;0,"En Lookahead",IF(P2216="Sí","INCORPORAR",""))</f>
        <v/>
      </c>
    </row>
    <row r="2217" customFormat="false" ht="15" hidden="false" customHeight="false" outlineLevel="0" collapsed="false">
      <c r="A2217" s="16" t="s">
        <v>7601</v>
      </c>
      <c r="B2217" s="16" t="n">
        <v>2212</v>
      </c>
      <c r="C2217" s="16" t="s">
        <v>7602</v>
      </c>
      <c r="D2217" s="16" t="n">
        <v>6</v>
      </c>
      <c r="E2217" s="35" t="s">
        <v>7603</v>
      </c>
      <c r="F2217" s="16" t="s">
        <v>1285</v>
      </c>
      <c r="G2217" s="16" t="s">
        <v>563</v>
      </c>
      <c r="H2217" s="16" t="s">
        <v>2225</v>
      </c>
      <c r="I2217" s="16" t="s">
        <v>68</v>
      </c>
      <c r="J2217" s="16" t="s">
        <v>7279</v>
      </c>
      <c r="K2217" s="32" t="n">
        <v>4</v>
      </c>
      <c r="L2217" s="33" t="n">
        <v>46440</v>
      </c>
      <c r="M2217" s="33" t="n">
        <v>46443</v>
      </c>
      <c r="N2217" s="16" t="s">
        <v>7604</v>
      </c>
      <c r="O2217" s="16"/>
      <c r="P2217" s="16" t="str">
        <f aca="false">IF(AND(L2217&lt;=$D$2,M2217&gt;=$C$2),"Sí","")</f>
        <v/>
      </c>
      <c r="Q2217" s="18" t="str">
        <f aca="false">IF(COUNTIF(LOOKAHEAD!$A$5:$A$604,A2217)&gt;0,"En Lookahead",IF(P2217="Sí","INCORPORAR",""))</f>
        <v/>
      </c>
    </row>
    <row r="2218" customFormat="false" ht="15" hidden="false" customHeight="false" outlineLevel="0" collapsed="false">
      <c r="A2218" s="16" t="s">
        <v>7605</v>
      </c>
      <c r="B2218" s="16" t="n">
        <v>2213</v>
      </c>
      <c r="C2218" s="16" t="s">
        <v>7606</v>
      </c>
      <c r="D2218" s="16" t="n">
        <v>6</v>
      </c>
      <c r="E2218" s="35" t="s">
        <v>7607</v>
      </c>
      <c r="F2218" s="16" t="s">
        <v>1285</v>
      </c>
      <c r="G2218" s="16" t="s">
        <v>563</v>
      </c>
      <c r="H2218" s="16" t="s">
        <v>2225</v>
      </c>
      <c r="I2218" s="16" t="s">
        <v>68</v>
      </c>
      <c r="J2218" s="16" t="s">
        <v>7279</v>
      </c>
      <c r="K2218" s="32" t="n">
        <v>1</v>
      </c>
      <c r="L2218" s="33" t="n">
        <v>46444</v>
      </c>
      <c r="M2218" s="33" t="n">
        <v>46444</v>
      </c>
      <c r="N2218" s="16" t="s">
        <v>7608</v>
      </c>
      <c r="O2218" s="16"/>
      <c r="P2218" s="16" t="str">
        <f aca="false">IF(AND(L2218&lt;=$D$2,M2218&gt;=$C$2),"Sí","")</f>
        <v/>
      </c>
      <c r="Q2218" s="18" t="str">
        <f aca="false">IF(COUNTIF(LOOKAHEAD!$A$5:$A$604,A2218)&gt;0,"En Lookahead",IF(P2218="Sí","INCORPORAR",""))</f>
        <v/>
      </c>
    </row>
    <row r="2219" customFormat="false" ht="15" hidden="false" customHeight="false" outlineLevel="0" collapsed="false">
      <c r="A2219" s="13" t="s">
        <v>7609</v>
      </c>
      <c r="B2219" s="13" t="n">
        <v>2214</v>
      </c>
      <c r="C2219" s="13" t="s">
        <v>7610</v>
      </c>
      <c r="D2219" s="13" t="n">
        <v>5</v>
      </c>
      <c r="E2219" s="34" t="s">
        <v>7296</v>
      </c>
      <c r="F2219" s="13" t="s">
        <v>1298</v>
      </c>
      <c r="G2219" s="13" t="s">
        <v>563</v>
      </c>
      <c r="H2219" s="13" t="s">
        <v>2225</v>
      </c>
      <c r="I2219" s="13" t="s">
        <v>68</v>
      </c>
      <c r="J2219" s="13" t="s">
        <v>2225</v>
      </c>
      <c r="K2219" s="30" t="n">
        <v>11</v>
      </c>
      <c r="L2219" s="31" t="n">
        <v>46445</v>
      </c>
      <c r="M2219" s="31" t="n">
        <v>46455</v>
      </c>
      <c r="N2219" s="13"/>
      <c r="O2219" s="13"/>
      <c r="P2219" s="13"/>
      <c r="Q2219" s="13"/>
    </row>
    <row r="2220" customFormat="false" ht="15" hidden="false" customHeight="false" outlineLevel="0" collapsed="false">
      <c r="A2220" s="16" t="s">
        <v>7611</v>
      </c>
      <c r="B2220" s="16" t="n">
        <v>2215</v>
      </c>
      <c r="C2220" s="16" t="s">
        <v>7612</v>
      </c>
      <c r="D2220" s="16" t="n">
        <v>6</v>
      </c>
      <c r="E2220" s="35" t="s">
        <v>7299</v>
      </c>
      <c r="F2220" s="16" t="s">
        <v>1285</v>
      </c>
      <c r="G2220" s="16" t="s">
        <v>563</v>
      </c>
      <c r="H2220" s="16" t="s">
        <v>2225</v>
      </c>
      <c r="I2220" s="16" t="s">
        <v>68</v>
      </c>
      <c r="J2220" s="16" t="s">
        <v>7296</v>
      </c>
      <c r="K2220" s="32" t="n">
        <v>10</v>
      </c>
      <c r="L2220" s="33" t="n">
        <v>46445</v>
      </c>
      <c r="M2220" s="33" t="n">
        <v>46454</v>
      </c>
      <c r="N2220" s="16" t="s">
        <v>7613</v>
      </c>
      <c r="O2220" s="16"/>
      <c r="P2220" s="16" t="str">
        <f aca="false">IF(AND(L2220&lt;=$D$2,M2220&gt;=$C$2),"Sí","")</f>
        <v/>
      </c>
      <c r="Q2220" s="18" t="str">
        <f aca="false">IF(COUNTIF(LOOKAHEAD!$A$5:$A$604,A2220)&gt;0,"En Lookahead",IF(P2220="Sí","INCORPORAR",""))</f>
        <v/>
      </c>
    </row>
    <row r="2221" customFormat="false" ht="15" hidden="false" customHeight="false" outlineLevel="0" collapsed="false">
      <c r="A2221" s="16" t="s">
        <v>7614</v>
      </c>
      <c r="B2221" s="16" t="n">
        <v>2216</v>
      </c>
      <c r="C2221" s="16" t="s">
        <v>7615</v>
      </c>
      <c r="D2221" s="16" t="n">
        <v>6</v>
      </c>
      <c r="E2221" s="35" t="s">
        <v>7303</v>
      </c>
      <c r="F2221" s="16" t="s">
        <v>1285</v>
      </c>
      <c r="G2221" s="16" t="s">
        <v>563</v>
      </c>
      <c r="H2221" s="16" t="s">
        <v>2225</v>
      </c>
      <c r="I2221" s="16" t="s">
        <v>68</v>
      </c>
      <c r="J2221" s="16" t="s">
        <v>7296</v>
      </c>
      <c r="K2221" s="32" t="n">
        <v>8</v>
      </c>
      <c r="L2221" s="33" t="n">
        <v>46448</v>
      </c>
      <c r="M2221" s="33" t="n">
        <v>46455</v>
      </c>
      <c r="N2221" s="16" t="s">
        <v>7616</v>
      </c>
      <c r="O2221" s="16"/>
      <c r="P2221" s="16" t="str">
        <f aca="false">IF(AND(L2221&lt;=$D$2,M2221&gt;=$C$2),"Sí","")</f>
        <v/>
      </c>
      <c r="Q2221" s="18" t="str">
        <f aca="false">IF(COUNTIF(LOOKAHEAD!$A$5:$A$604,A2221)&gt;0,"En Lookahead",IF(P2221="Sí","INCORPORAR",""))</f>
        <v/>
      </c>
    </row>
    <row r="2222" customFormat="false" ht="15" hidden="false" customHeight="false" outlineLevel="0" collapsed="false">
      <c r="A2222" s="13" t="s">
        <v>7617</v>
      </c>
      <c r="B2222" s="13" t="n">
        <v>2217</v>
      </c>
      <c r="C2222" s="13" t="s">
        <v>7618</v>
      </c>
      <c r="D2222" s="13" t="n">
        <v>5</v>
      </c>
      <c r="E2222" s="34" t="s">
        <v>7307</v>
      </c>
      <c r="F2222" s="13" t="s">
        <v>1298</v>
      </c>
      <c r="G2222" s="13" t="s">
        <v>563</v>
      </c>
      <c r="H2222" s="13" t="s">
        <v>2225</v>
      </c>
      <c r="I2222" s="13" t="s">
        <v>68</v>
      </c>
      <c r="J2222" s="13" t="s">
        <v>2225</v>
      </c>
      <c r="K2222" s="30" t="n">
        <v>48</v>
      </c>
      <c r="L2222" s="31" t="n">
        <v>46445</v>
      </c>
      <c r="M2222" s="31" t="n">
        <v>46492</v>
      </c>
      <c r="N2222" s="13"/>
      <c r="O2222" s="13"/>
      <c r="P2222" s="13"/>
      <c r="Q2222" s="13"/>
    </row>
    <row r="2223" customFormat="false" ht="15" hidden="false" customHeight="false" outlineLevel="0" collapsed="false">
      <c r="A2223" s="13" t="s">
        <v>7619</v>
      </c>
      <c r="B2223" s="13" t="n">
        <v>2218</v>
      </c>
      <c r="C2223" s="13" t="s">
        <v>7620</v>
      </c>
      <c r="D2223" s="13" t="n">
        <v>6</v>
      </c>
      <c r="E2223" s="36" t="s">
        <v>7310</v>
      </c>
      <c r="F2223" s="13" t="s">
        <v>1298</v>
      </c>
      <c r="G2223" s="13" t="s">
        <v>563</v>
      </c>
      <c r="H2223" s="13" t="s">
        <v>2225</v>
      </c>
      <c r="I2223" s="13" t="s">
        <v>68</v>
      </c>
      <c r="J2223" s="13" t="s">
        <v>7307</v>
      </c>
      <c r="K2223" s="30" t="n">
        <v>48</v>
      </c>
      <c r="L2223" s="31" t="n">
        <v>46445</v>
      </c>
      <c r="M2223" s="31" t="n">
        <v>46492</v>
      </c>
      <c r="N2223" s="13"/>
      <c r="O2223" s="13"/>
      <c r="P2223" s="13"/>
      <c r="Q2223" s="13"/>
    </row>
    <row r="2224" customFormat="false" ht="15" hidden="false" customHeight="false" outlineLevel="0" collapsed="false">
      <c r="A2224" s="16" t="s">
        <v>7621</v>
      </c>
      <c r="B2224" s="16" t="n">
        <v>2219</v>
      </c>
      <c r="C2224" s="16" t="s">
        <v>7622</v>
      </c>
      <c r="D2224" s="16" t="n">
        <v>7</v>
      </c>
      <c r="E2224" s="37" t="s">
        <v>7313</v>
      </c>
      <c r="F2224" s="16" t="s">
        <v>1285</v>
      </c>
      <c r="G2224" s="16" t="s">
        <v>563</v>
      </c>
      <c r="H2224" s="16" t="s">
        <v>2225</v>
      </c>
      <c r="I2224" s="16" t="s">
        <v>68</v>
      </c>
      <c r="J2224" s="16" t="s">
        <v>7310</v>
      </c>
      <c r="K2224" s="32" t="n">
        <v>5</v>
      </c>
      <c r="L2224" s="33" t="n">
        <v>46445</v>
      </c>
      <c r="M2224" s="33" t="n">
        <v>46449</v>
      </c>
      <c r="N2224" s="16" t="s">
        <v>7613</v>
      </c>
      <c r="O2224" s="16"/>
      <c r="P2224" s="16" t="str">
        <f aca="false">IF(AND(L2224&lt;=$D$2,M2224&gt;=$C$2),"Sí","")</f>
        <v/>
      </c>
      <c r="Q2224" s="18" t="str">
        <f aca="false">IF(COUNTIF(LOOKAHEAD!$A$5:$A$604,A2224)&gt;0,"En Lookahead",IF(P2224="Sí","INCORPORAR",""))</f>
        <v/>
      </c>
    </row>
    <row r="2225" customFormat="false" ht="15" hidden="false" customHeight="false" outlineLevel="0" collapsed="false">
      <c r="A2225" s="16" t="s">
        <v>7623</v>
      </c>
      <c r="B2225" s="16" t="n">
        <v>2220</v>
      </c>
      <c r="C2225" s="16" t="s">
        <v>7624</v>
      </c>
      <c r="D2225" s="16" t="n">
        <v>7</v>
      </c>
      <c r="E2225" s="37" t="s">
        <v>7316</v>
      </c>
      <c r="F2225" s="16" t="s">
        <v>1285</v>
      </c>
      <c r="G2225" s="16" t="s">
        <v>563</v>
      </c>
      <c r="H2225" s="16" t="s">
        <v>2225</v>
      </c>
      <c r="I2225" s="16" t="s">
        <v>68</v>
      </c>
      <c r="J2225" s="16" t="s">
        <v>7310</v>
      </c>
      <c r="K2225" s="32" t="n">
        <v>19</v>
      </c>
      <c r="L2225" s="33" t="n">
        <v>46450</v>
      </c>
      <c r="M2225" s="33" t="n">
        <v>46468</v>
      </c>
      <c r="N2225" s="16" t="s">
        <v>7625</v>
      </c>
      <c r="O2225" s="16"/>
      <c r="P2225" s="16" t="str">
        <f aca="false">IF(AND(L2225&lt;=$D$2,M2225&gt;=$C$2),"Sí","")</f>
        <v/>
      </c>
      <c r="Q2225" s="18" t="str">
        <f aca="false">IF(COUNTIF(LOOKAHEAD!$A$5:$A$604,A2225)&gt;0,"En Lookahead",IF(P2225="Sí","INCORPORAR",""))</f>
        <v/>
      </c>
    </row>
    <row r="2226" customFormat="false" ht="15" hidden="false" customHeight="false" outlineLevel="0" collapsed="false">
      <c r="A2226" s="16" t="s">
        <v>7626</v>
      </c>
      <c r="B2226" s="16" t="n">
        <v>2221</v>
      </c>
      <c r="C2226" s="16" t="s">
        <v>7627</v>
      </c>
      <c r="D2226" s="16" t="n">
        <v>7</v>
      </c>
      <c r="E2226" s="37" t="s">
        <v>7320</v>
      </c>
      <c r="F2226" s="16" t="s">
        <v>1285</v>
      </c>
      <c r="G2226" s="16" t="s">
        <v>563</v>
      </c>
      <c r="H2226" s="16" t="s">
        <v>2225</v>
      </c>
      <c r="I2226" s="16" t="s">
        <v>68</v>
      </c>
      <c r="J2226" s="16" t="s">
        <v>7310</v>
      </c>
      <c r="K2226" s="32" t="n">
        <v>1</v>
      </c>
      <c r="L2226" s="33" t="n">
        <v>46469</v>
      </c>
      <c r="M2226" s="33" t="n">
        <v>46469</v>
      </c>
      <c r="N2226" s="16" t="s">
        <v>7628</v>
      </c>
      <c r="O2226" s="16"/>
      <c r="P2226" s="16" t="str">
        <f aca="false">IF(AND(L2226&lt;=$D$2,M2226&gt;=$C$2),"Sí","")</f>
        <v/>
      </c>
      <c r="Q2226" s="18" t="str">
        <f aca="false">IF(COUNTIF(LOOKAHEAD!$A$5:$A$604,A2226)&gt;0,"En Lookahead",IF(P2226="Sí","INCORPORAR",""))</f>
        <v/>
      </c>
    </row>
    <row r="2227" customFormat="false" ht="15" hidden="false" customHeight="false" outlineLevel="0" collapsed="false">
      <c r="A2227" s="16" t="s">
        <v>7629</v>
      </c>
      <c r="B2227" s="16" t="n">
        <v>2222</v>
      </c>
      <c r="C2227" s="16" t="s">
        <v>7630</v>
      </c>
      <c r="D2227" s="16" t="n">
        <v>7</v>
      </c>
      <c r="E2227" s="37" t="s">
        <v>7631</v>
      </c>
      <c r="F2227" s="16" t="s">
        <v>1285</v>
      </c>
      <c r="G2227" s="16" t="s">
        <v>563</v>
      </c>
      <c r="H2227" s="16" t="s">
        <v>2225</v>
      </c>
      <c r="I2227" s="16" t="s">
        <v>68</v>
      </c>
      <c r="J2227" s="16" t="s">
        <v>7310</v>
      </c>
      <c r="K2227" s="32" t="n">
        <v>4</v>
      </c>
      <c r="L2227" s="33" t="n">
        <v>46470</v>
      </c>
      <c r="M2227" s="33" t="n">
        <v>46473</v>
      </c>
      <c r="N2227" s="16" t="s">
        <v>7632</v>
      </c>
      <c r="O2227" s="16"/>
      <c r="P2227" s="16" t="str">
        <f aca="false">IF(AND(L2227&lt;=$D$2,M2227&gt;=$C$2),"Sí","")</f>
        <v/>
      </c>
      <c r="Q2227" s="18" t="str">
        <f aca="false">IF(COUNTIF(LOOKAHEAD!$A$5:$A$604,A2227)&gt;0,"En Lookahead",IF(P2227="Sí","INCORPORAR",""))</f>
        <v/>
      </c>
    </row>
    <row r="2228" customFormat="false" ht="15" hidden="false" customHeight="false" outlineLevel="0" collapsed="false">
      <c r="A2228" s="16" t="s">
        <v>7633</v>
      </c>
      <c r="B2228" s="16" t="n">
        <v>2223</v>
      </c>
      <c r="C2228" s="16" t="s">
        <v>7634</v>
      </c>
      <c r="D2228" s="16" t="n">
        <v>7</v>
      </c>
      <c r="E2228" s="37" t="s">
        <v>7635</v>
      </c>
      <c r="F2228" s="16" t="s">
        <v>1285</v>
      </c>
      <c r="G2228" s="16" t="s">
        <v>563</v>
      </c>
      <c r="H2228" s="16" t="s">
        <v>2225</v>
      </c>
      <c r="I2228" s="16" t="s">
        <v>68</v>
      </c>
      <c r="J2228" s="16" t="s">
        <v>7310</v>
      </c>
      <c r="K2228" s="32" t="n">
        <v>9</v>
      </c>
      <c r="L2228" s="33" t="n">
        <v>46474</v>
      </c>
      <c r="M2228" s="33" t="n">
        <v>46482</v>
      </c>
      <c r="N2228" s="16" t="s">
        <v>7636</v>
      </c>
      <c r="O2228" s="16"/>
      <c r="P2228" s="16" t="str">
        <f aca="false">IF(AND(L2228&lt;=$D$2,M2228&gt;=$C$2),"Sí","")</f>
        <v/>
      </c>
      <c r="Q2228" s="18" t="str">
        <f aca="false">IF(COUNTIF(LOOKAHEAD!$A$5:$A$604,A2228)&gt;0,"En Lookahead",IF(P2228="Sí","INCORPORAR",""))</f>
        <v/>
      </c>
    </row>
    <row r="2229" customFormat="false" ht="15" hidden="false" customHeight="false" outlineLevel="0" collapsed="false">
      <c r="A2229" s="16" t="s">
        <v>7637</v>
      </c>
      <c r="B2229" s="16" t="n">
        <v>2224</v>
      </c>
      <c r="C2229" s="16" t="s">
        <v>7638</v>
      </c>
      <c r="D2229" s="16" t="n">
        <v>7</v>
      </c>
      <c r="E2229" s="37" t="s">
        <v>7639</v>
      </c>
      <c r="F2229" s="16" t="s">
        <v>1285</v>
      </c>
      <c r="G2229" s="16" t="s">
        <v>563</v>
      </c>
      <c r="H2229" s="16" t="s">
        <v>2225</v>
      </c>
      <c r="I2229" s="16" t="s">
        <v>68</v>
      </c>
      <c r="J2229" s="16" t="s">
        <v>7310</v>
      </c>
      <c r="K2229" s="32" t="n">
        <v>1</v>
      </c>
      <c r="L2229" s="33" t="n">
        <v>46483</v>
      </c>
      <c r="M2229" s="33" t="n">
        <v>46483</v>
      </c>
      <c r="N2229" s="16" t="s">
        <v>7640</v>
      </c>
      <c r="O2229" s="16"/>
      <c r="P2229" s="16" t="str">
        <f aca="false">IF(AND(L2229&lt;=$D$2,M2229&gt;=$C$2),"Sí","")</f>
        <v/>
      </c>
      <c r="Q2229" s="18" t="str">
        <f aca="false">IF(COUNTIF(LOOKAHEAD!$A$5:$A$604,A2229)&gt;0,"En Lookahead",IF(P2229="Sí","INCORPORAR",""))</f>
        <v/>
      </c>
    </row>
    <row r="2230" customFormat="false" ht="15" hidden="false" customHeight="false" outlineLevel="0" collapsed="false">
      <c r="A2230" s="16" t="s">
        <v>7641</v>
      </c>
      <c r="B2230" s="16" t="n">
        <v>2225</v>
      </c>
      <c r="C2230" s="16" t="s">
        <v>7642</v>
      </c>
      <c r="D2230" s="16" t="n">
        <v>7</v>
      </c>
      <c r="E2230" s="37" t="s">
        <v>7643</v>
      </c>
      <c r="F2230" s="16" t="s">
        <v>1285</v>
      </c>
      <c r="G2230" s="16" t="s">
        <v>563</v>
      </c>
      <c r="H2230" s="16" t="s">
        <v>2225</v>
      </c>
      <c r="I2230" s="16" t="s">
        <v>68</v>
      </c>
      <c r="J2230" s="16" t="s">
        <v>7310</v>
      </c>
      <c r="K2230" s="32" t="n">
        <v>2</v>
      </c>
      <c r="L2230" s="33" t="n">
        <v>46484</v>
      </c>
      <c r="M2230" s="33" t="n">
        <v>46485</v>
      </c>
      <c r="N2230" s="16" t="s">
        <v>7644</v>
      </c>
      <c r="O2230" s="16"/>
      <c r="P2230" s="16" t="str">
        <f aca="false">IF(AND(L2230&lt;=$D$2,M2230&gt;=$C$2),"Sí","")</f>
        <v/>
      </c>
      <c r="Q2230" s="18" t="str">
        <f aca="false">IF(COUNTIF(LOOKAHEAD!$A$5:$A$604,A2230)&gt;0,"En Lookahead",IF(P2230="Sí","INCORPORAR",""))</f>
        <v/>
      </c>
    </row>
    <row r="2231" customFormat="false" ht="15" hidden="false" customHeight="false" outlineLevel="0" collapsed="false">
      <c r="A2231" s="16" t="s">
        <v>7645</v>
      </c>
      <c r="B2231" s="16" t="n">
        <v>2226</v>
      </c>
      <c r="C2231" s="16" t="s">
        <v>7646</v>
      </c>
      <c r="D2231" s="16" t="n">
        <v>7</v>
      </c>
      <c r="E2231" s="37" t="s">
        <v>7647</v>
      </c>
      <c r="F2231" s="16" t="s">
        <v>1285</v>
      </c>
      <c r="G2231" s="16" t="s">
        <v>563</v>
      </c>
      <c r="H2231" s="16" t="s">
        <v>2225</v>
      </c>
      <c r="I2231" s="16" t="s">
        <v>68</v>
      </c>
      <c r="J2231" s="16" t="s">
        <v>7310</v>
      </c>
      <c r="K2231" s="32" t="n">
        <v>1</v>
      </c>
      <c r="L2231" s="33" t="n">
        <v>46486</v>
      </c>
      <c r="M2231" s="33" t="n">
        <v>46486</v>
      </c>
      <c r="N2231" s="16" t="s">
        <v>7648</v>
      </c>
      <c r="O2231" s="16"/>
      <c r="P2231" s="16" t="str">
        <f aca="false">IF(AND(L2231&lt;=$D$2,M2231&gt;=$C$2),"Sí","")</f>
        <v/>
      </c>
      <c r="Q2231" s="18" t="str">
        <f aca="false">IF(COUNTIF(LOOKAHEAD!$A$5:$A$604,A2231)&gt;0,"En Lookahead",IF(P2231="Sí","INCORPORAR",""))</f>
        <v/>
      </c>
    </row>
    <row r="2232" customFormat="false" ht="15" hidden="false" customHeight="false" outlineLevel="0" collapsed="false">
      <c r="A2232" s="16" t="s">
        <v>7649</v>
      </c>
      <c r="B2232" s="16" t="n">
        <v>2227</v>
      </c>
      <c r="C2232" s="16" t="s">
        <v>7650</v>
      </c>
      <c r="D2232" s="16" t="n">
        <v>7</v>
      </c>
      <c r="E2232" s="37" t="s">
        <v>7651</v>
      </c>
      <c r="F2232" s="16" t="s">
        <v>1285</v>
      </c>
      <c r="G2232" s="16" t="s">
        <v>563</v>
      </c>
      <c r="H2232" s="16" t="s">
        <v>2225</v>
      </c>
      <c r="I2232" s="16" t="s">
        <v>68</v>
      </c>
      <c r="J2232" s="16" t="s">
        <v>7310</v>
      </c>
      <c r="K2232" s="32" t="n">
        <v>2</v>
      </c>
      <c r="L2232" s="33" t="n">
        <v>46487</v>
      </c>
      <c r="M2232" s="33" t="n">
        <v>46488</v>
      </c>
      <c r="N2232" s="16" t="s">
        <v>7652</v>
      </c>
      <c r="O2232" s="16"/>
      <c r="P2232" s="16" t="str">
        <f aca="false">IF(AND(L2232&lt;=$D$2,M2232&gt;=$C$2),"Sí","")</f>
        <v/>
      </c>
      <c r="Q2232" s="18" t="str">
        <f aca="false">IF(COUNTIF(LOOKAHEAD!$A$5:$A$604,A2232)&gt;0,"En Lookahead",IF(P2232="Sí","INCORPORAR",""))</f>
        <v/>
      </c>
    </row>
    <row r="2233" customFormat="false" ht="15" hidden="false" customHeight="false" outlineLevel="0" collapsed="false">
      <c r="A2233" s="16" t="s">
        <v>7653</v>
      </c>
      <c r="B2233" s="16" t="n">
        <v>2228</v>
      </c>
      <c r="C2233" s="16" t="s">
        <v>7654</v>
      </c>
      <c r="D2233" s="16" t="n">
        <v>7</v>
      </c>
      <c r="E2233" s="37" t="s">
        <v>7655</v>
      </c>
      <c r="F2233" s="16" t="s">
        <v>1285</v>
      </c>
      <c r="G2233" s="16" t="s">
        <v>563</v>
      </c>
      <c r="H2233" s="16" t="s">
        <v>2225</v>
      </c>
      <c r="I2233" s="16" t="s">
        <v>68</v>
      </c>
      <c r="J2233" s="16" t="s">
        <v>7310</v>
      </c>
      <c r="K2233" s="32" t="n">
        <v>4</v>
      </c>
      <c r="L2233" s="33" t="n">
        <v>46489</v>
      </c>
      <c r="M2233" s="33" t="n">
        <v>46492</v>
      </c>
      <c r="N2233" s="16" t="s">
        <v>7656</v>
      </c>
      <c r="O2233" s="16"/>
      <c r="P2233" s="16" t="str">
        <f aca="false">IF(AND(L2233&lt;=$D$2,M2233&gt;=$C$2),"Sí","")</f>
        <v/>
      </c>
      <c r="Q2233" s="18" t="str">
        <f aca="false">IF(COUNTIF(LOOKAHEAD!$A$5:$A$604,A2233)&gt;0,"En Lookahead",IF(P2233="Sí","INCORPORAR",""))</f>
        <v/>
      </c>
    </row>
    <row r="2234" customFormat="false" ht="15" hidden="false" customHeight="false" outlineLevel="0" collapsed="false">
      <c r="A2234" s="13" t="s">
        <v>7657</v>
      </c>
      <c r="B2234" s="13" t="n">
        <v>2229</v>
      </c>
      <c r="C2234" s="13" t="s">
        <v>7658</v>
      </c>
      <c r="D2234" s="13" t="n">
        <v>5</v>
      </c>
      <c r="E2234" s="34" t="s">
        <v>7328</v>
      </c>
      <c r="F2234" s="13" t="s">
        <v>1298</v>
      </c>
      <c r="G2234" s="13" t="s">
        <v>563</v>
      </c>
      <c r="H2234" s="13" t="s">
        <v>2225</v>
      </c>
      <c r="I2234" s="13" t="s">
        <v>68</v>
      </c>
      <c r="J2234" s="13" t="s">
        <v>2225</v>
      </c>
      <c r="K2234" s="30" t="n">
        <v>34</v>
      </c>
      <c r="L2234" s="31" t="n">
        <v>46493</v>
      </c>
      <c r="M2234" s="31" t="n">
        <v>46526</v>
      </c>
      <c r="N2234" s="13"/>
      <c r="O2234" s="13"/>
      <c r="P2234" s="13"/>
      <c r="Q2234" s="13"/>
    </row>
    <row r="2235" customFormat="false" ht="15" hidden="false" customHeight="false" outlineLevel="0" collapsed="false">
      <c r="A2235" s="13" t="s">
        <v>7659</v>
      </c>
      <c r="B2235" s="13" t="n">
        <v>2230</v>
      </c>
      <c r="C2235" s="13" t="s">
        <v>7660</v>
      </c>
      <c r="D2235" s="13" t="n">
        <v>6</v>
      </c>
      <c r="E2235" s="36" t="s">
        <v>7310</v>
      </c>
      <c r="F2235" s="13" t="s">
        <v>1298</v>
      </c>
      <c r="G2235" s="13" t="s">
        <v>563</v>
      </c>
      <c r="H2235" s="13" t="s">
        <v>2225</v>
      </c>
      <c r="I2235" s="13" t="s">
        <v>68</v>
      </c>
      <c r="J2235" s="13" t="s">
        <v>7328</v>
      </c>
      <c r="K2235" s="30" t="n">
        <v>4</v>
      </c>
      <c r="L2235" s="31" t="n">
        <v>46493</v>
      </c>
      <c r="M2235" s="31" t="n">
        <v>46496</v>
      </c>
      <c r="N2235" s="13"/>
      <c r="O2235" s="13"/>
      <c r="P2235" s="13"/>
      <c r="Q2235" s="13"/>
    </row>
    <row r="2236" customFormat="false" ht="15" hidden="false" customHeight="false" outlineLevel="0" collapsed="false">
      <c r="A2236" s="16" t="s">
        <v>7661</v>
      </c>
      <c r="B2236" s="16" t="n">
        <v>2231</v>
      </c>
      <c r="C2236" s="16" t="s">
        <v>7662</v>
      </c>
      <c r="D2236" s="16" t="n">
        <v>7</v>
      </c>
      <c r="E2236" s="37" t="s">
        <v>7663</v>
      </c>
      <c r="F2236" s="16" t="s">
        <v>1285</v>
      </c>
      <c r="G2236" s="16" t="s">
        <v>563</v>
      </c>
      <c r="H2236" s="16" t="s">
        <v>2225</v>
      </c>
      <c r="I2236" s="16" t="s">
        <v>68</v>
      </c>
      <c r="J2236" s="16" t="s">
        <v>7310</v>
      </c>
      <c r="K2236" s="32" t="n">
        <v>1</v>
      </c>
      <c r="L2236" s="33" t="n">
        <v>46493</v>
      </c>
      <c r="M2236" s="33" t="n">
        <v>46493</v>
      </c>
      <c r="N2236" s="16" t="s">
        <v>7664</v>
      </c>
      <c r="O2236" s="16"/>
      <c r="P2236" s="16" t="str">
        <f aca="false">IF(AND(L2236&lt;=$D$2,M2236&gt;=$C$2),"Sí","")</f>
        <v/>
      </c>
      <c r="Q2236" s="18" t="str">
        <f aca="false">IF(COUNTIF(LOOKAHEAD!$A$5:$A$604,A2236)&gt;0,"En Lookahead",IF(P2236="Sí","INCORPORAR",""))</f>
        <v/>
      </c>
    </row>
    <row r="2237" customFormat="false" ht="15" hidden="false" customHeight="false" outlineLevel="0" collapsed="false">
      <c r="A2237" s="16" t="s">
        <v>7665</v>
      </c>
      <c r="B2237" s="16" t="n">
        <v>2232</v>
      </c>
      <c r="C2237" s="16" t="s">
        <v>7666</v>
      </c>
      <c r="D2237" s="16" t="n">
        <v>7</v>
      </c>
      <c r="E2237" s="37" t="s">
        <v>7337</v>
      </c>
      <c r="F2237" s="16" t="s">
        <v>1285</v>
      </c>
      <c r="G2237" s="16" t="s">
        <v>563</v>
      </c>
      <c r="H2237" s="16" t="s">
        <v>2225</v>
      </c>
      <c r="I2237" s="16" t="s">
        <v>68</v>
      </c>
      <c r="J2237" s="16" t="s">
        <v>7310</v>
      </c>
      <c r="K2237" s="32" t="n">
        <v>3</v>
      </c>
      <c r="L2237" s="33" t="n">
        <v>46494</v>
      </c>
      <c r="M2237" s="33" t="n">
        <v>46496</v>
      </c>
      <c r="N2237" s="16" t="s">
        <v>7667</v>
      </c>
      <c r="O2237" s="16"/>
      <c r="P2237" s="16" t="str">
        <f aca="false">IF(AND(L2237&lt;=$D$2,M2237&gt;=$C$2),"Sí","")</f>
        <v/>
      </c>
      <c r="Q2237" s="18" t="str">
        <f aca="false">IF(COUNTIF(LOOKAHEAD!$A$5:$A$604,A2237)&gt;0,"En Lookahead",IF(P2237="Sí","INCORPORAR",""))</f>
        <v/>
      </c>
    </row>
    <row r="2238" customFormat="false" ht="15" hidden="false" customHeight="false" outlineLevel="0" collapsed="false">
      <c r="A2238" s="13" t="s">
        <v>7668</v>
      </c>
      <c r="B2238" s="13" t="n">
        <v>2233</v>
      </c>
      <c r="C2238" s="13" t="s">
        <v>7669</v>
      </c>
      <c r="D2238" s="13" t="n">
        <v>6</v>
      </c>
      <c r="E2238" s="36" t="s">
        <v>7670</v>
      </c>
      <c r="F2238" s="13" t="s">
        <v>1298</v>
      </c>
      <c r="G2238" s="13" t="s">
        <v>563</v>
      </c>
      <c r="H2238" s="13" t="s">
        <v>2225</v>
      </c>
      <c r="I2238" s="13" t="s">
        <v>68</v>
      </c>
      <c r="J2238" s="13" t="s">
        <v>7328</v>
      </c>
      <c r="K2238" s="30" t="n">
        <v>2</v>
      </c>
      <c r="L2238" s="31" t="n">
        <v>46497</v>
      </c>
      <c r="M2238" s="31" t="n">
        <v>46498</v>
      </c>
      <c r="N2238" s="13"/>
      <c r="O2238" s="13"/>
      <c r="P2238" s="13"/>
      <c r="Q2238" s="13"/>
    </row>
    <row r="2239" customFormat="false" ht="15" hidden="false" customHeight="false" outlineLevel="0" collapsed="false">
      <c r="A2239" s="16" t="s">
        <v>7671</v>
      </c>
      <c r="B2239" s="16" t="n">
        <v>2234</v>
      </c>
      <c r="C2239" s="16" t="s">
        <v>7672</v>
      </c>
      <c r="D2239" s="16" t="n">
        <v>7</v>
      </c>
      <c r="E2239" s="37" t="s">
        <v>7673</v>
      </c>
      <c r="F2239" s="16" t="s">
        <v>1285</v>
      </c>
      <c r="G2239" s="16" t="s">
        <v>563</v>
      </c>
      <c r="H2239" s="16" t="s">
        <v>2225</v>
      </c>
      <c r="I2239" s="16" t="s">
        <v>68</v>
      </c>
      <c r="J2239" s="16" t="s">
        <v>7670</v>
      </c>
      <c r="K2239" s="32" t="n">
        <v>2</v>
      </c>
      <c r="L2239" s="33" t="n">
        <v>46497</v>
      </c>
      <c r="M2239" s="33" t="n">
        <v>46498</v>
      </c>
      <c r="N2239" s="16" t="s">
        <v>7674</v>
      </c>
      <c r="O2239" s="16"/>
      <c r="P2239" s="16" t="str">
        <f aca="false">IF(AND(L2239&lt;=$D$2,M2239&gt;=$C$2),"Sí","")</f>
        <v/>
      </c>
      <c r="Q2239" s="18" t="str">
        <f aca="false">IF(COUNTIF(LOOKAHEAD!$A$5:$A$604,A2239)&gt;0,"En Lookahead",IF(P2239="Sí","INCORPORAR",""))</f>
        <v/>
      </c>
    </row>
    <row r="2240" customFormat="false" ht="15" hidden="false" customHeight="false" outlineLevel="0" collapsed="false">
      <c r="A2240" s="13" t="s">
        <v>7675</v>
      </c>
      <c r="B2240" s="13" t="n">
        <v>2235</v>
      </c>
      <c r="C2240" s="13" t="s">
        <v>7676</v>
      </c>
      <c r="D2240" s="13" t="n">
        <v>6</v>
      </c>
      <c r="E2240" s="36" t="s">
        <v>7356</v>
      </c>
      <c r="F2240" s="13" t="s">
        <v>1298</v>
      </c>
      <c r="G2240" s="13" t="s">
        <v>563</v>
      </c>
      <c r="H2240" s="13" t="s">
        <v>2225</v>
      </c>
      <c r="I2240" s="13" t="s">
        <v>68</v>
      </c>
      <c r="J2240" s="13" t="s">
        <v>7328</v>
      </c>
      <c r="K2240" s="30" t="n">
        <v>4</v>
      </c>
      <c r="L2240" s="31" t="n">
        <v>46499</v>
      </c>
      <c r="M2240" s="31" t="n">
        <v>46502</v>
      </c>
      <c r="N2240" s="13"/>
      <c r="O2240" s="13"/>
      <c r="P2240" s="13"/>
      <c r="Q2240" s="13"/>
    </row>
    <row r="2241" customFormat="false" ht="15" hidden="false" customHeight="false" outlineLevel="0" collapsed="false">
      <c r="A2241" s="16" t="s">
        <v>7677</v>
      </c>
      <c r="B2241" s="16" t="n">
        <v>2236</v>
      </c>
      <c r="C2241" s="16" t="s">
        <v>7678</v>
      </c>
      <c r="D2241" s="16" t="n">
        <v>7</v>
      </c>
      <c r="E2241" s="37" t="s">
        <v>7359</v>
      </c>
      <c r="F2241" s="16" t="s">
        <v>1285</v>
      </c>
      <c r="G2241" s="16" t="s">
        <v>563</v>
      </c>
      <c r="H2241" s="16" t="s">
        <v>2225</v>
      </c>
      <c r="I2241" s="16" t="s">
        <v>68</v>
      </c>
      <c r="J2241" s="16" t="s">
        <v>7356</v>
      </c>
      <c r="K2241" s="32" t="n">
        <v>4</v>
      </c>
      <c r="L2241" s="33" t="n">
        <v>46499</v>
      </c>
      <c r="M2241" s="33" t="n">
        <v>46502</v>
      </c>
      <c r="N2241" s="16" t="s">
        <v>7679</v>
      </c>
      <c r="O2241" s="16"/>
      <c r="P2241" s="16" t="str">
        <f aca="false">IF(AND(L2241&lt;=$D$2,M2241&gt;=$C$2),"Sí","")</f>
        <v/>
      </c>
      <c r="Q2241" s="18" t="str">
        <f aca="false">IF(COUNTIF(LOOKAHEAD!$A$5:$A$604,A2241)&gt;0,"En Lookahead",IF(P2241="Sí","INCORPORAR",""))</f>
        <v/>
      </c>
    </row>
    <row r="2242" customFormat="false" ht="15" hidden="false" customHeight="false" outlineLevel="0" collapsed="false">
      <c r="A2242" s="13" t="s">
        <v>7680</v>
      </c>
      <c r="B2242" s="13" t="n">
        <v>2237</v>
      </c>
      <c r="C2242" s="13" t="s">
        <v>7681</v>
      </c>
      <c r="D2242" s="13" t="n">
        <v>6</v>
      </c>
      <c r="E2242" s="36" t="s">
        <v>7362</v>
      </c>
      <c r="F2242" s="13" t="s">
        <v>1298</v>
      </c>
      <c r="G2242" s="13" t="s">
        <v>563</v>
      </c>
      <c r="H2242" s="13" t="s">
        <v>2225</v>
      </c>
      <c r="I2242" s="13" t="s">
        <v>68</v>
      </c>
      <c r="J2242" s="13" t="s">
        <v>7328</v>
      </c>
      <c r="K2242" s="30" t="n">
        <v>17</v>
      </c>
      <c r="L2242" s="31" t="n">
        <v>46503</v>
      </c>
      <c r="M2242" s="31" t="n">
        <v>46519</v>
      </c>
      <c r="N2242" s="13"/>
      <c r="O2242" s="13"/>
      <c r="P2242" s="13"/>
      <c r="Q2242" s="13"/>
    </row>
    <row r="2243" customFormat="false" ht="15" hidden="false" customHeight="false" outlineLevel="0" collapsed="false">
      <c r="A2243" s="16" t="s">
        <v>7682</v>
      </c>
      <c r="B2243" s="16" t="n">
        <v>2238</v>
      </c>
      <c r="C2243" s="16" t="s">
        <v>7683</v>
      </c>
      <c r="D2243" s="16" t="n">
        <v>7</v>
      </c>
      <c r="E2243" s="37" t="s">
        <v>7365</v>
      </c>
      <c r="F2243" s="16" t="s">
        <v>1285</v>
      </c>
      <c r="G2243" s="16" t="s">
        <v>563</v>
      </c>
      <c r="H2243" s="16" t="s">
        <v>2225</v>
      </c>
      <c r="I2243" s="16" t="s">
        <v>68</v>
      </c>
      <c r="J2243" s="16" t="s">
        <v>7362</v>
      </c>
      <c r="K2243" s="32" t="n">
        <v>12</v>
      </c>
      <c r="L2243" s="33" t="n">
        <v>46503</v>
      </c>
      <c r="M2243" s="33" t="n">
        <v>46514</v>
      </c>
      <c r="N2243" s="16" t="s">
        <v>7684</v>
      </c>
      <c r="O2243" s="16"/>
      <c r="P2243" s="16" t="str">
        <f aca="false">IF(AND(L2243&lt;=$D$2,M2243&gt;=$C$2),"Sí","")</f>
        <v/>
      </c>
      <c r="Q2243" s="18" t="str">
        <f aca="false">IF(COUNTIF(LOOKAHEAD!$A$5:$A$604,A2243)&gt;0,"En Lookahead",IF(P2243="Sí","INCORPORAR",""))</f>
        <v/>
      </c>
    </row>
    <row r="2244" customFormat="false" ht="15" hidden="false" customHeight="false" outlineLevel="0" collapsed="false">
      <c r="A2244" s="16" t="s">
        <v>7685</v>
      </c>
      <c r="B2244" s="16" t="n">
        <v>2239</v>
      </c>
      <c r="C2244" s="16" t="s">
        <v>7686</v>
      </c>
      <c r="D2244" s="16" t="n">
        <v>7</v>
      </c>
      <c r="E2244" s="37" t="s">
        <v>7687</v>
      </c>
      <c r="F2244" s="16" t="s">
        <v>1285</v>
      </c>
      <c r="G2244" s="16" t="s">
        <v>563</v>
      </c>
      <c r="H2244" s="16" t="s">
        <v>2225</v>
      </c>
      <c r="I2244" s="16" t="s">
        <v>68</v>
      </c>
      <c r="J2244" s="16" t="s">
        <v>7362</v>
      </c>
      <c r="K2244" s="32" t="n">
        <v>5</v>
      </c>
      <c r="L2244" s="33" t="n">
        <v>46515</v>
      </c>
      <c r="M2244" s="33" t="n">
        <v>46519</v>
      </c>
      <c r="N2244" s="16" t="s">
        <v>7688</v>
      </c>
      <c r="O2244" s="16"/>
      <c r="P2244" s="16" t="str">
        <f aca="false">IF(AND(L2244&lt;=$D$2,M2244&gt;=$C$2),"Sí","")</f>
        <v/>
      </c>
      <c r="Q2244" s="18" t="str">
        <f aca="false">IF(COUNTIF(LOOKAHEAD!$A$5:$A$604,A2244)&gt;0,"En Lookahead",IF(P2244="Sí","INCORPORAR",""))</f>
        <v/>
      </c>
    </row>
    <row r="2245" customFormat="false" ht="15" hidden="false" customHeight="false" outlineLevel="0" collapsed="false">
      <c r="A2245" s="13" t="s">
        <v>7689</v>
      </c>
      <c r="B2245" s="13" t="n">
        <v>2240</v>
      </c>
      <c r="C2245" s="13" t="s">
        <v>7690</v>
      </c>
      <c r="D2245" s="13" t="n">
        <v>6</v>
      </c>
      <c r="E2245" s="36" t="s">
        <v>7691</v>
      </c>
      <c r="F2245" s="13" t="s">
        <v>1298</v>
      </c>
      <c r="G2245" s="13" t="s">
        <v>563</v>
      </c>
      <c r="H2245" s="13" t="s">
        <v>2225</v>
      </c>
      <c r="I2245" s="13" t="s">
        <v>68</v>
      </c>
      <c r="J2245" s="13" t="s">
        <v>7328</v>
      </c>
      <c r="K2245" s="30" t="n">
        <v>9</v>
      </c>
      <c r="L2245" s="31" t="n">
        <v>46515</v>
      </c>
      <c r="M2245" s="31" t="n">
        <v>46523</v>
      </c>
      <c r="N2245" s="13"/>
      <c r="O2245" s="13"/>
      <c r="P2245" s="13"/>
      <c r="Q2245" s="13"/>
    </row>
    <row r="2246" customFormat="false" ht="15" hidden="false" customHeight="false" outlineLevel="0" collapsed="false">
      <c r="A2246" s="16" t="s">
        <v>7692</v>
      </c>
      <c r="B2246" s="16" t="n">
        <v>2241</v>
      </c>
      <c r="C2246" s="16" t="s">
        <v>7693</v>
      </c>
      <c r="D2246" s="16" t="n">
        <v>7</v>
      </c>
      <c r="E2246" s="37" t="s">
        <v>7694</v>
      </c>
      <c r="F2246" s="16" t="s">
        <v>1285</v>
      </c>
      <c r="G2246" s="16" t="s">
        <v>563</v>
      </c>
      <c r="H2246" s="16" t="s">
        <v>2225</v>
      </c>
      <c r="I2246" s="16" t="s">
        <v>68</v>
      </c>
      <c r="J2246" s="16" t="s">
        <v>7691</v>
      </c>
      <c r="K2246" s="32" t="n">
        <v>9</v>
      </c>
      <c r="L2246" s="33" t="n">
        <v>46515</v>
      </c>
      <c r="M2246" s="33" t="n">
        <v>46523</v>
      </c>
      <c r="N2246" s="16" t="s">
        <v>7695</v>
      </c>
      <c r="O2246" s="16"/>
      <c r="P2246" s="16" t="str">
        <f aca="false">IF(AND(L2246&lt;=$D$2,M2246&gt;=$C$2),"Sí","")</f>
        <v/>
      </c>
      <c r="Q2246" s="18" t="str">
        <f aca="false">IF(COUNTIF(LOOKAHEAD!$A$5:$A$604,A2246)&gt;0,"En Lookahead",IF(P2246="Sí","INCORPORAR",""))</f>
        <v/>
      </c>
    </row>
    <row r="2247" customFormat="false" ht="15" hidden="false" customHeight="false" outlineLevel="0" collapsed="false">
      <c r="A2247" s="13" t="s">
        <v>7696</v>
      </c>
      <c r="B2247" s="13" t="n">
        <v>2242</v>
      </c>
      <c r="C2247" s="13" t="s">
        <v>7697</v>
      </c>
      <c r="D2247" s="13" t="n">
        <v>6</v>
      </c>
      <c r="E2247" s="36" t="s">
        <v>7698</v>
      </c>
      <c r="F2247" s="13" t="s">
        <v>1298</v>
      </c>
      <c r="G2247" s="13" t="s">
        <v>563</v>
      </c>
      <c r="H2247" s="13" t="s">
        <v>2225</v>
      </c>
      <c r="I2247" s="13" t="s">
        <v>68</v>
      </c>
      <c r="J2247" s="13" t="s">
        <v>7328</v>
      </c>
      <c r="K2247" s="30" t="n">
        <v>2</v>
      </c>
      <c r="L2247" s="31" t="n">
        <v>46524</v>
      </c>
      <c r="M2247" s="31" t="n">
        <v>46525</v>
      </c>
      <c r="N2247" s="13"/>
      <c r="O2247" s="13"/>
      <c r="P2247" s="13"/>
      <c r="Q2247" s="13"/>
    </row>
    <row r="2248" customFormat="false" ht="15" hidden="false" customHeight="false" outlineLevel="0" collapsed="false">
      <c r="A2248" s="16" t="s">
        <v>7699</v>
      </c>
      <c r="B2248" s="16" t="n">
        <v>2243</v>
      </c>
      <c r="C2248" s="16" t="s">
        <v>7700</v>
      </c>
      <c r="D2248" s="16" t="n">
        <v>7</v>
      </c>
      <c r="E2248" s="37" t="s">
        <v>7701</v>
      </c>
      <c r="F2248" s="16" t="s">
        <v>1285</v>
      </c>
      <c r="G2248" s="16" t="s">
        <v>563</v>
      </c>
      <c r="H2248" s="16" t="s">
        <v>2225</v>
      </c>
      <c r="I2248" s="16" t="s">
        <v>68</v>
      </c>
      <c r="J2248" s="16" t="s">
        <v>7698</v>
      </c>
      <c r="K2248" s="32" t="n">
        <v>2</v>
      </c>
      <c r="L2248" s="33" t="n">
        <v>46524</v>
      </c>
      <c r="M2248" s="33" t="n">
        <v>46525</v>
      </c>
      <c r="N2248" s="16" t="s">
        <v>7702</v>
      </c>
      <c r="O2248" s="16"/>
      <c r="P2248" s="16" t="str">
        <f aca="false">IF(AND(L2248&lt;=$D$2,M2248&gt;=$C$2),"Sí","")</f>
        <v/>
      </c>
      <c r="Q2248" s="18" t="str">
        <f aca="false">IF(COUNTIF(LOOKAHEAD!$A$5:$A$604,A2248)&gt;0,"En Lookahead",IF(P2248="Sí","INCORPORAR",""))</f>
        <v/>
      </c>
    </row>
    <row r="2249" customFormat="false" ht="15" hidden="false" customHeight="false" outlineLevel="0" collapsed="false">
      <c r="A2249" s="13" t="s">
        <v>7703</v>
      </c>
      <c r="B2249" s="13" t="n">
        <v>2244</v>
      </c>
      <c r="C2249" s="13" t="s">
        <v>7704</v>
      </c>
      <c r="D2249" s="13" t="n">
        <v>6</v>
      </c>
      <c r="E2249" s="36" t="s">
        <v>3429</v>
      </c>
      <c r="F2249" s="13" t="s">
        <v>1298</v>
      </c>
      <c r="G2249" s="13" t="s">
        <v>563</v>
      </c>
      <c r="H2249" s="13" t="s">
        <v>2225</v>
      </c>
      <c r="I2249" s="13" t="s">
        <v>68</v>
      </c>
      <c r="J2249" s="13" t="s">
        <v>7328</v>
      </c>
      <c r="K2249" s="30" t="n">
        <v>1</v>
      </c>
      <c r="L2249" s="31" t="n">
        <v>46526</v>
      </c>
      <c r="M2249" s="31" t="n">
        <v>46526</v>
      </c>
      <c r="N2249" s="13"/>
      <c r="O2249" s="13"/>
      <c r="P2249" s="13"/>
      <c r="Q2249" s="13"/>
    </row>
    <row r="2250" customFormat="false" ht="15" hidden="false" customHeight="false" outlineLevel="0" collapsed="false">
      <c r="A2250" s="16" t="s">
        <v>7705</v>
      </c>
      <c r="B2250" s="16" t="n">
        <v>2245</v>
      </c>
      <c r="C2250" s="16" t="s">
        <v>7706</v>
      </c>
      <c r="D2250" s="16" t="n">
        <v>7</v>
      </c>
      <c r="E2250" s="37" t="s">
        <v>7707</v>
      </c>
      <c r="F2250" s="16" t="s">
        <v>1285</v>
      </c>
      <c r="G2250" s="16" t="s">
        <v>563</v>
      </c>
      <c r="H2250" s="16" t="s">
        <v>2225</v>
      </c>
      <c r="I2250" s="16" t="s">
        <v>68</v>
      </c>
      <c r="J2250" s="16" t="s">
        <v>3429</v>
      </c>
      <c r="K2250" s="32" t="n">
        <v>1</v>
      </c>
      <c r="L2250" s="33" t="n">
        <v>46526</v>
      </c>
      <c r="M2250" s="33" t="n">
        <v>46526</v>
      </c>
      <c r="N2250" s="16" t="s">
        <v>7708</v>
      </c>
      <c r="O2250" s="16"/>
      <c r="P2250" s="16" t="str">
        <f aca="false">IF(AND(L2250&lt;=$D$2,M2250&gt;=$C$2),"Sí","")</f>
        <v/>
      </c>
      <c r="Q2250" s="18" t="str">
        <f aca="false">IF(COUNTIF(LOOKAHEAD!$A$5:$A$604,A2250)&gt;0,"En Lookahead",IF(P2250="Sí","INCORPORAR",""))</f>
        <v/>
      </c>
    </row>
    <row r="2251" customFormat="false" ht="15" hidden="false" customHeight="false" outlineLevel="0" collapsed="false">
      <c r="A2251" s="13" t="s">
        <v>7709</v>
      </c>
      <c r="B2251" s="13" t="n">
        <v>2246</v>
      </c>
      <c r="C2251" s="13" t="s">
        <v>7710</v>
      </c>
      <c r="D2251" s="13" t="n">
        <v>5</v>
      </c>
      <c r="E2251" s="34" t="s">
        <v>7368</v>
      </c>
      <c r="F2251" s="13" t="s">
        <v>1298</v>
      </c>
      <c r="G2251" s="13" t="s">
        <v>563</v>
      </c>
      <c r="H2251" s="13" t="s">
        <v>2225</v>
      </c>
      <c r="I2251" s="13" t="s">
        <v>68</v>
      </c>
      <c r="J2251" s="13" t="s">
        <v>2225</v>
      </c>
      <c r="K2251" s="30" t="n">
        <v>76</v>
      </c>
      <c r="L2251" s="31" t="n">
        <v>46497</v>
      </c>
      <c r="M2251" s="31" t="n">
        <v>46572</v>
      </c>
      <c r="N2251" s="13"/>
      <c r="O2251" s="13"/>
      <c r="P2251" s="13"/>
      <c r="Q2251" s="13"/>
    </row>
    <row r="2252" customFormat="false" ht="15" hidden="false" customHeight="false" outlineLevel="0" collapsed="false">
      <c r="A2252" s="13" t="s">
        <v>7711</v>
      </c>
      <c r="B2252" s="13" t="n">
        <v>2247</v>
      </c>
      <c r="C2252" s="13" t="s">
        <v>7712</v>
      </c>
      <c r="D2252" s="13" t="n">
        <v>6</v>
      </c>
      <c r="E2252" s="36" t="s">
        <v>7310</v>
      </c>
      <c r="F2252" s="13" t="s">
        <v>1298</v>
      </c>
      <c r="G2252" s="13" t="s">
        <v>563</v>
      </c>
      <c r="H2252" s="13" t="s">
        <v>2225</v>
      </c>
      <c r="I2252" s="13" t="s">
        <v>68</v>
      </c>
      <c r="J2252" s="13" t="s">
        <v>7368</v>
      </c>
      <c r="K2252" s="30" t="n">
        <v>26</v>
      </c>
      <c r="L2252" s="31" t="n">
        <v>46497</v>
      </c>
      <c r="M2252" s="31" t="n">
        <v>46522</v>
      </c>
      <c r="N2252" s="13"/>
      <c r="O2252" s="13"/>
      <c r="P2252" s="13"/>
      <c r="Q2252" s="13"/>
    </row>
    <row r="2253" customFormat="false" ht="15" hidden="false" customHeight="false" outlineLevel="0" collapsed="false">
      <c r="A2253" s="16" t="s">
        <v>7713</v>
      </c>
      <c r="B2253" s="16" t="n">
        <v>2248</v>
      </c>
      <c r="C2253" s="16" t="s">
        <v>7714</v>
      </c>
      <c r="D2253" s="16" t="n">
        <v>7</v>
      </c>
      <c r="E2253" s="37" t="s">
        <v>7376</v>
      </c>
      <c r="F2253" s="16" t="s">
        <v>1285</v>
      </c>
      <c r="G2253" s="16" t="s">
        <v>563</v>
      </c>
      <c r="H2253" s="16" t="s">
        <v>2225</v>
      </c>
      <c r="I2253" s="16" t="s">
        <v>68</v>
      </c>
      <c r="J2253" s="16" t="s">
        <v>7310</v>
      </c>
      <c r="K2253" s="32" t="n">
        <v>20</v>
      </c>
      <c r="L2253" s="33" t="n">
        <v>46497</v>
      </c>
      <c r="M2253" s="33" t="n">
        <v>46516</v>
      </c>
      <c r="N2253" s="16" t="s">
        <v>7674</v>
      </c>
      <c r="O2253" s="16"/>
      <c r="P2253" s="16" t="str">
        <f aca="false">IF(AND(L2253&lt;=$D$2,M2253&gt;=$C$2),"Sí","")</f>
        <v/>
      </c>
      <c r="Q2253" s="18" t="str">
        <f aca="false">IF(COUNTIF(LOOKAHEAD!$A$5:$A$604,A2253)&gt;0,"En Lookahead",IF(P2253="Sí","INCORPORAR",""))</f>
        <v/>
      </c>
    </row>
    <row r="2254" customFormat="false" ht="15" hidden="false" customHeight="false" outlineLevel="0" collapsed="false">
      <c r="A2254" s="16" t="s">
        <v>7715</v>
      </c>
      <c r="B2254" s="16" t="n">
        <v>2249</v>
      </c>
      <c r="C2254" s="16" t="s">
        <v>7716</v>
      </c>
      <c r="D2254" s="16" t="n">
        <v>7</v>
      </c>
      <c r="E2254" s="37" t="s">
        <v>7380</v>
      </c>
      <c r="F2254" s="16" t="s">
        <v>1285</v>
      </c>
      <c r="G2254" s="16" t="s">
        <v>563</v>
      </c>
      <c r="H2254" s="16" t="s">
        <v>2225</v>
      </c>
      <c r="I2254" s="16" t="s">
        <v>68</v>
      </c>
      <c r="J2254" s="16" t="s">
        <v>7310</v>
      </c>
      <c r="K2254" s="32" t="n">
        <v>3</v>
      </c>
      <c r="L2254" s="33" t="n">
        <v>46517</v>
      </c>
      <c r="M2254" s="33" t="n">
        <v>46519</v>
      </c>
      <c r="N2254" s="16" t="s">
        <v>7717</v>
      </c>
      <c r="O2254" s="16"/>
      <c r="P2254" s="16" t="str">
        <f aca="false">IF(AND(L2254&lt;=$D$2,M2254&gt;=$C$2),"Sí","")</f>
        <v/>
      </c>
      <c r="Q2254" s="18" t="str">
        <f aca="false">IF(COUNTIF(LOOKAHEAD!$A$5:$A$604,A2254)&gt;0,"En Lookahead",IF(P2254="Sí","INCORPORAR",""))</f>
        <v/>
      </c>
    </row>
    <row r="2255" customFormat="false" ht="15" hidden="false" customHeight="false" outlineLevel="0" collapsed="false">
      <c r="A2255" s="16" t="s">
        <v>7718</v>
      </c>
      <c r="B2255" s="16" t="n">
        <v>2250</v>
      </c>
      <c r="C2255" s="16" t="s">
        <v>7719</v>
      </c>
      <c r="D2255" s="16" t="n">
        <v>7</v>
      </c>
      <c r="E2255" s="37" t="s">
        <v>7720</v>
      </c>
      <c r="F2255" s="16" t="s">
        <v>1285</v>
      </c>
      <c r="G2255" s="16" t="s">
        <v>563</v>
      </c>
      <c r="H2255" s="16" t="s">
        <v>2225</v>
      </c>
      <c r="I2255" s="16" t="s">
        <v>68</v>
      </c>
      <c r="J2255" s="16" t="s">
        <v>7310</v>
      </c>
      <c r="K2255" s="32" t="n">
        <v>1</v>
      </c>
      <c r="L2255" s="33" t="n">
        <v>46520</v>
      </c>
      <c r="M2255" s="33" t="n">
        <v>46520</v>
      </c>
      <c r="N2255" s="16" t="s">
        <v>7721</v>
      </c>
      <c r="O2255" s="16"/>
      <c r="P2255" s="16" t="str">
        <f aca="false">IF(AND(L2255&lt;=$D$2,M2255&gt;=$C$2),"Sí","")</f>
        <v/>
      </c>
      <c r="Q2255" s="18" t="str">
        <f aca="false">IF(COUNTIF(LOOKAHEAD!$A$5:$A$604,A2255)&gt;0,"En Lookahead",IF(P2255="Sí","INCORPORAR",""))</f>
        <v/>
      </c>
    </row>
    <row r="2256" customFormat="false" ht="15" hidden="false" customHeight="false" outlineLevel="0" collapsed="false">
      <c r="A2256" s="16" t="s">
        <v>7722</v>
      </c>
      <c r="B2256" s="16" t="n">
        <v>2251</v>
      </c>
      <c r="C2256" s="16" t="s">
        <v>7723</v>
      </c>
      <c r="D2256" s="16" t="n">
        <v>7</v>
      </c>
      <c r="E2256" s="37" t="s">
        <v>7724</v>
      </c>
      <c r="F2256" s="16" t="s">
        <v>1285</v>
      </c>
      <c r="G2256" s="16" t="s">
        <v>563</v>
      </c>
      <c r="H2256" s="16" t="s">
        <v>2225</v>
      </c>
      <c r="I2256" s="16" t="s">
        <v>68</v>
      </c>
      <c r="J2256" s="16" t="s">
        <v>7310</v>
      </c>
      <c r="K2256" s="32" t="n">
        <v>1</v>
      </c>
      <c r="L2256" s="33" t="n">
        <v>46521</v>
      </c>
      <c r="M2256" s="33" t="n">
        <v>46521</v>
      </c>
      <c r="N2256" s="16" t="s">
        <v>7725</v>
      </c>
      <c r="O2256" s="16"/>
      <c r="P2256" s="16" t="str">
        <f aca="false">IF(AND(L2256&lt;=$D$2,M2256&gt;=$C$2),"Sí","")</f>
        <v/>
      </c>
      <c r="Q2256" s="18" t="str">
        <f aca="false">IF(COUNTIF(LOOKAHEAD!$A$5:$A$604,A2256)&gt;0,"En Lookahead",IF(P2256="Sí","INCORPORAR",""))</f>
        <v/>
      </c>
    </row>
    <row r="2257" customFormat="false" ht="15" hidden="false" customHeight="false" outlineLevel="0" collapsed="false">
      <c r="A2257" s="16" t="s">
        <v>7726</v>
      </c>
      <c r="B2257" s="16" t="n">
        <v>2252</v>
      </c>
      <c r="C2257" s="16" t="s">
        <v>7727</v>
      </c>
      <c r="D2257" s="16" t="n">
        <v>7</v>
      </c>
      <c r="E2257" s="37" t="s">
        <v>7728</v>
      </c>
      <c r="F2257" s="16" t="s">
        <v>1285</v>
      </c>
      <c r="G2257" s="16" t="s">
        <v>563</v>
      </c>
      <c r="H2257" s="16" t="s">
        <v>2225</v>
      </c>
      <c r="I2257" s="16" t="s">
        <v>68</v>
      </c>
      <c r="J2257" s="16" t="s">
        <v>7310</v>
      </c>
      <c r="K2257" s="32" t="n">
        <v>1</v>
      </c>
      <c r="L2257" s="33" t="n">
        <v>46522</v>
      </c>
      <c r="M2257" s="33" t="n">
        <v>46522</v>
      </c>
      <c r="N2257" s="16" t="s">
        <v>7729</v>
      </c>
      <c r="O2257" s="16"/>
      <c r="P2257" s="16" t="str">
        <f aca="false">IF(AND(L2257&lt;=$D$2,M2257&gt;=$C$2),"Sí","")</f>
        <v/>
      </c>
      <c r="Q2257" s="18" t="str">
        <f aca="false">IF(COUNTIF(LOOKAHEAD!$A$5:$A$604,A2257)&gt;0,"En Lookahead",IF(P2257="Sí","INCORPORAR",""))</f>
        <v/>
      </c>
    </row>
    <row r="2258" customFormat="false" ht="15" hidden="false" customHeight="false" outlineLevel="0" collapsed="false">
      <c r="A2258" s="13" t="s">
        <v>7730</v>
      </c>
      <c r="B2258" s="13" t="n">
        <v>2253</v>
      </c>
      <c r="C2258" s="13" t="s">
        <v>7731</v>
      </c>
      <c r="D2258" s="13" t="n">
        <v>6</v>
      </c>
      <c r="E2258" s="36" t="s">
        <v>7349</v>
      </c>
      <c r="F2258" s="13" t="s">
        <v>1298</v>
      </c>
      <c r="G2258" s="13" t="s">
        <v>563</v>
      </c>
      <c r="H2258" s="13" t="s">
        <v>2225</v>
      </c>
      <c r="I2258" s="13" t="s">
        <v>68</v>
      </c>
      <c r="J2258" s="13" t="s">
        <v>7368</v>
      </c>
      <c r="K2258" s="30" t="n">
        <v>16</v>
      </c>
      <c r="L2258" s="31" t="n">
        <v>46523</v>
      </c>
      <c r="M2258" s="31" t="n">
        <v>46538</v>
      </c>
      <c r="N2258" s="13"/>
      <c r="O2258" s="13"/>
      <c r="P2258" s="13"/>
      <c r="Q2258" s="13"/>
    </row>
    <row r="2259" customFormat="false" ht="15" hidden="false" customHeight="false" outlineLevel="0" collapsed="false">
      <c r="A2259" s="16" t="s">
        <v>7732</v>
      </c>
      <c r="B2259" s="16" t="n">
        <v>2254</v>
      </c>
      <c r="C2259" s="16" t="s">
        <v>7733</v>
      </c>
      <c r="D2259" s="16" t="n">
        <v>7</v>
      </c>
      <c r="E2259" s="37" t="s">
        <v>7394</v>
      </c>
      <c r="F2259" s="16" t="s">
        <v>1285</v>
      </c>
      <c r="G2259" s="16" t="s">
        <v>563</v>
      </c>
      <c r="H2259" s="16" t="s">
        <v>2225</v>
      </c>
      <c r="I2259" s="16" t="s">
        <v>68</v>
      </c>
      <c r="J2259" s="16" t="s">
        <v>7349</v>
      </c>
      <c r="K2259" s="32" t="n">
        <v>16</v>
      </c>
      <c r="L2259" s="33" t="n">
        <v>46523</v>
      </c>
      <c r="M2259" s="33" t="n">
        <v>46538</v>
      </c>
      <c r="N2259" s="16" t="s">
        <v>7734</v>
      </c>
      <c r="O2259" s="16"/>
      <c r="P2259" s="16" t="str">
        <f aca="false">IF(AND(L2259&lt;=$D$2,M2259&gt;=$C$2),"Sí","")</f>
        <v/>
      </c>
      <c r="Q2259" s="18" t="str">
        <f aca="false">IF(COUNTIF(LOOKAHEAD!$A$5:$A$604,A2259)&gt;0,"En Lookahead",IF(P2259="Sí","INCORPORAR",""))</f>
        <v/>
      </c>
    </row>
    <row r="2260" customFormat="false" ht="15" hidden="false" customHeight="false" outlineLevel="0" collapsed="false">
      <c r="A2260" s="13" t="s">
        <v>7735</v>
      </c>
      <c r="B2260" s="13" t="n">
        <v>2255</v>
      </c>
      <c r="C2260" s="13" t="s">
        <v>7736</v>
      </c>
      <c r="D2260" s="13" t="n">
        <v>6</v>
      </c>
      <c r="E2260" s="36" t="s">
        <v>2137</v>
      </c>
      <c r="F2260" s="13" t="s">
        <v>1298</v>
      </c>
      <c r="G2260" s="13" t="s">
        <v>563</v>
      </c>
      <c r="H2260" s="13" t="s">
        <v>2225</v>
      </c>
      <c r="I2260" s="13" t="s">
        <v>68</v>
      </c>
      <c r="J2260" s="13" t="s">
        <v>7368</v>
      </c>
      <c r="K2260" s="30" t="n">
        <v>34</v>
      </c>
      <c r="L2260" s="31" t="n">
        <v>46539</v>
      </c>
      <c r="M2260" s="31" t="n">
        <v>46572</v>
      </c>
      <c r="N2260" s="13"/>
      <c r="O2260" s="13"/>
      <c r="P2260" s="13"/>
      <c r="Q2260" s="13"/>
    </row>
    <row r="2261" customFormat="false" ht="15" hidden="false" customHeight="false" outlineLevel="0" collapsed="false">
      <c r="A2261" s="16" t="s">
        <v>7737</v>
      </c>
      <c r="B2261" s="16" t="n">
        <v>2256</v>
      </c>
      <c r="C2261" s="16" t="s">
        <v>7738</v>
      </c>
      <c r="D2261" s="16" t="n">
        <v>7</v>
      </c>
      <c r="E2261" s="37" t="s">
        <v>7739</v>
      </c>
      <c r="F2261" s="16" t="s">
        <v>1285</v>
      </c>
      <c r="G2261" s="16" t="s">
        <v>563</v>
      </c>
      <c r="H2261" s="16" t="s">
        <v>2225</v>
      </c>
      <c r="I2261" s="16" t="s">
        <v>68</v>
      </c>
      <c r="J2261" s="16" t="s">
        <v>2137</v>
      </c>
      <c r="K2261" s="32" t="n">
        <v>20</v>
      </c>
      <c r="L2261" s="33" t="n">
        <v>46539</v>
      </c>
      <c r="M2261" s="33" t="n">
        <v>46558</v>
      </c>
      <c r="N2261" s="16" t="s">
        <v>7740</v>
      </c>
      <c r="O2261" s="16"/>
      <c r="P2261" s="16" t="str">
        <f aca="false">IF(AND(L2261&lt;=$D$2,M2261&gt;=$C$2),"Sí","")</f>
        <v/>
      </c>
      <c r="Q2261" s="18" t="str">
        <f aca="false">IF(COUNTIF(LOOKAHEAD!$A$5:$A$604,A2261)&gt;0,"En Lookahead",IF(P2261="Sí","INCORPORAR",""))</f>
        <v/>
      </c>
    </row>
    <row r="2262" customFormat="false" ht="15" hidden="false" customHeight="false" outlineLevel="0" collapsed="false">
      <c r="A2262" s="16" t="s">
        <v>7741</v>
      </c>
      <c r="B2262" s="16" t="n">
        <v>2257</v>
      </c>
      <c r="C2262" s="16" t="s">
        <v>7742</v>
      </c>
      <c r="D2262" s="16" t="n">
        <v>7</v>
      </c>
      <c r="E2262" s="37" t="s">
        <v>7405</v>
      </c>
      <c r="F2262" s="16" t="s">
        <v>1285</v>
      </c>
      <c r="G2262" s="16" t="s">
        <v>563</v>
      </c>
      <c r="H2262" s="16" t="s">
        <v>2225</v>
      </c>
      <c r="I2262" s="16" t="s">
        <v>68</v>
      </c>
      <c r="J2262" s="16" t="s">
        <v>2137</v>
      </c>
      <c r="K2262" s="32" t="n">
        <v>4</v>
      </c>
      <c r="L2262" s="33" t="n">
        <v>46559</v>
      </c>
      <c r="M2262" s="33" t="n">
        <v>46562</v>
      </c>
      <c r="N2262" s="16" t="s">
        <v>7743</v>
      </c>
      <c r="O2262" s="16"/>
      <c r="P2262" s="16" t="str">
        <f aca="false">IF(AND(L2262&lt;=$D$2,M2262&gt;=$C$2),"Sí","")</f>
        <v/>
      </c>
      <c r="Q2262" s="18" t="str">
        <f aca="false">IF(COUNTIF(LOOKAHEAD!$A$5:$A$604,A2262)&gt;0,"En Lookahead",IF(P2262="Sí","INCORPORAR",""))</f>
        <v/>
      </c>
    </row>
    <row r="2263" customFormat="false" ht="15" hidden="false" customHeight="false" outlineLevel="0" collapsed="false">
      <c r="A2263" s="16" t="s">
        <v>7744</v>
      </c>
      <c r="B2263" s="16" t="n">
        <v>2258</v>
      </c>
      <c r="C2263" s="16" t="s">
        <v>7745</v>
      </c>
      <c r="D2263" s="16" t="n">
        <v>7</v>
      </c>
      <c r="E2263" s="37" t="s">
        <v>7746</v>
      </c>
      <c r="F2263" s="16" t="s">
        <v>1285</v>
      </c>
      <c r="G2263" s="16" t="s">
        <v>563</v>
      </c>
      <c r="H2263" s="16" t="s">
        <v>2225</v>
      </c>
      <c r="I2263" s="16" t="s">
        <v>68</v>
      </c>
      <c r="J2263" s="16" t="s">
        <v>2137</v>
      </c>
      <c r="K2263" s="32" t="n">
        <v>3</v>
      </c>
      <c r="L2263" s="33" t="n">
        <v>46563</v>
      </c>
      <c r="M2263" s="33" t="n">
        <v>46565</v>
      </c>
      <c r="N2263" s="16" t="s">
        <v>7747</v>
      </c>
      <c r="O2263" s="16"/>
      <c r="P2263" s="16" t="str">
        <f aca="false">IF(AND(L2263&lt;=$D$2,M2263&gt;=$C$2),"Sí","")</f>
        <v/>
      </c>
      <c r="Q2263" s="18" t="str">
        <f aca="false">IF(COUNTIF(LOOKAHEAD!$A$5:$A$604,A2263)&gt;0,"En Lookahead",IF(P2263="Sí","INCORPORAR",""))</f>
        <v/>
      </c>
    </row>
    <row r="2264" customFormat="false" ht="15" hidden="false" customHeight="false" outlineLevel="0" collapsed="false">
      <c r="A2264" s="16" t="s">
        <v>7748</v>
      </c>
      <c r="B2264" s="16" t="n">
        <v>2259</v>
      </c>
      <c r="C2264" s="16" t="s">
        <v>7749</v>
      </c>
      <c r="D2264" s="16" t="n">
        <v>7</v>
      </c>
      <c r="E2264" s="37" t="s">
        <v>7750</v>
      </c>
      <c r="F2264" s="16" t="s">
        <v>1285</v>
      </c>
      <c r="G2264" s="16" t="s">
        <v>563</v>
      </c>
      <c r="H2264" s="16" t="s">
        <v>2225</v>
      </c>
      <c r="I2264" s="16" t="s">
        <v>68</v>
      </c>
      <c r="J2264" s="16" t="s">
        <v>2137</v>
      </c>
      <c r="K2264" s="32" t="n">
        <v>1</v>
      </c>
      <c r="L2264" s="33" t="n">
        <v>46566</v>
      </c>
      <c r="M2264" s="33" t="n">
        <v>46566</v>
      </c>
      <c r="N2264" s="16" t="s">
        <v>7751</v>
      </c>
      <c r="O2264" s="16"/>
      <c r="P2264" s="16" t="str">
        <f aca="false">IF(AND(L2264&lt;=$D$2,M2264&gt;=$C$2),"Sí","")</f>
        <v/>
      </c>
      <c r="Q2264" s="18" t="str">
        <f aca="false">IF(COUNTIF(LOOKAHEAD!$A$5:$A$604,A2264)&gt;0,"En Lookahead",IF(P2264="Sí","INCORPORAR",""))</f>
        <v/>
      </c>
    </row>
    <row r="2265" customFormat="false" ht="15" hidden="false" customHeight="false" outlineLevel="0" collapsed="false">
      <c r="A2265" s="16" t="s">
        <v>7752</v>
      </c>
      <c r="B2265" s="16" t="n">
        <v>2260</v>
      </c>
      <c r="C2265" s="16" t="s">
        <v>7753</v>
      </c>
      <c r="D2265" s="16" t="n">
        <v>7</v>
      </c>
      <c r="E2265" s="37" t="s">
        <v>7754</v>
      </c>
      <c r="F2265" s="16" t="s">
        <v>1285</v>
      </c>
      <c r="G2265" s="16" t="s">
        <v>563</v>
      </c>
      <c r="H2265" s="16" t="s">
        <v>2225</v>
      </c>
      <c r="I2265" s="16" t="s">
        <v>68</v>
      </c>
      <c r="J2265" s="16" t="s">
        <v>2137</v>
      </c>
      <c r="K2265" s="32" t="n">
        <v>6</v>
      </c>
      <c r="L2265" s="33" t="n">
        <v>46567</v>
      </c>
      <c r="M2265" s="33" t="n">
        <v>46572</v>
      </c>
      <c r="N2265" s="16" t="s">
        <v>7755</v>
      </c>
      <c r="O2265" s="16"/>
      <c r="P2265" s="16" t="str">
        <f aca="false">IF(AND(L2265&lt;=$D$2,M2265&gt;=$C$2),"Sí","")</f>
        <v/>
      </c>
      <c r="Q2265" s="18" t="str">
        <f aca="false">IF(COUNTIF(LOOKAHEAD!$A$5:$A$604,A2265)&gt;0,"En Lookahead",IF(P2265="Sí","INCORPORAR",""))</f>
        <v/>
      </c>
    </row>
    <row r="2266" customFormat="false" ht="15" hidden="false" customHeight="false" outlineLevel="0" collapsed="false">
      <c r="A2266" s="13" t="s">
        <v>7756</v>
      </c>
      <c r="B2266" s="13" t="n">
        <v>2261</v>
      </c>
      <c r="C2266" s="13" t="s">
        <v>7757</v>
      </c>
      <c r="D2266" s="13" t="n">
        <v>5</v>
      </c>
      <c r="E2266" s="34" t="s">
        <v>7416</v>
      </c>
      <c r="F2266" s="13" t="s">
        <v>1298</v>
      </c>
      <c r="G2266" s="13" t="s">
        <v>563</v>
      </c>
      <c r="H2266" s="13" t="s">
        <v>2225</v>
      </c>
      <c r="I2266" s="13" t="s">
        <v>68</v>
      </c>
      <c r="J2266" s="13" t="s">
        <v>2225</v>
      </c>
      <c r="K2266" s="30" t="n">
        <v>157</v>
      </c>
      <c r="L2266" s="31" t="n">
        <v>46356</v>
      </c>
      <c r="M2266" s="31" t="n">
        <v>46512</v>
      </c>
      <c r="N2266" s="13"/>
      <c r="O2266" s="13"/>
      <c r="P2266" s="13"/>
      <c r="Q2266" s="13"/>
    </row>
    <row r="2267" customFormat="false" ht="15" hidden="false" customHeight="false" outlineLevel="0" collapsed="false">
      <c r="A2267" s="16" t="s">
        <v>7758</v>
      </c>
      <c r="B2267" s="16" t="n">
        <v>2262</v>
      </c>
      <c r="C2267" s="16" t="s">
        <v>7759</v>
      </c>
      <c r="D2267" s="16" t="n">
        <v>6</v>
      </c>
      <c r="E2267" s="35" t="s">
        <v>7419</v>
      </c>
      <c r="F2267" s="16" t="s">
        <v>1285</v>
      </c>
      <c r="G2267" s="16" t="s">
        <v>563</v>
      </c>
      <c r="H2267" s="16" t="s">
        <v>2225</v>
      </c>
      <c r="I2267" s="16" t="s">
        <v>68</v>
      </c>
      <c r="J2267" s="16" t="s">
        <v>7416</v>
      </c>
      <c r="K2267" s="32" t="n">
        <v>10</v>
      </c>
      <c r="L2267" s="33" t="n">
        <v>46356</v>
      </c>
      <c r="M2267" s="33" t="n">
        <v>46365</v>
      </c>
      <c r="N2267" s="16" t="s">
        <v>7523</v>
      </c>
      <c r="O2267" s="16"/>
      <c r="P2267" s="16" t="str">
        <f aca="false">IF(AND(L2267&lt;=$D$2,M2267&gt;=$C$2),"Sí","")</f>
        <v/>
      </c>
      <c r="Q2267" s="18" t="str">
        <f aca="false">IF(COUNTIF(LOOKAHEAD!$A$5:$A$604,A2267)&gt;0,"En Lookahead",IF(P2267="Sí","INCORPORAR",""))</f>
        <v/>
      </c>
    </row>
    <row r="2268" customFormat="false" ht="15" hidden="false" customHeight="false" outlineLevel="0" collapsed="false">
      <c r="A2268" s="16" t="s">
        <v>7760</v>
      </c>
      <c r="B2268" s="16" t="n">
        <v>2263</v>
      </c>
      <c r="C2268" s="16" t="s">
        <v>7761</v>
      </c>
      <c r="D2268" s="16" t="n">
        <v>6</v>
      </c>
      <c r="E2268" s="35" t="s">
        <v>7422</v>
      </c>
      <c r="F2268" s="16" t="s">
        <v>1285</v>
      </c>
      <c r="G2268" s="16" t="s">
        <v>563</v>
      </c>
      <c r="H2268" s="16" t="s">
        <v>2225</v>
      </c>
      <c r="I2268" s="16" t="s">
        <v>68</v>
      </c>
      <c r="J2268" s="16" t="s">
        <v>7416</v>
      </c>
      <c r="K2268" s="32" t="n">
        <v>25</v>
      </c>
      <c r="L2268" s="33" t="n">
        <v>46366</v>
      </c>
      <c r="M2268" s="33" t="n">
        <v>46390</v>
      </c>
      <c r="N2268" s="16" t="s">
        <v>7762</v>
      </c>
      <c r="O2268" s="16"/>
      <c r="P2268" s="16" t="str">
        <f aca="false">IF(AND(L2268&lt;=$D$2,M2268&gt;=$C$2),"Sí","")</f>
        <v/>
      </c>
      <c r="Q2268" s="18" t="str">
        <f aca="false">IF(COUNTIF(LOOKAHEAD!$A$5:$A$604,A2268)&gt;0,"En Lookahead",IF(P2268="Sí","INCORPORAR",""))</f>
        <v/>
      </c>
    </row>
    <row r="2269" customFormat="false" ht="15" hidden="false" customHeight="false" outlineLevel="0" collapsed="false">
      <c r="A2269" s="16" t="s">
        <v>7763</v>
      </c>
      <c r="B2269" s="16" t="n">
        <v>2264</v>
      </c>
      <c r="C2269" s="16" t="s">
        <v>7764</v>
      </c>
      <c r="D2269" s="16" t="n">
        <v>6</v>
      </c>
      <c r="E2269" s="35" t="s">
        <v>7426</v>
      </c>
      <c r="F2269" s="16" t="s">
        <v>1285</v>
      </c>
      <c r="G2269" s="16" t="s">
        <v>563</v>
      </c>
      <c r="H2269" s="16" t="s">
        <v>2225</v>
      </c>
      <c r="I2269" s="16" t="s">
        <v>68</v>
      </c>
      <c r="J2269" s="16" t="s">
        <v>7416</v>
      </c>
      <c r="K2269" s="32" t="n">
        <v>5</v>
      </c>
      <c r="L2269" s="33" t="n">
        <v>46377</v>
      </c>
      <c r="M2269" s="33" t="n">
        <v>46381</v>
      </c>
      <c r="N2269" s="16" t="s">
        <v>7550</v>
      </c>
      <c r="O2269" s="16"/>
      <c r="P2269" s="16" t="str">
        <f aca="false">IF(AND(L2269&lt;=$D$2,M2269&gt;=$C$2),"Sí","")</f>
        <v/>
      </c>
      <c r="Q2269" s="18" t="str">
        <f aca="false">IF(COUNTIF(LOOKAHEAD!$A$5:$A$604,A2269)&gt;0,"En Lookahead",IF(P2269="Sí","INCORPORAR",""))</f>
        <v/>
      </c>
    </row>
    <row r="2270" customFormat="false" ht="15" hidden="false" customHeight="false" outlineLevel="0" collapsed="false">
      <c r="A2270" s="16" t="s">
        <v>7765</v>
      </c>
      <c r="B2270" s="16" t="n">
        <v>2265</v>
      </c>
      <c r="C2270" s="16" t="s">
        <v>7766</v>
      </c>
      <c r="D2270" s="16" t="n">
        <v>6</v>
      </c>
      <c r="E2270" s="35" t="s">
        <v>7429</v>
      </c>
      <c r="F2270" s="16" t="s">
        <v>1285</v>
      </c>
      <c r="G2270" s="16" t="s">
        <v>563</v>
      </c>
      <c r="H2270" s="16" t="s">
        <v>2225</v>
      </c>
      <c r="I2270" s="16" t="s">
        <v>68</v>
      </c>
      <c r="J2270" s="16" t="s">
        <v>7416</v>
      </c>
      <c r="K2270" s="32" t="n">
        <v>5</v>
      </c>
      <c r="L2270" s="33" t="n">
        <v>46493</v>
      </c>
      <c r="M2270" s="33" t="n">
        <v>46497</v>
      </c>
      <c r="N2270" s="16" t="s">
        <v>7664</v>
      </c>
      <c r="O2270" s="16"/>
      <c r="P2270" s="16" t="str">
        <f aca="false">IF(AND(L2270&lt;=$D$2,M2270&gt;=$C$2),"Sí","")</f>
        <v/>
      </c>
      <c r="Q2270" s="18" t="str">
        <f aca="false">IF(COUNTIF(LOOKAHEAD!$A$5:$A$604,A2270)&gt;0,"En Lookahead",IF(P2270="Sí","INCORPORAR",""))</f>
        <v/>
      </c>
    </row>
    <row r="2271" customFormat="false" ht="15" hidden="false" customHeight="false" outlineLevel="0" collapsed="false">
      <c r="A2271" s="16" t="s">
        <v>7767</v>
      </c>
      <c r="B2271" s="16" t="n">
        <v>2266</v>
      </c>
      <c r="C2271" s="16" t="s">
        <v>7768</v>
      </c>
      <c r="D2271" s="16" t="n">
        <v>6</v>
      </c>
      <c r="E2271" s="35" t="s">
        <v>7432</v>
      </c>
      <c r="F2271" s="16" t="s">
        <v>1285</v>
      </c>
      <c r="G2271" s="16" t="s">
        <v>563</v>
      </c>
      <c r="H2271" s="16" t="s">
        <v>2225</v>
      </c>
      <c r="I2271" s="16" t="s">
        <v>68</v>
      </c>
      <c r="J2271" s="16" t="s">
        <v>7416</v>
      </c>
      <c r="K2271" s="32" t="n">
        <v>15</v>
      </c>
      <c r="L2271" s="33" t="n">
        <v>46498</v>
      </c>
      <c r="M2271" s="33" t="n">
        <v>46512</v>
      </c>
      <c r="N2271" s="16" t="s">
        <v>7769</v>
      </c>
      <c r="O2271" s="16"/>
      <c r="P2271" s="16" t="str">
        <f aca="false">IF(AND(L2271&lt;=$D$2,M2271&gt;=$C$2),"Sí","")</f>
        <v/>
      </c>
      <c r="Q2271" s="18" t="str">
        <f aca="false">IF(COUNTIF(LOOKAHEAD!$A$5:$A$604,A2271)&gt;0,"En Lookahead",IF(P2271="Sí","INCORPORAR",""))</f>
        <v/>
      </c>
    </row>
    <row r="2272" customFormat="false" ht="15" hidden="false" customHeight="false" outlineLevel="0" collapsed="false">
      <c r="A2272" s="13" t="s">
        <v>7770</v>
      </c>
      <c r="B2272" s="13" t="n">
        <v>2267</v>
      </c>
      <c r="C2272" s="13" t="s">
        <v>7771</v>
      </c>
      <c r="D2272" s="13" t="n">
        <v>5</v>
      </c>
      <c r="E2272" s="34" t="s">
        <v>7440</v>
      </c>
      <c r="F2272" s="13" t="s">
        <v>1298</v>
      </c>
      <c r="G2272" s="13" t="s">
        <v>563</v>
      </c>
      <c r="H2272" s="13" t="s">
        <v>2225</v>
      </c>
      <c r="I2272" s="13" t="s">
        <v>68</v>
      </c>
      <c r="J2272" s="13" t="s">
        <v>2225</v>
      </c>
      <c r="K2272" s="30" t="n">
        <v>22</v>
      </c>
      <c r="L2272" s="31" t="n">
        <v>46513</v>
      </c>
      <c r="M2272" s="31" t="n">
        <v>46534</v>
      </c>
      <c r="N2272" s="13"/>
      <c r="O2272" s="13"/>
      <c r="P2272" s="13"/>
      <c r="Q2272" s="13"/>
    </row>
    <row r="2273" customFormat="false" ht="15" hidden="false" customHeight="false" outlineLevel="0" collapsed="false">
      <c r="A2273" s="16" t="s">
        <v>7772</v>
      </c>
      <c r="B2273" s="16" t="n">
        <v>2268</v>
      </c>
      <c r="C2273" s="16" t="s">
        <v>7773</v>
      </c>
      <c r="D2273" s="16" t="n">
        <v>6</v>
      </c>
      <c r="E2273" s="35" t="s">
        <v>7774</v>
      </c>
      <c r="F2273" s="16" t="s">
        <v>1285</v>
      </c>
      <c r="G2273" s="16" t="s">
        <v>563</v>
      </c>
      <c r="H2273" s="16" t="s">
        <v>2225</v>
      </c>
      <c r="I2273" s="16" t="s">
        <v>68</v>
      </c>
      <c r="J2273" s="16" t="s">
        <v>7440</v>
      </c>
      <c r="K2273" s="32" t="n">
        <v>7</v>
      </c>
      <c r="L2273" s="33" t="n">
        <v>46513</v>
      </c>
      <c r="M2273" s="33" t="n">
        <v>46519</v>
      </c>
      <c r="N2273" s="16" t="s">
        <v>7775</v>
      </c>
      <c r="O2273" s="16"/>
      <c r="P2273" s="16" t="str">
        <f aca="false">IF(AND(L2273&lt;=$D$2,M2273&gt;=$C$2),"Sí","")</f>
        <v/>
      </c>
      <c r="Q2273" s="18" t="str">
        <f aca="false">IF(COUNTIF(LOOKAHEAD!$A$5:$A$604,A2273)&gt;0,"En Lookahead",IF(P2273="Sí","INCORPORAR",""))</f>
        <v/>
      </c>
    </row>
    <row r="2274" customFormat="false" ht="15" hidden="false" customHeight="false" outlineLevel="0" collapsed="false">
      <c r="A2274" s="16" t="s">
        <v>7776</v>
      </c>
      <c r="B2274" s="16" t="n">
        <v>2269</v>
      </c>
      <c r="C2274" s="16" t="s">
        <v>7777</v>
      </c>
      <c r="D2274" s="16" t="n">
        <v>6</v>
      </c>
      <c r="E2274" s="35" t="s">
        <v>7451</v>
      </c>
      <c r="F2274" s="16" t="s">
        <v>1285</v>
      </c>
      <c r="G2274" s="16" t="s">
        <v>563</v>
      </c>
      <c r="H2274" s="16" t="s">
        <v>2225</v>
      </c>
      <c r="I2274" s="16" t="s">
        <v>68</v>
      </c>
      <c r="J2274" s="16" t="s">
        <v>7440</v>
      </c>
      <c r="K2274" s="32" t="n">
        <v>15</v>
      </c>
      <c r="L2274" s="33" t="n">
        <v>46520</v>
      </c>
      <c r="M2274" s="33" t="n">
        <v>46534</v>
      </c>
      <c r="N2274" s="16" t="s">
        <v>7778</v>
      </c>
      <c r="O2274" s="16"/>
      <c r="P2274" s="16" t="str">
        <f aca="false">IF(AND(L2274&lt;=$D$2,M2274&gt;=$C$2),"Sí","")</f>
        <v/>
      </c>
      <c r="Q2274" s="18" t="str">
        <f aca="false">IF(COUNTIF(LOOKAHEAD!$A$5:$A$604,A2274)&gt;0,"En Lookahead",IF(P2274="Sí","INCORPORAR",""))</f>
        <v/>
      </c>
    </row>
    <row r="2275" customFormat="false" ht="15" hidden="false" customHeight="false" outlineLevel="0" collapsed="false">
      <c r="A2275" s="13" t="s">
        <v>7779</v>
      </c>
      <c r="B2275" s="13" t="n">
        <v>2270</v>
      </c>
      <c r="C2275" s="13" t="s">
        <v>7780</v>
      </c>
      <c r="D2275" s="13" t="n">
        <v>5</v>
      </c>
      <c r="E2275" s="34" t="s">
        <v>7455</v>
      </c>
      <c r="F2275" s="13" t="s">
        <v>1298</v>
      </c>
      <c r="G2275" s="13" t="s">
        <v>563</v>
      </c>
      <c r="H2275" s="13" t="s">
        <v>2225</v>
      </c>
      <c r="I2275" s="13" t="s">
        <v>68</v>
      </c>
      <c r="J2275" s="13" t="s">
        <v>2225</v>
      </c>
      <c r="K2275" s="30" t="n">
        <v>17</v>
      </c>
      <c r="L2275" s="31" t="n">
        <v>46535</v>
      </c>
      <c r="M2275" s="31" t="n">
        <v>46551</v>
      </c>
      <c r="N2275" s="13"/>
      <c r="O2275" s="13"/>
      <c r="P2275" s="13"/>
      <c r="Q2275" s="13"/>
    </row>
    <row r="2276" customFormat="false" ht="15" hidden="false" customHeight="false" outlineLevel="0" collapsed="false">
      <c r="A2276" s="13" t="s">
        <v>7781</v>
      </c>
      <c r="B2276" s="13" t="n">
        <v>2271</v>
      </c>
      <c r="C2276" s="13" t="s">
        <v>7782</v>
      </c>
      <c r="D2276" s="13" t="n">
        <v>6</v>
      </c>
      <c r="E2276" s="36" t="s">
        <v>7458</v>
      </c>
      <c r="F2276" s="13" t="s">
        <v>1298</v>
      </c>
      <c r="G2276" s="13" t="s">
        <v>563</v>
      </c>
      <c r="H2276" s="13" t="s">
        <v>2225</v>
      </c>
      <c r="I2276" s="13" t="s">
        <v>68</v>
      </c>
      <c r="J2276" s="13" t="s">
        <v>7455</v>
      </c>
      <c r="K2276" s="30" t="n">
        <v>13</v>
      </c>
      <c r="L2276" s="31" t="n">
        <v>46535</v>
      </c>
      <c r="M2276" s="31" t="n">
        <v>46547</v>
      </c>
      <c r="N2276" s="13"/>
      <c r="O2276" s="13"/>
      <c r="P2276" s="13"/>
      <c r="Q2276" s="13"/>
    </row>
    <row r="2277" customFormat="false" ht="15" hidden="false" customHeight="false" outlineLevel="0" collapsed="false">
      <c r="A2277" s="16" t="s">
        <v>7783</v>
      </c>
      <c r="B2277" s="16" t="n">
        <v>2272</v>
      </c>
      <c r="C2277" s="16" t="s">
        <v>7784</v>
      </c>
      <c r="D2277" s="16" t="n">
        <v>7</v>
      </c>
      <c r="E2277" s="37" t="s">
        <v>7785</v>
      </c>
      <c r="F2277" s="16" t="s">
        <v>1285</v>
      </c>
      <c r="G2277" s="16" t="s">
        <v>563</v>
      </c>
      <c r="H2277" s="16" t="s">
        <v>2225</v>
      </c>
      <c r="I2277" s="16" t="s">
        <v>68</v>
      </c>
      <c r="J2277" s="16" t="s">
        <v>7458</v>
      </c>
      <c r="K2277" s="32" t="n">
        <v>1</v>
      </c>
      <c r="L2277" s="33" t="n">
        <v>46535</v>
      </c>
      <c r="M2277" s="33" t="n">
        <v>46535</v>
      </c>
      <c r="N2277" s="16" t="s">
        <v>7786</v>
      </c>
      <c r="O2277" s="16"/>
      <c r="P2277" s="16" t="str">
        <f aca="false">IF(AND(L2277&lt;=$D$2,M2277&gt;=$C$2),"Sí","")</f>
        <v/>
      </c>
      <c r="Q2277" s="18" t="str">
        <f aca="false">IF(COUNTIF(LOOKAHEAD!$A$5:$A$604,A2277)&gt;0,"En Lookahead",IF(P2277="Sí","INCORPORAR",""))</f>
        <v/>
      </c>
    </row>
    <row r="2278" customFormat="false" ht="15" hidden="false" customHeight="false" outlineLevel="0" collapsed="false">
      <c r="A2278" s="16" t="s">
        <v>7787</v>
      </c>
      <c r="B2278" s="16" t="n">
        <v>2273</v>
      </c>
      <c r="C2278" s="16" t="s">
        <v>7788</v>
      </c>
      <c r="D2278" s="16" t="n">
        <v>7</v>
      </c>
      <c r="E2278" s="37" t="s">
        <v>7461</v>
      </c>
      <c r="F2278" s="16" t="s">
        <v>1285</v>
      </c>
      <c r="G2278" s="16" t="s">
        <v>563</v>
      </c>
      <c r="H2278" s="16" t="s">
        <v>2225</v>
      </c>
      <c r="I2278" s="16" t="s">
        <v>68</v>
      </c>
      <c r="J2278" s="16" t="s">
        <v>7458</v>
      </c>
      <c r="K2278" s="32" t="n">
        <v>6</v>
      </c>
      <c r="L2278" s="33" t="n">
        <v>46536</v>
      </c>
      <c r="M2278" s="33" t="n">
        <v>46541</v>
      </c>
      <c r="N2278" s="16" t="s">
        <v>7789</v>
      </c>
      <c r="O2278" s="16"/>
      <c r="P2278" s="16" t="str">
        <f aca="false">IF(AND(L2278&lt;=$D$2,M2278&gt;=$C$2),"Sí","")</f>
        <v/>
      </c>
      <c r="Q2278" s="18" t="str">
        <f aca="false">IF(COUNTIF(LOOKAHEAD!$A$5:$A$604,A2278)&gt;0,"En Lookahead",IF(P2278="Sí","INCORPORAR",""))</f>
        <v/>
      </c>
    </row>
    <row r="2279" customFormat="false" ht="15" hidden="false" customHeight="false" outlineLevel="0" collapsed="false">
      <c r="A2279" s="16" t="s">
        <v>7790</v>
      </c>
      <c r="B2279" s="16" t="n">
        <v>2274</v>
      </c>
      <c r="C2279" s="16" t="s">
        <v>7791</v>
      </c>
      <c r="D2279" s="16" t="n">
        <v>7</v>
      </c>
      <c r="E2279" s="37" t="s">
        <v>7465</v>
      </c>
      <c r="F2279" s="16" t="s">
        <v>1285</v>
      </c>
      <c r="G2279" s="16" t="s">
        <v>563</v>
      </c>
      <c r="H2279" s="16" t="s">
        <v>2225</v>
      </c>
      <c r="I2279" s="16" t="s">
        <v>68</v>
      </c>
      <c r="J2279" s="16" t="s">
        <v>7458</v>
      </c>
      <c r="K2279" s="32" t="n">
        <v>5</v>
      </c>
      <c r="L2279" s="33" t="n">
        <v>46542</v>
      </c>
      <c r="M2279" s="33" t="n">
        <v>46546</v>
      </c>
      <c r="N2279" s="16" t="s">
        <v>7792</v>
      </c>
      <c r="O2279" s="16"/>
      <c r="P2279" s="16" t="str">
        <f aca="false">IF(AND(L2279&lt;=$D$2,M2279&gt;=$C$2),"Sí","")</f>
        <v/>
      </c>
      <c r="Q2279" s="18" t="str">
        <f aca="false">IF(COUNTIF(LOOKAHEAD!$A$5:$A$604,A2279)&gt;0,"En Lookahead",IF(P2279="Sí","INCORPORAR",""))</f>
        <v/>
      </c>
    </row>
    <row r="2280" customFormat="false" ht="15" hidden="false" customHeight="false" outlineLevel="0" collapsed="false">
      <c r="A2280" s="16" t="s">
        <v>7793</v>
      </c>
      <c r="B2280" s="16" t="n">
        <v>2275</v>
      </c>
      <c r="C2280" s="16" t="s">
        <v>7794</v>
      </c>
      <c r="D2280" s="16" t="n">
        <v>7</v>
      </c>
      <c r="E2280" s="37" t="s">
        <v>7469</v>
      </c>
      <c r="F2280" s="16" t="s">
        <v>1285</v>
      </c>
      <c r="G2280" s="16" t="s">
        <v>563</v>
      </c>
      <c r="H2280" s="16" t="s">
        <v>2225</v>
      </c>
      <c r="I2280" s="16" t="s">
        <v>68</v>
      </c>
      <c r="J2280" s="16" t="s">
        <v>7458</v>
      </c>
      <c r="K2280" s="32" t="n">
        <v>1</v>
      </c>
      <c r="L2280" s="33" t="n">
        <v>46547</v>
      </c>
      <c r="M2280" s="33" t="n">
        <v>46547</v>
      </c>
      <c r="N2280" s="16" t="s">
        <v>7795</v>
      </c>
      <c r="O2280" s="16"/>
      <c r="P2280" s="16" t="str">
        <f aca="false">IF(AND(L2280&lt;=$D$2,M2280&gt;=$C$2),"Sí","")</f>
        <v/>
      </c>
      <c r="Q2280" s="18" t="str">
        <f aca="false">IF(COUNTIF(LOOKAHEAD!$A$5:$A$604,A2280)&gt;0,"En Lookahead",IF(P2280="Sí","INCORPORAR",""))</f>
        <v/>
      </c>
    </row>
    <row r="2281" customFormat="false" ht="15" hidden="false" customHeight="false" outlineLevel="0" collapsed="false">
      <c r="A2281" s="13" t="s">
        <v>7796</v>
      </c>
      <c r="B2281" s="13" t="n">
        <v>2276</v>
      </c>
      <c r="C2281" s="13" t="s">
        <v>7797</v>
      </c>
      <c r="D2281" s="13" t="n">
        <v>6</v>
      </c>
      <c r="E2281" s="36" t="s">
        <v>7798</v>
      </c>
      <c r="F2281" s="13" t="s">
        <v>1298</v>
      </c>
      <c r="G2281" s="13" t="s">
        <v>563</v>
      </c>
      <c r="H2281" s="13" t="s">
        <v>2225</v>
      </c>
      <c r="I2281" s="13" t="s">
        <v>68</v>
      </c>
      <c r="J2281" s="13" t="s">
        <v>7455</v>
      </c>
      <c r="K2281" s="30" t="n">
        <v>2</v>
      </c>
      <c r="L2281" s="31" t="n">
        <v>46548</v>
      </c>
      <c r="M2281" s="31" t="n">
        <v>46549</v>
      </c>
      <c r="N2281" s="13"/>
      <c r="O2281" s="13"/>
      <c r="P2281" s="13"/>
      <c r="Q2281" s="13"/>
    </row>
    <row r="2282" customFormat="false" ht="15" hidden="false" customHeight="false" outlineLevel="0" collapsed="false">
      <c r="A2282" s="16" t="s">
        <v>7799</v>
      </c>
      <c r="B2282" s="16" t="n">
        <v>2277</v>
      </c>
      <c r="C2282" s="16" t="s">
        <v>7800</v>
      </c>
      <c r="D2282" s="16" t="n">
        <v>7</v>
      </c>
      <c r="E2282" s="37" t="s">
        <v>7801</v>
      </c>
      <c r="F2282" s="16" t="s">
        <v>1285</v>
      </c>
      <c r="G2282" s="16" t="s">
        <v>563</v>
      </c>
      <c r="H2282" s="16" t="s">
        <v>2225</v>
      </c>
      <c r="I2282" s="16" t="s">
        <v>68</v>
      </c>
      <c r="J2282" s="16" t="s">
        <v>7798</v>
      </c>
      <c r="K2282" s="32" t="n">
        <v>2</v>
      </c>
      <c r="L2282" s="33" t="n">
        <v>46548</v>
      </c>
      <c r="M2282" s="33" t="n">
        <v>46549</v>
      </c>
      <c r="N2282" s="16" t="s">
        <v>7802</v>
      </c>
      <c r="O2282" s="16"/>
      <c r="P2282" s="16" t="str">
        <f aca="false">IF(AND(L2282&lt;=$D$2,M2282&gt;=$C$2),"Sí","")</f>
        <v/>
      </c>
      <c r="Q2282" s="18" t="str">
        <f aca="false">IF(COUNTIF(LOOKAHEAD!$A$5:$A$604,A2282)&gt;0,"En Lookahead",IF(P2282="Sí","INCORPORAR",""))</f>
        <v/>
      </c>
    </row>
    <row r="2283" customFormat="false" ht="15" hidden="false" customHeight="false" outlineLevel="0" collapsed="false">
      <c r="A2283" s="13" t="s">
        <v>7803</v>
      </c>
      <c r="B2283" s="13" t="n">
        <v>2278</v>
      </c>
      <c r="C2283" s="13" t="s">
        <v>7804</v>
      </c>
      <c r="D2283" s="13" t="n">
        <v>6</v>
      </c>
      <c r="E2283" s="36" t="s">
        <v>7473</v>
      </c>
      <c r="F2283" s="13" t="s">
        <v>1298</v>
      </c>
      <c r="G2283" s="13" t="s">
        <v>563</v>
      </c>
      <c r="H2283" s="13" t="s">
        <v>2225</v>
      </c>
      <c r="I2283" s="13" t="s">
        <v>68</v>
      </c>
      <c r="J2283" s="13" t="s">
        <v>7455</v>
      </c>
      <c r="K2283" s="30" t="n">
        <v>1</v>
      </c>
      <c r="L2283" s="31" t="n">
        <v>46550</v>
      </c>
      <c r="M2283" s="31" t="n">
        <v>46550</v>
      </c>
      <c r="N2283" s="13"/>
      <c r="O2283" s="13"/>
      <c r="P2283" s="13"/>
      <c r="Q2283" s="13"/>
    </row>
    <row r="2284" customFormat="false" ht="15" hidden="false" customHeight="false" outlineLevel="0" collapsed="false">
      <c r="A2284" s="16" t="s">
        <v>7805</v>
      </c>
      <c r="B2284" s="16" t="n">
        <v>2279</v>
      </c>
      <c r="C2284" s="16" t="s">
        <v>7806</v>
      </c>
      <c r="D2284" s="16" t="n">
        <v>7</v>
      </c>
      <c r="E2284" s="37" t="s">
        <v>7476</v>
      </c>
      <c r="F2284" s="16" t="s">
        <v>1285</v>
      </c>
      <c r="G2284" s="16" t="s">
        <v>563</v>
      </c>
      <c r="H2284" s="16" t="s">
        <v>2225</v>
      </c>
      <c r="I2284" s="16" t="s">
        <v>68</v>
      </c>
      <c r="J2284" s="16" t="s">
        <v>7473</v>
      </c>
      <c r="K2284" s="32" t="n">
        <v>1</v>
      </c>
      <c r="L2284" s="33" t="n">
        <v>46550</v>
      </c>
      <c r="M2284" s="33" t="n">
        <v>46550</v>
      </c>
      <c r="N2284" s="16" t="s">
        <v>7807</v>
      </c>
      <c r="O2284" s="16"/>
      <c r="P2284" s="16" t="str">
        <f aca="false">IF(AND(L2284&lt;=$D$2,M2284&gt;=$C$2),"Sí","")</f>
        <v/>
      </c>
      <c r="Q2284" s="18" t="str">
        <f aca="false">IF(COUNTIF(LOOKAHEAD!$A$5:$A$604,A2284)&gt;0,"En Lookahead",IF(P2284="Sí","INCORPORAR",""))</f>
        <v/>
      </c>
    </row>
    <row r="2285" customFormat="false" ht="15" hidden="false" customHeight="false" outlineLevel="0" collapsed="false">
      <c r="A2285" s="13" t="s">
        <v>7808</v>
      </c>
      <c r="B2285" s="13" t="n">
        <v>2280</v>
      </c>
      <c r="C2285" s="13" t="s">
        <v>7809</v>
      </c>
      <c r="D2285" s="13" t="n">
        <v>6</v>
      </c>
      <c r="E2285" s="36" t="s">
        <v>7810</v>
      </c>
      <c r="F2285" s="13" t="s">
        <v>1298</v>
      </c>
      <c r="G2285" s="13" t="s">
        <v>563</v>
      </c>
      <c r="H2285" s="13" t="s">
        <v>2225</v>
      </c>
      <c r="I2285" s="13" t="s">
        <v>68</v>
      </c>
      <c r="J2285" s="13" t="s">
        <v>7455</v>
      </c>
      <c r="K2285" s="30" t="n">
        <v>1</v>
      </c>
      <c r="L2285" s="31" t="n">
        <v>46551</v>
      </c>
      <c r="M2285" s="31" t="n">
        <v>46551</v>
      </c>
      <c r="N2285" s="13"/>
      <c r="O2285" s="13"/>
      <c r="P2285" s="13"/>
      <c r="Q2285" s="13"/>
    </row>
    <row r="2286" customFormat="false" ht="15" hidden="false" customHeight="false" outlineLevel="0" collapsed="false">
      <c r="A2286" s="16" t="s">
        <v>7811</v>
      </c>
      <c r="B2286" s="16" t="n">
        <v>2281</v>
      </c>
      <c r="C2286" s="16" t="s">
        <v>7812</v>
      </c>
      <c r="D2286" s="16" t="n">
        <v>7</v>
      </c>
      <c r="E2286" s="37" t="s">
        <v>7813</v>
      </c>
      <c r="F2286" s="16" t="s">
        <v>1285</v>
      </c>
      <c r="G2286" s="16" t="s">
        <v>563</v>
      </c>
      <c r="H2286" s="16" t="s">
        <v>2225</v>
      </c>
      <c r="I2286" s="16" t="s">
        <v>68</v>
      </c>
      <c r="J2286" s="16" t="s">
        <v>7810</v>
      </c>
      <c r="K2286" s="32" t="n">
        <v>1</v>
      </c>
      <c r="L2286" s="33" t="n">
        <v>46551</v>
      </c>
      <c r="M2286" s="33" t="n">
        <v>46551</v>
      </c>
      <c r="N2286" s="16" t="s">
        <v>7814</v>
      </c>
      <c r="O2286" s="16"/>
      <c r="P2286" s="16" t="str">
        <f aca="false">IF(AND(L2286&lt;=$D$2,M2286&gt;=$C$2),"Sí","")</f>
        <v/>
      </c>
      <c r="Q2286" s="18" t="str">
        <f aca="false">IF(COUNTIF(LOOKAHEAD!$A$5:$A$604,A2286)&gt;0,"En Lookahead",IF(P2286="Sí","INCORPORAR",""))</f>
        <v/>
      </c>
    </row>
    <row r="2287" customFormat="false" ht="15" hidden="false" customHeight="false" outlineLevel="0" collapsed="false">
      <c r="A2287" s="13" t="s">
        <v>7815</v>
      </c>
      <c r="B2287" s="13" t="n">
        <v>2282</v>
      </c>
      <c r="C2287" s="13" t="s">
        <v>7816</v>
      </c>
      <c r="D2287" s="13" t="n">
        <v>4</v>
      </c>
      <c r="E2287" s="20" t="s">
        <v>3012</v>
      </c>
      <c r="F2287" s="13" t="s">
        <v>1298</v>
      </c>
      <c r="G2287" s="13" t="s">
        <v>563</v>
      </c>
      <c r="H2287" s="13" t="s">
        <v>3012</v>
      </c>
      <c r="I2287" s="13" t="s">
        <v>74</v>
      </c>
      <c r="J2287" s="13" t="s">
        <v>7172</v>
      </c>
      <c r="K2287" s="30" t="n">
        <v>290</v>
      </c>
      <c r="L2287" s="31" t="n">
        <v>46128</v>
      </c>
      <c r="M2287" s="31" t="n">
        <v>46497</v>
      </c>
      <c r="N2287" s="13"/>
      <c r="O2287" s="13"/>
      <c r="P2287" s="13"/>
      <c r="Q2287" s="13"/>
    </row>
    <row r="2288" customFormat="false" ht="15" hidden="false" customHeight="false" outlineLevel="0" collapsed="false">
      <c r="A2288" s="13" t="s">
        <v>7817</v>
      </c>
      <c r="B2288" s="13" t="n">
        <v>2283</v>
      </c>
      <c r="C2288" s="13" t="s">
        <v>7818</v>
      </c>
      <c r="D2288" s="13" t="n">
        <v>5</v>
      </c>
      <c r="E2288" s="34" t="s">
        <v>7177</v>
      </c>
      <c r="F2288" s="13" t="s">
        <v>1298</v>
      </c>
      <c r="G2288" s="13" t="s">
        <v>563</v>
      </c>
      <c r="H2288" s="13" t="s">
        <v>3012</v>
      </c>
      <c r="I2288" s="13" t="s">
        <v>74</v>
      </c>
      <c r="J2288" s="13" t="s">
        <v>3012</v>
      </c>
      <c r="K2288" s="30" t="n">
        <v>45</v>
      </c>
      <c r="L2288" s="31" t="n">
        <v>46128</v>
      </c>
      <c r="M2288" s="31" t="n">
        <v>46252</v>
      </c>
      <c r="N2288" s="13"/>
      <c r="O2288" s="13"/>
      <c r="P2288" s="13"/>
      <c r="Q2288" s="13"/>
    </row>
    <row r="2289" customFormat="false" ht="15" hidden="false" customHeight="false" outlineLevel="0" collapsed="false">
      <c r="A2289" s="16" t="s">
        <v>7819</v>
      </c>
      <c r="B2289" s="16" t="n">
        <v>2284</v>
      </c>
      <c r="C2289" s="16" t="s">
        <v>7820</v>
      </c>
      <c r="D2289" s="16" t="n">
        <v>6</v>
      </c>
      <c r="E2289" s="35" t="s">
        <v>7180</v>
      </c>
      <c r="F2289" s="16" t="s">
        <v>1285</v>
      </c>
      <c r="G2289" s="16" t="s">
        <v>563</v>
      </c>
      <c r="H2289" s="16" t="s">
        <v>3012</v>
      </c>
      <c r="I2289" s="16" t="s">
        <v>74</v>
      </c>
      <c r="J2289" s="16" t="s">
        <v>7177</v>
      </c>
      <c r="K2289" s="32" t="n">
        <v>40</v>
      </c>
      <c r="L2289" s="33" t="n">
        <v>46128</v>
      </c>
      <c r="M2289" s="33" t="n">
        <v>46247</v>
      </c>
      <c r="N2289" s="16" t="s">
        <v>3253</v>
      </c>
      <c r="O2289" s="16"/>
      <c r="P2289" s="16" t="str">
        <f aca="false">IF(AND(L2289&lt;=$D$2,M2289&gt;=$C$2),"Sí","")</f>
        <v/>
      </c>
      <c r="Q2289" s="18" t="str">
        <f aca="false">IF(COUNTIF(LOOKAHEAD!$A$5:$A$604,A2289)&gt;0,"En Lookahead",IF(P2289="Sí","INCORPORAR",""))</f>
        <v/>
      </c>
    </row>
    <row r="2290" customFormat="false" ht="15" hidden="false" customHeight="false" outlineLevel="0" collapsed="false">
      <c r="A2290" s="16" t="s">
        <v>7821</v>
      </c>
      <c r="B2290" s="16" t="n">
        <v>2285</v>
      </c>
      <c r="C2290" s="16" t="s">
        <v>7822</v>
      </c>
      <c r="D2290" s="16" t="n">
        <v>6</v>
      </c>
      <c r="E2290" s="35" t="s">
        <v>7190</v>
      </c>
      <c r="F2290" s="16" t="s">
        <v>1285</v>
      </c>
      <c r="G2290" s="16" t="s">
        <v>563</v>
      </c>
      <c r="H2290" s="16" t="s">
        <v>3012</v>
      </c>
      <c r="I2290" s="16" t="s">
        <v>74</v>
      </c>
      <c r="J2290" s="16" t="s">
        <v>7177</v>
      </c>
      <c r="K2290" s="32" t="n">
        <v>4</v>
      </c>
      <c r="L2290" s="33" t="n">
        <v>46248</v>
      </c>
      <c r="M2290" s="33" t="n">
        <v>46251</v>
      </c>
      <c r="N2290" s="16" t="s">
        <v>3302</v>
      </c>
      <c r="O2290" s="16"/>
      <c r="P2290" s="16" t="str">
        <f aca="false">IF(AND(L2290&lt;=$D$2,M2290&gt;=$C$2),"Sí","")</f>
        <v/>
      </c>
      <c r="Q2290" s="18" t="str">
        <f aca="false">IF(COUNTIF(LOOKAHEAD!$A$5:$A$604,A2290)&gt;0,"En Lookahead",IF(P2290="Sí","INCORPORAR",""))</f>
        <v/>
      </c>
    </row>
    <row r="2291" customFormat="false" ht="15" hidden="false" customHeight="false" outlineLevel="0" collapsed="false">
      <c r="A2291" s="16" t="s">
        <v>7823</v>
      </c>
      <c r="B2291" s="16" t="n">
        <v>2286</v>
      </c>
      <c r="C2291" s="16" t="s">
        <v>7824</v>
      </c>
      <c r="D2291" s="16" t="n">
        <v>6</v>
      </c>
      <c r="E2291" s="35" t="s">
        <v>7194</v>
      </c>
      <c r="F2291" s="16" t="s">
        <v>1285</v>
      </c>
      <c r="G2291" s="16" t="s">
        <v>563</v>
      </c>
      <c r="H2291" s="16" t="s">
        <v>3012</v>
      </c>
      <c r="I2291" s="16" t="s">
        <v>74</v>
      </c>
      <c r="J2291" s="16" t="s">
        <v>7177</v>
      </c>
      <c r="K2291" s="32" t="n">
        <v>1</v>
      </c>
      <c r="L2291" s="33" t="n">
        <v>46252</v>
      </c>
      <c r="M2291" s="33" t="n">
        <v>46252</v>
      </c>
      <c r="N2291" s="16" t="s">
        <v>7825</v>
      </c>
      <c r="O2291" s="16"/>
      <c r="P2291" s="16" t="str">
        <f aca="false">IF(AND(L2291&lt;=$D$2,M2291&gt;=$C$2),"Sí","")</f>
        <v/>
      </c>
      <c r="Q2291" s="18" t="str">
        <f aca="false">IF(COUNTIF(LOOKAHEAD!$A$5:$A$604,A2291)&gt;0,"En Lookahead",IF(P2291="Sí","INCORPORAR",""))</f>
        <v/>
      </c>
    </row>
    <row r="2292" customFormat="false" ht="15" hidden="false" customHeight="false" outlineLevel="0" collapsed="false">
      <c r="A2292" s="13" t="s">
        <v>7826</v>
      </c>
      <c r="B2292" s="13" t="n">
        <v>2287</v>
      </c>
      <c r="C2292" s="13" t="s">
        <v>7827</v>
      </c>
      <c r="D2292" s="13" t="n">
        <v>5</v>
      </c>
      <c r="E2292" s="34" t="s">
        <v>7206</v>
      </c>
      <c r="F2292" s="13" t="s">
        <v>1298</v>
      </c>
      <c r="G2292" s="13" t="s">
        <v>563</v>
      </c>
      <c r="H2292" s="13" t="s">
        <v>3012</v>
      </c>
      <c r="I2292" s="13" t="s">
        <v>74</v>
      </c>
      <c r="J2292" s="13" t="s">
        <v>3012</v>
      </c>
      <c r="K2292" s="30" t="n">
        <v>113</v>
      </c>
      <c r="L2292" s="31" t="n">
        <v>46253</v>
      </c>
      <c r="M2292" s="31" t="n">
        <v>46365</v>
      </c>
      <c r="N2292" s="13"/>
      <c r="O2292" s="13"/>
      <c r="P2292" s="13"/>
      <c r="Q2292" s="13"/>
    </row>
    <row r="2293" customFormat="false" ht="15" hidden="false" customHeight="false" outlineLevel="0" collapsed="false">
      <c r="A2293" s="16" t="s">
        <v>7828</v>
      </c>
      <c r="B2293" s="16" t="n">
        <v>2288</v>
      </c>
      <c r="C2293" s="16" t="s">
        <v>7829</v>
      </c>
      <c r="D2293" s="16" t="n">
        <v>6</v>
      </c>
      <c r="E2293" s="35" t="s">
        <v>7209</v>
      </c>
      <c r="F2293" s="16" t="s">
        <v>1285</v>
      </c>
      <c r="G2293" s="16" t="s">
        <v>563</v>
      </c>
      <c r="H2293" s="16" t="s">
        <v>3012</v>
      </c>
      <c r="I2293" s="16" t="s">
        <v>74</v>
      </c>
      <c r="J2293" s="16" t="s">
        <v>7206</v>
      </c>
      <c r="K2293" s="32" t="n">
        <v>30</v>
      </c>
      <c r="L2293" s="33" t="n">
        <v>46253</v>
      </c>
      <c r="M2293" s="33" t="n">
        <v>46282</v>
      </c>
      <c r="N2293" s="16" t="s">
        <v>7830</v>
      </c>
      <c r="O2293" s="16"/>
      <c r="P2293" s="16" t="str">
        <f aca="false">IF(AND(L2293&lt;=$D$2,M2293&gt;=$C$2),"Sí","")</f>
        <v/>
      </c>
      <c r="Q2293" s="18" t="str">
        <f aca="false">IF(COUNTIF(LOOKAHEAD!$A$5:$A$604,A2293)&gt;0,"En Lookahead",IF(P2293="Sí","INCORPORAR",""))</f>
        <v/>
      </c>
    </row>
    <row r="2294" customFormat="false" ht="15" hidden="false" customHeight="false" outlineLevel="0" collapsed="false">
      <c r="A2294" s="16" t="s">
        <v>7831</v>
      </c>
      <c r="B2294" s="16" t="n">
        <v>2289</v>
      </c>
      <c r="C2294" s="16" t="s">
        <v>7832</v>
      </c>
      <c r="D2294" s="16" t="n">
        <v>6</v>
      </c>
      <c r="E2294" s="35" t="s">
        <v>7212</v>
      </c>
      <c r="F2294" s="16" t="s">
        <v>1285</v>
      </c>
      <c r="G2294" s="16" t="s">
        <v>563</v>
      </c>
      <c r="H2294" s="16" t="s">
        <v>3012</v>
      </c>
      <c r="I2294" s="16" t="s">
        <v>74</v>
      </c>
      <c r="J2294" s="16" t="s">
        <v>7206</v>
      </c>
      <c r="K2294" s="32" t="n">
        <v>28</v>
      </c>
      <c r="L2294" s="33" t="n">
        <v>46283</v>
      </c>
      <c r="M2294" s="33" t="n">
        <v>46310</v>
      </c>
      <c r="N2294" s="16" t="s">
        <v>7833</v>
      </c>
      <c r="O2294" s="16"/>
      <c r="P2294" s="16" t="str">
        <f aca="false">IF(AND(L2294&lt;=$D$2,M2294&gt;=$C$2),"Sí","")</f>
        <v>Sí</v>
      </c>
      <c r="Q2294" s="18" t="str">
        <f aca="false">IF(COUNTIF(LOOKAHEAD!$A$5:$A$604,A2294)&gt;0,"En Lookahead",IF(P2294="Sí","INCORPORAR",""))</f>
        <v>En Lookahead</v>
      </c>
    </row>
    <row r="2295" customFormat="false" ht="15" hidden="false" customHeight="false" outlineLevel="0" collapsed="false">
      <c r="A2295" s="16" t="s">
        <v>7834</v>
      </c>
      <c r="B2295" s="16" t="n">
        <v>2290</v>
      </c>
      <c r="C2295" s="16" t="s">
        <v>7835</v>
      </c>
      <c r="D2295" s="16" t="n">
        <v>6</v>
      </c>
      <c r="E2295" s="35" t="s">
        <v>7224</v>
      </c>
      <c r="F2295" s="16" t="s">
        <v>1285</v>
      </c>
      <c r="G2295" s="16" t="s">
        <v>563</v>
      </c>
      <c r="H2295" s="16" t="s">
        <v>3012</v>
      </c>
      <c r="I2295" s="16" t="s">
        <v>74</v>
      </c>
      <c r="J2295" s="16" t="s">
        <v>7206</v>
      </c>
      <c r="K2295" s="32" t="n">
        <v>18</v>
      </c>
      <c r="L2295" s="33" t="n">
        <v>46311</v>
      </c>
      <c r="M2295" s="33" t="n">
        <v>46328</v>
      </c>
      <c r="N2295" s="16" t="s">
        <v>7836</v>
      </c>
      <c r="O2295" s="16"/>
      <c r="P2295" s="16" t="str">
        <f aca="false">IF(AND(L2295&lt;=$D$2,M2295&gt;=$C$2),"Sí","")</f>
        <v>Sí</v>
      </c>
      <c r="Q2295" s="18" t="str">
        <f aca="false">IF(COUNTIF(LOOKAHEAD!$A$5:$A$604,A2295)&gt;0,"En Lookahead",IF(P2295="Sí","INCORPORAR",""))</f>
        <v>En Lookahead</v>
      </c>
    </row>
    <row r="2296" customFormat="false" ht="15" hidden="false" customHeight="false" outlineLevel="0" collapsed="false">
      <c r="A2296" s="16" t="s">
        <v>7837</v>
      </c>
      <c r="B2296" s="16" t="n">
        <v>2291</v>
      </c>
      <c r="C2296" s="16" t="s">
        <v>7838</v>
      </c>
      <c r="D2296" s="16" t="n">
        <v>6</v>
      </c>
      <c r="E2296" s="35" t="s">
        <v>7228</v>
      </c>
      <c r="F2296" s="16" t="s">
        <v>1285</v>
      </c>
      <c r="G2296" s="16" t="s">
        <v>563</v>
      </c>
      <c r="H2296" s="16" t="s">
        <v>3012</v>
      </c>
      <c r="I2296" s="16" t="s">
        <v>74</v>
      </c>
      <c r="J2296" s="16" t="s">
        <v>7206</v>
      </c>
      <c r="K2296" s="32" t="n">
        <v>55</v>
      </c>
      <c r="L2296" s="33" t="n">
        <v>46311</v>
      </c>
      <c r="M2296" s="33" t="n">
        <v>46365</v>
      </c>
      <c r="N2296" s="16" t="s">
        <v>7839</v>
      </c>
      <c r="O2296" s="16"/>
      <c r="P2296" s="16" t="str">
        <f aca="false">IF(AND(L2296&lt;=$D$2,M2296&gt;=$C$2),"Sí","")</f>
        <v>Sí</v>
      </c>
      <c r="Q2296" s="18" t="str">
        <f aca="false">IF(COUNTIF(LOOKAHEAD!$A$5:$A$604,A2296)&gt;0,"En Lookahead",IF(P2296="Sí","INCORPORAR",""))</f>
        <v>En Lookahead</v>
      </c>
    </row>
    <row r="2297" customFormat="false" ht="15" hidden="false" customHeight="false" outlineLevel="0" collapsed="false">
      <c r="A2297" s="16" t="s">
        <v>7840</v>
      </c>
      <c r="B2297" s="16" t="n">
        <v>2292</v>
      </c>
      <c r="C2297" s="16" t="s">
        <v>7841</v>
      </c>
      <c r="D2297" s="16" t="n">
        <v>6</v>
      </c>
      <c r="E2297" s="35" t="s">
        <v>7232</v>
      </c>
      <c r="F2297" s="16" t="s">
        <v>1285</v>
      </c>
      <c r="G2297" s="16" t="s">
        <v>563</v>
      </c>
      <c r="H2297" s="16" t="s">
        <v>3012</v>
      </c>
      <c r="I2297" s="16" t="s">
        <v>74</v>
      </c>
      <c r="J2297" s="16" t="s">
        <v>7206</v>
      </c>
      <c r="K2297" s="32" t="n">
        <v>30</v>
      </c>
      <c r="L2297" s="33" t="n">
        <v>46311</v>
      </c>
      <c r="M2297" s="33" t="n">
        <v>46340</v>
      </c>
      <c r="N2297" s="16" t="s">
        <v>7842</v>
      </c>
      <c r="O2297" s="16"/>
      <c r="P2297" s="16" t="str">
        <f aca="false">IF(AND(L2297&lt;=$D$2,M2297&gt;=$C$2),"Sí","")</f>
        <v>Sí</v>
      </c>
      <c r="Q2297" s="18" t="str">
        <f aca="false">IF(COUNTIF(LOOKAHEAD!$A$5:$A$604,A2297)&gt;0,"En Lookahead",IF(P2297="Sí","INCORPORAR",""))</f>
        <v>En Lookahead</v>
      </c>
    </row>
    <row r="2298" customFormat="false" ht="15" hidden="false" customHeight="false" outlineLevel="0" collapsed="false">
      <c r="A2298" s="13" t="s">
        <v>7843</v>
      </c>
      <c r="B2298" s="13" t="n">
        <v>2293</v>
      </c>
      <c r="C2298" s="13" t="s">
        <v>7844</v>
      </c>
      <c r="D2298" s="13" t="n">
        <v>5</v>
      </c>
      <c r="E2298" s="34" t="s">
        <v>7236</v>
      </c>
      <c r="F2298" s="13" t="s">
        <v>1298</v>
      </c>
      <c r="G2298" s="13" t="s">
        <v>563</v>
      </c>
      <c r="H2298" s="13" t="s">
        <v>3012</v>
      </c>
      <c r="I2298" s="13" t="s">
        <v>74</v>
      </c>
      <c r="J2298" s="13" t="s">
        <v>3012</v>
      </c>
      <c r="K2298" s="30" t="n">
        <v>40</v>
      </c>
      <c r="L2298" s="31" t="n">
        <v>46341</v>
      </c>
      <c r="M2298" s="31" t="n">
        <v>46380</v>
      </c>
      <c r="N2298" s="13"/>
      <c r="O2298" s="13"/>
      <c r="P2298" s="13"/>
      <c r="Q2298" s="13"/>
    </row>
    <row r="2299" customFormat="false" ht="15" hidden="false" customHeight="false" outlineLevel="0" collapsed="false">
      <c r="A2299" s="16" t="s">
        <v>7845</v>
      </c>
      <c r="B2299" s="16" t="n">
        <v>2294</v>
      </c>
      <c r="C2299" s="16" t="s">
        <v>7846</v>
      </c>
      <c r="D2299" s="16" t="n">
        <v>6</v>
      </c>
      <c r="E2299" s="35" t="s">
        <v>7239</v>
      </c>
      <c r="F2299" s="16" t="s">
        <v>1285</v>
      </c>
      <c r="G2299" s="16" t="s">
        <v>563</v>
      </c>
      <c r="H2299" s="16" t="s">
        <v>3012</v>
      </c>
      <c r="I2299" s="16" t="s">
        <v>74</v>
      </c>
      <c r="J2299" s="16" t="s">
        <v>7236</v>
      </c>
      <c r="K2299" s="32" t="n">
        <v>25</v>
      </c>
      <c r="L2299" s="33" t="n">
        <v>46341</v>
      </c>
      <c r="M2299" s="33" t="n">
        <v>46365</v>
      </c>
      <c r="N2299" s="16" t="s">
        <v>7847</v>
      </c>
      <c r="O2299" s="16"/>
      <c r="P2299" s="16" t="str">
        <f aca="false">IF(AND(L2299&lt;=$D$2,M2299&gt;=$C$2),"Sí","")</f>
        <v>Sí</v>
      </c>
      <c r="Q2299" s="18" t="str">
        <f aca="false">IF(COUNTIF(LOOKAHEAD!$A$5:$A$604,A2299)&gt;0,"En Lookahead",IF(P2299="Sí","INCORPORAR",""))</f>
        <v>En Lookahead</v>
      </c>
    </row>
    <row r="2300" customFormat="false" ht="15" hidden="false" customHeight="false" outlineLevel="0" collapsed="false">
      <c r="A2300" s="16" t="s">
        <v>7848</v>
      </c>
      <c r="B2300" s="16" t="n">
        <v>2295</v>
      </c>
      <c r="C2300" s="16" t="s">
        <v>7849</v>
      </c>
      <c r="D2300" s="16" t="n">
        <v>6</v>
      </c>
      <c r="E2300" s="35" t="s">
        <v>7242</v>
      </c>
      <c r="F2300" s="16" t="s">
        <v>1285</v>
      </c>
      <c r="G2300" s="16" t="s">
        <v>563</v>
      </c>
      <c r="H2300" s="16" t="s">
        <v>3012</v>
      </c>
      <c r="I2300" s="16" t="s">
        <v>74</v>
      </c>
      <c r="J2300" s="16" t="s">
        <v>7236</v>
      </c>
      <c r="K2300" s="32" t="n">
        <v>14</v>
      </c>
      <c r="L2300" s="33" t="n">
        <v>46366</v>
      </c>
      <c r="M2300" s="33" t="n">
        <v>46379</v>
      </c>
      <c r="N2300" s="16" t="s">
        <v>7850</v>
      </c>
      <c r="O2300" s="16"/>
      <c r="P2300" s="16" t="str">
        <f aca="false">IF(AND(L2300&lt;=$D$2,M2300&gt;=$C$2),"Sí","")</f>
        <v/>
      </c>
      <c r="Q2300" s="18" t="str">
        <f aca="false">IF(COUNTIF(LOOKAHEAD!$A$5:$A$604,A2300)&gt;0,"En Lookahead",IF(P2300="Sí","INCORPORAR",""))</f>
        <v/>
      </c>
    </row>
    <row r="2301" customFormat="false" ht="15" hidden="false" customHeight="false" outlineLevel="0" collapsed="false">
      <c r="A2301" s="16" t="s">
        <v>7851</v>
      </c>
      <c r="B2301" s="16" t="n">
        <v>2296</v>
      </c>
      <c r="C2301" s="16" t="s">
        <v>7852</v>
      </c>
      <c r="D2301" s="16" t="n">
        <v>6</v>
      </c>
      <c r="E2301" s="35" t="s">
        <v>7553</v>
      </c>
      <c r="F2301" s="16" t="s">
        <v>1285</v>
      </c>
      <c r="G2301" s="16" t="s">
        <v>563</v>
      </c>
      <c r="H2301" s="16" t="s">
        <v>3012</v>
      </c>
      <c r="I2301" s="16" t="s">
        <v>74</v>
      </c>
      <c r="J2301" s="16" t="s">
        <v>7236</v>
      </c>
      <c r="K2301" s="32" t="n">
        <v>1</v>
      </c>
      <c r="L2301" s="33" t="n">
        <v>46380</v>
      </c>
      <c r="M2301" s="33" t="n">
        <v>46380</v>
      </c>
      <c r="N2301" s="16" t="s">
        <v>7853</v>
      </c>
      <c r="O2301" s="16"/>
      <c r="P2301" s="16" t="str">
        <f aca="false">IF(AND(L2301&lt;=$D$2,M2301&gt;=$C$2),"Sí","")</f>
        <v/>
      </c>
      <c r="Q2301" s="18" t="str">
        <f aca="false">IF(COUNTIF(LOOKAHEAD!$A$5:$A$604,A2301)&gt;0,"En Lookahead",IF(P2301="Sí","INCORPORAR",""))</f>
        <v/>
      </c>
    </row>
    <row r="2302" customFormat="false" ht="15" hidden="false" customHeight="false" outlineLevel="0" collapsed="false">
      <c r="A2302" s="13" t="s">
        <v>7854</v>
      </c>
      <c r="B2302" s="13" t="n">
        <v>2297</v>
      </c>
      <c r="C2302" s="13" t="s">
        <v>7855</v>
      </c>
      <c r="D2302" s="13" t="n">
        <v>5</v>
      </c>
      <c r="E2302" s="34" t="s">
        <v>7250</v>
      </c>
      <c r="F2302" s="13" t="s">
        <v>1298</v>
      </c>
      <c r="G2302" s="13" t="s">
        <v>563</v>
      </c>
      <c r="H2302" s="13" t="s">
        <v>3012</v>
      </c>
      <c r="I2302" s="13" t="s">
        <v>74</v>
      </c>
      <c r="J2302" s="13" t="s">
        <v>3012</v>
      </c>
      <c r="K2302" s="30" t="n">
        <v>90</v>
      </c>
      <c r="L2302" s="31" t="n">
        <v>46381</v>
      </c>
      <c r="M2302" s="31" t="n">
        <v>46470</v>
      </c>
      <c r="N2302" s="13"/>
      <c r="O2302" s="13"/>
      <c r="P2302" s="13"/>
      <c r="Q2302" s="13"/>
    </row>
    <row r="2303" customFormat="false" ht="15" hidden="false" customHeight="false" outlineLevel="0" collapsed="false">
      <c r="A2303" s="13" t="s">
        <v>7856</v>
      </c>
      <c r="B2303" s="13" t="n">
        <v>2298</v>
      </c>
      <c r="C2303" s="13" t="s">
        <v>7857</v>
      </c>
      <c r="D2303" s="13" t="n">
        <v>6</v>
      </c>
      <c r="E2303" s="36" t="s">
        <v>7253</v>
      </c>
      <c r="F2303" s="13" t="s">
        <v>1298</v>
      </c>
      <c r="G2303" s="13" t="s">
        <v>563</v>
      </c>
      <c r="H2303" s="13" t="s">
        <v>3012</v>
      </c>
      <c r="I2303" s="13" t="s">
        <v>74</v>
      </c>
      <c r="J2303" s="13" t="s">
        <v>7250</v>
      </c>
      <c r="K2303" s="30" t="n">
        <v>27</v>
      </c>
      <c r="L2303" s="31" t="n">
        <v>46381</v>
      </c>
      <c r="M2303" s="31" t="n">
        <v>46407</v>
      </c>
      <c r="N2303" s="13"/>
      <c r="O2303" s="13"/>
      <c r="P2303" s="13"/>
      <c r="Q2303" s="13"/>
    </row>
    <row r="2304" customFormat="false" ht="15" hidden="false" customHeight="false" outlineLevel="0" collapsed="false">
      <c r="A2304" s="16" t="s">
        <v>7858</v>
      </c>
      <c r="B2304" s="16" t="n">
        <v>2299</v>
      </c>
      <c r="C2304" s="16" t="s">
        <v>7859</v>
      </c>
      <c r="D2304" s="16" t="n">
        <v>7</v>
      </c>
      <c r="E2304" s="37" t="s">
        <v>7256</v>
      </c>
      <c r="F2304" s="16" t="s">
        <v>1285</v>
      </c>
      <c r="G2304" s="16" t="s">
        <v>563</v>
      </c>
      <c r="H2304" s="16" t="s">
        <v>3012</v>
      </c>
      <c r="I2304" s="16" t="s">
        <v>74</v>
      </c>
      <c r="J2304" s="16" t="s">
        <v>7253</v>
      </c>
      <c r="K2304" s="32" t="n">
        <v>27</v>
      </c>
      <c r="L2304" s="33" t="n">
        <v>46381</v>
      </c>
      <c r="M2304" s="33" t="n">
        <v>46407</v>
      </c>
      <c r="N2304" s="16" t="s">
        <v>7860</v>
      </c>
      <c r="O2304" s="16"/>
      <c r="P2304" s="16" t="str">
        <f aca="false">IF(AND(L2304&lt;=$D$2,M2304&gt;=$C$2),"Sí","")</f>
        <v/>
      </c>
      <c r="Q2304" s="18" t="str">
        <f aca="false">IF(COUNTIF(LOOKAHEAD!$A$5:$A$604,A2304)&gt;0,"En Lookahead",IF(P2304="Sí","INCORPORAR",""))</f>
        <v/>
      </c>
    </row>
    <row r="2305" customFormat="false" ht="15" hidden="false" customHeight="false" outlineLevel="0" collapsed="false">
      <c r="A2305" s="13" t="s">
        <v>7861</v>
      </c>
      <c r="B2305" s="13" t="n">
        <v>2300</v>
      </c>
      <c r="C2305" s="13" t="s">
        <v>7862</v>
      </c>
      <c r="D2305" s="13" t="n">
        <v>6</v>
      </c>
      <c r="E2305" s="36" t="s">
        <v>7260</v>
      </c>
      <c r="F2305" s="13" t="s">
        <v>1298</v>
      </c>
      <c r="G2305" s="13" t="s">
        <v>563</v>
      </c>
      <c r="H2305" s="13" t="s">
        <v>3012</v>
      </c>
      <c r="I2305" s="13" t="s">
        <v>74</v>
      </c>
      <c r="J2305" s="13" t="s">
        <v>7250</v>
      </c>
      <c r="K2305" s="30" t="n">
        <v>63</v>
      </c>
      <c r="L2305" s="31" t="n">
        <v>46408</v>
      </c>
      <c r="M2305" s="31" t="n">
        <v>46470</v>
      </c>
      <c r="N2305" s="13"/>
      <c r="O2305" s="13"/>
      <c r="P2305" s="13"/>
      <c r="Q2305" s="13"/>
    </row>
    <row r="2306" customFormat="false" ht="15" hidden="false" customHeight="false" outlineLevel="0" collapsed="false">
      <c r="A2306" s="16" t="s">
        <v>7863</v>
      </c>
      <c r="B2306" s="16" t="n">
        <v>2301</v>
      </c>
      <c r="C2306" s="16" t="s">
        <v>7864</v>
      </c>
      <c r="D2306" s="16" t="n">
        <v>7</v>
      </c>
      <c r="E2306" s="37" t="s">
        <v>7263</v>
      </c>
      <c r="F2306" s="16" t="s">
        <v>1285</v>
      </c>
      <c r="G2306" s="16" t="s">
        <v>563</v>
      </c>
      <c r="H2306" s="16" t="s">
        <v>3012</v>
      </c>
      <c r="I2306" s="16" t="s">
        <v>74</v>
      </c>
      <c r="J2306" s="16" t="s">
        <v>7260</v>
      </c>
      <c r="K2306" s="32" t="n">
        <v>6</v>
      </c>
      <c r="L2306" s="33" t="n">
        <v>46408</v>
      </c>
      <c r="M2306" s="33" t="n">
        <v>46413</v>
      </c>
      <c r="N2306" s="16" t="s">
        <v>7865</v>
      </c>
      <c r="O2306" s="16"/>
      <c r="P2306" s="16" t="str">
        <f aca="false">IF(AND(L2306&lt;=$D$2,M2306&gt;=$C$2),"Sí","")</f>
        <v/>
      </c>
      <c r="Q2306" s="18" t="str">
        <f aca="false">IF(COUNTIF(LOOKAHEAD!$A$5:$A$604,A2306)&gt;0,"En Lookahead",IF(P2306="Sí","INCORPORAR",""))</f>
        <v/>
      </c>
    </row>
    <row r="2307" customFormat="false" ht="15" hidden="false" customHeight="false" outlineLevel="0" collapsed="false">
      <c r="A2307" s="16" t="s">
        <v>7866</v>
      </c>
      <c r="B2307" s="16" t="n">
        <v>2302</v>
      </c>
      <c r="C2307" s="16" t="s">
        <v>7867</v>
      </c>
      <c r="D2307" s="16" t="n">
        <v>7</v>
      </c>
      <c r="E2307" s="37" t="s">
        <v>7267</v>
      </c>
      <c r="F2307" s="16" t="s">
        <v>1285</v>
      </c>
      <c r="G2307" s="16" t="s">
        <v>563</v>
      </c>
      <c r="H2307" s="16" t="s">
        <v>3012</v>
      </c>
      <c r="I2307" s="16" t="s">
        <v>74</v>
      </c>
      <c r="J2307" s="16" t="s">
        <v>7260</v>
      </c>
      <c r="K2307" s="32" t="n">
        <v>23</v>
      </c>
      <c r="L2307" s="33" t="n">
        <v>46414</v>
      </c>
      <c r="M2307" s="33" t="n">
        <v>46436</v>
      </c>
      <c r="N2307" s="16" t="s">
        <v>7868</v>
      </c>
      <c r="O2307" s="16"/>
      <c r="P2307" s="16" t="str">
        <f aca="false">IF(AND(L2307&lt;=$D$2,M2307&gt;=$C$2),"Sí","")</f>
        <v/>
      </c>
      <c r="Q2307" s="18" t="str">
        <f aca="false">IF(COUNTIF(LOOKAHEAD!$A$5:$A$604,A2307)&gt;0,"En Lookahead",IF(P2307="Sí","INCORPORAR",""))</f>
        <v/>
      </c>
    </row>
    <row r="2308" customFormat="false" ht="15" hidden="false" customHeight="false" outlineLevel="0" collapsed="false">
      <c r="A2308" s="16" t="s">
        <v>7869</v>
      </c>
      <c r="B2308" s="16" t="n">
        <v>2303</v>
      </c>
      <c r="C2308" s="16" t="s">
        <v>7870</v>
      </c>
      <c r="D2308" s="16" t="n">
        <v>7</v>
      </c>
      <c r="E2308" s="37" t="s">
        <v>7271</v>
      </c>
      <c r="F2308" s="16" t="s">
        <v>1285</v>
      </c>
      <c r="G2308" s="16" t="s">
        <v>563</v>
      </c>
      <c r="H2308" s="16" t="s">
        <v>3012</v>
      </c>
      <c r="I2308" s="16" t="s">
        <v>74</v>
      </c>
      <c r="J2308" s="16" t="s">
        <v>7260</v>
      </c>
      <c r="K2308" s="32" t="n">
        <v>1</v>
      </c>
      <c r="L2308" s="33" t="n">
        <v>46437</v>
      </c>
      <c r="M2308" s="33" t="n">
        <v>46437</v>
      </c>
      <c r="N2308" s="16" t="s">
        <v>7871</v>
      </c>
      <c r="O2308" s="16"/>
      <c r="P2308" s="16" t="str">
        <f aca="false">IF(AND(L2308&lt;=$D$2,M2308&gt;=$C$2),"Sí","")</f>
        <v/>
      </c>
      <c r="Q2308" s="18" t="str">
        <f aca="false">IF(COUNTIF(LOOKAHEAD!$A$5:$A$604,A2308)&gt;0,"En Lookahead",IF(P2308="Sí","INCORPORAR",""))</f>
        <v/>
      </c>
    </row>
    <row r="2309" customFormat="false" ht="15" hidden="false" customHeight="false" outlineLevel="0" collapsed="false">
      <c r="A2309" s="16" t="s">
        <v>7872</v>
      </c>
      <c r="B2309" s="16" t="n">
        <v>2304</v>
      </c>
      <c r="C2309" s="16" t="s">
        <v>7873</v>
      </c>
      <c r="D2309" s="16" t="n">
        <v>7</v>
      </c>
      <c r="E2309" s="37" t="s">
        <v>7874</v>
      </c>
      <c r="F2309" s="16" t="s">
        <v>1285</v>
      </c>
      <c r="G2309" s="16" t="s">
        <v>563</v>
      </c>
      <c r="H2309" s="16" t="s">
        <v>3012</v>
      </c>
      <c r="I2309" s="16" t="s">
        <v>74</v>
      </c>
      <c r="J2309" s="16" t="s">
        <v>7260</v>
      </c>
      <c r="K2309" s="32" t="n">
        <v>15</v>
      </c>
      <c r="L2309" s="33" t="n">
        <v>46438</v>
      </c>
      <c r="M2309" s="33" t="n">
        <v>46452</v>
      </c>
      <c r="N2309" s="16" t="s">
        <v>7875</v>
      </c>
      <c r="O2309" s="16"/>
      <c r="P2309" s="16" t="str">
        <f aca="false">IF(AND(L2309&lt;=$D$2,M2309&gt;=$C$2),"Sí","")</f>
        <v/>
      </c>
      <c r="Q2309" s="18" t="str">
        <f aca="false">IF(COUNTIF(LOOKAHEAD!$A$5:$A$604,A2309)&gt;0,"En Lookahead",IF(P2309="Sí","INCORPORAR",""))</f>
        <v/>
      </c>
    </row>
    <row r="2310" customFormat="false" ht="15" hidden="false" customHeight="false" outlineLevel="0" collapsed="false">
      <c r="A2310" s="16" t="s">
        <v>7876</v>
      </c>
      <c r="B2310" s="16" t="n">
        <v>2305</v>
      </c>
      <c r="C2310" s="16" t="s">
        <v>7877</v>
      </c>
      <c r="D2310" s="16" t="n">
        <v>7</v>
      </c>
      <c r="E2310" s="37" t="s">
        <v>7275</v>
      </c>
      <c r="F2310" s="16" t="s">
        <v>1285</v>
      </c>
      <c r="G2310" s="16" t="s">
        <v>563</v>
      </c>
      <c r="H2310" s="16" t="s">
        <v>3012</v>
      </c>
      <c r="I2310" s="16" t="s">
        <v>74</v>
      </c>
      <c r="J2310" s="16" t="s">
        <v>7260</v>
      </c>
      <c r="K2310" s="32" t="n">
        <v>18</v>
      </c>
      <c r="L2310" s="33" t="n">
        <v>46453</v>
      </c>
      <c r="M2310" s="33" t="n">
        <v>46470</v>
      </c>
      <c r="N2310" s="16" t="s">
        <v>7878</v>
      </c>
      <c r="O2310" s="16"/>
      <c r="P2310" s="16" t="str">
        <f aca="false">IF(AND(L2310&lt;=$D$2,M2310&gt;=$C$2),"Sí","")</f>
        <v/>
      </c>
      <c r="Q2310" s="18" t="str">
        <f aca="false">IF(COUNTIF(LOOKAHEAD!$A$5:$A$604,A2310)&gt;0,"En Lookahead",IF(P2310="Sí","INCORPORAR",""))</f>
        <v/>
      </c>
    </row>
    <row r="2311" customFormat="false" ht="15" hidden="false" customHeight="false" outlineLevel="0" collapsed="false">
      <c r="A2311" s="13" t="s">
        <v>7879</v>
      </c>
      <c r="B2311" s="13" t="n">
        <v>2306</v>
      </c>
      <c r="C2311" s="13" t="s">
        <v>7880</v>
      </c>
      <c r="D2311" s="13" t="n">
        <v>5</v>
      </c>
      <c r="E2311" s="34" t="s">
        <v>7279</v>
      </c>
      <c r="F2311" s="13" t="s">
        <v>1298</v>
      </c>
      <c r="G2311" s="13" t="s">
        <v>563</v>
      </c>
      <c r="H2311" s="13" t="s">
        <v>3012</v>
      </c>
      <c r="I2311" s="13" t="s">
        <v>74</v>
      </c>
      <c r="J2311" s="13" t="s">
        <v>3012</v>
      </c>
      <c r="K2311" s="30" t="n">
        <v>19</v>
      </c>
      <c r="L2311" s="31" t="n">
        <v>46381</v>
      </c>
      <c r="M2311" s="31" t="n">
        <v>46399</v>
      </c>
      <c r="N2311" s="13"/>
      <c r="O2311" s="13"/>
      <c r="P2311" s="13"/>
      <c r="Q2311" s="13"/>
    </row>
    <row r="2312" customFormat="false" ht="15" hidden="false" customHeight="false" outlineLevel="0" collapsed="false">
      <c r="A2312" s="16" t="s">
        <v>7881</v>
      </c>
      <c r="B2312" s="16" t="n">
        <v>2307</v>
      </c>
      <c r="C2312" s="16" t="s">
        <v>7882</v>
      </c>
      <c r="D2312" s="16" t="n">
        <v>6</v>
      </c>
      <c r="E2312" s="35" t="s">
        <v>7282</v>
      </c>
      <c r="F2312" s="16" t="s">
        <v>1285</v>
      </c>
      <c r="G2312" s="16" t="s">
        <v>563</v>
      </c>
      <c r="H2312" s="16" t="s">
        <v>3012</v>
      </c>
      <c r="I2312" s="16" t="s">
        <v>74</v>
      </c>
      <c r="J2312" s="16" t="s">
        <v>7279</v>
      </c>
      <c r="K2312" s="32" t="n">
        <v>19</v>
      </c>
      <c r="L2312" s="33" t="n">
        <v>46381</v>
      </c>
      <c r="M2312" s="33" t="n">
        <v>46399</v>
      </c>
      <c r="N2312" s="16" t="s">
        <v>7883</v>
      </c>
      <c r="O2312" s="16"/>
      <c r="P2312" s="16" t="str">
        <f aca="false">IF(AND(L2312&lt;=$D$2,M2312&gt;=$C$2),"Sí","")</f>
        <v/>
      </c>
      <c r="Q2312" s="18" t="str">
        <f aca="false">IF(COUNTIF(LOOKAHEAD!$A$5:$A$604,A2312)&gt;0,"En Lookahead",IF(P2312="Sí","INCORPORAR",""))</f>
        <v/>
      </c>
    </row>
    <row r="2313" customFormat="false" ht="15" hidden="false" customHeight="false" outlineLevel="0" collapsed="false">
      <c r="A2313" s="16" t="s">
        <v>7884</v>
      </c>
      <c r="B2313" s="16" t="n">
        <v>2308</v>
      </c>
      <c r="C2313" s="16" t="s">
        <v>7885</v>
      </c>
      <c r="D2313" s="16" t="n">
        <v>6</v>
      </c>
      <c r="E2313" s="35" t="s">
        <v>7286</v>
      </c>
      <c r="F2313" s="16" t="s">
        <v>1285</v>
      </c>
      <c r="G2313" s="16" t="s">
        <v>563</v>
      </c>
      <c r="H2313" s="16" t="s">
        <v>3012</v>
      </c>
      <c r="I2313" s="16" t="s">
        <v>74</v>
      </c>
      <c r="J2313" s="16" t="s">
        <v>7279</v>
      </c>
      <c r="K2313" s="32" t="n">
        <v>7</v>
      </c>
      <c r="L2313" s="33" t="n">
        <v>46381</v>
      </c>
      <c r="M2313" s="33" t="n">
        <v>46387</v>
      </c>
      <c r="N2313" s="16" t="s">
        <v>7886</v>
      </c>
      <c r="O2313" s="16"/>
      <c r="P2313" s="16" t="str">
        <f aca="false">IF(AND(L2313&lt;=$D$2,M2313&gt;=$C$2),"Sí","")</f>
        <v/>
      </c>
      <c r="Q2313" s="18" t="str">
        <f aca="false">IF(COUNTIF(LOOKAHEAD!$A$5:$A$604,A2313)&gt;0,"En Lookahead",IF(P2313="Sí","INCORPORAR",""))</f>
        <v/>
      </c>
    </row>
    <row r="2314" customFormat="false" ht="15" hidden="false" customHeight="false" outlineLevel="0" collapsed="false">
      <c r="A2314" s="16" t="s">
        <v>7887</v>
      </c>
      <c r="B2314" s="16" t="n">
        <v>2309</v>
      </c>
      <c r="C2314" s="16" t="s">
        <v>7888</v>
      </c>
      <c r="D2314" s="16" t="n">
        <v>6</v>
      </c>
      <c r="E2314" s="35" t="s">
        <v>7290</v>
      </c>
      <c r="F2314" s="16" t="s">
        <v>1285</v>
      </c>
      <c r="G2314" s="16" t="s">
        <v>563</v>
      </c>
      <c r="H2314" s="16" t="s">
        <v>3012</v>
      </c>
      <c r="I2314" s="16" t="s">
        <v>74</v>
      </c>
      <c r="J2314" s="16" t="s">
        <v>7279</v>
      </c>
      <c r="K2314" s="32" t="n">
        <v>1</v>
      </c>
      <c r="L2314" s="33" t="n">
        <v>46381</v>
      </c>
      <c r="M2314" s="33" t="n">
        <v>46381</v>
      </c>
      <c r="N2314" s="16" t="s">
        <v>7886</v>
      </c>
      <c r="O2314" s="16"/>
      <c r="P2314" s="16" t="str">
        <f aca="false">IF(AND(L2314&lt;=$D$2,M2314&gt;=$C$2),"Sí","")</f>
        <v/>
      </c>
      <c r="Q2314" s="18" t="str">
        <f aca="false">IF(COUNTIF(LOOKAHEAD!$A$5:$A$604,A2314)&gt;0,"En Lookahead",IF(P2314="Sí","INCORPORAR",""))</f>
        <v/>
      </c>
    </row>
    <row r="2315" customFormat="false" ht="15" hidden="false" customHeight="false" outlineLevel="0" collapsed="false">
      <c r="A2315" s="16" t="s">
        <v>7889</v>
      </c>
      <c r="B2315" s="16" t="n">
        <v>2310</v>
      </c>
      <c r="C2315" s="16" t="s">
        <v>7890</v>
      </c>
      <c r="D2315" s="16" t="n">
        <v>6</v>
      </c>
      <c r="E2315" s="35" t="s">
        <v>7293</v>
      </c>
      <c r="F2315" s="16" t="s">
        <v>1285</v>
      </c>
      <c r="G2315" s="16" t="s">
        <v>563</v>
      </c>
      <c r="H2315" s="16" t="s">
        <v>3012</v>
      </c>
      <c r="I2315" s="16" t="s">
        <v>74</v>
      </c>
      <c r="J2315" s="16" t="s">
        <v>7279</v>
      </c>
      <c r="K2315" s="32" t="n">
        <v>2</v>
      </c>
      <c r="L2315" s="33" t="n">
        <v>46381</v>
      </c>
      <c r="M2315" s="33" t="n">
        <v>46382</v>
      </c>
      <c r="N2315" s="16" t="s">
        <v>7886</v>
      </c>
      <c r="O2315" s="16"/>
      <c r="P2315" s="16" t="str">
        <f aca="false">IF(AND(L2315&lt;=$D$2,M2315&gt;=$C$2),"Sí","")</f>
        <v/>
      </c>
      <c r="Q2315" s="18" t="str">
        <f aca="false">IF(COUNTIF(LOOKAHEAD!$A$5:$A$604,A2315)&gt;0,"En Lookahead",IF(P2315="Sí","INCORPORAR",""))</f>
        <v/>
      </c>
    </row>
    <row r="2316" customFormat="false" ht="15" hidden="false" customHeight="false" outlineLevel="0" collapsed="false">
      <c r="A2316" s="13" t="s">
        <v>7891</v>
      </c>
      <c r="B2316" s="13" t="n">
        <v>2311</v>
      </c>
      <c r="C2316" s="13" t="s">
        <v>7892</v>
      </c>
      <c r="D2316" s="13" t="n">
        <v>5</v>
      </c>
      <c r="E2316" s="34" t="s">
        <v>7296</v>
      </c>
      <c r="F2316" s="13" t="s">
        <v>1298</v>
      </c>
      <c r="G2316" s="13" t="s">
        <v>563</v>
      </c>
      <c r="H2316" s="13" t="s">
        <v>3012</v>
      </c>
      <c r="I2316" s="13" t="s">
        <v>74</v>
      </c>
      <c r="J2316" s="13" t="s">
        <v>3012</v>
      </c>
      <c r="K2316" s="30" t="n">
        <v>17</v>
      </c>
      <c r="L2316" s="31" t="n">
        <v>46383</v>
      </c>
      <c r="M2316" s="31" t="n">
        <v>46399</v>
      </c>
      <c r="N2316" s="13"/>
      <c r="O2316" s="13"/>
      <c r="P2316" s="13"/>
      <c r="Q2316" s="13"/>
    </row>
    <row r="2317" customFormat="false" ht="15" hidden="false" customHeight="false" outlineLevel="0" collapsed="false">
      <c r="A2317" s="16" t="s">
        <v>7893</v>
      </c>
      <c r="B2317" s="16" t="n">
        <v>2312</v>
      </c>
      <c r="C2317" s="16" t="s">
        <v>7894</v>
      </c>
      <c r="D2317" s="16" t="n">
        <v>6</v>
      </c>
      <c r="E2317" s="35" t="s">
        <v>7299</v>
      </c>
      <c r="F2317" s="16" t="s">
        <v>1285</v>
      </c>
      <c r="G2317" s="16" t="s">
        <v>563</v>
      </c>
      <c r="H2317" s="16" t="s">
        <v>3012</v>
      </c>
      <c r="I2317" s="16" t="s">
        <v>74</v>
      </c>
      <c r="J2317" s="16" t="s">
        <v>7296</v>
      </c>
      <c r="K2317" s="32" t="n">
        <v>5</v>
      </c>
      <c r="L2317" s="33" t="n">
        <v>46383</v>
      </c>
      <c r="M2317" s="33" t="n">
        <v>46387</v>
      </c>
      <c r="N2317" s="16" t="s">
        <v>7895</v>
      </c>
      <c r="O2317" s="16"/>
      <c r="P2317" s="16" t="str">
        <f aca="false">IF(AND(L2317&lt;=$D$2,M2317&gt;=$C$2),"Sí","")</f>
        <v/>
      </c>
      <c r="Q2317" s="18" t="str">
        <f aca="false">IF(COUNTIF(LOOKAHEAD!$A$5:$A$604,A2317)&gt;0,"En Lookahead",IF(P2317="Sí","INCORPORAR",""))</f>
        <v/>
      </c>
    </row>
    <row r="2318" customFormat="false" ht="15" hidden="false" customHeight="false" outlineLevel="0" collapsed="false">
      <c r="A2318" s="16" t="s">
        <v>7896</v>
      </c>
      <c r="B2318" s="16" t="n">
        <v>2313</v>
      </c>
      <c r="C2318" s="16" t="s">
        <v>7897</v>
      </c>
      <c r="D2318" s="16" t="n">
        <v>6</v>
      </c>
      <c r="E2318" s="35" t="s">
        <v>7303</v>
      </c>
      <c r="F2318" s="16" t="s">
        <v>1285</v>
      </c>
      <c r="G2318" s="16" t="s">
        <v>563</v>
      </c>
      <c r="H2318" s="16" t="s">
        <v>3012</v>
      </c>
      <c r="I2318" s="16" t="s">
        <v>74</v>
      </c>
      <c r="J2318" s="16" t="s">
        <v>7296</v>
      </c>
      <c r="K2318" s="32" t="n">
        <v>12</v>
      </c>
      <c r="L2318" s="33" t="n">
        <v>46388</v>
      </c>
      <c r="M2318" s="33" t="n">
        <v>46399</v>
      </c>
      <c r="N2318" s="16" t="s">
        <v>7898</v>
      </c>
      <c r="O2318" s="16"/>
      <c r="P2318" s="16" t="str">
        <f aca="false">IF(AND(L2318&lt;=$D$2,M2318&gt;=$C$2),"Sí","")</f>
        <v/>
      </c>
      <c r="Q2318" s="18" t="str">
        <f aca="false">IF(COUNTIF(LOOKAHEAD!$A$5:$A$604,A2318)&gt;0,"En Lookahead",IF(P2318="Sí","INCORPORAR",""))</f>
        <v/>
      </c>
    </row>
    <row r="2319" customFormat="false" ht="15" hidden="false" customHeight="false" outlineLevel="0" collapsed="false">
      <c r="A2319" s="13" t="s">
        <v>7899</v>
      </c>
      <c r="B2319" s="13" t="n">
        <v>2314</v>
      </c>
      <c r="C2319" s="13" t="s">
        <v>7900</v>
      </c>
      <c r="D2319" s="13" t="n">
        <v>5</v>
      </c>
      <c r="E2319" s="34" t="s">
        <v>7307</v>
      </c>
      <c r="F2319" s="13" t="s">
        <v>1298</v>
      </c>
      <c r="G2319" s="13" t="s">
        <v>563</v>
      </c>
      <c r="H2319" s="13" t="s">
        <v>3012</v>
      </c>
      <c r="I2319" s="13" t="s">
        <v>74</v>
      </c>
      <c r="J2319" s="13" t="s">
        <v>3012</v>
      </c>
      <c r="K2319" s="30" t="n">
        <v>2</v>
      </c>
      <c r="L2319" s="31" t="n">
        <v>46400</v>
      </c>
      <c r="M2319" s="31" t="n">
        <v>46401</v>
      </c>
      <c r="N2319" s="13"/>
      <c r="O2319" s="13"/>
      <c r="P2319" s="13"/>
      <c r="Q2319" s="13"/>
    </row>
    <row r="2320" customFormat="false" ht="15" hidden="false" customHeight="false" outlineLevel="0" collapsed="false">
      <c r="A2320" s="13" t="s">
        <v>7901</v>
      </c>
      <c r="B2320" s="13" t="n">
        <v>2315</v>
      </c>
      <c r="C2320" s="13" t="s">
        <v>7902</v>
      </c>
      <c r="D2320" s="13" t="n">
        <v>6</v>
      </c>
      <c r="E2320" s="36" t="s">
        <v>7310</v>
      </c>
      <c r="F2320" s="13" t="s">
        <v>1298</v>
      </c>
      <c r="G2320" s="13" t="s">
        <v>563</v>
      </c>
      <c r="H2320" s="13" t="s">
        <v>3012</v>
      </c>
      <c r="I2320" s="13" t="s">
        <v>74</v>
      </c>
      <c r="J2320" s="13" t="s">
        <v>7307</v>
      </c>
      <c r="K2320" s="30" t="n">
        <v>2</v>
      </c>
      <c r="L2320" s="31" t="n">
        <v>46400</v>
      </c>
      <c r="M2320" s="31" t="n">
        <v>46401</v>
      </c>
      <c r="N2320" s="13"/>
      <c r="O2320" s="13"/>
      <c r="P2320" s="13"/>
      <c r="Q2320" s="13"/>
    </row>
    <row r="2321" customFormat="false" ht="15" hidden="false" customHeight="false" outlineLevel="0" collapsed="false">
      <c r="A2321" s="16" t="s">
        <v>7903</v>
      </c>
      <c r="B2321" s="16" t="n">
        <v>2316</v>
      </c>
      <c r="C2321" s="16" t="s">
        <v>7904</v>
      </c>
      <c r="D2321" s="16" t="n">
        <v>7</v>
      </c>
      <c r="E2321" s="37" t="s">
        <v>7313</v>
      </c>
      <c r="F2321" s="16" t="s">
        <v>1285</v>
      </c>
      <c r="G2321" s="16" t="s">
        <v>563</v>
      </c>
      <c r="H2321" s="16" t="s">
        <v>3012</v>
      </c>
      <c r="I2321" s="16" t="s">
        <v>74</v>
      </c>
      <c r="J2321" s="16" t="s">
        <v>7310</v>
      </c>
      <c r="K2321" s="32" t="n">
        <v>1</v>
      </c>
      <c r="L2321" s="33" t="n">
        <v>46400</v>
      </c>
      <c r="M2321" s="33" t="n">
        <v>46400</v>
      </c>
      <c r="N2321" s="16" t="s">
        <v>7905</v>
      </c>
      <c r="O2321" s="16"/>
      <c r="P2321" s="16" t="str">
        <f aca="false">IF(AND(L2321&lt;=$D$2,M2321&gt;=$C$2),"Sí","")</f>
        <v/>
      </c>
      <c r="Q2321" s="18" t="str">
        <f aca="false">IF(COUNTIF(LOOKAHEAD!$A$5:$A$604,A2321)&gt;0,"En Lookahead",IF(P2321="Sí","INCORPORAR",""))</f>
        <v/>
      </c>
    </row>
    <row r="2322" customFormat="false" ht="15" hidden="false" customHeight="false" outlineLevel="0" collapsed="false">
      <c r="A2322" s="16" t="s">
        <v>7906</v>
      </c>
      <c r="B2322" s="16" t="n">
        <v>2317</v>
      </c>
      <c r="C2322" s="16" t="s">
        <v>7907</v>
      </c>
      <c r="D2322" s="16" t="n">
        <v>7</v>
      </c>
      <c r="E2322" s="37" t="s">
        <v>7631</v>
      </c>
      <c r="F2322" s="16" t="s">
        <v>1285</v>
      </c>
      <c r="G2322" s="16" t="s">
        <v>563</v>
      </c>
      <c r="H2322" s="16" t="s">
        <v>3012</v>
      </c>
      <c r="I2322" s="16" t="s">
        <v>74</v>
      </c>
      <c r="J2322" s="16" t="s">
        <v>7310</v>
      </c>
      <c r="K2322" s="32" t="n">
        <v>1</v>
      </c>
      <c r="L2322" s="33" t="n">
        <v>46401</v>
      </c>
      <c r="M2322" s="33" t="n">
        <v>46401</v>
      </c>
      <c r="N2322" s="16" t="s">
        <v>7908</v>
      </c>
      <c r="O2322" s="16"/>
      <c r="P2322" s="16" t="str">
        <f aca="false">IF(AND(L2322&lt;=$D$2,M2322&gt;=$C$2),"Sí","")</f>
        <v/>
      </c>
      <c r="Q2322" s="18" t="str">
        <f aca="false">IF(COUNTIF(LOOKAHEAD!$A$5:$A$604,A2322)&gt;0,"En Lookahead",IF(P2322="Sí","INCORPORAR",""))</f>
        <v/>
      </c>
    </row>
    <row r="2323" customFormat="false" ht="15" hidden="false" customHeight="false" outlineLevel="0" collapsed="false">
      <c r="A2323" s="13" t="s">
        <v>7909</v>
      </c>
      <c r="B2323" s="13" t="n">
        <v>2318</v>
      </c>
      <c r="C2323" s="13" t="s">
        <v>7910</v>
      </c>
      <c r="D2323" s="13" t="n">
        <v>5</v>
      </c>
      <c r="E2323" s="34" t="s">
        <v>7328</v>
      </c>
      <c r="F2323" s="13" t="s">
        <v>1298</v>
      </c>
      <c r="G2323" s="13" t="s">
        <v>563</v>
      </c>
      <c r="H2323" s="13" t="s">
        <v>3012</v>
      </c>
      <c r="I2323" s="13" t="s">
        <v>74</v>
      </c>
      <c r="J2323" s="13" t="s">
        <v>3012</v>
      </c>
      <c r="K2323" s="30" t="n">
        <v>13</v>
      </c>
      <c r="L2323" s="31" t="n">
        <v>46402</v>
      </c>
      <c r="M2323" s="31" t="n">
        <v>46414</v>
      </c>
      <c r="N2323" s="13"/>
      <c r="O2323" s="13"/>
      <c r="P2323" s="13"/>
      <c r="Q2323" s="13"/>
    </row>
    <row r="2324" customFormat="false" ht="15" hidden="false" customHeight="false" outlineLevel="0" collapsed="false">
      <c r="A2324" s="13" t="s">
        <v>7911</v>
      </c>
      <c r="B2324" s="13" t="n">
        <v>2319</v>
      </c>
      <c r="C2324" s="13" t="s">
        <v>7912</v>
      </c>
      <c r="D2324" s="13" t="n">
        <v>6</v>
      </c>
      <c r="E2324" s="36" t="s">
        <v>7310</v>
      </c>
      <c r="F2324" s="13" t="s">
        <v>1298</v>
      </c>
      <c r="G2324" s="13" t="s">
        <v>563</v>
      </c>
      <c r="H2324" s="13" t="s">
        <v>3012</v>
      </c>
      <c r="I2324" s="13" t="s">
        <v>74</v>
      </c>
      <c r="J2324" s="13" t="s">
        <v>7328</v>
      </c>
      <c r="K2324" s="30" t="n">
        <v>1</v>
      </c>
      <c r="L2324" s="31" t="n">
        <v>46402</v>
      </c>
      <c r="M2324" s="31" t="n">
        <v>46402</v>
      </c>
      <c r="N2324" s="13"/>
      <c r="O2324" s="13"/>
      <c r="P2324" s="13"/>
      <c r="Q2324" s="13"/>
    </row>
    <row r="2325" customFormat="false" ht="15" hidden="false" customHeight="false" outlineLevel="0" collapsed="false">
      <c r="A2325" s="16" t="s">
        <v>7913</v>
      </c>
      <c r="B2325" s="16" t="n">
        <v>2320</v>
      </c>
      <c r="C2325" s="16" t="s">
        <v>7914</v>
      </c>
      <c r="D2325" s="16" t="n">
        <v>7</v>
      </c>
      <c r="E2325" s="37" t="s">
        <v>7915</v>
      </c>
      <c r="F2325" s="16" t="s">
        <v>1285</v>
      </c>
      <c r="G2325" s="16" t="s">
        <v>563</v>
      </c>
      <c r="H2325" s="16" t="s">
        <v>3012</v>
      </c>
      <c r="I2325" s="16" t="s">
        <v>74</v>
      </c>
      <c r="J2325" s="16" t="s">
        <v>7310</v>
      </c>
      <c r="K2325" s="32" t="n">
        <v>1</v>
      </c>
      <c r="L2325" s="33" t="n">
        <v>46402</v>
      </c>
      <c r="M2325" s="33" t="n">
        <v>46402</v>
      </c>
      <c r="N2325" s="16" t="s">
        <v>7916</v>
      </c>
      <c r="O2325" s="16"/>
      <c r="P2325" s="16" t="str">
        <f aca="false">IF(AND(L2325&lt;=$D$2,M2325&gt;=$C$2),"Sí","")</f>
        <v/>
      </c>
      <c r="Q2325" s="18" t="str">
        <f aca="false">IF(COUNTIF(LOOKAHEAD!$A$5:$A$604,A2325)&gt;0,"En Lookahead",IF(P2325="Sí","INCORPORAR",""))</f>
        <v/>
      </c>
    </row>
    <row r="2326" customFormat="false" ht="15" hidden="false" customHeight="false" outlineLevel="0" collapsed="false">
      <c r="A2326" s="13" t="s">
        <v>7917</v>
      </c>
      <c r="B2326" s="13" t="n">
        <v>2321</v>
      </c>
      <c r="C2326" s="13" t="s">
        <v>7918</v>
      </c>
      <c r="D2326" s="13" t="n">
        <v>6</v>
      </c>
      <c r="E2326" s="36" t="s">
        <v>7670</v>
      </c>
      <c r="F2326" s="13" t="s">
        <v>1298</v>
      </c>
      <c r="G2326" s="13" t="s">
        <v>563</v>
      </c>
      <c r="H2326" s="13" t="s">
        <v>3012</v>
      </c>
      <c r="I2326" s="13" t="s">
        <v>74</v>
      </c>
      <c r="J2326" s="13" t="s">
        <v>7328</v>
      </c>
      <c r="K2326" s="30" t="n">
        <v>1</v>
      </c>
      <c r="L2326" s="31" t="n">
        <v>46403</v>
      </c>
      <c r="M2326" s="31" t="n">
        <v>46403</v>
      </c>
      <c r="N2326" s="13"/>
      <c r="O2326" s="13"/>
      <c r="P2326" s="13"/>
      <c r="Q2326" s="13"/>
    </row>
    <row r="2327" customFormat="false" ht="15" hidden="false" customHeight="false" outlineLevel="0" collapsed="false">
      <c r="A2327" s="16" t="s">
        <v>7919</v>
      </c>
      <c r="B2327" s="16" t="n">
        <v>2322</v>
      </c>
      <c r="C2327" s="16" t="s">
        <v>7920</v>
      </c>
      <c r="D2327" s="16" t="n">
        <v>7</v>
      </c>
      <c r="E2327" s="37" t="s">
        <v>7673</v>
      </c>
      <c r="F2327" s="16" t="s">
        <v>1285</v>
      </c>
      <c r="G2327" s="16" t="s">
        <v>563</v>
      </c>
      <c r="H2327" s="16" t="s">
        <v>3012</v>
      </c>
      <c r="I2327" s="16" t="s">
        <v>74</v>
      </c>
      <c r="J2327" s="16" t="s">
        <v>7670</v>
      </c>
      <c r="K2327" s="32" t="n">
        <v>1</v>
      </c>
      <c r="L2327" s="33" t="n">
        <v>46403</v>
      </c>
      <c r="M2327" s="33" t="n">
        <v>46403</v>
      </c>
      <c r="N2327" s="16" t="s">
        <v>7921</v>
      </c>
      <c r="O2327" s="16"/>
      <c r="P2327" s="16" t="str">
        <f aca="false">IF(AND(L2327&lt;=$D$2,M2327&gt;=$C$2),"Sí","")</f>
        <v/>
      </c>
      <c r="Q2327" s="18" t="str">
        <f aca="false">IF(COUNTIF(LOOKAHEAD!$A$5:$A$604,A2327)&gt;0,"En Lookahead",IF(P2327="Sí","INCORPORAR",""))</f>
        <v/>
      </c>
    </row>
    <row r="2328" customFormat="false" ht="15" hidden="false" customHeight="false" outlineLevel="0" collapsed="false">
      <c r="A2328" s="13" t="s">
        <v>7922</v>
      </c>
      <c r="B2328" s="13" t="n">
        <v>2323</v>
      </c>
      <c r="C2328" s="13" t="s">
        <v>7923</v>
      </c>
      <c r="D2328" s="13" t="n">
        <v>6</v>
      </c>
      <c r="E2328" s="36" t="s">
        <v>7356</v>
      </c>
      <c r="F2328" s="13" t="s">
        <v>1298</v>
      </c>
      <c r="G2328" s="13" t="s">
        <v>563</v>
      </c>
      <c r="H2328" s="13" t="s">
        <v>3012</v>
      </c>
      <c r="I2328" s="13" t="s">
        <v>74</v>
      </c>
      <c r="J2328" s="13" t="s">
        <v>7328</v>
      </c>
      <c r="K2328" s="30" t="n">
        <v>6</v>
      </c>
      <c r="L2328" s="31" t="n">
        <v>46404</v>
      </c>
      <c r="M2328" s="31" t="n">
        <v>46409</v>
      </c>
      <c r="N2328" s="13"/>
      <c r="O2328" s="13"/>
      <c r="P2328" s="13"/>
      <c r="Q2328" s="13"/>
    </row>
    <row r="2329" customFormat="false" ht="15" hidden="false" customHeight="false" outlineLevel="0" collapsed="false">
      <c r="A2329" s="16" t="s">
        <v>7924</v>
      </c>
      <c r="B2329" s="16" t="n">
        <v>2324</v>
      </c>
      <c r="C2329" s="16" t="s">
        <v>7925</v>
      </c>
      <c r="D2329" s="16" t="n">
        <v>7</v>
      </c>
      <c r="E2329" s="37" t="s">
        <v>7359</v>
      </c>
      <c r="F2329" s="16" t="s">
        <v>1285</v>
      </c>
      <c r="G2329" s="16" t="s">
        <v>563</v>
      </c>
      <c r="H2329" s="16" t="s">
        <v>3012</v>
      </c>
      <c r="I2329" s="16" t="s">
        <v>74</v>
      </c>
      <c r="J2329" s="16" t="s">
        <v>7356</v>
      </c>
      <c r="K2329" s="32" t="n">
        <v>6</v>
      </c>
      <c r="L2329" s="33" t="n">
        <v>46404</v>
      </c>
      <c r="M2329" s="33" t="n">
        <v>46409</v>
      </c>
      <c r="N2329" s="16" t="s">
        <v>7926</v>
      </c>
      <c r="O2329" s="16"/>
      <c r="P2329" s="16" t="str">
        <f aca="false">IF(AND(L2329&lt;=$D$2,M2329&gt;=$C$2),"Sí","")</f>
        <v/>
      </c>
      <c r="Q2329" s="18" t="str">
        <f aca="false">IF(COUNTIF(LOOKAHEAD!$A$5:$A$604,A2329)&gt;0,"En Lookahead",IF(P2329="Sí","INCORPORAR",""))</f>
        <v/>
      </c>
    </row>
    <row r="2330" customFormat="false" ht="15" hidden="false" customHeight="false" outlineLevel="0" collapsed="false">
      <c r="A2330" s="13" t="s">
        <v>7927</v>
      </c>
      <c r="B2330" s="13" t="n">
        <v>2325</v>
      </c>
      <c r="C2330" s="13" t="s">
        <v>7928</v>
      </c>
      <c r="D2330" s="13" t="n">
        <v>6</v>
      </c>
      <c r="E2330" s="36" t="s">
        <v>7691</v>
      </c>
      <c r="F2330" s="13" t="s">
        <v>1298</v>
      </c>
      <c r="G2330" s="13" t="s">
        <v>563</v>
      </c>
      <c r="H2330" s="13" t="s">
        <v>3012</v>
      </c>
      <c r="I2330" s="13" t="s">
        <v>74</v>
      </c>
      <c r="J2330" s="13" t="s">
        <v>7328</v>
      </c>
      <c r="K2330" s="30" t="n">
        <v>1</v>
      </c>
      <c r="L2330" s="31" t="n">
        <v>46410</v>
      </c>
      <c r="M2330" s="31" t="n">
        <v>46410</v>
      </c>
      <c r="N2330" s="13"/>
      <c r="O2330" s="13"/>
      <c r="P2330" s="13"/>
      <c r="Q2330" s="13"/>
    </row>
    <row r="2331" customFormat="false" ht="15" hidden="false" customHeight="false" outlineLevel="0" collapsed="false">
      <c r="A2331" s="16" t="s">
        <v>7929</v>
      </c>
      <c r="B2331" s="16" t="n">
        <v>2326</v>
      </c>
      <c r="C2331" s="16" t="s">
        <v>7930</v>
      </c>
      <c r="D2331" s="16" t="n">
        <v>7</v>
      </c>
      <c r="E2331" s="37" t="s">
        <v>7694</v>
      </c>
      <c r="F2331" s="16" t="s">
        <v>1285</v>
      </c>
      <c r="G2331" s="16" t="s">
        <v>563</v>
      </c>
      <c r="H2331" s="16" t="s">
        <v>3012</v>
      </c>
      <c r="I2331" s="16" t="s">
        <v>74</v>
      </c>
      <c r="J2331" s="16" t="s">
        <v>7691</v>
      </c>
      <c r="K2331" s="32" t="n">
        <v>1</v>
      </c>
      <c r="L2331" s="33" t="n">
        <v>46410</v>
      </c>
      <c r="M2331" s="33" t="n">
        <v>46410</v>
      </c>
      <c r="N2331" s="16" t="s">
        <v>7931</v>
      </c>
      <c r="O2331" s="16"/>
      <c r="P2331" s="16" t="str">
        <f aca="false">IF(AND(L2331&lt;=$D$2,M2331&gt;=$C$2),"Sí","")</f>
        <v/>
      </c>
      <c r="Q2331" s="18" t="str">
        <f aca="false">IF(COUNTIF(LOOKAHEAD!$A$5:$A$604,A2331)&gt;0,"En Lookahead",IF(P2331="Sí","INCORPORAR",""))</f>
        <v/>
      </c>
    </row>
    <row r="2332" customFormat="false" ht="15" hidden="false" customHeight="false" outlineLevel="0" collapsed="false">
      <c r="A2332" s="13" t="s">
        <v>7932</v>
      </c>
      <c r="B2332" s="13" t="n">
        <v>2327</v>
      </c>
      <c r="C2332" s="13" t="s">
        <v>7933</v>
      </c>
      <c r="D2332" s="13" t="n">
        <v>6</v>
      </c>
      <c r="E2332" s="36" t="s">
        <v>7362</v>
      </c>
      <c r="F2332" s="13" t="s">
        <v>1298</v>
      </c>
      <c r="G2332" s="13" t="s">
        <v>563</v>
      </c>
      <c r="H2332" s="13" t="s">
        <v>3012</v>
      </c>
      <c r="I2332" s="13" t="s">
        <v>74</v>
      </c>
      <c r="J2332" s="13" t="s">
        <v>7328</v>
      </c>
      <c r="K2332" s="30" t="n">
        <v>4</v>
      </c>
      <c r="L2332" s="31" t="n">
        <v>46411</v>
      </c>
      <c r="M2332" s="31" t="n">
        <v>46414</v>
      </c>
      <c r="N2332" s="13"/>
      <c r="O2332" s="13"/>
      <c r="P2332" s="13"/>
      <c r="Q2332" s="13"/>
    </row>
    <row r="2333" customFormat="false" ht="15" hidden="false" customHeight="false" outlineLevel="0" collapsed="false">
      <c r="A2333" s="16" t="s">
        <v>7934</v>
      </c>
      <c r="B2333" s="16" t="n">
        <v>2328</v>
      </c>
      <c r="C2333" s="16" t="s">
        <v>7935</v>
      </c>
      <c r="D2333" s="16" t="n">
        <v>7</v>
      </c>
      <c r="E2333" s="37" t="s">
        <v>7687</v>
      </c>
      <c r="F2333" s="16" t="s">
        <v>1285</v>
      </c>
      <c r="G2333" s="16" t="s">
        <v>563</v>
      </c>
      <c r="H2333" s="16" t="s">
        <v>3012</v>
      </c>
      <c r="I2333" s="16" t="s">
        <v>74</v>
      </c>
      <c r="J2333" s="16" t="s">
        <v>7362</v>
      </c>
      <c r="K2333" s="32" t="n">
        <v>4</v>
      </c>
      <c r="L2333" s="33" t="n">
        <v>46411</v>
      </c>
      <c r="M2333" s="33" t="n">
        <v>46414</v>
      </c>
      <c r="N2333" s="16" t="s">
        <v>7936</v>
      </c>
      <c r="O2333" s="16"/>
      <c r="P2333" s="16" t="str">
        <f aca="false">IF(AND(L2333&lt;=$D$2,M2333&gt;=$C$2),"Sí","")</f>
        <v/>
      </c>
      <c r="Q2333" s="18" t="str">
        <f aca="false">IF(COUNTIF(LOOKAHEAD!$A$5:$A$604,A2333)&gt;0,"En Lookahead",IF(P2333="Sí","INCORPORAR",""))</f>
        <v/>
      </c>
    </row>
    <row r="2334" customFormat="false" ht="15" hidden="false" customHeight="false" outlineLevel="0" collapsed="false">
      <c r="A2334" s="13" t="s">
        <v>7937</v>
      </c>
      <c r="B2334" s="13" t="n">
        <v>2329</v>
      </c>
      <c r="C2334" s="13" t="s">
        <v>7938</v>
      </c>
      <c r="D2334" s="13" t="n">
        <v>5</v>
      </c>
      <c r="E2334" s="34" t="s">
        <v>7368</v>
      </c>
      <c r="F2334" s="13" t="s">
        <v>1298</v>
      </c>
      <c r="G2334" s="13" t="s">
        <v>563</v>
      </c>
      <c r="H2334" s="13" t="s">
        <v>3012</v>
      </c>
      <c r="I2334" s="13" t="s">
        <v>74</v>
      </c>
      <c r="J2334" s="13" t="s">
        <v>3012</v>
      </c>
      <c r="K2334" s="30" t="n">
        <v>83</v>
      </c>
      <c r="L2334" s="31" t="n">
        <v>46415</v>
      </c>
      <c r="M2334" s="31" t="n">
        <v>46497</v>
      </c>
      <c r="N2334" s="13"/>
      <c r="O2334" s="13"/>
      <c r="P2334" s="13"/>
      <c r="Q2334" s="13"/>
    </row>
    <row r="2335" customFormat="false" ht="15" hidden="false" customHeight="false" outlineLevel="0" collapsed="false">
      <c r="A2335" s="13" t="s">
        <v>7939</v>
      </c>
      <c r="B2335" s="13" t="n">
        <v>2330</v>
      </c>
      <c r="C2335" s="13" t="s">
        <v>7940</v>
      </c>
      <c r="D2335" s="13" t="n">
        <v>6</v>
      </c>
      <c r="E2335" s="36" t="s">
        <v>7310</v>
      </c>
      <c r="F2335" s="13" t="s">
        <v>1298</v>
      </c>
      <c r="G2335" s="13" t="s">
        <v>563</v>
      </c>
      <c r="H2335" s="13" t="s">
        <v>3012</v>
      </c>
      <c r="I2335" s="13" t="s">
        <v>74</v>
      </c>
      <c r="J2335" s="13" t="s">
        <v>7368</v>
      </c>
      <c r="K2335" s="30" t="n">
        <v>3</v>
      </c>
      <c r="L2335" s="31" t="n">
        <v>46415</v>
      </c>
      <c r="M2335" s="31" t="n">
        <v>46417</v>
      </c>
      <c r="N2335" s="13"/>
      <c r="O2335" s="13"/>
      <c r="P2335" s="13"/>
      <c r="Q2335" s="13"/>
    </row>
    <row r="2336" customFormat="false" ht="15" hidden="false" customHeight="false" outlineLevel="0" collapsed="false">
      <c r="A2336" s="16" t="s">
        <v>7941</v>
      </c>
      <c r="B2336" s="16" t="n">
        <v>2331</v>
      </c>
      <c r="C2336" s="16" t="s">
        <v>7942</v>
      </c>
      <c r="D2336" s="16" t="n">
        <v>7</v>
      </c>
      <c r="E2336" s="37" t="s">
        <v>7380</v>
      </c>
      <c r="F2336" s="16" t="s">
        <v>1285</v>
      </c>
      <c r="G2336" s="16" t="s">
        <v>563</v>
      </c>
      <c r="H2336" s="16" t="s">
        <v>3012</v>
      </c>
      <c r="I2336" s="16" t="s">
        <v>74</v>
      </c>
      <c r="J2336" s="16" t="s">
        <v>7310</v>
      </c>
      <c r="K2336" s="32" t="n">
        <v>1</v>
      </c>
      <c r="L2336" s="33" t="n">
        <v>46415</v>
      </c>
      <c r="M2336" s="33" t="n">
        <v>46415</v>
      </c>
      <c r="N2336" s="16" t="s">
        <v>7943</v>
      </c>
      <c r="O2336" s="16"/>
      <c r="P2336" s="16" t="str">
        <f aca="false">IF(AND(L2336&lt;=$D$2,M2336&gt;=$C$2),"Sí","")</f>
        <v/>
      </c>
      <c r="Q2336" s="18" t="str">
        <f aca="false">IF(COUNTIF(LOOKAHEAD!$A$5:$A$604,A2336)&gt;0,"En Lookahead",IF(P2336="Sí","INCORPORAR",""))</f>
        <v/>
      </c>
    </row>
    <row r="2337" customFormat="false" ht="15" hidden="false" customHeight="false" outlineLevel="0" collapsed="false">
      <c r="A2337" s="16" t="s">
        <v>7944</v>
      </c>
      <c r="B2337" s="16" t="n">
        <v>2332</v>
      </c>
      <c r="C2337" s="16" t="s">
        <v>7945</v>
      </c>
      <c r="D2337" s="16" t="n">
        <v>7</v>
      </c>
      <c r="E2337" s="37" t="s">
        <v>7946</v>
      </c>
      <c r="F2337" s="16" t="s">
        <v>1285</v>
      </c>
      <c r="G2337" s="16" t="s">
        <v>563</v>
      </c>
      <c r="H2337" s="16" t="s">
        <v>3012</v>
      </c>
      <c r="I2337" s="16" t="s">
        <v>74</v>
      </c>
      <c r="J2337" s="16" t="s">
        <v>7310</v>
      </c>
      <c r="K2337" s="32" t="n">
        <v>1</v>
      </c>
      <c r="L2337" s="33" t="n">
        <v>46416</v>
      </c>
      <c r="M2337" s="33" t="n">
        <v>46416</v>
      </c>
      <c r="N2337" s="16" t="s">
        <v>7947</v>
      </c>
      <c r="O2337" s="16"/>
      <c r="P2337" s="16" t="str">
        <f aca="false">IF(AND(L2337&lt;=$D$2,M2337&gt;=$C$2),"Sí","")</f>
        <v/>
      </c>
      <c r="Q2337" s="18" t="str">
        <f aca="false">IF(COUNTIF(LOOKAHEAD!$A$5:$A$604,A2337)&gt;0,"En Lookahead",IF(P2337="Sí","INCORPORAR",""))</f>
        <v/>
      </c>
    </row>
    <row r="2338" customFormat="false" ht="15" hidden="false" customHeight="false" outlineLevel="0" collapsed="false">
      <c r="A2338" s="16" t="s">
        <v>7948</v>
      </c>
      <c r="B2338" s="16" t="n">
        <v>2333</v>
      </c>
      <c r="C2338" s="16" t="s">
        <v>7949</v>
      </c>
      <c r="D2338" s="16" t="n">
        <v>7</v>
      </c>
      <c r="E2338" s="37" t="s">
        <v>7950</v>
      </c>
      <c r="F2338" s="16" t="s">
        <v>1285</v>
      </c>
      <c r="G2338" s="16" t="s">
        <v>563</v>
      </c>
      <c r="H2338" s="16" t="s">
        <v>3012</v>
      </c>
      <c r="I2338" s="16" t="s">
        <v>74</v>
      </c>
      <c r="J2338" s="16" t="s">
        <v>7310</v>
      </c>
      <c r="K2338" s="32" t="n">
        <v>1</v>
      </c>
      <c r="L2338" s="33" t="n">
        <v>46417</v>
      </c>
      <c r="M2338" s="33" t="n">
        <v>46417</v>
      </c>
      <c r="N2338" s="16" t="s">
        <v>7951</v>
      </c>
      <c r="O2338" s="16"/>
      <c r="P2338" s="16" t="str">
        <f aca="false">IF(AND(L2338&lt;=$D$2,M2338&gt;=$C$2),"Sí","")</f>
        <v/>
      </c>
      <c r="Q2338" s="18" t="str">
        <f aca="false">IF(COUNTIF(LOOKAHEAD!$A$5:$A$604,A2338)&gt;0,"En Lookahead",IF(P2338="Sí","INCORPORAR",""))</f>
        <v/>
      </c>
    </row>
    <row r="2339" customFormat="false" ht="15" hidden="false" customHeight="false" outlineLevel="0" collapsed="false">
      <c r="A2339" s="13" t="s">
        <v>7952</v>
      </c>
      <c r="B2339" s="13" t="n">
        <v>2334</v>
      </c>
      <c r="C2339" s="13" t="s">
        <v>7953</v>
      </c>
      <c r="D2339" s="13" t="n">
        <v>6</v>
      </c>
      <c r="E2339" s="36" t="s">
        <v>7349</v>
      </c>
      <c r="F2339" s="13" t="s">
        <v>1298</v>
      </c>
      <c r="G2339" s="13" t="s">
        <v>563</v>
      </c>
      <c r="H2339" s="13" t="s">
        <v>3012</v>
      </c>
      <c r="I2339" s="13" t="s">
        <v>74</v>
      </c>
      <c r="J2339" s="13" t="s">
        <v>7368</v>
      </c>
      <c r="K2339" s="30" t="n">
        <v>12</v>
      </c>
      <c r="L2339" s="31" t="n">
        <v>46418</v>
      </c>
      <c r="M2339" s="31" t="n">
        <v>46429</v>
      </c>
      <c r="N2339" s="13"/>
      <c r="O2339" s="13"/>
      <c r="P2339" s="13"/>
      <c r="Q2339" s="13"/>
    </row>
    <row r="2340" customFormat="false" ht="15" hidden="false" customHeight="false" outlineLevel="0" collapsed="false">
      <c r="A2340" s="16" t="s">
        <v>7954</v>
      </c>
      <c r="B2340" s="16" t="n">
        <v>2335</v>
      </c>
      <c r="C2340" s="16" t="s">
        <v>7955</v>
      </c>
      <c r="D2340" s="16" t="n">
        <v>7</v>
      </c>
      <c r="E2340" s="37" t="s">
        <v>7956</v>
      </c>
      <c r="F2340" s="16" t="s">
        <v>1285</v>
      </c>
      <c r="G2340" s="16" t="s">
        <v>563</v>
      </c>
      <c r="H2340" s="16" t="s">
        <v>3012</v>
      </c>
      <c r="I2340" s="16" t="s">
        <v>74</v>
      </c>
      <c r="J2340" s="16" t="s">
        <v>7349</v>
      </c>
      <c r="K2340" s="32" t="n">
        <v>12</v>
      </c>
      <c r="L2340" s="33" t="n">
        <v>46418</v>
      </c>
      <c r="M2340" s="33" t="n">
        <v>46429</v>
      </c>
      <c r="N2340" s="16" t="s">
        <v>7957</v>
      </c>
      <c r="O2340" s="16"/>
      <c r="P2340" s="16" t="str">
        <f aca="false">IF(AND(L2340&lt;=$D$2,M2340&gt;=$C$2),"Sí","")</f>
        <v/>
      </c>
      <c r="Q2340" s="18" t="str">
        <f aca="false">IF(COUNTIF(LOOKAHEAD!$A$5:$A$604,A2340)&gt;0,"En Lookahead",IF(P2340="Sí","INCORPORAR",""))</f>
        <v/>
      </c>
    </row>
    <row r="2341" customFormat="false" ht="15" hidden="false" customHeight="false" outlineLevel="0" collapsed="false">
      <c r="A2341" s="13" t="s">
        <v>7958</v>
      </c>
      <c r="B2341" s="13" t="n">
        <v>2336</v>
      </c>
      <c r="C2341" s="13" t="s">
        <v>7959</v>
      </c>
      <c r="D2341" s="13" t="n">
        <v>6</v>
      </c>
      <c r="E2341" s="36" t="s">
        <v>7960</v>
      </c>
      <c r="F2341" s="13" t="s">
        <v>1298</v>
      </c>
      <c r="G2341" s="13" t="s">
        <v>563</v>
      </c>
      <c r="H2341" s="13" t="s">
        <v>3012</v>
      </c>
      <c r="I2341" s="13" t="s">
        <v>74</v>
      </c>
      <c r="J2341" s="13" t="s">
        <v>7368</v>
      </c>
      <c r="K2341" s="30" t="n">
        <v>67</v>
      </c>
      <c r="L2341" s="31" t="n">
        <v>46430</v>
      </c>
      <c r="M2341" s="31" t="n">
        <v>46496</v>
      </c>
      <c r="N2341" s="13"/>
      <c r="O2341" s="13"/>
      <c r="P2341" s="13"/>
      <c r="Q2341" s="13"/>
    </row>
    <row r="2342" customFormat="false" ht="15" hidden="false" customHeight="false" outlineLevel="0" collapsed="false">
      <c r="A2342" s="16" t="s">
        <v>7961</v>
      </c>
      <c r="B2342" s="16" t="n">
        <v>2337</v>
      </c>
      <c r="C2342" s="16" t="s">
        <v>7962</v>
      </c>
      <c r="D2342" s="16" t="n">
        <v>7</v>
      </c>
      <c r="E2342" s="37" t="s">
        <v>7739</v>
      </c>
      <c r="F2342" s="16" t="s">
        <v>1285</v>
      </c>
      <c r="G2342" s="16" t="s">
        <v>563</v>
      </c>
      <c r="H2342" s="16" t="s">
        <v>3012</v>
      </c>
      <c r="I2342" s="16" t="s">
        <v>74</v>
      </c>
      <c r="J2342" s="16" t="s">
        <v>7960</v>
      </c>
      <c r="K2342" s="32" t="n">
        <v>67</v>
      </c>
      <c r="L2342" s="33" t="n">
        <v>46430</v>
      </c>
      <c r="M2342" s="33" t="n">
        <v>46496</v>
      </c>
      <c r="N2342" s="16" t="s">
        <v>7963</v>
      </c>
      <c r="O2342" s="16"/>
      <c r="P2342" s="16" t="str">
        <f aca="false">IF(AND(L2342&lt;=$D$2,M2342&gt;=$C$2),"Sí","")</f>
        <v/>
      </c>
      <c r="Q2342" s="18" t="str">
        <f aca="false">IF(COUNTIF(LOOKAHEAD!$A$5:$A$604,A2342)&gt;0,"En Lookahead",IF(P2342="Sí","INCORPORAR",""))</f>
        <v/>
      </c>
    </row>
    <row r="2343" customFormat="false" ht="15" hidden="false" customHeight="false" outlineLevel="0" collapsed="false">
      <c r="A2343" s="13" t="s">
        <v>7964</v>
      </c>
      <c r="B2343" s="13" t="n">
        <v>2338</v>
      </c>
      <c r="C2343" s="13" t="s">
        <v>7965</v>
      </c>
      <c r="D2343" s="13" t="n">
        <v>6</v>
      </c>
      <c r="E2343" s="36" t="s">
        <v>7966</v>
      </c>
      <c r="F2343" s="13" t="s">
        <v>1298</v>
      </c>
      <c r="G2343" s="13" t="s">
        <v>563</v>
      </c>
      <c r="H2343" s="13" t="s">
        <v>3012</v>
      </c>
      <c r="I2343" s="13" t="s">
        <v>74</v>
      </c>
      <c r="J2343" s="13" t="s">
        <v>7368</v>
      </c>
      <c r="K2343" s="30" t="n">
        <v>1</v>
      </c>
      <c r="L2343" s="31" t="n">
        <v>46497</v>
      </c>
      <c r="M2343" s="31" t="n">
        <v>46497</v>
      </c>
      <c r="N2343" s="13"/>
      <c r="O2343" s="13"/>
      <c r="P2343" s="13"/>
      <c r="Q2343" s="13"/>
    </row>
    <row r="2344" customFormat="false" ht="15" hidden="false" customHeight="false" outlineLevel="0" collapsed="false">
      <c r="A2344" s="16" t="s">
        <v>7967</v>
      </c>
      <c r="B2344" s="16" t="n">
        <v>2339</v>
      </c>
      <c r="C2344" s="16" t="s">
        <v>7968</v>
      </c>
      <c r="D2344" s="16" t="n">
        <v>7</v>
      </c>
      <c r="E2344" s="37" t="s">
        <v>7405</v>
      </c>
      <c r="F2344" s="16" t="s">
        <v>1285</v>
      </c>
      <c r="G2344" s="16" t="s">
        <v>563</v>
      </c>
      <c r="H2344" s="16" t="s">
        <v>3012</v>
      </c>
      <c r="I2344" s="16" t="s">
        <v>74</v>
      </c>
      <c r="J2344" s="16" t="s">
        <v>7966</v>
      </c>
      <c r="K2344" s="32" t="n">
        <v>1</v>
      </c>
      <c r="L2344" s="33" t="n">
        <v>46497</v>
      </c>
      <c r="M2344" s="33" t="n">
        <v>46497</v>
      </c>
      <c r="N2344" s="16" t="s">
        <v>7969</v>
      </c>
      <c r="O2344" s="16"/>
      <c r="P2344" s="16" t="str">
        <f aca="false">IF(AND(L2344&lt;=$D$2,M2344&gt;=$C$2),"Sí","")</f>
        <v/>
      </c>
      <c r="Q2344" s="18" t="str">
        <f aca="false">IF(COUNTIF(LOOKAHEAD!$A$5:$A$604,A2344)&gt;0,"En Lookahead",IF(P2344="Sí","INCORPORAR",""))</f>
        <v/>
      </c>
    </row>
    <row r="2345" customFormat="false" ht="15" hidden="false" customHeight="false" outlineLevel="0" collapsed="false">
      <c r="A2345" s="13" t="s">
        <v>7970</v>
      </c>
      <c r="B2345" s="13" t="n">
        <v>2340</v>
      </c>
      <c r="C2345" s="13" t="s">
        <v>7971</v>
      </c>
      <c r="D2345" s="13" t="n">
        <v>5</v>
      </c>
      <c r="E2345" s="34" t="s">
        <v>7416</v>
      </c>
      <c r="F2345" s="13" t="s">
        <v>1298</v>
      </c>
      <c r="G2345" s="13" t="s">
        <v>563</v>
      </c>
      <c r="H2345" s="13" t="s">
        <v>3012</v>
      </c>
      <c r="I2345" s="13" t="s">
        <v>74</v>
      </c>
      <c r="J2345" s="13" t="s">
        <v>3012</v>
      </c>
      <c r="K2345" s="30" t="n">
        <v>102</v>
      </c>
      <c r="L2345" s="31" t="n">
        <v>46311</v>
      </c>
      <c r="M2345" s="31" t="n">
        <v>46412</v>
      </c>
      <c r="N2345" s="13"/>
      <c r="O2345" s="13"/>
      <c r="P2345" s="13"/>
      <c r="Q2345" s="13"/>
    </row>
    <row r="2346" customFormat="false" ht="15" hidden="false" customHeight="false" outlineLevel="0" collapsed="false">
      <c r="A2346" s="16" t="s">
        <v>7972</v>
      </c>
      <c r="B2346" s="16" t="n">
        <v>2341</v>
      </c>
      <c r="C2346" s="16" t="s">
        <v>7973</v>
      </c>
      <c r="D2346" s="16" t="n">
        <v>6</v>
      </c>
      <c r="E2346" s="35" t="s">
        <v>7419</v>
      </c>
      <c r="F2346" s="16" t="s">
        <v>1285</v>
      </c>
      <c r="G2346" s="16" t="s">
        <v>563</v>
      </c>
      <c r="H2346" s="16" t="s">
        <v>3012</v>
      </c>
      <c r="I2346" s="16" t="s">
        <v>74</v>
      </c>
      <c r="J2346" s="16" t="s">
        <v>7416</v>
      </c>
      <c r="K2346" s="32" t="n">
        <v>15</v>
      </c>
      <c r="L2346" s="33" t="n">
        <v>46311</v>
      </c>
      <c r="M2346" s="33" t="n">
        <v>46325</v>
      </c>
      <c r="N2346" s="16" t="s">
        <v>7836</v>
      </c>
      <c r="O2346" s="16"/>
      <c r="P2346" s="16" t="str">
        <f aca="false">IF(AND(L2346&lt;=$D$2,M2346&gt;=$C$2),"Sí","")</f>
        <v>Sí</v>
      </c>
      <c r="Q2346" s="18" t="str">
        <f aca="false">IF(COUNTIF(LOOKAHEAD!$A$5:$A$604,A2346)&gt;0,"En Lookahead",IF(P2346="Sí","INCORPORAR",""))</f>
        <v>En Lookahead</v>
      </c>
    </row>
    <row r="2347" customFormat="false" ht="15" hidden="false" customHeight="false" outlineLevel="0" collapsed="false">
      <c r="A2347" s="16" t="s">
        <v>7974</v>
      </c>
      <c r="B2347" s="16" t="n">
        <v>2342</v>
      </c>
      <c r="C2347" s="16" t="s">
        <v>7975</v>
      </c>
      <c r="D2347" s="16" t="n">
        <v>6</v>
      </c>
      <c r="E2347" s="35" t="s">
        <v>7422</v>
      </c>
      <c r="F2347" s="16" t="s">
        <v>1285</v>
      </c>
      <c r="G2347" s="16" t="s">
        <v>563</v>
      </c>
      <c r="H2347" s="16" t="s">
        <v>3012</v>
      </c>
      <c r="I2347" s="16" t="s">
        <v>74</v>
      </c>
      <c r="J2347" s="16" t="s">
        <v>7416</v>
      </c>
      <c r="K2347" s="32" t="n">
        <v>10</v>
      </c>
      <c r="L2347" s="33" t="n">
        <v>46326</v>
      </c>
      <c r="M2347" s="33" t="n">
        <v>46335</v>
      </c>
      <c r="N2347" s="16" t="s">
        <v>7976</v>
      </c>
      <c r="O2347" s="16"/>
      <c r="P2347" s="16" t="str">
        <f aca="false">IF(AND(L2347&lt;=$D$2,M2347&gt;=$C$2),"Sí","")</f>
        <v>Sí</v>
      </c>
      <c r="Q2347" s="18" t="str">
        <f aca="false">IF(COUNTIF(LOOKAHEAD!$A$5:$A$604,A2347)&gt;0,"En Lookahead",IF(P2347="Sí","INCORPORAR",""))</f>
        <v>En Lookahead</v>
      </c>
    </row>
    <row r="2348" customFormat="false" ht="15" hidden="false" customHeight="false" outlineLevel="0" collapsed="false">
      <c r="A2348" s="16" t="s">
        <v>7977</v>
      </c>
      <c r="B2348" s="16" t="n">
        <v>2343</v>
      </c>
      <c r="C2348" s="16" t="s">
        <v>7978</v>
      </c>
      <c r="D2348" s="16" t="n">
        <v>6</v>
      </c>
      <c r="E2348" s="35" t="s">
        <v>7426</v>
      </c>
      <c r="F2348" s="16" t="s">
        <v>1285</v>
      </c>
      <c r="G2348" s="16" t="s">
        <v>563</v>
      </c>
      <c r="H2348" s="16" t="s">
        <v>3012</v>
      </c>
      <c r="I2348" s="16" t="s">
        <v>74</v>
      </c>
      <c r="J2348" s="16" t="s">
        <v>7416</v>
      </c>
      <c r="K2348" s="32" t="n">
        <v>12</v>
      </c>
      <c r="L2348" s="33" t="n">
        <v>46366</v>
      </c>
      <c r="M2348" s="33" t="n">
        <v>46377</v>
      </c>
      <c r="N2348" s="16" t="s">
        <v>7850</v>
      </c>
      <c r="O2348" s="16"/>
      <c r="P2348" s="16" t="str">
        <f aca="false">IF(AND(L2348&lt;=$D$2,M2348&gt;=$C$2),"Sí","")</f>
        <v/>
      </c>
      <c r="Q2348" s="18" t="str">
        <f aca="false">IF(COUNTIF(LOOKAHEAD!$A$5:$A$604,A2348)&gt;0,"En Lookahead",IF(P2348="Sí","INCORPORAR",""))</f>
        <v/>
      </c>
    </row>
    <row r="2349" customFormat="false" ht="15" hidden="false" customHeight="false" outlineLevel="0" collapsed="false">
      <c r="A2349" s="16" t="s">
        <v>7979</v>
      </c>
      <c r="B2349" s="16" t="n">
        <v>2344</v>
      </c>
      <c r="C2349" s="16" t="s">
        <v>7980</v>
      </c>
      <c r="D2349" s="16" t="n">
        <v>6</v>
      </c>
      <c r="E2349" s="35" t="s">
        <v>7429</v>
      </c>
      <c r="F2349" s="16" t="s">
        <v>1285</v>
      </c>
      <c r="G2349" s="16" t="s">
        <v>563</v>
      </c>
      <c r="H2349" s="16" t="s">
        <v>3012</v>
      </c>
      <c r="I2349" s="16" t="s">
        <v>74</v>
      </c>
      <c r="J2349" s="16" t="s">
        <v>7416</v>
      </c>
      <c r="K2349" s="32" t="n">
        <v>1</v>
      </c>
      <c r="L2349" s="33" t="n">
        <v>46402</v>
      </c>
      <c r="M2349" s="33" t="n">
        <v>46402</v>
      </c>
      <c r="N2349" s="16" t="s">
        <v>7916</v>
      </c>
      <c r="O2349" s="16"/>
      <c r="P2349" s="16" t="str">
        <f aca="false">IF(AND(L2349&lt;=$D$2,M2349&gt;=$C$2),"Sí","")</f>
        <v/>
      </c>
      <c r="Q2349" s="18" t="str">
        <f aca="false">IF(COUNTIF(LOOKAHEAD!$A$5:$A$604,A2349)&gt;0,"En Lookahead",IF(P2349="Sí","INCORPORAR",""))</f>
        <v/>
      </c>
    </row>
    <row r="2350" customFormat="false" ht="15" hidden="false" customHeight="false" outlineLevel="0" collapsed="false">
      <c r="A2350" s="16" t="s">
        <v>7981</v>
      </c>
      <c r="B2350" s="16" t="n">
        <v>2345</v>
      </c>
      <c r="C2350" s="16" t="s">
        <v>7982</v>
      </c>
      <c r="D2350" s="16" t="n">
        <v>6</v>
      </c>
      <c r="E2350" s="35" t="s">
        <v>7432</v>
      </c>
      <c r="F2350" s="16" t="s">
        <v>1285</v>
      </c>
      <c r="G2350" s="16" t="s">
        <v>563</v>
      </c>
      <c r="H2350" s="16" t="s">
        <v>3012</v>
      </c>
      <c r="I2350" s="16" t="s">
        <v>74</v>
      </c>
      <c r="J2350" s="16" t="s">
        <v>7416</v>
      </c>
      <c r="K2350" s="32" t="n">
        <v>3</v>
      </c>
      <c r="L2350" s="33" t="n">
        <v>46403</v>
      </c>
      <c r="M2350" s="33" t="n">
        <v>46405</v>
      </c>
      <c r="N2350" s="16" t="s">
        <v>7983</v>
      </c>
      <c r="O2350" s="16"/>
      <c r="P2350" s="16" t="str">
        <f aca="false">IF(AND(L2350&lt;=$D$2,M2350&gt;=$C$2),"Sí","")</f>
        <v/>
      </c>
      <c r="Q2350" s="18" t="str">
        <f aca="false">IF(COUNTIF(LOOKAHEAD!$A$5:$A$604,A2350)&gt;0,"En Lookahead",IF(P2350="Sí","INCORPORAR",""))</f>
        <v/>
      </c>
    </row>
    <row r="2351" customFormat="false" ht="15" hidden="false" customHeight="false" outlineLevel="0" collapsed="false">
      <c r="A2351" s="16" t="s">
        <v>7984</v>
      </c>
      <c r="B2351" s="16" t="n">
        <v>2346</v>
      </c>
      <c r="C2351" s="16" t="s">
        <v>7985</v>
      </c>
      <c r="D2351" s="16" t="n">
        <v>6</v>
      </c>
      <c r="E2351" s="35" t="s">
        <v>7436</v>
      </c>
      <c r="F2351" s="16" t="s">
        <v>1285</v>
      </c>
      <c r="G2351" s="16" t="s">
        <v>563</v>
      </c>
      <c r="H2351" s="16" t="s">
        <v>3012</v>
      </c>
      <c r="I2351" s="16" t="s">
        <v>74</v>
      </c>
      <c r="J2351" s="16" t="s">
        <v>7416</v>
      </c>
      <c r="K2351" s="32" t="n">
        <v>7</v>
      </c>
      <c r="L2351" s="33" t="n">
        <v>46406</v>
      </c>
      <c r="M2351" s="33" t="n">
        <v>46412</v>
      </c>
      <c r="N2351" s="16" t="s">
        <v>7986</v>
      </c>
      <c r="O2351" s="16"/>
      <c r="P2351" s="16" t="str">
        <f aca="false">IF(AND(L2351&lt;=$D$2,M2351&gt;=$C$2),"Sí","")</f>
        <v/>
      </c>
      <c r="Q2351" s="18" t="str">
        <f aca="false">IF(COUNTIF(LOOKAHEAD!$A$5:$A$604,A2351)&gt;0,"En Lookahead",IF(P2351="Sí","INCORPORAR",""))</f>
        <v/>
      </c>
    </row>
    <row r="2352" customFormat="false" ht="15" hidden="false" customHeight="false" outlineLevel="0" collapsed="false">
      <c r="A2352" s="13" t="s">
        <v>7987</v>
      </c>
      <c r="B2352" s="13" t="n">
        <v>2347</v>
      </c>
      <c r="C2352" s="13" t="s">
        <v>7988</v>
      </c>
      <c r="D2352" s="13" t="n">
        <v>5</v>
      </c>
      <c r="E2352" s="34" t="s">
        <v>7440</v>
      </c>
      <c r="F2352" s="13" t="s">
        <v>1298</v>
      </c>
      <c r="G2352" s="13" t="s">
        <v>563</v>
      </c>
      <c r="H2352" s="13" t="s">
        <v>3012</v>
      </c>
      <c r="I2352" s="13" t="s">
        <v>74</v>
      </c>
      <c r="J2352" s="13" t="s">
        <v>3012</v>
      </c>
      <c r="K2352" s="30" t="n">
        <v>17</v>
      </c>
      <c r="L2352" s="31" t="n">
        <v>46413</v>
      </c>
      <c r="M2352" s="31" t="n">
        <v>46429</v>
      </c>
      <c r="N2352" s="13"/>
      <c r="O2352" s="13"/>
      <c r="P2352" s="13"/>
      <c r="Q2352" s="13"/>
    </row>
    <row r="2353" customFormat="false" ht="15" hidden="false" customHeight="false" outlineLevel="0" collapsed="false">
      <c r="A2353" s="16" t="s">
        <v>7989</v>
      </c>
      <c r="B2353" s="16" t="n">
        <v>2348</v>
      </c>
      <c r="C2353" s="16" t="s">
        <v>7990</v>
      </c>
      <c r="D2353" s="16" t="n">
        <v>6</v>
      </c>
      <c r="E2353" s="35" t="s">
        <v>7991</v>
      </c>
      <c r="F2353" s="16" t="s">
        <v>1285</v>
      </c>
      <c r="G2353" s="16" t="s">
        <v>563</v>
      </c>
      <c r="H2353" s="16" t="s">
        <v>3012</v>
      </c>
      <c r="I2353" s="16" t="s">
        <v>74</v>
      </c>
      <c r="J2353" s="16" t="s">
        <v>7440</v>
      </c>
      <c r="K2353" s="32" t="n">
        <v>1</v>
      </c>
      <c r="L2353" s="33" t="n">
        <v>46413</v>
      </c>
      <c r="M2353" s="33" t="n">
        <v>46413</v>
      </c>
      <c r="N2353" s="16" t="s">
        <v>7992</v>
      </c>
      <c r="O2353" s="16"/>
      <c r="P2353" s="16" t="str">
        <f aca="false">IF(AND(L2353&lt;=$D$2,M2353&gt;=$C$2),"Sí","")</f>
        <v/>
      </c>
      <c r="Q2353" s="18" t="str">
        <f aca="false">IF(COUNTIF(LOOKAHEAD!$A$5:$A$604,A2353)&gt;0,"En Lookahead",IF(P2353="Sí","INCORPORAR",""))</f>
        <v/>
      </c>
    </row>
    <row r="2354" customFormat="false" ht="15" hidden="false" customHeight="false" outlineLevel="0" collapsed="false">
      <c r="A2354" s="16" t="s">
        <v>7993</v>
      </c>
      <c r="B2354" s="16" t="n">
        <v>2349</v>
      </c>
      <c r="C2354" s="16" t="s">
        <v>7994</v>
      </c>
      <c r="D2354" s="16" t="n">
        <v>6</v>
      </c>
      <c r="E2354" s="35" t="s">
        <v>7774</v>
      </c>
      <c r="F2354" s="16" t="s">
        <v>1285</v>
      </c>
      <c r="G2354" s="16" t="s">
        <v>563</v>
      </c>
      <c r="H2354" s="16" t="s">
        <v>3012</v>
      </c>
      <c r="I2354" s="16" t="s">
        <v>74</v>
      </c>
      <c r="J2354" s="16" t="s">
        <v>7440</v>
      </c>
      <c r="K2354" s="32" t="n">
        <v>2</v>
      </c>
      <c r="L2354" s="33" t="n">
        <v>46414</v>
      </c>
      <c r="M2354" s="33" t="n">
        <v>46415</v>
      </c>
      <c r="N2354" s="16" t="s">
        <v>7995</v>
      </c>
      <c r="O2354" s="16"/>
      <c r="P2354" s="16" t="str">
        <f aca="false">IF(AND(L2354&lt;=$D$2,M2354&gt;=$C$2),"Sí","")</f>
        <v/>
      </c>
      <c r="Q2354" s="18" t="str">
        <f aca="false">IF(COUNTIF(LOOKAHEAD!$A$5:$A$604,A2354)&gt;0,"En Lookahead",IF(P2354="Sí","INCORPORAR",""))</f>
        <v/>
      </c>
    </row>
    <row r="2355" customFormat="false" ht="15" hidden="false" customHeight="false" outlineLevel="0" collapsed="false">
      <c r="A2355" s="16" t="s">
        <v>7996</v>
      </c>
      <c r="B2355" s="16" t="n">
        <v>2350</v>
      </c>
      <c r="C2355" s="16" t="s">
        <v>7997</v>
      </c>
      <c r="D2355" s="16" t="n">
        <v>6</v>
      </c>
      <c r="E2355" s="35" t="s">
        <v>7451</v>
      </c>
      <c r="F2355" s="16" t="s">
        <v>1285</v>
      </c>
      <c r="G2355" s="16" t="s">
        <v>563</v>
      </c>
      <c r="H2355" s="16" t="s">
        <v>3012</v>
      </c>
      <c r="I2355" s="16" t="s">
        <v>74</v>
      </c>
      <c r="J2355" s="16" t="s">
        <v>7440</v>
      </c>
      <c r="K2355" s="32" t="n">
        <v>14</v>
      </c>
      <c r="L2355" s="33" t="n">
        <v>46416</v>
      </c>
      <c r="M2355" s="33" t="n">
        <v>46429</v>
      </c>
      <c r="N2355" s="16" t="s">
        <v>7998</v>
      </c>
      <c r="O2355" s="16"/>
      <c r="P2355" s="16" t="str">
        <f aca="false">IF(AND(L2355&lt;=$D$2,M2355&gt;=$C$2),"Sí","")</f>
        <v/>
      </c>
      <c r="Q2355" s="18" t="str">
        <f aca="false">IF(COUNTIF(LOOKAHEAD!$A$5:$A$604,A2355)&gt;0,"En Lookahead",IF(P2355="Sí","INCORPORAR",""))</f>
        <v/>
      </c>
    </row>
    <row r="2356" customFormat="false" ht="15" hidden="false" customHeight="false" outlineLevel="0" collapsed="false">
      <c r="A2356" s="13" t="s">
        <v>7999</v>
      </c>
      <c r="B2356" s="13" t="n">
        <v>2351</v>
      </c>
      <c r="C2356" s="13" t="s">
        <v>8000</v>
      </c>
      <c r="D2356" s="13" t="n">
        <v>5</v>
      </c>
      <c r="E2356" s="34" t="s">
        <v>7455</v>
      </c>
      <c r="F2356" s="13" t="s">
        <v>1298</v>
      </c>
      <c r="G2356" s="13" t="s">
        <v>563</v>
      </c>
      <c r="H2356" s="13" t="s">
        <v>3012</v>
      </c>
      <c r="I2356" s="13" t="s">
        <v>74</v>
      </c>
      <c r="J2356" s="13" t="s">
        <v>3012</v>
      </c>
      <c r="K2356" s="30" t="n">
        <v>9</v>
      </c>
      <c r="L2356" s="31" t="n">
        <v>46430</v>
      </c>
      <c r="M2356" s="31" t="n">
        <v>46438</v>
      </c>
      <c r="N2356" s="13"/>
      <c r="O2356" s="13"/>
      <c r="P2356" s="13"/>
      <c r="Q2356" s="13"/>
    </row>
    <row r="2357" customFormat="false" ht="15" hidden="false" customHeight="false" outlineLevel="0" collapsed="false">
      <c r="A2357" s="13" t="s">
        <v>8001</v>
      </c>
      <c r="B2357" s="13" t="n">
        <v>2352</v>
      </c>
      <c r="C2357" s="13" t="s">
        <v>8002</v>
      </c>
      <c r="D2357" s="13" t="n">
        <v>6</v>
      </c>
      <c r="E2357" s="36" t="s">
        <v>7458</v>
      </c>
      <c r="F2357" s="13" t="s">
        <v>1298</v>
      </c>
      <c r="G2357" s="13" t="s">
        <v>563</v>
      </c>
      <c r="H2357" s="13" t="s">
        <v>3012</v>
      </c>
      <c r="I2357" s="13" t="s">
        <v>74</v>
      </c>
      <c r="J2357" s="13" t="s">
        <v>7455</v>
      </c>
      <c r="K2357" s="30" t="n">
        <v>6</v>
      </c>
      <c r="L2357" s="31" t="n">
        <v>46430</v>
      </c>
      <c r="M2357" s="31" t="n">
        <v>46435</v>
      </c>
      <c r="N2357" s="13"/>
      <c r="O2357" s="13"/>
      <c r="P2357" s="13"/>
      <c r="Q2357" s="13"/>
    </row>
    <row r="2358" customFormat="false" ht="15" hidden="false" customHeight="false" outlineLevel="0" collapsed="false">
      <c r="A2358" s="16" t="s">
        <v>8003</v>
      </c>
      <c r="B2358" s="16" t="n">
        <v>2353</v>
      </c>
      <c r="C2358" s="16" t="s">
        <v>8004</v>
      </c>
      <c r="D2358" s="16" t="n">
        <v>7</v>
      </c>
      <c r="E2358" s="37" t="s">
        <v>7461</v>
      </c>
      <c r="F2358" s="16" t="s">
        <v>1285</v>
      </c>
      <c r="G2358" s="16" t="s">
        <v>563</v>
      </c>
      <c r="H2358" s="16" t="s">
        <v>3012</v>
      </c>
      <c r="I2358" s="16" t="s">
        <v>74</v>
      </c>
      <c r="J2358" s="16" t="s">
        <v>7458</v>
      </c>
      <c r="K2358" s="32" t="n">
        <v>2</v>
      </c>
      <c r="L2358" s="33" t="n">
        <v>46430</v>
      </c>
      <c r="M2358" s="33" t="n">
        <v>46431</v>
      </c>
      <c r="N2358" s="16" t="s">
        <v>8005</v>
      </c>
      <c r="O2358" s="16"/>
      <c r="P2358" s="16" t="str">
        <f aca="false">IF(AND(L2358&lt;=$D$2,M2358&gt;=$C$2),"Sí","")</f>
        <v/>
      </c>
      <c r="Q2358" s="18" t="str">
        <f aca="false">IF(COUNTIF(LOOKAHEAD!$A$5:$A$604,A2358)&gt;0,"En Lookahead",IF(P2358="Sí","INCORPORAR",""))</f>
        <v/>
      </c>
    </row>
    <row r="2359" customFormat="false" ht="15" hidden="false" customHeight="false" outlineLevel="0" collapsed="false">
      <c r="A2359" s="16" t="s">
        <v>8006</v>
      </c>
      <c r="B2359" s="16" t="n">
        <v>2354</v>
      </c>
      <c r="C2359" s="16" t="s">
        <v>8007</v>
      </c>
      <c r="D2359" s="16" t="n">
        <v>7</v>
      </c>
      <c r="E2359" s="37" t="s">
        <v>7465</v>
      </c>
      <c r="F2359" s="16" t="s">
        <v>1285</v>
      </c>
      <c r="G2359" s="16" t="s">
        <v>563</v>
      </c>
      <c r="H2359" s="16" t="s">
        <v>3012</v>
      </c>
      <c r="I2359" s="16" t="s">
        <v>74</v>
      </c>
      <c r="J2359" s="16" t="s">
        <v>7458</v>
      </c>
      <c r="K2359" s="32" t="n">
        <v>3</v>
      </c>
      <c r="L2359" s="33" t="n">
        <v>46432</v>
      </c>
      <c r="M2359" s="33" t="n">
        <v>46434</v>
      </c>
      <c r="N2359" s="16" t="s">
        <v>8008</v>
      </c>
      <c r="O2359" s="16"/>
      <c r="P2359" s="16" t="str">
        <f aca="false">IF(AND(L2359&lt;=$D$2,M2359&gt;=$C$2),"Sí","")</f>
        <v/>
      </c>
      <c r="Q2359" s="18" t="str">
        <f aca="false">IF(COUNTIF(LOOKAHEAD!$A$5:$A$604,A2359)&gt;0,"En Lookahead",IF(P2359="Sí","INCORPORAR",""))</f>
        <v/>
      </c>
    </row>
    <row r="2360" customFormat="false" ht="15" hidden="false" customHeight="false" outlineLevel="0" collapsed="false">
      <c r="A2360" s="16" t="s">
        <v>8009</v>
      </c>
      <c r="B2360" s="16" t="n">
        <v>2355</v>
      </c>
      <c r="C2360" s="16" t="s">
        <v>8010</v>
      </c>
      <c r="D2360" s="16" t="n">
        <v>7</v>
      </c>
      <c r="E2360" s="37" t="s">
        <v>7469</v>
      </c>
      <c r="F2360" s="16" t="s">
        <v>1285</v>
      </c>
      <c r="G2360" s="16" t="s">
        <v>563</v>
      </c>
      <c r="H2360" s="16" t="s">
        <v>3012</v>
      </c>
      <c r="I2360" s="16" t="s">
        <v>74</v>
      </c>
      <c r="J2360" s="16" t="s">
        <v>7458</v>
      </c>
      <c r="K2360" s="32" t="n">
        <v>1</v>
      </c>
      <c r="L2360" s="33" t="n">
        <v>46435</v>
      </c>
      <c r="M2360" s="33" t="n">
        <v>46435</v>
      </c>
      <c r="N2360" s="16" t="s">
        <v>8011</v>
      </c>
      <c r="O2360" s="16"/>
      <c r="P2360" s="16" t="str">
        <f aca="false">IF(AND(L2360&lt;=$D$2,M2360&gt;=$C$2),"Sí","")</f>
        <v/>
      </c>
      <c r="Q2360" s="18" t="str">
        <f aca="false">IF(COUNTIF(LOOKAHEAD!$A$5:$A$604,A2360)&gt;0,"En Lookahead",IF(P2360="Sí","INCORPORAR",""))</f>
        <v/>
      </c>
    </row>
    <row r="2361" customFormat="false" ht="15" hidden="false" customHeight="false" outlineLevel="0" collapsed="false">
      <c r="A2361" s="13" t="s">
        <v>8012</v>
      </c>
      <c r="B2361" s="13" t="n">
        <v>2356</v>
      </c>
      <c r="C2361" s="13" t="s">
        <v>8013</v>
      </c>
      <c r="D2361" s="13" t="n">
        <v>6</v>
      </c>
      <c r="E2361" s="36" t="s">
        <v>7798</v>
      </c>
      <c r="F2361" s="13" t="s">
        <v>1298</v>
      </c>
      <c r="G2361" s="13" t="s">
        <v>563</v>
      </c>
      <c r="H2361" s="13" t="s">
        <v>3012</v>
      </c>
      <c r="I2361" s="13" t="s">
        <v>74</v>
      </c>
      <c r="J2361" s="13" t="s">
        <v>7455</v>
      </c>
      <c r="K2361" s="30" t="n">
        <v>1</v>
      </c>
      <c r="L2361" s="31" t="n">
        <v>46436</v>
      </c>
      <c r="M2361" s="31" t="n">
        <v>46436</v>
      </c>
      <c r="N2361" s="13"/>
      <c r="O2361" s="13"/>
      <c r="P2361" s="13"/>
      <c r="Q2361" s="13"/>
    </row>
    <row r="2362" customFormat="false" ht="15" hidden="false" customHeight="false" outlineLevel="0" collapsed="false">
      <c r="A2362" s="16" t="s">
        <v>8014</v>
      </c>
      <c r="B2362" s="16" t="n">
        <v>2357</v>
      </c>
      <c r="C2362" s="16" t="s">
        <v>8015</v>
      </c>
      <c r="D2362" s="16" t="n">
        <v>7</v>
      </c>
      <c r="E2362" s="37" t="s">
        <v>7801</v>
      </c>
      <c r="F2362" s="16" t="s">
        <v>1285</v>
      </c>
      <c r="G2362" s="16" t="s">
        <v>563</v>
      </c>
      <c r="H2362" s="16" t="s">
        <v>3012</v>
      </c>
      <c r="I2362" s="16" t="s">
        <v>74</v>
      </c>
      <c r="J2362" s="16" t="s">
        <v>7798</v>
      </c>
      <c r="K2362" s="32" t="n">
        <v>1</v>
      </c>
      <c r="L2362" s="33" t="n">
        <v>46436</v>
      </c>
      <c r="M2362" s="33" t="n">
        <v>46436</v>
      </c>
      <c r="N2362" s="16" t="s">
        <v>8016</v>
      </c>
      <c r="O2362" s="16"/>
      <c r="P2362" s="16" t="str">
        <f aca="false">IF(AND(L2362&lt;=$D$2,M2362&gt;=$C$2),"Sí","")</f>
        <v/>
      </c>
      <c r="Q2362" s="18" t="str">
        <f aca="false">IF(COUNTIF(LOOKAHEAD!$A$5:$A$604,A2362)&gt;0,"En Lookahead",IF(P2362="Sí","INCORPORAR",""))</f>
        <v/>
      </c>
    </row>
    <row r="2363" customFormat="false" ht="15" hidden="false" customHeight="false" outlineLevel="0" collapsed="false">
      <c r="A2363" s="13" t="s">
        <v>8017</v>
      </c>
      <c r="B2363" s="13" t="n">
        <v>2358</v>
      </c>
      <c r="C2363" s="13" t="s">
        <v>8018</v>
      </c>
      <c r="D2363" s="13" t="n">
        <v>6</v>
      </c>
      <c r="E2363" s="36" t="s">
        <v>7810</v>
      </c>
      <c r="F2363" s="13" t="s">
        <v>1298</v>
      </c>
      <c r="G2363" s="13" t="s">
        <v>563</v>
      </c>
      <c r="H2363" s="13" t="s">
        <v>3012</v>
      </c>
      <c r="I2363" s="13" t="s">
        <v>74</v>
      </c>
      <c r="J2363" s="13" t="s">
        <v>7455</v>
      </c>
      <c r="K2363" s="30" t="n">
        <v>1</v>
      </c>
      <c r="L2363" s="31" t="n">
        <v>46437</v>
      </c>
      <c r="M2363" s="31" t="n">
        <v>46437</v>
      </c>
      <c r="N2363" s="13"/>
      <c r="O2363" s="13"/>
      <c r="P2363" s="13"/>
      <c r="Q2363" s="13"/>
    </row>
    <row r="2364" customFormat="false" ht="15" hidden="false" customHeight="false" outlineLevel="0" collapsed="false">
      <c r="A2364" s="16" t="s">
        <v>8019</v>
      </c>
      <c r="B2364" s="16" t="n">
        <v>2359</v>
      </c>
      <c r="C2364" s="16" t="s">
        <v>8020</v>
      </c>
      <c r="D2364" s="16" t="n">
        <v>7</v>
      </c>
      <c r="E2364" s="37" t="s">
        <v>7813</v>
      </c>
      <c r="F2364" s="16" t="s">
        <v>1285</v>
      </c>
      <c r="G2364" s="16" t="s">
        <v>563</v>
      </c>
      <c r="H2364" s="16" t="s">
        <v>3012</v>
      </c>
      <c r="I2364" s="16" t="s">
        <v>74</v>
      </c>
      <c r="J2364" s="16" t="s">
        <v>7810</v>
      </c>
      <c r="K2364" s="32" t="n">
        <v>1</v>
      </c>
      <c r="L2364" s="33" t="n">
        <v>46437</v>
      </c>
      <c r="M2364" s="33" t="n">
        <v>46437</v>
      </c>
      <c r="N2364" s="16" t="s">
        <v>8021</v>
      </c>
      <c r="O2364" s="16"/>
      <c r="P2364" s="16" t="str">
        <f aca="false">IF(AND(L2364&lt;=$D$2,M2364&gt;=$C$2),"Sí","")</f>
        <v/>
      </c>
      <c r="Q2364" s="18" t="str">
        <f aca="false">IF(COUNTIF(LOOKAHEAD!$A$5:$A$604,A2364)&gt;0,"En Lookahead",IF(P2364="Sí","INCORPORAR",""))</f>
        <v/>
      </c>
    </row>
    <row r="2365" customFormat="false" ht="15" hidden="false" customHeight="false" outlineLevel="0" collapsed="false">
      <c r="A2365" s="13" t="s">
        <v>8022</v>
      </c>
      <c r="B2365" s="13" t="n">
        <v>2360</v>
      </c>
      <c r="C2365" s="13" t="s">
        <v>8023</v>
      </c>
      <c r="D2365" s="13" t="n">
        <v>6</v>
      </c>
      <c r="E2365" s="36" t="s">
        <v>7473</v>
      </c>
      <c r="F2365" s="13" t="s">
        <v>1298</v>
      </c>
      <c r="G2365" s="13" t="s">
        <v>563</v>
      </c>
      <c r="H2365" s="13" t="s">
        <v>3012</v>
      </c>
      <c r="I2365" s="13" t="s">
        <v>74</v>
      </c>
      <c r="J2365" s="13" t="s">
        <v>7455</v>
      </c>
      <c r="K2365" s="30" t="n">
        <v>1</v>
      </c>
      <c r="L2365" s="31" t="n">
        <v>46438</v>
      </c>
      <c r="M2365" s="31" t="n">
        <v>46438</v>
      </c>
      <c r="N2365" s="13"/>
      <c r="O2365" s="13"/>
      <c r="P2365" s="13"/>
      <c r="Q2365" s="13"/>
    </row>
    <row r="2366" customFormat="false" ht="15" hidden="false" customHeight="false" outlineLevel="0" collapsed="false">
      <c r="A2366" s="16" t="s">
        <v>8024</v>
      </c>
      <c r="B2366" s="16" t="n">
        <v>2361</v>
      </c>
      <c r="C2366" s="16" t="s">
        <v>8025</v>
      </c>
      <c r="D2366" s="16" t="n">
        <v>7</v>
      </c>
      <c r="E2366" s="37" t="s">
        <v>7476</v>
      </c>
      <c r="F2366" s="16" t="s">
        <v>1285</v>
      </c>
      <c r="G2366" s="16" t="s">
        <v>563</v>
      </c>
      <c r="H2366" s="16" t="s">
        <v>3012</v>
      </c>
      <c r="I2366" s="16" t="s">
        <v>74</v>
      </c>
      <c r="J2366" s="16" t="s">
        <v>7473</v>
      </c>
      <c r="K2366" s="32" t="n">
        <v>1</v>
      </c>
      <c r="L2366" s="33" t="n">
        <v>46438</v>
      </c>
      <c r="M2366" s="33" t="n">
        <v>46438</v>
      </c>
      <c r="N2366" s="16" t="s">
        <v>8026</v>
      </c>
      <c r="O2366" s="16"/>
      <c r="P2366" s="16" t="str">
        <f aca="false">IF(AND(L2366&lt;=$D$2,M2366&gt;=$C$2),"Sí","")</f>
        <v/>
      </c>
      <c r="Q2366" s="18" t="str">
        <f aca="false">IF(COUNTIF(LOOKAHEAD!$A$5:$A$604,A2366)&gt;0,"En Lookahead",IF(P2366="Sí","INCORPORAR",""))</f>
        <v/>
      </c>
    </row>
    <row r="2367" customFormat="false" ht="15" hidden="false" customHeight="false" outlineLevel="0" collapsed="false">
      <c r="A2367" s="13" t="s">
        <v>8027</v>
      </c>
      <c r="B2367" s="13" t="n">
        <v>2362</v>
      </c>
      <c r="C2367" s="13" t="s">
        <v>8028</v>
      </c>
      <c r="D2367" s="13" t="n">
        <v>4</v>
      </c>
      <c r="E2367" s="20" t="s">
        <v>3455</v>
      </c>
      <c r="F2367" s="13" t="s">
        <v>1298</v>
      </c>
      <c r="G2367" s="13" t="s">
        <v>563</v>
      </c>
      <c r="H2367" s="13" t="s">
        <v>3455</v>
      </c>
      <c r="I2367" s="13" t="s">
        <v>80</v>
      </c>
      <c r="J2367" s="13" t="s">
        <v>7172</v>
      </c>
      <c r="K2367" s="30" t="n">
        <v>257</v>
      </c>
      <c r="L2367" s="31" t="n">
        <v>46116</v>
      </c>
      <c r="M2367" s="31" t="n">
        <v>46452</v>
      </c>
      <c r="N2367" s="13"/>
      <c r="O2367" s="13"/>
      <c r="P2367" s="13"/>
      <c r="Q2367" s="13"/>
    </row>
    <row r="2368" customFormat="false" ht="15" hidden="false" customHeight="false" outlineLevel="0" collapsed="false">
      <c r="A2368" s="13" t="s">
        <v>8029</v>
      </c>
      <c r="B2368" s="13" t="n">
        <v>2363</v>
      </c>
      <c r="C2368" s="13" t="s">
        <v>8030</v>
      </c>
      <c r="D2368" s="13" t="n">
        <v>5</v>
      </c>
      <c r="E2368" s="34" t="s">
        <v>7177</v>
      </c>
      <c r="F2368" s="13" t="s">
        <v>1298</v>
      </c>
      <c r="G2368" s="13" t="s">
        <v>563</v>
      </c>
      <c r="H2368" s="13" t="s">
        <v>3455</v>
      </c>
      <c r="I2368" s="13" t="s">
        <v>80</v>
      </c>
      <c r="J2368" s="13" t="s">
        <v>3455</v>
      </c>
      <c r="K2368" s="30" t="n">
        <v>27</v>
      </c>
      <c r="L2368" s="31" t="n">
        <v>46116</v>
      </c>
      <c r="M2368" s="31" t="n">
        <v>46142</v>
      </c>
      <c r="N2368" s="13"/>
      <c r="O2368" s="13"/>
      <c r="P2368" s="13"/>
      <c r="Q2368" s="13"/>
    </row>
    <row r="2369" customFormat="false" ht="15" hidden="false" customHeight="false" outlineLevel="0" collapsed="false">
      <c r="A2369" s="16" t="s">
        <v>8031</v>
      </c>
      <c r="B2369" s="16" t="n">
        <v>2364</v>
      </c>
      <c r="C2369" s="16" t="s">
        <v>8032</v>
      </c>
      <c r="D2369" s="16" t="n">
        <v>6</v>
      </c>
      <c r="E2369" s="35" t="s">
        <v>7180</v>
      </c>
      <c r="F2369" s="16" t="s">
        <v>1285</v>
      </c>
      <c r="G2369" s="16" t="s">
        <v>563</v>
      </c>
      <c r="H2369" s="16" t="s">
        <v>3455</v>
      </c>
      <c r="I2369" s="16" t="s">
        <v>80</v>
      </c>
      <c r="J2369" s="16" t="s">
        <v>7177</v>
      </c>
      <c r="K2369" s="32" t="n">
        <v>23</v>
      </c>
      <c r="L2369" s="33" t="n">
        <v>46116</v>
      </c>
      <c r="M2369" s="33" t="n">
        <v>46138</v>
      </c>
      <c r="N2369" s="16" t="s">
        <v>3618</v>
      </c>
      <c r="O2369" s="16"/>
      <c r="P2369" s="16" t="str">
        <f aca="false">IF(AND(L2369&lt;=$D$2,M2369&gt;=$C$2),"Sí","")</f>
        <v/>
      </c>
      <c r="Q2369" s="18" t="str">
        <f aca="false">IF(COUNTIF(LOOKAHEAD!$A$5:$A$604,A2369)&gt;0,"En Lookahead",IF(P2369="Sí","INCORPORAR",""))</f>
        <v/>
      </c>
    </row>
    <row r="2370" customFormat="false" ht="15" hidden="false" customHeight="false" outlineLevel="0" collapsed="false">
      <c r="A2370" s="16" t="s">
        <v>8033</v>
      </c>
      <c r="B2370" s="16" t="n">
        <v>2365</v>
      </c>
      <c r="C2370" s="16" t="s">
        <v>8034</v>
      </c>
      <c r="D2370" s="16" t="n">
        <v>6</v>
      </c>
      <c r="E2370" s="35" t="s">
        <v>7186</v>
      </c>
      <c r="F2370" s="16" t="s">
        <v>1285</v>
      </c>
      <c r="G2370" s="16" t="s">
        <v>563</v>
      </c>
      <c r="H2370" s="16" t="s">
        <v>3455</v>
      </c>
      <c r="I2370" s="16" t="s">
        <v>80</v>
      </c>
      <c r="J2370" s="16" t="s">
        <v>7177</v>
      </c>
      <c r="K2370" s="32" t="n">
        <v>2</v>
      </c>
      <c r="L2370" s="33" t="n">
        <v>46139</v>
      </c>
      <c r="M2370" s="33" t="n">
        <v>46140</v>
      </c>
      <c r="N2370" s="16" t="s">
        <v>3639</v>
      </c>
      <c r="O2370" s="16"/>
      <c r="P2370" s="16" t="str">
        <f aca="false">IF(AND(L2370&lt;=$D$2,M2370&gt;=$C$2),"Sí","")</f>
        <v/>
      </c>
      <c r="Q2370" s="18" t="str">
        <f aca="false">IF(COUNTIF(LOOKAHEAD!$A$5:$A$604,A2370)&gt;0,"En Lookahead",IF(P2370="Sí","INCORPORAR",""))</f>
        <v/>
      </c>
    </row>
    <row r="2371" customFormat="false" ht="15" hidden="false" customHeight="false" outlineLevel="0" collapsed="false">
      <c r="A2371" s="16" t="s">
        <v>8035</v>
      </c>
      <c r="B2371" s="16" t="n">
        <v>2366</v>
      </c>
      <c r="C2371" s="16" t="s">
        <v>8036</v>
      </c>
      <c r="D2371" s="16" t="n">
        <v>6</v>
      </c>
      <c r="E2371" s="35" t="s">
        <v>7190</v>
      </c>
      <c r="F2371" s="16" t="s">
        <v>1285</v>
      </c>
      <c r="G2371" s="16" t="s">
        <v>563</v>
      </c>
      <c r="H2371" s="16" t="s">
        <v>3455</v>
      </c>
      <c r="I2371" s="16" t="s">
        <v>80</v>
      </c>
      <c r="J2371" s="16" t="s">
        <v>7177</v>
      </c>
      <c r="K2371" s="32" t="n">
        <v>1</v>
      </c>
      <c r="L2371" s="33" t="n">
        <v>46141</v>
      </c>
      <c r="M2371" s="33" t="n">
        <v>46141</v>
      </c>
      <c r="N2371" s="16" t="s">
        <v>8037</v>
      </c>
      <c r="O2371" s="16"/>
      <c r="P2371" s="16" t="str">
        <f aca="false">IF(AND(L2371&lt;=$D$2,M2371&gt;=$C$2),"Sí","")</f>
        <v/>
      </c>
      <c r="Q2371" s="18" t="str">
        <f aca="false">IF(COUNTIF(LOOKAHEAD!$A$5:$A$604,A2371)&gt;0,"En Lookahead",IF(P2371="Sí","INCORPORAR",""))</f>
        <v/>
      </c>
    </row>
    <row r="2372" customFormat="false" ht="15" hidden="false" customHeight="false" outlineLevel="0" collapsed="false">
      <c r="A2372" s="16" t="s">
        <v>8038</v>
      </c>
      <c r="B2372" s="16" t="n">
        <v>2367</v>
      </c>
      <c r="C2372" s="16" t="s">
        <v>8039</v>
      </c>
      <c r="D2372" s="16" t="n">
        <v>6</v>
      </c>
      <c r="E2372" s="35" t="s">
        <v>7194</v>
      </c>
      <c r="F2372" s="16" t="s">
        <v>1285</v>
      </c>
      <c r="G2372" s="16" t="s">
        <v>563</v>
      </c>
      <c r="H2372" s="16" t="s">
        <v>3455</v>
      </c>
      <c r="I2372" s="16" t="s">
        <v>80</v>
      </c>
      <c r="J2372" s="16" t="s">
        <v>7177</v>
      </c>
      <c r="K2372" s="32" t="n">
        <v>1</v>
      </c>
      <c r="L2372" s="33" t="n">
        <v>46142</v>
      </c>
      <c r="M2372" s="33" t="n">
        <v>46142</v>
      </c>
      <c r="N2372" s="16" t="s">
        <v>8040</v>
      </c>
      <c r="O2372" s="16"/>
      <c r="P2372" s="16" t="str">
        <f aca="false">IF(AND(L2372&lt;=$D$2,M2372&gt;=$C$2),"Sí","")</f>
        <v/>
      </c>
      <c r="Q2372" s="18" t="str">
        <f aca="false">IF(COUNTIF(LOOKAHEAD!$A$5:$A$604,A2372)&gt;0,"En Lookahead",IF(P2372="Sí","INCORPORAR",""))</f>
        <v/>
      </c>
    </row>
    <row r="2373" customFormat="false" ht="15" hidden="false" customHeight="false" outlineLevel="0" collapsed="false">
      <c r="A2373" s="13" t="s">
        <v>8041</v>
      </c>
      <c r="B2373" s="13" t="n">
        <v>2368</v>
      </c>
      <c r="C2373" s="13" t="s">
        <v>8042</v>
      </c>
      <c r="D2373" s="13" t="n">
        <v>5</v>
      </c>
      <c r="E2373" s="34" t="s">
        <v>7206</v>
      </c>
      <c r="F2373" s="13" t="s">
        <v>1298</v>
      </c>
      <c r="G2373" s="13" t="s">
        <v>563</v>
      </c>
      <c r="H2373" s="13" t="s">
        <v>3455</v>
      </c>
      <c r="I2373" s="13" t="s">
        <v>80</v>
      </c>
      <c r="J2373" s="13" t="s">
        <v>3455</v>
      </c>
      <c r="K2373" s="30" t="n">
        <v>51</v>
      </c>
      <c r="L2373" s="31" t="n">
        <v>46143</v>
      </c>
      <c r="M2373" s="31" t="n">
        <v>46273</v>
      </c>
      <c r="N2373" s="13"/>
      <c r="O2373" s="13"/>
      <c r="P2373" s="13"/>
      <c r="Q2373" s="13"/>
    </row>
    <row r="2374" customFormat="false" ht="15" hidden="false" customHeight="false" outlineLevel="0" collapsed="false">
      <c r="A2374" s="16" t="s">
        <v>8043</v>
      </c>
      <c r="B2374" s="16" t="n">
        <v>2369</v>
      </c>
      <c r="C2374" s="16" t="s">
        <v>8044</v>
      </c>
      <c r="D2374" s="16" t="n">
        <v>6</v>
      </c>
      <c r="E2374" s="35" t="s">
        <v>7209</v>
      </c>
      <c r="F2374" s="16" t="s">
        <v>1285</v>
      </c>
      <c r="G2374" s="16" t="s">
        <v>563</v>
      </c>
      <c r="H2374" s="16" t="s">
        <v>3455</v>
      </c>
      <c r="I2374" s="16" t="s">
        <v>80</v>
      </c>
      <c r="J2374" s="16" t="s">
        <v>7206</v>
      </c>
      <c r="K2374" s="32" t="n">
        <v>21</v>
      </c>
      <c r="L2374" s="33" t="n">
        <v>46143</v>
      </c>
      <c r="M2374" s="33" t="n">
        <v>46243</v>
      </c>
      <c r="N2374" s="16" t="s">
        <v>8045</v>
      </c>
      <c r="O2374" s="16"/>
      <c r="P2374" s="16" t="str">
        <f aca="false">IF(AND(L2374&lt;=$D$2,M2374&gt;=$C$2),"Sí","")</f>
        <v/>
      </c>
      <c r="Q2374" s="18" t="str">
        <f aca="false">IF(COUNTIF(LOOKAHEAD!$A$5:$A$604,A2374)&gt;0,"En Lookahead",IF(P2374="Sí","INCORPORAR",""))</f>
        <v/>
      </c>
    </row>
    <row r="2375" customFormat="false" ht="15" hidden="false" customHeight="false" outlineLevel="0" collapsed="false">
      <c r="A2375" s="16" t="s">
        <v>8046</v>
      </c>
      <c r="B2375" s="16" t="n">
        <v>2370</v>
      </c>
      <c r="C2375" s="16" t="s">
        <v>8047</v>
      </c>
      <c r="D2375" s="16" t="n">
        <v>6</v>
      </c>
      <c r="E2375" s="35" t="s">
        <v>7212</v>
      </c>
      <c r="F2375" s="16" t="s">
        <v>1285</v>
      </c>
      <c r="G2375" s="16" t="s">
        <v>563</v>
      </c>
      <c r="H2375" s="16" t="s">
        <v>3455</v>
      </c>
      <c r="I2375" s="16" t="s">
        <v>80</v>
      </c>
      <c r="J2375" s="16" t="s">
        <v>7206</v>
      </c>
      <c r="K2375" s="32" t="n">
        <v>8</v>
      </c>
      <c r="L2375" s="33" t="n">
        <v>46244</v>
      </c>
      <c r="M2375" s="33" t="n">
        <v>46251</v>
      </c>
      <c r="N2375" s="16" t="s">
        <v>8048</v>
      </c>
      <c r="O2375" s="16"/>
      <c r="P2375" s="16" t="str">
        <f aca="false">IF(AND(L2375&lt;=$D$2,M2375&gt;=$C$2),"Sí","")</f>
        <v/>
      </c>
      <c r="Q2375" s="18" t="str">
        <f aca="false">IF(COUNTIF(LOOKAHEAD!$A$5:$A$604,A2375)&gt;0,"En Lookahead",IF(P2375="Sí","INCORPORAR",""))</f>
        <v/>
      </c>
    </row>
    <row r="2376" customFormat="false" ht="15" hidden="false" customHeight="false" outlineLevel="0" collapsed="false">
      <c r="A2376" s="16" t="s">
        <v>8049</v>
      </c>
      <c r="B2376" s="16" t="n">
        <v>2371</v>
      </c>
      <c r="C2376" s="16" t="s">
        <v>8050</v>
      </c>
      <c r="D2376" s="16" t="n">
        <v>6</v>
      </c>
      <c r="E2376" s="35" t="s">
        <v>7224</v>
      </c>
      <c r="F2376" s="16" t="s">
        <v>1285</v>
      </c>
      <c r="G2376" s="16" t="s">
        <v>563</v>
      </c>
      <c r="H2376" s="16" t="s">
        <v>3455</v>
      </c>
      <c r="I2376" s="16" t="s">
        <v>80</v>
      </c>
      <c r="J2376" s="16" t="s">
        <v>7206</v>
      </c>
      <c r="K2376" s="32" t="n">
        <v>8</v>
      </c>
      <c r="L2376" s="33" t="n">
        <v>46252</v>
      </c>
      <c r="M2376" s="33" t="n">
        <v>46259</v>
      </c>
      <c r="N2376" s="16" t="s">
        <v>8051</v>
      </c>
      <c r="O2376" s="16"/>
      <c r="P2376" s="16" t="str">
        <f aca="false">IF(AND(L2376&lt;=$D$2,M2376&gt;=$C$2),"Sí","")</f>
        <v/>
      </c>
      <c r="Q2376" s="18" t="str">
        <f aca="false">IF(COUNTIF(LOOKAHEAD!$A$5:$A$604,A2376)&gt;0,"En Lookahead",IF(P2376="Sí","INCORPORAR",""))</f>
        <v/>
      </c>
    </row>
    <row r="2377" customFormat="false" ht="15" hidden="false" customHeight="false" outlineLevel="0" collapsed="false">
      <c r="A2377" s="16" t="s">
        <v>8052</v>
      </c>
      <c r="B2377" s="16" t="n">
        <v>2372</v>
      </c>
      <c r="C2377" s="16" t="s">
        <v>8053</v>
      </c>
      <c r="D2377" s="16" t="n">
        <v>6</v>
      </c>
      <c r="E2377" s="35" t="s">
        <v>7228</v>
      </c>
      <c r="F2377" s="16" t="s">
        <v>1285</v>
      </c>
      <c r="G2377" s="16" t="s">
        <v>563</v>
      </c>
      <c r="H2377" s="16" t="s">
        <v>3455</v>
      </c>
      <c r="I2377" s="16" t="s">
        <v>80</v>
      </c>
      <c r="J2377" s="16" t="s">
        <v>7206</v>
      </c>
      <c r="K2377" s="32" t="n">
        <v>14</v>
      </c>
      <c r="L2377" s="33" t="n">
        <v>46260</v>
      </c>
      <c r="M2377" s="33" t="n">
        <v>46273</v>
      </c>
      <c r="N2377" s="16" t="s">
        <v>8054</v>
      </c>
      <c r="O2377" s="16"/>
      <c r="P2377" s="16" t="str">
        <f aca="false">IF(AND(L2377&lt;=$D$2,M2377&gt;=$C$2),"Sí","")</f>
        <v/>
      </c>
      <c r="Q2377" s="18" t="str">
        <f aca="false">IF(COUNTIF(LOOKAHEAD!$A$5:$A$604,A2377)&gt;0,"En Lookahead",IF(P2377="Sí","INCORPORAR",""))</f>
        <v/>
      </c>
    </row>
    <row r="2378" customFormat="false" ht="15" hidden="false" customHeight="false" outlineLevel="0" collapsed="false">
      <c r="A2378" s="16" t="s">
        <v>8055</v>
      </c>
      <c r="B2378" s="16" t="n">
        <v>2373</v>
      </c>
      <c r="C2378" s="16" t="s">
        <v>8056</v>
      </c>
      <c r="D2378" s="16" t="n">
        <v>6</v>
      </c>
      <c r="E2378" s="35" t="s">
        <v>7232</v>
      </c>
      <c r="F2378" s="16" t="s">
        <v>1285</v>
      </c>
      <c r="G2378" s="16" t="s">
        <v>563</v>
      </c>
      <c r="H2378" s="16" t="s">
        <v>3455</v>
      </c>
      <c r="I2378" s="16" t="s">
        <v>80</v>
      </c>
      <c r="J2378" s="16" t="s">
        <v>7206</v>
      </c>
      <c r="K2378" s="32" t="n">
        <v>17</v>
      </c>
      <c r="L2378" s="33" t="n">
        <v>46252</v>
      </c>
      <c r="M2378" s="33" t="n">
        <v>46268</v>
      </c>
      <c r="N2378" s="16" t="s">
        <v>8057</v>
      </c>
      <c r="O2378" s="16"/>
      <c r="P2378" s="16" t="str">
        <f aca="false">IF(AND(L2378&lt;=$D$2,M2378&gt;=$C$2),"Sí","")</f>
        <v/>
      </c>
      <c r="Q2378" s="18" t="str">
        <f aca="false">IF(COUNTIF(LOOKAHEAD!$A$5:$A$604,A2378)&gt;0,"En Lookahead",IF(P2378="Sí","INCORPORAR",""))</f>
        <v/>
      </c>
    </row>
    <row r="2379" customFormat="false" ht="15" hidden="false" customHeight="false" outlineLevel="0" collapsed="false">
      <c r="A2379" s="13" t="s">
        <v>8058</v>
      </c>
      <c r="B2379" s="13" t="n">
        <v>2374</v>
      </c>
      <c r="C2379" s="13" t="s">
        <v>8059</v>
      </c>
      <c r="D2379" s="13" t="n">
        <v>5</v>
      </c>
      <c r="E2379" s="34" t="s">
        <v>7236</v>
      </c>
      <c r="F2379" s="13" t="s">
        <v>1298</v>
      </c>
      <c r="G2379" s="13" t="s">
        <v>563</v>
      </c>
      <c r="H2379" s="13" t="s">
        <v>3455</v>
      </c>
      <c r="I2379" s="13" t="s">
        <v>80</v>
      </c>
      <c r="J2379" s="13" t="s">
        <v>3455</v>
      </c>
      <c r="K2379" s="30" t="n">
        <v>25</v>
      </c>
      <c r="L2379" s="31" t="n">
        <v>46252</v>
      </c>
      <c r="M2379" s="31" t="n">
        <v>46276</v>
      </c>
      <c r="N2379" s="13"/>
      <c r="O2379" s="13"/>
      <c r="P2379" s="13"/>
      <c r="Q2379" s="13"/>
    </row>
    <row r="2380" customFormat="false" ht="15" hidden="false" customHeight="false" outlineLevel="0" collapsed="false">
      <c r="A2380" s="16" t="s">
        <v>8060</v>
      </c>
      <c r="B2380" s="16" t="n">
        <v>2375</v>
      </c>
      <c r="C2380" s="16" t="s">
        <v>8061</v>
      </c>
      <c r="D2380" s="16" t="n">
        <v>6</v>
      </c>
      <c r="E2380" s="35" t="s">
        <v>7239</v>
      </c>
      <c r="F2380" s="16" t="s">
        <v>1285</v>
      </c>
      <c r="G2380" s="16" t="s">
        <v>563</v>
      </c>
      <c r="H2380" s="16" t="s">
        <v>3455</v>
      </c>
      <c r="I2380" s="16" t="s">
        <v>80</v>
      </c>
      <c r="J2380" s="16" t="s">
        <v>7236</v>
      </c>
      <c r="K2380" s="32" t="n">
        <v>25</v>
      </c>
      <c r="L2380" s="33" t="n">
        <v>46252</v>
      </c>
      <c r="M2380" s="33" t="n">
        <v>46276</v>
      </c>
      <c r="N2380" s="16" t="s">
        <v>8051</v>
      </c>
      <c r="O2380" s="16"/>
      <c r="P2380" s="16" t="str">
        <f aca="false">IF(AND(L2380&lt;=$D$2,M2380&gt;=$C$2),"Sí","")</f>
        <v/>
      </c>
      <c r="Q2380" s="18" t="str">
        <f aca="false">IF(COUNTIF(LOOKAHEAD!$A$5:$A$604,A2380)&gt;0,"En Lookahead",IF(P2380="Sí","INCORPORAR",""))</f>
        <v/>
      </c>
    </row>
    <row r="2381" customFormat="false" ht="15" hidden="false" customHeight="false" outlineLevel="0" collapsed="false">
      <c r="A2381" s="13" t="s">
        <v>8062</v>
      </c>
      <c r="B2381" s="13" t="n">
        <v>2376</v>
      </c>
      <c r="C2381" s="13" t="s">
        <v>8063</v>
      </c>
      <c r="D2381" s="13" t="n">
        <v>5</v>
      </c>
      <c r="E2381" s="34" t="s">
        <v>7250</v>
      </c>
      <c r="F2381" s="13" t="s">
        <v>1298</v>
      </c>
      <c r="G2381" s="13" t="s">
        <v>563</v>
      </c>
      <c r="H2381" s="13" t="s">
        <v>3455</v>
      </c>
      <c r="I2381" s="13" t="s">
        <v>80</v>
      </c>
      <c r="J2381" s="13" t="s">
        <v>3455</v>
      </c>
      <c r="K2381" s="30" t="n">
        <v>17</v>
      </c>
      <c r="L2381" s="31" t="n">
        <v>46277</v>
      </c>
      <c r="M2381" s="31" t="n">
        <v>46293</v>
      </c>
      <c r="N2381" s="13"/>
      <c r="O2381" s="13"/>
      <c r="P2381" s="13"/>
      <c r="Q2381" s="13"/>
    </row>
    <row r="2382" customFormat="false" ht="15" hidden="false" customHeight="false" outlineLevel="0" collapsed="false">
      <c r="A2382" s="13" t="s">
        <v>8064</v>
      </c>
      <c r="B2382" s="13" t="n">
        <v>2377</v>
      </c>
      <c r="C2382" s="13" t="s">
        <v>8065</v>
      </c>
      <c r="D2382" s="13" t="n">
        <v>6</v>
      </c>
      <c r="E2382" s="36" t="s">
        <v>7253</v>
      </c>
      <c r="F2382" s="13" t="s">
        <v>1298</v>
      </c>
      <c r="G2382" s="13" t="s">
        <v>563</v>
      </c>
      <c r="H2382" s="13" t="s">
        <v>3455</v>
      </c>
      <c r="I2382" s="13" t="s">
        <v>80</v>
      </c>
      <c r="J2382" s="13" t="s">
        <v>7250</v>
      </c>
      <c r="K2382" s="30" t="n">
        <v>8</v>
      </c>
      <c r="L2382" s="31" t="n">
        <v>46277</v>
      </c>
      <c r="M2382" s="31" t="n">
        <v>46284</v>
      </c>
      <c r="N2382" s="13"/>
      <c r="O2382" s="13"/>
      <c r="P2382" s="13"/>
      <c r="Q2382" s="13"/>
    </row>
    <row r="2383" customFormat="false" ht="15" hidden="false" customHeight="false" outlineLevel="0" collapsed="false">
      <c r="A2383" s="16" t="s">
        <v>8066</v>
      </c>
      <c r="B2383" s="16" t="n">
        <v>2378</v>
      </c>
      <c r="C2383" s="16" t="s">
        <v>8067</v>
      </c>
      <c r="D2383" s="16" t="n">
        <v>7</v>
      </c>
      <c r="E2383" s="37" t="s">
        <v>7256</v>
      </c>
      <c r="F2383" s="16" t="s">
        <v>1285</v>
      </c>
      <c r="G2383" s="16" t="s">
        <v>563</v>
      </c>
      <c r="H2383" s="16" t="s">
        <v>3455</v>
      </c>
      <c r="I2383" s="16" t="s">
        <v>80</v>
      </c>
      <c r="J2383" s="16" t="s">
        <v>7253</v>
      </c>
      <c r="K2383" s="32" t="n">
        <v>8</v>
      </c>
      <c r="L2383" s="33" t="n">
        <v>46277</v>
      </c>
      <c r="M2383" s="33" t="n">
        <v>46284</v>
      </c>
      <c r="N2383" s="16" t="s">
        <v>8068</v>
      </c>
      <c r="O2383" s="16"/>
      <c r="P2383" s="16" t="str">
        <f aca="false">IF(AND(L2383&lt;=$D$2,M2383&gt;=$C$2),"Sí","")</f>
        <v/>
      </c>
      <c r="Q2383" s="18" t="str">
        <f aca="false">IF(COUNTIF(LOOKAHEAD!$A$5:$A$604,A2383)&gt;0,"En Lookahead",IF(P2383="Sí","INCORPORAR",""))</f>
        <v/>
      </c>
    </row>
    <row r="2384" customFormat="false" ht="15" hidden="false" customHeight="false" outlineLevel="0" collapsed="false">
      <c r="A2384" s="13" t="s">
        <v>8069</v>
      </c>
      <c r="B2384" s="13" t="n">
        <v>2379</v>
      </c>
      <c r="C2384" s="13" t="s">
        <v>8070</v>
      </c>
      <c r="D2384" s="13" t="n">
        <v>6</v>
      </c>
      <c r="E2384" s="36" t="s">
        <v>7260</v>
      </c>
      <c r="F2384" s="13" t="s">
        <v>1298</v>
      </c>
      <c r="G2384" s="13" t="s">
        <v>563</v>
      </c>
      <c r="H2384" s="13" t="s">
        <v>3455</v>
      </c>
      <c r="I2384" s="13" t="s">
        <v>80</v>
      </c>
      <c r="J2384" s="13" t="s">
        <v>7250</v>
      </c>
      <c r="K2384" s="30" t="n">
        <v>9</v>
      </c>
      <c r="L2384" s="31" t="n">
        <v>46285</v>
      </c>
      <c r="M2384" s="31" t="n">
        <v>46293</v>
      </c>
      <c r="N2384" s="13"/>
      <c r="O2384" s="13"/>
      <c r="P2384" s="13"/>
      <c r="Q2384" s="13"/>
    </row>
    <row r="2385" customFormat="false" ht="15" hidden="false" customHeight="false" outlineLevel="0" collapsed="false">
      <c r="A2385" s="16" t="s">
        <v>8071</v>
      </c>
      <c r="B2385" s="16" t="n">
        <v>2380</v>
      </c>
      <c r="C2385" s="16" t="s">
        <v>8072</v>
      </c>
      <c r="D2385" s="16" t="n">
        <v>7</v>
      </c>
      <c r="E2385" s="37" t="s">
        <v>7271</v>
      </c>
      <c r="F2385" s="16" t="s">
        <v>1285</v>
      </c>
      <c r="G2385" s="16" t="s">
        <v>563</v>
      </c>
      <c r="H2385" s="16" t="s">
        <v>3455</v>
      </c>
      <c r="I2385" s="16" t="s">
        <v>80</v>
      </c>
      <c r="J2385" s="16" t="s">
        <v>7260</v>
      </c>
      <c r="K2385" s="32" t="n">
        <v>1</v>
      </c>
      <c r="L2385" s="33" t="n">
        <v>46285</v>
      </c>
      <c r="M2385" s="33" t="n">
        <v>46285</v>
      </c>
      <c r="N2385" s="16" t="s">
        <v>8073</v>
      </c>
      <c r="O2385" s="16"/>
      <c r="P2385" s="16" t="str">
        <f aca="false">IF(AND(L2385&lt;=$D$2,M2385&gt;=$C$2),"Sí","")</f>
        <v/>
      </c>
      <c r="Q2385" s="18" t="str">
        <f aca="false">IF(COUNTIF(LOOKAHEAD!$A$5:$A$604,A2385)&gt;0,"En Lookahead",IF(P2385="Sí","INCORPORAR",""))</f>
        <v/>
      </c>
    </row>
    <row r="2386" customFormat="false" ht="15" hidden="false" customHeight="false" outlineLevel="0" collapsed="false">
      <c r="A2386" s="16" t="s">
        <v>8074</v>
      </c>
      <c r="B2386" s="16" t="n">
        <v>2381</v>
      </c>
      <c r="C2386" s="16" t="s">
        <v>8075</v>
      </c>
      <c r="D2386" s="16" t="n">
        <v>7</v>
      </c>
      <c r="E2386" s="37" t="s">
        <v>7275</v>
      </c>
      <c r="F2386" s="16" t="s">
        <v>1285</v>
      </c>
      <c r="G2386" s="16" t="s">
        <v>563</v>
      </c>
      <c r="H2386" s="16" t="s">
        <v>3455</v>
      </c>
      <c r="I2386" s="16" t="s">
        <v>80</v>
      </c>
      <c r="J2386" s="16" t="s">
        <v>7260</v>
      </c>
      <c r="K2386" s="32" t="n">
        <v>8</v>
      </c>
      <c r="L2386" s="33" t="n">
        <v>46286</v>
      </c>
      <c r="M2386" s="33" t="n">
        <v>46293</v>
      </c>
      <c r="N2386" s="16" t="s">
        <v>8076</v>
      </c>
      <c r="O2386" s="16"/>
      <c r="P2386" s="16" t="str">
        <f aca="false">IF(AND(L2386&lt;=$D$2,M2386&gt;=$C$2),"Sí","")</f>
        <v/>
      </c>
      <c r="Q2386" s="18" t="str">
        <f aca="false">IF(COUNTIF(LOOKAHEAD!$A$5:$A$604,A2386)&gt;0,"En Lookahead",IF(P2386="Sí","INCORPORAR",""))</f>
        <v/>
      </c>
    </row>
    <row r="2387" customFormat="false" ht="15" hidden="false" customHeight="false" outlineLevel="0" collapsed="false">
      <c r="A2387" s="13" t="s">
        <v>8077</v>
      </c>
      <c r="B2387" s="13" t="n">
        <v>2382</v>
      </c>
      <c r="C2387" s="13" t="s">
        <v>8078</v>
      </c>
      <c r="D2387" s="13" t="n">
        <v>5</v>
      </c>
      <c r="E2387" s="34" t="s">
        <v>7279</v>
      </c>
      <c r="F2387" s="13" t="s">
        <v>1298</v>
      </c>
      <c r="G2387" s="13" t="s">
        <v>563</v>
      </c>
      <c r="H2387" s="13" t="s">
        <v>3455</v>
      </c>
      <c r="I2387" s="13" t="s">
        <v>80</v>
      </c>
      <c r="J2387" s="13" t="s">
        <v>3455</v>
      </c>
      <c r="K2387" s="30" t="n">
        <v>8</v>
      </c>
      <c r="L2387" s="31" t="n">
        <v>46285</v>
      </c>
      <c r="M2387" s="31" t="n">
        <v>46292</v>
      </c>
      <c r="N2387" s="13"/>
      <c r="O2387" s="13"/>
      <c r="P2387" s="13"/>
      <c r="Q2387" s="13"/>
    </row>
    <row r="2388" customFormat="false" ht="15" hidden="false" customHeight="false" outlineLevel="0" collapsed="false">
      <c r="A2388" s="16" t="s">
        <v>8079</v>
      </c>
      <c r="B2388" s="16" t="n">
        <v>2383</v>
      </c>
      <c r="C2388" s="16" t="s">
        <v>8080</v>
      </c>
      <c r="D2388" s="16" t="n">
        <v>6</v>
      </c>
      <c r="E2388" s="35" t="s">
        <v>7282</v>
      </c>
      <c r="F2388" s="16" t="s">
        <v>1285</v>
      </c>
      <c r="G2388" s="16" t="s">
        <v>563</v>
      </c>
      <c r="H2388" s="16" t="s">
        <v>3455</v>
      </c>
      <c r="I2388" s="16" t="s">
        <v>80</v>
      </c>
      <c r="J2388" s="16" t="s">
        <v>7279</v>
      </c>
      <c r="K2388" s="32" t="n">
        <v>8</v>
      </c>
      <c r="L2388" s="33" t="n">
        <v>46285</v>
      </c>
      <c r="M2388" s="33" t="n">
        <v>46292</v>
      </c>
      <c r="N2388" s="16" t="s">
        <v>8081</v>
      </c>
      <c r="O2388" s="16"/>
      <c r="P2388" s="16" t="str">
        <f aca="false">IF(AND(L2388&lt;=$D$2,M2388&gt;=$C$2),"Sí","")</f>
        <v/>
      </c>
      <c r="Q2388" s="18" t="str">
        <f aca="false">IF(COUNTIF(LOOKAHEAD!$A$5:$A$604,A2388)&gt;0,"En Lookahead",IF(P2388="Sí","INCORPORAR",""))</f>
        <v/>
      </c>
    </row>
    <row r="2389" customFormat="false" ht="15" hidden="false" customHeight="false" outlineLevel="0" collapsed="false">
      <c r="A2389" s="16" t="s">
        <v>8082</v>
      </c>
      <c r="B2389" s="16" t="n">
        <v>2384</v>
      </c>
      <c r="C2389" s="16" t="s">
        <v>8083</v>
      </c>
      <c r="D2389" s="16" t="n">
        <v>6</v>
      </c>
      <c r="E2389" s="35" t="s">
        <v>7290</v>
      </c>
      <c r="F2389" s="16" t="s">
        <v>1285</v>
      </c>
      <c r="G2389" s="16" t="s">
        <v>563</v>
      </c>
      <c r="H2389" s="16" t="s">
        <v>3455</v>
      </c>
      <c r="I2389" s="16" t="s">
        <v>80</v>
      </c>
      <c r="J2389" s="16" t="s">
        <v>7279</v>
      </c>
      <c r="K2389" s="32" t="n">
        <v>1</v>
      </c>
      <c r="L2389" s="33" t="n">
        <v>46285</v>
      </c>
      <c r="M2389" s="33" t="n">
        <v>46285</v>
      </c>
      <c r="N2389" s="16" t="s">
        <v>8084</v>
      </c>
      <c r="O2389" s="16"/>
      <c r="P2389" s="16" t="str">
        <f aca="false">IF(AND(L2389&lt;=$D$2,M2389&gt;=$C$2),"Sí","")</f>
        <v/>
      </c>
      <c r="Q2389" s="18" t="str">
        <f aca="false">IF(COUNTIF(LOOKAHEAD!$A$5:$A$604,A2389)&gt;0,"En Lookahead",IF(P2389="Sí","INCORPORAR",""))</f>
        <v/>
      </c>
    </row>
    <row r="2390" customFormat="false" ht="15" hidden="false" customHeight="false" outlineLevel="0" collapsed="false">
      <c r="A2390" s="16" t="s">
        <v>8085</v>
      </c>
      <c r="B2390" s="16" t="n">
        <v>2385</v>
      </c>
      <c r="C2390" s="16" t="s">
        <v>8086</v>
      </c>
      <c r="D2390" s="16" t="n">
        <v>6</v>
      </c>
      <c r="E2390" s="35" t="s">
        <v>8087</v>
      </c>
      <c r="F2390" s="16" t="s">
        <v>1285</v>
      </c>
      <c r="G2390" s="16" t="s">
        <v>563</v>
      </c>
      <c r="H2390" s="16" t="s">
        <v>3455</v>
      </c>
      <c r="I2390" s="16" t="s">
        <v>80</v>
      </c>
      <c r="J2390" s="16" t="s">
        <v>7279</v>
      </c>
      <c r="K2390" s="32" t="n">
        <v>2</v>
      </c>
      <c r="L2390" s="33" t="n">
        <v>46285</v>
      </c>
      <c r="M2390" s="33" t="n">
        <v>46286</v>
      </c>
      <c r="N2390" s="16" t="s">
        <v>8084</v>
      </c>
      <c r="O2390" s="16"/>
      <c r="P2390" s="16" t="str">
        <f aca="false">IF(AND(L2390&lt;=$D$2,M2390&gt;=$C$2),"Sí","")</f>
        <v/>
      </c>
      <c r="Q2390" s="18" t="str">
        <f aca="false">IF(COUNTIF(LOOKAHEAD!$A$5:$A$604,A2390)&gt;0,"En Lookahead",IF(P2390="Sí","INCORPORAR",""))</f>
        <v/>
      </c>
    </row>
    <row r="2391" customFormat="false" ht="15" hidden="false" customHeight="false" outlineLevel="0" collapsed="false">
      <c r="A2391" s="16" t="s">
        <v>8088</v>
      </c>
      <c r="B2391" s="16" t="n">
        <v>2386</v>
      </c>
      <c r="C2391" s="16" t="s">
        <v>8089</v>
      </c>
      <c r="D2391" s="16" t="n">
        <v>6</v>
      </c>
      <c r="E2391" s="35" t="s">
        <v>7603</v>
      </c>
      <c r="F2391" s="16" t="s">
        <v>1285</v>
      </c>
      <c r="G2391" s="16" t="s">
        <v>563</v>
      </c>
      <c r="H2391" s="16" t="s">
        <v>3455</v>
      </c>
      <c r="I2391" s="16" t="s">
        <v>80</v>
      </c>
      <c r="J2391" s="16" t="s">
        <v>7279</v>
      </c>
      <c r="K2391" s="32" t="n">
        <v>1</v>
      </c>
      <c r="L2391" s="33" t="n">
        <v>46285</v>
      </c>
      <c r="M2391" s="33" t="n">
        <v>46285</v>
      </c>
      <c r="N2391" s="16" t="s">
        <v>8084</v>
      </c>
      <c r="O2391" s="16"/>
      <c r="P2391" s="16" t="str">
        <f aca="false">IF(AND(L2391&lt;=$D$2,M2391&gt;=$C$2),"Sí","")</f>
        <v/>
      </c>
      <c r="Q2391" s="18" t="str">
        <f aca="false">IF(COUNTIF(LOOKAHEAD!$A$5:$A$604,A2391)&gt;0,"En Lookahead",IF(P2391="Sí","INCORPORAR",""))</f>
        <v/>
      </c>
    </row>
    <row r="2392" customFormat="false" ht="15" hidden="false" customHeight="false" outlineLevel="0" collapsed="false">
      <c r="A2392" s="13" t="s">
        <v>8090</v>
      </c>
      <c r="B2392" s="13" t="n">
        <v>2387</v>
      </c>
      <c r="C2392" s="13" t="s">
        <v>8091</v>
      </c>
      <c r="D2392" s="13" t="n">
        <v>5</v>
      </c>
      <c r="E2392" s="34" t="s">
        <v>7296</v>
      </c>
      <c r="F2392" s="13" t="s">
        <v>1298</v>
      </c>
      <c r="G2392" s="13" t="s">
        <v>563</v>
      </c>
      <c r="H2392" s="13" t="s">
        <v>3455</v>
      </c>
      <c r="I2392" s="13" t="s">
        <v>80</v>
      </c>
      <c r="J2392" s="13" t="s">
        <v>3455</v>
      </c>
      <c r="K2392" s="30" t="n">
        <v>11</v>
      </c>
      <c r="L2392" s="31" t="n">
        <v>46286</v>
      </c>
      <c r="M2392" s="31" t="n">
        <v>46296</v>
      </c>
      <c r="N2392" s="13"/>
      <c r="O2392" s="13"/>
      <c r="P2392" s="13"/>
      <c r="Q2392" s="13"/>
    </row>
    <row r="2393" customFormat="false" ht="15" hidden="false" customHeight="false" outlineLevel="0" collapsed="false">
      <c r="A2393" s="16" t="s">
        <v>8092</v>
      </c>
      <c r="B2393" s="16" t="n">
        <v>2388</v>
      </c>
      <c r="C2393" s="16" t="s">
        <v>8093</v>
      </c>
      <c r="D2393" s="16" t="n">
        <v>6</v>
      </c>
      <c r="E2393" s="35" t="s">
        <v>7299</v>
      </c>
      <c r="F2393" s="16" t="s">
        <v>1285</v>
      </c>
      <c r="G2393" s="16" t="s">
        <v>563</v>
      </c>
      <c r="H2393" s="16" t="s">
        <v>3455</v>
      </c>
      <c r="I2393" s="16" t="s">
        <v>80</v>
      </c>
      <c r="J2393" s="16" t="s">
        <v>7296</v>
      </c>
      <c r="K2393" s="32" t="n">
        <v>3</v>
      </c>
      <c r="L2393" s="33" t="n">
        <v>46286</v>
      </c>
      <c r="M2393" s="33" t="n">
        <v>46288</v>
      </c>
      <c r="N2393" s="16" t="s">
        <v>8094</v>
      </c>
      <c r="O2393" s="16"/>
      <c r="P2393" s="16" t="str">
        <f aca="false">IF(AND(L2393&lt;=$D$2,M2393&gt;=$C$2),"Sí","")</f>
        <v/>
      </c>
      <c r="Q2393" s="18" t="str">
        <f aca="false">IF(COUNTIF(LOOKAHEAD!$A$5:$A$604,A2393)&gt;0,"En Lookahead",IF(P2393="Sí","INCORPORAR",""))</f>
        <v/>
      </c>
    </row>
    <row r="2394" customFormat="false" ht="15" hidden="false" customHeight="false" outlineLevel="0" collapsed="false">
      <c r="A2394" s="16" t="s">
        <v>8095</v>
      </c>
      <c r="B2394" s="16" t="n">
        <v>2389</v>
      </c>
      <c r="C2394" s="16" t="s">
        <v>8096</v>
      </c>
      <c r="D2394" s="16" t="n">
        <v>6</v>
      </c>
      <c r="E2394" s="35" t="s">
        <v>7303</v>
      </c>
      <c r="F2394" s="16" t="s">
        <v>1285</v>
      </c>
      <c r="G2394" s="16" t="s">
        <v>563</v>
      </c>
      <c r="H2394" s="16" t="s">
        <v>3455</v>
      </c>
      <c r="I2394" s="16" t="s">
        <v>80</v>
      </c>
      <c r="J2394" s="16" t="s">
        <v>7296</v>
      </c>
      <c r="K2394" s="32" t="n">
        <v>8</v>
      </c>
      <c r="L2394" s="33" t="n">
        <v>46289</v>
      </c>
      <c r="M2394" s="33" t="n">
        <v>46296</v>
      </c>
      <c r="N2394" s="16" t="s">
        <v>8097</v>
      </c>
      <c r="O2394" s="16"/>
      <c r="P2394" s="16" t="str">
        <f aca="false">IF(AND(L2394&lt;=$D$2,M2394&gt;=$C$2),"Sí","")</f>
        <v/>
      </c>
      <c r="Q2394" s="18" t="str">
        <f aca="false">IF(COUNTIF(LOOKAHEAD!$A$5:$A$604,A2394)&gt;0,"En Lookahead",IF(P2394="Sí","INCORPORAR",""))</f>
        <v/>
      </c>
    </row>
    <row r="2395" customFormat="false" ht="15" hidden="false" customHeight="false" outlineLevel="0" collapsed="false">
      <c r="A2395" s="13" t="s">
        <v>8098</v>
      </c>
      <c r="B2395" s="13" t="n">
        <v>2390</v>
      </c>
      <c r="C2395" s="13" t="s">
        <v>8099</v>
      </c>
      <c r="D2395" s="13" t="n">
        <v>5</v>
      </c>
      <c r="E2395" s="34" t="s">
        <v>7307</v>
      </c>
      <c r="F2395" s="13" t="s">
        <v>1298</v>
      </c>
      <c r="G2395" s="13" t="s">
        <v>563</v>
      </c>
      <c r="H2395" s="13" t="s">
        <v>3455</v>
      </c>
      <c r="I2395" s="13" t="s">
        <v>80</v>
      </c>
      <c r="J2395" s="13" t="s">
        <v>3455</v>
      </c>
      <c r="K2395" s="30" t="n">
        <v>2</v>
      </c>
      <c r="L2395" s="31" t="n">
        <v>46286</v>
      </c>
      <c r="M2395" s="31" t="n">
        <v>46287</v>
      </c>
      <c r="N2395" s="13"/>
      <c r="O2395" s="13"/>
      <c r="P2395" s="13"/>
      <c r="Q2395" s="13"/>
    </row>
    <row r="2396" customFormat="false" ht="15" hidden="false" customHeight="false" outlineLevel="0" collapsed="false">
      <c r="A2396" s="13" t="s">
        <v>8100</v>
      </c>
      <c r="B2396" s="13" t="n">
        <v>2391</v>
      </c>
      <c r="C2396" s="13" t="s">
        <v>8101</v>
      </c>
      <c r="D2396" s="13" t="n">
        <v>6</v>
      </c>
      <c r="E2396" s="36" t="s">
        <v>7310</v>
      </c>
      <c r="F2396" s="13" t="s">
        <v>1298</v>
      </c>
      <c r="G2396" s="13" t="s">
        <v>563</v>
      </c>
      <c r="H2396" s="13" t="s">
        <v>3455</v>
      </c>
      <c r="I2396" s="13" t="s">
        <v>80</v>
      </c>
      <c r="J2396" s="13" t="s">
        <v>7307</v>
      </c>
      <c r="K2396" s="30" t="n">
        <v>2</v>
      </c>
      <c r="L2396" s="31" t="n">
        <v>46286</v>
      </c>
      <c r="M2396" s="31" t="n">
        <v>46287</v>
      </c>
      <c r="N2396" s="13"/>
      <c r="O2396" s="13"/>
      <c r="P2396" s="13"/>
      <c r="Q2396" s="13"/>
    </row>
    <row r="2397" customFormat="false" ht="15" hidden="false" customHeight="false" outlineLevel="0" collapsed="false">
      <c r="A2397" s="16" t="s">
        <v>8102</v>
      </c>
      <c r="B2397" s="16" t="n">
        <v>2392</v>
      </c>
      <c r="C2397" s="16" t="s">
        <v>8103</v>
      </c>
      <c r="D2397" s="16" t="n">
        <v>7</v>
      </c>
      <c r="E2397" s="37" t="s">
        <v>7313</v>
      </c>
      <c r="F2397" s="16" t="s">
        <v>1285</v>
      </c>
      <c r="G2397" s="16" t="s">
        <v>563</v>
      </c>
      <c r="H2397" s="16" t="s">
        <v>3455</v>
      </c>
      <c r="I2397" s="16" t="s">
        <v>80</v>
      </c>
      <c r="J2397" s="16" t="s">
        <v>7310</v>
      </c>
      <c r="K2397" s="32" t="n">
        <v>1</v>
      </c>
      <c r="L2397" s="33" t="n">
        <v>46286</v>
      </c>
      <c r="M2397" s="33" t="n">
        <v>46286</v>
      </c>
      <c r="N2397" s="16" t="s">
        <v>8094</v>
      </c>
      <c r="O2397" s="16"/>
      <c r="P2397" s="16" t="str">
        <f aca="false">IF(AND(L2397&lt;=$D$2,M2397&gt;=$C$2),"Sí","")</f>
        <v/>
      </c>
      <c r="Q2397" s="18" t="str">
        <f aca="false">IF(COUNTIF(LOOKAHEAD!$A$5:$A$604,A2397)&gt;0,"En Lookahead",IF(P2397="Sí","INCORPORAR",""))</f>
        <v/>
      </c>
    </row>
    <row r="2398" customFormat="false" ht="15" hidden="false" customHeight="false" outlineLevel="0" collapsed="false">
      <c r="A2398" s="16" t="s">
        <v>8104</v>
      </c>
      <c r="B2398" s="16" t="n">
        <v>2393</v>
      </c>
      <c r="C2398" s="16" t="s">
        <v>8105</v>
      </c>
      <c r="D2398" s="16" t="n">
        <v>7</v>
      </c>
      <c r="E2398" s="37" t="s">
        <v>7631</v>
      </c>
      <c r="F2398" s="16" t="s">
        <v>1285</v>
      </c>
      <c r="G2398" s="16" t="s">
        <v>563</v>
      </c>
      <c r="H2398" s="16" t="s">
        <v>3455</v>
      </c>
      <c r="I2398" s="16" t="s">
        <v>80</v>
      </c>
      <c r="J2398" s="16" t="s">
        <v>7310</v>
      </c>
      <c r="K2398" s="32" t="n">
        <v>1</v>
      </c>
      <c r="L2398" s="33" t="n">
        <v>46287</v>
      </c>
      <c r="M2398" s="33" t="n">
        <v>46287</v>
      </c>
      <c r="N2398" s="16" t="s">
        <v>8106</v>
      </c>
      <c r="O2398" s="16"/>
      <c r="P2398" s="16" t="str">
        <f aca="false">IF(AND(L2398&lt;=$D$2,M2398&gt;=$C$2),"Sí","")</f>
        <v/>
      </c>
      <c r="Q2398" s="18" t="str">
        <f aca="false">IF(COUNTIF(LOOKAHEAD!$A$5:$A$604,A2398)&gt;0,"En Lookahead",IF(P2398="Sí","INCORPORAR",""))</f>
        <v/>
      </c>
    </row>
    <row r="2399" customFormat="false" ht="15" hidden="false" customHeight="false" outlineLevel="0" collapsed="false">
      <c r="A2399" s="13" t="s">
        <v>8107</v>
      </c>
      <c r="B2399" s="13" t="n">
        <v>2394</v>
      </c>
      <c r="C2399" s="13" t="s">
        <v>8108</v>
      </c>
      <c r="D2399" s="13" t="n">
        <v>5</v>
      </c>
      <c r="E2399" s="34" t="s">
        <v>7328</v>
      </c>
      <c r="F2399" s="13" t="s">
        <v>1298</v>
      </c>
      <c r="G2399" s="13" t="s">
        <v>563</v>
      </c>
      <c r="H2399" s="13" t="s">
        <v>3455</v>
      </c>
      <c r="I2399" s="13" t="s">
        <v>80</v>
      </c>
      <c r="J2399" s="13" t="s">
        <v>3455</v>
      </c>
      <c r="K2399" s="30" t="n">
        <v>5</v>
      </c>
      <c r="L2399" s="31" t="n">
        <v>46288</v>
      </c>
      <c r="M2399" s="31" t="n">
        <v>46292</v>
      </c>
      <c r="N2399" s="13"/>
      <c r="O2399" s="13"/>
      <c r="P2399" s="13"/>
      <c r="Q2399" s="13"/>
    </row>
    <row r="2400" customFormat="false" ht="15" hidden="false" customHeight="false" outlineLevel="0" collapsed="false">
      <c r="A2400" s="13" t="s">
        <v>8109</v>
      </c>
      <c r="B2400" s="13" t="n">
        <v>2395</v>
      </c>
      <c r="C2400" s="13" t="s">
        <v>8110</v>
      </c>
      <c r="D2400" s="13" t="n">
        <v>6</v>
      </c>
      <c r="E2400" s="36" t="s">
        <v>7310</v>
      </c>
      <c r="F2400" s="13" t="s">
        <v>1298</v>
      </c>
      <c r="G2400" s="13" t="s">
        <v>563</v>
      </c>
      <c r="H2400" s="13" t="s">
        <v>3455</v>
      </c>
      <c r="I2400" s="13" t="s">
        <v>80</v>
      </c>
      <c r="J2400" s="13" t="s">
        <v>7328</v>
      </c>
      <c r="K2400" s="30" t="n">
        <v>2</v>
      </c>
      <c r="L2400" s="31" t="n">
        <v>46288</v>
      </c>
      <c r="M2400" s="31" t="n">
        <v>46289</v>
      </c>
      <c r="N2400" s="13"/>
      <c r="O2400" s="13"/>
      <c r="P2400" s="13"/>
      <c r="Q2400" s="13"/>
    </row>
    <row r="2401" customFormat="false" ht="15" hidden="false" customHeight="false" outlineLevel="0" collapsed="false">
      <c r="A2401" s="16" t="s">
        <v>8111</v>
      </c>
      <c r="B2401" s="16" t="n">
        <v>2396</v>
      </c>
      <c r="C2401" s="16" t="s">
        <v>8112</v>
      </c>
      <c r="D2401" s="16" t="n">
        <v>7</v>
      </c>
      <c r="E2401" s="37" t="s">
        <v>7915</v>
      </c>
      <c r="F2401" s="16" t="s">
        <v>1285</v>
      </c>
      <c r="G2401" s="16" t="s">
        <v>563</v>
      </c>
      <c r="H2401" s="16" t="s">
        <v>3455</v>
      </c>
      <c r="I2401" s="16" t="s">
        <v>80</v>
      </c>
      <c r="J2401" s="16" t="s">
        <v>7310</v>
      </c>
      <c r="K2401" s="32" t="n">
        <v>2</v>
      </c>
      <c r="L2401" s="33" t="n">
        <v>46288</v>
      </c>
      <c r="M2401" s="33" t="n">
        <v>46289</v>
      </c>
      <c r="N2401" s="16" t="s">
        <v>8113</v>
      </c>
      <c r="O2401" s="16"/>
      <c r="P2401" s="16" t="str">
        <f aca="false">IF(AND(L2401&lt;=$D$2,M2401&gt;=$C$2),"Sí","")</f>
        <v/>
      </c>
      <c r="Q2401" s="18" t="str">
        <f aca="false">IF(COUNTIF(LOOKAHEAD!$A$5:$A$604,A2401)&gt;0,"En Lookahead",IF(P2401="Sí","INCORPORAR",""))</f>
        <v/>
      </c>
    </row>
    <row r="2402" customFormat="false" ht="15" hidden="false" customHeight="false" outlineLevel="0" collapsed="false">
      <c r="A2402" s="13" t="s">
        <v>8114</v>
      </c>
      <c r="B2402" s="13" t="n">
        <v>2397</v>
      </c>
      <c r="C2402" s="13" t="s">
        <v>8115</v>
      </c>
      <c r="D2402" s="13" t="n">
        <v>6</v>
      </c>
      <c r="E2402" s="36" t="s">
        <v>7670</v>
      </c>
      <c r="F2402" s="13" t="s">
        <v>1298</v>
      </c>
      <c r="G2402" s="13" t="s">
        <v>563</v>
      </c>
      <c r="H2402" s="13" t="s">
        <v>3455</v>
      </c>
      <c r="I2402" s="13" t="s">
        <v>80</v>
      </c>
      <c r="J2402" s="13" t="s">
        <v>7328</v>
      </c>
      <c r="K2402" s="30" t="n">
        <v>2</v>
      </c>
      <c r="L2402" s="31" t="n">
        <v>46290</v>
      </c>
      <c r="M2402" s="31" t="n">
        <v>46291</v>
      </c>
      <c r="N2402" s="13"/>
      <c r="O2402" s="13"/>
      <c r="P2402" s="13"/>
      <c r="Q2402" s="13"/>
    </row>
    <row r="2403" customFormat="false" ht="15" hidden="false" customHeight="false" outlineLevel="0" collapsed="false">
      <c r="A2403" s="16" t="s">
        <v>8116</v>
      </c>
      <c r="B2403" s="16" t="n">
        <v>2398</v>
      </c>
      <c r="C2403" s="16" t="s">
        <v>8117</v>
      </c>
      <c r="D2403" s="16" t="n">
        <v>7</v>
      </c>
      <c r="E2403" s="37" t="s">
        <v>7673</v>
      </c>
      <c r="F2403" s="16" t="s">
        <v>1285</v>
      </c>
      <c r="G2403" s="16" t="s">
        <v>563</v>
      </c>
      <c r="H2403" s="16" t="s">
        <v>3455</v>
      </c>
      <c r="I2403" s="16" t="s">
        <v>80</v>
      </c>
      <c r="J2403" s="16" t="s">
        <v>7670</v>
      </c>
      <c r="K2403" s="32" t="n">
        <v>2</v>
      </c>
      <c r="L2403" s="33" t="n">
        <v>46290</v>
      </c>
      <c r="M2403" s="33" t="n">
        <v>46291</v>
      </c>
      <c r="N2403" s="16" t="s">
        <v>8118</v>
      </c>
      <c r="O2403" s="16"/>
      <c r="P2403" s="16" t="str">
        <f aca="false">IF(AND(L2403&lt;=$D$2,M2403&gt;=$C$2),"Sí","")</f>
        <v/>
      </c>
      <c r="Q2403" s="18" t="str">
        <f aca="false">IF(COUNTIF(LOOKAHEAD!$A$5:$A$604,A2403)&gt;0,"En Lookahead",IF(P2403="Sí","INCORPORAR",""))</f>
        <v/>
      </c>
    </row>
    <row r="2404" customFormat="false" ht="15" hidden="false" customHeight="false" outlineLevel="0" collapsed="false">
      <c r="A2404" s="13" t="s">
        <v>8119</v>
      </c>
      <c r="B2404" s="13" t="n">
        <v>2399</v>
      </c>
      <c r="C2404" s="13" t="s">
        <v>8120</v>
      </c>
      <c r="D2404" s="13" t="n">
        <v>6</v>
      </c>
      <c r="E2404" s="36" t="s">
        <v>7356</v>
      </c>
      <c r="F2404" s="13" t="s">
        <v>1298</v>
      </c>
      <c r="G2404" s="13" t="s">
        <v>563</v>
      </c>
      <c r="H2404" s="13" t="s">
        <v>3455</v>
      </c>
      <c r="I2404" s="13" t="s">
        <v>80</v>
      </c>
      <c r="J2404" s="13" t="s">
        <v>7328</v>
      </c>
      <c r="K2404" s="30" t="n">
        <v>1</v>
      </c>
      <c r="L2404" s="31" t="n">
        <v>46292</v>
      </c>
      <c r="M2404" s="31" t="n">
        <v>46292</v>
      </c>
      <c r="N2404" s="13"/>
      <c r="O2404" s="13"/>
      <c r="P2404" s="13"/>
      <c r="Q2404" s="13"/>
    </row>
    <row r="2405" customFormat="false" ht="15" hidden="false" customHeight="false" outlineLevel="0" collapsed="false">
      <c r="A2405" s="16" t="s">
        <v>8121</v>
      </c>
      <c r="B2405" s="16" t="n">
        <v>2400</v>
      </c>
      <c r="C2405" s="16" t="s">
        <v>8122</v>
      </c>
      <c r="D2405" s="16" t="n">
        <v>7</v>
      </c>
      <c r="E2405" s="37" t="s">
        <v>7359</v>
      </c>
      <c r="F2405" s="16" t="s">
        <v>1285</v>
      </c>
      <c r="G2405" s="16" t="s">
        <v>563</v>
      </c>
      <c r="H2405" s="16" t="s">
        <v>3455</v>
      </c>
      <c r="I2405" s="16" t="s">
        <v>80</v>
      </c>
      <c r="J2405" s="16" t="s">
        <v>7356</v>
      </c>
      <c r="K2405" s="32" t="n">
        <v>1</v>
      </c>
      <c r="L2405" s="33" t="n">
        <v>46292</v>
      </c>
      <c r="M2405" s="33" t="n">
        <v>46292</v>
      </c>
      <c r="N2405" s="16" t="s">
        <v>8123</v>
      </c>
      <c r="O2405" s="16"/>
      <c r="P2405" s="16" t="str">
        <f aca="false">IF(AND(L2405&lt;=$D$2,M2405&gt;=$C$2),"Sí","")</f>
        <v/>
      </c>
      <c r="Q2405" s="18" t="str">
        <f aca="false">IF(COUNTIF(LOOKAHEAD!$A$5:$A$604,A2405)&gt;0,"En Lookahead",IF(P2405="Sí","INCORPORAR",""))</f>
        <v/>
      </c>
    </row>
    <row r="2406" customFormat="false" ht="15" hidden="false" customHeight="false" outlineLevel="0" collapsed="false">
      <c r="A2406" s="13" t="s">
        <v>8124</v>
      </c>
      <c r="B2406" s="13" t="n">
        <v>2401</v>
      </c>
      <c r="C2406" s="13" t="s">
        <v>8125</v>
      </c>
      <c r="D2406" s="13" t="n">
        <v>5</v>
      </c>
      <c r="E2406" s="34" t="s">
        <v>7368</v>
      </c>
      <c r="F2406" s="13" t="s">
        <v>1298</v>
      </c>
      <c r="G2406" s="13" t="s">
        <v>563</v>
      </c>
      <c r="H2406" s="13" t="s">
        <v>3455</v>
      </c>
      <c r="I2406" s="13" t="s">
        <v>80</v>
      </c>
      <c r="J2406" s="13" t="s">
        <v>3455</v>
      </c>
      <c r="K2406" s="30" t="n">
        <v>3</v>
      </c>
      <c r="L2406" s="31" t="n">
        <v>46293</v>
      </c>
      <c r="M2406" s="31" t="n">
        <v>46295</v>
      </c>
      <c r="N2406" s="13"/>
      <c r="O2406" s="13"/>
      <c r="P2406" s="13"/>
      <c r="Q2406" s="13"/>
    </row>
    <row r="2407" customFormat="false" ht="15" hidden="false" customHeight="false" outlineLevel="0" collapsed="false">
      <c r="A2407" s="13" t="s">
        <v>8126</v>
      </c>
      <c r="B2407" s="13" t="n">
        <v>2402</v>
      </c>
      <c r="C2407" s="13" t="s">
        <v>8127</v>
      </c>
      <c r="D2407" s="13" t="n">
        <v>6</v>
      </c>
      <c r="E2407" s="36" t="s">
        <v>7310</v>
      </c>
      <c r="F2407" s="13" t="s">
        <v>1298</v>
      </c>
      <c r="G2407" s="13" t="s">
        <v>563</v>
      </c>
      <c r="H2407" s="13" t="s">
        <v>3455</v>
      </c>
      <c r="I2407" s="13" t="s">
        <v>80</v>
      </c>
      <c r="J2407" s="13" t="s">
        <v>7368</v>
      </c>
      <c r="K2407" s="30" t="n">
        <v>1</v>
      </c>
      <c r="L2407" s="31" t="n">
        <v>46293</v>
      </c>
      <c r="M2407" s="31" t="n">
        <v>46293</v>
      </c>
      <c r="N2407" s="13"/>
      <c r="O2407" s="13"/>
      <c r="P2407" s="13"/>
      <c r="Q2407" s="13"/>
    </row>
    <row r="2408" customFormat="false" ht="15" hidden="false" customHeight="false" outlineLevel="0" collapsed="false">
      <c r="A2408" s="16" t="s">
        <v>8128</v>
      </c>
      <c r="B2408" s="16" t="n">
        <v>2403</v>
      </c>
      <c r="C2408" s="16" t="s">
        <v>8129</v>
      </c>
      <c r="D2408" s="16" t="n">
        <v>7</v>
      </c>
      <c r="E2408" s="37" t="s">
        <v>7380</v>
      </c>
      <c r="F2408" s="16" t="s">
        <v>1285</v>
      </c>
      <c r="G2408" s="16" t="s">
        <v>563</v>
      </c>
      <c r="H2408" s="16" t="s">
        <v>3455</v>
      </c>
      <c r="I2408" s="16" t="s">
        <v>80</v>
      </c>
      <c r="J2408" s="16" t="s">
        <v>7310</v>
      </c>
      <c r="K2408" s="32" t="n">
        <v>1</v>
      </c>
      <c r="L2408" s="33" t="n">
        <v>46293</v>
      </c>
      <c r="M2408" s="33" t="n">
        <v>46293</v>
      </c>
      <c r="N2408" s="16" t="s">
        <v>8130</v>
      </c>
      <c r="O2408" s="16"/>
      <c r="P2408" s="16" t="str">
        <f aca="false">IF(AND(L2408&lt;=$D$2,M2408&gt;=$C$2),"Sí","")</f>
        <v/>
      </c>
      <c r="Q2408" s="18" t="str">
        <f aca="false">IF(COUNTIF(LOOKAHEAD!$A$5:$A$604,A2408)&gt;0,"En Lookahead",IF(P2408="Sí","INCORPORAR",""))</f>
        <v/>
      </c>
    </row>
    <row r="2409" customFormat="false" ht="15" hidden="false" customHeight="false" outlineLevel="0" collapsed="false">
      <c r="A2409" s="13" t="s">
        <v>8131</v>
      </c>
      <c r="B2409" s="13" t="n">
        <v>2404</v>
      </c>
      <c r="C2409" s="13" t="s">
        <v>8132</v>
      </c>
      <c r="D2409" s="13" t="n">
        <v>6</v>
      </c>
      <c r="E2409" s="36" t="s">
        <v>7349</v>
      </c>
      <c r="F2409" s="13" t="s">
        <v>1298</v>
      </c>
      <c r="G2409" s="13" t="s">
        <v>563</v>
      </c>
      <c r="H2409" s="13" t="s">
        <v>3455</v>
      </c>
      <c r="I2409" s="13" t="s">
        <v>80</v>
      </c>
      <c r="J2409" s="13" t="s">
        <v>7368</v>
      </c>
      <c r="K2409" s="30" t="n">
        <v>2</v>
      </c>
      <c r="L2409" s="31" t="n">
        <v>46294</v>
      </c>
      <c r="M2409" s="31" t="n">
        <v>46295</v>
      </c>
      <c r="N2409" s="13"/>
      <c r="O2409" s="13"/>
      <c r="P2409" s="13"/>
      <c r="Q2409" s="13"/>
    </row>
    <row r="2410" customFormat="false" ht="15" hidden="false" customHeight="false" outlineLevel="0" collapsed="false">
      <c r="A2410" s="16" t="s">
        <v>8133</v>
      </c>
      <c r="B2410" s="16" t="n">
        <v>2405</v>
      </c>
      <c r="C2410" s="16" t="s">
        <v>8134</v>
      </c>
      <c r="D2410" s="16" t="n">
        <v>7</v>
      </c>
      <c r="E2410" s="37" t="s">
        <v>7394</v>
      </c>
      <c r="F2410" s="16" t="s">
        <v>1285</v>
      </c>
      <c r="G2410" s="16" t="s">
        <v>563</v>
      </c>
      <c r="H2410" s="16" t="s">
        <v>3455</v>
      </c>
      <c r="I2410" s="16" t="s">
        <v>80</v>
      </c>
      <c r="J2410" s="16" t="s">
        <v>7349</v>
      </c>
      <c r="K2410" s="32" t="n">
        <v>2</v>
      </c>
      <c r="L2410" s="33" t="n">
        <v>46294</v>
      </c>
      <c r="M2410" s="33" t="n">
        <v>46295</v>
      </c>
      <c r="N2410" s="16" t="s">
        <v>8135</v>
      </c>
      <c r="O2410" s="16"/>
      <c r="P2410" s="16" t="str">
        <f aca="false">IF(AND(L2410&lt;=$D$2,M2410&gt;=$C$2),"Sí","")</f>
        <v/>
      </c>
      <c r="Q2410" s="18" t="str">
        <f aca="false">IF(COUNTIF(LOOKAHEAD!$A$5:$A$604,A2410)&gt;0,"En Lookahead",IF(P2410="Sí","INCORPORAR",""))</f>
        <v/>
      </c>
    </row>
    <row r="2411" customFormat="false" ht="15" hidden="false" customHeight="false" outlineLevel="0" collapsed="false">
      <c r="A2411" s="13" t="s">
        <v>8136</v>
      </c>
      <c r="B2411" s="13" t="n">
        <v>2406</v>
      </c>
      <c r="C2411" s="13" t="s">
        <v>8137</v>
      </c>
      <c r="D2411" s="13" t="n">
        <v>5</v>
      </c>
      <c r="E2411" s="34" t="s">
        <v>7416</v>
      </c>
      <c r="F2411" s="13" t="s">
        <v>1298</v>
      </c>
      <c r="G2411" s="13" t="s">
        <v>563</v>
      </c>
      <c r="H2411" s="13" t="s">
        <v>3455</v>
      </c>
      <c r="I2411" s="13" t="s">
        <v>80</v>
      </c>
      <c r="J2411" s="13" t="s">
        <v>3455</v>
      </c>
      <c r="K2411" s="30" t="n">
        <v>41</v>
      </c>
      <c r="L2411" s="31" t="n">
        <v>46252</v>
      </c>
      <c r="M2411" s="31" t="n">
        <v>46292</v>
      </c>
      <c r="N2411" s="13"/>
      <c r="O2411" s="13"/>
      <c r="P2411" s="13"/>
      <c r="Q2411" s="13"/>
    </row>
    <row r="2412" customFormat="false" ht="15" hidden="false" customHeight="false" outlineLevel="0" collapsed="false">
      <c r="A2412" s="16" t="s">
        <v>8138</v>
      </c>
      <c r="B2412" s="16" t="n">
        <v>2407</v>
      </c>
      <c r="C2412" s="16" t="s">
        <v>8139</v>
      </c>
      <c r="D2412" s="16" t="n">
        <v>6</v>
      </c>
      <c r="E2412" s="35" t="s">
        <v>7419</v>
      </c>
      <c r="F2412" s="16" t="s">
        <v>1285</v>
      </c>
      <c r="G2412" s="16" t="s">
        <v>563</v>
      </c>
      <c r="H2412" s="16" t="s">
        <v>3455</v>
      </c>
      <c r="I2412" s="16" t="s">
        <v>80</v>
      </c>
      <c r="J2412" s="16" t="s">
        <v>7416</v>
      </c>
      <c r="K2412" s="32" t="n">
        <v>20</v>
      </c>
      <c r="L2412" s="33" t="n">
        <v>46252</v>
      </c>
      <c r="M2412" s="33" t="n">
        <v>46271</v>
      </c>
      <c r="N2412" s="16" t="s">
        <v>8051</v>
      </c>
      <c r="O2412" s="16"/>
      <c r="P2412" s="16" t="str">
        <f aca="false">IF(AND(L2412&lt;=$D$2,M2412&gt;=$C$2),"Sí","")</f>
        <v/>
      </c>
      <c r="Q2412" s="18" t="str">
        <f aca="false">IF(COUNTIF(LOOKAHEAD!$A$5:$A$604,A2412)&gt;0,"En Lookahead",IF(P2412="Sí","INCORPORAR",""))</f>
        <v/>
      </c>
    </row>
    <row r="2413" customFormat="false" ht="15" hidden="false" customHeight="false" outlineLevel="0" collapsed="false">
      <c r="A2413" s="16" t="s">
        <v>8140</v>
      </c>
      <c r="B2413" s="16" t="n">
        <v>2408</v>
      </c>
      <c r="C2413" s="16" t="s">
        <v>8141</v>
      </c>
      <c r="D2413" s="16" t="n">
        <v>6</v>
      </c>
      <c r="E2413" s="35" t="s">
        <v>7422</v>
      </c>
      <c r="F2413" s="16" t="s">
        <v>1285</v>
      </c>
      <c r="G2413" s="16" t="s">
        <v>563</v>
      </c>
      <c r="H2413" s="16" t="s">
        <v>3455</v>
      </c>
      <c r="I2413" s="16" t="s">
        <v>80</v>
      </c>
      <c r="J2413" s="16" t="s">
        <v>7416</v>
      </c>
      <c r="K2413" s="32" t="n">
        <v>9</v>
      </c>
      <c r="L2413" s="33" t="n">
        <v>46272</v>
      </c>
      <c r="M2413" s="33" t="n">
        <v>46280</v>
      </c>
      <c r="N2413" s="16" t="s">
        <v>8142</v>
      </c>
      <c r="O2413" s="16"/>
      <c r="P2413" s="16" t="str">
        <f aca="false">IF(AND(L2413&lt;=$D$2,M2413&gt;=$C$2),"Sí","")</f>
        <v/>
      </c>
      <c r="Q2413" s="18" t="str">
        <f aca="false">IF(COUNTIF(LOOKAHEAD!$A$5:$A$604,A2413)&gt;0,"En Lookahead",IF(P2413="Sí","INCORPORAR",""))</f>
        <v/>
      </c>
    </row>
    <row r="2414" customFormat="false" ht="15" hidden="false" customHeight="false" outlineLevel="0" collapsed="false">
      <c r="A2414" s="16" t="s">
        <v>8143</v>
      </c>
      <c r="B2414" s="16" t="n">
        <v>2409</v>
      </c>
      <c r="C2414" s="16" t="s">
        <v>8144</v>
      </c>
      <c r="D2414" s="16" t="n">
        <v>6</v>
      </c>
      <c r="E2414" s="35" t="s">
        <v>7426</v>
      </c>
      <c r="F2414" s="16" t="s">
        <v>1285</v>
      </c>
      <c r="G2414" s="16" t="s">
        <v>563</v>
      </c>
      <c r="H2414" s="16" t="s">
        <v>3455</v>
      </c>
      <c r="I2414" s="16" t="s">
        <v>80</v>
      </c>
      <c r="J2414" s="16" t="s">
        <v>7416</v>
      </c>
      <c r="K2414" s="32" t="n">
        <v>8</v>
      </c>
      <c r="L2414" s="33" t="n">
        <v>46277</v>
      </c>
      <c r="M2414" s="33" t="n">
        <v>46284</v>
      </c>
      <c r="N2414" s="16" t="s">
        <v>8068</v>
      </c>
      <c r="O2414" s="16"/>
      <c r="P2414" s="16" t="str">
        <f aca="false">IF(AND(L2414&lt;=$D$2,M2414&gt;=$C$2),"Sí","")</f>
        <v/>
      </c>
      <c r="Q2414" s="18" t="str">
        <f aca="false">IF(COUNTIF(LOOKAHEAD!$A$5:$A$604,A2414)&gt;0,"En Lookahead",IF(P2414="Sí","INCORPORAR",""))</f>
        <v/>
      </c>
    </row>
    <row r="2415" customFormat="false" ht="15" hidden="false" customHeight="false" outlineLevel="0" collapsed="false">
      <c r="A2415" s="16" t="s">
        <v>8145</v>
      </c>
      <c r="B2415" s="16" t="n">
        <v>2410</v>
      </c>
      <c r="C2415" s="16" t="s">
        <v>8146</v>
      </c>
      <c r="D2415" s="16" t="n">
        <v>6</v>
      </c>
      <c r="E2415" s="35" t="s">
        <v>7429</v>
      </c>
      <c r="F2415" s="16" t="s">
        <v>1285</v>
      </c>
      <c r="G2415" s="16" t="s">
        <v>563</v>
      </c>
      <c r="H2415" s="16" t="s">
        <v>3455</v>
      </c>
      <c r="I2415" s="16" t="s">
        <v>80</v>
      </c>
      <c r="J2415" s="16" t="s">
        <v>7416</v>
      </c>
      <c r="K2415" s="32" t="n">
        <v>1</v>
      </c>
      <c r="L2415" s="33" t="n">
        <v>46288</v>
      </c>
      <c r="M2415" s="33" t="n">
        <v>46288</v>
      </c>
      <c r="N2415" s="16" t="s">
        <v>8113</v>
      </c>
      <c r="O2415" s="16"/>
      <c r="P2415" s="16" t="str">
        <f aca="false">IF(AND(L2415&lt;=$D$2,M2415&gt;=$C$2),"Sí","")</f>
        <v/>
      </c>
      <c r="Q2415" s="18" t="str">
        <f aca="false">IF(COUNTIF(LOOKAHEAD!$A$5:$A$604,A2415)&gt;0,"En Lookahead",IF(P2415="Sí","INCORPORAR",""))</f>
        <v/>
      </c>
    </row>
    <row r="2416" customFormat="false" ht="15" hidden="false" customHeight="false" outlineLevel="0" collapsed="false">
      <c r="A2416" s="16" t="s">
        <v>8147</v>
      </c>
      <c r="B2416" s="16" t="n">
        <v>2411</v>
      </c>
      <c r="C2416" s="16" t="s">
        <v>8148</v>
      </c>
      <c r="D2416" s="16" t="n">
        <v>6</v>
      </c>
      <c r="E2416" s="35" t="s">
        <v>7432</v>
      </c>
      <c r="F2416" s="16" t="s">
        <v>1285</v>
      </c>
      <c r="G2416" s="16" t="s">
        <v>563</v>
      </c>
      <c r="H2416" s="16" t="s">
        <v>3455</v>
      </c>
      <c r="I2416" s="16" t="s">
        <v>80</v>
      </c>
      <c r="J2416" s="16" t="s">
        <v>7416</v>
      </c>
      <c r="K2416" s="32" t="n">
        <v>1</v>
      </c>
      <c r="L2416" s="33" t="n">
        <v>46289</v>
      </c>
      <c r="M2416" s="33" t="n">
        <v>46289</v>
      </c>
      <c r="N2416" s="16" t="s">
        <v>8149</v>
      </c>
      <c r="O2416" s="16"/>
      <c r="P2416" s="16" t="str">
        <f aca="false">IF(AND(L2416&lt;=$D$2,M2416&gt;=$C$2),"Sí","")</f>
        <v/>
      </c>
      <c r="Q2416" s="18" t="str">
        <f aca="false">IF(COUNTIF(LOOKAHEAD!$A$5:$A$604,A2416)&gt;0,"En Lookahead",IF(P2416="Sí","INCORPORAR",""))</f>
        <v/>
      </c>
    </row>
    <row r="2417" customFormat="false" ht="15" hidden="false" customHeight="false" outlineLevel="0" collapsed="false">
      <c r="A2417" s="16" t="s">
        <v>8150</v>
      </c>
      <c r="B2417" s="16" t="n">
        <v>2412</v>
      </c>
      <c r="C2417" s="16" t="s">
        <v>8151</v>
      </c>
      <c r="D2417" s="16" t="n">
        <v>6</v>
      </c>
      <c r="E2417" s="35" t="s">
        <v>7436</v>
      </c>
      <c r="F2417" s="16" t="s">
        <v>1285</v>
      </c>
      <c r="G2417" s="16" t="s">
        <v>563</v>
      </c>
      <c r="H2417" s="16" t="s">
        <v>3455</v>
      </c>
      <c r="I2417" s="16" t="s">
        <v>80</v>
      </c>
      <c r="J2417" s="16" t="s">
        <v>7416</v>
      </c>
      <c r="K2417" s="32" t="n">
        <v>3</v>
      </c>
      <c r="L2417" s="33" t="n">
        <v>46290</v>
      </c>
      <c r="M2417" s="33" t="n">
        <v>46292</v>
      </c>
      <c r="N2417" s="16" t="s">
        <v>8152</v>
      </c>
      <c r="O2417" s="16"/>
      <c r="P2417" s="16" t="str">
        <f aca="false">IF(AND(L2417&lt;=$D$2,M2417&gt;=$C$2),"Sí","")</f>
        <v/>
      </c>
      <c r="Q2417" s="18" t="str">
        <f aca="false">IF(COUNTIF(LOOKAHEAD!$A$5:$A$604,A2417)&gt;0,"En Lookahead",IF(P2417="Sí","INCORPORAR",""))</f>
        <v/>
      </c>
    </row>
    <row r="2418" customFormat="false" ht="15" hidden="false" customHeight="false" outlineLevel="0" collapsed="false">
      <c r="A2418" s="13" t="s">
        <v>8153</v>
      </c>
      <c r="B2418" s="13" t="n">
        <v>2413</v>
      </c>
      <c r="C2418" s="13" t="s">
        <v>8154</v>
      </c>
      <c r="D2418" s="13" t="n">
        <v>5</v>
      </c>
      <c r="E2418" s="34" t="s">
        <v>7440</v>
      </c>
      <c r="F2418" s="13" t="s">
        <v>1298</v>
      </c>
      <c r="G2418" s="13" t="s">
        <v>563</v>
      </c>
      <c r="H2418" s="13" t="s">
        <v>3455</v>
      </c>
      <c r="I2418" s="13" t="s">
        <v>80</v>
      </c>
      <c r="J2418" s="13" t="s">
        <v>3455</v>
      </c>
      <c r="K2418" s="30" t="n">
        <v>160</v>
      </c>
      <c r="L2418" s="31" t="n">
        <v>46293</v>
      </c>
      <c r="M2418" s="31" t="n">
        <v>46452</v>
      </c>
      <c r="N2418" s="13"/>
      <c r="O2418" s="13"/>
      <c r="P2418" s="13"/>
      <c r="Q2418" s="13"/>
    </row>
    <row r="2419" customFormat="false" ht="15" hidden="false" customHeight="false" outlineLevel="0" collapsed="false">
      <c r="A2419" s="16" t="s">
        <v>8155</v>
      </c>
      <c r="B2419" s="16" t="n">
        <v>2414</v>
      </c>
      <c r="C2419" s="16" t="s">
        <v>8156</v>
      </c>
      <c r="D2419" s="16" t="n">
        <v>6</v>
      </c>
      <c r="E2419" s="35" t="s">
        <v>7991</v>
      </c>
      <c r="F2419" s="16" t="s">
        <v>1285</v>
      </c>
      <c r="G2419" s="16" t="s">
        <v>563</v>
      </c>
      <c r="H2419" s="16" t="s">
        <v>3455</v>
      </c>
      <c r="I2419" s="16" t="s">
        <v>80</v>
      </c>
      <c r="J2419" s="16" t="s">
        <v>7440</v>
      </c>
      <c r="K2419" s="32" t="n">
        <v>1</v>
      </c>
      <c r="L2419" s="33" t="n">
        <v>46293</v>
      </c>
      <c r="M2419" s="33" t="n">
        <v>46293</v>
      </c>
      <c r="N2419" s="16" t="s">
        <v>8157</v>
      </c>
      <c r="O2419" s="16"/>
      <c r="P2419" s="16" t="str">
        <f aca="false">IF(AND(L2419&lt;=$D$2,M2419&gt;=$C$2),"Sí","")</f>
        <v/>
      </c>
      <c r="Q2419" s="18" t="str">
        <f aca="false">IF(COUNTIF(LOOKAHEAD!$A$5:$A$604,A2419)&gt;0,"En Lookahead",IF(P2419="Sí","INCORPORAR",""))</f>
        <v/>
      </c>
    </row>
    <row r="2420" customFormat="false" ht="15" hidden="false" customHeight="false" outlineLevel="0" collapsed="false">
      <c r="A2420" s="16" t="s">
        <v>8158</v>
      </c>
      <c r="B2420" s="16" t="n">
        <v>2415</v>
      </c>
      <c r="C2420" s="16" t="s">
        <v>8159</v>
      </c>
      <c r="D2420" s="16" t="n">
        <v>6</v>
      </c>
      <c r="E2420" s="35" t="s">
        <v>7451</v>
      </c>
      <c r="F2420" s="16" t="s">
        <v>1285</v>
      </c>
      <c r="G2420" s="16" t="s">
        <v>563</v>
      </c>
      <c r="H2420" s="16" t="s">
        <v>3455</v>
      </c>
      <c r="I2420" s="16" t="s">
        <v>80</v>
      </c>
      <c r="J2420" s="16" t="s">
        <v>7440</v>
      </c>
      <c r="K2420" s="32" t="n">
        <v>4</v>
      </c>
      <c r="L2420" s="33" t="n">
        <v>46449</v>
      </c>
      <c r="M2420" s="33" t="n">
        <v>46452</v>
      </c>
      <c r="N2420" s="16" t="s">
        <v>8160</v>
      </c>
      <c r="O2420" s="16"/>
      <c r="P2420" s="16" t="str">
        <f aca="false">IF(AND(L2420&lt;=$D$2,M2420&gt;=$C$2),"Sí","")</f>
        <v/>
      </c>
      <c r="Q2420" s="18" t="str">
        <f aca="false">IF(COUNTIF(LOOKAHEAD!$A$5:$A$604,A2420)&gt;0,"En Lookahead",IF(P2420="Sí","INCORPORAR",""))</f>
        <v/>
      </c>
    </row>
    <row r="2421" customFormat="false" ht="15" hidden="false" customHeight="false" outlineLevel="0" collapsed="false">
      <c r="A2421" s="13" t="s">
        <v>8161</v>
      </c>
      <c r="B2421" s="13" t="n">
        <v>2416</v>
      </c>
      <c r="C2421" s="13" t="s">
        <v>8162</v>
      </c>
      <c r="D2421" s="13" t="n">
        <v>5</v>
      </c>
      <c r="E2421" s="34" t="s">
        <v>7455</v>
      </c>
      <c r="F2421" s="13" t="s">
        <v>1298</v>
      </c>
      <c r="G2421" s="13" t="s">
        <v>563</v>
      </c>
      <c r="H2421" s="13" t="s">
        <v>3455</v>
      </c>
      <c r="I2421" s="13" t="s">
        <v>80</v>
      </c>
      <c r="J2421" s="13" t="s">
        <v>3455</v>
      </c>
      <c r="K2421" s="30" t="n">
        <v>3</v>
      </c>
      <c r="L2421" s="31" t="n">
        <v>46293</v>
      </c>
      <c r="M2421" s="31" t="n">
        <v>46295</v>
      </c>
      <c r="N2421" s="13"/>
      <c r="O2421" s="13"/>
      <c r="P2421" s="13"/>
      <c r="Q2421" s="13"/>
    </row>
    <row r="2422" customFormat="false" ht="15" hidden="false" customHeight="false" outlineLevel="0" collapsed="false">
      <c r="A2422" s="13" t="s">
        <v>8163</v>
      </c>
      <c r="B2422" s="13" t="n">
        <v>2417</v>
      </c>
      <c r="C2422" s="13" t="s">
        <v>8164</v>
      </c>
      <c r="D2422" s="13" t="n">
        <v>6</v>
      </c>
      <c r="E2422" s="36" t="s">
        <v>7458</v>
      </c>
      <c r="F2422" s="13" t="s">
        <v>1298</v>
      </c>
      <c r="G2422" s="13" t="s">
        <v>563</v>
      </c>
      <c r="H2422" s="13" t="s">
        <v>3455</v>
      </c>
      <c r="I2422" s="13" t="s">
        <v>80</v>
      </c>
      <c r="J2422" s="13" t="s">
        <v>7455</v>
      </c>
      <c r="K2422" s="30" t="n">
        <v>2</v>
      </c>
      <c r="L2422" s="31" t="n">
        <v>46293</v>
      </c>
      <c r="M2422" s="31" t="n">
        <v>46294</v>
      </c>
      <c r="N2422" s="13"/>
      <c r="O2422" s="13"/>
      <c r="P2422" s="13"/>
      <c r="Q2422" s="13"/>
    </row>
    <row r="2423" customFormat="false" ht="15" hidden="false" customHeight="false" outlineLevel="0" collapsed="false">
      <c r="A2423" s="16" t="s">
        <v>8165</v>
      </c>
      <c r="B2423" s="16" t="n">
        <v>2418</v>
      </c>
      <c r="C2423" s="16" t="s">
        <v>8166</v>
      </c>
      <c r="D2423" s="16" t="n">
        <v>7</v>
      </c>
      <c r="E2423" s="37" t="s">
        <v>7461</v>
      </c>
      <c r="F2423" s="16" t="s">
        <v>1285</v>
      </c>
      <c r="G2423" s="16" t="s">
        <v>563</v>
      </c>
      <c r="H2423" s="16" t="s">
        <v>3455</v>
      </c>
      <c r="I2423" s="16" t="s">
        <v>80</v>
      </c>
      <c r="J2423" s="16" t="s">
        <v>7458</v>
      </c>
      <c r="K2423" s="32" t="n">
        <v>1</v>
      </c>
      <c r="L2423" s="33" t="n">
        <v>46293</v>
      </c>
      <c r="M2423" s="33" t="n">
        <v>46293</v>
      </c>
      <c r="N2423" s="16" t="s">
        <v>8157</v>
      </c>
      <c r="O2423" s="16"/>
      <c r="P2423" s="16" t="str">
        <f aca="false">IF(AND(L2423&lt;=$D$2,M2423&gt;=$C$2),"Sí","")</f>
        <v/>
      </c>
      <c r="Q2423" s="18" t="str">
        <f aca="false">IF(COUNTIF(LOOKAHEAD!$A$5:$A$604,A2423)&gt;0,"En Lookahead",IF(P2423="Sí","INCORPORAR",""))</f>
        <v/>
      </c>
    </row>
    <row r="2424" customFormat="false" ht="15" hidden="false" customHeight="false" outlineLevel="0" collapsed="false">
      <c r="A2424" s="16" t="s">
        <v>8167</v>
      </c>
      <c r="B2424" s="16" t="n">
        <v>2419</v>
      </c>
      <c r="C2424" s="16" t="s">
        <v>8168</v>
      </c>
      <c r="D2424" s="16" t="n">
        <v>7</v>
      </c>
      <c r="E2424" s="37" t="s">
        <v>7469</v>
      </c>
      <c r="F2424" s="16" t="s">
        <v>1285</v>
      </c>
      <c r="G2424" s="16" t="s">
        <v>563</v>
      </c>
      <c r="H2424" s="16" t="s">
        <v>3455</v>
      </c>
      <c r="I2424" s="16" t="s">
        <v>80</v>
      </c>
      <c r="J2424" s="16" t="s">
        <v>7458</v>
      </c>
      <c r="K2424" s="32" t="n">
        <v>1</v>
      </c>
      <c r="L2424" s="33" t="n">
        <v>46294</v>
      </c>
      <c r="M2424" s="33" t="n">
        <v>46294</v>
      </c>
      <c r="N2424" s="16" t="s">
        <v>8169</v>
      </c>
      <c r="O2424" s="16"/>
      <c r="P2424" s="16" t="str">
        <f aca="false">IF(AND(L2424&lt;=$D$2,M2424&gt;=$C$2),"Sí","")</f>
        <v/>
      </c>
      <c r="Q2424" s="18" t="str">
        <f aca="false">IF(COUNTIF(LOOKAHEAD!$A$5:$A$604,A2424)&gt;0,"En Lookahead",IF(P2424="Sí","INCORPORAR",""))</f>
        <v/>
      </c>
    </row>
    <row r="2425" customFormat="false" ht="15" hidden="false" customHeight="false" outlineLevel="0" collapsed="false">
      <c r="A2425" s="13" t="s">
        <v>8170</v>
      </c>
      <c r="B2425" s="13" t="n">
        <v>2420</v>
      </c>
      <c r="C2425" s="13" t="s">
        <v>8171</v>
      </c>
      <c r="D2425" s="13" t="n">
        <v>6</v>
      </c>
      <c r="E2425" s="36" t="s">
        <v>7810</v>
      </c>
      <c r="F2425" s="13" t="s">
        <v>1298</v>
      </c>
      <c r="G2425" s="13" t="s">
        <v>563</v>
      </c>
      <c r="H2425" s="13" t="s">
        <v>3455</v>
      </c>
      <c r="I2425" s="13" t="s">
        <v>80</v>
      </c>
      <c r="J2425" s="13" t="s">
        <v>7455</v>
      </c>
      <c r="K2425" s="30" t="n">
        <v>1</v>
      </c>
      <c r="L2425" s="31" t="n">
        <v>46295</v>
      </c>
      <c r="M2425" s="31" t="n">
        <v>46295</v>
      </c>
      <c r="N2425" s="13"/>
      <c r="O2425" s="13"/>
      <c r="P2425" s="13"/>
      <c r="Q2425" s="13"/>
    </row>
    <row r="2426" customFormat="false" ht="15" hidden="false" customHeight="false" outlineLevel="0" collapsed="false">
      <c r="A2426" s="16" t="s">
        <v>8172</v>
      </c>
      <c r="B2426" s="16" t="n">
        <v>2421</v>
      </c>
      <c r="C2426" s="16" t="s">
        <v>8173</v>
      </c>
      <c r="D2426" s="16" t="n">
        <v>7</v>
      </c>
      <c r="E2426" s="37" t="s">
        <v>7813</v>
      </c>
      <c r="F2426" s="16" t="s">
        <v>1285</v>
      </c>
      <c r="G2426" s="16" t="s">
        <v>563</v>
      </c>
      <c r="H2426" s="16" t="s">
        <v>3455</v>
      </c>
      <c r="I2426" s="16" t="s">
        <v>80</v>
      </c>
      <c r="J2426" s="16" t="s">
        <v>7810</v>
      </c>
      <c r="K2426" s="32" t="n">
        <v>1</v>
      </c>
      <c r="L2426" s="33" t="n">
        <v>46295</v>
      </c>
      <c r="M2426" s="33" t="n">
        <v>46295</v>
      </c>
      <c r="N2426" s="16" t="s">
        <v>8174</v>
      </c>
      <c r="O2426" s="16"/>
      <c r="P2426" s="16" t="str">
        <f aca="false">IF(AND(L2426&lt;=$D$2,M2426&gt;=$C$2),"Sí","")</f>
        <v/>
      </c>
      <c r="Q2426" s="18" t="str">
        <f aca="false">IF(COUNTIF(LOOKAHEAD!$A$5:$A$604,A2426)&gt;0,"En Lookahead",IF(P2426="Sí","INCORPORAR",""))</f>
        <v/>
      </c>
    </row>
    <row r="2427" customFormat="false" ht="15" hidden="false" customHeight="false" outlineLevel="0" collapsed="false">
      <c r="A2427" s="13" t="s">
        <v>8175</v>
      </c>
      <c r="B2427" s="13" t="n">
        <v>2422</v>
      </c>
      <c r="C2427" s="13" t="s">
        <v>8176</v>
      </c>
      <c r="D2427" s="13" t="n">
        <v>4</v>
      </c>
      <c r="E2427" s="20" t="s">
        <v>3694</v>
      </c>
      <c r="F2427" s="13" t="s">
        <v>1298</v>
      </c>
      <c r="G2427" s="13" t="s">
        <v>563</v>
      </c>
      <c r="H2427" s="13" t="s">
        <v>3694</v>
      </c>
      <c r="I2427" s="13" t="s">
        <v>86</v>
      </c>
      <c r="J2427" s="13" t="s">
        <v>7172</v>
      </c>
      <c r="K2427" s="30" t="n">
        <v>305</v>
      </c>
      <c r="L2427" s="31" t="n">
        <v>46277</v>
      </c>
      <c r="M2427" s="31" t="n">
        <v>46581</v>
      </c>
      <c r="N2427" s="13"/>
      <c r="O2427" s="13"/>
      <c r="P2427" s="13"/>
      <c r="Q2427" s="13"/>
    </row>
    <row r="2428" customFormat="false" ht="15" hidden="false" customHeight="false" outlineLevel="0" collapsed="false">
      <c r="A2428" s="13" t="s">
        <v>8177</v>
      </c>
      <c r="B2428" s="13" t="n">
        <v>2423</v>
      </c>
      <c r="C2428" s="13" t="s">
        <v>8178</v>
      </c>
      <c r="D2428" s="13" t="n">
        <v>5</v>
      </c>
      <c r="E2428" s="34" t="s">
        <v>7177</v>
      </c>
      <c r="F2428" s="13" t="s">
        <v>1298</v>
      </c>
      <c r="G2428" s="13" t="s">
        <v>563</v>
      </c>
      <c r="H2428" s="13" t="s">
        <v>3694</v>
      </c>
      <c r="I2428" s="13" t="s">
        <v>86</v>
      </c>
      <c r="J2428" s="13" t="s">
        <v>3694</v>
      </c>
      <c r="K2428" s="30" t="n">
        <v>40</v>
      </c>
      <c r="L2428" s="31" t="n">
        <v>46277</v>
      </c>
      <c r="M2428" s="31" t="n">
        <v>46316</v>
      </c>
      <c r="N2428" s="13"/>
      <c r="O2428" s="13"/>
      <c r="P2428" s="13"/>
      <c r="Q2428" s="13"/>
    </row>
    <row r="2429" customFormat="false" ht="15" hidden="false" customHeight="false" outlineLevel="0" collapsed="false">
      <c r="A2429" s="16" t="s">
        <v>8179</v>
      </c>
      <c r="B2429" s="16" t="n">
        <v>2424</v>
      </c>
      <c r="C2429" s="16" t="s">
        <v>8180</v>
      </c>
      <c r="D2429" s="16" t="n">
        <v>6</v>
      </c>
      <c r="E2429" s="35" t="s">
        <v>7180</v>
      </c>
      <c r="F2429" s="16" t="s">
        <v>1285</v>
      </c>
      <c r="G2429" s="16" t="s">
        <v>563</v>
      </c>
      <c r="H2429" s="16" t="s">
        <v>3694</v>
      </c>
      <c r="I2429" s="16" t="s">
        <v>86</v>
      </c>
      <c r="J2429" s="16" t="s">
        <v>7177</v>
      </c>
      <c r="K2429" s="32" t="n">
        <v>27</v>
      </c>
      <c r="L2429" s="33" t="n">
        <v>46277</v>
      </c>
      <c r="M2429" s="33" t="n">
        <v>46303</v>
      </c>
      <c r="N2429" s="16" t="s">
        <v>3894</v>
      </c>
      <c r="O2429" s="16"/>
      <c r="P2429" s="16" t="str">
        <f aca="false">IF(AND(L2429&lt;=$D$2,M2429&gt;=$C$2),"Sí","")</f>
        <v>Sí</v>
      </c>
      <c r="Q2429" s="18" t="str">
        <f aca="false">IF(COUNTIF(LOOKAHEAD!$A$5:$A$604,A2429)&gt;0,"En Lookahead",IF(P2429="Sí","INCORPORAR",""))</f>
        <v>En Lookahead</v>
      </c>
    </row>
    <row r="2430" customFormat="false" ht="15" hidden="false" customHeight="false" outlineLevel="0" collapsed="false">
      <c r="A2430" s="16" t="s">
        <v>8181</v>
      </c>
      <c r="B2430" s="16" t="n">
        <v>2425</v>
      </c>
      <c r="C2430" s="16" t="s">
        <v>8182</v>
      </c>
      <c r="D2430" s="16" t="n">
        <v>6</v>
      </c>
      <c r="E2430" s="35" t="s">
        <v>7183</v>
      </c>
      <c r="F2430" s="16" t="s">
        <v>1285</v>
      </c>
      <c r="G2430" s="16" t="s">
        <v>563</v>
      </c>
      <c r="H2430" s="16" t="s">
        <v>3694</v>
      </c>
      <c r="I2430" s="16" t="s">
        <v>86</v>
      </c>
      <c r="J2430" s="16" t="s">
        <v>7177</v>
      </c>
      <c r="K2430" s="32" t="n">
        <v>2</v>
      </c>
      <c r="L2430" s="33" t="n">
        <v>46304</v>
      </c>
      <c r="M2430" s="33" t="n">
        <v>46305</v>
      </c>
      <c r="N2430" s="16" t="s">
        <v>3924</v>
      </c>
      <c r="O2430" s="16"/>
      <c r="P2430" s="16" t="str">
        <f aca="false">IF(AND(L2430&lt;=$D$2,M2430&gt;=$C$2),"Sí","")</f>
        <v>Sí</v>
      </c>
      <c r="Q2430" s="18" t="str">
        <f aca="false">IF(COUNTIF(LOOKAHEAD!$A$5:$A$604,A2430)&gt;0,"En Lookahead",IF(P2430="Sí","INCORPORAR",""))</f>
        <v>En Lookahead</v>
      </c>
    </row>
    <row r="2431" customFormat="false" ht="15" hidden="false" customHeight="false" outlineLevel="0" collapsed="false">
      <c r="A2431" s="16" t="s">
        <v>8183</v>
      </c>
      <c r="B2431" s="16" t="n">
        <v>2426</v>
      </c>
      <c r="C2431" s="16" t="s">
        <v>8184</v>
      </c>
      <c r="D2431" s="16" t="n">
        <v>6</v>
      </c>
      <c r="E2431" s="35" t="s">
        <v>7186</v>
      </c>
      <c r="F2431" s="16" t="s">
        <v>1285</v>
      </c>
      <c r="G2431" s="16" t="s">
        <v>563</v>
      </c>
      <c r="H2431" s="16" t="s">
        <v>3694</v>
      </c>
      <c r="I2431" s="16" t="s">
        <v>86</v>
      </c>
      <c r="J2431" s="16" t="s">
        <v>7177</v>
      </c>
      <c r="K2431" s="32" t="n">
        <v>7</v>
      </c>
      <c r="L2431" s="33" t="n">
        <v>46306</v>
      </c>
      <c r="M2431" s="33" t="n">
        <v>46312</v>
      </c>
      <c r="N2431" s="16" t="s">
        <v>8185</v>
      </c>
      <c r="O2431" s="16"/>
      <c r="P2431" s="16" t="str">
        <f aca="false">IF(AND(L2431&lt;=$D$2,M2431&gt;=$C$2),"Sí","")</f>
        <v>Sí</v>
      </c>
      <c r="Q2431" s="18" t="str">
        <f aca="false">IF(COUNTIF(LOOKAHEAD!$A$5:$A$604,A2431)&gt;0,"En Lookahead",IF(P2431="Sí","INCORPORAR",""))</f>
        <v>En Lookahead</v>
      </c>
    </row>
    <row r="2432" customFormat="false" ht="15" hidden="false" customHeight="false" outlineLevel="0" collapsed="false">
      <c r="A2432" s="16" t="s">
        <v>8186</v>
      </c>
      <c r="B2432" s="16" t="n">
        <v>2427</v>
      </c>
      <c r="C2432" s="16" t="s">
        <v>8187</v>
      </c>
      <c r="D2432" s="16" t="n">
        <v>6</v>
      </c>
      <c r="E2432" s="35" t="s">
        <v>7190</v>
      </c>
      <c r="F2432" s="16" t="s">
        <v>1285</v>
      </c>
      <c r="G2432" s="16" t="s">
        <v>563</v>
      </c>
      <c r="H2432" s="16" t="s">
        <v>3694</v>
      </c>
      <c r="I2432" s="16" t="s">
        <v>86</v>
      </c>
      <c r="J2432" s="16" t="s">
        <v>7177</v>
      </c>
      <c r="K2432" s="32" t="n">
        <v>2</v>
      </c>
      <c r="L2432" s="33" t="n">
        <v>46313</v>
      </c>
      <c r="M2432" s="33" t="n">
        <v>46314</v>
      </c>
      <c r="N2432" s="16" t="s">
        <v>8188</v>
      </c>
      <c r="O2432" s="16"/>
      <c r="P2432" s="16" t="str">
        <f aca="false">IF(AND(L2432&lt;=$D$2,M2432&gt;=$C$2),"Sí","")</f>
        <v>Sí</v>
      </c>
      <c r="Q2432" s="18" t="str">
        <f aca="false">IF(COUNTIF(LOOKAHEAD!$A$5:$A$604,A2432)&gt;0,"En Lookahead",IF(P2432="Sí","INCORPORAR",""))</f>
        <v>En Lookahead</v>
      </c>
    </row>
    <row r="2433" customFormat="false" ht="15" hidden="false" customHeight="false" outlineLevel="0" collapsed="false">
      <c r="A2433" s="16" t="s">
        <v>8189</v>
      </c>
      <c r="B2433" s="16" t="n">
        <v>2428</v>
      </c>
      <c r="C2433" s="16" t="s">
        <v>8190</v>
      </c>
      <c r="D2433" s="16" t="n">
        <v>6</v>
      </c>
      <c r="E2433" s="35" t="s">
        <v>7194</v>
      </c>
      <c r="F2433" s="16" t="s">
        <v>1285</v>
      </c>
      <c r="G2433" s="16" t="s">
        <v>563</v>
      </c>
      <c r="H2433" s="16" t="s">
        <v>3694</v>
      </c>
      <c r="I2433" s="16" t="s">
        <v>86</v>
      </c>
      <c r="J2433" s="16" t="s">
        <v>7177</v>
      </c>
      <c r="K2433" s="32" t="n">
        <v>1</v>
      </c>
      <c r="L2433" s="33" t="n">
        <v>46315</v>
      </c>
      <c r="M2433" s="33" t="n">
        <v>46315</v>
      </c>
      <c r="N2433" s="16" t="s">
        <v>8191</v>
      </c>
      <c r="O2433" s="16"/>
      <c r="P2433" s="16" t="str">
        <f aca="false">IF(AND(L2433&lt;=$D$2,M2433&gt;=$C$2),"Sí","")</f>
        <v>Sí</v>
      </c>
      <c r="Q2433" s="18" t="str">
        <f aca="false">IF(COUNTIF(LOOKAHEAD!$A$5:$A$604,A2433)&gt;0,"En Lookahead",IF(P2433="Sí","INCORPORAR",""))</f>
        <v>En Lookahead</v>
      </c>
    </row>
    <row r="2434" customFormat="false" ht="15" hidden="false" customHeight="false" outlineLevel="0" collapsed="false">
      <c r="A2434" s="16" t="s">
        <v>8192</v>
      </c>
      <c r="B2434" s="16" t="n">
        <v>2429</v>
      </c>
      <c r="C2434" s="16" t="s">
        <v>8193</v>
      </c>
      <c r="D2434" s="16" t="n">
        <v>6</v>
      </c>
      <c r="E2434" s="35" t="s">
        <v>7501</v>
      </c>
      <c r="F2434" s="16" t="s">
        <v>1285</v>
      </c>
      <c r="G2434" s="16" t="s">
        <v>563</v>
      </c>
      <c r="H2434" s="16" t="s">
        <v>3694</v>
      </c>
      <c r="I2434" s="16" t="s">
        <v>86</v>
      </c>
      <c r="J2434" s="16" t="s">
        <v>7177</v>
      </c>
      <c r="K2434" s="32" t="n">
        <v>1</v>
      </c>
      <c r="L2434" s="33" t="n">
        <v>46316</v>
      </c>
      <c r="M2434" s="33" t="n">
        <v>46316</v>
      </c>
      <c r="N2434" s="16" t="s">
        <v>8194</v>
      </c>
      <c r="O2434" s="16"/>
      <c r="P2434" s="16" t="str">
        <f aca="false">IF(AND(L2434&lt;=$D$2,M2434&gt;=$C$2),"Sí","")</f>
        <v>Sí</v>
      </c>
      <c r="Q2434" s="18" t="str">
        <f aca="false">IF(COUNTIF(LOOKAHEAD!$A$5:$A$604,A2434)&gt;0,"En Lookahead",IF(P2434="Sí","INCORPORAR",""))</f>
        <v>En Lookahead</v>
      </c>
    </row>
    <row r="2435" customFormat="false" ht="15" hidden="false" customHeight="false" outlineLevel="0" collapsed="false">
      <c r="A2435" s="13" t="s">
        <v>8195</v>
      </c>
      <c r="B2435" s="13" t="n">
        <v>2430</v>
      </c>
      <c r="C2435" s="13" t="s">
        <v>8196</v>
      </c>
      <c r="D2435" s="13" t="n">
        <v>5</v>
      </c>
      <c r="E2435" s="34" t="s">
        <v>7206</v>
      </c>
      <c r="F2435" s="13" t="s">
        <v>1298</v>
      </c>
      <c r="G2435" s="13" t="s">
        <v>563</v>
      </c>
      <c r="H2435" s="13" t="s">
        <v>3694</v>
      </c>
      <c r="I2435" s="13" t="s">
        <v>86</v>
      </c>
      <c r="J2435" s="13" t="s">
        <v>3694</v>
      </c>
      <c r="K2435" s="30" t="n">
        <v>55</v>
      </c>
      <c r="L2435" s="31" t="n">
        <v>46317</v>
      </c>
      <c r="M2435" s="31" t="n">
        <v>46371</v>
      </c>
      <c r="N2435" s="13"/>
      <c r="O2435" s="13"/>
      <c r="P2435" s="13"/>
      <c r="Q2435" s="13"/>
    </row>
    <row r="2436" customFormat="false" ht="15" hidden="false" customHeight="false" outlineLevel="0" collapsed="false">
      <c r="A2436" s="16" t="s">
        <v>8197</v>
      </c>
      <c r="B2436" s="16" t="n">
        <v>2431</v>
      </c>
      <c r="C2436" s="16" t="s">
        <v>8198</v>
      </c>
      <c r="D2436" s="16" t="n">
        <v>6</v>
      </c>
      <c r="E2436" s="35" t="s">
        <v>7209</v>
      </c>
      <c r="F2436" s="16" t="s">
        <v>1285</v>
      </c>
      <c r="G2436" s="16" t="s">
        <v>563</v>
      </c>
      <c r="H2436" s="16" t="s">
        <v>3694</v>
      </c>
      <c r="I2436" s="16" t="s">
        <v>86</v>
      </c>
      <c r="J2436" s="16" t="s">
        <v>7206</v>
      </c>
      <c r="K2436" s="32" t="n">
        <v>13</v>
      </c>
      <c r="L2436" s="33" t="n">
        <v>46317</v>
      </c>
      <c r="M2436" s="33" t="n">
        <v>46329</v>
      </c>
      <c r="N2436" s="16" t="s">
        <v>8199</v>
      </c>
      <c r="O2436" s="16"/>
      <c r="P2436" s="16" t="str">
        <f aca="false">IF(AND(L2436&lt;=$D$2,M2436&gt;=$C$2),"Sí","")</f>
        <v>Sí</v>
      </c>
      <c r="Q2436" s="18" t="str">
        <f aca="false">IF(COUNTIF(LOOKAHEAD!$A$5:$A$604,A2436)&gt;0,"En Lookahead",IF(P2436="Sí","INCORPORAR",""))</f>
        <v>En Lookahead</v>
      </c>
    </row>
    <row r="2437" customFormat="false" ht="15" hidden="false" customHeight="false" outlineLevel="0" collapsed="false">
      <c r="A2437" s="16" t="s">
        <v>8200</v>
      </c>
      <c r="B2437" s="16" t="n">
        <v>2432</v>
      </c>
      <c r="C2437" s="16" t="s">
        <v>8201</v>
      </c>
      <c r="D2437" s="16" t="n">
        <v>6</v>
      </c>
      <c r="E2437" s="35" t="s">
        <v>7212</v>
      </c>
      <c r="F2437" s="16" t="s">
        <v>1285</v>
      </c>
      <c r="G2437" s="16" t="s">
        <v>563</v>
      </c>
      <c r="H2437" s="16" t="s">
        <v>3694</v>
      </c>
      <c r="I2437" s="16" t="s">
        <v>86</v>
      </c>
      <c r="J2437" s="16" t="s">
        <v>7206</v>
      </c>
      <c r="K2437" s="32" t="n">
        <v>18</v>
      </c>
      <c r="L2437" s="33" t="n">
        <v>46330</v>
      </c>
      <c r="M2437" s="33" t="n">
        <v>46347</v>
      </c>
      <c r="N2437" s="16" t="s">
        <v>8202</v>
      </c>
      <c r="O2437" s="16"/>
      <c r="P2437" s="16" t="str">
        <f aca="false">IF(AND(L2437&lt;=$D$2,M2437&gt;=$C$2),"Sí","")</f>
        <v>Sí</v>
      </c>
      <c r="Q2437" s="18" t="str">
        <f aca="false">IF(COUNTIF(LOOKAHEAD!$A$5:$A$604,A2437)&gt;0,"En Lookahead",IF(P2437="Sí","INCORPORAR",""))</f>
        <v>En Lookahead</v>
      </c>
    </row>
    <row r="2438" customFormat="false" ht="15" hidden="false" customHeight="false" outlineLevel="0" collapsed="false">
      <c r="A2438" s="16" t="s">
        <v>8203</v>
      </c>
      <c r="B2438" s="16" t="n">
        <v>2433</v>
      </c>
      <c r="C2438" s="16" t="s">
        <v>8204</v>
      </c>
      <c r="D2438" s="16" t="n">
        <v>6</v>
      </c>
      <c r="E2438" s="35" t="s">
        <v>7224</v>
      </c>
      <c r="F2438" s="16" t="s">
        <v>1285</v>
      </c>
      <c r="G2438" s="16" t="s">
        <v>563</v>
      </c>
      <c r="H2438" s="16" t="s">
        <v>3694</v>
      </c>
      <c r="I2438" s="16" t="s">
        <v>86</v>
      </c>
      <c r="J2438" s="16" t="s">
        <v>7206</v>
      </c>
      <c r="K2438" s="32" t="n">
        <v>14</v>
      </c>
      <c r="L2438" s="33" t="n">
        <v>46348</v>
      </c>
      <c r="M2438" s="33" t="n">
        <v>46361</v>
      </c>
      <c r="N2438" s="16" t="s">
        <v>8205</v>
      </c>
      <c r="O2438" s="16"/>
      <c r="P2438" s="16" t="str">
        <f aca="false">IF(AND(L2438&lt;=$D$2,M2438&gt;=$C$2),"Sí","")</f>
        <v/>
      </c>
      <c r="Q2438" s="18" t="str">
        <f aca="false">IF(COUNTIF(LOOKAHEAD!$A$5:$A$604,A2438)&gt;0,"En Lookahead",IF(P2438="Sí","INCORPORAR",""))</f>
        <v/>
      </c>
    </row>
    <row r="2439" customFormat="false" ht="15" hidden="false" customHeight="false" outlineLevel="0" collapsed="false">
      <c r="A2439" s="16" t="s">
        <v>8206</v>
      </c>
      <c r="B2439" s="16" t="n">
        <v>2434</v>
      </c>
      <c r="C2439" s="16" t="s">
        <v>8207</v>
      </c>
      <c r="D2439" s="16" t="n">
        <v>6</v>
      </c>
      <c r="E2439" s="35" t="s">
        <v>7228</v>
      </c>
      <c r="F2439" s="16" t="s">
        <v>1285</v>
      </c>
      <c r="G2439" s="16" t="s">
        <v>563</v>
      </c>
      <c r="H2439" s="16" t="s">
        <v>3694</v>
      </c>
      <c r="I2439" s="16" t="s">
        <v>86</v>
      </c>
      <c r="J2439" s="16" t="s">
        <v>7206</v>
      </c>
      <c r="K2439" s="32" t="n">
        <v>10</v>
      </c>
      <c r="L2439" s="33" t="n">
        <v>46362</v>
      </c>
      <c r="M2439" s="33" t="n">
        <v>46371</v>
      </c>
      <c r="N2439" s="16" t="s">
        <v>8208</v>
      </c>
      <c r="O2439" s="16"/>
      <c r="P2439" s="16" t="str">
        <f aca="false">IF(AND(L2439&lt;=$D$2,M2439&gt;=$C$2),"Sí","")</f>
        <v/>
      </c>
      <c r="Q2439" s="18" t="str">
        <f aca="false">IF(COUNTIF(LOOKAHEAD!$A$5:$A$604,A2439)&gt;0,"En Lookahead",IF(P2439="Sí","INCORPORAR",""))</f>
        <v/>
      </c>
    </row>
    <row r="2440" customFormat="false" ht="15" hidden="false" customHeight="false" outlineLevel="0" collapsed="false">
      <c r="A2440" s="16" t="s">
        <v>8209</v>
      </c>
      <c r="B2440" s="16" t="n">
        <v>2435</v>
      </c>
      <c r="C2440" s="16" t="s">
        <v>8210</v>
      </c>
      <c r="D2440" s="16" t="n">
        <v>6</v>
      </c>
      <c r="E2440" s="35" t="s">
        <v>7232</v>
      </c>
      <c r="F2440" s="16" t="s">
        <v>1285</v>
      </c>
      <c r="G2440" s="16" t="s">
        <v>563</v>
      </c>
      <c r="H2440" s="16" t="s">
        <v>3694</v>
      </c>
      <c r="I2440" s="16" t="s">
        <v>86</v>
      </c>
      <c r="J2440" s="16" t="s">
        <v>7206</v>
      </c>
      <c r="K2440" s="32" t="n">
        <v>15</v>
      </c>
      <c r="L2440" s="33" t="n">
        <v>46348</v>
      </c>
      <c r="M2440" s="33" t="n">
        <v>46362</v>
      </c>
      <c r="N2440" s="16" t="s">
        <v>8211</v>
      </c>
      <c r="O2440" s="16"/>
      <c r="P2440" s="16" t="str">
        <f aca="false">IF(AND(L2440&lt;=$D$2,M2440&gt;=$C$2),"Sí","")</f>
        <v/>
      </c>
      <c r="Q2440" s="18" t="str">
        <f aca="false">IF(COUNTIF(LOOKAHEAD!$A$5:$A$604,A2440)&gt;0,"En Lookahead",IF(P2440="Sí","INCORPORAR",""))</f>
        <v/>
      </c>
    </row>
    <row r="2441" customFormat="false" ht="15" hidden="false" customHeight="false" outlineLevel="0" collapsed="false">
      <c r="A2441" s="13" t="s">
        <v>8212</v>
      </c>
      <c r="B2441" s="13" t="n">
        <v>2436</v>
      </c>
      <c r="C2441" s="13" t="s">
        <v>8213</v>
      </c>
      <c r="D2441" s="13" t="n">
        <v>5</v>
      </c>
      <c r="E2441" s="34" t="s">
        <v>7236</v>
      </c>
      <c r="F2441" s="13" t="s">
        <v>1298</v>
      </c>
      <c r="G2441" s="13" t="s">
        <v>563</v>
      </c>
      <c r="H2441" s="13" t="s">
        <v>3694</v>
      </c>
      <c r="I2441" s="13" t="s">
        <v>86</v>
      </c>
      <c r="J2441" s="13" t="s">
        <v>3694</v>
      </c>
      <c r="K2441" s="30" t="n">
        <v>21</v>
      </c>
      <c r="L2441" s="31" t="n">
        <v>46363</v>
      </c>
      <c r="M2441" s="31" t="n">
        <v>46383</v>
      </c>
      <c r="N2441" s="13"/>
      <c r="O2441" s="13"/>
      <c r="P2441" s="13"/>
      <c r="Q2441" s="13"/>
    </row>
    <row r="2442" customFormat="false" ht="15" hidden="false" customHeight="false" outlineLevel="0" collapsed="false">
      <c r="A2442" s="16" t="s">
        <v>8214</v>
      </c>
      <c r="B2442" s="16" t="n">
        <v>2437</v>
      </c>
      <c r="C2442" s="16" t="s">
        <v>8215</v>
      </c>
      <c r="D2442" s="16" t="n">
        <v>6</v>
      </c>
      <c r="E2442" s="35" t="s">
        <v>7242</v>
      </c>
      <c r="F2442" s="16" t="s">
        <v>1285</v>
      </c>
      <c r="G2442" s="16" t="s">
        <v>563</v>
      </c>
      <c r="H2442" s="16" t="s">
        <v>3694</v>
      </c>
      <c r="I2442" s="16" t="s">
        <v>86</v>
      </c>
      <c r="J2442" s="16" t="s">
        <v>7236</v>
      </c>
      <c r="K2442" s="32" t="n">
        <v>20</v>
      </c>
      <c r="L2442" s="33" t="n">
        <v>46363</v>
      </c>
      <c r="M2442" s="33" t="n">
        <v>46382</v>
      </c>
      <c r="N2442" s="16" t="s">
        <v>8216</v>
      </c>
      <c r="O2442" s="16"/>
      <c r="P2442" s="16" t="str">
        <f aca="false">IF(AND(L2442&lt;=$D$2,M2442&gt;=$C$2),"Sí","")</f>
        <v/>
      </c>
      <c r="Q2442" s="18" t="str">
        <f aca="false">IF(COUNTIF(LOOKAHEAD!$A$5:$A$604,A2442)&gt;0,"En Lookahead",IF(P2442="Sí","INCORPORAR",""))</f>
        <v/>
      </c>
    </row>
    <row r="2443" customFormat="false" ht="15" hidden="false" customHeight="false" outlineLevel="0" collapsed="false">
      <c r="A2443" s="16" t="s">
        <v>8217</v>
      </c>
      <c r="B2443" s="16" t="n">
        <v>2438</v>
      </c>
      <c r="C2443" s="16" t="s">
        <v>8218</v>
      </c>
      <c r="D2443" s="16" t="n">
        <v>6</v>
      </c>
      <c r="E2443" s="35" t="s">
        <v>7553</v>
      </c>
      <c r="F2443" s="16" t="s">
        <v>1285</v>
      </c>
      <c r="G2443" s="16" t="s">
        <v>563</v>
      </c>
      <c r="H2443" s="16" t="s">
        <v>3694</v>
      </c>
      <c r="I2443" s="16" t="s">
        <v>86</v>
      </c>
      <c r="J2443" s="16" t="s">
        <v>7236</v>
      </c>
      <c r="K2443" s="32" t="n">
        <v>1</v>
      </c>
      <c r="L2443" s="33" t="n">
        <v>46383</v>
      </c>
      <c r="M2443" s="33" t="n">
        <v>46383</v>
      </c>
      <c r="N2443" s="16" t="s">
        <v>8219</v>
      </c>
      <c r="O2443" s="16"/>
      <c r="P2443" s="16" t="str">
        <f aca="false">IF(AND(L2443&lt;=$D$2,M2443&gt;=$C$2),"Sí","")</f>
        <v/>
      </c>
      <c r="Q2443" s="18" t="str">
        <f aca="false">IF(COUNTIF(LOOKAHEAD!$A$5:$A$604,A2443)&gt;0,"En Lookahead",IF(P2443="Sí","INCORPORAR",""))</f>
        <v/>
      </c>
    </row>
    <row r="2444" customFormat="false" ht="15" hidden="false" customHeight="false" outlineLevel="0" collapsed="false">
      <c r="A2444" s="13" t="s">
        <v>8220</v>
      </c>
      <c r="B2444" s="13" t="n">
        <v>2439</v>
      </c>
      <c r="C2444" s="13" t="s">
        <v>8221</v>
      </c>
      <c r="D2444" s="13" t="n">
        <v>5</v>
      </c>
      <c r="E2444" s="34" t="s">
        <v>7250</v>
      </c>
      <c r="F2444" s="13" t="s">
        <v>1298</v>
      </c>
      <c r="G2444" s="13" t="s">
        <v>563</v>
      </c>
      <c r="H2444" s="13" t="s">
        <v>3694</v>
      </c>
      <c r="I2444" s="13" t="s">
        <v>86</v>
      </c>
      <c r="J2444" s="13" t="s">
        <v>3694</v>
      </c>
      <c r="K2444" s="30" t="n">
        <v>105</v>
      </c>
      <c r="L2444" s="31" t="n">
        <v>46384</v>
      </c>
      <c r="M2444" s="31" t="n">
        <v>46488</v>
      </c>
      <c r="N2444" s="13"/>
      <c r="O2444" s="13"/>
      <c r="P2444" s="13"/>
      <c r="Q2444" s="13"/>
    </row>
    <row r="2445" customFormat="false" ht="15" hidden="false" customHeight="false" outlineLevel="0" collapsed="false">
      <c r="A2445" s="13" t="s">
        <v>8222</v>
      </c>
      <c r="B2445" s="13" t="n">
        <v>2440</v>
      </c>
      <c r="C2445" s="13" t="s">
        <v>8223</v>
      </c>
      <c r="D2445" s="13" t="n">
        <v>6</v>
      </c>
      <c r="E2445" s="36" t="s">
        <v>7253</v>
      </c>
      <c r="F2445" s="13" t="s">
        <v>1298</v>
      </c>
      <c r="G2445" s="13" t="s">
        <v>563</v>
      </c>
      <c r="H2445" s="13" t="s">
        <v>3694</v>
      </c>
      <c r="I2445" s="13" t="s">
        <v>86</v>
      </c>
      <c r="J2445" s="13" t="s">
        <v>7250</v>
      </c>
      <c r="K2445" s="30" t="n">
        <v>23</v>
      </c>
      <c r="L2445" s="31" t="n">
        <v>46384</v>
      </c>
      <c r="M2445" s="31" t="n">
        <v>46406</v>
      </c>
      <c r="N2445" s="13"/>
      <c r="O2445" s="13"/>
      <c r="P2445" s="13"/>
      <c r="Q2445" s="13"/>
    </row>
    <row r="2446" customFormat="false" ht="15" hidden="false" customHeight="false" outlineLevel="0" collapsed="false">
      <c r="A2446" s="16" t="s">
        <v>8224</v>
      </c>
      <c r="B2446" s="16" t="n">
        <v>2441</v>
      </c>
      <c r="C2446" s="16" t="s">
        <v>8225</v>
      </c>
      <c r="D2446" s="16" t="n">
        <v>7</v>
      </c>
      <c r="E2446" s="37" t="s">
        <v>7256</v>
      </c>
      <c r="F2446" s="16" t="s">
        <v>1285</v>
      </c>
      <c r="G2446" s="16" t="s">
        <v>563</v>
      </c>
      <c r="H2446" s="16" t="s">
        <v>3694</v>
      </c>
      <c r="I2446" s="16" t="s">
        <v>86</v>
      </c>
      <c r="J2446" s="16" t="s">
        <v>7253</v>
      </c>
      <c r="K2446" s="32" t="n">
        <v>23</v>
      </c>
      <c r="L2446" s="33" t="n">
        <v>46384</v>
      </c>
      <c r="M2446" s="33" t="n">
        <v>46406</v>
      </c>
      <c r="N2446" s="16" t="s">
        <v>8226</v>
      </c>
      <c r="O2446" s="16"/>
      <c r="P2446" s="16" t="str">
        <f aca="false">IF(AND(L2446&lt;=$D$2,M2446&gt;=$C$2),"Sí","")</f>
        <v/>
      </c>
      <c r="Q2446" s="18" t="str">
        <f aca="false">IF(COUNTIF(LOOKAHEAD!$A$5:$A$604,A2446)&gt;0,"En Lookahead",IF(P2446="Sí","INCORPORAR",""))</f>
        <v/>
      </c>
    </row>
    <row r="2447" customFormat="false" ht="15" hidden="false" customHeight="false" outlineLevel="0" collapsed="false">
      <c r="A2447" s="13" t="s">
        <v>8227</v>
      </c>
      <c r="B2447" s="13" t="n">
        <v>2442</v>
      </c>
      <c r="C2447" s="13" t="s">
        <v>8228</v>
      </c>
      <c r="D2447" s="13" t="n">
        <v>6</v>
      </c>
      <c r="E2447" s="36" t="s">
        <v>7260</v>
      </c>
      <c r="F2447" s="13" t="s">
        <v>1298</v>
      </c>
      <c r="G2447" s="13" t="s">
        <v>563</v>
      </c>
      <c r="H2447" s="13" t="s">
        <v>3694</v>
      </c>
      <c r="I2447" s="13" t="s">
        <v>86</v>
      </c>
      <c r="J2447" s="13" t="s">
        <v>7250</v>
      </c>
      <c r="K2447" s="30" t="n">
        <v>82</v>
      </c>
      <c r="L2447" s="31" t="n">
        <v>46407</v>
      </c>
      <c r="M2447" s="31" t="n">
        <v>46488</v>
      </c>
      <c r="N2447" s="13"/>
      <c r="O2447" s="13"/>
      <c r="P2447" s="13"/>
      <c r="Q2447" s="13"/>
    </row>
    <row r="2448" customFormat="false" ht="15" hidden="false" customHeight="false" outlineLevel="0" collapsed="false">
      <c r="A2448" s="16" t="s">
        <v>8229</v>
      </c>
      <c r="B2448" s="16" t="n">
        <v>2443</v>
      </c>
      <c r="C2448" s="16" t="s">
        <v>8230</v>
      </c>
      <c r="D2448" s="16" t="n">
        <v>7</v>
      </c>
      <c r="E2448" s="37" t="s">
        <v>7267</v>
      </c>
      <c r="F2448" s="16" t="s">
        <v>1285</v>
      </c>
      <c r="G2448" s="16" t="s">
        <v>563</v>
      </c>
      <c r="H2448" s="16" t="s">
        <v>3694</v>
      </c>
      <c r="I2448" s="16" t="s">
        <v>86</v>
      </c>
      <c r="J2448" s="16" t="s">
        <v>7260</v>
      </c>
      <c r="K2448" s="32" t="n">
        <v>81</v>
      </c>
      <c r="L2448" s="33" t="n">
        <v>46407</v>
      </c>
      <c r="M2448" s="33" t="n">
        <v>46487</v>
      </c>
      <c r="N2448" s="16" t="s">
        <v>8231</v>
      </c>
      <c r="O2448" s="16"/>
      <c r="P2448" s="16" t="str">
        <f aca="false">IF(AND(L2448&lt;=$D$2,M2448&gt;=$C$2),"Sí","")</f>
        <v/>
      </c>
      <c r="Q2448" s="18" t="str">
        <f aca="false">IF(COUNTIF(LOOKAHEAD!$A$5:$A$604,A2448)&gt;0,"En Lookahead",IF(P2448="Sí","INCORPORAR",""))</f>
        <v/>
      </c>
    </row>
    <row r="2449" customFormat="false" ht="15" hidden="false" customHeight="false" outlineLevel="0" collapsed="false">
      <c r="A2449" s="16" t="s">
        <v>8232</v>
      </c>
      <c r="B2449" s="16" t="n">
        <v>2444</v>
      </c>
      <c r="C2449" s="16" t="s">
        <v>8233</v>
      </c>
      <c r="D2449" s="16" t="n">
        <v>7</v>
      </c>
      <c r="E2449" s="37" t="s">
        <v>7271</v>
      </c>
      <c r="F2449" s="16" t="s">
        <v>1285</v>
      </c>
      <c r="G2449" s="16" t="s">
        <v>563</v>
      </c>
      <c r="H2449" s="16" t="s">
        <v>3694</v>
      </c>
      <c r="I2449" s="16" t="s">
        <v>86</v>
      </c>
      <c r="J2449" s="16" t="s">
        <v>7260</v>
      </c>
      <c r="K2449" s="32" t="n">
        <v>1</v>
      </c>
      <c r="L2449" s="33" t="n">
        <v>46488</v>
      </c>
      <c r="M2449" s="33" t="n">
        <v>46488</v>
      </c>
      <c r="N2449" s="16" t="s">
        <v>8234</v>
      </c>
      <c r="O2449" s="16"/>
      <c r="P2449" s="16" t="str">
        <f aca="false">IF(AND(L2449&lt;=$D$2,M2449&gt;=$C$2),"Sí","")</f>
        <v/>
      </c>
      <c r="Q2449" s="18" t="str">
        <f aca="false">IF(COUNTIF(LOOKAHEAD!$A$5:$A$604,A2449)&gt;0,"En Lookahead",IF(P2449="Sí","INCORPORAR",""))</f>
        <v/>
      </c>
    </row>
    <row r="2450" customFormat="false" ht="15" hidden="false" customHeight="false" outlineLevel="0" collapsed="false">
      <c r="A2450" s="13" t="s">
        <v>8235</v>
      </c>
      <c r="B2450" s="13" t="n">
        <v>2445</v>
      </c>
      <c r="C2450" s="13" t="s">
        <v>8236</v>
      </c>
      <c r="D2450" s="13" t="n">
        <v>5</v>
      </c>
      <c r="E2450" s="34" t="s">
        <v>7279</v>
      </c>
      <c r="F2450" s="13" t="s">
        <v>1298</v>
      </c>
      <c r="G2450" s="13" t="s">
        <v>563</v>
      </c>
      <c r="H2450" s="13" t="s">
        <v>3694</v>
      </c>
      <c r="I2450" s="13" t="s">
        <v>86</v>
      </c>
      <c r="J2450" s="13" t="s">
        <v>3694</v>
      </c>
      <c r="K2450" s="30" t="n">
        <v>26</v>
      </c>
      <c r="L2450" s="31" t="n">
        <v>46407</v>
      </c>
      <c r="M2450" s="31" t="n">
        <v>46432</v>
      </c>
      <c r="N2450" s="13"/>
      <c r="O2450" s="13"/>
      <c r="P2450" s="13"/>
      <c r="Q2450" s="13"/>
    </row>
    <row r="2451" customFormat="false" ht="15" hidden="false" customHeight="false" outlineLevel="0" collapsed="false">
      <c r="A2451" s="16" t="s">
        <v>8237</v>
      </c>
      <c r="B2451" s="16" t="n">
        <v>2446</v>
      </c>
      <c r="C2451" s="16" t="s">
        <v>8238</v>
      </c>
      <c r="D2451" s="16" t="n">
        <v>6</v>
      </c>
      <c r="E2451" s="35" t="s">
        <v>7286</v>
      </c>
      <c r="F2451" s="16" t="s">
        <v>1285</v>
      </c>
      <c r="G2451" s="16" t="s">
        <v>563</v>
      </c>
      <c r="H2451" s="16" t="s">
        <v>3694</v>
      </c>
      <c r="I2451" s="16" t="s">
        <v>86</v>
      </c>
      <c r="J2451" s="16" t="s">
        <v>7279</v>
      </c>
      <c r="K2451" s="32" t="n">
        <v>26</v>
      </c>
      <c r="L2451" s="33" t="n">
        <v>46407</v>
      </c>
      <c r="M2451" s="33" t="n">
        <v>46432</v>
      </c>
      <c r="N2451" s="16" t="s">
        <v>8239</v>
      </c>
      <c r="O2451" s="16"/>
      <c r="P2451" s="16" t="str">
        <f aca="false">IF(AND(L2451&lt;=$D$2,M2451&gt;=$C$2),"Sí","")</f>
        <v/>
      </c>
      <c r="Q2451" s="18" t="str">
        <f aca="false">IF(COUNTIF(LOOKAHEAD!$A$5:$A$604,A2451)&gt;0,"En Lookahead",IF(P2451="Sí","INCORPORAR",""))</f>
        <v/>
      </c>
    </row>
    <row r="2452" customFormat="false" ht="15" hidden="false" customHeight="false" outlineLevel="0" collapsed="false">
      <c r="A2452" s="16" t="s">
        <v>8240</v>
      </c>
      <c r="B2452" s="16" t="n">
        <v>2447</v>
      </c>
      <c r="C2452" s="16" t="s">
        <v>8241</v>
      </c>
      <c r="D2452" s="16" t="n">
        <v>6</v>
      </c>
      <c r="E2452" s="35" t="s">
        <v>7290</v>
      </c>
      <c r="F2452" s="16" t="s">
        <v>1285</v>
      </c>
      <c r="G2452" s="16" t="s">
        <v>563</v>
      </c>
      <c r="H2452" s="16" t="s">
        <v>3694</v>
      </c>
      <c r="I2452" s="16" t="s">
        <v>86</v>
      </c>
      <c r="J2452" s="16" t="s">
        <v>7279</v>
      </c>
      <c r="K2452" s="32" t="n">
        <v>1</v>
      </c>
      <c r="L2452" s="33" t="n">
        <v>46407</v>
      </c>
      <c r="M2452" s="33" t="n">
        <v>46407</v>
      </c>
      <c r="N2452" s="16" t="s">
        <v>8242</v>
      </c>
      <c r="O2452" s="16"/>
      <c r="P2452" s="16" t="str">
        <f aca="false">IF(AND(L2452&lt;=$D$2,M2452&gt;=$C$2),"Sí","")</f>
        <v/>
      </c>
      <c r="Q2452" s="18" t="str">
        <f aca="false">IF(COUNTIF(LOOKAHEAD!$A$5:$A$604,A2452)&gt;0,"En Lookahead",IF(P2452="Sí","INCORPORAR",""))</f>
        <v/>
      </c>
    </row>
    <row r="2453" customFormat="false" ht="15" hidden="false" customHeight="false" outlineLevel="0" collapsed="false">
      <c r="A2453" s="16" t="s">
        <v>8243</v>
      </c>
      <c r="B2453" s="16" t="n">
        <v>2448</v>
      </c>
      <c r="C2453" s="16" t="s">
        <v>8244</v>
      </c>
      <c r="D2453" s="16" t="n">
        <v>6</v>
      </c>
      <c r="E2453" s="35" t="s">
        <v>7293</v>
      </c>
      <c r="F2453" s="16" t="s">
        <v>1285</v>
      </c>
      <c r="G2453" s="16" t="s">
        <v>563</v>
      </c>
      <c r="H2453" s="16" t="s">
        <v>3694</v>
      </c>
      <c r="I2453" s="16" t="s">
        <v>86</v>
      </c>
      <c r="J2453" s="16" t="s">
        <v>7279</v>
      </c>
      <c r="K2453" s="32" t="n">
        <v>4</v>
      </c>
      <c r="L2453" s="33" t="n">
        <v>46407</v>
      </c>
      <c r="M2453" s="33" t="n">
        <v>46410</v>
      </c>
      <c r="N2453" s="16" t="s">
        <v>8242</v>
      </c>
      <c r="O2453" s="16"/>
      <c r="P2453" s="16" t="str">
        <f aca="false">IF(AND(L2453&lt;=$D$2,M2453&gt;=$C$2),"Sí","")</f>
        <v/>
      </c>
      <c r="Q2453" s="18" t="str">
        <f aca="false">IF(COUNTIF(LOOKAHEAD!$A$5:$A$604,A2453)&gt;0,"En Lookahead",IF(P2453="Sí","INCORPORAR",""))</f>
        <v/>
      </c>
    </row>
    <row r="2454" customFormat="false" ht="15" hidden="false" customHeight="false" outlineLevel="0" collapsed="false">
      <c r="A2454" s="13" t="s">
        <v>8245</v>
      </c>
      <c r="B2454" s="13" t="n">
        <v>2449</v>
      </c>
      <c r="C2454" s="13" t="s">
        <v>8246</v>
      </c>
      <c r="D2454" s="13" t="n">
        <v>5</v>
      </c>
      <c r="E2454" s="34" t="s">
        <v>7296</v>
      </c>
      <c r="F2454" s="13" t="s">
        <v>1298</v>
      </c>
      <c r="G2454" s="13" t="s">
        <v>563</v>
      </c>
      <c r="H2454" s="13" t="s">
        <v>3694</v>
      </c>
      <c r="I2454" s="13" t="s">
        <v>86</v>
      </c>
      <c r="J2454" s="13" t="s">
        <v>3694</v>
      </c>
      <c r="K2454" s="30" t="n">
        <v>17</v>
      </c>
      <c r="L2454" s="31" t="n">
        <v>46411</v>
      </c>
      <c r="M2454" s="31" t="n">
        <v>46427</v>
      </c>
      <c r="N2454" s="13"/>
      <c r="O2454" s="13"/>
      <c r="P2454" s="13"/>
      <c r="Q2454" s="13"/>
    </row>
    <row r="2455" customFormat="false" ht="15" hidden="false" customHeight="false" outlineLevel="0" collapsed="false">
      <c r="A2455" s="16" t="s">
        <v>8247</v>
      </c>
      <c r="B2455" s="16" t="n">
        <v>2450</v>
      </c>
      <c r="C2455" s="16" t="s">
        <v>8248</v>
      </c>
      <c r="D2455" s="16" t="n">
        <v>6</v>
      </c>
      <c r="E2455" s="35" t="s">
        <v>7299</v>
      </c>
      <c r="F2455" s="16" t="s">
        <v>1285</v>
      </c>
      <c r="G2455" s="16" t="s">
        <v>563</v>
      </c>
      <c r="H2455" s="16" t="s">
        <v>3694</v>
      </c>
      <c r="I2455" s="16" t="s">
        <v>86</v>
      </c>
      <c r="J2455" s="16" t="s">
        <v>7296</v>
      </c>
      <c r="K2455" s="32" t="n">
        <v>5</v>
      </c>
      <c r="L2455" s="33" t="n">
        <v>46411</v>
      </c>
      <c r="M2455" s="33" t="n">
        <v>46415</v>
      </c>
      <c r="N2455" s="16" t="s">
        <v>8249</v>
      </c>
      <c r="O2455" s="16"/>
      <c r="P2455" s="16" t="str">
        <f aca="false">IF(AND(L2455&lt;=$D$2,M2455&gt;=$C$2),"Sí","")</f>
        <v/>
      </c>
      <c r="Q2455" s="18" t="str">
        <f aca="false">IF(COUNTIF(LOOKAHEAD!$A$5:$A$604,A2455)&gt;0,"En Lookahead",IF(P2455="Sí","INCORPORAR",""))</f>
        <v/>
      </c>
    </row>
    <row r="2456" customFormat="false" ht="15" hidden="false" customHeight="false" outlineLevel="0" collapsed="false">
      <c r="A2456" s="16" t="s">
        <v>8250</v>
      </c>
      <c r="B2456" s="16" t="n">
        <v>2451</v>
      </c>
      <c r="C2456" s="16" t="s">
        <v>8251</v>
      </c>
      <c r="D2456" s="16" t="n">
        <v>6</v>
      </c>
      <c r="E2456" s="35" t="s">
        <v>7303</v>
      </c>
      <c r="F2456" s="16" t="s">
        <v>1285</v>
      </c>
      <c r="G2456" s="16" t="s">
        <v>563</v>
      </c>
      <c r="H2456" s="16" t="s">
        <v>3694</v>
      </c>
      <c r="I2456" s="16" t="s">
        <v>86</v>
      </c>
      <c r="J2456" s="16" t="s">
        <v>7296</v>
      </c>
      <c r="K2456" s="32" t="n">
        <v>12</v>
      </c>
      <c r="L2456" s="33" t="n">
        <v>46416</v>
      </c>
      <c r="M2456" s="33" t="n">
        <v>46427</v>
      </c>
      <c r="N2456" s="16" t="s">
        <v>8252</v>
      </c>
      <c r="O2456" s="16"/>
      <c r="P2456" s="16" t="str">
        <f aca="false">IF(AND(L2456&lt;=$D$2,M2456&gt;=$C$2),"Sí","")</f>
        <v/>
      </c>
      <c r="Q2456" s="18" t="str">
        <f aca="false">IF(COUNTIF(LOOKAHEAD!$A$5:$A$604,A2456)&gt;0,"En Lookahead",IF(P2456="Sí","INCORPORAR",""))</f>
        <v/>
      </c>
    </row>
    <row r="2457" customFormat="false" ht="15" hidden="false" customHeight="false" outlineLevel="0" collapsed="false">
      <c r="A2457" s="13" t="s">
        <v>8253</v>
      </c>
      <c r="B2457" s="13" t="n">
        <v>2452</v>
      </c>
      <c r="C2457" s="13" t="s">
        <v>8254</v>
      </c>
      <c r="D2457" s="13" t="n">
        <v>5</v>
      </c>
      <c r="E2457" s="34" t="s">
        <v>7307</v>
      </c>
      <c r="F2457" s="13" t="s">
        <v>1298</v>
      </c>
      <c r="G2457" s="13" t="s">
        <v>563</v>
      </c>
      <c r="H2457" s="13" t="s">
        <v>3694</v>
      </c>
      <c r="I2457" s="13" t="s">
        <v>86</v>
      </c>
      <c r="J2457" s="13" t="s">
        <v>3694</v>
      </c>
      <c r="K2457" s="30" t="n">
        <v>6</v>
      </c>
      <c r="L2457" s="31" t="n">
        <v>46428</v>
      </c>
      <c r="M2457" s="31" t="n">
        <v>46433</v>
      </c>
      <c r="N2457" s="13"/>
      <c r="O2457" s="13"/>
      <c r="P2457" s="13"/>
      <c r="Q2457" s="13"/>
    </row>
    <row r="2458" customFormat="false" ht="15" hidden="false" customHeight="false" outlineLevel="0" collapsed="false">
      <c r="A2458" s="13" t="s">
        <v>8255</v>
      </c>
      <c r="B2458" s="13" t="n">
        <v>2453</v>
      </c>
      <c r="C2458" s="13" t="s">
        <v>8256</v>
      </c>
      <c r="D2458" s="13" t="n">
        <v>6</v>
      </c>
      <c r="E2458" s="36" t="s">
        <v>7310</v>
      </c>
      <c r="F2458" s="13" t="s">
        <v>1298</v>
      </c>
      <c r="G2458" s="13" t="s">
        <v>563</v>
      </c>
      <c r="H2458" s="13" t="s">
        <v>3694</v>
      </c>
      <c r="I2458" s="13" t="s">
        <v>86</v>
      </c>
      <c r="J2458" s="13" t="s">
        <v>7307</v>
      </c>
      <c r="K2458" s="30" t="n">
        <v>6</v>
      </c>
      <c r="L2458" s="31" t="n">
        <v>46428</v>
      </c>
      <c r="M2458" s="31" t="n">
        <v>46433</v>
      </c>
      <c r="N2458" s="13"/>
      <c r="O2458" s="13"/>
      <c r="P2458" s="13"/>
      <c r="Q2458" s="13"/>
    </row>
    <row r="2459" customFormat="false" ht="15" hidden="false" customHeight="false" outlineLevel="0" collapsed="false">
      <c r="A2459" s="16" t="s">
        <v>8257</v>
      </c>
      <c r="B2459" s="16" t="n">
        <v>2454</v>
      </c>
      <c r="C2459" s="16" t="s">
        <v>8258</v>
      </c>
      <c r="D2459" s="16" t="n">
        <v>7</v>
      </c>
      <c r="E2459" s="37" t="s">
        <v>7313</v>
      </c>
      <c r="F2459" s="16" t="s">
        <v>1285</v>
      </c>
      <c r="G2459" s="16" t="s">
        <v>563</v>
      </c>
      <c r="H2459" s="16" t="s">
        <v>3694</v>
      </c>
      <c r="I2459" s="16" t="s">
        <v>86</v>
      </c>
      <c r="J2459" s="16" t="s">
        <v>7310</v>
      </c>
      <c r="K2459" s="32" t="n">
        <v>1</v>
      </c>
      <c r="L2459" s="33" t="n">
        <v>46428</v>
      </c>
      <c r="M2459" s="33" t="n">
        <v>46428</v>
      </c>
      <c r="N2459" s="16" t="s">
        <v>8259</v>
      </c>
      <c r="O2459" s="16"/>
      <c r="P2459" s="16" t="str">
        <f aca="false">IF(AND(L2459&lt;=$D$2,M2459&gt;=$C$2),"Sí","")</f>
        <v/>
      </c>
      <c r="Q2459" s="18" t="str">
        <f aca="false">IF(COUNTIF(LOOKAHEAD!$A$5:$A$604,A2459)&gt;0,"En Lookahead",IF(P2459="Sí","INCORPORAR",""))</f>
        <v/>
      </c>
    </row>
    <row r="2460" customFormat="false" ht="15" hidden="false" customHeight="false" outlineLevel="0" collapsed="false">
      <c r="A2460" s="16" t="s">
        <v>8260</v>
      </c>
      <c r="B2460" s="16" t="n">
        <v>2455</v>
      </c>
      <c r="C2460" s="16" t="s">
        <v>8261</v>
      </c>
      <c r="D2460" s="16" t="n">
        <v>7</v>
      </c>
      <c r="E2460" s="37" t="s">
        <v>7316</v>
      </c>
      <c r="F2460" s="16" t="s">
        <v>1285</v>
      </c>
      <c r="G2460" s="16" t="s">
        <v>563</v>
      </c>
      <c r="H2460" s="16" t="s">
        <v>3694</v>
      </c>
      <c r="I2460" s="16" t="s">
        <v>86</v>
      </c>
      <c r="J2460" s="16" t="s">
        <v>7310</v>
      </c>
      <c r="K2460" s="32" t="n">
        <v>2</v>
      </c>
      <c r="L2460" s="33" t="n">
        <v>46429</v>
      </c>
      <c r="M2460" s="33" t="n">
        <v>46430</v>
      </c>
      <c r="N2460" s="16" t="s">
        <v>8262</v>
      </c>
      <c r="O2460" s="16"/>
      <c r="P2460" s="16" t="str">
        <f aca="false">IF(AND(L2460&lt;=$D$2,M2460&gt;=$C$2),"Sí","")</f>
        <v/>
      </c>
      <c r="Q2460" s="18" t="str">
        <f aca="false">IF(COUNTIF(LOOKAHEAD!$A$5:$A$604,A2460)&gt;0,"En Lookahead",IF(P2460="Sí","INCORPORAR",""))</f>
        <v/>
      </c>
    </row>
    <row r="2461" customFormat="false" ht="15" hidden="false" customHeight="false" outlineLevel="0" collapsed="false">
      <c r="A2461" s="16" t="s">
        <v>8263</v>
      </c>
      <c r="B2461" s="16" t="n">
        <v>2456</v>
      </c>
      <c r="C2461" s="16" t="s">
        <v>8264</v>
      </c>
      <c r="D2461" s="16" t="n">
        <v>7</v>
      </c>
      <c r="E2461" s="37" t="s">
        <v>7631</v>
      </c>
      <c r="F2461" s="16" t="s">
        <v>1285</v>
      </c>
      <c r="G2461" s="16" t="s">
        <v>563</v>
      </c>
      <c r="H2461" s="16" t="s">
        <v>3694</v>
      </c>
      <c r="I2461" s="16" t="s">
        <v>86</v>
      </c>
      <c r="J2461" s="16" t="s">
        <v>7310</v>
      </c>
      <c r="K2461" s="32" t="n">
        <v>1</v>
      </c>
      <c r="L2461" s="33" t="n">
        <v>46431</v>
      </c>
      <c r="M2461" s="33" t="n">
        <v>46431</v>
      </c>
      <c r="N2461" s="16" t="s">
        <v>8265</v>
      </c>
      <c r="O2461" s="16"/>
      <c r="P2461" s="16" t="str">
        <f aca="false">IF(AND(L2461&lt;=$D$2,M2461&gt;=$C$2),"Sí","")</f>
        <v/>
      </c>
      <c r="Q2461" s="18" t="str">
        <f aca="false">IF(COUNTIF(LOOKAHEAD!$A$5:$A$604,A2461)&gt;0,"En Lookahead",IF(P2461="Sí","INCORPORAR",""))</f>
        <v/>
      </c>
    </row>
    <row r="2462" customFormat="false" ht="15" hidden="false" customHeight="false" outlineLevel="0" collapsed="false">
      <c r="A2462" s="16" t="s">
        <v>8266</v>
      </c>
      <c r="B2462" s="16" t="n">
        <v>2457</v>
      </c>
      <c r="C2462" s="16" t="s">
        <v>8267</v>
      </c>
      <c r="D2462" s="16" t="n">
        <v>7</v>
      </c>
      <c r="E2462" s="37" t="s">
        <v>8268</v>
      </c>
      <c r="F2462" s="16" t="s">
        <v>1285</v>
      </c>
      <c r="G2462" s="16" t="s">
        <v>563</v>
      </c>
      <c r="H2462" s="16" t="s">
        <v>3694</v>
      </c>
      <c r="I2462" s="16" t="s">
        <v>86</v>
      </c>
      <c r="J2462" s="16" t="s">
        <v>7310</v>
      </c>
      <c r="K2462" s="32" t="n">
        <v>1</v>
      </c>
      <c r="L2462" s="33" t="n">
        <v>46432</v>
      </c>
      <c r="M2462" s="33" t="n">
        <v>46432</v>
      </c>
      <c r="N2462" s="16" t="s">
        <v>8269</v>
      </c>
      <c r="O2462" s="16"/>
      <c r="P2462" s="16" t="str">
        <f aca="false">IF(AND(L2462&lt;=$D$2,M2462&gt;=$C$2),"Sí","")</f>
        <v/>
      </c>
      <c r="Q2462" s="18" t="str">
        <f aca="false">IF(COUNTIF(LOOKAHEAD!$A$5:$A$604,A2462)&gt;0,"En Lookahead",IF(P2462="Sí","INCORPORAR",""))</f>
        <v/>
      </c>
    </row>
    <row r="2463" customFormat="false" ht="15" hidden="false" customHeight="false" outlineLevel="0" collapsed="false">
      <c r="A2463" s="16" t="s">
        <v>8270</v>
      </c>
      <c r="B2463" s="16" t="n">
        <v>2458</v>
      </c>
      <c r="C2463" s="16" t="s">
        <v>8271</v>
      </c>
      <c r="D2463" s="16" t="n">
        <v>7</v>
      </c>
      <c r="E2463" s="37" t="s">
        <v>7651</v>
      </c>
      <c r="F2463" s="16" t="s">
        <v>1285</v>
      </c>
      <c r="G2463" s="16" t="s">
        <v>563</v>
      </c>
      <c r="H2463" s="16" t="s">
        <v>3694</v>
      </c>
      <c r="I2463" s="16" t="s">
        <v>86</v>
      </c>
      <c r="J2463" s="16" t="s">
        <v>7310</v>
      </c>
      <c r="K2463" s="32" t="n">
        <v>1</v>
      </c>
      <c r="L2463" s="33" t="n">
        <v>46433</v>
      </c>
      <c r="M2463" s="33" t="n">
        <v>46433</v>
      </c>
      <c r="N2463" s="16" t="s">
        <v>8272</v>
      </c>
      <c r="O2463" s="16"/>
      <c r="P2463" s="16" t="str">
        <f aca="false">IF(AND(L2463&lt;=$D$2,M2463&gt;=$C$2),"Sí","")</f>
        <v/>
      </c>
      <c r="Q2463" s="18" t="str">
        <f aca="false">IF(COUNTIF(LOOKAHEAD!$A$5:$A$604,A2463)&gt;0,"En Lookahead",IF(P2463="Sí","INCORPORAR",""))</f>
        <v/>
      </c>
    </row>
    <row r="2464" customFormat="false" ht="15" hidden="false" customHeight="false" outlineLevel="0" collapsed="false">
      <c r="A2464" s="13" t="s">
        <v>8273</v>
      </c>
      <c r="B2464" s="13" t="n">
        <v>2459</v>
      </c>
      <c r="C2464" s="13" t="s">
        <v>8274</v>
      </c>
      <c r="D2464" s="13" t="n">
        <v>5</v>
      </c>
      <c r="E2464" s="34" t="s">
        <v>7328</v>
      </c>
      <c r="F2464" s="13" t="s">
        <v>1298</v>
      </c>
      <c r="G2464" s="13" t="s">
        <v>563</v>
      </c>
      <c r="H2464" s="13" t="s">
        <v>3694</v>
      </c>
      <c r="I2464" s="13" t="s">
        <v>86</v>
      </c>
      <c r="J2464" s="13" t="s">
        <v>3694</v>
      </c>
      <c r="K2464" s="30" t="n">
        <v>13</v>
      </c>
      <c r="L2464" s="31" t="n">
        <v>46434</v>
      </c>
      <c r="M2464" s="31" t="n">
        <v>46446</v>
      </c>
      <c r="N2464" s="13"/>
      <c r="O2464" s="13"/>
      <c r="P2464" s="13"/>
      <c r="Q2464" s="13"/>
    </row>
    <row r="2465" customFormat="false" ht="15" hidden="false" customHeight="false" outlineLevel="0" collapsed="false">
      <c r="A2465" s="13" t="s">
        <v>8275</v>
      </c>
      <c r="B2465" s="13" t="n">
        <v>2460</v>
      </c>
      <c r="C2465" s="13" t="s">
        <v>8276</v>
      </c>
      <c r="D2465" s="13" t="n">
        <v>6</v>
      </c>
      <c r="E2465" s="36" t="s">
        <v>2137</v>
      </c>
      <c r="F2465" s="13" t="s">
        <v>1298</v>
      </c>
      <c r="G2465" s="13" t="s">
        <v>563</v>
      </c>
      <c r="H2465" s="13" t="s">
        <v>3694</v>
      </c>
      <c r="I2465" s="13" t="s">
        <v>86</v>
      </c>
      <c r="J2465" s="13" t="s">
        <v>7328</v>
      </c>
      <c r="K2465" s="30" t="n">
        <v>13</v>
      </c>
      <c r="L2465" s="31" t="n">
        <v>46434</v>
      </c>
      <c r="M2465" s="31" t="n">
        <v>46446</v>
      </c>
      <c r="N2465" s="13"/>
      <c r="O2465" s="13"/>
      <c r="P2465" s="13"/>
      <c r="Q2465" s="13"/>
    </row>
    <row r="2466" customFormat="false" ht="15" hidden="false" customHeight="false" outlineLevel="0" collapsed="false">
      <c r="A2466" s="16" t="s">
        <v>8277</v>
      </c>
      <c r="B2466" s="16" t="n">
        <v>2461</v>
      </c>
      <c r="C2466" s="16" t="s">
        <v>8278</v>
      </c>
      <c r="D2466" s="16" t="n">
        <v>7</v>
      </c>
      <c r="E2466" s="37" t="s">
        <v>7701</v>
      </c>
      <c r="F2466" s="16" t="s">
        <v>1285</v>
      </c>
      <c r="G2466" s="16" t="s">
        <v>563</v>
      </c>
      <c r="H2466" s="16" t="s">
        <v>3694</v>
      </c>
      <c r="I2466" s="16" t="s">
        <v>86</v>
      </c>
      <c r="J2466" s="16" t="s">
        <v>2137</v>
      </c>
      <c r="K2466" s="32" t="n">
        <v>1</v>
      </c>
      <c r="L2466" s="33" t="n">
        <v>46434</v>
      </c>
      <c r="M2466" s="33" t="n">
        <v>46434</v>
      </c>
      <c r="N2466" s="16" t="s">
        <v>8279</v>
      </c>
      <c r="O2466" s="16"/>
      <c r="P2466" s="16" t="str">
        <f aca="false">IF(AND(L2466&lt;=$D$2,M2466&gt;=$C$2),"Sí","")</f>
        <v/>
      </c>
      <c r="Q2466" s="18" t="str">
        <f aca="false">IF(COUNTIF(LOOKAHEAD!$A$5:$A$604,A2466)&gt;0,"En Lookahead",IF(P2466="Sí","INCORPORAR",""))</f>
        <v/>
      </c>
    </row>
    <row r="2467" customFormat="false" ht="15" hidden="false" customHeight="false" outlineLevel="0" collapsed="false">
      <c r="A2467" s="16" t="s">
        <v>8280</v>
      </c>
      <c r="B2467" s="16" t="n">
        <v>2462</v>
      </c>
      <c r="C2467" s="16" t="s">
        <v>8281</v>
      </c>
      <c r="D2467" s="16" t="n">
        <v>7</v>
      </c>
      <c r="E2467" s="37" t="s">
        <v>8282</v>
      </c>
      <c r="F2467" s="16" t="s">
        <v>1285</v>
      </c>
      <c r="G2467" s="16" t="s">
        <v>563</v>
      </c>
      <c r="H2467" s="16" t="s">
        <v>3694</v>
      </c>
      <c r="I2467" s="16" t="s">
        <v>86</v>
      </c>
      <c r="J2467" s="16" t="s">
        <v>2137</v>
      </c>
      <c r="K2467" s="32" t="n">
        <v>12</v>
      </c>
      <c r="L2467" s="33" t="n">
        <v>46435</v>
      </c>
      <c r="M2467" s="33" t="n">
        <v>46446</v>
      </c>
      <c r="N2467" s="16" t="s">
        <v>8283</v>
      </c>
      <c r="O2467" s="16"/>
      <c r="P2467" s="16" t="str">
        <f aca="false">IF(AND(L2467&lt;=$D$2,M2467&gt;=$C$2),"Sí","")</f>
        <v/>
      </c>
      <c r="Q2467" s="18" t="str">
        <f aca="false">IF(COUNTIF(LOOKAHEAD!$A$5:$A$604,A2467)&gt;0,"En Lookahead",IF(P2467="Sí","INCORPORAR",""))</f>
        <v/>
      </c>
    </row>
    <row r="2468" customFormat="false" ht="15" hidden="false" customHeight="false" outlineLevel="0" collapsed="false">
      <c r="A2468" s="13" t="s">
        <v>8284</v>
      </c>
      <c r="B2468" s="13" t="n">
        <v>2463</v>
      </c>
      <c r="C2468" s="13" t="s">
        <v>8285</v>
      </c>
      <c r="D2468" s="13" t="n">
        <v>5</v>
      </c>
      <c r="E2468" s="34" t="s">
        <v>7368</v>
      </c>
      <c r="F2468" s="13" t="s">
        <v>1298</v>
      </c>
      <c r="G2468" s="13" t="s">
        <v>563</v>
      </c>
      <c r="H2468" s="13" t="s">
        <v>3694</v>
      </c>
      <c r="I2468" s="13" t="s">
        <v>86</v>
      </c>
      <c r="J2468" s="13" t="s">
        <v>3694</v>
      </c>
      <c r="K2468" s="30" t="n">
        <v>135</v>
      </c>
      <c r="L2468" s="31" t="n">
        <v>46447</v>
      </c>
      <c r="M2468" s="31" t="n">
        <v>46581</v>
      </c>
      <c r="N2468" s="13"/>
      <c r="O2468" s="13"/>
      <c r="P2468" s="13"/>
      <c r="Q2468" s="13"/>
    </row>
    <row r="2469" customFormat="false" ht="15" hidden="false" customHeight="false" outlineLevel="0" collapsed="false">
      <c r="A2469" s="13" t="s">
        <v>8286</v>
      </c>
      <c r="B2469" s="13" t="n">
        <v>2464</v>
      </c>
      <c r="C2469" s="13" t="s">
        <v>8287</v>
      </c>
      <c r="D2469" s="13" t="n">
        <v>6</v>
      </c>
      <c r="E2469" s="36" t="s">
        <v>7310</v>
      </c>
      <c r="F2469" s="13" t="s">
        <v>1298</v>
      </c>
      <c r="G2469" s="13" t="s">
        <v>563</v>
      </c>
      <c r="H2469" s="13" t="s">
        <v>3694</v>
      </c>
      <c r="I2469" s="13" t="s">
        <v>86</v>
      </c>
      <c r="J2469" s="13" t="s">
        <v>7368</v>
      </c>
      <c r="K2469" s="30" t="n">
        <v>15</v>
      </c>
      <c r="L2469" s="31" t="n">
        <v>46447</v>
      </c>
      <c r="M2469" s="31" t="n">
        <v>46461</v>
      </c>
      <c r="N2469" s="13"/>
      <c r="O2469" s="13"/>
      <c r="P2469" s="13"/>
      <c r="Q2469" s="13"/>
    </row>
    <row r="2470" customFormat="false" ht="15" hidden="false" customHeight="false" outlineLevel="0" collapsed="false">
      <c r="A2470" s="16" t="s">
        <v>8288</v>
      </c>
      <c r="B2470" s="16" t="n">
        <v>2465</v>
      </c>
      <c r="C2470" s="16" t="s">
        <v>8289</v>
      </c>
      <c r="D2470" s="16" t="n">
        <v>7</v>
      </c>
      <c r="E2470" s="37" t="s">
        <v>7376</v>
      </c>
      <c r="F2470" s="16" t="s">
        <v>1285</v>
      </c>
      <c r="G2470" s="16" t="s">
        <v>563</v>
      </c>
      <c r="H2470" s="16" t="s">
        <v>3694</v>
      </c>
      <c r="I2470" s="16" t="s">
        <v>86</v>
      </c>
      <c r="J2470" s="16" t="s">
        <v>7310</v>
      </c>
      <c r="K2470" s="32" t="n">
        <v>13</v>
      </c>
      <c r="L2470" s="33" t="n">
        <v>46447</v>
      </c>
      <c r="M2470" s="33" t="n">
        <v>46459</v>
      </c>
      <c r="N2470" s="16" t="s">
        <v>8290</v>
      </c>
      <c r="O2470" s="16"/>
      <c r="P2470" s="16" t="str">
        <f aca="false">IF(AND(L2470&lt;=$D$2,M2470&gt;=$C$2),"Sí","")</f>
        <v/>
      </c>
      <c r="Q2470" s="18" t="str">
        <f aca="false">IF(COUNTIF(LOOKAHEAD!$A$5:$A$604,A2470)&gt;0,"En Lookahead",IF(P2470="Sí","INCORPORAR",""))</f>
        <v/>
      </c>
    </row>
    <row r="2471" customFormat="false" ht="15" hidden="false" customHeight="false" outlineLevel="0" collapsed="false">
      <c r="A2471" s="16" t="s">
        <v>8291</v>
      </c>
      <c r="B2471" s="16" t="n">
        <v>2466</v>
      </c>
      <c r="C2471" s="16" t="s">
        <v>8292</v>
      </c>
      <c r="D2471" s="16" t="n">
        <v>7</v>
      </c>
      <c r="E2471" s="37" t="s">
        <v>7380</v>
      </c>
      <c r="F2471" s="16" t="s">
        <v>1285</v>
      </c>
      <c r="G2471" s="16" t="s">
        <v>563</v>
      </c>
      <c r="H2471" s="16" t="s">
        <v>3694</v>
      </c>
      <c r="I2471" s="16" t="s">
        <v>86</v>
      </c>
      <c r="J2471" s="16" t="s">
        <v>7310</v>
      </c>
      <c r="K2471" s="32" t="n">
        <v>1</v>
      </c>
      <c r="L2471" s="33" t="n">
        <v>46460</v>
      </c>
      <c r="M2471" s="33" t="n">
        <v>46460</v>
      </c>
      <c r="N2471" s="16" t="s">
        <v>8293</v>
      </c>
      <c r="O2471" s="16"/>
      <c r="P2471" s="16" t="str">
        <f aca="false">IF(AND(L2471&lt;=$D$2,M2471&gt;=$C$2),"Sí","")</f>
        <v/>
      </c>
      <c r="Q2471" s="18" t="str">
        <f aca="false">IF(COUNTIF(LOOKAHEAD!$A$5:$A$604,A2471)&gt;0,"En Lookahead",IF(P2471="Sí","INCORPORAR",""))</f>
        <v/>
      </c>
    </row>
    <row r="2472" customFormat="false" ht="15" hidden="false" customHeight="false" outlineLevel="0" collapsed="false">
      <c r="A2472" s="16" t="s">
        <v>8294</v>
      </c>
      <c r="B2472" s="16" t="n">
        <v>2467</v>
      </c>
      <c r="C2472" s="16" t="s">
        <v>8295</v>
      </c>
      <c r="D2472" s="16" t="n">
        <v>7</v>
      </c>
      <c r="E2472" s="37" t="s">
        <v>8296</v>
      </c>
      <c r="F2472" s="16" t="s">
        <v>1285</v>
      </c>
      <c r="G2472" s="16" t="s">
        <v>563</v>
      </c>
      <c r="H2472" s="16" t="s">
        <v>3694</v>
      </c>
      <c r="I2472" s="16" t="s">
        <v>86</v>
      </c>
      <c r="J2472" s="16" t="s">
        <v>7310</v>
      </c>
      <c r="K2472" s="32" t="n">
        <v>1</v>
      </c>
      <c r="L2472" s="33" t="n">
        <v>46461</v>
      </c>
      <c r="M2472" s="33" t="n">
        <v>46461</v>
      </c>
      <c r="N2472" s="16" t="s">
        <v>8297</v>
      </c>
      <c r="O2472" s="16"/>
      <c r="P2472" s="16" t="str">
        <f aca="false">IF(AND(L2472&lt;=$D$2,M2472&gt;=$C$2),"Sí","")</f>
        <v/>
      </c>
      <c r="Q2472" s="18" t="str">
        <f aca="false">IF(COUNTIF(LOOKAHEAD!$A$5:$A$604,A2472)&gt;0,"En Lookahead",IF(P2472="Sí","INCORPORAR",""))</f>
        <v/>
      </c>
    </row>
    <row r="2473" customFormat="false" ht="15" hidden="false" customHeight="false" outlineLevel="0" collapsed="false">
      <c r="A2473" s="13" t="s">
        <v>8298</v>
      </c>
      <c r="B2473" s="13" t="n">
        <v>2468</v>
      </c>
      <c r="C2473" s="13" t="s">
        <v>8299</v>
      </c>
      <c r="D2473" s="13" t="n">
        <v>6</v>
      </c>
      <c r="E2473" s="36" t="s">
        <v>7349</v>
      </c>
      <c r="F2473" s="13" t="s">
        <v>1298</v>
      </c>
      <c r="G2473" s="13" t="s">
        <v>563</v>
      </c>
      <c r="H2473" s="13" t="s">
        <v>3694</v>
      </c>
      <c r="I2473" s="13" t="s">
        <v>86</v>
      </c>
      <c r="J2473" s="13" t="s">
        <v>7368</v>
      </c>
      <c r="K2473" s="30" t="n">
        <v>30</v>
      </c>
      <c r="L2473" s="31" t="n">
        <v>46462</v>
      </c>
      <c r="M2473" s="31" t="n">
        <v>46491</v>
      </c>
      <c r="N2473" s="13"/>
      <c r="O2473" s="13"/>
      <c r="P2473" s="13"/>
      <c r="Q2473" s="13"/>
    </row>
    <row r="2474" customFormat="false" ht="15" hidden="false" customHeight="false" outlineLevel="0" collapsed="false">
      <c r="A2474" s="16" t="s">
        <v>8300</v>
      </c>
      <c r="B2474" s="16" t="n">
        <v>2469</v>
      </c>
      <c r="C2474" s="16" t="s">
        <v>8301</v>
      </c>
      <c r="D2474" s="16" t="n">
        <v>7</v>
      </c>
      <c r="E2474" s="37" t="s">
        <v>8302</v>
      </c>
      <c r="F2474" s="16" t="s">
        <v>1285</v>
      </c>
      <c r="G2474" s="16" t="s">
        <v>563</v>
      </c>
      <c r="H2474" s="16" t="s">
        <v>3694</v>
      </c>
      <c r="I2474" s="16" t="s">
        <v>86</v>
      </c>
      <c r="J2474" s="16" t="s">
        <v>7349</v>
      </c>
      <c r="K2474" s="32" t="n">
        <v>30</v>
      </c>
      <c r="L2474" s="33" t="n">
        <v>46462</v>
      </c>
      <c r="M2474" s="33" t="n">
        <v>46491</v>
      </c>
      <c r="N2474" s="16" t="s">
        <v>8303</v>
      </c>
      <c r="O2474" s="16"/>
      <c r="P2474" s="16" t="str">
        <f aca="false">IF(AND(L2474&lt;=$D$2,M2474&gt;=$C$2),"Sí","")</f>
        <v/>
      </c>
      <c r="Q2474" s="18" t="str">
        <f aca="false">IF(COUNTIF(LOOKAHEAD!$A$5:$A$604,A2474)&gt;0,"En Lookahead",IF(P2474="Sí","INCORPORAR",""))</f>
        <v/>
      </c>
    </row>
    <row r="2475" customFormat="false" ht="15" hidden="false" customHeight="false" outlineLevel="0" collapsed="false">
      <c r="A2475" s="13" t="s">
        <v>8304</v>
      </c>
      <c r="B2475" s="13" t="n">
        <v>2470</v>
      </c>
      <c r="C2475" s="13" t="s">
        <v>8305</v>
      </c>
      <c r="D2475" s="13" t="n">
        <v>6</v>
      </c>
      <c r="E2475" s="36" t="s">
        <v>7960</v>
      </c>
      <c r="F2475" s="13" t="s">
        <v>1298</v>
      </c>
      <c r="G2475" s="13" t="s">
        <v>563</v>
      </c>
      <c r="H2475" s="13" t="s">
        <v>3694</v>
      </c>
      <c r="I2475" s="13" t="s">
        <v>86</v>
      </c>
      <c r="J2475" s="13" t="s">
        <v>7368</v>
      </c>
      <c r="K2475" s="30" t="n">
        <v>20</v>
      </c>
      <c r="L2475" s="31" t="n">
        <v>46492</v>
      </c>
      <c r="M2475" s="31" t="n">
        <v>46511</v>
      </c>
      <c r="N2475" s="13"/>
      <c r="O2475" s="13"/>
      <c r="P2475" s="13"/>
      <c r="Q2475" s="13"/>
    </row>
    <row r="2476" customFormat="false" ht="15" hidden="false" customHeight="false" outlineLevel="0" collapsed="false">
      <c r="A2476" s="16" t="s">
        <v>8306</v>
      </c>
      <c r="B2476" s="16" t="n">
        <v>2471</v>
      </c>
      <c r="C2476" s="16" t="s">
        <v>8307</v>
      </c>
      <c r="D2476" s="16" t="n">
        <v>7</v>
      </c>
      <c r="E2476" s="37" t="s">
        <v>7739</v>
      </c>
      <c r="F2476" s="16" t="s">
        <v>1285</v>
      </c>
      <c r="G2476" s="16" t="s">
        <v>563</v>
      </c>
      <c r="H2476" s="16" t="s">
        <v>3694</v>
      </c>
      <c r="I2476" s="16" t="s">
        <v>86</v>
      </c>
      <c r="J2476" s="16" t="s">
        <v>7960</v>
      </c>
      <c r="K2476" s="32" t="n">
        <v>20</v>
      </c>
      <c r="L2476" s="33" t="n">
        <v>46492</v>
      </c>
      <c r="M2476" s="33" t="n">
        <v>46511</v>
      </c>
      <c r="N2476" s="16" t="s">
        <v>8308</v>
      </c>
      <c r="O2476" s="16"/>
      <c r="P2476" s="16" t="str">
        <f aca="false">IF(AND(L2476&lt;=$D$2,M2476&gt;=$C$2),"Sí","")</f>
        <v/>
      </c>
      <c r="Q2476" s="18" t="str">
        <f aca="false">IF(COUNTIF(LOOKAHEAD!$A$5:$A$604,A2476)&gt;0,"En Lookahead",IF(P2476="Sí","INCORPORAR",""))</f>
        <v/>
      </c>
    </row>
    <row r="2477" customFormat="false" ht="15" hidden="false" customHeight="false" outlineLevel="0" collapsed="false">
      <c r="A2477" s="13" t="s">
        <v>8309</v>
      </c>
      <c r="B2477" s="13" t="n">
        <v>2472</v>
      </c>
      <c r="C2477" s="13" t="s">
        <v>8310</v>
      </c>
      <c r="D2477" s="13" t="n">
        <v>6</v>
      </c>
      <c r="E2477" s="36" t="s">
        <v>7966</v>
      </c>
      <c r="F2477" s="13" t="s">
        <v>1298</v>
      </c>
      <c r="G2477" s="13" t="s">
        <v>563</v>
      </c>
      <c r="H2477" s="13" t="s">
        <v>3694</v>
      </c>
      <c r="I2477" s="13" t="s">
        <v>86</v>
      </c>
      <c r="J2477" s="13" t="s">
        <v>7368</v>
      </c>
      <c r="K2477" s="30" t="n">
        <v>2</v>
      </c>
      <c r="L2477" s="31" t="n">
        <v>46512</v>
      </c>
      <c r="M2477" s="31" t="n">
        <v>46513</v>
      </c>
      <c r="N2477" s="13"/>
      <c r="O2477" s="13"/>
      <c r="P2477" s="13"/>
      <c r="Q2477" s="13"/>
    </row>
    <row r="2478" customFormat="false" ht="15" hidden="false" customHeight="false" outlineLevel="0" collapsed="false">
      <c r="A2478" s="16" t="s">
        <v>8311</v>
      </c>
      <c r="B2478" s="16" t="n">
        <v>2473</v>
      </c>
      <c r="C2478" s="16" t="s">
        <v>8312</v>
      </c>
      <c r="D2478" s="16" t="n">
        <v>7</v>
      </c>
      <c r="E2478" s="37" t="s">
        <v>7405</v>
      </c>
      <c r="F2478" s="16" t="s">
        <v>1285</v>
      </c>
      <c r="G2478" s="16" t="s">
        <v>563</v>
      </c>
      <c r="H2478" s="16" t="s">
        <v>3694</v>
      </c>
      <c r="I2478" s="16" t="s">
        <v>86</v>
      </c>
      <c r="J2478" s="16" t="s">
        <v>7966</v>
      </c>
      <c r="K2478" s="32" t="n">
        <v>2</v>
      </c>
      <c r="L2478" s="33" t="n">
        <v>46512</v>
      </c>
      <c r="M2478" s="33" t="n">
        <v>46513</v>
      </c>
      <c r="N2478" s="16" t="s">
        <v>8313</v>
      </c>
      <c r="O2478" s="16"/>
      <c r="P2478" s="16" t="str">
        <f aca="false">IF(AND(L2478&lt;=$D$2,M2478&gt;=$C$2),"Sí","")</f>
        <v/>
      </c>
      <c r="Q2478" s="18" t="str">
        <f aca="false">IF(COUNTIF(LOOKAHEAD!$A$5:$A$604,A2478)&gt;0,"En Lookahead",IF(P2478="Sí","INCORPORAR",""))</f>
        <v/>
      </c>
    </row>
    <row r="2479" customFormat="false" ht="15" hidden="false" customHeight="false" outlineLevel="0" collapsed="false">
      <c r="A2479" s="13" t="s">
        <v>8314</v>
      </c>
      <c r="B2479" s="13" t="n">
        <v>2474</v>
      </c>
      <c r="C2479" s="13" t="s">
        <v>8315</v>
      </c>
      <c r="D2479" s="13" t="n">
        <v>6</v>
      </c>
      <c r="E2479" s="36" t="s">
        <v>8316</v>
      </c>
      <c r="F2479" s="13" t="s">
        <v>1298</v>
      </c>
      <c r="G2479" s="13" t="s">
        <v>563</v>
      </c>
      <c r="H2479" s="13" t="s">
        <v>3694</v>
      </c>
      <c r="I2479" s="13" t="s">
        <v>86</v>
      </c>
      <c r="J2479" s="13" t="s">
        <v>7368</v>
      </c>
      <c r="K2479" s="30" t="n">
        <v>68</v>
      </c>
      <c r="L2479" s="31" t="n">
        <v>46514</v>
      </c>
      <c r="M2479" s="31" t="n">
        <v>46581</v>
      </c>
      <c r="N2479" s="13"/>
      <c r="O2479" s="13"/>
      <c r="P2479" s="13"/>
      <c r="Q2479" s="13"/>
    </row>
    <row r="2480" customFormat="false" ht="15" hidden="false" customHeight="false" outlineLevel="0" collapsed="false">
      <c r="A2480" s="16" t="s">
        <v>8317</v>
      </c>
      <c r="B2480" s="16" t="n">
        <v>2475</v>
      </c>
      <c r="C2480" s="16" t="s">
        <v>8318</v>
      </c>
      <c r="D2480" s="16" t="n">
        <v>7</v>
      </c>
      <c r="E2480" s="37" t="s">
        <v>7412</v>
      </c>
      <c r="F2480" s="16" t="s">
        <v>1285</v>
      </c>
      <c r="G2480" s="16" t="s">
        <v>563</v>
      </c>
      <c r="H2480" s="16" t="s">
        <v>3694</v>
      </c>
      <c r="I2480" s="16" t="s">
        <v>86</v>
      </c>
      <c r="J2480" s="16" t="s">
        <v>8316</v>
      </c>
      <c r="K2480" s="32" t="n">
        <v>68</v>
      </c>
      <c r="L2480" s="33" t="n">
        <v>46514</v>
      </c>
      <c r="M2480" s="33" t="n">
        <v>46581</v>
      </c>
      <c r="N2480" s="16" t="s">
        <v>8319</v>
      </c>
      <c r="O2480" s="16"/>
      <c r="P2480" s="16" t="str">
        <f aca="false">IF(AND(L2480&lt;=$D$2,M2480&gt;=$C$2),"Sí","")</f>
        <v/>
      </c>
      <c r="Q2480" s="18" t="str">
        <f aca="false">IF(COUNTIF(LOOKAHEAD!$A$5:$A$604,A2480)&gt;0,"En Lookahead",IF(P2480="Sí","INCORPORAR",""))</f>
        <v/>
      </c>
    </row>
    <row r="2481" customFormat="false" ht="15" hidden="false" customHeight="false" outlineLevel="0" collapsed="false">
      <c r="A2481" s="13" t="s">
        <v>8320</v>
      </c>
      <c r="B2481" s="13" t="n">
        <v>2476</v>
      </c>
      <c r="C2481" s="13" t="s">
        <v>8321</v>
      </c>
      <c r="D2481" s="13" t="n">
        <v>5</v>
      </c>
      <c r="E2481" s="34" t="s">
        <v>7416</v>
      </c>
      <c r="F2481" s="13" t="s">
        <v>1298</v>
      </c>
      <c r="G2481" s="13" t="s">
        <v>563</v>
      </c>
      <c r="H2481" s="13" t="s">
        <v>3694</v>
      </c>
      <c r="I2481" s="13" t="s">
        <v>86</v>
      </c>
      <c r="J2481" s="13" t="s">
        <v>3694</v>
      </c>
      <c r="K2481" s="30" t="n">
        <v>93</v>
      </c>
      <c r="L2481" s="31" t="n">
        <v>46348</v>
      </c>
      <c r="M2481" s="31" t="n">
        <v>46440</v>
      </c>
      <c r="N2481" s="13"/>
      <c r="O2481" s="13"/>
      <c r="P2481" s="13"/>
      <c r="Q2481" s="13"/>
    </row>
    <row r="2482" customFormat="false" ht="15" hidden="false" customHeight="false" outlineLevel="0" collapsed="false">
      <c r="A2482" s="16" t="s">
        <v>8322</v>
      </c>
      <c r="B2482" s="16" t="n">
        <v>2477</v>
      </c>
      <c r="C2482" s="16" t="s">
        <v>8323</v>
      </c>
      <c r="D2482" s="16" t="n">
        <v>6</v>
      </c>
      <c r="E2482" s="35" t="s">
        <v>7419</v>
      </c>
      <c r="F2482" s="16" t="s">
        <v>1285</v>
      </c>
      <c r="G2482" s="16" t="s">
        <v>563</v>
      </c>
      <c r="H2482" s="16" t="s">
        <v>3694</v>
      </c>
      <c r="I2482" s="16" t="s">
        <v>86</v>
      </c>
      <c r="J2482" s="16" t="s">
        <v>7416</v>
      </c>
      <c r="K2482" s="32" t="n">
        <v>26</v>
      </c>
      <c r="L2482" s="33" t="n">
        <v>46348</v>
      </c>
      <c r="M2482" s="33" t="n">
        <v>46373</v>
      </c>
      <c r="N2482" s="16" t="s">
        <v>8205</v>
      </c>
      <c r="O2482" s="16"/>
      <c r="P2482" s="16" t="str">
        <f aca="false">IF(AND(L2482&lt;=$D$2,M2482&gt;=$C$2),"Sí","")</f>
        <v/>
      </c>
      <c r="Q2482" s="18" t="str">
        <f aca="false">IF(COUNTIF(LOOKAHEAD!$A$5:$A$604,A2482)&gt;0,"En Lookahead",IF(P2482="Sí","INCORPORAR",""))</f>
        <v/>
      </c>
    </row>
    <row r="2483" customFormat="false" ht="15" hidden="false" customHeight="false" outlineLevel="0" collapsed="false">
      <c r="A2483" s="16" t="s">
        <v>8324</v>
      </c>
      <c r="B2483" s="16" t="n">
        <v>2478</v>
      </c>
      <c r="C2483" s="16" t="s">
        <v>8325</v>
      </c>
      <c r="D2483" s="16" t="n">
        <v>6</v>
      </c>
      <c r="E2483" s="35" t="s">
        <v>7422</v>
      </c>
      <c r="F2483" s="16" t="s">
        <v>1285</v>
      </c>
      <c r="G2483" s="16" t="s">
        <v>563</v>
      </c>
      <c r="H2483" s="16" t="s">
        <v>3694</v>
      </c>
      <c r="I2483" s="16" t="s">
        <v>86</v>
      </c>
      <c r="J2483" s="16" t="s">
        <v>7416</v>
      </c>
      <c r="K2483" s="32" t="n">
        <v>28</v>
      </c>
      <c r="L2483" s="33" t="n">
        <v>46374</v>
      </c>
      <c r="M2483" s="33" t="n">
        <v>46401</v>
      </c>
      <c r="N2483" s="16" t="s">
        <v>8326</v>
      </c>
      <c r="O2483" s="16"/>
      <c r="P2483" s="16" t="str">
        <f aca="false">IF(AND(L2483&lt;=$D$2,M2483&gt;=$C$2),"Sí","")</f>
        <v/>
      </c>
      <c r="Q2483" s="18" t="str">
        <f aca="false">IF(COUNTIF(LOOKAHEAD!$A$5:$A$604,A2483)&gt;0,"En Lookahead",IF(P2483="Sí","INCORPORAR",""))</f>
        <v/>
      </c>
    </row>
    <row r="2484" customFormat="false" ht="15" hidden="false" customHeight="false" outlineLevel="0" collapsed="false">
      <c r="A2484" s="16" t="s">
        <v>8327</v>
      </c>
      <c r="B2484" s="16" t="n">
        <v>2479</v>
      </c>
      <c r="C2484" s="16" t="s">
        <v>8328</v>
      </c>
      <c r="D2484" s="16" t="n">
        <v>6</v>
      </c>
      <c r="E2484" s="35" t="s">
        <v>7429</v>
      </c>
      <c r="F2484" s="16" t="s">
        <v>1285</v>
      </c>
      <c r="G2484" s="16" t="s">
        <v>563</v>
      </c>
      <c r="H2484" s="16" t="s">
        <v>3694</v>
      </c>
      <c r="I2484" s="16" t="s">
        <v>86</v>
      </c>
      <c r="J2484" s="16" t="s">
        <v>7416</v>
      </c>
      <c r="K2484" s="32" t="n">
        <v>1</v>
      </c>
      <c r="L2484" s="33" t="n">
        <v>46434</v>
      </c>
      <c r="M2484" s="33" t="n">
        <v>46434</v>
      </c>
      <c r="N2484" s="16" t="s">
        <v>8279</v>
      </c>
      <c r="O2484" s="16"/>
      <c r="P2484" s="16" t="str">
        <f aca="false">IF(AND(L2484&lt;=$D$2,M2484&gt;=$C$2),"Sí","")</f>
        <v/>
      </c>
      <c r="Q2484" s="18" t="str">
        <f aca="false">IF(COUNTIF(LOOKAHEAD!$A$5:$A$604,A2484)&gt;0,"En Lookahead",IF(P2484="Sí","INCORPORAR",""))</f>
        <v/>
      </c>
    </row>
    <row r="2485" customFormat="false" ht="15" hidden="false" customHeight="false" outlineLevel="0" collapsed="false">
      <c r="A2485" s="16" t="s">
        <v>8329</v>
      </c>
      <c r="B2485" s="16" t="n">
        <v>2480</v>
      </c>
      <c r="C2485" s="16" t="s">
        <v>8330</v>
      </c>
      <c r="D2485" s="16" t="n">
        <v>6</v>
      </c>
      <c r="E2485" s="35" t="s">
        <v>7432</v>
      </c>
      <c r="F2485" s="16" t="s">
        <v>1285</v>
      </c>
      <c r="G2485" s="16" t="s">
        <v>563</v>
      </c>
      <c r="H2485" s="16" t="s">
        <v>3694</v>
      </c>
      <c r="I2485" s="16" t="s">
        <v>86</v>
      </c>
      <c r="J2485" s="16" t="s">
        <v>7416</v>
      </c>
      <c r="K2485" s="32" t="n">
        <v>6</v>
      </c>
      <c r="L2485" s="33" t="n">
        <v>46435</v>
      </c>
      <c r="M2485" s="33" t="n">
        <v>46440</v>
      </c>
      <c r="N2485" s="16" t="s">
        <v>8331</v>
      </c>
      <c r="O2485" s="16"/>
      <c r="P2485" s="16" t="str">
        <f aca="false">IF(AND(L2485&lt;=$D$2,M2485&gt;=$C$2),"Sí","")</f>
        <v/>
      </c>
      <c r="Q2485" s="18" t="str">
        <f aca="false">IF(COUNTIF(LOOKAHEAD!$A$5:$A$604,A2485)&gt;0,"En Lookahead",IF(P2485="Sí","INCORPORAR",""))</f>
        <v/>
      </c>
    </row>
    <row r="2486" customFormat="false" ht="15" hidden="false" customHeight="false" outlineLevel="0" collapsed="false">
      <c r="A2486" s="13" t="s">
        <v>8332</v>
      </c>
      <c r="B2486" s="13" t="n">
        <v>2481</v>
      </c>
      <c r="C2486" s="13" t="s">
        <v>8333</v>
      </c>
      <c r="D2486" s="13" t="n">
        <v>5</v>
      </c>
      <c r="E2486" s="34" t="s">
        <v>7440</v>
      </c>
      <c r="F2486" s="13" t="s">
        <v>1298</v>
      </c>
      <c r="G2486" s="13" t="s">
        <v>563</v>
      </c>
      <c r="H2486" s="13" t="s">
        <v>3694</v>
      </c>
      <c r="I2486" s="13" t="s">
        <v>86</v>
      </c>
      <c r="J2486" s="13" t="s">
        <v>3694</v>
      </c>
      <c r="K2486" s="30" t="n">
        <v>41</v>
      </c>
      <c r="L2486" s="31" t="n">
        <v>46441</v>
      </c>
      <c r="M2486" s="31" t="n">
        <v>46481</v>
      </c>
      <c r="N2486" s="13"/>
      <c r="O2486" s="13"/>
      <c r="P2486" s="13"/>
      <c r="Q2486" s="13"/>
    </row>
    <row r="2487" customFormat="false" ht="15" hidden="false" customHeight="false" outlineLevel="0" collapsed="false">
      <c r="A2487" s="16" t="s">
        <v>8334</v>
      </c>
      <c r="B2487" s="16" t="n">
        <v>2482</v>
      </c>
      <c r="C2487" s="16" t="s">
        <v>8335</v>
      </c>
      <c r="D2487" s="16" t="n">
        <v>6</v>
      </c>
      <c r="E2487" s="35" t="s">
        <v>7991</v>
      </c>
      <c r="F2487" s="16" t="s">
        <v>1285</v>
      </c>
      <c r="G2487" s="16" t="s">
        <v>563</v>
      </c>
      <c r="H2487" s="16" t="s">
        <v>3694</v>
      </c>
      <c r="I2487" s="16" t="s">
        <v>86</v>
      </c>
      <c r="J2487" s="16" t="s">
        <v>7440</v>
      </c>
      <c r="K2487" s="32" t="n">
        <v>1</v>
      </c>
      <c r="L2487" s="33" t="n">
        <v>46441</v>
      </c>
      <c r="M2487" s="33" t="n">
        <v>46441</v>
      </c>
      <c r="N2487" s="16" t="s">
        <v>8336</v>
      </c>
      <c r="O2487" s="16"/>
      <c r="P2487" s="16" t="str">
        <f aca="false">IF(AND(L2487&lt;=$D$2,M2487&gt;=$C$2),"Sí","")</f>
        <v/>
      </c>
      <c r="Q2487" s="18" t="str">
        <f aca="false">IF(COUNTIF(LOOKAHEAD!$A$5:$A$604,A2487)&gt;0,"En Lookahead",IF(P2487="Sí","INCORPORAR",""))</f>
        <v/>
      </c>
    </row>
    <row r="2488" customFormat="false" ht="15" hidden="false" customHeight="false" outlineLevel="0" collapsed="false">
      <c r="A2488" s="16" t="s">
        <v>8337</v>
      </c>
      <c r="B2488" s="16" t="n">
        <v>2483</v>
      </c>
      <c r="C2488" s="16" t="s">
        <v>8338</v>
      </c>
      <c r="D2488" s="16" t="n">
        <v>6</v>
      </c>
      <c r="E2488" s="35" t="s">
        <v>7774</v>
      </c>
      <c r="F2488" s="16" t="s">
        <v>1285</v>
      </c>
      <c r="G2488" s="16" t="s">
        <v>563</v>
      </c>
      <c r="H2488" s="16" t="s">
        <v>3694</v>
      </c>
      <c r="I2488" s="16" t="s">
        <v>86</v>
      </c>
      <c r="J2488" s="16" t="s">
        <v>7440</v>
      </c>
      <c r="K2488" s="32" t="n">
        <v>5</v>
      </c>
      <c r="L2488" s="33" t="n">
        <v>46442</v>
      </c>
      <c r="M2488" s="33" t="n">
        <v>46446</v>
      </c>
      <c r="N2488" s="16" t="s">
        <v>8339</v>
      </c>
      <c r="O2488" s="16"/>
      <c r="P2488" s="16" t="str">
        <f aca="false">IF(AND(L2488&lt;=$D$2,M2488&gt;=$C$2),"Sí","")</f>
        <v/>
      </c>
      <c r="Q2488" s="18" t="str">
        <f aca="false">IF(COUNTIF(LOOKAHEAD!$A$5:$A$604,A2488)&gt;0,"En Lookahead",IF(P2488="Sí","INCORPORAR",""))</f>
        <v/>
      </c>
    </row>
    <row r="2489" customFormat="false" ht="15" hidden="false" customHeight="false" outlineLevel="0" collapsed="false">
      <c r="A2489" s="16" t="s">
        <v>8340</v>
      </c>
      <c r="B2489" s="16" t="n">
        <v>2484</v>
      </c>
      <c r="C2489" s="16" t="s">
        <v>8341</v>
      </c>
      <c r="D2489" s="16" t="n">
        <v>6</v>
      </c>
      <c r="E2489" s="35" t="s">
        <v>7451</v>
      </c>
      <c r="F2489" s="16" t="s">
        <v>1285</v>
      </c>
      <c r="G2489" s="16" t="s">
        <v>563</v>
      </c>
      <c r="H2489" s="16" t="s">
        <v>3694</v>
      </c>
      <c r="I2489" s="16" t="s">
        <v>86</v>
      </c>
      <c r="J2489" s="16" t="s">
        <v>7440</v>
      </c>
      <c r="K2489" s="32" t="n">
        <v>11</v>
      </c>
      <c r="L2489" s="33" t="n">
        <v>46471</v>
      </c>
      <c r="M2489" s="33" t="n">
        <v>46481</v>
      </c>
      <c r="N2489" s="16" t="s">
        <v>8342</v>
      </c>
      <c r="O2489" s="16"/>
      <c r="P2489" s="16" t="str">
        <f aca="false">IF(AND(L2489&lt;=$D$2,M2489&gt;=$C$2),"Sí","")</f>
        <v/>
      </c>
      <c r="Q2489" s="18" t="str">
        <f aca="false">IF(COUNTIF(LOOKAHEAD!$A$5:$A$604,A2489)&gt;0,"En Lookahead",IF(P2489="Sí","INCORPORAR",""))</f>
        <v/>
      </c>
    </row>
    <row r="2490" customFormat="false" ht="15" hidden="false" customHeight="false" outlineLevel="0" collapsed="false">
      <c r="A2490" s="13" t="s">
        <v>8343</v>
      </c>
      <c r="B2490" s="13" t="n">
        <v>2485</v>
      </c>
      <c r="C2490" s="13" t="s">
        <v>8344</v>
      </c>
      <c r="D2490" s="13" t="n">
        <v>5</v>
      </c>
      <c r="E2490" s="34" t="s">
        <v>7455</v>
      </c>
      <c r="F2490" s="13" t="s">
        <v>1298</v>
      </c>
      <c r="G2490" s="13" t="s">
        <v>563</v>
      </c>
      <c r="H2490" s="13" t="s">
        <v>3694</v>
      </c>
      <c r="I2490" s="13" t="s">
        <v>86</v>
      </c>
      <c r="J2490" s="13" t="s">
        <v>3694</v>
      </c>
      <c r="K2490" s="30" t="n">
        <v>7</v>
      </c>
      <c r="L2490" s="31" t="n">
        <v>46482</v>
      </c>
      <c r="M2490" s="31" t="n">
        <v>46488</v>
      </c>
      <c r="N2490" s="13"/>
      <c r="O2490" s="13"/>
      <c r="P2490" s="13"/>
      <c r="Q2490" s="13"/>
    </row>
    <row r="2491" customFormat="false" ht="15" hidden="false" customHeight="false" outlineLevel="0" collapsed="false">
      <c r="A2491" s="13" t="s">
        <v>8345</v>
      </c>
      <c r="B2491" s="13" t="n">
        <v>2486</v>
      </c>
      <c r="C2491" s="13" t="s">
        <v>8346</v>
      </c>
      <c r="D2491" s="13" t="n">
        <v>6</v>
      </c>
      <c r="E2491" s="36" t="s">
        <v>7458</v>
      </c>
      <c r="F2491" s="13" t="s">
        <v>1298</v>
      </c>
      <c r="G2491" s="13" t="s">
        <v>563</v>
      </c>
      <c r="H2491" s="13" t="s">
        <v>3694</v>
      </c>
      <c r="I2491" s="13" t="s">
        <v>86</v>
      </c>
      <c r="J2491" s="13" t="s">
        <v>7455</v>
      </c>
      <c r="K2491" s="30" t="n">
        <v>5</v>
      </c>
      <c r="L2491" s="31" t="n">
        <v>46482</v>
      </c>
      <c r="M2491" s="31" t="n">
        <v>46486</v>
      </c>
      <c r="N2491" s="13"/>
      <c r="O2491" s="13"/>
      <c r="P2491" s="13"/>
      <c r="Q2491" s="13"/>
    </row>
    <row r="2492" customFormat="false" ht="15" hidden="false" customHeight="false" outlineLevel="0" collapsed="false">
      <c r="A2492" s="16" t="s">
        <v>8347</v>
      </c>
      <c r="B2492" s="16" t="n">
        <v>2487</v>
      </c>
      <c r="C2492" s="16" t="s">
        <v>8348</v>
      </c>
      <c r="D2492" s="16" t="n">
        <v>7</v>
      </c>
      <c r="E2492" s="37" t="s">
        <v>7461</v>
      </c>
      <c r="F2492" s="16" t="s">
        <v>1285</v>
      </c>
      <c r="G2492" s="16" t="s">
        <v>563</v>
      </c>
      <c r="H2492" s="16" t="s">
        <v>3694</v>
      </c>
      <c r="I2492" s="16" t="s">
        <v>86</v>
      </c>
      <c r="J2492" s="16" t="s">
        <v>7458</v>
      </c>
      <c r="K2492" s="32" t="n">
        <v>2</v>
      </c>
      <c r="L2492" s="33" t="n">
        <v>46482</v>
      </c>
      <c r="M2492" s="33" t="n">
        <v>46483</v>
      </c>
      <c r="N2492" s="16" t="s">
        <v>8349</v>
      </c>
      <c r="O2492" s="16"/>
      <c r="P2492" s="16" t="str">
        <f aca="false">IF(AND(L2492&lt;=$D$2,M2492&gt;=$C$2),"Sí","")</f>
        <v/>
      </c>
      <c r="Q2492" s="18" t="str">
        <f aca="false">IF(COUNTIF(LOOKAHEAD!$A$5:$A$604,A2492)&gt;0,"En Lookahead",IF(P2492="Sí","INCORPORAR",""))</f>
        <v/>
      </c>
    </row>
    <row r="2493" customFormat="false" ht="15" hidden="false" customHeight="false" outlineLevel="0" collapsed="false">
      <c r="A2493" s="16" t="s">
        <v>8350</v>
      </c>
      <c r="B2493" s="16" t="n">
        <v>2488</v>
      </c>
      <c r="C2493" s="16" t="s">
        <v>8351</v>
      </c>
      <c r="D2493" s="16" t="n">
        <v>7</v>
      </c>
      <c r="E2493" s="37" t="s">
        <v>7465</v>
      </c>
      <c r="F2493" s="16" t="s">
        <v>1285</v>
      </c>
      <c r="G2493" s="16" t="s">
        <v>563</v>
      </c>
      <c r="H2493" s="16" t="s">
        <v>3694</v>
      </c>
      <c r="I2493" s="16" t="s">
        <v>86</v>
      </c>
      <c r="J2493" s="16" t="s">
        <v>7458</v>
      </c>
      <c r="K2493" s="32" t="n">
        <v>2</v>
      </c>
      <c r="L2493" s="33" t="n">
        <v>46484</v>
      </c>
      <c r="M2493" s="33" t="n">
        <v>46485</v>
      </c>
      <c r="N2493" s="16" t="s">
        <v>8352</v>
      </c>
      <c r="O2493" s="16"/>
      <c r="P2493" s="16" t="str">
        <f aca="false">IF(AND(L2493&lt;=$D$2,M2493&gt;=$C$2),"Sí","")</f>
        <v/>
      </c>
      <c r="Q2493" s="18" t="str">
        <f aca="false">IF(COUNTIF(LOOKAHEAD!$A$5:$A$604,A2493)&gt;0,"En Lookahead",IF(P2493="Sí","INCORPORAR",""))</f>
        <v/>
      </c>
    </row>
    <row r="2494" customFormat="false" ht="15" hidden="false" customHeight="false" outlineLevel="0" collapsed="false">
      <c r="A2494" s="16" t="s">
        <v>8353</v>
      </c>
      <c r="B2494" s="16" t="n">
        <v>2489</v>
      </c>
      <c r="C2494" s="16" t="s">
        <v>8354</v>
      </c>
      <c r="D2494" s="16" t="n">
        <v>7</v>
      </c>
      <c r="E2494" s="37" t="s">
        <v>7469</v>
      </c>
      <c r="F2494" s="16" t="s">
        <v>1285</v>
      </c>
      <c r="G2494" s="16" t="s">
        <v>563</v>
      </c>
      <c r="H2494" s="16" t="s">
        <v>3694</v>
      </c>
      <c r="I2494" s="16" t="s">
        <v>86</v>
      </c>
      <c r="J2494" s="16" t="s">
        <v>7458</v>
      </c>
      <c r="K2494" s="32" t="n">
        <v>1</v>
      </c>
      <c r="L2494" s="33" t="n">
        <v>46486</v>
      </c>
      <c r="M2494" s="33" t="n">
        <v>46486</v>
      </c>
      <c r="N2494" s="16" t="s">
        <v>8355</v>
      </c>
      <c r="O2494" s="16"/>
      <c r="P2494" s="16" t="str">
        <f aca="false">IF(AND(L2494&lt;=$D$2,M2494&gt;=$C$2),"Sí","")</f>
        <v/>
      </c>
      <c r="Q2494" s="18" t="str">
        <f aca="false">IF(COUNTIF(LOOKAHEAD!$A$5:$A$604,A2494)&gt;0,"En Lookahead",IF(P2494="Sí","INCORPORAR",""))</f>
        <v/>
      </c>
    </row>
    <row r="2495" customFormat="false" ht="15" hidden="false" customHeight="false" outlineLevel="0" collapsed="false">
      <c r="A2495" s="13" t="s">
        <v>8356</v>
      </c>
      <c r="B2495" s="13" t="n">
        <v>2490</v>
      </c>
      <c r="C2495" s="13" t="s">
        <v>8357</v>
      </c>
      <c r="D2495" s="13" t="n">
        <v>6</v>
      </c>
      <c r="E2495" s="36" t="s">
        <v>7798</v>
      </c>
      <c r="F2495" s="13" t="s">
        <v>1298</v>
      </c>
      <c r="G2495" s="13" t="s">
        <v>563</v>
      </c>
      <c r="H2495" s="13" t="s">
        <v>3694</v>
      </c>
      <c r="I2495" s="13" t="s">
        <v>86</v>
      </c>
      <c r="J2495" s="13" t="s">
        <v>7455</v>
      </c>
      <c r="K2495" s="30" t="n">
        <v>1</v>
      </c>
      <c r="L2495" s="31" t="n">
        <v>46487</v>
      </c>
      <c r="M2495" s="31" t="n">
        <v>46487</v>
      </c>
      <c r="N2495" s="13"/>
      <c r="O2495" s="13"/>
      <c r="P2495" s="13"/>
      <c r="Q2495" s="13"/>
    </row>
    <row r="2496" customFormat="false" ht="15" hidden="false" customHeight="false" outlineLevel="0" collapsed="false">
      <c r="A2496" s="16" t="s">
        <v>8358</v>
      </c>
      <c r="B2496" s="16" t="n">
        <v>2491</v>
      </c>
      <c r="C2496" s="16" t="s">
        <v>8359</v>
      </c>
      <c r="D2496" s="16" t="n">
        <v>7</v>
      </c>
      <c r="E2496" s="37" t="s">
        <v>7801</v>
      </c>
      <c r="F2496" s="16" t="s">
        <v>1285</v>
      </c>
      <c r="G2496" s="16" t="s">
        <v>563</v>
      </c>
      <c r="H2496" s="16" t="s">
        <v>3694</v>
      </c>
      <c r="I2496" s="16" t="s">
        <v>86</v>
      </c>
      <c r="J2496" s="16" t="s">
        <v>7798</v>
      </c>
      <c r="K2496" s="32" t="n">
        <v>1</v>
      </c>
      <c r="L2496" s="33" t="n">
        <v>46487</v>
      </c>
      <c r="M2496" s="33" t="n">
        <v>46487</v>
      </c>
      <c r="N2496" s="16" t="s">
        <v>8360</v>
      </c>
      <c r="O2496" s="16"/>
      <c r="P2496" s="16" t="str">
        <f aca="false">IF(AND(L2496&lt;=$D$2,M2496&gt;=$C$2),"Sí","")</f>
        <v/>
      </c>
      <c r="Q2496" s="18" t="str">
        <f aca="false">IF(COUNTIF(LOOKAHEAD!$A$5:$A$604,A2496)&gt;0,"En Lookahead",IF(P2496="Sí","INCORPORAR",""))</f>
        <v/>
      </c>
    </row>
    <row r="2497" customFormat="false" ht="15" hidden="false" customHeight="false" outlineLevel="0" collapsed="false">
      <c r="A2497" s="13" t="s">
        <v>8361</v>
      </c>
      <c r="B2497" s="13" t="n">
        <v>2492</v>
      </c>
      <c r="C2497" s="13" t="s">
        <v>8362</v>
      </c>
      <c r="D2497" s="13" t="n">
        <v>6</v>
      </c>
      <c r="E2497" s="36" t="s">
        <v>7810</v>
      </c>
      <c r="F2497" s="13" t="s">
        <v>1298</v>
      </c>
      <c r="G2497" s="13" t="s">
        <v>563</v>
      </c>
      <c r="H2497" s="13" t="s">
        <v>3694</v>
      </c>
      <c r="I2497" s="13" t="s">
        <v>86</v>
      </c>
      <c r="J2497" s="13" t="s">
        <v>7455</v>
      </c>
      <c r="K2497" s="30" t="n">
        <v>1</v>
      </c>
      <c r="L2497" s="31" t="n">
        <v>46488</v>
      </c>
      <c r="M2497" s="31" t="n">
        <v>46488</v>
      </c>
      <c r="N2497" s="13"/>
      <c r="O2497" s="13"/>
      <c r="P2497" s="13"/>
      <c r="Q2497" s="13"/>
    </row>
    <row r="2498" customFormat="false" ht="15" hidden="false" customHeight="false" outlineLevel="0" collapsed="false">
      <c r="A2498" s="16" t="s">
        <v>8363</v>
      </c>
      <c r="B2498" s="16" t="n">
        <v>2493</v>
      </c>
      <c r="C2498" s="16" t="s">
        <v>8364</v>
      </c>
      <c r="D2498" s="16" t="n">
        <v>7</v>
      </c>
      <c r="E2498" s="37" t="s">
        <v>7813</v>
      </c>
      <c r="F2498" s="16" t="s">
        <v>1285</v>
      </c>
      <c r="G2498" s="16" t="s">
        <v>563</v>
      </c>
      <c r="H2498" s="16" t="s">
        <v>3694</v>
      </c>
      <c r="I2498" s="16" t="s">
        <v>86</v>
      </c>
      <c r="J2498" s="16" t="s">
        <v>7810</v>
      </c>
      <c r="K2498" s="32" t="n">
        <v>1</v>
      </c>
      <c r="L2498" s="33" t="n">
        <v>46488</v>
      </c>
      <c r="M2498" s="33" t="n">
        <v>46488</v>
      </c>
      <c r="N2498" s="16" t="s">
        <v>8365</v>
      </c>
      <c r="O2498" s="16"/>
      <c r="P2498" s="16" t="str">
        <f aca="false">IF(AND(L2498&lt;=$D$2,M2498&gt;=$C$2),"Sí","")</f>
        <v/>
      </c>
      <c r="Q2498" s="18" t="str">
        <f aca="false">IF(COUNTIF(LOOKAHEAD!$A$5:$A$604,A2498)&gt;0,"En Lookahead",IF(P2498="Sí","INCORPORAR",""))</f>
        <v/>
      </c>
    </row>
    <row r="2499" customFormat="false" ht="15" hidden="false" customHeight="false" outlineLevel="0" collapsed="false">
      <c r="A2499" s="13" t="s">
        <v>8366</v>
      </c>
      <c r="B2499" s="13" t="n">
        <v>2494</v>
      </c>
      <c r="C2499" s="13" t="s">
        <v>8367</v>
      </c>
      <c r="D2499" s="13" t="n">
        <v>4</v>
      </c>
      <c r="E2499" s="20" t="s">
        <v>4018</v>
      </c>
      <c r="F2499" s="13" t="s">
        <v>1298</v>
      </c>
      <c r="G2499" s="13" t="s">
        <v>563</v>
      </c>
      <c r="H2499" s="13" t="s">
        <v>4018</v>
      </c>
      <c r="I2499" s="13" t="s">
        <v>92</v>
      </c>
      <c r="J2499" s="13" t="s">
        <v>7172</v>
      </c>
      <c r="K2499" s="30" t="n">
        <v>270</v>
      </c>
      <c r="L2499" s="31" t="n">
        <v>46340</v>
      </c>
      <c r="M2499" s="31" t="n">
        <v>46609</v>
      </c>
      <c r="N2499" s="13"/>
      <c r="O2499" s="13" t="s">
        <v>1299</v>
      </c>
      <c r="P2499" s="13"/>
      <c r="Q2499" s="13"/>
    </row>
    <row r="2500" customFormat="false" ht="15" hidden="false" customHeight="false" outlineLevel="0" collapsed="false">
      <c r="A2500" s="13" t="s">
        <v>8368</v>
      </c>
      <c r="B2500" s="13" t="n">
        <v>2495</v>
      </c>
      <c r="C2500" s="13" t="s">
        <v>8369</v>
      </c>
      <c r="D2500" s="13" t="n">
        <v>5</v>
      </c>
      <c r="E2500" s="34" t="s">
        <v>7177</v>
      </c>
      <c r="F2500" s="13" t="s">
        <v>1298</v>
      </c>
      <c r="G2500" s="13" t="s">
        <v>563</v>
      </c>
      <c r="H2500" s="13" t="s">
        <v>4018</v>
      </c>
      <c r="I2500" s="13" t="s">
        <v>92</v>
      </c>
      <c r="J2500" s="13" t="s">
        <v>4018</v>
      </c>
      <c r="K2500" s="30" t="n">
        <v>71</v>
      </c>
      <c r="L2500" s="31" t="n">
        <v>46340</v>
      </c>
      <c r="M2500" s="31" t="n">
        <v>46410</v>
      </c>
      <c r="N2500" s="13"/>
      <c r="O2500" s="13" t="s">
        <v>1299</v>
      </c>
      <c r="P2500" s="13"/>
      <c r="Q2500" s="13"/>
    </row>
    <row r="2501" customFormat="false" ht="15" hidden="false" customHeight="false" outlineLevel="0" collapsed="false">
      <c r="A2501" s="16" t="s">
        <v>8370</v>
      </c>
      <c r="B2501" s="16" t="n">
        <v>2496</v>
      </c>
      <c r="C2501" s="16" t="s">
        <v>8371</v>
      </c>
      <c r="D2501" s="16" t="n">
        <v>6</v>
      </c>
      <c r="E2501" s="35" t="s">
        <v>7180</v>
      </c>
      <c r="F2501" s="16" t="s">
        <v>1285</v>
      </c>
      <c r="G2501" s="16" t="s">
        <v>563</v>
      </c>
      <c r="H2501" s="16" t="s">
        <v>4018</v>
      </c>
      <c r="I2501" s="16" t="s">
        <v>92</v>
      </c>
      <c r="J2501" s="16" t="s">
        <v>7177</v>
      </c>
      <c r="K2501" s="32" t="n">
        <v>27</v>
      </c>
      <c r="L2501" s="33" t="n">
        <v>46340</v>
      </c>
      <c r="M2501" s="33" t="n">
        <v>46366</v>
      </c>
      <c r="N2501" s="16" t="s">
        <v>4215</v>
      </c>
      <c r="O2501" s="16" t="s">
        <v>1299</v>
      </c>
      <c r="P2501" s="16" t="str">
        <f aca="false">IF(AND(L2501&lt;=$D$2,M2501&gt;=$C$2),"Sí","")</f>
        <v>Sí</v>
      </c>
      <c r="Q2501" s="18" t="str">
        <f aca="false">IF(COUNTIF(LOOKAHEAD!$A$5:$A$604,A2501)&gt;0,"En Lookahead",IF(P2501="Sí","INCORPORAR",""))</f>
        <v>En Lookahead</v>
      </c>
    </row>
    <row r="2502" customFormat="false" ht="15" hidden="false" customHeight="false" outlineLevel="0" collapsed="false">
      <c r="A2502" s="16" t="s">
        <v>8372</v>
      </c>
      <c r="B2502" s="16" t="n">
        <v>2497</v>
      </c>
      <c r="C2502" s="16" t="s">
        <v>8373</v>
      </c>
      <c r="D2502" s="16" t="n">
        <v>6</v>
      </c>
      <c r="E2502" s="35" t="s">
        <v>7183</v>
      </c>
      <c r="F2502" s="16" t="s">
        <v>1285</v>
      </c>
      <c r="G2502" s="16" t="s">
        <v>563</v>
      </c>
      <c r="H2502" s="16" t="s">
        <v>4018</v>
      </c>
      <c r="I2502" s="16" t="s">
        <v>92</v>
      </c>
      <c r="J2502" s="16" t="s">
        <v>7177</v>
      </c>
      <c r="K2502" s="32" t="n">
        <v>23</v>
      </c>
      <c r="L2502" s="33" t="n">
        <v>46367</v>
      </c>
      <c r="M2502" s="33" t="n">
        <v>46389</v>
      </c>
      <c r="N2502" s="16" t="s">
        <v>4245</v>
      </c>
      <c r="O2502" s="16" t="s">
        <v>1299</v>
      </c>
      <c r="P2502" s="16" t="str">
        <f aca="false">IF(AND(L2502&lt;=$D$2,M2502&gt;=$C$2),"Sí","")</f>
        <v/>
      </c>
      <c r="Q2502" s="18" t="str">
        <f aca="false">IF(COUNTIF(LOOKAHEAD!$A$5:$A$604,A2502)&gt;0,"En Lookahead",IF(P2502="Sí","INCORPORAR",""))</f>
        <v/>
      </c>
    </row>
    <row r="2503" customFormat="false" ht="15" hidden="false" customHeight="false" outlineLevel="0" collapsed="false">
      <c r="A2503" s="16" t="s">
        <v>8374</v>
      </c>
      <c r="B2503" s="16" t="n">
        <v>2498</v>
      </c>
      <c r="C2503" s="16" t="s">
        <v>8375</v>
      </c>
      <c r="D2503" s="16" t="n">
        <v>6</v>
      </c>
      <c r="E2503" s="35" t="s">
        <v>7186</v>
      </c>
      <c r="F2503" s="16" t="s">
        <v>1285</v>
      </c>
      <c r="G2503" s="16" t="s">
        <v>563</v>
      </c>
      <c r="H2503" s="16" t="s">
        <v>4018</v>
      </c>
      <c r="I2503" s="16" t="s">
        <v>92</v>
      </c>
      <c r="J2503" s="16" t="s">
        <v>7177</v>
      </c>
      <c r="K2503" s="32" t="n">
        <v>1</v>
      </c>
      <c r="L2503" s="33" t="n">
        <v>46390</v>
      </c>
      <c r="M2503" s="33" t="n">
        <v>46390</v>
      </c>
      <c r="N2503" s="16" t="s">
        <v>8376</v>
      </c>
      <c r="O2503" s="16" t="s">
        <v>1299</v>
      </c>
      <c r="P2503" s="16" t="str">
        <f aca="false">IF(AND(L2503&lt;=$D$2,M2503&gt;=$C$2),"Sí","")</f>
        <v/>
      </c>
      <c r="Q2503" s="18" t="str">
        <f aca="false">IF(COUNTIF(LOOKAHEAD!$A$5:$A$604,A2503)&gt;0,"En Lookahead",IF(P2503="Sí","INCORPORAR",""))</f>
        <v/>
      </c>
    </row>
    <row r="2504" customFormat="false" ht="15" hidden="false" customHeight="false" outlineLevel="0" collapsed="false">
      <c r="A2504" s="16" t="s">
        <v>8377</v>
      </c>
      <c r="B2504" s="16" t="n">
        <v>2499</v>
      </c>
      <c r="C2504" s="16" t="s">
        <v>8378</v>
      </c>
      <c r="D2504" s="16" t="n">
        <v>6</v>
      </c>
      <c r="E2504" s="35" t="s">
        <v>7190</v>
      </c>
      <c r="F2504" s="16" t="s">
        <v>1285</v>
      </c>
      <c r="G2504" s="16" t="s">
        <v>563</v>
      </c>
      <c r="H2504" s="16" t="s">
        <v>4018</v>
      </c>
      <c r="I2504" s="16" t="s">
        <v>92</v>
      </c>
      <c r="J2504" s="16" t="s">
        <v>7177</v>
      </c>
      <c r="K2504" s="32" t="n">
        <v>1</v>
      </c>
      <c r="L2504" s="33" t="n">
        <v>46391</v>
      </c>
      <c r="M2504" s="33" t="n">
        <v>46391</v>
      </c>
      <c r="N2504" s="16" t="s">
        <v>8379</v>
      </c>
      <c r="O2504" s="16" t="s">
        <v>1299</v>
      </c>
      <c r="P2504" s="16" t="str">
        <f aca="false">IF(AND(L2504&lt;=$D$2,M2504&gt;=$C$2),"Sí","")</f>
        <v/>
      </c>
      <c r="Q2504" s="18" t="str">
        <f aca="false">IF(COUNTIF(LOOKAHEAD!$A$5:$A$604,A2504)&gt;0,"En Lookahead",IF(P2504="Sí","INCORPORAR",""))</f>
        <v/>
      </c>
    </row>
    <row r="2505" customFormat="false" ht="15" hidden="false" customHeight="false" outlineLevel="0" collapsed="false">
      <c r="A2505" s="16" t="s">
        <v>8380</v>
      </c>
      <c r="B2505" s="16" t="n">
        <v>2500</v>
      </c>
      <c r="C2505" s="16" t="s">
        <v>8381</v>
      </c>
      <c r="D2505" s="16" t="n">
        <v>6</v>
      </c>
      <c r="E2505" s="35" t="s">
        <v>8382</v>
      </c>
      <c r="F2505" s="16" t="s">
        <v>1285</v>
      </c>
      <c r="G2505" s="16" t="s">
        <v>563</v>
      </c>
      <c r="H2505" s="16" t="s">
        <v>4018</v>
      </c>
      <c r="I2505" s="16" t="s">
        <v>92</v>
      </c>
      <c r="J2505" s="16" t="s">
        <v>7177</v>
      </c>
      <c r="K2505" s="32" t="n">
        <v>12</v>
      </c>
      <c r="L2505" s="33" t="n">
        <v>46392</v>
      </c>
      <c r="M2505" s="33" t="n">
        <v>46403</v>
      </c>
      <c r="N2505" s="16" t="s">
        <v>8383</v>
      </c>
      <c r="O2505" s="16" t="s">
        <v>1299</v>
      </c>
      <c r="P2505" s="16" t="str">
        <f aca="false">IF(AND(L2505&lt;=$D$2,M2505&gt;=$C$2),"Sí","")</f>
        <v/>
      </c>
      <c r="Q2505" s="18" t="str">
        <f aca="false">IF(COUNTIF(LOOKAHEAD!$A$5:$A$604,A2505)&gt;0,"En Lookahead",IF(P2505="Sí","INCORPORAR",""))</f>
        <v/>
      </c>
    </row>
    <row r="2506" customFormat="false" ht="15" hidden="false" customHeight="false" outlineLevel="0" collapsed="false">
      <c r="A2506" s="16" t="s">
        <v>8384</v>
      </c>
      <c r="B2506" s="16" t="n">
        <v>2501</v>
      </c>
      <c r="C2506" s="16" t="s">
        <v>8385</v>
      </c>
      <c r="D2506" s="16" t="n">
        <v>6</v>
      </c>
      <c r="E2506" s="35" t="s">
        <v>7202</v>
      </c>
      <c r="F2506" s="16" t="s">
        <v>1285</v>
      </c>
      <c r="G2506" s="16" t="s">
        <v>563</v>
      </c>
      <c r="H2506" s="16" t="s">
        <v>4018</v>
      </c>
      <c r="I2506" s="16" t="s">
        <v>92</v>
      </c>
      <c r="J2506" s="16" t="s">
        <v>7177</v>
      </c>
      <c r="K2506" s="32" t="n">
        <v>2</v>
      </c>
      <c r="L2506" s="33" t="n">
        <v>46404</v>
      </c>
      <c r="M2506" s="33" t="n">
        <v>46405</v>
      </c>
      <c r="N2506" s="16" t="s">
        <v>8386</v>
      </c>
      <c r="O2506" s="16" t="s">
        <v>1299</v>
      </c>
      <c r="P2506" s="16" t="str">
        <f aca="false">IF(AND(L2506&lt;=$D$2,M2506&gt;=$C$2),"Sí","")</f>
        <v/>
      </c>
      <c r="Q2506" s="18" t="str">
        <f aca="false">IF(COUNTIF(LOOKAHEAD!$A$5:$A$604,A2506)&gt;0,"En Lookahead",IF(P2506="Sí","INCORPORAR",""))</f>
        <v/>
      </c>
    </row>
    <row r="2507" customFormat="false" ht="15" hidden="false" customHeight="false" outlineLevel="0" collapsed="false">
      <c r="A2507" s="16" t="s">
        <v>8387</v>
      </c>
      <c r="B2507" s="16" t="n">
        <v>2502</v>
      </c>
      <c r="C2507" s="16" t="s">
        <v>8388</v>
      </c>
      <c r="D2507" s="16" t="n">
        <v>6</v>
      </c>
      <c r="E2507" s="35" t="s">
        <v>7501</v>
      </c>
      <c r="F2507" s="16" t="s">
        <v>1285</v>
      </c>
      <c r="G2507" s="16" t="s">
        <v>563</v>
      </c>
      <c r="H2507" s="16" t="s">
        <v>4018</v>
      </c>
      <c r="I2507" s="16" t="s">
        <v>92</v>
      </c>
      <c r="J2507" s="16" t="s">
        <v>7177</v>
      </c>
      <c r="K2507" s="32" t="n">
        <v>2</v>
      </c>
      <c r="L2507" s="33" t="n">
        <v>46406</v>
      </c>
      <c r="M2507" s="33" t="n">
        <v>46407</v>
      </c>
      <c r="N2507" s="16" t="s">
        <v>8389</v>
      </c>
      <c r="O2507" s="16" t="s">
        <v>1299</v>
      </c>
      <c r="P2507" s="16" t="str">
        <f aca="false">IF(AND(L2507&lt;=$D$2,M2507&gt;=$C$2),"Sí","")</f>
        <v/>
      </c>
      <c r="Q2507" s="18" t="str">
        <f aca="false">IF(COUNTIF(LOOKAHEAD!$A$5:$A$604,A2507)&gt;0,"En Lookahead",IF(P2507="Sí","INCORPORAR",""))</f>
        <v/>
      </c>
    </row>
    <row r="2508" customFormat="false" ht="15" hidden="false" customHeight="false" outlineLevel="0" collapsed="false">
      <c r="A2508" s="16" t="s">
        <v>8390</v>
      </c>
      <c r="B2508" s="16" t="n">
        <v>2503</v>
      </c>
      <c r="C2508" s="16" t="s">
        <v>8391</v>
      </c>
      <c r="D2508" s="16" t="n">
        <v>6</v>
      </c>
      <c r="E2508" s="35" t="s">
        <v>7508</v>
      </c>
      <c r="F2508" s="16" t="s">
        <v>1285</v>
      </c>
      <c r="G2508" s="16" t="s">
        <v>563</v>
      </c>
      <c r="H2508" s="16" t="s">
        <v>4018</v>
      </c>
      <c r="I2508" s="16" t="s">
        <v>92</v>
      </c>
      <c r="J2508" s="16" t="s">
        <v>7177</v>
      </c>
      <c r="K2508" s="32" t="n">
        <v>2</v>
      </c>
      <c r="L2508" s="33" t="n">
        <v>46408</v>
      </c>
      <c r="M2508" s="33" t="n">
        <v>46409</v>
      </c>
      <c r="N2508" s="16" t="s">
        <v>8392</v>
      </c>
      <c r="O2508" s="16" t="s">
        <v>1299</v>
      </c>
      <c r="P2508" s="16" t="str">
        <f aca="false">IF(AND(L2508&lt;=$D$2,M2508&gt;=$C$2),"Sí","")</f>
        <v/>
      </c>
      <c r="Q2508" s="18" t="str">
        <f aca="false">IF(COUNTIF(LOOKAHEAD!$A$5:$A$604,A2508)&gt;0,"En Lookahead",IF(P2508="Sí","INCORPORAR",""))</f>
        <v/>
      </c>
    </row>
    <row r="2509" customFormat="false" ht="15" hidden="false" customHeight="false" outlineLevel="0" collapsed="false">
      <c r="A2509" s="16" t="s">
        <v>8393</v>
      </c>
      <c r="B2509" s="16" t="n">
        <v>2504</v>
      </c>
      <c r="C2509" s="16" t="s">
        <v>8394</v>
      </c>
      <c r="D2509" s="16" t="n">
        <v>6</v>
      </c>
      <c r="E2509" s="35" t="s">
        <v>7512</v>
      </c>
      <c r="F2509" s="16" t="s">
        <v>1285</v>
      </c>
      <c r="G2509" s="16" t="s">
        <v>563</v>
      </c>
      <c r="H2509" s="16" t="s">
        <v>4018</v>
      </c>
      <c r="I2509" s="16" t="s">
        <v>92</v>
      </c>
      <c r="J2509" s="16" t="s">
        <v>7177</v>
      </c>
      <c r="K2509" s="32" t="n">
        <v>1</v>
      </c>
      <c r="L2509" s="33" t="n">
        <v>46410</v>
      </c>
      <c r="M2509" s="33" t="n">
        <v>46410</v>
      </c>
      <c r="N2509" s="16" t="s">
        <v>8395</v>
      </c>
      <c r="O2509" s="16" t="s">
        <v>1299</v>
      </c>
      <c r="P2509" s="16" t="str">
        <f aca="false">IF(AND(L2509&lt;=$D$2,M2509&gt;=$C$2),"Sí","")</f>
        <v/>
      </c>
      <c r="Q2509" s="18" t="str">
        <f aca="false">IF(COUNTIF(LOOKAHEAD!$A$5:$A$604,A2509)&gt;0,"En Lookahead",IF(P2509="Sí","INCORPORAR",""))</f>
        <v/>
      </c>
    </row>
    <row r="2510" customFormat="false" ht="15" hidden="false" customHeight="false" outlineLevel="0" collapsed="false">
      <c r="A2510" s="13" t="s">
        <v>8396</v>
      </c>
      <c r="B2510" s="13" t="n">
        <v>2505</v>
      </c>
      <c r="C2510" s="13" t="s">
        <v>8397</v>
      </c>
      <c r="D2510" s="13" t="n">
        <v>5</v>
      </c>
      <c r="E2510" s="34" t="s">
        <v>7206</v>
      </c>
      <c r="F2510" s="13" t="s">
        <v>1298</v>
      </c>
      <c r="G2510" s="13" t="s">
        <v>563</v>
      </c>
      <c r="H2510" s="13" t="s">
        <v>4018</v>
      </c>
      <c r="I2510" s="13" t="s">
        <v>92</v>
      </c>
      <c r="J2510" s="13" t="s">
        <v>4018</v>
      </c>
      <c r="K2510" s="30" t="n">
        <v>57</v>
      </c>
      <c r="L2510" s="31" t="n">
        <v>46411</v>
      </c>
      <c r="M2510" s="31" t="n">
        <v>46467</v>
      </c>
      <c r="N2510" s="13"/>
      <c r="O2510" s="13" t="s">
        <v>1299</v>
      </c>
      <c r="P2510" s="13"/>
      <c r="Q2510" s="13"/>
    </row>
    <row r="2511" customFormat="false" ht="15" hidden="false" customHeight="false" outlineLevel="0" collapsed="false">
      <c r="A2511" s="16" t="s">
        <v>8398</v>
      </c>
      <c r="B2511" s="16" t="n">
        <v>2506</v>
      </c>
      <c r="C2511" s="16" t="s">
        <v>8399</v>
      </c>
      <c r="D2511" s="16" t="n">
        <v>6</v>
      </c>
      <c r="E2511" s="35" t="s">
        <v>7209</v>
      </c>
      <c r="F2511" s="16" t="s">
        <v>1285</v>
      </c>
      <c r="G2511" s="16" t="s">
        <v>563</v>
      </c>
      <c r="H2511" s="16" t="s">
        <v>4018</v>
      </c>
      <c r="I2511" s="16" t="s">
        <v>92</v>
      </c>
      <c r="J2511" s="16" t="s">
        <v>7206</v>
      </c>
      <c r="K2511" s="32" t="n">
        <v>15</v>
      </c>
      <c r="L2511" s="33" t="n">
        <v>46411</v>
      </c>
      <c r="M2511" s="33" t="n">
        <v>46425</v>
      </c>
      <c r="N2511" s="16" t="s">
        <v>8400</v>
      </c>
      <c r="O2511" s="16" t="s">
        <v>1299</v>
      </c>
      <c r="P2511" s="16" t="str">
        <f aca="false">IF(AND(L2511&lt;=$D$2,M2511&gt;=$C$2),"Sí","")</f>
        <v/>
      </c>
      <c r="Q2511" s="18" t="str">
        <f aca="false">IF(COUNTIF(LOOKAHEAD!$A$5:$A$604,A2511)&gt;0,"En Lookahead",IF(P2511="Sí","INCORPORAR",""))</f>
        <v/>
      </c>
    </row>
    <row r="2512" customFormat="false" ht="15" hidden="false" customHeight="false" outlineLevel="0" collapsed="false">
      <c r="A2512" s="16" t="s">
        <v>8401</v>
      </c>
      <c r="B2512" s="16" t="n">
        <v>2507</v>
      </c>
      <c r="C2512" s="16" t="s">
        <v>8402</v>
      </c>
      <c r="D2512" s="16" t="n">
        <v>6</v>
      </c>
      <c r="E2512" s="35" t="s">
        <v>7212</v>
      </c>
      <c r="F2512" s="16" t="s">
        <v>1285</v>
      </c>
      <c r="G2512" s="16" t="s">
        <v>563</v>
      </c>
      <c r="H2512" s="16" t="s">
        <v>4018</v>
      </c>
      <c r="I2512" s="16" t="s">
        <v>92</v>
      </c>
      <c r="J2512" s="16" t="s">
        <v>7206</v>
      </c>
      <c r="K2512" s="32" t="n">
        <v>15</v>
      </c>
      <c r="L2512" s="33" t="n">
        <v>46426</v>
      </c>
      <c r="M2512" s="33" t="n">
        <v>46440</v>
      </c>
      <c r="N2512" s="16" t="s">
        <v>8403</v>
      </c>
      <c r="O2512" s="16" t="s">
        <v>1299</v>
      </c>
      <c r="P2512" s="16" t="str">
        <f aca="false">IF(AND(L2512&lt;=$D$2,M2512&gt;=$C$2),"Sí","")</f>
        <v/>
      </c>
      <c r="Q2512" s="18" t="str">
        <f aca="false">IF(COUNTIF(LOOKAHEAD!$A$5:$A$604,A2512)&gt;0,"En Lookahead",IF(P2512="Sí","INCORPORAR",""))</f>
        <v/>
      </c>
    </row>
    <row r="2513" customFormat="false" ht="15" hidden="false" customHeight="false" outlineLevel="0" collapsed="false">
      <c r="A2513" s="16" t="s">
        <v>8404</v>
      </c>
      <c r="B2513" s="16" t="n">
        <v>2508</v>
      </c>
      <c r="C2513" s="16" t="s">
        <v>8405</v>
      </c>
      <c r="D2513" s="16" t="n">
        <v>6</v>
      </c>
      <c r="E2513" s="35" t="s">
        <v>7220</v>
      </c>
      <c r="F2513" s="16" t="s">
        <v>1285</v>
      </c>
      <c r="G2513" s="16" t="s">
        <v>563</v>
      </c>
      <c r="H2513" s="16" t="s">
        <v>4018</v>
      </c>
      <c r="I2513" s="16" t="s">
        <v>92</v>
      </c>
      <c r="J2513" s="16" t="s">
        <v>7206</v>
      </c>
      <c r="K2513" s="32" t="n">
        <v>3</v>
      </c>
      <c r="L2513" s="33" t="n">
        <v>46441</v>
      </c>
      <c r="M2513" s="33" t="n">
        <v>46443</v>
      </c>
      <c r="N2513" s="16" t="s">
        <v>8406</v>
      </c>
      <c r="O2513" s="16"/>
      <c r="P2513" s="16" t="str">
        <f aca="false">IF(AND(L2513&lt;=$D$2,M2513&gt;=$C$2),"Sí","")</f>
        <v/>
      </c>
      <c r="Q2513" s="18" t="str">
        <f aca="false">IF(COUNTIF(LOOKAHEAD!$A$5:$A$604,A2513)&gt;0,"En Lookahead",IF(P2513="Sí","INCORPORAR",""))</f>
        <v/>
      </c>
    </row>
    <row r="2514" customFormat="false" ht="15" hidden="false" customHeight="false" outlineLevel="0" collapsed="false">
      <c r="A2514" s="16" t="s">
        <v>8407</v>
      </c>
      <c r="B2514" s="16" t="n">
        <v>2509</v>
      </c>
      <c r="C2514" s="16" t="s">
        <v>8408</v>
      </c>
      <c r="D2514" s="16" t="n">
        <v>6</v>
      </c>
      <c r="E2514" s="35" t="s">
        <v>7224</v>
      </c>
      <c r="F2514" s="16" t="s">
        <v>1285</v>
      </c>
      <c r="G2514" s="16" t="s">
        <v>563</v>
      </c>
      <c r="H2514" s="16" t="s">
        <v>4018</v>
      </c>
      <c r="I2514" s="16" t="s">
        <v>92</v>
      </c>
      <c r="J2514" s="16" t="s">
        <v>7206</v>
      </c>
      <c r="K2514" s="32" t="n">
        <v>14</v>
      </c>
      <c r="L2514" s="33" t="n">
        <v>46444</v>
      </c>
      <c r="M2514" s="33" t="n">
        <v>46457</v>
      </c>
      <c r="N2514" s="16" t="s">
        <v>8409</v>
      </c>
      <c r="O2514" s="16"/>
      <c r="P2514" s="16" t="str">
        <f aca="false">IF(AND(L2514&lt;=$D$2,M2514&gt;=$C$2),"Sí","")</f>
        <v/>
      </c>
      <c r="Q2514" s="18" t="str">
        <f aca="false">IF(COUNTIF(LOOKAHEAD!$A$5:$A$604,A2514)&gt;0,"En Lookahead",IF(P2514="Sí","INCORPORAR",""))</f>
        <v/>
      </c>
    </row>
    <row r="2515" customFormat="false" ht="15" hidden="false" customHeight="false" outlineLevel="0" collapsed="false">
      <c r="A2515" s="16" t="s">
        <v>8410</v>
      </c>
      <c r="B2515" s="16" t="n">
        <v>2510</v>
      </c>
      <c r="C2515" s="16" t="s">
        <v>8411</v>
      </c>
      <c r="D2515" s="16" t="n">
        <v>6</v>
      </c>
      <c r="E2515" s="35" t="s">
        <v>7228</v>
      </c>
      <c r="F2515" s="16" t="s">
        <v>1285</v>
      </c>
      <c r="G2515" s="16" t="s">
        <v>563</v>
      </c>
      <c r="H2515" s="16" t="s">
        <v>4018</v>
      </c>
      <c r="I2515" s="16" t="s">
        <v>92</v>
      </c>
      <c r="J2515" s="16" t="s">
        <v>7206</v>
      </c>
      <c r="K2515" s="32" t="n">
        <v>10</v>
      </c>
      <c r="L2515" s="33" t="n">
        <v>46458</v>
      </c>
      <c r="M2515" s="33" t="n">
        <v>46467</v>
      </c>
      <c r="N2515" s="16" t="s">
        <v>8412</v>
      </c>
      <c r="O2515" s="16"/>
      <c r="P2515" s="16" t="str">
        <f aca="false">IF(AND(L2515&lt;=$D$2,M2515&gt;=$C$2),"Sí","")</f>
        <v/>
      </c>
      <c r="Q2515" s="18" t="str">
        <f aca="false">IF(COUNTIF(LOOKAHEAD!$A$5:$A$604,A2515)&gt;0,"En Lookahead",IF(P2515="Sí","INCORPORAR",""))</f>
        <v/>
      </c>
    </row>
    <row r="2516" customFormat="false" ht="15" hidden="false" customHeight="false" outlineLevel="0" collapsed="false">
      <c r="A2516" s="16" t="s">
        <v>8413</v>
      </c>
      <c r="B2516" s="16" t="n">
        <v>2511</v>
      </c>
      <c r="C2516" s="16" t="s">
        <v>8414</v>
      </c>
      <c r="D2516" s="16" t="n">
        <v>6</v>
      </c>
      <c r="E2516" s="35" t="s">
        <v>7232</v>
      </c>
      <c r="F2516" s="16" t="s">
        <v>1285</v>
      </c>
      <c r="G2516" s="16" t="s">
        <v>563</v>
      </c>
      <c r="H2516" s="16" t="s">
        <v>4018</v>
      </c>
      <c r="I2516" s="16" t="s">
        <v>92</v>
      </c>
      <c r="J2516" s="16" t="s">
        <v>7206</v>
      </c>
      <c r="K2516" s="32" t="n">
        <v>10</v>
      </c>
      <c r="L2516" s="33" t="n">
        <v>46441</v>
      </c>
      <c r="M2516" s="33" t="n">
        <v>46450</v>
      </c>
      <c r="N2516" s="16" t="s">
        <v>8415</v>
      </c>
      <c r="O2516" s="16" t="s">
        <v>1299</v>
      </c>
      <c r="P2516" s="16" t="str">
        <f aca="false">IF(AND(L2516&lt;=$D$2,M2516&gt;=$C$2),"Sí","")</f>
        <v/>
      </c>
      <c r="Q2516" s="18" t="str">
        <f aca="false">IF(COUNTIF(LOOKAHEAD!$A$5:$A$604,A2516)&gt;0,"En Lookahead",IF(P2516="Sí","INCORPORAR",""))</f>
        <v/>
      </c>
    </row>
    <row r="2517" customFormat="false" ht="15" hidden="false" customHeight="false" outlineLevel="0" collapsed="false">
      <c r="A2517" s="13" t="s">
        <v>8416</v>
      </c>
      <c r="B2517" s="13" t="n">
        <v>2512</v>
      </c>
      <c r="C2517" s="13" t="s">
        <v>8417</v>
      </c>
      <c r="D2517" s="13" t="n">
        <v>5</v>
      </c>
      <c r="E2517" s="34" t="s">
        <v>7236</v>
      </c>
      <c r="F2517" s="13" t="s">
        <v>1298</v>
      </c>
      <c r="G2517" s="13" t="s">
        <v>563</v>
      </c>
      <c r="H2517" s="13" t="s">
        <v>4018</v>
      </c>
      <c r="I2517" s="13" t="s">
        <v>92</v>
      </c>
      <c r="J2517" s="13" t="s">
        <v>4018</v>
      </c>
      <c r="K2517" s="30" t="n">
        <v>46</v>
      </c>
      <c r="L2517" s="31" t="n">
        <v>46451</v>
      </c>
      <c r="M2517" s="31" t="n">
        <v>46496</v>
      </c>
      <c r="N2517" s="13"/>
      <c r="O2517" s="13" t="s">
        <v>1299</v>
      </c>
      <c r="P2517" s="13"/>
      <c r="Q2517" s="13"/>
    </row>
    <row r="2518" customFormat="false" ht="15" hidden="false" customHeight="false" outlineLevel="0" collapsed="false">
      <c r="A2518" s="16" t="s">
        <v>8418</v>
      </c>
      <c r="B2518" s="16" t="n">
        <v>2513</v>
      </c>
      <c r="C2518" s="16" t="s">
        <v>8419</v>
      </c>
      <c r="D2518" s="16" t="n">
        <v>6</v>
      </c>
      <c r="E2518" s="35" t="s">
        <v>7242</v>
      </c>
      <c r="F2518" s="16" t="s">
        <v>1285</v>
      </c>
      <c r="G2518" s="16" t="s">
        <v>563</v>
      </c>
      <c r="H2518" s="16" t="s">
        <v>4018</v>
      </c>
      <c r="I2518" s="16" t="s">
        <v>92</v>
      </c>
      <c r="J2518" s="16" t="s">
        <v>7236</v>
      </c>
      <c r="K2518" s="32" t="n">
        <v>19</v>
      </c>
      <c r="L2518" s="33" t="n">
        <v>46451</v>
      </c>
      <c r="M2518" s="33" t="n">
        <v>46469</v>
      </c>
      <c r="N2518" s="16" t="s">
        <v>8420</v>
      </c>
      <c r="O2518" s="16" t="s">
        <v>1299</v>
      </c>
      <c r="P2518" s="16" t="str">
        <f aca="false">IF(AND(L2518&lt;=$D$2,M2518&gt;=$C$2),"Sí","")</f>
        <v/>
      </c>
      <c r="Q2518" s="18" t="str">
        <f aca="false">IF(COUNTIF(LOOKAHEAD!$A$5:$A$604,A2518)&gt;0,"En Lookahead",IF(P2518="Sí","INCORPORAR",""))</f>
        <v/>
      </c>
    </row>
    <row r="2519" customFormat="false" ht="15" hidden="false" customHeight="false" outlineLevel="0" collapsed="false">
      <c r="A2519" s="16" t="s">
        <v>8421</v>
      </c>
      <c r="B2519" s="16" t="n">
        <v>2514</v>
      </c>
      <c r="C2519" s="16" t="s">
        <v>8422</v>
      </c>
      <c r="D2519" s="16" t="n">
        <v>6</v>
      </c>
      <c r="E2519" s="35" t="s">
        <v>8423</v>
      </c>
      <c r="F2519" s="16" t="s">
        <v>1285</v>
      </c>
      <c r="G2519" s="16" t="s">
        <v>563</v>
      </c>
      <c r="H2519" s="16" t="s">
        <v>4018</v>
      </c>
      <c r="I2519" s="16" t="s">
        <v>92</v>
      </c>
      <c r="J2519" s="16" t="s">
        <v>7236</v>
      </c>
      <c r="K2519" s="32" t="n">
        <v>15</v>
      </c>
      <c r="L2519" s="33" t="n">
        <v>46470</v>
      </c>
      <c r="M2519" s="33" t="n">
        <v>46484</v>
      </c>
      <c r="N2519" s="16" t="s">
        <v>8424</v>
      </c>
      <c r="O2519" s="16" t="s">
        <v>1299</v>
      </c>
      <c r="P2519" s="16" t="str">
        <f aca="false">IF(AND(L2519&lt;=$D$2,M2519&gt;=$C$2),"Sí","")</f>
        <v/>
      </c>
      <c r="Q2519" s="18" t="str">
        <f aca="false">IF(COUNTIF(LOOKAHEAD!$A$5:$A$604,A2519)&gt;0,"En Lookahead",IF(P2519="Sí","INCORPORAR",""))</f>
        <v/>
      </c>
    </row>
    <row r="2520" customFormat="false" ht="15" hidden="false" customHeight="false" outlineLevel="0" collapsed="false">
      <c r="A2520" s="16" t="s">
        <v>8425</v>
      </c>
      <c r="B2520" s="16" t="n">
        <v>2515</v>
      </c>
      <c r="C2520" s="16" t="s">
        <v>8426</v>
      </c>
      <c r="D2520" s="16" t="n">
        <v>6</v>
      </c>
      <c r="E2520" s="35" t="s">
        <v>7246</v>
      </c>
      <c r="F2520" s="16" t="s">
        <v>1285</v>
      </c>
      <c r="G2520" s="16" t="s">
        <v>563</v>
      </c>
      <c r="H2520" s="16" t="s">
        <v>4018</v>
      </c>
      <c r="I2520" s="16" t="s">
        <v>92</v>
      </c>
      <c r="J2520" s="16" t="s">
        <v>7236</v>
      </c>
      <c r="K2520" s="32" t="n">
        <v>3</v>
      </c>
      <c r="L2520" s="33" t="n">
        <v>46485</v>
      </c>
      <c r="M2520" s="33" t="n">
        <v>46487</v>
      </c>
      <c r="N2520" s="16" t="s">
        <v>8427</v>
      </c>
      <c r="O2520" s="16" t="s">
        <v>1299</v>
      </c>
      <c r="P2520" s="16" t="str">
        <f aca="false">IF(AND(L2520&lt;=$D$2,M2520&gt;=$C$2),"Sí","")</f>
        <v/>
      </c>
      <c r="Q2520" s="18" t="str">
        <f aca="false">IF(COUNTIF(LOOKAHEAD!$A$5:$A$604,A2520)&gt;0,"En Lookahead",IF(P2520="Sí","INCORPORAR",""))</f>
        <v/>
      </c>
    </row>
    <row r="2521" customFormat="false" ht="15" hidden="false" customHeight="false" outlineLevel="0" collapsed="false">
      <c r="A2521" s="16" t="s">
        <v>8428</v>
      </c>
      <c r="B2521" s="16" t="n">
        <v>2516</v>
      </c>
      <c r="C2521" s="16" t="s">
        <v>8429</v>
      </c>
      <c r="D2521" s="16" t="n">
        <v>6</v>
      </c>
      <c r="E2521" s="35" t="s">
        <v>7239</v>
      </c>
      <c r="F2521" s="16" t="s">
        <v>1285</v>
      </c>
      <c r="G2521" s="16" t="s">
        <v>563</v>
      </c>
      <c r="H2521" s="16" t="s">
        <v>4018</v>
      </c>
      <c r="I2521" s="16" t="s">
        <v>92</v>
      </c>
      <c r="J2521" s="16" t="s">
        <v>7236</v>
      </c>
      <c r="K2521" s="32" t="n">
        <v>6</v>
      </c>
      <c r="L2521" s="33" t="n">
        <v>46488</v>
      </c>
      <c r="M2521" s="33" t="n">
        <v>46493</v>
      </c>
      <c r="N2521" s="16" t="s">
        <v>8430</v>
      </c>
      <c r="O2521" s="16" t="s">
        <v>1299</v>
      </c>
      <c r="P2521" s="16" t="str">
        <f aca="false">IF(AND(L2521&lt;=$D$2,M2521&gt;=$C$2),"Sí","")</f>
        <v/>
      </c>
      <c r="Q2521" s="18" t="str">
        <f aca="false">IF(COUNTIF(LOOKAHEAD!$A$5:$A$604,A2521)&gt;0,"En Lookahead",IF(P2521="Sí","INCORPORAR",""))</f>
        <v/>
      </c>
    </row>
    <row r="2522" customFormat="false" ht="15" hidden="false" customHeight="false" outlineLevel="0" collapsed="false">
      <c r="A2522" s="16" t="s">
        <v>8431</v>
      </c>
      <c r="B2522" s="16" t="n">
        <v>2517</v>
      </c>
      <c r="C2522" s="16" t="s">
        <v>8432</v>
      </c>
      <c r="D2522" s="16" t="n">
        <v>6</v>
      </c>
      <c r="E2522" s="35" t="s">
        <v>7553</v>
      </c>
      <c r="F2522" s="16" t="s">
        <v>1285</v>
      </c>
      <c r="G2522" s="16" t="s">
        <v>563</v>
      </c>
      <c r="H2522" s="16" t="s">
        <v>4018</v>
      </c>
      <c r="I2522" s="16" t="s">
        <v>92</v>
      </c>
      <c r="J2522" s="16" t="s">
        <v>7236</v>
      </c>
      <c r="K2522" s="32" t="n">
        <v>3</v>
      </c>
      <c r="L2522" s="33" t="n">
        <v>46494</v>
      </c>
      <c r="M2522" s="33" t="n">
        <v>46496</v>
      </c>
      <c r="N2522" s="16" t="s">
        <v>8433</v>
      </c>
      <c r="O2522" s="16" t="s">
        <v>1299</v>
      </c>
      <c r="P2522" s="16" t="str">
        <f aca="false">IF(AND(L2522&lt;=$D$2,M2522&gt;=$C$2),"Sí","")</f>
        <v/>
      </c>
      <c r="Q2522" s="18" t="str">
        <f aca="false">IF(COUNTIF(LOOKAHEAD!$A$5:$A$604,A2522)&gt;0,"En Lookahead",IF(P2522="Sí","INCORPORAR",""))</f>
        <v/>
      </c>
    </row>
    <row r="2523" customFormat="false" ht="15" hidden="false" customHeight="false" outlineLevel="0" collapsed="false">
      <c r="A2523" s="13" t="s">
        <v>8434</v>
      </c>
      <c r="B2523" s="13" t="n">
        <v>2518</v>
      </c>
      <c r="C2523" s="13" t="s">
        <v>8435</v>
      </c>
      <c r="D2523" s="13" t="n">
        <v>5</v>
      </c>
      <c r="E2523" s="34" t="s">
        <v>7250</v>
      </c>
      <c r="F2523" s="13" t="s">
        <v>1298</v>
      </c>
      <c r="G2523" s="13" t="s">
        <v>563</v>
      </c>
      <c r="H2523" s="13" t="s">
        <v>4018</v>
      </c>
      <c r="I2523" s="13" t="s">
        <v>92</v>
      </c>
      <c r="J2523" s="13" t="s">
        <v>4018</v>
      </c>
      <c r="K2523" s="30" t="n">
        <v>60</v>
      </c>
      <c r="L2523" s="31" t="n">
        <v>46497</v>
      </c>
      <c r="M2523" s="31" t="n">
        <v>46556</v>
      </c>
      <c r="N2523" s="13"/>
      <c r="O2523" s="13" t="s">
        <v>1299</v>
      </c>
      <c r="P2523" s="13"/>
      <c r="Q2523" s="13"/>
    </row>
    <row r="2524" customFormat="false" ht="15" hidden="false" customHeight="false" outlineLevel="0" collapsed="false">
      <c r="A2524" s="13" t="s">
        <v>8436</v>
      </c>
      <c r="B2524" s="13" t="n">
        <v>2519</v>
      </c>
      <c r="C2524" s="13" t="s">
        <v>8437</v>
      </c>
      <c r="D2524" s="13" t="n">
        <v>6</v>
      </c>
      <c r="E2524" s="36" t="s">
        <v>7253</v>
      </c>
      <c r="F2524" s="13" t="s">
        <v>1298</v>
      </c>
      <c r="G2524" s="13" t="s">
        <v>563</v>
      </c>
      <c r="H2524" s="13" t="s">
        <v>4018</v>
      </c>
      <c r="I2524" s="13" t="s">
        <v>92</v>
      </c>
      <c r="J2524" s="13" t="s">
        <v>7250</v>
      </c>
      <c r="K2524" s="30" t="n">
        <v>15</v>
      </c>
      <c r="L2524" s="31" t="n">
        <v>46497</v>
      </c>
      <c r="M2524" s="31" t="n">
        <v>46511</v>
      </c>
      <c r="N2524" s="13"/>
      <c r="O2524" s="13" t="s">
        <v>1299</v>
      </c>
      <c r="P2524" s="13"/>
      <c r="Q2524" s="13"/>
    </row>
    <row r="2525" customFormat="false" ht="15" hidden="false" customHeight="false" outlineLevel="0" collapsed="false">
      <c r="A2525" s="16" t="s">
        <v>8438</v>
      </c>
      <c r="B2525" s="16" t="n">
        <v>2520</v>
      </c>
      <c r="C2525" s="16" t="s">
        <v>8439</v>
      </c>
      <c r="D2525" s="16" t="n">
        <v>7</v>
      </c>
      <c r="E2525" s="37" t="s">
        <v>7256</v>
      </c>
      <c r="F2525" s="16" t="s">
        <v>1285</v>
      </c>
      <c r="G2525" s="16" t="s">
        <v>563</v>
      </c>
      <c r="H2525" s="16" t="s">
        <v>4018</v>
      </c>
      <c r="I2525" s="16" t="s">
        <v>92</v>
      </c>
      <c r="J2525" s="16" t="s">
        <v>7253</v>
      </c>
      <c r="K2525" s="32" t="n">
        <v>15</v>
      </c>
      <c r="L2525" s="33" t="n">
        <v>46497</v>
      </c>
      <c r="M2525" s="33" t="n">
        <v>46511</v>
      </c>
      <c r="N2525" s="16" t="s">
        <v>8440</v>
      </c>
      <c r="O2525" s="16" t="s">
        <v>1299</v>
      </c>
      <c r="P2525" s="16" t="str">
        <f aca="false">IF(AND(L2525&lt;=$D$2,M2525&gt;=$C$2),"Sí","")</f>
        <v/>
      </c>
      <c r="Q2525" s="18" t="str">
        <f aca="false">IF(COUNTIF(LOOKAHEAD!$A$5:$A$604,A2525)&gt;0,"En Lookahead",IF(P2525="Sí","INCORPORAR",""))</f>
        <v/>
      </c>
    </row>
    <row r="2526" customFormat="false" ht="15" hidden="false" customHeight="false" outlineLevel="0" collapsed="false">
      <c r="A2526" s="13" t="s">
        <v>8441</v>
      </c>
      <c r="B2526" s="13" t="n">
        <v>2521</v>
      </c>
      <c r="C2526" s="13" t="s">
        <v>8442</v>
      </c>
      <c r="D2526" s="13" t="n">
        <v>6</v>
      </c>
      <c r="E2526" s="36" t="s">
        <v>7260</v>
      </c>
      <c r="F2526" s="13" t="s">
        <v>1298</v>
      </c>
      <c r="G2526" s="13" t="s">
        <v>563</v>
      </c>
      <c r="H2526" s="13" t="s">
        <v>4018</v>
      </c>
      <c r="I2526" s="13" t="s">
        <v>92</v>
      </c>
      <c r="J2526" s="13" t="s">
        <v>7250</v>
      </c>
      <c r="K2526" s="30" t="n">
        <v>45</v>
      </c>
      <c r="L2526" s="31" t="n">
        <v>46512</v>
      </c>
      <c r="M2526" s="31" t="n">
        <v>46556</v>
      </c>
      <c r="N2526" s="13"/>
      <c r="O2526" s="13" t="s">
        <v>1299</v>
      </c>
      <c r="P2526" s="13"/>
      <c r="Q2526" s="13"/>
    </row>
    <row r="2527" customFormat="false" ht="15" hidden="false" customHeight="false" outlineLevel="0" collapsed="false">
      <c r="A2527" s="16" t="s">
        <v>8443</v>
      </c>
      <c r="B2527" s="16" t="n">
        <v>2522</v>
      </c>
      <c r="C2527" s="16" t="s">
        <v>8444</v>
      </c>
      <c r="D2527" s="16" t="n">
        <v>7</v>
      </c>
      <c r="E2527" s="37" t="s">
        <v>8445</v>
      </c>
      <c r="F2527" s="16" t="s">
        <v>1285</v>
      </c>
      <c r="G2527" s="16" t="s">
        <v>563</v>
      </c>
      <c r="H2527" s="16" t="s">
        <v>4018</v>
      </c>
      <c r="I2527" s="16" t="s">
        <v>92</v>
      </c>
      <c r="J2527" s="16" t="s">
        <v>7260</v>
      </c>
      <c r="K2527" s="32" t="n">
        <v>1</v>
      </c>
      <c r="L2527" s="33" t="n">
        <v>46512</v>
      </c>
      <c r="M2527" s="33" t="n">
        <v>46512</v>
      </c>
      <c r="N2527" s="16" t="s">
        <v>8446</v>
      </c>
      <c r="O2527" s="16" t="s">
        <v>1299</v>
      </c>
      <c r="P2527" s="16" t="str">
        <f aca="false">IF(AND(L2527&lt;=$D$2,M2527&gt;=$C$2),"Sí","")</f>
        <v/>
      </c>
      <c r="Q2527" s="18" t="str">
        <f aca="false">IF(COUNTIF(LOOKAHEAD!$A$5:$A$604,A2527)&gt;0,"En Lookahead",IF(P2527="Sí","INCORPORAR",""))</f>
        <v/>
      </c>
    </row>
    <row r="2528" customFormat="false" ht="15" hidden="false" customHeight="false" outlineLevel="0" collapsed="false">
      <c r="A2528" s="16" t="s">
        <v>8447</v>
      </c>
      <c r="B2528" s="16" t="n">
        <v>2523</v>
      </c>
      <c r="C2528" s="16" t="s">
        <v>8448</v>
      </c>
      <c r="D2528" s="16" t="n">
        <v>7</v>
      </c>
      <c r="E2528" s="37" t="s">
        <v>7267</v>
      </c>
      <c r="F2528" s="16" t="s">
        <v>1285</v>
      </c>
      <c r="G2528" s="16" t="s">
        <v>563</v>
      </c>
      <c r="H2528" s="16" t="s">
        <v>4018</v>
      </c>
      <c r="I2528" s="16" t="s">
        <v>92</v>
      </c>
      <c r="J2528" s="16" t="s">
        <v>7260</v>
      </c>
      <c r="K2528" s="32" t="n">
        <v>30</v>
      </c>
      <c r="L2528" s="33" t="n">
        <v>46513</v>
      </c>
      <c r="M2528" s="33" t="n">
        <v>46542</v>
      </c>
      <c r="N2528" s="16" t="s">
        <v>8449</v>
      </c>
      <c r="O2528" s="16" t="s">
        <v>1299</v>
      </c>
      <c r="P2528" s="16" t="str">
        <f aca="false">IF(AND(L2528&lt;=$D$2,M2528&gt;=$C$2),"Sí","")</f>
        <v/>
      </c>
      <c r="Q2528" s="18" t="str">
        <f aca="false">IF(COUNTIF(LOOKAHEAD!$A$5:$A$604,A2528)&gt;0,"En Lookahead",IF(P2528="Sí","INCORPORAR",""))</f>
        <v/>
      </c>
    </row>
    <row r="2529" customFormat="false" ht="15" hidden="false" customHeight="false" outlineLevel="0" collapsed="false">
      <c r="A2529" s="16" t="s">
        <v>8450</v>
      </c>
      <c r="B2529" s="16" t="n">
        <v>2524</v>
      </c>
      <c r="C2529" s="16" t="s">
        <v>8451</v>
      </c>
      <c r="D2529" s="16" t="n">
        <v>7</v>
      </c>
      <c r="E2529" s="37" t="s">
        <v>7271</v>
      </c>
      <c r="F2529" s="16" t="s">
        <v>1285</v>
      </c>
      <c r="G2529" s="16" t="s">
        <v>563</v>
      </c>
      <c r="H2529" s="16" t="s">
        <v>4018</v>
      </c>
      <c r="I2529" s="16" t="s">
        <v>92</v>
      </c>
      <c r="J2529" s="16" t="s">
        <v>7260</v>
      </c>
      <c r="K2529" s="32" t="n">
        <v>4</v>
      </c>
      <c r="L2529" s="33" t="n">
        <v>46543</v>
      </c>
      <c r="M2529" s="33" t="n">
        <v>46546</v>
      </c>
      <c r="N2529" s="16" t="s">
        <v>8452</v>
      </c>
      <c r="O2529" s="16"/>
      <c r="P2529" s="16" t="str">
        <f aca="false">IF(AND(L2529&lt;=$D$2,M2529&gt;=$C$2),"Sí","")</f>
        <v/>
      </c>
      <c r="Q2529" s="18" t="str">
        <f aca="false">IF(COUNTIF(LOOKAHEAD!$A$5:$A$604,A2529)&gt;0,"En Lookahead",IF(P2529="Sí","INCORPORAR",""))</f>
        <v/>
      </c>
    </row>
    <row r="2530" customFormat="false" ht="15" hidden="false" customHeight="false" outlineLevel="0" collapsed="false">
      <c r="A2530" s="16" t="s">
        <v>8453</v>
      </c>
      <c r="B2530" s="16" t="n">
        <v>2525</v>
      </c>
      <c r="C2530" s="16" t="s">
        <v>8454</v>
      </c>
      <c r="D2530" s="16" t="n">
        <v>7</v>
      </c>
      <c r="E2530" s="37" t="s">
        <v>8455</v>
      </c>
      <c r="F2530" s="16" t="s">
        <v>1285</v>
      </c>
      <c r="G2530" s="16" t="s">
        <v>563</v>
      </c>
      <c r="H2530" s="16" t="s">
        <v>4018</v>
      </c>
      <c r="I2530" s="16" t="s">
        <v>92</v>
      </c>
      <c r="J2530" s="16" t="s">
        <v>7260</v>
      </c>
      <c r="K2530" s="32" t="n">
        <v>10</v>
      </c>
      <c r="L2530" s="33" t="n">
        <v>46547</v>
      </c>
      <c r="M2530" s="33" t="n">
        <v>46556</v>
      </c>
      <c r="N2530" s="16" t="s">
        <v>8456</v>
      </c>
      <c r="O2530" s="16"/>
      <c r="P2530" s="16" t="str">
        <f aca="false">IF(AND(L2530&lt;=$D$2,M2530&gt;=$C$2),"Sí","")</f>
        <v/>
      </c>
      <c r="Q2530" s="18" t="str">
        <f aca="false">IF(COUNTIF(LOOKAHEAD!$A$5:$A$604,A2530)&gt;0,"En Lookahead",IF(P2530="Sí","INCORPORAR",""))</f>
        <v/>
      </c>
    </row>
    <row r="2531" customFormat="false" ht="15" hidden="false" customHeight="false" outlineLevel="0" collapsed="false">
      <c r="A2531" s="13" t="s">
        <v>8457</v>
      </c>
      <c r="B2531" s="13" t="n">
        <v>2526</v>
      </c>
      <c r="C2531" s="13" t="s">
        <v>8458</v>
      </c>
      <c r="D2531" s="13" t="n">
        <v>5</v>
      </c>
      <c r="E2531" s="34" t="s">
        <v>7279</v>
      </c>
      <c r="F2531" s="13" t="s">
        <v>1298</v>
      </c>
      <c r="G2531" s="13" t="s">
        <v>563</v>
      </c>
      <c r="H2531" s="13" t="s">
        <v>4018</v>
      </c>
      <c r="I2531" s="13" t="s">
        <v>92</v>
      </c>
      <c r="J2531" s="13" t="s">
        <v>4018</v>
      </c>
      <c r="K2531" s="30" t="n">
        <v>15</v>
      </c>
      <c r="L2531" s="31" t="n">
        <v>46513</v>
      </c>
      <c r="M2531" s="31" t="n">
        <v>46527</v>
      </c>
      <c r="N2531" s="13"/>
      <c r="O2531" s="13" t="s">
        <v>1299</v>
      </c>
      <c r="P2531" s="13"/>
      <c r="Q2531" s="13"/>
    </row>
    <row r="2532" customFormat="false" ht="15" hidden="false" customHeight="false" outlineLevel="0" collapsed="false">
      <c r="A2532" s="16" t="s">
        <v>8459</v>
      </c>
      <c r="B2532" s="16" t="n">
        <v>2527</v>
      </c>
      <c r="C2532" s="16" t="s">
        <v>8460</v>
      </c>
      <c r="D2532" s="16" t="n">
        <v>6</v>
      </c>
      <c r="E2532" s="35" t="s">
        <v>8461</v>
      </c>
      <c r="F2532" s="16" t="s">
        <v>1285</v>
      </c>
      <c r="G2532" s="16" t="s">
        <v>563</v>
      </c>
      <c r="H2532" s="16" t="s">
        <v>4018</v>
      </c>
      <c r="I2532" s="16" t="s">
        <v>92</v>
      </c>
      <c r="J2532" s="16" t="s">
        <v>7279</v>
      </c>
      <c r="K2532" s="32" t="n">
        <v>15</v>
      </c>
      <c r="L2532" s="33" t="n">
        <v>46513</v>
      </c>
      <c r="M2532" s="33" t="n">
        <v>46527</v>
      </c>
      <c r="N2532" s="16" t="s">
        <v>8462</v>
      </c>
      <c r="O2532" s="16" t="s">
        <v>1299</v>
      </c>
      <c r="P2532" s="16" t="str">
        <f aca="false">IF(AND(L2532&lt;=$D$2,M2532&gt;=$C$2),"Sí","")</f>
        <v/>
      </c>
      <c r="Q2532" s="18" t="str">
        <f aca="false">IF(COUNTIF(LOOKAHEAD!$A$5:$A$604,A2532)&gt;0,"En Lookahead",IF(P2532="Sí","INCORPORAR",""))</f>
        <v/>
      </c>
    </row>
    <row r="2533" customFormat="false" ht="15" hidden="false" customHeight="false" outlineLevel="0" collapsed="false">
      <c r="A2533" s="16" t="s">
        <v>8463</v>
      </c>
      <c r="B2533" s="16" t="n">
        <v>2528</v>
      </c>
      <c r="C2533" s="16" t="s">
        <v>8464</v>
      </c>
      <c r="D2533" s="16" t="n">
        <v>6</v>
      </c>
      <c r="E2533" s="35" t="s">
        <v>8465</v>
      </c>
      <c r="F2533" s="16" t="s">
        <v>1285</v>
      </c>
      <c r="G2533" s="16" t="s">
        <v>563</v>
      </c>
      <c r="H2533" s="16" t="s">
        <v>4018</v>
      </c>
      <c r="I2533" s="16" t="s">
        <v>92</v>
      </c>
      <c r="J2533" s="16" t="s">
        <v>7279</v>
      </c>
      <c r="K2533" s="32" t="n">
        <v>1</v>
      </c>
      <c r="L2533" s="33" t="n">
        <v>46513</v>
      </c>
      <c r="M2533" s="33" t="n">
        <v>46513</v>
      </c>
      <c r="N2533" s="16" t="s">
        <v>8466</v>
      </c>
      <c r="O2533" s="16" t="s">
        <v>1299</v>
      </c>
      <c r="P2533" s="16" t="str">
        <f aca="false">IF(AND(L2533&lt;=$D$2,M2533&gt;=$C$2),"Sí","")</f>
        <v/>
      </c>
      <c r="Q2533" s="18" t="str">
        <f aca="false">IF(COUNTIF(LOOKAHEAD!$A$5:$A$604,A2533)&gt;0,"En Lookahead",IF(P2533="Sí","INCORPORAR",""))</f>
        <v/>
      </c>
    </row>
    <row r="2534" customFormat="false" ht="15" hidden="false" customHeight="false" outlineLevel="0" collapsed="false">
      <c r="A2534" s="16" t="s">
        <v>8467</v>
      </c>
      <c r="B2534" s="16" t="n">
        <v>2529</v>
      </c>
      <c r="C2534" s="16" t="s">
        <v>8468</v>
      </c>
      <c r="D2534" s="16" t="n">
        <v>6</v>
      </c>
      <c r="E2534" s="35" t="s">
        <v>8469</v>
      </c>
      <c r="F2534" s="16" t="s">
        <v>1285</v>
      </c>
      <c r="G2534" s="16" t="s">
        <v>563</v>
      </c>
      <c r="H2534" s="16" t="s">
        <v>4018</v>
      </c>
      <c r="I2534" s="16" t="s">
        <v>92</v>
      </c>
      <c r="J2534" s="16" t="s">
        <v>7279</v>
      </c>
      <c r="K2534" s="32" t="n">
        <v>2</v>
      </c>
      <c r="L2534" s="33" t="n">
        <v>46513</v>
      </c>
      <c r="M2534" s="33" t="n">
        <v>46514</v>
      </c>
      <c r="N2534" s="16" t="s">
        <v>8470</v>
      </c>
      <c r="O2534" s="16" t="s">
        <v>1299</v>
      </c>
      <c r="P2534" s="16" t="str">
        <f aca="false">IF(AND(L2534&lt;=$D$2,M2534&gt;=$C$2),"Sí","")</f>
        <v/>
      </c>
      <c r="Q2534" s="18" t="str">
        <f aca="false">IF(COUNTIF(LOOKAHEAD!$A$5:$A$604,A2534)&gt;0,"En Lookahead",IF(P2534="Sí","INCORPORAR",""))</f>
        <v/>
      </c>
    </row>
    <row r="2535" customFormat="false" ht="15" hidden="false" customHeight="false" outlineLevel="0" collapsed="false">
      <c r="A2535" s="16" t="s">
        <v>8471</v>
      </c>
      <c r="B2535" s="16" t="n">
        <v>2530</v>
      </c>
      <c r="C2535" s="16" t="s">
        <v>8472</v>
      </c>
      <c r="D2535" s="16" t="n">
        <v>6</v>
      </c>
      <c r="E2535" s="35" t="s">
        <v>7290</v>
      </c>
      <c r="F2535" s="16" t="s">
        <v>1285</v>
      </c>
      <c r="G2535" s="16" t="s">
        <v>563</v>
      </c>
      <c r="H2535" s="16" t="s">
        <v>4018</v>
      </c>
      <c r="I2535" s="16" t="s">
        <v>92</v>
      </c>
      <c r="J2535" s="16" t="s">
        <v>7279</v>
      </c>
      <c r="K2535" s="32" t="n">
        <v>2</v>
      </c>
      <c r="L2535" s="33" t="n">
        <v>46513</v>
      </c>
      <c r="M2535" s="33" t="n">
        <v>46514</v>
      </c>
      <c r="N2535" s="16" t="s">
        <v>8473</v>
      </c>
      <c r="O2535" s="16" t="s">
        <v>1299</v>
      </c>
      <c r="P2535" s="16" t="str">
        <f aca="false">IF(AND(L2535&lt;=$D$2,M2535&gt;=$C$2),"Sí","")</f>
        <v/>
      </c>
      <c r="Q2535" s="18" t="str">
        <f aca="false">IF(COUNTIF(LOOKAHEAD!$A$5:$A$604,A2535)&gt;0,"En Lookahead",IF(P2535="Sí","INCORPORAR",""))</f>
        <v/>
      </c>
    </row>
    <row r="2536" customFormat="false" ht="15" hidden="false" customHeight="false" outlineLevel="0" collapsed="false">
      <c r="A2536" s="16" t="s">
        <v>8474</v>
      </c>
      <c r="B2536" s="16" t="n">
        <v>2531</v>
      </c>
      <c r="C2536" s="16" t="s">
        <v>8475</v>
      </c>
      <c r="D2536" s="16" t="n">
        <v>6</v>
      </c>
      <c r="E2536" s="35" t="s">
        <v>7293</v>
      </c>
      <c r="F2536" s="16" t="s">
        <v>1285</v>
      </c>
      <c r="G2536" s="16" t="s">
        <v>563</v>
      </c>
      <c r="H2536" s="16" t="s">
        <v>4018</v>
      </c>
      <c r="I2536" s="16" t="s">
        <v>92</v>
      </c>
      <c r="J2536" s="16" t="s">
        <v>7279</v>
      </c>
      <c r="K2536" s="32" t="n">
        <v>7</v>
      </c>
      <c r="L2536" s="33" t="n">
        <v>46513</v>
      </c>
      <c r="M2536" s="33" t="n">
        <v>46519</v>
      </c>
      <c r="N2536" s="16" t="s">
        <v>8476</v>
      </c>
      <c r="O2536" s="16" t="s">
        <v>1299</v>
      </c>
      <c r="P2536" s="16" t="str">
        <f aca="false">IF(AND(L2536&lt;=$D$2,M2536&gt;=$C$2),"Sí","")</f>
        <v/>
      </c>
      <c r="Q2536" s="18" t="str">
        <f aca="false">IF(COUNTIF(LOOKAHEAD!$A$5:$A$604,A2536)&gt;0,"En Lookahead",IF(P2536="Sí","INCORPORAR",""))</f>
        <v/>
      </c>
    </row>
    <row r="2537" customFormat="false" ht="15" hidden="false" customHeight="false" outlineLevel="0" collapsed="false">
      <c r="A2537" s="16" t="s">
        <v>8477</v>
      </c>
      <c r="B2537" s="16" t="n">
        <v>2532</v>
      </c>
      <c r="C2537" s="16" t="s">
        <v>8478</v>
      </c>
      <c r="D2537" s="16" t="n">
        <v>6</v>
      </c>
      <c r="E2537" s="35" t="s">
        <v>7603</v>
      </c>
      <c r="F2537" s="16" t="s">
        <v>1285</v>
      </c>
      <c r="G2537" s="16" t="s">
        <v>563</v>
      </c>
      <c r="H2537" s="16" t="s">
        <v>4018</v>
      </c>
      <c r="I2537" s="16" t="s">
        <v>92</v>
      </c>
      <c r="J2537" s="16" t="s">
        <v>7279</v>
      </c>
      <c r="K2537" s="32" t="n">
        <v>1</v>
      </c>
      <c r="L2537" s="33" t="n">
        <v>46520</v>
      </c>
      <c r="M2537" s="33" t="n">
        <v>46520</v>
      </c>
      <c r="N2537" s="16" t="s">
        <v>8479</v>
      </c>
      <c r="O2537" s="16" t="s">
        <v>1299</v>
      </c>
      <c r="P2537" s="16" t="str">
        <f aca="false">IF(AND(L2537&lt;=$D$2,M2537&gt;=$C$2),"Sí","")</f>
        <v/>
      </c>
      <c r="Q2537" s="18" t="str">
        <f aca="false">IF(COUNTIF(LOOKAHEAD!$A$5:$A$604,A2537)&gt;0,"En Lookahead",IF(P2537="Sí","INCORPORAR",""))</f>
        <v/>
      </c>
    </row>
    <row r="2538" customFormat="false" ht="15" hidden="false" customHeight="false" outlineLevel="0" collapsed="false">
      <c r="A2538" s="13" t="s">
        <v>8480</v>
      </c>
      <c r="B2538" s="13" t="n">
        <v>2533</v>
      </c>
      <c r="C2538" s="13" t="s">
        <v>8481</v>
      </c>
      <c r="D2538" s="13" t="n">
        <v>5</v>
      </c>
      <c r="E2538" s="34" t="s">
        <v>7296</v>
      </c>
      <c r="F2538" s="13" t="s">
        <v>1298</v>
      </c>
      <c r="G2538" s="13" t="s">
        <v>563</v>
      </c>
      <c r="H2538" s="13" t="s">
        <v>4018</v>
      </c>
      <c r="I2538" s="13" t="s">
        <v>92</v>
      </c>
      <c r="J2538" s="13" t="s">
        <v>4018</v>
      </c>
      <c r="K2538" s="30" t="n">
        <v>16</v>
      </c>
      <c r="L2538" s="31" t="n">
        <v>46521</v>
      </c>
      <c r="M2538" s="31" t="n">
        <v>46536</v>
      </c>
      <c r="N2538" s="13"/>
      <c r="O2538" s="13" t="s">
        <v>1299</v>
      </c>
      <c r="P2538" s="13"/>
      <c r="Q2538" s="13"/>
    </row>
    <row r="2539" customFormat="false" ht="15" hidden="false" customHeight="false" outlineLevel="0" collapsed="false">
      <c r="A2539" s="16" t="s">
        <v>8482</v>
      </c>
      <c r="B2539" s="16" t="n">
        <v>2534</v>
      </c>
      <c r="C2539" s="16" t="s">
        <v>8483</v>
      </c>
      <c r="D2539" s="16" t="n">
        <v>6</v>
      </c>
      <c r="E2539" s="35" t="s">
        <v>7299</v>
      </c>
      <c r="F2539" s="16" t="s">
        <v>1285</v>
      </c>
      <c r="G2539" s="16" t="s">
        <v>563</v>
      </c>
      <c r="H2539" s="16" t="s">
        <v>4018</v>
      </c>
      <c r="I2539" s="16" t="s">
        <v>92</v>
      </c>
      <c r="J2539" s="16" t="s">
        <v>7296</v>
      </c>
      <c r="K2539" s="32" t="n">
        <v>6</v>
      </c>
      <c r="L2539" s="33" t="n">
        <v>46521</v>
      </c>
      <c r="M2539" s="33" t="n">
        <v>46526</v>
      </c>
      <c r="N2539" s="16" t="s">
        <v>8484</v>
      </c>
      <c r="O2539" s="16" t="s">
        <v>1299</v>
      </c>
      <c r="P2539" s="16" t="str">
        <f aca="false">IF(AND(L2539&lt;=$D$2,M2539&gt;=$C$2),"Sí","")</f>
        <v/>
      </c>
      <c r="Q2539" s="18" t="str">
        <f aca="false">IF(COUNTIF(LOOKAHEAD!$A$5:$A$604,A2539)&gt;0,"En Lookahead",IF(P2539="Sí","INCORPORAR",""))</f>
        <v/>
      </c>
    </row>
    <row r="2540" customFormat="false" ht="15" hidden="false" customHeight="false" outlineLevel="0" collapsed="false">
      <c r="A2540" s="16" t="s">
        <v>8485</v>
      </c>
      <c r="B2540" s="16" t="n">
        <v>2535</v>
      </c>
      <c r="C2540" s="16" t="s">
        <v>8486</v>
      </c>
      <c r="D2540" s="16" t="n">
        <v>6</v>
      </c>
      <c r="E2540" s="35" t="s">
        <v>7303</v>
      </c>
      <c r="F2540" s="16" t="s">
        <v>1285</v>
      </c>
      <c r="G2540" s="16" t="s">
        <v>563</v>
      </c>
      <c r="H2540" s="16" t="s">
        <v>4018</v>
      </c>
      <c r="I2540" s="16" t="s">
        <v>92</v>
      </c>
      <c r="J2540" s="16" t="s">
        <v>7296</v>
      </c>
      <c r="K2540" s="32" t="n">
        <v>10</v>
      </c>
      <c r="L2540" s="33" t="n">
        <v>46527</v>
      </c>
      <c r="M2540" s="33" t="n">
        <v>46536</v>
      </c>
      <c r="N2540" s="16" t="s">
        <v>8487</v>
      </c>
      <c r="O2540" s="16" t="s">
        <v>1299</v>
      </c>
      <c r="P2540" s="16" t="str">
        <f aca="false">IF(AND(L2540&lt;=$D$2,M2540&gt;=$C$2),"Sí","")</f>
        <v/>
      </c>
      <c r="Q2540" s="18" t="str">
        <f aca="false">IF(COUNTIF(LOOKAHEAD!$A$5:$A$604,A2540)&gt;0,"En Lookahead",IF(P2540="Sí","INCORPORAR",""))</f>
        <v/>
      </c>
    </row>
    <row r="2541" customFormat="false" ht="15" hidden="false" customHeight="false" outlineLevel="0" collapsed="false">
      <c r="A2541" s="13" t="s">
        <v>8488</v>
      </c>
      <c r="B2541" s="13" t="n">
        <v>2536</v>
      </c>
      <c r="C2541" s="13" t="s">
        <v>8489</v>
      </c>
      <c r="D2541" s="13" t="n">
        <v>5</v>
      </c>
      <c r="E2541" s="34" t="s">
        <v>7307</v>
      </c>
      <c r="F2541" s="13" t="s">
        <v>1298</v>
      </c>
      <c r="G2541" s="13" t="s">
        <v>563</v>
      </c>
      <c r="H2541" s="13" t="s">
        <v>4018</v>
      </c>
      <c r="I2541" s="13" t="s">
        <v>92</v>
      </c>
      <c r="J2541" s="13" t="s">
        <v>4018</v>
      </c>
      <c r="K2541" s="30" t="n">
        <v>8</v>
      </c>
      <c r="L2541" s="31" t="n">
        <v>46537</v>
      </c>
      <c r="M2541" s="31" t="n">
        <v>46544</v>
      </c>
      <c r="N2541" s="13"/>
      <c r="O2541" s="13" t="s">
        <v>1299</v>
      </c>
      <c r="P2541" s="13"/>
      <c r="Q2541" s="13"/>
    </row>
    <row r="2542" customFormat="false" ht="15" hidden="false" customHeight="false" outlineLevel="0" collapsed="false">
      <c r="A2542" s="13" t="s">
        <v>8490</v>
      </c>
      <c r="B2542" s="13" t="n">
        <v>2537</v>
      </c>
      <c r="C2542" s="13" t="s">
        <v>8491</v>
      </c>
      <c r="D2542" s="13" t="n">
        <v>6</v>
      </c>
      <c r="E2542" s="36" t="s">
        <v>7310</v>
      </c>
      <c r="F2542" s="13" t="s">
        <v>1298</v>
      </c>
      <c r="G2542" s="13" t="s">
        <v>563</v>
      </c>
      <c r="H2542" s="13" t="s">
        <v>4018</v>
      </c>
      <c r="I2542" s="13" t="s">
        <v>92</v>
      </c>
      <c r="J2542" s="13" t="s">
        <v>7307</v>
      </c>
      <c r="K2542" s="30" t="n">
        <v>8</v>
      </c>
      <c r="L2542" s="31" t="n">
        <v>46537</v>
      </c>
      <c r="M2542" s="31" t="n">
        <v>46544</v>
      </c>
      <c r="N2542" s="13"/>
      <c r="O2542" s="13" t="s">
        <v>1299</v>
      </c>
      <c r="P2542" s="13"/>
      <c r="Q2542" s="13"/>
    </row>
    <row r="2543" customFormat="false" ht="15" hidden="false" customHeight="false" outlineLevel="0" collapsed="false">
      <c r="A2543" s="16" t="s">
        <v>8492</v>
      </c>
      <c r="B2543" s="16" t="n">
        <v>2538</v>
      </c>
      <c r="C2543" s="16" t="s">
        <v>8493</v>
      </c>
      <c r="D2543" s="16" t="n">
        <v>7</v>
      </c>
      <c r="E2543" s="37" t="s">
        <v>7316</v>
      </c>
      <c r="F2543" s="16" t="s">
        <v>1285</v>
      </c>
      <c r="G2543" s="16" t="s">
        <v>563</v>
      </c>
      <c r="H2543" s="16" t="s">
        <v>4018</v>
      </c>
      <c r="I2543" s="16" t="s">
        <v>92</v>
      </c>
      <c r="J2543" s="16" t="s">
        <v>7310</v>
      </c>
      <c r="K2543" s="32" t="n">
        <v>1</v>
      </c>
      <c r="L2543" s="33" t="n">
        <v>46537</v>
      </c>
      <c r="M2543" s="33" t="n">
        <v>46537</v>
      </c>
      <c r="N2543" s="16" t="s">
        <v>8494</v>
      </c>
      <c r="O2543" s="16" t="s">
        <v>1299</v>
      </c>
      <c r="P2543" s="16" t="str">
        <f aca="false">IF(AND(L2543&lt;=$D$2,M2543&gt;=$C$2),"Sí","")</f>
        <v/>
      </c>
      <c r="Q2543" s="18" t="str">
        <f aca="false">IF(COUNTIF(LOOKAHEAD!$A$5:$A$604,A2543)&gt;0,"En Lookahead",IF(P2543="Sí","INCORPORAR",""))</f>
        <v/>
      </c>
    </row>
    <row r="2544" customFormat="false" ht="15" hidden="false" customHeight="false" outlineLevel="0" collapsed="false">
      <c r="A2544" s="16" t="s">
        <v>8495</v>
      </c>
      <c r="B2544" s="16" t="n">
        <v>2539</v>
      </c>
      <c r="C2544" s="16" t="s">
        <v>8496</v>
      </c>
      <c r="D2544" s="16" t="n">
        <v>7</v>
      </c>
      <c r="E2544" s="37" t="s">
        <v>7635</v>
      </c>
      <c r="F2544" s="16" t="s">
        <v>1285</v>
      </c>
      <c r="G2544" s="16" t="s">
        <v>563</v>
      </c>
      <c r="H2544" s="16" t="s">
        <v>4018</v>
      </c>
      <c r="I2544" s="16" t="s">
        <v>92</v>
      </c>
      <c r="J2544" s="16" t="s">
        <v>7310</v>
      </c>
      <c r="K2544" s="32" t="n">
        <v>3</v>
      </c>
      <c r="L2544" s="33" t="n">
        <v>46538</v>
      </c>
      <c r="M2544" s="33" t="n">
        <v>46540</v>
      </c>
      <c r="N2544" s="16" t="s">
        <v>8497</v>
      </c>
      <c r="O2544" s="16" t="s">
        <v>1299</v>
      </c>
      <c r="P2544" s="16" t="str">
        <f aca="false">IF(AND(L2544&lt;=$D$2,M2544&gt;=$C$2),"Sí","")</f>
        <v/>
      </c>
      <c r="Q2544" s="18" t="str">
        <f aca="false">IF(COUNTIF(LOOKAHEAD!$A$5:$A$604,A2544)&gt;0,"En Lookahead",IF(P2544="Sí","INCORPORAR",""))</f>
        <v/>
      </c>
    </row>
    <row r="2545" customFormat="false" ht="15" hidden="false" customHeight="false" outlineLevel="0" collapsed="false">
      <c r="A2545" s="16" t="s">
        <v>8498</v>
      </c>
      <c r="B2545" s="16" t="n">
        <v>2540</v>
      </c>
      <c r="C2545" s="16" t="s">
        <v>8499</v>
      </c>
      <c r="D2545" s="16" t="n">
        <v>7</v>
      </c>
      <c r="E2545" s="37" t="s">
        <v>7324</v>
      </c>
      <c r="F2545" s="16" t="s">
        <v>1285</v>
      </c>
      <c r="G2545" s="16" t="s">
        <v>563</v>
      </c>
      <c r="H2545" s="16" t="s">
        <v>4018</v>
      </c>
      <c r="I2545" s="16" t="s">
        <v>92</v>
      </c>
      <c r="J2545" s="16" t="s">
        <v>7310</v>
      </c>
      <c r="K2545" s="32" t="n">
        <v>1</v>
      </c>
      <c r="L2545" s="33" t="n">
        <v>46541</v>
      </c>
      <c r="M2545" s="33" t="n">
        <v>46541</v>
      </c>
      <c r="N2545" s="16" t="s">
        <v>8500</v>
      </c>
      <c r="O2545" s="16" t="s">
        <v>1299</v>
      </c>
      <c r="P2545" s="16" t="str">
        <f aca="false">IF(AND(L2545&lt;=$D$2,M2545&gt;=$C$2),"Sí","")</f>
        <v/>
      </c>
      <c r="Q2545" s="18" t="str">
        <f aca="false">IF(COUNTIF(LOOKAHEAD!$A$5:$A$604,A2545)&gt;0,"En Lookahead",IF(P2545="Sí","INCORPORAR",""))</f>
        <v/>
      </c>
    </row>
    <row r="2546" customFormat="false" ht="15" hidden="false" customHeight="false" outlineLevel="0" collapsed="false">
      <c r="A2546" s="16" t="s">
        <v>8501</v>
      </c>
      <c r="B2546" s="16" t="n">
        <v>2541</v>
      </c>
      <c r="C2546" s="16" t="s">
        <v>8502</v>
      </c>
      <c r="D2546" s="16" t="n">
        <v>7</v>
      </c>
      <c r="E2546" s="37" t="s">
        <v>8503</v>
      </c>
      <c r="F2546" s="16" t="s">
        <v>1285</v>
      </c>
      <c r="G2546" s="16" t="s">
        <v>563</v>
      </c>
      <c r="H2546" s="16" t="s">
        <v>4018</v>
      </c>
      <c r="I2546" s="16" t="s">
        <v>92</v>
      </c>
      <c r="J2546" s="16" t="s">
        <v>7310</v>
      </c>
      <c r="K2546" s="32" t="n">
        <v>2</v>
      </c>
      <c r="L2546" s="33" t="n">
        <v>46542</v>
      </c>
      <c r="M2546" s="33" t="n">
        <v>46543</v>
      </c>
      <c r="N2546" s="16" t="s">
        <v>8504</v>
      </c>
      <c r="O2546" s="16" t="s">
        <v>1299</v>
      </c>
      <c r="P2546" s="16" t="str">
        <f aca="false">IF(AND(L2546&lt;=$D$2,M2546&gt;=$C$2),"Sí","")</f>
        <v/>
      </c>
      <c r="Q2546" s="18" t="str">
        <f aca="false">IF(COUNTIF(LOOKAHEAD!$A$5:$A$604,A2546)&gt;0,"En Lookahead",IF(P2546="Sí","INCORPORAR",""))</f>
        <v/>
      </c>
    </row>
    <row r="2547" customFormat="false" ht="15" hidden="false" customHeight="false" outlineLevel="0" collapsed="false">
      <c r="A2547" s="16" t="s">
        <v>8505</v>
      </c>
      <c r="B2547" s="16" t="n">
        <v>2542</v>
      </c>
      <c r="C2547" s="16" t="s">
        <v>8506</v>
      </c>
      <c r="D2547" s="16" t="n">
        <v>7</v>
      </c>
      <c r="E2547" s="37" t="s">
        <v>8507</v>
      </c>
      <c r="F2547" s="16" t="s">
        <v>1285</v>
      </c>
      <c r="G2547" s="16" t="s">
        <v>563</v>
      </c>
      <c r="H2547" s="16" t="s">
        <v>4018</v>
      </c>
      <c r="I2547" s="16" t="s">
        <v>92</v>
      </c>
      <c r="J2547" s="16" t="s">
        <v>7310</v>
      </c>
      <c r="K2547" s="32" t="n">
        <v>1</v>
      </c>
      <c r="L2547" s="33" t="n">
        <v>46544</v>
      </c>
      <c r="M2547" s="33" t="n">
        <v>46544</v>
      </c>
      <c r="N2547" s="16" t="s">
        <v>8508</v>
      </c>
      <c r="O2547" s="16" t="s">
        <v>1299</v>
      </c>
      <c r="P2547" s="16" t="str">
        <f aca="false">IF(AND(L2547&lt;=$D$2,M2547&gt;=$C$2),"Sí","")</f>
        <v/>
      </c>
      <c r="Q2547" s="18" t="str">
        <f aca="false">IF(COUNTIF(LOOKAHEAD!$A$5:$A$604,A2547)&gt;0,"En Lookahead",IF(P2547="Sí","INCORPORAR",""))</f>
        <v/>
      </c>
    </row>
    <row r="2548" customFormat="false" ht="15" hidden="false" customHeight="false" outlineLevel="0" collapsed="false">
      <c r="A2548" s="13" t="s">
        <v>8509</v>
      </c>
      <c r="B2548" s="13" t="n">
        <v>2543</v>
      </c>
      <c r="C2548" s="13" t="s">
        <v>8510</v>
      </c>
      <c r="D2548" s="13" t="n">
        <v>5</v>
      </c>
      <c r="E2548" s="34" t="s">
        <v>7328</v>
      </c>
      <c r="F2548" s="13" t="s">
        <v>1298</v>
      </c>
      <c r="G2548" s="13" t="s">
        <v>563</v>
      </c>
      <c r="H2548" s="13" t="s">
        <v>4018</v>
      </c>
      <c r="I2548" s="13" t="s">
        <v>92</v>
      </c>
      <c r="J2548" s="13" t="s">
        <v>4018</v>
      </c>
      <c r="K2548" s="30" t="n">
        <v>13</v>
      </c>
      <c r="L2548" s="31" t="n">
        <v>46545</v>
      </c>
      <c r="M2548" s="31" t="n">
        <v>46557</v>
      </c>
      <c r="N2548" s="13"/>
      <c r="O2548" s="13" t="s">
        <v>1299</v>
      </c>
      <c r="P2548" s="13"/>
      <c r="Q2548" s="13"/>
    </row>
    <row r="2549" customFormat="false" ht="15" hidden="false" customHeight="false" outlineLevel="0" collapsed="false">
      <c r="A2549" s="13" t="s">
        <v>8511</v>
      </c>
      <c r="B2549" s="13" t="n">
        <v>2544</v>
      </c>
      <c r="C2549" s="13" t="s">
        <v>8512</v>
      </c>
      <c r="D2549" s="13" t="n">
        <v>6</v>
      </c>
      <c r="E2549" s="36" t="s">
        <v>7670</v>
      </c>
      <c r="F2549" s="13" t="s">
        <v>1298</v>
      </c>
      <c r="G2549" s="13" t="s">
        <v>563</v>
      </c>
      <c r="H2549" s="13" t="s">
        <v>4018</v>
      </c>
      <c r="I2549" s="13" t="s">
        <v>92</v>
      </c>
      <c r="J2549" s="13" t="s">
        <v>7328</v>
      </c>
      <c r="K2549" s="30" t="n">
        <v>3</v>
      </c>
      <c r="L2549" s="31" t="n">
        <v>46545</v>
      </c>
      <c r="M2549" s="31" t="n">
        <v>46547</v>
      </c>
      <c r="N2549" s="13"/>
      <c r="O2549" s="13" t="s">
        <v>1299</v>
      </c>
      <c r="P2549" s="13"/>
      <c r="Q2549" s="13"/>
    </row>
    <row r="2550" customFormat="false" ht="15" hidden="false" customHeight="false" outlineLevel="0" collapsed="false">
      <c r="A2550" s="16" t="s">
        <v>8513</v>
      </c>
      <c r="B2550" s="16" t="n">
        <v>2545</v>
      </c>
      <c r="C2550" s="16" t="s">
        <v>8514</v>
      </c>
      <c r="D2550" s="16" t="n">
        <v>7</v>
      </c>
      <c r="E2550" s="37" t="s">
        <v>7673</v>
      </c>
      <c r="F2550" s="16" t="s">
        <v>1285</v>
      </c>
      <c r="G2550" s="16" t="s">
        <v>563</v>
      </c>
      <c r="H2550" s="16" t="s">
        <v>4018</v>
      </c>
      <c r="I2550" s="16" t="s">
        <v>92</v>
      </c>
      <c r="J2550" s="16" t="s">
        <v>7670</v>
      </c>
      <c r="K2550" s="32" t="n">
        <v>3</v>
      </c>
      <c r="L2550" s="33" t="n">
        <v>46545</v>
      </c>
      <c r="M2550" s="33" t="n">
        <v>46547</v>
      </c>
      <c r="N2550" s="16" t="s">
        <v>8515</v>
      </c>
      <c r="O2550" s="16" t="s">
        <v>1299</v>
      </c>
      <c r="P2550" s="16" t="str">
        <f aca="false">IF(AND(L2550&lt;=$D$2,M2550&gt;=$C$2),"Sí","")</f>
        <v/>
      </c>
      <c r="Q2550" s="18" t="str">
        <f aca="false">IF(COUNTIF(LOOKAHEAD!$A$5:$A$604,A2550)&gt;0,"En Lookahead",IF(P2550="Sí","INCORPORAR",""))</f>
        <v/>
      </c>
    </row>
    <row r="2551" customFormat="false" ht="15" hidden="false" customHeight="false" outlineLevel="0" collapsed="false">
      <c r="A2551" s="13" t="s">
        <v>8516</v>
      </c>
      <c r="B2551" s="13" t="n">
        <v>2546</v>
      </c>
      <c r="C2551" s="13" t="s">
        <v>8517</v>
      </c>
      <c r="D2551" s="13" t="n">
        <v>6</v>
      </c>
      <c r="E2551" s="36" t="s">
        <v>7356</v>
      </c>
      <c r="F2551" s="13" t="s">
        <v>1298</v>
      </c>
      <c r="G2551" s="13" t="s">
        <v>563</v>
      </c>
      <c r="H2551" s="13" t="s">
        <v>4018</v>
      </c>
      <c r="I2551" s="13" t="s">
        <v>92</v>
      </c>
      <c r="J2551" s="13" t="s">
        <v>7328</v>
      </c>
      <c r="K2551" s="30" t="n">
        <v>1</v>
      </c>
      <c r="L2551" s="31" t="n">
        <v>46548</v>
      </c>
      <c r="M2551" s="31" t="n">
        <v>46548</v>
      </c>
      <c r="N2551" s="13"/>
      <c r="O2551" s="13" t="s">
        <v>1299</v>
      </c>
      <c r="P2551" s="13"/>
      <c r="Q2551" s="13"/>
    </row>
    <row r="2552" customFormat="false" ht="15" hidden="false" customHeight="false" outlineLevel="0" collapsed="false">
      <c r="A2552" s="16" t="s">
        <v>8518</v>
      </c>
      <c r="B2552" s="16" t="n">
        <v>2547</v>
      </c>
      <c r="C2552" s="16" t="s">
        <v>8519</v>
      </c>
      <c r="D2552" s="16" t="n">
        <v>7</v>
      </c>
      <c r="E2552" s="37" t="s">
        <v>7359</v>
      </c>
      <c r="F2552" s="16" t="s">
        <v>1285</v>
      </c>
      <c r="G2552" s="16" t="s">
        <v>563</v>
      </c>
      <c r="H2552" s="16" t="s">
        <v>4018</v>
      </c>
      <c r="I2552" s="16" t="s">
        <v>92</v>
      </c>
      <c r="J2552" s="16" t="s">
        <v>7356</v>
      </c>
      <c r="K2552" s="32" t="n">
        <v>1</v>
      </c>
      <c r="L2552" s="33" t="n">
        <v>46548</v>
      </c>
      <c r="M2552" s="33" t="n">
        <v>46548</v>
      </c>
      <c r="N2552" s="16" t="s">
        <v>8520</v>
      </c>
      <c r="O2552" s="16" t="s">
        <v>1299</v>
      </c>
      <c r="P2552" s="16" t="str">
        <f aca="false">IF(AND(L2552&lt;=$D$2,M2552&gt;=$C$2),"Sí","")</f>
        <v/>
      </c>
      <c r="Q2552" s="18" t="str">
        <f aca="false">IF(COUNTIF(LOOKAHEAD!$A$5:$A$604,A2552)&gt;0,"En Lookahead",IF(P2552="Sí","INCORPORAR",""))</f>
        <v/>
      </c>
    </row>
    <row r="2553" customFormat="false" ht="15" hidden="false" customHeight="false" outlineLevel="0" collapsed="false">
      <c r="A2553" s="13" t="s">
        <v>8521</v>
      </c>
      <c r="B2553" s="13" t="n">
        <v>2548</v>
      </c>
      <c r="C2553" s="13" t="s">
        <v>8522</v>
      </c>
      <c r="D2553" s="13" t="n">
        <v>6</v>
      </c>
      <c r="E2553" s="36" t="s">
        <v>8523</v>
      </c>
      <c r="F2553" s="13" t="s">
        <v>1298</v>
      </c>
      <c r="G2553" s="13" t="s">
        <v>563</v>
      </c>
      <c r="H2553" s="13" t="s">
        <v>4018</v>
      </c>
      <c r="I2553" s="13" t="s">
        <v>92</v>
      </c>
      <c r="J2553" s="13" t="s">
        <v>7328</v>
      </c>
      <c r="K2553" s="30" t="n">
        <v>6</v>
      </c>
      <c r="L2553" s="31" t="n">
        <v>46549</v>
      </c>
      <c r="M2553" s="31" t="n">
        <v>46554</v>
      </c>
      <c r="N2553" s="13"/>
      <c r="O2553" s="13" t="s">
        <v>1299</v>
      </c>
      <c r="P2553" s="13"/>
      <c r="Q2553" s="13"/>
    </row>
    <row r="2554" customFormat="false" ht="15" hidden="false" customHeight="false" outlineLevel="0" collapsed="false">
      <c r="A2554" s="16" t="s">
        <v>8524</v>
      </c>
      <c r="B2554" s="16" t="n">
        <v>2549</v>
      </c>
      <c r="C2554" s="16" t="s">
        <v>8525</v>
      </c>
      <c r="D2554" s="16" t="n">
        <v>7</v>
      </c>
      <c r="E2554" s="37" t="s">
        <v>7694</v>
      </c>
      <c r="F2554" s="16" t="s">
        <v>1285</v>
      </c>
      <c r="G2554" s="16" t="s">
        <v>563</v>
      </c>
      <c r="H2554" s="16" t="s">
        <v>4018</v>
      </c>
      <c r="I2554" s="16" t="s">
        <v>92</v>
      </c>
      <c r="J2554" s="16" t="s">
        <v>8523</v>
      </c>
      <c r="K2554" s="32" t="n">
        <v>6</v>
      </c>
      <c r="L2554" s="33" t="n">
        <v>46549</v>
      </c>
      <c r="M2554" s="33" t="n">
        <v>46554</v>
      </c>
      <c r="N2554" s="16" t="s">
        <v>8526</v>
      </c>
      <c r="O2554" s="16" t="s">
        <v>1299</v>
      </c>
      <c r="P2554" s="16" t="str">
        <f aca="false">IF(AND(L2554&lt;=$D$2,M2554&gt;=$C$2),"Sí","")</f>
        <v/>
      </c>
      <c r="Q2554" s="18" t="str">
        <f aca="false">IF(COUNTIF(LOOKAHEAD!$A$5:$A$604,A2554)&gt;0,"En Lookahead",IF(P2554="Sí","INCORPORAR",""))</f>
        <v/>
      </c>
    </row>
    <row r="2555" customFormat="false" ht="15" hidden="false" customHeight="false" outlineLevel="0" collapsed="false">
      <c r="A2555" s="13" t="s">
        <v>8527</v>
      </c>
      <c r="B2555" s="13" t="n">
        <v>2550</v>
      </c>
      <c r="C2555" s="13" t="s">
        <v>8528</v>
      </c>
      <c r="D2555" s="13" t="n">
        <v>6</v>
      </c>
      <c r="E2555" s="36" t="s">
        <v>7698</v>
      </c>
      <c r="F2555" s="13" t="s">
        <v>1298</v>
      </c>
      <c r="G2555" s="13" t="s">
        <v>563</v>
      </c>
      <c r="H2555" s="13" t="s">
        <v>4018</v>
      </c>
      <c r="I2555" s="13" t="s">
        <v>92</v>
      </c>
      <c r="J2555" s="13" t="s">
        <v>7328</v>
      </c>
      <c r="K2555" s="30" t="n">
        <v>1</v>
      </c>
      <c r="L2555" s="31" t="n">
        <v>46555</v>
      </c>
      <c r="M2555" s="31" t="n">
        <v>46555</v>
      </c>
      <c r="N2555" s="13"/>
      <c r="O2555" s="13" t="s">
        <v>1299</v>
      </c>
      <c r="P2555" s="13"/>
      <c r="Q2555" s="13"/>
    </row>
    <row r="2556" customFormat="false" ht="15" hidden="false" customHeight="false" outlineLevel="0" collapsed="false">
      <c r="A2556" s="16" t="s">
        <v>8529</v>
      </c>
      <c r="B2556" s="16" t="n">
        <v>2551</v>
      </c>
      <c r="C2556" s="16" t="s">
        <v>8530</v>
      </c>
      <c r="D2556" s="16" t="n">
        <v>7</v>
      </c>
      <c r="E2556" s="37" t="s">
        <v>7701</v>
      </c>
      <c r="F2556" s="16" t="s">
        <v>1285</v>
      </c>
      <c r="G2556" s="16" t="s">
        <v>563</v>
      </c>
      <c r="H2556" s="16" t="s">
        <v>4018</v>
      </c>
      <c r="I2556" s="16" t="s">
        <v>92</v>
      </c>
      <c r="J2556" s="16" t="s">
        <v>7698</v>
      </c>
      <c r="K2556" s="32" t="n">
        <v>1</v>
      </c>
      <c r="L2556" s="33" t="n">
        <v>46555</v>
      </c>
      <c r="M2556" s="33" t="n">
        <v>46555</v>
      </c>
      <c r="N2556" s="16" t="s">
        <v>8531</v>
      </c>
      <c r="O2556" s="16" t="s">
        <v>1299</v>
      </c>
      <c r="P2556" s="16" t="str">
        <f aca="false">IF(AND(L2556&lt;=$D$2,M2556&gt;=$C$2),"Sí","")</f>
        <v/>
      </c>
      <c r="Q2556" s="18" t="str">
        <f aca="false">IF(COUNTIF(LOOKAHEAD!$A$5:$A$604,A2556)&gt;0,"En Lookahead",IF(P2556="Sí","INCORPORAR",""))</f>
        <v/>
      </c>
    </row>
    <row r="2557" customFormat="false" ht="15" hidden="false" customHeight="false" outlineLevel="0" collapsed="false">
      <c r="A2557" s="13" t="s">
        <v>8532</v>
      </c>
      <c r="B2557" s="13" t="n">
        <v>2552</v>
      </c>
      <c r="C2557" s="13" t="s">
        <v>8533</v>
      </c>
      <c r="D2557" s="13" t="n">
        <v>6</v>
      </c>
      <c r="E2557" s="36" t="s">
        <v>7583</v>
      </c>
      <c r="F2557" s="13" t="s">
        <v>1298</v>
      </c>
      <c r="G2557" s="13" t="s">
        <v>563</v>
      </c>
      <c r="H2557" s="13" t="s">
        <v>4018</v>
      </c>
      <c r="I2557" s="13" t="s">
        <v>92</v>
      </c>
      <c r="J2557" s="13" t="s">
        <v>7328</v>
      </c>
      <c r="K2557" s="30" t="n">
        <v>2</v>
      </c>
      <c r="L2557" s="31" t="n">
        <v>46556</v>
      </c>
      <c r="M2557" s="31" t="n">
        <v>46557</v>
      </c>
      <c r="N2557" s="13"/>
      <c r="O2557" s="13" t="s">
        <v>1299</v>
      </c>
      <c r="P2557" s="13"/>
      <c r="Q2557" s="13"/>
    </row>
    <row r="2558" customFormat="false" ht="15" hidden="false" customHeight="false" outlineLevel="0" collapsed="false">
      <c r="A2558" s="16" t="s">
        <v>8534</v>
      </c>
      <c r="B2558" s="16" t="n">
        <v>2553</v>
      </c>
      <c r="C2558" s="16" t="s">
        <v>8535</v>
      </c>
      <c r="D2558" s="16" t="n">
        <v>7</v>
      </c>
      <c r="E2558" s="37" t="s">
        <v>7586</v>
      </c>
      <c r="F2558" s="16" t="s">
        <v>1285</v>
      </c>
      <c r="G2558" s="16" t="s">
        <v>563</v>
      </c>
      <c r="H2558" s="16" t="s">
        <v>4018</v>
      </c>
      <c r="I2558" s="16" t="s">
        <v>92</v>
      </c>
      <c r="J2558" s="16" t="s">
        <v>7583</v>
      </c>
      <c r="K2558" s="32" t="n">
        <v>2</v>
      </c>
      <c r="L2558" s="33" t="n">
        <v>46556</v>
      </c>
      <c r="M2558" s="33" t="n">
        <v>46557</v>
      </c>
      <c r="N2558" s="16" t="s">
        <v>8536</v>
      </c>
      <c r="O2558" s="16" t="s">
        <v>1299</v>
      </c>
      <c r="P2558" s="16" t="str">
        <f aca="false">IF(AND(L2558&lt;=$D$2,M2558&gt;=$C$2),"Sí","")</f>
        <v/>
      </c>
      <c r="Q2558" s="18" t="str">
        <f aca="false">IF(COUNTIF(LOOKAHEAD!$A$5:$A$604,A2558)&gt;0,"En Lookahead",IF(P2558="Sí","INCORPORAR",""))</f>
        <v/>
      </c>
    </row>
    <row r="2559" customFormat="false" ht="15" hidden="false" customHeight="false" outlineLevel="0" collapsed="false">
      <c r="A2559" s="13" t="s">
        <v>8537</v>
      </c>
      <c r="B2559" s="13" t="n">
        <v>2554</v>
      </c>
      <c r="C2559" s="13" t="s">
        <v>8538</v>
      </c>
      <c r="D2559" s="13" t="n">
        <v>5</v>
      </c>
      <c r="E2559" s="34" t="s">
        <v>7368</v>
      </c>
      <c r="F2559" s="13" t="s">
        <v>1298</v>
      </c>
      <c r="G2559" s="13" t="s">
        <v>563</v>
      </c>
      <c r="H2559" s="13" t="s">
        <v>4018</v>
      </c>
      <c r="I2559" s="13" t="s">
        <v>92</v>
      </c>
      <c r="J2559" s="13" t="s">
        <v>4018</v>
      </c>
      <c r="K2559" s="30" t="n">
        <v>48</v>
      </c>
      <c r="L2559" s="31" t="n">
        <v>46558</v>
      </c>
      <c r="M2559" s="31" t="n">
        <v>46605</v>
      </c>
      <c r="N2559" s="13"/>
      <c r="O2559" s="13" t="s">
        <v>1299</v>
      </c>
      <c r="P2559" s="13"/>
      <c r="Q2559" s="13"/>
    </row>
    <row r="2560" customFormat="false" ht="15" hidden="false" customHeight="false" outlineLevel="0" collapsed="false">
      <c r="A2560" s="13" t="s">
        <v>8539</v>
      </c>
      <c r="B2560" s="13" t="n">
        <v>2555</v>
      </c>
      <c r="C2560" s="13" t="s">
        <v>8540</v>
      </c>
      <c r="D2560" s="13" t="n">
        <v>6</v>
      </c>
      <c r="E2560" s="36" t="s">
        <v>7310</v>
      </c>
      <c r="F2560" s="13" t="s">
        <v>1298</v>
      </c>
      <c r="G2560" s="13" t="s">
        <v>563</v>
      </c>
      <c r="H2560" s="13" t="s">
        <v>4018</v>
      </c>
      <c r="I2560" s="13" t="s">
        <v>92</v>
      </c>
      <c r="J2560" s="13" t="s">
        <v>7368</v>
      </c>
      <c r="K2560" s="30" t="n">
        <v>6</v>
      </c>
      <c r="L2560" s="31" t="n">
        <v>46558</v>
      </c>
      <c r="M2560" s="31" t="n">
        <v>46563</v>
      </c>
      <c r="N2560" s="13"/>
      <c r="O2560" s="13" t="s">
        <v>1299</v>
      </c>
      <c r="P2560" s="13"/>
      <c r="Q2560" s="13"/>
    </row>
    <row r="2561" customFormat="false" ht="15" hidden="false" customHeight="false" outlineLevel="0" collapsed="false">
      <c r="A2561" s="16" t="s">
        <v>8541</v>
      </c>
      <c r="B2561" s="16" t="n">
        <v>2556</v>
      </c>
      <c r="C2561" s="16" t="s">
        <v>8542</v>
      </c>
      <c r="D2561" s="16" t="n">
        <v>7</v>
      </c>
      <c r="E2561" s="37" t="s">
        <v>7376</v>
      </c>
      <c r="F2561" s="16" t="s">
        <v>1285</v>
      </c>
      <c r="G2561" s="16" t="s">
        <v>563</v>
      </c>
      <c r="H2561" s="16" t="s">
        <v>4018</v>
      </c>
      <c r="I2561" s="16" t="s">
        <v>92</v>
      </c>
      <c r="J2561" s="16" t="s">
        <v>7310</v>
      </c>
      <c r="K2561" s="32" t="n">
        <v>4</v>
      </c>
      <c r="L2561" s="33" t="n">
        <v>46558</v>
      </c>
      <c r="M2561" s="33" t="n">
        <v>46561</v>
      </c>
      <c r="N2561" s="16" t="s">
        <v>8543</v>
      </c>
      <c r="O2561" s="16" t="s">
        <v>1299</v>
      </c>
      <c r="P2561" s="16" t="str">
        <f aca="false">IF(AND(L2561&lt;=$D$2,M2561&gt;=$C$2),"Sí","")</f>
        <v/>
      </c>
      <c r="Q2561" s="18" t="str">
        <f aca="false">IF(COUNTIF(LOOKAHEAD!$A$5:$A$604,A2561)&gt;0,"En Lookahead",IF(P2561="Sí","INCORPORAR",""))</f>
        <v/>
      </c>
    </row>
    <row r="2562" customFormat="false" ht="15" hidden="false" customHeight="false" outlineLevel="0" collapsed="false">
      <c r="A2562" s="16" t="s">
        <v>8544</v>
      </c>
      <c r="B2562" s="16" t="n">
        <v>2557</v>
      </c>
      <c r="C2562" s="16" t="s">
        <v>8545</v>
      </c>
      <c r="D2562" s="16" t="n">
        <v>7</v>
      </c>
      <c r="E2562" s="37" t="s">
        <v>7380</v>
      </c>
      <c r="F2562" s="16" t="s">
        <v>1285</v>
      </c>
      <c r="G2562" s="16" t="s">
        <v>563</v>
      </c>
      <c r="H2562" s="16" t="s">
        <v>4018</v>
      </c>
      <c r="I2562" s="16" t="s">
        <v>92</v>
      </c>
      <c r="J2562" s="16" t="s">
        <v>7310</v>
      </c>
      <c r="K2562" s="32" t="n">
        <v>1</v>
      </c>
      <c r="L2562" s="33" t="n">
        <v>46562</v>
      </c>
      <c r="M2562" s="33" t="n">
        <v>46562</v>
      </c>
      <c r="N2562" s="16" t="s">
        <v>8546</v>
      </c>
      <c r="O2562" s="16" t="s">
        <v>1299</v>
      </c>
      <c r="P2562" s="16" t="str">
        <f aca="false">IF(AND(L2562&lt;=$D$2,M2562&gt;=$C$2),"Sí","")</f>
        <v/>
      </c>
      <c r="Q2562" s="18" t="str">
        <f aca="false">IF(COUNTIF(LOOKAHEAD!$A$5:$A$604,A2562)&gt;0,"En Lookahead",IF(P2562="Sí","INCORPORAR",""))</f>
        <v/>
      </c>
    </row>
    <row r="2563" customFormat="false" ht="15" hidden="false" customHeight="false" outlineLevel="0" collapsed="false">
      <c r="A2563" s="16" t="s">
        <v>8547</v>
      </c>
      <c r="B2563" s="16" t="n">
        <v>2558</v>
      </c>
      <c r="C2563" s="16" t="s">
        <v>8548</v>
      </c>
      <c r="D2563" s="16" t="n">
        <v>7</v>
      </c>
      <c r="E2563" s="37" t="s">
        <v>7388</v>
      </c>
      <c r="F2563" s="16" t="s">
        <v>1285</v>
      </c>
      <c r="G2563" s="16" t="s">
        <v>563</v>
      </c>
      <c r="H2563" s="16" t="s">
        <v>4018</v>
      </c>
      <c r="I2563" s="16" t="s">
        <v>92</v>
      </c>
      <c r="J2563" s="16" t="s">
        <v>7310</v>
      </c>
      <c r="K2563" s="32" t="n">
        <v>1</v>
      </c>
      <c r="L2563" s="33" t="n">
        <v>46563</v>
      </c>
      <c r="M2563" s="33" t="n">
        <v>46563</v>
      </c>
      <c r="N2563" s="16" t="s">
        <v>8549</v>
      </c>
      <c r="O2563" s="16" t="s">
        <v>1299</v>
      </c>
      <c r="P2563" s="16" t="str">
        <f aca="false">IF(AND(L2563&lt;=$D$2,M2563&gt;=$C$2),"Sí","")</f>
        <v/>
      </c>
      <c r="Q2563" s="18" t="str">
        <f aca="false">IF(COUNTIF(LOOKAHEAD!$A$5:$A$604,A2563)&gt;0,"En Lookahead",IF(P2563="Sí","INCORPORAR",""))</f>
        <v/>
      </c>
    </row>
    <row r="2564" customFormat="false" ht="15" hidden="false" customHeight="false" outlineLevel="0" collapsed="false">
      <c r="A2564" s="13" t="s">
        <v>8550</v>
      </c>
      <c r="B2564" s="13" t="n">
        <v>2559</v>
      </c>
      <c r="C2564" s="13" t="s">
        <v>8551</v>
      </c>
      <c r="D2564" s="13" t="n">
        <v>6</v>
      </c>
      <c r="E2564" s="36" t="s">
        <v>7349</v>
      </c>
      <c r="F2564" s="13" t="s">
        <v>1298</v>
      </c>
      <c r="G2564" s="13" t="s">
        <v>563</v>
      </c>
      <c r="H2564" s="13" t="s">
        <v>4018</v>
      </c>
      <c r="I2564" s="13" t="s">
        <v>92</v>
      </c>
      <c r="J2564" s="13" t="s">
        <v>7368</v>
      </c>
      <c r="K2564" s="30" t="n">
        <v>4</v>
      </c>
      <c r="L2564" s="31" t="n">
        <v>46564</v>
      </c>
      <c r="M2564" s="31" t="n">
        <v>46567</v>
      </c>
      <c r="N2564" s="13"/>
      <c r="O2564" s="13" t="s">
        <v>1299</v>
      </c>
      <c r="P2564" s="13"/>
      <c r="Q2564" s="13"/>
    </row>
    <row r="2565" customFormat="false" ht="15" hidden="false" customHeight="false" outlineLevel="0" collapsed="false">
      <c r="A2565" s="16" t="s">
        <v>8552</v>
      </c>
      <c r="B2565" s="16" t="n">
        <v>2560</v>
      </c>
      <c r="C2565" s="16" t="s">
        <v>8553</v>
      </c>
      <c r="D2565" s="16" t="n">
        <v>7</v>
      </c>
      <c r="E2565" s="37" t="s">
        <v>7394</v>
      </c>
      <c r="F2565" s="16" t="s">
        <v>1285</v>
      </c>
      <c r="G2565" s="16" t="s">
        <v>563</v>
      </c>
      <c r="H2565" s="16" t="s">
        <v>4018</v>
      </c>
      <c r="I2565" s="16" t="s">
        <v>92</v>
      </c>
      <c r="J2565" s="16" t="s">
        <v>7349</v>
      </c>
      <c r="K2565" s="32" t="n">
        <v>4</v>
      </c>
      <c r="L2565" s="33" t="n">
        <v>46564</v>
      </c>
      <c r="M2565" s="33" t="n">
        <v>46567</v>
      </c>
      <c r="N2565" s="16" t="s">
        <v>8554</v>
      </c>
      <c r="O2565" s="16" t="s">
        <v>1299</v>
      </c>
      <c r="P2565" s="16" t="str">
        <f aca="false">IF(AND(L2565&lt;=$D$2,M2565&gt;=$C$2),"Sí","")</f>
        <v/>
      </c>
      <c r="Q2565" s="18" t="str">
        <f aca="false">IF(COUNTIF(LOOKAHEAD!$A$5:$A$604,A2565)&gt;0,"En Lookahead",IF(P2565="Sí","INCORPORAR",""))</f>
        <v/>
      </c>
    </row>
    <row r="2566" customFormat="false" ht="15" hidden="false" customHeight="false" outlineLevel="0" collapsed="false">
      <c r="A2566" s="13" t="s">
        <v>8555</v>
      </c>
      <c r="B2566" s="13" t="n">
        <v>2561</v>
      </c>
      <c r="C2566" s="13" t="s">
        <v>8556</v>
      </c>
      <c r="D2566" s="13" t="n">
        <v>6</v>
      </c>
      <c r="E2566" s="36" t="s">
        <v>2137</v>
      </c>
      <c r="F2566" s="13" t="s">
        <v>1298</v>
      </c>
      <c r="G2566" s="13" t="s">
        <v>563</v>
      </c>
      <c r="H2566" s="13" t="s">
        <v>4018</v>
      </c>
      <c r="I2566" s="13" t="s">
        <v>92</v>
      </c>
      <c r="J2566" s="13" t="s">
        <v>7368</v>
      </c>
      <c r="K2566" s="30" t="n">
        <v>38</v>
      </c>
      <c r="L2566" s="31" t="n">
        <v>46568</v>
      </c>
      <c r="M2566" s="31" t="n">
        <v>46605</v>
      </c>
      <c r="N2566" s="13"/>
      <c r="O2566" s="13" t="s">
        <v>1299</v>
      </c>
      <c r="P2566" s="13"/>
      <c r="Q2566" s="13"/>
    </row>
    <row r="2567" customFormat="false" ht="15" hidden="false" customHeight="false" outlineLevel="0" collapsed="false">
      <c r="A2567" s="16" t="s">
        <v>8557</v>
      </c>
      <c r="B2567" s="16" t="n">
        <v>2562</v>
      </c>
      <c r="C2567" s="16" t="s">
        <v>8558</v>
      </c>
      <c r="D2567" s="16" t="n">
        <v>7</v>
      </c>
      <c r="E2567" s="37" t="s">
        <v>7750</v>
      </c>
      <c r="F2567" s="16" t="s">
        <v>1285</v>
      </c>
      <c r="G2567" s="16" t="s">
        <v>563</v>
      </c>
      <c r="H2567" s="16" t="s">
        <v>4018</v>
      </c>
      <c r="I2567" s="16" t="s">
        <v>92</v>
      </c>
      <c r="J2567" s="16" t="s">
        <v>2137</v>
      </c>
      <c r="K2567" s="32" t="n">
        <v>1</v>
      </c>
      <c r="L2567" s="33" t="n">
        <v>46568</v>
      </c>
      <c r="M2567" s="33" t="n">
        <v>46568</v>
      </c>
      <c r="N2567" s="16" t="s">
        <v>8559</v>
      </c>
      <c r="O2567" s="16" t="s">
        <v>1299</v>
      </c>
      <c r="P2567" s="16" t="str">
        <f aca="false">IF(AND(L2567&lt;=$D$2,M2567&gt;=$C$2),"Sí","")</f>
        <v/>
      </c>
      <c r="Q2567" s="18" t="str">
        <f aca="false">IF(COUNTIF(LOOKAHEAD!$A$5:$A$604,A2567)&gt;0,"En Lookahead",IF(P2567="Sí","INCORPORAR",""))</f>
        <v/>
      </c>
    </row>
    <row r="2568" customFormat="false" ht="15" hidden="false" customHeight="false" outlineLevel="0" collapsed="false">
      <c r="A2568" s="16" t="s">
        <v>8560</v>
      </c>
      <c r="B2568" s="16" t="n">
        <v>2563</v>
      </c>
      <c r="C2568" s="16" t="s">
        <v>8561</v>
      </c>
      <c r="D2568" s="16" t="n">
        <v>7</v>
      </c>
      <c r="E2568" s="37" t="s">
        <v>7412</v>
      </c>
      <c r="F2568" s="16" t="s">
        <v>1285</v>
      </c>
      <c r="G2568" s="16" t="s">
        <v>563</v>
      </c>
      <c r="H2568" s="16" t="s">
        <v>4018</v>
      </c>
      <c r="I2568" s="16" t="s">
        <v>92</v>
      </c>
      <c r="J2568" s="16" t="s">
        <v>2137</v>
      </c>
      <c r="K2568" s="32" t="n">
        <v>20</v>
      </c>
      <c r="L2568" s="33" t="n">
        <v>46569</v>
      </c>
      <c r="M2568" s="33" t="n">
        <v>46588</v>
      </c>
      <c r="N2568" s="16" t="s">
        <v>8562</v>
      </c>
      <c r="O2568" s="16" t="s">
        <v>1299</v>
      </c>
      <c r="P2568" s="16" t="str">
        <f aca="false">IF(AND(L2568&lt;=$D$2,M2568&gt;=$C$2),"Sí","")</f>
        <v/>
      </c>
      <c r="Q2568" s="18" t="str">
        <f aca="false">IF(COUNTIF(LOOKAHEAD!$A$5:$A$604,A2568)&gt;0,"En Lookahead",IF(P2568="Sí","INCORPORAR",""))</f>
        <v/>
      </c>
    </row>
    <row r="2569" customFormat="false" ht="15" hidden="false" customHeight="false" outlineLevel="0" collapsed="false">
      <c r="A2569" s="16" t="s">
        <v>8563</v>
      </c>
      <c r="B2569" s="16" t="n">
        <v>2564</v>
      </c>
      <c r="C2569" s="16" t="s">
        <v>8564</v>
      </c>
      <c r="D2569" s="16" t="n">
        <v>7</v>
      </c>
      <c r="E2569" s="37" t="s">
        <v>7739</v>
      </c>
      <c r="F2569" s="16" t="s">
        <v>1285</v>
      </c>
      <c r="G2569" s="16" t="s">
        <v>563</v>
      </c>
      <c r="H2569" s="16" t="s">
        <v>4018</v>
      </c>
      <c r="I2569" s="16" t="s">
        <v>92</v>
      </c>
      <c r="J2569" s="16" t="s">
        <v>2137</v>
      </c>
      <c r="K2569" s="32" t="n">
        <v>26</v>
      </c>
      <c r="L2569" s="33" t="n">
        <v>46579</v>
      </c>
      <c r="M2569" s="33" t="n">
        <v>46604</v>
      </c>
      <c r="N2569" s="16" t="s">
        <v>8565</v>
      </c>
      <c r="O2569" s="16" t="s">
        <v>1299</v>
      </c>
      <c r="P2569" s="16" t="str">
        <f aca="false">IF(AND(L2569&lt;=$D$2,M2569&gt;=$C$2),"Sí","")</f>
        <v/>
      </c>
      <c r="Q2569" s="18" t="str">
        <f aca="false">IF(COUNTIF(LOOKAHEAD!$A$5:$A$604,A2569)&gt;0,"En Lookahead",IF(P2569="Sí","INCORPORAR",""))</f>
        <v/>
      </c>
    </row>
    <row r="2570" customFormat="false" ht="15" hidden="false" customHeight="false" outlineLevel="0" collapsed="false">
      <c r="A2570" s="16" t="s">
        <v>8566</v>
      </c>
      <c r="B2570" s="16" t="n">
        <v>2565</v>
      </c>
      <c r="C2570" s="16" t="s">
        <v>8567</v>
      </c>
      <c r="D2570" s="16" t="n">
        <v>7</v>
      </c>
      <c r="E2570" s="37" t="s">
        <v>7405</v>
      </c>
      <c r="F2570" s="16" t="s">
        <v>1285</v>
      </c>
      <c r="G2570" s="16" t="s">
        <v>563</v>
      </c>
      <c r="H2570" s="16" t="s">
        <v>4018</v>
      </c>
      <c r="I2570" s="16" t="s">
        <v>92</v>
      </c>
      <c r="J2570" s="16" t="s">
        <v>2137</v>
      </c>
      <c r="K2570" s="32" t="n">
        <v>1</v>
      </c>
      <c r="L2570" s="33" t="n">
        <v>46605</v>
      </c>
      <c r="M2570" s="33" t="n">
        <v>46605</v>
      </c>
      <c r="N2570" s="16" t="s">
        <v>8568</v>
      </c>
      <c r="O2570" s="16" t="s">
        <v>1299</v>
      </c>
      <c r="P2570" s="16" t="str">
        <f aca="false">IF(AND(L2570&lt;=$D$2,M2570&gt;=$C$2),"Sí","")</f>
        <v/>
      </c>
      <c r="Q2570" s="18" t="str">
        <f aca="false">IF(COUNTIF(LOOKAHEAD!$A$5:$A$604,A2570)&gt;0,"En Lookahead",IF(P2570="Sí","INCORPORAR",""))</f>
        <v/>
      </c>
    </row>
    <row r="2571" customFormat="false" ht="15" hidden="false" customHeight="false" outlineLevel="0" collapsed="false">
      <c r="A2571" s="13" t="s">
        <v>8569</v>
      </c>
      <c r="B2571" s="13" t="n">
        <v>2566</v>
      </c>
      <c r="C2571" s="13" t="s">
        <v>8570</v>
      </c>
      <c r="D2571" s="13" t="n">
        <v>5</v>
      </c>
      <c r="E2571" s="34" t="s">
        <v>7416</v>
      </c>
      <c r="F2571" s="13" t="s">
        <v>1298</v>
      </c>
      <c r="G2571" s="13" t="s">
        <v>563</v>
      </c>
      <c r="H2571" s="13" t="s">
        <v>4018</v>
      </c>
      <c r="I2571" s="13" t="s">
        <v>92</v>
      </c>
      <c r="J2571" s="13" t="s">
        <v>4018</v>
      </c>
      <c r="K2571" s="30" t="n">
        <v>152</v>
      </c>
      <c r="L2571" s="31" t="n">
        <v>46441</v>
      </c>
      <c r="M2571" s="31" t="n">
        <v>46592</v>
      </c>
      <c r="N2571" s="13"/>
      <c r="O2571" s="13"/>
      <c r="P2571" s="13"/>
      <c r="Q2571" s="13"/>
    </row>
    <row r="2572" customFormat="false" ht="15" hidden="false" customHeight="false" outlineLevel="0" collapsed="false">
      <c r="A2572" s="16" t="s">
        <v>8571</v>
      </c>
      <c r="B2572" s="16" t="n">
        <v>2567</v>
      </c>
      <c r="C2572" s="16" t="s">
        <v>8572</v>
      </c>
      <c r="D2572" s="16" t="n">
        <v>6</v>
      </c>
      <c r="E2572" s="35" t="s">
        <v>7419</v>
      </c>
      <c r="F2572" s="16" t="s">
        <v>1285</v>
      </c>
      <c r="G2572" s="16" t="s">
        <v>563</v>
      </c>
      <c r="H2572" s="16" t="s">
        <v>4018</v>
      </c>
      <c r="I2572" s="16" t="s">
        <v>92</v>
      </c>
      <c r="J2572" s="16" t="s">
        <v>7416</v>
      </c>
      <c r="K2572" s="32" t="n">
        <v>52</v>
      </c>
      <c r="L2572" s="33" t="n">
        <v>46441</v>
      </c>
      <c r="M2572" s="33" t="n">
        <v>46492</v>
      </c>
      <c r="N2572" s="16" t="s">
        <v>8406</v>
      </c>
      <c r="O2572" s="16"/>
      <c r="P2572" s="16" t="str">
        <f aca="false">IF(AND(L2572&lt;=$D$2,M2572&gt;=$C$2),"Sí","")</f>
        <v/>
      </c>
      <c r="Q2572" s="18" t="str">
        <f aca="false">IF(COUNTIF(LOOKAHEAD!$A$5:$A$604,A2572)&gt;0,"En Lookahead",IF(P2572="Sí","INCORPORAR",""))</f>
        <v/>
      </c>
    </row>
    <row r="2573" customFormat="false" ht="15" hidden="false" customHeight="false" outlineLevel="0" collapsed="false">
      <c r="A2573" s="16" t="s">
        <v>8573</v>
      </c>
      <c r="B2573" s="16" t="n">
        <v>2568</v>
      </c>
      <c r="C2573" s="16" t="s">
        <v>8574</v>
      </c>
      <c r="D2573" s="16" t="n">
        <v>6</v>
      </c>
      <c r="E2573" s="35" t="s">
        <v>7422</v>
      </c>
      <c r="F2573" s="16" t="s">
        <v>1285</v>
      </c>
      <c r="G2573" s="16" t="s">
        <v>563</v>
      </c>
      <c r="H2573" s="16" t="s">
        <v>4018</v>
      </c>
      <c r="I2573" s="16" t="s">
        <v>92</v>
      </c>
      <c r="J2573" s="16" t="s">
        <v>7416</v>
      </c>
      <c r="K2573" s="32" t="n">
        <v>27</v>
      </c>
      <c r="L2573" s="33" t="n">
        <v>46493</v>
      </c>
      <c r="M2573" s="33" t="n">
        <v>46519</v>
      </c>
      <c r="N2573" s="16" t="s">
        <v>8575</v>
      </c>
      <c r="O2573" s="16"/>
      <c r="P2573" s="16" t="str">
        <f aca="false">IF(AND(L2573&lt;=$D$2,M2573&gt;=$C$2),"Sí","")</f>
        <v/>
      </c>
      <c r="Q2573" s="18" t="str">
        <f aca="false">IF(COUNTIF(LOOKAHEAD!$A$5:$A$604,A2573)&gt;0,"En Lookahead",IF(P2573="Sí","INCORPORAR",""))</f>
        <v/>
      </c>
    </row>
    <row r="2574" customFormat="false" ht="15" hidden="false" customHeight="false" outlineLevel="0" collapsed="false">
      <c r="A2574" s="16" t="s">
        <v>8576</v>
      </c>
      <c r="B2574" s="16" t="n">
        <v>2569</v>
      </c>
      <c r="C2574" s="16" t="s">
        <v>8577</v>
      </c>
      <c r="D2574" s="16" t="n">
        <v>6</v>
      </c>
      <c r="E2574" s="35" t="s">
        <v>7429</v>
      </c>
      <c r="F2574" s="16" t="s">
        <v>1285</v>
      </c>
      <c r="G2574" s="16" t="s">
        <v>563</v>
      </c>
      <c r="H2574" s="16" t="s">
        <v>4018</v>
      </c>
      <c r="I2574" s="16" t="s">
        <v>92</v>
      </c>
      <c r="J2574" s="16" t="s">
        <v>7416</v>
      </c>
      <c r="K2574" s="32" t="n">
        <v>2</v>
      </c>
      <c r="L2574" s="33" t="n">
        <v>46545</v>
      </c>
      <c r="M2574" s="33" t="n">
        <v>46546</v>
      </c>
      <c r="N2574" s="16" t="s">
        <v>8515</v>
      </c>
      <c r="O2574" s="16"/>
      <c r="P2574" s="16" t="str">
        <f aca="false">IF(AND(L2574&lt;=$D$2,M2574&gt;=$C$2),"Sí","")</f>
        <v/>
      </c>
      <c r="Q2574" s="18" t="str">
        <f aca="false">IF(COUNTIF(LOOKAHEAD!$A$5:$A$604,A2574)&gt;0,"En Lookahead",IF(P2574="Sí","INCORPORAR",""))</f>
        <v/>
      </c>
    </row>
    <row r="2575" customFormat="false" ht="15" hidden="false" customHeight="false" outlineLevel="0" collapsed="false">
      <c r="A2575" s="16" t="s">
        <v>8578</v>
      </c>
      <c r="B2575" s="16" t="n">
        <v>2570</v>
      </c>
      <c r="C2575" s="16" t="s">
        <v>8579</v>
      </c>
      <c r="D2575" s="16" t="n">
        <v>6</v>
      </c>
      <c r="E2575" s="35" t="s">
        <v>8580</v>
      </c>
      <c r="F2575" s="16" t="s">
        <v>1285</v>
      </c>
      <c r="G2575" s="16" t="s">
        <v>563</v>
      </c>
      <c r="H2575" s="16" t="s">
        <v>4018</v>
      </c>
      <c r="I2575" s="16" t="s">
        <v>92</v>
      </c>
      <c r="J2575" s="16" t="s">
        <v>7416</v>
      </c>
      <c r="K2575" s="32" t="n">
        <v>23</v>
      </c>
      <c r="L2575" s="33" t="n">
        <v>46557</v>
      </c>
      <c r="M2575" s="33" t="n">
        <v>46579</v>
      </c>
      <c r="N2575" s="16" t="s">
        <v>8581</v>
      </c>
      <c r="O2575" s="16"/>
      <c r="P2575" s="16" t="str">
        <f aca="false">IF(AND(L2575&lt;=$D$2,M2575&gt;=$C$2),"Sí","")</f>
        <v/>
      </c>
      <c r="Q2575" s="18" t="str">
        <f aca="false">IF(COUNTIF(LOOKAHEAD!$A$5:$A$604,A2575)&gt;0,"En Lookahead",IF(P2575="Sí","INCORPORAR",""))</f>
        <v/>
      </c>
    </row>
    <row r="2576" customFormat="false" ht="15" hidden="false" customHeight="false" outlineLevel="0" collapsed="false">
      <c r="A2576" s="16" t="s">
        <v>8582</v>
      </c>
      <c r="B2576" s="16" t="n">
        <v>2571</v>
      </c>
      <c r="C2576" s="16" t="s">
        <v>8583</v>
      </c>
      <c r="D2576" s="16" t="n">
        <v>6</v>
      </c>
      <c r="E2576" s="35" t="s">
        <v>8584</v>
      </c>
      <c r="F2576" s="16" t="s">
        <v>1285</v>
      </c>
      <c r="G2576" s="16" t="s">
        <v>563</v>
      </c>
      <c r="H2576" s="16" t="s">
        <v>4018</v>
      </c>
      <c r="I2576" s="16" t="s">
        <v>92</v>
      </c>
      <c r="J2576" s="16" t="s">
        <v>7416</v>
      </c>
      <c r="K2576" s="32" t="n">
        <v>2</v>
      </c>
      <c r="L2576" s="33" t="n">
        <v>46580</v>
      </c>
      <c r="M2576" s="33" t="n">
        <v>46581</v>
      </c>
      <c r="N2576" s="16" t="s">
        <v>8585</v>
      </c>
      <c r="O2576" s="16"/>
      <c r="P2576" s="16" t="str">
        <f aca="false">IF(AND(L2576&lt;=$D$2,M2576&gt;=$C$2),"Sí","")</f>
        <v/>
      </c>
      <c r="Q2576" s="18" t="str">
        <f aca="false">IF(COUNTIF(LOOKAHEAD!$A$5:$A$604,A2576)&gt;0,"En Lookahead",IF(P2576="Sí","INCORPORAR",""))</f>
        <v/>
      </c>
    </row>
    <row r="2577" customFormat="false" ht="15" hidden="false" customHeight="false" outlineLevel="0" collapsed="false">
      <c r="A2577" s="16" t="s">
        <v>8586</v>
      </c>
      <c r="B2577" s="16" t="n">
        <v>2572</v>
      </c>
      <c r="C2577" s="16" t="s">
        <v>8587</v>
      </c>
      <c r="D2577" s="16" t="n">
        <v>6</v>
      </c>
      <c r="E2577" s="35" t="s">
        <v>8588</v>
      </c>
      <c r="F2577" s="16" t="s">
        <v>1285</v>
      </c>
      <c r="G2577" s="16" t="s">
        <v>563</v>
      </c>
      <c r="H2577" s="16" t="s">
        <v>4018</v>
      </c>
      <c r="I2577" s="16" t="s">
        <v>92</v>
      </c>
      <c r="J2577" s="16" t="s">
        <v>7416</v>
      </c>
      <c r="K2577" s="32" t="n">
        <v>8</v>
      </c>
      <c r="L2577" s="33" t="n">
        <v>46582</v>
      </c>
      <c r="M2577" s="33" t="n">
        <v>46589</v>
      </c>
      <c r="N2577" s="16" t="s">
        <v>8589</v>
      </c>
      <c r="O2577" s="16"/>
      <c r="P2577" s="16" t="str">
        <f aca="false">IF(AND(L2577&lt;=$D$2,M2577&gt;=$C$2),"Sí","")</f>
        <v/>
      </c>
      <c r="Q2577" s="18" t="str">
        <f aca="false">IF(COUNTIF(LOOKAHEAD!$A$5:$A$604,A2577)&gt;0,"En Lookahead",IF(P2577="Sí","INCORPORAR",""))</f>
        <v/>
      </c>
    </row>
    <row r="2578" customFormat="false" ht="15" hidden="false" customHeight="false" outlineLevel="0" collapsed="false">
      <c r="A2578" s="16" t="s">
        <v>8590</v>
      </c>
      <c r="B2578" s="16" t="n">
        <v>2573</v>
      </c>
      <c r="C2578" s="16" t="s">
        <v>8591</v>
      </c>
      <c r="D2578" s="16" t="n">
        <v>6</v>
      </c>
      <c r="E2578" s="35" t="s">
        <v>7432</v>
      </c>
      <c r="F2578" s="16" t="s">
        <v>1285</v>
      </c>
      <c r="G2578" s="16" t="s">
        <v>563</v>
      </c>
      <c r="H2578" s="16" t="s">
        <v>4018</v>
      </c>
      <c r="I2578" s="16" t="s">
        <v>92</v>
      </c>
      <c r="J2578" s="16" t="s">
        <v>7416</v>
      </c>
      <c r="K2578" s="32" t="n">
        <v>3</v>
      </c>
      <c r="L2578" s="33" t="n">
        <v>46590</v>
      </c>
      <c r="M2578" s="33" t="n">
        <v>46592</v>
      </c>
      <c r="N2578" s="16" t="s">
        <v>8592</v>
      </c>
      <c r="O2578" s="16"/>
      <c r="P2578" s="16" t="str">
        <f aca="false">IF(AND(L2578&lt;=$D$2,M2578&gt;=$C$2),"Sí","")</f>
        <v/>
      </c>
      <c r="Q2578" s="18" t="str">
        <f aca="false">IF(COUNTIF(LOOKAHEAD!$A$5:$A$604,A2578)&gt;0,"En Lookahead",IF(P2578="Sí","INCORPORAR",""))</f>
        <v/>
      </c>
    </row>
    <row r="2579" customFormat="false" ht="15" hidden="false" customHeight="false" outlineLevel="0" collapsed="false">
      <c r="A2579" s="16" t="s">
        <v>8593</v>
      </c>
      <c r="B2579" s="16" t="n">
        <v>2574</v>
      </c>
      <c r="C2579" s="16" t="s">
        <v>8594</v>
      </c>
      <c r="D2579" s="16" t="n">
        <v>6</v>
      </c>
      <c r="E2579" s="35" t="s">
        <v>7426</v>
      </c>
      <c r="F2579" s="16" t="s">
        <v>1285</v>
      </c>
      <c r="G2579" s="16" t="s">
        <v>563</v>
      </c>
      <c r="H2579" s="16" t="s">
        <v>4018</v>
      </c>
      <c r="I2579" s="16" t="s">
        <v>92</v>
      </c>
      <c r="J2579" s="16" t="s">
        <v>7416</v>
      </c>
      <c r="K2579" s="32" t="n">
        <v>1</v>
      </c>
      <c r="L2579" s="33" t="n">
        <v>46520</v>
      </c>
      <c r="M2579" s="33" t="n">
        <v>46520</v>
      </c>
      <c r="N2579" s="16" t="s">
        <v>8595</v>
      </c>
      <c r="O2579" s="16"/>
      <c r="P2579" s="16" t="str">
        <f aca="false">IF(AND(L2579&lt;=$D$2,M2579&gt;=$C$2),"Sí","")</f>
        <v/>
      </c>
      <c r="Q2579" s="18" t="str">
        <f aca="false">IF(COUNTIF(LOOKAHEAD!$A$5:$A$604,A2579)&gt;0,"En Lookahead",IF(P2579="Sí","INCORPORAR",""))</f>
        <v/>
      </c>
    </row>
    <row r="2580" customFormat="false" ht="15" hidden="false" customHeight="false" outlineLevel="0" collapsed="false">
      <c r="A2580" s="13" t="s">
        <v>8596</v>
      </c>
      <c r="B2580" s="13" t="n">
        <v>2575</v>
      </c>
      <c r="C2580" s="13" t="s">
        <v>8597</v>
      </c>
      <c r="D2580" s="13" t="n">
        <v>5</v>
      </c>
      <c r="E2580" s="34" t="s">
        <v>7440</v>
      </c>
      <c r="F2580" s="13" t="s">
        <v>1298</v>
      </c>
      <c r="G2580" s="13" t="s">
        <v>563</v>
      </c>
      <c r="H2580" s="13" t="s">
        <v>4018</v>
      </c>
      <c r="I2580" s="13" t="s">
        <v>92</v>
      </c>
      <c r="J2580" s="13" t="s">
        <v>4018</v>
      </c>
      <c r="K2580" s="30" t="n">
        <v>117</v>
      </c>
      <c r="L2580" s="31" t="n">
        <v>46493</v>
      </c>
      <c r="M2580" s="31" t="n">
        <v>46609</v>
      </c>
      <c r="N2580" s="13"/>
      <c r="O2580" s="13"/>
      <c r="P2580" s="13"/>
      <c r="Q2580" s="13"/>
    </row>
    <row r="2581" customFormat="false" ht="15" hidden="false" customHeight="false" outlineLevel="0" collapsed="false">
      <c r="A2581" s="16" t="s">
        <v>8598</v>
      </c>
      <c r="B2581" s="16" t="n">
        <v>2576</v>
      </c>
      <c r="C2581" s="16" t="s">
        <v>8599</v>
      </c>
      <c r="D2581" s="16" t="n">
        <v>6</v>
      </c>
      <c r="E2581" s="35" t="s">
        <v>7774</v>
      </c>
      <c r="F2581" s="16" t="s">
        <v>1285</v>
      </c>
      <c r="G2581" s="16" t="s">
        <v>563</v>
      </c>
      <c r="H2581" s="16" t="s">
        <v>4018</v>
      </c>
      <c r="I2581" s="16" t="s">
        <v>92</v>
      </c>
      <c r="J2581" s="16" t="s">
        <v>7440</v>
      </c>
      <c r="K2581" s="32" t="n">
        <v>2</v>
      </c>
      <c r="L2581" s="33" t="n">
        <v>46521</v>
      </c>
      <c r="M2581" s="33" t="n">
        <v>46522</v>
      </c>
      <c r="N2581" s="16" t="s">
        <v>8600</v>
      </c>
      <c r="O2581" s="16"/>
      <c r="P2581" s="16" t="str">
        <f aca="false">IF(AND(L2581&lt;=$D$2,M2581&gt;=$C$2),"Sí","")</f>
        <v/>
      </c>
      <c r="Q2581" s="18" t="str">
        <f aca="false">IF(COUNTIF(LOOKAHEAD!$A$5:$A$604,A2581)&gt;0,"En Lookahead",IF(P2581="Sí","INCORPORAR",""))</f>
        <v/>
      </c>
    </row>
    <row r="2582" customFormat="false" ht="15" hidden="false" customHeight="false" outlineLevel="0" collapsed="false">
      <c r="A2582" s="16" t="s">
        <v>8601</v>
      </c>
      <c r="B2582" s="16" t="n">
        <v>2577</v>
      </c>
      <c r="C2582" s="16" t="s">
        <v>8602</v>
      </c>
      <c r="D2582" s="16" t="n">
        <v>6</v>
      </c>
      <c r="E2582" s="35" t="s">
        <v>8603</v>
      </c>
      <c r="F2582" s="16" t="s">
        <v>1285</v>
      </c>
      <c r="G2582" s="16" t="s">
        <v>563</v>
      </c>
      <c r="H2582" s="16" t="s">
        <v>4018</v>
      </c>
      <c r="I2582" s="16" t="s">
        <v>92</v>
      </c>
      <c r="J2582" s="16" t="s">
        <v>7440</v>
      </c>
      <c r="K2582" s="32" t="n">
        <v>4</v>
      </c>
      <c r="L2582" s="33" t="n">
        <v>46493</v>
      </c>
      <c r="M2582" s="33" t="n">
        <v>46496</v>
      </c>
      <c r="N2582" s="16" t="s">
        <v>8575</v>
      </c>
      <c r="O2582" s="16"/>
      <c r="P2582" s="16" t="str">
        <f aca="false">IF(AND(L2582&lt;=$D$2,M2582&gt;=$C$2),"Sí","")</f>
        <v/>
      </c>
      <c r="Q2582" s="18" t="str">
        <f aca="false">IF(COUNTIF(LOOKAHEAD!$A$5:$A$604,A2582)&gt;0,"En Lookahead",IF(P2582="Sí","INCORPORAR",""))</f>
        <v/>
      </c>
    </row>
    <row r="2583" customFormat="false" ht="15" hidden="false" customHeight="false" outlineLevel="0" collapsed="false">
      <c r="A2583" s="16" t="s">
        <v>8604</v>
      </c>
      <c r="B2583" s="16" t="n">
        <v>2578</v>
      </c>
      <c r="C2583" s="16" t="s">
        <v>8605</v>
      </c>
      <c r="D2583" s="16" t="n">
        <v>6</v>
      </c>
      <c r="E2583" s="35" t="s">
        <v>7451</v>
      </c>
      <c r="F2583" s="16" t="s">
        <v>1285</v>
      </c>
      <c r="G2583" s="16" t="s">
        <v>563</v>
      </c>
      <c r="H2583" s="16" t="s">
        <v>4018</v>
      </c>
      <c r="I2583" s="16" t="s">
        <v>92</v>
      </c>
      <c r="J2583" s="16" t="s">
        <v>7440</v>
      </c>
      <c r="K2583" s="32" t="n">
        <v>4</v>
      </c>
      <c r="L2583" s="33" t="n">
        <v>46606</v>
      </c>
      <c r="M2583" s="33" t="n">
        <v>46609</v>
      </c>
      <c r="N2583" s="16" t="s">
        <v>8606</v>
      </c>
      <c r="O2583" s="16" t="s">
        <v>1299</v>
      </c>
      <c r="P2583" s="16" t="str">
        <f aca="false">IF(AND(L2583&lt;=$D$2,M2583&gt;=$C$2),"Sí","")</f>
        <v/>
      </c>
      <c r="Q2583" s="18" t="str">
        <f aca="false">IF(COUNTIF(LOOKAHEAD!$A$5:$A$604,A2583)&gt;0,"En Lookahead",IF(P2583="Sí","INCORPORAR",""))</f>
        <v/>
      </c>
    </row>
    <row r="2584" customFormat="false" ht="15" hidden="false" customHeight="false" outlineLevel="0" collapsed="false">
      <c r="A2584" s="13" t="s">
        <v>8607</v>
      </c>
      <c r="B2584" s="13" t="n">
        <v>2579</v>
      </c>
      <c r="C2584" s="13" t="s">
        <v>8608</v>
      </c>
      <c r="D2584" s="13" t="n">
        <v>5</v>
      </c>
      <c r="E2584" s="34" t="s">
        <v>7455</v>
      </c>
      <c r="F2584" s="13" t="s">
        <v>1298</v>
      </c>
      <c r="G2584" s="13" t="s">
        <v>563</v>
      </c>
      <c r="H2584" s="13" t="s">
        <v>4018</v>
      </c>
      <c r="I2584" s="13" t="s">
        <v>92</v>
      </c>
      <c r="J2584" s="13" t="s">
        <v>4018</v>
      </c>
      <c r="K2584" s="30" t="n">
        <v>28</v>
      </c>
      <c r="L2584" s="31" t="n">
        <v>46493</v>
      </c>
      <c r="M2584" s="31" t="n">
        <v>46520</v>
      </c>
      <c r="N2584" s="13"/>
      <c r="O2584" s="13"/>
      <c r="P2584" s="13"/>
      <c r="Q2584" s="13"/>
    </row>
    <row r="2585" customFormat="false" ht="15" hidden="false" customHeight="false" outlineLevel="0" collapsed="false">
      <c r="A2585" s="13" t="s">
        <v>8609</v>
      </c>
      <c r="B2585" s="13" t="n">
        <v>2580</v>
      </c>
      <c r="C2585" s="13" t="s">
        <v>8610</v>
      </c>
      <c r="D2585" s="13" t="n">
        <v>6</v>
      </c>
      <c r="E2585" s="36" t="s">
        <v>7458</v>
      </c>
      <c r="F2585" s="13" t="s">
        <v>1298</v>
      </c>
      <c r="G2585" s="13" t="s">
        <v>563</v>
      </c>
      <c r="H2585" s="13" t="s">
        <v>4018</v>
      </c>
      <c r="I2585" s="13" t="s">
        <v>92</v>
      </c>
      <c r="J2585" s="13" t="s">
        <v>7455</v>
      </c>
      <c r="K2585" s="30" t="n">
        <v>28</v>
      </c>
      <c r="L2585" s="31" t="n">
        <v>46493</v>
      </c>
      <c r="M2585" s="31" t="n">
        <v>46520</v>
      </c>
      <c r="N2585" s="13"/>
      <c r="O2585" s="13"/>
      <c r="P2585" s="13"/>
      <c r="Q2585" s="13"/>
    </row>
    <row r="2586" customFormat="false" ht="15" hidden="false" customHeight="false" outlineLevel="0" collapsed="false">
      <c r="A2586" s="16" t="s">
        <v>8611</v>
      </c>
      <c r="B2586" s="16" t="n">
        <v>2581</v>
      </c>
      <c r="C2586" s="16" t="s">
        <v>8612</v>
      </c>
      <c r="D2586" s="16" t="n">
        <v>7</v>
      </c>
      <c r="E2586" s="37" t="s">
        <v>7461</v>
      </c>
      <c r="F2586" s="16" t="s">
        <v>1285</v>
      </c>
      <c r="G2586" s="16" t="s">
        <v>563</v>
      </c>
      <c r="H2586" s="16" t="s">
        <v>4018</v>
      </c>
      <c r="I2586" s="16" t="s">
        <v>92</v>
      </c>
      <c r="J2586" s="16" t="s">
        <v>7458</v>
      </c>
      <c r="K2586" s="32" t="n">
        <v>2</v>
      </c>
      <c r="L2586" s="33" t="n">
        <v>46493</v>
      </c>
      <c r="M2586" s="33" t="n">
        <v>46494</v>
      </c>
      <c r="N2586" s="16" t="s">
        <v>8575</v>
      </c>
      <c r="O2586" s="16"/>
      <c r="P2586" s="16" t="str">
        <f aca="false">IF(AND(L2586&lt;=$D$2,M2586&gt;=$C$2),"Sí","")</f>
        <v/>
      </c>
      <c r="Q2586" s="18" t="str">
        <f aca="false">IF(COUNTIF(LOOKAHEAD!$A$5:$A$604,A2586)&gt;0,"En Lookahead",IF(P2586="Sí","INCORPORAR",""))</f>
        <v/>
      </c>
    </row>
    <row r="2587" customFormat="false" ht="15" hidden="false" customHeight="false" outlineLevel="0" collapsed="false">
      <c r="A2587" s="16" t="s">
        <v>8613</v>
      </c>
      <c r="B2587" s="16" t="n">
        <v>2582</v>
      </c>
      <c r="C2587" s="16" t="s">
        <v>8614</v>
      </c>
      <c r="D2587" s="16" t="n">
        <v>7</v>
      </c>
      <c r="E2587" s="37" t="s">
        <v>7465</v>
      </c>
      <c r="F2587" s="16" t="s">
        <v>1285</v>
      </c>
      <c r="G2587" s="16" t="s">
        <v>563</v>
      </c>
      <c r="H2587" s="16" t="s">
        <v>4018</v>
      </c>
      <c r="I2587" s="16" t="s">
        <v>92</v>
      </c>
      <c r="J2587" s="16" t="s">
        <v>7458</v>
      </c>
      <c r="K2587" s="32" t="n">
        <v>1</v>
      </c>
      <c r="L2587" s="33" t="n">
        <v>46520</v>
      </c>
      <c r="M2587" s="33" t="n">
        <v>46520</v>
      </c>
      <c r="N2587" s="16" t="s">
        <v>8615</v>
      </c>
      <c r="O2587" s="16"/>
      <c r="P2587" s="16" t="str">
        <f aca="false">IF(AND(L2587&lt;=$D$2,M2587&gt;=$C$2),"Sí","")</f>
        <v/>
      </c>
      <c r="Q2587" s="18" t="str">
        <f aca="false">IF(COUNTIF(LOOKAHEAD!$A$5:$A$604,A2587)&gt;0,"En Lookahead",IF(P2587="Sí","INCORPORAR",""))</f>
        <v/>
      </c>
    </row>
    <row r="2588" customFormat="false" ht="15" hidden="false" customHeight="false" outlineLevel="0" collapsed="false">
      <c r="A2588" s="16" t="s">
        <v>8616</v>
      </c>
      <c r="B2588" s="16" t="n">
        <v>2583</v>
      </c>
      <c r="C2588" s="16" t="s">
        <v>8617</v>
      </c>
      <c r="D2588" s="16" t="n">
        <v>7</v>
      </c>
      <c r="E2588" s="37" t="s">
        <v>7469</v>
      </c>
      <c r="F2588" s="16" t="s">
        <v>1285</v>
      </c>
      <c r="G2588" s="16" t="s">
        <v>563</v>
      </c>
      <c r="H2588" s="16" t="s">
        <v>4018</v>
      </c>
      <c r="I2588" s="16" t="s">
        <v>92</v>
      </c>
      <c r="J2588" s="16" t="s">
        <v>7458</v>
      </c>
      <c r="K2588" s="32" t="n">
        <v>1</v>
      </c>
      <c r="L2588" s="33" t="n">
        <v>46493</v>
      </c>
      <c r="M2588" s="33" t="n">
        <v>46493</v>
      </c>
      <c r="N2588" s="16" t="s">
        <v>8575</v>
      </c>
      <c r="O2588" s="16"/>
      <c r="P2588" s="16" t="str">
        <f aca="false">IF(AND(L2588&lt;=$D$2,M2588&gt;=$C$2),"Sí","")</f>
        <v/>
      </c>
      <c r="Q2588" s="18" t="str">
        <f aca="false">IF(COUNTIF(LOOKAHEAD!$A$5:$A$604,A2588)&gt;0,"En Lookahead",IF(P2588="Sí","INCORPORAR",""))</f>
        <v/>
      </c>
    </row>
    <row r="2589" customFormat="false" ht="15" hidden="false" customHeight="false" outlineLevel="0" collapsed="false">
      <c r="A2589" s="13" t="s">
        <v>8618</v>
      </c>
      <c r="B2589" s="13" t="n">
        <v>2584</v>
      </c>
      <c r="C2589" s="13" t="s">
        <v>8619</v>
      </c>
      <c r="D2589" s="13" t="n">
        <v>6</v>
      </c>
      <c r="E2589" s="36" t="s">
        <v>7798</v>
      </c>
      <c r="F2589" s="13" t="s">
        <v>1298</v>
      </c>
      <c r="G2589" s="13" t="s">
        <v>563</v>
      </c>
      <c r="H2589" s="13" t="s">
        <v>4018</v>
      </c>
      <c r="I2589" s="13" t="s">
        <v>92</v>
      </c>
      <c r="J2589" s="13" t="s">
        <v>7455</v>
      </c>
      <c r="K2589" s="30" t="n">
        <v>1</v>
      </c>
      <c r="L2589" s="31" t="n">
        <v>46493</v>
      </c>
      <c r="M2589" s="31" t="n">
        <v>46493</v>
      </c>
      <c r="N2589" s="13"/>
      <c r="O2589" s="13"/>
      <c r="P2589" s="13"/>
      <c r="Q2589" s="13"/>
    </row>
    <row r="2590" customFormat="false" ht="15" hidden="false" customHeight="false" outlineLevel="0" collapsed="false">
      <c r="A2590" s="16" t="s">
        <v>8620</v>
      </c>
      <c r="B2590" s="16" t="n">
        <v>2585</v>
      </c>
      <c r="C2590" s="16" t="s">
        <v>8621</v>
      </c>
      <c r="D2590" s="16" t="n">
        <v>7</v>
      </c>
      <c r="E2590" s="37" t="s">
        <v>7801</v>
      </c>
      <c r="F2590" s="16" t="s">
        <v>1285</v>
      </c>
      <c r="G2590" s="16" t="s">
        <v>563</v>
      </c>
      <c r="H2590" s="16" t="s">
        <v>4018</v>
      </c>
      <c r="I2590" s="16" t="s">
        <v>92</v>
      </c>
      <c r="J2590" s="16" t="s">
        <v>7798</v>
      </c>
      <c r="K2590" s="32" t="n">
        <v>1</v>
      </c>
      <c r="L2590" s="33" t="n">
        <v>46493</v>
      </c>
      <c r="M2590" s="33" t="n">
        <v>46493</v>
      </c>
      <c r="N2590" s="16" t="s">
        <v>8575</v>
      </c>
      <c r="O2590" s="16"/>
      <c r="P2590" s="16" t="str">
        <f aca="false">IF(AND(L2590&lt;=$D$2,M2590&gt;=$C$2),"Sí","")</f>
        <v/>
      </c>
      <c r="Q2590" s="18" t="str">
        <f aca="false">IF(COUNTIF(LOOKAHEAD!$A$5:$A$604,A2590)&gt;0,"En Lookahead",IF(P2590="Sí","INCORPORAR",""))</f>
        <v/>
      </c>
    </row>
    <row r="2591" customFormat="false" ht="15" hidden="false" customHeight="false" outlineLevel="0" collapsed="false">
      <c r="A2591" s="13" t="s">
        <v>8622</v>
      </c>
      <c r="B2591" s="13" t="n">
        <v>2586</v>
      </c>
      <c r="C2591" s="13" t="s">
        <v>8623</v>
      </c>
      <c r="D2591" s="13" t="n">
        <v>6</v>
      </c>
      <c r="E2591" s="36" t="s">
        <v>7810</v>
      </c>
      <c r="F2591" s="13" t="s">
        <v>1298</v>
      </c>
      <c r="G2591" s="13" t="s">
        <v>563</v>
      </c>
      <c r="H2591" s="13" t="s">
        <v>4018</v>
      </c>
      <c r="I2591" s="13" t="s">
        <v>92</v>
      </c>
      <c r="J2591" s="13" t="s">
        <v>7455</v>
      </c>
      <c r="K2591" s="30" t="n">
        <v>1</v>
      </c>
      <c r="L2591" s="31" t="n">
        <v>46493</v>
      </c>
      <c r="M2591" s="31" t="n">
        <v>46493</v>
      </c>
      <c r="N2591" s="13"/>
      <c r="O2591" s="13"/>
      <c r="P2591" s="13"/>
      <c r="Q2591" s="13"/>
    </row>
    <row r="2592" customFormat="false" ht="15" hidden="false" customHeight="false" outlineLevel="0" collapsed="false">
      <c r="A2592" s="16" t="s">
        <v>8624</v>
      </c>
      <c r="B2592" s="16" t="n">
        <v>2587</v>
      </c>
      <c r="C2592" s="16" t="s">
        <v>8625</v>
      </c>
      <c r="D2592" s="16" t="n">
        <v>7</v>
      </c>
      <c r="E2592" s="37" t="s">
        <v>7813</v>
      </c>
      <c r="F2592" s="16" t="s">
        <v>1285</v>
      </c>
      <c r="G2592" s="16" t="s">
        <v>563</v>
      </c>
      <c r="H2592" s="16" t="s">
        <v>4018</v>
      </c>
      <c r="I2592" s="16" t="s">
        <v>92</v>
      </c>
      <c r="J2592" s="16" t="s">
        <v>7810</v>
      </c>
      <c r="K2592" s="32" t="n">
        <v>1</v>
      </c>
      <c r="L2592" s="33" t="n">
        <v>46493</v>
      </c>
      <c r="M2592" s="33" t="n">
        <v>46493</v>
      </c>
      <c r="N2592" s="16" t="s">
        <v>8575</v>
      </c>
      <c r="O2592" s="16"/>
      <c r="P2592" s="16" t="str">
        <f aca="false">IF(AND(L2592&lt;=$D$2,M2592&gt;=$C$2),"Sí","")</f>
        <v/>
      </c>
      <c r="Q2592" s="18" t="str">
        <f aca="false">IF(COUNTIF(LOOKAHEAD!$A$5:$A$604,A2592)&gt;0,"En Lookahead",IF(P2592="Sí","INCORPORAR",""))</f>
        <v/>
      </c>
    </row>
    <row r="2593" customFormat="false" ht="15" hidden="false" customHeight="false" outlineLevel="0" collapsed="false">
      <c r="A2593" s="13" t="s">
        <v>8626</v>
      </c>
      <c r="B2593" s="13" t="n">
        <v>2588</v>
      </c>
      <c r="C2593" s="13" t="s">
        <v>8627</v>
      </c>
      <c r="D2593" s="13" t="n">
        <v>4</v>
      </c>
      <c r="E2593" s="20" t="s">
        <v>4416</v>
      </c>
      <c r="F2593" s="13" t="s">
        <v>1298</v>
      </c>
      <c r="G2593" s="13" t="s">
        <v>563</v>
      </c>
      <c r="H2593" s="13" t="s">
        <v>4416</v>
      </c>
      <c r="I2593" s="13" t="s">
        <v>98</v>
      </c>
      <c r="J2593" s="13" t="s">
        <v>7172</v>
      </c>
      <c r="K2593" s="30" t="n">
        <v>93</v>
      </c>
      <c r="L2593" s="31" t="n">
        <v>46281</v>
      </c>
      <c r="M2593" s="31" t="n">
        <v>46373</v>
      </c>
      <c r="N2593" s="13"/>
      <c r="O2593" s="13"/>
      <c r="P2593" s="13"/>
      <c r="Q2593" s="13"/>
    </row>
    <row r="2594" customFormat="false" ht="15" hidden="false" customHeight="false" outlineLevel="0" collapsed="false">
      <c r="A2594" s="13" t="s">
        <v>8628</v>
      </c>
      <c r="B2594" s="13" t="n">
        <v>2589</v>
      </c>
      <c r="C2594" s="13" t="s">
        <v>8629</v>
      </c>
      <c r="D2594" s="13" t="n">
        <v>5</v>
      </c>
      <c r="E2594" s="34" t="s">
        <v>7177</v>
      </c>
      <c r="F2594" s="13" t="s">
        <v>1298</v>
      </c>
      <c r="G2594" s="13" t="s">
        <v>563</v>
      </c>
      <c r="H2594" s="13" t="s">
        <v>4416</v>
      </c>
      <c r="I2594" s="13" t="s">
        <v>98</v>
      </c>
      <c r="J2594" s="13" t="s">
        <v>4416</v>
      </c>
      <c r="K2594" s="30" t="n">
        <v>18</v>
      </c>
      <c r="L2594" s="31" t="n">
        <v>46281</v>
      </c>
      <c r="M2594" s="31" t="n">
        <v>46298</v>
      </c>
      <c r="N2594" s="13"/>
      <c r="O2594" s="13"/>
      <c r="P2594" s="13"/>
      <c r="Q2594" s="13"/>
    </row>
    <row r="2595" customFormat="false" ht="15" hidden="false" customHeight="false" outlineLevel="0" collapsed="false">
      <c r="A2595" s="16" t="s">
        <v>8630</v>
      </c>
      <c r="B2595" s="16" t="n">
        <v>2590</v>
      </c>
      <c r="C2595" s="16" t="s">
        <v>8631</v>
      </c>
      <c r="D2595" s="16" t="n">
        <v>6</v>
      </c>
      <c r="E2595" s="35" t="s">
        <v>7180</v>
      </c>
      <c r="F2595" s="16" t="s">
        <v>1285</v>
      </c>
      <c r="G2595" s="16" t="s">
        <v>563</v>
      </c>
      <c r="H2595" s="16" t="s">
        <v>4416</v>
      </c>
      <c r="I2595" s="16" t="s">
        <v>98</v>
      </c>
      <c r="J2595" s="16" t="s">
        <v>7177</v>
      </c>
      <c r="K2595" s="32" t="n">
        <v>10</v>
      </c>
      <c r="L2595" s="33" t="n">
        <v>46281</v>
      </c>
      <c r="M2595" s="33" t="n">
        <v>46290</v>
      </c>
      <c r="N2595" s="16" t="s">
        <v>4518</v>
      </c>
      <c r="O2595" s="16"/>
      <c r="P2595" s="16" t="str">
        <f aca="false">IF(AND(L2595&lt;=$D$2,M2595&gt;=$C$2),"Sí","")</f>
        <v/>
      </c>
      <c r="Q2595" s="18" t="str">
        <f aca="false">IF(COUNTIF(LOOKAHEAD!$A$5:$A$604,A2595)&gt;0,"En Lookahead",IF(P2595="Sí","INCORPORAR",""))</f>
        <v/>
      </c>
    </row>
    <row r="2596" customFormat="false" ht="15" hidden="false" customHeight="false" outlineLevel="0" collapsed="false">
      <c r="A2596" s="16" t="s">
        <v>8632</v>
      </c>
      <c r="B2596" s="16" t="n">
        <v>2591</v>
      </c>
      <c r="C2596" s="16" t="s">
        <v>8633</v>
      </c>
      <c r="D2596" s="16" t="n">
        <v>6</v>
      </c>
      <c r="E2596" s="35" t="s">
        <v>7183</v>
      </c>
      <c r="F2596" s="16" t="s">
        <v>1285</v>
      </c>
      <c r="G2596" s="16" t="s">
        <v>563</v>
      </c>
      <c r="H2596" s="16" t="s">
        <v>4416</v>
      </c>
      <c r="I2596" s="16" t="s">
        <v>98</v>
      </c>
      <c r="J2596" s="16" t="s">
        <v>7177</v>
      </c>
      <c r="K2596" s="32" t="n">
        <v>1</v>
      </c>
      <c r="L2596" s="33" t="n">
        <v>46291</v>
      </c>
      <c r="M2596" s="33" t="n">
        <v>46291</v>
      </c>
      <c r="N2596" s="16" t="s">
        <v>4531</v>
      </c>
      <c r="O2596" s="16"/>
      <c r="P2596" s="16" t="str">
        <f aca="false">IF(AND(L2596&lt;=$D$2,M2596&gt;=$C$2),"Sí","")</f>
        <v/>
      </c>
      <c r="Q2596" s="18" t="str">
        <f aca="false">IF(COUNTIF(LOOKAHEAD!$A$5:$A$604,A2596)&gt;0,"En Lookahead",IF(P2596="Sí","INCORPORAR",""))</f>
        <v/>
      </c>
    </row>
    <row r="2597" customFormat="false" ht="15" hidden="false" customHeight="false" outlineLevel="0" collapsed="false">
      <c r="A2597" s="16" t="s">
        <v>8634</v>
      </c>
      <c r="B2597" s="16" t="n">
        <v>2592</v>
      </c>
      <c r="C2597" s="16" t="s">
        <v>8635</v>
      </c>
      <c r="D2597" s="16" t="n">
        <v>6</v>
      </c>
      <c r="E2597" s="35" t="s">
        <v>7194</v>
      </c>
      <c r="F2597" s="16" t="s">
        <v>1285</v>
      </c>
      <c r="G2597" s="16" t="s">
        <v>563</v>
      </c>
      <c r="H2597" s="16" t="s">
        <v>4416</v>
      </c>
      <c r="I2597" s="16" t="s">
        <v>98</v>
      </c>
      <c r="J2597" s="16" t="s">
        <v>7177</v>
      </c>
      <c r="K2597" s="32" t="n">
        <v>1</v>
      </c>
      <c r="L2597" s="33" t="n">
        <v>46292</v>
      </c>
      <c r="M2597" s="33" t="n">
        <v>46292</v>
      </c>
      <c r="N2597" s="16" t="s">
        <v>8636</v>
      </c>
      <c r="O2597" s="16"/>
      <c r="P2597" s="16" t="str">
        <f aca="false">IF(AND(L2597&lt;=$D$2,M2597&gt;=$C$2),"Sí","")</f>
        <v/>
      </c>
      <c r="Q2597" s="18" t="str">
        <f aca="false">IF(COUNTIF(LOOKAHEAD!$A$5:$A$604,A2597)&gt;0,"En Lookahead",IF(P2597="Sí","INCORPORAR",""))</f>
        <v/>
      </c>
    </row>
    <row r="2598" customFormat="false" ht="15" hidden="false" customHeight="false" outlineLevel="0" collapsed="false">
      <c r="A2598" s="16" t="s">
        <v>8637</v>
      </c>
      <c r="B2598" s="16" t="n">
        <v>2593</v>
      </c>
      <c r="C2598" s="16" t="s">
        <v>8638</v>
      </c>
      <c r="D2598" s="16" t="n">
        <v>6</v>
      </c>
      <c r="E2598" s="35" t="s">
        <v>7501</v>
      </c>
      <c r="F2598" s="16" t="s">
        <v>1285</v>
      </c>
      <c r="G2598" s="16" t="s">
        <v>563</v>
      </c>
      <c r="H2598" s="16" t="s">
        <v>4416</v>
      </c>
      <c r="I2598" s="16" t="s">
        <v>98</v>
      </c>
      <c r="J2598" s="16" t="s">
        <v>7177</v>
      </c>
      <c r="K2598" s="32" t="n">
        <v>3</v>
      </c>
      <c r="L2598" s="33" t="n">
        <v>46293</v>
      </c>
      <c r="M2598" s="33" t="n">
        <v>46295</v>
      </c>
      <c r="N2598" s="16" t="s">
        <v>8639</v>
      </c>
      <c r="O2598" s="16"/>
      <c r="P2598" s="16" t="str">
        <f aca="false">IF(AND(L2598&lt;=$D$2,M2598&gt;=$C$2),"Sí","")</f>
        <v/>
      </c>
      <c r="Q2598" s="18" t="str">
        <f aca="false">IF(COUNTIF(LOOKAHEAD!$A$5:$A$604,A2598)&gt;0,"En Lookahead",IF(P2598="Sí","INCORPORAR",""))</f>
        <v/>
      </c>
    </row>
    <row r="2599" customFormat="false" ht="15" hidden="false" customHeight="false" outlineLevel="0" collapsed="false">
      <c r="A2599" s="16" t="s">
        <v>8640</v>
      </c>
      <c r="B2599" s="16" t="n">
        <v>2594</v>
      </c>
      <c r="C2599" s="16" t="s">
        <v>8641</v>
      </c>
      <c r="D2599" s="16" t="n">
        <v>6</v>
      </c>
      <c r="E2599" s="35" t="s">
        <v>7508</v>
      </c>
      <c r="F2599" s="16" t="s">
        <v>1285</v>
      </c>
      <c r="G2599" s="16" t="s">
        <v>563</v>
      </c>
      <c r="H2599" s="16" t="s">
        <v>4416</v>
      </c>
      <c r="I2599" s="16" t="s">
        <v>98</v>
      </c>
      <c r="J2599" s="16" t="s">
        <v>7177</v>
      </c>
      <c r="K2599" s="32" t="n">
        <v>2</v>
      </c>
      <c r="L2599" s="33" t="n">
        <v>46296</v>
      </c>
      <c r="M2599" s="33" t="n">
        <v>46297</v>
      </c>
      <c r="N2599" s="16" t="s">
        <v>8642</v>
      </c>
      <c r="O2599" s="16"/>
      <c r="P2599" s="16" t="str">
        <f aca="false">IF(AND(L2599&lt;=$D$2,M2599&gt;=$C$2),"Sí","")</f>
        <v/>
      </c>
      <c r="Q2599" s="18" t="str">
        <f aca="false">IF(COUNTIF(LOOKAHEAD!$A$5:$A$604,A2599)&gt;0,"En Lookahead",IF(P2599="Sí","INCORPORAR",""))</f>
        <v/>
      </c>
    </row>
    <row r="2600" customFormat="false" ht="15" hidden="false" customHeight="false" outlineLevel="0" collapsed="false">
      <c r="A2600" s="16" t="s">
        <v>8643</v>
      </c>
      <c r="B2600" s="16" t="n">
        <v>2595</v>
      </c>
      <c r="C2600" s="16" t="s">
        <v>8644</v>
      </c>
      <c r="D2600" s="16" t="n">
        <v>6</v>
      </c>
      <c r="E2600" s="35" t="s">
        <v>7512</v>
      </c>
      <c r="F2600" s="16" t="s">
        <v>1285</v>
      </c>
      <c r="G2600" s="16" t="s">
        <v>563</v>
      </c>
      <c r="H2600" s="16" t="s">
        <v>4416</v>
      </c>
      <c r="I2600" s="16" t="s">
        <v>98</v>
      </c>
      <c r="J2600" s="16" t="s">
        <v>7177</v>
      </c>
      <c r="K2600" s="32" t="n">
        <v>1</v>
      </c>
      <c r="L2600" s="33" t="n">
        <v>46298</v>
      </c>
      <c r="M2600" s="33" t="n">
        <v>46298</v>
      </c>
      <c r="N2600" s="16" t="s">
        <v>8645</v>
      </c>
      <c r="O2600" s="16"/>
      <c r="P2600" s="16" t="str">
        <f aca="false">IF(AND(L2600&lt;=$D$2,M2600&gt;=$C$2),"Sí","")</f>
        <v/>
      </c>
      <c r="Q2600" s="18" t="str">
        <f aca="false">IF(COUNTIF(LOOKAHEAD!$A$5:$A$604,A2600)&gt;0,"En Lookahead",IF(P2600="Sí","INCORPORAR",""))</f>
        <v/>
      </c>
    </row>
    <row r="2601" customFormat="false" ht="15" hidden="false" customHeight="false" outlineLevel="0" collapsed="false">
      <c r="A2601" s="13" t="s">
        <v>8646</v>
      </c>
      <c r="B2601" s="13" t="n">
        <v>2596</v>
      </c>
      <c r="C2601" s="13" t="s">
        <v>8647</v>
      </c>
      <c r="D2601" s="13" t="n">
        <v>5</v>
      </c>
      <c r="E2601" s="34" t="s">
        <v>7206</v>
      </c>
      <c r="F2601" s="13" t="s">
        <v>1298</v>
      </c>
      <c r="G2601" s="13" t="s">
        <v>563</v>
      </c>
      <c r="H2601" s="13" t="s">
        <v>4416</v>
      </c>
      <c r="I2601" s="13" t="s">
        <v>98</v>
      </c>
      <c r="J2601" s="13" t="s">
        <v>4416</v>
      </c>
      <c r="K2601" s="30" t="n">
        <v>52</v>
      </c>
      <c r="L2601" s="31" t="n">
        <v>46299</v>
      </c>
      <c r="M2601" s="31" t="n">
        <v>46350</v>
      </c>
      <c r="N2601" s="13"/>
      <c r="O2601" s="13"/>
      <c r="P2601" s="13"/>
      <c r="Q2601" s="13"/>
    </row>
    <row r="2602" customFormat="false" ht="15" hidden="false" customHeight="false" outlineLevel="0" collapsed="false">
      <c r="A2602" s="16" t="s">
        <v>8648</v>
      </c>
      <c r="B2602" s="16" t="n">
        <v>2597</v>
      </c>
      <c r="C2602" s="16" t="s">
        <v>8649</v>
      </c>
      <c r="D2602" s="16" t="n">
        <v>6</v>
      </c>
      <c r="E2602" s="35" t="s">
        <v>7209</v>
      </c>
      <c r="F2602" s="16" t="s">
        <v>1285</v>
      </c>
      <c r="G2602" s="16" t="s">
        <v>563</v>
      </c>
      <c r="H2602" s="16" t="s">
        <v>4416</v>
      </c>
      <c r="I2602" s="16" t="s">
        <v>98</v>
      </c>
      <c r="J2602" s="16" t="s">
        <v>7206</v>
      </c>
      <c r="K2602" s="32" t="n">
        <v>14</v>
      </c>
      <c r="L2602" s="33" t="n">
        <v>46299</v>
      </c>
      <c r="M2602" s="33" t="n">
        <v>46312</v>
      </c>
      <c r="N2602" s="16" t="s">
        <v>8650</v>
      </c>
      <c r="O2602" s="16"/>
      <c r="P2602" s="16" t="str">
        <f aca="false">IF(AND(L2602&lt;=$D$2,M2602&gt;=$C$2),"Sí","")</f>
        <v>Sí</v>
      </c>
      <c r="Q2602" s="18" t="str">
        <f aca="false">IF(COUNTIF(LOOKAHEAD!$A$5:$A$604,A2602)&gt;0,"En Lookahead",IF(P2602="Sí","INCORPORAR",""))</f>
        <v>En Lookahead</v>
      </c>
    </row>
    <row r="2603" customFormat="false" ht="15" hidden="false" customHeight="false" outlineLevel="0" collapsed="false">
      <c r="A2603" s="16" t="s">
        <v>8651</v>
      </c>
      <c r="B2603" s="16" t="n">
        <v>2598</v>
      </c>
      <c r="C2603" s="16" t="s">
        <v>8652</v>
      </c>
      <c r="D2603" s="16" t="n">
        <v>6</v>
      </c>
      <c r="E2603" s="35" t="s">
        <v>7212</v>
      </c>
      <c r="F2603" s="16" t="s">
        <v>1285</v>
      </c>
      <c r="G2603" s="16" t="s">
        <v>563</v>
      </c>
      <c r="H2603" s="16" t="s">
        <v>4416</v>
      </c>
      <c r="I2603" s="16" t="s">
        <v>98</v>
      </c>
      <c r="J2603" s="16" t="s">
        <v>7206</v>
      </c>
      <c r="K2603" s="32" t="n">
        <v>7</v>
      </c>
      <c r="L2603" s="33" t="n">
        <v>46313</v>
      </c>
      <c r="M2603" s="33" t="n">
        <v>46319</v>
      </c>
      <c r="N2603" s="16" t="s">
        <v>8653</v>
      </c>
      <c r="O2603" s="16"/>
      <c r="P2603" s="16" t="str">
        <f aca="false">IF(AND(L2603&lt;=$D$2,M2603&gt;=$C$2),"Sí","")</f>
        <v>Sí</v>
      </c>
      <c r="Q2603" s="18" t="str">
        <f aca="false">IF(COUNTIF(LOOKAHEAD!$A$5:$A$604,A2603)&gt;0,"En Lookahead",IF(P2603="Sí","INCORPORAR",""))</f>
        <v>En Lookahead</v>
      </c>
    </row>
    <row r="2604" customFormat="false" ht="15" hidden="false" customHeight="false" outlineLevel="0" collapsed="false">
      <c r="A2604" s="16" t="s">
        <v>8654</v>
      </c>
      <c r="B2604" s="16" t="n">
        <v>2599</v>
      </c>
      <c r="C2604" s="16" t="s">
        <v>8655</v>
      </c>
      <c r="D2604" s="16" t="n">
        <v>6</v>
      </c>
      <c r="E2604" s="35" t="s">
        <v>8656</v>
      </c>
      <c r="F2604" s="16" t="s">
        <v>1285</v>
      </c>
      <c r="G2604" s="16" t="s">
        <v>563</v>
      </c>
      <c r="H2604" s="16" t="s">
        <v>4416</v>
      </c>
      <c r="I2604" s="16" t="s">
        <v>98</v>
      </c>
      <c r="J2604" s="16" t="s">
        <v>7206</v>
      </c>
      <c r="K2604" s="32" t="n">
        <v>7</v>
      </c>
      <c r="L2604" s="33" t="n">
        <v>46320</v>
      </c>
      <c r="M2604" s="33" t="n">
        <v>46326</v>
      </c>
      <c r="N2604" s="16" t="s">
        <v>8657</v>
      </c>
      <c r="O2604" s="16"/>
      <c r="P2604" s="16" t="str">
        <f aca="false">IF(AND(L2604&lt;=$D$2,M2604&gt;=$C$2),"Sí","")</f>
        <v>Sí</v>
      </c>
      <c r="Q2604" s="18" t="str">
        <f aca="false">IF(COUNTIF(LOOKAHEAD!$A$5:$A$604,A2604)&gt;0,"En Lookahead",IF(P2604="Sí","INCORPORAR",""))</f>
        <v>En Lookahead</v>
      </c>
    </row>
    <row r="2605" customFormat="false" ht="15" hidden="false" customHeight="false" outlineLevel="0" collapsed="false">
      <c r="A2605" s="16" t="s">
        <v>8658</v>
      </c>
      <c r="B2605" s="16" t="n">
        <v>2600</v>
      </c>
      <c r="C2605" s="16" t="s">
        <v>8659</v>
      </c>
      <c r="D2605" s="16" t="n">
        <v>6</v>
      </c>
      <c r="E2605" s="35" t="s">
        <v>8660</v>
      </c>
      <c r="F2605" s="16" t="s">
        <v>1285</v>
      </c>
      <c r="G2605" s="16" t="s">
        <v>563</v>
      </c>
      <c r="H2605" s="16" t="s">
        <v>4416</v>
      </c>
      <c r="I2605" s="16" t="s">
        <v>98</v>
      </c>
      <c r="J2605" s="16" t="s">
        <v>7206</v>
      </c>
      <c r="K2605" s="32" t="n">
        <v>4</v>
      </c>
      <c r="L2605" s="33" t="n">
        <v>46327</v>
      </c>
      <c r="M2605" s="33" t="n">
        <v>46330</v>
      </c>
      <c r="N2605" s="16" t="s">
        <v>8661</v>
      </c>
      <c r="O2605" s="16"/>
      <c r="P2605" s="16" t="str">
        <f aca="false">IF(AND(L2605&lt;=$D$2,M2605&gt;=$C$2),"Sí","")</f>
        <v>Sí</v>
      </c>
      <c r="Q2605" s="18" t="str">
        <f aca="false">IF(COUNTIF(LOOKAHEAD!$A$5:$A$604,A2605)&gt;0,"En Lookahead",IF(P2605="Sí","INCORPORAR",""))</f>
        <v>En Lookahead</v>
      </c>
    </row>
    <row r="2606" customFormat="false" ht="15" hidden="false" customHeight="false" outlineLevel="0" collapsed="false">
      <c r="A2606" s="16" t="s">
        <v>8662</v>
      </c>
      <c r="B2606" s="16" t="n">
        <v>2601</v>
      </c>
      <c r="C2606" s="16" t="s">
        <v>8663</v>
      </c>
      <c r="D2606" s="16" t="n">
        <v>6</v>
      </c>
      <c r="E2606" s="35" t="s">
        <v>7224</v>
      </c>
      <c r="F2606" s="16" t="s">
        <v>1285</v>
      </c>
      <c r="G2606" s="16" t="s">
        <v>563</v>
      </c>
      <c r="H2606" s="16" t="s">
        <v>4416</v>
      </c>
      <c r="I2606" s="16" t="s">
        <v>98</v>
      </c>
      <c r="J2606" s="16" t="s">
        <v>7206</v>
      </c>
      <c r="K2606" s="32" t="n">
        <v>7</v>
      </c>
      <c r="L2606" s="33" t="n">
        <v>46331</v>
      </c>
      <c r="M2606" s="33" t="n">
        <v>46337</v>
      </c>
      <c r="N2606" s="16" t="s">
        <v>8664</v>
      </c>
      <c r="O2606" s="16"/>
      <c r="P2606" s="16" t="str">
        <f aca="false">IF(AND(L2606&lt;=$D$2,M2606&gt;=$C$2),"Sí","")</f>
        <v>Sí</v>
      </c>
      <c r="Q2606" s="18" t="str">
        <f aca="false">IF(COUNTIF(LOOKAHEAD!$A$5:$A$604,A2606)&gt;0,"En Lookahead",IF(P2606="Sí","INCORPORAR",""))</f>
        <v>En Lookahead</v>
      </c>
    </row>
    <row r="2607" customFormat="false" ht="15" hidden="false" customHeight="false" outlineLevel="0" collapsed="false">
      <c r="A2607" s="16" t="s">
        <v>8665</v>
      </c>
      <c r="B2607" s="16" t="n">
        <v>2602</v>
      </c>
      <c r="C2607" s="16" t="s">
        <v>8666</v>
      </c>
      <c r="D2607" s="16" t="n">
        <v>6</v>
      </c>
      <c r="E2607" s="35" t="s">
        <v>7232</v>
      </c>
      <c r="F2607" s="16" t="s">
        <v>1285</v>
      </c>
      <c r="G2607" s="16" t="s">
        <v>563</v>
      </c>
      <c r="H2607" s="16" t="s">
        <v>4416</v>
      </c>
      <c r="I2607" s="16" t="s">
        <v>98</v>
      </c>
      <c r="J2607" s="16" t="s">
        <v>7206</v>
      </c>
      <c r="K2607" s="32" t="n">
        <v>31</v>
      </c>
      <c r="L2607" s="33" t="n">
        <v>46320</v>
      </c>
      <c r="M2607" s="33" t="n">
        <v>46350</v>
      </c>
      <c r="N2607" s="16" t="s">
        <v>8667</v>
      </c>
      <c r="O2607" s="16"/>
      <c r="P2607" s="16" t="str">
        <f aca="false">IF(AND(L2607&lt;=$D$2,M2607&gt;=$C$2),"Sí","")</f>
        <v>Sí</v>
      </c>
      <c r="Q2607" s="18" t="str">
        <f aca="false">IF(COUNTIF(LOOKAHEAD!$A$5:$A$604,A2607)&gt;0,"En Lookahead",IF(P2607="Sí","INCORPORAR",""))</f>
        <v>En Lookahead</v>
      </c>
    </row>
    <row r="2608" customFormat="false" ht="15" hidden="false" customHeight="false" outlineLevel="0" collapsed="false">
      <c r="A2608" s="13" t="s">
        <v>8668</v>
      </c>
      <c r="B2608" s="13" t="n">
        <v>2603</v>
      </c>
      <c r="C2608" s="13" t="s">
        <v>8669</v>
      </c>
      <c r="D2608" s="13" t="n">
        <v>5</v>
      </c>
      <c r="E2608" s="34" t="s">
        <v>7236</v>
      </c>
      <c r="F2608" s="13" t="s">
        <v>1298</v>
      </c>
      <c r="G2608" s="13" t="s">
        <v>563</v>
      </c>
      <c r="H2608" s="13" t="s">
        <v>4416</v>
      </c>
      <c r="I2608" s="13" t="s">
        <v>98</v>
      </c>
      <c r="J2608" s="13" t="s">
        <v>4416</v>
      </c>
      <c r="K2608" s="30" t="n">
        <v>4</v>
      </c>
      <c r="L2608" s="31" t="n">
        <v>46351</v>
      </c>
      <c r="M2608" s="31" t="n">
        <v>46354</v>
      </c>
      <c r="N2608" s="13"/>
      <c r="O2608" s="13"/>
      <c r="P2608" s="13"/>
      <c r="Q2608" s="13"/>
    </row>
    <row r="2609" customFormat="false" ht="15" hidden="false" customHeight="false" outlineLevel="0" collapsed="false">
      <c r="A2609" s="16" t="s">
        <v>8670</v>
      </c>
      <c r="B2609" s="16" t="n">
        <v>2604</v>
      </c>
      <c r="C2609" s="16" t="s">
        <v>8671</v>
      </c>
      <c r="D2609" s="16" t="n">
        <v>6</v>
      </c>
      <c r="E2609" s="35" t="s">
        <v>7553</v>
      </c>
      <c r="F2609" s="16" t="s">
        <v>1285</v>
      </c>
      <c r="G2609" s="16" t="s">
        <v>563</v>
      </c>
      <c r="H2609" s="16" t="s">
        <v>4416</v>
      </c>
      <c r="I2609" s="16" t="s">
        <v>98</v>
      </c>
      <c r="J2609" s="16" t="s">
        <v>7236</v>
      </c>
      <c r="K2609" s="32" t="n">
        <v>4</v>
      </c>
      <c r="L2609" s="33" t="n">
        <v>46351</v>
      </c>
      <c r="M2609" s="33" t="n">
        <v>46354</v>
      </c>
      <c r="N2609" s="16" t="s">
        <v>8672</v>
      </c>
      <c r="O2609" s="16"/>
      <c r="P2609" s="16" t="str">
        <f aca="false">IF(AND(L2609&lt;=$D$2,M2609&gt;=$C$2),"Sí","")</f>
        <v/>
      </c>
      <c r="Q2609" s="18" t="str">
        <f aca="false">IF(COUNTIF(LOOKAHEAD!$A$5:$A$604,A2609)&gt;0,"En Lookahead",IF(P2609="Sí","INCORPORAR",""))</f>
        <v/>
      </c>
    </row>
    <row r="2610" customFormat="false" ht="15" hidden="false" customHeight="false" outlineLevel="0" collapsed="false">
      <c r="A2610" s="13" t="s">
        <v>8673</v>
      </c>
      <c r="B2610" s="13" t="n">
        <v>2605</v>
      </c>
      <c r="C2610" s="13" t="s">
        <v>8674</v>
      </c>
      <c r="D2610" s="13" t="n">
        <v>5</v>
      </c>
      <c r="E2610" s="34" t="s">
        <v>7250</v>
      </c>
      <c r="F2610" s="13" t="s">
        <v>1298</v>
      </c>
      <c r="G2610" s="13" t="s">
        <v>563</v>
      </c>
      <c r="H2610" s="13" t="s">
        <v>4416</v>
      </c>
      <c r="I2610" s="13" t="s">
        <v>98</v>
      </c>
      <c r="J2610" s="13" t="s">
        <v>4416</v>
      </c>
      <c r="K2610" s="30" t="n">
        <v>8</v>
      </c>
      <c r="L2610" s="31" t="n">
        <v>46355</v>
      </c>
      <c r="M2610" s="31" t="n">
        <v>46362</v>
      </c>
      <c r="N2610" s="13"/>
      <c r="O2610" s="13"/>
      <c r="P2610" s="13"/>
      <c r="Q2610" s="13"/>
    </row>
    <row r="2611" customFormat="false" ht="15" hidden="false" customHeight="false" outlineLevel="0" collapsed="false">
      <c r="A2611" s="13" t="s">
        <v>8675</v>
      </c>
      <c r="B2611" s="13" t="n">
        <v>2606</v>
      </c>
      <c r="C2611" s="13" t="s">
        <v>8676</v>
      </c>
      <c r="D2611" s="13" t="n">
        <v>6</v>
      </c>
      <c r="E2611" s="36" t="s">
        <v>7253</v>
      </c>
      <c r="F2611" s="13" t="s">
        <v>1298</v>
      </c>
      <c r="G2611" s="13" t="s">
        <v>563</v>
      </c>
      <c r="H2611" s="13" t="s">
        <v>4416</v>
      </c>
      <c r="I2611" s="13" t="s">
        <v>98</v>
      </c>
      <c r="J2611" s="13" t="s">
        <v>7250</v>
      </c>
      <c r="K2611" s="30" t="n">
        <v>2</v>
      </c>
      <c r="L2611" s="31" t="n">
        <v>46355</v>
      </c>
      <c r="M2611" s="31" t="n">
        <v>46356</v>
      </c>
      <c r="N2611" s="13"/>
      <c r="O2611" s="13"/>
      <c r="P2611" s="13"/>
      <c r="Q2611" s="13"/>
    </row>
    <row r="2612" customFormat="false" ht="15" hidden="false" customHeight="false" outlineLevel="0" collapsed="false">
      <c r="A2612" s="16" t="s">
        <v>8677</v>
      </c>
      <c r="B2612" s="16" t="n">
        <v>2607</v>
      </c>
      <c r="C2612" s="16" t="s">
        <v>8678</v>
      </c>
      <c r="D2612" s="16" t="n">
        <v>7</v>
      </c>
      <c r="E2612" s="37" t="s">
        <v>7256</v>
      </c>
      <c r="F2612" s="16" t="s">
        <v>1285</v>
      </c>
      <c r="G2612" s="16" t="s">
        <v>563</v>
      </c>
      <c r="H2612" s="16" t="s">
        <v>4416</v>
      </c>
      <c r="I2612" s="16" t="s">
        <v>98</v>
      </c>
      <c r="J2612" s="16" t="s">
        <v>7253</v>
      </c>
      <c r="K2612" s="32" t="n">
        <v>2</v>
      </c>
      <c r="L2612" s="33" t="n">
        <v>46355</v>
      </c>
      <c r="M2612" s="33" t="n">
        <v>46356</v>
      </c>
      <c r="N2612" s="16" t="s">
        <v>8679</v>
      </c>
      <c r="O2612" s="16"/>
      <c r="P2612" s="16" t="str">
        <f aca="false">IF(AND(L2612&lt;=$D$2,M2612&gt;=$C$2),"Sí","")</f>
        <v/>
      </c>
      <c r="Q2612" s="18" t="str">
        <f aca="false">IF(COUNTIF(LOOKAHEAD!$A$5:$A$604,A2612)&gt;0,"En Lookahead",IF(P2612="Sí","INCORPORAR",""))</f>
        <v/>
      </c>
    </row>
    <row r="2613" customFormat="false" ht="15" hidden="false" customHeight="false" outlineLevel="0" collapsed="false">
      <c r="A2613" s="13" t="s">
        <v>8680</v>
      </c>
      <c r="B2613" s="13" t="n">
        <v>2608</v>
      </c>
      <c r="C2613" s="13" t="s">
        <v>8681</v>
      </c>
      <c r="D2613" s="13" t="n">
        <v>6</v>
      </c>
      <c r="E2613" s="36" t="s">
        <v>7260</v>
      </c>
      <c r="F2613" s="13" t="s">
        <v>1298</v>
      </c>
      <c r="G2613" s="13" t="s">
        <v>563</v>
      </c>
      <c r="H2613" s="13" t="s">
        <v>4416</v>
      </c>
      <c r="I2613" s="13" t="s">
        <v>98</v>
      </c>
      <c r="J2613" s="13" t="s">
        <v>7250</v>
      </c>
      <c r="K2613" s="30" t="n">
        <v>6</v>
      </c>
      <c r="L2613" s="31" t="n">
        <v>46357</v>
      </c>
      <c r="M2613" s="31" t="n">
        <v>46362</v>
      </c>
      <c r="N2613" s="13"/>
      <c r="O2613" s="13"/>
      <c r="P2613" s="13"/>
      <c r="Q2613" s="13"/>
    </row>
    <row r="2614" customFormat="false" ht="15" hidden="false" customHeight="false" outlineLevel="0" collapsed="false">
      <c r="A2614" s="16" t="s">
        <v>8682</v>
      </c>
      <c r="B2614" s="16" t="n">
        <v>2609</v>
      </c>
      <c r="C2614" s="16" t="s">
        <v>8683</v>
      </c>
      <c r="D2614" s="16" t="n">
        <v>7</v>
      </c>
      <c r="E2614" s="37" t="s">
        <v>7267</v>
      </c>
      <c r="F2614" s="16" t="s">
        <v>1285</v>
      </c>
      <c r="G2614" s="16" t="s">
        <v>563</v>
      </c>
      <c r="H2614" s="16" t="s">
        <v>4416</v>
      </c>
      <c r="I2614" s="16" t="s">
        <v>98</v>
      </c>
      <c r="J2614" s="16" t="s">
        <v>7260</v>
      </c>
      <c r="K2614" s="32" t="n">
        <v>1</v>
      </c>
      <c r="L2614" s="33" t="n">
        <v>46357</v>
      </c>
      <c r="M2614" s="33" t="n">
        <v>46357</v>
      </c>
      <c r="N2614" s="16" t="s">
        <v>8684</v>
      </c>
      <c r="O2614" s="16"/>
      <c r="P2614" s="16" t="str">
        <f aca="false">IF(AND(L2614&lt;=$D$2,M2614&gt;=$C$2),"Sí","")</f>
        <v/>
      </c>
      <c r="Q2614" s="18" t="str">
        <f aca="false">IF(COUNTIF(LOOKAHEAD!$A$5:$A$604,A2614)&gt;0,"En Lookahead",IF(P2614="Sí","INCORPORAR",""))</f>
        <v/>
      </c>
    </row>
    <row r="2615" customFormat="false" ht="15" hidden="false" customHeight="false" outlineLevel="0" collapsed="false">
      <c r="A2615" s="16" t="s">
        <v>8685</v>
      </c>
      <c r="B2615" s="16" t="n">
        <v>2610</v>
      </c>
      <c r="C2615" s="16" t="s">
        <v>8686</v>
      </c>
      <c r="D2615" s="16" t="n">
        <v>7</v>
      </c>
      <c r="E2615" s="37" t="s">
        <v>7271</v>
      </c>
      <c r="F2615" s="16" t="s">
        <v>1285</v>
      </c>
      <c r="G2615" s="16" t="s">
        <v>563</v>
      </c>
      <c r="H2615" s="16" t="s">
        <v>4416</v>
      </c>
      <c r="I2615" s="16" t="s">
        <v>98</v>
      </c>
      <c r="J2615" s="16" t="s">
        <v>7260</v>
      </c>
      <c r="K2615" s="32" t="n">
        <v>4</v>
      </c>
      <c r="L2615" s="33" t="n">
        <v>46358</v>
      </c>
      <c r="M2615" s="33" t="n">
        <v>46361</v>
      </c>
      <c r="N2615" s="16" t="s">
        <v>8687</v>
      </c>
      <c r="O2615" s="16"/>
      <c r="P2615" s="16" t="str">
        <f aca="false">IF(AND(L2615&lt;=$D$2,M2615&gt;=$C$2),"Sí","")</f>
        <v/>
      </c>
      <c r="Q2615" s="18" t="str">
        <f aca="false">IF(COUNTIF(LOOKAHEAD!$A$5:$A$604,A2615)&gt;0,"En Lookahead",IF(P2615="Sí","INCORPORAR",""))</f>
        <v/>
      </c>
    </row>
    <row r="2616" customFormat="false" ht="15" hidden="false" customHeight="false" outlineLevel="0" collapsed="false">
      <c r="A2616" s="16" t="s">
        <v>8688</v>
      </c>
      <c r="B2616" s="16" t="n">
        <v>2611</v>
      </c>
      <c r="C2616" s="16" t="s">
        <v>8689</v>
      </c>
      <c r="D2616" s="16" t="n">
        <v>7</v>
      </c>
      <c r="E2616" s="37" t="s">
        <v>7579</v>
      </c>
      <c r="F2616" s="16" t="s">
        <v>1285</v>
      </c>
      <c r="G2616" s="16" t="s">
        <v>563</v>
      </c>
      <c r="H2616" s="16" t="s">
        <v>4416</v>
      </c>
      <c r="I2616" s="16" t="s">
        <v>98</v>
      </c>
      <c r="J2616" s="16" t="s">
        <v>7260</v>
      </c>
      <c r="K2616" s="32" t="n">
        <v>1</v>
      </c>
      <c r="L2616" s="33" t="n">
        <v>46362</v>
      </c>
      <c r="M2616" s="33" t="n">
        <v>46362</v>
      </c>
      <c r="N2616" s="16" t="s">
        <v>8690</v>
      </c>
      <c r="O2616" s="16"/>
      <c r="P2616" s="16" t="str">
        <f aca="false">IF(AND(L2616&lt;=$D$2,M2616&gt;=$C$2),"Sí","")</f>
        <v/>
      </c>
      <c r="Q2616" s="18" t="str">
        <f aca="false">IF(COUNTIF(LOOKAHEAD!$A$5:$A$604,A2616)&gt;0,"En Lookahead",IF(P2616="Sí","INCORPORAR",""))</f>
        <v/>
      </c>
    </row>
    <row r="2617" customFormat="false" ht="15" hidden="false" customHeight="false" outlineLevel="0" collapsed="false">
      <c r="A2617" s="13" t="s">
        <v>8691</v>
      </c>
      <c r="B2617" s="13" t="n">
        <v>2612</v>
      </c>
      <c r="C2617" s="13" t="s">
        <v>8692</v>
      </c>
      <c r="D2617" s="13" t="n">
        <v>5</v>
      </c>
      <c r="E2617" s="34" t="s">
        <v>7279</v>
      </c>
      <c r="F2617" s="13" t="s">
        <v>1298</v>
      </c>
      <c r="G2617" s="13" t="s">
        <v>563</v>
      </c>
      <c r="H2617" s="13" t="s">
        <v>4416</v>
      </c>
      <c r="I2617" s="13" t="s">
        <v>98</v>
      </c>
      <c r="J2617" s="13" t="s">
        <v>4416</v>
      </c>
      <c r="K2617" s="30" t="n">
        <v>5</v>
      </c>
      <c r="L2617" s="31" t="n">
        <v>46357</v>
      </c>
      <c r="M2617" s="31" t="n">
        <v>46361</v>
      </c>
      <c r="N2617" s="13"/>
      <c r="O2617" s="13"/>
      <c r="P2617" s="13"/>
      <c r="Q2617" s="13"/>
    </row>
    <row r="2618" customFormat="false" ht="15" hidden="false" customHeight="false" outlineLevel="0" collapsed="false">
      <c r="A2618" s="16" t="s">
        <v>8693</v>
      </c>
      <c r="B2618" s="16" t="n">
        <v>2613</v>
      </c>
      <c r="C2618" s="16" t="s">
        <v>8694</v>
      </c>
      <c r="D2618" s="16" t="n">
        <v>6</v>
      </c>
      <c r="E2618" s="35" t="s">
        <v>7282</v>
      </c>
      <c r="F2618" s="16" t="s">
        <v>1285</v>
      </c>
      <c r="G2618" s="16" t="s">
        <v>563</v>
      </c>
      <c r="H2618" s="16" t="s">
        <v>4416</v>
      </c>
      <c r="I2618" s="16" t="s">
        <v>98</v>
      </c>
      <c r="J2618" s="16" t="s">
        <v>7279</v>
      </c>
      <c r="K2618" s="32" t="n">
        <v>1</v>
      </c>
      <c r="L2618" s="33" t="n">
        <v>46357</v>
      </c>
      <c r="M2618" s="33" t="n">
        <v>46357</v>
      </c>
      <c r="N2618" s="16" t="s">
        <v>8695</v>
      </c>
      <c r="O2618" s="16"/>
      <c r="P2618" s="16" t="str">
        <f aca="false">IF(AND(L2618&lt;=$D$2,M2618&gt;=$C$2),"Sí","")</f>
        <v/>
      </c>
      <c r="Q2618" s="18" t="str">
        <f aca="false">IF(COUNTIF(LOOKAHEAD!$A$5:$A$604,A2618)&gt;0,"En Lookahead",IF(P2618="Sí","INCORPORAR",""))</f>
        <v/>
      </c>
    </row>
    <row r="2619" customFormat="false" ht="15" hidden="false" customHeight="false" outlineLevel="0" collapsed="false">
      <c r="A2619" s="16" t="s">
        <v>8696</v>
      </c>
      <c r="B2619" s="16" t="n">
        <v>2614</v>
      </c>
      <c r="C2619" s="16" t="s">
        <v>8697</v>
      </c>
      <c r="D2619" s="16" t="n">
        <v>6</v>
      </c>
      <c r="E2619" s="35" t="s">
        <v>8698</v>
      </c>
      <c r="F2619" s="16" t="s">
        <v>1285</v>
      </c>
      <c r="G2619" s="16" t="s">
        <v>563</v>
      </c>
      <c r="H2619" s="16" t="s">
        <v>4416</v>
      </c>
      <c r="I2619" s="16" t="s">
        <v>98</v>
      </c>
      <c r="J2619" s="16" t="s">
        <v>7279</v>
      </c>
      <c r="K2619" s="32" t="n">
        <v>4</v>
      </c>
      <c r="L2619" s="33" t="n">
        <v>46357</v>
      </c>
      <c r="M2619" s="33" t="n">
        <v>46360</v>
      </c>
      <c r="N2619" s="16" t="s">
        <v>8699</v>
      </c>
      <c r="O2619" s="16"/>
      <c r="P2619" s="16" t="str">
        <f aca="false">IF(AND(L2619&lt;=$D$2,M2619&gt;=$C$2),"Sí","")</f>
        <v/>
      </c>
      <c r="Q2619" s="18" t="str">
        <f aca="false">IF(COUNTIF(LOOKAHEAD!$A$5:$A$604,A2619)&gt;0,"En Lookahead",IF(P2619="Sí","INCORPORAR",""))</f>
        <v/>
      </c>
    </row>
    <row r="2620" customFormat="false" ht="15" hidden="false" customHeight="false" outlineLevel="0" collapsed="false">
      <c r="A2620" s="16" t="s">
        <v>8700</v>
      </c>
      <c r="B2620" s="16" t="n">
        <v>2615</v>
      </c>
      <c r="C2620" s="16" t="s">
        <v>8701</v>
      </c>
      <c r="D2620" s="16" t="n">
        <v>6</v>
      </c>
      <c r="E2620" s="35" t="s">
        <v>8702</v>
      </c>
      <c r="F2620" s="16" t="s">
        <v>1285</v>
      </c>
      <c r="G2620" s="16" t="s">
        <v>563</v>
      </c>
      <c r="H2620" s="16" t="s">
        <v>4416</v>
      </c>
      <c r="I2620" s="16" t="s">
        <v>98</v>
      </c>
      <c r="J2620" s="16" t="s">
        <v>7279</v>
      </c>
      <c r="K2620" s="32" t="n">
        <v>1</v>
      </c>
      <c r="L2620" s="33" t="n">
        <v>46357</v>
      </c>
      <c r="M2620" s="33" t="n">
        <v>46357</v>
      </c>
      <c r="N2620" s="16" t="s">
        <v>8699</v>
      </c>
      <c r="O2620" s="16"/>
      <c r="P2620" s="16" t="str">
        <f aca="false">IF(AND(L2620&lt;=$D$2,M2620&gt;=$C$2),"Sí","")</f>
        <v/>
      </c>
      <c r="Q2620" s="18" t="str">
        <f aca="false">IF(COUNTIF(LOOKAHEAD!$A$5:$A$604,A2620)&gt;0,"En Lookahead",IF(P2620="Sí","INCORPORAR",""))</f>
        <v/>
      </c>
    </row>
    <row r="2621" customFormat="false" ht="15" hidden="false" customHeight="false" outlineLevel="0" collapsed="false">
      <c r="A2621" s="16" t="s">
        <v>8703</v>
      </c>
      <c r="B2621" s="16" t="n">
        <v>2616</v>
      </c>
      <c r="C2621" s="16" t="s">
        <v>8704</v>
      </c>
      <c r="D2621" s="16" t="n">
        <v>6</v>
      </c>
      <c r="E2621" s="35" t="s">
        <v>8705</v>
      </c>
      <c r="F2621" s="16" t="s">
        <v>1285</v>
      </c>
      <c r="G2621" s="16" t="s">
        <v>563</v>
      </c>
      <c r="H2621" s="16" t="s">
        <v>4416</v>
      </c>
      <c r="I2621" s="16" t="s">
        <v>98</v>
      </c>
      <c r="J2621" s="16" t="s">
        <v>7279</v>
      </c>
      <c r="K2621" s="32" t="n">
        <v>5</v>
      </c>
      <c r="L2621" s="33" t="n">
        <v>46357</v>
      </c>
      <c r="M2621" s="33" t="n">
        <v>46361</v>
      </c>
      <c r="N2621" s="16" t="s">
        <v>8699</v>
      </c>
      <c r="O2621" s="16"/>
      <c r="P2621" s="16" t="str">
        <f aca="false">IF(AND(L2621&lt;=$D$2,M2621&gt;=$C$2),"Sí","")</f>
        <v/>
      </c>
      <c r="Q2621" s="18" t="str">
        <f aca="false">IF(COUNTIF(LOOKAHEAD!$A$5:$A$604,A2621)&gt;0,"En Lookahead",IF(P2621="Sí","INCORPORAR",""))</f>
        <v/>
      </c>
    </row>
    <row r="2622" customFormat="false" ht="15" hidden="false" customHeight="false" outlineLevel="0" collapsed="false">
      <c r="A2622" s="13" t="s">
        <v>8706</v>
      </c>
      <c r="B2622" s="13" t="n">
        <v>2617</v>
      </c>
      <c r="C2622" s="13" t="s">
        <v>8707</v>
      </c>
      <c r="D2622" s="13" t="n">
        <v>5</v>
      </c>
      <c r="E2622" s="34" t="s">
        <v>7296</v>
      </c>
      <c r="F2622" s="13" t="s">
        <v>1298</v>
      </c>
      <c r="G2622" s="13" t="s">
        <v>563</v>
      </c>
      <c r="H2622" s="13" t="s">
        <v>4416</v>
      </c>
      <c r="I2622" s="13" t="s">
        <v>98</v>
      </c>
      <c r="J2622" s="13" t="s">
        <v>4416</v>
      </c>
      <c r="K2622" s="30" t="n">
        <v>3</v>
      </c>
      <c r="L2622" s="31" t="n">
        <v>46362</v>
      </c>
      <c r="M2622" s="31" t="n">
        <v>46364</v>
      </c>
      <c r="N2622" s="13"/>
      <c r="O2622" s="13"/>
      <c r="P2622" s="13"/>
      <c r="Q2622" s="13"/>
    </row>
    <row r="2623" customFormat="false" ht="15" hidden="false" customHeight="false" outlineLevel="0" collapsed="false">
      <c r="A2623" s="16" t="s">
        <v>8708</v>
      </c>
      <c r="B2623" s="16" t="n">
        <v>2618</v>
      </c>
      <c r="C2623" s="16" t="s">
        <v>8709</v>
      </c>
      <c r="D2623" s="16" t="n">
        <v>6</v>
      </c>
      <c r="E2623" s="35" t="s">
        <v>7299</v>
      </c>
      <c r="F2623" s="16" t="s">
        <v>1285</v>
      </c>
      <c r="G2623" s="16" t="s">
        <v>563</v>
      </c>
      <c r="H2623" s="16" t="s">
        <v>4416</v>
      </c>
      <c r="I2623" s="16" t="s">
        <v>98</v>
      </c>
      <c r="J2623" s="16" t="s">
        <v>7296</v>
      </c>
      <c r="K2623" s="32" t="n">
        <v>1</v>
      </c>
      <c r="L2623" s="33" t="n">
        <v>46362</v>
      </c>
      <c r="M2623" s="33" t="n">
        <v>46362</v>
      </c>
      <c r="N2623" s="16" t="s">
        <v>8710</v>
      </c>
      <c r="O2623" s="16"/>
      <c r="P2623" s="16" t="str">
        <f aca="false">IF(AND(L2623&lt;=$D$2,M2623&gt;=$C$2),"Sí","")</f>
        <v/>
      </c>
      <c r="Q2623" s="18" t="str">
        <f aca="false">IF(COUNTIF(LOOKAHEAD!$A$5:$A$604,A2623)&gt;0,"En Lookahead",IF(P2623="Sí","INCORPORAR",""))</f>
        <v/>
      </c>
    </row>
    <row r="2624" customFormat="false" ht="15" hidden="false" customHeight="false" outlineLevel="0" collapsed="false">
      <c r="A2624" s="16" t="s">
        <v>8711</v>
      </c>
      <c r="B2624" s="16" t="n">
        <v>2619</v>
      </c>
      <c r="C2624" s="16" t="s">
        <v>8712</v>
      </c>
      <c r="D2624" s="16" t="n">
        <v>6</v>
      </c>
      <c r="E2624" s="35" t="s">
        <v>7303</v>
      </c>
      <c r="F2624" s="16" t="s">
        <v>1285</v>
      </c>
      <c r="G2624" s="16" t="s">
        <v>563</v>
      </c>
      <c r="H2624" s="16" t="s">
        <v>4416</v>
      </c>
      <c r="I2624" s="16" t="s">
        <v>98</v>
      </c>
      <c r="J2624" s="16" t="s">
        <v>7296</v>
      </c>
      <c r="K2624" s="32" t="n">
        <v>2</v>
      </c>
      <c r="L2624" s="33" t="n">
        <v>46363</v>
      </c>
      <c r="M2624" s="33" t="n">
        <v>46364</v>
      </c>
      <c r="N2624" s="16" t="s">
        <v>8713</v>
      </c>
      <c r="O2624" s="16"/>
      <c r="P2624" s="16" t="str">
        <f aca="false">IF(AND(L2624&lt;=$D$2,M2624&gt;=$C$2),"Sí","")</f>
        <v/>
      </c>
      <c r="Q2624" s="18" t="str">
        <f aca="false">IF(COUNTIF(LOOKAHEAD!$A$5:$A$604,A2624)&gt;0,"En Lookahead",IF(P2624="Sí","INCORPORAR",""))</f>
        <v/>
      </c>
    </row>
    <row r="2625" customFormat="false" ht="15" hidden="false" customHeight="false" outlineLevel="0" collapsed="false">
      <c r="A2625" s="13" t="s">
        <v>8714</v>
      </c>
      <c r="B2625" s="13" t="n">
        <v>2620</v>
      </c>
      <c r="C2625" s="13" t="s">
        <v>8715</v>
      </c>
      <c r="D2625" s="13" t="n">
        <v>5</v>
      </c>
      <c r="E2625" s="34" t="s">
        <v>7307</v>
      </c>
      <c r="F2625" s="13" t="s">
        <v>1298</v>
      </c>
      <c r="G2625" s="13" t="s">
        <v>563</v>
      </c>
      <c r="H2625" s="13" t="s">
        <v>4416</v>
      </c>
      <c r="I2625" s="13" t="s">
        <v>98</v>
      </c>
      <c r="J2625" s="13" t="s">
        <v>4416</v>
      </c>
      <c r="K2625" s="30" t="n">
        <v>4</v>
      </c>
      <c r="L2625" s="31" t="n">
        <v>46365</v>
      </c>
      <c r="M2625" s="31" t="n">
        <v>46368</v>
      </c>
      <c r="N2625" s="13"/>
      <c r="O2625" s="13"/>
      <c r="P2625" s="13"/>
      <c r="Q2625" s="13"/>
    </row>
    <row r="2626" customFormat="false" ht="15" hidden="false" customHeight="false" outlineLevel="0" collapsed="false">
      <c r="A2626" s="16" t="s">
        <v>8716</v>
      </c>
      <c r="B2626" s="16" t="n">
        <v>2621</v>
      </c>
      <c r="C2626" s="16" t="s">
        <v>8717</v>
      </c>
      <c r="D2626" s="16" t="n">
        <v>6</v>
      </c>
      <c r="E2626" s="35" t="s">
        <v>7631</v>
      </c>
      <c r="F2626" s="16" t="s">
        <v>1285</v>
      </c>
      <c r="G2626" s="16" t="s">
        <v>563</v>
      </c>
      <c r="H2626" s="16" t="s">
        <v>4416</v>
      </c>
      <c r="I2626" s="16" t="s">
        <v>98</v>
      </c>
      <c r="J2626" s="16" t="s">
        <v>7307</v>
      </c>
      <c r="K2626" s="32" t="n">
        <v>1</v>
      </c>
      <c r="L2626" s="33" t="n">
        <v>46365</v>
      </c>
      <c r="M2626" s="33" t="n">
        <v>46365</v>
      </c>
      <c r="N2626" s="16" t="s">
        <v>8718</v>
      </c>
      <c r="O2626" s="16"/>
      <c r="P2626" s="16" t="str">
        <f aca="false">IF(AND(L2626&lt;=$D$2,M2626&gt;=$C$2),"Sí","")</f>
        <v/>
      </c>
      <c r="Q2626" s="18" t="str">
        <f aca="false">IF(COUNTIF(LOOKAHEAD!$A$5:$A$604,A2626)&gt;0,"En Lookahead",IF(P2626="Sí","INCORPORAR",""))</f>
        <v/>
      </c>
    </row>
    <row r="2627" customFormat="false" ht="15" hidden="false" customHeight="false" outlineLevel="0" collapsed="false">
      <c r="A2627" s="16" t="s">
        <v>8719</v>
      </c>
      <c r="B2627" s="16" t="n">
        <v>2622</v>
      </c>
      <c r="C2627" s="16" t="s">
        <v>8720</v>
      </c>
      <c r="D2627" s="16" t="n">
        <v>6</v>
      </c>
      <c r="E2627" s="35" t="s">
        <v>7635</v>
      </c>
      <c r="F2627" s="16" t="s">
        <v>1285</v>
      </c>
      <c r="G2627" s="16" t="s">
        <v>563</v>
      </c>
      <c r="H2627" s="16" t="s">
        <v>4416</v>
      </c>
      <c r="I2627" s="16" t="s">
        <v>98</v>
      </c>
      <c r="J2627" s="16" t="s">
        <v>7307</v>
      </c>
      <c r="K2627" s="32" t="n">
        <v>2</v>
      </c>
      <c r="L2627" s="33" t="n">
        <v>46366</v>
      </c>
      <c r="M2627" s="33" t="n">
        <v>46367</v>
      </c>
      <c r="N2627" s="16" t="s">
        <v>8721</v>
      </c>
      <c r="O2627" s="16"/>
      <c r="P2627" s="16" t="str">
        <f aca="false">IF(AND(L2627&lt;=$D$2,M2627&gt;=$C$2),"Sí","")</f>
        <v/>
      </c>
      <c r="Q2627" s="18" t="str">
        <f aca="false">IF(COUNTIF(LOOKAHEAD!$A$5:$A$604,A2627)&gt;0,"En Lookahead",IF(P2627="Sí","INCORPORAR",""))</f>
        <v/>
      </c>
    </row>
    <row r="2628" customFormat="false" ht="15" hidden="false" customHeight="false" outlineLevel="0" collapsed="false">
      <c r="A2628" s="16" t="s">
        <v>8722</v>
      </c>
      <c r="B2628" s="16" t="n">
        <v>2623</v>
      </c>
      <c r="C2628" s="16" t="s">
        <v>8723</v>
      </c>
      <c r="D2628" s="16" t="n">
        <v>6</v>
      </c>
      <c r="E2628" s="35" t="s">
        <v>7324</v>
      </c>
      <c r="F2628" s="16" t="s">
        <v>1285</v>
      </c>
      <c r="G2628" s="16" t="s">
        <v>563</v>
      </c>
      <c r="H2628" s="16" t="s">
        <v>4416</v>
      </c>
      <c r="I2628" s="16" t="s">
        <v>98</v>
      </c>
      <c r="J2628" s="16" t="s">
        <v>7307</v>
      </c>
      <c r="K2628" s="32" t="n">
        <v>1</v>
      </c>
      <c r="L2628" s="33" t="n">
        <v>46368</v>
      </c>
      <c r="M2628" s="33" t="n">
        <v>46368</v>
      </c>
      <c r="N2628" s="16" t="s">
        <v>8724</v>
      </c>
      <c r="O2628" s="16"/>
      <c r="P2628" s="16" t="str">
        <f aca="false">IF(AND(L2628&lt;=$D$2,M2628&gt;=$C$2),"Sí","")</f>
        <v/>
      </c>
      <c r="Q2628" s="18" t="str">
        <f aca="false">IF(COUNTIF(LOOKAHEAD!$A$5:$A$604,A2628)&gt;0,"En Lookahead",IF(P2628="Sí","INCORPORAR",""))</f>
        <v/>
      </c>
    </row>
    <row r="2629" customFormat="false" ht="15" hidden="false" customHeight="false" outlineLevel="0" collapsed="false">
      <c r="A2629" s="13" t="s">
        <v>8725</v>
      </c>
      <c r="B2629" s="13" t="n">
        <v>2624</v>
      </c>
      <c r="C2629" s="13" t="s">
        <v>8726</v>
      </c>
      <c r="D2629" s="13" t="n">
        <v>5</v>
      </c>
      <c r="E2629" s="34" t="s">
        <v>7328</v>
      </c>
      <c r="F2629" s="13" t="s">
        <v>1298</v>
      </c>
      <c r="G2629" s="13" t="s">
        <v>563</v>
      </c>
      <c r="H2629" s="13" t="s">
        <v>4416</v>
      </c>
      <c r="I2629" s="13" t="s">
        <v>98</v>
      </c>
      <c r="J2629" s="13" t="s">
        <v>4416</v>
      </c>
      <c r="K2629" s="30" t="n">
        <v>2</v>
      </c>
      <c r="L2629" s="31" t="n">
        <v>46369</v>
      </c>
      <c r="M2629" s="31" t="n">
        <v>46370</v>
      </c>
      <c r="N2629" s="13"/>
      <c r="O2629" s="13"/>
      <c r="P2629" s="13"/>
      <c r="Q2629" s="13"/>
    </row>
    <row r="2630" customFormat="false" ht="15" hidden="false" customHeight="false" outlineLevel="0" collapsed="false">
      <c r="A2630" s="16" t="s">
        <v>8727</v>
      </c>
      <c r="B2630" s="16" t="n">
        <v>2625</v>
      </c>
      <c r="C2630" s="16" t="s">
        <v>8728</v>
      </c>
      <c r="D2630" s="16" t="n">
        <v>6</v>
      </c>
      <c r="E2630" s="35" t="s">
        <v>7701</v>
      </c>
      <c r="F2630" s="16" t="s">
        <v>1285</v>
      </c>
      <c r="G2630" s="16" t="s">
        <v>563</v>
      </c>
      <c r="H2630" s="16" t="s">
        <v>4416</v>
      </c>
      <c r="I2630" s="16" t="s">
        <v>98</v>
      </c>
      <c r="J2630" s="16" t="s">
        <v>7328</v>
      </c>
      <c r="K2630" s="32" t="n">
        <v>1</v>
      </c>
      <c r="L2630" s="33" t="n">
        <v>46369</v>
      </c>
      <c r="M2630" s="33" t="n">
        <v>46369</v>
      </c>
      <c r="N2630" s="16" t="s">
        <v>8729</v>
      </c>
      <c r="O2630" s="16"/>
      <c r="P2630" s="16" t="str">
        <f aca="false">IF(AND(L2630&lt;=$D$2,M2630&gt;=$C$2),"Sí","")</f>
        <v/>
      </c>
      <c r="Q2630" s="18" t="str">
        <f aca="false">IF(COUNTIF(LOOKAHEAD!$A$5:$A$604,A2630)&gt;0,"En Lookahead",IF(P2630="Sí","INCORPORAR",""))</f>
        <v/>
      </c>
    </row>
    <row r="2631" customFormat="false" ht="15" hidden="false" customHeight="false" outlineLevel="0" collapsed="false">
      <c r="A2631" s="13" t="s">
        <v>8730</v>
      </c>
      <c r="B2631" s="13" t="n">
        <v>2626</v>
      </c>
      <c r="C2631" s="13" t="s">
        <v>8731</v>
      </c>
      <c r="D2631" s="13" t="n">
        <v>6</v>
      </c>
      <c r="E2631" s="36" t="s">
        <v>7356</v>
      </c>
      <c r="F2631" s="13" t="s">
        <v>1298</v>
      </c>
      <c r="G2631" s="13" t="s">
        <v>563</v>
      </c>
      <c r="H2631" s="13" t="s">
        <v>4416</v>
      </c>
      <c r="I2631" s="13" t="s">
        <v>98</v>
      </c>
      <c r="J2631" s="13" t="s">
        <v>7328</v>
      </c>
      <c r="K2631" s="30" t="n">
        <v>1</v>
      </c>
      <c r="L2631" s="31" t="n">
        <v>46370</v>
      </c>
      <c r="M2631" s="31" t="n">
        <v>46370</v>
      </c>
      <c r="N2631" s="13"/>
      <c r="O2631" s="13"/>
      <c r="P2631" s="13"/>
      <c r="Q2631" s="13"/>
    </row>
    <row r="2632" customFormat="false" ht="15" hidden="false" customHeight="false" outlineLevel="0" collapsed="false">
      <c r="A2632" s="16" t="s">
        <v>8732</v>
      </c>
      <c r="B2632" s="16" t="n">
        <v>2627</v>
      </c>
      <c r="C2632" s="16" t="s">
        <v>8733</v>
      </c>
      <c r="D2632" s="16" t="n">
        <v>7</v>
      </c>
      <c r="E2632" s="37" t="s">
        <v>8734</v>
      </c>
      <c r="F2632" s="16" t="s">
        <v>1285</v>
      </c>
      <c r="G2632" s="16" t="s">
        <v>563</v>
      </c>
      <c r="H2632" s="16" t="s">
        <v>4416</v>
      </c>
      <c r="I2632" s="16" t="s">
        <v>98</v>
      </c>
      <c r="J2632" s="16" t="s">
        <v>7356</v>
      </c>
      <c r="K2632" s="32" t="n">
        <v>1</v>
      </c>
      <c r="L2632" s="33" t="n">
        <v>46370</v>
      </c>
      <c r="M2632" s="33" t="n">
        <v>46370</v>
      </c>
      <c r="N2632" s="16" t="s">
        <v>8735</v>
      </c>
      <c r="O2632" s="16"/>
      <c r="P2632" s="16" t="str">
        <f aca="false">IF(AND(L2632&lt;=$D$2,M2632&gt;=$C$2),"Sí","")</f>
        <v/>
      </c>
      <c r="Q2632" s="18" t="str">
        <f aca="false">IF(COUNTIF(LOOKAHEAD!$A$5:$A$604,A2632)&gt;0,"En Lookahead",IF(P2632="Sí","INCORPORAR",""))</f>
        <v/>
      </c>
    </row>
    <row r="2633" customFormat="false" ht="15" hidden="false" customHeight="false" outlineLevel="0" collapsed="false">
      <c r="A2633" s="13" t="s">
        <v>8736</v>
      </c>
      <c r="B2633" s="13" t="n">
        <v>2628</v>
      </c>
      <c r="C2633" s="13" t="s">
        <v>8737</v>
      </c>
      <c r="D2633" s="13" t="n">
        <v>5</v>
      </c>
      <c r="E2633" s="34" t="s">
        <v>7368</v>
      </c>
      <c r="F2633" s="13" t="s">
        <v>1298</v>
      </c>
      <c r="G2633" s="13" t="s">
        <v>563</v>
      </c>
      <c r="H2633" s="13" t="s">
        <v>4416</v>
      </c>
      <c r="I2633" s="13" t="s">
        <v>98</v>
      </c>
      <c r="J2633" s="13" t="s">
        <v>4416</v>
      </c>
      <c r="K2633" s="30" t="n">
        <v>2</v>
      </c>
      <c r="L2633" s="31" t="n">
        <v>46371</v>
      </c>
      <c r="M2633" s="31" t="n">
        <v>46372</v>
      </c>
      <c r="N2633" s="13"/>
      <c r="O2633" s="13"/>
      <c r="P2633" s="13"/>
      <c r="Q2633" s="13"/>
    </row>
    <row r="2634" customFormat="false" ht="15" hidden="false" customHeight="false" outlineLevel="0" collapsed="false">
      <c r="A2634" s="16" t="s">
        <v>8738</v>
      </c>
      <c r="B2634" s="16" t="n">
        <v>2629</v>
      </c>
      <c r="C2634" s="16" t="s">
        <v>8739</v>
      </c>
      <c r="D2634" s="16" t="n">
        <v>6</v>
      </c>
      <c r="E2634" s="35" t="s">
        <v>8302</v>
      </c>
      <c r="F2634" s="16" t="s">
        <v>1285</v>
      </c>
      <c r="G2634" s="16" t="s">
        <v>563</v>
      </c>
      <c r="H2634" s="16" t="s">
        <v>4416</v>
      </c>
      <c r="I2634" s="16" t="s">
        <v>98</v>
      </c>
      <c r="J2634" s="16" t="s">
        <v>7368</v>
      </c>
      <c r="K2634" s="32" t="n">
        <v>1</v>
      </c>
      <c r="L2634" s="33" t="n">
        <v>46371</v>
      </c>
      <c r="M2634" s="33" t="n">
        <v>46371</v>
      </c>
      <c r="N2634" s="16" t="s">
        <v>8740</v>
      </c>
      <c r="O2634" s="16"/>
      <c r="P2634" s="16" t="str">
        <f aca="false">IF(AND(L2634&lt;=$D$2,M2634&gt;=$C$2),"Sí","")</f>
        <v/>
      </c>
      <c r="Q2634" s="18" t="str">
        <f aca="false">IF(COUNTIF(LOOKAHEAD!$A$5:$A$604,A2634)&gt;0,"En Lookahead",IF(P2634="Sí","INCORPORAR",""))</f>
        <v/>
      </c>
    </row>
    <row r="2635" customFormat="false" ht="15" hidden="false" customHeight="false" outlineLevel="0" collapsed="false">
      <c r="A2635" s="16" t="s">
        <v>8741</v>
      </c>
      <c r="B2635" s="16" t="n">
        <v>2630</v>
      </c>
      <c r="C2635" s="16" t="s">
        <v>8742</v>
      </c>
      <c r="D2635" s="16" t="n">
        <v>6</v>
      </c>
      <c r="E2635" s="35" t="s">
        <v>7750</v>
      </c>
      <c r="F2635" s="16" t="s">
        <v>1285</v>
      </c>
      <c r="G2635" s="16" t="s">
        <v>563</v>
      </c>
      <c r="H2635" s="16" t="s">
        <v>4416</v>
      </c>
      <c r="I2635" s="16" t="s">
        <v>98</v>
      </c>
      <c r="J2635" s="16" t="s">
        <v>7368</v>
      </c>
      <c r="K2635" s="32" t="n">
        <v>1</v>
      </c>
      <c r="L2635" s="33" t="n">
        <v>46372</v>
      </c>
      <c r="M2635" s="33" t="n">
        <v>46372</v>
      </c>
      <c r="N2635" s="16" t="s">
        <v>8743</v>
      </c>
      <c r="O2635" s="16"/>
      <c r="P2635" s="16" t="str">
        <f aca="false">IF(AND(L2635&lt;=$D$2,M2635&gt;=$C$2),"Sí","")</f>
        <v/>
      </c>
      <c r="Q2635" s="18" t="str">
        <f aca="false">IF(COUNTIF(LOOKAHEAD!$A$5:$A$604,A2635)&gt;0,"En Lookahead",IF(P2635="Sí","INCORPORAR",""))</f>
        <v/>
      </c>
    </row>
    <row r="2636" customFormat="false" ht="15" hidden="false" customHeight="false" outlineLevel="0" collapsed="false">
      <c r="A2636" s="13" t="s">
        <v>8744</v>
      </c>
      <c r="B2636" s="13" t="n">
        <v>2631</v>
      </c>
      <c r="C2636" s="13" t="s">
        <v>8745</v>
      </c>
      <c r="D2636" s="13" t="n">
        <v>5</v>
      </c>
      <c r="E2636" s="34" t="s">
        <v>7416</v>
      </c>
      <c r="F2636" s="13" t="s">
        <v>1298</v>
      </c>
      <c r="G2636" s="13" t="s">
        <v>563</v>
      </c>
      <c r="H2636" s="13" t="s">
        <v>4416</v>
      </c>
      <c r="I2636" s="13" t="s">
        <v>98</v>
      </c>
      <c r="J2636" s="13" t="s">
        <v>4416</v>
      </c>
      <c r="K2636" s="30" t="n">
        <v>51</v>
      </c>
      <c r="L2636" s="31" t="n">
        <v>46320</v>
      </c>
      <c r="M2636" s="31" t="n">
        <v>46370</v>
      </c>
      <c r="N2636" s="13"/>
      <c r="O2636" s="13"/>
      <c r="P2636" s="13"/>
      <c r="Q2636" s="13"/>
    </row>
    <row r="2637" customFormat="false" ht="15" hidden="false" customHeight="false" outlineLevel="0" collapsed="false">
      <c r="A2637" s="16" t="s">
        <v>8746</v>
      </c>
      <c r="B2637" s="16" t="n">
        <v>2632</v>
      </c>
      <c r="C2637" s="16" t="s">
        <v>8747</v>
      </c>
      <c r="D2637" s="16" t="n">
        <v>6</v>
      </c>
      <c r="E2637" s="35" t="s">
        <v>7419</v>
      </c>
      <c r="F2637" s="16" t="s">
        <v>1285</v>
      </c>
      <c r="G2637" s="16" t="s">
        <v>563</v>
      </c>
      <c r="H2637" s="16" t="s">
        <v>4416</v>
      </c>
      <c r="I2637" s="16" t="s">
        <v>98</v>
      </c>
      <c r="J2637" s="16" t="s">
        <v>7416</v>
      </c>
      <c r="K2637" s="32" t="n">
        <v>12</v>
      </c>
      <c r="L2637" s="33" t="n">
        <v>46320</v>
      </c>
      <c r="M2637" s="33" t="n">
        <v>46331</v>
      </c>
      <c r="N2637" s="16" t="s">
        <v>8657</v>
      </c>
      <c r="O2637" s="16"/>
      <c r="P2637" s="16" t="str">
        <f aca="false">IF(AND(L2637&lt;=$D$2,M2637&gt;=$C$2),"Sí","")</f>
        <v>Sí</v>
      </c>
      <c r="Q2637" s="18" t="str">
        <f aca="false">IF(COUNTIF(LOOKAHEAD!$A$5:$A$604,A2637)&gt;0,"En Lookahead",IF(P2637="Sí","INCORPORAR",""))</f>
        <v>En Lookahead</v>
      </c>
    </row>
    <row r="2638" customFormat="false" ht="15" hidden="false" customHeight="false" outlineLevel="0" collapsed="false">
      <c r="A2638" s="16" t="s">
        <v>8748</v>
      </c>
      <c r="B2638" s="16" t="n">
        <v>2633</v>
      </c>
      <c r="C2638" s="16" t="s">
        <v>8749</v>
      </c>
      <c r="D2638" s="16" t="n">
        <v>6</v>
      </c>
      <c r="E2638" s="35" t="s">
        <v>7422</v>
      </c>
      <c r="F2638" s="16" t="s">
        <v>1285</v>
      </c>
      <c r="G2638" s="16" t="s">
        <v>563</v>
      </c>
      <c r="H2638" s="16" t="s">
        <v>4416</v>
      </c>
      <c r="I2638" s="16" t="s">
        <v>98</v>
      </c>
      <c r="J2638" s="16" t="s">
        <v>7416</v>
      </c>
      <c r="K2638" s="32" t="n">
        <v>3</v>
      </c>
      <c r="L2638" s="33" t="n">
        <v>46332</v>
      </c>
      <c r="M2638" s="33" t="n">
        <v>46334</v>
      </c>
      <c r="N2638" s="16" t="s">
        <v>8750</v>
      </c>
      <c r="O2638" s="16"/>
      <c r="P2638" s="16" t="str">
        <f aca="false">IF(AND(L2638&lt;=$D$2,M2638&gt;=$C$2),"Sí","")</f>
        <v>Sí</v>
      </c>
      <c r="Q2638" s="18" t="str">
        <f aca="false">IF(COUNTIF(LOOKAHEAD!$A$5:$A$604,A2638)&gt;0,"En Lookahead",IF(P2638="Sí","INCORPORAR",""))</f>
        <v>En Lookahead</v>
      </c>
    </row>
    <row r="2639" customFormat="false" ht="15" hidden="false" customHeight="false" outlineLevel="0" collapsed="false">
      <c r="A2639" s="16" t="s">
        <v>8751</v>
      </c>
      <c r="B2639" s="16" t="n">
        <v>2634</v>
      </c>
      <c r="C2639" s="16" t="s">
        <v>8752</v>
      </c>
      <c r="D2639" s="16" t="n">
        <v>6</v>
      </c>
      <c r="E2639" s="35" t="s">
        <v>7429</v>
      </c>
      <c r="F2639" s="16" t="s">
        <v>1285</v>
      </c>
      <c r="G2639" s="16" t="s">
        <v>563</v>
      </c>
      <c r="H2639" s="16" t="s">
        <v>4416</v>
      </c>
      <c r="I2639" s="16" t="s">
        <v>98</v>
      </c>
      <c r="J2639" s="16" t="s">
        <v>7416</v>
      </c>
      <c r="K2639" s="32" t="n">
        <v>1</v>
      </c>
      <c r="L2639" s="33" t="n">
        <v>46369</v>
      </c>
      <c r="M2639" s="33" t="n">
        <v>46369</v>
      </c>
      <c r="N2639" s="16" t="s">
        <v>8729</v>
      </c>
      <c r="O2639" s="16"/>
      <c r="P2639" s="16" t="str">
        <f aca="false">IF(AND(L2639&lt;=$D$2,M2639&gt;=$C$2),"Sí","")</f>
        <v/>
      </c>
      <c r="Q2639" s="18" t="str">
        <f aca="false">IF(COUNTIF(LOOKAHEAD!$A$5:$A$604,A2639)&gt;0,"En Lookahead",IF(P2639="Sí","INCORPORAR",""))</f>
        <v/>
      </c>
    </row>
    <row r="2640" customFormat="false" ht="15" hidden="false" customHeight="false" outlineLevel="0" collapsed="false">
      <c r="A2640" s="16" t="s">
        <v>8753</v>
      </c>
      <c r="B2640" s="16" t="n">
        <v>2635</v>
      </c>
      <c r="C2640" s="16" t="s">
        <v>8754</v>
      </c>
      <c r="D2640" s="16" t="n">
        <v>6</v>
      </c>
      <c r="E2640" s="35" t="s">
        <v>7432</v>
      </c>
      <c r="F2640" s="16" t="s">
        <v>1285</v>
      </c>
      <c r="G2640" s="16" t="s">
        <v>563</v>
      </c>
      <c r="H2640" s="16" t="s">
        <v>4416</v>
      </c>
      <c r="I2640" s="16" t="s">
        <v>98</v>
      </c>
      <c r="J2640" s="16" t="s">
        <v>7416</v>
      </c>
      <c r="K2640" s="32" t="n">
        <v>1</v>
      </c>
      <c r="L2640" s="33" t="n">
        <v>46370</v>
      </c>
      <c r="M2640" s="33" t="n">
        <v>46370</v>
      </c>
      <c r="N2640" s="16" t="s">
        <v>8755</v>
      </c>
      <c r="O2640" s="16"/>
      <c r="P2640" s="16" t="str">
        <f aca="false">IF(AND(L2640&lt;=$D$2,M2640&gt;=$C$2),"Sí","")</f>
        <v/>
      </c>
      <c r="Q2640" s="18" t="str">
        <f aca="false">IF(COUNTIF(LOOKAHEAD!$A$5:$A$604,A2640)&gt;0,"En Lookahead",IF(P2640="Sí","INCORPORAR",""))</f>
        <v/>
      </c>
    </row>
    <row r="2641" customFormat="false" ht="15" hidden="false" customHeight="false" outlineLevel="0" collapsed="false">
      <c r="A2641" s="13" t="s">
        <v>8756</v>
      </c>
      <c r="B2641" s="13" t="n">
        <v>2636</v>
      </c>
      <c r="C2641" s="13" t="s">
        <v>8757</v>
      </c>
      <c r="D2641" s="13" t="n">
        <v>5</v>
      </c>
      <c r="E2641" s="34" t="s">
        <v>7440</v>
      </c>
      <c r="F2641" s="13" t="s">
        <v>1298</v>
      </c>
      <c r="G2641" s="13" t="s">
        <v>563</v>
      </c>
      <c r="H2641" s="13" t="s">
        <v>4416</v>
      </c>
      <c r="I2641" s="13" t="s">
        <v>98</v>
      </c>
      <c r="J2641" s="13" t="s">
        <v>4416</v>
      </c>
      <c r="K2641" s="30" t="n">
        <v>2</v>
      </c>
      <c r="L2641" s="31" t="n">
        <v>46371</v>
      </c>
      <c r="M2641" s="31" t="n">
        <v>46372</v>
      </c>
      <c r="N2641" s="13"/>
      <c r="O2641" s="13"/>
      <c r="P2641" s="13"/>
      <c r="Q2641" s="13"/>
    </row>
    <row r="2642" customFormat="false" ht="15" hidden="false" customHeight="false" outlineLevel="0" collapsed="false">
      <c r="A2642" s="16" t="s">
        <v>8758</v>
      </c>
      <c r="B2642" s="16" t="n">
        <v>2637</v>
      </c>
      <c r="C2642" s="16" t="s">
        <v>8759</v>
      </c>
      <c r="D2642" s="16" t="n">
        <v>6</v>
      </c>
      <c r="E2642" s="35" t="s">
        <v>7991</v>
      </c>
      <c r="F2642" s="16" t="s">
        <v>1285</v>
      </c>
      <c r="G2642" s="16" t="s">
        <v>563</v>
      </c>
      <c r="H2642" s="16" t="s">
        <v>4416</v>
      </c>
      <c r="I2642" s="16" t="s">
        <v>98</v>
      </c>
      <c r="J2642" s="16" t="s">
        <v>7440</v>
      </c>
      <c r="K2642" s="32" t="n">
        <v>1</v>
      </c>
      <c r="L2642" s="33" t="n">
        <v>46371</v>
      </c>
      <c r="M2642" s="33" t="n">
        <v>46371</v>
      </c>
      <c r="N2642" s="16" t="s">
        <v>8760</v>
      </c>
      <c r="O2642" s="16"/>
      <c r="P2642" s="16" t="str">
        <f aca="false">IF(AND(L2642&lt;=$D$2,M2642&gt;=$C$2),"Sí","")</f>
        <v/>
      </c>
      <c r="Q2642" s="18" t="str">
        <f aca="false">IF(COUNTIF(LOOKAHEAD!$A$5:$A$604,A2642)&gt;0,"En Lookahead",IF(P2642="Sí","INCORPORAR",""))</f>
        <v/>
      </c>
    </row>
    <row r="2643" customFormat="false" ht="15" hidden="false" customHeight="false" outlineLevel="0" collapsed="false">
      <c r="A2643" s="16" t="s">
        <v>8761</v>
      </c>
      <c r="B2643" s="16" t="n">
        <v>2638</v>
      </c>
      <c r="C2643" s="16" t="s">
        <v>8762</v>
      </c>
      <c r="D2643" s="16" t="n">
        <v>6</v>
      </c>
      <c r="E2643" s="35" t="s">
        <v>7451</v>
      </c>
      <c r="F2643" s="16" t="s">
        <v>1285</v>
      </c>
      <c r="G2643" s="16" t="s">
        <v>563</v>
      </c>
      <c r="H2643" s="16" t="s">
        <v>4416</v>
      </c>
      <c r="I2643" s="16" t="s">
        <v>98</v>
      </c>
      <c r="J2643" s="16" t="s">
        <v>7440</v>
      </c>
      <c r="K2643" s="32" t="n">
        <v>1</v>
      </c>
      <c r="L2643" s="33" t="n">
        <v>46372</v>
      </c>
      <c r="M2643" s="33" t="n">
        <v>46372</v>
      </c>
      <c r="N2643" s="16" t="s">
        <v>8763</v>
      </c>
      <c r="O2643" s="16"/>
      <c r="P2643" s="16" t="str">
        <f aca="false">IF(AND(L2643&lt;=$D$2,M2643&gt;=$C$2),"Sí","")</f>
        <v/>
      </c>
      <c r="Q2643" s="18" t="str">
        <f aca="false">IF(COUNTIF(LOOKAHEAD!$A$5:$A$604,A2643)&gt;0,"En Lookahead",IF(P2643="Sí","INCORPORAR",""))</f>
        <v/>
      </c>
    </row>
    <row r="2644" customFormat="false" ht="15" hidden="false" customHeight="false" outlineLevel="0" collapsed="false">
      <c r="A2644" s="13" t="s">
        <v>8764</v>
      </c>
      <c r="B2644" s="13" t="n">
        <v>2639</v>
      </c>
      <c r="C2644" s="13" t="s">
        <v>8765</v>
      </c>
      <c r="D2644" s="13" t="n">
        <v>5</v>
      </c>
      <c r="E2644" s="34" t="s">
        <v>7455</v>
      </c>
      <c r="F2644" s="13" t="s">
        <v>1298</v>
      </c>
      <c r="G2644" s="13" t="s">
        <v>563</v>
      </c>
      <c r="H2644" s="13" t="s">
        <v>4416</v>
      </c>
      <c r="I2644" s="13" t="s">
        <v>98</v>
      </c>
      <c r="J2644" s="13" t="s">
        <v>4416</v>
      </c>
      <c r="K2644" s="30" t="n">
        <v>1</v>
      </c>
      <c r="L2644" s="31" t="n">
        <v>46373</v>
      </c>
      <c r="M2644" s="31" t="n">
        <v>46373</v>
      </c>
      <c r="N2644" s="13"/>
      <c r="O2644" s="13"/>
      <c r="P2644" s="13"/>
      <c r="Q2644" s="13"/>
    </row>
    <row r="2645" customFormat="false" ht="15" hidden="false" customHeight="false" outlineLevel="0" collapsed="false">
      <c r="A2645" s="13" t="s">
        <v>8766</v>
      </c>
      <c r="B2645" s="13" t="n">
        <v>2640</v>
      </c>
      <c r="C2645" s="13" t="s">
        <v>8767</v>
      </c>
      <c r="D2645" s="13" t="n">
        <v>6</v>
      </c>
      <c r="E2645" s="36" t="s">
        <v>7810</v>
      </c>
      <c r="F2645" s="13" t="s">
        <v>1298</v>
      </c>
      <c r="G2645" s="13" t="s">
        <v>563</v>
      </c>
      <c r="H2645" s="13" t="s">
        <v>4416</v>
      </c>
      <c r="I2645" s="13" t="s">
        <v>98</v>
      </c>
      <c r="J2645" s="13" t="s">
        <v>7455</v>
      </c>
      <c r="K2645" s="30" t="n">
        <v>1</v>
      </c>
      <c r="L2645" s="31" t="n">
        <v>46373</v>
      </c>
      <c r="M2645" s="31" t="n">
        <v>46373</v>
      </c>
      <c r="N2645" s="13"/>
      <c r="O2645" s="13"/>
      <c r="P2645" s="13"/>
      <c r="Q2645" s="13"/>
    </row>
    <row r="2646" customFormat="false" ht="15" hidden="false" customHeight="false" outlineLevel="0" collapsed="false">
      <c r="A2646" s="16" t="s">
        <v>8768</v>
      </c>
      <c r="B2646" s="16" t="n">
        <v>2641</v>
      </c>
      <c r="C2646" s="16" t="s">
        <v>8769</v>
      </c>
      <c r="D2646" s="16" t="n">
        <v>7</v>
      </c>
      <c r="E2646" s="37" t="s">
        <v>7813</v>
      </c>
      <c r="F2646" s="16" t="s">
        <v>1285</v>
      </c>
      <c r="G2646" s="16" t="s">
        <v>563</v>
      </c>
      <c r="H2646" s="16" t="s">
        <v>4416</v>
      </c>
      <c r="I2646" s="16" t="s">
        <v>98</v>
      </c>
      <c r="J2646" s="16" t="s">
        <v>7810</v>
      </c>
      <c r="K2646" s="32" t="n">
        <v>1</v>
      </c>
      <c r="L2646" s="33" t="n">
        <v>46373</v>
      </c>
      <c r="M2646" s="33" t="n">
        <v>46373</v>
      </c>
      <c r="N2646" s="16" t="s">
        <v>8770</v>
      </c>
      <c r="O2646" s="16"/>
      <c r="P2646" s="16" t="str">
        <f aca="false">IF(AND(L2646&lt;=$D$2,M2646&gt;=$C$2),"Sí","")</f>
        <v/>
      </c>
      <c r="Q2646" s="18" t="str">
        <f aca="false">IF(COUNTIF(LOOKAHEAD!$A$5:$A$604,A2646)&gt;0,"En Lookahead",IF(P2646="Sí","INCORPORAR",""))</f>
        <v/>
      </c>
    </row>
    <row r="2647" customFormat="false" ht="15" hidden="false" customHeight="false" outlineLevel="0" collapsed="false">
      <c r="A2647" s="13" t="s">
        <v>8771</v>
      </c>
      <c r="B2647" s="13" t="n">
        <v>2642</v>
      </c>
      <c r="C2647" s="13" t="s">
        <v>8772</v>
      </c>
      <c r="D2647" s="13" t="n">
        <v>4</v>
      </c>
      <c r="E2647" s="20" t="s">
        <v>4610</v>
      </c>
      <c r="F2647" s="13" t="s">
        <v>1298</v>
      </c>
      <c r="G2647" s="13" t="s">
        <v>563</v>
      </c>
      <c r="H2647" s="13" t="s">
        <v>4610</v>
      </c>
      <c r="I2647" s="13" t="s">
        <v>104</v>
      </c>
      <c r="J2647" s="13" t="s">
        <v>7172</v>
      </c>
      <c r="K2647" s="30" t="n">
        <v>165</v>
      </c>
      <c r="L2647" s="31" t="n">
        <v>46380</v>
      </c>
      <c r="M2647" s="31" t="n">
        <v>46544</v>
      </c>
      <c r="N2647" s="13"/>
      <c r="O2647" s="13"/>
      <c r="P2647" s="13"/>
      <c r="Q2647" s="13"/>
    </row>
    <row r="2648" customFormat="false" ht="15" hidden="false" customHeight="false" outlineLevel="0" collapsed="false">
      <c r="A2648" s="13" t="s">
        <v>8773</v>
      </c>
      <c r="B2648" s="13" t="n">
        <v>2643</v>
      </c>
      <c r="C2648" s="13" t="s">
        <v>8774</v>
      </c>
      <c r="D2648" s="13" t="n">
        <v>5</v>
      </c>
      <c r="E2648" s="34" t="s">
        <v>7177</v>
      </c>
      <c r="F2648" s="13" t="s">
        <v>1298</v>
      </c>
      <c r="G2648" s="13" t="s">
        <v>563</v>
      </c>
      <c r="H2648" s="13" t="s">
        <v>4610</v>
      </c>
      <c r="I2648" s="13" t="s">
        <v>104</v>
      </c>
      <c r="J2648" s="13" t="s">
        <v>4610</v>
      </c>
      <c r="K2648" s="30" t="n">
        <v>25</v>
      </c>
      <c r="L2648" s="31" t="n">
        <v>46380</v>
      </c>
      <c r="M2648" s="31" t="n">
        <v>46404</v>
      </c>
      <c r="N2648" s="13"/>
      <c r="O2648" s="13"/>
      <c r="P2648" s="13"/>
      <c r="Q2648" s="13"/>
    </row>
    <row r="2649" customFormat="false" ht="15" hidden="false" customHeight="false" outlineLevel="0" collapsed="false">
      <c r="A2649" s="16" t="s">
        <v>8775</v>
      </c>
      <c r="B2649" s="16" t="n">
        <v>2644</v>
      </c>
      <c r="C2649" s="16" t="s">
        <v>8776</v>
      </c>
      <c r="D2649" s="16" t="n">
        <v>6</v>
      </c>
      <c r="E2649" s="35" t="s">
        <v>7180</v>
      </c>
      <c r="F2649" s="16" t="s">
        <v>1285</v>
      </c>
      <c r="G2649" s="16" t="s">
        <v>563</v>
      </c>
      <c r="H2649" s="16" t="s">
        <v>4610</v>
      </c>
      <c r="I2649" s="16" t="s">
        <v>104</v>
      </c>
      <c r="J2649" s="16" t="s">
        <v>7177</v>
      </c>
      <c r="K2649" s="32" t="n">
        <v>24</v>
      </c>
      <c r="L2649" s="33" t="n">
        <v>46380</v>
      </c>
      <c r="M2649" s="33" t="n">
        <v>46403</v>
      </c>
      <c r="N2649" s="16" t="s">
        <v>4881</v>
      </c>
      <c r="O2649" s="16"/>
      <c r="P2649" s="16" t="str">
        <f aca="false">IF(AND(L2649&lt;=$D$2,M2649&gt;=$C$2),"Sí","")</f>
        <v/>
      </c>
      <c r="Q2649" s="18" t="str">
        <f aca="false">IF(COUNTIF(LOOKAHEAD!$A$5:$A$604,A2649)&gt;0,"En Lookahead",IF(P2649="Sí","INCORPORAR",""))</f>
        <v/>
      </c>
    </row>
    <row r="2650" customFormat="false" ht="15" hidden="false" customHeight="false" outlineLevel="0" collapsed="false">
      <c r="A2650" s="16" t="s">
        <v>8777</v>
      </c>
      <c r="B2650" s="16" t="n">
        <v>2645</v>
      </c>
      <c r="C2650" s="16" t="s">
        <v>8778</v>
      </c>
      <c r="D2650" s="16" t="n">
        <v>6</v>
      </c>
      <c r="E2650" s="35" t="s">
        <v>7190</v>
      </c>
      <c r="F2650" s="16" t="s">
        <v>1285</v>
      </c>
      <c r="G2650" s="16" t="s">
        <v>563</v>
      </c>
      <c r="H2650" s="16" t="s">
        <v>4610</v>
      </c>
      <c r="I2650" s="16" t="s">
        <v>104</v>
      </c>
      <c r="J2650" s="16" t="s">
        <v>7177</v>
      </c>
      <c r="K2650" s="32" t="n">
        <v>1</v>
      </c>
      <c r="L2650" s="33" t="n">
        <v>46404</v>
      </c>
      <c r="M2650" s="33" t="n">
        <v>46404</v>
      </c>
      <c r="N2650" s="16" t="s">
        <v>4945</v>
      </c>
      <c r="O2650" s="16"/>
      <c r="P2650" s="16" t="str">
        <f aca="false">IF(AND(L2650&lt;=$D$2,M2650&gt;=$C$2),"Sí","")</f>
        <v/>
      </c>
      <c r="Q2650" s="18" t="str">
        <f aca="false">IF(COUNTIF(LOOKAHEAD!$A$5:$A$604,A2650)&gt;0,"En Lookahead",IF(P2650="Sí","INCORPORAR",""))</f>
        <v/>
      </c>
    </row>
    <row r="2651" customFormat="false" ht="15" hidden="false" customHeight="false" outlineLevel="0" collapsed="false">
      <c r="A2651" s="13" t="s">
        <v>8779</v>
      </c>
      <c r="B2651" s="13" t="n">
        <v>2646</v>
      </c>
      <c r="C2651" s="13" t="s">
        <v>8780</v>
      </c>
      <c r="D2651" s="13" t="n">
        <v>5</v>
      </c>
      <c r="E2651" s="34" t="s">
        <v>7206</v>
      </c>
      <c r="F2651" s="13" t="s">
        <v>1298</v>
      </c>
      <c r="G2651" s="13" t="s">
        <v>563</v>
      </c>
      <c r="H2651" s="13" t="s">
        <v>4610</v>
      </c>
      <c r="I2651" s="13" t="s">
        <v>104</v>
      </c>
      <c r="J2651" s="13" t="s">
        <v>4610</v>
      </c>
      <c r="K2651" s="30" t="n">
        <v>89</v>
      </c>
      <c r="L2651" s="31" t="n">
        <v>46405</v>
      </c>
      <c r="M2651" s="31" t="n">
        <v>46493</v>
      </c>
      <c r="N2651" s="13"/>
      <c r="O2651" s="13"/>
      <c r="P2651" s="13"/>
      <c r="Q2651" s="13"/>
    </row>
    <row r="2652" customFormat="false" ht="15" hidden="false" customHeight="false" outlineLevel="0" collapsed="false">
      <c r="A2652" s="16" t="s">
        <v>8781</v>
      </c>
      <c r="B2652" s="16" t="n">
        <v>2647</v>
      </c>
      <c r="C2652" s="16" t="s">
        <v>8782</v>
      </c>
      <c r="D2652" s="16" t="n">
        <v>6</v>
      </c>
      <c r="E2652" s="35" t="s">
        <v>7209</v>
      </c>
      <c r="F2652" s="16" t="s">
        <v>1285</v>
      </c>
      <c r="G2652" s="16" t="s">
        <v>563</v>
      </c>
      <c r="H2652" s="16" t="s">
        <v>4610</v>
      </c>
      <c r="I2652" s="16" t="s">
        <v>104</v>
      </c>
      <c r="J2652" s="16" t="s">
        <v>7206</v>
      </c>
      <c r="K2652" s="32" t="n">
        <v>28</v>
      </c>
      <c r="L2652" s="33" t="n">
        <v>46405</v>
      </c>
      <c r="M2652" s="33" t="n">
        <v>46432</v>
      </c>
      <c r="N2652" s="16" t="s">
        <v>8783</v>
      </c>
      <c r="O2652" s="16"/>
      <c r="P2652" s="16" t="str">
        <f aca="false">IF(AND(L2652&lt;=$D$2,M2652&gt;=$C$2),"Sí","")</f>
        <v/>
      </c>
      <c r="Q2652" s="18" t="str">
        <f aca="false">IF(COUNTIF(LOOKAHEAD!$A$5:$A$604,A2652)&gt;0,"En Lookahead",IF(P2652="Sí","INCORPORAR",""))</f>
        <v/>
      </c>
    </row>
    <row r="2653" customFormat="false" ht="15" hidden="false" customHeight="false" outlineLevel="0" collapsed="false">
      <c r="A2653" s="16" t="s">
        <v>8784</v>
      </c>
      <c r="B2653" s="16" t="n">
        <v>2648</v>
      </c>
      <c r="C2653" s="16" t="s">
        <v>8785</v>
      </c>
      <c r="D2653" s="16" t="n">
        <v>6</v>
      </c>
      <c r="E2653" s="35" t="s">
        <v>7212</v>
      </c>
      <c r="F2653" s="16" t="s">
        <v>1285</v>
      </c>
      <c r="G2653" s="16" t="s">
        <v>563</v>
      </c>
      <c r="H2653" s="16" t="s">
        <v>4610</v>
      </c>
      <c r="I2653" s="16" t="s">
        <v>104</v>
      </c>
      <c r="J2653" s="16" t="s">
        <v>7206</v>
      </c>
      <c r="K2653" s="32" t="n">
        <v>19</v>
      </c>
      <c r="L2653" s="33" t="n">
        <v>46433</v>
      </c>
      <c r="M2653" s="33" t="n">
        <v>46451</v>
      </c>
      <c r="N2653" s="16" t="s">
        <v>8786</v>
      </c>
      <c r="O2653" s="16"/>
      <c r="P2653" s="16" t="str">
        <f aca="false">IF(AND(L2653&lt;=$D$2,M2653&gt;=$C$2),"Sí","")</f>
        <v/>
      </c>
      <c r="Q2653" s="18" t="str">
        <f aca="false">IF(COUNTIF(LOOKAHEAD!$A$5:$A$604,A2653)&gt;0,"En Lookahead",IF(P2653="Sí","INCORPORAR",""))</f>
        <v/>
      </c>
    </row>
    <row r="2654" customFormat="false" ht="15" hidden="false" customHeight="false" outlineLevel="0" collapsed="false">
      <c r="A2654" s="16" t="s">
        <v>8787</v>
      </c>
      <c r="B2654" s="16" t="n">
        <v>2649</v>
      </c>
      <c r="C2654" s="16" t="s">
        <v>8788</v>
      </c>
      <c r="D2654" s="16" t="n">
        <v>6</v>
      </c>
      <c r="E2654" s="35" t="s">
        <v>7224</v>
      </c>
      <c r="F2654" s="16" t="s">
        <v>1285</v>
      </c>
      <c r="G2654" s="16" t="s">
        <v>563</v>
      </c>
      <c r="H2654" s="16" t="s">
        <v>4610</v>
      </c>
      <c r="I2654" s="16" t="s">
        <v>104</v>
      </c>
      <c r="J2654" s="16" t="s">
        <v>7206</v>
      </c>
      <c r="K2654" s="32" t="n">
        <v>15</v>
      </c>
      <c r="L2654" s="33" t="n">
        <v>46452</v>
      </c>
      <c r="M2654" s="33" t="n">
        <v>46466</v>
      </c>
      <c r="N2654" s="16" t="s">
        <v>8789</v>
      </c>
      <c r="O2654" s="16"/>
      <c r="P2654" s="16" t="str">
        <f aca="false">IF(AND(L2654&lt;=$D$2,M2654&gt;=$C$2),"Sí","")</f>
        <v/>
      </c>
      <c r="Q2654" s="18" t="str">
        <f aca="false">IF(COUNTIF(LOOKAHEAD!$A$5:$A$604,A2654)&gt;0,"En Lookahead",IF(P2654="Sí","INCORPORAR",""))</f>
        <v/>
      </c>
    </row>
    <row r="2655" customFormat="false" ht="15" hidden="false" customHeight="false" outlineLevel="0" collapsed="false">
      <c r="A2655" s="16" t="s">
        <v>8790</v>
      </c>
      <c r="B2655" s="16" t="n">
        <v>2650</v>
      </c>
      <c r="C2655" s="16" t="s">
        <v>8791</v>
      </c>
      <c r="D2655" s="16" t="n">
        <v>6</v>
      </c>
      <c r="E2655" s="35" t="s">
        <v>7228</v>
      </c>
      <c r="F2655" s="16" t="s">
        <v>1285</v>
      </c>
      <c r="G2655" s="16" t="s">
        <v>563</v>
      </c>
      <c r="H2655" s="16" t="s">
        <v>4610</v>
      </c>
      <c r="I2655" s="16" t="s">
        <v>104</v>
      </c>
      <c r="J2655" s="16" t="s">
        <v>7206</v>
      </c>
      <c r="K2655" s="32" t="n">
        <v>27</v>
      </c>
      <c r="L2655" s="33" t="n">
        <v>46467</v>
      </c>
      <c r="M2655" s="33" t="n">
        <v>46493</v>
      </c>
      <c r="N2655" s="16" t="s">
        <v>8792</v>
      </c>
      <c r="O2655" s="16"/>
      <c r="P2655" s="16" t="str">
        <f aca="false">IF(AND(L2655&lt;=$D$2,M2655&gt;=$C$2),"Sí","")</f>
        <v/>
      </c>
      <c r="Q2655" s="18" t="str">
        <f aca="false">IF(COUNTIF(LOOKAHEAD!$A$5:$A$604,A2655)&gt;0,"En Lookahead",IF(P2655="Sí","INCORPORAR",""))</f>
        <v/>
      </c>
    </row>
    <row r="2656" customFormat="false" ht="15" hidden="false" customHeight="false" outlineLevel="0" collapsed="false">
      <c r="A2656" s="16" t="s">
        <v>8793</v>
      </c>
      <c r="B2656" s="16" t="n">
        <v>2651</v>
      </c>
      <c r="C2656" s="16" t="s">
        <v>8794</v>
      </c>
      <c r="D2656" s="16" t="n">
        <v>6</v>
      </c>
      <c r="E2656" s="35" t="s">
        <v>7232</v>
      </c>
      <c r="F2656" s="16" t="s">
        <v>1285</v>
      </c>
      <c r="G2656" s="16" t="s">
        <v>563</v>
      </c>
      <c r="H2656" s="16" t="s">
        <v>4610</v>
      </c>
      <c r="I2656" s="16" t="s">
        <v>104</v>
      </c>
      <c r="J2656" s="16" t="s">
        <v>7206</v>
      </c>
      <c r="K2656" s="32" t="n">
        <v>20</v>
      </c>
      <c r="L2656" s="33" t="n">
        <v>46452</v>
      </c>
      <c r="M2656" s="33" t="n">
        <v>46471</v>
      </c>
      <c r="N2656" s="16" t="s">
        <v>8795</v>
      </c>
      <c r="O2656" s="16"/>
      <c r="P2656" s="16" t="str">
        <f aca="false">IF(AND(L2656&lt;=$D$2,M2656&gt;=$C$2),"Sí","")</f>
        <v/>
      </c>
      <c r="Q2656" s="18" t="str">
        <f aca="false">IF(COUNTIF(LOOKAHEAD!$A$5:$A$604,A2656)&gt;0,"En Lookahead",IF(P2656="Sí","INCORPORAR",""))</f>
        <v/>
      </c>
    </row>
    <row r="2657" customFormat="false" ht="15" hidden="false" customHeight="false" outlineLevel="0" collapsed="false">
      <c r="A2657" s="13" t="s">
        <v>8796</v>
      </c>
      <c r="B2657" s="13" t="n">
        <v>2652</v>
      </c>
      <c r="C2657" s="13" t="s">
        <v>8797</v>
      </c>
      <c r="D2657" s="13" t="n">
        <v>5</v>
      </c>
      <c r="E2657" s="34" t="s">
        <v>7236</v>
      </c>
      <c r="F2657" s="13" t="s">
        <v>1298</v>
      </c>
      <c r="G2657" s="13" t="s">
        <v>563</v>
      </c>
      <c r="H2657" s="13" t="s">
        <v>4610</v>
      </c>
      <c r="I2657" s="13" t="s">
        <v>104</v>
      </c>
      <c r="J2657" s="13" t="s">
        <v>4610</v>
      </c>
      <c r="K2657" s="30" t="n">
        <v>21</v>
      </c>
      <c r="L2657" s="31" t="n">
        <v>46472</v>
      </c>
      <c r="M2657" s="31" t="n">
        <v>46492</v>
      </c>
      <c r="N2657" s="13"/>
      <c r="O2657" s="13"/>
      <c r="P2657" s="13"/>
      <c r="Q2657" s="13"/>
    </row>
    <row r="2658" customFormat="false" ht="15" hidden="false" customHeight="false" outlineLevel="0" collapsed="false">
      <c r="A2658" s="16" t="s">
        <v>8798</v>
      </c>
      <c r="B2658" s="16" t="n">
        <v>2653</v>
      </c>
      <c r="C2658" s="16" t="s">
        <v>8799</v>
      </c>
      <c r="D2658" s="16" t="n">
        <v>6</v>
      </c>
      <c r="E2658" s="35" t="s">
        <v>7239</v>
      </c>
      <c r="F2658" s="16" t="s">
        <v>1285</v>
      </c>
      <c r="G2658" s="16" t="s">
        <v>563</v>
      </c>
      <c r="H2658" s="16" t="s">
        <v>4610</v>
      </c>
      <c r="I2658" s="16" t="s">
        <v>104</v>
      </c>
      <c r="J2658" s="16" t="s">
        <v>7236</v>
      </c>
      <c r="K2658" s="32" t="n">
        <v>18</v>
      </c>
      <c r="L2658" s="33" t="n">
        <v>46472</v>
      </c>
      <c r="M2658" s="33" t="n">
        <v>46489</v>
      </c>
      <c r="N2658" s="16" t="s">
        <v>8800</v>
      </c>
      <c r="O2658" s="16"/>
      <c r="P2658" s="16" t="str">
        <f aca="false">IF(AND(L2658&lt;=$D$2,M2658&gt;=$C$2),"Sí","")</f>
        <v/>
      </c>
      <c r="Q2658" s="18" t="str">
        <f aca="false">IF(COUNTIF(LOOKAHEAD!$A$5:$A$604,A2658)&gt;0,"En Lookahead",IF(P2658="Sí","INCORPORAR",""))</f>
        <v/>
      </c>
    </row>
    <row r="2659" customFormat="false" ht="15" hidden="false" customHeight="false" outlineLevel="0" collapsed="false">
      <c r="A2659" s="16" t="s">
        <v>8801</v>
      </c>
      <c r="B2659" s="16" t="n">
        <v>2654</v>
      </c>
      <c r="C2659" s="16" t="s">
        <v>8802</v>
      </c>
      <c r="D2659" s="16" t="n">
        <v>6</v>
      </c>
      <c r="E2659" s="35" t="s">
        <v>7242</v>
      </c>
      <c r="F2659" s="16" t="s">
        <v>1285</v>
      </c>
      <c r="G2659" s="16" t="s">
        <v>563</v>
      </c>
      <c r="H2659" s="16" t="s">
        <v>4610</v>
      </c>
      <c r="I2659" s="16" t="s">
        <v>104</v>
      </c>
      <c r="J2659" s="16" t="s">
        <v>7236</v>
      </c>
      <c r="K2659" s="32" t="n">
        <v>3</v>
      </c>
      <c r="L2659" s="33" t="n">
        <v>46490</v>
      </c>
      <c r="M2659" s="33" t="n">
        <v>46492</v>
      </c>
      <c r="N2659" s="16" t="s">
        <v>8803</v>
      </c>
      <c r="O2659" s="16"/>
      <c r="P2659" s="16" t="str">
        <f aca="false">IF(AND(L2659&lt;=$D$2,M2659&gt;=$C$2),"Sí","")</f>
        <v/>
      </c>
      <c r="Q2659" s="18" t="str">
        <f aca="false">IF(COUNTIF(LOOKAHEAD!$A$5:$A$604,A2659)&gt;0,"En Lookahead",IF(P2659="Sí","INCORPORAR",""))</f>
        <v/>
      </c>
    </row>
    <row r="2660" customFormat="false" ht="15" hidden="false" customHeight="false" outlineLevel="0" collapsed="false">
      <c r="A2660" s="13" t="s">
        <v>8804</v>
      </c>
      <c r="B2660" s="13" t="n">
        <v>2655</v>
      </c>
      <c r="C2660" s="13" t="s">
        <v>8805</v>
      </c>
      <c r="D2660" s="13" t="n">
        <v>5</v>
      </c>
      <c r="E2660" s="34" t="s">
        <v>7250</v>
      </c>
      <c r="F2660" s="13" t="s">
        <v>1298</v>
      </c>
      <c r="G2660" s="13" t="s">
        <v>563</v>
      </c>
      <c r="H2660" s="13" t="s">
        <v>4610</v>
      </c>
      <c r="I2660" s="13" t="s">
        <v>104</v>
      </c>
      <c r="J2660" s="13" t="s">
        <v>4610</v>
      </c>
      <c r="K2660" s="30" t="n">
        <v>26</v>
      </c>
      <c r="L2660" s="31" t="n">
        <v>46493</v>
      </c>
      <c r="M2660" s="31" t="n">
        <v>46518</v>
      </c>
      <c r="N2660" s="13"/>
      <c r="O2660" s="13"/>
      <c r="P2660" s="13"/>
      <c r="Q2660" s="13"/>
    </row>
    <row r="2661" customFormat="false" ht="15" hidden="false" customHeight="false" outlineLevel="0" collapsed="false">
      <c r="A2661" s="13" t="s">
        <v>8806</v>
      </c>
      <c r="B2661" s="13" t="n">
        <v>2656</v>
      </c>
      <c r="C2661" s="13" t="s">
        <v>8807</v>
      </c>
      <c r="D2661" s="13" t="n">
        <v>6</v>
      </c>
      <c r="E2661" s="36" t="s">
        <v>7253</v>
      </c>
      <c r="F2661" s="13" t="s">
        <v>1298</v>
      </c>
      <c r="G2661" s="13" t="s">
        <v>563</v>
      </c>
      <c r="H2661" s="13" t="s">
        <v>4610</v>
      </c>
      <c r="I2661" s="13" t="s">
        <v>104</v>
      </c>
      <c r="J2661" s="13" t="s">
        <v>7250</v>
      </c>
      <c r="K2661" s="30" t="n">
        <v>10</v>
      </c>
      <c r="L2661" s="31" t="n">
        <v>46493</v>
      </c>
      <c r="M2661" s="31" t="n">
        <v>46502</v>
      </c>
      <c r="N2661" s="13"/>
      <c r="O2661" s="13"/>
      <c r="P2661" s="13"/>
      <c r="Q2661" s="13"/>
    </row>
    <row r="2662" customFormat="false" ht="15" hidden="false" customHeight="false" outlineLevel="0" collapsed="false">
      <c r="A2662" s="16" t="s">
        <v>8808</v>
      </c>
      <c r="B2662" s="16" t="n">
        <v>2657</v>
      </c>
      <c r="C2662" s="16" t="s">
        <v>8809</v>
      </c>
      <c r="D2662" s="16" t="n">
        <v>7</v>
      </c>
      <c r="E2662" s="37" t="s">
        <v>7256</v>
      </c>
      <c r="F2662" s="16" t="s">
        <v>1285</v>
      </c>
      <c r="G2662" s="16" t="s">
        <v>563</v>
      </c>
      <c r="H2662" s="16" t="s">
        <v>4610</v>
      </c>
      <c r="I2662" s="16" t="s">
        <v>104</v>
      </c>
      <c r="J2662" s="16" t="s">
        <v>7253</v>
      </c>
      <c r="K2662" s="32" t="n">
        <v>10</v>
      </c>
      <c r="L2662" s="33" t="n">
        <v>46493</v>
      </c>
      <c r="M2662" s="33" t="n">
        <v>46502</v>
      </c>
      <c r="N2662" s="16" t="s">
        <v>8810</v>
      </c>
      <c r="O2662" s="16"/>
      <c r="P2662" s="16" t="str">
        <f aca="false">IF(AND(L2662&lt;=$D$2,M2662&gt;=$C$2),"Sí","")</f>
        <v/>
      </c>
      <c r="Q2662" s="18" t="str">
        <f aca="false">IF(COUNTIF(LOOKAHEAD!$A$5:$A$604,A2662)&gt;0,"En Lookahead",IF(P2662="Sí","INCORPORAR",""))</f>
        <v/>
      </c>
    </row>
    <row r="2663" customFormat="false" ht="15" hidden="false" customHeight="false" outlineLevel="0" collapsed="false">
      <c r="A2663" s="13" t="s">
        <v>8811</v>
      </c>
      <c r="B2663" s="13" t="n">
        <v>2658</v>
      </c>
      <c r="C2663" s="13" t="s">
        <v>8812</v>
      </c>
      <c r="D2663" s="13" t="n">
        <v>6</v>
      </c>
      <c r="E2663" s="36" t="s">
        <v>7260</v>
      </c>
      <c r="F2663" s="13" t="s">
        <v>1298</v>
      </c>
      <c r="G2663" s="13" t="s">
        <v>563</v>
      </c>
      <c r="H2663" s="13" t="s">
        <v>4610</v>
      </c>
      <c r="I2663" s="13" t="s">
        <v>104</v>
      </c>
      <c r="J2663" s="13" t="s">
        <v>7250</v>
      </c>
      <c r="K2663" s="30" t="n">
        <v>15</v>
      </c>
      <c r="L2663" s="31" t="n">
        <v>46503</v>
      </c>
      <c r="M2663" s="31" t="n">
        <v>46517</v>
      </c>
      <c r="N2663" s="13"/>
      <c r="O2663" s="13"/>
      <c r="P2663" s="13"/>
      <c r="Q2663" s="13"/>
    </row>
    <row r="2664" customFormat="false" ht="15" hidden="false" customHeight="false" outlineLevel="0" collapsed="false">
      <c r="A2664" s="16" t="s">
        <v>8813</v>
      </c>
      <c r="B2664" s="16" t="n">
        <v>2659</v>
      </c>
      <c r="C2664" s="16" t="s">
        <v>8814</v>
      </c>
      <c r="D2664" s="16" t="n">
        <v>7</v>
      </c>
      <c r="E2664" s="37" t="s">
        <v>7267</v>
      </c>
      <c r="F2664" s="16" t="s">
        <v>1285</v>
      </c>
      <c r="G2664" s="16" t="s">
        <v>563</v>
      </c>
      <c r="H2664" s="16" t="s">
        <v>4610</v>
      </c>
      <c r="I2664" s="16" t="s">
        <v>104</v>
      </c>
      <c r="J2664" s="16" t="s">
        <v>7260</v>
      </c>
      <c r="K2664" s="32" t="n">
        <v>1</v>
      </c>
      <c r="L2664" s="33" t="n">
        <v>46503</v>
      </c>
      <c r="M2664" s="33" t="n">
        <v>46503</v>
      </c>
      <c r="N2664" s="16" t="s">
        <v>8815</v>
      </c>
      <c r="O2664" s="16"/>
      <c r="P2664" s="16" t="str">
        <f aca="false">IF(AND(L2664&lt;=$D$2,M2664&gt;=$C$2),"Sí","")</f>
        <v/>
      </c>
      <c r="Q2664" s="18" t="str">
        <f aca="false">IF(COUNTIF(LOOKAHEAD!$A$5:$A$604,A2664)&gt;0,"En Lookahead",IF(P2664="Sí","INCORPORAR",""))</f>
        <v/>
      </c>
    </row>
    <row r="2665" customFormat="false" ht="15" hidden="false" customHeight="false" outlineLevel="0" collapsed="false">
      <c r="A2665" s="16" t="s">
        <v>8816</v>
      </c>
      <c r="B2665" s="16" t="n">
        <v>2660</v>
      </c>
      <c r="C2665" s="16" t="s">
        <v>8817</v>
      </c>
      <c r="D2665" s="16" t="n">
        <v>7</v>
      </c>
      <c r="E2665" s="37" t="s">
        <v>7275</v>
      </c>
      <c r="F2665" s="16" t="s">
        <v>1285</v>
      </c>
      <c r="G2665" s="16" t="s">
        <v>563</v>
      </c>
      <c r="H2665" s="16" t="s">
        <v>4610</v>
      </c>
      <c r="I2665" s="16" t="s">
        <v>104</v>
      </c>
      <c r="J2665" s="16" t="s">
        <v>7260</v>
      </c>
      <c r="K2665" s="32" t="n">
        <v>14</v>
      </c>
      <c r="L2665" s="33" t="n">
        <v>46504</v>
      </c>
      <c r="M2665" s="33" t="n">
        <v>46517</v>
      </c>
      <c r="N2665" s="16" t="s">
        <v>8818</v>
      </c>
      <c r="O2665" s="16"/>
      <c r="P2665" s="16" t="str">
        <f aca="false">IF(AND(L2665&lt;=$D$2,M2665&gt;=$C$2),"Sí","")</f>
        <v/>
      </c>
      <c r="Q2665" s="18" t="str">
        <f aca="false">IF(COUNTIF(LOOKAHEAD!$A$5:$A$604,A2665)&gt;0,"En Lookahead",IF(P2665="Sí","INCORPORAR",""))</f>
        <v/>
      </c>
    </row>
    <row r="2666" customFormat="false" ht="15" hidden="false" customHeight="false" outlineLevel="0" collapsed="false">
      <c r="A2666" s="13" t="s">
        <v>8819</v>
      </c>
      <c r="B2666" s="13" t="n">
        <v>2661</v>
      </c>
      <c r="C2666" s="13" t="s">
        <v>8820</v>
      </c>
      <c r="D2666" s="13" t="n">
        <v>6</v>
      </c>
      <c r="E2666" s="36" t="s">
        <v>7583</v>
      </c>
      <c r="F2666" s="13" t="s">
        <v>1298</v>
      </c>
      <c r="G2666" s="13" t="s">
        <v>563</v>
      </c>
      <c r="H2666" s="13" t="s">
        <v>4610</v>
      </c>
      <c r="I2666" s="13" t="s">
        <v>104</v>
      </c>
      <c r="J2666" s="13" t="s">
        <v>7250</v>
      </c>
      <c r="K2666" s="30" t="n">
        <v>1</v>
      </c>
      <c r="L2666" s="31" t="n">
        <v>46518</v>
      </c>
      <c r="M2666" s="31" t="n">
        <v>46518</v>
      </c>
      <c r="N2666" s="13"/>
      <c r="O2666" s="13"/>
      <c r="P2666" s="13"/>
      <c r="Q2666" s="13"/>
    </row>
    <row r="2667" customFormat="false" ht="15" hidden="false" customHeight="false" outlineLevel="0" collapsed="false">
      <c r="A2667" s="16" t="s">
        <v>8821</v>
      </c>
      <c r="B2667" s="16" t="n">
        <v>2662</v>
      </c>
      <c r="C2667" s="16" t="s">
        <v>8822</v>
      </c>
      <c r="D2667" s="16" t="n">
        <v>7</v>
      </c>
      <c r="E2667" s="37" t="s">
        <v>7586</v>
      </c>
      <c r="F2667" s="16" t="s">
        <v>1285</v>
      </c>
      <c r="G2667" s="16" t="s">
        <v>563</v>
      </c>
      <c r="H2667" s="16" t="s">
        <v>4610</v>
      </c>
      <c r="I2667" s="16" t="s">
        <v>104</v>
      </c>
      <c r="J2667" s="16" t="s">
        <v>7583</v>
      </c>
      <c r="K2667" s="32" t="n">
        <v>1</v>
      </c>
      <c r="L2667" s="33" t="n">
        <v>46518</v>
      </c>
      <c r="M2667" s="33" t="n">
        <v>46518</v>
      </c>
      <c r="N2667" s="16" t="s">
        <v>8823</v>
      </c>
      <c r="O2667" s="16"/>
      <c r="P2667" s="16" t="str">
        <f aca="false">IF(AND(L2667&lt;=$D$2,M2667&gt;=$C$2),"Sí","")</f>
        <v/>
      </c>
      <c r="Q2667" s="18" t="str">
        <f aca="false">IF(COUNTIF(LOOKAHEAD!$A$5:$A$604,A2667)&gt;0,"En Lookahead",IF(P2667="Sí","INCORPORAR",""))</f>
        <v/>
      </c>
    </row>
    <row r="2668" customFormat="false" ht="15" hidden="false" customHeight="false" outlineLevel="0" collapsed="false">
      <c r="A2668" s="13" t="s">
        <v>8824</v>
      </c>
      <c r="B2668" s="13" t="n">
        <v>2663</v>
      </c>
      <c r="C2668" s="13" t="s">
        <v>8825</v>
      </c>
      <c r="D2668" s="13" t="n">
        <v>5</v>
      </c>
      <c r="E2668" s="34" t="s">
        <v>7279</v>
      </c>
      <c r="F2668" s="13" t="s">
        <v>1298</v>
      </c>
      <c r="G2668" s="13" t="s">
        <v>563</v>
      </c>
      <c r="H2668" s="13" t="s">
        <v>4610</v>
      </c>
      <c r="I2668" s="13" t="s">
        <v>104</v>
      </c>
      <c r="J2668" s="13" t="s">
        <v>4610</v>
      </c>
      <c r="K2668" s="30" t="n">
        <v>9</v>
      </c>
      <c r="L2668" s="31" t="n">
        <v>46503</v>
      </c>
      <c r="M2668" s="31" t="n">
        <v>46511</v>
      </c>
      <c r="N2668" s="13"/>
      <c r="O2668" s="13"/>
      <c r="P2668" s="13"/>
      <c r="Q2668" s="13"/>
    </row>
    <row r="2669" customFormat="false" ht="15" hidden="false" customHeight="false" outlineLevel="0" collapsed="false">
      <c r="A2669" s="16" t="s">
        <v>8826</v>
      </c>
      <c r="B2669" s="16" t="n">
        <v>2664</v>
      </c>
      <c r="C2669" s="16" t="s">
        <v>8827</v>
      </c>
      <c r="D2669" s="16" t="n">
        <v>6</v>
      </c>
      <c r="E2669" s="35" t="s">
        <v>7282</v>
      </c>
      <c r="F2669" s="16" t="s">
        <v>1285</v>
      </c>
      <c r="G2669" s="16" t="s">
        <v>563</v>
      </c>
      <c r="H2669" s="16" t="s">
        <v>4610</v>
      </c>
      <c r="I2669" s="16" t="s">
        <v>104</v>
      </c>
      <c r="J2669" s="16" t="s">
        <v>7279</v>
      </c>
      <c r="K2669" s="32" t="n">
        <v>9</v>
      </c>
      <c r="L2669" s="33" t="n">
        <v>46503</v>
      </c>
      <c r="M2669" s="33" t="n">
        <v>46511</v>
      </c>
      <c r="N2669" s="16" t="s">
        <v>8828</v>
      </c>
      <c r="O2669" s="16"/>
      <c r="P2669" s="16" t="str">
        <f aca="false">IF(AND(L2669&lt;=$D$2,M2669&gt;=$C$2),"Sí","")</f>
        <v/>
      </c>
      <c r="Q2669" s="18" t="str">
        <f aca="false">IF(COUNTIF(LOOKAHEAD!$A$5:$A$604,A2669)&gt;0,"En Lookahead",IF(P2669="Sí","INCORPORAR",""))</f>
        <v/>
      </c>
    </row>
    <row r="2670" customFormat="false" ht="15" hidden="false" customHeight="false" outlineLevel="0" collapsed="false">
      <c r="A2670" s="16" t="s">
        <v>8829</v>
      </c>
      <c r="B2670" s="16" t="n">
        <v>2665</v>
      </c>
      <c r="C2670" s="16" t="s">
        <v>8830</v>
      </c>
      <c r="D2670" s="16" t="n">
        <v>6</v>
      </c>
      <c r="E2670" s="35" t="s">
        <v>7286</v>
      </c>
      <c r="F2670" s="16" t="s">
        <v>1285</v>
      </c>
      <c r="G2670" s="16" t="s">
        <v>563</v>
      </c>
      <c r="H2670" s="16" t="s">
        <v>4610</v>
      </c>
      <c r="I2670" s="16" t="s">
        <v>104</v>
      </c>
      <c r="J2670" s="16" t="s">
        <v>7279</v>
      </c>
      <c r="K2670" s="32" t="n">
        <v>5</v>
      </c>
      <c r="L2670" s="33" t="n">
        <v>46503</v>
      </c>
      <c r="M2670" s="33" t="n">
        <v>46507</v>
      </c>
      <c r="N2670" s="16" t="s">
        <v>8831</v>
      </c>
      <c r="O2670" s="16"/>
      <c r="P2670" s="16" t="str">
        <f aca="false">IF(AND(L2670&lt;=$D$2,M2670&gt;=$C$2),"Sí","")</f>
        <v/>
      </c>
      <c r="Q2670" s="18" t="str">
        <f aca="false">IF(COUNTIF(LOOKAHEAD!$A$5:$A$604,A2670)&gt;0,"En Lookahead",IF(P2670="Sí","INCORPORAR",""))</f>
        <v/>
      </c>
    </row>
    <row r="2671" customFormat="false" ht="15" hidden="false" customHeight="false" outlineLevel="0" collapsed="false">
      <c r="A2671" s="13" t="s">
        <v>8832</v>
      </c>
      <c r="B2671" s="13" t="n">
        <v>2666</v>
      </c>
      <c r="C2671" s="13" t="s">
        <v>8833</v>
      </c>
      <c r="D2671" s="13" t="n">
        <v>5</v>
      </c>
      <c r="E2671" s="34" t="s">
        <v>7296</v>
      </c>
      <c r="F2671" s="13" t="s">
        <v>1298</v>
      </c>
      <c r="G2671" s="13" t="s">
        <v>563</v>
      </c>
      <c r="H2671" s="13" t="s">
        <v>4610</v>
      </c>
      <c r="I2671" s="13" t="s">
        <v>104</v>
      </c>
      <c r="J2671" s="13" t="s">
        <v>4610</v>
      </c>
      <c r="K2671" s="30" t="n">
        <v>13</v>
      </c>
      <c r="L2671" s="31" t="n">
        <v>46508</v>
      </c>
      <c r="M2671" s="31" t="n">
        <v>46520</v>
      </c>
      <c r="N2671" s="13"/>
      <c r="O2671" s="13"/>
      <c r="P2671" s="13"/>
      <c r="Q2671" s="13"/>
    </row>
    <row r="2672" customFormat="false" ht="15" hidden="false" customHeight="false" outlineLevel="0" collapsed="false">
      <c r="A2672" s="16" t="s">
        <v>8834</v>
      </c>
      <c r="B2672" s="16" t="n">
        <v>2667</v>
      </c>
      <c r="C2672" s="16" t="s">
        <v>8835</v>
      </c>
      <c r="D2672" s="16" t="n">
        <v>6</v>
      </c>
      <c r="E2672" s="35" t="s">
        <v>7299</v>
      </c>
      <c r="F2672" s="16" t="s">
        <v>1285</v>
      </c>
      <c r="G2672" s="16" t="s">
        <v>563</v>
      </c>
      <c r="H2672" s="16" t="s">
        <v>4610</v>
      </c>
      <c r="I2672" s="16" t="s">
        <v>104</v>
      </c>
      <c r="J2672" s="16" t="s">
        <v>7296</v>
      </c>
      <c r="K2672" s="32" t="n">
        <v>4</v>
      </c>
      <c r="L2672" s="33" t="n">
        <v>46508</v>
      </c>
      <c r="M2672" s="33" t="n">
        <v>46511</v>
      </c>
      <c r="N2672" s="16" t="s">
        <v>8836</v>
      </c>
      <c r="O2672" s="16"/>
      <c r="P2672" s="16" t="str">
        <f aca="false">IF(AND(L2672&lt;=$D$2,M2672&gt;=$C$2),"Sí","")</f>
        <v/>
      </c>
      <c r="Q2672" s="18" t="str">
        <f aca="false">IF(COUNTIF(LOOKAHEAD!$A$5:$A$604,A2672)&gt;0,"En Lookahead",IF(P2672="Sí","INCORPORAR",""))</f>
        <v/>
      </c>
    </row>
    <row r="2673" customFormat="false" ht="15" hidden="false" customHeight="false" outlineLevel="0" collapsed="false">
      <c r="A2673" s="16" t="s">
        <v>8837</v>
      </c>
      <c r="B2673" s="16" t="n">
        <v>2668</v>
      </c>
      <c r="C2673" s="16" t="s">
        <v>8838</v>
      </c>
      <c r="D2673" s="16" t="n">
        <v>6</v>
      </c>
      <c r="E2673" s="35" t="s">
        <v>7303</v>
      </c>
      <c r="F2673" s="16" t="s">
        <v>1285</v>
      </c>
      <c r="G2673" s="16" t="s">
        <v>563</v>
      </c>
      <c r="H2673" s="16" t="s">
        <v>4610</v>
      </c>
      <c r="I2673" s="16" t="s">
        <v>104</v>
      </c>
      <c r="J2673" s="16" t="s">
        <v>7296</v>
      </c>
      <c r="K2673" s="32" t="n">
        <v>9</v>
      </c>
      <c r="L2673" s="33" t="n">
        <v>46512</v>
      </c>
      <c r="M2673" s="33" t="n">
        <v>46520</v>
      </c>
      <c r="N2673" s="16" t="s">
        <v>8839</v>
      </c>
      <c r="O2673" s="16"/>
      <c r="P2673" s="16" t="str">
        <f aca="false">IF(AND(L2673&lt;=$D$2,M2673&gt;=$C$2),"Sí","")</f>
        <v/>
      </c>
      <c r="Q2673" s="18" t="str">
        <f aca="false">IF(COUNTIF(LOOKAHEAD!$A$5:$A$604,A2673)&gt;0,"En Lookahead",IF(P2673="Sí","INCORPORAR",""))</f>
        <v/>
      </c>
    </row>
    <row r="2674" customFormat="false" ht="15" hidden="false" customHeight="false" outlineLevel="0" collapsed="false">
      <c r="A2674" s="13" t="s">
        <v>8840</v>
      </c>
      <c r="B2674" s="13" t="n">
        <v>2669</v>
      </c>
      <c r="C2674" s="13" t="s">
        <v>8841</v>
      </c>
      <c r="D2674" s="13" t="n">
        <v>5</v>
      </c>
      <c r="E2674" s="34" t="s">
        <v>7307</v>
      </c>
      <c r="F2674" s="13" t="s">
        <v>1298</v>
      </c>
      <c r="G2674" s="13" t="s">
        <v>563</v>
      </c>
      <c r="H2674" s="13" t="s">
        <v>4610</v>
      </c>
      <c r="I2674" s="13" t="s">
        <v>104</v>
      </c>
      <c r="J2674" s="13" t="s">
        <v>4610</v>
      </c>
      <c r="K2674" s="30" t="n">
        <v>2</v>
      </c>
      <c r="L2674" s="31" t="n">
        <v>46521</v>
      </c>
      <c r="M2674" s="31" t="n">
        <v>46522</v>
      </c>
      <c r="N2674" s="13"/>
      <c r="O2674" s="13"/>
      <c r="P2674" s="13"/>
      <c r="Q2674" s="13"/>
    </row>
    <row r="2675" customFormat="false" ht="15" hidden="false" customHeight="false" outlineLevel="0" collapsed="false">
      <c r="A2675" s="13" t="s">
        <v>8842</v>
      </c>
      <c r="B2675" s="13" t="n">
        <v>2670</v>
      </c>
      <c r="C2675" s="13" t="s">
        <v>8843</v>
      </c>
      <c r="D2675" s="13" t="n">
        <v>6</v>
      </c>
      <c r="E2675" s="36" t="s">
        <v>7310</v>
      </c>
      <c r="F2675" s="13" t="s">
        <v>1298</v>
      </c>
      <c r="G2675" s="13" t="s">
        <v>563</v>
      </c>
      <c r="H2675" s="13" t="s">
        <v>4610</v>
      </c>
      <c r="I2675" s="13" t="s">
        <v>104</v>
      </c>
      <c r="J2675" s="13" t="s">
        <v>7307</v>
      </c>
      <c r="K2675" s="30" t="n">
        <v>2</v>
      </c>
      <c r="L2675" s="31" t="n">
        <v>46521</v>
      </c>
      <c r="M2675" s="31" t="n">
        <v>46522</v>
      </c>
      <c r="N2675" s="13"/>
      <c r="O2675" s="13"/>
      <c r="P2675" s="13"/>
      <c r="Q2675" s="13"/>
    </row>
    <row r="2676" customFormat="false" ht="15" hidden="false" customHeight="false" outlineLevel="0" collapsed="false">
      <c r="A2676" s="16" t="s">
        <v>8844</v>
      </c>
      <c r="B2676" s="16" t="n">
        <v>2671</v>
      </c>
      <c r="C2676" s="16" t="s">
        <v>8845</v>
      </c>
      <c r="D2676" s="16" t="n">
        <v>7</v>
      </c>
      <c r="E2676" s="37" t="s">
        <v>7631</v>
      </c>
      <c r="F2676" s="16" t="s">
        <v>1285</v>
      </c>
      <c r="G2676" s="16" t="s">
        <v>563</v>
      </c>
      <c r="H2676" s="16" t="s">
        <v>4610</v>
      </c>
      <c r="I2676" s="16" t="s">
        <v>104</v>
      </c>
      <c r="J2676" s="16" t="s">
        <v>7310</v>
      </c>
      <c r="K2676" s="32" t="n">
        <v>1</v>
      </c>
      <c r="L2676" s="33" t="n">
        <v>46521</v>
      </c>
      <c r="M2676" s="33" t="n">
        <v>46521</v>
      </c>
      <c r="N2676" s="16" t="s">
        <v>8846</v>
      </c>
      <c r="O2676" s="16"/>
      <c r="P2676" s="16" t="str">
        <f aca="false">IF(AND(L2676&lt;=$D$2,M2676&gt;=$C$2),"Sí","")</f>
        <v/>
      </c>
      <c r="Q2676" s="18" t="str">
        <f aca="false">IF(COUNTIF(LOOKAHEAD!$A$5:$A$604,A2676)&gt;0,"En Lookahead",IF(P2676="Sí","INCORPORAR",""))</f>
        <v/>
      </c>
    </row>
    <row r="2677" customFormat="false" ht="15" hidden="false" customHeight="false" outlineLevel="0" collapsed="false">
      <c r="A2677" s="16" t="s">
        <v>8847</v>
      </c>
      <c r="B2677" s="16" t="n">
        <v>2672</v>
      </c>
      <c r="C2677" s="16" t="s">
        <v>8848</v>
      </c>
      <c r="D2677" s="16" t="n">
        <v>7</v>
      </c>
      <c r="E2677" s="37" t="s">
        <v>8503</v>
      </c>
      <c r="F2677" s="16" t="s">
        <v>1285</v>
      </c>
      <c r="G2677" s="16" t="s">
        <v>563</v>
      </c>
      <c r="H2677" s="16" t="s">
        <v>4610</v>
      </c>
      <c r="I2677" s="16" t="s">
        <v>104</v>
      </c>
      <c r="J2677" s="16" t="s">
        <v>7310</v>
      </c>
      <c r="K2677" s="32" t="n">
        <v>1</v>
      </c>
      <c r="L2677" s="33" t="n">
        <v>46522</v>
      </c>
      <c r="M2677" s="33" t="n">
        <v>46522</v>
      </c>
      <c r="N2677" s="16" t="s">
        <v>8849</v>
      </c>
      <c r="O2677" s="16"/>
      <c r="P2677" s="16" t="str">
        <f aca="false">IF(AND(L2677&lt;=$D$2,M2677&gt;=$C$2),"Sí","")</f>
        <v/>
      </c>
      <c r="Q2677" s="18" t="str">
        <f aca="false">IF(COUNTIF(LOOKAHEAD!$A$5:$A$604,A2677)&gt;0,"En Lookahead",IF(P2677="Sí","INCORPORAR",""))</f>
        <v/>
      </c>
    </row>
    <row r="2678" customFormat="false" ht="15" hidden="false" customHeight="false" outlineLevel="0" collapsed="false">
      <c r="A2678" s="13" t="s">
        <v>8850</v>
      </c>
      <c r="B2678" s="13" t="n">
        <v>2673</v>
      </c>
      <c r="C2678" s="13" t="s">
        <v>8851</v>
      </c>
      <c r="D2678" s="13" t="n">
        <v>5</v>
      </c>
      <c r="E2678" s="34" t="s">
        <v>7328</v>
      </c>
      <c r="F2678" s="13" t="s">
        <v>1298</v>
      </c>
      <c r="G2678" s="13" t="s">
        <v>563</v>
      </c>
      <c r="H2678" s="13" t="s">
        <v>4610</v>
      </c>
      <c r="I2678" s="13" t="s">
        <v>104</v>
      </c>
      <c r="J2678" s="13" t="s">
        <v>4610</v>
      </c>
      <c r="K2678" s="30" t="n">
        <v>12</v>
      </c>
      <c r="L2678" s="31" t="n">
        <v>46523</v>
      </c>
      <c r="M2678" s="31" t="n">
        <v>46534</v>
      </c>
      <c r="N2678" s="13"/>
      <c r="O2678" s="13"/>
      <c r="P2678" s="13"/>
      <c r="Q2678" s="13"/>
    </row>
    <row r="2679" customFormat="false" ht="15" hidden="false" customHeight="false" outlineLevel="0" collapsed="false">
      <c r="A2679" s="13" t="s">
        <v>8852</v>
      </c>
      <c r="B2679" s="13" t="n">
        <v>2674</v>
      </c>
      <c r="C2679" s="13" t="s">
        <v>8853</v>
      </c>
      <c r="D2679" s="13" t="n">
        <v>6</v>
      </c>
      <c r="E2679" s="36" t="s">
        <v>7670</v>
      </c>
      <c r="F2679" s="13" t="s">
        <v>1298</v>
      </c>
      <c r="G2679" s="13" t="s">
        <v>563</v>
      </c>
      <c r="H2679" s="13" t="s">
        <v>4610</v>
      </c>
      <c r="I2679" s="13" t="s">
        <v>104</v>
      </c>
      <c r="J2679" s="13" t="s">
        <v>7328</v>
      </c>
      <c r="K2679" s="30" t="n">
        <v>1</v>
      </c>
      <c r="L2679" s="31" t="n">
        <v>46523</v>
      </c>
      <c r="M2679" s="31" t="n">
        <v>46523</v>
      </c>
      <c r="N2679" s="13"/>
      <c r="O2679" s="13"/>
      <c r="P2679" s="13"/>
      <c r="Q2679" s="13"/>
    </row>
    <row r="2680" customFormat="false" ht="15" hidden="false" customHeight="false" outlineLevel="0" collapsed="false">
      <c r="A2680" s="16" t="s">
        <v>8854</v>
      </c>
      <c r="B2680" s="16" t="n">
        <v>2675</v>
      </c>
      <c r="C2680" s="16" t="s">
        <v>8855</v>
      </c>
      <c r="D2680" s="16" t="n">
        <v>7</v>
      </c>
      <c r="E2680" s="37" t="s">
        <v>7673</v>
      </c>
      <c r="F2680" s="16" t="s">
        <v>1285</v>
      </c>
      <c r="G2680" s="16" t="s">
        <v>563</v>
      </c>
      <c r="H2680" s="16" t="s">
        <v>4610</v>
      </c>
      <c r="I2680" s="16" t="s">
        <v>104</v>
      </c>
      <c r="J2680" s="16" t="s">
        <v>7670</v>
      </c>
      <c r="K2680" s="32" t="n">
        <v>1</v>
      </c>
      <c r="L2680" s="33" t="n">
        <v>46523</v>
      </c>
      <c r="M2680" s="33" t="n">
        <v>46523</v>
      </c>
      <c r="N2680" s="16" t="s">
        <v>8856</v>
      </c>
      <c r="O2680" s="16"/>
      <c r="P2680" s="16" t="str">
        <f aca="false">IF(AND(L2680&lt;=$D$2,M2680&gt;=$C$2),"Sí","")</f>
        <v/>
      </c>
      <c r="Q2680" s="18" t="str">
        <f aca="false">IF(COUNTIF(LOOKAHEAD!$A$5:$A$604,A2680)&gt;0,"En Lookahead",IF(P2680="Sí","INCORPORAR",""))</f>
        <v/>
      </c>
    </row>
    <row r="2681" customFormat="false" ht="15" hidden="false" customHeight="false" outlineLevel="0" collapsed="false">
      <c r="A2681" s="13" t="s">
        <v>8857</v>
      </c>
      <c r="B2681" s="13" t="n">
        <v>2676</v>
      </c>
      <c r="C2681" s="13" t="s">
        <v>8858</v>
      </c>
      <c r="D2681" s="13" t="n">
        <v>6</v>
      </c>
      <c r="E2681" s="36" t="s">
        <v>7310</v>
      </c>
      <c r="F2681" s="13" t="s">
        <v>1298</v>
      </c>
      <c r="G2681" s="13" t="s">
        <v>563</v>
      </c>
      <c r="H2681" s="13" t="s">
        <v>4610</v>
      </c>
      <c r="I2681" s="13" t="s">
        <v>104</v>
      </c>
      <c r="J2681" s="13" t="s">
        <v>7328</v>
      </c>
      <c r="K2681" s="30" t="n">
        <v>1</v>
      </c>
      <c r="L2681" s="31" t="n">
        <v>46524</v>
      </c>
      <c r="M2681" s="31" t="n">
        <v>46524</v>
      </c>
      <c r="N2681" s="13"/>
      <c r="O2681" s="13"/>
      <c r="P2681" s="13"/>
      <c r="Q2681" s="13"/>
    </row>
    <row r="2682" customFormat="false" ht="15" hidden="false" customHeight="false" outlineLevel="0" collapsed="false">
      <c r="A2682" s="16" t="s">
        <v>8859</v>
      </c>
      <c r="B2682" s="16" t="n">
        <v>2677</v>
      </c>
      <c r="C2682" s="16" t="s">
        <v>8860</v>
      </c>
      <c r="D2682" s="16" t="n">
        <v>7</v>
      </c>
      <c r="E2682" s="37" t="s">
        <v>8861</v>
      </c>
      <c r="F2682" s="16" t="s">
        <v>1285</v>
      </c>
      <c r="G2682" s="16" t="s">
        <v>563</v>
      </c>
      <c r="H2682" s="16" t="s">
        <v>4610</v>
      </c>
      <c r="I2682" s="16" t="s">
        <v>104</v>
      </c>
      <c r="J2682" s="16" t="s">
        <v>7310</v>
      </c>
      <c r="K2682" s="32" t="n">
        <v>1</v>
      </c>
      <c r="L2682" s="33" t="n">
        <v>46524</v>
      </c>
      <c r="M2682" s="33" t="n">
        <v>46524</v>
      </c>
      <c r="N2682" s="16" t="s">
        <v>8862</v>
      </c>
      <c r="O2682" s="16"/>
      <c r="P2682" s="16" t="str">
        <f aca="false">IF(AND(L2682&lt;=$D$2,M2682&gt;=$C$2),"Sí","")</f>
        <v/>
      </c>
      <c r="Q2682" s="18" t="str">
        <f aca="false">IF(COUNTIF(LOOKAHEAD!$A$5:$A$604,A2682)&gt;0,"En Lookahead",IF(P2682="Sí","INCORPORAR",""))</f>
        <v/>
      </c>
    </row>
    <row r="2683" customFormat="false" ht="15" hidden="false" customHeight="false" outlineLevel="0" collapsed="false">
      <c r="A2683" s="13" t="s">
        <v>8863</v>
      </c>
      <c r="B2683" s="13" t="n">
        <v>2678</v>
      </c>
      <c r="C2683" s="13" t="s">
        <v>8864</v>
      </c>
      <c r="D2683" s="13" t="n">
        <v>6</v>
      </c>
      <c r="E2683" s="36" t="s">
        <v>8865</v>
      </c>
      <c r="F2683" s="13" t="s">
        <v>1298</v>
      </c>
      <c r="G2683" s="13" t="s">
        <v>563</v>
      </c>
      <c r="H2683" s="13" t="s">
        <v>4610</v>
      </c>
      <c r="I2683" s="13" t="s">
        <v>104</v>
      </c>
      <c r="J2683" s="13" t="s">
        <v>7328</v>
      </c>
      <c r="K2683" s="30" t="n">
        <v>2</v>
      </c>
      <c r="L2683" s="31" t="n">
        <v>46525</v>
      </c>
      <c r="M2683" s="31" t="n">
        <v>46526</v>
      </c>
      <c r="N2683" s="13"/>
      <c r="O2683" s="13"/>
      <c r="P2683" s="13"/>
      <c r="Q2683" s="13"/>
    </row>
    <row r="2684" customFormat="false" ht="15" hidden="false" customHeight="false" outlineLevel="0" collapsed="false">
      <c r="A2684" s="16" t="s">
        <v>8866</v>
      </c>
      <c r="B2684" s="16" t="n">
        <v>2679</v>
      </c>
      <c r="C2684" s="16" t="s">
        <v>8867</v>
      </c>
      <c r="D2684" s="16" t="n">
        <v>7</v>
      </c>
      <c r="E2684" s="37" t="s">
        <v>8282</v>
      </c>
      <c r="F2684" s="16" t="s">
        <v>1285</v>
      </c>
      <c r="G2684" s="16" t="s">
        <v>563</v>
      </c>
      <c r="H2684" s="16" t="s">
        <v>4610</v>
      </c>
      <c r="I2684" s="16" t="s">
        <v>104</v>
      </c>
      <c r="J2684" s="16" t="s">
        <v>8865</v>
      </c>
      <c r="K2684" s="32" t="n">
        <v>2</v>
      </c>
      <c r="L2684" s="33" t="n">
        <v>46525</v>
      </c>
      <c r="M2684" s="33" t="n">
        <v>46526</v>
      </c>
      <c r="N2684" s="16" t="s">
        <v>8868</v>
      </c>
      <c r="O2684" s="16"/>
      <c r="P2684" s="16" t="str">
        <f aca="false">IF(AND(L2684&lt;=$D$2,M2684&gt;=$C$2),"Sí","")</f>
        <v/>
      </c>
      <c r="Q2684" s="18" t="str">
        <f aca="false">IF(COUNTIF(LOOKAHEAD!$A$5:$A$604,A2684)&gt;0,"En Lookahead",IF(P2684="Sí","INCORPORAR",""))</f>
        <v/>
      </c>
    </row>
    <row r="2685" customFormat="false" ht="15" hidden="false" customHeight="false" outlineLevel="0" collapsed="false">
      <c r="A2685" s="13" t="s">
        <v>8869</v>
      </c>
      <c r="B2685" s="13" t="n">
        <v>2680</v>
      </c>
      <c r="C2685" s="13" t="s">
        <v>8870</v>
      </c>
      <c r="D2685" s="13" t="n">
        <v>6</v>
      </c>
      <c r="E2685" s="36" t="s">
        <v>7362</v>
      </c>
      <c r="F2685" s="13" t="s">
        <v>1298</v>
      </c>
      <c r="G2685" s="13" t="s">
        <v>563</v>
      </c>
      <c r="H2685" s="13" t="s">
        <v>4610</v>
      </c>
      <c r="I2685" s="13" t="s">
        <v>104</v>
      </c>
      <c r="J2685" s="13" t="s">
        <v>7328</v>
      </c>
      <c r="K2685" s="30" t="n">
        <v>3</v>
      </c>
      <c r="L2685" s="31" t="n">
        <v>46527</v>
      </c>
      <c r="M2685" s="31" t="n">
        <v>46529</v>
      </c>
      <c r="N2685" s="13"/>
      <c r="O2685" s="13"/>
      <c r="P2685" s="13"/>
      <c r="Q2685" s="13"/>
    </row>
    <row r="2686" customFormat="false" ht="15" hidden="false" customHeight="false" outlineLevel="0" collapsed="false">
      <c r="A2686" s="16" t="s">
        <v>8871</v>
      </c>
      <c r="B2686" s="16" t="n">
        <v>2681</v>
      </c>
      <c r="C2686" s="16" t="s">
        <v>8872</v>
      </c>
      <c r="D2686" s="16" t="n">
        <v>7</v>
      </c>
      <c r="E2686" s="37" t="s">
        <v>7687</v>
      </c>
      <c r="F2686" s="16" t="s">
        <v>1285</v>
      </c>
      <c r="G2686" s="16" t="s">
        <v>563</v>
      </c>
      <c r="H2686" s="16" t="s">
        <v>4610</v>
      </c>
      <c r="I2686" s="16" t="s">
        <v>104</v>
      </c>
      <c r="J2686" s="16" t="s">
        <v>7362</v>
      </c>
      <c r="K2686" s="32" t="n">
        <v>3</v>
      </c>
      <c r="L2686" s="33" t="n">
        <v>46527</v>
      </c>
      <c r="M2686" s="33" t="n">
        <v>46529</v>
      </c>
      <c r="N2686" s="16" t="s">
        <v>8873</v>
      </c>
      <c r="O2686" s="16"/>
      <c r="P2686" s="16" t="str">
        <f aca="false">IF(AND(L2686&lt;=$D$2,M2686&gt;=$C$2),"Sí","")</f>
        <v/>
      </c>
      <c r="Q2686" s="18" t="str">
        <f aca="false">IF(COUNTIF(LOOKAHEAD!$A$5:$A$604,A2686)&gt;0,"En Lookahead",IF(P2686="Sí","INCORPORAR",""))</f>
        <v/>
      </c>
    </row>
    <row r="2687" customFormat="false" ht="15" hidden="false" customHeight="false" outlineLevel="0" collapsed="false">
      <c r="A2687" s="13" t="s">
        <v>8874</v>
      </c>
      <c r="B2687" s="13" t="n">
        <v>2682</v>
      </c>
      <c r="C2687" s="13" t="s">
        <v>8875</v>
      </c>
      <c r="D2687" s="13" t="n">
        <v>6</v>
      </c>
      <c r="E2687" s="36" t="s">
        <v>7691</v>
      </c>
      <c r="F2687" s="13" t="s">
        <v>1298</v>
      </c>
      <c r="G2687" s="13" t="s">
        <v>563</v>
      </c>
      <c r="H2687" s="13" t="s">
        <v>4610</v>
      </c>
      <c r="I2687" s="13" t="s">
        <v>104</v>
      </c>
      <c r="J2687" s="13" t="s">
        <v>7328</v>
      </c>
      <c r="K2687" s="30" t="n">
        <v>5</v>
      </c>
      <c r="L2687" s="31" t="n">
        <v>46530</v>
      </c>
      <c r="M2687" s="31" t="n">
        <v>46534</v>
      </c>
      <c r="N2687" s="13"/>
      <c r="O2687" s="13"/>
      <c r="P2687" s="13"/>
      <c r="Q2687" s="13"/>
    </row>
    <row r="2688" customFormat="false" ht="15" hidden="false" customHeight="false" outlineLevel="0" collapsed="false">
      <c r="A2688" s="16" t="s">
        <v>8876</v>
      </c>
      <c r="B2688" s="16" t="n">
        <v>2683</v>
      </c>
      <c r="C2688" s="16" t="s">
        <v>8877</v>
      </c>
      <c r="D2688" s="16" t="n">
        <v>7</v>
      </c>
      <c r="E2688" s="37" t="s">
        <v>7694</v>
      </c>
      <c r="F2688" s="16" t="s">
        <v>1285</v>
      </c>
      <c r="G2688" s="16" t="s">
        <v>563</v>
      </c>
      <c r="H2688" s="16" t="s">
        <v>4610</v>
      </c>
      <c r="I2688" s="16" t="s">
        <v>104</v>
      </c>
      <c r="J2688" s="16" t="s">
        <v>7691</v>
      </c>
      <c r="K2688" s="32" t="n">
        <v>5</v>
      </c>
      <c r="L2688" s="33" t="n">
        <v>46530</v>
      </c>
      <c r="M2688" s="33" t="n">
        <v>46534</v>
      </c>
      <c r="N2688" s="16" t="s">
        <v>8878</v>
      </c>
      <c r="O2688" s="16"/>
      <c r="P2688" s="16" t="str">
        <f aca="false">IF(AND(L2688&lt;=$D$2,M2688&gt;=$C$2),"Sí","")</f>
        <v/>
      </c>
      <c r="Q2688" s="18" t="str">
        <f aca="false">IF(COUNTIF(LOOKAHEAD!$A$5:$A$604,A2688)&gt;0,"En Lookahead",IF(P2688="Sí","INCORPORAR",""))</f>
        <v/>
      </c>
    </row>
    <row r="2689" customFormat="false" ht="15" hidden="false" customHeight="false" outlineLevel="0" collapsed="false">
      <c r="A2689" s="13" t="s">
        <v>8879</v>
      </c>
      <c r="B2689" s="13" t="n">
        <v>2684</v>
      </c>
      <c r="C2689" s="13" t="s">
        <v>8880</v>
      </c>
      <c r="D2689" s="13" t="n">
        <v>5</v>
      </c>
      <c r="E2689" s="34" t="s">
        <v>7368</v>
      </c>
      <c r="F2689" s="13" t="s">
        <v>1298</v>
      </c>
      <c r="G2689" s="13" t="s">
        <v>563</v>
      </c>
      <c r="H2689" s="13" t="s">
        <v>4610</v>
      </c>
      <c r="I2689" s="13" t="s">
        <v>104</v>
      </c>
      <c r="J2689" s="13" t="s">
        <v>4610</v>
      </c>
      <c r="K2689" s="30" t="n">
        <v>3</v>
      </c>
      <c r="L2689" s="31" t="n">
        <v>46535</v>
      </c>
      <c r="M2689" s="31" t="n">
        <v>46537</v>
      </c>
      <c r="N2689" s="13"/>
      <c r="O2689" s="13"/>
      <c r="P2689" s="13"/>
      <c r="Q2689" s="13"/>
    </row>
    <row r="2690" customFormat="false" ht="15" hidden="false" customHeight="false" outlineLevel="0" collapsed="false">
      <c r="A2690" s="16" t="s">
        <v>8881</v>
      </c>
      <c r="B2690" s="16" t="n">
        <v>2685</v>
      </c>
      <c r="C2690" s="16" t="s">
        <v>8882</v>
      </c>
      <c r="D2690" s="16" t="n">
        <v>6</v>
      </c>
      <c r="E2690" s="35" t="s">
        <v>7394</v>
      </c>
      <c r="F2690" s="16" t="s">
        <v>1285</v>
      </c>
      <c r="G2690" s="16" t="s">
        <v>563</v>
      </c>
      <c r="H2690" s="16" t="s">
        <v>4610</v>
      </c>
      <c r="I2690" s="16" t="s">
        <v>104</v>
      </c>
      <c r="J2690" s="16" t="s">
        <v>7368</v>
      </c>
      <c r="K2690" s="32" t="n">
        <v>3</v>
      </c>
      <c r="L2690" s="33" t="n">
        <v>46535</v>
      </c>
      <c r="M2690" s="33" t="n">
        <v>46537</v>
      </c>
      <c r="N2690" s="16" t="s">
        <v>8883</v>
      </c>
      <c r="O2690" s="16"/>
      <c r="P2690" s="16" t="str">
        <f aca="false">IF(AND(L2690&lt;=$D$2,M2690&gt;=$C$2),"Sí","")</f>
        <v/>
      </c>
      <c r="Q2690" s="18" t="str">
        <f aca="false">IF(COUNTIF(LOOKAHEAD!$A$5:$A$604,A2690)&gt;0,"En Lookahead",IF(P2690="Sí","INCORPORAR",""))</f>
        <v/>
      </c>
    </row>
    <row r="2691" customFormat="false" ht="15" hidden="false" customHeight="false" outlineLevel="0" collapsed="false">
      <c r="A2691" s="13" t="s">
        <v>8884</v>
      </c>
      <c r="B2691" s="13" t="n">
        <v>2686</v>
      </c>
      <c r="C2691" s="13" t="s">
        <v>8885</v>
      </c>
      <c r="D2691" s="13" t="n">
        <v>5</v>
      </c>
      <c r="E2691" s="34" t="s">
        <v>7416</v>
      </c>
      <c r="F2691" s="13" t="s">
        <v>1298</v>
      </c>
      <c r="G2691" s="13" t="s">
        <v>563</v>
      </c>
      <c r="H2691" s="13" t="s">
        <v>4610</v>
      </c>
      <c r="I2691" s="13" t="s">
        <v>104</v>
      </c>
      <c r="J2691" s="13" t="s">
        <v>4610</v>
      </c>
      <c r="K2691" s="30" t="n">
        <v>79</v>
      </c>
      <c r="L2691" s="31" t="n">
        <v>46452</v>
      </c>
      <c r="M2691" s="31" t="n">
        <v>46530</v>
      </c>
      <c r="N2691" s="13"/>
      <c r="O2691" s="13"/>
      <c r="P2691" s="13"/>
      <c r="Q2691" s="13"/>
    </row>
    <row r="2692" customFormat="false" ht="15" hidden="false" customHeight="false" outlineLevel="0" collapsed="false">
      <c r="A2692" s="16" t="s">
        <v>8886</v>
      </c>
      <c r="B2692" s="16" t="n">
        <v>2687</v>
      </c>
      <c r="C2692" s="16" t="s">
        <v>8887</v>
      </c>
      <c r="D2692" s="16" t="n">
        <v>6</v>
      </c>
      <c r="E2692" s="35" t="s">
        <v>7419</v>
      </c>
      <c r="F2692" s="16" t="s">
        <v>1285</v>
      </c>
      <c r="G2692" s="16" t="s">
        <v>563</v>
      </c>
      <c r="H2692" s="16" t="s">
        <v>4610</v>
      </c>
      <c r="I2692" s="16" t="s">
        <v>104</v>
      </c>
      <c r="J2692" s="16" t="s">
        <v>7416</v>
      </c>
      <c r="K2692" s="32" t="n">
        <v>35</v>
      </c>
      <c r="L2692" s="33" t="n">
        <v>46452</v>
      </c>
      <c r="M2692" s="33" t="n">
        <v>46486</v>
      </c>
      <c r="N2692" s="16" t="s">
        <v>8789</v>
      </c>
      <c r="O2692" s="16"/>
      <c r="P2692" s="16" t="str">
        <f aca="false">IF(AND(L2692&lt;=$D$2,M2692&gt;=$C$2),"Sí","")</f>
        <v/>
      </c>
      <c r="Q2692" s="18" t="str">
        <f aca="false">IF(COUNTIF(LOOKAHEAD!$A$5:$A$604,A2692)&gt;0,"En Lookahead",IF(P2692="Sí","INCORPORAR",""))</f>
        <v/>
      </c>
    </row>
    <row r="2693" customFormat="false" ht="15" hidden="false" customHeight="false" outlineLevel="0" collapsed="false">
      <c r="A2693" s="16" t="s">
        <v>8888</v>
      </c>
      <c r="B2693" s="16" t="n">
        <v>2688</v>
      </c>
      <c r="C2693" s="16" t="s">
        <v>8889</v>
      </c>
      <c r="D2693" s="16" t="n">
        <v>6</v>
      </c>
      <c r="E2693" s="35" t="s">
        <v>7422</v>
      </c>
      <c r="F2693" s="16" t="s">
        <v>1285</v>
      </c>
      <c r="G2693" s="16" t="s">
        <v>563</v>
      </c>
      <c r="H2693" s="16" t="s">
        <v>4610</v>
      </c>
      <c r="I2693" s="16" t="s">
        <v>104</v>
      </c>
      <c r="J2693" s="16" t="s">
        <v>7416</v>
      </c>
      <c r="K2693" s="32" t="n">
        <v>18</v>
      </c>
      <c r="L2693" s="33" t="n">
        <v>46487</v>
      </c>
      <c r="M2693" s="33" t="n">
        <v>46504</v>
      </c>
      <c r="N2693" s="16" t="s">
        <v>8890</v>
      </c>
      <c r="O2693" s="16"/>
      <c r="P2693" s="16" t="str">
        <f aca="false">IF(AND(L2693&lt;=$D$2,M2693&gt;=$C$2),"Sí","")</f>
        <v/>
      </c>
      <c r="Q2693" s="18" t="str">
        <f aca="false">IF(COUNTIF(LOOKAHEAD!$A$5:$A$604,A2693)&gt;0,"En Lookahead",IF(P2693="Sí","INCORPORAR",""))</f>
        <v/>
      </c>
    </row>
    <row r="2694" customFormat="false" ht="15" hidden="false" customHeight="false" outlineLevel="0" collapsed="false">
      <c r="A2694" s="16" t="s">
        <v>8891</v>
      </c>
      <c r="B2694" s="16" t="n">
        <v>2689</v>
      </c>
      <c r="C2694" s="16" t="s">
        <v>8892</v>
      </c>
      <c r="D2694" s="16" t="n">
        <v>6</v>
      </c>
      <c r="E2694" s="35" t="s">
        <v>7426</v>
      </c>
      <c r="F2694" s="16" t="s">
        <v>1285</v>
      </c>
      <c r="G2694" s="16" t="s">
        <v>563</v>
      </c>
      <c r="H2694" s="16" t="s">
        <v>4610</v>
      </c>
      <c r="I2694" s="16" t="s">
        <v>104</v>
      </c>
      <c r="J2694" s="16" t="s">
        <v>7416</v>
      </c>
      <c r="K2694" s="32" t="n">
        <v>26</v>
      </c>
      <c r="L2694" s="33" t="n">
        <v>46490</v>
      </c>
      <c r="M2694" s="33" t="n">
        <v>46515</v>
      </c>
      <c r="N2694" s="16" t="s">
        <v>8803</v>
      </c>
      <c r="O2694" s="16"/>
      <c r="P2694" s="16" t="str">
        <f aca="false">IF(AND(L2694&lt;=$D$2,M2694&gt;=$C$2),"Sí","")</f>
        <v/>
      </c>
      <c r="Q2694" s="18" t="str">
        <f aca="false">IF(COUNTIF(LOOKAHEAD!$A$5:$A$604,A2694)&gt;0,"En Lookahead",IF(P2694="Sí","INCORPORAR",""))</f>
        <v/>
      </c>
    </row>
    <row r="2695" customFormat="false" ht="15" hidden="false" customHeight="false" outlineLevel="0" collapsed="false">
      <c r="A2695" s="16" t="s">
        <v>8893</v>
      </c>
      <c r="B2695" s="16" t="n">
        <v>2690</v>
      </c>
      <c r="C2695" s="16" t="s">
        <v>8894</v>
      </c>
      <c r="D2695" s="16" t="n">
        <v>6</v>
      </c>
      <c r="E2695" s="35" t="s">
        <v>7429</v>
      </c>
      <c r="F2695" s="16" t="s">
        <v>1285</v>
      </c>
      <c r="G2695" s="16" t="s">
        <v>563</v>
      </c>
      <c r="H2695" s="16" t="s">
        <v>4610</v>
      </c>
      <c r="I2695" s="16" t="s">
        <v>104</v>
      </c>
      <c r="J2695" s="16" t="s">
        <v>7416</v>
      </c>
      <c r="K2695" s="32" t="n">
        <v>1</v>
      </c>
      <c r="L2695" s="33" t="n">
        <v>46523</v>
      </c>
      <c r="M2695" s="33" t="n">
        <v>46523</v>
      </c>
      <c r="N2695" s="16" t="s">
        <v>8856</v>
      </c>
      <c r="O2695" s="16"/>
      <c r="P2695" s="16" t="str">
        <f aca="false">IF(AND(L2695&lt;=$D$2,M2695&gt;=$C$2),"Sí","")</f>
        <v/>
      </c>
      <c r="Q2695" s="18" t="str">
        <f aca="false">IF(COUNTIF(LOOKAHEAD!$A$5:$A$604,A2695)&gt;0,"En Lookahead",IF(P2695="Sí","INCORPORAR",""))</f>
        <v/>
      </c>
    </row>
    <row r="2696" customFormat="false" ht="15" hidden="false" customHeight="false" outlineLevel="0" collapsed="false">
      <c r="A2696" s="16" t="s">
        <v>8895</v>
      </c>
      <c r="B2696" s="16" t="n">
        <v>2691</v>
      </c>
      <c r="C2696" s="16" t="s">
        <v>8896</v>
      </c>
      <c r="D2696" s="16" t="n">
        <v>6</v>
      </c>
      <c r="E2696" s="35" t="s">
        <v>7432</v>
      </c>
      <c r="F2696" s="16" t="s">
        <v>1285</v>
      </c>
      <c r="G2696" s="16" t="s">
        <v>563</v>
      </c>
      <c r="H2696" s="16" t="s">
        <v>4610</v>
      </c>
      <c r="I2696" s="16" t="s">
        <v>104</v>
      </c>
      <c r="J2696" s="16" t="s">
        <v>7416</v>
      </c>
      <c r="K2696" s="32" t="n">
        <v>2</v>
      </c>
      <c r="L2696" s="33" t="n">
        <v>46524</v>
      </c>
      <c r="M2696" s="33" t="n">
        <v>46525</v>
      </c>
      <c r="N2696" s="16" t="s">
        <v>8897</v>
      </c>
      <c r="O2696" s="16"/>
      <c r="P2696" s="16" t="str">
        <f aca="false">IF(AND(L2696&lt;=$D$2,M2696&gt;=$C$2),"Sí","")</f>
        <v/>
      </c>
      <c r="Q2696" s="18" t="str">
        <f aca="false">IF(COUNTIF(LOOKAHEAD!$A$5:$A$604,A2696)&gt;0,"En Lookahead",IF(P2696="Sí","INCORPORAR",""))</f>
        <v/>
      </c>
    </row>
    <row r="2697" customFormat="false" ht="15" hidden="false" customHeight="false" outlineLevel="0" collapsed="false">
      <c r="A2697" s="16" t="s">
        <v>8898</v>
      </c>
      <c r="B2697" s="16" t="n">
        <v>2692</v>
      </c>
      <c r="C2697" s="16" t="s">
        <v>8899</v>
      </c>
      <c r="D2697" s="16" t="n">
        <v>6</v>
      </c>
      <c r="E2697" s="35" t="s">
        <v>8900</v>
      </c>
      <c r="F2697" s="16" t="s">
        <v>1285</v>
      </c>
      <c r="G2697" s="16" t="s">
        <v>563</v>
      </c>
      <c r="H2697" s="16" t="s">
        <v>4610</v>
      </c>
      <c r="I2697" s="16" t="s">
        <v>104</v>
      </c>
      <c r="J2697" s="16" t="s">
        <v>7416</v>
      </c>
      <c r="K2697" s="32" t="n">
        <v>5</v>
      </c>
      <c r="L2697" s="33" t="n">
        <v>46526</v>
      </c>
      <c r="M2697" s="33" t="n">
        <v>46530</v>
      </c>
      <c r="N2697" s="16" t="s">
        <v>8901</v>
      </c>
      <c r="O2697" s="16"/>
      <c r="P2697" s="16" t="str">
        <f aca="false">IF(AND(L2697&lt;=$D$2,M2697&gt;=$C$2),"Sí","")</f>
        <v/>
      </c>
      <c r="Q2697" s="18" t="str">
        <f aca="false">IF(COUNTIF(LOOKAHEAD!$A$5:$A$604,A2697)&gt;0,"En Lookahead",IF(P2697="Sí","INCORPORAR",""))</f>
        <v/>
      </c>
    </row>
    <row r="2698" customFormat="false" ht="15" hidden="false" customHeight="false" outlineLevel="0" collapsed="false">
      <c r="A2698" s="13" t="s">
        <v>8902</v>
      </c>
      <c r="B2698" s="13" t="n">
        <v>2693</v>
      </c>
      <c r="C2698" s="13" t="s">
        <v>8903</v>
      </c>
      <c r="D2698" s="13" t="n">
        <v>5</v>
      </c>
      <c r="E2698" s="34" t="s">
        <v>7440</v>
      </c>
      <c r="F2698" s="13" t="s">
        <v>1298</v>
      </c>
      <c r="G2698" s="13" t="s">
        <v>563</v>
      </c>
      <c r="H2698" s="13" t="s">
        <v>4610</v>
      </c>
      <c r="I2698" s="13" t="s">
        <v>104</v>
      </c>
      <c r="J2698" s="13" t="s">
        <v>4610</v>
      </c>
      <c r="K2698" s="30" t="n">
        <v>11</v>
      </c>
      <c r="L2698" s="31" t="n">
        <v>46531</v>
      </c>
      <c r="M2698" s="31" t="n">
        <v>46541</v>
      </c>
      <c r="N2698" s="13"/>
      <c r="O2698" s="13"/>
      <c r="P2698" s="13"/>
      <c r="Q2698" s="13"/>
    </row>
    <row r="2699" customFormat="false" ht="15" hidden="false" customHeight="false" outlineLevel="0" collapsed="false">
      <c r="A2699" s="16" t="s">
        <v>8904</v>
      </c>
      <c r="B2699" s="16" t="n">
        <v>2694</v>
      </c>
      <c r="C2699" s="16" t="s">
        <v>8905</v>
      </c>
      <c r="D2699" s="16" t="n">
        <v>6</v>
      </c>
      <c r="E2699" s="35" t="s">
        <v>7991</v>
      </c>
      <c r="F2699" s="16" t="s">
        <v>1285</v>
      </c>
      <c r="G2699" s="16" t="s">
        <v>563</v>
      </c>
      <c r="H2699" s="16" t="s">
        <v>4610</v>
      </c>
      <c r="I2699" s="16" t="s">
        <v>104</v>
      </c>
      <c r="J2699" s="16" t="s">
        <v>7440</v>
      </c>
      <c r="K2699" s="32" t="n">
        <v>1</v>
      </c>
      <c r="L2699" s="33" t="n">
        <v>46531</v>
      </c>
      <c r="M2699" s="33" t="n">
        <v>46531</v>
      </c>
      <c r="N2699" s="16" t="s">
        <v>8906</v>
      </c>
      <c r="O2699" s="16"/>
      <c r="P2699" s="16" t="str">
        <f aca="false">IF(AND(L2699&lt;=$D$2,M2699&gt;=$C$2),"Sí","")</f>
        <v/>
      </c>
      <c r="Q2699" s="18" t="str">
        <f aca="false">IF(COUNTIF(LOOKAHEAD!$A$5:$A$604,A2699)&gt;0,"En Lookahead",IF(P2699="Sí","INCORPORAR",""))</f>
        <v/>
      </c>
    </row>
    <row r="2700" customFormat="false" ht="15" hidden="false" customHeight="false" outlineLevel="0" collapsed="false">
      <c r="A2700" s="16" t="s">
        <v>8907</v>
      </c>
      <c r="B2700" s="16" t="n">
        <v>2695</v>
      </c>
      <c r="C2700" s="16" t="s">
        <v>8908</v>
      </c>
      <c r="D2700" s="16" t="n">
        <v>6</v>
      </c>
      <c r="E2700" s="35" t="s">
        <v>7774</v>
      </c>
      <c r="F2700" s="16" t="s">
        <v>1285</v>
      </c>
      <c r="G2700" s="16" t="s">
        <v>563</v>
      </c>
      <c r="H2700" s="16" t="s">
        <v>4610</v>
      </c>
      <c r="I2700" s="16" t="s">
        <v>104</v>
      </c>
      <c r="J2700" s="16" t="s">
        <v>7440</v>
      </c>
      <c r="K2700" s="32" t="n">
        <v>1</v>
      </c>
      <c r="L2700" s="33" t="n">
        <v>46532</v>
      </c>
      <c r="M2700" s="33" t="n">
        <v>46532</v>
      </c>
      <c r="N2700" s="16" t="s">
        <v>8909</v>
      </c>
      <c r="O2700" s="16"/>
      <c r="P2700" s="16" t="str">
        <f aca="false">IF(AND(L2700&lt;=$D$2,M2700&gt;=$C$2),"Sí","")</f>
        <v/>
      </c>
      <c r="Q2700" s="18" t="str">
        <f aca="false">IF(COUNTIF(LOOKAHEAD!$A$5:$A$604,A2700)&gt;0,"En Lookahead",IF(P2700="Sí","INCORPORAR",""))</f>
        <v/>
      </c>
    </row>
    <row r="2701" customFormat="false" ht="15" hidden="false" customHeight="false" outlineLevel="0" collapsed="false">
      <c r="A2701" s="16" t="s">
        <v>8910</v>
      </c>
      <c r="B2701" s="16" t="n">
        <v>2696</v>
      </c>
      <c r="C2701" s="16" t="s">
        <v>8911</v>
      </c>
      <c r="D2701" s="16" t="n">
        <v>6</v>
      </c>
      <c r="E2701" s="35" t="s">
        <v>7451</v>
      </c>
      <c r="F2701" s="16" t="s">
        <v>1285</v>
      </c>
      <c r="G2701" s="16" t="s">
        <v>563</v>
      </c>
      <c r="H2701" s="16" t="s">
        <v>4610</v>
      </c>
      <c r="I2701" s="16" t="s">
        <v>104</v>
      </c>
      <c r="J2701" s="16" t="s">
        <v>7440</v>
      </c>
      <c r="K2701" s="32" t="n">
        <v>9</v>
      </c>
      <c r="L2701" s="33" t="n">
        <v>46533</v>
      </c>
      <c r="M2701" s="33" t="n">
        <v>46541</v>
      </c>
      <c r="N2701" s="16" t="s">
        <v>8912</v>
      </c>
      <c r="O2701" s="16"/>
      <c r="P2701" s="16" t="str">
        <f aca="false">IF(AND(L2701&lt;=$D$2,M2701&gt;=$C$2),"Sí","")</f>
        <v/>
      </c>
      <c r="Q2701" s="18" t="str">
        <f aca="false">IF(COUNTIF(LOOKAHEAD!$A$5:$A$604,A2701)&gt;0,"En Lookahead",IF(P2701="Sí","INCORPORAR",""))</f>
        <v/>
      </c>
    </row>
    <row r="2702" customFormat="false" ht="15" hidden="false" customHeight="false" outlineLevel="0" collapsed="false">
      <c r="A2702" s="13" t="s">
        <v>8913</v>
      </c>
      <c r="B2702" s="13" t="n">
        <v>2697</v>
      </c>
      <c r="C2702" s="13" t="s">
        <v>8914</v>
      </c>
      <c r="D2702" s="13" t="n">
        <v>5</v>
      </c>
      <c r="E2702" s="34" t="s">
        <v>7455</v>
      </c>
      <c r="F2702" s="13" t="s">
        <v>1298</v>
      </c>
      <c r="G2702" s="13" t="s">
        <v>563</v>
      </c>
      <c r="H2702" s="13" t="s">
        <v>4610</v>
      </c>
      <c r="I2702" s="13" t="s">
        <v>104</v>
      </c>
      <c r="J2702" s="13" t="s">
        <v>4610</v>
      </c>
      <c r="K2702" s="30" t="n">
        <v>3</v>
      </c>
      <c r="L2702" s="31" t="n">
        <v>46542</v>
      </c>
      <c r="M2702" s="31" t="n">
        <v>46544</v>
      </c>
      <c r="N2702" s="13"/>
      <c r="O2702" s="13"/>
      <c r="P2702" s="13"/>
      <c r="Q2702" s="13"/>
    </row>
    <row r="2703" customFormat="false" ht="15" hidden="false" customHeight="false" outlineLevel="0" collapsed="false">
      <c r="A2703" s="13" t="s">
        <v>8915</v>
      </c>
      <c r="B2703" s="13" t="n">
        <v>2698</v>
      </c>
      <c r="C2703" s="13" t="s">
        <v>8916</v>
      </c>
      <c r="D2703" s="13" t="n">
        <v>6</v>
      </c>
      <c r="E2703" s="36" t="s">
        <v>7458</v>
      </c>
      <c r="F2703" s="13" t="s">
        <v>1298</v>
      </c>
      <c r="G2703" s="13" t="s">
        <v>563</v>
      </c>
      <c r="H2703" s="13" t="s">
        <v>4610</v>
      </c>
      <c r="I2703" s="13" t="s">
        <v>104</v>
      </c>
      <c r="J2703" s="13" t="s">
        <v>7455</v>
      </c>
      <c r="K2703" s="30" t="n">
        <v>2</v>
      </c>
      <c r="L2703" s="31" t="n">
        <v>46542</v>
      </c>
      <c r="M2703" s="31" t="n">
        <v>46543</v>
      </c>
      <c r="N2703" s="13"/>
      <c r="O2703" s="13"/>
      <c r="P2703" s="13"/>
      <c r="Q2703" s="13"/>
    </row>
    <row r="2704" customFormat="false" ht="15" hidden="false" customHeight="false" outlineLevel="0" collapsed="false">
      <c r="A2704" s="16" t="s">
        <v>8917</v>
      </c>
      <c r="B2704" s="16" t="n">
        <v>2699</v>
      </c>
      <c r="C2704" s="16" t="s">
        <v>8918</v>
      </c>
      <c r="D2704" s="16" t="n">
        <v>7</v>
      </c>
      <c r="E2704" s="37" t="s">
        <v>7461</v>
      </c>
      <c r="F2704" s="16" t="s">
        <v>1285</v>
      </c>
      <c r="G2704" s="16" t="s">
        <v>563</v>
      </c>
      <c r="H2704" s="16" t="s">
        <v>4610</v>
      </c>
      <c r="I2704" s="16" t="s">
        <v>104</v>
      </c>
      <c r="J2704" s="16" t="s">
        <v>7458</v>
      </c>
      <c r="K2704" s="32" t="n">
        <v>1</v>
      </c>
      <c r="L2704" s="33" t="n">
        <v>46542</v>
      </c>
      <c r="M2704" s="33" t="n">
        <v>46542</v>
      </c>
      <c r="N2704" s="16" t="s">
        <v>8919</v>
      </c>
      <c r="O2704" s="16"/>
      <c r="P2704" s="16" t="str">
        <f aca="false">IF(AND(L2704&lt;=$D$2,M2704&gt;=$C$2),"Sí","")</f>
        <v/>
      </c>
      <c r="Q2704" s="18" t="str">
        <f aca="false">IF(COUNTIF(LOOKAHEAD!$A$5:$A$604,A2704)&gt;0,"En Lookahead",IF(P2704="Sí","INCORPORAR",""))</f>
        <v/>
      </c>
    </row>
    <row r="2705" customFormat="false" ht="15" hidden="false" customHeight="false" outlineLevel="0" collapsed="false">
      <c r="A2705" s="16" t="s">
        <v>8920</v>
      </c>
      <c r="B2705" s="16" t="n">
        <v>2700</v>
      </c>
      <c r="C2705" s="16" t="s">
        <v>8921</v>
      </c>
      <c r="D2705" s="16" t="n">
        <v>7</v>
      </c>
      <c r="E2705" s="37" t="s">
        <v>7465</v>
      </c>
      <c r="F2705" s="16" t="s">
        <v>1285</v>
      </c>
      <c r="G2705" s="16" t="s">
        <v>563</v>
      </c>
      <c r="H2705" s="16" t="s">
        <v>4610</v>
      </c>
      <c r="I2705" s="16" t="s">
        <v>104</v>
      </c>
      <c r="J2705" s="16" t="s">
        <v>7458</v>
      </c>
      <c r="K2705" s="32" t="n">
        <v>1</v>
      </c>
      <c r="L2705" s="33" t="n">
        <v>46543</v>
      </c>
      <c r="M2705" s="33" t="n">
        <v>46543</v>
      </c>
      <c r="N2705" s="16" t="s">
        <v>8922</v>
      </c>
      <c r="O2705" s="16"/>
      <c r="P2705" s="16" t="str">
        <f aca="false">IF(AND(L2705&lt;=$D$2,M2705&gt;=$C$2),"Sí","")</f>
        <v/>
      </c>
      <c r="Q2705" s="18" t="str">
        <f aca="false">IF(COUNTIF(LOOKAHEAD!$A$5:$A$604,A2705)&gt;0,"En Lookahead",IF(P2705="Sí","INCORPORAR",""))</f>
        <v/>
      </c>
    </row>
    <row r="2706" customFormat="false" ht="15" hidden="false" customHeight="false" outlineLevel="0" collapsed="false">
      <c r="A2706" s="13" t="s">
        <v>8923</v>
      </c>
      <c r="B2706" s="13" t="n">
        <v>2701</v>
      </c>
      <c r="C2706" s="13" t="s">
        <v>8924</v>
      </c>
      <c r="D2706" s="13" t="n">
        <v>6</v>
      </c>
      <c r="E2706" s="36" t="s">
        <v>7798</v>
      </c>
      <c r="F2706" s="13" t="s">
        <v>1298</v>
      </c>
      <c r="G2706" s="13" t="s">
        <v>563</v>
      </c>
      <c r="H2706" s="13" t="s">
        <v>4610</v>
      </c>
      <c r="I2706" s="13" t="s">
        <v>104</v>
      </c>
      <c r="J2706" s="13" t="s">
        <v>7455</v>
      </c>
      <c r="K2706" s="30" t="n">
        <v>1</v>
      </c>
      <c r="L2706" s="31" t="n">
        <v>46544</v>
      </c>
      <c r="M2706" s="31" t="n">
        <v>46544</v>
      </c>
      <c r="N2706" s="13"/>
      <c r="O2706" s="13"/>
      <c r="P2706" s="13"/>
      <c r="Q2706" s="13"/>
    </row>
    <row r="2707" customFormat="false" ht="15" hidden="false" customHeight="false" outlineLevel="0" collapsed="false">
      <c r="A2707" s="16" t="s">
        <v>8925</v>
      </c>
      <c r="B2707" s="16" t="n">
        <v>2702</v>
      </c>
      <c r="C2707" s="16" t="s">
        <v>8926</v>
      </c>
      <c r="D2707" s="16" t="n">
        <v>7</v>
      </c>
      <c r="E2707" s="37" t="s">
        <v>7801</v>
      </c>
      <c r="F2707" s="16" t="s">
        <v>1285</v>
      </c>
      <c r="G2707" s="16" t="s">
        <v>563</v>
      </c>
      <c r="H2707" s="16" t="s">
        <v>4610</v>
      </c>
      <c r="I2707" s="16" t="s">
        <v>104</v>
      </c>
      <c r="J2707" s="16" t="s">
        <v>7798</v>
      </c>
      <c r="K2707" s="32" t="n">
        <v>1</v>
      </c>
      <c r="L2707" s="33" t="n">
        <v>46544</v>
      </c>
      <c r="M2707" s="33" t="n">
        <v>46544</v>
      </c>
      <c r="N2707" s="16" t="s">
        <v>8927</v>
      </c>
      <c r="O2707" s="16"/>
      <c r="P2707" s="16" t="str">
        <f aca="false">IF(AND(L2707&lt;=$D$2,M2707&gt;=$C$2),"Sí","")</f>
        <v/>
      </c>
      <c r="Q2707" s="18" t="str">
        <f aca="false">IF(COUNTIF(LOOKAHEAD!$A$5:$A$604,A2707)&gt;0,"En Lookahead",IF(P2707="Sí","INCORPORAR",""))</f>
        <v/>
      </c>
    </row>
    <row r="2708" customFormat="false" ht="15" hidden="false" customHeight="false" outlineLevel="0" collapsed="false">
      <c r="A2708" s="13" t="s">
        <v>8928</v>
      </c>
      <c r="B2708" s="13" t="n">
        <v>2703</v>
      </c>
      <c r="C2708" s="13" t="s">
        <v>8929</v>
      </c>
      <c r="D2708" s="13" t="n">
        <v>4</v>
      </c>
      <c r="E2708" s="20" t="s">
        <v>5039</v>
      </c>
      <c r="F2708" s="13" t="s">
        <v>1298</v>
      </c>
      <c r="G2708" s="13" t="s">
        <v>563</v>
      </c>
      <c r="H2708" s="13" t="s">
        <v>5039</v>
      </c>
      <c r="I2708" s="13" t="s">
        <v>109</v>
      </c>
      <c r="J2708" s="13" t="s">
        <v>7172</v>
      </c>
      <c r="K2708" s="30" t="n">
        <v>165</v>
      </c>
      <c r="L2708" s="31" t="n">
        <v>46396</v>
      </c>
      <c r="M2708" s="31" t="n">
        <v>46560</v>
      </c>
      <c r="N2708" s="13"/>
      <c r="O2708" s="13"/>
      <c r="P2708" s="13"/>
      <c r="Q2708" s="13"/>
    </row>
    <row r="2709" customFormat="false" ht="15" hidden="false" customHeight="false" outlineLevel="0" collapsed="false">
      <c r="A2709" s="13" t="s">
        <v>8930</v>
      </c>
      <c r="B2709" s="13" t="n">
        <v>2704</v>
      </c>
      <c r="C2709" s="13" t="s">
        <v>8931</v>
      </c>
      <c r="D2709" s="13" t="n">
        <v>5</v>
      </c>
      <c r="E2709" s="34" t="s">
        <v>7177</v>
      </c>
      <c r="F2709" s="13" t="s">
        <v>1298</v>
      </c>
      <c r="G2709" s="13" t="s">
        <v>563</v>
      </c>
      <c r="H2709" s="13" t="s">
        <v>5039</v>
      </c>
      <c r="I2709" s="13" t="s">
        <v>109</v>
      </c>
      <c r="J2709" s="13" t="s">
        <v>5039</v>
      </c>
      <c r="K2709" s="30" t="n">
        <v>22</v>
      </c>
      <c r="L2709" s="31" t="n">
        <v>46396</v>
      </c>
      <c r="M2709" s="31" t="n">
        <v>46417</v>
      </c>
      <c r="N2709" s="13"/>
      <c r="O2709" s="13"/>
      <c r="P2709" s="13"/>
      <c r="Q2709" s="13"/>
    </row>
    <row r="2710" customFormat="false" ht="15" hidden="false" customHeight="false" outlineLevel="0" collapsed="false">
      <c r="A2710" s="16" t="s">
        <v>8932</v>
      </c>
      <c r="B2710" s="16" t="n">
        <v>2705</v>
      </c>
      <c r="C2710" s="16" t="s">
        <v>8933</v>
      </c>
      <c r="D2710" s="16" t="n">
        <v>6</v>
      </c>
      <c r="E2710" s="35" t="s">
        <v>7180</v>
      </c>
      <c r="F2710" s="16" t="s">
        <v>1285</v>
      </c>
      <c r="G2710" s="16" t="s">
        <v>563</v>
      </c>
      <c r="H2710" s="16" t="s">
        <v>5039</v>
      </c>
      <c r="I2710" s="16" t="s">
        <v>109</v>
      </c>
      <c r="J2710" s="16" t="s">
        <v>7177</v>
      </c>
      <c r="K2710" s="32" t="n">
        <v>10</v>
      </c>
      <c r="L2710" s="33" t="n">
        <v>46396</v>
      </c>
      <c r="M2710" s="33" t="n">
        <v>46405</v>
      </c>
      <c r="N2710" s="16" t="s">
        <v>5239</v>
      </c>
      <c r="O2710" s="16"/>
      <c r="P2710" s="16" t="str">
        <f aca="false">IF(AND(L2710&lt;=$D$2,M2710&gt;=$C$2),"Sí","")</f>
        <v/>
      </c>
      <c r="Q2710" s="18" t="str">
        <f aca="false">IF(COUNTIF(LOOKAHEAD!$A$5:$A$604,A2710)&gt;0,"En Lookahead",IF(P2710="Sí","INCORPORAR",""))</f>
        <v/>
      </c>
    </row>
    <row r="2711" customFormat="false" ht="15" hidden="false" customHeight="false" outlineLevel="0" collapsed="false">
      <c r="A2711" s="16" t="s">
        <v>8934</v>
      </c>
      <c r="B2711" s="16" t="n">
        <v>2706</v>
      </c>
      <c r="C2711" s="16" t="s">
        <v>8935</v>
      </c>
      <c r="D2711" s="16" t="n">
        <v>6</v>
      </c>
      <c r="E2711" s="35" t="s">
        <v>7183</v>
      </c>
      <c r="F2711" s="16" t="s">
        <v>1285</v>
      </c>
      <c r="G2711" s="16" t="s">
        <v>563</v>
      </c>
      <c r="H2711" s="16" t="s">
        <v>5039</v>
      </c>
      <c r="I2711" s="16" t="s">
        <v>109</v>
      </c>
      <c r="J2711" s="16" t="s">
        <v>7177</v>
      </c>
      <c r="K2711" s="32" t="n">
        <v>5</v>
      </c>
      <c r="L2711" s="33" t="n">
        <v>46406</v>
      </c>
      <c r="M2711" s="33" t="n">
        <v>46410</v>
      </c>
      <c r="N2711" s="16" t="s">
        <v>5269</v>
      </c>
      <c r="O2711" s="16"/>
      <c r="P2711" s="16" t="str">
        <f aca="false">IF(AND(L2711&lt;=$D$2,M2711&gt;=$C$2),"Sí","")</f>
        <v/>
      </c>
      <c r="Q2711" s="18" t="str">
        <f aca="false">IF(COUNTIF(LOOKAHEAD!$A$5:$A$604,A2711)&gt;0,"En Lookahead",IF(P2711="Sí","INCORPORAR",""))</f>
        <v/>
      </c>
    </row>
    <row r="2712" customFormat="false" ht="15" hidden="false" customHeight="false" outlineLevel="0" collapsed="false">
      <c r="A2712" s="16" t="s">
        <v>8936</v>
      </c>
      <c r="B2712" s="16" t="n">
        <v>2707</v>
      </c>
      <c r="C2712" s="16" t="s">
        <v>8937</v>
      </c>
      <c r="D2712" s="16" t="n">
        <v>6</v>
      </c>
      <c r="E2712" s="35" t="s">
        <v>7186</v>
      </c>
      <c r="F2712" s="16" t="s">
        <v>1285</v>
      </c>
      <c r="G2712" s="16" t="s">
        <v>563</v>
      </c>
      <c r="H2712" s="16" t="s">
        <v>5039</v>
      </c>
      <c r="I2712" s="16" t="s">
        <v>109</v>
      </c>
      <c r="J2712" s="16" t="s">
        <v>7177</v>
      </c>
      <c r="K2712" s="32" t="n">
        <v>6</v>
      </c>
      <c r="L2712" s="33" t="n">
        <v>46411</v>
      </c>
      <c r="M2712" s="33" t="n">
        <v>46416</v>
      </c>
      <c r="N2712" s="16" t="s">
        <v>8938</v>
      </c>
      <c r="O2712" s="16"/>
      <c r="P2712" s="16" t="str">
        <f aca="false">IF(AND(L2712&lt;=$D$2,M2712&gt;=$C$2),"Sí","")</f>
        <v/>
      </c>
      <c r="Q2712" s="18" t="str">
        <f aca="false">IF(COUNTIF(LOOKAHEAD!$A$5:$A$604,A2712)&gt;0,"En Lookahead",IF(P2712="Sí","INCORPORAR",""))</f>
        <v/>
      </c>
    </row>
    <row r="2713" customFormat="false" ht="15" hidden="false" customHeight="false" outlineLevel="0" collapsed="false">
      <c r="A2713" s="16" t="s">
        <v>8939</v>
      </c>
      <c r="B2713" s="16" t="n">
        <v>2708</v>
      </c>
      <c r="C2713" s="16" t="s">
        <v>8940</v>
      </c>
      <c r="D2713" s="16" t="n">
        <v>6</v>
      </c>
      <c r="E2713" s="35" t="s">
        <v>7190</v>
      </c>
      <c r="F2713" s="16" t="s">
        <v>1285</v>
      </c>
      <c r="G2713" s="16" t="s">
        <v>563</v>
      </c>
      <c r="H2713" s="16" t="s">
        <v>5039</v>
      </c>
      <c r="I2713" s="16" t="s">
        <v>109</v>
      </c>
      <c r="J2713" s="16" t="s">
        <v>7177</v>
      </c>
      <c r="K2713" s="32" t="n">
        <v>1</v>
      </c>
      <c r="L2713" s="33" t="n">
        <v>46417</v>
      </c>
      <c r="M2713" s="33" t="n">
        <v>46417</v>
      </c>
      <c r="N2713" s="16" t="s">
        <v>8941</v>
      </c>
      <c r="O2713" s="16"/>
      <c r="P2713" s="16" t="str">
        <f aca="false">IF(AND(L2713&lt;=$D$2,M2713&gt;=$C$2),"Sí","")</f>
        <v/>
      </c>
      <c r="Q2713" s="18" t="str">
        <f aca="false">IF(COUNTIF(LOOKAHEAD!$A$5:$A$604,A2713)&gt;0,"En Lookahead",IF(P2713="Sí","INCORPORAR",""))</f>
        <v/>
      </c>
    </row>
    <row r="2714" customFormat="false" ht="15" hidden="false" customHeight="false" outlineLevel="0" collapsed="false">
      <c r="A2714" s="13" t="s">
        <v>8942</v>
      </c>
      <c r="B2714" s="13" t="n">
        <v>2709</v>
      </c>
      <c r="C2714" s="13" t="s">
        <v>8943</v>
      </c>
      <c r="D2714" s="13" t="n">
        <v>5</v>
      </c>
      <c r="E2714" s="34" t="s">
        <v>7206</v>
      </c>
      <c r="F2714" s="13" t="s">
        <v>1298</v>
      </c>
      <c r="G2714" s="13" t="s">
        <v>563</v>
      </c>
      <c r="H2714" s="13" t="s">
        <v>5039</v>
      </c>
      <c r="I2714" s="13" t="s">
        <v>109</v>
      </c>
      <c r="J2714" s="13" t="s">
        <v>5039</v>
      </c>
      <c r="K2714" s="30" t="n">
        <v>77</v>
      </c>
      <c r="L2714" s="31" t="n">
        <v>46418</v>
      </c>
      <c r="M2714" s="31" t="n">
        <v>46494</v>
      </c>
      <c r="N2714" s="13"/>
      <c r="O2714" s="13"/>
      <c r="P2714" s="13"/>
      <c r="Q2714" s="13"/>
    </row>
    <row r="2715" customFormat="false" ht="15" hidden="false" customHeight="false" outlineLevel="0" collapsed="false">
      <c r="A2715" s="16" t="s">
        <v>8944</v>
      </c>
      <c r="B2715" s="16" t="n">
        <v>2710</v>
      </c>
      <c r="C2715" s="16" t="s">
        <v>8945</v>
      </c>
      <c r="D2715" s="16" t="n">
        <v>6</v>
      </c>
      <c r="E2715" s="35" t="s">
        <v>7209</v>
      </c>
      <c r="F2715" s="16" t="s">
        <v>1285</v>
      </c>
      <c r="G2715" s="16" t="s">
        <v>563</v>
      </c>
      <c r="H2715" s="16" t="s">
        <v>5039</v>
      </c>
      <c r="I2715" s="16" t="s">
        <v>109</v>
      </c>
      <c r="J2715" s="16" t="s">
        <v>7206</v>
      </c>
      <c r="K2715" s="32" t="n">
        <v>19</v>
      </c>
      <c r="L2715" s="33" t="n">
        <v>46418</v>
      </c>
      <c r="M2715" s="33" t="n">
        <v>46436</v>
      </c>
      <c r="N2715" s="16" t="s">
        <v>8946</v>
      </c>
      <c r="O2715" s="16"/>
      <c r="P2715" s="16" t="str">
        <f aca="false">IF(AND(L2715&lt;=$D$2,M2715&gt;=$C$2),"Sí","")</f>
        <v/>
      </c>
      <c r="Q2715" s="18" t="str">
        <f aca="false">IF(COUNTIF(LOOKAHEAD!$A$5:$A$604,A2715)&gt;0,"En Lookahead",IF(P2715="Sí","INCORPORAR",""))</f>
        <v/>
      </c>
    </row>
    <row r="2716" customFormat="false" ht="15" hidden="false" customHeight="false" outlineLevel="0" collapsed="false">
      <c r="A2716" s="16" t="s">
        <v>8947</v>
      </c>
      <c r="B2716" s="16" t="n">
        <v>2711</v>
      </c>
      <c r="C2716" s="16" t="s">
        <v>8948</v>
      </c>
      <c r="D2716" s="16" t="n">
        <v>6</v>
      </c>
      <c r="E2716" s="35" t="s">
        <v>7212</v>
      </c>
      <c r="F2716" s="16" t="s">
        <v>1285</v>
      </c>
      <c r="G2716" s="16" t="s">
        <v>563</v>
      </c>
      <c r="H2716" s="16" t="s">
        <v>5039</v>
      </c>
      <c r="I2716" s="16" t="s">
        <v>109</v>
      </c>
      <c r="J2716" s="16" t="s">
        <v>7206</v>
      </c>
      <c r="K2716" s="32" t="n">
        <v>13</v>
      </c>
      <c r="L2716" s="33" t="n">
        <v>46437</v>
      </c>
      <c r="M2716" s="33" t="n">
        <v>46449</v>
      </c>
      <c r="N2716" s="16" t="s">
        <v>8949</v>
      </c>
      <c r="O2716" s="16"/>
      <c r="P2716" s="16" t="str">
        <f aca="false">IF(AND(L2716&lt;=$D$2,M2716&gt;=$C$2),"Sí","")</f>
        <v/>
      </c>
      <c r="Q2716" s="18" t="str">
        <f aca="false">IF(COUNTIF(LOOKAHEAD!$A$5:$A$604,A2716)&gt;0,"En Lookahead",IF(P2716="Sí","INCORPORAR",""))</f>
        <v/>
      </c>
    </row>
    <row r="2717" customFormat="false" ht="15" hidden="false" customHeight="false" outlineLevel="0" collapsed="false">
      <c r="A2717" s="16" t="s">
        <v>8950</v>
      </c>
      <c r="B2717" s="16" t="n">
        <v>2712</v>
      </c>
      <c r="C2717" s="16" t="s">
        <v>8951</v>
      </c>
      <c r="D2717" s="16" t="n">
        <v>6</v>
      </c>
      <c r="E2717" s="35" t="s">
        <v>7224</v>
      </c>
      <c r="F2717" s="16" t="s">
        <v>1285</v>
      </c>
      <c r="G2717" s="16" t="s">
        <v>563</v>
      </c>
      <c r="H2717" s="16" t="s">
        <v>5039</v>
      </c>
      <c r="I2717" s="16" t="s">
        <v>109</v>
      </c>
      <c r="J2717" s="16" t="s">
        <v>7206</v>
      </c>
      <c r="K2717" s="32" t="n">
        <v>18</v>
      </c>
      <c r="L2717" s="33" t="n">
        <v>46450</v>
      </c>
      <c r="M2717" s="33" t="n">
        <v>46467</v>
      </c>
      <c r="N2717" s="16" t="s">
        <v>8952</v>
      </c>
      <c r="O2717" s="16"/>
      <c r="P2717" s="16" t="str">
        <f aca="false">IF(AND(L2717&lt;=$D$2,M2717&gt;=$C$2),"Sí","")</f>
        <v/>
      </c>
      <c r="Q2717" s="18" t="str">
        <f aca="false">IF(COUNTIF(LOOKAHEAD!$A$5:$A$604,A2717)&gt;0,"En Lookahead",IF(P2717="Sí","INCORPORAR",""))</f>
        <v/>
      </c>
    </row>
    <row r="2718" customFormat="false" ht="15" hidden="false" customHeight="false" outlineLevel="0" collapsed="false">
      <c r="A2718" s="16" t="s">
        <v>8953</v>
      </c>
      <c r="B2718" s="16" t="n">
        <v>2713</v>
      </c>
      <c r="C2718" s="16" t="s">
        <v>8954</v>
      </c>
      <c r="D2718" s="16" t="n">
        <v>6</v>
      </c>
      <c r="E2718" s="35" t="s">
        <v>7228</v>
      </c>
      <c r="F2718" s="16" t="s">
        <v>1285</v>
      </c>
      <c r="G2718" s="16" t="s">
        <v>563</v>
      </c>
      <c r="H2718" s="16" t="s">
        <v>5039</v>
      </c>
      <c r="I2718" s="16" t="s">
        <v>109</v>
      </c>
      <c r="J2718" s="16" t="s">
        <v>7206</v>
      </c>
      <c r="K2718" s="32" t="n">
        <v>27</v>
      </c>
      <c r="L2718" s="33" t="n">
        <v>46468</v>
      </c>
      <c r="M2718" s="33" t="n">
        <v>46494</v>
      </c>
      <c r="N2718" s="16" t="s">
        <v>8955</v>
      </c>
      <c r="O2718" s="16"/>
      <c r="P2718" s="16" t="str">
        <f aca="false">IF(AND(L2718&lt;=$D$2,M2718&gt;=$C$2),"Sí","")</f>
        <v/>
      </c>
      <c r="Q2718" s="18" t="str">
        <f aca="false">IF(COUNTIF(LOOKAHEAD!$A$5:$A$604,A2718)&gt;0,"En Lookahead",IF(P2718="Sí","INCORPORAR",""))</f>
        <v/>
      </c>
    </row>
    <row r="2719" customFormat="false" ht="15" hidden="false" customHeight="false" outlineLevel="0" collapsed="false">
      <c r="A2719" s="16" t="s">
        <v>8956</v>
      </c>
      <c r="B2719" s="16" t="n">
        <v>2714</v>
      </c>
      <c r="C2719" s="16" t="s">
        <v>8957</v>
      </c>
      <c r="D2719" s="16" t="n">
        <v>6</v>
      </c>
      <c r="E2719" s="35" t="s">
        <v>7232</v>
      </c>
      <c r="F2719" s="16" t="s">
        <v>1285</v>
      </c>
      <c r="G2719" s="16" t="s">
        <v>563</v>
      </c>
      <c r="H2719" s="16" t="s">
        <v>5039</v>
      </c>
      <c r="I2719" s="16" t="s">
        <v>109</v>
      </c>
      <c r="J2719" s="16" t="s">
        <v>7206</v>
      </c>
      <c r="K2719" s="32" t="n">
        <v>26</v>
      </c>
      <c r="L2719" s="33" t="n">
        <v>46450</v>
      </c>
      <c r="M2719" s="33" t="n">
        <v>46475</v>
      </c>
      <c r="N2719" s="16" t="s">
        <v>8958</v>
      </c>
      <c r="O2719" s="16"/>
      <c r="P2719" s="16" t="str">
        <f aca="false">IF(AND(L2719&lt;=$D$2,M2719&gt;=$C$2),"Sí","")</f>
        <v/>
      </c>
      <c r="Q2719" s="18" t="str">
        <f aca="false">IF(COUNTIF(LOOKAHEAD!$A$5:$A$604,A2719)&gt;0,"En Lookahead",IF(P2719="Sí","INCORPORAR",""))</f>
        <v/>
      </c>
    </row>
    <row r="2720" customFormat="false" ht="15" hidden="false" customHeight="false" outlineLevel="0" collapsed="false">
      <c r="A2720" s="13" t="s">
        <v>8959</v>
      </c>
      <c r="B2720" s="13" t="n">
        <v>2715</v>
      </c>
      <c r="C2720" s="13" t="s">
        <v>8960</v>
      </c>
      <c r="D2720" s="13" t="n">
        <v>5</v>
      </c>
      <c r="E2720" s="34" t="s">
        <v>7236</v>
      </c>
      <c r="F2720" s="13" t="s">
        <v>1298</v>
      </c>
      <c r="G2720" s="13" t="s">
        <v>563</v>
      </c>
      <c r="H2720" s="13" t="s">
        <v>5039</v>
      </c>
      <c r="I2720" s="13" t="s">
        <v>109</v>
      </c>
      <c r="J2720" s="13" t="s">
        <v>5039</v>
      </c>
      <c r="K2720" s="30" t="n">
        <v>16</v>
      </c>
      <c r="L2720" s="31" t="n">
        <v>46476</v>
      </c>
      <c r="M2720" s="31" t="n">
        <v>46491</v>
      </c>
      <c r="N2720" s="13"/>
      <c r="O2720" s="13"/>
      <c r="P2720" s="13"/>
      <c r="Q2720" s="13"/>
    </row>
    <row r="2721" customFormat="false" ht="15" hidden="false" customHeight="false" outlineLevel="0" collapsed="false">
      <c r="A2721" s="16" t="s">
        <v>8961</v>
      </c>
      <c r="B2721" s="16" t="n">
        <v>2716</v>
      </c>
      <c r="C2721" s="16" t="s">
        <v>8962</v>
      </c>
      <c r="D2721" s="16" t="n">
        <v>6</v>
      </c>
      <c r="E2721" s="35" t="s">
        <v>7239</v>
      </c>
      <c r="F2721" s="16" t="s">
        <v>1285</v>
      </c>
      <c r="G2721" s="16" t="s">
        <v>563</v>
      </c>
      <c r="H2721" s="16" t="s">
        <v>5039</v>
      </c>
      <c r="I2721" s="16" t="s">
        <v>109</v>
      </c>
      <c r="J2721" s="16" t="s">
        <v>7236</v>
      </c>
      <c r="K2721" s="32" t="n">
        <v>1</v>
      </c>
      <c r="L2721" s="33" t="n">
        <v>46476</v>
      </c>
      <c r="M2721" s="33" t="n">
        <v>46476</v>
      </c>
      <c r="N2721" s="16" t="s">
        <v>8963</v>
      </c>
      <c r="O2721" s="16"/>
      <c r="P2721" s="16" t="str">
        <f aca="false">IF(AND(L2721&lt;=$D$2,M2721&gt;=$C$2),"Sí","")</f>
        <v/>
      </c>
      <c r="Q2721" s="18" t="str">
        <f aca="false">IF(COUNTIF(LOOKAHEAD!$A$5:$A$604,A2721)&gt;0,"En Lookahead",IF(P2721="Sí","INCORPORAR",""))</f>
        <v/>
      </c>
    </row>
    <row r="2722" customFormat="false" ht="15" hidden="false" customHeight="false" outlineLevel="0" collapsed="false">
      <c r="A2722" s="16" t="s">
        <v>8964</v>
      </c>
      <c r="B2722" s="16" t="n">
        <v>2717</v>
      </c>
      <c r="C2722" s="16" t="s">
        <v>8965</v>
      </c>
      <c r="D2722" s="16" t="n">
        <v>6</v>
      </c>
      <c r="E2722" s="35" t="s">
        <v>7242</v>
      </c>
      <c r="F2722" s="16" t="s">
        <v>1285</v>
      </c>
      <c r="G2722" s="16" t="s">
        <v>563</v>
      </c>
      <c r="H2722" s="16" t="s">
        <v>5039</v>
      </c>
      <c r="I2722" s="16" t="s">
        <v>109</v>
      </c>
      <c r="J2722" s="16" t="s">
        <v>7236</v>
      </c>
      <c r="K2722" s="32" t="n">
        <v>15</v>
      </c>
      <c r="L2722" s="33" t="n">
        <v>46477</v>
      </c>
      <c r="M2722" s="33" t="n">
        <v>46491</v>
      </c>
      <c r="N2722" s="16" t="s">
        <v>8966</v>
      </c>
      <c r="O2722" s="16"/>
      <c r="P2722" s="16" t="str">
        <f aca="false">IF(AND(L2722&lt;=$D$2,M2722&gt;=$C$2),"Sí","")</f>
        <v/>
      </c>
      <c r="Q2722" s="18" t="str">
        <f aca="false">IF(COUNTIF(LOOKAHEAD!$A$5:$A$604,A2722)&gt;0,"En Lookahead",IF(P2722="Sí","INCORPORAR",""))</f>
        <v/>
      </c>
    </row>
    <row r="2723" customFormat="false" ht="15" hidden="false" customHeight="false" outlineLevel="0" collapsed="false">
      <c r="A2723" s="13" t="s">
        <v>8967</v>
      </c>
      <c r="B2723" s="13" t="n">
        <v>2718</v>
      </c>
      <c r="C2723" s="13" t="s">
        <v>8968</v>
      </c>
      <c r="D2723" s="13" t="n">
        <v>5</v>
      </c>
      <c r="E2723" s="34" t="s">
        <v>7250</v>
      </c>
      <c r="F2723" s="13" t="s">
        <v>1298</v>
      </c>
      <c r="G2723" s="13" t="s">
        <v>563</v>
      </c>
      <c r="H2723" s="13" t="s">
        <v>5039</v>
      </c>
      <c r="I2723" s="13" t="s">
        <v>109</v>
      </c>
      <c r="J2723" s="13" t="s">
        <v>5039</v>
      </c>
      <c r="K2723" s="30" t="n">
        <v>42</v>
      </c>
      <c r="L2723" s="31" t="n">
        <v>46492</v>
      </c>
      <c r="M2723" s="31" t="n">
        <v>46533</v>
      </c>
      <c r="N2723" s="13"/>
      <c r="O2723" s="13"/>
      <c r="P2723" s="13"/>
      <c r="Q2723" s="13"/>
    </row>
    <row r="2724" customFormat="false" ht="15" hidden="false" customHeight="false" outlineLevel="0" collapsed="false">
      <c r="A2724" s="13" t="s">
        <v>8969</v>
      </c>
      <c r="B2724" s="13" t="n">
        <v>2719</v>
      </c>
      <c r="C2724" s="13" t="s">
        <v>8970</v>
      </c>
      <c r="D2724" s="13" t="n">
        <v>6</v>
      </c>
      <c r="E2724" s="36" t="s">
        <v>7253</v>
      </c>
      <c r="F2724" s="13" t="s">
        <v>1298</v>
      </c>
      <c r="G2724" s="13" t="s">
        <v>563</v>
      </c>
      <c r="H2724" s="13" t="s">
        <v>5039</v>
      </c>
      <c r="I2724" s="13" t="s">
        <v>109</v>
      </c>
      <c r="J2724" s="13" t="s">
        <v>7250</v>
      </c>
      <c r="K2724" s="30" t="n">
        <v>11</v>
      </c>
      <c r="L2724" s="31" t="n">
        <v>46492</v>
      </c>
      <c r="M2724" s="31" t="n">
        <v>46502</v>
      </c>
      <c r="N2724" s="13"/>
      <c r="O2724" s="13"/>
      <c r="P2724" s="13"/>
      <c r="Q2724" s="13"/>
    </row>
    <row r="2725" customFormat="false" ht="15" hidden="false" customHeight="false" outlineLevel="0" collapsed="false">
      <c r="A2725" s="16" t="s">
        <v>8971</v>
      </c>
      <c r="B2725" s="16" t="n">
        <v>2720</v>
      </c>
      <c r="C2725" s="16" t="s">
        <v>8972</v>
      </c>
      <c r="D2725" s="16" t="n">
        <v>7</v>
      </c>
      <c r="E2725" s="37" t="s">
        <v>7256</v>
      </c>
      <c r="F2725" s="16" t="s">
        <v>1285</v>
      </c>
      <c r="G2725" s="16" t="s">
        <v>563</v>
      </c>
      <c r="H2725" s="16" t="s">
        <v>5039</v>
      </c>
      <c r="I2725" s="16" t="s">
        <v>109</v>
      </c>
      <c r="J2725" s="16" t="s">
        <v>7253</v>
      </c>
      <c r="K2725" s="32" t="n">
        <v>11</v>
      </c>
      <c r="L2725" s="33" t="n">
        <v>46492</v>
      </c>
      <c r="M2725" s="33" t="n">
        <v>46502</v>
      </c>
      <c r="N2725" s="16" t="s">
        <v>8973</v>
      </c>
      <c r="O2725" s="16"/>
      <c r="P2725" s="16" t="str">
        <f aca="false">IF(AND(L2725&lt;=$D$2,M2725&gt;=$C$2),"Sí","")</f>
        <v/>
      </c>
      <c r="Q2725" s="18" t="str">
        <f aca="false">IF(COUNTIF(LOOKAHEAD!$A$5:$A$604,A2725)&gt;0,"En Lookahead",IF(P2725="Sí","INCORPORAR",""))</f>
        <v/>
      </c>
    </row>
    <row r="2726" customFormat="false" ht="15" hidden="false" customHeight="false" outlineLevel="0" collapsed="false">
      <c r="A2726" s="13" t="s">
        <v>8974</v>
      </c>
      <c r="B2726" s="13" t="n">
        <v>2721</v>
      </c>
      <c r="C2726" s="13" t="s">
        <v>8975</v>
      </c>
      <c r="D2726" s="13" t="n">
        <v>6</v>
      </c>
      <c r="E2726" s="36" t="s">
        <v>7260</v>
      </c>
      <c r="F2726" s="13" t="s">
        <v>1298</v>
      </c>
      <c r="G2726" s="13" t="s">
        <v>563</v>
      </c>
      <c r="H2726" s="13" t="s">
        <v>5039</v>
      </c>
      <c r="I2726" s="13" t="s">
        <v>109</v>
      </c>
      <c r="J2726" s="13" t="s">
        <v>7250</v>
      </c>
      <c r="K2726" s="30" t="n">
        <v>31</v>
      </c>
      <c r="L2726" s="31" t="n">
        <v>46503</v>
      </c>
      <c r="M2726" s="31" t="n">
        <v>46533</v>
      </c>
      <c r="N2726" s="13"/>
      <c r="O2726" s="13"/>
      <c r="P2726" s="13"/>
      <c r="Q2726" s="13"/>
    </row>
    <row r="2727" customFormat="false" ht="15" hidden="false" customHeight="false" outlineLevel="0" collapsed="false">
      <c r="A2727" s="16" t="s">
        <v>8976</v>
      </c>
      <c r="B2727" s="16" t="n">
        <v>2722</v>
      </c>
      <c r="C2727" s="16" t="s">
        <v>8977</v>
      </c>
      <c r="D2727" s="16" t="n">
        <v>7</v>
      </c>
      <c r="E2727" s="37" t="s">
        <v>7267</v>
      </c>
      <c r="F2727" s="16" t="s">
        <v>1285</v>
      </c>
      <c r="G2727" s="16" t="s">
        <v>563</v>
      </c>
      <c r="H2727" s="16" t="s">
        <v>5039</v>
      </c>
      <c r="I2727" s="16" t="s">
        <v>109</v>
      </c>
      <c r="J2727" s="16" t="s">
        <v>7260</v>
      </c>
      <c r="K2727" s="32" t="n">
        <v>30</v>
      </c>
      <c r="L2727" s="33" t="n">
        <v>46503</v>
      </c>
      <c r="M2727" s="33" t="n">
        <v>46532</v>
      </c>
      <c r="N2727" s="16" t="s">
        <v>8978</v>
      </c>
      <c r="O2727" s="16"/>
      <c r="P2727" s="16" t="str">
        <f aca="false">IF(AND(L2727&lt;=$D$2,M2727&gt;=$C$2),"Sí","")</f>
        <v/>
      </c>
      <c r="Q2727" s="18" t="str">
        <f aca="false">IF(COUNTIF(LOOKAHEAD!$A$5:$A$604,A2727)&gt;0,"En Lookahead",IF(P2727="Sí","INCORPORAR",""))</f>
        <v/>
      </c>
    </row>
    <row r="2728" customFormat="false" ht="15" hidden="false" customHeight="false" outlineLevel="0" collapsed="false">
      <c r="A2728" s="16" t="s">
        <v>8979</v>
      </c>
      <c r="B2728" s="16" t="n">
        <v>2723</v>
      </c>
      <c r="C2728" s="16" t="s">
        <v>8980</v>
      </c>
      <c r="D2728" s="16" t="n">
        <v>7</v>
      </c>
      <c r="E2728" s="37" t="s">
        <v>7275</v>
      </c>
      <c r="F2728" s="16" t="s">
        <v>1285</v>
      </c>
      <c r="G2728" s="16" t="s">
        <v>563</v>
      </c>
      <c r="H2728" s="16" t="s">
        <v>5039</v>
      </c>
      <c r="I2728" s="16" t="s">
        <v>109</v>
      </c>
      <c r="J2728" s="16" t="s">
        <v>7260</v>
      </c>
      <c r="K2728" s="32" t="n">
        <v>1</v>
      </c>
      <c r="L2728" s="33" t="n">
        <v>46533</v>
      </c>
      <c r="M2728" s="33" t="n">
        <v>46533</v>
      </c>
      <c r="N2728" s="16" t="s">
        <v>8981</v>
      </c>
      <c r="O2728" s="16"/>
      <c r="P2728" s="16" t="str">
        <f aca="false">IF(AND(L2728&lt;=$D$2,M2728&gt;=$C$2),"Sí","")</f>
        <v/>
      </c>
      <c r="Q2728" s="18" t="str">
        <f aca="false">IF(COUNTIF(LOOKAHEAD!$A$5:$A$604,A2728)&gt;0,"En Lookahead",IF(P2728="Sí","INCORPORAR",""))</f>
        <v/>
      </c>
    </row>
    <row r="2729" customFormat="false" ht="15" hidden="false" customHeight="false" outlineLevel="0" collapsed="false">
      <c r="A2729" s="13" t="s">
        <v>8982</v>
      </c>
      <c r="B2729" s="13" t="n">
        <v>2724</v>
      </c>
      <c r="C2729" s="13" t="s">
        <v>8983</v>
      </c>
      <c r="D2729" s="13" t="n">
        <v>5</v>
      </c>
      <c r="E2729" s="34" t="s">
        <v>7279</v>
      </c>
      <c r="F2729" s="13" t="s">
        <v>1298</v>
      </c>
      <c r="G2729" s="13" t="s">
        <v>563</v>
      </c>
      <c r="H2729" s="13" t="s">
        <v>5039</v>
      </c>
      <c r="I2729" s="13" t="s">
        <v>109</v>
      </c>
      <c r="J2729" s="13" t="s">
        <v>5039</v>
      </c>
      <c r="K2729" s="30" t="n">
        <v>12</v>
      </c>
      <c r="L2729" s="31" t="n">
        <v>46503</v>
      </c>
      <c r="M2729" s="31" t="n">
        <v>46514</v>
      </c>
      <c r="N2729" s="13"/>
      <c r="O2729" s="13"/>
      <c r="P2729" s="13"/>
      <c r="Q2729" s="13"/>
    </row>
    <row r="2730" customFormat="false" ht="15" hidden="false" customHeight="false" outlineLevel="0" collapsed="false">
      <c r="A2730" s="16" t="s">
        <v>8984</v>
      </c>
      <c r="B2730" s="16" t="n">
        <v>2725</v>
      </c>
      <c r="C2730" s="16" t="s">
        <v>8985</v>
      </c>
      <c r="D2730" s="16" t="n">
        <v>6</v>
      </c>
      <c r="E2730" s="35" t="s">
        <v>7282</v>
      </c>
      <c r="F2730" s="16" t="s">
        <v>1285</v>
      </c>
      <c r="G2730" s="16" t="s">
        <v>563</v>
      </c>
      <c r="H2730" s="16" t="s">
        <v>5039</v>
      </c>
      <c r="I2730" s="16" t="s">
        <v>109</v>
      </c>
      <c r="J2730" s="16" t="s">
        <v>7279</v>
      </c>
      <c r="K2730" s="32" t="n">
        <v>1</v>
      </c>
      <c r="L2730" s="33" t="n">
        <v>46503</v>
      </c>
      <c r="M2730" s="33" t="n">
        <v>46503</v>
      </c>
      <c r="N2730" s="16" t="s">
        <v>8986</v>
      </c>
      <c r="O2730" s="16"/>
      <c r="P2730" s="16" t="str">
        <f aca="false">IF(AND(L2730&lt;=$D$2,M2730&gt;=$C$2),"Sí","")</f>
        <v/>
      </c>
      <c r="Q2730" s="18" t="str">
        <f aca="false">IF(COUNTIF(LOOKAHEAD!$A$5:$A$604,A2730)&gt;0,"En Lookahead",IF(P2730="Sí","INCORPORAR",""))</f>
        <v/>
      </c>
    </row>
    <row r="2731" customFormat="false" ht="15" hidden="false" customHeight="false" outlineLevel="0" collapsed="false">
      <c r="A2731" s="16" t="s">
        <v>8987</v>
      </c>
      <c r="B2731" s="16" t="n">
        <v>2726</v>
      </c>
      <c r="C2731" s="16" t="s">
        <v>8988</v>
      </c>
      <c r="D2731" s="16" t="n">
        <v>6</v>
      </c>
      <c r="E2731" s="35" t="s">
        <v>7286</v>
      </c>
      <c r="F2731" s="16" t="s">
        <v>1285</v>
      </c>
      <c r="G2731" s="16" t="s">
        <v>563</v>
      </c>
      <c r="H2731" s="16" t="s">
        <v>5039</v>
      </c>
      <c r="I2731" s="16" t="s">
        <v>109</v>
      </c>
      <c r="J2731" s="16" t="s">
        <v>7279</v>
      </c>
      <c r="K2731" s="32" t="n">
        <v>12</v>
      </c>
      <c r="L2731" s="33" t="n">
        <v>46503</v>
      </c>
      <c r="M2731" s="33" t="n">
        <v>46514</v>
      </c>
      <c r="N2731" s="16" t="s">
        <v>8989</v>
      </c>
      <c r="O2731" s="16"/>
      <c r="P2731" s="16" t="str">
        <f aca="false">IF(AND(L2731&lt;=$D$2,M2731&gt;=$C$2),"Sí","")</f>
        <v/>
      </c>
      <c r="Q2731" s="18" t="str">
        <f aca="false">IF(COUNTIF(LOOKAHEAD!$A$5:$A$604,A2731)&gt;0,"En Lookahead",IF(P2731="Sí","INCORPORAR",""))</f>
        <v/>
      </c>
    </row>
    <row r="2732" customFormat="false" ht="15" hidden="false" customHeight="false" outlineLevel="0" collapsed="false">
      <c r="A2732" s="13" t="s">
        <v>8990</v>
      </c>
      <c r="B2732" s="13" t="n">
        <v>2727</v>
      </c>
      <c r="C2732" s="13" t="s">
        <v>8991</v>
      </c>
      <c r="D2732" s="13" t="n">
        <v>5</v>
      </c>
      <c r="E2732" s="34" t="s">
        <v>7296</v>
      </c>
      <c r="F2732" s="13" t="s">
        <v>1298</v>
      </c>
      <c r="G2732" s="13" t="s">
        <v>563</v>
      </c>
      <c r="H2732" s="13" t="s">
        <v>5039</v>
      </c>
      <c r="I2732" s="13" t="s">
        <v>109</v>
      </c>
      <c r="J2732" s="13" t="s">
        <v>5039</v>
      </c>
      <c r="K2732" s="30" t="n">
        <v>11</v>
      </c>
      <c r="L2732" s="31" t="n">
        <v>46515</v>
      </c>
      <c r="M2732" s="31" t="n">
        <v>46525</v>
      </c>
      <c r="N2732" s="13"/>
      <c r="O2732" s="13"/>
      <c r="P2732" s="13"/>
      <c r="Q2732" s="13"/>
    </row>
    <row r="2733" customFormat="false" ht="15" hidden="false" customHeight="false" outlineLevel="0" collapsed="false">
      <c r="A2733" s="16" t="s">
        <v>8992</v>
      </c>
      <c r="B2733" s="16" t="n">
        <v>2728</v>
      </c>
      <c r="C2733" s="16" t="s">
        <v>8993</v>
      </c>
      <c r="D2733" s="16" t="n">
        <v>6</v>
      </c>
      <c r="E2733" s="35" t="s">
        <v>7299</v>
      </c>
      <c r="F2733" s="16" t="s">
        <v>1285</v>
      </c>
      <c r="G2733" s="16" t="s">
        <v>563</v>
      </c>
      <c r="H2733" s="16" t="s">
        <v>5039</v>
      </c>
      <c r="I2733" s="16" t="s">
        <v>109</v>
      </c>
      <c r="J2733" s="16" t="s">
        <v>7296</v>
      </c>
      <c r="K2733" s="32" t="n">
        <v>3</v>
      </c>
      <c r="L2733" s="33" t="n">
        <v>46515</v>
      </c>
      <c r="M2733" s="33" t="n">
        <v>46517</v>
      </c>
      <c r="N2733" s="16" t="s">
        <v>8994</v>
      </c>
      <c r="O2733" s="16"/>
      <c r="P2733" s="16" t="str">
        <f aca="false">IF(AND(L2733&lt;=$D$2,M2733&gt;=$C$2),"Sí","")</f>
        <v/>
      </c>
      <c r="Q2733" s="18" t="str">
        <f aca="false">IF(COUNTIF(LOOKAHEAD!$A$5:$A$604,A2733)&gt;0,"En Lookahead",IF(P2733="Sí","INCORPORAR",""))</f>
        <v/>
      </c>
    </row>
    <row r="2734" customFormat="false" ht="15" hidden="false" customHeight="false" outlineLevel="0" collapsed="false">
      <c r="A2734" s="16" t="s">
        <v>8995</v>
      </c>
      <c r="B2734" s="16" t="n">
        <v>2729</v>
      </c>
      <c r="C2734" s="16" t="s">
        <v>8996</v>
      </c>
      <c r="D2734" s="16" t="n">
        <v>6</v>
      </c>
      <c r="E2734" s="35" t="s">
        <v>7303</v>
      </c>
      <c r="F2734" s="16" t="s">
        <v>1285</v>
      </c>
      <c r="G2734" s="16" t="s">
        <v>563</v>
      </c>
      <c r="H2734" s="16" t="s">
        <v>5039</v>
      </c>
      <c r="I2734" s="16" t="s">
        <v>109</v>
      </c>
      <c r="J2734" s="16" t="s">
        <v>7296</v>
      </c>
      <c r="K2734" s="32" t="n">
        <v>8</v>
      </c>
      <c r="L2734" s="33" t="n">
        <v>46518</v>
      </c>
      <c r="M2734" s="33" t="n">
        <v>46525</v>
      </c>
      <c r="N2734" s="16" t="s">
        <v>8997</v>
      </c>
      <c r="O2734" s="16"/>
      <c r="P2734" s="16" t="str">
        <f aca="false">IF(AND(L2734&lt;=$D$2,M2734&gt;=$C$2),"Sí","")</f>
        <v/>
      </c>
      <c r="Q2734" s="18" t="str">
        <f aca="false">IF(COUNTIF(LOOKAHEAD!$A$5:$A$604,A2734)&gt;0,"En Lookahead",IF(P2734="Sí","INCORPORAR",""))</f>
        <v/>
      </c>
    </row>
    <row r="2735" customFormat="false" ht="15" hidden="false" customHeight="false" outlineLevel="0" collapsed="false">
      <c r="A2735" s="13" t="s">
        <v>8998</v>
      </c>
      <c r="B2735" s="13" t="n">
        <v>2730</v>
      </c>
      <c r="C2735" s="13" t="s">
        <v>8999</v>
      </c>
      <c r="D2735" s="13" t="n">
        <v>5</v>
      </c>
      <c r="E2735" s="34" t="s">
        <v>7307</v>
      </c>
      <c r="F2735" s="13" t="s">
        <v>1298</v>
      </c>
      <c r="G2735" s="13" t="s">
        <v>563</v>
      </c>
      <c r="H2735" s="13" t="s">
        <v>5039</v>
      </c>
      <c r="I2735" s="13" t="s">
        <v>109</v>
      </c>
      <c r="J2735" s="13" t="s">
        <v>5039</v>
      </c>
      <c r="K2735" s="30" t="n">
        <v>6</v>
      </c>
      <c r="L2735" s="31" t="n">
        <v>46526</v>
      </c>
      <c r="M2735" s="31" t="n">
        <v>46531</v>
      </c>
      <c r="N2735" s="13"/>
      <c r="O2735" s="13"/>
      <c r="P2735" s="13"/>
      <c r="Q2735" s="13"/>
    </row>
    <row r="2736" customFormat="false" ht="15" hidden="false" customHeight="false" outlineLevel="0" collapsed="false">
      <c r="A2736" s="13" t="s">
        <v>9000</v>
      </c>
      <c r="B2736" s="13" t="n">
        <v>2731</v>
      </c>
      <c r="C2736" s="13" t="s">
        <v>9001</v>
      </c>
      <c r="D2736" s="13" t="n">
        <v>6</v>
      </c>
      <c r="E2736" s="36" t="s">
        <v>7310</v>
      </c>
      <c r="F2736" s="13" t="s">
        <v>1298</v>
      </c>
      <c r="G2736" s="13" t="s">
        <v>563</v>
      </c>
      <c r="H2736" s="13" t="s">
        <v>5039</v>
      </c>
      <c r="I2736" s="13" t="s">
        <v>109</v>
      </c>
      <c r="J2736" s="13" t="s">
        <v>7307</v>
      </c>
      <c r="K2736" s="30" t="n">
        <v>6</v>
      </c>
      <c r="L2736" s="31" t="n">
        <v>46526</v>
      </c>
      <c r="M2736" s="31" t="n">
        <v>46531</v>
      </c>
      <c r="N2736" s="13"/>
      <c r="O2736" s="13"/>
      <c r="P2736" s="13"/>
      <c r="Q2736" s="13"/>
    </row>
    <row r="2737" customFormat="false" ht="15" hidden="false" customHeight="false" outlineLevel="0" collapsed="false">
      <c r="A2737" s="16" t="s">
        <v>9002</v>
      </c>
      <c r="B2737" s="16" t="n">
        <v>2732</v>
      </c>
      <c r="C2737" s="16" t="s">
        <v>9003</v>
      </c>
      <c r="D2737" s="16" t="n">
        <v>7</v>
      </c>
      <c r="E2737" s="37" t="s">
        <v>7316</v>
      </c>
      <c r="F2737" s="16" t="s">
        <v>1285</v>
      </c>
      <c r="G2737" s="16" t="s">
        <v>563</v>
      </c>
      <c r="H2737" s="16" t="s">
        <v>5039</v>
      </c>
      <c r="I2737" s="16" t="s">
        <v>109</v>
      </c>
      <c r="J2737" s="16" t="s">
        <v>7310</v>
      </c>
      <c r="K2737" s="32" t="n">
        <v>3</v>
      </c>
      <c r="L2737" s="33" t="n">
        <v>46526</v>
      </c>
      <c r="M2737" s="33" t="n">
        <v>46528</v>
      </c>
      <c r="N2737" s="16" t="s">
        <v>9004</v>
      </c>
      <c r="O2737" s="16"/>
      <c r="P2737" s="16" t="str">
        <f aca="false">IF(AND(L2737&lt;=$D$2,M2737&gt;=$C$2),"Sí","")</f>
        <v/>
      </c>
      <c r="Q2737" s="18" t="str">
        <f aca="false">IF(COUNTIF(LOOKAHEAD!$A$5:$A$604,A2737)&gt;0,"En Lookahead",IF(P2737="Sí","INCORPORAR",""))</f>
        <v/>
      </c>
    </row>
    <row r="2738" customFormat="false" ht="15" hidden="false" customHeight="false" outlineLevel="0" collapsed="false">
      <c r="A2738" s="16" t="s">
        <v>9005</v>
      </c>
      <c r="B2738" s="16" t="n">
        <v>2733</v>
      </c>
      <c r="C2738" s="16" t="s">
        <v>9006</v>
      </c>
      <c r="D2738" s="16" t="n">
        <v>7</v>
      </c>
      <c r="E2738" s="37" t="s">
        <v>7651</v>
      </c>
      <c r="F2738" s="16" t="s">
        <v>1285</v>
      </c>
      <c r="G2738" s="16" t="s">
        <v>563</v>
      </c>
      <c r="H2738" s="16" t="s">
        <v>5039</v>
      </c>
      <c r="I2738" s="16" t="s">
        <v>109</v>
      </c>
      <c r="J2738" s="16" t="s">
        <v>7310</v>
      </c>
      <c r="K2738" s="32" t="n">
        <v>2</v>
      </c>
      <c r="L2738" s="33" t="n">
        <v>46529</v>
      </c>
      <c r="M2738" s="33" t="n">
        <v>46530</v>
      </c>
      <c r="N2738" s="16" t="s">
        <v>9007</v>
      </c>
      <c r="O2738" s="16"/>
      <c r="P2738" s="16" t="str">
        <f aca="false">IF(AND(L2738&lt;=$D$2,M2738&gt;=$C$2),"Sí","")</f>
        <v/>
      </c>
      <c r="Q2738" s="18" t="str">
        <f aca="false">IF(COUNTIF(LOOKAHEAD!$A$5:$A$604,A2738)&gt;0,"En Lookahead",IF(P2738="Sí","INCORPORAR",""))</f>
        <v/>
      </c>
    </row>
    <row r="2739" customFormat="false" ht="15" hidden="false" customHeight="false" outlineLevel="0" collapsed="false">
      <c r="A2739" s="16" t="s">
        <v>9008</v>
      </c>
      <c r="B2739" s="16" t="n">
        <v>2734</v>
      </c>
      <c r="C2739" s="16" t="s">
        <v>9009</v>
      </c>
      <c r="D2739" s="16" t="n">
        <v>7</v>
      </c>
      <c r="E2739" s="37" t="s">
        <v>9010</v>
      </c>
      <c r="F2739" s="16" t="s">
        <v>1285</v>
      </c>
      <c r="G2739" s="16" t="s">
        <v>563</v>
      </c>
      <c r="H2739" s="16" t="s">
        <v>5039</v>
      </c>
      <c r="I2739" s="16" t="s">
        <v>109</v>
      </c>
      <c r="J2739" s="16" t="s">
        <v>7310</v>
      </c>
      <c r="K2739" s="32" t="n">
        <v>1</v>
      </c>
      <c r="L2739" s="33" t="n">
        <v>46531</v>
      </c>
      <c r="M2739" s="33" t="n">
        <v>46531</v>
      </c>
      <c r="N2739" s="16" t="s">
        <v>9011</v>
      </c>
      <c r="O2739" s="16"/>
      <c r="P2739" s="16" t="str">
        <f aca="false">IF(AND(L2739&lt;=$D$2,M2739&gt;=$C$2),"Sí","")</f>
        <v/>
      </c>
      <c r="Q2739" s="18" t="str">
        <f aca="false">IF(COUNTIF(LOOKAHEAD!$A$5:$A$604,A2739)&gt;0,"En Lookahead",IF(P2739="Sí","INCORPORAR",""))</f>
        <v/>
      </c>
    </row>
    <row r="2740" customFormat="false" ht="15" hidden="false" customHeight="false" outlineLevel="0" collapsed="false">
      <c r="A2740" s="13" t="s">
        <v>9012</v>
      </c>
      <c r="B2740" s="13" t="n">
        <v>2735</v>
      </c>
      <c r="C2740" s="13" t="s">
        <v>9013</v>
      </c>
      <c r="D2740" s="13" t="n">
        <v>5</v>
      </c>
      <c r="E2740" s="34" t="s">
        <v>7328</v>
      </c>
      <c r="F2740" s="13" t="s">
        <v>1298</v>
      </c>
      <c r="G2740" s="13" t="s">
        <v>563</v>
      </c>
      <c r="H2740" s="13" t="s">
        <v>5039</v>
      </c>
      <c r="I2740" s="13" t="s">
        <v>109</v>
      </c>
      <c r="J2740" s="13" t="s">
        <v>5039</v>
      </c>
      <c r="K2740" s="30" t="n">
        <v>3</v>
      </c>
      <c r="L2740" s="31" t="n">
        <v>46532</v>
      </c>
      <c r="M2740" s="31" t="n">
        <v>46534</v>
      </c>
      <c r="N2740" s="13"/>
      <c r="O2740" s="13"/>
      <c r="P2740" s="13"/>
      <c r="Q2740" s="13"/>
    </row>
    <row r="2741" customFormat="false" ht="15" hidden="false" customHeight="false" outlineLevel="0" collapsed="false">
      <c r="A2741" s="13" t="s">
        <v>9014</v>
      </c>
      <c r="B2741" s="13" t="n">
        <v>2736</v>
      </c>
      <c r="C2741" s="13" t="s">
        <v>9015</v>
      </c>
      <c r="D2741" s="13" t="n">
        <v>6</v>
      </c>
      <c r="E2741" s="36" t="s">
        <v>7310</v>
      </c>
      <c r="F2741" s="13" t="s">
        <v>1298</v>
      </c>
      <c r="G2741" s="13" t="s">
        <v>563</v>
      </c>
      <c r="H2741" s="13" t="s">
        <v>5039</v>
      </c>
      <c r="I2741" s="13" t="s">
        <v>109</v>
      </c>
      <c r="J2741" s="13" t="s">
        <v>7328</v>
      </c>
      <c r="K2741" s="30" t="n">
        <v>1</v>
      </c>
      <c r="L2741" s="31" t="n">
        <v>46532</v>
      </c>
      <c r="M2741" s="31" t="n">
        <v>46532</v>
      </c>
      <c r="N2741" s="13"/>
      <c r="O2741" s="13"/>
      <c r="P2741" s="13"/>
      <c r="Q2741" s="13"/>
    </row>
    <row r="2742" customFormat="false" ht="15" hidden="false" customHeight="false" outlineLevel="0" collapsed="false">
      <c r="A2742" s="16" t="s">
        <v>9016</v>
      </c>
      <c r="B2742" s="16" t="n">
        <v>2737</v>
      </c>
      <c r="C2742" s="16" t="s">
        <v>9017</v>
      </c>
      <c r="D2742" s="16" t="n">
        <v>7</v>
      </c>
      <c r="E2742" s="37" t="s">
        <v>7337</v>
      </c>
      <c r="F2742" s="16" t="s">
        <v>1285</v>
      </c>
      <c r="G2742" s="16" t="s">
        <v>563</v>
      </c>
      <c r="H2742" s="16" t="s">
        <v>5039</v>
      </c>
      <c r="I2742" s="16" t="s">
        <v>109</v>
      </c>
      <c r="J2742" s="16" t="s">
        <v>7310</v>
      </c>
      <c r="K2742" s="32" t="n">
        <v>1</v>
      </c>
      <c r="L2742" s="33" t="n">
        <v>46532</v>
      </c>
      <c r="M2742" s="33" t="n">
        <v>46532</v>
      </c>
      <c r="N2742" s="16" t="s">
        <v>9018</v>
      </c>
      <c r="O2742" s="16"/>
      <c r="P2742" s="16" t="str">
        <f aca="false">IF(AND(L2742&lt;=$D$2,M2742&gt;=$C$2),"Sí","")</f>
        <v/>
      </c>
      <c r="Q2742" s="18" t="str">
        <f aca="false">IF(COUNTIF(LOOKAHEAD!$A$5:$A$604,A2742)&gt;0,"En Lookahead",IF(P2742="Sí","INCORPORAR",""))</f>
        <v/>
      </c>
    </row>
    <row r="2743" customFormat="false" ht="15" hidden="false" customHeight="false" outlineLevel="0" collapsed="false">
      <c r="A2743" s="13" t="s">
        <v>9019</v>
      </c>
      <c r="B2743" s="13" t="n">
        <v>2738</v>
      </c>
      <c r="C2743" s="13" t="s">
        <v>9020</v>
      </c>
      <c r="D2743" s="13" t="n">
        <v>6</v>
      </c>
      <c r="E2743" s="36" t="s">
        <v>7349</v>
      </c>
      <c r="F2743" s="13" t="s">
        <v>1298</v>
      </c>
      <c r="G2743" s="13" t="s">
        <v>563</v>
      </c>
      <c r="H2743" s="13" t="s">
        <v>5039</v>
      </c>
      <c r="I2743" s="13" t="s">
        <v>109</v>
      </c>
      <c r="J2743" s="13" t="s">
        <v>7328</v>
      </c>
      <c r="K2743" s="30" t="n">
        <v>2</v>
      </c>
      <c r="L2743" s="31" t="n">
        <v>46533</v>
      </c>
      <c r="M2743" s="31" t="n">
        <v>46534</v>
      </c>
      <c r="N2743" s="13"/>
      <c r="O2743" s="13"/>
      <c r="P2743" s="13"/>
      <c r="Q2743" s="13"/>
    </row>
    <row r="2744" customFormat="false" ht="15" hidden="false" customHeight="false" outlineLevel="0" collapsed="false">
      <c r="A2744" s="16" t="s">
        <v>9021</v>
      </c>
      <c r="B2744" s="16" t="n">
        <v>2739</v>
      </c>
      <c r="C2744" s="16" t="s">
        <v>9022</v>
      </c>
      <c r="D2744" s="16" t="n">
        <v>7</v>
      </c>
      <c r="E2744" s="37" t="s">
        <v>9023</v>
      </c>
      <c r="F2744" s="16" t="s">
        <v>1285</v>
      </c>
      <c r="G2744" s="16" t="s">
        <v>563</v>
      </c>
      <c r="H2744" s="16" t="s">
        <v>5039</v>
      </c>
      <c r="I2744" s="16" t="s">
        <v>109</v>
      </c>
      <c r="J2744" s="16" t="s">
        <v>7349</v>
      </c>
      <c r="K2744" s="32" t="n">
        <v>2</v>
      </c>
      <c r="L2744" s="33" t="n">
        <v>46533</v>
      </c>
      <c r="M2744" s="33" t="n">
        <v>46534</v>
      </c>
      <c r="N2744" s="16" t="s">
        <v>9024</v>
      </c>
      <c r="O2744" s="16"/>
      <c r="P2744" s="16" t="str">
        <f aca="false">IF(AND(L2744&lt;=$D$2,M2744&gt;=$C$2),"Sí","")</f>
        <v/>
      </c>
      <c r="Q2744" s="18" t="str">
        <f aca="false">IF(COUNTIF(LOOKAHEAD!$A$5:$A$604,A2744)&gt;0,"En Lookahead",IF(P2744="Sí","INCORPORAR",""))</f>
        <v/>
      </c>
    </row>
    <row r="2745" customFormat="false" ht="15" hidden="false" customHeight="false" outlineLevel="0" collapsed="false">
      <c r="A2745" s="13" t="s">
        <v>9025</v>
      </c>
      <c r="B2745" s="13" t="n">
        <v>2740</v>
      </c>
      <c r="C2745" s="13" t="s">
        <v>9026</v>
      </c>
      <c r="D2745" s="13" t="n">
        <v>5</v>
      </c>
      <c r="E2745" s="34" t="s">
        <v>7368</v>
      </c>
      <c r="F2745" s="13" t="s">
        <v>1298</v>
      </c>
      <c r="G2745" s="13" t="s">
        <v>563</v>
      </c>
      <c r="H2745" s="13" t="s">
        <v>5039</v>
      </c>
      <c r="I2745" s="13" t="s">
        <v>109</v>
      </c>
      <c r="J2745" s="13" t="s">
        <v>5039</v>
      </c>
      <c r="K2745" s="30" t="n">
        <v>26</v>
      </c>
      <c r="L2745" s="31" t="n">
        <v>46535</v>
      </c>
      <c r="M2745" s="31" t="n">
        <v>46560</v>
      </c>
      <c r="N2745" s="13"/>
      <c r="O2745" s="13"/>
      <c r="P2745" s="13"/>
      <c r="Q2745" s="13"/>
    </row>
    <row r="2746" customFormat="false" ht="15" hidden="false" customHeight="false" outlineLevel="0" collapsed="false">
      <c r="A2746" s="13" t="s">
        <v>9027</v>
      </c>
      <c r="B2746" s="13" t="n">
        <v>2741</v>
      </c>
      <c r="C2746" s="13" t="s">
        <v>9028</v>
      </c>
      <c r="D2746" s="13" t="n">
        <v>6</v>
      </c>
      <c r="E2746" s="36" t="s">
        <v>7310</v>
      </c>
      <c r="F2746" s="13" t="s">
        <v>1298</v>
      </c>
      <c r="G2746" s="13" t="s">
        <v>563</v>
      </c>
      <c r="H2746" s="13" t="s">
        <v>5039</v>
      </c>
      <c r="I2746" s="13" t="s">
        <v>109</v>
      </c>
      <c r="J2746" s="13" t="s">
        <v>7368</v>
      </c>
      <c r="K2746" s="30" t="n">
        <v>3</v>
      </c>
      <c r="L2746" s="31" t="n">
        <v>46535</v>
      </c>
      <c r="M2746" s="31" t="n">
        <v>46537</v>
      </c>
      <c r="N2746" s="13"/>
      <c r="O2746" s="13"/>
      <c r="P2746" s="13"/>
      <c r="Q2746" s="13"/>
    </row>
    <row r="2747" customFormat="false" ht="15" hidden="false" customHeight="false" outlineLevel="0" collapsed="false">
      <c r="A2747" s="16" t="s">
        <v>9029</v>
      </c>
      <c r="B2747" s="16" t="n">
        <v>2742</v>
      </c>
      <c r="C2747" s="16" t="s">
        <v>9030</v>
      </c>
      <c r="D2747" s="16" t="n">
        <v>7</v>
      </c>
      <c r="E2747" s="37" t="s">
        <v>7376</v>
      </c>
      <c r="F2747" s="16" t="s">
        <v>1285</v>
      </c>
      <c r="G2747" s="16" t="s">
        <v>563</v>
      </c>
      <c r="H2747" s="16" t="s">
        <v>5039</v>
      </c>
      <c r="I2747" s="16" t="s">
        <v>109</v>
      </c>
      <c r="J2747" s="16" t="s">
        <v>7310</v>
      </c>
      <c r="K2747" s="32" t="n">
        <v>2</v>
      </c>
      <c r="L2747" s="33" t="n">
        <v>46535</v>
      </c>
      <c r="M2747" s="33" t="n">
        <v>46536</v>
      </c>
      <c r="N2747" s="16" t="s">
        <v>9031</v>
      </c>
      <c r="O2747" s="16"/>
      <c r="P2747" s="16" t="str">
        <f aca="false">IF(AND(L2747&lt;=$D$2,M2747&gt;=$C$2),"Sí","")</f>
        <v/>
      </c>
      <c r="Q2747" s="18" t="str">
        <f aca="false">IF(COUNTIF(LOOKAHEAD!$A$5:$A$604,A2747)&gt;0,"En Lookahead",IF(P2747="Sí","INCORPORAR",""))</f>
        <v/>
      </c>
    </row>
    <row r="2748" customFormat="false" ht="15" hidden="false" customHeight="false" outlineLevel="0" collapsed="false">
      <c r="A2748" s="16" t="s">
        <v>9032</v>
      </c>
      <c r="B2748" s="16" t="n">
        <v>2743</v>
      </c>
      <c r="C2748" s="16" t="s">
        <v>9033</v>
      </c>
      <c r="D2748" s="16" t="n">
        <v>7</v>
      </c>
      <c r="E2748" s="37" t="s">
        <v>9034</v>
      </c>
      <c r="F2748" s="16" t="s">
        <v>1285</v>
      </c>
      <c r="G2748" s="16" t="s">
        <v>563</v>
      </c>
      <c r="H2748" s="16" t="s">
        <v>5039</v>
      </c>
      <c r="I2748" s="16" t="s">
        <v>109</v>
      </c>
      <c r="J2748" s="16" t="s">
        <v>7310</v>
      </c>
      <c r="K2748" s="32" t="n">
        <v>1</v>
      </c>
      <c r="L2748" s="33" t="n">
        <v>46537</v>
      </c>
      <c r="M2748" s="33" t="n">
        <v>46537</v>
      </c>
      <c r="N2748" s="16" t="s">
        <v>9035</v>
      </c>
      <c r="O2748" s="16"/>
      <c r="P2748" s="16" t="str">
        <f aca="false">IF(AND(L2748&lt;=$D$2,M2748&gt;=$C$2),"Sí","")</f>
        <v/>
      </c>
      <c r="Q2748" s="18" t="str">
        <f aca="false">IF(COUNTIF(LOOKAHEAD!$A$5:$A$604,A2748)&gt;0,"En Lookahead",IF(P2748="Sí","INCORPORAR",""))</f>
        <v/>
      </c>
    </row>
    <row r="2749" customFormat="false" ht="15" hidden="false" customHeight="false" outlineLevel="0" collapsed="false">
      <c r="A2749" s="13" t="s">
        <v>9036</v>
      </c>
      <c r="B2749" s="13" t="n">
        <v>2744</v>
      </c>
      <c r="C2749" s="13" t="s">
        <v>9037</v>
      </c>
      <c r="D2749" s="13" t="n">
        <v>6</v>
      </c>
      <c r="E2749" s="36" t="s">
        <v>7349</v>
      </c>
      <c r="F2749" s="13" t="s">
        <v>1298</v>
      </c>
      <c r="G2749" s="13" t="s">
        <v>563</v>
      </c>
      <c r="H2749" s="13" t="s">
        <v>5039</v>
      </c>
      <c r="I2749" s="13" t="s">
        <v>109</v>
      </c>
      <c r="J2749" s="13" t="s">
        <v>7368</v>
      </c>
      <c r="K2749" s="30" t="n">
        <v>4</v>
      </c>
      <c r="L2749" s="31" t="n">
        <v>46538</v>
      </c>
      <c r="M2749" s="31" t="n">
        <v>46541</v>
      </c>
      <c r="N2749" s="13"/>
      <c r="O2749" s="13"/>
      <c r="P2749" s="13"/>
      <c r="Q2749" s="13"/>
    </row>
    <row r="2750" customFormat="false" ht="15" hidden="false" customHeight="false" outlineLevel="0" collapsed="false">
      <c r="A2750" s="16" t="s">
        <v>9038</v>
      </c>
      <c r="B2750" s="16" t="n">
        <v>2745</v>
      </c>
      <c r="C2750" s="16" t="s">
        <v>9039</v>
      </c>
      <c r="D2750" s="16" t="n">
        <v>7</v>
      </c>
      <c r="E2750" s="37" t="s">
        <v>7394</v>
      </c>
      <c r="F2750" s="16" t="s">
        <v>1285</v>
      </c>
      <c r="G2750" s="16" t="s">
        <v>563</v>
      </c>
      <c r="H2750" s="16" t="s">
        <v>5039</v>
      </c>
      <c r="I2750" s="16" t="s">
        <v>109</v>
      </c>
      <c r="J2750" s="16" t="s">
        <v>7349</v>
      </c>
      <c r="K2750" s="32" t="n">
        <v>4</v>
      </c>
      <c r="L2750" s="33" t="n">
        <v>46538</v>
      </c>
      <c r="M2750" s="33" t="n">
        <v>46541</v>
      </c>
      <c r="N2750" s="16" t="s">
        <v>9040</v>
      </c>
      <c r="O2750" s="16"/>
      <c r="P2750" s="16" t="str">
        <f aca="false">IF(AND(L2750&lt;=$D$2,M2750&gt;=$C$2),"Sí","")</f>
        <v/>
      </c>
      <c r="Q2750" s="18" t="str">
        <f aca="false">IF(COUNTIF(LOOKAHEAD!$A$5:$A$604,A2750)&gt;0,"En Lookahead",IF(P2750="Sí","INCORPORAR",""))</f>
        <v/>
      </c>
    </row>
    <row r="2751" customFormat="false" ht="15" hidden="false" customHeight="false" outlineLevel="0" collapsed="false">
      <c r="A2751" s="13" t="s">
        <v>9041</v>
      </c>
      <c r="B2751" s="13" t="n">
        <v>2746</v>
      </c>
      <c r="C2751" s="13" t="s">
        <v>9042</v>
      </c>
      <c r="D2751" s="13" t="n">
        <v>6</v>
      </c>
      <c r="E2751" s="36" t="s">
        <v>2137</v>
      </c>
      <c r="F2751" s="13" t="s">
        <v>1298</v>
      </c>
      <c r="G2751" s="13" t="s">
        <v>563</v>
      </c>
      <c r="H2751" s="13" t="s">
        <v>5039</v>
      </c>
      <c r="I2751" s="13" t="s">
        <v>109</v>
      </c>
      <c r="J2751" s="13" t="s">
        <v>7368</v>
      </c>
      <c r="K2751" s="30" t="n">
        <v>19</v>
      </c>
      <c r="L2751" s="31" t="n">
        <v>46542</v>
      </c>
      <c r="M2751" s="31" t="n">
        <v>46560</v>
      </c>
      <c r="N2751" s="13"/>
      <c r="O2751" s="13"/>
      <c r="P2751" s="13"/>
      <c r="Q2751" s="13"/>
    </row>
    <row r="2752" customFormat="false" ht="15" hidden="false" customHeight="false" outlineLevel="0" collapsed="false">
      <c r="A2752" s="16" t="s">
        <v>9043</v>
      </c>
      <c r="B2752" s="16" t="n">
        <v>2747</v>
      </c>
      <c r="C2752" s="16" t="s">
        <v>9044</v>
      </c>
      <c r="D2752" s="16" t="n">
        <v>7</v>
      </c>
      <c r="E2752" s="37" t="s">
        <v>7739</v>
      </c>
      <c r="F2752" s="16" t="s">
        <v>1285</v>
      </c>
      <c r="G2752" s="16" t="s">
        <v>563</v>
      </c>
      <c r="H2752" s="16" t="s">
        <v>5039</v>
      </c>
      <c r="I2752" s="16" t="s">
        <v>109</v>
      </c>
      <c r="J2752" s="16" t="s">
        <v>2137</v>
      </c>
      <c r="K2752" s="32" t="n">
        <v>18</v>
      </c>
      <c r="L2752" s="33" t="n">
        <v>46542</v>
      </c>
      <c r="M2752" s="33" t="n">
        <v>46559</v>
      </c>
      <c r="N2752" s="16" t="s">
        <v>9045</v>
      </c>
      <c r="O2752" s="16"/>
      <c r="P2752" s="16" t="str">
        <f aca="false">IF(AND(L2752&lt;=$D$2,M2752&gt;=$C$2),"Sí","")</f>
        <v/>
      </c>
      <c r="Q2752" s="18" t="str">
        <f aca="false">IF(COUNTIF(LOOKAHEAD!$A$5:$A$604,A2752)&gt;0,"En Lookahead",IF(P2752="Sí","INCORPORAR",""))</f>
        <v/>
      </c>
    </row>
    <row r="2753" customFormat="false" ht="15" hidden="false" customHeight="false" outlineLevel="0" collapsed="false">
      <c r="A2753" s="16" t="s">
        <v>9046</v>
      </c>
      <c r="B2753" s="16" t="n">
        <v>2748</v>
      </c>
      <c r="C2753" s="16" t="s">
        <v>9047</v>
      </c>
      <c r="D2753" s="16" t="n">
        <v>7</v>
      </c>
      <c r="E2753" s="37" t="s">
        <v>7405</v>
      </c>
      <c r="F2753" s="16" t="s">
        <v>1285</v>
      </c>
      <c r="G2753" s="16" t="s">
        <v>563</v>
      </c>
      <c r="H2753" s="16" t="s">
        <v>5039</v>
      </c>
      <c r="I2753" s="16" t="s">
        <v>109</v>
      </c>
      <c r="J2753" s="16" t="s">
        <v>2137</v>
      </c>
      <c r="K2753" s="32" t="n">
        <v>1</v>
      </c>
      <c r="L2753" s="33" t="n">
        <v>46560</v>
      </c>
      <c r="M2753" s="33" t="n">
        <v>46560</v>
      </c>
      <c r="N2753" s="16" t="s">
        <v>9048</v>
      </c>
      <c r="O2753" s="16"/>
      <c r="P2753" s="16" t="str">
        <f aca="false">IF(AND(L2753&lt;=$D$2,M2753&gt;=$C$2),"Sí","")</f>
        <v/>
      </c>
      <c r="Q2753" s="18" t="str">
        <f aca="false">IF(COUNTIF(LOOKAHEAD!$A$5:$A$604,A2753)&gt;0,"En Lookahead",IF(P2753="Sí","INCORPORAR",""))</f>
        <v/>
      </c>
    </row>
    <row r="2754" customFormat="false" ht="15" hidden="false" customHeight="false" outlineLevel="0" collapsed="false">
      <c r="A2754" s="13" t="s">
        <v>9049</v>
      </c>
      <c r="B2754" s="13" t="n">
        <v>2749</v>
      </c>
      <c r="C2754" s="13" t="s">
        <v>9050</v>
      </c>
      <c r="D2754" s="13" t="n">
        <v>5</v>
      </c>
      <c r="E2754" s="34" t="s">
        <v>7416</v>
      </c>
      <c r="F2754" s="13" t="s">
        <v>1298</v>
      </c>
      <c r="G2754" s="13" t="s">
        <v>563</v>
      </c>
      <c r="H2754" s="13" t="s">
        <v>5039</v>
      </c>
      <c r="I2754" s="13" t="s">
        <v>109</v>
      </c>
      <c r="J2754" s="13" t="s">
        <v>5039</v>
      </c>
      <c r="K2754" s="30" t="n">
        <v>87</v>
      </c>
      <c r="L2754" s="31" t="n">
        <v>46450</v>
      </c>
      <c r="M2754" s="31" t="n">
        <v>46536</v>
      </c>
      <c r="N2754" s="13"/>
      <c r="O2754" s="13"/>
      <c r="P2754" s="13"/>
      <c r="Q2754" s="13"/>
    </row>
    <row r="2755" customFormat="false" ht="15" hidden="false" customHeight="false" outlineLevel="0" collapsed="false">
      <c r="A2755" s="16" t="s">
        <v>9051</v>
      </c>
      <c r="B2755" s="16" t="n">
        <v>2750</v>
      </c>
      <c r="C2755" s="16" t="s">
        <v>9052</v>
      </c>
      <c r="D2755" s="16" t="n">
        <v>6</v>
      </c>
      <c r="E2755" s="35" t="s">
        <v>7419</v>
      </c>
      <c r="F2755" s="16" t="s">
        <v>1285</v>
      </c>
      <c r="G2755" s="16" t="s">
        <v>563</v>
      </c>
      <c r="H2755" s="16" t="s">
        <v>5039</v>
      </c>
      <c r="I2755" s="16" t="s">
        <v>109</v>
      </c>
      <c r="J2755" s="16" t="s">
        <v>7416</v>
      </c>
      <c r="K2755" s="32" t="n">
        <v>23</v>
      </c>
      <c r="L2755" s="33" t="n">
        <v>46450</v>
      </c>
      <c r="M2755" s="33" t="n">
        <v>46472</v>
      </c>
      <c r="N2755" s="16" t="s">
        <v>8952</v>
      </c>
      <c r="O2755" s="16"/>
      <c r="P2755" s="16" t="str">
        <f aca="false">IF(AND(L2755&lt;=$D$2,M2755&gt;=$C$2),"Sí","")</f>
        <v/>
      </c>
      <c r="Q2755" s="18" t="str">
        <f aca="false">IF(COUNTIF(LOOKAHEAD!$A$5:$A$604,A2755)&gt;0,"En Lookahead",IF(P2755="Sí","INCORPORAR",""))</f>
        <v/>
      </c>
    </row>
    <row r="2756" customFormat="false" ht="15" hidden="false" customHeight="false" outlineLevel="0" collapsed="false">
      <c r="A2756" s="16" t="s">
        <v>9053</v>
      </c>
      <c r="B2756" s="16" t="n">
        <v>2751</v>
      </c>
      <c r="C2756" s="16" t="s">
        <v>9054</v>
      </c>
      <c r="D2756" s="16" t="n">
        <v>6</v>
      </c>
      <c r="E2756" s="35" t="s">
        <v>7422</v>
      </c>
      <c r="F2756" s="16" t="s">
        <v>1285</v>
      </c>
      <c r="G2756" s="16" t="s">
        <v>563</v>
      </c>
      <c r="H2756" s="16" t="s">
        <v>5039</v>
      </c>
      <c r="I2756" s="16" t="s">
        <v>109</v>
      </c>
      <c r="J2756" s="16" t="s">
        <v>7416</v>
      </c>
      <c r="K2756" s="32" t="n">
        <v>20</v>
      </c>
      <c r="L2756" s="33" t="n">
        <v>46473</v>
      </c>
      <c r="M2756" s="33" t="n">
        <v>46492</v>
      </c>
      <c r="N2756" s="16" t="s">
        <v>9055</v>
      </c>
      <c r="O2756" s="16"/>
      <c r="P2756" s="16" t="str">
        <f aca="false">IF(AND(L2756&lt;=$D$2,M2756&gt;=$C$2),"Sí","")</f>
        <v/>
      </c>
      <c r="Q2756" s="18" t="str">
        <f aca="false">IF(COUNTIF(LOOKAHEAD!$A$5:$A$604,A2756)&gt;0,"En Lookahead",IF(P2756="Sí","INCORPORAR",""))</f>
        <v/>
      </c>
    </row>
    <row r="2757" customFormat="false" ht="15" hidden="false" customHeight="false" outlineLevel="0" collapsed="false">
      <c r="A2757" s="16" t="s">
        <v>9056</v>
      </c>
      <c r="B2757" s="16" t="n">
        <v>2752</v>
      </c>
      <c r="C2757" s="16" t="s">
        <v>9057</v>
      </c>
      <c r="D2757" s="16" t="n">
        <v>6</v>
      </c>
      <c r="E2757" s="35" t="s">
        <v>7426</v>
      </c>
      <c r="F2757" s="16" t="s">
        <v>1285</v>
      </c>
      <c r="G2757" s="16" t="s">
        <v>563</v>
      </c>
      <c r="H2757" s="16" t="s">
        <v>5039</v>
      </c>
      <c r="I2757" s="16" t="s">
        <v>109</v>
      </c>
      <c r="J2757" s="16" t="s">
        <v>7416</v>
      </c>
      <c r="K2757" s="32" t="n">
        <v>1</v>
      </c>
      <c r="L2757" s="33" t="n">
        <v>46477</v>
      </c>
      <c r="M2757" s="33" t="n">
        <v>46477</v>
      </c>
      <c r="N2757" s="16" t="s">
        <v>8966</v>
      </c>
      <c r="O2757" s="16"/>
      <c r="P2757" s="16" t="str">
        <f aca="false">IF(AND(L2757&lt;=$D$2,M2757&gt;=$C$2),"Sí","")</f>
        <v/>
      </c>
      <c r="Q2757" s="18" t="str">
        <f aca="false">IF(COUNTIF(LOOKAHEAD!$A$5:$A$604,A2757)&gt;0,"En Lookahead",IF(P2757="Sí","INCORPORAR",""))</f>
        <v/>
      </c>
    </row>
    <row r="2758" customFormat="false" ht="15" hidden="false" customHeight="false" outlineLevel="0" collapsed="false">
      <c r="A2758" s="16" t="s">
        <v>9058</v>
      </c>
      <c r="B2758" s="16" t="n">
        <v>2753</v>
      </c>
      <c r="C2758" s="16" t="s">
        <v>9059</v>
      </c>
      <c r="D2758" s="16" t="n">
        <v>6</v>
      </c>
      <c r="E2758" s="35" t="s">
        <v>7429</v>
      </c>
      <c r="F2758" s="16" t="s">
        <v>1285</v>
      </c>
      <c r="G2758" s="16" t="s">
        <v>563</v>
      </c>
      <c r="H2758" s="16" t="s">
        <v>5039</v>
      </c>
      <c r="I2758" s="16" t="s">
        <v>109</v>
      </c>
      <c r="J2758" s="16" t="s">
        <v>7416</v>
      </c>
      <c r="K2758" s="32" t="n">
        <v>1</v>
      </c>
      <c r="L2758" s="33" t="n">
        <v>46532</v>
      </c>
      <c r="M2758" s="33" t="n">
        <v>46532</v>
      </c>
      <c r="N2758" s="16" t="s">
        <v>9018</v>
      </c>
      <c r="O2758" s="16"/>
      <c r="P2758" s="16" t="str">
        <f aca="false">IF(AND(L2758&lt;=$D$2,M2758&gt;=$C$2),"Sí","")</f>
        <v/>
      </c>
      <c r="Q2758" s="18" t="str">
        <f aca="false">IF(COUNTIF(LOOKAHEAD!$A$5:$A$604,A2758)&gt;0,"En Lookahead",IF(P2758="Sí","INCORPORAR",""))</f>
        <v/>
      </c>
    </row>
    <row r="2759" customFormat="false" ht="15" hidden="false" customHeight="false" outlineLevel="0" collapsed="false">
      <c r="A2759" s="16" t="s">
        <v>9060</v>
      </c>
      <c r="B2759" s="16" t="n">
        <v>2754</v>
      </c>
      <c r="C2759" s="16" t="s">
        <v>9061</v>
      </c>
      <c r="D2759" s="16" t="n">
        <v>6</v>
      </c>
      <c r="E2759" s="35" t="s">
        <v>7432</v>
      </c>
      <c r="F2759" s="16" t="s">
        <v>1285</v>
      </c>
      <c r="G2759" s="16" t="s">
        <v>563</v>
      </c>
      <c r="H2759" s="16" t="s">
        <v>5039</v>
      </c>
      <c r="I2759" s="16" t="s">
        <v>109</v>
      </c>
      <c r="J2759" s="16" t="s">
        <v>7416</v>
      </c>
      <c r="K2759" s="32" t="n">
        <v>3</v>
      </c>
      <c r="L2759" s="33" t="n">
        <v>46533</v>
      </c>
      <c r="M2759" s="33" t="n">
        <v>46535</v>
      </c>
      <c r="N2759" s="16" t="s">
        <v>9062</v>
      </c>
      <c r="O2759" s="16"/>
      <c r="P2759" s="16" t="str">
        <f aca="false">IF(AND(L2759&lt;=$D$2,M2759&gt;=$C$2),"Sí","")</f>
        <v/>
      </c>
      <c r="Q2759" s="18" t="str">
        <f aca="false">IF(COUNTIF(LOOKAHEAD!$A$5:$A$604,A2759)&gt;0,"En Lookahead",IF(P2759="Sí","INCORPORAR",""))</f>
        <v/>
      </c>
    </row>
    <row r="2760" customFormat="false" ht="15" hidden="false" customHeight="false" outlineLevel="0" collapsed="false">
      <c r="A2760" s="16" t="s">
        <v>9063</v>
      </c>
      <c r="B2760" s="16" t="n">
        <v>2755</v>
      </c>
      <c r="C2760" s="16" t="s">
        <v>9064</v>
      </c>
      <c r="D2760" s="16" t="n">
        <v>6</v>
      </c>
      <c r="E2760" s="35" t="s">
        <v>7436</v>
      </c>
      <c r="F2760" s="16" t="s">
        <v>1285</v>
      </c>
      <c r="G2760" s="16" t="s">
        <v>563</v>
      </c>
      <c r="H2760" s="16" t="s">
        <v>5039</v>
      </c>
      <c r="I2760" s="16" t="s">
        <v>109</v>
      </c>
      <c r="J2760" s="16" t="s">
        <v>7416</v>
      </c>
      <c r="K2760" s="32" t="n">
        <v>1</v>
      </c>
      <c r="L2760" s="33" t="n">
        <v>46536</v>
      </c>
      <c r="M2760" s="33" t="n">
        <v>46536</v>
      </c>
      <c r="N2760" s="16" t="s">
        <v>9065</v>
      </c>
      <c r="O2760" s="16"/>
      <c r="P2760" s="16" t="str">
        <f aca="false">IF(AND(L2760&lt;=$D$2,M2760&gt;=$C$2),"Sí","")</f>
        <v/>
      </c>
      <c r="Q2760" s="18" t="str">
        <f aca="false">IF(COUNTIF(LOOKAHEAD!$A$5:$A$604,A2760)&gt;0,"En Lookahead",IF(P2760="Sí","INCORPORAR",""))</f>
        <v/>
      </c>
    </row>
    <row r="2761" customFormat="false" ht="15" hidden="false" customHeight="false" outlineLevel="0" collapsed="false">
      <c r="A2761" s="13" t="s">
        <v>9066</v>
      </c>
      <c r="B2761" s="13" t="n">
        <v>2756</v>
      </c>
      <c r="C2761" s="13" t="s">
        <v>9067</v>
      </c>
      <c r="D2761" s="13" t="n">
        <v>5</v>
      </c>
      <c r="E2761" s="34" t="s">
        <v>7440</v>
      </c>
      <c r="F2761" s="13" t="s">
        <v>1298</v>
      </c>
      <c r="G2761" s="13" t="s">
        <v>563</v>
      </c>
      <c r="H2761" s="13" t="s">
        <v>5039</v>
      </c>
      <c r="I2761" s="13" t="s">
        <v>109</v>
      </c>
      <c r="J2761" s="13" t="s">
        <v>5039</v>
      </c>
      <c r="K2761" s="30" t="n">
        <v>7</v>
      </c>
      <c r="L2761" s="31" t="n">
        <v>46537</v>
      </c>
      <c r="M2761" s="31" t="n">
        <v>46543</v>
      </c>
      <c r="N2761" s="13"/>
      <c r="O2761" s="13"/>
      <c r="P2761" s="13"/>
      <c r="Q2761" s="13"/>
    </row>
    <row r="2762" customFormat="false" ht="15" hidden="false" customHeight="false" outlineLevel="0" collapsed="false">
      <c r="A2762" s="16" t="s">
        <v>9068</v>
      </c>
      <c r="B2762" s="16" t="n">
        <v>2757</v>
      </c>
      <c r="C2762" s="16" t="s">
        <v>9069</v>
      </c>
      <c r="D2762" s="16" t="n">
        <v>6</v>
      </c>
      <c r="E2762" s="35" t="s">
        <v>7991</v>
      </c>
      <c r="F2762" s="16" t="s">
        <v>1285</v>
      </c>
      <c r="G2762" s="16" t="s">
        <v>563</v>
      </c>
      <c r="H2762" s="16" t="s">
        <v>5039</v>
      </c>
      <c r="I2762" s="16" t="s">
        <v>109</v>
      </c>
      <c r="J2762" s="16" t="s">
        <v>7440</v>
      </c>
      <c r="K2762" s="32" t="n">
        <v>1</v>
      </c>
      <c r="L2762" s="33" t="n">
        <v>46537</v>
      </c>
      <c r="M2762" s="33" t="n">
        <v>46537</v>
      </c>
      <c r="N2762" s="16" t="s">
        <v>9070</v>
      </c>
      <c r="O2762" s="16"/>
      <c r="P2762" s="16" t="str">
        <f aca="false">IF(AND(L2762&lt;=$D$2,M2762&gt;=$C$2),"Sí","")</f>
        <v/>
      </c>
      <c r="Q2762" s="18" t="str">
        <f aca="false">IF(COUNTIF(LOOKAHEAD!$A$5:$A$604,A2762)&gt;0,"En Lookahead",IF(P2762="Sí","INCORPORAR",""))</f>
        <v/>
      </c>
    </row>
    <row r="2763" customFormat="false" ht="15" hidden="false" customHeight="false" outlineLevel="0" collapsed="false">
      <c r="A2763" s="16" t="s">
        <v>9071</v>
      </c>
      <c r="B2763" s="16" t="n">
        <v>2758</v>
      </c>
      <c r="C2763" s="16" t="s">
        <v>9072</v>
      </c>
      <c r="D2763" s="16" t="n">
        <v>6</v>
      </c>
      <c r="E2763" s="35" t="s">
        <v>7774</v>
      </c>
      <c r="F2763" s="16" t="s">
        <v>1285</v>
      </c>
      <c r="G2763" s="16" t="s">
        <v>563</v>
      </c>
      <c r="H2763" s="16" t="s">
        <v>5039</v>
      </c>
      <c r="I2763" s="16" t="s">
        <v>109</v>
      </c>
      <c r="J2763" s="16" t="s">
        <v>7440</v>
      </c>
      <c r="K2763" s="32" t="n">
        <v>1</v>
      </c>
      <c r="L2763" s="33" t="n">
        <v>46538</v>
      </c>
      <c r="M2763" s="33" t="n">
        <v>46538</v>
      </c>
      <c r="N2763" s="16" t="s">
        <v>9073</v>
      </c>
      <c r="O2763" s="16"/>
      <c r="P2763" s="16" t="str">
        <f aca="false">IF(AND(L2763&lt;=$D$2,M2763&gt;=$C$2),"Sí","")</f>
        <v/>
      </c>
      <c r="Q2763" s="18" t="str">
        <f aca="false">IF(COUNTIF(LOOKAHEAD!$A$5:$A$604,A2763)&gt;0,"En Lookahead",IF(P2763="Sí","INCORPORAR",""))</f>
        <v/>
      </c>
    </row>
    <row r="2764" customFormat="false" ht="15" hidden="false" customHeight="false" outlineLevel="0" collapsed="false">
      <c r="A2764" s="16" t="s">
        <v>9074</v>
      </c>
      <c r="B2764" s="16" t="n">
        <v>2759</v>
      </c>
      <c r="C2764" s="16" t="s">
        <v>9075</v>
      </c>
      <c r="D2764" s="16" t="n">
        <v>6</v>
      </c>
      <c r="E2764" s="35" t="s">
        <v>7451</v>
      </c>
      <c r="F2764" s="16" t="s">
        <v>1285</v>
      </c>
      <c r="G2764" s="16" t="s">
        <v>563</v>
      </c>
      <c r="H2764" s="16" t="s">
        <v>5039</v>
      </c>
      <c r="I2764" s="16" t="s">
        <v>109</v>
      </c>
      <c r="J2764" s="16" t="s">
        <v>7440</v>
      </c>
      <c r="K2764" s="32" t="n">
        <v>5</v>
      </c>
      <c r="L2764" s="33" t="n">
        <v>46539</v>
      </c>
      <c r="M2764" s="33" t="n">
        <v>46543</v>
      </c>
      <c r="N2764" s="16" t="s">
        <v>9076</v>
      </c>
      <c r="O2764" s="16"/>
      <c r="P2764" s="16" t="str">
        <f aca="false">IF(AND(L2764&lt;=$D$2,M2764&gt;=$C$2),"Sí","")</f>
        <v/>
      </c>
      <c r="Q2764" s="18" t="str">
        <f aca="false">IF(COUNTIF(LOOKAHEAD!$A$5:$A$604,A2764)&gt;0,"En Lookahead",IF(P2764="Sí","INCORPORAR",""))</f>
        <v/>
      </c>
    </row>
    <row r="2765" customFormat="false" ht="15" hidden="false" customHeight="false" outlineLevel="0" collapsed="false">
      <c r="A2765" s="13" t="s">
        <v>9077</v>
      </c>
      <c r="B2765" s="13" t="n">
        <v>2760</v>
      </c>
      <c r="C2765" s="13" t="s">
        <v>9078</v>
      </c>
      <c r="D2765" s="13" t="n">
        <v>5</v>
      </c>
      <c r="E2765" s="34" t="s">
        <v>7455</v>
      </c>
      <c r="F2765" s="13" t="s">
        <v>1298</v>
      </c>
      <c r="G2765" s="13" t="s">
        <v>563</v>
      </c>
      <c r="H2765" s="13" t="s">
        <v>5039</v>
      </c>
      <c r="I2765" s="13" t="s">
        <v>109</v>
      </c>
      <c r="J2765" s="13" t="s">
        <v>5039</v>
      </c>
      <c r="K2765" s="30" t="n">
        <v>6</v>
      </c>
      <c r="L2765" s="31" t="n">
        <v>46544</v>
      </c>
      <c r="M2765" s="31" t="n">
        <v>46549</v>
      </c>
      <c r="N2765" s="13"/>
      <c r="O2765" s="13"/>
      <c r="P2765" s="13"/>
      <c r="Q2765" s="13"/>
    </row>
    <row r="2766" customFormat="false" ht="15" hidden="false" customHeight="false" outlineLevel="0" collapsed="false">
      <c r="A2766" s="13" t="s">
        <v>9079</v>
      </c>
      <c r="B2766" s="13" t="n">
        <v>2761</v>
      </c>
      <c r="C2766" s="13" t="s">
        <v>9080</v>
      </c>
      <c r="D2766" s="13" t="n">
        <v>6</v>
      </c>
      <c r="E2766" s="36" t="s">
        <v>7458</v>
      </c>
      <c r="F2766" s="13" t="s">
        <v>1298</v>
      </c>
      <c r="G2766" s="13" t="s">
        <v>563</v>
      </c>
      <c r="H2766" s="13" t="s">
        <v>5039</v>
      </c>
      <c r="I2766" s="13" t="s">
        <v>109</v>
      </c>
      <c r="J2766" s="13" t="s">
        <v>7455</v>
      </c>
      <c r="K2766" s="30" t="n">
        <v>4</v>
      </c>
      <c r="L2766" s="31" t="n">
        <v>46544</v>
      </c>
      <c r="M2766" s="31" t="n">
        <v>46547</v>
      </c>
      <c r="N2766" s="13"/>
      <c r="O2766" s="13"/>
      <c r="P2766" s="13"/>
      <c r="Q2766" s="13"/>
    </row>
    <row r="2767" customFormat="false" ht="15" hidden="false" customHeight="false" outlineLevel="0" collapsed="false">
      <c r="A2767" s="16" t="s">
        <v>9081</v>
      </c>
      <c r="B2767" s="16" t="n">
        <v>2762</v>
      </c>
      <c r="C2767" s="16" t="s">
        <v>9082</v>
      </c>
      <c r="D2767" s="16" t="n">
        <v>7</v>
      </c>
      <c r="E2767" s="37" t="s">
        <v>7461</v>
      </c>
      <c r="F2767" s="16" t="s">
        <v>1285</v>
      </c>
      <c r="G2767" s="16" t="s">
        <v>563</v>
      </c>
      <c r="H2767" s="16" t="s">
        <v>5039</v>
      </c>
      <c r="I2767" s="16" t="s">
        <v>109</v>
      </c>
      <c r="J2767" s="16" t="s">
        <v>7458</v>
      </c>
      <c r="K2767" s="32" t="n">
        <v>2</v>
      </c>
      <c r="L2767" s="33" t="n">
        <v>46544</v>
      </c>
      <c r="M2767" s="33" t="n">
        <v>46545</v>
      </c>
      <c r="N2767" s="16" t="s">
        <v>9083</v>
      </c>
      <c r="O2767" s="16"/>
      <c r="P2767" s="16" t="str">
        <f aca="false">IF(AND(L2767&lt;=$D$2,M2767&gt;=$C$2),"Sí","")</f>
        <v/>
      </c>
      <c r="Q2767" s="18" t="str">
        <f aca="false">IF(COUNTIF(LOOKAHEAD!$A$5:$A$604,A2767)&gt;0,"En Lookahead",IF(P2767="Sí","INCORPORAR",""))</f>
        <v/>
      </c>
    </row>
    <row r="2768" customFormat="false" ht="15" hidden="false" customHeight="false" outlineLevel="0" collapsed="false">
      <c r="A2768" s="16" t="s">
        <v>9084</v>
      </c>
      <c r="B2768" s="16" t="n">
        <v>2763</v>
      </c>
      <c r="C2768" s="16" t="s">
        <v>9085</v>
      </c>
      <c r="D2768" s="16" t="n">
        <v>7</v>
      </c>
      <c r="E2768" s="37" t="s">
        <v>7465</v>
      </c>
      <c r="F2768" s="16" t="s">
        <v>1285</v>
      </c>
      <c r="G2768" s="16" t="s">
        <v>563</v>
      </c>
      <c r="H2768" s="16" t="s">
        <v>5039</v>
      </c>
      <c r="I2768" s="16" t="s">
        <v>109</v>
      </c>
      <c r="J2768" s="16" t="s">
        <v>7458</v>
      </c>
      <c r="K2768" s="32" t="n">
        <v>1</v>
      </c>
      <c r="L2768" s="33" t="n">
        <v>46546</v>
      </c>
      <c r="M2768" s="33" t="n">
        <v>46546</v>
      </c>
      <c r="N2768" s="16" t="s">
        <v>9086</v>
      </c>
      <c r="O2768" s="16"/>
      <c r="P2768" s="16" t="str">
        <f aca="false">IF(AND(L2768&lt;=$D$2,M2768&gt;=$C$2),"Sí","")</f>
        <v/>
      </c>
      <c r="Q2768" s="18" t="str">
        <f aca="false">IF(COUNTIF(LOOKAHEAD!$A$5:$A$604,A2768)&gt;0,"En Lookahead",IF(P2768="Sí","INCORPORAR",""))</f>
        <v/>
      </c>
    </row>
    <row r="2769" customFormat="false" ht="15" hidden="false" customHeight="false" outlineLevel="0" collapsed="false">
      <c r="A2769" s="16" t="s">
        <v>9087</v>
      </c>
      <c r="B2769" s="16" t="n">
        <v>2764</v>
      </c>
      <c r="C2769" s="16" t="s">
        <v>9088</v>
      </c>
      <c r="D2769" s="16" t="n">
        <v>7</v>
      </c>
      <c r="E2769" s="37" t="s">
        <v>7469</v>
      </c>
      <c r="F2769" s="16" t="s">
        <v>1285</v>
      </c>
      <c r="G2769" s="16" t="s">
        <v>563</v>
      </c>
      <c r="H2769" s="16" t="s">
        <v>5039</v>
      </c>
      <c r="I2769" s="16" t="s">
        <v>109</v>
      </c>
      <c r="J2769" s="16" t="s">
        <v>7458</v>
      </c>
      <c r="K2769" s="32" t="n">
        <v>1</v>
      </c>
      <c r="L2769" s="33" t="n">
        <v>46547</v>
      </c>
      <c r="M2769" s="33" t="n">
        <v>46547</v>
      </c>
      <c r="N2769" s="16" t="s">
        <v>9089</v>
      </c>
      <c r="O2769" s="16"/>
      <c r="P2769" s="16" t="str">
        <f aca="false">IF(AND(L2769&lt;=$D$2,M2769&gt;=$C$2),"Sí","")</f>
        <v/>
      </c>
      <c r="Q2769" s="18" t="str">
        <f aca="false">IF(COUNTIF(LOOKAHEAD!$A$5:$A$604,A2769)&gt;0,"En Lookahead",IF(P2769="Sí","INCORPORAR",""))</f>
        <v/>
      </c>
    </row>
    <row r="2770" customFormat="false" ht="15" hidden="false" customHeight="false" outlineLevel="0" collapsed="false">
      <c r="A2770" s="13" t="s">
        <v>9090</v>
      </c>
      <c r="B2770" s="13" t="n">
        <v>2765</v>
      </c>
      <c r="C2770" s="13" t="s">
        <v>9091</v>
      </c>
      <c r="D2770" s="13" t="n">
        <v>6</v>
      </c>
      <c r="E2770" s="36" t="s">
        <v>7798</v>
      </c>
      <c r="F2770" s="13" t="s">
        <v>1298</v>
      </c>
      <c r="G2770" s="13" t="s">
        <v>563</v>
      </c>
      <c r="H2770" s="13" t="s">
        <v>5039</v>
      </c>
      <c r="I2770" s="13" t="s">
        <v>109</v>
      </c>
      <c r="J2770" s="13" t="s">
        <v>7455</v>
      </c>
      <c r="K2770" s="30" t="n">
        <v>1</v>
      </c>
      <c r="L2770" s="31" t="n">
        <v>46548</v>
      </c>
      <c r="M2770" s="31" t="n">
        <v>46548</v>
      </c>
      <c r="N2770" s="13"/>
      <c r="O2770" s="13"/>
      <c r="P2770" s="13"/>
      <c r="Q2770" s="13"/>
    </row>
    <row r="2771" customFormat="false" ht="15" hidden="false" customHeight="false" outlineLevel="0" collapsed="false">
      <c r="A2771" s="16" t="s">
        <v>9092</v>
      </c>
      <c r="B2771" s="16" t="n">
        <v>2766</v>
      </c>
      <c r="C2771" s="16" t="s">
        <v>9093</v>
      </c>
      <c r="D2771" s="16" t="n">
        <v>7</v>
      </c>
      <c r="E2771" s="37" t="s">
        <v>7801</v>
      </c>
      <c r="F2771" s="16" t="s">
        <v>1285</v>
      </c>
      <c r="G2771" s="16" t="s">
        <v>563</v>
      </c>
      <c r="H2771" s="16" t="s">
        <v>5039</v>
      </c>
      <c r="I2771" s="16" t="s">
        <v>109</v>
      </c>
      <c r="J2771" s="16" t="s">
        <v>7798</v>
      </c>
      <c r="K2771" s="32" t="n">
        <v>1</v>
      </c>
      <c r="L2771" s="33" t="n">
        <v>46548</v>
      </c>
      <c r="M2771" s="33" t="n">
        <v>46548</v>
      </c>
      <c r="N2771" s="16" t="s">
        <v>9094</v>
      </c>
      <c r="O2771" s="16"/>
      <c r="P2771" s="16" t="str">
        <f aca="false">IF(AND(L2771&lt;=$D$2,M2771&gt;=$C$2),"Sí","")</f>
        <v/>
      </c>
      <c r="Q2771" s="18" t="str">
        <f aca="false">IF(COUNTIF(LOOKAHEAD!$A$5:$A$604,A2771)&gt;0,"En Lookahead",IF(P2771="Sí","INCORPORAR",""))</f>
        <v/>
      </c>
    </row>
    <row r="2772" customFormat="false" ht="15" hidden="false" customHeight="false" outlineLevel="0" collapsed="false">
      <c r="A2772" s="13" t="s">
        <v>9095</v>
      </c>
      <c r="B2772" s="13" t="n">
        <v>2767</v>
      </c>
      <c r="C2772" s="13" t="s">
        <v>9096</v>
      </c>
      <c r="D2772" s="13" t="n">
        <v>6</v>
      </c>
      <c r="E2772" s="36" t="s">
        <v>7810</v>
      </c>
      <c r="F2772" s="13" t="s">
        <v>1298</v>
      </c>
      <c r="G2772" s="13" t="s">
        <v>563</v>
      </c>
      <c r="H2772" s="13" t="s">
        <v>5039</v>
      </c>
      <c r="I2772" s="13" t="s">
        <v>109</v>
      </c>
      <c r="J2772" s="13" t="s">
        <v>7455</v>
      </c>
      <c r="K2772" s="30" t="n">
        <v>1</v>
      </c>
      <c r="L2772" s="31" t="n">
        <v>46549</v>
      </c>
      <c r="M2772" s="31" t="n">
        <v>46549</v>
      </c>
      <c r="N2772" s="13"/>
      <c r="O2772" s="13"/>
      <c r="P2772" s="13"/>
      <c r="Q2772" s="13"/>
    </row>
    <row r="2773" customFormat="false" ht="15" hidden="false" customHeight="false" outlineLevel="0" collapsed="false">
      <c r="A2773" s="16" t="s">
        <v>9097</v>
      </c>
      <c r="B2773" s="16" t="n">
        <v>2768</v>
      </c>
      <c r="C2773" s="16" t="s">
        <v>9098</v>
      </c>
      <c r="D2773" s="16" t="n">
        <v>7</v>
      </c>
      <c r="E2773" s="37" t="s">
        <v>7813</v>
      </c>
      <c r="F2773" s="16" t="s">
        <v>1285</v>
      </c>
      <c r="G2773" s="16" t="s">
        <v>563</v>
      </c>
      <c r="H2773" s="16" t="s">
        <v>5039</v>
      </c>
      <c r="I2773" s="16" t="s">
        <v>109</v>
      </c>
      <c r="J2773" s="16" t="s">
        <v>7810</v>
      </c>
      <c r="K2773" s="32" t="n">
        <v>1</v>
      </c>
      <c r="L2773" s="33" t="n">
        <v>46549</v>
      </c>
      <c r="M2773" s="33" t="n">
        <v>46549</v>
      </c>
      <c r="N2773" s="16" t="s">
        <v>9099</v>
      </c>
      <c r="O2773" s="16"/>
      <c r="P2773" s="16" t="str">
        <f aca="false">IF(AND(L2773&lt;=$D$2,M2773&gt;=$C$2),"Sí","")</f>
        <v/>
      </c>
      <c r="Q2773" s="18" t="str">
        <f aca="false">IF(COUNTIF(LOOKAHEAD!$A$5:$A$604,A2773)&gt;0,"En Lookahead",IF(P2773="Sí","INCORPORAR",""))</f>
        <v/>
      </c>
    </row>
    <row r="2774" customFormat="false" ht="15" hidden="false" customHeight="false" outlineLevel="0" collapsed="false">
      <c r="A2774" s="13" t="s">
        <v>9100</v>
      </c>
      <c r="B2774" s="13" t="n">
        <v>2769</v>
      </c>
      <c r="C2774" s="13" t="s">
        <v>9101</v>
      </c>
      <c r="D2774" s="13" t="n">
        <v>4</v>
      </c>
      <c r="E2774" s="20" t="s">
        <v>9102</v>
      </c>
      <c r="F2774" s="13" t="s">
        <v>1298</v>
      </c>
      <c r="G2774" s="13" t="s">
        <v>563</v>
      </c>
      <c r="H2774" s="13" t="s">
        <v>9102</v>
      </c>
      <c r="I2774" s="13" t="s">
        <v>114</v>
      </c>
      <c r="J2774" s="13" t="s">
        <v>7172</v>
      </c>
      <c r="K2774" s="30" t="n">
        <v>149</v>
      </c>
      <c r="L2774" s="31" t="n">
        <v>46298</v>
      </c>
      <c r="M2774" s="31" t="n">
        <v>46446</v>
      </c>
      <c r="N2774" s="13"/>
      <c r="O2774" s="13"/>
      <c r="P2774" s="13"/>
      <c r="Q2774" s="13"/>
    </row>
    <row r="2775" customFormat="false" ht="15" hidden="false" customHeight="false" outlineLevel="0" collapsed="false">
      <c r="A2775" s="13" t="s">
        <v>9103</v>
      </c>
      <c r="B2775" s="13" t="n">
        <v>2770</v>
      </c>
      <c r="C2775" s="13" t="s">
        <v>9104</v>
      </c>
      <c r="D2775" s="13" t="n">
        <v>5</v>
      </c>
      <c r="E2775" s="34" t="s">
        <v>7177</v>
      </c>
      <c r="F2775" s="13" t="s">
        <v>1298</v>
      </c>
      <c r="G2775" s="13" t="s">
        <v>563</v>
      </c>
      <c r="H2775" s="13" t="s">
        <v>9102</v>
      </c>
      <c r="I2775" s="13" t="s">
        <v>114</v>
      </c>
      <c r="J2775" s="13" t="s">
        <v>9102</v>
      </c>
      <c r="K2775" s="30" t="n">
        <v>33</v>
      </c>
      <c r="L2775" s="31" t="n">
        <v>46298</v>
      </c>
      <c r="M2775" s="31" t="n">
        <v>46330</v>
      </c>
      <c r="N2775" s="13"/>
      <c r="O2775" s="13"/>
      <c r="P2775" s="13"/>
      <c r="Q2775" s="13"/>
    </row>
    <row r="2776" customFormat="false" ht="15" hidden="false" customHeight="false" outlineLevel="0" collapsed="false">
      <c r="A2776" s="16" t="s">
        <v>9105</v>
      </c>
      <c r="B2776" s="16" t="n">
        <v>2771</v>
      </c>
      <c r="C2776" s="16" t="s">
        <v>9106</v>
      </c>
      <c r="D2776" s="16" t="n">
        <v>6</v>
      </c>
      <c r="E2776" s="35" t="s">
        <v>7180</v>
      </c>
      <c r="F2776" s="16" t="s">
        <v>1285</v>
      </c>
      <c r="G2776" s="16" t="s">
        <v>563</v>
      </c>
      <c r="H2776" s="16" t="s">
        <v>9102</v>
      </c>
      <c r="I2776" s="16" t="s">
        <v>114</v>
      </c>
      <c r="J2776" s="16" t="s">
        <v>7177</v>
      </c>
      <c r="K2776" s="32" t="n">
        <v>15</v>
      </c>
      <c r="L2776" s="33" t="n">
        <v>46298</v>
      </c>
      <c r="M2776" s="33" t="n">
        <v>46312</v>
      </c>
      <c r="N2776" s="16" t="s">
        <v>5479</v>
      </c>
      <c r="O2776" s="16"/>
      <c r="P2776" s="16" t="str">
        <f aca="false">IF(AND(L2776&lt;=$D$2,M2776&gt;=$C$2),"Sí","")</f>
        <v>Sí</v>
      </c>
      <c r="Q2776" s="18" t="str">
        <f aca="false">IF(COUNTIF(LOOKAHEAD!$A$5:$A$604,A2776)&gt;0,"En Lookahead",IF(P2776="Sí","INCORPORAR",""))</f>
        <v>En Lookahead</v>
      </c>
    </row>
    <row r="2777" customFormat="false" ht="15" hidden="false" customHeight="false" outlineLevel="0" collapsed="false">
      <c r="A2777" s="16" t="s">
        <v>9107</v>
      </c>
      <c r="B2777" s="16" t="n">
        <v>2772</v>
      </c>
      <c r="C2777" s="16" t="s">
        <v>9108</v>
      </c>
      <c r="D2777" s="16" t="n">
        <v>6</v>
      </c>
      <c r="E2777" s="35" t="s">
        <v>7183</v>
      </c>
      <c r="F2777" s="16" t="s">
        <v>1285</v>
      </c>
      <c r="G2777" s="16" t="s">
        <v>563</v>
      </c>
      <c r="H2777" s="16" t="s">
        <v>9102</v>
      </c>
      <c r="I2777" s="16" t="s">
        <v>114</v>
      </c>
      <c r="J2777" s="16" t="s">
        <v>7177</v>
      </c>
      <c r="K2777" s="32" t="n">
        <v>13</v>
      </c>
      <c r="L2777" s="33" t="n">
        <v>46313</v>
      </c>
      <c r="M2777" s="33" t="n">
        <v>46325</v>
      </c>
      <c r="N2777" s="16" t="s">
        <v>5490</v>
      </c>
      <c r="O2777" s="16"/>
      <c r="P2777" s="16" t="str">
        <f aca="false">IF(AND(L2777&lt;=$D$2,M2777&gt;=$C$2),"Sí","")</f>
        <v>Sí</v>
      </c>
      <c r="Q2777" s="18" t="str">
        <f aca="false">IF(COUNTIF(LOOKAHEAD!$A$5:$A$604,A2777)&gt;0,"En Lookahead",IF(P2777="Sí","INCORPORAR",""))</f>
        <v>En Lookahead</v>
      </c>
    </row>
    <row r="2778" customFormat="false" ht="15" hidden="false" customHeight="false" outlineLevel="0" collapsed="false">
      <c r="A2778" s="16" t="s">
        <v>9109</v>
      </c>
      <c r="B2778" s="16" t="n">
        <v>2773</v>
      </c>
      <c r="C2778" s="16" t="s">
        <v>9110</v>
      </c>
      <c r="D2778" s="16" t="n">
        <v>6</v>
      </c>
      <c r="E2778" s="35" t="s">
        <v>7190</v>
      </c>
      <c r="F2778" s="16" t="s">
        <v>1285</v>
      </c>
      <c r="G2778" s="16" t="s">
        <v>563</v>
      </c>
      <c r="H2778" s="16" t="s">
        <v>9102</v>
      </c>
      <c r="I2778" s="16" t="s">
        <v>114</v>
      </c>
      <c r="J2778" s="16" t="s">
        <v>7177</v>
      </c>
      <c r="K2778" s="32" t="n">
        <v>1</v>
      </c>
      <c r="L2778" s="33" t="n">
        <v>46326</v>
      </c>
      <c r="M2778" s="33" t="n">
        <v>46326</v>
      </c>
      <c r="N2778" s="16" t="s">
        <v>9111</v>
      </c>
      <c r="O2778" s="16"/>
      <c r="P2778" s="16" t="str">
        <f aca="false">IF(AND(L2778&lt;=$D$2,M2778&gt;=$C$2),"Sí","")</f>
        <v>Sí</v>
      </c>
      <c r="Q2778" s="18" t="str">
        <f aca="false">IF(COUNTIF(LOOKAHEAD!$A$5:$A$604,A2778)&gt;0,"En Lookahead",IF(P2778="Sí","INCORPORAR",""))</f>
        <v>En Lookahead</v>
      </c>
    </row>
    <row r="2779" customFormat="false" ht="15" hidden="false" customHeight="false" outlineLevel="0" collapsed="false">
      <c r="A2779" s="16" t="s">
        <v>9112</v>
      </c>
      <c r="B2779" s="16" t="n">
        <v>2774</v>
      </c>
      <c r="C2779" s="16" t="s">
        <v>9113</v>
      </c>
      <c r="D2779" s="16" t="n">
        <v>6</v>
      </c>
      <c r="E2779" s="35" t="s">
        <v>7194</v>
      </c>
      <c r="F2779" s="16" t="s">
        <v>1285</v>
      </c>
      <c r="G2779" s="16" t="s">
        <v>563</v>
      </c>
      <c r="H2779" s="16" t="s">
        <v>9102</v>
      </c>
      <c r="I2779" s="16" t="s">
        <v>114</v>
      </c>
      <c r="J2779" s="16" t="s">
        <v>7177</v>
      </c>
      <c r="K2779" s="32" t="n">
        <v>1</v>
      </c>
      <c r="L2779" s="33" t="n">
        <v>46327</v>
      </c>
      <c r="M2779" s="33" t="n">
        <v>46327</v>
      </c>
      <c r="N2779" s="16" t="s">
        <v>9114</v>
      </c>
      <c r="O2779" s="16"/>
      <c r="P2779" s="16" t="str">
        <f aca="false">IF(AND(L2779&lt;=$D$2,M2779&gt;=$C$2),"Sí","")</f>
        <v>Sí</v>
      </c>
      <c r="Q2779" s="18" t="str">
        <f aca="false">IF(COUNTIF(LOOKAHEAD!$A$5:$A$604,A2779)&gt;0,"En Lookahead",IF(P2779="Sí","INCORPORAR",""))</f>
        <v>En Lookahead</v>
      </c>
    </row>
    <row r="2780" customFormat="false" ht="15" hidden="false" customHeight="false" outlineLevel="0" collapsed="false">
      <c r="A2780" s="16" t="s">
        <v>9115</v>
      </c>
      <c r="B2780" s="16" t="n">
        <v>2775</v>
      </c>
      <c r="C2780" s="16" t="s">
        <v>9116</v>
      </c>
      <c r="D2780" s="16" t="n">
        <v>6</v>
      </c>
      <c r="E2780" s="35" t="s">
        <v>7202</v>
      </c>
      <c r="F2780" s="16" t="s">
        <v>1285</v>
      </c>
      <c r="G2780" s="16" t="s">
        <v>563</v>
      </c>
      <c r="H2780" s="16" t="s">
        <v>9102</v>
      </c>
      <c r="I2780" s="16" t="s">
        <v>114</v>
      </c>
      <c r="J2780" s="16" t="s">
        <v>7177</v>
      </c>
      <c r="K2780" s="32" t="n">
        <v>3</v>
      </c>
      <c r="L2780" s="33" t="n">
        <v>46328</v>
      </c>
      <c r="M2780" s="33" t="n">
        <v>46330</v>
      </c>
      <c r="N2780" s="16" t="s">
        <v>9117</v>
      </c>
      <c r="O2780" s="16"/>
      <c r="P2780" s="16" t="str">
        <f aca="false">IF(AND(L2780&lt;=$D$2,M2780&gt;=$C$2),"Sí","")</f>
        <v>Sí</v>
      </c>
      <c r="Q2780" s="18" t="str">
        <f aca="false">IF(COUNTIF(LOOKAHEAD!$A$5:$A$604,A2780)&gt;0,"En Lookahead",IF(P2780="Sí","INCORPORAR",""))</f>
        <v>En Lookahead</v>
      </c>
    </row>
    <row r="2781" customFormat="false" ht="15" hidden="false" customHeight="false" outlineLevel="0" collapsed="false">
      <c r="A2781" s="13" t="s">
        <v>9118</v>
      </c>
      <c r="B2781" s="13" t="n">
        <v>2776</v>
      </c>
      <c r="C2781" s="13" t="s">
        <v>9119</v>
      </c>
      <c r="D2781" s="13" t="n">
        <v>5</v>
      </c>
      <c r="E2781" s="34" t="s">
        <v>7206</v>
      </c>
      <c r="F2781" s="13" t="s">
        <v>1298</v>
      </c>
      <c r="G2781" s="13" t="s">
        <v>563</v>
      </c>
      <c r="H2781" s="13" t="s">
        <v>9102</v>
      </c>
      <c r="I2781" s="13" t="s">
        <v>114</v>
      </c>
      <c r="J2781" s="13" t="s">
        <v>9102</v>
      </c>
      <c r="K2781" s="30" t="n">
        <v>79</v>
      </c>
      <c r="L2781" s="31" t="n">
        <v>46331</v>
      </c>
      <c r="M2781" s="31" t="n">
        <v>46409</v>
      </c>
      <c r="N2781" s="13"/>
      <c r="O2781" s="13"/>
      <c r="P2781" s="13"/>
      <c r="Q2781" s="13"/>
    </row>
    <row r="2782" customFormat="false" ht="15" hidden="false" customHeight="false" outlineLevel="0" collapsed="false">
      <c r="A2782" s="16" t="s">
        <v>9120</v>
      </c>
      <c r="B2782" s="16" t="n">
        <v>2777</v>
      </c>
      <c r="C2782" s="16" t="s">
        <v>9121</v>
      </c>
      <c r="D2782" s="16" t="n">
        <v>6</v>
      </c>
      <c r="E2782" s="35" t="s">
        <v>7209</v>
      </c>
      <c r="F2782" s="16" t="s">
        <v>1285</v>
      </c>
      <c r="G2782" s="16" t="s">
        <v>563</v>
      </c>
      <c r="H2782" s="16" t="s">
        <v>9102</v>
      </c>
      <c r="I2782" s="16" t="s">
        <v>114</v>
      </c>
      <c r="J2782" s="16" t="s">
        <v>7206</v>
      </c>
      <c r="K2782" s="32" t="n">
        <v>31</v>
      </c>
      <c r="L2782" s="33" t="n">
        <v>46331</v>
      </c>
      <c r="M2782" s="33" t="n">
        <v>46361</v>
      </c>
      <c r="N2782" s="16" t="s">
        <v>9122</v>
      </c>
      <c r="O2782" s="16"/>
      <c r="P2782" s="16" t="str">
        <f aca="false">IF(AND(L2782&lt;=$D$2,M2782&gt;=$C$2),"Sí","")</f>
        <v>Sí</v>
      </c>
      <c r="Q2782" s="18" t="str">
        <f aca="false">IF(COUNTIF(LOOKAHEAD!$A$5:$A$604,A2782)&gt;0,"En Lookahead",IF(P2782="Sí","INCORPORAR",""))</f>
        <v>En Lookahead</v>
      </c>
    </row>
    <row r="2783" customFormat="false" ht="15" hidden="false" customHeight="false" outlineLevel="0" collapsed="false">
      <c r="A2783" s="16" t="s">
        <v>9123</v>
      </c>
      <c r="B2783" s="16" t="n">
        <v>2778</v>
      </c>
      <c r="C2783" s="16" t="s">
        <v>9124</v>
      </c>
      <c r="D2783" s="16" t="n">
        <v>6</v>
      </c>
      <c r="E2783" s="35" t="s">
        <v>7212</v>
      </c>
      <c r="F2783" s="16" t="s">
        <v>1285</v>
      </c>
      <c r="G2783" s="16" t="s">
        <v>563</v>
      </c>
      <c r="H2783" s="16" t="s">
        <v>9102</v>
      </c>
      <c r="I2783" s="16" t="s">
        <v>114</v>
      </c>
      <c r="J2783" s="16" t="s">
        <v>7206</v>
      </c>
      <c r="K2783" s="32" t="n">
        <v>13</v>
      </c>
      <c r="L2783" s="33" t="n">
        <v>46362</v>
      </c>
      <c r="M2783" s="33" t="n">
        <v>46374</v>
      </c>
      <c r="N2783" s="16" t="s">
        <v>9125</v>
      </c>
      <c r="O2783" s="16"/>
      <c r="P2783" s="16" t="str">
        <f aca="false">IF(AND(L2783&lt;=$D$2,M2783&gt;=$C$2),"Sí","")</f>
        <v/>
      </c>
      <c r="Q2783" s="18" t="str">
        <f aca="false">IF(COUNTIF(LOOKAHEAD!$A$5:$A$604,A2783)&gt;0,"En Lookahead",IF(P2783="Sí","INCORPORAR",""))</f>
        <v/>
      </c>
    </row>
    <row r="2784" customFormat="false" ht="15" hidden="false" customHeight="false" outlineLevel="0" collapsed="false">
      <c r="A2784" s="16" t="s">
        <v>9126</v>
      </c>
      <c r="B2784" s="16" t="n">
        <v>2779</v>
      </c>
      <c r="C2784" s="16" t="s">
        <v>9127</v>
      </c>
      <c r="D2784" s="16" t="n">
        <v>6</v>
      </c>
      <c r="E2784" s="35" t="s">
        <v>8656</v>
      </c>
      <c r="F2784" s="16" t="s">
        <v>1285</v>
      </c>
      <c r="G2784" s="16" t="s">
        <v>563</v>
      </c>
      <c r="H2784" s="16" t="s">
        <v>9102</v>
      </c>
      <c r="I2784" s="16" t="s">
        <v>114</v>
      </c>
      <c r="J2784" s="16" t="s">
        <v>7206</v>
      </c>
      <c r="K2784" s="32" t="n">
        <v>14</v>
      </c>
      <c r="L2784" s="33" t="n">
        <v>46375</v>
      </c>
      <c r="M2784" s="33" t="n">
        <v>46388</v>
      </c>
      <c r="N2784" s="16" t="s">
        <v>9128</v>
      </c>
      <c r="O2784" s="16"/>
      <c r="P2784" s="16" t="str">
        <f aca="false">IF(AND(L2784&lt;=$D$2,M2784&gt;=$C$2),"Sí","")</f>
        <v/>
      </c>
      <c r="Q2784" s="18" t="str">
        <f aca="false">IF(COUNTIF(LOOKAHEAD!$A$5:$A$604,A2784)&gt;0,"En Lookahead",IF(P2784="Sí","INCORPORAR",""))</f>
        <v/>
      </c>
    </row>
    <row r="2785" customFormat="false" ht="15" hidden="false" customHeight="false" outlineLevel="0" collapsed="false">
      <c r="A2785" s="16" t="s">
        <v>9129</v>
      </c>
      <c r="B2785" s="16" t="n">
        <v>2780</v>
      </c>
      <c r="C2785" s="16" t="s">
        <v>9130</v>
      </c>
      <c r="D2785" s="16" t="n">
        <v>6</v>
      </c>
      <c r="E2785" s="35" t="s">
        <v>7220</v>
      </c>
      <c r="F2785" s="16" t="s">
        <v>1285</v>
      </c>
      <c r="G2785" s="16" t="s">
        <v>563</v>
      </c>
      <c r="H2785" s="16" t="s">
        <v>9102</v>
      </c>
      <c r="I2785" s="16" t="s">
        <v>114</v>
      </c>
      <c r="J2785" s="16" t="s">
        <v>7206</v>
      </c>
      <c r="K2785" s="32" t="n">
        <v>5</v>
      </c>
      <c r="L2785" s="33" t="n">
        <v>46389</v>
      </c>
      <c r="M2785" s="33" t="n">
        <v>46393</v>
      </c>
      <c r="N2785" s="16" t="s">
        <v>9131</v>
      </c>
      <c r="O2785" s="16"/>
      <c r="P2785" s="16" t="str">
        <f aca="false">IF(AND(L2785&lt;=$D$2,M2785&gt;=$C$2),"Sí","")</f>
        <v/>
      </c>
      <c r="Q2785" s="18" t="str">
        <f aca="false">IF(COUNTIF(LOOKAHEAD!$A$5:$A$604,A2785)&gt;0,"En Lookahead",IF(P2785="Sí","INCORPORAR",""))</f>
        <v/>
      </c>
    </row>
    <row r="2786" customFormat="false" ht="15" hidden="false" customHeight="false" outlineLevel="0" collapsed="false">
      <c r="A2786" s="16" t="s">
        <v>9132</v>
      </c>
      <c r="B2786" s="16" t="n">
        <v>2781</v>
      </c>
      <c r="C2786" s="16" t="s">
        <v>9133</v>
      </c>
      <c r="D2786" s="16" t="n">
        <v>6</v>
      </c>
      <c r="E2786" s="35" t="s">
        <v>7224</v>
      </c>
      <c r="F2786" s="16" t="s">
        <v>1285</v>
      </c>
      <c r="G2786" s="16" t="s">
        <v>563</v>
      </c>
      <c r="H2786" s="16" t="s">
        <v>9102</v>
      </c>
      <c r="I2786" s="16" t="s">
        <v>114</v>
      </c>
      <c r="J2786" s="16" t="s">
        <v>7206</v>
      </c>
      <c r="K2786" s="32" t="n">
        <v>16</v>
      </c>
      <c r="L2786" s="33" t="n">
        <v>46394</v>
      </c>
      <c r="M2786" s="33" t="n">
        <v>46409</v>
      </c>
      <c r="N2786" s="16" t="s">
        <v>9134</v>
      </c>
      <c r="O2786" s="16"/>
      <c r="P2786" s="16" t="str">
        <f aca="false">IF(AND(L2786&lt;=$D$2,M2786&gt;=$C$2),"Sí","")</f>
        <v/>
      </c>
      <c r="Q2786" s="18" t="str">
        <f aca="false">IF(COUNTIF(LOOKAHEAD!$A$5:$A$604,A2786)&gt;0,"En Lookahead",IF(P2786="Sí","INCORPORAR",""))</f>
        <v/>
      </c>
    </row>
    <row r="2787" customFormat="false" ht="15" hidden="false" customHeight="false" outlineLevel="0" collapsed="false">
      <c r="A2787" s="16" t="s">
        <v>9135</v>
      </c>
      <c r="B2787" s="16" t="n">
        <v>2782</v>
      </c>
      <c r="C2787" s="16" t="s">
        <v>9136</v>
      </c>
      <c r="D2787" s="16" t="n">
        <v>6</v>
      </c>
      <c r="E2787" s="35" t="s">
        <v>7232</v>
      </c>
      <c r="F2787" s="16" t="s">
        <v>1285</v>
      </c>
      <c r="G2787" s="16" t="s">
        <v>563</v>
      </c>
      <c r="H2787" s="16" t="s">
        <v>9102</v>
      </c>
      <c r="I2787" s="16" t="s">
        <v>114</v>
      </c>
      <c r="J2787" s="16" t="s">
        <v>7206</v>
      </c>
      <c r="K2787" s="32" t="n">
        <v>4</v>
      </c>
      <c r="L2787" s="33" t="n">
        <v>46375</v>
      </c>
      <c r="M2787" s="33" t="n">
        <v>46378</v>
      </c>
      <c r="N2787" s="16" t="s">
        <v>9137</v>
      </c>
      <c r="O2787" s="16"/>
      <c r="P2787" s="16" t="str">
        <f aca="false">IF(AND(L2787&lt;=$D$2,M2787&gt;=$C$2),"Sí","")</f>
        <v/>
      </c>
      <c r="Q2787" s="18" t="str">
        <f aca="false">IF(COUNTIF(LOOKAHEAD!$A$5:$A$604,A2787)&gt;0,"En Lookahead",IF(P2787="Sí","INCORPORAR",""))</f>
        <v/>
      </c>
    </row>
    <row r="2788" customFormat="false" ht="15" hidden="false" customHeight="false" outlineLevel="0" collapsed="false">
      <c r="A2788" s="13" t="s">
        <v>9138</v>
      </c>
      <c r="B2788" s="13" t="n">
        <v>2783</v>
      </c>
      <c r="C2788" s="13" t="s">
        <v>9139</v>
      </c>
      <c r="D2788" s="13" t="n">
        <v>5</v>
      </c>
      <c r="E2788" s="34" t="s">
        <v>7236</v>
      </c>
      <c r="F2788" s="13" t="s">
        <v>1298</v>
      </c>
      <c r="G2788" s="13" t="s">
        <v>563</v>
      </c>
      <c r="H2788" s="13" t="s">
        <v>9102</v>
      </c>
      <c r="I2788" s="13" t="s">
        <v>114</v>
      </c>
      <c r="J2788" s="13" t="s">
        <v>9102</v>
      </c>
      <c r="K2788" s="30" t="n">
        <v>13</v>
      </c>
      <c r="L2788" s="31" t="n">
        <v>46379</v>
      </c>
      <c r="M2788" s="31" t="n">
        <v>46391</v>
      </c>
      <c r="N2788" s="13"/>
      <c r="O2788" s="13"/>
      <c r="P2788" s="13"/>
      <c r="Q2788" s="13"/>
    </row>
    <row r="2789" customFormat="false" ht="15" hidden="false" customHeight="false" outlineLevel="0" collapsed="false">
      <c r="A2789" s="16" t="s">
        <v>9140</v>
      </c>
      <c r="B2789" s="16" t="n">
        <v>2784</v>
      </c>
      <c r="C2789" s="16" t="s">
        <v>9141</v>
      </c>
      <c r="D2789" s="16" t="n">
        <v>6</v>
      </c>
      <c r="E2789" s="35" t="s">
        <v>7239</v>
      </c>
      <c r="F2789" s="16" t="s">
        <v>1285</v>
      </c>
      <c r="G2789" s="16" t="s">
        <v>563</v>
      </c>
      <c r="H2789" s="16" t="s">
        <v>9102</v>
      </c>
      <c r="I2789" s="16" t="s">
        <v>114</v>
      </c>
      <c r="J2789" s="16" t="s">
        <v>7236</v>
      </c>
      <c r="K2789" s="32" t="n">
        <v>13</v>
      </c>
      <c r="L2789" s="33" t="n">
        <v>46379</v>
      </c>
      <c r="M2789" s="33" t="n">
        <v>46391</v>
      </c>
      <c r="N2789" s="16" t="s">
        <v>9142</v>
      </c>
      <c r="O2789" s="16"/>
      <c r="P2789" s="16" t="str">
        <f aca="false">IF(AND(L2789&lt;=$D$2,M2789&gt;=$C$2),"Sí","")</f>
        <v/>
      </c>
      <c r="Q2789" s="18" t="str">
        <f aca="false">IF(COUNTIF(LOOKAHEAD!$A$5:$A$604,A2789)&gt;0,"En Lookahead",IF(P2789="Sí","INCORPORAR",""))</f>
        <v/>
      </c>
    </row>
    <row r="2790" customFormat="false" ht="15" hidden="false" customHeight="false" outlineLevel="0" collapsed="false">
      <c r="A2790" s="13" t="s">
        <v>9143</v>
      </c>
      <c r="B2790" s="13" t="n">
        <v>2785</v>
      </c>
      <c r="C2790" s="13" t="s">
        <v>9144</v>
      </c>
      <c r="D2790" s="13" t="n">
        <v>5</v>
      </c>
      <c r="E2790" s="34" t="s">
        <v>7250</v>
      </c>
      <c r="F2790" s="13" t="s">
        <v>1298</v>
      </c>
      <c r="G2790" s="13" t="s">
        <v>563</v>
      </c>
      <c r="H2790" s="13" t="s">
        <v>9102</v>
      </c>
      <c r="I2790" s="13" t="s">
        <v>114</v>
      </c>
      <c r="J2790" s="13" t="s">
        <v>9102</v>
      </c>
      <c r="K2790" s="30" t="n">
        <v>9</v>
      </c>
      <c r="L2790" s="31" t="n">
        <v>46392</v>
      </c>
      <c r="M2790" s="31" t="n">
        <v>46400</v>
      </c>
      <c r="N2790" s="13"/>
      <c r="O2790" s="13"/>
      <c r="P2790" s="13"/>
      <c r="Q2790" s="13"/>
    </row>
    <row r="2791" customFormat="false" ht="15" hidden="false" customHeight="false" outlineLevel="0" collapsed="false">
      <c r="A2791" s="13" t="s">
        <v>9145</v>
      </c>
      <c r="B2791" s="13" t="n">
        <v>2786</v>
      </c>
      <c r="C2791" s="13" t="s">
        <v>9146</v>
      </c>
      <c r="D2791" s="13" t="n">
        <v>6</v>
      </c>
      <c r="E2791" s="36" t="s">
        <v>7253</v>
      </c>
      <c r="F2791" s="13" t="s">
        <v>1298</v>
      </c>
      <c r="G2791" s="13" t="s">
        <v>563</v>
      </c>
      <c r="H2791" s="13" t="s">
        <v>9102</v>
      </c>
      <c r="I2791" s="13" t="s">
        <v>114</v>
      </c>
      <c r="J2791" s="13" t="s">
        <v>7250</v>
      </c>
      <c r="K2791" s="30" t="n">
        <v>4</v>
      </c>
      <c r="L2791" s="31" t="n">
        <v>46392</v>
      </c>
      <c r="M2791" s="31" t="n">
        <v>46395</v>
      </c>
      <c r="N2791" s="13"/>
      <c r="O2791" s="13"/>
      <c r="P2791" s="13"/>
      <c r="Q2791" s="13"/>
    </row>
    <row r="2792" customFormat="false" ht="15" hidden="false" customHeight="false" outlineLevel="0" collapsed="false">
      <c r="A2792" s="16" t="s">
        <v>9147</v>
      </c>
      <c r="B2792" s="16" t="n">
        <v>2787</v>
      </c>
      <c r="C2792" s="16" t="s">
        <v>9148</v>
      </c>
      <c r="D2792" s="16" t="n">
        <v>7</v>
      </c>
      <c r="E2792" s="37" t="s">
        <v>7256</v>
      </c>
      <c r="F2792" s="16" t="s">
        <v>1285</v>
      </c>
      <c r="G2792" s="16" t="s">
        <v>563</v>
      </c>
      <c r="H2792" s="16" t="s">
        <v>9102</v>
      </c>
      <c r="I2792" s="16" t="s">
        <v>114</v>
      </c>
      <c r="J2792" s="16" t="s">
        <v>7253</v>
      </c>
      <c r="K2792" s="32" t="n">
        <v>4</v>
      </c>
      <c r="L2792" s="33" t="n">
        <v>46392</v>
      </c>
      <c r="M2792" s="33" t="n">
        <v>46395</v>
      </c>
      <c r="N2792" s="16" t="s">
        <v>9149</v>
      </c>
      <c r="O2792" s="16"/>
      <c r="P2792" s="16" t="str">
        <f aca="false">IF(AND(L2792&lt;=$D$2,M2792&gt;=$C$2),"Sí","")</f>
        <v/>
      </c>
      <c r="Q2792" s="18" t="str">
        <f aca="false">IF(COUNTIF(LOOKAHEAD!$A$5:$A$604,A2792)&gt;0,"En Lookahead",IF(P2792="Sí","INCORPORAR",""))</f>
        <v/>
      </c>
    </row>
    <row r="2793" customFormat="false" ht="15" hidden="false" customHeight="false" outlineLevel="0" collapsed="false">
      <c r="A2793" s="13" t="s">
        <v>9150</v>
      </c>
      <c r="B2793" s="13" t="n">
        <v>2788</v>
      </c>
      <c r="C2793" s="13" t="s">
        <v>9151</v>
      </c>
      <c r="D2793" s="13" t="n">
        <v>6</v>
      </c>
      <c r="E2793" s="36" t="s">
        <v>7260</v>
      </c>
      <c r="F2793" s="13" t="s">
        <v>1298</v>
      </c>
      <c r="G2793" s="13" t="s">
        <v>563</v>
      </c>
      <c r="H2793" s="13" t="s">
        <v>9102</v>
      </c>
      <c r="I2793" s="13" t="s">
        <v>114</v>
      </c>
      <c r="J2793" s="13" t="s">
        <v>7250</v>
      </c>
      <c r="K2793" s="30" t="n">
        <v>5</v>
      </c>
      <c r="L2793" s="31" t="n">
        <v>46396</v>
      </c>
      <c r="M2793" s="31" t="n">
        <v>46400</v>
      </c>
      <c r="N2793" s="13"/>
      <c r="O2793" s="13"/>
      <c r="P2793" s="13"/>
      <c r="Q2793" s="13"/>
    </row>
    <row r="2794" customFormat="false" ht="15" hidden="false" customHeight="false" outlineLevel="0" collapsed="false">
      <c r="A2794" s="16" t="s">
        <v>9152</v>
      </c>
      <c r="B2794" s="16" t="n">
        <v>2789</v>
      </c>
      <c r="C2794" s="16" t="s">
        <v>9153</v>
      </c>
      <c r="D2794" s="16" t="n">
        <v>7</v>
      </c>
      <c r="E2794" s="37" t="s">
        <v>7267</v>
      </c>
      <c r="F2794" s="16" t="s">
        <v>1285</v>
      </c>
      <c r="G2794" s="16" t="s">
        <v>563</v>
      </c>
      <c r="H2794" s="16" t="s">
        <v>9102</v>
      </c>
      <c r="I2794" s="16" t="s">
        <v>114</v>
      </c>
      <c r="J2794" s="16" t="s">
        <v>7260</v>
      </c>
      <c r="K2794" s="32" t="n">
        <v>1</v>
      </c>
      <c r="L2794" s="33" t="n">
        <v>46396</v>
      </c>
      <c r="M2794" s="33" t="n">
        <v>46396</v>
      </c>
      <c r="N2794" s="16" t="s">
        <v>9154</v>
      </c>
      <c r="O2794" s="16"/>
      <c r="P2794" s="16" t="str">
        <f aca="false">IF(AND(L2794&lt;=$D$2,M2794&gt;=$C$2),"Sí","")</f>
        <v/>
      </c>
      <c r="Q2794" s="18" t="str">
        <f aca="false">IF(COUNTIF(LOOKAHEAD!$A$5:$A$604,A2794)&gt;0,"En Lookahead",IF(P2794="Sí","INCORPORAR",""))</f>
        <v/>
      </c>
    </row>
    <row r="2795" customFormat="false" ht="15" hidden="false" customHeight="false" outlineLevel="0" collapsed="false">
      <c r="A2795" s="16" t="s">
        <v>9155</v>
      </c>
      <c r="B2795" s="16" t="n">
        <v>2790</v>
      </c>
      <c r="C2795" s="16" t="s">
        <v>9156</v>
      </c>
      <c r="D2795" s="16" t="n">
        <v>7</v>
      </c>
      <c r="E2795" s="37" t="s">
        <v>7271</v>
      </c>
      <c r="F2795" s="16" t="s">
        <v>1285</v>
      </c>
      <c r="G2795" s="16" t="s">
        <v>563</v>
      </c>
      <c r="H2795" s="16" t="s">
        <v>9102</v>
      </c>
      <c r="I2795" s="16" t="s">
        <v>114</v>
      </c>
      <c r="J2795" s="16" t="s">
        <v>7260</v>
      </c>
      <c r="K2795" s="32" t="n">
        <v>1</v>
      </c>
      <c r="L2795" s="33" t="n">
        <v>46397</v>
      </c>
      <c r="M2795" s="33" t="n">
        <v>46397</v>
      </c>
      <c r="N2795" s="16" t="s">
        <v>9157</v>
      </c>
      <c r="O2795" s="16"/>
      <c r="P2795" s="16" t="str">
        <f aca="false">IF(AND(L2795&lt;=$D$2,M2795&gt;=$C$2),"Sí","")</f>
        <v/>
      </c>
      <c r="Q2795" s="18" t="str">
        <f aca="false">IF(COUNTIF(LOOKAHEAD!$A$5:$A$604,A2795)&gt;0,"En Lookahead",IF(P2795="Sí","INCORPORAR",""))</f>
        <v/>
      </c>
    </row>
    <row r="2796" customFormat="false" ht="15" hidden="false" customHeight="false" outlineLevel="0" collapsed="false">
      <c r="A2796" s="16" t="s">
        <v>9158</v>
      </c>
      <c r="B2796" s="16" t="n">
        <v>2791</v>
      </c>
      <c r="C2796" s="16" t="s">
        <v>9159</v>
      </c>
      <c r="D2796" s="16" t="n">
        <v>7</v>
      </c>
      <c r="E2796" s="37" t="s">
        <v>7275</v>
      </c>
      <c r="F2796" s="16" t="s">
        <v>1285</v>
      </c>
      <c r="G2796" s="16" t="s">
        <v>563</v>
      </c>
      <c r="H2796" s="16" t="s">
        <v>9102</v>
      </c>
      <c r="I2796" s="16" t="s">
        <v>114</v>
      </c>
      <c r="J2796" s="16" t="s">
        <v>7260</v>
      </c>
      <c r="K2796" s="32" t="n">
        <v>3</v>
      </c>
      <c r="L2796" s="33" t="n">
        <v>46398</v>
      </c>
      <c r="M2796" s="33" t="n">
        <v>46400</v>
      </c>
      <c r="N2796" s="16" t="s">
        <v>9160</v>
      </c>
      <c r="O2796" s="16"/>
      <c r="P2796" s="16" t="str">
        <f aca="false">IF(AND(L2796&lt;=$D$2,M2796&gt;=$C$2),"Sí","")</f>
        <v/>
      </c>
      <c r="Q2796" s="18" t="str">
        <f aca="false">IF(COUNTIF(LOOKAHEAD!$A$5:$A$604,A2796)&gt;0,"En Lookahead",IF(P2796="Sí","INCORPORAR",""))</f>
        <v/>
      </c>
    </row>
    <row r="2797" customFormat="false" ht="15" hidden="false" customHeight="false" outlineLevel="0" collapsed="false">
      <c r="A2797" s="13" t="s">
        <v>9161</v>
      </c>
      <c r="B2797" s="13" t="n">
        <v>2792</v>
      </c>
      <c r="C2797" s="13" t="s">
        <v>9162</v>
      </c>
      <c r="D2797" s="13" t="n">
        <v>5</v>
      </c>
      <c r="E2797" s="34" t="s">
        <v>7279</v>
      </c>
      <c r="F2797" s="13" t="s">
        <v>1298</v>
      </c>
      <c r="G2797" s="13" t="s">
        <v>563</v>
      </c>
      <c r="H2797" s="13" t="s">
        <v>9102</v>
      </c>
      <c r="I2797" s="13" t="s">
        <v>114</v>
      </c>
      <c r="J2797" s="13" t="s">
        <v>9102</v>
      </c>
      <c r="K2797" s="30" t="n">
        <v>6</v>
      </c>
      <c r="L2797" s="31" t="n">
        <v>46396</v>
      </c>
      <c r="M2797" s="31" t="n">
        <v>46401</v>
      </c>
      <c r="N2797" s="13"/>
      <c r="O2797" s="13"/>
      <c r="P2797" s="13"/>
      <c r="Q2797" s="13"/>
    </row>
    <row r="2798" customFormat="false" ht="15" hidden="false" customHeight="false" outlineLevel="0" collapsed="false">
      <c r="A2798" s="16" t="s">
        <v>9163</v>
      </c>
      <c r="B2798" s="16" t="n">
        <v>2793</v>
      </c>
      <c r="C2798" s="16" t="s">
        <v>9164</v>
      </c>
      <c r="D2798" s="16" t="n">
        <v>6</v>
      </c>
      <c r="E2798" s="35" t="s">
        <v>9165</v>
      </c>
      <c r="F2798" s="16" t="s">
        <v>1285</v>
      </c>
      <c r="G2798" s="16" t="s">
        <v>563</v>
      </c>
      <c r="H2798" s="16" t="s">
        <v>9102</v>
      </c>
      <c r="I2798" s="16" t="s">
        <v>114</v>
      </c>
      <c r="J2798" s="16" t="s">
        <v>7279</v>
      </c>
      <c r="K2798" s="32" t="n">
        <v>1</v>
      </c>
      <c r="L2798" s="33" t="n">
        <v>46396</v>
      </c>
      <c r="M2798" s="33" t="n">
        <v>46396</v>
      </c>
      <c r="N2798" s="16" t="s">
        <v>9166</v>
      </c>
      <c r="O2798" s="16"/>
      <c r="P2798" s="16" t="str">
        <f aca="false">IF(AND(L2798&lt;=$D$2,M2798&gt;=$C$2),"Sí","")</f>
        <v/>
      </c>
      <c r="Q2798" s="18" t="str">
        <f aca="false">IF(COUNTIF(LOOKAHEAD!$A$5:$A$604,A2798)&gt;0,"En Lookahead",IF(P2798="Sí","INCORPORAR",""))</f>
        <v/>
      </c>
    </row>
    <row r="2799" customFormat="false" ht="15" hidden="false" customHeight="false" outlineLevel="0" collapsed="false">
      <c r="A2799" s="16" t="s">
        <v>9167</v>
      </c>
      <c r="B2799" s="16" t="n">
        <v>2794</v>
      </c>
      <c r="C2799" s="16" t="s">
        <v>9168</v>
      </c>
      <c r="D2799" s="16" t="n">
        <v>6</v>
      </c>
      <c r="E2799" s="35" t="s">
        <v>9169</v>
      </c>
      <c r="F2799" s="16" t="s">
        <v>1285</v>
      </c>
      <c r="G2799" s="16" t="s">
        <v>563</v>
      </c>
      <c r="H2799" s="16" t="s">
        <v>9102</v>
      </c>
      <c r="I2799" s="16" t="s">
        <v>114</v>
      </c>
      <c r="J2799" s="16" t="s">
        <v>7279</v>
      </c>
      <c r="K2799" s="32" t="n">
        <v>6</v>
      </c>
      <c r="L2799" s="33" t="n">
        <v>46396</v>
      </c>
      <c r="M2799" s="33" t="n">
        <v>46401</v>
      </c>
      <c r="N2799" s="16" t="s">
        <v>9170</v>
      </c>
      <c r="O2799" s="16"/>
      <c r="P2799" s="16" t="str">
        <f aca="false">IF(AND(L2799&lt;=$D$2,M2799&gt;=$C$2),"Sí","")</f>
        <v/>
      </c>
      <c r="Q2799" s="18" t="str">
        <f aca="false">IF(COUNTIF(LOOKAHEAD!$A$5:$A$604,A2799)&gt;0,"En Lookahead",IF(P2799="Sí","INCORPORAR",""))</f>
        <v/>
      </c>
    </row>
    <row r="2800" customFormat="false" ht="15" hidden="false" customHeight="false" outlineLevel="0" collapsed="false">
      <c r="A2800" s="16" t="s">
        <v>9171</v>
      </c>
      <c r="B2800" s="16" t="n">
        <v>2795</v>
      </c>
      <c r="C2800" s="16" t="s">
        <v>9172</v>
      </c>
      <c r="D2800" s="16" t="n">
        <v>6</v>
      </c>
      <c r="E2800" s="35" t="s">
        <v>9173</v>
      </c>
      <c r="F2800" s="16" t="s">
        <v>1285</v>
      </c>
      <c r="G2800" s="16" t="s">
        <v>563</v>
      </c>
      <c r="H2800" s="16" t="s">
        <v>9102</v>
      </c>
      <c r="I2800" s="16" t="s">
        <v>114</v>
      </c>
      <c r="J2800" s="16" t="s">
        <v>7279</v>
      </c>
      <c r="K2800" s="32" t="n">
        <v>1</v>
      </c>
      <c r="L2800" s="33" t="n">
        <v>46396</v>
      </c>
      <c r="M2800" s="33" t="n">
        <v>46396</v>
      </c>
      <c r="N2800" s="16" t="s">
        <v>9170</v>
      </c>
      <c r="O2800" s="16"/>
      <c r="P2800" s="16" t="str">
        <f aca="false">IF(AND(L2800&lt;=$D$2,M2800&gt;=$C$2),"Sí","")</f>
        <v/>
      </c>
      <c r="Q2800" s="18" t="str">
        <f aca="false">IF(COUNTIF(LOOKAHEAD!$A$5:$A$604,A2800)&gt;0,"En Lookahead",IF(P2800="Sí","INCORPORAR",""))</f>
        <v/>
      </c>
    </row>
    <row r="2801" customFormat="false" ht="15" hidden="false" customHeight="false" outlineLevel="0" collapsed="false">
      <c r="A2801" s="16" t="s">
        <v>9174</v>
      </c>
      <c r="B2801" s="16" t="n">
        <v>2796</v>
      </c>
      <c r="C2801" s="16" t="s">
        <v>9175</v>
      </c>
      <c r="D2801" s="16" t="n">
        <v>6</v>
      </c>
      <c r="E2801" s="35" t="s">
        <v>9176</v>
      </c>
      <c r="F2801" s="16" t="s">
        <v>1285</v>
      </c>
      <c r="G2801" s="16" t="s">
        <v>563</v>
      </c>
      <c r="H2801" s="16" t="s">
        <v>9102</v>
      </c>
      <c r="I2801" s="16" t="s">
        <v>114</v>
      </c>
      <c r="J2801" s="16" t="s">
        <v>7279</v>
      </c>
      <c r="K2801" s="32" t="n">
        <v>1</v>
      </c>
      <c r="L2801" s="33" t="n">
        <v>46396</v>
      </c>
      <c r="M2801" s="33" t="n">
        <v>46396</v>
      </c>
      <c r="N2801" s="16" t="s">
        <v>9170</v>
      </c>
      <c r="O2801" s="16"/>
      <c r="P2801" s="16" t="str">
        <f aca="false">IF(AND(L2801&lt;=$D$2,M2801&gt;=$C$2),"Sí","")</f>
        <v/>
      </c>
      <c r="Q2801" s="18" t="str">
        <f aca="false">IF(COUNTIF(LOOKAHEAD!$A$5:$A$604,A2801)&gt;0,"En Lookahead",IF(P2801="Sí","INCORPORAR",""))</f>
        <v/>
      </c>
    </row>
    <row r="2802" customFormat="false" ht="15" hidden="false" customHeight="false" outlineLevel="0" collapsed="false">
      <c r="A2802" s="13" t="s">
        <v>9177</v>
      </c>
      <c r="B2802" s="13" t="n">
        <v>2797</v>
      </c>
      <c r="C2802" s="13" t="s">
        <v>9178</v>
      </c>
      <c r="D2802" s="13" t="n">
        <v>5</v>
      </c>
      <c r="E2802" s="34" t="s">
        <v>7296</v>
      </c>
      <c r="F2802" s="13" t="s">
        <v>1298</v>
      </c>
      <c r="G2802" s="13" t="s">
        <v>563</v>
      </c>
      <c r="H2802" s="13" t="s">
        <v>9102</v>
      </c>
      <c r="I2802" s="13" t="s">
        <v>114</v>
      </c>
      <c r="J2802" s="13" t="s">
        <v>9102</v>
      </c>
      <c r="K2802" s="30" t="n">
        <v>6</v>
      </c>
      <c r="L2802" s="31" t="n">
        <v>46397</v>
      </c>
      <c r="M2802" s="31" t="n">
        <v>46402</v>
      </c>
      <c r="N2802" s="13"/>
      <c r="O2802" s="13"/>
      <c r="P2802" s="13"/>
      <c r="Q2802" s="13"/>
    </row>
    <row r="2803" customFormat="false" ht="15" hidden="false" customHeight="false" outlineLevel="0" collapsed="false">
      <c r="A2803" s="16" t="s">
        <v>9179</v>
      </c>
      <c r="B2803" s="16" t="n">
        <v>2798</v>
      </c>
      <c r="C2803" s="16" t="s">
        <v>9180</v>
      </c>
      <c r="D2803" s="16" t="n">
        <v>6</v>
      </c>
      <c r="E2803" s="35" t="s">
        <v>7299</v>
      </c>
      <c r="F2803" s="16" t="s">
        <v>1285</v>
      </c>
      <c r="G2803" s="16" t="s">
        <v>563</v>
      </c>
      <c r="H2803" s="16" t="s">
        <v>9102</v>
      </c>
      <c r="I2803" s="16" t="s">
        <v>114</v>
      </c>
      <c r="J2803" s="16" t="s">
        <v>7296</v>
      </c>
      <c r="K2803" s="32" t="n">
        <v>2</v>
      </c>
      <c r="L2803" s="33" t="n">
        <v>46397</v>
      </c>
      <c r="M2803" s="33" t="n">
        <v>46398</v>
      </c>
      <c r="N2803" s="16" t="s">
        <v>9181</v>
      </c>
      <c r="O2803" s="16"/>
      <c r="P2803" s="16" t="str">
        <f aca="false">IF(AND(L2803&lt;=$D$2,M2803&gt;=$C$2),"Sí","")</f>
        <v/>
      </c>
      <c r="Q2803" s="18" t="str">
        <f aca="false">IF(COUNTIF(LOOKAHEAD!$A$5:$A$604,A2803)&gt;0,"En Lookahead",IF(P2803="Sí","INCORPORAR",""))</f>
        <v/>
      </c>
    </row>
    <row r="2804" customFormat="false" ht="15" hidden="false" customHeight="false" outlineLevel="0" collapsed="false">
      <c r="A2804" s="16" t="s">
        <v>9182</v>
      </c>
      <c r="B2804" s="16" t="n">
        <v>2799</v>
      </c>
      <c r="C2804" s="16" t="s">
        <v>9183</v>
      </c>
      <c r="D2804" s="16" t="n">
        <v>6</v>
      </c>
      <c r="E2804" s="35" t="s">
        <v>7303</v>
      </c>
      <c r="F2804" s="16" t="s">
        <v>1285</v>
      </c>
      <c r="G2804" s="16" t="s">
        <v>563</v>
      </c>
      <c r="H2804" s="16" t="s">
        <v>9102</v>
      </c>
      <c r="I2804" s="16" t="s">
        <v>114</v>
      </c>
      <c r="J2804" s="16" t="s">
        <v>7296</v>
      </c>
      <c r="K2804" s="32" t="n">
        <v>4</v>
      </c>
      <c r="L2804" s="33" t="n">
        <v>46399</v>
      </c>
      <c r="M2804" s="33" t="n">
        <v>46402</v>
      </c>
      <c r="N2804" s="16" t="s">
        <v>9184</v>
      </c>
      <c r="O2804" s="16"/>
      <c r="P2804" s="16" t="str">
        <f aca="false">IF(AND(L2804&lt;=$D$2,M2804&gt;=$C$2),"Sí","")</f>
        <v/>
      </c>
      <c r="Q2804" s="18" t="str">
        <f aca="false">IF(COUNTIF(LOOKAHEAD!$A$5:$A$604,A2804)&gt;0,"En Lookahead",IF(P2804="Sí","INCORPORAR",""))</f>
        <v/>
      </c>
    </row>
    <row r="2805" customFormat="false" ht="15" hidden="false" customHeight="false" outlineLevel="0" collapsed="false">
      <c r="A2805" s="13" t="s">
        <v>9185</v>
      </c>
      <c r="B2805" s="13" t="n">
        <v>2800</v>
      </c>
      <c r="C2805" s="13" t="s">
        <v>9186</v>
      </c>
      <c r="D2805" s="13" t="n">
        <v>5</v>
      </c>
      <c r="E2805" s="34" t="s">
        <v>7307</v>
      </c>
      <c r="F2805" s="13" t="s">
        <v>1298</v>
      </c>
      <c r="G2805" s="13" t="s">
        <v>563</v>
      </c>
      <c r="H2805" s="13" t="s">
        <v>9102</v>
      </c>
      <c r="I2805" s="13" t="s">
        <v>114</v>
      </c>
      <c r="J2805" s="13" t="s">
        <v>9102</v>
      </c>
      <c r="K2805" s="30" t="n">
        <v>19</v>
      </c>
      <c r="L2805" s="31" t="n">
        <v>46403</v>
      </c>
      <c r="M2805" s="31" t="n">
        <v>46421</v>
      </c>
      <c r="N2805" s="13"/>
      <c r="O2805" s="13"/>
      <c r="P2805" s="13"/>
      <c r="Q2805" s="13"/>
    </row>
    <row r="2806" customFormat="false" ht="15" hidden="false" customHeight="false" outlineLevel="0" collapsed="false">
      <c r="A2806" s="13" t="s">
        <v>9187</v>
      </c>
      <c r="B2806" s="13" t="n">
        <v>2801</v>
      </c>
      <c r="C2806" s="13" t="s">
        <v>9188</v>
      </c>
      <c r="D2806" s="13" t="n">
        <v>6</v>
      </c>
      <c r="E2806" s="36" t="s">
        <v>7310</v>
      </c>
      <c r="F2806" s="13" t="s">
        <v>1298</v>
      </c>
      <c r="G2806" s="13" t="s">
        <v>563</v>
      </c>
      <c r="H2806" s="13" t="s">
        <v>9102</v>
      </c>
      <c r="I2806" s="13" t="s">
        <v>114</v>
      </c>
      <c r="J2806" s="13" t="s">
        <v>7307</v>
      </c>
      <c r="K2806" s="30" t="n">
        <v>3</v>
      </c>
      <c r="L2806" s="31" t="n">
        <v>46403</v>
      </c>
      <c r="M2806" s="31" t="n">
        <v>46405</v>
      </c>
      <c r="N2806" s="13"/>
      <c r="O2806" s="13"/>
      <c r="P2806" s="13"/>
      <c r="Q2806" s="13"/>
    </row>
    <row r="2807" customFormat="false" ht="15" hidden="false" customHeight="false" outlineLevel="0" collapsed="false">
      <c r="A2807" s="16" t="s">
        <v>9189</v>
      </c>
      <c r="B2807" s="16" t="n">
        <v>2802</v>
      </c>
      <c r="C2807" s="16" t="s">
        <v>9190</v>
      </c>
      <c r="D2807" s="16" t="n">
        <v>7</v>
      </c>
      <c r="E2807" s="37" t="s">
        <v>7313</v>
      </c>
      <c r="F2807" s="16" t="s">
        <v>1285</v>
      </c>
      <c r="G2807" s="16" t="s">
        <v>563</v>
      </c>
      <c r="H2807" s="16" t="s">
        <v>9102</v>
      </c>
      <c r="I2807" s="16" t="s">
        <v>114</v>
      </c>
      <c r="J2807" s="16" t="s">
        <v>7310</v>
      </c>
      <c r="K2807" s="32" t="n">
        <v>1</v>
      </c>
      <c r="L2807" s="33" t="n">
        <v>46403</v>
      </c>
      <c r="M2807" s="33" t="n">
        <v>46403</v>
      </c>
      <c r="N2807" s="16" t="s">
        <v>9191</v>
      </c>
      <c r="O2807" s="16"/>
      <c r="P2807" s="16" t="str">
        <f aca="false">IF(AND(L2807&lt;=$D$2,M2807&gt;=$C$2),"Sí","")</f>
        <v/>
      </c>
      <c r="Q2807" s="18" t="str">
        <f aca="false">IF(COUNTIF(LOOKAHEAD!$A$5:$A$604,A2807)&gt;0,"En Lookahead",IF(P2807="Sí","INCORPORAR",""))</f>
        <v/>
      </c>
    </row>
    <row r="2808" customFormat="false" ht="15" hidden="false" customHeight="false" outlineLevel="0" collapsed="false">
      <c r="A2808" s="16" t="s">
        <v>9192</v>
      </c>
      <c r="B2808" s="16" t="n">
        <v>2803</v>
      </c>
      <c r="C2808" s="16" t="s">
        <v>9193</v>
      </c>
      <c r="D2808" s="16" t="n">
        <v>7</v>
      </c>
      <c r="E2808" s="37" t="s">
        <v>9194</v>
      </c>
      <c r="F2808" s="16" t="s">
        <v>1285</v>
      </c>
      <c r="G2808" s="16" t="s">
        <v>563</v>
      </c>
      <c r="H2808" s="16" t="s">
        <v>9102</v>
      </c>
      <c r="I2808" s="16" t="s">
        <v>114</v>
      </c>
      <c r="J2808" s="16" t="s">
        <v>7310</v>
      </c>
      <c r="K2808" s="32" t="n">
        <v>1</v>
      </c>
      <c r="L2808" s="33" t="n">
        <v>46404</v>
      </c>
      <c r="M2808" s="33" t="n">
        <v>46404</v>
      </c>
      <c r="N2808" s="16" t="s">
        <v>9195</v>
      </c>
      <c r="O2808" s="16"/>
      <c r="P2808" s="16" t="str">
        <f aca="false">IF(AND(L2808&lt;=$D$2,M2808&gt;=$C$2),"Sí","")</f>
        <v/>
      </c>
      <c r="Q2808" s="18" t="str">
        <f aca="false">IF(COUNTIF(LOOKAHEAD!$A$5:$A$604,A2808)&gt;0,"En Lookahead",IF(P2808="Sí","INCORPORAR",""))</f>
        <v/>
      </c>
    </row>
    <row r="2809" customFormat="false" ht="15" hidden="false" customHeight="false" outlineLevel="0" collapsed="false">
      <c r="A2809" s="16" t="s">
        <v>9196</v>
      </c>
      <c r="B2809" s="16" t="n">
        <v>2804</v>
      </c>
      <c r="C2809" s="16" t="s">
        <v>9197</v>
      </c>
      <c r="D2809" s="16" t="n">
        <v>7</v>
      </c>
      <c r="E2809" s="37" t="s">
        <v>7647</v>
      </c>
      <c r="F2809" s="16" t="s">
        <v>1285</v>
      </c>
      <c r="G2809" s="16" t="s">
        <v>563</v>
      </c>
      <c r="H2809" s="16" t="s">
        <v>9102</v>
      </c>
      <c r="I2809" s="16" t="s">
        <v>114</v>
      </c>
      <c r="J2809" s="16" t="s">
        <v>7310</v>
      </c>
      <c r="K2809" s="32" t="n">
        <v>1</v>
      </c>
      <c r="L2809" s="33" t="n">
        <v>46405</v>
      </c>
      <c r="M2809" s="33" t="n">
        <v>46405</v>
      </c>
      <c r="N2809" s="16" t="s">
        <v>9198</v>
      </c>
      <c r="O2809" s="16"/>
      <c r="P2809" s="16" t="str">
        <f aca="false">IF(AND(L2809&lt;=$D$2,M2809&gt;=$C$2),"Sí","")</f>
        <v/>
      </c>
      <c r="Q2809" s="18" t="str">
        <f aca="false">IF(COUNTIF(LOOKAHEAD!$A$5:$A$604,A2809)&gt;0,"En Lookahead",IF(P2809="Sí","INCORPORAR",""))</f>
        <v/>
      </c>
    </row>
    <row r="2810" customFormat="false" ht="15" hidden="false" customHeight="false" outlineLevel="0" collapsed="false">
      <c r="A2810" s="13" t="s">
        <v>9199</v>
      </c>
      <c r="B2810" s="13" t="n">
        <v>2805</v>
      </c>
      <c r="C2810" s="13" t="s">
        <v>9200</v>
      </c>
      <c r="D2810" s="13" t="n">
        <v>6</v>
      </c>
      <c r="E2810" s="36" t="s">
        <v>7349</v>
      </c>
      <c r="F2810" s="13" t="s">
        <v>1298</v>
      </c>
      <c r="G2810" s="13" t="s">
        <v>563</v>
      </c>
      <c r="H2810" s="13" t="s">
        <v>9102</v>
      </c>
      <c r="I2810" s="13" t="s">
        <v>114</v>
      </c>
      <c r="J2810" s="13" t="s">
        <v>7307</v>
      </c>
      <c r="K2810" s="30" t="n">
        <v>16</v>
      </c>
      <c r="L2810" s="31" t="n">
        <v>46406</v>
      </c>
      <c r="M2810" s="31" t="n">
        <v>46421</v>
      </c>
      <c r="N2810" s="13"/>
      <c r="O2810" s="13"/>
      <c r="P2810" s="13"/>
      <c r="Q2810" s="13"/>
    </row>
    <row r="2811" customFormat="false" ht="15" hidden="false" customHeight="false" outlineLevel="0" collapsed="false">
      <c r="A2811" s="16" t="s">
        <v>9201</v>
      </c>
      <c r="B2811" s="16" t="n">
        <v>2806</v>
      </c>
      <c r="C2811" s="16" t="s">
        <v>9202</v>
      </c>
      <c r="D2811" s="16" t="n">
        <v>7</v>
      </c>
      <c r="E2811" s="37" t="s">
        <v>9203</v>
      </c>
      <c r="F2811" s="16" t="s">
        <v>1285</v>
      </c>
      <c r="G2811" s="16" t="s">
        <v>563</v>
      </c>
      <c r="H2811" s="16" t="s">
        <v>9102</v>
      </c>
      <c r="I2811" s="16" t="s">
        <v>114</v>
      </c>
      <c r="J2811" s="16" t="s">
        <v>7349</v>
      </c>
      <c r="K2811" s="32" t="n">
        <v>16</v>
      </c>
      <c r="L2811" s="33" t="n">
        <v>46406</v>
      </c>
      <c r="M2811" s="33" t="n">
        <v>46421</v>
      </c>
      <c r="N2811" s="16" t="s">
        <v>9204</v>
      </c>
      <c r="O2811" s="16"/>
      <c r="P2811" s="16" t="str">
        <f aca="false">IF(AND(L2811&lt;=$D$2,M2811&gt;=$C$2),"Sí","")</f>
        <v/>
      </c>
      <c r="Q2811" s="18" t="str">
        <f aca="false">IF(COUNTIF(LOOKAHEAD!$A$5:$A$604,A2811)&gt;0,"En Lookahead",IF(P2811="Sí","INCORPORAR",""))</f>
        <v/>
      </c>
    </row>
    <row r="2812" customFormat="false" ht="15" hidden="false" customHeight="false" outlineLevel="0" collapsed="false">
      <c r="A2812" s="13" t="s">
        <v>9205</v>
      </c>
      <c r="B2812" s="13" t="n">
        <v>2807</v>
      </c>
      <c r="C2812" s="13" t="s">
        <v>9206</v>
      </c>
      <c r="D2812" s="13" t="n">
        <v>5</v>
      </c>
      <c r="E2812" s="34" t="s">
        <v>7328</v>
      </c>
      <c r="F2812" s="13" t="s">
        <v>1298</v>
      </c>
      <c r="G2812" s="13" t="s">
        <v>563</v>
      </c>
      <c r="H2812" s="13" t="s">
        <v>9102</v>
      </c>
      <c r="I2812" s="13" t="s">
        <v>114</v>
      </c>
      <c r="J2812" s="13" t="s">
        <v>9102</v>
      </c>
      <c r="K2812" s="30" t="n">
        <v>22</v>
      </c>
      <c r="L2812" s="31" t="n">
        <v>46422</v>
      </c>
      <c r="M2812" s="31" t="n">
        <v>46443</v>
      </c>
      <c r="N2812" s="13"/>
      <c r="O2812" s="13"/>
      <c r="P2812" s="13"/>
      <c r="Q2812" s="13"/>
    </row>
    <row r="2813" customFormat="false" ht="15" hidden="false" customHeight="false" outlineLevel="0" collapsed="false">
      <c r="A2813" s="13" t="s">
        <v>9207</v>
      </c>
      <c r="B2813" s="13" t="n">
        <v>2808</v>
      </c>
      <c r="C2813" s="13" t="s">
        <v>9208</v>
      </c>
      <c r="D2813" s="13" t="n">
        <v>6</v>
      </c>
      <c r="E2813" s="36" t="s">
        <v>7310</v>
      </c>
      <c r="F2813" s="13" t="s">
        <v>1298</v>
      </c>
      <c r="G2813" s="13" t="s">
        <v>563</v>
      </c>
      <c r="H2813" s="13" t="s">
        <v>9102</v>
      </c>
      <c r="I2813" s="13" t="s">
        <v>114</v>
      </c>
      <c r="J2813" s="13" t="s">
        <v>7328</v>
      </c>
      <c r="K2813" s="30" t="n">
        <v>4</v>
      </c>
      <c r="L2813" s="31" t="n">
        <v>46422</v>
      </c>
      <c r="M2813" s="31" t="n">
        <v>46425</v>
      </c>
      <c r="N2813" s="13"/>
      <c r="O2813" s="13"/>
      <c r="P2813" s="13"/>
      <c r="Q2813" s="13"/>
    </row>
    <row r="2814" customFormat="false" ht="15" hidden="false" customHeight="false" outlineLevel="0" collapsed="false">
      <c r="A2814" s="16" t="s">
        <v>9209</v>
      </c>
      <c r="B2814" s="16" t="n">
        <v>2809</v>
      </c>
      <c r="C2814" s="16" t="s">
        <v>9210</v>
      </c>
      <c r="D2814" s="16" t="n">
        <v>7</v>
      </c>
      <c r="E2814" s="37" t="s">
        <v>7337</v>
      </c>
      <c r="F2814" s="16" t="s">
        <v>1285</v>
      </c>
      <c r="G2814" s="16" t="s">
        <v>563</v>
      </c>
      <c r="H2814" s="16" t="s">
        <v>9102</v>
      </c>
      <c r="I2814" s="16" t="s">
        <v>114</v>
      </c>
      <c r="J2814" s="16" t="s">
        <v>7310</v>
      </c>
      <c r="K2814" s="32" t="n">
        <v>1</v>
      </c>
      <c r="L2814" s="33" t="n">
        <v>46422</v>
      </c>
      <c r="M2814" s="33" t="n">
        <v>46422</v>
      </c>
      <c r="N2814" s="16" t="s">
        <v>9211</v>
      </c>
      <c r="O2814" s="16"/>
      <c r="P2814" s="16" t="str">
        <f aca="false">IF(AND(L2814&lt;=$D$2,M2814&gt;=$C$2),"Sí","")</f>
        <v/>
      </c>
      <c r="Q2814" s="18" t="str">
        <f aca="false">IF(COUNTIF(LOOKAHEAD!$A$5:$A$604,A2814)&gt;0,"En Lookahead",IF(P2814="Sí","INCORPORAR",""))</f>
        <v/>
      </c>
    </row>
    <row r="2815" customFormat="false" ht="15" hidden="false" customHeight="false" outlineLevel="0" collapsed="false">
      <c r="A2815" s="16" t="s">
        <v>9212</v>
      </c>
      <c r="B2815" s="16" t="n">
        <v>2810</v>
      </c>
      <c r="C2815" s="16" t="s">
        <v>9213</v>
      </c>
      <c r="D2815" s="16" t="n">
        <v>7</v>
      </c>
      <c r="E2815" s="37" t="s">
        <v>7663</v>
      </c>
      <c r="F2815" s="16" t="s">
        <v>1285</v>
      </c>
      <c r="G2815" s="16" t="s">
        <v>563</v>
      </c>
      <c r="H2815" s="16" t="s">
        <v>9102</v>
      </c>
      <c r="I2815" s="16" t="s">
        <v>114</v>
      </c>
      <c r="J2815" s="16" t="s">
        <v>7310</v>
      </c>
      <c r="K2815" s="32" t="n">
        <v>1</v>
      </c>
      <c r="L2815" s="33" t="n">
        <v>46423</v>
      </c>
      <c r="M2815" s="33" t="n">
        <v>46423</v>
      </c>
      <c r="N2815" s="16" t="s">
        <v>9214</v>
      </c>
      <c r="O2815" s="16"/>
      <c r="P2815" s="16" t="str">
        <f aca="false">IF(AND(L2815&lt;=$D$2,M2815&gt;=$C$2),"Sí","")</f>
        <v/>
      </c>
      <c r="Q2815" s="18" t="str">
        <f aca="false">IF(COUNTIF(LOOKAHEAD!$A$5:$A$604,A2815)&gt;0,"En Lookahead",IF(P2815="Sí","INCORPORAR",""))</f>
        <v/>
      </c>
    </row>
    <row r="2816" customFormat="false" ht="15" hidden="false" customHeight="false" outlineLevel="0" collapsed="false">
      <c r="A2816" s="16" t="s">
        <v>9215</v>
      </c>
      <c r="B2816" s="16" t="n">
        <v>2811</v>
      </c>
      <c r="C2816" s="16" t="s">
        <v>9216</v>
      </c>
      <c r="D2816" s="16" t="n">
        <v>7</v>
      </c>
      <c r="E2816" s="37" t="s">
        <v>7915</v>
      </c>
      <c r="F2816" s="16" t="s">
        <v>1285</v>
      </c>
      <c r="G2816" s="16" t="s">
        <v>563</v>
      </c>
      <c r="H2816" s="16" t="s">
        <v>9102</v>
      </c>
      <c r="I2816" s="16" t="s">
        <v>114</v>
      </c>
      <c r="J2816" s="16" t="s">
        <v>7310</v>
      </c>
      <c r="K2816" s="32" t="n">
        <v>2</v>
      </c>
      <c r="L2816" s="33" t="n">
        <v>46424</v>
      </c>
      <c r="M2816" s="33" t="n">
        <v>46425</v>
      </c>
      <c r="N2816" s="16" t="s">
        <v>9217</v>
      </c>
      <c r="O2816" s="16"/>
      <c r="P2816" s="16" t="str">
        <f aca="false">IF(AND(L2816&lt;=$D$2,M2816&gt;=$C$2),"Sí","")</f>
        <v/>
      </c>
      <c r="Q2816" s="18" t="str">
        <f aca="false">IF(COUNTIF(LOOKAHEAD!$A$5:$A$604,A2816)&gt;0,"En Lookahead",IF(P2816="Sí","INCORPORAR",""))</f>
        <v/>
      </c>
    </row>
    <row r="2817" customFormat="false" ht="15" hidden="false" customHeight="false" outlineLevel="0" collapsed="false">
      <c r="A2817" s="13" t="s">
        <v>9218</v>
      </c>
      <c r="B2817" s="13" t="n">
        <v>2812</v>
      </c>
      <c r="C2817" s="13" t="s">
        <v>9219</v>
      </c>
      <c r="D2817" s="13" t="n">
        <v>6</v>
      </c>
      <c r="E2817" s="36" t="s">
        <v>7349</v>
      </c>
      <c r="F2817" s="13" t="s">
        <v>1298</v>
      </c>
      <c r="G2817" s="13" t="s">
        <v>563</v>
      </c>
      <c r="H2817" s="13" t="s">
        <v>9102</v>
      </c>
      <c r="I2817" s="13" t="s">
        <v>114</v>
      </c>
      <c r="J2817" s="13" t="s">
        <v>7328</v>
      </c>
      <c r="K2817" s="30" t="n">
        <v>16</v>
      </c>
      <c r="L2817" s="31" t="n">
        <v>46426</v>
      </c>
      <c r="M2817" s="31" t="n">
        <v>46441</v>
      </c>
      <c r="N2817" s="13"/>
      <c r="O2817" s="13"/>
      <c r="P2817" s="13"/>
      <c r="Q2817" s="13"/>
    </row>
    <row r="2818" customFormat="false" ht="15" hidden="false" customHeight="false" outlineLevel="0" collapsed="false">
      <c r="A2818" s="16" t="s">
        <v>9220</v>
      </c>
      <c r="B2818" s="16" t="n">
        <v>2813</v>
      </c>
      <c r="C2818" s="16" t="s">
        <v>9221</v>
      </c>
      <c r="D2818" s="16" t="n">
        <v>7</v>
      </c>
      <c r="E2818" s="37" t="s">
        <v>9203</v>
      </c>
      <c r="F2818" s="16" t="s">
        <v>1285</v>
      </c>
      <c r="G2818" s="16" t="s">
        <v>563</v>
      </c>
      <c r="H2818" s="16" t="s">
        <v>9102</v>
      </c>
      <c r="I2818" s="16" t="s">
        <v>114</v>
      </c>
      <c r="J2818" s="16" t="s">
        <v>7349</v>
      </c>
      <c r="K2818" s="32" t="n">
        <v>16</v>
      </c>
      <c r="L2818" s="33" t="n">
        <v>46426</v>
      </c>
      <c r="M2818" s="33" t="n">
        <v>46441</v>
      </c>
      <c r="N2818" s="16" t="s">
        <v>9222</v>
      </c>
      <c r="O2818" s="16"/>
      <c r="P2818" s="16" t="str">
        <f aca="false">IF(AND(L2818&lt;=$D$2,M2818&gt;=$C$2),"Sí","")</f>
        <v/>
      </c>
      <c r="Q2818" s="18" t="str">
        <f aca="false">IF(COUNTIF(LOOKAHEAD!$A$5:$A$604,A2818)&gt;0,"En Lookahead",IF(P2818="Sí","INCORPORAR",""))</f>
        <v/>
      </c>
    </row>
    <row r="2819" customFormat="false" ht="15" hidden="false" customHeight="false" outlineLevel="0" collapsed="false">
      <c r="A2819" s="13" t="s">
        <v>9223</v>
      </c>
      <c r="B2819" s="13" t="n">
        <v>2814</v>
      </c>
      <c r="C2819" s="13" t="s">
        <v>9224</v>
      </c>
      <c r="D2819" s="13" t="n">
        <v>6</v>
      </c>
      <c r="E2819" s="36" t="s">
        <v>7670</v>
      </c>
      <c r="F2819" s="13" t="s">
        <v>1298</v>
      </c>
      <c r="G2819" s="13" t="s">
        <v>563</v>
      </c>
      <c r="H2819" s="13" t="s">
        <v>9102</v>
      </c>
      <c r="I2819" s="13" t="s">
        <v>114</v>
      </c>
      <c r="J2819" s="13" t="s">
        <v>7328</v>
      </c>
      <c r="K2819" s="30" t="n">
        <v>2</v>
      </c>
      <c r="L2819" s="31" t="n">
        <v>46442</v>
      </c>
      <c r="M2819" s="31" t="n">
        <v>46443</v>
      </c>
      <c r="N2819" s="13"/>
      <c r="O2819" s="13"/>
      <c r="P2819" s="13"/>
      <c r="Q2819" s="13"/>
    </row>
    <row r="2820" customFormat="false" ht="15" hidden="false" customHeight="false" outlineLevel="0" collapsed="false">
      <c r="A2820" s="16" t="s">
        <v>9225</v>
      </c>
      <c r="B2820" s="16" t="n">
        <v>2815</v>
      </c>
      <c r="C2820" s="16" t="s">
        <v>9226</v>
      </c>
      <c r="D2820" s="16" t="n">
        <v>7</v>
      </c>
      <c r="E2820" s="37" t="s">
        <v>7673</v>
      </c>
      <c r="F2820" s="16" t="s">
        <v>1285</v>
      </c>
      <c r="G2820" s="16" t="s">
        <v>563</v>
      </c>
      <c r="H2820" s="16" t="s">
        <v>9102</v>
      </c>
      <c r="I2820" s="16" t="s">
        <v>114</v>
      </c>
      <c r="J2820" s="16" t="s">
        <v>7670</v>
      </c>
      <c r="K2820" s="32" t="n">
        <v>2</v>
      </c>
      <c r="L2820" s="33" t="n">
        <v>46442</v>
      </c>
      <c r="M2820" s="33" t="n">
        <v>46443</v>
      </c>
      <c r="N2820" s="16" t="s">
        <v>9227</v>
      </c>
      <c r="O2820" s="16"/>
      <c r="P2820" s="16" t="str">
        <f aca="false">IF(AND(L2820&lt;=$D$2,M2820&gt;=$C$2),"Sí","")</f>
        <v/>
      </c>
      <c r="Q2820" s="18" t="str">
        <f aca="false">IF(COUNTIF(LOOKAHEAD!$A$5:$A$604,A2820)&gt;0,"En Lookahead",IF(P2820="Sí","INCORPORAR",""))</f>
        <v/>
      </c>
    </row>
    <row r="2821" customFormat="false" ht="15" hidden="false" customHeight="false" outlineLevel="0" collapsed="false">
      <c r="A2821" s="13" t="s">
        <v>9228</v>
      </c>
      <c r="B2821" s="13" t="n">
        <v>2816</v>
      </c>
      <c r="C2821" s="13" t="s">
        <v>9229</v>
      </c>
      <c r="D2821" s="13" t="n">
        <v>5</v>
      </c>
      <c r="E2821" s="34" t="s">
        <v>7368</v>
      </c>
      <c r="F2821" s="13" t="s">
        <v>1298</v>
      </c>
      <c r="G2821" s="13" t="s">
        <v>563</v>
      </c>
      <c r="H2821" s="13" t="s">
        <v>9102</v>
      </c>
      <c r="I2821" s="13" t="s">
        <v>114</v>
      </c>
      <c r="J2821" s="13" t="s">
        <v>9102</v>
      </c>
      <c r="K2821" s="30" t="n">
        <v>3</v>
      </c>
      <c r="L2821" s="31" t="n">
        <v>46444</v>
      </c>
      <c r="M2821" s="31" t="n">
        <v>46446</v>
      </c>
      <c r="N2821" s="13"/>
      <c r="O2821" s="13"/>
      <c r="P2821" s="13"/>
      <c r="Q2821" s="13"/>
    </row>
    <row r="2822" customFormat="false" ht="15" hidden="false" customHeight="false" outlineLevel="0" collapsed="false">
      <c r="A2822" s="16" t="s">
        <v>9230</v>
      </c>
      <c r="B2822" s="16" t="n">
        <v>2817</v>
      </c>
      <c r="C2822" s="16" t="s">
        <v>9231</v>
      </c>
      <c r="D2822" s="16" t="n">
        <v>6</v>
      </c>
      <c r="E2822" s="35" t="s">
        <v>8302</v>
      </c>
      <c r="F2822" s="16" t="s">
        <v>1285</v>
      </c>
      <c r="G2822" s="16" t="s">
        <v>563</v>
      </c>
      <c r="H2822" s="16" t="s">
        <v>9102</v>
      </c>
      <c r="I2822" s="16" t="s">
        <v>114</v>
      </c>
      <c r="J2822" s="16" t="s">
        <v>7368</v>
      </c>
      <c r="K2822" s="32" t="n">
        <v>3</v>
      </c>
      <c r="L2822" s="33" t="n">
        <v>46444</v>
      </c>
      <c r="M2822" s="33" t="n">
        <v>46446</v>
      </c>
      <c r="N2822" s="16" t="s">
        <v>9232</v>
      </c>
      <c r="O2822" s="16"/>
      <c r="P2822" s="16" t="str">
        <f aca="false">IF(AND(L2822&lt;=$D$2,M2822&gt;=$C$2),"Sí","")</f>
        <v/>
      </c>
      <c r="Q2822" s="18" t="str">
        <f aca="false">IF(COUNTIF(LOOKAHEAD!$A$5:$A$604,A2822)&gt;0,"En Lookahead",IF(P2822="Sí","INCORPORAR",""))</f>
        <v/>
      </c>
    </row>
    <row r="2823" customFormat="false" ht="15" hidden="false" customHeight="false" outlineLevel="0" collapsed="false">
      <c r="A2823" s="13" t="s">
        <v>9233</v>
      </c>
      <c r="B2823" s="13" t="n">
        <v>2818</v>
      </c>
      <c r="C2823" s="13" t="s">
        <v>9234</v>
      </c>
      <c r="D2823" s="13" t="n">
        <v>5</v>
      </c>
      <c r="E2823" s="34" t="s">
        <v>7416</v>
      </c>
      <c r="F2823" s="13" t="s">
        <v>1298</v>
      </c>
      <c r="G2823" s="13" t="s">
        <v>563</v>
      </c>
      <c r="H2823" s="13" t="s">
        <v>9102</v>
      </c>
      <c r="I2823" s="13" t="s">
        <v>114</v>
      </c>
      <c r="J2823" s="13" t="s">
        <v>9102</v>
      </c>
      <c r="K2823" s="30" t="n">
        <v>36</v>
      </c>
      <c r="L2823" s="31" t="n">
        <v>46375</v>
      </c>
      <c r="M2823" s="31" t="n">
        <v>46410</v>
      </c>
      <c r="N2823" s="13"/>
      <c r="O2823" s="13"/>
      <c r="P2823" s="13"/>
      <c r="Q2823" s="13"/>
    </row>
    <row r="2824" customFormat="false" ht="15" hidden="false" customHeight="false" outlineLevel="0" collapsed="false">
      <c r="A2824" s="16" t="s">
        <v>9235</v>
      </c>
      <c r="B2824" s="16" t="n">
        <v>2819</v>
      </c>
      <c r="C2824" s="16" t="s">
        <v>9236</v>
      </c>
      <c r="D2824" s="16" t="n">
        <v>6</v>
      </c>
      <c r="E2824" s="35" t="s">
        <v>7419</v>
      </c>
      <c r="F2824" s="16" t="s">
        <v>1285</v>
      </c>
      <c r="G2824" s="16" t="s">
        <v>563</v>
      </c>
      <c r="H2824" s="16" t="s">
        <v>9102</v>
      </c>
      <c r="I2824" s="16" t="s">
        <v>114</v>
      </c>
      <c r="J2824" s="16" t="s">
        <v>7416</v>
      </c>
      <c r="K2824" s="32" t="n">
        <v>24</v>
      </c>
      <c r="L2824" s="33" t="n">
        <v>46375</v>
      </c>
      <c r="M2824" s="33" t="n">
        <v>46398</v>
      </c>
      <c r="N2824" s="16" t="s">
        <v>9128</v>
      </c>
      <c r="O2824" s="16"/>
      <c r="P2824" s="16" t="str">
        <f aca="false">IF(AND(L2824&lt;=$D$2,M2824&gt;=$C$2),"Sí","")</f>
        <v/>
      </c>
      <c r="Q2824" s="18" t="str">
        <f aca="false">IF(COUNTIF(LOOKAHEAD!$A$5:$A$604,A2824)&gt;0,"En Lookahead",IF(P2824="Sí","INCORPORAR",""))</f>
        <v/>
      </c>
    </row>
    <row r="2825" customFormat="false" ht="15" hidden="false" customHeight="false" outlineLevel="0" collapsed="false">
      <c r="A2825" s="16" t="s">
        <v>9237</v>
      </c>
      <c r="B2825" s="16" t="n">
        <v>2820</v>
      </c>
      <c r="C2825" s="16" t="s">
        <v>9238</v>
      </c>
      <c r="D2825" s="16" t="n">
        <v>6</v>
      </c>
      <c r="E2825" s="35" t="s">
        <v>7422</v>
      </c>
      <c r="F2825" s="16" t="s">
        <v>1285</v>
      </c>
      <c r="G2825" s="16" t="s">
        <v>563</v>
      </c>
      <c r="H2825" s="16" t="s">
        <v>9102</v>
      </c>
      <c r="I2825" s="16" t="s">
        <v>114</v>
      </c>
      <c r="J2825" s="16" t="s">
        <v>7416</v>
      </c>
      <c r="K2825" s="32" t="n">
        <v>6</v>
      </c>
      <c r="L2825" s="33" t="n">
        <v>46399</v>
      </c>
      <c r="M2825" s="33" t="n">
        <v>46404</v>
      </c>
      <c r="N2825" s="16" t="s">
        <v>9239</v>
      </c>
      <c r="O2825" s="16"/>
      <c r="P2825" s="16" t="str">
        <f aca="false">IF(AND(L2825&lt;=$D$2,M2825&gt;=$C$2),"Sí","")</f>
        <v/>
      </c>
      <c r="Q2825" s="18" t="str">
        <f aca="false">IF(COUNTIF(LOOKAHEAD!$A$5:$A$604,A2825)&gt;0,"En Lookahead",IF(P2825="Sí","INCORPORAR",""))</f>
        <v/>
      </c>
    </row>
    <row r="2826" customFormat="false" ht="15" hidden="false" customHeight="false" outlineLevel="0" collapsed="false">
      <c r="A2826" s="16" t="s">
        <v>9240</v>
      </c>
      <c r="B2826" s="16" t="n">
        <v>2821</v>
      </c>
      <c r="C2826" s="16" t="s">
        <v>9241</v>
      </c>
      <c r="D2826" s="16" t="n">
        <v>6</v>
      </c>
      <c r="E2826" s="35" t="s">
        <v>7426</v>
      </c>
      <c r="F2826" s="16" t="s">
        <v>1285</v>
      </c>
      <c r="G2826" s="16" t="s">
        <v>563</v>
      </c>
      <c r="H2826" s="16" t="s">
        <v>9102</v>
      </c>
      <c r="I2826" s="16" t="s">
        <v>114</v>
      </c>
      <c r="J2826" s="16" t="s">
        <v>7416</v>
      </c>
      <c r="K2826" s="32" t="n">
        <v>4</v>
      </c>
      <c r="L2826" s="33" t="n">
        <v>46392</v>
      </c>
      <c r="M2826" s="33" t="n">
        <v>46395</v>
      </c>
      <c r="N2826" s="16" t="s">
        <v>9149</v>
      </c>
      <c r="O2826" s="16"/>
      <c r="P2826" s="16" t="str">
        <f aca="false">IF(AND(L2826&lt;=$D$2,M2826&gt;=$C$2),"Sí","")</f>
        <v/>
      </c>
      <c r="Q2826" s="18" t="str">
        <f aca="false">IF(COUNTIF(LOOKAHEAD!$A$5:$A$604,A2826)&gt;0,"En Lookahead",IF(P2826="Sí","INCORPORAR",""))</f>
        <v/>
      </c>
    </row>
    <row r="2827" customFormat="false" ht="15" hidden="false" customHeight="false" outlineLevel="0" collapsed="false">
      <c r="A2827" s="16" t="s">
        <v>9242</v>
      </c>
      <c r="B2827" s="16" t="n">
        <v>2822</v>
      </c>
      <c r="C2827" s="16" t="s">
        <v>9243</v>
      </c>
      <c r="D2827" s="16" t="n">
        <v>6</v>
      </c>
      <c r="E2827" s="35" t="s">
        <v>7429</v>
      </c>
      <c r="F2827" s="16" t="s">
        <v>1285</v>
      </c>
      <c r="G2827" s="16" t="s">
        <v>563</v>
      </c>
      <c r="H2827" s="16" t="s">
        <v>9102</v>
      </c>
      <c r="I2827" s="16" t="s">
        <v>114</v>
      </c>
      <c r="J2827" s="16" t="s">
        <v>7416</v>
      </c>
      <c r="K2827" s="32" t="n">
        <v>1</v>
      </c>
      <c r="L2827" s="33" t="n">
        <v>46406</v>
      </c>
      <c r="M2827" s="33" t="n">
        <v>46406</v>
      </c>
      <c r="N2827" s="16" t="s">
        <v>9204</v>
      </c>
      <c r="O2827" s="16"/>
      <c r="P2827" s="16" t="str">
        <f aca="false">IF(AND(L2827&lt;=$D$2,M2827&gt;=$C$2),"Sí","")</f>
        <v/>
      </c>
      <c r="Q2827" s="18" t="str">
        <f aca="false">IF(COUNTIF(LOOKAHEAD!$A$5:$A$604,A2827)&gt;0,"En Lookahead",IF(P2827="Sí","INCORPORAR",""))</f>
        <v/>
      </c>
    </row>
    <row r="2828" customFormat="false" ht="15" hidden="false" customHeight="false" outlineLevel="0" collapsed="false">
      <c r="A2828" s="16" t="s">
        <v>9244</v>
      </c>
      <c r="B2828" s="16" t="n">
        <v>2823</v>
      </c>
      <c r="C2828" s="16" t="s">
        <v>9245</v>
      </c>
      <c r="D2828" s="16" t="n">
        <v>6</v>
      </c>
      <c r="E2828" s="35" t="s">
        <v>7432</v>
      </c>
      <c r="F2828" s="16" t="s">
        <v>1285</v>
      </c>
      <c r="G2828" s="16" t="s">
        <v>563</v>
      </c>
      <c r="H2828" s="16" t="s">
        <v>9102</v>
      </c>
      <c r="I2828" s="16" t="s">
        <v>114</v>
      </c>
      <c r="J2828" s="16" t="s">
        <v>7416</v>
      </c>
      <c r="K2828" s="32" t="n">
        <v>2</v>
      </c>
      <c r="L2828" s="33" t="n">
        <v>46407</v>
      </c>
      <c r="M2828" s="33" t="n">
        <v>46408</v>
      </c>
      <c r="N2828" s="16" t="s">
        <v>9246</v>
      </c>
      <c r="O2828" s="16"/>
      <c r="P2828" s="16" t="str">
        <f aca="false">IF(AND(L2828&lt;=$D$2,M2828&gt;=$C$2),"Sí","")</f>
        <v/>
      </c>
      <c r="Q2828" s="18" t="str">
        <f aca="false">IF(COUNTIF(LOOKAHEAD!$A$5:$A$604,A2828)&gt;0,"En Lookahead",IF(P2828="Sí","INCORPORAR",""))</f>
        <v/>
      </c>
    </row>
    <row r="2829" customFormat="false" ht="15" hidden="false" customHeight="false" outlineLevel="0" collapsed="false">
      <c r="A2829" s="16" t="s">
        <v>9247</v>
      </c>
      <c r="B2829" s="16" t="n">
        <v>2824</v>
      </c>
      <c r="C2829" s="16" t="s">
        <v>9248</v>
      </c>
      <c r="D2829" s="16" t="n">
        <v>6</v>
      </c>
      <c r="E2829" s="35" t="s">
        <v>7436</v>
      </c>
      <c r="F2829" s="16" t="s">
        <v>1285</v>
      </c>
      <c r="G2829" s="16" t="s">
        <v>563</v>
      </c>
      <c r="H2829" s="16" t="s">
        <v>9102</v>
      </c>
      <c r="I2829" s="16" t="s">
        <v>114</v>
      </c>
      <c r="J2829" s="16" t="s">
        <v>7416</v>
      </c>
      <c r="K2829" s="32" t="n">
        <v>2</v>
      </c>
      <c r="L2829" s="33" t="n">
        <v>46409</v>
      </c>
      <c r="M2829" s="33" t="n">
        <v>46410</v>
      </c>
      <c r="N2829" s="16" t="s">
        <v>9249</v>
      </c>
      <c r="O2829" s="16"/>
      <c r="P2829" s="16" t="str">
        <f aca="false">IF(AND(L2829&lt;=$D$2,M2829&gt;=$C$2),"Sí","")</f>
        <v/>
      </c>
      <c r="Q2829" s="18" t="str">
        <f aca="false">IF(COUNTIF(LOOKAHEAD!$A$5:$A$604,A2829)&gt;0,"En Lookahead",IF(P2829="Sí","INCORPORAR",""))</f>
        <v/>
      </c>
    </row>
    <row r="2830" customFormat="false" ht="15" hidden="false" customHeight="false" outlineLevel="0" collapsed="false">
      <c r="A2830" s="13" t="s">
        <v>9250</v>
      </c>
      <c r="B2830" s="13" t="n">
        <v>2825</v>
      </c>
      <c r="C2830" s="13" t="s">
        <v>9251</v>
      </c>
      <c r="D2830" s="13" t="n">
        <v>5</v>
      </c>
      <c r="E2830" s="34" t="s">
        <v>7440</v>
      </c>
      <c r="F2830" s="13" t="s">
        <v>1298</v>
      </c>
      <c r="G2830" s="13" t="s">
        <v>563</v>
      </c>
      <c r="H2830" s="13" t="s">
        <v>9102</v>
      </c>
      <c r="I2830" s="13" t="s">
        <v>114</v>
      </c>
      <c r="J2830" s="13" t="s">
        <v>9102</v>
      </c>
      <c r="K2830" s="30" t="n">
        <v>3</v>
      </c>
      <c r="L2830" s="31" t="n">
        <v>46411</v>
      </c>
      <c r="M2830" s="31" t="n">
        <v>46413</v>
      </c>
      <c r="N2830" s="13"/>
      <c r="O2830" s="13"/>
      <c r="P2830" s="13"/>
      <c r="Q2830" s="13"/>
    </row>
    <row r="2831" customFormat="false" ht="15" hidden="false" customHeight="false" outlineLevel="0" collapsed="false">
      <c r="A2831" s="16" t="s">
        <v>9252</v>
      </c>
      <c r="B2831" s="16" t="n">
        <v>2826</v>
      </c>
      <c r="C2831" s="16" t="s">
        <v>9253</v>
      </c>
      <c r="D2831" s="16" t="n">
        <v>6</v>
      </c>
      <c r="E2831" s="35" t="s">
        <v>7991</v>
      </c>
      <c r="F2831" s="16" t="s">
        <v>1285</v>
      </c>
      <c r="G2831" s="16" t="s">
        <v>563</v>
      </c>
      <c r="H2831" s="16" t="s">
        <v>9102</v>
      </c>
      <c r="I2831" s="16" t="s">
        <v>114</v>
      </c>
      <c r="J2831" s="16" t="s">
        <v>7440</v>
      </c>
      <c r="K2831" s="32" t="n">
        <v>1</v>
      </c>
      <c r="L2831" s="33" t="n">
        <v>46411</v>
      </c>
      <c r="M2831" s="33" t="n">
        <v>46411</v>
      </c>
      <c r="N2831" s="16" t="s">
        <v>9254</v>
      </c>
      <c r="O2831" s="16"/>
      <c r="P2831" s="16" t="str">
        <f aca="false">IF(AND(L2831&lt;=$D$2,M2831&gt;=$C$2),"Sí","")</f>
        <v/>
      </c>
      <c r="Q2831" s="18" t="str">
        <f aca="false">IF(COUNTIF(LOOKAHEAD!$A$5:$A$604,A2831)&gt;0,"En Lookahead",IF(P2831="Sí","INCORPORAR",""))</f>
        <v/>
      </c>
    </row>
    <row r="2832" customFormat="false" ht="15" hidden="false" customHeight="false" outlineLevel="0" collapsed="false">
      <c r="A2832" s="16" t="s">
        <v>9255</v>
      </c>
      <c r="B2832" s="16" t="n">
        <v>2827</v>
      </c>
      <c r="C2832" s="16" t="s">
        <v>9256</v>
      </c>
      <c r="D2832" s="16" t="n">
        <v>6</v>
      </c>
      <c r="E2832" s="35" t="s">
        <v>7774</v>
      </c>
      <c r="F2832" s="16" t="s">
        <v>1285</v>
      </c>
      <c r="G2832" s="16" t="s">
        <v>563</v>
      </c>
      <c r="H2832" s="16" t="s">
        <v>9102</v>
      </c>
      <c r="I2832" s="16" t="s">
        <v>114</v>
      </c>
      <c r="J2832" s="16" t="s">
        <v>7440</v>
      </c>
      <c r="K2832" s="32" t="n">
        <v>1</v>
      </c>
      <c r="L2832" s="33" t="n">
        <v>46412</v>
      </c>
      <c r="M2832" s="33" t="n">
        <v>46412</v>
      </c>
      <c r="N2832" s="16" t="s">
        <v>9257</v>
      </c>
      <c r="O2832" s="16"/>
      <c r="P2832" s="16" t="str">
        <f aca="false">IF(AND(L2832&lt;=$D$2,M2832&gt;=$C$2),"Sí","")</f>
        <v/>
      </c>
      <c r="Q2832" s="18" t="str">
        <f aca="false">IF(COUNTIF(LOOKAHEAD!$A$5:$A$604,A2832)&gt;0,"En Lookahead",IF(P2832="Sí","INCORPORAR",""))</f>
        <v/>
      </c>
    </row>
    <row r="2833" customFormat="false" ht="15" hidden="false" customHeight="false" outlineLevel="0" collapsed="false">
      <c r="A2833" s="16" t="s">
        <v>9258</v>
      </c>
      <c r="B2833" s="16" t="n">
        <v>2828</v>
      </c>
      <c r="C2833" s="16" t="s">
        <v>9259</v>
      </c>
      <c r="D2833" s="16" t="n">
        <v>6</v>
      </c>
      <c r="E2833" s="35" t="s">
        <v>7451</v>
      </c>
      <c r="F2833" s="16" t="s">
        <v>1285</v>
      </c>
      <c r="G2833" s="16" t="s">
        <v>563</v>
      </c>
      <c r="H2833" s="16" t="s">
        <v>9102</v>
      </c>
      <c r="I2833" s="16" t="s">
        <v>114</v>
      </c>
      <c r="J2833" s="16" t="s">
        <v>7440</v>
      </c>
      <c r="K2833" s="32" t="n">
        <v>1</v>
      </c>
      <c r="L2833" s="33" t="n">
        <v>46413</v>
      </c>
      <c r="M2833" s="33" t="n">
        <v>46413</v>
      </c>
      <c r="N2833" s="16" t="s">
        <v>9260</v>
      </c>
      <c r="O2833" s="16"/>
      <c r="P2833" s="16" t="str">
        <f aca="false">IF(AND(L2833&lt;=$D$2,M2833&gt;=$C$2),"Sí","")</f>
        <v/>
      </c>
      <c r="Q2833" s="18" t="str">
        <f aca="false">IF(COUNTIF(LOOKAHEAD!$A$5:$A$604,A2833)&gt;0,"En Lookahead",IF(P2833="Sí","INCORPORAR",""))</f>
        <v/>
      </c>
    </row>
    <row r="2834" customFormat="false" ht="15" hidden="false" customHeight="false" outlineLevel="0" collapsed="false">
      <c r="A2834" s="13" t="s">
        <v>9261</v>
      </c>
      <c r="B2834" s="13" t="n">
        <v>2829</v>
      </c>
      <c r="C2834" s="13" t="s">
        <v>9262</v>
      </c>
      <c r="D2834" s="13" t="n">
        <v>5</v>
      </c>
      <c r="E2834" s="34" t="s">
        <v>7455</v>
      </c>
      <c r="F2834" s="13" t="s">
        <v>1298</v>
      </c>
      <c r="G2834" s="13" t="s">
        <v>563</v>
      </c>
      <c r="H2834" s="13" t="s">
        <v>9102</v>
      </c>
      <c r="I2834" s="13" t="s">
        <v>114</v>
      </c>
      <c r="J2834" s="13" t="s">
        <v>9102</v>
      </c>
      <c r="K2834" s="30" t="n">
        <v>3</v>
      </c>
      <c r="L2834" s="31" t="n">
        <v>46414</v>
      </c>
      <c r="M2834" s="31" t="n">
        <v>46416</v>
      </c>
      <c r="N2834" s="13"/>
      <c r="O2834" s="13"/>
      <c r="P2834" s="13"/>
      <c r="Q2834" s="13"/>
    </row>
    <row r="2835" customFormat="false" ht="15" hidden="false" customHeight="false" outlineLevel="0" collapsed="false">
      <c r="A2835" s="13" t="s">
        <v>9263</v>
      </c>
      <c r="B2835" s="13" t="n">
        <v>2830</v>
      </c>
      <c r="C2835" s="13" t="s">
        <v>9264</v>
      </c>
      <c r="D2835" s="13" t="n">
        <v>6</v>
      </c>
      <c r="E2835" s="36" t="s">
        <v>7458</v>
      </c>
      <c r="F2835" s="13" t="s">
        <v>1298</v>
      </c>
      <c r="G2835" s="13" t="s">
        <v>563</v>
      </c>
      <c r="H2835" s="13" t="s">
        <v>9102</v>
      </c>
      <c r="I2835" s="13" t="s">
        <v>114</v>
      </c>
      <c r="J2835" s="13" t="s">
        <v>7455</v>
      </c>
      <c r="K2835" s="30" t="n">
        <v>2</v>
      </c>
      <c r="L2835" s="31" t="n">
        <v>46414</v>
      </c>
      <c r="M2835" s="31" t="n">
        <v>46415</v>
      </c>
      <c r="N2835" s="13"/>
      <c r="O2835" s="13"/>
      <c r="P2835" s="13"/>
      <c r="Q2835" s="13"/>
    </row>
    <row r="2836" customFormat="false" ht="15" hidden="false" customHeight="false" outlineLevel="0" collapsed="false">
      <c r="A2836" s="16" t="s">
        <v>9265</v>
      </c>
      <c r="B2836" s="16" t="n">
        <v>2831</v>
      </c>
      <c r="C2836" s="16" t="s">
        <v>9266</v>
      </c>
      <c r="D2836" s="16" t="n">
        <v>7</v>
      </c>
      <c r="E2836" s="37" t="s">
        <v>7461</v>
      </c>
      <c r="F2836" s="16" t="s">
        <v>1285</v>
      </c>
      <c r="G2836" s="16" t="s">
        <v>563</v>
      </c>
      <c r="H2836" s="16" t="s">
        <v>9102</v>
      </c>
      <c r="I2836" s="16" t="s">
        <v>114</v>
      </c>
      <c r="J2836" s="16" t="s">
        <v>7458</v>
      </c>
      <c r="K2836" s="32" t="n">
        <v>1</v>
      </c>
      <c r="L2836" s="33" t="n">
        <v>46414</v>
      </c>
      <c r="M2836" s="33" t="n">
        <v>46414</v>
      </c>
      <c r="N2836" s="16" t="s">
        <v>9267</v>
      </c>
      <c r="O2836" s="16"/>
      <c r="P2836" s="16" t="str">
        <f aca="false">IF(AND(L2836&lt;=$D$2,M2836&gt;=$C$2),"Sí","")</f>
        <v/>
      </c>
      <c r="Q2836" s="18" t="str">
        <f aca="false">IF(COUNTIF(LOOKAHEAD!$A$5:$A$604,A2836)&gt;0,"En Lookahead",IF(P2836="Sí","INCORPORAR",""))</f>
        <v/>
      </c>
    </row>
    <row r="2837" customFormat="false" ht="15" hidden="false" customHeight="false" outlineLevel="0" collapsed="false">
      <c r="A2837" s="16" t="s">
        <v>9268</v>
      </c>
      <c r="B2837" s="16" t="n">
        <v>2832</v>
      </c>
      <c r="C2837" s="16" t="s">
        <v>9269</v>
      </c>
      <c r="D2837" s="16" t="n">
        <v>7</v>
      </c>
      <c r="E2837" s="37" t="s">
        <v>7469</v>
      </c>
      <c r="F2837" s="16" t="s">
        <v>1285</v>
      </c>
      <c r="G2837" s="16" t="s">
        <v>563</v>
      </c>
      <c r="H2837" s="16" t="s">
        <v>9102</v>
      </c>
      <c r="I2837" s="16" t="s">
        <v>114</v>
      </c>
      <c r="J2837" s="16" t="s">
        <v>7458</v>
      </c>
      <c r="K2837" s="32" t="n">
        <v>1</v>
      </c>
      <c r="L2837" s="33" t="n">
        <v>46415</v>
      </c>
      <c r="M2837" s="33" t="n">
        <v>46415</v>
      </c>
      <c r="N2837" s="16" t="s">
        <v>9270</v>
      </c>
      <c r="O2837" s="16"/>
      <c r="P2837" s="16" t="str">
        <f aca="false">IF(AND(L2837&lt;=$D$2,M2837&gt;=$C$2),"Sí","")</f>
        <v/>
      </c>
      <c r="Q2837" s="18" t="str">
        <f aca="false">IF(COUNTIF(LOOKAHEAD!$A$5:$A$604,A2837)&gt;0,"En Lookahead",IF(P2837="Sí","INCORPORAR",""))</f>
        <v/>
      </c>
    </row>
    <row r="2838" customFormat="false" ht="15" hidden="false" customHeight="false" outlineLevel="0" collapsed="false">
      <c r="A2838" s="13" t="s">
        <v>9271</v>
      </c>
      <c r="B2838" s="13" t="n">
        <v>2833</v>
      </c>
      <c r="C2838" s="13" t="s">
        <v>9272</v>
      </c>
      <c r="D2838" s="13" t="n">
        <v>6</v>
      </c>
      <c r="E2838" s="36" t="s">
        <v>7810</v>
      </c>
      <c r="F2838" s="13" t="s">
        <v>1298</v>
      </c>
      <c r="G2838" s="13" t="s">
        <v>563</v>
      </c>
      <c r="H2838" s="13" t="s">
        <v>9102</v>
      </c>
      <c r="I2838" s="13" t="s">
        <v>114</v>
      </c>
      <c r="J2838" s="13" t="s">
        <v>7455</v>
      </c>
      <c r="K2838" s="30" t="n">
        <v>1</v>
      </c>
      <c r="L2838" s="31" t="n">
        <v>46416</v>
      </c>
      <c r="M2838" s="31" t="n">
        <v>46416</v>
      </c>
      <c r="N2838" s="13"/>
      <c r="O2838" s="13"/>
      <c r="P2838" s="13"/>
      <c r="Q2838" s="13"/>
    </row>
    <row r="2839" customFormat="false" ht="15" hidden="false" customHeight="false" outlineLevel="0" collapsed="false">
      <c r="A2839" s="16" t="s">
        <v>9273</v>
      </c>
      <c r="B2839" s="16" t="n">
        <v>2834</v>
      </c>
      <c r="C2839" s="16" t="s">
        <v>9274</v>
      </c>
      <c r="D2839" s="16" t="n">
        <v>7</v>
      </c>
      <c r="E2839" s="37" t="s">
        <v>7813</v>
      </c>
      <c r="F2839" s="16" t="s">
        <v>1285</v>
      </c>
      <c r="G2839" s="16" t="s">
        <v>563</v>
      </c>
      <c r="H2839" s="16" t="s">
        <v>9102</v>
      </c>
      <c r="I2839" s="16" t="s">
        <v>114</v>
      </c>
      <c r="J2839" s="16" t="s">
        <v>7810</v>
      </c>
      <c r="K2839" s="32" t="n">
        <v>1</v>
      </c>
      <c r="L2839" s="33" t="n">
        <v>46416</v>
      </c>
      <c r="M2839" s="33" t="n">
        <v>46416</v>
      </c>
      <c r="N2839" s="16" t="s">
        <v>9275</v>
      </c>
      <c r="O2839" s="16"/>
      <c r="P2839" s="16" t="str">
        <f aca="false">IF(AND(L2839&lt;=$D$2,M2839&gt;=$C$2),"Sí","")</f>
        <v/>
      </c>
      <c r="Q2839" s="18" t="str">
        <f aca="false">IF(COUNTIF(LOOKAHEAD!$A$5:$A$604,A2839)&gt;0,"En Lookahead",IF(P2839="Sí","INCORPORAR",""))</f>
        <v/>
      </c>
    </row>
    <row r="2840" customFormat="false" ht="15" hidden="false" customHeight="false" outlineLevel="0" collapsed="false">
      <c r="A2840" s="13" t="s">
        <v>9276</v>
      </c>
      <c r="B2840" s="13" t="n">
        <v>2835</v>
      </c>
      <c r="C2840" s="13" t="s">
        <v>9277</v>
      </c>
      <c r="D2840" s="13" t="n">
        <v>4</v>
      </c>
      <c r="E2840" s="20" t="s">
        <v>9278</v>
      </c>
      <c r="F2840" s="13" t="s">
        <v>1298</v>
      </c>
      <c r="G2840" s="13" t="s">
        <v>563</v>
      </c>
      <c r="H2840" s="13" t="s">
        <v>9278</v>
      </c>
      <c r="I2840" s="13" t="s">
        <v>118</v>
      </c>
      <c r="J2840" s="13" t="s">
        <v>7172</v>
      </c>
      <c r="K2840" s="30" t="n">
        <v>31</v>
      </c>
      <c r="L2840" s="31" t="n">
        <v>46115</v>
      </c>
      <c r="M2840" s="31" t="n">
        <v>46145</v>
      </c>
      <c r="N2840" s="13"/>
      <c r="O2840" s="13"/>
      <c r="P2840" s="13"/>
      <c r="Q2840" s="13"/>
    </row>
    <row r="2841" customFormat="false" ht="15" hidden="false" customHeight="false" outlineLevel="0" collapsed="false">
      <c r="A2841" s="13" t="s">
        <v>9279</v>
      </c>
      <c r="B2841" s="13" t="n">
        <v>2836</v>
      </c>
      <c r="C2841" s="13" t="s">
        <v>9280</v>
      </c>
      <c r="D2841" s="13" t="n">
        <v>5</v>
      </c>
      <c r="E2841" s="34" t="s">
        <v>7177</v>
      </c>
      <c r="F2841" s="13" t="s">
        <v>1298</v>
      </c>
      <c r="G2841" s="13" t="s">
        <v>563</v>
      </c>
      <c r="H2841" s="13" t="s">
        <v>9278</v>
      </c>
      <c r="I2841" s="13" t="s">
        <v>118</v>
      </c>
      <c r="J2841" s="13" t="s">
        <v>9278</v>
      </c>
      <c r="K2841" s="30" t="n">
        <v>12</v>
      </c>
      <c r="L2841" s="31" t="n">
        <v>46115</v>
      </c>
      <c r="M2841" s="31" t="n">
        <v>46126</v>
      </c>
      <c r="N2841" s="13"/>
      <c r="O2841" s="13"/>
      <c r="P2841" s="13"/>
      <c r="Q2841" s="13"/>
    </row>
    <row r="2842" customFormat="false" ht="15" hidden="false" customHeight="false" outlineLevel="0" collapsed="false">
      <c r="A2842" s="16" t="s">
        <v>9281</v>
      </c>
      <c r="B2842" s="16" t="n">
        <v>2837</v>
      </c>
      <c r="C2842" s="16" t="s">
        <v>9282</v>
      </c>
      <c r="D2842" s="16" t="n">
        <v>6</v>
      </c>
      <c r="E2842" s="35" t="s">
        <v>7180</v>
      </c>
      <c r="F2842" s="16" t="s">
        <v>1285</v>
      </c>
      <c r="G2842" s="16" t="s">
        <v>563</v>
      </c>
      <c r="H2842" s="16" t="s">
        <v>9278</v>
      </c>
      <c r="I2842" s="16" t="s">
        <v>118</v>
      </c>
      <c r="J2842" s="16" t="s">
        <v>7177</v>
      </c>
      <c r="K2842" s="32" t="n">
        <v>4</v>
      </c>
      <c r="L2842" s="33" t="n">
        <v>46115</v>
      </c>
      <c r="M2842" s="33" t="n">
        <v>46118</v>
      </c>
      <c r="N2842" s="16" t="s">
        <v>5712</v>
      </c>
      <c r="O2842" s="16"/>
      <c r="P2842" s="16" t="str">
        <f aca="false">IF(AND(L2842&lt;=$D$2,M2842&gt;=$C$2),"Sí","")</f>
        <v/>
      </c>
      <c r="Q2842" s="18" t="str">
        <f aca="false">IF(COUNTIF(LOOKAHEAD!$A$5:$A$604,A2842)&gt;0,"En Lookahead",IF(P2842="Sí","INCORPORAR",""))</f>
        <v/>
      </c>
    </row>
    <row r="2843" customFormat="false" ht="15" hidden="false" customHeight="false" outlineLevel="0" collapsed="false">
      <c r="A2843" s="16" t="s">
        <v>9283</v>
      </c>
      <c r="B2843" s="16" t="n">
        <v>2838</v>
      </c>
      <c r="C2843" s="16" t="s">
        <v>9284</v>
      </c>
      <c r="D2843" s="16" t="n">
        <v>6</v>
      </c>
      <c r="E2843" s="35" t="s">
        <v>7183</v>
      </c>
      <c r="F2843" s="16" t="s">
        <v>1285</v>
      </c>
      <c r="G2843" s="16" t="s">
        <v>563</v>
      </c>
      <c r="H2843" s="16" t="s">
        <v>9278</v>
      </c>
      <c r="I2843" s="16" t="s">
        <v>118</v>
      </c>
      <c r="J2843" s="16" t="s">
        <v>7177</v>
      </c>
      <c r="K2843" s="32" t="n">
        <v>7</v>
      </c>
      <c r="L2843" s="33" t="n">
        <v>46119</v>
      </c>
      <c r="M2843" s="33" t="n">
        <v>46125</v>
      </c>
      <c r="N2843" s="16" t="s">
        <v>5736</v>
      </c>
      <c r="O2843" s="16"/>
      <c r="P2843" s="16" t="str">
        <f aca="false">IF(AND(L2843&lt;=$D$2,M2843&gt;=$C$2),"Sí","")</f>
        <v/>
      </c>
      <c r="Q2843" s="18" t="str">
        <f aca="false">IF(COUNTIF(LOOKAHEAD!$A$5:$A$604,A2843)&gt;0,"En Lookahead",IF(P2843="Sí","INCORPORAR",""))</f>
        <v/>
      </c>
    </row>
    <row r="2844" customFormat="false" ht="15" hidden="false" customHeight="false" outlineLevel="0" collapsed="false">
      <c r="A2844" s="16" t="s">
        <v>9285</v>
      </c>
      <c r="B2844" s="16" t="n">
        <v>2839</v>
      </c>
      <c r="C2844" s="16" t="s">
        <v>9286</v>
      </c>
      <c r="D2844" s="16" t="n">
        <v>6</v>
      </c>
      <c r="E2844" s="35" t="s">
        <v>7190</v>
      </c>
      <c r="F2844" s="16" t="s">
        <v>1285</v>
      </c>
      <c r="G2844" s="16" t="s">
        <v>563</v>
      </c>
      <c r="H2844" s="16" t="s">
        <v>9278</v>
      </c>
      <c r="I2844" s="16" t="s">
        <v>118</v>
      </c>
      <c r="J2844" s="16" t="s">
        <v>7177</v>
      </c>
      <c r="K2844" s="32" t="n">
        <v>1</v>
      </c>
      <c r="L2844" s="33" t="n">
        <v>46126</v>
      </c>
      <c r="M2844" s="33" t="n">
        <v>46126</v>
      </c>
      <c r="N2844" s="16" t="s">
        <v>9287</v>
      </c>
      <c r="O2844" s="16"/>
      <c r="P2844" s="16" t="str">
        <f aca="false">IF(AND(L2844&lt;=$D$2,M2844&gt;=$C$2),"Sí","")</f>
        <v/>
      </c>
      <c r="Q2844" s="18" t="str">
        <f aca="false">IF(COUNTIF(LOOKAHEAD!$A$5:$A$604,A2844)&gt;0,"En Lookahead",IF(P2844="Sí","INCORPORAR",""))</f>
        <v/>
      </c>
    </row>
    <row r="2845" customFormat="false" ht="15" hidden="false" customHeight="false" outlineLevel="0" collapsed="false">
      <c r="A2845" s="13" t="s">
        <v>9288</v>
      </c>
      <c r="B2845" s="13" t="n">
        <v>2840</v>
      </c>
      <c r="C2845" s="13" t="s">
        <v>9289</v>
      </c>
      <c r="D2845" s="13" t="n">
        <v>5</v>
      </c>
      <c r="E2845" s="34" t="s">
        <v>7206</v>
      </c>
      <c r="F2845" s="13" t="s">
        <v>1298</v>
      </c>
      <c r="G2845" s="13" t="s">
        <v>563</v>
      </c>
      <c r="H2845" s="13" t="s">
        <v>9278</v>
      </c>
      <c r="I2845" s="13" t="s">
        <v>118</v>
      </c>
      <c r="J2845" s="13" t="s">
        <v>9278</v>
      </c>
      <c r="K2845" s="30" t="n">
        <v>13</v>
      </c>
      <c r="L2845" s="31" t="n">
        <v>46126</v>
      </c>
      <c r="M2845" s="31" t="n">
        <v>46138</v>
      </c>
      <c r="N2845" s="13"/>
      <c r="O2845" s="13"/>
      <c r="P2845" s="13"/>
      <c r="Q2845" s="13"/>
    </row>
    <row r="2846" customFormat="false" ht="15" hidden="false" customHeight="false" outlineLevel="0" collapsed="false">
      <c r="A2846" s="16" t="s">
        <v>9290</v>
      </c>
      <c r="B2846" s="16" t="n">
        <v>2841</v>
      </c>
      <c r="C2846" s="16" t="s">
        <v>9291</v>
      </c>
      <c r="D2846" s="16" t="n">
        <v>6</v>
      </c>
      <c r="E2846" s="35" t="s">
        <v>7209</v>
      </c>
      <c r="F2846" s="16" t="s">
        <v>1285</v>
      </c>
      <c r="G2846" s="16" t="s">
        <v>563</v>
      </c>
      <c r="H2846" s="16" t="s">
        <v>9278</v>
      </c>
      <c r="I2846" s="16" t="s">
        <v>118</v>
      </c>
      <c r="J2846" s="16" t="s">
        <v>7206</v>
      </c>
      <c r="K2846" s="32" t="n">
        <v>5</v>
      </c>
      <c r="L2846" s="33" t="n">
        <v>46126</v>
      </c>
      <c r="M2846" s="33" t="n">
        <v>46130</v>
      </c>
      <c r="N2846" s="16" t="s">
        <v>9287</v>
      </c>
      <c r="O2846" s="16"/>
      <c r="P2846" s="16" t="str">
        <f aca="false">IF(AND(L2846&lt;=$D$2,M2846&gt;=$C$2),"Sí","")</f>
        <v/>
      </c>
      <c r="Q2846" s="18" t="str">
        <f aca="false">IF(COUNTIF(LOOKAHEAD!$A$5:$A$604,A2846)&gt;0,"En Lookahead",IF(P2846="Sí","INCORPORAR",""))</f>
        <v/>
      </c>
    </row>
    <row r="2847" customFormat="false" ht="15" hidden="false" customHeight="false" outlineLevel="0" collapsed="false">
      <c r="A2847" s="16" t="s">
        <v>9292</v>
      </c>
      <c r="B2847" s="16" t="n">
        <v>2842</v>
      </c>
      <c r="C2847" s="16" t="s">
        <v>9293</v>
      </c>
      <c r="D2847" s="16" t="n">
        <v>6</v>
      </c>
      <c r="E2847" s="35" t="s">
        <v>7212</v>
      </c>
      <c r="F2847" s="16" t="s">
        <v>1285</v>
      </c>
      <c r="G2847" s="16" t="s">
        <v>563</v>
      </c>
      <c r="H2847" s="16" t="s">
        <v>9278</v>
      </c>
      <c r="I2847" s="16" t="s">
        <v>118</v>
      </c>
      <c r="J2847" s="16" t="s">
        <v>7206</v>
      </c>
      <c r="K2847" s="32" t="n">
        <v>6</v>
      </c>
      <c r="L2847" s="33" t="n">
        <v>46126</v>
      </c>
      <c r="M2847" s="33" t="n">
        <v>46131</v>
      </c>
      <c r="N2847" s="16" t="s">
        <v>9294</v>
      </c>
      <c r="O2847" s="16"/>
      <c r="P2847" s="16" t="str">
        <f aca="false">IF(AND(L2847&lt;=$D$2,M2847&gt;=$C$2),"Sí","")</f>
        <v/>
      </c>
      <c r="Q2847" s="18" t="str">
        <f aca="false">IF(COUNTIF(LOOKAHEAD!$A$5:$A$604,A2847)&gt;0,"En Lookahead",IF(P2847="Sí","INCORPORAR",""))</f>
        <v/>
      </c>
    </row>
    <row r="2848" customFormat="false" ht="15" hidden="false" customHeight="false" outlineLevel="0" collapsed="false">
      <c r="A2848" s="16" t="s">
        <v>9295</v>
      </c>
      <c r="B2848" s="16" t="n">
        <v>2843</v>
      </c>
      <c r="C2848" s="16" t="s">
        <v>9296</v>
      </c>
      <c r="D2848" s="16" t="n">
        <v>6</v>
      </c>
      <c r="E2848" s="35" t="s">
        <v>7224</v>
      </c>
      <c r="F2848" s="16" t="s">
        <v>1285</v>
      </c>
      <c r="G2848" s="16" t="s">
        <v>563</v>
      </c>
      <c r="H2848" s="16" t="s">
        <v>9278</v>
      </c>
      <c r="I2848" s="16" t="s">
        <v>118</v>
      </c>
      <c r="J2848" s="16" t="s">
        <v>7206</v>
      </c>
      <c r="K2848" s="32" t="n">
        <v>2</v>
      </c>
      <c r="L2848" s="33" t="n">
        <v>46132</v>
      </c>
      <c r="M2848" s="33" t="n">
        <v>46133</v>
      </c>
      <c r="N2848" s="16" t="s">
        <v>9297</v>
      </c>
      <c r="O2848" s="16"/>
      <c r="P2848" s="16" t="str">
        <f aca="false">IF(AND(L2848&lt;=$D$2,M2848&gt;=$C$2),"Sí","")</f>
        <v/>
      </c>
      <c r="Q2848" s="18" t="str">
        <f aca="false">IF(COUNTIF(LOOKAHEAD!$A$5:$A$604,A2848)&gt;0,"En Lookahead",IF(P2848="Sí","INCORPORAR",""))</f>
        <v/>
      </c>
    </row>
    <row r="2849" customFormat="false" ht="15" hidden="false" customHeight="false" outlineLevel="0" collapsed="false">
      <c r="A2849" s="16" t="s">
        <v>9298</v>
      </c>
      <c r="B2849" s="16" t="n">
        <v>2844</v>
      </c>
      <c r="C2849" s="16" t="s">
        <v>9299</v>
      </c>
      <c r="D2849" s="16" t="n">
        <v>6</v>
      </c>
      <c r="E2849" s="35" t="s">
        <v>7228</v>
      </c>
      <c r="F2849" s="16" t="s">
        <v>1285</v>
      </c>
      <c r="G2849" s="16" t="s">
        <v>563</v>
      </c>
      <c r="H2849" s="16" t="s">
        <v>9278</v>
      </c>
      <c r="I2849" s="16" t="s">
        <v>118</v>
      </c>
      <c r="J2849" s="16" t="s">
        <v>7206</v>
      </c>
      <c r="K2849" s="32" t="n">
        <v>5</v>
      </c>
      <c r="L2849" s="33" t="n">
        <v>46134</v>
      </c>
      <c r="M2849" s="33" t="n">
        <v>46138</v>
      </c>
      <c r="N2849" s="16" t="s">
        <v>9300</v>
      </c>
      <c r="O2849" s="16"/>
      <c r="P2849" s="16" t="str">
        <f aca="false">IF(AND(L2849&lt;=$D$2,M2849&gt;=$C$2),"Sí","")</f>
        <v/>
      </c>
      <c r="Q2849" s="18" t="str">
        <f aca="false">IF(COUNTIF(LOOKAHEAD!$A$5:$A$604,A2849)&gt;0,"En Lookahead",IF(P2849="Sí","INCORPORAR",""))</f>
        <v/>
      </c>
    </row>
    <row r="2850" customFormat="false" ht="15" hidden="false" customHeight="false" outlineLevel="0" collapsed="false">
      <c r="A2850" s="16" t="s">
        <v>9301</v>
      </c>
      <c r="B2850" s="16" t="n">
        <v>2845</v>
      </c>
      <c r="C2850" s="16" t="s">
        <v>9302</v>
      </c>
      <c r="D2850" s="16" t="n">
        <v>6</v>
      </c>
      <c r="E2850" s="35" t="s">
        <v>7232</v>
      </c>
      <c r="F2850" s="16" t="s">
        <v>1285</v>
      </c>
      <c r="G2850" s="16" t="s">
        <v>563</v>
      </c>
      <c r="H2850" s="16" t="s">
        <v>9278</v>
      </c>
      <c r="I2850" s="16" t="s">
        <v>118</v>
      </c>
      <c r="J2850" s="16" t="s">
        <v>7206</v>
      </c>
      <c r="K2850" s="32" t="n">
        <v>6</v>
      </c>
      <c r="L2850" s="33" t="n">
        <v>46132</v>
      </c>
      <c r="M2850" s="33" t="n">
        <v>46137</v>
      </c>
      <c r="N2850" s="16" t="s">
        <v>9303</v>
      </c>
      <c r="O2850" s="16"/>
      <c r="P2850" s="16" t="str">
        <f aca="false">IF(AND(L2850&lt;=$D$2,M2850&gt;=$C$2),"Sí","")</f>
        <v/>
      </c>
      <c r="Q2850" s="18" t="str">
        <f aca="false">IF(COUNTIF(LOOKAHEAD!$A$5:$A$604,A2850)&gt;0,"En Lookahead",IF(P2850="Sí","INCORPORAR",""))</f>
        <v/>
      </c>
    </row>
    <row r="2851" customFormat="false" ht="15" hidden="false" customHeight="false" outlineLevel="0" collapsed="false">
      <c r="A2851" s="13" t="s">
        <v>9304</v>
      </c>
      <c r="B2851" s="13" t="n">
        <v>2846</v>
      </c>
      <c r="C2851" s="13" t="s">
        <v>9305</v>
      </c>
      <c r="D2851" s="13" t="n">
        <v>5</v>
      </c>
      <c r="E2851" s="34" t="s">
        <v>7236</v>
      </c>
      <c r="F2851" s="13" t="s">
        <v>1298</v>
      </c>
      <c r="G2851" s="13" t="s">
        <v>563</v>
      </c>
      <c r="H2851" s="13" t="s">
        <v>9278</v>
      </c>
      <c r="I2851" s="13" t="s">
        <v>118</v>
      </c>
      <c r="J2851" s="13" t="s">
        <v>9278</v>
      </c>
      <c r="K2851" s="30" t="n">
        <v>3</v>
      </c>
      <c r="L2851" s="31" t="n">
        <v>46132</v>
      </c>
      <c r="M2851" s="31" t="n">
        <v>46134</v>
      </c>
      <c r="N2851" s="13"/>
      <c r="O2851" s="13"/>
      <c r="P2851" s="13"/>
      <c r="Q2851" s="13"/>
    </row>
    <row r="2852" customFormat="false" ht="15" hidden="false" customHeight="false" outlineLevel="0" collapsed="false">
      <c r="A2852" s="16" t="s">
        <v>9306</v>
      </c>
      <c r="B2852" s="16" t="n">
        <v>2847</v>
      </c>
      <c r="C2852" s="16" t="s">
        <v>9307</v>
      </c>
      <c r="D2852" s="16" t="n">
        <v>6</v>
      </c>
      <c r="E2852" s="35" t="s">
        <v>7239</v>
      </c>
      <c r="F2852" s="16" t="s">
        <v>1285</v>
      </c>
      <c r="G2852" s="16" t="s">
        <v>563</v>
      </c>
      <c r="H2852" s="16" t="s">
        <v>9278</v>
      </c>
      <c r="I2852" s="16" t="s">
        <v>118</v>
      </c>
      <c r="J2852" s="16" t="s">
        <v>7236</v>
      </c>
      <c r="K2852" s="32" t="n">
        <v>3</v>
      </c>
      <c r="L2852" s="33" t="n">
        <v>46132</v>
      </c>
      <c r="M2852" s="33" t="n">
        <v>46134</v>
      </c>
      <c r="N2852" s="16" t="s">
        <v>9297</v>
      </c>
      <c r="O2852" s="16"/>
      <c r="P2852" s="16" t="str">
        <f aca="false">IF(AND(L2852&lt;=$D$2,M2852&gt;=$C$2),"Sí","")</f>
        <v/>
      </c>
      <c r="Q2852" s="18" t="str">
        <f aca="false">IF(COUNTIF(LOOKAHEAD!$A$5:$A$604,A2852)&gt;0,"En Lookahead",IF(P2852="Sí","INCORPORAR",""))</f>
        <v/>
      </c>
    </row>
    <row r="2853" customFormat="false" ht="15" hidden="false" customHeight="false" outlineLevel="0" collapsed="false">
      <c r="A2853" s="13" t="s">
        <v>9308</v>
      </c>
      <c r="B2853" s="13" t="n">
        <v>2848</v>
      </c>
      <c r="C2853" s="13" t="s">
        <v>9309</v>
      </c>
      <c r="D2853" s="13" t="n">
        <v>5</v>
      </c>
      <c r="E2853" s="34" t="s">
        <v>7250</v>
      </c>
      <c r="F2853" s="13" t="s">
        <v>1298</v>
      </c>
      <c r="G2853" s="13" t="s">
        <v>563</v>
      </c>
      <c r="H2853" s="13" t="s">
        <v>9278</v>
      </c>
      <c r="I2853" s="13" t="s">
        <v>118</v>
      </c>
      <c r="J2853" s="13" t="s">
        <v>9278</v>
      </c>
      <c r="K2853" s="30" t="n">
        <v>8</v>
      </c>
      <c r="L2853" s="31" t="n">
        <v>46135</v>
      </c>
      <c r="M2853" s="31" t="n">
        <v>46142</v>
      </c>
      <c r="N2853" s="13"/>
      <c r="O2853" s="13"/>
      <c r="P2853" s="13"/>
      <c r="Q2853" s="13"/>
    </row>
    <row r="2854" customFormat="false" ht="15" hidden="false" customHeight="false" outlineLevel="0" collapsed="false">
      <c r="A2854" s="13" t="s">
        <v>9310</v>
      </c>
      <c r="B2854" s="13" t="n">
        <v>2849</v>
      </c>
      <c r="C2854" s="13" t="s">
        <v>9311</v>
      </c>
      <c r="D2854" s="13" t="n">
        <v>6</v>
      </c>
      <c r="E2854" s="36" t="s">
        <v>7253</v>
      </c>
      <c r="F2854" s="13" t="s">
        <v>1298</v>
      </c>
      <c r="G2854" s="13" t="s">
        <v>563</v>
      </c>
      <c r="H2854" s="13" t="s">
        <v>9278</v>
      </c>
      <c r="I2854" s="13" t="s">
        <v>118</v>
      </c>
      <c r="J2854" s="13" t="s">
        <v>7250</v>
      </c>
      <c r="K2854" s="30" t="n">
        <v>1</v>
      </c>
      <c r="L2854" s="31" t="n">
        <v>46135</v>
      </c>
      <c r="M2854" s="31" t="n">
        <v>46135</v>
      </c>
      <c r="N2854" s="13"/>
      <c r="O2854" s="13"/>
      <c r="P2854" s="13"/>
      <c r="Q2854" s="13"/>
    </row>
    <row r="2855" customFormat="false" ht="15" hidden="false" customHeight="false" outlineLevel="0" collapsed="false">
      <c r="A2855" s="16" t="s">
        <v>9312</v>
      </c>
      <c r="B2855" s="16" t="n">
        <v>2850</v>
      </c>
      <c r="C2855" s="16" t="s">
        <v>9313</v>
      </c>
      <c r="D2855" s="16" t="n">
        <v>7</v>
      </c>
      <c r="E2855" s="37" t="s">
        <v>7256</v>
      </c>
      <c r="F2855" s="16" t="s">
        <v>1285</v>
      </c>
      <c r="G2855" s="16" t="s">
        <v>563</v>
      </c>
      <c r="H2855" s="16" t="s">
        <v>9278</v>
      </c>
      <c r="I2855" s="16" t="s">
        <v>118</v>
      </c>
      <c r="J2855" s="16" t="s">
        <v>7253</v>
      </c>
      <c r="K2855" s="32" t="n">
        <v>1</v>
      </c>
      <c r="L2855" s="33" t="n">
        <v>46135</v>
      </c>
      <c r="M2855" s="33" t="n">
        <v>46135</v>
      </c>
      <c r="N2855" s="16" t="s">
        <v>9314</v>
      </c>
      <c r="O2855" s="16"/>
      <c r="P2855" s="16" t="str">
        <f aca="false">IF(AND(L2855&lt;=$D$2,M2855&gt;=$C$2),"Sí","")</f>
        <v/>
      </c>
      <c r="Q2855" s="18" t="str">
        <f aca="false">IF(COUNTIF(LOOKAHEAD!$A$5:$A$604,A2855)&gt;0,"En Lookahead",IF(P2855="Sí","INCORPORAR",""))</f>
        <v/>
      </c>
    </row>
    <row r="2856" customFormat="false" ht="15" hidden="false" customHeight="false" outlineLevel="0" collapsed="false">
      <c r="A2856" s="13" t="s">
        <v>9315</v>
      </c>
      <c r="B2856" s="13" t="n">
        <v>2851</v>
      </c>
      <c r="C2856" s="13" t="s">
        <v>9316</v>
      </c>
      <c r="D2856" s="13" t="n">
        <v>6</v>
      </c>
      <c r="E2856" s="36" t="s">
        <v>7260</v>
      </c>
      <c r="F2856" s="13" t="s">
        <v>1298</v>
      </c>
      <c r="G2856" s="13" t="s">
        <v>563</v>
      </c>
      <c r="H2856" s="13" t="s">
        <v>9278</v>
      </c>
      <c r="I2856" s="13" t="s">
        <v>118</v>
      </c>
      <c r="J2856" s="13" t="s">
        <v>7250</v>
      </c>
      <c r="K2856" s="30" t="n">
        <v>6</v>
      </c>
      <c r="L2856" s="31" t="n">
        <v>46136</v>
      </c>
      <c r="M2856" s="31" t="n">
        <v>46141</v>
      </c>
      <c r="N2856" s="13"/>
      <c r="O2856" s="13"/>
      <c r="P2856" s="13"/>
      <c r="Q2856" s="13"/>
    </row>
    <row r="2857" customFormat="false" ht="15" hidden="false" customHeight="false" outlineLevel="0" collapsed="false">
      <c r="A2857" s="16" t="s">
        <v>9317</v>
      </c>
      <c r="B2857" s="16" t="n">
        <v>2852</v>
      </c>
      <c r="C2857" s="16" t="s">
        <v>9318</v>
      </c>
      <c r="D2857" s="16" t="n">
        <v>7</v>
      </c>
      <c r="E2857" s="37" t="s">
        <v>7572</v>
      </c>
      <c r="F2857" s="16" t="s">
        <v>1285</v>
      </c>
      <c r="G2857" s="16" t="s">
        <v>563</v>
      </c>
      <c r="H2857" s="16" t="s">
        <v>9278</v>
      </c>
      <c r="I2857" s="16" t="s">
        <v>118</v>
      </c>
      <c r="J2857" s="16" t="s">
        <v>7260</v>
      </c>
      <c r="K2857" s="32" t="n">
        <v>6</v>
      </c>
      <c r="L2857" s="33" t="n">
        <v>46136</v>
      </c>
      <c r="M2857" s="33" t="n">
        <v>46141</v>
      </c>
      <c r="N2857" s="16" t="s">
        <v>9319</v>
      </c>
      <c r="O2857" s="16"/>
      <c r="P2857" s="16" t="str">
        <f aca="false">IF(AND(L2857&lt;=$D$2,M2857&gt;=$C$2),"Sí","")</f>
        <v/>
      </c>
      <c r="Q2857" s="18" t="str">
        <f aca="false">IF(COUNTIF(LOOKAHEAD!$A$5:$A$604,A2857)&gt;0,"En Lookahead",IF(P2857="Sí","INCORPORAR",""))</f>
        <v/>
      </c>
    </row>
    <row r="2858" customFormat="false" ht="15" hidden="false" customHeight="false" outlineLevel="0" collapsed="false">
      <c r="A2858" s="13" t="s">
        <v>9320</v>
      </c>
      <c r="B2858" s="13" t="n">
        <v>2853</v>
      </c>
      <c r="C2858" s="13" t="s">
        <v>9321</v>
      </c>
      <c r="D2858" s="13" t="n">
        <v>6</v>
      </c>
      <c r="E2858" s="36" t="s">
        <v>2137</v>
      </c>
      <c r="F2858" s="13" t="s">
        <v>1298</v>
      </c>
      <c r="G2858" s="13" t="s">
        <v>563</v>
      </c>
      <c r="H2858" s="13" t="s">
        <v>9278</v>
      </c>
      <c r="I2858" s="13" t="s">
        <v>118</v>
      </c>
      <c r="J2858" s="13" t="s">
        <v>7250</v>
      </c>
      <c r="K2858" s="30" t="n">
        <v>1</v>
      </c>
      <c r="L2858" s="31" t="n">
        <v>46142</v>
      </c>
      <c r="M2858" s="31" t="n">
        <v>46142</v>
      </c>
      <c r="N2858" s="13"/>
      <c r="O2858" s="13"/>
      <c r="P2858" s="13"/>
      <c r="Q2858" s="13"/>
    </row>
    <row r="2859" customFormat="false" ht="15" hidden="false" customHeight="false" outlineLevel="0" collapsed="false">
      <c r="A2859" s="16" t="s">
        <v>9322</v>
      </c>
      <c r="B2859" s="16" t="n">
        <v>2854</v>
      </c>
      <c r="C2859" s="16" t="s">
        <v>9323</v>
      </c>
      <c r="D2859" s="16" t="n">
        <v>7</v>
      </c>
      <c r="E2859" s="37" t="s">
        <v>7586</v>
      </c>
      <c r="F2859" s="16" t="s">
        <v>1285</v>
      </c>
      <c r="G2859" s="16" t="s">
        <v>563</v>
      </c>
      <c r="H2859" s="16" t="s">
        <v>9278</v>
      </c>
      <c r="I2859" s="16" t="s">
        <v>118</v>
      </c>
      <c r="J2859" s="16" t="s">
        <v>2137</v>
      </c>
      <c r="K2859" s="32" t="n">
        <v>1</v>
      </c>
      <c r="L2859" s="33" t="n">
        <v>46142</v>
      </c>
      <c r="M2859" s="33" t="n">
        <v>46142</v>
      </c>
      <c r="N2859" s="16" t="s">
        <v>9324</v>
      </c>
      <c r="O2859" s="16"/>
      <c r="P2859" s="16" t="str">
        <f aca="false">IF(AND(L2859&lt;=$D$2,M2859&gt;=$C$2),"Sí","")</f>
        <v/>
      </c>
      <c r="Q2859" s="18" t="str">
        <f aca="false">IF(COUNTIF(LOOKAHEAD!$A$5:$A$604,A2859)&gt;0,"En Lookahead",IF(P2859="Sí","INCORPORAR",""))</f>
        <v/>
      </c>
    </row>
    <row r="2860" customFormat="false" ht="15" hidden="false" customHeight="false" outlineLevel="0" collapsed="false">
      <c r="A2860" s="13" t="s">
        <v>9325</v>
      </c>
      <c r="B2860" s="13" t="n">
        <v>2855</v>
      </c>
      <c r="C2860" s="13" t="s">
        <v>9326</v>
      </c>
      <c r="D2860" s="13" t="n">
        <v>5</v>
      </c>
      <c r="E2860" s="34" t="s">
        <v>7296</v>
      </c>
      <c r="F2860" s="13" t="s">
        <v>1298</v>
      </c>
      <c r="G2860" s="13" t="s">
        <v>563</v>
      </c>
      <c r="H2860" s="13" t="s">
        <v>9278</v>
      </c>
      <c r="I2860" s="13" t="s">
        <v>118</v>
      </c>
      <c r="J2860" s="13" t="s">
        <v>9278</v>
      </c>
      <c r="K2860" s="30" t="n">
        <v>2</v>
      </c>
      <c r="L2860" s="31" t="n">
        <v>46143</v>
      </c>
      <c r="M2860" s="31" t="n">
        <v>46144</v>
      </c>
      <c r="N2860" s="13"/>
      <c r="O2860" s="13"/>
      <c r="P2860" s="13"/>
      <c r="Q2860" s="13"/>
    </row>
    <row r="2861" customFormat="false" ht="15" hidden="false" customHeight="false" outlineLevel="0" collapsed="false">
      <c r="A2861" s="16" t="s">
        <v>9327</v>
      </c>
      <c r="B2861" s="16" t="n">
        <v>2856</v>
      </c>
      <c r="C2861" s="16" t="s">
        <v>9328</v>
      </c>
      <c r="D2861" s="16" t="n">
        <v>6</v>
      </c>
      <c r="E2861" s="35" t="s">
        <v>7299</v>
      </c>
      <c r="F2861" s="16" t="s">
        <v>1285</v>
      </c>
      <c r="G2861" s="16" t="s">
        <v>563</v>
      </c>
      <c r="H2861" s="16" t="s">
        <v>9278</v>
      </c>
      <c r="I2861" s="16" t="s">
        <v>118</v>
      </c>
      <c r="J2861" s="16" t="s">
        <v>7296</v>
      </c>
      <c r="K2861" s="32" t="n">
        <v>1</v>
      </c>
      <c r="L2861" s="33" t="n">
        <v>46143</v>
      </c>
      <c r="M2861" s="33" t="n">
        <v>46143</v>
      </c>
      <c r="N2861" s="16" t="s">
        <v>9329</v>
      </c>
      <c r="O2861" s="16"/>
      <c r="P2861" s="16" t="str">
        <f aca="false">IF(AND(L2861&lt;=$D$2,M2861&gt;=$C$2),"Sí","")</f>
        <v/>
      </c>
      <c r="Q2861" s="18" t="str">
        <f aca="false">IF(COUNTIF(LOOKAHEAD!$A$5:$A$604,A2861)&gt;0,"En Lookahead",IF(P2861="Sí","INCORPORAR",""))</f>
        <v/>
      </c>
    </row>
    <row r="2862" customFormat="false" ht="15" hidden="false" customHeight="false" outlineLevel="0" collapsed="false">
      <c r="A2862" s="16" t="s">
        <v>9330</v>
      </c>
      <c r="B2862" s="16" t="n">
        <v>2857</v>
      </c>
      <c r="C2862" s="16" t="s">
        <v>9331</v>
      </c>
      <c r="D2862" s="16" t="n">
        <v>6</v>
      </c>
      <c r="E2862" s="35" t="s">
        <v>7303</v>
      </c>
      <c r="F2862" s="16" t="s">
        <v>1285</v>
      </c>
      <c r="G2862" s="16" t="s">
        <v>563</v>
      </c>
      <c r="H2862" s="16" t="s">
        <v>9278</v>
      </c>
      <c r="I2862" s="16" t="s">
        <v>118</v>
      </c>
      <c r="J2862" s="16" t="s">
        <v>7296</v>
      </c>
      <c r="K2862" s="32" t="n">
        <v>1</v>
      </c>
      <c r="L2862" s="33" t="n">
        <v>46144</v>
      </c>
      <c r="M2862" s="33" t="n">
        <v>46144</v>
      </c>
      <c r="N2862" s="16" t="s">
        <v>9332</v>
      </c>
      <c r="O2862" s="16"/>
      <c r="P2862" s="16" t="str">
        <f aca="false">IF(AND(L2862&lt;=$D$2,M2862&gt;=$C$2),"Sí","")</f>
        <v/>
      </c>
      <c r="Q2862" s="18" t="str">
        <f aca="false">IF(COUNTIF(LOOKAHEAD!$A$5:$A$604,A2862)&gt;0,"En Lookahead",IF(P2862="Sí","INCORPORAR",""))</f>
        <v/>
      </c>
    </row>
    <row r="2863" customFormat="false" ht="15" hidden="false" customHeight="false" outlineLevel="0" collapsed="false">
      <c r="A2863" s="13" t="s">
        <v>9333</v>
      </c>
      <c r="B2863" s="13" t="n">
        <v>2858</v>
      </c>
      <c r="C2863" s="13" t="s">
        <v>9334</v>
      </c>
      <c r="D2863" s="13" t="n">
        <v>5</v>
      </c>
      <c r="E2863" s="34" t="s">
        <v>7368</v>
      </c>
      <c r="F2863" s="13" t="s">
        <v>1298</v>
      </c>
      <c r="G2863" s="13" t="s">
        <v>563</v>
      </c>
      <c r="H2863" s="13" t="s">
        <v>9278</v>
      </c>
      <c r="I2863" s="13" t="s">
        <v>118</v>
      </c>
      <c r="J2863" s="13" t="s">
        <v>9278</v>
      </c>
      <c r="K2863" s="30" t="n">
        <v>1</v>
      </c>
      <c r="L2863" s="31" t="n">
        <v>46145</v>
      </c>
      <c r="M2863" s="31" t="n">
        <v>46145</v>
      </c>
      <c r="N2863" s="13"/>
      <c r="O2863" s="13"/>
      <c r="P2863" s="13"/>
      <c r="Q2863" s="13"/>
    </row>
    <row r="2864" customFormat="false" ht="15" hidden="false" customHeight="false" outlineLevel="0" collapsed="false">
      <c r="A2864" s="16" t="s">
        <v>9335</v>
      </c>
      <c r="B2864" s="16" t="n">
        <v>2859</v>
      </c>
      <c r="C2864" s="16" t="s">
        <v>9336</v>
      </c>
      <c r="D2864" s="16" t="n">
        <v>6</v>
      </c>
      <c r="E2864" s="35" t="s">
        <v>8302</v>
      </c>
      <c r="F2864" s="16" t="s">
        <v>1285</v>
      </c>
      <c r="G2864" s="16" t="s">
        <v>563</v>
      </c>
      <c r="H2864" s="16" t="s">
        <v>9278</v>
      </c>
      <c r="I2864" s="16" t="s">
        <v>118</v>
      </c>
      <c r="J2864" s="16" t="s">
        <v>7368</v>
      </c>
      <c r="K2864" s="32" t="n">
        <v>1</v>
      </c>
      <c r="L2864" s="33" t="n">
        <v>46145</v>
      </c>
      <c r="M2864" s="33" t="n">
        <v>46145</v>
      </c>
      <c r="N2864" s="16" t="s">
        <v>9337</v>
      </c>
      <c r="O2864" s="16"/>
      <c r="P2864" s="16" t="str">
        <f aca="false">IF(AND(L2864&lt;=$D$2,M2864&gt;=$C$2),"Sí","")</f>
        <v/>
      </c>
      <c r="Q2864" s="18" t="str">
        <f aca="false">IF(COUNTIF(LOOKAHEAD!$A$5:$A$604,A2864)&gt;0,"En Lookahead",IF(P2864="Sí","INCORPORAR",""))</f>
        <v/>
      </c>
    </row>
    <row r="2865" customFormat="false" ht="15" hidden="false" customHeight="false" outlineLevel="0" collapsed="false">
      <c r="A2865" s="13" t="s">
        <v>9338</v>
      </c>
      <c r="B2865" s="13" t="n">
        <v>2860</v>
      </c>
      <c r="C2865" s="13" t="s">
        <v>9339</v>
      </c>
      <c r="D2865" s="13" t="n">
        <v>5</v>
      </c>
      <c r="E2865" s="34" t="s">
        <v>9340</v>
      </c>
      <c r="F2865" s="13" t="s">
        <v>1298</v>
      </c>
      <c r="G2865" s="13" t="s">
        <v>563</v>
      </c>
      <c r="H2865" s="13" t="s">
        <v>9278</v>
      </c>
      <c r="I2865" s="13" t="s">
        <v>118</v>
      </c>
      <c r="J2865" s="13" t="s">
        <v>9278</v>
      </c>
      <c r="K2865" s="30" t="n">
        <v>9</v>
      </c>
      <c r="L2865" s="31" t="n">
        <v>46132</v>
      </c>
      <c r="M2865" s="31" t="n">
        <v>46140</v>
      </c>
      <c r="N2865" s="13"/>
      <c r="O2865" s="13"/>
      <c r="P2865" s="13"/>
      <c r="Q2865" s="13"/>
    </row>
    <row r="2866" customFormat="false" ht="15" hidden="false" customHeight="false" outlineLevel="0" collapsed="false">
      <c r="A2866" s="16" t="s">
        <v>9341</v>
      </c>
      <c r="B2866" s="16" t="n">
        <v>2861</v>
      </c>
      <c r="C2866" s="16" t="s">
        <v>9342</v>
      </c>
      <c r="D2866" s="16" t="n">
        <v>6</v>
      </c>
      <c r="E2866" s="35" t="s">
        <v>7419</v>
      </c>
      <c r="F2866" s="16" t="s">
        <v>1285</v>
      </c>
      <c r="G2866" s="16" t="s">
        <v>563</v>
      </c>
      <c r="H2866" s="16" t="s">
        <v>9278</v>
      </c>
      <c r="I2866" s="16" t="s">
        <v>118</v>
      </c>
      <c r="J2866" s="16" t="s">
        <v>9340</v>
      </c>
      <c r="K2866" s="32" t="n">
        <v>9</v>
      </c>
      <c r="L2866" s="33" t="n">
        <v>46132</v>
      </c>
      <c r="M2866" s="33" t="n">
        <v>46140</v>
      </c>
      <c r="N2866" s="16" t="s">
        <v>9297</v>
      </c>
      <c r="O2866" s="16"/>
      <c r="P2866" s="16" t="str">
        <f aca="false">IF(AND(L2866&lt;=$D$2,M2866&gt;=$C$2),"Sí","")</f>
        <v/>
      </c>
      <c r="Q2866" s="18" t="str">
        <f aca="false">IF(COUNTIF(LOOKAHEAD!$A$5:$A$604,A2866)&gt;0,"En Lookahead",IF(P2866="Sí","INCORPORAR",""))</f>
        <v/>
      </c>
    </row>
    <row r="2867" customFormat="false" ht="15" hidden="false" customHeight="false" outlineLevel="0" collapsed="false">
      <c r="A2867" s="16" t="s">
        <v>9343</v>
      </c>
      <c r="B2867" s="16" t="n">
        <v>2862</v>
      </c>
      <c r="C2867" s="16" t="s">
        <v>9344</v>
      </c>
      <c r="D2867" s="16" t="n">
        <v>6</v>
      </c>
      <c r="E2867" s="35" t="s">
        <v>7422</v>
      </c>
      <c r="F2867" s="16" t="s">
        <v>1285</v>
      </c>
      <c r="G2867" s="16" t="s">
        <v>563</v>
      </c>
      <c r="H2867" s="16" t="s">
        <v>9278</v>
      </c>
      <c r="I2867" s="16" t="s">
        <v>118</v>
      </c>
      <c r="J2867" s="16" t="s">
        <v>9340</v>
      </c>
      <c r="K2867" s="32" t="n">
        <v>3</v>
      </c>
      <c r="L2867" s="33" t="n">
        <v>46132</v>
      </c>
      <c r="M2867" s="33" t="n">
        <v>46134</v>
      </c>
      <c r="N2867" s="16" t="s">
        <v>9345</v>
      </c>
      <c r="O2867" s="16"/>
      <c r="P2867" s="16" t="str">
        <f aca="false">IF(AND(L2867&lt;=$D$2,M2867&gt;=$C$2),"Sí","")</f>
        <v/>
      </c>
      <c r="Q2867" s="18" t="str">
        <f aca="false">IF(COUNTIF(LOOKAHEAD!$A$5:$A$604,A2867)&gt;0,"En Lookahead",IF(P2867="Sí","INCORPORAR",""))</f>
        <v/>
      </c>
    </row>
    <row r="2868" customFormat="false" ht="15" hidden="false" customHeight="false" outlineLevel="0" collapsed="false">
      <c r="A2868" s="16" t="s">
        <v>9346</v>
      </c>
      <c r="B2868" s="16" t="n">
        <v>2863</v>
      </c>
      <c r="C2868" s="16" t="s">
        <v>9347</v>
      </c>
      <c r="D2868" s="16" t="n">
        <v>6</v>
      </c>
      <c r="E2868" s="35" t="s">
        <v>7426</v>
      </c>
      <c r="F2868" s="16" t="s">
        <v>1285</v>
      </c>
      <c r="G2868" s="16" t="s">
        <v>563</v>
      </c>
      <c r="H2868" s="16" t="s">
        <v>9278</v>
      </c>
      <c r="I2868" s="16" t="s">
        <v>118</v>
      </c>
      <c r="J2868" s="16" t="s">
        <v>9340</v>
      </c>
      <c r="K2868" s="32" t="n">
        <v>1</v>
      </c>
      <c r="L2868" s="33" t="n">
        <v>46135</v>
      </c>
      <c r="M2868" s="33" t="n">
        <v>46135</v>
      </c>
      <c r="N2868" s="16" t="s">
        <v>9314</v>
      </c>
      <c r="O2868" s="16"/>
      <c r="P2868" s="16" t="str">
        <f aca="false">IF(AND(L2868&lt;=$D$2,M2868&gt;=$C$2),"Sí","")</f>
        <v/>
      </c>
      <c r="Q2868" s="18" t="str">
        <f aca="false">IF(COUNTIF(LOOKAHEAD!$A$5:$A$604,A2868)&gt;0,"En Lookahead",IF(P2868="Sí","INCORPORAR",""))</f>
        <v/>
      </c>
    </row>
    <row r="2869" customFormat="false" ht="15" hidden="false" customHeight="false" outlineLevel="0" collapsed="false">
      <c r="A2869" s="16" t="s">
        <v>9348</v>
      </c>
      <c r="B2869" s="16" t="n">
        <v>2864</v>
      </c>
      <c r="C2869" s="16" t="s">
        <v>9349</v>
      </c>
      <c r="D2869" s="16" t="n">
        <v>6</v>
      </c>
      <c r="E2869" s="35" t="s">
        <v>7432</v>
      </c>
      <c r="F2869" s="16" t="s">
        <v>1285</v>
      </c>
      <c r="G2869" s="16" t="s">
        <v>563</v>
      </c>
      <c r="H2869" s="16" t="s">
        <v>9278</v>
      </c>
      <c r="I2869" s="16" t="s">
        <v>118</v>
      </c>
      <c r="J2869" s="16" t="s">
        <v>9340</v>
      </c>
      <c r="K2869" s="32" t="n">
        <v>1</v>
      </c>
      <c r="L2869" s="33" t="n">
        <v>46136</v>
      </c>
      <c r="M2869" s="33" t="n">
        <v>46136</v>
      </c>
      <c r="N2869" s="16" t="s">
        <v>9350</v>
      </c>
      <c r="O2869" s="16"/>
      <c r="P2869" s="16" t="str">
        <f aca="false">IF(AND(L2869&lt;=$D$2,M2869&gt;=$C$2),"Sí","")</f>
        <v/>
      </c>
      <c r="Q2869" s="18" t="str">
        <f aca="false">IF(COUNTIF(LOOKAHEAD!$A$5:$A$604,A2869)&gt;0,"En Lookahead",IF(P2869="Sí","INCORPORAR",""))</f>
        <v/>
      </c>
    </row>
    <row r="2870" customFormat="false" ht="15" hidden="false" customHeight="false" outlineLevel="0" collapsed="false">
      <c r="A2870" s="13" t="s">
        <v>9351</v>
      </c>
      <c r="B2870" s="13" t="n">
        <v>2865</v>
      </c>
      <c r="C2870" s="13" t="s">
        <v>9352</v>
      </c>
      <c r="D2870" s="13" t="n">
        <v>5</v>
      </c>
      <c r="E2870" s="34" t="s">
        <v>7440</v>
      </c>
      <c r="F2870" s="13" t="s">
        <v>1298</v>
      </c>
      <c r="G2870" s="13" t="s">
        <v>563</v>
      </c>
      <c r="H2870" s="13" t="s">
        <v>9278</v>
      </c>
      <c r="I2870" s="13" t="s">
        <v>118</v>
      </c>
      <c r="J2870" s="13" t="s">
        <v>9278</v>
      </c>
      <c r="K2870" s="30" t="n">
        <v>8</v>
      </c>
      <c r="L2870" s="31" t="n">
        <v>46137</v>
      </c>
      <c r="M2870" s="31" t="n">
        <v>46144</v>
      </c>
      <c r="N2870" s="13"/>
      <c r="O2870" s="13"/>
      <c r="P2870" s="13"/>
      <c r="Q2870" s="13"/>
    </row>
    <row r="2871" customFormat="false" ht="15" hidden="false" customHeight="false" outlineLevel="0" collapsed="false">
      <c r="A2871" s="16" t="s">
        <v>9353</v>
      </c>
      <c r="B2871" s="16" t="n">
        <v>2866</v>
      </c>
      <c r="C2871" s="16" t="s">
        <v>9354</v>
      </c>
      <c r="D2871" s="16" t="n">
        <v>6</v>
      </c>
      <c r="E2871" s="35" t="s">
        <v>7687</v>
      </c>
      <c r="F2871" s="16" t="s">
        <v>1285</v>
      </c>
      <c r="G2871" s="16" t="s">
        <v>563</v>
      </c>
      <c r="H2871" s="16" t="s">
        <v>9278</v>
      </c>
      <c r="I2871" s="16" t="s">
        <v>118</v>
      </c>
      <c r="J2871" s="16" t="s">
        <v>7440</v>
      </c>
      <c r="K2871" s="32" t="n">
        <v>2</v>
      </c>
      <c r="L2871" s="33" t="n">
        <v>46137</v>
      </c>
      <c r="M2871" s="33" t="n">
        <v>46138</v>
      </c>
      <c r="N2871" s="16" t="s">
        <v>9355</v>
      </c>
      <c r="O2871" s="16"/>
      <c r="P2871" s="16" t="str">
        <f aca="false">IF(AND(L2871&lt;=$D$2,M2871&gt;=$C$2),"Sí","")</f>
        <v/>
      </c>
      <c r="Q2871" s="18" t="str">
        <f aca="false">IF(COUNTIF(LOOKAHEAD!$A$5:$A$604,A2871)&gt;0,"En Lookahead",IF(P2871="Sí","INCORPORAR",""))</f>
        <v/>
      </c>
    </row>
    <row r="2872" customFormat="false" ht="15" hidden="false" customHeight="false" outlineLevel="0" collapsed="false">
      <c r="A2872" s="16" t="s">
        <v>9356</v>
      </c>
      <c r="B2872" s="16" t="n">
        <v>2867</v>
      </c>
      <c r="C2872" s="16" t="s">
        <v>9357</v>
      </c>
      <c r="D2872" s="16" t="n">
        <v>6</v>
      </c>
      <c r="E2872" s="35" t="s">
        <v>7694</v>
      </c>
      <c r="F2872" s="16" t="s">
        <v>1285</v>
      </c>
      <c r="G2872" s="16" t="s">
        <v>563</v>
      </c>
      <c r="H2872" s="16" t="s">
        <v>9278</v>
      </c>
      <c r="I2872" s="16" t="s">
        <v>118</v>
      </c>
      <c r="J2872" s="16" t="s">
        <v>7440</v>
      </c>
      <c r="K2872" s="32" t="n">
        <v>1</v>
      </c>
      <c r="L2872" s="33" t="n">
        <v>46142</v>
      </c>
      <c r="M2872" s="33" t="n">
        <v>46142</v>
      </c>
      <c r="N2872" s="16" t="s">
        <v>9358</v>
      </c>
      <c r="O2872" s="16"/>
      <c r="P2872" s="16" t="str">
        <f aca="false">IF(AND(L2872&lt;=$D$2,M2872&gt;=$C$2),"Sí","")</f>
        <v/>
      </c>
      <c r="Q2872" s="18" t="str">
        <f aca="false">IF(COUNTIF(LOOKAHEAD!$A$5:$A$604,A2872)&gt;0,"En Lookahead",IF(P2872="Sí","INCORPORAR",""))</f>
        <v/>
      </c>
    </row>
    <row r="2873" customFormat="false" ht="15" hidden="false" customHeight="false" outlineLevel="0" collapsed="false">
      <c r="A2873" s="16" t="s">
        <v>9359</v>
      </c>
      <c r="B2873" s="16" t="n">
        <v>2868</v>
      </c>
      <c r="C2873" s="16" t="s">
        <v>9360</v>
      </c>
      <c r="D2873" s="16" t="n">
        <v>6</v>
      </c>
      <c r="E2873" s="35" t="s">
        <v>7991</v>
      </c>
      <c r="F2873" s="16" t="s">
        <v>1285</v>
      </c>
      <c r="G2873" s="16" t="s">
        <v>563</v>
      </c>
      <c r="H2873" s="16" t="s">
        <v>9278</v>
      </c>
      <c r="I2873" s="16" t="s">
        <v>118</v>
      </c>
      <c r="J2873" s="16" t="s">
        <v>7440</v>
      </c>
      <c r="K2873" s="32" t="n">
        <v>1</v>
      </c>
      <c r="L2873" s="33" t="n">
        <v>46143</v>
      </c>
      <c r="M2873" s="33" t="n">
        <v>46143</v>
      </c>
      <c r="N2873" s="16" t="s">
        <v>9361</v>
      </c>
      <c r="O2873" s="16"/>
      <c r="P2873" s="16" t="str">
        <f aca="false">IF(AND(L2873&lt;=$D$2,M2873&gt;=$C$2),"Sí","")</f>
        <v/>
      </c>
      <c r="Q2873" s="18" t="str">
        <f aca="false">IF(COUNTIF(LOOKAHEAD!$A$5:$A$604,A2873)&gt;0,"En Lookahead",IF(P2873="Sí","INCORPORAR",""))</f>
        <v/>
      </c>
    </row>
    <row r="2874" customFormat="false" ht="15" hidden="false" customHeight="false" outlineLevel="0" collapsed="false">
      <c r="A2874" s="16" t="s">
        <v>9362</v>
      </c>
      <c r="B2874" s="16" t="n">
        <v>2869</v>
      </c>
      <c r="C2874" s="16" t="s">
        <v>9363</v>
      </c>
      <c r="D2874" s="16" t="n">
        <v>6</v>
      </c>
      <c r="E2874" s="35" t="s">
        <v>7451</v>
      </c>
      <c r="F2874" s="16" t="s">
        <v>1285</v>
      </c>
      <c r="G2874" s="16" t="s">
        <v>563</v>
      </c>
      <c r="H2874" s="16" t="s">
        <v>9278</v>
      </c>
      <c r="I2874" s="16" t="s">
        <v>118</v>
      </c>
      <c r="J2874" s="16" t="s">
        <v>7440</v>
      </c>
      <c r="K2874" s="32" t="n">
        <v>1</v>
      </c>
      <c r="L2874" s="33" t="n">
        <v>46144</v>
      </c>
      <c r="M2874" s="33" t="n">
        <v>46144</v>
      </c>
      <c r="N2874" s="16" t="s">
        <v>9364</v>
      </c>
      <c r="O2874" s="16"/>
      <c r="P2874" s="16" t="str">
        <f aca="false">IF(AND(L2874&lt;=$D$2,M2874&gt;=$C$2),"Sí","")</f>
        <v/>
      </c>
      <c r="Q2874" s="18" t="str">
        <f aca="false">IF(COUNTIF(LOOKAHEAD!$A$5:$A$604,A2874)&gt;0,"En Lookahead",IF(P2874="Sí","INCORPORAR",""))</f>
        <v/>
      </c>
    </row>
    <row r="2875" customFormat="false" ht="15" hidden="false" customHeight="false" outlineLevel="0" collapsed="false">
      <c r="A2875" s="13" t="s">
        <v>9365</v>
      </c>
      <c r="B2875" s="13" t="n">
        <v>2870</v>
      </c>
      <c r="C2875" s="13" t="s">
        <v>9366</v>
      </c>
      <c r="D2875" s="13" t="n">
        <v>5</v>
      </c>
      <c r="E2875" s="34" t="s">
        <v>7455</v>
      </c>
      <c r="F2875" s="13" t="s">
        <v>1298</v>
      </c>
      <c r="G2875" s="13" t="s">
        <v>563</v>
      </c>
      <c r="H2875" s="13" t="s">
        <v>9278</v>
      </c>
      <c r="I2875" s="13" t="s">
        <v>118</v>
      </c>
      <c r="J2875" s="13" t="s">
        <v>9278</v>
      </c>
      <c r="K2875" s="30" t="n">
        <v>1</v>
      </c>
      <c r="L2875" s="31" t="n">
        <v>46137</v>
      </c>
      <c r="M2875" s="31" t="n">
        <v>46137</v>
      </c>
      <c r="N2875" s="13"/>
      <c r="O2875" s="13"/>
      <c r="P2875" s="13"/>
      <c r="Q2875" s="13"/>
    </row>
    <row r="2876" customFormat="false" ht="15" hidden="false" customHeight="false" outlineLevel="0" collapsed="false">
      <c r="A2876" s="13" t="s">
        <v>9367</v>
      </c>
      <c r="B2876" s="13" t="n">
        <v>2871</v>
      </c>
      <c r="C2876" s="13" t="s">
        <v>9368</v>
      </c>
      <c r="D2876" s="13" t="n">
        <v>6</v>
      </c>
      <c r="E2876" s="36" t="s">
        <v>7458</v>
      </c>
      <c r="F2876" s="13" t="s">
        <v>1298</v>
      </c>
      <c r="G2876" s="13" t="s">
        <v>563</v>
      </c>
      <c r="H2876" s="13" t="s">
        <v>9278</v>
      </c>
      <c r="I2876" s="13" t="s">
        <v>118</v>
      </c>
      <c r="J2876" s="13" t="s">
        <v>7455</v>
      </c>
      <c r="K2876" s="30" t="n">
        <v>1</v>
      </c>
      <c r="L2876" s="31" t="n">
        <v>46137</v>
      </c>
      <c r="M2876" s="31" t="n">
        <v>46137</v>
      </c>
      <c r="N2876" s="13"/>
      <c r="O2876" s="13"/>
      <c r="P2876" s="13"/>
      <c r="Q2876" s="13"/>
    </row>
    <row r="2877" customFormat="false" ht="15" hidden="false" customHeight="false" outlineLevel="0" collapsed="false">
      <c r="A2877" s="16" t="s">
        <v>9369</v>
      </c>
      <c r="B2877" s="16" t="n">
        <v>2872</v>
      </c>
      <c r="C2877" s="16" t="s">
        <v>9370</v>
      </c>
      <c r="D2877" s="16" t="n">
        <v>7</v>
      </c>
      <c r="E2877" s="37" t="s">
        <v>7785</v>
      </c>
      <c r="F2877" s="16" t="s">
        <v>1285</v>
      </c>
      <c r="G2877" s="16" t="s">
        <v>563</v>
      </c>
      <c r="H2877" s="16" t="s">
        <v>9278</v>
      </c>
      <c r="I2877" s="16" t="s">
        <v>118</v>
      </c>
      <c r="J2877" s="16" t="s">
        <v>7458</v>
      </c>
      <c r="K2877" s="32" t="n">
        <v>1</v>
      </c>
      <c r="L2877" s="33" t="n">
        <v>46137</v>
      </c>
      <c r="M2877" s="33" t="n">
        <v>46137</v>
      </c>
      <c r="N2877" s="16" t="s">
        <v>9355</v>
      </c>
      <c r="O2877" s="16"/>
      <c r="P2877" s="16" t="str">
        <f aca="false">IF(AND(L2877&lt;=$D$2,M2877&gt;=$C$2),"Sí","")</f>
        <v/>
      </c>
      <c r="Q2877" s="18" t="str">
        <f aca="false">IF(COUNTIF(LOOKAHEAD!$A$5:$A$604,A2877)&gt;0,"En Lookahead",IF(P2877="Sí","INCORPORAR",""))</f>
        <v/>
      </c>
    </row>
    <row r="2878" customFormat="false" ht="15" hidden="false" customHeight="false" outlineLevel="0" collapsed="false">
      <c r="A2878" s="13" t="s">
        <v>9371</v>
      </c>
      <c r="B2878" s="13" t="n">
        <v>2873</v>
      </c>
      <c r="C2878" s="13" t="s">
        <v>9372</v>
      </c>
      <c r="D2878" s="13" t="n">
        <v>4</v>
      </c>
      <c r="E2878" s="20" t="s">
        <v>9373</v>
      </c>
      <c r="F2878" s="13" t="s">
        <v>1298</v>
      </c>
      <c r="G2878" s="13" t="s">
        <v>563</v>
      </c>
      <c r="H2878" s="13" t="s">
        <v>9373</v>
      </c>
      <c r="I2878" s="13" t="s">
        <v>121</v>
      </c>
      <c r="J2878" s="13" t="s">
        <v>7172</v>
      </c>
      <c r="K2878" s="30" t="n">
        <v>39</v>
      </c>
      <c r="L2878" s="31" t="n">
        <v>46313</v>
      </c>
      <c r="M2878" s="31" t="n">
        <v>46351</v>
      </c>
      <c r="N2878" s="13"/>
      <c r="O2878" s="13"/>
      <c r="P2878" s="13"/>
      <c r="Q2878" s="13"/>
    </row>
    <row r="2879" customFormat="false" ht="15" hidden="false" customHeight="false" outlineLevel="0" collapsed="false">
      <c r="A2879" s="13" t="s">
        <v>9374</v>
      </c>
      <c r="B2879" s="13" t="n">
        <v>2874</v>
      </c>
      <c r="C2879" s="13" t="s">
        <v>9375</v>
      </c>
      <c r="D2879" s="13" t="n">
        <v>5</v>
      </c>
      <c r="E2879" s="34" t="s">
        <v>7177</v>
      </c>
      <c r="F2879" s="13" t="s">
        <v>1298</v>
      </c>
      <c r="G2879" s="13" t="s">
        <v>563</v>
      </c>
      <c r="H2879" s="13" t="s">
        <v>9373</v>
      </c>
      <c r="I2879" s="13" t="s">
        <v>121</v>
      </c>
      <c r="J2879" s="13" t="s">
        <v>9373</v>
      </c>
      <c r="K2879" s="30" t="n">
        <v>4</v>
      </c>
      <c r="L2879" s="31" t="n">
        <v>46313</v>
      </c>
      <c r="M2879" s="31" t="n">
        <v>46316</v>
      </c>
      <c r="N2879" s="13"/>
      <c r="O2879" s="13"/>
      <c r="P2879" s="13"/>
      <c r="Q2879" s="13"/>
    </row>
    <row r="2880" customFormat="false" ht="15" hidden="false" customHeight="false" outlineLevel="0" collapsed="false">
      <c r="A2880" s="16" t="s">
        <v>9376</v>
      </c>
      <c r="B2880" s="16" t="n">
        <v>2875</v>
      </c>
      <c r="C2880" s="16" t="s">
        <v>9377</v>
      </c>
      <c r="D2880" s="16" t="n">
        <v>6</v>
      </c>
      <c r="E2880" s="35" t="s">
        <v>7186</v>
      </c>
      <c r="F2880" s="16" t="s">
        <v>1285</v>
      </c>
      <c r="G2880" s="16" t="s">
        <v>563</v>
      </c>
      <c r="H2880" s="16" t="s">
        <v>9373</v>
      </c>
      <c r="I2880" s="16" t="s">
        <v>121</v>
      </c>
      <c r="J2880" s="16" t="s">
        <v>7177</v>
      </c>
      <c r="K2880" s="32" t="n">
        <v>1</v>
      </c>
      <c r="L2880" s="33" t="n">
        <v>46313</v>
      </c>
      <c r="M2880" s="33" t="n">
        <v>46313</v>
      </c>
      <c r="N2880" s="16" t="s">
        <v>9378</v>
      </c>
      <c r="O2880" s="16"/>
      <c r="P2880" s="16" t="str">
        <f aca="false">IF(AND(L2880&lt;=$D$2,M2880&gt;=$C$2),"Sí","")</f>
        <v>Sí</v>
      </c>
      <c r="Q2880" s="18" t="str">
        <f aca="false">IF(COUNTIF(LOOKAHEAD!$A$5:$A$604,A2880)&gt;0,"En Lookahead",IF(P2880="Sí","INCORPORAR",""))</f>
        <v>En Lookahead</v>
      </c>
    </row>
    <row r="2881" customFormat="false" ht="15" hidden="false" customHeight="false" outlineLevel="0" collapsed="false">
      <c r="A2881" s="16" t="s">
        <v>9379</v>
      </c>
      <c r="B2881" s="16" t="n">
        <v>2876</v>
      </c>
      <c r="C2881" s="16" t="s">
        <v>9380</v>
      </c>
      <c r="D2881" s="16" t="n">
        <v>6</v>
      </c>
      <c r="E2881" s="35" t="s">
        <v>9381</v>
      </c>
      <c r="F2881" s="16" t="s">
        <v>1285</v>
      </c>
      <c r="G2881" s="16" t="s">
        <v>563</v>
      </c>
      <c r="H2881" s="16" t="s">
        <v>9373</v>
      </c>
      <c r="I2881" s="16" t="s">
        <v>121</v>
      </c>
      <c r="J2881" s="16" t="s">
        <v>7177</v>
      </c>
      <c r="K2881" s="32" t="n">
        <v>4</v>
      </c>
      <c r="L2881" s="33" t="n">
        <v>46313</v>
      </c>
      <c r="M2881" s="33" t="n">
        <v>46316</v>
      </c>
      <c r="N2881" s="16" t="s">
        <v>5957</v>
      </c>
      <c r="O2881" s="16"/>
      <c r="P2881" s="16" t="str">
        <f aca="false">IF(AND(L2881&lt;=$D$2,M2881&gt;=$C$2),"Sí","")</f>
        <v>Sí</v>
      </c>
      <c r="Q2881" s="18" t="str">
        <f aca="false">IF(COUNTIF(LOOKAHEAD!$A$5:$A$604,A2881)&gt;0,"En Lookahead",IF(P2881="Sí","INCORPORAR",""))</f>
        <v>En Lookahead</v>
      </c>
    </row>
    <row r="2882" customFormat="false" ht="15" hidden="false" customHeight="false" outlineLevel="0" collapsed="false">
      <c r="A2882" s="16" t="s">
        <v>9382</v>
      </c>
      <c r="B2882" s="16" t="n">
        <v>2877</v>
      </c>
      <c r="C2882" s="16" t="s">
        <v>9383</v>
      </c>
      <c r="D2882" s="16" t="n">
        <v>6</v>
      </c>
      <c r="E2882" s="35" t="s">
        <v>9384</v>
      </c>
      <c r="F2882" s="16" t="s">
        <v>1285</v>
      </c>
      <c r="G2882" s="16" t="s">
        <v>563</v>
      </c>
      <c r="H2882" s="16" t="s">
        <v>9373</v>
      </c>
      <c r="I2882" s="16" t="s">
        <v>121</v>
      </c>
      <c r="J2882" s="16" t="s">
        <v>7177</v>
      </c>
      <c r="K2882" s="32" t="n">
        <v>2</v>
      </c>
      <c r="L2882" s="33" t="n">
        <v>46313</v>
      </c>
      <c r="M2882" s="33" t="n">
        <v>46314</v>
      </c>
      <c r="N2882" s="16" t="s">
        <v>9378</v>
      </c>
      <c r="O2882" s="16"/>
      <c r="P2882" s="16" t="str">
        <f aca="false">IF(AND(L2882&lt;=$D$2,M2882&gt;=$C$2),"Sí","")</f>
        <v>Sí</v>
      </c>
      <c r="Q2882" s="18" t="str">
        <f aca="false">IF(COUNTIF(LOOKAHEAD!$A$5:$A$604,A2882)&gt;0,"En Lookahead",IF(P2882="Sí","INCORPORAR",""))</f>
        <v>En Lookahead</v>
      </c>
    </row>
    <row r="2883" customFormat="false" ht="15" hidden="false" customHeight="false" outlineLevel="0" collapsed="false">
      <c r="A2883" s="13" t="s">
        <v>9385</v>
      </c>
      <c r="B2883" s="13" t="n">
        <v>2878</v>
      </c>
      <c r="C2883" s="13" t="s">
        <v>9386</v>
      </c>
      <c r="D2883" s="13" t="n">
        <v>5</v>
      </c>
      <c r="E2883" s="34" t="s">
        <v>7206</v>
      </c>
      <c r="F2883" s="13" t="s">
        <v>1298</v>
      </c>
      <c r="G2883" s="13" t="s">
        <v>563</v>
      </c>
      <c r="H2883" s="13" t="s">
        <v>9373</v>
      </c>
      <c r="I2883" s="13" t="s">
        <v>121</v>
      </c>
      <c r="J2883" s="13" t="s">
        <v>9373</v>
      </c>
      <c r="K2883" s="30" t="n">
        <v>22</v>
      </c>
      <c r="L2883" s="31" t="n">
        <v>46317</v>
      </c>
      <c r="M2883" s="31" t="n">
        <v>46338</v>
      </c>
      <c r="N2883" s="13"/>
      <c r="O2883" s="13"/>
      <c r="P2883" s="13"/>
      <c r="Q2883" s="13"/>
    </row>
    <row r="2884" customFormat="false" ht="15" hidden="false" customHeight="false" outlineLevel="0" collapsed="false">
      <c r="A2884" s="16" t="s">
        <v>9387</v>
      </c>
      <c r="B2884" s="16" t="n">
        <v>2879</v>
      </c>
      <c r="C2884" s="16" t="s">
        <v>9388</v>
      </c>
      <c r="D2884" s="16" t="n">
        <v>6</v>
      </c>
      <c r="E2884" s="35" t="s">
        <v>7209</v>
      </c>
      <c r="F2884" s="16" t="s">
        <v>1285</v>
      </c>
      <c r="G2884" s="16" t="s">
        <v>563</v>
      </c>
      <c r="H2884" s="16" t="s">
        <v>9373</v>
      </c>
      <c r="I2884" s="16" t="s">
        <v>121</v>
      </c>
      <c r="J2884" s="16" t="s">
        <v>7206</v>
      </c>
      <c r="K2884" s="32" t="n">
        <v>6</v>
      </c>
      <c r="L2884" s="33" t="n">
        <v>46317</v>
      </c>
      <c r="M2884" s="33" t="n">
        <v>46322</v>
      </c>
      <c r="N2884" s="16" t="s">
        <v>5998</v>
      </c>
      <c r="O2884" s="16"/>
      <c r="P2884" s="16" t="str">
        <f aca="false">IF(AND(L2884&lt;=$D$2,M2884&gt;=$C$2),"Sí","")</f>
        <v>Sí</v>
      </c>
      <c r="Q2884" s="18" t="str">
        <f aca="false">IF(COUNTIF(LOOKAHEAD!$A$5:$A$604,A2884)&gt;0,"En Lookahead",IF(P2884="Sí","INCORPORAR",""))</f>
        <v>En Lookahead</v>
      </c>
    </row>
    <row r="2885" customFormat="false" ht="15" hidden="false" customHeight="false" outlineLevel="0" collapsed="false">
      <c r="A2885" s="16" t="s">
        <v>9389</v>
      </c>
      <c r="B2885" s="16" t="n">
        <v>2880</v>
      </c>
      <c r="C2885" s="16" t="s">
        <v>9390</v>
      </c>
      <c r="D2885" s="16" t="n">
        <v>6</v>
      </c>
      <c r="E2885" s="35" t="s">
        <v>7212</v>
      </c>
      <c r="F2885" s="16" t="s">
        <v>1285</v>
      </c>
      <c r="G2885" s="16" t="s">
        <v>563</v>
      </c>
      <c r="H2885" s="16" t="s">
        <v>9373</v>
      </c>
      <c r="I2885" s="16" t="s">
        <v>121</v>
      </c>
      <c r="J2885" s="16" t="s">
        <v>7206</v>
      </c>
      <c r="K2885" s="32" t="n">
        <v>3</v>
      </c>
      <c r="L2885" s="33" t="n">
        <v>46317</v>
      </c>
      <c r="M2885" s="33" t="n">
        <v>46319</v>
      </c>
      <c r="N2885" s="16" t="s">
        <v>9391</v>
      </c>
      <c r="O2885" s="16"/>
      <c r="P2885" s="16" t="str">
        <f aca="false">IF(AND(L2885&lt;=$D$2,M2885&gt;=$C$2),"Sí","")</f>
        <v>Sí</v>
      </c>
      <c r="Q2885" s="18" t="str">
        <f aca="false">IF(COUNTIF(LOOKAHEAD!$A$5:$A$604,A2885)&gt;0,"En Lookahead",IF(P2885="Sí","INCORPORAR",""))</f>
        <v>En Lookahead</v>
      </c>
    </row>
    <row r="2886" customFormat="false" ht="15" hidden="false" customHeight="false" outlineLevel="0" collapsed="false">
      <c r="A2886" s="16" t="s">
        <v>9392</v>
      </c>
      <c r="B2886" s="16" t="n">
        <v>2881</v>
      </c>
      <c r="C2886" s="16" t="s">
        <v>9393</v>
      </c>
      <c r="D2886" s="16" t="n">
        <v>6</v>
      </c>
      <c r="E2886" s="35" t="s">
        <v>7224</v>
      </c>
      <c r="F2886" s="16" t="s">
        <v>1285</v>
      </c>
      <c r="G2886" s="16" t="s">
        <v>563</v>
      </c>
      <c r="H2886" s="16" t="s">
        <v>9373</v>
      </c>
      <c r="I2886" s="16" t="s">
        <v>121</v>
      </c>
      <c r="J2886" s="16" t="s">
        <v>7206</v>
      </c>
      <c r="K2886" s="32" t="n">
        <v>1</v>
      </c>
      <c r="L2886" s="33" t="n">
        <v>46320</v>
      </c>
      <c r="M2886" s="33" t="n">
        <v>46320</v>
      </c>
      <c r="N2886" s="16" t="s">
        <v>9394</v>
      </c>
      <c r="O2886" s="16"/>
      <c r="P2886" s="16" t="str">
        <f aca="false">IF(AND(L2886&lt;=$D$2,M2886&gt;=$C$2),"Sí","")</f>
        <v>Sí</v>
      </c>
      <c r="Q2886" s="18" t="str">
        <f aca="false">IF(COUNTIF(LOOKAHEAD!$A$5:$A$604,A2886)&gt;0,"En Lookahead",IF(P2886="Sí","INCORPORAR",""))</f>
        <v>En Lookahead</v>
      </c>
    </row>
    <row r="2887" customFormat="false" ht="15" hidden="false" customHeight="false" outlineLevel="0" collapsed="false">
      <c r="A2887" s="16" t="s">
        <v>9395</v>
      </c>
      <c r="B2887" s="16" t="n">
        <v>2882</v>
      </c>
      <c r="C2887" s="16" t="s">
        <v>9396</v>
      </c>
      <c r="D2887" s="16" t="n">
        <v>6</v>
      </c>
      <c r="E2887" s="35" t="s">
        <v>7532</v>
      </c>
      <c r="F2887" s="16" t="s">
        <v>1285</v>
      </c>
      <c r="G2887" s="16" t="s">
        <v>563</v>
      </c>
      <c r="H2887" s="16" t="s">
        <v>9373</v>
      </c>
      <c r="I2887" s="16" t="s">
        <v>121</v>
      </c>
      <c r="J2887" s="16" t="s">
        <v>7206</v>
      </c>
      <c r="K2887" s="32" t="n">
        <v>6</v>
      </c>
      <c r="L2887" s="33" t="n">
        <v>46321</v>
      </c>
      <c r="M2887" s="33" t="n">
        <v>46326</v>
      </c>
      <c r="N2887" s="16" t="s">
        <v>9397</v>
      </c>
      <c r="O2887" s="16"/>
      <c r="P2887" s="16" t="str">
        <f aca="false">IF(AND(L2887&lt;=$D$2,M2887&gt;=$C$2),"Sí","")</f>
        <v>Sí</v>
      </c>
      <c r="Q2887" s="18" t="str">
        <f aca="false">IF(COUNTIF(LOOKAHEAD!$A$5:$A$604,A2887)&gt;0,"En Lookahead",IF(P2887="Sí","INCORPORAR",""))</f>
        <v>En Lookahead</v>
      </c>
    </row>
    <row r="2888" customFormat="false" ht="15" hidden="false" customHeight="false" outlineLevel="0" collapsed="false">
      <c r="A2888" s="16" t="s">
        <v>9398</v>
      </c>
      <c r="B2888" s="16" t="n">
        <v>2883</v>
      </c>
      <c r="C2888" s="16" t="s">
        <v>9399</v>
      </c>
      <c r="D2888" s="16" t="n">
        <v>6</v>
      </c>
      <c r="E2888" s="35" t="s">
        <v>7536</v>
      </c>
      <c r="F2888" s="16" t="s">
        <v>1285</v>
      </c>
      <c r="G2888" s="16" t="s">
        <v>563</v>
      </c>
      <c r="H2888" s="16" t="s">
        <v>9373</v>
      </c>
      <c r="I2888" s="16" t="s">
        <v>121</v>
      </c>
      <c r="J2888" s="16" t="s">
        <v>7206</v>
      </c>
      <c r="K2888" s="32" t="n">
        <v>2</v>
      </c>
      <c r="L2888" s="33" t="n">
        <v>46321</v>
      </c>
      <c r="M2888" s="33" t="n">
        <v>46322</v>
      </c>
      <c r="N2888" s="16" t="s">
        <v>9400</v>
      </c>
      <c r="O2888" s="16"/>
      <c r="P2888" s="16" t="str">
        <f aca="false">IF(AND(L2888&lt;=$D$2,M2888&gt;=$C$2),"Sí","")</f>
        <v>Sí</v>
      </c>
      <c r="Q2888" s="18" t="str">
        <f aca="false">IF(COUNTIF(LOOKAHEAD!$A$5:$A$604,A2888)&gt;0,"En Lookahead",IF(P2888="Sí","INCORPORAR",""))</f>
        <v>En Lookahead</v>
      </c>
    </row>
    <row r="2889" customFormat="false" ht="15" hidden="false" customHeight="false" outlineLevel="0" collapsed="false">
      <c r="A2889" s="16" t="s">
        <v>9401</v>
      </c>
      <c r="B2889" s="16" t="n">
        <v>2884</v>
      </c>
      <c r="C2889" s="16" t="s">
        <v>9402</v>
      </c>
      <c r="D2889" s="16" t="n">
        <v>6</v>
      </c>
      <c r="E2889" s="35" t="s">
        <v>7228</v>
      </c>
      <c r="F2889" s="16" t="s">
        <v>1285</v>
      </c>
      <c r="G2889" s="16" t="s">
        <v>563</v>
      </c>
      <c r="H2889" s="16" t="s">
        <v>9373</v>
      </c>
      <c r="I2889" s="16" t="s">
        <v>121</v>
      </c>
      <c r="J2889" s="16" t="s">
        <v>7206</v>
      </c>
      <c r="K2889" s="32" t="n">
        <v>16</v>
      </c>
      <c r="L2889" s="33" t="n">
        <v>46323</v>
      </c>
      <c r="M2889" s="33" t="n">
        <v>46338</v>
      </c>
      <c r="N2889" s="16" t="s">
        <v>9403</v>
      </c>
      <c r="O2889" s="16"/>
      <c r="P2889" s="16" t="str">
        <f aca="false">IF(AND(L2889&lt;=$D$2,M2889&gt;=$C$2),"Sí","")</f>
        <v>Sí</v>
      </c>
      <c r="Q2889" s="18" t="str">
        <f aca="false">IF(COUNTIF(LOOKAHEAD!$A$5:$A$604,A2889)&gt;0,"En Lookahead",IF(P2889="Sí","INCORPORAR",""))</f>
        <v>En Lookahead</v>
      </c>
    </row>
    <row r="2890" customFormat="false" ht="15" hidden="false" customHeight="false" outlineLevel="0" collapsed="false">
      <c r="A2890" s="16" t="s">
        <v>9404</v>
      </c>
      <c r="B2890" s="16" t="n">
        <v>2885</v>
      </c>
      <c r="C2890" s="16" t="s">
        <v>9405</v>
      </c>
      <c r="D2890" s="16" t="n">
        <v>6</v>
      </c>
      <c r="E2890" s="35" t="s">
        <v>7232</v>
      </c>
      <c r="F2890" s="16" t="s">
        <v>1285</v>
      </c>
      <c r="G2890" s="16" t="s">
        <v>563</v>
      </c>
      <c r="H2890" s="16" t="s">
        <v>9373</v>
      </c>
      <c r="I2890" s="16" t="s">
        <v>121</v>
      </c>
      <c r="J2890" s="16" t="s">
        <v>7206</v>
      </c>
      <c r="K2890" s="32" t="n">
        <v>6</v>
      </c>
      <c r="L2890" s="33" t="n">
        <v>46323</v>
      </c>
      <c r="M2890" s="33" t="n">
        <v>46328</v>
      </c>
      <c r="N2890" s="16" t="s">
        <v>9406</v>
      </c>
      <c r="O2890" s="16"/>
      <c r="P2890" s="16" t="str">
        <f aca="false">IF(AND(L2890&lt;=$D$2,M2890&gt;=$C$2),"Sí","")</f>
        <v>Sí</v>
      </c>
      <c r="Q2890" s="18" t="str">
        <f aca="false">IF(COUNTIF(LOOKAHEAD!$A$5:$A$604,A2890)&gt;0,"En Lookahead",IF(P2890="Sí","INCORPORAR",""))</f>
        <v>En Lookahead</v>
      </c>
    </row>
    <row r="2891" customFormat="false" ht="15" hidden="false" customHeight="false" outlineLevel="0" collapsed="false">
      <c r="A2891" s="13" t="s">
        <v>9407</v>
      </c>
      <c r="B2891" s="13" t="n">
        <v>2886</v>
      </c>
      <c r="C2891" s="13" t="s">
        <v>9408</v>
      </c>
      <c r="D2891" s="13" t="n">
        <v>5</v>
      </c>
      <c r="E2891" s="34" t="s">
        <v>9409</v>
      </c>
      <c r="F2891" s="13" t="s">
        <v>1298</v>
      </c>
      <c r="G2891" s="13" t="s">
        <v>563</v>
      </c>
      <c r="H2891" s="13" t="s">
        <v>9373</v>
      </c>
      <c r="I2891" s="13" t="s">
        <v>121</v>
      </c>
      <c r="J2891" s="13" t="s">
        <v>9373</v>
      </c>
      <c r="K2891" s="30" t="n">
        <v>11</v>
      </c>
      <c r="L2891" s="31" t="n">
        <v>46320</v>
      </c>
      <c r="M2891" s="31" t="n">
        <v>46330</v>
      </c>
      <c r="N2891" s="13"/>
      <c r="O2891" s="13"/>
      <c r="P2891" s="13"/>
      <c r="Q2891" s="13"/>
    </row>
    <row r="2892" customFormat="false" ht="15" hidden="false" customHeight="false" outlineLevel="0" collapsed="false">
      <c r="A2892" s="16" t="s">
        <v>9410</v>
      </c>
      <c r="B2892" s="16" t="n">
        <v>2887</v>
      </c>
      <c r="C2892" s="16" t="s">
        <v>9411</v>
      </c>
      <c r="D2892" s="16" t="n">
        <v>6</v>
      </c>
      <c r="E2892" s="35" t="s">
        <v>7239</v>
      </c>
      <c r="F2892" s="16" t="s">
        <v>1285</v>
      </c>
      <c r="G2892" s="16" t="s">
        <v>563</v>
      </c>
      <c r="H2892" s="16" t="s">
        <v>9373</v>
      </c>
      <c r="I2892" s="16" t="s">
        <v>121</v>
      </c>
      <c r="J2892" s="16" t="s">
        <v>9409</v>
      </c>
      <c r="K2892" s="32" t="n">
        <v>11</v>
      </c>
      <c r="L2892" s="33" t="n">
        <v>46320</v>
      </c>
      <c r="M2892" s="33" t="n">
        <v>46330</v>
      </c>
      <c r="N2892" s="16" t="s">
        <v>9394</v>
      </c>
      <c r="O2892" s="16"/>
      <c r="P2892" s="16" t="str">
        <f aca="false">IF(AND(L2892&lt;=$D$2,M2892&gt;=$C$2),"Sí","")</f>
        <v>Sí</v>
      </c>
      <c r="Q2892" s="18" t="str">
        <f aca="false">IF(COUNTIF(LOOKAHEAD!$A$5:$A$604,A2892)&gt;0,"En Lookahead",IF(P2892="Sí","INCORPORAR",""))</f>
        <v>En Lookahead</v>
      </c>
    </row>
    <row r="2893" customFormat="false" ht="15" hidden="false" customHeight="false" outlineLevel="0" collapsed="false">
      <c r="A2893" s="13" t="s">
        <v>9412</v>
      </c>
      <c r="B2893" s="13" t="n">
        <v>2888</v>
      </c>
      <c r="C2893" s="13" t="s">
        <v>9413</v>
      </c>
      <c r="D2893" s="13" t="n">
        <v>5</v>
      </c>
      <c r="E2893" s="34" t="s">
        <v>7250</v>
      </c>
      <c r="F2893" s="13" t="s">
        <v>1298</v>
      </c>
      <c r="G2893" s="13" t="s">
        <v>563</v>
      </c>
      <c r="H2893" s="13" t="s">
        <v>9373</v>
      </c>
      <c r="I2893" s="13" t="s">
        <v>121</v>
      </c>
      <c r="J2893" s="13" t="s">
        <v>9373</v>
      </c>
      <c r="K2893" s="30" t="n">
        <v>14</v>
      </c>
      <c r="L2893" s="31" t="n">
        <v>46331</v>
      </c>
      <c r="M2893" s="31" t="n">
        <v>46344</v>
      </c>
      <c r="N2893" s="13"/>
      <c r="O2893" s="13"/>
      <c r="P2893" s="13"/>
      <c r="Q2893" s="13"/>
    </row>
    <row r="2894" customFormat="false" ht="15" hidden="false" customHeight="false" outlineLevel="0" collapsed="false">
      <c r="A2894" s="13" t="s">
        <v>9414</v>
      </c>
      <c r="B2894" s="13" t="n">
        <v>2889</v>
      </c>
      <c r="C2894" s="13" t="s">
        <v>9415</v>
      </c>
      <c r="D2894" s="13" t="n">
        <v>6</v>
      </c>
      <c r="E2894" s="36" t="s">
        <v>7253</v>
      </c>
      <c r="F2894" s="13" t="s">
        <v>1298</v>
      </c>
      <c r="G2894" s="13" t="s">
        <v>563</v>
      </c>
      <c r="H2894" s="13" t="s">
        <v>9373</v>
      </c>
      <c r="I2894" s="13" t="s">
        <v>121</v>
      </c>
      <c r="J2894" s="13" t="s">
        <v>7250</v>
      </c>
      <c r="K2894" s="30" t="n">
        <v>3</v>
      </c>
      <c r="L2894" s="31" t="n">
        <v>46331</v>
      </c>
      <c r="M2894" s="31" t="n">
        <v>46333</v>
      </c>
      <c r="N2894" s="13"/>
      <c r="O2894" s="13"/>
      <c r="P2894" s="13"/>
      <c r="Q2894" s="13"/>
    </row>
    <row r="2895" customFormat="false" ht="15" hidden="false" customHeight="false" outlineLevel="0" collapsed="false">
      <c r="A2895" s="16" t="s">
        <v>9416</v>
      </c>
      <c r="B2895" s="16" t="n">
        <v>2890</v>
      </c>
      <c r="C2895" s="16" t="s">
        <v>9417</v>
      </c>
      <c r="D2895" s="16" t="n">
        <v>7</v>
      </c>
      <c r="E2895" s="37" t="s">
        <v>7256</v>
      </c>
      <c r="F2895" s="16" t="s">
        <v>1285</v>
      </c>
      <c r="G2895" s="16" t="s">
        <v>563</v>
      </c>
      <c r="H2895" s="16" t="s">
        <v>9373</v>
      </c>
      <c r="I2895" s="16" t="s">
        <v>121</v>
      </c>
      <c r="J2895" s="16" t="s">
        <v>7253</v>
      </c>
      <c r="K2895" s="32" t="n">
        <v>3</v>
      </c>
      <c r="L2895" s="33" t="n">
        <v>46331</v>
      </c>
      <c r="M2895" s="33" t="n">
        <v>46333</v>
      </c>
      <c r="N2895" s="16" t="s">
        <v>9418</v>
      </c>
      <c r="O2895" s="16"/>
      <c r="P2895" s="16" t="str">
        <f aca="false">IF(AND(L2895&lt;=$D$2,M2895&gt;=$C$2),"Sí","")</f>
        <v>Sí</v>
      </c>
      <c r="Q2895" s="18" t="str">
        <f aca="false">IF(COUNTIF(LOOKAHEAD!$A$5:$A$604,A2895)&gt;0,"En Lookahead",IF(P2895="Sí","INCORPORAR",""))</f>
        <v>En Lookahead</v>
      </c>
    </row>
    <row r="2896" customFormat="false" ht="15" hidden="false" customHeight="false" outlineLevel="0" collapsed="false">
      <c r="A2896" s="13" t="s">
        <v>9419</v>
      </c>
      <c r="B2896" s="13" t="n">
        <v>2891</v>
      </c>
      <c r="C2896" s="13" t="s">
        <v>9420</v>
      </c>
      <c r="D2896" s="13" t="n">
        <v>6</v>
      </c>
      <c r="E2896" s="36" t="s">
        <v>7260</v>
      </c>
      <c r="F2896" s="13" t="s">
        <v>1298</v>
      </c>
      <c r="G2896" s="13" t="s">
        <v>563</v>
      </c>
      <c r="H2896" s="13" t="s">
        <v>9373</v>
      </c>
      <c r="I2896" s="13" t="s">
        <v>121</v>
      </c>
      <c r="J2896" s="13" t="s">
        <v>7250</v>
      </c>
      <c r="K2896" s="30" t="n">
        <v>10</v>
      </c>
      <c r="L2896" s="31" t="n">
        <v>46334</v>
      </c>
      <c r="M2896" s="31" t="n">
        <v>46343</v>
      </c>
      <c r="N2896" s="13"/>
      <c r="O2896" s="13"/>
      <c r="P2896" s="13"/>
      <c r="Q2896" s="13"/>
    </row>
    <row r="2897" customFormat="false" ht="15" hidden="false" customHeight="false" outlineLevel="0" collapsed="false">
      <c r="A2897" s="16" t="s">
        <v>9421</v>
      </c>
      <c r="B2897" s="16" t="n">
        <v>2892</v>
      </c>
      <c r="C2897" s="16" t="s">
        <v>9422</v>
      </c>
      <c r="D2897" s="16" t="n">
        <v>7</v>
      </c>
      <c r="E2897" s="37" t="s">
        <v>7267</v>
      </c>
      <c r="F2897" s="16" t="s">
        <v>1285</v>
      </c>
      <c r="G2897" s="16" t="s">
        <v>563</v>
      </c>
      <c r="H2897" s="16" t="s">
        <v>9373</v>
      </c>
      <c r="I2897" s="16" t="s">
        <v>121</v>
      </c>
      <c r="J2897" s="16" t="s">
        <v>7260</v>
      </c>
      <c r="K2897" s="32" t="n">
        <v>10</v>
      </c>
      <c r="L2897" s="33" t="n">
        <v>46334</v>
      </c>
      <c r="M2897" s="33" t="n">
        <v>46343</v>
      </c>
      <c r="N2897" s="16" t="s">
        <v>9423</v>
      </c>
      <c r="O2897" s="16"/>
      <c r="P2897" s="16" t="str">
        <f aca="false">IF(AND(L2897&lt;=$D$2,M2897&gt;=$C$2),"Sí","")</f>
        <v>Sí</v>
      </c>
      <c r="Q2897" s="18" t="str">
        <f aca="false">IF(COUNTIF(LOOKAHEAD!$A$5:$A$604,A2897)&gt;0,"En Lookahead",IF(P2897="Sí","INCORPORAR",""))</f>
        <v>En Lookahead</v>
      </c>
    </row>
    <row r="2898" customFormat="false" ht="15" hidden="false" customHeight="false" outlineLevel="0" collapsed="false">
      <c r="A2898" s="13" t="s">
        <v>9424</v>
      </c>
      <c r="B2898" s="13" t="n">
        <v>2893</v>
      </c>
      <c r="C2898" s="13" t="s">
        <v>9425</v>
      </c>
      <c r="D2898" s="13" t="n">
        <v>6</v>
      </c>
      <c r="E2898" s="36" t="s">
        <v>2137</v>
      </c>
      <c r="F2898" s="13" t="s">
        <v>1298</v>
      </c>
      <c r="G2898" s="13" t="s">
        <v>563</v>
      </c>
      <c r="H2898" s="13" t="s">
        <v>9373</v>
      </c>
      <c r="I2898" s="13" t="s">
        <v>121</v>
      </c>
      <c r="J2898" s="13" t="s">
        <v>7250</v>
      </c>
      <c r="K2898" s="30" t="n">
        <v>1</v>
      </c>
      <c r="L2898" s="31" t="n">
        <v>46344</v>
      </c>
      <c r="M2898" s="31" t="n">
        <v>46344</v>
      </c>
      <c r="N2898" s="13"/>
      <c r="O2898" s="13"/>
      <c r="P2898" s="13"/>
      <c r="Q2898" s="13"/>
    </row>
    <row r="2899" customFormat="false" ht="15" hidden="false" customHeight="false" outlineLevel="0" collapsed="false">
      <c r="A2899" s="16" t="s">
        <v>9426</v>
      </c>
      <c r="B2899" s="16" t="n">
        <v>2894</v>
      </c>
      <c r="C2899" s="16" t="s">
        <v>9427</v>
      </c>
      <c r="D2899" s="16" t="n">
        <v>7</v>
      </c>
      <c r="E2899" s="37" t="s">
        <v>7586</v>
      </c>
      <c r="F2899" s="16" t="s">
        <v>1285</v>
      </c>
      <c r="G2899" s="16" t="s">
        <v>563</v>
      </c>
      <c r="H2899" s="16" t="s">
        <v>9373</v>
      </c>
      <c r="I2899" s="16" t="s">
        <v>121</v>
      </c>
      <c r="J2899" s="16" t="s">
        <v>2137</v>
      </c>
      <c r="K2899" s="32" t="n">
        <v>1</v>
      </c>
      <c r="L2899" s="33" t="n">
        <v>46344</v>
      </c>
      <c r="M2899" s="33" t="n">
        <v>46344</v>
      </c>
      <c r="N2899" s="16" t="s">
        <v>9428</v>
      </c>
      <c r="O2899" s="16"/>
      <c r="P2899" s="16" t="str">
        <f aca="false">IF(AND(L2899&lt;=$D$2,M2899&gt;=$C$2),"Sí","")</f>
        <v/>
      </c>
      <c r="Q2899" s="18" t="str">
        <f aca="false">IF(COUNTIF(LOOKAHEAD!$A$5:$A$604,A2899)&gt;0,"En Lookahead",IF(P2899="Sí","INCORPORAR",""))</f>
        <v/>
      </c>
    </row>
    <row r="2900" customFormat="false" ht="15" hidden="false" customHeight="false" outlineLevel="0" collapsed="false">
      <c r="A2900" s="13" t="s">
        <v>9429</v>
      </c>
      <c r="B2900" s="13" t="n">
        <v>2895</v>
      </c>
      <c r="C2900" s="13" t="s">
        <v>9430</v>
      </c>
      <c r="D2900" s="13" t="n">
        <v>5</v>
      </c>
      <c r="E2900" s="34" t="s">
        <v>7279</v>
      </c>
      <c r="F2900" s="13" t="s">
        <v>1298</v>
      </c>
      <c r="G2900" s="13" t="s">
        <v>563</v>
      </c>
      <c r="H2900" s="13" t="s">
        <v>9373</v>
      </c>
      <c r="I2900" s="13" t="s">
        <v>121</v>
      </c>
      <c r="J2900" s="13" t="s">
        <v>9373</v>
      </c>
      <c r="K2900" s="30" t="n">
        <v>3</v>
      </c>
      <c r="L2900" s="31" t="n">
        <v>46345</v>
      </c>
      <c r="M2900" s="31" t="n">
        <v>46347</v>
      </c>
      <c r="N2900" s="13"/>
      <c r="O2900" s="13"/>
      <c r="P2900" s="13"/>
      <c r="Q2900" s="13"/>
    </row>
    <row r="2901" customFormat="false" ht="15" hidden="false" customHeight="false" outlineLevel="0" collapsed="false">
      <c r="A2901" s="16" t="s">
        <v>9431</v>
      </c>
      <c r="B2901" s="16" t="n">
        <v>2896</v>
      </c>
      <c r="C2901" s="16" t="s">
        <v>9432</v>
      </c>
      <c r="D2901" s="16" t="n">
        <v>6</v>
      </c>
      <c r="E2901" s="35" t="s">
        <v>8461</v>
      </c>
      <c r="F2901" s="16" t="s">
        <v>1285</v>
      </c>
      <c r="G2901" s="16" t="s">
        <v>563</v>
      </c>
      <c r="H2901" s="16" t="s">
        <v>9373</v>
      </c>
      <c r="I2901" s="16" t="s">
        <v>121</v>
      </c>
      <c r="J2901" s="16" t="s">
        <v>7279</v>
      </c>
      <c r="K2901" s="32" t="n">
        <v>2</v>
      </c>
      <c r="L2901" s="33" t="n">
        <v>46345</v>
      </c>
      <c r="M2901" s="33" t="n">
        <v>46346</v>
      </c>
      <c r="N2901" s="16" t="s">
        <v>9433</v>
      </c>
      <c r="O2901" s="16"/>
      <c r="P2901" s="16" t="str">
        <f aca="false">IF(AND(L2901&lt;=$D$2,M2901&gt;=$C$2),"Sí","")</f>
        <v/>
      </c>
      <c r="Q2901" s="18" t="str">
        <f aca="false">IF(COUNTIF(LOOKAHEAD!$A$5:$A$604,A2901)&gt;0,"En Lookahead",IF(P2901="Sí","INCORPORAR",""))</f>
        <v/>
      </c>
    </row>
    <row r="2902" customFormat="false" ht="15" hidden="false" customHeight="false" outlineLevel="0" collapsed="false">
      <c r="A2902" s="16" t="s">
        <v>9434</v>
      </c>
      <c r="B2902" s="16" t="n">
        <v>2897</v>
      </c>
      <c r="C2902" s="16" t="s">
        <v>9435</v>
      </c>
      <c r="D2902" s="16" t="n">
        <v>6</v>
      </c>
      <c r="E2902" s="35" t="s">
        <v>7282</v>
      </c>
      <c r="F2902" s="16" t="s">
        <v>1285</v>
      </c>
      <c r="G2902" s="16" t="s">
        <v>563</v>
      </c>
      <c r="H2902" s="16" t="s">
        <v>9373</v>
      </c>
      <c r="I2902" s="16" t="s">
        <v>121</v>
      </c>
      <c r="J2902" s="16" t="s">
        <v>7279</v>
      </c>
      <c r="K2902" s="32" t="n">
        <v>1</v>
      </c>
      <c r="L2902" s="33" t="n">
        <v>46347</v>
      </c>
      <c r="M2902" s="33" t="n">
        <v>46347</v>
      </c>
      <c r="N2902" s="16" t="s">
        <v>9436</v>
      </c>
      <c r="O2902" s="16"/>
      <c r="P2902" s="16" t="str">
        <f aca="false">IF(AND(L2902&lt;=$D$2,M2902&gt;=$C$2),"Sí","")</f>
        <v/>
      </c>
      <c r="Q2902" s="18" t="str">
        <f aca="false">IF(COUNTIF(LOOKAHEAD!$A$5:$A$604,A2902)&gt;0,"En Lookahead",IF(P2902="Sí","INCORPORAR",""))</f>
        <v/>
      </c>
    </row>
    <row r="2903" customFormat="false" ht="15" hidden="false" customHeight="false" outlineLevel="0" collapsed="false">
      <c r="A2903" s="13" t="s">
        <v>9437</v>
      </c>
      <c r="B2903" s="13" t="n">
        <v>2898</v>
      </c>
      <c r="C2903" s="13" t="s">
        <v>9438</v>
      </c>
      <c r="D2903" s="13" t="n">
        <v>5</v>
      </c>
      <c r="E2903" s="34" t="s">
        <v>7296</v>
      </c>
      <c r="F2903" s="13" t="s">
        <v>1298</v>
      </c>
      <c r="G2903" s="13" t="s">
        <v>563</v>
      </c>
      <c r="H2903" s="13" t="s">
        <v>9373</v>
      </c>
      <c r="I2903" s="13" t="s">
        <v>121</v>
      </c>
      <c r="J2903" s="13" t="s">
        <v>9373</v>
      </c>
      <c r="K2903" s="30" t="n">
        <v>4</v>
      </c>
      <c r="L2903" s="31" t="n">
        <v>46348</v>
      </c>
      <c r="M2903" s="31" t="n">
        <v>46351</v>
      </c>
      <c r="N2903" s="13"/>
      <c r="O2903" s="13"/>
      <c r="P2903" s="13"/>
      <c r="Q2903" s="13"/>
    </row>
    <row r="2904" customFormat="false" ht="15" hidden="false" customHeight="false" outlineLevel="0" collapsed="false">
      <c r="A2904" s="16" t="s">
        <v>9439</v>
      </c>
      <c r="B2904" s="16" t="n">
        <v>2899</v>
      </c>
      <c r="C2904" s="16" t="s">
        <v>9440</v>
      </c>
      <c r="D2904" s="16" t="n">
        <v>6</v>
      </c>
      <c r="E2904" s="35" t="s">
        <v>7299</v>
      </c>
      <c r="F2904" s="16" t="s">
        <v>1285</v>
      </c>
      <c r="G2904" s="16" t="s">
        <v>563</v>
      </c>
      <c r="H2904" s="16" t="s">
        <v>9373</v>
      </c>
      <c r="I2904" s="16" t="s">
        <v>121</v>
      </c>
      <c r="J2904" s="16" t="s">
        <v>7296</v>
      </c>
      <c r="K2904" s="32" t="n">
        <v>1</v>
      </c>
      <c r="L2904" s="33" t="n">
        <v>46348</v>
      </c>
      <c r="M2904" s="33" t="n">
        <v>46348</v>
      </c>
      <c r="N2904" s="16" t="s">
        <v>9441</v>
      </c>
      <c r="O2904" s="16"/>
      <c r="P2904" s="16" t="str">
        <f aca="false">IF(AND(L2904&lt;=$D$2,M2904&gt;=$C$2),"Sí","")</f>
        <v/>
      </c>
      <c r="Q2904" s="18" t="str">
        <f aca="false">IF(COUNTIF(LOOKAHEAD!$A$5:$A$604,A2904)&gt;0,"En Lookahead",IF(P2904="Sí","INCORPORAR",""))</f>
        <v/>
      </c>
    </row>
    <row r="2905" customFormat="false" ht="15" hidden="false" customHeight="false" outlineLevel="0" collapsed="false">
      <c r="A2905" s="16" t="s">
        <v>9442</v>
      </c>
      <c r="B2905" s="16" t="n">
        <v>2900</v>
      </c>
      <c r="C2905" s="16" t="s">
        <v>9443</v>
      </c>
      <c r="D2905" s="16" t="n">
        <v>6</v>
      </c>
      <c r="E2905" s="35" t="s">
        <v>7303</v>
      </c>
      <c r="F2905" s="16" t="s">
        <v>1285</v>
      </c>
      <c r="G2905" s="16" t="s">
        <v>563</v>
      </c>
      <c r="H2905" s="16" t="s">
        <v>9373</v>
      </c>
      <c r="I2905" s="16" t="s">
        <v>121</v>
      </c>
      <c r="J2905" s="16" t="s">
        <v>7296</v>
      </c>
      <c r="K2905" s="32" t="n">
        <v>3</v>
      </c>
      <c r="L2905" s="33" t="n">
        <v>46349</v>
      </c>
      <c r="M2905" s="33" t="n">
        <v>46351</v>
      </c>
      <c r="N2905" s="16" t="s">
        <v>9444</v>
      </c>
      <c r="O2905" s="16"/>
      <c r="P2905" s="16" t="str">
        <f aca="false">IF(AND(L2905&lt;=$D$2,M2905&gt;=$C$2),"Sí","")</f>
        <v/>
      </c>
      <c r="Q2905" s="18" t="str">
        <f aca="false">IF(COUNTIF(LOOKAHEAD!$A$5:$A$604,A2905)&gt;0,"En Lookahead",IF(P2905="Sí","INCORPORAR",""))</f>
        <v/>
      </c>
    </row>
    <row r="2906" customFormat="false" ht="15" hidden="false" customHeight="false" outlineLevel="0" collapsed="false">
      <c r="A2906" s="13" t="s">
        <v>9445</v>
      </c>
      <c r="B2906" s="13" t="n">
        <v>2901</v>
      </c>
      <c r="C2906" s="13" t="s">
        <v>9446</v>
      </c>
      <c r="D2906" s="13" t="n">
        <v>5</v>
      </c>
      <c r="E2906" s="34" t="s">
        <v>7307</v>
      </c>
      <c r="F2906" s="13" t="s">
        <v>1298</v>
      </c>
      <c r="G2906" s="13" t="s">
        <v>563</v>
      </c>
      <c r="H2906" s="13" t="s">
        <v>9373</v>
      </c>
      <c r="I2906" s="13" t="s">
        <v>121</v>
      </c>
      <c r="J2906" s="13" t="s">
        <v>9373</v>
      </c>
      <c r="K2906" s="30" t="n">
        <v>2</v>
      </c>
      <c r="L2906" s="31" t="n">
        <v>46345</v>
      </c>
      <c r="M2906" s="31" t="n">
        <v>46346</v>
      </c>
      <c r="N2906" s="13"/>
      <c r="O2906" s="13"/>
      <c r="P2906" s="13"/>
      <c r="Q2906" s="13"/>
    </row>
    <row r="2907" customFormat="false" ht="15" hidden="false" customHeight="false" outlineLevel="0" collapsed="false">
      <c r="A2907" s="13" t="s">
        <v>9447</v>
      </c>
      <c r="B2907" s="13" t="n">
        <v>2902</v>
      </c>
      <c r="C2907" s="13" t="s">
        <v>9448</v>
      </c>
      <c r="D2907" s="13" t="n">
        <v>6</v>
      </c>
      <c r="E2907" s="36" t="s">
        <v>7310</v>
      </c>
      <c r="F2907" s="13" t="s">
        <v>1298</v>
      </c>
      <c r="G2907" s="13" t="s">
        <v>563</v>
      </c>
      <c r="H2907" s="13" t="s">
        <v>9373</v>
      </c>
      <c r="I2907" s="13" t="s">
        <v>121</v>
      </c>
      <c r="J2907" s="13" t="s">
        <v>7307</v>
      </c>
      <c r="K2907" s="30" t="n">
        <v>2</v>
      </c>
      <c r="L2907" s="31" t="n">
        <v>46345</v>
      </c>
      <c r="M2907" s="31" t="n">
        <v>46346</v>
      </c>
      <c r="N2907" s="13"/>
      <c r="O2907" s="13"/>
      <c r="P2907" s="13"/>
      <c r="Q2907" s="13"/>
    </row>
    <row r="2908" customFormat="false" ht="15" hidden="false" customHeight="false" outlineLevel="0" collapsed="false">
      <c r="A2908" s="16" t="s">
        <v>9449</v>
      </c>
      <c r="B2908" s="16" t="n">
        <v>2903</v>
      </c>
      <c r="C2908" s="16" t="s">
        <v>9450</v>
      </c>
      <c r="D2908" s="16" t="n">
        <v>7</v>
      </c>
      <c r="E2908" s="37" t="s">
        <v>7313</v>
      </c>
      <c r="F2908" s="16" t="s">
        <v>1285</v>
      </c>
      <c r="G2908" s="16" t="s">
        <v>563</v>
      </c>
      <c r="H2908" s="16" t="s">
        <v>9373</v>
      </c>
      <c r="I2908" s="16" t="s">
        <v>121</v>
      </c>
      <c r="J2908" s="16" t="s">
        <v>7310</v>
      </c>
      <c r="K2908" s="32" t="n">
        <v>1</v>
      </c>
      <c r="L2908" s="33" t="n">
        <v>46345</v>
      </c>
      <c r="M2908" s="33" t="n">
        <v>46345</v>
      </c>
      <c r="N2908" s="16" t="s">
        <v>9433</v>
      </c>
      <c r="O2908" s="16"/>
      <c r="P2908" s="16" t="str">
        <f aca="false">IF(AND(L2908&lt;=$D$2,M2908&gt;=$C$2),"Sí","")</f>
        <v/>
      </c>
      <c r="Q2908" s="18" t="str">
        <f aca="false">IF(COUNTIF(LOOKAHEAD!$A$5:$A$604,A2908)&gt;0,"En Lookahead",IF(P2908="Sí","INCORPORAR",""))</f>
        <v/>
      </c>
    </row>
    <row r="2909" customFormat="false" ht="15" hidden="false" customHeight="false" outlineLevel="0" collapsed="false">
      <c r="A2909" s="16" t="s">
        <v>9451</v>
      </c>
      <c r="B2909" s="16" t="n">
        <v>2904</v>
      </c>
      <c r="C2909" s="16" t="s">
        <v>9452</v>
      </c>
      <c r="D2909" s="16" t="n">
        <v>7</v>
      </c>
      <c r="E2909" s="37" t="s">
        <v>7655</v>
      </c>
      <c r="F2909" s="16" t="s">
        <v>1285</v>
      </c>
      <c r="G2909" s="16" t="s">
        <v>563</v>
      </c>
      <c r="H2909" s="16" t="s">
        <v>9373</v>
      </c>
      <c r="I2909" s="16" t="s">
        <v>121</v>
      </c>
      <c r="J2909" s="16" t="s">
        <v>7310</v>
      </c>
      <c r="K2909" s="32" t="n">
        <v>1</v>
      </c>
      <c r="L2909" s="33" t="n">
        <v>46346</v>
      </c>
      <c r="M2909" s="33" t="n">
        <v>46346</v>
      </c>
      <c r="N2909" s="16" t="s">
        <v>9453</v>
      </c>
      <c r="O2909" s="16"/>
      <c r="P2909" s="16" t="str">
        <f aca="false">IF(AND(L2909&lt;=$D$2,M2909&gt;=$C$2),"Sí","")</f>
        <v/>
      </c>
      <c r="Q2909" s="18" t="str">
        <f aca="false">IF(COUNTIF(LOOKAHEAD!$A$5:$A$604,A2909)&gt;0,"En Lookahead",IF(P2909="Sí","INCORPORAR",""))</f>
        <v/>
      </c>
    </row>
    <row r="2910" customFormat="false" ht="15" hidden="false" customHeight="false" outlineLevel="0" collapsed="false">
      <c r="A2910" s="13" t="s">
        <v>9454</v>
      </c>
      <c r="B2910" s="13" t="n">
        <v>2905</v>
      </c>
      <c r="C2910" s="13" t="s">
        <v>9455</v>
      </c>
      <c r="D2910" s="13" t="n">
        <v>5</v>
      </c>
      <c r="E2910" s="34" t="s">
        <v>7328</v>
      </c>
      <c r="F2910" s="13" t="s">
        <v>1298</v>
      </c>
      <c r="G2910" s="13" t="s">
        <v>563</v>
      </c>
      <c r="H2910" s="13" t="s">
        <v>9373</v>
      </c>
      <c r="I2910" s="13" t="s">
        <v>121</v>
      </c>
      <c r="J2910" s="13" t="s">
        <v>9373</v>
      </c>
      <c r="K2910" s="30" t="n">
        <v>3</v>
      </c>
      <c r="L2910" s="31" t="n">
        <v>46347</v>
      </c>
      <c r="M2910" s="31" t="n">
        <v>46349</v>
      </c>
      <c r="N2910" s="13"/>
      <c r="O2910" s="13"/>
      <c r="P2910" s="13"/>
      <c r="Q2910" s="13"/>
    </row>
    <row r="2911" customFormat="false" ht="15" hidden="false" customHeight="false" outlineLevel="0" collapsed="false">
      <c r="A2911" s="13" t="s">
        <v>9456</v>
      </c>
      <c r="B2911" s="13" t="n">
        <v>2906</v>
      </c>
      <c r="C2911" s="13" t="s">
        <v>9457</v>
      </c>
      <c r="D2911" s="13" t="n">
        <v>6</v>
      </c>
      <c r="E2911" s="36" t="s">
        <v>2137</v>
      </c>
      <c r="F2911" s="13" t="s">
        <v>1298</v>
      </c>
      <c r="G2911" s="13" t="s">
        <v>563</v>
      </c>
      <c r="H2911" s="13" t="s">
        <v>9373</v>
      </c>
      <c r="I2911" s="13" t="s">
        <v>121</v>
      </c>
      <c r="J2911" s="13" t="s">
        <v>7328</v>
      </c>
      <c r="K2911" s="30" t="n">
        <v>3</v>
      </c>
      <c r="L2911" s="31" t="n">
        <v>46347</v>
      </c>
      <c r="M2911" s="31" t="n">
        <v>46349</v>
      </c>
      <c r="N2911" s="13"/>
      <c r="O2911" s="13"/>
      <c r="P2911" s="13"/>
      <c r="Q2911" s="13"/>
    </row>
    <row r="2912" customFormat="false" ht="15" hidden="false" customHeight="false" outlineLevel="0" collapsed="false">
      <c r="A2912" s="16" t="s">
        <v>9458</v>
      </c>
      <c r="B2912" s="16" t="n">
        <v>2907</v>
      </c>
      <c r="C2912" s="16" t="s">
        <v>9459</v>
      </c>
      <c r="D2912" s="16" t="n">
        <v>7</v>
      </c>
      <c r="E2912" s="37" t="s">
        <v>7694</v>
      </c>
      <c r="F2912" s="16" t="s">
        <v>1285</v>
      </c>
      <c r="G2912" s="16" t="s">
        <v>563</v>
      </c>
      <c r="H2912" s="16" t="s">
        <v>9373</v>
      </c>
      <c r="I2912" s="16" t="s">
        <v>121</v>
      </c>
      <c r="J2912" s="16" t="s">
        <v>2137</v>
      </c>
      <c r="K2912" s="32" t="n">
        <v>2</v>
      </c>
      <c r="L2912" s="33" t="n">
        <v>46347</v>
      </c>
      <c r="M2912" s="33" t="n">
        <v>46348</v>
      </c>
      <c r="N2912" s="16" t="s">
        <v>9460</v>
      </c>
      <c r="O2912" s="16"/>
      <c r="P2912" s="16" t="str">
        <f aca="false">IF(AND(L2912&lt;=$D$2,M2912&gt;=$C$2),"Sí","")</f>
        <v/>
      </c>
      <c r="Q2912" s="18" t="str">
        <f aca="false">IF(COUNTIF(LOOKAHEAD!$A$5:$A$604,A2912)&gt;0,"En Lookahead",IF(P2912="Sí","INCORPORAR",""))</f>
        <v/>
      </c>
    </row>
    <row r="2913" customFormat="false" ht="15" hidden="false" customHeight="false" outlineLevel="0" collapsed="false">
      <c r="A2913" s="16" t="s">
        <v>9461</v>
      </c>
      <c r="B2913" s="16" t="n">
        <v>2908</v>
      </c>
      <c r="C2913" s="16" t="s">
        <v>9462</v>
      </c>
      <c r="D2913" s="16" t="n">
        <v>7</v>
      </c>
      <c r="E2913" s="37" t="s">
        <v>7687</v>
      </c>
      <c r="F2913" s="16" t="s">
        <v>1285</v>
      </c>
      <c r="G2913" s="16" t="s">
        <v>563</v>
      </c>
      <c r="H2913" s="16" t="s">
        <v>9373</v>
      </c>
      <c r="I2913" s="16" t="s">
        <v>121</v>
      </c>
      <c r="J2913" s="16" t="s">
        <v>2137</v>
      </c>
      <c r="K2913" s="32" t="n">
        <v>1</v>
      </c>
      <c r="L2913" s="33" t="n">
        <v>46349</v>
      </c>
      <c r="M2913" s="33" t="n">
        <v>46349</v>
      </c>
      <c r="N2913" s="16" t="s">
        <v>9463</v>
      </c>
      <c r="O2913" s="16"/>
      <c r="P2913" s="16" t="str">
        <f aca="false">IF(AND(L2913&lt;=$D$2,M2913&gt;=$C$2),"Sí","")</f>
        <v/>
      </c>
      <c r="Q2913" s="18" t="str">
        <f aca="false">IF(COUNTIF(LOOKAHEAD!$A$5:$A$604,A2913)&gt;0,"En Lookahead",IF(P2913="Sí","INCORPORAR",""))</f>
        <v/>
      </c>
    </row>
    <row r="2914" customFormat="false" ht="15" hidden="false" customHeight="false" outlineLevel="0" collapsed="false">
      <c r="A2914" s="13" t="s">
        <v>9464</v>
      </c>
      <c r="B2914" s="13" t="n">
        <v>2909</v>
      </c>
      <c r="C2914" s="13" t="s">
        <v>9465</v>
      </c>
      <c r="D2914" s="13" t="n">
        <v>5</v>
      </c>
      <c r="E2914" s="34" t="s">
        <v>7368</v>
      </c>
      <c r="F2914" s="13" t="s">
        <v>1298</v>
      </c>
      <c r="G2914" s="13" t="s">
        <v>563</v>
      </c>
      <c r="H2914" s="13" t="s">
        <v>9373</v>
      </c>
      <c r="I2914" s="13" t="s">
        <v>121</v>
      </c>
      <c r="J2914" s="13" t="s">
        <v>9373</v>
      </c>
      <c r="K2914" s="30" t="n">
        <v>2</v>
      </c>
      <c r="L2914" s="31" t="n">
        <v>46350</v>
      </c>
      <c r="M2914" s="31" t="n">
        <v>46351</v>
      </c>
      <c r="N2914" s="13"/>
      <c r="O2914" s="13"/>
      <c r="P2914" s="13"/>
      <c r="Q2914" s="13"/>
    </row>
    <row r="2915" customFormat="false" ht="15" hidden="false" customHeight="false" outlineLevel="0" collapsed="false">
      <c r="A2915" s="16" t="s">
        <v>9466</v>
      </c>
      <c r="B2915" s="16" t="n">
        <v>2910</v>
      </c>
      <c r="C2915" s="16" t="s">
        <v>9467</v>
      </c>
      <c r="D2915" s="16" t="n">
        <v>6</v>
      </c>
      <c r="E2915" s="35" t="s">
        <v>9468</v>
      </c>
      <c r="F2915" s="16" t="s">
        <v>1285</v>
      </c>
      <c r="G2915" s="16" t="s">
        <v>563</v>
      </c>
      <c r="H2915" s="16" t="s">
        <v>9373</v>
      </c>
      <c r="I2915" s="16" t="s">
        <v>121</v>
      </c>
      <c r="J2915" s="16" t="s">
        <v>7368</v>
      </c>
      <c r="K2915" s="32" t="n">
        <v>2</v>
      </c>
      <c r="L2915" s="33" t="n">
        <v>46350</v>
      </c>
      <c r="M2915" s="33" t="n">
        <v>46351</v>
      </c>
      <c r="N2915" s="16" t="s">
        <v>9469</v>
      </c>
      <c r="O2915" s="16"/>
      <c r="P2915" s="16" t="str">
        <f aca="false">IF(AND(L2915&lt;=$D$2,M2915&gt;=$C$2),"Sí","")</f>
        <v/>
      </c>
      <c r="Q2915" s="18" t="str">
        <f aca="false">IF(COUNTIF(LOOKAHEAD!$A$5:$A$604,A2915)&gt;0,"En Lookahead",IF(P2915="Sí","INCORPORAR",""))</f>
        <v/>
      </c>
    </row>
    <row r="2916" customFormat="false" ht="15" hidden="false" customHeight="false" outlineLevel="0" collapsed="false">
      <c r="A2916" s="13" t="s">
        <v>9470</v>
      </c>
      <c r="B2916" s="13" t="n">
        <v>2911</v>
      </c>
      <c r="C2916" s="13" t="s">
        <v>9471</v>
      </c>
      <c r="D2916" s="13" t="n">
        <v>5</v>
      </c>
      <c r="E2916" s="34" t="s">
        <v>7416</v>
      </c>
      <c r="F2916" s="13" t="s">
        <v>1298</v>
      </c>
      <c r="G2916" s="13" t="s">
        <v>563</v>
      </c>
      <c r="H2916" s="13" t="s">
        <v>9373</v>
      </c>
      <c r="I2916" s="13" t="s">
        <v>121</v>
      </c>
      <c r="J2916" s="13" t="s">
        <v>9373</v>
      </c>
      <c r="K2916" s="30" t="n">
        <v>17</v>
      </c>
      <c r="L2916" s="31" t="n">
        <v>46320</v>
      </c>
      <c r="M2916" s="31" t="n">
        <v>46336</v>
      </c>
      <c r="N2916" s="13"/>
      <c r="O2916" s="13"/>
      <c r="P2916" s="13"/>
      <c r="Q2916" s="13"/>
    </row>
    <row r="2917" customFormat="false" ht="15" hidden="false" customHeight="false" outlineLevel="0" collapsed="false">
      <c r="A2917" s="16" t="s">
        <v>9472</v>
      </c>
      <c r="B2917" s="16" t="n">
        <v>2912</v>
      </c>
      <c r="C2917" s="16" t="s">
        <v>9473</v>
      </c>
      <c r="D2917" s="16" t="n">
        <v>6</v>
      </c>
      <c r="E2917" s="35" t="s">
        <v>7419</v>
      </c>
      <c r="F2917" s="16" t="s">
        <v>1285</v>
      </c>
      <c r="G2917" s="16" t="s">
        <v>563</v>
      </c>
      <c r="H2917" s="16" t="s">
        <v>9373</v>
      </c>
      <c r="I2917" s="16" t="s">
        <v>121</v>
      </c>
      <c r="J2917" s="16" t="s">
        <v>7416</v>
      </c>
      <c r="K2917" s="32" t="n">
        <v>2</v>
      </c>
      <c r="L2917" s="33" t="n">
        <v>46320</v>
      </c>
      <c r="M2917" s="33" t="n">
        <v>46321</v>
      </c>
      <c r="N2917" s="16" t="s">
        <v>9394</v>
      </c>
      <c r="O2917" s="16"/>
      <c r="P2917" s="16" t="str">
        <f aca="false">IF(AND(L2917&lt;=$D$2,M2917&gt;=$C$2),"Sí","")</f>
        <v>Sí</v>
      </c>
      <c r="Q2917" s="18" t="str">
        <f aca="false">IF(COUNTIF(LOOKAHEAD!$A$5:$A$604,A2917)&gt;0,"En Lookahead",IF(P2917="Sí","INCORPORAR",""))</f>
        <v>En Lookahead</v>
      </c>
    </row>
    <row r="2918" customFormat="false" ht="15" hidden="false" customHeight="false" outlineLevel="0" collapsed="false">
      <c r="A2918" s="16" t="s">
        <v>9474</v>
      </c>
      <c r="B2918" s="16" t="n">
        <v>2913</v>
      </c>
      <c r="C2918" s="16" t="s">
        <v>9475</v>
      </c>
      <c r="D2918" s="16" t="n">
        <v>6</v>
      </c>
      <c r="E2918" s="35" t="s">
        <v>7422</v>
      </c>
      <c r="F2918" s="16" t="s">
        <v>1285</v>
      </c>
      <c r="G2918" s="16" t="s">
        <v>563</v>
      </c>
      <c r="H2918" s="16" t="s">
        <v>9373</v>
      </c>
      <c r="I2918" s="16" t="s">
        <v>121</v>
      </c>
      <c r="J2918" s="16" t="s">
        <v>7416</v>
      </c>
      <c r="K2918" s="32" t="n">
        <v>11</v>
      </c>
      <c r="L2918" s="33" t="n">
        <v>46320</v>
      </c>
      <c r="M2918" s="33" t="n">
        <v>46330</v>
      </c>
      <c r="N2918" s="16" t="s">
        <v>9476</v>
      </c>
      <c r="O2918" s="16"/>
      <c r="P2918" s="16" t="str">
        <f aca="false">IF(AND(L2918&lt;=$D$2,M2918&gt;=$C$2),"Sí","")</f>
        <v>Sí</v>
      </c>
      <c r="Q2918" s="18" t="str">
        <f aca="false">IF(COUNTIF(LOOKAHEAD!$A$5:$A$604,A2918)&gt;0,"En Lookahead",IF(P2918="Sí","INCORPORAR",""))</f>
        <v>En Lookahead</v>
      </c>
    </row>
    <row r="2919" customFormat="false" ht="15" hidden="false" customHeight="false" outlineLevel="0" collapsed="false">
      <c r="A2919" s="16" t="s">
        <v>9477</v>
      </c>
      <c r="B2919" s="16" t="n">
        <v>2914</v>
      </c>
      <c r="C2919" s="16" t="s">
        <v>9478</v>
      </c>
      <c r="D2919" s="16" t="n">
        <v>6</v>
      </c>
      <c r="E2919" s="35" t="s">
        <v>7426</v>
      </c>
      <c r="F2919" s="16" t="s">
        <v>1285</v>
      </c>
      <c r="G2919" s="16" t="s">
        <v>563</v>
      </c>
      <c r="H2919" s="16" t="s">
        <v>9373</v>
      </c>
      <c r="I2919" s="16" t="s">
        <v>121</v>
      </c>
      <c r="J2919" s="16" t="s">
        <v>7416</v>
      </c>
      <c r="K2919" s="32" t="n">
        <v>4</v>
      </c>
      <c r="L2919" s="33" t="n">
        <v>46331</v>
      </c>
      <c r="M2919" s="33" t="n">
        <v>46334</v>
      </c>
      <c r="N2919" s="16" t="s">
        <v>9418</v>
      </c>
      <c r="O2919" s="16"/>
      <c r="P2919" s="16" t="str">
        <f aca="false">IF(AND(L2919&lt;=$D$2,M2919&gt;=$C$2),"Sí","")</f>
        <v>Sí</v>
      </c>
      <c r="Q2919" s="18" t="str">
        <f aca="false">IF(COUNTIF(LOOKAHEAD!$A$5:$A$604,A2919)&gt;0,"En Lookahead",IF(P2919="Sí","INCORPORAR",""))</f>
        <v>En Lookahead</v>
      </c>
    </row>
    <row r="2920" customFormat="false" ht="15" hidden="false" customHeight="false" outlineLevel="0" collapsed="false">
      <c r="A2920" s="16" t="s">
        <v>9479</v>
      </c>
      <c r="B2920" s="16" t="n">
        <v>2915</v>
      </c>
      <c r="C2920" s="16" t="s">
        <v>9480</v>
      </c>
      <c r="D2920" s="16" t="n">
        <v>6</v>
      </c>
      <c r="E2920" s="35" t="s">
        <v>7429</v>
      </c>
      <c r="F2920" s="16" t="s">
        <v>1285</v>
      </c>
      <c r="G2920" s="16" t="s">
        <v>563</v>
      </c>
      <c r="H2920" s="16" t="s">
        <v>9373</v>
      </c>
      <c r="I2920" s="16" t="s">
        <v>121</v>
      </c>
      <c r="J2920" s="16" t="s">
        <v>7416</v>
      </c>
      <c r="K2920" s="32" t="n">
        <v>1</v>
      </c>
      <c r="L2920" s="33" t="n">
        <v>46335</v>
      </c>
      <c r="M2920" s="33" t="n">
        <v>46335</v>
      </c>
      <c r="N2920" s="16" t="s">
        <v>9481</v>
      </c>
      <c r="O2920" s="16"/>
      <c r="P2920" s="16" t="str">
        <f aca="false">IF(AND(L2920&lt;=$D$2,M2920&gt;=$C$2),"Sí","")</f>
        <v>Sí</v>
      </c>
      <c r="Q2920" s="18" t="str">
        <f aca="false">IF(COUNTIF(LOOKAHEAD!$A$5:$A$604,A2920)&gt;0,"En Lookahead",IF(P2920="Sí","INCORPORAR",""))</f>
        <v>En Lookahead</v>
      </c>
    </row>
    <row r="2921" customFormat="false" ht="15" hidden="false" customHeight="false" outlineLevel="0" collapsed="false">
      <c r="A2921" s="16" t="s">
        <v>9482</v>
      </c>
      <c r="B2921" s="16" t="n">
        <v>2916</v>
      </c>
      <c r="C2921" s="16" t="s">
        <v>9483</v>
      </c>
      <c r="D2921" s="16" t="n">
        <v>6</v>
      </c>
      <c r="E2921" s="35" t="s">
        <v>7432</v>
      </c>
      <c r="F2921" s="16" t="s">
        <v>1285</v>
      </c>
      <c r="G2921" s="16" t="s">
        <v>563</v>
      </c>
      <c r="H2921" s="16" t="s">
        <v>9373</v>
      </c>
      <c r="I2921" s="16" t="s">
        <v>121</v>
      </c>
      <c r="J2921" s="16" t="s">
        <v>7416</v>
      </c>
      <c r="K2921" s="32" t="n">
        <v>1</v>
      </c>
      <c r="L2921" s="33" t="n">
        <v>46336</v>
      </c>
      <c r="M2921" s="33" t="n">
        <v>46336</v>
      </c>
      <c r="N2921" s="16" t="s">
        <v>9484</v>
      </c>
      <c r="O2921" s="16"/>
      <c r="P2921" s="16" t="str">
        <f aca="false">IF(AND(L2921&lt;=$D$2,M2921&gt;=$C$2),"Sí","")</f>
        <v>Sí</v>
      </c>
      <c r="Q2921" s="18" t="str">
        <f aca="false">IF(COUNTIF(LOOKAHEAD!$A$5:$A$604,A2921)&gt;0,"En Lookahead",IF(P2921="Sí","INCORPORAR",""))</f>
        <v>En Lookahead</v>
      </c>
    </row>
    <row r="2922" customFormat="false" ht="15" hidden="false" customHeight="false" outlineLevel="0" collapsed="false">
      <c r="A2922" s="13" t="s">
        <v>9485</v>
      </c>
      <c r="B2922" s="13" t="n">
        <v>2917</v>
      </c>
      <c r="C2922" s="13" t="s">
        <v>9486</v>
      </c>
      <c r="D2922" s="13" t="n">
        <v>5</v>
      </c>
      <c r="E2922" s="34" t="s">
        <v>7440</v>
      </c>
      <c r="F2922" s="13" t="s">
        <v>1298</v>
      </c>
      <c r="G2922" s="13" t="s">
        <v>563</v>
      </c>
      <c r="H2922" s="13" t="s">
        <v>9373</v>
      </c>
      <c r="I2922" s="13" t="s">
        <v>121</v>
      </c>
      <c r="J2922" s="13" t="s">
        <v>9373</v>
      </c>
      <c r="K2922" s="30" t="n">
        <v>1</v>
      </c>
      <c r="L2922" s="31" t="n">
        <v>46337</v>
      </c>
      <c r="M2922" s="31" t="n">
        <v>46337</v>
      </c>
      <c r="N2922" s="13"/>
      <c r="O2922" s="13"/>
      <c r="P2922" s="13"/>
      <c r="Q2922" s="13"/>
    </row>
    <row r="2923" customFormat="false" ht="15" hidden="false" customHeight="false" outlineLevel="0" collapsed="false">
      <c r="A2923" s="16" t="s">
        <v>9487</v>
      </c>
      <c r="B2923" s="16" t="n">
        <v>2918</v>
      </c>
      <c r="C2923" s="16" t="s">
        <v>9488</v>
      </c>
      <c r="D2923" s="16" t="n">
        <v>6</v>
      </c>
      <c r="E2923" s="35" t="s">
        <v>7451</v>
      </c>
      <c r="F2923" s="16" t="s">
        <v>1285</v>
      </c>
      <c r="G2923" s="16" t="s">
        <v>563</v>
      </c>
      <c r="H2923" s="16" t="s">
        <v>9373</v>
      </c>
      <c r="I2923" s="16" t="s">
        <v>121</v>
      </c>
      <c r="J2923" s="16" t="s">
        <v>7440</v>
      </c>
      <c r="K2923" s="32" t="n">
        <v>1</v>
      </c>
      <c r="L2923" s="33" t="n">
        <v>46337</v>
      </c>
      <c r="M2923" s="33" t="n">
        <v>46337</v>
      </c>
      <c r="N2923" s="16" t="s">
        <v>9489</v>
      </c>
      <c r="O2923" s="16"/>
      <c r="P2923" s="16" t="str">
        <f aca="false">IF(AND(L2923&lt;=$D$2,M2923&gt;=$C$2),"Sí","")</f>
        <v>Sí</v>
      </c>
      <c r="Q2923" s="18" t="str">
        <f aca="false">IF(COUNTIF(LOOKAHEAD!$A$5:$A$604,A2923)&gt;0,"En Lookahead",IF(P2923="Sí","INCORPORAR",""))</f>
        <v>En Lookahead</v>
      </c>
    </row>
    <row r="2924" customFormat="false" ht="15" hidden="false" customHeight="false" outlineLevel="0" collapsed="false">
      <c r="A2924" s="13" t="s">
        <v>9490</v>
      </c>
      <c r="B2924" s="13" t="n">
        <v>2919</v>
      </c>
      <c r="C2924" s="13" t="s">
        <v>9491</v>
      </c>
      <c r="D2924" s="13" t="n">
        <v>5</v>
      </c>
      <c r="E2924" s="34" t="s">
        <v>7455</v>
      </c>
      <c r="F2924" s="13" t="s">
        <v>1298</v>
      </c>
      <c r="G2924" s="13" t="s">
        <v>563</v>
      </c>
      <c r="H2924" s="13" t="s">
        <v>9373</v>
      </c>
      <c r="I2924" s="13" t="s">
        <v>121</v>
      </c>
      <c r="J2924" s="13" t="s">
        <v>9373</v>
      </c>
      <c r="K2924" s="30" t="n">
        <v>1</v>
      </c>
      <c r="L2924" s="31" t="n">
        <v>46338</v>
      </c>
      <c r="M2924" s="31" t="n">
        <v>46338</v>
      </c>
      <c r="N2924" s="13"/>
      <c r="O2924" s="13"/>
      <c r="P2924" s="13"/>
      <c r="Q2924" s="13"/>
    </row>
    <row r="2925" customFormat="false" ht="15" hidden="false" customHeight="false" outlineLevel="0" collapsed="false">
      <c r="A2925" s="13" t="s">
        <v>9492</v>
      </c>
      <c r="B2925" s="13" t="n">
        <v>2920</v>
      </c>
      <c r="C2925" s="13" t="s">
        <v>9493</v>
      </c>
      <c r="D2925" s="13" t="n">
        <v>6</v>
      </c>
      <c r="E2925" s="36" t="s">
        <v>7458</v>
      </c>
      <c r="F2925" s="13" t="s">
        <v>1298</v>
      </c>
      <c r="G2925" s="13" t="s">
        <v>563</v>
      </c>
      <c r="H2925" s="13" t="s">
        <v>9373</v>
      </c>
      <c r="I2925" s="13" t="s">
        <v>121</v>
      </c>
      <c r="J2925" s="13" t="s">
        <v>7455</v>
      </c>
      <c r="K2925" s="30" t="n">
        <v>1</v>
      </c>
      <c r="L2925" s="31" t="n">
        <v>46338</v>
      </c>
      <c r="M2925" s="31" t="n">
        <v>46338</v>
      </c>
      <c r="N2925" s="13"/>
      <c r="O2925" s="13"/>
      <c r="P2925" s="13"/>
      <c r="Q2925" s="13"/>
    </row>
    <row r="2926" customFormat="false" ht="15" hidden="false" customHeight="false" outlineLevel="0" collapsed="false">
      <c r="A2926" s="16" t="s">
        <v>9494</v>
      </c>
      <c r="B2926" s="16" t="n">
        <v>2921</v>
      </c>
      <c r="C2926" s="16" t="s">
        <v>9495</v>
      </c>
      <c r="D2926" s="16" t="n">
        <v>7</v>
      </c>
      <c r="E2926" s="37" t="s">
        <v>7785</v>
      </c>
      <c r="F2926" s="16" t="s">
        <v>1285</v>
      </c>
      <c r="G2926" s="16" t="s">
        <v>563</v>
      </c>
      <c r="H2926" s="16" t="s">
        <v>9373</v>
      </c>
      <c r="I2926" s="16" t="s">
        <v>121</v>
      </c>
      <c r="J2926" s="16" t="s">
        <v>7458</v>
      </c>
      <c r="K2926" s="32" t="n">
        <v>1</v>
      </c>
      <c r="L2926" s="33" t="n">
        <v>46338</v>
      </c>
      <c r="M2926" s="33" t="n">
        <v>46338</v>
      </c>
      <c r="N2926" s="16" t="s">
        <v>9496</v>
      </c>
      <c r="O2926" s="16"/>
      <c r="P2926" s="16" t="str">
        <f aca="false">IF(AND(L2926&lt;=$D$2,M2926&gt;=$C$2),"Sí","")</f>
        <v>Sí</v>
      </c>
      <c r="Q2926" s="18" t="str">
        <f aca="false">IF(COUNTIF(LOOKAHEAD!$A$5:$A$604,A2926)&gt;0,"En Lookahead",IF(P2926="Sí","INCORPORAR",""))</f>
        <v>En Lookahead</v>
      </c>
    </row>
    <row r="2927" customFormat="false" ht="15" hidden="false" customHeight="false" outlineLevel="0" collapsed="false">
      <c r="A2927" s="13" t="s">
        <v>9497</v>
      </c>
      <c r="B2927" s="13" t="n">
        <v>2922</v>
      </c>
      <c r="C2927" s="13" t="s">
        <v>9498</v>
      </c>
      <c r="D2927" s="13" t="n">
        <v>4</v>
      </c>
      <c r="E2927" s="20" t="s">
        <v>9499</v>
      </c>
      <c r="F2927" s="13" t="s">
        <v>1298</v>
      </c>
      <c r="G2927" s="13" t="s">
        <v>563</v>
      </c>
      <c r="H2927" s="13" t="s">
        <v>9499</v>
      </c>
      <c r="I2927" s="13" t="s">
        <v>123</v>
      </c>
      <c r="J2927" s="13" t="s">
        <v>7172</v>
      </c>
      <c r="K2927" s="30" t="n">
        <v>28</v>
      </c>
      <c r="L2927" s="31" t="n">
        <v>45989</v>
      </c>
      <c r="M2927" s="31" t="n">
        <v>46016</v>
      </c>
      <c r="N2927" s="13"/>
      <c r="O2927" s="13"/>
      <c r="P2927" s="13"/>
      <c r="Q2927" s="13"/>
    </row>
    <row r="2928" customFormat="false" ht="15" hidden="false" customHeight="false" outlineLevel="0" collapsed="false">
      <c r="A2928" s="13" t="s">
        <v>9500</v>
      </c>
      <c r="B2928" s="13" t="n">
        <v>2923</v>
      </c>
      <c r="C2928" s="13" t="s">
        <v>9501</v>
      </c>
      <c r="D2928" s="13" t="n">
        <v>5</v>
      </c>
      <c r="E2928" s="34" t="s">
        <v>7177</v>
      </c>
      <c r="F2928" s="13" t="s">
        <v>1298</v>
      </c>
      <c r="G2928" s="13" t="s">
        <v>563</v>
      </c>
      <c r="H2928" s="13" t="s">
        <v>9499</v>
      </c>
      <c r="I2928" s="13" t="s">
        <v>123</v>
      </c>
      <c r="J2928" s="13" t="s">
        <v>9499</v>
      </c>
      <c r="K2928" s="30" t="n">
        <v>6</v>
      </c>
      <c r="L2928" s="31" t="n">
        <v>45989</v>
      </c>
      <c r="M2928" s="31" t="n">
        <v>45994</v>
      </c>
      <c r="N2928" s="13"/>
      <c r="O2928" s="13"/>
      <c r="P2928" s="13"/>
      <c r="Q2928" s="13"/>
    </row>
    <row r="2929" customFormat="false" ht="15" hidden="false" customHeight="false" outlineLevel="0" collapsed="false">
      <c r="A2929" s="16" t="s">
        <v>9502</v>
      </c>
      <c r="B2929" s="16" t="n">
        <v>2924</v>
      </c>
      <c r="C2929" s="16" t="s">
        <v>9503</v>
      </c>
      <c r="D2929" s="16" t="n">
        <v>6</v>
      </c>
      <c r="E2929" s="35" t="s">
        <v>9381</v>
      </c>
      <c r="F2929" s="16" t="s">
        <v>1285</v>
      </c>
      <c r="G2929" s="16" t="s">
        <v>563</v>
      </c>
      <c r="H2929" s="16" t="s">
        <v>9499</v>
      </c>
      <c r="I2929" s="16" t="s">
        <v>123</v>
      </c>
      <c r="J2929" s="16" t="s">
        <v>7177</v>
      </c>
      <c r="K2929" s="32" t="n">
        <v>1</v>
      </c>
      <c r="L2929" s="33" t="n">
        <v>45989</v>
      </c>
      <c r="M2929" s="33" t="n">
        <v>45989</v>
      </c>
      <c r="N2929" s="16" t="s">
        <v>6254</v>
      </c>
      <c r="O2929" s="16"/>
      <c r="P2929" s="16" t="str">
        <f aca="false">IF(AND(L2929&lt;=$D$2,M2929&gt;=$C$2),"Sí","")</f>
        <v/>
      </c>
      <c r="Q2929" s="18" t="str">
        <f aca="false">IF(COUNTIF(LOOKAHEAD!$A$5:$A$604,A2929)&gt;0,"En Lookahead",IF(P2929="Sí","INCORPORAR",""))</f>
        <v/>
      </c>
    </row>
    <row r="2930" customFormat="false" ht="15" hidden="false" customHeight="false" outlineLevel="0" collapsed="false">
      <c r="A2930" s="16" t="s">
        <v>9504</v>
      </c>
      <c r="B2930" s="16" t="n">
        <v>2925</v>
      </c>
      <c r="C2930" s="16" t="s">
        <v>9505</v>
      </c>
      <c r="D2930" s="16" t="n">
        <v>6</v>
      </c>
      <c r="E2930" s="35" t="s">
        <v>9506</v>
      </c>
      <c r="F2930" s="16" t="s">
        <v>1285</v>
      </c>
      <c r="G2930" s="16" t="s">
        <v>563</v>
      </c>
      <c r="H2930" s="16" t="s">
        <v>9499</v>
      </c>
      <c r="I2930" s="16" t="s">
        <v>123</v>
      </c>
      <c r="J2930" s="16" t="s">
        <v>7177</v>
      </c>
      <c r="K2930" s="32" t="n">
        <v>2</v>
      </c>
      <c r="L2930" s="33" t="n">
        <v>45990</v>
      </c>
      <c r="M2930" s="33" t="n">
        <v>45991</v>
      </c>
      <c r="N2930" s="16" t="s">
        <v>6299</v>
      </c>
      <c r="O2930" s="16"/>
      <c r="P2930" s="16" t="str">
        <f aca="false">IF(AND(L2930&lt;=$D$2,M2930&gt;=$C$2),"Sí","")</f>
        <v/>
      </c>
      <c r="Q2930" s="18" t="str">
        <f aca="false">IF(COUNTIF(LOOKAHEAD!$A$5:$A$604,A2930)&gt;0,"En Lookahead",IF(P2930="Sí","INCORPORAR",""))</f>
        <v/>
      </c>
    </row>
    <row r="2931" customFormat="false" ht="15" hidden="false" customHeight="false" outlineLevel="0" collapsed="false">
      <c r="A2931" s="16" t="s">
        <v>9507</v>
      </c>
      <c r="B2931" s="16" t="n">
        <v>2926</v>
      </c>
      <c r="C2931" s="16" t="s">
        <v>9508</v>
      </c>
      <c r="D2931" s="16" t="n">
        <v>6</v>
      </c>
      <c r="E2931" s="35" t="s">
        <v>7186</v>
      </c>
      <c r="F2931" s="16" t="s">
        <v>1285</v>
      </c>
      <c r="G2931" s="16" t="s">
        <v>563</v>
      </c>
      <c r="H2931" s="16" t="s">
        <v>9499</v>
      </c>
      <c r="I2931" s="16" t="s">
        <v>123</v>
      </c>
      <c r="J2931" s="16" t="s">
        <v>7177</v>
      </c>
      <c r="K2931" s="32" t="n">
        <v>2</v>
      </c>
      <c r="L2931" s="33" t="n">
        <v>45992</v>
      </c>
      <c r="M2931" s="33" t="n">
        <v>45993</v>
      </c>
      <c r="N2931" s="16" t="s">
        <v>9509</v>
      </c>
      <c r="O2931" s="16"/>
      <c r="P2931" s="16" t="str">
        <f aca="false">IF(AND(L2931&lt;=$D$2,M2931&gt;=$C$2),"Sí","")</f>
        <v/>
      </c>
      <c r="Q2931" s="18" t="str">
        <f aca="false">IF(COUNTIF(LOOKAHEAD!$A$5:$A$604,A2931)&gt;0,"En Lookahead",IF(P2931="Sí","INCORPORAR",""))</f>
        <v/>
      </c>
    </row>
    <row r="2932" customFormat="false" ht="15" hidden="false" customHeight="false" outlineLevel="0" collapsed="false">
      <c r="A2932" s="16" t="s">
        <v>9510</v>
      </c>
      <c r="B2932" s="16" t="n">
        <v>2927</v>
      </c>
      <c r="C2932" s="16" t="s">
        <v>9511</v>
      </c>
      <c r="D2932" s="16" t="n">
        <v>6</v>
      </c>
      <c r="E2932" s="35" t="s">
        <v>7190</v>
      </c>
      <c r="F2932" s="16" t="s">
        <v>1285</v>
      </c>
      <c r="G2932" s="16" t="s">
        <v>563</v>
      </c>
      <c r="H2932" s="16" t="s">
        <v>9499</v>
      </c>
      <c r="I2932" s="16" t="s">
        <v>123</v>
      </c>
      <c r="J2932" s="16" t="s">
        <v>7177</v>
      </c>
      <c r="K2932" s="32" t="n">
        <v>1</v>
      </c>
      <c r="L2932" s="33" t="n">
        <v>45994</v>
      </c>
      <c r="M2932" s="33" t="n">
        <v>45994</v>
      </c>
      <c r="N2932" s="16" t="s">
        <v>9512</v>
      </c>
      <c r="O2932" s="16"/>
      <c r="P2932" s="16" t="str">
        <f aca="false">IF(AND(L2932&lt;=$D$2,M2932&gt;=$C$2),"Sí","")</f>
        <v/>
      </c>
      <c r="Q2932" s="18" t="str">
        <f aca="false">IF(COUNTIF(LOOKAHEAD!$A$5:$A$604,A2932)&gt;0,"En Lookahead",IF(P2932="Sí","INCORPORAR",""))</f>
        <v/>
      </c>
    </row>
    <row r="2933" customFormat="false" ht="15" hidden="false" customHeight="false" outlineLevel="0" collapsed="false">
      <c r="A2933" s="13" t="s">
        <v>9513</v>
      </c>
      <c r="B2933" s="13" t="n">
        <v>2928</v>
      </c>
      <c r="C2933" s="13" t="s">
        <v>9514</v>
      </c>
      <c r="D2933" s="13" t="n">
        <v>5</v>
      </c>
      <c r="E2933" s="34" t="s">
        <v>7206</v>
      </c>
      <c r="F2933" s="13" t="s">
        <v>1298</v>
      </c>
      <c r="G2933" s="13" t="s">
        <v>563</v>
      </c>
      <c r="H2933" s="13" t="s">
        <v>9499</v>
      </c>
      <c r="I2933" s="13" t="s">
        <v>123</v>
      </c>
      <c r="J2933" s="13" t="s">
        <v>9499</v>
      </c>
      <c r="K2933" s="30" t="n">
        <v>21</v>
      </c>
      <c r="L2933" s="31" t="n">
        <v>45990</v>
      </c>
      <c r="M2933" s="31" t="n">
        <v>46010</v>
      </c>
      <c r="N2933" s="13"/>
      <c r="O2933" s="13"/>
      <c r="P2933" s="13"/>
      <c r="Q2933" s="13"/>
    </row>
    <row r="2934" customFormat="false" ht="15" hidden="false" customHeight="false" outlineLevel="0" collapsed="false">
      <c r="A2934" s="16" t="s">
        <v>9515</v>
      </c>
      <c r="B2934" s="16" t="n">
        <v>2929</v>
      </c>
      <c r="C2934" s="16" t="s">
        <v>9516</v>
      </c>
      <c r="D2934" s="16" t="n">
        <v>6</v>
      </c>
      <c r="E2934" s="35" t="s">
        <v>7209</v>
      </c>
      <c r="F2934" s="16" t="s">
        <v>1285</v>
      </c>
      <c r="G2934" s="16" t="s">
        <v>563</v>
      </c>
      <c r="H2934" s="16" t="s">
        <v>9499</v>
      </c>
      <c r="I2934" s="16" t="s">
        <v>123</v>
      </c>
      <c r="J2934" s="16" t="s">
        <v>7206</v>
      </c>
      <c r="K2934" s="32" t="n">
        <v>14</v>
      </c>
      <c r="L2934" s="33" t="n">
        <v>45990</v>
      </c>
      <c r="M2934" s="33" t="n">
        <v>46003</v>
      </c>
      <c r="N2934" s="16" t="s">
        <v>6299</v>
      </c>
      <c r="O2934" s="16"/>
      <c r="P2934" s="16" t="str">
        <f aca="false">IF(AND(L2934&lt;=$D$2,M2934&gt;=$C$2),"Sí","")</f>
        <v/>
      </c>
      <c r="Q2934" s="18" t="str">
        <f aca="false">IF(COUNTIF(LOOKAHEAD!$A$5:$A$604,A2934)&gt;0,"En Lookahead",IF(P2934="Sí","INCORPORAR",""))</f>
        <v/>
      </c>
    </row>
    <row r="2935" customFormat="false" ht="15" hidden="false" customHeight="false" outlineLevel="0" collapsed="false">
      <c r="A2935" s="16" t="s">
        <v>9517</v>
      </c>
      <c r="B2935" s="16" t="n">
        <v>2930</v>
      </c>
      <c r="C2935" s="16" t="s">
        <v>9518</v>
      </c>
      <c r="D2935" s="16" t="n">
        <v>6</v>
      </c>
      <c r="E2935" s="35" t="s">
        <v>7212</v>
      </c>
      <c r="F2935" s="16" t="s">
        <v>1285</v>
      </c>
      <c r="G2935" s="16" t="s">
        <v>563</v>
      </c>
      <c r="H2935" s="16" t="s">
        <v>9499</v>
      </c>
      <c r="I2935" s="16" t="s">
        <v>123</v>
      </c>
      <c r="J2935" s="16" t="s">
        <v>7206</v>
      </c>
      <c r="K2935" s="32" t="n">
        <v>8</v>
      </c>
      <c r="L2935" s="33" t="n">
        <v>45990</v>
      </c>
      <c r="M2935" s="33" t="n">
        <v>45997</v>
      </c>
      <c r="N2935" s="16" t="s">
        <v>9519</v>
      </c>
      <c r="O2935" s="16"/>
      <c r="P2935" s="16" t="str">
        <f aca="false">IF(AND(L2935&lt;=$D$2,M2935&gt;=$C$2),"Sí","")</f>
        <v/>
      </c>
      <c r="Q2935" s="18" t="str">
        <f aca="false">IF(COUNTIF(LOOKAHEAD!$A$5:$A$604,A2935)&gt;0,"En Lookahead",IF(P2935="Sí","INCORPORAR",""))</f>
        <v/>
      </c>
    </row>
    <row r="2936" customFormat="false" ht="15" hidden="false" customHeight="false" outlineLevel="0" collapsed="false">
      <c r="A2936" s="16" t="s">
        <v>9520</v>
      </c>
      <c r="B2936" s="16" t="n">
        <v>2931</v>
      </c>
      <c r="C2936" s="16" t="s">
        <v>9521</v>
      </c>
      <c r="D2936" s="16" t="n">
        <v>6</v>
      </c>
      <c r="E2936" s="35" t="s">
        <v>7224</v>
      </c>
      <c r="F2936" s="16" t="s">
        <v>1285</v>
      </c>
      <c r="G2936" s="16" t="s">
        <v>563</v>
      </c>
      <c r="H2936" s="16" t="s">
        <v>9499</v>
      </c>
      <c r="I2936" s="16" t="s">
        <v>123</v>
      </c>
      <c r="J2936" s="16" t="s">
        <v>7206</v>
      </c>
      <c r="K2936" s="32" t="n">
        <v>4</v>
      </c>
      <c r="L2936" s="33" t="n">
        <v>45998</v>
      </c>
      <c r="M2936" s="33" t="n">
        <v>46001</v>
      </c>
      <c r="N2936" s="16" t="s">
        <v>9522</v>
      </c>
      <c r="O2936" s="16"/>
      <c r="P2936" s="16" t="str">
        <f aca="false">IF(AND(L2936&lt;=$D$2,M2936&gt;=$C$2),"Sí","")</f>
        <v/>
      </c>
      <c r="Q2936" s="18" t="str">
        <f aca="false">IF(COUNTIF(LOOKAHEAD!$A$5:$A$604,A2936)&gt;0,"En Lookahead",IF(P2936="Sí","INCORPORAR",""))</f>
        <v/>
      </c>
    </row>
    <row r="2937" customFormat="false" ht="15" hidden="false" customHeight="false" outlineLevel="0" collapsed="false">
      <c r="A2937" s="16" t="s">
        <v>9523</v>
      </c>
      <c r="B2937" s="16" t="n">
        <v>2932</v>
      </c>
      <c r="C2937" s="16" t="s">
        <v>9524</v>
      </c>
      <c r="D2937" s="16" t="n">
        <v>6</v>
      </c>
      <c r="E2937" s="35" t="s">
        <v>7228</v>
      </c>
      <c r="F2937" s="16" t="s">
        <v>1285</v>
      </c>
      <c r="G2937" s="16" t="s">
        <v>563</v>
      </c>
      <c r="H2937" s="16" t="s">
        <v>9499</v>
      </c>
      <c r="I2937" s="16" t="s">
        <v>123</v>
      </c>
      <c r="J2937" s="16" t="s">
        <v>7206</v>
      </c>
      <c r="K2937" s="32" t="n">
        <v>9</v>
      </c>
      <c r="L2937" s="33" t="n">
        <v>46002</v>
      </c>
      <c r="M2937" s="33" t="n">
        <v>46010</v>
      </c>
      <c r="N2937" s="16" t="s">
        <v>9525</v>
      </c>
      <c r="O2937" s="16"/>
      <c r="P2937" s="16" t="str">
        <f aca="false">IF(AND(L2937&lt;=$D$2,M2937&gt;=$C$2),"Sí","")</f>
        <v/>
      </c>
      <c r="Q2937" s="18" t="str">
        <f aca="false">IF(COUNTIF(LOOKAHEAD!$A$5:$A$604,A2937)&gt;0,"En Lookahead",IF(P2937="Sí","INCORPORAR",""))</f>
        <v/>
      </c>
    </row>
    <row r="2938" customFormat="false" ht="15" hidden="false" customHeight="false" outlineLevel="0" collapsed="false">
      <c r="A2938" s="16" t="s">
        <v>9526</v>
      </c>
      <c r="B2938" s="16" t="n">
        <v>2933</v>
      </c>
      <c r="C2938" s="16" t="s">
        <v>9527</v>
      </c>
      <c r="D2938" s="16" t="n">
        <v>6</v>
      </c>
      <c r="E2938" s="35" t="s">
        <v>7232</v>
      </c>
      <c r="F2938" s="16" t="s">
        <v>1285</v>
      </c>
      <c r="G2938" s="16" t="s">
        <v>563</v>
      </c>
      <c r="H2938" s="16" t="s">
        <v>9499</v>
      </c>
      <c r="I2938" s="16" t="s">
        <v>123</v>
      </c>
      <c r="J2938" s="16" t="s">
        <v>7206</v>
      </c>
      <c r="K2938" s="32" t="n">
        <v>15</v>
      </c>
      <c r="L2938" s="33" t="n">
        <v>45991</v>
      </c>
      <c r="M2938" s="33" t="n">
        <v>46005</v>
      </c>
      <c r="N2938" s="16" t="s">
        <v>9528</v>
      </c>
      <c r="O2938" s="16"/>
      <c r="P2938" s="16" t="str">
        <f aca="false">IF(AND(L2938&lt;=$D$2,M2938&gt;=$C$2),"Sí","")</f>
        <v/>
      </c>
      <c r="Q2938" s="18" t="str">
        <f aca="false">IF(COUNTIF(LOOKAHEAD!$A$5:$A$604,A2938)&gt;0,"En Lookahead",IF(P2938="Sí","INCORPORAR",""))</f>
        <v/>
      </c>
    </row>
    <row r="2939" customFormat="false" ht="15" hidden="false" customHeight="false" outlineLevel="0" collapsed="false">
      <c r="A2939" s="13" t="s">
        <v>9529</v>
      </c>
      <c r="B2939" s="13" t="n">
        <v>2934</v>
      </c>
      <c r="C2939" s="13" t="s">
        <v>9530</v>
      </c>
      <c r="D2939" s="13" t="n">
        <v>5</v>
      </c>
      <c r="E2939" s="34" t="s">
        <v>7236</v>
      </c>
      <c r="F2939" s="13" t="s">
        <v>1298</v>
      </c>
      <c r="G2939" s="13" t="s">
        <v>563</v>
      </c>
      <c r="H2939" s="13" t="s">
        <v>9499</v>
      </c>
      <c r="I2939" s="13" t="s">
        <v>123</v>
      </c>
      <c r="J2939" s="13" t="s">
        <v>9499</v>
      </c>
      <c r="K2939" s="30" t="n">
        <v>7</v>
      </c>
      <c r="L2939" s="31" t="n">
        <v>45998</v>
      </c>
      <c r="M2939" s="31" t="n">
        <v>46004</v>
      </c>
      <c r="N2939" s="13"/>
      <c r="O2939" s="13"/>
      <c r="P2939" s="13"/>
      <c r="Q2939" s="13"/>
    </row>
    <row r="2940" customFormat="false" ht="15" hidden="false" customHeight="false" outlineLevel="0" collapsed="false">
      <c r="A2940" s="16" t="s">
        <v>9531</v>
      </c>
      <c r="B2940" s="16" t="n">
        <v>2935</v>
      </c>
      <c r="C2940" s="16" t="s">
        <v>9532</v>
      </c>
      <c r="D2940" s="16" t="n">
        <v>6</v>
      </c>
      <c r="E2940" s="35" t="s">
        <v>7239</v>
      </c>
      <c r="F2940" s="16" t="s">
        <v>1285</v>
      </c>
      <c r="G2940" s="16" t="s">
        <v>563</v>
      </c>
      <c r="H2940" s="16" t="s">
        <v>9499</v>
      </c>
      <c r="I2940" s="16" t="s">
        <v>123</v>
      </c>
      <c r="J2940" s="16" t="s">
        <v>7236</v>
      </c>
      <c r="K2940" s="32" t="n">
        <v>7</v>
      </c>
      <c r="L2940" s="33" t="n">
        <v>45998</v>
      </c>
      <c r="M2940" s="33" t="n">
        <v>46004</v>
      </c>
      <c r="N2940" s="16" t="s">
        <v>9522</v>
      </c>
      <c r="O2940" s="16"/>
      <c r="P2940" s="16" t="str">
        <f aca="false">IF(AND(L2940&lt;=$D$2,M2940&gt;=$C$2),"Sí","")</f>
        <v/>
      </c>
      <c r="Q2940" s="18" t="str">
        <f aca="false">IF(COUNTIF(LOOKAHEAD!$A$5:$A$604,A2940)&gt;0,"En Lookahead",IF(P2940="Sí","INCORPORAR",""))</f>
        <v/>
      </c>
    </row>
    <row r="2941" customFormat="false" ht="15" hidden="false" customHeight="false" outlineLevel="0" collapsed="false">
      <c r="A2941" s="13" t="s">
        <v>9533</v>
      </c>
      <c r="B2941" s="13" t="n">
        <v>2936</v>
      </c>
      <c r="C2941" s="13" t="s">
        <v>9534</v>
      </c>
      <c r="D2941" s="13" t="n">
        <v>5</v>
      </c>
      <c r="E2941" s="34" t="s">
        <v>7250</v>
      </c>
      <c r="F2941" s="13" t="s">
        <v>1298</v>
      </c>
      <c r="G2941" s="13" t="s">
        <v>563</v>
      </c>
      <c r="H2941" s="13" t="s">
        <v>9499</v>
      </c>
      <c r="I2941" s="13" t="s">
        <v>123</v>
      </c>
      <c r="J2941" s="13" t="s">
        <v>9499</v>
      </c>
      <c r="K2941" s="30" t="n">
        <v>4</v>
      </c>
      <c r="L2941" s="31" t="n">
        <v>46005</v>
      </c>
      <c r="M2941" s="31" t="n">
        <v>46008</v>
      </c>
      <c r="N2941" s="13"/>
      <c r="O2941" s="13"/>
      <c r="P2941" s="13"/>
      <c r="Q2941" s="13"/>
    </row>
    <row r="2942" customFormat="false" ht="15" hidden="false" customHeight="false" outlineLevel="0" collapsed="false">
      <c r="A2942" s="13" t="s">
        <v>9535</v>
      </c>
      <c r="B2942" s="13" t="n">
        <v>2937</v>
      </c>
      <c r="C2942" s="13" t="s">
        <v>9536</v>
      </c>
      <c r="D2942" s="13" t="n">
        <v>6</v>
      </c>
      <c r="E2942" s="36" t="s">
        <v>7253</v>
      </c>
      <c r="F2942" s="13" t="s">
        <v>1298</v>
      </c>
      <c r="G2942" s="13" t="s">
        <v>563</v>
      </c>
      <c r="H2942" s="13" t="s">
        <v>9499</v>
      </c>
      <c r="I2942" s="13" t="s">
        <v>123</v>
      </c>
      <c r="J2942" s="13" t="s">
        <v>7250</v>
      </c>
      <c r="K2942" s="30" t="n">
        <v>2</v>
      </c>
      <c r="L2942" s="31" t="n">
        <v>46005</v>
      </c>
      <c r="M2942" s="31" t="n">
        <v>46006</v>
      </c>
      <c r="N2942" s="13"/>
      <c r="O2942" s="13"/>
      <c r="P2942" s="13"/>
      <c r="Q2942" s="13"/>
    </row>
    <row r="2943" customFormat="false" ht="15" hidden="false" customHeight="false" outlineLevel="0" collapsed="false">
      <c r="A2943" s="16" t="s">
        <v>9537</v>
      </c>
      <c r="B2943" s="16" t="n">
        <v>2938</v>
      </c>
      <c r="C2943" s="16" t="s">
        <v>9538</v>
      </c>
      <c r="D2943" s="16" t="n">
        <v>7</v>
      </c>
      <c r="E2943" s="37" t="s">
        <v>7256</v>
      </c>
      <c r="F2943" s="16" t="s">
        <v>1285</v>
      </c>
      <c r="G2943" s="16" t="s">
        <v>563</v>
      </c>
      <c r="H2943" s="16" t="s">
        <v>9499</v>
      </c>
      <c r="I2943" s="16" t="s">
        <v>123</v>
      </c>
      <c r="J2943" s="16" t="s">
        <v>7253</v>
      </c>
      <c r="K2943" s="32" t="n">
        <v>2</v>
      </c>
      <c r="L2943" s="33" t="n">
        <v>46005</v>
      </c>
      <c r="M2943" s="33" t="n">
        <v>46006</v>
      </c>
      <c r="N2943" s="16" t="s">
        <v>9539</v>
      </c>
      <c r="O2943" s="16"/>
      <c r="P2943" s="16" t="str">
        <f aca="false">IF(AND(L2943&lt;=$D$2,M2943&gt;=$C$2),"Sí","")</f>
        <v/>
      </c>
      <c r="Q2943" s="18" t="str">
        <f aca="false">IF(COUNTIF(LOOKAHEAD!$A$5:$A$604,A2943)&gt;0,"En Lookahead",IF(P2943="Sí","INCORPORAR",""))</f>
        <v/>
      </c>
    </row>
    <row r="2944" customFormat="false" ht="15" hidden="false" customHeight="false" outlineLevel="0" collapsed="false">
      <c r="A2944" s="13" t="s">
        <v>9540</v>
      </c>
      <c r="B2944" s="13" t="n">
        <v>2939</v>
      </c>
      <c r="C2944" s="13" t="s">
        <v>9541</v>
      </c>
      <c r="D2944" s="13" t="n">
        <v>6</v>
      </c>
      <c r="E2944" s="36" t="s">
        <v>7260</v>
      </c>
      <c r="F2944" s="13" t="s">
        <v>1298</v>
      </c>
      <c r="G2944" s="13" t="s">
        <v>563</v>
      </c>
      <c r="H2944" s="13" t="s">
        <v>9499</v>
      </c>
      <c r="I2944" s="13" t="s">
        <v>123</v>
      </c>
      <c r="J2944" s="13" t="s">
        <v>7250</v>
      </c>
      <c r="K2944" s="30" t="n">
        <v>2</v>
      </c>
      <c r="L2944" s="31" t="n">
        <v>46007</v>
      </c>
      <c r="M2944" s="31" t="n">
        <v>46008</v>
      </c>
      <c r="N2944" s="13"/>
      <c r="O2944" s="13"/>
      <c r="P2944" s="13"/>
      <c r="Q2944" s="13"/>
    </row>
    <row r="2945" customFormat="false" ht="15" hidden="false" customHeight="false" outlineLevel="0" collapsed="false">
      <c r="A2945" s="16" t="s">
        <v>9542</v>
      </c>
      <c r="B2945" s="16" t="n">
        <v>2940</v>
      </c>
      <c r="C2945" s="16" t="s">
        <v>9543</v>
      </c>
      <c r="D2945" s="16" t="n">
        <v>7</v>
      </c>
      <c r="E2945" s="37" t="s">
        <v>7275</v>
      </c>
      <c r="F2945" s="16" t="s">
        <v>1285</v>
      </c>
      <c r="G2945" s="16" t="s">
        <v>563</v>
      </c>
      <c r="H2945" s="16" t="s">
        <v>9499</v>
      </c>
      <c r="I2945" s="16" t="s">
        <v>123</v>
      </c>
      <c r="J2945" s="16" t="s">
        <v>7260</v>
      </c>
      <c r="K2945" s="32" t="n">
        <v>2</v>
      </c>
      <c r="L2945" s="33" t="n">
        <v>46007</v>
      </c>
      <c r="M2945" s="33" t="n">
        <v>46008</v>
      </c>
      <c r="N2945" s="16" t="s">
        <v>9544</v>
      </c>
      <c r="O2945" s="16"/>
      <c r="P2945" s="16" t="str">
        <f aca="false">IF(AND(L2945&lt;=$D$2,M2945&gt;=$C$2),"Sí","")</f>
        <v/>
      </c>
      <c r="Q2945" s="18" t="str">
        <f aca="false">IF(COUNTIF(LOOKAHEAD!$A$5:$A$604,A2945)&gt;0,"En Lookahead",IF(P2945="Sí","INCORPORAR",""))</f>
        <v/>
      </c>
    </row>
    <row r="2946" customFormat="false" ht="15" hidden="false" customHeight="false" outlineLevel="0" collapsed="false">
      <c r="A2946" s="13" t="s">
        <v>9545</v>
      </c>
      <c r="B2946" s="13" t="n">
        <v>2941</v>
      </c>
      <c r="C2946" s="13" t="s">
        <v>9546</v>
      </c>
      <c r="D2946" s="13" t="n">
        <v>5</v>
      </c>
      <c r="E2946" s="34" t="s">
        <v>7279</v>
      </c>
      <c r="F2946" s="13" t="s">
        <v>1298</v>
      </c>
      <c r="G2946" s="13" t="s">
        <v>563</v>
      </c>
      <c r="H2946" s="13" t="s">
        <v>9499</v>
      </c>
      <c r="I2946" s="13" t="s">
        <v>123</v>
      </c>
      <c r="J2946" s="13" t="s">
        <v>9499</v>
      </c>
      <c r="K2946" s="30" t="n">
        <v>5</v>
      </c>
      <c r="L2946" s="31" t="n">
        <v>46007</v>
      </c>
      <c r="M2946" s="31" t="n">
        <v>46011</v>
      </c>
      <c r="N2946" s="13"/>
      <c r="O2946" s="13"/>
      <c r="P2946" s="13"/>
      <c r="Q2946" s="13"/>
    </row>
    <row r="2947" customFormat="false" ht="15" hidden="false" customHeight="false" outlineLevel="0" collapsed="false">
      <c r="A2947" s="16" t="s">
        <v>9547</v>
      </c>
      <c r="B2947" s="16" t="n">
        <v>2942</v>
      </c>
      <c r="C2947" s="16" t="s">
        <v>9548</v>
      </c>
      <c r="D2947" s="16" t="n">
        <v>6</v>
      </c>
      <c r="E2947" s="35" t="s">
        <v>7282</v>
      </c>
      <c r="F2947" s="16" t="s">
        <v>1285</v>
      </c>
      <c r="G2947" s="16" t="s">
        <v>563</v>
      </c>
      <c r="H2947" s="16" t="s">
        <v>9499</v>
      </c>
      <c r="I2947" s="16" t="s">
        <v>123</v>
      </c>
      <c r="J2947" s="16" t="s">
        <v>7279</v>
      </c>
      <c r="K2947" s="32" t="n">
        <v>5</v>
      </c>
      <c r="L2947" s="33" t="n">
        <v>46007</v>
      </c>
      <c r="M2947" s="33" t="n">
        <v>46011</v>
      </c>
      <c r="N2947" s="16" t="s">
        <v>9544</v>
      </c>
      <c r="O2947" s="16"/>
      <c r="P2947" s="16" t="str">
        <f aca="false">IF(AND(L2947&lt;=$D$2,M2947&gt;=$C$2),"Sí","")</f>
        <v/>
      </c>
      <c r="Q2947" s="18" t="str">
        <f aca="false">IF(COUNTIF(LOOKAHEAD!$A$5:$A$604,A2947)&gt;0,"En Lookahead",IF(P2947="Sí","INCORPORAR",""))</f>
        <v/>
      </c>
    </row>
    <row r="2948" customFormat="false" ht="15" hidden="false" customHeight="false" outlineLevel="0" collapsed="false">
      <c r="A2948" s="13" t="s">
        <v>9549</v>
      </c>
      <c r="B2948" s="13" t="n">
        <v>2943</v>
      </c>
      <c r="C2948" s="13" t="s">
        <v>9550</v>
      </c>
      <c r="D2948" s="13" t="n">
        <v>5</v>
      </c>
      <c r="E2948" s="34" t="s">
        <v>7296</v>
      </c>
      <c r="F2948" s="13" t="s">
        <v>1298</v>
      </c>
      <c r="G2948" s="13" t="s">
        <v>563</v>
      </c>
      <c r="H2948" s="13" t="s">
        <v>9499</v>
      </c>
      <c r="I2948" s="13" t="s">
        <v>123</v>
      </c>
      <c r="J2948" s="13" t="s">
        <v>9499</v>
      </c>
      <c r="K2948" s="30" t="n">
        <v>2</v>
      </c>
      <c r="L2948" s="31" t="n">
        <v>46007</v>
      </c>
      <c r="M2948" s="31" t="n">
        <v>46008</v>
      </c>
      <c r="N2948" s="13"/>
      <c r="O2948" s="13"/>
      <c r="P2948" s="13"/>
      <c r="Q2948" s="13"/>
    </row>
    <row r="2949" customFormat="false" ht="15" hidden="false" customHeight="false" outlineLevel="0" collapsed="false">
      <c r="A2949" s="16" t="s">
        <v>9551</v>
      </c>
      <c r="B2949" s="16" t="n">
        <v>2944</v>
      </c>
      <c r="C2949" s="16" t="s">
        <v>9552</v>
      </c>
      <c r="D2949" s="16" t="n">
        <v>6</v>
      </c>
      <c r="E2949" s="35" t="s">
        <v>7299</v>
      </c>
      <c r="F2949" s="16" t="s">
        <v>1285</v>
      </c>
      <c r="G2949" s="16" t="s">
        <v>563</v>
      </c>
      <c r="H2949" s="16" t="s">
        <v>9499</v>
      </c>
      <c r="I2949" s="16" t="s">
        <v>123</v>
      </c>
      <c r="J2949" s="16" t="s">
        <v>7296</v>
      </c>
      <c r="K2949" s="32" t="n">
        <v>1</v>
      </c>
      <c r="L2949" s="33" t="n">
        <v>46007</v>
      </c>
      <c r="M2949" s="33" t="n">
        <v>46007</v>
      </c>
      <c r="N2949" s="16" t="s">
        <v>9544</v>
      </c>
      <c r="O2949" s="16"/>
      <c r="P2949" s="16" t="str">
        <f aca="false">IF(AND(L2949&lt;=$D$2,M2949&gt;=$C$2),"Sí","")</f>
        <v/>
      </c>
      <c r="Q2949" s="18" t="str">
        <f aca="false">IF(COUNTIF(LOOKAHEAD!$A$5:$A$604,A2949)&gt;0,"En Lookahead",IF(P2949="Sí","INCORPORAR",""))</f>
        <v/>
      </c>
    </row>
    <row r="2950" customFormat="false" ht="15" hidden="false" customHeight="false" outlineLevel="0" collapsed="false">
      <c r="A2950" s="16" t="s">
        <v>9553</v>
      </c>
      <c r="B2950" s="16" t="n">
        <v>2945</v>
      </c>
      <c r="C2950" s="16" t="s">
        <v>9554</v>
      </c>
      <c r="D2950" s="16" t="n">
        <v>6</v>
      </c>
      <c r="E2950" s="35" t="s">
        <v>7303</v>
      </c>
      <c r="F2950" s="16" t="s">
        <v>1285</v>
      </c>
      <c r="G2950" s="16" t="s">
        <v>563</v>
      </c>
      <c r="H2950" s="16" t="s">
        <v>9499</v>
      </c>
      <c r="I2950" s="16" t="s">
        <v>123</v>
      </c>
      <c r="J2950" s="16" t="s">
        <v>7296</v>
      </c>
      <c r="K2950" s="32" t="n">
        <v>1</v>
      </c>
      <c r="L2950" s="33" t="n">
        <v>46008</v>
      </c>
      <c r="M2950" s="33" t="n">
        <v>46008</v>
      </c>
      <c r="N2950" s="16" t="s">
        <v>9555</v>
      </c>
      <c r="O2950" s="16"/>
      <c r="P2950" s="16" t="str">
        <f aca="false">IF(AND(L2950&lt;=$D$2,M2950&gt;=$C$2),"Sí","")</f>
        <v/>
      </c>
      <c r="Q2950" s="18" t="str">
        <f aca="false">IF(COUNTIF(LOOKAHEAD!$A$5:$A$604,A2950)&gt;0,"En Lookahead",IF(P2950="Sí","INCORPORAR",""))</f>
        <v/>
      </c>
    </row>
    <row r="2951" customFormat="false" ht="15" hidden="false" customHeight="false" outlineLevel="0" collapsed="false">
      <c r="A2951" s="13" t="s">
        <v>9556</v>
      </c>
      <c r="B2951" s="13" t="n">
        <v>2946</v>
      </c>
      <c r="C2951" s="13" t="s">
        <v>9557</v>
      </c>
      <c r="D2951" s="13" t="n">
        <v>5</v>
      </c>
      <c r="E2951" s="34" t="s">
        <v>7328</v>
      </c>
      <c r="F2951" s="13" t="s">
        <v>1298</v>
      </c>
      <c r="G2951" s="13" t="s">
        <v>563</v>
      </c>
      <c r="H2951" s="13" t="s">
        <v>9499</v>
      </c>
      <c r="I2951" s="13" t="s">
        <v>123</v>
      </c>
      <c r="J2951" s="13" t="s">
        <v>9499</v>
      </c>
      <c r="K2951" s="30" t="n">
        <v>6</v>
      </c>
      <c r="L2951" s="31" t="n">
        <v>45998</v>
      </c>
      <c r="M2951" s="31" t="n">
        <v>46003</v>
      </c>
      <c r="N2951" s="13"/>
      <c r="O2951" s="13"/>
      <c r="P2951" s="13"/>
      <c r="Q2951" s="13"/>
    </row>
    <row r="2952" customFormat="false" ht="15" hidden="false" customHeight="false" outlineLevel="0" collapsed="false">
      <c r="A2952" s="13" t="s">
        <v>9558</v>
      </c>
      <c r="B2952" s="13" t="n">
        <v>2947</v>
      </c>
      <c r="C2952" s="13" t="s">
        <v>9559</v>
      </c>
      <c r="D2952" s="13" t="n">
        <v>6</v>
      </c>
      <c r="E2952" s="36" t="s">
        <v>7310</v>
      </c>
      <c r="F2952" s="13" t="s">
        <v>1298</v>
      </c>
      <c r="G2952" s="13" t="s">
        <v>563</v>
      </c>
      <c r="H2952" s="13" t="s">
        <v>9499</v>
      </c>
      <c r="I2952" s="13" t="s">
        <v>123</v>
      </c>
      <c r="J2952" s="13" t="s">
        <v>7328</v>
      </c>
      <c r="K2952" s="30" t="n">
        <v>3</v>
      </c>
      <c r="L2952" s="31" t="n">
        <v>45998</v>
      </c>
      <c r="M2952" s="31" t="n">
        <v>46000</v>
      </c>
      <c r="N2952" s="13"/>
      <c r="O2952" s="13"/>
      <c r="P2952" s="13"/>
      <c r="Q2952" s="13"/>
    </row>
    <row r="2953" customFormat="false" ht="15" hidden="false" customHeight="false" outlineLevel="0" collapsed="false">
      <c r="A2953" s="16" t="s">
        <v>9560</v>
      </c>
      <c r="B2953" s="16" t="n">
        <v>2948</v>
      </c>
      <c r="C2953" s="16" t="s">
        <v>9561</v>
      </c>
      <c r="D2953" s="16" t="n">
        <v>7</v>
      </c>
      <c r="E2953" s="37" t="s">
        <v>7337</v>
      </c>
      <c r="F2953" s="16" t="s">
        <v>1285</v>
      </c>
      <c r="G2953" s="16" t="s">
        <v>563</v>
      </c>
      <c r="H2953" s="16" t="s">
        <v>9499</v>
      </c>
      <c r="I2953" s="16" t="s">
        <v>123</v>
      </c>
      <c r="J2953" s="16" t="s">
        <v>7310</v>
      </c>
      <c r="K2953" s="32" t="n">
        <v>3</v>
      </c>
      <c r="L2953" s="33" t="n">
        <v>45998</v>
      </c>
      <c r="M2953" s="33" t="n">
        <v>46000</v>
      </c>
      <c r="N2953" s="16" t="s">
        <v>9522</v>
      </c>
      <c r="O2953" s="16"/>
      <c r="P2953" s="16" t="str">
        <f aca="false">IF(AND(L2953&lt;=$D$2,M2953&gt;=$C$2),"Sí","")</f>
        <v/>
      </c>
      <c r="Q2953" s="18" t="str">
        <f aca="false">IF(COUNTIF(LOOKAHEAD!$A$5:$A$604,A2953)&gt;0,"En Lookahead",IF(P2953="Sí","INCORPORAR",""))</f>
        <v/>
      </c>
    </row>
    <row r="2954" customFormat="false" ht="15" hidden="false" customHeight="false" outlineLevel="0" collapsed="false">
      <c r="A2954" s="13" t="s">
        <v>9562</v>
      </c>
      <c r="B2954" s="13" t="n">
        <v>2949</v>
      </c>
      <c r="C2954" s="13" t="s">
        <v>9563</v>
      </c>
      <c r="D2954" s="13" t="n">
        <v>6</v>
      </c>
      <c r="E2954" s="36" t="s">
        <v>7349</v>
      </c>
      <c r="F2954" s="13" t="s">
        <v>1298</v>
      </c>
      <c r="G2954" s="13" t="s">
        <v>563</v>
      </c>
      <c r="H2954" s="13" t="s">
        <v>9499</v>
      </c>
      <c r="I2954" s="13" t="s">
        <v>123</v>
      </c>
      <c r="J2954" s="13" t="s">
        <v>7328</v>
      </c>
      <c r="K2954" s="30" t="n">
        <v>3</v>
      </c>
      <c r="L2954" s="31" t="n">
        <v>46001</v>
      </c>
      <c r="M2954" s="31" t="n">
        <v>46003</v>
      </c>
      <c r="N2954" s="13"/>
      <c r="O2954" s="13"/>
      <c r="P2954" s="13"/>
      <c r="Q2954" s="13"/>
    </row>
    <row r="2955" customFormat="false" ht="15" hidden="false" customHeight="false" outlineLevel="0" collapsed="false">
      <c r="A2955" s="16" t="s">
        <v>9564</v>
      </c>
      <c r="B2955" s="16" t="n">
        <v>2950</v>
      </c>
      <c r="C2955" s="16" t="s">
        <v>9565</v>
      </c>
      <c r="D2955" s="16" t="n">
        <v>7</v>
      </c>
      <c r="E2955" s="37" t="s">
        <v>9566</v>
      </c>
      <c r="F2955" s="16" t="s">
        <v>1285</v>
      </c>
      <c r="G2955" s="16" t="s">
        <v>563</v>
      </c>
      <c r="H2955" s="16" t="s">
        <v>9499</v>
      </c>
      <c r="I2955" s="16" t="s">
        <v>123</v>
      </c>
      <c r="J2955" s="16" t="s">
        <v>7349</v>
      </c>
      <c r="K2955" s="32" t="n">
        <v>3</v>
      </c>
      <c r="L2955" s="33" t="n">
        <v>46001</v>
      </c>
      <c r="M2955" s="33" t="n">
        <v>46003</v>
      </c>
      <c r="N2955" s="16" t="s">
        <v>9567</v>
      </c>
      <c r="O2955" s="16"/>
      <c r="P2955" s="16" t="str">
        <f aca="false">IF(AND(L2955&lt;=$D$2,M2955&gt;=$C$2),"Sí","")</f>
        <v/>
      </c>
      <c r="Q2955" s="18" t="str">
        <f aca="false">IF(COUNTIF(LOOKAHEAD!$A$5:$A$604,A2955)&gt;0,"En Lookahead",IF(P2955="Sí","INCORPORAR",""))</f>
        <v/>
      </c>
    </row>
    <row r="2956" customFormat="false" ht="15" hidden="false" customHeight="false" outlineLevel="0" collapsed="false">
      <c r="A2956" s="13" t="s">
        <v>9568</v>
      </c>
      <c r="B2956" s="13" t="n">
        <v>2951</v>
      </c>
      <c r="C2956" s="13" t="s">
        <v>9569</v>
      </c>
      <c r="D2956" s="13" t="n">
        <v>5</v>
      </c>
      <c r="E2956" s="34" t="s">
        <v>7416</v>
      </c>
      <c r="F2956" s="13" t="s">
        <v>1298</v>
      </c>
      <c r="G2956" s="13" t="s">
        <v>563</v>
      </c>
      <c r="H2956" s="13" t="s">
        <v>9499</v>
      </c>
      <c r="I2956" s="13" t="s">
        <v>123</v>
      </c>
      <c r="J2956" s="13" t="s">
        <v>9499</v>
      </c>
      <c r="K2956" s="30" t="n">
        <v>12</v>
      </c>
      <c r="L2956" s="31" t="n">
        <v>46004</v>
      </c>
      <c r="M2956" s="31" t="n">
        <v>46015</v>
      </c>
      <c r="N2956" s="13"/>
      <c r="O2956" s="13"/>
      <c r="P2956" s="13"/>
      <c r="Q2956" s="13"/>
    </row>
    <row r="2957" customFormat="false" ht="15" hidden="false" customHeight="false" outlineLevel="0" collapsed="false">
      <c r="A2957" s="16" t="s">
        <v>9570</v>
      </c>
      <c r="B2957" s="16" t="n">
        <v>2952</v>
      </c>
      <c r="C2957" s="16" t="s">
        <v>9571</v>
      </c>
      <c r="D2957" s="16" t="n">
        <v>6</v>
      </c>
      <c r="E2957" s="35" t="s">
        <v>7419</v>
      </c>
      <c r="F2957" s="16" t="s">
        <v>1285</v>
      </c>
      <c r="G2957" s="16" t="s">
        <v>563</v>
      </c>
      <c r="H2957" s="16" t="s">
        <v>9499</v>
      </c>
      <c r="I2957" s="16" t="s">
        <v>123</v>
      </c>
      <c r="J2957" s="16" t="s">
        <v>7416</v>
      </c>
      <c r="K2957" s="32" t="n">
        <v>12</v>
      </c>
      <c r="L2957" s="33" t="n">
        <v>46004</v>
      </c>
      <c r="M2957" s="33" t="n">
        <v>46015</v>
      </c>
      <c r="N2957" s="16" t="s">
        <v>9572</v>
      </c>
      <c r="O2957" s="16"/>
      <c r="P2957" s="16" t="str">
        <f aca="false">IF(AND(L2957&lt;=$D$2,M2957&gt;=$C$2),"Sí","")</f>
        <v/>
      </c>
      <c r="Q2957" s="18" t="str">
        <f aca="false">IF(COUNTIF(LOOKAHEAD!$A$5:$A$604,A2957)&gt;0,"En Lookahead",IF(P2957="Sí","INCORPORAR",""))</f>
        <v/>
      </c>
    </row>
    <row r="2958" customFormat="false" ht="15" hidden="false" customHeight="false" outlineLevel="0" collapsed="false">
      <c r="A2958" s="16" t="s">
        <v>9573</v>
      </c>
      <c r="B2958" s="16" t="n">
        <v>2953</v>
      </c>
      <c r="C2958" s="16" t="s">
        <v>9574</v>
      </c>
      <c r="D2958" s="16" t="n">
        <v>6</v>
      </c>
      <c r="E2958" s="35" t="s">
        <v>7422</v>
      </c>
      <c r="F2958" s="16" t="s">
        <v>1285</v>
      </c>
      <c r="G2958" s="16" t="s">
        <v>563</v>
      </c>
      <c r="H2958" s="16" t="s">
        <v>9499</v>
      </c>
      <c r="I2958" s="16" t="s">
        <v>123</v>
      </c>
      <c r="J2958" s="16" t="s">
        <v>7416</v>
      </c>
      <c r="K2958" s="32" t="n">
        <v>6</v>
      </c>
      <c r="L2958" s="33" t="n">
        <v>46004</v>
      </c>
      <c r="M2958" s="33" t="n">
        <v>46009</v>
      </c>
      <c r="N2958" s="16" t="s">
        <v>9575</v>
      </c>
      <c r="O2958" s="16"/>
      <c r="P2958" s="16" t="str">
        <f aca="false">IF(AND(L2958&lt;=$D$2,M2958&gt;=$C$2),"Sí","")</f>
        <v/>
      </c>
      <c r="Q2958" s="18" t="str">
        <f aca="false">IF(COUNTIF(LOOKAHEAD!$A$5:$A$604,A2958)&gt;0,"En Lookahead",IF(P2958="Sí","INCORPORAR",""))</f>
        <v/>
      </c>
    </row>
    <row r="2959" customFormat="false" ht="15" hidden="false" customHeight="false" outlineLevel="0" collapsed="false">
      <c r="A2959" s="16" t="s">
        <v>9576</v>
      </c>
      <c r="B2959" s="16" t="n">
        <v>2954</v>
      </c>
      <c r="C2959" s="16" t="s">
        <v>9577</v>
      </c>
      <c r="D2959" s="16" t="n">
        <v>6</v>
      </c>
      <c r="E2959" s="35" t="s">
        <v>7426</v>
      </c>
      <c r="F2959" s="16" t="s">
        <v>1285</v>
      </c>
      <c r="G2959" s="16" t="s">
        <v>563</v>
      </c>
      <c r="H2959" s="16" t="s">
        <v>9499</v>
      </c>
      <c r="I2959" s="16" t="s">
        <v>123</v>
      </c>
      <c r="J2959" s="16" t="s">
        <v>7416</v>
      </c>
      <c r="K2959" s="32" t="n">
        <v>2</v>
      </c>
      <c r="L2959" s="33" t="n">
        <v>46005</v>
      </c>
      <c r="M2959" s="33" t="n">
        <v>46006</v>
      </c>
      <c r="N2959" s="16" t="s">
        <v>9539</v>
      </c>
      <c r="O2959" s="16"/>
      <c r="P2959" s="16" t="str">
        <f aca="false">IF(AND(L2959&lt;=$D$2,M2959&gt;=$C$2),"Sí","")</f>
        <v/>
      </c>
      <c r="Q2959" s="18" t="str">
        <f aca="false">IF(COUNTIF(LOOKAHEAD!$A$5:$A$604,A2959)&gt;0,"En Lookahead",IF(P2959="Sí","INCORPORAR",""))</f>
        <v/>
      </c>
    </row>
    <row r="2960" customFormat="false" ht="15" hidden="false" customHeight="false" outlineLevel="0" collapsed="false">
      <c r="A2960" s="16" t="s">
        <v>9578</v>
      </c>
      <c r="B2960" s="16" t="n">
        <v>2955</v>
      </c>
      <c r="C2960" s="16" t="s">
        <v>9579</v>
      </c>
      <c r="D2960" s="16" t="n">
        <v>6</v>
      </c>
      <c r="E2960" s="35" t="s">
        <v>7432</v>
      </c>
      <c r="F2960" s="16" t="s">
        <v>1285</v>
      </c>
      <c r="G2960" s="16" t="s">
        <v>563</v>
      </c>
      <c r="H2960" s="16" t="s">
        <v>9499</v>
      </c>
      <c r="I2960" s="16" t="s">
        <v>123</v>
      </c>
      <c r="J2960" s="16" t="s">
        <v>7416</v>
      </c>
      <c r="K2960" s="32" t="n">
        <v>1</v>
      </c>
      <c r="L2960" s="33" t="n">
        <v>46007</v>
      </c>
      <c r="M2960" s="33" t="n">
        <v>46007</v>
      </c>
      <c r="N2960" s="16" t="s">
        <v>9580</v>
      </c>
      <c r="O2960" s="16"/>
      <c r="P2960" s="16" t="str">
        <f aca="false">IF(AND(L2960&lt;=$D$2,M2960&gt;=$C$2),"Sí","")</f>
        <v/>
      </c>
      <c r="Q2960" s="18" t="str">
        <f aca="false">IF(COUNTIF(LOOKAHEAD!$A$5:$A$604,A2960)&gt;0,"En Lookahead",IF(P2960="Sí","INCORPORAR",""))</f>
        <v/>
      </c>
    </row>
    <row r="2961" customFormat="false" ht="15" hidden="false" customHeight="false" outlineLevel="0" collapsed="false">
      <c r="A2961" s="16" t="s">
        <v>9581</v>
      </c>
      <c r="B2961" s="16" t="n">
        <v>2956</v>
      </c>
      <c r="C2961" s="16" t="s">
        <v>9582</v>
      </c>
      <c r="D2961" s="16" t="n">
        <v>6</v>
      </c>
      <c r="E2961" s="35" t="s">
        <v>7436</v>
      </c>
      <c r="F2961" s="16" t="s">
        <v>1285</v>
      </c>
      <c r="G2961" s="16" t="s">
        <v>563</v>
      </c>
      <c r="H2961" s="16" t="s">
        <v>9499</v>
      </c>
      <c r="I2961" s="16" t="s">
        <v>123</v>
      </c>
      <c r="J2961" s="16" t="s">
        <v>7416</v>
      </c>
      <c r="K2961" s="32" t="n">
        <v>2</v>
      </c>
      <c r="L2961" s="33" t="n">
        <v>46008</v>
      </c>
      <c r="M2961" s="33" t="n">
        <v>46009</v>
      </c>
      <c r="N2961" s="16" t="s">
        <v>9583</v>
      </c>
      <c r="O2961" s="16"/>
      <c r="P2961" s="16" t="str">
        <f aca="false">IF(AND(L2961&lt;=$D$2,M2961&gt;=$C$2),"Sí","")</f>
        <v/>
      </c>
      <c r="Q2961" s="18" t="str">
        <f aca="false">IF(COUNTIF(LOOKAHEAD!$A$5:$A$604,A2961)&gt;0,"En Lookahead",IF(P2961="Sí","INCORPORAR",""))</f>
        <v/>
      </c>
    </row>
    <row r="2962" customFormat="false" ht="15" hidden="false" customHeight="false" outlineLevel="0" collapsed="false">
      <c r="A2962" s="13" t="s">
        <v>9584</v>
      </c>
      <c r="B2962" s="13" t="n">
        <v>2957</v>
      </c>
      <c r="C2962" s="13" t="s">
        <v>9585</v>
      </c>
      <c r="D2962" s="13" t="n">
        <v>5</v>
      </c>
      <c r="E2962" s="34" t="s">
        <v>7440</v>
      </c>
      <c r="F2962" s="13" t="s">
        <v>1298</v>
      </c>
      <c r="G2962" s="13" t="s">
        <v>563</v>
      </c>
      <c r="H2962" s="13" t="s">
        <v>9499</v>
      </c>
      <c r="I2962" s="13" t="s">
        <v>123</v>
      </c>
      <c r="J2962" s="13" t="s">
        <v>9499</v>
      </c>
      <c r="K2962" s="30" t="n">
        <v>1</v>
      </c>
      <c r="L2962" s="31" t="n">
        <v>46010</v>
      </c>
      <c r="M2962" s="31" t="n">
        <v>46010</v>
      </c>
      <c r="N2962" s="13"/>
      <c r="O2962" s="13"/>
      <c r="P2962" s="13"/>
      <c r="Q2962" s="13"/>
    </row>
    <row r="2963" customFormat="false" ht="15" hidden="false" customHeight="false" outlineLevel="0" collapsed="false">
      <c r="A2963" s="16" t="s">
        <v>9586</v>
      </c>
      <c r="B2963" s="16" t="n">
        <v>2958</v>
      </c>
      <c r="C2963" s="16" t="s">
        <v>9587</v>
      </c>
      <c r="D2963" s="16" t="n">
        <v>6</v>
      </c>
      <c r="E2963" s="35" t="s">
        <v>7451</v>
      </c>
      <c r="F2963" s="16" t="s">
        <v>1285</v>
      </c>
      <c r="G2963" s="16" t="s">
        <v>563</v>
      </c>
      <c r="H2963" s="16" t="s">
        <v>9499</v>
      </c>
      <c r="I2963" s="16" t="s">
        <v>123</v>
      </c>
      <c r="J2963" s="16" t="s">
        <v>7440</v>
      </c>
      <c r="K2963" s="32" t="n">
        <v>1</v>
      </c>
      <c r="L2963" s="33" t="n">
        <v>46010</v>
      </c>
      <c r="M2963" s="33" t="n">
        <v>46010</v>
      </c>
      <c r="N2963" s="16" t="s">
        <v>9588</v>
      </c>
      <c r="O2963" s="16"/>
      <c r="P2963" s="16" t="str">
        <f aca="false">IF(AND(L2963&lt;=$D$2,M2963&gt;=$C$2),"Sí","")</f>
        <v/>
      </c>
      <c r="Q2963" s="18" t="str">
        <f aca="false">IF(COUNTIF(LOOKAHEAD!$A$5:$A$604,A2963)&gt;0,"En Lookahead",IF(P2963="Sí","INCORPORAR",""))</f>
        <v/>
      </c>
    </row>
    <row r="2964" customFormat="false" ht="15" hidden="false" customHeight="false" outlineLevel="0" collapsed="false">
      <c r="A2964" s="13" t="s">
        <v>9589</v>
      </c>
      <c r="B2964" s="13" t="n">
        <v>2959</v>
      </c>
      <c r="C2964" s="13" t="s">
        <v>9590</v>
      </c>
      <c r="D2964" s="13" t="n">
        <v>5</v>
      </c>
      <c r="E2964" s="34" t="s">
        <v>7455</v>
      </c>
      <c r="F2964" s="13" t="s">
        <v>1298</v>
      </c>
      <c r="G2964" s="13" t="s">
        <v>563</v>
      </c>
      <c r="H2964" s="13" t="s">
        <v>9499</v>
      </c>
      <c r="I2964" s="13" t="s">
        <v>123</v>
      </c>
      <c r="J2964" s="13" t="s">
        <v>9499</v>
      </c>
      <c r="K2964" s="30" t="n">
        <v>1</v>
      </c>
      <c r="L2964" s="31" t="n">
        <v>46016</v>
      </c>
      <c r="M2964" s="31" t="n">
        <v>46016</v>
      </c>
      <c r="N2964" s="13"/>
      <c r="O2964" s="13"/>
      <c r="P2964" s="13"/>
      <c r="Q2964" s="13"/>
    </row>
    <row r="2965" customFormat="false" ht="15" hidden="false" customHeight="false" outlineLevel="0" collapsed="false">
      <c r="A2965" s="13" t="s">
        <v>9591</v>
      </c>
      <c r="B2965" s="13" t="n">
        <v>2960</v>
      </c>
      <c r="C2965" s="13" t="s">
        <v>9592</v>
      </c>
      <c r="D2965" s="13" t="n">
        <v>6</v>
      </c>
      <c r="E2965" s="36" t="s">
        <v>7458</v>
      </c>
      <c r="F2965" s="13" t="s">
        <v>1298</v>
      </c>
      <c r="G2965" s="13" t="s">
        <v>563</v>
      </c>
      <c r="H2965" s="13" t="s">
        <v>9499</v>
      </c>
      <c r="I2965" s="13" t="s">
        <v>123</v>
      </c>
      <c r="J2965" s="13" t="s">
        <v>7455</v>
      </c>
      <c r="K2965" s="30" t="n">
        <v>1</v>
      </c>
      <c r="L2965" s="31" t="n">
        <v>46016</v>
      </c>
      <c r="M2965" s="31" t="n">
        <v>46016</v>
      </c>
      <c r="N2965" s="13"/>
      <c r="O2965" s="13"/>
      <c r="P2965" s="13"/>
      <c r="Q2965" s="13"/>
    </row>
    <row r="2966" customFormat="false" ht="15" hidden="false" customHeight="false" outlineLevel="0" collapsed="false">
      <c r="A2966" s="16" t="s">
        <v>9593</v>
      </c>
      <c r="B2966" s="16" t="n">
        <v>2961</v>
      </c>
      <c r="C2966" s="16" t="s">
        <v>9594</v>
      </c>
      <c r="D2966" s="16" t="n">
        <v>7</v>
      </c>
      <c r="E2966" s="37" t="s">
        <v>7461</v>
      </c>
      <c r="F2966" s="16" t="s">
        <v>1285</v>
      </c>
      <c r="G2966" s="16" t="s">
        <v>563</v>
      </c>
      <c r="H2966" s="16" t="s">
        <v>9499</v>
      </c>
      <c r="I2966" s="16" t="s">
        <v>123</v>
      </c>
      <c r="J2966" s="16" t="s">
        <v>7458</v>
      </c>
      <c r="K2966" s="32" t="n">
        <v>1</v>
      </c>
      <c r="L2966" s="33" t="n">
        <v>46016</v>
      </c>
      <c r="M2966" s="33" t="n">
        <v>46016</v>
      </c>
      <c r="N2966" s="16" t="s">
        <v>9595</v>
      </c>
      <c r="O2966" s="16"/>
      <c r="P2966" s="16" t="str">
        <f aca="false">IF(AND(L2966&lt;=$D$2,M2966&gt;=$C$2),"Sí","")</f>
        <v/>
      </c>
      <c r="Q2966" s="18" t="str">
        <f aca="false">IF(COUNTIF(LOOKAHEAD!$A$5:$A$604,A2966)&gt;0,"En Lookahead",IF(P2966="Sí","INCORPORAR",""))</f>
        <v/>
      </c>
    </row>
    <row r="2967" customFormat="false" ht="15" hidden="false" customHeight="false" outlineLevel="0" collapsed="false">
      <c r="A2967" s="13" t="s">
        <v>9596</v>
      </c>
      <c r="B2967" s="13" t="n">
        <v>2962</v>
      </c>
      <c r="C2967" s="13" t="s">
        <v>9597</v>
      </c>
      <c r="D2967" s="13" t="n">
        <v>6</v>
      </c>
      <c r="E2967" s="36" t="s">
        <v>7810</v>
      </c>
      <c r="F2967" s="13" t="s">
        <v>1298</v>
      </c>
      <c r="G2967" s="13" t="s">
        <v>563</v>
      </c>
      <c r="H2967" s="13" t="s">
        <v>9499</v>
      </c>
      <c r="I2967" s="13" t="s">
        <v>123</v>
      </c>
      <c r="J2967" s="13" t="s">
        <v>7455</v>
      </c>
      <c r="K2967" s="30" t="n">
        <v>1</v>
      </c>
      <c r="L2967" s="31" t="n">
        <v>46016</v>
      </c>
      <c r="M2967" s="31" t="n">
        <v>46016</v>
      </c>
      <c r="N2967" s="13"/>
      <c r="O2967" s="13"/>
      <c r="P2967" s="13"/>
      <c r="Q2967" s="13"/>
    </row>
    <row r="2968" customFormat="false" ht="15" hidden="false" customHeight="false" outlineLevel="0" collapsed="false">
      <c r="A2968" s="16" t="s">
        <v>9598</v>
      </c>
      <c r="B2968" s="16" t="n">
        <v>2963</v>
      </c>
      <c r="C2968" s="16" t="s">
        <v>9599</v>
      </c>
      <c r="D2968" s="16" t="n">
        <v>7</v>
      </c>
      <c r="E2968" s="37" t="s">
        <v>7813</v>
      </c>
      <c r="F2968" s="16" t="s">
        <v>1285</v>
      </c>
      <c r="G2968" s="16" t="s">
        <v>563</v>
      </c>
      <c r="H2968" s="16" t="s">
        <v>9499</v>
      </c>
      <c r="I2968" s="16" t="s">
        <v>123</v>
      </c>
      <c r="J2968" s="16" t="s">
        <v>7810</v>
      </c>
      <c r="K2968" s="32" t="n">
        <v>1</v>
      </c>
      <c r="L2968" s="33" t="n">
        <v>46016</v>
      </c>
      <c r="M2968" s="33" t="n">
        <v>46016</v>
      </c>
      <c r="N2968" s="16" t="s">
        <v>9600</v>
      </c>
      <c r="O2968" s="16"/>
      <c r="P2968" s="16" t="str">
        <f aca="false">IF(AND(L2968&lt;=$D$2,M2968&gt;=$C$2),"Sí","")</f>
        <v/>
      </c>
      <c r="Q2968" s="18" t="str">
        <f aca="false">IF(COUNTIF(LOOKAHEAD!$A$5:$A$604,A2968)&gt;0,"En Lookahead",IF(P2968="Sí","INCORPORAR",""))</f>
        <v/>
      </c>
    </row>
    <row r="2969" customFormat="false" ht="15" hidden="false" customHeight="false" outlineLevel="0" collapsed="false">
      <c r="A2969" s="13" t="s">
        <v>9601</v>
      </c>
      <c r="B2969" s="13" t="n">
        <v>2964</v>
      </c>
      <c r="C2969" s="13" t="s">
        <v>9602</v>
      </c>
      <c r="D2969" s="13" t="n">
        <v>4</v>
      </c>
      <c r="E2969" s="20" t="s">
        <v>9603</v>
      </c>
      <c r="F2969" s="13" t="s">
        <v>1298</v>
      </c>
      <c r="G2969" s="13" t="s">
        <v>563</v>
      </c>
      <c r="H2969" s="13" t="s">
        <v>9603</v>
      </c>
      <c r="I2969" s="13" t="s">
        <v>125</v>
      </c>
      <c r="J2969" s="13" t="s">
        <v>7172</v>
      </c>
      <c r="K2969" s="30" t="n">
        <v>45</v>
      </c>
      <c r="L2969" s="31" t="n">
        <v>46016</v>
      </c>
      <c r="M2969" s="31" t="n">
        <v>46060</v>
      </c>
      <c r="N2969" s="13"/>
      <c r="O2969" s="13"/>
      <c r="P2969" s="13"/>
      <c r="Q2969" s="13"/>
    </row>
    <row r="2970" customFormat="false" ht="15" hidden="false" customHeight="false" outlineLevel="0" collapsed="false">
      <c r="A2970" s="13" t="s">
        <v>9604</v>
      </c>
      <c r="B2970" s="13" t="n">
        <v>2965</v>
      </c>
      <c r="C2970" s="13" t="s">
        <v>9605</v>
      </c>
      <c r="D2970" s="13" t="n">
        <v>5</v>
      </c>
      <c r="E2970" s="34" t="s">
        <v>7177</v>
      </c>
      <c r="F2970" s="13" t="s">
        <v>1298</v>
      </c>
      <c r="G2970" s="13" t="s">
        <v>563</v>
      </c>
      <c r="H2970" s="13" t="s">
        <v>9603</v>
      </c>
      <c r="I2970" s="13" t="s">
        <v>125</v>
      </c>
      <c r="J2970" s="13" t="s">
        <v>9603</v>
      </c>
      <c r="K2970" s="30" t="n">
        <v>12</v>
      </c>
      <c r="L2970" s="31" t="n">
        <v>46016</v>
      </c>
      <c r="M2970" s="31" t="n">
        <v>46027</v>
      </c>
      <c r="N2970" s="13"/>
      <c r="O2970" s="13"/>
      <c r="P2970" s="13"/>
      <c r="Q2970" s="13"/>
    </row>
    <row r="2971" customFormat="false" ht="15" hidden="false" customHeight="false" outlineLevel="0" collapsed="false">
      <c r="A2971" s="16" t="s">
        <v>9606</v>
      </c>
      <c r="B2971" s="16" t="n">
        <v>2966</v>
      </c>
      <c r="C2971" s="16" t="s">
        <v>9607</v>
      </c>
      <c r="D2971" s="16" t="n">
        <v>6</v>
      </c>
      <c r="E2971" s="35" t="s">
        <v>9381</v>
      </c>
      <c r="F2971" s="16" t="s">
        <v>1285</v>
      </c>
      <c r="G2971" s="16" t="s">
        <v>563</v>
      </c>
      <c r="H2971" s="16" t="s">
        <v>9603</v>
      </c>
      <c r="I2971" s="16" t="s">
        <v>125</v>
      </c>
      <c r="J2971" s="16" t="s">
        <v>7177</v>
      </c>
      <c r="K2971" s="32" t="n">
        <v>4</v>
      </c>
      <c r="L2971" s="33" t="n">
        <v>46016</v>
      </c>
      <c r="M2971" s="33" t="n">
        <v>46019</v>
      </c>
      <c r="N2971" s="16" t="s">
        <v>6606</v>
      </c>
      <c r="O2971" s="16"/>
      <c r="P2971" s="16" t="str">
        <f aca="false">IF(AND(L2971&lt;=$D$2,M2971&gt;=$C$2),"Sí","")</f>
        <v/>
      </c>
      <c r="Q2971" s="18" t="str">
        <f aca="false">IF(COUNTIF(LOOKAHEAD!$A$5:$A$604,A2971)&gt;0,"En Lookahead",IF(P2971="Sí","INCORPORAR",""))</f>
        <v/>
      </c>
    </row>
    <row r="2972" customFormat="false" ht="15" hidden="false" customHeight="false" outlineLevel="0" collapsed="false">
      <c r="A2972" s="16" t="s">
        <v>9608</v>
      </c>
      <c r="B2972" s="16" t="n">
        <v>2967</v>
      </c>
      <c r="C2972" s="16" t="s">
        <v>9609</v>
      </c>
      <c r="D2972" s="16" t="n">
        <v>6</v>
      </c>
      <c r="E2972" s="35" t="s">
        <v>9506</v>
      </c>
      <c r="F2972" s="16" t="s">
        <v>1285</v>
      </c>
      <c r="G2972" s="16" t="s">
        <v>563</v>
      </c>
      <c r="H2972" s="16" t="s">
        <v>9603</v>
      </c>
      <c r="I2972" s="16" t="s">
        <v>125</v>
      </c>
      <c r="J2972" s="16" t="s">
        <v>7177</v>
      </c>
      <c r="K2972" s="32" t="n">
        <v>6</v>
      </c>
      <c r="L2972" s="33" t="n">
        <v>46020</v>
      </c>
      <c r="M2972" s="33" t="n">
        <v>46025</v>
      </c>
      <c r="N2972" s="16" t="s">
        <v>6619</v>
      </c>
      <c r="O2972" s="16"/>
      <c r="P2972" s="16" t="str">
        <f aca="false">IF(AND(L2972&lt;=$D$2,M2972&gt;=$C$2),"Sí","")</f>
        <v/>
      </c>
      <c r="Q2972" s="18" t="str">
        <f aca="false">IF(COUNTIF(LOOKAHEAD!$A$5:$A$604,A2972)&gt;0,"En Lookahead",IF(P2972="Sí","INCORPORAR",""))</f>
        <v/>
      </c>
    </row>
    <row r="2973" customFormat="false" ht="15" hidden="false" customHeight="false" outlineLevel="0" collapsed="false">
      <c r="A2973" s="16" t="s">
        <v>9610</v>
      </c>
      <c r="B2973" s="16" t="n">
        <v>2968</v>
      </c>
      <c r="C2973" s="16" t="s">
        <v>9611</v>
      </c>
      <c r="D2973" s="16" t="n">
        <v>6</v>
      </c>
      <c r="E2973" s="35" t="s">
        <v>7186</v>
      </c>
      <c r="F2973" s="16" t="s">
        <v>1285</v>
      </c>
      <c r="G2973" s="16" t="s">
        <v>563</v>
      </c>
      <c r="H2973" s="16" t="s">
        <v>9603</v>
      </c>
      <c r="I2973" s="16" t="s">
        <v>125</v>
      </c>
      <c r="J2973" s="16" t="s">
        <v>7177</v>
      </c>
      <c r="K2973" s="32" t="n">
        <v>1</v>
      </c>
      <c r="L2973" s="33" t="n">
        <v>46026</v>
      </c>
      <c r="M2973" s="33" t="n">
        <v>46026</v>
      </c>
      <c r="N2973" s="16" t="s">
        <v>9612</v>
      </c>
      <c r="O2973" s="16"/>
      <c r="P2973" s="16" t="str">
        <f aca="false">IF(AND(L2973&lt;=$D$2,M2973&gt;=$C$2),"Sí","")</f>
        <v/>
      </c>
      <c r="Q2973" s="18" t="str">
        <f aca="false">IF(COUNTIF(LOOKAHEAD!$A$5:$A$604,A2973)&gt;0,"En Lookahead",IF(P2973="Sí","INCORPORAR",""))</f>
        <v/>
      </c>
    </row>
    <row r="2974" customFormat="false" ht="15" hidden="false" customHeight="false" outlineLevel="0" collapsed="false">
      <c r="A2974" s="16" t="s">
        <v>9613</v>
      </c>
      <c r="B2974" s="16" t="n">
        <v>2969</v>
      </c>
      <c r="C2974" s="16" t="s">
        <v>9614</v>
      </c>
      <c r="D2974" s="16" t="n">
        <v>6</v>
      </c>
      <c r="E2974" s="35" t="s">
        <v>7190</v>
      </c>
      <c r="F2974" s="16" t="s">
        <v>1285</v>
      </c>
      <c r="G2974" s="16" t="s">
        <v>563</v>
      </c>
      <c r="H2974" s="16" t="s">
        <v>9603</v>
      </c>
      <c r="I2974" s="16" t="s">
        <v>125</v>
      </c>
      <c r="J2974" s="16" t="s">
        <v>7177</v>
      </c>
      <c r="K2974" s="32" t="n">
        <v>1</v>
      </c>
      <c r="L2974" s="33" t="n">
        <v>46027</v>
      </c>
      <c r="M2974" s="33" t="n">
        <v>46027</v>
      </c>
      <c r="N2974" s="16" t="s">
        <v>9615</v>
      </c>
      <c r="O2974" s="16"/>
      <c r="P2974" s="16" t="str">
        <f aca="false">IF(AND(L2974&lt;=$D$2,M2974&gt;=$C$2),"Sí","")</f>
        <v/>
      </c>
      <c r="Q2974" s="18" t="str">
        <f aca="false">IF(COUNTIF(LOOKAHEAD!$A$5:$A$604,A2974)&gt;0,"En Lookahead",IF(P2974="Sí","INCORPORAR",""))</f>
        <v/>
      </c>
    </row>
    <row r="2975" customFormat="false" ht="15" hidden="false" customHeight="false" outlineLevel="0" collapsed="false">
      <c r="A2975" s="13" t="s">
        <v>9616</v>
      </c>
      <c r="B2975" s="13" t="n">
        <v>2970</v>
      </c>
      <c r="C2975" s="13" t="s">
        <v>9617</v>
      </c>
      <c r="D2975" s="13" t="n">
        <v>5</v>
      </c>
      <c r="E2975" s="34" t="s">
        <v>7206</v>
      </c>
      <c r="F2975" s="13" t="s">
        <v>1298</v>
      </c>
      <c r="G2975" s="13" t="s">
        <v>563</v>
      </c>
      <c r="H2975" s="13" t="s">
        <v>9603</v>
      </c>
      <c r="I2975" s="13" t="s">
        <v>125</v>
      </c>
      <c r="J2975" s="13" t="s">
        <v>9603</v>
      </c>
      <c r="K2975" s="30" t="n">
        <v>30</v>
      </c>
      <c r="L2975" s="31" t="n">
        <v>46020</v>
      </c>
      <c r="M2975" s="31" t="n">
        <v>46049</v>
      </c>
      <c r="N2975" s="13"/>
      <c r="O2975" s="13"/>
      <c r="P2975" s="13"/>
      <c r="Q2975" s="13"/>
    </row>
    <row r="2976" customFormat="false" ht="15" hidden="false" customHeight="false" outlineLevel="0" collapsed="false">
      <c r="A2976" s="16" t="s">
        <v>9618</v>
      </c>
      <c r="B2976" s="16" t="n">
        <v>2971</v>
      </c>
      <c r="C2976" s="16" t="s">
        <v>9619</v>
      </c>
      <c r="D2976" s="16" t="n">
        <v>6</v>
      </c>
      <c r="E2976" s="35" t="s">
        <v>7209</v>
      </c>
      <c r="F2976" s="16" t="s">
        <v>1285</v>
      </c>
      <c r="G2976" s="16" t="s">
        <v>563</v>
      </c>
      <c r="H2976" s="16" t="s">
        <v>9603</v>
      </c>
      <c r="I2976" s="16" t="s">
        <v>125</v>
      </c>
      <c r="J2976" s="16" t="s">
        <v>7206</v>
      </c>
      <c r="K2976" s="32" t="n">
        <v>24</v>
      </c>
      <c r="L2976" s="33" t="n">
        <v>46020</v>
      </c>
      <c r="M2976" s="33" t="n">
        <v>46043</v>
      </c>
      <c r="N2976" s="16" t="s">
        <v>6619</v>
      </c>
      <c r="O2976" s="16"/>
      <c r="P2976" s="16" t="str">
        <f aca="false">IF(AND(L2976&lt;=$D$2,M2976&gt;=$C$2),"Sí","")</f>
        <v/>
      </c>
      <c r="Q2976" s="18" t="str">
        <f aca="false">IF(COUNTIF(LOOKAHEAD!$A$5:$A$604,A2976)&gt;0,"En Lookahead",IF(P2976="Sí","INCORPORAR",""))</f>
        <v/>
      </c>
    </row>
    <row r="2977" customFormat="false" ht="15" hidden="false" customHeight="false" outlineLevel="0" collapsed="false">
      <c r="A2977" s="16" t="s">
        <v>9620</v>
      </c>
      <c r="B2977" s="16" t="n">
        <v>2972</v>
      </c>
      <c r="C2977" s="16" t="s">
        <v>9621</v>
      </c>
      <c r="D2977" s="16" t="n">
        <v>6</v>
      </c>
      <c r="E2977" s="35" t="s">
        <v>7212</v>
      </c>
      <c r="F2977" s="16" t="s">
        <v>1285</v>
      </c>
      <c r="G2977" s="16" t="s">
        <v>563</v>
      </c>
      <c r="H2977" s="16" t="s">
        <v>9603</v>
      </c>
      <c r="I2977" s="16" t="s">
        <v>125</v>
      </c>
      <c r="J2977" s="16" t="s">
        <v>7206</v>
      </c>
      <c r="K2977" s="32" t="n">
        <v>7</v>
      </c>
      <c r="L2977" s="33" t="n">
        <v>46020</v>
      </c>
      <c r="M2977" s="33" t="n">
        <v>46026</v>
      </c>
      <c r="N2977" s="16" t="s">
        <v>9622</v>
      </c>
      <c r="O2977" s="16"/>
      <c r="P2977" s="16" t="str">
        <f aca="false">IF(AND(L2977&lt;=$D$2,M2977&gt;=$C$2),"Sí","")</f>
        <v/>
      </c>
      <c r="Q2977" s="18" t="str">
        <f aca="false">IF(COUNTIF(LOOKAHEAD!$A$5:$A$604,A2977)&gt;0,"En Lookahead",IF(P2977="Sí","INCORPORAR",""))</f>
        <v/>
      </c>
    </row>
    <row r="2978" customFormat="false" ht="15" hidden="false" customHeight="false" outlineLevel="0" collapsed="false">
      <c r="A2978" s="16" t="s">
        <v>9623</v>
      </c>
      <c r="B2978" s="16" t="n">
        <v>2973</v>
      </c>
      <c r="C2978" s="16" t="s">
        <v>9624</v>
      </c>
      <c r="D2978" s="16" t="n">
        <v>6</v>
      </c>
      <c r="E2978" s="35" t="s">
        <v>7224</v>
      </c>
      <c r="F2978" s="16" t="s">
        <v>1285</v>
      </c>
      <c r="G2978" s="16" t="s">
        <v>563</v>
      </c>
      <c r="H2978" s="16" t="s">
        <v>9603</v>
      </c>
      <c r="I2978" s="16" t="s">
        <v>125</v>
      </c>
      <c r="J2978" s="16" t="s">
        <v>7206</v>
      </c>
      <c r="K2978" s="32" t="n">
        <v>6</v>
      </c>
      <c r="L2978" s="33" t="n">
        <v>46027</v>
      </c>
      <c r="M2978" s="33" t="n">
        <v>46032</v>
      </c>
      <c r="N2978" s="16" t="s">
        <v>9625</v>
      </c>
      <c r="O2978" s="16"/>
      <c r="P2978" s="16" t="str">
        <f aca="false">IF(AND(L2978&lt;=$D$2,M2978&gt;=$C$2),"Sí","")</f>
        <v/>
      </c>
      <c r="Q2978" s="18" t="str">
        <f aca="false">IF(COUNTIF(LOOKAHEAD!$A$5:$A$604,A2978)&gt;0,"En Lookahead",IF(P2978="Sí","INCORPORAR",""))</f>
        <v/>
      </c>
    </row>
    <row r="2979" customFormat="false" ht="15" hidden="false" customHeight="false" outlineLevel="0" collapsed="false">
      <c r="A2979" s="16" t="s">
        <v>9626</v>
      </c>
      <c r="B2979" s="16" t="n">
        <v>2974</v>
      </c>
      <c r="C2979" s="16" t="s">
        <v>9627</v>
      </c>
      <c r="D2979" s="16" t="n">
        <v>6</v>
      </c>
      <c r="E2979" s="35" t="s">
        <v>7228</v>
      </c>
      <c r="F2979" s="16" t="s">
        <v>1285</v>
      </c>
      <c r="G2979" s="16" t="s">
        <v>563</v>
      </c>
      <c r="H2979" s="16" t="s">
        <v>9603</v>
      </c>
      <c r="I2979" s="16" t="s">
        <v>125</v>
      </c>
      <c r="J2979" s="16" t="s">
        <v>7206</v>
      </c>
      <c r="K2979" s="32" t="n">
        <v>8</v>
      </c>
      <c r="L2979" s="33" t="n">
        <v>46033</v>
      </c>
      <c r="M2979" s="33" t="n">
        <v>46040</v>
      </c>
      <c r="N2979" s="16" t="s">
        <v>9628</v>
      </c>
      <c r="O2979" s="16"/>
      <c r="P2979" s="16" t="str">
        <f aca="false">IF(AND(L2979&lt;=$D$2,M2979&gt;=$C$2),"Sí","")</f>
        <v/>
      </c>
      <c r="Q2979" s="18" t="str">
        <f aca="false">IF(COUNTIF(LOOKAHEAD!$A$5:$A$604,A2979)&gt;0,"En Lookahead",IF(P2979="Sí","INCORPORAR",""))</f>
        <v/>
      </c>
    </row>
    <row r="2980" customFormat="false" ht="15" hidden="false" customHeight="false" outlineLevel="0" collapsed="false">
      <c r="A2980" s="16" t="s">
        <v>9629</v>
      </c>
      <c r="B2980" s="16" t="n">
        <v>2975</v>
      </c>
      <c r="C2980" s="16" t="s">
        <v>9630</v>
      </c>
      <c r="D2980" s="16" t="n">
        <v>6</v>
      </c>
      <c r="E2980" s="35" t="s">
        <v>7232</v>
      </c>
      <c r="F2980" s="16" t="s">
        <v>1285</v>
      </c>
      <c r="G2980" s="16" t="s">
        <v>563</v>
      </c>
      <c r="H2980" s="16" t="s">
        <v>9603</v>
      </c>
      <c r="I2980" s="16" t="s">
        <v>125</v>
      </c>
      <c r="J2980" s="16" t="s">
        <v>7206</v>
      </c>
      <c r="K2980" s="32" t="n">
        <v>6</v>
      </c>
      <c r="L2980" s="33" t="n">
        <v>46044</v>
      </c>
      <c r="M2980" s="33" t="n">
        <v>46049</v>
      </c>
      <c r="N2980" s="16" t="s">
        <v>9631</v>
      </c>
      <c r="O2980" s="16"/>
      <c r="P2980" s="16" t="str">
        <f aca="false">IF(AND(L2980&lt;=$D$2,M2980&gt;=$C$2),"Sí","")</f>
        <v/>
      </c>
      <c r="Q2980" s="18" t="str">
        <f aca="false">IF(COUNTIF(LOOKAHEAD!$A$5:$A$604,A2980)&gt;0,"En Lookahead",IF(P2980="Sí","INCORPORAR",""))</f>
        <v/>
      </c>
    </row>
    <row r="2981" customFormat="false" ht="15" hidden="false" customHeight="false" outlineLevel="0" collapsed="false">
      <c r="A2981" s="13" t="s">
        <v>9632</v>
      </c>
      <c r="B2981" s="13" t="n">
        <v>2976</v>
      </c>
      <c r="C2981" s="13" t="s">
        <v>9633</v>
      </c>
      <c r="D2981" s="13" t="n">
        <v>5</v>
      </c>
      <c r="E2981" s="34" t="s">
        <v>7236</v>
      </c>
      <c r="F2981" s="13" t="s">
        <v>1298</v>
      </c>
      <c r="G2981" s="13" t="s">
        <v>563</v>
      </c>
      <c r="H2981" s="13" t="s">
        <v>9603</v>
      </c>
      <c r="I2981" s="13" t="s">
        <v>125</v>
      </c>
      <c r="J2981" s="13" t="s">
        <v>9603</v>
      </c>
      <c r="K2981" s="30" t="n">
        <v>6</v>
      </c>
      <c r="L2981" s="31" t="n">
        <v>46027</v>
      </c>
      <c r="M2981" s="31" t="n">
        <v>46032</v>
      </c>
      <c r="N2981" s="13"/>
      <c r="O2981" s="13"/>
      <c r="P2981" s="13"/>
      <c r="Q2981" s="13"/>
    </row>
    <row r="2982" customFormat="false" ht="15" hidden="false" customHeight="false" outlineLevel="0" collapsed="false">
      <c r="A2982" s="16" t="s">
        <v>9634</v>
      </c>
      <c r="B2982" s="16" t="n">
        <v>2977</v>
      </c>
      <c r="C2982" s="16" t="s">
        <v>9635</v>
      </c>
      <c r="D2982" s="16" t="n">
        <v>6</v>
      </c>
      <c r="E2982" s="35" t="s">
        <v>7239</v>
      </c>
      <c r="F2982" s="16" t="s">
        <v>1285</v>
      </c>
      <c r="G2982" s="16" t="s">
        <v>563</v>
      </c>
      <c r="H2982" s="16" t="s">
        <v>9603</v>
      </c>
      <c r="I2982" s="16" t="s">
        <v>125</v>
      </c>
      <c r="J2982" s="16" t="s">
        <v>7236</v>
      </c>
      <c r="K2982" s="32" t="n">
        <v>5</v>
      </c>
      <c r="L2982" s="33" t="n">
        <v>46027</v>
      </c>
      <c r="M2982" s="33" t="n">
        <v>46031</v>
      </c>
      <c r="N2982" s="16" t="s">
        <v>9625</v>
      </c>
      <c r="O2982" s="16"/>
      <c r="P2982" s="16" t="str">
        <f aca="false">IF(AND(L2982&lt;=$D$2,M2982&gt;=$C$2),"Sí","")</f>
        <v/>
      </c>
      <c r="Q2982" s="18" t="str">
        <f aca="false">IF(COUNTIF(LOOKAHEAD!$A$5:$A$604,A2982)&gt;0,"En Lookahead",IF(P2982="Sí","INCORPORAR",""))</f>
        <v/>
      </c>
    </row>
    <row r="2983" customFormat="false" ht="15" hidden="false" customHeight="false" outlineLevel="0" collapsed="false">
      <c r="A2983" s="16" t="s">
        <v>9636</v>
      </c>
      <c r="B2983" s="16" t="n">
        <v>2978</v>
      </c>
      <c r="C2983" s="16" t="s">
        <v>9637</v>
      </c>
      <c r="D2983" s="16" t="n">
        <v>6</v>
      </c>
      <c r="E2983" s="35" t="s">
        <v>7242</v>
      </c>
      <c r="F2983" s="16" t="s">
        <v>1285</v>
      </c>
      <c r="G2983" s="16" t="s">
        <v>563</v>
      </c>
      <c r="H2983" s="16" t="s">
        <v>9603</v>
      </c>
      <c r="I2983" s="16" t="s">
        <v>125</v>
      </c>
      <c r="J2983" s="16" t="s">
        <v>7236</v>
      </c>
      <c r="K2983" s="32" t="n">
        <v>1</v>
      </c>
      <c r="L2983" s="33" t="n">
        <v>46032</v>
      </c>
      <c r="M2983" s="33" t="n">
        <v>46032</v>
      </c>
      <c r="N2983" s="16" t="s">
        <v>9638</v>
      </c>
      <c r="O2983" s="16"/>
      <c r="P2983" s="16" t="str">
        <f aca="false">IF(AND(L2983&lt;=$D$2,M2983&gt;=$C$2),"Sí","")</f>
        <v/>
      </c>
      <c r="Q2983" s="18" t="str">
        <f aca="false">IF(COUNTIF(LOOKAHEAD!$A$5:$A$604,A2983)&gt;0,"En Lookahead",IF(P2983="Sí","INCORPORAR",""))</f>
        <v/>
      </c>
    </row>
    <row r="2984" customFormat="false" ht="15" hidden="false" customHeight="false" outlineLevel="0" collapsed="false">
      <c r="A2984" s="13" t="s">
        <v>9639</v>
      </c>
      <c r="B2984" s="13" t="n">
        <v>2979</v>
      </c>
      <c r="C2984" s="13" t="s">
        <v>9640</v>
      </c>
      <c r="D2984" s="13" t="n">
        <v>5</v>
      </c>
      <c r="E2984" s="34" t="s">
        <v>7250</v>
      </c>
      <c r="F2984" s="13" t="s">
        <v>1298</v>
      </c>
      <c r="G2984" s="13" t="s">
        <v>563</v>
      </c>
      <c r="H2984" s="13" t="s">
        <v>9603</v>
      </c>
      <c r="I2984" s="13" t="s">
        <v>125</v>
      </c>
      <c r="J2984" s="13" t="s">
        <v>9603</v>
      </c>
      <c r="K2984" s="30" t="n">
        <v>7</v>
      </c>
      <c r="L2984" s="31" t="n">
        <v>46032</v>
      </c>
      <c r="M2984" s="31" t="n">
        <v>46038</v>
      </c>
      <c r="N2984" s="13"/>
      <c r="O2984" s="13"/>
      <c r="P2984" s="13"/>
      <c r="Q2984" s="13"/>
    </row>
    <row r="2985" customFormat="false" ht="15" hidden="false" customHeight="false" outlineLevel="0" collapsed="false">
      <c r="A2985" s="13" t="s">
        <v>9641</v>
      </c>
      <c r="B2985" s="13" t="n">
        <v>2980</v>
      </c>
      <c r="C2985" s="13" t="s">
        <v>9642</v>
      </c>
      <c r="D2985" s="13" t="n">
        <v>6</v>
      </c>
      <c r="E2985" s="36" t="s">
        <v>7253</v>
      </c>
      <c r="F2985" s="13" t="s">
        <v>1298</v>
      </c>
      <c r="G2985" s="13" t="s">
        <v>563</v>
      </c>
      <c r="H2985" s="13" t="s">
        <v>9603</v>
      </c>
      <c r="I2985" s="13" t="s">
        <v>125</v>
      </c>
      <c r="J2985" s="13" t="s">
        <v>7250</v>
      </c>
      <c r="K2985" s="30" t="n">
        <v>2</v>
      </c>
      <c r="L2985" s="31" t="n">
        <v>46032</v>
      </c>
      <c r="M2985" s="31" t="n">
        <v>46033</v>
      </c>
      <c r="N2985" s="13"/>
      <c r="O2985" s="13"/>
      <c r="P2985" s="13"/>
      <c r="Q2985" s="13"/>
    </row>
    <row r="2986" customFormat="false" ht="15" hidden="false" customHeight="false" outlineLevel="0" collapsed="false">
      <c r="A2986" s="16" t="s">
        <v>9643</v>
      </c>
      <c r="B2986" s="16" t="n">
        <v>2981</v>
      </c>
      <c r="C2986" s="16" t="s">
        <v>9644</v>
      </c>
      <c r="D2986" s="16" t="n">
        <v>7</v>
      </c>
      <c r="E2986" s="37" t="s">
        <v>7256</v>
      </c>
      <c r="F2986" s="16" t="s">
        <v>1285</v>
      </c>
      <c r="G2986" s="16" t="s">
        <v>563</v>
      </c>
      <c r="H2986" s="16" t="s">
        <v>9603</v>
      </c>
      <c r="I2986" s="16" t="s">
        <v>125</v>
      </c>
      <c r="J2986" s="16" t="s">
        <v>7253</v>
      </c>
      <c r="K2986" s="32" t="n">
        <v>2</v>
      </c>
      <c r="L2986" s="33" t="n">
        <v>46032</v>
      </c>
      <c r="M2986" s="33" t="n">
        <v>46033</v>
      </c>
      <c r="N2986" s="16" t="s">
        <v>9638</v>
      </c>
      <c r="O2986" s="16"/>
      <c r="P2986" s="16" t="str">
        <f aca="false">IF(AND(L2986&lt;=$D$2,M2986&gt;=$C$2),"Sí","")</f>
        <v/>
      </c>
      <c r="Q2986" s="18" t="str">
        <f aca="false">IF(COUNTIF(LOOKAHEAD!$A$5:$A$604,A2986)&gt;0,"En Lookahead",IF(P2986="Sí","INCORPORAR",""))</f>
        <v/>
      </c>
    </row>
    <row r="2987" customFormat="false" ht="15" hidden="false" customHeight="false" outlineLevel="0" collapsed="false">
      <c r="A2987" s="13" t="s">
        <v>9645</v>
      </c>
      <c r="B2987" s="13" t="n">
        <v>2982</v>
      </c>
      <c r="C2987" s="13" t="s">
        <v>9646</v>
      </c>
      <c r="D2987" s="13" t="n">
        <v>6</v>
      </c>
      <c r="E2987" s="36" t="s">
        <v>7260</v>
      </c>
      <c r="F2987" s="13" t="s">
        <v>1298</v>
      </c>
      <c r="G2987" s="13" t="s">
        <v>563</v>
      </c>
      <c r="H2987" s="13" t="s">
        <v>9603</v>
      </c>
      <c r="I2987" s="13" t="s">
        <v>125</v>
      </c>
      <c r="J2987" s="13" t="s">
        <v>7250</v>
      </c>
      <c r="K2987" s="30" t="n">
        <v>5</v>
      </c>
      <c r="L2987" s="31" t="n">
        <v>46034</v>
      </c>
      <c r="M2987" s="31" t="n">
        <v>46038</v>
      </c>
      <c r="N2987" s="13"/>
      <c r="O2987" s="13"/>
      <c r="P2987" s="13"/>
      <c r="Q2987" s="13"/>
    </row>
    <row r="2988" customFormat="false" ht="15" hidden="false" customHeight="false" outlineLevel="0" collapsed="false">
      <c r="A2988" s="16" t="s">
        <v>9647</v>
      </c>
      <c r="B2988" s="16" t="n">
        <v>2983</v>
      </c>
      <c r="C2988" s="16" t="s">
        <v>9648</v>
      </c>
      <c r="D2988" s="16" t="n">
        <v>7</v>
      </c>
      <c r="E2988" s="37" t="s">
        <v>7267</v>
      </c>
      <c r="F2988" s="16" t="s">
        <v>1285</v>
      </c>
      <c r="G2988" s="16" t="s">
        <v>563</v>
      </c>
      <c r="H2988" s="16" t="s">
        <v>9603</v>
      </c>
      <c r="I2988" s="16" t="s">
        <v>125</v>
      </c>
      <c r="J2988" s="16" t="s">
        <v>7260</v>
      </c>
      <c r="K2988" s="32" t="n">
        <v>4</v>
      </c>
      <c r="L2988" s="33" t="n">
        <v>46034</v>
      </c>
      <c r="M2988" s="33" t="n">
        <v>46037</v>
      </c>
      <c r="N2988" s="16" t="s">
        <v>9649</v>
      </c>
      <c r="O2988" s="16"/>
      <c r="P2988" s="16" t="str">
        <f aca="false">IF(AND(L2988&lt;=$D$2,M2988&gt;=$C$2),"Sí","")</f>
        <v/>
      </c>
      <c r="Q2988" s="18" t="str">
        <f aca="false">IF(COUNTIF(LOOKAHEAD!$A$5:$A$604,A2988)&gt;0,"En Lookahead",IF(P2988="Sí","INCORPORAR",""))</f>
        <v/>
      </c>
    </row>
    <row r="2989" customFormat="false" ht="15" hidden="false" customHeight="false" outlineLevel="0" collapsed="false">
      <c r="A2989" s="16" t="s">
        <v>9650</v>
      </c>
      <c r="B2989" s="16" t="n">
        <v>2984</v>
      </c>
      <c r="C2989" s="16" t="s">
        <v>9651</v>
      </c>
      <c r="D2989" s="16" t="n">
        <v>7</v>
      </c>
      <c r="E2989" s="37" t="s">
        <v>7275</v>
      </c>
      <c r="F2989" s="16" t="s">
        <v>1285</v>
      </c>
      <c r="G2989" s="16" t="s">
        <v>563</v>
      </c>
      <c r="H2989" s="16" t="s">
        <v>9603</v>
      </c>
      <c r="I2989" s="16" t="s">
        <v>125</v>
      </c>
      <c r="J2989" s="16" t="s">
        <v>7260</v>
      </c>
      <c r="K2989" s="32" t="n">
        <v>1</v>
      </c>
      <c r="L2989" s="33" t="n">
        <v>46038</v>
      </c>
      <c r="M2989" s="33" t="n">
        <v>46038</v>
      </c>
      <c r="N2989" s="16" t="s">
        <v>9652</v>
      </c>
      <c r="O2989" s="16"/>
      <c r="P2989" s="16" t="str">
        <f aca="false">IF(AND(L2989&lt;=$D$2,M2989&gt;=$C$2),"Sí","")</f>
        <v/>
      </c>
      <c r="Q2989" s="18" t="str">
        <f aca="false">IF(COUNTIF(LOOKAHEAD!$A$5:$A$604,A2989)&gt;0,"En Lookahead",IF(P2989="Sí","INCORPORAR",""))</f>
        <v/>
      </c>
    </row>
    <row r="2990" customFormat="false" ht="15" hidden="false" customHeight="false" outlineLevel="0" collapsed="false">
      <c r="A2990" s="13" t="s">
        <v>9653</v>
      </c>
      <c r="B2990" s="13" t="n">
        <v>2985</v>
      </c>
      <c r="C2990" s="13" t="s">
        <v>9654</v>
      </c>
      <c r="D2990" s="13" t="n">
        <v>5</v>
      </c>
      <c r="E2990" s="34" t="s">
        <v>7279</v>
      </c>
      <c r="F2990" s="13" t="s">
        <v>1298</v>
      </c>
      <c r="G2990" s="13" t="s">
        <v>563</v>
      </c>
      <c r="H2990" s="13" t="s">
        <v>9603</v>
      </c>
      <c r="I2990" s="13" t="s">
        <v>125</v>
      </c>
      <c r="J2990" s="13" t="s">
        <v>9603</v>
      </c>
      <c r="K2990" s="30" t="n">
        <v>4</v>
      </c>
      <c r="L2990" s="31" t="n">
        <v>46038</v>
      </c>
      <c r="M2990" s="31" t="n">
        <v>46041</v>
      </c>
      <c r="N2990" s="13"/>
      <c r="O2990" s="13"/>
      <c r="P2990" s="13"/>
      <c r="Q2990" s="13"/>
    </row>
    <row r="2991" customFormat="false" ht="15" hidden="false" customHeight="false" outlineLevel="0" collapsed="false">
      <c r="A2991" s="16" t="s">
        <v>9655</v>
      </c>
      <c r="B2991" s="16" t="n">
        <v>2986</v>
      </c>
      <c r="C2991" s="16" t="s">
        <v>9656</v>
      </c>
      <c r="D2991" s="16" t="n">
        <v>6</v>
      </c>
      <c r="E2991" s="35" t="s">
        <v>7282</v>
      </c>
      <c r="F2991" s="16" t="s">
        <v>1285</v>
      </c>
      <c r="G2991" s="16" t="s">
        <v>563</v>
      </c>
      <c r="H2991" s="16" t="s">
        <v>9603</v>
      </c>
      <c r="I2991" s="16" t="s">
        <v>125</v>
      </c>
      <c r="J2991" s="16" t="s">
        <v>7279</v>
      </c>
      <c r="K2991" s="32" t="n">
        <v>2</v>
      </c>
      <c r="L2991" s="33" t="n">
        <v>46038</v>
      </c>
      <c r="M2991" s="33" t="n">
        <v>46039</v>
      </c>
      <c r="N2991" s="16" t="s">
        <v>9652</v>
      </c>
      <c r="O2991" s="16"/>
      <c r="P2991" s="16" t="str">
        <f aca="false">IF(AND(L2991&lt;=$D$2,M2991&gt;=$C$2),"Sí","")</f>
        <v/>
      </c>
      <c r="Q2991" s="18" t="str">
        <f aca="false">IF(COUNTIF(LOOKAHEAD!$A$5:$A$604,A2991)&gt;0,"En Lookahead",IF(P2991="Sí","INCORPORAR",""))</f>
        <v/>
      </c>
    </row>
    <row r="2992" customFormat="false" ht="15" hidden="false" customHeight="false" outlineLevel="0" collapsed="false">
      <c r="A2992" s="16" t="s">
        <v>9657</v>
      </c>
      <c r="B2992" s="16" t="n">
        <v>2987</v>
      </c>
      <c r="C2992" s="16" t="s">
        <v>9658</v>
      </c>
      <c r="D2992" s="16" t="n">
        <v>6</v>
      </c>
      <c r="E2992" s="35" t="s">
        <v>8461</v>
      </c>
      <c r="F2992" s="16" t="s">
        <v>1285</v>
      </c>
      <c r="G2992" s="16" t="s">
        <v>563</v>
      </c>
      <c r="H2992" s="16" t="s">
        <v>9603</v>
      </c>
      <c r="I2992" s="16" t="s">
        <v>125</v>
      </c>
      <c r="J2992" s="16" t="s">
        <v>7279</v>
      </c>
      <c r="K2992" s="32" t="n">
        <v>2</v>
      </c>
      <c r="L2992" s="33" t="n">
        <v>46040</v>
      </c>
      <c r="M2992" s="33" t="n">
        <v>46041</v>
      </c>
      <c r="N2992" s="16" t="s">
        <v>9659</v>
      </c>
      <c r="O2992" s="16"/>
      <c r="P2992" s="16" t="str">
        <f aca="false">IF(AND(L2992&lt;=$D$2,M2992&gt;=$C$2),"Sí","")</f>
        <v/>
      </c>
      <c r="Q2992" s="18" t="str">
        <f aca="false">IF(COUNTIF(LOOKAHEAD!$A$5:$A$604,A2992)&gt;0,"En Lookahead",IF(P2992="Sí","INCORPORAR",""))</f>
        <v/>
      </c>
    </row>
    <row r="2993" customFormat="false" ht="15" hidden="false" customHeight="false" outlineLevel="0" collapsed="false">
      <c r="A2993" s="13" t="s">
        <v>9660</v>
      </c>
      <c r="B2993" s="13" t="n">
        <v>2988</v>
      </c>
      <c r="C2993" s="13" t="s">
        <v>9661</v>
      </c>
      <c r="D2993" s="13" t="n">
        <v>5</v>
      </c>
      <c r="E2993" s="34" t="s">
        <v>7296</v>
      </c>
      <c r="F2993" s="13" t="s">
        <v>1298</v>
      </c>
      <c r="G2993" s="13" t="s">
        <v>563</v>
      </c>
      <c r="H2993" s="13" t="s">
        <v>9603</v>
      </c>
      <c r="I2993" s="13" t="s">
        <v>125</v>
      </c>
      <c r="J2993" s="13" t="s">
        <v>9603</v>
      </c>
      <c r="K2993" s="30" t="n">
        <v>2</v>
      </c>
      <c r="L2993" s="31" t="n">
        <v>46039</v>
      </c>
      <c r="M2993" s="31" t="n">
        <v>46040</v>
      </c>
      <c r="N2993" s="13"/>
      <c r="O2993" s="13"/>
      <c r="P2993" s="13"/>
      <c r="Q2993" s="13"/>
    </row>
    <row r="2994" customFormat="false" ht="15" hidden="false" customHeight="false" outlineLevel="0" collapsed="false">
      <c r="A2994" s="16" t="s">
        <v>9662</v>
      </c>
      <c r="B2994" s="16" t="n">
        <v>2989</v>
      </c>
      <c r="C2994" s="16" t="s">
        <v>9663</v>
      </c>
      <c r="D2994" s="16" t="n">
        <v>6</v>
      </c>
      <c r="E2994" s="35" t="s">
        <v>7299</v>
      </c>
      <c r="F2994" s="16" t="s">
        <v>1285</v>
      </c>
      <c r="G2994" s="16" t="s">
        <v>563</v>
      </c>
      <c r="H2994" s="16" t="s">
        <v>9603</v>
      </c>
      <c r="I2994" s="16" t="s">
        <v>125</v>
      </c>
      <c r="J2994" s="16" t="s">
        <v>7296</v>
      </c>
      <c r="K2994" s="32" t="n">
        <v>1</v>
      </c>
      <c r="L2994" s="33" t="n">
        <v>46039</v>
      </c>
      <c r="M2994" s="33" t="n">
        <v>46039</v>
      </c>
      <c r="N2994" s="16" t="s">
        <v>9664</v>
      </c>
      <c r="O2994" s="16"/>
      <c r="P2994" s="16" t="str">
        <f aca="false">IF(AND(L2994&lt;=$D$2,M2994&gt;=$C$2),"Sí","")</f>
        <v/>
      </c>
      <c r="Q2994" s="18" t="str">
        <f aca="false">IF(COUNTIF(LOOKAHEAD!$A$5:$A$604,A2994)&gt;0,"En Lookahead",IF(P2994="Sí","INCORPORAR",""))</f>
        <v/>
      </c>
    </row>
    <row r="2995" customFormat="false" ht="15" hidden="false" customHeight="false" outlineLevel="0" collapsed="false">
      <c r="A2995" s="16" t="s">
        <v>9665</v>
      </c>
      <c r="B2995" s="16" t="n">
        <v>2990</v>
      </c>
      <c r="C2995" s="16" t="s">
        <v>9666</v>
      </c>
      <c r="D2995" s="16" t="n">
        <v>6</v>
      </c>
      <c r="E2995" s="35" t="s">
        <v>7303</v>
      </c>
      <c r="F2995" s="16" t="s">
        <v>1285</v>
      </c>
      <c r="G2995" s="16" t="s">
        <v>563</v>
      </c>
      <c r="H2995" s="16" t="s">
        <v>9603</v>
      </c>
      <c r="I2995" s="16" t="s">
        <v>125</v>
      </c>
      <c r="J2995" s="16" t="s">
        <v>7296</v>
      </c>
      <c r="K2995" s="32" t="n">
        <v>1</v>
      </c>
      <c r="L2995" s="33" t="n">
        <v>46040</v>
      </c>
      <c r="M2995" s="33" t="n">
        <v>46040</v>
      </c>
      <c r="N2995" s="16" t="s">
        <v>9667</v>
      </c>
      <c r="O2995" s="16"/>
      <c r="P2995" s="16" t="str">
        <f aca="false">IF(AND(L2995&lt;=$D$2,M2995&gt;=$C$2),"Sí","")</f>
        <v/>
      </c>
      <c r="Q2995" s="18" t="str">
        <f aca="false">IF(COUNTIF(LOOKAHEAD!$A$5:$A$604,A2995)&gt;0,"En Lookahead",IF(P2995="Sí","INCORPORAR",""))</f>
        <v/>
      </c>
    </row>
    <row r="2996" customFormat="false" ht="15" hidden="false" customHeight="false" outlineLevel="0" collapsed="false">
      <c r="A2996" s="13" t="s">
        <v>9668</v>
      </c>
      <c r="B2996" s="13" t="n">
        <v>2991</v>
      </c>
      <c r="C2996" s="13" t="s">
        <v>9669</v>
      </c>
      <c r="D2996" s="13" t="n">
        <v>5</v>
      </c>
      <c r="E2996" s="34" t="s">
        <v>7307</v>
      </c>
      <c r="F2996" s="13" t="s">
        <v>1298</v>
      </c>
      <c r="G2996" s="13" t="s">
        <v>563</v>
      </c>
      <c r="H2996" s="13" t="s">
        <v>9603</v>
      </c>
      <c r="I2996" s="13" t="s">
        <v>125</v>
      </c>
      <c r="J2996" s="13" t="s">
        <v>9603</v>
      </c>
      <c r="K2996" s="30" t="n">
        <v>2</v>
      </c>
      <c r="L2996" s="31" t="n">
        <v>46042</v>
      </c>
      <c r="M2996" s="31" t="n">
        <v>46043</v>
      </c>
      <c r="N2996" s="13"/>
      <c r="O2996" s="13"/>
      <c r="P2996" s="13"/>
      <c r="Q2996" s="13"/>
    </row>
    <row r="2997" customFormat="false" ht="15" hidden="false" customHeight="false" outlineLevel="0" collapsed="false">
      <c r="A2997" s="13" t="s">
        <v>9670</v>
      </c>
      <c r="B2997" s="13" t="n">
        <v>2992</v>
      </c>
      <c r="C2997" s="13" t="s">
        <v>9671</v>
      </c>
      <c r="D2997" s="13" t="n">
        <v>6</v>
      </c>
      <c r="E2997" s="36" t="s">
        <v>7310</v>
      </c>
      <c r="F2997" s="13" t="s">
        <v>1298</v>
      </c>
      <c r="G2997" s="13" t="s">
        <v>563</v>
      </c>
      <c r="H2997" s="13" t="s">
        <v>9603</v>
      </c>
      <c r="I2997" s="13" t="s">
        <v>125</v>
      </c>
      <c r="J2997" s="13" t="s">
        <v>7307</v>
      </c>
      <c r="K2997" s="30" t="n">
        <v>2</v>
      </c>
      <c r="L2997" s="31" t="n">
        <v>46042</v>
      </c>
      <c r="M2997" s="31" t="n">
        <v>46043</v>
      </c>
      <c r="N2997" s="13"/>
      <c r="O2997" s="13"/>
      <c r="P2997" s="13"/>
      <c r="Q2997" s="13"/>
    </row>
    <row r="2998" customFormat="false" ht="15" hidden="false" customHeight="false" outlineLevel="0" collapsed="false">
      <c r="A2998" s="16" t="s">
        <v>9672</v>
      </c>
      <c r="B2998" s="16" t="n">
        <v>2993</v>
      </c>
      <c r="C2998" s="16" t="s">
        <v>9673</v>
      </c>
      <c r="D2998" s="16" t="n">
        <v>7</v>
      </c>
      <c r="E2998" s="37" t="s">
        <v>9674</v>
      </c>
      <c r="F2998" s="16" t="s">
        <v>1285</v>
      </c>
      <c r="G2998" s="16" t="s">
        <v>563</v>
      </c>
      <c r="H2998" s="16" t="s">
        <v>9603</v>
      </c>
      <c r="I2998" s="16" t="s">
        <v>125</v>
      </c>
      <c r="J2998" s="16" t="s">
        <v>7310</v>
      </c>
      <c r="K2998" s="32" t="n">
        <v>1</v>
      </c>
      <c r="L2998" s="33" t="n">
        <v>46042</v>
      </c>
      <c r="M2998" s="33" t="n">
        <v>46042</v>
      </c>
      <c r="N2998" s="16" t="s">
        <v>9675</v>
      </c>
      <c r="O2998" s="16"/>
      <c r="P2998" s="16" t="str">
        <f aca="false">IF(AND(L2998&lt;=$D$2,M2998&gt;=$C$2),"Sí","")</f>
        <v/>
      </c>
      <c r="Q2998" s="18" t="str">
        <f aca="false">IF(COUNTIF(LOOKAHEAD!$A$5:$A$604,A2998)&gt;0,"En Lookahead",IF(P2998="Sí","INCORPORAR",""))</f>
        <v/>
      </c>
    </row>
    <row r="2999" customFormat="false" ht="15" hidden="false" customHeight="false" outlineLevel="0" collapsed="false">
      <c r="A2999" s="16" t="s">
        <v>9676</v>
      </c>
      <c r="B2999" s="16" t="n">
        <v>2994</v>
      </c>
      <c r="C2999" s="16" t="s">
        <v>9677</v>
      </c>
      <c r="D2999" s="16" t="n">
        <v>7</v>
      </c>
      <c r="E2999" s="37" t="s">
        <v>7635</v>
      </c>
      <c r="F2999" s="16" t="s">
        <v>1285</v>
      </c>
      <c r="G2999" s="16" t="s">
        <v>563</v>
      </c>
      <c r="H2999" s="16" t="s">
        <v>9603</v>
      </c>
      <c r="I2999" s="16" t="s">
        <v>125</v>
      </c>
      <c r="J2999" s="16" t="s">
        <v>7310</v>
      </c>
      <c r="K2999" s="32" t="n">
        <v>1</v>
      </c>
      <c r="L2999" s="33" t="n">
        <v>46043</v>
      </c>
      <c r="M2999" s="33" t="n">
        <v>46043</v>
      </c>
      <c r="N2999" s="16" t="s">
        <v>9678</v>
      </c>
      <c r="O2999" s="16"/>
      <c r="P2999" s="16" t="str">
        <f aca="false">IF(AND(L2999&lt;=$D$2,M2999&gt;=$C$2),"Sí","")</f>
        <v/>
      </c>
      <c r="Q2999" s="18" t="str">
        <f aca="false">IF(COUNTIF(LOOKAHEAD!$A$5:$A$604,A2999)&gt;0,"En Lookahead",IF(P2999="Sí","INCORPORAR",""))</f>
        <v/>
      </c>
    </row>
    <row r="3000" customFormat="false" ht="15" hidden="false" customHeight="false" outlineLevel="0" collapsed="false">
      <c r="A3000" s="13" t="s">
        <v>9679</v>
      </c>
      <c r="B3000" s="13" t="n">
        <v>2995</v>
      </c>
      <c r="C3000" s="13" t="s">
        <v>9680</v>
      </c>
      <c r="D3000" s="13" t="n">
        <v>5</v>
      </c>
      <c r="E3000" s="34" t="s">
        <v>7328</v>
      </c>
      <c r="F3000" s="13" t="s">
        <v>1298</v>
      </c>
      <c r="G3000" s="13" t="s">
        <v>563</v>
      </c>
      <c r="H3000" s="13" t="s">
        <v>9603</v>
      </c>
      <c r="I3000" s="13" t="s">
        <v>125</v>
      </c>
      <c r="J3000" s="13" t="s">
        <v>9603</v>
      </c>
      <c r="K3000" s="30" t="n">
        <v>6</v>
      </c>
      <c r="L3000" s="31" t="n">
        <v>46044</v>
      </c>
      <c r="M3000" s="31" t="n">
        <v>46049</v>
      </c>
      <c r="N3000" s="13"/>
      <c r="O3000" s="13"/>
      <c r="P3000" s="13"/>
      <c r="Q3000" s="13"/>
    </row>
    <row r="3001" customFormat="false" ht="15" hidden="false" customHeight="false" outlineLevel="0" collapsed="false">
      <c r="A3001" s="13" t="s">
        <v>9681</v>
      </c>
      <c r="B3001" s="13" t="n">
        <v>2996</v>
      </c>
      <c r="C3001" s="13" t="s">
        <v>9682</v>
      </c>
      <c r="D3001" s="13" t="n">
        <v>6</v>
      </c>
      <c r="E3001" s="36" t="s">
        <v>7310</v>
      </c>
      <c r="F3001" s="13" t="s">
        <v>1298</v>
      </c>
      <c r="G3001" s="13" t="s">
        <v>563</v>
      </c>
      <c r="H3001" s="13" t="s">
        <v>9603</v>
      </c>
      <c r="I3001" s="13" t="s">
        <v>125</v>
      </c>
      <c r="J3001" s="13" t="s">
        <v>7328</v>
      </c>
      <c r="K3001" s="30" t="n">
        <v>2</v>
      </c>
      <c r="L3001" s="31" t="n">
        <v>46044</v>
      </c>
      <c r="M3001" s="31" t="n">
        <v>46045</v>
      </c>
      <c r="N3001" s="13"/>
      <c r="O3001" s="13"/>
      <c r="P3001" s="13"/>
      <c r="Q3001" s="13"/>
    </row>
    <row r="3002" customFormat="false" ht="15" hidden="false" customHeight="false" outlineLevel="0" collapsed="false">
      <c r="A3002" s="16" t="s">
        <v>9683</v>
      </c>
      <c r="B3002" s="16" t="n">
        <v>2997</v>
      </c>
      <c r="C3002" s="16" t="s">
        <v>9684</v>
      </c>
      <c r="D3002" s="16" t="n">
        <v>7</v>
      </c>
      <c r="E3002" s="37" t="s">
        <v>7337</v>
      </c>
      <c r="F3002" s="16" t="s">
        <v>1285</v>
      </c>
      <c r="G3002" s="16" t="s">
        <v>563</v>
      </c>
      <c r="H3002" s="16" t="s">
        <v>9603</v>
      </c>
      <c r="I3002" s="16" t="s">
        <v>125</v>
      </c>
      <c r="J3002" s="16" t="s">
        <v>7310</v>
      </c>
      <c r="K3002" s="32" t="n">
        <v>2</v>
      </c>
      <c r="L3002" s="33" t="n">
        <v>46044</v>
      </c>
      <c r="M3002" s="33" t="n">
        <v>46045</v>
      </c>
      <c r="N3002" s="16" t="s">
        <v>9685</v>
      </c>
      <c r="O3002" s="16"/>
      <c r="P3002" s="16" t="str">
        <f aca="false">IF(AND(L3002&lt;=$D$2,M3002&gt;=$C$2),"Sí","")</f>
        <v/>
      </c>
      <c r="Q3002" s="18" t="str">
        <f aca="false">IF(COUNTIF(LOOKAHEAD!$A$5:$A$604,A3002)&gt;0,"En Lookahead",IF(P3002="Sí","INCORPORAR",""))</f>
        <v/>
      </c>
    </row>
    <row r="3003" customFormat="false" ht="15" hidden="false" customHeight="false" outlineLevel="0" collapsed="false">
      <c r="A3003" s="13" t="s">
        <v>9686</v>
      </c>
      <c r="B3003" s="13" t="n">
        <v>2998</v>
      </c>
      <c r="C3003" s="13" t="s">
        <v>9687</v>
      </c>
      <c r="D3003" s="13" t="n">
        <v>6</v>
      </c>
      <c r="E3003" s="36" t="s">
        <v>7349</v>
      </c>
      <c r="F3003" s="13" t="s">
        <v>1298</v>
      </c>
      <c r="G3003" s="13" t="s">
        <v>563</v>
      </c>
      <c r="H3003" s="13" t="s">
        <v>9603</v>
      </c>
      <c r="I3003" s="13" t="s">
        <v>125</v>
      </c>
      <c r="J3003" s="13" t="s">
        <v>7328</v>
      </c>
      <c r="K3003" s="30" t="n">
        <v>3</v>
      </c>
      <c r="L3003" s="31" t="n">
        <v>46046</v>
      </c>
      <c r="M3003" s="31" t="n">
        <v>46048</v>
      </c>
      <c r="N3003" s="13"/>
      <c r="O3003" s="13"/>
      <c r="P3003" s="13"/>
      <c r="Q3003" s="13"/>
    </row>
    <row r="3004" customFormat="false" ht="15" hidden="false" customHeight="false" outlineLevel="0" collapsed="false">
      <c r="A3004" s="16" t="s">
        <v>9688</v>
      </c>
      <c r="B3004" s="16" t="n">
        <v>2999</v>
      </c>
      <c r="C3004" s="16" t="s">
        <v>9689</v>
      </c>
      <c r="D3004" s="16" t="n">
        <v>7</v>
      </c>
      <c r="E3004" s="37" t="s">
        <v>9690</v>
      </c>
      <c r="F3004" s="16" t="s">
        <v>1285</v>
      </c>
      <c r="G3004" s="16" t="s">
        <v>563</v>
      </c>
      <c r="H3004" s="16" t="s">
        <v>9603</v>
      </c>
      <c r="I3004" s="16" t="s">
        <v>125</v>
      </c>
      <c r="J3004" s="16" t="s">
        <v>7349</v>
      </c>
      <c r="K3004" s="32" t="n">
        <v>3</v>
      </c>
      <c r="L3004" s="33" t="n">
        <v>46046</v>
      </c>
      <c r="M3004" s="33" t="n">
        <v>46048</v>
      </c>
      <c r="N3004" s="16" t="s">
        <v>9691</v>
      </c>
      <c r="O3004" s="16"/>
      <c r="P3004" s="16" t="str">
        <f aca="false">IF(AND(L3004&lt;=$D$2,M3004&gt;=$C$2),"Sí","")</f>
        <v/>
      </c>
      <c r="Q3004" s="18" t="str">
        <f aca="false">IF(COUNTIF(LOOKAHEAD!$A$5:$A$604,A3004)&gt;0,"En Lookahead",IF(P3004="Sí","INCORPORAR",""))</f>
        <v/>
      </c>
    </row>
    <row r="3005" customFormat="false" ht="15" hidden="false" customHeight="false" outlineLevel="0" collapsed="false">
      <c r="A3005" s="13" t="s">
        <v>9692</v>
      </c>
      <c r="B3005" s="13" t="n">
        <v>3000</v>
      </c>
      <c r="C3005" s="13" t="s">
        <v>9693</v>
      </c>
      <c r="D3005" s="13" t="n">
        <v>6</v>
      </c>
      <c r="E3005" s="36" t="s">
        <v>9694</v>
      </c>
      <c r="F3005" s="13" t="s">
        <v>1298</v>
      </c>
      <c r="G3005" s="13" t="s">
        <v>563</v>
      </c>
      <c r="H3005" s="13" t="s">
        <v>9603</v>
      </c>
      <c r="I3005" s="13" t="s">
        <v>125</v>
      </c>
      <c r="J3005" s="13" t="s">
        <v>7328</v>
      </c>
      <c r="K3005" s="30" t="n">
        <v>1</v>
      </c>
      <c r="L3005" s="31" t="n">
        <v>46049</v>
      </c>
      <c r="M3005" s="31" t="n">
        <v>46049</v>
      </c>
      <c r="N3005" s="13"/>
      <c r="O3005" s="13"/>
      <c r="P3005" s="13"/>
      <c r="Q3005" s="13"/>
    </row>
    <row r="3006" customFormat="false" ht="15" hidden="false" customHeight="false" outlineLevel="0" collapsed="false">
      <c r="A3006" s="16" t="s">
        <v>9695</v>
      </c>
      <c r="B3006" s="16" t="n">
        <v>3001</v>
      </c>
      <c r="C3006" s="16" t="s">
        <v>9696</v>
      </c>
      <c r="D3006" s="16" t="n">
        <v>7</v>
      </c>
      <c r="E3006" s="37" t="s">
        <v>9697</v>
      </c>
      <c r="F3006" s="16" t="s">
        <v>1285</v>
      </c>
      <c r="G3006" s="16" t="s">
        <v>563</v>
      </c>
      <c r="H3006" s="16" t="s">
        <v>9603</v>
      </c>
      <c r="I3006" s="16" t="s">
        <v>125</v>
      </c>
      <c r="J3006" s="16" t="s">
        <v>9694</v>
      </c>
      <c r="K3006" s="32" t="n">
        <v>1</v>
      </c>
      <c r="L3006" s="33" t="n">
        <v>46049</v>
      </c>
      <c r="M3006" s="33" t="n">
        <v>46049</v>
      </c>
      <c r="N3006" s="16" t="s">
        <v>9698</v>
      </c>
      <c r="O3006" s="16"/>
      <c r="P3006" s="16" t="str">
        <f aca="false">IF(AND(L3006&lt;=$D$2,M3006&gt;=$C$2),"Sí","")</f>
        <v/>
      </c>
      <c r="Q3006" s="18" t="str">
        <f aca="false">IF(COUNTIF(LOOKAHEAD!$A$5:$A$604,A3006)&gt;0,"En Lookahead",IF(P3006="Sí","INCORPORAR",""))</f>
        <v/>
      </c>
    </row>
    <row r="3007" customFormat="false" ht="15" hidden="false" customHeight="false" outlineLevel="0" collapsed="false">
      <c r="A3007" s="13" t="s">
        <v>9699</v>
      </c>
      <c r="B3007" s="13" t="n">
        <v>3002</v>
      </c>
      <c r="C3007" s="13" t="s">
        <v>9700</v>
      </c>
      <c r="D3007" s="13" t="n">
        <v>5</v>
      </c>
      <c r="E3007" s="34" t="s">
        <v>7416</v>
      </c>
      <c r="F3007" s="13" t="s">
        <v>1298</v>
      </c>
      <c r="G3007" s="13" t="s">
        <v>563</v>
      </c>
      <c r="H3007" s="13" t="s">
        <v>9603</v>
      </c>
      <c r="I3007" s="13" t="s">
        <v>125</v>
      </c>
      <c r="J3007" s="13" t="s">
        <v>9603</v>
      </c>
      <c r="K3007" s="30" t="n">
        <v>28</v>
      </c>
      <c r="L3007" s="31" t="n">
        <v>46032</v>
      </c>
      <c r="M3007" s="31" t="n">
        <v>46059</v>
      </c>
      <c r="N3007" s="13"/>
      <c r="O3007" s="13"/>
      <c r="P3007" s="13"/>
      <c r="Q3007" s="13"/>
    </row>
    <row r="3008" customFormat="false" ht="15" hidden="false" customHeight="false" outlineLevel="0" collapsed="false">
      <c r="A3008" s="16" t="s">
        <v>9701</v>
      </c>
      <c r="B3008" s="16" t="n">
        <v>3003</v>
      </c>
      <c r="C3008" s="16" t="s">
        <v>9702</v>
      </c>
      <c r="D3008" s="16" t="n">
        <v>6</v>
      </c>
      <c r="E3008" s="35" t="s">
        <v>7419</v>
      </c>
      <c r="F3008" s="16" t="s">
        <v>1285</v>
      </c>
      <c r="G3008" s="16" t="s">
        <v>563</v>
      </c>
      <c r="H3008" s="16" t="s">
        <v>9603</v>
      </c>
      <c r="I3008" s="16" t="s">
        <v>125</v>
      </c>
      <c r="J3008" s="16" t="s">
        <v>7416</v>
      </c>
      <c r="K3008" s="32" t="n">
        <v>16</v>
      </c>
      <c r="L3008" s="33" t="n">
        <v>46044</v>
      </c>
      <c r="M3008" s="33" t="n">
        <v>46059</v>
      </c>
      <c r="N3008" s="16" t="s">
        <v>9703</v>
      </c>
      <c r="O3008" s="16"/>
      <c r="P3008" s="16" t="str">
        <f aca="false">IF(AND(L3008&lt;=$D$2,M3008&gt;=$C$2),"Sí","")</f>
        <v/>
      </c>
      <c r="Q3008" s="18" t="str">
        <f aca="false">IF(COUNTIF(LOOKAHEAD!$A$5:$A$604,A3008)&gt;0,"En Lookahead",IF(P3008="Sí","INCORPORAR",""))</f>
        <v/>
      </c>
    </row>
    <row r="3009" customFormat="false" ht="15" hidden="false" customHeight="false" outlineLevel="0" collapsed="false">
      <c r="A3009" s="16" t="s">
        <v>9704</v>
      </c>
      <c r="B3009" s="16" t="n">
        <v>3004</v>
      </c>
      <c r="C3009" s="16" t="s">
        <v>9705</v>
      </c>
      <c r="D3009" s="16" t="n">
        <v>6</v>
      </c>
      <c r="E3009" s="35" t="s">
        <v>7422</v>
      </c>
      <c r="F3009" s="16" t="s">
        <v>1285</v>
      </c>
      <c r="G3009" s="16" t="s">
        <v>563</v>
      </c>
      <c r="H3009" s="16" t="s">
        <v>9603</v>
      </c>
      <c r="I3009" s="16" t="s">
        <v>125</v>
      </c>
      <c r="J3009" s="16" t="s">
        <v>7416</v>
      </c>
      <c r="K3009" s="32" t="n">
        <v>5</v>
      </c>
      <c r="L3009" s="33" t="n">
        <v>46044</v>
      </c>
      <c r="M3009" s="33" t="n">
        <v>46048</v>
      </c>
      <c r="N3009" s="16" t="s">
        <v>9706</v>
      </c>
      <c r="O3009" s="16"/>
      <c r="P3009" s="16" t="str">
        <f aca="false">IF(AND(L3009&lt;=$D$2,M3009&gt;=$C$2),"Sí","")</f>
        <v/>
      </c>
      <c r="Q3009" s="18" t="str">
        <f aca="false">IF(COUNTIF(LOOKAHEAD!$A$5:$A$604,A3009)&gt;0,"En Lookahead",IF(P3009="Sí","INCORPORAR",""))</f>
        <v/>
      </c>
    </row>
    <row r="3010" customFormat="false" ht="15" hidden="false" customHeight="false" outlineLevel="0" collapsed="false">
      <c r="A3010" s="16" t="s">
        <v>9707</v>
      </c>
      <c r="B3010" s="16" t="n">
        <v>3005</v>
      </c>
      <c r="C3010" s="16" t="s">
        <v>9708</v>
      </c>
      <c r="D3010" s="16" t="n">
        <v>6</v>
      </c>
      <c r="E3010" s="35" t="s">
        <v>7426</v>
      </c>
      <c r="F3010" s="16" t="s">
        <v>1285</v>
      </c>
      <c r="G3010" s="16" t="s">
        <v>563</v>
      </c>
      <c r="H3010" s="16" t="s">
        <v>9603</v>
      </c>
      <c r="I3010" s="16" t="s">
        <v>125</v>
      </c>
      <c r="J3010" s="16" t="s">
        <v>7416</v>
      </c>
      <c r="K3010" s="32" t="n">
        <v>2</v>
      </c>
      <c r="L3010" s="33" t="n">
        <v>46032</v>
      </c>
      <c r="M3010" s="33" t="n">
        <v>46033</v>
      </c>
      <c r="N3010" s="16" t="s">
        <v>9638</v>
      </c>
      <c r="O3010" s="16"/>
      <c r="P3010" s="16" t="str">
        <f aca="false">IF(AND(L3010&lt;=$D$2,M3010&gt;=$C$2),"Sí","")</f>
        <v/>
      </c>
      <c r="Q3010" s="18" t="str">
        <f aca="false">IF(COUNTIF(LOOKAHEAD!$A$5:$A$604,A3010)&gt;0,"En Lookahead",IF(P3010="Sí","INCORPORAR",""))</f>
        <v/>
      </c>
    </row>
    <row r="3011" customFormat="false" ht="15" hidden="false" customHeight="false" outlineLevel="0" collapsed="false">
      <c r="A3011" s="16" t="s">
        <v>9709</v>
      </c>
      <c r="B3011" s="16" t="n">
        <v>3006</v>
      </c>
      <c r="C3011" s="16" t="s">
        <v>9710</v>
      </c>
      <c r="D3011" s="16" t="n">
        <v>6</v>
      </c>
      <c r="E3011" s="35" t="s">
        <v>7429</v>
      </c>
      <c r="F3011" s="16" t="s">
        <v>1285</v>
      </c>
      <c r="G3011" s="16" t="s">
        <v>563</v>
      </c>
      <c r="H3011" s="16" t="s">
        <v>9603</v>
      </c>
      <c r="I3011" s="16" t="s">
        <v>125</v>
      </c>
      <c r="J3011" s="16" t="s">
        <v>7416</v>
      </c>
      <c r="K3011" s="32" t="n">
        <v>1</v>
      </c>
      <c r="L3011" s="33" t="n">
        <v>46034</v>
      </c>
      <c r="M3011" s="33" t="n">
        <v>46034</v>
      </c>
      <c r="N3011" s="16" t="s">
        <v>9711</v>
      </c>
      <c r="O3011" s="16"/>
      <c r="P3011" s="16" t="str">
        <f aca="false">IF(AND(L3011&lt;=$D$2,M3011&gt;=$C$2),"Sí","")</f>
        <v/>
      </c>
      <c r="Q3011" s="18" t="str">
        <f aca="false">IF(COUNTIF(LOOKAHEAD!$A$5:$A$604,A3011)&gt;0,"En Lookahead",IF(P3011="Sí","INCORPORAR",""))</f>
        <v/>
      </c>
    </row>
    <row r="3012" customFormat="false" ht="15" hidden="false" customHeight="false" outlineLevel="0" collapsed="false">
      <c r="A3012" s="16" t="s">
        <v>9712</v>
      </c>
      <c r="B3012" s="16" t="n">
        <v>3007</v>
      </c>
      <c r="C3012" s="16" t="s">
        <v>9713</v>
      </c>
      <c r="D3012" s="16" t="n">
        <v>6</v>
      </c>
      <c r="E3012" s="35" t="s">
        <v>7432</v>
      </c>
      <c r="F3012" s="16" t="s">
        <v>1285</v>
      </c>
      <c r="G3012" s="16" t="s">
        <v>563</v>
      </c>
      <c r="H3012" s="16" t="s">
        <v>9603</v>
      </c>
      <c r="I3012" s="16" t="s">
        <v>125</v>
      </c>
      <c r="J3012" s="16" t="s">
        <v>7416</v>
      </c>
      <c r="K3012" s="32" t="n">
        <v>1</v>
      </c>
      <c r="L3012" s="33" t="n">
        <v>46035</v>
      </c>
      <c r="M3012" s="33" t="n">
        <v>46035</v>
      </c>
      <c r="N3012" s="16" t="s">
        <v>9714</v>
      </c>
      <c r="O3012" s="16"/>
      <c r="P3012" s="16" t="str">
        <f aca="false">IF(AND(L3012&lt;=$D$2,M3012&gt;=$C$2),"Sí","")</f>
        <v/>
      </c>
      <c r="Q3012" s="18" t="str">
        <f aca="false">IF(COUNTIF(LOOKAHEAD!$A$5:$A$604,A3012)&gt;0,"En Lookahead",IF(P3012="Sí","INCORPORAR",""))</f>
        <v/>
      </c>
    </row>
    <row r="3013" customFormat="false" ht="15" hidden="false" customHeight="false" outlineLevel="0" collapsed="false">
      <c r="A3013" s="16" t="s">
        <v>9715</v>
      </c>
      <c r="B3013" s="16" t="n">
        <v>3008</v>
      </c>
      <c r="C3013" s="16" t="s">
        <v>9716</v>
      </c>
      <c r="D3013" s="16" t="n">
        <v>6</v>
      </c>
      <c r="E3013" s="35" t="s">
        <v>7436</v>
      </c>
      <c r="F3013" s="16" t="s">
        <v>1285</v>
      </c>
      <c r="G3013" s="16" t="s">
        <v>563</v>
      </c>
      <c r="H3013" s="16" t="s">
        <v>9603</v>
      </c>
      <c r="I3013" s="16" t="s">
        <v>125</v>
      </c>
      <c r="J3013" s="16" t="s">
        <v>7416</v>
      </c>
      <c r="K3013" s="32" t="n">
        <v>1</v>
      </c>
      <c r="L3013" s="33" t="n">
        <v>46036</v>
      </c>
      <c r="M3013" s="33" t="n">
        <v>46036</v>
      </c>
      <c r="N3013" s="16" t="s">
        <v>9717</v>
      </c>
      <c r="O3013" s="16"/>
      <c r="P3013" s="16" t="str">
        <f aca="false">IF(AND(L3013&lt;=$D$2,M3013&gt;=$C$2),"Sí","")</f>
        <v/>
      </c>
      <c r="Q3013" s="18" t="str">
        <f aca="false">IF(COUNTIF(LOOKAHEAD!$A$5:$A$604,A3013)&gt;0,"En Lookahead",IF(P3013="Sí","INCORPORAR",""))</f>
        <v/>
      </c>
    </row>
    <row r="3014" customFormat="false" ht="15" hidden="false" customHeight="false" outlineLevel="0" collapsed="false">
      <c r="A3014" s="13" t="s">
        <v>9718</v>
      </c>
      <c r="B3014" s="13" t="n">
        <v>3009</v>
      </c>
      <c r="C3014" s="13" t="s">
        <v>9719</v>
      </c>
      <c r="D3014" s="13" t="n">
        <v>5</v>
      </c>
      <c r="E3014" s="34" t="s">
        <v>7440</v>
      </c>
      <c r="F3014" s="13" t="s">
        <v>1298</v>
      </c>
      <c r="G3014" s="13" t="s">
        <v>563</v>
      </c>
      <c r="H3014" s="13" t="s">
        <v>9603</v>
      </c>
      <c r="I3014" s="13" t="s">
        <v>125</v>
      </c>
      <c r="J3014" s="13" t="s">
        <v>9603</v>
      </c>
      <c r="K3014" s="30" t="n">
        <v>1</v>
      </c>
      <c r="L3014" s="31" t="n">
        <v>46037</v>
      </c>
      <c r="M3014" s="31" t="n">
        <v>46037</v>
      </c>
      <c r="N3014" s="13"/>
      <c r="O3014" s="13"/>
      <c r="P3014" s="13"/>
      <c r="Q3014" s="13"/>
    </row>
    <row r="3015" customFormat="false" ht="15" hidden="false" customHeight="false" outlineLevel="0" collapsed="false">
      <c r="A3015" s="16" t="s">
        <v>9720</v>
      </c>
      <c r="B3015" s="16" t="n">
        <v>3010</v>
      </c>
      <c r="C3015" s="16" t="s">
        <v>9721</v>
      </c>
      <c r="D3015" s="16" t="n">
        <v>6</v>
      </c>
      <c r="E3015" s="35" t="s">
        <v>7451</v>
      </c>
      <c r="F3015" s="16" t="s">
        <v>1285</v>
      </c>
      <c r="G3015" s="16" t="s">
        <v>563</v>
      </c>
      <c r="H3015" s="16" t="s">
        <v>9603</v>
      </c>
      <c r="I3015" s="16" t="s">
        <v>125</v>
      </c>
      <c r="J3015" s="16" t="s">
        <v>7440</v>
      </c>
      <c r="K3015" s="32" t="n">
        <v>1</v>
      </c>
      <c r="L3015" s="33" t="n">
        <v>46037</v>
      </c>
      <c r="M3015" s="33" t="n">
        <v>46037</v>
      </c>
      <c r="N3015" s="16" t="s">
        <v>9722</v>
      </c>
      <c r="O3015" s="16"/>
      <c r="P3015" s="16" t="str">
        <f aca="false">IF(AND(L3015&lt;=$D$2,M3015&gt;=$C$2),"Sí","")</f>
        <v/>
      </c>
      <c r="Q3015" s="18" t="str">
        <f aca="false">IF(COUNTIF(LOOKAHEAD!$A$5:$A$604,A3015)&gt;0,"En Lookahead",IF(P3015="Sí","INCORPORAR",""))</f>
        <v/>
      </c>
    </row>
    <row r="3016" customFormat="false" ht="15" hidden="false" customHeight="false" outlineLevel="0" collapsed="false">
      <c r="A3016" s="13" t="s">
        <v>9723</v>
      </c>
      <c r="B3016" s="13" t="n">
        <v>3011</v>
      </c>
      <c r="C3016" s="13" t="s">
        <v>9724</v>
      </c>
      <c r="D3016" s="13" t="n">
        <v>5</v>
      </c>
      <c r="E3016" s="34" t="s">
        <v>7455</v>
      </c>
      <c r="F3016" s="13" t="s">
        <v>1298</v>
      </c>
      <c r="G3016" s="13" t="s">
        <v>563</v>
      </c>
      <c r="H3016" s="13" t="s">
        <v>9603</v>
      </c>
      <c r="I3016" s="13" t="s">
        <v>125</v>
      </c>
      <c r="J3016" s="13" t="s">
        <v>9603</v>
      </c>
      <c r="K3016" s="30" t="n">
        <v>1</v>
      </c>
      <c r="L3016" s="31" t="n">
        <v>46060</v>
      </c>
      <c r="M3016" s="31" t="n">
        <v>46060</v>
      </c>
      <c r="N3016" s="13"/>
      <c r="O3016" s="13"/>
      <c r="P3016" s="13"/>
      <c r="Q3016" s="13"/>
    </row>
    <row r="3017" customFormat="false" ht="15" hidden="false" customHeight="false" outlineLevel="0" collapsed="false">
      <c r="A3017" s="13" t="s">
        <v>9725</v>
      </c>
      <c r="B3017" s="13" t="n">
        <v>3012</v>
      </c>
      <c r="C3017" s="13" t="s">
        <v>9726</v>
      </c>
      <c r="D3017" s="13" t="n">
        <v>6</v>
      </c>
      <c r="E3017" s="36" t="s">
        <v>7458</v>
      </c>
      <c r="F3017" s="13" t="s">
        <v>1298</v>
      </c>
      <c r="G3017" s="13" t="s">
        <v>563</v>
      </c>
      <c r="H3017" s="13" t="s">
        <v>9603</v>
      </c>
      <c r="I3017" s="13" t="s">
        <v>125</v>
      </c>
      <c r="J3017" s="13" t="s">
        <v>7455</v>
      </c>
      <c r="K3017" s="30" t="n">
        <v>1</v>
      </c>
      <c r="L3017" s="31" t="n">
        <v>46060</v>
      </c>
      <c r="M3017" s="31" t="n">
        <v>46060</v>
      </c>
      <c r="N3017" s="13"/>
      <c r="O3017" s="13"/>
      <c r="P3017" s="13"/>
      <c r="Q3017" s="13"/>
    </row>
    <row r="3018" customFormat="false" ht="15" hidden="false" customHeight="false" outlineLevel="0" collapsed="false">
      <c r="A3018" s="16" t="s">
        <v>9727</v>
      </c>
      <c r="B3018" s="16" t="n">
        <v>3013</v>
      </c>
      <c r="C3018" s="16" t="s">
        <v>9728</v>
      </c>
      <c r="D3018" s="16" t="n">
        <v>7</v>
      </c>
      <c r="E3018" s="37" t="s">
        <v>7461</v>
      </c>
      <c r="F3018" s="16" t="s">
        <v>1285</v>
      </c>
      <c r="G3018" s="16" t="s">
        <v>563</v>
      </c>
      <c r="H3018" s="16" t="s">
        <v>9603</v>
      </c>
      <c r="I3018" s="16" t="s">
        <v>125</v>
      </c>
      <c r="J3018" s="16" t="s">
        <v>7458</v>
      </c>
      <c r="K3018" s="32" t="n">
        <v>1</v>
      </c>
      <c r="L3018" s="33" t="n">
        <v>46060</v>
      </c>
      <c r="M3018" s="33" t="n">
        <v>46060</v>
      </c>
      <c r="N3018" s="16" t="s">
        <v>9729</v>
      </c>
      <c r="O3018" s="16"/>
      <c r="P3018" s="16" t="str">
        <f aca="false">IF(AND(L3018&lt;=$D$2,M3018&gt;=$C$2),"Sí","")</f>
        <v/>
      </c>
      <c r="Q3018" s="18" t="str">
        <f aca="false">IF(COUNTIF(LOOKAHEAD!$A$5:$A$604,A3018)&gt;0,"En Lookahead",IF(P3018="Sí","INCORPORAR",""))</f>
        <v/>
      </c>
    </row>
    <row r="3019" customFormat="false" ht="15" hidden="false" customHeight="false" outlineLevel="0" collapsed="false">
      <c r="A3019" s="13" t="s">
        <v>9730</v>
      </c>
      <c r="B3019" s="13" t="n">
        <v>3014</v>
      </c>
      <c r="C3019" s="13" t="s">
        <v>9731</v>
      </c>
      <c r="D3019" s="13" t="n">
        <v>6</v>
      </c>
      <c r="E3019" s="36" t="s">
        <v>7798</v>
      </c>
      <c r="F3019" s="13" t="s">
        <v>1298</v>
      </c>
      <c r="G3019" s="13" t="s">
        <v>563</v>
      </c>
      <c r="H3019" s="13" t="s">
        <v>9603</v>
      </c>
      <c r="I3019" s="13" t="s">
        <v>125</v>
      </c>
      <c r="J3019" s="13" t="s">
        <v>7455</v>
      </c>
      <c r="K3019" s="30" t="n">
        <v>1</v>
      </c>
      <c r="L3019" s="31" t="n">
        <v>46060</v>
      </c>
      <c r="M3019" s="31" t="n">
        <v>46060</v>
      </c>
      <c r="N3019" s="13"/>
      <c r="O3019" s="13"/>
      <c r="P3019" s="13"/>
      <c r="Q3019" s="13"/>
    </row>
    <row r="3020" customFormat="false" ht="15" hidden="false" customHeight="false" outlineLevel="0" collapsed="false">
      <c r="A3020" s="16" t="s">
        <v>9732</v>
      </c>
      <c r="B3020" s="16" t="n">
        <v>3015</v>
      </c>
      <c r="C3020" s="16" t="s">
        <v>9733</v>
      </c>
      <c r="D3020" s="16" t="n">
        <v>7</v>
      </c>
      <c r="E3020" s="37" t="s">
        <v>7801</v>
      </c>
      <c r="F3020" s="16" t="s">
        <v>1285</v>
      </c>
      <c r="G3020" s="16" t="s">
        <v>563</v>
      </c>
      <c r="H3020" s="16" t="s">
        <v>9603</v>
      </c>
      <c r="I3020" s="16" t="s">
        <v>125</v>
      </c>
      <c r="J3020" s="16" t="s">
        <v>7798</v>
      </c>
      <c r="K3020" s="32" t="n">
        <v>1</v>
      </c>
      <c r="L3020" s="33" t="n">
        <v>46060</v>
      </c>
      <c r="M3020" s="33" t="n">
        <v>46060</v>
      </c>
      <c r="N3020" s="16" t="s">
        <v>9734</v>
      </c>
      <c r="O3020" s="16"/>
      <c r="P3020" s="16" t="str">
        <f aca="false">IF(AND(L3020&lt;=$D$2,M3020&gt;=$C$2),"Sí","")</f>
        <v/>
      </c>
      <c r="Q3020" s="18" t="str">
        <f aca="false">IF(COUNTIF(LOOKAHEAD!$A$5:$A$604,A3020)&gt;0,"En Lookahead",IF(P3020="Sí","INCORPORAR",""))</f>
        <v/>
      </c>
    </row>
    <row r="3021" customFormat="false" ht="15" hidden="false" customHeight="false" outlineLevel="0" collapsed="false">
      <c r="A3021" s="13" t="s">
        <v>9735</v>
      </c>
      <c r="B3021" s="13" t="n">
        <v>3016</v>
      </c>
      <c r="C3021" s="13" t="s">
        <v>9736</v>
      </c>
      <c r="D3021" s="13" t="n">
        <v>6</v>
      </c>
      <c r="E3021" s="36" t="s">
        <v>7810</v>
      </c>
      <c r="F3021" s="13" t="s">
        <v>1298</v>
      </c>
      <c r="G3021" s="13" t="s">
        <v>563</v>
      </c>
      <c r="H3021" s="13" t="s">
        <v>9603</v>
      </c>
      <c r="I3021" s="13" t="s">
        <v>125</v>
      </c>
      <c r="J3021" s="13" t="s">
        <v>7455</v>
      </c>
      <c r="K3021" s="30" t="n">
        <v>1</v>
      </c>
      <c r="L3021" s="31" t="n">
        <v>46060</v>
      </c>
      <c r="M3021" s="31" t="n">
        <v>46060</v>
      </c>
      <c r="N3021" s="13"/>
      <c r="O3021" s="13"/>
      <c r="P3021" s="13"/>
      <c r="Q3021" s="13"/>
    </row>
    <row r="3022" customFormat="false" ht="15" hidden="false" customHeight="false" outlineLevel="0" collapsed="false">
      <c r="A3022" s="16" t="s">
        <v>9737</v>
      </c>
      <c r="B3022" s="16" t="n">
        <v>3017</v>
      </c>
      <c r="C3022" s="16" t="s">
        <v>9738</v>
      </c>
      <c r="D3022" s="16" t="n">
        <v>7</v>
      </c>
      <c r="E3022" s="37" t="s">
        <v>7813</v>
      </c>
      <c r="F3022" s="16" t="s">
        <v>1285</v>
      </c>
      <c r="G3022" s="16" t="s">
        <v>563</v>
      </c>
      <c r="H3022" s="16" t="s">
        <v>9603</v>
      </c>
      <c r="I3022" s="16" t="s">
        <v>125</v>
      </c>
      <c r="J3022" s="16" t="s">
        <v>7810</v>
      </c>
      <c r="K3022" s="32" t="n">
        <v>1</v>
      </c>
      <c r="L3022" s="33" t="n">
        <v>46060</v>
      </c>
      <c r="M3022" s="33" t="n">
        <v>46060</v>
      </c>
      <c r="N3022" s="16" t="s">
        <v>9739</v>
      </c>
      <c r="O3022" s="16"/>
      <c r="P3022" s="16" t="str">
        <f aca="false">IF(AND(L3022&lt;=$D$2,M3022&gt;=$C$2),"Sí","")</f>
        <v/>
      </c>
      <c r="Q3022" s="18" t="str">
        <f aca="false">IF(COUNTIF(LOOKAHEAD!$A$5:$A$604,A3022)&gt;0,"En Lookahead",IF(P3022="Sí","INCORPORAR",""))</f>
        <v/>
      </c>
    </row>
    <row r="3023" customFormat="false" ht="15" hidden="false" customHeight="false" outlineLevel="0" collapsed="false">
      <c r="A3023" s="13" t="s">
        <v>9740</v>
      </c>
      <c r="B3023" s="13" t="n">
        <v>3018</v>
      </c>
      <c r="C3023" s="13" t="s">
        <v>9741</v>
      </c>
      <c r="D3023" s="13" t="n">
        <v>4</v>
      </c>
      <c r="E3023" s="20" t="s">
        <v>6716</v>
      </c>
      <c r="F3023" s="13" t="s">
        <v>1298</v>
      </c>
      <c r="G3023" s="13" t="s">
        <v>563</v>
      </c>
      <c r="H3023" s="13" t="s">
        <v>6716</v>
      </c>
      <c r="I3023" s="13" t="s">
        <v>129</v>
      </c>
      <c r="J3023" s="13" t="s">
        <v>7172</v>
      </c>
      <c r="K3023" s="30" t="n">
        <v>51</v>
      </c>
      <c r="L3023" s="31" t="n">
        <v>46007</v>
      </c>
      <c r="M3023" s="31" t="n">
        <v>46057</v>
      </c>
      <c r="N3023" s="13"/>
      <c r="O3023" s="13"/>
      <c r="P3023" s="13"/>
      <c r="Q3023" s="13"/>
    </row>
    <row r="3024" customFormat="false" ht="15" hidden="false" customHeight="false" outlineLevel="0" collapsed="false">
      <c r="A3024" s="13" t="s">
        <v>9742</v>
      </c>
      <c r="B3024" s="13" t="n">
        <v>3019</v>
      </c>
      <c r="C3024" s="13" t="s">
        <v>9743</v>
      </c>
      <c r="D3024" s="13" t="n">
        <v>5</v>
      </c>
      <c r="E3024" s="34" t="s">
        <v>6743</v>
      </c>
      <c r="F3024" s="13" t="s">
        <v>1298</v>
      </c>
      <c r="G3024" s="13" t="s">
        <v>563</v>
      </c>
      <c r="H3024" s="13" t="s">
        <v>6716</v>
      </c>
      <c r="I3024" s="13" t="s">
        <v>129</v>
      </c>
      <c r="J3024" s="13" t="s">
        <v>6716</v>
      </c>
      <c r="K3024" s="30" t="n">
        <v>50</v>
      </c>
      <c r="L3024" s="31" t="n">
        <v>46007</v>
      </c>
      <c r="M3024" s="31" t="n">
        <v>46056</v>
      </c>
      <c r="N3024" s="13"/>
      <c r="O3024" s="13"/>
      <c r="P3024" s="13"/>
      <c r="Q3024" s="13"/>
    </row>
    <row r="3025" customFormat="false" ht="15" hidden="false" customHeight="false" outlineLevel="0" collapsed="false">
      <c r="A3025" s="13" t="s">
        <v>9744</v>
      </c>
      <c r="B3025" s="13" t="n">
        <v>3020</v>
      </c>
      <c r="C3025" s="13" t="s">
        <v>9745</v>
      </c>
      <c r="D3025" s="13" t="n">
        <v>6</v>
      </c>
      <c r="E3025" s="36" t="s">
        <v>9746</v>
      </c>
      <c r="F3025" s="13" t="s">
        <v>1298</v>
      </c>
      <c r="G3025" s="13" t="s">
        <v>563</v>
      </c>
      <c r="H3025" s="13" t="s">
        <v>6716</v>
      </c>
      <c r="I3025" s="13" t="s">
        <v>129</v>
      </c>
      <c r="J3025" s="13" t="s">
        <v>6743</v>
      </c>
      <c r="K3025" s="30" t="n">
        <v>7</v>
      </c>
      <c r="L3025" s="31" t="n">
        <v>46007</v>
      </c>
      <c r="M3025" s="31" t="n">
        <v>46013</v>
      </c>
      <c r="N3025" s="13"/>
      <c r="O3025" s="13"/>
      <c r="P3025" s="13"/>
      <c r="Q3025" s="13"/>
    </row>
    <row r="3026" customFormat="false" ht="15" hidden="false" customHeight="false" outlineLevel="0" collapsed="false">
      <c r="A3026" s="16" t="s">
        <v>9747</v>
      </c>
      <c r="B3026" s="16" t="n">
        <v>3021</v>
      </c>
      <c r="C3026" s="16" t="s">
        <v>9748</v>
      </c>
      <c r="D3026" s="16" t="n">
        <v>7</v>
      </c>
      <c r="E3026" s="37" t="s">
        <v>9749</v>
      </c>
      <c r="F3026" s="16" t="s">
        <v>1285</v>
      </c>
      <c r="G3026" s="16" t="s">
        <v>563</v>
      </c>
      <c r="H3026" s="16" t="s">
        <v>6716</v>
      </c>
      <c r="I3026" s="16" t="s">
        <v>129</v>
      </c>
      <c r="J3026" s="16" t="s">
        <v>9746</v>
      </c>
      <c r="K3026" s="32" t="n">
        <v>4</v>
      </c>
      <c r="L3026" s="33" t="n">
        <v>46010</v>
      </c>
      <c r="M3026" s="33" t="n">
        <v>46013</v>
      </c>
      <c r="N3026" s="16" t="s">
        <v>9750</v>
      </c>
      <c r="O3026" s="16"/>
      <c r="P3026" s="16" t="str">
        <f aca="false">IF(AND(L3026&lt;=$D$2,M3026&gt;=$C$2),"Sí","")</f>
        <v/>
      </c>
      <c r="Q3026" s="18" t="str">
        <f aca="false">IF(COUNTIF(LOOKAHEAD!$A$5:$A$604,A3026)&gt;0,"En Lookahead",IF(P3026="Sí","INCORPORAR",""))</f>
        <v/>
      </c>
    </row>
    <row r="3027" customFormat="false" ht="15" hidden="false" customHeight="false" outlineLevel="0" collapsed="false">
      <c r="A3027" s="16" t="s">
        <v>9751</v>
      </c>
      <c r="B3027" s="16" t="n">
        <v>3022</v>
      </c>
      <c r="C3027" s="16" t="s">
        <v>9752</v>
      </c>
      <c r="D3027" s="16" t="n">
        <v>7</v>
      </c>
      <c r="E3027" s="37" t="s">
        <v>9753</v>
      </c>
      <c r="F3027" s="16" t="s">
        <v>1285</v>
      </c>
      <c r="G3027" s="16" t="s">
        <v>563</v>
      </c>
      <c r="H3027" s="16" t="s">
        <v>6716</v>
      </c>
      <c r="I3027" s="16" t="s">
        <v>129</v>
      </c>
      <c r="J3027" s="16" t="s">
        <v>9746</v>
      </c>
      <c r="K3027" s="32" t="n">
        <v>3</v>
      </c>
      <c r="L3027" s="33" t="n">
        <v>46007</v>
      </c>
      <c r="M3027" s="33" t="n">
        <v>46009</v>
      </c>
      <c r="N3027" s="16" t="s">
        <v>6765</v>
      </c>
      <c r="O3027" s="16"/>
      <c r="P3027" s="16" t="str">
        <f aca="false">IF(AND(L3027&lt;=$D$2,M3027&gt;=$C$2),"Sí","")</f>
        <v/>
      </c>
      <c r="Q3027" s="18" t="str">
        <f aca="false">IF(COUNTIF(LOOKAHEAD!$A$5:$A$604,A3027)&gt;0,"En Lookahead",IF(P3027="Sí","INCORPORAR",""))</f>
        <v/>
      </c>
    </row>
    <row r="3028" customFormat="false" ht="15" hidden="false" customHeight="false" outlineLevel="0" collapsed="false">
      <c r="A3028" s="13" t="s">
        <v>9754</v>
      </c>
      <c r="B3028" s="13" t="n">
        <v>3023</v>
      </c>
      <c r="C3028" s="13" t="s">
        <v>9755</v>
      </c>
      <c r="D3028" s="13" t="n">
        <v>6</v>
      </c>
      <c r="E3028" s="36" t="s">
        <v>9756</v>
      </c>
      <c r="F3028" s="13" t="s">
        <v>1298</v>
      </c>
      <c r="G3028" s="13" t="s">
        <v>563</v>
      </c>
      <c r="H3028" s="13" t="s">
        <v>6716</v>
      </c>
      <c r="I3028" s="13" t="s">
        <v>129</v>
      </c>
      <c r="J3028" s="13" t="s">
        <v>6743</v>
      </c>
      <c r="K3028" s="30" t="n">
        <v>14</v>
      </c>
      <c r="L3028" s="31" t="n">
        <v>46010</v>
      </c>
      <c r="M3028" s="31" t="n">
        <v>46023</v>
      </c>
      <c r="N3028" s="13"/>
      <c r="O3028" s="13"/>
      <c r="P3028" s="13"/>
      <c r="Q3028" s="13"/>
    </row>
    <row r="3029" customFormat="false" ht="15" hidden="false" customHeight="false" outlineLevel="0" collapsed="false">
      <c r="A3029" s="16" t="s">
        <v>9757</v>
      </c>
      <c r="B3029" s="16" t="n">
        <v>3024</v>
      </c>
      <c r="C3029" s="16" t="s">
        <v>9758</v>
      </c>
      <c r="D3029" s="16" t="n">
        <v>7</v>
      </c>
      <c r="E3029" s="37" t="s">
        <v>9749</v>
      </c>
      <c r="F3029" s="16" t="s">
        <v>1285</v>
      </c>
      <c r="G3029" s="16" t="s">
        <v>563</v>
      </c>
      <c r="H3029" s="16" t="s">
        <v>6716</v>
      </c>
      <c r="I3029" s="16" t="s">
        <v>129</v>
      </c>
      <c r="J3029" s="16" t="s">
        <v>9756</v>
      </c>
      <c r="K3029" s="32" t="n">
        <v>7</v>
      </c>
      <c r="L3029" s="33" t="n">
        <v>46017</v>
      </c>
      <c r="M3029" s="33" t="n">
        <v>46023</v>
      </c>
      <c r="N3029" s="16" t="s">
        <v>9759</v>
      </c>
      <c r="O3029" s="16"/>
      <c r="P3029" s="16" t="str">
        <f aca="false">IF(AND(L3029&lt;=$D$2,M3029&gt;=$C$2),"Sí","")</f>
        <v/>
      </c>
      <c r="Q3029" s="18" t="str">
        <f aca="false">IF(COUNTIF(LOOKAHEAD!$A$5:$A$604,A3029)&gt;0,"En Lookahead",IF(P3029="Sí","INCORPORAR",""))</f>
        <v/>
      </c>
    </row>
    <row r="3030" customFormat="false" ht="15" hidden="false" customHeight="false" outlineLevel="0" collapsed="false">
      <c r="A3030" s="16" t="s">
        <v>9760</v>
      </c>
      <c r="B3030" s="16" t="n">
        <v>3025</v>
      </c>
      <c r="C3030" s="16" t="s">
        <v>9761</v>
      </c>
      <c r="D3030" s="16" t="n">
        <v>7</v>
      </c>
      <c r="E3030" s="37" t="s">
        <v>9753</v>
      </c>
      <c r="F3030" s="16" t="s">
        <v>1285</v>
      </c>
      <c r="G3030" s="16" t="s">
        <v>563</v>
      </c>
      <c r="H3030" s="16" t="s">
        <v>6716</v>
      </c>
      <c r="I3030" s="16" t="s">
        <v>129</v>
      </c>
      <c r="J3030" s="16" t="s">
        <v>9756</v>
      </c>
      <c r="K3030" s="32" t="n">
        <v>7</v>
      </c>
      <c r="L3030" s="33" t="n">
        <v>46010</v>
      </c>
      <c r="M3030" s="33" t="n">
        <v>46016</v>
      </c>
      <c r="N3030" s="16" t="s">
        <v>9750</v>
      </c>
      <c r="O3030" s="16"/>
      <c r="P3030" s="16" t="str">
        <f aca="false">IF(AND(L3030&lt;=$D$2,M3030&gt;=$C$2),"Sí","")</f>
        <v/>
      </c>
      <c r="Q3030" s="18" t="str">
        <f aca="false">IF(COUNTIF(LOOKAHEAD!$A$5:$A$604,A3030)&gt;0,"En Lookahead",IF(P3030="Sí","INCORPORAR",""))</f>
        <v/>
      </c>
    </row>
    <row r="3031" customFormat="false" ht="15" hidden="false" customHeight="false" outlineLevel="0" collapsed="false">
      <c r="A3031" s="13" t="s">
        <v>9762</v>
      </c>
      <c r="B3031" s="13" t="n">
        <v>3026</v>
      </c>
      <c r="C3031" s="13" t="s">
        <v>9763</v>
      </c>
      <c r="D3031" s="13" t="n">
        <v>6</v>
      </c>
      <c r="E3031" s="36" t="s">
        <v>9764</v>
      </c>
      <c r="F3031" s="13" t="s">
        <v>1298</v>
      </c>
      <c r="G3031" s="13" t="s">
        <v>563</v>
      </c>
      <c r="H3031" s="13" t="s">
        <v>6716</v>
      </c>
      <c r="I3031" s="13" t="s">
        <v>129</v>
      </c>
      <c r="J3031" s="13" t="s">
        <v>6743</v>
      </c>
      <c r="K3031" s="30" t="n">
        <v>9</v>
      </c>
      <c r="L3031" s="31" t="n">
        <v>46024</v>
      </c>
      <c r="M3031" s="31" t="n">
        <v>46032</v>
      </c>
      <c r="N3031" s="13"/>
      <c r="O3031" s="13"/>
      <c r="P3031" s="13"/>
      <c r="Q3031" s="13"/>
    </row>
    <row r="3032" customFormat="false" ht="15" hidden="false" customHeight="false" outlineLevel="0" collapsed="false">
      <c r="A3032" s="16" t="s">
        <v>9765</v>
      </c>
      <c r="B3032" s="16" t="n">
        <v>3027</v>
      </c>
      <c r="C3032" s="16" t="s">
        <v>9766</v>
      </c>
      <c r="D3032" s="16" t="n">
        <v>7</v>
      </c>
      <c r="E3032" s="37" t="s">
        <v>9767</v>
      </c>
      <c r="F3032" s="16" t="s">
        <v>1285</v>
      </c>
      <c r="G3032" s="16" t="s">
        <v>563</v>
      </c>
      <c r="H3032" s="16" t="s">
        <v>6716</v>
      </c>
      <c r="I3032" s="16" t="s">
        <v>129</v>
      </c>
      <c r="J3032" s="16" t="s">
        <v>9764</v>
      </c>
      <c r="K3032" s="32" t="n">
        <v>1</v>
      </c>
      <c r="L3032" s="33" t="n">
        <v>46024</v>
      </c>
      <c r="M3032" s="33" t="n">
        <v>46024</v>
      </c>
      <c r="N3032" s="16" t="s">
        <v>9768</v>
      </c>
      <c r="O3032" s="16"/>
      <c r="P3032" s="16" t="str">
        <f aca="false">IF(AND(L3032&lt;=$D$2,M3032&gt;=$C$2),"Sí","")</f>
        <v/>
      </c>
      <c r="Q3032" s="18" t="str">
        <f aca="false">IF(COUNTIF(LOOKAHEAD!$A$5:$A$604,A3032)&gt;0,"En Lookahead",IF(P3032="Sí","INCORPORAR",""))</f>
        <v/>
      </c>
    </row>
    <row r="3033" customFormat="false" ht="15" hidden="false" customHeight="false" outlineLevel="0" collapsed="false">
      <c r="A3033" s="16" t="s">
        <v>9769</v>
      </c>
      <c r="B3033" s="16" t="n">
        <v>3028</v>
      </c>
      <c r="C3033" s="16" t="s">
        <v>9770</v>
      </c>
      <c r="D3033" s="16" t="n">
        <v>7</v>
      </c>
      <c r="E3033" s="37" t="s">
        <v>9771</v>
      </c>
      <c r="F3033" s="16" t="s">
        <v>1285</v>
      </c>
      <c r="G3033" s="16" t="s">
        <v>563</v>
      </c>
      <c r="H3033" s="16" t="s">
        <v>6716</v>
      </c>
      <c r="I3033" s="16" t="s">
        <v>129</v>
      </c>
      <c r="J3033" s="16" t="s">
        <v>9764</v>
      </c>
      <c r="K3033" s="32" t="n">
        <v>1</v>
      </c>
      <c r="L3033" s="33" t="n">
        <v>46025</v>
      </c>
      <c r="M3033" s="33" t="n">
        <v>46025</v>
      </c>
      <c r="N3033" s="16" t="s">
        <v>9772</v>
      </c>
      <c r="O3033" s="16"/>
      <c r="P3033" s="16" t="str">
        <f aca="false">IF(AND(L3033&lt;=$D$2,M3033&gt;=$C$2),"Sí","")</f>
        <v/>
      </c>
      <c r="Q3033" s="18" t="str">
        <f aca="false">IF(COUNTIF(LOOKAHEAD!$A$5:$A$604,A3033)&gt;0,"En Lookahead",IF(P3033="Sí","INCORPORAR",""))</f>
        <v/>
      </c>
    </row>
    <row r="3034" customFormat="false" ht="15" hidden="false" customHeight="false" outlineLevel="0" collapsed="false">
      <c r="A3034" s="16" t="s">
        <v>9773</v>
      </c>
      <c r="B3034" s="16" t="n">
        <v>3029</v>
      </c>
      <c r="C3034" s="16" t="s">
        <v>9774</v>
      </c>
      <c r="D3034" s="16" t="n">
        <v>7</v>
      </c>
      <c r="E3034" s="37" t="s">
        <v>9775</v>
      </c>
      <c r="F3034" s="16" t="s">
        <v>1285</v>
      </c>
      <c r="G3034" s="16" t="s">
        <v>563</v>
      </c>
      <c r="H3034" s="16" t="s">
        <v>6716</v>
      </c>
      <c r="I3034" s="16" t="s">
        <v>129</v>
      </c>
      <c r="J3034" s="16" t="s">
        <v>9764</v>
      </c>
      <c r="K3034" s="32" t="n">
        <v>7</v>
      </c>
      <c r="L3034" s="33" t="n">
        <v>46026</v>
      </c>
      <c r="M3034" s="33" t="n">
        <v>46032</v>
      </c>
      <c r="N3034" s="16" t="s">
        <v>9776</v>
      </c>
      <c r="O3034" s="16"/>
      <c r="P3034" s="16" t="str">
        <f aca="false">IF(AND(L3034&lt;=$D$2,M3034&gt;=$C$2),"Sí","")</f>
        <v/>
      </c>
      <c r="Q3034" s="18" t="str">
        <f aca="false">IF(COUNTIF(LOOKAHEAD!$A$5:$A$604,A3034)&gt;0,"En Lookahead",IF(P3034="Sí","INCORPORAR",""))</f>
        <v/>
      </c>
    </row>
    <row r="3035" customFormat="false" ht="15" hidden="false" customHeight="false" outlineLevel="0" collapsed="false">
      <c r="A3035" s="13" t="s">
        <v>9777</v>
      </c>
      <c r="B3035" s="13" t="n">
        <v>3030</v>
      </c>
      <c r="C3035" s="13" t="s">
        <v>9778</v>
      </c>
      <c r="D3035" s="13" t="n">
        <v>6</v>
      </c>
      <c r="E3035" s="36" t="s">
        <v>7260</v>
      </c>
      <c r="F3035" s="13" t="s">
        <v>1298</v>
      </c>
      <c r="G3035" s="13" t="s">
        <v>563</v>
      </c>
      <c r="H3035" s="13" t="s">
        <v>6716</v>
      </c>
      <c r="I3035" s="13" t="s">
        <v>129</v>
      </c>
      <c r="J3035" s="13" t="s">
        <v>6743</v>
      </c>
      <c r="K3035" s="30" t="n">
        <v>47</v>
      </c>
      <c r="L3035" s="31" t="n">
        <v>46010</v>
      </c>
      <c r="M3035" s="31" t="n">
        <v>46056</v>
      </c>
      <c r="N3035" s="13"/>
      <c r="O3035" s="13"/>
      <c r="P3035" s="13"/>
      <c r="Q3035" s="13"/>
    </row>
    <row r="3036" customFormat="false" ht="15" hidden="false" customHeight="false" outlineLevel="0" collapsed="false">
      <c r="A3036" s="16" t="s">
        <v>9779</v>
      </c>
      <c r="B3036" s="16" t="n">
        <v>3031</v>
      </c>
      <c r="C3036" s="16" t="s">
        <v>9780</v>
      </c>
      <c r="D3036" s="16" t="n">
        <v>7</v>
      </c>
      <c r="E3036" s="37" t="s">
        <v>9781</v>
      </c>
      <c r="F3036" s="16" t="s">
        <v>1285</v>
      </c>
      <c r="G3036" s="16" t="s">
        <v>563</v>
      </c>
      <c r="H3036" s="16" t="s">
        <v>6716</v>
      </c>
      <c r="I3036" s="16" t="s">
        <v>129</v>
      </c>
      <c r="J3036" s="16" t="s">
        <v>7260</v>
      </c>
      <c r="K3036" s="32" t="n">
        <v>38</v>
      </c>
      <c r="L3036" s="33" t="n">
        <v>46019</v>
      </c>
      <c r="M3036" s="33" t="n">
        <v>46056</v>
      </c>
      <c r="N3036" s="16" t="s">
        <v>9782</v>
      </c>
      <c r="O3036" s="16"/>
      <c r="P3036" s="16" t="str">
        <f aca="false">IF(AND(L3036&lt;=$D$2,M3036&gt;=$C$2),"Sí","")</f>
        <v/>
      </c>
      <c r="Q3036" s="18" t="str">
        <f aca="false">IF(COUNTIF(LOOKAHEAD!$A$5:$A$604,A3036)&gt;0,"En Lookahead",IF(P3036="Sí","INCORPORAR",""))</f>
        <v/>
      </c>
    </row>
    <row r="3037" customFormat="false" ht="15" hidden="false" customHeight="false" outlineLevel="0" collapsed="false">
      <c r="A3037" s="16" t="s">
        <v>9783</v>
      </c>
      <c r="B3037" s="16" t="n">
        <v>3032</v>
      </c>
      <c r="C3037" s="16" t="s">
        <v>9784</v>
      </c>
      <c r="D3037" s="16" t="n">
        <v>7</v>
      </c>
      <c r="E3037" s="37" t="s">
        <v>9785</v>
      </c>
      <c r="F3037" s="16" t="s">
        <v>1285</v>
      </c>
      <c r="G3037" s="16" t="s">
        <v>563</v>
      </c>
      <c r="H3037" s="16" t="s">
        <v>6716</v>
      </c>
      <c r="I3037" s="16" t="s">
        <v>129</v>
      </c>
      <c r="J3037" s="16" t="s">
        <v>7260</v>
      </c>
      <c r="K3037" s="32" t="n">
        <v>7</v>
      </c>
      <c r="L3037" s="33" t="n">
        <v>46012</v>
      </c>
      <c r="M3037" s="33" t="n">
        <v>46018</v>
      </c>
      <c r="N3037" s="16" t="s">
        <v>9786</v>
      </c>
      <c r="O3037" s="16"/>
      <c r="P3037" s="16" t="str">
        <f aca="false">IF(AND(L3037&lt;=$D$2,M3037&gt;=$C$2),"Sí","")</f>
        <v/>
      </c>
      <c r="Q3037" s="18" t="str">
        <f aca="false">IF(COUNTIF(LOOKAHEAD!$A$5:$A$604,A3037)&gt;0,"En Lookahead",IF(P3037="Sí","INCORPORAR",""))</f>
        <v/>
      </c>
    </row>
    <row r="3038" customFormat="false" ht="15" hidden="false" customHeight="false" outlineLevel="0" collapsed="false">
      <c r="A3038" s="16" t="s">
        <v>9787</v>
      </c>
      <c r="B3038" s="16" t="n">
        <v>3033</v>
      </c>
      <c r="C3038" s="16" t="s">
        <v>9788</v>
      </c>
      <c r="D3038" s="16" t="n">
        <v>7</v>
      </c>
      <c r="E3038" s="37" t="s">
        <v>9789</v>
      </c>
      <c r="F3038" s="16" t="s">
        <v>1285</v>
      </c>
      <c r="G3038" s="16" t="s">
        <v>563</v>
      </c>
      <c r="H3038" s="16" t="s">
        <v>6716</v>
      </c>
      <c r="I3038" s="16" t="s">
        <v>129</v>
      </c>
      <c r="J3038" s="16" t="s">
        <v>7260</v>
      </c>
      <c r="K3038" s="32" t="n">
        <v>2</v>
      </c>
      <c r="L3038" s="33" t="n">
        <v>46010</v>
      </c>
      <c r="M3038" s="33" t="n">
        <v>46011</v>
      </c>
      <c r="N3038" s="16" t="s">
        <v>9750</v>
      </c>
      <c r="O3038" s="16"/>
      <c r="P3038" s="16" t="str">
        <f aca="false">IF(AND(L3038&lt;=$D$2,M3038&gt;=$C$2),"Sí","")</f>
        <v/>
      </c>
      <c r="Q3038" s="18" t="str">
        <f aca="false">IF(COUNTIF(LOOKAHEAD!$A$5:$A$604,A3038)&gt;0,"En Lookahead",IF(P3038="Sí","INCORPORAR",""))</f>
        <v/>
      </c>
    </row>
    <row r="3039" customFormat="false" ht="15" hidden="false" customHeight="false" outlineLevel="0" collapsed="false">
      <c r="A3039" s="16" t="s">
        <v>9790</v>
      </c>
      <c r="B3039" s="16" t="n">
        <v>3034</v>
      </c>
      <c r="C3039" s="16" t="s">
        <v>9791</v>
      </c>
      <c r="D3039" s="16" t="n">
        <v>7</v>
      </c>
      <c r="E3039" s="37" t="s">
        <v>9792</v>
      </c>
      <c r="F3039" s="16" t="s">
        <v>1285</v>
      </c>
      <c r="G3039" s="16" t="s">
        <v>563</v>
      </c>
      <c r="H3039" s="16" t="s">
        <v>6716</v>
      </c>
      <c r="I3039" s="16" t="s">
        <v>129</v>
      </c>
      <c r="J3039" s="16" t="s">
        <v>7260</v>
      </c>
      <c r="K3039" s="32" t="n">
        <v>24</v>
      </c>
      <c r="L3039" s="33" t="n">
        <v>46012</v>
      </c>
      <c r="M3039" s="33" t="n">
        <v>46035</v>
      </c>
      <c r="N3039" s="16" t="s">
        <v>9793</v>
      </c>
      <c r="O3039" s="16"/>
      <c r="P3039" s="16" t="str">
        <f aca="false">IF(AND(L3039&lt;=$D$2,M3039&gt;=$C$2),"Sí","")</f>
        <v/>
      </c>
      <c r="Q3039" s="18" t="str">
        <f aca="false">IF(COUNTIF(LOOKAHEAD!$A$5:$A$604,A3039)&gt;0,"En Lookahead",IF(P3039="Sí","INCORPORAR",""))</f>
        <v/>
      </c>
    </row>
    <row r="3040" customFormat="false" ht="15" hidden="false" customHeight="false" outlineLevel="0" collapsed="false">
      <c r="A3040" s="16" t="s">
        <v>9794</v>
      </c>
      <c r="B3040" s="16" t="n">
        <v>3035</v>
      </c>
      <c r="C3040" s="16" t="s">
        <v>9795</v>
      </c>
      <c r="D3040" s="16" t="n">
        <v>7</v>
      </c>
      <c r="E3040" s="37" t="s">
        <v>9796</v>
      </c>
      <c r="F3040" s="16" t="s">
        <v>1285</v>
      </c>
      <c r="G3040" s="16" t="s">
        <v>563</v>
      </c>
      <c r="H3040" s="16" t="s">
        <v>6716</v>
      </c>
      <c r="I3040" s="16" t="s">
        <v>129</v>
      </c>
      <c r="J3040" s="16" t="s">
        <v>7260</v>
      </c>
      <c r="K3040" s="32" t="n">
        <v>21</v>
      </c>
      <c r="L3040" s="33" t="n">
        <v>46012</v>
      </c>
      <c r="M3040" s="33" t="n">
        <v>46032</v>
      </c>
      <c r="N3040" s="16" t="s">
        <v>9786</v>
      </c>
      <c r="O3040" s="16"/>
      <c r="P3040" s="16" t="str">
        <f aca="false">IF(AND(L3040&lt;=$D$2,M3040&gt;=$C$2),"Sí","")</f>
        <v/>
      </c>
      <c r="Q3040" s="18" t="str">
        <f aca="false">IF(COUNTIF(LOOKAHEAD!$A$5:$A$604,A3040)&gt;0,"En Lookahead",IF(P3040="Sí","INCORPORAR",""))</f>
        <v/>
      </c>
    </row>
    <row r="3041" customFormat="false" ht="15" hidden="false" customHeight="false" outlineLevel="0" collapsed="false">
      <c r="A3041" s="13" t="s">
        <v>9797</v>
      </c>
      <c r="B3041" s="13" t="n">
        <v>3036</v>
      </c>
      <c r="C3041" s="13" t="s">
        <v>9798</v>
      </c>
      <c r="D3041" s="13" t="n">
        <v>6</v>
      </c>
      <c r="E3041" s="36" t="s">
        <v>9799</v>
      </c>
      <c r="F3041" s="13" t="s">
        <v>1298</v>
      </c>
      <c r="G3041" s="13" t="s">
        <v>563</v>
      </c>
      <c r="H3041" s="13" t="s">
        <v>6716</v>
      </c>
      <c r="I3041" s="13" t="s">
        <v>129</v>
      </c>
      <c r="J3041" s="13" t="s">
        <v>6743</v>
      </c>
      <c r="K3041" s="30" t="n">
        <v>6</v>
      </c>
      <c r="L3041" s="31" t="n">
        <v>46012</v>
      </c>
      <c r="M3041" s="31" t="n">
        <v>46017</v>
      </c>
      <c r="N3041" s="13"/>
      <c r="O3041" s="13"/>
      <c r="P3041" s="13"/>
      <c r="Q3041" s="13"/>
    </row>
    <row r="3042" customFormat="false" ht="15" hidden="false" customHeight="false" outlineLevel="0" collapsed="false">
      <c r="A3042" s="16" t="s">
        <v>9800</v>
      </c>
      <c r="B3042" s="16" t="n">
        <v>3037</v>
      </c>
      <c r="C3042" s="16" t="s">
        <v>9801</v>
      </c>
      <c r="D3042" s="16" t="n">
        <v>7</v>
      </c>
      <c r="E3042" s="37" t="s">
        <v>8445</v>
      </c>
      <c r="F3042" s="16" t="s">
        <v>1285</v>
      </c>
      <c r="G3042" s="16" t="s">
        <v>563</v>
      </c>
      <c r="H3042" s="16" t="s">
        <v>6716</v>
      </c>
      <c r="I3042" s="16" t="s">
        <v>129</v>
      </c>
      <c r="J3042" s="16" t="s">
        <v>9799</v>
      </c>
      <c r="K3042" s="32" t="n">
        <v>4</v>
      </c>
      <c r="L3042" s="33" t="n">
        <v>46014</v>
      </c>
      <c r="M3042" s="33" t="n">
        <v>46017</v>
      </c>
      <c r="N3042" s="16" t="s">
        <v>9802</v>
      </c>
      <c r="O3042" s="16"/>
      <c r="P3042" s="16" t="str">
        <f aca="false">IF(AND(L3042&lt;=$D$2,M3042&gt;=$C$2),"Sí","")</f>
        <v/>
      </c>
      <c r="Q3042" s="18" t="str">
        <f aca="false">IF(COUNTIF(LOOKAHEAD!$A$5:$A$604,A3042)&gt;0,"En Lookahead",IF(P3042="Sí","INCORPORAR",""))</f>
        <v/>
      </c>
    </row>
    <row r="3043" customFormat="false" ht="15" hidden="false" customHeight="false" outlineLevel="0" collapsed="false">
      <c r="A3043" s="16" t="s">
        <v>9803</v>
      </c>
      <c r="B3043" s="16" t="n">
        <v>3038</v>
      </c>
      <c r="C3043" s="16" t="s">
        <v>9804</v>
      </c>
      <c r="D3043" s="16" t="n">
        <v>7</v>
      </c>
      <c r="E3043" s="37" t="s">
        <v>9805</v>
      </c>
      <c r="F3043" s="16" t="s">
        <v>1285</v>
      </c>
      <c r="G3043" s="16" t="s">
        <v>563</v>
      </c>
      <c r="H3043" s="16" t="s">
        <v>6716</v>
      </c>
      <c r="I3043" s="16" t="s">
        <v>129</v>
      </c>
      <c r="J3043" s="16" t="s">
        <v>9799</v>
      </c>
      <c r="K3043" s="32" t="n">
        <v>2</v>
      </c>
      <c r="L3043" s="33" t="n">
        <v>46012</v>
      </c>
      <c r="M3043" s="33" t="n">
        <v>46013</v>
      </c>
      <c r="N3043" s="16" t="s">
        <v>9786</v>
      </c>
      <c r="O3043" s="16"/>
      <c r="P3043" s="16" t="str">
        <f aca="false">IF(AND(L3043&lt;=$D$2,M3043&gt;=$C$2),"Sí","")</f>
        <v/>
      </c>
      <c r="Q3043" s="18" t="str">
        <f aca="false">IF(COUNTIF(LOOKAHEAD!$A$5:$A$604,A3043)&gt;0,"En Lookahead",IF(P3043="Sí","INCORPORAR",""))</f>
        <v/>
      </c>
    </row>
    <row r="3044" customFormat="false" ht="15" hidden="false" customHeight="false" outlineLevel="0" collapsed="false">
      <c r="A3044" s="13" t="s">
        <v>9806</v>
      </c>
      <c r="B3044" s="13" t="n">
        <v>3039</v>
      </c>
      <c r="C3044" s="13" t="s">
        <v>9807</v>
      </c>
      <c r="D3044" s="13" t="n">
        <v>6</v>
      </c>
      <c r="E3044" s="36" t="s">
        <v>9808</v>
      </c>
      <c r="F3044" s="13" t="s">
        <v>1298</v>
      </c>
      <c r="G3044" s="13" t="s">
        <v>563</v>
      </c>
      <c r="H3044" s="13" t="s">
        <v>6716</v>
      </c>
      <c r="I3044" s="13" t="s">
        <v>129</v>
      </c>
      <c r="J3044" s="13" t="s">
        <v>6743</v>
      </c>
      <c r="K3044" s="30" t="n">
        <v>2</v>
      </c>
      <c r="L3044" s="31" t="n">
        <v>46012</v>
      </c>
      <c r="M3044" s="31" t="n">
        <v>46013</v>
      </c>
      <c r="N3044" s="13"/>
      <c r="O3044" s="13"/>
      <c r="P3044" s="13"/>
      <c r="Q3044" s="13"/>
    </row>
    <row r="3045" customFormat="false" ht="15" hidden="false" customHeight="false" outlineLevel="0" collapsed="false">
      <c r="A3045" s="16" t="s">
        <v>9809</v>
      </c>
      <c r="B3045" s="16" t="n">
        <v>3040</v>
      </c>
      <c r="C3045" s="16" t="s">
        <v>9810</v>
      </c>
      <c r="D3045" s="16" t="n">
        <v>7</v>
      </c>
      <c r="E3045" s="37" t="s">
        <v>9811</v>
      </c>
      <c r="F3045" s="16" t="s">
        <v>1285</v>
      </c>
      <c r="G3045" s="16" t="s">
        <v>563</v>
      </c>
      <c r="H3045" s="16" t="s">
        <v>6716</v>
      </c>
      <c r="I3045" s="16" t="s">
        <v>129</v>
      </c>
      <c r="J3045" s="16" t="s">
        <v>9808</v>
      </c>
      <c r="K3045" s="32" t="n">
        <v>1</v>
      </c>
      <c r="L3045" s="33" t="n">
        <v>46013</v>
      </c>
      <c r="M3045" s="33" t="n">
        <v>46013</v>
      </c>
      <c r="N3045" s="16" t="s">
        <v>9812</v>
      </c>
      <c r="O3045" s="16"/>
      <c r="P3045" s="16" t="str">
        <f aca="false">IF(AND(L3045&lt;=$D$2,M3045&gt;=$C$2),"Sí","")</f>
        <v/>
      </c>
      <c r="Q3045" s="18" t="str">
        <f aca="false">IF(COUNTIF(LOOKAHEAD!$A$5:$A$604,A3045)&gt;0,"En Lookahead",IF(P3045="Sí","INCORPORAR",""))</f>
        <v/>
      </c>
    </row>
    <row r="3046" customFormat="false" ht="15" hidden="false" customHeight="false" outlineLevel="0" collapsed="false">
      <c r="A3046" s="16" t="s">
        <v>9813</v>
      </c>
      <c r="B3046" s="16" t="n">
        <v>3041</v>
      </c>
      <c r="C3046" s="16" t="s">
        <v>9814</v>
      </c>
      <c r="D3046" s="16" t="n">
        <v>7</v>
      </c>
      <c r="E3046" s="37" t="s">
        <v>9815</v>
      </c>
      <c r="F3046" s="16" t="s">
        <v>1285</v>
      </c>
      <c r="G3046" s="16" t="s">
        <v>563</v>
      </c>
      <c r="H3046" s="16" t="s">
        <v>6716</v>
      </c>
      <c r="I3046" s="16" t="s">
        <v>129</v>
      </c>
      <c r="J3046" s="16" t="s">
        <v>9808</v>
      </c>
      <c r="K3046" s="32" t="n">
        <v>1</v>
      </c>
      <c r="L3046" s="33" t="n">
        <v>46012</v>
      </c>
      <c r="M3046" s="33" t="n">
        <v>46012</v>
      </c>
      <c r="N3046" s="16" t="s">
        <v>9786</v>
      </c>
      <c r="O3046" s="16"/>
      <c r="P3046" s="16" t="str">
        <f aca="false">IF(AND(L3046&lt;=$D$2,M3046&gt;=$C$2),"Sí","")</f>
        <v/>
      </c>
      <c r="Q3046" s="18" t="str">
        <f aca="false">IF(COUNTIF(LOOKAHEAD!$A$5:$A$604,A3046)&gt;0,"En Lookahead",IF(P3046="Sí","INCORPORAR",""))</f>
        <v/>
      </c>
    </row>
    <row r="3047" customFormat="false" ht="15" hidden="false" customHeight="false" outlineLevel="0" collapsed="false">
      <c r="A3047" s="13" t="s">
        <v>9816</v>
      </c>
      <c r="B3047" s="13" t="n">
        <v>3042</v>
      </c>
      <c r="C3047" s="13" t="s">
        <v>9817</v>
      </c>
      <c r="D3047" s="13" t="n">
        <v>6</v>
      </c>
      <c r="E3047" s="36" t="s">
        <v>9818</v>
      </c>
      <c r="F3047" s="13" t="s">
        <v>1298</v>
      </c>
      <c r="G3047" s="13" t="s">
        <v>563</v>
      </c>
      <c r="H3047" s="13" t="s">
        <v>6716</v>
      </c>
      <c r="I3047" s="13" t="s">
        <v>129</v>
      </c>
      <c r="J3047" s="13" t="s">
        <v>6743</v>
      </c>
      <c r="K3047" s="30" t="n">
        <v>13</v>
      </c>
      <c r="L3047" s="31" t="n">
        <v>46024</v>
      </c>
      <c r="M3047" s="31" t="n">
        <v>46036</v>
      </c>
      <c r="N3047" s="13"/>
      <c r="O3047" s="13"/>
      <c r="P3047" s="13"/>
      <c r="Q3047" s="13"/>
    </row>
    <row r="3048" customFormat="false" ht="15" hidden="false" customHeight="false" outlineLevel="0" collapsed="false">
      <c r="A3048" s="16" t="s">
        <v>9819</v>
      </c>
      <c r="B3048" s="16" t="n">
        <v>3043</v>
      </c>
      <c r="C3048" s="16" t="s">
        <v>9820</v>
      </c>
      <c r="D3048" s="16" t="n">
        <v>7</v>
      </c>
      <c r="E3048" s="37" t="s">
        <v>6777</v>
      </c>
      <c r="F3048" s="16" t="s">
        <v>1285</v>
      </c>
      <c r="G3048" s="16" t="s">
        <v>563</v>
      </c>
      <c r="H3048" s="16" t="s">
        <v>6716</v>
      </c>
      <c r="I3048" s="16" t="s">
        <v>129</v>
      </c>
      <c r="J3048" s="16" t="s">
        <v>9818</v>
      </c>
      <c r="K3048" s="32" t="n">
        <v>13</v>
      </c>
      <c r="L3048" s="33" t="n">
        <v>46024</v>
      </c>
      <c r="M3048" s="33" t="n">
        <v>46036</v>
      </c>
      <c r="N3048" s="16" t="s">
        <v>9768</v>
      </c>
      <c r="O3048" s="16"/>
      <c r="P3048" s="16" t="str">
        <f aca="false">IF(AND(L3048&lt;=$D$2,M3048&gt;=$C$2),"Sí","")</f>
        <v/>
      </c>
      <c r="Q3048" s="18" t="str">
        <f aca="false">IF(COUNTIF(LOOKAHEAD!$A$5:$A$604,A3048)&gt;0,"En Lookahead",IF(P3048="Sí","INCORPORAR",""))</f>
        <v/>
      </c>
    </row>
    <row r="3049" customFormat="false" ht="15" hidden="false" customHeight="false" outlineLevel="0" collapsed="false">
      <c r="A3049" s="13" t="s">
        <v>9821</v>
      </c>
      <c r="B3049" s="13" t="n">
        <v>3044</v>
      </c>
      <c r="C3049" s="13" t="s">
        <v>9822</v>
      </c>
      <c r="D3049" s="13" t="n">
        <v>6</v>
      </c>
      <c r="E3049" s="36" t="s">
        <v>9823</v>
      </c>
      <c r="F3049" s="13" t="s">
        <v>1298</v>
      </c>
      <c r="G3049" s="13" t="s">
        <v>563</v>
      </c>
      <c r="H3049" s="13" t="s">
        <v>6716</v>
      </c>
      <c r="I3049" s="13" t="s">
        <v>129</v>
      </c>
      <c r="J3049" s="13" t="s">
        <v>6743</v>
      </c>
      <c r="K3049" s="30" t="n">
        <v>16</v>
      </c>
      <c r="L3049" s="31" t="n">
        <v>46035</v>
      </c>
      <c r="M3049" s="31" t="n">
        <v>46050</v>
      </c>
      <c r="N3049" s="13"/>
      <c r="O3049" s="13"/>
      <c r="P3049" s="13"/>
      <c r="Q3049" s="13"/>
    </row>
    <row r="3050" customFormat="false" ht="15" hidden="false" customHeight="false" outlineLevel="0" collapsed="false">
      <c r="A3050" s="16" t="s">
        <v>9824</v>
      </c>
      <c r="B3050" s="16" t="n">
        <v>3045</v>
      </c>
      <c r="C3050" s="16" t="s">
        <v>9825</v>
      </c>
      <c r="D3050" s="16" t="n">
        <v>7</v>
      </c>
      <c r="E3050" s="37" t="s">
        <v>9826</v>
      </c>
      <c r="F3050" s="16" t="s">
        <v>1285</v>
      </c>
      <c r="G3050" s="16" t="s">
        <v>563</v>
      </c>
      <c r="H3050" s="16" t="s">
        <v>6716</v>
      </c>
      <c r="I3050" s="16" t="s">
        <v>129</v>
      </c>
      <c r="J3050" s="16" t="s">
        <v>9823</v>
      </c>
      <c r="K3050" s="32" t="n">
        <v>1</v>
      </c>
      <c r="L3050" s="33" t="n">
        <v>46037</v>
      </c>
      <c r="M3050" s="33" t="n">
        <v>46037</v>
      </c>
      <c r="N3050" s="16" t="s">
        <v>9827</v>
      </c>
      <c r="O3050" s="16"/>
      <c r="P3050" s="16" t="str">
        <f aca="false">IF(AND(L3050&lt;=$D$2,M3050&gt;=$C$2),"Sí","")</f>
        <v/>
      </c>
      <c r="Q3050" s="18" t="str">
        <f aca="false">IF(COUNTIF(LOOKAHEAD!$A$5:$A$604,A3050)&gt;0,"En Lookahead",IF(P3050="Sí","INCORPORAR",""))</f>
        <v/>
      </c>
    </row>
    <row r="3051" customFormat="false" ht="15" hidden="false" customHeight="false" outlineLevel="0" collapsed="false">
      <c r="A3051" s="16" t="s">
        <v>9828</v>
      </c>
      <c r="B3051" s="16" t="n">
        <v>3046</v>
      </c>
      <c r="C3051" s="16" t="s">
        <v>9829</v>
      </c>
      <c r="D3051" s="16" t="n">
        <v>7</v>
      </c>
      <c r="E3051" s="37" t="s">
        <v>9830</v>
      </c>
      <c r="F3051" s="16" t="s">
        <v>1285</v>
      </c>
      <c r="G3051" s="16" t="s">
        <v>563</v>
      </c>
      <c r="H3051" s="16" t="s">
        <v>6716</v>
      </c>
      <c r="I3051" s="16" t="s">
        <v>129</v>
      </c>
      <c r="J3051" s="16" t="s">
        <v>9823</v>
      </c>
      <c r="K3051" s="32" t="n">
        <v>16</v>
      </c>
      <c r="L3051" s="33" t="n">
        <v>46035</v>
      </c>
      <c r="M3051" s="33" t="n">
        <v>46050</v>
      </c>
      <c r="N3051" s="16" t="s">
        <v>9831</v>
      </c>
      <c r="O3051" s="16"/>
      <c r="P3051" s="16" t="str">
        <f aca="false">IF(AND(L3051&lt;=$D$2,M3051&gt;=$C$2),"Sí","")</f>
        <v/>
      </c>
      <c r="Q3051" s="18" t="str">
        <f aca="false">IF(COUNTIF(LOOKAHEAD!$A$5:$A$604,A3051)&gt;0,"En Lookahead",IF(P3051="Sí","INCORPORAR",""))</f>
        <v/>
      </c>
    </row>
    <row r="3052" customFormat="false" ht="15" hidden="false" customHeight="false" outlineLevel="0" collapsed="false">
      <c r="A3052" s="16" t="s">
        <v>9832</v>
      </c>
      <c r="B3052" s="16" t="n">
        <v>3047</v>
      </c>
      <c r="C3052" s="16" t="s">
        <v>9833</v>
      </c>
      <c r="D3052" s="16" t="n">
        <v>7</v>
      </c>
      <c r="E3052" s="37" t="s">
        <v>9834</v>
      </c>
      <c r="F3052" s="16" t="s">
        <v>1285</v>
      </c>
      <c r="G3052" s="16" t="s">
        <v>563</v>
      </c>
      <c r="H3052" s="16" t="s">
        <v>6716</v>
      </c>
      <c r="I3052" s="16" t="s">
        <v>129</v>
      </c>
      <c r="J3052" s="16" t="s">
        <v>9823</v>
      </c>
      <c r="K3052" s="32" t="n">
        <v>2</v>
      </c>
      <c r="L3052" s="33" t="n">
        <v>46037</v>
      </c>
      <c r="M3052" s="33" t="n">
        <v>46038</v>
      </c>
      <c r="N3052" s="16" t="s">
        <v>9835</v>
      </c>
      <c r="O3052" s="16"/>
      <c r="P3052" s="16" t="str">
        <f aca="false">IF(AND(L3052&lt;=$D$2,M3052&gt;=$C$2),"Sí","")</f>
        <v/>
      </c>
      <c r="Q3052" s="18" t="str">
        <f aca="false">IF(COUNTIF(LOOKAHEAD!$A$5:$A$604,A3052)&gt;0,"En Lookahead",IF(P3052="Sí","INCORPORAR",""))</f>
        <v/>
      </c>
    </row>
    <row r="3053" customFormat="false" ht="15" hidden="false" customHeight="false" outlineLevel="0" collapsed="false">
      <c r="A3053" s="16" t="s">
        <v>9836</v>
      </c>
      <c r="B3053" s="16" t="n">
        <v>3048</v>
      </c>
      <c r="C3053" s="16" t="s">
        <v>9837</v>
      </c>
      <c r="D3053" s="16" t="n">
        <v>7</v>
      </c>
      <c r="E3053" s="37" t="s">
        <v>9838</v>
      </c>
      <c r="F3053" s="16" t="s">
        <v>1285</v>
      </c>
      <c r="G3053" s="16" t="s">
        <v>563</v>
      </c>
      <c r="H3053" s="16" t="s">
        <v>6716</v>
      </c>
      <c r="I3053" s="16" t="s">
        <v>129</v>
      </c>
      <c r="J3053" s="16" t="s">
        <v>9823</v>
      </c>
      <c r="K3053" s="32" t="n">
        <v>4</v>
      </c>
      <c r="L3053" s="33" t="n">
        <v>46039</v>
      </c>
      <c r="M3053" s="33" t="n">
        <v>46042</v>
      </c>
      <c r="N3053" s="16" t="s">
        <v>9839</v>
      </c>
      <c r="O3053" s="16"/>
      <c r="P3053" s="16" t="str">
        <f aca="false">IF(AND(L3053&lt;=$D$2,M3053&gt;=$C$2),"Sí","")</f>
        <v/>
      </c>
      <c r="Q3053" s="18" t="str">
        <f aca="false">IF(COUNTIF(LOOKAHEAD!$A$5:$A$604,A3053)&gt;0,"En Lookahead",IF(P3053="Sí","INCORPORAR",""))</f>
        <v/>
      </c>
    </row>
    <row r="3054" customFormat="false" ht="15" hidden="false" customHeight="false" outlineLevel="0" collapsed="false">
      <c r="A3054" s="13" t="s">
        <v>9840</v>
      </c>
      <c r="B3054" s="13" t="n">
        <v>3049</v>
      </c>
      <c r="C3054" s="13" t="s">
        <v>9841</v>
      </c>
      <c r="D3054" s="13" t="n">
        <v>6</v>
      </c>
      <c r="E3054" s="36" t="s">
        <v>8523</v>
      </c>
      <c r="F3054" s="13" t="s">
        <v>1298</v>
      </c>
      <c r="G3054" s="13" t="s">
        <v>563</v>
      </c>
      <c r="H3054" s="13" t="s">
        <v>6716</v>
      </c>
      <c r="I3054" s="13" t="s">
        <v>129</v>
      </c>
      <c r="J3054" s="13" t="s">
        <v>6743</v>
      </c>
      <c r="K3054" s="30" t="n">
        <v>6</v>
      </c>
      <c r="L3054" s="31" t="n">
        <v>46043</v>
      </c>
      <c r="M3054" s="31" t="n">
        <v>46048</v>
      </c>
      <c r="N3054" s="13"/>
      <c r="O3054" s="13"/>
      <c r="P3054" s="13"/>
      <c r="Q3054" s="13"/>
    </row>
    <row r="3055" customFormat="false" ht="15" hidden="false" customHeight="false" outlineLevel="0" collapsed="false">
      <c r="A3055" s="16" t="s">
        <v>9842</v>
      </c>
      <c r="B3055" s="16" t="n">
        <v>3050</v>
      </c>
      <c r="C3055" s="16" t="s">
        <v>9843</v>
      </c>
      <c r="D3055" s="16" t="n">
        <v>7</v>
      </c>
      <c r="E3055" s="37" t="s">
        <v>7694</v>
      </c>
      <c r="F3055" s="16" t="s">
        <v>1285</v>
      </c>
      <c r="G3055" s="16" t="s">
        <v>563</v>
      </c>
      <c r="H3055" s="16" t="s">
        <v>6716</v>
      </c>
      <c r="I3055" s="16" t="s">
        <v>129</v>
      </c>
      <c r="J3055" s="16" t="s">
        <v>8523</v>
      </c>
      <c r="K3055" s="32" t="n">
        <v>6</v>
      </c>
      <c r="L3055" s="33" t="n">
        <v>46043</v>
      </c>
      <c r="M3055" s="33" t="n">
        <v>46048</v>
      </c>
      <c r="N3055" s="16" t="s">
        <v>9844</v>
      </c>
      <c r="O3055" s="16"/>
      <c r="P3055" s="16" t="str">
        <f aca="false">IF(AND(L3055&lt;=$D$2,M3055&gt;=$C$2),"Sí","")</f>
        <v/>
      </c>
      <c r="Q3055" s="18" t="str">
        <f aca="false">IF(COUNTIF(LOOKAHEAD!$A$5:$A$604,A3055)&gt;0,"En Lookahead",IF(P3055="Sí","INCORPORAR",""))</f>
        <v/>
      </c>
    </row>
    <row r="3056" customFormat="false" ht="15" hidden="false" customHeight="false" outlineLevel="0" collapsed="false">
      <c r="A3056" s="13" t="s">
        <v>9845</v>
      </c>
      <c r="B3056" s="13" t="n">
        <v>3051</v>
      </c>
      <c r="C3056" s="13" t="s">
        <v>9846</v>
      </c>
      <c r="D3056" s="13" t="n">
        <v>5</v>
      </c>
      <c r="E3056" s="34" t="s">
        <v>9847</v>
      </c>
      <c r="F3056" s="13" t="s">
        <v>1298</v>
      </c>
      <c r="G3056" s="13" t="s">
        <v>563</v>
      </c>
      <c r="H3056" s="13" t="s">
        <v>6716</v>
      </c>
      <c r="I3056" s="13" t="s">
        <v>129</v>
      </c>
      <c r="J3056" s="13" t="s">
        <v>6716</v>
      </c>
      <c r="K3056" s="30" t="n">
        <v>4</v>
      </c>
      <c r="L3056" s="31" t="n">
        <v>46049</v>
      </c>
      <c r="M3056" s="31" t="n">
        <v>46052</v>
      </c>
      <c r="N3056" s="13"/>
      <c r="O3056" s="13"/>
      <c r="P3056" s="13"/>
      <c r="Q3056" s="13"/>
    </row>
    <row r="3057" customFormat="false" ht="15" hidden="false" customHeight="false" outlineLevel="0" collapsed="false">
      <c r="A3057" s="16" t="s">
        <v>9848</v>
      </c>
      <c r="B3057" s="16" t="n">
        <v>3052</v>
      </c>
      <c r="C3057" s="16" t="s">
        <v>9849</v>
      </c>
      <c r="D3057" s="16" t="n">
        <v>6</v>
      </c>
      <c r="E3057" s="35" t="s">
        <v>9850</v>
      </c>
      <c r="F3057" s="16" t="s">
        <v>1285</v>
      </c>
      <c r="G3057" s="16" t="s">
        <v>563</v>
      </c>
      <c r="H3057" s="16" t="s">
        <v>6716</v>
      </c>
      <c r="I3057" s="16" t="s">
        <v>129</v>
      </c>
      <c r="J3057" s="16" t="s">
        <v>9847</v>
      </c>
      <c r="K3057" s="32" t="n">
        <v>2</v>
      </c>
      <c r="L3057" s="33" t="n">
        <v>46049</v>
      </c>
      <c r="M3057" s="33" t="n">
        <v>46050</v>
      </c>
      <c r="N3057" s="16" t="s">
        <v>9851</v>
      </c>
      <c r="O3057" s="16"/>
      <c r="P3057" s="16" t="str">
        <f aca="false">IF(AND(L3057&lt;=$D$2,M3057&gt;=$C$2),"Sí","")</f>
        <v/>
      </c>
      <c r="Q3057" s="18" t="str">
        <f aca="false">IF(COUNTIF(LOOKAHEAD!$A$5:$A$604,A3057)&gt;0,"En Lookahead",IF(P3057="Sí","INCORPORAR",""))</f>
        <v/>
      </c>
    </row>
    <row r="3058" customFormat="false" ht="15" hidden="false" customHeight="false" outlineLevel="0" collapsed="false">
      <c r="A3058" s="16" t="s">
        <v>9852</v>
      </c>
      <c r="B3058" s="16" t="n">
        <v>3053</v>
      </c>
      <c r="C3058" s="16" t="s">
        <v>9853</v>
      </c>
      <c r="D3058" s="16" t="n">
        <v>6</v>
      </c>
      <c r="E3058" s="35" t="s">
        <v>9854</v>
      </c>
      <c r="F3058" s="16" t="s">
        <v>1285</v>
      </c>
      <c r="G3058" s="16" t="s">
        <v>563</v>
      </c>
      <c r="H3058" s="16" t="s">
        <v>6716</v>
      </c>
      <c r="I3058" s="16" t="s">
        <v>129</v>
      </c>
      <c r="J3058" s="16" t="s">
        <v>9847</v>
      </c>
      <c r="K3058" s="32" t="n">
        <v>4</v>
      </c>
      <c r="L3058" s="33" t="n">
        <v>46049</v>
      </c>
      <c r="M3058" s="33" t="n">
        <v>46052</v>
      </c>
      <c r="N3058" s="16" t="s">
        <v>9855</v>
      </c>
      <c r="O3058" s="16"/>
      <c r="P3058" s="16" t="str">
        <f aca="false">IF(AND(L3058&lt;=$D$2,M3058&gt;=$C$2),"Sí","")</f>
        <v/>
      </c>
      <c r="Q3058" s="18" t="str">
        <f aca="false">IF(COUNTIF(LOOKAHEAD!$A$5:$A$604,A3058)&gt;0,"En Lookahead",IF(P3058="Sí","INCORPORAR",""))</f>
        <v/>
      </c>
    </row>
    <row r="3059" customFormat="false" ht="15" hidden="false" customHeight="false" outlineLevel="0" collapsed="false">
      <c r="A3059" s="16" t="s">
        <v>9856</v>
      </c>
      <c r="B3059" s="16" t="n">
        <v>3054</v>
      </c>
      <c r="C3059" s="16" t="s">
        <v>9857</v>
      </c>
      <c r="D3059" s="16" t="n">
        <v>6</v>
      </c>
      <c r="E3059" s="35" t="s">
        <v>9858</v>
      </c>
      <c r="F3059" s="16" t="s">
        <v>1285</v>
      </c>
      <c r="G3059" s="16" t="s">
        <v>563</v>
      </c>
      <c r="H3059" s="16" t="s">
        <v>6716</v>
      </c>
      <c r="I3059" s="16" t="s">
        <v>129</v>
      </c>
      <c r="J3059" s="16" t="s">
        <v>9847</v>
      </c>
      <c r="K3059" s="32" t="n">
        <v>1</v>
      </c>
      <c r="L3059" s="33" t="n">
        <v>46049</v>
      </c>
      <c r="M3059" s="33" t="n">
        <v>46049</v>
      </c>
      <c r="N3059" s="16" t="s">
        <v>9855</v>
      </c>
      <c r="O3059" s="16"/>
      <c r="P3059" s="16" t="str">
        <f aca="false">IF(AND(L3059&lt;=$D$2,M3059&gt;=$C$2),"Sí","")</f>
        <v/>
      </c>
      <c r="Q3059" s="18" t="str">
        <f aca="false">IF(COUNTIF(LOOKAHEAD!$A$5:$A$604,A3059)&gt;0,"En Lookahead",IF(P3059="Sí","INCORPORAR",""))</f>
        <v/>
      </c>
    </row>
    <row r="3060" customFormat="false" ht="15" hidden="false" customHeight="false" outlineLevel="0" collapsed="false">
      <c r="A3060" s="16" t="s">
        <v>9859</v>
      </c>
      <c r="B3060" s="16" t="n">
        <v>3055</v>
      </c>
      <c r="C3060" s="16" t="s">
        <v>9860</v>
      </c>
      <c r="D3060" s="16" t="n">
        <v>6</v>
      </c>
      <c r="E3060" s="35" t="s">
        <v>9861</v>
      </c>
      <c r="F3060" s="16" t="s">
        <v>1285</v>
      </c>
      <c r="G3060" s="16" t="s">
        <v>563</v>
      </c>
      <c r="H3060" s="16" t="s">
        <v>6716</v>
      </c>
      <c r="I3060" s="16" t="s">
        <v>129</v>
      </c>
      <c r="J3060" s="16" t="s">
        <v>9847</v>
      </c>
      <c r="K3060" s="32" t="n">
        <v>1</v>
      </c>
      <c r="L3060" s="33" t="n">
        <v>46049</v>
      </c>
      <c r="M3060" s="33" t="n">
        <v>46049</v>
      </c>
      <c r="N3060" s="16" t="s">
        <v>9855</v>
      </c>
      <c r="O3060" s="16"/>
      <c r="P3060" s="16" t="str">
        <f aca="false">IF(AND(L3060&lt;=$D$2,M3060&gt;=$C$2),"Sí","")</f>
        <v/>
      </c>
      <c r="Q3060" s="18" t="str">
        <f aca="false">IF(COUNTIF(LOOKAHEAD!$A$5:$A$604,A3060)&gt;0,"En Lookahead",IF(P3060="Sí","INCORPORAR",""))</f>
        <v/>
      </c>
    </row>
    <row r="3061" customFormat="false" ht="15" hidden="false" customHeight="false" outlineLevel="0" collapsed="false">
      <c r="A3061" s="13" t="s">
        <v>9862</v>
      </c>
      <c r="B3061" s="13" t="n">
        <v>3056</v>
      </c>
      <c r="C3061" s="13" t="s">
        <v>9863</v>
      </c>
      <c r="D3061" s="13" t="n">
        <v>5</v>
      </c>
      <c r="E3061" s="34" t="s">
        <v>7455</v>
      </c>
      <c r="F3061" s="13" t="s">
        <v>1298</v>
      </c>
      <c r="G3061" s="13" t="s">
        <v>563</v>
      </c>
      <c r="H3061" s="13" t="s">
        <v>6716</v>
      </c>
      <c r="I3061" s="13" t="s">
        <v>129</v>
      </c>
      <c r="J3061" s="13" t="s">
        <v>6716</v>
      </c>
      <c r="K3061" s="30" t="n">
        <v>7</v>
      </c>
      <c r="L3061" s="31" t="n">
        <v>46051</v>
      </c>
      <c r="M3061" s="31" t="n">
        <v>46057</v>
      </c>
      <c r="N3061" s="13"/>
      <c r="O3061" s="13"/>
      <c r="P3061" s="13"/>
      <c r="Q3061" s="13"/>
    </row>
    <row r="3062" customFormat="false" ht="15" hidden="false" customHeight="false" outlineLevel="0" collapsed="false">
      <c r="A3062" s="13" t="s">
        <v>9864</v>
      </c>
      <c r="B3062" s="13" t="n">
        <v>3057</v>
      </c>
      <c r="C3062" s="13" t="s">
        <v>9865</v>
      </c>
      <c r="D3062" s="13" t="n">
        <v>6</v>
      </c>
      <c r="E3062" s="36" t="s">
        <v>9866</v>
      </c>
      <c r="F3062" s="13" t="s">
        <v>1298</v>
      </c>
      <c r="G3062" s="13" t="s">
        <v>563</v>
      </c>
      <c r="H3062" s="13" t="s">
        <v>6716</v>
      </c>
      <c r="I3062" s="13" t="s">
        <v>129</v>
      </c>
      <c r="J3062" s="13" t="s">
        <v>7455</v>
      </c>
      <c r="K3062" s="30" t="n">
        <v>4</v>
      </c>
      <c r="L3062" s="31" t="n">
        <v>46051</v>
      </c>
      <c r="M3062" s="31" t="n">
        <v>46054</v>
      </c>
      <c r="N3062" s="13"/>
      <c r="O3062" s="13"/>
      <c r="P3062" s="13"/>
      <c r="Q3062" s="13"/>
    </row>
    <row r="3063" customFormat="false" ht="15" hidden="false" customHeight="false" outlineLevel="0" collapsed="false">
      <c r="A3063" s="16" t="s">
        <v>9867</v>
      </c>
      <c r="B3063" s="16" t="n">
        <v>3058</v>
      </c>
      <c r="C3063" s="16" t="s">
        <v>9868</v>
      </c>
      <c r="D3063" s="16" t="n">
        <v>7</v>
      </c>
      <c r="E3063" s="37" t="s">
        <v>9869</v>
      </c>
      <c r="F3063" s="16" t="s">
        <v>1285</v>
      </c>
      <c r="G3063" s="16" t="s">
        <v>563</v>
      </c>
      <c r="H3063" s="16" t="s">
        <v>6716</v>
      </c>
      <c r="I3063" s="16" t="s">
        <v>129</v>
      </c>
      <c r="J3063" s="16" t="s">
        <v>9866</v>
      </c>
      <c r="K3063" s="32" t="n">
        <v>4</v>
      </c>
      <c r="L3063" s="33" t="n">
        <v>46051</v>
      </c>
      <c r="M3063" s="33" t="n">
        <v>46054</v>
      </c>
      <c r="N3063" s="16" t="s">
        <v>9870</v>
      </c>
      <c r="O3063" s="16"/>
      <c r="P3063" s="16" t="str">
        <f aca="false">IF(AND(L3063&lt;=$D$2,M3063&gt;=$C$2),"Sí","")</f>
        <v/>
      </c>
      <c r="Q3063" s="18" t="str">
        <f aca="false">IF(COUNTIF(LOOKAHEAD!$A$5:$A$604,A3063)&gt;0,"En Lookahead",IF(P3063="Sí","INCORPORAR",""))</f>
        <v/>
      </c>
    </row>
    <row r="3064" customFormat="false" ht="15" hidden="false" customHeight="false" outlineLevel="0" collapsed="false">
      <c r="A3064" s="13" t="s">
        <v>9871</v>
      </c>
      <c r="B3064" s="13" t="n">
        <v>3059</v>
      </c>
      <c r="C3064" s="13" t="s">
        <v>9872</v>
      </c>
      <c r="D3064" s="13" t="n">
        <v>6</v>
      </c>
      <c r="E3064" s="36" t="s">
        <v>9873</v>
      </c>
      <c r="F3064" s="13" t="s">
        <v>1298</v>
      </c>
      <c r="G3064" s="13" t="s">
        <v>563</v>
      </c>
      <c r="H3064" s="13" t="s">
        <v>6716</v>
      </c>
      <c r="I3064" s="13" t="s">
        <v>129</v>
      </c>
      <c r="J3064" s="13" t="s">
        <v>7455</v>
      </c>
      <c r="K3064" s="30" t="n">
        <v>3</v>
      </c>
      <c r="L3064" s="31" t="n">
        <v>46055</v>
      </c>
      <c r="M3064" s="31" t="n">
        <v>46057</v>
      </c>
      <c r="N3064" s="13"/>
      <c r="O3064" s="13"/>
      <c r="P3064" s="13"/>
      <c r="Q3064" s="13"/>
    </row>
    <row r="3065" customFormat="false" ht="15" hidden="false" customHeight="false" outlineLevel="0" collapsed="false">
      <c r="A3065" s="16" t="s">
        <v>9874</v>
      </c>
      <c r="B3065" s="16" t="n">
        <v>3060</v>
      </c>
      <c r="C3065" s="16" t="s">
        <v>9875</v>
      </c>
      <c r="D3065" s="16" t="n">
        <v>7</v>
      </c>
      <c r="E3065" s="37" t="s">
        <v>9876</v>
      </c>
      <c r="F3065" s="16" t="s">
        <v>1285</v>
      </c>
      <c r="G3065" s="16" t="s">
        <v>563</v>
      </c>
      <c r="H3065" s="16" t="s">
        <v>6716</v>
      </c>
      <c r="I3065" s="16" t="s">
        <v>129</v>
      </c>
      <c r="J3065" s="16" t="s">
        <v>9873</v>
      </c>
      <c r="K3065" s="32" t="n">
        <v>3</v>
      </c>
      <c r="L3065" s="33" t="n">
        <v>46055</v>
      </c>
      <c r="M3065" s="33" t="n">
        <v>46057</v>
      </c>
      <c r="N3065" s="16" t="s">
        <v>9877</v>
      </c>
      <c r="O3065" s="16"/>
      <c r="P3065" s="16" t="str">
        <f aca="false">IF(AND(L3065&lt;=$D$2,M3065&gt;=$C$2),"Sí","")</f>
        <v/>
      </c>
      <c r="Q3065" s="18" t="str">
        <f aca="false">IF(COUNTIF(LOOKAHEAD!$A$5:$A$604,A3065)&gt;0,"En Lookahead",IF(P3065="Sí","INCORPORAR",""))</f>
        <v/>
      </c>
    </row>
    <row r="3066" customFormat="false" ht="15" hidden="false" customHeight="false" outlineLevel="0" collapsed="false">
      <c r="A3066" s="13" t="s">
        <v>9878</v>
      </c>
      <c r="B3066" s="13" t="n">
        <v>3061</v>
      </c>
      <c r="C3066" s="13" t="s">
        <v>9879</v>
      </c>
      <c r="D3066" s="13" t="n">
        <v>4</v>
      </c>
      <c r="E3066" s="20" t="s">
        <v>7065</v>
      </c>
      <c r="F3066" s="13" t="s">
        <v>1298</v>
      </c>
      <c r="G3066" s="13" t="s">
        <v>563</v>
      </c>
      <c r="H3066" s="13" t="s">
        <v>7065</v>
      </c>
      <c r="I3066" s="13" t="s">
        <v>134</v>
      </c>
      <c r="J3066" s="13" t="s">
        <v>7172</v>
      </c>
      <c r="K3066" s="30" t="n">
        <v>17</v>
      </c>
      <c r="L3066" s="31" t="n">
        <v>46058</v>
      </c>
      <c r="M3066" s="31" t="n">
        <v>46074</v>
      </c>
      <c r="N3066" s="13"/>
      <c r="O3066" s="13"/>
      <c r="P3066" s="13"/>
      <c r="Q3066" s="13"/>
    </row>
    <row r="3067" customFormat="false" ht="15" hidden="false" customHeight="false" outlineLevel="0" collapsed="false">
      <c r="A3067" s="13" t="s">
        <v>9880</v>
      </c>
      <c r="B3067" s="13" t="n">
        <v>3062</v>
      </c>
      <c r="C3067" s="13" t="s">
        <v>9881</v>
      </c>
      <c r="D3067" s="13" t="n">
        <v>5</v>
      </c>
      <c r="E3067" s="34" t="s">
        <v>7177</v>
      </c>
      <c r="F3067" s="13" t="s">
        <v>1298</v>
      </c>
      <c r="G3067" s="13" t="s">
        <v>563</v>
      </c>
      <c r="H3067" s="13" t="s">
        <v>7065</v>
      </c>
      <c r="I3067" s="13" t="s">
        <v>134</v>
      </c>
      <c r="J3067" s="13" t="s">
        <v>7065</v>
      </c>
      <c r="K3067" s="30" t="n">
        <v>3</v>
      </c>
      <c r="L3067" s="31" t="n">
        <v>46058</v>
      </c>
      <c r="M3067" s="31" t="n">
        <v>46060</v>
      </c>
      <c r="N3067" s="13"/>
      <c r="O3067" s="13"/>
      <c r="P3067" s="13"/>
      <c r="Q3067" s="13"/>
    </row>
    <row r="3068" customFormat="false" ht="15" hidden="false" customHeight="false" outlineLevel="0" collapsed="false">
      <c r="A3068" s="16" t="s">
        <v>9882</v>
      </c>
      <c r="B3068" s="16" t="n">
        <v>3063</v>
      </c>
      <c r="C3068" s="16" t="s">
        <v>9883</v>
      </c>
      <c r="D3068" s="16" t="n">
        <v>6</v>
      </c>
      <c r="E3068" s="35" t="s">
        <v>7180</v>
      </c>
      <c r="F3068" s="16" t="s">
        <v>1285</v>
      </c>
      <c r="G3068" s="16" t="s">
        <v>563</v>
      </c>
      <c r="H3068" s="16" t="s">
        <v>7065</v>
      </c>
      <c r="I3068" s="16" t="s">
        <v>134</v>
      </c>
      <c r="J3068" s="16" t="s">
        <v>7177</v>
      </c>
      <c r="K3068" s="32" t="n">
        <v>3</v>
      </c>
      <c r="L3068" s="33" t="n">
        <v>46058</v>
      </c>
      <c r="M3068" s="33" t="n">
        <v>46060</v>
      </c>
      <c r="N3068" s="16" t="s">
        <v>9884</v>
      </c>
      <c r="O3068" s="16"/>
      <c r="P3068" s="16" t="str">
        <f aca="false">IF(AND(L3068&lt;=$D$2,M3068&gt;=$C$2),"Sí","")</f>
        <v/>
      </c>
      <c r="Q3068" s="18" t="str">
        <f aca="false">IF(COUNTIF(LOOKAHEAD!$A$5:$A$604,A3068)&gt;0,"En Lookahead",IF(P3068="Sí","INCORPORAR",""))</f>
        <v/>
      </c>
    </row>
    <row r="3069" customFormat="false" ht="15" hidden="false" customHeight="false" outlineLevel="0" collapsed="false">
      <c r="A3069" s="13" t="s">
        <v>9885</v>
      </c>
      <c r="B3069" s="13" t="n">
        <v>3064</v>
      </c>
      <c r="C3069" s="13" t="s">
        <v>9886</v>
      </c>
      <c r="D3069" s="13" t="n">
        <v>5</v>
      </c>
      <c r="E3069" s="34" t="s">
        <v>7206</v>
      </c>
      <c r="F3069" s="13" t="s">
        <v>1298</v>
      </c>
      <c r="G3069" s="13" t="s">
        <v>563</v>
      </c>
      <c r="H3069" s="13" t="s">
        <v>7065</v>
      </c>
      <c r="I3069" s="13" t="s">
        <v>134</v>
      </c>
      <c r="J3069" s="13" t="s">
        <v>7065</v>
      </c>
      <c r="K3069" s="30" t="n">
        <v>6</v>
      </c>
      <c r="L3069" s="31" t="n">
        <v>46061</v>
      </c>
      <c r="M3069" s="31" t="n">
        <v>46066</v>
      </c>
      <c r="N3069" s="13"/>
      <c r="O3069" s="13"/>
      <c r="P3069" s="13"/>
      <c r="Q3069" s="13"/>
    </row>
    <row r="3070" customFormat="false" ht="15" hidden="false" customHeight="false" outlineLevel="0" collapsed="false">
      <c r="A3070" s="16" t="s">
        <v>9887</v>
      </c>
      <c r="B3070" s="16" t="n">
        <v>3065</v>
      </c>
      <c r="C3070" s="16" t="s">
        <v>9888</v>
      </c>
      <c r="D3070" s="16" t="n">
        <v>6</v>
      </c>
      <c r="E3070" s="35" t="s">
        <v>7209</v>
      </c>
      <c r="F3070" s="16" t="s">
        <v>1285</v>
      </c>
      <c r="G3070" s="16" t="s">
        <v>563</v>
      </c>
      <c r="H3070" s="16" t="s">
        <v>7065</v>
      </c>
      <c r="I3070" s="16" t="s">
        <v>134</v>
      </c>
      <c r="J3070" s="16" t="s">
        <v>7206</v>
      </c>
      <c r="K3070" s="32" t="n">
        <v>2</v>
      </c>
      <c r="L3070" s="33" t="n">
        <v>46061</v>
      </c>
      <c r="M3070" s="33" t="n">
        <v>46062</v>
      </c>
      <c r="N3070" s="16" t="s">
        <v>9889</v>
      </c>
      <c r="O3070" s="16"/>
      <c r="P3070" s="16" t="str">
        <f aca="false">IF(AND(L3070&lt;=$D$2,M3070&gt;=$C$2),"Sí","")</f>
        <v/>
      </c>
      <c r="Q3070" s="18" t="str">
        <f aca="false">IF(COUNTIF(LOOKAHEAD!$A$5:$A$604,A3070)&gt;0,"En Lookahead",IF(P3070="Sí","INCORPORAR",""))</f>
        <v/>
      </c>
    </row>
    <row r="3071" customFormat="false" ht="15" hidden="false" customHeight="false" outlineLevel="0" collapsed="false">
      <c r="A3071" s="16" t="s">
        <v>9890</v>
      </c>
      <c r="B3071" s="16" t="n">
        <v>3066</v>
      </c>
      <c r="C3071" s="16" t="s">
        <v>9891</v>
      </c>
      <c r="D3071" s="16" t="n">
        <v>6</v>
      </c>
      <c r="E3071" s="35" t="s">
        <v>7212</v>
      </c>
      <c r="F3071" s="16" t="s">
        <v>1285</v>
      </c>
      <c r="G3071" s="16" t="s">
        <v>563</v>
      </c>
      <c r="H3071" s="16" t="s">
        <v>7065</v>
      </c>
      <c r="I3071" s="16" t="s">
        <v>134</v>
      </c>
      <c r="J3071" s="16" t="s">
        <v>7206</v>
      </c>
      <c r="K3071" s="32" t="n">
        <v>2</v>
      </c>
      <c r="L3071" s="33" t="n">
        <v>46062</v>
      </c>
      <c r="M3071" s="33" t="n">
        <v>46063</v>
      </c>
      <c r="N3071" s="16" t="s">
        <v>9892</v>
      </c>
      <c r="O3071" s="16"/>
      <c r="P3071" s="16" t="str">
        <f aca="false">IF(AND(L3071&lt;=$D$2,M3071&gt;=$C$2),"Sí","")</f>
        <v/>
      </c>
      <c r="Q3071" s="18" t="str">
        <f aca="false">IF(COUNTIF(LOOKAHEAD!$A$5:$A$604,A3071)&gt;0,"En Lookahead",IF(P3071="Sí","INCORPORAR",""))</f>
        <v/>
      </c>
    </row>
    <row r="3072" customFormat="false" ht="15" hidden="false" customHeight="false" outlineLevel="0" collapsed="false">
      <c r="A3072" s="16" t="s">
        <v>9893</v>
      </c>
      <c r="B3072" s="16" t="n">
        <v>3067</v>
      </c>
      <c r="C3072" s="16" t="s">
        <v>9894</v>
      </c>
      <c r="D3072" s="16" t="n">
        <v>6</v>
      </c>
      <c r="E3072" s="35" t="s">
        <v>9895</v>
      </c>
      <c r="F3072" s="16" t="s">
        <v>1285</v>
      </c>
      <c r="G3072" s="16" t="s">
        <v>563</v>
      </c>
      <c r="H3072" s="16" t="s">
        <v>7065</v>
      </c>
      <c r="I3072" s="16" t="s">
        <v>134</v>
      </c>
      <c r="J3072" s="16" t="s">
        <v>7206</v>
      </c>
      <c r="K3072" s="32" t="n">
        <v>3</v>
      </c>
      <c r="L3072" s="33" t="n">
        <v>46063</v>
      </c>
      <c r="M3072" s="33" t="n">
        <v>46065</v>
      </c>
      <c r="N3072" s="16" t="s">
        <v>9896</v>
      </c>
      <c r="O3072" s="16"/>
      <c r="P3072" s="16" t="str">
        <f aca="false">IF(AND(L3072&lt;=$D$2,M3072&gt;=$C$2),"Sí","")</f>
        <v/>
      </c>
      <c r="Q3072" s="18" t="str">
        <f aca="false">IF(COUNTIF(LOOKAHEAD!$A$5:$A$604,A3072)&gt;0,"En Lookahead",IF(P3072="Sí","INCORPORAR",""))</f>
        <v/>
      </c>
    </row>
    <row r="3073" customFormat="false" ht="15" hidden="false" customHeight="false" outlineLevel="0" collapsed="false">
      <c r="A3073" s="16" t="s">
        <v>9897</v>
      </c>
      <c r="B3073" s="16" t="n">
        <v>3068</v>
      </c>
      <c r="C3073" s="16" t="s">
        <v>9898</v>
      </c>
      <c r="D3073" s="16" t="n">
        <v>6</v>
      </c>
      <c r="E3073" s="35" t="s">
        <v>9899</v>
      </c>
      <c r="F3073" s="16" t="s">
        <v>1285</v>
      </c>
      <c r="G3073" s="16" t="s">
        <v>563</v>
      </c>
      <c r="H3073" s="16" t="s">
        <v>7065</v>
      </c>
      <c r="I3073" s="16" t="s">
        <v>134</v>
      </c>
      <c r="J3073" s="16" t="s">
        <v>7206</v>
      </c>
      <c r="K3073" s="32" t="n">
        <v>3</v>
      </c>
      <c r="L3073" s="33" t="n">
        <v>46064</v>
      </c>
      <c r="M3073" s="33" t="n">
        <v>46066</v>
      </c>
      <c r="N3073" s="16" t="s">
        <v>9900</v>
      </c>
      <c r="O3073" s="16"/>
      <c r="P3073" s="16" t="str">
        <f aca="false">IF(AND(L3073&lt;=$D$2,M3073&gt;=$C$2),"Sí","")</f>
        <v/>
      </c>
      <c r="Q3073" s="18" t="str">
        <f aca="false">IF(COUNTIF(LOOKAHEAD!$A$5:$A$604,A3073)&gt;0,"En Lookahead",IF(P3073="Sí","INCORPORAR",""))</f>
        <v/>
      </c>
    </row>
    <row r="3074" customFormat="false" ht="15" hidden="false" customHeight="false" outlineLevel="0" collapsed="false">
      <c r="A3074" s="16" t="s">
        <v>9901</v>
      </c>
      <c r="B3074" s="16" t="n">
        <v>3069</v>
      </c>
      <c r="C3074" s="16" t="s">
        <v>9902</v>
      </c>
      <c r="D3074" s="16" t="n">
        <v>6</v>
      </c>
      <c r="E3074" s="35" t="s">
        <v>7232</v>
      </c>
      <c r="F3074" s="16" t="s">
        <v>1285</v>
      </c>
      <c r="G3074" s="16" t="s">
        <v>563</v>
      </c>
      <c r="H3074" s="16" t="s">
        <v>7065</v>
      </c>
      <c r="I3074" s="16" t="s">
        <v>134</v>
      </c>
      <c r="J3074" s="16" t="s">
        <v>7206</v>
      </c>
      <c r="K3074" s="32" t="n">
        <v>2</v>
      </c>
      <c r="L3074" s="33" t="n">
        <v>46062</v>
      </c>
      <c r="M3074" s="33" t="n">
        <v>46063</v>
      </c>
      <c r="N3074" s="16" t="s">
        <v>9892</v>
      </c>
      <c r="O3074" s="16"/>
      <c r="P3074" s="16" t="str">
        <f aca="false">IF(AND(L3074&lt;=$D$2,M3074&gt;=$C$2),"Sí","")</f>
        <v/>
      </c>
      <c r="Q3074" s="18" t="str">
        <f aca="false">IF(COUNTIF(LOOKAHEAD!$A$5:$A$604,A3074)&gt;0,"En Lookahead",IF(P3074="Sí","INCORPORAR",""))</f>
        <v/>
      </c>
    </row>
    <row r="3075" customFormat="false" ht="15" hidden="false" customHeight="false" outlineLevel="0" collapsed="false">
      <c r="A3075" s="13" t="s">
        <v>9903</v>
      </c>
      <c r="B3075" s="13" t="n">
        <v>3070</v>
      </c>
      <c r="C3075" s="13" t="s">
        <v>9904</v>
      </c>
      <c r="D3075" s="13" t="n">
        <v>5</v>
      </c>
      <c r="E3075" s="34" t="s">
        <v>9823</v>
      </c>
      <c r="F3075" s="13" t="s">
        <v>1298</v>
      </c>
      <c r="G3075" s="13" t="s">
        <v>563</v>
      </c>
      <c r="H3075" s="13" t="s">
        <v>7065</v>
      </c>
      <c r="I3075" s="13" t="s">
        <v>134</v>
      </c>
      <c r="J3075" s="13" t="s">
        <v>7065</v>
      </c>
      <c r="K3075" s="30" t="n">
        <v>3</v>
      </c>
      <c r="L3075" s="31" t="n">
        <v>46069</v>
      </c>
      <c r="M3075" s="31" t="n">
        <v>46071</v>
      </c>
      <c r="N3075" s="13"/>
      <c r="O3075" s="13"/>
      <c r="P3075" s="13"/>
      <c r="Q3075" s="13"/>
    </row>
    <row r="3076" customFormat="false" ht="15" hidden="false" customHeight="false" outlineLevel="0" collapsed="false">
      <c r="A3076" s="16" t="s">
        <v>9905</v>
      </c>
      <c r="B3076" s="16" t="n">
        <v>3071</v>
      </c>
      <c r="C3076" s="16" t="s">
        <v>9906</v>
      </c>
      <c r="D3076" s="16" t="n">
        <v>6</v>
      </c>
      <c r="E3076" s="35" t="s">
        <v>9907</v>
      </c>
      <c r="F3076" s="16" t="s">
        <v>1285</v>
      </c>
      <c r="G3076" s="16" t="s">
        <v>563</v>
      </c>
      <c r="H3076" s="16" t="s">
        <v>7065</v>
      </c>
      <c r="I3076" s="16" t="s">
        <v>134</v>
      </c>
      <c r="J3076" s="16" t="s">
        <v>9823</v>
      </c>
      <c r="K3076" s="32" t="n">
        <v>3</v>
      </c>
      <c r="L3076" s="33" t="n">
        <v>46069</v>
      </c>
      <c r="M3076" s="33" t="n">
        <v>46071</v>
      </c>
      <c r="N3076" s="16" t="s">
        <v>9908</v>
      </c>
      <c r="O3076" s="16"/>
      <c r="P3076" s="16" t="str">
        <f aca="false">IF(AND(L3076&lt;=$D$2,M3076&gt;=$C$2),"Sí","")</f>
        <v/>
      </c>
      <c r="Q3076" s="18" t="str">
        <f aca="false">IF(COUNTIF(LOOKAHEAD!$A$5:$A$604,A3076)&gt;0,"En Lookahead",IF(P3076="Sí","INCORPORAR",""))</f>
        <v/>
      </c>
    </row>
    <row r="3077" customFormat="false" ht="15" hidden="false" customHeight="false" outlineLevel="0" collapsed="false">
      <c r="A3077" s="13" t="s">
        <v>9909</v>
      </c>
      <c r="B3077" s="13" t="n">
        <v>3072</v>
      </c>
      <c r="C3077" s="13" t="s">
        <v>9910</v>
      </c>
      <c r="D3077" s="13" t="n">
        <v>5</v>
      </c>
      <c r="E3077" s="34" t="s">
        <v>7310</v>
      </c>
      <c r="F3077" s="13" t="s">
        <v>1298</v>
      </c>
      <c r="G3077" s="13" t="s">
        <v>563</v>
      </c>
      <c r="H3077" s="13" t="s">
        <v>7065</v>
      </c>
      <c r="I3077" s="13" t="s">
        <v>134</v>
      </c>
      <c r="J3077" s="13" t="s">
        <v>7065</v>
      </c>
      <c r="K3077" s="30" t="n">
        <v>3</v>
      </c>
      <c r="L3077" s="31" t="n">
        <v>46072</v>
      </c>
      <c r="M3077" s="31" t="n">
        <v>46074</v>
      </c>
      <c r="N3077" s="13"/>
      <c r="O3077" s="13"/>
      <c r="P3077" s="13"/>
      <c r="Q3077" s="13"/>
    </row>
    <row r="3078" customFormat="false" ht="15" hidden="false" customHeight="false" outlineLevel="0" collapsed="false">
      <c r="A3078" s="16" t="s">
        <v>9911</v>
      </c>
      <c r="B3078" s="16" t="n">
        <v>3073</v>
      </c>
      <c r="C3078" s="16" t="s">
        <v>9912</v>
      </c>
      <c r="D3078" s="16" t="n">
        <v>6</v>
      </c>
      <c r="E3078" s="35" t="s">
        <v>9913</v>
      </c>
      <c r="F3078" s="16" t="s">
        <v>1285</v>
      </c>
      <c r="G3078" s="16" t="s">
        <v>563</v>
      </c>
      <c r="H3078" s="16" t="s">
        <v>7065</v>
      </c>
      <c r="I3078" s="16" t="s">
        <v>134</v>
      </c>
      <c r="J3078" s="16" t="s">
        <v>7310</v>
      </c>
      <c r="K3078" s="32" t="n">
        <v>1</v>
      </c>
      <c r="L3078" s="33" t="n">
        <v>46072</v>
      </c>
      <c r="M3078" s="33" t="n">
        <v>46072</v>
      </c>
      <c r="N3078" s="16" t="s">
        <v>9914</v>
      </c>
      <c r="O3078" s="16"/>
      <c r="P3078" s="16" t="str">
        <f aca="false">IF(AND(L3078&lt;=$D$2,M3078&gt;=$C$2),"Sí","")</f>
        <v/>
      </c>
      <c r="Q3078" s="18" t="str">
        <f aca="false">IF(COUNTIF(LOOKAHEAD!$A$5:$A$604,A3078)&gt;0,"En Lookahead",IF(P3078="Sí","INCORPORAR",""))</f>
        <v/>
      </c>
    </row>
    <row r="3079" customFormat="false" ht="15" hidden="false" customHeight="false" outlineLevel="0" collapsed="false">
      <c r="A3079" s="16" t="s">
        <v>9915</v>
      </c>
      <c r="B3079" s="16" t="n">
        <v>3074</v>
      </c>
      <c r="C3079" s="16" t="s">
        <v>9916</v>
      </c>
      <c r="D3079" s="16" t="n">
        <v>6</v>
      </c>
      <c r="E3079" s="35" t="s">
        <v>9917</v>
      </c>
      <c r="F3079" s="16" t="s">
        <v>1285</v>
      </c>
      <c r="G3079" s="16" t="s">
        <v>563</v>
      </c>
      <c r="H3079" s="16" t="s">
        <v>7065</v>
      </c>
      <c r="I3079" s="16" t="s">
        <v>134</v>
      </c>
      <c r="J3079" s="16" t="s">
        <v>7310</v>
      </c>
      <c r="K3079" s="32" t="n">
        <v>1</v>
      </c>
      <c r="L3079" s="33" t="n">
        <v>46073</v>
      </c>
      <c r="M3079" s="33" t="n">
        <v>46073</v>
      </c>
      <c r="N3079" s="16" t="s">
        <v>9918</v>
      </c>
      <c r="O3079" s="16"/>
      <c r="P3079" s="16" t="str">
        <f aca="false">IF(AND(L3079&lt;=$D$2,M3079&gt;=$C$2),"Sí","")</f>
        <v/>
      </c>
      <c r="Q3079" s="18" t="str">
        <f aca="false">IF(COUNTIF(LOOKAHEAD!$A$5:$A$604,A3079)&gt;0,"En Lookahead",IF(P3079="Sí","INCORPORAR",""))</f>
        <v/>
      </c>
    </row>
    <row r="3080" customFormat="false" ht="15" hidden="false" customHeight="false" outlineLevel="0" collapsed="false">
      <c r="A3080" s="16" t="s">
        <v>9919</v>
      </c>
      <c r="B3080" s="16" t="n">
        <v>3075</v>
      </c>
      <c r="C3080" s="16" t="s">
        <v>9920</v>
      </c>
      <c r="D3080" s="16" t="n">
        <v>6</v>
      </c>
      <c r="E3080" s="35" t="s">
        <v>9921</v>
      </c>
      <c r="F3080" s="16" t="s">
        <v>1285</v>
      </c>
      <c r="G3080" s="16" t="s">
        <v>563</v>
      </c>
      <c r="H3080" s="16" t="s">
        <v>7065</v>
      </c>
      <c r="I3080" s="16" t="s">
        <v>134</v>
      </c>
      <c r="J3080" s="16" t="s">
        <v>7310</v>
      </c>
      <c r="K3080" s="32" t="n">
        <v>1</v>
      </c>
      <c r="L3080" s="33" t="n">
        <v>46074</v>
      </c>
      <c r="M3080" s="33" t="n">
        <v>46074</v>
      </c>
      <c r="N3080" s="16" t="s">
        <v>9922</v>
      </c>
      <c r="O3080" s="16"/>
      <c r="P3080" s="16" t="str">
        <f aca="false">IF(AND(L3080&lt;=$D$2,M3080&gt;=$C$2),"Sí","")</f>
        <v/>
      </c>
      <c r="Q3080" s="18" t="str">
        <f aca="false">IF(COUNTIF(LOOKAHEAD!$A$5:$A$604,A3080)&gt;0,"En Lookahead",IF(P3080="Sí","INCORPORAR",""))</f>
        <v/>
      </c>
    </row>
    <row r="3081" customFormat="false" ht="15" hidden="false" customHeight="false" outlineLevel="0" collapsed="false">
      <c r="A3081" s="13" t="s">
        <v>9923</v>
      </c>
      <c r="B3081" s="13" t="n">
        <v>3076</v>
      </c>
      <c r="C3081" s="13" t="s">
        <v>9924</v>
      </c>
      <c r="D3081" s="13" t="n">
        <v>5</v>
      </c>
      <c r="E3081" s="34" t="s">
        <v>7416</v>
      </c>
      <c r="F3081" s="13" t="s">
        <v>1298</v>
      </c>
      <c r="G3081" s="13" t="s">
        <v>563</v>
      </c>
      <c r="H3081" s="13" t="s">
        <v>7065</v>
      </c>
      <c r="I3081" s="13" t="s">
        <v>134</v>
      </c>
      <c r="J3081" s="13" t="s">
        <v>7065</v>
      </c>
      <c r="K3081" s="30" t="n">
        <v>5</v>
      </c>
      <c r="L3081" s="31" t="n">
        <v>46064</v>
      </c>
      <c r="M3081" s="31" t="n">
        <v>46068</v>
      </c>
      <c r="N3081" s="13"/>
      <c r="O3081" s="13"/>
      <c r="P3081" s="13"/>
      <c r="Q3081" s="13"/>
    </row>
    <row r="3082" customFormat="false" ht="15" hidden="false" customHeight="false" outlineLevel="0" collapsed="false">
      <c r="A3082" s="16" t="s">
        <v>9925</v>
      </c>
      <c r="B3082" s="16" t="n">
        <v>3077</v>
      </c>
      <c r="C3082" s="16" t="s">
        <v>9926</v>
      </c>
      <c r="D3082" s="16" t="n">
        <v>6</v>
      </c>
      <c r="E3082" s="35" t="s">
        <v>7419</v>
      </c>
      <c r="F3082" s="16" t="s">
        <v>1285</v>
      </c>
      <c r="G3082" s="16" t="s">
        <v>563</v>
      </c>
      <c r="H3082" s="16" t="s">
        <v>7065</v>
      </c>
      <c r="I3082" s="16" t="s">
        <v>134</v>
      </c>
      <c r="J3082" s="16" t="s">
        <v>7416</v>
      </c>
      <c r="K3082" s="32" t="n">
        <v>2</v>
      </c>
      <c r="L3082" s="33" t="n">
        <v>46064</v>
      </c>
      <c r="M3082" s="33" t="n">
        <v>46065</v>
      </c>
      <c r="N3082" s="16" t="s">
        <v>9927</v>
      </c>
      <c r="O3082" s="16"/>
      <c r="P3082" s="16" t="str">
        <f aca="false">IF(AND(L3082&lt;=$D$2,M3082&gt;=$C$2),"Sí","")</f>
        <v/>
      </c>
      <c r="Q3082" s="18" t="str">
        <f aca="false">IF(COUNTIF(LOOKAHEAD!$A$5:$A$604,A3082)&gt;0,"En Lookahead",IF(P3082="Sí","INCORPORAR",""))</f>
        <v/>
      </c>
    </row>
    <row r="3083" customFormat="false" ht="15" hidden="false" customHeight="false" outlineLevel="0" collapsed="false">
      <c r="A3083" s="16" t="s">
        <v>9928</v>
      </c>
      <c r="B3083" s="16" t="n">
        <v>3078</v>
      </c>
      <c r="C3083" s="16" t="s">
        <v>9929</v>
      </c>
      <c r="D3083" s="16" t="n">
        <v>6</v>
      </c>
      <c r="E3083" s="35" t="s">
        <v>9930</v>
      </c>
      <c r="F3083" s="16" t="s">
        <v>1285</v>
      </c>
      <c r="G3083" s="16" t="s">
        <v>563</v>
      </c>
      <c r="H3083" s="16" t="s">
        <v>7065</v>
      </c>
      <c r="I3083" s="16" t="s">
        <v>134</v>
      </c>
      <c r="J3083" s="16" t="s">
        <v>7416</v>
      </c>
      <c r="K3083" s="32" t="n">
        <v>1</v>
      </c>
      <c r="L3083" s="33" t="n">
        <v>46066</v>
      </c>
      <c r="M3083" s="33" t="n">
        <v>46066</v>
      </c>
      <c r="N3083" s="16" t="s">
        <v>9931</v>
      </c>
      <c r="O3083" s="16"/>
      <c r="P3083" s="16" t="str">
        <f aca="false">IF(AND(L3083&lt;=$D$2,M3083&gt;=$C$2),"Sí","")</f>
        <v/>
      </c>
      <c r="Q3083" s="18" t="str">
        <f aca="false">IF(COUNTIF(LOOKAHEAD!$A$5:$A$604,A3083)&gt;0,"En Lookahead",IF(P3083="Sí","INCORPORAR",""))</f>
        <v/>
      </c>
    </row>
    <row r="3084" customFormat="false" ht="15" hidden="false" customHeight="false" outlineLevel="0" collapsed="false">
      <c r="A3084" s="16" t="s">
        <v>9932</v>
      </c>
      <c r="B3084" s="16" t="n">
        <v>3079</v>
      </c>
      <c r="C3084" s="16" t="s">
        <v>9933</v>
      </c>
      <c r="D3084" s="16" t="n">
        <v>6</v>
      </c>
      <c r="E3084" s="35" t="s">
        <v>9934</v>
      </c>
      <c r="F3084" s="16" t="s">
        <v>1285</v>
      </c>
      <c r="G3084" s="16" t="s">
        <v>563</v>
      </c>
      <c r="H3084" s="16" t="s">
        <v>7065</v>
      </c>
      <c r="I3084" s="16" t="s">
        <v>134</v>
      </c>
      <c r="J3084" s="16" t="s">
        <v>7416</v>
      </c>
      <c r="K3084" s="32" t="n">
        <v>2</v>
      </c>
      <c r="L3084" s="33" t="n">
        <v>46067</v>
      </c>
      <c r="M3084" s="33" t="n">
        <v>46068</v>
      </c>
      <c r="N3084" s="16" t="s">
        <v>9935</v>
      </c>
      <c r="O3084" s="16"/>
      <c r="P3084" s="16" t="str">
        <f aca="false">IF(AND(L3084&lt;=$D$2,M3084&gt;=$C$2),"Sí","")</f>
        <v/>
      </c>
      <c r="Q3084" s="18" t="str">
        <f aca="false">IF(COUNTIF(LOOKAHEAD!$A$5:$A$604,A3084)&gt;0,"En Lookahead",IF(P3084="Sí","INCORPORAR",""))</f>
        <v/>
      </c>
    </row>
    <row r="3085" customFormat="false" ht="15" hidden="false" customHeight="false" outlineLevel="0" collapsed="false">
      <c r="A3085" s="13" t="s">
        <v>9936</v>
      </c>
      <c r="B3085" s="13" t="n">
        <v>3080</v>
      </c>
      <c r="C3085" s="13" t="s">
        <v>9937</v>
      </c>
      <c r="D3085" s="13" t="n">
        <v>5</v>
      </c>
      <c r="E3085" s="34" t="s">
        <v>7440</v>
      </c>
      <c r="F3085" s="13" t="s">
        <v>1298</v>
      </c>
      <c r="G3085" s="13" t="s">
        <v>563</v>
      </c>
      <c r="H3085" s="13" t="s">
        <v>7065</v>
      </c>
      <c r="I3085" s="13" t="s">
        <v>134</v>
      </c>
      <c r="J3085" s="13" t="s">
        <v>7065</v>
      </c>
      <c r="K3085" s="30" t="n">
        <v>1</v>
      </c>
      <c r="L3085" s="31" t="n">
        <v>46072</v>
      </c>
      <c r="M3085" s="31" t="n">
        <v>46072</v>
      </c>
      <c r="N3085" s="13"/>
      <c r="O3085" s="13"/>
      <c r="P3085" s="13"/>
      <c r="Q3085" s="13"/>
    </row>
    <row r="3086" customFormat="false" ht="15" hidden="false" customHeight="false" outlineLevel="0" collapsed="false">
      <c r="A3086" s="16" t="s">
        <v>9938</v>
      </c>
      <c r="B3086" s="16" t="n">
        <v>3081</v>
      </c>
      <c r="C3086" s="16" t="s">
        <v>9939</v>
      </c>
      <c r="D3086" s="16" t="n">
        <v>6</v>
      </c>
      <c r="E3086" s="35" t="s">
        <v>7991</v>
      </c>
      <c r="F3086" s="16" t="s">
        <v>1285</v>
      </c>
      <c r="G3086" s="16" t="s">
        <v>563</v>
      </c>
      <c r="H3086" s="16" t="s">
        <v>7065</v>
      </c>
      <c r="I3086" s="16" t="s">
        <v>134</v>
      </c>
      <c r="J3086" s="16" t="s">
        <v>7440</v>
      </c>
      <c r="K3086" s="32" t="n">
        <v>1</v>
      </c>
      <c r="L3086" s="33" t="n">
        <v>46072</v>
      </c>
      <c r="M3086" s="33" t="n">
        <v>46072</v>
      </c>
      <c r="N3086" s="16" t="s">
        <v>9914</v>
      </c>
      <c r="O3086" s="16"/>
      <c r="P3086" s="16" t="str">
        <f aca="false">IF(AND(L3086&lt;=$D$2,M3086&gt;=$C$2),"Sí","")</f>
        <v/>
      </c>
      <c r="Q3086" s="18" t="str">
        <f aca="false">IF(COUNTIF(LOOKAHEAD!$A$5:$A$604,A3086)&gt;0,"En Lookahead",IF(P3086="Sí","INCORPORAR",""))</f>
        <v/>
      </c>
    </row>
    <row r="3087" customFormat="false" ht="15" hidden="false" customHeight="false" outlineLevel="0" collapsed="false">
      <c r="A3087" s="25" t="s">
        <v>9940</v>
      </c>
      <c r="B3087" s="25" t="n">
        <v>3082</v>
      </c>
      <c r="C3087" s="25" t="s">
        <v>9941</v>
      </c>
      <c r="D3087" s="25" t="n">
        <v>2</v>
      </c>
      <c r="E3087" s="28" t="s">
        <v>9942</v>
      </c>
      <c r="F3087" s="25" t="s">
        <v>1298</v>
      </c>
      <c r="G3087" s="25" t="s">
        <v>757</v>
      </c>
      <c r="H3087" s="25"/>
      <c r="I3087" s="25"/>
      <c r="J3087" s="25" t="s">
        <v>1302</v>
      </c>
      <c r="K3087" s="26" t="n">
        <v>528</v>
      </c>
      <c r="L3087" s="27" t="n">
        <v>45915</v>
      </c>
      <c r="M3087" s="27" t="n">
        <v>46522</v>
      </c>
      <c r="N3087" s="25"/>
      <c r="O3087" s="25"/>
      <c r="P3087" s="25"/>
      <c r="Q3087" s="25"/>
    </row>
    <row r="3088" customFormat="false" ht="15" hidden="false" customHeight="false" outlineLevel="0" collapsed="false">
      <c r="A3088" s="25" t="s">
        <v>9943</v>
      </c>
      <c r="B3088" s="25" t="n">
        <v>3083</v>
      </c>
      <c r="C3088" s="25" t="s">
        <v>9944</v>
      </c>
      <c r="D3088" s="25" t="n">
        <v>3</v>
      </c>
      <c r="E3088" s="29" t="s">
        <v>9945</v>
      </c>
      <c r="F3088" s="25" t="s">
        <v>1298</v>
      </c>
      <c r="G3088" s="25" t="s">
        <v>757</v>
      </c>
      <c r="H3088" s="25"/>
      <c r="I3088" s="25"/>
      <c r="J3088" s="25" t="s">
        <v>9942</v>
      </c>
      <c r="K3088" s="26" t="n">
        <v>528</v>
      </c>
      <c r="L3088" s="27" t="n">
        <v>45915</v>
      </c>
      <c r="M3088" s="27" t="n">
        <v>46522</v>
      </c>
      <c r="N3088" s="25"/>
      <c r="O3088" s="25"/>
      <c r="P3088" s="25"/>
      <c r="Q3088" s="25"/>
    </row>
    <row r="3089" customFormat="false" ht="15" hidden="false" customHeight="false" outlineLevel="0" collapsed="false">
      <c r="A3089" s="13" t="s">
        <v>9946</v>
      </c>
      <c r="B3089" s="13" t="n">
        <v>3084</v>
      </c>
      <c r="C3089" s="13" t="s">
        <v>9947</v>
      </c>
      <c r="D3089" s="13" t="n">
        <v>4</v>
      </c>
      <c r="E3089" s="20" t="s">
        <v>1531</v>
      </c>
      <c r="F3089" s="13" t="s">
        <v>1298</v>
      </c>
      <c r="G3089" s="13" t="s">
        <v>757</v>
      </c>
      <c r="H3089" s="13" t="s">
        <v>1531</v>
      </c>
      <c r="I3089" s="13" t="s">
        <v>62</v>
      </c>
      <c r="J3089" s="13" t="s">
        <v>9945</v>
      </c>
      <c r="K3089" s="30" t="n">
        <v>335</v>
      </c>
      <c r="L3089" s="31" t="n">
        <v>45915</v>
      </c>
      <c r="M3089" s="31" t="n">
        <v>46329</v>
      </c>
      <c r="N3089" s="13"/>
      <c r="O3089" s="13"/>
      <c r="P3089" s="13"/>
      <c r="Q3089" s="13"/>
    </row>
    <row r="3090" customFormat="false" ht="15" hidden="false" customHeight="false" outlineLevel="0" collapsed="false">
      <c r="A3090" s="13" t="s">
        <v>9948</v>
      </c>
      <c r="B3090" s="13" t="n">
        <v>3085</v>
      </c>
      <c r="C3090" s="13" t="s">
        <v>9949</v>
      </c>
      <c r="D3090" s="13" t="n">
        <v>5</v>
      </c>
      <c r="E3090" s="34" t="s">
        <v>9950</v>
      </c>
      <c r="F3090" s="13" t="s">
        <v>1298</v>
      </c>
      <c r="G3090" s="13" t="s">
        <v>757</v>
      </c>
      <c r="H3090" s="13" t="s">
        <v>1531</v>
      </c>
      <c r="I3090" s="13" t="s">
        <v>62</v>
      </c>
      <c r="J3090" s="13" t="s">
        <v>1531</v>
      </c>
      <c r="K3090" s="30" t="n">
        <v>1</v>
      </c>
      <c r="L3090" s="31" t="n">
        <v>46329</v>
      </c>
      <c r="M3090" s="31" t="n">
        <v>46329</v>
      </c>
      <c r="N3090" s="13"/>
      <c r="O3090" s="13"/>
      <c r="P3090" s="13"/>
      <c r="Q3090" s="13"/>
    </row>
    <row r="3091" customFormat="false" ht="15" hidden="false" customHeight="false" outlineLevel="0" collapsed="false">
      <c r="A3091" s="13" t="s">
        <v>9951</v>
      </c>
      <c r="B3091" s="13" t="n">
        <v>3086</v>
      </c>
      <c r="C3091" s="13" t="s">
        <v>9952</v>
      </c>
      <c r="D3091" s="13" t="n">
        <v>6</v>
      </c>
      <c r="E3091" s="36" t="s">
        <v>9953</v>
      </c>
      <c r="F3091" s="13" t="s">
        <v>1298</v>
      </c>
      <c r="G3091" s="13" t="s">
        <v>757</v>
      </c>
      <c r="H3091" s="13" t="s">
        <v>1531</v>
      </c>
      <c r="I3091" s="13" t="s">
        <v>62</v>
      </c>
      <c r="J3091" s="13" t="s">
        <v>9950</v>
      </c>
      <c r="K3091" s="30" t="n">
        <v>1</v>
      </c>
      <c r="L3091" s="31" t="n">
        <v>46329</v>
      </c>
      <c r="M3091" s="31" t="n">
        <v>46329</v>
      </c>
      <c r="N3091" s="13"/>
      <c r="O3091" s="13"/>
      <c r="P3091" s="13"/>
      <c r="Q3091" s="13"/>
    </row>
    <row r="3092" customFormat="false" ht="15" hidden="false" customHeight="false" outlineLevel="0" collapsed="false">
      <c r="A3092" s="16" t="s">
        <v>9954</v>
      </c>
      <c r="B3092" s="16" t="n">
        <v>3087</v>
      </c>
      <c r="C3092" s="16" t="s">
        <v>9955</v>
      </c>
      <c r="D3092" s="16" t="n">
        <v>7</v>
      </c>
      <c r="E3092" s="37" t="s">
        <v>9956</v>
      </c>
      <c r="F3092" s="16" t="s">
        <v>1285</v>
      </c>
      <c r="G3092" s="16" t="s">
        <v>757</v>
      </c>
      <c r="H3092" s="16" t="s">
        <v>1531</v>
      </c>
      <c r="I3092" s="16" t="s">
        <v>62</v>
      </c>
      <c r="J3092" s="16" t="s">
        <v>9953</v>
      </c>
      <c r="K3092" s="32" t="n">
        <v>1</v>
      </c>
      <c r="L3092" s="33" t="n">
        <v>46329</v>
      </c>
      <c r="M3092" s="33" t="n">
        <v>46329</v>
      </c>
      <c r="N3092" s="16" t="s">
        <v>7444</v>
      </c>
      <c r="O3092" s="16"/>
      <c r="P3092" s="16" t="str">
        <f aca="false">IF(AND(L3092&lt;=$D$2,M3092&gt;=$C$2),"Sí","")</f>
        <v>Sí</v>
      </c>
      <c r="Q3092" s="18" t="str">
        <f aca="false">IF(COUNTIF(LOOKAHEAD!$A$5:$A$604,A3092)&gt;0,"En Lookahead",IF(P3092="Sí","INCORPORAR",""))</f>
        <v>En Lookahead</v>
      </c>
    </row>
    <row r="3093" customFormat="false" ht="15" hidden="false" customHeight="false" outlineLevel="0" collapsed="false">
      <c r="A3093" s="16" t="s">
        <v>9957</v>
      </c>
      <c r="B3093" s="16" t="n">
        <v>3088</v>
      </c>
      <c r="C3093" s="16" t="s">
        <v>9958</v>
      </c>
      <c r="D3093" s="16" t="n">
        <v>7</v>
      </c>
      <c r="E3093" s="37" t="s">
        <v>9959</v>
      </c>
      <c r="F3093" s="16" t="s">
        <v>1285</v>
      </c>
      <c r="G3093" s="16" t="s">
        <v>757</v>
      </c>
      <c r="H3093" s="16" t="s">
        <v>1531</v>
      </c>
      <c r="I3093" s="16" t="s">
        <v>62</v>
      </c>
      <c r="J3093" s="16" t="s">
        <v>9953</v>
      </c>
      <c r="K3093" s="32" t="n">
        <v>1</v>
      </c>
      <c r="L3093" s="33" t="n">
        <v>46329</v>
      </c>
      <c r="M3093" s="33" t="n">
        <v>46329</v>
      </c>
      <c r="N3093" s="16" t="s">
        <v>9960</v>
      </c>
      <c r="O3093" s="16"/>
      <c r="P3093" s="16" t="str">
        <f aca="false">IF(AND(L3093&lt;=$D$2,M3093&gt;=$C$2),"Sí","")</f>
        <v>Sí</v>
      </c>
      <c r="Q3093" s="18" t="str">
        <f aca="false">IF(COUNTIF(LOOKAHEAD!$A$5:$A$604,A3093)&gt;0,"En Lookahead",IF(P3093="Sí","INCORPORAR",""))</f>
        <v>En Lookahead</v>
      </c>
    </row>
    <row r="3094" customFormat="false" ht="15" hidden="false" customHeight="false" outlineLevel="0" collapsed="false">
      <c r="A3094" s="13" t="s">
        <v>9961</v>
      </c>
      <c r="B3094" s="13" t="n">
        <v>3089</v>
      </c>
      <c r="C3094" s="13" t="s">
        <v>9962</v>
      </c>
      <c r="D3094" s="13" t="n">
        <v>6</v>
      </c>
      <c r="E3094" s="36" t="s">
        <v>9963</v>
      </c>
      <c r="F3094" s="13" t="s">
        <v>1298</v>
      </c>
      <c r="G3094" s="13" t="s">
        <v>757</v>
      </c>
      <c r="H3094" s="13" t="s">
        <v>1531</v>
      </c>
      <c r="I3094" s="13" t="s">
        <v>62</v>
      </c>
      <c r="J3094" s="13" t="s">
        <v>9950</v>
      </c>
      <c r="K3094" s="30" t="n">
        <v>1</v>
      </c>
      <c r="L3094" s="31" t="n">
        <v>46329</v>
      </c>
      <c r="M3094" s="31" t="n">
        <v>46329</v>
      </c>
      <c r="N3094" s="13"/>
      <c r="O3094" s="13"/>
      <c r="P3094" s="13"/>
      <c r="Q3094" s="13"/>
    </row>
    <row r="3095" customFormat="false" ht="15" hidden="false" customHeight="false" outlineLevel="0" collapsed="false">
      <c r="A3095" s="16" t="s">
        <v>9964</v>
      </c>
      <c r="B3095" s="16" t="n">
        <v>3090</v>
      </c>
      <c r="C3095" s="16" t="s">
        <v>9965</v>
      </c>
      <c r="D3095" s="16" t="n">
        <v>7</v>
      </c>
      <c r="E3095" s="37" t="s">
        <v>9966</v>
      </c>
      <c r="F3095" s="16" t="s">
        <v>1285</v>
      </c>
      <c r="G3095" s="16" t="s">
        <v>757</v>
      </c>
      <c r="H3095" s="16" t="s">
        <v>1531</v>
      </c>
      <c r="I3095" s="16" t="s">
        <v>62</v>
      </c>
      <c r="J3095" s="16" t="s">
        <v>9963</v>
      </c>
      <c r="K3095" s="32" t="n">
        <v>1</v>
      </c>
      <c r="L3095" s="33" t="n">
        <v>46329</v>
      </c>
      <c r="M3095" s="33" t="n">
        <v>46329</v>
      </c>
      <c r="N3095" s="16" t="s">
        <v>9960</v>
      </c>
      <c r="O3095" s="16"/>
      <c r="P3095" s="16" t="str">
        <f aca="false">IF(AND(L3095&lt;=$D$2,M3095&gt;=$C$2),"Sí","")</f>
        <v>Sí</v>
      </c>
      <c r="Q3095" s="18" t="str">
        <f aca="false">IF(COUNTIF(LOOKAHEAD!$A$5:$A$604,A3095)&gt;0,"En Lookahead",IF(P3095="Sí","INCORPORAR",""))</f>
        <v>En Lookahead</v>
      </c>
    </row>
    <row r="3096" customFormat="false" ht="15" hidden="false" customHeight="false" outlineLevel="0" collapsed="false">
      <c r="A3096" s="16" t="s">
        <v>9967</v>
      </c>
      <c r="B3096" s="16" t="n">
        <v>3091</v>
      </c>
      <c r="C3096" s="16" t="s">
        <v>9968</v>
      </c>
      <c r="D3096" s="16" t="n">
        <v>7</v>
      </c>
      <c r="E3096" s="37" t="s">
        <v>9969</v>
      </c>
      <c r="F3096" s="16" t="s">
        <v>1285</v>
      </c>
      <c r="G3096" s="16" t="s">
        <v>757</v>
      </c>
      <c r="H3096" s="16" t="s">
        <v>1531</v>
      </c>
      <c r="I3096" s="16" t="s">
        <v>62</v>
      </c>
      <c r="J3096" s="16" t="s">
        <v>9963</v>
      </c>
      <c r="K3096" s="32" t="n">
        <v>1</v>
      </c>
      <c r="L3096" s="33" t="n">
        <v>46329</v>
      </c>
      <c r="M3096" s="33" t="n">
        <v>46329</v>
      </c>
      <c r="N3096" s="16" t="s">
        <v>9960</v>
      </c>
      <c r="O3096" s="16"/>
      <c r="P3096" s="16" t="str">
        <f aca="false">IF(AND(L3096&lt;=$D$2,M3096&gt;=$C$2),"Sí","")</f>
        <v>Sí</v>
      </c>
      <c r="Q3096" s="18" t="str">
        <f aca="false">IF(COUNTIF(LOOKAHEAD!$A$5:$A$604,A3096)&gt;0,"En Lookahead",IF(P3096="Sí","INCORPORAR",""))</f>
        <v>En Lookahead</v>
      </c>
    </row>
    <row r="3097" customFormat="false" ht="15" hidden="false" customHeight="false" outlineLevel="0" collapsed="false">
      <c r="A3097" s="16" t="s">
        <v>9970</v>
      </c>
      <c r="B3097" s="16" t="n">
        <v>3092</v>
      </c>
      <c r="C3097" s="16" t="s">
        <v>9971</v>
      </c>
      <c r="D3097" s="16" t="n">
        <v>7</v>
      </c>
      <c r="E3097" s="37" t="s">
        <v>9972</v>
      </c>
      <c r="F3097" s="16" t="s">
        <v>1285</v>
      </c>
      <c r="G3097" s="16" t="s">
        <v>757</v>
      </c>
      <c r="H3097" s="16" t="s">
        <v>1531</v>
      </c>
      <c r="I3097" s="16" t="s">
        <v>62</v>
      </c>
      <c r="J3097" s="16" t="s">
        <v>9963</v>
      </c>
      <c r="K3097" s="32" t="n">
        <v>1</v>
      </c>
      <c r="L3097" s="33" t="n">
        <v>46329</v>
      </c>
      <c r="M3097" s="33" t="n">
        <v>46329</v>
      </c>
      <c r="N3097" s="16" t="s">
        <v>9960</v>
      </c>
      <c r="O3097" s="16"/>
      <c r="P3097" s="16" t="str">
        <f aca="false">IF(AND(L3097&lt;=$D$2,M3097&gt;=$C$2),"Sí","")</f>
        <v>Sí</v>
      </c>
      <c r="Q3097" s="18" t="str">
        <f aca="false">IF(COUNTIF(LOOKAHEAD!$A$5:$A$604,A3097)&gt;0,"En Lookahead",IF(P3097="Sí","INCORPORAR",""))</f>
        <v>En Lookahead</v>
      </c>
    </row>
    <row r="3098" customFormat="false" ht="15" hidden="false" customHeight="false" outlineLevel="0" collapsed="false">
      <c r="A3098" s="13" t="s">
        <v>9973</v>
      </c>
      <c r="B3098" s="13" t="n">
        <v>3093</v>
      </c>
      <c r="C3098" s="13" t="s">
        <v>9974</v>
      </c>
      <c r="D3098" s="13" t="n">
        <v>5</v>
      </c>
      <c r="E3098" s="34" t="s">
        <v>9975</v>
      </c>
      <c r="F3098" s="13" t="s">
        <v>1298</v>
      </c>
      <c r="G3098" s="13" t="s">
        <v>757</v>
      </c>
      <c r="H3098" s="13" t="s">
        <v>1531</v>
      </c>
      <c r="I3098" s="13" t="s">
        <v>62</v>
      </c>
      <c r="J3098" s="13" t="s">
        <v>1531</v>
      </c>
      <c r="K3098" s="30" t="n">
        <v>10</v>
      </c>
      <c r="L3098" s="31" t="n">
        <v>45915</v>
      </c>
      <c r="M3098" s="31" t="n">
        <v>45924</v>
      </c>
      <c r="N3098" s="13"/>
      <c r="O3098" s="13"/>
      <c r="P3098" s="13"/>
      <c r="Q3098" s="13"/>
    </row>
    <row r="3099" customFormat="false" ht="15" hidden="false" customHeight="false" outlineLevel="0" collapsed="false">
      <c r="A3099" s="13" t="s">
        <v>9976</v>
      </c>
      <c r="B3099" s="13" t="n">
        <v>3094</v>
      </c>
      <c r="C3099" s="13" t="s">
        <v>9977</v>
      </c>
      <c r="D3099" s="13" t="n">
        <v>6</v>
      </c>
      <c r="E3099" s="36" t="s">
        <v>9978</v>
      </c>
      <c r="F3099" s="13" t="s">
        <v>1298</v>
      </c>
      <c r="G3099" s="13" t="s">
        <v>757</v>
      </c>
      <c r="H3099" s="13" t="s">
        <v>1531</v>
      </c>
      <c r="I3099" s="13" t="s">
        <v>62</v>
      </c>
      <c r="J3099" s="13" t="s">
        <v>9975</v>
      </c>
      <c r="K3099" s="30" t="n">
        <v>1</v>
      </c>
      <c r="L3099" s="31" t="n">
        <v>45915</v>
      </c>
      <c r="M3099" s="31" t="n">
        <v>45915</v>
      </c>
      <c r="N3099" s="13"/>
      <c r="O3099" s="13"/>
      <c r="P3099" s="13"/>
      <c r="Q3099" s="13"/>
    </row>
    <row r="3100" customFormat="false" ht="15" hidden="false" customHeight="false" outlineLevel="0" collapsed="false">
      <c r="A3100" s="16" t="s">
        <v>9979</v>
      </c>
      <c r="B3100" s="16" t="n">
        <v>3095</v>
      </c>
      <c r="C3100" s="16" t="s">
        <v>9980</v>
      </c>
      <c r="D3100" s="16" t="n">
        <v>7</v>
      </c>
      <c r="E3100" s="37" t="s">
        <v>9981</v>
      </c>
      <c r="F3100" s="16" t="s">
        <v>1285</v>
      </c>
      <c r="G3100" s="16" t="s">
        <v>757</v>
      </c>
      <c r="H3100" s="16" t="s">
        <v>1531</v>
      </c>
      <c r="I3100" s="16" t="s">
        <v>62</v>
      </c>
      <c r="J3100" s="16" t="s">
        <v>9978</v>
      </c>
      <c r="K3100" s="32" t="n">
        <v>1</v>
      </c>
      <c r="L3100" s="33" t="n">
        <v>45915</v>
      </c>
      <c r="M3100" s="33" t="n">
        <v>45915</v>
      </c>
      <c r="N3100" s="16" t="s">
        <v>1546</v>
      </c>
      <c r="O3100" s="16"/>
      <c r="P3100" s="16" t="str">
        <f aca="false">IF(AND(L3100&lt;=$D$2,M3100&gt;=$C$2),"Sí","")</f>
        <v/>
      </c>
      <c r="Q3100" s="18" t="str">
        <f aca="false">IF(COUNTIF(LOOKAHEAD!$A$5:$A$604,A3100)&gt;0,"En Lookahead",IF(P3100="Sí","INCORPORAR",""))</f>
        <v/>
      </c>
    </row>
    <row r="3101" customFormat="false" ht="15" hidden="false" customHeight="false" outlineLevel="0" collapsed="false">
      <c r="A3101" s="13" t="s">
        <v>9982</v>
      </c>
      <c r="B3101" s="13" t="n">
        <v>3096</v>
      </c>
      <c r="C3101" s="13" t="s">
        <v>9983</v>
      </c>
      <c r="D3101" s="13" t="n">
        <v>6</v>
      </c>
      <c r="E3101" s="36" t="s">
        <v>9984</v>
      </c>
      <c r="F3101" s="13" t="s">
        <v>1298</v>
      </c>
      <c r="G3101" s="13" t="s">
        <v>757</v>
      </c>
      <c r="H3101" s="13" t="s">
        <v>1531</v>
      </c>
      <c r="I3101" s="13" t="s">
        <v>62</v>
      </c>
      <c r="J3101" s="13" t="s">
        <v>9975</v>
      </c>
      <c r="K3101" s="30" t="n">
        <v>9</v>
      </c>
      <c r="L3101" s="31" t="n">
        <v>45916</v>
      </c>
      <c r="M3101" s="31" t="n">
        <v>45924</v>
      </c>
      <c r="N3101" s="13"/>
      <c r="O3101" s="13"/>
      <c r="P3101" s="13"/>
      <c r="Q3101" s="13"/>
    </row>
    <row r="3102" customFormat="false" ht="15" hidden="false" customHeight="false" outlineLevel="0" collapsed="false">
      <c r="A3102" s="16" t="s">
        <v>9985</v>
      </c>
      <c r="B3102" s="16" t="n">
        <v>3097</v>
      </c>
      <c r="C3102" s="16" t="s">
        <v>9986</v>
      </c>
      <c r="D3102" s="16" t="n">
        <v>7</v>
      </c>
      <c r="E3102" s="37" t="s">
        <v>9987</v>
      </c>
      <c r="F3102" s="16" t="s">
        <v>1285</v>
      </c>
      <c r="G3102" s="16" t="s">
        <v>757</v>
      </c>
      <c r="H3102" s="16" t="s">
        <v>1531</v>
      </c>
      <c r="I3102" s="16" t="s">
        <v>62</v>
      </c>
      <c r="J3102" s="16" t="s">
        <v>9984</v>
      </c>
      <c r="K3102" s="32" t="n">
        <v>1</v>
      </c>
      <c r="L3102" s="33" t="n">
        <v>45916</v>
      </c>
      <c r="M3102" s="33" t="n">
        <v>45916</v>
      </c>
      <c r="N3102" s="16" t="s">
        <v>9988</v>
      </c>
      <c r="O3102" s="16"/>
      <c r="P3102" s="16" t="str">
        <f aca="false">IF(AND(L3102&lt;=$D$2,M3102&gt;=$C$2),"Sí","")</f>
        <v/>
      </c>
      <c r="Q3102" s="18" t="str">
        <f aca="false">IF(COUNTIF(LOOKAHEAD!$A$5:$A$604,A3102)&gt;0,"En Lookahead",IF(P3102="Sí","INCORPORAR",""))</f>
        <v/>
      </c>
    </row>
    <row r="3103" customFormat="false" ht="15" hidden="false" customHeight="false" outlineLevel="0" collapsed="false">
      <c r="A3103" s="16" t="s">
        <v>9989</v>
      </c>
      <c r="B3103" s="16" t="n">
        <v>3098</v>
      </c>
      <c r="C3103" s="16" t="s">
        <v>9990</v>
      </c>
      <c r="D3103" s="16" t="n">
        <v>7</v>
      </c>
      <c r="E3103" s="37" t="s">
        <v>9991</v>
      </c>
      <c r="F3103" s="16" t="s">
        <v>1285</v>
      </c>
      <c r="G3103" s="16" t="s">
        <v>757</v>
      </c>
      <c r="H3103" s="16" t="s">
        <v>1531</v>
      </c>
      <c r="I3103" s="16" t="s">
        <v>62</v>
      </c>
      <c r="J3103" s="16" t="s">
        <v>9984</v>
      </c>
      <c r="K3103" s="32" t="n">
        <v>1</v>
      </c>
      <c r="L3103" s="33" t="n">
        <v>45917</v>
      </c>
      <c r="M3103" s="33" t="n">
        <v>45917</v>
      </c>
      <c r="N3103" s="16" t="s">
        <v>9992</v>
      </c>
      <c r="O3103" s="16"/>
      <c r="P3103" s="16" t="str">
        <f aca="false">IF(AND(L3103&lt;=$D$2,M3103&gt;=$C$2),"Sí","")</f>
        <v/>
      </c>
      <c r="Q3103" s="18" t="str">
        <f aca="false">IF(COUNTIF(LOOKAHEAD!$A$5:$A$604,A3103)&gt;0,"En Lookahead",IF(P3103="Sí","INCORPORAR",""))</f>
        <v/>
      </c>
    </row>
    <row r="3104" customFormat="false" ht="15" hidden="false" customHeight="false" outlineLevel="0" collapsed="false">
      <c r="A3104" s="16" t="s">
        <v>9993</v>
      </c>
      <c r="B3104" s="16" t="n">
        <v>3099</v>
      </c>
      <c r="C3104" s="16" t="s">
        <v>9994</v>
      </c>
      <c r="D3104" s="16" t="n">
        <v>7</v>
      </c>
      <c r="E3104" s="37" t="s">
        <v>9995</v>
      </c>
      <c r="F3104" s="16" t="s">
        <v>1285</v>
      </c>
      <c r="G3104" s="16" t="s">
        <v>757</v>
      </c>
      <c r="H3104" s="16" t="s">
        <v>1531</v>
      </c>
      <c r="I3104" s="16" t="s">
        <v>62</v>
      </c>
      <c r="J3104" s="16" t="s">
        <v>9984</v>
      </c>
      <c r="K3104" s="32" t="n">
        <v>1</v>
      </c>
      <c r="L3104" s="33" t="n">
        <v>45924</v>
      </c>
      <c r="M3104" s="33" t="n">
        <v>45924</v>
      </c>
      <c r="N3104" s="16" t="s">
        <v>9996</v>
      </c>
      <c r="O3104" s="16"/>
      <c r="P3104" s="16" t="str">
        <f aca="false">IF(AND(L3104&lt;=$D$2,M3104&gt;=$C$2),"Sí","")</f>
        <v/>
      </c>
      <c r="Q3104" s="18" t="str">
        <f aca="false">IF(COUNTIF(LOOKAHEAD!$A$5:$A$604,A3104)&gt;0,"En Lookahead",IF(P3104="Sí","INCORPORAR",""))</f>
        <v/>
      </c>
    </row>
    <row r="3105" customFormat="false" ht="15" hidden="false" customHeight="false" outlineLevel="0" collapsed="false">
      <c r="A3105" s="13" t="s">
        <v>9997</v>
      </c>
      <c r="B3105" s="13" t="n">
        <v>3100</v>
      </c>
      <c r="C3105" s="13" t="s">
        <v>9998</v>
      </c>
      <c r="D3105" s="13" t="n">
        <v>6</v>
      </c>
      <c r="E3105" s="36" t="s">
        <v>9999</v>
      </c>
      <c r="F3105" s="13" t="s">
        <v>1298</v>
      </c>
      <c r="G3105" s="13" t="s">
        <v>757</v>
      </c>
      <c r="H3105" s="13" t="s">
        <v>1531</v>
      </c>
      <c r="I3105" s="13" t="s">
        <v>62</v>
      </c>
      <c r="J3105" s="13" t="s">
        <v>9975</v>
      </c>
      <c r="K3105" s="30" t="n">
        <v>4</v>
      </c>
      <c r="L3105" s="31" t="n">
        <v>45918</v>
      </c>
      <c r="M3105" s="31" t="n">
        <v>45921</v>
      </c>
      <c r="N3105" s="13"/>
      <c r="O3105" s="13"/>
      <c r="P3105" s="13"/>
      <c r="Q3105" s="13"/>
    </row>
    <row r="3106" customFormat="false" ht="15" hidden="false" customHeight="false" outlineLevel="0" collapsed="false">
      <c r="A3106" s="16" t="s">
        <v>10000</v>
      </c>
      <c r="B3106" s="16" t="n">
        <v>3101</v>
      </c>
      <c r="C3106" s="16" t="s">
        <v>10001</v>
      </c>
      <c r="D3106" s="16" t="n">
        <v>7</v>
      </c>
      <c r="E3106" s="37" t="s">
        <v>10002</v>
      </c>
      <c r="F3106" s="16" t="s">
        <v>1285</v>
      </c>
      <c r="G3106" s="16" t="s">
        <v>757</v>
      </c>
      <c r="H3106" s="16" t="s">
        <v>1531</v>
      </c>
      <c r="I3106" s="16" t="s">
        <v>62</v>
      </c>
      <c r="J3106" s="16" t="s">
        <v>9999</v>
      </c>
      <c r="K3106" s="32" t="n">
        <v>1</v>
      </c>
      <c r="L3106" s="33" t="n">
        <v>45918</v>
      </c>
      <c r="M3106" s="33" t="n">
        <v>45918</v>
      </c>
      <c r="N3106" s="16" t="s">
        <v>10003</v>
      </c>
      <c r="O3106" s="16"/>
      <c r="P3106" s="16" t="str">
        <f aca="false">IF(AND(L3106&lt;=$D$2,M3106&gt;=$C$2),"Sí","")</f>
        <v/>
      </c>
      <c r="Q3106" s="18" t="str">
        <f aca="false">IF(COUNTIF(LOOKAHEAD!$A$5:$A$604,A3106)&gt;0,"En Lookahead",IF(P3106="Sí","INCORPORAR",""))</f>
        <v/>
      </c>
    </row>
    <row r="3107" customFormat="false" ht="15" hidden="false" customHeight="false" outlineLevel="0" collapsed="false">
      <c r="A3107" s="16" t="s">
        <v>10004</v>
      </c>
      <c r="B3107" s="16" t="n">
        <v>3102</v>
      </c>
      <c r="C3107" s="16" t="s">
        <v>10005</v>
      </c>
      <c r="D3107" s="16" t="n">
        <v>7</v>
      </c>
      <c r="E3107" s="37" t="s">
        <v>10006</v>
      </c>
      <c r="F3107" s="16" t="s">
        <v>1285</v>
      </c>
      <c r="G3107" s="16" t="s">
        <v>757</v>
      </c>
      <c r="H3107" s="16" t="s">
        <v>1531</v>
      </c>
      <c r="I3107" s="16" t="s">
        <v>62</v>
      </c>
      <c r="J3107" s="16" t="s">
        <v>9999</v>
      </c>
      <c r="K3107" s="32" t="n">
        <v>1</v>
      </c>
      <c r="L3107" s="33" t="n">
        <v>45919</v>
      </c>
      <c r="M3107" s="33" t="n">
        <v>45919</v>
      </c>
      <c r="N3107" s="16" t="s">
        <v>10007</v>
      </c>
      <c r="O3107" s="16"/>
      <c r="P3107" s="16" t="str">
        <f aca="false">IF(AND(L3107&lt;=$D$2,M3107&gt;=$C$2),"Sí","")</f>
        <v/>
      </c>
      <c r="Q3107" s="18" t="str">
        <f aca="false">IF(COUNTIF(LOOKAHEAD!$A$5:$A$604,A3107)&gt;0,"En Lookahead",IF(P3107="Sí","INCORPORAR",""))</f>
        <v/>
      </c>
    </row>
    <row r="3108" customFormat="false" ht="15" hidden="false" customHeight="false" outlineLevel="0" collapsed="false">
      <c r="A3108" s="16" t="s">
        <v>10008</v>
      </c>
      <c r="B3108" s="16" t="n">
        <v>3103</v>
      </c>
      <c r="C3108" s="16" t="s">
        <v>10009</v>
      </c>
      <c r="D3108" s="16" t="n">
        <v>7</v>
      </c>
      <c r="E3108" s="37" t="s">
        <v>10010</v>
      </c>
      <c r="F3108" s="16" t="s">
        <v>1285</v>
      </c>
      <c r="G3108" s="16" t="s">
        <v>757</v>
      </c>
      <c r="H3108" s="16" t="s">
        <v>1531</v>
      </c>
      <c r="I3108" s="16" t="s">
        <v>62</v>
      </c>
      <c r="J3108" s="16" t="s">
        <v>9999</v>
      </c>
      <c r="K3108" s="32" t="n">
        <v>1</v>
      </c>
      <c r="L3108" s="33" t="n">
        <v>45920</v>
      </c>
      <c r="M3108" s="33" t="n">
        <v>45920</v>
      </c>
      <c r="N3108" s="16" t="s">
        <v>10011</v>
      </c>
      <c r="O3108" s="16"/>
      <c r="P3108" s="16" t="str">
        <f aca="false">IF(AND(L3108&lt;=$D$2,M3108&gt;=$C$2),"Sí","")</f>
        <v/>
      </c>
      <c r="Q3108" s="18" t="str">
        <f aca="false">IF(COUNTIF(LOOKAHEAD!$A$5:$A$604,A3108)&gt;0,"En Lookahead",IF(P3108="Sí","INCORPORAR",""))</f>
        <v/>
      </c>
    </row>
    <row r="3109" customFormat="false" ht="15" hidden="false" customHeight="false" outlineLevel="0" collapsed="false">
      <c r="A3109" s="16" t="s">
        <v>10012</v>
      </c>
      <c r="B3109" s="16" t="n">
        <v>3104</v>
      </c>
      <c r="C3109" s="16" t="s">
        <v>10013</v>
      </c>
      <c r="D3109" s="16" t="n">
        <v>7</v>
      </c>
      <c r="E3109" s="37" t="s">
        <v>10014</v>
      </c>
      <c r="F3109" s="16" t="s">
        <v>1285</v>
      </c>
      <c r="G3109" s="16" t="s">
        <v>757</v>
      </c>
      <c r="H3109" s="16" t="s">
        <v>1531</v>
      </c>
      <c r="I3109" s="16" t="s">
        <v>62</v>
      </c>
      <c r="J3109" s="16" t="s">
        <v>9999</v>
      </c>
      <c r="K3109" s="32" t="n">
        <v>1</v>
      </c>
      <c r="L3109" s="33" t="n">
        <v>45921</v>
      </c>
      <c r="M3109" s="33" t="n">
        <v>45921</v>
      </c>
      <c r="N3109" s="16" t="s">
        <v>10015</v>
      </c>
      <c r="O3109" s="16"/>
      <c r="P3109" s="16" t="str">
        <f aca="false">IF(AND(L3109&lt;=$D$2,M3109&gt;=$C$2),"Sí","")</f>
        <v/>
      </c>
      <c r="Q3109" s="18" t="str">
        <f aca="false">IF(COUNTIF(LOOKAHEAD!$A$5:$A$604,A3109)&gt;0,"En Lookahead",IF(P3109="Sí","INCORPORAR",""))</f>
        <v/>
      </c>
    </row>
    <row r="3110" customFormat="false" ht="15" hidden="false" customHeight="false" outlineLevel="0" collapsed="false">
      <c r="A3110" s="13" t="s">
        <v>10016</v>
      </c>
      <c r="B3110" s="13" t="n">
        <v>3105</v>
      </c>
      <c r="C3110" s="13" t="s">
        <v>10017</v>
      </c>
      <c r="D3110" s="13" t="n">
        <v>6</v>
      </c>
      <c r="E3110" s="36" t="s">
        <v>10018</v>
      </c>
      <c r="F3110" s="13" t="s">
        <v>1298</v>
      </c>
      <c r="G3110" s="13" t="s">
        <v>757</v>
      </c>
      <c r="H3110" s="13" t="s">
        <v>1531</v>
      </c>
      <c r="I3110" s="13" t="s">
        <v>62</v>
      </c>
      <c r="J3110" s="13" t="s">
        <v>9975</v>
      </c>
      <c r="K3110" s="30" t="n">
        <v>1</v>
      </c>
      <c r="L3110" s="31" t="n">
        <v>45922</v>
      </c>
      <c r="M3110" s="31" t="n">
        <v>45922</v>
      </c>
      <c r="N3110" s="13"/>
      <c r="O3110" s="13"/>
      <c r="P3110" s="13"/>
      <c r="Q3110" s="13"/>
    </row>
    <row r="3111" customFormat="false" ht="15" hidden="false" customHeight="false" outlineLevel="0" collapsed="false">
      <c r="A3111" s="16" t="s">
        <v>10019</v>
      </c>
      <c r="B3111" s="16" t="n">
        <v>3106</v>
      </c>
      <c r="C3111" s="16" t="s">
        <v>10020</v>
      </c>
      <c r="D3111" s="16" t="n">
        <v>7</v>
      </c>
      <c r="E3111" s="37" t="s">
        <v>10021</v>
      </c>
      <c r="F3111" s="16" t="s">
        <v>1285</v>
      </c>
      <c r="G3111" s="16" t="s">
        <v>757</v>
      </c>
      <c r="H3111" s="16" t="s">
        <v>1531</v>
      </c>
      <c r="I3111" s="16" t="s">
        <v>62</v>
      </c>
      <c r="J3111" s="16" t="s">
        <v>10018</v>
      </c>
      <c r="K3111" s="32" t="n">
        <v>1</v>
      </c>
      <c r="L3111" s="33" t="n">
        <v>45922</v>
      </c>
      <c r="M3111" s="33" t="n">
        <v>45922</v>
      </c>
      <c r="N3111" s="16" t="s">
        <v>10022</v>
      </c>
      <c r="O3111" s="16"/>
      <c r="P3111" s="16" t="str">
        <f aca="false">IF(AND(L3111&lt;=$D$2,M3111&gt;=$C$2),"Sí","")</f>
        <v/>
      </c>
      <c r="Q3111" s="18" t="str">
        <f aca="false">IF(COUNTIF(LOOKAHEAD!$A$5:$A$604,A3111)&gt;0,"En Lookahead",IF(P3111="Sí","INCORPORAR",""))</f>
        <v/>
      </c>
    </row>
    <row r="3112" customFormat="false" ht="15" hidden="false" customHeight="false" outlineLevel="0" collapsed="false">
      <c r="A3112" s="13" t="s">
        <v>10023</v>
      </c>
      <c r="B3112" s="13" t="n">
        <v>3107</v>
      </c>
      <c r="C3112" s="13" t="s">
        <v>10024</v>
      </c>
      <c r="D3112" s="13" t="n">
        <v>6</v>
      </c>
      <c r="E3112" s="36" t="s">
        <v>10025</v>
      </c>
      <c r="F3112" s="13" t="s">
        <v>1298</v>
      </c>
      <c r="G3112" s="13" t="s">
        <v>757</v>
      </c>
      <c r="H3112" s="13" t="s">
        <v>1531</v>
      </c>
      <c r="I3112" s="13" t="s">
        <v>62</v>
      </c>
      <c r="J3112" s="13" t="s">
        <v>9975</v>
      </c>
      <c r="K3112" s="30" t="n">
        <v>1</v>
      </c>
      <c r="L3112" s="31" t="n">
        <v>45923</v>
      </c>
      <c r="M3112" s="31" t="n">
        <v>45923</v>
      </c>
      <c r="N3112" s="13"/>
      <c r="O3112" s="13"/>
      <c r="P3112" s="13"/>
      <c r="Q3112" s="13"/>
    </row>
    <row r="3113" customFormat="false" ht="15" hidden="false" customHeight="false" outlineLevel="0" collapsed="false">
      <c r="A3113" s="16" t="s">
        <v>10026</v>
      </c>
      <c r="B3113" s="16" t="n">
        <v>3108</v>
      </c>
      <c r="C3113" s="16" t="s">
        <v>10027</v>
      </c>
      <c r="D3113" s="16" t="n">
        <v>7</v>
      </c>
      <c r="E3113" s="37" t="s">
        <v>10028</v>
      </c>
      <c r="F3113" s="16" t="s">
        <v>1285</v>
      </c>
      <c r="G3113" s="16" t="s">
        <v>757</v>
      </c>
      <c r="H3113" s="16" t="s">
        <v>1531</v>
      </c>
      <c r="I3113" s="16" t="s">
        <v>62</v>
      </c>
      <c r="J3113" s="16" t="s">
        <v>10025</v>
      </c>
      <c r="K3113" s="32" t="n">
        <v>1</v>
      </c>
      <c r="L3113" s="33" t="n">
        <v>45923</v>
      </c>
      <c r="M3113" s="33" t="n">
        <v>45923</v>
      </c>
      <c r="N3113" s="16" t="s">
        <v>10029</v>
      </c>
      <c r="O3113" s="16"/>
      <c r="P3113" s="16" t="str">
        <f aca="false">IF(AND(L3113&lt;=$D$2,M3113&gt;=$C$2),"Sí","")</f>
        <v/>
      </c>
      <c r="Q3113" s="18" t="str">
        <f aca="false">IF(COUNTIF(LOOKAHEAD!$A$5:$A$604,A3113)&gt;0,"En Lookahead",IF(P3113="Sí","INCORPORAR",""))</f>
        <v/>
      </c>
    </row>
    <row r="3114" customFormat="false" ht="15" hidden="false" customHeight="false" outlineLevel="0" collapsed="false">
      <c r="A3114" s="13" t="s">
        <v>10030</v>
      </c>
      <c r="B3114" s="13" t="n">
        <v>3109</v>
      </c>
      <c r="C3114" s="13" t="s">
        <v>10031</v>
      </c>
      <c r="D3114" s="13" t="n">
        <v>5</v>
      </c>
      <c r="E3114" s="34" t="s">
        <v>10032</v>
      </c>
      <c r="F3114" s="13" t="s">
        <v>1298</v>
      </c>
      <c r="G3114" s="13" t="s">
        <v>757</v>
      </c>
      <c r="H3114" s="13" t="s">
        <v>1531</v>
      </c>
      <c r="I3114" s="13" t="s">
        <v>62</v>
      </c>
      <c r="J3114" s="13" t="s">
        <v>1531</v>
      </c>
      <c r="K3114" s="30" t="n">
        <v>22</v>
      </c>
      <c r="L3114" s="31" t="n">
        <v>45924</v>
      </c>
      <c r="M3114" s="31" t="n">
        <v>45945</v>
      </c>
      <c r="N3114" s="13"/>
      <c r="O3114" s="13"/>
      <c r="P3114" s="13"/>
      <c r="Q3114" s="13"/>
    </row>
    <row r="3115" customFormat="false" ht="15" hidden="false" customHeight="false" outlineLevel="0" collapsed="false">
      <c r="A3115" s="13" t="s">
        <v>10033</v>
      </c>
      <c r="B3115" s="13" t="n">
        <v>3110</v>
      </c>
      <c r="C3115" s="13" t="s">
        <v>10034</v>
      </c>
      <c r="D3115" s="13" t="n">
        <v>6</v>
      </c>
      <c r="E3115" s="36" t="s">
        <v>10035</v>
      </c>
      <c r="F3115" s="13" t="s">
        <v>1298</v>
      </c>
      <c r="G3115" s="13" t="s">
        <v>757</v>
      </c>
      <c r="H3115" s="13" t="s">
        <v>1531</v>
      </c>
      <c r="I3115" s="13" t="s">
        <v>62</v>
      </c>
      <c r="J3115" s="13" t="s">
        <v>10032</v>
      </c>
      <c r="K3115" s="30" t="n">
        <v>1</v>
      </c>
      <c r="L3115" s="31" t="n">
        <v>45924</v>
      </c>
      <c r="M3115" s="31" t="n">
        <v>45924</v>
      </c>
      <c r="N3115" s="13"/>
      <c r="O3115" s="13"/>
      <c r="P3115" s="13"/>
      <c r="Q3115" s="13"/>
    </row>
    <row r="3116" customFormat="false" ht="15" hidden="false" customHeight="false" outlineLevel="0" collapsed="false">
      <c r="A3116" s="16" t="s">
        <v>10036</v>
      </c>
      <c r="B3116" s="16" t="n">
        <v>3111</v>
      </c>
      <c r="C3116" s="16" t="s">
        <v>10037</v>
      </c>
      <c r="D3116" s="16" t="n">
        <v>7</v>
      </c>
      <c r="E3116" s="37" t="s">
        <v>10038</v>
      </c>
      <c r="F3116" s="16" t="s">
        <v>1285</v>
      </c>
      <c r="G3116" s="16" t="s">
        <v>757</v>
      </c>
      <c r="H3116" s="16" t="s">
        <v>1531</v>
      </c>
      <c r="I3116" s="16" t="s">
        <v>62</v>
      </c>
      <c r="J3116" s="16" t="s">
        <v>10035</v>
      </c>
      <c r="K3116" s="32" t="n">
        <v>1</v>
      </c>
      <c r="L3116" s="33" t="n">
        <v>45924</v>
      </c>
      <c r="M3116" s="33" t="n">
        <v>45924</v>
      </c>
      <c r="N3116" s="16" t="s">
        <v>9996</v>
      </c>
      <c r="O3116" s="16"/>
      <c r="P3116" s="16" t="str">
        <f aca="false">IF(AND(L3116&lt;=$D$2,M3116&gt;=$C$2),"Sí","")</f>
        <v/>
      </c>
      <c r="Q3116" s="18" t="str">
        <f aca="false">IF(COUNTIF(LOOKAHEAD!$A$5:$A$604,A3116)&gt;0,"En Lookahead",IF(P3116="Sí","INCORPORAR",""))</f>
        <v/>
      </c>
    </row>
    <row r="3117" customFormat="false" ht="15" hidden="false" customHeight="false" outlineLevel="0" collapsed="false">
      <c r="A3117" s="13" t="s">
        <v>10039</v>
      </c>
      <c r="B3117" s="13" t="n">
        <v>3112</v>
      </c>
      <c r="C3117" s="13" t="s">
        <v>10040</v>
      </c>
      <c r="D3117" s="13" t="n">
        <v>6</v>
      </c>
      <c r="E3117" s="36" t="s">
        <v>1534</v>
      </c>
      <c r="F3117" s="13" t="s">
        <v>1298</v>
      </c>
      <c r="G3117" s="13" t="s">
        <v>757</v>
      </c>
      <c r="H3117" s="13" t="s">
        <v>1531</v>
      </c>
      <c r="I3117" s="13" t="s">
        <v>62</v>
      </c>
      <c r="J3117" s="13" t="s">
        <v>10032</v>
      </c>
      <c r="K3117" s="30" t="n">
        <v>9</v>
      </c>
      <c r="L3117" s="31" t="n">
        <v>45925</v>
      </c>
      <c r="M3117" s="31" t="n">
        <v>45933</v>
      </c>
      <c r="N3117" s="13"/>
      <c r="O3117" s="13"/>
      <c r="P3117" s="13"/>
      <c r="Q3117" s="13"/>
    </row>
    <row r="3118" customFormat="false" ht="15" hidden="false" customHeight="false" outlineLevel="0" collapsed="false">
      <c r="A3118" s="16" t="s">
        <v>10041</v>
      </c>
      <c r="B3118" s="16" t="n">
        <v>3113</v>
      </c>
      <c r="C3118" s="16" t="s">
        <v>10042</v>
      </c>
      <c r="D3118" s="16" t="n">
        <v>7</v>
      </c>
      <c r="E3118" s="37" t="s">
        <v>10043</v>
      </c>
      <c r="F3118" s="16" t="s">
        <v>1285</v>
      </c>
      <c r="G3118" s="16" t="s">
        <v>757</v>
      </c>
      <c r="H3118" s="16" t="s">
        <v>1531</v>
      </c>
      <c r="I3118" s="16" t="s">
        <v>62</v>
      </c>
      <c r="J3118" s="16" t="s">
        <v>1534</v>
      </c>
      <c r="K3118" s="32" t="n">
        <v>4</v>
      </c>
      <c r="L3118" s="33" t="n">
        <v>45925</v>
      </c>
      <c r="M3118" s="33" t="n">
        <v>45928</v>
      </c>
      <c r="N3118" s="16" t="s">
        <v>10044</v>
      </c>
      <c r="O3118" s="16"/>
      <c r="P3118" s="16" t="str">
        <f aca="false">IF(AND(L3118&lt;=$D$2,M3118&gt;=$C$2),"Sí","")</f>
        <v/>
      </c>
      <c r="Q3118" s="18" t="str">
        <f aca="false">IF(COUNTIF(LOOKAHEAD!$A$5:$A$604,A3118)&gt;0,"En Lookahead",IF(P3118="Sí","INCORPORAR",""))</f>
        <v/>
      </c>
    </row>
    <row r="3119" customFormat="false" ht="15" hidden="false" customHeight="false" outlineLevel="0" collapsed="false">
      <c r="A3119" s="16" t="s">
        <v>10045</v>
      </c>
      <c r="B3119" s="16" t="n">
        <v>3114</v>
      </c>
      <c r="C3119" s="16" t="s">
        <v>10046</v>
      </c>
      <c r="D3119" s="16" t="n">
        <v>7</v>
      </c>
      <c r="E3119" s="37" t="s">
        <v>10047</v>
      </c>
      <c r="F3119" s="16" t="s">
        <v>1285</v>
      </c>
      <c r="G3119" s="16" t="s">
        <v>757</v>
      </c>
      <c r="H3119" s="16" t="s">
        <v>1531</v>
      </c>
      <c r="I3119" s="16" t="s">
        <v>62</v>
      </c>
      <c r="J3119" s="16" t="s">
        <v>1534</v>
      </c>
      <c r="K3119" s="32" t="n">
        <v>1</v>
      </c>
      <c r="L3119" s="33" t="n">
        <v>45929</v>
      </c>
      <c r="M3119" s="33" t="n">
        <v>45929</v>
      </c>
      <c r="N3119" s="16" t="s">
        <v>10048</v>
      </c>
      <c r="O3119" s="16"/>
      <c r="P3119" s="16" t="str">
        <f aca="false">IF(AND(L3119&lt;=$D$2,M3119&gt;=$C$2),"Sí","")</f>
        <v/>
      </c>
      <c r="Q3119" s="18" t="str">
        <f aca="false">IF(COUNTIF(LOOKAHEAD!$A$5:$A$604,A3119)&gt;0,"En Lookahead",IF(P3119="Sí","INCORPORAR",""))</f>
        <v/>
      </c>
    </row>
    <row r="3120" customFormat="false" ht="15" hidden="false" customHeight="false" outlineLevel="0" collapsed="false">
      <c r="A3120" s="16" t="s">
        <v>10049</v>
      </c>
      <c r="B3120" s="16" t="n">
        <v>3115</v>
      </c>
      <c r="C3120" s="16" t="s">
        <v>10050</v>
      </c>
      <c r="D3120" s="16" t="n">
        <v>7</v>
      </c>
      <c r="E3120" s="37" t="s">
        <v>10051</v>
      </c>
      <c r="F3120" s="16" t="s">
        <v>1285</v>
      </c>
      <c r="G3120" s="16" t="s">
        <v>757</v>
      </c>
      <c r="H3120" s="16" t="s">
        <v>1531</v>
      </c>
      <c r="I3120" s="16" t="s">
        <v>62</v>
      </c>
      <c r="J3120" s="16" t="s">
        <v>1534</v>
      </c>
      <c r="K3120" s="32" t="n">
        <v>1</v>
      </c>
      <c r="L3120" s="33" t="n">
        <v>45930</v>
      </c>
      <c r="M3120" s="33" t="n">
        <v>45930</v>
      </c>
      <c r="N3120" s="16" t="s">
        <v>10052</v>
      </c>
      <c r="O3120" s="16"/>
      <c r="P3120" s="16" t="str">
        <f aca="false">IF(AND(L3120&lt;=$D$2,M3120&gt;=$C$2),"Sí","")</f>
        <v/>
      </c>
      <c r="Q3120" s="18" t="str">
        <f aca="false">IF(COUNTIF(LOOKAHEAD!$A$5:$A$604,A3120)&gt;0,"En Lookahead",IF(P3120="Sí","INCORPORAR",""))</f>
        <v/>
      </c>
    </row>
    <row r="3121" customFormat="false" ht="15" hidden="false" customHeight="false" outlineLevel="0" collapsed="false">
      <c r="A3121" s="16" t="s">
        <v>10053</v>
      </c>
      <c r="B3121" s="16" t="n">
        <v>3116</v>
      </c>
      <c r="C3121" s="16" t="s">
        <v>10054</v>
      </c>
      <c r="D3121" s="16" t="n">
        <v>7</v>
      </c>
      <c r="E3121" s="37" t="s">
        <v>10055</v>
      </c>
      <c r="F3121" s="16" t="s">
        <v>1285</v>
      </c>
      <c r="G3121" s="16" t="s">
        <v>757</v>
      </c>
      <c r="H3121" s="16" t="s">
        <v>1531</v>
      </c>
      <c r="I3121" s="16" t="s">
        <v>62</v>
      </c>
      <c r="J3121" s="16" t="s">
        <v>1534</v>
      </c>
      <c r="K3121" s="32" t="n">
        <v>1</v>
      </c>
      <c r="L3121" s="33" t="n">
        <v>45931</v>
      </c>
      <c r="M3121" s="33" t="n">
        <v>45931</v>
      </c>
      <c r="N3121" s="16" t="s">
        <v>10056</v>
      </c>
      <c r="O3121" s="16"/>
      <c r="P3121" s="16" t="str">
        <f aca="false">IF(AND(L3121&lt;=$D$2,M3121&gt;=$C$2),"Sí","")</f>
        <v/>
      </c>
      <c r="Q3121" s="18" t="str">
        <f aca="false">IF(COUNTIF(LOOKAHEAD!$A$5:$A$604,A3121)&gt;0,"En Lookahead",IF(P3121="Sí","INCORPORAR",""))</f>
        <v/>
      </c>
    </row>
    <row r="3122" customFormat="false" ht="15" hidden="false" customHeight="false" outlineLevel="0" collapsed="false">
      <c r="A3122" s="16" t="s">
        <v>10057</v>
      </c>
      <c r="B3122" s="16" t="n">
        <v>3117</v>
      </c>
      <c r="C3122" s="16" t="s">
        <v>10058</v>
      </c>
      <c r="D3122" s="16" t="n">
        <v>7</v>
      </c>
      <c r="E3122" s="37" t="s">
        <v>10059</v>
      </c>
      <c r="F3122" s="16" t="s">
        <v>1285</v>
      </c>
      <c r="G3122" s="16" t="s">
        <v>757</v>
      </c>
      <c r="H3122" s="16" t="s">
        <v>1531</v>
      </c>
      <c r="I3122" s="16" t="s">
        <v>62</v>
      </c>
      <c r="J3122" s="16" t="s">
        <v>1534</v>
      </c>
      <c r="K3122" s="32" t="n">
        <v>1</v>
      </c>
      <c r="L3122" s="33" t="n">
        <v>45932</v>
      </c>
      <c r="M3122" s="33" t="n">
        <v>45932</v>
      </c>
      <c r="N3122" s="16" t="s">
        <v>10060</v>
      </c>
      <c r="O3122" s="16"/>
      <c r="P3122" s="16" t="str">
        <f aca="false">IF(AND(L3122&lt;=$D$2,M3122&gt;=$C$2),"Sí","")</f>
        <v/>
      </c>
      <c r="Q3122" s="18" t="str">
        <f aca="false">IF(COUNTIF(LOOKAHEAD!$A$5:$A$604,A3122)&gt;0,"En Lookahead",IF(P3122="Sí","INCORPORAR",""))</f>
        <v/>
      </c>
    </row>
    <row r="3123" customFormat="false" ht="15" hidden="false" customHeight="false" outlineLevel="0" collapsed="false">
      <c r="A3123" s="16" t="s">
        <v>10061</v>
      </c>
      <c r="B3123" s="16" t="n">
        <v>3118</v>
      </c>
      <c r="C3123" s="16" t="s">
        <v>10062</v>
      </c>
      <c r="D3123" s="16" t="n">
        <v>7</v>
      </c>
      <c r="E3123" s="37" t="s">
        <v>10063</v>
      </c>
      <c r="F3123" s="16" t="s">
        <v>1285</v>
      </c>
      <c r="G3123" s="16" t="s">
        <v>757</v>
      </c>
      <c r="H3123" s="16" t="s">
        <v>1531</v>
      </c>
      <c r="I3123" s="16" t="s">
        <v>62</v>
      </c>
      <c r="J3123" s="16" t="s">
        <v>1534</v>
      </c>
      <c r="K3123" s="32" t="n">
        <v>1</v>
      </c>
      <c r="L3123" s="33" t="n">
        <v>45933</v>
      </c>
      <c r="M3123" s="33" t="n">
        <v>45933</v>
      </c>
      <c r="N3123" s="16" t="s">
        <v>10064</v>
      </c>
      <c r="O3123" s="16"/>
      <c r="P3123" s="16" t="str">
        <f aca="false">IF(AND(L3123&lt;=$D$2,M3123&gt;=$C$2),"Sí","")</f>
        <v/>
      </c>
      <c r="Q3123" s="18" t="str">
        <f aca="false">IF(COUNTIF(LOOKAHEAD!$A$5:$A$604,A3123)&gt;0,"En Lookahead",IF(P3123="Sí","INCORPORAR",""))</f>
        <v/>
      </c>
    </row>
    <row r="3124" customFormat="false" ht="15" hidden="false" customHeight="false" outlineLevel="0" collapsed="false">
      <c r="A3124" s="16" t="s">
        <v>10065</v>
      </c>
      <c r="B3124" s="16" t="n">
        <v>3119</v>
      </c>
      <c r="C3124" s="16" t="s">
        <v>10066</v>
      </c>
      <c r="D3124" s="16" t="n">
        <v>7</v>
      </c>
      <c r="E3124" s="37" t="s">
        <v>1557</v>
      </c>
      <c r="F3124" s="16" t="s">
        <v>1285</v>
      </c>
      <c r="G3124" s="16" t="s">
        <v>757</v>
      </c>
      <c r="H3124" s="16" t="s">
        <v>1531</v>
      </c>
      <c r="I3124" s="16" t="s">
        <v>62</v>
      </c>
      <c r="J3124" s="16" t="s">
        <v>1534</v>
      </c>
      <c r="K3124" s="32" t="n">
        <v>1</v>
      </c>
      <c r="L3124" s="33" t="n">
        <v>45933</v>
      </c>
      <c r="M3124" s="33" t="n">
        <v>45933</v>
      </c>
      <c r="N3124" s="16" t="s">
        <v>10064</v>
      </c>
      <c r="O3124" s="16"/>
      <c r="P3124" s="16" t="str">
        <f aca="false">IF(AND(L3124&lt;=$D$2,M3124&gt;=$C$2),"Sí","")</f>
        <v/>
      </c>
      <c r="Q3124" s="18" t="str">
        <f aca="false">IF(COUNTIF(LOOKAHEAD!$A$5:$A$604,A3124)&gt;0,"En Lookahead",IF(P3124="Sí","INCORPORAR",""))</f>
        <v/>
      </c>
    </row>
    <row r="3125" customFormat="false" ht="15" hidden="false" customHeight="false" outlineLevel="0" collapsed="false">
      <c r="A3125" s="16" t="s">
        <v>10067</v>
      </c>
      <c r="B3125" s="16" t="n">
        <v>3120</v>
      </c>
      <c r="C3125" s="16" t="s">
        <v>10068</v>
      </c>
      <c r="D3125" s="16" t="n">
        <v>7</v>
      </c>
      <c r="E3125" s="37" t="s">
        <v>10069</v>
      </c>
      <c r="F3125" s="16" t="s">
        <v>1285</v>
      </c>
      <c r="G3125" s="16" t="s">
        <v>757</v>
      </c>
      <c r="H3125" s="16" t="s">
        <v>1531</v>
      </c>
      <c r="I3125" s="16" t="s">
        <v>62</v>
      </c>
      <c r="J3125" s="16" t="s">
        <v>1534</v>
      </c>
      <c r="K3125" s="32" t="n">
        <v>1</v>
      </c>
      <c r="L3125" s="33" t="n">
        <v>45933</v>
      </c>
      <c r="M3125" s="33" t="n">
        <v>45933</v>
      </c>
      <c r="N3125" s="16" t="s">
        <v>10064</v>
      </c>
      <c r="O3125" s="16"/>
      <c r="P3125" s="16" t="str">
        <f aca="false">IF(AND(L3125&lt;=$D$2,M3125&gt;=$C$2),"Sí","")</f>
        <v/>
      </c>
      <c r="Q3125" s="18" t="str">
        <f aca="false">IF(COUNTIF(LOOKAHEAD!$A$5:$A$604,A3125)&gt;0,"En Lookahead",IF(P3125="Sí","INCORPORAR",""))</f>
        <v/>
      </c>
    </row>
    <row r="3126" customFormat="false" ht="15" hidden="false" customHeight="false" outlineLevel="0" collapsed="false">
      <c r="A3126" s="13" t="s">
        <v>10070</v>
      </c>
      <c r="B3126" s="13" t="n">
        <v>3121</v>
      </c>
      <c r="C3126" s="13" t="s">
        <v>10071</v>
      </c>
      <c r="D3126" s="13" t="n">
        <v>6</v>
      </c>
      <c r="E3126" s="36" t="s">
        <v>10072</v>
      </c>
      <c r="F3126" s="13" t="s">
        <v>1298</v>
      </c>
      <c r="G3126" s="13" t="s">
        <v>757</v>
      </c>
      <c r="H3126" s="13" t="s">
        <v>1531</v>
      </c>
      <c r="I3126" s="13" t="s">
        <v>62</v>
      </c>
      <c r="J3126" s="13" t="s">
        <v>10032</v>
      </c>
      <c r="K3126" s="30" t="n">
        <v>2</v>
      </c>
      <c r="L3126" s="31" t="n">
        <v>45934</v>
      </c>
      <c r="M3126" s="31" t="n">
        <v>45935</v>
      </c>
      <c r="N3126" s="13"/>
      <c r="O3126" s="13"/>
      <c r="P3126" s="13"/>
      <c r="Q3126" s="13"/>
    </row>
    <row r="3127" customFormat="false" ht="15" hidden="false" customHeight="false" outlineLevel="0" collapsed="false">
      <c r="A3127" s="16" t="s">
        <v>10073</v>
      </c>
      <c r="B3127" s="16" t="n">
        <v>3122</v>
      </c>
      <c r="C3127" s="16" t="s">
        <v>10074</v>
      </c>
      <c r="D3127" s="16" t="n">
        <v>7</v>
      </c>
      <c r="E3127" s="37" t="s">
        <v>10075</v>
      </c>
      <c r="F3127" s="16" t="s">
        <v>1285</v>
      </c>
      <c r="G3127" s="16" t="s">
        <v>757</v>
      </c>
      <c r="H3127" s="16" t="s">
        <v>1531</v>
      </c>
      <c r="I3127" s="16" t="s">
        <v>62</v>
      </c>
      <c r="J3127" s="16" t="s">
        <v>10072</v>
      </c>
      <c r="K3127" s="32" t="n">
        <v>2</v>
      </c>
      <c r="L3127" s="33" t="n">
        <v>45934</v>
      </c>
      <c r="M3127" s="33" t="n">
        <v>45935</v>
      </c>
      <c r="N3127" s="16" t="s">
        <v>10076</v>
      </c>
      <c r="O3127" s="16"/>
      <c r="P3127" s="16" t="str">
        <f aca="false">IF(AND(L3127&lt;=$D$2,M3127&gt;=$C$2),"Sí","")</f>
        <v/>
      </c>
      <c r="Q3127" s="18" t="str">
        <f aca="false">IF(COUNTIF(LOOKAHEAD!$A$5:$A$604,A3127)&gt;0,"En Lookahead",IF(P3127="Sí","INCORPORAR",""))</f>
        <v/>
      </c>
    </row>
    <row r="3128" customFormat="false" ht="15" hidden="false" customHeight="false" outlineLevel="0" collapsed="false">
      <c r="A3128" s="13" t="s">
        <v>10077</v>
      </c>
      <c r="B3128" s="13" t="n">
        <v>3123</v>
      </c>
      <c r="C3128" s="13" t="s">
        <v>10078</v>
      </c>
      <c r="D3128" s="13" t="n">
        <v>6</v>
      </c>
      <c r="E3128" s="36" t="s">
        <v>10079</v>
      </c>
      <c r="F3128" s="13" t="s">
        <v>1298</v>
      </c>
      <c r="G3128" s="13" t="s">
        <v>757</v>
      </c>
      <c r="H3128" s="13" t="s">
        <v>1531</v>
      </c>
      <c r="I3128" s="13" t="s">
        <v>62</v>
      </c>
      <c r="J3128" s="13" t="s">
        <v>10032</v>
      </c>
      <c r="K3128" s="30" t="n">
        <v>6</v>
      </c>
      <c r="L3128" s="31" t="n">
        <v>45936</v>
      </c>
      <c r="M3128" s="31" t="n">
        <v>45941</v>
      </c>
      <c r="N3128" s="13"/>
      <c r="O3128" s="13"/>
      <c r="P3128" s="13"/>
      <c r="Q3128" s="13"/>
    </row>
    <row r="3129" customFormat="false" ht="15" hidden="false" customHeight="false" outlineLevel="0" collapsed="false">
      <c r="A3129" s="16" t="s">
        <v>10080</v>
      </c>
      <c r="B3129" s="16" t="n">
        <v>3124</v>
      </c>
      <c r="C3129" s="16" t="s">
        <v>10081</v>
      </c>
      <c r="D3129" s="16" t="n">
        <v>7</v>
      </c>
      <c r="E3129" s="37" t="s">
        <v>10082</v>
      </c>
      <c r="F3129" s="16" t="s">
        <v>1285</v>
      </c>
      <c r="G3129" s="16" t="s">
        <v>757</v>
      </c>
      <c r="H3129" s="16" t="s">
        <v>1531</v>
      </c>
      <c r="I3129" s="16" t="s">
        <v>62</v>
      </c>
      <c r="J3129" s="16" t="s">
        <v>10079</v>
      </c>
      <c r="K3129" s="32" t="n">
        <v>1</v>
      </c>
      <c r="L3129" s="33" t="n">
        <v>45936</v>
      </c>
      <c r="M3129" s="33" t="n">
        <v>45936</v>
      </c>
      <c r="N3129" s="16" t="s">
        <v>10083</v>
      </c>
      <c r="O3129" s="16"/>
      <c r="P3129" s="16" t="str">
        <f aca="false">IF(AND(L3129&lt;=$D$2,M3129&gt;=$C$2),"Sí","")</f>
        <v/>
      </c>
      <c r="Q3129" s="18" t="str">
        <f aca="false">IF(COUNTIF(LOOKAHEAD!$A$5:$A$604,A3129)&gt;0,"En Lookahead",IF(P3129="Sí","INCORPORAR",""))</f>
        <v/>
      </c>
    </row>
    <row r="3130" customFormat="false" ht="15" hidden="false" customHeight="false" outlineLevel="0" collapsed="false">
      <c r="A3130" s="16" t="s">
        <v>10084</v>
      </c>
      <c r="B3130" s="16" t="n">
        <v>3125</v>
      </c>
      <c r="C3130" s="16" t="s">
        <v>10085</v>
      </c>
      <c r="D3130" s="16" t="n">
        <v>7</v>
      </c>
      <c r="E3130" s="37" t="s">
        <v>10086</v>
      </c>
      <c r="F3130" s="16" t="s">
        <v>1285</v>
      </c>
      <c r="G3130" s="16" t="s">
        <v>757</v>
      </c>
      <c r="H3130" s="16" t="s">
        <v>1531</v>
      </c>
      <c r="I3130" s="16" t="s">
        <v>62</v>
      </c>
      <c r="J3130" s="16" t="s">
        <v>10079</v>
      </c>
      <c r="K3130" s="32" t="n">
        <v>1</v>
      </c>
      <c r="L3130" s="33" t="n">
        <v>45937</v>
      </c>
      <c r="M3130" s="33" t="n">
        <v>45937</v>
      </c>
      <c r="N3130" s="16" t="s">
        <v>10087</v>
      </c>
      <c r="O3130" s="16"/>
      <c r="P3130" s="16" t="str">
        <f aca="false">IF(AND(L3130&lt;=$D$2,M3130&gt;=$C$2),"Sí","")</f>
        <v/>
      </c>
      <c r="Q3130" s="18" t="str">
        <f aca="false">IF(COUNTIF(LOOKAHEAD!$A$5:$A$604,A3130)&gt;0,"En Lookahead",IF(P3130="Sí","INCORPORAR",""))</f>
        <v/>
      </c>
    </row>
    <row r="3131" customFormat="false" ht="15" hidden="false" customHeight="false" outlineLevel="0" collapsed="false">
      <c r="A3131" s="16" t="s">
        <v>10088</v>
      </c>
      <c r="B3131" s="16" t="n">
        <v>3126</v>
      </c>
      <c r="C3131" s="16" t="s">
        <v>10089</v>
      </c>
      <c r="D3131" s="16" t="n">
        <v>7</v>
      </c>
      <c r="E3131" s="37" t="s">
        <v>10090</v>
      </c>
      <c r="F3131" s="16" t="s">
        <v>1285</v>
      </c>
      <c r="G3131" s="16" t="s">
        <v>757</v>
      </c>
      <c r="H3131" s="16" t="s">
        <v>1531</v>
      </c>
      <c r="I3131" s="16" t="s">
        <v>62</v>
      </c>
      <c r="J3131" s="16" t="s">
        <v>10079</v>
      </c>
      <c r="K3131" s="32" t="n">
        <v>1</v>
      </c>
      <c r="L3131" s="33" t="n">
        <v>45938</v>
      </c>
      <c r="M3131" s="33" t="n">
        <v>45938</v>
      </c>
      <c r="N3131" s="16" t="s">
        <v>10091</v>
      </c>
      <c r="O3131" s="16"/>
      <c r="P3131" s="16" t="str">
        <f aca="false">IF(AND(L3131&lt;=$D$2,M3131&gt;=$C$2),"Sí","")</f>
        <v/>
      </c>
      <c r="Q3131" s="18" t="str">
        <f aca="false">IF(COUNTIF(LOOKAHEAD!$A$5:$A$604,A3131)&gt;0,"En Lookahead",IF(P3131="Sí","INCORPORAR",""))</f>
        <v/>
      </c>
    </row>
    <row r="3132" customFormat="false" ht="15" hidden="false" customHeight="false" outlineLevel="0" collapsed="false">
      <c r="A3132" s="16" t="s">
        <v>10092</v>
      </c>
      <c r="B3132" s="16" t="n">
        <v>3127</v>
      </c>
      <c r="C3132" s="16" t="s">
        <v>10093</v>
      </c>
      <c r="D3132" s="16" t="n">
        <v>7</v>
      </c>
      <c r="E3132" s="37" t="s">
        <v>10094</v>
      </c>
      <c r="F3132" s="16" t="s">
        <v>1285</v>
      </c>
      <c r="G3132" s="16" t="s">
        <v>757</v>
      </c>
      <c r="H3132" s="16" t="s">
        <v>1531</v>
      </c>
      <c r="I3132" s="16" t="s">
        <v>62</v>
      </c>
      <c r="J3132" s="16" t="s">
        <v>10079</v>
      </c>
      <c r="K3132" s="32" t="n">
        <v>2</v>
      </c>
      <c r="L3132" s="33" t="n">
        <v>45939</v>
      </c>
      <c r="M3132" s="33" t="n">
        <v>45940</v>
      </c>
      <c r="N3132" s="16" t="s">
        <v>10095</v>
      </c>
      <c r="O3132" s="16"/>
      <c r="P3132" s="16" t="str">
        <f aca="false">IF(AND(L3132&lt;=$D$2,M3132&gt;=$C$2),"Sí","")</f>
        <v/>
      </c>
      <c r="Q3132" s="18" t="str">
        <f aca="false">IF(COUNTIF(LOOKAHEAD!$A$5:$A$604,A3132)&gt;0,"En Lookahead",IF(P3132="Sí","INCORPORAR",""))</f>
        <v/>
      </c>
    </row>
    <row r="3133" customFormat="false" ht="15" hidden="false" customHeight="false" outlineLevel="0" collapsed="false">
      <c r="A3133" s="16" t="s">
        <v>10096</v>
      </c>
      <c r="B3133" s="16" t="n">
        <v>3128</v>
      </c>
      <c r="C3133" s="16" t="s">
        <v>10097</v>
      </c>
      <c r="D3133" s="16" t="n">
        <v>7</v>
      </c>
      <c r="E3133" s="37" t="s">
        <v>10098</v>
      </c>
      <c r="F3133" s="16" t="s">
        <v>1285</v>
      </c>
      <c r="G3133" s="16" t="s">
        <v>757</v>
      </c>
      <c r="H3133" s="16" t="s">
        <v>1531</v>
      </c>
      <c r="I3133" s="16" t="s">
        <v>62</v>
      </c>
      <c r="J3133" s="16" t="s">
        <v>10079</v>
      </c>
      <c r="K3133" s="32" t="n">
        <v>1</v>
      </c>
      <c r="L3133" s="33" t="n">
        <v>45941</v>
      </c>
      <c r="M3133" s="33" t="n">
        <v>45941</v>
      </c>
      <c r="N3133" s="16" t="s">
        <v>10099</v>
      </c>
      <c r="O3133" s="16"/>
      <c r="P3133" s="16" t="str">
        <f aca="false">IF(AND(L3133&lt;=$D$2,M3133&gt;=$C$2),"Sí","")</f>
        <v/>
      </c>
      <c r="Q3133" s="18" t="str">
        <f aca="false">IF(COUNTIF(LOOKAHEAD!$A$5:$A$604,A3133)&gt;0,"En Lookahead",IF(P3133="Sí","INCORPORAR",""))</f>
        <v/>
      </c>
    </row>
    <row r="3134" customFormat="false" ht="15" hidden="false" customHeight="false" outlineLevel="0" collapsed="false">
      <c r="A3134" s="13" t="s">
        <v>10100</v>
      </c>
      <c r="B3134" s="13" t="n">
        <v>3129</v>
      </c>
      <c r="C3134" s="13" t="s">
        <v>10101</v>
      </c>
      <c r="D3134" s="13" t="n">
        <v>6</v>
      </c>
      <c r="E3134" s="36" t="s">
        <v>10102</v>
      </c>
      <c r="F3134" s="13" t="s">
        <v>1298</v>
      </c>
      <c r="G3134" s="13" t="s">
        <v>757</v>
      </c>
      <c r="H3134" s="13" t="s">
        <v>1531</v>
      </c>
      <c r="I3134" s="13" t="s">
        <v>62</v>
      </c>
      <c r="J3134" s="13" t="s">
        <v>10032</v>
      </c>
      <c r="K3134" s="30" t="n">
        <v>4</v>
      </c>
      <c r="L3134" s="31" t="n">
        <v>45942</v>
      </c>
      <c r="M3134" s="31" t="n">
        <v>45945</v>
      </c>
      <c r="N3134" s="13"/>
      <c r="O3134" s="13"/>
      <c r="P3134" s="13"/>
      <c r="Q3134" s="13"/>
    </row>
    <row r="3135" customFormat="false" ht="15" hidden="false" customHeight="false" outlineLevel="0" collapsed="false">
      <c r="A3135" s="16" t="s">
        <v>10103</v>
      </c>
      <c r="B3135" s="16" t="n">
        <v>3130</v>
      </c>
      <c r="C3135" s="16" t="s">
        <v>10104</v>
      </c>
      <c r="D3135" s="16" t="n">
        <v>7</v>
      </c>
      <c r="E3135" s="37" t="s">
        <v>10105</v>
      </c>
      <c r="F3135" s="16" t="s">
        <v>1285</v>
      </c>
      <c r="G3135" s="16" t="s">
        <v>757</v>
      </c>
      <c r="H3135" s="16" t="s">
        <v>1531</v>
      </c>
      <c r="I3135" s="16" t="s">
        <v>62</v>
      </c>
      <c r="J3135" s="16" t="s">
        <v>10102</v>
      </c>
      <c r="K3135" s="32" t="n">
        <v>1</v>
      </c>
      <c r="L3135" s="33" t="n">
        <v>45942</v>
      </c>
      <c r="M3135" s="33" t="n">
        <v>45942</v>
      </c>
      <c r="N3135" s="16" t="s">
        <v>10106</v>
      </c>
      <c r="O3135" s="16"/>
      <c r="P3135" s="16" t="str">
        <f aca="false">IF(AND(L3135&lt;=$D$2,M3135&gt;=$C$2),"Sí","")</f>
        <v/>
      </c>
      <c r="Q3135" s="18" t="str">
        <f aca="false">IF(COUNTIF(LOOKAHEAD!$A$5:$A$604,A3135)&gt;0,"En Lookahead",IF(P3135="Sí","INCORPORAR",""))</f>
        <v/>
      </c>
    </row>
    <row r="3136" customFormat="false" ht="15" hidden="false" customHeight="false" outlineLevel="0" collapsed="false">
      <c r="A3136" s="16" t="s">
        <v>10107</v>
      </c>
      <c r="B3136" s="16" t="n">
        <v>3131</v>
      </c>
      <c r="C3136" s="16" t="s">
        <v>10108</v>
      </c>
      <c r="D3136" s="16" t="n">
        <v>7</v>
      </c>
      <c r="E3136" s="37" t="s">
        <v>1557</v>
      </c>
      <c r="F3136" s="16" t="s">
        <v>1285</v>
      </c>
      <c r="G3136" s="16" t="s">
        <v>757</v>
      </c>
      <c r="H3136" s="16" t="s">
        <v>1531</v>
      </c>
      <c r="I3136" s="16" t="s">
        <v>62</v>
      </c>
      <c r="J3136" s="16" t="s">
        <v>10102</v>
      </c>
      <c r="K3136" s="32" t="n">
        <v>1</v>
      </c>
      <c r="L3136" s="33" t="n">
        <v>45943</v>
      </c>
      <c r="M3136" s="33" t="n">
        <v>45943</v>
      </c>
      <c r="N3136" s="16" t="s">
        <v>10109</v>
      </c>
      <c r="O3136" s="16"/>
      <c r="P3136" s="16" t="str">
        <f aca="false">IF(AND(L3136&lt;=$D$2,M3136&gt;=$C$2),"Sí","")</f>
        <v/>
      </c>
      <c r="Q3136" s="18" t="str">
        <f aca="false">IF(COUNTIF(LOOKAHEAD!$A$5:$A$604,A3136)&gt;0,"En Lookahead",IF(P3136="Sí","INCORPORAR",""))</f>
        <v/>
      </c>
    </row>
    <row r="3137" customFormat="false" ht="15" hidden="false" customHeight="false" outlineLevel="0" collapsed="false">
      <c r="A3137" s="16" t="s">
        <v>10110</v>
      </c>
      <c r="B3137" s="16" t="n">
        <v>3132</v>
      </c>
      <c r="C3137" s="16" t="s">
        <v>10111</v>
      </c>
      <c r="D3137" s="16" t="n">
        <v>7</v>
      </c>
      <c r="E3137" s="37" t="s">
        <v>10069</v>
      </c>
      <c r="F3137" s="16" t="s">
        <v>1285</v>
      </c>
      <c r="G3137" s="16" t="s">
        <v>757</v>
      </c>
      <c r="H3137" s="16" t="s">
        <v>1531</v>
      </c>
      <c r="I3137" s="16" t="s">
        <v>62</v>
      </c>
      <c r="J3137" s="16" t="s">
        <v>10102</v>
      </c>
      <c r="K3137" s="32" t="n">
        <v>1</v>
      </c>
      <c r="L3137" s="33" t="n">
        <v>45945</v>
      </c>
      <c r="M3137" s="33" t="n">
        <v>45945</v>
      </c>
      <c r="N3137" s="16" t="s">
        <v>10112</v>
      </c>
      <c r="O3137" s="16"/>
      <c r="P3137" s="16" t="str">
        <f aca="false">IF(AND(L3137&lt;=$D$2,M3137&gt;=$C$2),"Sí","")</f>
        <v/>
      </c>
      <c r="Q3137" s="18" t="str">
        <f aca="false">IF(COUNTIF(LOOKAHEAD!$A$5:$A$604,A3137)&gt;0,"En Lookahead",IF(P3137="Sí","INCORPORAR",""))</f>
        <v/>
      </c>
    </row>
    <row r="3138" customFormat="false" ht="15" hidden="false" customHeight="false" outlineLevel="0" collapsed="false">
      <c r="A3138" s="16" t="s">
        <v>10113</v>
      </c>
      <c r="B3138" s="16" t="n">
        <v>3133</v>
      </c>
      <c r="C3138" s="16" t="s">
        <v>10114</v>
      </c>
      <c r="D3138" s="16" t="n">
        <v>7</v>
      </c>
      <c r="E3138" s="37" t="s">
        <v>10115</v>
      </c>
      <c r="F3138" s="16" t="s">
        <v>1285</v>
      </c>
      <c r="G3138" s="16" t="s">
        <v>757</v>
      </c>
      <c r="H3138" s="16" t="s">
        <v>1531</v>
      </c>
      <c r="I3138" s="16" t="s">
        <v>62</v>
      </c>
      <c r="J3138" s="16" t="s">
        <v>10102</v>
      </c>
      <c r="K3138" s="32" t="n">
        <v>1</v>
      </c>
      <c r="L3138" s="33" t="n">
        <v>45944</v>
      </c>
      <c r="M3138" s="33" t="n">
        <v>45944</v>
      </c>
      <c r="N3138" s="16" t="s">
        <v>10116</v>
      </c>
      <c r="O3138" s="16"/>
      <c r="P3138" s="16" t="str">
        <f aca="false">IF(AND(L3138&lt;=$D$2,M3138&gt;=$C$2),"Sí","")</f>
        <v/>
      </c>
      <c r="Q3138" s="18" t="str">
        <f aca="false">IF(COUNTIF(LOOKAHEAD!$A$5:$A$604,A3138)&gt;0,"En Lookahead",IF(P3138="Sí","INCORPORAR",""))</f>
        <v/>
      </c>
    </row>
    <row r="3139" customFormat="false" ht="15" hidden="false" customHeight="false" outlineLevel="0" collapsed="false">
      <c r="A3139" s="13" t="s">
        <v>10117</v>
      </c>
      <c r="B3139" s="13" t="n">
        <v>3134</v>
      </c>
      <c r="C3139" s="13" t="s">
        <v>10118</v>
      </c>
      <c r="D3139" s="13" t="n">
        <v>6</v>
      </c>
      <c r="E3139" s="36" t="s">
        <v>10119</v>
      </c>
      <c r="F3139" s="13" t="s">
        <v>1298</v>
      </c>
      <c r="G3139" s="13" t="s">
        <v>757</v>
      </c>
      <c r="H3139" s="13" t="s">
        <v>1531</v>
      </c>
      <c r="I3139" s="13" t="s">
        <v>62</v>
      </c>
      <c r="J3139" s="13" t="s">
        <v>10032</v>
      </c>
      <c r="K3139" s="30" t="n">
        <v>4</v>
      </c>
      <c r="L3139" s="31" t="n">
        <v>45936</v>
      </c>
      <c r="M3139" s="31" t="n">
        <v>45939</v>
      </c>
      <c r="N3139" s="13"/>
      <c r="O3139" s="13"/>
      <c r="P3139" s="13"/>
      <c r="Q3139" s="13"/>
    </row>
    <row r="3140" customFormat="false" ht="15" hidden="false" customHeight="false" outlineLevel="0" collapsed="false">
      <c r="A3140" s="16" t="s">
        <v>10120</v>
      </c>
      <c r="B3140" s="16" t="n">
        <v>3135</v>
      </c>
      <c r="C3140" s="16" t="s">
        <v>10121</v>
      </c>
      <c r="D3140" s="16" t="n">
        <v>7</v>
      </c>
      <c r="E3140" s="37" t="s">
        <v>10122</v>
      </c>
      <c r="F3140" s="16" t="s">
        <v>1285</v>
      </c>
      <c r="G3140" s="16" t="s">
        <v>757</v>
      </c>
      <c r="H3140" s="16" t="s">
        <v>1531</v>
      </c>
      <c r="I3140" s="16" t="s">
        <v>62</v>
      </c>
      <c r="J3140" s="16" t="s">
        <v>10119</v>
      </c>
      <c r="K3140" s="32" t="n">
        <v>3</v>
      </c>
      <c r="L3140" s="33" t="n">
        <v>45936</v>
      </c>
      <c r="M3140" s="33" t="n">
        <v>45938</v>
      </c>
      <c r="N3140" s="16" t="s">
        <v>10083</v>
      </c>
      <c r="O3140" s="16"/>
      <c r="P3140" s="16" t="str">
        <f aca="false">IF(AND(L3140&lt;=$D$2,M3140&gt;=$C$2),"Sí","")</f>
        <v/>
      </c>
      <c r="Q3140" s="18" t="str">
        <f aca="false">IF(COUNTIF(LOOKAHEAD!$A$5:$A$604,A3140)&gt;0,"En Lookahead",IF(P3140="Sí","INCORPORAR",""))</f>
        <v/>
      </c>
    </row>
    <row r="3141" customFormat="false" ht="15" hidden="false" customHeight="false" outlineLevel="0" collapsed="false">
      <c r="A3141" s="16" t="s">
        <v>10123</v>
      </c>
      <c r="B3141" s="16" t="n">
        <v>3136</v>
      </c>
      <c r="C3141" s="16" t="s">
        <v>10124</v>
      </c>
      <c r="D3141" s="16" t="n">
        <v>7</v>
      </c>
      <c r="E3141" s="37" t="s">
        <v>10125</v>
      </c>
      <c r="F3141" s="16" t="s">
        <v>1285</v>
      </c>
      <c r="G3141" s="16" t="s">
        <v>757</v>
      </c>
      <c r="H3141" s="16" t="s">
        <v>1531</v>
      </c>
      <c r="I3141" s="16" t="s">
        <v>62</v>
      </c>
      <c r="J3141" s="16" t="s">
        <v>10119</v>
      </c>
      <c r="K3141" s="32" t="n">
        <v>1</v>
      </c>
      <c r="L3141" s="33" t="n">
        <v>45939</v>
      </c>
      <c r="M3141" s="33" t="n">
        <v>45939</v>
      </c>
      <c r="N3141" s="16" t="s">
        <v>10126</v>
      </c>
      <c r="O3141" s="16"/>
      <c r="P3141" s="16" t="str">
        <f aca="false">IF(AND(L3141&lt;=$D$2,M3141&gt;=$C$2),"Sí","")</f>
        <v/>
      </c>
      <c r="Q3141" s="18" t="str">
        <f aca="false">IF(COUNTIF(LOOKAHEAD!$A$5:$A$604,A3141)&gt;0,"En Lookahead",IF(P3141="Sí","INCORPORAR",""))</f>
        <v/>
      </c>
    </row>
    <row r="3142" customFormat="false" ht="15" hidden="false" customHeight="false" outlineLevel="0" collapsed="false">
      <c r="A3142" s="13" t="s">
        <v>10127</v>
      </c>
      <c r="B3142" s="13" t="n">
        <v>3137</v>
      </c>
      <c r="C3142" s="13" t="s">
        <v>10128</v>
      </c>
      <c r="D3142" s="13" t="n">
        <v>5</v>
      </c>
      <c r="E3142" s="34" t="s">
        <v>10129</v>
      </c>
      <c r="F3142" s="13" t="s">
        <v>1298</v>
      </c>
      <c r="G3142" s="13" t="s">
        <v>757</v>
      </c>
      <c r="H3142" s="13" t="s">
        <v>1531</v>
      </c>
      <c r="I3142" s="13" t="s">
        <v>62</v>
      </c>
      <c r="J3142" s="13" t="s">
        <v>1531</v>
      </c>
      <c r="K3142" s="30" t="n">
        <v>28</v>
      </c>
      <c r="L3142" s="31" t="n">
        <v>45924</v>
      </c>
      <c r="M3142" s="31" t="n">
        <v>45951</v>
      </c>
      <c r="N3142" s="13"/>
      <c r="O3142" s="13"/>
      <c r="P3142" s="13"/>
      <c r="Q3142" s="13"/>
    </row>
    <row r="3143" customFormat="false" ht="15" hidden="false" customHeight="false" outlineLevel="0" collapsed="false">
      <c r="A3143" s="13" t="s">
        <v>10130</v>
      </c>
      <c r="B3143" s="13" t="n">
        <v>3138</v>
      </c>
      <c r="C3143" s="13" t="s">
        <v>10131</v>
      </c>
      <c r="D3143" s="13" t="n">
        <v>6</v>
      </c>
      <c r="E3143" s="36" t="s">
        <v>10035</v>
      </c>
      <c r="F3143" s="13" t="s">
        <v>1298</v>
      </c>
      <c r="G3143" s="13" t="s">
        <v>757</v>
      </c>
      <c r="H3143" s="13" t="s">
        <v>1531</v>
      </c>
      <c r="I3143" s="13" t="s">
        <v>62</v>
      </c>
      <c r="J3143" s="13" t="s">
        <v>10129</v>
      </c>
      <c r="K3143" s="30" t="n">
        <v>1</v>
      </c>
      <c r="L3143" s="31" t="n">
        <v>45924</v>
      </c>
      <c r="M3143" s="31" t="n">
        <v>45924</v>
      </c>
      <c r="N3143" s="13"/>
      <c r="O3143" s="13"/>
      <c r="P3143" s="13"/>
      <c r="Q3143" s="13"/>
    </row>
    <row r="3144" customFormat="false" ht="15" hidden="false" customHeight="false" outlineLevel="0" collapsed="false">
      <c r="A3144" s="16" t="s">
        <v>10132</v>
      </c>
      <c r="B3144" s="16" t="n">
        <v>3139</v>
      </c>
      <c r="C3144" s="16" t="s">
        <v>10133</v>
      </c>
      <c r="D3144" s="16" t="n">
        <v>7</v>
      </c>
      <c r="E3144" s="37" t="s">
        <v>10038</v>
      </c>
      <c r="F3144" s="16" t="s">
        <v>1285</v>
      </c>
      <c r="G3144" s="16" t="s">
        <v>757</v>
      </c>
      <c r="H3144" s="16" t="s">
        <v>1531</v>
      </c>
      <c r="I3144" s="16" t="s">
        <v>62</v>
      </c>
      <c r="J3144" s="16" t="s">
        <v>10035</v>
      </c>
      <c r="K3144" s="32" t="n">
        <v>1</v>
      </c>
      <c r="L3144" s="33" t="n">
        <v>45924</v>
      </c>
      <c r="M3144" s="33" t="n">
        <v>45924</v>
      </c>
      <c r="N3144" s="16" t="s">
        <v>9996</v>
      </c>
      <c r="O3144" s="16"/>
      <c r="P3144" s="16" t="str">
        <f aca="false">IF(AND(L3144&lt;=$D$2,M3144&gt;=$C$2),"Sí","")</f>
        <v/>
      </c>
      <c r="Q3144" s="18" t="str">
        <f aca="false">IF(COUNTIF(LOOKAHEAD!$A$5:$A$604,A3144)&gt;0,"En Lookahead",IF(P3144="Sí","INCORPORAR",""))</f>
        <v/>
      </c>
    </row>
    <row r="3145" customFormat="false" ht="15" hidden="false" customHeight="false" outlineLevel="0" collapsed="false">
      <c r="A3145" s="13" t="s">
        <v>10134</v>
      </c>
      <c r="B3145" s="13" t="n">
        <v>3140</v>
      </c>
      <c r="C3145" s="13" t="s">
        <v>10135</v>
      </c>
      <c r="D3145" s="13" t="n">
        <v>6</v>
      </c>
      <c r="E3145" s="36" t="s">
        <v>1534</v>
      </c>
      <c r="F3145" s="13" t="s">
        <v>1298</v>
      </c>
      <c r="G3145" s="13" t="s">
        <v>757</v>
      </c>
      <c r="H3145" s="13" t="s">
        <v>1531</v>
      </c>
      <c r="I3145" s="13" t="s">
        <v>62</v>
      </c>
      <c r="J3145" s="13" t="s">
        <v>10129</v>
      </c>
      <c r="K3145" s="30" t="n">
        <v>22</v>
      </c>
      <c r="L3145" s="31" t="n">
        <v>45925</v>
      </c>
      <c r="M3145" s="31" t="n">
        <v>45946</v>
      </c>
      <c r="N3145" s="13"/>
      <c r="O3145" s="13"/>
      <c r="P3145" s="13"/>
      <c r="Q3145" s="13"/>
    </row>
    <row r="3146" customFormat="false" ht="15" hidden="false" customHeight="false" outlineLevel="0" collapsed="false">
      <c r="A3146" s="16" t="s">
        <v>10136</v>
      </c>
      <c r="B3146" s="16" t="n">
        <v>3141</v>
      </c>
      <c r="C3146" s="16" t="s">
        <v>10137</v>
      </c>
      <c r="D3146" s="16" t="n">
        <v>7</v>
      </c>
      <c r="E3146" s="37" t="s">
        <v>10043</v>
      </c>
      <c r="F3146" s="16" t="s">
        <v>1285</v>
      </c>
      <c r="G3146" s="16" t="s">
        <v>757</v>
      </c>
      <c r="H3146" s="16" t="s">
        <v>1531</v>
      </c>
      <c r="I3146" s="16" t="s">
        <v>62</v>
      </c>
      <c r="J3146" s="16" t="s">
        <v>1534</v>
      </c>
      <c r="K3146" s="32" t="n">
        <v>3</v>
      </c>
      <c r="L3146" s="33" t="n">
        <v>45925</v>
      </c>
      <c r="M3146" s="33" t="n">
        <v>45927</v>
      </c>
      <c r="N3146" s="16" t="s">
        <v>10138</v>
      </c>
      <c r="O3146" s="16"/>
      <c r="P3146" s="16" t="str">
        <f aca="false">IF(AND(L3146&lt;=$D$2,M3146&gt;=$C$2),"Sí","")</f>
        <v/>
      </c>
      <c r="Q3146" s="18" t="str">
        <f aca="false">IF(COUNTIF(LOOKAHEAD!$A$5:$A$604,A3146)&gt;0,"En Lookahead",IF(P3146="Sí","INCORPORAR",""))</f>
        <v/>
      </c>
    </row>
    <row r="3147" customFormat="false" ht="15" hidden="false" customHeight="false" outlineLevel="0" collapsed="false">
      <c r="A3147" s="16" t="s">
        <v>10139</v>
      </c>
      <c r="B3147" s="16" t="n">
        <v>3142</v>
      </c>
      <c r="C3147" s="16" t="s">
        <v>10140</v>
      </c>
      <c r="D3147" s="16" t="n">
        <v>7</v>
      </c>
      <c r="E3147" s="37" t="s">
        <v>10047</v>
      </c>
      <c r="F3147" s="16" t="s">
        <v>1285</v>
      </c>
      <c r="G3147" s="16" t="s">
        <v>757</v>
      </c>
      <c r="H3147" s="16" t="s">
        <v>1531</v>
      </c>
      <c r="I3147" s="16" t="s">
        <v>62</v>
      </c>
      <c r="J3147" s="16" t="s">
        <v>1534</v>
      </c>
      <c r="K3147" s="32" t="n">
        <v>1</v>
      </c>
      <c r="L3147" s="33" t="n">
        <v>45928</v>
      </c>
      <c r="M3147" s="33" t="n">
        <v>45928</v>
      </c>
      <c r="N3147" s="16" t="s">
        <v>10141</v>
      </c>
      <c r="O3147" s="16"/>
      <c r="P3147" s="16" t="str">
        <f aca="false">IF(AND(L3147&lt;=$D$2,M3147&gt;=$C$2),"Sí","")</f>
        <v/>
      </c>
      <c r="Q3147" s="18" t="str">
        <f aca="false">IF(COUNTIF(LOOKAHEAD!$A$5:$A$604,A3147)&gt;0,"En Lookahead",IF(P3147="Sí","INCORPORAR",""))</f>
        <v/>
      </c>
    </row>
    <row r="3148" customFormat="false" ht="15" hidden="false" customHeight="false" outlineLevel="0" collapsed="false">
      <c r="A3148" s="16" t="s">
        <v>10142</v>
      </c>
      <c r="B3148" s="16" t="n">
        <v>3143</v>
      </c>
      <c r="C3148" s="16" t="s">
        <v>10143</v>
      </c>
      <c r="D3148" s="16" t="n">
        <v>7</v>
      </c>
      <c r="E3148" s="37" t="s">
        <v>10051</v>
      </c>
      <c r="F3148" s="16" t="s">
        <v>1285</v>
      </c>
      <c r="G3148" s="16" t="s">
        <v>757</v>
      </c>
      <c r="H3148" s="16" t="s">
        <v>1531</v>
      </c>
      <c r="I3148" s="16" t="s">
        <v>62</v>
      </c>
      <c r="J3148" s="16" t="s">
        <v>1534</v>
      </c>
      <c r="K3148" s="32" t="n">
        <v>1</v>
      </c>
      <c r="L3148" s="33" t="n">
        <v>45929</v>
      </c>
      <c r="M3148" s="33" t="n">
        <v>45929</v>
      </c>
      <c r="N3148" s="16" t="s">
        <v>10144</v>
      </c>
      <c r="O3148" s="16"/>
      <c r="P3148" s="16" t="str">
        <f aca="false">IF(AND(L3148&lt;=$D$2,M3148&gt;=$C$2),"Sí","")</f>
        <v/>
      </c>
      <c r="Q3148" s="18" t="str">
        <f aca="false">IF(COUNTIF(LOOKAHEAD!$A$5:$A$604,A3148)&gt;0,"En Lookahead",IF(P3148="Sí","INCORPORAR",""))</f>
        <v/>
      </c>
    </row>
    <row r="3149" customFormat="false" ht="15" hidden="false" customHeight="false" outlineLevel="0" collapsed="false">
      <c r="A3149" s="16" t="s">
        <v>10145</v>
      </c>
      <c r="B3149" s="16" t="n">
        <v>3144</v>
      </c>
      <c r="C3149" s="16" t="s">
        <v>10146</v>
      </c>
      <c r="D3149" s="16" t="n">
        <v>7</v>
      </c>
      <c r="E3149" s="37" t="s">
        <v>10055</v>
      </c>
      <c r="F3149" s="16" t="s">
        <v>1285</v>
      </c>
      <c r="G3149" s="16" t="s">
        <v>757</v>
      </c>
      <c r="H3149" s="16" t="s">
        <v>1531</v>
      </c>
      <c r="I3149" s="16" t="s">
        <v>62</v>
      </c>
      <c r="J3149" s="16" t="s">
        <v>1534</v>
      </c>
      <c r="K3149" s="32" t="n">
        <v>1</v>
      </c>
      <c r="L3149" s="33" t="n">
        <v>45930</v>
      </c>
      <c r="M3149" s="33" t="n">
        <v>45930</v>
      </c>
      <c r="N3149" s="16" t="s">
        <v>10147</v>
      </c>
      <c r="O3149" s="16"/>
      <c r="P3149" s="16" t="str">
        <f aca="false">IF(AND(L3149&lt;=$D$2,M3149&gt;=$C$2),"Sí","")</f>
        <v/>
      </c>
      <c r="Q3149" s="18" t="str">
        <f aca="false">IF(COUNTIF(LOOKAHEAD!$A$5:$A$604,A3149)&gt;0,"En Lookahead",IF(P3149="Sí","INCORPORAR",""))</f>
        <v/>
      </c>
    </row>
    <row r="3150" customFormat="false" ht="15" hidden="false" customHeight="false" outlineLevel="0" collapsed="false">
      <c r="A3150" s="16" t="s">
        <v>10148</v>
      </c>
      <c r="B3150" s="16" t="n">
        <v>3145</v>
      </c>
      <c r="C3150" s="16" t="s">
        <v>10149</v>
      </c>
      <c r="D3150" s="16" t="n">
        <v>7</v>
      </c>
      <c r="E3150" s="37" t="s">
        <v>10059</v>
      </c>
      <c r="F3150" s="16" t="s">
        <v>1285</v>
      </c>
      <c r="G3150" s="16" t="s">
        <v>757</v>
      </c>
      <c r="H3150" s="16" t="s">
        <v>1531</v>
      </c>
      <c r="I3150" s="16" t="s">
        <v>62</v>
      </c>
      <c r="J3150" s="16" t="s">
        <v>1534</v>
      </c>
      <c r="K3150" s="32" t="n">
        <v>1</v>
      </c>
      <c r="L3150" s="33" t="n">
        <v>45944</v>
      </c>
      <c r="M3150" s="33" t="n">
        <v>45944</v>
      </c>
      <c r="N3150" s="16" t="s">
        <v>10150</v>
      </c>
      <c r="O3150" s="16"/>
      <c r="P3150" s="16" t="str">
        <f aca="false">IF(AND(L3150&lt;=$D$2,M3150&gt;=$C$2),"Sí","")</f>
        <v/>
      </c>
      <c r="Q3150" s="18" t="str">
        <f aca="false">IF(COUNTIF(LOOKAHEAD!$A$5:$A$604,A3150)&gt;0,"En Lookahead",IF(P3150="Sí","INCORPORAR",""))</f>
        <v/>
      </c>
    </row>
    <row r="3151" customFormat="false" ht="15" hidden="false" customHeight="false" outlineLevel="0" collapsed="false">
      <c r="A3151" s="16" t="s">
        <v>10151</v>
      </c>
      <c r="B3151" s="16" t="n">
        <v>3146</v>
      </c>
      <c r="C3151" s="16" t="s">
        <v>10152</v>
      </c>
      <c r="D3151" s="16" t="n">
        <v>7</v>
      </c>
      <c r="E3151" s="37" t="s">
        <v>10063</v>
      </c>
      <c r="F3151" s="16" t="s">
        <v>1285</v>
      </c>
      <c r="G3151" s="16" t="s">
        <v>757</v>
      </c>
      <c r="H3151" s="16" t="s">
        <v>1531</v>
      </c>
      <c r="I3151" s="16" t="s">
        <v>62</v>
      </c>
      <c r="J3151" s="16" t="s">
        <v>1534</v>
      </c>
      <c r="K3151" s="32" t="n">
        <v>1</v>
      </c>
      <c r="L3151" s="33" t="n">
        <v>45945</v>
      </c>
      <c r="M3151" s="33" t="n">
        <v>45945</v>
      </c>
      <c r="N3151" s="16" t="s">
        <v>10153</v>
      </c>
      <c r="O3151" s="16"/>
      <c r="P3151" s="16" t="str">
        <f aca="false">IF(AND(L3151&lt;=$D$2,M3151&gt;=$C$2),"Sí","")</f>
        <v/>
      </c>
      <c r="Q3151" s="18" t="str">
        <f aca="false">IF(COUNTIF(LOOKAHEAD!$A$5:$A$604,A3151)&gt;0,"En Lookahead",IF(P3151="Sí","INCORPORAR",""))</f>
        <v/>
      </c>
    </row>
    <row r="3152" customFormat="false" ht="15" hidden="false" customHeight="false" outlineLevel="0" collapsed="false">
      <c r="A3152" s="16" t="s">
        <v>10154</v>
      </c>
      <c r="B3152" s="16" t="n">
        <v>3147</v>
      </c>
      <c r="C3152" s="16" t="s">
        <v>10155</v>
      </c>
      <c r="D3152" s="16" t="n">
        <v>7</v>
      </c>
      <c r="E3152" s="37" t="s">
        <v>1557</v>
      </c>
      <c r="F3152" s="16" t="s">
        <v>1285</v>
      </c>
      <c r="G3152" s="16" t="s">
        <v>757</v>
      </c>
      <c r="H3152" s="16" t="s">
        <v>1531</v>
      </c>
      <c r="I3152" s="16" t="s">
        <v>62</v>
      </c>
      <c r="J3152" s="16" t="s">
        <v>1534</v>
      </c>
      <c r="K3152" s="32" t="n">
        <v>1</v>
      </c>
      <c r="L3152" s="33" t="n">
        <v>45944</v>
      </c>
      <c r="M3152" s="33" t="n">
        <v>45944</v>
      </c>
      <c r="N3152" s="16" t="s">
        <v>10156</v>
      </c>
      <c r="O3152" s="16"/>
      <c r="P3152" s="16" t="str">
        <f aca="false">IF(AND(L3152&lt;=$D$2,M3152&gt;=$C$2),"Sí","")</f>
        <v/>
      </c>
      <c r="Q3152" s="18" t="str">
        <f aca="false">IF(COUNTIF(LOOKAHEAD!$A$5:$A$604,A3152)&gt;0,"En Lookahead",IF(P3152="Sí","INCORPORAR",""))</f>
        <v/>
      </c>
    </row>
    <row r="3153" customFormat="false" ht="15" hidden="false" customHeight="false" outlineLevel="0" collapsed="false">
      <c r="A3153" s="16" t="s">
        <v>10157</v>
      </c>
      <c r="B3153" s="16" t="n">
        <v>3148</v>
      </c>
      <c r="C3153" s="16" t="s">
        <v>10158</v>
      </c>
      <c r="D3153" s="16" t="n">
        <v>7</v>
      </c>
      <c r="E3153" s="37" t="s">
        <v>10069</v>
      </c>
      <c r="F3153" s="16" t="s">
        <v>1285</v>
      </c>
      <c r="G3153" s="16" t="s">
        <v>757</v>
      </c>
      <c r="H3153" s="16" t="s">
        <v>1531</v>
      </c>
      <c r="I3153" s="16" t="s">
        <v>62</v>
      </c>
      <c r="J3153" s="16" t="s">
        <v>1534</v>
      </c>
      <c r="K3153" s="32" t="n">
        <v>1</v>
      </c>
      <c r="L3153" s="33" t="n">
        <v>45946</v>
      </c>
      <c r="M3153" s="33" t="n">
        <v>45946</v>
      </c>
      <c r="N3153" s="16" t="s">
        <v>10159</v>
      </c>
      <c r="O3153" s="16"/>
      <c r="P3153" s="16" t="str">
        <f aca="false">IF(AND(L3153&lt;=$D$2,M3153&gt;=$C$2),"Sí","")</f>
        <v/>
      </c>
      <c r="Q3153" s="18" t="str">
        <f aca="false">IF(COUNTIF(LOOKAHEAD!$A$5:$A$604,A3153)&gt;0,"En Lookahead",IF(P3153="Sí","INCORPORAR",""))</f>
        <v/>
      </c>
    </row>
    <row r="3154" customFormat="false" ht="15" hidden="false" customHeight="false" outlineLevel="0" collapsed="false">
      <c r="A3154" s="13" t="s">
        <v>10160</v>
      </c>
      <c r="B3154" s="13" t="n">
        <v>3149</v>
      </c>
      <c r="C3154" s="13" t="s">
        <v>10161</v>
      </c>
      <c r="D3154" s="13" t="n">
        <v>6</v>
      </c>
      <c r="E3154" s="36" t="s">
        <v>10162</v>
      </c>
      <c r="F3154" s="13" t="s">
        <v>1298</v>
      </c>
      <c r="G3154" s="13" t="s">
        <v>757</v>
      </c>
      <c r="H3154" s="13" t="s">
        <v>1531</v>
      </c>
      <c r="I3154" s="13" t="s">
        <v>62</v>
      </c>
      <c r="J3154" s="13" t="s">
        <v>10129</v>
      </c>
      <c r="K3154" s="30" t="n">
        <v>2</v>
      </c>
      <c r="L3154" s="31" t="n">
        <v>45947</v>
      </c>
      <c r="M3154" s="31" t="n">
        <v>45948</v>
      </c>
      <c r="N3154" s="13"/>
      <c r="O3154" s="13"/>
      <c r="P3154" s="13"/>
      <c r="Q3154" s="13"/>
    </row>
    <row r="3155" customFormat="false" ht="15" hidden="false" customHeight="false" outlineLevel="0" collapsed="false">
      <c r="A3155" s="16" t="s">
        <v>10163</v>
      </c>
      <c r="B3155" s="16" t="n">
        <v>3150</v>
      </c>
      <c r="C3155" s="16" t="s">
        <v>10164</v>
      </c>
      <c r="D3155" s="16" t="n">
        <v>7</v>
      </c>
      <c r="E3155" s="37" t="s">
        <v>10165</v>
      </c>
      <c r="F3155" s="16" t="s">
        <v>1285</v>
      </c>
      <c r="G3155" s="16" t="s">
        <v>757</v>
      </c>
      <c r="H3155" s="16" t="s">
        <v>1531</v>
      </c>
      <c r="I3155" s="16" t="s">
        <v>62</v>
      </c>
      <c r="J3155" s="16" t="s">
        <v>10162</v>
      </c>
      <c r="K3155" s="32" t="n">
        <v>1</v>
      </c>
      <c r="L3155" s="33" t="n">
        <v>45947</v>
      </c>
      <c r="M3155" s="33" t="n">
        <v>45947</v>
      </c>
      <c r="N3155" s="16" t="s">
        <v>10166</v>
      </c>
      <c r="O3155" s="16"/>
      <c r="P3155" s="16" t="str">
        <f aca="false">IF(AND(L3155&lt;=$D$2,M3155&gt;=$C$2),"Sí","")</f>
        <v/>
      </c>
      <c r="Q3155" s="18" t="str">
        <f aca="false">IF(COUNTIF(LOOKAHEAD!$A$5:$A$604,A3155)&gt;0,"En Lookahead",IF(P3155="Sí","INCORPORAR",""))</f>
        <v/>
      </c>
    </row>
    <row r="3156" customFormat="false" ht="15" hidden="false" customHeight="false" outlineLevel="0" collapsed="false">
      <c r="A3156" s="16" t="s">
        <v>10167</v>
      </c>
      <c r="B3156" s="16" t="n">
        <v>3151</v>
      </c>
      <c r="C3156" s="16" t="s">
        <v>10168</v>
      </c>
      <c r="D3156" s="16" t="n">
        <v>7</v>
      </c>
      <c r="E3156" s="37" t="s">
        <v>10169</v>
      </c>
      <c r="F3156" s="16" t="s">
        <v>1285</v>
      </c>
      <c r="G3156" s="16" t="s">
        <v>757</v>
      </c>
      <c r="H3156" s="16" t="s">
        <v>1531</v>
      </c>
      <c r="I3156" s="16" t="s">
        <v>62</v>
      </c>
      <c r="J3156" s="16" t="s">
        <v>10162</v>
      </c>
      <c r="K3156" s="32" t="n">
        <v>1</v>
      </c>
      <c r="L3156" s="33" t="n">
        <v>45948</v>
      </c>
      <c r="M3156" s="33" t="n">
        <v>45948</v>
      </c>
      <c r="N3156" s="16" t="s">
        <v>10170</v>
      </c>
      <c r="O3156" s="16"/>
      <c r="P3156" s="16" t="str">
        <f aca="false">IF(AND(L3156&lt;=$D$2,M3156&gt;=$C$2),"Sí","")</f>
        <v/>
      </c>
      <c r="Q3156" s="18" t="str">
        <f aca="false">IF(COUNTIF(LOOKAHEAD!$A$5:$A$604,A3156)&gt;0,"En Lookahead",IF(P3156="Sí","INCORPORAR",""))</f>
        <v/>
      </c>
    </row>
    <row r="3157" customFormat="false" ht="15" hidden="false" customHeight="false" outlineLevel="0" collapsed="false">
      <c r="A3157" s="13" t="s">
        <v>10171</v>
      </c>
      <c r="B3157" s="13" t="n">
        <v>3152</v>
      </c>
      <c r="C3157" s="13" t="s">
        <v>10172</v>
      </c>
      <c r="D3157" s="13" t="n">
        <v>6</v>
      </c>
      <c r="E3157" s="36" t="s">
        <v>10173</v>
      </c>
      <c r="F3157" s="13" t="s">
        <v>1298</v>
      </c>
      <c r="G3157" s="13" t="s">
        <v>757</v>
      </c>
      <c r="H3157" s="13" t="s">
        <v>1531</v>
      </c>
      <c r="I3157" s="13" t="s">
        <v>62</v>
      </c>
      <c r="J3157" s="13" t="s">
        <v>10129</v>
      </c>
      <c r="K3157" s="30" t="n">
        <v>17</v>
      </c>
      <c r="L3157" s="31" t="n">
        <v>45930</v>
      </c>
      <c r="M3157" s="31" t="n">
        <v>45946</v>
      </c>
      <c r="N3157" s="13"/>
      <c r="O3157" s="13"/>
      <c r="P3157" s="13"/>
      <c r="Q3157" s="13"/>
    </row>
    <row r="3158" customFormat="false" ht="15" hidden="false" customHeight="false" outlineLevel="0" collapsed="false">
      <c r="A3158" s="16" t="s">
        <v>10174</v>
      </c>
      <c r="B3158" s="16" t="n">
        <v>3153</v>
      </c>
      <c r="C3158" s="16" t="s">
        <v>10175</v>
      </c>
      <c r="D3158" s="16" t="n">
        <v>7</v>
      </c>
      <c r="E3158" s="37" t="s">
        <v>10176</v>
      </c>
      <c r="F3158" s="16" t="s">
        <v>1285</v>
      </c>
      <c r="G3158" s="16" t="s">
        <v>757</v>
      </c>
      <c r="H3158" s="16" t="s">
        <v>1531</v>
      </c>
      <c r="I3158" s="16" t="s">
        <v>62</v>
      </c>
      <c r="J3158" s="16" t="s">
        <v>10173</v>
      </c>
      <c r="K3158" s="32" t="n">
        <v>1</v>
      </c>
      <c r="L3158" s="33" t="n">
        <v>45930</v>
      </c>
      <c r="M3158" s="33" t="n">
        <v>45930</v>
      </c>
      <c r="N3158" s="16" t="s">
        <v>10147</v>
      </c>
      <c r="O3158" s="16"/>
      <c r="P3158" s="16" t="str">
        <f aca="false">IF(AND(L3158&lt;=$D$2,M3158&gt;=$C$2),"Sí","")</f>
        <v/>
      </c>
      <c r="Q3158" s="18" t="str">
        <f aca="false">IF(COUNTIF(LOOKAHEAD!$A$5:$A$604,A3158)&gt;0,"En Lookahead",IF(P3158="Sí","INCORPORAR",""))</f>
        <v/>
      </c>
    </row>
    <row r="3159" customFormat="false" ht="15" hidden="false" customHeight="false" outlineLevel="0" collapsed="false">
      <c r="A3159" s="16" t="s">
        <v>10177</v>
      </c>
      <c r="B3159" s="16" t="n">
        <v>3154</v>
      </c>
      <c r="C3159" s="16" t="s">
        <v>10178</v>
      </c>
      <c r="D3159" s="16" t="n">
        <v>7</v>
      </c>
      <c r="E3159" s="37" t="s">
        <v>10075</v>
      </c>
      <c r="F3159" s="16" t="s">
        <v>1285</v>
      </c>
      <c r="G3159" s="16" t="s">
        <v>757</v>
      </c>
      <c r="H3159" s="16" t="s">
        <v>1531</v>
      </c>
      <c r="I3159" s="16" t="s">
        <v>62</v>
      </c>
      <c r="J3159" s="16" t="s">
        <v>10173</v>
      </c>
      <c r="K3159" s="32" t="n">
        <v>1</v>
      </c>
      <c r="L3159" s="33" t="n">
        <v>45931</v>
      </c>
      <c r="M3159" s="33" t="n">
        <v>45931</v>
      </c>
      <c r="N3159" s="16" t="s">
        <v>10179</v>
      </c>
      <c r="O3159" s="16"/>
      <c r="P3159" s="16" t="str">
        <f aca="false">IF(AND(L3159&lt;=$D$2,M3159&gt;=$C$2),"Sí","")</f>
        <v/>
      </c>
      <c r="Q3159" s="18" t="str">
        <f aca="false">IF(COUNTIF(LOOKAHEAD!$A$5:$A$604,A3159)&gt;0,"En Lookahead",IF(P3159="Sí","INCORPORAR",""))</f>
        <v/>
      </c>
    </row>
    <row r="3160" customFormat="false" ht="15" hidden="false" customHeight="false" outlineLevel="0" collapsed="false">
      <c r="A3160" s="16" t="s">
        <v>10180</v>
      </c>
      <c r="B3160" s="16" t="n">
        <v>3155</v>
      </c>
      <c r="C3160" s="16" t="s">
        <v>10181</v>
      </c>
      <c r="D3160" s="16" t="n">
        <v>7</v>
      </c>
      <c r="E3160" s="37" t="s">
        <v>10182</v>
      </c>
      <c r="F3160" s="16" t="s">
        <v>1285</v>
      </c>
      <c r="G3160" s="16" t="s">
        <v>757</v>
      </c>
      <c r="H3160" s="16" t="s">
        <v>1531</v>
      </c>
      <c r="I3160" s="16" t="s">
        <v>62</v>
      </c>
      <c r="J3160" s="16" t="s">
        <v>10173</v>
      </c>
      <c r="K3160" s="32" t="n">
        <v>1</v>
      </c>
      <c r="L3160" s="33" t="n">
        <v>45946</v>
      </c>
      <c r="M3160" s="33" t="n">
        <v>45946</v>
      </c>
      <c r="N3160" s="16" t="s">
        <v>10159</v>
      </c>
      <c r="O3160" s="16"/>
      <c r="P3160" s="16" t="str">
        <f aca="false">IF(AND(L3160&lt;=$D$2,M3160&gt;=$C$2),"Sí","")</f>
        <v/>
      </c>
      <c r="Q3160" s="18" t="str">
        <f aca="false">IF(COUNTIF(LOOKAHEAD!$A$5:$A$604,A3160)&gt;0,"En Lookahead",IF(P3160="Sí","INCORPORAR",""))</f>
        <v/>
      </c>
    </row>
    <row r="3161" customFormat="false" ht="15" hidden="false" customHeight="false" outlineLevel="0" collapsed="false">
      <c r="A3161" s="13" t="s">
        <v>10183</v>
      </c>
      <c r="B3161" s="13" t="n">
        <v>3156</v>
      </c>
      <c r="C3161" s="13" t="s">
        <v>10184</v>
      </c>
      <c r="D3161" s="13" t="n">
        <v>6</v>
      </c>
      <c r="E3161" s="36" t="s">
        <v>10079</v>
      </c>
      <c r="F3161" s="13" t="s">
        <v>1298</v>
      </c>
      <c r="G3161" s="13" t="s">
        <v>757</v>
      </c>
      <c r="H3161" s="13" t="s">
        <v>1531</v>
      </c>
      <c r="I3161" s="13" t="s">
        <v>62</v>
      </c>
      <c r="J3161" s="13" t="s">
        <v>10129</v>
      </c>
      <c r="K3161" s="30" t="n">
        <v>13</v>
      </c>
      <c r="L3161" s="31" t="n">
        <v>45931</v>
      </c>
      <c r="M3161" s="31" t="n">
        <v>45943</v>
      </c>
      <c r="N3161" s="13"/>
      <c r="O3161" s="13"/>
      <c r="P3161" s="13"/>
      <c r="Q3161" s="13"/>
    </row>
    <row r="3162" customFormat="false" ht="15" hidden="false" customHeight="false" outlineLevel="0" collapsed="false">
      <c r="A3162" s="16" t="s">
        <v>10185</v>
      </c>
      <c r="B3162" s="16" t="n">
        <v>3157</v>
      </c>
      <c r="C3162" s="16" t="s">
        <v>10186</v>
      </c>
      <c r="D3162" s="16" t="n">
        <v>7</v>
      </c>
      <c r="E3162" s="37" t="s">
        <v>10187</v>
      </c>
      <c r="F3162" s="16" t="s">
        <v>1285</v>
      </c>
      <c r="G3162" s="16" t="s">
        <v>757</v>
      </c>
      <c r="H3162" s="16" t="s">
        <v>1531</v>
      </c>
      <c r="I3162" s="16" t="s">
        <v>62</v>
      </c>
      <c r="J3162" s="16" t="s">
        <v>10079</v>
      </c>
      <c r="K3162" s="32" t="n">
        <v>1</v>
      </c>
      <c r="L3162" s="33" t="n">
        <v>45931</v>
      </c>
      <c r="M3162" s="33" t="n">
        <v>45931</v>
      </c>
      <c r="N3162" s="16" t="s">
        <v>10179</v>
      </c>
      <c r="O3162" s="16"/>
      <c r="P3162" s="16" t="str">
        <f aca="false">IF(AND(L3162&lt;=$D$2,M3162&gt;=$C$2),"Sí","")</f>
        <v/>
      </c>
      <c r="Q3162" s="18" t="str">
        <f aca="false">IF(COUNTIF(LOOKAHEAD!$A$5:$A$604,A3162)&gt;0,"En Lookahead",IF(P3162="Sí","INCORPORAR",""))</f>
        <v/>
      </c>
    </row>
    <row r="3163" customFormat="false" ht="15" hidden="false" customHeight="false" outlineLevel="0" collapsed="false">
      <c r="A3163" s="16" t="s">
        <v>10188</v>
      </c>
      <c r="B3163" s="16" t="n">
        <v>3158</v>
      </c>
      <c r="C3163" s="16" t="s">
        <v>10189</v>
      </c>
      <c r="D3163" s="16" t="n">
        <v>7</v>
      </c>
      <c r="E3163" s="37" t="s">
        <v>10190</v>
      </c>
      <c r="F3163" s="16" t="s">
        <v>1285</v>
      </c>
      <c r="G3163" s="16" t="s">
        <v>757</v>
      </c>
      <c r="H3163" s="16" t="s">
        <v>1531</v>
      </c>
      <c r="I3163" s="16" t="s">
        <v>62</v>
      </c>
      <c r="J3163" s="16" t="s">
        <v>10079</v>
      </c>
      <c r="K3163" s="32" t="n">
        <v>1</v>
      </c>
      <c r="L3163" s="33" t="n">
        <v>45932</v>
      </c>
      <c r="M3163" s="33" t="n">
        <v>45932</v>
      </c>
      <c r="N3163" s="16" t="s">
        <v>10191</v>
      </c>
      <c r="O3163" s="16"/>
      <c r="P3163" s="16" t="str">
        <f aca="false">IF(AND(L3163&lt;=$D$2,M3163&gt;=$C$2),"Sí","")</f>
        <v/>
      </c>
      <c r="Q3163" s="18" t="str">
        <f aca="false">IF(COUNTIF(LOOKAHEAD!$A$5:$A$604,A3163)&gt;0,"En Lookahead",IF(P3163="Sí","INCORPORAR",""))</f>
        <v/>
      </c>
    </row>
    <row r="3164" customFormat="false" ht="15" hidden="false" customHeight="false" outlineLevel="0" collapsed="false">
      <c r="A3164" s="16" t="s">
        <v>10192</v>
      </c>
      <c r="B3164" s="16" t="n">
        <v>3159</v>
      </c>
      <c r="C3164" s="16" t="s">
        <v>10193</v>
      </c>
      <c r="D3164" s="16" t="n">
        <v>7</v>
      </c>
      <c r="E3164" s="37" t="s">
        <v>10194</v>
      </c>
      <c r="F3164" s="16" t="s">
        <v>1285</v>
      </c>
      <c r="G3164" s="16" t="s">
        <v>757</v>
      </c>
      <c r="H3164" s="16" t="s">
        <v>1531</v>
      </c>
      <c r="I3164" s="16" t="s">
        <v>62</v>
      </c>
      <c r="J3164" s="16" t="s">
        <v>10079</v>
      </c>
      <c r="K3164" s="32" t="n">
        <v>1</v>
      </c>
      <c r="L3164" s="33" t="n">
        <v>45933</v>
      </c>
      <c r="M3164" s="33" t="n">
        <v>45933</v>
      </c>
      <c r="N3164" s="16" t="s">
        <v>10195</v>
      </c>
      <c r="O3164" s="16"/>
      <c r="P3164" s="16" t="str">
        <f aca="false">IF(AND(L3164&lt;=$D$2,M3164&gt;=$C$2),"Sí","")</f>
        <v/>
      </c>
      <c r="Q3164" s="18" t="str">
        <f aca="false">IF(COUNTIF(LOOKAHEAD!$A$5:$A$604,A3164)&gt;0,"En Lookahead",IF(P3164="Sí","INCORPORAR",""))</f>
        <v/>
      </c>
    </row>
    <row r="3165" customFormat="false" ht="15" hidden="false" customHeight="false" outlineLevel="0" collapsed="false">
      <c r="A3165" s="16" t="s">
        <v>10196</v>
      </c>
      <c r="B3165" s="16" t="n">
        <v>3160</v>
      </c>
      <c r="C3165" s="16" t="s">
        <v>10197</v>
      </c>
      <c r="D3165" s="16" t="n">
        <v>7</v>
      </c>
      <c r="E3165" s="37" t="s">
        <v>10090</v>
      </c>
      <c r="F3165" s="16" t="s">
        <v>1285</v>
      </c>
      <c r="G3165" s="16" t="s">
        <v>757</v>
      </c>
      <c r="H3165" s="16" t="s">
        <v>1531</v>
      </c>
      <c r="I3165" s="16" t="s">
        <v>62</v>
      </c>
      <c r="J3165" s="16" t="s">
        <v>10079</v>
      </c>
      <c r="K3165" s="32" t="n">
        <v>1</v>
      </c>
      <c r="L3165" s="33" t="n">
        <v>45934</v>
      </c>
      <c r="M3165" s="33" t="n">
        <v>45934</v>
      </c>
      <c r="N3165" s="16" t="s">
        <v>10198</v>
      </c>
      <c r="O3165" s="16"/>
      <c r="P3165" s="16" t="str">
        <f aca="false">IF(AND(L3165&lt;=$D$2,M3165&gt;=$C$2),"Sí","")</f>
        <v/>
      </c>
      <c r="Q3165" s="18" t="str">
        <f aca="false">IF(COUNTIF(LOOKAHEAD!$A$5:$A$604,A3165)&gt;0,"En Lookahead",IF(P3165="Sí","INCORPORAR",""))</f>
        <v/>
      </c>
    </row>
    <row r="3166" customFormat="false" ht="15" hidden="false" customHeight="false" outlineLevel="0" collapsed="false">
      <c r="A3166" s="16" t="s">
        <v>10199</v>
      </c>
      <c r="B3166" s="16" t="n">
        <v>3161</v>
      </c>
      <c r="C3166" s="16" t="s">
        <v>10200</v>
      </c>
      <c r="D3166" s="16" t="n">
        <v>7</v>
      </c>
      <c r="E3166" s="37" t="s">
        <v>10201</v>
      </c>
      <c r="F3166" s="16" t="s">
        <v>1285</v>
      </c>
      <c r="G3166" s="16" t="s">
        <v>757</v>
      </c>
      <c r="H3166" s="16" t="s">
        <v>1531</v>
      </c>
      <c r="I3166" s="16" t="s">
        <v>62</v>
      </c>
      <c r="J3166" s="16" t="s">
        <v>10079</v>
      </c>
      <c r="K3166" s="32" t="n">
        <v>1</v>
      </c>
      <c r="L3166" s="33" t="n">
        <v>45935</v>
      </c>
      <c r="M3166" s="33" t="n">
        <v>45935</v>
      </c>
      <c r="N3166" s="16" t="s">
        <v>10202</v>
      </c>
      <c r="O3166" s="16"/>
      <c r="P3166" s="16" t="str">
        <f aca="false">IF(AND(L3166&lt;=$D$2,M3166&gt;=$C$2),"Sí","")</f>
        <v/>
      </c>
      <c r="Q3166" s="18" t="str">
        <f aca="false">IF(COUNTIF(LOOKAHEAD!$A$5:$A$604,A3166)&gt;0,"En Lookahead",IF(P3166="Sí","INCORPORAR",""))</f>
        <v/>
      </c>
    </row>
    <row r="3167" customFormat="false" ht="15" hidden="false" customHeight="false" outlineLevel="0" collapsed="false">
      <c r="A3167" s="16" t="s">
        <v>10203</v>
      </c>
      <c r="B3167" s="16" t="n">
        <v>3162</v>
      </c>
      <c r="C3167" s="16" t="s">
        <v>10204</v>
      </c>
      <c r="D3167" s="16" t="n">
        <v>7</v>
      </c>
      <c r="E3167" s="37" t="s">
        <v>10086</v>
      </c>
      <c r="F3167" s="16" t="s">
        <v>1285</v>
      </c>
      <c r="G3167" s="16" t="s">
        <v>757</v>
      </c>
      <c r="H3167" s="16" t="s">
        <v>1531</v>
      </c>
      <c r="I3167" s="16" t="s">
        <v>62</v>
      </c>
      <c r="J3167" s="16" t="s">
        <v>10079</v>
      </c>
      <c r="K3167" s="32" t="n">
        <v>1</v>
      </c>
      <c r="L3167" s="33" t="n">
        <v>45936</v>
      </c>
      <c r="M3167" s="33" t="n">
        <v>45936</v>
      </c>
      <c r="N3167" s="16" t="s">
        <v>10205</v>
      </c>
      <c r="O3167" s="16"/>
      <c r="P3167" s="16" t="str">
        <f aca="false">IF(AND(L3167&lt;=$D$2,M3167&gt;=$C$2),"Sí","")</f>
        <v/>
      </c>
      <c r="Q3167" s="18" t="str">
        <f aca="false">IF(COUNTIF(LOOKAHEAD!$A$5:$A$604,A3167)&gt;0,"En Lookahead",IF(P3167="Sí","INCORPORAR",""))</f>
        <v/>
      </c>
    </row>
    <row r="3168" customFormat="false" ht="15" hidden="false" customHeight="false" outlineLevel="0" collapsed="false">
      <c r="A3168" s="16" t="s">
        <v>10206</v>
      </c>
      <c r="B3168" s="16" t="n">
        <v>3163</v>
      </c>
      <c r="C3168" s="16" t="s">
        <v>10207</v>
      </c>
      <c r="D3168" s="16" t="n">
        <v>7</v>
      </c>
      <c r="E3168" s="37" t="s">
        <v>10208</v>
      </c>
      <c r="F3168" s="16" t="s">
        <v>1285</v>
      </c>
      <c r="G3168" s="16" t="s">
        <v>757</v>
      </c>
      <c r="H3168" s="16" t="s">
        <v>1531</v>
      </c>
      <c r="I3168" s="16" t="s">
        <v>62</v>
      </c>
      <c r="J3168" s="16" t="s">
        <v>10079</v>
      </c>
      <c r="K3168" s="32" t="n">
        <v>1</v>
      </c>
      <c r="L3168" s="33" t="n">
        <v>45937</v>
      </c>
      <c r="M3168" s="33" t="n">
        <v>45937</v>
      </c>
      <c r="N3168" s="16" t="s">
        <v>10209</v>
      </c>
      <c r="O3168" s="16"/>
      <c r="P3168" s="16" t="str">
        <f aca="false">IF(AND(L3168&lt;=$D$2,M3168&gt;=$C$2),"Sí","")</f>
        <v/>
      </c>
      <c r="Q3168" s="18" t="str">
        <f aca="false">IF(COUNTIF(LOOKAHEAD!$A$5:$A$604,A3168)&gt;0,"En Lookahead",IF(P3168="Sí","INCORPORAR",""))</f>
        <v/>
      </c>
    </row>
    <row r="3169" customFormat="false" ht="15" hidden="false" customHeight="false" outlineLevel="0" collapsed="false">
      <c r="A3169" s="16" t="s">
        <v>10210</v>
      </c>
      <c r="B3169" s="16" t="n">
        <v>3164</v>
      </c>
      <c r="C3169" s="16" t="s">
        <v>10211</v>
      </c>
      <c r="D3169" s="16" t="n">
        <v>7</v>
      </c>
      <c r="E3169" s="37" t="s">
        <v>10212</v>
      </c>
      <c r="F3169" s="16" t="s">
        <v>1285</v>
      </c>
      <c r="G3169" s="16" t="s">
        <v>757</v>
      </c>
      <c r="H3169" s="16" t="s">
        <v>1531</v>
      </c>
      <c r="I3169" s="16" t="s">
        <v>62</v>
      </c>
      <c r="J3169" s="16" t="s">
        <v>10079</v>
      </c>
      <c r="K3169" s="32" t="n">
        <v>1</v>
      </c>
      <c r="L3169" s="33" t="n">
        <v>45938</v>
      </c>
      <c r="M3169" s="33" t="n">
        <v>45938</v>
      </c>
      <c r="N3169" s="16" t="s">
        <v>10213</v>
      </c>
      <c r="O3169" s="16"/>
      <c r="P3169" s="16" t="str">
        <f aca="false">IF(AND(L3169&lt;=$D$2,M3169&gt;=$C$2),"Sí","")</f>
        <v/>
      </c>
      <c r="Q3169" s="18" t="str">
        <f aca="false">IF(COUNTIF(LOOKAHEAD!$A$5:$A$604,A3169)&gt;0,"En Lookahead",IF(P3169="Sí","INCORPORAR",""))</f>
        <v/>
      </c>
    </row>
    <row r="3170" customFormat="false" ht="15" hidden="false" customHeight="false" outlineLevel="0" collapsed="false">
      <c r="A3170" s="16" t="s">
        <v>10214</v>
      </c>
      <c r="B3170" s="16" t="n">
        <v>3165</v>
      </c>
      <c r="C3170" s="16" t="s">
        <v>10215</v>
      </c>
      <c r="D3170" s="16" t="n">
        <v>7</v>
      </c>
      <c r="E3170" s="37" t="s">
        <v>10216</v>
      </c>
      <c r="F3170" s="16" t="s">
        <v>1285</v>
      </c>
      <c r="G3170" s="16" t="s">
        <v>757</v>
      </c>
      <c r="H3170" s="16" t="s">
        <v>1531</v>
      </c>
      <c r="I3170" s="16" t="s">
        <v>62</v>
      </c>
      <c r="J3170" s="16" t="s">
        <v>10079</v>
      </c>
      <c r="K3170" s="32" t="n">
        <v>1</v>
      </c>
      <c r="L3170" s="33" t="n">
        <v>45939</v>
      </c>
      <c r="M3170" s="33" t="n">
        <v>45939</v>
      </c>
      <c r="N3170" s="16" t="s">
        <v>10217</v>
      </c>
      <c r="O3170" s="16"/>
      <c r="P3170" s="16" t="str">
        <f aca="false">IF(AND(L3170&lt;=$D$2,M3170&gt;=$C$2),"Sí","")</f>
        <v/>
      </c>
      <c r="Q3170" s="18" t="str">
        <f aca="false">IF(COUNTIF(LOOKAHEAD!$A$5:$A$604,A3170)&gt;0,"En Lookahead",IF(P3170="Sí","INCORPORAR",""))</f>
        <v/>
      </c>
    </row>
    <row r="3171" customFormat="false" ht="15" hidden="false" customHeight="false" outlineLevel="0" collapsed="false">
      <c r="A3171" s="16" t="s">
        <v>10218</v>
      </c>
      <c r="B3171" s="16" t="n">
        <v>3166</v>
      </c>
      <c r="C3171" s="16" t="s">
        <v>10219</v>
      </c>
      <c r="D3171" s="16" t="n">
        <v>7</v>
      </c>
      <c r="E3171" s="37" t="s">
        <v>10220</v>
      </c>
      <c r="F3171" s="16" t="s">
        <v>1285</v>
      </c>
      <c r="G3171" s="16" t="s">
        <v>757</v>
      </c>
      <c r="H3171" s="16" t="s">
        <v>1531</v>
      </c>
      <c r="I3171" s="16" t="s">
        <v>62</v>
      </c>
      <c r="J3171" s="16" t="s">
        <v>10079</v>
      </c>
      <c r="K3171" s="32" t="n">
        <v>1</v>
      </c>
      <c r="L3171" s="33" t="n">
        <v>45940</v>
      </c>
      <c r="M3171" s="33" t="n">
        <v>45940</v>
      </c>
      <c r="N3171" s="16" t="s">
        <v>10221</v>
      </c>
      <c r="O3171" s="16"/>
      <c r="P3171" s="16" t="str">
        <f aca="false">IF(AND(L3171&lt;=$D$2,M3171&gt;=$C$2),"Sí","")</f>
        <v/>
      </c>
      <c r="Q3171" s="18" t="str">
        <f aca="false">IF(COUNTIF(LOOKAHEAD!$A$5:$A$604,A3171)&gt;0,"En Lookahead",IF(P3171="Sí","INCORPORAR",""))</f>
        <v/>
      </c>
    </row>
    <row r="3172" customFormat="false" ht="15" hidden="false" customHeight="false" outlineLevel="0" collapsed="false">
      <c r="A3172" s="16" t="s">
        <v>10222</v>
      </c>
      <c r="B3172" s="16" t="n">
        <v>3167</v>
      </c>
      <c r="C3172" s="16" t="s">
        <v>10223</v>
      </c>
      <c r="D3172" s="16" t="n">
        <v>7</v>
      </c>
      <c r="E3172" s="37" t="s">
        <v>10224</v>
      </c>
      <c r="F3172" s="16" t="s">
        <v>1285</v>
      </c>
      <c r="G3172" s="16" t="s">
        <v>757</v>
      </c>
      <c r="H3172" s="16" t="s">
        <v>1531</v>
      </c>
      <c r="I3172" s="16" t="s">
        <v>62</v>
      </c>
      <c r="J3172" s="16" t="s">
        <v>10079</v>
      </c>
      <c r="K3172" s="32" t="n">
        <v>1</v>
      </c>
      <c r="L3172" s="33" t="n">
        <v>45941</v>
      </c>
      <c r="M3172" s="33" t="n">
        <v>45941</v>
      </c>
      <c r="N3172" s="16" t="s">
        <v>10225</v>
      </c>
      <c r="O3172" s="16"/>
      <c r="P3172" s="16" t="str">
        <f aca="false">IF(AND(L3172&lt;=$D$2,M3172&gt;=$C$2),"Sí","")</f>
        <v/>
      </c>
      <c r="Q3172" s="18" t="str">
        <f aca="false">IF(COUNTIF(LOOKAHEAD!$A$5:$A$604,A3172)&gt;0,"En Lookahead",IF(P3172="Sí","INCORPORAR",""))</f>
        <v/>
      </c>
    </row>
    <row r="3173" customFormat="false" ht="15" hidden="false" customHeight="false" outlineLevel="0" collapsed="false">
      <c r="A3173" s="16" t="s">
        <v>10226</v>
      </c>
      <c r="B3173" s="16" t="n">
        <v>3168</v>
      </c>
      <c r="C3173" s="16" t="s">
        <v>10227</v>
      </c>
      <c r="D3173" s="16" t="n">
        <v>7</v>
      </c>
      <c r="E3173" s="37" t="s">
        <v>10228</v>
      </c>
      <c r="F3173" s="16" t="s">
        <v>1285</v>
      </c>
      <c r="G3173" s="16" t="s">
        <v>757</v>
      </c>
      <c r="H3173" s="16" t="s">
        <v>1531</v>
      </c>
      <c r="I3173" s="16" t="s">
        <v>62</v>
      </c>
      <c r="J3173" s="16" t="s">
        <v>10079</v>
      </c>
      <c r="K3173" s="32" t="n">
        <v>1</v>
      </c>
      <c r="L3173" s="33" t="n">
        <v>45942</v>
      </c>
      <c r="M3173" s="33" t="n">
        <v>45942</v>
      </c>
      <c r="N3173" s="16" t="s">
        <v>10229</v>
      </c>
      <c r="O3173" s="16"/>
      <c r="P3173" s="16" t="str">
        <f aca="false">IF(AND(L3173&lt;=$D$2,M3173&gt;=$C$2),"Sí","")</f>
        <v/>
      </c>
      <c r="Q3173" s="18" t="str">
        <f aca="false">IF(COUNTIF(LOOKAHEAD!$A$5:$A$604,A3173)&gt;0,"En Lookahead",IF(P3173="Sí","INCORPORAR",""))</f>
        <v/>
      </c>
    </row>
    <row r="3174" customFormat="false" ht="15" hidden="false" customHeight="false" outlineLevel="0" collapsed="false">
      <c r="A3174" s="16" t="s">
        <v>10230</v>
      </c>
      <c r="B3174" s="16" t="n">
        <v>3169</v>
      </c>
      <c r="C3174" s="16" t="s">
        <v>10231</v>
      </c>
      <c r="D3174" s="16" t="n">
        <v>7</v>
      </c>
      <c r="E3174" s="37" t="s">
        <v>10232</v>
      </c>
      <c r="F3174" s="16" t="s">
        <v>1285</v>
      </c>
      <c r="G3174" s="16" t="s">
        <v>757</v>
      </c>
      <c r="H3174" s="16" t="s">
        <v>1531</v>
      </c>
      <c r="I3174" s="16" t="s">
        <v>62</v>
      </c>
      <c r="J3174" s="16" t="s">
        <v>10079</v>
      </c>
      <c r="K3174" s="32" t="n">
        <v>1</v>
      </c>
      <c r="L3174" s="33" t="n">
        <v>45943</v>
      </c>
      <c r="M3174" s="33" t="n">
        <v>45943</v>
      </c>
      <c r="N3174" s="16" t="s">
        <v>10233</v>
      </c>
      <c r="O3174" s="16"/>
      <c r="P3174" s="16" t="str">
        <f aca="false">IF(AND(L3174&lt;=$D$2,M3174&gt;=$C$2),"Sí","")</f>
        <v/>
      </c>
      <c r="Q3174" s="18" t="str">
        <f aca="false">IF(COUNTIF(LOOKAHEAD!$A$5:$A$604,A3174)&gt;0,"En Lookahead",IF(P3174="Sí","INCORPORAR",""))</f>
        <v/>
      </c>
    </row>
    <row r="3175" customFormat="false" ht="15" hidden="false" customHeight="false" outlineLevel="0" collapsed="false">
      <c r="A3175" s="13" t="s">
        <v>10234</v>
      </c>
      <c r="B3175" s="13" t="n">
        <v>3170</v>
      </c>
      <c r="C3175" s="13" t="s">
        <v>10235</v>
      </c>
      <c r="D3175" s="13" t="n">
        <v>6</v>
      </c>
      <c r="E3175" s="36" t="s">
        <v>10236</v>
      </c>
      <c r="F3175" s="13" t="s">
        <v>1298</v>
      </c>
      <c r="G3175" s="13" t="s">
        <v>757</v>
      </c>
      <c r="H3175" s="13" t="s">
        <v>1531</v>
      </c>
      <c r="I3175" s="13" t="s">
        <v>62</v>
      </c>
      <c r="J3175" s="13" t="s">
        <v>10129</v>
      </c>
      <c r="K3175" s="30" t="n">
        <v>3</v>
      </c>
      <c r="L3175" s="31" t="n">
        <v>45949</v>
      </c>
      <c r="M3175" s="31" t="n">
        <v>45951</v>
      </c>
      <c r="N3175" s="13"/>
      <c r="O3175" s="13"/>
      <c r="P3175" s="13"/>
      <c r="Q3175" s="13"/>
    </row>
    <row r="3176" customFormat="false" ht="15" hidden="false" customHeight="false" outlineLevel="0" collapsed="false">
      <c r="A3176" s="16" t="s">
        <v>10237</v>
      </c>
      <c r="B3176" s="16" t="n">
        <v>3171</v>
      </c>
      <c r="C3176" s="16" t="s">
        <v>10238</v>
      </c>
      <c r="D3176" s="16" t="n">
        <v>7</v>
      </c>
      <c r="E3176" s="37" t="s">
        <v>10239</v>
      </c>
      <c r="F3176" s="16" t="s">
        <v>1285</v>
      </c>
      <c r="G3176" s="16" t="s">
        <v>757</v>
      </c>
      <c r="H3176" s="16" t="s">
        <v>1531</v>
      </c>
      <c r="I3176" s="16" t="s">
        <v>62</v>
      </c>
      <c r="J3176" s="16" t="s">
        <v>10236</v>
      </c>
      <c r="K3176" s="32" t="n">
        <v>1</v>
      </c>
      <c r="L3176" s="33" t="n">
        <v>45949</v>
      </c>
      <c r="M3176" s="33" t="n">
        <v>45949</v>
      </c>
      <c r="N3176" s="16" t="s">
        <v>10240</v>
      </c>
      <c r="O3176" s="16"/>
      <c r="P3176" s="16" t="str">
        <f aca="false">IF(AND(L3176&lt;=$D$2,M3176&gt;=$C$2),"Sí","")</f>
        <v/>
      </c>
      <c r="Q3176" s="18" t="str">
        <f aca="false">IF(COUNTIF(LOOKAHEAD!$A$5:$A$604,A3176)&gt;0,"En Lookahead",IF(P3176="Sí","INCORPORAR",""))</f>
        <v/>
      </c>
    </row>
    <row r="3177" customFormat="false" ht="15" hidden="false" customHeight="false" outlineLevel="0" collapsed="false">
      <c r="A3177" s="16" t="s">
        <v>10241</v>
      </c>
      <c r="B3177" s="16" t="n">
        <v>3172</v>
      </c>
      <c r="C3177" s="16" t="s">
        <v>10242</v>
      </c>
      <c r="D3177" s="16" t="n">
        <v>7</v>
      </c>
      <c r="E3177" s="37" t="s">
        <v>10243</v>
      </c>
      <c r="F3177" s="16" t="s">
        <v>1285</v>
      </c>
      <c r="G3177" s="16" t="s">
        <v>757</v>
      </c>
      <c r="H3177" s="16" t="s">
        <v>1531</v>
      </c>
      <c r="I3177" s="16" t="s">
        <v>62</v>
      </c>
      <c r="J3177" s="16" t="s">
        <v>10236</v>
      </c>
      <c r="K3177" s="32" t="n">
        <v>1</v>
      </c>
      <c r="L3177" s="33" t="n">
        <v>45950</v>
      </c>
      <c r="M3177" s="33" t="n">
        <v>45950</v>
      </c>
      <c r="N3177" s="16" t="s">
        <v>10244</v>
      </c>
      <c r="O3177" s="16"/>
      <c r="P3177" s="16" t="str">
        <f aca="false">IF(AND(L3177&lt;=$D$2,M3177&gt;=$C$2),"Sí","")</f>
        <v/>
      </c>
      <c r="Q3177" s="18" t="str">
        <f aca="false">IF(COUNTIF(LOOKAHEAD!$A$5:$A$604,A3177)&gt;0,"En Lookahead",IF(P3177="Sí","INCORPORAR",""))</f>
        <v/>
      </c>
    </row>
    <row r="3178" customFormat="false" ht="15" hidden="false" customHeight="false" outlineLevel="0" collapsed="false">
      <c r="A3178" s="16" t="s">
        <v>10245</v>
      </c>
      <c r="B3178" s="16" t="n">
        <v>3173</v>
      </c>
      <c r="C3178" s="16" t="s">
        <v>10246</v>
      </c>
      <c r="D3178" s="16" t="n">
        <v>7</v>
      </c>
      <c r="E3178" s="37" t="s">
        <v>10247</v>
      </c>
      <c r="F3178" s="16" t="s">
        <v>1285</v>
      </c>
      <c r="G3178" s="16" t="s">
        <v>757</v>
      </c>
      <c r="H3178" s="16" t="s">
        <v>1531</v>
      </c>
      <c r="I3178" s="16" t="s">
        <v>62</v>
      </c>
      <c r="J3178" s="16" t="s">
        <v>10236</v>
      </c>
      <c r="K3178" s="32" t="n">
        <v>1</v>
      </c>
      <c r="L3178" s="33" t="n">
        <v>45951</v>
      </c>
      <c r="M3178" s="33" t="n">
        <v>45951</v>
      </c>
      <c r="N3178" s="16" t="s">
        <v>10248</v>
      </c>
      <c r="O3178" s="16"/>
      <c r="P3178" s="16" t="str">
        <f aca="false">IF(AND(L3178&lt;=$D$2,M3178&gt;=$C$2),"Sí","")</f>
        <v/>
      </c>
      <c r="Q3178" s="18" t="str">
        <f aca="false">IF(COUNTIF(LOOKAHEAD!$A$5:$A$604,A3178)&gt;0,"En Lookahead",IF(P3178="Sí","INCORPORAR",""))</f>
        <v/>
      </c>
    </row>
    <row r="3179" customFormat="false" ht="15" hidden="false" customHeight="false" outlineLevel="0" collapsed="false">
      <c r="A3179" s="13" t="s">
        <v>10249</v>
      </c>
      <c r="B3179" s="13" t="n">
        <v>3174</v>
      </c>
      <c r="C3179" s="13" t="s">
        <v>10250</v>
      </c>
      <c r="D3179" s="13" t="n">
        <v>5</v>
      </c>
      <c r="E3179" s="34" t="s">
        <v>10251</v>
      </c>
      <c r="F3179" s="13" t="s">
        <v>1298</v>
      </c>
      <c r="G3179" s="13" t="s">
        <v>757</v>
      </c>
      <c r="H3179" s="13" t="s">
        <v>1531</v>
      </c>
      <c r="I3179" s="13" t="s">
        <v>62</v>
      </c>
      <c r="J3179" s="13" t="s">
        <v>1531</v>
      </c>
      <c r="K3179" s="30" t="n">
        <v>3</v>
      </c>
      <c r="L3179" s="31" t="n">
        <v>45952</v>
      </c>
      <c r="M3179" s="31" t="n">
        <v>45954</v>
      </c>
      <c r="N3179" s="13"/>
      <c r="O3179" s="13"/>
      <c r="P3179" s="13"/>
      <c r="Q3179" s="13"/>
    </row>
    <row r="3180" customFormat="false" ht="15" hidden="false" customHeight="false" outlineLevel="0" collapsed="false">
      <c r="A3180" s="16" t="s">
        <v>10252</v>
      </c>
      <c r="B3180" s="16" t="n">
        <v>3175</v>
      </c>
      <c r="C3180" s="16" t="s">
        <v>10253</v>
      </c>
      <c r="D3180" s="16" t="n">
        <v>6</v>
      </c>
      <c r="E3180" s="35" t="s">
        <v>10254</v>
      </c>
      <c r="F3180" s="16" t="s">
        <v>1285</v>
      </c>
      <c r="G3180" s="16" t="s">
        <v>757</v>
      </c>
      <c r="H3180" s="16" t="s">
        <v>1531</v>
      </c>
      <c r="I3180" s="16" t="s">
        <v>62</v>
      </c>
      <c r="J3180" s="16" t="s">
        <v>10251</v>
      </c>
      <c r="K3180" s="32" t="n">
        <v>1</v>
      </c>
      <c r="L3180" s="33" t="n">
        <v>45952</v>
      </c>
      <c r="M3180" s="33" t="n">
        <v>45952</v>
      </c>
      <c r="N3180" s="16" t="s">
        <v>10255</v>
      </c>
      <c r="O3180" s="16"/>
      <c r="P3180" s="16" t="str">
        <f aca="false">IF(AND(L3180&lt;=$D$2,M3180&gt;=$C$2),"Sí","")</f>
        <v/>
      </c>
      <c r="Q3180" s="18" t="str">
        <f aca="false">IF(COUNTIF(LOOKAHEAD!$A$5:$A$604,A3180)&gt;0,"En Lookahead",IF(P3180="Sí","INCORPORAR",""))</f>
        <v/>
      </c>
    </row>
    <row r="3181" customFormat="false" ht="15" hidden="false" customHeight="false" outlineLevel="0" collapsed="false">
      <c r="A3181" s="16" t="s">
        <v>10256</v>
      </c>
      <c r="B3181" s="16" t="n">
        <v>3176</v>
      </c>
      <c r="C3181" s="16" t="s">
        <v>10257</v>
      </c>
      <c r="D3181" s="16" t="n">
        <v>6</v>
      </c>
      <c r="E3181" s="35" t="s">
        <v>10258</v>
      </c>
      <c r="F3181" s="16" t="s">
        <v>1285</v>
      </c>
      <c r="G3181" s="16" t="s">
        <v>757</v>
      </c>
      <c r="H3181" s="16" t="s">
        <v>1531</v>
      </c>
      <c r="I3181" s="16" t="s">
        <v>62</v>
      </c>
      <c r="J3181" s="16" t="s">
        <v>10251</v>
      </c>
      <c r="K3181" s="32" t="n">
        <v>1</v>
      </c>
      <c r="L3181" s="33" t="n">
        <v>45953</v>
      </c>
      <c r="M3181" s="33" t="n">
        <v>45953</v>
      </c>
      <c r="N3181" s="16" t="s">
        <v>10259</v>
      </c>
      <c r="O3181" s="16"/>
      <c r="P3181" s="16" t="str">
        <f aca="false">IF(AND(L3181&lt;=$D$2,M3181&gt;=$C$2),"Sí","")</f>
        <v/>
      </c>
      <c r="Q3181" s="18" t="str">
        <f aca="false">IF(COUNTIF(LOOKAHEAD!$A$5:$A$604,A3181)&gt;0,"En Lookahead",IF(P3181="Sí","INCORPORAR",""))</f>
        <v/>
      </c>
    </row>
    <row r="3182" customFormat="false" ht="15" hidden="false" customHeight="false" outlineLevel="0" collapsed="false">
      <c r="A3182" s="16" t="s">
        <v>10260</v>
      </c>
      <c r="B3182" s="16" t="n">
        <v>3177</v>
      </c>
      <c r="C3182" s="16" t="s">
        <v>10261</v>
      </c>
      <c r="D3182" s="16" t="n">
        <v>6</v>
      </c>
      <c r="E3182" s="35" t="s">
        <v>10262</v>
      </c>
      <c r="F3182" s="16" t="s">
        <v>1285</v>
      </c>
      <c r="G3182" s="16" t="s">
        <v>757</v>
      </c>
      <c r="H3182" s="16" t="s">
        <v>1531</v>
      </c>
      <c r="I3182" s="16" t="s">
        <v>62</v>
      </c>
      <c r="J3182" s="16" t="s">
        <v>10251</v>
      </c>
      <c r="K3182" s="32" t="n">
        <v>1</v>
      </c>
      <c r="L3182" s="33" t="n">
        <v>45954</v>
      </c>
      <c r="M3182" s="33" t="n">
        <v>45954</v>
      </c>
      <c r="N3182" s="16" t="s">
        <v>10263</v>
      </c>
      <c r="O3182" s="16"/>
      <c r="P3182" s="16" t="str">
        <f aca="false">IF(AND(L3182&lt;=$D$2,M3182&gt;=$C$2),"Sí","")</f>
        <v/>
      </c>
      <c r="Q3182" s="18" t="str">
        <f aca="false">IF(COUNTIF(LOOKAHEAD!$A$5:$A$604,A3182)&gt;0,"En Lookahead",IF(P3182="Sí","INCORPORAR",""))</f>
        <v/>
      </c>
    </row>
    <row r="3183" customFormat="false" ht="15" hidden="false" customHeight="false" outlineLevel="0" collapsed="false">
      <c r="A3183" s="16" t="s">
        <v>10264</v>
      </c>
      <c r="B3183" s="16" t="n">
        <v>3178</v>
      </c>
      <c r="C3183" s="16" t="s">
        <v>10265</v>
      </c>
      <c r="D3183" s="16" t="n">
        <v>6</v>
      </c>
      <c r="E3183" s="35" t="s">
        <v>10266</v>
      </c>
      <c r="F3183" s="16" t="s">
        <v>1285</v>
      </c>
      <c r="G3183" s="16" t="s">
        <v>757</v>
      </c>
      <c r="H3183" s="16" t="s">
        <v>1531</v>
      </c>
      <c r="I3183" s="16" t="s">
        <v>62</v>
      </c>
      <c r="J3183" s="16" t="s">
        <v>10251</v>
      </c>
      <c r="K3183" s="32" t="n">
        <v>1</v>
      </c>
      <c r="L3183" s="33" t="n">
        <v>45954</v>
      </c>
      <c r="M3183" s="33" t="n">
        <v>45954</v>
      </c>
      <c r="N3183" s="16" t="s">
        <v>10267</v>
      </c>
      <c r="O3183" s="16"/>
      <c r="P3183" s="16" t="str">
        <f aca="false">IF(AND(L3183&lt;=$D$2,M3183&gt;=$C$2),"Sí","")</f>
        <v/>
      </c>
      <c r="Q3183" s="18" t="str">
        <f aca="false">IF(COUNTIF(LOOKAHEAD!$A$5:$A$604,A3183)&gt;0,"En Lookahead",IF(P3183="Sí","INCORPORAR",""))</f>
        <v/>
      </c>
    </row>
    <row r="3184" customFormat="false" ht="15" hidden="false" customHeight="false" outlineLevel="0" collapsed="false">
      <c r="A3184" s="13" t="s">
        <v>10268</v>
      </c>
      <c r="B3184" s="13" t="n">
        <v>3179</v>
      </c>
      <c r="C3184" s="13" t="s">
        <v>10269</v>
      </c>
      <c r="D3184" s="13" t="n">
        <v>6</v>
      </c>
      <c r="E3184" s="36" t="s">
        <v>10079</v>
      </c>
      <c r="F3184" s="13" t="s">
        <v>1298</v>
      </c>
      <c r="G3184" s="13" t="s">
        <v>757</v>
      </c>
      <c r="H3184" s="13" t="s">
        <v>1531</v>
      </c>
      <c r="I3184" s="13" t="s">
        <v>62</v>
      </c>
      <c r="J3184" s="13" t="s">
        <v>10251</v>
      </c>
      <c r="K3184" s="30" t="n">
        <v>2</v>
      </c>
      <c r="L3184" s="31" t="n">
        <v>45952</v>
      </c>
      <c r="M3184" s="31" t="n">
        <v>45953</v>
      </c>
      <c r="N3184" s="13"/>
      <c r="O3184" s="13"/>
      <c r="P3184" s="13"/>
      <c r="Q3184" s="13"/>
    </row>
    <row r="3185" customFormat="false" ht="15" hidden="false" customHeight="false" outlineLevel="0" collapsed="false">
      <c r="A3185" s="16" t="s">
        <v>10270</v>
      </c>
      <c r="B3185" s="16" t="n">
        <v>3180</v>
      </c>
      <c r="C3185" s="16" t="s">
        <v>10271</v>
      </c>
      <c r="D3185" s="16" t="n">
        <v>7</v>
      </c>
      <c r="E3185" s="37" t="s">
        <v>10272</v>
      </c>
      <c r="F3185" s="16" t="s">
        <v>1285</v>
      </c>
      <c r="G3185" s="16" t="s">
        <v>757</v>
      </c>
      <c r="H3185" s="16" t="s">
        <v>1531</v>
      </c>
      <c r="I3185" s="16" t="s">
        <v>62</v>
      </c>
      <c r="J3185" s="16" t="s">
        <v>10079</v>
      </c>
      <c r="K3185" s="32" t="n">
        <v>1</v>
      </c>
      <c r="L3185" s="33" t="n">
        <v>45952</v>
      </c>
      <c r="M3185" s="33" t="n">
        <v>45952</v>
      </c>
      <c r="N3185" s="16" t="s">
        <v>10273</v>
      </c>
      <c r="O3185" s="16"/>
      <c r="P3185" s="16" t="str">
        <f aca="false">IF(AND(L3185&lt;=$D$2,M3185&gt;=$C$2),"Sí","")</f>
        <v/>
      </c>
      <c r="Q3185" s="18" t="str">
        <f aca="false">IF(COUNTIF(LOOKAHEAD!$A$5:$A$604,A3185)&gt;0,"En Lookahead",IF(P3185="Sí","INCORPORAR",""))</f>
        <v/>
      </c>
    </row>
    <row r="3186" customFormat="false" ht="15" hidden="false" customHeight="false" outlineLevel="0" collapsed="false">
      <c r="A3186" s="16" t="s">
        <v>10274</v>
      </c>
      <c r="B3186" s="16" t="n">
        <v>3181</v>
      </c>
      <c r="C3186" s="16" t="s">
        <v>10275</v>
      </c>
      <c r="D3186" s="16" t="n">
        <v>7</v>
      </c>
      <c r="E3186" s="37" t="s">
        <v>10276</v>
      </c>
      <c r="F3186" s="16" t="s">
        <v>1285</v>
      </c>
      <c r="G3186" s="16" t="s">
        <v>757</v>
      </c>
      <c r="H3186" s="16" t="s">
        <v>1531</v>
      </c>
      <c r="I3186" s="16" t="s">
        <v>62</v>
      </c>
      <c r="J3186" s="16" t="s">
        <v>10079</v>
      </c>
      <c r="K3186" s="32" t="n">
        <v>1</v>
      </c>
      <c r="L3186" s="33" t="n">
        <v>45952</v>
      </c>
      <c r="M3186" s="33" t="n">
        <v>45952</v>
      </c>
      <c r="N3186" s="16" t="s">
        <v>10277</v>
      </c>
      <c r="O3186" s="16"/>
      <c r="P3186" s="16" t="str">
        <f aca="false">IF(AND(L3186&lt;=$D$2,M3186&gt;=$C$2),"Sí","")</f>
        <v/>
      </c>
      <c r="Q3186" s="18" t="str">
        <f aca="false">IF(COUNTIF(LOOKAHEAD!$A$5:$A$604,A3186)&gt;0,"En Lookahead",IF(P3186="Sí","INCORPORAR",""))</f>
        <v/>
      </c>
    </row>
    <row r="3187" customFormat="false" ht="15" hidden="false" customHeight="false" outlineLevel="0" collapsed="false">
      <c r="A3187" s="16" t="s">
        <v>10278</v>
      </c>
      <c r="B3187" s="16" t="n">
        <v>3182</v>
      </c>
      <c r="C3187" s="16" t="s">
        <v>10279</v>
      </c>
      <c r="D3187" s="16" t="n">
        <v>7</v>
      </c>
      <c r="E3187" s="37" t="s">
        <v>10280</v>
      </c>
      <c r="F3187" s="16" t="s">
        <v>1285</v>
      </c>
      <c r="G3187" s="16" t="s">
        <v>757</v>
      </c>
      <c r="H3187" s="16" t="s">
        <v>1531</v>
      </c>
      <c r="I3187" s="16" t="s">
        <v>62</v>
      </c>
      <c r="J3187" s="16" t="s">
        <v>10079</v>
      </c>
      <c r="K3187" s="32" t="n">
        <v>1</v>
      </c>
      <c r="L3187" s="33" t="n">
        <v>45952</v>
      </c>
      <c r="M3187" s="33" t="n">
        <v>45952</v>
      </c>
      <c r="N3187" s="16" t="s">
        <v>10281</v>
      </c>
      <c r="O3187" s="16"/>
      <c r="P3187" s="16" t="str">
        <f aca="false">IF(AND(L3187&lt;=$D$2,M3187&gt;=$C$2),"Sí","")</f>
        <v/>
      </c>
      <c r="Q3187" s="18" t="str">
        <f aca="false">IF(COUNTIF(LOOKAHEAD!$A$5:$A$604,A3187)&gt;0,"En Lookahead",IF(P3187="Sí","INCORPORAR",""))</f>
        <v/>
      </c>
    </row>
    <row r="3188" customFormat="false" ht="15" hidden="false" customHeight="false" outlineLevel="0" collapsed="false">
      <c r="A3188" s="16" t="s">
        <v>10282</v>
      </c>
      <c r="B3188" s="16" t="n">
        <v>3183</v>
      </c>
      <c r="C3188" s="16" t="s">
        <v>10283</v>
      </c>
      <c r="D3188" s="16" t="n">
        <v>7</v>
      </c>
      <c r="E3188" s="37" t="s">
        <v>10284</v>
      </c>
      <c r="F3188" s="16" t="s">
        <v>1285</v>
      </c>
      <c r="G3188" s="16" t="s">
        <v>757</v>
      </c>
      <c r="H3188" s="16" t="s">
        <v>1531</v>
      </c>
      <c r="I3188" s="16" t="s">
        <v>62</v>
      </c>
      <c r="J3188" s="16" t="s">
        <v>10079</v>
      </c>
      <c r="K3188" s="32" t="n">
        <v>1</v>
      </c>
      <c r="L3188" s="33" t="n">
        <v>45952</v>
      </c>
      <c r="M3188" s="33" t="n">
        <v>45952</v>
      </c>
      <c r="N3188" s="16" t="s">
        <v>10285</v>
      </c>
      <c r="O3188" s="16"/>
      <c r="P3188" s="16" t="str">
        <f aca="false">IF(AND(L3188&lt;=$D$2,M3188&gt;=$C$2),"Sí","")</f>
        <v/>
      </c>
      <c r="Q3188" s="18" t="str">
        <f aca="false">IF(COUNTIF(LOOKAHEAD!$A$5:$A$604,A3188)&gt;0,"En Lookahead",IF(P3188="Sí","INCORPORAR",""))</f>
        <v/>
      </c>
    </row>
    <row r="3189" customFormat="false" ht="15" hidden="false" customHeight="false" outlineLevel="0" collapsed="false">
      <c r="A3189" s="16" t="s">
        <v>10286</v>
      </c>
      <c r="B3189" s="16" t="n">
        <v>3184</v>
      </c>
      <c r="C3189" s="16" t="s">
        <v>10287</v>
      </c>
      <c r="D3189" s="16" t="n">
        <v>7</v>
      </c>
      <c r="E3189" s="37" t="s">
        <v>10288</v>
      </c>
      <c r="F3189" s="16" t="s">
        <v>1285</v>
      </c>
      <c r="G3189" s="16" t="s">
        <v>757</v>
      </c>
      <c r="H3189" s="16" t="s">
        <v>1531</v>
      </c>
      <c r="I3189" s="16" t="s">
        <v>62</v>
      </c>
      <c r="J3189" s="16" t="s">
        <v>10079</v>
      </c>
      <c r="K3189" s="32" t="n">
        <v>1</v>
      </c>
      <c r="L3189" s="33" t="n">
        <v>45952</v>
      </c>
      <c r="M3189" s="33" t="n">
        <v>45952</v>
      </c>
      <c r="N3189" s="16" t="s">
        <v>10289</v>
      </c>
      <c r="O3189" s="16"/>
      <c r="P3189" s="16" t="str">
        <f aca="false">IF(AND(L3189&lt;=$D$2,M3189&gt;=$C$2),"Sí","")</f>
        <v/>
      </c>
      <c r="Q3189" s="18" t="str">
        <f aca="false">IF(COUNTIF(LOOKAHEAD!$A$5:$A$604,A3189)&gt;0,"En Lookahead",IF(P3189="Sí","INCORPORAR",""))</f>
        <v/>
      </c>
    </row>
    <row r="3190" customFormat="false" ht="15" hidden="false" customHeight="false" outlineLevel="0" collapsed="false">
      <c r="A3190" s="16" t="s">
        <v>10290</v>
      </c>
      <c r="B3190" s="16" t="n">
        <v>3185</v>
      </c>
      <c r="C3190" s="16" t="s">
        <v>10291</v>
      </c>
      <c r="D3190" s="16" t="n">
        <v>7</v>
      </c>
      <c r="E3190" s="37" t="s">
        <v>10292</v>
      </c>
      <c r="F3190" s="16" t="s">
        <v>1285</v>
      </c>
      <c r="G3190" s="16" t="s">
        <v>757</v>
      </c>
      <c r="H3190" s="16" t="s">
        <v>1531</v>
      </c>
      <c r="I3190" s="16" t="s">
        <v>62</v>
      </c>
      <c r="J3190" s="16" t="s">
        <v>10079</v>
      </c>
      <c r="K3190" s="32" t="n">
        <v>1</v>
      </c>
      <c r="L3190" s="33" t="n">
        <v>45952</v>
      </c>
      <c r="M3190" s="33" t="n">
        <v>45952</v>
      </c>
      <c r="N3190" s="16" t="s">
        <v>10293</v>
      </c>
      <c r="O3190" s="16"/>
      <c r="P3190" s="16" t="str">
        <f aca="false">IF(AND(L3190&lt;=$D$2,M3190&gt;=$C$2),"Sí","")</f>
        <v/>
      </c>
      <c r="Q3190" s="18" t="str">
        <f aca="false">IF(COUNTIF(LOOKAHEAD!$A$5:$A$604,A3190)&gt;0,"En Lookahead",IF(P3190="Sí","INCORPORAR",""))</f>
        <v/>
      </c>
    </row>
    <row r="3191" customFormat="false" ht="15" hidden="false" customHeight="false" outlineLevel="0" collapsed="false">
      <c r="A3191" s="16" t="s">
        <v>10294</v>
      </c>
      <c r="B3191" s="16" t="n">
        <v>3186</v>
      </c>
      <c r="C3191" s="16" t="s">
        <v>10295</v>
      </c>
      <c r="D3191" s="16" t="n">
        <v>7</v>
      </c>
      <c r="E3191" s="37" t="s">
        <v>10296</v>
      </c>
      <c r="F3191" s="16" t="s">
        <v>1285</v>
      </c>
      <c r="G3191" s="16" t="s">
        <v>757</v>
      </c>
      <c r="H3191" s="16" t="s">
        <v>1531</v>
      </c>
      <c r="I3191" s="16" t="s">
        <v>62</v>
      </c>
      <c r="J3191" s="16" t="s">
        <v>10079</v>
      </c>
      <c r="K3191" s="32" t="n">
        <v>1</v>
      </c>
      <c r="L3191" s="33" t="n">
        <v>45952</v>
      </c>
      <c r="M3191" s="33" t="n">
        <v>45952</v>
      </c>
      <c r="N3191" s="16" t="s">
        <v>10297</v>
      </c>
      <c r="O3191" s="16"/>
      <c r="P3191" s="16" t="str">
        <f aca="false">IF(AND(L3191&lt;=$D$2,M3191&gt;=$C$2),"Sí","")</f>
        <v/>
      </c>
      <c r="Q3191" s="18" t="str">
        <f aca="false">IF(COUNTIF(LOOKAHEAD!$A$5:$A$604,A3191)&gt;0,"En Lookahead",IF(P3191="Sí","INCORPORAR",""))</f>
        <v/>
      </c>
    </row>
    <row r="3192" customFormat="false" ht="15" hidden="false" customHeight="false" outlineLevel="0" collapsed="false">
      <c r="A3192" s="16" t="s">
        <v>10298</v>
      </c>
      <c r="B3192" s="16" t="n">
        <v>3187</v>
      </c>
      <c r="C3192" s="16" t="s">
        <v>10299</v>
      </c>
      <c r="D3192" s="16" t="n">
        <v>7</v>
      </c>
      <c r="E3192" s="37" t="s">
        <v>10300</v>
      </c>
      <c r="F3192" s="16" t="s">
        <v>1285</v>
      </c>
      <c r="G3192" s="16" t="s">
        <v>757</v>
      </c>
      <c r="H3192" s="16" t="s">
        <v>1531</v>
      </c>
      <c r="I3192" s="16" t="s">
        <v>62</v>
      </c>
      <c r="J3192" s="16" t="s">
        <v>10079</v>
      </c>
      <c r="K3192" s="32" t="n">
        <v>1</v>
      </c>
      <c r="L3192" s="33" t="n">
        <v>45953</v>
      </c>
      <c r="M3192" s="33" t="n">
        <v>45953</v>
      </c>
      <c r="N3192" s="16" t="s">
        <v>10301</v>
      </c>
      <c r="O3192" s="16"/>
      <c r="P3192" s="16" t="str">
        <f aca="false">IF(AND(L3192&lt;=$D$2,M3192&gt;=$C$2),"Sí","")</f>
        <v/>
      </c>
      <c r="Q3192" s="18" t="str">
        <f aca="false">IF(COUNTIF(LOOKAHEAD!$A$5:$A$604,A3192)&gt;0,"En Lookahead",IF(P3192="Sí","INCORPORAR",""))</f>
        <v/>
      </c>
    </row>
    <row r="3193" customFormat="false" ht="15" hidden="false" customHeight="false" outlineLevel="0" collapsed="false">
      <c r="A3193" s="13" t="s">
        <v>10302</v>
      </c>
      <c r="B3193" s="13" t="n">
        <v>3188</v>
      </c>
      <c r="C3193" s="13" t="s">
        <v>10303</v>
      </c>
      <c r="D3193" s="13" t="n">
        <v>4</v>
      </c>
      <c r="E3193" s="20" t="s">
        <v>2225</v>
      </c>
      <c r="F3193" s="13" t="s">
        <v>1298</v>
      </c>
      <c r="G3193" s="13" t="s">
        <v>757</v>
      </c>
      <c r="H3193" s="13" t="s">
        <v>2225</v>
      </c>
      <c r="I3193" s="13" t="s">
        <v>68</v>
      </c>
      <c r="J3193" s="13" t="s">
        <v>9945</v>
      </c>
      <c r="K3193" s="30" t="n">
        <v>476</v>
      </c>
      <c r="L3193" s="31" t="n">
        <v>45964</v>
      </c>
      <c r="M3193" s="31" t="n">
        <v>46519</v>
      </c>
      <c r="N3193" s="13"/>
      <c r="O3193" s="13"/>
      <c r="P3193" s="13"/>
      <c r="Q3193" s="13"/>
    </row>
    <row r="3194" customFormat="false" ht="15" hidden="false" customHeight="false" outlineLevel="0" collapsed="false">
      <c r="A3194" s="13" t="s">
        <v>10304</v>
      </c>
      <c r="B3194" s="13" t="n">
        <v>3189</v>
      </c>
      <c r="C3194" s="13" t="s">
        <v>10305</v>
      </c>
      <c r="D3194" s="13" t="n">
        <v>5</v>
      </c>
      <c r="E3194" s="34" t="s">
        <v>9950</v>
      </c>
      <c r="F3194" s="13" t="s">
        <v>1298</v>
      </c>
      <c r="G3194" s="13" t="s">
        <v>757</v>
      </c>
      <c r="H3194" s="13" t="s">
        <v>2225</v>
      </c>
      <c r="I3194" s="13" t="s">
        <v>68</v>
      </c>
      <c r="J3194" s="13" t="s">
        <v>2225</v>
      </c>
      <c r="K3194" s="30" t="n">
        <v>7</v>
      </c>
      <c r="L3194" s="31" t="n">
        <v>46513</v>
      </c>
      <c r="M3194" s="31" t="n">
        <v>46519</v>
      </c>
      <c r="N3194" s="13"/>
      <c r="O3194" s="13"/>
      <c r="P3194" s="13"/>
      <c r="Q3194" s="13"/>
    </row>
    <row r="3195" customFormat="false" ht="15" hidden="false" customHeight="false" outlineLevel="0" collapsed="false">
      <c r="A3195" s="13" t="s">
        <v>10306</v>
      </c>
      <c r="B3195" s="13" t="n">
        <v>3190</v>
      </c>
      <c r="C3195" s="13" t="s">
        <v>10307</v>
      </c>
      <c r="D3195" s="13" t="n">
        <v>6</v>
      </c>
      <c r="E3195" s="36" t="s">
        <v>9953</v>
      </c>
      <c r="F3195" s="13" t="s">
        <v>1298</v>
      </c>
      <c r="G3195" s="13" t="s">
        <v>757</v>
      </c>
      <c r="H3195" s="13" t="s">
        <v>2225</v>
      </c>
      <c r="I3195" s="13" t="s">
        <v>68</v>
      </c>
      <c r="J3195" s="13" t="s">
        <v>9950</v>
      </c>
      <c r="K3195" s="30" t="n">
        <v>7</v>
      </c>
      <c r="L3195" s="31" t="n">
        <v>46513</v>
      </c>
      <c r="M3195" s="31" t="n">
        <v>46519</v>
      </c>
      <c r="N3195" s="13"/>
      <c r="O3195" s="13"/>
      <c r="P3195" s="13"/>
      <c r="Q3195" s="13"/>
    </row>
    <row r="3196" customFormat="false" ht="15" hidden="false" customHeight="false" outlineLevel="0" collapsed="false">
      <c r="A3196" s="16" t="s">
        <v>10308</v>
      </c>
      <c r="B3196" s="16" t="n">
        <v>3191</v>
      </c>
      <c r="C3196" s="16" t="s">
        <v>10309</v>
      </c>
      <c r="D3196" s="16" t="n">
        <v>7</v>
      </c>
      <c r="E3196" s="37" t="s">
        <v>9956</v>
      </c>
      <c r="F3196" s="16" t="s">
        <v>1285</v>
      </c>
      <c r="G3196" s="16" t="s">
        <v>757</v>
      </c>
      <c r="H3196" s="16" t="s">
        <v>2225</v>
      </c>
      <c r="I3196" s="16" t="s">
        <v>68</v>
      </c>
      <c r="J3196" s="16" t="s">
        <v>9953</v>
      </c>
      <c r="K3196" s="32" t="n">
        <v>7</v>
      </c>
      <c r="L3196" s="33" t="n">
        <v>46513</v>
      </c>
      <c r="M3196" s="33" t="n">
        <v>46519</v>
      </c>
      <c r="N3196" s="16" t="s">
        <v>7775</v>
      </c>
      <c r="O3196" s="16"/>
      <c r="P3196" s="16" t="str">
        <f aca="false">IF(AND(L3196&lt;=$D$2,M3196&gt;=$C$2),"Sí","")</f>
        <v/>
      </c>
      <c r="Q3196" s="18" t="str">
        <f aca="false">IF(COUNTIF(LOOKAHEAD!$A$5:$A$604,A3196)&gt;0,"En Lookahead",IF(P3196="Sí","INCORPORAR",""))</f>
        <v/>
      </c>
    </row>
    <row r="3197" customFormat="false" ht="15" hidden="false" customHeight="false" outlineLevel="0" collapsed="false">
      <c r="A3197" s="16" t="s">
        <v>10310</v>
      </c>
      <c r="B3197" s="16" t="n">
        <v>3192</v>
      </c>
      <c r="C3197" s="16" t="s">
        <v>10311</v>
      </c>
      <c r="D3197" s="16" t="n">
        <v>7</v>
      </c>
      <c r="E3197" s="37" t="s">
        <v>9959</v>
      </c>
      <c r="F3197" s="16" t="s">
        <v>1285</v>
      </c>
      <c r="G3197" s="16" t="s">
        <v>757</v>
      </c>
      <c r="H3197" s="16" t="s">
        <v>2225</v>
      </c>
      <c r="I3197" s="16" t="s">
        <v>68</v>
      </c>
      <c r="J3197" s="16" t="s">
        <v>9953</v>
      </c>
      <c r="K3197" s="32" t="n">
        <v>2</v>
      </c>
      <c r="L3197" s="33" t="n">
        <v>46518</v>
      </c>
      <c r="M3197" s="33" t="n">
        <v>46519</v>
      </c>
      <c r="N3197" s="16" t="s">
        <v>10312</v>
      </c>
      <c r="O3197" s="16"/>
      <c r="P3197" s="16" t="str">
        <f aca="false">IF(AND(L3197&lt;=$D$2,M3197&gt;=$C$2),"Sí","")</f>
        <v/>
      </c>
      <c r="Q3197" s="18" t="str">
        <f aca="false">IF(COUNTIF(LOOKAHEAD!$A$5:$A$604,A3197)&gt;0,"En Lookahead",IF(P3197="Sí","INCORPORAR",""))</f>
        <v/>
      </c>
    </row>
    <row r="3198" customFormat="false" ht="15" hidden="false" customHeight="false" outlineLevel="0" collapsed="false">
      <c r="A3198" s="16" t="s">
        <v>10313</v>
      </c>
      <c r="B3198" s="16" t="n">
        <v>3193</v>
      </c>
      <c r="C3198" s="16" t="s">
        <v>10314</v>
      </c>
      <c r="D3198" s="16" t="n">
        <v>7</v>
      </c>
      <c r="E3198" s="37" t="s">
        <v>10315</v>
      </c>
      <c r="F3198" s="16" t="s">
        <v>1285</v>
      </c>
      <c r="G3198" s="16" t="s">
        <v>757</v>
      </c>
      <c r="H3198" s="16" t="s">
        <v>2225</v>
      </c>
      <c r="I3198" s="16" t="s">
        <v>68</v>
      </c>
      <c r="J3198" s="16" t="s">
        <v>9953</v>
      </c>
      <c r="K3198" s="32" t="n">
        <v>6</v>
      </c>
      <c r="L3198" s="33" t="n">
        <v>46514</v>
      </c>
      <c r="M3198" s="33" t="n">
        <v>46519</v>
      </c>
      <c r="N3198" s="16" t="s">
        <v>10316</v>
      </c>
      <c r="O3198" s="16"/>
      <c r="P3198" s="16" t="str">
        <f aca="false">IF(AND(L3198&lt;=$D$2,M3198&gt;=$C$2),"Sí","")</f>
        <v/>
      </c>
      <c r="Q3198" s="18" t="str">
        <f aca="false">IF(COUNTIF(LOOKAHEAD!$A$5:$A$604,A3198)&gt;0,"En Lookahead",IF(P3198="Sí","INCORPORAR",""))</f>
        <v/>
      </c>
    </row>
    <row r="3199" customFormat="false" ht="15" hidden="false" customHeight="false" outlineLevel="0" collapsed="false">
      <c r="A3199" s="16" t="s">
        <v>10317</v>
      </c>
      <c r="B3199" s="16" t="n">
        <v>3194</v>
      </c>
      <c r="C3199" s="16" t="s">
        <v>10318</v>
      </c>
      <c r="D3199" s="16" t="n">
        <v>7</v>
      </c>
      <c r="E3199" s="37" t="s">
        <v>10319</v>
      </c>
      <c r="F3199" s="16" t="s">
        <v>1285</v>
      </c>
      <c r="G3199" s="16" t="s">
        <v>757</v>
      </c>
      <c r="H3199" s="16" t="s">
        <v>2225</v>
      </c>
      <c r="I3199" s="16" t="s">
        <v>68</v>
      </c>
      <c r="J3199" s="16" t="s">
        <v>9953</v>
      </c>
      <c r="K3199" s="32" t="n">
        <v>3</v>
      </c>
      <c r="L3199" s="33" t="n">
        <v>46517</v>
      </c>
      <c r="M3199" s="33" t="n">
        <v>46519</v>
      </c>
      <c r="N3199" s="16" t="s">
        <v>10320</v>
      </c>
      <c r="O3199" s="16"/>
      <c r="P3199" s="16" t="str">
        <f aca="false">IF(AND(L3199&lt;=$D$2,M3199&gt;=$C$2),"Sí","")</f>
        <v/>
      </c>
      <c r="Q3199" s="18" t="str">
        <f aca="false">IF(COUNTIF(LOOKAHEAD!$A$5:$A$604,A3199)&gt;0,"En Lookahead",IF(P3199="Sí","INCORPORAR",""))</f>
        <v/>
      </c>
    </row>
    <row r="3200" customFormat="false" ht="15" hidden="false" customHeight="false" outlineLevel="0" collapsed="false">
      <c r="A3200" s="16" t="s">
        <v>10321</v>
      </c>
      <c r="B3200" s="16" t="n">
        <v>3195</v>
      </c>
      <c r="C3200" s="16" t="s">
        <v>10322</v>
      </c>
      <c r="D3200" s="16" t="n">
        <v>7</v>
      </c>
      <c r="E3200" s="37" t="s">
        <v>10323</v>
      </c>
      <c r="F3200" s="16" t="s">
        <v>1285</v>
      </c>
      <c r="G3200" s="16" t="s">
        <v>757</v>
      </c>
      <c r="H3200" s="16" t="s">
        <v>2225</v>
      </c>
      <c r="I3200" s="16" t="s">
        <v>68</v>
      </c>
      <c r="J3200" s="16" t="s">
        <v>9953</v>
      </c>
      <c r="K3200" s="32" t="n">
        <v>1</v>
      </c>
      <c r="L3200" s="33" t="n">
        <v>46519</v>
      </c>
      <c r="M3200" s="33" t="n">
        <v>46519</v>
      </c>
      <c r="N3200" s="16" t="s">
        <v>10324</v>
      </c>
      <c r="O3200" s="16"/>
      <c r="P3200" s="16" t="str">
        <f aca="false">IF(AND(L3200&lt;=$D$2,M3200&gt;=$C$2),"Sí","")</f>
        <v/>
      </c>
      <c r="Q3200" s="18" t="str">
        <f aca="false">IF(COUNTIF(LOOKAHEAD!$A$5:$A$604,A3200)&gt;0,"En Lookahead",IF(P3200="Sí","INCORPORAR",""))</f>
        <v/>
      </c>
    </row>
    <row r="3201" customFormat="false" ht="15" hidden="false" customHeight="false" outlineLevel="0" collapsed="false">
      <c r="A3201" s="13" t="s">
        <v>10325</v>
      </c>
      <c r="B3201" s="13" t="n">
        <v>3196</v>
      </c>
      <c r="C3201" s="13" t="s">
        <v>10326</v>
      </c>
      <c r="D3201" s="13" t="n">
        <v>6</v>
      </c>
      <c r="E3201" s="36" t="s">
        <v>9963</v>
      </c>
      <c r="F3201" s="13" t="s">
        <v>1298</v>
      </c>
      <c r="G3201" s="13" t="s">
        <v>757</v>
      </c>
      <c r="H3201" s="13" t="s">
        <v>2225</v>
      </c>
      <c r="I3201" s="13" t="s">
        <v>68</v>
      </c>
      <c r="J3201" s="13" t="s">
        <v>9950</v>
      </c>
      <c r="K3201" s="30" t="n">
        <v>3</v>
      </c>
      <c r="L3201" s="31" t="n">
        <v>46517</v>
      </c>
      <c r="M3201" s="31" t="n">
        <v>46519</v>
      </c>
      <c r="N3201" s="13"/>
      <c r="O3201" s="13"/>
      <c r="P3201" s="13"/>
      <c r="Q3201" s="13"/>
    </row>
    <row r="3202" customFormat="false" ht="15" hidden="false" customHeight="false" outlineLevel="0" collapsed="false">
      <c r="A3202" s="16" t="s">
        <v>10327</v>
      </c>
      <c r="B3202" s="16" t="n">
        <v>3197</v>
      </c>
      <c r="C3202" s="16" t="s">
        <v>10328</v>
      </c>
      <c r="D3202" s="16" t="n">
        <v>7</v>
      </c>
      <c r="E3202" s="37" t="s">
        <v>9966</v>
      </c>
      <c r="F3202" s="16" t="s">
        <v>1285</v>
      </c>
      <c r="G3202" s="16" t="s">
        <v>757</v>
      </c>
      <c r="H3202" s="16" t="s">
        <v>2225</v>
      </c>
      <c r="I3202" s="16" t="s">
        <v>68</v>
      </c>
      <c r="J3202" s="16" t="s">
        <v>9963</v>
      </c>
      <c r="K3202" s="32" t="n">
        <v>2</v>
      </c>
      <c r="L3202" s="33" t="n">
        <v>46518</v>
      </c>
      <c r="M3202" s="33" t="n">
        <v>46519</v>
      </c>
      <c r="N3202" s="16" t="s">
        <v>10329</v>
      </c>
      <c r="O3202" s="16"/>
      <c r="P3202" s="16" t="str">
        <f aca="false">IF(AND(L3202&lt;=$D$2,M3202&gt;=$C$2),"Sí","")</f>
        <v/>
      </c>
      <c r="Q3202" s="18" t="str">
        <f aca="false">IF(COUNTIF(LOOKAHEAD!$A$5:$A$604,A3202)&gt;0,"En Lookahead",IF(P3202="Sí","INCORPORAR",""))</f>
        <v/>
      </c>
    </row>
    <row r="3203" customFormat="false" ht="15" hidden="false" customHeight="false" outlineLevel="0" collapsed="false">
      <c r="A3203" s="16" t="s">
        <v>10330</v>
      </c>
      <c r="B3203" s="16" t="n">
        <v>3198</v>
      </c>
      <c r="C3203" s="16" t="s">
        <v>10331</v>
      </c>
      <c r="D3203" s="16" t="n">
        <v>7</v>
      </c>
      <c r="E3203" s="37" t="s">
        <v>9969</v>
      </c>
      <c r="F3203" s="16" t="s">
        <v>1285</v>
      </c>
      <c r="G3203" s="16" t="s">
        <v>757</v>
      </c>
      <c r="H3203" s="16" t="s">
        <v>2225</v>
      </c>
      <c r="I3203" s="16" t="s">
        <v>68</v>
      </c>
      <c r="J3203" s="16" t="s">
        <v>9963</v>
      </c>
      <c r="K3203" s="32" t="n">
        <v>2</v>
      </c>
      <c r="L3203" s="33" t="n">
        <v>46518</v>
      </c>
      <c r="M3203" s="33" t="n">
        <v>46519</v>
      </c>
      <c r="N3203" s="16" t="s">
        <v>10332</v>
      </c>
      <c r="O3203" s="16"/>
      <c r="P3203" s="16" t="str">
        <f aca="false">IF(AND(L3203&lt;=$D$2,M3203&gt;=$C$2),"Sí","")</f>
        <v/>
      </c>
      <c r="Q3203" s="18" t="str">
        <f aca="false">IF(COUNTIF(LOOKAHEAD!$A$5:$A$604,A3203)&gt;0,"En Lookahead",IF(P3203="Sí","INCORPORAR",""))</f>
        <v/>
      </c>
    </row>
    <row r="3204" customFormat="false" ht="15" hidden="false" customHeight="false" outlineLevel="0" collapsed="false">
      <c r="A3204" s="16" t="s">
        <v>10333</v>
      </c>
      <c r="B3204" s="16" t="n">
        <v>3199</v>
      </c>
      <c r="C3204" s="16" t="s">
        <v>10334</v>
      </c>
      <c r="D3204" s="16" t="n">
        <v>7</v>
      </c>
      <c r="E3204" s="37" t="s">
        <v>9972</v>
      </c>
      <c r="F3204" s="16" t="s">
        <v>1285</v>
      </c>
      <c r="G3204" s="16" t="s">
        <v>757</v>
      </c>
      <c r="H3204" s="16" t="s">
        <v>2225</v>
      </c>
      <c r="I3204" s="16" t="s">
        <v>68</v>
      </c>
      <c r="J3204" s="16" t="s">
        <v>9963</v>
      </c>
      <c r="K3204" s="32" t="n">
        <v>3</v>
      </c>
      <c r="L3204" s="33" t="n">
        <v>46517</v>
      </c>
      <c r="M3204" s="33" t="n">
        <v>46519</v>
      </c>
      <c r="N3204" s="16" t="s">
        <v>10335</v>
      </c>
      <c r="O3204" s="16"/>
      <c r="P3204" s="16" t="str">
        <f aca="false">IF(AND(L3204&lt;=$D$2,M3204&gt;=$C$2),"Sí","")</f>
        <v/>
      </c>
      <c r="Q3204" s="18" t="str">
        <f aca="false">IF(COUNTIF(LOOKAHEAD!$A$5:$A$604,A3204)&gt;0,"En Lookahead",IF(P3204="Sí","INCORPORAR",""))</f>
        <v/>
      </c>
    </row>
    <row r="3205" customFormat="false" ht="15" hidden="false" customHeight="false" outlineLevel="0" collapsed="false">
      <c r="A3205" s="13" t="s">
        <v>10336</v>
      </c>
      <c r="B3205" s="13" t="n">
        <v>3200</v>
      </c>
      <c r="C3205" s="13" t="s">
        <v>10337</v>
      </c>
      <c r="D3205" s="13" t="n">
        <v>5</v>
      </c>
      <c r="E3205" s="34" t="s">
        <v>9975</v>
      </c>
      <c r="F3205" s="13" t="s">
        <v>1298</v>
      </c>
      <c r="G3205" s="13" t="s">
        <v>757</v>
      </c>
      <c r="H3205" s="13" t="s">
        <v>2225</v>
      </c>
      <c r="I3205" s="13" t="s">
        <v>68</v>
      </c>
      <c r="J3205" s="13" t="s">
        <v>2225</v>
      </c>
      <c r="K3205" s="30" t="n">
        <v>101</v>
      </c>
      <c r="L3205" s="31" t="n">
        <v>45964</v>
      </c>
      <c r="M3205" s="31" t="n">
        <v>46064</v>
      </c>
      <c r="N3205" s="13"/>
      <c r="O3205" s="13"/>
      <c r="P3205" s="13"/>
      <c r="Q3205" s="13"/>
    </row>
    <row r="3206" customFormat="false" ht="15" hidden="false" customHeight="false" outlineLevel="0" collapsed="false">
      <c r="A3206" s="13" t="s">
        <v>10338</v>
      </c>
      <c r="B3206" s="13" t="n">
        <v>3201</v>
      </c>
      <c r="C3206" s="13" t="s">
        <v>10339</v>
      </c>
      <c r="D3206" s="13" t="n">
        <v>6</v>
      </c>
      <c r="E3206" s="36" t="s">
        <v>10035</v>
      </c>
      <c r="F3206" s="13" t="s">
        <v>1298</v>
      </c>
      <c r="G3206" s="13" t="s">
        <v>757</v>
      </c>
      <c r="H3206" s="13" t="s">
        <v>2225</v>
      </c>
      <c r="I3206" s="13" t="s">
        <v>68</v>
      </c>
      <c r="J3206" s="13" t="s">
        <v>9975</v>
      </c>
      <c r="K3206" s="30" t="n">
        <v>1</v>
      </c>
      <c r="L3206" s="31" t="n">
        <v>45964</v>
      </c>
      <c r="M3206" s="31" t="n">
        <v>45964</v>
      </c>
      <c r="N3206" s="13"/>
      <c r="O3206" s="13"/>
      <c r="P3206" s="13"/>
      <c r="Q3206" s="13"/>
    </row>
    <row r="3207" customFormat="false" ht="15" hidden="false" customHeight="false" outlineLevel="0" collapsed="false">
      <c r="A3207" s="16" t="s">
        <v>10340</v>
      </c>
      <c r="B3207" s="16" t="n">
        <v>3202</v>
      </c>
      <c r="C3207" s="16" t="s">
        <v>10341</v>
      </c>
      <c r="D3207" s="16" t="n">
        <v>7</v>
      </c>
      <c r="E3207" s="37" t="s">
        <v>10038</v>
      </c>
      <c r="F3207" s="16" t="s">
        <v>1285</v>
      </c>
      <c r="G3207" s="16" t="s">
        <v>757</v>
      </c>
      <c r="H3207" s="16" t="s">
        <v>2225</v>
      </c>
      <c r="I3207" s="16" t="s">
        <v>68</v>
      </c>
      <c r="J3207" s="16" t="s">
        <v>10035</v>
      </c>
      <c r="K3207" s="32" t="n">
        <v>1</v>
      </c>
      <c r="L3207" s="33" t="n">
        <v>45964</v>
      </c>
      <c r="M3207" s="33" t="n">
        <v>45964</v>
      </c>
      <c r="N3207" s="16" t="s">
        <v>2236</v>
      </c>
      <c r="O3207" s="16"/>
      <c r="P3207" s="16" t="str">
        <f aca="false">IF(AND(L3207&lt;=$D$2,M3207&gt;=$C$2),"Sí","")</f>
        <v/>
      </c>
      <c r="Q3207" s="18" t="str">
        <f aca="false">IF(COUNTIF(LOOKAHEAD!$A$5:$A$604,A3207)&gt;0,"En Lookahead",IF(P3207="Sí","INCORPORAR",""))</f>
        <v/>
      </c>
    </row>
    <row r="3208" customFormat="false" ht="15" hidden="false" customHeight="false" outlineLevel="0" collapsed="false">
      <c r="A3208" s="13" t="s">
        <v>10342</v>
      </c>
      <c r="B3208" s="13" t="n">
        <v>3203</v>
      </c>
      <c r="C3208" s="13" t="s">
        <v>10343</v>
      </c>
      <c r="D3208" s="13" t="n">
        <v>6</v>
      </c>
      <c r="E3208" s="36" t="s">
        <v>1534</v>
      </c>
      <c r="F3208" s="13" t="s">
        <v>1298</v>
      </c>
      <c r="G3208" s="13" t="s">
        <v>757</v>
      </c>
      <c r="H3208" s="13" t="s">
        <v>2225</v>
      </c>
      <c r="I3208" s="13" t="s">
        <v>68</v>
      </c>
      <c r="J3208" s="13" t="s">
        <v>9975</v>
      </c>
      <c r="K3208" s="30" t="n">
        <v>26</v>
      </c>
      <c r="L3208" s="31" t="n">
        <v>46025</v>
      </c>
      <c r="M3208" s="31" t="n">
        <v>46050</v>
      </c>
      <c r="N3208" s="13"/>
      <c r="O3208" s="13"/>
      <c r="P3208" s="13"/>
      <c r="Q3208" s="13"/>
    </row>
    <row r="3209" customFormat="false" ht="15" hidden="false" customHeight="false" outlineLevel="0" collapsed="false">
      <c r="A3209" s="16" t="s">
        <v>10344</v>
      </c>
      <c r="B3209" s="16" t="n">
        <v>3204</v>
      </c>
      <c r="C3209" s="16" t="s">
        <v>10345</v>
      </c>
      <c r="D3209" s="16" t="n">
        <v>7</v>
      </c>
      <c r="E3209" s="37" t="s">
        <v>10043</v>
      </c>
      <c r="F3209" s="16" t="s">
        <v>1285</v>
      </c>
      <c r="G3209" s="16" t="s">
        <v>757</v>
      </c>
      <c r="H3209" s="16" t="s">
        <v>2225</v>
      </c>
      <c r="I3209" s="16" t="s">
        <v>68</v>
      </c>
      <c r="J3209" s="16" t="s">
        <v>1534</v>
      </c>
      <c r="K3209" s="32" t="n">
        <v>6</v>
      </c>
      <c r="L3209" s="33" t="n">
        <v>46025</v>
      </c>
      <c r="M3209" s="33" t="n">
        <v>46030</v>
      </c>
      <c r="N3209" s="16" t="s">
        <v>10346</v>
      </c>
      <c r="O3209" s="16"/>
      <c r="P3209" s="16" t="str">
        <f aca="false">IF(AND(L3209&lt;=$D$2,M3209&gt;=$C$2),"Sí","")</f>
        <v/>
      </c>
      <c r="Q3209" s="18" t="str">
        <f aca="false">IF(COUNTIF(LOOKAHEAD!$A$5:$A$604,A3209)&gt;0,"En Lookahead",IF(P3209="Sí","INCORPORAR",""))</f>
        <v/>
      </c>
    </row>
    <row r="3210" customFormat="false" ht="15" hidden="false" customHeight="false" outlineLevel="0" collapsed="false">
      <c r="A3210" s="16" t="s">
        <v>10347</v>
      </c>
      <c r="B3210" s="16" t="n">
        <v>3205</v>
      </c>
      <c r="C3210" s="16" t="s">
        <v>10348</v>
      </c>
      <c r="D3210" s="16" t="n">
        <v>7</v>
      </c>
      <c r="E3210" s="37" t="s">
        <v>10047</v>
      </c>
      <c r="F3210" s="16" t="s">
        <v>1285</v>
      </c>
      <c r="G3210" s="16" t="s">
        <v>757</v>
      </c>
      <c r="H3210" s="16" t="s">
        <v>2225</v>
      </c>
      <c r="I3210" s="16" t="s">
        <v>68</v>
      </c>
      <c r="J3210" s="16" t="s">
        <v>1534</v>
      </c>
      <c r="K3210" s="32" t="n">
        <v>1</v>
      </c>
      <c r="L3210" s="33" t="n">
        <v>46031</v>
      </c>
      <c r="M3210" s="33" t="n">
        <v>46031</v>
      </c>
      <c r="N3210" s="16" t="s">
        <v>10349</v>
      </c>
      <c r="O3210" s="16"/>
      <c r="P3210" s="16" t="str">
        <f aca="false">IF(AND(L3210&lt;=$D$2,M3210&gt;=$C$2),"Sí","")</f>
        <v/>
      </c>
      <c r="Q3210" s="18" t="str">
        <f aca="false">IF(COUNTIF(LOOKAHEAD!$A$5:$A$604,A3210)&gt;0,"En Lookahead",IF(P3210="Sí","INCORPORAR",""))</f>
        <v/>
      </c>
    </row>
    <row r="3211" customFormat="false" ht="15" hidden="false" customHeight="false" outlineLevel="0" collapsed="false">
      <c r="A3211" s="16" t="s">
        <v>10350</v>
      </c>
      <c r="B3211" s="16" t="n">
        <v>3206</v>
      </c>
      <c r="C3211" s="16" t="s">
        <v>10351</v>
      </c>
      <c r="D3211" s="16" t="n">
        <v>7</v>
      </c>
      <c r="E3211" s="37" t="s">
        <v>10051</v>
      </c>
      <c r="F3211" s="16" t="s">
        <v>1285</v>
      </c>
      <c r="G3211" s="16" t="s">
        <v>757</v>
      </c>
      <c r="H3211" s="16" t="s">
        <v>2225</v>
      </c>
      <c r="I3211" s="16" t="s">
        <v>68</v>
      </c>
      <c r="J3211" s="16" t="s">
        <v>1534</v>
      </c>
      <c r="K3211" s="32" t="n">
        <v>1</v>
      </c>
      <c r="L3211" s="33" t="n">
        <v>46032</v>
      </c>
      <c r="M3211" s="33" t="n">
        <v>46032</v>
      </c>
      <c r="N3211" s="16" t="s">
        <v>10352</v>
      </c>
      <c r="O3211" s="16"/>
      <c r="P3211" s="16" t="str">
        <f aca="false">IF(AND(L3211&lt;=$D$2,M3211&gt;=$C$2),"Sí","")</f>
        <v/>
      </c>
      <c r="Q3211" s="18" t="str">
        <f aca="false">IF(COUNTIF(LOOKAHEAD!$A$5:$A$604,A3211)&gt;0,"En Lookahead",IF(P3211="Sí","INCORPORAR",""))</f>
        <v/>
      </c>
    </row>
    <row r="3212" customFormat="false" ht="15" hidden="false" customHeight="false" outlineLevel="0" collapsed="false">
      <c r="A3212" s="16" t="s">
        <v>10353</v>
      </c>
      <c r="B3212" s="16" t="n">
        <v>3207</v>
      </c>
      <c r="C3212" s="16" t="s">
        <v>10354</v>
      </c>
      <c r="D3212" s="16" t="n">
        <v>7</v>
      </c>
      <c r="E3212" s="37" t="s">
        <v>10055</v>
      </c>
      <c r="F3212" s="16" t="s">
        <v>1285</v>
      </c>
      <c r="G3212" s="16" t="s">
        <v>757</v>
      </c>
      <c r="H3212" s="16" t="s">
        <v>2225</v>
      </c>
      <c r="I3212" s="16" t="s">
        <v>68</v>
      </c>
      <c r="J3212" s="16" t="s">
        <v>1534</v>
      </c>
      <c r="K3212" s="32" t="n">
        <v>1</v>
      </c>
      <c r="L3212" s="33" t="n">
        <v>46033</v>
      </c>
      <c r="M3212" s="33" t="n">
        <v>46033</v>
      </c>
      <c r="N3212" s="16" t="s">
        <v>10355</v>
      </c>
      <c r="O3212" s="16"/>
      <c r="P3212" s="16" t="str">
        <f aca="false">IF(AND(L3212&lt;=$D$2,M3212&gt;=$C$2),"Sí","")</f>
        <v/>
      </c>
      <c r="Q3212" s="18" t="str">
        <f aca="false">IF(COUNTIF(LOOKAHEAD!$A$5:$A$604,A3212)&gt;0,"En Lookahead",IF(P3212="Sí","INCORPORAR",""))</f>
        <v/>
      </c>
    </row>
    <row r="3213" customFormat="false" ht="15" hidden="false" customHeight="false" outlineLevel="0" collapsed="false">
      <c r="A3213" s="16" t="s">
        <v>10356</v>
      </c>
      <c r="B3213" s="16" t="n">
        <v>3208</v>
      </c>
      <c r="C3213" s="16" t="s">
        <v>10357</v>
      </c>
      <c r="D3213" s="16" t="n">
        <v>7</v>
      </c>
      <c r="E3213" s="37" t="s">
        <v>10059</v>
      </c>
      <c r="F3213" s="16" t="s">
        <v>1285</v>
      </c>
      <c r="G3213" s="16" t="s">
        <v>757</v>
      </c>
      <c r="H3213" s="16" t="s">
        <v>2225</v>
      </c>
      <c r="I3213" s="16" t="s">
        <v>68</v>
      </c>
      <c r="J3213" s="16" t="s">
        <v>1534</v>
      </c>
      <c r="K3213" s="32" t="n">
        <v>1</v>
      </c>
      <c r="L3213" s="33" t="n">
        <v>46048</v>
      </c>
      <c r="M3213" s="33" t="n">
        <v>46048</v>
      </c>
      <c r="N3213" s="16" t="s">
        <v>10358</v>
      </c>
      <c r="O3213" s="16"/>
      <c r="P3213" s="16" t="str">
        <f aca="false">IF(AND(L3213&lt;=$D$2,M3213&gt;=$C$2),"Sí","")</f>
        <v/>
      </c>
      <c r="Q3213" s="18" t="str">
        <f aca="false">IF(COUNTIF(LOOKAHEAD!$A$5:$A$604,A3213)&gt;0,"En Lookahead",IF(P3213="Sí","INCORPORAR",""))</f>
        <v/>
      </c>
    </row>
    <row r="3214" customFormat="false" ht="15" hidden="false" customHeight="false" outlineLevel="0" collapsed="false">
      <c r="A3214" s="16" t="s">
        <v>10359</v>
      </c>
      <c r="B3214" s="16" t="n">
        <v>3209</v>
      </c>
      <c r="C3214" s="16" t="s">
        <v>10360</v>
      </c>
      <c r="D3214" s="16" t="n">
        <v>7</v>
      </c>
      <c r="E3214" s="37" t="s">
        <v>10063</v>
      </c>
      <c r="F3214" s="16" t="s">
        <v>1285</v>
      </c>
      <c r="G3214" s="16" t="s">
        <v>757</v>
      </c>
      <c r="H3214" s="16" t="s">
        <v>2225</v>
      </c>
      <c r="I3214" s="16" t="s">
        <v>68</v>
      </c>
      <c r="J3214" s="16" t="s">
        <v>1534</v>
      </c>
      <c r="K3214" s="32" t="n">
        <v>1</v>
      </c>
      <c r="L3214" s="33" t="n">
        <v>46049</v>
      </c>
      <c r="M3214" s="33" t="n">
        <v>46049</v>
      </c>
      <c r="N3214" s="16" t="s">
        <v>10361</v>
      </c>
      <c r="O3214" s="16"/>
      <c r="P3214" s="16" t="str">
        <f aca="false">IF(AND(L3214&lt;=$D$2,M3214&gt;=$C$2),"Sí","")</f>
        <v/>
      </c>
      <c r="Q3214" s="18" t="str">
        <f aca="false">IF(COUNTIF(LOOKAHEAD!$A$5:$A$604,A3214)&gt;0,"En Lookahead",IF(P3214="Sí","INCORPORAR",""))</f>
        <v/>
      </c>
    </row>
    <row r="3215" customFormat="false" ht="15" hidden="false" customHeight="false" outlineLevel="0" collapsed="false">
      <c r="A3215" s="16" t="s">
        <v>10362</v>
      </c>
      <c r="B3215" s="16" t="n">
        <v>3210</v>
      </c>
      <c r="C3215" s="16" t="s">
        <v>10363</v>
      </c>
      <c r="D3215" s="16" t="n">
        <v>7</v>
      </c>
      <c r="E3215" s="37" t="s">
        <v>1557</v>
      </c>
      <c r="F3215" s="16" t="s">
        <v>1285</v>
      </c>
      <c r="G3215" s="16" t="s">
        <v>757</v>
      </c>
      <c r="H3215" s="16" t="s">
        <v>2225</v>
      </c>
      <c r="I3215" s="16" t="s">
        <v>68</v>
      </c>
      <c r="J3215" s="16" t="s">
        <v>1534</v>
      </c>
      <c r="K3215" s="32" t="n">
        <v>1</v>
      </c>
      <c r="L3215" s="33" t="n">
        <v>46048</v>
      </c>
      <c r="M3215" s="33" t="n">
        <v>46048</v>
      </c>
      <c r="N3215" s="16" t="s">
        <v>10364</v>
      </c>
      <c r="O3215" s="16"/>
      <c r="P3215" s="16" t="str">
        <f aca="false">IF(AND(L3215&lt;=$D$2,M3215&gt;=$C$2),"Sí","")</f>
        <v/>
      </c>
      <c r="Q3215" s="18" t="str">
        <f aca="false">IF(COUNTIF(LOOKAHEAD!$A$5:$A$604,A3215)&gt;0,"En Lookahead",IF(P3215="Sí","INCORPORAR",""))</f>
        <v/>
      </c>
    </row>
    <row r="3216" customFormat="false" ht="15" hidden="false" customHeight="false" outlineLevel="0" collapsed="false">
      <c r="A3216" s="16" t="s">
        <v>10365</v>
      </c>
      <c r="B3216" s="16" t="n">
        <v>3211</v>
      </c>
      <c r="C3216" s="16" t="s">
        <v>10366</v>
      </c>
      <c r="D3216" s="16" t="n">
        <v>7</v>
      </c>
      <c r="E3216" s="37" t="s">
        <v>10069</v>
      </c>
      <c r="F3216" s="16" t="s">
        <v>1285</v>
      </c>
      <c r="G3216" s="16" t="s">
        <v>757</v>
      </c>
      <c r="H3216" s="16" t="s">
        <v>2225</v>
      </c>
      <c r="I3216" s="16" t="s">
        <v>68</v>
      </c>
      <c r="J3216" s="16" t="s">
        <v>1534</v>
      </c>
      <c r="K3216" s="32" t="n">
        <v>1</v>
      </c>
      <c r="L3216" s="33" t="n">
        <v>46050</v>
      </c>
      <c r="M3216" s="33" t="n">
        <v>46050</v>
      </c>
      <c r="N3216" s="16" t="s">
        <v>10367</v>
      </c>
      <c r="O3216" s="16"/>
      <c r="P3216" s="16" t="str">
        <f aca="false">IF(AND(L3216&lt;=$D$2,M3216&gt;=$C$2),"Sí","")</f>
        <v/>
      </c>
      <c r="Q3216" s="18" t="str">
        <f aca="false">IF(COUNTIF(LOOKAHEAD!$A$5:$A$604,A3216)&gt;0,"En Lookahead",IF(P3216="Sí","INCORPORAR",""))</f>
        <v/>
      </c>
    </row>
    <row r="3217" customFormat="false" ht="15" hidden="false" customHeight="false" outlineLevel="0" collapsed="false">
      <c r="A3217" s="13" t="s">
        <v>10368</v>
      </c>
      <c r="B3217" s="13" t="n">
        <v>3212</v>
      </c>
      <c r="C3217" s="13" t="s">
        <v>10369</v>
      </c>
      <c r="D3217" s="13" t="n">
        <v>6</v>
      </c>
      <c r="E3217" s="36" t="s">
        <v>9978</v>
      </c>
      <c r="F3217" s="13" t="s">
        <v>1298</v>
      </c>
      <c r="G3217" s="13" t="s">
        <v>757</v>
      </c>
      <c r="H3217" s="13" t="s">
        <v>2225</v>
      </c>
      <c r="I3217" s="13" t="s">
        <v>68</v>
      </c>
      <c r="J3217" s="13" t="s">
        <v>9975</v>
      </c>
      <c r="K3217" s="30" t="n">
        <v>13</v>
      </c>
      <c r="L3217" s="31" t="n">
        <v>46051</v>
      </c>
      <c r="M3217" s="31" t="n">
        <v>46063</v>
      </c>
      <c r="N3217" s="13"/>
      <c r="O3217" s="13"/>
      <c r="P3217" s="13"/>
      <c r="Q3217" s="13"/>
    </row>
    <row r="3218" customFormat="false" ht="15" hidden="false" customHeight="false" outlineLevel="0" collapsed="false">
      <c r="A3218" s="16" t="s">
        <v>10370</v>
      </c>
      <c r="B3218" s="16" t="n">
        <v>3213</v>
      </c>
      <c r="C3218" s="16" t="s">
        <v>10371</v>
      </c>
      <c r="D3218" s="16" t="n">
        <v>7</v>
      </c>
      <c r="E3218" s="37" t="s">
        <v>9981</v>
      </c>
      <c r="F3218" s="16" t="s">
        <v>1285</v>
      </c>
      <c r="G3218" s="16" t="s">
        <v>757</v>
      </c>
      <c r="H3218" s="16" t="s">
        <v>2225</v>
      </c>
      <c r="I3218" s="16" t="s">
        <v>68</v>
      </c>
      <c r="J3218" s="16" t="s">
        <v>9978</v>
      </c>
      <c r="K3218" s="32" t="n">
        <v>13</v>
      </c>
      <c r="L3218" s="33" t="n">
        <v>46051</v>
      </c>
      <c r="M3218" s="33" t="n">
        <v>46063</v>
      </c>
      <c r="N3218" s="16" t="s">
        <v>10372</v>
      </c>
      <c r="O3218" s="16"/>
      <c r="P3218" s="16" t="str">
        <f aca="false">IF(AND(L3218&lt;=$D$2,M3218&gt;=$C$2),"Sí","")</f>
        <v/>
      </c>
      <c r="Q3218" s="18" t="str">
        <f aca="false">IF(COUNTIF(LOOKAHEAD!$A$5:$A$604,A3218)&gt;0,"En Lookahead",IF(P3218="Sí","INCORPORAR",""))</f>
        <v/>
      </c>
    </row>
    <row r="3219" customFormat="false" ht="15" hidden="false" customHeight="false" outlineLevel="0" collapsed="false">
      <c r="A3219" s="13" t="s">
        <v>10373</v>
      </c>
      <c r="B3219" s="13" t="n">
        <v>3214</v>
      </c>
      <c r="C3219" s="13" t="s">
        <v>10374</v>
      </c>
      <c r="D3219" s="13" t="n">
        <v>6</v>
      </c>
      <c r="E3219" s="36" t="s">
        <v>9984</v>
      </c>
      <c r="F3219" s="13" t="s">
        <v>1298</v>
      </c>
      <c r="G3219" s="13" t="s">
        <v>757</v>
      </c>
      <c r="H3219" s="13" t="s">
        <v>2225</v>
      </c>
      <c r="I3219" s="13" t="s">
        <v>68</v>
      </c>
      <c r="J3219" s="13" t="s">
        <v>9975</v>
      </c>
      <c r="K3219" s="30" t="n">
        <v>32</v>
      </c>
      <c r="L3219" s="31" t="n">
        <v>46033</v>
      </c>
      <c r="M3219" s="31" t="n">
        <v>46064</v>
      </c>
      <c r="N3219" s="13"/>
      <c r="O3219" s="13"/>
      <c r="P3219" s="13"/>
      <c r="Q3219" s="13"/>
    </row>
    <row r="3220" customFormat="false" ht="15" hidden="false" customHeight="false" outlineLevel="0" collapsed="false">
      <c r="A3220" s="16" t="s">
        <v>10375</v>
      </c>
      <c r="B3220" s="16" t="n">
        <v>3215</v>
      </c>
      <c r="C3220" s="16" t="s">
        <v>10376</v>
      </c>
      <c r="D3220" s="16" t="n">
        <v>7</v>
      </c>
      <c r="E3220" s="37" t="s">
        <v>10377</v>
      </c>
      <c r="F3220" s="16" t="s">
        <v>1285</v>
      </c>
      <c r="G3220" s="16" t="s">
        <v>757</v>
      </c>
      <c r="H3220" s="16" t="s">
        <v>2225</v>
      </c>
      <c r="I3220" s="16" t="s">
        <v>68</v>
      </c>
      <c r="J3220" s="16" t="s">
        <v>9984</v>
      </c>
      <c r="K3220" s="32" t="n">
        <v>1</v>
      </c>
      <c r="L3220" s="33" t="n">
        <v>46033</v>
      </c>
      <c r="M3220" s="33" t="n">
        <v>46033</v>
      </c>
      <c r="N3220" s="16" t="s">
        <v>10355</v>
      </c>
      <c r="O3220" s="16"/>
      <c r="P3220" s="16" t="str">
        <f aca="false">IF(AND(L3220&lt;=$D$2,M3220&gt;=$C$2),"Sí","")</f>
        <v/>
      </c>
      <c r="Q3220" s="18" t="str">
        <f aca="false">IF(COUNTIF(LOOKAHEAD!$A$5:$A$604,A3220)&gt;0,"En Lookahead",IF(P3220="Sí","INCORPORAR",""))</f>
        <v/>
      </c>
    </row>
    <row r="3221" customFormat="false" ht="15" hidden="false" customHeight="false" outlineLevel="0" collapsed="false">
      <c r="A3221" s="16" t="s">
        <v>10378</v>
      </c>
      <c r="B3221" s="16" t="n">
        <v>3216</v>
      </c>
      <c r="C3221" s="16" t="s">
        <v>10379</v>
      </c>
      <c r="D3221" s="16" t="n">
        <v>7</v>
      </c>
      <c r="E3221" s="37" t="s">
        <v>10380</v>
      </c>
      <c r="F3221" s="16" t="s">
        <v>1285</v>
      </c>
      <c r="G3221" s="16" t="s">
        <v>757</v>
      </c>
      <c r="H3221" s="16" t="s">
        <v>2225</v>
      </c>
      <c r="I3221" s="16" t="s">
        <v>68</v>
      </c>
      <c r="J3221" s="16" t="s">
        <v>9984</v>
      </c>
      <c r="K3221" s="32" t="n">
        <v>1</v>
      </c>
      <c r="L3221" s="33" t="n">
        <v>46034</v>
      </c>
      <c r="M3221" s="33" t="n">
        <v>46034</v>
      </c>
      <c r="N3221" s="16" t="s">
        <v>10381</v>
      </c>
      <c r="O3221" s="16"/>
      <c r="P3221" s="16" t="str">
        <f aca="false">IF(AND(L3221&lt;=$D$2,M3221&gt;=$C$2),"Sí","")</f>
        <v/>
      </c>
      <c r="Q3221" s="18" t="str">
        <f aca="false">IF(COUNTIF(LOOKAHEAD!$A$5:$A$604,A3221)&gt;0,"En Lookahead",IF(P3221="Sí","INCORPORAR",""))</f>
        <v/>
      </c>
    </row>
    <row r="3222" customFormat="false" ht="15" hidden="false" customHeight="false" outlineLevel="0" collapsed="false">
      <c r="A3222" s="16" t="s">
        <v>10382</v>
      </c>
      <c r="B3222" s="16" t="n">
        <v>3217</v>
      </c>
      <c r="C3222" s="16" t="s">
        <v>10383</v>
      </c>
      <c r="D3222" s="16" t="n">
        <v>7</v>
      </c>
      <c r="E3222" s="37" t="s">
        <v>9987</v>
      </c>
      <c r="F3222" s="16" t="s">
        <v>1285</v>
      </c>
      <c r="G3222" s="16" t="s">
        <v>757</v>
      </c>
      <c r="H3222" s="16" t="s">
        <v>2225</v>
      </c>
      <c r="I3222" s="16" t="s">
        <v>68</v>
      </c>
      <c r="J3222" s="16" t="s">
        <v>9984</v>
      </c>
      <c r="K3222" s="32" t="n">
        <v>2</v>
      </c>
      <c r="L3222" s="33" t="n">
        <v>46035</v>
      </c>
      <c r="M3222" s="33" t="n">
        <v>46036</v>
      </c>
      <c r="N3222" s="16" t="s">
        <v>10384</v>
      </c>
      <c r="O3222" s="16"/>
      <c r="P3222" s="16" t="str">
        <f aca="false">IF(AND(L3222&lt;=$D$2,M3222&gt;=$C$2),"Sí","")</f>
        <v/>
      </c>
      <c r="Q3222" s="18" t="str">
        <f aca="false">IF(COUNTIF(LOOKAHEAD!$A$5:$A$604,A3222)&gt;0,"En Lookahead",IF(P3222="Sí","INCORPORAR",""))</f>
        <v/>
      </c>
    </row>
    <row r="3223" customFormat="false" ht="15" hidden="false" customHeight="false" outlineLevel="0" collapsed="false">
      <c r="A3223" s="16" t="s">
        <v>10385</v>
      </c>
      <c r="B3223" s="16" t="n">
        <v>3218</v>
      </c>
      <c r="C3223" s="16" t="s">
        <v>10386</v>
      </c>
      <c r="D3223" s="16" t="n">
        <v>7</v>
      </c>
      <c r="E3223" s="37" t="s">
        <v>9991</v>
      </c>
      <c r="F3223" s="16" t="s">
        <v>1285</v>
      </c>
      <c r="G3223" s="16" t="s">
        <v>757</v>
      </c>
      <c r="H3223" s="16" t="s">
        <v>2225</v>
      </c>
      <c r="I3223" s="16" t="s">
        <v>68</v>
      </c>
      <c r="J3223" s="16" t="s">
        <v>9984</v>
      </c>
      <c r="K3223" s="32" t="n">
        <v>3</v>
      </c>
      <c r="L3223" s="33" t="n">
        <v>46037</v>
      </c>
      <c r="M3223" s="33" t="n">
        <v>46039</v>
      </c>
      <c r="N3223" s="16" t="s">
        <v>10387</v>
      </c>
      <c r="O3223" s="16"/>
      <c r="P3223" s="16" t="str">
        <f aca="false">IF(AND(L3223&lt;=$D$2,M3223&gt;=$C$2),"Sí","")</f>
        <v/>
      </c>
      <c r="Q3223" s="18" t="str">
        <f aca="false">IF(COUNTIF(LOOKAHEAD!$A$5:$A$604,A3223)&gt;0,"En Lookahead",IF(P3223="Sí","INCORPORAR",""))</f>
        <v/>
      </c>
    </row>
    <row r="3224" customFormat="false" ht="15" hidden="false" customHeight="false" outlineLevel="0" collapsed="false">
      <c r="A3224" s="16" t="s">
        <v>10388</v>
      </c>
      <c r="B3224" s="16" t="n">
        <v>3219</v>
      </c>
      <c r="C3224" s="16" t="s">
        <v>10389</v>
      </c>
      <c r="D3224" s="16" t="n">
        <v>7</v>
      </c>
      <c r="E3224" s="37" t="s">
        <v>9995</v>
      </c>
      <c r="F3224" s="16" t="s">
        <v>1285</v>
      </c>
      <c r="G3224" s="16" t="s">
        <v>757</v>
      </c>
      <c r="H3224" s="16" t="s">
        <v>2225</v>
      </c>
      <c r="I3224" s="16" t="s">
        <v>68</v>
      </c>
      <c r="J3224" s="16" t="s">
        <v>9984</v>
      </c>
      <c r="K3224" s="32" t="n">
        <v>13</v>
      </c>
      <c r="L3224" s="33" t="n">
        <v>46052</v>
      </c>
      <c r="M3224" s="33" t="n">
        <v>46064</v>
      </c>
      <c r="N3224" s="16" t="s">
        <v>10390</v>
      </c>
      <c r="O3224" s="16"/>
      <c r="P3224" s="16" t="str">
        <f aca="false">IF(AND(L3224&lt;=$D$2,M3224&gt;=$C$2),"Sí","")</f>
        <v/>
      </c>
      <c r="Q3224" s="18" t="str">
        <f aca="false">IF(COUNTIF(LOOKAHEAD!$A$5:$A$604,A3224)&gt;0,"En Lookahead",IF(P3224="Sí","INCORPORAR",""))</f>
        <v/>
      </c>
    </row>
    <row r="3225" customFormat="false" ht="15" hidden="false" customHeight="false" outlineLevel="0" collapsed="false">
      <c r="A3225" s="13" t="s">
        <v>10391</v>
      </c>
      <c r="B3225" s="13" t="n">
        <v>3220</v>
      </c>
      <c r="C3225" s="13" t="s">
        <v>10392</v>
      </c>
      <c r="D3225" s="13" t="n">
        <v>6</v>
      </c>
      <c r="E3225" s="36" t="s">
        <v>9999</v>
      </c>
      <c r="F3225" s="13" t="s">
        <v>1298</v>
      </c>
      <c r="G3225" s="13" t="s">
        <v>757</v>
      </c>
      <c r="H3225" s="13" t="s">
        <v>2225</v>
      </c>
      <c r="I3225" s="13" t="s">
        <v>68</v>
      </c>
      <c r="J3225" s="13" t="s">
        <v>9975</v>
      </c>
      <c r="K3225" s="30" t="n">
        <v>7</v>
      </c>
      <c r="L3225" s="31" t="n">
        <v>46033</v>
      </c>
      <c r="M3225" s="31" t="n">
        <v>46039</v>
      </c>
      <c r="N3225" s="13"/>
      <c r="O3225" s="13"/>
      <c r="P3225" s="13"/>
      <c r="Q3225" s="13"/>
    </row>
    <row r="3226" customFormat="false" ht="15" hidden="false" customHeight="false" outlineLevel="0" collapsed="false">
      <c r="A3226" s="16" t="s">
        <v>10393</v>
      </c>
      <c r="B3226" s="16" t="n">
        <v>3221</v>
      </c>
      <c r="C3226" s="16" t="s">
        <v>10394</v>
      </c>
      <c r="D3226" s="16" t="n">
        <v>7</v>
      </c>
      <c r="E3226" s="37" t="s">
        <v>10395</v>
      </c>
      <c r="F3226" s="16" t="s">
        <v>1285</v>
      </c>
      <c r="G3226" s="16" t="s">
        <v>757</v>
      </c>
      <c r="H3226" s="16" t="s">
        <v>2225</v>
      </c>
      <c r="I3226" s="16" t="s">
        <v>68</v>
      </c>
      <c r="J3226" s="16" t="s">
        <v>9999</v>
      </c>
      <c r="K3226" s="32" t="n">
        <v>1</v>
      </c>
      <c r="L3226" s="33" t="n">
        <v>46033</v>
      </c>
      <c r="M3226" s="33" t="n">
        <v>46033</v>
      </c>
      <c r="N3226" s="16" t="s">
        <v>10396</v>
      </c>
      <c r="O3226" s="16"/>
      <c r="P3226" s="16" t="str">
        <f aca="false">IF(AND(L3226&lt;=$D$2,M3226&gt;=$C$2),"Sí","")</f>
        <v/>
      </c>
      <c r="Q3226" s="18" t="str">
        <f aca="false">IF(COUNTIF(LOOKAHEAD!$A$5:$A$604,A3226)&gt;0,"En Lookahead",IF(P3226="Sí","INCORPORAR",""))</f>
        <v/>
      </c>
    </row>
    <row r="3227" customFormat="false" ht="15" hidden="false" customHeight="false" outlineLevel="0" collapsed="false">
      <c r="A3227" s="16" t="s">
        <v>10397</v>
      </c>
      <c r="B3227" s="16" t="n">
        <v>3222</v>
      </c>
      <c r="C3227" s="16" t="s">
        <v>10398</v>
      </c>
      <c r="D3227" s="16" t="n">
        <v>7</v>
      </c>
      <c r="E3227" s="37" t="s">
        <v>10399</v>
      </c>
      <c r="F3227" s="16" t="s">
        <v>1285</v>
      </c>
      <c r="G3227" s="16" t="s">
        <v>757</v>
      </c>
      <c r="H3227" s="16" t="s">
        <v>2225</v>
      </c>
      <c r="I3227" s="16" t="s">
        <v>68</v>
      </c>
      <c r="J3227" s="16" t="s">
        <v>9999</v>
      </c>
      <c r="K3227" s="32" t="n">
        <v>1</v>
      </c>
      <c r="L3227" s="33" t="n">
        <v>46034</v>
      </c>
      <c r="M3227" s="33" t="n">
        <v>46034</v>
      </c>
      <c r="N3227" s="16" t="s">
        <v>10400</v>
      </c>
      <c r="O3227" s="16"/>
      <c r="P3227" s="16" t="str">
        <f aca="false">IF(AND(L3227&lt;=$D$2,M3227&gt;=$C$2),"Sí","")</f>
        <v/>
      </c>
      <c r="Q3227" s="18" t="str">
        <f aca="false">IF(COUNTIF(LOOKAHEAD!$A$5:$A$604,A3227)&gt;0,"En Lookahead",IF(P3227="Sí","INCORPORAR",""))</f>
        <v/>
      </c>
    </row>
    <row r="3228" customFormat="false" ht="15" hidden="false" customHeight="false" outlineLevel="0" collapsed="false">
      <c r="A3228" s="16" t="s">
        <v>10401</v>
      </c>
      <c r="B3228" s="16" t="n">
        <v>3223</v>
      </c>
      <c r="C3228" s="16" t="s">
        <v>10402</v>
      </c>
      <c r="D3228" s="16" t="n">
        <v>7</v>
      </c>
      <c r="E3228" s="37" t="s">
        <v>10002</v>
      </c>
      <c r="F3228" s="16" t="s">
        <v>1285</v>
      </c>
      <c r="G3228" s="16" t="s">
        <v>757</v>
      </c>
      <c r="H3228" s="16" t="s">
        <v>2225</v>
      </c>
      <c r="I3228" s="16" t="s">
        <v>68</v>
      </c>
      <c r="J3228" s="16" t="s">
        <v>9999</v>
      </c>
      <c r="K3228" s="32" t="n">
        <v>1</v>
      </c>
      <c r="L3228" s="33" t="n">
        <v>46035</v>
      </c>
      <c r="M3228" s="33" t="n">
        <v>46035</v>
      </c>
      <c r="N3228" s="16" t="s">
        <v>10403</v>
      </c>
      <c r="O3228" s="16"/>
      <c r="P3228" s="16" t="str">
        <f aca="false">IF(AND(L3228&lt;=$D$2,M3228&gt;=$C$2),"Sí","")</f>
        <v/>
      </c>
      <c r="Q3228" s="18" t="str">
        <f aca="false">IF(COUNTIF(LOOKAHEAD!$A$5:$A$604,A3228)&gt;0,"En Lookahead",IF(P3228="Sí","INCORPORAR",""))</f>
        <v/>
      </c>
    </row>
    <row r="3229" customFormat="false" ht="15" hidden="false" customHeight="false" outlineLevel="0" collapsed="false">
      <c r="A3229" s="16" t="s">
        <v>10404</v>
      </c>
      <c r="B3229" s="16" t="n">
        <v>3224</v>
      </c>
      <c r="C3229" s="16" t="s">
        <v>10405</v>
      </c>
      <c r="D3229" s="16" t="n">
        <v>7</v>
      </c>
      <c r="E3229" s="37" t="s">
        <v>10406</v>
      </c>
      <c r="F3229" s="16" t="s">
        <v>1285</v>
      </c>
      <c r="G3229" s="16" t="s">
        <v>757</v>
      </c>
      <c r="H3229" s="16" t="s">
        <v>2225</v>
      </c>
      <c r="I3229" s="16" t="s">
        <v>68</v>
      </c>
      <c r="J3229" s="16" t="s">
        <v>9999</v>
      </c>
      <c r="K3229" s="32" t="n">
        <v>1</v>
      </c>
      <c r="L3229" s="33" t="n">
        <v>46036</v>
      </c>
      <c r="M3229" s="33" t="n">
        <v>46036</v>
      </c>
      <c r="N3229" s="16" t="s">
        <v>10407</v>
      </c>
      <c r="O3229" s="16"/>
      <c r="P3229" s="16" t="str">
        <f aca="false">IF(AND(L3229&lt;=$D$2,M3229&gt;=$C$2),"Sí","")</f>
        <v/>
      </c>
      <c r="Q3229" s="18" t="str">
        <f aca="false">IF(COUNTIF(LOOKAHEAD!$A$5:$A$604,A3229)&gt;0,"En Lookahead",IF(P3229="Sí","INCORPORAR",""))</f>
        <v/>
      </c>
    </row>
    <row r="3230" customFormat="false" ht="15" hidden="false" customHeight="false" outlineLevel="0" collapsed="false">
      <c r="A3230" s="16" t="s">
        <v>10408</v>
      </c>
      <c r="B3230" s="16" t="n">
        <v>3225</v>
      </c>
      <c r="C3230" s="16" t="s">
        <v>10409</v>
      </c>
      <c r="D3230" s="16" t="n">
        <v>7</v>
      </c>
      <c r="E3230" s="37" t="s">
        <v>10410</v>
      </c>
      <c r="F3230" s="16" t="s">
        <v>1285</v>
      </c>
      <c r="G3230" s="16" t="s">
        <v>757</v>
      </c>
      <c r="H3230" s="16" t="s">
        <v>2225</v>
      </c>
      <c r="I3230" s="16" t="s">
        <v>68</v>
      </c>
      <c r="J3230" s="16" t="s">
        <v>9999</v>
      </c>
      <c r="K3230" s="32" t="n">
        <v>1</v>
      </c>
      <c r="L3230" s="33" t="n">
        <v>46037</v>
      </c>
      <c r="M3230" s="33" t="n">
        <v>46037</v>
      </c>
      <c r="N3230" s="16" t="s">
        <v>10411</v>
      </c>
      <c r="O3230" s="16"/>
      <c r="P3230" s="16" t="str">
        <f aca="false">IF(AND(L3230&lt;=$D$2,M3230&gt;=$C$2),"Sí","")</f>
        <v/>
      </c>
      <c r="Q3230" s="18" t="str">
        <f aca="false">IF(COUNTIF(LOOKAHEAD!$A$5:$A$604,A3230)&gt;0,"En Lookahead",IF(P3230="Sí","INCORPORAR",""))</f>
        <v/>
      </c>
    </row>
    <row r="3231" customFormat="false" ht="15" hidden="false" customHeight="false" outlineLevel="0" collapsed="false">
      <c r="A3231" s="16" t="s">
        <v>10412</v>
      </c>
      <c r="B3231" s="16" t="n">
        <v>3226</v>
      </c>
      <c r="C3231" s="16" t="s">
        <v>10413</v>
      </c>
      <c r="D3231" s="16" t="n">
        <v>7</v>
      </c>
      <c r="E3231" s="37" t="s">
        <v>10414</v>
      </c>
      <c r="F3231" s="16" t="s">
        <v>1285</v>
      </c>
      <c r="G3231" s="16" t="s">
        <v>757</v>
      </c>
      <c r="H3231" s="16" t="s">
        <v>2225</v>
      </c>
      <c r="I3231" s="16" t="s">
        <v>68</v>
      </c>
      <c r="J3231" s="16" t="s">
        <v>9999</v>
      </c>
      <c r="K3231" s="32" t="n">
        <v>1</v>
      </c>
      <c r="L3231" s="33" t="n">
        <v>46033</v>
      </c>
      <c r="M3231" s="33" t="n">
        <v>46033</v>
      </c>
      <c r="N3231" s="16" t="s">
        <v>10415</v>
      </c>
      <c r="O3231" s="16"/>
      <c r="P3231" s="16" t="str">
        <f aca="false">IF(AND(L3231&lt;=$D$2,M3231&gt;=$C$2),"Sí","")</f>
        <v/>
      </c>
      <c r="Q3231" s="18" t="str">
        <f aca="false">IF(COUNTIF(LOOKAHEAD!$A$5:$A$604,A3231)&gt;0,"En Lookahead",IF(P3231="Sí","INCORPORAR",""))</f>
        <v/>
      </c>
    </row>
    <row r="3232" customFormat="false" ht="15" hidden="false" customHeight="false" outlineLevel="0" collapsed="false">
      <c r="A3232" s="16" t="s">
        <v>10416</v>
      </c>
      <c r="B3232" s="16" t="n">
        <v>3227</v>
      </c>
      <c r="C3232" s="16" t="s">
        <v>10417</v>
      </c>
      <c r="D3232" s="16" t="n">
        <v>7</v>
      </c>
      <c r="E3232" s="37" t="s">
        <v>10006</v>
      </c>
      <c r="F3232" s="16" t="s">
        <v>1285</v>
      </c>
      <c r="G3232" s="16" t="s">
        <v>757</v>
      </c>
      <c r="H3232" s="16" t="s">
        <v>2225</v>
      </c>
      <c r="I3232" s="16" t="s">
        <v>68</v>
      </c>
      <c r="J3232" s="16" t="s">
        <v>9999</v>
      </c>
      <c r="K3232" s="32" t="n">
        <v>2</v>
      </c>
      <c r="L3232" s="33" t="n">
        <v>46034</v>
      </c>
      <c r="M3232" s="33" t="n">
        <v>46035</v>
      </c>
      <c r="N3232" s="16" t="s">
        <v>10418</v>
      </c>
      <c r="O3232" s="16"/>
      <c r="P3232" s="16" t="str">
        <f aca="false">IF(AND(L3232&lt;=$D$2,M3232&gt;=$C$2),"Sí","")</f>
        <v/>
      </c>
      <c r="Q3232" s="18" t="str">
        <f aca="false">IF(COUNTIF(LOOKAHEAD!$A$5:$A$604,A3232)&gt;0,"En Lookahead",IF(P3232="Sí","INCORPORAR",""))</f>
        <v/>
      </c>
    </row>
    <row r="3233" customFormat="false" ht="15" hidden="false" customHeight="false" outlineLevel="0" collapsed="false">
      <c r="A3233" s="16" t="s">
        <v>10419</v>
      </c>
      <c r="B3233" s="16" t="n">
        <v>3228</v>
      </c>
      <c r="C3233" s="16" t="s">
        <v>10420</v>
      </c>
      <c r="D3233" s="16" t="n">
        <v>7</v>
      </c>
      <c r="E3233" s="37" t="s">
        <v>10421</v>
      </c>
      <c r="F3233" s="16" t="s">
        <v>1285</v>
      </c>
      <c r="G3233" s="16" t="s">
        <v>757</v>
      </c>
      <c r="H3233" s="16" t="s">
        <v>2225</v>
      </c>
      <c r="I3233" s="16" t="s">
        <v>68</v>
      </c>
      <c r="J3233" s="16" t="s">
        <v>9999</v>
      </c>
      <c r="K3233" s="32" t="n">
        <v>1</v>
      </c>
      <c r="L3233" s="33" t="n">
        <v>46036</v>
      </c>
      <c r="M3233" s="33" t="n">
        <v>46036</v>
      </c>
      <c r="N3233" s="16" t="s">
        <v>10422</v>
      </c>
      <c r="O3233" s="16"/>
      <c r="P3233" s="16" t="str">
        <f aca="false">IF(AND(L3233&lt;=$D$2,M3233&gt;=$C$2),"Sí","")</f>
        <v/>
      </c>
      <c r="Q3233" s="18" t="str">
        <f aca="false">IF(COUNTIF(LOOKAHEAD!$A$5:$A$604,A3233)&gt;0,"En Lookahead",IF(P3233="Sí","INCORPORAR",""))</f>
        <v/>
      </c>
    </row>
    <row r="3234" customFormat="false" ht="15" hidden="false" customHeight="false" outlineLevel="0" collapsed="false">
      <c r="A3234" s="16" t="s">
        <v>10423</v>
      </c>
      <c r="B3234" s="16" t="n">
        <v>3229</v>
      </c>
      <c r="C3234" s="16" t="s">
        <v>10424</v>
      </c>
      <c r="D3234" s="16" t="n">
        <v>7</v>
      </c>
      <c r="E3234" s="37" t="s">
        <v>10010</v>
      </c>
      <c r="F3234" s="16" t="s">
        <v>1285</v>
      </c>
      <c r="G3234" s="16" t="s">
        <v>757</v>
      </c>
      <c r="H3234" s="16" t="s">
        <v>2225</v>
      </c>
      <c r="I3234" s="16" t="s">
        <v>68</v>
      </c>
      <c r="J3234" s="16" t="s">
        <v>9999</v>
      </c>
      <c r="K3234" s="32" t="n">
        <v>2</v>
      </c>
      <c r="L3234" s="33" t="n">
        <v>46037</v>
      </c>
      <c r="M3234" s="33" t="n">
        <v>46038</v>
      </c>
      <c r="N3234" s="16" t="s">
        <v>10425</v>
      </c>
      <c r="O3234" s="16"/>
      <c r="P3234" s="16" t="str">
        <f aca="false">IF(AND(L3234&lt;=$D$2,M3234&gt;=$C$2),"Sí","")</f>
        <v/>
      </c>
      <c r="Q3234" s="18" t="str">
        <f aca="false">IF(COUNTIF(LOOKAHEAD!$A$5:$A$604,A3234)&gt;0,"En Lookahead",IF(P3234="Sí","INCORPORAR",""))</f>
        <v/>
      </c>
    </row>
    <row r="3235" customFormat="false" ht="15" hidden="false" customHeight="false" outlineLevel="0" collapsed="false">
      <c r="A3235" s="16" t="s">
        <v>10426</v>
      </c>
      <c r="B3235" s="16" t="n">
        <v>3230</v>
      </c>
      <c r="C3235" s="16" t="s">
        <v>10427</v>
      </c>
      <c r="D3235" s="16" t="n">
        <v>7</v>
      </c>
      <c r="E3235" s="37" t="s">
        <v>10014</v>
      </c>
      <c r="F3235" s="16" t="s">
        <v>1285</v>
      </c>
      <c r="G3235" s="16" t="s">
        <v>757</v>
      </c>
      <c r="H3235" s="16" t="s">
        <v>2225</v>
      </c>
      <c r="I3235" s="16" t="s">
        <v>68</v>
      </c>
      <c r="J3235" s="16" t="s">
        <v>9999</v>
      </c>
      <c r="K3235" s="32" t="n">
        <v>1</v>
      </c>
      <c r="L3235" s="33" t="n">
        <v>46039</v>
      </c>
      <c r="M3235" s="33" t="n">
        <v>46039</v>
      </c>
      <c r="N3235" s="16" t="s">
        <v>10428</v>
      </c>
      <c r="O3235" s="16"/>
      <c r="P3235" s="16" t="str">
        <f aca="false">IF(AND(L3235&lt;=$D$2,M3235&gt;=$C$2),"Sí","")</f>
        <v/>
      </c>
      <c r="Q3235" s="18" t="str">
        <f aca="false">IF(COUNTIF(LOOKAHEAD!$A$5:$A$604,A3235)&gt;0,"En Lookahead",IF(P3235="Sí","INCORPORAR",""))</f>
        <v/>
      </c>
    </row>
    <row r="3236" customFormat="false" ht="15" hidden="false" customHeight="false" outlineLevel="0" collapsed="false">
      <c r="A3236" s="13" t="s">
        <v>10429</v>
      </c>
      <c r="B3236" s="13" t="n">
        <v>3231</v>
      </c>
      <c r="C3236" s="13" t="s">
        <v>10430</v>
      </c>
      <c r="D3236" s="13" t="n">
        <v>6</v>
      </c>
      <c r="E3236" s="36" t="s">
        <v>10018</v>
      </c>
      <c r="F3236" s="13" t="s">
        <v>1298</v>
      </c>
      <c r="G3236" s="13" t="s">
        <v>757</v>
      </c>
      <c r="H3236" s="13" t="s">
        <v>2225</v>
      </c>
      <c r="I3236" s="13" t="s">
        <v>68</v>
      </c>
      <c r="J3236" s="13" t="s">
        <v>9975</v>
      </c>
      <c r="K3236" s="30" t="n">
        <v>5</v>
      </c>
      <c r="L3236" s="31" t="n">
        <v>46040</v>
      </c>
      <c r="M3236" s="31" t="n">
        <v>46044</v>
      </c>
      <c r="N3236" s="13"/>
      <c r="O3236" s="13"/>
      <c r="P3236" s="13"/>
      <c r="Q3236" s="13"/>
    </row>
    <row r="3237" customFormat="false" ht="15" hidden="false" customHeight="false" outlineLevel="0" collapsed="false">
      <c r="A3237" s="16" t="s">
        <v>10431</v>
      </c>
      <c r="B3237" s="16" t="n">
        <v>3232</v>
      </c>
      <c r="C3237" s="16" t="s">
        <v>10432</v>
      </c>
      <c r="D3237" s="16" t="n">
        <v>7</v>
      </c>
      <c r="E3237" s="37" t="s">
        <v>10433</v>
      </c>
      <c r="F3237" s="16" t="s">
        <v>1285</v>
      </c>
      <c r="G3237" s="16" t="s">
        <v>757</v>
      </c>
      <c r="H3237" s="16" t="s">
        <v>2225</v>
      </c>
      <c r="I3237" s="16" t="s">
        <v>68</v>
      </c>
      <c r="J3237" s="16" t="s">
        <v>10018</v>
      </c>
      <c r="K3237" s="32" t="n">
        <v>1</v>
      </c>
      <c r="L3237" s="33" t="n">
        <v>46040</v>
      </c>
      <c r="M3237" s="33" t="n">
        <v>46040</v>
      </c>
      <c r="N3237" s="16" t="s">
        <v>10434</v>
      </c>
      <c r="O3237" s="16"/>
      <c r="P3237" s="16" t="str">
        <f aca="false">IF(AND(L3237&lt;=$D$2,M3237&gt;=$C$2),"Sí","")</f>
        <v/>
      </c>
      <c r="Q3237" s="18" t="str">
        <f aca="false">IF(COUNTIF(LOOKAHEAD!$A$5:$A$604,A3237)&gt;0,"En Lookahead",IF(P3237="Sí","INCORPORAR",""))</f>
        <v/>
      </c>
    </row>
    <row r="3238" customFormat="false" ht="15" hidden="false" customHeight="false" outlineLevel="0" collapsed="false">
      <c r="A3238" s="16" t="s">
        <v>10435</v>
      </c>
      <c r="B3238" s="16" t="n">
        <v>3233</v>
      </c>
      <c r="C3238" s="16" t="s">
        <v>10436</v>
      </c>
      <c r="D3238" s="16" t="n">
        <v>7</v>
      </c>
      <c r="E3238" s="37" t="s">
        <v>10021</v>
      </c>
      <c r="F3238" s="16" t="s">
        <v>1285</v>
      </c>
      <c r="G3238" s="16" t="s">
        <v>757</v>
      </c>
      <c r="H3238" s="16" t="s">
        <v>2225</v>
      </c>
      <c r="I3238" s="16" t="s">
        <v>68</v>
      </c>
      <c r="J3238" s="16" t="s">
        <v>10018</v>
      </c>
      <c r="K3238" s="32" t="n">
        <v>3</v>
      </c>
      <c r="L3238" s="33" t="n">
        <v>46041</v>
      </c>
      <c r="M3238" s="33" t="n">
        <v>46043</v>
      </c>
      <c r="N3238" s="16" t="s">
        <v>10437</v>
      </c>
      <c r="O3238" s="16"/>
      <c r="P3238" s="16" t="str">
        <f aca="false">IF(AND(L3238&lt;=$D$2,M3238&gt;=$C$2),"Sí","")</f>
        <v/>
      </c>
      <c r="Q3238" s="18" t="str">
        <f aca="false">IF(COUNTIF(LOOKAHEAD!$A$5:$A$604,A3238)&gt;0,"En Lookahead",IF(P3238="Sí","INCORPORAR",""))</f>
        <v/>
      </c>
    </row>
    <row r="3239" customFormat="false" ht="15" hidden="false" customHeight="false" outlineLevel="0" collapsed="false">
      <c r="A3239" s="16" t="s">
        <v>10438</v>
      </c>
      <c r="B3239" s="16" t="n">
        <v>3234</v>
      </c>
      <c r="C3239" s="16" t="s">
        <v>10439</v>
      </c>
      <c r="D3239" s="16" t="n">
        <v>7</v>
      </c>
      <c r="E3239" s="37" t="s">
        <v>10440</v>
      </c>
      <c r="F3239" s="16" t="s">
        <v>1285</v>
      </c>
      <c r="G3239" s="16" t="s">
        <v>757</v>
      </c>
      <c r="H3239" s="16" t="s">
        <v>2225</v>
      </c>
      <c r="I3239" s="16" t="s">
        <v>68</v>
      </c>
      <c r="J3239" s="16" t="s">
        <v>10018</v>
      </c>
      <c r="K3239" s="32" t="n">
        <v>1</v>
      </c>
      <c r="L3239" s="33" t="n">
        <v>46044</v>
      </c>
      <c r="M3239" s="33" t="n">
        <v>46044</v>
      </c>
      <c r="N3239" s="16" t="s">
        <v>10441</v>
      </c>
      <c r="O3239" s="16"/>
      <c r="P3239" s="16" t="str">
        <f aca="false">IF(AND(L3239&lt;=$D$2,M3239&gt;=$C$2),"Sí","")</f>
        <v/>
      </c>
      <c r="Q3239" s="18" t="str">
        <f aca="false">IF(COUNTIF(LOOKAHEAD!$A$5:$A$604,A3239)&gt;0,"En Lookahead",IF(P3239="Sí","INCORPORAR",""))</f>
        <v/>
      </c>
    </row>
    <row r="3240" customFormat="false" ht="15" hidden="false" customHeight="false" outlineLevel="0" collapsed="false">
      <c r="A3240" s="13" t="s">
        <v>10442</v>
      </c>
      <c r="B3240" s="13" t="n">
        <v>3235</v>
      </c>
      <c r="C3240" s="13" t="s">
        <v>10443</v>
      </c>
      <c r="D3240" s="13" t="n">
        <v>6</v>
      </c>
      <c r="E3240" s="36" t="s">
        <v>10025</v>
      </c>
      <c r="F3240" s="13" t="s">
        <v>1298</v>
      </c>
      <c r="G3240" s="13" t="s">
        <v>757</v>
      </c>
      <c r="H3240" s="13" t="s">
        <v>2225</v>
      </c>
      <c r="I3240" s="13" t="s">
        <v>68</v>
      </c>
      <c r="J3240" s="13" t="s">
        <v>9975</v>
      </c>
      <c r="K3240" s="30" t="n">
        <v>3</v>
      </c>
      <c r="L3240" s="31" t="n">
        <v>46045</v>
      </c>
      <c r="M3240" s="31" t="n">
        <v>46047</v>
      </c>
      <c r="N3240" s="13"/>
      <c r="O3240" s="13"/>
      <c r="P3240" s="13"/>
      <c r="Q3240" s="13"/>
    </row>
    <row r="3241" customFormat="false" ht="15" hidden="false" customHeight="false" outlineLevel="0" collapsed="false">
      <c r="A3241" s="16" t="s">
        <v>10444</v>
      </c>
      <c r="B3241" s="16" t="n">
        <v>3236</v>
      </c>
      <c r="C3241" s="16" t="s">
        <v>10445</v>
      </c>
      <c r="D3241" s="16" t="n">
        <v>7</v>
      </c>
      <c r="E3241" s="37" t="s">
        <v>10028</v>
      </c>
      <c r="F3241" s="16" t="s">
        <v>1285</v>
      </c>
      <c r="G3241" s="16" t="s">
        <v>757</v>
      </c>
      <c r="H3241" s="16" t="s">
        <v>2225</v>
      </c>
      <c r="I3241" s="16" t="s">
        <v>68</v>
      </c>
      <c r="J3241" s="16" t="s">
        <v>10025</v>
      </c>
      <c r="K3241" s="32" t="n">
        <v>3</v>
      </c>
      <c r="L3241" s="33" t="n">
        <v>46045</v>
      </c>
      <c r="M3241" s="33" t="n">
        <v>46047</v>
      </c>
      <c r="N3241" s="16" t="s">
        <v>10446</v>
      </c>
      <c r="O3241" s="16"/>
      <c r="P3241" s="16" t="str">
        <f aca="false">IF(AND(L3241&lt;=$D$2,M3241&gt;=$C$2),"Sí","")</f>
        <v/>
      </c>
      <c r="Q3241" s="18" t="str">
        <f aca="false">IF(COUNTIF(LOOKAHEAD!$A$5:$A$604,A3241)&gt;0,"En Lookahead",IF(P3241="Sí","INCORPORAR",""))</f>
        <v/>
      </c>
    </row>
    <row r="3242" customFormat="false" ht="15" hidden="false" customHeight="false" outlineLevel="0" collapsed="false">
      <c r="A3242" s="13" t="s">
        <v>10447</v>
      </c>
      <c r="B3242" s="13" t="n">
        <v>3237</v>
      </c>
      <c r="C3242" s="13" t="s">
        <v>10448</v>
      </c>
      <c r="D3242" s="13" t="n">
        <v>5</v>
      </c>
      <c r="E3242" s="34" t="s">
        <v>10032</v>
      </c>
      <c r="F3242" s="13" t="s">
        <v>1298</v>
      </c>
      <c r="G3242" s="13" t="s">
        <v>757</v>
      </c>
      <c r="H3242" s="13" t="s">
        <v>2225</v>
      </c>
      <c r="I3242" s="13" t="s">
        <v>68</v>
      </c>
      <c r="J3242" s="13" t="s">
        <v>2225</v>
      </c>
      <c r="K3242" s="30" t="n">
        <v>29</v>
      </c>
      <c r="L3242" s="31" t="n">
        <v>46048</v>
      </c>
      <c r="M3242" s="31" t="n">
        <v>46076</v>
      </c>
      <c r="N3242" s="13"/>
      <c r="O3242" s="13"/>
      <c r="P3242" s="13"/>
      <c r="Q3242" s="13"/>
    </row>
    <row r="3243" customFormat="false" ht="15" hidden="false" customHeight="false" outlineLevel="0" collapsed="false">
      <c r="A3243" s="13" t="s">
        <v>10449</v>
      </c>
      <c r="B3243" s="13" t="n">
        <v>3238</v>
      </c>
      <c r="C3243" s="13" t="s">
        <v>10450</v>
      </c>
      <c r="D3243" s="13" t="n">
        <v>6</v>
      </c>
      <c r="E3243" s="36" t="s">
        <v>10035</v>
      </c>
      <c r="F3243" s="13" t="s">
        <v>1298</v>
      </c>
      <c r="G3243" s="13" t="s">
        <v>757</v>
      </c>
      <c r="H3243" s="13" t="s">
        <v>2225</v>
      </c>
      <c r="I3243" s="13" t="s">
        <v>68</v>
      </c>
      <c r="J3243" s="13" t="s">
        <v>10032</v>
      </c>
      <c r="K3243" s="30" t="n">
        <v>1</v>
      </c>
      <c r="L3243" s="31" t="n">
        <v>46048</v>
      </c>
      <c r="M3243" s="31" t="n">
        <v>46048</v>
      </c>
      <c r="N3243" s="13"/>
      <c r="O3243" s="13"/>
      <c r="P3243" s="13"/>
      <c r="Q3243" s="13"/>
    </row>
    <row r="3244" customFormat="false" ht="15" hidden="false" customHeight="false" outlineLevel="0" collapsed="false">
      <c r="A3244" s="16" t="s">
        <v>10451</v>
      </c>
      <c r="B3244" s="16" t="n">
        <v>3239</v>
      </c>
      <c r="C3244" s="16" t="s">
        <v>10452</v>
      </c>
      <c r="D3244" s="16" t="n">
        <v>7</v>
      </c>
      <c r="E3244" s="37" t="s">
        <v>10038</v>
      </c>
      <c r="F3244" s="16" t="s">
        <v>1285</v>
      </c>
      <c r="G3244" s="16" t="s">
        <v>757</v>
      </c>
      <c r="H3244" s="16" t="s">
        <v>2225</v>
      </c>
      <c r="I3244" s="16" t="s">
        <v>68</v>
      </c>
      <c r="J3244" s="16" t="s">
        <v>10035</v>
      </c>
      <c r="K3244" s="32" t="n">
        <v>1</v>
      </c>
      <c r="L3244" s="33" t="n">
        <v>46048</v>
      </c>
      <c r="M3244" s="33" t="n">
        <v>46048</v>
      </c>
      <c r="N3244" s="16" t="s">
        <v>10358</v>
      </c>
      <c r="O3244" s="16"/>
      <c r="P3244" s="16" t="str">
        <f aca="false">IF(AND(L3244&lt;=$D$2,M3244&gt;=$C$2),"Sí","")</f>
        <v/>
      </c>
      <c r="Q3244" s="18" t="str">
        <f aca="false">IF(COUNTIF(LOOKAHEAD!$A$5:$A$604,A3244)&gt;0,"En Lookahead",IF(P3244="Sí","INCORPORAR",""))</f>
        <v/>
      </c>
    </row>
    <row r="3245" customFormat="false" ht="15" hidden="false" customHeight="false" outlineLevel="0" collapsed="false">
      <c r="A3245" s="13" t="s">
        <v>10453</v>
      </c>
      <c r="B3245" s="13" t="n">
        <v>3240</v>
      </c>
      <c r="C3245" s="13" t="s">
        <v>10454</v>
      </c>
      <c r="D3245" s="13" t="n">
        <v>6</v>
      </c>
      <c r="E3245" s="36" t="s">
        <v>1534</v>
      </c>
      <c r="F3245" s="13" t="s">
        <v>1298</v>
      </c>
      <c r="G3245" s="13" t="s">
        <v>757</v>
      </c>
      <c r="H3245" s="13" t="s">
        <v>2225</v>
      </c>
      <c r="I3245" s="13" t="s">
        <v>68</v>
      </c>
      <c r="J3245" s="13" t="s">
        <v>10032</v>
      </c>
      <c r="K3245" s="30" t="n">
        <v>27</v>
      </c>
      <c r="L3245" s="31" t="n">
        <v>46049</v>
      </c>
      <c r="M3245" s="31" t="n">
        <v>46075</v>
      </c>
      <c r="N3245" s="13"/>
      <c r="O3245" s="13"/>
      <c r="P3245" s="13"/>
      <c r="Q3245" s="13"/>
    </row>
    <row r="3246" customFormat="false" ht="15" hidden="false" customHeight="false" outlineLevel="0" collapsed="false">
      <c r="A3246" s="16" t="s">
        <v>10455</v>
      </c>
      <c r="B3246" s="16" t="n">
        <v>3241</v>
      </c>
      <c r="C3246" s="16" t="s">
        <v>10456</v>
      </c>
      <c r="D3246" s="16" t="n">
        <v>7</v>
      </c>
      <c r="E3246" s="37" t="s">
        <v>10043</v>
      </c>
      <c r="F3246" s="16" t="s">
        <v>1285</v>
      </c>
      <c r="G3246" s="16" t="s">
        <v>757</v>
      </c>
      <c r="H3246" s="16" t="s">
        <v>2225</v>
      </c>
      <c r="I3246" s="16" t="s">
        <v>68</v>
      </c>
      <c r="J3246" s="16" t="s">
        <v>1534</v>
      </c>
      <c r="K3246" s="32" t="n">
        <v>9</v>
      </c>
      <c r="L3246" s="33" t="n">
        <v>46049</v>
      </c>
      <c r="M3246" s="33" t="n">
        <v>46057</v>
      </c>
      <c r="N3246" s="16" t="s">
        <v>10457</v>
      </c>
      <c r="O3246" s="16"/>
      <c r="P3246" s="16" t="str">
        <f aca="false">IF(AND(L3246&lt;=$D$2,M3246&gt;=$C$2),"Sí","")</f>
        <v/>
      </c>
      <c r="Q3246" s="18" t="str">
        <f aca="false">IF(COUNTIF(LOOKAHEAD!$A$5:$A$604,A3246)&gt;0,"En Lookahead",IF(P3246="Sí","INCORPORAR",""))</f>
        <v/>
      </c>
    </row>
    <row r="3247" customFormat="false" ht="15" hidden="false" customHeight="false" outlineLevel="0" collapsed="false">
      <c r="A3247" s="16" t="s">
        <v>10458</v>
      </c>
      <c r="B3247" s="16" t="n">
        <v>3242</v>
      </c>
      <c r="C3247" s="16" t="s">
        <v>10459</v>
      </c>
      <c r="D3247" s="16" t="n">
        <v>7</v>
      </c>
      <c r="E3247" s="37" t="s">
        <v>10047</v>
      </c>
      <c r="F3247" s="16" t="s">
        <v>1285</v>
      </c>
      <c r="G3247" s="16" t="s">
        <v>757</v>
      </c>
      <c r="H3247" s="16" t="s">
        <v>2225</v>
      </c>
      <c r="I3247" s="16" t="s">
        <v>68</v>
      </c>
      <c r="J3247" s="16" t="s">
        <v>1534</v>
      </c>
      <c r="K3247" s="32" t="n">
        <v>1</v>
      </c>
      <c r="L3247" s="33" t="n">
        <v>46058</v>
      </c>
      <c r="M3247" s="33" t="n">
        <v>46058</v>
      </c>
      <c r="N3247" s="16" t="s">
        <v>10460</v>
      </c>
      <c r="O3247" s="16"/>
      <c r="P3247" s="16" t="str">
        <f aca="false">IF(AND(L3247&lt;=$D$2,M3247&gt;=$C$2),"Sí","")</f>
        <v/>
      </c>
      <c r="Q3247" s="18" t="str">
        <f aca="false">IF(COUNTIF(LOOKAHEAD!$A$5:$A$604,A3247)&gt;0,"En Lookahead",IF(P3247="Sí","INCORPORAR",""))</f>
        <v/>
      </c>
    </row>
    <row r="3248" customFormat="false" ht="15" hidden="false" customHeight="false" outlineLevel="0" collapsed="false">
      <c r="A3248" s="16" t="s">
        <v>10461</v>
      </c>
      <c r="B3248" s="16" t="n">
        <v>3243</v>
      </c>
      <c r="C3248" s="16" t="s">
        <v>10462</v>
      </c>
      <c r="D3248" s="16" t="n">
        <v>7</v>
      </c>
      <c r="E3248" s="37" t="s">
        <v>10051</v>
      </c>
      <c r="F3248" s="16" t="s">
        <v>1285</v>
      </c>
      <c r="G3248" s="16" t="s">
        <v>757</v>
      </c>
      <c r="H3248" s="16" t="s">
        <v>2225</v>
      </c>
      <c r="I3248" s="16" t="s">
        <v>68</v>
      </c>
      <c r="J3248" s="16" t="s">
        <v>1534</v>
      </c>
      <c r="K3248" s="32" t="n">
        <v>1</v>
      </c>
      <c r="L3248" s="33" t="n">
        <v>46059</v>
      </c>
      <c r="M3248" s="33" t="n">
        <v>46059</v>
      </c>
      <c r="N3248" s="16" t="s">
        <v>10463</v>
      </c>
      <c r="O3248" s="16"/>
      <c r="P3248" s="16" t="str">
        <f aca="false">IF(AND(L3248&lt;=$D$2,M3248&gt;=$C$2),"Sí","")</f>
        <v/>
      </c>
      <c r="Q3248" s="18" t="str">
        <f aca="false">IF(COUNTIF(LOOKAHEAD!$A$5:$A$604,A3248)&gt;0,"En Lookahead",IF(P3248="Sí","INCORPORAR",""))</f>
        <v/>
      </c>
    </row>
    <row r="3249" customFormat="false" ht="15" hidden="false" customHeight="false" outlineLevel="0" collapsed="false">
      <c r="A3249" s="16" t="s">
        <v>10464</v>
      </c>
      <c r="B3249" s="16" t="n">
        <v>3244</v>
      </c>
      <c r="C3249" s="16" t="s">
        <v>10465</v>
      </c>
      <c r="D3249" s="16" t="n">
        <v>7</v>
      </c>
      <c r="E3249" s="37" t="s">
        <v>10055</v>
      </c>
      <c r="F3249" s="16" t="s">
        <v>1285</v>
      </c>
      <c r="G3249" s="16" t="s">
        <v>757</v>
      </c>
      <c r="H3249" s="16" t="s">
        <v>2225</v>
      </c>
      <c r="I3249" s="16" t="s">
        <v>68</v>
      </c>
      <c r="J3249" s="16" t="s">
        <v>1534</v>
      </c>
      <c r="K3249" s="32" t="n">
        <v>1</v>
      </c>
      <c r="L3249" s="33" t="n">
        <v>46060</v>
      </c>
      <c r="M3249" s="33" t="n">
        <v>46060</v>
      </c>
      <c r="N3249" s="16" t="s">
        <v>10466</v>
      </c>
      <c r="O3249" s="16"/>
      <c r="P3249" s="16" t="str">
        <f aca="false">IF(AND(L3249&lt;=$D$2,M3249&gt;=$C$2),"Sí","")</f>
        <v/>
      </c>
      <c r="Q3249" s="18" t="str">
        <f aca="false">IF(COUNTIF(LOOKAHEAD!$A$5:$A$604,A3249)&gt;0,"En Lookahead",IF(P3249="Sí","INCORPORAR",""))</f>
        <v/>
      </c>
    </row>
    <row r="3250" customFormat="false" ht="15" hidden="false" customHeight="false" outlineLevel="0" collapsed="false">
      <c r="A3250" s="16" t="s">
        <v>10467</v>
      </c>
      <c r="B3250" s="16" t="n">
        <v>3245</v>
      </c>
      <c r="C3250" s="16" t="s">
        <v>10468</v>
      </c>
      <c r="D3250" s="16" t="n">
        <v>7</v>
      </c>
      <c r="E3250" s="37" t="s">
        <v>10059</v>
      </c>
      <c r="F3250" s="16" t="s">
        <v>1285</v>
      </c>
      <c r="G3250" s="16" t="s">
        <v>757</v>
      </c>
      <c r="H3250" s="16" t="s">
        <v>2225</v>
      </c>
      <c r="I3250" s="16" t="s">
        <v>68</v>
      </c>
      <c r="J3250" s="16" t="s">
        <v>1534</v>
      </c>
      <c r="K3250" s="32" t="n">
        <v>1</v>
      </c>
      <c r="L3250" s="33" t="n">
        <v>46073</v>
      </c>
      <c r="M3250" s="33" t="n">
        <v>46073</v>
      </c>
      <c r="N3250" s="16" t="s">
        <v>10469</v>
      </c>
      <c r="O3250" s="16"/>
      <c r="P3250" s="16" t="str">
        <f aca="false">IF(AND(L3250&lt;=$D$2,M3250&gt;=$C$2),"Sí","")</f>
        <v/>
      </c>
      <c r="Q3250" s="18" t="str">
        <f aca="false">IF(COUNTIF(LOOKAHEAD!$A$5:$A$604,A3250)&gt;0,"En Lookahead",IF(P3250="Sí","INCORPORAR",""))</f>
        <v/>
      </c>
    </row>
    <row r="3251" customFormat="false" ht="15" hidden="false" customHeight="false" outlineLevel="0" collapsed="false">
      <c r="A3251" s="16" t="s">
        <v>10470</v>
      </c>
      <c r="B3251" s="16" t="n">
        <v>3246</v>
      </c>
      <c r="C3251" s="16" t="s">
        <v>10471</v>
      </c>
      <c r="D3251" s="16" t="n">
        <v>7</v>
      </c>
      <c r="E3251" s="37" t="s">
        <v>10063</v>
      </c>
      <c r="F3251" s="16" t="s">
        <v>1285</v>
      </c>
      <c r="G3251" s="16" t="s">
        <v>757</v>
      </c>
      <c r="H3251" s="16" t="s">
        <v>2225</v>
      </c>
      <c r="I3251" s="16" t="s">
        <v>68</v>
      </c>
      <c r="J3251" s="16" t="s">
        <v>1534</v>
      </c>
      <c r="K3251" s="32" t="n">
        <v>1</v>
      </c>
      <c r="L3251" s="33" t="n">
        <v>46074</v>
      </c>
      <c r="M3251" s="33" t="n">
        <v>46074</v>
      </c>
      <c r="N3251" s="16" t="s">
        <v>10472</v>
      </c>
      <c r="O3251" s="16"/>
      <c r="P3251" s="16" t="str">
        <f aca="false">IF(AND(L3251&lt;=$D$2,M3251&gt;=$C$2),"Sí","")</f>
        <v/>
      </c>
      <c r="Q3251" s="18" t="str">
        <f aca="false">IF(COUNTIF(LOOKAHEAD!$A$5:$A$604,A3251)&gt;0,"En Lookahead",IF(P3251="Sí","INCORPORAR",""))</f>
        <v/>
      </c>
    </row>
    <row r="3252" customFormat="false" ht="15" hidden="false" customHeight="false" outlineLevel="0" collapsed="false">
      <c r="A3252" s="16" t="s">
        <v>10473</v>
      </c>
      <c r="B3252" s="16" t="n">
        <v>3247</v>
      </c>
      <c r="C3252" s="16" t="s">
        <v>10474</v>
      </c>
      <c r="D3252" s="16" t="n">
        <v>7</v>
      </c>
      <c r="E3252" s="37" t="s">
        <v>1557</v>
      </c>
      <c r="F3252" s="16" t="s">
        <v>1285</v>
      </c>
      <c r="G3252" s="16" t="s">
        <v>757</v>
      </c>
      <c r="H3252" s="16" t="s">
        <v>2225</v>
      </c>
      <c r="I3252" s="16" t="s">
        <v>68</v>
      </c>
      <c r="J3252" s="16" t="s">
        <v>1534</v>
      </c>
      <c r="K3252" s="32" t="n">
        <v>1</v>
      </c>
      <c r="L3252" s="33" t="n">
        <v>46073</v>
      </c>
      <c r="M3252" s="33" t="n">
        <v>46073</v>
      </c>
      <c r="N3252" s="16" t="s">
        <v>10475</v>
      </c>
      <c r="O3252" s="16"/>
      <c r="P3252" s="16" t="str">
        <f aca="false">IF(AND(L3252&lt;=$D$2,M3252&gt;=$C$2),"Sí","")</f>
        <v/>
      </c>
      <c r="Q3252" s="18" t="str">
        <f aca="false">IF(COUNTIF(LOOKAHEAD!$A$5:$A$604,A3252)&gt;0,"En Lookahead",IF(P3252="Sí","INCORPORAR",""))</f>
        <v/>
      </c>
    </row>
    <row r="3253" customFormat="false" ht="15" hidden="false" customHeight="false" outlineLevel="0" collapsed="false">
      <c r="A3253" s="16" t="s">
        <v>10476</v>
      </c>
      <c r="B3253" s="16" t="n">
        <v>3248</v>
      </c>
      <c r="C3253" s="16" t="s">
        <v>10477</v>
      </c>
      <c r="D3253" s="16" t="n">
        <v>7</v>
      </c>
      <c r="E3253" s="37" t="s">
        <v>10069</v>
      </c>
      <c r="F3253" s="16" t="s">
        <v>1285</v>
      </c>
      <c r="G3253" s="16" t="s">
        <v>757</v>
      </c>
      <c r="H3253" s="16" t="s">
        <v>2225</v>
      </c>
      <c r="I3253" s="16" t="s">
        <v>68</v>
      </c>
      <c r="J3253" s="16" t="s">
        <v>1534</v>
      </c>
      <c r="K3253" s="32" t="n">
        <v>1</v>
      </c>
      <c r="L3253" s="33" t="n">
        <v>46075</v>
      </c>
      <c r="M3253" s="33" t="n">
        <v>46075</v>
      </c>
      <c r="N3253" s="16" t="s">
        <v>10478</v>
      </c>
      <c r="O3253" s="16"/>
      <c r="P3253" s="16" t="str">
        <f aca="false">IF(AND(L3253&lt;=$D$2,M3253&gt;=$C$2),"Sí","")</f>
        <v/>
      </c>
      <c r="Q3253" s="18" t="str">
        <f aca="false">IF(COUNTIF(LOOKAHEAD!$A$5:$A$604,A3253)&gt;0,"En Lookahead",IF(P3253="Sí","INCORPORAR",""))</f>
        <v/>
      </c>
    </row>
    <row r="3254" customFormat="false" ht="15" hidden="false" customHeight="false" outlineLevel="0" collapsed="false">
      <c r="A3254" s="13" t="s">
        <v>10479</v>
      </c>
      <c r="B3254" s="13" t="n">
        <v>3249</v>
      </c>
      <c r="C3254" s="13" t="s">
        <v>10480</v>
      </c>
      <c r="D3254" s="13" t="n">
        <v>6</v>
      </c>
      <c r="E3254" s="36" t="s">
        <v>10072</v>
      </c>
      <c r="F3254" s="13" t="s">
        <v>1298</v>
      </c>
      <c r="G3254" s="13" t="s">
        <v>757</v>
      </c>
      <c r="H3254" s="13" t="s">
        <v>2225</v>
      </c>
      <c r="I3254" s="13" t="s">
        <v>68</v>
      </c>
      <c r="J3254" s="13" t="s">
        <v>10032</v>
      </c>
      <c r="K3254" s="30" t="n">
        <v>6</v>
      </c>
      <c r="L3254" s="31" t="n">
        <v>46060</v>
      </c>
      <c r="M3254" s="31" t="n">
        <v>46065</v>
      </c>
      <c r="N3254" s="13"/>
      <c r="O3254" s="13"/>
      <c r="P3254" s="13"/>
      <c r="Q3254" s="13"/>
    </row>
    <row r="3255" customFormat="false" ht="15" hidden="false" customHeight="false" outlineLevel="0" collapsed="false">
      <c r="A3255" s="16" t="s">
        <v>10481</v>
      </c>
      <c r="B3255" s="16" t="n">
        <v>3250</v>
      </c>
      <c r="C3255" s="16" t="s">
        <v>10482</v>
      </c>
      <c r="D3255" s="16" t="n">
        <v>7</v>
      </c>
      <c r="E3255" s="37" t="s">
        <v>10075</v>
      </c>
      <c r="F3255" s="16" t="s">
        <v>1285</v>
      </c>
      <c r="G3255" s="16" t="s">
        <v>757</v>
      </c>
      <c r="H3255" s="16" t="s">
        <v>2225</v>
      </c>
      <c r="I3255" s="16" t="s">
        <v>68</v>
      </c>
      <c r="J3255" s="16" t="s">
        <v>10072</v>
      </c>
      <c r="K3255" s="32" t="n">
        <v>6</v>
      </c>
      <c r="L3255" s="33" t="n">
        <v>46060</v>
      </c>
      <c r="M3255" s="33" t="n">
        <v>46065</v>
      </c>
      <c r="N3255" s="16" t="s">
        <v>10466</v>
      </c>
      <c r="O3255" s="16"/>
      <c r="P3255" s="16" t="str">
        <f aca="false">IF(AND(L3255&lt;=$D$2,M3255&gt;=$C$2),"Sí","")</f>
        <v/>
      </c>
      <c r="Q3255" s="18" t="str">
        <f aca="false">IF(COUNTIF(LOOKAHEAD!$A$5:$A$604,A3255)&gt;0,"En Lookahead",IF(P3255="Sí","INCORPORAR",""))</f>
        <v/>
      </c>
    </row>
    <row r="3256" customFormat="false" ht="15" hidden="false" customHeight="false" outlineLevel="0" collapsed="false">
      <c r="A3256" s="13" t="s">
        <v>10483</v>
      </c>
      <c r="B3256" s="13" t="n">
        <v>3251</v>
      </c>
      <c r="C3256" s="13" t="s">
        <v>10484</v>
      </c>
      <c r="D3256" s="13" t="n">
        <v>6</v>
      </c>
      <c r="E3256" s="36" t="s">
        <v>10079</v>
      </c>
      <c r="F3256" s="13" t="s">
        <v>1298</v>
      </c>
      <c r="G3256" s="13" t="s">
        <v>757</v>
      </c>
      <c r="H3256" s="13" t="s">
        <v>2225</v>
      </c>
      <c r="I3256" s="13" t="s">
        <v>68</v>
      </c>
      <c r="J3256" s="13" t="s">
        <v>10032</v>
      </c>
      <c r="K3256" s="30" t="n">
        <v>7</v>
      </c>
      <c r="L3256" s="31" t="n">
        <v>46066</v>
      </c>
      <c r="M3256" s="31" t="n">
        <v>46072</v>
      </c>
      <c r="N3256" s="13"/>
      <c r="O3256" s="13"/>
      <c r="P3256" s="13"/>
      <c r="Q3256" s="13"/>
    </row>
    <row r="3257" customFormat="false" ht="15" hidden="false" customHeight="false" outlineLevel="0" collapsed="false">
      <c r="A3257" s="16" t="s">
        <v>10485</v>
      </c>
      <c r="B3257" s="16" t="n">
        <v>3252</v>
      </c>
      <c r="C3257" s="16" t="s">
        <v>10486</v>
      </c>
      <c r="D3257" s="16" t="n">
        <v>7</v>
      </c>
      <c r="E3257" s="37" t="s">
        <v>10082</v>
      </c>
      <c r="F3257" s="16" t="s">
        <v>1285</v>
      </c>
      <c r="G3257" s="16" t="s">
        <v>757</v>
      </c>
      <c r="H3257" s="16" t="s">
        <v>2225</v>
      </c>
      <c r="I3257" s="16" t="s">
        <v>68</v>
      </c>
      <c r="J3257" s="16" t="s">
        <v>10079</v>
      </c>
      <c r="K3257" s="32" t="n">
        <v>1</v>
      </c>
      <c r="L3257" s="33" t="n">
        <v>46066</v>
      </c>
      <c r="M3257" s="33" t="n">
        <v>46066</v>
      </c>
      <c r="N3257" s="16" t="s">
        <v>10487</v>
      </c>
      <c r="O3257" s="16"/>
      <c r="P3257" s="16" t="str">
        <f aca="false">IF(AND(L3257&lt;=$D$2,M3257&gt;=$C$2),"Sí","")</f>
        <v/>
      </c>
      <c r="Q3257" s="18" t="str">
        <f aca="false">IF(COUNTIF(LOOKAHEAD!$A$5:$A$604,A3257)&gt;0,"En Lookahead",IF(P3257="Sí","INCORPORAR",""))</f>
        <v/>
      </c>
    </row>
    <row r="3258" customFormat="false" ht="15" hidden="false" customHeight="false" outlineLevel="0" collapsed="false">
      <c r="A3258" s="16" t="s">
        <v>10488</v>
      </c>
      <c r="B3258" s="16" t="n">
        <v>3253</v>
      </c>
      <c r="C3258" s="16" t="s">
        <v>10489</v>
      </c>
      <c r="D3258" s="16" t="n">
        <v>7</v>
      </c>
      <c r="E3258" s="37" t="s">
        <v>10086</v>
      </c>
      <c r="F3258" s="16" t="s">
        <v>1285</v>
      </c>
      <c r="G3258" s="16" t="s">
        <v>757</v>
      </c>
      <c r="H3258" s="16" t="s">
        <v>2225</v>
      </c>
      <c r="I3258" s="16" t="s">
        <v>68</v>
      </c>
      <c r="J3258" s="16" t="s">
        <v>10079</v>
      </c>
      <c r="K3258" s="32" t="n">
        <v>1</v>
      </c>
      <c r="L3258" s="33" t="n">
        <v>46067</v>
      </c>
      <c r="M3258" s="33" t="n">
        <v>46067</v>
      </c>
      <c r="N3258" s="16" t="s">
        <v>10490</v>
      </c>
      <c r="O3258" s="16"/>
      <c r="P3258" s="16" t="str">
        <f aca="false">IF(AND(L3258&lt;=$D$2,M3258&gt;=$C$2),"Sí","")</f>
        <v/>
      </c>
      <c r="Q3258" s="18" t="str">
        <f aca="false">IF(COUNTIF(LOOKAHEAD!$A$5:$A$604,A3258)&gt;0,"En Lookahead",IF(P3258="Sí","INCORPORAR",""))</f>
        <v/>
      </c>
    </row>
    <row r="3259" customFormat="false" ht="15" hidden="false" customHeight="false" outlineLevel="0" collapsed="false">
      <c r="A3259" s="16" t="s">
        <v>10491</v>
      </c>
      <c r="B3259" s="16" t="n">
        <v>3254</v>
      </c>
      <c r="C3259" s="16" t="s">
        <v>10492</v>
      </c>
      <c r="D3259" s="16" t="n">
        <v>7</v>
      </c>
      <c r="E3259" s="37" t="s">
        <v>10090</v>
      </c>
      <c r="F3259" s="16" t="s">
        <v>1285</v>
      </c>
      <c r="G3259" s="16" t="s">
        <v>757</v>
      </c>
      <c r="H3259" s="16" t="s">
        <v>2225</v>
      </c>
      <c r="I3259" s="16" t="s">
        <v>68</v>
      </c>
      <c r="J3259" s="16" t="s">
        <v>10079</v>
      </c>
      <c r="K3259" s="32" t="n">
        <v>1</v>
      </c>
      <c r="L3259" s="33" t="n">
        <v>46068</v>
      </c>
      <c r="M3259" s="33" t="n">
        <v>46068</v>
      </c>
      <c r="N3259" s="16" t="s">
        <v>10493</v>
      </c>
      <c r="O3259" s="16"/>
      <c r="P3259" s="16" t="str">
        <f aca="false">IF(AND(L3259&lt;=$D$2,M3259&gt;=$C$2),"Sí","")</f>
        <v/>
      </c>
      <c r="Q3259" s="18" t="str">
        <f aca="false">IF(COUNTIF(LOOKAHEAD!$A$5:$A$604,A3259)&gt;0,"En Lookahead",IF(P3259="Sí","INCORPORAR",""))</f>
        <v/>
      </c>
    </row>
    <row r="3260" customFormat="false" ht="15" hidden="false" customHeight="false" outlineLevel="0" collapsed="false">
      <c r="A3260" s="16" t="s">
        <v>10494</v>
      </c>
      <c r="B3260" s="16" t="n">
        <v>3255</v>
      </c>
      <c r="C3260" s="16" t="s">
        <v>10495</v>
      </c>
      <c r="D3260" s="16" t="n">
        <v>7</v>
      </c>
      <c r="E3260" s="37" t="s">
        <v>10094</v>
      </c>
      <c r="F3260" s="16" t="s">
        <v>1285</v>
      </c>
      <c r="G3260" s="16" t="s">
        <v>757</v>
      </c>
      <c r="H3260" s="16" t="s">
        <v>2225</v>
      </c>
      <c r="I3260" s="16" t="s">
        <v>68</v>
      </c>
      <c r="J3260" s="16" t="s">
        <v>10079</v>
      </c>
      <c r="K3260" s="32" t="n">
        <v>2</v>
      </c>
      <c r="L3260" s="33" t="n">
        <v>46069</v>
      </c>
      <c r="M3260" s="33" t="n">
        <v>46070</v>
      </c>
      <c r="N3260" s="16" t="s">
        <v>10496</v>
      </c>
      <c r="O3260" s="16"/>
      <c r="P3260" s="16" t="str">
        <f aca="false">IF(AND(L3260&lt;=$D$2,M3260&gt;=$C$2),"Sí","")</f>
        <v/>
      </c>
      <c r="Q3260" s="18" t="str">
        <f aca="false">IF(COUNTIF(LOOKAHEAD!$A$5:$A$604,A3260)&gt;0,"En Lookahead",IF(P3260="Sí","INCORPORAR",""))</f>
        <v/>
      </c>
    </row>
    <row r="3261" customFormat="false" ht="15" hidden="false" customHeight="false" outlineLevel="0" collapsed="false">
      <c r="A3261" s="16" t="s">
        <v>10497</v>
      </c>
      <c r="B3261" s="16" t="n">
        <v>3256</v>
      </c>
      <c r="C3261" s="16" t="s">
        <v>10498</v>
      </c>
      <c r="D3261" s="16" t="n">
        <v>7</v>
      </c>
      <c r="E3261" s="37" t="s">
        <v>10212</v>
      </c>
      <c r="F3261" s="16" t="s">
        <v>1285</v>
      </c>
      <c r="G3261" s="16" t="s">
        <v>757</v>
      </c>
      <c r="H3261" s="16" t="s">
        <v>2225</v>
      </c>
      <c r="I3261" s="16" t="s">
        <v>68</v>
      </c>
      <c r="J3261" s="16" t="s">
        <v>10079</v>
      </c>
      <c r="K3261" s="32" t="n">
        <v>1</v>
      </c>
      <c r="L3261" s="33" t="n">
        <v>46071</v>
      </c>
      <c r="M3261" s="33" t="n">
        <v>46071</v>
      </c>
      <c r="N3261" s="16" t="s">
        <v>10499</v>
      </c>
      <c r="O3261" s="16"/>
      <c r="P3261" s="16" t="str">
        <f aca="false">IF(AND(L3261&lt;=$D$2,M3261&gt;=$C$2),"Sí","")</f>
        <v/>
      </c>
      <c r="Q3261" s="18" t="str">
        <f aca="false">IF(COUNTIF(LOOKAHEAD!$A$5:$A$604,A3261)&gt;0,"En Lookahead",IF(P3261="Sí","INCORPORAR",""))</f>
        <v/>
      </c>
    </row>
    <row r="3262" customFormat="false" ht="15" hidden="false" customHeight="false" outlineLevel="0" collapsed="false">
      <c r="A3262" s="16" t="s">
        <v>10500</v>
      </c>
      <c r="B3262" s="16" t="n">
        <v>3257</v>
      </c>
      <c r="C3262" s="16" t="s">
        <v>10501</v>
      </c>
      <c r="D3262" s="16" t="n">
        <v>7</v>
      </c>
      <c r="E3262" s="37" t="s">
        <v>10098</v>
      </c>
      <c r="F3262" s="16" t="s">
        <v>1285</v>
      </c>
      <c r="G3262" s="16" t="s">
        <v>757</v>
      </c>
      <c r="H3262" s="16" t="s">
        <v>2225</v>
      </c>
      <c r="I3262" s="16" t="s">
        <v>68</v>
      </c>
      <c r="J3262" s="16" t="s">
        <v>10079</v>
      </c>
      <c r="K3262" s="32" t="n">
        <v>1</v>
      </c>
      <c r="L3262" s="33" t="n">
        <v>46072</v>
      </c>
      <c r="M3262" s="33" t="n">
        <v>46072</v>
      </c>
      <c r="N3262" s="16" t="s">
        <v>10502</v>
      </c>
      <c r="O3262" s="16"/>
      <c r="P3262" s="16" t="str">
        <f aca="false">IF(AND(L3262&lt;=$D$2,M3262&gt;=$C$2),"Sí","")</f>
        <v/>
      </c>
      <c r="Q3262" s="18" t="str">
        <f aca="false">IF(COUNTIF(LOOKAHEAD!$A$5:$A$604,A3262)&gt;0,"En Lookahead",IF(P3262="Sí","INCORPORAR",""))</f>
        <v/>
      </c>
    </row>
    <row r="3263" customFormat="false" ht="15" hidden="false" customHeight="false" outlineLevel="0" collapsed="false">
      <c r="A3263" s="13" t="s">
        <v>10503</v>
      </c>
      <c r="B3263" s="13" t="n">
        <v>3258</v>
      </c>
      <c r="C3263" s="13" t="s">
        <v>10504</v>
      </c>
      <c r="D3263" s="13" t="n">
        <v>6</v>
      </c>
      <c r="E3263" s="36" t="s">
        <v>10102</v>
      </c>
      <c r="F3263" s="13" t="s">
        <v>1298</v>
      </c>
      <c r="G3263" s="13" t="s">
        <v>757</v>
      </c>
      <c r="H3263" s="13" t="s">
        <v>2225</v>
      </c>
      <c r="I3263" s="13" t="s">
        <v>68</v>
      </c>
      <c r="J3263" s="13" t="s">
        <v>10032</v>
      </c>
      <c r="K3263" s="30" t="n">
        <v>4</v>
      </c>
      <c r="L3263" s="31" t="n">
        <v>46073</v>
      </c>
      <c r="M3263" s="31" t="n">
        <v>46076</v>
      </c>
      <c r="N3263" s="13"/>
      <c r="O3263" s="13"/>
      <c r="P3263" s="13"/>
      <c r="Q3263" s="13"/>
    </row>
    <row r="3264" customFormat="false" ht="15" hidden="false" customHeight="false" outlineLevel="0" collapsed="false">
      <c r="A3264" s="16" t="s">
        <v>10505</v>
      </c>
      <c r="B3264" s="16" t="n">
        <v>3259</v>
      </c>
      <c r="C3264" s="16" t="s">
        <v>10506</v>
      </c>
      <c r="D3264" s="16" t="n">
        <v>7</v>
      </c>
      <c r="E3264" s="37" t="s">
        <v>10105</v>
      </c>
      <c r="F3264" s="16" t="s">
        <v>1285</v>
      </c>
      <c r="G3264" s="16" t="s">
        <v>757</v>
      </c>
      <c r="H3264" s="16" t="s">
        <v>2225</v>
      </c>
      <c r="I3264" s="16" t="s">
        <v>68</v>
      </c>
      <c r="J3264" s="16" t="s">
        <v>10102</v>
      </c>
      <c r="K3264" s="32" t="n">
        <v>1</v>
      </c>
      <c r="L3264" s="33" t="n">
        <v>46073</v>
      </c>
      <c r="M3264" s="33" t="n">
        <v>46073</v>
      </c>
      <c r="N3264" s="16" t="s">
        <v>10469</v>
      </c>
      <c r="O3264" s="16"/>
      <c r="P3264" s="16" t="str">
        <f aca="false">IF(AND(L3264&lt;=$D$2,M3264&gt;=$C$2),"Sí","")</f>
        <v/>
      </c>
      <c r="Q3264" s="18" t="str">
        <f aca="false">IF(COUNTIF(LOOKAHEAD!$A$5:$A$604,A3264)&gt;0,"En Lookahead",IF(P3264="Sí","INCORPORAR",""))</f>
        <v/>
      </c>
    </row>
    <row r="3265" customFormat="false" ht="15" hidden="false" customHeight="false" outlineLevel="0" collapsed="false">
      <c r="A3265" s="16" t="s">
        <v>10507</v>
      </c>
      <c r="B3265" s="16" t="n">
        <v>3260</v>
      </c>
      <c r="C3265" s="16" t="s">
        <v>10508</v>
      </c>
      <c r="D3265" s="16" t="n">
        <v>7</v>
      </c>
      <c r="E3265" s="37" t="s">
        <v>1557</v>
      </c>
      <c r="F3265" s="16" t="s">
        <v>1285</v>
      </c>
      <c r="G3265" s="16" t="s">
        <v>757</v>
      </c>
      <c r="H3265" s="16" t="s">
        <v>2225</v>
      </c>
      <c r="I3265" s="16" t="s">
        <v>68</v>
      </c>
      <c r="J3265" s="16" t="s">
        <v>10102</v>
      </c>
      <c r="K3265" s="32" t="n">
        <v>1</v>
      </c>
      <c r="L3265" s="33" t="n">
        <v>46074</v>
      </c>
      <c r="M3265" s="33" t="n">
        <v>46074</v>
      </c>
      <c r="N3265" s="16" t="s">
        <v>10509</v>
      </c>
      <c r="O3265" s="16"/>
      <c r="P3265" s="16" t="str">
        <f aca="false">IF(AND(L3265&lt;=$D$2,M3265&gt;=$C$2),"Sí","")</f>
        <v/>
      </c>
      <c r="Q3265" s="18" t="str">
        <f aca="false">IF(COUNTIF(LOOKAHEAD!$A$5:$A$604,A3265)&gt;0,"En Lookahead",IF(P3265="Sí","INCORPORAR",""))</f>
        <v/>
      </c>
    </row>
    <row r="3266" customFormat="false" ht="15" hidden="false" customHeight="false" outlineLevel="0" collapsed="false">
      <c r="A3266" s="16" t="s">
        <v>10510</v>
      </c>
      <c r="B3266" s="16" t="n">
        <v>3261</v>
      </c>
      <c r="C3266" s="16" t="s">
        <v>10511</v>
      </c>
      <c r="D3266" s="16" t="n">
        <v>7</v>
      </c>
      <c r="E3266" s="37" t="s">
        <v>10069</v>
      </c>
      <c r="F3266" s="16" t="s">
        <v>1285</v>
      </c>
      <c r="G3266" s="16" t="s">
        <v>757</v>
      </c>
      <c r="H3266" s="16" t="s">
        <v>2225</v>
      </c>
      <c r="I3266" s="16" t="s">
        <v>68</v>
      </c>
      <c r="J3266" s="16" t="s">
        <v>10102</v>
      </c>
      <c r="K3266" s="32" t="n">
        <v>1</v>
      </c>
      <c r="L3266" s="33" t="n">
        <v>46076</v>
      </c>
      <c r="M3266" s="33" t="n">
        <v>46076</v>
      </c>
      <c r="N3266" s="16" t="s">
        <v>10512</v>
      </c>
      <c r="O3266" s="16"/>
      <c r="P3266" s="16" t="str">
        <f aca="false">IF(AND(L3266&lt;=$D$2,M3266&gt;=$C$2),"Sí","")</f>
        <v/>
      </c>
      <c r="Q3266" s="18" t="str">
        <f aca="false">IF(COUNTIF(LOOKAHEAD!$A$5:$A$604,A3266)&gt;0,"En Lookahead",IF(P3266="Sí","INCORPORAR",""))</f>
        <v/>
      </c>
    </row>
    <row r="3267" customFormat="false" ht="15" hidden="false" customHeight="false" outlineLevel="0" collapsed="false">
      <c r="A3267" s="16" t="s">
        <v>10513</v>
      </c>
      <c r="B3267" s="16" t="n">
        <v>3262</v>
      </c>
      <c r="C3267" s="16" t="s">
        <v>10514</v>
      </c>
      <c r="D3267" s="16" t="n">
        <v>7</v>
      </c>
      <c r="E3267" s="37" t="s">
        <v>10115</v>
      </c>
      <c r="F3267" s="16" t="s">
        <v>1285</v>
      </c>
      <c r="G3267" s="16" t="s">
        <v>757</v>
      </c>
      <c r="H3267" s="16" t="s">
        <v>2225</v>
      </c>
      <c r="I3267" s="16" t="s">
        <v>68</v>
      </c>
      <c r="J3267" s="16" t="s">
        <v>10102</v>
      </c>
      <c r="K3267" s="32" t="n">
        <v>1</v>
      </c>
      <c r="L3267" s="33" t="n">
        <v>46075</v>
      </c>
      <c r="M3267" s="33" t="n">
        <v>46075</v>
      </c>
      <c r="N3267" s="16" t="s">
        <v>10515</v>
      </c>
      <c r="O3267" s="16"/>
      <c r="P3267" s="16" t="str">
        <f aca="false">IF(AND(L3267&lt;=$D$2,M3267&gt;=$C$2),"Sí","")</f>
        <v/>
      </c>
      <c r="Q3267" s="18" t="str">
        <f aca="false">IF(COUNTIF(LOOKAHEAD!$A$5:$A$604,A3267)&gt;0,"En Lookahead",IF(P3267="Sí","INCORPORAR",""))</f>
        <v/>
      </c>
    </row>
    <row r="3268" customFormat="false" ht="15" hidden="false" customHeight="false" outlineLevel="0" collapsed="false">
      <c r="A3268" s="13" t="s">
        <v>10516</v>
      </c>
      <c r="B3268" s="13" t="n">
        <v>3263</v>
      </c>
      <c r="C3268" s="13" t="s">
        <v>10517</v>
      </c>
      <c r="D3268" s="13" t="n">
        <v>6</v>
      </c>
      <c r="E3268" s="36" t="s">
        <v>10119</v>
      </c>
      <c r="F3268" s="13" t="s">
        <v>1298</v>
      </c>
      <c r="G3268" s="13" t="s">
        <v>757</v>
      </c>
      <c r="H3268" s="13" t="s">
        <v>2225</v>
      </c>
      <c r="I3268" s="13" t="s">
        <v>68</v>
      </c>
      <c r="J3268" s="13" t="s">
        <v>10032</v>
      </c>
      <c r="K3268" s="30" t="n">
        <v>8</v>
      </c>
      <c r="L3268" s="31" t="n">
        <v>46066</v>
      </c>
      <c r="M3268" s="31" t="n">
        <v>46073</v>
      </c>
      <c r="N3268" s="13"/>
      <c r="O3268" s="13"/>
      <c r="P3268" s="13"/>
      <c r="Q3268" s="13"/>
    </row>
    <row r="3269" customFormat="false" ht="15" hidden="false" customHeight="false" outlineLevel="0" collapsed="false">
      <c r="A3269" s="16" t="s">
        <v>10518</v>
      </c>
      <c r="B3269" s="16" t="n">
        <v>3264</v>
      </c>
      <c r="C3269" s="16" t="s">
        <v>10519</v>
      </c>
      <c r="D3269" s="16" t="n">
        <v>7</v>
      </c>
      <c r="E3269" s="37" t="s">
        <v>10122</v>
      </c>
      <c r="F3269" s="16" t="s">
        <v>1285</v>
      </c>
      <c r="G3269" s="16" t="s">
        <v>757</v>
      </c>
      <c r="H3269" s="16" t="s">
        <v>2225</v>
      </c>
      <c r="I3269" s="16" t="s">
        <v>68</v>
      </c>
      <c r="J3269" s="16" t="s">
        <v>10119</v>
      </c>
      <c r="K3269" s="32" t="n">
        <v>3</v>
      </c>
      <c r="L3269" s="33" t="n">
        <v>46066</v>
      </c>
      <c r="M3269" s="33" t="n">
        <v>46068</v>
      </c>
      <c r="N3269" s="16" t="s">
        <v>10487</v>
      </c>
      <c r="O3269" s="16"/>
      <c r="P3269" s="16" t="str">
        <f aca="false">IF(AND(L3269&lt;=$D$2,M3269&gt;=$C$2),"Sí","")</f>
        <v/>
      </c>
      <c r="Q3269" s="18" t="str">
        <f aca="false">IF(COUNTIF(LOOKAHEAD!$A$5:$A$604,A3269)&gt;0,"En Lookahead",IF(P3269="Sí","INCORPORAR",""))</f>
        <v/>
      </c>
    </row>
    <row r="3270" customFormat="false" ht="15" hidden="false" customHeight="false" outlineLevel="0" collapsed="false">
      <c r="A3270" s="16" t="s">
        <v>10520</v>
      </c>
      <c r="B3270" s="16" t="n">
        <v>3265</v>
      </c>
      <c r="C3270" s="16" t="s">
        <v>10521</v>
      </c>
      <c r="D3270" s="16" t="n">
        <v>7</v>
      </c>
      <c r="E3270" s="37" t="s">
        <v>10125</v>
      </c>
      <c r="F3270" s="16" t="s">
        <v>1285</v>
      </c>
      <c r="G3270" s="16" t="s">
        <v>757</v>
      </c>
      <c r="H3270" s="16" t="s">
        <v>2225</v>
      </c>
      <c r="I3270" s="16" t="s">
        <v>68</v>
      </c>
      <c r="J3270" s="16" t="s">
        <v>10119</v>
      </c>
      <c r="K3270" s="32" t="n">
        <v>5</v>
      </c>
      <c r="L3270" s="33" t="n">
        <v>46069</v>
      </c>
      <c r="M3270" s="33" t="n">
        <v>46073</v>
      </c>
      <c r="N3270" s="16" t="s">
        <v>10522</v>
      </c>
      <c r="O3270" s="16"/>
      <c r="P3270" s="16" t="str">
        <f aca="false">IF(AND(L3270&lt;=$D$2,M3270&gt;=$C$2),"Sí","")</f>
        <v/>
      </c>
      <c r="Q3270" s="18" t="str">
        <f aca="false">IF(COUNTIF(LOOKAHEAD!$A$5:$A$604,A3270)&gt;0,"En Lookahead",IF(P3270="Sí","INCORPORAR",""))</f>
        <v/>
      </c>
    </row>
    <row r="3271" customFormat="false" ht="15" hidden="false" customHeight="false" outlineLevel="0" collapsed="false">
      <c r="A3271" s="13" t="s">
        <v>10523</v>
      </c>
      <c r="B3271" s="13" t="n">
        <v>3266</v>
      </c>
      <c r="C3271" s="13" t="s">
        <v>10524</v>
      </c>
      <c r="D3271" s="13" t="n">
        <v>5</v>
      </c>
      <c r="E3271" s="34" t="s">
        <v>10129</v>
      </c>
      <c r="F3271" s="13" t="s">
        <v>1298</v>
      </c>
      <c r="G3271" s="13" t="s">
        <v>757</v>
      </c>
      <c r="H3271" s="13" t="s">
        <v>2225</v>
      </c>
      <c r="I3271" s="13" t="s">
        <v>68</v>
      </c>
      <c r="J3271" s="13" t="s">
        <v>2225</v>
      </c>
      <c r="K3271" s="30" t="n">
        <v>108</v>
      </c>
      <c r="L3271" s="31" t="n">
        <v>46048</v>
      </c>
      <c r="M3271" s="31" t="n">
        <v>46155</v>
      </c>
      <c r="N3271" s="13"/>
      <c r="O3271" s="13"/>
      <c r="P3271" s="13"/>
      <c r="Q3271" s="13"/>
    </row>
    <row r="3272" customFormat="false" ht="15" hidden="false" customHeight="false" outlineLevel="0" collapsed="false">
      <c r="A3272" s="13" t="s">
        <v>10525</v>
      </c>
      <c r="B3272" s="13" t="n">
        <v>3267</v>
      </c>
      <c r="C3272" s="13" t="s">
        <v>10526</v>
      </c>
      <c r="D3272" s="13" t="n">
        <v>6</v>
      </c>
      <c r="E3272" s="36" t="s">
        <v>10035</v>
      </c>
      <c r="F3272" s="13" t="s">
        <v>1298</v>
      </c>
      <c r="G3272" s="13" t="s">
        <v>757</v>
      </c>
      <c r="H3272" s="13" t="s">
        <v>2225</v>
      </c>
      <c r="I3272" s="13" t="s">
        <v>68</v>
      </c>
      <c r="J3272" s="13" t="s">
        <v>10129</v>
      </c>
      <c r="K3272" s="30" t="n">
        <v>1</v>
      </c>
      <c r="L3272" s="31" t="n">
        <v>46048</v>
      </c>
      <c r="M3272" s="31" t="n">
        <v>46048</v>
      </c>
      <c r="N3272" s="13"/>
      <c r="O3272" s="13"/>
      <c r="P3272" s="13"/>
      <c r="Q3272" s="13"/>
    </row>
    <row r="3273" customFormat="false" ht="15" hidden="false" customHeight="false" outlineLevel="0" collapsed="false">
      <c r="A3273" s="16" t="s">
        <v>10527</v>
      </c>
      <c r="B3273" s="16" t="n">
        <v>3268</v>
      </c>
      <c r="C3273" s="16" t="s">
        <v>10528</v>
      </c>
      <c r="D3273" s="16" t="n">
        <v>7</v>
      </c>
      <c r="E3273" s="37" t="s">
        <v>10038</v>
      </c>
      <c r="F3273" s="16" t="s">
        <v>1285</v>
      </c>
      <c r="G3273" s="16" t="s">
        <v>757</v>
      </c>
      <c r="H3273" s="16" t="s">
        <v>2225</v>
      </c>
      <c r="I3273" s="16" t="s">
        <v>68</v>
      </c>
      <c r="J3273" s="16" t="s">
        <v>10035</v>
      </c>
      <c r="K3273" s="32" t="n">
        <v>1</v>
      </c>
      <c r="L3273" s="33" t="n">
        <v>46048</v>
      </c>
      <c r="M3273" s="33" t="n">
        <v>46048</v>
      </c>
      <c r="N3273" s="16" t="s">
        <v>10358</v>
      </c>
      <c r="O3273" s="16"/>
      <c r="P3273" s="16" t="str">
        <f aca="false">IF(AND(L3273&lt;=$D$2,M3273&gt;=$C$2),"Sí","")</f>
        <v/>
      </c>
      <c r="Q3273" s="18" t="str">
        <f aca="false">IF(COUNTIF(LOOKAHEAD!$A$5:$A$604,A3273)&gt;0,"En Lookahead",IF(P3273="Sí","INCORPORAR",""))</f>
        <v/>
      </c>
    </row>
    <row r="3274" customFormat="false" ht="15" hidden="false" customHeight="false" outlineLevel="0" collapsed="false">
      <c r="A3274" s="13" t="s">
        <v>10529</v>
      </c>
      <c r="B3274" s="13" t="n">
        <v>3269</v>
      </c>
      <c r="C3274" s="13" t="s">
        <v>10530</v>
      </c>
      <c r="D3274" s="13" t="n">
        <v>6</v>
      </c>
      <c r="E3274" s="36" t="s">
        <v>1534</v>
      </c>
      <c r="F3274" s="13" t="s">
        <v>1298</v>
      </c>
      <c r="G3274" s="13" t="s">
        <v>757</v>
      </c>
      <c r="H3274" s="13" t="s">
        <v>2225</v>
      </c>
      <c r="I3274" s="13" t="s">
        <v>68</v>
      </c>
      <c r="J3274" s="13" t="s">
        <v>10129</v>
      </c>
      <c r="K3274" s="30" t="n">
        <v>35</v>
      </c>
      <c r="L3274" s="31" t="n">
        <v>46049</v>
      </c>
      <c r="M3274" s="31" t="n">
        <v>46083</v>
      </c>
      <c r="N3274" s="13"/>
      <c r="O3274" s="13"/>
      <c r="P3274" s="13"/>
      <c r="Q3274" s="13"/>
    </row>
    <row r="3275" customFormat="false" ht="15" hidden="false" customHeight="false" outlineLevel="0" collapsed="false">
      <c r="A3275" s="16" t="s">
        <v>10531</v>
      </c>
      <c r="B3275" s="16" t="n">
        <v>3270</v>
      </c>
      <c r="C3275" s="16" t="s">
        <v>10532</v>
      </c>
      <c r="D3275" s="16" t="n">
        <v>7</v>
      </c>
      <c r="E3275" s="37" t="s">
        <v>10043</v>
      </c>
      <c r="F3275" s="16" t="s">
        <v>1285</v>
      </c>
      <c r="G3275" s="16" t="s">
        <v>757</v>
      </c>
      <c r="H3275" s="16" t="s">
        <v>2225</v>
      </c>
      <c r="I3275" s="16" t="s">
        <v>68</v>
      </c>
      <c r="J3275" s="16" t="s">
        <v>1534</v>
      </c>
      <c r="K3275" s="32" t="n">
        <v>24</v>
      </c>
      <c r="L3275" s="33" t="n">
        <v>46049</v>
      </c>
      <c r="M3275" s="33" t="n">
        <v>46072</v>
      </c>
      <c r="N3275" s="16" t="s">
        <v>10533</v>
      </c>
      <c r="O3275" s="16"/>
      <c r="P3275" s="16" t="str">
        <f aca="false">IF(AND(L3275&lt;=$D$2,M3275&gt;=$C$2),"Sí","")</f>
        <v/>
      </c>
      <c r="Q3275" s="18" t="str">
        <f aca="false">IF(COUNTIF(LOOKAHEAD!$A$5:$A$604,A3275)&gt;0,"En Lookahead",IF(P3275="Sí","INCORPORAR",""))</f>
        <v/>
      </c>
    </row>
    <row r="3276" customFormat="false" ht="15" hidden="false" customHeight="false" outlineLevel="0" collapsed="false">
      <c r="A3276" s="16" t="s">
        <v>10534</v>
      </c>
      <c r="B3276" s="16" t="n">
        <v>3271</v>
      </c>
      <c r="C3276" s="16" t="s">
        <v>10535</v>
      </c>
      <c r="D3276" s="16" t="n">
        <v>7</v>
      </c>
      <c r="E3276" s="37" t="s">
        <v>10047</v>
      </c>
      <c r="F3276" s="16" t="s">
        <v>1285</v>
      </c>
      <c r="G3276" s="16" t="s">
        <v>757</v>
      </c>
      <c r="H3276" s="16" t="s">
        <v>2225</v>
      </c>
      <c r="I3276" s="16" t="s">
        <v>68</v>
      </c>
      <c r="J3276" s="16" t="s">
        <v>1534</v>
      </c>
      <c r="K3276" s="32" t="n">
        <v>2</v>
      </c>
      <c r="L3276" s="33" t="n">
        <v>46073</v>
      </c>
      <c r="M3276" s="33" t="n">
        <v>46074</v>
      </c>
      <c r="N3276" s="16" t="s">
        <v>10536</v>
      </c>
      <c r="O3276" s="16"/>
      <c r="P3276" s="16" t="str">
        <f aca="false">IF(AND(L3276&lt;=$D$2,M3276&gt;=$C$2),"Sí","")</f>
        <v/>
      </c>
      <c r="Q3276" s="18" t="str">
        <f aca="false">IF(COUNTIF(LOOKAHEAD!$A$5:$A$604,A3276)&gt;0,"En Lookahead",IF(P3276="Sí","INCORPORAR",""))</f>
        <v/>
      </c>
    </row>
    <row r="3277" customFormat="false" ht="15" hidden="false" customHeight="false" outlineLevel="0" collapsed="false">
      <c r="A3277" s="16" t="s">
        <v>10537</v>
      </c>
      <c r="B3277" s="16" t="n">
        <v>3272</v>
      </c>
      <c r="C3277" s="16" t="s">
        <v>10538</v>
      </c>
      <c r="D3277" s="16" t="n">
        <v>7</v>
      </c>
      <c r="E3277" s="37" t="s">
        <v>10051</v>
      </c>
      <c r="F3277" s="16" t="s">
        <v>1285</v>
      </c>
      <c r="G3277" s="16" t="s">
        <v>757</v>
      </c>
      <c r="H3277" s="16" t="s">
        <v>2225</v>
      </c>
      <c r="I3277" s="16" t="s">
        <v>68</v>
      </c>
      <c r="J3277" s="16" t="s">
        <v>1534</v>
      </c>
      <c r="K3277" s="32" t="n">
        <v>2</v>
      </c>
      <c r="L3277" s="33" t="n">
        <v>46075</v>
      </c>
      <c r="M3277" s="33" t="n">
        <v>46076</v>
      </c>
      <c r="N3277" s="16" t="s">
        <v>10539</v>
      </c>
      <c r="O3277" s="16"/>
      <c r="P3277" s="16" t="str">
        <f aca="false">IF(AND(L3277&lt;=$D$2,M3277&gt;=$C$2),"Sí","")</f>
        <v/>
      </c>
      <c r="Q3277" s="18" t="str">
        <f aca="false">IF(COUNTIF(LOOKAHEAD!$A$5:$A$604,A3277)&gt;0,"En Lookahead",IF(P3277="Sí","INCORPORAR",""))</f>
        <v/>
      </c>
    </row>
    <row r="3278" customFormat="false" ht="15" hidden="false" customHeight="false" outlineLevel="0" collapsed="false">
      <c r="A3278" s="16" t="s">
        <v>10540</v>
      </c>
      <c r="B3278" s="16" t="n">
        <v>3273</v>
      </c>
      <c r="C3278" s="16" t="s">
        <v>10541</v>
      </c>
      <c r="D3278" s="16" t="n">
        <v>7</v>
      </c>
      <c r="E3278" s="37" t="s">
        <v>10055</v>
      </c>
      <c r="F3278" s="16" t="s">
        <v>1285</v>
      </c>
      <c r="G3278" s="16" t="s">
        <v>757</v>
      </c>
      <c r="H3278" s="16" t="s">
        <v>2225</v>
      </c>
      <c r="I3278" s="16" t="s">
        <v>68</v>
      </c>
      <c r="J3278" s="16" t="s">
        <v>1534</v>
      </c>
      <c r="K3278" s="32" t="n">
        <v>3</v>
      </c>
      <c r="L3278" s="33" t="n">
        <v>46077</v>
      </c>
      <c r="M3278" s="33" t="n">
        <v>46079</v>
      </c>
      <c r="N3278" s="16" t="s">
        <v>10542</v>
      </c>
      <c r="O3278" s="16"/>
      <c r="P3278" s="16" t="str">
        <f aca="false">IF(AND(L3278&lt;=$D$2,M3278&gt;=$C$2),"Sí","")</f>
        <v/>
      </c>
      <c r="Q3278" s="18" t="str">
        <f aca="false">IF(COUNTIF(LOOKAHEAD!$A$5:$A$604,A3278)&gt;0,"En Lookahead",IF(P3278="Sí","INCORPORAR",""))</f>
        <v/>
      </c>
    </row>
    <row r="3279" customFormat="false" ht="15" hidden="false" customHeight="false" outlineLevel="0" collapsed="false">
      <c r="A3279" s="16" t="s">
        <v>10543</v>
      </c>
      <c r="B3279" s="16" t="n">
        <v>3274</v>
      </c>
      <c r="C3279" s="16" t="s">
        <v>10544</v>
      </c>
      <c r="D3279" s="16" t="n">
        <v>7</v>
      </c>
      <c r="E3279" s="37" t="s">
        <v>10059</v>
      </c>
      <c r="F3279" s="16" t="s">
        <v>1285</v>
      </c>
      <c r="G3279" s="16" t="s">
        <v>757</v>
      </c>
      <c r="H3279" s="16" t="s">
        <v>2225</v>
      </c>
      <c r="I3279" s="16" t="s">
        <v>68</v>
      </c>
      <c r="J3279" s="16" t="s">
        <v>1534</v>
      </c>
      <c r="K3279" s="32" t="n">
        <v>1</v>
      </c>
      <c r="L3279" s="33" t="n">
        <v>46080</v>
      </c>
      <c r="M3279" s="33" t="n">
        <v>46080</v>
      </c>
      <c r="N3279" s="16" t="s">
        <v>10545</v>
      </c>
      <c r="O3279" s="16"/>
      <c r="P3279" s="16" t="str">
        <f aca="false">IF(AND(L3279&lt;=$D$2,M3279&gt;=$C$2),"Sí","")</f>
        <v/>
      </c>
      <c r="Q3279" s="18" t="str">
        <f aca="false">IF(COUNTIF(LOOKAHEAD!$A$5:$A$604,A3279)&gt;0,"En Lookahead",IF(P3279="Sí","INCORPORAR",""))</f>
        <v/>
      </c>
    </row>
    <row r="3280" customFormat="false" ht="15" hidden="false" customHeight="false" outlineLevel="0" collapsed="false">
      <c r="A3280" s="16" t="s">
        <v>10546</v>
      </c>
      <c r="B3280" s="16" t="n">
        <v>3275</v>
      </c>
      <c r="C3280" s="16" t="s">
        <v>10547</v>
      </c>
      <c r="D3280" s="16" t="n">
        <v>7</v>
      </c>
      <c r="E3280" s="37" t="s">
        <v>10063</v>
      </c>
      <c r="F3280" s="16" t="s">
        <v>1285</v>
      </c>
      <c r="G3280" s="16" t="s">
        <v>757</v>
      </c>
      <c r="H3280" s="16" t="s">
        <v>2225</v>
      </c>
      <c r="I3280" s="16" t="s">
        <v>68</v>
      </c>
      <c r="J3280" s="16" t="s">
        <v>1534</v>
      </c>
      <c r="K3280" s="32" t="n">
        <v>1</v>
      </c>
      <c r="L3280" s="33" t="n">
        <v>46081</v>
      </c>
      <c r="M3280" s="33" t="n">
        <v>46081</v>
      </c>
      <c r="N3280" s="16" t="s">
        <v>10548</v>
      </c>
      <c r="O3280" s="16"/>
      <c r="P3280" s="16" t="str">
        <f aca="false">IF(AND(L3280&lt;=$D$2,M3280&gt;=$C$2),"Sí","")</f>
        <v/>
      </c>
      <c r="Q3280" s="18" t="str">
        <f aca="false">IF(COUNTIF(LOOKAHEAD!$A$5:$A$604,A3280)&gt;0,"En Lookahead",IF(P3280="Sí","INCORPORAR",""))</f>
        <v/>
      </c>
    </row>
    <row r="3281" customFormat="false" ht="15" hidden="false" customHeight="false" outlineLevel="0" collapsed="false">
      <c r="A3281" s="16" t="s">
        <v>10549</v>
      </c>
      <c r="B3281" s="16" t="n">
        <v>3276</v>
      </c>
      <c r="C3281" s="16" t="s">
        <v>10550</v>
      </c>
      <c r="D3281" s="16" t="n">
        <v>7</v>
      </c>
      <c r="E3281" s="37" t="s">
        <v>1557</v>
      </c>
      <c r="F3281" s="16" t="s">
        <v>1285</v>
      </c>
      <c r="G3281" s="16" t="s">
        <v>757</v>
      </c>
      <c r="H3281" s="16" t="s">
        <v>2225</v>
      </c>
      <c r="I3281" s="16" t="s">
        <v>68</v>
      </c>
      <c r="J3281" s="16" t="s">
        <v>1534</v>
      </c>
      <c r="K3281" s="32" t="n">
        <v>1</v>
      </c>
      <c r="L3281" s="33" t="n">
        <v>46082</v>
      </c>
      <c r="M3281" s="33" t="n">
        <v>46082</v>
      </c>
      <c r="N3281" s="16" t="s">
        <v>10551</v>
      </c>
      <c r="O3281" s="16"/>
      <c r="P3281" s="16" t="str">
        <f aca="false">IF(AND(L3281&lt;=$D$2,M3281&gt;=$C$2),"Sí","")</f>
        <v/>
      </c>
      <c r="Q3281" s="18" t="str">
        <f aca="false">IF(COUNTIF(LOOKAHEAD!$A$5:$A$604,A3281)&gt;0,"En Lookahead",IF(P3281="Sí","INCORPORAR",""))</f>
        <v/>
      </c>
    </row>
    <row r="3282" customFormat="false" ht="15" hidden="false" customHeight="false" outlineLevel="0" collapsed="false">
      <c r="A3282" s="16" t="s">
        <v>10552</v>
      </c>
      <c r="B3282" s="16" t="n">
        <v>3277</v>
      </c>
      <c r="C3282" s="16" t="s">
        <v>10553</v>
      </c>
      <c r="D3282" s="16" t="n">
        <v>7</v>
      </c>
      <c r="E3282" s="37" t="s">
        <v>10069</v>
      </c>
      <c r="F3282" s="16" t="s">
        <v>1285</v>
      </c>
      <c r="G3282" s="16" t="s">
        <v>757</v>
      </c>
      <c r="H3282" s="16" t="s">
        <v>2225</v>
      </c>
      <c r="I3282" s="16" t="s">
        <v>68</v>
      </c>
      <c r="J3282" s="16" t="s">
        <v>1534</v>
      </c>
      <c r="K3282" s="32" t="n">
        <v>1</v>
      </c>
      <c r="L3282" s="33" t="n">
        <v>46083</v>
      </c>
      <c r="M3282" s="33" t="n">
        <v>46083</v>
      </c>
      <c r="N3282" s="16" t="s">
        <v>10554</v>
      </c>
      <c r="O3282" s="16"/>
      <c r="P3282" s="16" t="str">
        <f aca="false">IF(AND(L3282&lt;=$D$2,M3282&gt;=$C$2),"Sí","")</f>
        <v/>
      </c>
      <c r="Q3282" s="18" t="str">
        <f aca="false">IF(COUNTIF(LOOKAHEAD!$A$5:$A$604,A3282)&gt;0,"En Lookahead",IF(P3282="Sí","INCORPORAR",""))</f>
        <v/>
      </c>
    </row>
    <row r="3283" customFormat="false" ht="15" hidden="false" customHeight="false" outlineLevel="0" collapsed="false">
      <c r="A3283" s="13" t="s">
        <v>10555</v>
      </c>
      <c r="B3283" s="13" t="n">
        <v>3278</v>
      </c>
      <c r="C3283" s="13" t="s">
        <v>10556</v>
      </c>
      <c r="D3283" s="13" t="n">
        <v>6</v>
      </c>
      <c r="E3283" s="36" t="s">
        <v>10162</v>
      </c>
      <c r="F3283" s="13" t="s">
        <v>1298</v>
      </c>
      <c r="G3283" s="13" t="s">
        <v>757</v>
      </c>
      <c r="H3283" s="13" t="s">
        <v>2225</v>
      </c>
      <c r="I3283" s="13" t="s">
        <v>68</v>
      </c>
      <c r="J3283" s="13" t="s">
        <v>10129</v>
      </c>
      <c r="K3283" s="30" t="n">
        <v>14</v>
      </c>
      <c r="L3283" s="31" t="n">
        <v>46084</v>
      </c>
      <c r="M3283" s="31" t="n">
        <v>46097</v>
      </c>
      <c r="N3283" s="13"/>
      <c r="O3283" s="13"/>
      <c r="P3283" s="13"/>
      <c r="Q3283" s="13"/>
    </row>
    <row r="3284" customFormat="false" ht="15" hidden="false" customHeight="false" outlineLevel="0" collapsed="false">
      <c r="A3284" s="16" t="s">
        <v>10557</v>
      </c>
      <c r="B3284" s="16" t="n">
        <v>3279</v>
      </c>
      <c r="C3284" s="16" t="s">
        <v>10558</v>
      </c>
      <c r="D3284" s="16" t="n">
        <v>7</v>
      </c>
      <c r="E3284" s="37" t="s">
        <v>10165</v>
      </c>
      <c r="F3284" s="16" t="s">
        <v>1285</v>
      </c>
      <c r="G3284" s="16" t="s">
        <v>757</v>
      </c>
      <c r="H3284" s="16" t="s">
        <v>2225</v>
      </c>
      <c r="I3284" s="16" t="s">
        <v>68</v>
      </c>
      <c r="J3284" s="16" t="s">
        <v>10162</v>
      </c>
      <c r="K3284" s="32" t="n">
        <v>6</v>
      </c>
      <c r="L3284" s="33" t="n">
        <v>46084</v>
      </c>
      <c r="M3284" s="33" t="n">
        <v>46089</v>
      </c>
      <c r="N3284" s="16" t="s">
        <v>10559</v>
      </c>
      <c r="O3284" s="16"/>
      <c r="P3284" s="16" t="str">
        <f aca="false">IF(AND(L3284&lt;=$D$2,M3284&gt;=$C$2),"Sí","")</f>
        <v/>
      </c>
      <c r="Q3284" s="18" t="str">
        <f aca="false">IF(COUNTIF(LOOKAHEAD!$A$5:$A$604,A3284)&gt;0,"En Lookahead",IF(P3284="Sí","INCORPORAR",""))</f>
        <v/>
      </c>
    </row>
    <row r="3285" customFormat="false" ht="15" hidden="false" customHeight="false" outlineLevel="0" collapsed="false">
      <c r="A3285" s="16" t="s">
        <v>10560</v>
      </c>
      <c r="B3285" s="16" t="n">
        <v>3280</v>
      </c>
      <c r="C3285" s="16" t="s">
        <v>10561</v>
      </c>
      <c r="D3285" s="16" t="n">
        <v>7</v>
      </c>
      <c r="E3285" s="37" t="s">
        <v>10169</v>
      </c>
      <c r="F3285" s="16" t="s">
        <v>1285</v>
      </c>
      <c r="G3285" s="16" t="s">
        <v>757</v>
      </c>
      <c r="H3285" s="16" t="s">
        <v>2225</v>
      </c>
      <c r="I3285" s="16" t="s">
        <v>68</v>
      </c>
      <c r="J3285" s="16" t="s">
        <v>10162</v>
      </c>
      <c r="K3285" s="32" t="n">
        <v>8</v>
      </c>
      <c r="L3285" s="33" t="n">
        <v>46090</v>
      </c>
      <c r="M3285" s="33" t="n">
        <v>46097</v>
      </c>
      <c r="N3285" s="16" t="s">
        <v>10562</v>
      </c>
      <c r="O3285" s="16"/>
      <c r="P3285" s="16" t="str">
        <f aca="false">IF(AND(L3285&lt;=$D$2,M3285&gt;=$C$2),"Sí","")</f>
        <v/>
      </c>
      <c r="Q3285" s="18" t="str">
        <f aca="false">IF(COUNTIF(LOOKAHEAD!$A$5:$A$604,A3285)&gt;0,"En Lookahead",IF(P3285="Sí","INCORPORAR",""))</f>
        <v/>
      </c>
    </row>
    <row r="3286" customFormat="false" ht="15" hidden="false" customHeight="false" outlineLevel="0" collapsed="false">
      <c r="A3286" s="13" t="s">
        <v>10563</v>
      </c>
      <c r="B3286" s="13" t="n">
        <v>3281</v>
      </c>
      <c r="C3286" s="13" t="s">
        <v>10564</v>
      </c>
      <c r="D3286" s="13" t="n">
        <v>6</v>
      </c>
      <c r="E3286" s="36" t="s">
        <v>10173</v>
      </c>
      <c r="F3286" s="13" t="s">
        <v>1298</v>
      </c>
      <c r="G3286" s="13" t="s">
        <v>757</v>
      </c>
      <c r="H3286" s="13" t="s">
        <v>2225</v>
      </c>
      <c r="I3286" s="13" t="s">
        <v>68</v>
      </c>
      <c r="J3286" s="13" t="s">
        <v>10129</v>
      </c>
      <c r="K3286" s="30" t="n">
        <v>27</v>
      </c>
      <c r="L3286" s="31" t="n">
        <v>46098</v>
      </c>
      <c r="M3286" s="31" t="n">
        <v>46124</v>
      </c>
      <c r="N3286" s="13"/>
      <c r="O3286" s="13"/>
      <c r="P3286" s="13"/>
      <c r="Q3286" s="13"/>
    </row>
    <row r="3287" customFormat="false" ht="15" hidden="false" customHeight="false" outlineLevel="0" collapsed="false">
      <c r="A3287" s="16" t="s">
        <v>10565</v>
      </c>
      <c r="B3287" s="16" t="n">
        <v>3282</v>
      </c>
      <c r="C3287" s="16" t="s">
        <v>10566</v>
      </c>
      <c r="D3287" s="16" t="n">
        <v>7</v>
      </c>
      <c r="E3287" s="37" t="s">
        <v>10176</v>
      </c>
      <c r="F3287" s="16" t="s">
        <v>1285</v>
      </c>
      <c r="G3287" s="16" t="s">
        <v>757</v>
      </c>
      <c r="H3287" s="16" t="s">
        <v>2225</v>
      </c>
      <c r="I3287" s="16" t="s">
        <v>68</v>
      </c>
      <c r="J3287" s="16" t="s">
        <v>10173</v>
      </c>
      <c r="K3287" s="32" t="n">
        <v>7</v>
      </c>
      <c r="L3287" s="33" t="n">
        <v>46098</v>
      </c>
      <c r="M3287" s="33" t="n">
        <v>46104</v>
      </c>
      <c r="N3287" s="16" t="s">
        <v>10567</v>
      </c>
      <c r="O3287" s="16"/>
      <c r="P3287" s="16" t="str">
        <f aca="false">IF(AND(L3287&lt;=$D$2,M3287&gt;=$C$2),"Sí","")</f>
        <v/>
      </c>
      <c r="Q3287" s="18" t="str">
        <f aca="false">IF(COUNTIF(LOOKAHEAD!$A$5:$A$604,A3287)&gt;0,"En Lookahead",IF(P3287="Sí","INCORPORAR",""))</f>
        <v/>
      </c>
    </row>
    <row r="3288" customFormat="false" ht="15" hidden="false" customHeight="false" outlineLevel="0" collapsed="false">
      <c r="A3288" s="16" t="s">
        <v>10568</v>
      </c>
      <c r="B3288" s="16" t="n">
        <v>3283</v>
      </c>
      <c r="C3288" s="16" t="s">
        <v>10569</v>
      </c>
      <c r="D3288" s="16" t="n">
        <v>7</v>
      </c>
      <c r="E3288" s="37" t="s">
        <v>10570</v>
      </c>
      <c r="F3288" s="16" t="s">
        <v>1285</v>
      </c>
      <c r="G3288" s="16" t="s">
        <v>757</v>
      </c>
      <c r="H3288" s="16" t="s">
        <v>2225</v>
      </c>
      <c r="I3288" s="16" t="s">
        <v>68</v>
      </c>
      <c r="J3288" s="16" t="s">
        <v>10173</v>
      </c>
      <c r="K3288" s="32" t="n">
        <v>2</v>
      </c>
      <c r="L3288" s="33" t="n">
        <v>46105</v>
      </c>
      <c r="M3288" s="33" t="n">
        <v>46106</v>
      </c>
      <c r="N3288" s="16" t="s">
        <v>10571</v>
      </c>
      <c r="O3288" s="16"/>
      <c r="P3288" s="16" t="str">
        <f aca="false">IF(AND(L3288&lt;=$D$2,M3288&gt;=$C$2),"Sí","")</f>
        <v/>
      </c>
      <c r="Q3288" s="18" t="str">
        <f aca="false">IF(COUNTIF(LOOKAHEAD!$A$5:$A$604,A3288)&gt;0,"En Lookahead",IF(P3288="Sí","INCORPORAR",""))</f>
        <v/>
      </c>
    </row>
    <row r="3289" customFormat="false" ht="15" hidden="false" customHeight="false" outlineLevel="0" collapsed="false">
      <c r="A3289" s="16" t="s">
        <v>10572</v>
      </c>
      <c r="B3289" s="16" t="n">
        <v>3284</v>
      </c>
      <c r="C3289" s="16" t="s">
        <v>10573</v>
      </c>
      <c r="D3289" s="16" t="n">
        <v>7</v>
      </c>
      <c r="E3289" s="37" t="s">
        <v>10075</v>
      </c>
      <c r="F3289" s="16" t="s">
        <v>1285</v>
      </c>
      <c r="G3289" s="16" t="s">
        <v>757</v>
      </c>
      <c r="H3289" s="16" t="s">
        <v>2225</v>
      </c>
      <c r="I3289" s="16" t="s">
        <v>68</v>
      </c>
      <c r="J3289" s="16" t="s">
        <v>10173</v>
      </c>
      <c r="K3289" s="32" t="n">
        <v>4</v>
      </c>
      <c r="L3289" s="33" t="n">
        <v>46107</v>
      </c>
      <c r="M3289" s="33" t="n">
        <v>46110</v>
      </c>
      <c r="N3289" s="16" t="s">
        <v>10574</v>
      </c>
      <c r="O3289" s="16"/>
      <c r="P3289" s="16" t="str">
        <f aca="false">IF(AND(L3289&lt;=$D$2,M3289&gt;=$C$2),"Sí","")</f>
        <v/>
      </c>
      <c r="Q3289" s="18" t="str">
        <f aca="false">IF(COUNTIF(LOOKAHEAD!$A$5:$A$604,A3289)&gt;0,"En Lookahead",IF(P3289="Sí","INCORPORAR",""))</f>
        <v/>
      </c>
    </row>
    <row r="3290" customFormat="false" ht="15" hidden="false" customHeight="false" outlineLevel="0" collapsed="false">
      <c r="A3290" s="16" t="s">
        <v>10575</v>
      </c>
      <c r="B3290" s="16" t="n">
        <v>3285</v>
      </c>
      <c r="C3290" s="16" t="s">
        <v>10576</v>
      </c>
      <c r="D3290" s="16" t="n">
        <v>7</v>
      </c>
      <c r="E3290" s="37" t="s">
        <v>10182</v>
      </c>
      <c r="F3290" s="16" t="s">
        <v>1285</v>
      </c>
      <c r="G3290" s="16" t="s">
        <v>757</v>
      </c>
      <c r="H3290" s="16" t="s">
        <v>2225</v>
      </c>
      <c r="I3290" s="16" t="s">
        <v>68</v>
      </c>
      <c r="J3290" s="16" t="s">
        <v>10173</v>
      </c>
      <c r="K3290" s="32" t="n">
        <v>2</v>
      </c>
      <c r="L3290" s="33" t="n">
        <v>46123</v>
      </c>
      <c r="M3290" s="33" t="n">
        <v>46124</v>
      </c>
      <c r="N3290" s="16" t="s">
        <v>10577</v>
      </c>
      <c r="O3290" s="16"/>
      <c r="P3290" s="16" t="str">
        <f aca="false">IF(AND(L3290&lt;=$D$2,M3290&gt;=$C$2),"Sí","")</f>
        <v/>
      </c>
      <c r="Q3290" s="18" t="str">
        <f aca="false">IF(COUNTIF(LOOKAHEAD!$A$5:$A$604,A3290)&gt;0,"En Lookahead",IF(P3290="Sí","INCORPORAR",""))</f>
        <v/>
      </c>
    </row>
    <row r="3291" customFormat="false" ht="15" hidden="false" customHeight="false" outlineLevel="0" collapsed="false">
      <c r="A3291" s="13" t="s">
        <v>10578</v>
      </c>
      <c r="B3291" s="13" t="n">
        <v>3286</v>
      </c>
      <c r="C3291" s="13" t="s">
        <v>10579</v>
      </c>
      <c r="D3291" s="13" t="n">
        <v>6</v>
      </c>
      <c r="E3291" s="36" t="s">
        <v>10079</v>
      </c>
      <c r="F3291" s="13" t="s">
        <v>1298</v>
      </c>
      <c r="G3291" s="13" t="s">
        <v>757</v>
      </c>
      <c r="H3291" s="13" t="s">
        <v>2225</v>
      </c>
      <c r="I3291" s="13" t="s">
        <v>68</v>
      </c>
      <c r="J3291" s="13" t="s">
        <v>10129</v>
      </c>
      <c r="K3291" s="30" t="n">
        <v>51</v>
      </c>
      <c r="L3291" s="31" t="n">
        <v>46105</v>
      </c>
      <c r="M3291" s="31" t="n">
        <v>46155</v>
      </c>
      <c r="N3291" s="13"/>
      <c r="O3291" s="13"/>
      <c r="P3291" s="13"/>
      <c r="Q3291" s="13"/>
    </row>
    <row r="3292" customFormat="false" ht="15" hidden="false" customHeight="false" outlineLevel="0" collapsed="false">
      <c r="A3292" s="16" t="s">
        <v>10580</v>
      </c>
      <c r="B3292" s="16" t="n">
        <v>3287</v>
      </c>
      <c r="C3292" s="16" t="s">
        <v>10581</v>
      </c>
      <c r="D3292" s="16" t="n">
        <v>7</v>
      </c>
      <c r="E3292" s="37" t="s">
        <v>10187</v>
      </c>
      <c r="F3292" s="16" t="s">
        <v>1285</v>
      </c>
      <c r="G3292" s="16" t="s">
        <v>757</v>
      </c>
      <c r="H3292" s="16" t="s">
        <v>2225</v>
      </c>
      <c r="I3292" s="16" t="s">
        <v>68</v>
      </c>
      <c r="J3292" s="16" t="s">
        <v>10079</v>
      </c>
      <c r="K3292" s="32" t="n">
        <v>1</v>
      </c>
      <c r="L3292" s="33" t="n">
        <v>46105</v>
      </c>
      <c r="M3292" s="33" t="n">
        <v>46105</v>
      </c>
      <c r="N3292" s="16" t="s">
        <v>10571</v>
      </c>
      <c r="O3292" s="16"/>
      <c r="P3292" s="16" t="str">
        <f aca="false">IF(AND(L3292&lt;=$D$2,M3292&gt;=$C$2),"Sí","")</f>
        <v/>
      </c>
      <c r="Q3292" s="18" t="str">
        <f aca="false">IF(COUNTIF(LOOKAHEAD!$A$5:$A$604,A3292)&gt;0,"En Lookahead",IF(P3292="Sí","INCORPORAR",""))</f>
        <v/>
      </c>
    </row>
    <row r="3293" customFormat="false" ht="15" hidden="false" customHeight="false" outlineLevel="0" collapsed="false">
      <c r="A3293" s="16" t="s">
        <v>10582</v>
      </c>
      <c r="B3293" s="16" t="n">
        <v>3288</v>
      </c>
      <c r="C3293" s="16" t="s">
        <v>10583</v>
      </c>
      <c r="D3293" s="16" t="n">
        <v>7</v>
      </c>
      <c r="E3293" s="37" t="s">
        <v>10584</v>
      </c>
      <c r="F3293" s="16" t="s">
        <v>1285</v>
      </c>
      <c r="G3293" s="16" t="s">
        <v>757</v>
      </c>
      <c r="H3293" s="16" t="s">
        <v>2225</v>
      </c>
      <c r="I3293" s="16" t="s">
        <v>68</v>
      </c>
      <c r="J3293" s="16" t="s">
        <v>10079</v>
      </c>
      <c r="K3293" s="32" t="n">
        <v>1</v>
      </c>
      <c r="L3293" s="33" t="n">
        <v>46106</v>
      </c>
      <c r="M3293" s="33" t="n">
        <v>46106</v>
      </c>
      <c r="N3293" s="16" t="s">
        <v>10585</v>
      </c>
      <c r="O3293" s="16"/>
      <c r="P3293" s="16" t="str">
        <f aca="false">IF(AND(L3293&lt;=$D$2,M3293&gt;=$C$2),"Sí","")</f>
        <v/>
      </c>
      <c r="Q3293" s="18" t="str">
        <f aca="false">IF(COUNTIF(LOOKAHEAD!$A$5:$A$604,A3293)&gt;0,"En Lookahead",IF(P3293="Sí","INCORPORAR",""))</f>
        <v/>
      </c>
    </row>
    <row r="3294" customFormat="false" ht="15" hidden="false" customHeight="false" outlineLevel="0" collapsed="false">
      <c r="A3294" s="16" t="s">
        <v>10586</v>
      </c>
      <c r="B3294" s="16" t="n">
        <v>3289</v>
      </c>
      <c r="C3294" s="16" t="s">
        <v>10587</v>
      </c>
      <c r="D3294" s="16" t="n">
        <v>7</v>
      </c>
      <c r="E3294" s="37" t="s">
        <v>10190</v>
      </c>
      <c r="F3294" s="16" t="s">
        <v>1285</v>
      </c>
      <c r="G3294" s="16" t="s">
        <v>757</v>
      </c>
      <c r="H3294" s="16" t="s">
        <v>2225</v>
      </c>
      <c r="I3294" s="16" t="s">
        <v>68</v>
      </c>
      <c r="J3294" s="16" t="s">
        <v>10079</v>
      </c>
      <c r="K3294" s="32" t="n">
        <v>1</v>
      </c>
      <c r="L3294" s="33" t="n">
        <v>46107</v>
      </c>
      <c r="M3294" s="33" t="n">
        <v>46107</v>
      </c>
      <c r="N3294" s="16" t="s">
        <v>10588</v>
      </c>
      <c r="O3294" s="16"/>
      <c r="P3294" s="16" t="str">
        <f aca="false">IF(AND(L3294&lt;=$D$2,M3294&gt;=$C$2),"Sí","")</f>
        <v/>
      </c>
      <c r="Q3294" s="18" t="str">
        <f aca="false">IF(COUNTIF(LOOKAHEAD!$A$5:$A$604,A3294)&gt;0,"En Lookahead",IF(P3294="Sí","INCORPORAR",""))</f>
        <v/>
      </c>
    </row>
    <row r="3295" customFormat="false" ht="15" hidden="false" customHeight="false" outlineLevel="0" collapsed="false">
      <c r="A3295" s="16" t="s">
        <v>10589</v>
      </c>
      <c r="B3295" s="16" t="n">
        <v>3290</v>
      </c>
      <c r="C3295" s="16" t="s">
        <v>10590</v>
      </c>
      <c r="D3295" s="16" t="n">
        <v>7</v>
      </c>
      <c r="E3295" s="37" t="s">
        <v>10591</v>
      </c>
      <c r="F3295" s="16" t="s">
        <v>1285</v>
      </c>
      <c r="G3295" s="16" t="s">
        <v>757</v>
      </c>
      <c r="H3295" s="16" t="s">
        <v>2225</v>
      </c>
      <c r="I3295" s="16" t="s">
        <v>68</v>
      </c>
      <c r="J3295" s="16" t="s">
        <v>10079</v>
      </c>
      <c r="K3295" s="32" t="n">
        <v>1</v>
      </c>
      <c r="L3295" s="33" t="n">
        <v>46108</v>
      </c>
      <c r="M3295" s="33" t="n">
        <v>46108</v>
      </c>
      <c r="N3295" s="16" t="s">
        <v>10592</v>
      </c>
      <c r="O3295" s="16"/>
      <c r="P3295" s="16" t="str">
        <f aca="false">IF(AND(L3295&lt;=$D$2,M3295&gt;=$C$2),"Sí","")</f>
        <v/>
      </c>
      <c r="Q3295" s="18" t="str">
        <f aca="false">IF(COUNTIF(LOOKAHEAD!$A$5:$A$604,A3295)&gt;0,"En Lookahead",IF(P3295="Sí","INCORPORAR",""))</f>
        <v/>
      </c>
    </row>
    <row r="3296" customFormat="false" ht="15" hidden="false" customHeight="false" outlineLevel="0" collapsed="false">
      <c r="A3296" s="16" t="s">
        <v>10593</v>
      </c>
      <c r="B3296" s="16" t="n">
        <v>3291</v>
      </c>
      <c r="C3296" s="16" t="s">
        <v>10594</v>
      </c>
      <c r="D3296" s="16" t="n">
        <v>7</v>
      </c>
      <c r="E3296" s="37" t="s">
        <v>10595</v>
      </c>
      <c r="F3296" s="16" t="s">
        <v>1285</v>
      </c>
      <c r="G3296" s="16" t="s">
        <v>757</v>
      </c>
      <c r="H3296" s="16" t="s">
        <v>2225</v>
      </c>
      <c r="I3296" s="16" t="s">
        <v>68</v>
      </c>
      <c r="J3296" s="16" t="s">
        <v>10079</v>
      </c>
      <c r="K3296" s="32" t="n">
        <v>1</v>
      </c>
      <c r="L3296" s="33" t="n">
        <v>46109</v>
      </c>
      <c r="M3296" s="33" t="n">
        <v>46109</v>
      </c>
      <c r="N3296" s="16" t="s">
        <v>10596</v>
      </c>
      <c r="O3296" s="16"/>
      <c r="P3296" s="16" t="str">
        <f aca="false">IF(AND(L3296&lt;=$D$2,M3296&gt;=$C$2),"Sí","")</f>
        <v/>
      </c>
      <c r="Q3296" s="18" t="str">
        <f aca="false">IF(COUNTIF(LOOKAHEAD!$A$5:$A$604,A3296)&gt;0,"En Lookahead",IF(P3296="Sí","INCORPORAR",""))</f>
        <v/>
      </c>
    </row>
    <row r="3297" customFormat="false" ht="15" hidden="false" customHeight="false" outlineLevel="0" collapsed="false">
      <c r="A3297" s="16" t="s">
        <v>10597</v>
      </c>
      <c r="B3297" s="16" t="n">
        <v>3292</v>
      </c>
      <c r="C3297" s="16" t="s">
        <v>10598</v>
      </c>
      <c r="D3297" s="16" t="n">
        <v>7</v>
      </c>
      <c r="E3297" s="37" t="s">
        <v>10082</v>
      </c>
      <c r="F3297" s="16" t="s">
        <v>1285</v>
      </c>
      <c r="G3297" s="16" t="s">
        <v>757</v>
      </c>
      <c r="H3297" s="16" t="s">
        <v>2225</v>
      </c>
      <c r="I3297" s="16" t="s">
        <v>68</v>
      </c>
      <c r="J3297" s="16" t="s">
        <v>10079</v>
      </c>
      <c r="K3297" s="32" t="n">
        <v>1</v>
      </c>
      <c r="L3297" s="33" t="n">
        <v>46110</v>
      </c>
      <c r="M3297" s="33" t="n">
        <v>46110</v>
      </c>
      <c r="N3297" s="16" t="s">
        <v>10599</v>
      </c>
      <c r="O3297" s="16"/>
      <c r="P3297" s="16" t="str">
        <f aca="false">IF(AND(L3297&lt;=$D$2,M3297&gt;=$C$2),"Sí","")</f>
        <v/>
      </c>
      <c r="Q3297" s="18" t="str">
        <f aca="false">IF(COUNTIF(LOOKAHEAD!$A$5:$A$604,A3297)&gt;0,"En Lookahead",IF(P3297="Sí","INCORPORAR",""))</f>
        <v/>
      </c>
    </row>
    <row r="3298" customFormat="false" ht="15" hidden="false" customHeight="false" outlineLevel="0" collapsed="false">
      <c r="A3298" s="16" t="s">
        <v>10600</v>
      </c>
      <c r="B3298" s="16" t="n">
        <v>3293</v>
      </c>
      <c r="C3298" s="16" t="s">
        <v>10601</v>
      </c>
      <c r="D3298" s="16" t="n">
        <v>7</v>
      </c>
      <c r="E3298" s="37" t="s">
        <v>10194</v>
      </c>
      <c r="F3298" s="16" t="s">
        <v>1285</v>
      </c>
      <c r="G3298" s="16" t="s">
        <v>757</v>
      </c>
      <c r="H3298" s="16" t="s">
        <v>2225</v>
      </c>
      <c r="I3298" s="16" t="s">
        <v>68</v>
      </c>
      <c r="J3298" s="16" t="s">
        <v>10079</v>
      </c>
      <c r="K3298" s="32" t="n">
        <v>1</v>
      </c>
      <c r="L3298" s="33" t="n">
        <v>46111</v>
      </c>
      <c r="M3298" s="33" t="n">
        <v>46111</v>
      </c>
      <c r="N3298" s="16" t="s">
        <v>10602</v>
      </c>
      <c r="O3298" s="16"/>
      <c r="P3298" s="16" t="str">
        <f aca="false">IF(AND(L3298&lt;=$D$2,M3298&gt;=$C$2),"Sí","")</f>
        <v/>
      </c>
      <c r="Q3298" s="18" t="str">
        <f aca="false">IF(COUNTIF(LOOKAHEAD!$A$5:$A$604,A3298)&gt;0,"En Lookahead",IF(P3298="Sí","INCORPORAR",""))</f>
        <v/>
      </c>
    </row>
    <row r="3299" customFormat="false" ht="15" hidden="false" customHeight="false" outlineLevel="0" collapsed="false">
      <c r="A3299" s="16" t="s">
        <v>10603</v>
      </c>
      <c r="B3299" s="16" t="n">
        <v>3294</v>
      </c>
      <c r="C3299" s="16" t="s">
        <v>10604</v>
      </c>
      <c r="D3299" s="16" t="n">
        <v>7</v>
      </c>
      <c r="E3299" s="37" t="s">
        <v>10605</v>
      </c>
      <c r="F3299" s="16" t="s">
        <v>1285</v>
      </c>
      <c r="G3299" s="16" t="s">
        <v>757</v>
      </c>
      <c r="H3299" s="16" t="s">
        <v>2225</v>
      </c>
      <c r="I3299" s="16" t="s">
        <v>68</v>
      </c>
      <c r="J3299" s="16" t="s">
        <v>10079</v>
      </c>
      <c r="K3299" s="32" t="n">
        <v>1</v>
      </c>
      <c r="L3299" s="33" t="n">
        <v>46112</v>
      </c>
      <c r="M3299" s="33" t="n">
        <v>46112</v>
      </c>
      <c r="N3299" s="16" t="s">
        <v>10606</v>
      </c>
      <c r="O3299" s="16"/>
      <c r="P3299" s="16" t="str">
        <f aca="false">IF(AND(L3299&lt;=$D$2,M3299&gt;=$C$2),"Sí","")</f>
        <v/>
      </c>
      <c r="Q3299" s="18" t="str">
        <f aca="false">IF(COUNTIF(LOOKAHEAD!$A$5:$A$604,A3299)&gt;0,"En Lookahead",IF(P3299="Sí","INCORPORAR",""))</f>
        <v/>
      </c>
    </row>
    <row r="3300" customFormat="false" ht="15" hidden="false" customHeight="false" outlineLevel="0" collapsed="false">
      <c r="A3300" s="16" t="s">
        <v>10607</v>
      </c>
      <c r="B3300" s="16" t="n">
        <v>3295</v>
      </c>
      <c r="C3300" s="16" t="s">
        <v>10608</v>
      </c>
      <c r="D3300" s="16" t="n">
        <v>7</v>
      </c>
      <c r="E3300" s="37" t="s">
        <v>10090</v>
      </c>
      <c r="F3300" s="16" t="s">
        <v>1285</v>
      </c>
      <c r="G3300" s="16" t="s">
        <v>757</v>
      </c>
      <c r="H3300" s="16" t="s">
        <v>2225</v>
      </c>
      <c r="I3300" s="16" t="s">
        <v>68</v>
      </c>
      <c r="J3300" s="16" t="s">
        <v>10079</v>
      </c>
      <c r="K3300" s="32" t="n">
        <v>1</v>
      </c>
      <c r="L3300" s="33" t="n">
        <v>46113</v>
      </c>
      <c r="M3300" s="33" t="n">
        <v>46113</v>
      </c>
      <c r="N3300" s="16" t="s">
        <v>10609</v>
      </c>
      <c r="O3300" s="16"/>
      <c r="P3300" s="16" t="str">
        <f aca="false">IF(AND(L3300&lt;=$D$2,M3300&gt;=$C$2),"Sí","")</f>
        <v/>
      </c>
      <c r="Q3300" s="18" t="str">
        <f aca="false">IF(COUNTIF(LOOKAHEAD!$A$5:$A$604,A3300)&gt;0,"En Lookahead",IF(P3300="Sí","INCORPORAR",""))</f>
        <v/>
      </c>
    </row>
    <row r="3301" customFormat="false" ht="15" hidden="false" customHeight="false" outlineLevel="0" collapsed="false">
      <c r="A3301" s="16" t="s">
        <v>10610</v>
      </c>
      <c r="B3301" s="16" t="n">
        <v>3296</v>
      </c>
      <c r="C3301" s="16" t="s">
        <v>10611</v>
      </c>
      <c r="D3301" s="16" t="n">
        <v>7</v>
      </c>
      <c r="E3301" s="37" t="s">
        <v>10201</v>
      </c>
      <c r="F3301" s="16" t="s">
        <v>1285</v>
      </c>
      <c r="G3301" s="16" t="s">
        <v>757</v>
      </c>
      <c r="H3301" s="16" t="s">
        <v>2225</v>
      </c>
      <c r="I3301" s="16" t="s">
        <v>68</v>
      </c>
      <c r="J3301" s="16" t="s">
        <v>10079</v>
      </c>
      <c r="K3301" s="32" t="n">
        <v>1</v>
      </c>
      <c r="L3301" s="33" t="n">
        <v>46114</v>
      </c>
      <c r="M3301" s="33" t="n">
        <v>46114</v>
      </c>
      <c r="N3301" s="16" t="s">
        <v>10612</v>
      </c>
      <c r="O3301" s="16"/>
      <c r="P3301" s="16" t="str">
        <f aca="false">IF(AND(L3301&lt;=$D$2,M3301&gt;=$C$2),"Sí","")</f>
        <v/>
      </c>
      <c r="Q3301" s="18" t="str">
        <f aca="false">IF(COUNTIF(LOOKAHEAD!$A$5:$A$604,A3301)&gt;0,"En Lookahead",IF(P3301="Sí","INCORPORAR",""))</f>
        <v/>
      </c>
    </row>
    <row r="3302" customFormat="false" ht="15" hidden="false" customHeight="false" outlineLevel="0" collapsed="false">
      <c r="A3302" s="16" t="s">
        <v>10613</v>
      </c>
      <c r="B3302" s="16" t="n">
        <v>3297</v>
      </c>
      <c r="C3302" s="16" t="s">
        <v>10614</v>
      </c>
      <c r="D3302" s="16" t="n">
        <v>7</v>
      </c>
      <c r="E3302" s="37" t="s">
        <v>10615</v>
      </c>
      <c r="F3302" s="16" t="s">
        <v>1285</v>
      </c>
      <c r="G3302" s="16" t="s">
        <v>757</v>
      </c>
      <c r="H3302" s="16" t="s">
        <v>2225</v>
      </c>
      <c r="I3302" s="16" t="s">
        <v>68</v>
      </c>
      <c r="J3302" s="16" t="s">
        <v>10079</v>
      </c>
      <c r="K3302" s="32" t="n">
        <v>1</v>
      </c>
      <c r="L3302" s="33" t="n">
        <v>46115</v>
      </c>
      <c r="M3302" s="33" t="n">
        <v>46115</v>
      </c>
      <c r="N3302" s="16" t="s">
        <v>10616</v>
      </c>
      <c r="O3302" s="16"/>
      <c r="P3302" s="16" t="str">
        <f aca="false">IF(AND(L3302&lt;=$D$2,M3302&gt;=$C$2),"Sí","")</f>
        <v/>
      </c>
      <c r="Q3302" s="18" t="str">
        <f aca="false">IF(COUNTIF(LOOKAHEAD!$A$5:$A$604,A3302)&gt;0,"En Lookahead",IF(P3302="Sí","INCORPORAR",""))</f>
        <v/>
      </c>
    </row>
    <row r="3303" customFormat="false" ht="15" hidden="false" customHeight="false" outlineLevel="0" collapsed="false">
      <c r="A3303" s="16" t="s">
        <v>10617</v>
      </c>
      <c r="B3303" s="16" t="n">
        <v>3298</v>
      </c>
      <c r="C3303" s="16" t="s">
        <v>10618</v>
      </c>
      <c r="D3303" s="16" t="n">
        <v>7</v>
      </c>
      <c r="E3303" s="37" t="s">
        <v>10208</v>
      </c>
      <c r="F3303" s="16" t="s">
        <v>1285</v>
      </c>
      <c r="G3303" s="16" t="s">
        <v>757</v>
      </c>
      <c r="H3303" s="16" t="s">
        <v>2225</v>
      </c>
      <c r="I3303" s="16" t="s">
        <v>68</v>
      </c>
      <c r="J3303" s="16" t="s">
        <v>10079</v>
      </c>
      <c r="K3303" s="32" t="n">
        <v>1</v>
      </c>
      <c r="L3303" s="33" t="n">
        <v>46116</v>
      </c>
      <c r="M3303" s="33" t="n">
        <v>46116</v>
      </c>
      <c r="N3303" s="16" t="s">
        <v>10619</v>
      </c>
      <c r="O3303" s="16"/>
      <c r="P3303" s="16" t="str">
        <f aca="false">IF(AND(L3303&lt;=$D$2,M3303&gt;=$C$2),"Sí","")</f>
        <v/>
      </c>
      <c r="Q3303" s="18" t="str">
        <f aca="false">IF(COUNTIF(LOOKAHEAD!$A$5:$A$604,A3303)&gt;0,"En Lookahead",IF(P3303="Sí","INCORPORAR",""))</f>
        <v/>
      </c>
    </row>
    <row r="3304" customFormat="false" ht="15" hidden="false" customHeight="false" outlineLevel="0" collapsed="false">
      <c r="A3304" s="16" t="s">
        <v>10620</v>
      </c>
      <c r="B3304" s="16" t="n">
        <v>3299</v>
      </c>
      <c r="C3304" s="16" t="s">
        <v>10621</v>
      </c>
      <c r="D3304" s="16" t="n">
        <v>7</v>
      </c>
      <c r="E3304" s="37" t="s">
        <v>10622</v>
      </c>
      <c r="F3304" s="16" t="s">
        <v>1285</v>
      </c>
      <c r="G3304" s="16" t="s">
        <v>757</v>
      </c>
      <c r="H3304" s="16" t="s">
        <v>2225</v>
      </c>
      <c r="I3304" s="16" t="s">
        <v>68</v>
      </c>
      <c r="J3304" s="16" t="s">
        <v>10079</v>
      </c>
      <c r="K3304" s="32" t="n">
        <v>1</v>
      </c>
      <c r="L3304" s="33" t="n">
        <v>46117</v>
      </c>
      <c r="M3304" s="33" t="n">
        <v>46117</v>
      </c>
      <c r="N3304" s="16" t="s">
        <v>10623</v>
      </c>
      <c r="O3304" s="16"/>
      <c r="P3304" s="16" t="str">
        <f aca="false">IF(AND(L3304&lt;=$D$2,M3304&gt;=$C$2),"Sí","")</f>
        <v/>
      </c>
      <c r="Q3304" s="18" t="str">
        <f aca="false">IF(COUNTIF(LOOKAHEAD!$A$5:$A$604,A3304)&gt;0,"En Lookahead",IF(P3304="Sí","INCORPORAR",""))</f>
        <v/>
      </c>
    </row>
    <row r="3305" customFormat="false" ht="15" hidden="false" customHeight="false" outlineLevel="0" collapsed="false">
      <c r="A3305" s="16" t="s">
        <v>10624</v>
      </c>
      <c r="B3305" s="16" t="n">
        <v>3300</v>
      </c>
      <c r="C3305" s="16" t="s">
        <v>10625</v>
      </c>
      <c r="D3305" s="16" t="n">
        <v>7</v>
      </c>
      <c r="E3305" s="37" t="s">
        <v>10626</v>
      </c>
      <c r="F3305" s="16" t="s">
        <v>1285</v>
      </c>
      <c r="G3305" s="16" t="s">
        <v>757</v>
      </c>
      <c r="H3305" s="16" t="s">
        <v>2225</v>
      </c>
      <c r="I3305" s="16" t="s">
        <v>68</v>
      </c>
      <c r="J3305" s="16" t="s">
        <v>10079</v>
      </c>
      <c r="K3305" s="32" t="n">
        <v>2</v>
      </c>
      <c r="L3305" s="33" t="n">
        <v>46118</v>
      </c>
      <c r="M3305" s="33" t="n">
        <v>46119</v>
      </c>
      <c r="N3305" s="16" t="s">
        <v>10627</v>
      </c>
      <c r="O3305" s="16"/>
      <c r="P3305" s="16" t="str">
        <f aca="false">IF(AND(L3305&lt;=$D$2,M3305&gt;=$C$2),"Sí","")</f>
        <v/>
      </c>
      <c r="Q3305" s="18" t="str">
        <f aca="false">IF(COUNTIF(LOOKAHEAD!$A$5:$A$604,A3305)&gt;0,"En Lookahead",IF(P3305="Sí","INCORPORAR",""))</f>
        <v/>
      </c>
    </row>
    <row r="3306" customFormat="false" ht="15" hidden="false" customHeight="false" outlineLevel="0" collapsed="false">
      <c r="A3306" s="16" t="s">
        <v>10628</v>
      </c>
      <c r="B3306" s="16" t="n">
        <v>3301</v>
      </c>
      <c r="C3306" s="16" t="s">
        <v>10629</v>
      </c>
      <c r="D3306" s="16" t="n">
        <v>7</v>
      </c>
      <c r="E3306" s="37" t="s">
        <v>10094</v>
      </c>
      <c r="F3306" s="16" t="s">
        <v>1285</v>
      </c>
      <c r="G3306" s="16" t="s">
        <v>757</v>
      </c>
      <c r="H3306" s="16" t="s">
        <v>2225</v>
      </c>
      <c r="I3306" s="16" t="s">
        <v>68</v>
      </c>
      <c r="J3306" s="16" t="s">
        <v>10079</v>
      </c>
      <c r="K3306" s="32" t="n">
        <v>2</v>
      </c>
      <c r="L3306" s="33" t="n">
        <v>46120</v>
      </c>
      <c r="M3306" s="33" t="n">
        <v>46121</v>
      </c>
      <c r="N3306" s="16" t="s">
        <v>10630</v>
      </c>
      <c r="O3306" s="16"/>
      <c r="P3306" s="16" t="str">
        <f aca="false">IF(AND(L3306&lt;=$D$2,M3306&gt;=$C$2),"Sí","")</f>
        <v/>
      </c>
      <c r="Q3306" s="18" t="str">
        <f aca="false">IF(COUNTIF(LOOKAHEAD!$A$5:$A$604,A3306)&gt;0,"En Lookahead",IF(P3306="Sí","INCORPORAR",""))</f>
        <v/>
      </c>
    </row>
    <row r="3307" customFormat="false" ht="15" hidden="false" customHeight="false" outlineLevel="0" collapsed="false">
      <c r="A3307" s="16" t="s">
        <v>10631</v>
      </c>
      <c r="B3307" s="16" t="n">
        <v>3302</v>
      </c>
      <c r="C3307" s="16" t="s">
        <v>10632</v>
      </c>
      <c r="D3307" s="16" t="n">
        <v>7</v>
      </c>
      <c r="E3307" s="37" t="s">
        <v>10212</v>
      </c>
      <c r="F3307" s="16" t="s">
        <v>1285</v>
      </c>
      <c r="G3307" s="16" t="s">
        <v>757</v>
      </c>
      <c r="H3307" s="16" t="s">
        <v>2225</v>
      </c>
      <c r="I3307" s="16" t="s">
        <v>68</v>
      </c>
      <c r="J3307" s="16" t="s">
        <v>10079</v>
      </c>
      <c r="K3307" s="32" t="n">
        <v>4</v>
      </c>
      <c r="L3307" s="33" t="n">
        <v>46122</v>
      </c>
      <c r="M3307" s="33" t="n">
        <v>46125</v>
      </c>
      <c r="N3307" s="16" t="s">
        <v>10633</v>
      </c>
      <c r="O3307" s="16"/>
      <c r="P3307" s="16" t="str">
        <f aca="false">IF(AND(L3307&lt;=$D$2,M3307&gt;=$C$2),"Sí","")</f>
        <v/>
      </c>
      <c r="Q3307" s="18" t="str">
        <f aca="false">IF(COUNTIF(LOOKAHEAD!$A$5:$A$604,A3307)&gt;0,"En Lookahead",IF(P3307="Sí","INCORPORAR",""))</f>
        <v/>
      </c>
    </row>
    <row r="3308" customFormat="false" ht="15" hidden="false" customHeight="false" outlineLevel="0" collapsed="false">
      <c r="A3308" s="16" t="s">
        <v>10634</v>
      </c>
      <c r="B3308" s="16" t="n">
        <v>3303</v>
      </c>
      <c r="C3308" s="16" t="s">
        <v>10635</v>
      </c>
      <c r="D3308" s="16" t="n">
        <v>7</v>
      </c>
      <c r="E3308" s="37" t="s">
        <v>10216</v>
      </c>
      <c r="F3308" s="16" t="s">
        <v>1285</v>
      </c>
      <c r="G3308" s="16" t="s">
        <v>757</v>
      </c>
      <c r="H3308" s="16" t="s">
        <v>2225</v>
      </c>
      <c r="I3308" s="16" t="s">
        <v>68</v>
      </c>
      <c r="J3308" s="16" t="s">
        <v>10079</v>
      </c>
      <c r="K3308" s="32" t="n">
        <v>8</v>
      </c>
      <c r="L3308" s="33" t="n">
        <v>46126</v>
      </c>
      <c r="M3308" s="33" t="n">
        <v>46133</v>
      </c>
      <c r="N3308" s="16" t="s">
        <v>10636</v>
      </c>
      <c r="O3308" s="16"/>
      <c r="P3308" s="16" t="str">
        <f aca="false">IF(AND(L3308&lt;=$D$2,M3308&gt;=$C$2),"Sí","")</f>
        <v/>
      </c>
      <c r="Q3308" s="18" t="str">
        <f aca="false">IF(COUNTIF(LOOKAHEAD!$A$5:$A$604,A3308)&gt;0,"En Lookahead",IF(P3308="Sí","INCORPORAR",""))</f>
        <v/>
      </c>
    </row>
    <row r="3309" customFormat="false" ht="15" hidden="false" customHeight="false" outlineLevel="0" collapsed="false">
      <c r="A3309" s="16" t="s">
        <v>10637</v>
      </c>
      <c r="B3309" s="16" t="n">
        <v>3304</v>
      </c>
      <c r="C3309" s="16" t="s">
        <v>10638</v>
      </c>
      <c r="D3309" s="16" t="n">
        <v>7</v>
      </c>
      <c r="E3309" s="37" t="s">
        <v>10639</v>
      </c>
      <c r="F3309" s="16" t="s">
        <v>1285</v>
      </c>
      <c r="G3309" s="16" t="s">
        <v>757</v>
      </c>
      <c r="H3309" s="16" t="s">
        <v>2225</v>
      </c>
      <c r="I3309" s="16" t="s">
        <v>68</v>
      </c>
      <c r="J3309" s="16" t="s">
        <v>10079</v>
      </c>
      <c r="K3309" s="32" t="n">
        <v>2</v>
      </c>
      <c r="L3309" s="33" t="n">
        <v>46134</v>
      </c>
      <c r="M3309" s="33" t="n">
        <v>46135</v>
      </c>
      <c r="N3309" s="16" t="s">
        <v>10640</v>
      </c>
      <c r="O3309" s="16"/>
      <c r="P3309" s="16" t="str">
        <f aca="false">IF(AND(L3309&lt;=$D$2,M3309&gt;=$C$2),"Sí","")</f>
        <v/>
      </c>
      <c r="Q3309" s="18" t="str">
        <f aca="false">IF(COUNTIF(LOOKAHEAD!$A$5:$A$604,A3309)&gt;0,"En Lookahead",IF(P3309="Sí","INCORPORAR",""))</f>
        <v/>
      </c>
    </row>
    <row r="3310" customFormat="false" ht="15" hidden="false" customHeight="false" outlineLevel="0" collapsed="false">
      <c r="A3310" s="16" t="s">
        <v>10641</v>
      </c>
      <c r="B3310" s="16" t="n">
        <v>3305</v>
      </c>
      <c r="C3310" s="16" t="s">
        <v>10642</v>
      </c>
      <c r="D3310" s="16" t="n">
        <v>7</v>
      </c>
      <c r="E3310" s="37" t="s">
        <v>10220</v>
      </c>
      <c r="F3310" s="16" t="s">
        <v>1285</v>
      </c>
      <c r="G3310" s="16" t="s">
        <v>757</v>
      </c>
      <c r="H3310" s="16" t="s">
        <v>2225</v>
      </c>
      <c r="I3310" s="16" t="s">
        <v>68</v>
      </c>
      <c r="J3310" s="16" t="s">
        <v>10079</v>
      </c>
      <c r="K3310" s="32" t="n">
        <v>1</v>
      </c>
      <c r="L3310" s="33" t="n">
        <v>46136</v>
      </c>
      <c r="M3310" s="33" t="n">
        <v>46136</v>
      </c>
      <c r="N3310" s="16" t="s">
        <v>10643</v>
      </c>
      <c r="O3310" s="16"/>
      <c r="P3310" s="16" t="str">
        <f aca="false">IF(AND(L3310&lt;=$D$2,M3310&gt;=$C$2),"Sí","")</f>
        <v/>
      </c>
      <c r="Q3310" s="18" t="str">
        <f aca="false">IF(COUNTIF(LOOKAHEAD!$A$5:$A$604,A3310)&gt;0,"En Lookahead",IF(P3310="Sí","INCORPORAR",""))</f>
        <v/>
      </c>
    </row>
    <row r="3311" customFormat="false" ht="15" hidden="false" customHeight="false" outlineLevel="0" collapsed="false">
      <c r="A3311" s="16" t="s">
        <v>10644</v>
      </c>
      <c r="B3311" s="16" t="n">
        <v>3306</v>
      </c>
      <c r="C3311" s="16" t="s">
        <v>10645</v>
      </c>
      <c r="D3311" s="16" t="n">
        <v>7</v>
      </c>
      <c r="E3311" s="37" t="s">
        <v>10224</v>
      </c>
      <c r="F3311" s="16" t="s">
        <v>1285</v>
      </c>
      <c r="G3311" s="16" t="s">
        <v>757</v>
      </c>
      <c r="H3311" s="16" t="s">
        <v>2225</v>
      </c>
      <c r="I3311" s="16" t="s">
        <v>68</v>
      </c>
      <c r="J3311" s="16" t="s">
        <v>10079</v>
      </c>
      <c r="K3311" s="32" t="n">
        <v>2</v>
      </c>
      <c r="L3311" s="33" t="n">
        <v>46137</v>
      </c>
      <c r="M3311" s="33" t="n">
        <v>46138</v>
      </c>
      <c r="N3311" s="16" t="s">
        <v>10646</v>
      </c>
      <c r="O3311" s="16"/>
      <c r="P3311" s="16" t="str">
        <f aca="false">IF(AND(L3311&lt;=$D$2,M3311&gt;=$C$2),"Sí","")</f>
        <v/>
      </c>
      <c r="Q3311" s="18" t="str">
        <f aca="false">IF(COUNTIF(LOOKAHEAD!$A$5:$A$604,A3311)&gt;0,"En Lookahead",IF(P3311="Sí","INCORPORAR",""))</f>
        <v/>
      </c>
    </row>
    <row r="3312" customFormat="false" ht="15" hidden="false" customHeight="false" outlineLevel="0" collapsed="false">
      <c r="A3312" s="16" t="s">
        <v>10647</v>
      </c>
      <c r="B3312" s="16" t="n">
        <v>3307</v>
      </c>
      <c r="C3312" s="16" t="s">
        <v>10648</v>
      </c>
      <c r="D3312" s="16" t="n">
        <v>7</v>
      </c>
      <c r="E3312" s="37" t="s">
        <v>10649</v>
      </c>
      <c r="F3312" s="16" t="s">
        <v>1285</v>
      </c>
      <c r="G3312" s="16" t="s">
        <v>757</v>
      </c>
      <c r="H3312" s="16" t="s">
        <v>2225</v>
      </c>
      <c r="I3312" s="16" t="s">
        <v>68</v>
      </c>
      <c r="J3312" s="16" t="s">
        <v>10079</v>
      </c>
      <c r="K3312" s="32" t="n">
        <v>1</v>
      </c>
      <c r="L3312" s="33" t="n">
        <v>46139</v>
      </c>
      <c r="M3312" s="33" t="n">
        <v>46139</v>
      </c>
      <c r="N3312" s="16" t="s">
        <v>10650</v>
      </c>
      <c r="O3312" s="16"/>
      <c r="P3312" s="16" t="str">
        <f aca="false">IF(AND(L3312&lt;=$D$2,M3312&gt;=$C$2),"Sí","")</f>
        <v/>
      </c>
      <c r="Q3312" s="18" t="str">
        <f aca="false">IF(COUNTIF(LOOKAHEAD!$A$5:$A$604,A3312)&gt;0,"En Lookahead",IF(P3312="Sí","INCORPORAR",""))</f>
        <v/>
      </c>
    </row>
    <row r="3313" customFormat="false" ht="15" hidden="false" customHeight="false" outlineLevel="0" collapsed="false">
      <c r="A3313" s="16" t="s">
        <v>10651</v>
      </c>
      <c r="B3313" s="16" t="n">
        <v>3308</v>
      </c>
      <c r="C3313" s="16" t="s">
        <v>10652</v>
      </c>
      <c r="D3313" s="16" t="n">
        <v>7</v>
      </c>
      <c r="E3313" s="37" t="s">
        <v>10228</v>
      </c>
      <c r="F3313" s="16" t="s">
        <v>1285</v>
      </c>
      <c r="G3313" s="16" t="s">
        <v>757</v>
      </c>
      <c r="H3313" s="16" t="s">
        <v>2225</v>
      </c>
      <c r="I3313" s="16" t="s">
        <v>68</v>
      </c>
      <c r="J3313" s="16" t="s">
        <v>10079</v>
      </c>
      <c r="K3313" s="32" t="n">
        <v>3</v>
      </c>
      <c r="L3313" s="33" t="n">
        <v>46140</v>
      </c>
      <c r="M3313" s="33" t="n">
        <v>46142</v>
      </c>
      <c r="N3313" s="16" t="s">
        <v>10653</v>
      </c>
      <c r="O3313" s="16"/>
      <c r="P3313" s="16" t="str">
        <f aca="false">IF(AND(L3313&lt;=$D$2,M3313&gt;=$C$2),"Sí","")</f>
        <v/>
      </c>
      <c r="Q3313" s="18" t="str">
        <f aca="false">IF(COUNTIF(LOOKAHEAD!$A$5:$A$604,A3313)&gt;0,"En Lookahead",IF(P3313="Sí","INCORPORAR",""))</f>
        <v/>
      </c>
    </row>
    <row r="3314" customFormat="false" ht="15" hidden="false" customHeight="false" outlineLevel="0" collapsed="false">
      <c r="A3314" s="16" t="s">
        <v>10654</v>
      </c>
      <c r="B3314" s="16" t="n">
        <v>3309</v>
      </c>
      <c r="C3314" s="16" t="s">
        <v>10655</v>
      </c>
      <c r="D3314" s="16" t="n">
        <v>7</v>
      </c>
      <c r="E3314" s="37" t="s">
        <v>10656</v>
      </c>
      <c r="F3314" s="16" t="s">
        <v>1285</v>
      </c>
      <c r="G3314" s="16" t="s">
        <v>757</v>
      </c>
      <c r="H3314" s="16" t="s">
        <v>2225</v>
      </c>
      <c r="I3314" s="16" t="s">
        <v>68</v>
      </c>
      <c r="J3314" s="16" t="s">
        <v>10079</v>
      </c>
      <c r="K3314" s="32" t="n">
        <v>2</v>
      </c>
      <c r="L3314" s="33" t="n">
        <v>46143</v>
      </c>
      <c r="M3314" s="33" t="n">
        <v>46144</v>
      </c>
      <c r="N3314" s="16" t="s">
        <v>10657</v>
      </c>
      <c r="O3314" s="16"/>
      <c r="P3314" s="16" t="str">
        <f aca="false">IF(AND(L3314&lt;=$D$2,M3314&gt;=$C$2),"Sí","")</f>
        <v/>
      </c>
      <c r="Q3314" s="18" t="str">
        <f aca="false">IF(COUNTIF(LOOKAHEAD!$A$5:$A$604,A3314)&gt;0,"En Lookahead",IF(P3314="Sí","INCORPORAR",""))</f>
        <v/>
      </c>
    </row>
    <row r="3315" customFormat="false" ht="15" hidden="false" customHeight="false" outlineLevel="0" collapsed="false">
      <c r="A3315" s="16" t="s">
        <v>10658</v>
      </c>
      <c r="B3315" s="16" t="n">
        <v>3310</v>
      </c>
      <c r="C3315" s="16" t="s">
        <v>10659</v>
      </c>
      <c r="D3315" s="16" t="n">
        <v>7</v>
      </c>
      <c r="E3315" s="37" t="s">
        <v>10232</v>
      </c>
      <c r="F3315" s="16" t="s">
        <v>1285</v>
      </c>
      <c r="G3315" s="16" t="s">
        <v>757</v>
      </c>
      <c r="H3315" s="16" t="s">
        <v>2225</v>
      </c>
      <c r="I3315" s="16" t="s">
        <v>68</v>
      </c>
      <c r="J3315" s="16" t="s">
        <v>10079</v>
      </c>
      <c r="K3315" s="32" t="n">
        <v>6</v>
      </c>
      <c r="L3315" s="33" t="n">
        <v>46145</v>
      </c>
      <c r="M3315" s="33" t="n">
        <v>46150</v>
      </c>
      <c r="N3315" s="16" t="s">
        <v>10660</v>
      </c>
      <c r="O3315" s="16"/>
      <c r="P3315" s="16" t="str">
        <f aca="false">IF(AND(L3315&lt;=$D$2,M3315&gt;=$C$2),"Sí","")</f>
        <v/>
      </c>
      <c r="Q3315" s="18" t="str">
        <f aca="false">IF(COUNTIF(LOOKAHEAD!$A$5:$A$604,A3315)&gt;0,"En Lookahead",IF(P3315="Sí","INCORPORAR",""))</f>
        <v/>
      </c>
    </row>
    <row r="3316" customFormat="false" ht="15" hidden="false" customHeight="false" outlineLevel="0" collapsed="false">
      <c r="A3316" s="16" t="s">
        <v>10661</v>
      </c>
      <c r="B3316" s="16" t="n">
        <v>3311</v>
      </c>
      <c r="C3316" s="16" t="s">
        <v>10662</v>
      </c>
      <c r="D3316" s="16" t="n">
        <v>7</v>
      </c>
      <c r="E3316" s="37" t="s">
        <v>10663</v>
      </c>
      <c r="F3316" s="16" t="s">
        <v>1285</v>
      </c>
      <c r="G3316" s="16" t="s">
        <v>757</v>
      </c>
      <c r="H3316" s="16" t="s">
        <v>2225</v>
      </c>
      <c r="I3316" s="16" t="s">
        <v>68</v>
      </c>
      <c r="J3316" s="16" t="s">
        <v>10079</v>
      </c>
      <c r="K3316" s="32" t="n">
        <v>1</v>
      </c>
      <c r="L3316" s="33" t="n">
        <v>46151</v>
      </c>
      <c r="M3316" s="33" t="n">
        <v>46151</v>
      </c>
      <c r="N3316" s="16" t="s">
        <v>10664</v>
      </c>
      <c r="O3316" s="16"/>
      <c r="P3316" s="16" t="str">
        <f aca="false">IF(AND(L3316&lt;=$D$2,M3316&gt;=$C$2),"Sí","")</f>
        <v/>
      </c>
      <c r="Q3316" s="18" t="str">
        <f aca="false">IF(COUNTIF(LOOKAHEAD!$A$5:$A$604,A3316)&gt;0,"En Lookahead",IF(P3316="Sí","INCORPORAR",""))</f>
        <v/>
      </c>
    </row>
    <row r="3317" customFormat="false" ht="15" hidden="false" customHeight="false" outlineLevel="0" collapsed="false">
      <c r="A3317" s="16" t="s">
        <v>10665</v>
      </c>
      <c r="B3317" s="16" t="n">
        <v>3312</v>
      </c>
      <c r="C3317" s="16" t="s">
        <v>10666</v>
      </c>
      <c r="D3317" s="16" t="n">
        <v>7</v>
      </c>
      <c r="E3317" s="37" t="s">
        <v>10667</v>
      </c>
      <c r="F3317" s="16" t="s">
        <v>1285</v>
      </c>
      <c r="G3317" s="16" t="s">
        <v>757</v>
      </c>
      <c r="H3317" s="16" t="s">
        <v>2225</v>
      </c>
      <c r="I3317" s="16" t="s">
        <v>68</v>
      </c>
      <c r="J3317" s="16" t="s">
        <v>10079</v>
      </c>
      <c r="K3317" s="32" t="n">
        <v>1</v>
      </c>
      <c r="L3317" s="33" t="n">
        <v>46152</v>
      </c>
      <c r="M3317" s="33" t="n">
        <v>46152</v>
      </c>
      <c r="N3317" s="16" t="s">
        <v>10668</v>
      </c>
      <c r="O3317" s="16"/>
      <c r="P3317" s="16" t="str">
        <f aca="false">IF(AND(L3317&lt;=$D$2,M3317&gt;=$C$2),"Sí","")</f>
        <v/>
      </c>
      <c r="Q3317" s="18" t="str">
        <f aca="false">IF(COUNTIF(LOOKAHEAD!$A$5:$A$604,A3317)&gt;0,"En Lookahead",IF(P3317="Sí","INCORPORAR",""))</f>
        <v/>
      </c>
    </row>
    <row r="3318" customFormat="false" ht="15" hidden="false" customHeight="false" outlineLevel="0" collapsed="false">
      <c r="A3318" s="16" t="s">
        <v>10669</v>
      </c>
      <c r="B3318" s="16" t="n">
        <v>3313</v>
      </c>
      <c r="C3318" s="16" t="s">
        <v>10670</v>
      </c>
      <c r="D3318" s="16" t="n">
        <v>7</v>
      </c>
      <c r="E3318" s="37" t="s">
        <v>10671</v>
      </c>
      <c r="F3318" s="16" t="s">
        <v>1285</v>
      </c>
      <c r="G3318" s="16" t="s">
        <v>757</v>
      </c>
      <c r="H3318" s="16" t="s">
        <v>2225</v>
      </c>
      <c r="I3318" s="16" t="s">
        <v>68</v>
      </c>
      <c r="J3318" s="16" t="s">
        <v>10079</v>
      </c>
      <c r="K3318" s="32" t="n">
        <v>1</v>
      </c>
      <c r="L3318" s="33" t="n">
        <v>46153</v>
      </c>
      <c r="M3318" s="33" t="n">
        <v>46153</v>
      </c>
      <c r="N3318" s="16" t="s">
        <v>10672</v>
      </c>
      <c r="O3318" s="16"/>
      <c r="P3318" s="16" t="str">
        <f aca="false">IF(AND(L3318&lt;=$D$2,M3318&gt;=$C$2),"Sí","")</f>
        <v/>
      </c>
      <c r="Q3318" s="18" t="str">
        <f aca="false">IF(COUNTIF(LOOKAHEAD!$A$5:$A$604,A3318)&gt;0,"En Lookahead",IF(P3318="Sí","INCORPORAR",""))</f>
        <v/>
      </c>
    </row>
    <row r="3319" customFormat="false" ht="15" hidden="false" customHeight="false" outlineLevel="0" collapsed="false">
      <c r="A3319" s="16" t="s">
        <v>10673</v>
      </c>
      <c r="B3319" s="16" t="n">
        <v>3314</v>
      </c>
      <c r="C3319" s="16" t="s">
        <v>10674</v>
      </c>
      <c r="D3319" s="16" t="n">
        <v>7</v>
      </c>
      <c r="E3319" s="37" t="s">
        <v>10098</v>
      </c>
      <c r="F3319" s="16" t="s">
        <v>1285</v>
      </c>
      <c r="G3319" s="16" t="s">
        <v>757</v>
      </c>
      <c r="H3319" s="16" t="s">
        <v>2225</v>
      </c>
      <c r="I3319" s="16" t="s">
        <v>68</v>
      </c>
      <c r="J3319" s="16" t="s">
        <v>10079</v>
      </c>
      <c r="K3319" s="32" t="n">
        <v>1</v>
      </c>
      <c r="L3319" s="33" t="n">
        <v>46154</v>
      </c>
      <c r="M3319" s="33" t="n">
        <v>46154</v>
      </c>
      <c r="N3319" s="16" t="s">
        <v>10675</v>
      </c>
      <c r="O3319" s="16"/>
      <c r="P3319" s="16" t="str">
        <f aca="false">IF(AND(L3319&lt;=$D$2,M3319&gt;=$C$2),"Sí","")</f>
        <v/>
      </c>
      <c r="Q3319" s="18" t="str">
        <f aca="false">IF(COUNTIF(LOOKAHEAD!$A$5:$A$604,A3319)&gt;0,"En Lookahead",IF(P3319="Sí","INCORPORAR",""))</f>
        <v/>
      </c>
    </row>
    <row r="3320" customFormat="false" ht="15" hidden="false" customHeight="false" outlineLevel="0" collapsed="false">
      <c r="A3320" s="16" t="s">
        <v>10676</v>
      </c>
      <c r="B3320" s="16" t="n">
        <v>3315</v>
      </c>
      <c r="C3320" s="16" t="s">
        <v>10677</v>
      </c>
      <c r="D3320" s="16" t="n">
        <v>7</v>
      </c>
      <c r="E3320" s="37" t="s">
        <v>10678</v>
      </c>
      <c r="F3320" s="16" t="s">
        <v>1285</v>
      </c>
      <c r="G3320" s="16" t="s">
        <v>757</v>
      </c>
      <c r="H3320" s="16" t="s">
        <v>2225</v>
      </c>
      <c r="I3320" s="16" t="s">
        <v>68</v>
      </c>
      <c r="J3320" s="16" t="s">
        <v>10079</v>
      </c>
      <c r="K3320" s="32" t="n">
        <v>1</v>
      </c>
      <c r="L3320" s="33" t="n">
        <v>46155</v>
      </c>
      <c r="M3320" s="33" t="n">
        <v>46155</v>
      </c>
      <c r="N3320" s="16" t="s">
        <v>10679</v>
      </c>
      <c r="O3320" s="16"/>
      <c r="P3320" s="16" t="str">
        <f aca="false">IF(AND(L3320&lt;=$D$2,M3320&gt;=$C$2),"Sí","")</f>
        <v/>
      </c>
      <c r="Q3320" s="18" t="str">
        <f aca="false">IF(COUNTIF(LOOKAHEAD!$A$5:$A$604,A3320)&gt;0,"En Lookahead",IF(P3320="Sí","INCORPORAR",""))</f>
        <v/>
      </c>
    </row>
    <row r="3321" customFormat="false" ht="15" hidden="false" customHeight="false" outlineLevel="0" collapsed="false">
      <c r="A3321" s="13" t="s">
        <v>10680</v>
      </c>
      <c r="B3321" s="13" t="n">
        <v>3316</v>
      </c>
      <c r="C3321" s="13" t="s">
        <v>10681</v>
      </c>
      <c r="D3321" s="13" t="n">
        <v>6</v>
      </c>
      <c r="E3321" s="36" t="s">
        <v>10236</v>
      </c>
      <c r="F3321" s="13" t="s">
        <v>1298</v>
      </c>
      <c r="G3321" s="13" t="s">
        <v>757</v>
      </c>
      <c r="H3321" s="13" t="s">
        <v>2225</v>
      </c>
      <c r="I3321" s="13" t="s">
        <v>68</v>
      </c>
      <c r="J3321" s="13" t="s">
        <v>10129</v>
      </c>
      <c r="K3321" s="30" t="n">
        <v>13</v>
      </c>
      <c r="L3321" s="31" t="n">
        <v>46111</v>
      </c>
      <c r="M3321" s="31" t="n">
        <v>46123</v>
      </c>
      <c r="N3321" s="13"/>
      <c r="O3321" s="13"/>
      <c r="P3321" s="13"/>
      <c r="Q3321" s="13"/>
    </row>
    <row r="3322" customFormat="false" ht="15" hidden="false" customHeight="false" outlineLevel="0" collapsed="false">
      <c r="A3322" s="16" t="s">
        <v>10682</v>
      </c>
      <c r="B3322" s="16" t="n">
        <v>3317</v>
      </c>
      <c r="C3322" s="16" t="s">
        <v>10683</v>
      </c>
      <c r="D3322" s="16" t="n">
        <v>7</v>
      </c>
      <c r="E3322" s="37" t="s">
        <v>10684</v>
      </c>
      <c r="F3322" s="16" t="s">
        <v>1285</v>
      </c>
      <c r="G3322" s="16" t="s">
        <v>757</v>
      </c>
      <c r="H3322" s="16" t="s">
        <v>2225</v>
      </c>
      <c r="I3322" s="16" t="s">
        <v>68</v>
      </c>
      <c r="J3322" s="16" t="s">
        <v>10236</v>
      </c>
      <c r="K3322" s="32" t="n">
        <v>1</v>
      </c>
      <c r="L3322" s="33" t="n">
        <v>46111</v>
      </c>
      <c r="M3322" s="33" t="n">
        <v>46111</v>
      </c>
      <c r="N3322" s="16" t="s">
        <v>10685</v>
      </c>
      <c r="O3322" s="16"/>
      <c r="P3322" s="16" t="str">
        <f aca="false">IF(AND(L3322&lt;=$D$2,M3322&gt;=$C$2),"Sí","")</f>
        <v/>
      </c>
      <c r="Q3322" s="18" t="str">
        <f aca="false">IF(COUNTIF(LOOKAHEAD!$A$5:$A$604,A3322)&gt;0,"En Lookahead",IF(P3322="Sí","INCORPORAR",""))</f>
        <v/>
      </c>
    </row>
    <row r="3323" customFormat="false" ht="15" hidden="false" customHeight="false" outlineLevel="0" collapsed="false">
      <c r="A3323" s="16" t="s">
        <v>10686</v>
      </c>
      <c r="B3323" s="16" t="n">
        <v>3318</v>
      </c>
      <c r="C3323" s="16" t="s">
        <v>10687</v>
      </c>
      <c r="D3323" s="16" t="n">
        <v>7</v>
      </c>
      <c r="E3323" s="37" t="s">
        <v>10239</v>
      </c>
      <c r="F3323" s="16" t="s">
        <v>1285</v>
      </c>
      <c r="G3323" s="16" t="s">
        <v>757</v>
      </c>
      <c r="H3323" s="16" t="s">
        <v>2225</v>
      </c>
      <c r="I3323" s="16" t="s">
        <v>68</v>
      </c>
      <c r="J3323" s="16" t="s">
        <v>10236</v>
      </c>
      <c r="K3323" s="32" t="n">
        <v>5</v>
      </c>
      <c r="L3323" s="33" t="n">
        <v>46112</v>
      </c>
      <c r="M3323" s="33" t="n">
        <v>46116</v>
      </c>
      <c r="N3323" s="16" t="s">
        <v>10688</v>
      </c>
      <c r="O3323" s="16"/>
      <c r="P3323" s="16" t="str">
        <f aca="false">IF(AND(L3323&lt;=$D$2,M3323&gt;=$C$2),"Sí","")</f>
        <v/>
      </c>
      <c r="Q3323" s="18" t="str">
        <f aca="false">IF(COUNTIF(LOOKAHEAD!$A$5:$A$604,A3323)&gt;0,"En Lookahead",IF(P3323="Sí","INCORPORAR",""))</f>
        <v/>
      </c>
    </row>
    <row r="3324" customFormat="false" ht="15" hidden="false" customHeight="false" outlineLevel="0" collapsed="false">
      <c r="A3324" s="16" t="s">
        <v>10689</v>
      </c>
      <c r="B3324" s="16" t="n">
        <v>3319</v>
      </c>
      <c r="C3324" s="16" t="s">
        <v>10690</v>
      </c>
      <c r="D3324" s="16" t="n">
        <v>7</v>
      </c>
      <c r="E3324" s="37" t="s">
        <v>10691</v>
      </c>
      <c r="F3324" s="16" t="s">
        <v>1285</v>
      </c>
      <c r="G3324" s="16" t="s">
        <v>757</v>
      </c>
      <c r="H3324" s="16" t="s">
        <v>2225</v>
      </c>
      <c r="I3324" s="16" t="s">
        <v>68</v>
      </c>
      <c r="J3324" s="16" t="s">
        <v>10236</v>
      </c>
      <c r="K3324" s="32" t="n">
        <v>1</v>
      </c>
      <c r="L3324" s="33" t="n">
        <v>46117</v>
      </c>
      <c r="M3324" s="33" t="n">
        <v>46117</v>
      </c>
      <c r="N3324" s="16" t="s">
        <v>10692</v>
      </c>
      <c r="O3324" s="16"/>
      <c r="P3324" s="16" t="str">
        <f aca="false">IF(AND(L3324&lt;=$D$2,M3324&gt;=$C$2),"Sí","")</f>
        <v/>
      </c>
      <c r="Q3324" s="18" t="str">
        <f aca="false">IF(COUNTIF(LOOKAHEAD!$A$5:$A$604,A3324)&gt;0,"En Lookahead",IF(P3324="Sí","INCORPORAR",""))</f>
        <v/>
      </c>
    </row>
    <row r="3325" customFormat="false" ht="15" hidden="false" customHeight="false" outlineLevel="0" collapsed="false">
      <c r="A3325" s="16" t="s">
        <v>10693</v>
      </c>
      <c r="B3325" s="16" t="n">
        <v>3320</v>
      </c>
      <c r="C3325" s="16" t="s">
        <v>10694</v>
      </c>
      <c r="D3325" s="16" t="n">
        <v>7</v>
      </c>
      <c r="E3325" s="37" t="s">
        <v>10695</v>
      </c>
      <c r="F3325" s="16" t="s">
        <v>1285</v>
      </c>
      <c r="G3325" s="16" t="s">
        <v>757</v>
      </c>
      <c r="H3325" s="16" t="s">
        <v>2225</v>
      </c>
      <c r="I3325" s="16" t="s">
        <v>68</v>
      </c>
      <c r="J3325" s="16" t="s">
        <v>10236</v>
      </c>
      <c r="K3325" s="32" t="n">
        <v>1</v>
      </c>
      <c r="L3325" s="33" t="n">
        <v>46118</v>
      </c>
      <c r="M3325" s="33" t="n">
        <v>46118</v>
      </c>
      <c r="N3325" s="16" t="s">
        <v>10696</v>
      </c>
      <c r="O3325" s="16"/>
      <c r="P3325" s="16" t="str">
        <f aca="false">IF(AND(L3325&lt;=$D$2,M3325&gt;=$C$2),"Sí","")</f>
        <v/>
      </c>
      <c r="Q3325" s="18" t="str">
        <f aca="false">IF(COUNTIF(LOOKAHEAD!$A$5:$A$604,A3325)&gt;0,"En Lookahead",IF(P3325="Sí","INCORPORAR",""))</f>
        <v/>
      </c>
    </row>
    <row r="3326" customFormat="false" ht="15" hidden="false" customHeight="false" outlineLevel="0" collapsed="false">
      <c r="A3326" s="16" t="s">
        <v>10697</v>
      </c>
      <c r="B3326" s="16" t="n">
        <v>3321</v>
      </c>
      <c r="C3326" s="16" t="s">
        <v>10698</v>
      </c>
      <c r="D3326" s="16" t="n">
        <v>7</v>
      </c>
      <c r="E3326" s="37" t="s">
        <v>10699</v>
      </c>
      <c r="F3326" s="16" t="s">
        <v>1285</v>
      </c>
      <c r="G3326" s="16" t="s">
        <v>757</v>
      </c>
      <c r="H3326" s="16" t="s">
        <v>2225</v>
      </c>
      <c r="I3326" s="16" t="s">
        <v>68</v>
      </c>
      <c r="J3326" s="16" t="s">
        <v>10236</v>
      </c>
      <c r="K3326" s="32" t="n">
        <v>1</v>
      </c>
      <c r="L3326" s="33" t="n">
        <v>46119</v>
      </c>
      <c r="M3326" s="33" t="n">
        <v>46119</v>
      </c>
      <c r="N3326" s="16" t="s">
        <v>10700</v>
      </c>
      <c r="O3326" s="16"/>
      <c r="P3326" s="16" t="str">
        <f aca="false">IF(AND(L3326&lt;=$D$2,M3326&gt;=$C$2),"Sí","")</f>
        <v/>
      </c>
      <c r="Q3326" s="18" t="str">
        <f aca="false">IF(COUNTIF(LOOKAHEAD!$A$5:$A$604,A3326)&gt;0,"En Lookahead",IF(P3326="Sí","INCORPORAR",""))</f>
        <v/>
      </c>
    </row>
    <row r="3327" customFormat="false" ht="15" hidden="false" customHeight="false" outlineLevel="0" collapsed="false">
      <c r="A3327" s="16" t="s">
        <v>10701</v>
      </c>
      <c r="B3327" s="16" t="n">
        <v>3322</v>
      </c>
      <c r="C3327" s="16" t="s">
        <v>10702</v>
      </c>
      <c r="D3327" s="16" t="n">
        <v>7</v>
      </c>
      <c r="E3327" s="37" t="s">
        <v>10243</v>
      </c>
      <c r="F3327" s="16" t="s">
        <v>1285</v>
      </c>
      <c r="G3327" s="16" t="s">
        <v>757</v>
      </c>
      <c r="H3327" s="16" t="s">
        <v>2225</v>
      </c>
      <c r="I3327" s="16" t="s">
        <v>68</v>
      </c>
      <c r="J3327" s="16" t="s">
        <v>10236</v>
      </c>
      <c r="K3327" s="32" t="n">
        <v>1</v>
      </c>
      <c r="L3327" s="33" t="n">
        <v>46120</v>
      </c>
      <c r="M3327" s="33" t="n">
        <v>46120</v>
      </c>
      <c r="N3327" s="16" t="s">
        <v>10703</v>
      </c>
      <c r="O3327" s="16"/>
      <c r="P3327" s="16" t="str">
        <f aca="false">IF(AND(L3327&lt;=$D$2,M3327&gt;=$C$2),"Sí","")</f>
        <v/>
      </c>
      <c r="Q3327" s="18" t="str">
        <f aca="false">IF(COUNTIF(LOOKAHEAD!$A$5:$A$604,A3327)&gt;0,"En Lookahead",IF(P3327="Sí","INCORPORAR",""))</f>
        <v/>
      </c>
    </row>
    <row r="3328" customFormat="false" ht="15" hidden="false" customHeight="false" outlineLevel="0" collapsed="false">
      <c r="A3328" s="16" t="s">
        <v>10704</v>
      </c>
      <c r="B3328" s="16" t="n">
        <v>3323</v>
      </c>
      <c r="C3328" s="16" t="s">
        <v>10705</v>
      </c>
      <c r="D3328" s="16" t="n">
        <v>7</v>
      </c>
      <c r="E3328" s="37" t="s">
        <v>10706</v>
      </c>
      <c r="F3328" s="16" t="s">
        <v>1285</v>
      </c>
      <c r="G3328" s="16" t="s">
        <v>757</v>
      </c>
      <c r="H3328" s="16" t="s">
        <v>2225</v>
      </c>
      <c r="I3328" s="16" t="s">
        <v>68</v>
      </c>
      <c r="J3328" s="16" t="s">
        <v>10236</v>
      </c>
      <c r="K3328" s="32" t="n">
        <v>1</v>
      </c>
      <c r="L3328" s="33" t="n">
        <v>46121</v>
      </c>
      <c r="M3328" s="33" t="n">
        <v>46121</v>
      </c>
      <c r="N3328" s="16" t="s">
        <v>10707</v>
      </c>
      <c r="O3328" s="16"/>
      <c r="P3328" s="16" t="str">
        <f aca="false">IF(AND(L3328&lt;=$D$2,M3328&gt;=$C$2),"Sí","")</f>
        <v/>
      </c>
      <c r="Q3328" s="18" t="str">
        <f aca="false">IF(COUNTIF(LOOKAHEAD!$A$5:$A$604,A3328)&gt;0,"En Lookahead",IF(P3328="Sí","INCORPORAR",""))</f>
        <v/>
      </c>
    </row>
    <row r="3329" customFormat="false" ht="15" hidden="false" customHeight="false" outlineLevel="0" collapsed="false">
      <c r="A3329" s="16" t="s">
        <v>10708</v>
      </c>
      <c r="B3329" s="16" t="n">
        <v>3324</v>
      </c>
      <c r="C3329" s="16" t="s">
        <v>10709</v>
      </c>
      <c r="D3329" s="16" t="n">
        <v>7</v>
      </c>
      <c r="E3329" s="37" t="s">
        <v>10247</v>
      </c>
      <c r="F3329" s="16" t="s">
        <v>1285</v>
      </c>
      <c r="G3329" s="16" t="s">
        <v>757</v>
      </c>
      <c r="H3329" s="16" t="s">
        <v>2225</v>
      </c>
      <c r="I3329" s="16" t="s">
        <v>68</v>
      </c>
      <c r="J3329" s="16" t="s">
        <v>10236</v>
      </c>
      <c r="K3329" s="32" t="n">
        <v>1</v>
      </c>
      <c r="L3329" s="33" t="n">
        <v>46122</v>
      </c>
      <c r="M3329" s="33" t="n">
        <v>46122</v>
      </c>
      <c r="N3329" s="16" t="s">
        <v>10710</v>
      </c>
      <c r="O3329" s="16"/>
      <c r="P3329" s="16" t="str">
        <f aca="false">IF(AND(L3329&lt;=$D$2,M3329&gt;=$C$2),"Sí","")</f>
        <v/>
      </c>
      <c r="Q3329" s="18" t="str">
        <f aca="false">IF(COUNTIF(LOOKAHEAD!$A$5:$A$604,A3329)&gt;0,"En Lookahead",IF(P3329="Sí","INCORPORAR",""))</f>
        <v/>
      </c>
    </row>
    <row r="3330" customFormat="false" ht="15" hidden="false" customHeight="false" outlineLevel="0" collapsed="false">
      <c r="A3330" s="16" t="s">
        <v>10711</v>
      </c>
      <c r="B3330" s="16" t="n">
        <v>3325</v>
      </c>
      <c r="C3330" s="16" t="s">
        <v>10712</v>
      </c>
      <c r="D3330" s="16" t="n">
        <v>7</v>
      </c>
      <c r="E3330" s="37" t="s">
        <v>10663</v>
      </c>
      <c r="F3330" s="16" t="s">
        <v>1285</v>
      </c>
      <c r="G3330" s="16" t="s">
        <v>757</v>
      </c>
      <c r="H3330" s="16" t="s">
        <v>2225</v>
      </c>
      <c r="I3330" s="16" t="s">
        <v>68</v>
      </c>
      <c r="J3330" s="16" t="s">
        <v>10236</v>
      </c>
      <c r="K3330" s="32" t="n">
        <v>1</v>
      </c>
      <c r="L3330" s="33" t="n">
        <v>46123</v>
      </c>
      <c r="M3330" s="33" t="n">
        <v>46123</v>
      </c>
      <c r="N3330" s="16" t="s">
        <v>10577</v>
      </c>
      <c r="O3330" s="16"/>
      <c r="P3330" s="16" t="str">
        <f aca="false">IF(AND(L3330&lt;=$D$2,M3330&gt;=$C$2),"Sí","")</f>
        <v/>
      </c>
      <c r="Q3330" s="18" t="str">
        <f aca="false">IF(COUNTIF(LOOKAHEAD!$A$5:$A$604,A3330)&gt;0,"En Lookahead",IF(P3330="Sí","INCORPORAR",""))</f>
        <v/>
      </c>
    </row>
    <row r="3331" customFormat="false" ht="15" hidden="false" customHeight="false" outlineLevel="0" collapsed="false">
      <c r="A3331" s="13" t="s">
        <v>10713</v>
      </c>
      <c r="B3331" s="13" t="n">
        <v>3326</v>
      </c>
      <c r="C3331" s="13" t="s">
        <v>10714</v>
      </c>
      <c r="D3331" s="13" t="n">
        <v>5</v>
      </c>
      <c r="E3331" s="34" t="s">
        <v>10251</v>
      </c>
      <c r="F3331" s="13" t="s">
        <v>1298</v>
      </c>
      <c r="G3331" s="13" t="s">
        <v>757</v>
      </c>
      <c r="H3331" s="13" t="s">
        <v>2225</v>
      </c>
      <c r="I3331" s="13" t="s">
        <v>68</v>
      </c>
      <c r="J3331" s="13" t="s">
        <v>2225</v>
      </c>
      <c r="K3331" s="30" t="n">
        <v>10</v>
      </c>
      <c r="L3331" s="31" t="n">
        <v>46124</v>
      </c>
      <c r="M3331" s="31" t="n">
        <v>46133</v>
      </c>
      <c r="N3331" s="13"/>
      <c r="O3331" s="13"/>
      <c r="P3331" s="13"/>
      <c r="Q3331" s="13"/>
    </row>
    <row r="3332" customFormat="false" ht="15" hidden="false" customHeight="false" outlineLevel="0" collapsed="false">
      <c r="A3332" s="16" t="s">
        <v>10715</v>
      </c>
      <c r="B3332" s="16" t="n">
        <v>3327</v>
      </c>
      <c r="C3332" s="16" t="s">
        <v>10716</v>
      </c>
      <c r="D3332" s="16" t="n">
        <v>6</v>
      </c>
      <c r="E3332" s="35" t="s">
        <v>10254</v>
      </c>
      <c r="F3332" s="16" t="s">
        <v>1285</v>
      </c>
      <c r="G3332" s="16" t="s">
        <v>757</v>
      </c>
      <c r="H3332" s="16" t="s">
        <v>2225</v>
      </c>
      <c r="I3332" s="16" t="s">
        <v>68</v>
      </c>
      <c r="J3332" s="16" t="s">
        <v>10251</v>
      </c>
      <c r="K3332" s="32" t="n">
        <v>1</v>
      </c>
      <c r="L3332" s="33" t="n">
        <v>46124</v>
      </c>
      <c r="M3332" s="33" t="n">
        <v>46124</v>
      </c>
      <c r="N3332" s="16" t="s">
        <v>10717</v>
      </c>
      <c r="O3332" s="16"/>
      <c r="P3332" s="16" t="str">
        <f aca="false">IF(AND(L3332&lt;=$D$2,M3332&gt;=$C$2),"Sí","")</f>
        <v/>
      </c>
      <c r="Q3332" s="18" t="str">
        <f aca="false">IF(COUNTIF(LOOKAHEAD!$A$5:$A$604,A3332)&gt;0,"En Lookahead",IF(P3332="Sí","INCORPORAR",""))</f>
        <v/>
      </c>
    </row>
    <row r="3333" customFormat="false" ht="15" hidden="false" customHeight="false" outlineLevel="0" collapsed="false">
      <c r="A3333" s="16" t="s">
        <v>10718</v>
      </c>
      <c r="B3333" s="16" t="n">
        <v>3328</v>
      </c>
      <c r="C3333" s="16" t="s">
        <v>10719</v>
      </c>
      <c r="D3333" s="16" t="n">
        <v>6</v>
      </c>
      <c r="E3333" s="35" t="s">
        <v>10258</v>
      </c>
      <c r="F3333" s="16" t="s">
        <v>1285</v>
      </c>
      <c r="G3333" s="16" t="s">
        <v>757</v>
      </c>
      <c r="H3333" s="16" t="s">
        <v>2225</v>
      </c>
      <c r="I3333" s="16" t="s">
        <v>68</v>
      </c>
      <c r="J3333" s="16" t="s">
        <v>10251</v>
      </c>
      <c r="K3333" s="32" t="n">
        <v>1</v>
      </c>
      <c r="L3333" s="33" t="n">
        <v>46125</v>
      </c>
      <c r="M3333" s="33" t="n">
        <v>46125</v>
      </c>
      <c r="N3333" s="16" t="s">
        <v>10720</v>
      </c>
      <c r="O3333" s="16"/>
      <c r="P3333" s="16" t="str">
        <f aca="false">IF(AND(L3333&lt;=$D$2,M3333&gt;=$C$2),"Sí","")</f>
        <v/>
      </c>
      <c r="Q3333" s="18" t="str">
        <f aca="false">IF(COUNTIF(LOOKAHEAD!$A$5:$A$604,A3333)&gt;0,"En Lookahead",IF(P3333="Sí","INCORPORAR",""))</f>
        <v/>
      </c>
    </row>
    <row r="3334" customFormat="false" ht="15" hidden="false" customHeight="false" outlineLevel="0" collapsed="false">
      <c r="A3334" s="16" t="s">
        <v>10721</v>
      </c>
      <c r="B3334" s="16" t="n">
        <v>3329</v>
      </c>
      <c r="C3334" s="16" t="s">
        <v>10722</v>
      </c>
      <c r="D3334" s="16" t="n">
        <v>6</v>
      </c>
      <c r="E3334" s="35" t="s">
        <v>10262</v>
      </c>
      <c r="F3334" s="16" t="s">
        <v>1285</v>
      </c>
      <c r="G3334" s="16" t="s">
        <v>757</v>
      </c>
      <c r="H3334" s="16" t="s">
        <v>2225</v>
      </c>
      <c r="I3334" s="16" t="s">
        <v>68</v>
      </c>
      <c r="J3334" s="16" t="s">
        <v>10251</v>
      </c>
      <c r="K3334" s="32" t="n">
        <v>1</v>
      </c>
      <c r="L3334" s="33" t="n">
        <v>46126</v>
      </c>
      <c r="M3334" s="33" t="n">
        <v>46126</v>
      </c>
      <c r="N3334" s="16" t="s">
        <v>10723</v>
      </c>
      <c r="O3334" s="16"/>
      <c r="P3334" s="16" t="str">
        <f aca="false">IF(AND(L3334&lt;=$D$2,M3334&gt;=$C$2),"Sí","")</f>
        <v/>
      </c>
      <c r="Q3334" s="18" t="str">
        <f aca="false">IF(COUNTIF(LOOKAHEAD!$A$5:$A$604,A3334)&gt;0,"En Lookahead",IF(P3334="Sí","INCORPORAR",""))</f>
        <v/>
      </c>
    </row>
    <row r="3335" customFormat="false" ht="15" hidden="false" customHeight="false" outlineLevel="0" collapsed="false">
      <c r="A3335" s="16" t="s">
        <v>10724</v>
      </c>
      <c r="B3335" s="16" t="n">
        <v>3330</v>
      </c>
      <c r="C3335" s="16" t="s">
        <v>10725</v>
      </c>
      <c r="D3335" s="16" t="n">
        <v>6</v>
      </c>
      <c r="E3335" s="35" t="s">
        <v>10266</v>
      </c>
      <c r="F3335" s="16" t="s">
        <v>1285</v>
      </c>
      <c r="G3335" s="16" t="s">
        <v>757</v>
      </c>
      <c r="H3335" s="16" t="s">
        <v>2225</v>
      </c>
      <c r="I3335" s="16" t="s">
        <v>68</v>
      </c>
      <c r="J3335" s="16" t="s">
        <v>10251</v>
      </c>
      <c r="K3335" s="32" t="n">
        <v>1</v>
      </c>
      <c r="L3335" s="33" t="n">
        <v>46127</v>
      </c>
      <c r="M3335" s="33" t="n">
        <v>46127</v>
      </c>
      <c r="N3335" s="16" t="s">
        <v>10726</v>
      </c>
      <c r="O3335" s="16"/>
      <c r="P3335" s="16" t="str">
        <f aca="false">IF(AND(L3335&lt;=$D$2,M3335&gt;=$C$2),"Sí","")</f>
        <v/>
      </c>
      <c r="Q3335" s="18" t="str">
        <f aca="false">IF(COUNTIF(LOOKAHEAD!$A$5:$A$604,A3335)&gt;0,"En Lookahead",IF(P3335="Sí","INCORPORAR",""))</f>
        <v/>
      </c>
    </row>
    <row r="3336" customFormat="false" ht="15" hidden="false" customHeight="false" outlineLevel="0" collapsed="false">
      <c r="A3336" s="13" t="s">
        <v>10727</v>
      </c>
      <c r="B3336" s="13" t="n">
        <v>3331</v>
      </c>
      <c r="C3336" s="13" t="s">
        <v>10728</v>
      </c>
      <c r="D3336" s="13" t="n">
        <v>6</v>
      </c>
      <c r="E3336" s="36" t="s">
        <v>10079</v>
      </c>
      <c r="F3336" s="13" t="s">
        <v>1298</v>
      </c>
      <c r="G3336" s="13" t="s">
        <v>757</v>
      </c>
      <c r="H3336" s="13" t="s">
        <v>2225</v>
      </c>
      <c r="I3336" s="13" t="s">
        <v>68</v>
      </c>
      <c r="J3336" s="13" t="s">
        <v>10251</v>
      </c>
      <c r="K3336" s="30" t="n">
        <v>8</v>
      </c>
      <c r="L3336" s="31" t="n">
        <v>46126</v>
      </c>
      <c r="M3336" s="31" t="n">
        <v>46133</v>
      </c>
      <c r="N3336" s="13"/>
      <c r="O3336" s="13"/>
      <c r="P3336" s="13"/>
      <c r="Q3336" s="13"/>
    </row>
    <row r="3337" customFormat="false" ht="15" hidden="false" customHeight="false" outlineLevel="0" collapsed="false">
      <c r="A3337" s="16" t="s">
        <v>10729</v>
      </c>
      <c r="B3337" s="16" t="n">
        <v>3332</v>
      </c>
      <c r="C3337" s="16" t="s">
        <v>10730</v>
      </c>
      <c r="D3337" s="16" t="n">
        <v>7</v>
      </c>
      <c r="E3337" s="37" t="s">
        <v>10272</v>
      </c>
      <c r="F3337" s="16" t="s">
        <v>1285</v>
      </c>
      <c r="G3337" s="16" t="s">
        <v>757</v>
      </c>
      <c r="H3337" s="16" t="s">
        <v>2225</v>
      </c>
      <c r="I3337" s="16" t="s">
        <v>68</v>
      </c>
      <c r="J3337" s="16" t="s">
        <v>10079</v>
      </c>
      <c r="K3337" s="32" t="n">
        <v>1</v>
      </c>
      <c r="L3337" s="33" t="n">
        <v>46126</v>
      </c>
      <c r="M3337" s="33" t="n">
        <v>46126</v>
      </c>
      <c r="N3337" s="16" t="s">
        <v>10723</v>
      </c>
      <c r="O3337" s="16"/>
      <c r="P3337" s="16" t="str">
        <f aca="false">IF(AND(L3337&lt;=$D$2,M3337&gt;=$C$2),"Sí","")</f>
        <v/>
      </c>
      <c r="Q3337" s="18" t="str">
        <f aca="false">IF(COUNTIF(LOOKAHEAD!$A$5:$A$604,A3337)&gt;0,"En Lookahead",IF(P3337="Sí","INCORPORAR",""))</f>
        <v/>
      </c>
    </row>
    <row r="3338" customFormat="false" ht="15" hidden="false" customHeight="false" outlineLevel="0" collapsed="false">
      <c r="A3338" s="16" t="s">
        <v>10731</v>
      </c>
      <c r="B3338" s="16" t="n">
        <v>3333</v>
      </c>
      <c r="C3338" s="16" t="s">
        <v>10732</v>
      </c>
      <c r="D3338" s="16" t="n">
        <v>7</v>
      </c>
      <c r="E3338" s="37" t="s">
        <v>10276</v>
      </c>
      <c r="F3338" s="16" t="s">
        <v>1285</v>
      </c>
      <c r="G3338" s="16" t="s">
        <v>757</v>
      </c>
      <c r="H3338" s="16" t="s">
        <v>2225</v>
      </c>
      <c r="I3338" s="16" t="s">
        <v>68</v>
      </c>
      <c r="J3338" s="16" t="s">
        <v>10079</v>
      </c>
      <c r="K3338" s="32" t="n">
        <v>1</v>
      </c>
      <c r="L3338" s="33" t="n">
        <v>46127</v>
      </c>
      <c r="M3338" s="33" t="n">
        <v>46127</v>
      </c>
      <c r="N3338" s="16" t="s">
        <v>10733</v>
      </c>
      <c r="O3338" s="16"/>
      <c r="P3338" s="16" t="str">
        <f aca="false">IF(AND(L3338&lt;=$D$2,M3338&gt;=$C$2),"Sí","")</f>
        <v/>
      </c>
      <c r="Q3338" s="18" t="str">
        <f aca="false">IF(COUNTIF(LOOKAHEAD!$A$5:$A$604,A3338)&gt;0,"En Lookahead",IF(P3338="Sí","INCORPORAR",""))</f>
        <v/>
      </c>
    </row>
    <row r="3339" customFormat="false" ht="15" hidden="false" customHeight="false" outlineLevel="0" collapsed="false">
      <c r="A3339" s="16" t="s">
        <v>10734</v>
      </c>
      <c r="B3339" s="16" t="n">
        <v>3334</v>
      </c>
      <c r="C3339" s="16" t="s">
        <v>10735</v>
      </c>
      <c r="D3339" s="16" t="n">
        <v>7</v>
      </c>
      <c r="E3339" s="37" t="s">
        <v>10280</v>
      </c>
      <c r="F3339" s="16" t="s">
        <v>1285</v>
      </c>
      <c r="G3339" s="16" t="s">
        <v>757</v>
      </c>
      <c r="H3339" s="16" t="s">
        <v>2225</v>
      </c>
      <c r="I3339" s="16" t="s">
        <v>68</v>
      </c>
      <c r="J3339" s="16" t="s">
        <v>10079</v>
      </c>
      <c r="K3339" s="32" t="n">
        <v>1</v>
      </c>
      <c r="L3339" s="33" t="n">
        <v>46128</v>
      </c>
      <c r="M3339" s="33" t="n">
        <v>46128</v>
      </c>
      <c r="N3339" s="16" t="s">
        <v>10736</v>
      </c>
      <c r="O3339" s="16"/>
      <c r="P3339" s="16" t="str">
        <f aca="false">IF(AND(L3339&lt;=$D$2,M3339&gt;=$C$2),"Sí","")</f>
        <v/>
      </c>
      <c r="Q3339" s="18" t="str">
        <f aca="false">IF(COUNTIF(LOOKAHEAD!$A$5:$A$604,A3339)&gt;0,"En Lookahead",IF(P3339="Sí","INCORPORAR",""))</f>
        <v/>
      </c>
    </row>
    <row r="3340" customFormat="false" ht="15" hidden="false" customHeight="false" outlineLevel="0" collapsed="false">
      <c r="A3340" s="16" t="s">
        <v>10737</v>
      </c>
      <c r="B3340" s="16" t="n">
        <v>3335</v>
      </c>
      <c r="C3340" s="16" t="s">
        <v>10738</v>
      </c>
      <c r="D3340" s="16" t="n">
        <v>7</v>
      </c>
      <c r="E3340" s="37" t="s">
        <v>10284</v>
      </c>
      <c r="F3340" s="16" t="s">
        <v>1285</v>
      </c>
      <c r="G3340" s="16" t="s">
        <v>757</v>
      </c>
      <c r="H3340" s="16" t="s">
        <v>2225</v>
      </c>
      <c r="I3340" s="16" t="s">
        <v>68</v>
      </c>
      <c r="J3340" s="16" t="s">
        <v>10079</v>
      </c>
      <c r="K3340" s="32" t="n">
        <v>1</v>
      </c>
      <c r="L3340" s="33" t="n">
        <v>46129</v>
      </c>
      <c r="M3340" s="33" t="n">
        <v>46129</v>
      </c>
      <c r="N3340" s="16" t="s">
        <v>10739</v>
      </c>
      <c r="O3340" s="16"/>
      <c r="P3340" s="16" t="str">
        <f aca="false">IF(AND(L3340&lt;=$D$2,M3340&gt;=$C$2),"Sí","")</f>
        <v/>
      </c>
      <c r="Q3340" s="18" t="str">
        <f aca="false">IF(COUNTIF(LOOKAHEAD!$A$5:$A$604,A3340)&gt;0,"En Lookahead",IF(P3340="Sí","INCORPORAR",""))</f>
        <v/>
      </c>
    </row>
    <row r="3341" customFormat="false" ht="15" hidden="false" customHeight="false" outlineLevel="0" collapsed="false">
      <c r="A3341" s="16" t="s">
        <v>10740</v>
      </c>
      <c r="B3341" s="16" t="n">
        <v>3336</v>
      </c>
      <c r="C3341" s="16" t="s">
        <v>10741</v>
      </c>
      <c r="D3341" s="16" t="n">
        <v>7</v>
      </c>
      <c r="E3341" s="37" t="s">
        <v>10288</v>
      </c>
      <c r="F3341" s="16" t="s">
        <v>1285</v>
      </c>
      <c r="G3341" s="16" t="s">
        <v>757</v>
      </c>
      <c r="H3341" s="16" t="s">
        <v>2225</v>
      </c>
      <c r="I3341" s="16" t="s">
        <v>68</v>
      </c>
      <c r="J3341" s="16" t="s">
        <v>10079</v>
      </c>
      <c r="K3341" s="32" t="n">
        <v>1</v>
      </c>
      <c r="L3341" s="33" t="n">
        <v>46130</v>
      </c>
      <c r="M3341" s="33" t="n">
        <v>46130</v>
      </c>
      <c r="N3341" s="16" t="s">
        <v>10742</v>
      </c>
      <c r="O3341" s="16"/>
      <c r="P3341" s="16" t="str">
        <f aca="false">IF(AND(L3341&lt;=$D$2,M3341&gt;=$C$2),"Sí","")</f>
        <v/>
      </c>
      <c r="Q3341" s="18" t="str">
        <f aca="false">IF(COUNTIF(LOOKAHEAD!$A$5:$A$604,A3341)&gt;0,"En Lookahead",IF(P3341="Sí","INCORPORAR",""))</f>
        <v/>
      </c>
    </row>
    <row r="3342" customFormat="false" ht="15" hidden="false" customHeight="false" outlineLevel="0" collapsed="false">
      <c r="A3342" s="16" t="s">
        <v>10743</v>
      </c>
      <c r="B3342" s="16" t="n">
        <v>3337</v>
      </c>
      <c r="C3342" s="16" t="s">
        <v>10744</v>
      </c>
      <c r="D3342" s="16" t="n">
        <v>7</v>
      </c>
      <c r="E3342" s="37" t="s">
        <v>10292</v>
      </c>
      <c r="F3342" s="16" t="s">
        <v>1285</v>
      </c>
      <c r="G3342" s="16" t="s">
        <v>757</v>
      </c>
      <c r="H3342" s="16" t="s">
        <v>2225</v>
      </c>
      <c r="I3342" s="16" t="s">
        <v>68</v>
      </c>
      <c r="J3342" s="16" t="s">
        <v>10079</v>
      </c>
      <c r="K3342" s="32" t="n">
        <v>1</v>
      </c>
      <c r="L3342" s="33" t="n">
        <v>46131</v>
      </c>
      <c r="M3342" s="33" t="n">
        <v>46131</v>
      </c>
      <c r="N3342" s="16" t="s">
        <v>10745</v>
      </c>
      <c r="O3342" s="16"/>
      <c r="P3342" s="16" t="str">
        <f aca="false">IF(AND(L3342&lt;=$D$2,M3342&gt;=$C$2),"Sí","")</f>
        <v/>
      </c>
      <c r="Q3342" s="18" t="str">
        <f aca="false">IF(COUNTIF(LOOKAHEAD!$A$5:$A$604,A3342)&gt;0,"En Lookahead",IF(P3342="Sí","INCORPORAR",""))</f>
        <v/>
      </c>
    </row>
    <row r="3343" customFormat="false" ht="15" hidden="false" customHeight="false" outlineLevel="0" collapsed="false">
      <c r="A3343" s="16" t="s">
        <v>10746</v>
      </c>
      <c r="B3343" s="16" t="n">
        <v>3338</v>
      </c>
      <c r="C3343" s="16" t="s">
        <v>10747</v>
      </c>
      <c r="D3343" s="16" t="n">
        <v>7</v>
      </c>
      <c r="E3343" s="37" t="s">
        <v>10296</v>
      </c>
      <c r="F3343" s="16" t="s">
        <v>1285</v>
      </c>
      <c r="G3343" s="16" t="s">
        <v>757</v>
      </c>
      <c r="H3343" s="16" t="s">
        <v>2225</v>
      </c>
      <c r="I3343" s="16" t="s">
        <v>68</v>
      </c>
      <c r="J3343" s="16" t="s">
        <v>10079</v>
      </c>
      <c r="K3343" s="32" t="n">
        <v>1</v>
      </c>
      <c r="L3343" s="33" t="n">
        <v>46132</v>
      </c>
      <c r="M3343" s="33" t="n">
        <v>46132</v>
      </c>
      <c r="N3343" s="16" t="s">
        <v>10748</v>
      </c>
      <c r="O3343" s="16"/>
      <c r="P3343" s="16" t="str">
        <f aca="false">IF(AND(L3343&lt;=$D$2,M3343&gt;=$C$2),"Sí","")</f>
        <v/>
      </c>
      <c r="Q3343" s="18" t="str">
        <f aca="false">IF(COUNTIF(LOOKAHEAD!$A$5:$A$604,A3343)&gt;0,"En Lookahead",IF(P3343="Sí","INCORPORAR",""))</f>
        <v/>
      </c>
    </row>
    <row r="3344" customFormat="false" ht="15" hidden="false" customHeight="false" outlineLevel="0" collapsed="false">
      <c r="A3344" s="16" t="s">
        <v>10749</v>
      </c>
      <c r="B3344" s="16" t="n">
        <v>3339</v>
      </c>
      <c r="C3344" s="16" t="s">
        <v>10750</v>
      </c>
      <c r="D3344" s="16" t="n">
        <v>7</v>
      </c>
      <c r="E3344" s="37" t="s">
        <v>10300</v>
      </c>
      <c r="F3344" s="16" t="s">
        <v>1285</v>
      </c>
      <c r="G3344" s="16" t="s">
        <v>757</v>
      </c>
      <c r="H3344" s="16" t="s">
        <v>2225</v>
      </c>
      <c r="I3344" s="16" t="s">
        <v>68</v>
      </c>
      <c r="J3344" s="16" t="s">
        <v>10079</v>
      </c>
      <c r="K3344" s="32" t="n">
        <v>1</v>
      </c>
      <c r="L3344" s="33" t="n">
        <v>46133</v>
      </c>
      <c r="M3344" s="33" t="n">
        <v>46133</v>
      </c>
      <c r="N3344" s="16" t="s">
        <v>10751</v>
      </c>
      <c r="O3344" s="16"/>
      <c r="P3344" s="16" t="str">
        <f aca="false">IF(AND(L3344&lt;=$D$2,M3344&gt;=$C$2),"Sí","")</f>
        <v/>
      </c>
      <c r="Q3344" s="18" t="str">
        <f aca="false">IF(COUNTIF(LOOKAHEAD!$A$5:$A$604,A3344)&gt;0,"En Lookahead",IF(P3344="Sí","INCORPORAR",""))</f>
        <v/>
      </c>
    </row>
    <row r="3345" customFormat="false" ht="15" hidden="false" customHeight="false" outlineLevel="0" collapsed="false">
      <c r="A3345" s="13" t="s">
        <v>10752</v>
      </c>
      <c r="B3345" s="13" t="n">
        <v>3340</v>
      </c>
      <c r="C3345" s="13" t="s">
        <v>10753</v>
      </c>
      <c r="D3345" s="13" t="n">
        <v>4</v>
      </c>
      <c r="E3345" s="20" t="s">
        <v>3012</v>
      </c>
      <c r="F3345" s="13" t="s">
        <v>1298</v>
      </c>
      <c r="G3345" s="13" t="s">
        <v>757</v>
      </c>
      <c r="H3345" s="13" t="s">
        <v>3012</v>
      </c>
      <c r="I3345" s="13" t="s">
        <v>74</v>
      </c>
      <c r="J3345" s="13" t="s">
        <v>9945</v>
      </c>
      <c r="K3345" s="30" t="n">
        <v>326</v>
      </c>
      <c r="L3345" s="31" t="n">
        <v>46008</v>
      </c>
      <c r="M3345" s="31" t="n">
        <v>46413</v>
      </c>
      <c r="N3345" s="13"/>
      <c r="O3345" s="13"/>
      <c r="P3345" s="13"/>
      <c r="Q3345" s="13"/>
    </row>
    <row r="3346" customFormat="false" ht="15" hidden="false" customHeight="false" outlineLevel="0" collapsed="false">
      <c r="A3346" s="13" t="s">
        <v>10754</v>
      </c>
      <c r="B3346" s="13" t="n">
        <v>3341</v>
      </c>
      <c r="C3346" s="13" t="s">
        <v>10755</v>
      </c>
      <c r="D3346" s="13" t="n">
        <v>5</v>
      </c>
      <c r="E3346" s="34" t="s">
        <v>9950</v>
      </c>
      <c r="F3346" s="13" t="s">
        <v>1298</v>
      </c>
      <c r="G3346" s="13" t="s">
        <v>757</v>
      </c>
      <c r="H3346" s="13" t="s">
        <v>3012</v>
      </c>
      <c r="I3346" s="13" t="s">
        <v>74</v>
      </c>
      <c r="J3346" s="13" t="s">
        <v>3012</v>
      </c>
      <c r="K3346" s="30" t="n">
        <v>1</v>
      </c>
      <c r="L3346" s="31" t="n">
        <v>46413</v>
      </c>
      <c r="M3346" s="31" t="n">
        <v>46413</v>
      </c>
      <c r="N3346" s="13"/>
      <c r="O3346" s="13"/>
      <c r="P3346" s="13"/>
      <c r="Q3346" s="13"/>
    </row>
    <row r="3347" customFormat="false" ht="15" hidden="false" customHeight="false" outlineLevel="0" collapsed="false">
      <c r="A3347" s="13" t="s">
        <v>10756</v>
      </c>
      <c r="B3347" s="13" t="n">
        <v>3342</v>
      </c>
      <c r="C3347" s="13" t="s">
        <v>10757</v>
      </c>
      <c r="D3347" s="13" t="n">
        <v>6</v>
      </c>
      <c r="E3347" s="36" t="s">
        <v>9953</v>
      </c>
      <c r="F3347" s="13" t="s">
        <v>1298</v>
      </c>
      <c r="G3347" s="13" t="s">
        <v>757</v>
      </c>
      <c r="H3347" s="13" t="s">
        <v>3012</v>
      </c>
      <c r="I3347" s="13" t="s">
        <v>74</v>
      </c>
      <c r="J3347" s="13" t="s">
        <v>9950</v>
      </c>
      <c r="K3347" s="30" t="n">
        <v>1</v>
      </c>
      <c r="L3347" s="31" t="n">
        <v>46413</v>
      </c>
      <c r="M3347" s="31" t="n">
        <v>46413</v>
      </c>
      <c r="N3347" s="13"/>
      <c r="O3347" s="13"/>
      <c r="P3347" s="13"/>
      <c r="Q3347" s="13"/>
    </row>
    <row r="3348" customFormat="false" ht="15" hidden="false" customHeight="false" outlineLevel="0" collapsed="false">
      <c r="A3348" s="16" t="s">
        <v>10758</v>
      </c>
      <c r="B3348" s="16" t="n">
        <v>3343</v>
      </c>
      <c r="C3348" s="16" t="s">
        <v>10759</v>
      </c>
      <c r="D3348" s="16" t="n">
        <v>7</v>
      </c>
      <c r="E3348" s="37" t="s">
        <v>9956</v>
      </c>
      <c r="F3348" s="16" t="s">
        <v>1285</v>
      </c>
      <c r="G3348" s="16" t="s">
        <v>757</v>
      </c>
      <c r="H3348" s="16" t="s">
        <v>3012</v>
      </c>
      <c r="I3348" s="16" t="s">
        <v>74</v>
      </c>
      <c r="J3348" s="16" t="s">
        <v>9953</v>
      </c>
      <c r="K3348" s="32" t="n">
        <v>1</v>
      </c>
      <c r="L3348" s="33" t="n">
        <v>46413</v>
      </c>
      <c r="M3348" s="33" t="n">
        <v>46413</v>
      </c>
      <c r="N3348" s="16" t="s">
        <v>7992</v>
      </c>
      <c r="O3348" s="16"/>
      <c r="P3348" s="16" t="str">
        <f aca="false">IF(AND(L3348&lt;=$D$2,M3348&gt;=$C$2),"Sí","")</f>
        <v/>
      </c>
      <c r="Q3348" s="18" t="str">
        <f aca="false">IF(COUNTIF(LOOKAHEAD!$A$5:$A$604,A3348)&gt;0,"En Lookahead",IF(P3348="Sí","INCORPORAR",""))</f>
        <v/>
      </c>
    </row>
    <row r="3349" customFormat="false" ht="15" hidden="false" customHeight="false" outlineLevel="0" collapsed="false">
      <c r="A3349" s="16" t="s">
        <v>10760</v>
      </c>
      <c r="B3349" s="16" t="n">
        <v>3344</v>
      </c>
      <c r="C3349" s="16" t="s">
        <v>10761</v>
      </c>
      <c r="D3349" s="16" t="n">
        <v>7</v>
      </c>
      <c r="E3349" s="37" t="s">
        <v>9959</v>
      </c>
      <c r="F3349" s="16" t="s">
        <v>1285</v>
      </c>
      <c r="G3349" s="16" t="s">
        <v>757</v>
      </c>
      <c r="H3349" s="16" t="s">
        <v>3012</v>
      </c>
      <c r="I3349" s="16" t="s">
        <v>74</v>
      </c>
      <c r="J3349" s="16" t="s">
        <v>9953</v>
      </c>
      <c r="K3349" s="32" t="n">
        <v>1</v>
      </c>
      <c r="L3349" s="33" t="n">
        <v>46413</v>
      </c>
      <c r="M3349" s="33" t="n">
        <v>46413</v>
      </c>
      <c r="N3349" s="16" t="s">
        <v>10762</v>
      </c>
      <c r="O3349" s="16"/>
      <c r="P3349" s="16" t="str">
        <f aca="false">IF(AND(L3349&lt;=$D$2,M3349&gt;=$C$2),"Sí","")</f>
        <v/>
      </c>
      <c r="Q3349" s="18" t="str">
        <f aca="false">IF(COUNTIF(LOOKAHEAD!$A$5:$A$604,A3349)&gt;0,"En Lookahead",IF(P3349="Sí","INCORPORAR",""))</f>
        <v/>
      </c>
    </row>
    <row r="3350" customFormat="false" ht="15" hidden="false" customHeight="false" outlineLevel="0" collapsed="false">
      <c r="A3350" s="13" t="s">
        <v>10763</v>
      </c>
      <c r="B3350" s="13" t="n">
        <v>3345</v>
      </c>
      <c r="C3350" s="13" t="s">
        <v>10764</v>
      </c>
      <c r="D3350" s="13" t="n">
        <v>6</v>
      </c>
      <c r="E3350" s="36" t="s">
        <v>9963</v>
      </c>
      <c r="F3350" s="13" t="s">
        <v>1298</v>
      </c>
      <c r="G3350" s="13" t="s">
        <v>757</v>
      </c>
      <c r="H3350" s="13" t="s">
        <v>3012</v>
      </c>
      <c r="I3350" s="13" t="s">
        <v>74</v>
      </c>
      <c r="J3350" s="13" t="s">
        <v>9950</v>
      </c>
      <c r="K3350" s="30" t="n">
        <v>1</v>
      </c>
      <c r="L3350" s="31" t="n">
        <v>46413</v>
      </c>
      <c r="M3350" s="31" t="n">
        <v>46413</v>
      </c>
      <c r="N3350" s="13"/>
      <c r="O3350" s="13"/>
      <c r="P3350" s="13"/>
      <c r="Q3350" s="13"/>
    </row>
    <row r="3351" customFormat="false" ht="15" hidden="false" customHeight="false" outlineLevel="0" collapsed="false">
      <c r="A3351" s="16" t="s">
        <v>10765</v>
      </c>
      <c r="B3351" s="16" t="n">
        <v>3346</v>
      </c>
      <c r="C3351" s="16" t="s">
        <v>10766</v>
      </c>
      <c r="D3351" s="16" t="n">
        <v>7</v>
      </c>
      <c r="E3351" s="37" t="s">
        <v>9966</v>
      </c>
      <c r="F3351" s="16" t="s">
        <v>1285</v>
      </c>
      <c r="G3351" s="16" t="s">
        <v>757</v>
      </c>
      <c r="H3351" s="16" t="s">
        <v>3012</v>
      </c>
      <c r="I3351" s="16" t="s">
        <v>74</v>
      </c>
      <c r="J3351" s="16" t="s">
        <v>9963</v>
      </c>
      <c r="K3351" s="32" t="n">
        <v>1</v>
      </c>
      <c r="L3351" s="33" t="n">
        <v>46413</v>
      </c>
      <c r="M3351" s="33" t="n">
        <v>46413</v>
      </c>
      <c r="N3351" s="16" t="s">
        <v>10767</v>
      </c>
      <c r="O3351" s="16"/>
      <c r="P3351" s="16" t="str">
        <f aca="false">IF(AND(L3351&lt;=$D$2,M3351&gt;=$C$2),"Sí","")</f>
        <v/>
      </c>
      <c r="Q3351" s="18" t="str">
        <f aca="false">IF(COUNTIF(LOOKAHEAD!$A$5:$A$604,A3351)&gt;0,"En Lookahead",IF(P3351="Sí","INCORPORAR",""))</f>
        <v/>
      </c>
    </row>
    <row r="3352" customFormat="false" ht="15" hidden="false" customHeight="false" outlineLevel="0" collapsed="false">
      <c r="A3352" s="16" t="s">
        <v>10768</v>
      </c>
      <c r="B3352" s="16" t="n">
        <v>3347</v>
      </c>
      <c r="C3352" s="16" t="s">
        <v>10769</v>
      </c>
      <c r="D3352" s="16" t="n">
        <v>7</v>
      </c>
      <c r="E3352" s="37" t="s">
        <v>9969</v>
      </c>
      <c r="F3352" s="16" t="s">
        <v>1285</v>
      </c>
      <c r="G3352" s="16" t="s">
        <v>757</v>
      </c>
      <c r="H3352" s="16" t="s">
        <v>3012</v>
      </c>
      <c r="I3352" s="16" t="s">
        <v>74</v>
      </c>
      <c r="J3352" s="16" t="s">
        <v>9963</v>
      </c>
      <c r="K3352" s="32" t="n">
        <v>1</v>
      </c>
      <c r="L3352" s="33" t="n">
        <v>46413</v>
      </c>
      <c r="M3352" s="33" t="n">
        <v>46413</v>
      </c>
      <c r="N3352" s="16" t="s">
        <v>10770</v>
      </c>
      <c r="O3352" s="16"/>
      <c r="P3352" s="16" t="str">
        <f aca="false">IF(AND(L3352&lt;=$D$2,M3352&gt;=$C$2),"Sí","")</f>
        <v/>
      </c>
      <c r="Q3352" s="18" t="str">
        <f aca="false">IF(COUNTIF(LOOKAHEAD!$A$5:$A$604,A3352)&gt;0,"En Lookahead",IF(P3352="Sí","INCORPORAR",""))</f>
        <v/>
      </c>
    </row>
    <row r="3353" customFormat="false" ht="15" hidden="false" customHeight="false" outlineLevel="0" collapsed="false">
      <c r="A3353" s="16" t="s">
        <v>10771</v>
      </c>
      <c r="B3353" s="16" t="n">
        <v>3348</v>
      </c>
      <c r="C3353" s="16" t="s">
        <v>10772</v>
      </c>
      <c r="D3353" s="16" t="n">
        <v>7</v>
      </c>
      <c r="E3353" s="37" t="s">
        <v>9972</v>
      </c>
      <c r="F3353" s="16" t="s">
        <v>1285</v>
      </c>
      <c r="G3353" s="16" t="s">
        <v>757</v>
      </c>
      <c r="H3353" s="16" t="s">
        <v>3012</v>
      </c>
      <c r="I3353" s="16" t="s">
        <v>74</v>
      </c>
      <c r="J3353" s="16" t="s">
        <v>9963</v>
      </c>
      <c r="K3353" s="32" t="n">
        <v>1</v>
      </c>
      <c r="L3353" s="33" t="n">
        <v>46413</v>
      </c>
      <c r="M3353" s="33" t="n">
        <v>46413</v>
      </c>
      <c r="N3353" s="16" t="s">
        <v>10773</v>
      </c>
      <c r="O3353" s="16"/>
      <c r="P3353" s="16" t="str">
        <f aca="false">IF(AND(L3353&lt;=$D$2,M3353&gt;=$C$2),"Sí","")</f>
        <v/>
      </c>
      <c r="Q3353" s="18" t="str">
        <f aca="false">IF(COUNTIF(LOOKAHEAD!$A$5:$A$604,A3353)&gt;0,"En Lookahead",IF(P3353="Sí","INCORPORAR",""))</f>
        <v/>
      </c>
    </row>
    <row r="3354" customFormat="false" ht="15" hidden="false" customHeight="false" outlineLevel="0" collapsed="false">
      <c r="A3354" s="13" t="s">
        <v>10774</v>
      </c>
      <c r="B3354" s="13" t="n">
        <v>3349</v>
      </c>
      <c r="C3354" s="13" t="s">
        <v>10775</v>
      </c>
      <c r="D3354" s="13" t="n">
        <v>5</v>
      </c>
      <c r="E3354" s="34" t="s">
        <v>9975</v>
      </c>
      <c r="F3354" s="13" t="s">
        <v>1298</v>
      </c>
      <c r="G3354" s="13" t="s">
        <v>757</v>
      </c>
      <c r="H3354" s="13" t="s">
        <v>3012</v>
      </c>
      <c r="I3354" s="13" t="s">
        <v>74</v>
      </c>
      <c r="J3354" s="13" t="s">
        <v>3012</v>
      </c>
      <c r="K3354" s="30" t="n">
        <v>19</v>
      </c>
      <c r="L3354" s="31" t="n">
        <v>46008</v>
      </c>
      <c r="M3354" s="31" t="n">
        <v>46026</v>
      </c>
      <c r="N3354" s="13"/>
      <c r="O3354" s="13"/>
      <c r="P3354" s="13"/>
      <c r="Q3354" s="13"/>
    </row>
    <row r="3355" customFormat="false" ht="15" hidden="false" customHeight="false" outlineLevel="0" collapsed="false">
      <c r="A3355" s="13" t="s">
        <v>10776</v>
      </c>
      <c r="B3355" s="13" t="n">
        <v>3350</v>
      </c>
      <c r="C3355" s="13" t="s">
        <v>10777</v>
      </c>
      <c r="D3355" s="13" t="n">
        <v>6</v>
      </c>
      <c r="E3355" s="36" t="s">
        <v>10035</v>
      </c>
      <c r="F3355" s="13" t="s">
        <v>1298</v>
      </c>
      <c r="G3355" s="13" t="s">
        <v>757</v>
      </c>
      <c r="H3355" s="13" t="s">
        <v>3012</v>
      </c>
      <c r="I3355" s="13" t="s">
        <v>74</v>
      </c>
      <c r="J3355" s="13" t="s">
        <v>9975</v>
      </c>
      <c r="K3355" s="30" t="n">
        <v>1</v>
      </c>
      <c r="L3355" s="31" t="n">
        <v>46008</v>
      </c>
      <c r="M3355" s="31" t="n">
        <v>46008</v>
      </c>
      <c r="N3355" s="13"/>
      <c r="O3355" s="13"/>
      <c r="P3355" s="13"/>
      <c r="Q3355" s="13"/>
    </row>
    <row r="3356" customFormat="false" ht="15" hidden="false" customHeight="false" outlineLevel="0" collapsed="false">
      <c r="A3356" s="16" t="s">
        <v>10778</v>
      </c>
      <c r="B3356" s="16" t="n">
        <v>3351</v>
      </c>
      <c r="C3356" s="16" t="s">
        <v>10779</v>
      </c>
      <c r="D3356" s="16" t="n">
        <v>7</v>
      </c>
      <c r="E3356" s="37" t="s">
        <v>10038</v>
      </c>
      <c r="F3356" s="16" t="s">
        <v>1285</v>
      </c>
      <c r="G3356" s="16" t="s">
        <v>757</v>
      </c>
      <c r="H3356" s="16" t="s">
        <v>3012</v>
      </c>
      <c r="I3356" s="16" t="s">
        <v>74</v>
      </c>
      <c r="J3356" s="16" t="s">
        <v>10035</v>
      </c>
      <c r="K3356" s="32" t="n">
        <v>1</v>
      </c>
      <c r="L3356" s="33" t="n">
        <v>46008</v>
      </c>
      <c r="M3356" s="33" t="n">
        <v>46008</v>
      </c>
      <c r="N3356" s="16" t="s">
        <v>3023</v>
      </c>
      <c r="O3356" s="16"/>
      <c r="P3356" s="16" t="str">
        <f aca="false">IF(AND(L3356&lt;=$D$2,M3356&gt;=$C$2),"Sí","")</f>
        <v/>
      </c>
      <c r="Q3356" s="18" t="str">
        <f aca="false">IF(COUNTIF(LOOKAHEAD!$A$5:$A$604,A3356)&gt;0,"En Lookahead",IF(P3356="Sí","INCORPORAR",""))</f>
        <v/>
      </c>
    </row>
    <row r="3357" customFormat="false" ht="15" hidden="false" customHeight="false" outlineLevel="0" collapsed="false">
      <c r="A3357" s="13" t="s">
        <v>10780</v>
      </c>
      <c r="B3357" s="13" t="n">
        <v>3352</v>
      </c>
      <c r="C3357" s="13" t="s">
        <v>10781</v>
      </c>
      <c r="D3357" s="13" t="n">
        <v>6</v>
      </c>
      <c r="E3357" s="36" t="s">
        <v>1534</v>
      </c>
      <c r="F3357" s="13" t="s">
        <v>1298</v>
      </c>
      <c r="G3357" s="13" t="s">
        <v>757</v>
      </c>
      <c r="H3357" s="13" t="s">
        <v>3012</v>
      </c>
      <c r="I3357" s="13" t="s">
        <v>74</v>
      </c>
      <c r="J3357" s="13" t="s">
        <v>9975</v>
      </c>
      <c r="K3357" s="30" t="n">
        <v>17</v>
      </c>
      <c r="L3357" s="31" t="n">
        <v>46009</v>
      </c>
      <c r="M3357" s="31" t="n">
        <v>46025</v>
      </c>
      <c r="N3357" s="13"/>
      <c r="O3357" s="13"/>
      <c r="P3357" s="13"/>
      <c r="Q3357" s="13"/>
    </row>
    <row r="3358" customFormat="false" ht="15" hidden="false" customHeight="false" outlineLevel="0" collapsed="false">
      <c r="A3358" s="16" t="s">
        <v>10782</v>
      </c>
      <c r="B3358" s="16" t="n">
        <v>3353</v>
      </c>
      <c r="C3358" s="16" t="s">
        <v>10783</v>
      </c>
      <c r="D3358" s="16" t="n">
        <v>7</v>
      </c>
      <c r="E3358" s="37" t="s">
        <v>10043</v>
      </c>
      <c r="F3358" s="16" t="s">
        <v>1285</v>
      </c>
      <c r="G3358" s="16" t="s">
        <v>757</v>
      </c>
      <c r="H3358" s="16" t="s">
        <v>3012</v>
      </c>
      <c r="I3358" s="16" t="s">
        <v>74</v>
      </c>
      <c r="J3358" s="16" t="s">
        <v>1534</v>
      </c>
      <c r="K3358" s="32" t="n">
        <v>2</v>
      </c>
      <c r="L3358" s="33" t="n">
        <v>46009</v>
      </c>
      <c r="M3358" s="33" t="n">
        <v>46010</v>
      </c>
      <c r="N3358" s="16" t="s">
        <v>10784</v>
      </c>
      <c r="O3358" s="16"/>
      <c r="P3358" s="16" t="str">
        <f aca="false">IF(AND(L3358&lt;=$D$2,M3358&gt;=$C$2),"Sí","")</f>
        <v/>
      </c>
      <c r="Q3358" s="18" t="str">
        <f aca="false">IF(COUNTIF(LOOKAHEAD!$A$5:$A$604,A3358)&gt;0,"En Lookahead",IF(P3358="Sí","INCORPORAR",""))</f>
        <v/>
      </c>
    </row>
    <row r="3359" customFormat="false" ht="15" hidden="false" customHeight="false" outlineLevel="0" collapsed="false">
      <c r="A3359" s="16" t="s">
        <v>10785</v>
      </c>
      <c r="B3359" s="16" t="n">
        <v>3354</v>
      </c>
      <c r="C3359" s="16" t="s">
        <v>10786</v>
      </c>
      <c r="D3359" s="16" t="n">
        <v>7</v>
      </c>
      <c r="E3359" s="37" t="s">
        <v>10047</v>
      </c>
      <c r="F3359" s="16" t="s">
        <v>1285</v>
      </c>
      <c r="G3359" s="16" t="s">
        <v>757</v>
      </c>
      <c r="H3359" s="16" t="s">
        <v>3012</v>
      </c>
      <c r="I3359" s="16" t="s">
        <v>74</v>
      </c>
      <c r="J3359" s="16" t="s">
        <v>1534</v>
      </c>
      <c r="K3359" s="32" t="n">
        <v>1</v>
      </c>
      <c r="L3359" s="33" t="n">
        <v>46011</v>
      </c>
      <c r="M3359" s="33" t="n">
        <v>46011</v>
      </c>
      <c r="N3359" s="16" t="s">
        <v>10787</v>
      </c>
      <c r="O3359" s="16"/>
      <c r="P3359" s="16" t="str">
        <f aca="false">IF(AND(L3359&lt;=$D$2,M3359&gt;=$C$2),"Sí","")</f>
        <v/>
      </c>
      <c r="Q3359" s="18" t="str">
        <f aca="false">IF(COUNTIF(LOOKAHEAD!$A$5:$A$604,A3359)&gt;0,"En Lookahead",IF(P3359="Sí","INCORPORAR",""))</f>
        <v/>
      </c>
    </row>
    <row r="3360" customFormat="false" ht="15" hidden="false" customHeight="false" outlineLevel="0" collapsed="false">
      <c r="A3360" s="16" t="s">
        <v>10788</v>
      </c>
      <c r="B3360" s="16" t="n">
        <v>3355</v>
      </c>
      <c r="C3360" s="16" t="s">
        <v>10789</v>
      </c>
      <c r="D3360" s="16" t="n">
        <v>7</v>
      </c>
      <c r="E3360" s="37" t="s">
        <v>10051</v>
      </c>
      <c r="F3360" s="16" t="s">
        <v>1285</v>
      </c>
      <c r="G3360" s="16" t="s">
        <v>757</v>
      </c>
      <c r="H3360" s="16" t="s">
        <v>3012</v>
      </c>
      <c r="I3360" s="16" t="s">
        <v>74</v>
      </c>
      <c r="J3360" s="16" t="s">
        <v>1534</v>
      </c>
      <c r="K3360" s="32" t="n">
        <v>1</v>
      </c>
      <c r="L3360" s="33" t="n">
        <v>46012</v>
      </c>
      <c r="M3360" s="33" t="n">
        <v>46012</v>
      </c>
      <c r="N3360" s="16" t="s">
        <v>10790</v>
      </c>
      <c r="O3360" s="16"/>
      <c r="P3360" s="16" t="str">
        <f aca="false">IF(AND(L3360&lt;=$D$2,M3360&gt;=$C$2),"Sí","")</f>
        <v/>
      </c>
      <c r="Q3360" s="18" t="str">
        <f aca="false">IF(COUNTIF(LOOKAHEAD!$A$5:$A$604,A3360)&gt;0,"En Lookahead",IF(P3360="Sí","INCORPORAR",""))</f>
        <v/>
      </c>
    </row>
    <row r="3361" customFormat="false" ht="15" hidden="false" customHeight="false" outlineLevel="0" collapsed="false">
      <c r="A3361" s="16" t="s">
        <v>10791</v>
      </c>
      <c r="B3361" s="16" t="n">
        <v>3356</v>
      </c>
      <c r="C3361" s="16" t="s">
        <v>10792</v>
      </c>
      <c r="D3361" s="16" t="n">
        <v>7</v>
      </c>
      <c r="E3361" s="37" t="s">
        <v>10055</v>
      </c>
      <c r="F3361" s="16" t="s">
        <v>1285</v>
      </c>
      <c r="G3361" s="16" t="s">
        <v>757</v>
      </c>
      <c r="H3361" s="16" t="s">
        <v>3012</v>
      </c>
      <c r="I3361" s="16" t="s">
        <v>74</v>
      </c>
      <c r="J3361" s="16" t="s">
        <v>1534</v>
      </c>
      <c r="K3361" s="32" t="n">
        <v>1</v>
      </c>
      <c r="L3361" s="33" t="n">
        <v>46013</v>
      </c>
      <c r="M3361" s="33" t="n">
        <v>46013</v>
      </c>
      <c r="N3361" s="16" t="s">
        <v>10793</v>
      </c>
      <c r="O3361" s="16"/>
      <c r="P3361" s="16" t="str">
        <f aca="false">IF(AND(L3361&lt;=$D$2,M3361&gt;=$C$2),"Sí","")</f>
        <v/>
      </c>
      <c r="Q3361" s="18" t="str">
        <f aca="false">IF(COUNTIF(LOOKAHEAD!$A$5:$A$604,A3361)&gt;0,"En Lookahead",IF(P3361="Sí","INCORPORAR",""))</f>
        <v/>
      </c>
    </row>
    <row r="3362" customFormat="false" ht="15" hidden="false" customHeight="false" outlineLevel="0" collapsed="false">
      <c r="A3362" s="16" t="s">
        <v>10794</v>
      </c>
      <c r="B3362" s="16" t="n">
        <v>3357</v>
      </c>
      <c r="C3362" s="16" t="s">
        <v>10795</v>
      </c>
      <c r="D3362" s="16" t="n">
        <v>7</v>
      </c>
      <c r="E3362" s="37" t="s">
        <v>10059</v>
      </c>
      <c r="F3362" s="16" t="s">
        <v>1285</v>
      </c>
      <c r="G3362" s="16" t="s">
        <v>757</v>
      </c>
      <c r="H3362" s="16" t="s">
        <v>3012</v>
      </c>
      <c r="I3362" s="16" t="s">
        <v>74</v>
      </c>
      <c r="J3362" s="16" t="s">
        <v>1534</v>
      </c>
      <c r="K3362" s="32" t="n">
        <v>1</v>
      </c>
      <c r="L3362" s="33" t="n">
        <v>46023</v>
      </c>
      <c r="M3362" s="33" t="n">
        <v>46023</v>
      </c>
      <c r="N3362" s="16" t="s">
        <v>10796</v>
      </c>
      <c r="O3362" s="16"/>
      <c r="P3362" s="16" t="str">
        <f aca="false">IF(AND(L3362&lt;=$D$2,M3362&gt;=$C$2),"Sí","")</f>
        <v/>
      </c>
      <c r="Q3362" s="18" t="str">
        <f aca="false">IF(COUNTIF(LOOKAHEAD!$A$5:$A$604,A3362)&gt;0,"En Lookahead",IF(P3362="Sí","INCORPORAR",""))</f>
        <v/>
      </c>
    </row>
    <row r="3363" customFormat="false" ht="15" hidden="false" customHeight="false" outlineLevel="0" collapsed="false">
      <c r="A3363" s="16" t="s">
        <v>10797</v>
      </c>
      <c r="B3363" s="16" t="n">
        <v>3358</v>
      </c>
      <c r="C3363" s="16" t="s">
        <v>10798</v>
      </c>
      <c r="D3363" s="16" t="n">
        <v>7</v>
      </c>
      <c r="E3363" s="37" t="s">
        <v>10063</v>
      </c>
      <c r="F3363" s="16" t="s">
        <v>1285</v>
      </c>
      <c r="G3363" s="16" t="s">
        <v>757</v>
      </c>
      <c r="H3363" s="16" t="s">
        <v>3012</v>
      </c>
      <c r="I3363" s="16" t="s">
        <v>74</v>
      </c>
      <c r="J3363" s="16" t="s">
        <v>1534</v>
      </c>
      <c r="K3363" s="32" t="n">
        <v>1</v>
      </c>
      <c r="L3363" s="33" t="n">
        <v>46024</v>
      </c>
      <c r="M3363" s="33" t="n">
        <v>46024</v>
      </c>
      <c r="N3363" s="16" t="s">
        <v>10799</v>
      </c>
      <c r="O3363" s="16"/>
      <c r="P3363" s="16" t="str">
        <f aca="false">IF(AND(L3363&lt;=$D$2,M3363&gt;=$C$2),"Sí","")</f>
        <v/>
      </c>
      <c r="Q3363" s="18" t="str">
        <f aca="false">IF(COUNTIF(LOOKAHEAD!$A$5:$A$604,A3363)&gt;0,"En Lookahead",IF(P3363="Sí","INCORPORAR",""))</f>
        <v/>
      </c>
    </row>
    <row r="3364" customFormat="false" ht="15" hidden="false" customHeight="false" outlineLevel="0" collapsed="false">
      <c r="A3364" s="16" t="s">
        <v>10800</v>
      </c>
      <c r="B3364" s="16" t="n">
        <v>3359</v>
      </c>
      <c r="C3364" s="16" t="s">
        <v>10801</v>
      </c>
      <c r="D3364" s="16" t="n">
        <v>7</v>
      </c>
      <c r="E3364" s="37" t="s">
        <v>1557</v>
      </c>
      <c r="F3364" s="16" t="s">
        <v>1285</v>
      </c>
      <c r="G3364" s="16" t="s">
        <v>757</v>
      </c>
      <c r="H3364" s="16" t="s">
        <v>3012</v>
      </c>
      <c r="I3364" s="16" t="s">
        <v>74</v>
      </c>
      <c r="J3364" s="16" t="s">
        <v>1534</v>
      </c>
      <c r="K3364" s="32" t="n">
        <v>1</v>
      </c>
      <c r="L3364" s="33" t="n">
        <v>46023</v>
      </c>
      <c r="M3364" s="33" t="n">
        <v>46023</v>
      </c>
      <c r="N3364" s="16" t="s">
        <v>10802</v>
      </c>
      <c r="O3364" s="16"/>
      <c r="P3364" s="16" t="str">
        <f aca="false">IF(AND(L3364&lt;=$D$2,M3364&gt;=$C$2),"Sí","")</f>
        <v/>
      </c>
      <c r="Q3364" s="18" t="str">
        <f aca="false">IF(COUNTIF(LOOKAHEAD!$A$5:$A$604,A3364)&gt;0,"En Lookahead",IF(P3364="Sí","INCORPORAR",""))</f>
        <v/>
      </c>
    </row>
    <row r="3365" customFormat="false" ht="15" hidden="false" customHeight="false" outlineLevel="0" collapsed="false">
      <c r="A3365" s="16" t="s">
        <v>10803</v>
      </c>
      <c r="B3365" s="16" t="n">
        <v>3360</v>
      </c>
      <c r="C3365" s="16" t="s">
        <v>10804</v>
      </c>
      <c r="D3365" s="16" t="n">
        <v>7</v>
      </c>
      <c r="E3365" s="37" t="s">
        <v>10069</v>
      </c>
      <c r="F3365" s="16" t="s">
        <v>1285</v>
      </c>
      <c r="G3365" s="16" t="s">
        <v>757</v>
      </c>
      <c r="H3365" s="16" t="s">
        <v>3012</v>
      </c>
      <c r="I3365" s="16" t="s">
        <v>74</v>
      </c>
      <c r="J3365" s="16" t="s">
        <v>1534</v>
      </c>
      <c r="K3365" s="32" t="n">
        <v>1</v>
      </c>
      <c r="L3365" s="33" t="n">
        <v>46025</v>
      </c>
      <c r="M3365" s="33" t="n">
        <v>46025</v>
      </c>
      <c r="N3365" s="16" t="s">
        <v>10805</v>
      </c>
      <c r="O3365" s="16"/>
      <c r="P3365" s="16" t="str">
        <f aca="false">IF(AND(L3365&lt;=$D$2,M3365&gt;=$C$2),"Sí","")</f>
        <v/>
      </c>
      <c r="Q3365" s="18" t="str">
        <f aca="false">IF(COUNTIF(LOOKAHEAD!$A$5:$A$604,A3365)&gt;0,"En Lookahead",IF(P3365="Sí","INCORPORAR",""))</f>
        <v/>
      </c>
    </row>
    <row r="3366" customFormat="false" ht="15" hidden="false" customHeight="false" outlineLevel="0" collapsed="false">
      <c r="A3366" s="13" t="s">
        <v>10806</v>
      </c>
      <c r="B3366" s="13" t="n">
        <v>3361</v>
      </c>
      <c r="C3366" s="13" t="s">
        <v>10807</v>
      </c>
      <c r="D3366" s="13" t="n">
        <v>6</v>
      </c>
      <c r="E3366" s="36" t="s">
        <v>9978</v>
      </c>
      <c r="F3366" s="13" t="s">
        <v>1298</v>
      </c>
      <c r="G3366" s="13" t="s">
        <v>757</v>
      </c>
      <c r="H3366" s="13" t="s">
        <v>3012</v>
      </c>
      <c r="I3366" s="13" t="s">
        <v>74</v>
      </c>
      <c r="J3366" s="13" t="s">
        <v>9975</v>
      </c>
      <c r="K3366" s="30" t="n">
        <v>1</v>
      </c>
      <c r="L3366" s="31" t="n">
        <v>46026</v>
      </c>
      <c r="M3366" s="31" t="n">
        <v>46026</v>
      </c>
      <c r="N3366" s="13"/>
      <c r="O3366" s="13"/>
      <c r="P3366" s="13"/>
      <c r="Q3366" s="13"/>
    </row>
    <row r="3367" customFormat="false" ht="15" hidden="false" customHeight="false" outlineLevel="0" collapsed="false">
      <c r="A3367" s="16" t="s">
        <v>10808</v>
      </c>
      <c r="B3367" s="16" t="n">
        <v>3362</v>
      </c>
      <c r="C3367" s="16" t="s">
        <v>10809</v>
      </c>
      <c r="D3367" s="16" t="n">
        <v>7</v>
      </c>
      <c r="E3367" s="37" t="s">
        <v>9981</v>
      </c>
      <c r="F3367" s="16" t="s">
        <v>1285</v>
      </c>
      <c r="G3367" s="16" t="s">
        <v>757</v>
      </c>
      <c r="H3367" s="16" t="s">
        <v>3012</v>
      </c>
      <c r="I3367" s="16" t="s">
        <v>74</v>
      </c>
      <c r="J3367" s="16" t="s">
        <v>9978</v>
      </c>
      <c r="K3367" s="32" t="n">
        <v>1</v>
      </c>
      <c r="L3367" s="33" t="n">
        <v>46026</v>
      </c>
      <c r="M3367" s="33" t="n">
        <v>46026</v>
      </c>
      <c r="N3367" s="16" t="s">
        <v>10810</v>
      </c>
      <c r="O3367" s="16"/>
      <c r="P3367" s="16" t="str">
        <f aca="false">IF(AND(L3367&lt;=$D$2,M3367&gt;=$C$2),"Sí","")</f>
        <v/>
      </c>
      <c r="Q3367" s="18" t="str">
        <f aca="false">IF(COUNTIF(LOOKAHEAD!$A$5:$A$604,A3367)&gt;0,"En Lookahead",IF(P3367="Sí","INCORPORAR",""))</f>
        <v/>
      </c>
    </row>
    <row r="3368" customFormat="false" ht="15" hidden="false" customHeight="false" outlineLevel="0" collapsed="false">
      <c r="A3368" s="13" t="s">
        <v>10811</v>
      </c>
      <c r="B3368" s="13" t="n">
        <v>3363</v>
      </c>
      <c r="C3368" s="13" t="s">
        <v>10812</v>
      </c>
      <c r="D3368" s="13" t="n">
        <v>6</v>
      </c>
      <c r="E3368" s="36" t="s">
        <v>9984</v>
      </c>
      <c r="F3368" s="13" t="s">
        <v>1298</v>
      </c>
      <c r="G3368" s="13" t="s">
        <v>757</v>
      </c>
      <c r="H3368" s="13" t="s">
        <v>3012</v>
      </c>
      <c r="I3368" s="13" t="s">
        <v>74</v>
      </c>
      <c r="J3368" s="13" t="s">
        <v>9975</v>
      </c>
      <c r="K3368" s="30" t="n">
        <v>13</v>
      </c>
      <c r="L3368" s="31" t="n">
        <v>46013</v>
      </c>
      <c r="M3368" s="31" t="n">
        <v>46025</v>
      </c>
      <c r="N3368" s="13"/>
      <c r="O3368" s="13"/>
      <c r="P3368" s="13"/>
      <c r="Q3368" s="13"/>
    </row>
    <row r="3369" customFormat="false" ht="15" hidden="false" customHeight="false" outlineLevel="0" collapsed="false">
      <c r="A3369" s="16" t="s">
        <v>10813</v>
      </c>
      <c r="B3369" s="16" t="n">
        <v>3364</v>
      </c>
      <c r="C3369" s="16" t="s">
        <v>10814</v>
      </c>
      <c r="D3369" s="16" t="n">
        <v>7</v>
      </c>
      <c r="E3369" s="37" t="s">
        <v>10380</v>
      </c>
      <c r="F3369" s="16" t="s">
        <v>1285</v>
      </c>
      <c r="G3369" s="16" t="s">
        <v>757</v>
      </c>
      <c r="H3369" s="16" t="s">
        <v>3012</v>
      </c>
      <c r="I3369" s="16" t="s">
        <v>74</v>
      </c>
      <c r="J3369" s="16" t="s">
        <v>9984</v>
      </c>
      <c r="K3369" s="32" t="n">
        <v>1</v>
      </c>
      <c r="L3369" s="33" t="n">
        <v>46013</v>
      </c>
      <c r="M3369" s="33" t="n">
        <v>46013</v>
      </c>
      <c r="N3369" s="16" t="s">
        <v>10793</v>
      </c>
      <c r="O3369" s="16"/>
      <c r="P3369" s="16" t="str">
        <f aca="false">IF(AND(L3369&lt;=$D$2,M3369&gt;=$C$2),"Sí","")</f>
        <v/>
      </c>
      <c r="Q3369" s="18" t="str">
        <f aca="false">IF(COUNTIF(LOOKAHEAD!$A$5:$A$604,A3369)&gt;0,"En Lookahead",IF(P3369="Sí","INCORPORAR",""))</f>
        <v/>
      </c>
    </row>
    <row r="3370" customFormat="false" ht="15" hidden="false" customHeight="false" outlineLevel="0" collapsed="false">
      <c r="A3370" s="16" t="s">
        <v>10815</v>
      </c>
      <c r="B3370" s="16" t="n">
        <v>3365</v>
      </c>
      <c r="C3370" s="16" t="s">
        <v>10816</v>
      </c>
      <c r="D3370" s="16" t="n">
        <v>7</v>
      </c>
      <c r="E3370" s="37" t="s">
        <v>9987</v>
      </c>
      <c r="F3370" s="16" t="s">
        <v>1285</v>
      </c>
      <c r="G3370" s="16" t="s">
        <v>757</v>
      </c>
      <c r="H3370" s="16" t="s">
        <v>3012</v>
      </c>
      <c r="I3370" s="16" t="s">
        <v>74</v>
      </c>
      <c r="J3370" s="16" t="s">
        <v>9984</v>
      </c>
      <c r="K3370" s="32" t="n">
        <v>1</v>
      </c>
      <c r="L3370" s="33" t="n">
        <v>46014</v>
      </c>
      <c r="M3370" s="33" t="n">
        <v>46014</v>
      </c>
      <c r="N3370" s="16" t="s">
        <v>10817</v>
      </c>
      <c r="O3370" s="16"/>
      <c r="P3370" s="16" t="str">
        <f aca="false">IF(AND(L3370&lt;=$D$2,M3370&gt;=$C$2),"Sí","")</f>
        <v/>
      </c>
      <c r="Q3370" s="18" t="str">
        <f aca="false">IF(COUNTIF(LOOKAHEAD!$A$5:$A$604,A3370)&gt;0,"En Lookahead",IF(P3370="Sí","INCORPORAR",""))</f>
        <v/>
      </c>
    </row>
    <row r="3371" customFormat="false" ht="15" hidden="false" customHeight="false" outlineLevel="0" collapsed="false">
      <c r="A3371" s="16" t="s">
        <v>10818</v>
      </c>
      <c r="B3371" s="16" t="n">
        <v>3366</v>
      </c>
      <c r="C3371" s="16" t="s">
        <v>10819</v>
      </c>
      <c r="D3371" s="16" t="n">
        <v>7</v>
      </c>
      <c r="E3371" s="37" t="s">
        <v>9991</v>
      </c>
      <c r="F3371" s="16" t="s">
        <v>1285</v>
      </c>
      <c r="G3371" s="16" t="s">
        <v>757</v>
      </c>
      <c r="H3371" s="16" t="s">
        <v>3012</v>
      </c>
      <c r="I3371" s="16" t="s">
        <v>74</v>
      </c>
      <c r="J3371" s="16" t="s">
        <v>9984</v>
      </c>
      <c r="K3371" s="32" t="n">
        <v>1</v>
      </c>
      <c r="L3371" s="33" t="n">
        <v>46015</v>
      </c>
      <c r="M3371" s="33" t="n">
        <v>46015</v>
      </c>
      <c r="N3371" s="16" t="s">
        <v>10820</v>
      </c>
      <c r="O3371" s="16"/>
      <c r="P3371" s="16" t="str">
        <f aca="false">IF(AND(L3371&lt;=$D$2,M3371&gt;=$C$2),"Sí","")</f>
        <v/>
      </c>
      <c r="Q3371" s="18" t="str">
        <f aca="false">IF(COUNTIF(LOOKAHEAD!$A$5:$A$604,A3371)&gt;0,"En Lookahead",IF(P3371="Sí","INCORPORAR",""))</f>
        <v/>
      </c>
    </row>
    <row r="3372" customFormat="false" ht="15" hidden="false" customHeight="false" outlineLevel="0" collapsed="false">
      <c r="A3372" s="16" t="s">
        <v>10821</v>
      </c>
      <c r="B3372" s="16" t="n">
        <v>3367</v>
      </c>
      <c r="C3372" s="16" t="s">
        <v>10822</v>
      </c>
      <c r="D3372" s="16" t="n">
        <v>7</v>
      </c>
      <c r="E3372" s="37" t="s">
        <v>9995</v>
      </c>
      <c r="F3372" s="16" t="s">
        <v>1285</v>
      </c>
      <c r="G3372" s="16" t="s">
        <v>757</v>
      </c>
      <c r="H3372" s="16" t="s">
        <v>3012</v>
      </c>
      <c r="I3372" s="16" t="s">
        <v>74</v>
      </c>
      <c r="J3372" s="16" t="s">
        <v>9984</v>
      </c>
      <c r="K3372" s="32" t="n">
        <v>1</v>
      </c>
      <c r="L3372" s="33" t="n">
        <v>46025</v>
      </c>
      <c r="M3372" s="33" t="n">
        <v>46025</v>
      </c>
      <c r="N3372" s="16" t="s">
        <v>10805</v>
      </c>
      <c r="O3372" s="16"/>
      <c r="P3372" s="16" t="str">
        <f aca="false">IF(AND(L3372&lt;=$D$2,M3372&gt;=$C$2),"Sí","")</f>
        <v/>
      </c>
      <c r="Q3372" s="18" t="str">
        <f aca="false">IF(COUNTIF(LOOKAHEAD!$A$5:$A$604,A3372)&gt;0,"En Lookahead",IF(P3372="Sí","INCORPORAR",""))</f>
        <v/>
      </c>
    </row>
    <row r="3373" customFormat="false" ht="15" hidden="false" customHeight="false" outlineLevel="0" collapsed="false">
      <c r="A3373" s="13" t="s">
        <v>10823</v>
      </c>
      <c r="B3373" s="13" t="n">
        <v>3368</v>
      </c>
      <c r="C3373" s="13" t="s">
        <v>10824</v>
      </c>
      <c r="D3373" s="13" t="n">
        <v>6</v>
      </c>
      <c r="E3373" s="36" t="s">
        <v>9999</v>
      </c>
      <c r="F3373" s="13" t="s">
        <v>1298</v>
      </c>
      <c r="G3373" s="13" t="s">
        <v>757</v>
      </c>
      <c r="H3373" s="13" t="s">
        <v>3012</v>
      </c>
      <c r="I3373" s="13" t="s">
        <v>74</v>
      </c>
      <c r="J3373" s="13" t="s">
        <v>9975</v>
      </c>
      <c r="K3373" s="30" t="n">
        <v>6</v>
      </c>
      <c r="L3373" s="31" t="n">
        <v>46016</v>
      </c>
      <c r="M3373" s="31" t="n">
        <v>46021</v>
      </c>
      <c r="N3373" s="13"/>
      <c r="O3373" s="13"/>
      <c r="P3373" s="13"/>
      <c r="Q3373" s="13"/>
    </row>
    <row r="3374" customFormat="false" ht="15" hidden="false" customHeight="false" outlineLevel="0" collapsed="false">
      <c r="A3374" s="16" t="s">
        <v>10825</v>
      </c>
      <c r="B3374" s="16" t="n">
        <v>3369</v>
      </c>
      <c r="C3374" s="16" t="s">
        <v>10826</v>
      </c>
      <c r="D3374" s="16" t="n">
        <v>7</v>
      </c>
      <c r="E3374" s="37" t="s">
        <v>10399</v>
      </c>
      <c r="F3374" s="16" t="s">
        <v>1285</v>
      </c>
      <c r="G3374" s="16" t="s">
        <v>757</v>
      </c>
      <c r="H3374" s="16" t="s">
        <v>3012</v>
      </c>
      <c r="I3374" s="16" t="s">
        <v>74</v>
      </c>
      <c r="J3374" s="16" t="s">
        <v>9999</v>
      </c>
      <c r="K3374" s="32" t="n">
        <v>1</v>
      </c>
      <c r="L3374" s="33" t="n">
        <v>46016</v>
      </c>
      <c r="M3374" s="33" t="n">
        <v>46016</v>
      </c>
      <c r="N3374" s="16" t="s">
        <v>10827</v>
      </c>
      <c r="O3374" s="16"/>
      <c r="P3374" s="16" t="str">
        <f aca="false">IF(AND(L3374&lt;=$D$2,M3374&gt;=$C$2),"Sí","")</f>
        <v/>
      </c>
      <c r="Q3374" s="18" t="str">
        <f aca="false">IF(COUNTIF(LOOKAHEAD!$A$5:$A$604,A3374)&gt;0,"En Lookahead",IF(P3374="Sí","INCORPORAR",""))</f>
        <v/>
      </c>
    </row>
    <row r="3375" customFormat="false" ht="15" hidden="false" customHeight="false" outlineLevel="0" collapsed="false">
      <c r="A3375" s="16" t="s">
        <v>10828</v>
      </c>
      <c r="B3375" s="16" t="n">
        <v>3370</v>
      </c>
      <c r="C3375" s="16" t="s">
        <v>10829</v>
      </c>
      <c r="D3375" s="16" t="n">
        <v>7</v>
      </c>
      <c r="E3375" s="37" t="s">
        <v>10002</v>
      </c>
      <c r="F3375" s="16" t="s">
        <v>1285</v>
      </c>
      <c r="G3375" s="16" t="s">
        <v>757</v>
      </c>
      <c r="H3375" s="16" t="s">
        <v>3012</v>
      </c>
      <c r="I3375" s="16" t="s">
        <v>74</v>
      </c>
      <c r="J3375" s="16" t="s">
        <v>9999</v>
      </c>
      <c r="K3375" s="32" t="n">
        <v>1</v>
      </c>
      <c r="L3375" s="33" t="n">
        <v>46017</v>
      </c>
      <c r="M3375" s="33" t="n">
        <v>46017</v>
      </c>
      <c r="N3375" s="16" t="s">
        <v>10830</v>
      </c>
      <c r="O3375" s="16"/>
      <c r="P3375" s="16" t="str">
        <f aca="false">IF(AND(L3375&lt;=$D$2,M3375&gt;=$C$2),"Sí","")</f>
        <v/>
      </c>
      <c r="Q3375" s="18" t="str">
        <f aca="false">IF(COUNTIF(LOOKAHEAD!$A$5:$A$604,A3375)&gt;0,"En Lookahead",IF(P3375="Sí","INCORPORAR",""))</f>
        <v/>
      </c>
    </row>
    <row r="3376" customFormat="false" ht="15" hidden="false" customHeight="false" outlineLevel="0" collapsed="false">
      <c r="A3376" s="16" t="s">
        <v>10831</v>
      </c>
      <c r="B3376" s="16" t="n">
        <v>3371</v>
      </c>
      <c r="C3376" s="16" t="s">
        <v>10832</v>
      </c>
      <c r="D3376" s="16" t="n">
        <v>7</v>
      </c>
      <c r="E3376" s="37" t="s">
        <v>10414</v>
      </c>
      <c r="F3376" s="16" t="s">
        <v>1285</v>
      </c>
      <c r="G3376" s="16" t="s">
        <v>757</v>
      </c>
      <c r="H3376" s="16" t="s">
        <v>3012</v>
      </c>
      <c r="I3376" s="16" t="s">
        <v>74</v>
      </c>
      <c r="J3376" s="16" t="s">
        <v>9999</v>
      </c>
      <c r="K3376" s="32" t="n">
        <v>1</v>
      </c>
      <c r="L3376" s="33" t="n">
        <v>46018</v>
      </c>
      <c r="M3376" s="33" t="n">
        <v>46018</v>
      </c>
      <c r="N3376" s="16" t="s">
        <v>10833</v>
      </c>
      <c r="O3376" s="16"/>
      <c r="P3376" s="16" t="str">
        <f aca="false">IF(AND(L3376&lt;=$D$2,M3376&gt;=$C$2),"Sí","")</f>
        <v/>
      </c>
      <c r="Q3376" s="18" t="str">
        <f aca="false">IF(COUNTIF(LOOKAHEAD!$A$5:$A$604,A3376)&gt;0,"En Lookahead",IF(P3376="Sí","INCORPORAR",""))</f>
        <v/>
      </c>
    </row>
    <row r="3377" customFormat="false" ht="15" hidden="false" customHeight="false" outlineLevel="0" collapsed="false">
      <c r="A3377" s="16" t="s">
        <v>10834</v>
      </c>
      <c r="B3377" s="16" t="n">
        <v>3372</v>
      </c>
      <c r="C3377" s="16" t="s">
        <v>10835</v>
      </c>
      <c r="D3377" s="16" t="n">
        <v>7</v>
      </c>
      <c r="E3377" s="37" t="s">
        <v>10006</v>
      </c>
      <c r="F3377" s="16" t="s">
        <v>1285</v>
      </c>
      <c r="G3377" s="16" t="s">
        <v>757</v>
      </c>
      <c r="H3377" s="16" t="s">
        <v>3012</v>
      </c>
      <c r="I3377" s="16" t="s">
        <v>74</v>
      </c>
      <c r="J3377" s="16" t="s">
        <v>9999</v>
      </c>
      <c r="K3377" s="32" t="n">
        <v>1</v>
      </c>
      <c r="L3377" s="33" t="n">
        <v>46019</v>
      </c>
      <c r="M3377" s="33" t="n">
        <v>46019</v>
      </c>
      <c r="N3377" s="16" t="s">
        <v>10836</v>
      </c>
      <c r="O3377" s="16"/>
      <c r="P3377" s="16" t="str">
        <f aca="false">IF(AND(L3377&lt;=$D$2,M3377&gt;=$C$2),"Sí","")</f>
        <v/>
      </c>
      <c r="Q3377" s="18" t="str">
        <f aca="false">IF(COUNTIF(LOOKAHEAD!$A$5:$A$604,A3377)&gt;0,"En Lookahead",IF(P3377="Sí","INCORPORAR",""))</f>
        <v/>
      </c>
    </row>
    <row r="3378" customFormat="false" ht="15" hidden="false" customHeight="false" outlineLevel="0" collapsed="false">
      <c r="A3378" s="16" t="s">
        <v>10837</v>
      </c>
      <c r="B3378" s="16" t="n">
        <v>3373</v>
      </c>
      <c r="C3378" s="16" t="s">
        <v>10838</v>
      </c>
      <c r="D3378" s="16" t="n">
        <v>7</v>
      </c>
      <c r="E3378" s="37" t="s">
        <v>10421</v>
      </c>
      <c r="F3378" s="16" t="s">
        <v>1285</v>
      </c>
      <c r="G3378" s="16" t="s">
        <v>757</v>
      </c>
      <c r="H3378" s="16" t="s">
        <v>3012</v>
      </c>
      <c r="I3378" s="16" t="s">
        <v>74</v>
      </c>
      <c r="J3378" s="16" t="s">
        <v>9999</v>
      </c>
      <c r="K3378" s="32" t="n">
        <v>1</v>
      </c>
      <c r="L3378" s="33" t="n">
        <v>46020</v>
      </c>
      <c r="M3378" s="33" t="n">
        <v>46020</v>
      </c>
      <c r="N3378" s="16" t="s">
        <v>10839</v>
      </c>
      <c r="O3378" s="16"/>
      <c r="P3378" s="16" t="str">
        <f aca="false">IF(AND(L3378&lt;=$D$2,M3378&gt;=$C$2),"Sí","")</f>
        <v/>
      </c>
      <c r="Q3378" s="18" t="str">
        <f aca="false">IF(COUNTIF(LOOKAHEAD!$A$5:$A$604,A3378)&gt;0,"En Lookahead",IF(P3378="Sí","INCORPORAR",""))</f>
        <v/>
      </c>
    </row>
    <row r="3379" customFormat="false" ht="15" hidden="false" customHeight="false" outlineLevel="0" collapsed="false">
      <c r="A3379" s="16" t="s">
        <v>10840</v>
      </c>
      <c r="B3379" s="16" t="n">
        <v>3374</v>
      </c>
      <c r="C3379" s="16" t="s">
        <v>10841</v>
      </c>
      <c r="D3379" s="16" t="n">
        <v>7</v>
      </c>
      <c r="E3379" s="37" t="s">
        <v>10010</v>
      </c>
      <c r="F3379" s="16" t="s">
        <v>1285</v>
      </c>
      <c r="G3379" s="16" t="s">
        <v>757</v>
      </c>
      <c r="H3379" s="16" t="s">
        <v>3012</v>
      </c>
      <c r="I3379" s="16" t="s">
        <v>74</v>
      </c>
      <c r="J3379" s="16" t="s">
        <v>9999</v>
      </c>
      <c r="K3379" s="32" t="n">
        <v>1</v>
      </c>
      <c r="L3379" s="33" t="n">
        <v>46021</v>
      </c>
      <c r="M3379" s="33" t="n">
        <v>46021</v>
      </c>
      <c r="N3379" s="16" t="s">
        <v>10842</v>
      </c>
      <c r="O3379" s="16"/>
      <c r="P3379" s="16" t="str">
        <f aca="false">IF(AND(L3379&lt;=$D$2,M3379&gt;=$C$2),"Sí","")</f>
        <v/>
      </c>
      <c r="Q3379" s="18" t="str">
        <f aca="false">IF(COUNTIF(LOOKAHEAD!$A$5:$A$604,A3379)&gt;0,"En Lookahead",IF(P3379="Sí","INCORPORAR",""))</f>
        <v/>
      </c>
    </row>
    <row r="3380" customFormat="false" ht="15" hidden="false" customHeight="false" outlineLevel="0" collapsed="false">
      <c r="A3380" s="13" t="s">
        <v>10843</v>
      </c>
      <c r="B3380" s="13" t="n">
        <v>3375</v>
      </c>
      <c r="C3380" s="13" t="s">
        <v>10844</v>
      </c>
      <c r="D3380" s="13" t="n">
        <v>6</v>
      </c>
      <c r="E3380" s="36" t="s">
        <v>10018</v>
      </c>
      <c r="F3380" s="13" t="s">
        <v>1298</v>
      </c>
      <c r="G3380" s="13" t="s">
        <v>757</v>
      </c>
      <c r="H3380" s="13" t="s">
        <v>3012</v>
      </c>
      <c r="I3380" s="13" t="s">
        <v>74</v>
      </c>
      <c r="J3380" s="13" t="s">
        <v>9975</v>
      </c>
      <c r="K3380" s="30" t="n">
        <v>1</v>
      </c>
      <c r="L3380" s="31" t="n">
        <v>46022</v>
      </c>
      <c r="M3380" s="31" t="n">
        <v>46022</v>
      </c>
      <c r="N3380" s="13"/>
      <c r="O3380" s="13"/>
      <c r="P3380" s="13"/>
      <c r="Q3380" s="13"/>
    </row>
    <row r="3381" customFormat="false" ht="15" hidden="false" customHeight="false" outlineLevel="0" collapsed="false">
      <c r="A3381" s="16" t="s">
        <v>10845</v>
      </c>
      <c r="B3381" s="16" t="n">
        <v>3376</v>
      </c>
      <c r="C3381" s="16" t="s">
        <v>10846</v>
      </c>
      <c r="D3381" s="16" t="n">
        <v>7</v>
      </c>
      <c r="E3381" s="37" t="s">
        <v>10847</v>
      </c>
      <c r="F3381" s="16" t="s">
        <v>1285</v>
      </c>
      <c r="G3381" s="16" t="s">
        <v>757</v>
      </c>
      <c r="H3381" s="16" t="s">
        <v>3012</v>
      </c>
      <c r="I3381" s="16" t="s">
        <v>74</v>
      </c>
      <c r="J3381" s="16" t="s">
        <v>10018</v>
      </c>
      <c r="K3381" s="32" t="n">
        <v>1</v>
      </c>
      <c r="L3381" s="33" t="n">
        <v>46022</v>
      </c>
      <c r="M3381" s="33" t="n">
        <v>46022</v>
      </c>
      <c r="N3381" s="16" t="s">
        <v>10848</v>
      </c>
      <c r="O3381" s="16"/>
      <c r="P3381" s="16" t="str">
        <f aca="false">IF(AND(L3381&lt;=$D$2,M3381&gt;=$C$2),"Sí","")</f>
        <v/>
      </c>
      <c r="Q3381" s="18" t="str">
        <f aca="false">IF(COUNTIF(LOOKAHEAD!$A$5:$A$604,A3381)&gt;0,"En Lookahead",IF(P3381="Sí","INCORPORAR",""))</f>
        <v/>
      </c>
    </row>
    <row r="3382" customFormat="false" ht="15" hidden="false" customHeight="false" outlineLevel="0" collapsed="false">
      <c r="A3382" s="13" t="s">
        <v>10849</v>
      </c>
      <c r="B3382" s="13" t="n">
        <v>3377</v>
      </c>
      <c r="C3382" s="13" t="s">
        <v>10850</v>
      </c>
      <c r="D3382" s="13" t="n">
        <v>5</v>
      </c>
      <c r="E3382" s="34" t="s">
        <v>10032</v>
      </c>
      <c r="F3382" s="13" t="s">
        <v>1298</v>
      </c>
      <c r="G3382" s="13" t="s">
        <v>757</v>
      </c>
      <c r="H3382" s="13" t="s">
        <v>3012</v>
      </c>
      <c r="I3382" s="13" t="s">
        <v>74</v>
      </c>
      <c r="J3382" s="13" t="s">
        <v>3012</v>
      </c>
      <c r="K3382" s="30" t="n">
        <v>18</v>
      </c>
      <c r="L3382" s="31" t="n">
        <v>46023</v>
      </c>
      <c r="M3382" s="31" t="n">
        <v>46040</v>
      </c>
      <c r="N3382" s="13"/>
      <c r="O3382" s="13"/>
      <c r="P3382" s="13"/>
      <c r="Q3382" s="13"/>
    </row>
    <row r="3383" customFormat="false" ht="15" hidden="false" customHeight="false" outlineLevel="0" collapsed="false">
      <c r="A3383" s="13" t="s">
        <v>10851</v>
      </c>
      <c r="B3383" s="13" t="n">
        <v>3378</v>
      </c>
      <c r="C3383" s="13" t="s">
        <v>10852</v>
      </c>
      <c r="D3383" s="13" t="n">
        <v>6</v>
      </c>
      <c r="E3383" s="36" t="s">
        <v>10035</v>
      </c>
      <c r="F3383" s="13" t="s">
        <v>1298</v>
      </c>
      <c r="G3383" s="13" t="s">
        <v>757</v>
      </c>
      <c r="H3383" s="13" t="s">
        <v>3012</v>
      </c>
      <c r="I3383" s="13" t="s">
        <v>74</v>
      </c>
      <c r="J3383" s="13" t="s">
        <v>10032</v>
      </c>
      <c r="K3383" s="30" t="n">
        <v>1</v>
      </c>
      <c r="L3383" s="31" t="n">
        <v>46023</v>
      </c>
      <c r="M3383" s="31" t="n">
        <v>46023</v>
      </c>
      <c r="N3383" s="13"/>
      <c r="O3383" s="13"/>
      <c r="P3383" s="13"/>
      <c r="Q3383" s="13"/>
    </row>
    <row r="3384" customFormat="false" ht="15" hidden="false" customHeight="false" outlineLevel="0" collapsed="false">
      <c r="A3384" s="16" t="s">
        <v>10853</v>
      </c>
      <c r="B3384" s="16" t="n">
        <v>3379</v>
      </c>
      <c r="C3384" s="16" t="s">
        <v>10854</v>
      </c>
      <c r="D3384" s="16" t="n">
        <v>7</v>
      </c>
      <c r="E3384" s="37" t="s">
        <v>10038</v>
      </c>
      <c r="F3384" s="16" t="s">
        <v>1285</v>
      </c>
      <c r="G3384" s="16" t="s">
        <v>757</v>
      </c>
      <c r="H3384" s="16" t="s">
        <v>3012</v>
      </c>
      <c r="I3384" s="16" t="s">
        <v>74</v>
      </c>
      <c r="J3384" s="16" t="s">
        <v>10035</v>
      </c>
      <c r="K3384" s="32" t="n">
        <v>1</v>
      </c>
      <c r="L3384" s="33" t="n">
        <v>46023</v>
      </c>
      <c r="M3384" s="33" t="n">
        <v>46023</v>
      </c>
      <c r="N3384" s="16" t="s">
        <v>10796</v>
      </c>
      <c r="O3384" s="16"/>
      <c r="P3384" s="16" t="str">
        <f aca="false">IF(AND(L3384&lt;=$D$2,M3384&gt;=$C$2),"Sí","")</f>
        <v/>
      </c>
      <c r="Q3384" s="18" t="str">
        <f aca="false">IF(COUNTIF(LOOKAHEAD!$A$5:$A$604,A3384)&gt;0,"En Lookahead",IF(P3384="Sí","INCORPORAR",""))</f>
        <v/>
      </c>
    </row>
    <row r="3385" customFormat="false" ht="15" hidden="false" customHeight="false" outlineLevel="0" collapsed="false">
      <c r="A3385" s="13" t="s">
        <v>10855</v>
      </c>
      <c r="B3385" s="13" t="n">
        <v>3380</v>
      </c>
      <c r="C3385" s="13" t="s">
        <v>10856</v>
      </c>
      <c r="D3385" s="13" t="n">
        <v>6</v>
      </c>
      <c r="E3385" s="36" t="s">
        <v>1534</v>
      </c>
      <c r="F3385" s="13" t="s">
        <v>1298</v>
      </c>
      <c r="G3385" s="13" t="s">
        <v>757</v>
      </c>
      <c r="H3385" s="13" t="s">
        <v>3012</v>
      </c>
      <c r="I3385" s="13" t="s">
        <v>74</v>
      </c>
      <c r="J3385" s="13" t="s">
        <v>10032</v>
      </c>
      <c r="K3385" s="30" t="n">
        <v>17</v>
      </c>
      <c r="L3385" s="31" t="n">
        <v>46024</v>
      </c>
      <c r="M3385" s="31" t="n">
        <v>46040</v>
      </c>
      <c r="N3385" s="13"/>
      <c r="O3385" s="13"/>
      <c r="P3385" s="13"/>
      <c r="Q3385" s="13"/>
    </row>
    <row r="3386" customFormat="false" ht="15" hidden="false" customHeight="false" outlineLevel="0" collapsed="false">
      <c r="A3386" s="16" t="s">
        <v>10857</v>
      </c>
      <c r="B3386" s="16" t="n">
        <v>3381</v>
      </c>
      <c r="C3386" s="16" t="s">
        <v>10858</v>
      </c>
      <c r="D3386" s="16" t="n">
        <v>7</v>
      </c>
      <c r="E3386" s="37" t="s">
        <v>10043</v>
      </c>
      <c r="F3386" s="16" t="s">
        <v>1285</v>
      </c>
      <c r="G3386" s="16" t="s">
        <v>757</v>
      </c>
      <c r="H3386" s="16" t="s">
        <v>3012</v>
      </c>
      <c r="I3386" s="16" t="s">
        <v>74</v>
      </c>
      <c r="J3386" s="16" t="s">
        <v>1534</v>
      </c>
      <c r="K3386" s="32" t="n">
        <v>3</v>
      </c>
      <c r="L3386" s="33" t="n">
        <v>46024</v>
      </c>
      <c r="M3386" s="33" t="n">
        <v>46026</v>
      </c>
      <c r="N3386" s="16" t="s">
        <v>10859</v>
      </c>
      <c r="O3386" s="16"/>
      <c r="P3386" s="16" t="str">
        <f aca="false">IF(AND(L3386&lt;=$D$2,M3386&gt;=$C$2),"Sí","")</f>
        <v/>
      </c>
      <c r="Q3386" s="18" t="str">
        <f aca="false">IF(COUNTIF(LOOKAHEAD!$A$5:$A$604,A3386)&gt;0,"En Lookahead",IF(P3386="Sí","INCORPORAR",""))</f>
        <v/>
      </c>
    </row>
    <row r="3387" customFormat="false" ht="15" hidden="false" customHeight="false" outlineLevel="0" collapsed="false">
      <c r="A3387" s="16" t="s">
        <v>10860</v>
      </c>
      <c r="B3387" s="16" t="n">
        <v>3382</v>
      </c>
      <c r="C3387" s="16" t="s">
        <v>10861</v>
      </c>
      <c r="D3387" s="16" t="n">
        <v>7</v>
      </c>
      <c r="E3387" s="37" t="s">
        <v>10047</v>
      </c>
      <c r="F3387" s="16" t="s">
        <v>1285</v>
      </c>
      <c r="G3387" s="16" t="s">
        <v>757</v>
      </c>
      <c r="H3387" s="16" t="s">
        <v>3012</v>
      </c>
      <c r="I3387" s="16" t="s">
        <v>74</v>
      </c>
      <c r="J3387" s="16" t="s">
        <v>1534</v>
      </c>
      <c r="K3387" s="32" t="n">
        <v>1</v>
      </c>
      <c r="L3387" s="33" t="n">
        <v>46027</v>
      </c>
      <c r="M3387" s="33" t="n">
        <v>46027</v>
      </c>
      <c r="N3387" s="16" t="s">
        <v>10862</v>
      </c>
      <c r="O3387" s="16"/>
      <c r="P3387" s="16" t="str">
        <f aca="false">IF(AND(L3387&lt;=$D$2,M3387&gt;=$C$2),"Sí","")</f>
        <v/>
      </c>
      <c r="Q3387" s="18" t="str">
        <f aca="false">IF(COUNTIF(LOOKAHEAD!$A$5:$A$604,A3387)&gt;0,"En Lookahead",IF(P3387="Sí","INCORPORAR",""))</f>
        <v/>
      </c>
    </row>
    <row r="3388" customFormat="false" ht="15" hidden="false" customHeight="false" outlineLevel="0" collapsed="false">
      <c r="A3388" s="16" t="s">
        <v>10863</v>
      </c>
      <c r="B3388" s="16" t="n">
        <v>3383</v>
      </c>
      <c r="C3388" s="16" t="s">
        <v>10864</v>
      </c>
      <c r="D3388" s="16" t="n">
        <v>7</v>
      </c>
      <c r="E3388" s="37" t="s">
        <v>10051</v>
      </c>
      <c r="F3388" s="16" t="s">
        <v>1285</v>
      </c>
      <c r="G3388" s="16" t="s">
        <v>757</v>
      </c>
      <c r="H3388" s="16" t="s">
        <v>3012</v>
      </c>
      <c r="I3388" s="16" t="s">
        <v>74</v>
      </c>
      <c r="J3388" s="16" t="s">
        <v>1534</v>
      </c>
      <c r="K3388" s="32" t="n">
        <v>1</v>
      </c>
      <c r="L3388" s="33" t="n">
        <v>46028</v>
      </c>
      <c r="M3388" s="33" t="n">
        <v>46028</v>
      </c>
      <c r="N3388" s="16" t="s">
        <v>10865</v>
      </c>
      <c r="O3388" s="16"/>
      <c r="P3388" s="16" t="str">
        <f aca="false">IF(AND(L3388&lt;=$D$2,M3388&gt;=$C$2),"Sí","")</f>
        <v/>
      </c>
      <c r="Q3388" s="18" t="str">
        <f aca="false">IF(COUNTIF(LOOKAHEAD!$A$5:$A$604,A3388)&gt;0,"En Lookahead",IF(P3388="Sí","INCORPORAR",""))</f>
        <v/>
      </c>
    </row>
    <row r="3389" customFormat="false" ht="15" hidden="false" customHeight="false" outlineLevel="0" collapsed="false">
      <c r="A3389" s="16" t="s">
        <v>10866</v>
      </c>
      <c r="B3389" s="16" t="n">
        <v>3384</v>
      </c>
      <c r="C3389" s="16" t="s">
        <v>10867</v>
      </c>
      <c r="D3389" s="16" t="n">
        <v>7</v>
      </c>
      <c r="E3389" s="37" t="s">
        <v>10055</v>
      </c>
      <c r="F3389" s="16" t="s">
        <v>1285</v>
      </c>
      <c r="G3389" s="16" t="s">
        <v>757</v>
      </c>
      <c r="H3389" s="16" t="s">
        <v>3012</v>
      </c>
      <c r="I3389" s="16" t="s">
        <v>74</v>
      </c>
      <c r="J3389" s="16" t="s">
        <v>1534</v>
      </c>
      <c r="K3389" s="32" t="n">
        <v>1</v>
      </c>
      <c r="L3389" s="33" t="n">
        <v>46029</v>
      </c>
      <c r="M3389" s="33" t="n">
        <v>46029</v>
      </c>
      <c r="N3389" s="16" t="s">
        <v>10868</v>
      </c>
      <c r="O3389" s="16"/>
      <c r="P3389" s="16" t="str">
        <f aca="false">IF(AND(L3389&lt;=$D$2,M3389&gt;=$C$2),"Sí","")</f>
        <v/>
      </c>
      <c r="Q3389" s="18" t="str">
        <f aca="false">IF(COUNTIF(LOOKAHEAD!$A$5:$A$604,A3389)&gt;0,"En Lookahead",IF(P3389="Sí","INCORPORAR",""))</f>
        <v/>
      </c>
    </row>
    <row r="3390" customFormat="false" ht="15" hidden="false" customHeight="false" outlineLevel="0" collapsed="false">
      <c r="A3390" s="16" t="s">
        <v>10869</v>
      </c>
      <c r="B3390" s="16" t="n">
        <v>3385</v>
      </c>
      <c r="C3390" s="16" t="s">
        <v>10870</v>
      </c>
      <c r="D3390" s="16" t="n">
        <v>7</v>
      </c>
      <c r="E3390" s="37" t="s">
        <v>10059</v>
      </c>
      <c r="F3390" s="16" t="s">
        <v>1285</v>
      </c>
      <c r="G3390" s="16" t="s">
        <v>757</v>
      </c>
      <c r="H3390" s="16" t="s">
        <v>3012</v>
      </c>
      <c r="I3390" s="16" t="s">
        <v>74</v>
      </c>
      <c r="J3390" s="16" t="s">
        <v>1534</v>
      </c>
      <c r="K3390" s="32" t="n">
        <v>1</v>
      </c>
      <c r="L3390" s="33" t="n">
        <v>46038</v>
      </c>
      <c r="M3390" s="33" t="n">
        <v>46038</v>
      </c>
      <c r="N3390" s="16" t="s">
        <v>10871</v>
      </c>
      <c r="O3390" s="16"/>
      <c r="P3390" s="16" t="str">
        <f aca="false">IF(AND(L3390&lt;=$D$2,M3390&gt;=$C$2),"Sí","")</f>
        <v/>
      </c>
      <c r="Q3390" s="18" t="str">
        <f aca="false">IF(COUNTIF(LOOKAHEAD!$A$5:$A$604,A3390)&gt;0,"En Lookahead",IF(P3390="Sí","INCORPORAR",""))</f>
        <v/>
      </c>
    </row>
    <row r="3391" customFormat="false" ht="15" hidden="false" customHeight="false" outlineLevel="0" collapsed="false">
      <c r="A3391" s="16" t="s">
        <v>10872</v>
      </c>
      <c r="B3391" s="16" t="n">
        <v>3386</v>
      </c>
      <c r="C3391" s="16" t="s">
        <v>10873</v>
      </c>
      <c r="D3391" s="16" t="n">
        <v>7</v>
      </c>
      <c r="E3391" s="37" t="s">
        <v>10063</v>
      </c>
      <c r="F3391" s="16" t="s">
        <v>1285</v>
      </c>
      <c r="G3391" s="16" t="s">
        <v>757</v>
      </c>
      <c r="H3391" s="16" t="s">
        <v>3012</v>
      </c>
      <c r="I3391" s="16" t="s">
        <v>74</v>
      </c>
      <c r="J3391" s="16" t="s">
        <v>1534</v>
      </c>
      <c r="K3391" s="32" t="n">
        <v>1</v>
      </c>
      <c r="L3391" s="33" t="n">
        <v>46039</v>
      </c>
      <c r="M3391" s="33" t="n">
        <v>46039</v>
      </c>
      <c r="N3391" s="16" t="s">
        <v>10874</v>
      </c>
      <c r="O3391" s="16"/>
      <c r="P3391" s="16" t="str">
        <f aca="false">IF(AND(L3391&lt;=$D$2,M3391&gt;=$C$2),"Sí","")</f>
        <v/>
      </c>
      <c r="Q3391" s="18" t="str">
        <f aca="false">IF(COUNTIF(LOOKAHEAD!$A$5:$A$604,A3391)&gt;0,"En Lookahead",IF(P3391="Sí","INCORPORAR",""))</f>
        <v/>
      </c>
    </row>
    <row r="3392" customFormat="false" ht="15" hidden="false" customHeight="false" outlineLevel="0" collapsed="false">
      <c r="A3392" s="16" t="s">
        <v>10875</v>
      </c>
      <c r="B3392" s="16" t="n">
        <v>3387</v>
      </c>
      <c r="C3392" s="16" t="s">
        <v>10876</v>
      </c>
      <c r="D3392" s="16" t="n">
        <v>7</v>
      </c>
      <c r="E3392" s="37" t="s">
        <v>1557</v>
      </c>
      <c r="F3392" s="16" t="s">
        <v>1285</v>
      </c>
      <c r="G3392" s="16" t="s">
        <v>757</v>
      </c>
      <c r="H3392" s="16" t="s">
        <v>3012</v>
      </c>
      <c r="I3392" s="16" t="s">
        <v>74</v>
      </c>
      <c r="J3392" s="16" t="s">
        <v>1534</v>
      </c>
      <c r="K3392" s="32" t="n">
        <v>1</v>
      </c>
      <c r="L3392" s="33" t="n">
        <v>46038</v>
      </c>
      <c r="M3392" s="33" t="n">
        <v>46038</v>
      </c>
      <c r="N3392" s="16" t="s">
        <v>10877</v>
      </c>
      <c r="O3392" s="16"/>
      <c r="P3392" s="16" t="str">
        <f aca="false">IF(AND(L3392&lt;=$D$2,M3392&gt;=$C$2),"Sí","")</f>
        <v/>
      </c>
      <c r="Q3392" s="18" t="str">
        <f aca="false">IF(COUNTIF(LOOKAHEAD!$A$5:$A$604,A3392)&gt;0,"En Lookahead",IF(P3392="Sí","INCORPORAR",""))</f>
        <v/>
      </c>
    </row>
    <row r="3393" customFormat="false" ht="15" hidden="false" customHeight="false" outlineLevel="0" collapsed="false">
      <c r="A3393" s="16" t="s">
        <v>10878</v>
      </c>
      <c r="B3393" s="16" t="n">
        <v>3388</v>
      </c>
      <c r="C3393" s="16" t="s">
        <v>10879</v>
      </c>
      <c r="D3393" s="16" t="n">
        <v>7</v>
      </c>
      <c r="E3393" s="37" t="s">
        <v>10069</v>
      </c>
      <c r="F3393" s="16" t="s">
        <v>1285</v>
      </c>
      <c r="G3393" s="16" t="s">
        <v>757</v>
      </c>
      <c r="H3393" s="16" t="s">
        <v>3012</v>
      </c>
      <c r="I3393" s="16" t="s">
        <v>74</v>
      </c>
      <c r="J3393" s="16" t="s">
        <v>1534</v>
      </c>
      <c r="K3393" s="32" t="n">
        <v>1</v>
      </c>
      <c r="L3393" s="33" t="n">
        <v>46040</v>
      </c>
      <c r="M3393" s="33" t="n">
        <v>46040</v>
      </c>
      <c r="N3393" s="16" t="s">
        <v>10880</v>
      </c>
      <c r="O3393" s="16"/>
      <c r="P3393" s="16" t="str">
        <f aca="false">IF(AND(L3393&lt;=$D$2,M3393&gt;=$C$2),"Sí","")</f>
        <v/>
      </c>
      <c r="Q3393" s="18" t="str">
        <f aca="false">IF(COUNTIF(LOOKAHEAD!$A$5:$A$604,A3393)&gt;0,"En Lookahead",IF(P3393="Sí","INCORPORAR",""))</f>
        <v/>
      </c>
    </row>
    <row r="3394" customFormat="false" ht="15" hidden="false" customHeight="false" outlineLevel="0" collapsed="false">
      <c r="A3394" s="13" t="s">
        <v>10881</v>
      </c>
      <c r="B3394" s="13" t="n">
        <v>3389</v>
      </c>
      <c r="C3394" s="13" t="s">
        <v>10882</v>
      </c>
      <c r="D3394" s="13" t="n">
        <v>6</v>
      </c>
      <c r="E3394" s="36" t="s">
        <v>10072</v>
      </c>
      <c r="F3394" s="13" t="s">
        <v>1298</v>
      </c>
      <c r="G3394" s="13" t="s">
        <v>757</v>
      </c>
      <c r="H3394" s="13" t="s">
        <v>3012</v>
      </c>
      <c r="I3394" s="13" t="s">
        <v>74</v>
      </c>
      <c r="J3394" s="13" t="s">
        <v>10032</v>
      </c>
      <c r="K3394" s="30" t="n">
        <v>3</v>
      </c>
      <c r="L3394" s="31" t="n">
        <v>46029</v>
      </c>
      <c r="M3394" s="31" t="n">
        <v>46031</v>
      </c>
      <c r="N3394" s="13"/>
      <c r="O3394" s="13"/>
      <c r="P3394" s="13"/>
      <c r="Q3394" s="13"/>
    </row>
    <row r="3395" customFormat="false" ht="15" hidden="false" customHeight="false" outlineLevel="0" collapsed="false">
      <c r="A3395" s="16" t="s">
        <v>10883</v>
      </c>
      <c r="B3395" s="16" t="n">
        <v>3390</v>
      </c>
      <c r="C3395" s="16" t="s">
        <v>10884</v>
      </c>
      <c r="D3395" s="16" t="n">
        <v>7</v>
      </c>
      <c r="E3395" s="37" t="s">
        <v>10075</v>
      </c>
      <c r="F3395" s="16" t="s">
        <v>1285</v>
      </c>
      <c r="G3395" s="16" t="s">
        <v>757</v>
      </c>
      <c r="H3395" s="16" t="s">
        <v>3012</v>
      </c>
      <c r="I3395" s="16" t="s">
        <v>74</v>
      </c>
      <c r="J3395" s="16" t="s">
        <v>10072</v>
      </c>
      <c r="K3395" s="32" t="n">
        <v>3</v>
      </c>
      <c r="L3395" s="33" t="n">
        <v>46029</v>
      </c>
      <c r="M3395" s="33" t="n">
        <v>46031</v>
      </c>
      <c r="N3395" s="16" t="s">
        <v>10868</v>
      </c>
      <c r="O3395" s="16"/>
      <c r="P3395" s="16" t="str">
        <f aca="false">IF(AND(L3395&lt;=$D$2,M3395&gt;=$C$2),"Sí","")</f>
        <v/>
      </c>
      <c r="Q3395" s="18" t="str">
        <f aca="false">IF(COUNTIF(LOOKAHEAD!$A$5:$A$604,A3395)&gt;0,"En Lookahead",IF(P3395="Sí","INCORPORAR",""))</f>
        <v/>
      </c>
    </row>
    <row r="3396" customFormat="false" ht="15" hidden="false" customHeight="false" outlineLevel="0" collapsed="false">
      <c r="A3396" s="13" t="s">
        <v>10885</v>
      </c>
      <c r="B3396" s="13" t="n">
        <v>3391</v>
      </c>
      <c r="C3396" s="13" t="s">
        <v>10886</v>
      </c>
      <c r="D3396" s="13" t="n">
        <v>6</v>
      </c>
      <c r="E3396" s="36" t="s">
        <v>10079</v>
      </c>
      <c r="F3396" s="13" t="s">
        <v>1298</v>
      </c>
      <c r="G3396" s="13" t="s">
        <v>757</v>
      </c>
      <c r="H3396" s="13" t="s">
        <v>3012</v>
      </c>
      <c r="I3396" s="13" t="s">
        <v>74</v>
      </c>
      <c r="J3396" s="13" t="s">
        <v>10032</v>
      </c>
      <c r="K3396" s="30" t="n">
        <v>6</v>
      </c>
      <c r="L3396" s="31" t="n">
        <v>46032</v>
      </c>
      <c r="M3396" s="31" t="n">
        <v>46037</v>
      </c>
      <c r="N3396" s="13"/>
      <c r="O3396" s="13"/>
      <c r="P3396" s="13"/>
      <c r="Q3396" s="13"/>
    </row>
    <row r="3397" customFormat="false" ht="15" hidden="false" customHeight="false" outlineLevel="0" collapsed="false">
      <c r="A3397" s="16" t="s">
        <v>10887</v>
      </c>
      <c r="B3397" s="16" t="n">
        <v>3392</v>
      </c>
      <c r="C3397" s="16" t="s">
        <v>10888</v>
      </c>
      <c r="D3397" s="16" t="n">
        <v>7</v>
      </c>
      <c r="E3397" s="37" t="s">
        <v>10082</v>
      </c>
      <c r="F3397" s="16" t="s">
        <v>1285</v>
      </c>
      <c r="G3397" s="16" t="s">
        <v>757</v>
      </c>
      <c r="H3397" s="16" t="s">
        <v>3012</v>
      </c>
      <c r="I3397" s="16" t="s">
        <v>74</v>
      </c>
      <c r="J3397" s="16" t="s">
        <v>10079</v>
      </c>
      <c r="K3397" s="32" t="n">
        <v>1</v>
      </c>
      <c r="L3397" s="33" t="n">
        <v>46032</v>
      </c>
      <c r="M3397" s="33" t="n">
        <v>46032</v>
      </c>
      <c r="N3397" s="16" t="s">
        <v>10889</v>
      </c>
      <c r="O3397" s="16"/>
      <c r="P3397" s="16" t="str">
        <f aca="false">IF(AND(L3397&lt;=$D$2,M3397&gt;=$C$2),"Sí","")</f>
        <v/>
      </c>
      <c r="Q3397" s="18" t="str">
        <f aca="false">IF(COUNTIF(LOOKAHEAD!$A$5:$A$604,A3397)&gt;0,"En Lookahead",IF(P3397="Sí","INCORPORAR",""))</f>
        <v/>
      </c>
    </row>
    <row r="3398" customFormat="false" ht="15" hidden="false" customHeight="false" outlineLevel="0" collapsed="false">
      <c r="A3398" s="16" t="s">
        <v>10890</v>
      </c>
      <c r="B3398" s="16" t="n">
        <v>3393</v>
      </c>
      <c r="C3398" s="16" t="s">
        <v>10891</v>
      </c>
      <c r="D3398" s="16" t="n">
        <v>7</v>
      </c>
      <c r="E3398" s="37" t="s">
        <v>10086</v>
      </c>
      <c r="F3398" s="16" t="s">
        <v>1285</v>
      </c>
      <c r="G3398" s="16" t="s">
        <v>757</v>
      </c>
      <c r="H3398" s="16" t="s">
        <v>3012</v>
      </c>
      <c r="I3398" s="16" t="s">
        <v>74</v>
      </c>
      <c r="J3398" s="16" t="s">
        <v>10079</v>
      </c>
      <c r="K3398" s="32" t="n">
        <v>1</v>
      </c>
      <c r="L3398" s="33" t="n">
        <v>46033</v>
      </c>
      <c r="M3398" s="33" t="n">
        <v>46033</v>
      </c>
      <c r="N3398" s="16" t="s">
        <v>10892</v>
      </c>
      <c r="O3398" s="16"/>
      <c r="P3398" s="16" t="str">
        <f aca="false">IF(AND(L3398&lt;=$D$2,M3398&gt;=$C$2),"Sí","")</f>
        <v/>
      </c>
      <c r="Q3398" s="18" t="str">
        <f aca="false">IF(COUNTIF(LOOKAHEAD!$A$5:$A$604,A3398)&gt;0,"En Lookahead",IF(P3398="Sí","INCORPORAR",""))</f>
        <v/>
      </c>
    </row>
    <row r="3399" customFormat="false" ht="15" hidden="false" customHeight="false" outlineLevel="0" collapsed="false">
      <c r="A3399" s="16" t="s">
        <v>10893</v>
      </c>
      <c r="B3399" s="16" t="n">
        <v>3394</v>
      </c>
      <c r="C3399" s="16" t="s">
        <v>10894</v>
      </c>
      <c r="D3399" s="16" t="n">
        <v>7</v>
      </c>
      <c r="E3399" s="37" t="s">
        <v>10090</v>
      </c>
      <c r="F3399" s="16" t="s">
        <v>1285</v>
      </c>
      <c r="G3399" s="16" t="s">
        <v>757</v>
      </c>
      <c r="H3399" s="16" t="s">
        <v>3012</v>
      </c>
      <c r="I3399" s="16" t="s">
        <v>74</v>
      </c>
      <c r="J3399" s="16" t="s">
        <v>10079</v>
      </c>
      <c r="K3399" s="32" t="n">
        <v>1</v>
      </c>
      <c r="L3399" s="33" t="n">
        <v>46034</v>
      </c>
      <c r="M3399" s="33" t="n">
        <v>46034</v>
      </c>
      <c r="N3399" s="16" t="s">
        <v>10895</v>
      </c>
      <c r="O3399" s="16"/>
      <c r="P3399" s="16" t="str">
        <f aca="false">IF(AND(L3399&lt;=$D$2,M3399&gt;=$C$2),"Sí","")</f>
        <v/>
      </c>
      <c r="Q3399" s="18" t="str">
        <f aca="false">IF(COUNTIF(LOOKAHEAD!$A$5:$A$604,A3399)&gt;0,"En Lookahead",IF(P3399="Sí","INCORPORAR",""))</f>
        <v/>
      </c>
    </row>
    <row r="3400" customFormat="false" ht="15" hidden="false" customHeight="false" outlineLevel="0" collapsed="false">
      <c r="A3400" s="16" t="s">
        <v>10896</v>
      </c>
      <c r="B3400" s="16" t="n">
        <v>3395</v>
      </c>
      <c r="C3400" s="16" t="s">
        <v>10897</v>
      </c>
      <c r="D3400" s="16" t="n">
        <v>7</v>
      </c>
      <c r="E3400" s="37" t="s">
        <v>10094</v>
      </c>
      <c r="F3400" s="16" t="s">
        <v>1285</v>
      </c>
      <c r="G3400" s="16" t="s">
        <v>757</v>
      </c>
      <c r="H3400" s="16" t="s">
        <v>3012</v>
      </c>
      <c r="I3400" s="16" t="s">
        <v>74</v>
      </c>
      <c r="J3400" s="16" t="s">
        <v>10079</v>
      </c>
      <c r="K3400" s="32" t="n">
        <v>1</v>
      </c>
      <c r="L3400" s="33" t="n">
        <v>46035</v>
      </c>
      <c r="M3400" s="33" t="n">
        <v>46035</v>
      </c>
      <c r="N3400" s="16" t="s">
        <v>10898</v>
      </c>
      <c r="O3400" s="16"/>
      <c r="P3400" s="16" t="str">
        <f aca="false">IF(AND(L3400&lt;=$D$2,M3400&gt;=$C$2),"Sí","")</f>
        <v/>
      </c>
      <c r="Q3400" s="18" t="str">
        <f aca="false">IF(COUNTIF(LOOKAHEAD!$A$5:$A$604,A3400)&gt;0,"En Lookahead",IF(P3400="Sí","INCORPORAR",""))</f>
        <v/>
      </c>
    </row>
    <row r="3401" customFormat="false" ht="15" hidden="false" customHeight="false" outlineLevel="0" collapsed="false">
      <c r="A3401" s="16" t="s">
        <v>10899</v>
      </c>
      <c r="B3401" s="16" t="n">
        <v>3396</v>
      </c>
      <c r="C3401" s="16" t="s">
        <v>10900</v>
      </c>
      <c r="D3401" s="16" t="n">
        <v>7</v>
      </c>
      <c r="E3401" s="37" t="s">
        <v>10212</v>
      </c>
      <c r="F3401" s="16" t="s">
        <v>1285</v>
      </c>
      <c r="G3401" s="16" t="s">
        <v>757</v>
      </c>
      <c r="H3401" s="16" t="s">
        <v>3012</v>
      </c>
      <c r="I3401" s="16" t="s">
        <v>74</v>
      </c>
      <c r="J3401" s="16" t="s">
        <v>10079</v>
      </c>
      <c r="K3401" s="32" t="n">
        <v>1</v>
      </c>
      <c r="L3401" s="33" t="n">
        <v>46036</v>
      </c>
      <c r="M3401" s="33" t="n">
        <v>46036</v>
      </c>
      <c r="N3401" s="16" t="s">
        <v>10901</v>
      </c>
      <c r="O3401" s="16"/>
      <c r="P3401" s="16" t="str">
        <f aca="false">IF(AND(L3401&lt;=$D$2,M3401&gt;=$C$2),"Sí","")</f>
        <v/>
      </c>
      <c r="Q3401" s="18" t="str">
        <f aca="false">IF(COUNTIF(LOOKAHEAD!$A$5:$A$604,A3401)&gt;0,"En Lookahead",IF(P3401="Sí","INCORPORAR",""))</f>
        <v/>
      </c>
    </row>
    <row r="3402" customFormat="false" ht="15" hidden="false" customHeight="false" outlineLevel="0" collapsed="false">
      <c r="A3402" s="16" t="s">
        <v>10902</v>
      </c>
      <c r="B3402" s="16" t="n">
        <v>3397</v>
      </c>
      <c r="C3402" s="16" t="s">
        <v>10903</v>
      </c>
      <c r="D3402" s="16" t="n">
        <v>7</v>
      </c>
      <c r="E3402" s="37" t="s">
        <v>10904</v>
      </c>
      <c r="F3402" s="16" t="s">
        <v>1285</v>
      </c>
      <c r="G3402" s="16" t="s">
        <v>757</v>
      </c>
      <c r="H3402" s="16" t="s">
        <v>3012</v>
      </c>
      <c r="I3402" s="16" t="s">
        <v>74</v>
      </c>
      <c r="J3402" s="16" t="s">
        <v>10079</v>
      </c>
      <c r="K3402" s="32" t="n">
        <v>1</v>
      </c>
      <c r="L3402" s="33" t="n">
        <v>46037</v>
      </c>
      <c r="M3402" s="33" t="n">
        <v>46037</v>
      </c>
      <c r="N3402" s="16" t="s">
        <v>10905</v>
      </c>
      <c r="O3402" s="16"/>
      <c r="P3402" s="16" t="str">
        <f aca="false">IF(AND(L3402&lt;=$D$2,M3402&gt;=$C$2),"Sí","")</f>
        <v/>
      </c>
      <c r="Q3402" s="18" t="str">
        <f aca="false">IF(COUNTIF(LOOKAHEAD!$A$5:$A$604,A3402)&gt;0,"En Lookahead",IF(P3402="Sí","INCORPORAR",""))</f>
        <v/>
      </c>
    </row>
    <row r="3403" customFormat="false" ht="15" hidden="false" customHeight="false" outlineLevel="0" collapsed="false">
      <c r="A3403" s="13" t="s">
        <v>10906</v>
      </c>
      <c r="B3403" s="13" t="n">
        <v>3398</v>
      </c>
      <c r="C3403" s="13" t="s">
        <v>10907</v>
      </c>
      <c r="D3403" s="13" t="n">
        <v>6</v>
      </c>
      <c r="E3403" s="36" t="s">
        <v>10119</v>
      </c>
      <c r="F3403" s="13" t="s">
        <v>1298</v>
      </c>
      <c r="G3403" s="13" t="s">
        <v>757</v>
      </c>
      <c r="H3403" s="13" t="s">
        <v>3012</v>
      </c>
      <c r="I3403" s="13" t="s">
        <v>74</v>
      </c>
      <c r="J3403" s="13" t="s">
        <v>10032</v>
      </c>
      <c r="K3403" s="30" t="n">
        <v>3</v>
      </c>
      <c r="L3403" s="31" t="n">
        <v>46032</v>
      </c>
      <c r="M3403" s="31" t="n">
        <v>46034</v>
      </c>
      <c r="N3403" s="13"/>
      <c r="O3403" s="13"/>
      <c r="P3403" s="13"/>
      <c r="Q3403" s="13"/>
    </row>
    <row r="3404" customFormat="false" ht="15" hidden="false" customHeight="false" outlineLevel="0" collapsed="false">
      <c r="A3404" s="16" t="s">
        <v>10908</v>
      </c>
      <c r="B3404" s="16" t="n">
        <v>3399</v>
      </c>
      <c r="C3404" s="16" t="s">
        <v>10909</v>
      </c>
      <c r="D3404" s="16" t="n">
        <v>7</v>
      </c>
      <c r="E3404" s="37" t="s">
        <v>10122</v>
      </c>
      <c r="F3404" s="16" t="s">
        <v>1285</v>
      </c>
      <c r="G3404" s="16" t="s">
        <v>757</v>
      </c>
      <c r="H3404" s="16" t="s">
        <v>3012</v>
      </c>
      <c r="I3404" s="16" t="s">
        <v>74</v>
      </c>
      <c r="J3404" s="16" t="s">
        <v>10119</v>
      </c>
      <c r="K3404" s="32" t="n">
        <v>2</v>
      </c>
      <c r="L3404" s="33" t="n">
        <v>46032</v>
      </c>
      <c r="M3404" s="33" t="n">
        <v>46033</v>
      </c>
      <c r="N3404" s="16" t="s">
        <v>10889</v>
      </c>
      <c r="O3404" s="16"/>
      <c r="P3404" s="16" t="str">
        <f aca="false">IF(AND(L3404&lt;=$D$2,M3404&gt;=$C$2),"Sí","")</f>
        <v/>
      </c>
      <c r="Q3404" s="18" t="str">
        <f aca="false">IF(COUNTIF(LOOKAHEAD!$A$5:$A$604,A3404)&gt;0,"En Lookahead",IF(P3404="Sí","INCORPORAR",""))</f>
        <v/>
      </c>
    </row>
    <row r="3405" customFormat="false" ht="15" hidden="false" customHeight="false" outlineLevel="0" collapsed="false">
      <c r="A3405" s="16" t="s">
        <v>10910</v>
      </c>
      <c r="B3405" s="16" t="n">
        <v>3400</v>
      </c>
      <c r="C3405" s="16" t="s">
        <v>10911</v>
      </c>
      <c r="D3405" s="16" t="n">
        <v>7</v>
      </c>
      <c r="E3405" s="37" t="s">
        <v>10125</v>
      </c>
      <c r="F3405" s="16" t="s">
        <v>1285</v>
      </c>
      <c r="G3405" s="16" t="s">
        <v>757</v>
      </c>
      <c r="H3405" s="16" t="s">
        <v>3012</v>
      </c>
      <c r="I3405" s="16" t="s">
        <v>74</v>
      </c>
      <c r="J3405" s="16" t="s">
        <v>10119</v>
      </c>
      <c r="K3405" s="32" t="n">
        <v>1</v>
      </c>
      <c r="L3405" s="33" t="n">
        <v>46034</v>
      </c>
      <c r="M3405" s="33" t="n">
        <v>46034</v>
      </c>
      <c r="N3405" s="16" t="s">
        <v>10912</v>
      </c>
      <c r="O3405" s="16"/>
      <c r="P3405" s="16" t="str">
        <f aca="false">IF(AND(L3405&lt;=$D$2,M3405&gt;=$C$2),"Sí","")</f>
        <v/>
      </c>
      <c r="Q3405" s="18" t="str">
        <f aca="false">IF(COUNTIF(LOOKAHEAD!$A$5:$A$604,A3405)&gt;0,"En Lookahead",IF(P3405="Sí","INCORPORAR",""))</f>
        <v/>
      </c>
    </row>
    <row r="3406" customFormat="false" ht="15" hidden="false" customHeight="false" outlineLevel="0" collapsed="false">
      <c r="A3406" s="13" t="s">
        <v>10913</v>
      </c>
      <c r="B3406" s="13" t="n">
        <v>3401</v>
      </c>
      <c r="C3406" s="13" t="s">
        <v>10914</v>
      </c>
      <c r="D3406" s="13" t="n">
        <v>5</v>
      </c>
      <c r="E3406" s="34" t="s">
        <v>10129</v>
      </c>
      <c r="F3406" s="13" t="s">
        <v>1298</v>
      </c>
      <c r="G3406" s="13" t="s">
        <v>757</v>
      </c>
      <c r="H3406" s="13" t="s">
        <v>3012</v>
      </c>
      <c r="I3406" s="13" t="s">
        <v>74</v>
      </c>
      <c r="J3406" s="13" t="s">
        <v>3012</v>
      </c>
      <c r="K3406" s="30" t="n">
        <v>22</v>
      </c>
      <c r="L3406" s="31" t="n">
        <v>46023</v>
      </c>
      <c r="M3406" s="31" t="n">
        <v>46044</v>
      </c>
      <c r="N3406" s="13"/>
      <c r="O3406" s="13"/>
      <c r="P3406" s="13"/>
      <c r="Q3406" s="13"/>
    </row>
    <row r="3407" customFormat="false" ht="15" hidden="false" customHeight="false" outlineLevel="0" collapsed="false">
      <c r="A3407" s="13" t="s">
        <v>10915</v>
      </c>
      <c r="B3407" s="13" t="n">
        <v>3402</v>
      </c>
      <c r="C3407" s="13" t="s">
        <v>10916</v>
      </c>
      <c r="D3407" s="13" t="n">
        <v>6</v>
      </c>
      <c r="E3407" s="36" t="s">
        <v>10035</v>
      </c>
      <c r="F3407" s="13" t="s">
        <v>1298</v>
      </c>
      <c r="G3407" s="13" t="s">
        <v>757</v>
      </c>
      <c r="H3407" s="13" t="s">
        <v>3012</v>
      </c>
      <c r="I3407" s="13" t="s">
        <v>74</v>
      </c>
      <c r="J3407" s="13" t="s">
        <v>10129</v>
      </c>
      <c r="K3407" s="30" t="n">
        <v>1</v>
      </c>
      <c r="L3407" s="31" t="n">
        <v>46023</v>
      </c>
      <c r="M3407" s="31" t="n">
        <v>46023</v>
      </c>
      <c r="N3407" s="13"/>
      <c r="O3407" s="13"/>
      <c r="P3407" s="13"/>
      <c r="Q3407" s="13"/>
    </row>
    <row r="3408" customFormat="false" ht="15" hidden="false" customHeight="false" outlineLevel="0" collapsed="false">
      <c r="A3408" s="16" t="s">
        <v>10917</v>
      </c>
      <c r="B3408" s="16" t="n">
        <v>3403</v>
      </c>
      <c r="C3408" s="16" t="s">
        <v>10918</v>
      </c>
      <c r="D3408" s="16" t="n">
        <v>7</v>
      </c>
      <c r="E3408" s="37" t="s">
        <v>10038</v>
      </c>
      <c r="F3408" s="16" t="s">
        <v>1285</v>
      </c>
      <c r="G3408" s="16" t="s">
        <v>757</v>
      </c>
      <c r="H3408" s="16" t="s">
        <v>3012</v>
      </c>
      <c r="I3408" s="16" t="s">
        <v>74</v>
      </c>
      <c r="J3408" s="16" t="s">
        <v>10035</v>
      </c>
      <c r="K3408" s="32" t="n">
        <v>1</v>
      </c>
      <c r="L3408" s="33" t="n">
        <v>46023</v>
      </c>
      <c r="M3408" s="33" t="n">
        <v>46023</v>
      </c>
      <c r="N3408" s="16" t="s">
        <v>10796</v>
      </c>
      <c r="O3408" s="16"/>
      <c r="P3408" s="16" t="str">
        <f aca="false">IF(AND(L3408&lt;=$D$2,M3408&gt;=$C$2),"Sí","")</f>
        <v/>
      </c>
      <c r="Q3408" s="18" t="str">
        <f aca="false">IF(COUNTIF(LOOKAHEAD!$A$5:$A$604,A3408)&gt;0,"En Lookahead",IF(P3408="Sí","INCORPORAR",""))</f>
        <v/>
      </c>
    </row>
    <row r="3409" customFormat="false" ht="15" hidden="false" customHeight="false" outlineLevel="0" collapsed="false">
      <c r="A3409" s="13" t="s">
        <v>10919</v>
      </c>
      <c r="B3409" s="13" t="n">
        <v>3404</v>
      </c>
      <c r="C3409" s="13" t="s">
        <v>10920</v>
      </c>
      <c r="D3409" s="13" t="n">
        <v>6</v>
      </c>
      <c r="E3409" s="36" t="s">
        <v>1534</v>
      </c>
      <c r="F3409" s="13" t="s">
        <v>1298</v>
      </c>
      <c r="G3409" s="13" t="s">
        <v>757</v>
      </c>
      <c r="H3409" s="13" t="s">
        <v>3012</v>
      </c>
      <c r="I3409" s="13" t="s">
        <v>74</v>
      </c>
      <c r="J3409" s="13" t="s">
        <v>10129</v>
      </c>
      <c r="K3409" s="30" t="n">
        <v>15</v>
      </c>
      <c r="L3409" s="31" t="n">
        <v>46024</v>
      </c>
      <c r="M3409" s="31" t="n">
        <v>46038</v>
      </c>
      <c r="N3409" s="13"/>
      <c r="O3409" s="13"/>
      <c r="P3409" s="13"/>
      <c r="Q3409" s="13"/>
    </row>
    <row r="3410" customFormat="false" ht="15" hidden="false" customHeight="false" outlineLevel="0" collapsed="false">
      <c r="A3410" s="16" t="s">
        <v>10921</v>
      </c>
      <c r="B3410" s="16" t="n">
        <v>3405</v>
      </c>
      <c r="C3410" s="16" t="s">
        <v>10922</v>
      </c>
      <c r="D3410" s="16" t="n">
        <v>7</v>
      </c>
      <c r="E3410" s="37" t="s">
        <v>10043</v>
      </c>
      <c r="F3410" s="16" t="s">
        <v>1285</v>
      </c>
      <c r="G3410" s="16" t="s">
        <v>757</v>
      </c>
      <c r="H3410" s="16" t="s">
        <v>3012</v>
      </c>
      <c r="I3410" s="16" t="s">
        <v>74</v>
      </c>
      <c r="J3410" s="16" t="s">
        <v>1534</v>
      </c>
      <c r="K3410" s="32" t="n">
        <v>1</v>
      </c>
      <c r="L3410" s="33" t="n">
        <v>46024</v>
      </c>
      <c r="M3410" s="33" t="n">
        <v>46024</v>
      </c>
      <c r="N3410" s="16" t="s">
        <v>10923</v>
      </c>
      <c r="O3410" s="16"/>
      <c r="P3410" s="16" t="str">
        <f aca="false">IF(AND(L3410&lt;=$D$2,M3410&gt;=$C$2),"Sí","")</f>
        <v/>
      </c>
      <c r="Q3410" s="18" t="str">
        <f aca="false">IF(COUNTIF(LOOKAHEAD!$A$5:$A$604,A3410)&gt;0,"En Lookahead",IF(P3410="Sí","INCORPORAR",""))</f>
        <v/>
      </c>
    </row>
    <row r="3411" customFormat="false" ht="15" hidden="false" customHeight="false" outlineLevel="0" collapsed="false">
      <c r="A3411" s="16" t="s">
        <v>10924</v>
      </c>
      <c r="B3411" s="16" t="n">
        <v>3406</v>
      </c>
      <c r="C3411" s="16" t="s">
        <v>10925</v>
      </c>
      <c r="D3411" s="16" t="n">
        <v>7</v>
      </c>
      <c r="E3411" s="37" t="s">
        <v>10047</v>
      </c>
      <c r="F3411" s="16" t="s">
        <v>1285</v>
      </c>
      <c r="G3411" s="16" t="s">
        <v>757</v>
      </c>
      <c r="H3411" s="16" t="s">
        <v>3012</v>
      </c>
      <c r="I3411" s="16" t="s">
        <v>74</v>
      </c>
      <c r="J3411" s="16" t="s">
        <v>1534</v>
      </c>
      <c r="K3411" s="32" t="n">
        <v>1</v>
      </c>
      <c r="L3411" s="33" t="n">
        <v>46025</v>
      </c>
      <c r="M3411" s="33" t="n">
        <v>46025</v>
      </c>
      <c r="N3411" s="16" t="s">
        <v>10926</v>
      </c>
      <c r="O3411" s="16"/>
      <c r="P3411" s="16" t="str">
        <f aca="false">IF(AND(L3411&lt;=$D$2,M3411&gt;=$C$2),"Sí","")</f>
        <v/>
      </c>
      <c r="Q3411" s="18" t="str">
        <f aca="false">IF(COUNTIF(LOOKAHEAD!$A$5:$A$604,A3411)&gt;0,"En Lookahead",IF(P3411="Sí","INCORPORAR",""))</f>
        <v/>
      </c>
    </row>
    <row r="3412" customFormat="false" ht="15" hidden="false" customHeight="false" outlineLevel="0" collapsed="false">
      <c r="A3412" s="16" t="s">
        <v>10927</v>
      </c>
      <c r="B3412" s="16" t="n">
        <v>3407</v>
      </c>
      <c r="C3412" s="16" t="s">
        <v>10928</v>
      </c>
      <c r="D3412" s="16" t="n">
        <v>7</v>
      </c>
      <c r="E3412" s="37" t="s">
        <v>10051</v>
      </c>
      <c r="F3412" s="16" t="s">
        <v>1285</v>
      </c>
      <c r="G3412" s="16" t="s">
        <v>757</v>
      </c>
      <c r="H3412" s="16" t="s">
        <v>3012</v>
      </c>
      <c r="I3412" s="16" t="s">
        <v>74</v>
      </c>
      <c r="J3412" s="16" t="s">
        <v>1534</v>
      </c>
      <c r="K3412" s="32" t="n">
        <v>1</v>
      </c>
      <c r="L3412" s="33" t="n">
        <v>46026</v>
      </c>
      <c r="M3412" s="33" t="n">
        <v>46026</v>
      </c>
      <c r="N3412" s="16" t="s">
        <v>10929</v>
      </c>
      <c r="O3412" s="16"/>
      <c r="P3412" s="16" t="str">
        <f aca="false">IF(AND(L3412&lt;=$D$2,M3412&gt;=$C$2),"Sí","")</f>
        <v/>
      </c>
      <c r="Q3412" s="18" t="str">
        <f aca="false">IF(COUNTIF(LOOKAHEAD!$A$5:$A$604,A3412)&gt;0,"En Lookahead",IF(P3412="Sí","INCORPORAR",""))</f>
        <v/>
      </c>
    </row>
    <row r="3413" customFormat="false" ht="15" hidden="false" customHeight="false" outlineLevel="0" collapsed="false">
      <c r="A3413" s="16" t="s">
        <v>10930</v>
      </c>
      <c r="B3413" s="16" t="n">
        <v>3408</v>
      </c>
      <c r="C3413" s="16" t="s">
        <v>10931</v>
      </c>
      <c r="D3413" s="16" t="n">
        <v>7</v>
      </c>
      <c r="E3413" s="37" t="s">
        <v>10055</v>
      </c>
      <c r="F3413" s="16" t="s">
        <v>1285</v>
      </c>
      <c r="G3413" s="16" t="s">
        <v>757</v>
      </c>
      <c r="H3413" s="16" t="s">
        <v>3012</v>
      </c>
      <c r="I3413" s="16" t="s">
        <v>74</v>
      </c>
      <c r="J3413" s="16" t="s">
        <v>1534</v>
      </c>
      <c r="K3413" s="32" t="n">
        <v>1</v>
      </c>
      <c r="L3413" s="33" t="n">
        <v>46027</v>
      </c>
      <c r="M3413" s="33" t="n">
        <v>46027</v>
      </c>
      <c r="N3413" s="16" t="s">
        <v>10932</v>
      </c>
      <c r="O3413" s="16"/>
      <c r="P3413" s="16" t="str">
        <f aca="false">IF(AND(L3413&lt;=$D$2,M3413&gt;=$C$2),"Sí","")</f>
        <v/>
      </c>
      <c r="Q3413" s="18" t="str">
        <f aca="false">IF(COUNTIF(LOOKAHEAD!$A$5:$A$604,A3413)&gt;0,"En Lookahead",IF(P3413="Sí","INCORPORAR",""))</f>
        <v/>
      </c>
    </row>
    <row r="3414" customFormat="false" ht="15" hidden="false" customHeight="false" outlineLevel="0" collapsed="false">
      <c r="A3414" s="16" t="s">
        <v>10933</v>
      </c>
      <c r="B3414" s="16" t="n">
        <v>3409</v>
      </c>
      <c r="C3414" s="16" t="s">
        <v>10934</v>
      </c>
      <c r="D3414" s="16" t="n">
        <v>7</v>
      </c>
      <c r="E3414" s="37" t="s">
        <v>10059</v>
      </c>
      <c r="F3414" s="16" t="s">
        <v>1285</v>
      </c>
      <c r="G3414" s="16" t="s">
        <v>757</v>
      </c>
      <c r="H3414" s="16" t="s">
        <v>3012</v>
      </c>
      <c r="I3414" s="16" t="s">
        <v>74</v>
      </c>
      <c r="J3414" s="16" t="s">
        <v>1534</v>
      </c>
      <c r="K3414" s="32" t="n">
        <v>1</v>
      </c>
      <c r="L3414" s="33" t="n">
        <v>46036</v>
      </c>
      <c r="M3414" s="33" t="n">
        <v>46036</v>
      </c>
      <c r="N3414" s="16" t="s">
        <v>10935</v>
      </c>
      <c r="O3414" s="16"/>
      <c r="P3414" s="16" t="str">
        <f aca="false">IF(AND(L3414&lt;=$D$2,M3414&gt;=$C$2),"Sí","")</f>
        <v/>
      </c>
      <c r="Q3414" s="18" t="str">
        <f aca="false">IF(COUNTIF(LOOKAHEAD!$A$5:$A$604,A3414)&gt;0,"En Lookahead",IF(P3414="Sí","INCORPORAR",""))</f>
        <v/>
      </c>
    </row>
    <row r="3415" customFormat="false" ht="15" hidden="false" customHeight="false" outlineLevel="0" collapsed="false">
      <c r="A3415" s="16" t="s">
        <v>10936</v>
      </c>
      <c r="B3415" s="16" t="n">
        <v>3410</v>
      </c>
      <c r="C3415" s="16" t="s">
        <v>10937</v>
      </c>
      <c r="D3415" s="16" t="n">
        <v>7</v>
      </c>
      <c r="E3415" s="37" t="s">
        <v>10063</v>
      </c>
      <c r="F3415" s="16" t="s">
        <v>1285</v>
      </c>
      <c r="G3415" s="16" t="s">
        <v>757</v>
      </c>
      <c r="H3415" s="16" t="s">
        <v>3012</v>
      </c>
      <c r="I3415" s="16" t="s">
        <v>74</v>
      </c>
      <c r="J3415" s="16" t="s">
        <v>1534</v>
      </c>
      <c r="K3415" s="32" t="n">
        <v>1</v>
      </c>
      <c r="L3415" s="33" t="n">
        <v>46037</v>
      </c>
      <c r="M3415" s="33" t="n">
        <v>46037</v>
      </c>
      <c r="N3415" s="16" t="s">
        <v>10938</v>
      </c>
      <c r="O3415" s="16"/>
      <c r="P3415" s="16" t="str">
        <f aca="false">IF(AND(L3415&lt;=$D$2,M3415&gt;=$C$2),"Sí","")</f>
        <v/>
      </c>
      <c r="Q3415" s="18" t="str">
        <f aca="false">IF(COUNTIF(LOOKAHEAD!$A$5:$A$604,A3415)&gt;0,"En Lookahead",IF(P3415="Sí","INCORPORAR",""))</f>
        <v/>
      </c>
    </row>
    <row r="3416" customFormat="false" ht="15" hidden="false" customHeight="false" outlineLevel="0" collapsed="false">
      <c r="A3416" s="16" t="s">
        <v>10939</v>
      </c>
      <c r="B3416" s="16" t="n">
        <v>3411</v>
      </c>
      <c r="C3416" s="16" t="s">
        <v>10940</v>
      </c>
      <c r="D3416" s="16" t="n">
        <v>7</v>
      </c>
      <c r="E3416" s="37" t="s">
        <v>1557</v>
      </c>
      <c r="F3416" s="16" t="s">
        <v>1285</v>
      </c>
      <c r="G3416" s="16" t="s">
        <v>757</v>
      </c>
      <c r="H3416" s="16" t="s">
        <v>3012</v>
      </c>
      <c r="I3416" s="16" t="s">
        <v>74</v>
      </c>
      <c r="J3416" s="16" t="s">
        <v>1534</v>
      </c>
      <c r="K3416" s="32" t="n">
        <v>1</v>
      </c>
      <c r="L3416" s="33" t="n">
        <v>46036</v>
      </c>
      <c r="M3416" s="33" t="n">
        <v>46036</v>
      </c>
      <c r="N3416" s="16" t="s">
        <v>10941</v>
      </c>
      <c r="O3416" s="16"/>
      <c r="P3416" s="16" t="str">
        <f aca="false">IF(AND(L3416&lt;=$D$2,M3416&gt;=$C$2),"Sí","")</f>
        <v/>
      </c>
      <c r="Q3416" s="18" t="str">
        <f aca="false">IF(COUNTIF(LOOKAHEAD!$A$5:$A$604,A3416)&gt;0,"En Lookahead",IF(P3416="Sí","INCORPORAR",""))</f>
        <v/>
      </c>
    </row>
    <row r="3417" customFormat="false" ht="15" hidden="false" customHeight="false" outlineLevel="0" collapsed="false">
      <c r="A3417" s="16" t="s">
        <v>10942</v>
      </c>
      <c r="B3417" s="16" t="n">
        <v>3412</v>
      </c>
      <c r="C3417" s="16" t="s">
        <v>10943</v>
      </c>
      <c r="D3417" s="16" t="n">
        <v>7</v>
      </c>
      <c r="E3417" s="37" t="s">
        <v>10069</v>
      </c>
      <c r="F3417" s="16" t="s">
        <v>1285</v>
      </c>
      <c r="G3417" s="16" t="s">
        <v>757</v>
      </c>
      <c r="H3417" s="16" t="s">
        <v>3012</v>
      </c>
      <c r="I3417" s="16" t="s">
        <v>74</v>
      </c>
      <c r="J3417" s="16" t="s">
        <v>1534</v>
      </c>
      <c r="K3417" s="32" t="n">
        <v>1</v>
      </c>
      <c r="L3417" s="33" t="n">
        <v>46038</v>
      </c>
      <c r="M3417" s="33" t="n">
        <v>46038</v>
      </c>
      <c r="N3417" s="16" t="s">
        <v>10944</v>
      </c>
      <c r="O3417" s="16"/>
      <c r="P3417" s="16" t="str">
        <f aca="false">IF(AND(L3417&lt;=$D$2,M3417&gt;=$C$2),"Sí","")</f>
        <v/>
      </c>
      <c r="Q3417" s="18" t="str">
        <f aca="false">IF(COUNTIF(LOOKAHEAD!$A$5:$A$604,A3417)&gt;0,"En Lookahead",IF(P3417="Sí","INCORPORAR",""))</f>
        <v/>
      </c>
    </row>
    <row r="3418" customFormat="false" ht="15" hidden="false" customHeight="false" outlineLevel="0" collapsed="false">
      <c r="A3418" s="13" t="s">
        <v>10945</v>
      </c>
      <c r="B3418" s="13" t="n">
        <v>3413</v>
      </c>
      <c r="C3418" s="13" t="s">
        <v>10946</v>
      </c>
      <c r="D3418" s="13" t="n">
        <v>6</v>
      </c>
      <c r="E3418" s="36" t="s">
        <v>10162</v>
      </c>
      <c r="F3418" s="13" t="s">
        <v>1298</v>
      </c>
      <c r="G3418" s="13" t="s">
        <v>757</v>
      </c>
      <c r="H3418" s="13" t="s">
        <v>3012</v>
      </c>
      <c r="I3418" s="13" t="s">
        <v>74</v>
      </c>
      <c r="J3418" s="13" t="s">
        <v>10129</v>
      </c>
      <c r="K3418" s="30" t="n">
        <v>2</v>
      </c>
      <c r="L3418" s="31" t="n">
        <v>46039</v>
      </c>
      <c r="M3418" s="31" t="n">
        <v>46040</v>
      </c>
      <c r="N3418" s="13"/>
      <c r="O3418" s="13"/>
      <c r="P3418" s="13"/>
      <c r="Q3418" s="13"/>
    </row>
    <row r="3419" customFormat="false" ht="15" hidden="false" customHeight="false" outlineLevel="0" collapsed="false">
      <c r="A3419" s="16" t="s">
        <v>10947</v>
      </c>
      <c r="B3419" s="16" t="n">
        <v>3414</v>
      </c>
      <c r="C3419" s="16" t="s">
        <v>10948</v>
      </c>
      <c r="D3419" s="16" t="n">
        <v>7</v>
      </c>
      <c r="E3419" s="37" t="s">
        <v>10165</v>
      </c>
      <c r="F3419" s="16" t="s">
        <v>1285</v>
      </c>
      <c r="G3419" s="16" t="s">
        <v>757</v>
      </c>
      <c r="H3419" s="16" t="s">
        <v>3012</v>
      </c>
      <c r="I3419" s="16" t="s">
        <v>74</v>
      </c>
      <c r="J3419" s="16" t="s">
        <v>10162</v>
      </c>
      <c r="K3419" s="32" t="n">
        <v>1</v>
      </c>
      <c r="L3419" s="33" t="n">
        <v>46039</v>
      </c>
      <c r="M3419" s="33" t="n">
        <v>46039</v>
      </c>
      <c r="N3419" s="16" t="s">
        <v>10949</v>
      </c>
      <c r="O3419" s="16"/>
      <c r="P3419" s="16" t="str">
        <f aca="false">IF(AND(L3419&lt;=$D$2,M3419&gt;=$C$2),"Sí","")</f>
        <v/>
      </c>
      <c r="Q3419" s="18" t="str">
        <f aca="false">IF(COUNTIF(LOOKAHEAD!$A$5:$A$604,A3419)&gt;0,"En Lookahead",IF(P3419="Sí","INCORPORAR",""))</f>
        <v/>
      </c>
    </row>
    <row r="3420" customFormat="false" ht="15" hidden="false" customHeight="false" outlineLevel="0" collapsed="false">
      <c r="A3420" s="16" t="s">
        <v>10950</v>
      </c>
      <c r="B3420" s="16" t="n">
        <v>3415</v>
      </c>
      <c r="C3420" s="16" t="s">
        <v>10951</v>
      </c>
      <c r="D3420" s="16" t="n">
        <v>7</v>
      </c>
      <c r="E3420" s="37" t="s">
        <v>10169</v>
      </c>
      <c r="F3420" s="16" t="s">
        <v>1285</v>
      </c>
      <c r="G3420" s="16" t="s">
        <v>757</v>
      </c>
      <c r="H3420" s="16" t="s">
        <v>3012</v>
      </c>
      <c r="I3420" s="16" t="s">
        <v>74</v>
      </c>
      <c r="J3420" s="16" t="s">
        <v>10162</v>
      </c>
      <c r="K3420" s="32" t="n">
        <v>1</v>
      </c>
      <c r="L3420" s="33" t="n">
        <v>46040</v>
      </c>
      <c r="M3420" s="33" t="n">
        <v>46040</v>
      </c>
      <c r="N3420" s="16" t="s">
        <v>10952</v>
      </c>
      <c r="O3420" s="16"/>
      <c r="P3420" s="16" t="str">
        <f aca="false">IF(AND(L3420&lt;=$D$2,M3420&gt;=$C$2),"Sí","")</f>
        <v/>
      </c>
      <c r="Q3420" s="18" t="str">
        <f aca="false">IF(COUNTIF(LOOKAHEAD!$A$5:$A$604,A3420)&gt;0,"En Lookahead",IF(P3420="Sí","INCORPORAR",""))</f>
        <v/>
      </c>
    </row>
    <row r="3421" customFormat="false" ht="15" hidden="false" customHeight="false" outlineLevel="0" collapsed="false">
      <c r="A3421" s="13" t="s">
        <v>10953</v>
      </c>
      <c r="B3421" s="13" t="n">
        <v>3416</v>
      </c>
      <c r="C3421" s="13" t="s">
        <v>10954</v>
      </c>
      <c r="D3421" s="13" t="n">
        <v>6</v>
      </c>
      <c r="E3421" s="36" t="s">
        <v>10173</v>
      </c>
      <c r="F3421" s="13" t="s">
        <v>1298</v>
      </c>
      <c r="G3421" s="13" t="s">
        <v>757</v>
      </c>
      <c r="H3421" s="13" t="s">
        <v>3012</v>
      </c>
      <c r="I3421" s="13" t="s">
        <v>74</v>
      </c>
      <c r="J3421" s="13" t="s">
        <v>10129</v>
      </c>
      <c r="K3421" s="30" t="n">
        <v>11</v>
      </c>
      <c r="L3421" s="31" t="n">
        <v>46028</v>
      </c>
      <c r="M3421" s="31" t="n">
        <v>46038</v>
      </c>
      <c r="N3421" s="13"/>
      <c r="O3421" s="13"/>
      <c r="P3421" s="13"/>
      <c r="Q3421" s="13"/>
    </row>
    <row r="3422" customFormat="false" ht="15" hidden="false" customHeight="false" outlineLevel="0" collapsed="false">
      <c r="A3422" s="16" t="s">
        <v>10955</v>
      </c>
      <c r="B3422" s="16" t="n">
        <v>3417</v>
      </c>
      <c r="C3422" s="16" t="s">
        <v>10956</v>
      </c>
      <c r="D3422" s="16" t="n">
        <v>7</v>
      </c>
      <c r="E3422" s="37" t="s">
        <v>10176</v>
      </c>
      <c r="F3422" s="16" t="s">
        <v>1285</v>
      </c>
      <c r="G3422" s="16" t="s">
        <v>757</v>
      </c>
      <c r="H3422" s="16" t="s">
        <v>3012</v>
      </c>
      <c r="I3422" s="16" t="s">
        <v>74</v>
      </c>
      <c r="J3422" s="16" t="s">
        <v>10173</v>
      </c>
      <c r="K3422" s="32" t="n">
        <v>1</v>
      </c>
      <c r="L3422" s="33" t="n">
        <v>46028</v>
      </c>
      <c r="M3422" s="33" t="n">
        <v>46028</v>
      </c>
      <c r="N3422" s="16" t="s">
        <v>10957</v>
      </c>
      <c r="O3422" s="16"/>
      <c r="P3422" s="16" t="str">
        <f aca="false">IF(AND(L3422&lt;=$D$2,M3422&gt;=$C$2),"Sí","")</f>
        <v/>
      </c>
      <c r="Q3422" s="18" t="str">
        <f aca="false">IF(COUNTIF(LOOKAHEAD!$A$5:$A$604,A3422)&gt;0,"En Lookahead",IF(P3422="Sí","INCORPORAR",""))</f>
        <v/>
      </c>
    </row>
    <row r="3423" customFormat="false" ht="15" hidden="false" customHeight="false" outlineLevel="0" collapsed="false">
      <c r="A3423" s="16" t="s">
        <v>10958</v>
      </c>
      <c r="B3423" s="16" t="n">
        <v>3418</v>
      </c>
      <c r="C3423" s="16" t="s">
        <v>10959</v>
      </c>
      <c r="D3423" s="16" t="n">
        <v>7</v>
      </c>
      <c r="E3423" s="37" t="s">
        <v>10075</v>
      </c>
      <c r="F3423" s="16" t="s">
        <v>1285</v>
      </c>
      <c r="G3423" s="16" t="s">
        <v>757</v>
      </c>
      <c r="H3423" s="16" t="s">
        <v>3012</v>
      </c>
      <c r="I3423" s="16" t="s">
        <v>74</v>
      </c>
      <c r="J3423" s="16" t="s">
        <v>10173</v>
      </c>
      <c r="K3423" s="32" t="n">
        <v>1</v>
      </c>
      <c r="L3423" s="33" t="n">
        <v>46029</v>
      </c>
      <c r="M3423" s="33" t="n">
        <v>46029</v>
      </c>
      <c r="N3423" s="16" t="s">
        <v>10960</v>
      </c>
      <c r="O3423" s="16"/>
      <c r="P3423" s="16" t="str">
        <f aca="false">IF(AND(L3423&lt;=$D$2,M3423&gt;=$C$2),"Sí","")</f>
        <v/>
      </c>
      <c r="Q3423" s="18" t="str">
        <f aca="false">IF(COUNTIF(LOOKAHEAD!$A$5:$A$604,A3423)&gt;0,"En Lookahead",IF(P3423="Sí","INCORPORAR",""))</f>
        <v/>
      </c>
    </row>
    <row r="3424" customFormat="false" ht="15" hidden="false" customHeight="false" outlineLevel="0" collapsed="false">
      <c r="A3424" s="16" t="s">
        <v>10961</v>
      </c>
      <c r="B3424" s="16" t="n">
        <v>3419</v>
      </c>
      <c r="C3424" s="16" t="s">
        <v>10962</v>
      </c>
      <c r="D3424" s="16" t="n">
        <v>7</v>
      </c>
      <c r="E3424" s="37" t="s">
        <v>10182</v>
      </c>
      <c r="F3424" s="16" t="s">
        <v>1285</v>
      </c>
      <c r="G3424" s="16" t="s">
        <v>757</v>
      </c>
      <c r="H3424" s="16" t="s">
        <v>3012</v>
      </c>
      <c r="I3424" s="16" t="s">
        <v>74</v>
      </c>
      <c r="J3424" s="16" t="s">
        <v>10173</v>
      </c>
      <c r="K3424" s="32" t="n">
        <v>1</v>
      </c>
      <c r="L3424" s="33" t="n">
        <v>46038</v>
      </c>
      <c r="M3424" s="33" t="n">
        <v>46038</v>
      </c>
      <c r="N3424" s="16" t="s">
        <v>10944</v>
      </c>
      <c r="O3424" s="16"/>
      <c r="P3424" s="16" t="str">
        <f aca="false">IF(AND(L3424&lt;=$D$2,M3424&gt;=$C$2),"Sí","")</f>
        <v/>
      </c>
      <c r="Q3424" s="18" t="str">
        <f aca="false">IF(COUNTIF(LOOKAHEAD!$A$5:$A$604,A3424)&gt;0,"En Lookahead",IF(P3424="Sí","INCORPORAR",""))</f>
        <v/>
      </c>
    </row>
    <row r="3425" customFormat="false" ht="15" hidden="false" customHeight="false" outlineLevel="0" collapsed="false">
      <c r="A3425" s="13" t="s">
        <v>10963</v>
      </c>
      <c r="B3425" s="13" t="n">
        <v>3420</v>
      </c>
      <c r="C3425" s="13" t="s">
        <v>10964</v>
      </c>
      <c r="D3425" s="13" t="n">
        <v>6</v>
      </c>
      <c r="E3425" s="36" t="s">
        <v>10079</v>
      </c>
      <c r="F3425" s="13" t="s">
        <v>1298</v>
      </c>
      <c r="G3425" s="13" t="s">
        <v>757</v>
      </c>
      <c r="H3425" s="13" t="s">
        <v>3012</v>
      </c>
      <c r="I3425" s="13" t="s">
        <v>74</v>
      </c>
      <c r="J3425" s="13" t="s">
        <v>10129</v>
      </c>
      <c r="K3425" s="30" t="n">
        <v>6</v>
      </c>
      <c r="L3425" s="31" t="n">
        <v>46030</v>
      </c>
      <c r="M3425" s="31" t="n">
        <v>46035</v>
      </c>
      <c r="N3425" s="13"/>
      <c r="O3425" s="13"/>
      <c r="P3425" s="13"/>
      <c r="Q3425" s="13"/>
    </row>
    <row r="3426" customFormat="false" ht="15" hidden="false" customHeight="false" outlineLevel="0" collapsed="false">
      <c r="A3426" s="16" t="s">
        <v>10965</v>
      </c>
      <c r="B3426" s="16" t="n">
        <v>3421</v>
      </c>
      <c r="C3426" s="16" t="s">
        <v>10966</v>
      </c>
      <c r="D3426" s="16" t="n">
        <v>7</v>
      </c>
      <c r="E3426" s="37" t="s">
        <v>10190</v>
      </c>
      <c r="F3426" s="16" t="s">
        <v>1285</v>
      </c>
      <c r="G3426" s="16" t="s">
        <v>757</v>
      </c>
      <c r="H3426" s="16" t="s">
        <v>3012</v>
      </c>
      <c r="I3426" s="16" t="s">
        <v>74</v>
      </c>
      <c r="J3426" s="16" t="s">
        <v>10079</v>
      </c>
      <c r="K3426" s="32" t="n">
        <v>1</v>
      </c>
      <c r="L3426" s="33" t="n">
        <v>46030</v>
      </c>
      <c r="M3426" s="33" t="n">
        <v>46030</v>
      </c>
      <c r="N3426" s="16" t="s">
        <v>10967</v>
      </c>
      <c r="O3426" s="16"/>
      <c r="P3426" s="16" t="str">
        <f aca="false">IF(AND(L3426&lt;=$D$2,M3426&gt;=$C$2),"Sí","")</f>
        <v/>
      </c>
      <c r="Q3426" s="18" t="str">
        <f aca="false">IF(COUNTIF(LOOKAHEAD!$A$5:$A$604,A3426)&gt;0,"En Lookahead",IF(P3426="Sí","INCORPORAR",""))</f>
        <v/>
      </c>
    </row>
    <row r="3427" customFormat="false" ht="15" hidden="false" customHeight="false" outlineLevel="0" collapsed="false">
      <c r="A3427" s="16" t="s">
        <v>10968</v>
      </c>
      <c r="B3427" s="16" t="n">
        <v>3422</v>
      </c>
      <c r="C3427" s="16" t="s">
        <v>10969</v>
      </c>
      <c r="D3427" s="16" t="n">
        <v>7</v>
      </c>
      <c r="E3427" s="37" t="s">
        <v>10194</v>
      </c>
      <c r="F3427" s="16" t="s">
        <v>1285</v>
      </c>
      <c r="G3427" s="16" t="s">
        <v>757</v>
      </c>
      <c r="H3427" s="16" t="s">
        <v>3012</v>
      </c>
      <c r="I3427" s="16" t="s">
        <v>74</v>
      </c>
      <c r="J3427" s="16" t="s">
        <v>10079</v>
      </c>
      <c r="K3427" s="32" t="n">
        <v>1</v>
      </c>
      <c r="L3427" s="33" t="n">
        <v>46031</v>
      </c>
      <c r="M3427" s="33" t="n">
        <v>46031</v>
      </c>
      <c r="N3427" s="16" t="s">
        <v>10970</v>
      </c>
      <c r="O3427" s="16"/>
      <c r="P3427" s="16" t="str">
        <f aca="false">IF(AND(L3427&lt;=$D$2,M3427&gt;=$C$2),"Sí","")</f>
        <v/>
      </c>
      <c r="Q3427" s="18" t="str">
        <f aca="false">IF(COUNTIF(LOOKAHEAD!$A$5:$A$604,A3427)&gt;0,"En Lookahead",IF(P3427="Sí","INCORPORAR",""))</f>
        <v/>
      </c>
    </row>
    <row r="3428" customFormat="false" ht="15" hidden="false" customHeight="false" outlineLevel="0" collapsed="false">
      <c r="A3428" s="16" t="s">
        <v>10971</v>
      </c>
      <c r="B3428" s="16" t="n">
        <v>3423</v>
      </c>
      <c r="C3428" s="16" t="s">
        <v>10972</v>
      </c>
      <c r="D3428" s="16" t="n">
        <v>7</v>
      </c>
      <c r="E3428" s="37" t="s">
        <v>10090</v>
      </c>
      <c r="F3428" s="16" t="s">
        <v>1285</v>
      </c>
      <c r="G3428" s="16" t="s">
        <v>757</v>
      </c>
      <c r="H3428" s="16" t="s">
        <v>3012</v>
      </c>
      <c r="I3428" s="16" t="s">
        <v>74</v>
      </c>
      <c r="J3428" s="16" t="s">
        <v>10079</v>
      </c>
      <c r="K3428" s="32" t="n">
        <v>1</v>
      </c>
      <c r="L3428" s="33" t="n">
        <v>46032</v>
      </c>
      <c r="M3428" s="33" t="n">
        <v>46032</v>
      </c>
      <c r="N3428" s="16" t="s">
        <v>10973</v>
      </c>
      <c r="O3428" s="16"/>
      <c r="P3428" s="16" t="str">
        <f aca="false">IF(AND(L3428&lt;=$D$2,M3428&gt;=$C$2),"Sí","")</f>
        <v/>
      </c>
      <c r="Q3428" s="18" t="str">
        <f aca="false">IF(COUNTIF(LOOKAHEAD!$A$5:$A$604,A3428)&gt;0,"En Lookahead",IF(P3428="Sí","INCORPORAR",""))</f>
        <v/>
      </c>
    </row>
    <row r="3429" customFormat="false" ht="15" hidden="false" customHeight="false" outlineLevel="0" collapsed="false">
      <c r="A3429" s="16" t="s">
        <v>10974</v>
      </c>
      <c r="B3429" s="16" t="n">
        <v>3424</v>
      </c>
      <c r="C3429" s="16" t="s">
        <v>10975</v>
      </c>
      <c r="D3429" s="16" t="n">
        <v>7</v>
      </c>
      <c r="E3429" s="37" t="s">
        <v>10976</v>
      </c>
      <c r="F3429" s="16" t="s">
        <v>1285</v>
      </c>
      <c r="G3429" s="16" t="s">
        <v>757</v>
      </c>
      <c r="H3429" s="16" t="s">
        <v>3012</v>
      </c>
      <c r="I3429" s="16" t="s">
        <v>74</v>
      </c>
      <c r="J3429" s="16" t="s">
        <v>10079</v>
      </c>
      <c r="K3429" s="32" t="n">
        <v>1</v>
      </c>
      <c r="L3429" s="33" t="n">
        <v>46033</v>
      </c>
      <c r="M3429" s="33" t="n">
        <v>46033</v>
      </c>
      <c r="N3429" s="16" t="s">
        <v>10977</v>
      </c>
      <c r="O3429" s="16"/>
      <c r="P3429" s="16" t="str">
        <f aca="false">IF(AND(L3429&lt;=$D$2,M3429&gt;=$C$2),"Sí","")</f>
        <v/>
      </c>
      <c r="Q3429" s="18" t="str">
        <f aca="false">IF(COUNTIF(LOOKAHEAD!$A$5:$A$604,A3429)&gt;0,"En Lookahead",IF(P3429="Sí","INCORPORAR",""))</f>
        <v/>
      </c>
    </row>
    <row r="3430" customFormat="false" ht="15" hidden="false" customHeight="false" outlineLevel="0" collapsed="false">
      <c r="A3430" s="16" t="s">
        <v>10978</v>
      </c>
      <c r="B3430" s="16" t="n">
        <v>3425</v>
      </c>
      <c r="C3430" s="16" t="s">
        <v>10979</v>
      </c>
      <c r="D3430" s="16" t="n">
        <v>7</v>
      </c>
      <c r="E3430" s="37" t="s">
        <v>10212</v>
      </c>
      <c r="F3430" s="16" t="s">
        <v>1285</v>
      </c>
      <c r="G3430" s="16" t="s">
        <v>757</v>
      </c>
      <c r="H3430" s="16" t="s">
        <v>3012</v>
      </c>
      <c r="I3430" s="16" t="s">
        <v>74</v>
      </c>
      <c r="J3430" s="16" t="s">
        <v>10079</v>
      </c>
      <c r="K3430" s="32" t="n">
        <v>1</v>
      </c>
      <c r="L3430" s="33" t="n">
        <v>46034</v>
      </c>
      <c r="M3430" s="33" t="n">
        <v>46034</v>
      </c>
      <c r="N3430" s="16" t="s">
        <v>10980</v>
      </c>
      <c r="O3430" s="16"/>
      <c r="P3430" s="16" t="str">
        <f aca="false">IF(AND(L3430&lt;=$D$2,M3430&gt;=$C$2),"Sí","")</f>
        <v/>
      </c>
      <c r="Q3430" s="18" t="str">
        <f aca="false">IF(COUNTIF(LOOKAHEAD!$A$5:$A$604,A3430)&gt;0,"En Lookahead",IF(P3430="Sí","INCORPORAR",""))</f>
        <v/>
      </c>
    </row>
    <row r="3431" customFormat="false" ht="15" hidden="false" customHeight="false" outlineLevel="0" collapsed="false">
      <c r="A3431" s="16" t="s">
        <v>10981</v>
      </c>
      <c r="B3431" s="16" t="n">
        <v>3426</v>
      </c>
      <c r="C3431" s="16" t="s">
        <v>10982</v>
      </c>
      <c r="D3431" s="16" t="n">
        <v>7</v>
      </c>
      <c r="E3431" s="37" t="s">
        <v>10216</v>
      </c>
      <c r="F3431" s="16" t="s">
        <v>1285</v>
      </c>
      <c r="G3431" s="16" t="s">
        <v>757</v>
      </c>
      <c r="H3431" s="16" t="s">
        <v>3012</v>
      </c>
      <c r="I3431" s="16" t="s">
        <v>74</v>
      </c>
      <c r="J3431" s="16" t="s">
        <v>10079</v>
      </c>
      <c r="K3431" s="32" t="n">
        <v>1</v>
      </c>
      <c r="L3431" s="33" t="n">
        <v>46035</v>
      </c>
      <c r="M3431" s="33" t="n">
        <v>46035</v>
      </c>
      <c r="N3431" s="16" t="s">
        <v>10983</v>
      </c>
      <c r="O3431" s="16"/>
      <c r="P3431" s="16" t="str">
        <f aca="false">IF(AND(L3431&lt;=$D$2,M3431&gt;=$C$2),"Sí","")</f>
        <v/>
      </c>
      <c r="Q3431" s="18" t="str">
        <f aca="false">IF(COUNTIF(LOOKAHEAD!$A$5:$A$604,A3431)&gt;0,"En Lookahead",IF(P3431="Sí","INCORPORAR",""))</f>
        <v/>
      </c>
    </row>
    <row r="3432" customFormat="false" ht="15" hidden="false" customHeight="false" outlineLevel="0" collapsed="false">
      <c r="A3432" s="13" t="s">
        <v>10984</v>
      </c>
      <c r="B3432" s="13" t="n">
        <v>3427</v>
      </c>
      <c r="C3432" s="13" t="s">
        <v>10985</v>
      </c>
      <c r="D3432" s="13" t="n">
        <v>6</v>
      </c>
      <c r="E3432" s="36" t="s">
        <v>10236</v>
      </c>
      <c r="F3432" s="13" t="s">
        <v>1298</v>
      </c>
      <c r="G3432" s="13" t="s">
        <v>757</v>
      </c>
      <c r="H3432" s="13" t="s">
        <v>3012</v>
      </c>
      <c r="I3432" s="13" t="s">
        <v>74</v>
      </c>
      <c r="J3432" s="13" t="s">
        <v>10129</v>
      </c>
      <c r="K3432" s="30" t="n">
        <v>4</v>
      </c>
      <c r="L3432" s="31" t="n">
        <v>46041</v>
      </c>
      <c r="M3432" s="31" t="n">
        <v>46044</v>
      </c>
      <c r="N3432" s="13"/>
      <c r="O3432" s="13"/>
      <c r="P3432" s="13"/>
      <c r="Q3432" s="13"/>
    </row>
    <row r="3433" customFormat="false" ht="15" hidden="false" customHeight="false" outlineLevel="0" collapsed="false">
      <c r="A3433" s="16" t="s">
        <v>10986</v>
      </c>
      <c r="B3433" s="16" t="n">
        <v>3428</v>
      </c>
      <c r="C3433" s="16" t="s">
        <v>10987</v>
      </c>
      <c r="D3433" s="16" t="n">
        <v>7</v>
      </c>
      <c r="E3433" s="37" t="s">
        <v>10239</v>
      </c>
      <c r="F3433" s="16" t="s">
        <v>1285</v>
      </c>
      <c r="G3433" s="16" t="s">
        <v>757</v>
      </c>
      <c r="H3433" s="16" t="s">
        <v>3012</v>
      </c>
      <c r="I3433" s="16" t="s">
        <v>74</v>
      </c>
      <c r="J3433" s="16" t="s">
        <v>10236</v>
      </c>
      <c r="K3433" s="32" t="n">
        <v>1</v>
      </c>
      <c r="L3433" s="33" t="n">
        <v>46041</v>
      </c>
      <c r="M3433" s="33" t="n">
        <v>46041</v>
      </c>
      <c r="N3433" s="16" t="s">
        <v>10988</v>
      </c>
      <c r="O3433" s="16"/>
      <c r="P3433" s="16" t="str">
        <f aca="false">IF(AND(L3433&lt;=$D$2,M3433&gt;=$C$2),"Sí","")</f>
        <v/>
      </c>
      <c r="Q3433" s="18" t="str">
        <f aca="false">IF(COUNTIF(LOOKAHEAD!$A$5:$A$604,A3433)&gt;0,"En Lookahead",IF(P3433="Sí","INCORPORAR",""))</f>
        <v/>
      </c>
    </row>
    <row r="3434" customFormat="false" ht="15" hidden="false" customHeight="false" outlineLevel="0" collapsed="false">
      <c r="A3434" s="16" t="s">
        <v>10989</v>
      </c>
      <c r="B3434" s="16" t="n">
        <v>3429</v>
      </c>
      <c r="C3434" s="16" t="s">
        <v>10990</v>
      </c>
      <c r="D3434" s="16" t="n">
        <v>7</v>
      </c>
      <c r="E3434" s="37" t="s">
        <v>10991</v>
      </c>
      <c r="F3434" s="16" t="s">
        <v>1285</v>
      </c>
      <c r="G3434" s="16" t="s">
        <v>757</v>
      </c>
      <c r="H3434" s="16" t="s">
        <v>3012</v>
      </c>
      <c r="I3434" s="16" t="s">
        <v>74</v>
      </c>
      <c r="J3434" s="16" t="s">
        <v>10236</v>
      </c>
      <c r="K3434" s="32" t="n">
        <v>1</v>
      </c>
      <c r="L3434" s="33" t="n">
        <v>46042</v>
      </c>
      <c r="M3434" s="33" t="n">
        <v>46042</v>
      </c>
      <c r="N3434" s="16" t="s">
        <v>10992</v>
      </c>
      <c r="O3434" s="16"/>
      <c r="P3434" s="16" t="str">
        <f aca="false">IF(AND(L3434&lt;=$D$2,M3434&gt;=$C$2),"Sí","")</f>
        <v/>
      </c>
      <c r="Q3434" s="18" t="str">
        <f aca="false">IF(COUNTIF(LOOKAHEAD!$A$5:$A$604,A3434)&gt;0,"En Lookahead",IF(P3434="Sí","INCORPORAR",""))</f>
        <v/>
      </c>
    </row>
    <row r="3435" customFormat="false" ht="15" hidden="false" customHeight="false" outlineLevel="0" collapsed="false">
      <c r="A3435" s="16" t="s">
        <v>10993</v>
      </c>
      <c r="B3435" s="16" t="n">
        <v>3430</v>
      </c>
      <c r="C3435" s="16" t="s">
        <v>10994</v>
      </c>
      <c r="D3435" s="16" t="n">
        <v>7</v>
      </c>
      <c r="E3435" s="37" t="s">
        <v>10247</v>
      </c>
      <c r="F3435" s="16" t="s">
        <v>1285</v>
      </c>
      <c r="G3435" s="16" t="s">
        <v>757</v>
      </c>
      <c r="H3435" s="16" t="s">
        <v>3012</v>
      </c>
      <c r="I3435" s="16" t="s">
        <v>74</v>
      </c>
      <c r="J3435" s="16" t="s">
        <v>10236</v>
      </c>
      <c r="K3435" s="32" t="n">
        <v>1</v>
      </c>
      <c r="L3435" s="33" t="n">
        <v>46043</v>
      </c>
      <c r="M3435" s="33" t="n">
        <v>46043</v>
      </c>
      <c r="N3435" s="16" t="s">
        <v>10995</v>
      </c>
      <c r="O3435" s="16"/>
      <c r="P3435" s="16" t="str">
        <f aca="false">IF(AND(L3435&lt;=$D$2,M3435&gt;=$C$2),"Sí","")</f>
        <v/>
      </c>
      <c r="Q3435" s="18" t="str">
        <f aca="false">IF(COUNTIF(LOOKAHEAD!$A$5:$A$604,A3435)&gt;0,"En Lookahead",IF(P3435="Sí","INCORPORAR",""))</f>
        <v/>
      </c>
    </row>
    <row r="3436" customFormat="false" ht="15" hidden="false" customHeight="false" outlineLevel="0" collapsed="false">
      <c r="A3436" s="16" t="s">
        <v>10996</v>
      </c>
      <c r="B3436" s="16" t="n">
        <v>3431</v>
      </c>
      <c r="C3436" s="16" t="s">
        <v>10997</v>
      </c>
      <c r="D3436" s="16" t="n">
        <v>7</v>
      </c>
      <c r="E3436" s="37" t="s">
        <v>10904</v>
      </c>
      <c r="F3436" s="16" t="s">
        <v>1285</v>
      </c>
      <c r="G3436" s="16" t="s">
        <v>757</v>
      </c>
      <c r="H3436" s="16" t="s">
        <v>3012</v>
      </c>
      <c r="I3436" s="16" t="s">
        <v>74</v>
      </c>
      <c r="J3436" s="16" t="s">
        <v>10236</v>
      </c>
      <c r="K3436" s="32" t="n">
        <v>1</v>
      </c>
      <c r="L3436" s="33" t="n">
        <v>46044</v>
      </c>
      <c r="M3436" s="33" t="n">
        <v>46044</v>
      </c>
      <c r="N3436" s="16" t="s">
        <v>10998</v>
      </c>
      <c r="O3436" s="16"/>
      <c r="P3436" s="16" t="str">
        <f aca="false">IF(AND(L3436&lt;=$D$2,M3436&gt;=$C$2),"Sí","")</f>
        <v/>
      </c>
      <c r="Q3436" s="18" t="str">
        <f aca="false">IF(COUNTIF(LOOKAHEAD!$A$5:$A$604,A3436)&gt;0,"En Lookahead",IF(P3436="Sí","INCORPORAR",""))</f>
        <v/>
      </c>
    </row>
    <row r="3437" customFormat="false" ht="15" hidden="false" customHeight="false" outlineLevel="0" collapsed="false">
      <c r="A3437" s="13" t="s">
        <v>10999</v>
      </c>
      <c r="B3437" s="13" t="n">
        <v>3432</v>
      </c>
      <c r="C3437" s="13" t="s">
        <v>11000</v>
      </c>
      <c r="D3437" s="13" t="n">
        <v>4</v>
      </c>
      <c r="E3437" s="20" t="s">
        <v>3455</v>
      </c>
      <c r="F3437" s="13" t="s">
        <v>1298</v>
      </c>
      <c r="G3437" s="13" t="s">
        <v>757</v>
      </c>
      <c r="H3437" s="13" t="s">
        <v>3455</v>
      </c>
      <c r="I3437" s="13" t="s">
        <v>80</v>
      </c>
      <c r="J3437" s="13" t="s">
        <v>9945</v>
      </c>
      <c r="K3437" s="30" t="n">
        <v>161</v>
      </c>
      <c r="L3437" s="31" t="n">
        <v>46053</v>
      </c>
      <c r="M3437" s="31" t="n">
        <v>46293</v>
      </c>
      <c r="N3437" s="13"/>
      <c r="O3437" s="13"/>
      <c r="P3437" s="13"/>
      <c r="Q3437" s="13"/>
    </row>
    <row r="3438" customFormat="false" ht="15" hidden="false" customHeight="false" outlineLevel="0" collapsed="false">
      <c r="A3438" s="13" t="s">
        <v>11001</v>
      </c>
      <c r="B3438" s="13" t="n">
        <v>3433</v>
      </c>
      <c r="C3438" s="13" t="s">
        <v>11002</v>
      </c>
      <c r="D3438" s="13" t="n">
        <v>5</v>
      </c>
      <c r="E3438" s="34" t="s">
        <v>9950</v>
      </c>
      <c r="F3438" s="13" t="s">
        <v>1298</v>
      </c>
      <c r="G3438" s="13" t="s">
        <v>757</v>
      </c>
      <c r="H3438" s="13" t="s">
        <v>3455</v>
      </c>
      <c r="I3438" s="13" t="s">
        <v>80</v>
      </c>
      <c r="J3438" s="13" t="s">
        <v>3455</v>
      </c>
      <c r="K3438" s="30" t="n">
        <v>1</v>
      </c>
      <c r="L3438" s="31" t="n">
        <v>46293</v>
      </c>
      <c r="M3438" s="31" t="n">
        <v>46293</v>
      </c>
      <c r="N3438" s="13"/>
      <c r="O3438" s="13"/>
      <c r="P3438" s="13"/>
      <c r="Q3438" s="13"/>
    </row>
    <row r="3439" customFormat="false" ht="15" hidden="false" customHeight="false" outlineLevel="0" collapsed="false">
      <c r="A3439" s="13" t="s">
        <v>11003</v>
      </c>
      <c r="B3439" s="13" t="n">
        <v>3434</v>
      </c>
      <c r="C3439" s="13" t="s">
        <v>11004</v>
      </c>
      <c r="D3439" s="13" t="n">
        <v>6</v>
      </c>
      <c r="E3439" s="36" t="s">
        <v>9953</v>
      </c>
      <c r="F3439" s="13" t="s">
        <v>1298</v>
      </c>
      <c r="G3439" s="13" t="s">
        <v>757</v>
      </c>
      <c r="H3439" s="13" t="s">
        <v>3455</v>
      </c>
      <c r="I3439" s="13" t="s">
        <v>80</v>
      </c>
      <c r="J3439" s="13" t="s">
        <v>9950</v>
      </c>
      <c r="K3439" s="30" t="n">
        <v>1</v>
      </c>
      <c r="L3439" s="31" t="n">
        <v>46293</v>
      </c>
      <c r="M3439" s="31" t="n">
        <v>46293</v>
      </c>
      <c r="N3439" s="13"/>
      <c r="O3439" s="13"/>
      <c r="P3439" s="13"/>
      <c r="Q3439" s="13"/>
    </row>
    <row r="3440" customFormat="false" ht="15" hidden="false" customHeight="false" outlineLevel="0" collapsed="false">
      <c r="A3440" s="16" t="s">
        <v>11005</v>
      </c>
      <c r="B3440" s="16" t="n">
        <v>3435</v>
      </c>
      <c r="C3440" s="16" t="s">
        <v>11006</v>
      </c>
      <c r="D3440" s="16" t="n">
        <v>7</v>
      </c>
      <c r="E3440" s="37" t="s">
        <v>9956</v>
      </c>
      <c r="F3440" s="16" t="s">
        <v>1285</v>
      </c>
      <c r="G3440" s="16" t="s">
        <v>757</v>
      </c>
      <c r="H3440" s="16" t="s">
        <v>3455</v>
      </c>
      <c r="I3440" s="16" t="s">
        <v>80</v>
      </c>
      <c r="J3440" s="16" t="s">
        <v>9953</v>
      </c>
      <c r="K3440" s="32" t="n">
        <v>1</v>
      </c>
      <c r="L3440" s="33" t="n">
        <v>46293</v>
      </c>
      <c r="M3440" s="33" t="n">
        <v>46293</v>
      </c>
      <c r="N3440" s="16" t="s">
        <v>8157</v>
      </c>
      <c r="O3440" s="16"/>
      <c r="P3440" s="16" t="str">
        <f aca="false">IF(AND(L3440&lt;=$D$2,M3440&gt;=$C$2),"Sí","")</f>
        <v/>
      </c>
      <c r="Q3440" s="18" t="str">
        <f aca="false">IF(COUNTIF(LOOKAHEAD!$A$5:$A$604,A3440)&gt;0,"En Lookahead",IF(P3440="Sí","INCORPORAR",""))</f>
        <v/>
      </c>
    </row>
    <row r="3441" customFormat="false" ht="15" hidden="false" customHeight="false" outlineLevel="0" collapsed="false">
      <c r="A3441" s="16" t="s">
        <v>11007</v>
      </c>
      <c r="B3441" s="16" t="n">
        <v>3436</v>
      </c>
      <c r="C3441" s="16" t="s">
        <v>11008</v>
      </c>
      <c r="D3441" s="16" t="n">
        <v>7</v>
      </c>
      <c r="E3441" s="37" t="s">
        <v>9959</v>
      </c>
      <c r="F3441" s="16" t="s">
        <v>1285</v>
      </c>
      <c r="G3441" s="16" t="s">
        <v>757</v>
      </c>
      <c r="H3441" s="16" t="s">
        <v>3455</v>
      </c>
      <c r="I3441" s="16" t="s">
        <v>80</v>
      </c>
      <c r="J3441" s="16" t="s">
        <v>9953</v>
      </c>
      <c r="K3441" s="32" t="n">
        <v>1</v>
      </c>
      <c r="L3441" s="33" t="n">
        <v>46293</v>
      </c>
      <c r="M3441" s="33" t="n">
        <v>46293</v>
      </c>
      <c r="N3441" s="16" t="s">
        <v>11009</v>
      </c>
      <c r="O3441" s="16"/>
      <c r="P3441" s="16" t="str">
        <f aca="false">IF(AND(L3441&lt;=$D$2,M3441&gt;=$C$2),"Sí","")</f>
        <v/>
      </c>
      <c r="Q3441" s="18" t="str">
        <f aca="false">IF(COUNTIF(LOOKAHEAD!$A$5:$A$604,A3441)&gt;0,"En Lookahead",IF(P3441="Sí","INCORPORAR",""))</f>
        <v/>
      </c>
    </row>
    <row r="3442" customFormat="false" ht="15" hidden="false" customHeight="false" outlineLevel="0" collapsed="false">
      <c r="A3442" s="16" t="s">
        <v>11010</v>
      </c>
      <c r="B3442" s="16" t="n">
        <v>3437</v>
      </c>
      <c r="C3442" s="16" t="s">
        <v>11011</v>
      </c>
      <c r="D3442" s="16" t="n">
        <v>7</v>
      </c>
      <c r="E3442" s="37" t="s">
        <v>10323</v>
      </c>
      <c r="F3442" s="16" t="s">
        <v>1285</v>
      </c>
      <c r="G3442" s="16" t="s">
        <v>757</v>
      </c>
      <c r="H3442" s="16" t="s">
        <v>3455</v>
      </c>
      <c r="I3442" s="16" t="s">
        <v>80</v>
      </c>
      <c r="J3442" s="16" t="s">
        <v>9953</v>
      </c>
      <c r="K3442" s="32" t="n">
        <v>1</v>
      </c>
      <c r="L3442" s="33" t="n">
        <v>46293</v>
      </c>
      <c r="M3442" s="33" t="n">
        <v>46293</v>
      </c>
      <c r="N3442" s="16" t="s">
        <v>11012</v>
      </c>
      <c r="O3442" s="16"/>
      <c r="P3442" s="16" t="str">
        <f aca="false">IF(AND(L3442&lt;=$D$2,M3442&gt;=$C$2),"Sí","")</f>
        <v/>
      </c>
      <c r="Q3442" s="18" t="str">
        <f aca="false">IF(COUNTIF(LOOKAHEAD!$A$5:$A$604,A3442)&gt;0,"En Lookahead",IF(P3442="Sí","INCORPORAR",""))</f>
        <v/>
      </c>
    </row>
    <row r="3443" customFormat="false" ht="15" hidden="false" customHeight="false" outlineLevel="0" collapsed="false">
      <c r="A3443" s="13" t="s">
        <v>11013</v>
      </c>
      <c r="B3443" s="13" t="n">
        <v>3438</v>
      </c>
      <c r="C3443" s="13" t="s">
        <v>11014</v>
      </c>
      <c r="D3443" s="13" t="n">
        <v>6</v>
      </c>
      <c r="E3443" s="36" t="s">
        <v>9963</v>
      </c>
      <c r="F3443" s="13" t="s">
        <v>1298</v>
      </c>
      <c r="G3443" s="13" t="s">
        <v>757</v>
      </c>
      <c r="H3443" s="13" t="s">
        <v>3455</v>
      </c>
      <c r="I3443" s="13" t="s">
        <v>80</v>
      </c>
      <c r="J3443" s="13" t="s">
        <v>9950</v>
      </c>
      <c r="K3443" s="30" t="n">
        <v>1</v>
      </c>
      <c r="L3443" s="31" t="n">
        <v>46293</v>
      </c>
      <c r="M3443" s="31" t="n">
        <v>46293</v>
      </c>
      <c r="N3443" s="13"/>
      <c r="O3443" s="13"/>
      <c r="P3443" s="13"/>
      <c r="Q3443" s="13"/>
    </row>
    <row r="3444" customFormat="false" ht="15" hidden="false" customHeight="false" outlineLevel="0" collapsed="false">
      <c r="A3444" s="16" t="s">
        <v>11015</v>
      </c>
      <c r="B3444" s="16" t="n">
        <v>3439</v>
      </c>
      <c r="C3444" s="16" t="s">
        <v>11016</v>
      </c>
      <c r="D3444" s="16" t="n">
        <v>7</v>
      </c>
      <c r="E3444" s="37" t="s">
        <v>9966</v>
      </c>
      <c r="F3444" s="16" t="s">
        <v>1285</v>
      </c>
      <c r="G3444" s="16" t="s">
        <v>757</v>
      </c>
      <c r="H3444" s="16" t="s">
        <v>3455</v>
      </c>
      <c r="I3444" s="16" t="s">
        <v>80</v>
      </c>
      <c r="J3444" s="16" t="s">
        <v>9963</v>
      </c>
      <c r="K3444" s="32" t="n">
        <v>1</v>
      </c>
      <c r="L3444" s="33" t="n">
        <v>46293</v>
      </c>
      <c r="M3444" s="33" t="n">
        <v>46293</v>
      </c>
      <c r="N3444" s="16" t="s">
        <v>11017</v>
      </c>
      <c r="O3444" s="16"/>
      <c r="P3444" s="16" t="str">
        <f aca="false">IF(AND(L3444&lt;=$D$2,M3444&gt;=$C$2),"Sí","")</f>
        <v/>
      </c>
      <c r="Q3444" s="18" t="str">
        <f aca="false">IF(COUNTIF(LOOKAHEAD!$A$5:$A$604,A3444)&gt;0,"En Lookahead",IF(P3444="Sí","INCORPORAR",""))</f>
        <v/>
      </c>
    </row>
    <row r="3445" customFormat="false" ht="15" hidden="false" customHeight="false" outlineLevel="0" collapsed="false">
      <c r="A3445" s="16" t="s">
        <v>11018</v>
      </c>
      <c r="B3445" s="16" t="n">
        <v>3440</v>
      </c>
      <c r="C3445" s="16" t="s">
        <v>11019</v>
      </c>
      <c r="D3445" s="16" t="n">
        <v>7</v>
      </c>
      <c r="E3445" s="37" t="s">
        <v>9969</v>
      </c>
      <c r="F3445" s="16" t="s">
        <v>1285</v>
      </c>
      <c r="G3445" s="16" t="s">
        <v>757</v>
      </c>
      <c r="H3445" s="16" t="s">
        <v>3455</v>
      </c>
      <c r="I3445" s="16" t="s">
        <v>80</v>
      </c>
      <c r="J3445" s="16" t="s">
        <v>9963</v>
      </c>
      <c r="K3445" s="32" t="n">
        <v>1</v>
      </c>
      <c r="L3445" s="33" t="n">
        <v>46293</v>
      </c>
      <c r="M3445" s="33" t="n">
        <v>46293</v>
      </c>
      <c r="N3445" s="16" t="s">
        <v>11020</v>
      </c>
      <c r="O3445" s="16"/>
      <c r="P3445" s="16" t="str">
        <f aca="false">IF(AND(L3445&lt;=$D$2,M3445&gt;=$C$2),"Sí","")</f>
        <v/>
      </c>
      <c r="Q3445" s="18" t="str">
        <f aca="false">IF(COUNTIF(LOOKAHEAD!$A$5:$A$604,A3445)&gt;0,"En Lookahead",IF(P3445="Sí","INCORPORAR",""))</f>
        <v/>
      </c>
    </row>
    <row r="3446" customFormat="false" ht="15" hidden="false" customHeight="false" outlineLevel="0" collapsed="false">
      <c r="A3446" s="16" t="s">
        <v>11021</v>
      </c>
      <c r="B3446" s="16" t="n">
        <v>3441</v>
      </c>
      <c r="C3446" s="16" t="s">
        <v>11022</v>
      </c>
      <c r="D3446" s="16" t="n">
        <v>7</v>
      </c>
      <c r="E3446" s="37" t="s">
        <v>9972</v>
      </c>
      <c r="F3446" s="16" t="s">
        <v>1285</v>
      </c>
      <c r="G3446" s="16" t="s">
        <v>757</v>
      </c>
      <c r="H3446" s="16" t="s">
        <v>3455</v>
      </c>
      <c r="I3446" s="16" t="s">
        <v>80</v>
      </c>
      <c r="J3446" s="16" t="s">
        <v>9963</v>
      </c>
      <c r="K3446" s="32" t="n">
        <v>1</v>
      </c>
      <c r="L3446" s="33" t="n">
        <v>46293</v>
      </c>
      <c r="M3446" s="33" t="n">
        <v>46293</v>
      </c>
      <c r="N3446" s="16" t="s">
        <v>11023</v>
      </c>
      <c r="O3446" s="16"/>
      <c r="P3446" s="16" t="str">
        <f aca="false">IF(AND(L3446&lt;=$D$2,M3446&gt;=$C$2),"Sí","")</f>
        <v/>
      </c>
      <c r="Q3446" s="18" t="str">
        <f aca="false">IF(COUNTIF(LOOKAHEAD!$A$5:$A$604,A3446)&gt;0,"En Lookahead",IF(P3446="Sí","INCORPORAR",""))</f>
        <v/>
      </c>
    </row>
    <row r="3447" customFormat="false" ht="15" hidden="false" customHeight="false" outlineLevel="0" collapsed="false">
      <c r="A3447" s="13" t="s">
        <v>11024</v>
      </c>
      <c r="B3447" s="13" t="n">
        <v>3442</v>
      </c>
      <c r="C3447" s="13" t="s">
        <v>11025</v>
      </c>
      <c r="D3447" s="13" t="n">
        <v>5</v>
      </c>
      <c r="E3447" s="34" t="s">
        <v>9975</v>
      </c>
      <c r="F3447" s="13" t="s">
        <v>1298</v>
      </c>
      <c r="G3447" s="13" t="s">
        <v>757</v>
      </c>
      <c r="H3447" s="13" t="s">
        <v>3455</v>
      </c>
      <c r="I3447" s="13" t="s">
        <v>80</v>
      </c>
      <c r="J3447" s="13" t="s">
        <v>3455</v>
      </c>
      <c r="K3447" s="30" t="n">
        <v>19</v>
      </c>
      <c r="L3447" s="31" t="n">
        <v>46053</v>
      </c>
      <c r="M3447" s="31" t="n">
        <v>46071</v>
      </c>
      <c r="N3447" s="13"/>
      <c r="O3447" s="13"/>
      <c r="P3447" s="13"/>
      <c r="Q3447" s="13"/>
    </row>
    <row r="3448" customFormat="false" ht="15" hidden="false" customHeight="false" outlineLevel="0" collapsed="false">
      <c r="A3448" s="13" t="s">
        <v>11026</v>
      </c>
      <c r="B3448" s="13" t="n">
        <v>3443</v>
      </c>
      <c r="C3448" s="13" t="s">
        <v>11027</v>
      </c>
      <c r="D3448" s="13" t="n">
        <v>6</v>
      </c>
      <c r="E3448" s="36" t="s">
        <v>10035</v>
      </c>
      <c r="F3448" s="13" t="s">
        <v>1298</v>
      </c>
      <c r="G3448" s="13" t="s">
        <v>757</v>
      </c>
      <c r="H3448" s="13" t="s">
        <v>3455</v>
      </c>
      <c r="I3448" s="13" t="s">
        <v>80</v>
      </c>
      <c r="J3448" s="13" t="s">
        <v>9975</v>
      </c>
      <c r="K3448" s="30" t="n">
        <v>1</v>
      </c>
      <c r="L3448" s="31" t="n">
        <v>46053</v>
      </c>
      <c r="M3448" s="31" t="n">
        <v>46053</v>
      </c>
      <c r="N3448" s="13"/>
      <c r="O3448" s="13"/>
      <c r="P3448" s="13"/>
      <c r="Q3448" s="13"/>
    </row>
    <row r="3449" customFormat="false" ht="15" hidden="false" customHeight="false" outlineLevel="0" collapsed="false">
      <c r="A3449" s="16" t="s">
        <v>11028</v>
      </c>
      <c r="B3449" s="16" t="n">
        <v>3444</v>
      </c>
      <c r="C3449" s="16" t="s">
        <v>11029</v>
      </c>
      <c r="D3449" s="16" t="n">
        <v>7</v>
      </c>
      <c r="E3449" s="37" t="s">
        <v>10038</v>
      </c>
      <c r="F3449" s="16" t="s">
        <v>1285</v>
      </c>
      <c r="G3449" s="16" t="s">
        <v>757</v>
      </c>
      <c r="H3449" s="16" t="s">
        <v>3455</v>
      </c>
      <c r="I3449" s="16" t="s">
        <v>80</v>
      </c>
      <c r="J3449" s="16" t="s">
        <v>10035</v>
      </c>
      <c r="K3449" s="32" t="n">
        <v>1</v>
      </c>
      <c r="L3449" s="33" t="n">
        <v>46053</v>
      </c>
      <c r="M3449" s="33" t="n">
        <v>46053</v>
      </c>
      <c r="N3449" s="16" t="s">
        <v>3466</v>
      </c>
      <c r="O3449" s="16"/>
      <c r="P3449" s="16" t="str">
        <f aca="false">IF(AND(L3449&lt;=$D$2,M3449&gt;=$C$2),"Sí","")</f>
        <v/>
      </c>
      <c r="Q3449" s="18" t="str">
        <f aca="false">IF(COUNTIF(LOOKAHEAD!$A$5:$A$604,A3449)&gt;0,"En Lookahead",IF(P3449="Sí","INCORPORAR",""))</f>
        <v/>
      </c>
    </row>
    <row r="3450" customFormat="false" ht="15" hidden="false" customHeight="false" outlineLevel="0" collapsed="false">
      <c r="A3450" s="13" t="s">
        <v>11030</v>
      </c>
      <c r="B3450" s="13" t="n">
        <v>3445</v>
      </c>
      <c r="C3450" s="13" t="s">
        <v>11031</v>
      </c>
      <c r="D3450" s="13" t="n">
        <v>6</v>
      </c>
      <c r="E3450" s="36" t="s">
        <v>1534</v>
      </c>
      <c r="F3450" s="13" t="s">
        <v>1298</v>
      </c>
      <c r="G3450" s="13" t="s">
        <v>757</v>
      </c>
      <c r="H3450" s="13" t="s">
        <v>3455</v>
      </c>
      <c r="I3450" s="13" t="s">
        <v>80</v>
      </c>
      <c r="J3450" s="13" t="s">
        <v>9975</v>
      </c>
      <c r="K3450" s="30" t="n">
        <v>17</v>
      </c>
      <c r="L3450" s="31" t="n">
        <v>46054</v>
      </c>
      <c r="M3450" s="31" t="n">
        <v>46070</v>
      </c>
      <c r="N3450" s="13"/>
      <c r="O3450" s="13"/>
      <c r="P3450" s="13"/>
      <c r="Q3450" s="13"/>
    </row>
    <row r="3451" customFormat="false" ht="15" hidden="false" customHeight="false" outlineLevel="0" collapsed="false">
      <c r="A3451" s="16" t="s">
        <v>11032</v>
      </c>
      <c r="B3451" s="16" t="n">
        <v>3446</v>
      </c>
      <c r="C3451" s="16" t="s">
        <v>11033</v>
      </c>
      <c r="D3451" s="16" t="n">
        <v>7</v>
      </c>
      <c r="E3451" s="37" t="s">
        <v>10043</v>
      </c>
      <c r="F3451" s="16" t="s">
        <v>1285</v>
      </c>
      <c r="G3451" s="16" t="s">
        <v>757</v>
      </c>
      <c r="H3451" s="16" t="s">
        <v>3455</v>
      </c>
      <c r="I3451" s="16" t="s">
        <v>80</v>
      </c>
      <c r="J3451" s="16" t="s">
        <v>1534</v>
      </c>
      <c r="K3451" s="32" t="n">
        <v>2</v>
      </c>
      <c r="L3451" s="33" t="n">
        <v>46054</v>
      </c>
      <c r="M3451" s="33" t="n">
        <v>46055</v>
      </c>
      <c r="N3451" s="16" t="s">
        <v>11034</v>
      </c>
      <c r="O3451" s="16"/>
      <c r="P3451" s="16" t="str">
        <f aca="false">IF(AND(L3451&lt;=$D$2,M3451&gt;=$C$2),"Sí","")</f>
        <v/>
      </c>
      <c r="Q3451" s="18" t="str">
        <f aca="false">IF(COUNTIF(LOOKAHEAD!$A$5:$A$604,A3451)&gt;0,"En Lookahead",IF(P3451="Sí","INCORPORAR",""))</f>
        <v/>
      </c>
    </row>
    <row r="3452" customFormat="false" ht="15" hidden="false" customHeight="false" outlineLevel="0" collapsed="false">
      <c r="A3452" s="16" t="s">
        <v>11035</v>
      </c>
      <c r="B3452" s="16" t="n">
        <v>3447</v>
      </c>
      <c r="C3452" s="16" t="s">
        <v>11036</v>
      </c>
      <c r="D3452" s="16" t="n">
        <v>7</v>
      </c>
      <c r="E3452" s="37" t="s">
        <v>10047</v>
      </c>
      <c r="F3452" s="16" t="s">
        <v>1285</v>
      </c>
      <c r="G3452" s="16" t="s">
        <v>757</v>
      </c>
      <c r="H3452" s="16" t="s">
        <v>3455</v>
      </c>
      <c r="I3452" s="16" t="s">
        <v>80</v>
      </c>
      <c r="J3452" s="16" t="s">
        <v>1534</v>
      </c>
      <c r="K3452" s="32" t="n">
        <v>1</v>
      </c>
      <c r="L3452" s="33" t="n">
        <v>46056</v>
      </c>
      <c r="M3452" s="33" t="n">
        <v>46056</v>
      </c>
      <c r="N3452" s="16" t="s">
        <v>11037</v>
      </c>
      <c r="O3452" s="16"/>
      <c r="P3452" s="16" t="str">
        <f aca="false">IF(AND(L3452&lt;=$D$2,M3452&gt;=$C$2),"Sí","")</f>
        <v/>
      </c>
      <c r="Q3452" s="18" t="str">
        <f aca="false">IF(COUNTIF(LOOKAHEAD!$A$5:$A$604,A3452)&gt;0,"En Lookahead",IF(P3452="Sí","INCORPORAR",""))</f>
        <v/>
      </c>
    </row>
    <row r="3453" customFormat="false" ht="15" hidden="false" customHeight="false" outlineLevel="0" collapsed="false">
      <c r="A3453" s="16" t="s">
        <v>11038</v>
      </c>
      <c r="B3453" s="16" t="n">
        <v>3448</v>
      </c>
      <c r="C3453" s="16" t="s">
        <v>11039</v>
      </c>
      <c r="D3453" s="16" t="n">
        <v>7</v>
      </c>
      <c r="E3453" s="37" t="s">
        <v>10051</v>
      </c>
      <c r="F3453" s="16" t="s">
        <v>1285</v>
      </c>
      <c r="G3453" s="16" t="s">
        <v>757</v>
      </c>
      <c r="H3453" s="16" t="s">
        <v>3455</v>
      </c>
      <c r="I3453" s="16" t="s">
        <v>80</v>
      </c>
      <c r="J3453" s="16" t="s">
        <v>1534</v>
      </c>
      <c r="K3453" s="32" t="n">
        <v>1</v>
      </c>
      <c r="L3453" s="33" t="n">
        <v>46057</v>
      </c>
      <c r="M3453" s="33" t="n">
        <v>46057</v>
      </c>
      <c r="N3453" s="16" t="s">
        <v>11040</v>
      </c>
      <c r="O3453" s="16"/>
      <c r="P3453" s="16" t="str">
        <f aca="false">IF(AND(L3453&lt;=$D$2,M3453&gt;=$C$2),"Sí","")</f>
        <v/>
      </c>
      <c r="Q3453" s="18" t="str">
        <f aca="false">IF(COUNTIF(LOOKAHEAD!$A$5:$A$604,A3453)&gt;0,"En Lookahead",IF(P3453="Sí","INCORPORAR",""))</f>
        <v/>
      </c>
    </row>
    <row r="3454" customFormat="false" ht="15" hidden="false" customHeight="false" outlineLevel="0" collapsed="false">
      <c r="A3454" s="16" t="s">
        <v>11041</v>
      </c>
      <c r="B3454" s="16" t="n">
        <v>3449</v>
      </c>
      <c r="C3454" s="16" t="s">
        <v>11042</v>
      </c>
      <c r="D3454" s="16" t="n">
        <v>7</v>
      </c>
      <c r="E3454" s="37" t="s">
        <v>10055</v>
      </c>
      <c r="F3454" s="16" t="s">
        <v>1285</v>
      </c>
      <c r="G3454" s="16" t="s">
        <v>757</v>
      </c>
      <c r="H3454" s="16" t="s">
        <v>3455</v>
      </c>
      <c r="I3454" s="16" t="s">
        <v>80</v>
      </c>
      <c r="J3454" s="16" t="s">
        <v>1534</v>
      </c>
      <c r="K3454" s="32" t="n">
        <v>1</v>
      </c>
      <c r="L3454" s="33" t="n">
        <v>46058</v>
      </c>
      <c r="M3454" s="33" t="n">
        <v>46058</v>
      </c>
      <c r="N3454" s="16" t="s">
        <v>11043</v>
      </c>
      <c r="O3454" s="16"/>
      <c r="P3454" s="16" t="str">
        <f aca="false">IF(AND(L3454&lt;=$D$2,M3454&gt;=$C$2),"Sí","")</f>
        <v/>
      </c>
      <c r="Q3454" s="18" t="str">
        <f aca="false">IF(COUNTIF(LOOKAHEAD!$A$5:$A$604,A3454)&gt;0,"En Lookahead",IF(P3454="Sí","INCORPORAR",""))</f>
        <v/>
      </c>
    </row>
    <row r="3455" customFormat="false" ht="15" hidden="false" customHeight="false" outlineLevel="0" collapsed="false">
      <c r="A3455" s="16" t="s">
        <v>11044</v>
      </c>
      <c r="B3455" s="16" t="n">
        <v>3450</v>
      </c>
      <c r="C3455" s="16" t="s">
        <v>11045</v>
      </c>
      <c r="D3455" s="16" t="n">
        <v>7</v>
      </c>
      <c r="E3455" s="37" t="s">
        <v>10059</v>
      </c>
      <c r="F3455" s="16" t="s">
        <v>1285</v>
      </c>
      <c r="G3455" s="16" t="s">
        <v>757</v>
      </c>
      <c r="H3455" s="16" t="s">
        <v>3455</v>
      </c>
      <c r="I3455" s="16" t="s">
        <v>80</v>
      </c>
      <c r="J3455" s="16" t="s">
        <v>1534</v>
      </c>
      <c r="K3455" s="32" t="n">
        <v>1</v>
      </c>
      <c r="L3455" s="33" t="n">
        <v>46068</v>
      </c>
      <c r="M3455" s="33" t="n">
        <v>46068</v>
      </c>
      <c r="N3455" s="16" t="s">
        <v>11046</v>
      </c>
      <c r="O3455" s="16"/>
      <c r="P3455" s="16" t="str">
        <f aca="false">IF(AND(L3455&lt;=$D$2,M3455&gt;=$C$2),"Sí","")</f>
        <v/>
      </c>
      <c r="Q3455" s="18" t="str">
        <f aca="false">IF(COUNTIF(LOOKAHEAD!$A$5:$A$604,A3455)&gt;0,"En Lookahead",IF(P3455="Sí","INCORPORAR",""))</f>
        <v/>
      </c>
    </row>
    <row r="3456" customFormat="false" ht="15" hidden="false" customHeight="false" outlineLevel="0" collapsed="false">
      <c r="A3456" s="16" t="s">
        <v>11047</v>
      </c>
      <c r="B3456" s="16" t="n">
        <v>3451</v>
      </c>
      <c r="C3456" s="16" t="s">
        <v>11048</v>
      </c>
      <c r="D3456" s="16" t="n">
        <v>7</v>
      </c>
      <c r="E3456" s="37" t="s">
        <v>10063</v>
      </c>
      <c r="F3456" s="16" t="s">
        <v>1285</v>
      </c>
      <c r="G3456" s="16" t="s">
        <v>757</v>
      </c>
      <c r="H3456" s="16" t="s">
        <v>3455</v>
      </c>
      <c r="I3456" s="16" t="s">
        <v>80</v>
      </c>
      <c r="J3456" s="16" t="s">
        <v>1534</v>
      </c>
      <c r="K3456" s="32" t="n">
        <v>1</v>
      </c>
      <c r="L3456" s="33" t="n">
        <v>46069</v>
      </c>
      <c r="M3456" s="33" t="n">
        <v>46069</v>
      </c>
      <c r="N3456" s="16" t="s">
        <v>11049</v>
      </c>
      <c r="O3456" s="16"/>
      <c r="P3456" s="16" t="str">
        <f aca="false">IF(AND(L3456&lt;=$D$2,M3456&gt;=$C$2),"Sí","")</f>
        <v/>
      </c>
      <c r="Q3456" s="18" t="str">
        <f aca="false">IF(COUNTIF(LOOKAHEAD!$A$5:$A$604,A3456)&gt;0,"En Lookahead",IF(P3456="Sí","INCORPORAR",""))</f>
        <v/>
      </c>
    </row>
    <row r="3457" customFormat="false" ht="15" hidden="false" customHeight="false" outlineLevel="0" collapsed="false">
      <c r="A3457" s="16" t="s">
        <v>11050</v>
      </c>
      <c r="B3457" s="16" t="n">
        <v>3452</v>
      </c>
      <c r="C3457" s="16" t="s">
        <v>11051</v>
      </c>
      <c r="D3457" s="16" t="n">
        <v>7</v>
      </c>
      <c r="E3457" s="37" t="s">
        <v>1557</v>
      </c>
      <c r="F3457" s="16" t="s">
        <v>1285</v>
      </c>
      <c r="G3457" s="16" t="s">
        <v>757</v>
      </c>
      <c r="H3457" s="16" t="s">
        <v>3455</v>
      </c>
      <c r="I3457" s="16" t="s">
        <v>80</v>
      </c>
      <c r="J3457" s="16" t="s">
        <v>1534</v>
      </c>
      <c r="K3457" s="32" t="n">
        <v>1</v>
      </c>
      <c r="L3457" s="33" t="n">
        <v>46068</v>
      </c>
      <c r="M3457" s="33" t="n">
        <v>46068</v>
      </c>
      <c r="N3457" s="16" t="s">
        <v>11052</v>
      </c>
      <c r="O3457" s="16"/>
      <c r="P3457" s="16" t="str">
        <f aca="false">IF(AND(L3457&lt;=$D$2,M3457&gt;=$C$2),"Sí","")</f>
        <v/>
      </c>
      <c r="Q3457" s="18" t="str">
        <f aca="false">IF(COUNTIF(LOOKAHEAD!$A$5:$A$604,A3457)&gt;0,"En Lookahead",IF(P3457="Sí","INCORPORAR",""))</f>
        <v/>
      </c>
    </row>
    <row r="3458" customFormat="false" ht="15" hidden="false" customHeight="false" outlineLevel="0" collapsed="false">
      <c r="A3458" s="16" t="s">
        <v>11053</v>
      </c>
      <c r="B3458" s="16" t="n">
        <v>3453</v>
      </c>
      <c r="C3458" s="16" t="s">
        <v>11054</v>
      </c>
      <c r="D3458" s="16" t="n">
        <v>7</v>
      </c>
      <c r="E3458" s="37" t="s">
        <v>10069</v>
      </c>
      <c r="F3458" s="16" t="s">
        <v>1285</v>
      </c>
      <c r="G3458" s="16" t="s">
        <v>757</v>
      </c>
      <c r="H3458" s="16" t="s">
        <v>3455</v>
      </c>
      <c r="I3458" s="16" t="s">
        <v>80</v>
      </c>
      <c r="J3458" s="16" t="s">
        <v>1534</v>
      </c>
      <c r="K3458" s="32" t="n">
        <v>1</v>
      </c>
      <c r="L3458" s="33" t="n">
        <v>46070</v>
      </c>
      <c r="M3458" s="33" t="n">
        <v>46070</v>
      </c>
      <c r="N3458" s="16" t="s">
        <v>11055</v>
      </c>
      <c r="O3458" s="16"/>
      <c r="P3458" s="16" t="str">
        <f aca="false">IF(AND(L3458&lt;=$D$2,M3458&gt;=$C$2),"Sí","")</f>
        <v/>
      </c>
      <c r="Q3458" s="18" t="str">
        <f aca="false">IF(COUNTIF(LOOKAHEAD!$A$5:$A$604,A3458)&gt;0,"En Lookahead",IF(P3458="Sí","INCORPORAR",""))</f>
        <v/>
      </c>
    </row>
    <row r="3459" customFormat="false" ht="15" hidden="false" customHeight="false" outlineLevel="0" collapsed="false">
      <c r="A3459" s="13" t="s">
        <v>11056</v>
      </c>
      <c r="B3459" s="13" t="n">
        <v>3454</v>
      </c>
      <c r="C3459" s="13" t="s">
        <v>11057</v>
      </c>
      <c r="D3459" s="13" t="n">
        <v>6</v>
      </c>
      <c r="E3459" s="36" t="s">
        <v>9978</v>
      </c>
      <c r="F3459" s="13" t="s">
        <v>1298</v>
      </c>
      <c r="G3459" s="13" t="s">
        <v>757</v>
      </c>
      <c r="H3459" s="13" t="s">
        <v>3455</v>
      </c>
      <c r="I3459" s="13" t="s">
        <v>80</v>
      </c>
      <c r="J3459" s="13" t="s">
        <v>9975</v>
      </c>
      <c r="K3459" s="30" t="n">
        <v>1</v>
      </c>
      <c r="L3459" s="31" t="n">
        <v>46071</v>
      </c>
      <c r="M3459" s="31" t="n">
        <v>46071</v>
      </c>
      <c r="N3459" s="13"/>
      <c r="O3459" s="13"/>
      <c r="P3459" s="13"/>
      <c r="Q3459" s="13"/>
    </row>
    <row r="3460" customFormat="false" ht="15" hidden="false" customHeight="false" outlineLevel="0" collapsed="false">
      <c r="A3460" s="16" t="s">
        <v>11058</v>
      </c>
      <c r="B3460" s="16" t="n">
        <v>3455</v>
      </c>
      <c r="C3460" s="16" t="s">
        <v>11059</v>
      </c>
      <c r="D3460" s="16" t="n">
        <v>7</v>
      </c>
      <c r="E3460" s="37" t="s">
        <v>9981</v>
      </c>
      <c r="F3460" s="16" t="s">
        <v>1285</v>
      </c>
      <c r="G3460" s="16" t="s">
        <v>757</v>
      </c>
      <c r="H3460" s="16" t="s">
        <v>3455</v>
      </c>
      <c r="I3460" s="16" t="s">
        <v>80</v>
      </c>
      <c r="J3460" s="16" t="s">
        <v>9978</v>
      </c>
      <c r="K3460" s="32" t="n">
        <v>1</v>
      </c>
      <c r="L3460" s="33" t="n">
        <v>46071</v>
      </c>
      <c r="M3460" s="33" t="n">
        <v>46071</v>
      </c>
      <c r="N3460" s="16" t="s">
        <v>11060</v>
      </c>
      <c r="O3460" s="16"/>
      <c r="P3460" s="16" t="str">
        <f aca="false">IF(AND(L3460&lt;=$D$2,M3460&gt;=$C$2),"Sí","")</f>
        <v/>
      </c>
      <c r="Q3460" s="18" t="str">
        <f aca="false">IF(COUNTIF(LOOKAHEAD!$A$5:$A$604,A3460)&gt;0,"En Lookahead",IF(P3460="Sí","INCORPORAR",""))</f>
        <v/>
      </c>
    </row>
    <row r="3461" customFormat="false" ht="15" hidden="false" customHeight="false" outlineLevel="0" collapsed="false">
      <c r="A3461" s="13" t="s">
        <v>11061</v>
      </c>
      <c r="B3461" s="13" t="n">
        <v>3456</v>
      </c>
      <c r="C3461" s="13" t="s">
        <v>11062</v>
      </c>
      <c r="D3461" s="13" t="n">
        <v>6</v>
      </c>
      <c r="E3461" s="36" t="s">
        <v>9984</v>
      </c>
      <c r="F3461" s="13" t="s">
        <v>1298</v>
      </c>
      <c r="G3461" s="13" t="s">
        <v>757</v>
      </c>
      <c r="H3461" s="13" t="s">
        <v>3455</v>
      </c>
      <c r="I3461" s="13" t="s">
        <v>80</v>
      </c>
      <c r="J3461" s="13" t="s">
        <v>9975</v>
      </c>
      <c r="K3461" s="30" t="n">
        <v>13</v>
      </c>
      <c r="L3461" s="31" t="n">
        <v>46058</v>
      </c>
      <c r="M3461" s="31" t="n">
        <v>46070</v>
      </c>
      <c r="N3461" s="13"/>
      <c r="O3461" s="13"/>
      <c r="P3461" s="13"/>
      <c r="Q3461" s="13"/>
    </row>
    <row r="3462" customFormat="false" ht="15" hidden="false" customHeight="false" outlineLevel="0" collapsed="false">
      <c r="A3462" s="16" t="s">
        <v>11063</v>
      </c>
      <c r="B3462" s="16" t="n">
        <v>3457</v>
      </c>
      <c r="C3462" s="16" t="s">
        <v>11064</v>
      </c>
      <c r="D3462" s="16" t="n">
        <v>7</v>
      </c>
      <c r="E3462" s="37" t="s">
        <v>9987</v>
      </c>
      <c r="F3462" s="16" t="s">
        <v>1285</v>
      </c>
      <c r="G3462" s="16" t="s">
        <v>757</v>
      </c>
      <c r="H3462" s="16" t="s">
        <v>3455</v>
      </c>
      <c r="I3462" s="16" t="s">
        <v>80</v>
      </c>
      <c r="J3462" s="16" t="s">
        <v>9984</v>
      </c>
      <c r="K3462" s="32" t="n">
        <v>1</v>
      </c>
      <c r="L3462" s="33" t="n">
        <v>46058</v>
      </c>
      <c r="M3462" s="33" t="n">
        <v>46058</v>
      </c>
      <c r="N3462" s="16" t="s">
        <v>11043</v>
      </c>
      <c r="O3462" s="16"/>
      <c r="P3462" s="16" t="str">
        <f aca="false">IF(AND(L3462&lt;=$D$2,M3462&gt;=$C$2),"Sí","")</f>
        <v/>
      </c>
      <c r="Q3462" s="18" t="str">
        <f aca="false">IF(COUNTIF(LOOKAHEAD!$A$5:$A$604,A3462)&gt;0,"En Lookahead",IF(P3462="Sí","INCORPORAR",""))</f>
        <v/>
      </c>
    </row>
    <row r="3463" customFormat="false" ht="15" hidden="false" customHeight="false" outlineLevel="0" collapsed="false">
      <c r="A3463" s="16" t="s">
        <v>11065</v>
      </c>
      <c r="B3463" s="16" t="n">
        <v>3458</v>
      </c>
      <c r="C3463" s="16" t="s">
        <v>11066</v>
      </c>
      <c r="D3463" s="16" t="n">
        <v>7</v>
      </c>
      <c r="E3463" s="37" t="s">
        <v>9991</v>
      </c>
      <c r="F3463" s="16" t="s">
        <v>1285</v>
      </c>
      <c r="G3463" s="16" t="s">
        <v>757</v>
      </c>
      <c r="H3463" s="16" t="s">
        <v>3455</v>
      </c>
      <c r="I3463" s="16" t="s">
        <v>80</v>
      </c>
      <c r="J3463" s="16" t="s">
        <v>9984</v>
      </c>
      <c r="K3463" s="32" t="n">
        <v>1</v>
      </c>
      <c r="L3463" s="33" t="n">
        <v>46059</v>
      </c>
      <c r="M3463" s="33" t="n">
        <v>46059</v>
      </c>
      <c r="N3463" s="16" t="s">
        <v>11067</v>
      </c>
      <c r="O3463" s="16"/>
      <c r="P3463" s="16" t="str">
        <f aca="false">IF(AND(L3463&lt;=$D$2,M3463&gt;=$C$2),"Sí","")</f>
        <v/>
      </c>
      <c r="Q3463" s="18" t="str">
        <f aca="false">IF(COUNTIF(LOOKAHEAD!$A$5:$A$604,A3463)&gt;0,"En Lookahead",IF(P3463="Sí","INCORPORAR",""))</f>
        <v/>
      </c>
    </row>
    <row r="3464" customFormat="false" ht="15" hidden="false" customHeight="false" outlineLevel="0" collapsed="false">
      <c r="A3464" s="16" t="s">
        <v>11068</v>
      </c>
      <c r="B3464" s="16" t="n">
        <v>3459</v>
      </c>
      <c r="C3464" s="16" t="s">
        <v>11069</v>
      </c>
      <c r="D3464" s="16" t="n">
        <v>7</v>
      </c>
      <c r="E3464" s="37" t="s">
        <v>9995</v>
      </c>
      <c r="F3464" s="16" t="s">
        <v>1285</v>
      </c>
      <c r="G3464" s="16" t="s">
        <v>757</v>
      </c>
      <c r="H3464" s="16" t="s">
        <v>3455</v>
      </c>
      <c r="I3464" s="16" t="s">
        <v>80</v>
      </c>
      <c r="J3464" s="16" t="s">
        <v>9984</v>
      </c>
      <c r="K3464" s="32" t="n">
        <v>1</v>
      </c>
      <c r="L3464" s="33" t="n">
        <v>46070</v>
      </c>
      <c r="M3464" s="33" t="n">
        <v>46070</v>
      </c>
      <c r="N3464" s="16" t="s">
        <v>11055</v>
      </c>
      <c r="O3464" s="16"/>
      <c r="P3464" s="16" t="str">
        <f aca="false">IF(AND(L3464&lt;=$D$2,M3464&gt;=$C$2),"Sí","")</f>
        <v/>
      </c>
      <c r="Q3464" s="18" t="str">
        <f aca="false">IF(COUNTIF(LOOKAHEAD!$A$5:$A$604,A3464)&gt;0,"En Lookahead",IF(P3464="Sí","INCORPORAR",""))</f>
        <v/>
      </c>
    </row>
    <row r="3465" customFormat="false" ht="15" hidden="false" customHeight="false" outlineLevel="0" collapsed="false">
      <c r="A3465" s="13" t="s">
        <v>11070</v>
      </c>
      <c r="B3465" s="13" t="n">
        <v>3460</v>
      </c>
      <c r="C3465" s="13" t="s">
        <v>11071</v>
      </c>
      <c r="D3465" s="13" t="n">
        <v>6</v>
      </c>
      <c r="E3465" s="36" t="s">
        <v>9999</v>
      </c>
      <c r="F3465" s="13" t="s">
        <v>1298</v>
      </c>
      <c r="G3465" s="13" t="s">
        <v>757</v>
      </c>
      <c r="H3465" s="13" t="s">
        <v>3455</v>
      </c>
      <c r="I3465" s="13" t="s">
        <v>80</v>
      </c>
      <c r="J3465" s="13" t="s">
        <v>9975</v>
      </c>
      <c r="K3465" s="30" t="n">
        <v>5</v>
      </c>
      <c r="L3465" s="31" t="n">
        <v>46060</v>
      </c>
      <c r="M3465" s="31" t="n">
        <v>46064</v>
      </c>
      <c r="N3465" s="13"/>
      <c r="O3465" s="13"/>
      <c r="P3465" s="13"/>
      <c r="Q3465" s="13"/>
    </row>
    <row r="3466" customFormat="false" ht="15" hidden="false" customHeight="false" outlineLevel="0" collapsed="false">
      <c r="A3466" s="16" t="s">
        <v>11072</v>
      </c>
      <c r="B3466" s="16" t="n">
        <v>3461</v>
      </c>
      <c r="C3466" s="16" t="s">
        <v>11073</v>
      </c>
      <c r="D3466" s="16" t="n">
        <v>7</v>
      </c>
      <c r="E3466" s="37" t="s">
        <v>10002</v>
      </c>
      <c r="F3466" s="16" t="s">
        <v>1285</v>
      </c>
      <c r="G3466" s="16" t="s">
        <v>757</v>
      </c>
      <c r="H3466" s="16" t="s">
        <v>3455</v>
      </c>
      <c r="I3466" s="16" t="s">
        <v>80</v>
      </c>
      <c r="J3466" s="16" t="s">
        <v>9999</v>
      </c>
      <c r="K3466" s="32" t="n">
        <v>1</v>
      </c>
      <c r="L3466" s="33" t="n">
        <v>46060</v>
      </c>
      <c r="M3466" s="33" t="n">
        <v>46060</v>
      </c>
      <c r="N3466" s="16" t="s">
        <v>11074</v>
      </c>
      <c r="O3466" s="16"/>
      <c r="P3466" s="16" t="str">
        <f aca="false">IF(AND(L3466&lt;=$D$2,M3466&gt;=$C$2),"Sí","")</f>
        <v/>
      </c>
      <c r="Q3466" s="18" t="str">
        <f aca="false">IF(COUNTIF(LOOKAHEAD!$A$5:$A$604,A3466)&gt;0,"En Lookahead",IF(P3466="Sí","INCORPORAR",""))</f>
        <v/>
      </c>
    </row>
    <row r="3467" customFormat="false" ht="15" hidden="false" customHeight="false" outlineLevel="0" collapsed="false">
      <c r="A3467" s="16" t="s">
        <v>11075</v>
      </c>
      <c r="B3467" s="16" t="n">
        <v>3462</v>
      </c>
      <c r="C3467" s="16" t="s">
        <v>11076</v>
      </c>
      <c r="D3467" s="16" t="n">
        <v>7</v>
      </c>
      <c r="E3467" s="37" t="s">
        <v>10406</v>
      </c>
      <c r="F3467" s="16" t="s">
        <v>1285</v>
      </c>
      <c r="G3467" s="16" t="s">
        <v>757</v>
      </c>
      <c r="H3467" s="16" t="s">
        <v>3455</v>
      </c>
      <c r="I3467" s="16" t="s">
        <v>80</v>
      </c>
      <c r="J3467" s="16" t="s">
        <v>9999</v>
      </c>
      <c r="K3467" s="32" t="n">
        <v>1</v>
      </c>
      <c r="L3467" s="33" t="n">
        <v>46061</v>
      </c>
      <c r="M3467" s="33" t="n">
        <v>46061</v>
      </c>
      <c r="N3467" s="16" t="s">
        <v>11077</v>
      </c>
      <c r="O3467" s="16"/>
      <c r="P3467" s="16" t="str">
        <f aca="false">IF(AND(L3467&lt;=$D$2,M3467&gt;=$C$2),"Sí","")</f>
        <v/>
      </c>
      <c r="Q3467" s="18" t="str">
        <f aca="false">IF(COUNTIF(LOOKAHEAD!$A$5:$A$604,A3467)&gt;0,"En Lookahead",IF(P3467="Sí","INCORPORAR",""))</f>
        <v/>
      </c>
    </row>
    <row r="3468" customFormat="false" ht="15" hidden="false" customHeight="false" outlineLevel="0" collapsed="false">
      <c r="A3468" s="16" t="s">
        <v>11078</v>
      </c>
      <c r="B3468" s="16" t="n">
        <v>3463</v>
      </c>
      <c r="C3468" s="16" t="s">
        <v>11079</v>
      </c>
      <c r="D3468" s="16" t="n">
        <v>7</v>
      </c>
      <c r="E3468" s="37" t="s">
        <v>10006</v>
      </c>
      <c r="F3468" s="16" t="s">
        <v>1285</v>
      </c>
      <c r="G3468" s="16" t="s">
        <v>757</v>
      </c>
      <c r="H3468" s="16" t="s">
        <v>3455</v>
      </c>
      <c r="I3468" s="16" t="s">
        <v>80</v>
      </c>
      <c r="J3468" s="16" t="s">
        <v>9999</v>
      </c>
      <c r="K3468" s="32" t="n">
        <v>1</v>
      </c>
      <c r="L3468" s="33" t="n">
        <v>46062</v>
      </c>
      <c r="M3468" s="33" t="n">
        <v>46062</v>
      </c>
      <c r="N3468" s="16" t="s">
        <v>11080</v>
      </c>
      <c r="O3468" s="16"/>
      <c r="P3468" s="16" t="str">
        <f aca="false">IF(AND(L3468&lt;=$D$2,M3468&gt;=$C$2),"Sí","")</f>
        <v/>
      </c>
      <c r="Q3468" s="18" t="str">
        <f aca="false">IF(COUNTIF(LOOKAHEAD!$A$5:$A$604,A3468)&gt;0,"En Lookahead",IF(P3468="Sí","INCORPORAR",""))</f>
        <v/>
      </c>
    </row>
    <row r="3469" customFormat="false" ht="15" hidden="false" customHeight="false" outlineLevel="0" collapsed="false">
      <c r="A3469" s="16" t="s">
        <v>11081</v>
      </c>
      <c r="B3469" s="16" t="n">
        <v>3464</v>
      </c>
      <c r="C3469" s="16" t="s">
        <v>11082</v>
      </c>
      <c r="D3469" s="16" t="n">
        <v>7</v>
      </c>
      <c r="E3469" s="37" t="s">
        <v>10010</v>
      </c>
      <c r="F3469" s="16" t="s">
        <v>1285</v>
      </c>
      <c r="G3469" s="16" t="s">
        <v>757</v>
      </c>
      <c r="H3469" s="16" t="s">
        <v>3455</v>
      </c>
      <c r="I3469" s="16" t="s">
        <v>80</v>
      </c>
      <c r="J3469" s="16" t="s">
        <v>9999</v>
      </c>
      <c r="K3469" s="32" t="n">
        <v>1</v>
      </c>
      <c r="L3469" s="33" t="n">
        <v>46063</v>
      </c>
      <c r="M3469" s="33" t="n">
        <v>46063</v>
      </c>
      <c r="N3469" s="16" t="s">
        <v>11083</v>
      </c>
      <c r="O3469" s="16"/>
      <c r="P3469" s="16" t="str">
        <f aca="false">IF(AND(L3469&lt;=$D$2,M3469&gt;=$C$2),"Sí","")</f>
        <v/>
      </c>
      <c r="Q3469" s="18" t="str">
        <f aca="false">IF(COUNTIF(LOOKAHEAD!$A$5:$A$604,A3469)&gt;0,"En Lookahead",IF(P3469="Sí","INCORPORAR",""))</f>
        <v/>
      </c>
    </row>
    <row r="3470" customFormat="false" ht="15" hidden="false" customHeight="false" outlineLevel="0" collapsed="false">
      <c r="A3470" s="16" t="s">
        <v>11084</v>
      </c>
      <c r="B3470" s="16" t="n">
        <v>3465</v>
      </c>
      <c r="C3470" s="16" t="s">
        <v>11085</v>
      </c>
      <c r="D3470" s="16" t="n">
        <v>7</v>
      </c>
      <c r="E3470" s="37" t="s">
        <v>10014</v>
      </c>
      <c r="F3470" s="16" t="s">
        <v>1285</v>
      </c>
      <c r="G3470" s="16" t="s">
        <v>757</v>
      </c>
      <c r="H3470" s="16" t="s">
        <v>3455</v>
      </c>
      <c r="I3470" s="16" t="s">
        <v>80</v>
      </c>
      <c r="J3470" s="16" t="s">
        <v>9999</v>
      </c>
      <c r="K3470" s="32" t="n">
        <v>1</v>
      </c>
      <c r="L3470" s="33" t="n">
        <v>46064</v>
      </c>
      <c r="M3470" s="33" t="n">
        <v>46064</v>
      </c>
      <c r="N3470" s="16" t="s">
        <v>11086</v>
      </c>
      <c r="O3470" s="16"/>
      <c r="P3470" s="16" t="str">
        <f aca="false">IF(AND(L3470&lt;=$D$2,M3470&gt;=$C$2),"Sí","")</f>
        <v/>
      </c>
      <c r="Q3470" s="18" t="str">
        <f aca="false">IF(COUNTIF(LOOKAHEAD!$A$5:$A$604,A3470)&gt;0,"En Lookahead",IF(P3470="Sí","INCORPORAR",""))</f>
        <v/>
      </c>
    </row>
    <row r="3471" customFormat="false" ht="15" hidden="false" customHeight="false" outlineLevel="0" collapsed="false">
      <c r="A3471" s="13" t="s">
        <v>11087</v>
      </c>
      <c r="B3471" s="13" t="n">
        <v>3466</v>
      </c>
      <c r="C3471" s="13" t="s">
        <v>11088</v>
      </c>
      <c r="D3471" s="13" t="n">
        <v>6</v>
      </c>
      <c r="E3471" s="36" t="s">
        <v>10018</v>
      </c>
      <c r="F3471" s="13" t="s">
        <v>1298</v>
      </c>
      <c r="G3471" s="13" t="s">
        <v>757</v>
      </c>
      <c r="H3471" s="13" t="s">
        <v>3455</v>
      </c>
      <c r="I3471" s="13" t="s">
        <v>80</v>
      </c>
      <c r="J3471" s="13" t="s">
        <v>9975</v>
      </c>
      <c r="K3471" s="30" t="n">
        <v>2</v>
      </c>
      <c r="L3471" s="31" t="n">
        <v>46065</v>
      </c>
      <c r="M3471" s="31" t="n">
        <v>46066</v>
      </c>
      <c r="N3471" s="13"/>
      <c r="O3471" s="13"/>
      <c r="P3471" s="13"/>
      <c r="Q3471" s="13"/>
    </row>
    <row r="3472" customFormat="false" ht="15" hidden="false" customHeight="false" outlineLevel="0" collapsed="false">
      <c r="A3472" s="16" t="s">
        <v>11089</v>
      </c>
      <c r="B3472" s="16" t="n">
        <v>3467</v>
      </c>
      <c r="C3472" s="16" t="s">
        <v>11090</v>
      </c>
      <c r="D3472" s="16" t="n">
        <v>7</v>
      </c>
      <c r="E3472" s="37" t="s">
        <v>10021</v>
      </c>
      <c r="F3472" s="16" t="s">
        <v>1285</v>
      </c>
      <c r="G3472" s="16" t="s">
        <v>757</v>
      </c>
      <c r="H3472" s="16" t="s">
        <v>3455</v>
      </c>
      <c r="I3472" s="16" t="s">
        <v>80</v>
      </c>
      <c r="J3472" s="16" t="s">
        <v>10018</v>
      </c>
      <c r="K3472" s="32" t="n">
        <v>1</v>
      </c>
      <c r="L3472" s="33" t="n">
        <v>46065</v>
      </c>
      <c r="M3472" s="33" t="n">
        <v>46065</v>
      </c>
      <c r="N3472" s="16" t="s">
        <v>11091</v>
      </c>
      <c r="O3472" s="16"/>
      <c r="P3472" s="16" t="str">
        <f aca="false">IF(AND(L3472&lt;=$D$2,M3472&gt;=$C$2),"Sí","")</f>
        <v/>
      </c>
      <c r="Q3472" s="18" t="str">
        <f aca="false">IF(COUNTIF(LOOKAHEAD!$A$5:$A$604,A3472)&gt;0,"En Lookahead",IF(P3472="Sí","INCORPORAR",""))</f>
        <v/>
      </c>
    </row>
    <row r="3473" customFormat="false" ht="15" hidden="false" customHeight="false" outlineLevel="0" collapsed="false">
      <c r="A3473" s="16" t="s">
        <v>11092</v>
      </c>
      <c r="B3473" s="16" t="n">
        <v>3468</v>
      </c>
      <c r="C3473" s="16" t="s">
        <v>11093</v>
      </c>
      <c r="D3473" s="16" t="n">
        <v>7</v>
      </c>
      <c r="E3473" s="37" t="s">
        <v>10440</v>
      </c>
      <c r="F3473" s="16" t="s">
        <v>1285</v>
      </c>
      <c r="G3473" s="16" t="s">
        <v>757</v>
      </c>
      <c r="H3473" s="16" t="s">
        <v>3455</v>
      </c>
      <c r="I3473" s="16" t="s">
        <v>80</v>
      </c>
      <c r="J3473" s="16" t="s">
        <v>10018</v>
      </c>
      <c r="K3473" s="32" t="n">
        <v>1</v>
      </c>
      <c r="L3473" s="33" t="n">
        <v>46066</v>
      </c>
      <c r="M3473" s="33" t="n">
        <v>46066</v>
      </c>
      <c r="N3473" s="16" t="s">
        <v>11094</v>
      </c>
      <c r="O3473" s="16"/>
      <c r="P3473" s="16" t="str">
        <f aca="false">IF(AND(L3473&lt;=$D$2,M3473&gt;=$C$2),"Sí","")</f>
        <v/>
      </c>
      <c r="Q3473" s="18" t="str">
        <f aca="false">IF(COUNTIF(LOOKAHEAD!$A$5:$A$604,A3473)&gt;0,"En Lookahead",IF(P3473="Sí","INCORPORAR",""))</f>
        <v/>
      </c>
    </row>
    <row r="3474" customFormat="false" ht="15" hidden="false" customHeight="false" outlineLevel="0" collapsed="false">
      <c r="A3474" s="13" t="s">
        <v>11095</v>
      </c>
      <c r="B3474" s="13" t="n">
        <v>3469</v>
      </c>
      <c r="C3474" s="13" t="s">
        <v>11096</v>
      </c>
      <c r="D3474" s="13" t="n">
        <v>6</v>
      </c>
      <c r="E3474" s="36" t="s">
        <v>10025</v>
      </c>
      <c r="F3474" s="13" t="s">
        <v>1298</v>
      </c>
      <c r="G3474" s="13" t="s">
        <v>757</v>
      </c>
      <c r="H3474" s="13" t="s">
        <v>3455</v>
      </c>
      <c r="I3474" s="13" t="s">
        <v>80</v>
      </c>
      <c r="J3474" s="13" t="s">
        <v>9975</v>
      </c>
      <c r="K3474" s="30" t="n">
        <v>1</v>
      </c>
      <c r="L3474" s="31" t="n">
        <v>46067</v>
      </c>
      <c r="M3474" s="31" t="n">
        <v>46067</v>
      </c>
      <c r="N3474" s="13"/>
      <c r="O3474" s="13"/>
      <c r="P3474" s="13"/>
      <c r="Q3474" s="13"/>
    </row>
    <row r="3475" customFormat="false" ht="15" hidden="false" customHeight="false" outlineLevel="0" collapsed="false">
      <c r="A3475" s="16" t="s">
        <v>11097</v>
      </c>
      <c r="B3475" s="16" t="n">
        <v>3470</v>
      </c>
      <c r="C3475" s="16" t="s">
        <v>11098</v>
      </c>
      <c r="D3475" s="16" t="n">
        <v>7</v>
      </c>
      <c r="E3475" s="37" t="s">
        <v>10028</v>
      </c>
      <c r="F3475" s="16" t="s">
        <v>1285</v>
      </c>
      <c r="G3475" s="16" t="s">
        <v>757</v>
      </c>
      <c r="H3475" s="16" t="s">
        <v>3455</v>
      </c>
      <c r="I3475" s="16" t="s">
        <v>80</v>
      </c>
      <c r="J3475" s="16" t="s">
        <v>10025</v>
      </c>
      <c r="K3475" s="32" t="n">
        <v>1</v>
      </c>
      <c r="L3475" s="33" t="n">
        <v>46067</v>
      </c>
      <c r="M3475" s="33" t="n">
        <v>46067</v>
      </c>
      <c r="N3475" s="16" t="s">
        <v>11099</v>
      </c>
      <c r="O3475" s="16"/>
      <c r="P3475" s="16" t="str">
        <f aca="false">IF(AND(L3475&lt;=$D$2,M3475&gt;=$C$2),"Sí","")</f>
        <v/>
      </c>
      <c r="Q3475" s="18" t="str">
        <f aca="false">IF(COUNTIF(LOOKAHEAD!$A$5:$A$604,A3475)&gt;0,"En Lookahead",IF(P3475="Sí","INCORPORAR",""))</f>
        <v/>
      </c>
    </row>
    <row r="3476" customFormat="false" ht="15" hidden="false" customHeight="false" outlineLevel="0" collapsed="false">
      <c r="A3476" s="13" t="s">
        <v>11100</v>
      </c>
      <c r="B3476" s="13" t="n">
        <v>3471</v>
      </c>
      <c r="C3476" s="13" t="s">
        <v>11101</v>
      </c>
      <c r="D3476" s="13" t="n">
        <v>5</v>
      </c>
      <c r="E3476" s="34" t="s">
        <v>10032</v>
      </c>
      <c r="F3476" s="13" t="s">
        <v>1298</v>
      </c>
      <c r="G3476" s="13" t="s">
        <v>757</v>
      </c>
      <c r="H3476" s="13" t="s">
        <v>3455</v>
      </c>
      <c r="I3476" s="13" t="s">
        <v>80</v>
      </c>
      <c r="J3476" s="13" t="s">
        <v>3455</v>
      </c>
      <c r="K3476" s="30" t="n">
        <v>13</v>
      </c>
      <c r="L3476" s="31" t="n">
        <v>46068</v>
      </c>
      <c r="M3476" s="31" t="n">
        <v>46080</v>
      </c>
      <c r="N3476" s="13"/>
      <c r="O3476" s="13"/>
      <c r="P3476" s="13"/>
      <c r="Q3476" s="13"/>
    </row>
    <row r="3477" customFormat="false" ht="15" hidden="false" customHeight="false" outlineLevel="0" collapsed="false">
      <c r="A3477" s="13" t="s">
        <v>11102</v>
      </c>
      <c r="B3477" s="13" t="n">
        <v>3472</v>
      </c>
      <c r="C3477" s="13" t="s">
        <v>11103</v>
      </c>
      <c r="D3477" s="13" t="n">
        <v>6</v>
      </c>
      <c r="E3477" s="36" t="s">
        <v>10035</v>
      </c>
      <c r="F3477" s="13" t="s">
        <v>1298</v>
      </c>
      <c r="G3477" s="13" t="s">
        <v>757</v>
      </c>
      <c r="H3477" s="13" t="s">
        <v>3455</v>
      </c>
      <c r="I3477" s="13" t="s">
        <v>80</v>
      </c>
      <c r="J3477" s="13" t="s">
        <v>10032</v>
      </c>
      <c r="K3477" s="30" t="n">
        <v>1</v>
      </c>
      <c r="L3477" s="31" t="n">
        <v>46068</v>
      </c>
      <c r="M3477" s="31" t="n">
        <v>46068</v>
      </c>
      <c r="N3477" s="13"/>
      <c r="O3477" s="13"/>
      <c r="P3477" s="13"/>
      <c r="Q3477" s="13"/>
    </row>
    <row r="3478" customFormat="false" ht="15" hidden="false" customHeight="false" outlineLevel="0" collapsed="false">
      <c r="A3478" s="16" t="s">
        <v>11104</v>
      </c>
      <c r="B3478" s="16" t="n">
        <v>3473</v>
      </c>
      <c r="C3478" s="16" t="s">
        <v>11105</v>
      </c>
      <c r="D3478" s="16" t="n">
        <v>7</v>
      </c>
      <c r="E3478" s="37" t="s">
        <v>10038</v>
      </c>
      <c r="F3478" s="16" t="s">
        <v>1285</v>
      </c>
      <c r="G3478" s="16" t="s">
        <v>757</v>
      </c>
      <c r="H3478" s="16" t="s">
        <v>3455</v>
      </c>
      <c r="I3478" s="16" t="s">
        <v>80</v>
      </c>
      <c r="J3478" s="16" t="s">
        <v>10035</v>
      </c>
      <c r="K3478" s="32" t="n">
        <v>1</v>
      </c>
      <c r="L3478" s="33" t="n">
        <v>46068</v>
      </c>
      <c r="M3478" s="33" t="n">
        <v>46068</v>
      </c>
      <c r="N3478" s="16" t="s">
        <v>11046</v>
      </c>
      <c r="O3478" s="16"/>
      <c r="P3478" s="16" t="str">
        <f aca="false">IF(AND(L3478&lt;=$D$2,M3478&gt;=$C$2),"Sí","")</f>
        <v/>
      </c>
      <c r="Q3478" s="18" t="str">
        <f aca="false">IF(COUNTIF(LOOKAHEAD!$A$5:$A$604,A3478)&gt;0,"En Lookahead",IF(P3478="Sí","INCORPORAR",""))</f>
        <v/>
      </c>
    </row>
    <row r="3479" customFormat="false" ht="15" hidden="false" customHeight="false" outlineLevel="0" collapsed="false">
      <c r="A3479" s="13" t="s">
        <v>11106</v>
      </c>
      <c r="B3479" s="13" t="n">
        <v>3474</v>
      </c>
      <c r="C3479" s="13" t="s">
        <v>11107</v>
      </c>
      <c r="D3479" s="13" t="n">
        <v>6</v>
      </c>
      <c r="E3479" s="36" t="s">
        <v>1534</v>
      </c>
      <c r="F3479" s="13" t="s">
        <v>1298</v>
      </c>
      <c r="G3479" s="13" t="s">
        <v>757</v>
      </c>
      <c r="H3479" s="13" t="s">
        <v>3455</v>
      </c>
      <c r="I3479" s="13" t="s">
        <v>80</v>
      </c>
      <c r="J3479" s="13" t="s">
        <v>10032</v>
      </c>
      <c r="K3479" s="30" t="n">
        <v>12</v>
      </c>
      <c r="L3479" s="31" t="n">
        <v>46069</v>
      </c>
      <c r="M3479" s="31" t="n">
        <v>46080</v>
      </c>
      <c r="N3479" s="13"/>
      <c r="O3479" s="13"/>
      <c r="P3479" s="13"/>
      <c r="Q3479" s="13"/>
    </row>
    <row r="3480" customFormat="false" ht="15" hidden="false" customHeight="false" outlineLevel="0" collapsed="false">
      <c r="A3480" s="16" t="s">
        <v>11108</v>
      </c>
      <c r="B3480" s="16" t="n">
        <v>3475</v>
      </c>
      <c r="C3480" s="16" t="s">
        <v>11109</v>
      </c>
      <c r="D3480" s="16" t="n">
        <v>7</v>
      </c>
      <c r="E3480" s="37" t="s">
        <v>10043</v>
      </c>
      <c r="F3480" s="16" t="s">
        <v>1285</v>
      </c>
      <c r="G3480" s="16" t="s">
        <v>757</v>
      </c>
      <c r="H3480" s="16" t="s">
        <v>3455</v>
      </c>
      <c r="I3480" s="16" t="s">
        <v>80</v>
      </c>
      <c r="J3480" s="16" t="s">
        <v>1534</v>
      </c>
      <c r="K3480" s="32" t="n">
        <v>1</v>
      </c>
      <c r="L3480" s="33" t="n">
        <v>46069</v>
      </c>
      <c r="M3480" s="33" t="n">
        <v>46069</v>
      </c>
      <c r="N3480" s="16" t="s">
        <v>11110</v>
      </c>
      <c r="O3480" s="16"/>
      <c r="P3480" s="16" t="str">
        <f aca="false">IF(AND(L3480&lt;=$D$2,M3480&gt;=$C$2),"Sí","")</f>
        <v/>
      </c>
      <c r="Q3480" s="18" t="str">
        <f aca="false">IF(COUNTIF(LOOKAHEAD!$A$5:$A$604,A3480)&gt;0,"En Lookahead",IF(P3480="Sí","INCORPORAR",""))</f>
        <v/>
      </c>
    </row>
    <row r="3481" customFormat="false" ht="15" hidden="false" customHeight="false" outlineLevel="0" collapsed="false">
      <c r="A3481" s="16" t="s">
        <v>11111</v>
      </c>
      <c r="B3481" s="16" t="n">
        <v>3476</v>
      </c>
      <c r="C3481" s="16" t="s">
        <v>11112</v>
      </c>
      <c r="D3481" s="16" t="n">
        <v>7</v>
      </c>
      <c r="E3481" s="37" t="s">
        <v>10047</v>
      </c>
      <c r="F3481" s="16" t="s">
        <v>1285</v>
      </c>
      <c r="G3481" s="16" t="s">
        <v>757</v>
      </c>
      <c r="H3481" s="16" t="s">
        <v>3455</v>
      </c>
      <c r="I3481" s="16" t="s">
        <v>80</v>
      </c>
      <c r="J3481" s="16" t="s">
        <v>1534</v>
      </c>
      <c r="K3481" s="32" t="n">
        <v>1</v>
      </c>
      <c r="L3481" s="33" t="n">
        <v>46070</v>
      </c>
      <c r="M3481" s="33" t="n">
        <v>46070</v>
      </c>
      <c r="N3481" s="16" t="s">
        <v>11113</v>
      </c>
      <c r="O3481" s="16"/>
      <c r="P3481" s="16" t="str">
        <f aca="false">IF(AND(L3481&lt;=$D$2,M3481&gt;=$C$2),"Sí","")</f>
        <v/>
      </c>
      <c r="Q3481" s="18" t="str">
        <f aca="false">IF(COUNTIF(LOOKAHEAD!$A$5:$A$604,A3481)&gt;0,"En Lookahead",IF(P3481="Sí","INCORPORAR",""))</f>
        <v/>
      </c>
    </row>
    <row r="3482" customFormat="false" ht="15" hidden="false" customHeight="false" outlineLevel="0" collapsed="false">
      <c r="A3482" s="16" t="s">
        <v>11114</v>
      </c>
      <c r="B3482" s="16" t="n">
        <v>3477</v>
      </c>
      <c r="C3482" s="16" t="s">
        <v>11115</v>
      </c>
      <c r="D3482" s="16" t="n">
        <v>7</v>
      </c>
      <c r="E3482" s="37" t="s">
        <v>10051</v>
      </c>
      <c r="F3482" s="16" t="s">
        <v>1285</v>
      </c>
      <c r="G3482" s="16" t="s">
        <v>757</v>
      </c>
      <c r="H3482" s="16" t="s">
        <v>3455</v>
      </c>
      <c r="I3482" s="16" t="s">
        <v>80</v>
      </c>
      <c r="J3482" s="16" t="s">
        <v>1534</v>
      </c>
      <c r="K3482" s="32" t="n">
        <v>1</v>
      </c>
      <c r="L3482" s="33" t="n">
        <v>46071</v>
      </c>
      <c r="M3482" s="33" t="n">
        <v>46071</v>
      </c>
      <c r="N3482" s="16" t="s">
        <v>11116</v>
      </c>
      <c r="O3482" s="16"/>
      <c r="P3482" s="16" t="str">
        <f aca="false">IF(AND(L3482&lt;=$D$2,M3482&gt;=$C$2),"Sí","")</f>
        <v/>
      </c>
      <c r="Q3482" s="18" t="str">
        <f aca="false">IF(COUNTIF(LOOKAHEAD!$A$5:$A$604,A3482)&gt;0,"En Lookahead",IF(P3482="Sí","INCORPORAR",""))</f>
        <v/>
      </c>
    </row>
    <row r="3483" customFormat="false" ht="15" hidden="false" customHeight="false" outlineLevel="0" collapsed="false">
      <c r="A3483" s="16" t="s">
        <v>11117</v>
      </c>
      <c r="B3483" s="16" t="n">
        <v>3478</v>
      </c>
      <c r="C3483" s="16" t="s">
        <v>11118</v>
      </c>
      <c r="D3483" s="16" t="n">
        <v>7</v>
      </c>
      <c r="E3483" s="37" t="s">
        <v>10055</v>
      </c>
      <c r="F3483" s="16" t="s">
        <v>1285</v>
      </c>
      <c r="G3483" s="16" t="s">
        <v>757</v>
      </c>
      <c r="H3483" s="16" t="s">
        <v>3455</v>
      </c>
      <c r="I3483" s="16" t="s">
        <v>80</v>
      </c>
      <c r="J3483" s="16" t="s">
        <v>1534</v>
      </c>
      <c r="K3483" s="32" t="n">
        <v>1</v>
      </c>
      <c r="L3483" s="33" t="n">
        <v>46072</v>
      </c>
      <c r="M3483" s="33" t="n">
        <v>46072</v>
      </c>
      <c r="N3483" s="16" t="s">
        <v>11119</v>
      </c>
      <c r="O3483" s="16"/>
      <c r="P3483" s="16" t="str">
        <f aca="false">IF(AND(L3483&lt;=$D$2,M3483&gt;=$C$2),"Sí","")</f>
        <v/>
      </c>
      <c r="Q3483" s="18" t="str">
        <f aca="false">IF(COUNTIF(LOOKAHEAD!$A$5:$A$604,A3483)&gt;0,"En Lookahead",IF(P3483="Sí","INCORPORAR",""))</f>
        <v/>
      </c>
    </row>
    <row r="3484" customFormat="false" ht="15" hidden="false" customHeight="false" outlineLevel="0" collapsed="false">
      <c r="A3484" s="16" t="s">
        <v>11120</v>
      </c>
      <c r="B3484" s="16" t="n">
        <v>3479</v>
      </c>
      <c r="C3484" s="16" t="s">
        <v>11121</v>
      </c>
      <c r="D3484" s="16" t="n">
        <v>7</v>
      </c>
      <c r="E3484" s="37" t="s">
        <v>10059</v>
      </c>
      <c r="F3484" s="16" t="s">
        <v>1285</v>
      </c>
      <c r="G3484" s="16" t="s">
        <v>757</v>
      </c>
      <c r="H3484" s="16" t="s">
        <v>3455</v>
      </c>
      <c r="I3484" s="16" t="s">
        <v>80</v>
      </c>
      <c r="J3484" s="16" t="s">
        <v>1534</v>
      </c>
      <c r="K3484" s="32" t="n">
        <v>1</v>
      </c>
      <c r="L3484" s="33" t="n">
        <v>46078</v>
      </c>
      <c r="M3484" s="33" t="n">
        <v>46078</v>
      </c>
      <c r="N3484" s="16" t="s">
        <v>11122</v>
      </c>
      <c r="O3484" s="16"/>
      <c r="P3484" s="16" t="str">
        <f aca="false">IF(AND(L3484&lt;=$D$2,M3484&gt;=$C$2),"Sí","")</f>
        <v/>
      </c>
      <c r="Q3484" s="18" t="str">
        <f aca="false">IF(COUNTIF(LOOKAHEAD!$A$5:$A$604,A3484)&gt;0,"En Lookahead",IF(P3484="Sí","INCORPORAR",""))</f>
        <v/>
      </c>
    </row>
    <row r="3485" customFormat="false" ht="15" hidden="false" customHeight="false" outlineLevel="0" collapsed="false">
      <c r="A3485" s="16" t="s">
        <v>11123</v>
      </c>
      <c r="B3485" s="16" t="n">
        <v>3480</v>
      </c>
      <c r="C3485" s="16" t="s">
        <v>11124</v>
      </c>
      <c r="D3485" s="16" t="n">
        <v>7</v>
      </c>
      <c r="E3485" s="37" t="s">
        <v>10063</v>
      </c>
      <c r="F3485" s="16" t="s">
        <v>1285</v>
      </c>
      <c r="G3485" s="16" t="s">
        <v>757</v>
      </c>
      <c r="H3485" s="16" t="s">
        <v>3455</v>
      </c>
      <c r="I3485" s="16" t="s">
        <v>80</v>
      </c>
      <c r="J3485" s="16" t="s">
        <v>1534</v>
      </c>
      <c r="K3485" s="32" t="n">
        <v>1</v>
      </c>
      <c r="L3485" s="33" t="n">
        <v>46079</v>
      </c>
      <c r="M3485" s="33" t="n">
        <v>46079</v>
      </c>
      <c r="N3485" s="16" t="s">
        <v>11125</v>
      </c>
      <c r="O3485" s="16"/>
      <c r="P3485" s="16" t="str">
        <f aca="false">IF(AND(L3485&lt;=$D$2,M3485&gt;=$C$2),"Sí","")</f>
        <v/>
      </c>
      <c r="Q3485" s="18" t="str">
        <f aca="false">IF(COUNTIF(LOOKAHEAD!$A$5:$A$604,A3485)&gt;0,"En Lookahead",IF(P3485="Sí","INCORPORAR",""))</f>
        <v/>
      </c>
    </row>
    <row r="3486" customFormat="false" ht="15" hidden="false" customHeight="false" outlineLevel="0" collapsed="false">
      <c r="A3486" s="16" t="s">
        <v>11126</v>
      </c>
      <c r="B3486" s="16" t="n">
        <v>3481</v>
      </c>
      <c r="C3486" s="16" t="s">
        <v>11127</v>
      </c>
      <c r="D3486" s="16" t="n">
        <v>7</v>
      </c>
      <c r="E3486" s="37" t="s">
        <v>1557</v>
      </c>
      <c r="F3486" s="16" t="s">
        <v>1285</v>
      </c>
      <c r="G3486" s="16" t="s">
        <v>757</v>
      </c>
      <c r="H3486" s="16" t="s">
        <v>3455</v>
      </c>
      <c r="I3486" s="16" t="s">
        <v>80</v>
      </c>
      <c r="J3486" s="16" t="s">
        <v>1534</v>
      </c>
      <c r="K3486" s="32" t="n">
        <v>1</v>
      </c>
      <c r="L3486" s="33" t="n">
        <v>46078</v>
      </c>
      <c r="M3486" s="33" t="n">
        <v>46078</v>
      </c>
      <c r="N3486" s="16" t="s">
        <v>11128</v>
      </c>
      <c r="O3486" s="16"/>
      <c r="P3486" s="16" t="str">
        <f aca="false">IF(AND(L3486&lt;=$D$2,M3486&gt;=$C$2),"Sí","")</f>
        <v/>
      </c>
      <c r="Q3486" s="18" t="str">
        <f aca="false">IF(COUNTIF(LOOKAHEAD!$A$5:$A$604,A3486)&gt;0,"En Lookahead",IF(P3486="Sí","INCORPORAR",""))</f>
        <v/>
      </c>
    </row>
    <row r="3487" customFormat="false" ht="15" hidden="false" customHeight="false" outlineLevel="0" collapsed="false">
      <c r="A3487" s="16" t="s">
        <v>11129</v>
      </c>
      <c r="B3487" s="16" t="n">
        <v>3482</v>
      </c>
      <c r="C3487" s="16" t="s">
        <v>11130</v>
      </c>
      <c r="D3487" s="16" t="n">
        <v>7</v>
      </c>
      <c r="E3487" s="37" t="s">
        <v>10069</v>
      </c>
      <c r="F3487" s="16" t="s">
        <v>1285</v>
      </c>
      <c r="G3487" s="16" t="s">
        <v>757</v>
      </c>
      <c r="H3487" s="16" t="s">
        <v>3455</v>
      </c>
      <c r="I3487" s="16" t="s">
        <v>80</v>
      </c>
      <c r="J3487" s="16" t="s">
        <v>1534</v>
      </c>
      <c r="K3487" s="32" t="n">
        <v>1</v>
      </c>
      <c r="L3487" s="33" t="n">
        <v>46080</v>
      </c>
      <c r="M3487" s="33" t="n">
        <v>46080</v>
      </c>
      <c r="N3487" s="16" t="s">
        <v>11131</v>
      </c>
      <c r="O3487" s="16"/>
      <c r="P3487" s="16" t="str">
        <f aca="false">IF(AND(L3487&lt;=$D$2,M3487&gt;=$C$2),"Sí","")</f>
        <v/>
      </c>
      <c r="Q3487" s="18" t="str">
        <f aca="false">IF(COUNTIF(LOOKAHEAD!$A$5:$A$604,A3487)&gt;0,"En Lookahead",IF(P3487="Sí","INCORPORAR",""))</f>
        <v/>
      </c>
    </row>
    <row r="3488" customFormat="false" ht="15" hidden="false" customHeight="false" outlineLevel="0" collapsed="false">
      <c r="A3488" s="13" t="s">
        <v>11132</v>
      </c>
      <c r="B3488" s="13" t="n">
        <v>3483</v>
      </c>
      <c r="C3488" s="13" t="s">
        <v>11133</v>
      </c>
      <c r="D3488" s="13" t="n">
        <v>6</v>
      </c>
      <c r="E3488" s="36" t="s">
        <v>10072</v>
      </c>
      <c r="F3488" s="13" t="s">
        <v>1298</v>
      </c>
      <c r="G3488" s="13" t="s">
        <v>757</v>
      </c>
      <c r="H3488" s="13" t="s">
        <v>3455</v>
      </c>
      <c r="I3488" s="13" t="s">
        <v>80</v>
      </c>
      <c r="J3488" s="13" t="s">
        <v>10032</v>
      </c>
      <c r="K3488" s="30" t="n">
        <v>1</v>
      </c>
      <c r="L3488" s="31" t="n">
        <v>46072</v>
      </c>
      <c r="M3488" s="31" t="n">
        <v>46072</v>
      </c>
      <c r="N3488" s="13"/>
      <c r="O3488" s="13"/>
      <c r="P3488" s="13"/>
      <c r="Q3488" s="13"/>
    </row>
    <row r="3489" customFormat="false" ht="15" hidden="false" customHeight="false" outlineLevel="0" collapsed="false">
      <c r="A3489" s="16" t="s">
        <v>11134</v>
      </c>
      <c r="B3489" s="16" t="n">
        <v>3484</v>
      </c>
      <c r="C3489" s="16" t="s">
        <v>11135</v>
      </c>
      <c r="D3489" s="16" t="n">
        <v>7</v>
      </c>
      <c r="E3489" s="37" t="s">
        <v>10075</v>
      </c>
      <c r="F3489" s="16" t="s">
        <v>1285</v>
      </c>
      <c r="G3489" s="16" t="s">
        <v>757</v>
      </c>
      <c r="H3489" s="16" t="s">
        <v>3455</v>
      </c>
      <c r="I3489" s="16" t="s">
        <v>80</v>
      </c>
      <c r="J3489" s="16" t="s">
        <v>10072</v>
      </c>
      <c r="K3489" s="32" t="n">
        <v>1</v>
      </c>
      <c r="L3489" s="33" t="n">
        <v>46072</v>
      </c>
      <c r="M3489" s="33" t="n">
        <v>46072</v>
      </c>
      <c r="N3489" s="16" t="s">
        <v>11119</v>
      </c>
      <c r="O3489" s="16"/>
      <c r="P3489" s="16" t="str">
        <f aca="false">IF(AND(L3489&lt;=$D$2,M3489&gt;=$C$2),"Sí","")</f>
        <v/>
      </c>
      <c r="Q3489" s="18" t="str">
        <f aca="false">IF(COUNTIF(LOOKAHEAD!$A$5:$A$604,A3489)&gt;0,"En Lookahead",IF(P3489="Sí","INCORPORAR",""))</f>
        <v/>
      </c>
    </row>
    <row r="3490" customFormat="false" ht="15" hidden="false" customHeight="false" outlineLevel="0" collapsed="false">
      <c r="A3490" s="13" t="s">
        <v>11136</v>
      </c>
      <c r="B3490" s="13" t="n">
        <v>3485</v>
      </c>
      <c r="C3490" s="13" t="s">
        <v>11137</v>
      </c>
      <c r="D3490" s="13" t="n">
        <v>6</v>
      </c>
      <c r="E3490" s="36" t="s">
        <v>10079</v>
      </c>
      <c r="F3490" s="13" t="s">
        <v>1298</v>
      </c>
      <c r="G3490" s="13" t="s">
        <v>757</v>
      </c>
      <c r="H3490" s="13" t="s">
        <v>3455</v>
      </c>
      <c r="I3490" s="13" t="s">
        <v>80</v>
      </c>
      <c r="J3490" s="13" t="s">
        <v>10032</v>
      </c>
      <c r="K3490" s="30" t="n">
        <v>3</v>
      </c>
      <c r="L3490" s="31" t="n">
        <v>46073</v>
      </c>
      <c r="M3490" s="31" t="n">
        <v>46075</v>
      </c>
      <c r="N3490" s="13"/>
      <c r="O3490" s="13"/>
      <c r="P3490" s="13"/>
      <c r="Q3490" s="13"/>
    </row>
    <row r="3491" customFormat="false" ht="15" hidden="false" customHeight="false" outlineLevel="0" collapsed="false">
      <c r="A3491" s="16" t="s">
        <v>11138</v>
      </c>
      <c r="B3491" s="16" t="n">
        <v>3486</v>
      </c>
      <c r="C3491" s="16" t="s">
        <v>11139</v>
      </c>
      <c r="D3491" s="16" t="n">
        <v>7</v>
      </c>
      <c r="E3491" s="37" t="s">
        <v>10086</v>
      </c>
      <c r="F3491" s="16" t="s">
        <v>1285</v>
      </c>
      <c r="G3491" s="16" t="s">
        <v>757</v>
      </c>
      <c r="H3491" s="16" t="s">
        <v>3455</v>
      </c>
      <c r="I3491" s="16" t="s">
        <v>80</v>
      </c>
      <c r="J3491" s="16" t="s">
        <v>10079</v>
      </c>
      <c r="K3491" s="32" t="n">
        <v>1</v>
      </c>
      <c r="L3491" s="33" t="n">
        <v>46073</v>
      </c>
      <c r="M3491" s="33" t="n">
        <v>46073</v>
      </c>
      <c r="N3491" s="16" t="s">
        <v>11140</v>
      </c>
      <c r="O3491" s="16"/>
      <c r="P3491" s="16" t="str">
        <f aca="false">IF(AND(L3491&lt;=$D$2,M3491&gt;=$C$2),"Sí","")</f>
        <v/>
      </c>
      <c r="Q3491" s="18" t="str">
        <f aca="false">IF(COUNTIF(LOOKAHEAD!$A$5:$A$604,A3491)&gt;0,"En Lookahead",IF(P3491="Sí","INCORPORAR",""))</f>
        <v/>
      </c>
    </row>
    <row r="3492" customFormat="false" ht="15" hidden="false" customHeight="false" outlineLevel="0" collapsed="false">
      <c r="A3492" s="16" t="s">
        <v>11141</v>
      </c>
      <c r="B3492" s="16" t="n">
        <v>3487</v>
      </c>
      <c r="C3492" s="16" t="s">
        <v>11142</v>
      </c>
      <c r="D3492" s="16" t="n">
        <v>7</v>
      </c>
      <c r="E3492" s="37" t="s">
        <v>10090</v>
      </c>
      <c r="F3492" s="16" t="s">
        <v>1285</v>
      </c>
      <c r="G3492" s="16" t="s">
        <v>757</v>
      </c>
      <c r="H3492" s="16" t="s">
        <v>3455</v>
      </c>
      <c r="I3492" s="16" t="s">
        <v>80</v>
      </c>
      <c r="J3492" s="16" t="s">
        <v>10079</v>
      </c>
      <c r="K3492" s="32" t="n">
        <v>1</v>
      </c>
      <c r="L3492" s="33" t="n">
        <v>46074</v>
      </c>
      <c r="M3492" s="33" t="n">
        <v>46074</v>
      </c>
      <c r="N3492" s="16" t="s">
        <v>11143</v>
      </c>
      <c r="O3492" s="16"/>
      <c r="P3492" s="16" t="str">
        <f aca="false">IF(AND(L3492&lt;=$D$2,M3492&gt;=$C$2),"Sí","")</f>
        <v/>
      </c>
      <c r="Q3492" s="18" t="str">
        <f aca="false">IF(COUNTIF(LOOKAHEAD!$A$5:$A$604,A3492)&gt;0,"En Lookahead",IF(P3492="Sí","INCORPORAR",""))</f>
        <v/>
      </c>
    </row>
    <row r="3493" customFormat="false" ht="15" hidden="false" customHeight="false" outlineLevel="0" collapsed="false">
      <c r="A3493" s="16" t="s">
        <v>11144</v>
      </c>
      <c r="B3493" s="16" t="n">
        <v>3488</v>
      </c>
      <c r="C3493" s="16" t="s">
        <v>11145</v>
      </c>
      <c r="D3493" s="16" t="n">
        <v>7</v>
      </c>
      <c r="E3493" s="37" t="s">
        <v>10094</v>
      </c>
      <c r="F3493" s="16" t="s">
        <v>1285</v>
      </c>
      <c r="G3493" s="16" t="s">
        <v>757</v>
      </c>
      <c r="H3493" s="16" t="s">
        <v>3455</v>
      </c>
      <c r="I3493" s="16" t="s">
        <v>80</v>
      </c>
      <c r="J3493" s="16" t="s">
        <v>10079</v>
      </c>
      <c r="K3493" s="32" t="n">
        <v>1</v>
      </c>
      <c r="L3493" s="33" t="n">
        <v>46075</v>
      </c>
      <c r="M3493" s="33" t="n">
        <v>46075</v>
      </c>
      <c r="N3493" s="16" t="s">
        <v>11146</v>
      </c>
      <c r="O3493" s="16"/>
      <c r="P3493" s="16" t="str">
        <f aca="false">IF(AND(L3493&lt;=$D$2,M3493&gt;=$C$2),"Sí","")</f>
        <v/>
      </c>
      <c r="Q3493" s="18" t="str">
        <f aca="false">IF(COUNTIF(LOOKAHEAD!$A$5:$A$604,A3493)&gt;0,"En Lookahead",IF(P3493="Sí","INCORPORAR",""))</f>
        <v/>
      </c>
    </row>
    <row r="3494" customFormat="false" ht="15" hidden="false" customHeight="false" outlineLevel="0" collapsed="false">
      <c r="A3494" s="13" t="s">
        <v>11147</v>
      </c>
      <c r="B3494" s="13" t="n">
        <v>3489</v>
      </c>
      <c r="C3494" s="13" t="s">
        <v>11148</v>
      </c>
      <c r="D3494" s="13" t="n">
        <v>6</v>
      </c>
      <c r="E3494" s="36" t="s">
        <v>11149</v>
      </c>
      <c r="F3494" s="13" t="s">
        <v>1298</v>
      </c>
      <c r="G3494" s="13" t="s">
        <v>757</v>
      </c>
      <c r="H3494" s="13" t="s">
        <v>3455</v>
      </c>
      <c r="I3494" s="13" t="s">
        <v>80</v>
      </c>
      <c r="J3494" s="13" t="s">
        <v>10032</v>
      </c>
      <c r="K3494" s="30" t="n">
        <v>2</v>
      </c>
      <c r="L3494" s="31" t="n">
        <v>46076</v>
      </c>
      <c r="M3494" s="31" t="n">
        <v>46077</v>
      </c>
      <c r="N3494" s="13"/>
      <c r="O3494" s="13"/>
      <c r="P3494" s="13"/>
      <c r="Q3494" s="13"/>
    </row>
    <row r="3495" customFormat="false" ht="15" hidden="false" customHeight="false" outlineLevel="0" collapsed="false">
      <c r="A3495" s="16" t="s">
        <v>11150</v>
      </c>
      <c r="B3495" s="16" t="n">
        <v>3490</v>
      </c>
      <c r="C3495" s="16" t="s">
        <v>11151</v>
      </c>
      <c r="D3495" s="16" t="n">
        <v>7</v>
      </c>
      <c r="E3495" s="37" t="s">
        <v>10125</v>
      </c>
      <c r="F3495" s="16" t="s">
        <v>1285</v>
      </c>
      <c r="G3495" s="16" t="s">
        <v>757</v>
      </c>
      <c r="H3495" s="16" t="s">
        <v>3455</v>
      </c>
      <c r="I3495" s="16" t="s">
        <v>80</v>
      </c>
      <c r="J3495" s="16" t="s">
        <v>11149</v>
      </c>
      <c r="K3495" s="32" t="n">
        <v>2</v>
      </c>
      <c r="L3495" s="33" t="n">
        <v>46076</v>
      </c>
      <c r="M3495" s="33" t="n">
        <v>46077</v>
      </c>
      <c r="N3495" s="16" t="s">
        <v>11152</v>
      </c>
      <c r="O3495" s="16"/>
      <c r="P3495" s="16" t="str">
        <f aca="false">IF(AND(L3495&lt;=$D$2,M3495&gt;=$C$2),"Sí","")</f>
        <v/>
      </c>
      <c r="Q3495" s="18" t="str">
        <f aca="false">IF(COUNTIF(LOOKAHEAD!$A$5:$A$604,A3495)&gt;0,"En Lookahead",IF(P3495="Sí","INCORPORAR",""))</f>
        <v/>
      </c>
    </row>
    <row r="3496" customFormat="false" ht="15" hidden="false" customHeight="false" outlineLevel="0" collapsed="false">
      <c r="A3496" s="13" t="s">
        <v>11153</v>
      </c>
      <c r="B3496" s="13" t="n">
        <v>3491</v>
      </c>
      <c r="C3496" s="13" t="s">
        <v>11154</v>
      </c>
      <c r="D3496" s="13" t="n">
        <v>5</v>
      </c>
      <c r="E3496" s="34" t="s">
        <v>10129</v>
      </c>
      <c r="F3496" s="13" t="s">
        <v>1298</v>
      </c>
      <c r="G3496" s="13" t="s">
        <v>757</v>
      </c>
      <c r="H3496" s="13" t="s">
        <v>3455</v>
      </c>
      <c r="I3496" s="13" t="s">
        <v>80</v>
      </c>
      <c r="J3496" s="13" t="s">
        <v>3455</v>
      </c>
      <c r="K3496" s="30" t="n">
        <v>23</v>
      </c>
      <c r="L3496" s="31" t="n">
        <v>46068</v>
      </c>
      <c r="M3496" s="31" t="n">
        <v>46090</v>
      </c>
      <c r="N3496" s="13"/>
      <c r="O3496" s="13"/>
      <c r="P3496" s="13"/>
      <c r="Q3496" s="13"/>
    </row>
    <row r="3497" customFormat="false" ht="15" hidden="false" customHeight="false" outlineLevel="0" collapsed="false">
      <c r="A3497" s="13" t="s">
        <v>11155</v>
      </c>
      <c r="B3497" s="13" t="n">
        <v>3492</v>
      </c>
      <c r="C3497" s="13" t="s">
        <v>11156</v>
      </c>
      <c r="D3497" s="13" t="n">
        <v>6</v>
      </c>
      <c r="E3497" s="36" t="s">
        <v>10035</v>
      </c>
      <c r="F3497" s="13" t="s">
        <v>1298</v>
      </c>
      <c r="G3497" s="13" t="s">
        <v>757</v>
      </c>
      <c r="H3497" s="13" t="s">
        <v>3455</v>
      </c>
      <c r="I3497" s="13" t="s">
        <v>80</v>
      </c>
      <c r="J3497" s="13" t="s">
        <v>10129</v>
      </c>
      <c r="K3497" s="30" t="n">
        <v>1</v>
      </c>
      <c r="L3497" s="31" t="n">
        <v>46068</v>
      </c>
      <c r="M3497" s="31" t="n">
        <v>46068</v>
      </c>
      <c r="N3497" s="13"/>
      <c r="O3497" s="13"/>
      <c r="P3497" s="13"/>
      <c r="Q3497" s="13"/>
    </row>
    <row r="3498" customFormat="false" ht="15" hidden="false" customHeight="false" outlineLevel="0" collapsed="false">
      <c r="A3498" s="16" t="s">
        <v>11157</v>
      </c>
      <c r="B3498" s="16" t="n">
        <v>3493</v>
      </c>
      <c r="C3498" s="16" t="s">
        <v>11158</v>
      </c>
      <c r="D3498" s="16" t="n">
        <v>7</v>
      </c>
      <c r="E3498" s="37" t="s">
        <v>10038</v>
      </c>
      <c r="F3498" s="16" t="s">
        <v>1285</v>
      </c>
      <c r="G3498" s="16" t="s">
        <v>757</v>
      </c>
      <c r="H3498" s="16" t="s">
        <v>3455</v>
      </c>
      <c r="I3498" s="16" t="s">
        <v>80</v>
      </c>
      <c r="J3498" s="16" t="s">
        <v>10035</v>
      </c>
      <c r="K3498" s="32" t="n">
        <v>1</v>
      </c>
      <c r="L3498" s="33" t="n">
        <v>46068</v>
      </c>
      <c r="M3498" s="33" t="n">
        <v>46068</v>
      </c>
      <c r="N3498" s="16" t="s">
        <v>11046</v>
      </c>
      <c r="O3498" s="16"/>
      <c r="P3498" s="16" t="str">
        <f aca="false">IF(AND(L3498&lt;=$D$2,M3498&gt;=$C$2),"Sí","")</f>
        <v/>
      </c>
      <c r="Q3498" s="18" t="str">
        <f aca="false">IF(COUNTIF(LOOKAHEAD!$A$5:$A$604,A3498)&gt;0,"En Lookahead",IF(P3498="Sí","INCORPORAR",""))</f>
        <v/>
      </c>
    </row>
    <row r="3499" customFormat="false" ht="15" hidden="false" customHeight="false" outlineLevel="0" collapsed="false">
      <c r="A3499" s="13" t="s">
        <v>11159</v>
      </c>
      <c r="B3499" s="13" t="n">
        <v>3494</v>
      </c>
      <c r="C3499" s="13" t="s">
        <v>11160</v>
      </c>
      <c r="D3499" s="13" t="n">
        <v>6</v>
      </c>
      <c r="E3499" s="36" t="s">
        <v>1534</v>
      </c>
      <c r="F3499" s="13" t="s">
        <v>1298</v>
      </c>
      <c r="G3499" s="13" t="s">
        <v>757</v>
      </c>
      <c r="H3499" s="13" t="s">
        <v>3455</v>
      </c>
      <c r="I3499" s="13" t="s">
        <v>80</v>
      </c>
      <c r="J3499" s="13" t="s">
        <v>10129</v>
      </c>
      <c r="K3499" s="30" t="n">
        <v>10</v>
      </c>
      <c r="L3499" s="31" t="n">
        <v>46069</v>
      </c>
      <c r="M3499" s="31" t="n">
        <v>46078</v>
      </c>
      <c r="N3499" s="13"/>
      <c r="O3499" s="13"/>
      <c r="P3499" s="13"/>
      <c r="Q3499" s="13"/>
    </row>
    <row r="3500" customFormat="false" ht="15" hidden="false" customHeight="false" outlineLevel="0" collapsed="false">
      <c r="A3500" s="16" t="s">
        <v>11161</v>
      </c>
      <c r="B3500" s="16" t="n">
        <v>3495</v>
      </c>
      <c r="C3500" s="16" t="s">
        <v>11162</v>
      </c>
      <c r="D3500" s="16" t="n">
        <v>7</v>
      </c>
      <c r="E3500" s="37" t="s">
        <v>10043</v>
      </c>
      <c r="F3500" s="16" t="s">
        <v>1285</v>
      </c>
      <c r="G3500" s="16" t="s">
        <v>757</v>
      </c>
      <c r="H3500" s="16" t="s">
        <v>3455</v>
      </c>
      <c r="I3500" s="16" t="s">
        <v>80</v>
      </c>
      <c r="J3500" s="16" t="s">
        <v>1534</v>
      </c>
      <c r="K3500" s="32" t="n">
        <v>3</v>
      </c>
      <c r="L3500" s="33" t="n">
        <v>46069</v>
      </c>
      <c r="M3500" s="33" t="n">
        <v>46071</v>
      </c>
      <c r="N3500" s="16" t="s">
        <v>11163</v>
      </c>
      <c r="O3500" s="16"/>
      <c r="P3500" s="16" t="str">
        <f aca="false">IF(AND(L3500&lt;=$D$2,M3500&gt;=$C$2),"Sí","")</f>
        <v/>
      </c>
      <c r="Q3500" s="18" t="str">
        <f aca="false">IF(COUNTIF(LOOKAHEAD!$A$5:$A$604,A3500)&gt;0,"En Lookahead",IF(P3500="Sí","INCORPORAR",""))</f>
        <v/>
      </c>
    </row>
    <row r="3501" customFormat="false" ht="15" hidden="false" customHeight="false" outlineLevel="0" collapsed="false">
      <c r="A3501" s="16" t="s">
        <v>11164</v>
      </c>
      <c r="B3501" s="16" t="n">
        <v>3496</v>
      </c>
      <c r="C3501" s="16" t="s">
        <v>11165</v>
      </c>
      <c r="D3501" s="16" t="n">
        <v>7</v>
      </c>
      <c r="E3501" s="37" t="s">
        <v>10047</v>
      </c>
      <c r="F3501" s="16" t="s">
        <v>1285</v>
      </c>
      <c r="G3501" s="16" t="s">
        <v>757</v>
      </c>
      <c r="H3501" s="16" t="s">
        <v>3455</v>
      </c>
      <c r="I3501" s="16" t="s">
        <v>80</v>
      </c>
      <c r="J3501" s="16" t="s">
        <v>1534</v>
      </c>
      <c r="K3501" s="32" t="n">
        <v>1</v>
      </c>
      <c r="L3501" s="33" t="n">
        <v>46072</v>
      </c>
      <c r="M3501" s="33" t="n">
        <v>46072</v>
      </c>
      <c r="N3501" s="16" t="s">
        <v>11166</v>
      </c>
      <c r="O3501" s="16"/>
      <c r="P3501" s="16" t="str">
        <f aca="false">IF(AND(L3501&lt;=$D$2,M3501&gt;=$C$2),"Sí","")</f>
        <v/>
      </c>
      <c r="Q3501" s="18" t="str">
        <f aca="false">IF(COUNTIF(LOOKAHEAD!$A$5:$A$604,A3501)&gt;0,"En Lookahead",IF(P3501="Sí","INCORPORAR",""))</f>
        <v/>
      </c>
    </row>
    <row r="3502" customFormat="false" ht="15" hidden="false" customHeight="false" outlineLevel="0" collapsed="false">
      <c r="A3502" s="16" t="s">
        <v>11167</v>
      </c>
      <c r="B3502" s="16" t="n">
        <v>3497</v>
      </c>
      <c r="C3502" s="16" t="s">
        <v>11168</v>
      </c>
      <c r="D3502" s="16" t="n">
        <v>7</v>
      </c>
      <c r="E3502" s="37" t="s">
        <v>10051</v>
      </c>
      <c r="F3502" s="16" t="s">
        <v>1285</v>
      </c>
      <c r="G3502" s="16" t="s">
        <v>757</v>
      </c>
      <c r="H3502" s="16" t="s">
        <v>3455</v>
      </c>
      <c r="I3502" s="16" t="s">
        <v>80</v>
      </c>
      <c r="J3502" s="16" t="s">
        <v>1534</v>
      </c>
      <c r="K3502" s="32" t="n">
        <v>1</v>
      </c>
      <c r="L3502" s="33" t="n">
        <v>46073</v>
      </c>
      <c r="M3502" s="33" t="n">
        <v>46073</v>
      </c>
      <c r="N3502" s="16" t="s">
        <v>11169</v>
      </c>
      <c r="O3502" s="16"/>
      <c r="P3502" s="16" t="str">
        <f aca="false">IF(AND(L3502&lt;=$D$2,M3502&gt;=$C$2),"Sí","")</f>
        <v/>
      </c>
      <c r="Q3502" s="18" t="str">
        <f aca="false">IF(COUNTIF(LOOKAHEAD!$A$5:$A$604,A3502)&gt;0,"En Lookahead",IF(P3502="Sí","INCORPORAR",""))</f>
        <v/>
      </c>
    </row>
    <row r="3503" customFormat="false" ht="15" hidden="false" customHeight="false" outlineLevel="0" collapsed="false">
      <c r="A3503" s="16" t="s">
        <v>11170</v>
      </c>
      <c r="B3503" s="16" t="n">
        <v>3498</v>
      </c>
      <c r="C3503" s="16" t="s">
        <v>11171</v>
      </c>
      <c r="D3503" s="16" t="n">
        <v>7</v>
      </c>
      <c r="E3503" s="37" t="s">
        <v>10055</v>
      </c>
      <c r="F3503" s="16" t="s">
        <v>1285</v>
      </c>
      <c r="G3503" s="16" t="s">
        <v>757</v>
      </c>
      <c r="H3503" s="16" t="s">
        <v>3455</v>
      </c>
      <c r="I3503" s="16" t="s">
        <v>80</v>
      </c>
      <c r="J3503" s="16" t="s">
        <v>1534</v>
      </c>
      <c r="K3503" s="32" t="n">
        <v>1</v>
      </c>
      <c r="L3503" s="33" t="n">
        <v>46074</v>
      </c>
      <c r="M3503" s="33" t="n">
        <v>46074</v>
      </c>
      <c r="N3503" s="16" t="s">
        <v>11172</v>
      </c>
      <c r="O3503" s="16"/>
      <c r="P3503" s="16" t="str">
        <f aca="false">IF(AND(L3503&lt;=$D$2,M3503&gt;=$C$2),"Sí","")</f>
        <v/>
      </c>
      <c r="Q3503" s="18" t="str">
        <f aca="false">IF(COUNTIF(LOOKAHEAD!$A$5:$A$604,A3503)&gt;0,"En Lookahead",IF(P3503="Sí","INCORPORAR",""))</f>
        <v/>
      </c>
    </row>
    <row r="3504" customFormat="false" ht="15" hidden="false" customHeight="false" outlineLevel="0" collapsed="false">
      <c r="A3504" s="16" t="s">
        <v>11173</v>
      </c>
      <c r="B3504" s="16" t="n">
        <v>3499</v>
      </c>
      <c r="C3504" s="16" t="s">
        <v>11174</v>
      </c>
      <c r="D3504" s="16" t="n">
        <v>7</v>
      </c>
      <c r="E3504" s="37" t="s">
        <v>10059</v>
      </c>
      <c r="F3504" s="16" t="s">
        <v>1285</v>
      </c>
      <c r="G3504" s="16" t="s">
        <v>757</v>
      </c>
      <c r="H3504" s="16" t="s">
        <v>3455</v>
      </c>
      <c r="I3504" s="16" t="s">
        <v>80</v>
      </c>
      <c r="J3504" s="16" t="s">
        <v>1534</v>
      </c>
      <c r="K3504" s="32" t="n">
        <v>1</v>
      </c>
      <c r="L3504" s="33" t="n">
        <v>46075</v>
      </c>
      <c r="M3504" s="33" t="n">
        <v>46075</v>
      </c>
      <c r="N3504" s="16" t="s">
        <v>11175</v>
      </c>
      <c r="O3504" s="16"/>
      <c r="P3504" s="16" t="str">
        <f aca="false">IF(AND(L3504&lt;=$D$2,M3504&gt;=$C$2),"Sí","")</f>
        <v/>
      </c>
      <c r="Q3504" s="18" t="str">
        <f aca="false">IF(COUNTIF(LOOKAHEAD!$A$5:$A$604,A3504)&gt;0,"En Lookahead",IF(P3504="Sí","INCORPORAR",""))</f>
        <v/>
      </c>
    </row>
    <row r="3505" customFormat="false" ht="15" hidden="false" customHeight="false" outlineLevel="0" collapsed="false">
      <c r="A3505" s="16" t="s">
        <v>11176</v>
      </c>
      <c r="B3505" s="16" t="n">
        <v>3500</v>
      </c>
      <c r="C3505" s="16" t="s">
        <v>11177</v>
      </c>
      <c r="D3505" s="16" t="n">
        <v>7</v>
      </c>
      <c r="E3505" s="37" t="s">
        <v>10063</v>
      </c>
      <c r="F3505" s="16" t="s">
        <v>1285</v>
      </c>
      <c r="G3505" s="16" t="s">
        <v>757</v>
      </c>
      <c r="H3505" s="16" t="s">
        <v>3455</v>
      </c>
      <c r="I3505" s="16" t="s">
        <v>80</v>
      </c>
      <c r="J3505" s="16" t="s">
        <v>1534</v>
      </c>
      <c r="K3505" s="32" t="n">
        <v>1</v>
      </c>
      <c r="L3505" s="33" t="n">
        <v>46076</v>
      </c>
      <c r="M3505" s="33" t="n">
        <v>46076</v>
      </c>
      <c r="N3505" s="16" t="s">
        <v>11178</v>
      </c>
      <c r="O3505" s="16"/>
      <c r="P3505" s="16" t="str">
        <f aca="false">IF(AND(L3505&lt;=$D$2,M3505&gt;=$C$2),"Sí","")</f>
        <v/>
      </c>
      <c r="Q3505" s="18" t="str">
        <f aca="false">IF(COUNTIF(LOOKAHEAD!$A$5:$A$604,A3505)&gt;0,"En Lookahead",IF(P3505="Sí","INCORPORAR",""))</f>
        <v/>
      </c>
    </row>
    <row r="3506" customFormat="false" ht="15" hidden="false" customHeight="false" outlineLevel="0" collapsed="false">
      <c r="A3506" s="16" t="s">
        <v>11179</v>
      </c>
      <c r="B3506" s="16" t="n">
        <v>3501</v>
      </c>
      <c r="C3506" s="16" t="s">
        <v>11180</v>
      </c>
      <c r="D3506" s="16" t="n">
        <v>7</v>
      </c>
      <c r="E3506" s="37" t="s">
        <v>1557</v>
      </c>
      <c r="F3506" s="16" t="s">
        <v>1285</v>
      </c>
      <c r="G3506" s="16" t="s">
        <v>757</v>
      </c>
      <c r="H3506" s="16" t="s">
        <v>3455</v>
      </c>
      <c r="I3506" s="16" t="s">
        <v>80</v>
      </c>
      <c r="J3506" s="16" t="s">
        <v>1534</v>
      </c>
      <c r="K3506" s="32" t="n">
        <v>1</v>
      </c>
      <c r="L3506" s="33" t="n">
        <v>46077</v>
      </c>
      <c r="M3506" s="33" t="n">
        <v>46077</v>
      </c>
      <c r="N3506" s="16" t="s">
        <v>11181</v>
      </c>
      <c r="O3506" s="16"/>
      <c r="P3506" s="16" t="str">
        <f aca="false">IF(AND(L3506&lt;=$D$2,M3506&gt;=$C$2),"Sí","")</f>
        <v/>
      </c>
      <c r="Q3506" s="18" t="str">
        <f aca="false">IF(COUNTIF(LOOKAHEAD!$A$5:$A$604,A3506)&gt;0,"En Lookahead",IF(P3506="Sí","INCORPORAR",""))</f>
        <v/>
      </c>
    </row>
    <row r="3507" customFormat="false" ht="15" hidden="false" customHeight="false" outlineLevel="0" collapsed="false">
      <c r="A3507" s="16" t="s">
        <v>11182</v>
      </c>
      <c r="B3507" s="16" t="n">
        <v>3502</v>
      </c>
      <c r="C3507" s="16" t="s">
        <v>11183</v>
      </c>
      <c r="D3507" s="16" t="n">
        <v>7</v>
      </c>
      <c r="E3507" s="37" t="s">
        <v>10069</v>
      </c>
      <c r="F3507" s="16" t="s">
        <v>1285</v>
      </c>
      <c r="G3507" s="16" t="s">
        <v>757</v>
      </c>
      <c r="H3507" s="16" t="s">
        <v>3455</v>
      </c>
      <c r="I3507" s="16" t="s">
        <v>80</v>
      </c>
      <c r="J3507" s="16" t="s">
        <v>1534</v>
      </c>
      <c r="K3507" s="32" t="n">
        <v>1</v>
      </c>
      <c r="L3507" s="33" t="n">
        <v>46078</v>
      </c>
      <c r="M3507" s="33" t="n">
        <v>46078</v>
      </c>
      <c r="N3507" s="16" t="s">
        <v>11184</v>
      </c>
      <c r="O3507" s="16"/>
      <c r="P3507" s="16" t="str">
        <f aca="false">IF(AND(L3507&lt;=$D$2,M3507&gt;=$C$2),"Sí","")</f>
        <v/>
      </c>
      <c r="Q3507" s="18" t="str">
        <f aca="false">IF(COUNTIF(LOOKAHEAD!$A$5:$A$604,A3507)&gt;0,"En Lookahead",IF(P3507="Sí","INCORPORAR",""))</f>
        <v/>
      </c>
    </row>
    <row r="3508" customFormat="false" ht="15" hidden="false" customHeight="false" outlineLevel="0" collapsed="false">
      <c r="A3508" s="13" t="s">
        <v>11185</v>
      </c>
      <c r="B3508" s="13" t="n">
        <v>3503</v>
      </c>
      <c r="C3508" s="13" t="s">
        <v>11186</v>
      </c>
      <c r="D3508" s="13" t="n">
        <v>6</v>
      </c>
      <c r="E3508" s="36" t="s">
        <v>10162</v>
      </c>
      <c r="F3508" s="13" t="s">
        <v>1298</v>
      </c>
      <c r="G3508" s="13" t="s">
        <v>757</v>
      </c>
      <c r="H3508" s="13" t="s">
        <v>3455</v>
      </c>
      <c r="I3508" s="13" t="s">
        <v>80</v>
      </c>
      <c r="J3508" s="13" t="s">
        <v>10129</v>
      </c>
      <c r="K3508" s="30" t="n">
        <v>2</v>
      </c>
      <c r="L3508" s="31" t="n">
        <v>46079</v>
      </c>
      <c r="M3508" s="31" t="n">
        <v>46080</v>
      </c>
      <c r="N3508" s="13"/>
      <c r="O3508" s="13"/>
      <c r="P3508" s="13"/>
      <c r="Q3508" s="13"/>
    </row>
    <row r="3509" customFormat="false" ht="15" hidden="false" customHeight="false" outlineLevel="0" collapsed="false">
      <c r="A3509" s="16" t="s">
        <v>11187</v>
      </c>
      <c r="B3509" s="16" t="n">
        <v>3504</v>
      </c>
      <c r="C3509" s="16" t="s">
        <v>11188</v>
      </c>
      <c r="D3509" s="16" t="n">
        <v>7</v>
      </c>
      <c r="E3509" s="37" t="s">
        <v>10165</v>
      </c>
      <c r="F3509" s="16" t="s">
        <v>1285</v>
      </c>
      <c r="G3509" s="16" t="s">
        <v>757</v>
      </c>
      <c r="H3509" s="16" t="s">
        <v>3455</v>
      </c>
      <c r="I3509" s="16" t="s">
        <v>80</v>
      </c>
      <c r="J3509" s="16" t="s">
        <v>10162</v>
      </c>
      <c r="K3509" s="32" t="n">
        <v>1</v>
      </c>
      <c r="L3509" s="33" t="n">
        <v>46079</v>
      </c>
      <c r="M3509" s="33" t="n">
        <v>46079</v>
      </c>
      <c r="N3509" s="16" t="s">
        <v>11189</v>
      </c>
      <c r="O3509" s="16"/>
      <c r="P3509" s="16" t="str">
        <f aca="false">IF(AND(L3509&lt;=$D$2,M3509&gt;=$C$2),"Sí","")</f>
        <v/>
      </c>
      <c r="Q3509" s="18" t="str">
        <f aca="false">IF(COUNTIF(LOOKAHEAD!$A$5:$A$604,A3509)&gt;0,"En Lookahead",IF(P3509="Sí","INCORPORAR",""))</f>
        <v/>
      </c>
    </row>
    <row r="3510" customFormat="false" ht="15" hidden="false" customHeight="false" outlineLevel="0" collapsed="false">
      <c r="A3510" s="16" t="s">
        <v>11190</v>
      </c>
      <c r="B3510" s="16" t="n">
        <v>3505</v>
      </c>
      <c r="C3510" s="16" t="s">
        <v>11191</v>
      </c>
      <c r="D3510" s="16" t="n">
        <v>7</v>
      </c>
      <c r="E3510" s="37" t="s">
        <v>10169</v>
      </c>
      <c r="F3510" s="16" t="s">
        <v>1285</v>
      </c>
      <c r="G3510" s="16" t="s">
        <v>757</v>
      </c>
      <c r="H3510" s="16" t="s">
        <v>3455</v>
      </c>
      <c r="I3510" s="16" t="s">
        <v>80</v>
      </c>
      <c r="J3510" s="16" t="s">
        <v>10162</v>
      </c>
      <c r="K3510" s="32" t="n">
        <v>1</v>
      </c>
      <c r="L3510" s="33" t="n">
        <v>46080</v>
      </c>
      <c r="M3510" s="33" t="n">
        <v>46080</v>
      </c>
      <c r="N3510" s="16" t="s">
        <v>11192</v>
      </c>
      <c r="O3510" s="16"/>
      <c r="P3510" s="16" t="str">
        <f aca="false">IF(AND(L3510&lt;=$D$2,M3510&gt;=$C$2),"Sí","")</f>
        <v/>
      </c>
      <c r="Q3510" s="18" t="str">
        <f aca="false">IF(COUNTIF(LOOKAHEAD!$A$5:$A$604,A3510)&gt;0,"En Lookahead",IF(P3510="Sí","INCORPORAR",""))</f>
        <v/>
      </c>
    </row>
    <row r="3511" customFormat="false" ht="15" hidden="false" customHeight="false" outlineLevel="0" collapsed="false">
      <c r="A3511" s="13" t="s">
        <v>11193</v>
      </c>
      <c r="B3511" s="13" t="n">
        <v>3506</v>
      </c>
      <c r="C3511" s="13" t="s">
        <v>11194</v>
      </c>
      <c r="D3511" s="13" t="n">
        <v>6</v>
      </c>
      <c r="E3511" s="36" t="s">
        <v>10173</v>
      </c>
      <c r="F3511" s="13" t="s">
        <v>1298</v>
      </c>
      <c r="G3511" s="13" t="s">
        <v>757</v>
      </c>
      <c r="H3511" s="13" t="s">
        <v>3455</v>
      </c>
      <c r="I3511" s="13" t="s">
        <v>80</v>
      </c>
      <c r="J3511" s="13" t="s">
        <v>10129</v>
      </c>
      <c r="K3511" s="30" t="n">
        <v>7</v>
      </c>
      <c r="L3511" s="31" t="n">
        <v>46077</v>
      </c>
      <c r="M3511" s="31" t="n">
        <v>46083</v>
      </c>
      <c r="N3511" s="13"/>
      <c r="O3511" s="13"/>
      <c r="P3511" s="13"/>
      <c r="Q3511" s="13"/>
    </row>
    <row r="3512" customFormat="false" ht="15" hidden="false" customHeight="false" outlineLevel="0" collapsed="false">
      <c r="A3512" s="16" t="s">
        <v>11195</v>
      </c>
      <c r="B3512" s="16" t="n">
        <v>3507</v>
      </c>
      <c r="C3512" s="16" t="s">
        <v>11196</v>
      </c>
      <c r="D3512" s="16" t="n">
        <v>7</v>
      </c>
      <c r="E3512" s="37" t="s">
        <v>10176</v>
      </c>
      <c r="F3512" s="16" t="s">
        <v>1285</v>
      </c>
      <c r="G3512" s="16" t="s">
        <v>757</v>
      </c>
      <c r="H3512" s="16" t="s">
        <v>3455</v>
      </c>
      <c r="I3512" s="16" t="s">
        <v>80</v>
      </c>
      <c r="J3512" s="16" t="s">
        <v>10173</v>
      </c>
      <c r="K3512" s="32" t="n">
        <v>1</v>
      </c>
      <c r="L3512" s="33" t="n">
        <v>46081</v>
      </c>
      <c r="M3512" s="33" t="n">
        <v>46081</v>
      </c>
      <c r="N3512" s="16" t="s">
        <v>11197</v>
      </c>
      <c r="O3512" s="16"/>
      <c r="P3512" s="16" t="str">
        <f aca="false">IF(AND(L3512&lt;=$D$2,M3512&gt;=$C$2),"Sí","")</f>
        <v/>
      </c>
      <c r="Q3512" s="18" t="str">
        <f aca="false">IF(COUNTIF(LOOKAHEAD!$A$5:$A$604,A3512)&gt;0,"En Lookahead",IF(P3512="Sí","INCORPORAR",""))</f>
        <v/>
      </c>
    </row>
    <row r="3513" customFormat="false" ht="15" hidden="false" customHeight="false" outlineLevel="0" collapsed="false">
      <c r="A3513" s="16" t="s">
        <v>11198</v>
      </c>
      <c r="B3513" s="16" t="n">
        <v>3508</v>
      </c>
      <c r="C3513" s="16" t="s">
        <v>11199</v>
      </c>
      <c r="D3513" s="16" t="n">
        <v>7</v>
      </c>
      <c r="E3513" s="37" t="s">
        <v>10570</v>
      </c>
      <c r="F3513" s="16" t="s">
        <v>1285</v>
      </c>
      <c r="G3513" s="16" t="s">
        <v>757</v>
      </c>
      <c r="H3513" s="16" t="s">
        <v>3455</v>
      </c>
      <c r="I3513" s="16" t="s">
        <v>80</v>
      </c>
      <c r="J3513" s="16" t="s">
        <v>10173</v>
      </c>
      <c r="K3513" s="32" t="n">
        <v>1</v>
      </c>
      <c r="L3513" s="33" t="n">
        <v>46082</v>
      </c>
      <c r="M3513" s="33" t="n">
        <v>46082</v>
      </c>
      <c r="N3513" s="16" t="s">
        <v>11200</v>
      </c>
      <c r="O3513" s="16"/>
      <c r="P3513" s="16" t="str">
        <f aca="false">IF(AND(L3513&lt;=$D$2,M3513&gt;=$C$2),"Sí","")</f>
        <v/>
      </c>
      <c r="Q3513" s="18" t="str">
        <f aca="false">IF(COUNTIF(LOOKAHEAD!$A$5:$A$604,A3513)&gt;0,"En Lookahead",IF(P3513="Sí","INCORPORAR",""))</f>
        <v/>
      </c>
    </row>
    <row r="3514" customFormat="false" ht="15" hidden="false" customHeight="false" outlineLevel="0" collapsed="false">
      <c r="A3514" s="16" t="s">
        <v>11201</v>
      </c>
      <c r="B3514" s="16" t="n">
        <v>3509</v>
      </c>
      <c r="C3514" s="16" t="s">
        <v>11202</v>
      </c>
      <c r="D3514" s="16" t="n">
        <v>7</v>
      </c>
      <c r="E3514" s="37" t="s">
        <v>10075</v>
      </c>
      <c r="F3514" s="16" t="s">
        <v>1285</v>
      </c>
      <c r="G3514" s="16" t="s">
        <v>757</v>
      </c>
      <c r="H3514" s="16" t="s">
        <v>3455</v>
      </c>
      <c r="I3514" s="16" t="s">
        <v>80</v>
      </c>
      <c r="J3514" s="16" t="s">
        <v>10173</v>
      </c>
      <c r="K3514" s="32" t="n">
        <v>1</v>
      </c>
      <c r="L3514" s="33" t="n">
        <v>46083</v>
      </c>
      <c r="M3514" s="33" t="n">
        <v>46083</v>
      </c>
      <c r="N3514" s="16" t="s">
        <v>11203</v>
      </c>
      <c r="O3514" s="16"/>
      <c r="P3514" s="16" t="str">
        <f aca="false">IF(AND(L3514&lt;=$D$2,M3514&gt;=$C$2),"Sí","")</f>
        <v/>
      </c>
      <c r="Q3514" s="18" t="str">
        <f aca="false">IF(COUNTIF(LOOKAHEAD!$A$5:$A$604,A3514)&gt;0,"En Lookahead",IF(P3514="Sí","INCORPORAR",""))</f>
        <v/>
      </c>
    </row>
    <row r="3515" customFormat="false" ht="15" hidden="false" customHeight="false" outlineLevel="0" collapsed="false">
      <c r="A3515" s="16" t="s">
        <v>11204</v>
      </c>
      <c r="B3515" s="16" t="n">
        <v>3510</v>
      </c>
      <c r="C3515" s="16" t="s">
        <v>11205</v>
      </c>
      <c r="D3515" s="16" t="n">
        <v>7</v>
      </c>
      <c r="E3515" s="37" t="s">
        <v>10182</v>
      </c>
      <c r="F3515" s="16" t="s">
        <v>1285</v>
      </c>
      <c r="G3515" s="16" t="s">
        <v>757</v>
      </c>
      <c r="H3515" s="16" t="s">
        <v>3455</v>
      </c>
      <c r="I3515" s="16" t="s">
        <v>80</v>
      </c>
      <c r="J3515" s="16" t="s">
        <v>10173</v>
      </c>
      <c r="K3515" s="32" t="n">
        <v>1</v>
      </c>
      <c r="L3515" s="33" t="n">
        <v>46077</v>
      </c>
      <c r="M3515" s="33" t="n">
        <v>46077</v>
      </c>
      <c r="N3515" s="16" t="s">
        <v>11181</v>
      </c>
      <c r="O3515" s="16"/>
      <c r="P3515" s="16" t="str">
        <f aca="false">IF(AND(L3515&lt;=$D$2,M3515&gt;=$C$2),"Sí","")</f>
        <v/>
      </c>
      <c r="Q3515" s="18" t="str">
        <f aca="false">IF(COUNTIF(LOOKAHEAD!$A$5:$A$604,A3515)&gt;0,"En Lookahead",IF(P3515="Sí","INCORPORAR",""))</f>
        <v/>
      </c>
    </row>
    <row r="3516" customFormat="false" ht="15" hidden="false" customHeight="false" outlineLevel="0" collapsed="false">
      <c r="A3516" s="13" t="s">
        <v>11206</v>
      </c>
      <c r="B3516" s="13" t="n">
        <v>3511</v>
      </c>
      <c r="C3516" s="13" t="s">
        <v>11207</v>
      </c>
      <c r="D3516" s="13" t="n">
        <v>6</v>
      </c>
      <c r="E3516" s="36" t="s">
        <v>10079</v>
      </c>
      <c r="F3516" s="13" t="s">
        <v>1298</v>
      </c>
      <c r="G3516" s="13" t="s">
        <v>757</v>
      </c>
      <c r="H3516" s="13" t="s">
        <v>3455</v>
      </c>
      <c r="I3516" s="13" t="s">
        <v>80</v>
      </c>
      <c r="J3516" s="13" t="s">
        <v>10129</v>
      </c>
      <c r="K3516" s="30" t="n">
        <v>7</v>
      </c>
      <c r="L3516" s="31" t="n">
        <v>46084</v>
      </c>
      <c r="M3516" s="31" t="n">
        <v>46090</v>
      </c>
      <c r="N3516" s="13"/>
      <c r="O3516" s="13"/>
      <c r="P3516" s="13"/>
      <c r="Q3516" s="13"/>
    </row>
    <row r="3517" customFormat="false" ht="15" hidden="false" customHeight="false" outlineLevel="0" collapsed="false">
      <c r="A3517" s="16" t="s">
        <v>11208</v>
      </c>
      <c r="B3517" s="16" t="n">
        <v>3512</v>
      </c>
      <c r="C3517" s="16" t="s">
        <v>11209</v>
      </c>
      <c r="D3517" s="16" t="n">
        <v>7</v>
      </c>
      <c r="E3517" s="37" t="s">
        <v>10187</v>
      </c>
      <c r="F3517" s="16" t="s">
        <v>1285</v>
      </c>
      <c r="G3517" s="16" t="s">
        <v>757</v>
      </c>
      <c r="H3517" s="16" t="s">
        <v>3455</v>
      </c>
      <c r="I3517" s="16" t="s">
        <v>80</v>
      </c>
      <c r="J3517" s="16" t="s">
        <v>10079</v>
      </c>
      <c r="K3517" s="32" t="n">
        <v>1</v>
      </c>
      <c r="L3517" s="33" t="n">
        <v>46084</v>
      </c>
      <c r="M3517" s="33" t="n">
        <v>46084</v>
      </c>
      <c r="N3517" s="16" t="s">
        <v>11210</v>
      </c>
      <c r="O3517" s="16"/>
      <c r="P3517" s="16" t="str">
        <f aca="false">IF(AND(L3517&lt;=$D$2,M3517&gt;=$C$2),"Sí","")</f>
        <v/>
      </c>
      <c r="Q3517" s="18" t="str">
        <f aca="false">IF(COUNTIF(LOOKAHEAD!$A$5:$A$604,A3517)&gt;0,"En Lookahead",IF(P3517="Sí","INCORPORAR",""))</f>
        <v/>
      </c>
    </row>
    <row r="3518" customFormat="false" ht="15" hidden="false" customHeight="false" outlineLevel="0" collapsed="false">
      <c r="A3518" s="16" t="s">
        <v>11211</v>
      </c>
      <c r="B3518" s="16" t="n">
        <v>3513</v>
      </c>
      <c r="C3518" s="16" t="s">
        <v>11212</v>
      </c>
      <c r="D3518" s="16" t="n">
        <v>7</v>
      </c>
      <c r="E3518" s="37" t="s">
        <v>10190</v>
      </c>
      <c r="F3518" s="16" t="s">
        <v>1285</v>
      </c>
      <c r="G3518" s="16" t="s">
        <v>757</v>
      </c>
      <c r="H3518" s="16" t="s">
        <v>3455</v>
      </c>
      <c r="I3518" s="16" t="s">
        <v>80</v>
      </c>
      <c r="J3518" s="16" t="s">
        <v>10079</v>
      </c>
      <c r="K3518" s="32" t="n">
        <v>1</v>
      </c>
      <c r="L3518" s="33" t="n">
        <v>46085</v>
      </c>
      <c r="M3518" s="33" t="n">
        <v>46085</v>
      </c>
      <c r="N3518" s="16" t="s">
        <v>11213</v>
      </c>
      <c r="O3518" s="16"/>
      <c r="P3518" s="16" t="str">
        <f aca="false">IF(AND(L3518&lt;=$D$2,M3518&gt;=$C$2),"Sí","")</f>
        <v/>
      </c>
      <c r="Q3518" s="18" t="str">
        <f aca="false">IF(COUNTIF(LOOKAHEAD!$A$5:$A$604,A3518)&gt;0,"En Lookahead",IF(P3518="Sí","INCORPORAR",""))</f>
        <v/>
      </c>
    </row>
    <row r="3519" customFormat="false" ht="15" hidden="false" customHeight="false" outlineLevel="0" collapsed="false">
      <c r="A3519" s="16" t="s">
        <v>11214</v>
      </c>
      <c r="B3519" s="16" t="n">
        <v>3514</v>
      </c>
      <c r="C3519" s="16" t="s">
        <v>11215</v>
      </c>
      <c r="D3519" s="16" t="n">
        <v>7</v>
      </c>
      <c r="E3519" s="37" t="s">
        <v>10595</v>
      </c>
      <c r="F3519" s="16" t="s">
        <v>1285</v>
      </c>
      <c r="G3519" s="16" t="s">
        <v>757</v>
      </c>
      <c r="H3519" s="16" t="s">
        <v>3455</v>
      </c>
      <c r="I3519" s="16" t="s">
        <v>80</v>
      </c>
      <c r="J3519" s="16" t="s">
        <v>10079</v>
      </c>
      <c r="K3519" s="32" t="n">
        <v>1</v>
      </c>
      <c r="L3519" s="33" t="n">
        <v>46086</v>
      </c>
      <c r="M3519" s="33" t="n">
        <v>46086</v>
      </c>
      <c r="N3519" s="16" t="s">
        <v>11216</v>
      </c>
      <c r="O3519" s="16"/>
      <c r="P3519" s="16" t="str">
        <f aca="false">IF(AND(L3519&lt;=$D$2,M3519&gt;=$C$2),"Sí","")</f>
        <v/>
      </c>
      <c r="Q3519" s="18" t="str">
        <f aca="false">IF(COUNTIF(LOOKAHEAD!$A$5:$A$604,A3519)&gt;0,"En Lookahead",IF(P3519="Sí","INCORPORAR",""))</f>
        <v/>
      </c>
    </row>
    <row r="3520" customFormat="false" ht="15" hidden="false" customHeight="false" outlineLevel="0" collapsed="false">
      <c r="A3520" s="16" t="s">
        <v>11217</v>
      </c>
      <c r="B3520" s="16" t="n">
        <v>3515</v>
      </c>
      <c r="C3520" s="16" t="s">
        <v>11218</v>
      </c>
      <c r="D3520" s="16" t="n">
        <v>7</v>
      </c>
      <c r="E3520" s="37" t="s">
        <v>10194</v>
      </c>
      <c r="F3520" s="16" t="s">
        <v>1285</v>
      </c>
      <c r="G3520" s="16" t="s">
        <v>757</v>
      </c>
      <c r="H3520" s="16" t="s">
        <v>3455</v>
      </c>
      <c r="I3520" s="16" t="s">
        <v>80</v>
      </c>
      <c r="J3520" s="16" t="s">
        <v>10079</v>
      </c>
      <c r="K3520" s="32" t="n">
        <v>1</v>
      </c>
      <c r="L3520" s="33" t="n">
        <v>46087</v>
      </c>
      <c r="M3520" s="33" t="n">
        <v>46087</v>
      </c>
      <c r="N3520" s="16" t="s">
        <v>11219</v>
      </c>
      <c r="O3520" s="16"/>
      <c r="P3520" s="16" t="str">
        <f aca="false">IF(AND(L3520&lt;=$D$2,M3520&gt;=$C$2),"Sí","")</f>
        <v/>
      </c>
      <c r="Q3520" s="18" t="str">
        <f aca="false">IF(COUNTIF(LOOKAHEAD!$A$5:$A$604,A3520)&gt;0,"En Lookahead",IF(P3520="Sí","INCORPORAR",""))</f>
        <v/>
      </c>
    </row>
    <row r="3521" customFormat="false" ht="15" hidden="false" customHeight="false" outlineLevel="0" collapsed="false">
      <c r="A3521" s="16" t="s">
        <v>11220</v>
      </c>
      <c r="B3521" s="16" t="n">
        <v>3516</v>
      </c>
      <c r="C3521" s="16" t="s">
        <v>11221</v>
      </c>
      <c r="D3521" s="16" t="n">
        <v>7</v>
      </c>
      <c r="E3521" s="37" t="s">
        <v>10212</v>
      </c>
      <c r="F3521" s="16" t="s">
        <v>1285</v>
      </c>
      <c r="G3521" s="16" t="s">
        <v>757</v>
      </c>
      <c r="H3521" s="16" t="s">
        <v>3455</v>
      </c>
      <c r="I3521" s="16" t="s">
        <v>80</v>
      </c>
      <c r="J3521" s="16" t="s">
        <v>10079</v>
      </c>
      <c r="K3521" s="32" t="n">
        <v>1</v>
      </c>
      <c r="L3521" s="33" t="n">
        <v>46088</v>
      </c>
      <c r="M3521" s="33" t="n">
        <v>46088</v>
      </c>
      <c r="N3521" s="16" t="s">
        <v>11222</v>
      </c>
      <c r="O3521" s="16"/>
      <c r="P3521" s="16" t="str">
        <f aca="false">IF(AND(L3521&lt;=$D$2,M3521&gt;=$C$2),"Sí","")</f>
        <v/>
      </c>
      <c r="Q3521" s="18" t="str">
        <f aca="false">IF(COUNTIF(LOOKAHEAD!$A$5:$A$604,A3521)&gt;0,"En Lookahead",IF(P3521="Sí","INCORPORAR",""))</f>
        <v/>
      </c>
    </row>
    <row r="3522" customFormat="false" ht="15" hidden="false" customHeight="false" outlineLevel="0" collapsed="false">
      <c r="A3522" s="16" t="s">
        <v>11223</v>
      </c>
      <c r="B3522" s="16" t="n">
        <v>3517</v>
      </c>
      <c r="C3522" s="16" t="s">
        <v>11224</v>
      </c>
      <c r="D3522" s="16" t="n">
        <v>7</v>
      </c>
      <c r="E3522" s="37" t="s">
        <v>10216</v>
      </c>
      <c r="F3522" s="16" t="s">
        <v>1285</v>
      </c>
      <c r="G3522" s="16" t="s">
        <v>757</v>
      </c>
      <c r="H3522" s="16" t="s">
        <v>3455</v>
      </c>
      <c r="I3522" s="16" t="s">
        <v>80</v>
      </c>
      <c r="J3522" s="16" t="s">
        <v>10079</v>
      </c>
      <c r="K3522" s="32" t="n">
        <v>1</v>
      </c>
      <c r="L3522" s="33" t="n">
        <v>46089</v>
      </c>
      <c r="M3522" s="33" t="n">
        <v>46089</v>
      </c>
      <c r="N3522" s="16" t="s">
        <v>11225</v>
      </c>
      <c r="O3522" s="16"/>
      <c r="P3522" s="16" t="str">
        <f aca="false">IF(AND(L3522&lt;=$D$2,M3522&gt;=$C$2),"Sí","")</f>
        <v/>
      </c>
      <c r="Q3522" s="18" t="str">
        <f aca="false">IF(COUNTIF(LOOKAHEAD!$A$5:$A$604,A3522)&gt;0,"En Lookahead",IF(P3522="Sí","INCORPORAR",""))</f>
        <v/>
      </c>
    </row>
    <row r="3523" customFormat="false" ht="15" hidden="false" customHeight="false" outlineLevel="0" collapsed="false">
      <c r="A3523" s="16" t="s">
        <v>11226</v>
      </c>
      <c r="B3523" s="16" t="n">
        <v>3518</v>
      </c>
      <c r="C3523" s="16" t="s">
        <v>11227</v>
      </c>
      <c r="D3523" s="16" t="n">
        <v>7</v>
      </c>
      <c r="E3523" s="37" t="s">
        <v>10639</v>
      </c>
      <c r="F3523" s="16" t="s">
        <v>1285</v>
      </c>
      <c r="G3523" s="16" t="s">
        <v>757</v>
      </c>
      <c r="H3523" s="16" t="s">
        <v>3455</v>
      </c>
      <c r="I3523" s="16" t="s">
        <v>80</v>
      </c>
      <c r="J3523" s="16" t="s">
        <v>10079</v>
      </c>
      <c r="K3523" s="32" t="n">
        <v>1</v>
      </c>
      <c r="L3523" s="33" t="n">
        <v>46090</v>
      </c>
      <c r="M3523" s="33" t="n">
        <v>46090</v>
      </c>
      <c r="N3523" s="16" t="s">
        <v>11228</v>
      </c>
      <c r="O3523" s="16"/>
      <c r="P3523" s="16" t="str">
        <f aca="false">IF(AND(L3523&lt;=$D$2,M3523&gt;=$C$2),"Sí","")</f>
        <v/>
      </c>
      <c r="Q3523" s="18" t="str">
        <f aca="false">IF(COUNTIF(LOOKAHEAD!$A$5:$A$604,A3523)&gt;0,"En Lookahead",IF(P3523="Sí","INCORPORAR",""))</f>
        <v/>
      </c>
    </row>
    <row r="3524" customFormat="false" ht="15" hidden="false" customHeight="false" outlineLevel="0" collapsed="false">
      <c r="A3524" s="13" t="s">
        <v>11229</v>
      </c>
      <c r="B3524" s="13" t="n">
        <v>3519</v>
      </c>
      <c r="C3524" s="13" t="s">
        <v>11230</v>
      </c>
      <c r="D3524" s="13" t="n">
        <v>6</v>
      </c>
      <c r="E3524" s="36" t="s">
        <v>10236</v>
      </c>
      <c r="F3524" s="13" t="s">
        <v>1298</v>
      </c>
      <c r="G3524" s="13" t="s">
        <v>757</v>
      </c>
      <c r="H3524" s="13" t="s">
        <v>3455</v>
      </c>
      <c r="I3524" s="13" t="s">
        <v>80</v>
      </c>
      <c r="J3524" s="13" t="s">
        <v>10129</v>
      </c>
      <c r="K3524" s="30" t="n">
        <v>4</v>
      </c>
      <c r="L3524" s="31" t="n">
        <v>46081</v>
      </c>
      <c r="M3524" s="31" t="n">
        <v>46084</v>
      </c>
      <c r="N3524" s="13"/>
      <c r="O3524" s="13"/>
      <c r="P3524" s="13"/>
      <c r="Q3524" s="13"/>
    </row>
    <row r="3525" customFormat="false" ht="15" hidden="false" customHeight="false" outlineLevel="0" collapsed="false">
      <c r="A3525" s="16" t="s">
        <v>11231</v>
      </c>
      <c r="B3525" s="16" t="n">
        <v>3520</v>
      </c>
      <c r="C3525" s="16" t="s">
        <v>11232</v>
      </c>
      <c r="D3525" s="16" t="n">
        <v>7</v>
      </c>
      <c r="E3525" s="37" t="s">
        <v>10239</v>
      </c>
      <c r="F3525" s="16" t="s">
        <v>1285</v>
      </c>
      <c r="G3525" s="16" t="s">
        <v>757</v>
      </c>
      <c r="H3525" s="16" t="s">
        <v>3455</v>
      </c>
      <c r="I3525" s="16" t="s">
        <v>80</v>
      </c>
      <c r="J3525" s="16" t="s">
        <v>10236</v>
      </c>
      <c r="K3525" s="32" t="n">
        <v>1</v>
      </c>
      <c r="L3525" s="33" t="n">
        <v>46081</v>
      </c>
      <c r="M3525" s="33" t="n">
        <v>46081</v>
      </c>
      <c r="N3525" s="16" t="s">
        <v>11197</v>
      </c>
      <c r="O3525" s="16"/>
      <c r="P3525" s="16" t="str">
        <f aca="false">IF(AND(L3525&lt;=$D$2,M3525&gt;=$C$2),"Sí","")</f>
        <v/>
      </c>
      <c r="Q3525" s="18" t="str">
        <f aca="false">IF(COUNTIF(LOOKAHEAD!$A$5:$A$604,A3525)&gt;0,"En Lookahead",IF(P3525="Sí","INCORPORAR",""))</f>
        <v/>
      </c>
    </row>
    <row r="3526" customFormat="false" ht="15" hidden="false" customHeight="false" outlineLevel="0" collapsed="false">
      <c r="A3526" s="16" t="s">
        <v>11233</v>
      </c>
      <c r="B3526" s="16" t="n">
        <v>3521</v>
      </c>
      <c r="C3526" s="16" t="s">
        <v>11234</v>
      </c>
      <c r="D3526" s="16" t="n">
        <v>7</v>
      </c>
      <c r="E3526" s="37" t="s">
        <v>10699</v>
      </c>
      <c r="F3526" s="16" t="s">
        <v>1285</v>
      </c>
      <c r="G3526" s="16" t="s">
        <v>757</v>
      </c>
      <c r="H3526" s="16" t="s">
        <v>3455</v>
      </c>
      <c r="I3526" s="16" t="s">
        <v>80</v>
      </c>
      <c r="J3526" s="16" t="s">
        <v>10236</v>
      </c>
      <c r="K3526" s="32" t="n">
        <v>1</v>
      </c>
      <c r="L3526" s="33" t="n">
        <v>46082</v>
      </c>
      <c r="M3526" s="33" t="n">
        <v>46082</v>
      </c>
      <c r="N3526" s="16" t="s">
        <v>11235</v>
      </c>
      <c r="O3526" s="16"/>
      <c r="P3526" s="16" t="str">
        <f aca="false">IF(AND(L3526&lt;=$D$2,M3526&gt;=$C$2),"Sí","")</f>
        <v/>
      </c>
      <c r="Q3526" s="18" t="str">
        <f aca="false">IF(COUNTIF(LOOKAHEAD!$A$5:$A$604,A3526)&gt;0,"En Lookahead",IF(P3526="Sí","INCORPORAR",""))</f>
        <v/>
      </c>
    </row>
    <row r="3527" customFormat="false" ht="15" hidden="false" customHeight="false" outlineLevel="0" collapsed="false">
      <c r="A3527" s="16" t="s">
        <v>11236</v>
      </c>
      <c r="B3527" s="16" t="n">
        <v>3522</v>
      </c>
      <c r="C3527" s="16" t="s">
        <v>11237</v>
      </c>
      <c r="D3527" s="16" t="n">
        <v>7</v>
      </c>
      <c r="E3527" s="37" t="s">
        <v>10991</v>
      </c>
      <c r="F3527" s="16" t="s">
        <v>1285</v>
      </c>
      <c r="G3527" s="16" t="s">
        <v>757</v>
      </c>
      <c r="H3527" s="16" t="s">
        <v>3455</v>
      </c>
      <c r="I3527" s="16" t="s">
        <v>80</v>
      </c>
      <c r="J3527" s="16" t="s">
        <v>10236</v>
      </c>
      <c r="K3527" s="32" t="n">
        <v>1</v>
      </c>
      <c r="L3527" s="33" t="n">
        <v>46083</v>
      </c>
      <c r="M3527" s="33" t="n">
        <v>46083</v>
      </c>
      <c r="N3527" s="16" t="s">
        <v>11238</v>
      </c>
      <c r="O3527" s="16"/>
      <c r="P3527" s="16" t="str">
        <f aca="false">IF(AND(L3527&lt;=$D$2,M3527&gt;=$C$2),"Sí","")</f>
        <v/>
      </c>
      <c r="Q3527" s="18" t="str">
        <f aca="false">IF(COUNTIF(LOOKAHEAD!$A$5:$A$604,A3527)&gt;0,"En Lookahead",IF(P3527="Sí","INCORPORAR",""))</f>
        <v/>
      </c>
    </row>
    <row r="3528" customFormat="false" ht="15" hidden="false" customHeight="false" outlineLevel="0" collapsed="false">
      <c r="A3528" s="16" t="s">
        <v>11239</v>
      </c>
      <c r="B3528" s="16" t="n">
        <v>3523</v>
      </c>
      <c r="C3528" s="16" t="s">
        <v>11240</v>
      </c>
      <c r="D3528" s="16" t="n">
        <v>7</v>
      </c>
      <c r="E3528" s="37" t="s">
        <v>10247</v>
      </c>
      <c r="F3528" s="16" t="s">
        <v>1285</v>
      </c>
      <c r="G3528" s="16" t="s">
        <v>757</v>
      </c>
      <c r="H3528" s="16" t="s">
        <v>3455</v>
      </c>
      <c r="I3528" s="16" t="s">
        <v>80</v>
      </c>
      <c r="J3528" s="16" t="s">
        <v>10236</v>
      </c>
      <c r="K3528" s="32" t="n">
        <v>1</v>
      </c>
      <c r="L3528" s="33" t="n">
        <v>46084</v>
      </c>
      <c r="M3528" s="33" t="n">
        <v>46084</v>
      </c>
      <c r="N3528" s="16" t="s">
        <v>11241</v>
      </c>
      <c r="O3528" s="16"/>
      <c r="P3528" s="16" t="str">
        <f aca="false">IF(AND(L3528&lt;=$D$2,M3528&gt;=$C$2),"Sí","")</f>
        <v/>
      </c>
      <c r="Q3528" s="18" t="str">
        <f aca="false">IF(COUNTIF(LOOKAHEAD!$A$5:$A$604,A3528)&gt;0,"En Lookahead",IF(P3528="Sí","INCORPORAR",""))</f>
        <v/>
      </c>
    </row>
    <row r="3529" customFormat="false" ht="15" hidden="false" customHeight="false" outlineLevel="0" collapsed="false">
      <c r="A3529" s="13" t="s">
        <v>11242</v>
      </c>
      <c r="B3529" s="13" t="n">
        <v>3524</v>
      </c>
      <c r="C3529" s="13" t="s">
        <v>11243</v>
      </c>
      <c r="D3529" s="13" t="n">
        <v>4</v>
      </c>
      <c r="E3529" s="20" t="s">
        <v>3694</v>
      </c>
      <c r="F3529" s="13" t="s">
        <v>1298</v>
      </c>
      <c r="G3529" s="13" t="s">
        <v>757</v>
      </c>
      <c r="H3529" s="13" t="s">
        <v>3694</v>
      </c>
      <c r="I3529" s="13" t="s">
        <v>86</v>
      </c>
      <c r="J3529" s="13" t="s">
        <v>9945</v>
      </c>
      <c r="K3529" s="30" t="n">
        <v>272</v>
      </c>
      <c r="L3529" s="31" t="n">
        <v>46090</v>
      </c>
      <c r="M3529" s="31" t="n">
        <v>46441</v>
      </c>
      <c r="N3529" s="13"/>
      <c r="O3529" s="13"/>
      <c r="P3529" s="13"/>
      <c r="Q3529" s="13"/>
    </row>
    <row r="3530" customFormat="false" ht="15" hidden="false" customHeight="false" outlineLevel="0" collapsed="false">
      <c r="A3530" s="13" t="s">
        <v>11244</v>
      </c>
      <c r="B3530" s="13" t="n">
        <v>3525</v>
      </c>
      <c r="C3530" s="13" t="s">
        <v>11245</v>
      </c>
      <c r="D3530" s="13" t="n">
        <v>5</v>
      </c>
      <c r="E3530" s="34" t="s">
        <v>9950</v>
      </c>
      <c r="F3530" s="13" t="s">
        <v>1298</v>
      </c>
      <c r="G3530" s="13" t="s">
        <v>757</v>
      </c>
      <c r="H3530" s="13" t="s">
        <v>3694</v>
      </c>
      <c r="I3530" s="13" t="s">
        <v>86</v>
      </c>
      <c r="J3530" s="13" t="s">
        <v>3694</v>
      </c>
      <c r="K3530" s="30" t="n">
        <v>1</v>
      </c>
      <c r="L3530" s="31" t="n">
        <v>46441</v>
      </c>
      <c r="M3530" s="31" t="n">
        <v>46441</v>
      </c>
      <c r="N3530" s="13"/>
      <c r="O3530" s="13"/>
      <c r="P3530" s="13"/>
      <c r="Q3530" s="13"/>
    </row>
    <row r="3531" customFormat="false" ht="15" hidden="false" customHeight="false" outlineLevel="0" collapsed="false">
      <c r="A3531" s="13" t="s">
        <v>11246</v>
      </c>
      <c r="B3531" s="13" t="n">
        <v>3526</v>
      </c>
      <c r="C3531" s="13" t="s">
        <v>11247</v>
      </c>
      <c r="D3531" s="13" t="n">
        <v>6</v>
      </c>
      <c r="E3531" s="36" t="s">
        <v>9953</v>
      </c>
      <c r="F3531" s="13" t="s">
        <v>1298</v>
      </c>
      <c r="G3531" s="13" t="s">
        <v>757</v>
      </c>
      <c r="H3531" s="13" t="s">
        <v>3694</v>
      </c>
      <c r="I3531" s="13" t="s">
        <v>86</v>
      </c>
      <c r="J3531" s="13" t="s">
        <v>9950</v>
      </c>
      <c r="K3531" s="30" t="n">
        <v>1</v>
      </c>
      <c r="L3531" s="31" t="n">
        <v>46441</v>
      </c>
      <c r="M3531" s="31" t="n">
        <v>46441</v>
      </c>
      <c r="N3531" s="13"/>
      <c r="O3531" s="13"/>
      <c r="P3531" s="13"/>
      <c r="Q3531" s="13"/>
    </row>
    <row r="3532" customFormat="false" ht="15" hidden="false" customHeight="false" outlineLevel="0" collapsed="false">
      <c r="A3532" s="16" t="s">
        <v>11248</v>
      </c>
      <c r="B3532" s="16" t="n">
        <v>3527</v>
      </c>
      <c r="C3532" s="16" t="s">
        <v>11249</v>
      </c>
      <c r="D3532" s="16" t="n">
        <v>7</v>
      </c>
      <c r="E3532" s="37" t="s">
        <v>9956</v>
      </c>
      <c r="F3532" s="16" t="s">
        <v>1285</v>
      </c>
      <c r="G3532" s="16" t="s">
        <v>757</v>
      </c>
      <c r="H3532" s="16" t="s">
        <v>3694</v>
      </c>
      <c r="I3532" s="16" t="s">
        <v>86</v>
      </c>
      <c r="J3532" s="16" t="s">
        <v>9953</v>
      </c>
      <c r="K3532" s="32" t="n">
        <v>1</v>
      </c>
      <c r="L3532" s="33" t="n">
        <v>46441</v>
      </c>
      <c r="M3532" s="33" t="n">
        <v>46441</v>
      </c>
      <c r="N3532" s="16" t="s">
        <v>8336</v>
      </c>
      <c r="O3532" s="16"/>
      <c r="P3532" s="16" t="str">
        <f aca="false">IF(AND(L3532&lt;=$D$2,M3532&gt;=$C$2),"Sí","")</f>
        <v/>
      </c>
      <c r="Q3532" s="18" t="str">
        <f aca="false">IF(COUNTIF(LOOKAHEAD!$A$5:$A$604,A3532)&gt;0,"En Lookahead",IF(P3532="Sí","INCORPORAR",""))</f>
        <v/>
      </c>
    </row>
    <row r="3533" customFormat="false" ht="15" hidden="false" customHeight="false" outlineLevel="0" collapsed="false">
      <c r="A3533" s="16" t="s">
        <v>11250</v>
      </c>
      <c r="B3533" s="16" t="n">
        <v>3528</v>
      </c>
      <c r="C3533" s="16" t="s">
        <v>11251</v>
      </c>
      <c r="D3533" s="16" t="n">
        <v>7</v>
      </c>
      <c r="E3533" s="37" t="s">
        <v>9959</v>
      </c>
      <c r="F3533" s="16" t="s">
        <v>1285</v>
      </c>
      <c r="G3533" s="16" t="s">
        <v>757</v>
      </c>
      <c r="H3533" s="16" t="s">
        <v>3694</v>
      </c>
      <c r="I3533" s="16" t="s">
        <v>86</v>
      </c>
      <c r="J3533" s="16" t="s">
        <v>9953</v>
      </c>
      <c r="K3533" s="32" t="n">
        <v>1</v>
      </c>
      <c r="L3533" s="33" t="n">
        <v>46441</v>
      </c>
      <c r="M3533" s="33" t="n">
        <v>46441</v>
      </c>
      <c r="N3533" s="16" t="s">
        <v>11252</v>
      </c>
      <c r="O3533" s="16"/>
      <c r="P3533" s="16" t="str">
        <f aca="false">IF(AND(L3533&lt;=$D$2,M3533&gt;=$C$2),"Sí","")</f>
        <v/>
      </c>
      <c r="Q3533" s="18" t="str">
        <f aca="false">IF(COUNTIF(LOOKAHEAD!$A$5:$A$604,A3533)&gt;0,"En Lookahead",IF(P3533="Sí","INCORPORAR",""))</f>
        <v/>
      </c>
    </row>
    <row r="3534" customFormat="false" ht="15" hidden="false" customHeight="false" outlineLevel="0" collapsed="false">
      <c r="A3534" s="16" t="s">
        <v>11253</v>
      </c>
      <c r="B3534" s="16" t="n">
        <v>3529</v>
      </c>
      <c r="C3534" s="16" t="s">
        <v>11254</v>
      </c>
      <c r="D3534" s="16" t="n">
        <v>7</v>
      </c>
      <c r="E3534" s="37" t="s">
        <v>11255</v>
      </c>
      <c r="F3534" s="16" t="s">
        <v>1285</v>
      </c>
      <c r="G3534" s="16" t="s">
        <v>757</v>
      </c>
      <c r="H3534" s="16" t="s">
        <v>3694</v>
      </c>
      <c r="I3534" s="16" t="s">
        <v>86</v>
      </c>
      <c r="J3534" s="16" t="s">
        <v>9953</v>
      </c>
      <c r="K3534" s="32" t="n">
        <v>1</v>
      </c>
      <c r="L3534" s="33" t="n">
        <v>46441</v>
      </c>
      <c r="M3534" s="33" t="n">
        <v>46441</v>
      </c>
      <c r="N3534" s="16" t="s">
        <v>11256</v>
      </c>
      <c r="O3534" s="16"/>
      <c r="P3534" s="16" t="str">
        <f aca="false">IF(AND(L3534&lt;=$D$2,M3534&gt;=$C$2),"Sí","")</f>
        <v/>
      </c>
      <c r="Q3534" s="18" t="str">
        <f aca="false">IF(COUNTIF(LOOKAHEAD!$A$5:$A$604,A3534)&gt;0,"En Lookahead",IF(P3534="Sí","INCORPORAR",""))</f>
        <v/>
      </c>
    </row>
    <row r="3535" customFormat="false" ht="15" hidden="false" customHeight="false" outlineLevel="0" collapsed="false">
      <c r="A3535" s="16" t="s">
        <v>11257</v>
      </c>
      <c r="B3535" s="16" t="n">
        <v>3530</v>
      </c>
      <c r="C3535" s="16" t="s">
        <v>11258</v>
      </c>
      <c r="D3535" s="16" t="n">
        <v>7</v>
      </c>
      <c r="E3535" s="37" t="s">
        <v>10319</v>
      </c>
      <c r="F3535" s="16" t="s">
        <v>1285</v>
      </c>
      <c r="G3535" s="16" t="s">
        <v>757</v>
      </c>
      <c r="H3535" s="16" t="s">
        <v>3694</v>
      </c>
      <c r="I3535" s="16" t="s">
        <v>86</v>
      </c>
      <c r="J3535" s="16" t="s">
        <v>9953</v>
      </c>
      <c r="K3535" s="32" t="n">
        <v>1</v>
      </c>
      <c r="L3535" s="33" t="n">
        <v>46441</v>
      </c>
      <c r="M3535" s="33" t="n">
        <v>46441</v>
      </c>
      <c r="N3535" s="16" t="s">
        <v>11259</v>
      </c>
      <c r="O3535" s="16"/>
      <c r="P3535" s="16" t="str">
        <f aca="false">IF(AND(L3535&lt;=$D$2,M3535&gt;=$C$2),"Sí","")</f>
        <v/>
      </c>
      <c r="Q3535" s="18" t="str">
        <f aca="false">IF(COUNTIF(LOOKAHEAD!$A$5:$A$604,A3535)&gt;0,"En Lookahead",IF(P3535="Sí","INCORPORAR",""))</f>
        <v/>
      </c>
    </row>
    <row r="3536" customFormat="false" ht="15" hidden="false" customHeight="false" outlineLevel="0" collapsed="false">
      <c r="A3536" s="13" t="s">
        <v>11260</v>
      </c>
      <c r="B3536" s="13" t="n">
        <v>3531</v>
      </c>
      <c r="C3536" s="13" t="s">
        <v>11261</v>
      </c>
      <c r="D3536" s="13" t="n">
        <v>6</v>
      </c>
      <c r="E3536" s="36" t="s">
        <v>9963</v>
      </c>
      <c r="F3536" s="13" t="s">
        <v>1298</v>
      </c>
      <c r="G3536" s="13" t="s">
        <v>757</v>
      </c>
      <c r="H3536" s="13" t="s">
        <v>3694</v>
      </c>
      <c r="I3536" s="13" t="s">
        <v>86</v>
      </c>
      <c r="J3536" s="13" t="s">
        <v>9950</v>
      </c>
      <c r="K3536" s="30" t="n">
        <v>1</v>
      </c>
      <c r="L3536" s="31" t="n">
        <v>46441</v>
      </c>
      <c r="M3536" s="31" t="n">
        <v>46441</v>
      </c>
      <c r="N3536" s="13"/>
      <c r="O3536" s="13"/>
      <c r="P3536" s="13"/>
      <c r="Q3536" s="13"/>
    </row>
    <row r="3537" customFormat="false" ht="15" hidden="false" customHeight="false" outlineLevel="0" collapsed="false">
      <c r="A3537" s="16" t="s">
        <v>11262</v>
      </c>
      <c r="B3537" s="16" t="n">
        <v>3532</v>
      </c>
      <c r="C3537" s="16" t="s">
        <v>11263</v>
      </c>
      <c r="D3537" s="16" t="n">
        <v>7</v>
      </c>
      <c r="E3537" s="37" t="s">
        <v>9966</v>
      </c>
      <c r="F3537" s="16" t="s">
        <v>1285</v>
      </c>
      <c r="G3537" s="16" t="s">
        <v>757</v>
      </c>
      <c r="H3537" s="16" t="s">
        <v>3694</v>
      </c>
      <c r="I3537" s="16" t="s">
        <v>86</v>
      </c>
      <c r="J3537" s="16" t="s">
        <v>9963</v>
      </c>
      <c r="K3537" s="32" t="n">
        <v>1</v>
      </c>
      <c r="L3537" s="33" t="n">
        <v>46441</v>
      </c>
      <c r="M3537" s="33" t="n">
        <v>46441</v>
      </c>
      <c r="N3537" s="16" t="s">
        <v>11264</v>
      </c>
      <c r="O3537" s="16"/>
      <c r="P3537" s="16" t="str">
        <f aca="false">IF(AND(L3537&lt;=$D$2,M3537&gt;=$C$2),"Sí","")</f>
        <v/>
      </c>
      <c r="Q3537" s="18" t="str">
        <f aca="false">IF(COUNTIF(LOOKAHEAD!$A$5:$A$604,A3537)&gt;0,"En Lookahead",IF(P3537="Sí","INCORPORAR",""))</f>
        <v/>
      </c>
    </row>
    <row r="3538" customFormat="false" ht="15" hidden="false" customHeight="false" outlineLevel="0" collapsed="false">
      <c r="A3538" s="16" t="s">
        <v>11265</v>
      </c>
      <c r="B3538" s="16" t="n">
        <v>3533</v>
      </c>
      <c r="C3538" s="16" t="s">
        <v>11266</v>
      </c>
      <c r="D3538" s="16" t="n">
        <v>7</v>
      </c>
      <c r="E3538" s="37" t="s">
        <v>9969</v>
      </c>
      <c r="F3538" s="16" t="s">
        <v>1285</v>
      </c>
      <c r="G3538" s="16" t="s">
        <v>757</v>
      </c>
      <c r="H3538" s="16" t="s">
        <v>3694</v>
      </c>
      <c r="I3538" s="16" t="s">
        <v>86</v>
      </c>
      <c r="J3538" s="16" t="s">
        <v>9963</v>
      </c>
      <c r="K3538" s="32" t="n">
        <v>1</v>
      </c>
      <c r="L3538" s="33" t="n">
        <v>46441</v>
      </c>
      <c r="M3538" s="33" t="n">
        <v>46441</v>
      </c>
      <c r="N3538" s="16" t="s">
        <v>11267</v>
      </c>
      <c r="O3538" s="16"/>
      <c r="P3538" s="16" t="str">
        <f aca="false">IF(AND(L3538&lt;=$D$2,M3538&gt;=$C$2),"Sí","")</f>
        <v/>
      </c>
      <c r="Q3538" s="18" t="str">
        <f aca="false">IF(COUNTIF(LOOKAHEAD!$A$5:$A$604,A3538)&gt;0,"En Lookahead",IF(P3538="Sí","INCORPORAR",""))</f>
        <v/>
      </c>
    </row>
    <row r="3539" customFormat="false" ht="15" hidden="false" customHeight="false" outlineLevel="0" collapsed="false">
      <c r="A3539" s="16" t="s">
        <v>11268</v>
      </c>
      <c r="B3539" s="16" t="n">
        <v>3534</v>
      </c>
      <c r="C3539" s="16" t="s">
        <v>11269</v>
      </c>
      <c r="D3539" s="16" t="n">
        <v>7</v>
      </c>
      <c r="E3539" s="37" t="s">
        <v>9972</v>
      </c>
      <c r="F3539" s="16" t="s">
        <v>1285</v>
      </c>
      <c r="G3539" s="16" t="s">
        <v>757</v>
      </c>
      <c r="H3539" s="16" t="s">
        <v>3694</v>
      </c>
      <c r="I3539" s="16" t="s">
        <v>86</v>
      </c>
      <c r="J3539" s="16" t="s">
        <v>9963</v>
      </c>
      <c r="K3539" s="32" t="n">
        <v>1</v>
      </c>
      <c r="L3539" s="33" t="n">
        <v>46441</v>
      </c>
      <c r="M3539" s="33" t="n">
        <v>46441</v>
      </c>
      <c r="N3539" s="16" t="s">
        <v>11270</v>
      </c>
      <c r="O3539" s="16"/>
      <c r="P3539" s="16" t="str">
        <f aca="false">IF(AND(L3539&lt;=$D$2,M3539&gt;=$C$2),"Sí","")</f>
        <v/>
      </c>
      <c r="Q3539" s="18" t="str">
        <f aca="false">IF(COUNTIF(LOOKAHEAD!$A$5:$A$604,A3539)&gt;0,"En Lookahead",IF(P3539="Sí","INCORPORAR",""))</f>
        <v/>
      </c>
    </row>
    <row r="3540" customFormat="false" ht="15" hidden="false" customHeight="false" outlineLevel="0" collapsed="false">
      <c r="A3540" s="13" t="s">
        <v>11271</v>
      </c>
      <c r="B3540" s="13" t="n">
        <v>3535</v>
      </c>
      <c r="C3540" s="13" t="s">
        <v>11272</v>
      </c>
      <c r="D3540" s="13" t="n">
        <v>5</v>
      </c>
      <c r="E3540" s="34" t="s">
        <v>9975</v>
      </c>
      <c r="F3540" s="13" t="s">
        <v>1298</v>
      </c>
      <c r="G3540" s="13" t="s">
        <v>757</v>
      </c>
      <c r="H3540" s="13" t="s">
        <v>3694</v>
      </c>
      <c r="I3540" s="13" t="s">
        <v>86</v>
      </c>
      <c r="J3540" s="13" t="s">
        <v>3694</v>
      </c>
      <c r="K3540" s="30" t="n">
        <v>23</v>
      </c>
      <c r="L3540" s="31" t="n">
        <v>46090</v>
      </c>
      <c r="M3540" s="31" t="n">
        <v>46112</v>
      </c>
      <c r="N3540" s="13"/>
      <c r="O3540" s="13"/>
      <c r="P3540" s="13"/>
      <c r="Q3540" s="13"/>
    </row>
    <row r="3541" customFormat="false" ht="15" hidden="false" customHeight="false" outlineLevel="0" collapsed="false">
      <c r="A3541" s="13" t="s">
        <v>11273</v>
      </c>
      <c r="B3541" s="13" t="n">
        <v>3536</v>
      </c>
      <c r="C3541" s="13" t="s">
        <v>11274</v>
      </c>
      <c r="D3541" s="13" t="n">
        <v>6</v>
      </c>
      <c r="E3541" s="36" t="s">
        <v>10035</v>
      </c>
      <c r="F3541" s="13" t="s">
        <v>1298</v>
      </c>
      <c r="G3541" s="13" t="s">
        <v>757</v>
      </c>
      <c r="H3541" s="13" t="s">
        <v>3694</v>
      </c>
      <c r="I3541" s="13" t="s">
        <v>86</v>
      </c>
      <c r="J3541" s="13" t="s">
        <v>9975</v>
      </c>
      <c r="K3541" s="30" t="n">
        <v>1</v>
      </c>
      <c r="L3541" s="31" t="n">
        <v>46094</v>
      </c>
      <c r="M3541" s="31" t="n">
        <v>46094</v>
      </c>
      <c r="N3541" s="13"/>
      <c r="O3541" s="13"/>
      <c r="P3541" s="13"/>
      <c r="Q3541" s="13"/>
    </row>
    <row r="3542" customFormat="false" ht="15" hidden="false" customHeight="false" outlineLevel="0" collapsed="false">
      <c r="A3542" s="16" t="s">
        <v>11275</v>
      </c>
      <c r="B3542" s="16" t="n">
        <v>3537</v>
      </c>
      <c r="C3542" s="16" t="s">
        <v>11276</v>
      </c>
      <c r="D3542" s="16" t="n">
        <v>7</v>
      </c>
      <c r="E3542" s="37" t="s">
        <v>10038</v>
      </c>
      <c r="F3542" s="16" t="s">
        <v>1285</v>
      </c>
      <c r="G3542" s="16" t="s">
        <v>757</v>
      </c>
      <c r="H3542" s="16" t="s">
        <v>3694</v>
      </c>
      <c r="I3542" s="16" t="s">
        <v>86</v>
      </c>
      <c r="J3542" s="16" t="s">
        <v>10035</v>
      </c>
      <c r="K3542" s="32" t="n">
        <v>1</v>
      </c>
      <c r="L3542" s="33" t="n">
        <v>46094</v>
      </c>
      <c r="M3542" s="33" t="n">
        <v>46094</v>
      </c>
      <c r="N3542" s="16" t="s">
        <v>3705</v>
      </c>
      <c r="O3542" s="16"/>
      <c r="P3542" s="16" t="str">
        <f aca="false">IF(AND(L3542&lt;=$D$2,M3542&gt;=$C$2),"Sí","")</f>
        <v/>
      </c>
      <c r="Q3542" s="18" t="str">
        <f aca="false">IF(COUNTIF(LOOKAHEAD!$A$5:$A$604,A3542)&gt;0,"En Lookahead",IF(P3542="Sí","INCORPORAR",""))</f>
        <v/>
      </c>
    </row>
    <row r="3543" customFormat="false" ht="15" hidden="false" customHeight="false" outlineLevel="0" collapsed="false">
      <c r="A3543" s="13" t="s">
        <v>11277</v>
      </c>
      <c r="B3543" s="13" t="n">
        <v>3538</v>
      </c>
      <c r="C3543" s="13" t="s">
        <v>11278</v>
      </c>
      <c r="D3543" s="13" t="n">
        <v>6</v>
      </c>
      <c r="E3543" s="36" t="s">
        <v>1534</v>
      </c>
      <c r="F3543" s="13" t="s">
        <v>1298</v>
      </c>
      <c r="G3543" s="13" t="s">
        <v>757</v>
      </c>
      <c r="H3543" s="13" t="s">
        <v>3694</v>
      </c>
      <c r="I3543" s="13" t="s">
        <v>86</v>
      </c>
      <c r="J3543" s="13" t="s">
        <v>9975</v>
      </c>
      <c r="K3543" s="30" t="n">
        <v>10</v>
      </c>
      <c r="L3543" s="31" t="n">
        <v>46090</v>
      </c>
      <c r="M3543" s="31" t="n">
        <v>46099</v>
      </c>
      <c r="N3543" s="13"/>
      <c r="O3543" s="13"/>
      <c r="P3543" s="13"/>
      <c r="Q3543" s="13"/>
    </row>
    <row r="3544" customFormat="false" ht="15" hidden="false" customHeight="false" outlineLevel="0" collapsed="false">
      <c r="A3544" s="16" t="s">
        <v>11279</v>
      </c>
      <c r="B3544" s="16" t="n">
        <v>3539</v>
      </c>
      <c r="C3544" s="16" t="s">
        <v>11280</v>
      </c>
      <c r="D3544" s="16" t="n">
        <v>7</v>
      </c>
      <c r="E3544" s="37" t="s">
        <v>10043</v>
      </c>
      <c r="F3544" s="16" t="s">
        <v>1285</v>
      </c>
      <c r="G3544" s="16" t="s">
        <v>757</v>
      </c>
      <c r="H3544" s="16" t="s">
        <v>3694</v>
      </c>
      <c r="I3544" s="16" t="s">
        <v>86</v>
      </c>
      <c r="J3544" s="16" t="s">
        <v>1534</v>
      </c>
      <c r="K3544" s="32" t="n">
        <v>2</v>
      </c>
      <c r="L3544" s="33" t="n">
        <v>46095</v>
      </c>
      <c r="M3544" s="33" t="n">
        <v>46096</v>
      </c>
      <c r="N3544" s="16" t="s">
        <v>11281</v>
      </c>
      <c r="O3544" s="16"/>
      <c r="P3544" s="16" t="str">
        <f aca="false">IF(AND(L3544&lt;=$D$2,M3544&gt;=$C$2),"Sí","")</f>
        <v/>
      </c>
      <c r="Q3544" s="18" t="str">
        <f aca="false">IF(COUNTIF(LOOKAHEAD!$A$5:$A$604,A3544)&gt;0,"En Lookahead",IF(P3544="Sí","INCORPORAR",""))</f>
        <v/>
      </c>
    </row>
    <row r="3545" customFormat="false" ht="15" hidden="false" customHeight="false" outlineLevel="0" collapsed="false">
      <c r="A3545" s="16" t="s">
        <v>11282</v>
      </c>
      <c r="B3545" s="16" t="n">
        <v>3540</v>
      </c>
      <c r="C3545" s="16" t="s">
        <v>11283</v>
      </c>
      <c r="D3545" s="16" t="n">
        <v>7</v>
      </c>
      <c r="E3545" s="37" t="s">
        <v>10047</v>
      </c>
      <c r="F3545" s="16" t="s">
        <v>1285</v>
      </c>
      <c r="G3545" s="16" t="s">
        <v>757</v>
      </c>
      <c r="H3545" s="16" t="s">
        <v>3694</v>
      </c>
      <c r="I3545" s="16" t="s">
        <v>86</v>
      </c>
      <c r="J3545" s="16" t="s">
        <v>1534</v>
      </c>
      <c r="K3545" s="32" t="n">
        <v>1</v>
      </c>
      <c r="L3545" s="33" t="n">
        <v>46097</v>
      </c>
      <c r="M3545" s="33" t="n">
        <v>46097</v>
      </c>
      <c r="N3545" s="16" t="s">
        <v>11284</v>
      </c>
      <c r="O3545" s="16"/>
      <c r="P3545" s="16" t="str">
        <f aca="false">IF(AND(L3545&lt;=$D$2,M3545&gt;=$C$2),"Sí","")</f>
        <v/>
      </c>
      <c r="Q3545" s="18" t="str">
        <f aca="false">IF(COUNTIF(LOOKAHEAD!$A$5:$A$604,A3545)&gt;0,"En Lookahead",IF(P3545="Sí","INCORPORAR",""))</f>
        <v/>
      </c>
    </row>
    <row r="3546" customFormat="false" ht="15" hidden="false" customHeight="false" outlineLevel="0" collapsed="false">
      <c r="A3546" s="16" t="s">
        <v>11285</v>
      </c>
      <c r="B3546" s="16" t="n">
        <v>3541</v>
      </c>
      <c r="C3546" s="16" t="s">
        <v>11286</v>
      </c>
      <c r="D3546" s="16" t="n">
        <v>7</v>
      </c>
      <c r="E3546" s="37" t="s">
        <v>10051</v>
      </c>
      <c r="F3546" s="16" t="s">
        <v>1285</v>
      </c>
      <c r="G3546" s="16" t="s">
        <v>757</v>
      </c>
      <c r="H3546" s="16" t="s">
        <v>3694</v>
      </c>
      <c r="I3546" s="16" t="s">
        <v>86</v>
      </c>
      <c r="J3546" s="16" t="s">
        <v>1534</v>
      </c>
      <c r="K3546" s="32" t="n">
        <v>1</v>
      </c>
      <c r="L3546" s="33" t="n">
        <v>46098</v>
      </c>
      <c r="M3546" s="33" t="n">
        <v>46098</v>
      </c>
      <c r="N3546" s="16" t="s">
        <v>11287</v>
      </c>
      <c r="O3546" s="16"/>
      <c r="P3546" s="16" t="str">
        <f aca="false">IF(AND(L3546&lt;=$D$2,M3546&gt;=$C$2),"Sí","")</f>
        <v/>
      </c>
      <c r="Q3546" s="18" t="str">
        <f aca="false">IF(COUNTIF(LOOKAHEAD!$A$5:$A$604,A3546)&gt;0,"En Lookahead",IF(P3546="Sí","INCORPORAR",""))</f>
        <v/>
      </c>
    </row>
    <row r="3547" customFormat="false" ht="15" hidden="false" customHeight="false" outlineLevel="0" collapsed="false">
      <c r="A3547" s="16" t="s">
        <v>11288</v>
      </c>
      <c r="B3547" s="16" t="n">
        <v>3542</v>
      </c>
      <c r="C3547" s="16" t="s">
        <v>11289</v>
      </c>
      <c r="D3547" s="16" t="n">
        <v>7</v>
      </c>
      <c r="E3547" s="37" t="s">
        <v>10055</v>
      </c>
      <c r="F3547" s="16" t="s">
        <v>1285</v>
      </c>
      <c r="G3547" s="16" t="s">
        <v>757</v>
      </c>
      <c r="H3547" s="16" t="s">
        <v>3694</v>
      </c>
      <c r="I3547" s="16" t="s">
        <v>86</v>
      </c>
      <c r="J3547" s="16" t="s">
        <v>1534</v>
      </c>
      <c r="K3547" s="32" t="n">
        <v>1</v>
      </c>
      <c r="L3547" s="33" t="n">
        <v>46099</v>
      </c>
      <c r="M3547" s="33" t="n">
        <v>46099</v>
      </c>
      <c r="N3547" s="16" t="s">
        <v>11290</v>
      </c>
      <c r="O3547" s="16"/>
      <c r="P3547" s="16" t="str">
        <f aca="false">IF(AND(L3547&lt;=$D$2,M3547&gt;=$C$2),"Sí","")</f>
        <v/>
      </c>
      <c r="Q3547" s="18" t="str">
        <f aca="false">IF(COUNTIF(LOOKAHEAD!$A$5:$A$604,A3547)&gt;0,"En Lookahead",IF(P3547="Sí","INCORPORAR",""))</f>
        <v/>
      </c>
    </row>
    <row r="3548" customFormat="false" ht="15" hidden="false" customHeight="false" outlineLevel="0" collapsed="false">
      <c r="A3548" s="16" t="s">
        <v>11291</v>
      </c>
      <c r="B3548" s="16" t="n">
        <v>3543</v>
      </c>
      <c r="C3548" s="16" t="s">
        <v>11292</v>
      </c>
      <c r="D3548" s="16" t="n">
        <v>7</v>
      </c>
      <c r="E3548" s="37" t="s">
        <v>10059</v>
      </c>
      <c r="F3548" s="16" t="s">
        <v>1285</v>
      </c>
      <c r="G3548" s="16" t="s">
        <v>757</v>
      </c>
      <c r="H3548" s="16" t="s">
        <v>3694</v>
      </c>
      <c r="I3548" s="16" t="s">
        <v>86</v>
      </c>
      <c r="J3548" s="16" t="s">
        <v>1534</v>
      </c>
      <c r="K3548" s="32" t="n">
        <v>1</v>
      </c>
      <c r="L3548" s="33" t="n">
        <v>46090</v>
      </c>
      <c r="M3548" s="33" t="n">
        <v>46090</v>
      </c>
      <c r="N3548" s="16" t="s">
        <v>11228</v>
      </c>
      <c r="O3548" s="16"/>
      <c r="P3548" s="16" t="str">
        <f aca="false">IF(AND(L3548&lt;=$D$2,M3548&gt;=$C$2),"Sí","")</f>
        <v/>
      </c>
      <c r="Q3548" s="18" t="str">
        <f aca="false">IF(COUNTIF(LOOKAHEAD!$A$5:$A$604,A3548)&gt;0,"En Lookahead",IF(P3548="Sí","INCORPORAR",""))</f>
        <v/>
      </c>
    </row>
    <row r="3549" customFormat="false" ht="15" hidden="false" customHeight="false" outlineLevel="0" collapsed="false">
      <c r="A3549" s="16" t="s">
        <v>11293</v>
      </c>
      <c r="B3549" s="16" t="n">
        <v>3544</v>
      </c>
      <c r="C3549" s="16" t="s">
        <v>11294</v>
      </c>
      <c r="D3549" s="16" t="n">
        <v>7</v>
      </c>
      <c r="E3549" s="37" t="s">
        <v>10063</v>
      </c>
      <c r="F3549" s="16" t="s">
        <v>1285</v>
      </c>
      <c r="G3549" s="16" t="s">
        <v>757</v>
      </c>
      <c r="H3549" s="16" t="s">
        <v>3694</v>
      </c>
      <c r="I3549" s="16" t="s">
        <v>86</v>
      </c>
      <c r="J3549" s="16" t="s">
        <v>1534</v>
      </c>
      <c r="K3549" s="32" t="n">
        <v>1</v>
      </c>
      <c r="L3549" s="33" t="n">
        <v>46091</v>
      </c>
      <c r="M3549" s="33" t="n">
        <v>46091</v>
      </c>
      <c r="N3549" s="16" t="s">
        <v>11295</v>
      </c>
      <c r="O3549" s="16"/>
      <c r="P3549" s="16" t="str">
        <f aca="false">IF(AND(L3549&lt;=$D$2,M3549&gt;=$C$2),"Sí","")</f>
        <v/>
      </c>
      <c r="Q3549" s="18" t="str">
        <f aca="false">IF(COUNTIF(LOOKAHEAD!$A$5:$A$604,A3549)&gt;0,"En Lookahead",IF(P3549="Sí","INCORPORAR",""))</f>
        <v/>
      </c>
    </row>
    <row r="3550" customFormat="false" ht="15" hidden="false" customHeight="false" outlineLevel="0" collapsed="false">
      <c r="A3550" s="16" t="s">
        <v>11296</v>
      </c>
      <c r="B3550" s="16" t="n">
        <v>3545</v>
      </c>
      <c r="C3550" s="16" t="s">
        <v>11297</v>
      </c>
      <c r="D3550" s="16" t="n">
        <v>7</v>
      </c>
      <c r="E3550" s="37" t="s">
        <v>1557</v>
      </c>
      <c r="F3550" s="16" t="s">
        <v>1285</v>
      </c>
      <c r="G3550" s="16" t="s">
        <v>757</v>
      </c>
      <c r="H3550" s="16" t="s">
        <v>3694</v>
      </c>
      <c r="I3550" s="16" t="s">
        <v>86</v>
      </c>
      <c r="J3550" s="16" t="s">
        <v>1534</v>
      </c>
      <c r="K3550" s="32" t="n">
        <v>1</v>
      </c>
      <c r="L3550" s="33" t="n">
        <v>46090</v>
      </c>
      <c r="M3550" s="33" t="n">
        <v>46090</v>
      </c>
      <c r="N3550" s="16" t="s">
        <v>11298</v>
      </c>
      <c r="O3550" s="16"/>
      <c r="P3550" s="16" t="str">
        <f aca="false">IF(AND(L3550&lt;=$D$2,M3550&gt;=$C$2),"Sí","")</f>
        <v/>
      </c>
      <c r="Q3550" s="18" t="str">
        <f aca="false">IF(COUNTIF(LOOKAHEAD!$A$5:$A$604,A3550)&gt;0,"En Lookahead",IF(P3550="Sí","INCORPORAR",""))</f>
        <v/>
      </c>
    </row>
    <row r="3551" customFormat="false" ht="15" hidden="false" customHeight="false" outlineLevel="0" collapsed="false">
      <c r="A3551" s="16" t="s">
        <v>11299</v>
      </c>
      <c r="B3551" s="16" t="n">
        <v>3546</v>
      </c>
      <c r="C3551" s="16" t="s">
        <v>11300</v>
      </c>
      <c r="D3551" s="16" t="n">
        <v>7</v>
      </c>
      <c r="E3551" s="37" t="s">
        <v>10069</v>
      </c>
      <c r="F3551" s="16" t="s">
        <v>1285</v>
      </c>
      <c r="G3551" s="16" t="s">
        <v>757</v>
      </c>
      <c r="H3551" s="16" t="s">
        <v>3694</v>
      </c>
      <c r="I3551" s="16" t="s">
        <v>86</v>
      </c>
      <c r="J3551" s="16" t="s">
        <v>1534</v>
      </c>
      <c r="K3551" s="32" t="n">
        <v>1</v>
      </c>
      <c r="L3551" s="33" t="n">
        <v>46092</v>
      </c>
      <c r="M3551" s="33" t="n">
        <v>46092</v>
      </c>
      <c r="N3551" s="16" t="s">
        <v>11301</v>
      </c>
      <c r="O3551" s="16"/>
      <c r="P3551" s="16" t="str">
        <f aca="false">IF(AND(L3551&lt;=$D$2,M3551&gt;=$C$2),"Sí","")</f>
        <v/>
      </c>
      <c r="Q3551" s="18" t="str">
        <f aca="false">IF(COUNTIF(LOOKAHEAD!$A$5:$A$604,A3551)&gt;0,"En Lookahead",IF(P3551="Sí","INCORPORAR",""))</f>
        <v/>
      </c>
    </row>
    <row r="3552" customFormat="false" ht="15" hidden="false" customHeight="false" outlineLevel="0" collapsed="false">
      <c r="A3552" s="13" t="s">
        <v>11302</v>
      </c>
      <c r="B3552" s="13" t="n">
        <v>3547</v>
      </c>
      <c r="C3552" s="13" t="s">
        <v>11303</v>
      </c>
      <c r="D3552" s="13" t="n">
        <v>6</v>
      </c>
      <c r="E3552" s="36" t="s">
        <v>9978</v>
      </c>
      <c r="F3552" s="13" t="s">
        <v>1298</v>
      </c>
      <c r="G3552" s="13" t="s">
        <v>757</v>
      </c>
      <c r="H3552" s="13" t="s">
        <v>3694</v>
      </c>
      <c r="I3552" s="13" t="s">
        <v>86</v>
      </c>
      <c r="J3552" s="13" t="s">
        <v>9975</v>
      </c>
      <c r="K3552" s="30" t="n">
        <v>2</v>
      </c>
      <c r="L3552" s="31" t="n">
        <v>46093</v>
      </c>
      <c r="M3552" s="31" t="n">
        <v>46094</v>
      </c>
      <c r="N3552" s="13"/>
      <c r="O3552" s="13"/>
      <c r="P3552" s="13"/>
      <c r="Q3552" s="13"/>
    </row>
    <row r="3553" customFormat="false" ht="15" hidden="false" customHeight="false" outlineLevel="0" collapsed="false">
      <c r="A3553" s="16" t="s">
        <v>11304</v>
      </c>
      <c r="B3553" s="16" t="n">
        <v>3548</v>
      </c>
      <c r="C3553" s="16" t="s">
        <v>11305</v>
      </c>
      <c r="D3553" s="16" t="n">
        <v>7</v>
      </c>
      <c r="E3553" s="37" t="s">
        <v>9981</v>
      </c>
      <c r="F3553" s="16" t="s">
        <v>1285</v>
      </c>
      <c r="G3553" s="16" t="s">
        <v>757</v>
      </c>
      <c r="H3553" s="16" t="s">
        <v>3694</v>
      </c>
      <c r="I3553" s="16" t="s">
        <v>86</v>
      </c>
      <c r="J3553" s="16" t="s">
        <v>9978</v>
      </c>
      <c r="K3553" s="32" t="n">
        <v>2</v>
      </c>
      <c r="L3553" s="33" t="n">
        <v>46093</v>
      </c>
      <c r="M3553" s="33" t="n">
        <v>46094</v>
      </c>
      <c r="N3553" s="16" t="s">
        <v>11306</v>
      </c>
      <c r="O3553" s="16"/>
      <c r="P3553" s="16" t="str">
        <f aca="false">IF(AND(L3553&lt;=$D$2,M3553&gt;=$C$2),"Sí","")</f>
        <v/>
      </c>
      <c r="Q3553" s="18" t="str">
        <f aca="false">IF(COUNTIF(LOOKAHEAD!$A$5:$A$604,A3553)&gt;0,"En Lookahead",IF(P3553="Sí","INCORPORAR",""))</f>
        <v/>
      </c>
    </row>
    <row r="3554" customFormat="false" ht="15" hidden="false" customHeight="false" outlineLevel="0" collapsed="false">
      <c r="A3554" s="13" t="s">
        <v>11307</v>
      </c>
      <c r="B3554" s="13" t="n">
        <v>3549</v>
      </c>
      <c r="C3554" s="13" t="s">
        <v>11308</v>
      </c>
      <c r="D3554" s="13" t="n">
        <v>6</v>
      </c>
      <c r="E3554" s="36" t="s">
        <v>9984</v>
      </c>
      <c r="F3554" s="13" t="s">
        <v>1298</v>
      </c>
      <c r="G3554" s="13" t="s">
        <v>757</v>
      </c>
      <c r="H3554" s="13" t="s">
        <v>3694</v>
      </c>
      <c r="I3554" s="13" t="s">
        <v>86</v>
      </c>
      <c r="J3554" s="13" t="s">
        <v>9975</v>
      </c>
      <c r="K3554" s="30" t="n">
        <v>10</v>
      </c>
      <c r="L3554" s="31" t="n">
        <v>46092</v>
      </c>
      <c r="M3554" s="31" t="n">
        <v>46101</v>
      </c>
      <c r="N3554" s="13"/>
      <c r="O3554" s="13"/>
      <c r="P3554" s="13"/>
      <c r="Q3554" s="13"/>
    </row>
    <row r="3555" customFormat="false" ht="15" hidden="false" customHeight="false" outlineLevel="0" collapsed="false">
      <c r="A3555" s="16" t="s">
        <v>11309</v>
      </c>
      <c r="B3555" s="16" t="n">
        <v>3550</v>
      </c>
      <c r="C3555" s="16" t="s">
        <v>11310</v>
      </c>
      <c r="D3555" s="16" t="n">
        <v>7</v>
      </c>
      <c r="E3555" s="37" t="s">
        <v>11311</v>
      </c>
      <c r="F3555" s="16" t="s">
        <v>1285</v>
      </c>
      <c r="G3555" s="16" t="s">
        <v>757</v>
      </c>
      <c r="H3555" s="16" t="s">
        <v>3694</v>
      </c>
      <c r="I3555" s="16" t="s">
        <v>86</v>
      </c>
      <c r="J3555" s="16" t="s">
        <v>9984</v>
      </c>
      <c r="K3555" s="32" t="n">
        <v>1</v>
      </c>
      <c r="L3555" s="33" t="n">
        <v>46099</v>
      </c>
      <c r="M3555" s="33" t="n">
        <v>46099</v>
      </c>
      <c r="N3555" s="16" t="s">
        <v>11290</v>
      </c>
      <c r="O3555" s="16"/>
      <c r="P3555" s="16" t="str">
        <f aca="false">IF(AND(L3555&lt;=$D$2,M3555&gt;=$C$2),"Sí","")</f>
        <v/>
      </c>
      <c r="Q3555" s="18" t="str">
        <f aca="false">IF(COUNTIF(LOOKAHEAD!$A$5:$A$604,A3555)&gt;0,"En Lookahead",IF(P3555="Sí","INCORPORAR",""))</f>
        <v/>
      </c>
    </row>
    <row r="3556" customFormat="false" ht="15" hidden="false" customHeight="false" outlineLevel="0" collapsed="false">
      <c r="A3556" s="16" t="s">
        <v>11312</v>
      </c>
      <c r="B3556" s="16" t="n">
        <v>3551</v>
      </c>
      <c r="C3556" s="16" t="s">
        <v>11313</v>
      </c>
      <c r="D3556" s="16" t="n">
        <v>7</v>
      </c>
      <c r="E3556" s="37" t="s">
        <v>9987</v>
      </c>
      <c r="F3556" s="16" t="s">
        <v>1285</v>
      </c>
      <c r="G3556" s="16" t="s">
        <v>757</v>
      </c>
      <c r="H3556" s="16" t="s">
        <v>3694</v>
      </c>
      <c r="I3556" s="16" t="s">
        <v>86</v>
      </c>
      <c r="J3556" s="16" t="s">
        <v>9984</v>
      </c>
      <c r="K3556" s="32" t="n">
        <v>1</v>
      </c>
      <c r="L3556" s="33" t="n">
        <v>46100</v>
      </c>
      <c r="M3556" s="33" t="n">
        <v>46100</v>
      </c>
      <c r="N3556" s="16" t="s">
        <v>11314</v>
      </c>
      <c r="O3556" s="16"/>
      <c r="P3556" s="16" t="str">
        <f aca="false">IF(AND(L3556&lt;=$D$2,M3556&gt;=$C$2),"Sí","")</f>
        <v/>
      </c>
      <c r="Q3556" s="18" t="str">
        <f aca="false">IF(COUNTIF(LOOKAHEAD!$A$5:$A$604,A3556)&gt;0,"En Lookahead",IF(P3556="Sí","INCORPORAR",""))</f>
        <v/>
      </c>
    </row>
    <row r="3557" customFormat="false" ht="15" hidden="false" customHeight="false" outlineLevel="0" collapsed="false">
      <c r="A3557" s="16" t="s">
        <v>11315</v>
      </c>
      <c r="B3557" s="16" t="n">
        <v>3552</v>
      </c>
      <c r="C3557" s="16" t="s">
        <v>11316</v>
      </c>
      <c r="D3557" s="16" t="n">
        <v>7</v>
      </c>
      <c r="E3557" s="37" t="s">
        <v>9991</v>
      </c>
      <c r="F3557" s="16" t="s">
        <v>1285</v>
      </c>
      <c r="G3557" s="16" t="s">
        <v>757</v>
      </c>
      <c r="H3557" s="16" t="s">
        <v>3694</v>
      </c>
      <c r="I3557" s="16" t="s">
        <v>86</v>
      </c>
      <c r="J3557" s="16" t="s">
        <v>9984</v>
      </c>
      <c r="K3557" s="32" t="n">
        <v>1</v>
      </c>
      <c r="L3557" s="33" t="n">
        <v>46101</v>
      </c>
      <c r="M3557" s="33" t="n">
        <v>46101</v>
      </c>
      <c r="N3557" s="16" t="s">
        <v>11317</v>
      </c>
      <c r="O3557" s="16"/>
      <c r="P3557" s="16" t="str">
        <f aca="false">IF(AND(L3557&lt;=$D$2,M3557&gt;=$C$2),"Sí","")</f>
        <v/>
      </c>
      <c r="Q3557" s="18" t="str">
        <f aca="false">IF(COUNTIF(LOOKAHEAD!$A$5:$A$604,A3557)&gt;0,"En Lookahead",IF(P3557="Sí","INCORPORAR",""))</f>
        <v/>
      </c>
    </row>
    <row r="3558" customFormat="false" ht="15" hidden="false" customHeight="false" outlineLevel="0" collapsed="false">
      <c r="A3558" s="16" t="s">
        <v>11318</v>
      </c>
      <c r="B3558" s="16" t="n">
        <v>3553</v>
      </c>
      <c r="C3558" s="16" t="s">
        <v>11319</v>
      </c>
      <c r="D3558" s="16" t="n">
        <v>7</v>
      </c>
      <c r="E3558" s="37" t="s">
        <v>9995</v>
      </c>
      <c r="F3558" s="16" t="s">
        <v>1285</v>
      </c>
      <c r="G3558" s="16" t="s">
        <v>757</v>
      </c>
      <c r="H3558" s="16" t="s">
        <v>3694</v>
      </c>
      <c r="I3558" s="16" t="s">
        <v>86</v>
      </c>
      <c r="J3558" s="16" t="s">
        <v>9984</v>
      </c>
      <c r="K3558" s="32" t="n">
        <v>1</v>
      </c>
      <c r="L3558" s="33" t="n">
        <v>46092</v>
      </c>
      <c r="M3558" s="33" t="n">
        <v>46092</v>
      </c>
      <c r="N3558" s="16" t="s">
        <v>11301</v>
      </c>
      <c r="O3558" s="16"/>
      <c r="P3558" s="16" t="str">
        <f aca="false">IF(AND(L3558&lt;=$D$2,M3558&gt;=$C$2),"Sí","")</f>
        <v/>
      </c>
      <c r="Q3558" s="18" t="str">
        <f aca="false">IF(COUNTIF(LOOKAHEAD!$A$5:$A$604,A3558)&gt;0,"En Lookahead",IF(P3558="Sí","INCORPORAR",""))</f>
        <v/>
      </c>
    </row>
    <row r="3559" customFormat="false" ht="15" hidden="false" customHeight="false" outlineLevel="0" collapsed="false">
      <c r="A3559" s="13" t="s">
        <v>11320</v>
      </c>
      <c r="B3559" s="13" t="n">
        <v>3554</v>
      </c>
      <c r="C3559" s="13" t="s">
        <v>11321</v>
      </c>
      <c r="D3559" s="13" t="n">
        <v>6</v>
      </c>
      <c r="E3559" s="36" t="s">
        <v>9999</v>
      </c>
      <c r="F3559" s="13" t="s">
        <v>1298</v>
      </c>
      <c r="G3559" s="13" t="s">
        <v>757</v>
      </c>
      <c r="H3559" s="13" t="s">
        <v>3694</v>
      </c>
      <c r="I3559" s="13" t="s">
        <v>86</v>
      </c>
      <c r="J3559" s="13" t="s">
        <v>9975</v>
      </c>
      <c r="K3559" s="30" t="n">
        <v>9</v>
      </c>
      <c r="L3559" s="31" t="n">
        <v>46102</v>
      </c>
      <c r="M3559" s="31" t="n">
        <v>46110</v>
      </c>
      <c r="N3559" s="13"/>
      <c r="O3559" s="13"/>
      <c r="P3559" s="13"/>
      <c r="Q3559" s="13"/>
    </row>
    <row r="3560" customFormat="false" ht="15" hidden="false" customHeight="false" outlineLevel="0" collapsed="false">
      <c r="A3560" s="16" t="s">
        <v>11322</v>
      </c>
      <c r="B3560" s="16" t="n">
        <v>3555</v>
      </c>
      <c r="C3560" s="16" t="s">
        <v>11323</v>
      </c>
      <c r="D3560" s="16" t="n">
        <v>7</v>
      </c>
      <c r="E3560" s="37" t="s">
        <v>11324</v>
      </c>
      <c r="F3560" s="16" t="s">
        <v>1285</v>
      </c>
      <c r="G3560" s="16" t="s">
        <v>757</v>
      </c>
      <c r="H3560" s="16" t="s">
        <v>3694</v>
      </c>
      <c r="I3560" s="16" t="s">
        <v>86</v>
      </c>
      <c r="J3560" s="16" t="s">
        <v>9999</v>
      </c>
      <c r="K3560" s="32" t="n">
        <v>1</v>
      </c>
      <c r="L3560" s="33" t="n">
        <v>46102</v>
      </c>
      <c r="M3560" s="33" t="n">
        <v>46102</v>
      </c>
      <c r="N3560" s="16" t="s">
        <v>11325</v>
      </c>
      <c r="O3560" s="16"/>
      <c r="P3560" s="16" t="str">
        <f aca="false">IF(AND(L3560&lt;=$D$2,M3560&gt;=$C$2),"Sí","")</f>
        <v/>
      </c>
      <c r="Q3560" s="18" t="str">
        <f aca="false">IF(COUNTIF(LOOKAHEAD!$A$5:$A$604,A3560)&gt;0,"En Lookahead",IF(P3560="Sí","INCORPORAR",""))</f>
        <v/>
      </c>
    </row>
    <row r="3561" customFormat="false" ht="15" hidden="false" customHeight="false" outlineLevel="0" collapsed="false">
      <c r="A3561" s="16" t="s">
        <v>11326</v>
      </c>
      <c r="B3561" s="16" t="n">
        <v>3556</v>
      </c>
      <c r="C3561" s="16" t="s">
        <v>11327</v>
      </c>
      <c r="D3561" s="16" t="n">
        <v>7</v>
      </c>
      <c r="E3561" s="37" t="s">
        <v>10002</v>
      </c>
      <c r="F3561" s="16" t="s">
        <v>1285</v>
      </c>
      <c r="G3561" s="16" t="s">
        <v>757</v>
      </c>
      <c r="H3561" s="16" t="s">
        <v>3694</v>
      </c>
      <c r="I3561" s="16" t="s">
        <v>86</v>
      </c>
      <c r="J3561" s="16" t="s">
        <v>9999</v>
      </c>
      <c r="K3561" s="32" t="n">
        <v>1</v>
      </c>
      <c r="L3561" s="33" t="n">
        <v>46103</v>
      </c>
      <c r="M3561" s="33" t="n">
        <v>46103</v>
      </c>
      <c r="N3561" s="16" t="s">
        <v>11328</v>
      </c>
      <c r="O3561" s="16"/>
      <c r="P3561" s="16" t="str">
        <f aca="false">IF(AND(L3561&lt;=$D$2,M3561&gt;=$C$2),"Sí","")</f>
        <v/>
      </c>
      <c r="Q3561" s="18" t="str">
        <f aca="false">IF(COUNTIF(LOOKAHEAD!$A$5:$A$604,A3561)&gt;0,"En Lookahead",IF(P3561="Sí","INCORPORAR",""))</f>
        <v/>
      </c>
    </row>
    <row r="3562" customFormat="false" ht="15" hidden="false" customHeight="false" outlineLevel="0" collapsed="false">
      <c r="A3562" s="16" t="s">
        <v>11329</v>
      </c>
      <c r="B3562" s="16" t="n">
        <v>3557</v>
      </c>
      <c r="C3562" s="16" t="s">
        <v>11330</v>
      </c>
      <c r="D3562" s="16" t="n">
        <v>7</v>
      </c>
      <c r="E3562" s="37" t="s">
        <v>10406</v>
      </c>
      <c r="F3562" s="16" t="s">
        <v>1285</v>
      </c>
      <c r="G3562" s="16" t="s">
        <v>757</v>
      </c>
      <c r="H3562" s="16" t="s">
        <v>3694</v>
      </c>
      <c r="I3562" s="16" t="s">
        <v>86</v>
      </c>
      <c r="J3562" s="16" t="s">
        <v>9999</v>
      </c>
      <c r="K3562" s="32" t="n">
        <v>1</v>
      </c>
      <c r="L3562" s="33" t="n">
        <v>46104</v>
      </c>
      <c r="M3562" s="33" t="n">
        <v>46104</v>
      </c>
      <c r="N3562" s="16" t="s">
        <v>11331</v>
      </c>
      <c r="O3562" s="16"/>
      <c r="P3562" s="16" t="str">
        <f aca="false">IF(AND(L3562&lt;=$D$2,M3562&gt;=$C$2),"Sí","")</f>
        <v/>
      </c>
      <c r="Q3562" s="18" t="str">
        <f aca="false">IF(COUNTIF(LOOKAHEAD!$A$5:$A$604,A3562)&gt;0,"En Lookahead",IF(P3562="Sí","INCORPORAR",""))</f>
        <v/>
      </c>
    </row>
    <row r="3563" customFormat="false" ht="15" hidden="false" customHeight="false" outlineLevel="0" collapsed="false">
      <c r="A3563" s="16" t="s">
        <v>11332</v>
      </c>
      <c r="B3563" s="16" t="n">
        <v>3558</v>
      </c>
      <c r="C3563" s="16" t="s">
        <v>11333</v>
      </c>
      <c r="D3563" s="16" t="n">
        <v>7</v>
      </c>
      <c r="E3563" s="37" t="s">
        <v>11334</v>
      </c>
      <c r="F3563" s="16" t="s">
        <v>1285</v>
      </c>
      <c r="G3563" s="16" t="s">
        <v>757</v>
      </c>
      <c r="H3563" s="16" t="s">
        <v>3694</v>
      </c>
      <c r="I3563" s="16" t="s">
        <v>86</v>
      </c>
      <c r="J3563" s="16" t="s">
        <v>9999</v>
      </c>
      <c r="K3563" s="32" t="n">
        <v>1</v>
      </c>
      <c r="L3563" s="33" t="n">
        <v>46105</v>
      </c>
      <c r="M3563" s="33" t="n">
        <v>46105</v>
      </c>
      <c r="N3563" s="16" t="s">
        <v>11335</v>
      </c>
      <c r="O3563" s="16"/>
      <c r="P3563" s="16" t="str">
        <f aca="false">IF(AND(L3563&lt;=$D$2,M3563&gt;=$C$2),"Sí","")</f>
        <v/>
      </c>
      <c r="Q3563" s="18" t="str">
        <f aca="false">IF(COUNTIF(LOOKAHEAD!$A$5:$A$604,A3563)&gt;0,"En Lookahead",IF(P3563="Sí","INCORPORAR",""))</f>
        <v/>
      </c>
    </row>
    <row r="3564" customFormat="false" ht="15" hidden="false" customHeight="false" outlineLevel="0" collapsed="false">
      <c r="A3564" s="16" t="s">
        <v>11336</v>
      </c>
      <c r="B3564" s="16" t="n">
        <v>3559</v>
      </c>
      <c r="C3564" s="16" t="s">
        <v>11337</v>
      </c>
      <c r="D3564" s="16" t="n">
        <v>7</v>
      </c>
      <c r="E3564" s="37" t="s">
        <v>11338</v>
      </c>
      <c r="F3564" s="16" t="s">
        <v>1285</v>
      </c>
      <c r="G3564" s="16" t="s">
        <v>757</v>
      </c>
      <c r="H3564" s="16" t="s">
        <v>3694</v>
      </c>
      <c r="I3564" s="16" t="s">
        <v>86</v>
      </c>
      <c r="J3564" s="16" t="s">
        <v>9999</v>
      </c>
      <c r="K3564" s="32" t="n">
        <v>1</v>
      </c>
      <c r="L3564" s="33" t="n">
        <v>46106</v>
      </c>
      <c r="M3564" s="33" t="n">
        <v>46106</v>
      </c>
      <c r="N3564" s="16" t="s">
        <v>11339</v>
      </c>
      <c r="O3564" s="16"/>
      <c r="P3564" s="16" t="str">
        <f aca="false">IF(AND(L3564&lt;=$D$2,M3564&gt;=$C$2),"Sí","")</f>
        <v/>
      </c>
      <c r="Q3564" s="18" t="str">
        <f aca="false">IF(COUNTIF(LOOKAHEAD!$A$5:$A$604,A3564)&gt;0,"En Lookahead",IF(P3564="Sí","INCORPORAR",""))</f>
        <v/>
      </c>
    </row>
    <row r="3565" customFormat="false" ht="15" hidden="false" customHeight="false" outlineLevel="0" collapsed="false">
      <c r="A3565" s="16" t="s">
        <v>11340</v>
      </c>
      <c r="B3565" s="16" t="n">
        <v>3560</v>
      </c>
      <c r="C3565" s="16" t="s">
        <v>11341</v>
      </c>
      <c r="D3565" s="16" t="n">
        <v>7</v>
      </c>
      <c r="E3565" s="37" t="s">
        <v>10006</v>
      </c>
      <c r="F3565" s="16" t="s">
        <v>1285</v>
      </c>
      <c r="G3565" s="16" t="s">
        <v>757</v>
      </c>
      <c r="H3565" s="16" t="s">
        <v>3694</v>
      </c>
      <c r="I3565" s="16" t="s">
        <v>86</v>
      </c>
      <c r="J3565" s="16" t="s">
        <v>9999</v>
      </c>
      <c r="K3565" s="32" t="n">
        <v>1</v>
      </c>
      <c r="L3565" s="33" t="n">
        <v>46107</v>
      </c>
      <c r="M3565" s="33" t="n">
        <v>46107</v>
      </c>
      <c r="N3565" s="16" t="s">
        <v>11342</v>
      </c>
      <c r="O3565" s="16"/>
      <c r="P3565" s="16" t="str">
        <f aca="false">IF(AND(L3565&lt;=$D$2,M3565&gt;=$C$2),"Sí","")</f>
        <v/>
      </c>
      <c r="Q3565" s="18" t="str">
        <f aca="false">IF(COUNTIF(LOOKAHEAD!$A$5:$A$604,A3565)&gt;0,"En Lookahead",IF(P3565="Sí","INCORPORAR",""))</f>
        <v/>
      </c>
    </row>
    <row r="3566" customFormat="false" ht="15" hidden="false" customHeight="false" outlineLevel="0" collapsed="false">
      <c r="A3566" s="16" t="s">
        <v>11343</v>
      </c>
      <c r="B3566" s="16" t="n">
        <v>3561</v>
      </c>
      <c r="C3566" s="16" t="s">
        <v>11344</v>
      </c>
      <c r="D3566" s="16" t="n">
        <v>7</v>
      </c>
      <c r="E3566" s="37" t="s">
        <v>11345</v>
      </c>
      <c r="F3566" s="16" t="s">
        <v>1285</v>
      </c>
      <c r="G3566" s="16" t="s">
        <v>757</v>
      </c>
      <c r="H3566" s="16" t="s">
        <v>3694</v>
      </c>
      <c r="I3566" s="16" t="s">
        <v>86</v>
      </c>
      <c r="J3566" s="16" t="s">
        <v>9999</v>
      </c>
      <c r="K3566" s="32" t="n">
        <v>1</v>
      </c>
      <c r="L3566" s="33" t="n">
        <v>46108</v>
      </c>
      <c r="M3566" s="33" t="n">
        <v>46108</v>
      </c>
      <c r="N3566" s="16" t="s">
        <v>11346</v>
      </c>
      <c r="O3566" s="16"/>
      <c r="P3566" s="16" t="str">
        <f aca="false">IF(AND(L3566&lt;=$D$2,M3566&gt;=$C$2),"Sí","")</f>
        <v/>
      </c>
      <c r="Q3566" s="18" t="str">
        <f aca="false">IF(COUNTIF(LOOKAHEAD!$A$5:$A$604,A3566)&gt;0,"En Lookahead",IF(P3566="Sí","INCORPORAR",""))</f>
        <v/>
      </c>
    </row>
    <row r="3567" customFormat="false" ht="15" hidden="false" customHeight="false" outlineLevel="0" collapsed="false">
      <c r="A3567" s="16" t="s">
        <v>11347</v>
      </c>
      <c r="B3567" s="16" t="n">
        <v>3562</v>
      </c>
      <c r="C3567" s="16" t="s">
        <v>11348</v>
      </c>
      <c r="D3567" s="16" t="n">
        <v>7</v>
      </c>
      <c r="E3567" s="37" t="s">
        <v>10010</v>
      </c>
      <c r="F3567" s="16" t="s">
        <v>1285</v>
      </c>
      <c r="G3567" s="16" t="s">
        <v>757</v>
      </c>
      <c r="H3567" s="16" t="s">
        <v>3694</v>
      </c>
      <c r="I3567" s="16" t="s">
        <v>86</v>
      </c>
      <c r="J3567" s="16" t="s">
        <v>9999</v>
      </c>
      <c r="K3567" s="32" t="n">
        <v>1</v>
      </c>
      <c r="L3567" s="33" t="n">
        <v>46109</v>
      </c>
      <c r="M3567" s="33" t="n">
        <v>46109</v>
      </c>
      <c r="N3567" s="16" t="s">
        <v>11349</v>
      </c>
      <c r="O3567" s="16"/>
      <c r="P3567" s="16" t="str">
        <f aca="false">IF(AND(L3567&lt;=$D$2,M3567&gt;=$C$2),"Sí","")</f>
        <v/>
      </c>
      <c r="Q3567" s="18" t="str">
        <f aca="false">IF(COUNTIF(LOOKAHEAD!$A$5:$A$604,A3567)&gt;0,"En Lookahead",IF(P3567="Sí","INCORPORAR",""))</f>
        <v/>
      </c>
    </row>
    <row r="3568" customFormat="false" ht="15" hidden="false" customHeight="false" outlineLevel="0" collapsed="false">
      <c r="A3568" s="16" t="s">
        <v>11350</v>
      </c>
      <c r="B3568" s="16" t="n">
        <v>3563</v>
      </c>
      <c r="C3568" s="16" t="s">
        <v>11351</v>
      </c>
      <c r="D3568" s="16" t="n">
        <v>7</v>
      </c>
      <c r="E3568" s="37" t="s">
        <v>10014</v>
      </c>
      <c r="F3568" s="16" t="s">
        <v>1285</v>
      </c>
      <c r="G3568" s="16" t="s">
        <v>757</v>
      </c>
      <c r="H3568" s="16" t="s">
        <v>3694</v>
      </c>
      <c r="I3568" s="16" t="s">
        <v>86</v>
      </c>
      <c r="J3568" s="16" t="s">
        <v>9999</v>
      </c>
      <c r="K3568" s="32" t="n">
        <v>1</v>
      </c>
      <c r="L3568" s="33" t="n">
        <v>46110</v>
      </c>
      <c r="M3568" s="33" t="n">
        <v>46110</v>
      </c>
      <c r="N3568" s="16" t="s">
        <v>11352</v>
      </c>
      <c r="O3568" s="16"/>
      <c r="P3568" s="16" t="str">
        <f aca="false">IF(AND(L3568&lt;=$D$2,M3568&gt;=$C$2),"Sí","")</f>
        <v/>
      </c>
      <c r="Q3568" s="18" t="str">
        <f aca="false">IF(COUNTIF(LOOKAHEAD!$A$5:$A$604,A3568)&gt;0,"En Lookahead",IF(P3568="Sí","INCORPORAR",""))</f>
        <v/>
      </c>
    </row>
    <row r="3569" customFormat="false" ht="15" hidden="false" customHeight="false" outlineLevel="0" collapsed="false">
      <c r="A3569" s="13" t="s">
        <v>11353</v>
      </c>
      <c r="B3569" s="13" t="n">
        <v>3564</v>
      </c>
      <c r="C3569" s="13" t="s">
        <v>11354</v>
      </c>
      <c r="D3569" s="13" t="n">
        <v>6</v>
      </c>
      <c r="E3569" s="36" t="s">
        <v>10018</v>
      </c>
      <c r="F3569" s="13" t="s">
        <v>1298</v>
      </c>
      <c r="G3569" s="13" t="s">
        <v>757</v>
      </c>
      <c r="H3569" s="13" t="s">
        <v>3694</v>
      </c>
      <c r="I3569" s="13" t="s">
        <v>86</v>
      </c>
      <c r="J3569" s="13" t="s">
        <v>9975</v>
      </c>
      <c r="K3569" s="30" t="n">
        <v>1</v>
      </c>
      <c r="L3569" s="31" t="n">
        <v>46111</v>
      </c>
      <c r="M3569" s="31" t="n">
        <v>46111</v>
      </c>
      <c r="N3569" s="13"/>
      <c r="O3569" s="13"/>
      <c r="P3569" s="13"/>
      <c r="Q3569" s="13"/>
    </row>
    <row r="3570" customFormat="false" ht="15" hidden="false" customHeight="false" outlineLevel="0" collapsed="false">
      <c r="A3570" s="16" t="s">
        <v>11355</v>
      </c>
      <c r="B3570" s="16" t="n">
        <v>3565</v>
      </c>
      <c r="C3570" s="16" t="s">
        <v>11356</v>
      </c>
      <c r="D3570" s="16" t="n">
        <v>7</v>
      </c>
      <c r="E3570" s="37" t="s">
        <v>10021</v>
      </c>
      <c r="F3570" s="16" t="s">
        <v>1285</v>
      </c>
      <c r="G3570" s="16" t="s">
        <v>757</v>
      </c>
      <c r="H3570" s="16" t="s">
        <v>3694</v>
      </c>
      <c r="I3570" s="16" t="s">
        <v>86</v>
      </c>
      <c r="J3570" s="16" t="s">
        <v>10018</v>
      </c>
      <c r="K3570" s="32" t="n">
        <v>1</v>
      </c>
      <c r="L3570" s="33" t="n">
        <v>46111</v>
      </c>
      <c r="M3570" s="33" t="n">
        <v>46111</v>
      </c>
      <c r="N3570" s="16" t="s">
        <v>11357</v>
      </c>
      <c r="O3570" s="16"/>
      <c r="P3570" s="16" t="str">
        <f aca="false">IF(AND(L3570&lt;=$D$2,M3570&gt;=$C$2),"Sí","")</f>
        <v/>
      </c>
      <c r="Q3570" s="18" t="str">
        <f aca="false">IF(COUNTIF(LOOKAHEAD!$A$5:$A$604,A3570)&gt;0,"En Lookahead",IF(P3570="Sí","INCORPORAR",""))</f>
        <v/>
      </c>
    </row>
    <row r="3571" customFormat="false" ht="15" hidden="false" customHeight="false" outlineLevel="0" collapsed="false">
      <c r="A3571" s="13" t="s">
        <v>11358</v>
      </c>
      <c r="B3571" s="13" t="n">
        <v>3566</v>
      </c>
      <c r="C3571" s="13" t="s">
        <v>11359</v>
      </c>
      <c r="D3571" s="13" t="n">
        <v>6</v>
      </c>
      <c r="E3571" s="36" t="s">
        <v>10025</v>
      </c>
      <c r="F3571" s="13" t="s">
        <v>1298</v>
      </c>
      <c r="G3571" s="13" t="s">
        <v>757</v>
      </c>
      <c r="H3571" s="13" t="s">
        <v>3694</v>
      </c>
      <c r="I3571" s="13" t="s">
        <v>86</v>
      </c>
      <c r="J3571" s="13" t="s">
        <v>9975</v>
      </c>
      <c r="K3571" s="30" t="n">
        <v>1</v>
      </c>
      <c r="L3571" s="31" t="n">
        <v>46112</v>
      </c>
      <c r="M3571" s="31" t="n">
        <v>46112</v>
      </c>
      <c r="N3571" s="13"/>
      <c r="O3571" s="13"/>
      <c r="P3571" s="13"/>
      <c r="Q3571" s="13"/>
    </row>
    <row r="3572" customFormat="false" ht="15" hidden="false" customHeight="false" outlineLevel="0" collapsed="false">
      <c r="A3572" s="16" t="s">
        <v>11360</v>
      </c>
      <c r="B3572" s="16" t="n">
        <v>3567</v>
      </c>
      <c r="C3572" s="16" t="s">
        <v>11361</v>
      </c>
      <c r="D3572" s="16" t="n">
        <v>7</v>
      </c>
      <c r="E3572" s="37" t="s">
        <v>10028</v>
      </c>
      <c r="F3572" s="16" t="s">
        <v>1285</v>
      </c>
      <c r="G3572" s="16" t="s">
        <v>757</v>
      </c>
      <c r="H3572" s="16" t="s">
        <v>3694</v>
      </c>
      <c r="I3572" s="16" t="s">
        <v>86</v>
      </c>
      <c r="J3572" s="16" t="s">
        <v>10025</v>
      </c>
      <c r="K3572" s="32" t="n">
        <v>1</v>
      </c>
      <c r="L3572" s="33" t="n">
        <v>46112</v>
      </c>
      <c r="M3572" s="33" t="n">
        <v>46112</v>
      </c>
      <c r="N3572" s="16" t="s">
        <v>11362</v>
      </c>
      <c r="O3572" s="16"/>
      <c r="P3572" s="16" t="str">
        <f aca="false">IF(AND(L3572&lt;=$D$2,M3572&gt;=$C$2),"Sí","")</f>
        <v/>
      </c>
      <c r="Q3572" s="18" t="str">
        <f aca="false">IF(COUNTIF(LOOKAHEAD!$A$5:$A$604,A3572)&gt;0,"En Lookahead",IF(P3572="Sí","INCORPORAR",""))</f>
        <v/>
      </c>
    </row>
    <row r="3573" customFormat="false" ht="15" hidden="false" customHeight="false" outlineLevel="0" collapsed="false">
      <c r="A3573" s="13" t="s">
        <v>11363</v>
      </c>
      <c r="B3573" s="13" t="n">
        <v>3568</v>
      </c>
      <c r="C3573" s="13" t="s">
        <v>11364</v>
      </c>
      <c r="D3573" s="13" t="n">
        <v>5</v>
      </c>
      <c r="E3573" s="34" t="s">
        <v>10032</v>
      </c>
      <c r="F3573" s="13" t="s">
        <v>1298</v>
      </c>
      <c r="G3573" s="13" t="s">
        <v>757</v>
      </c>
      <c r="H3573" s="13" t="s">
        <v>3694</v>
      </c>
      <c r="I3573" s="13" t="s">
        <v>86</v>
      </c>
      <c r="J3573" s="13" t="s">
        <v>3694</v>
      </c>
      <c r="K3573" s="30" t="n">
        <v>33</v>
      </c>
      <c r="L3573" s="31" t="n">
        <v>46113</v>
      </c>
      <c r="M3573" s="31" t="n">
        <v>46145</v>
      </c>
      <c r="N3573" s="13"/>
      <c r="O3573" s="13"/>
      <c r="P3573" s="13"/>
      <c r="Q3573" s="13"/>
    </row>
    <row r="3574" customFormat="false" ht="15" hidden="false" customHeight="false" outlineLevel="0" collapsed="false">
      <c r="A3574" s="13" t="s">
        <v>11365</v>
      </c>
      <c r="B3574" s="13" t="n">
        <v>3569</v>
      </c>
      <c r="C3574" s="13" t="s">
        <v>11366</v>
      </c>
      <c r="D3574" s="13" t="n">
        <v>6</v>
      </c>
      <c r="E3574" s="36" t="s">
        <v>10035</v>
      </c>
      <c r="F3574" s="13" t="s">
        <v>1298</v>
      </c>
      <c r="G3574" s="13" t="s">
        <v>757</v>
      </c>
      <c r="H3574" s="13" t="s">
        <v>3694</v>
      </c>
      <c r="I3574" s="13" t="s">
        <v>86</v>
      </c>
      <c r="J3574" s="13" t="s">
        <v>10032</v>
      </c>
      <c r="K3574" s="30" t="n">
        <v>1</v>
      </c>
      <c r="L3574" s="31" t="n">
        <v>46113</v>
      </c>
      <c r="M3574" s="31" t="n">
        <v>46113</v>
      </c>
      <c r="N3574" s="13"/>
      <c r="O3574" s="13"/>
      <c r="P3574" s="13"/>
      <c r="Q3574" s="13"/>
    </row>
    <row r="3575" customFormat="false" ht="15" hidden="false" customHeight="false" outlineLevel="0" collapsed="false">
      <c r="A3575" s="16" t="s">
        <v>11367</v>
      </c>
      <c r="B3575" s="16" t="n">
        <v>3570</v>
      </c>
      <c r="C3575" s="16" t="s">
        <v>11368</v>
      </c>
      <c r="D3575" s="16" t="n">
        <v>7</v>
      </c>
      <c r="E3575" s="37" t="s">
        <v>10038</v>
      </c>
      <c r="F3575" s="16" t="s">
        <v>1285</v>
      </c>
      <c r="G3575" s="16" t="s">
        <v>757</v>
      </c>
      <c r="H3575" s="16" t="s">
        <v>3694</v>
      </c>
      <c r="I3575" s="16" t="s">
        <v>86</v>
      </c>
      <c r="J3575" s="16" t="s">
        <v>10035</v>
      </c>
      <c r="K3575" s="32" t="n">
        <v>1</v>
      </c>
      <c r="L3575" s="33" t="n">
        <v>46113</v>
      </c>
      <c r="M3575" s="33" t="n">
        <v>46113</v>
      </c>
      <c r="N3575" s="16" t="s">
        <v>11369</v>
      </c>
      <c r="O3575" s="16"/>
      <c r="P3575" s="16" t="str">
        <f aca="false">IF(AND(L3575&lt;=$D$2,M3575&gt;=$C$2),"Sí","")</f>
        <v/>
      </c>
      <c r="Q3575" s="18" t="str">
        <f aca="false">IF(COUNTIF(LOOKAHEAD!$A$5:$A$604,A3575)&gt;0,"En Lookahead",IF(P3575="Sí","INCORPORAR",""))</f>
        <v/>
      </c>
    </row>
    <row r="3576" customFormat="false" ht="15" hidden="false" customHeight="false" outlineLevel="0" collapsed="false">
      <c r="A3576" s="13" t="s">
        <v>11370</v>
      </c>
      <c r="B3576" s="13" t="n">
        <v>3571</v>
      </c>
      <c r="C3576" s="13" t="s">
        <v>11371</v>
      </c>
      <c r="D3576" s="13" t="n">
        <v>6</v>
      </c>
      <c r="E3576" s="36" t="s">
        <v>1534</v>
      </c>
      <c r="F3576" s="13" t="s">
        <v>1298</v>
      </c>
      <c r="G3576" s="13" t="s">
        <v>757</v>
      </c>
      <c r="H3576" s="13" t="s">
        <v>3694</v>
      </c>
      <c r="I3576" s="13" t="s">
        <v>86</v>
      </c>
      <c r="J3576" s="13" t="s">
        <v>10032</v>
      </c>
      <c r="K3576" s="30" t="n">
        <v>25</v>
      </c>
      <c r="L3576" s="31" t="n">
        <v>46114</v>
      </c>
      <c r="M3576" s="31" t="n">
        <v>46138</v>
      </c>
      <c r="N3576" s="13"/>
      <c r="O3576" s="13"/>
      <c r="P3576" s="13"/>
      <c r="Q3576" s="13"/>
    </row>
    <row r="3577" customFormat="false" ht="15" hidden="false" customHeight="false" outlineLevel="0" collapsed="false">
      <c r="A3577" s="16" t="s">
        <v>11372</v>
      </c>
      <c r="B3577" s="16" t="n">
        <v>3572</v>
      </c>
      <c r="C3577" s="16" t="s">
        <v>11373</v>
      </c>
      <c r="D3577" s="16" t="n">
        <v>7</v>
      </c>
      <c r="E3577" s="37" t="s">
        <v>10043</v>
      </c>
      <c r="F3577" s="16" t="s">
        <v>1285</v>
      </c>
      <c r="G3577" s="16" t="s">
        <v>757</v>
      </c>
      <c r="H3577" s="16" t="s">
        <v>3694</v>
      </c>
      <c r="I3577" s="16" t="s">
        <v>86</v>
      </c>
      <c r="J3577" s="16" t="s">
        <v>1534</v>
      </c>
      <c r="K3577" s="32" t="n">
        <v>8</v>
      </c>
      <c r="L3577" s="33" t="n">
        <v>46114</v>
      </c>
      <c r="M3577" s="33" t="n">
        <v>46121</v>
      </c>
      <c r="N3577" s="16" t="s">
        <v>11374</v>
      </c>
      <c r="O3577" s="16"/>
      <c r="P3577" s="16" t="str">
        <f aca="false">IF(AND(L3577&lt;=$D$2,M3577&gt;=$C$2),"Sí","")</f>
        <v/>
      </c>
      <c r="Q3577" s="18" t="str">
        <f aca="false">IF(COUNTIF(LOOKAHEAD!$A$5:$A$604,A3577)&gt;0,"En Lookahead",IF(P3577="Sí","INCORPORAR",""))</f>
        <v/>
      </c>
    </row>
    <row r="3578" customFormat="false" ht="15" hidden="false" customHeight="false" outlineLevel="0" collapsed="false">
      <c r="A3578" s="16" t="s">
        <v>11375</v>
      </c>
      <c r="B3578" s="16" t="n">
        <v>3573</v>
      </c>
      <c r="C3578" s="16" t="s">
        <v>11376</v>
      </c>
      <c r="D3578" s="16" t="n">
        <v>7</v>
      </c>
      <c r="E3578" s="37" t="s">
        <v>10047</v>
      </c>
      <c r="F3578" s="16" t="s">
        <v>1285</v>
      </c>
      <c r="G3578" s="16" t="s">
        <v>757</v>
      </c>
      <c r="H3578" s="16" t="s">
        <v>3694</v>
      </c>
      <c r="I3578" s="16" t="s">
        <v>86</v>
      </c>
      <c r="J3578" s="16" t="s">
        <v>1534</v>
      </c>
      <c r="K3578" s="32" t="n">
        <v>1</v>
      </c>
      <c r="L3578" s="33" t="n">
        <v>46122</v>
      </c>
      <c r="M3578" s="33" t="n">
        <v>46122</v>
      </c>
      <c r="N3578" s="16" t="s">
        <v>11377</v>
      </c>
      <c r="O3578" s="16"/>
      <c r="P3578" s="16" t="str">
        <f aca="false">IF(AND(L3578&lt;=$D$2,M3578&gt;=$C$2),"Sí","")</f>
        <v/>
      </c>
      <c r="Q3578" s="18" t="str">
        <f aca="false">IF(COUNTIF(LOOKAHEAD!$A$5:$A$604,A3578)&gt;0,"En Lookahead",IF(P3578="Sí","INCORPORAR",""))</f>
        <v/>
      </c>
    </row>
    <row r="3579" customFormat="false" ht="15" hidden="false" customHeight="false" outlineLevel="0" collapsed="false">
      <c r="A3579" s="16" t="s">
        <v>11378</v>
      </c>
      <c r="B3579" s="16" t="n">
        <v>3574</v>
      </c>
      <c r="C3579" s="16" t="s">
        <v>11379</v>
      </c>
      <c r="D3579" s="16" t="n">
        <v>7</v>
      </c>
      <c r="E3579" s="37" t="s">
        <v>10051</v>
      </c>
      <c r="F3579" s="16" t="s">
        <v>1285</v>
      </c>
      <c r="G3579" s="16" t="s">
        <v>757</v>
      </c>
      <c r="H3579" s="16" t="s">
        <v>3694</v>
      </c>
      <c r="I3579" s="16" t="s">
        <v>86</v>
      </c>
      <c r="J3579" s="16" t="s">
        <v>1534</v>
      </c>
      <c r="K3579" s="32" t="n">
        <v>1</v>
      </c>
      <c r="L3579" s="33" t="n">
        <v>46123</v>
      </c>
      <c r="M3579" s="33" t="n">
        <v>46123</v>
      </c>
      <c r="N3579" s="16" t="s">
        <v>11380</v>
      </c>
      <c r="O3579" s="16"/>
      <c r="P3579" s="16" t="str">
        <f aca="false">IF(AND(L3579&lt;=$D$2,M3579&gt;=$C$2),"Sí","")</f>
        <v/>
      </c>
      <c r="Q3579" s="18" t="str">
        <f aca="false">IF(COUNTIF(LOOKAHEAD!$A$5:$A$604,A3579)&gt;0,"En Lookahead",IF(P3579="Sí","INCORPORAR",""))</f>
        <v/>
      </c>
    </row>
    <row r="3580" customFormat="false" ht="15" hidden="false" customHeight="false" outlineLevel="0" collapsed="false">
      <c r="A3580" s="16" t="s">
        <v>11381</v>
      </c>
      <c r="B3580" s="16" t="n">
        <v>3575</v>
      </c>
      <c r="C3580" s="16" t="s">
        <v>11382</v>
      </c>
      <c r="D3580" s="16" t="n">
        <v>7</v>
      </c>
      <c r="E3580" s="37" t="s">
        <v>10055</v>
      </c>
      <c r="F3580" s="16" t="s">
        <v>1285</v>
      </c>
      <c r="G3580" s="16" t="s">
        <v>757</v>
      </c>
      <c r="H3580" s="16" t="s">
        <v>3694</v>
      </c>
      <c r="I3580" s="16" t="s">
        <v>86</v>
      </c>
      <c r="J3580" s="16" t="s">
        <v>1534</v>
      </c>
      <c r="K3580" s="32" t="n">
        <v>1</v>
      </c>
      <c r="L3580" s="33" t="n">
        <v>46124</v>
      </c>
      <c r="M3580" s="33" t="n">
        <v>46124</v>
      </c>
      <c r="N3580" s="16" t="s">
        <v>11383</v>
      </c>
      <c r="O3580" s="16"/>
      <c r="P3580" s="16" t="str">
        <f aca="false">IF(AND(L3580&lt;=$D$2,M3580&gt;=$C$2),"Sí","")</f>
        <v/>
      </c>
      <c r="Q3580" s="18" t="str">
        <f aca="false">IF(COUNTIF(LOOKAHEAD!$A$5:$A$604,A3580)&gt;0,"En Lookahead",IF(P3580="Sí","INCORPORAR",""))</f>
        <v/>
      </c>
    </row>
    <row r="3581" customFormat="false" ht="15" hidden="false" customHeight="false" outlineLevel="0" collapsed="false">
      <c r="A3581" s="16" t="s">
        <v>11384</v>
      </c>
      <c r="B3581" s="16" t="n">
        <v>3576</v>
      </c>
      <c r="C3581" s="16" t="s">
        <v>11385</v>
      </c>
      <c r="D3581" s="16" t="n">
        <v>7</v>
      </c>
      <c r="E3581" s="37" t="s">
        <v>10059</v>
      </c>
      <c r="F3581" s="16" t="s">
        <v>1285</v>
      </c>
      <c r="G3581" s="16" t="s">
        <v>757</v>
      </c>
      <c r="H3581" s="16" t="s">
        <v>3694</v>
      </c>
      <c r="I3581" s="16" t="s">
        <v>86</v>
      </c>
      <c r="J3581" s="16" t="s">
        <v>1534</v>
      </c>
      <c r="K3581" s="32" t="n">
        <v>1</v>
      </c>
      <c r="L3581" s="33" t="n">
        <v>46136</v>
      </c>
      <c r="M3581" s="33" t="n">
        <v>46136</v>
      </c>
      <c r="N3581" s="16" t="s">
        <v>11386</v>
      </c>
      <c r="O3581" s="16"/>
      <c r="P3581" s="16" t="str">
        <f aca="false">IF(AND(L3581&lt;=$D$2,M3581&gt;=$C$2),"Sí","")</f>
        <v/>
      </c>
      <c r="Q3581" s="18" t="str">
        <f aca="false">IF(COUNTIF(LOOKAHEAD!$A$5:$A$604,A3581)&gt;0,"En Lookahead",IF(P3581="Sí","INCORPORAR",""))</f>
        <v/>
      </c>
    </row>
    <row r="3582" customFormat="false" ht="15" hidden="false" customHeight="false" outlineLevel="0" collapsed="false">
      <c r="A3582" s="16" t="s">
        <v>11387</v>
      </c>
      <c r="B3582" s="16" t="n">
        <v>3577</v>
      </c>
      <c r="C3582" s="16" t="s">
        <v>11388</v>
      </c>
      <c r="D3582" s="16" t="n">
        <v>7</v>
      </c>
      <c r="E3582" s="37" t="s">
        <v>10063</v>
      </c>
      <c r="F3582" s="16" t="s">
        <v>1285</v>
      </c>
      <c r="G3582" s="16" t="s">
        <v>757</v>
      </c>
      <c r="H3582" s="16" t="s">
        <v>3694</v>
      </c>
      <c r="I3582" s="16" t="s">
        <v>86</v>
      </c>
      <c r="J3582" s="16" t="s">
        <v>1534</v>
      </c>
      <c r="K3582" s="32" t="n">
        <v>1</v>
      </c>
      <c r="L3582" s="33" t="n">
        <v>46137</v>
      </c>
      <c r="M3582" s="33" t="n">
        <v>46137</v>
      </c>
      <c r="N3582" s="16" t="s">
        <v>11389</v>
      </c>
      <c r="O3582" s="16"/>
      <c r="P3582" s="16" t="str">
        <f aca="false">IF(AND(L3582&lt;=$D$2,M3582&gt;=$C$2),"Sí","")</f>
        <v/>
      </c>
      <c r="Q3582" s="18" t="str">
        <f aca="false">IF(COUNTIF(LOOKAHEAD!$A$5:$A$604,A3582)&gt;0,"En Lookahead",IF(P3582="Sí","INCORPORAR",""))</f>
        <v/>
      </c>
    </row>
    <row r="3583" customFormat="false" ht="15" hidden="false" customHeight="false" outlineLevel="0" collapsed="false">
      <c r="A3583" s="16" t="s">
        <v>11390</v>
      </c>
      <c r="B3583" s="16" t="n">
        <v>3578</v>
      </c>
      <c r="C3583" s="16" t="s">
        <v>11391</v>
      </c>
      <c r="D3583" s="16" t="n">
        <v>7</v>
      </c>
      <c r="E3583" s="37" t="s">
        <v>1557</v>
      </c>
      <c r="F3583" s="16" t="s">
        <v>1285</v>
      </c>
      <c r="G3583" s="16" t="s">
        <v>757</v>
      </c>
      <c r="H3583" s="16" t="s">
        <v>3694</v>
      </c>
      <c r="I3583" s="16" t="s">
        <v>86</v>
      </c>
      <c r="J3583" s="16" t="s">
        <v>1534</v>
      </c>
      <c r="K3583" s="32" t="n">
        <v>1</v>
      </c>
      <c r="L3583" s="33" t="n">
        <v>46136</v>
      </c>
      <c r="M3583" s="33" t="n">
        <v>46136</v>
      </c>
      <c r="N3583" s="16" t="s">
        <v>11392</v>
      </c>
      <c r="O3583" s="16"/>
      <c r="P3583" s="16" t="str">
        <f aca="false">IF(AND(L3583&lt;=$D$2,M3583&gt;=$C$2),"Sí","")</f>
        <v/>
      </c>
      <c r="Q3583" s="18" t="str">
        <f aca="false">IF(COUNTIF(LOOKAHEAD!$A$5:$A$604,A3583)&gt;0,"En Lookahead",IF(P3583="Sí","INCORPORAR",""))</f>
        <v/>
      </c>
    </row>
    <row r="3584" customFormat="false" ht="15" hidden="false" customHeight="false" outlineLevel="0" collapsed="false">
      <c r="A3584" s="16" t="s">
        <v>11393</v>
      </c>
      <c r="B3584" s="16" t="n">
        <v>3579</v>
      </c>
      <c r="C3584" s="16" t="s">
        <v>11394</v>
      </c>
      <c r="D3584" s="16" t="n">
        <v>7</v>
      </c>
      <c r="E3584" s="37" t="s">
        <v>10069</v>
      </c>
      <c r="F3584" s="16" t="s">
        <v>1285</v>
      </c>
      <c r="G3584" s="16" t="s">
        <v>757</v>
      </c>
      <c r="H3584" s="16" t="s">
        <v>3694</v>
      </c>
      <c r="I3584" s="16" t="s">
        <v>86</v>
      </c>
      <c r="J3584" s="16" t="s">
        <v>1534</v>
      </c>
      <c r="K3584" s="32" t="n">
        <v>1</v>
      </c>
      <c r="L3584" s="33" t="n">
        <v>46138</v>
      </c>
      <c r="M3584" s="33" t="n">
        <v>46138</v>
      </c>
      <c r="N3584" s="16" t="s">
        <v>11395</v>
      </c>
      <c r="O3584" s="16"/>
      <c r="P3584" s="16" t="str">
        <f aca="false">IF(AND(L3584&lt;=$D$2,M3584&gt;=$C$2),"Sí","")</f>
        <v/>
      </c>
      <c r="Q3584" s="18" t="str">
        <f aca="false">IF(COUNTIF(LOOKAHEAD!$A$5:$A$604,A3584)&gt;0,"En Lookahead",IF(P3584="Sí","INCORPORAR",""))</f>
        <v/>
      </c>
    </row>
    <row r="3585" customFormat="false" ht="15" hidden="false" customHeight="false" outlineLevel="0" collapsed="false">
      <c r="A3585" s="13" t="s">
        <v>11396</v>
      </c>
      <c r="B3585" s="13" t="n">
        <v>3580</v>
      </c>
      <c r="C3585" s="13" t="s">
        <v>11397</v>
      </c>
      <c r="D3585" s="13" t="n">
        <v>6</v>
      </c>
      <c r="E3585" s="36" t="s">
        <v>10072</v>
      </c>
      <c r="F3585" s="13" t="s">
        <v>1298</v>
      </c>
      <c r="G3585" s="13" t="s">
        <v>757</v>
      </c>
      <c r="H3585" s="13" t="s">
        <v>3694</v>
      </c>
      <c r="I3585" s="13" t="s">
        <v>86</v>
      </c>
      <c r="J3585" s="13" t="s">
        <v>10032</v>
      </c>
      <c r="K3585" s="30" t="n">
        <v>5</v>
      </c>
      <c r="L3585" s="31" t="n">
        <v>46124</v>
      </c>
      <c r="M3585" s="31" t="n">
        <v>46128</v>
      </c>
      <c r="N3585" s="13"/>
      <c r="O3585" s="13"/>
      <c r="P3585" s="13"/>
      <c r="Q3585" s="13"/>
    </row>
    <row r="3586" customFormat="false" ht="15" hidden="false" customHeight="false" outlineLevel="0" collapsed="false">
      <c r="A3586" s="16" t="s">
        <v>11398</v>
      </c>
      <c r="B3586" s="16" t="n">
        <v>3581</v>
      </c>
      <c r="C3586" s="16" t="s">
        <v>11399</v>
      </c>
      <c r="D3586" s="16" t="n">
        <v>7</v>
      </c>
      <c r="E3586" s="37" t="s">
        <v>10075</v>
      </c>
      <c r="F3586" s="16" t="s">
        <v>1285</v>
      </c>
      <c r="G3586" s="16" t="s">
        <v>757</v>
      </c>
      <c r="H3586" s="16" t="s">
        <v>3694</v>
      </c>
      <c r="I3586" s="16" t="s">
        <v>86</v>
      </c>
      <c r="J3586" s="16" t="s">
        <v>10072</v>
      </c>
      <c r="K3586" s="32" t="n">
        <v>5</v>
      </c>
      <c r="L3586" s="33" t="n">
        <v>46124</v>
      </c>
      <c r="M3586" s="33" t="n">
        <v>46128</v>
      </c>
      <c r="N3586" s="16" t="s">
        <v>11383</v>
      </c>
      <c r="O3586" s="16"/>
      <c r="P3586" s="16" t="str">
        <f aca="false">IF(AND(L3586&lt;=$D$2,M3586&gt;=$C$2),"Sí","")</f>
        <v/>
      </c>
      <c r="Q3586" s="18" t="str">
        <f aca="false">IF(COUNTIF(LOOKAHEAD!$A$5:$A$604,A3586)&gt;0,"En Lookahead",IF(P3586="Sí","INCORPORAR",""))</f>
        <v/>
      </c>
    </row>
    <row r="3587" customFormat="false" ht="15" hidden="false" customHeight="false" outlineLevel="0" collapsed="false">
      <c r="A3587" s="13" t="s">
        <v>11400</v>
      </c>
      <c r="B3587" s="13" t="n">
        <v>3582</v>
      </c>
      <c r="C3587" s="13" t="s">
        <v>11401</v>
      </c>
      <c r="D3587" s="13" t="n">
        <v>6</v>
      </c>
      <c r="E3587" s="36" t="s">
        <v>10079</v>
      </c>
      <c r="F3587" s="13" t="s">
        <v>1298</v>
      </c>
      <c r="G3587" s="13" t="s">
        <v>757</v>
      </c>
      <c r="H3587" s="13" t="s">
        <v>3694</v>
      </c>
      <c r="I3587" s="13" t="s">
        <v>86</v>
      </c>
      <c r="J3587" s="13" t="s">
        <v>10032</v>
      </c>
      <c r="K3587" s="30" t="n">
        <v>7</v>
      </c>
      <c r="L3587" s="31" t="n">
        <v>46129</v>
      </c>
      <c r="M3587" s="31" t="n">
        <v>46135</v>
      </c>
      <c r="N3587" s="13"/>
      <c r="O3587" s="13"/>
      <c r="P3587" s="13"/>
      <c r="Q3587" s="13"/>
    </row>
    <row r="3588" customFormat="false" ht="15" hidden="false" customHeight="false" outlineLevel="0" collapsed="false">
      <c r="A3588" s="16" t="s">
        <v>11402</v>
      </c>
      <c r="B3588" s="16" t="n">
        <v>3583</v>
      </c>
      <c r="C3588" s="16" t="s">
        <v>11403</v>
      </c>
      <c r="D3588" s="16" t="n">
        <v>7</v>
      </c>
      <c r="E3588" s="37" t="s">
        <v>10082</v>
      </c>
      <c r="F3588" s="16" t="s">
        <v>1285</v>
      </c>
      <c r="G3588" s="16" t="s">
        <v>757</v>
      </c>
      <c r="H3588" s="16" t="s">
        <v>3694</v>
      </c>
      <c r="I3588" s="16" t="s">
        <v>86</v>
      </c>
      <c r="J3588" s="16" t="s">
        <v>10079</v>
      </c>
      <c r="K3588" s="32" t="n">
        <v>1</v>
      </c>
      <c r="L3588" s="33" t="n">
        <v>46129</v>
      </c>
      <c r="M3588" s="33" t="n">
        <v>46129</v>
      </c>
      <c r="N3588" s="16" t="s">
        <v>11404</v>
      </c>
      <c r="O3588" s="16"/>
      <c r="P3588" s="16" t="str">
        <f aca="false">IF(AND(L3588&lt;=$D$2,M3588&gt;=$C$2),"Sí","")</f>
        <v/>
      </c>
      <c r="Q3588" s="18" t="str">
        <f aca="false">IF(COUNTIF(LOOKAHEAD!$A$5:$A$604,A3588)&gt;0,"En Lookahead",IF(P3588="Sí","INCORPORAR",""))</f>
        <v/>
      </c>
    </row>
    <row r="3589" customFormat="false" ht="15" hidden="false" customHeight="false" outlineLevel="0" collapsed="false">
      <c r="A3589" s="16" t="s">
        <v>11405</v>
      </c>
      <c r="B3589" s="16" t="n">
        <v>3584</v>
      </c>
      <c r="C3589" s="16" t="s">
        <v>11406</v>
      </c>
      <c r="D3589" s="16" t="n">
        <v>7</v>
      </c>
      <c r="E3589" s="37" t="s">
        <v>10086</v>
      </c>
      <c r="F3589" s="16" t="s">
        <v>1285</v>
      </c>
      <c r="G3589" s="16" t="s">
        <v>757</v>
      </c>
      <c r="H3589" s="16" t="s">
        <v>3694</v>
      </c>
      <c r="I3589" s="16" t="s">
        <v>86</v>
      </c>
      <c r="J3589" s="16" t="s">
        <v>10079</v>
      </c>
      <c r="K3589" s="32" t="n">
        <v>1</v>
      </c>
      <c r="L3589" s="33" t="n">
        <v>46130</v>
      </c>
      <c r="M3589" s="33" t="n">
        <v>46130</v>
      </c>
      <c r="N3589" s="16" t="s">
        <v>11407</v>
      </c>
      <c r="O3589" s="16"/>
      <c r="P3589" s="16" t="str">
        <f aca="false">IF(AND(L3589&lt;=$D$2,M3589&gt;=$C$2),"Sí","")</f>
        <v/>
      </c>
      <c r="Q3589" s="18" t="str">
        <f aca="false">IF(COUNTIF(LOOKAHEAD!$A$5:$A$604,A3589)&gt;0,"En Lookahead",IF(P3589="Sí","INCORPORAR",""))</f>
        <v/>
      </c>
    </row>
    <row r="3590" customFormat="false" ht="15" hidden="false" customHeight="false" outlineLevel="0" collapsed="false">
      <c r="A3590" s="16" t="s">
        <v>11408</v>
      </c>
      <c r="B3590" s="16" t="n">
        <v>3585</v>
      </c>
      <c r="C3590" s="16" t="s">
        <v>11409</v>
      </c>
      <c r="D3590" s="16" t="n">
        <v>7</v>
      </c>
      <c r="E3590" s="37" t="s">
        <v>10090</v>
      </c>
      <c r="F3590" s="16" t="s">
        <v>1285</v>
      </c>
      <c r="G3590" s="16" t="s">
        <v>757</v>
      </c>
      <c r="H3590" s="16" t="s">
        <v>3694</v>
      </c>
      <c r="I3590" s="16" t="s">
        <v>86</v>
      </c>
      <c r="J3590" s="16" t="s">
        <v>10079</v>
      </c>
      <c r="K3590" s="32" t="n">
        <v>1</v>
      </c>
      <c r="L3590" s="33" t="n">
        <v>46131</v>
      </c>
      <c r="M3590" s="33" t="n">
        <v>46131</v>
      </c>
      <c r="N3590" s="16" t="s">
        <v>11410</v>
      </c>
      <c r="O3590" s="16"/>
      <c r="P3590" s="16" t="str">
        <f aca="false">IF(AND(L3590&lt;=$D$2,M3590&gt;=$C$2),"Sí","")</f>
        <v/>
      </c>
      <c r="Q3590" s="18" t="str">
        <f aca="false">IF(COUNTIF(LOOKAHEAD!$A$5:$A$604,A3590)&gt;0,"En Lookahead",IF(P3590="Sí","INCORPORAR",""))</f>
        <v/>
      </c>
    </row>
    <row r="3591" customFormat="false" ht="15" hidden="false" customHeight="false" outlineLevel="0" collapsed="false">
      <c r="A3591" s="16" t="s">
        <v>11411</v>
      </c>
      <c r="B3591" s="16" t="n">
        <v>3586</v>
      </c>
      <c r="C3591" s="16" t="s">
        <v>11412</v>
      </c>
      <c r="D3591" s="16" t="n">
        <v>7</v>
      </c>
      <c r="E3591" s="37" t="s">
        <v>10094</v>
      </c>
      <c r="F3591" s="16" t="s">
        <v>1285</v>
      </c>
      <c r="G3591" s="16" t="s">
        <v>757</v>
      </c>
      <c r="H3591" s="16" t="s">
        <v>3694</v>
      </c>
      <c r="I3591" s="16" t="s">
        <v>86</v>
      </c>
      <c r="J3591" s="16" t="s">
        <v>10079</v>
      </c>
      <c r="K3591" s="32" t="n">
        <v>3</v>
      </c>
      <c r="L3591" s="33" t="n">
        <v>46132</v>
      </c>
      <c r="M3591" s="33" t="n">
        <v>46134</v>
      </c>
      <c r="N3591" s="16" t="s">
        <v>11413</v>
      </c>
      <c r="O3591" s="16"/>
      <c r="P3591" s="16" t="str">
        <f aca="false">IF(AND(L3591&lt;=$D$2,M3591&gt;=$C$2),"Sí","")</f>
        <v/>
      </c>
      <c r="Q3591" s="18" t="str">
        <f aca="false">IF(COUNTIF(LOOKAHEAD!$A$5:$A$604,A3591)&gt;0,"En Lookahead",IF(P3591="Sí","INCORPORAR",""))</f>
        <v/>
      </c>
    </row>
    <row r="3592" customFormat="false" ht="15" hidden="false" customHeight="false" outlineLevel="0" collapsed="false">
      <c r="A3592" s="16" t="s">
        <v>11414</v>
      </c>
      <c r="B3592" s="16" t="n">
        <v>3587</v>
      </c>
      <c r="C3592" s="16" t="s">
        <v>11415</v>
      </c>
      <c r="D3592" s="16" t="n">
        <v>7</v>
      </c>
      <c r="E3592" s="37" t="s">
        <v>10098</v>
      </c>
      <c r="F3592" s="16" t="s">
        <v>1285</v>
      </c>
      <c r="G3592" s="16" t="s">
        <v>757</v>
      </c>
      <c r="H3592" s="16" t="s">
        <v>3694</v>
      </c>
      <c r="I3592" s="16" t="s">
        <v>86</v>
      </c>
      <c r="J3592" s="16" t="s">
        <v>10079</v>
      </c>
      <c r="K3592" s="32" t="n">
        <v>1</v>
      </c>
      <c r="L3592" s="33" t="n">
        <v>46135</v>
      </c>
      <c r="M3592" s="33" t="n">
        <v>46135</v>
      </c>
      <c r="N3592" s="16" t="s">
        <v>11416</v>
      </c>
      <c r="O3592" s="16"/>
      <c r="P3592" s="16" t="str">
        <f aca="false">IF(AND(L3592&lt;=$D$2,M3592&gt;=$C$2),"Sí","")</f>
        <v/>
      </c>
      <c r="Q3592" s="18" t="str">
        <f aca="false">IF(COUNTIF(LOOKAHEAD!$A$5:$A$604,A3592)&gt;0,"En Lookahead",IF(P3592="Sí","INCORPORAR",""))</f>
        <v/>
      </c>
    </row>
    <row r="3593" customFormat="false" ht="15" hidden="false" customHeight="false" outlineLevel="0" collapsed="false">
      <c r="A3593" s="13" t="s">
        <v>11417</v>
      </c>
      <c r="B3593" s="13" t="n">
        <v>3588</v>
      </c>
      <c r="C3593" s="13" t="s">
        <v>11418</v>
      </c>
      <c r="D3593" s="13" t="n">
        <v>6</v>
      </c>
      <c r="E3593" s="36" t="s">
        <v>10102</v>
      </c>
      <c r="F3593" s="13" t="s">
        <v>1298</v>
      </c>
      <c r="G3593" s="13" t="s">
        <v>757</v>
      </c>
      <c r="H3593" s="13" t="s">
        <v>3694</v>
      </c>
      <c r="I3593" s="13" t="s">
        <v>86</v>
      </c>
      <c r="J3593" s="13" t="s">
        <v>10032</v>
      </c>
      <c r="K3593" s="30" t="n">
        <v>4</v>
      </c>
      <c r="L3593" s="31" t="n">
        <v>46136</v>
      </c>
      <c r="M3593" s="31" t="n">
        <v>46139</v>
      </c>
      <c r="N3593" s="13"/>
      <c r="O3593" s="13"/>
      <c r="P3593" s="13"/>
      <c r="Q3593" s="13"/>
    </row>
    <row r="3594" customFormat="false" ht="15" hidden="false" customHeight="false" outlineLevel="0" collapsed="false">
      <c r="A3594" s="16" t="s">
        <v>11419</v>
      </c>
      <c r="B3594" s="16" t="n">
        <v>3589</v>
      </c>
      <c r="C3594" s="16" t="s">
        <v>11420</v>
      </c>
      <c r="D3594" s="16" t="n">
        <v>7</v>
      </c>
      <c r="E3594" s="37" t="s">
        <v>10105</v>
      </c>
      <c r="F3594" s="16" t="s">
        <v>1285</v>
      </c>
      <c r="G3594" s="16" t="s">
        <v>757</v>
      </c>
      <c r="H3594" s="16" t="s">
        <v>3694</v>
      </c>
      <c r="I3594" s="16" t="s">
        <v>86</v>
      </c>
      <c r="J3594" s="16" t="s">
        <v>10102</v>
      </c>
      <c r="K3594" s="32" t="n">
        <v>1</v>
      </c>
      <c r="L3594" s="33" t="n">
        <v>46136</v>
      </c>
      <c r="M3594" s="33" t="n">
        <v>46136</v>
      </c>
      <c r="N3594" s="16" t="s">
        <v>11386</v>
      </c>
      <c r="O3594" s="16"/>
      <c r="P3594" s="16" t="str">
        <f aca="false">IF(AND(L3594&lt;=$D$2,M3594&gt;=$C$2),"Sí","")</f>
        <v/>
      </c>
      <c r="Q3594" s="18" t="str">
        <f aca="false">IF(COUNTIF(LOOKAHEAD!$A$5:$A$604,A3594)&gt;0,"En Lookahead",IF(P3594="Sí","INCORPORAR",""))</f>
        <v/>
      </c>
    </row>
    <row r="3595" customFormat="false" ht="15" hidden="false" customHeight="false" outlineLevel="0" collapsed="false">
      <c r="A3595" s="16" t="s">
        <v>11421</v>
      </c>
      <c r="B3595" s="16" t="n">
        <v>3590</v>
      </c>
      <c r="C3595" s="16" t="s">
        <v>11422</v>
      </c>
      <c r="D3595" s="16" t="n">
        <v>7</v>
      </c>
      <c r="E3595" s="37" t="s">
        <v>1557</v>
      </c>
      <c r="F3595" s="16" t="s">
        <v>1285</v>
      </c>
      <c r="G3595" s="16" t="s">
        <v>757</v>
      </c>
      <c r="H3595" s="16" t="s">
        <v>3694</v>
      </c>
      <c r="I3595" s="16" t="s">
        <v>86</v>
      </c>
      <c r="J3595" s="16" t="s">
        <v>10102</v>
      </c>
      <c r="K3595" s="32" t="n">
        <v>1</v>
      </c>
      <c r="L3595" s="33" t="n">
        <v>46137</v>
      </c>
      <c r="M3595" s="33" t="n">
        <v>46137</v>
      </c>
      <c r="N3595" s="16" t="s">
        <v>11423</v>
      </c>
      <c r="O3595" s="16"/>
      <c r="P3595" s="16" t="str">
        <f aca="false">IF(AND(L3595&lt;=$D$2,M3595&gt;=$C$2),"Sí","")</f>
        <v/>
      </c>
      <c r="Q3595" s="18" t="str">
        <f aca="false">IF(COUNTIF(LOOKAHEAD!$A$5:$A$604,A3595)&gt;0,"En Lookahead",IF(P3595="Sí","INCORPORAR",""))</f>
        <v/>
      </c>
    </row>
    <row r="3596" customFormat="false" ht="15" hidden="false" customHeight="false" outlineLevel="0" collapsed="false">
      <c r="A3596" s="16" t="s">
        <v>11424</v>
      </c>
      <c r="B3596" s="16" t="n">
        <v>3591</v>
      </c>
      <c r="C3596" s="16" t="s">
        <v>11425</v>
      </c>
      <c r="D3596" s="16" t="n">
        <v>7</v>
      </c>
      <c r="E3596" s="37" t="s">
        <v>10069</v>
      </c>
      <c r="F3596" s="16" t="s">
        <v>1285</v>
      </c>
      <c r="G3596" s="16" t="s">
        <v>757</v>
      </c>
      <c r="H3596" s="16" t="s">
        <v>3694</v>
      </c>
      <c r="I3596" s="16" t="s">
        <v>86</v>
      </c>
      <c r="J3596" s="16" t="s">
        <v>10102</v>
      </c>
      <c r="K3596" s="32" t="n">
        <v>1</v>
      </c>
      <c r="L3596" s="33" t="n">
        <v>46139</v>
      </c>
      <c r="M3596" s="33" t="n">
        <v>46139</v>
      </c>
      <c r="N3596" s="16" t="s">
        <v>11426</v>
      </c>
      <c r="O3596" s="16"/>
      <c r="P3596" s="16" t="str">
        <f aca="false">IF(AND(L3596&lt;=$D$2,M3596&gt;=$C$2),"Sí","")</f>
        <v/>
      </c>
      <c r="Q3596" s="18" t="str">
        <f aca="false">IF(COUNTIF(LOOKAHEAD!$A$5:$A$604,A3596)&gt;0,"En Lookahead",IF(P3596="Sí","INCORPORAR",""))</f>
        <v/>
      </c>
    </row>
    <row r="3597" customFormat="false" ht="15" hidden="false" customHeight="false" outlineLevel="0" collapsed="false">
      <c r="A3597" s="16" t="s">
        <v>11427</v>
      </c>
      <c r="B3597" s="16" t="n">
        <v>3592</v>
      </c>
      <c r="C3597" s="16" t="s">
        <v>11428</v>
      </c>
      <c r="D3597" s="16" t="n">
        <v>7</v>
      </c>
      <c r="E3597" s="37" t="s">
        <v>10115</v>
      </c>
      <c r="F3597" s="16" t="s">
        <v>1285</v>
      </c>
      <c r="G3597" s="16" t="s">
        <v>757</v>
      </c>
      <c r="H3597" s="16" t="s">
        <v>3694</v>
      </c>
      <c r="I3597" s="16" t="s">
        <v>86</v>
      </c>
      <c r="J3597" s="16" t="s">
        <v>10102</v>
      </c>
      <c r="K3597" s="32" t="n">
        <v>1</v>
      </c>
      <c r="L3597" s="33" t="n">
        <v>46138</v>
      </c>
      <c r="M3597" s="33" t="n">
        <v>46138</v>
      </c>
      <c r="N3597" s="16" t="s">
        <v>11429</v>
      </c>
      <c r="O3597" s="16"/>
      <c r="P3597" s="16" t="str">
        <f aca="false">IF(AND(L3597&lt;=$D$2,M3597&gt;=$C$2),"Sí","")</f>
        <v/>
      </c>
      <c r="Q3597" s="18" t="str">
        <f aca="false">IF(COUNTIF(LOOKAHEAD!$A$5:$A$604,A3597)&gt;0,"En Lookahead",IF(P3597="Sí","INCORPORAR",""))</f>
        <v/>
      </c>
    </row>
    <row r="3598" customFormat="false" ht="15" hidden="false" customHeight="false" outlineLevel="0" collapsed="false">
      <c r="A3598" s="13" t="s">
        <v>11430</v>
      </c>
      <c r="B3598" s="13" t="n">
        <v>3593</v>
      </c>
      <c r="C3598" s="13" t="s">
        <v>11431</v>
      </c>
      <c r="D3598" s="13" t="n">
        <v>6</v>
      </c>
      <c r="E3598" s="36" t="s">
        <v>11149</v>
      </c>
      <c r="F3598" s="13" t="s">
        <v>1298</v>
      </c>
      <c r="G3598" s="13" t="s">
        <v>757</v>
      </c>
      <c r="H3598" s="13" t="s">
        <v>3694</v>
      </c>
      <c r="I3598" s="13" t="s">
        <v>86</v>
      </c>
      <c r="J3598" s="13" t="s">
        <v>10032</v>
      </c>
      <c r="K3598" s="30" t="n">
        <v>10</v>
      </c>
      <c r="L3598" s="31" t="n">
        <v>46136</v>
      </c>
      <c r="M3598" s="31" t="n">
        <v>46145</v>
      </c>
      <c r="N3598" s="13"/>
      <c r="O3598" s="13"/>
      <c r="P3598" s="13"/>
      <c r="Q3598" s="13"/>
    </row>
    <row r="3599" customFormat="false" ht="15" hidden="false" customHeight="false" outlineLevel="0" collapsed="false">
      <c r="A3599" s="16" t="s">
        <v>11432</v>
      </c>
      <c r="B3599" s="16" t="n">
        <v>3594</v>
      </c>
      <c r="C3599" s="16" t="s">
        <v>11433</v>
      </c>
      <c r="D3599" s="16" t="n">
        <v>7</v>
      </c>
      <c r="E3599" s="37" t="s">
        <v>10125</v>
      </c>
      <c r="F3599" s="16" t="s">
        <v>1285</v>
      </c>
      <c r="G3599" s="16" t="s">
        <v>757</v>
      </c>
      <c r="H3599" s="16" t="s">
        <v>3694</v>
      </c>
      <c r="I3599" s="16" t="s">
        <v>86</v>
      </c>
      <c r="J3599" s="16" t="s">
        <v>11149</v>
      </c>
      <c r="K3599" s="32" t="n">
        <v>6</v>
      </c>
      <c r="L3599" s="33" t="n">
        <v>46136</v>
      </c>
      <c r="M3599" s="33" t="n">
        <v>46141</v>
      </c>
      <c r="N3599" s="16" t="s">
        <v>11386</v>
      </c>
      <c r="O3599" s="16"/>
      <c r="P3599" s="16" t="str">
        <f aca="false">IF(AND(L3599&lt;=$D$2,M3599&gt;=$C$2),"Sí","")</f>
        <v/>
      </c>
      <c r="Q3599" s="18" t="str">
        <f aca="false">IF(COUNTIF(LOOKAHEAD!$A$5:$A$604,A3599)&gt;0,"En Lookahead",IF(P3599="Sí","INCORPORAR",""))</f>
        <v/>
      </c>
    </row>
    <row r="3600" customFormat="false" ht="15" hidden="false" customHeight="false" outlineLevel="0" collapsed="false">
      <c r="A3600" s="16" t="s">
        <v>11434</v>
      </c>
      <c r="B3600" s="16" t="n">
        <v>3595</v>
      </c>
      <c r="C3600" s="16" t="s">
        <v>11435</v>
      </c>
      <c r="D3600" s="16" t="n">
        <v>7</v>
      </c>
      <c r="E3600" s="37" t="s">
        <v>10122</v>
      </c>
      <c r="F3600" s="16" t="s">
        <v>1285</v>
      </c>
      <c r="G3600" s="16" t="s">
        <v>757</v>
      </c>
      <c r="H3600" s="16" t="s">
        <v>3694</v>
      </c>
      <c r="I3600" s="16" t="s">
        <v>86</v>
      </c>
      <c r="J3600" s="16" t="s">
        <v>11149</v>
      </c>
      <c r="K3600" s="32" t="n">
        <v>4</v>
      </c>
      <c r="L3600" s="33" t="n">
        <v>46142</v>
      </c>
      <c r="M3600" s="33" t="n">
        <v>46145</v>
      </c>
      <c r="N3600" s="16" t="s">
        <v>11436</v>
      </c>
      <c r="O3600" s="16"/>
      <c r="P3600" s="16" t="str">
        <f aca="false">IF(AND(L3600&lt;=$D$2,M3600&gt;=$C$2),"Sí","")</f>
        <v/>
      </c>
      <c r="Q3600" s="18" t="str">
        <f aca="false">IF(COUNTIF(LOOKAHEAD!$A$5:$A$604,A3600)&gt;0,"En Lookahead",IF(P3600="Sí","INCORPORAR",""))</f>
        <v/>
      </c>
    </row>
    <row r="3601" customFormat="false" ht="15" hidden="false" customHeight="false" outlineLevel="0" collapsed="false">
      <c r="A3601" s="13" t="s">
        <v>11437</v>
      </c>
      <c r="B3601" s="13" t="n">
        <v>3596</v>
      </c>
      <c r="C3601" s="13" t="s">
        <v>11438</v>
      </c>
      <c r="D3601" s="13" t="n">
        <v>5</v>
      </c>
      <c r="E3601" s="34" t="s">
        <v>10129</v>
      </c>
      <c r="F3601" s="13" t="s">
        <v>1298</v>
      </c>
      <c r="G3601" s="13" t="s">
        <v>757</v>
      </c>
      <c r="H3601" s="13" t="s">
        <v>3694</v>
      </c>
      <c r="I3601" s="13" t="s">
        <v>86</v>
      </c>
      <c r="J3601" s="13" t="s">
        <v>3694</v>
      </c>
      <c r="K3601" s="30" t="n">
        <v>25</v>
      </c>
      <c r="L3601" s="31" t="n">
        <v>46113</v>
      </c>
      <c r="M3601" s="31" t="n">
        <v>46137</v>
      </c>
      <c r="N3601" s="13"/>
      <c r="O3601" s="13"/>
      <c r="P3601" s="13"/>
      <c r="Q3601" s="13"/>
    </row>
    <row r="3602" customFormat="false" ht="15" hidden="false" customHeight="false" outlineLevel="0" collapsed="false">
      <c r="A3602" s="13" t="s">
        <v>11439</v>
      </c>
      <c r="B3602" s="13" t="n">
        <v>3597</v>
      </c>
      <c r="C3602" s="13" t="s">
        <v>11440</v>
      </c>
      <c r="D3602" s="13" t="n">
        <v>6</v>
      </c>
      <c r="E3602" s="36" t="s">
        <v>10035</v>
      </c>
      <c r="F3602" s="13" t="s">
        <v>1298</v>
      </c>
      <c r="G3602" s="13" t="s">
        <v>757</v>
      </c>
      <c r="H3602" s="13" t="s">
        <v>3694</v>
      </c>
      <c r="I3602" s="13" t="s">
        <v>86</v>
      </c>
      <c r="J3602" s="13" t="s">
        <v>10129</v>
      </c>
      <c r="K3602" s="30" t="n">
        <v>1</v>
      </c>
      <c r="L3602" s="31" t="n">
        <v>46113</v>
      </c>
      <c r="M3602" s="31" t="n">
        <v>46113</v>
      </c>
      <c r="N3602" s="13"/>
      <c r="O3602" s="13"/>
      <c r="P3602" s="13"/>
      <c r="Q3602" s="13"/>
    </row>
    <row r="3603" customFormat="false" ht="15" hidden="false" customHeight="false" outlineLevel="0" collapsed="false">
      <c r="A3603" s="16" t="s">
        <v>11441</v>
      </c>
      <c r="B3603" s="16" t="n">
        <v>3598</v>
      </c>
      <c r="C3603" s="16" t="s">
        <v>11442</v>
      </c>
      <c r="D3603" s="16" t="n">
        <v>7</v>
      </c>
      <c r="E3603" s="37" t="s">
        <v>10038</v>
      </c>
      <c r="F3603" s="16" t="s">
        <v>1285</v>
      </c>
      <c r="G3603" s="16" t="s">
        <v>757</v>
      </c>
      <c r="H3603" s="16" t="s">
        <v>3694</v>
      </c>
      <c r="I3603" s="16" t="s">
        <v>86</v>
      </c>
      <c r="J3603" s="16" t="s">
        <v>10035</v>
      </c>
      <c r="K3603" s="32" t="n">
        <v>1</v>
      </c>
      <c r="L3603" s="33" t="n">
        <v>46113</v>
      </c>
      <c r="M3603" s="33" t="n">
        <v>46113</v>
      </c>
      <c r="N3603" s="16" t="s">
        <v>11369</v>
      </c>
      <c r="O3603" s="16"/>
      <c r="P3603" s="16" t="str">
        <f aca="false">IF(AND(L3603&lt;=$D$2,M3603&gt;=$C$2),"Sí","")</f>
        <v/>
      </c>
      <c r="Q3603" s="18" t="str">
        <f aca="false">IF(COUNTIF(LOOKAHEAD!$A$5:$A$604,A3603)&gt;0,"En Lookahead",IF(P3603="Sí","INCORPORAR",""))</f>
        <v/>
      </c>
    </row>
    <row r="3604" customFormat="false" ht="15" hidden="false" customHeight="false" outlineLevel="0" collapsed="false">
      <c r="A3604" s="13" t="s">
        <v>11443</v>
      </c>
      <c r="B3604" s="13" t="n">
        <v>3599</v>
      </c>
      <c r="C3604" s="13" t="s">
        <v>11444</v>
      </c>
      <c r="D3604" s="13" t="n">
        <v>6</v>
      </c>
      <c r="E3604" s="36" t="s">
        <v>1534</v>
      </c>
      <c r="F3604" s="13" t="s">
        <v>1298</v>
      </c>
      <c r="G3604" s="13" t="s">
        <v>757</v>
      </c>
      <c r="H3604" s="13" t="s">
        <v>3694</v>
      </c>
      <c r="I3604" s="13" t="s">
        <v>86</v>
      </c>
      <c r="J3604" s="13" t="s">
        <v>10129</v>
      </c>
      <c r="K3604" s="30" t="n">
        <v>19</v>
      </c>
      <c r="L3604" s="31" t="n">
        <v>46114</v>
      </c>
      <c r="M3604" s="31" t="n">
        <v>46132</v>
      </c>
      <c r="N3604" s="13"/>
      <c r="O3604" s="13"/>
      <c r="P3604" s="13"/>
      <c r="Q3604" s="13"/>
    </row>
    <row r="3605" customFormat="false" ht="15" hidden="false" customHeight="false" outlineLevel="0" collapsed="false">
      <c r="A3605" s="16" t="s">
        <v>11445</v>
      </c>
      <c r="B3605" s="16" t="n">
        <v>3600</v>
      </c>
      <c r="C3605" s="16" t="s">
        <v>11446</v>
      </c>
      <c r="D3605" s="16" t="n">
        <v>7</v>
      </c>
      <c r="E3605" s="37" t="s">
        <v>10043</v>
      </c>
      <c r="F3605" s="16" t="s">
        <v>1285</v>
      </c>
      <c r="G3605" s="16" t="s">
        <v>757</v>
      </c>
      <c r="H3605" s="16" t="s">
        <v>3694</v>
      </c>
      <c r="I3605" s="16" t="s">
        <v>86</v>
      </c>
      <c r="J3605" s="16" t="s">
        <v>1534</v>
      </c>
      <c r="K3605" s="32" t="n">
        <v>3</v>
      </c>
      <c r="L3605" s="33" t="n">
        <v>46114</v>
      </c>
      <c r="M3605" s="33" t="n">
        <v>46116</v>
      </c>
      <c r="N3605" s="16" t="s">
        <v>11447</v>
      </c>
      <c r="O3605" s="16"/>
      <c r="P3605" s="16" t="str">
        <f aca="false">IF(AND(L3605&lt;=$D$2,M3605&gt;=$C$2),"Sí","")</f>
        <v/>
      </c>
      <c r="Q3605" s="18" t="str">
        <f aca="false">IF(COUNTIF(LOOKAHEAD!$A$5:$A$604,A3605)&gt;0,"En Lookahead",IF(P3605="Sí","INCORPORAR",""))</f>
        <v/>
      </c>
    </row>
    <row r="3606" customFormat="false" ht="15" hidden="false" customHeight="false" outlineLevel="0" collapsed="false">
      <c r="A3606" s="16" t="s">
        <v>11448</v>
      </c>
      <c r="B3606" s="16" t="n">
        <v>3601</v>
      </c>
      <c r="C3606" s="16" t="s">
        <v>11449</v>
      </c>
      <c r="D3606" s="16" t="n">
        <v>7</v>
      </c>
      <c r="E3606" s="37" t="s">
        <v>10047</v>
      </c>
      <c r="F3606" s="16" t="s">
        <v>1285</v>
      </c>
      <c r="G3606" s="16" t="s">
        <v>757</v>
      </c>
      <c r="H3606" s="16" t="s">
        <v>3694</v>
      </c>
      <c r="I3606" s="16" t="s">
        <v>86</v>
      </c>
      <c r="J3606" s="16" t="s">
        <v>1534</v>
      </c>
      <c r="K3606" s="32" t="n">
        <v>1</v>
      </c>
      <c r="L3606" s="33" t="n">
        <v>46117</v>
      </c>
      <c r="M3606" s="33" t="n">
        <v>46117</v>
      </c>
      <c r="N3606" s="16" t="s">
        <v>11450</v>
      </c>
      <c r="O3606" s="16"/>
      <c r="P3606" s="16" t="str">
        <f aca="false">IF(AND(L3606&lt;=$D$2,M3606&gt;=$C$2),"Sí","")</f>
        <v/>
      </c>
      <c r="Q3606" s="18" t="str">
        <f aca="false">IF(COUNTIF(LOOKAHEAD!$A$5:$A$604,A3606)&gt;0,"En Lookahead",IF(P3606="Sí","INCORPORAR",""))</f>
        <v/>
      </c>
    </row>
    <row r="3607" customFormat="false" ht="15" hidden="false" customHeight="false" outlineLevel="0" collapsed="false">
      <c r="A3607" s="16" t="s">
        <v>11451</v>
      </c>
      <c r="B3607" s="16" t="n">
        <v>3602</v>
      </c>
      <c r="C3607" s="16" t="s">
        <v>11452</v>
      </c>
      <c r="D3607" s="16" t="n">
        <v>7</v>
      </c>
      <c r="E3607" s="37" t="s">
        <v>10051</v>
      </c>
      <c r="F3607" s="16" t="s">
        <v>1285</v>
      </c>
      <c r="G3607" s="16" t="s">
        <v>757</v>
      </c>
      <c r="H3607" s="16" t="s">
        <v>3694</v>
      </c>
      <c r="I3607" s="16" t="s">
        <v>86</v>
      </c>
      <c r="J3607" s="16" t="s">
        <v>1534</v>
      </c>
      <c r="K3607" s="32" t="n">
        <v>1</v>
      </c>
      <c r="L3607" s="33" t="n">
        <v>46118</v>
      </c>
      <c r="M3607" s="33" t="n">
        <v>46118</v>
      </c>
      <c r="N3607" s="16" t="s">
        <v>11453</v>
      </c>
      <c r="O3607" s="16"/>
      <c r="P3607" s="16" t="str">
        <f aca="false">IF(AND(L3607&lt;=$D$2,M3607&gt;=$C$2),"Sí","")</f>
        <v/>
      </c>
      <c r="Q3607" s="18" t="str">
        <f aca="false">IF(COUNTIF(LOOKAHEAD!$A$5:$A$604,A3607)&gt;0,"En Lookahead",IF(P3607="Sí","INCORPORAR",""))</f>
        <v/>
      </c>
    </row>
    <row r="3608" customFormat="false" ht="15" hidden="false" customHeight="false" outlineLevel="0" collapsed="false">
      <c r="A3608" s="16" t="s">
        <v>11454</v>
      </c>
      <c r="B3608" s="16" t="n">
        <v>3603</v>
      </c>
      <c r="C3608" s="16" t="s">
        <v>11455</v>
      </c>
      <c r="D3608" s="16" t="n">
        <v>7</v>
      </c>
      <c r="E3608" s="37" t="s">
        <v>10055</v>
      </c>
      <c r="F3608" s="16" t="s">
        <v>1285</v>
      </c>
      <c r="G3608" s="16" t="s">
        <v>757</v>
      </c>
      <c r="H3608" s="16" t="s">
        <v>3694</v>
      </c>
      <c r="I3608" s="16" t="s">
        <v>86</v>
      </c>
      <c r="J3608" s="16" t="s">
        <v>1534</v>
      </c>
      <c r="K3608" s="32" t="n">
        <v>1</v>
      </c>
      <c r="L3608" s="33" t="n">
        <v>46119</v>
      </c>
      <c r="M3608" s="33" t="n">
        <v>46119</v>
      </c>
      <c r="N3608" s="16" t="s">
        <v>11456</v>
      </c>
      <c r="O3608" s="16"/>
      <c r="P3608" s="16" t="str">
        <f aca="false">IF(AND(L3608&lt;=$D$2,M3608&gt;=$C$2),"Sí","")</f>
        <v/>
      </c>
      <c r="Q3608" s="18" t="str">
        <f aca="false">IF(COUNTIF(LOOKAHEAD!$A$5:$A$604,A3608)&gt;0,"En Lookahead",IF(P3608="Sí","INCORPORAR",""))</f>
        <v/>
      </c>
    </row>
    <row r="3609" customFormat="false" ht="15" hidden="false" customHeight="false" outlineLevel="0" collapsed="false">
      <c r="A3609" s="16" t="s">
        <v>11457</v>
      </c>
      <c r="B3609" s="16" t="n">
        <v>3604</v>
      </c>
      <c r="C3609" s="16" t="s">
        <v>11458</v>
      </c>
      <c r="D3609" s="16" t="n">
        <v>7</v>
      </c>
      <c r="E3609" s="37" t="s">
        <v>10059</v>
      </c>
      <c r="F3609" s="16" t="s">
        <v>1285</v>
      </c>
      <c r="G3609" s="16" t="s">
        <v>757</v>
      </c>
      <c r="H3609" s="16" t="s">
        <v>3694</v>
      </c>
      <c r="I3609" s="16" t="s">
        <v>86</v>
      </c>
      <c r="J3609" s="16" t="s">
        <v>1534</v>
      </c>
      <c r="K3609" s="32" t="n">
        <v>1</v>
      </c>
      <c r="L3609" s="33" t="n">
        <v>46130</v>
      </c>
      <c r="M3609" s="33" t="n">
        <v>46130</v>
      </c>
      <c r="N3609" s="16" t="s">
        <v>11459</v>
      </c>
      <c r="O3609" s="16"/>
      <c r="P3609" s="16" t="str">
        <f aca="false">IF(AND(L3609&lt;=$D$2,M3609&gt;=$C$2),"Sí","")</f>
        <v/>
      </c>
      <c r="Q3609" s="18" t="str">
        <f aca="false">IF(COUNTIF(LOOKAHEAD!$A$5:$A$604,A3609)&gt;0,"En Lookahead",IF(P3609="Sí","INCORPORAR",""))</f>
        <v/>
      </c>
    </row>
    <row r="3610" customFormat="false" ht="15" hidden="false" customHeight="false" outlineLevel="0" collapsed="false">
      <c r="A3610" s="16" t="s">
        <v>11460</v>
      </c>
      <c r="B3610" s="16" t="n">
        <v>3605</v>
      </c>
      <c r="C3610" s="16" t="s">
        <v>11461</v>
      </c>
      <c r="D3610" s="16" t="n">
        <v>7</v>
      </c>
      <c r="E3610" s="37" t="s">
        <v>10063</v>
      </c>
      <c r="F3610" s="16" t="s">
        <v>1285</v>
      </c>
      <c r="G3610" s="16" t="s">
        <v>757</v>
      </c>
      <c r="H3610" s="16" t="s">
        <v>3694</v>
      </c>
      <c r="I3610" s="16" t="s">
        <v>86</v>
      </c>
      <c r="J3610" s="16" t="s">
        <v>1534</v>
      </c>
      <c r="K3610" s="32" t="n">
        <v>1</v>
      </c>
      <c r="L3610" s="33" t="n">
        <v>46131</v>
      </c>
      <c r="M3610" s="33" t="n">
        <v>46131</v>
      </c>
      <c r="N3610" s="16" t="s">
        <v>11462</v>
      </c>
      <c r="O3610" s="16"/>
      <c r="P3610" s="16" t="str">
        <f aca="false">IF(AND(L3610&lt;=$D$2,M3610&gt;=$C$2),"Sí","")</f>
        <v/>
      </c>
      <c r="Q3610" s="18" t="str">
        <f aca="false">IF(COUNTIF(LOOKAHEAD!$A$5:$A$604,A3610)&gt;0,"En Lookahead",IF(P3610="Sí","INCORPORAR",""))</f>
        <v/>
      </c>
    </row>
    <row r="3611" customFormat="false" ht="15" hidden="false" customHeight="false" outlineLevel="0" collapsed="false">
      <c r="A3611" s="16" t="s">
        <v>11463</v>
      </c>
      <c r="B3611" s="16" t="n">
        <v>3606</v>
      </c>
      <c r="C3611" s="16" t="s">
        <v>11464</v>
      </c>
      <c r="D3611" s="16" t="n">
        <v>7</v>
      </c>
      <c r="E3611" s="37" t="s">
        <v>1557</v>
      </c>
      <c r="F3611" s="16" t="s">
        <v>1285</v>
      </c>
      <c r="G3611" s="16" t="s">
        <v>757</v>
      </c>
      <c r="H3611" s="16" t="s">
        <v>3694</v>
      </c>
      <c r="I3611" s="16" t="s">
        <v>86</v>
      </c>
      <c r="J3611" s="16" t="s">
        <v>1534</v>
      </c>
      <c r="K3611" s="32" t="n">
        <v>1</v>
      </c>
      <c r="L3611" s="33" t="n">
        <v>46130</v>
      </c>
      <c r="M3611" s="33" t="n">
        <v>46130</v>
      </c>
      <c r="N3611" s="16" t="s">
        <v>11465</v>
      </c>
      <c r="O3611" s="16"/>
      <c r="P3611" s="16" t="str">
        <f aca="false">IF(AND(L3611&lt;=$D$2,M3611&gt;=$C$2),"Sí","")</f>
        <v/>
      </c>
      <c r="Q3611" s="18" t="str">
        <f aca="false">IF(COUNTIF(LOOKAHEAD!$A$5:$A$604,A3611)&gt;0,"En Lookahead",IF(P3611="Sí","INCORPORAR",""))</f>
        <v/>
      </c>
    </row>
    <row r="3612" customFormat="false" ht="15" hidden="false" customHeight="false" outlineLevel="0" collapsed="false">
      <c r="A3612" s="16" t="s">
        <v>11466</v>
      </c>
      <c r="B3612" s="16" t="n">
        <v>3607</v>
      </c>
      <c r="C3612" s="16" t="s">
        <v>11467</v>
      </c>
      <c r="D3612" s="16" t="n">
        <v>7</v>
      </c>
      <c r="E3612" s="37" t="s">
        <v>10069</v>
      </c>
      <c r="F3612" s="16" t="s">
        <v>1285</v>
      </c>
      <c r="G3612" s="16" t="s">
        <v>757</v>
      </c>
      <c r="H3612" s="16" t="s">
        <v>3694</v>
      </c>
      <c r="I3612" s="16" t="s">
        <v>86</v>
      </c>
      <c r="J3612" s="16" t="s">
        <v>1534</v>
      </c>
      <c r="K3612" s="32" t="n">
        <v>1</v>
      </c>
      <c r="L3612" s="33" t="n">
        <v>46132</v>
      </c>
      <c r="M3612" s="33" t="n">
        <v>46132</v>
      </c>
      <c r="N3612" s="16" t="s">
        <v>11468</v>
      </c>
      <c r="O3612" s="16"/>
      <c r="P3612" s="16" t="str">
        <f aca="false">IF(AND(L3612&lt;=$D$2,M3612&gt;=$C$2),"Sí","")</f>
        <v/>
      </c>
      <c r="Q3612" s="18" t="str">
        <f aca="false">IF(COUNTIF(LOOKAHEAD!$A$5:$A$604,A3612)&gt;0,"En Lookahead",IF(P3612="Sí","INCORPORAR",""))</f>
        <v/>
      </c>
    </row>
    <row r="3613" customFormat="false" ht="15" hidden="false" customHeight="false" outlineLevel="0" collapsed="false">
      <c r="A3613" s="13" t="s">
        <v>11469</v>
      </c>
      <c r="B3613" s="13" t="n">
        <v>3608</v>
      </c>
      <c r="C3613" s="13" t="s">
        <v>11470</v>
      </c>
      <c r="D3613" s="13" t="n">
        <v>6</v>
      </c>
      <c r="E3613" s="36" t="s">
        <v>10162</v>
      </c>
      <c r="F3613" s="13" t="s">
        <v>1298</v>
      </c>
      <c r="G3613" s="13" t="s">
        <v>757</v>
      </c>
      <c r="H3613" s="13" t="s">
        <v>3694</v>
      </c>
      <c r="I3613" s="13" t="s">
        <v>86</v>
      </c>
      <c r="J3613" s="13" t="s">
        <v>10129</v>
      </c>
      <c r="K3613" s="30" t="n">
        <v>2</v>
      </c>
      <c r="L3613" s="31" t="n">
        <v>46133</v>
      </c>
      <c r="M3613" s="31" t="n">
        <v>46134</v>
      </c>
      <c r="N3613" s="13"/>
      <c r="O3613" s="13"/>
      <c r="P3613" s="13"/>
      <c r="Q3613" s="13"/>
    </row>
    <row r="3614" customFormat="false" ht="15" hidden="false" customHeight="false" outlineLevel="0" collapsed="false">
      <c r="A3614" s="16" t="s">
        <v>11471</v>
      </c>
      <c r="B3614" s="16" t="n">
        <v>3609</v>
      </c>
      <c r="C3614" s="16" t="s">
        <v>11472</v>
      </c>
      <c r="D3614" s="16" t="n">
        <v>7</v>
      </c>
      <c r="E3614" s="37" t="s">
        <v>10165</v>
      </c>
      <c r="F3614" s="16" t="s">
        <v>1285</v>
      </c>
      <c r="G3614" s="16" t="s">
        <v>757</v>
      </c>
      <c r="H3614" s="16" t="s">
        <v>3694</v>
      </c>
      <c r="I3614" s="16" t="s">
        <v>86</v>
      </c>
      <c r="J3614" s="16" t="s">
        <v>10162</v>
      </c>
      <c r="K3614" s="32" t="n">
        <v>1</v>
      </c>
      <c r="L3614" s="33" t="n">
        <v>46133</v>
      </c>
      <c r="M3614" s="33" t="n">
        <v>46133</v>
      </c>
      <c r="N3614" s="16" t="s">
        <v>11473</v>
      </c>
      <c r="O3614" s="16"/>
      <c r="P3614" s="16" t="str">
        <f aca="false">IF(AND(L3614&lt;=$D$2,M3614&gt;=$C$2),"Sí","")</f>
        <v/>
      </c>
      <c r="Q3614" s="18" t="str">
        <f aca="false">IF(COUNTIF(LOOKAHEAD!$A$5:$A$604,A3614)&gt;0,"En Lookahead",IF(P3614="Sí","INCORPORAR",""))</f>
        <v/>
      </c>
    </row>
    <row r="3615" customFormat="false" ht="15" hidden="false" customHeight="false" outlineLevel="0" collapsed="false">
      <c r="A3615" s="16" t="s">
        <v>11474</v>
      </c>
      <c r="B3615" s="16" t="n">
        <v>3610</v>
      </c>
      <c r="C3615" s="16" t="s">
        <v>11475</v>
      </c>
      <c r="D3615" s="16" t="n">
        <v>7</v>
      </c>
      <c r="E3615" s="37" t="s">
        <v>10169</v>
      </c>
      <c r="F3615" s="16" t="s">
        <v>1285</v>
      </c>
      <c r="G3615" s="16" t="s">
        <v>757</v>
      </c>
      <c r="H3615" s="16" t="s">
        <v>3694</v>
      </c>
      <c r="I3615" s="16" t="s">
        <v>86</v>
      </c>
      <c r="J3615" s="16" t="s">
        <v>10162</v>
      </c>
      <c r="K3615" s="32" t="n">
        <v>1</v>
      </c>
      <c r="L3615" s="33" t="n">
        <v>46134</v>
      </c>
      <c r="M3615" s="33" t="n">
        <v>46134</v>
      </c>
      <c r="N3615" s="16" t="s">
        <v>11476</v>
      </c>
      <c r="O3615" s="16"/>
      <c r="P3615" s="16" t="str">
        <f aca="false">IF(AND(L3615&lt;=$D$2,M3615&gt;=$C$2),"Sí","")</f>
        <v/>
      </c>
      <c r="Q3615" s="18" t="str">
        <f aca="false">IF(COUNTIF(LOOKAHEAD!$A$5:$A$604,A3615)&gt;0,"En Lookahead",IF(P3615="Sí","INCORPORAR",""))</f>
        <v/>
      </c>
    </row>
    <row r="3616" customFormat="false" ht="15" hidden="false" customHeight="false" outlineLevel="0" collapsed="false">
      <c r="A3616" s="13" t="s">
        <v>11477</v>
      </c>
      <c r="B3616" s="13" t="n">
        <v>3611</v>
      </c>
      <c r="C3616" s="13" t="s">
        <v>11478</v>
      </c>
      <c r="D3616" s="13" t="n">
        <v>6</v>
      </c>
      <c r="E3616" s="36" t="s">
        <v>10173</v>
      </c>
      <c r="F3616" s="13" t="s">
        <v>1298</v>
      </c>
      <c r="G3616" s="13" t="s">
        <v>757</v>
      </c>
      <c r="H3616" s="13" t="s">
        <v>3694</v>
      </c>
      <c r="I3616" s="13" t="s">
        <v>86</v>
      </c>
      <c r="J3616" s="13" t="s">
        <v>10129</v>
      </c>
      <c r="K3616" s="30" t="n">
        <v>14</v>
      </c>
      <c r="L3616" s="31" t="n">
        <v>46119</v>
      </c>
      <c r="M3616" s="31" t="n">
        <v>46132</v>
      </c>
      <c r="N3616" s="13"/>
      <c r="O3616" s="13"/>
      <c r="P3616" s="13"/>
      <c r="Q3616" s="13"/>
    </row>
    <row r="3617" customFormat="false" ht="15" hidden="false" customHeight="false" outlineLevel="0" collapsed="false">
      <c r="A3617" s="16" t="s">
        <v>11479</v>
      </c>
      <c r="B3617" s="16" t="n">
        <v>3612</v>
      </c>
      <c r="C3617" s="16" t="s">
        <v>11480</v>
      </c>
      <c r="D3617" s="16" t="n">
        <v>7</v>
      </c>
      <c r="E3617" s="37" t="s">
        <v>10176</v>
      </c>
      <c r="F3617" s="16" t="s">
        <v>1285</v>
      </c>
      <c r="G3617" s="16" t="s">
        <v>757</v>
      </c>
      <c r="H3617" s="16" t="s">
        <v>3694</v>
      </c>
      <c r="I3617" s="16" t="s">
        <v>86</v>
      </c>
      <c r="J3617" s="16" t="s">
        <v>10173</v>
      </c>
      <c r="K3617" s="32" t="n">
        <v>1</v>
      </c>
      <c r="L3617" s="33" t="n">
        <v>46119</v>
      </c>
      <c r="M3617" s="33" t="n">
        <v>46119</v>
      </c>
      <c r="N3617" s="16" t="s">
        <v>11456</v>
      </c>
      <c r="O3617" s="16"/>
      <c r="P3617" s="16" t="str">
        <f aca="false">IF(AND(L3617&lt;=$D$2,M3617&gt;=$C$2),"Sí","")</f>
        <v/>
      </c>
      <c r="Q3617" s="18" t="str">
        <f aca="false">IF(COUNTIF(LOOKAHEAD!$A$5:$A$604,A3617)&gt;0,"En Lookahead",IF(P3617="Sí","INCORPORAR",""))</f>
        <v/>
      </c>
    </row>
    <row r="3618" customFormat="false" ht="15" hidden="false" customHeight="false" outlineLevel="0" collapsed="false">
      <c r="A3618" s="16" t="s">
        <v>11481</v>
      </c>
      <c r="B3618" s="16" t="n">
        <v>3613</v>
      </c>
      <c r="C3618" s="16" t="s">
        <v>11482</v>
      </c>
      <c r="D3618" s="16" t="n">
        <v>7</v>
      </c>
      <c r="E3618" s="37" t="s">
        <v>10075</v>
      </c>
      <c r="F3618" s="16" t="s">
        <v>1285</v>
      </c>
      <c r="G3618" s="16" t="s">
        <v>757</v>
      </c>
      <c r="H3618" s="16" t="s">
        <v>3694</v>
      </c>
      <c r="I3618" s="16" t="s">
        <v>86</v>
      </c>
      <c r="J3618" s="16" t="s">
        <v>10173</v>
      </c>
      <c r="K3618" s="32" t="n">
        <v>1</v>
      </c>
      <c r="L3618" s="33" t="n">
        <v>46120</v>
      </c>
      <c r="M3618" s="33" t="n">
        <v>46120</v>
      </c>
      <c r="N3618" s="16" t="s">
        <v>11483</v>
      </c>
      <c r="O3618" s="16"/>
      <c r="P3618" s="16" t="str">
        <f aca="false">IF(AND(L3618&lt;=$D$2,M3618&gt;=$C$2),"Sí","")</f>
        <v/>
      </c>
      <c r="Q3618" s="18" t="str">
        <f aca="false">IF(COUNTIF(LOOKAHEAD!$A$5:$A$604,A3618)&gt;0,"En Lookahead",IF(P3618="Sí","INCORPORAR",""))</f>
        <v/>
      </c>
    </row>
    <row r="3619" customFormat="false" ht="15" hidden="false" customHeight="false" outlineLevel="0" collapsed="false">
      <c r="A3619" s="16" t="s">
        <v>11484</v>
      </c>
      <c r="B3619" s="16" t="n">
        <v>3614</v>
      </c>
      <c r="C3619" s="16" t="s">
        <v>11485</v>
      </c>
      <c r="D3619" s="16" t="n">
        <v>7</v>
      </c>
      <c r="E3619" s="37" t="s">
        <v>10182</v>
      </c>
      <c r="F3619" s="16" t="s">
        <v>1285</v>
      </c>
      <c r="G3619" s="16" t="s">
        <v>757</v>
      </c>
      <c r="H3619" s="16" t="s">
        <v>3694</v>
      </c>
      <c r="I3619" s="16" t="s">
        <v>86</v>
      </c>
      <c r="J3619" s="16" t="s">
        <v>10173</v>
      </c>
      <c r="K3619" s="32" t="n">
        <v>1</v>
      </c>
      <c r="L3619" s="33" t="n">
        <v>46132</v>
      </c>
      <c r="M3619" s="33" t="n">
        <v>46132</v>
      </c>
      <c r="N3619" s="16" t="s">
        <v>11468</v>
      </c>
      <c r="O3619" s="16"/>
      <c r="P3619" s="16" t="str">
        <f aca="false">IF(AND(L3619&lt;=$D$2,M3619&gt;=$C$2),"Sí","")</f>
        <v/>
      </c>
      <c r="Q3619" s="18" t="str">
        <f aca="false">IF(COUNTIF(LOOKAHEAD!$A$5:$A$604,A3619)&gt;0,"En Lookahead",IF(P3619="Sí","INCORPORAR",""))</f>
        <v/>
      </c>
    </row>
    <row r="3620" customFormat="false" ht="15" hidden="false" customHeight="false" outlineLevel="0" collapsed="false">
      <c r="A3620" s="13" t="s">
        <v>11486</v>
      </c>
      <c r="B3620" s="13" t="n">
        <v>3615</v>
      </c>
      <c r="C3620" s="13" t="s">
        <v>11487</v>
      </c>
      <c r="D3620" s="13" t="n">
        <v>6</v>
      </c>
      <c r="E3620" s="36" t="s">
        <v>10079</v>
      </c>
      <c r="F3620" s="13" t="s">
        <v>1298</v>
      </c>
      <c r="G3620" s="13" t="s">
        <v>757</v>
      </c>
      <c r="H3620" s="13" t="s">
        <v>3694</v>
      </c>
      <c r="I3620" s="13" t="s">
        <v>86</v>
      </c>
      <c r="J3620" s="13" t="s">
        <v>10129</v>
      </c>
      <c r="K3620" s="30" t="n">
        <v>9</v>
      </c>
      <c r="L3620" s="31" t="n">
        <v>46121</v>
      </c>
      <c r="M3620" s="31" t="n">
        <v>46129</v>
      </c>
      <c r="N3620" s="13"/>
      <c r="O3620" s="13"/>
      <c r="P3620" s="13"/>
      <c r="Q3620" s="13"/>
    </row>
    <row r="3621" customFormat="false" ht="15" hidden="false" customHeight="false" outlineLevel="0" collapsed="false">
      <c r="A3621" s="16" t="s">
        <v>11488</v>
      </c>
      <c r="B3621" s="16" t="n">
        <v>3616</v>
      </c>
      <c r="C3621" s="16" t="s">
        <v>11489</v>
      </c>
      <c r="D3621" s="16" t="n">
        <v>7</v>
      </c>
      <c r="E3621" s="37" t="s">
        <v>10187</v>
      </c>
      <c r="F3621" s="16" t="s">
        <v>1285</v>
      </c>
      <c r="G3621" s="16" t="s">
        <v>757</v>
      </c>
      <c r="H3621" s="16" t="s">
        <v>3694</v>
      </c>
      <c r="I3621" s="16" t="s">
        <v>86</v>
      </c>
      <c r="J3621" s="16" t="s">
        <v>10079</v>
      </c>
      <c r="K3621" s="32" t="n">
        <v>1</v>
      </c>
      <c r="L3621" s="33" t="n">
        <v>46121</v>
      </c>
      <c r="M3621" s="33" t="n">
        <v>46121</v>
      </c>
      <c r="N3621" s="16" t="s">
        <v>11490</v>
      </c>
      <c r="O3621" s="16"/>
      <c r="P3621" s="16" t="str">
        <f aca="false">IF(AND(L3621&lt;=$D$2,M3621&gt;=$C$2),"Sí","")</f>
        <v/>
      </c>
      <c r="Q3621" s="18" t="str">
        <f aca="false">IF(COUNTIF(LOOKAHEAD!$A$5:$A$604,A3621)&gt;0,"En Lookahead",IF(P3621="Sí","INCORPORAR",""))</f>
        <v/>
      </c>
    </row>
    <row r="3622" customFormat="false" ht="15" hidden="false" customHeight="false" outlineLevel="0" collapsed="false">
      <c r="A3622" s="16" t="s">
        <v>11491</v>
      </c>
      <c r="B3622" s="16" t="n">
        <v>3617</v>
      </c>
      <c r="C3622" s="16" t="s">
        <v>11492</v>
      </c>
      <c r="D3622" s="16" t="n">
        <v>7</v>
      </c>
      <c r="E3622" s="37" t="s">
        <v>10190</v>
      </c>
      <c r="F3622" s="16" t="s">
        <v>1285</v>
      </c>
      <c r="G3622" s="16" t="s">
        <v>757</v>
      </c>
      <c r="H3622" s="16" t="s">
        <v>3694</v>
      </c>
      <c r="I3622" s="16" t="s">
        <v>86</v>
      </c>
      <c r="J3622" s="16" t="s">
        <v>10079</v>
      </c>
      <c r="K3622" s="32" t="n">
        <v>1</v>
      </c>
      <c r="L3622" s="33" t="n">
        <v>46122</v>
      </c>
      <c r="M3622" s="33" t="n">
        <v>46122</v>
      </c>
      <c r="N3622" s="16" t="s">
        <v>11493</v>
      </c>
      <c r="O3622" s="16"/>
      <c r="P3622" s="16" t="str">
        <f aca="false">IF(AND(L3622&lt;=$D$2,M3622&gt;=$C$2),"Sí","")</f>
        <v/>
      </c>
      <c r="Q3622" s="18" t="str">
        <f aca="false">IF(COUNTIF(LOOKAHEAD!$A$5:$A$604,A3622)&gt;0,"En Lookahead",IF(P3622="Sí","INCORPORAR",""))</f>
        <v/>
      </c>
    </row>
    <row r="3623" customFormat="false" ht="15" hidden="false" customHeight="false" outlineLevel="0" collapsed="false">
      <c r="A3623" s="16" t="s">
        <v>11494</v>
      </c>
      <c r="B3623" s="16" t="n">
        <v>3618</v>
      </c>
      <c r="C3623" s="16" t="s">
        <v>11495</v>
      </c>
      <c r="D3623" s="16" t="n">
        <v>7</v>
      </c>
      <c r="E3623" s="37" t="s">
        <v>10082</v>
      </c>
      <c r="F3623" s="16" t="s">
        <v>1285</v>
      </c>
      <c r="G3623" s="16" t="s">
        <v>757</v>
      </c>
      <c r="H3623" s="16" t="s">
        <v>3694</v>
      </c>
      <c r="I3623" s="16" t="s">
        <v>86</v>
      </c>
      <c r="J3623" s="16" t="s">
        <v>10079</v>
      </c>
      <c r="K3623" s="32" t="n">
        <v>1</v>
      </c>
      <c r="L3623" s="33" t="n">
        <v>46123</v>
      </c>
      <c r="M3623" s="33" t="n">
        <v>46123</v>
      </c>
      <c r="N3623" s="16" t="s">
        <v>11496</v>
      </c>
      <c r="O3623" s="16"/>
      <c r="P3623" s="16" t="str">
        <f aca="false">IF(AND(L3623&lt;=$D$2,M3623&gt;=$C$2),"Sí","")</f>
        <v/>
      </c>
      <c r="Q3623" s="18" t="str">
        <f aca="false">IF(COUNTIF(LOOKAHEAD!$A$5:$A$604,A3623)&gt;0,"En Lookahead",IF(P3623="Sí","INCORPORAR",""))</f>
        <v/>
      </c>
    </row>
    <row r="3624" customFormat="false" ht="15" hidden="false" customHeight="false" outlineLevel="0" collapsed="false">
      <c r="A3624" s="16" t="s">
        <v>11497</v>
      </c>
      <c r="B3624" s="16" t="n">
        <v>3619</v>
      </c>
      <c r="C3624" s="16" t="s">
        <v>11498</v>
      </c>
      <c r="D3624" s="16" t="n">
        <v>7</v>
      </c>
      <c r="E3624" s="37" t="s">
        <v>10194</v>
      </c>
      <c r="F3624" s="16" t="s">
        <v>1285</v>
      </c>
      <c r="G3624" s="16" t="s">
        <v>757</v>
      </c>
      <c r="H3624" s="16" t="s">
        <v>3694</v>
      </c>
      <c r="I3624" s="16" t="s">
        <v>86</v>
      </c>
      <c r="J3624" s="16" t="s">
        <v>10079</v>
      </c>
      <c r="K3624" s="32" t="n">
        <v>1</v>
      </c>
      <c r="L3624" s="33" t="n">
        <v>46124</v>
      </c>
      <c r="M3624" s="33" t="n">
        <v>46124</v>
      </c>
      <c r="N3624" s="16" t="s">
        <v>11499</v>
      </c>
      <c r="O3624" s="16"/>
      <c r="P3624" s="16" t="str">
        <f aca="false">IF(AND(L3624&lt;=$D$2,M3624&gt;=$C$2),"Sí","")</f>
        <v/>
      </c>
      <c r="Q3624" s="18" t="str">
        <f aca="false">IF(COUNTIF(LOOKAHEAD!$A$5:$A$604,A3624)&gt;0,"En Lookahead",IF(P3624="Sí","INCORPORAR",""))</f>
        <v/>
      </c>
    </row>
    <row r="3625" customFormat="false" ht="15" hidden="false" customHeight="false" outlineLevel="0" collapsed="false">
      <c r="A3625" s="16" t="s">
        <v>11500</v>
      </c>
      <c r="B3625" s="16" t="n">
        <v>3620</v>
      </c>
      <c r="C3625" s="16" t="s">
        <v>11501</v>
      </c>
      <c r="D3625" s="16" t="n">
        <v>7</v>
      </c>
      <c r="E3625" s="37" t="s">
        <v>10090</v>
      </c>
      <c r="F3625" s="16" t="s">
        <v>1285</v>
      </c>
      <c r="G3625" s="16" t="s">
        <v>757</v>
      </c>
      <c r="H3625" s="16" t="s">
        <v>3694</v>
      </c>
      <c r="I3625" s="16" t="s">
        <v>86</v>
      </c>
      <c r="J3625" s="16" t="s">
        <v>10079</v>
      </c>
      <c r="K3625" s="32" t="n">
        <v>1</v>
      </c>
      <c r="L3625" s="33" t="n">
        <v>46125</v>
      </c>
      <c r="M3625" s="33" t="n">
        <v>46125</v>
      </c>
      <c r="N3625" s="16" t="s">
        <v>11502</v>
      </c>
      <c r="O3625" s="16"/>
      <c r="P3625" s="16" t="str">
        <f aca="false">IF(AND(L3625&lt;=$D$2,M3625&gt;=$C$2),"Sí","")</f>
        <v/>
      </c>
      <c r="Q3625" s="18" t="str">
        <f aca="false">IF(COUNTIF(LOOKAHEAD!$A$5:$A$604,A3625)&gt;0,"En Lookahead",IF(P3625="Sí","INCORPORAR",""))</f>
        <v/>
      </c>
    </row>
    <row r="3626" customFormat="false" ht="15" hidden="false" customHeight="false" outlineLevel="0" collapsed="false">
      <c r="A3626" s="16" t="s">
        <v>11503</v>
      </c>
      <c r="B3626" s="16" t="n">
        <v>3621</v>
      </c>
      <c r="C3626" s="16" t="s">
        <v>11504</v>
      </c>
      <c r="D3626" s="16" t="n">
        <v>7</v>
      </c>
      <c r="E3626" s="37" t="s">
        <v>10622</v>
      </c>
      <c r="F3626" s="16" t="s">
        <v>1285</v>
      </c>
      <c r="G3626" s="16" t="s">
        <v>757</v>
      </c>
      <c r="H3626" s="16" t="s">
        <v>3694</v>
      </c>
      <c r="I3626" s="16" t="s">
        <v>86</v>
      </c>
      <c r="J3626" s="16" t="s">
        <v>10079</v>
      </c>
      <c r="K3626" s="32" t="n">
        <v>1</v>
      </c>
      <c r="L3626" s="33" t="n">
        <v>46126</v>
      </c>
      <c r="M3626" s="33" t="n">
        <v>46126</v>
      </c>
      <c r="N3626" s="16" t="s">
        <v>11505</v>
      </c>
      <c r="O3626" s="16"/>
      <c r="P3626" s="16" t="str">
        <f aca="false">IF(AND(L3626&lt;=$D$2,M3626&gt;=$C$2),"Sí","")</f>
        <v/>
      </c>
      <c r="Q3626" s="18" t="str">
        <f aca="false">IF(COUNTIF(LOOKAHEAD!$A$5:$A$604,A3626)&gt;0,"En Lookahead",IF(P3626="Sí","INCORPORAR",""))</f>
        <v/>
      </c>
    </row>
    <row r="3627" customFormat="false" ht="15" hidden="false" customHeight="false" outlineLevel="0" collapsed="false">
      <c r="A3627" s="16" t="s">
        <v>11506</v>
      </c>
      <c r="B3627" s="16" t="n">
        <v>3622</v>
      </c>
      <c r="C3627" s="16" t="s">
        <v>11507</v>
      </c>
      <c r="D3627" s="16" t="n">
        <v>7</v>
      </c>
      <c r="E3627" s="37" t="s">
        <v>10212</v>
      </c>
      <c r="F3627" s="16" t="s">
        <v>1285</v>
      </c>
      <c r="G3627" s="16" t="s">
        <v>757</v>
      </c>
      <c r="H3627" s="16" t="s">
        <v>3694</v>
      </c>
      <c r="I3627" s="16" t="s">
        <v>86</v>
      </c>
      <c r="J3627" s="16" t="s">
        <v>10079</v>
      </c>
      <c r="K3627" s="32" t="n">
        <v>1</v>
      </c>
      <c r="L3627" s="33" t="n">
        <v>46127</v>
      </c>
      <c r="M3627" s="33" t="n">
        <v>46127</v>
      </c>
      <c r="N3627" s="16" t="s">
        <v>11508</v>
      </c>
      <c r="O3627" s="16"/>
      <c r="P3627" s="16" t="str">
        <f aca="false">IF(AND(L3627&lt;=$D$2,M3627&gt;=$C$2),"Sí","")</f>
        <v/>
      </c>
      <c r="Q3627" s="18" t="str">
        <f aca="false">IF(COUNTIF(LOOKAHEAD!$A$5:$A$604,A3627)&gt;0,"En Lookahead",IF(P3627="Sí","INCORPORAR",""))</f>
        <v/>
      </c>
    </row>
    <row r="3628" customFormat="false" ht="15" hidden="false" customHeight="false" outlineLevel="0" collapsed="false">
      <c r="A3628" s="16" t="s">
        <v>11509</v>
      </c>
      <c r="B3628" s="16" t="n">
        <v>3623</v>
      </c>
      <c r="C3628" s="16" t="s">
        <v>11510</v>
      </c>
      <c r="D3628" s="16" t="n">
        <v>7</v>
      </c>
      <c r="E3628" s="37" t="s">
        <v>10216</v>
      </c>
      <c r="F3628" s="16" t="s">
        <v>1285</v>
      </c>
      <c r="G3628" s="16" t="s">
        <v>757</v>
      </c>
      <c r="H3628" s="16" t="s">
        <v>3694</v>
      </c>
      <c r="I3628" s="16" t="s">
        <v>86</v>
      </c>
      <c r="J3628" s="16" t="s">
        <v>10079</v>
      </c>
      <c r="K3628" s="32" t="n">
        <v>1</v>
      </c>
      <c r="L3628" s="33" t="n">
        <v>46128</v>
      </c>
      <c r="M3628" s="33" t="n">
        <v>46128</v>
      </c>
      <c r="N3628" s="16" t="s">
        <v>11511</v>
      </c>
      <c r="O3628" s="16"/>
      <c r="P3628" s="16" t="str">
        <f aca="false">IF(AND(L3628&lt;=$D$2,M3628&gt;=$C$2),"Sí","")</f>
        <v/>
      </c>
      <c r="Q3628" s="18" t="str">
        <f aca="false">IF(COUNTIF(LOOKAHEAD!$A$5:$A$604,A3628)&gt;0,"En Lookahead",IF(P3628="Sí","INCORPORAR",""))</f>
        <v/>
      </c>
    </row>
    <row r="3629" customFormat="false" ht="15" hidden="false" customHeight="false" outlineLevel="0" collapsed="false">
      <c r="A3629" s="16" t="s">
        <v>11512</v>
      </c>
      <c r="B3629" s="16" t="n">
        <v>3624</v>
      </c>
      <c r="C3629" s="16" t="s">
        <v>11513</v>
      </c>
      <c r="D3629" s="16" t="n">
        <v>7</v>
      </c>
      <c r="E3629" s="37" t="s">
        <v>10220</v>
      </c>
      <c r="F3629" s="16" t="s">
        <v>1285</v>
      </c>
      <c r="G3629" s="16" t="s">
        <v>757</v>
      </c>
      <c r="H3629" s="16" t="s">
        <v>3694</v>
      </c>
      <c r="I3629" s="16" t="s">
        <v>86</v>
      </c>
      <c r="J3629" s="16" t="s">
        <v>10079</v>
      </c>
      <c r="K3629" s="32" t="n">
        <v>1</v>
      </c>
      <c r="L3629" s="33" t="n">
        <v>46129</v>
      </c>
      <c r="M3629" s="33" t="n">
        <v>46129</v>
      </c>
      <c r="N3629" s="16" t="s">
        <v>11514</v>
      </c>
      <c r="O3629" s="16"/>
      <c r="P3629" s="16" t="str">
        <f aca="false">IF(AND(L3629&lt;=$D$2,M3629&gt;=$C$2),"Sí","")</f>
        <v/>
      </c>
      <c r="Q3629" s="18" t="str">
        <f aca="false">IF(COUNTIF(LOOKAHEAD!$A$5:$A$604,A3629)&gt;0,"En Lookahead",IF(P3629="Sí","INCORPORAR",""))</f>
        <v/>
      </c>
    </row>
    <row r="3630" customFormat="false" ht="15" hidden="false" customHeight="false" outlineLevel="0" collapsed="false">
      <c r="A3630" s="13" t="s">
        <v>11515</v>
      </c>
      <c r="B3630" s="13" t="n">
        <v>3625</v>
      </c>
      <c r="C3630" s="13" t="s">
        <v>11516</v>
      </c>
      <c r="D3630" s="13" t="n">
        <v>6</v>
      </c>
      <c r="E3630" s="36" t="s">
        <v>10236</v>
      </c>
      <c r="F3630" s="13" t="s">
        <v>1298</v>
      </c>
      <c r="G3630" s="13" t="s">
        <v>757</v>
      </c>
      <c r="H3630" s="13" t="s">
        <v>3694</v>
      </c>
      <c r="I3630" s="13" t="s">
        <v>86</v>
      </c>
      <c r="J3630" s="13" t="s">
        <v>10129</v>
      </c>
      <c r="K3630" s="30" t="n">
        <v>3</v>
      </c>
      <c r="L3630" s="31" t="n">
        <v>46135</v>
      </c>
      <c r="M3630" s="31" t="n">
        <v>46137</v>
      </c>
      <c r="N3630" s="13"/>
      <c r="O3630" s="13"/>
      <c r="P3630" s="13"/>
      <c r="Q3630" s="13"/>
    </row>
    <row r="3631" customFormat="false" ht="15" hidden="false" customHeight="false" outlineLevel="0" collapsed="false">
      <c r="A3631" s="16" t="s">
        <v>11517</v>
      </c>
      <c r="B3631" s="16" t="n">
        <v>3626</v>
      </c>
      <c r="C3631" s="16" t="s">
        <v>11518</v>
      </c>
      <c r="D3631" s="16" t="n">
        <v>7</v>
      </c>
      <c r="E3631" s="37" t="s">
        <v>10684</v>
      </c>
      <c r="F3631" s="16" t="s">
        <v>1285</v>
      </c>
      <c r="G3631" s="16" t="s">
        <v>757</v>
      </c>
      <c r="H3631" s="16" t="s">
        <v>3694</v>
      </c>
      <c r="I3631" s="16" t="s">
        <v>86</v>
      </c>
      <c r="J3631" s="16" t="s">
        <v>10236</v>
      </c>
      <c r="K3631" s="32" t="n">
        <v>1</v>
      </c>
      <c r="L3631" s="33" t="n">
        <v>46135</v>
      </c>
      <c r="M3631" s="33" t="n">
        <v>46135</v>
      </c>
      <c r="N3631" s="16" t="s">
        <v>11519</v>
      </c>
      <c r="O3631" s="16"/>
      <c r="P3631" s="16" t="str">
        <f aca="false">IF(AND(L3631&lt;=$D$2,M3631&gt;=$C$2),"Sí","")</f>
        <v/>
      </c>
      <c r="Q3631" s="18" t="str">
        <f aca="false">IF(COUNTIF(LOOKAHEAD!$A$5:$A$604,A3631)&gt;0,"En Lookahead",IF(P3631="Sí","INCORPORAR",""))</f>
        <v/>
      </c>
    </row>
    <row r="3632" customFormat="false" ht="15" hidden="false" customHeight="false" outlineLevel="0" collapsed="false">
      <c r="A3632" s="16" t="s">
        <v>11520</v>
      </c>
      <c r="B3632" s="16" t="n">
        <v>3627</v>
      </c>
      <c r="C3632" s="16" t="s">
        <v>11521</v>
      </c>
      <c r="D3632" s="16" t="n">
        <v>7</v>
      </c>
      <c r="E3632" s="37" t="s">
        <v>10991</v>
      </c>
      <c r="F3632" s="16" t="s">
        <v>1285</v>
      </c>
      <c r="G3632" s="16" t="s">
        <v>757</v>
      </c>
      <c r="H3632" s="16" t="s">
        <v>3694</v>
      </c>
      <c r="I3632" s="16" t="s">
        <v>86</v>
      </c>
      <c r="J3632" s="16" t="s">
        <v>10236</v>
      </c>
      <c r="K3632" s="32" t="n">
        <v>1</v>
      </c>
      <c r="L3632" s="33" t="n">
        <v>46136</v>
      </c>
      <c r="M3632" s="33" t="n">
        <v>46136</v>
      </c>
      <c r="N3632" s="16" t="s">
        <v>11522</v>
      </c>
      <c r="O3632" s="16"/>
      <c r="P3632" s="16" t="str">
        <f aca="false">IF(AND(L3632&lt;=$D$2,M3632&gt;=$C$2),"Sí","")</f>
        <v/>
      </c>
      <c r="Q3632" s="18" t="str">
        <f aca="false">IF(COUNTIF(LOOKAHEAD!$A$5:$A$604,A3632)&gt;0,"En Lookahead",IF(P3632="Sí","INCORPORAR",""))</f>
        <v/>
      </c>
    </row>
    <row r="3633" customFormat="false" ht="15" hidden="false" customHeight="false" outlineLevel="0" collapsed="false">
      <c r="A3633" s="16" t="s">
        <v>11523</v>
      </c>
      <c r="B3633" s="16" t="n">
        <v>3628</v>
      </c>
      <c r="C3633" s="16" t="s">
        <v>11524</v>
      </c>
      <c r="D3633" s="16" t="n">
        <v>7</v>
      </c>
      <c r="E3633" s="37" t="s">
        <v>10247</v>
      </c>
      <c r="F3633" s="16" t="s">
        <v>1285</v>
      </c>
      <c r="G3633" s="16" t="s">
        <v>757</v>
      </c>
      <c r="H3633" s="16" t="s">
        <v>3694</v>
      </c>
      <c r="I3633" s="16" t="s">
        <v>86</v>
      </c>
      <c r="J3633" s="16" t="s">
        <v>10236</v>
      </c>
      <c r="K3633" s="32" t="n">
        <v>1</v>
      </c>
      <c r="L3633" s="33" t="n">
        <v>46137</v>
      </c>
      <c r="M3633" s="33" t="n">
        <v>46137</v>
      </c>
      <c r="N3633" s="16" t="s">
        <v>11525</v>
      </c>
      <c r="O3633" s="16"/>
      <c r="P3633" s="16" t="str">
        <f aca="false">IF(AND(L3633&lt;=$D$2,M3633&gt;=$C$2),"Sí","")</f>
        <v/>
      </c>
      <c r="Q3633" s="18" t="str">
        <f aca="false">IF(COUNTIF(LOOKAHEAD!$A$5:$A$604,A3633)&gt;0,"En Lookahead",IF(P3633="Sí","INCORPORAR",""))</f>
        <v/>
      </c>
    </row>
    <row r="3634" customFormat="false" ht="15" hidden="false" customHeight="false" outlineLevel="0" collapsed="false">
      <c r="A3634" s="13" t="s">
        <v>11526</v>
      </c>
      <c r="B3634" s="13" t="n">
        <v>3629</v>
      </c>
      <c r="C3634" s="13" t="s">
        <v>11527</v>
      </c>
      <c r="D3634" s="13" t="n">
        <v>4</v>
      </c>
      <c r="E3634" s="20" t="s">
        <v>4018</v>
      </c>
      <c r="F3634" s="13" t="s">
        <v>1298</v>
      </c>
      <c r="G3634" s="13" t="s">
        <v>757</v>
      </c>
      <c r="H3634" s="13" t="s">
        <v>4018</v>
      </c>
      <c r="I3634" s="13" t="s">
        <v>92</v>
      </c>
      <c r="J3634" s="13" t="s">
        <v>9945</v>
      </c>
      <c r="K3634" s="30" t="n">
        <v>273</v>
      </c>
      <c r="L3634" s="31" t="n">
        <v>46250</v>
      </c>
      <c r="M3634" s="31" t="n">
        <v>46522</v>
      </c>
      <c r="N3634" s="13"/>
      <c r="O3634" s="13"/>
      <c r="P3634" s="13"/>
      <c r="Q3634" s="13"/>
    </row>
    <row r="3635" customFormat="false" ht="15" hidden="false" customHeight="false" outlineLevel="0" collapsed="false">
      <c r="A3635" s="13" t="s">
        <v>11528</v>
      </c>
      <c r="B3635" s="13" t="n">
        <v>3630</v>
      </c>
      <c r="C3635" s="13" t="s">
        <v>11529</v>
      </c>
      <c r="D3635" s="13" t="n">
        <v>5</v>
      </c>
      <c r="E3635" s="34" t="s">
        <v>9950</v>
      </c>
      <c r="F3635" s="13" t="s">
        <v>1298</v>
      </c>
      <c r="G3635" s="13" t="s">
        <v>757</v>
      </c>
      <c r="H3635" s="13" t="s">
        <v>4018</v>
      </c>
      <c r="I3635" s="13" t="s">
        <v>92</v>
      </c>
      <c r="J3635" s="13" t="s">
        <v>4018</v>
      </c>
      <c r="K3635" s="30" t="n">
        <v>2</v>
      </c>
      <c r="L3635" s="31" t="n">
        <v>46521</v>
      </c>
      <c r="M3635" s="31" t="n">
        <v>46522</v>
      </c>
      <c r="N3635" s="13"/>
      <c r="O3635" s="13"/>
      <c r="P3635" s="13"/>
      <c r="Q3635" s="13"/>
    </row>
    <row r="3636" customFormat="false" ht="15" hidden="false" customHeight="false" outlineLevel="0" collapsed="false">
      <c r="A3636" s="13" t="s">
        <v>11530</v>
      </c>
      <c r="B3636" s="13" t="n">
        <v>3631</v>
      </c>
      <c r="C3636" s="13" t="s">
        <v>11531</v>
      </c>
      <c r="D3636" s="13" t="n">
        <v>6</v>
      </c>
      <c r="E3636" s="36" t="s">
        <v>9953</v>
      </c>
      <c r="F3636" s="13" t="s">
        <v>1298</v>
      </c>
      <c r="G3636" s="13" t="s">
        <v>757</v>
      </c>
      <c r="H3636" s="13" t="s">
        <v>4018</v>
      </c>
      <c r="I3636" s="13" t="s">
        <v>92</v>
      </c>
      <c r="J3636" s="13" t="s">
        <v>9950</v>
      </c>
      <c r="K3636" s="30" t="n">
        <v>2</v>
      </c>
      <c r="L3636" s="31" t="n">
        <v>46521</v>
      </c>
      <c r="M3636" s="31" t="n">
        <v>46522</v>
      </c>
      <c r="N3636" s="13"/>
      <c r="O3636" s="13"/>
      <c r="P3636" s="13"/>
      <c r="Q3636" s="13"/>
    </row>
    <row r="3637" customFormat="false" ht="15" hidden="false" customHeight="false" outlineLevel="0" collapsed="false">
      <c r="A3637" s="16" t="s">
        <v>11532</v>
      </c>
      <c r="B3637" s="16" t="n">
        <v>3632</v>
      </c>
      <c r="C3637" s="16" t="s">
        <v>11533</v>
      </c>
      <c r="D3637" s="16" t="n">
        <v>7</v>
      </c>
      <c r="E3637" s="37" t="s">
        <v>9956</v>
      </c>
      <c r="F3637" s="16" t="s">
        <v>1285</v>
      </c>
      <c r="G3637" s="16" t="s">
        <v>757</v>
      </c>
      <c r="H3637" s="16" t="s">
        <v>4018</v>
      </c>
      <c r="I3637" s="16" t="s">
        <v>92</v>
      </c>
      <c r="J3637" s="16" t="s">
        <v>9953</v>
      </c>
      <c r="K3637" s="32" t="n">
        <v>2</v>
      </c>
      <c r="L3637" s="33" t="n">
        <v>46521</v>
      </c>
      <c r="M3637" s="33" t="n">
        <v>46522</v>
      </c>
      <c r="N3637" s="16" t="s">
        <v>8600</v>
      </c>
      <c r="O3637" s="16"/>
      <c r="P3637" s="16" t="str">
        <f aca="false">IF(AND(L3637&lt;=$D$2,M3637&gt;=$C$2),"Sí","")</f>
        <v/>
      </c>
      <c r="Q3637" s="18" t="str">
        <f aca="false">IF(COUNTIF(LOOKAHEAD!$A$5:$A$604,A3637)&gt;0,"En Lookahead",IF(P3637="Sí","INCORPORAR",""))</f>
        <v/>
      </c>
    </row>
    <row r="3638" customFormat="false" ht="15" hidden="false" customHeight="false" outlineLevel="0" collapsed="false">
      <c r="A3638" s="16" t="s">
        <v>11534</v>
      </c>
      <c r="B3638" s="16" t="n">
        <v>3633</v>
      </c>
      <c r="C3638" s="16" t="s">
        <v>11535</v>
      </c>
      <c r="D3638" s="16" t="n">
        <v>7</v>
      </c>
      <c r="E3638" s="37" t="s">
        <v>10315</v>
      </c>
      <c r="F3638" s="16" t="s">
        <v>1285</v>
      </c>
      <c r="G3638" s="16" t="s">
        <v>757</v>
      </c>
      <c r="H3638" s="16" t="s">
        <v>4018</v>
      </c>
      <c r="I3638" s="16" t="s">
        <v>92</v>
      </c>
      <c r="J3638" s="16" t="s">
        <v>9953</v>
      </c>
      <c r="K3638" s="32" t="n">
        <v>2</v>
      </c>
      <c r="L3638" s="33" t="n">
        <v>46521</v>
      </c>
      <c r="M3638" s="33" t="n">
        <v>46522</v>
      </c>
      <c r="N3638" s="16" t="s">
        <v>11536</v>
      </c>
      <c r="O3638" s="16"/>
      <c r="P3638" s="16" t="str">
        <f aca="false">IF(AND(L3638&lt;=$D$2,M3638&gt;=$C$2),"Sí","")</f>
        <v/>
      </c>
      <c r="Q3638" s="18" t="str">
        <f aca="false">IF(COUNTIF(LOOKAHEAD!$A$5:$A$604,A3638)&gt;0,"En Lookahead",IF(P3638="Sí","INCORPORAR",""))</f>
        <v/>
      </c>
    </row>
    <row r="3639" customFormat="false" ht="15" hidden="false" customHeight="false" outlineLevel="0" collapsed="false">
      <c r="A3639" s="16" t="s">
        <v>11537</v>
      </c>
      <c r="B3639" s="16" t="n">
        <v>3634</v>
      </c>
      <c r="C3639" s="16" t="s">
        <v>11538</v>
      </c>
      <c r="D3639" s="16" t="n">
        <v>7</v>
      </c>
      <c r="E3639" s="37" t="s">
        <v>10319</v>
      </c>
      <c r="F3639" s="16" t="s">
        <v>1285</v>
      </c>
      <c r="G3639" s="16" t="s">
        <v>757</v>
      </c>
      <c r="H3639" s="16" t="s">
        <v>4018</v>
      </c>
      <c r="I3639" s="16" t="s">
        <v>92</v>
      </c>
      <c r="J3639" s="16" t="s">
        <v>9953</v>
      </c>
      <c r="K3639" s="32" t="n">
        <v>1</v>
      </c>
      <c r="L3639" s="33" t="n">
        <v>46522</v>
      </c>
      <c r="M3639" s="33" t="n">
        <v>46522</v>
      </c>
      <c r="N3639" s="16" t="s">
        <v>11539</v>
      </c>
      <c r="O3639" s="16"/>
      <c r="P3639" s="16" t="str">
        <f aca="false">IF(AND(L3639&lt;=$D$2,M3639&gt;=$C$2),"Sí","")</f>
        <v/>
      </c>
      <c r="Q3639" s="18" t="str">
        <f aca="false">IF(COUNTIF(LOOKAHEAD!$A$5:$A$604,A3639)&gt;0,"En Lookahead",IF(P3639="Sí","INCORPORAR",""))</f>
        <v/>
      </c>
    </row>
    <row r="3640" customFormat="false" ht="15" hidden="false" customHeight="false" outlineLevel="0" collapsed="false">
      <c r="A3640" s="13" t="s">
        <v>11540</v>
      </c>
      <c r="B3640" s="13" t="n">
        <v>3635</v>
      </c>
      <c r="C3640" s="13" t="s">
        <v>11541</v>
      </c>
      <c r="D3640" s="13" t="n">
        <v>6</v>
      </c>
      <c r="E3640" s="36" t="s">
        <v>9963</v>
      </c>
      <c r="F3640" s="13" t="s">
        <v>1298</v>
      </c>
      <c r="G3640" s="13" t="s">
        <v>757</v>
      </c>
      <c r="H3640" s="13" t="s">
        <v>4018</v>
      </c>
      <c r="I3640" s="13" t="s">
        <v>92</v>
      </c>
      <c r="J3640" s="13" t="s">
        <v>9950</v>
      </c>
      <c r="K3640" s="30" t="n">
        <v>1</v>
      </c>
      <c r="L3640" s="31" t="n">
        <v>46522</v>
      </c>
      <c r="M3640" s="31" t="n">
        <v>46522</v>
      </c>
      <c r="N3640" s="13"/>
      <c r="O3640" s="13"/>
      <c r="P3640" s="13"/>
      <c r="Q3640" s="13"/>
    </row>
    <row r="3641" customFormat="false" ht="15" hidden="false" customHeight="false" outlineLevel="0" collapsed="false">
      <c r="A3641" s="16" t="s">
        <v>11542</v>
      </c>
      <c r="B3641" s="16" t="n">
        <v>3636</v>
      </c>
      <c r="C3641" s="16" t="s">
        <v>11543</v>
      </c>
      <c r="D3641" s="16" t="n">
        <v>7</v>
      </c>
      <c r="E3641" s="37" t="s">
        <v>9966</v>
      </c>
      <c r="F3641" s="16" t="s">
        <v>1285</v>
      </c>
      <c r="G3641" s="16" t="s">
        <v>757</v>
      </c>
      <c r="H3641" s="16" t="s">
        <v>4018</v>
      </c>
      <c r="I3641" s="16" t="s">
        <v>92</v>
      </c>
      <c r="J3641" s="16" t="s">
        <v>9963</v>
      </c>
      <c r="K3641" s="32" t="n">
        <v>1</v>
      </c>
      <c r="L3641" s="33" t="n">
        <v>46522</v>
      </c>
      <c r="M3641" s="33" t="n">
        <v>46522</v>
      </c>
      <c r="N3641" s="16" t="s">
        <v>11544</v>
      </c>
      <c r="O3641" s="16"/>
      <c r="P3641" s="16" t="str">
        <f aca="false">IF(AND(L3641&lt;=$D$2,M3641&gt;=$C$2),"Sí","")</f>
        <v/>
      </c>
      <c r="Q3641" s="18" t="str">
        <f aca="false">IF(COUNTIF(LOOKAHEAD!$A$5:$A$604,A3641)&gt;0,"En Lookahead",IF(P3641="Sí","INCORPORAR",""))</f>
        <v/>
      </c>
    </row>
    <row r="3642" customFormat="false" ht="15" hidden="false" customHeight="false" outlineLevel="0" collapsed="false">
      <c r="A3642" s="16" t="s">
        <v>11545</v>
      </c>
      <c r="B3642" s="16" t="n">
        <v>3637</v>
      </c>
      <c r="C3642" s="16" t="s">
        <v>11546</v>
      </c>
      <c r="D3642" s="16" t="n">
        <v>7</v>
      </c>
      <c r="E3642" s="37" t="s">
        <v>9969</v>
      </c>
      <c r="F3642" s="16" t="s">
        <v>1285</v>
      </c>
      <c r="G3642" s="16" t="s">
        <v>757</v>
      </c>
      <c r="H3642" s="16" t="s">
        <v>4018</v>
      </c>
      <c r="I3642" s="16" t="s">
        <v>92</v>
      </c>
      <c r="J3642" s="16" t="s">
        <v>9963</v>
      </c>
      <c r="K3642" s="32" t="n">
        <v>1</v>
      </c>
      <c r="L3642" s="33" t="n">
        <v>46522</v>
      </c>
      <c r="M3642" s="33" t="n">
        <v>46522</v>
      </c>
      <c r="N3642" s="16" t="s">
        <v>11547</v>
      </c>
      <c r="O3642" s="16"/>
      <c r="P3642" s="16" t="str">
        <f aca="false">IF(AND(L3642&lt;=$D$2,M3642&gt;=$C$2),"Sí","")</f>
        <v/>
      </c>
      <c r="Q3642" s="18" t="str">
        <f aca="false">IF(COUNTIF(LOOKAHEAD!$A$5:$A$604,A3642)&gt;0,"En Lookahead",IF(P3642="Sí","INCORPORAR",""))</f>
        <v/>
      </c>
    </row>
    <row r="3643" customFormat="false" ht="15" hidden="false" customHeight="false" outlineLevel="0" collapsed="false">
      <c r="A3643" s="16" t="s">
        <v>11548</v>
      </c>
      <c r="B3643" s="16" t="n">
        <v>3638</v>
      </c>
      <c r="C3643" s="16" t="s">
        <v>11549</v>
      </c>
      <c r="D3643" s="16" t="n">
        <v>7</v>
      </c>
      <c r="E3643" s="37" t="s">
        <v>9972</v>
      </c>
      <c r="F3643" s="16" t="s">
        <v>1285</v>
      </c>
      <c r="G3643" s="16" t="s">
        <v>757</v>
      </c>
      <c r="H3643" s="16" t="s">
        <v>4018</v>
      </c>
      <c r="I3643" s="16" t="s">
        <v>92</v>
      </c>
      <c r="J3643" s="16" t="s">
        <v>9963</v>
      </c>
      <c r="K3643" s="32" t="n">
        <v>1</v>
      </c>
      <c r="L3643" s="33" t="n">
        <v>46522</v>
      </c>
      <c r="M3643" s="33" t="n">
        <v>46522</v>
      </c>
      <c r="N3643" s="16" t="s">
        <v>11550</v>
      </c>
      <c r="O3643" s="16"/>
      <c r="P3643" s="16" t="str">
        <f aca="false">IF(AND(L3643&lt;=$D$2,M3643&gt;=$C$2),"Sí","")</f>
        <v/>
      </c>
      <c r="Q3643" s="18" t="str">
        <f aca="false">IF(COUNTIF(LOOKAHEAD!$A$5:$A$604,A3643)&gt;0,"En Lookahead",IF(P3643="Sí","INCORPORAR",""))</f>
        <v/>
      </c>
    </row>
    <row r="3644" customFormat="false" ht="15" hidden="false" customHeight="false" outlineLevel="0" collapsed="false">
      <c r="A3644" s="13" t="s">
        <v>11551</v>
      </c>
      <c r="B3644" s="13" t="n">
        <v>3639</v>
      </c>
      <c r="C3644" s="13" t="s">
        <v>11552</v>
      </c>
      <c r="D3644" s="13" t="n">
        <v>5</v>
      </c>
      <c r="E3644" s="34" t="s">
        <v>9975</v>
      </c>
      <c r="F3644" s="13" t="s">
        <v>1298</v>
      </c>
      <c r="G3644" s="13" t="s">
        <v>757</v>
      </c>
      <c r="H3644" s="13" t="s">
        <v>4018</v>
      </c>
      <c r="I3644" s="13" t="s">
        <v>92</v>
      </c>
      <c r="J3644" s="13" t="s">
        <v>4018</v>
      </c>
      <c r="K3644" s="30" t="n">
        <v>23</v>
      </c>
      <c r="L3644" s="31" t="n">
        <v>46250</v>
      </c>
      <c r="M3644" s="31" t="n">
        <v>46272</v>
      </c>
      <c r="N3644" s="13"/>
      <c r="O3644" s="13"/>
      <c r="P3644" s="13"/>
      <c r="Q3644" s="13"/>
    </row>
    <row r="3645" customFormat="false" ht="15" hidden="false" customHeight="false" outlineLevel="0" collapsed="false">
      <c r="A3645" s="13" t="s">
        <v>11553</v>
      </c>
      <c r="B3645" s="13" t="n">
        <v>3640</v>
      </c>
      <c r="C3645" s="13" t="s">
        <v>11554</v>
      </c>
      <c r="D3645" s="13" t="n">
        <v>6</v>
      </c>
      <c r="E3645" s="36" t="s">
        <v>9978</v>
      </c>
      <c r="F3645" s="13" t="s">
        <v>1298</v>
      </c>
      <c r="G3645" s="13" t="s">
        <v>757</v>
      </c>
      <c r="H3645" s="13" t="s">
        <v>4018</v>
      </c>
      <c r="I3645" s="13" t="s">
        <v>92</v>
      </c>
      <c r="J3645" s="13" t="s">
        <v>9975</v>
      </c>
      <c r="K3645" s="30" t="n">
        <v>3</v>
      </c>
      <c r="L3645" s="31" t="n">
        <v>46250</v>
      </c>
      <c r="M3645" s="31" t="n">
        <v>46252</v>
      </c>
      <c r="N3645" s="13"/>
      <c r="O3645" s="13"/>
      <c r="P3645" s="13"/>
      <c r="Q3645" s="13"/>
    </row>
    <row r="3646" customFormat="false" ht="15" hidden="false" customHeight="false" outlineLevel="0" collapsed="false">
      <c r="A3646" s="16" t="s">
        <v>11555</v>
      </c>
      <c r="B3646" s="16" t="n">
        <v>3641</v>
      </c>
      <c r="C3646" s="16" t="s">
        <v>11556</v>
      </c>
      <c r="D3646" s="16" t="n">
        <v>7</v>
      </c>
      <c r="E3646" s="37" t="s">
        <v>9981</v>
      </c>
      <c r="F3646" s="16" t="s">
        <v>1285</v>
      </c>
      <c r="G3646" s="16" t="s">
        <v>757</v>
      </c>
      <c r="H3646" s="16" t="s">
        <v>4018</v>
      </c>
      <c r="I3646" s="16" t="s">
        <v>92</v>
      </c>
      <c r="J3646" s="16" t="s">
        <v>9978</v>
      </c>
      <c r="K3646" s="32" t="n">
        <v>3</v>
      </c>
      <c r="L3646" s="33" t="n">
        <v>46250</v>
      </c>
      <c r="M3646" s="33" t="n">
        <v>46252</v>
      </c>
      <c r="N3646" s="16" t="s">
        <v>4029</v>
      </c>
      <c r="O3646" s="16"/>
      <c r="P3646" s="16" t="str">
        <f aca="false">IF(AND(L3646&lt;=$D$2,M3646&gt;=$C$2),"Sí","")</f>
        <v/>
      </c>
      <c r="Q3646" s="18" t="str">
        <f aca="false">IF(COUNTIF(LOOKAHEAD!$A$5:$A$604,A3646)&gt;0,"En Lookahead",IF(P3646="Sí","INCORPORAR",""))</f>
        <v/>
      </c>
    </row>
    <row r="3647" customFormat="false" ht="15" hidden="false" customHeight="false" outlineLevel="0" collapsed="false">
      <c r="A3647" s="13" t="s">
        <v>11557</v>
      </c>
      <c r="B3647" s="13" t="n">
        <v>3642</v>
      </c>
      <c r="C3647" s="13" t="s">
        <v>11558</v>
      </c>
      <c r="D3647" s="13" t="n">
        <v>6</v>
      </c>
      <c r="E3647" s="36" t="s">
        <v>9984</v>
      </c>
      <c r="F3647" s="13" t="s">
        <v>1298</v>
      </c>
      <c r="G3647" s="13" t="s">
        <v>757</v>
      </c>
      <c r="H3647" s="13" t="s">
        <v>4018</v>
      </c>
      <c r="I3647" s="13" t="s">
        <v>92</v>
      </c>
      <c r="J3647" s="13" t="s">
        <v>9975</v>
      </c>
      <c r="K3647" s="30" t="n">
        <v>20</v>
      </c>
      <c r="L3647" s="31" t="n">
        <v>46253</v>
      </c>
      <c r="M3647" s="31" t="n">
        <v>46272</v>
      </c>
      <c r="N3647" s="13"/>
      <c r="O3647" s="13"/>
      <c r="P3647" s="13"/>
      <c r="Q3647" s="13"/>
    </row>
    <row r="3648" customFormat="false" ht="15" hidden="false" customHeight="false" outlineLevel="0" collapsed="false">
      <c r="A3648" s="16" t="s">
        <v>11559</v>
      </c>
      <c r="B3648" s="16" t="n">
        <v>3643</v>
      </c>
      <c r="C3648" s="16" t="s">
        <v>11560</v>
      </c>
      <c r="D3648" s="16" t="n">
        <v>7</v>
      </c>
      <c r="E3648" s="37" t="s">
        <v>11561</v>
      </c>
      <c r="F3648" s="16" t="s">
        <v>1285</v>
      </c>
      <c r="G3648" s="16" t="s">
        <v>757</v>
      </c>
      <c r="H3648" s="16" t="s">
        <v>4018</v>
      </c>
      <c r="I3648" s="16" t="s">
        <v>92</v>
      </c>
      <c r="J3648" s="16" t="s">
        <v>9984</v>
      </c>
      <c r="K3648" s="32" t="n">
        <v>1</v>
      </c>
      <c r="L3648" s="33" t="n">
        <v>46253</v>
      </c>
      <c r="M3648" s="33" t="n">
        <v>46253</v>
      </c>
      <c r="N3648" s="16" t="s">
        <v>11562</v>
      </c>
      <c r="O3648" s="16"/>
      <c r="P3648" s="16" t="str">
        <f aca="false">IF(AND(L3648&lt;=$D$2,M3648&gt;=$C$2),"Sí","")</f>
        <v/>
      </c>
      <c r="Q3648" s="18" t="str">
        <f aca="false">IF(COUNTIF(LOOKAHEAD!$A$5:$A$604,A3648)&gt;0,"En Lookahead",IF(P3648="Sí","INCORPORAR",""))</f>
        <v/>
      </c>
    </row>
    <row r="3649" customFormat="false" ht="15" hidden="false" customHeight="false" outlineLevel="0" collapsed="false">
      <c r="A3649" s="16" t="s">
        <v>11563</v>
      </c>
      <c r="B3649" s="16" t="n">
        <v>3644</v>
      </c>
      <c r="C3649" s="16" t="s">
        <v>11564</v>
      </c>
      <c r="D3649" s="16" t="n">
        <v>7</v>
      </c>
      <c r="E3649" s="37" t="s">
        <v>10380</v>
      </c>
      <c r="F3649" s="16" t="s">
        <v>1285</v>
      </c>
      <c r="G3649" s="16" t="s">
        <v>757</v>
      </c>
      <c r="H3649" s="16" t="s">
        <v>4018</v>
      </c>
      <c r="I3649" s="16" t="s">
        <v>92</v>
      </c>
      <c r="J3649" s="16" t="s">
        <v>9984</v>
      </c>
      <c r="K3649" s="32" t="n">
        <v>1</v>
      </c>
      <c r="L3649" s="33" t="n">
        <v>46254</v>
      </c>
      <c r="M3649" s="33" t="n">
        <v>46254</v>
      </c>
      <c r="N3649" s="16" t="s">
        <v>11565</v>
      </c>
      <c r="O3649" s="16"/>
      <c r="P3649" s="16" t="str">
        <f aca="false">IF(AND(L3649&lt;=$D$2,M3649&gt;=$C$2),"Sí","")</f>
        <v/>
      </c>
      <c r="Q3649" s="18" t="str">
        <f aca="false">IF(COUNTIF(LOOKAHEAD!$A$5:$A$604,A3649)&gt;0,"En Lookahead",IF(P3649="Sí","INCORPORAR",""))</f>
        <v/>
      </c>
    </row>
    <row r="3650" customFormat="false" ht="15" hidden="false" customHeight="false" outlineLevel="0" collapsed="false">
      <c r="A3650" s="16" t="s">
        <v>11566</v>
      </c>
      <c r="B3650" s="16" t="n">
        <v>3645</v>
      </c>
      <c r="C3650" s="16" t="s">
        <v>11567</v>
      </c>
      <c r="D3650" s="16" t="n">
        <v>7</v>
      </c>
      <c r="E3650" s="37" t="s">
        <v>9987</v>
      </c>
      <c r="F3650" s="16" t="s">
        <v>1285</v>
      </c>
      <c r="G3650" s="16" t="s">
        <v>757</v>
      </c>
      <c r="H3650" s="16" t="s">
        <v>4018</v>
      </c>
      <c r="I3650" s="16" t="s">
        <v>92</v>
      </c>
      <c r="J3650" s="16" t="s">
        <v>9984</v>
      </c>
      <c r="K3650" s="32" t="n">
        <v>1</v>
      </c>
      <c r="L3650" s="33" t="n">
        <v>46255</v>
      </c>
      <c r="M3650" s="33" t="n">
        <v>46255</v>
      </c>
      <c r="N3650" s="16" t="s">
        <v>11568</v>
      </c>
      <c r="O3650" s="16"/>
      <c r="P3650" s="16" t="str">
        <f aca="false">IF(AND(L3650&lt;=$D$2,M3650&gt;=$C$2),"Sí","")</f>
        <v/>
      </c>
      <c r="Q3650" s="18" t="str">
        <f aca="false">IF(COUNTIF(LOOKAHEAD!$A$5:$A$604,A3650)&gt;0,"En Lookahead",IF(P3650="Sí","INCORPORAR",""))</f>
        <v/>
      </c>
    </row>
    <row r="3651" customFormat="false" ht="15" hidden="false" customHeight="false" outlineLevel="0" collapsed="false">
      <c r="A3651" s="16" t="s">
        <v>11569</v>
      </c>
      <c r="B3651" s="16" t="n">
        <v>3646</v>
      </c>
      <c r="C3651" s="16" t="s">
        <v>11570</v>
      </c>
      <c r="D3651" s="16" t="n">
        <v>7</v>
      </c>
      <c r="E3651" s="37" t="s">
        <v>9991</v>
      </c>
      <c r="F3651" s="16" t="s">
        <v>1285</v>
      </c>
      <c r="G3651" s="16" t="s">
        <v>757</v>
      </c>
      <c r="H3651" s="16" t="s">
        <v>4018</v>
      </c>
      <c r="I3651" s="16" t="s">
        <v>92</v>
      </c>
      <c r="J3651" s="16" t="s">
        <v>9984</v>
      </c>
      <c r="K3651" s="32" t="n">
        <v>1</v>
      </c>
      <c r="L3651" s="33" t="n">
        <v>46256</v>
      </c>
      <c r="M3651" s="33" t="n">
        <v>46256</v>
      </c>
      <c r="N3651" s="16" t="s">
        <v>11571</v>
      </c>
      <c r="O3651" s="16"/>
      <c r="P3651" s="16" t="str">
        <f aca="false">IF(AND(L3651&lt;=$D$2,M3651&gt;=$C$2),"Sí","")</f>
        <v/>
      </c>
      <c r="Q3651" s="18" t="str">
        <f aca="false">IF(COUNTIF(LOOKAHEAD!$A$5:$A$604,A3651)&gt;0,"En Lookahead",IF(P3651="Sí","INCORPORAR",""))</f>
        <v/>
      </c>
    </row>
    <row r="3652" customFormat="false" ht="15" hidden="false" customHeight="false" outlineLevel="0" collapsed="false">
      <c r="A3652" s="16" t="s">
        <v>11572</v>
      </c>
      <c r="B3652" s="16" t="n">
        <v>3647</v>
      </c>
      <c r="C3652" s="16" t="s">
        <v>11573</v>
      </c>
      <c r="D3652" s="16" t="n">
        <v>7</v>
      </c>
      <c r="E3652" s="37" t="s">
        <v>9995</v>
      </c>
      <c r="F3652" s="16" t="s">
        <v>1285</v>
      </c>
      <c r="G3652" s="16" t="s">
        <v>757</v>
      </c>
      <c r="H3652" s="16" t="s">
        <v>4018</v>
      </c>
      <c r="I3652" s="16" t="s">
        <v>92</v>
      </c>
      <c r="J3652" s="16" t="s">
        <v>9984</v>
      </c>
      <c r="K3652" s="32" t="n">
        <v>1</v>
      </c>
      <c r="L3652" s="33" t="n">
        <v>46272</v>
      </c>
      <c r="M3652" s="33" t="n">
        <v>46272</v>
      </c>
      <c r="N3652" s="16" t="s">
        <v>11574</v>
      </c>
      <c r="O3652" s="16"/>
      <c r="P3652" s="16" t="str">
        <f aca="false">IF(AND(L3652&lt;=$D$2,M3652&gt;=$C$2),"Sí","")</f>
        <v/>
      </c>
      <c r="Q3652" s="18" t="str">
        <f aca="false">IF(COUNTIF(LOOKAHEAD!$A$5:$A$604,A3652)&gt;0,"En Lookahead",IF(P3652="Sí","INCORPORAR",""))</f>
        <v/>
      </c>
    </row>
    <row r="3653" customFormat="false" ht="15" hidden="false" customHeight="false" outlineLevel="0" collapsed="false">
      <c r="A3653" s="13" t="s">
        <v>11575</v>
      </c>
      <c r="B3653" s="13" t="n">
        <v>3648</v>
      </c>
      <c r="C3653" s="13" t="s">
        <v>11576</v>
      </c>
      <c r="D3653" s="13" t="n">
        <v>6</v>
      </c>
      <c r="E3653" s="36" t="s">
        <v>9999</v>
      </c>
      <c r="F3653" s="13" t="s">
        <v>1298</v>
      </c>
      <c r="G3653" s="13" t="s">
        <v>757</v>
      </c>
      <c r="H3653" s="13" t="s">
        <v>4018</v>
      </c>
      <c r="I3653" s="13" t="s">
        <v>92</v>
      </c>
      <c r="J3653" s="13" t="s">
        <v>9975</v>
      </c>
      <c r="K3653" s="30" t="n">
        <v>11</v>
      </c>
      <c r="L3653" s="31" t="n">
        <v>46257</v>
      </c>
      <c r="M3653" s="31" t="n">
        <v>46267</v>
      </c>
      <c r="N3653" s="13"/>
      <c r="O3653" s="13"/>
      <c r="P3653" s="13"/>
      <c r="Q3653" s="13"/>
    </row>
    <row r="3654" customFormat="false" ht="15" hidden="false" customHeight="false" outlineLevel="0" collapsed="false">
      <c r="A3654" s="16" t="s">
        <v>11577</v>
      </c>
      <c r="B3654" s="16" t="n">
        <v>3649</v>
      </c>
      <c r="C3654" s="16" t="s">
        <v>11578</v>
      </c>
      <c r="D3654" s="16" t="n">
        <v>7</v>
      </c>
      <c r="E3654" s="37" t="s">
        <v>11579</v>
      </c>
      <c r="F3654" s="16" t="s">
        <v>1285</v>
      </c>
      <c r="G3654" s="16" t="s">
        <v>757</v>
      </c>
      <c r="H3654" s="16" t="s">
        <v>4018</v>
      </c>
      <c r="I3654" s="16" t="s">
        <v>92</v>
      </c>
      <c r="J3654" s="16" t="s">
        <v>9999</v>
      </c>
      <c r="K3654" s="32" t="n">
        <v>1</v>
      </c>
      <c r="L3654" s="33" t="n">
        <v>46257</v>
      </c>
      <c r="M3654" s="33" t="n">
        <v>46257</v>
      </c>
      <c r="N3654" s="16" t="s">
        <v>11580</v>
      </c>
      <c r="O3654" s="16"/>
      <c r="P3654" s="16" t="str">
        <f aca="false">IF(AND(L3654&lt;=$D$2,M3654&gt;=$C$2),"Sí","")</f>
        <v/>
      </c>
      <c r="Q3654" s="18" t="str">
        <f aca="false">IF(COUNTIF(LOOKAHEAD!$A$5:$A$604,A3654)&gt;0,"En Lookahead",IF(P3654="Sí","INCORPORAR",""))</f>
        <v/>
      </c>
    </row>
    <row r="3655" customFormat="false" ht="15" hidden="false" customHeight="false" outlineLevel="0" collapsed="false">
      <c r="A3655" s="16" t="s">
        <v>11581</v>
      </c>
      <c r="B3655" s="16" t="n">
        <v>3650</v>
      </c>
      <c r="C3655" s="16" t="s">
        <v>11582</v>
      </c>
      <c r="D3655" s="16" t="n">
        <v>7</v>
      </c>
      <c r="E3655" s="37" t="s">
        <v>10399</v>
      </c>
      <c r="F3655" s="16" t="s">
        <v>1285</v>
      </c>
      <c r="G3655" s="16" t="s">
        <v>757</v>
      </c>
      <c r="H3655" s="16" t="s">
        <v>4018</v>
      </c>
      <c r="I3655" s="16" t="s">
        <v>92</v>
      </c>
      <c r="J3655" s="16" t="s">
        <v>9999</v>
      </c>
      <c r="K3655" s="32" t="n">
        <v>1</v>
      </c>
      <c r="L3655" s="33" t="n">
        <v>46258</v>
      </c>
      <c r="M3655" s="33" t="n">
        <v>46258</v>
      </c>
      <c r="N3655" s="16" t="s">
        <v>11583</v>
      </c>
      <c r="O3655" s="16"/>
      <c r="P3655" s="16" t="str">
        <f aca="false">IF(AND(L3655&lt;=$D$2,M3655&gt;=$C$2),"Sí","")</f>
        <v/>
      </c>
      <c r="Q3655" s="18" t="str">
        <f aca="false">IF(COUNTIF(LOOKAHEAD!$A$5:$A$604,A3655)&gt;0,"En Lookahead",IF(P3655="Sí","INCORPORAR",""))</f>
        <v/>
      </c>
    </row>
    <row r="3656" customFormat="false" ht="15" hidden="false" customHeight="false" outlineLevel="0" collapsed="false">
      <c r="A3656" s="16" t="s">
        <v>11584</v>
      </c>
      <c r="B3656" s="16" t="n">
        <v>3651</v>
      </c>
      <c r="C3656" s="16" t="s">
        <v>11585</v>
      </c>
      <c r="D3656" s="16" t="n">
        <v>7</v>
      </c>
      <c r="E3656" s="37" t="s">
        <v>10002</v>
      </c>
      <c r="F3656" s="16" t="s">
        <v>1285</v>
      </c>
      <c r="G3656" s="16" t="s">
        <v>757</v>
      </c>
      <c r="H3656" s="16" t="s">
        <v>4018</v>
      </c>
      <c r="I3656" s="16" t="s">
        <v>92</v>
      </c>
      <c r="J3656" s="16" t="s">
        <v>9999</v>
      </c>
      <c r="K3656" s="32" t="n">
        <v>1</v>
      </c>
      <c r="L3656" s="33" t="n">
        <v>46259</v>
      </c>
      <c r="M3656" s="33" t="n">
        <v>46259</v>
      </c>
      <c r="N3656" s="16" t="s">
        <v>11586</v>
      </c>
      <c r="O3656" s="16"/>
      <c r="P3656" s="16" t="str">
        <f aca="false">IF(AND(L3656&lt;=$D$2,M3656&gt;=$C$2),"Sí","")</f>
        <v/>
      </c>
      <c r="Q3656" s="18" t="str">
        <f aca="false">IF(COUNTIF(LOOKAHEAD!$A$5:$A$604,A3656)&gt;0,"En Lookahead",IF(P3656="Sí","INCORPORAR",""))</f>
        <v/>
      </c>
    </row>
    <row r="3657" customFormat="false" ht="15" hidden="false" customHeight="false" outlineLevel="0" collapsed="false">
      <c r="A3657" s="16" t="s">
        <v>11587</v>
      </c>
      <c r="B3657" s="16" t="n">
        <v>3652</v>
      </c>
      <c r="C3657" s="16" t="s">
        <v>11588</v>
      </c>
      <c r="D3657" s="16" t="n">
        <v>7</v>
      </c>
      <c r="E3657" s="37" t="s">
        <v>10406</v>
      </c>
      <c r="F3657" s="16" t="s">
        <v>1285</v>
      </c>
      <c r="G3657" s="16" t="s">
        <v>757</v>
      </c>
      <c r="H3657" s="16" t="s">
        <v>4018</v>
      </c>
      <c r="I3657" s="16" t="s">
        <v>92</v>
      </c>
      <c r="J3657" s="16" t="s">
        <v>9999</v>
      </c>
      <c r="K3657" s="32" t="n">
        <v>1</v>
      </c>
      <c r="L3657" s="33" t="n">
        <v>46260</v>
      </c>
      <c r="M3657" s="33" t="n">
        <v>46260</v>
      </c>
      <c r="N3657" s="16" t="s">
        <v>11589</v>
      </c>
      <c r="O3657" s="16"/>
      <c r="P3657" s="16" t="str">
        <f aca="false">IF(AND(L3657&lt;=$D$2,M3657&gt;=$C$2),"Sí","")</f>
        <v/>
      </c>
      <c r="Q3657" s="18" t="str">
        <f aca="false">IF(COUNTIF(LOOKAHEAD!$A$5:$A$604,A3657)&gt;0,"En Lookahead",IF(P3657="Sí","INCORPORAR",""))</f>
        <v/>
      </c>
    </row>
    <row r="3658" customFormat="false" ht="15" hidden="false" customHeight="false" outlineLevel="0" collapsed="false">
      <c r="A3658" s="16" t="s">
        <v>11590</v>
      </c>
      <c r="B3658" s="16" t="n">
        <v>3653</v>
      </c>
      <c r="C3658" s="16" t="s">
        <v>11591</v>
      </c>
      <c r="D3658" s="16" t="n">
        <v>7</v>
      </c>
      <c r="E3658" s="37" t="s">
        <v>11592</v>
      </c>
      <c r="F3658" s="16" t="s">
        <v>1285</v>
      </c>
      <c r="G3658" s="16" t="s">
        <v>757</v>
      </c>
      <c r="H3658" s="16" t="s">
        <v>4018</v>
      </c>
      <c r="I3658" s="16" t="s">
        <v>92</v>
      </c>
      <c r="J3658" s="16" t="s">
        <v>9999</v>
      </c>
      <c r="K3658" s="32" t="n">
        <v>1</v>
      </c>
      <c r="L3658" s="33" t="n">
        <v>46261</v>
      </c>
      <c r="M3658" s="33" t="n">
        <v>46261</v>
      </c>
      <c r="N3658" s="16" t="s">
        <v>11593</v>
      </c>
      <c r="O3658" s="16"/>
      <c r="P3658" s="16" t="str">
        <f aca="false">IF(AND(L3658&lt;=$D$2,M3658&gt;=$C$2),"Sí","")</f>
        <v/>
      </c>
      <c r="Q3658" s="18" t="str">
        <f aca="false">IF(COUNTIF(LOOKAHEAD!$A$5:$A$604,A3658)&gt;0,"En Lookahead",IF(P3658="Sí","INCORPORAR",""))</f>
        <v/>
      </c>
    </row>
    <row r="3659" customFormat="false" ht="15" hidden="false" customHeight="false" outlineLevel="0" collapsed="false">
      <c r="A3659" s="16" t="s">
        <v>11594</v>
      </c>
      <c r="B3659" s="16" t="n">
        <v>3654</v>
      </c>
      <c r="C3659" s="16" t="s">
        <v>11595</v>
      </c>
      <c r="D3659" s="16" t="n">
        <v>7</v>
      </c>
      <c r="E3659" s="37" t="s">
        <v>11596</v>
      </c>
      <c r="F3659" s="16" t="s">
        <v>1285</v>
      </c>
      <c r="G3659" s="16" t="s">
        <v>757</v>
      </c>
      <c r="H3659" s="16" t="s">
        <v>4018</v>
      </c>
      <c r="I3659" s="16" t="s">
        <v>92</v>
      </c>
      <c r="J3659" s="16" t="s">
        <v>9999</v>
      </c>
      <c r="K3659" s="32" t="n">
        <v>1</v>
      </c>
      <c r="L3659" s="33" t="n">
        <v>46262</v>
      </c>
      <c r="M3659" s="33" t="n">
        <v>46262</v>
      </c>
      <c r="N3659" s="16" t="s">
        <v>11597</v>
      </c>
      <c r="O3659" s="16"/>
      <c r="P3659" s="16" t="str">
        <f aca="false">IF(AND(L3659&lt;=$D$2,M3659&gt;=$C$2),"Sí","")</f>
        <v/>
      </c>
      <c r="Q3659" s="18" t="str">
        <f aca="false">IF(COUNTIF(LOOKAHEAD!$A$5:$A$604,A3659)&gt;0,"En Lookahead",IF(P3659="Sí","INCORPORAR",""))</f>
        <v/>
      </c>
    </row>
    <row r="3660" customFormat="false" ht="15" hidden="false" customHeight="false" outlineLevel="0" collapsed="false">
      <c r="A3660" s="16" t="s">
        <v>11598</v>
      </c>
      <c r="B3660" s="16" t="n">
        <v>3655</v>
      </c>
      <c r="C3660" s="16" t="s">
        <v>11599</v>
      </c>
      <c r="D3660" s="16" t="n">
        <v>7</v>
      </c>
      <c r="E3660" s="37" t="s">
        <v>10414</v>
      </c>
      <c r="F3660" s="16" t="s">
        <v>1285</v>
      </c>
      <c r="G3660" s="16" t="s">
        <v>757</v>
      </c>
      <c r="H3660" s="16" t="s">
        <v>4018</v>
      </c>
      <c r="I3660" s="16" t="s">
        <v>92</v>
      </c>
      <c r="J3660" s="16" t="s">
        <v>9999</v>
      </c>
      <c r="K3660" s="32" t="n">
        <v>1</v>
      </c>
      <c r="L3660" s="33" t="n">
        <v>46263</v>
      </c>
      <c r="M3660" s="33" t="n">
        <v>46263</v>
      </c>
      <c r="N3660" s="16" t="s">
        <v>11600</v>
      </c>
      <c r="O3660" s="16"/>
      <c r="P3660" s="16" t="str">
        <f aca="false">IF(AND(L3660&lt;=$D$2,M3660&gt;=$C$2),"Sí","")</f>
        <v/>
      </c>
      <c r="Q3660" s="18" t="str">
        <f aca="false">IF(COUNTIF(LOOKAHEAD!$A$5:$A$604,A3660)&gt;0,"En Lookahead",IF(P3660="Sí","INCORPORAR",""))</f>
        <v/>
      </c>
    </row>
    <row r="3661" customFormat="false" ht="15" hidden="false" customHeight="false" outlineLevel="0" collapsed="false">
      <c r="A3661" s="16" t="s">
        <v>11601</v>
      </c>
      <c r="B3661" s="16" t="n">
        <v>3656</v>
      </c>
      <c r="C3661" s="16" t="s">
        <v>11602</v>
      </c>
      <c r="D3661" s="16" t="n">
        <v>7</v>
      </c>
      <c r="E3661" s="37" t="s">
        <v>10006</v>
      </c>
      <c r="F3661" s="16" t="s">
        <v>1285</v>
      </c>
      <c r="G3661" s="16" t="s">
        <v>757</v>
      </c>
      <c r="H3661" s="16" t="s">
        <v>4018</v>
      </c>
      <c r="I3661" s="16" t="s">
        <v>92</v>
      </c>
      <c r="J3661" s="16" t="s">
        <v>9999</v>
      </c>
      <c r="K3661" s="32" t="n">
        <v>1</v>
      </c>
      <c r="L3661" s="33" t="n">
        <v>46264</v>
      </c>
      <c r="M3661" s="33" t="n">
        <v>46264</v>
      </c>
      <c r="N3661" s="16" t="s">
        <v>11603</v>
      </c>
      <c r="O3661" s="16"/>
      <c r="P3661" s="16" t="str">
        <f aca="false">IF(AND(L3661&lt;=$D$2,M3661&gt;=$C$2),"Sí","")</f>
        <v/>
      </c>
      <c r="Q3661" s="18" t="str">
        <f aca="false">IF(COUNTIF(LOOKAHEAD!$A$5:$A$604,A3661)&gt;0,"En Lookahead",IF(P3661="Sí","INCORPORAR",""))</f>
        <v/>
      </c>
    </row>
    <row r="3662" customFormat="false" ht="15" hidden="false" customHeight="false" outlineLevel="0" collapsed="false">
      <c r="A3662" s="16" t="s">
        <v>11604</v>
      </c>
      <c r="B3662" s="16" t="n">
        <v>3657</v>
      </c>
      <c r="C3662" s="16" t="s">
        <v>11605</v>
      </c>
      <c r="D3662" s="16" t="n">
        <v>7</v>
      </c>
      <c r="E3662" s="37" t="s">
        <v>10421</v>
      </c>
      <c r="F3662" s="16" t="s">
        <v>1285</v>
      </c>
      <c r="G3662" s="16" t="s">
        <v>757</v>
      </c>
      <c r="H3662" s="16" t="s">
        <v>4018</v>
      </c>
      <c r="I3662" s="16" t="s">
        <v>92</v>
      </c>
      <c r="J3662" s="16" t="s">
        <v>9999</v>
      </c>
      <c r="K3662" s="32" t="n">
        <v>1</v>
      </c>
      <c r="L3662" s="33" t="n">
        <v>46265</v>
      </c>
      <c r="M3662" s="33" t="n">
        <v>46265</v>
      </c>
      <c r="N3662" s="16" t="s">
        <v>11606</v>
      </c>
      <c r="O3662" s="16"/>
      <c r="P3662" s="16" t="str">
        <f aca="false">IF(AND(L3662&lt;=$D$2,M3662&gt;=$C$2),"Sí","")</f>
        <v/>
      </c>
      <c r="Q3662" s="18" t="str">
        <f aca="false">IF(COUNTIF(LOOKAHEAD!$A$5:$A$604,A3662)&gt;0,"En Lookahead",IF(P3662="Sí","INCORPORAR",""))</f>
        <v/>
      </c>
    </row>
    <row r="3663" customFormat="false" ht="15" hidden="false" customHeight="false" outlineLevel="0" collapsed="false">
      <c r="A3663" s="16" t="s">
        <v>11607</v>
      </c>
      <c r="B3663" s="16" t="n">
        <v>3658</v>
      </c>
      <c r="C3663" s="16" t="s">
        <v>11608</v>
      </c>
      <c r="D3663" s="16" t="n">
        <v>7</v>
      </c>
      <c r="E3663" s="37" t="s">
        <v>10010</v>
      </c>
      <c r="F3663" s="16" t="s">
        <v>1285</v>
      </c>
      <c r="G3663" s="16" t="s">
        <v>757</v>
      </c>
      <c r="H3663" s="16" t="s">
        <v>4018</v>
      </c>
      <c r="I3663" s="16" t="s">
        <v>92</v>
      </c>
      <c r="J3663" s="16" t="s">
        <v>9999</v>
      </c>
      <c r="K3663" s="32" t="n">
        <v>1</v>
      </c>
      <c r="L3663" s="33" t="n">
        <v>46266</v>
      </c>
      <c r="M3663" s="33" t="n">
        <v>46266</v>
      </c>
      <c r="N3663" s="16" t="s">
        <v>11609</v>
      </c>
      <c r="O3663" s="16"/>
      <c r="P3663" s="16" t="str">
        <f aca="false">IF(AND(L3663&lt;=$D$2,M3663&gt;=$C$2),"Sí","")</f>
        <v/>
      </c>
      <c r="Q3663" s="18" t="str">
        <f aca="false">IF(COUNTIF(LOOKAHEAD!$A$5:$A$604,A3663)&gt;0,"En Lookahead",IF(P3663="Sí","INCORPORAR",""))</f>
        <v/>
      </c>
    </row>
    <row r="3664" customFormat="false" ht="15" hidden="false" customHeight="false" outlineLevel="0" collapsed="false">
      <c r="A3664" s="16" t="s">
        <v>11610</v>
      </c>
      <c r="B3664" s="16" t="n">
        <v>3659</v>
      </c>
      <c r="C3664" s="16" t="s">
        <v>11611</v>
      </c>
      <c r="D3664" s="16" t="n">
        <v>7</v>
      </c>
      <c r="E3664" s="37" t="s">
        <v>10014</v>
      </c>
      <c r="F3664" s="16" t="s">
        <v>1285</v>
      </c>
      <c r="G3664" s="16" t="s">
        <v>757</v>
      </c>
      <c r="H3664" s="16" t="s">
        <v>4018</v>
      </c>
      <c r="I3664" s="16" t="s">
        <v>92</v>
      </c>
      <c r="J3664" s="16" t="s">
        <v>9999</v>
      </c>
      <c r="K3664" s="32" t="n">
        <v>1</v>
      </c>
      <c r="L3664" s="33" t="n">
        <v>46267</v>
      </c>
      <c r="M3664" s="33" t="n">
        <v>46267</v>
      </c>
      <c r="N3664" s="16" t="s">
        <v>11612</v>
      </c>
      <c r="O3664" s="16"/>
      <c r="P3664" s="16" t="str">
        <f aca="false">IF(AND(L3664&lt;=$D$2,M3664&gt;=$C$2),"Sí","")</f>
        <v/>
      </c>
      <c r="Q3664" s="18" t="str">
        <f aca="false">IF(COUNTIF(LOOKAHEAD!$A$5:$A$604,A3664)&gt;0,"En Lookahead",IF(P3664="Sí","INCORPORAR",""))</f>
        <v/>
      </c>
    </row>
    <row r="3665" customFormat="false" ht="15" hidden="false" customHeight="false" outlineLevel="0" collapsed="false">
      <c r="A3665" s="13" t="s">
        <v>11613</v>
      </c>
      <c r="B3665" s="13" t="n">
        <v>3660</v>
      </c>
      <c r="C3665" s="13" t="s">
        <v>11614</v>
      </c>
      <c r="D3665" s="13" t="n">
        <v>6</v>
      </c>
      <c r="E3665" s="36" t="s">
        <v>10018</v>
      </c>
      <c r="F3665" s="13" t="s">
        <v>1298</v>
      </c>
      <c r="G3665" s="13" t="s">
        <v>757</v>
      </c>
      <c r="H3665" s="13" t="s">
        <v>4018</v>
      </c>
      <c r="I3665" s="13" t="s">
        <v>92</v>
      </c>
      <c r="J3665" s="13" t="s">
        <v>9975</v>
      </c>
      <c r="K3665" s="30" t="n">
        <v>3</v>
      </c>
      <c r="L3665" s="31" t="n">
        <v>46268</v>
      </c>
      <c r="M3665" s="31" t="n">
        <v>46270</v>
      </c>
      <c r="N3665" s="13"/>
      <c r="O3665" s="13"/>
      <c r="P3665" s="13"/>
      <c r="Q3665" s="13"/>
    </row>
    <row r="3666" customFormat="false" ht="15" hidden="false" customHeight="false" outlineLevel="0" collapsed="false">
      <c r="A3666" s="16" t="s">
        <v>11615</v>
      </c>
      <c r="B3666" s="16" t="n">
        <v>3661</v>
      </c>
      <c r="C3666" s="16" t="s">
        <v>11616</v>
      </c>
      <c r="D3666" s="16" t="n">
        <v>7</v>
      </c>
      <c r="E3666" s="37" t="s">
        <v>10433</v>
      </c>
      <c r="F3666" s="16" t="s">
        <v>1285</v>
      </c>
      <c r="G3666" s="16" t="s">
        <v>757</v>
      </c>
      <c r="H3666" s="16" t="s">
        <v>4018</v>
      </c>
      <c r="I3666" s="16" t="s">
        <v>92</v>
      </c>
      <c r="J3666" s="16" t="s">
        <v>10018</v>
      </c>
      <c r="K3666" s="32" t="n">
        <v>1</v>
      </c>
      <c r="L3666" s="33" t="n">
        <v>46268</v>
      </c>
      <c r="M3666" s="33" t="n">
        <v>46268</v>
      </c>
      <c r="N3666" s="16" t="s">
        <v>11617</v>
      </c>
      <c r="O3666" s="16"/>
      <c r="P3666" s="16" t="str">
        <f aca="false">IF(AND(L3666&lt;=$D$2,M3666&gt;=$C$2),"Sí","")</f>
        <v/>
      </c>
      <c r="Q3666" s="18" t="str">
        <f aca="false">IF(COUNTIF(LOOKAHEAD!$A$5:$A$604,A3666)&gt;0,"En Lookahead",IF(P3666="Sí","INCORPORAR",""))</f>
        <v/>
      </c>
    </row>
    <row r="3667" customFormat="false" ht="15" hidden="false" customHeight="false" outlineLevel="0" collapsed="false">
      <c r="A3667" s="16" t="s">
        <v>11618</v>
      </c>
      <c r="B3667" s="16" t="n">
        <v>3662</v>
      </c>
      <c r="C3667" s="16" t="s">
        <v>11619</v>
      </c>
      <c r="D3667" s="16" t="n">
        <v>7</v>
      </c>
      <c r="E3667" s="37" t="s">
        <v>10021</v>
      </c>
      <c r="F3667" s="16" t="s">
        <v>1285</v>
      </c>
      <c r="G3667" s="16" t="s">
        <v>757</v>
      </c>
      <c r="H3667" s="16" t="s">
        <v>4018</v>
      </c>
      <c r="I3667" s="16" t="s">
        <v>92</v>
      </c>
      <c r="J3667" s="16" t="s">
        <v>10018</v>
      </c>
      <c r="K3667" s="32" t="n">
        <v>1</v>
      </c>
      <c r="L3667" s="33" t="n">
        <v>46269</v>
      </c>
      <c r="M3667" s="33" t="n">
        <v>46269</v>
      </c>
      <c r="N3667" s="16" t="s">
        <v>11620</v>
      </c>
      <c r="O3667" s="16"/>
      <c r="P3667" s="16" t="str">
        <f aca="false">IF(AND(L3667&lt;=$D$2,M3667&gt;=$C$2),"Sí","")</f>
        <v/>
      </c>
      <c r="Q3667" s="18" t="str">
        <f aca="false">IF(COUNTIF(LOOKAHEAD!$A$5:$A$604,A3667)&gt;0,"En Lookahead",IF(P3667="Sí","INCORPORAR",""))</f>
        <v/>
      </c>
    </row>
    <row r="3668" customFormat="false" ht="15" hidden="false" customHeight="false" outlineLevel="0" collapsed="false">
      <c r="A3668" s="16" t="s">
        <v>11621</v>
      </c>
      <c r="B3668" s="16" t="n">
        <v>3663</v>
      </c>
      <c r="C3668" s="16" t="s">
        <v>11622</v>
      </c>
      <c r="D3668" s="16" t="n">
        <v>7</v>
      </c>
      <c r="E3668" s="37" t="s">
        <v>10440</v>
      </c>
      <c r="F3668" s="16" t="s">
        <v>1285</v>
      </c>
      <c r="G3668" s="16" t="s">
        <v>757</v>
      </c>
      <c r="H3668" s="16" t="s">
        <v>4018</v>
      </c>
      <c r="I3668" s="16" t="s">
        <v>92</v>
      </c>
      <c r="J3668" s="16" t="s">
        <v>10018</v>
      </c>
      <c r="K3668" s="32" t="n">
        <v>1</v>
      </c>
      <c r="L3668" s="33" t="n">
        <v>46270</v>
      </c>
      <c r="M3668" s="33" t="n">
        <v>46270</v>
      </c>
      <c r="N3668" s="16" t="s">
        <v>11623</v>
      </c>
      <c r="O3668" s="16"/>
      <c r="P3668" s="16" t="str">
        <f aca="false">IF(AND(L3668&lt;=$D$2,M3668&gt;=$C$2),"Sí","")</f>
        <v/>
      </c>
      <c r="Q3668" s="18" t="str">
        <f aca="false">IF(COUNTIF(LOOKAHEAD!$A$5:$A$604,A3668)&gt;0,"En Lookahead",IF(P3668="Sí","INCORPORAR",""))</f>
        <v/>
      </c>
    </row>
    <row r="3669" customFormat="false" ht="15" hidden="false" customHeight="false" outlineLevel="0" collapsed="false">
      <c r="A3669" s="13" t="s">
        <v>11624</v>
      </c>
      <c r="B3669" s="13" t="n">
        <v>3664</v>
      </c>
      <c r="C3669" s="13" t="s">
        <v>11625</v>
      </c>
      <c r="D3669" s="13" t="n">
        <v>6</v>
      </c>
      <c r="E3669" s="36" t="s">
        <v>10025</v>
      </c>
      <c r="F3669" s="13" t="s">
        <v>1298</v>
      </c>
      <c r="G3669" s="13" t="s">
        <v>757</v>
      </c>
      <c r="H3669" s="13" t="s">
        <v>4018</v>
      </c>
      <c r="I3669" s="13" t="s">
        <v>92</v>
      </c>
      <c r="J3669" s="13" t="s">
        <v>9975</v>
      </c>
      <c r="K3669" s="30" t="n">
        <v>1</v>
      </c>
      <c r="L3669" s="31" t="n">
        <v>46271</v>
      </c>
      <c r="M3669" s="31" t="n">
        <v>46271</v>
      </c>
      <c r="N3669" s="13"/>
      <c r="O3669" s="13"/>
      <c r="P3669" s="13"/>
      <c r="Q3669" s="13"/>
    </row>
    <row r="3670" customFormat="false" ht="15" hidden="false" customHeight="false" outlineLevel="0" collapsed="false">
      <c r="A3670" s="16" t="s">
        <v>11626</v>
      </c>
      <c r="B3670" s="16" t="n">
        <v>3665</v>
      </c>
      <c r="C3670" s="16" t="s">
        <v>11627</v>
      </c>
      <c r="D3670" s="16" t="n">
        <v>7</v>
      </c>
      <c r="E3670" s="37" t="s">
        <v>10028</v>
      </c>
      <c r="F3670" s="16" t="s">
        <v>1285</v>
      </c>
      <c r="G3670" s="16" t="s">
        <v>757</v>
      </c>
      <c r="H3670" s="16" t="s">
        <v>4018</v>
      </c>
      <c r="I3670" s="16" t="s">
        <v>92</v>
      </c>
      <c r="J3670" s="16" t="s">
        <v>10025</v>
      </c>
      <c r="K3670" s="32" t="n">
        <v>1</v>
      </c>
      <c r="L3670" s="33" t="n">
        <v>46271</v>
      </c>
      <c r="M3670" s="33" t="n">
        <v>46271</v>
      </c>
      <c r="N3670" s="16" t="s">
        <v>11628</v>
      </c>
      <c r="O3670" s="16"/>
      <c r="P3670" s="16" t="str">
        <f aca="false">IF(AND(L3670&lt;=$D$2,M3670&gt;=$C$2),"Sí","")</f>
        <v/>
      </c>
      <c r="Q3670" s="18" t="str">
        <f aca="false">IF(COUNTIF(LOOKAHEAD!$A$5:$A$604,A3670)&gt;0,"En Lookahead",IF(P3670="Sí","INCORPORAR",""))</f>
        <v/>
      </c>
    </row>
    <row r="3671" customFormat="false" ht="15" hidden="false" customHeight="false" outlineLevel="0" collapsed="false">
      <c r="A3671" s="13" t="s">
        <v>11629</v>
      </c>
      <c r="B3671" s="13" t="n">
        <v>3666</v>
      </c>
      <c r="C3671" s="13" t="s">
        <v>11630</v>
      </c>
      <c r="D3671" s="13" t="n">
        <v>5</v>
      </c>
      <c r="E3671" s="34" t="s">
        <v>10032</v>
      </c>
      <c r="F3671" s="13" t="s">
        <v>1298</v>
      </c>
      <c r="G3671" s="13" t="s">
        <v>757</v>
      </c>
      <c r="H3671" s="13" t="s">
        <v>4018</v>
      </c>
      <c r="I3671" s="13" t="s">
        <v>92</v>
      </c>
      <c r="J3671" s="13" t="s">
        <v>4018</v>
      </c>
      <c r="K3671" s="30" t="n">
        <v>19</v>
      </c>
      <c r="L3671" s="31" t="n">
        <v>46272</v>
      </c>
      <c r="M3671" s="31" t="n">
        <v>46290</v>
      </c>
      <c r="N3671" s="13"/>
      <c r="O3671" s="13"/>
      <c r="P3671" s="13"/>
      <c r="Q3671" s="13"/>
    </row>
    <row r="3672" customFormat="false" ht="15" hidden="false" customHeight="false" outlineLevel="0" collapsed="false">
      <c r="A3672" s="13" t="s">
        <v>11631</v>
      </c>
      <c r="B3672" s="13" t="n">
        <v>3667</v>
      </c>
      <c r="C3672" s="13" t="s">
        <v>11632</v>
      </c>
      <c r="D3672" s="13" t="n">
        <v>6</v>
      </c>
      <c r="E3672" s="36" t="s">
        <v>10035</v>
      </c>
      <c r="F3672" s="13" t="s">
        <v>1298</v>
      </c>
      <c r="G3672" s="13" t="s">
        <v>757</v>
      </c>
      <c r="H3672" s="13" t="s">
        <v>4018</v>
      </c>
      <c r="I3672" s="13" t="s">
        <v>92</v>
      </c>
      <c r="J3672" s="13" t="s">
        <v>10032</v>
      </c>
      <c r="K3672" s="30" t="n">
        <v>1</v>
      </c>
      <c r="L3672" s="31" t="n">
        <v>46272</v>
      </c>
      <c r="M3672" s="31" t="n">
        <v>46272</v>
      </c>
      <c r="N3672" s="13"/>
      <c r="O3672" s="13"/>
      <c r="P3672" s="13"/>
      <c r="Q3672" s="13"/>
    </row>
    <row r="3673" customFormat="false" ht="15" hidden="false" customHeight="false" outlineLevel="0" collapsed="false">
      <c r="A3673" s="16" t="s">
        <v>11633</v>
      </c>
      <c r="B3673" s="16" t="n">
        <v>3668</v>
      </c>
      <c r="C3673" s="16" t="s">
        <v>11634</v>
      </c>
      <c r="D3673" s="16" t="n">
        <v>7</v>
      </c>
      <c r="E3673" s="37" t="s">
        <v>10038</v>
      </c>
      <c r="F3673" s="16" t="s">
        <v>1285</v>
      </c>
      <c r="G3673" s="16" t="s">
        <v>757</v>
      </c>
      <c r="H3673" s="16" t="s">
        <v>4018</v>
      </c>
      <c r="I3673" s="16" t="s">
        <v>92</v>
      </c>
      <c r="J3673" s="16" t="s">
        <v>10035</v>
      </c>
      <c r="K3673" s="32" t="n">
        <v>1</v>
      </c>
      <c r="L3673" s="33" t="n">
        <v>46272</v>
      </c>
      <c r="M3673" s="33" t="n">
        <v>46272</v>
      </c>
      <c r="N3673" s="16" t="s">
        <v>11574</v>
      </c>
      <c r="O3673" s="16"/>
      <c r="P3673" s="16" t="str">
        <f aca="false">IF(AND(L3673&lt;=$D$2,M3673&gt;=$C$2),"Sí","")</f>
        <v/>
      </c>
      <c r="Q3673" s="18" t="str">
        <f aca="false">IF(COUNTIF(LOOKAHEAD!$A$5:$A$604,A3673)&gt;0,"En Lookahead",IF(P3673="Sí","INCORPORAR",""))</f>
        <v/>
      </c>
    </row>
    <row r="3674" customFormat="false" ht="15" hidden="false" customHeight="false" outlineLevel="0" collapsed="false">
      <c r="A3674" s="13" t="s">
        <v>11635</v>
      </c>
      <c r="B3674" s="13" t="n">
        <v>3669</v>
      </c>
      <c r="C3674" s="13" t="s">
        <v>11636</v>
      </c>
      <c r="D3674" s="13" t="n">
        <v>6</v>
      </c>
      <c r="E3674" s="36" t="s">
        <v>1534</v>
      </c>
      <c r="F3674" s="13" t="s">
        <v>1298</v>
      </c>
      <c r="G3674" s="13" t="s">
        <v>757</v>
      </c>
      <c r="H3674" s="13" t="s">
        <v>4018</v>
      </c>
      <c r="I3674" s="13" t="s">
        <v>92</v>
      </c>
      <c r="J3674" s="13" t="s">
        <v>10032</v>
      </c>
      <c r="K3674" s="30" t="n">
        <v>18</v>
      </c>
      <c r="L3674" s="31" t="n">
        <v>46273</v>
      </c>
      <c r="M3674" s="31" t="n">
        <v>46290</v>
      </c>
      <c r="N3674" s="13"/>
      <c r="O3674" s="13"/>
      <c r="P3674" s="13"/>
      <c r="Q3674" s="13"/>
    </row>
    <row r="3675" customFormat="false" ht="15" hidden="false" customHeight="false" outlineLevel="0" collapsed="false">
      <c r="A3675" s="16" t="s">
        <v>11637</v>
      </c>
      <c r="B3675" s="16" t="n">
        <v>3670</v>
      </c>
      <c r="C3675" s="16" t="s">
        <v>11638</v>
      </c>
      <c r="D3675" s="16" t="n">
        <v>7</v>
      </c>
      <c r="E3675" s="37" t="s">
        <v>10043</v>
      </c>
      <c r="F3675" s="16" t="s">
        <v>1285</v>
      </c>
      <c r="G3675" s="16" t="s">
        <v>757</v>
      </c>
      <c r="H3675" s="16" t="s">
        <v>4018</v>
      </c>
      <c r="I3675" s="16" t="s">
        <v>92</v>
      </c>
      <c r="J3675" s="16" t="s">
        <v>1534</v>
      </c>
      <c r="K3675" s="32" t="n">
        <v>3</v>
      </c>
      <c r="L3675" s="33" t="n">
        <v>46273</v>
      </c>
      <c r="M3675" s="33" t="n">
        <v>46275</v>
      </c>
      <c r="N3675" s="16" t="s">
        <v>11639</v>
      </c>
      <c r="O3675" s="16"/>
      <c r="P3675" s="16" t="str">
        <f aca="false">IF(AND(L3675&lt;=$D$2,M3675&gt;=$C$2),"Sí","")</f>
        <v/>
      </c>
      <c r="Q3675" s="18" t="str">
        <f aca="false">IF(COUNTIF(LOOKAHEAD!$A$5:$A$604,A3675)&gt;0,"En Lookahead",IF(P3675="Sí","INCORPORAR",""))</f>
        <v/>
      </c>
    </row>
    <row r="3676" customFormat="false" ht="15" hidden="false" customHeight="false" outlineLevel="0" collapsed="false">
      <c r="A3676" s="16" t="s">
        <v>11640</v>
      </c>
      <c r="B3676" s="16" t="n">
        <v>3671</v>
      </c>
      <c r="C3676" s="16" t="s">
        <v>11641</v>
      </c>
      <c r="D3676" s="16" t="n">
        <v>7</v>
      </c>
      <c r="E3676" s="37" t="s">
        <v>10047</v>
      </c>
      <c r="F3676" s="16" t="s">
        <v>1285</v>
      </c>
      <c r="G3676" s="16" t="s">
        <v>757</v>
      </c>
      <c r="H3676" s="16" t="s">
        <v>4018</v>
      </c>
      <c r="I3676" s="16" t="s">
        <v>92</v>
      </c>
      <c r="J3676" s="16" t="s">
        <v>1534</v>
      </c>
      <c r="K3676" s="32" t="n">
        <v>1</v>
      </c>
      <c r="L3676" s="33" t="n">
        <v>46276</v>
      </c>
      <c r="M3676" s="33" t="n">
        <v>46276</v>
      </c>
      <c r="N3676" s="16" t="s">
        <v>11642</v>
      </c>
      <c r="O3676" s="16"/>
      <c r="P3676" s="16" t="str">
        <f aca="false">IF(AND(L3676&lt;=$D$2,M3676&gt;=$C$2),"Sí","")</f>
        <v/>
      </c>
      <c r="Q3676" s="18" t="str">
        <f aca="false">IF(COUNTIF(LOOKAHEAD!$A$5:$A$604,A3676)&gt;0,"En Lookahead",IF(P3676="Sí","INCORPORAR",""))</f>
        <v/>
      </c>
    </row>
    <row r="3677" customFormat="false" ht="15" hidden="false" customHeight="false" outlineLevel="0" collapsed="false">
      <c r="A3677" s="16" t="s">
        <v>11643</v>
      </c>
      <c r="B3677" s="16" t="n">
        <v>3672</v>
      </c>
      <c r="C3677" s="16" t="s">
        <v>11644</v>
      </c>
      <c r="D3677" s="16" t="n">
        <v>7</v>
      </c>
      <c r="E3677" s="37" t="s">
        <v>10051</v>
      </c>
      <c r="F3677" s="16" t="s">
        <v>1285</v>
      </c>
      <c r="G3677" s="16" t="s">
        <v>757</v>
      </c>
      <c r="H3677" s="16" t="s">
        <v>4018</v>
      </c>
      <c r="I3677" s="16" t="s">
        <v>92</v>
      </c>
      <c r="J3677" s="16" t="s">
        <v>1534</v>
      </c>
      <c r="K3677" s="32" t="n">
        <v>1</v>
      </c>
      <c r="L3677" s="33" t="n">
        <v>46277</v>
      </c>
      <c r="M3677" s="33" t="n">
        <v>46277</v>
      </c>
      <c r="N3677" s="16" t="s">
        <v>11645</v>
      </c>
      <c r="O3677" s="16"/>
      <c r="P3677" s="16" t="str">
        <f aca="false">IF(AND(L3677&lt;=$D$2,M3677&gt;=$C$2),"Sí","")</f>
        <v/>
      </c>
      <c r="Q3677" s="18" t="str">
        <f aca="false">IF(COUNTIF(LOOKAHEAD!$A$5:$A$604,A3677)&gt;0,"En Lookahead",IF(P3677="Sí","INCORPORAR",""))</f>
        <v/>
      </c>
    </row>
    <row r="3678" customFormat="false" ht="15" hidden="false" customHeight="false" outlineLevel="0" collapsed="false">
      <c r="A3678" s="16" t="s">
        <v>11646</v>
      </c>
      <c r="B3678" s="16" t="n">
        <v>3673</v>
      </c>
      <c r="C3678" s="16" t="s">
        <v>11647</v>
      </c>
      <c r="D3678" s="16" t="n">
        <v>7</v>
      </c>
      <c r="E3678" s="37" t="s">
        <v>10055</v>
      </c>
      <c r="F3678" s="16" t="s">
        <v>1285</v>
      </c>
      <c r="G3678" s="16" t="s">
        <v>757</v>
      </c>
      <c r="H3678" s="16" t="s">
        <v>4018</v>
      </c>
      <c r="I3678" s="16" t="s">
        <v>92</v>
      </c>
      <c r="J3678" s="16" t="s">
        <v>1534</v>
      </c>
      <c r="K3678" s="32" t="n">
        <v>1</v>
      </c>
      <c r="L3678" s="33" t="n">
        <v>46278</v>
      </c>
      <c r="M3678" s="33" t="n">
        <v>46278</v>
      </c>
      <c r="N3678" s="16" t="s">
        <v>11648</v>
      </c>
      <c r="O3678" s="16"/>
      <c r="P3678" s="16" t="str">
        <f aca="false">IF(AND(L3678&lt;=$D$2,M3678&gt;=$C$2),"Sí","")</f>
        <v/>
      </c>
      <c r="Q3678" s="18" t="str">
        <f aca="false">IF(COUNTIF(LOOKAHEAD!$A$5:$A$604,A3678)&gt;0,"En Lookahead",IF(P3678="Sí","INCORPORAR",""))</f>
        <v/>
      </c>
    </row>
    <row r="3679" customFormat="false" ht="15" hidden="false" customHeight="false" outlineLevel="0" collapsed="false">
      <c r="A3679" s="16" t="s">
        <v>11649</v>
      </c>
      <c r="B3679" s="16" t="n">
        <v>3674</v>
      </c>
      <c r="C3679" s="16" t="s">
        <v>11650</v>
      </c>
      <c r="D3679" s="16" t="n">
        <v>7</v>
      </c>
      <c r="E3679" s="37" t="s">
        <v>10059</v>
      </c>
      <c r="F3679" s="16" t="s">
        <v>1285</v>
      </c>
      <c r="G3679" s="16" t="s">
        <v>757</v>
      </c>
      <c r="H3679" s="16" t="s">
        <v>4018</v>
      </c>
      <c r="I3679" s="16" t="s">
        <v>92</v>
      </c>
      <c r="J3679" s="16" t="s">
        <v>1534</v>
      </c>
      <c r="K3679" s="32" t="n">
        <v>1</v>
      </c>
      <c r="L3679" s="33" t="n">
        <v>46288</v>
      </c>
      <c r="M3679" s="33" t="n">
        <v>46288</v>
      </c>
      <c r="N3679" s="16" t="s">
        <v>11651</v>
      </c>
      <c r="O3679" s="16"/>
      <c r="P3679" s="16" t="str">
        <f aca="false">IF(AND(L3679&lt;=$D$2,M3679&gt;=$C$2),"Sí","")</f>
        <v/>
      </c>
      <c r="Q3679" s="18" t="str">
        <f aca="false">IF(COUNTIF(LOOKAHEAD!$A$5:$A$604,A3679)&gt;0,"En Lookahead",IF(P3679="Sí","INCORPORAR",""))</f>
        <v/>
      </c>
    </row>
    <row r="3680" customFormat="false" ht="15" hidden="false" customHeight="false" outlineLevel="0" collapsed="false">
      <c r="A3680" s="16" t="s">
        <v>11652</v>
      </c>
      <c r="B3680" s="16" t="n">
        <v>3675</v>
      </c>
      <c r="C3680" s="16" t="s">
        <v>11653</v>
      </c>
      <c r="D3680" s="16" t="n">
        <v>7</v>
      </c>
      <c r="E3680" s="37" t="s">
        <v>10063</v>
      </c>
      <c r="F3680" s="16" t="s">
        <v>1285</v>
      </c>
      <c r="G3680" s="16" t="s">
        <v>757</v>
      </c>
      <c r="H3680" s="16" t="s">
        <v>4018</v>
      </c>
      <c r="I3680" s="16" t="s">
        <v>92</v>
      </c>
      <c r="J3680" s="16" t="s">
        <v>1534</v>
      </c>
      <c r="K3680" s="32" t="n">
        <v>1</v>
      </c>
      <c r="L3680" s="33" t="n">
        <v>46289</v>
      </c>
      <c r="M3680" s="33" t="n">
        <v>46289</v>
      </c>
      <c r="N3680" s="16" t="s">
        <v>11654</v>
      </c>
      <c r="O3680" s="16"/>
      <c r="P3680" s="16" t="str">
        <f aca="false">IF(AND(L3680&lt;=$D$2,M3680&gt;=$C$2),"Sí","")</f>
        <v/>
      </c>
      <c r="Q3680" s="18" t="str">
        <f aca="false">IF(COUNTIF(LOOKAHEAD!$A$5:$A$604,A3680)&gt;0,"En Lookahead",IF(P3680="Sí","INCORPORAR",""))</f>
        <v/>
      </c>
    </row>
    <row r="3681" customFormat="false" ht="15" hidden="false" customHeight="false" outlineLevel="0" collapsed="false">
      <c r="A3681" s="16" t="s">
        <v>11655</v>
      </c>
      <c r="B3681" s="16" t="n">
        <v>3676</v>
      </c>
      <c r="C3681" s="16" t="s">
        <v>11656</v>
      </c>
      <c r="D3681" s="16" t="n">
        <v>7</v>
      </c>
      <c r="E3681" s="37" t="s">
        <v>1557</v>
      </c>
      <c r="F3681" s="16" t="s">
        <v>1285</v>
      </c>
      <c r="G3681" s="16" t="s">
        <v>757</v>
      </c>
      <c r="H3681" s="16" t="s">
        <v>4018</v>
      </c>
      <c r="I3681" s="16" t="s">
        <v>92</v>
      </c>
      <c r="J3681" s="16" t="s">
        <v>1534</v>
      </c>
      <c r="K3681" s="32" t="n">
        <v>1</v>
      </c>
      <c r="L3681" s="33" t="n">
        <v>46288</v>
      </c>
      <c r="M3681" s="33" t="n">
        <v>46288</v>
      </c>
      <c r="N3681" s="16" t="s">
        <v>11657</v>
      </c>
      <c r="O3681" s="16"/>
      <c r="P3681" s="16" t="str">
        <f aca="false">IF(AND(L3681&lt;=$D$2,M3681&gt;=$C$2),"Sí","")</f>
        <v/>
      </c>
      <c r="Q3681" s="18" t="str">
        <f aca="false">IF(COUNTIF(LOOKAHEAD!$A$5:$A$604,A3681)&gt;0,"En Lookahead",IF(P3681="Sí","INCORPORAR",""))</f>
        <v/>
      </c>
    </row>
    <row r="3682" customFormat="false" ht="15" hidden="false" customHeight="false" outlineLevel="0" collapsed="false">
      <c r="A3682" s="16" t="s">
        <v>11658</v>
      </c>
      <c r="B3682" s="16" t="n">
        <v>3677</v>
      </c>
      <c r="C3682" s="16" t="s">
        <v>11659</v>
      </c>
      <c r="D3682" s="16" t="n">
        <v>7</v>
      </c>
      <c r="E3682" s="37" t="s">
        <v>10069</v>
      </c>
      <c r="F3682" s="16" t="s">
        <v>1285</v>
      </c>
      <c r="G3682" s="16" t="s">
        <v>757</v>
      </c>
      <c r="H3682" s="16" t="s">
        <v>4018</v>
      </c>
      <c r="I3682" s="16" t="s">
        <v>92</v>
      </c>
      <c r="J3682" s="16" t="s">
        <v>1534</v>
      </c>
      <c r="K3682" s="32" t="n">
        <v>1</v>
      </c>
      <c r="L3682" s="33" t="n">
        <v>46290</v>
      </c>
      <c r="M3682" s="33" t="n">
        <v>46290</v>
      </c>
      <c r="N3682" s="16" t="s">
        <v>11660</v>
      </c>
      <c r="O3682" s="16"/>
      <c r="P3682" s="16" t="str">
        <f aca="false">IF(AND(L3682&lt;=$D$2,M3682&gt;=$C$2),"Sí","")</f>
        <v/>
      </c>
      <c r="Q3682" s="18" t="str">
        <f aca="false">IF(COUNTIF(LOOKAHEAD!$A$5:$A$604,A3682)&gt;0,"En Lookahead",IF(P3682="Sí","INCORPORAR",""))</f>
        <v/>
      </c>
    </row>
    <row r="3683" customFormat="false" ht="15" hidden="false" customHeight="false" outlineLevel="0" collapsed="false">
      <c r="A3683" s="13" t="s">
        <v>11661</v>
      </c>
      <c r="B3683" s="13" t="n">
        <v>3678</v>
      </c>
      <c r="C3683" s="13" t="s">
        <v>11662</v>
      </c>
      <c r="D3683" s="13" t="n">
        <v>6</v>
      </c>
      <c r="E3683" s="36" t="s">
        <v>10072</v>
      </c>
      <c r="F3683" s="13" t="s">
        <v>1298</v>
      </c>
      <c r="G3683" s="13" t="s">
        <v>757</v>
      </c>
      <c r="H3683" s="13" t="s">
        <v>4018</v>
      </c>
      <c r="I3683" s="13" t="s">
        <v>92</v>
      </c>
      <c r="J3683" s="13" t="s">
        <v>10032</v>
      </c>
      <c r="K3683" s="30" t="n">
        <v>3</v>
      </c>
      <c r="L3683" s="31" t="n">
        <v>46278</v>
      </c>
      <c r="M3683" s="31" t="n">
        <v>46280</v>
      </c>
      <c r="N3683" s="13"/>
      <c r="O3683" s="13"/>
      <c r="P3683" s="13"/>
      <c r="Q3683" s="13"/>
    </row>
    <row r="3684" customFormat="false" ht="15" hidden="false" customHeight="false" outlineLevel="0" collapsed="false">
      <c r="A3684" s="16" t="s">
        <v>11663</v>
      </c>
      <c r="B3684" s="16" t="n">
        <v>3679</v>
      </c>
      <c r="C3684" s="16" t="s">
        <v>11664</v>
      </c>
      <c r="D3684" s="16" t="n">
        <v>7</v>
      </c>
      <c r="E3684" s="37" t="s">
        <v>10075</v>
      </c>
      <c r="F3684" s="16" t="s">
        <v>1285</v>
      </c>
      <c r="G3684" s="16" t="s">
        <v>757</v>
      </c>
      <c r="H3684" s="16" t="s">
        <v>4018</v>
      </c>
      <c r="I3684" s="16" t="s">
        <v>92</v>
      </c>
      <c r="J3684" s="16" t="s">
        <v>10072</v>
      </c>
      <c r="K3684" s="32" t="n">
        <v>3</v>
      </c>
      <c r="L3684" s="33" t="n">
        <v>46278</v>
      </c>
      <c r="M3684" s="33" t="n">
        <v>46280</v>
      </c>
      <c r="N3684" s="16" t="s">
        <v>11648</v>
      </c>
      <c r="O3684" s="16"/>
      <c r="P3684" s="16" t="str">
        <f aca="false">IF(AND(L3684&lt;=$D$2,M3684&gt;=$C$2),"Sí","")</f>
        <v/>
      </c>
      <c r="Q3684" s="18" t="str">
        <f aca="false">IF(COUNTIF(LOOKAHEAD!$A$5:$A$604,A3684)&gt;0,"En Lookahead",IF(P3684="Sí","INCORPORAR",""))</f>
        <v/>
      </c>
    </row>
    <row r="3685" customFormat="false" ht="15" hidden="false" customHeight="false" outlineLevel="0" collapsed="false">
      <c r="A3685" s="13" t="s">
        <v>11665</v>
      </c>
      <c r="B3685" s="13" t="n">
        <v>3680</v>
      </c>
      <c r="C3685" s="13" t="s">
        <v>11666</v>
      </c>
      <c r="D3685" s="13" t="n">
        <v>6</v>
      </c>
      <c r="E3685" s="36" t="s">
        <v>10079</v>
      </c>
      <c r="F3685" s="13" t="s">
        <v>1298</v>
      </c>
      <c r="G3685" s="13" t="s">
        <v>757</v>
      </c>
      <c r="H3685" s="13" t="s">
        <v>4018</v>
      </c>
      <c r="I3685" s="13" t="s">
        <v>92</v>
      </c>
      <c r="J3685" s="13" t="s">
        <v>10032</v>
      </c>
      <c r="K3685" s="30" t="n">
        <v>7</v>
      </c>
      <c r="L3685" s="31" t="n">
        <v>46281</v>
      </c>
      <c r="M3685" s="31" t="n">
        <v>46287</v>
      </c>
      <c r="N3685" s="13"/>
      <c r="O3685" s="13"/>
      <c r="P3685" s="13"/>
      <c r="Q3685" s="13"/>
    </row>
    <row r="3686" customFormat="false" ht="15" hidden="false" customHeight="false" outlineLevel="0" collapsed="false">
      <c r="A3686" s="16" t="s">
        <v>11667</v>
      </c>
      <c r="B3686" s="16" t="n">
        <v>3681</v>
      </c>
      <c r="C3686" s="16" t="s">
        <v>11668</v>
      </c>
      <c r="D3686" s="16" t="n">
        <v>7</v>
      </c>
      <c r="E3686" s="37" t="s">
        <v>10082</v>
      </c>
      <c r="F3686" s="16" t="s">
        <v>1285</v>
      </c>
      <c r="G3686" s="16" t="s">
        <v>757</v>
      </c>
      <c r="H3686" s="16" t="s">
        <v>4018</v>
      </c>
      <c r="I3686" s="16" t="s">
        <v>92</v>
      </c>
      <c r="J3686" s="16" t="s">
        <v>10079</v>
      </c>
      <c r="K3686" s="32" t="n">
        <v>1</v>
      </c>
      <c r="L3686" s="33" t="n">
        <v>46281</v>
      </c>
      <c r="M3686" s="33" t="n">
        <v>46281</v>
      </c>
      <c r="N3686" s="16" t="s">
        <v>11669</v>
      </c>
      <c r="O3686" s="16"/>
      <c r="P3686" s="16" t="str">
        <f aca="false">IF(AND(L3686&lt;=$D$2,M3686&gt;=$C$2),"Sí","")</f>
        <v/>
      </c>
      <c r="Q3686" s="18" t="str">
        <f aca="false">IF(COUNTIF(LOOKAHEAD!$A$5:$A$604,A3686)&gt;0,"En Lookahead",IF(P3686="Sí","INCORPORAR",""))</f>
        <v/>
      </c>
    </row>
    <row r="3687" customFormat="false" ht="15" hidden="false" customHeight="false" outlineLevel="0" collapsed="false">
      <c r="A3687" s="16" t="s">
        <v>11670</v>
      </c>
      <c r="B3687" s="16" t="n">
        <v>3682</v>
      </c>
      <c r="C3687" s="16" t="s">
        <v>11671</v>
      </c>
      <c r="D3687" s="16" t="n">
        <v>7</v>
      </c>
      <c r="E3687" s="37" t="s">
        <v>10086</v>
      </c>
      <c r="F3687" s="16" t="s">
        <v>1285</v>
      </c>
      <c r="G3687" s="16" t="s">
        <v>757</v>
      </c>
      <c r="H3687" s="16" t="s">
        <v>4018</v>
      </c>
      <c r="I3687" s="16" t="s">
        <v>92</v>
      </c>
      <c r="J3687" s="16" t="s">
        <v>10079</v>
      </c>
      <c r="K3687" s="32" t="n">
        <v>1</v>
      </c>
      <c r="L3687" s="33" t="n">
        <v>46282</v>
      </c>
      <c r="M3687" s="33" t="n">
        <v>46282</v>
      </c>
      <c r="N3687" s="16" t="s">
        <v>11672</v>
      </c>
      <c r="O3687" s="16"/>
      <c r="P3687" s="16" t="str">
        <f aca="false">IF(AND(L3687&lt;=$D$2,M3687&gt;=$C$2),"Sí","")</f>
        <v/>
      </c>
      <c r="Q3687" s="18" t="str">
        <f aca="false">IF(COUNTIF(LOOKAHEAD!$A$5:$A$604,A3687)&gt;0,"En Lookahead",IF(P3687="Sí","INCORPORAR",""))</f>
        <v/>
      </c>
    </row>
    <row r="3688" customFormat="false" ht="15" hidden="false" customHeight="false" outlineLevel="0" collapsed="false">
      <c r="A3688" s="16" t="s">
        <v>11673</v>
      </c>
      <c r="B3688" s="16" t="n">
        <v>3683</v>
      </c>
      <c r="C3688" s="16" t="s">
        <v>11674</v>
      </c>
      <c r="D3688" s="16" t="n">
        <v>7</v>
      </c>
      <c r="E3688" s="37" t="s">
        <v>10090</v>
      </c>
      <c r="F3688" s="16" t="s">
        <v>1285</v>
      </c>
      <c r="G3688" s="16" t="s">
        <v>757</v>
      </c>
      <c r="H3688" s="16" t="s">
        <v>4018</v>
      </c>
      <c r="I3688" s="16" t="s">
        <v>92</v>
      </c>
      <c r="J3688" s="16" t="s">
        <v>10079</v>
      </c>
      <c r="K3688" s="32" t="n">
        <v>1</v>
      </c>
      <c r="L3688" s="33" t="n">
        <v>46283</v>
      </c>
      <c r="M3688" s="33" t="n">
        <v>46283</v>
      </c>
      <c r="N3688" s="16" t="s">
        <v>11675</v>
      </c>
      <c r="O3688" s="16"/>
      <c r="P3688" s="16" t="str">
        <f aca="false">IF(AND(L3688&lt;=$D$2,M3688&gt;=$C$2),"Sí","")</f>
        <v/>
      </c>
      <c r="Q3688" s="18" t="str">
        <f aca="false">IF(COUNTIF(LOOKAHEAD!$A$5:$A$604,A3688)&gt;0,"En Lookahead",IF(P3688="Sí","INCORPORAR",""))</f>
        <v/>
      </c>
    </row>
    <row r="3689" customFormat="false" ht="15" hidden="false" customHeight="false" outlineLevel="0" collapsed="false">
      <c r="A3689" s="16" t="s">
        <v>11676</v>
      </c>
      <c r="B3689" s="16" t="n">
        <v>3684</v>
      </c>
      <c r="C3689" s="16" t="s">
        <v>11677</v>
      </c>
      <c r="D3689" s="16" t="n">
        <v>7</v>
      </c>
      <c r="E3689" s="37" t="s">
        <v>10094</v>
      </c>
      <c r="F3689" s="16" t="s">
        <v>1285</v>
      </c>
      <c r="G3689" s="16" t="s">
        <v>757</v>
      </c>
      <c r="H3689" s="16" t="s">
        <v>4018</v>
      </c>
      <c r="I3689" s="16" t="s">
        <v>92</v>
      </c>
      <c r="J3689" s="16" t="s">
        <v>10079</v>
      </c>
      <c r="K3689" s="32" t="n">
        <v>1</v>
      </c>
      <c r="L3689" s="33" t="n">
        <v>46284</v>
      </c>
      <c r="M3689" s="33" t="n">
        <v>46284</v>
      </c>
      <c r="N3689" s="16" t="s">
        <v>11678</v>
      </c>
      <c r="O3689" s="16"/>
      <c r="P3689" s="16" t="str">
        <f aca="false">IF(AND(L3689&lt;=$D$2,M3689&gt;=$C$2),"Sí","")</f>
        <v/>
      </c>
      <c r="Q3689" s="18" t="str">
        <f aca="false">IF(COUNTIF(LOOKAHEAD!$A$5:$A$604,A3689)&gt;0,"En Lookahead",IF(P3689="Sí","INCORPORAR",""))</f>
        <v/>
      </c>
    </row>
    <row r="3690" customFormat="false" ht="15" hidden="false" customHeight="false" outlineLevel="0" collapsed="false">
      <c r="A3690" s="16" t="s">
        <v>11679</v>
      </c>
      <c r="B3690" s="16" t="n">
        <v>3685</v>
      </c>
      <c r="C3690" s="16" t="s">
        <v>11680</v>
      </c>
      <c r="D3690" s="16" t="n">
        <v>7</v>
      </c>
      <c r="E3690" s="37" t="s">
        <v>10212</v>
      </c>
      <c r="F3690" s="16" t="s">
        <v>1285</v>
      </c>
      <c r="G3690" s="16" t="s">
        <v>757</v>
      </c>
      <c r="H3690" s="16" t="s">
        <v>4018</v>
      </c>
      <c r="I3690" s="16" t="s">
        <v>92</v>
      </c>
      <c r="J3690" s="16" t="s">
        <v>10079</v>
      </c>
      <c r="K3690" s="32" t="n">
        <v>1</v>
      </c>
      <c r="L3690" s="33" t="n">
        <v>46285</v>
      </c>
      <c r="M3690" s="33" t="n">
        <v>46285</v>
      </c>
      <c r="N3690" s="16" t="s">
        <v>11681</v>
      </c>
      <c r="O3690" s="16"/>
      <c r="P3690" s="16" t="str">
        <f aca="false">IF(AND(L3690&lt;=$D$2,M3690&gt;=$C$2),"Sí","")</f>
        <v/>
      </c>
      <c r="Q3690" s="18" t="str">
        <f aca="false">IF(COUNTIF(LOOKAHEAD!$A$5:$A$604,A3690)&gt;0,"En Lookahead",IF(P3690="Sí","INCORPORAR",""))</f>
        <v/>
      </c>
    </row>
    <row r="3691" customFormat="false" ht="15" hidden="false" customHeight="false" outlineLevel="0" collapsed="false">
      <c r="A3691" s="16" t="s">
        <v>11682</v>
      </c>
      <c r="B3691" s="16" t="n">
        <v>3686</v>
      </c>
      <c r="C3691" s="16" t="s">
        <v>11683</v>
      </c>
      <c r="D3691" s="16" t="n">
        <v>7</v>
      </c>
      <c r="E3691" s="37" t="s">
        <v>10904</v>
      </c>
      <c r="F3691" s="16" t="s">
        <v>1285</v>
      </c>
      <c r="G3691" s="16" t="s">
        <v>757</v>
      </c>
      <c r="H3691" s="16" t="s">
        <v>4018</v>
      </c>
      <c r="I3691" s="16" t="s">
        <v>92</v>
      </c>
      <c r="J3691" s="16" t="s">
        <v>10079</v>
      </c>
      <c r="K3691" s="32" t="n">
        <v>1</v>
      </c>
      <c r="L3691" s="33" t="n">
        <v>46286</v>
      </c>
      <c r="M3691" s="33" t="n">
        <v>46286</v>
      </c>
      <c r="N3691" s="16" t="s">
        <v>11684</v>
      </c>
      <c r="O3691" s="16"/>
      <c r="P3691" s="16" t="str">
        <f aca="false">IF(AND(L3691&lt;=$D$2,M3691&gt;=$C$2),"Sí","")</f>
        <v/>
      </c>
      <c r="Q3691" s="18" t="str">
        <f aca="false">IF(COUNTIF(LOOKAHEAD!$A$5:$A$604,A3691)&gt;0,"En Lookahead",IF(P3691="Sí","INCORPORAR",""))</f>
        <v/>
      </c>
    </row>
    <row r="3692" customFormat="false" ht="15" hidden="false" customHeight="false" outlineLevel="0" collapsed="false">
      <c r="A3692" s="16" t="s">
        <v>11685</v>
      </c>
      <c r="B3692" s="16" t="n">
        <v>3687</v>
      </c>
      <c r="C3692" s="16" t="s">
        <v>11686</v>
      </c>
      <c r="D3692" s="16" t="n">
        <v>7</v>
      </c>
      <c r="E3692" s="37" t="s">
        <v>10098</v>
      </c>
      <c r="F3692" s="16" t="s">
        <v>1285</v>
      </c>
      <c r="G3692" s="16" t="s">
        <v>757</v>
      </c>
      <c r="H3692" s="16" t="s">
        <v>4018</v>
      </c>
      <c r="I3692" s="16" t="s">
        <v>92</v>
      </c>
      <c r="J3692" s="16" t="s">
        <v>10079</v>
      </c>
      <c r="K3692" s="32" t="n">
        <v>1</v>
      </c>
      <c r="L3692" s="33" t="n">
        <v>46287</v>
      </c>
      <c r="M3692" s="33" t="n">
        <v>46287</v>
      </c>
      <c r="N3692" s="16" t="s">
        <v>11687</v>
      </c>
      <c r="O3692" s="16"/>
      <c r="P3692" s="16" t="str">
        <f aca="false">IF(AND(L3692&lt;=$D$2,M3692&gt;=$C$2),"Sí","")</f>
        <v/>
      </c>
      <c r="Q3692" s="18" t="str">
        <f aca="false">IF(COUNTIF(LOOKAHEAD!$A$5:$A$604,A3692)&gt;0,"En Lookahead",IF(P3692="Sí","INCORPORAR",""))</f>
        <v/>
      </c>
    </row>
    <row r="3693" customFormat="false" ht="15" hidden="false" customHeight="false" outlineLevel="0" collapsed="false">
      <c r="A3693" s="13" t="s">
        <v>11688</v>
      </c>
      <c r="B3693" s="13" t="n">
        <v>3688</v>
      </c>
      <c r="C3693" s="13" t="s">
        <v>11689</v>
      </c>
      <c r="D3693" s="13" t="n">
        <v>6</v>
      </c>
      <c r="E3693" s="36" t="s">
        <v>10119</v>
      </c>
      <c r="F3693" s="13" t="s">
        <v>1298</v>
      </c>
      <c r="G3693" s="13" t="s">
        <v>757</v>
      </c>
      <c r="H3693" s="13" t="s">
        <v>4018</v>
      </c>
      <c r="I3693" s="13" t="s">
        <v>92</v>
      </c>
      <c r="J3693" s="13" t="s">
        <v>10032</v>
      </c>
      <c r="K3693" s="30" t="n">
        <v>4</v>
      </c>
      <c r="L3693" s="31" t="n">
        <v>46281</v>
      </c>
      <c r="M3693" s="31" t="n">
        <v>46284</v>
      </c>
      <c r="N3693" s="13"/>
      <c r="O3693" s="13"/>
      <c r="P3693" s="13"/>
      <c r="Q3693" s="13"/>
    </row>
    <row r="3694" customFormat="false" ht="15" hidden="false" customHeight="false" outlineLevel="0" collapsed="false">
      <c r="A3694" s="16" t="s">
        <v>11690</v>
      </c>
      <c r="B3694" s="16" t="n">
        <v>3689</v>
      </c>
      <c r="C3694" s="16" t="s">
        <v>11691</v>
      </c>
      <c r="D3694" s="16" t="n">
        <v>7</v>
      </c>
      <c r="E3694" s="37" t="s">
        <v>10122</v>
      </c>
      <c r="F3694" s="16" t="s">
        <v>1285</v>
      </c>
      <c r="G3694" s="16" t="s">
        <v>757</v>
      </c>
      <c r="H3694" s="16" t="s">
        <v>4018</v>
      </c>
      <c r="I3694" s="16" t="s">
        <v>92</v>
      </c>
      <c r="J3694" s="16" t="s">
        <v>10119</v>
      </c>
      <c r="K3694" s="32" t="n">
        <v>1</v>
      </c>
      <c r="L3694" s="33" t="n">
        <v>46281</v>
      </c>
      <c r="M3694" s="33" t="n">
        <v>46281</v>
      </c>
      <c r="N3694" s="16" t="s">
        <v>11669</v>
      </c>
      <c r="O3694" s="16"/>
      <c r="P3694" s="16" t="str">
        <f aca="false">IF(AND(L3694&lt;=$D$2,M3694&gt;=$C$2),"Sí","")</f>
        <v/>
      </c>
      <c r="Q3694" s="18" t="str">
        <f aca="false">IF(COUNTIF(LOOKAHEAD!$A$5:$A$604,A3694)&gt;0,"En Lookahead",IF(P3694="Sí","INCORPORAR",""))</f>
        <v/>
      </c>
    </row>
    <row r="3695" customFormat="false" ht="15" hidden="false" customHeight="false" outlineLevel="0" collapsed="false">
      <c r="A3695" s="16" t="s">
        <v>11692</v>
      </c>
      <c r="B3695" s="16" t="n">
        <v>3690</v>
      </c>
      <c r="C3695" s="16" t="s">
        <v>11693</v>
      </c>
      <c r="D3695" s="16" t="n">
        <v>7</v>
      </c>
      <c r="E3695" s="37" t="s">
        <v>10125</v>
      </c>
      <c r="F3695" s="16" t="s">
        <v>1285</v>
      </c>
      <c r="G3695" s="16" t="s">
        <v>757</v>
      </c>
      <c r="H3695" s="16" t="s">
        <v>4018</v>
      </c>
      <c r="I3695" s="16" t="s">
        <v>92</v>
      </c>
      <c r="J3695" s="16" t="s">
        <v>10119</v>
      </c>
      <c r="K3695" s="32" t="n">
        <v>3</v>
      </c>
      <c r="L3695" s="33" t="n">
        <v>46282</v>
      </c>
      <c r="M3695" s="33" t="n">
        <v>46284</v>
      </c>
      <c r="N3695" s="16" t="s">
        <v>11694</v>
      </c>
      <c r="O3695" s="16"/>
      <c r="P3695" s="16" t="str">
        <f aca="false">IF(AND(L3695&lt;=$D$2,M3695&gt;=$C$2),"Sí","")</f>
        <v/>
      </c>
      <c r="Q3695" s="18" t="str">
        <f aca="false">IF(COUNTIF(LOOKAHEAD!$A$5:$A$604,A3695)&gt;0,"En Lookahead",IF(P3695="Sí","INCORPORAR",""))</f>
        <v/>
      </c>
    </row>
    <row r="3696" customFormat="false" ht="15" hidden="false" customHeight="false" outlineLevel="0" collapsed="false">
      <c r="A3696" s="13" t="s">
        <v>11695</v>
      </c>
      <c r="B3696" s="13" t="n">
        <v>3691</v>
      </c>
      <c r="C3696" s="13" t="s">
        <v>11696</v>
      </c>
      <c r="D3696" s="13" t="n">
        <v>5</v>
      </c>
      <c r="E3696" s="34" t="s">
        <v>10129</v>
      </c>
      <c r="F3696" s="13" t="s">
        <v>1298</v>
      </c>
      <c r="G3696" s="13" t="s">
        <v>757</v>
      </c>
      <c r="H3696" s="13" t="s">
        <v>4018</v>
      </c>
      <c r="I3696" s="13" t="s">
        <v>92</v>
      </c>
      <c r="J3696" s="13" t="s">
        <v>4018</v>
      </c>
      <c r="K3696" s="30" t="n">
        <v>22</v>
      </c>
      <c r="L3696" s="31" t="n">
        <v>46272</v>
      </c>
      <c r="M3696" s="31" t="n">
        <v>46293</v>
      </c>
      <c r="N3696" s="13"/>
      <c r="O3696" s="13"/>
      <c r="P3696" s="13"/>
      <c r="Q3696" s="13"/>
    </row>
    <row r="3697" customFormat="false" ht="15" hidden="false" customHeight="false" outlineLevel="0" collapsed="false">
      <c r="A3697" s="13" t="s">
        <v>11697</v>
      </c>
      <c r="B3697" s="13" t="n">
        <v>3692</v>
      </c>
      <c r="C3697" s="13" t="s">
        <v>11698</v>
      </c>
      <c r="D3697" s="13" t="n">
        <v>6</v>
      </c>
      <c r="E3697" s="36" t="s">
        <v>10162</v>
      </c>
      <c r="F3697" s="13" t="s">
        <v>1298</v>
      </c>
      <c r="G3697" s="13" t="s">
        <v>757</v>
      </c>
      <c r="H3697" s="13" t="s">
        <v>4018</v>
      </c>
      <c r="I3697" s="13" t="s">
        <v>92</v>
      </c>
      <c r="J3697" s="13" t="s">
        <v>10129</v>
      </c>
      <c r="K3697" s="30" t="n">
        <v>3</v>
      </c>
      <c r="L3697" s="31" t="n">
        <v>46272</v>
      </c>
      <c r="M3697" s="31" t="n">
        <v>46274</v>
      </c>
      <c r="N3697" s="13"/>
      <c r="O3697" s="13"/>
      <c r="P3697" s="13"/>
      <c r="Q3697" s="13"/>
    </row>
    <row r="3698" customFormat="false" ht="15" hidden="false" customHeight="false" outlineLevel="0" collapsed="false">
      <c r="A3698" s="16" t="s">
        <v>11699</v>
      </c>
      <c r="B3698" s="16" t="n">
        <v>3693</v>
      </c>
      <c r="C3698" s="16" t="s">
        <v>11700</v>
      </c>
      <c r="D3698" s="16" t="n">
        <v>7</v>
      </c>
      <c r="E3698" s="37" t="s">
        <v>10165</v>
      </c>
      <c r="F3698" s="16" t="s">
        <v>1285</v>
      </c>
      <c r="G3698" s="16" t="s">
        <v>757</v>
      </c>
      <c r="H3698" s="16" t="s">
        <v>4018</v>
      </c>
      <c r="I3698" s="16" t="s">
        <v>92</v>
      </c>
      <c r="J3698" s="16" t="s">
        <v>10162</v>
      </c>
      <c r="K3698" s="32" t="n">
        <v>1</v>
      </c>
      <c r="L3698" s="33" t="n">
        <v>46272</v>
      </c>
      <c r="M3698" s="33" t="n">
        <v>46272</v>
      </c>
      <c r="N3698" s="16" t="s">
        <v>11574</v>
      </c>
      <c r="O3698" s="16"/>
      <c r="P3698" s="16" t="str">
        <f aca="false">IF(AND(L3698&lt;=$D$2,M3698&gt;=$C$2),"Sí","")</f>
        <v/>
      </c>
      <c r="Q3698" s="18" t="str">
        <f aca="false">IF(COUNTIF(LOOKAHEAD!$A$5:$A$604,A3698)&gt;0,"En Lookahead",IF(P3698="Sí","INCORPORAR",""))</f>
        <v/>
      </c>
    </row>
    <row r="3699" customFormat="false" ht="15" hidden="false" customHeight="false" outlineLevel="0" collapsed="false">
      <c r="A3699" s="16" t="s">
        <v>11701</v>
      </c>
      <c r="B3699" s="16" t="n">
        <v>3694</v>
      </c>
      <c r="C3699" s="16" t="s">
        <v>11702</v>
      </c>
      <c r="D3699" s="16" t="n">
        <v>7</v>
      </c>
      <c r="E3699" s="37" t="s">
        <v>10169</v>
      </c>
      <c r="F3699" s="16" t="s">
        <v>1285</v>
      </c>
      <c r="G3699" s="16" t="s">
        <v>757</v>
      </c>
      <c r="H3699" s="16" t="s">
        <v>4018</v>
      </c>
      <c r="I3699" s="16" t="s">
        <v>92</v>
      </c>
      <c r="J3699" s="16" t="s">
        <v>10162</v>
      </c>
      <c r="K3699" s="32" t="n">
        <v>2</v>
      </c>
      <c r="L3699" s="33" t="n">
        <v>46273</v>
      </c>
      <c r="M3699" s="33" t="n">
        <v>46274</v>
      </c>
      <c r="N3699" s="16" t="s">
        <v>11703</v>
      </c>
      <c r="O3699" s="16"/>
      <c r="P3699" s="16" t="str">
        <f aca="false">IF(AND(L3699&lt;=$D$2,M3699&gt;=$C$2),"Sí","")</f>
        <v/>
      </c>
      <c r="Q3699" s="18" t="str">
        <f aca="false">IF(COUNTIF(LOOKAHEAD!$A$5:$A$604,A3699)&gt;0,"En Lookahead",IF(P3699="Sí","INCORPORAR",""))</f>
        <v/>
      </c>
    </row>
    <row r="3700" customFormat="false" ht="15" hidden="false" customHeight="false" outlineLevel="0" collapsed="false">
      <c r="A3700" s="13" t="s">
        <v>11704</v>
      </c>
      <c r="B3700" s="13" t="n">
        <v>3695</v>
      </c>
      <c r="C3700" s="13" t="s">
        <v>11705</v>
      </c>
      <c r="D3700" s="13" t="n">
        <v>6</v>
      </c>
      <c r="E3700" s="36" t="s">
        <v>10173</v>
      </c>
      <c r="F3700" s="13" t="s">
        <v>1298</v>
      </c>
      <c r="G3700" s="13" t="s">
        <v>757</v>
      </c>
      <c r="H3700" s="13" t="s">
        <v>4018</v>
      </c>
      <c r="I3700" s="13" t="s">
        <v>92</v>
      </c>
      <c r="J3700" s="13" t="s">
        <v>10129</v>
      </c>
      <c r="K3700" s="30" t="n">
        <v>7</v>
      </c>
      <c r="L3700" s="31" t="n">
        <v>46275</v>
      </c>
      <c r="M3700" s="31" t="n">
        <v>46281</v>
      </c>
      <c r="N3700" s="13"/>
      <c r="O3700" s="13"/>
      <c r="P3700" s="13"/>
      <c r="Q3700" s="13"/>
    </row>
    <row r="3701" customFormat="false" ht="15" hidden="false" customHeight="false" outlineLevel="0" collapsed="false">
      <c r="A3701" s="16" t="s">
        <v>11706</v>
      </c>
      <c r="B3701" s="16" t="n">
        <v>3696</v>
      </c>
      <c r="C3701" s="16" t="s">
        <v>11707</v>
      </c>
      <c r="D3701" s="16" t="n">
        <v>7</v>
      </c>
      <c r="E3701" s="37" t="s">
        <v>10176</v>
      </c>
      <c r="F3701" s="16" t="s">
        <v>1285</v>
      </c>
      <c r="G3701" s="16" t="s">
        <v>757</v>
      </c>
      <c r="H3701" s="16" t="s">
        <v>4018</v>
      </c>
      <c r="I3701" s="16" t="s">
        <v>92</v>
      </c>
      <c r="J3701" s="16" t="s">
        <v>10173</v>
      </c>
      <c r="K3701" s="32" t="n">
        <v>2</v>
      </c>
      <c r="L3701" s="33" t="n">
        <v>46275</v>
      </c>
      <c r="M3701" s="33" t="n">
        <v>46276</v>
      </c>
      <c r="N3701" s="16" t="s">
        <v>11708</v>
      </c>
      <c r="O3701" s="16"/>
      <c r="P3701" s="16" t="str">
        <f aca="false">IF(AND(L3701&lt;=$D$2,M3701&gt;=$C$2),"Sí","")</f>
        <v/>
      </c>
      <c r="Q3701" s="18" t="str">
        <f aca="false">IF(COUNTIF(LOOKAHEAD!$A$5:$A$604,A3701)&gt;0,"En Lookahead",IF(P3701="Sí","INCORPORAR",""))</f>
        <v/>
      </c>
    </row>
    <row r="3702" customFormat="false" ht="15" hidden="false" customHeight="false" outlineLevel="0" collapsed="false">
      <c r="A3702" s="16" t="s">
        <v>11709</v>
      </c>
      <c r="B3702" s="16" t="n">
        <v>3697</v>
      </c>
      <c r="C3702" s="16" t="s">
        <v>11710</v>
      </c>
      <c r="D3702" s="16" t="n">
        <v>7</v>
      </c>
      <c r="E3702" s="37" t="s">
        <v>10075</v>
      </c>
      <c r="F3702" s="16" t="s">
        <v>1285</v>
      </c>
      <c r="G3702" s="16" t="s">
        <v>757</v>
      </c>
      <c r="H3702" s="16" t="s">
        <v>4018</v>
      </c>
      <c r="I3702" s="16" t="s">
        <v>92</v>
      </c>
      <c r="J3702" s="16" t="s">
        <v>10173</v>
      </c>
      <c r="K3702" s="32" t="n">
        <v>1</v>
      </c>
      <c r="L3702" s="33" t="n">
        <v>46277</v>
      </c>
      <c r="M3702" s="33" t="n">
        <v>46277</v>
      </c>
      <c r="N3702" s="16" t="s">
        <v>11711</v>
      </c>
      <c r="O3702" s="16"/>
      <c r="P3702" s="16" t="str">
        <f aca="false">IF(AND(L3702&lt;=$D$2,M3702&gt;=$C$2),"Sí","")</f>
        <v/>
      </c>
      <c r="Q3702" s="18" t="str">
        <f aca="false">IF(COUNTIF(LOOKAHEAD!$A$5:$A$604,A3702)&gt;0,"En Lookahead",IF(P3702="Sí","INCORPORAR",""))</f>
        <v/>
      </c>
    </row>
    <row r="3703" customFormat="false" ht="15" hidden="false" customHeight="false" outlineLevel="0" collapsed="false">
      <c r="A3703" s="16" t="s">
        <v>11712</v>
      </c>
      <c r="B3703" s="16" t="n">
        <v>3698</v>
      </c>
      <c r="C3703" s="16" t="s">
        <v>11713</v>
      </c>
      <c r="D3703" s="16" t="n">
        <v>7</v>
      </c>
      <c r="E3703" s="37" t="s">
        <v>10182</v>
      </c>
      <c r="F3703" s="16" t="s">
        <v>1285</v>
      </c>
      <c r="G3703" s="16" t="s">
        <v>757</v>
      </c>
      <c r="H3703" s="16" t="s">
        <v>4018</v>
      </c>
      <c r="I3703" s="16" t="s">
        <v>92</v>
      </c>
      <c r="J3703" s="16" t="s">
        <v>10173</v>
      </c>
      <c r="K3703" s="32" t="n">
        <v>1</v>
      </c>
      <c r="L3703" s="33" t="n">
        <v>46281</v>
      </c>
      <c r="M3703" s="33" t="n">
        <v>46281</v>
      </c>
      <c r="N3703" s="16" t="s">
        <v>11714</v>
      </c>
      <c r="O3703" s="16"/>
      <c r="P3703" s="16" t="str">
        <f aca="false">IF(AND(L3703&lt;=$D$2,M3703&gt;=$C$2),"Sí","")</f>
        <v/>
      </c>
      <c r="Q3703" s="18" t="str">
        <f aca="false">IF(COUNTIF(LOOKAHEAD!$A$5:$A$604,A3703)&gt;0,"En Lookahead",IF(P3703="Sí","INCORPORAR",""))</f>
        <v/>
      </c>
    </row>
    <row r="3704" customFormat="false" ht="15" hidden="false" customHeight="false" outlineLevel="0" collapsed="false">
      <c r="A3704" s="13" t="s">
        <v>11715</v>
      </c>
      <c r="B3704" s="13" t="n">
        <v>3699</v>
      </c>
      <c r="C3704" s="13" t="s">
        <v>11716</v>
      </c>
      <c r="D3704" s="13" t="n">
        <v>6</v>
      </c>
      <c r="E3704" s="36" t="s">
        <v>10079</v>
      </c>
      <c r="F3704" s="13" t="s">
        <v>1298</v>
      </c>
      <c r="G3704" s="13" t="s">
        <v>757</v>
      </c>
      <c r="H3704" s="13" t="s">
        <v>4018</v>
      </c>
      <c r="I3704" s="13" t="s">
        <v>92</v>
      </c>
      <c r="J3704" s="13" t="s">
        <v>10129</v>
      </c>
      <c r="K3704" s="30" t="n">
        <v>16</v>
      </c>
      <c r="L3704" s="31" t="n">
        <v>46278</v>
      </c>
      <c r="M3704" s="31" t="n">
        <v>46293</v>
      </c>
      <c r="N3704" s="13"/>
      <c r="O3704" s="13"/>
      <c r="P3704" s="13"/>
      <c r="Q3704" s="13"/>
    </row>
    <row r="3705" customFormat="false" ht="15" hidden="false" customHeight="false" outlineLevel="0" collapsed="false">
      <c r="A3705" s="16" t="s">
        <v>11717</v>
      </c>
      <c r="B3705" s="16" t="n">
        <v>3700</v>
      </c>
      <c r="C3705" s="16" t="s">
        <v>11718</v>
      </c>
      <c r="D3705" s="16" t="n">
        <v>7</v>
      </c>
      <c r="E3705" s="37" t="s">
        <v>10187</v>
      </c>
      <c r="F3705" s="16" t="s">
        <v>1285</v>
      </c>
      <c r="G3705" s="16" t="s">
        <v>757</v>
      </c>
      <c r="H3705" s="16" t="s">
        <v>4018</v>
      </c>
      <c r="I3705" s="16" t="s">
        <v>92</v>
      </c>
      <c r="J3705" s="16" t="s">
        <v>10079</v>
      </c>
      <c r="K3705" s="32" t="n">
        <v>1</v>
      </c>
      <c r="L3705" s="33" t="n">
        <v>46278</v>
      </c>
      <c r="M3705" s="33" t="n">
        <v>46278</v>
      </c>
      <c r="N3705" s="16" t="s">
        <v>11719</v>
      </c>
      <c r="O3705" s="16"/>
      <c r="P3705" s="16" t="str">
        <f aca="false">IF(AND(L3705&lt;=$D$2,M3705&gt;=$C$2),"Sí","")</f>
        <v/>
      </c>
      <c r="Q3705" s="18" t="str">
        <f aca="false">IF(COUNTIF(LOOKAHEAD!$A$5:$A$604,A3705)&gt;0,"En Lookahead",IF(P3705="Sí","INCORPORAR",""))</f>
        <v/>
      </c>
    </row>
    <row r="3706" customFormat="false" ht="15" hidden="false" customHeight="false" outlineLevel="0" collapsed="false">
      <c r="A3706" s="16" t="s">
        <v>11720</v>
      </c>
      <c r="B3706" s="16" t="n">
        <v>3701</v>
      </c>
      <c r="C3706" s="16" t="s">
        <v>11721</v>
      </c>
      <c r="D3706" s="16" t="n">
        <v>7</v>
      </c>
      <c r="E3706" s="37" t="s">
        <v>10190</v>
      </c>
      <c r="F3706" s="16" t="s">
        <v>1285</v>
      </c>
      <c r="G3706" s="16" t="s">
        <v>757</v>
      </c>
      <c r="H3706" s="16" t="s">
        <v>4018</v>
      </c>
      <c r="I3706" s="16" t="s">
        <v>92</v>
      </c>
      <c r="J3706" s="16" t="s">
        <v>10079</v>
      </c>
      <c r="K3706" s="32" t="n">
        <v>1</v>
      </c>
      <c r="L3706" s="33" t="n">
        <v>46279</v>
      </c>
      <c r="M3706" s="33" t="n">
        <v>46279</v>
      </c>
      <c r="N3706" s="16" t="s">
        <v>11722</v>
      </c>
      <c r="O3706" s="16"/>
      <c r="P3706" s="16" t="str">
        <f aca="false">IF(AND(L3706&lt;=$D$2,M3706&gt;=$C$2),"Sí","")</f>
        <v/>
      </c>
      <c r="Q3706" s="18" t="str">
        <f aca="false">IF(COUNTIF(LOOKAHEAD!$A$5:$A$604,A3706)&gt;0,"En Lookahead",IF(P3706="Sí","INCORPORAR",""))</f>
        <v/>
      </c>
    </row>
    <row r="3707" customFormat="false" ht="15" hidden="false" customHeight="false" outlineLevel="0" collapsed="false">
      <c r="A3707" s="16" t="s">
        <v>11723</v>
      </c>
      <c r="B3707" s="16" t="n">
        <v>3702</v>
      </c>
      <c r="C3707" s="16" t="s">
        <v>11724</v>
      </c>
      <c r="D3707" s="16" t="n">
        <v>7</v>
      </c>
      <c r="E3707" s="37" t="s">
        <v>10194</v>
      </c>
      <c r="F3707" s="16" t="s">
        <v>1285</v>
      </c>
      <c r="G3707" s="16" t="s">
        <v>757</v>
      </c>
      <c r="H3707" s="16" t="s">
        <v>4018</v>
      </c>
      <c r="I3707" s="16" t="s">
        <v>92</v>
      </c>
      <c r="J3707" s="16" t="s">
        <v>10079</v>
      </c>
      <c r="K3707" s="32" t="n">
        <v>1</v>
      </c>
      <c r="L3707" s="33" t="n">
        <v>46280</v>
      </c>
      <c r="M3707" s="33" t="n">
        <v>46280</v>
      </c>
      <c r="N3707" s="16" t="s">
        <v>11725</v>
      </c>
      <c r="O3707" s="16"/>
      <c r="P3707" s="16" t="str">
        <f aca="false">IF(AND(L3707&lt;=$D$2,M3707&gt;=$C$2),"Sí","")</f>
        <v/>
      </c>
      <c r="Q3707" s="18" t="str">
        <f aca="false">IF(COUNTIF(LOOKAHEAD!$A$5:$A$604,A3707)&gt;0,"En Lookahead",IF(P3707="Sí","INCORPORAR",""))</f>
        <v/>
      </c>
    </row>
    <row r="3708" customFormat="false" ht="15" hidden="false" customHeight="false" outlineLevel="0" collapsed="false">
      <c r="A3708" s="16" t="s">
        <v>11726</v>
      </c>
      <c r="B3708" s="16" t="n">
        <v>3703</v>
      </c>
      <c r="C3708" s="16" t="s">
        <v>11727</v>
      </c>
      <c r="D3708" s="16" t="n">
        <v>7</v>
      </c>
      <c r="E3708" s="37" t="s">
        <v>10090</v>
      </c>
      <c r="F3708" s="16" t="s">
        <v>1285</v>
      </c>
      <c r="G3708" s="16" t="s">
        <v>757</v>
      </c>
      <c r="H3708" s="16" t="s">
        <v>4018</v>
      </c>
      <c r="I3708" s="16" t="s">
        <v>92</v>
      </c>
      <c r="J3708" s="16" t="s">
        <v>10079</v>
      </c>
      <c r="K3708" s="32" t="n">
        <v>1</v>
      </c>
      <c r="L3708" s="33" t="n">
        <v>46281</v>
      </c>
      <c r="M3708" s="33" t="n">
        <v>46281</v>
      </c>
      <c r="N3708" s="16" t="s">
        <v>11728</v>
      </c>
      <c r="O3708" s="16"/>
      <c r="P3708" s="16" t="str">
        <f aca="false">IF(AND(L3708&lt;=$D$2,M3708&gt;=$C$2),"Sí","")</f>
        <v/>
      </c>
      <c r="Q3708" s="18" t="str">
        <f aca="false">IF(COUNTIF(LOOKAHEAD!$A$5:$A$604,A3708)&gt;0,"En Lookahead",IF(P3708="Sí","INCORPORAR",""))</f>
        <v/>
      </c>
    </row>
    <row r="3709" customFormat="false" ht="15" hidden="false" customHeight="false" outlineLevel="0" collapsed="false">
      <c r="A3709" s="16" t="s">
        <v>11729</v>
      </c>
      <c r="B3709" s="16" t="n">
        <v>3704</v>
      </c>
      <c r="C3709" s="16" t="s">
        <v>11730</v>
      </c>
      <c r="D3709" s="16" t="n">
        <v>7</v>
      </c>
      <c r="E3709" s="37" t="s">
        <v>10201</v>
      </c>
      <c r="F3709" s="16" t="s">
        <v>1285</v>
      </c>
      <c r="G3709" s="16" t="s">
        <v>757</v>
      </c>
      <c r="H3709" s="16" t="s">
        <v>4018</v>
      </c>
      <c r="I3709" s="16" t="s">
        <v>92</v>
      </c>
      <c r="J3709" s="16" t="s">
        <v>10079</v>
      </c>
      <c r="K3709" s="32" t="n">
        <v>1</v>
      </c>
      <c r="L3709" s="33" t="n">
        <v>46282</v>
      </c>
      <c r="M3709" s="33" t="n">
        <v>46282</v>
      </c>
      <c r="N3709" s="16" t="s">
        <v>11731</v>
      </c>
      <c r="O3709" s="16"/>
      <c r="P3709" s="16" t="str">
        <f aca="false">IF(AND(L3709&lt;=$D$2,M3709&gt;=$C$2),"Sí","")</f>
        <v/>
      </c>
      <c r="Q3709" s="18" t="str">
        <f aca="false">IF(COUNTIF(LOOKAHEAD!$A$5:$A$604,A3709)&gt;0,"En Lookahead",IF(P3709="Sí","INCORPORAR",""))</f>
        <v/>
      </c>
    </row>
    <row r="3710" customFormat="false" ht="15" hidden="false" customHeight="false" outlineLevel="0" collapsed="false">
      <c r="A3710" s="16" t="s">
        <v>11732</v>
      </c>
      <c r="B3710" s="16" t="n">
        <v>3705</v>
      </c>
      <c r="C3710" s="16" t="s">
        <v>11733</v>
      </c>
      <c r="D3710" s="16" t="n">
        <v>7</v>
      </c>
      <c r="E3710" s="37" t="s">
        <v>10208</v>
      </c>
      <c r="F3710" s="16" t="s">
        <v>1285</v>
      </c>
      <c r="G3710" s="16" t="s">
        <v>757</v>
      </c>
      <c r="H3710" s="16" t="s">
        <v>4018</v>
      </c>
      <c r="I3710" s="16" t="s">
        <v>92</v>
      </c>
      <c r="J3710" s="16" t="s">
        <v>10079</v>
      </c>
      <c r="K3710" s="32" t="n">
        <v>1</v>
      </c>
      <c r="L3710" s="33" t="n">
        <v>46283</v>
      </c>
      <c r="M3710" s="33" t="n">
        <v>46283</v>
      </c>
      <c r="N3710" s="16" t="s">
        <v>11734</v>
      </c>
      <c r="O3710" s="16"/>
      <c r="P3710" s="16" t="str">
        <f aca="false">IF(AND(L3710&lt;=$D$2,M3710&gt;=$C$2),"Sí","")</f>
        <v/>
      </c>
      <c r="Q3710" s="18" t="str">
        <f aca="false">IF(COUNTIF(LOOKAHEAD!$A$5:$A$604,A3710)&gt;0,"En Lookahead",IF(P3710="Sí","INCORPORAR",""))</f>
        <v/>
      </c>
    </row>
    <row r="3711" customFormat="false" ht="15" hidden="false" customHeight="false" outlineLevel="0" collapsed="false">
      <c r="A3711" s="16" t="s">
        <v>11735</v>
      </c>
      <c r="B3711" s="16" t="n">
        <v>3706</v>
      </c>
      <c r="C3711" s="16" t="s">
        <v>11736</v>
      </c>
      <c r="D3711" s="16" t="n">
        <v>7</v>
      </c>
      <c r="E3711" s="37" t="s">
        <v>10699</v>
      </c>
      <c r="F3711" s="16" t="s">
        <v>1285</v>
      </c>
      <c r="G3711" s="16" t="s">
        <v>757</v>
      </c>
      <c r="H3711" s="16" t="s">
        <v>4018</v>
      </c>
      <c r="I3711" s="16" t="s">
        <v>92</v>
      </c>
      <c r="J3711" s="16" t="s">
        <v>10079</v>
      </c>
      <c r="K3711" s="32" t="n">
        <v>1</v>
      </c>
      <c r="L3711" s="33" t="n">
        <v>46284</v>
      </c>
      <c r="M3711" s="33" t="n">
        <v>46284</v>
      </c>
      <c r="N3711" s="16" t="s">
        <v>11737</v>
      </c>
      <c r="O3711" s="16"/>
      <c r="P3711" s="16" t="str">
        <f aca="false">IF(AND(L3711&lt;=$D$2,M3711&gt;=$C$2),"Sí","")</f>
        <v/>
      </c>
      <c r="Q3711" s="18" t="str">
        <f aca="false">IF(COUNTIF(LOOKAHEAD!$A$5:$A$604,A3711)&gt;0,"En Lookahead",IF(P3711="Sí","INCORPORAR",""))</f>
        <v/>
      </c>
    </row>
    <row r="3712" customFormat="false" ht="15" hidden="false" customHeight="false" outlineLevel="0" collapsed="false">
      <c r="A3712" s="16" t="s">
        <v>11738</v>
      </c>
      <c r="B3712" s="16" t="n">
        <v>3707</v>
      </c>
      <c r="C3712" s="16" t="s">
        <v>11739</v>
      </c>
      <c r="D3712" s="16" t="n">
        <v>7</v>
      </c>
      <c r="E3712" s="37" t="s">
        <v>10976</v>
      </c>
      <c r="F3712" s="16" t="s">
        <v>1285</v>
      </c>
      <c r="G3712" s="16" t="s">
        <v>757</v>
      </c>
      <c r="H3712" s="16" t="s">
        <v>4018</v>
      </c>
      <c r="I3712" s="16" t="s">
        <v>92</v>
      </c>
      <c r="J3712" s="16" t="s">
        <v>10079</v>
      </c>
      <c r="K3712" s="32" t="n">
        <v>1</v>
      </c>
      <c r="L3712" s="33" t="n">
        <v>46285</v>
      </c>
      <c r="M3712" s="33" t="n">
        <v>46285</v>
      </c>
      <c r="N3712" s="16" t="s">
        <v>11740</v>
      </c>
      <c r="O3712" s="16"/>
      <c r="P3712" s="16" t="str">
        <f aca="false">IF(AND(L3712&lt;=$D$2,M3712&gt;=$C$2),"Sí","")</f>
        <v/>
      </c>
      <c r="Q3712" s="18" t="str">
        <f aca="false">IF(COUNTIF(LOOKAHEAD!$A$5:$A$604,A3712)&gt;0,"En Lookahead",IF(P3712="Sí","INCORPORAR",""))</f>
        <v/>
      </c>
    </row>
    <row r="3713" customFormat="false" ht="15" hidden="false" customHeight="false" outlineLevel="0" collapsed="false">
      <c r="A3713" s="16" t="s">
        <v>11741</v>
      </c>
      <c r="B3713" s="16" t="n">
        <v>3708</v>
      </c>
      <c r="C3713" s="16" t="s">
        <v>11742</v>
      </c>
      <c r="D3713" s="16" t="n">
        <v>7</v>
      </c>
      <c r="E3713" s="37" t="s">
        <v>10094</v>
      </c>
      <c r="F3713" s="16" t="s">
        <v>1285</v>
      </c>
      <c r="G3713" s="16" t="s">
        <v>757</v>
      </c>
      <c r="H3713" s="16" t="s">
        <v>4018</v>
      </c>
      <c r="I3713" s="16" t="s">
        <v>92</v>
      </c>
      <c r="J3713" s="16" t="s">
        <v>10079</v>
      </c>
      <c r="K3713" s="32" t="n">
        <v>1</v>
      </c>
      <c r="L3713" s="33" t="n">
        <v>46286</v>
      </c>
      <c r="M3713" s="33" t="n">
        <v>46286</v>
      </c>
      <c r="N3713" s="16" t="s">
        <v>11743</v>
      </c>
      <c r="O3713" s="16"/>
      <c r="P3713" s="16" t="str">
        <f aca="false">IF(AND(L3713&lt;=$D$2,M3713&gt;=$C$2),"Sí","")</f>
        <v/>
      </c>
      <c r="Q3713" s="18" t="str">
        <f aca="false">IF(COUNTIF(LOOKAHEAD!$A$5:$A$604,A3713)&gt;0,"En Lookahead",IF(P3713="Sí","INCORPORAR",""))</f>
        <v/>
      </c>
    </row>
    <row r="3714" customFormat="false" ht="15" hidden="false" customHeight="false" outlineLevel="0" collapsed="false">
      <c r="A3714" s="16" t="s">
        <v>11744</v>
      </c>
      <c r="B3714" s="16" t="n">
        <v>3709</v>
      </c>
      <c r="C3714" s="16" t="s">
        <v>11745</v>
      </c>
      <c r="D3714" s="16" t="n">
        <v>7</v>
      </c>
      <c r="E3714" s="37" t="s">
        <v>10216</v>
      </c>
      <c r="F3714" s="16" t="s">
        <v>1285</v>
      </c>
      <c r="G3714" s="16" t="s">
        <v>757</v>
      </c>
      <c r="H3714" s="16" t="s">
        <v>4018</v>
      </c>
      <c r="I3714" s="16" t="s">
        <v>92</v>
      </c>
      <c r="J3714" s="16" t="s">
        <v>10079</v>
      </c>
      <c r="K3714" s="32" t="n">
        <v>2</v>
      </c>
      <c r="L3714" s="33" t="n">
        <v>46287</v>
      </c>
      <c r="M3714" s="33" t="n">
        <v>46288</v>
      </c>
      <c r="N3714" s="16" t="s">
        <v>11746</v>
      </c>
      <c r="O3714" s="16"/>
      <c r="P3714" s="16" t="str">
        <f aca="false">IF(AND(L3714&lt;=$D$2,M3714&gt;=$C$2),"Sí","")</f>
        <v/>
      </c>
      <c r="Q3714" s="18" t="str">
        <f aca="false">IF(COUNTIF(LOOKAHEAD!$A$5:$A$604,A3714)&gt;0,"En Lookahead",IF(P3714="Sí","INCORPORAR",""))</f>
        <v/>
      </c>
    </row>
    <row r="3715" customFormat="false" ht="15" hidden="false" customHeight="false" outlineLevel="0" collapsed="false">
      <c r="A3715" s="16" t="s">
        <v>11747</v>
      </c>
      <c r="B3715" s="16" t="n">
        <v>3710</v>
      </c>
      <c r="C3715" s="16" t="s">
        <v>11748</v>
      </c>
      <c r="D3715" s="16" t="n">
        <v>7</v>
      </c>
      <c r="E3715" s="37" t="s">
        <v>10224</v>
      </c>
      <c r="F3715" s="16" t="s">
        <v>1285</v>
      </c>
      <c r="G3715" s="16" t="s">
        <v>757</v>
      </c>
      <c r="H3715" s="16" t="s">
        <v>4018</v>
      </c>
      <c r="I3715" s="16" t="s">
        <v>92</v>
      </c>
      <c r="J3715" s="16" t="s">
        <v>10079</v>
      </c>
      <c r="K3715" s="32" t="n">
        <v>1</v>
      </c>
      <c r="L3715" s="33" t="n">
        <v>46289</v>
      </c>
      <c r="M3715" s="33" t="n">
        <v>46289</v>
      </c>
      <c r="N3715" s="16" t="s">
        <v>11749</v>
      </c>
      <c r="O3715" s="16"/>
      <c r="P3715" s="16" t="str">
        <f aca="false">IF(AND(L3715&lt;=$D$2,M3715&gt;=$C$2),"Sí","")</f>
        <v/>
      </c>
      <c r="Q3715" s="18" t="str">
        <f aca="false">IF(COUNTIF(LOOKAHEAD!$A$5:$A$604,A3715)&gt;0,"En Lookahead",IF(P3715="Sí","INCORPORAR",""))</f>
        <v/>
      </c>
    </row>
    <row r="3716" customFormat="false" ht="15" hidden="false" customHeight="false" outlineLevel="0" collapsed="false">
      <c r="A3716" s="16" t="s">
        <v>11750</v>
      </c>
      <c r="B3716" s="16" t="n">
        <v>3711</v>
      </c>
      <c r="C3716" s="16" t="s">
        <v>11751</v>
      </c>
      <c r="D3716" s="16" t="n">
        <v>7</v>
      </c>
      <c r="E3716" s="37" t="s">
        <v>10228</v>
      </c>
      <c r="F3716" s="16" t="s">
        <v>1285</v>
      </c>
      <c r="G3716" s="16" t="s">
        <v>757</v>
      </c>
      <c r="H3716" s="16" t="s">
        <v>4018</v>
      </c>
      <c r="I3716" s="16" t="s">
        <v>92</v>
      </c>
      <c r="J3716" s="16" t="s">
        <v>10079</v>
      </c>
      <c r="K3716" s="32" t="n">
        <v>2</v>
      </c>
      <c r="L3716" s="33" t="n">
        <v>46290</v>
      </c>
      <c r="M3716" s="33" t="n">
        <v>46291</v>
      </c>
      <c r="N3716" s="16" t="s">
        <v>11752</v>
      </c>
      <c r="O3716" s="16"/>
      <c r="P3716" s="16" t="str">
        <f aca="false">IF(AND(L3716&lt;=$D$2,M3716&gt;=$C$2),"Sí","")</f>
        <v/>
      </c>
      <c r="Q3716" s="18" t="str">
        <f aca="false">IF(COUNTIF(LOOKAHEAD!$A$5:$A$604,A3716)&gt;0,"En Lookahead",IF(P3716="Sí","INCORPORAR",""))</f>
        <v/>
      </c>
    </row>
    <row r="3717" customFormat="false" ht="15" hidden="false" customHeight="false" outlineLevel="0" collapsed="false">
      <c r="A3717" s="16" t="s">
        <v>11753</v>
      </c>
      <c r="B3717" s="16" t="n">
        <v>3712</v>
      </c>
      <c r="C3717" s="16" t="s">
        <v>11754</v>
      </c>
      <c r="D3717" s="16" t="n">
        <v>7</v>
      </c>
      <c r="E3717" s="37" t="s">
        <v>10232</v>
      </c>
      <c r="F3717" s="16" t="s">
        <v>1285</v>
      </c>
      <c r="G3717" s="16" t="s">
        <v>757</v>
      </c>
      <c r="H3717" s="16" t="s">
        <v>4018</v>
      </c>
      <c r="I3717" s="16" t="s">
        <v>92</v>
      </c>
      <c r="J3717" s="16" t="s">
        <v>10079</v>
      </c>
      <c r="K3717" s="32" t="n">
        <v>2</v>
      </c>
      <c r="L3717" s="33" t="n">
        <v>46292</v>
      </c>
      <c r="M3717" s="33" t="n">
        <v>46293</v>
      </c>
      <c r="N3717" s="16" t="s">
        <v>11755</v>
      </c>
      <c r="O3717" s="16"/>
      <c r="P3717" s="16" t="str">
        <f aca="false">IF(AND(L3717&lt;=$D$2,M3717&gt;=$C$2),"Sí","")</f>
        <v/>
      </c>
      <c r="Q3717" s="18" t="str">
        <f aca="false">IF(COUNTIF(LOOKAHEAD!$A$5:$A$604,A3717)&gt;0,"En Lookahead",IF(P3717="Sí","INCORPORAR",""))</f>
        <v/>
      </c>
    </row>
    <row r="3718" customFormat="false" ht="15" hidden="false" customHeight="false" outlineLevel="0" collapsed="false">
      <c r="A3718" s="13" t="s">
        <v>11756</v>
      </c>
      <c r="B3718" s="13" t="n">
        <v>3713</v>
      </c>
      <c r="C3718" s="13" t="s">
        <v>11757</v>
      </c>
      <c r="D3718" s="13" t="n">
        <v>6</v>
      </c>
      <c r="E3718" s="36" t="s">
        <v>10236</v>
      </c>
      <c r="F3718" s="13" t="s">
        <v>1298</v>
      </c>
      <c r="G3718" s="13" t="s">
        <v>757</v>
      </c>
      <c r="H3718" s="13" t="s">
        <v>4018</v>
      </c>
      <c r="I3718" s="13" t="s">
        <v>92</v>
      </c>
      <c r="J3718" s="13" t="s">
        <v>10129</v>
      </c>
      <c r="K3718" s="30" t="n">
        <v>3</v>
      </c>
      <c r="L3718" s="31" t="n">
        <v>46278</v>
      </c>
      <c r="M3718" s="31" t="n">
        <v>46280</v>
      </c>
      <c r="N3718" s="13"/>
      <c r="O3718" s="13"/>
      <c r="P3718" s="13"/>
      <c r="Q3718" s="13"/>
    </row>
    <row r="3719" customFormat="false" ht="15" hidden="false" customHeight="false" outlineLevel="0" collapsed="false">
      <c r="A3719" s="16" t="s">
        <v>11758</v>
      </c>
      <c r="B3719" s="16" t="n">
        <v>3714</v>
      </c>
      <c r="C3719" s="16" t="s">
        <v>11759</v>
      </c>
      <c r="D3719" s="16" t="n">
        <v>7</v>
      </c>
      <c r="E3719" s="37" t="s">
        <v>10239</v>
      </c>
      <c r="F3719" s="16" t="s">
        <v>1285</v>
      </c>
      <c r="G3719" s="16" t="s">
        <v>757</v>
      </c>
      <c r="H3719" s="16" t="s">
        <v>4018</v>
      </c>
      <c r="I3719" s="16" t="s">
        <v>92</v>
      </c>
      <c r="J3719" s="16" t="s">
        <v>10236</v>
      </c>
      <c r="K3719" s="32" t="n">
        <v>1</v>
      </c>
      <c r="L3719" s="33" t="n">
        <v>46278</v>
      </c>
      <c r="M3719" s="33" t="n">
        <v>46278</v>
      </c>
      <c r="N3719" s="16" t="s">
        <v>11719</v>
      </c>
      <c r="O3719" s="16"/>
      <c r="P3719" s="16" t="str">
        <f aca="false">IF(AND(L3719&lt;=$D$2,M3719&gt;=$C$2),"Sí","")</f>
        <v/>
      </c>
      <c r="Q3719" s="18" t="str">
        <f aca="false">IF(COUNTIF(LOOKAHEAD!$A$5:$A$604,A3719)&gt;0,"En Lookahead",IF(P3719="Sí","INCORPORAR",""))</f>
        <v/>
      </c>
    </row>
    <row r="3720" customFormat="false" ht="15" hidden="false" customHeight="false" outlineLevel="0" collapsed="false">
      <c r="A3720" s="16" t="s">
        <v>11760</v>
      </c>
      <c r="B3720" s="16" t="n">
        <v>3715</v>
      </c>
      <c r="C3720" s="16" t="s">
        <v>11761</v>
      </c>
      <c r="D3720" s="16" t="n">
        <v>7</v>
      </c>
      <c r="E3720" s="37" t="s">
        <v>10243</v>
      </c>
      <c r="F3720" s="16" t="s">
        <v>1285</v>
      </c>
      <c r="G3720" s="16" t="s">
        <v>757</v>
      </c>
      <c r="H3720" s="16" t="s">
        <v>4018</v>
      </c>
      <c r="I3720" s="16" t="s">
        <v>92</v>
      </c>
      <c r="J3720" s="16" t="s">
        <v>10236</v>
      </c>
      <c r="K3720" s="32" t="n">
        <v>1</v>
      </c>
      <c r="L3720" s="33" t="n">
        <v>46279</v>
      </c>
      <c r="M3720" s="33" t="n">
        <v>46279</v>
      </c>
      <c r="N3720" s="16" t="s">
        <v>11762</v>
      </c>
      <c r="O3720" s="16"/>
      <c r="P3720" s="16" t="str">
        <f aca="false">IF(AND(L3720&lt;=$D$2,M3720&gt;=$C$2),"Sí","")</f>
        <v/>
      </c>
      <c r="Q3720" s="18" t="str">
        <f aca="false">IF(COUNTIF(LOOKAHEAD!$A$5:$A$604,A3720)&gt;0,"En Lookahead",IF(P3720="Sí","INCORPORAR",""))</f>
        <v/>
      </c>
    </row>
    <row r="3721" customFormat="false" ht="15" hidden="false" customHeight="false" outlineLevel="0" collapsed="false">
      <c r="A3721" s="16" t="s">
        <v>11763</v>
      </c>
      <c r="B3721" s="16" t="n">
        <v>3716</v>
      </c>
      <c r="C3721" s="16" t="s">
        <v>11764</v>
      </c>
      <c r="D3721" s="16" t="n">
        <v>7</v>
      </c>
      <c r="E3721" s="37" t="s">
        <v>10247</v>
      </c>
      <c r="F3721" s="16" t="s">
        <v>1285</v>
      </c>
      <c r="G3721" s="16" t="s">
        <v>757</v>
      </c>
      <c r="H3721" s="16" t="s">
        <v>4018</v>
      </c>
      <c r="I3721" s="16" t="s">
        <v>92</v>
      </c>
      <c r="J3721" s="16" t="s">
        <v>10236</v>
      </c>
      <c r="K3721" s="32" t="n">
        <v>1</v>
      </c>
      <c r="L3721" s="33" t="n">
        <v>46280</v>
      </c>
      <c r="M3721" s="33" t="n">
        <v>46280</v>
      </c>
      <c r="N3721" s="16" t="s">
        <v>11765</v>
      </c>
      <c r="O3721" s="16"/>
      <c r="P3721" s="16" t="str">
        <f aca="false">IF(AND(L3721&lt;=$D$2,M3721&gt;=$C$2),"Sí","")</f>
        <v/>
      </c>
      <c r="Q3721" s="18" t="str">
        <f aca="false">IF(COUNTIF(LOOKAHEAD!$A$5:$A$604,A3721)&gt;0,"En Lookahead",IF(P3721="Sí","INCORPORAR",""))</f>
        <v/>
      </c>
    </row>
    <row r="3722" customFormat="false" ht="15" hidden="false" customHeight="false" outlineLevel="0" collapsed="false">
      <c r="A3722" s="13" t="s">
        <v>11766</v>
      </c>
      <c r="B3722" s="13" t="n">
        <v>3717</v>
      </c>
      <c r="C3722" s="13" t="s">
        <v>11767</v>
      </c>
      <c r="D3722" s="13" t="n">
        <v>4</v>
      </c>
      <c r="E3722" s="20" t="s">
        <v>4416</v>
      </c>
      <c r="F3722" s="13" t="s">
        <v>1298</v>
      </c>
      <c r="G3722" s="13" t="s">
        <v>757</v>
      </c>
      <c r="H3722" s="13" t="s">
        <v>4416</v>
      </c>
      <c r="I3722" s="13" t="s">
        <v>98</v>
      </c>
      <c r="J3722" s="13" t="s">
        <v>9945</v>
      </c>
      <c r="K3722" s="30" t="n">
        <v>128</v>
      </c>
      <c r="L3722" s="31" t="n">
        <v>46246</v>
      </c>
      <c r="M3722" s="31" t="n">
        <v>46373</v>
      </c>
      <c r="N3722" s="13"/>
      <c r="O3722" s="13"/>
      <c r="P3722" s="13"/>
      <c r="Q3722" s="13"/>
    </row>
    <row r="3723" customFormat="false" ht="15" hidden="false" customHeight="false" outlineLevel="0" collapsed="false">
      <c r="A3723" s="13" t="s">
        <v>11768</v>
      </c>
      <c r="B3723" s="13" t="n">
        <v>3718</v>
      </c>
      <c r="C3723" s="13" t="s">
        <v>11769</v>
      </c>
      <c r="D3723" s="13" t="n">
        <v>5</v>
      </c>
      <c r="E3723" s="34" t="s">
        <v>9950</v>
      </c>
      <c r="F3723" s="13" t="s">
        <v>1298</v>
      </c>
      <c r="G3723" s="13" t="s">
        <v>757</v>
      </c>
      <c r="H3723" s="13" t="s">
        <v>4416</v>
      </c>
      <c r="I3723" s="13" t="s">
        <v>98</v>
      </c>
      <c r="J3723" s="13" t="s">
        <v>4416</v>
      </c>
      <c r="K3723" s="30" t="n">
        <v>3</v>
      </c>
      <c r="L3723" s="31" t="n">
        <v>46371</v>
      </c>
      <c r="M3723" s="31" t="n">
        <v>46373</v>
      </c>
      <c r="N3723" s="13"/>
      <c r="O3723" s="13"/>
      <c r="P3723" s="13"/>
      <c r="Q3723" s="13"/>
    </row>
    <row r="3724" customFormat="false" ht="15" hidden="false" customHeight="false" outlineLevel="0" collapsed="false">
      <c r="A3724" s="13" t="s">
        <v>11770</v>
      </c>
      <c r="B3724" s="13" t="n">
        <v>3719</v>
      </c>
      <c r="C3724" s="13" t="s">
        <v>11771</v>
      </c>
      <c r="D3724" s="13" t="n">
        <v>6</v>
      </c>
      <c r="E3724" s="36" t="s">
        <v>9953</v>
      </c>
      <c r="F3724" s="13" t="s">
        <v>1298</v>
      </c>
      <c r="G3724" s="13" t="s">
        <v>757</v>
      </c>
      <c r="H3724" s="13" t="s">
        <v>4416</v>
      </c>
      <c r="I3724" s="13" t="s">
        <v>98</v>
      </c>
      <c r="J3724" s="13" t="s">
        <v>9950</v>
      </c>
      <c r="K3724" s="30" t="n">
        <v>3</v>
      </c>
      <c r="L3724" s="31" t="n">
        <v>46371</v>
      </c>
      <c r="M3724" s="31" t="n">
        <v>46373</v>
      </c>
      <c r="N3724" s="13"/>
      <c r="O3724" s="13"/>
      <c r="P3724" s="13"/>
      <c r="Q3724" s="13"/>
    </row>
    <row r="3725" customFormat="false" ht="15" hidden="false" customHeight="false" outlineLevel="0" collapsed="false">
      <c r="A3725" s="16" t="s">
        <v>11772</v>
      </c>
      <c r="B3725" s="16" t="n">
        <v>3720</v>
      </c>
      <c r="C3725" s="16" t="s">
        <v>11773</v>
      </c>
      <c r="D3725" s="16" t="n">
        <v>7</v>
      </c>
      <c r="E3725" s="37" t="s">
        <v>9956</v>
      </c>
      <c r="F3725" s="16" t="s">
        <v>1285</v>
      </c>
      <c r="G3725" s="16" t="s">
        <v>757</v>
      </c>
      <c r="H3725" s="16" t="s">
        <v>4416</v>
      </c>
      <c r="I3725" s="16" t="s">
        <v>98</v>
      </c>
      <c r="J3725" s="16" t="s">
        <v>9953</v>
      </c>
      <c r="K3725" s="32" t="n">
        <v>3</v>
      </c>
      <c r="L3725" s="33" t="n">
        <v>46371</v>
      </c>
      <c r="M3725" s="33" t="n">
        <v>46373</v>
      </c>
      <c r="N3725" s="16" t="s">
        <v>8760</v>
      </c>
      <c r="O3725" s="16"/>
      <c r="P3725" s="16" t="str">
        <f aca="false">IF(AND(L3725&lt;=$D$2,M3725&gt;=$C$2),"Sí","")</f>
        <v/>
      </c>
      <c r="Q3725" s="18" t="str">
        <f aca="false">IF(COUNTIF(LOOKAHEAD!$A$5:$A$604,A3725)&gt;0,"En Lookahead",IF(P3725="Sí","INCORPORAR",""))</f>
        <v/>
      </c>
    </row>
    <row r="3726" customFormat="false" ht="15" hidden="false" customHeight="false" outlineLevel="0" collapsed="false">
      <c r="A3726" s="16" t="s">
        <v>11774</v>
      </c>
      <c r="B3726" s="16" t="n">
        <v>3721</v>
      </c>
      <c r="C3726" s="16" t="s">
        <v>11775</v>
      </c>
      <c r="D3726" s="16" t="n">
        <v>7</v>
      </c>
      <c r="E3726" s="37" t="s">
        <v>9959</v>
      </c>
      <c r="F3726" s="16" t="s">
        <v>1285</v>
      </c>
      <c r="G3726" s="16" t="s">
        <v>757</v>
      </c>
      <c r="H3726" s="16" t="s">
        <v>4416</v>
      </c>
      <c r="I3726" s="16" t="s">
        <v>98</v>
      </c>
      <c r="J3726" s="16" t="s">
        <v>9953</v>
      </c>
      <c r="K3726" s="32" t="n">
        <v>1</v>
      </c>
      <c r="L3726" s="33" t="n">
        <v>46373</v>
      </c>
      <c r="M3726" s="33" t="n">
        <v>46373</v>
      </c>
      <c r="N3726" s="16" t="s">
        <v>11776</v>
      </c>
      <c r="O3726" s="16"/>
      <c r="P3726" s="16" t="str">
        <f aca="false">IF(AND(L3726&lt;=$D$2,M3726&gt;=$C$2),"Sí","")</f>
        <v/>
      </c>
      <c r="Q3726" s="18" t="str">
        <f aca="false">IF(COUNTIF(LOOKAHEAD!$A$5:$A$604,A3726)&gt;0,"En Lookahead",IF(P3726="Sí","INCORPORAR",""))</f>
        <v/>
      </c>
    </row>
    <row r="3727" customFormat="false" ht="15" hidden="false" customHeight="false" outlineLevel="0" collapsed="false">
      <c r="A3727" s="16" t="s">
        <v>11777</v>
      </c>
      <c r="B3727" s="16" t="n">
        <v>3722</v>
      </c>
      <c r="C3727" s="16" t="s">
        <v>11778</v>
      </c>
      <c r="D3727" s="16" t="n">
        <v>7</v>
      </c>
      <c r="E3727" s="37" t="s">
        <v>10315</v>
      </c>
      <c r="F3727" s="16" t="s">
        <v>1285</v>
      </c>
      <c r="G3727" s="16" t="s">
        <v>757</v>
      </c>
      <c r="H3727" s="16" t="s">
        <v>4416</v>
      </c>
      <c r="I3727" s="16" t="s">
        <v>98</v>
      </c>
      <c r="J3727" s="16" t="s">
        <v>9953</v>
      </c>
      <c r="K3727" s="32" t="n">
        <v>2</v>
      </c>
      <c r="L3727" s="33" t="n">
        <v>46372</v>
      </c>
      <c r="M3727" s="33" t="n">
        <v>46373</v>
      </c>
      <c r="N3727" s="16" t="s">
        <v>11779</v>
      </c>
      <c r="O3727" s="16"/>
      <c r="P3727" s="16" t="str">
        <f aca="false">IF(AND(L3727&lt;=$D$2,M3727&gt;=$C$2),"Sí","")</f>
        <v/>
      </c>
      <c r="Q3727" s="18" t="str">
        <f aca="false">IF(COUNTIF(LOOKAHEAD!$A$5:$A$604,A3727)&gt;0,"En Lookahead",IF(P3727="Sí","INCORPORAR",""))</f>
        <v/>
      </c>
    </row>
    <row r="3728" customFormat="false" ht="15" hidden="false" customHeight="false" outlineLevel="0" collapsed="false">
      <c r="A3728" s="16" t="s">
        <v>11780</v>
      </c>
      <c r="B3728" s="16" t="n">
        <v>3723</v>
      </c>
      <c r="C3728" s="16" t="s">
        <v>11781</v>
      </c>
      <c r="D3728" s="16" t="n">
        <v>7</v>
      </c>
      <c r="E3728" s="37" t="s">
        <v>10319</v>
      </c>
      <c r="F3728" s="16" t="s">
        <v>1285</v>
      </c>
      <c r="G3728" s="16" t="s">
        <v>757</v>
      </c>
      <c r="H3728" s="16" t="s">
        <v>4416</v>
      </c>
      <c r="I3728" s="16" t="s">
        <v>98</v>
      </c>
      <c r="J3728" s="16" t="s">
        <v>9953</v>
      </c>
      <c r="K3728" s="32" t="n">
        <v>1</v>
      </c>
      <c r="L3728" s="33" t="n">
        <v>46373</v>
      </c>
      <c r="M3728" s="33" t="n">
        <v>46373</v>
      </c>
      <c r="N3728" s="16" t="s">
        <v>11782</v>
      </c>
      <c r="O3728" s="16"/>
      <c r="P3728" s="16" t="str">
        <f aca="false">IF(AND(L3728&lt;=$D$2,M3728&gt;=$C$2),"Sí","")</f>
        <v/>
      </c>
      <c r="Q3728" s="18" t="str">
        <f aca="false">IF(COUNTIF(LOOKAHEAD!$A$5:$A$604,A3728)&gt;0,"En Lookahead",IF(P3728="Sí","INCORPORAR",""))</f>
        <v/>
      </c>
    </row>
    <row r="3729" customFormat="false" ht="15" hidden="false" customHeight="false" outlineLevel="0" collapsed="false">
      <c r="A3729" s="16" t="s">
        <v>11783</v>
      </c>
      <c r="B3729" s="16" t="n">
        <v>3724</v>
      </c>
      <c r="C3729" s="16" t="s">
        <v>11784</v>
      </c>
      <c r="D3729" s="16" t="n">
        <v>7</v>
      </c>
      <c r="E3729" s="37" t="s">
        <v>10323</v>
      </c>
      <c r="F3729" s="16" t="s">
        <v>1285</v>
      </c>
      <c r="G3729" s="16" t="s">
        <v>757</v>
      </c>
      <c r="H3729" s="16" t="s">
        <v>4416</v>
      </c>
      <c r="I3729" s="16" t="s">
        <v>98</v>
      </c>
      <c r="J3729" s="16" t="s">
        <v>9953</v>
      </c>
      <c r="K3729" s="32" t="n">
        <v>1</v>
      </c>
      <c r="L3729" s="33" t="n">
        <v>46373</v>
      </c>
      <c r="M3729" s="33" t="n">
        <v>46373</v>
      </c>
      <c r="N3729" s="16" t="s">
        <v>11785</v>
      </c>
      <c r="O3729" s="16"/>
      <c r="P3729" s="16" t="str">
        <f aca="false">IF(AND(L3729&lt;=$D$2,M3729&gt;=$C$2),"Sí","")</f>
        <v/>
      </c>
      <c r="Q3729" s="18" t="str">
        <f aca="false">IF(COUNTIF(LOOKAHEAD!$A$5:$A$604,A3729)&gt;0,"En Lookahead",IF(P3729="Sí","INCORPORAR",""))</f>
        <v/>
      </c>
    </row>
    <row r="3730" customFormat="false" ht="15" hidden="false" customHeight="false" outlineLevel="0" collapsed="false">
      <c r="A3730" s="13" t="s">
        <v>11786</v>
      </c>
      <c r="B3730" s="13" t="n">
        <v>3725</v>
      </c>
      <c r="C3730" s="13" t="s">
        <v>11787</v>
      </c>
      <c r="D3730" s="13" t="n">
        <v>6</v>
      </c>
      <c r="E3730" s="36" t="s">
        <v>9963</v>
      </c>
      <c r="F3730" s="13" t="s">
        <v>1298</v>
      </c>
      <c r="G3730" s="13" t="s">
        <v>757</v>
      </c>
      <c r="H3730" s="13" t="s">
        <v>4416</v>
      </c>
      <c r="I3730" s="13" t="s">
        <v>98</v>
      </c>
      <c r="J3730" s="13" t="s">
        <v>9950</v>
      </c>
      <c r="K3730" s="30" t="n">
        <v>1</v>
      </c>
      <c r="L3730" s="31" t="n">
        <v>46373</v>
      </c>
      <c r="M3730" s="31" t="n">
        <v>46373</v>
      </c>
      <c r="N3730" s="13"/>
      <c r="O3730" s="13"/>
      <c r="P3730" s="13"/>
      <c r="Q3730" s="13"/>
    </row>
    <row r="3731" customFormat="false" ht="15" hidden="false" customHeight="false" outlineLevel="0" collapsed="false">
      <c r="A3731" s="16" t="s">
        <v>11788</v>
      </c>
      <c r="B3731" s="16" t="n">
        <v>3726</v>
      </c>
      <c r="C3731" s="16" t="s">
        <v>11789</v>
      </c>
      <c r="D3731" s="16" t="n">
        <v>7</v>
      </c>
      <c r="E3731" s="37" t="s">
        <v>9966</v>
      </c>
      <c r="F3731" s="16" t="s">
        <v>1285</v>
      </c>
      <c r="G3731" s="16" t="s">
        <v>757</v>
      </c>
      <c r="H3731" s="16" t="s">
        <v>4416</v>
      </c>
      <c r="I3731" s="16" t="s">
        <v>98</v>
      </c>
      <c r="J3731" s="16" t="s">
        <v>9963</v>
      </c>
      <c r="K3731" s="32" t="n">
        <v>1</v>
      </c>
      <c r="L3731" s="33" t="n">
        <v>46373</v>
      </c>
      <c r="M3731" s="33" t="n">
        <v>46373</v>
      </c>
      <c r="N3731" s="16" t="s">
        <v>11790</v>
      </c>
      <c r="O3731" s="16"/>
      <c r="P3731" s="16" t="str">
        <f aca="false">IF(AND(L3731&lt;=$D$2,M3731&gt;=$C$2),"Sí","")</f>
        <v/>
      </c>
      <c r="Q3731" s="18" t="str">
        <f aca="false">IF(COUNTIF(LOOKAHEAD!$A$5:$A$604,A3731)&gt;0,"En Lookahead",IF(P3731="Sí","INCORPORAR",""))</f>
        <v/>
      </c>
    </row>
    <row r="3732" customFormat="false" ht="15" hidden="false" customHeight="false" outlineLevel="0" collapsed="false">
      <c r="A3732" s="16" t="s">
        <v>11791</v>
      </c>
      <c r="B3732" s="16" t="n">
        <v>3727</v>
      </c>
      <c r="C3732" s="16" t="s">
        <v>11792</v>
      </c>
      <c r="D3732" s="16" t="n">
        <v>7</v>
      </c>
      <c r="E3732" s="37" t="s">
        <v>9969</v>
      </c>
      <c r="F3732" s="16" t="s">
        <v>1285</v>
      </c>
      <c r="G3732" s="16" t="s">
        <v>757</v>
      </c>
      <c r="H3732" s="16" t="s">
        <v>4416</v>
      </c>
      <c r="I3732" s="16" t="s">
        <v>98</v>
      </c>
      <c r="J3732" s="16" t="s">
        <v>9963</v>
      </c>
      <c r="K3732" s="32" t="n">
        <v>1</v>
      </c>
      <c r="L3732" s="33" t="n">
        <v>46373</v>
      </c>
      <c r="M3732" s="33" t="n">
        <v>46373</v>
      </c>
      <c r="N3732" s="16" t="s">
        <v>11793</v>
      </c>
      <c r="O3732" s="16"/>
      <c r="P3732" s="16" t="str">
        <f aca="false">IF(AND(L3732&lt;=$D$2,M3732&gt;=$C$2),"Sí","")</f>
        <v/>
      </c>
      <c r="Q3732" s="18" t="str">
        <f aca="false">IF(COUNTIF(LOOKAHEAD!$A$5:$A$604,A3732)&gt;0,"En Lookahead",IF(P3732="Sí","INCORPORAR",""))</f>
        <v/>
      </c>
    </row>
    <row r="3733" customFormat="false" ht="15" hidden="false" customHeight="false" outlineLevel="0" collapsed="false">
      <c r="A3733" s="16" t="s">
        <v>11794</v>
      </c>
      <c r="B3733" s="16" t="n">
        <v>3728</v>
      </c>
      <c r="C3733" s="16" t="s">
        <v>11795</v>
      </c>
      <c r="D3733" s="16" t="n">
        <v>7</v>
      </c>
      <c r="E3733" s="37" t="s">
        <v>9972</v>
      </c>
      <c r="F3733" s="16" t="s">
        <v>1285</v>
      </c>
      <c r="G3733" s="16" t="s">
        <v>757</v>
      </c>
      <c r="H3733" s="16" t="s">
        <v>4416</v>
      </c>
      <c r="I3733" s="16" t="s">
        <v>98</v>
      </c>
      <c r="J3733" s="16" t="s">
        <v>9963</v>
      </c>
      <c r="K3733" s="32" t="n">
        <v>1</v>
      </c>
      <c r="L3733" s="33" t="n">
        <v>46373</v>
      </c>
      <c r="M3733" s="33" t="n">
        <v>46373</v>
      </c>
      <c r="N3733" s="16" t="s">
        <v>11796</v>
      </c>
      <c r="O3733" s="16"/>
      <c r="P3733" s="16" t="str">
        <f aca="false">IF(AND(L3733&lt;=$D$2,M3733&gt;=$C$2),"Sí","")</f>
        <v/>
      </c>
      <c r="Q3733" s="18" t="str">
        <f aca="false">IF(COUNTIF(LOOKAHEAD!$A$5:$A$604,A3733)&gt;0,"En Lookahead",IF(P3733="Sí","INCORPORAR",""))</f>
        <v/>
      </c>
    </row>
    <row r="3734" customFormat="false" ht="15" hidden="false" customHeight="false" outlineLevel="0" collapsed="false">
      <c r="A3734" s="13" t="s">
        <v>11797</v>
      </c>
      <c r="B3734" s="13" t="n">
        <v>3729</v>
      </c>
      <c r="C3734" s="13" t="s">
        <v>11798</v>
      </c>
      <c r="D3734" s="13" t="n">
        <v>5</v>
      </c>
      <c r="E3734" s="34" t="s">
        <v>9975</v>
      </c>
      <c r="F3734" s="13" t="s">
        <v>1298</v>
      </c>
      <c r="G3734" s="13" t="s">
        <v>757</v>
      </c>
      <c r="H3734" s="13" t="s">
        <v>4416</v>
      </c>
      <c r="I3734" s="13" t="s">
        <v>98</v>
      </c>
      <c r="J3734" s="13" t="s">
        <v>4416</v>
      </c>
      <c r="K3734" s="30" t="n">
        <v>35</v>
      </c>
      <c r="L3734" s="31" t="n">
        <v>46246</v>
      </c>
      <c r="M3734" s="31" t="n">
        <v>46280</v>
      </c>
      <c r="N3734" s="13"/>
      <c r="O3734" s="13"/>
      <c r="P3734" s="13"/>
      <c r="Q3734" s="13"/>
    </row>
    <row r="3735" customFormat="false" ht="15" hidden="false" customHeight="false" outlineLevel="0" collapsed="false">
      <c r="A3735" s="13" t="s">
        <v>11799</v>
      </c>
      <c r="B3735" s="13" t="n">
        <v>3730</v>
      </c>
      <c r="C3735" s="13" t="s">
        <v>11800</v>
      </c>
      <c r="D3735" s="13" t="n">
        <v>6</v>
      </c>
      <c r="E3735" s="36" t="s">
        <v>10035</v>
      </c>
      <c r="F3735" s="13" t="s">
        <v>1298</v>
      </c>
      <c r="G3735" s="13" t="s">
        <v>757</v>
      </c>
      <c r="H3735" s="13" t="s">
        <v>4416</v>
      </c>
      <c r="I3735" s="13" t="s">
        <v>98</v>
      </c>
      <c r="J3735" s="13" t="s">
        <v>9975</v>
      </c>
      <c r="K3735" s="30" t="n">
        <v>1</v>
      </c>
      <c r="L3735" s="31" t="n">
        <v>46246</v>
      </c>
      <c r="M3735" s="31" t="n">
        <v>46246</v>
      </c>
      <c r="N3735" s="13"/>
      <c r="O3735" s="13"/>
      <c r="P3735" s="13"/>
      <c r="Q3735" s="13"/>
    </row>
    <row r="3736" customFormat="false" ht="15" hidden="false" customHeight="false" outlineLevel="0" collapsed="false">
      <c r="A3736" s="16" t="s">
        <v>11801</v>
      </c>
      <c r="B3736" s="16" t="n">
        <v>3731</v>
      </c>
      <c r="C3736" s="16" t="s">
        <v>11802</v>
      </c>
      <c r="D3736" s="16" t="n">
        <v>7</v>
      </c>
      <c r="E3736" s="37" t="s">
        <v>10038</v>
      </c>
      <c r="F3736" s="16" t="s">
        <v>1285</v>
      </c>
      <c r="G3736" s="16" t="s">
        <v>757</v>
      </c>
      <c r="H3736" s="16" t="s">
        <v>4416</v>
      </c>
      <c r="I3736" s="16" t="s">
        <v>98</v>
      </c>
      <c r="J3736" s="16" t="s">
        <v>10035</v>
      </c>
      <c r="K3736" s="32" t="n">
        <v>1</v>
      </c>
      <c r="L3736" s="33" t="n">
        <v>46246</v>
      </c>
      <c r="M3736" s="33" t="n">
        <v>46246</v>
      </c>
      <c r="N3736" s="16" t="s">
        <v>4023</v>
      </c>
      <c r="O3736" s="16"/>
      <c r="P3736" s="16" t="str">
        <f aca="false">IF(AND(L3736&lt;=$D$2,M3736&gt;=$C$2),"Sí","")</f>
        <v/>
      </c>
      <c r="Q3736" s="18" t="str">
        <f aca="false">IF(COUNTIF(LOOKAHEAD!$A$5:$A$604,A3736)&gt;0,"En Lookahead",IF(P3736="Sí","INCORPORAR",""))</f>
        <v/>
      </c>
    </row>
    <row r="3737" customFormat="false" ht="15" hidden="false" customHeight="false" outlineLevel="0" collapsed="false">
      <c r="A3737" s="13" t="s">
        <v>11803</v>
      </c>
      <c r="B3737" s="13" t="n">
        <v>3732</v>
      </c>
      <c r="C3737" s="13" t="s">
        <v>11804</v>
      </c>
      <c r="D3737" s="13" t="n">
        <v>6</v>
      </c>
      <c r="E3737" s="36" t="s">
        <v>1534</v>
      </c>
      <c r="F3737" s="13" t="s">
        <v>1298</v>
      </c>
      <c r="G3737" s="13" t="s">
        <v>757</v>
      </c>
      <c r="H3737" s="13" t="s">
        <v>4416</v>
      </c>
      <c r="I3737" s="13" t="s">
        <v>98</v>
      </c>
      <c r="J3737" s="13" t="s">
        <v>9975</v>
      </c>
      <c r="K3737" s="30" t="n">
        <v>29</v>
      </c>
      <c r="L3737" s="31" t="n">
        <v>46247</v>
      </c>
      <c r="M3737" s="31" t="n">
        <v>46275</v>
      </c>
      <c r="N3737" s="13"/>
      <c r="O3737" s="13"/>
      <c r="P3737" s="13"/>
      <c r="Q3737" s="13"/>
    </row>
    <row r="3738" customFormat="false" ht="15" hidden="false" customHeight="false" outlineLevel="0" collapsed="false">
      <c r="A3738" s="16" t="s">
        <v>11805</v>
      </c>
      <c r="B3738" s="16" t="n">
        <v>3733</v>
      </c>
      <c r="C3738" s="16" t="s">
        <v>11806</v>
      </c>
      <c r="D3738" s="16" t="n">
        <v>7</v>
      </c>
      <c r="E3738" s="37" t="s">
        <v>10043</v>
      </c>
      <c r="F3738" s="16" t="s">
        <v>1285</v>
      </c>
      <c r="G3738" s="16" t="s">
        <v>757</v>
      </c>
      <c r="H3738" s="16" t="s">
        <v>4416</v>
      </c>
      <c r="I3738" s="16" t="s">
        <v>98</v>
      </c>
      <c r="J3738" s="16" t="s">
        <v>1534</v>
      </c>
      <c r="K3738" s="32" t="n">
        <v>5</v>
      </c>
      <c r="L3738" s="33" t="n">
        <v>46247</v>
      </c>
      <c r="M3738" s="33" t="n">
        <v>46251</v>
      </c>
      <c r="N3738" s="16" t="s">
        <v>11807</v>
      </c>
      <c r="O3738" s="16"/>
      <c r="P3738" s="16" t="str">
        <f aca="false">IF(AND(L3738&lt;=$D$2,M3738&gt;=$C$2),"Sí","")</f>
        <v/>
      </c>
      <c r="Q3738" s="18" t="str">
        <f aca="false">IF(COUNTIF(LOOKAHEAD!$A$5:$A$604,A3738)&gt;0,"En Lookahead",IF(P3738="Sí","INCORPORAR",""))</f>
        <v/>
      </c>
    </row>
    <row r="3739" customFormat="false" ht="15" hidden="false" customHeight="false" outlineLevel="0" collapsed="false">
      <c r="A3739" s="16" t="s">
        <v>11808</v>
      </c>
      <c r="B3739" s="16" t="n">
        <v>3734</v>
      </c>
      <c r="C3739" s="16" t="s">
        <v>11809</v>
      </c>
      <c r="D3739" s="16" t="n">
        <v>7</v>
      </c>
      <c r="E3739" s="37" t="s">
        <v>10047</v>
      </c>
      <c r="F3739" s="16" t="s">
        <v>1285</v>
      </c>
      <c r="G3739" s="16" t="s">
        <v>757</v>
      </c>
      <c r="H3739" s="16" t="s">
        <v>4416</v>
      </c>
      <c r="I3739" s="16" t="s">
        <v>98</v>
      </c>
      <c r="J3739" s="16" t="s">
        <v>1534</v>
      </c>
      <c r="K3739" s="32" t="n">
        <v>1</v>
      </c>
      <c r="L3739" s="33" t="n">
        <v>46252</v>
      </c>
      <c r="M3739" s="33" t="n">
        <v>46252</v>
      </c>
      <c r="N3739" s="16" t="s">
        <v>11810</v>
      </c>
      <c r="O3739" s="16"/>
      <c r="P3739" s="16" t="str">
        <f aca="false">IF(AND(L3739&lt;=$D$2,M3739&gt;=$C$2),"Sí","")</f>
        <v/>
      </c>
      <c r="Q3739" s="18" t="str">
        <f aca="false">IF(COUNTIF(LOOKAHEAD!$A$5:$A$604,A3739)&gt;0,"En Lookahead",IF(P3739="Sí","INCORPORAR",""))</f>
        <v/>
      </c>
    </row>
    <row r="3740" customFormat="false" ht="15" hidden="false" customHeight="false" outlineLevel="0" collapsed="false">
      <c r="A3740" s="16" t="s">
        <v>11811</v>
      </c>
      <c r="B3740" s="16" t="n">
        <v>3735</v>
      </c>
      <c r="C3740" s="16" t="s">
        <v>11812</v>
      </c>
      <c r="D3740" s="16" t="n">
        <v>7</v>
      </c>
      <c r="E3740" s="37" t="s">
        <v>10051</v>
      </c>
      <c r="F3740" s="16" t="s">
        <v>1285</v>
      </c>
      <c r="G3740" s="16" t="s">
        <v>757</v>
      </c>
      <c r="H3740" s="16" t="s">
        <v>4416</v>
      </c>
      <c r="I3740" s="16" t="s">
        <v>98</v>
      </c>
      <c r="J3740" s="16" t="s">
        <v>1534</v>
      </c>
      <c r="K3740" s="32" t="n">
        <v>1</v>
      </c>
      <c r="L3740" s="33" t="n">
        <v>46253</v>
      </c>
      <c r="M3740" s="33" t="n">
        <v>46253</v>
      </c>
      <c r="N3740" s="16" t="s">
        <v>11813</v>
      </c>
      <c r="O3740" s="16"/>
      <c r="P3740" s="16" t="str">
        <f aca="false">IF(AND(L3740&lt;=$D$2,M3740&gt;=$C$2),"Sí","")</f>
        <v/>
      </c>
      <c r="Q3740" s="18" t="str">
        <f aca="false">IF(COUNTIF(LOOKAHEAD!$A$5:$A$604,A3740)&gt;0,"En Lookahead",IF(P3740="Sí","INCORPORAR",""))</f>
        <v/>
      </c>
    </row>
    <row r="3741" customFormat="false" ht="15" hidden="false" customHeight="false" outlineLevel="0" collapsed="false">
      <c r="A3741" s="16" t="s">
        <v>11814</v>
      </c>
      <c r="B3741" s="16" t="n">
        <v>3736</v>
      </c>
      <c r="C3741" s="16" t="s">
        <v>11815</v>
      </c>
      <c r="D3741" s="16" t="n">
        <v>7</v>
      </c>
      <c r="E3741" s="37" t="s">
        <v>10055</v>
      </c>
      <c r="F3741" s="16" t="s">
        <v>1285</v>
      </c>
      <c r="G3741" s="16" t="s">
        <v>757</v>
      </c>
      <c r="H3741" s="16" t="s">
        <v>4416</v>
      </c>
      <c r="I3741" s="16" t="s">
        <v>98</v>
      </c>
      <c r="J3741" s="16" t="s">
        <v>1534</v>
      </c>
      <c r="K3741" s="32" t="n">
        <v>1</v>
      </c>
      <c r="L3741" s="33" t="n">
        <v>46254</v>
      </c>
      <c r="M3741" s="33" t="n">
        <v>46254</v>
      </c>
      <c r="N3741" s="16" t="s">
        <v>11816</v>
      </c>
      <c r="O3741" s="16"/>
      <c r="P3741" s="16" t="str">
        <f aca="false">IF(AND(L3741&lt;=$D$2,M3741&gt;=$C$2),"Sí","")</f>
        <v/>
      </c>
      <c r="Q3741" s="18" t="str">
        <f aca="false">IF(COUNTIF(LOOKAHEAD!$A$5:$A$604,A3741)&gt;0,"En Lookahead",IF(P3741="Sí","INCORPORAR",""))</f>
        <v/>
      </c>
    </row>
    <row r="3742" customFormat="false" ht="15" hidden="false" customHeight="false" outlineLevel="0" collapsed="false">
      <c r="A3742" s="16" t="s">
        <v>11817</v>
      </c>
      <c r="B3742" s="16" t="n">
        <v>3737</v>
      </c>
      <c r="C3742" s="16" t="s">
        <v>11818</v>
      </c>
      <c r="D3742" s="16" t="n">
        <v>7</v>
      </c>
      <c r="E3742" s="37" t="s">
        <v>10059</v>
      </c>
      <c r="F3742" s="16" t="s">
        <v>1285</v>
      </c>
      <c r="G3742" s="16" t="s">
        <v>757</v>
      </c>
      <c r="H3742" s="16" t="s">
        <v>4416</v>
      </c>
      <c r="I3742" s="16" t="s">
        <v>98</v>
      </c>
      <c r="J3742" s="16" t="s">
        <v>1534</v>
      </c>
      <c r="K3742" s="32" t="n">
        <v>1</v>
      </c>
      <c r="L3742" s="33" t="n">
        <v>46273</v>
      </c>
      <c r="M3742" s="33" t="n">
        <v>46273</v>
      </c>
      <c r="N3742" s="16" t="s">
        <v>11819</v>
      </c>
      <c r="O3742" s="16"/>
      <c r="P3742" s="16" t="str">
        <f aca="false">IF(AND(L3742&lt;=$D$2,M3742&gt;=$C$2),"Sí","")</f>
        <v/>
      </c>
      <c r="Q3742" s="18" t="str">
        <f aca="false">IF(COUNTIF(LOOKAHEAD!$A$5:$A$604,A3742)&gt;0,"En Lookahead",IF(P3742="Sí","INCORPORAR",""))</f>
        <v/>
      </c>
    </row>
    <row r="3743" customFormat="false" ht="15" hidden="false" customHeight="false" outlineLevel="0" collapsed="false">
      <c r="A3743" s="16" t="s">
        <v>11820</v>
      </c>
      <c r="B3743" s="16" t="n">
        <v>3738</v>
      </c>
      <c r="C3743" s="16" t="s">
        <v>11821</v>
      </c>
      <c r="D3743" s="16" t="n">
        <v>7</v>
      </c>
      <c r="E3743" s="37" t="s">
        <v>10063</v>
      </c>
      <c r="F3743" s="16" t="s">
        <v>1285</v>
      </c>
      <c r="G3743" s="16" t="s">
        <v>757</v>
      </c>
      <c r="H3743" s="16" t="s">
        <v>4416</v>
      </c>
      <c r="I3743" s="16" t="s">
        <v>98</v>
      </c>
      <c r="J3743" s="16" t="s">
        <v>1534</v>
      </c>
      <c r="K3743" s="32" t="n">
        <v>1</v>
      </c>
      <c r="L3743" s="33" t="n">
        <v>46274</v>
      </c>
      <c r="M3743" s="33" t="n">
        <v>46274</v>
      </c>
      <c r="N3743" s="16" t="s">
        <v>11822</v>
      </c>
      <c r="O3743" s="16"/>
      <c r="P3743" s="16" t="str">
        <f aca="false">IF(AND(L3743&lt;=$D$2,M3743&gt;=$C$2),"Sí","")</f>
        <v/>
      </c>
      <c r="Q3743" s="18" t="str">
        <f aca="false">IF(COUNTIF(LOOKAHEAD!$A$5:$A$604,A3743)&gt;0,"En Lookahead",IF(P3743="Sí","INCORPORAR",""))</f>
        <v/>
      </c>
    </row>
    <row r="3744" customFormat="false" ht="15" hidden="false" customHeight="false" outlineLevel="0" collapsed="false">
      <c r="A3744" s="16" t="s">
        <v>11823</v>
      </c>
      <c r="B3744" s="16" t="n">
        <v>3739</v>
      </c>
      <c r="C3744" s="16" t="s">
        <v>11824</v>
      </c>
      <c r="D3744" s="16" t="n">
        <v>7</v>
      </c>
      <c r="E3744" s="37" t="s">
        <v>1557</v>
      </c>
      <c r="F3744" s="16" t="s">
        <v>1285</v>
      </c>
      <c r="G3744" s="16" t="s">
        <v>757</v>
      </c>
      <c r="H3744" s="16" t="s">
        <v>4416</v>
      </c>
      <c r="I3744" s="16" t="s">
        <v>98</v>
      </c>
      <c r="J3744" s="16" t="s">
        <v>1534</v>
      </c>
      <c r="K3744" s="32" t="n">
        <v>1</v>
      </c>
      <c r="L3744" s="33" t="n">
        <v>46273</v>
      </c>
      <c r="M3744" s="33" t="n">
        <v>46273</v>
      </c>
      <c r="N3744" s="16" t="s">
        <v>11825</v>
      </c>
      <c r="O3744" s="16"/>
      <c r="P3744" s="16" t="str">
        <f aca="false">IF(AND(L3744&lt;=$D$2,M3744&gt;=$C$2),"Sí","")</f>
        <v/>
      </c>
      <c r="Q3744" s="18" t="str">
        <f aca="false">IF(COUNTIF(LOOKAHEAD!$A$5:$A$604,A3744)&gt;0,"En Lookahead",IF(P3744="Sí","INCORPORAR",""))</f>
        <v/>
      </c>
    </row>
    <row r="3745" customFormat="false" ht="15" hidden="false" customHeight="false" outlineLevel="0" collapsed="false">
      <c r="A3745" s="16" t="s">
        <v>11826</v>
      </c>
      <c r="B3745" s="16" t="n">
        <v>3740</v>
      </c>
      <c r="C3745" s="16" t="s">
        <v>11827</v>
      </c>
      <c r="D3745" s="16" t="n">
        <v>7</v>
      </c>
      <c r="E3745" s="37" t="s">
        <v>10069</v>
      </c>
      <c r="F3745" s="16" t="s">
        <v>1285</v>
      </c>
      <c r="G3745" s="16" t="s">
        <v>757</v>
      </c>
      <c r="H3745" s="16" t="s">
        <v>4416</v>
      </c>
      <c r="I3745" s="16" t="s">
        <v>98</v>
      </c>
      <c r="J3745" s="16" t="s">
        <v>1534</v>
      </c>
      <c r="K3745" s="32" t="n">
        <v>1</v>
      </c>
      <c r="L3745" s="33" t="n">
        <v>46275</v>
      </c>
      <c r="M3745" s="33" t="n">
        <v>46275</v>
      </c>
      <c r="N3745" s="16" t="s">
        <v>11828</v>
      </c>
      <c r="O3745" s="16"/>
      <c r="P3745" s="16" t="str">
        <f aca="false">IF(AND(L3745&lt;=$D$2,M3745&gt;=$C$2),"Sí","")</f>
        <v/>
      </c>
      <c r="Q3745" s="18" t="str">
        <f aca="false">IF(COUNTIF(LOOKAHEAD!$A$5:$A$604,A3745)&gt;0,"En Lookahead",IF(P3745="Sí","INCORPORAR",""))</f>
        <v/>
      </c>
    </row>
    <row r="3746" customFormat="false" ht="15" hidden="false" customHeight="false" outlineLevel="0" collapsed="false">
      <c r="A3746" s="13" t="s">
        <v>11829</v>
      </c>
      <c r="B3746" s="13" t="n">
        <v>3741</v>
      </c>
      <c r="C3746" s="13" t="s">
        <v>11830</v>
      </c>
      <c r="D3746" s="13" t="n">
        <v>6</v>
      </c>
      <c r="E3746" s="36" t="s">
        <v>9978</v>
      </c>
      <c r="F3746" s="13" t="s">
        <v>1298</v>
      </c>
      <c r="G3746" s="13" t="s">
        <v>757</v>
      </c>
      <c r="H3746" s="13" t="s">
        <v>4416</v>
      </c>
      <c r="I3746" s="13" t="s">
        <v>98</v>
      </c>
      <c r="J3746" s="13" t="s">
        <v>9975</v>
      </c>
      <c r="K3746" s="30" t="n">
        <v>5</v>
      </c>
      <c r="L3746" s="31" t="n">
        <v>46276</v>
      </c>
      <c r="M3746" s="31" t="n">
        <v>46280</v>
      </c>
      <c r="N3746" s="13"/>
      <c r="O3746" s="13"/>
      <c r="P3746" s="13"/>
      <c r="Q3746" s="13"/>
    </row>
    <row r="3747" customFormat="false" ht="15" hidden="false" customHeight="false" outlineLevel="0" collapsed="false">
      <c r="A3747" s="16" t="s">
        <v>11831</v>
      </c>
      <c r="B3747" s="16" t="n">
        <v>3742</v>
      </c>
      <c r="C3747" s="16" t="s">
        <v>11832</v>
      </c>
      <c r="D3747" s="16" t="n">
        <v>7</v>
      </c>
      <c r="E3747" s="37" t="s">
        <v>9981</v>
      </c>
      <c r="F3747" s="16" t="s">
        <v>1285</v>
      </c>
      <c r="G3747" s="16" t="s">
        <v>757</v>
      </c>
      <c r="H3747" s="16" t="s">
        <v>4416</v>
      </c>
      <c r="I3747" s="16" t="s">
        <v>98</v>
      </c>
      <c r="J3747" s="16" t="s">
        <v>9978</v>
      </c>
      <c r="K3747" s="32" t="n">
        <v>5</v>
      </c>
      <c r="L3747" s="33" t="n">
        <v>46276</v>
      </c>
      <c r="M3747" s="33" t="n">
        <v>46280</v>
      </c>
      <c r="N3747" s="16" t="s">
        <v>11833</v>
      </c>
      <c r="O3747" s="16"/>
      <c r="P3747" s="16" t="str">
        <f aca="false">IF(AND(L3747&lt;=$D$2,M3747&gt;=$C$2),"Sí","")</f>
        <v/>
      </c>
      <c r="Q3747" s="18" t="str">
        <f aca="false">IF(COUNTIF(LOOKAHEAD!$A$5:$A$604,A3747)&gt;0,"En Lookahead",IF(P3747="Sí","INCORPORAR",""))</f>
        <v/>
      </c>
    </row>
    <row r="3748" customFormat="false" ht="15" hidden="false" customHeight="false" outlineLevel="0" collapsed="false">
      <c r="A3748" s="13" t="s">
        <v>11834</v>
      </c>
      <c r="B3748" s="13" t="n">
        <v>3743</v>
      </c>
      <c r="C3748" s="13" t="s">
        <v>11835</v>
      </c>
      <c r="D3748" s="13" t="n">
        <v>6</v>
      </c>
      <c r="E3748" s="36" t="s">
        <v>9984</v>
      </c>
      <c r="F3748" s="13" t="s">
        <v>1298</v>
      </c>
      <c r="G3748" s="13" t="s">
        <v>757</v>
      </c>
      <c r="H3748" s="13" t="s">
        <v>4416</v>
      </c>
      <c r="I3748" s="13" t="s">
        <v>98</v>
      </c>
      <c r="J3748" s="13" t="s">
        <v>9975</v>
      </c>
      <c r="K3748" s="30" t="n">
        <v>22</v>
      </c>
      <c r="L3748" s="31" t="n">
        <v>46254</v>
      </c>
      <c r="M3748" s="31" t="n">
        <v>46275</v>
      </c>
      <c r="N3748" s="13"/>
      <c r="O3748" s="13"/>
      <c r="P3748" s="13"/>
      <c r="Q3748" s="13"/>
    </row>
    <row r="3749" customFormat="false" ht="15" hidden="false" customHeight="false" outlineLevel="0" collapsed="false">
      <c r="A3749" s="16" t="s">
        <v>11836</v>
      </c>
      <c r="B3749" s="16" t="n">
        <v>3744</v>
      </c>
      <c r="C3749" s="16" t="s">
        <v>11837</v>
      </c>
      <c r="D3749" s="16" t="n">
        <v>7</v>
      </c>
      <c r="E3749" s="37" t="s">
        <v>11561</v>
      </c>
      <c r="F3749" s="16" t="s">
        <v>1285</v>
      </c>
      <c r="G3749" s="16" t="s">
        <v>757</v>
      </c>
      <c r="H3749" s="16" t="s">
        <v>4416</v>
      </c>
      <c r="I3749" s="16" t="s">
        <v>98</v>
      </c>
      <c r="J3749" s="16" t="s">
        <v>9984</v>
      </c>
      <c r="K3749" s="32" t="n">
        <v>1</v>
      </c>
      <c r="L3749" s="33" t="n">
        <v>46254</v>
      </c>
      <c r="M3749" s="33" t="n">
        <v>46254</v>
      </c>
      <c r="N3749" s="16" t="s">
        <v>11816</v>
      </c>
      <c r="O3749" s="16"/>
      <c r="P3749" s="16" t="str">
        <f aca="false">IF(AND(L3749&lt;=$D$2,M3749&gt;=$C$2),"Sí","")</f>
        <v/>
      </c>
      <c r="Q3749" s="18" t="str">
        <f aca="false">IF(COUNTIF(LOOKAHEAD!$A$5:$A$604,A3749)&gt;0,"En Lookahead",IF(P3749="Sí","INCORPORAR",""))</f>
        <v/>
      </c>
    </row>
    <row r="3750" customFormat="false" ht="15" hidden="false" customHeight="false" outlineLevel="0" collapsed="false">
      <c r="A3750" s="16" t="s">
        <v>11838</v>
      </c>
      <c r="B3750" s="16" t="n">
        <v>3745</v>
      </c>
      <c r="C3750" s="16" t="s">
        <v>11839</v>
      </c>
      <c r="D3750" s="16" t="n">
        <v>7</v>
      </c>
      <c r="E3750" s="37" t="s">
        <v>10380</v>
      </c>
      <c r="F3750" s="16" t="s">
        <v>1285</v>
      </c>
      <c r="G3750" s="16" t="s">
        <v>757</v>
      </c>
      <c r="H3750" s="16" t="s">
        <v>4416</v>
      </c>
      <c r="I3750" s="16" t="s">
        <v>98</v>
      </c>
      <c r="J3750" s="16" t="s">
        <v>9984</v>
      </c>
      <c r="K3750" s="32" t="n">
        <v>1</v>
      </c>
      <c r="L3750" s="33" t="n">
        <v>46255</v>
      </c>
      <c r="M3750" s="33" t="n">
        <v>46255</v>
      </c>
      <c r="N3750" s="16" t="s">
        <v>11840</v>
      </c>
      <c r="O3750" s="16"/>
      <c r="P3750" s="16" t="str">
        <f aca="false">IF(AND(L3750&lt;=$D$2,M3750&gt;=$C$2),"Sí","")</f>
        <v/>
      </c>
      <c r="Q3750" s="18" t="str">
        <f aca="false">IF(COUNTIF(LOOKAHEAD!$A$5:$A$604,A3750)&gt;0,"En Lookahead",IF(P3750="Sí","INCORPORAR",""))</f>
        <v/>
      </c>
    </row>
    <row r="3751" customFormat="false" ht="15" hidden="false" customHeight="false" outlineLevel="0" collapsed="false">
      <c r="A3751" s="16" t="s">
        <v>11841</v>
      </c>
      <c r="B3751" s="16" t="n">
        <v>3746</v>
      </c>
      <c r="C3751" s="16" t="s">
        <v>11842</v>
      </c>
      <c r="D3751" s="16" t="n">
        <v>7</v>
      </c>
      <c r="E3751" s="37" t="s">
        <v>9987</v>
      </c>
      <c r="F3751" s="16" t="s">
        <v>1285</v>
      </c>
      <c r="G3751" s="16" t="s">
        <v>757</v>
      </c>
      <c r="H3751" s="16" t="s">
        <v>4416</v>
      </c>
      <c r="I3751" s="16" t="s">
        <v>98</v>
      </c>
      <c r="J3751" s="16" t="s">
        <v>9984</v>
      </c>
      <c r="K3751" s="32" t="n">
        <v>1</v>
      </c>
      <c r="L3751" s="33" t="n">
        <v>46256</v>
      </c>
      <c r="M3751" s="33" t="n">
        <v>46256</v>
      </c>
      <c r="N3751" s="16" t="s">
        <v>11843</v>
      </c>
      <c r="O3751" s="16"/>
      <c r="P3751" s="16" t="str">
        <f aca="false">IF(AND(L3751&lt;=$D$2,M3751&gt;=$C$2),"Sí","")</f>
        <v/>
      </c>
      <c r="Q3751" s="18" t="str">
        <f aca="false">IF(COUNTIF(LOOKAHEAD!$A$5:$A$604,A3751)&gt;0,"En Lookahead",IF(P3751="Sí","INCORPORAR",""))</f>
        <v/>
      </c>
    </row>
    <row r="3752" customFormat="false" ht="15" hidden="false" customHeight="false" outlineLevel="0" collapsed="false">
      <c r="A3752" s="16" t="s">
        <v>11844</v>
      </c>
      <c r="B3752" s="16" t="n">
        <v>3747</v>
      </c>
      <c r="C3752" s="16" t="s">
        <v>11845</v>
      </c>
      <c r="D3752" s="16" t="n">
        <v>7</v>
      </c>
      <c r="E3752" s="37" t="s">
        <v>9991</v>
      </c>
      <c r="F3752" s="16" t="s">
        <v>1285</v>
      </c>
      <c r="G3752" s="16" t="s">
        <v>757</v>
      </c>
      <c r="H3752" s="16" t="s">
        <v>4416</v>
      </c>
      <c r="I3752" s="16" t="s">
        <v>98</v>
      </c>
      <c r="J3752" s="16" t="s">
        <v>9984</v>
      </c>
      <c r="K3752" s="32" t="n">
        <v>1</v>
      </c>
      <c r="L3752" s="33" t="n">
        <v>46257</v>
      </c>
      <c r="M3752" s="33" t="n">
        <v>46257</v>
      </c>
      <c r="N3752" s="16" t="s">
        <v>11846</v>
      </c>
      <c r="O3752" s="16"/>
      <c r="P3752" s="16" t="str">
        <f aca="false">IF(AND(L3752&lt;=$D$2,M3752&gt;=$C$2),"Sí","")</f>
        <v/>
      </c>
      <c r="Q3752" s="18" t="str">
        <f aca="false">IF(COUNTIF(LOOKAHEAD!$A$5:$A$604,A3752)&gt;0,"En Lookahead",IF(P3752="Sí","INCORPORAR",""))</f>
        <v/>
      </c>
    </row>
    <row r="3753" customFormat="false" ht="15" hidden="false" customHeight="false" outlineLevel="0" collapsed="false">
      <c r="A3753" s="16" t="s">
        <v>11847</v>
      </c>
      <c r="B3753" s="16" t="n">
        <v>3748</v>
      </c>
      <c r="C3753" s="16" t="s">
        <v>11848</v>
      </c>
      <c r="D3753" s="16" t="n">
        <v>7</v>
      </c>
      <c r="E3753" s="37" t="s">
        <v>9995</v>
      </c>
      <c r="F3753" s="16" t="s">
        <v>1285</v>
      </c>
      <c r="G3753" s="16" t="s">
        <v>757</v>
      </c>
      <c r="H3753" s="16" t="s">
        <v>4416</v>
      </c>
      <c r="I3753" s="16" t="s">
        <v>98</v>
      </c>
      <c r="J3753" s="16" t="s">
        <v>9984</v>
      </c>
      <c r="K3753" s="32" t="n">
        <v>1</v>
      </c>
      <c r="L3753" s="33" t="n">
        <v>46275</v>
      </c>
      <c r="M3753" s="33" t="n">
        <v>46275</v>
      </c>
      <c r="N3753" s="16" t="s">
        <v>11828</v>
      </c>
      <c r="O3753" s="16"/>
      <c r="P3753" s="16" t="str">
        <f aca="false">IF(AND(L3753&lt;=$D$2,M3753&gt;=$C$2),"Sí","")</f>
        <v/>
      </c>
      <c r="Q3753" s="18" t="str">
        <f aca="false">IF(COUNTIF(LOOKAHEAD!$A$5:$A$604,A3753)&gt;0,"En Lookahead",IF(P3753="Sí","INCORPORAR",""))</f>
        <v/>
      </c>
    </row>
    <row r="3754" customFormat="false" ht="15" hidden="false" customHeight="false" outlineLevel="0" collapsed="false">
      <c r="A3754" s="13" t="s">
        <v>11849</v>
      </c>
      <c r="B3754" s="13" t="n">
        <v>3749</v>
      </c>
      <c r="C3754" s="13" t="s">
        <v>11850</v>
      </c>
      <c r="D3754" s="13" t="n">
        <v>6</v>
      </c>
      <c r="E3754" s="36" t="s">
        <v>9999</v>
      </c>
      <c r="F3754" s="13" t="s">
        <v>1298</v>
      </c>
      <c r="G3754" s="13" t="s">
        <v>757</v>
      </c>
      <c r="H3754" s="13" t="s">
        <v>4416</v>
      </c>
      <c r="I3754" s="13" t="s">
        <v>98</v>
      </c>
      <c r="J3754" s="13" t="s">
        <v>9975</v>
      </c>
      <c r="K3754" s="30" t="n">
        <v>12</v>
      </c>
      <c r="L3754" s="31" t="n">
        <v>46258</v>
      </c>
      <c r="M3754" s="31" t="n">
        <v>46269</v>
      </c>
      <c r="N3754" s="13"/>
      <c r="O3754" s="13"/>
      <c r="P3754" s="13"/>
      <c r="Q3754" s="13"/>
    </row>
    <row r="3755" customFormat="false" ht="15" hidden="false" customHeight="false" outlineLevel="0" collapsed="false">
      <c r="A3755" s="16" t="s">
        <v>11851</v>
      </c>
      <c r="B3755" s="16" t="n">
        <v>3750</v>
      </c>
      <c r="C3755" s="16" t="s">
        <v>11852</v>
      </c>
      <c r="D3755" s="16" t="n">
        <v>7</v>
      </c>
      <c r="E3755" s="37" t="s">
        <v>11579</v>
      </c>
      <c r="F3755" s="16" t="s">
        <v>1285</v>
      </c>
      <c r="G3755" s="16" t="s">
        <v>757</v>
      </c>
      <c r="H3755" s="16" t="s">
        <v>4416</v>
      </c>
      <c r="I3755" s="16" t="s">
        <v>98</v>
      </c>
      <c r="J3755" s="16" t="s">
        <v>9999</v>
      </c>
      <c r="K3755" s="32" t="n">
        <v>1</v>
      </c>
      <c r="L3755" s="33" t="n">
        <v>46258</v>
      </c>
      <c r="M3755" s="33" t="n">
        <v>46258</v>
      </c>
      <c r="N3755" s="16" t="s">
        <v>11853</v>
      </c>
      <c r="O3755" s="16"/>
      <c r="P3755" s="16" t="str">
        <f aca="false">IF(AND(L3755&lt;=$D$2,M3755&gt;=$C$2),"Sí","")</f>
        <v/>
      </c>
      <c r="Q3755" s="18" t="str">
        <f aca="false">IF(COUNTIF(LOOKAHEAD!$A$5:$A$604,A3755)&gt;0,"En Lookahead",IF(P3755="Sí","INCORPORAR",""))</f>
        <v/>
      </c>
    </row>
    <row r="3756" customFormat="false" ht="15" hidden="false" customHeight="false" outlineLevel="0" collapsed="false">
      <c r="A3756" s="16" t="s">
        <v>11854</v>
      </c>
      <c r="B3756" s="16" t="n">
        <v>3751</v>
      </c>
      <c r="C3756" s="16" t="s">
        <v>11855</v>
      </c>
      <c r="D3756" s="16" t="n">
        <v>7</v>
      </c>
      <c r="E3756" s="37" t="s">
        <v>10399</v>
      </c>
      <c r="F3756" s="16" t="s">
        <v>1285</v>
      </c>
      <c r="G3756" s="16" t="s">
        <v>757</v>
      </c>
      <c r="H3756" s="16" t="s">
        <v>4416</v>
      </c>
      <c r="I3756" s="16" t="s">
        <v>98</v>
      </c>
      <c r="J3756" s="16" t="s">
        <v>9999</v>
      </c>
      <c r="K3756" s="32" t="n">
        <v>1</v>
      </c>
      <c r="L3756" s="33" t="n">
        <v>46259</v>
      </c>
      <c r="M3756" s="33" t="n">
        <v>46259</v>
      </c>
      <c r="N3756" s="16" t="s">
        <v>11856</v>
      </c>
      <c r="O3756" s="16"/>
      <c r="P3756" s="16" t="str">
        <f aca="false">IF(AND(L3756&lt;=$D$2,M3756&gt;=$C$2),"Sí","")</f>
        <v/>
      </c>
      <c r="Q3756" s="18" t="str">
        <f aca="false">IF(COUNTIF(LOOKAHEAD!$A$5:$A$604,A3756)&gt;0,"En Lookahead",IF(P3756="Sí","INCORPORAR",""))</f>
        <v/>
      </c>
    </row>
    <row r="3757" customFormat="false" ht="15" hidden="false" customHeight="false" outlineLevel="0" collapsed="false">
      <c r="A3757" s="16" t="s">
        <v>11857</v>
      </c>
      <c r="B3757" s="16" t="n">
        <v>3752</v>
      </c>
      <c r="C3757" s="16" t="s">
        <v>11858</v>
      </c>
      <c r="D3757" s="16" t="n">
        <v>7</v>
      </c>
      <c r="E3757" s="37" t="s">
        <v>10002</v>
      </c>
      <c r="F3757" s="16" t="s">
        <v>1285</v>
      </c>
      <c r="G3757" s="16" t="s">
        <v>757</v>
      </c>
      <c r="H3757" s="16" t="s">
        <v>4416</v>
      </c>
      <c r="I3757" s="16" t="s">
        <v>98</v>
      </c>
      <c r="J3757" s="16" t="s">
        <v>9999</v>
      </c>
      <c r="K3757" s="32" t="n">
        <v>1</v>
      </c>
      <c r="L3757" s="33" t="n">
        <v>46260</v>
      </c>
      <c r="M3757" s="33" t="n">
        <v>46260</v>
      </c>
      <c r="N3757" s="16" t="s">
        <v>11859</v>
      </c>
      <c r="O3757" s="16"/>
      <c r="P3757" s="16" t="str">
        <f aca="false">IF(AND(L3757&lt;=$D$2,M3757&gt;=$C$2),"Sí","")</f>
        <v/>
      </c>
      <c r="Q3757" s="18" t="str">
        <f aca="false">IF(COUNTIF(LOOKAHEAD!$A$5:$A$604,A3757)&gt;0,"En Lookahead",IF(P3757="Sí","INCORPORAR",""))</f>
        <v/>
      </c>
    </row>
    <row r="3758" customFormat="false" ht="15" hidden="false" customHeight="false" outlineLevel="0" collapsed="false">
      <c r="A3758" s="16" t="s">
        <v>11860</v>
      </c>
      <c r="B3758" s="16" t="n">
        <v>3753</v>
      </c>
      <c r="C3758" s="16" t="s">
        <v>11861</v>
      </c>
      <c r="D3758" s="16" t="n">
        <v>7</v>
      </c>
      <c r="E3758" s="37" t="s">
        <v>10406</v>
      </c>
      <c r="F3758" s="16" t="s">
        <v>1285</v>
      </c>
      <c r="G3758" s="16" t="s">
        <v>757</v>
      </c>
      <c r="H3758" s="16" t="s">
        <v>4416</v>
      </c>
      <c r="I3758" s="16" t="s">
        <v>98</v>
      </c>
      <c r="J3758" s="16" t="s">
        <v>9999</v>
      </c>
      <c r="K3758" s="32" t="n">
        <v>1</v>
      </c>
      <c r="L3758" s="33" t="n">
        <v>46261</v>
      </c>
      <c r="M3758" s="33" t="n">
        <v>46261</v>
      </c>
      <c r="N3758" s="16" t="s">
        <v>11862</v>
      </c>
      <c r="O3758" s="16"/>
      <c r="P3758" s="16" t="str">
        <f aca="false">IF(AND(L3758&lt;=$D$2,M3758&gt;=$C$2),"Sí","")</f>
        <v/>
      </c>
      <c r="Q3758" s="18" t="str">
        <f aca="false">IF(COUNTIF(LOOKAHEAD!$A$5:$A$604,A3758)&gt;0,"En Lookahead",IF(P3758="Sí","INCORPORAR",""))</f>
        <v/>
      </c>
    </row>
    <row r="3759" customFormat="false" ht="15" hidden="false" customHeight="false" outlineLevel="0" collapsed="false">
      <c r="A3759" s="16" t="s">
        <v>11863</v>
      </c>
      <c r="B3759" s="16" t="n">
        <v>3754</v>
      </c>
      <c r="C3759" s="16" t="s">
        <v>11864</v>
      </c>
      <c r="D3759" s="16" t="n">
        <v>7</v>
      </c>
      <c r="E3759" s="37" t="s">
        <v>11592</v>
      </c>
      <c r="F3759" s="16" t="s">
        <v>1285</v>
      </c>
      <c r="G3759" s="16" t="s">
        <v>757</v>
      </c>
      <c r="H3759" s="16" t="s">
        <v>4416</v>
      </c>
      <c r="I3759" s="16" t="s">
        <v>98</v>
      </c>
      <c r="J3759" s="16" t="s">
        <v>9999</v>
      </c>
      <c r="K3759" s="32" t="n">
        <v>1</v>
      </c>
      <c r="L3759" s="33" t="n">
        <v>46262</v>
      </c>
      <c r="M3759" s="33" t="n">
        <v>46262</v>
      </c>
      <c r="N3759" s="16" t="s">
        <v>11865</v>
      </c>
      <c r="O3759" s="16"/>
      <c r="P3759" s="16" t="str">
        <f aca="false">IF(AND(L3759&lt;=$D$2,M3759&gt;=$C$2),"Sí","")</f>
        <v/>
      </c>
      <c r="Q3759" s="18" t="str">
        <f aca="false">IF(COUNTIF(LOOKAHEAD!$A$5:$A$604,A3759)&gt;0,"En Lookahead",IF(P3759="Sí","INCORPORAR",""))</f>
        <v/>
      </c>
    </row>
    <row r="3760" customFormat="false" ht="15" hidden="false" customHeight="false" outlineLevel="0" collapsed="false">
      <c r="A3760" s="16" t="s">
        <v>11866</v>
      </c>
      <c r="B3760" s="16" t="n">
        <v>3755</v>
      </c>
      <c r="C3760" s="16" t="s">
        <v>11867</v>
      </c>
      <c r="D3760" s="16" t="n">
        <v>7</v>
      </c>
      <c r="E3760" s="37" t="s">
        <v>10414</v>
      </c>
      <c r="F3760" s="16" t="s">
        <v>1285</v>
      </c>
      <c r="G3760" s="16" t="s">
        <v>757</v>
      </c>
      <c r="H3760" s="16" t="s">
        <v>4416</v>
      </c>
      <c r="I3760" s="16" t="s">
        <v>98</v>
      </c>
      <c r="J3760" s="16" t="s">
        <v>9999</v>
      </c>
      <c r="K3760" s="32" t="n">
        <v>1</v>
      </c>
      <c r="L3760" s="33" t="n">
        <v>46263</v>
      </c>
      <c r="M3760" s="33" t="n">
        <v>46263</v>
      </c>
      <c r="N3760" s="16" t="s">
        <v>11868</v>
      </c>
      <c r="O3760" s="16"/>
      <c r="P3760" s="16" t="str">
        <f aca="false">IF(AND(L3760&lt;=$D$2,M3760&gt;=$C$2),"Sí","")</f>
        <v/>
      </c>
      <c r="Q3760" s="18" t="str">
        <f aca="false">IF(COUNTIF(LOOKAHEAD!$A$5:$A$604,A3760)&gt;0,"En Lookahead",IF(P3760="Sí","INCORPORAR",""))</f>
        <v/>
      </c>
    </row>
    <row r="3761" customFormat="false" ht="15" hidden="false" customHeight="false" outlineLevel="0" collapsed="false">
      <c r="A3761" s="16" t="s">
        <v>11869</v>
      </c>
      <c r="B3761" s="16" t="n">
        <v>3756</v>
      </c>
      <c r="C3761" s="16" t="s">
        <v>11870</v>
      </c>
      <c r="D3761" s="16" t="n">
        <v>7</v>
      </c>
      <c r="E3761" s="37" t="s">
        <v>11596</v>
      </c>
      <c r="F3761" s="16" t="s">
        <v>1285</v>
      </c>
      <c r="G3761" s="16" t="s">
        <v>757</v>
      </c>
      <c r="H3761" s="16" t="s">
        <v>4416</v>
      </c>
      <c r="I3761" s="16" t="s">
        <v>98</v>
      </c>
      <c r="J3761" s="16" t="s">
        <v>9999</v>
      </c>
      <c r="K3761" s="32" t="n">
        <v>1</v>
      </c>
      <c r="L3761" s="33" t="n">
        <v>46264</v>
      </c>
      <c r="M3761" s="33" t="n">
        <v>46264</v>
      </c>
      <c r="N3761" s="16" t="s">
        <v>11871</v>
      </c>
      <c r="O3761" s="16"/>
      <c r="P3761" s="16" t="str">
        <f aca="false">IF(AND(L3761&lt;=$D$2,M3761&gt;=$C$2),"Sí","")</f>
        <v/>
      </c>
      <c r="Q3761" s="18" t="str">
        <f aca="false">IF(COUNTIF(LOOKAHEAD!$A$5:$A$604,A3761)&gt;0,"En Lookahead",IF(P3761="Sí","INCORPORAR",""))</f>
        <v/>
      </c>
    </row>
    <row r="3762" customFormat="false" ht="15" hidden="false" customHeight="false" outlineLevel="0" collapsed="false">
      <c r="A3762" s="16" t="s">
        <v>11872</v>
      </c>
      <c r="B3762" s="16" t="n">
        <v>3757</v>
      </c>
      <c r="C3762" s="16" t="s">
        <v>11873</v>
      </c>
      <c r="D3762" s="16" t="n">
        <v>7</v>
      </c>
      <c r="E3762" s="37" t="s">
        <v>10006</v>
      </c>
      <c r="F3762" s="16" t="s">
        <v>1285</v>
      </c>
      <c r="G3762" s="16" t="s">
        <v>757</v>
      </c>
      <c r="H3762" s="16" t="s">
        <v>4416</v>
      </c>
      <c r="I3762" s="16" t="s">
        <v>98</v>
      </c>
      <c r="J3762" s="16" t="s">
        <v>9999</v>
      </c>
      <c r="K3762" s="32" t="n">
        <v>1</v>
      </c>
      <c r="L3762" s="33" t="n">
        <v>46265</v>
      </c>
      <c r="M3762" s="33" t="n">
        <v>46265</v>
      </c>
      <c r="N3762" s="16" t="s">
        <v>11874</v>
      </c>
      <c r="O3762" s="16"/>
      <c r="P3762" s="16" t="str">
        <f aca="false">IF(AND(L3762&lt;=$D$2,M3762&gt;=$C$2),"Sí","")</f>
        <v/>
      </c>
      <c r="Q3762" s="18" t="str">
        <f aca="false">IF(COUNTIF(LOOKAHEAD!$A$5:$A$604,A3762)&gt;0,"En Lookahead",IF(P3762="Sí","INCORPORAR",""))</f>
        <v/>
      </c>
    </row>
    <row r="3763" customFormat="false" ht="15" hidden="false" customHeight="false" outlineLevel="0" collapsed="false">
      <c r="A3763" s="16" t="s">
        <v>11875</v>
      </c>
      <c r="B3763" s="16" t="n">
        <v>3758</v>
      </c>
      <c r="C3763" s="16" t="s">
        <v>11876</v>
      </c>
      <c r="D3763" s="16" t="n">
        <v>7</v>
      </c>
      <c r="E3763" s="37" t="s">
        <v>11877</v>
      </c>
      <c r="F3763" s="16" t="s">
        <v>1285</v>
      </c>
      <c r="G3763" s="16" t="s">
        <v>757</v>
      </c>
      <c r="H3763" s="16" t="s">
        <v>4416</v>
      </c>
      <c r="I3763" s="16" t="s">
        <v>98</v>
      </c>
      <c r="J3763" s="16" t="s">
        <v>9999</v>
      </c>
      <c r="K3763" s="32" t="n">
        <v>1</v>
      </c>
      <c r="L3763" s="33" t="n">
        <v>46266</v>
      </c>
      <c r="M3763" s="33" t="n">
        <v>46266</v>
      </c>
      <c r="N3763" s="16" t="s">
        <v>11878</v>
      </c>
      <c r="O3763" s="16"/>
      <c r="P3763" s="16" t="str">
        <f aca="false">IF(AND(L3763&lt;=$D$2,M3763&gt;=$C$2),"Sí","")</f>
        <v/>
      </c>
      <c r="Q3763" s="18" t="str">
        <f aca="false">IF(COUNTIF(LOOKAHEAD!$A$5:$A$604,A3763)&gt;0,"En Lookahead",IF(P3763="Sí","INCORPORAR",""))</f>
        <v/>
      </c>
    </row>
    <row r="3764" customFormat="false" ht="15" hidden="false" customHeight="false" outlineLevel="0" collapsed="false">
      <c r="A3764" s="16" t="s">
        <v>11879</v>
      </c>
      <c r="B3764" s="16" t="n">
        <v>3759</v>
      </c>
      <c r="C3764" s="16" t="s">
        <v>11880</v>
      </c>
      <c r="D3764" s="16" t="n">
        <v>7</v>
      </c>
      <c r="E3764" s="37" t="s">
        <v>10421</v>
      </c>
      <c r="F3764" s="16" t="s">
        <v>1285</v>
      </c>
      <c r="G3764" s="16" t="s">
        <v>757</v>
      </c>
      <c r="H3764" s="16" t="s">
        <v>4416</v>
      </c>
      <c r="I3764" s="16" t="s">
        <v>98</v>
      </c>
      <c r="J3764" s="16" t="s">
        <v>9999</v>
      </c>
      <c r="K3764" s="32" t="n">
        <v>1</v>
      </c>
      <c r="L3764" s="33" t="n">
        <v>46267</v>
      </c>
      <c r="M3764" s="33" t="n">
        <v>46267</v>
      </c>
      <c r="N3764" s="16" t="s">
        <v>11881</v>
      </c>
      <c r="O3764" s="16"/>
      <c r="P3764" s="16" t="str">
        <f aca="false">IF(AND(L3764&lt;=$D$2,M3764&gt;=$C$2),"Sí","")</f>
        <v/>
      </c>
      <c r="Q3764" s="18" t="str">
        <f aca="false">IF(COUNTIF(LOOKAHEAD!$A$5:$A$604,A3764)&gt;0,"En Lookahead",IF(P3764="Sí","INCORPORAR",""))</f>
        <v/>
      </c>
    </row>
    <row r="3765" customFormat="false" ht="15" hidden="false" customHeight="false" outlineLevel="0" collapsed="false">
      <c r="A3765" s="16" t="s">
        <v>11882</v>
      </c>
      <c r="B3765" s="16" t="n">
        <v>3760</v>
      </c>
      <c r="C3765" s="16" t="s">
        <v>11883</v>
      </c>
      <c r="D3765" s="16" t="n">
        <v>7</v>
      </c>
      <c r="E3765" s="37" t="s">
        <v>10010</v>
      </c>
      <c r="F3765" s="16" t="s">
        <v>1285</v>
      </c>
      <c r="G3765" s="16" t="s">
        <v>757</v>
      </c>
      <c r="H3765" s="16" t="s">
        <v>4416</v>
      </c>
      <c r="I3765" s="16" t="s">
        <v>98</v>
      </c>
      <c r="J3765" s="16" t="s">
        <v>9999</v>
      </c>
      <c r="K3765" s="32" t="n">
        <v>1</v>
      </c>
      <c r="L3765" s="33" t="n">
        <v>46268</v>
      </c>
      <c r="M3765" s="33" t="n">
        <v>46268</v>
      </c>
      <c r="N3765" s="16" t="s">
        <v>11884</v>
      </c>
      <c r="O3765" s="16"/>
      <c r="P3765" s="16" t="str">
        <f aca="false">IF(AND(L3765&lt;=$D$2,M3765&gt;=$C$2),"Sí","")</f>
        <v/>
      </c>
      <c r="Q3765" s="18" t="str">
        <f aca="false">IF(COUNTIF(LOOKAHEAD!$A$5:$A$604,A3765)&gt;0,"En Lookahead",IF(P3765="Sí","INCORPORAR",""))</f>
        <v/>
      </c>
    </row>
    <row r="3766" customFormat="false" ht="15" hidden="false" customHeight="false" outlineLevel="0" collapsed="false">
      <c r="A3766" s="16" t="s">
        <v>11885</v>
      </c>
      <c r="B3766" s="16" t="n">
        <v>3761</v>
      </c>
      <c r="C3766" s="16" t="s">
        <v>11886</v>
      </c>
      <c r="D3766" s="16" t="n">
        <v>7</v>
      </c>
      <c r="E3766" s="37" t="s">
        <v>10014</v>
      </c>
      <c r="F3766" s="16" t="s">
        <v>1285</v>
      </c>
      <c r="G3766" s="16" t="s">
        <v>757</v>
      </c>
      <c r="H3766" s="16" t="s">
        <v>4416</v>
      </c>
      <c r="I3766" s="16" t="s">
        <v>98</v>
      </c>
      <c r="J3766" s="16" t="s">
        <v>9999</v>
      </c>
      <c r="K3766" s="32" t="n">
        <v>1</v>
      </c>
      <c r="L3766" s="33" t="n">
        <v>46269</v>
      </c>
      <c r="M3766" s="33" t="n">
        <v>46269</v>
      </c>
      <c r="N3766" s="16" t="s">
        <v>11887</v>
      </c>
      <c r="O3766" s="16"/>
      <c r="P3766" s="16" t="str">
        <f aca="false">IF(AND(L3766&lt;=$D$2,M3766&gt;=$C$2),"Sí","")</f>
        <v/>
      </c>
      <c r="Q3766" s="18" t="str">
        <f aca="false">IF(COUNTIF(LOOKAHEAD!$A$5:$A$604,A3766)&gt;0,"En Lookahead",IF(P3766="Sí","INCORPORAR",""))</f>
        <v/>
      </c>
    </row>
    <row r="3767" customFormat="false" ht="15" hidden="false" customHeight="false" outlineLevel="0" collapsed="false">
      <c r="A3767" s="13" t="s">
        <v>11888</v>
      </c>
      <c r="B3767" s="13" t="n">
        <v>3762</v>
      </c>
      <c r="C3767" s="13" t="s">
        <v>11889</v>
      </c>
      <c r="D3767" s="13" t="n">
        <v>6</v>
      </c>
      <c r="E3767" s="36" t="s">
        <v>10018</v>
      </c>
      <c r="F3767" s="13" t="s">
        <v>1298</v>
      </c>
      <c r="G3767" s="13" t="s">
        <v>757</v>
      </c>
      <c r="H3767" s="13" t="s">
        <v>4416</v>
      </c>
      <c r="I3767" s="13" t="s">
        <v>98</v>
      </c>
      <c r="J3767" s="13" t="s">
        <v>9975</v>
      </c>
      <c r="K3767" s="30" t="n">
        <v>2</v>
      </c>
      <c r="L3767" s="31" t="n">
        <v>46270</v>
      </c>
      <c r="M3767" s="31" t="n">
        <v>46271</v>
      </c>
      <c r="N3767" s="13"/>
      <c r="O3767" s="13"/>
      <c r="P3767" s="13"/>
      <c r="Q3767" s="13"/>
    </row>
    <row r="3768" customFormat="false" ht="15" hidden="false" customHeight="false" outlineLevel="0" collapsed="false">
      <c r="A3768" s="16" t="s">
        <v>11890</v>
      </c>
      <c r="B3768" s="16" t="n">
        <v>3763</v>
      </c>
      <c r="C3768" s="16" t="s">
        <v>11891</v>
      </c>
      <c r="D3768" s="16" t="n">
        <v>7</v>
      </c>
      <c r="E3768" s="37" t="s">
        <v>10021</v>
      </c>
      <c r="F3768" s="16" t="s">
        <v>1285</v>
      </c>
      <c r="G3768" s="16" t="s">
        <v>757</v>
      </c>
      <c r="H3768" s="16" t="s">
        <v>4416</v>
      </c>
      <c r="I3768" s="16" t="s">
        <v>98</v>
      </c>
      <c r="J3768" s="16" t="s">
        <v>10018</v>
      </c>
      <c r="K3768" s="32" t="n">
        <v>1</v>
      </c>
      <c r="L3768" s="33" t="n">
        <v>46270</v>
      </c>
      <c r="M3768" s="33" t="n">
        <v>46270</v>
      </c>
      <c r="N3768" s="16" t="s">
        <v>11892</v>
      </c>
      <c r="O3768" s="16"/>
      <c r="P3768" s="16" t="str">
        <f aca="false">IF(AND(L3768&lt;=$D$2,M3768&gt;=$C$2),"Sí","")</f>
        <v/>
      </c>
      <c r="Q3768" s="18" t="str">
        <f aca="false">IF(COUNTIF(LOOKAHEAD!$A$5:$A$604,A3768)&gt;0,"En Lookahead",IF(P3768="Sí","INCORPORAR",""))</f>
        <v/>
      </c>
    </row>
    <row r="3769" customFormat="false" ht="15" hidden="false" customHeight="false" outlineLevel="0" collapsed="false">
      <c r="A3769" s="16" t="s">
        <v>11893</v>
      </c>
      <c r="B3769" s="16" t="n">
        <v>3764</v>
      </c>
      <c r="C3769" s="16" t="s">
        <v>11894</v>
      </c>
      <c r="D3769" s="16" t="n">
        <v>7</v>
      </c>
      <c r="E3769" s="37" t="s">
        <v>10847</v>
      </c>
      <c r="F3769" s="16" t="s">
        <v>1285</v>
      </c>
      <c r="G3769" s="16" t="s">
        <v>757</v>
      </c>
      <c r="H3769" s="16" t="s">
        <v>4416</v>
      </c>
      <c r="I3769" s="16" t="s">
        <v>98</v>
      </c>
      <c r="J3769" s="16" t="s">
        <v>10018</v>
      </c>
      <c r="K3769" s="32" t="n">
        <v>1</v>
      </c>
      <c r="L3769" s="33" t="n">
        <v>46271</v>
      </c>
      <c r="M3769" s="33" t="n">
        <v>46271</v>
      </c>
      <c r="N3769" s="16" t="s">
        <v>11895</v>
      </c>
      <c r="O3769" s="16"/>
      <c r="P3769" s="16" t="str">
        <f aca="false">IF(AND(L3769&lt;=$D$2,M3769&gt;=$C$2),"Sí","")</f>
        <v/>
      </c>
      <c r="Q3769" s="18" t="str">
        <f aca="false">IF(COUNTIF(LOOKAHEAD!$A$5:$A$604,A3769)&gt;0,"En Lookahead",IF(P3769="Sí","INCORPORAR",""))</f>
        <v/>
      </c>
    </row>
    <row r="3770" customFormat="false" ht="15" hidden="false" customHeight="false" outlineLevel="0" collapsed="false">
      <c r="A3770" s="13" t="s">
        <v>11896</v>
      </c>
      <c r="B3770" s="13" t="n">
        <v>3765</v>
      </c>
      <c r="C3770" s="13" t="s">
        <v>11897</v>
      </c>
      <c r="D3770" s="13" t="n">
        <v>6</v>
      </c>
      <c r="E3770" s="36" t="s">
        <v>10025</v>
      </c>
      <c r="F3770" s="13" t="s">
        <v>1298</v>
      </c>
      <c r="G3770" s="13" t="s">
        <v>757</v>
      </c>
      <c r="H3770" s="13" t="s">
        <v>4416</v>
      </c>
      <c r="I3770" s="13" t="s">
        <v>98</v>
      </c>
      <c r="J3770" s="13" t="s">
        <v>9975</v>
      </c>
      <c r="K3770" s="30" t="n">
        <v>1</v>
      </c>
      <c r="L3770" s="31" t="n">
        <v>46272</v>
      </c>
      <c r="M3770" s="31" t="n">
        <v>46272</v>
      </c>
      <c r="N3770" s="13"/>
      <c r="O3770" s="13"/>
      <c r="P3770" s="13"/>
      <c r="Q3770" s="13"/>
    </row>
    <row r="3771" customFormat="false" ht="15" hidden="false" customHeight="false" outlineLevel="0" collapsed="false">
      <c r="A3771" s="16" t="s">
        <v>11898</v>
      </c>
      <c r="B3771" s="16" t="n">
        <v>3766</v>
      </c>
      <c r="C3771" s="16" t="s">
        <v>11899</v>
      </c>
      <c r="D3771" s="16" t="n">
        <v>7</v>
      </c>
      <c r="E3771" s="37" t="s">
        <v>10028</v>
      </c>
      <c r="F3771" s="16" t="s">
        <v>1285</v>
      </c>
      <c r="G3771" s="16" t="s">
        <v>757</v>
      </c>
      <c r="H3771" s="16" t="s">
        <v>4416</v>
      </c>
      <c r="I3771" s="16" t="s">
        <v>98</v>
      </c>
      <c r="J3771" s="16" t="s">
        <v>10025</v>
      </c>
      <c r="K3771" s="32" t="n">
        <v>1</v>
      </c>
      <c r="L3771" s="33" t="n">
        <v>46272</v>
      </c>
      <c r="M3771" s="33" t="n">
        <v>46272</v>
      </c>
      <c r="N3771" s="16" t="s">
        <v>11900</v>
      </c>
      <c r="O3771" s="16"/>
      <c r="P3771" s="16" t="str">
        <f aca="false">IF(AND(L3771&lt;=$D$2,M3771&gt;=$C$2),"Sí","")</f>
        <v/>
      </c>
      <c r="Q3771" s="18" t="str">
        <f aca="false">IF(COUNTIF(LOOKAHEAD!$A$5:$A$604,A3771)&gt;0,"En Lookahead",IF(P3771="Sí","INCORPORAR",""))</f>
        <v/>
      </c>
    </row>
    <row r="3772" customFormat="false" ht="15" hidden="false" customHeight="false" outlineLevel="0" collapsed="false">
      <c r="A3772" s="13" t="s">
        <v>11901</v>
      </c>
      <c r="B3772" s="13" t="n">
        <v>3767</v>
      </c>
      <c r="C3772" s="13" t="s">
        <v>11902</v>
      </c>
      <c r="D3772" s="13" t="n">
        <v>5</v>
      </c>
      <c r="E3772" s="34" t="s">
        <v>10032</v>
      </c>
      <c r="F3772" s="13" t="s">
        <v>1298</v>
      </c>
      <c r="G3772" s="13" t="s">
        <v>757</v>
      </c>
      <c r="H3772" s="13" t="s">
        <v>4416</v>
      </c>
      <c r="I3772" s="13" t="s">
        <v>98</v>
      </c>
      <c r="J3772" s="13" t="s">
        <v>4416</v>
      </c>
      <c r="K3772" s="30" t="n">
        <v>12</v>
      </c>
      <c r="L3772" s="31" t="n">
        <v>46273</v>
      </c>
      <c r="M3772" s="31" t="n">
        <v>46284</v>
      </c>
      <c r="N3772" s="13"/>
      <c r="O3772" s="13"/>
      <c r="P3772" s="13"/>
      <c r="Q3772" s="13"/>
    </row>
    <row r="3773" customFormat="false" ht="15" hidden="false" customHeight="false" outlineLevel="0" collapsed="false">
      <c r="A3773" s="13" t="s">
        <v>11903</v>
      </c>
      <c r="B3773" s="13" t="n">
        <v>3768</v>
      </c>
      <c r="C3773" s="13" t="s">
        <v>11904</v>
      </c>
      <c r="D3773" s="13" t="n">
        <v>6</v>
      </c>
      <c r="E3773" s="36" t="s">
        <v>10035</v>
      </c>
      <c r="F3773" s="13" t="s">
        <v>1298</v>
      </c>
      <c r="G3773" s="13" t="s">
        <v>757</v>
      </c>
      <c r="H3773" s="13" t="s">
        <v>4416</v>
      </c>
      <c r="I3773" s="13" t="s">
        <v>98</v>
      </c>
      <c r="J3773" s="13" t="s">
        <v>10032</v>
      </c>
      <c r="K3773" s="30" t="n">
        <v>1</v>
      </c>
      <c r="L3773" s="31" t="n">
        <v>46273</v>
      </c>
      <c r="M3773" s="31" t="n">
        <v>46273</v>
      </c>
      <c r="N3773" s="13"/>
      <c r="O3773" s="13"/>
      <c r="P3773" s="13"/>
      <c r="Q3773" s="13"/>
    </row>
    <row r="3774" customFormat="false" ht="15" hidden="false" customHeight="false" outlineLevel="0" collapsed="false">
      <c r="A3774" s="16" t="s">
        <v>11905</v>
      </c>
      <c r="B3774" s="16" t="n">
        <v>3769</v>
      </c>
      <c r="C3774" s="16" t="s">
        <v>11906</v>
      </c>
      <c r="D3774" s="16" t="n">
        <v>7</v>
      </c>
      <c r="E3774" s="37" t="s">
        <v>10038</v>
      </c>
      <c r="F3774" s="16" t="s">
        <v>1285</v>
      </c>
      <c r="G3774" s="16" t="s">
        <v>757</v>
      </c>
      <c r="H3774" s="16" t="s">
        <v>4416</v>
      </c>
      <c r="I3774" s="16" t="s">
        <v>98</v>
      </c>
      <c r="J3774" s="16" t="s">
        <v>10035</v>
      </c>
      <c r="K3774" s="32" t="n">
        <v>1</v>
      </c>
      <c r="L3774" s="33" t="n">
        <v>46273</v>
      </c>
      <c r="M3774" s="33" t="n">
        <v>46273</v>
      </c>
      <c r="N3774" s="16" t="s">
        <v>11819</v>
      </c>
      <c r="O3774" s="16"/>
      <c r="P3774" s="16" t="str">
        <f aca="false">IF(AND(L3774&lt;=$D$2,M3774&gt;=$C$2),"Sí","")</f>
        <v/>
      </c>
      <c r="Q3774" s="18" t="str">
        <f aca="false">IF(COUNTIF(LOOKAHEAD!$A$5:$A$604,A3774)&gt;0,"En Lookahead",IF(P3774="Sí","INCORPORAR",""))</f>
        <v/>
      </c>
    </row>
    <row r="3775" customFormat="false" ht="15" hidden="false" customHeight="false" outlineLevel="0" collapsed="false">
      <c r="A3775" s="13" t="s">
        <v>11907</v>
      </c>
      <c r="B3775" s="13" t="n">
        <v>3770</v>
      </c>
      <c r="C3775" s="13" t="s">
        <v>11908</v>
      </c>
      <c r="D3775" s="13" t="n">
        <v>6</v>
      </c>
      <c r="E3775" s="36" t="s">
        <v>1534</v>
      </c>
      <c r="F3775" s="13" t="s">
        <v>1298</v>
      </c>
      <c r="G3775" s="13" t="s">
        <v>757</v>
      </c>
      <c r="H3775" s="13" t="s">
        <v>4416</v>
      </c>
      <c r="I3775" s="13" t="s">
        <v>98</v>
      </c>
      <c r="J3775" s="13" t="s">
        <v>10032</v>
      </c>
      <c r="K3775" s="30" t="n">
        <v>11</v>
      </c>
      <c r="L3775" s="31" t="n">
        <v>46274</v>
      </c>
      <c r="M3775" s="31" t="n">
        <v>46284</v>
      </c>
      <c r="N3775" s="13"/>
      <c r="O3775" s="13"/>
      <c r="P3775" s="13"/>
      <c r="Q3775" s="13"/>
    </row>
    <row r="3776" customFormat="false" ht="15" hidden="false" customHeight="false" outlineLevel="0" collapsed="false">
      <c r="A3776" s="16" t="s">
        <v>11909</v>
      </c>
      <c r="B3776" s="16" t="n">
        <v>3771</v>
      </c>
      <c r="C3776" s="16" t="s">
        <v>11910</v>
      </c>
      <c r="D3776" s="16" t="n">
        <v>7</v>
      </c>
      <c r="E3776" s="37" t="s">
        <v>10043</v>
      </c>
      <c r="F3776" s="16" t="s">
        <v>1285</v>
      </c>
      <c r="G3776" s="16" t="s">
        <v>757</v>
      </c>
      <c r="H3776" s="16" t="s">
        <v>4416</v>
      </c>
      <c r="I3776" s="16" t="s">
        <v>98</v>
      </c>
      <c r="J3776" s="16" t="s">
        <v>1534</v>
      </c>
      <c r="K3776" s="32" t="n">
        <v>1</v>
      </c>
      <c r="L3776" s="33" t="n">
        <v>46274</v>
      </c>
      <c r="M3776" s="33" t="n">
        <v>46274</v>
      </c>
      <c r="N3776" s="16" t="s">
        <v>11911</v>
      </c>
      <c r="O3776" s="16"/>
      <c r="P3776" s="16" t="str">
        <f aca="false">IF(AND(L3776&lt;=$D$2,M3776&gt;=$C$2),"Sí","")</f>
        <v/>
      </c>
      <c r="Q3776" s="18" t="str">
        <f aca="false">IF(COUNTIF(LOOKAHEAD!$A$5:$A$604,A3776)&gt;0,"En Lookahead",IF(P3776="Sí","INCORPORAR",""))</f>
        <v/>
      </c>
    </row>
    <row r="3777" customFormat="false" ht="15" hidden="false" customHeight="false" outlineLevel="0" collapsed="false">
      <c r="A3777" s="16" t="s">
        <v>11912</v>
      </c>
      <c r="B3777" s="16" t="n">
        <v>3772</v>
      </c>
      <c r="C3777" s="16" t="s">
        <v>11913</v>
      </c>
      <c r="D3777" s="16" t="n">
        <v>7</v>
      </c>
      <c r="E3777" s="37" t="s">
        <v>10047</v>
      </c>
      <c r="F3777" s="16" t="s">
        <v>1285</v>
      </c>
      <c r="G3777" s="16" t="s">
        <v>757</v>
      </c>
      <c r="H3777" s="16" t="s">
        <v>4416</v>
      </c>
      <c r="I3777" s="16" t="s">
        <v>98</v>
      </c>
      <c r="J3777" s="16" t="s">
        <v>1534</v>
      </c>
      <c r="K3777" s="32" t="n">
        <v>1</v>
      </c>
      <c r="L3777" s="33" t="n">
        <v>46275</v>
      </c>
      <c r="M3777" s="33" t="n">
        <v>46275</v>
      </c>
      <c r="N3777" s="16" t="s">
        <v>11914</v>
      </c>
      <c r="O3777" s="16"/>
      <c r="P3777" s="16" t="str">
        <f aca="false">IF(AND(L3777&lt;=$D$2,M3777&gt;=$C$2),"Sí","")</f>
        <v/>
      </c>
      <c r="Q3777" s="18" t="str">
        <f aca="false">IF(COUNTIF(LOOKAHEAD!$A$5:$A$604,A3777)&gt;0,"En Lookahead",IF(P3777="Sí","INCORPORAR",""))</f>
        <v/>
      </c>
    </row>
    <row r="3778" customFormat="false" ht="15" hidden="false" customHeight="false" outlineLevel="0" collapsed="false">
      <c r="A3778" s="16" t="s">
        <v>11915</v>
      </c>
      <c r="B3778" s="16" t="n">
        <v>3773</v>
      </c>
      <c r="C3778" s="16" t="s">
        <v>11916</v>
      </c>
      <c r="D3778" s="16" t="n">
        <v>7</v>
      </c>
      <c r="E3778" s="37" t="s">
        <v>10051</v>
      </c>
      <c r="F3778" s="16" t="s">
        <v>1285</v>
      </c>
      <c r="G3778" s="16" t="s">
        <v>757</v>
      </c>
      <c r="H3778" s="16" t="s">
        <v>4416</v>
      </c>
      <c r="I3778" s="16" t="s">
        <v>98</v>
      </c>
      <c r="J3778" s="16" t="s">
        <v>1534</v>
      </c>
      <c r="K3778" s="32" t="n">
        <v>1</v>
      </c>
      <c r="L3778" s="33" t="n">
        <v>46276</v>
      </c>
      <c r="M3778" s="33" t="n">
        <v>46276</v>
      </c>
      <c r="N3778" s="16" t="s">
        <v>11917</v>
      </c>
      <c r="O3778" s="16"/>
      <c r="P3778" s="16" t="str">
        <f aca="false">IF(AND(L3778&lt;=$D$2,M3778&gt;=$C$2),"Sí","")</f>
        <v/>
      </c>
      <c r="Q3778" s="18" t="str">
        <f aca="false">IF(COUNTIF(LOOKAHEAD!$A$5:$A$604,A3778)&gt;0,"En Lookahead",IF(P3778="Sí","INCORPORAR",""))</f>
        <v/>
      </c>
    </row>
    <row r="3779" customFormat="false" ht="15" hidden="false" customHeight="false" outlineLevel="0" collapsed="false">
      <c r="A3779" s="16" t="s">
        <v>11918</v>
      </c>
      <c r="B3779" s="16" t="n">
        <v>3774</v>
      </c>
      <c r="C3779" s="16" t="s">
        <v>11919</v>
      </c>
      <c r="D3779" s="16" t="n">
        <v>7</v>
      </c>
      <c r="E3779" s="37" t="s">
        <v>10055</v>
      </c>
      <c r="F3779" s="16" t="s">
        <v>1285</v>
      </c>
      <c r="G3779" s="16" t="s">
        <v>757</v>
      </c>
      <c r="H3779" s="16" t="s">
        <v>4416</v>
      </c>
      <c r="I3779" s="16" t="s">
        <v>98</v>
      </c>
      <c r="J3779" s="16" t="s">
        <v>1534</v>
      </c>
      <c r="K3779" s="32" t="n">
        <v>1</v>
      </c>
      <c r="L3779" s="33" t="n">
        <v>46277</v>
      </c>
      <c r="M3779" s="33" t="n">
        <v>46277</v>
      </c>
      <c r="N3779" s="16" t="s">
        <v>11920</v>
      </c>
      <c r="O3779" s="16"/>
      <c r="P3779" s="16" t="str">
        <f aca="false">IF(AND(L3779&lt;=$D$2,M3779&gt;=$C$2),"Sí","")</f>
        <v/>
      </c>
      <c r="Q3779" s="18" t="str">
        <f aca="false">IF(COUNTIF(LOOKAHEAD!$A$5:$A$604,A3779)&gt;0,"En Lookahead",IF(P3779="Sí","INCORPORAR",""))</f>
        <v/>
      </c>
    </row>
    <row r="3780" customFormat="false" ht="15" hidden="false" customHeight="false" outlineLevel="0" collapsed="false">
      <c r="A3780" s="16" t="s">
        <v>11921</v>
      </c>
      <c r="B3780" s="16" t="n">
        <v>3775</v>
      </c>
      <c r="C3780" s="16" t="s">
        <v>11922</v>
      </c>
      <c r="D3780" s="16" t="n">
        <v>7</v>
      </c>
      <c r="E3780" s="37" t="s">
        <v>10059</v>
      </c>
      <c r="F3780" s="16" t="s">
        <v>1285</v>
      </c>
      <c r="G3780" s="16" t="s">
        <v>757</v>
      </c>
      <c r="H3780" s="16" t="s">
        <v>4416</v>
      </c>
      <c r="I3780" s="16" t="s">
        <v>98</v>
      </c>
      <c r="J3780" s="16" t="s">
        <v>1534</v>
      </c>
      <c r="K3780" s="32" t="n">
        <v>1</v>
      </c>
      <c r="L3780" s="33" t="n">
        <v>46282</v>
      </c>
      <c r="M3780" s="33" t="n">
        <v>46282</v>
      </c>
      <c r="N3780" s="16" t="s">
        <v>11923</v>
      </c>
      <c r="O3780" s="16"/>
      <c r="P3780" s="16" t="str">
        <f aca="false">IF(AND(L3780&lt;=$D$2,M3780&gt;=$C$2),"Sí","")</f>
        <v/>
      </c>
      <c r="Q3780" s="18" t="str">
        <f aca="false">IF(COUNTIF(LOOKAHEAD!$A$5:$A$604,A3780)&gt;0,"En Lookahead",IF(P3780="Sí","INCORPORAR",""))</f>
        <v/>
      </c>
    </row>
    <row r="3781" customFormat="false" ht="15" hidden="false" customHeight="false" outlineLevel="0" collapsed="false">
      <c r="A3781" s="16" t="s">
        <v>11924</v>
      </c>
      <c r="B3781" s="16" t="n">
        <v>3776</v>
      </c>
      <c r="C3781" s="16" t="s">
        <v>11925</v>
      </c>
      <c r="D3781" s="16" t="n">
        <v>7</v>
      </c>
      <c r="E3781" s="37" t="s">
        <v>10063</v>
      </c>
      <c r="F3781" s="16" t="s">
        <v>1285</v>
      </c>
      <c r="G3781" s="16" t="s">
        <v>757</v>
      </c>
      <c r="H3781" s="16" t="s">
        <v>4416</v>
      </c>
      <c r="I3781" s="16" t="s">
        <v>98</v>
      </c>
      <c r="J3781" s="16" t="s">
        <v>1534</v>
      </c>
      <c r="K3781" s="32" t="n">
        <v>1</v>
      </c>
      <c r="L3781" s="33" t="n">
        <v>46283</v>
      </c>
      <c r="M3781" s="33" t="n">
        <v>46283</v>
      </c>
      <c r="N3781" s="16" t="s">
        <v>11926</v>
      </c>
      <c r="O3781" s="16"/>
      <c r="P3781" s="16" t="str">
        <f aca="false">IF(AND(L3781&lt;=$D$2,M3781&gt;=$C$2),"Sí","")</f>
        <v/>
      </c>
      <c r="Q3781" s="18" t="str">
        <f aca="false">IF(COUNTIF(LOOKAHEAD!$A$5:$A$604,A3781)&gt;0,"En Lookahead",IF(P3781="Sí","INCORPORAR",""))</f>
        <v/>
      </c>
    </row>
    <row r="3782" customFormat="false" ht="15" hidden="false" customHeight="false" outlineLevel="0" collapsed="false">
      <c r="A3782" s="16" t="s">
        <v>11927</v>
      </c>
      <c r="B3782" s="16" t="n">
        <v>3777</v>
      </c>
      <c r="C3782" s="16" t="s">
        <v>11928</v>
      </c>
      <c r="D3782" s="16" t="n">
        <v>7</v>
      </c>
      <c r="E3782" s="37" t="s">
        <v>1557</v>
      </c>
      <c r="F3782" s="16" t="s">
        <v>1285</v>
      </c>
      <c r="G3782" s="16" t="s">
        <v>757</v>
      </c>
      <c r="H3782" s="16" t="s">
        <v>4416</v>
      </c>
      <c r="I3782" s="16" t="s">
        <v>98</v>
      </c>
      <c r="J3782" s="16" t="s">
        <v>1534</v>
      </c>
      <c r="K3782" s="32" t="n">
        <v>1</v>
      </c>
      <c r="L3782" s="33" t="n">
        <v>46282</v>
      </c>
      <c r="M3782" s="33" t="n">
        <v>46282</v>
      </c>
      <c r="N3782" s="16" t="s">
        <v>11929</v>
      </c>
      <c r="O3782" s="16"/>
      <c r="P3782" s="16" t="str">
        <f aca="false">IF(AND(L3782&lt;=$D$2,M3782&gt;=$C$2),"Sí","")</f>
        <v/>
      </c>
      <c r="Q3782" s="18" t="str">
        <f aca="false">IF(COUNTIF(LOOKAHEAD!$A$5:$A$604,A3782)&gt;0,"En Lookahead",IF(P3782="Sí","INCORPORAR",""))</f>
        <v/>
      </c>
    </row>
    <row r="3783" customFormat="false" ht="15" hidden="false" customHeight="false" outlineLevel="0" collapsed="false">
      <c r="A3783" s="16" t="s">
        <v>11930</v>
      </c>
      <c r="B3783" s="16" t="n">
        <v>3778</v>
      </c>
      <c r="C3783" s="16" t="s">
        <v>11931</v>
      </c>
      <c r="D3783" s="16" t="n">
        <v>7</v>
      </c>
      <c r="E3783" s="37" t="s">
        <v>10069</v>
      </c>
      <c r="F3783" s="16" t="s">
        <v>1285</v>
      </c>
      <c r="G3783" s="16" t="s">
        <v>757</v>
      </c>
      <c r="H3783" s="16" t="s">
        <v>4416</v>
      </c>
      <c r="I3783" s="16" t="s">
        <v>98</v>
      </c>
      <c r="J3783" s="16" t="s">
        <v>1534</v>
      </c>
      <c r="K3783" s="32" t="n">
        <v>1</v>
      </c>
      <c r="L3783" s="33" t="n">
        <v>46284</v>
      </c>
      <c r="M3783" s="33" t="n">
        <v>46284</v>
      </c>
      <c r="N3783" s="16" t="s">
        <v>11932</v>
      </c>
      <c r="O3783" s="16"/>
      <c r="P3783" s="16" t="str">
        <f aca="false">IF(AND(L3783&lt;=$D$2,M3783&gt;=$C$2),"Sí","")</f>
        <v/>
      </c>
      <c r="Q3783" s="18" t="str">
        <f aca="false">IF(COUNTIF(LOOKAHEAD!$A$5:$A$604,A3783)&gt;0,"En Lookahead",IF(P3783="Sí","INCORPORAR",""))</f>
        <v/>
      </c>
    </row>
    <row r="3784" customFormat="false" ht="15" hidden="false" customHeight="false" outlineLevel="0" collapsed="false">
      <c r="A3784" s="13" t="s">
        <v>11933</v>
      </c>
      <c r="B3784" s="13" t="n">
        <v>3779</v>
      </c>
      <c r="C3784" s="13" t="s">
        <v>11934</v>
      </c>
      <c r="D3784" s="13" t="n">
        <v>6</v>
      </c>
      <c r="E3784" s="36" t="s">
        <v>10072</v>
      </c>
      <c r="F3784" s="13" t="s">
        <v>1298</v>
      </c>
      <c r="G3784" s="13" t="s">
        <v>757</v>
      </c>
      <c r="H3784" s="13" t="s">
        <v>4416</v>
      </c>
      <c r="I3784" s="13" t="s">
        <v>98</v>
      </c>
      <c r="J3784" s="13" t="s">
        <v>10032</v>
      </c>
      <c r="K3784" s="30" t="n">
        <v>1</v>
      </c>
      <c r="L3784" s="31" t="n">
        <v>46277</v>
      </c>
      <c r="M3784" s="31" t="n">
        <v>46277</v>
      </c>
      <c r="N3784" s="13"/>
      <c r="O3784" s="13"/>
      <c r="P3784" s="13"/>
      <c r="Q3784" s="13"/>
    </row>
    <row r="3785" customFormat="false" ht="15" hidden="false" customHeight="false" outlineLevel="0" collapsed="false">
      <c r="A3785" s="16" t="s">
        <v>11935</v>
      </c>
      <c r="B3785" s="16" t="n">
        <v>3780</v>
      </c>
      <c r="C3785" s="16" t="s">
        <v>11936</v>
      </c>
      <c r="D3785" s="16" t="n">
        <v>7</v>
      </c>
      <c r="E3785" s="37" t="s">
        <v>10075</v>
      </c>
      <c r="F3785" s="16" t="s">
        <v>1285</v>
      </c>
      <c r="G3785" s="16" t="s">
        <v>757</v>
      </c>
      <c r="H3785" s="16" t="s">
        <v>4416</v>
      </c>
      <c r="I3785" s="16" t="s">
        <v>98</v>
      </c>
      <c r="J3785" s="16" t="s">
        <v>10072</v>
      </c>
      <c r="K3785" s="32" t="n">
        <v>1</v>
      </c>
      <c r="L3785" s="33" t="n">
        <v>46277</v>
      </c>
      <c r="M3785" s="33" t="n">
        <v>46277</v>
      </c>
      <c r="N3785" s="16" t="s">
        <v>11920</v>
      </c>
      <c r="O3785" s="16"/>
      <c r="P3785" s="16" t="str">
        <f aca="false">IF(AND(L3785&lt;=$D$2,M3785&gt;=$C$2),"Sí","")</f>
        <v/>
      </c>
      <c r="Q3785" s="18" t="str">
        <f aca="false">IF(COUNTIF(LOOKAHEAD!$A$5:$A$604,A3785)&gt;0,"En Lookahead",IF(P3785="Sí","INCORPORAR",""))</f>
        <v/>
      </c>
    </row>
    <row r="3786" customFormat="false" ht="15" hidden="false" customHeight="false" outlineLevel="0" collapsed="false">
      <c r="A3786" s="13" t="s">
        <v>11937</v>
      </c>
      <c r="B3786" s="13" t="n">
        <v>3781</v>
      </c>
      <c r="C3786" s="13" t="s">
        <v>11938</v>
      </c>
      <c r="D3786" s="13" t="n">
        <v>6</v>
      </c>
      <c r="E3786" s="36" t="s">
        <v>10079</v>
      </c>
      <c r="F3786" s="13" t="s">
        <v>1298</v>
      </c>
      <c r="G3786" s="13" t="s">
        <v>757</v>
      </c>
      <c r="H3786" s="13" t="s">
        <v>4416</v>
      </c>
      <c r="I3786" s="13" t="s">
        <v>98</v>
      </c>
      <c r="J3786" s="13" t="s">
        <v>10032</v>
      </c>
      <c r="K3786" s="30" t="n">
        <v>3</v>
      </c>
      <c r="L3786" s="31" t="n">
        <v>46278</v>
      </c>
      <c r="M3786" s="31" t="n">
        <v>46280</v>
      </c>
      <c r="N3786" s="13"/>
      <c r="O3786" s="13"/>
      <c r="P3786" s="13"/>
      <c r="Q3786" s="13"/>
    </row>
    <row r="3787" customFormat="false" ht="15" hidden="false" customHeight="false" outlineLevel="0" collapsed="false">
      <c r="A3787" s="16" t="s">
        <v>11939</v>
      </c>
      <c r="B3787" s="16" t="n">
        <v>3782</v>
      </c>
      <c r="C3787" s="16" t="s">
        <v>11940</v>
      </c>
      <c r="D3787" s="16" t="n">
        <v>7</v>
      </c>
      <c r="E3787" s="37" t="s">
        <v>10086</v>
      </c>
      <c r="F3787" s="16" t="s">
        <v>1285</v>
      </c>
      <c r="G3787" s="16" t="s">
        <v>757</v>
      </c>
      <c r="H3787" s="16" t="s">
        <v>4416</v>
      </c>
      <c r="I3787" s="16" t="s">
        <v>98</v>
      </c>
      <c r="J3787" s="16" t="s">
        <v>10079</v>
      </c>
      <c r="K3787" s="32" t="n">
        <v>1</v>
      </c>
      <c r="L3787" s="33" t="n">
        <v>46278</v>
      </c>
      <c r="M3787" s="33" t="n">
        <v>46278</v>
      </c>
      <c r="N3787" s="16" t="s">
        <v>11941</v>
      </c>
      <c r="O3787" s="16"/>
      <c r="P3787" s="16" t="str">
        <f aca="false">IF(AND(L3787&lt;=$D$2,M3787&gt;=$C$2),"Sí","")</f>
        <v/>
      </c>
      <c r="Q3787" s="18" t="str">
        <f aca="false">IF(COUNTIF(LOOKAHEAD!$A$5:$A$604,A3787)&gt;0,"En Lookahead",IF(P3787="Sí","INCORPORAR",""))</f>
        <v/>
      </c>
    </row>
    <row r="3788" customFormat="false" ht="15" hidden="false" customHeight="false" outlineLevel="0" collapsed="false">
      <c r="A3788" s="16" t="s">
        <v>11942</v>
      </c>
      <c r="B3788" s="16" t="n">
        <v>3783</v>
      </c>
      <c r="C3788" s="16" t="s">
        <v>11943</v>
      </c>
      <c r="D3788" s="16" t="n">
        <v>7</v>
      </c>
      <c r="E3788" s="37" t="s">
        <v>10090</v>
      </c>
      <c r="F3788" s="16" t="s">
        <v>1285</v>
      </c>
      <c r="G3788" s="16" t="s">
        <v>757</v>
      </c>
      <c r="H3788" s="16" t="s">
        <v>4416</v>
      </c>
      <c r="I3788" s="16" t="s">
        <v>98</v>
      </c>
      <c r="J3788" s="16" t="s">
        <v>10079</v>
      </c>
      <c r="K3788" s="32" t="n">
        <v>1</v>
      </c>
      <c r="L3788" s="33" t="n">
        <v>46279</v>
      </c>
      <c r="M3788" s="33" t="n">
        <v>46279</v>
      </c>
      <c r="N3788" s="16" t="s">
        <v>11944</v>
      </c>
      <c r="O3788" s="16"/>
      <c r="P3788" s="16" t="str">
        <f aca="false">IF(AND(L3788&lt;=$D$2,M3788&gt;=$C$2),"Sí","")</f>
        <v/>
      </c>
      <c r="Q3788" s="18" t="str">
        <f aca="false">IF(COUNTIF(LOOKAHEAD!$A$5:$A$604,A3788)&gt;0,"En Lookahead",IF(P3788="Sí","INCORPORAR",""))</f>
        <v/>
      </c>
    </row>
    <row r="3789" customFormat="false" ht="15" hidden="false" customHeight="false" outlineLevel="0" collapsed="false">
      <c r="A3789" s="16" t="s">
        <v>11945</v>
      </c>
      <c r="B3789" s="16" t="n">
        <v>3784</v>
      </c>
      <c r="C3789" s="16" t="s">
        <v>11946</v>
      </c>
      <c r="D3789" s="16" t="n">
        <v>7</v>
      </c>
      <c r="E3789" s="37" t="s">
        <v>10212</v>
      </c>
      <c r="F3789" s="16" t="s">
        <v>1285</v>
      </c>
      <c r="G3789" s="16" t="s">
        <v>757</v>
      </c>
      <c r="H3789" s="16" t="s">
        <v>4416</v>
      </c>
      <c r="I3789" s="16" t="s">
        <v>98</v>
      </c>
      <c r="J3789" s="16" t="s">
        <v>10079</v>
      </c>
      <c r="K3789" s="32" t="n">
        <v>1</v>
      </c>
      <c r="L3789" s="33" t="n">
        <v>46280</v>
      </c>
      <c r="M3789" s="33" t="n">
        <v>46280</v>
      </c>
      <c r="N3789" s="16" t="s">
        <v>11947</v>
      </c>
      <c r="O3789" s="16"/>
      <c r="P3789" s="16" t="str">
        <f aca="false">IF(AND(L3789&lt;=$D$2,M3789&gt;=$C$2),"Sí","")</f>
        <v/>
      </c>
      <c r="Q3789" s="18" t="str">
        <f aca="false">IF(COUNTIF(LOOKAHEAD!$A$5:$A$604,A3789)&gt;0,"En Lookahead",IF(P3789="Sí","INCORPORAR",""))</f>
        <v/>
      </c>
    </row>
    <row r="3790" customFormat="false" ht="15" hidden="false" customHeight="false" outlineLevel="0" collapsed="false">
      <c r="A3790" s="13" t="s">
        <v>11948</v>
      </c>
      <c r="B3790" s="13" t="n">
        <v>3785</v>
      </c>
      <c r="C3790" s="13" t="s">
        <v>11949</v>
      </c>
      <c r="D3790" s="13" t="n">
        <v>6</v>
      </c>
      <c r="E3790" s="36" t="s">
        <v>11149</v>
      </c>
      <c r="F3790" s="13" t="s">
        <v>1298</v>
      </c>
      <c r="G3790" s="13" t="s">
        <v>757</v>
      </c>
      <c r="H3790" s="13" t="s">
        <v>4416</v>
      </c>
      <c r="I3790" s="13" t="s">
        <v>98</v>
      </c>
      <c r="J3790" s="13" t="s">
        <v>10032</v>
      </c>
      <c r="K3790" s="30" t="n">
        <v>1</v>
      </c>
      <c r="L3790" s="31" t="n">
        <v>46281</v>
      </c>
      <c r="M3790" s="31" t="n">
        <v>46281</v>
      </c>
      <c r="N3790" s="13"/>
      <c r="O3790" s="13"/>
      <c r="P3790" s="13"/>
      <c r="Q3790" s="13"/>
    </row>
    <row r="3791" customFormat="false" ht="15" hidden="false" customHeight="false" outlineLevel="0" collapsed="false">
      <c r="A3791" s="16" t="s">
        <v>11950</v>
      </c>
      <c r="B3791" s="16" t="n">
        <v>3786</v>
      </c>
      <c r="C3791" s="16" t="s">
        <v>11951</v>
      </c>
      <c r="D3791" s="16" t="n">
        <v>7</v>
      </c>
      <c r="E3791" s="37" t="s">
        <v>10125</v>
      </c>
      <c r="F3791" s="16" t="s">
        <v>1285</v>
      </c>
      <c r="G3791" s="16" t="s">
        <v>757</v>
      </c>
      <c r="H3791" s="16" t="s">
        <v>4416</v>
      </c>
      <c r="I3791" s="16" t="s">
        <v>98</v>
      </c>
      <c r="J3791" s="16" t="s">
        <v>11149</v>
      </c>
      <c r="K3791" s="32" t="n">
        <v>1</v>
      </c>
      <c r="L3791" s="33" t="n">
        <v>46281</v>
      </c>
      <c r="M3791" s="33" t="n">
        <v>46281</v>
      </c>
      <c r="N3791" s="16" t="s">
        <v>11952</v>
      </c>
      <c r="O3791" s="16"/>
      <c r="P3791" s="16" t="str">
        <f aca="false">IF(AND(L3791&lt;=$D$2,M3791&gt;=$C$2),"Sí","")</f>
        <v/>
      </c>
      <c r="Q3791" s="18" t="str">
        <f aca="false">IF(COUNTIF(LOOKAHEAD!$A$5:$A$604,A3791)&gt;0,"En Lookahead",IF(P3791="Sí","INCORPORAR",""))</f>
        <v/>
      </c>
    </row>
    <row r="3792" customFormat="false" ht="15" hidden="false" customHeight="false" outlineLevel="0" collapsed="false">
      <c r="A3792" s="13" t="s">
        <v>11953</v>
      </c>
      <c r="B3792" s="13" t="n">
        <v>3787</v>
      </c>
      <c r="C3792" s="13" t="s">
        <v>11954</v>
      </c>
      <c r="D3792" s="13" t="n">
        <v>5</v>
      </c>
      <c r="E3792" s="34" t="s">
        <v>10129</v>
      </c>
      <c r="F3792" s="13" t="s">
        <v>1298</v>
      </c>
      <c r="G3792" s="13" t="s">
        <v>757</v>
      </c>
      <c r="H3792" s="13" t="s">
        <v>4416</v>
      </c>
      <c r="I3792" s="13" t="s">
        <v>98</v>
      </c>
      <c r="J3792" s="13" t="s">
        <v>4416</v>
      </c>
      <c r="K3792" s="30" t="n">
        <v>38</v>
      </c>
      <c r="L3792" s="31" t="n">
        <v>46273</v>
      </c>
      <c r="M3792" s="31" t="n">
        <v>46310</v>
      </c>
      <c r="N3792" s="13"/>
      <c r="O3792" s="13"/>
      <c r="P3792" s="13"/>
      <c r="Q3792" s="13"/>
    </row>
    <row r="3793" customFormat="false" ht="15" hidden="false" customHeight="false" outlineLevel="0" collapsed="false">
      <c r="A3793" s="13" t="s">
        <v>11955</v>
      </c>
      <c r="B3793" s="13" t="n">
        <v>3788</v>
      </c>
      <c r="C3793" s="13" t="s">
        <v>11956</v>
      </c>
      <c r="D3793" s="13" t="n">
        <v>6</v>
      </c>
      <c r="E3793" s="36" t="s">
        <v>10035</v>
      </c>
      <c r="F3793" s="13" t="s">
        <v>1298</v>
      </c>
      <c r="G3793" s="13" t="s">
        <v>757</v>
      </c>
      <c r="H3793" s="13" t="s">
        <v>4416</v>
      </c>
      <c r="I3793" s="13" t="s">
        <v>98</v>
      </c>
      <c r="J3793" s="13" t="s">
        <v>10129</v>
      </c>
      <c r="K3793" s="30" t="n">
        <v>1</v>
      </c>
      <c r="L3793" s="31" t="n">
        <v>46273</v>
      </c>
      <c r="M3793" s="31" t="n">
        <v>46273</v>
      </c>
      <c r="N3793" s="13"/>
      <c r="O3793" s="13"/>
      <c r="P3793" s="13"/>
      <c r="Q3793" s="13"/>
    </row>
    <row r="3794" customFormat="false" ht="15" hidden="false" customHeight="false" outlineLevel="0" collapsed="false">
      <c r="A3794" s="16" t="s">
        <v>11957</v>
      </c>
      <c r="B3794" s="16" t="n">
        <v>3789</v>
      </c>
      <c r="C3794" s="16" t="s">
        <v>11958</v>
      </c>
      <c r="D3794" s="16" t="n">
        <v>7</v>
      </c>
      <c r="E3794" s="37" t="s">
        <v>10038</v>
      </c>
      <c r="F3794" s="16" t="s">
        <v>1285</v>
      </c>
      <c r="G3794" s="16" t="s">
        <v>757</v>
      </c>
      <c r="H3794" s="16" t="s">
        <v>4416</v>
      </c>
      <c r="I3794" s="16" t="s">
        <v>98</v>
      </c>
      <c r="J3794" s="16" t="s">
        <v>10035</v>
      </c>
      <c r="K3794" s="32" t="n">
        <v>1</v>
      </c>
      <c r="L3794" s="33" t="n">
        <v>46273</v>
      </c>
      <c r="M3794" s="33" t="n">
        <v>46273</v>
      </c>
      <c r="N3794" s="16" t="s">
        <v>11819</v>
      </c>
      <c r="O3794" s="16"/>
      <c r="P3794" s="16" t="str">
        <f aca="false">IF(AND(L3794&lt;=$D$2,M3794&gt;=$C$2),"Sí","")</f>
        <v/>
      </c>
      <c r="Q3794" s="18" t="str">
        <f aca="false">IF(COUNTIF(LOOKAHEAD!$A$5:$A$604,A3794)&gt;0,"En Lookahead",IF(P3794="Sí","INCORPORAR",""))</f>
        <v/>
      </c>
    </row>
    <row r="3795" customFormat="false" ht="15" hidden="false" customHeight="false" outlineLevel="0" collapsed="false">
      <c r="A3795" s="13" t="s">
        <v>11959</v>
      </c>
      <c r="B3795" s="13" t="n">
        <v>3790</v>
      </c>
      <c r="C3795" s="13" t="s">
        <v>11960</v>
      </c>
      <c r="D3795" s="13" t="n">
        <v>6</v>
      </c>
      <c r="E3795" s="36" t="s">
        <v>1534</v>
      </c>
      <c r="F3795" s="13" t="s">
        <v>1298</v>
      </c>
      <c r="G3795" s="13" t="s">
        <v>757</v>
      </c>
      <c r="H3795" s="13" t="s">
        <v>4416</v>
      </c>
      <c r="I3795" s="13" t="s">
        <v>98</v>
      </c>
      <c r="J3795" s="13" t="s">
        <v>10129</v>
      </c>
      <c r="K3795" s="30" t="n">
        <v>27</v>
      </c>
      <c r="L3795" s="31" t="n">
        <v>46274</v>
      </c>
      <c r="M3795" s="31" t="n">
        <v>46300</v>
      </c>
      <c r="N3795" s="13"/>
      <c r="O3795" s="13"/>
      <c r="P3795" s="13"/>
      <c r="Q3795" s="13"/>
    </row>
    <row r="3796" customFormat="false" ht="15" hidden="false" customHeight="false" outlineLevel="0" collapsed="false">
      <c r="A3796" s="16" t="s">
        <v>11961</v>
      </c>
      <c r="B3796" s="16" t="n">
        <v>3791</v>
      </c>
      <c r="C3796" s="16" t="s">
        <v>11962</v>
      </c>
      <c r="D3796" s="16" t="n">
        <v>7</v>
      </c>
      <c r="E3796" s="37" t="s">
        <v>10043</v>
      </c>
      <c r="F3796" s="16" t="s">
        <v>1285</v>
      </c>
      <c r="G3796" s="16" t="s">
        <v>757</v>
      </c>
      <c r="H3796" s="16" t="s">
        <v>4416</v>
      </c>
      <c r="I3796" s="16" t="s">
        <v>98</v>
      </c>
      <c r="J3796" s="16" t="s">
        <v>1534</v>
      </c>
      <c r="K3796" s="32" t="n">
        <v>7</v>
      </c>
      <c r="L3796" s="33" t="n">
        <v>46274</v>
      </c>
      <c r="M3796" s="33" t="n">
        <v>46280</v>
      </c>
      <c r="N3796" s="16" t="s">
        <v>11963</v>
      </c>
      <c r="O3796" s="16"/>
      <c r="P3796" s="16" t="str">
        <f aca="false">IF(AND(L3796&lt;=$D$2,M3796&gt;=$C$2),"Sí","")</f>
        <v/>
      </c>
      <c r="Q3796" s="18" t="str">
        <f aca="false">IF(COUNTIF(LOOKAHEAD!$A$5:$A$604,A3796)&gt;0,"En Lookahead",IF(P3796="Sí","INCORPORAR",""))</f>
        <v/>
      </c>
    </row>
    <row r="3797" customFormat="false" ht="15" hidden="false" customHeight="false" outlineLevel="0" collapsed="false">
      <c r="A3797" s="16" t="s">
        <v>11964</v>
      </c>
      <c r="B3797" s="16" t="n">
        <v>3792</v>
      </c>
      <c r="C3797" s="16" t="s">
        <v>11965</v>
      </c>
      <c r="D3797" s="16" t="n">
        <v>7</v>
      </c>
      <c r="E3797" s="37" t="s">
        <v>10047</v>
      </c>
      <c r="F3797" s="16" t="s">
        <v>1285</v>
      </c>
      <c r="G3797" s="16" t="s">
        <v>757</v>
      </c>
      <c r="H3797" s="16" t="s">
        <v>4416</v>
      </c>
      <c r="I3797" s="16" t="s">
        <v>98</v>
      </c>
      <c r="J3797" s="16" t="s">
        <v>1534</v>
      </c>
      <c r="K3797" s="32" t="n">
        <v>1</v>
      </c>
      <c r="L3797" s="33" t="n">
        <v>46281</v>
      </c>
      <c r="M3797" s="33" t="n">
        <v>46281</v>
      </c>
      <c r="N3797" s="16" t="s">
        <v>11966</v>
      </c>
      <c r="O3797" s="16"/>
      <c r="P3797" s="16" t="str">
        <f aca="false">IF(AND(L3797&lt;=$D$2,M3797&gt;=$C$2),"Sí","")</f>
        <v/>
      </c>
      <c r="Q3797" s="18" t="str">
        <f aca="false">IF(COUNTIF(LOOKAHEAD!$A$5:$A$604,A3797)&gt;0,"En Lookahead",IF(P3797="Sí","INCORPORAR",""))</f>
        <v/>
      </c>
    </row>
    <row r="3798" customFormat="false" ht="15" hidden="false" customHeight="false" outlineLevel="0" collapsed="false">
      <c r="A3798" s="16" t="s">
        <v>11967</v>
      </c>
      <c r="B3798" s="16" t="n">
        <v>3793</v>
      </c>
      <c r="C3798" s="16" t="s">
        <v>11968</v>
      </c>
      <c r="D3798" s="16" t="n">
        <v>7</v>
      </c>
      <c r="E3798" s="37" t="s">
        <v>10051</v>
      </c>
      <c r="F3798" s="16" t="s">
        <v>1285</v>
      </c>
      <c r="G3798" s="16" t="s">
        <v>757</v>
      </c>
      <c r="H3798" s="16" t="s">
        <v>4416</v>
      </c>
      <c r="I3798" s="16" t="s">
        <v>98</v>
      </c>
      <c r="J3798" s="16" t="s">
        <v>1534</v>
      </c>
      <c r="K3798" s="32" t="n">
        <v>1</v>
      </c>
      <c r="L3798" s="33" t="n">
        <v>46282</v>
      </c>
      <c r="M3798" s="33" t="n">
        <v>46282</v>
      </c>
      <c r="N3798" s="16" t="s">
        <v>11969</v>
      </c>
      <c r="O3798" s="16"/>
      <c r="P3798" s="16" t="str">
        <f aca="false">IF(AND(L3798&lt;=$D$2,M3798&gt;=$C$2),"Sí","")</f>
        <v/>
      </c>
      <c r="Q3798" s="18" t="str">
        <f aca="false">IF(COUNTIF(LOOKAHEAD!$A$5:$A$604,A3798)&gt;0,"En Lookahead",IF(P3798="Sí","INCORPORAR",""))</f>
        <v/>
      </c>
    </row>
    <row r="3799" customFormat="false" ht="15" hidden="false" customHeight="false" outlineLevel="0" collapsed="false">
      <c r="A3799" s="16" t="s">
        <v>11970</v>
      </c>
      <c r="B3799" s="16" t="n">
        <v>3794</v>
      </c>
      <c r="C3799" s="16" t="s">
        <v>11971</v>
      </c>
      <c r="D3799" s="16" t="n">
        <v>7</v>
      </c>
      <c r="E3799" s="37" t="s">
        <v>10055</v>
      </c>
      <c r="F3799" s="16" t="s">
        <v>1285</v>
      </c>
      <c r="G3799" s="16" t="s">
        <v>757</v>
      </c>
      <c r="H3799" s="16" t="s">
        <v>4416</v>
      </c>
      <c r="I3799" s="16" t="s">
        <v>98</v>
      </c>
      <c r="J3799" s="16" t="s">
        <v>1534</v>
      </c>
      <c r="K3799" s="32" t="n">
        <v>1</v>
      </c>
      <c r="L3799" s="33" t="n">
        <v>46283</v>
      </c>
      <c r="M3799" s="33" t="n">
        <v>46283</v>
      </c>
      <c r="N3799" s="16" t="s">
        <v>11972</v>
      </c>
      <c r="O3799" s="16"/>
      <c r="P3799" s="16" t="str">
        <f aca="false">IF(AND(L3799&lt;=$D$2,M3799&gt;=$C$2),"Sí","")</f>
        <v/>
      </c>
      <c r="Q3799" s="18" t="str">
        <f aca="false">IF(COUNTIF(LOOKAHEAD!$A$5:$A$604,A3799)&gt;0,"En Lookahead",IF(P3799="Sí","INCORPORAR",""))</f>
        <v/>
      </c>
    </row>
    <row r="3800" customFormat="false" ht="15" hidden="false" customHeight="false" outlineLevel="0" collapsed="false">
      <c r="A3800" s="16" t="s">
        <v>11973</v>
      </c>
      <c r="B3800" s="16" t="n">
        <v>3795</v>
      </c>
      <c r="C3800" s="16" t="s">
        <v>11974</v>
      </c>
      <c r="D3800" s="16" t="n">
        <v>7</v>
      </c>
      <c r="E3800" s="37" t="s">
        <v>10059</v>
      </c>
      <c r="F3800" s="16" t="s">
        <v>1285</v>
      </c>
      <c r="G3800" s="16" t="s">
        <v>757</v>
      </c>
      <c r="H3800" s="16" t="s">
        <v>4416</v>
      </c>
      <c r="I3800" s="16" t="s">
        <v>98</v>
      </c>
      <c r="J3800" s="16" t="s">
        <v>1534</v>
      </c>
      <c r="K3800" s="32" t="n">
        <v>1</v>
      </c>
      <c r="L3800" s="33" t="n">
        <v>46298</v>
      </c>
      <c r="M3800" s="33" t="n">
        <v>46298</v>
      </c>
      <c r="N3800" s="16" t="s">
        <v>11975</v>
      </c>
      <c r="O3800" s="16"/>
      <c r="P3800" s="16" t="str">
        <f aca="false">IF(AND(L3800&lt;=$D$2,M3800&gt;=$C$2),"Sí","")</f>
        <v/>
      </c>
      <c r="Q3800" s="18" t="str">
        <f aca="false">IF(COUNTIF(LOOKAHEAD!$A$5:$A$604,A3800)&gt;0,"En Lookahead",IF(P3800="Sí","INCORPORAR",""))</f>
        <v/>
      </c>
    </row>
    <row r="3801" customFormat="false" ht="15" hidden="false" customHeight="false" outlineLevel="0" collapsed="false">
      <c r="A3801" s="16" t="s">
        <v>11976</v>
      </c>
      <c r="B3801" s="16" t="n">
        <v>3796</v>
      </c>
      <c r="C3801" s="16" t="s">
        <v>11977</v>
      </c>
      <c r="D3801" s="16" t="n">
        <v>7</v>
      </c>
      <c r="E3801" s="37" t="s">
        <v>10063</v>
      </c>
      <c r="F3801" s="16" t="s">
        <v>1285</v>
      </c>
      <c r="G3801" s="16" t="s">
        <v>757</v>
      </c>
      <c r="H3801" s="16" t="s">
        <v>4416</v>
      </c>
      <c r="I3801" s="16" t="s">
        <v>98</v>
      </c>
      <c r="J3801" s="16" t="s">
        <v>1534</v>
      </c>
      <c r="K3801" s="32" t="n">
        <v>1</v>
      </c>
      <c r="L3801" s="33" t="n">
        <v>46299</v>
      </c>
      <c r="M3801" s="33" t="n">
        <v>46299</v>
      </c>
      <c r="N3801" s="16" t="s">
        <v>11978</v>
      </c>
      <c r="O3801" s="16"/>
      <c r="P3801" s="16" t="str">
        <f aca="false">IF(AND(L3801&lt;=$D$2,M3801&gt;=$C$2),"Sí","")</f>
        <v/>
      </c>
      <c r="Q3801" s="18" t="str">
        <f aca="false">IF(COUNTIF(LOOKAHEAD!$A$5:$A$604,A3801)&gt;0,"En Lookahead",IF(P3801="Sí","INCORPORAR",""))</f>
        <v/>
      </c>
    </row>
    <row r="3802" customFormat="false" ht="15" hidden="false" customHeight="false" outlineLevel="0" collapsed="false">
      <c r="A3802" s="16" t="s">
        <v>11979</v>
      </c>
      <c r="B3802" s="16" t="n">
        <v>3797</v>
      </c>
      <c r="C3802" s="16" t="s">
        <v>11980</v>
      </c>
      <c r="D3802" s="16" t="n">
        <v>7</v>
      </c>
      <c r="E3802" s="37" t="s">
        <v>1557</v>
      </c>
      <c r="F3802" s="16" t="s">
        <v>1285</v>
      </c>
      <c r="G3802" s="16" t="s">
        <v>757</v>
      </c>
      <c r="H3802" s="16" t="s">
        <v>4416</v>
      </c>
      <c r="I3802" s="16" t="s">
        <v>98</v>
      </c>
      <c r="J3802" s="16" t="s">
        <v>1534</v>
      </c>
      <c r="K3802" s="32" t="n">
        <v>1</v>
      </c>
      <c r="L3802" s="33" t="n">
        <v>46298</v>
      </c>
      <c r="M3802" s="33" t="n">
        <v>46298</v>
      </c>
      <c r="N3802" s="16" t="s">
        <v>11981</v>
      </c>
      <c r="O3802" s="16"/>
      <c r="P3802" s="16" t="str">
        <f aca="false">IF(AND(L3802&lt;=$D$2,M3802&gt;=$C$2),"Sí","")</f>
        <v/>
      </c>
      <c r="Q3802" s="18" t="str">
        <f aca="false">IF(COUNTIF(LOOKAHEAD!$A$5:$A$604,A3802)&gt;0,"En Lookahead",IF(P3802="Sí","INCORPORAR",""))</f>
        <v/>
      </c>
    </row>
    <row r="3803" customFormat="false" ht="15" hidden="false" customHeight="false" outlineLevel="0" collapsed="false">
      <c r="A3803" s="16" t="s">
        <v>11982</v>
      </c>
      <c r="B3803" s="16" t="n">
        <v>3798</v>
      </c>
      <c r="C3803" s="16" t="s">
        <v>11983</v>
      </c>
      <c r="D3803" s="16" t="n">
        <v>7</v>
      </c>
      <c r="E3803" s="37" t="s">
        <v>10069</v>
      </c>
      <c r="F3803" s="16" t="s">
        <v>1285</v>
      </c>
      <c r="G3803" s="16" t="s">
        <v>757</v>
      </c>
      <c r="H3803" s="16" t="s">
        <v>4416</v>
      </c>
      <c r="I3803" s="16" t="s">
        <v>98</v>
      </c>
      <c r="J3803" s="16" t="s">
        <v>1534</v>
      </c>
      <c r="K3803" s="32" t="n">
        <v>1</v>
      </c>
      <c r="L3803" s="33" t="n">
        <v>46300</v>
      </c>
      <c r="M3803" s="33" t="n">
        <v>46300</v>
      </c>
      <c r="N3803" s="16" t="s">
        <v>11984</v>
      </c>
      <c r="O3803" s="16"/>
      <c r="P3803" s="16" t="str">
        <f aca="false">IF(AND(L3803&lt;=$D$2,M3803&gt;=$C$2),"Sí","")</f>
        <v>Sí</v>
      </c>
      <c r="Q3803" s="18" t="str">
        <f aca="false">IF(COUNTIF(LOOKAHEAD!$A$5:$A$604,A3803)&gt;0,"En Lookahead",IF(P3803="Sí","INCORPORAR",""))</f>
        <v>En Lookahead</v>
      </c>
    </row>
    <row r="3804" customFormat="false" ht="15" hidden="false" customHeight="false" outlineLevel="0" collapsed="false">
      <c r="A3804" s="13" t="s">
        <v>11985</v>
      </c>
      <c r="B3804" s="13" t="n">
        <v>3799</v>
      </c>
      <c r="C3804" s="13" t="s">
        <v>11986</v>
      </c>
      <c r="D3804" s="13" t="n">
        <v>6</v>
      </c>
      <c r="E3804" s="36" t="s">
        <v>10162</v>
      </c>
      <c r="F3804" s="13" t="s">
        <v>1298</v>
      </c>
      <c r="G3804" s="13" t="s">
        <v>757</v>
      </c>
      <c r="H3804" s="13" t="s">
        <v>4416</v>
      </c>
      <c r="I3804" s="13" t="s">
        <v>98</v>
      </c>
      <c r="J3804" s="13" t="s">
        <v>10129</v>
      </c>
      <c r="K3804" s="30" t="n">
        <v>5</v>
      </c>
      <c r="L3804" s="31" t="n">
        <v>46301</v>
      </c>
      <c r="M3804" s="31" t="n">
        <v>46305</v>
      </c>
      <c r="N3804" s="13"/>
      <c r="O3804" s="13"/>
      <c r="P3804" s="13"/>
      <c r="Q3804" s="13"/>
    </row>
    <row r="3805" customFormat="false" ht="15" hidden="false" customHeight="false" outlineLevel="0" collapsed="false">
      <c r="A3805" s="16" t="s">
        <v>11987</v>
      </c>
      <c r="B3805" s="16" t="n">
        <v>3800</v>
      </c>
      <c r="C3805" s="16" t="s">
        <v>11988</v>
      </c>
      <c r="D3805" s="16" t="n">
        <v>7</v>
      </c>
      <c r="E3805" s="37" t="s">
        <v>10165</v>
      </c>
      <c r="F3805" s="16" t="s">
        <v>1285</v>
      </c>
      <c r="G3805" s="16" t="s">
        <v>757</v>
      </c>
      <c r="H3805" s="16" t="s">
        <v>4416</v>
      </c>
      <c r="I3805" s="16" t="s">
        <v>98</v>
      </c>
      <c r="J3805" s="16" t="s">
        <v>10162</v>
      </c>
      <c r="K3805" s="32" t="n">
        <v>2</v>
      </c>
      <c r="L3805" s="33" t="n">
        <v>46301</v>
      </c>
      <c r="M3805" s="33" t="n">
        <v>46302</v>
      </c>
      <c r="N3805" s="16" t="s">
        <v>11989</v>
      </c>
      <c r="O3805" s="16"/>
      <c r="P3805" s="16" t="str">
        <f aca="false">IF(AND(L3805&lt;=$D$2,M3805&gt;=$C$2),"Sí","")</f>
        <v>Sí</v>
      </c>
      <c r="Q3805" s="18" t="str">
        <f aca="false">IF(COUNTIF(LOOKAHEAD!$A$5:$A$604,A3805)&gt;0,"En Lookahead",IF(P3805="Sí","INCORPORAR",""))</f>
        <v>En Lookahead</v>
      </c>
    </row>
    <row r="3806" customFormat="false" ht="15" hidden="false" customHeight="false" outlineLevel="0" collapsed="false">
      <c r="A3806" s="16" t="s">
        <v>11990</v>
      </c>
      <c r="B3806" s="16" t="n">
        <v>3801</v>
      </c>
      <c r="C3806" s="16" t="s">
        <v>11991</v>
      </c>
      <c r="D3806" s="16" t="n">
        <v>7</v>
      </c>
      <c r="E3806" s="37" t="s">
        <v>10169</v>
      </c>
      <c r="F3806" s="16" t="s">
        <v>1285</v>
      </c>
      <c r="G3806" s="16" t="s">
        <v>757</v>
      </c>
      <c r="H3806" s="16" t="s">
        <v>4416</v>
      </c>
      <c r="I3806" s="16" t="s">
        <v>98</v>
      </c>
      <c r="J3806" s="16" t="s">
        <v>10162</v>
      </c>
      <c r="K3806" s="32" t="n">
        <v>3</v>
      </c>
      <c r="L3806" s="33" t="n">
        <v>46303</v>
      </c>
      <c r="M3806" s="33" t="n">
        <v>46305</v>
      </c>
      <c r="N3806" s="16" t="s">
        <v>11992</v>
      </c>
      <c r="O3806" s="16"/>
      <c r="P3806" s="16" t="str">
        <f aca="false">IF(AND(L3806&lt;=$D$2,M3806&gt;=$C$2),"Sí","")</f>
        <v>Sí</v>
      </c>
      <c r="Q3806" s="18" t="str">
        <f aca="false">IF(COUNTIF(LOOKAHEAD!$A$5:$A$604,A3806)&gt;0,"En Lookahead",IF(P3806="Sí","INCORPORAR",""))</f>
        <v>En Lookahead</v>
      </c>
    </row>
    <row r="3807" customFormat="false" ht="15" hidden="false" customHeight="false" outlineLevel="0" collapsed="false">
      <c r="A3807" s="13" t="s">
        <v>11993</v>
      </c>
      <c r="B3807" s="13" t="n">
        <v>3802</v>
      </c>
      <c r="C3807" s="13" t="s">
        <v>11994</v>
      </c>
      <c r="D3807" s="13" t="n">
        <v>6</v>
      </c>
      <c r="E3807" s="36" t="s">
        <v>10173</v>
      </c>
      <c r="F3807" s="13" t="s">
        <v>1298</v>
      </c>
      <c r="G3807" s="13" t="s">
        <v>757</v>
      </c>
      <c r="H3807" s="13" t="s">
        <v>4416</v>
      </c>
      <c r="I3807" s="13" t="s">
        <v>98</v>
      </c>
      <c r="J3807" s="13" t="s">
        <v>10129</v>
      </c>
      <c r="K3807" s="30" t="n">
        <v>18</v>
      </c>
      <c r="L3807" s="31" t="n">
        <v>46283</v>
      </c>
      <c r="M3807" s="31" t="n">
        <v>46300</v>
      </c>
      <c r="N3807" s="13"/>
      <c r="O3807" s="13"/>
      <c r="P3807" s="13"/>
      <c r="Q3807" s="13"/>
    </row>
    <row r="3808" customFormat="false" ht="15" hidden="false" customHeight="false" outlineLevel="0" collapsed="false">
      <c r="A3808" s="16" t="s">
        <v>11995</v>
      </c>
      <c r="B3808" s="16" t="n">
        <v>3803</v>
      </c>
      <c r="C3808" s="16" t="s">
        <v>11996</v>
      </c>
      <c r="D3808" s="16" t="n">
        <v>7</v>
      </c>
      <c r="E3808" s="37" t="s">
        <v>10176</v>
      </c>
      <c r="F3808" s="16" t="s">
        <v>1285</v>
      </c>
      <c r="G3808" s="16" t="s">
        <v>757</v>
      </c>
      <c r="H3808" s="16" t="s">
        <v>4416</v>
      </c>
      <c r="I3808" s="16" t="s">
        <v>98</v>
      </c>
      <c r="J3808" s="16" t="s">
        <v>10173</v>
      </c>
      <c r="K3808" s="32" t="n">
        <v>1</v>
      </c>
      <c r="L3808" s="33" t="n">
        <v>46283</v>
      </c>
      <c r="M3808" s="33" t="n">
        <v>46283</v>
      </c>
      <c r="N3808" s="16" t="s">
        <v>11972</v>
      </c>
      <c r="O3808" s="16"/>
      <c r="P3808" s="16" t="str">
        <f aca="false">IF(AND(L3808&lt;=$D$2,M3808&gt;=$C$2),"Sí","")</f>
        <v/>
      </c>
      <c r="Q3808" s="18" t="str">
        <f aca="false">IF(COUNTIF(LOOKAHEAD!$A$5:$A$604,A3808)&gt;0,"En Lookahead",IF(P3808="Sí","INCORPORAR",""))</f>
        <v/>
      </c>
    </row>
    <row r="3809" customFormat="false" ht="15" hidden="false" customHeight="false" outlineLevel="0" collapsed="false">
      <c r="A3809" s="16" t="s">
        <v>11997</v>
      </c>
      <c r="B3809" s="16" t="n">
        <v>3804</v>
      </c>
      <c r="C3809" s="16" t="s">
        <v>11998</v>
      </c>
      <c r="D3809" s="16" t="n">
        <v>7</v>
      </c>
      <c r="E3809" s="37" t="s">
        <v>10570</v>
      </c>
      <c r="F3809" s="16" t="s">
        <v>1285</v>
      </c>
      <c r="G3809" s="16" t="s">
        <v>757</v>
      </c>
      <c r="H3809" s="16" t="s">
        <v>4416</v>
      </c>
      <c r="I3809" s="16" t="s">
        <v>98</v>
      </c>
      <c r="J3809" s="16" t="s">
        <v>10173</v>
      </c>
      <c r="K3809" s="32" t="n">
        <v>1</v>
      </c>
      <c r="L3809" s="33" t="n">
        <v>46284</v>
      </c>
      <c r="M3809" s="33" t="n">
        <v>46284</v>
      </c>
      <c r="N3809" s="16" t="s">
        <v>11999</v>
      </c>
      <c r="O3809" s="16"/>
      <c r="P3809" s="16" t="str">
        <f aca="false">IF(AND(L3809&lt;=$D$2,M3809&gt;=$C$2),"Sí","")</f>
        <v/>
      </c>
      <c r="Q3809" s="18" t="str">
        <f aca="false">IF(COUNTIF(LOOKAHEAD!$A$5:$A$604,A3809)&gt;0,"En Lookahead",IF(P3809="Sí","INCORPORAR",""))</f>
        <v/>
      </c>
    </row>
    <row r="3810" customFormat="false" ht="15" hidden="false" customHeight="false" outlineLevel="0" collapsed="false">
      <c r="A3810" s="16" t="s">
        <v>12000</v>
      </c>
      <c r="B3810" s="16" t="n">
        <v>3805</v>
      </c>
      <c r="C3810" s="16" t="s">
        <v>12001</v>
      </c>
      <c r="D3810" s="16" t="n">
        <v>7</v>
      </c>
      <c r="E3810" s="37" t="s">
        <v>10075</v>
      </c>
      <c r="F3810" s="16" t="s">
        <v>1285</v>
      </c>
      <c r="G3810" s="16" t="s">
        <v>757</v>
      </c>
      <c r="H3810" s="16" t="s">
        <v>4416</v>
      </c>
      <c r="I3810" s="16" t="s">
        <v>98</v>
      </c>
      <c r="J3810" s="16" t="s">
        <v>10173</v>
      </c>
      <c r="K3810" s="32" t="n">
        <v>1</v>
      </c>
      <c r="L3810" s="33" t="n">
        <v>46285</v>
      </c>
      <c r="M3810" s="33" t="n">
        <v>46285</v>
      </c>
      <c r="N3810" s="16" t="s">
        <v>12002</v>
      </c>
      <c r="O3810" s="16"/>
      <c r="P3810" s="16" t="str">
        <f aca="false">IF(AND(L3810&lt;=$D$2,M3810&gt;=$C$2),"Sí","")</f>
        <v/>
      </c>
      <c r="Q3810" s="18" t="str">
        <f aca="false">IF(COUNTIF(LOOKAHEAD!$A$5:$A$604,A3810)&gt;0,"En Lookahead",IF(P3810="Sí","INCORPORAR",""))</f>
        <v/>
      </c>
    </row>
    <row r="3811" customFormat="false" ht="15" hidden="false" customHeight="false" outlineLevel="0" collapsed="false">
      <c r="A3811" s="16" t="s">
        <v>12003</v>
      </c>
      <c r="B3811" s="16" t="n">
        <v>3806</v>
      </c>
      <c r="C3811" s="16" t="s">
        <v>12004</v>
      </c>
      <c r="D3811" s="16" t="n">
        <v>7</v>
      </c>
      <c r="E3811" s="37" t="s">
        <v>10182</v>
      </c>
      <c r="F3811" s="16" t="s">
        <v>1285</v>
      </c>
      <c r="G3811" s="16" t="s">
        <v>757</v>
      </c>
      <c r="H3811" s="16" t="s">
        <v>4416</v>
      </c>
      <c r="I3811" s="16" t="s">
        <v>98</v>
      </c>
      <c r="J3811" s="16" t="s">
        <v>10173</v>
      </c>
      <c r="K3811" s="32" t="n">
        <v>1</v>
      </c>
      <c r="L3811" s="33" t="n">
        <v>46300</v>
      </c>
      <c r="M3811" s="33" t="n">
        <v>46300</v>
      </c>
      <c r="N3811" s="16" t="s">
        <v>11984</v>
      </c>
      <c r="O3811" s="16"/>
      <c r="P3811" s="16" t="str">
        <f aca="false">IF(AND(L3811&lt;=$D$2,M3811&gt;=$C$2),"Sí","")</f>
        <v>Sí</v>
      </c>
      <c r="Q3811" s="18" t="str">
        <f aca="false">IF(COUNTIF(LOOKAHEAD!$A$5:$A$604,A3811)&gt;0,"En Lookahead",IF(P3811="Sí","INCORPORAR",""))</f>
        <v>En Lookahead</v>
      </c>
    </row>
    <row r="3812" customFormat="false" ht="15" hidden="false" customHeight="false" outlineLevel="0" collapsed="false">
      <c r="A3812" s="13" t="s">
        <v>12005</v>
      </c>
      <c r="B3812" s="13" t="n">
        <v>3807</v>
      </c>
      <c r="C3812" s="13" t="s">
        <v>12006</v>
      </c>
      <c r="D3812" s="13" t="n">
        <v>6</v>
      </c>
      <c r="E3812" s="36" t="s">
        <v>10079</v>
      </c>
      <c r="F3812" s="13" t="s">
        <v>1298</v>
      </c>
      <c r="G3812" s="13" t="s">
        <v>757</v>
      </c>
      <c r="H3812" s="13" t="s">
        <v>4416</v>
      </c>
      <c r="I3812" s="13" t="s">
        <v>98</v>
      </c>
      <c r="J3812" s="13" t="s">
        <v>10129</v>
      </c>
      <c r="K3812" s="30" t="n">
        <v>12</v>
      </c>
      <c r="L3812" s="31" t="n">
        <v>46286</v>
      </c>
      <c r="M3812" s="31" t="n">
        <v>46297</v>
      </c>
      <c r="N3812" s="13"/>
      <c r="O3812" s="13"/>
      <c r="P3812" s="13"/>
      <c r="Q3812" s="13"/>
    </row>
    <row r="3813" customFormat="false" ht="15" hidden="false" customHeight="false" outlineLevel="0" collapsed="false">
      <c r="A3813" s="16" t="s">
        <v>12007</v>
      </c>
      <c r="B3813" s="16" t="n">
        <v>3808</v>
      </c>
      <c r="C3813" s="16" t="s">
        <v>12008</v>
      </c>
      <c r="D3813" s="16" t="n">
        <v>7</v>
      </c>
      <c r="E3813" s="37" t="s">
        <v>10187</v>
      </c>
      <c r="F3813" s="16" t="s">
        <v>1285</v>
      </c>
      <c r="G3813" s="16" t="s">
        <v>757</v>
      </c>
      <c r="H3813" s="16" t="s">
        <v>4416</v>
      </c>
      <c r="I3813" s="16" t="s">
        <v>98</v>
      </c>
      <c r="J3813" s="16" t="s">
        <v>10079</v>
      </c>
      <c r="K3813" s="32" t="n">
        <v>1</v>
      </c>
      <c r="L3813" s="33" t="n">
        <v>46286</v>
      </c>
      <c r="M3813" s="33" t="n">
        <v>46286</v>
      </c>
      <c r="N3813" s="16" t="s">
        <v>12009</v>
      </c>
      <c r="O3813" s="16"/>
      <c r="P3813" s="16" t="str">
        <f aca="false">IF(AND(L3813&lt;=$D$2,M3813&gt;=$C$2),"Sí","")</f>
        <v/>
      </c>
      <c r="Q3813" s="18" t="str">
        <f aca="false">IF(COUNTIF(LOOKAHEAD!$A$5:$A$604,A3813)&gt;0,"En Lookahead",IF(P3813="Sí","INCORPORAR",""))</f>
        <v/>
      </c>
    </row>
    <row r="3814" customFormat="false" ht="15" hidden="false" customHeight="false" outlineLevel="0" collapsed="false">
      <c r="A3814" s="16" t="s">
        <v>12010</v>
      </c>
      <c r="B3814" s="16" t="n">
        <v>3809</v>
      </c>
      <c r="C3814" s="16" t="s">
        <v>12011</v>
      </c>
      <c r="D3814" s="16" t="n">
        <v>7</v>
      </c>
      <c r="E3814" s="37" t="s">
        <v>10584</v>
      </c>
      <c r="F3814" s="16" t="s">
        <v>1285</v>
      </c>
      <c r="G3814" s="16" t="s">
        <v>757</v>
      </c>
      <c r="H3814" s="16" t="s">
        <v>4416</v>
      </c>
      <c r="I3814" s="16" t="s">
        <v>98</v>
      </c>
      <c r="J3814" s="16" t="s">
        <v>10079</v>
      </c>
      <c r="K3814" s="32" t="n">
        <v>1</v>
      </c>
      <c r="L3814" s="33" t="n">
        <v>46287</v>
      </c>
      <c r="M3814" s="33" t="n">
        <v>46287</v>
      </c>
      <c r="N3814" s="16" t="s">
        <v>12012</v>
      </c>
      <c r="O3814" s="16"/>
      <c r="P3814" s="16" t="str">
        <f aca="false">IF(AND(L3814&lt;=$D$2,M3814&gt;=$C$2),"Sí","")</f>
        <v/>
      </c>
      <c r="Q3814" s="18" t="str">
        <f aca="false">IF(COUNTIF(LOOKAHEAD!$A$5:$A$604,A3814)&gt;0,"En Lookahead",IF(P3814="Sí","INCORPORAR",""))</f>
        <v/>
      </c>
    </row>
    <row r="3815" customFormat="false" ht="15" hidden="false" customHeight="false" outlineLevel="0" collapsed="false">
      <c r="A3815" s="16" t="s">
        <v>12013</v>
      </c>
      <c r="B3815" s="16" t="n">
        <v>3810</v>
      </c>
      <c r="C3815" s="16" t="s">
        <v>12014</v>
      </c>
      <c r="D3815" s="16" t="n">
        <v>7</v>
      </c>
      <c r="E3815" s="37" t="s">
        <v>10190</v>
      </c>
      <c r="F3815" s="16" t="s">
        <v>1285</v>
      </c>
      <c r="G3815" s="16" t="s">
        <v>757</v>
      </c>
      <c r="H3815" s="16" t="s">
        <v>4416</v>
      </c>
      <c r="I3815" s="16" t="s">
        <v>98</v>
      </c>
      <c r="J3815" s="16" t="s">
        <v>10079</v>
      </c>
      <c r="K3815" s="32" t="n">
        <v>1</v>
      </c>
      <c r="L3815" s="33" t="n">
        <v>46288</v>
      </c>
      <c r="M3815" s="33" t="n">
        <v>46288</v>
      </c>
      <c r="N3815" s="16" t="s">
        <v>12015</v>
      </c>
      <c r="O3815" s="16"/>
      <c r="P3815" s="16" t="str">
        <f aca="false">IF(AND(L3815&lt;=$D$2,M3815&gt;=$C$2),"Sí","")</f>
        <v/>
      </c>
      <c r="Q3815" s="18" t="str">
        <f aca="false">IF(COUNTIF(LOOKAHEAD!$A$5:$A$604,A3815)&gt;0,"En Lookahead",IF(P3815="Sí","INCORPORAR",""))</f>
        <v/>
      </c>
    </row>
    <row r="3816" customFormat="false" ht="15" hidden="false" customHeight="false" outlineLevel="0" collapsed="false">
      <c r="A3816" s="16" t="s">
        <v>12016</v>
      </c>
      <c r="B3816" s="16" t="n">
        <v>3811</v>
      </c>
      <c r="C3816" s="16" t="s">
        <v>12017</v>
      </c>
      <c r="D3816" s="16" t="n">
        <v>7</v>
      </c>
      <c r="E3816" s="37" t="s">
        <v>10082</v>
      </c>
      <c r="F3816" s="16" t="s">
        <v>1285</v>
      </c>
      <c r="G3816" s="16" t="s">
        <v>757</v>
      </c>
      <c r="H3816" s="16" t="s">
        <v>4416</v>
      </c>
      <c r="I3816" s="16" t="s">
        <v>98</v>
      </c>
      <c r="J3816" s="16" t="s">
        <v>10079</v>
      </c>
      <c r="K3816" s="32" t="n">
        <v>1</v>
      </c>
      <c r="L3816" s="33" t="n">
        <v>46289</v>
      </c>
      <c r="M3816" s="33" t="n">
        <v>46289</v>
      </c>
      <c r="N3816" s="16" t="s">
        <v>12018</v>
      </c>
      <c r="O3816" s="16"/>
      <c r="P3816" s="16" t="str">
        <f aca="false">IF(AND(L3816&lt;=$D$2,M3816&gt;=$C$2),"Sí","")</f>
        <v/>
      </c>
      <c r="Q3816" s="18" t="str">
        <f aca="false">IF(COUNTIF(LOOKAHEAD!$A$5:$A$604,A3816)&gt;0,"En Lookahead",IF(P3816="Sí","INCORPORAR",""))</f>
        <v/>
      </c>
    </row>
    <row r="3817" customFormat="false" ht="15" hidden="false" customHeight="false" outlineLevel="0" collapsed="false">
      <c r="A3817" s="16" t="s">
        <v>12019</v>
      </c>
      <c r="B3817" s="16" t="n">
        <v>3812</v>
      </c>
      <c r="C3817" s="16" t="s">
        <v>12020</v>
      </c>
      <c r="D3817" s="16" t="n">
        <v>7</v>
      </c>
      <c r="E3817" s="37" t="s">
        <v>10194</v>
      </c>
      <c r="F3817" s="16" t="s">
        <v>1285</v>
      </c>
      <c r="G3817" s="16" t="s">
        <v>757</v>
      </c>
      <c r="H3817" s="16" t="s">
        <v>4416</v>
      </c>
      <c r="I3817" s="16" t="s">
        <v>98</v>
      </c>
      <c r="J3817" s="16" t="s">
        <v>10079</v>
      </c>
      <c r="K3817" s="32" t="n">
        <v>1</v>
      </c>
      <c r="L3817" s="33" t="n">
        <v>46290</v>
      </c>
      <c r="M3817" s="33" t="n">
        <v>46290</v>
      </c>
      <c r="N3817" s="16" t="s">
        <v>12021</v>
      </c>
      <c r="O3817" s="16"/>
      <c r="P3817" s="16" t="str">
        <f aca="false">IF(AND(L3817&lt;=$D$2,M3817&gt;=$C$2),"Sí","")</f>
        <v/>
      </c>
      <c r="Q3817" s="18" t="str">
        <f aca="false">IF(COUNTIF(LOOKAHEAD!$A$5:$A$604,A3817)&gt;0,"En Lookahead",IF(P3817="Sí","INCORPORAR",""))</f>
        <v/>
      </c>
    </row>
    <row r="3818" customFormat="false" ht="15" hidden="false" customHeight="false" outlineLevel="0" collapsed="false">
      <c r="A3818" s="16" t="s">
        <v>12022</v>
      </c>
      <c r="B3818" s="16" t="n">
        <v>3813</v>
      </c>
      <c r="C3818" s="16" t="s">
        <v>12023</v>
      </c>
      <c r="D3818" s="16" t="n">
        <v>7</v>
      </c>
      <c r="E3818" s="37" t="s">
        <v>10090</v>
      </c>
      <c r="F3818" s="16" t="s">
        <v>1285</v>
      </c>
      <c r="G3818" s="16" t="s">
        <v>757</v>
      </c>
      <c r="H3818" s="16" t="s">
        <v>4416</v>
      </c>
      <c r="I3818" s="16" t="s">
        <v>98</v>
      </c>
      <c r="J3818" s="16" t="s">
        <v>10079</v>
      </c>
      <c r="K3818" s="32" t="n">
        <v>1</v>
      </c>
      <c r="L3818" s="33" t="n">
        <v>46291</v>
      </c>
      <c r="M3818" s="33" t="n">
        <v>46291</v>
      </c>
      <c r="N3818" s="16" t="s">
        <v>12024</v>
      </c>
      <c r="O3818" s="16"/>
      <c r="P3818" s="16" t="str">
        <f aca="false">IF(AND(L3818&lt;=$D$2,M3818&gt;=$C$2),"Sí","")</f>
        <v/>
      </c>
      <c r="Q3818" s="18" t="str">
        <f aca="false">IF(COUNTIF(LOOKAHEAD!$A$5:$A$604,A3818)&gt;0,"En Lookahead",IF(P3818="Sí","INCORPORAR",""))</f>
        <v/>
      </c>
    </row>
    <row r="3819" customFormat="false" ht="15" hidden="false" customHeight="false" outlineLevel="0" collapsed="false">
      <c r="A3819" s="16" t="s">
        <v>12025</v>
      </c>
      <c r="B3819" s="16" t="n">
        <v>3814</v>
      </c>
      <c r="C3819" s="16" t="s">
        <v>12026</v>
      </c>
      <c r="D3819" s="16" t="n">
        <v>7</v>
      </c>
      <c r="E3819" s="37" t="s">
        <v>10699</v>
      </c>
      <c r="F3819" s="16" t="s">
        <v>1285</v>
      </c>
      <c r="G3819" s="16" t="s">
        <v>757</v>
      </c>
      <c r="H3819" s="16" t="s">
        <v>4416</v>
      </c>
      <c r="I3819" s="16" t="s">
        <v>98</v>
      </c>
      <c r="J3819" s="16" t="s">
        <v>10079</v>
      </c>
      <c r="K3819" s="32" t="n">
        <v>1</v>
      </c>
      <c r="L3819" s="33" t="n">
        <v>46292</v>
      </c>
      <c r="M3819" s="33" t="n">
        <v>46292</v>
      </c>
      <c r="N3819" s="16" t="s">
        <v>12027</v>
      </c>
      <c r="O3819" s="16"/>
      <c r="P3819" s="16" t="str">
        <f aca="false">IF(AND(L3819&lt;=$D$2,M3819&gt;=$C$2),"Sí","")</f>
        <v/>
      </c>
      <c r="Q3819" s="18" t="str">
        <f aca="false">IF(COUNTIF(LOOKAHEAD!$A$5:$A$604,A3819)&gt;0,"En Lookahead",IF(P3819="Sí","INCORPORAR",""))</f>
        <v/>
      </c>
    </row>
    <row r="3820" customFormat="false" ht="15" hidden="false" customHeight="false" outlineLevel="0" collapsed="false">
      <c r="A3820" s="16" t="s">
        <v>12028</v>
      </c>
      <c r="B3820" s="16" t="n">
        <v>3815</v>
      </c>
      <c r="C3820" s="16" t="s">
        <v>12029</v>
      </c>
      <c r="D3820" s="16" t="n">
        <v>7</v>
      </c>
      <c r="E3820" s="37" t="s">
        <v>10626</v>
      </c>
      <c r="F3820" s="16" t="s">
        <v>1285</v>
      </c>
      <c r="G3820" s="16" t="s">
        <v>757</v>
      </c>
      <c r="H3820" s="16" t="s">
        <v>4416</v>
      </c>
      <c r="I3820" s="16" t="s">
        <v>98</v>
      </c>
      <c r="J3820" s="16" t="s">
        <v>10079</v>
      </c>
      <c r="K3820" s="32" t="n">
        <v>1</v>
      </c>
      <c r="L3820" s="33" t="n">
        <v>46293</v>
      </c>
      <c r="M3820" s="33" t="n">
        <v>46293</v>
      </c>
      <c r="N3820" s="16" t="s">
        <v>12030</v>
      </c>
      <c r="O3820" s="16"/>
      <c r="P3820" s="16" t="str">
        <f aca="false">IF(AND(L3820&lt;=$D$2,M3820&gt;=$C$2),"Sí","")</f>
        <v/>
      </c>
      <c r="Q3820" s="18" t="str">
        <f aca="false">IF(COUNTIF(LOOKAHEAD!$A$5:$A$604,A3820)&gt;0,"En Lookahead",IF(P3820="Sí","INCORPORAR",""))</f>
        <v/>
      </c>
    </row>
    <row r="3821" customFormat="false" ht="15" hidden="false" customHeight="false" outlineLevel="0" collapsed="false">
      <c r="A3821" s="16" t="s">
        <v>12031</v>
      </c>
      <c r="B3821" s="16" t="n">
        <v>3816</v>
      </c>
      <c r="C3821" s="16" t="s">
        <v>12032</v>
      </c>
      <c r="D3821" s="16" t="n">
        <v>7</v>
      </c>
      <c r="E3821" s="37" t="s">
        <v>10212</v>
      </c>
      <c r="F3821" s="16" t="s">
        <v>1285</v>
      </c>
      <c r="G3821" s="16" t="s">
        <v>757</v>
      </c>
      <c r="H3821" s="16" t="s">
        <v>4416</v>
      </c>
      <c r="I3821" s="16" t="s">
        <v>98</v>
      </c>
      <c r="J3821" s="16" t="s">
        <v>10079</v>
      </c>
      <c r="K3821" s="32" t="n">
        <v>1</v>
      </c>
      <c r="L3821" s="33" t="n">
        <v>46294</v>
      </c>
      <c r="M3821" s="33" t="n">
        <v>46294</v>
      </c>
      <c r="N3821" s="16" t="s">
        <v>12033</v>
      </c>
      <c r="O3821" s="16"/>
      <c r="P3821" s="16" t="str">
        <f aca="false">IF(AND(L3821&lt;=$D$2,M3821&gt;=$C$2),"Sí","")</f>
        <v/>
      </c>
      <c r="Q3821" s="18" t="str">
        <f aca="false">IF(COUNTIF(LOOKAHEAD!$A$5:$A$604,A3821)&gt;0,"En Lookahead",IF(P3821="Sí","INCORPORAR",""))</f>
        <v/>
      </c>
    </row>
    <row r="3822" customFormat="false" ht="15" hidden="false" customHeight="false" outlineLevel="0" collapsed="false">
      <c r="A3822" s="16" t="s">
        <v>12034</v>
      </c>
      <c r="B3822" s="16" t="n">
        <v>3817</v>
      </c>
      <c r="C3822" s="16" t="s">
        <v>12035</v>
      </c>
      <c r="D3822" s="16" t="n">
        <v>7</v>
      </c>
      <c r="E3822" s="37" t="s">
        <v>10216</v>
      </c>
      <c r="F3822" s="16" t="s">
        <v>1285</v>
      </c>
      <c r="G3822" s="16" t="s">
        <v>757</v>
      </c>
      <c r="H3822" s="16" t="s">
        <v>4416</v>
      </c>
      <c r="I3822" s="16" t="s">
        <v>98</v>
      </c>
      <c r="J3822" s="16" t="s">
        <v>10079</v>
      </c>
      <c r="K3822" s="32" t="n">
        <v>2</v>
      </c>
      <c r="L3822" s="33" t="n">
        <v>46295</v>
      </c>
      <c r="M3822" s="33" t="n">
        <v>46296</v>
      </c>
      <c r="N3822" s="16" t="s">
        <v>12036</v>
      </c>
      <c r="O3822" s="16"/>
      <c r="P3822" s="16" t="str">
        <f aca="false">IF(AND(L3822&lt;=$D$2,M3822&gt;=$C$2),"Sí","")</f>
        <v/>
      </c>
      <c r="Q3822" s="18" t="str">
        <f aca="false">IF(COUNTIF(LOOKAHEAD!$A$5:$A$604,A3822)&gt;0,"En Lookahead",IF(P3822="Sí","INCORPORAR",""))</f>
        <v/>
      </c>
    </row>
    <row r="3823" customFormat="false" ht="15" hidden="false" customHeight="false" outlineLevel="0" collapsed="false">
      <c r="A3823" s="16" t="s">
        <v>12037</v>
      </c>
      <c r="B3823" s="16" t="n">
        <v>3818</v>
      </c>
      <c r="C3823" s="16" t="s">
        <v>12038</v>
      </c>
      <c r="D3823" s="16" t="n">
        <v>7</v>
      </c>
      <c r="E3823" s="37" t="s">
        <v>10220</v>
      </c>
      <c r="F3823" s="16" t="s">
        <v>1285</v>
      </c>
      <c r="G3823" s="16" t="s">
        <v>757</v>
      </c>
      <c r="H3823" s="16" t="s">
        <v>4416</v>
      </c>
      <c r="I3823" s="16" t="s">
        <v>98</v>
      </c>
      <c r="J3823" s="16" t="s">
        <v>10079</v>
      </c>
      <c r="K3823" s="32" t="n">
        <v>1</v>
      </c>
      <c r="L3823" s="33" t="n">
        <v>46297</v>
      </c>
      <c r="M3823" s="33" t="n">
        <v>46297</v>
      </c>
      <c r="N3823" s="16" t="s">
        <v>12039</v>
      </c>
      <c r="O3823" s="16"/>
      <c r="P3823" s="16" t="str">
        <f aca="false">IF(AND(L3823&lt;=$D$2,M3823&gt;=$C$2),"Sí","")</f>
        <v/>
      </c>
      <c r="Q3823" s="18" t="str">
        <f aca="false">IF(COUNTIF(LOOKAHEAD!$A$5:$A$604,A3823)&gt;0,"En Lookahead",IF(P3823="Sí","INCORPORAR",""))</f>
        <v/>
      </c>
    </row>
    <row r="3824" customFormat="false" ht="15" hidden="false" customHeight="false" outlineLevel="0" collapsed="false">
      <c r="A3824" s="13" t="s">
        <v>12040</v>
      </c>
      <c r="B3824" s="13" t="n">
        <v>3819</v>
      </c>
      <c r="C3824" s="13" t="s">
        <v>12041</v>
      </c>
      <c r="D3824" s="13" t="n">
        <v>6</v>
      </c>
      <c r="E3824" s="36" t="s">
        <v>10236</v>
      </c>
      <c r="F3824" s="13" t="s">
        <v>1298</v>
      </c>
      <c r="G3824" s="13" t="s">
        <v>757</v>
      </c>
      <c r="H3824" s="13" t="s">
        <v>4416</v>
      </c>
      <c r="I3824" s="13" t="s">
        <v>98</v>
      </c>
      <c r="J3824" s="13" t="s">
        <v>10129</v>
      </c>
      <c r="K3824" s="30" t="n">
        <v>5</v>
      </c>
      <c r="L3824" s="31" t="n">
        <v>46306</v>
      </c>
      <c r="M3824" s="31" t="n">
        <v>46310</v>
      </c>
      <c r="N3824" s="13"/>
      <c r="O3824" s="13"/>
      <c r="P3824" s="13"/>
      <c r="Q3824" s="13"/>
    </row>
    <row r="3825" customFormat="false" ht="15" hidden="false" customHeight="false" outlineLevel="0" collapsed="false">
      <c r="A3825" s="16" t="s">
        <v>12042</v>
      </c>
      <c r="B3825" s="16" t="n">
        <v>3820</v>
      </c>
      <c r="C3825" s="16" t="s">
        <v>12043</v>
      </c>
      <c r="D3825" s="16" t="n">
        <v>7</v>
      </c>
      <c r="E3825" s="37" t="s">
        <v>10239</v>
      </c>
      <c r="F3825" s="16" t="s">
        <v>1285</v>
      </c>
      <c r="G3825" s="16" t="s">
        <v>757</v>
      </c>
      <c r="H3825" s="16" t="s">
        <v>4416</v>
      </c>
      <c r="I3825" s="16" t="s">
        <v>98</v>
      </c>
      <c r="J3825" s="16" t="s">
        <v>10236</v>
      </c>
      <c r="K3825" s="32" t="n">
        <v>2</v>
      </c>
      <c r="L3825" s="33" t="n">
        <v>46306</v>
      </c>
      <c r="M3825" s="33" t="n">
        <v>46307</v>
      </c>
      <c r="N3825" s="16" t="s">
        <v>12044</v>
      </c>
      <c r="O3825" s="16"/>
      <c r="P3825" s="16" t="str">
        <f aca="false">IF(AND(L3825&lt;=$D$2,M3825&gt;=$C$2),"Sí","")</f>
        <v>Sí</v>
      </c>
      <c r="Q3825" s="18" t="str">
        <f aca="false">IF(COUNTIF(LOOKAHEAD!$A$5:$A$604,A3825)&gt;0,"En Lookahead",IF(P3825="Sí","INCORPORAR",""))</f>
        <v>En Lookahead</v>
      </c>
    </row>
    <row r="3826" customFormat="false" ht="15" hidden="false" customHeight="false" outlineLevel="0" collapsed="false">
      <c r="A3826" s="16" t="s">
        <v>12045</v>
      </c>
      <c r="B3826" s="16" t="n">
        <v>3821</v>
      </c>
      <c r="C3826" s="16" t="s">
        <v>12046</v>
      </c>
      <c r="D3826" s="16" t="n">
        <v>7</v>
      </c>
      <c r="E3826" s="37" t="s">
        <v>10991</v>
      </c>
      <c r="F3826" s="16" t="s">
        <v>1285</v>
      </c>
      <c r="G3826" s="16" t="s">
        <v>757</v>
      </c>
      <c r="H3826" s="16" t="s">
        <v>4416</v>
      </c>
      <c r="I3826" s="16" t="s">
        <v>98</v>
      </c>
      <c r="J3826" s="16" t="s">
        <v>10236</v>
      </c>
      <c r="K3826" s="32" t="n">
        <v>1</v>
      </c>
      <c r="L3826" s="33" t="n">
        <v>46308</v>
      </c>
      <c r="M3826" s="33" t="n">
        <v>46308</v>
      </c>
      <c r="N3826" s="16" t="s">
        <v>12047</v>
      </c>
      <c r="O3826" s="16"/>
      <c r="P3826" s="16" t="str">
        <f aca="false">IF(AND(L3826&lt;=$D$2,M3826&gt;=$C$2),"Sí","")</f>
        <v>Sí</v>
      </c>
      <c r="Q3826" s="18" t="str">
        <f aca="false">IF(COUNTIF(LOOKAHEAD!$A$5:$A$604,A3826)&gt;0,"En Lookahead",IF(P3826="Sí","INCORPORAR",""))</f>
        <v>En Lookahead</v>
      </c>
    </row>
    <row r="3827" customFormat="false" ht="15" hidden="false" customHeight="false" outlineLevel="0" collapsed="false">
      <c r="A3827" s="16" t="s">
        <v>12048</v>
      </c>
      <c r="B3827" s="16" t="n">
        <v>3822</v>
      </c>
      <c r="C3827" s="16" t="s">
        <v>12049</v>
      </c>
      <c r="D3827" s="16" t="n">
        <v>7</v>
      </c>
      <c r="E3827" s="37" t="s">
        <v>10706</v>
      </c>
      <c r="F3827" s="16" t="s">
        <v>1285</v>
      </c>
      <c r="G3827" s="16" t="s">
        <v>757</v>
      </c>
      <c r="H3827" s="16" t="s">
        <v>4416</v>
      </c>
      <c r="I3827" s="16" t="s">
        <v>98</v>
      </c>
      <c r="J3827" s="16" t="s">
        <v>10236</v>
      </c>
      <c r="K3827" s="32" t="n">
        <v>1</v>
      </c>
      <c r="L3827" s="33" t="n">
        <v>46309</v>
      </c>
      <c r="M3827" s="33" t="n">
        <v>46309</v>
      </c>
      <c r="N3827" s="16" t="s">
        <v>12050</v>
      </c>
      <c r="O3827" s="16"/>
      <c r="P3827" s="16" t="str">
        <f aca="false">IF(AND(L3827&lt;=$D$2,M3827&gt;=$C$2),"Sí","")</f>
        <v>Sí</v>
      </c>
      <c r="Q3827" s="18" t="str">
        <f aca="false">IF(COUNTIF(LOOKAHEAD!$A$5:$A$604,A3827)&gt;0,"En Lookahead",IF(P3827="Sí","INCORPORAR",""))</f>
        <v>En Lookahead</v>
      </c>
    </row>
    <row r="3828" customFormat="false" ht="15" hidden="false" customHeight="false" outlineLevel="0" collapsed="false">
      <c r="A3828" s="16" t="s">
        <v>12051</v>
      </c>
      <c r="B3828" s="16" t="n">
        <v>3823</v>
      </c>
      <c r="C3828" s="16" t="s">
        <v>12052</v>
      </c>
      <c r="D3828" s="16" t="n">
        <v>7</v>
      </c>
      <c r="E3828" s="37" t="s">
        <v>10247</v>
      </c>
      <c r="F3828" s="16" t="s">
        <v>1285</v>
      </c>
      <c r="G3828" s="16" t="s">
        <v>757</v>
      </c>
      <c r="H3828" s="16" t="s">
        <v>4416</v>
      </c>
      <c r="I3828" s="16" t="s">
        <v>98</v>
      </c>
      <c r="J3828" s="16" t="s">
        <v>10236</v>
      </c>
      <c r="K3828" s="32" t="n">
        <v>1</v>
      </c>
      <c r="L3828" s="33" t="n">
        <v>46310</v>
      </c>
      <c r="M3828" s="33" t="n">
        <v>46310</v>
      </c>
      <c r="N3828" s="16" t="s">
        <v>12053</v>
      </c>
      <c r="O3828" s="16"/>
      <c r="P3828" s="16" t="str">
        <f aca="false">IF(AND(L3828&lt;=$D$2,M3828&gt;=$C$2),"Sí","")</f>
        <v>Sí</v>
      </c>
      <c r="Q3828" s="18" t="str">
        <f aca="false">IF(COUNTIF(LOOKAHEAD!$A$5:$A$604,A3828)&gt;0,"En Lookahead",IF(P3828="Sí","INCORPORAR",""))</f>
        <v>En Lookahead</v>
      </c>
    </row>
    <row r="3829" customFormat="false" ht="15" hidden="false" customHeight="false" outlineLevel="0" collapsed="false">
      <c r="A3829" s="13" t="s">
        <v>12054</v>
      </c>
      <c r="B3829" s="13" t="n">
        <v>3824</v>
      </c>
      <c r="C3829" s="13" t="s">
        <v>12055</v>
      </c>
      <c r="D3829" s="13" t="n">
        <v>4</v>
      </c>
      <c r="E3829" s="20" t="s">
        <v>4610</v>
      </c>
      <c r="F3829" s="13" t="s">
        <v>1298</v>
      </c>
      <c r="G3829" s="13" t="s">
        <v>757</v>
      </c>
      <c r="H3829" s="13" t="s">
        <v>4610</v>
      </c>
      <c r="I3829" s="13" t="s">
        <v>104</v>
      </c>
      <c r="J3829" s="13" t="s">
        <v>9945</v>
      </c>
      <c r="K3829" s="30" t="n">
        <v>13</v>
      </c>
      <c r="L3829" s="31" t="n">
        <v>46136</v>
      </c>
      <c r="M3829" s="31" t="n">
        <v>46148</v>
      </c>
      <c r="N3829" s="13"/>
      <c r="O3829" s="13"/>
      <c r="P3829" s="13"/>
      <c r="Q3829" s="13"/>
    </row>
    <row r="3830" customFormat="false" ht="15" hidden="false" customHeight="false" outlineLevel="0" collapsed="false">
      <c r="A3830" s="13" t="s">
        <v>12056</v>
      </c>
      <c r="B3830" s="13" t="n">
        <v>3825</v>
      </c>
      <c r="C3830" s="13" t="s">
        <v>12057</v>
      </c>
      <c r="D3830" s="13" t="n">
        <v>5</v>
      </c>
      <c r="E3830" s="34" t="s">
        <v>10032</v>
      </c>
      <c r="F3830" s="13" t="s">
        <v>1298</v>
      </c>
      <c r="G3830" s="13" t="s">
        <v>757</v>
      </c>
      <c r="H3830" s="13" t="s">
        <v>4610</v>
      </c>
      <c r="I3830" s="13" t="s">
        <v>104</v>
      </c>
      <c r="J3830" s="13" t="s">
        <v>4610</v>
      </c>
      <c r="K3830" s="30" t="n">
        <v>13</v>
      </c>
      <c r="L3830" s="31" t="n">
        <v>46136</v>
      </c>
      <c r="M3830" s="31" t="n">
        <v>46148</v>
      </c>
      <c r="N3830" s="13"/>
      <c r="O3830" s="13"/>
      <c r="P3830" s="13"/>
      <c r="Q3830" s="13"/>
    </row>
    <row r="3831" customFormat="false" ht="15" hidden="false" customHeight="false" outlineLevel="0" collapsed="false">
      <c r="A3831" s="13" t="s">
        <v>12058</v>
      </c>
      <c r="B3831" s="13" t="n">
        <v>3826</v>
      </c>
      <c r="C3831" s="13" t="s">
        <v>12059</v>
      </c>
      <c r="D3831" s="13" t="n">
        <v>6</v>
      </c>
      <c r="E3831" s="36" t="s">
        <v>10035</v>
      </c>
      <c r="F3831" s="13" t="s">
        <v>1298</v>
      </c>
      <c r="G3831" s="13" t="s">
        <v>757</v>
      </c>
      <c r="H3831" s="13" t="s">
        <v>4610</v>
      </c>
      <c r="I3831" s="13" t="s">
        <v>104</v>
      </c>
      <c r="J3831" s="13" t="s">
        <v>10032</v>
      </c>
      <c r="K3831" s="30" t="n">
        <v>1</v>
      </c>
      <c r="L3831" s="31" t="n">
        <v>46136</v>
      </c>
      <c r="M3831" s="31" t="n">
        <v>46136</v>
      </c>
      <c r="N3831" s="13"/>
      <c r="O3831" s="13"/>
      <c r="P3831" s="13"/>
      <c r="Q3831" s="13"/>
    </row>
    <row r="3832" customFormat="false" ht="15" hidden="false" customHeight="false" outlineLevel="0" collapsed="false">
      <c r="A3832" s="16" t="s">
        <v>12060</v>
      </c>
      <c r="B3832" s="16" t="n">
        <v>3827</v>
      </c>
      <c r="C3832" s="16" t="s">
        <v>12061</v>
      </c>
      <c r="D3832" s="16" t="n">
        <v>7</v>
      </c>
      <c r="E3832" s="37" t="s">
        <v>10038</v>
      </c>
      <c r="F3832" s="16" t="s">
        <v>1285</v>
      </c>
      <c r="G3832" s="16" t="s">
        <v>757</v>
      </c>
      <c r="H3832" s="16" t="s">
        <v>4610</v>
      </c>
      <c r="I3832" s="16" t="s">
        <v>104</v>
      </c>
      <c r="J3832" s="16" t="s">
        <v>10035</v>
      </c>
      <c r="K3832" s="32" t="n">
        <v>1</v>
      </c>
      <c r="L3832" s="33" t="n">
        <v>46136</v>
      </c>
      <c r="M3832" s="33" t="n">
        <v>46136</v>
      </c>
      <c r="N3832" s="16" t="s">
        <v>4621</v>
      </c>
      <c r="O3832" s="16"/>
      <c r="P3832" s="16" t="str">
        <f aca="false">IF(AND(L3832&lt;=$D$2,M3832&gt;=$C$2),"Sí","")</f>
        <v/>
      </c>
      <c r="Q3832" s="18" t="str">
        <f aca="false">IF(COUNTIF(LOOKAHEAD!$A$5:$A$604,A3832)&gt;0,"En Lookahead",IF(P3832="Sí","INCORPORAR",""))</f>
        <v/>
      </c>
    </row>
    <row r="3833" customFormat="false" ht="15" hidden="false" customHeight="false" outlineLevel="0" collapsed="false">
      <c r="A3833" s="13" t="s">
        <v>12062</v>
      </c>
      <c r="B3833" s="13" t="n">
        <v>3828</v>
      </c>
      <c r="C3833" s="13" t="s">
        <v>12063</v>
      </c>
      <c r="D3833" s="13" t="n">
        <v>6</v>
      </c>
      <c r="E3833" s="36" t="s">
        <v>1534</v>
      </c>
      <c r="F3833" s="13" t="s">
        <v>1298</v>
      </c>
      <c r="G3833" s="13" t="s">
        <v>757</v>
      </c>
      <c r="H3833" s="13" t="s">
        <v>4610</v>
      </c>
      <c r="I3833" s="13" t="s">
        <v>104</v>
      </c>
      <c r="J3833" s="13" t="s">
        <v>10032</v>
      </c>
      <c r="K3833" s="30" t="n">
        <v>12</v>
      </c>
      <c r="L3833" s="31" t="n">
        <v>46137</v>
      </c>
      <c r="M3833" s="31" t="n">
        <v>46148</v>
      </c>
      <c r="N3833" s="13"/>
      <c r="O3833" s="13"/>
      <c r="P3833" s="13"/>
      <c r="Q3833" s="13"/>
    </row>
    <row r="3834" customFormat="false" ht="15" hidden="false" customHeight="false" outlineLevel="0" collapsed="false">
      <c r="A3834" s="16" t="s">
        <v>12064</v>
      </c>
      <c r="B3834" s="16" t="n">
        <v>3829</v>
      </c>
      <c r="C3834" s="16" t="s">
        <v>12065</v>
      </c>
      <c r="D3834" s="16" t="n">
        <v>7</v>
      </c>
      <c r="E3834" s="37" t="s">
        <v>10043</v>
      </c>
      <c r="F3834" s="16" t="s">
        <v>1285</v>
      </c>
      <c r="G3834" s="16" t="s">
        <v>757</v>
      </c>
      <c r="H3834" s="16" t="s">
        <v>4610</v>
      </c>
      <c r="I3834" s="16" t="s">
        <v>104</v>
      </c>
      <c r="J3834" s="16" t="s">
        <v>1534</v>
      </c>
      <c r="K3834" s="32" t="n">
        <v>1</v>
      </c>
      <c r="L3834" s="33" t="n">
        <v>46137</v>
      </c>
      <c r="M3834" s="33" t="n">
        <v>46137</v>
      </c>
      <c r="N3834" s="16" t="s">
        <v>12066</v>
      </c>
      <c r="O3834" s="16"/>
      <c r="P3834" s="16" t="str">
        <f aca="false">IF(AND(L3834&lt;=$D$2,M3834&gt;=$C$2),"Sí","")</f>
        <v/>
      </c>
      <c r="Q3834" s="18" t="str">
        <f aca="false">IF(COUNTIF(LOOKAHEAD!$A$5:$A$604,A3834)&gt;0,"En Lookahead",IF(P3834="Sí","INCORPORAR",""))</f>
        <v/>
      </c>
    </row>
    <row r="3835" customFormat="false" ht="15" hidden="false" customHeight="false" outlineLevel="0" collapsed="false">
      <c r="A3835" s="16" t="s">
        <v>12067</v>
      </c>
      <c r="B3835" s="16" t="n">
        <v>3830</v>
      </c>
      <c r="C3835" s="16" t="s">
        <v>12068</v>
      </c>
      <c r="D3835" s="16" t="n">
        <v>7</v>
      </c>
      <c r="E3835" s="37" t="s">
        <v>10047</v>
      </c>
      <c r="F3835" s="16" t="s">
        <v>1285</v>
      </c>
      <c r="G3835" s="16" t="s">
        <v>757</v>
      </c>
      <c r="H3835" s="16" t="s">
        <v>4610</v>
      </c>
      <c r="I3835" s="16" t="s">
        <v>104</v>
      </c>
      <c r="J3835" s="16" t="s">
        <v>1534</v>
      </c>
      <c r="K3835" s="32" t="n">
        <v>1</v>
      </c>
      <c r="L3835" s="33" t="n">
        <v>46138</v>
      </c>
      <c r="M3835" s="33" t="n">
        <v>46138</v>
      </c>
      <c r="N3835" s="16" t="s">
        <v>12069</v>
      </c>
      <c r="O3835" s="16"/>
      <c r="P3835" s="16" t="str">
        <f aca="false">IF(AND(L3835&lt;=$D$2,M3835&gt;=$C$2),"Sí","")</f>
        <v/>
      </c>
      <c r="Q3835" s="18" t="str">
        <f aca="false">IF(COUNTIF(LOOKAHEAD!$A$5:$A$604,A3835)&gt;0,"En Lookahead",IF(P3835="Sí","INCORPORAR",""))</f>
        <v/>
      </c>
    </row>
    <row r="3836" customFormat="false" ht="15" hidden="false" customHeight="false" outlineLevel="0" collapsed="false">
      <c r="A3836" s="16" t="s">
        <v>12070</v>
      </c>
      <c r="B3836" s="16" t="n">
        <v>3831</v>
      </c>
      <c r="C3836" s="16" t="s">
        <v>12071</v>
      </c>
      <c r="D3836" s="16" t="n">
        <v>7</v>
      </c>
      <c r="E3836" s="37" t="s">
        <v>10051</v>
      </c>
      <c r="F3836" s="16" t="s">
        <v>1285</v>
      </c>
      <c r="G3836" s="16" t="s">
        <v>757</v>
      </c>
      <c r="H3836" s="16" t="s">
        <v>4610</v>
      </c>
      <c r="I3836" s="16" t="s">
        <v>104</v>
      </c>
      <c r="J3836" s="16" t="s">
        <v>1534</v>
      </c>
      <c r="K3836" s="32" t="n">
        <v>1</v>
      </c>
      <c r="L3836" s="33" t="n">
        <v>46139</v>
      </c>
      <c r="M3836" s="33" t="n">
        <v>46139</v>
      </c>
      <c r="N3836" s="16" t="s">
        <v>12072</v>
      </c>
      <c r="O3836" s="16"/>
      <c r="P3836" s="16" t="str">
        <f aca="false">IF(AND(L3836&lt;=$D$2,M3836&gt;=$C$2),"Sí","")</f>
        <v/>
      </c>
      <c r="Q3836" s="18" t="str">
        <f aca="false">IF(COUNTIF(LOOKAHEAD!$A$5:$A$604,A3836)&gt;0,"En Lookahead",IF(P3836="Sí","INCORPORAR",""))</f>
        <v/>
      </c>
    </row>
    <row r="3837" customFormat="false" ht="15" hidden="false" customHeight="false" outlineLevel="0" collapsed="false">
      <c r="A3837" s="16" t="s">
        <v>12073</v>
      </c>
      <c r="B3837" s="16" t="n">
        <v>3832</v>
      </c>
      <c r="C3837" s="16" t="s">
        <v>12074</v>
      </c>
      <c r="D3837" s="16" t="n">
        <v>7</v>
      </c>
      <c r="E3837" s="37" t="s">
        <v>10055</v>
      </c>
      <c r="F3837" s="16" t="s">
        <v>1285</v>
      </c>
      <c r="G3837" s="16" t="s">
        <v>757</v>
      </c>
      <c r="H3837" s="16" t="s">
        <v>4610</v>
      </c>
      <c r="I3837" s="16" t="s">
        <v>104</v>
      </c>
      <c r="J3837" s="16" t="s">
        <v>1534</v>
      </c>
      <c r="K3837" s="32" t="n">
        <v>1</v>
      </c>
      <c r="L3837" s="33" t="n">
        <v>46140</v>
      </c>
      <c r="M3837" s="33" t="n">
        <v>46140</v>
      </c>
      <c r="N3837" s="16" t="s">
        <v>12075</v>
      </c>
      <c r="O3837" s="16"/>
      <c r="P3837" s="16" t="str">
        <f aca="false">IF(AND(L3837&lt;=$D$2,M3837&gt;=$C$2),"Sí","")</f>
        <v/>
      </c>
      <c r="Q3837" s="18" t="str">
        <f aca="false">IF(COUNTIF(LOOKAHEAD!$A$5:$A$604,A3837)&gt;0,"En Lookahead",IF(P3837="Sí","INCORPORAR",""))</f>
        <v/>
      </c>
    </row>
    <row r="3838" customFormat="false" ht="15" hidden="false" customHeight="false" outlineLevel="0" collapsed="false">
      <c r="A3838" s="16" t="s">
        <v>12076</v>
      </c>
      <c r="B3838" s="16" t="n">
        <v>3833</v>
      </c>
      <c r="C3838" s="16" t="s">
        <v>12077</v>
      </c>
      <c r="D3838" s="16" t="n">
        <v>7</v>
      </c>
      <c r="E3838" s="37" t="s">
        <v>10059</v>
      </c>
      <c r="F3838" s="16" t="s">
        <v>1285</v>
      </c>
      <c r="G3838" s="16" t="s">
        <v>757</v>
      </c>
      <c r="H3838" s="16" t="s">
        <v>4610</v>
      </c>
      <c r="I3838" s="16" t="s">
        <v>104</v>
      </c>
      <c r="J3838" s="16" t="s">
        <v>1534</v>
      </c>
      <c r="K3838" s="32" t="n">
        <v>1</v>
      </c>
      <c r="L3838" s="33" t="n">
        <v>46146</v>
      </c>
      <c r="M3838" s="33" t="n">
        <v>46146</v>
      </c>
      <c r="N3838" s="16" t="s">
        <v>12078</v>
      </c>
      <c r="O3838" s="16"/>
      <c r="P3838" s="16" t="str">
        <f aca="false">IF(AND(L3838&lt;=$D$2,M3838&gt;=$C$2),"Sí","")</f>
        <v/>
      </c>
      <c r="Q3838" s="18" t="str">
        <f aca="false">IF(COUNTIF(LOOKAHEAD!$A$5:$A$604,A3838)&gt;0,"En Lookahead",IF(P3838="Sí","INCORPORAR",""))</f>
        <v/>
      </c>
    </row>
    <row r="3839" customFormat="false" ht="15" hidden="false" customHeight="false" outlineLevel="0" collapsed="false">
      <c r="A3839" s="16" t="s">
        <v>12079</v>
      </c>
      <c r="B3839" s="16" t="n">
        <v>3834</v>
      </c>
      <c r="C3839" s="16" t="s">
        <v>12080</v>
      </c>
      <c r="D3839" s="16" t="n">
        <v>7</v>
      </c>
      <c r="E3839" s="37" t="s">
        <v>10063</v>
      </c>
      <c r="F3839" s="16" t="s">
        <v>1285</v>
      </c>
      <c r="G3839" s="16" t="s">
        <v>757</v>
      </c>
      <c r="H3839" s="16" t="s">
        <v>4610</v>
      </c>
      <c r="I3839" s="16" t="s">
        <v>104</v>
      </c>
      <c r="J3839" s="16" t="s">
        <v>1534</v>
      </c>
      <c r="K3839" s="32" t="n">
        <v>1</v>
      </c>
      <c r="L3839" s="33" t="n">
        <v>46147</v>
      </c>
      <c r="M3839" s="33" t="n">
        <v>46147</v>
      </c>
      <c r="N3839" s="16" t="s">
        <v>12081</v>
      </c>
      <c r="O3839" s="16"/>
      <c r="P3839" s="16" t="str">
        <f aca="false">IF(AND(L3839&lt;=$D$2,M3839&gt;=$C$2),"Sí","")</f>
        <v/>
      </c>
      <c r="Q3839" s="18" t="str">
        <f aca="false">IF(COUNTIF(LOOKAHEAD!$A$5:$A$604,A3839)&gt;0,"En Lookahead",IF(P3839="Sí","INCORPORAR",""))</f>
        <v/>
      </c>
    </row>
    <row r="3840" customFormat="false" ht="15" hidden="false" customHeight="false" outlineLevel="0" collapsed="false">
      <c r="A3840" s="16" t="s">
        <v>12082</v>
      </c>
      <c r="B3840" s="16" t="n">
        <v>3835</v>
      </c>
      <c r="C3840" s="16" t="s">
        <v>12083</v>
      </c>
      <c r="D3840" s="16" t="n">
        <v>7</v>
      </c>
      <c r="E3840" s="37" t="s">
        <v>1557</v>
      </c>
      <c r="F3840" s="16" t="s">
        <v>1285</v>
      </c>
      <c r="G3840" s="16" t="s">
        <v>757</v>
      </c>
      <c r="H3840" s="16" t="s">
        <v>4610</v>
      </c>
      <c r="I3840" s="16" t="s">
        <v>104</v>
      </c>
      <c r="J3840" s="16" t="s">
        <v>1534</v>
      </c>
      <c r="K3840" s="32" t="n">
        <v>1</v>
      </c>
      <c r="L3840" s="33" t="n">
        <v>46147</v>
      </c>
      <c r="M3840" s="33" t="n">
        <v>46147</v>
      </c>
      <c r="N3840" s="16" t="s">
        <v>12081</v>
      </c>
      <c r="O3840" s="16"/>
      <c r="P3840" s="16" t="str">
        <f aca="false">IF(AND(L3840&lt;=$D$2,M3840&gt;=$C$2),"Sí","")</f>
        <v/>
      </c>
      <c r="Q3840" s="18" t="str">
        <f aca="false">IF(COUNTIF(LOOKAHEAD!$A$5:$A$604,A3840)&gt;0,"En Lookahead",IF(P3840="Sí","INCORPORAR",""))</f>
        <v/>
      </c>
    </row>
    <row r="3841" customFormat="false" ht="15" hidden="false" customHeight="false" outlineLevel="0" collapsed="false">
      <c r="A3841" s="16" t="s">
        <v>12084</v>
      </c>
      <c r="B3841" s="16" t="n">
        <v>3836</v>
      </c>
      <c r="C3841" s="16" t="s">
        <v>12085</v>
      </c>
      <c r="D3841" s="16" t="n">
        <v>7</v>
      </c>
      <c r="E3841" s="37" t="s">
        <v>10069</v>
      </c>
      <c r="F3841" s="16" t="s">
        <v>1285</v>
      </c>
      <c r="G3841" s="16" t="s">
        <v>757</v>
      </c>
      <c r="H3841" s="16" t="s">
        <v>4610</v>
      </c>
      <c r="I3841" s="16" t="s">
        <v>104</v>
      </c>
      <c r="J3841" s="16" t="s">
        <v>1534</v>
      </c>
      <c r="K3841" s="32" t="n">
        <v>1</v>
      </c>
      <c r="L3841" s="33" t="n">
        <v>46148</v>
      </c>
      <c r="M3841" s="33" t="n">
        <v>46148</v>
      </c>
      <c r="N3841" s="16" t="s">
        <v>12086</v>
      </c>
      <c r="O3841" s="16"/>
      <c r="P3841" s="16" t="str">
        <f aca="false">IF(AND(L3841&lt;=$D$2,M3841&gt;=$C$2),"Sí","")</f>
        <v/>
      </c>
      <c r="Q3841" s="18" t="str">
        <f aca="false">IF(COUNTIF(LOOKAHEAD!$A$5:$A$604,A3841)&gt;0,"En Lookahead",IF(P3841="Sí","INCORPORAR",""))</f>
        <v/>
      </c>
    </row>
    <row r="3842" customFormat="false" ht="15" hidden="false" customHeight="false" outlineLevel="0" collapsed="false">
      <c r="A3842" s="13" t="s">
        <v>12087</v>
      </c>
      <c r="B3842" s="13" t="n">
        <v>3837</v>
      </c>
      <c r="C3842" s="13" t="s">
        <v>12088</v>
      </c>
      <c r="D3842" s="13" t="n">
        <v>6</v>
      </c>
      <c r="E3842" s="36" t="s">
        <v>10072</v>
      </c>
      <c r="F3842" s="13" t="s">
        <v>1298</v>
      </c>
      <c r="G3842" s="13" t="s">
        <v>757</v>
      </c>
      <c r="H3842" s="13" t="s">
        <v>4610</v>
      </c>
      <c r="I3842" s="13" t="s">
        <v>104</v>
      </c>
      <c r="J3842" s="13" t="s">
        <v>10032</v>
      </c>
      <c r="K3842" s="30" t="n">
        <v>1</v>
      </c>
      <c r="L3842" s="31" t="n">
        <v>46140</v>
      </c>
      <c r="M3842" s="31" t="n">
        <v>46140</v>
      </c>
      <c r="N3842" s="13"/>
      <c r="O3842" s="13"/>
      <c r="P3842" s="13"/>
      <c r="Q3842" s="13"/>
    </row>
    <row r="3843" customFormat="false" ht="15" hidden="false" customHeight="false" outlineLevel="0" collapsed="false">
      <c r="A3843" s="16" t="s">
        <v>12089</v>
      </c>
      <c r="B3843" s="16" t="n">
        <v>3838</v>
      </c>
      <c r="C3843" s="16" t="s">
        <v>12090</v>
      </c>
      <c r="D3843" s="16" t="n">
        <v>7</v>
      </c>
      <c r="E3843" s="37" t="s">
        <v>10075</v>
      </c>
      <c r="F3843" s="16" t="s">
        <v>1285</v>
      </c>
      <c r="G3843" s="16" t="s">
        <v>757</v>
      </c>
      <c r="H3843" s="16" t="s">
        <v>4610</v>
      </c>
      <c r="I3843" s="16" t="s">
        <v>104</v>
      </c>
      <c r="J3843" s="16" t="s">
        <v>10072</v>
      </c>
      <c r="K3843" s="32" t="n">
        <v>1</v>
      </c>
      <c r="L3843" s="33" t="n">
        <v>46140</v>
      </c>
      <c r="M3843" s="33" t="n">
        <v>46140</v>
      </c>
      <c r="N3843" s="16" t="s">
        <v>12075</v>
      </c>
      <c r="O3843" s="16"/>
      <c r="P3843" s="16" t="str">
        <f aca="false">IF(AND(L3843&lt;=$D$2,M3843&gt;=$C$2),"Sí","")</f>
        <v/>
      </c>
      <c r="Q3843" s="18" t="str">
        <f aca="false">IF(COUNTIF(LOOKAHEAD!$A$5:$A$604,A3843)&gt;0,"En Lookahead",IF(P3843="Sí","INCORPORAR",""))</f>
        <v/>
      </c>
    </row>
    <row r="3844" customFormat="false" ht="15" hidden="false" customHeight="false" outlineLevel="0" collapsed="false">
      <c r="A3844" s="13" t="s">
        <v>12091</v>
      </c>
      <c r="B3844" s="13" t="n">
        <v>3839</v>
      </c>
      <c r="C3844" s="13" t="s">
        <v>12092</v>
      </c>
      <c r="D3844" s="13" t="n">
        <v>6</v>
      </c>
      <c r="E3844" s="36" t="s">
        <v>10079</v>
      </c>
      <c r="F3844" s="13" t="s">
        <v>1298</v>
      </c>
      <c r="G3844" s="13" t="s">
        <v>757</v>
      </c>
      <c r="H3844" s="13" t="s">
        <v>4610</v>
      </c>
      <c r="I3844" s="13" t="s">
        <v>104</v>
      </c>
      <c r="J3844" s="13" t="s">
        <v>10032</v>
      </c>
      <c r="K3844" s="30" t="n">
        <v>4</v>
      </c>
      <c r="L3844" s="31" t="n">
        <v>46141</v>
      </c>
      <c r="M3844" s="31" t="n">
        <v>46144</v>
      </c>
      <c r="N3844" s="13"/>
      <c r="O3844" s="13"/>
      <c r="P3844" s="13"/>
      <c r="Q3844" s="13"/>
    </row>
    <row r="3845" customFormat="false" ht="15" hidden="false" customHeight="false" outlineLevel="0" collapsed="false">
      <c r="A3845" s="16" t="s">
        <v>12093</v>
      </c>
      <c r="B3845" s="16" t="n">
        <v>3840</v>
      </c>
      <c r="C3845" s="16" t="s">
        <v>12094</v>
      </c>
      <c r="D3845" s="16" t="n">
        <v>7</v>
      </c>
      <c r="E3845" s="37" t="s">
        <v>10082</v>
      </c>
      <c r="F3845" s="16" t="s">
        <v>1285</v>
      </c>
      <c r="G3845" s="16" t="s">
        <v>757</v>
      </c>
      <c r="H3845" s="16" t="s">
        <v>4610</v>
      </c>
      <c r="I3845" s="16" t="s">
        <v>104</v>
      </c>
      <c r="J3845" s="16" t="s">
        <v>10079</v>
      </c>
      <c r="K3845" s="32" t="n">
        <v>1</v>
      </c>
      <c r="L3845" s="33" t="n">
        <v>46141</v>
      </c>
      <c r="M3845" s="33" t="n">
        <v>46141</v>
      </c>
      <c r="N3845" s="16" t="s">
        <v>12095</v>
      </c>
      <c r="O3845" s="16"/>
      <c r="P3845" s="16" t="str">
        <f aca="false">IF(AND(L3845&lt;=$D$2,M3845&gt;=$C$2),"Sí","")</f>
        <v/>
      </c>
      <c r="Q3845" s="18" t="str">
        <f aca="false">IF(COUNTIF(LOOKAHEAD!$A$5:$A$604,A3845)&gt;0,"En Lookahead",IF(P3845="Sí","INCORPORAR",""))</f>
        <v/>
      </c>
    </row>
    <row r="3846" customFormat="false" ht="15" hidden="false" customHeight="false" outlineLevel="0" collapsed="false">
      <c r="A3846" s="16" t="s">
        <v>12096</v>
      </c>
      <c r="B3846" s="16" t="n">
        <v>3841</v>
      </c>
      <c r="C3846" s="16" t="s">
        <v>12097</v>
      </c>
      <c r="D3846" s="16" t="n">
        <v>7</v>
      </c>
      <c r="E3846" s="37" t="s">
        <v>10086</v>
      </c>
      <c r="F3846" s="16" t="s">
        <v>1285</v>
      </c>
      <c r="G3846" s="16" t="s">
        <v>757</v>
      </c>
      <c r="H3846" s="16" t="s">
        <v>4610</v>
      </c>
      <c r="I3846" s="16" t="s">
        <v>104</v>
      </c>
      <c r="J3846" s="16" t="s">
        <v>10079</v>
      </c>
      <c r="K3846" s="32" t="n">
        <v>1</v>
      </c>
      <c r="L3846" s="33" t="n">
        <v>46142</v>
      </c>
      <c r="M3846" s="33" t="n">
        <v>46142</v>
      </c>
      <c r="N3846" s="16" t="s">
        <v>12098</v>
      </c>
      <c r="O3846" s="16"/>
      <c r="P3846" s="16" t="str">
        <f aca="false">IF(AND(L3846&lt;=$D$2,M3846&gt;=$C$2),"Sí","")</f>
        <v/>
      </c>
      <c r="Q3846" s="18" t="str">
        <f aca="false">IF(COUNTIF(LOOKAHEAD!$A$5:$A$604,A3846)&gt;0,"En Lookahead",IF(P3846="Sí","INCORPORAR",""))</f>
        <v/>
      </c>
    </row>
    <row r="3847" customFormat="false" ht="15" hidden="false" customHeight="false" outlineLevel="0" collapsed="false">
      <c r="A3847" s="16" t="s">
        <v>12099</v>
      </c>
      <c r="B3847" s="16" t="n">
        <v>3842</v>
      </c>
      <c r="C3847" s="16" t="s">
        <v>12100</v>
      </c>
      <c r="D3847" s="16" t="n">
        <v>7</v>
      </c>
      <c r="E3847" s="37" t="s">
        <v>10212</v>
      </c>
      <c r="F3847" s="16" t="s">
        <v>1285</v>
      </c>
      <c r="G3847" s="16" t="s">
        <v>757</v>
      </c>
      <c r="H3847" s="16" t="s">
        <v>4610</v>
      </c>
      <c r="I3847" s="16" t="s">
        <v>104</v>
      </c>
      <c r="J3847" s="16" t="s">
        <v>10079</v>
      </c>
      <c r="K3847" s="32" t="n">
        <v>2</v>
      </c>
      <c r="L3847" s="33" t="n">
        <v>46143</v>
      </c>
      <c r="M3847" s="33" t="n">
        <v>46144</v>
      </c>
      <c r="N3847" s="16" t="s">
        <v>12101</v>
      </c>
      <c r="O3847" s="16"/>
      <c r="P3847" s="16" t="str">
        <f aca="false">IF(AND(L3847&lt;=$D$2,M3847&gt;=$C$2),"Sí","")</f>
        <v/>
      </c>
      <c r="Q3847" s="18" t="str">
        <f aca="false">IF(COUNTIF(LOOKAHEAD!$A$5:$A$604,A3847)&gt;0,"En Lookahead",IF(P3847="Sí","INCORPORAR",""))</f>
        <v/>
      </c>
    </row>
    <row r="3848" customFormat="false" ht="15" hidden="false" customHeight="false" outlineLevel="0" collapsed="false">
      <c r="A3848" s="13" t="s">
        <v>12102</v>
      </c>
      <c r="B3848" s="13" t="n">
        <v>3843</v>
      </c>
      <c r="C3848" s="13" t="s">
        <v>12103</v>
      </c>
      <c r="D3848" s="13" t="n">
        <v>6</v>
      </c>
      <c r="E3848" s="36" t="s">
        <v>10119</v>
      </c>
      <c r="F3848" s="13" t="s">
        <v>1298</v>
      </c>
      <c r="G3848" s="13" t="s">
        <v>757</v>
      </c>
      <c r="H3848" s="13" t="s">
        <v>4610</v>
      </c>
      <c r="I3848" s="13" t="s">
        <v>104</v>
      </c>
      <c r="J3848" s="13" t="s">
        <v>10032</v>
      </c>
      <c r="K3848" s="30" t="n">
        <v>1</v>
      </c>
      <c r="L3848" s="31" t="n">
        <v>46145</v>
      </c>
      <c r="M3848" s="31" t="n">
        <v>46145</v>
      </c>
      <c r="N3848" s="13"/>
      <c r="O3848" s="13"/>
      <c r="P3848" s="13"/>
      <c r="Q3848" s="13"/>
    </row>
    <row r="3849" customFormat="false" ht="15" hidden="false" customHeight="false" outlineLevel="0" collapsed="false">
      <c r="A3849" s="16" t="s">
        <v>12104</v>
      </c>
      <c r="B3849" s="16" t="n">
        <v>3844</v>
      </c>
      <c r="C3849" s="16" t="s">
        <v>12105</v>
      </c>
      <c r="D3849" s="16" t="n">
        <v>7</v>
      </c>
      <c r="E3849" s="37" t="s">
        <v>10122</v>
      </c>
      <c r="F3849" s="16" t="s">
        <v>1285</v>
      </c>
      <c r="G3849" s="16" t="s">
        <v>757</v>
      </c>
      <c r="H3849" s="16" t="s">
        <v>4610</v>
      </c>
      <c r="I3849" s="16" t="s">
        <v>104</v>
      </c>
      <c r="J3849" s="16" t="s">
        <v>10119</v>
      </c>
      <c r="K3849" s="32" t="n">
        <v>1</v>
      </c>
      <c r="L3849" s="33" t="n">
        <v>46145</v>
      </c>
      <c r="M3849" s="33" t="n">
        <v>46145</v>
      </c>
      <c r="N3849" s="16" t="s">
        <v>12106</v>
      </c>
      <c r="O3849" s="16"/>
      <c r="P3849" s="16" t="str">
        <f aca="false">IF(AND(L3849&lt;=$D$2,M3849&gt;=$C$2),"Sí","")</f>
        <v/>
      </c>
      <c r="Q3849" s="18" t="str">
        <f aca="false">IF(COUNTIF(LOOKAHEAD!$A$5:$A$604,A3849)&gt;0,"En Lookahead",IF(P3849="Sí","INCORPORAR",""))</f>
        <v/>
      </c>
    </row>
    <row r="3850" customFormat="false" ht="15" hidden="false" customHeight="false" outlineLevel="0" collapsed="false">
      <c r="A3850" s="13" t="s">
        <v>12107</v>
      </c>
      <c r="B3850" s="13" t="n">
        <v>3845</v>
      </c>
      <c r="C3850" s="13" t="s">
        <v>12108</v>
      </c>
      <c r="D3850" s="13" t="n">
        <v>4</v>
      </c>
      <c r="E3850" s="20" t="s">
        <v>5039</v>
      </c>
      <c r="F3850" s="13" t="s">
        <v>1298</v>
      </c>
      <c r="G3850" s="13" t="s">
        <v>757</v>
      </c>
      <c r="H3850" s="13" t="s">
        <v>5039</v>
      </c>
      <c r="I3850" s="13" t="s">
        <v>109</v>
      </c>
      <c r="J3850" s="13" t="s">
        <v>9945</v>
      </c>
      <c r="K3850" s="30" t="n">
        <v>17</v>
      </c>
      <c r="L3850" s="31" t="n">
        <v>46147</v>
      </c>
      <c r="M3850" s="31" t="n">
        <v>46243</v>
      </c>
      <c r="N3850" s="13"/>
      <c r="O3850" s="13"/>
      <c r="P3850" s="13"/>
      <c r="Q3850" s="13"/>
    </row>
    <row r="3851" customFormat="false" ht="15" hidden="false" customHeight="false" outlineLevel="0" collapsed="false">
      <c r="A3851" s="13" t="s">
        <v>12109</v>
      </c>
      <c r="B3851" s="13" t="n">
        <v>3846</v>
      </c>
      <c r="C3851" s="13" t="s">
        <v>12110</v>
      </c>
      <c r="D3851" s="13" t="n">
        <v>5</v>
      </c>
      <c r="E3851" s="34" t="s">
        <v>10032</v>
      </c>
      <c r="F3851" s="13" t="s">
        <v>1298</v>
      </c>
      <c r="G3851" s="13" t="s">
        <v>757</v>
      </c>
      <c r="H3851" s="13" t="s">
        <v>5039</v>
      </c>
      <c r="I3851" s="13" t="s">
        <v>109</v>
      </c>
      <c r="J3851" s="13" t="s">
        <v>5039</v>
      </c>
      <c r="K3851" s="30" t="n">
        <v>17</v>
      </c>
      <c r="L3851" s="31" t="n">
        <v>46147</v>
      </c>
      <c r="M3851" s="31" t="n">
        <v>46243</v>
      </c>
      <c r="N3851" s="13"/>
      <c r="O3851" s="13"/>
      <c r="P3851" s="13"/>
      <c r="Q3851" s="13"/>
    </row>
    <row r="3852" customFormat="false" ht="15" hidden="false" customHeight="false" outlineLevel="0" collapsed="false">
      <c r="A3852" s="13" t="s">
        <v>12111</v>
      </c>
      <c r="B3852" s="13" t="n">
        <v>3847</v>
      </c>
      <c r="C3852" s="13" t="s">
        <v>12112</v>
      </c>
      <c r="D3852" s="13" t="n">
        <v>6</v>
      </c>
      <c r="E3852" s="36" t="s">
        <v>10035</v>
      </c>
      <c r="F3852" s="13" t="s">
        <v>1298</v>
      </c>
      <c r="G3852" s="13" t="s">
        <v>757</v>
      </c>
      <c r="H3852" s="13" t="s">
        <v>5039</v>
      </c>
      <c r="I3852" s="13" t="s">
        <v>109</v>
      </c>
      <c r="J3852" s="13" t="s">
        <v>10032</v>
      </c>
      <c r="K3852" s="30" t="n">
        <v>1</v>
      </c>
      <c r="L3852" s="31" t="n">
        <v>46147</v>
      </c>
      <c r="M3852" s="31" t="n">
        <v>46147</v>
      </c>
      <c r="N3852" s="13"/>
      <c r="O3852" s="13"/>
      <c r="P3852" s="13"/>
      <c r="Q3852" s="13"/>
    </row>
    <row r="3853" customFormat="false" ht="15" hidden="false" customHeight="false" outlineLevel="0" collapsed="false">
      <c r="A3853" s="16" t="s">
        <v>12113</v>
      </c>
      <c r="B3853" s="16" t="n">
        <v>3848</v>
      </c>
      <c r="C3853" s="16" t="s">
        <v>12114</v>
      </c>
      <c r="D3853" s="16" t="n">
        <v>7</v>
      </c>
      <c r="E3853" s="37" t="s">
        <v>10038</v>
      </c>
      <c r="F3853" s="16" t="s">
        <v>1285</v>
      </c>
      <c r="G3853" s="16" t="s">
        <v>757</v>
      </c>
      <c r="H3853" s="16" t="s">
        <v>5039</v>
      </c>
      <c r="I3853" s="16" t="s">
        <v>109</v>
      </c>
      <c r="J3853" s="16" t="s">
        <v>10035</v>
      </c>
      <c r="K3853" s="32" t="n">
        <v>1</v>
      </c>
      <c r="L3853" s="33" t="n">
        <v>46147</v>
      </c>
      <c r="M3853" s="33" t="n">
        <v>46147</v>
      </c>
      <c r="N3853" s="16" t="s">
        <v>5050</v>
      </c>
      <c r="O3853" s="16"/>
      <c r="P3853" s="16" t="str">
        <f aca="false">IF(AND(L3853&lt;=$D$2,M3853&gt;=$C$2),"Sí","")</f>
        <v/>
      </c>
      <c r="Q3853" s="18" t="str">
        <f aca="false">IF(COUNTIF(LOOKAHEAD!$A$5:$A$604,A3853)&gt;0,"En Lookahead",IF(P3853="Sí","INCORPORAR",""))</f>
        <v/>
      </c>
    </row>
    <row r="3854" customFormat="false" ht="15" hidden="false" customHeight="false" outlineLevel="0" collapsed="false">
      <c r="A3854" s="13" t="s">
        <v>12115</v>
      </c>
      <c r="B3854" s="13" t="n">
        <v>3849</v>
      </c>
      <c r="C3854" s="13" t="s">
        <v>12116</v>
      </c>
      <c r="D3854" s="13" t="n">
        <v>6</v>
      </c>
      <c r="E3854" s="36" t="s">
        <v>1534</v>
      </c>
      <c r="F3854" s="13" t="s">
        <v>1298</v>
      </c>
      <c r="G3854" s="13" t="s">
        <v>757</v>
      </c>
      <c r="H3854" s="13" t="s">
        <v>5039</v>
      </c>
      <c r="I3854" s="13" t="s">
        <v>109</v>
      </c>
      <c r="J3854" s="13" t="s">
        <v>10032</v>
      </c>
      <c r="K3854" s="30" t="n">
        <v>15</v>
      </c>
      <c r="L3854" s="31" t="n">
        <v>46148</v>
      </c>
      <c r="M3854" s="31" t="n">
        <v>46242</v>
      </c>
      <c r="N3854" s="13"/>
      <c r="O3854" s="13"/>
      <c r="P3854" s="13"/>
      <c r="Q3854" s="13"/>
    </row>
    <row r="3855" customFormat="false" ht="15" hidden="false" customHeight="false" outlineLevel="0" collapsed="false">
      <c r="A3855" s="16" t="s">
        <v>12117</v>
      </c>
      <c r="B3855" s="16" t="n">
        <v>3850</v>
      </c>
      <c r="C3855" s="16" t="s">
        <v>12118</v>
      </c>
      <c r="D3855" s="16" t="n">
        <v>7</v>
      </c>
      <c r="E3855" s="37" t="s">
        <v>10043</v>
      </c>
      <c r="F3855" s="16" t="s">
        <v>1285</v>
      </c>
      <c r="G3855" s="16" t="s">
        <v>757</v>
      </c>
      <c r="H3855" s="16" t="s">
        <v>5039</v>
      </c>
      <c r="I3855" s="16" t="s">
        <v>109</v>
      </c>
      <c r="J3855" s="16" t="s">
        <v>1534</v>
      </c>
      <c r="K3855" s="32" t="n">
        <v>4</v>
      </c>
      <c r="L3855" s="33" t="n">
        <v>46148</v>
      </c>
      <c r="M3855" s="33" t="n">
        <v>46151</v>
      </c>
      <c r="N3855" s="16" t="s">
        <v>12119</v>
      </c>
      <c r="O3855" s="16"/>
      <c r="P3855" s="16" t="str">
        <f aca="false">IF(AND(L3855&lt;=$D$2,M3855&gt;=$C$2),"Sí","")</f>
        <v/>
      </c>
      <c r="Q3855" s="18" t="str">
        <f aca="false">IF(COUNTIF(LOOKAHEAD!$A$5:$A$604,A3855)&gt;0,"En Lookahead",IF(P3855="Sí","INCORPORAR",""))</f>
        <v/>
      </c>
    </row>
    <row r="3856" customFormat="false" ht="15" hidden="false" customHeight="false" outlineLevel="0" collapsed="false">
      <c r="A3856" s="16" t="s">
        <v>12120</v>
      </c>
      <c r="B3856" s="16" t="n">
        <v>3851</v>
      </c>
      <c r="C3856" s="16" t="s">
        <v>12121</v>
      </c>
      <c r="D3856" s="16" t="n">
        <v>7</v>
      </c>
      <c r="E3856" s="37" t="s">
        <v>10047</v>
      </c>
      <c r="F3856" s="16" t="s">
        <v>1285</v>
      </c>
      <c r="G3856" s="16" t="s">
        <v>757</v>
      </c>
      <c r="H3856" s="16" t="s">
        <v>5039</v>
      </c>
      <c r="I3856" s="16" t="s">
        <v>109</v>
      </c>
      <c r="J3856" s="16" t="s">
        <v>1534</v>
      </c>
      <c r="K3856" s="32" t="n">
        <v>1</v>
      </c>
      <c r="L3856" s="33" t="n">
        <v>46152</v>
      </c>
      <c r="M3856" s="33" t="n">
        <v>46152</v>
      </c>
      <c r="N3856" s="16" t="s">
        <v>12122</v>
      </c>
      <c r="O3856" s="16"/>
      <c r="P3856" s="16" t="str">
        <f aca="false">IF(AND(L3856&lt;=$D$2,M3856&gt;=$C$2),"Sí","")</f>
        <v/>
      </c>
      <c r="Q3856" s="18" t="str">
        <f aca="false">IF(COUNTIF(LOOKAHEAD!$A$5:$A$604,A3856)&gt;0,"En Lookahead",IF(P3856="Sí","INCORPORAR",""))</f>
        <v/>
      </c>
    </row>
    <row r="3857" customFormat="false" ht="15" hidden="false" customHeight="false" outlineLevel="0" collapsed="false">
      <c r="A3857" s="16" t="s">
        <v>12123</v>
      </c>
      <c r="B3857" s="16" t="n">
        <v>3852</v>
      </c>
      <c r="C3857" s="16" t="s">
        <v>12124</v>
      </c>
      <c r="D3857" s="16" t="n">
        <v>7</v>
      </c>
      <c r="E3857" s="37" t="s">
        <v>10051</v>
      </c>
      <c r="F3857" s="16" t="s">
        <v>1285</v>
      </c>
      <c r="G3857" s="16" t="s">
        <v>757</v>
      </c>
      <c r="H3857" s="16" t="s">
        <v>5039</v>
      </c>
      <c r="I3857" s="16" t="s">
        <v>109</v>
      </c>
      <c r="J3857" s="16" t="s">
        <v>1534</v>
      </c>
      <c r="K3857" s="32" t="n">
        <v>1</v>
      </c>
      <c r="L3857" s="33" t="n">
        <v>46153</v>
      </c>
      <c r="M3857" s="33" t="n">
        <v>46153</v>
      </c>
      <c r="N3857" s="16" t="s">
        <v>12125</v>
      </c>
      <c r="O3857" s="16"/>
      <c r="P3857" s="16" t="str">
        <f aca="false">IF(AND(L3857&lt;=$D$2,M3857&gt;=$C$2),"Sí","")</f>
        <v/>
      </c>
      <c r="Q3857" s="18" t="str">
        <f aca="false">IF(COUNTIF(LOOKAHEAD!$A$5:$A$604,A3857)&gt;0,"En Lookahead",IF(P3857="Sí","INCORPORAR",""))</f>
        <v/>
      </c>
    </row>
    <row r="3858" customFormat="false" ht="15" hidden="false" customHeight="false" outlineLevel="0" collapsed="false">
      <c r="A3858" s="16" t="s">
        <v>12126</v>
      </c>
      <c r="B3858" s="16" t="n">
        <v>3853</v>
      </c>
      <c r="C3858" s="16" t="s">
        <v>12127</v>
      </c>
      <c r="D3858" s="16" t="n">
        <v>7</v>
      </c>
      <c r="E3858" s="37" t="s">
        <v>10055</v>
      </c>
      <c r="F3858" s="16" t="s">
        <v>1285</v>
      </c>
      <c r="G3858" s="16" t="s">
        <v>757</v>
      </c>
      <c r="H3858" s="16" t="s">
        <v>5039</v>
      </c>
      <c r="I3858" s="16" t="s">
        <v>109</v>
      </c>
      <c r="J3858" s="16" t="s">
        <v>1534</v>
      </c>
      <c r="K3858" s="32" t="n">
        <v>1</v>
      </c>
      <c r="L3858" s="33" t="n">
        <v>46154</v>
      </c>
      <c r="M3858" s="33" t="n">
        <v>46154</v>
      </c>
      <c r="N3858" s="16" t="s">
        <v>12128</v>
      </c>
      <c r="O3858" s="16"/>
      <c r="P3858" s="16" t="str">
        <f aca="false">IF(AND(L3858&lt;=$D$2,M3858&gt;=$C$2),"Sí","")</f>
        <v/>
      </c>
      <c r="Q3858" s="18" t="str">
        <f aca="false">IF(COUNTIF(LOOKAHEAD!$A$5:$A$604,A3858)&gt;0,"En Lookahead",IF(P3858="Sí","INCORPORAR",""))</f>
        <v/>
      </c>
    </row>
    <row r="3859" customFormat="false" ht="15" hidden="false" customHeight="false" outlineLevel="0" collapsed="false">
      <c r="A3859" s="16" t="s">
        <v>12129</v>
      </c>
      <c r="B3859" s="16" t="n">
        <v>3854</v>
      </c>
      <c r="C3859" s="16" t="s">
        <v>12130</v>
      </c>
      <c r="D3859" s="16" t="n">
        <v>7</v>
      </c>
      <c r="E3859" s="37" t="s">
        <v>10059</v>
      </c>
      <c r="F3859" s="16" t="s">
        <v>1285</v>
      </c>
      <c r="G3859" s="16" t="s">
        <v>757</v>
      </c>
      <c r="H3859" s="16" t="s">
        <v>5039</v>
      </c>
      <c r="I3859" s="16" t="s">
        <v>109</v>
      </c>
      <c r="J3859" s="16" t="s">
        <v>1534</v>
      </c>
      <c r="K3859" s="32" t="n">
        <v>1</v>
      </c>
      <c r="L3859" s="33" t="n">
        <v>46240</v>
      </c>
      <c r="M3859" s="33" t="n">
        <v>46240</v>
      </c>
      <c r="N3859" s="16" t="s">
        <v>12131</v>
      </c>
      <c r="O3859" s="16"/>
      <c r="P3859" s="16" t="str">
        <f aca="false">IF(AND(L3859&lt;=$D$2,M3859&gt;=$C$2),"Sí","")</f>
        <v/>
      </c>
      <c r="Q3859" s="18" t="str">
        <f aca="false">IF(COUNTIF(LOOKAHEAD!$A$5:$A$604,A3859)&gt;0,"En Lookahead",IF(P3859="Sí","INCORPORAR",""))</f>
        <v/>
      </c>
    </row>
    <row r="3860" customFormat="false" ht="15" hidden="false" customHeight="false" outlineLevel="0" collapsed="false">
      <c r="A3860" s="16" t="s">
        <v>12132</v>
      </c>
      <c r="B3860" s="16" t="n">
        <v>3855</v>
      </c>
      <c r="C3860" s="16" t="s">
        <v>12133</v>
      </c>
      <c r="D3860" s="16" t="n">
        <v>7</v>
      </c>
      <c r="E3860" s="37" t="s">
        <v>10063</v>
      </c>
      <c r="F3860" s="16" t="s">
        <v>1285</v>
      </c>
      <c r="G3860" s="16" t="s">
        <v>757</v>
      </c>
      <c r="H3860" s="16" t="s">
        <v>5039</v>
      </c>
      <c r="I3860" s="16" t="s">
        <v>109</v>
      </c>
      <c r="J3860" s="16" t="s">
        <v>1534</v>
      </c>
      <c r="K3860" s="32" t="n">
        <v>1</v>
      </c>
      <c r="L3860" s="33" t="n">
        <v>46241</v>
      </c>
      <c r="M3860" s="33" t="n">
        <v>46241</v>
      </c>
      <c r="N3860" s="16" t="s">
        <v>12134</v>
      </c>
      <c r="O3860" s="16"/>
      <c r="P3860" s="16" t="str">
        <f aca="false">IF(AND(L3860&lt;=$D$2,M3860&gt;=$C$2),"Sí","")</f>
        <v/>
      </c>
      <c r="Q3860" s="18" t="str">
        <f aca="false">IF(COUNTIF(LOOKAHEAD!$A$5:$A$604,A3860)&gt;0,"En Lookahead",IF(P3860="Sí","INCORPORAR",""))</f>
        <v/>
      </c>
    </row>
    <row r="3861" customFormat="false" ht="15" hidden="false" customHeight="false" outlineLevel="0" collapsed="false">
      <c r="A3861" s="16" t="s">
        <v>12135</v>
      </c>
      <c r="B3861" s="16" t="n">
        <v>3856</v>
      </c>
      <c r="C3861" s="16" t="s">
        <v>12136</v>
      </c>
      <c r="D3861" s="16" t="n">
        <v>7</v>
      </c>
      <c r="E3861" s="37" t="s">
        <v>1557</v>
      </c>
      <c r="F3861" s="16" t="s">
        <v>1285</v>
      </c>
      <c r="G3861" s="16" t="s">
        <v>757</v>
      </c>
      <c r="H3861" s="16" t="s">
        <v>5039</v>
      </c>
      <c r="I3861" s="16" t="s">
        <v>109</v>
      </c>
      <c r="J3861" s="16" t="s">
        <v>1534</v>
      </c>
      <c r="K3861" s="32" t="n">
        <v>1</v>
      </c>
      <c r="L3861" s="33" t="n">
        <v>46240</v>
      </c>
      <c r="M3861" s="33" t="n">
        <v>46240</v>
      </c>
      <c r="N3861" s="16" t="s">
        <v>12137</v>
      </c>
      <c r="O3861" s="16"/>
      <c r="P3861" s="16" t="str">
        <f aca="false">IF(AND(L3861&lt;=$D$2,M3861&gt;=$C$2),"Sí","")</f>
        <v/>
      </c>
      <c r="Q3861" s="18" t="str">
        <f aca="false">IF(COUNTIF(LOOKAHEAD!$A$5:$A$604,A3861)&gt;0,"En Lookahead",IF(P3861="Sí","INCORPORAR",""))</f>
        <v/>
      </c>
    </row>
    <row r="3862" customFormat="false" ht="15" hidden="false" customHeight="false" outlineLevel="0" collapsed="false">
      <c r="A3862" s="16" t="s">
        <v>12138</v>
      </c>
      <c r="B3862" s="16" t="n">
        <v>3857</v>
      </c>
      <c r="C3862" s="16" t="s">
        <v>12139</v>
      </c>
      <c r="D3862" s="16" t="n">
        <v>7</v>
      </c>
      <c r="E3862" s="37" t="s">
        <v>10069</v>
      </c>
      <c r="F3862" s="16" t="s">
        <v>1285</v>
      </c>
      <c r="G3862" s="16" t="s">
        <v>757</v>
      </c>
      <c r="H3862" s="16" t="s">
        <v>5039</v>
      </c>
      <c r="I3862" s="16" t="s">
        <v>109</v>
      </c>
      <c r="J3862" s="16" t="s">
        <v>1534</v>
      </c>
      <c r="K3862" s="32" t="n">
        <v>1</v>
      </c>
      <c r="L3862" s="33" t="n">
        <v>46242</v>
      </c>
      <c r="M3862" s="33" t="n">
        <v>46242</v>
      </c>
      <c r="N3862" s="16" t="s">
        <v>12140</v>
      </c>
      <c r="O3862" s="16"/>
      <c r="P3862" s="16" t="str">
        <f aca="false">IF(AND(L3862&lt;=$D$2,M3862&gt;=$C$2),"Sí","")</f>
        <v/>
      </c>
      <c r="Q3862" s="18" t="str">
        <f aca="false">IF(COUNTIF(LOOKAHEAD!$A$5:$A$604,A3862)&gt;0,"En Lookahead",IF(P3862="Sí","INCORPORAR",""))</f>
        <v/>
      </c>
    </row>
    <row r="3863" customFormat="false" ht="15" hidden="false" customHeight="false" outlineLevel="0" collapsed="false">
      <c r="A3863" s="13" t="s">
        <v>12141</v>
      </c>
      <c r="B3863" s="13" t="n">
        <v>3858</v>
      </c>
      <c r="C3863" s="13" t="s">
        <v>12142</v>
      </c>
      <c r="D3863" s="13" t="n">
        <v>6</v>
      </c>
      <c r="E3863" s="36" t="s">
        <v>10072</v>
      </c>
      <c r="F3863" s="13" t="s">
        <v>1298</v>
      </c>
      <c r="G3863" s="13" t="s">
        <v>757</v>
      </c>
      <c r="H3863" s="13" t="s">
        <v>5039</v>
      </c>
      <c r="I3863" s="13" t="s">
        <v>109</v>
      </c>
      <c r="J3863" s="13" t="s">
        <v>10032</v>
      </c>
      <c r="K3863" s="30" t="n">
        <v>2</v>
      </c>
      <c r="L3863" s="31" t="n">
        <v>46154</v>
      </c>
      <c r="M3863" s="31" t="n">
        <v>46155</v>
      </c>
      <c r="N3863" s="13"/>
      <c r="O3863" s="13"/>
      <c r="P3863" s="13"/>
      <c r="Q3863" s="13"/>
    </row>
    <row r="3864" customFormat="false" ht="15" hidden="false" customHeight="false" outlineLevel="0" collapsed="false">
      <c r="A3864" s="16" t="s">
        <v>12143</v>
      </c>
      <c r="B3864" s="16" t="n">
        <v>3859</v>
      </c>
      <c r="C3864" s="16" t="s">
        <v>12144</v>
      </c>
      <c r="D3864" s="16" t="n">
        <v>7</v>
      </c>
      <c r="E3864" s="37" t="s">
        <v>10075</v>
      </c>
      <c r="F3864" s="16" t="s">
        <v>1285</v>
      </c>
      <c r="G3864" s="16" t="s">
        <v>757</v>
      </c>
      <c r="H3864" s="16" t="s">
        <v>5039</v>
      </c>
      <c r="I3864" s="16" t="s">
        <v>109</v>
      </c>
      <c r="J3864" s="16" t="s">
        <v>10072</v>
      </c>
      <c r="K3864" s="32" t="n">
        <v>2</v>
      </c>
      <c r="L3864" s="33" t="n">
        <v>46154</v>
      </c>
      <c r="M3864" s="33" t="n">
        <v>46155</v>
      </c>
      <c r="N3864" s="16" t="s">
        <v>12128</v>
      </c>
      <c r="O3864" s="16"/>
      <c r="P3864" s="16" t="str">
        <f aca="false">IF(AND(L3864&lt;=$D$2,M3864&gt;=$C$2),"Sí","")</f>
        <v/>
      </c>
      <c r="Q3864" s="18" t="str">
        <f aca="false">IF(COUNTIF(LOOKAHEAD!$A$5:$A$604,A3864)&gt;0,"En Lookahead",IF(P3864="Sí","INCORPORAR",""))</f>
        <v/>
      </c>
    </row>
    <row r="3865" customFormat="false" ht="15" hidden="false" customHeight="false" outlineLevel="0" collapsed="false">
      <c r="A3865" s="13" t="s">
        <v>12145</v>
      </c>
      <c r="B3865" s="13" t="n">
        <v>3860</v>
      </c>
      <c r="C3865" s="13" t="s">
        <v>12146</v>
      </c>
      <c r="D3865" s="13" t="n">
        <v>6</v>
      </c>
      <c r="E3865" s="36" t="s">
        <v>10079</v>
      </c>
      <c r="F3865" s="13" t="s">
        <v>1298</v>
      </c>
      <c r="G3865" s="13" t="s">
        <v>757</v>
      </c>
      <c r="H3865" s="13" t="s">
        <v>5039</v>
      </c>
      <c r="I3865" s="13" t="s">
        <v>109</v>
      </c>
      <c r="J3865" s="13" t="s">
        <v>10032</v>
      </c>
      <c r="K3865" s="30" t="n">
        <v>4</v>
      </c>
      <c r="L3865" s="31" t="n">
        <v>46156</v>
      </c>
      <c r="M3865" s="31" t="n">
        <v>46239</v>
      </c>
      <c r="N3865" s="13"/>
      <c r="O3865" s="13"/>
      <c r="P3865" s="13"/>
      <c r="Q3865" s="13"/>
    </row>
    <row r="3866" customFormat="false" ht="15" hidden="false" customHeight="false" outlineLevel="0" collapsed="false">
      <c r="A3866" s="16" t="s">
        <v>12147</v>
      </c>
      <c r="B3866" s="16" t="n">
        <v>3861</v>
      </c>
      <c r="C3866" s="16" t="s">
        <v>12148</v>
      </c>
      <c r="D3866" s="16" t="n">
        <v>7</v>
      </c>
      <c r="E3866" s="37" t="s">
        <v>10082</v>
      </c>
      <c r="F3866" s="16" t="s">
        <v>1285</v>
      </c>
      <c r="G3866" s="16" t="s">
        <v>757</v>
      </c>
      <c r="H3866" s="16" t="s">
        <v>5039</v>
      </c>
      <c r="I3866" s="16" t="s">
        <v>109</v>
      </c>
      <c r="J3866" s="16" t="s">
        <v>10079</v>
      </c>
      <c r="K3866" s="32" t="n">
        <v>1</v>
      </c>
      <c r="L3866" s="33" t="n">
        <v>46156</v>
      </c>
      <c r="M3866" s="33" t="n">
        <v>46156</v>
      </c>
      <c r="N3866" s="16" t="s">
        <v>12149</v>
      </c>
      <c r="O3866" s="16"/>
      <c r="P3866" s="16" t="str">
        <f aca="false">IF(AND(L3866&lt;=$D$2,M3866&gt;=$C$2),"Sí","")</f>
        <v/>
      </c>
      <c r="Q3866" s="18" t="str">
        <f aca="false">IF(COUNTIF(LOOKAHEAD!$A$5:$A$604,A3866)&gt;0,"En Lookahead",IF(P3866="Sí","INCORPORAR",""))</f>
        <v/>
      </c>
    </row>
    <row r="3867" customFormat="false" ht="15" hidden="false" customHeight="false" outlineLevel="0" collapsed="false">
      <c r="A3867" s="16" t="s">
        <v>12150</v>
      </c>
      <c r="B3867" s="16" t="n">
        <v>3862</v>
      </c>
      <c r="C3867" s="16" t="s">
        <v>12151</v>
      </c>
      <c r="D3867" s="16" t="n">
        <v>7</v>
      </c>
      <c r="E3867" s="37" t="s">
        <v>10086</v>
      </c>
      <c r="F3867" s="16" t="s">
        <v>1285</v>
      </c>
      <c r="G3867" s="16" t="s">
        <v>757</v>
      </c>
      <c r="H3867" s="16" t="s">
        <v>5039</v>
      </c>
      <c r="I3867" s="16" t="s">
        <v>109</v>
      </c>
      <c r="J3867" s="16" t="s">
        <v>10079</v>
      </c>
      <c r="K3867" s="32" t="n">
        <v>1</v>
      </c>
      <c r="L3867" s="33" t="n">
        <v>46237</v>
      </c>
      <c r="M3867" s="33" t="n">
        <v>46237</v>
      </c>
      <c r="N3867" s="16" t="s">
        <v>12152</v>
      </c>
      <c r="O3867" s="16"/>
      <c r="P3867" s="16" t="str">
        <f aca="false">IF(AND(L3867&lt;=$D$2,M3867&gt;=$C$2),"Sí","")</f>
        <v/>
      </c>
      <c r="Q3867" s="18" t="str">
        <f aca="false">IF(COUNTIF(LOOKAHEAD!$A$5:$A$604,A3867)&gt;0,"En Lookahead",IF(P3867="Sí","INCORPORAR",""))</f>
        <v/>
      </c>
    </row>
    <row r="3868" customFormat="false" ht="15" hidden="false" customHeight="false" outlineLevel="0" collapsed="false">
      <c r="A3868" s="16" t="s">
        <v>12153</v>
      </c>
      <c r="B3868" s="16" t="n">
        <v>3863</v>
      </c>
      <c r="C3868" s="16" t="s">
        <v>12154</v>
      </c>
      <c r="D3868" s="16" t="n">
        <v>7</v>
      </c>
      <c r="E3868" s="37" t="s">
        <v>10090</v>
      </c>
      <c r="F3868" s="16" t="s">
        <v>1285</v>
      </c>
      <c r="G3868" s="16" t="s">
        <v>757</v>
      </c>
      <c r="H3868" s="16" t="s">
        <v>5039</v>
      </c>
      <c r="I3868" s="16" t="s">
        <v>109</v>
      </c>
      <c r="J3868" s="16" t="s">
        <v>10079</v>
      </c>
      <c r="K3868" s="32" t="n">
        <v>1</v>
      </c>
      <c r="L3868" s="33" t="n">
        <v>46238</v>
      </c>
      <c r="M3868" s="33" t="n">
        <v>46238</v>
      </c>
      <c r="N3868" s="16" t="s">
        <v>12155</v>
      </c>
      <c r="O3868" s="16"/>
      <c r="P3868" s="16" t="str">
        <f aca="false">IF(AND(L3868&lt;=$D$2,M3868&gt;=$C$2),"Sí","")</f>
        <v/>
      </c>
      <c r="Q3868" s="18" t="str">
        <f aca="false">IF(COUNTIF(LOOKAHEAD!$A$5:$A$604,A3868)&gt;0,"En Lookahead",IF(P3868="Sí","INCORPORAR",""))</f>
        <v/>
      </c>
    </row>
    <row r="3869" customFormat="false" ht="15" hidden="false" customHeight="false" outlineLevel="0" collapsed="false">
      <c r="A3869" s="16" t="s">
        <v>12156</v>
      </c>
      <c r="B3869" s="16" t="n">
        <v>3864</v>
      </c>
      <c r="C3869" s="16" t="s">
        <v>12157</v>
      </c>
      <c r="D3869" s="16" t="n">
        <v>7</v>
      </c>
      <c r="E3869" s="37" t="s">
        <v>10212</v>
      </c>
      <c r="F3869" s="16" t="s">
        <v>1285</v>
      </c>
      <c r="G3869" s="16" t="s">
        <v>757</v>
      </c>
      <c r="H3869" s="16" t="s">
        <v>5039</v>
      </c>
      <c r="I3869" s="16" t="s">
        <v>109</v>
      </c>
      <c r="J3869" s="16" t="s">
        <v>10079</v>
      </c>
      <c r="K3869" s="32" t="n">
        <v>1</v>
      </c>
      <c r="L3869" s="33" t="n">
        <v>46239</v>
      </c>
      <c r="M3869" s="33" t="n">
        <v>46239</v>
      </c>
      <c r="N3869" s="16" t="s">
        <v>12158</v>
      </c>
      <c r="O3869" s="16"/>
      <c r="P3869" s="16" t="str">
        <f aca="false">IF(AND(L3869&lt;=$D$2,M3869&gt;=$C$2),"Sí","")</f>
        <v/>
      </c>
      <c r="Q3869" s="18" t="str">
        <f aca="false">IF(COUNTIF(LOOKAHEAD!$A$5:$A$604,A3869)&gt;0,"En Lookahead",IF(P3869="Sí","INCORPORAR",""))</f>
        <v/>
      </c>
    </row>
    <row r="3870" customFormat="false" ht="15" hidden="false" customHeight="false" outlineLevel="0" collapsed="false">
      <c r="A3870" s="13" t="s">
        <v>12159</v>
      </c>
      <c r="B3870" s="13" t="n">
        <v>3865</v>
      </c>
      <c r="C3870" s="13" t="s">
        <v>12160</v>
      </c>
      <c r="D3870" s="13" t="n">
        <v>6</v>
      </c>
      <c r="E3870" s="36" t="s">
        <v>10102</v>
      </c>
      <c r="F3870" s="13" t="s">
        <v>1298</v>
      </c>
      <c r="G3870" s="13" t="s">
        <v>757</v>
      </c>
      <c r="H3870" s="13" t="s">
        <v>5039</v>
      </c>
      <c r="I3870" s="13" t="s">
        <v>109</v>
      </c>
      <c r="J3870" s="13" t="s">
        <v>10032</v>
      </c>
      <c r="K3870" s="30" t="n">
        <v>4</v>
      </c>
      <c r="L3870" s="31" t="n">
        <v>46240</v>
      </c>
      <c r="M3870" s="31" t="n">
        <v>46243</v>
      </c>
      <c r="N3870" s="13"/>
      <c r="O3870" s="13"/>
      <c r="P3870" s="13"/>
      <c r="Q3870" s="13"/>
    </row>
    <row r="3871" customFormat="false" ht="15" hidden="false" customHeight="false" outlineLevel="0" collapsed="false">
      <c r="A3871" s="16" t="s">
        <v>12161</v>
      </c>
      <c r="B3871" s="16" t="n">
        <v>3866</v>
      </c>
      <c r="C3871" s="16" t="s">
        <v>12162</v>
      </c>
      <c r="D3871" s="16" t="n">
        <v>7</v>
      </c>
      <c r="E3871" s="37" t="s">
        <v>10105</v>
      </c>
      <c r="F3871" s="16" t="s">
        <v>1285</v>
      </c>
      <c r="G3871" s="16" t="s">
        <v>757</v>
      </c>
      <c r="H3871" s="16" t="s">
        <v>5039</v>
      </c>
      <c r="I3871" s="16" t="s">
        <v>109</v>
      </c>
      <c r="J3871" s="16" t="s">
        <v>10102</v>
      </c>
      <c r="K3871" s="32" t="n">
        <v>1</v>
      </c>
      <c r="L3871" s="33" t="n">
        <v>46240</v>
      </c>
      <c r="M3871" s="33" t="n">
        <v>46240</v>
      </c>
      <c r="N3871" s="16" t="s">
        <v>12131</v>
      </c>
      <c r="O3871" s="16"/>
      <c r="P3871" s="16" t="str">
        <f aca="false">IF(AND(L3871&lt;=$D$2,M3871&gt;=$C$2),"Sí","")</f>
        <v/>
      </c>
      <c r="Q3871" s="18" t="str">
        <f aca="false">IF(COUNTIF(LOOKAHEAD!$A$5:$A$604,A3871)&gt;0,"En Lookahead",IF(P3871="Sí","INCORPORAR",""))</f>
        <v/>
      </c>
    </row>
    <row r="3872" customFormat="false" ht="15" hidden="false" customHeight="false" outlineLevel="0" collapsed="false">
      <c r="A3872" s="16" t="s">
        <v>12163</v>
      </c>
      <c r="B3872" s="16" t="n">
        <v>3867</v>
      </c>
      <c r="C3872" s="16" t="s">
        <v>12164</v>
      </c>
      <c r="D3872" s="16" t="n">
        <v>7</v>
      </c>
      <c r="E3872" s="37" t="s">
        <v>1557</v>
      </c>
      <c r="F3872" s="16" t="s">
        <v>1285</v>
      </c>
      <c r="G3872" s="16" t="s">
        <v>757</v>
      </c>
      <c r="H3872" s="16" t="s">
        <v>5039</v>
      </c>
      <c r="I3872" s="16" t="s">
        <v>109</v>
      </c>
      <c r="J3872" s="16" t="s">
        <v>10102</v>
      </c>
      <c r="K3872" s="32" t="n">
        <v>1</v>
      </c>
      <c r="L3872" s="33" t="n">
        <v>46241</v>
      </c>
      <c r="M3872" s="33" t="n">
        <v>46241</v>
      </c>
      <c r="N3872" s="16" t="s">
        <v>12165</v>
      </c>
      <c r="O3872" s="16"/>
      <c r="P3872" s="16" t="str">
        <f aca="false">IF(AND(L3872&lt;=$D$2,M3872&gt;=$C$2),"Sí","")</f>
        <v/>
      </c>
      <c r="Q3872" s="18" t="str">
        <f aca="false">IF(COUNTIF(LOOKAHEAD!$A$5:$A$604,A3872)&gt;0,"En Lookahead",IF(P3872="Sí","INCORPORAR",""))</f>
        <v/>
      </c>
    </row>
    <row r="3873" customFormat="false" ht="15" hidden="false" customHeight="false" outlineLevel="0" collapsed="false">
      <c r="A3873" s="16" t="s">
        <v>12166</v>
      </c>
      <c r="B3873" s="16" t="n">
        <v>3868</v>
      </c>
      <c r="C3873" s="16" t="s">
        <v>12167</v>
      </c>
      <c r="D3873" s="16" t="n">
        <v>7</v>
      </c>
      <c r="E3873" s="37" t="s">
        <v>10069</v>
      </c>
      <c r="F3873" s="16" t="s">
        <v>1285</v>
      </c>
      <c r="G3873" s="16" t="s">
        <v>757</v>
      </c>
      <c r="H3873" s="16" t="s">
        <v>5039</v>
      </c>
      <c r="I3873" s="16" t="s">
        <v>109</v>
      </c>
      <c r="J3873" s="16" t="s">
        <v>10102</v>
      </c>
      <c r="K3873" s="32" t="n">
        <v>1</v>
      </c>
      <c r="L3873" s="33" t="n">
        <v>46243</v>
      </c>
      <c r="M3873" s="33" t="n">
        <v>46243</v>
      </c>
      <c r="N3873" s="16" t="s">
        <v>12168</v>
      </c>
      <c r="O3873" s="16"/>
      <c r="P3873" s="16" t="str">
        <f aca="false">IF(AND(L3873&lt;=$D$2,M3873&gt;=$C$2),"Sí","")</f>
        <v/>
      </c>
      <c r="Q3873" s="18" t="str">
        <f aca="false">IF(COUNTIF(LOOKAHEAD!$A$5:$A$604,A3873)&gt;0,"En Lookahead",IF(P3873="Sí","INCORPORAR",""))</f>
        <v/>
      </c>
    </row>
    <row r="3874" customFormat="false" ht="15" hidden="false" customHeight="false" outlineLevel="0" collapsed="false">
      <c r="A3874" s="16" t="s">
        <v>12169</v>
      </c>
      <c r="B3874" s="16" t="n">
        <v>3869</v>
      </c>
      <c r="C3874" s="16" t="s">
        <v>12170</v>
      </c>
      <c r="D3874" s="16" t="n">
        <v>7</v>
      </c>
      <c r="E3874" s="37" t="s">
        <v>10115</v>
      </c>
      <c r="F3874" s="16" t="s">
        <v>1285</v>
      </c>
      <c r="G3874" s="16" t="s">
        <v>757</v>
      </c>
      <c r="H3874" s="16" t="s">
        <v>5039</v>
      </c>
      <c r="I3874" s="16" t="s">
        <v>109</v>
      </c>
      <c r="J3874" s="16" t="s">
        <v>10102</v>
      </c>
      <c r="K3874" s="32" t="n">
        <v>1</v>
      </c>
      <c r="L3874" s="33" t="n">
        <v>46242</v>
      </c>
      <c r="M3874" s="33" t="n">
        <v>46242</v>
      </c>
      <c r="N3874" s="16" t="s">
        <v>12171</v>
      </c>
      <c r="O3874" s="16"/>
      <c r="P3874" s="16" t="str">
        <f aca="false">IF(AND(L3874&lt;=$D$2,M3874&gt;=$C$2),"Sí","")</f>
        <v/>
      </c>
      <c r="Q3874" s="18" t="str">
        <f aca="false">IF(COUNTIF(LOOKAHEAD!$A$5:$A$604,A3874)&gt;0,"En Lookahead",IF(P3874="Sí","INCORPORAR",""))</f>
        <v/>
      </c>
    </row>
    <row r="3875" customFormat="false" ht="15" hidden="false" customHeight="false" outlineLevel="0" collapsed="false">
      <c r="A3875" s="13" t="s">
        <v>12172</v>
      </c>
      <c r="B3875" s="13" t="n">
        <v>3870</v>
      </c>
      <c r="C3875" s="13" t="s">
        <v>12173</v>
      </c>
      <c r="D3875" s="13" t="n">
        <v>6</v>
      </c>
      <c r="E3875" s="36" t="s">
        <v>10119</v>
      </c>
      <c r="F3875" s="13" t="s">
        <v>1298</v>
      </c>
      <c r="G3875" s="13" t="s">
        <v>757</v>
      </c>
      <c r="H3875" s="13" t="s">
        <v>5039</v>
      </c>
      <c r="I3875" s="13" t="s">
        <v>109</v>
      </c>
      <c r="J3875" s="13" t="s">
        <v>10032</v>
      </c>
      <c r="K3875" s="30" t="n">
        <v>1</v>
      </c>
      <c r="L3875" s="31" t="n">
        <v>46240</v>
      </c>
      <c r="M3875" s="31" t="n">
        <v>46240</v>
      </c>
      <c r="N3875" s="13"/>
      <c r="O3875" s="13"/>
      <c r="P3875" s="13"/>
      <c r="Q3875" s="13"/>
    </row>
    <row r="3876" customFormat="false" ht="15" hidden="false" customHeight="false" outlineLevel="0" collapsed="false">
      <c r="A3876" s="16" t="s">
        <v>12174</v>
      </c>
      <c r="B3876" s="16" t="n">
        <v>3871</v>
      </c>
      <c r="C3876" s="16" t="s">
        <v>12175</v>
      </c>
      <c r="D3876" s="16" t="n">
        <v>7</v>
      </c>
      <c r="E3876" s="37" t="s">
        <v>10122</v>
      </c>
      <c r="F3876" s="16" t="s">
        <v>1285</v>
      </c>
      <c r="G3876" s="16" t="s">
        <v>757</v>
      </c>
      <c r="H3876" s="16" t="s">
        <v>5039</v>
      </c>
      <c r="I3876" s="16" t="s">
        <v>109</v>
      </c>
      <c r="J3876" s="16" t="s">
        <v>10119</v>
      </c>
      <c r="K3876" s="32" t="n">
        <v>1</v>
      </c>
      <c r="L3876" s="33" t="n">
        <v>46240</v>
      </c>
      <c r="M3876" s="33" t="n">
        <v>46240</v>
      </c>
      <c r="N3876" s="16" t="s">
        <v>12131</v>
      </c>
      <c r="O3876" s="16"/>
      <c r="P3876" s="16" t="str">
        <f aca="false">IF(AND(L3876&lt;=$D$2,M3876&gt;=$C$2),"Sí","")</f>
        <v/>
      </c>
      <c r="Q3876" s="18" t="str">
        <f aca="false">IF(COUNTIF(LOOKAHEAD!$A$5:$A$604,A3876)&gt;0,"En Lookahead",IF(P3876="Sí","INCORPORAR",""))</f>
        <v/>
      </c>
    </row>
    <row r="3877" customFormat="false" ht="15" hidden="false" customHeight="false" outlineLevel="0" collapsed="false">
      <c r="A3877" s="13" t="s">
        <v>12176</v>
      </c>
      <c r="B3877" s="13" t="n">
        <v>3872</v>
      </c>
      <c r="C3877" s="13" t="s">
        <v>12177</v>
      </c>
      <c r="D3877" s="13" t="n">
        <v>4</v>
      </c>
      <c r="E3877" s="20" t="s">
        <v>5350</v>
      </c>
      <c r="F3877" s="13" t="s">
        <v>1298</v>
      </c>
      <c r="G3877" s="13" t="s">
        <v>757</v>
      </c>
      <c r="H3877" s="13" t="s">
        <v>5350</v>
      </c>
      <c r="I3877" s="13" t="s">
        <v>114</v>
      </c>
      <c r="J3877" s="13" t="s">
        <v>9945</v>
      </c>
      <c r="K3877" s="30" t="n">
        <v>175</v>
      </c>
      <c r="L3877" s="31" t="n">
        <v>46237</v>
      </c>
      <c r="M3877" s="31" t="n">
        <v>46411</v>
      </c>
      <c r="N3877" s="13"/>
      <c r="O3877" s="13"/>
      <c r="P3877" s="13"/>
      <c r="Q3877" s="13"/>
    </row>
    <row r="3878" customFormat="false" ht="15" hidden="false" customHeight="false" outlineLevel="0" collapsed="false">
      <c r="A3878" s="13" t="s">
        <v>12178</v>
      </c>
      <c r="B3878" s="13" t="n">
        <v>3873</v>
      </c>
      <c r="C3878" s="13" t="s">
        <v>12179</v>
      </c>
      <c r="D3878" s="13" t="n">
        <v>5</v>
      </c>
      <c r="E3878" s="34" t="s">
        <v>9950</v>
      </c>
      <c r="F3878" s="13" t="s">
        <v>1298</v>
      </c>
      <c r="G3878" s="13" t="s">
        <v>757</v>
      </c>
      <c r="H3878" s="13" t="s">
        <v>5350</v>
      </c>
      <c r="I3878" s="13" t="s">
        <v>114</v>
      </c>
      <c r="J3878" s="13" t="s">
        <v>5350</v>
      </c>
      <c r="K3878" s="30" t="n">
        <v>1</v>
      </c>
      <c r="L3878" s="31" t="n">
        <v>46411</v>
      </c>
      <c r="M3878" s="31" t="n">
        <v>46411</v>
      </c>
      <c r="N3878" s="13"/>
      <c r="O3878" s="13"/>
      <c r="P3878" s="13"/>
      <c r="Q3878" s="13"/>
    </row>
    <row r="3879" customFormat="false" ht="15" hidden="false" customHeight="false" outlineLevel="0" collapsed="false">
      <c r="A3879" s="13" t="s">
        <v>12180</v>
      </c>
      <c r="B3879" s="13" t="n">
        <v>3874</v>
      </c>
      <c r="C3879" s="13" t="s">
        <v>12181</v>
      </c>
      <c r="D3879" s="13" t="n">
        <v>6</v>
      </c>
      <c r="E3879" s="36" t="s">
        <v>9953</v>
      </c>
      <c r="F3879" s="13" t="s">
        <v>1298</v>
      </c>
      <c r="G3879" s="13" t="s">
        <v>757</v>
      </c>
      <c r="H3879" s="13" t="s">
        <v>5350</v>
      </c>
      <c r="I3879" s="13" t="s">
        <v>114</v>
      </c>
      <c r="J3879" s="13" t="s">
        <v>9950</v>
      </c>
      <c r="K3879" s="30" t="n">
        <v>1</v>
      </c>
      <c r="L3879" s="31" t="n">
        <v>46411</v>
      </c>
      <c r="M3879" s="31" t="n">
        <v>46411</v>
      </c>
      <c r="N3879" s="13"/>
      <c r="O3879" s="13"/>
      <c r="P3879" s="13"/>
      <c r="Q3879" s="13"/>
    </row>
    <row r="3880" customFormat="false" ht="15" hidden="false" customHeight="false" outlineLevel="0" collapsed="false">
      <c r="A3880" s="16" t="s">
        <v>12182</v>
      </c>
      <c r="B3880" s="16" t="n">
        <v>3875</v>
      </c>
      <c r="C3880" s="16" t="s">
        <v>12183</v>
      </c>
      <c r="D3880" s="16" t="n">
        <v>7</v>
      </c>
      <c r="E3880" s="37" t="s">
        <v>9956</v>
      </c>
      <c r="F3880" s="16" t="s">
        <v>1285</v>
      </c>
      <c r="G3880" s="16" t="s">
        <v>757</v>
      </c>
      <c r="H3880" s="16" t="s">
        <v>5350</v>
      </c>
      <c r="I3880" s="16" t="s">
        <v>114</v>
      </c>
      <c r="J3880" s="16" t="s">
        <v>9953</v>
      </c>
      <c r="K3880" s="32" t="n">
        <v>1</v>
      </c>
      <c r="L3880" s="33" t="n">
        <v>46411</v>
      </c>
      <c r="M3880" s="33" t="n">
        <v>46411</v>
      </c>
      <c r="N3880" s="16" t="s">
        <v>9254</v>
      </c>
      <c r="O3880" s="16"/>
      <c r="P3880" s="16" t="str">
        <f aca="false">IF(AND(L3880&lt;=$D$2,M3880&gt;=$C$2),"Sí","")</f>
        <v/>
      </c>
      <c r="Q3880" s="18" t="str">
        <f aca="false">IF(COUNTIF(LOOKAHEAD!$A$5:$A$604,A3880)&gt;0,"En Lookahead",IF(P3880="Sí","INCORPORAR",""))</f>
        <v/>
      </c>
    </row>
    <row r="3881" customFormat="false" ht="15" hidden="false" customHeight="false" outlineLevel="0" collapsed="false">
      <c r="A3881" s="16" t="s">
        <v>12184</v>
      </c>
      <c r="B3881" s="16" t="n">
        <v>3876</v>
      </c>
      <c r="C3881" s="16" t="s">
        <v>12185</v>
      </c>
      <c r="D3881" s="16" t="n">
        <v>7</v>
      </c>
      <c r="E3881" s="37" t="s">
        <v>9959</v>
      </c>
      <c r="F3881" s="16" t="s">
        <v>1285</v>
      </c>
      <c r="G3881" s="16" t="s">
        <v>757</v>
      </c>
      <c r="H3881" s="16" t="s">
        <v>5350</v>
      </c>
      <c r="I3881" s="16" t="s">
        <v>114</v>
      </c>
      <c r="J3881" s="16" t="s">
        <v>9953</v>
      </c>
      <c r="K3881" s="32" t="n">
        <v>1</v>
      </c>
      <c r="L3881" s="33" t="n">
        <v>46411</v>
      </c>
      <c r="M3881" s="33" t="n">
        <v>46411</v>
      </c>
      <c r="N3881" s="16" t="s">
        <v>12186</v>
      </c>
      <c r="O3881" s="16"/>
      <c r="P3881" s="16" t="str">
        <f aca="false">IF(AND(L3881&lt;=$D$2,M3881&gt;=$C$2),"Sí","")</f>
        <v/>
      </c>
      <c r="Q3881" s="18" t="str">
        <f aca="false">IF(COUNTIF(LOOKAHEAD!$A$5:$A$604,A3881)&gt;0,"En Lookahead",IF(P3881="Sí","INCORPORAR",""))</f>
        <v/>
      </c>
    </row>
    <row r="3882" customFormat="false" ht="15" hidden="false" customHeight="false" outlineLevel="0" collapsed="false">
      <c r="A3882" s="13" t="s">
        <v>12187</v>
      </c>
      <c r="B3882" s="13" t="n">
        <v>3877</v>
      </c>
      <c r="C3882" s="13" t="s">
        <v>12188</v>
      </c>
      <c r="D3882" s="13" t="n">
        <v>6</v>
      </c>
      <c r="E3882" s="36" t="s">
        <v>9963</v>
      </c>
      <c r="F3882" s="13" t="s">
        <v>1298</v>
      </c>
      <c r="G3882" s="13" t="s">
        <v>757</v>
      </c>
      <c r="H3882" s="13" t="s">
        <v>5350</v>
      </c>
      <c r="I3882" s="13" t="s">
        <v>114</v>
      </c>
      <c r="J3882" s="13" t="s">
        <v>9950</v>
      </c>
      <c r="K3882" s="30" t="n">
        <v>1</v>
      </c>
      <c r="L3882" s="31" t="n">
        <v>46411</v>
      </c>
      <c r="M3882" s="31" t="n">
        <v>46411</v>
      </c>
      <c r="N3882" s="13"/>
      <c r="O3882" s="13"/>
      <c r="P3882" s="13"/>
      <c r="Q3882" s="13"/>
    </row>
    <row r="3883" customFormat="false" ht="15" hidden="false" customHeight="false" outlineLevel="0" collapsed="false">
      <c r="A3883" s="16" t="s">
        <v>12189</v>
      </c>
      <c r="B3883" s="16" t="n">
        <v>3878</v>
      </c>
      <c r="C3883" s="16" t="s">
        <v>12190</v>
      </c>
      <c r="D3883" s="16" t="n">
        <v>7</v>
      </c>
      <c r="E3883" s="37" t="s">
        <v>9966</v>
      </c>
      <c r="F3883" s="16" t="s">
        <v>1285</v>
      </c>
      <c r="G3883" s="16" t="s">
        <v>757</v>
      </c>
      <c r="H3883" s="16" t="s">
        <v>5350</v>
      </c>
      <c r="I3883" s="16" t="s">
        <v>114</v>
      </c>
      <c r="J3883" s="16" t="s">
        <v>9963</v>
      </c>
      <c r="K3883" s="32" t="n">
        <v>1</v>
      </c>
      <c r="L3883" s="33" t="n">
        <v>46411</v>
      </c>
      <c r="M3883" s="33" t="n">
        <v>46411</v>
      </c>
      <c r="N3883" s="16" t="s">
        <v>12191</v>
      </c>
      <c r="O3883" s="16"/>
      <c r="P3883" s="16" t="str">
        <f aca="false">IF(AND(L3883&lt;=$D$2,M3883&gt;=$C$2),"Sí","")</f>
        <v/>
      </c>
      <c r="Q3883" s="18" t="str">
        <f aca="false">IF(COUNTIF(LOOKAHEAD!$A$5:$A$604,A3883)&gt;0,"En Lookahead",IF(P3883="Sí","INCORPORAR",""))</f>
        <v/>
      </c>
    </row>
    <row r="3884" customFormat="false" ht="15" hidden="false" customHeight="false" outlineLevel="0" collapsed="false">
      <c r="A3884" s="16" t="s">
        <v>12192</v>
      </c>
      <c r="B3884" s="16" t="n">
        <v>3879</v>
      </c>
      <c r="C3884" s="16" t="s">
        <v>12193</v>
      </c>
      <c r="D3884" s="16" t="n">
        <v>7</v>
      </c>
      <c r="E3884" s="37" t="s">
        <v>9969</v>
      </c>
      <c r="F3884" s="16" t="s">
        <v>1285</v>
      </c>
      <c r="G3884" s="16" t="s">
        <v>757</v>
      </c>
      <c r="H3884" s="16" t="s">
        <v>5350</v>
      </c>
      <c r="I3884" s="16" t="s">
        <v>114</v>
      </c>
      <c r="J3884" s="16" t="s">
        <v>9963</v>
      </c>
      <c r="K3884" s="32" t="n">
        <v>1</v>
      </c>
      <c r="L3884" s="33" t="n">
        <v>46411</v>
      </c>
      <c r="M3884" s="33" t="n">
        <v>46411</v>
      </c>
      <c r="N3884" s="16" t="s">
        <v>12194</v>
      </c>
      <c r="O3884" s="16"/>
      <c r="P3884" s="16" t="str">
        <f aca="false">IF(AND(L3884&lt;=$D$2,M3884&gt;=$C$2),"Sí","")</f>
        <v/>
      </c>
      <c r="Q3884" s="18" t="str">
        <f aca="false">IF(COUNTIF(LOOKAHEAD!$A$5:$A$604,A3884)&gt;0,"En Lookahead",IF(P3884="Sí","INCORPORAR",""))</f>
        <v/>
      </c>
    </row>
    <row r="3885" customFormat="false" ht="15" hidden="false" customHeight="false" outlineLevel="0" collapsed="false">
      <c r="A3885" s="16" t="s">
        <v>12195</v>
      </c>
      <c r="B3885" s="16" t="n">
        <v>3880</v>
      </c>
      <c r="C3885" s="16" t="s">
        <v>12196</v>
      </c>
      <c r="D3885" s="16" t="n">
        <v>7</v>
      </c>
      <c r="E3885" s="37" t="s">
        <v>9972</v>
      </c>
      <c r="F3885" s="16" t="s">
        <v>1285</v>
      </c>
      <c r="G3885" s="16" t="s">
        <v>757</v>
      </c>
      <c r="H3885" s="16" t="s">
        <v>5350</v>
      </c>
      <c r="I3885" s="16" t="s">
        <v>114</v>
      </c>
      <c r="J3885" s="16" t="s">
        <v>9963</v>
      </c>
      <c r="K3885" s="32" t="n">
        <v>1</v>
      </c>
      <c r="L3885" s="33" t="n">
        <v>46411</v>
      </c>
      <c r="M3885" s="33" t="n">
        <v>46411</v>
      </c>
      <c r="N3885" s="16" t="s">
        <v>12197</v>
      </c>
      <c r="O3885" s="16"/>
      <c r="P3885" s="16" t="str">
        <f aca="false">IF(AND(L3885&lt;=$D$2,M3885&gt;=$C$2),"Sí","")</f>
        <v/>
      </c>
      <c r="Q3885" s="18" t="str">
        <f aca="false">IF(COUNTIF(LOOKAHEAD!$A$5:$A$604,A3885)&gt;0,"En Lookahead",IF(P3885="Sí","INCORPORAR",""))</f>
        <v/>
      </c>
    </row>
    <row r="3886" customFormat="false" ht="15" hidden="false" customHeight="false" outlineLevel="0" collapsed="false">
      <c r="A3886" s="13" t="s">
        <v>12198</v>
      </c>
      <c r="B3886" s="13" t="n">
        <v>3881</v>
      </c>
      <c r="C3886" s="13" t="s">
        <v>12199</v>
      </c>
      <c r="D3886" s="13" t="n">
        <v>5</v>
      </c>
      <c r="E3886" s="34" t="s">
        <v>9975</v>
      </c>
      <c r="F3886" s="13" t="s">
        <v>1298</v>
      </c>
      <c r="G3886" s="13" t="s">
        <v>757</v>
      </c>
      <c r="H3886" s="13" t="s">
        <v>5350</v>
      </c>
      <c r="I3886" s="13" t="s">
        <v>114</v>
      </c>
      <c r="J3886" s="13" t="s">
        <v>5350</v>
      </c>
      <c r="K3886" s="30" t="n">
        <v>15</v>
      </c>
      <c r="L3886" s="31" t="n">
        <v>46237</v>
      </c>
      <c r="M3886" s="31" t="n">
        <v>46251</v>
      </c>
      <c r="N3886" s="13"/>
      <c r="O3886" s="13"/>
      <c r="P3886" s="13"/>
      <c r="Q3886" s="13"/>
    </row>
    <row r="3887" customFormat="false" ht="15" hidden="false" customHeight="false" outlineLevel="0" collapsed="false">
      <c r="A3887" s="13" t="s">
        <v>12200</v>
      </c>
      <c r="B3887" s="13" t="n">
        <v>3882</v>
      </c>
      <c r="C3887" s="13" t="s">
        <v>12201</v>
      </c>
      <c r="D3887" s="13" t="n">
        <v>6</v>
      </c>
      <c r="E3887" s="36" t="s">
        <v>10035</v>
      </c>
      <c r="F3887" s="13" t="s">
        <v>1298</v>
      </c>
      <c r="G3887" s="13" t="s">
        <v>757</v>
      </c>
      <c r="H3887" s="13" t="s">
        <v>5350</v>
      </c>
      <c r="I3887" s="13" t="s">
        <v>114</v>
      </c>
      <c r="J3887" s="13" t="s">
        <v>9975</v>
      </c>
      <c r="K3887" s="30" t="n">
        <v>1</v>
      </c>
      <c r="L3887" s="31" t="n">
        <v>46237</v>
      </c>
      <c r="M3887" s="31" t="n">
        <v>46237</v>
      </c>
      <c r="N3887" s="13"/>
      <c r="O3887" s="13"/>
      <c r="P3887" s="13"/>
      <c r="Q3887" s="13"/>
    </row>
    <row r="3888" customFormat="false" ht="15" hidden="false" customHeight="false" outlineLevel="0" collapsed="false">
      <c r="A3888" s="16" t="s">
        <v>12202</v>
      </c>
      <c r="B3888" s="16" t="n">
        <v>3883</v>
      </c>
      <c r="C3888" s="16" t="s">
        <v>12203</v>
      </c>
      <c r="D3888" s="16" t="n">
        <v>7</v>
      </c>
      <c r="E3888" s="37" t="s">
        <v>10038</v>
      </c>
      <c r="F3888" s="16" t="s">
        <v>1285</v>
      </c>
      <c r="G3888" s="16" t="s">
        <v>757</v>
      </c>
      <c r="H3888" s="16" t="s">
        <v>5350</v>
      </c>
      <c r="I3888" s="16" t="s">
        <v>114</v>
      </c>
      <c r="J3888" s="16" t="s">
        <v>10035</v>
      </c>
      <c r="K3888" s="32" t="n">
        <v>1</v>
      </c>
      <c r="L3888" s="33" t="n">
        <v>46237</v>
      </c>
      <c r="M3888" s="33" t="n">
        <v>46237</v>
      </c>
      <c r="N3888" s="16" t="s">
        <v>5375</v>
      </c>
      <c r="O3888" s="16"/>
      <c r="P3888" s="16" t="str">
        <f aca="false">IF(AND(L3888&lt;=$D$2,M3888&gt;=$C$2),"Sí","")</f>
        <v/>
      </c>
      <c r="Q3888" s="18" t="str">
        <f aca="false">IF(COUNTIF(LOOKAHEAD!$A$5:$A$604,A3888)&gt;0,"En Lookahead",IF(P3888="Sí","INCORPORAR",""))</f>
        <v/>
      </c>
    </row>
    <row r="3889" customFormat="false" ht="15" hidden="false" customHeight="false" outlineLevel="0" collapsed="false">
      <c r="A3889" s="13" t="s">
        <v>12204</v>
      </c>
      <c r="B3889" s="13" t="n">
        <v>3884</v>
      </c>
      <c r="C3889" s="13" t="s">
        <v>12205</v>
      </c>
      <c r="D3889" s="13" t="n">
        <v>6</v>
      </c>
      <c r="E3889" s="36" t="s">
        <v>1534</v>
      </c>
      <c r="F3889" s="13" t="s">
        <v>1298</v>
      </c>
      <c r="G3889" s="13" t="s">
        <v>757</v>
      </c>
      <c r="H3889" s="13" t="s">
        <v>5350</v>
      </c>
      <c r="I3889" s="13" t="s">
        <v>114</v>
      </c>
      <c r="J3889" s="13" t="s">
        <v>9975</v>
      </c>
      <c r="K3889" s="30" t="n">
        <v>13</v>
      </c>
      <c r="L3889" s="31" t="n">
        <v>46238</v>
      </c>
      <c r="M3889" s="31" t="n">
        <v>46250</v>
      </c>
      <c r="N3889" s="13"/>
      <c r="O3889" s="13"/>
      <c r="P3889" s="13"/>
      <c r="Q3889" s="13"/>
    </row>
    <row r="3890" customFormat="false" ht="15" hidden="false" customHeight="false" outlineLevel="0" collapsed="false">
      <c r="A3890" s="16" t="s">
        <v>12206</v>
      </c>
      <c r="B3890" s="16" t="n">
        <v>3885</v>
      </c>
      <c r="C3890" s="16" t="s">
        <v>12207</v>
      </c>
      <c r="D3890" s="16" t="n">
        <v>7</v>
      </c>
      <c r="E3890" s="37" t="s">
        <v>10043</v>
      </c>
      <c r="F3890" s="16" t="s">
        <v>1285</v>
      </c>
      <c r="G3890" s="16" t="s">
        <v>757</v>
      </c>
      <c r="H3890" s="16" t="s">
        <v>5350</v>
      </c>
      <c r="I3890" s="16" t="s">
        <v>114</v>
      </c>
      <c r="J3890" s="16" t="s">
        <v>1534</v>
      </c>
      <c r="K3890" s="32" t="n">
        <v>1</v>
      </c>
      <c r="L3890" s="33" t="n">
        <v>46238</v>
      </c>
      <c r="M3890" s="33" t="n">
        <v>46238</v>
      </c>
      <c r="N3890" s="16" t="s">
        <v>12208</v>
      </c>
      <c r="O3890" s="16"/>
      <c r="P3890" s="16" t="str">
        <f aca="false">IF(AND(L3890&lt;=$D$2,M3890&gt;=$C$2),"Sí","")</f>
        <v/>
      </c>
      <c r="Q3890" s="18" t="str">
        <f aca="false">IF(COUNTIF(LOOKAHEAD!$A$5:$A$604,A3890)&gt;0,"En Lookahead",IF(P3890="Sí","INCORPORAR",""))</f>
        <v/>
      </c>
    </row>
    <row r="3891" customFormat="false" ht="15" hidden="false" customHeight="false" outlineLevel="0" collapsed="false">
      <c r="A3891" s="16" t="s">
        <v>12209</v>
      </c>
      <c r="B3891" s="16" t="n">
        <v>3886</v>
      </c>
      <c r="C3891" s="16" t="s">
        <v>12210</v>
      </c>
      <c r="D3891" s="16" t="n">
        <v>7</v>
      </c>
      <c r="E3891" s="37" t="s">
        <v>10047</v>
      </c>
      <c r="F3891" s="16" t="s">
        <v>1285</v>
      </c>
      <c r="G3891" s="16" t="s">
        <v>757</v>
      </c>
      <c r="H3891" s="16" t="s">
        <v>5350</v>
      </c>
      <c r="I3891" s="16" t="s">
        <v>114</v>
      </c>
      <c r="J3891" s="16" t="s">
        <v>1534</v>
      </c>
      <c r="K3891" s="32" t="n">
        <v>1</v>
      </c>
      <c r="L3891" s="33" t="n">
        <v>46239</v>
      </c>
      <c r="M3891" s="33" t="n">
        <v>46239</v>
      </c>
      <c r="N3891" s="16" t="s">
        <v>12211</v>
      </c>
      <c r="O3891" s="16"/>
      <c r="P3891" s="16" t="str">
        <f aca="false">IF(AND(L3891&lt;=$D$2,M3891&gt;=$C$2),"Sí","")</f>
        <v/>
      </c>
      <c r="Q3891" s="18" t="str">
        <f aca="false">IF(COUNTIF(LOOKAHEAD!$A$5:$A$604,A3891)&gt;0,"En Lookahead",IF(P3891="Sí","INCORPORAR",""))</f>
        <v/>
      </c>
    </row>
    <row r="3892" customFormat="false" ht="15" hidden="false" customHeight="false" outlineLevel="0" collapsed="false">
      <c r="A3892" s="16" t="s">
        <v>12212</v>
      </c>
      <c r="B3892" s="16" t="n">
        <v>3887</v>
      </c>
      <c r="C3892" s="16" t="s">
        <v>12213</v>
      </c>
      <c r="D3892" s="16" t="n">
        <v>7</v>
      </c>
      <c r="E3892" s="37" t="s">
        <v>10051</v>
      </c>
      <c r="F3892" s="16" t="s">
        <v>1285</v>
      </c>
      <c r="G3892" s="16" t="s">
        <v>757</v>
      </c>
      <c r="H3892" s="16" t="s">
        <v>5350</v>
      </c>
      <c r="I3892" s="16" t="s">
        <v>114</v>
      </c>
      <c r="J3892" s="16" t="s">
        <v>1534</v>
      </c>
      <c r="K3892" s="32" t="n">
        <v>1</v>
      </c>
      <c r="L3892" s="33" t="n">
        <v>46240</v>
      </c>
      <c r="M3892" s="33" t="n">
        <v>46240</v>
      </c>
      <c r="N3892" s="16" t="s">
        <v>12214</v>
      </c>
      <c r="O3892" s="16"/>
      <c r="P3892" s="16" t="str">
        <f aca="false">IF(AND(L3892&lt;=$D$2,M3892&gt;=$C$2),"Sí","")</f>
        <v/>
      </c>
      <c r="Q3892" s="18" t="str">
        <f aca="false">IF(COUNTIF(LOOKAHEAD!$A$5:$A$604,A3892)&gt;0,"En Lookahead",IF(P3892="Sí","INCORPORAR",""))</f>
        <v/>
      </c>
    </row>
    <row r="3893" customFormat="false" ht="15" hidden="false" customHeight="false" outlineLevel="0" collapsed="false">
      <c r="A3893" s="16" t="s">
        <v>12215</v>
      </c>
      <c r="B3893" s="16" t="n">
        <v>3888</v>
      </c>
      <c r="C3893" s="16" t="s">
        <v>12216</v>
      </c>
      <c r="D3893" s="16" t="n">
        <v>7</v>
      </c>
      <c r="E3893" s="37" t="s">
        <v>10055</v>
      </c>
      <c r="F3893" s="16" t="s">
        <v>1285</v>
      </c>
      <c r="G3893" s="16" t="s">
        <v>757</v>
      </c>
      <c r="H3893" s="16" t="s">
        <v>5350</v>
      </c>
      <c r="I3893" s="16" t="s">
        <v>114</v>
      </c>
      <c r="J3893" s="16" t="s">
        <v>1534</v>
      </c>
      <c r="K3893" s="32" t="n">
        <v>1</v>
      </c>
      <c r="L3893" s="33" t="n">
        <v>46241</v>
      </c>
      <c r="M3893" s="33" t="n">
        <v>46241</v>
      </c>
      <c r="N3893" s="16" t="s">
        <v>12217</v>
      </c>
      <c r="O3893" s="16"/>
      <c r="P3893" s="16" t="str">
        <f aca="false">IF(AND(L3893&lt;=$D$2,M3893&gt;=$C$2),"Sí","")</f>
        <v/>
      </c>
      <c r="Q3893" s="18" t="str">
        <f aca="false">IF(COUNTIF(LOOKAHEAD!$A$5:$A$604,A3893)&gt;0,"En Lookahead",IF(P3893="Sí","INCORPORAR",""))</f>
        <v/>
      </c>
    </row>
    <row r="3894" customFormat="false" ht="15" hidden="false" customHeight="false" outlineLevel="0" collapsed="false">
      <c r="A3894" s="16" t="s">
        <v>12218</v>
      </c>
      <c r="B3894" s="16" t="n">
        <v>3889</v>
      </c>
      <c r="C3894" s="16" t="s">
        <v>12219</v>
      </c>
      <c r="D3894" s="16" t="n">
        <v>7</v>
      </c>
      <c r="E3894" s="37" t="s">
        <v>10059</v>
      </c>
      <c r="F3894" s="16" t="s">
        <v>1285</v>
      </c>
      <c r="G3894" s="16" t="s">
        <v>757</v>
      </c>
      <c r="H3894" s="16" t="s">
        <v>5350</v>
      </c>
      <c r="I3894" s="16" t="s">
        <v>114</v>
      </c>
      <c r="J3894" s="16" t="s">
        <v>1534</v>
      </c>
      <c r="K3894" s="32" t="n">
        <v>1</v>
      </c>
      <c r="L3894" s="33" t="n">
        <v>46248</v>
      </c>
      <c r="M3894" s="33" t="n">
        <v>46248</v>
      </c>
      <c r="N3894" s="16" t="s">
        <v>12220</v>
      </c>
      <c r="O3894" s="16"/>
      <c r="P3894" s="16" t="str">
        <f aca="false">IF(AND(L3894&lt;=$D$2,M3894&gt;=$C$2),"Sí","")</f>
        <v/>
      </c>
      <c r="Q3894" s="18" t="str">
        <f aca="false">IF(COUNTIF(LOOKAHEAD!$A$5:$A$604,A3894)&gt;0,"En Lookahead",IF(P3894="Sí","INCORPORAR",""))</f>
        <v/>
      </c>
    </row>
    <row r="3895" customFormat="false" ht="15" hidden="false" customHeight="false" outlineLevel="0" collapsed="false">
      <c r="A3895" s="16" t="s">
        <v>12221</v>
      </c>
      <c r="B3895" s="16" t="n">
        <v>3890</v>
      </c>
      <c r="C3895" s="16" t="s">
        <v>12222</v>
      </c>
      <c r="D3895" s="16" t="n">
        <v>7</v>
      </c>
      <c r="E3895" s="37" t="s">
        <v>10063</v>
      </c>
      <c r="F3895" s="16" t="s">
        <v>1285</v>
      </c>
      <c r="G3895" s="16" t="s">
        <v>757</v>
      </c>
      <c r="H3895" s="16" t="s">
        <v>5350</v>
      </c>
      <c r="I3895" s="16" t="s">
        <v>114</v>
      </c>
      <c r="J3895" s="16" t="s">
        <v>1534</v>
      </c>
      <c r="K3895" s="32" t="n">
        <v>1</v>
      </c>
      <c r="L3895" s="33" t="n">
        <v>46249</v>
      </c>
      <c r="M3895" s="33" t="n">
        <v>46249</v>
      </c>
      <c r="N3895" s="16" t="s">
        <v>12223</v>
      </c>
      <c r="O3895" s="16"/>
      <c r="P3895" s="16" t="str">
        <f aca="false">IF(AND(L3895&lt;=$D$2,M3895&gt;=$C$2),"Sí","")</f>
        <v/>
      </c>
      <c r="Q3895" s="18" t="str">
        <f aca="false">IF(COUNTIF(LOOKAHEAD!$A$5:$A$604,A3895)&gt;0,"En Lookahead",IF(P3895="Sí","INCORPORAR",""))</f>
        <v/>
      </c>
    </row>
    <row r="3896" customFormat="false" ht="15" hidden="false" customHeight="false" outlineLevel="0" collapsed="false">
      <c r="A3896" s="16" t="s">
        <v>12224</v>
      </c>
      <c r="B3896" s="16" t="n">
        <v>3891</v>
      </c>
      <c r="C3896" s="16" t="s">
        <v>12225</v>
      </c>
      <c r="D3896" s="16" t="n">
        <v>7</v>
      </c>
      <c r="E3896" s="37" t="s">
        <v>1557</v>
      </c>
      <c r="F3896" s="16" t="s">
        <v>1285</v>
      </c>
      <c r="G3896" s="16" t="s">
        <v>757</v>
      </c>
      <c r="H3896" s="16" t="s">
        <v>5350</v>
      </c>
      <c r="I3896" s="16" t="s">
        <v>114</v>
      </c>
      <c r="J3896" s="16" t="s">
        <v>1534</v>
      </c>
      <c r="K3896" s="32" t="n">
        <v>1</v>
      </c>
      <c r="L3896" s="33" t="n">
        <v>46248</v>
      </c>
      <c r="M3896" s="33" t="n">
        <v>46248</v>
      </c>
      <c r="N3896" s="16" t="s">
        <v>12226</v>
      </c>
      <c r="O3896" s="16"/>
      <c r="P3896" s="16" t="str">
        <f aca="false">IF(AND(L3896&lt;=$D$2,M3896&gt;=$C$2),"Sí","")</f>
        <v/>
      </c>
      <c r="Q3896" s="18" t="str">
        <f aca="false">IF(COUNTIF(LOOKAHEAD!$A$5:$A$604,A3896)&gt;0,"En Lookahead",IF(P3896="Sí","INCORPORAR",""))</f>
        <v/>
      </c>
    </row>
    <row r="3897" customFormat="false" ht="15" hidden="false" customHeight="false" outlineLevel="0" collapsed="false">
      <c r="A3897" s="16" t="s">
        <v>12227</v>
      </c>
      <c r="B3897" s="16" t="n">
        <v>3892</v>
      </c>
      <c r="C3897" s="16" t="s">
        <v>12228</v>
      </c>
      <c r="D3897" s="16" t="n">
        <v>7</v>
      </c>
      <c r="E3897" s="37" t="s">
        <v>10069</v>
      </c>
      <c r="F3897" s="16" t="s">
        <v>1285</v>
      </c>
      <c r="G3897" s="16" t="s">
        <v>757</v>
      </c>
      <c r="H3897" s="16" t="s">
        <v>5350</v>
      </c>
      <c r="I3897" s="16" t="s">
        <v>114</v>
      </c>
      <c r="J3897" s="16" t="s">
        <v>1534</v>
      </c>
      <c r="K3897" s="32" t="n">
        <v>1</v>
      </c>
      <c r="L3897" s="33" t="n">
        <v>46250</v>
      </c>
      <c r="M3897" s="33" t="n">
        <v>46250</v>
      </c>
      <c r="N3897" s="16" t="s">
        <v>12229</v>
      </c>
      <c r="O3897" s="16"/>
      <c r="P3897" s="16" t="str">
        <f aca="false">IF(AND(L3897&lt;=$D$2,M3897&gt;=$C$2),"Sí","")</f>
        <v/>
      </c>
      <c r="Q3897" s="18" t="str">
        <f aca="false">IF(COUNTIF(LOOKAHEAD!$A$5:$A$604,A3897)&gt;0,"En Lookahead",IF(P3897="Sí","INCORPORAR",""))</f>
        <v/>
      </c>
    </row>
    <row r="3898" customFormat="false" ht="15" hidden="false" customHeight="false" outlineLevel="0" collapsed="false">
      <c r="A3898" s="13" t="s">
        <v>12230</v>
      </c>
      <c r="B3898" s="13" t="n">
        <v>3893</v>
      </c>
      <c r="C3898" s="13" t="s">
        <v>12231</v>
      </c>
      <c r="D3898" s="13" t="n">
        <v>6</v>
      </c>
      <c r="E3898" s="36" t="s">
        <v>9978</v>
      </c>
      <c r="F3898" s="13" t="s">
        <v>1298</v>
      </c>
      <c r="G3898" s="13" t="s">
        <v>757</v>
      </c>
      <c r="H3898" s="13" t="s">
        <v>5350</v>
      </c>
      <c r="I3898" s="13" t="s">
        <v>114</v>
      </c>
      <c r="J3898" s="13" t="s">
        <v>9975</v>
      </c>
      <c r="K3898" s="30" t="n">
        <v>1</v>
      </c>
      <c r="L3898" s="31" t="n">
        <v>46251</v>
      </c>
      <c r="M3898" s="31" t="n">
        <v>46251</v>
      </c>
      <c r="N3898" s="13"/>
      <c r="O3898" s="13"/>
      <c r="P3898" s="13"/>
      <c r="Q3898" s="13"/>
    </row>
    <row r="3899" customFormat="false" ht="15" hidden="false" customHeight="false" outlineLevel="0" collapsed="false">
      <c r="A3899" s="16" t="s">
        <v>12232</v>
      </c>
      <c r="B3899" s="16" t="n">
        <v>3894</v>
      </c>
      <c r="C3899" s="16" t="s">
        <v>12233</v>
      </c>
      <c r="D3899" s="16" t="n">
        <v>7</v>
      </c>
      <c r="E3899" s="37" t="s">
        <v>9981</v>
      </c>
      <c r="F3899" s="16" t="s">
        <v>1285</v>
      </c>
      <c r="G3899" s="16" t="s">
        <v>757</v>
      </c>
      <c r="H3899" s="16" t="s">
        <v>5350</v>
      </c>
      <c r="I3899" s="16" t="s">
        <v>114</v>
      </c>
      <c r="J3899" s="16" t="s">
        <v>9978</v>
      </c>
      <c r="K3899" s="32" t="n">
        <v>1</v>
      </c>
      <c r="L3899" s="33" t="n">
        <v>46251</v>
      </c>
      <c r="M3899" s="33" t="n">
        <v>46251</v>
      </c>
      <c r="N3899" s="16" t="s">
        <v>12234</v>
      </c>
      <c r="O3899" s="16"/>
      <c r="P3899" s="16" t="str">
        <f aca="false">IF(AND(L3899&lt;=$D$2,M3899&gt;=$C$2),"Sí","")</f>
        <v/>
      </c>
      <c r="Q3899" s="18" t="str">
        <f aca="false">IF(COUNTIF(LOOKAHEAD!$A$5:$A$604,A3899)&gt;0,"En Lookahead",IF(P3899="Sí","INCORPORAR",""))</f>
        <v/>
      </c>
    </row>
    <row r="3900" customFormat="false" ht="15" hidden="false" customHeight="false" outlineLevel="0" collapsed="false">
      <c r="A3900" s="13" t="s">
        <v>12235</v>
      </c>
      <c r="B3900" s="13" t="n">
        <v>3895</v>
      </c>
      <c r="C3900" s="13" t="s">
        <v>12236</v>
      </c>
      <c r="D3900" s="13" t="n">
        <v>6</v>
      </c>
      <c r="E3900" s="36" t="s">
        <v>9984</v>
      </c>
      <c r="F3900" s="13" t="s">
        <v>1298</v>
      </c>
      <c r="G3900" s="13" t="s">
        <v>757</v>
      </c>
      <c r="H3900" s="13" t="s">
        <v>5350</v>
      </c>
      <c r="I3900" s="13" t="s">
        <v>114</v>
      </c>
      <c r="J3900" s="13" t="s">
        <v>9975</v>
      </c>
      <c r="K3900" s="30" t="n">
        <v>10</v>
      </c>
      <c r="L3900" s="31" t="n">
        <v>46241</v>
      </c>
      <c r="M3900" s="31" t="n">
        <v>46250</v>
      </c>
      <c r="N3900" s="13"/>
      <c r="O3900" s="13"/>
      <c r="P3900" s="13"/>
      <c r="Q3900" s="13"/>
    </row>
    <row r="3901" customFormat="false" ht="15" hidden="false" customHeight="false" outlineLevel="0" collapsed="false">
      <c r="A3901" s="16" t="s">
        <v>12237</v>
      </c>
      <c r="B3901" s="16" t="n">
        <v>3896</v>
      </c>
      <c r="C3901" s="16" t="s">
        <v>12238</v>
      </c>
      <c r="D3901" s="16" t="n">
        <v>7</v>
      </c>
      <c r="E3901" s="37" t="s">
        <v>9987</v>
      </c>
      <c r="F3901" s="16" t="s">
        <v>1285</v>
      </c>
      <c r="G3901" s="16" t="s">
        <v>757</v>
      </c>
      <c r="H3901" s="16" t="s">
        <v>5350</v>
      </c>
      <c r="I3901" s="16" t="s">
        <v>114</v>
      </c>
      <c r="J3901" s="16" t="s">
        <v>9984</v>
      </c>
      <c r="K3901" s="32" t="n">
        <v>1</v>
      </c>
      <c r="L3901" s="33" t="n">
        <v>46241</v>
      </c>
      <c r="M3901" s="33" t="n">
        <v>46241</v>
      </c>
      <c r="N3901" s="16" t="s">
        <v>12217</v>
      </c>
      <c r="O3901" s="16"/>
      <c r="P3901" s="16" t="str">
        <f aca="false">IF(AND(L3901&lt;=$D$2,M3901&gt;=$C$2),"Sí","")</f>
        <v/>
      </c>
      <c r="Q3901" s="18" t="str">
        <f aca="false">IF(COUNTIF(LOOKAHEAD!$A$5:$A$604,A3901)&gt;0,"En Lookahead",IF(P3901="Sí","INCORPORAR",""))</f>
        <v/>
      </c>
    </row>
    <row r="3902" customFormat="false" ht="15" hidden="false" customHeight="false" outlineLevel="0" collapsed="false">
      <c r="A3902" s="16" t="s">
        <v>12239</v>
      </c>
      <c r="B3902" s="16" t="n">
        <v>3897</v>
      </c>
      <c r="C3902" s="16" t="s">
        <v>12240</v>
      </c>
      <c r="D3902" s="16" t="n">
        <v>7</v>
      </c>
      <c r="E3902" s="37" t="s">
        <v>9991</v>
      </c>
      <c r="F3902" s="16" t="s">
        <v>1285</v>
      </c>
      <c r="G3902" s="16" t="s">
        <v>757</v>
      </c>
      <c r="H3902" s="16" t="s">
        <v>5350</v>
      </c>
      <c r="I3902" s="16" t="s">
        <v>114</v>
      </c>
      <c r="J3902" s="16" t="s">
        <v>9984</v>
      </c>
      <c r="K3902" s="32" t="n">
        <v>1</v>
      </c>
      <c r="L3902" s="33" t="n">
        <v>46242</v>
      </c>
      <c r="M3902" s="33" t="n">
        <v>46242</v>
      </c>
      <c r="N3902" s="16" t="s">
        <v>12241</v>
      </c>
      <c r="O3902" s="16"/>
      <c r="P3902" s="16" t="str">
        <f aca="false">IF(AND(L3902&lt;=$D$2,M3902&gt;=$C$2),"Sí","")</f>
        <v/>
      </c>
      <c r="Q3902" s="18" t="str">
        <f aca="false">IF(COUNTIF(LOOKAHEAD!$A$5:$A$604,A3902)&gt;0,"En Lookahead",IF(P3902="Sí","INCORPORAR",""))</f>
        <v/>
      </c>
    </row>
    <row r="3903" customFormat="false" ht="15" hidden="false" customHeight="false" outlineLevel="0" collapsed="false">
      <c r="A3903" s="16" t="s">
        <v>12242</v>
      </c>
      <c r="B3903" s="16" t="n">
        <v>3898</v>
      </c>
      <c r="C3903" s="16" t="s">
        <v>12243</v>
      </c>
      <c r="D3903" s="16" t="n">
        <v>7</v>
      </c>
      <c r="E3903" s="37" t="s">
        <v>9995</v>
      </c>
      <c r="F3903" s="16" t="s">
        <v>1285</v>
      </c>
      <c r="G3903" s="16" t="s">
        <v>757</v>
      </c>
      <c r="H3903" s="16" t="s">
        <v>5350</v>
      </c>
      <c r="I3903" s="16" t="s">
        <v>114</v>
      </c>
      <c r="J3903" s="16" t="s">
        <v>9984</v>
      </c>
      <c r="K3903" s="32" t="n">
        <v>1</v>
      </c>
      <c r="L3903" s="33" t="n">
        <v>46250</v>
      </c>
      <c r="M3903" s="33" t="n">
        <v>46250</v>
      </c>
      <c r="N3903" s="16" t="s">
        <v>12229</v>
      </c>
      <c r="O3903" s="16"/>
      <c r="P3903" s="16" t="str">
        <f aca="false">IF(AND(L3903&lt;=$D$2,M3903&gt;=$C$2),"Sí","")</f>
        <v/>
      </c>
      <c r="Q3903" s="18" t="str">
        <f aca="false">IF(COUNTIF(LOOKAHEAD!$A$5:$A$604,A3903)&gt;0,"En Lookahead",IF(P3903="Sí","INCORPORAR",""))</f>
        <v/>
      </c>
    </row>
    <row r="3904" customFormat="false" ht="15" hidden="false" customHeight="false" outlineLevel="0" collapsed="false">
      <c r="A3904" s="13" t="s">
        <v>12244</v>
      </c>
      <c r="B3904" s="13" t="n">
        <v>3899</v>
      </c>
      <c r="C3904" s="13" t="s">
        <v>12245</v>
      </c>
      <c r="D3904" s="13" t="n">
        <v>6</v>
      </c>
      <c r="E3904" s="36" t="s">
        <v>9999</v>
      </c>
      <c r="F3904" s="13" t="s">
        <v>1298</v>
      </c>
      <c r="G3904" s="13" t="s">
        <v>757</v>
      </c>
      <c r="H3904" s="13" t="s">
        <v>5350</v>
      </c>
      <c r="I3904" s="13" t="s">
        <v>114</v>
      </c>
      <c r="J3904" s="13" t="s">
        <v>9975</v>
      </c>
      <c r="K3904" s="30" t="n">
        <v>3</v>
      </c>
      <c r="L3904" s="31" t="n">
        <v>46243</v>
      </c>
      <c r="M3904" s="31" t="n">
        <v>46245</v>
      </c>
      <c r="N3904" s="13"/>
      <c r="O3904" s="13"/>
      <c r="P3904" s="13"/>
      <c r="Q3904" s="13"/>
    </row>
    <row r="3905" customFormat="false" ht="15" hidden="false" customHeight="false" outlineLevel="0" collapsed="false">
      <c r="A3905" s="16" t="s">
        <v>12246</v>
      </c>
      <c r="B3905" s="16" t="n">
        <v>3900</v>
      </c>
      <c r="C3905" s="16" t="s">
        <v>12247</v>
      </c>
      <c r="D3905" s="16" t="n">
        <v>7</v>
      </c>
      <c r="E3905" s="37" t="s">
        <v>10002</v>
      </c>
      <c r="F3905" s="16" t="s">
        <v>1285</v>
      </c>
      <c r="G3905" s="16" t="s">
        <v>757</v>
      </c>
      <c r="H3905" s="16" t="s">
        <v>5350</v>
      </c>
      <c r="I3905" s="16" t="s">
        <v>114</v>
      </c>
      <c r="J3905" s="16" t="s">
        <v>9999</v>
      </c>
      <c r="K3905" s="32" t="n">
        <v>1</v>
      </c>
      <c r="L3905" s="33" t="n">
        <v>46243</v>
      </c>
      <c r="M3905" s="33" t="n">
        <v>46243</v>
      </c>
      <c r="N3905" s="16" t="s">
        <v>12248</v>
      </c>
      <c r="O3905" s="16"/>
      <c r="P3905" s="16" t="str">
        <f aca="false">IF(AND(L3905&lt;=$D$2,M3905&gt;=$C$2),"Sí","")</f>
        <v/>
      </c>
      <c r="Q3905" s="18" t="str">
        <f aca="false">IF(COUNTIF(LOOKAHEAD!$A$5:$A$604,A3905)&gt;0,"En Lookahead",IF(P3905="Sí","INCORPORAR",""))</f>
        <v/>
      </c>
    </row>
    <row r="3906" customFormat="false" ht="15" hidden="false" customHeight="false" outlineLevel="0" collapsed="false">
      <c r="A3906" s="16" t="s">
        <v>12249</v>
      </c>
      <c r="B3906" s="16" t="n">
        <v>3901</v>
      </c>
      <c r="C3906" s="16" t="s">
        <v>12250</v>
      </c>
      <c r="D3906" s="16" t="n">
        <v>7</v>
      </c>
      <c r="E3906" s="37" t="s">
        <v>10006</v>
      </c>
      <c r="F3906" s="16" t="s">
        <v>1285</v>
      </c>
      <c r="G3906" s="16" t="s">
        <v>757</v>
      </c>
      <c r="H3906" s="16" t="s">
        <v>5350</v>
      </c>
      <c r="I3906" s="16" t="s">
        <v>114</v>
      </c>
      <c r="J3906" s="16" t="s">
        <v>9999</v>
      </c>
      <c r="K3906" s="32" t="n">
        <v>1</v>
      </c>
      <c r="L3906" s="33" t="n">
        <v>46244</v>
      </c>
      <c r="M3906" s="33" t="n">
        <v>46244</v>
      </c>
      <c r="N3906" s="16" t="s">
        <v>12251</v>
      </c>
      <c r="O3906" s="16"/>
      <c r="P3906" s="16" t="str">
        <f aca="false">IF(AND(L3906&lt;=$D$2,M3906&gt;=$C$2),"Sí","")</f>
        <v/>
      </c>
      <c r="Q3906" s="18" t="str">
        <f aca="false">IF(COUNTIF(LOOKAHEAD!$A$5:$A$604,A3906)&gt;0,"En Lookahead",IF(P3906="Sí","INCORPORAR",""))</f>
        <v/>
      </c>
    </row>
    <row r="3907" customFormat="false" ht="15" hidden="false" customHeight="false" outlineLevel="0" collapsed="false">
      <c r="A3907" s="16" t="s">
        <v>12252</v>
      </c>
      <c r="B3907" s="16" t="n">
        <v>3902</v>
      </c>
      <c r="C3907" s="16" t="s">
        <v>12253</v>
      </c>
      <c r="D3907" s="16" t="n">
        <v>7</v>
      </c>
      <c r="E3907" s="37" t="s">
        <v>10010</v>
      </c>
      <c r="F3907" s="16" t="s">
        <v>1285</v>
      </c>
      <c r="G3907" s="16" t="s">
        <v>757</v>
      </c>
      <c r="H3907" s="16" t="s">
        <v>5350</v>
      </c>
      <c r="I3907" s="16" t="s">
        <v>114</v>
      </c>
      <c r="J3907" s="16" t="s">
        <v>9999</v>
      </c>
      <c r="K3907" s="32" t="n">
        <v>1</v>
      </c>
      <c r="L3907" s="33" t="n">
        <v>46245</v>
      </c>
      <c r="M3907" s="33" t="n">
        <v>46245</v>
      </c>
      <c r="N3907" s="16" t="s">
        <v>12254</v>
      </c>
      <c r="O3907" s="16"/>
      <c r="P3907" s="16" t="str">
        <f aca="false">IF(AND(L3907&lt;=$D$2,M3907&gt;=$C$2),"Sí","")</f>
        <v/>
      </c>
      <c r="Q3907" s="18" t="str">
        <f aca="false">IF(COUNTIF(LOOKAHEAD!$A$5:$A$604,A3907)&gt;0,"En Lookahead",IF(P3907="Sí","INCORPORAR",""))</f>
        <v/>
      </c>
    </row>
    <row r="3908" customFormat="false" ht="15" hidden="false" customHeight="false" outlineLevel="0" collapsed="false">
      <c r="A3908" s="13" t="s">
        <v>12255</v>
      </c>
      <c r="B3908" s="13" t="n">
        <v>3903</v>
      </c>
      <c r="C3908" s="13" t="s">
        <v>12256</v>
      </c>
      <c r="D3908" s="13" t="n">
        <v>6</v>
      </c>
      <c r="E3908" s="36" t="s">
        <v>10018</v>
      </c>
      <c r="F3908" s="13" t="s">
        <v>1298</v>
      </c>
      <c r="G3908" s="13" t="s">
        <v>757</v>
      </c>
      <c r="H3908" s="13" t="s">
        <v>5350</v>
      </c>
      <c r="I3908" s="13" t="s">
        <v>114</v>
      </c>
      <c r="J3908" s="13" t="s">
        <v>9975</v>
      </c>
      <c r="K3908" s="30" t="n">
        <v>1</v>
      </c>
      <c r="L3908" s="31" t="n">
        <v>46246</v>
      </c>
      <c r="M3908" s="31" t="n">
        <v>46246</v>
      </c>
      <c r="N3908" s="13"/>
      <c r="O3908" s="13"/>
      <c r="P3908" s="13"/>
      <c r="Q3908" s="13"/>
    </row>
    <row r="3909" customFormat="false" ht="15" hidden="false" customHeight="false" outlineLevel="0" collapsed="false">
      <c r="A3909" s="16" t="s">
        <v>12257</v>
      </c>
      <c r="B3909" s="16" t="n">
        <v>3904</v>
      </c>
      <c r="C3909" s="16" t="s">
        <v>12258</v>
      </c>
      <c r="D3909" s="16" t="n">
        <v>7</v>
      </c>
      <c r="E3909" s="37" t="s">
        <v>10021</v>
      </c>
      <c r="F3909" s="16" t="s">
        <v>1285</v>
      </c>
      <c r="G3909" s="16" t="s">
        <v>757</v>
      </c>
      <c r="H3909" s="16" t="s">
        <v>5350</v>
      </c>
      <c r="I3909" s="16" t="s">
        <v>114</v>
      </c>
      <c r="J3909" s="16" t="s">
        <v>10018</v>
      </c>
      <c r="K3909" s="32" t="n">
        <v>1</v>
      </c>
      <c r="L3909" s="33" t="n">
        <v>46246</v>
      </c>
      <c r="M3909" s="33" t="n">
        <v>46246</v>
      </c>
      <c r="N3909" s="16" t="s">
        <v>12259</v>
      </c>
      <c r="O3909" s="16"/>
      <c r="P3909" s="16" t="str">
        <f aca="false">IF(AND(L3909&lt;=$D$2,M3909&gt;=$C$2),"Sí","")</f>
        <v/>
      </c>
      <c r="Q3909" s="18" t="str">
        <f aca="false">IF(COUNTIF(LOOKAHEAD!$A$5:$A$604,A3909)&gt;0,"En Lookahead",IF(P3909="Sí","INCORPORAR",""))</f>
        <v/>
      </c>
    </row>
    <row r="3910" customFormat="false" ht="15" hidden="false" customHeight="false" outlineLevel="0" collapsed="false">
      <c r="A3910" s="13" t="s">
        <v>12260</v>
      </c>
      <c r="B3910" s="13" t="n">
        <v>3905</v>
      </c>
      <c r="C3910" s="13" t="s">
        <v>12261</v>
      </c>
      <c r="D3910" s="13" t="n">
        <v>6</v>
      </c>
      <c r="E3910" s="36" t="s">
        <v>10025</v>
      </c>
      <c r="F3910" s="13" t="s">
        <v>1298</v>
      </c>
      <c r="G3910" s="13" t="s">
        <v>757</v>
      </c>
      <c r="H3910" s="13" t="s">
        <v>5350</v>
      </c>
      <c r="I3910" s="13" t="s">
        <v>114</v>
      </c>
      <c r="J3910" s="13" t="s">
        <v>9975</v>
      </c>
      <c r="K3910" s="30" t="n">
        <v>1</v>
      </c>
      <c r="L3910" s="31" t="n">
        <v>46247</v>
      </c>
      <c r="M3910" s="31" t="n">
        <v>46247</v>
      </c>
      <c r="N3910" s="13"/>
      <c r="O3910" s="13"/>
      <c r="P3910" s="13"/>
      <c r="Q3910" s="13"/>
    </row>
    <row r="3911" customFormat="false" ht="15" hidden="false" customHeight="false" outlineLevel="0" collapsed="false">
      <c r="A3911" s="16" t="s">
        <v>12262</v>
      </c>
      <c r="B3911" s="16" t="n">
        <v>3906</v>
      </c>
      <c r="C3911" s="16" t="s">
        <v>12263</v>
      </c>
      <c r="D3911" s="16" t="n">
        <v>7</v>
      </c>
      <c r="E3911" s="37" t="s">
        <v>10028</v>
      </c>
      <c r="F3911" s="16" t="s">
        <v>1285</v>
      </c>
      <c r="G3911" s="16" t="s">
        <v>757</v>
      </c>
      <c r="H3911" s="16" t="s">
        <v>5350</v>
      </c>
      <c r="I3911" s="16" t="s">
        <v>114</v>
      </c>
      <c r="J3911" s="16" t="s">
        <v>10025</v>
      </c>
      <c r="K3911" s="32" t="n">
        <v>1</v>
      </c>
      <c r="L3911" s="33" t="n">
        <v>46247</v>
      </c>
      <c r="M3911" s="33" t="n">
        <v>46247</v>
      </c>
      <c r="N3911" s="16" t="s">
        <v>12264</v>
      </c>
      <c r="O3911" s="16"/>
      <c r="P3911" s="16" t="str">
        <f aca="false">IF(AND(L3911&lt;=$D$2,M3911&gt;=$C$2),"Sí","")</f>
        <v/>
      </c>
      <c r="Q3911" s="18" t="str">
        <f aca="false">IF(COUNTIF(LOOKAHEAD!$A$5:$A$604,A3911)&gt;0,"En Lookahead",IF(P3911="Sí","INCORPORAR",""))</f>
        <v/>
      </c>
    </row>
    <row r="3912" customFormat="false" ht="15" hidden="false" customHeight="false" outlineLevel="0" collapsed="false">
      <c r="A3912" s="13" t="s">
        <v>12265</v>
      </c>
      <c r="B3912" s="13" t="n">
        <v>3907</v>
      </c>
      <c r="C3912" s="13" t="s">
        <v>12266</v>
      </c>
      <c r="D3912" s="13" t="n">
        <v>5</v>
      </c>
      <c r="E3912" s="34" t="s">
        <v>10032</v>
      </c>
      <c r="F3912" s="13" t="s">
        <v>1298</v>
      </c>
      <c r="G3912" s="13" t="s">
        <v>757</v>
      </c>
      <c r="H3912" s="13" t="s">
        <v>5350</v>
      </c>
      <c r="I3912" s="13" t="s">
        <v>114</v>
      </c>
      <c r="J3912" s="13" t="s">
        <v>5350</v>
      </c>
      <c r="K3912" s="30" t="n">
        <v>20</v>
      </c>
      <c r="L3912" s="31" t="n">
        <v>46248</v>
      </c>
      <c r="M3912" s="31" t="n">
        <v>46267</v>
      </c>
      <c r="N3912" s="13"/>
      <c r="O3912" s="13"/>
      <c r="P3912" s="13"/>
      <c r="Q3912" s="13"/>
    </row>
    <row r="3913" customFormat="false" ht="15" hidden="false" customHeight="false" outlineLevel="0" collapsed="false">
      <c r="A3913" s="13" t="s">
        <v>12267</v>
      </c>
      <c r="B3913" s="13" t="n">
        <v>3908</v>
      </c>
      <c r="C3913" s="13" t="s">
        <v>12268</v>
      </c>
      <c r="D3913" s="13" t="n">
        <v>6</v>
      </c>
      <c r="E3913" s="36" t="s">
        <v>10035</v>
      </c>
      <c r="F3913" s="13" t="s">
        <v>1298</v>
      </c>
      <c r="G3913" s="13" t="s">
        <v>757</v>
      </c>
      <c r="H3913" s="13" t="s">
        <v>5350</v>
      </c>
      <c r="I3913" s="13" t="s">
        <v>114</v>
      </c>
      <c r="J3913" s="13" t="s">
        <v>10032</v>
      </c>
      <c r="K3913" s="30" t="n">
        <v>1</v>
      </c>
      <c r="L3913" s="31" t="n">
        <v>46248</v>
      </c>
      <c r="M3913" s="31" t="n">
        <v>46248</v>
      </c>
      <c r="N3913" s="13"/>
      <c r="O3913" s="13"/>
      <c r="P3913" s="13"/>
      <c r="Q3913" s="13"/>
    </row>
    <row r="3914" customFormat="false" ht="15" hidden="false" customHeight="false" outlineLevel="0" collapsed="false">
      <c r="A3914" s="16" t="s">
        <v>12269</v>
      </c>
      <c r="B3914" s="16" t="n">
        <v>3909</v>
      </c>
      <c r="C3914" s="16" t="s">
        <v>12270</v>
      </c>
      <c r="D3914" s="16" t="n">
        <v>7</v>
      </c>
      <c r="E3914" s="37" t="s">
        <v>10038</v>
      </c>
      <c r="F3914" s="16" t="s">
        <v>1285</v>
      </c>
      <c r="G3914" s="16" t="s">
        <v>757</v>
      </c>
      <c r="H3914" s="16" t="s">
        <v>5350</v>
      </c>
      <c r="I3914" s="16" t="s">
        <v>114</v>
      </c>
      <c r="J3914" s="16" t="s">
        <v>10035</v>
      </c>
      <c r="K3914" s="32" t="n">
        <v>1</v>
      </c>
      <c r="L3914" s="33" t="n">
        <v>46248</v>
      </c>
      <c r="M3914" s="33" t="n">
        <v>46248</v>
      </c>
      <c r="N3914" s="16" t="s">
        <v>12220</v>
      </c>
      <c r="O3914" s="16"/>
      <c r="P3914" s="16" t="str">
        <f aca="false">IF(AND(L3914&lt;=$D$2,M3914&gt;=$C$2),"Sí","")</f>
        <v/>
      </c>
      <c r="Q3914" s="18" t="str">
        <f aca="false">IF(COUNTIF(LOOKAHEAD!$A$5:$A$604,A3914)&gt;0,"En Lookahead",IF(P3914="Sí","INCORPORAR",""))</f>
        <v/>
      </c>
    </row>
    <row r="3915" customFormat="false" ht="15" hidden="false" customHeight="false" outlineLevel="0" collapsed="false">
      <c r="A3915" s="13" t="s">
        <v>12271</v>
      </c>
      <c r="B3915" s="13" t="n">
        <v>3910</v>
      </c>
      <c r="C3915" s="13" t="s">
        <v>12272</v>
      </c>
      <c r="D3915" s="13" t="n">
        <v>6</v>
      </c>
      <c r="E3915" s="36" t="s">
        <v>1534</v>
      </c>
      <c r="F3915" s="13" t="s">
        <v>1298</v>
      </c>
      <c r="G3915" s="13" t="s">
        <v>757</v>
      </c>
      <c r="H3915" s="13" t="s">
        <v>5350</v>
      </c>
      <c r="I3915" s="13" t="s">
        <v>114</v>
      </c>
      <c r="J3915" s="13" t="s">
        <v>10032</v>
      </c>
      <c r="K3915" s="30" t="n">
        <v>18</v>
      </c>
      <c r="L3915" s="31" t="n">
        <v>46249</v>
      </c>
      <c r="M3915" s="31" t="n">
        <v>46266</v>
      </c>
      <c r="N3915" s="13"/>
      <c r="O3915" s="13"/>
      <c r="P3915" s="13"/>
      <c r="Q3915" s="13"/>
    </row>
    <row r="3916" customFormat="false" ht="15" hidden="false" customHeight="false" outlineLevel="0" collapsed="false">
      <c r="A3916" s="16" t="s">
        <v>12273</v>
      </c>
      <c r="B3916" s="16" t="n">
        <v>3911</v>
      </c>
      <c r="C3916" s="16" t="s">
        <v>12274</v>
      </c>
      <c r="D3916" s="16" t="n">
        <v>7</v>
      </c>
      <c r="E3916" s="37" t="s">
        <v>10043</v>
      </c>
      <c r="F3916" s="16" t="s">
        <v>1285</v>
      </c>
      <c r="G3916" s="16" t="s">
        <v>757</v>
      </c>
      <c r="H3916" s="16" t="s">
        <v>5350</v>
      </c>
      <c r="I3916" s="16" t="s">
        <v>114</v>
      </c>
      <c r="J3916" s="16" t="s">
        <v>1534</v>
      </c>
      <c r="K3916" s="32" t="n">
        <v>6</v>
      </c>
      <c r="L3916" s="33" t="n">
        <v>46249</v>
      </c>
      <c r="M3916" s="33" t="n">
        <v>46254</v>
      </c>
      <c r="N3916" s="16" t="s">
        <v>12275</v>
      </c>
      <c r="O3916" s="16"/>
      <c r="P3916" s="16" t="str">
        <f aca="false">IF(AND(L3916&lt;=$D$2,M3916&gt;=$C$2),"Sí","")</f>
        <v/>
      </c>
      <c r="Q3916" s="18" t="str">
        <f aca="false">IF(COUNTIF(LOOKAHEAD!$A$5:$A$604,A3916)&gt;0,"En Lookahead",IF(P3916="Sí","INCORPORAR",""))</f>
        <v/>
      </c>
    </row>
    <row r="3917" customFormat="false" ht="15" hidden="false" customHeight="false" outlineLevel="0" collapsed="false">
      <c r="A3917" s="16" t="s">
        <v>12276</v>
      </c>
      <c r="B3917" s="16" t="n">
        <v>3912</v>
      </c>
      <c r="C3917" s="16" t="s">
        <v>12277</v>
      </c>
      <c r="D3917" s="16" t="n">
        <v>7</v>
      </c>
      <c r="E3917" s="37" t="s">
        <v>10047</v>
      </c>
      <c r="F3917" s="16" t="s">
        <v>1285</v>
      </c>
      <c r="G3917" s="16" t="s">
        <v>757</v>
      </c>
      <c r="H3917" s="16" t="s">
        <v>5350</v>
      </c>
      <c r="I3917" s="16" t="s">
        <v>114</v>
      </c>
      <c r="J3917" s="16" t="s">
        <v>1534</v>
      </c>
      <c r="K3917" s="32" t="n">
        <v>1</v>
      </c>
      <c r="L3917" s="33" t="n">
        <v>46255</v>
      </c>
      <c r="M3917" s="33" t="n">
        <v>46255</v>
      </c>
      <c r="N3917" s="16" t="s">
        <v>12278</v>
      </c>
      <c r="O3917" s="16"/>
      <c r="P3917" s="16" t="str">
        <f aca="false">IF(AND(L3917&lt;=$D$2,M3917&gt;=$C$2),"Sí","")</f>
        <v/>
      </c>
      <c r="Q3917" s="18" t="str">
        <f aca="false">IF(COUNTIF(LOOKAHEAD!$A$5:$A$604,A3917)&gt;0,"En Lookahead",IF(P3917="Sí","INCORPORAR",""))</f>
        <v/>
      </c>
    </row>
    <row r="3918" customFormat="false" ht="15" hidden="false" customHeight="false" outlineLevel="0" collapsed="false">
      <c r="A3918" s="16" t="s">
        <v>12279</v>
      </c>
      <c r="B3918" s="16" t="n">
        <v>3913</v>
      </c>
      <c r="C3918" s="16" t="s">
        <v>12280</v>
      </c>
      <c r="D3918" s="16" t="n">
        <v>7</v>
      </c>
      <c r="E3918" s="37" t="s">
        <v>10051</v>
      </c>
      <c r="F3918" s="16" t="s">
        <v>1285</v>
      </c>
      <c r="G3918" s="16" t="s">
        <v>757</v>
      </c>
      <c r="H3918" s="16" t="s">
        <v>5350</v>
      </c>
      <c r="I3918" s="16" t="s">
        <v>114</v>
      </c>
      <c r="J3918" s="16" t="s">
        <v>1534</v>
      </c>
      <c r="K3918" s="32" t="n">
        <v>1</v>
      </c>
      <c r="L3918" s="33" t="n">
        <v>46256</v>
      </c>
      <c r="M3918" s="33" t="n">
        <v>46256</v>
      </c>
      <c r="N3918" s="16" t="s">
        <v>12281</v>
      </c>
      <c r="O3918" s="16"/>
      <c r="P3918" s="16" t="str">
        <f aca="false">IF(AND(L3918&lt;=$D$2,M3918&gt;=$C$2),"Sí","")</f>
        <v/>
      </c>
      <c r="Q3918" s="18" t="str">
        <f aca="false">IF(COUNTIF(LOOKAHEAD!$A$5:$A$604,A3918)&gt;0,"En Lookahead",IF(P3918="Sí","INCORPORAR",""))</f>
        <v/>
      </c>
    </row>
    <row r="3919" customFormat="false" ht="15" hidden="false" customHeight="false" outlineLevel="0" collapsed="false">
      <c r="A3919" s="16" t="s">
        <v>12282</v>
      </c>
      <c r="B3919" s="16" t="n">
        <v>3914</v>
      </c>
      <c r="C3919" s="16" t="s">
        <v>12283</v>
      </c>
      <c r="D3919" s="16" t="n">
        <v>7</v>
      </c>
      <c r="E3919" s="37" t="s">
        <v>10055</v>
      </c>
      <c r="F3919" s="16" t="s">
        <v>1285</v>
      </c>
      <c r="G3919" s="16" t="s">
        <v>757</v>
      </c>
      <c r="H3919" s="16" t="s">
        <v>5350</v>
      </c>
      <c r="I3919" s="16" t="s">
        <v>114</v>
      </c>
      <c r="J3919" s="16" t="s">
        <v>1534</v>
      </c>
      <c r="K3919" s="32" t="n">
        <v>1</v>
      </c>
      <c r="L3919" s="33" t="n">
        <v>46257</v>
      </c>
      <c r="M3919" s="33" t="n">
        <v>46257</v>
      </c>
      <c r="N3919" s="16" t="s">
        <v>12284</v>
      </c>
      <c r="O3919" s="16"/>
      <c r="P3919" s="16" t="str">
        <f aca="false">IF(AND(L3919&lt;=$D$2,M3919&gt;=$C$2),"Sí","")</f>
        <v/>
      </c>
      <c r="Q3919" s="18" t="str">
        <f aca="false">IF(COUNTIF(LOOKAHEAD!$A$5:$A$604,A3919)&gt;0,"En Lookahead",IF(P3919="Sí","INCORPORAR",""))</f>
        <v/>
      </c>
    </row>
    <row r="3920" customFormat="false" ht="15" hidden="false" customHeight="false" outlineLevel="0" collapsed="false">
      <c r="A3920" s="16" t="s">
        <v>12285</v>
      </c>
      <c r="B3920" s="16" t="n">
        <v>3915</v>
      </c>
      <c r="C3920" s="16" t="s">
        <v>12286</v>
      </c>
      <c r="D3920" s="16" t="n">
        <v>7</v>
      </c>
      <c r="E3920" s="37" t="s">
        <v>10059</v>
      </c>
      <c r="F3920" s="16" t="s">
        <v>1285</v>
      </c>
      <c r="G3920" s="16" t="s">
        <v>757</v>
      </c>
      <c r="H3920" s="16" t="s">
        <v>5350</v>
      </c>
      <c r="I3920" s="16" t="s">
        <v>114</v>
      </c>
      <c r="J3920" s="16" t="s">
        <v>1534</v>
      </c>
      <c r="K3920" s="32" t="n">
        <v>1</v>
      </c>
      <c r="L3920" s="33" t="n">
        <v>46264</v>
      </c>
      <c r="M3920" s="33" t="n">
        <v>46264</v>
      </c>
      <c r="N3920" s="16" t="s">
        <v>12287</v>
      </c>
      <c r="O3920" s="16"/>
      <c r="P3920" s="16" t="str">
        <f aca="false">IF(AND(L3920&lt;=$D$2,M3920&gt;=$C$2),"Sí","")</f>
        <v/>
      </c>
      <c r="Q3920" s="18" t="str">
        <f aca="false">IF(COUNTIF(LOOKAHEAD!$A$5:$A$604,A3920)&gt;0,"En Lookahead",IF(P3920="Sí","INCORPORAR",""))</f>
        <v/>
      </c>
    </row>
    <row r="3921" customFormat="false" ht="15" hidden="false" customHeight="false" outlineLevel="0" collapsed="false">
      <c r="A3921" s="16" t="s">
        <v>12288</v>
      </c>
      <c r="B3921" s="16" t="n">
        <v>3916</v>
      </c>
      <c r="C3921" s="16" t="s">
        <v>12289</v>
      </c>
      <c r="D3921" s="16" t="n">
        <v>7</v>
      </c>
      <c r="E3921" s="37" t="s">
        <v>10063</v>
      </c>
      <c r="F3921" s="16" t="s">
        <v>1285</v>
      </c>
      <c r="G3921" s="16" t="s">
        <v>757</v>
      </c>
      <c r="H3921" s="16" t="s">
        <v>5350</v>
      </c>
      <c r="I3921" s="16" t="s">
        <v>114</v>
      </c>
      <c r="J3921" s="16" t="s">
        <v>1534</v>
      </c>
      <c r="K3921" s="32" t="n">
        <v>1</v>
      </c>
      <c r="L3921" s="33" t="n">
        <v>46265</v>
      </c>
      <c r="M3921" s="33" t="n">
        <v>46265</v>
      </c>
      <c r="N3921" s="16" t="s">
        <v>12290</v>
      </c>
      <c r="O3921" s="16"/>
      <c r="P3921" s="16" t="str">
        <f aca="false">IF(AND(L3921&lt;=$D$2,M3921&gt;=$C$2),"Sí","")</f>
        <v/>
      </c>
      <c r="Q3921" s="18" t="str">
        <f aca="false">IF(COUNTIF(LOOKAHEAD!$A$5:$A$604,A3921)&gt;0,"En Lookahead",IF(P3921="Sí","INCORPORAR",""))</f>
        <v/>
      </c>
    </row>
    <row r="3922" customFormat="false" ht="15" hidden="false" customHeight="false" outlineLevel="0" collapsed="false">
      <c r="A3922" s="16" t="s">
        <v>12291</v>
      </c>
      <c r="B3922" s="16" t="n">
        <v>3917</v>
      </c>
      <c r="C3922" s="16" t="s">
        <v>12292</v>
      </c>
      <c r="D3922" s="16" t="n">
        <v>7</v>
      </c>
      <c r="E3922" s="37" t="s">
        <v>1557</v>
      </c>
      <c r="F3922" s="16" t="s">
        <v>1285</v>
      </c>
      <c r="G3922" s="16" t="s">
        <v>757</v>
      </c>
      <c r="H3922" s="16" t="s">
        <v>5350</v>
      </c>
      <c r="I3922" s="16" t="s">
        <v>114</v>
      </c>
      <c r="J3922" s="16" t="s">
        <v>1534</v>
      </c>
      <c r="K3922" s="32" t="n">
        <v>1</v>
      </c>
      <c r="L3922" s="33" t="n">
        <v>46264</v>
      </c>
      <c r="M3922" s="33" t="n">
        <v>46264</v>
      </c>
      <c r="N3922" s="16" t="s">
        <v>12293</v>
      </c>
      <c r="O3922" s="16"/>
      <c r="P3922" s="16" t="str">
        <f aca="false">IF(AND(L3922&lt;=$D$2,M3922&gt;=$C$2),"Sí","")</f>
        <v/>
      </c>
      <c r="Q3922" s="18" t="str">
        <f aca="false">IF(COUNTIF(LOOKAHEAD!$A$5:$A$604,A3922)&gt;0,"En Lookahead",IF(P3922="Sí","INCORPORAR",""))</f>
        <v/>
      </c>
    </row>
    <row r="3923" customFormat="false" ht="15" hidden="false" customHeight="false" outlineLevel="0" collapsed="false">
      <c r="A3923" s="16" t="s">
        <v>12294</v>
      </c>
      <c r="B3923" s="16" t="n">
        <v>3918</v>
      </c>
      <c r="C3923" s="16" t="s">
        <v>12295</v>
      </c>
      <c r="D3923" s="16" t="n">
        <v>7</v>
      </c>
      <c r="E3923" s="37" t="s">
        <v>10069</v>
      </c>
      <c r="F3923" s="16" t="s">
        <v>1285</v>
      </c>
      <c r="G3923" s="16" t="s">
        <v>757</v>
      </c>
      <c r="H3923" s="16" t="s">
        <v>5350</v>
      </c>
      <c r="I3923" s="16" t="s">
        <v>114</v>
      </c>
      <c r="J3923" s="16" t="s">
        <v>1534</v>
      </c>
      <c r="K3923" s="32" t="n">
        <v>1</v>
      </c>
      <c r="L3923" s="33" t="n">
        <v>46266</v>
      </c>
      <c r="M3923" s="33" t="n">
        <v>46266</v>
      </c>
      <c r="N3923" s="16" t="s">
        <v>12296</v>
      </c>
      <c r="O3923" s="16"/>
      <c r="P3923" s="16" t="str">
        <f aca="false">IF(AND(L3923&lt;=$D$2,M3923&gt;=$C$2),"Sí","")</f>
        <v/>
      </c>
      <c r="Q3923" s="18" t="str">
        <f aca="false">IF(COUNTIF(LOOKAHEAD!$A$5:$A$604,A3923)&gt;0,"En Lookahead",IF(P3923="Sí","INCORPORAR",""))</f>
        <v/>
      </c>
    </row>
    <row r="3924" customFormat="false" ht="15" hidden="false" customHeight="false" outlineLevel="0" collapsed="false">
      <c r="A3924" s="13" t="s">
        <v>12297</v>
      </c>
      <c r="B3924" s="13" t="n">
        <v>3919</v>
      </c>
      <c r="C3924" s="13" t="s">
        <v>12298</v>
      </c>
      <c r="D3924" s="13" t="n">
        <v>6</v>
      </c>
      <c r="E3924" s="36" t="s">
        <v>10072</v>
      </c>
      <c r="F3924" s="13" t="s">
        <v>1298</v>
      </c>
      <c r="G3924" s="13" t="s">
        <v>757</v>
      </c>
      <c r="H3924" s="13" t="s">
        <v>5350</v>
      </c>
      <c r="I3924" s="13" t="s">
        <v>114</v>
      </c>
      <c r="J3924" s="13" t="s">
        <v>10032</v>
      </c>
      <c r="K3924" s="30" t="n">
        <v>3</v>
      </c>
      <c r="L3924" s="31" t="n">
        <v>46257</v>
      </c>
      <c r="M3924" s="31" t="n">
        <v>46259</v>
      </c>
      <c r="N3924" s="13"/>
      <c r="O3924" s="13"/>
      <c r="P3924" s="13"/>
      <c r="Q3924" s="13"/>
    </row>
    <row r="3925" customFormat="false" ht="15" hidden="false" customHeight="false" outlineLevel="0" collapsed="false">
      <c r="A3925" s="16" t="s">
        <v>12299</v>
      </c>
      <c r="B3925" s="16" t="n">
        <v>3920</v>
      </c>
      <c r="C3925" s="16" t="s">
        <v>12300</v>
      </c>
      <c r="D3925" s="16" t="n">
        <v>7</v>
      </c>
      <c r="E3925" s="37" t="s">
        <v>10075</v>
      </c>
      <c r="F3925" s="16" t="s">
        <v>1285</v>
      </c>
      <c r="G3925" s="16" t="s">
        <v>757</v>
      </c>
      <c r="H3925" s="16" t="s">
        <v>5350</v>
      </c>
      <c r="I3925" s="16" t="s">
        <v>114</v>
      </c>
      <c r="J3925" s="16" t="s">
        <v>10072</v>
      </c>
      <c r="K3925" s="32" t="n">
        <v>3</v>
      </c>
      <c r="L3925" s="33" t="n">
        <v>46257</v>
      </c>
      <c r="M3925" s="33" t="n">
        <v>46259</v>
      </c>
      <c r="N3925" s="16" t="s">
        <v>12284</v>
      </c>
      <c r="O3925" s="16"/>
      <c r="P3925" s="16" t="str">
        <f aca="false">IF(AND(L3925&lt;=$D$2,M3925&gt;=$C$2),"Sí","")</f>
        <v/>
      </c>
      <c r="Q3925" s="18" t="str">
        <f aca="false">IF(COUNTIF(LOOKAHEAD!$A$5:$A$604,A3925)&gt;0,"En Lookahead",IF(P3925="Sí","INCORPORAR",""))</f>
        <v/>
      </c>
    </row>
    <row r="3926" customFormat="false" ht="15" hidden="false" customHeight="false" outlineLevel="0" collapsed="false">
      <c r="A3926" s="13" t="s">
        <v>12301</v>
      </c>
      <c r="B3926" s="13" t="n">
        <v>3921</v>
      </c>
      <c r="C3926" s="13" t="s">
        <v>12302</v>
      </c>
      <c r="D3926" s="13" t="n">
        <v>6</v>
      </c>
      <c r="E3926" s="36" t="s">
        <v>10079</v>
      </c>
      <c r="F3926" s="13" t="s">
        <v>1298</v>
      </c>
      <c r="G3926" s="13" t="s">
        <v>757</v>
      </c>
      <c r="H3926" s="13" t="s">
        <v>5350</v>
      </c>
      <c r="I3926" s="13" t="s">
        <v>114</v>
      </c>
      <c r="J3926" s="13" t="s">
        <v>10032</v>
      </c>
      <c r="K3926" s="30" t="n">
        <v>4</v>
      </c>
      <c r="L3926" s="31" t="n">
        <v>46260</v>
      </c>
      <c r="M3926" s="31" t="n">
        <v>46263</v>
      </c>
      <c r="N3926" s="13"/>
      <c r="O3926" s="13"/>
      <c r="P3926" s="13"/>
      <c r="Q3926" s="13"/>
    </row>
    <row r="3927" customFormat="false" ht="15" hidden="false" customHeight="false" outlineLevel="0" collapsed="false">
      <c r="A3927" s="16" t="s">
        <v>12303</v>
      </c>
      <c r="B3927" s="16" t="n">
        <v>3922</v>
      </c>
      <c r="C3927" s="16" t="s">
        <v>12304</v>
      </c>
      <c r="D3927" s="16" t="n">
        <v>7</v>
      </c>
      <c r="E3927" s="37" t="s">
        <v>10086</v>
      </c>
      <c r="F3927" s="16" t="s">
        <v>1285</v>
      </c>
      <c r="G3927" s="16" t="s">
        <v>757</v>
      </c>
      <c r="H3927" s="16" t="s">
        <v>5350</v>
      </c>
      <c r="I3927" s="16" t="s">
        <v>114</v>
      </c>
      <c r="J3927" s="16" t="s">
        <v>10079</v>
      </c>
      <c r="K3927" s="32" t="n">
        <v>1</v>
      </c>
      <c r="L3927" s="33" t="n">
        <v>46260</v>
      </c>
      <c r="M3927" s="33" t="n">
        <v>46260</v>
      </c>
      <c r="N3927" s="16" t="s">
        <v>12305</v>
      </c>
      <c r="O3927" s="16"/>
      <c r="P3927" s="16" t="str">
        <f aca="false">IF(AND(L3927&lt;=$D$2,M3927&gt;=$C$2),"Sí","")</f>
        <v/>
      </c>
      <c r="Q3927" s="18" t="str">
        <f aca="false">IF(COUNTIF(LOOKAHEAD!$A$5:$A$604,A3927)&gt;0,"En Lookahead",IF(P3927="Sí","INCORPORAR",""))</f>
        <v/>
      </c>
    </row>
    <row r="3928" customFormat="false" ht="15" hidden="false" customHeight="false" outlineLevel="0" collapsed="false">
      <c r="A3928" s="16" t="s">
        <v>12306</v>
      </c>
      <c r="B3928" s="16" t="n">
        <v>3923</v>
      </c>
      <c r="C3928" s="16" t="s">
        <v>12307</v>
      </c>
      <c r="D3928" s="16" t="n">
        <v>7</v>
      </c>
      <c r="E3928" s="37" t="s">
        <v>10090</v>
      </c>
      <c r="F3928" s="16" t="s">
        <v>1285</v>
      </c>
      <c r="G3928" s="16" t="s">
        <v>757</v>
      </c>
      <c r="H3928" s="16" t="s">
        <v>5350</v>
      </c>
      <c r="I3928" s="16" t="s">
        <v>114</v>
      </c>
      <c r="J3928" s="16" t="s">
        <v>10079</v>
      </c>
      <c r="K3928" s="32" t="n">
        <v>1</v>
      </c>
      <c r="L3928" s="33" t="n">
        <v>46261</v>
      </c>
      <c r="M3928" s="33" t="n">
        <v>46261</v>
      </c>
      <c r="N3928" s="16" t="s">
        <v>12308</v>
      </c>
      <c r="O3928" s="16"/>
      <c r="P3928" s="16" t="str">
        <f aca="false">IF(AND(L3928&lt;=$D$2,M3928&gt;=$C$2),"Sí","")</f>
        <v/>
      </c>
      <c r="Q3928" s="18" t="str">
        <f aca="false">IF(COUNTIF(LOOKAHEAD!$A$5:$A$604,A3928)&gt;0,"En Lookahead",IF(P3928="Sí","INCORPORAR",""))</f>
        <v/>
      </c>
    </row>
    <row r="3929" customFormat="false" ht="15" hidden="false" customHeight="false" outlineLevel="0" collapsed="false">
      <c r="A3929" s="16" t="s">
        <v>12309</v>
      </c>
      <c r="B3929" s="16" t="n">
        <v>3924</v>
      </c>
      <c r="C3929" s="16" t="s">
        <v>12310</v>
      </c>
      <c r="D3929" s="16" t="n">
        <v>7</v>
      </c>
      <c r="E3929" s="37" t="s">
        <v>10212</v>
      </c>
      <c r="F3929" s="16" t="s">
        <v>1285</v>
      </c>
      <c r="G3929" s="16" t="s">
        <v>757</v>
      </c>
      <c r="H3929" s="16" t="s">
        <v>5350</v>
      </c>
      <c r="I3929" s="16" t="s">
        <v>114</v>
      </c>
      <c r="J3929" s="16" t="s">
        <v>10079</v>
      </c>
      <c r="K3929" s="32" t="n">
        <v>2</v>
      </c>
      <c r="L3929" s="33" t="n">
        <v>46262</v>
      </c>
      <c r="M3929" s="33" t="n">
        <v>46263</v>
      </c>
      <c r="N3929" s="16" t="s">
        <v>12311</v>
      </c>
      <c r="O3929" s="16"/>
      <c r="P3929" s="16" t="str">
        <f aca="false">IF(AND(L3929&lt;=$D$2,M3929&gt;=$C$2),"Sí","")</f>
        <v/>
      </c>
      <c r="Q3929" s="18" t="str">
        <f aca="false">IF(COUNTIF(LOOKAHEAD!$A$5:$A$604,A3929)&gt;0,"En Lookahead",IF(P3929="Sí","INCORPORAR",""))</f>
        <v/>
      </c>
    </row>
    <row r="3930" customFormat="false" ht="15" hidden="false" customHeight="false" outlineLevel="0" collapsed="false">
      <c r="A3930" s="13" t="s">
        <v>12312</v>
      </c>
      <c r="B3930" s="13" t="n">
        <v>3925</v>
      </c>
      <c r="C3930" s="13" t="s">
        <v>12313</v>
      </c>
      <c r="D3930" s="13" t="n">
        <v>6</v>
      </c>
      <c r="E3930" s="36" t="s">
        <v>10102</v>
      </c>
      <c r="F3930" s="13" t="s">
        <v>1298</v>
      </c>
      <c r="G3930" s="13" t="s">
        <v>757</v>
      </c>
      <c r="H3930" s="13" t="s">
        <v>5350</v>
      </c>
      <c r="I3930" s="13" t="s">
        <v>114</v>
      </c>
      <c r="J3930" s="13" t="s">
        <v>10032</v>
      </c>
      <c r="K3930" s="30" t="n">
        <v>4</v>
      </c>
      <c r="L3930" s="31" t="n">
        <v>46264</v>
      </c>
      <c r="M3930" s="31" t="n">
        <v>46267</v>
      </c>
      <c r="N3930" s="13"/>
      <c r="O3930" s="13"/>
      <c r="P3930" s="13"/>
      <c r="Q3930" s="13"/>
    </row>
    <row r="3931" customFormat="false" ht="15" hidden="false" customHeight="false" outlineLevel="0" collapsed="false">
      <c r="A3931" s="16" t="s">
        <v>12314</v>
      </c>
      <c r="B3931" s="16" t="n">
        <v>3926</v>
      </c>
      <c r="C3931" s="16" t="s">
        <v>12315</v>
      </c>
      <c r="D3931" s="16" t="n">
        <v>7</v>
      </c>
      <c r="E3931" s="37" t="s">
        <v>10105</v>
      </c>
      <c r="F3931" s="16" t="s">
        <v>1285</v>
      </c>
      <c r="G3931" s="16" t="s">
        <v>757</v>
      </c>
      <c r="H3931" s="16" t="s">
        <v>5350</v>
      </c>
      <c r="I3931" s="16" t="s">
        <v>114</v>
      </c>
      <c r="J3931" s="16" t="s">
        <v>10102</v>
      </c>
      <c r="K3931" s="32" t="n">
        <v>1</v>
      </c>
      <c r="L3931" s="33" t="n">
        <v>46264</v>
      </c>
      <c r="M3931" s="33" t="n">
        <v>46264</v>
      </c>
      <c r="N3931" s="16" t="s">
        <v>12287</v>
      </c>
      <c r="O3931" s="16"/>
      <c r="P3931" s="16" t="str">
        <f aca="false">IF(AND(L3931&lt;=$D$2,M3931&gt;=$C$2),"Sí","")</f>
        <v/>
      </c>
      <c r="Q3931" s="18" t="str">
        <f aca="false">IF(COUNTIF(LOOKAHEAD!$A$5:$A$604,A3931)&gt;0,"En Lookahead",IF(P3931="Sí","INCORPORAR",""))</f>
        <v/>
      </c>
    </row>
    <row r="3932" customFormat="false" ht="15" hidden="false" customHeight="false" outlineLevel="0" collapsed="false">
      <c r="A3932" s="16" t="s">
        <v>12316</v>
      </c>
      <c r="B3932" s="16" t="n">
        <v>3927</v>
      </c>
      <c r="C3932" s="16" t="s">
        <v>12317</v>
      </c>
      <c r="D3932" s="16" t="n">
        <v>7</v>
      </c>
      <c r="E3932" s="37" t="s">
        <v>1557</v>
      </c>
      <c r="F3932" s="16" t="s">
        <v>1285</v>
      </c>
      <c r="G3932" s="16" t="s">
        <v>757</v>
      </c>
      <c r="H3932" s="16" t="s">
        <v>5350</v>
      </c>
      <c r="I3932" s="16" t="s">
        <v>114</v>
      </c>
      <c r="J3932" s="16" t="s">
        <v>10102</v>
      </c>
      <c r="K3932" s="32" t="n">
        <v>1</v>
      </c>
      <c r="L3932" s="33" t="n">
        <v>46265</v>
      </c>
      <c r="M3932" s="33" t="n">
        <v>46265</v>
      </c>
      <c r="N3932" s="16" t="s">
        <v>12318</v>
      </c>
      <c r="O3932" s="16"/>
      <c r="P3932" s="16" t="str">
        <f aca="false">IF(AND(L3932&lt;=$D$2,M3932&gt;=$C$2),"Sí","")</f>
        <v/>
      </c>
      <c r="Q3932" s="18" t="str">
        <f aca="false">IF(COUNTIF(LOOKAHEAD!$A$5:$A$604,A3932)&gt;0,"En Lookahead",IF(P3932="Sí","INCORPORAR",""))</f>
        <v/>
      </c>
    </row>
    <row r="3933" customFormat="false" ht="15" hidden="false" customHeight="false" outlineLevel="0" collapsed="false">
      <c r="A3933" s="16" t="s">
        <v>12319</v>
      </c>
      <c r="B3933" s="16" t="n">
        <v>3928</v>
      </c>
      <c r="C3933" s="16" t="s">
        <v>12320</v>
      </c>
      <c r="D3933" s="16" t="n">
        <v>7</v>
      </c>
      <c r="E3933" s="37" t="s">
        <v>10069</v>
      </c>
      <c r="F3933" s="16" t="s">
        <v>1285</v>
      </c>
      <c r="G3933" s="16" t="s">
        <v>757</v>
      </c>
      <c r="H3933" s="16" t="s">
        <v>5350</v>
      </c>
      <c r="I3933" s="16" t="s">
        <v>114</v>
      </c>
      <c r="J3933" s="16" t="s">
        <v>10102</v>
      </c>
      <c r="K3933" s="32" t="n">
        <v>1</v>
      </c>
      <c r="L3933" s="33" t="n">
        <v>46267</v>
      </c>
      <c r="M3933" s="33" t="n">
        <v>46267</v>
      </c>
      <c r="N3933" s="16" t="s">
        <v>12321</v>
      </c>
      <c r="O3933" s="16"/>
      <c r="P3933" s="16" t="str">
        <f aca="false">IF(AND(L3933&lt;=$D$2,M3933&gt;=$C$2),"Sí","")</f>
        <v/>
      </c>
      <c r="Q3933" s="18" t="str">
        <f aca="false">IF(COUNTIF(LOOKAHEAD!$A$5:$A$604,A3933)&gt;0,"En Lookahead",IF(P3933="Sí","INCORPORAR",""))</f>
        <v/>
      </c>
    </row>
    <row r="3934" customFormat="false" ht="15" hidden="false" customHeight="false" outlineLevel="0" collapsed="false">
      <c r="A3934" s="16" t="s">
        <v>12322</v>
      </c>
      <c r="B3934" s="16" t="n">
        <v>3929</v>
      </c>
      <c r="C3934" s="16" t="s">
        <v>12323</v>
      </c>
      <c r="D3934" s="16" t="n">
        <v>7</v>
      </c>
      <c r="E3934" s="37" t="s">
        <v>10115</v>
      </c>
      <c r="F3934" s="16" t="s">
        <v>1285</v>
      </c>
      <c r="G3934" s="16" t="s">
        <v>757</v>
      </c>
      <c r="H3934" s="16" t="s">
        <v>5350</v>
      </c>
      <c r="I3934" s="16" t="s">
        <v>114</v>
      </c>
      <c r="J3934" s="16" t="s">
        <v>10102</v>
      </c>
      <c r="K3934" s="32" t="n">
        <v>1</v>
      </c>
      <c r="L3934" s="33" t="n">
        <v>46266</v>
      </c>
      <c r="M3934" s="33" t="n">
        <v>46266</v>
      </c>
      <c r="N3934" s="16" t="s">
        <v>12324</v>
      </c>
      <c r="O3934" s="16"/>
      <c r="P3934" s="16" t="str">
        <f aca="false">IF(AND(L3934&lt;=$D$2,M3934&gt;=$C$2),"Sí","")</f>
        <v/>
      </c>
      <c r="Q3934" s="18" t="str">
        <f aca="false">IF(COUNTIF(LOOKAHEAD!$A$5:$A$604,A3934)&gt;0,"En Lookahead",IF(P3934="Sí","INCORPORAR",""))</f>
        <v/>
      </c>
    </row>
    <row r="3935" customFormat="false" ht="15" hidden="false" customHeight="false" outlineLevel="0" collapsed="false">
      <c r="A3935" s="13" t="s">
        <v>12325</v>
      </c>
      <c r="B3935" s="13" t="n">
        <v>3930</v>
      </c>
      <c r="C3935" s="13" t="s">
        <v>12326</v>
      </c>
      <c r="D3935" s="13" t="n">
        <v>6</v>
      </c>
      <c r="E3935" s="36" t="s">
        <v>10119</v>
      </c>
      <c r="F3935" s="13" t="s">
        <v>1298</v>
      </c>
      <c r="G3935" s="13" t="s">
        <v>757</v>
      </c>
      <c r="H3935" s="13" t="s">
        <v>5350</v>
      </c>
      <c r="I3935" s="13" t="s">
        <v>114</v>
      </c>
      <c r="J3935" s="13" t="s">
        <v>10032</v>
      </c>
      <c r="K3935" s="30" t="n">
        <v>2</v>
      </c>
      <c r="L3935" s="31" t="n">
        <v>46264</v>
      </c>
      <c r="M3935" s="31" t="n">
        <v>46265</v>
      </c>
      <c r="N3935" s="13"/>
      <c r="O3935" s="13"/>
      <c r="P3935" s="13"/>
      <c r="Q3935" s="13"/>
    </row>
    <row r="3936" customFormat="false" ht="15" hidden="false" customHeight="false" outlineLevel="0" collapsed="false">
      <c r="A3936" s="16" t="s">
        <v>12327</v>
      </c>
      <c r="B3936" s="16" t="n">
        <v>3931</v>
      </c>
      <c r="C3936" s="16" t="s">
        <v>12328</v>
      </c>
      <c r="D3936" s="16" t="n">
        <v>7</v>
      </c>
      <c r="E3936" s="37" t="s">
        <v>10125</v>
      </c>
      <c r="F3936" s="16" t="s">
        <v>1285</v>
      </c>
      <c r="G3936" s="16" t="s">
        <v>757</v>
      </c>
      <c r="H3936" s="16" t="s">
        <v>5350</v>
      </c>
      <c r="I3936" s="16" t="s">
        <v>114</v>
      </c>
      <c r="J3936" s="16" t="s">
        <v>10119</v>
      </c>
      <c r="K3936" s="32" t="n">
        <v>2</v>
      </c>
      <c r="L3936" s="33" t="n">
        <v>46264</v>
      </c>
      <c r="M3936" s="33" t="n">
        <v>46265</v>
      </c>
      <c r="N3936" s="16" t="s">
        <v>12287</v>
      </c>
      <c r="O3936" s="16"/>
      <c r="P3936" s="16" t="str">
        <f aca="false">IF(AND(L3936&lt;=$D$2,M3936&gt;=$C$2),"Sí","")</f>
        <v/>
      </c>
      <c r="Q3936" s="18" t="str">
        <f aca="false">IF(COUNTIF(LOOKAHEAD!$A$5:$A$604,A3936)&gt;0,"En Lookahead",IF(P3936="Sí","INCORPORAR",""))</f>
        <v/>
      </c>
    </row>
    <row r="3937" customFormat="false" ht="15" hidden="false" customHeight="false" outlineLevel="0" collapsed="false">
      <c r="A3937" s="13" t="s">
        <v>12329</v>
      </c>
      <c r="B3937" s="13" t="n">
        <v>3932</v>
      </c>
      <c r="C3937" s="13" t="s">
        <v>12330</v>
      </c>
      <c r="D3937" s="13" t="n">
        <v>5</v>
      </c>
      <c r="E3937" s="34" t="s">
        <v>10129</v>
      </c>
      <c r="F3937" s="13" t="s">
        <v>1298</v>
      </c>
      <c r="G3937" s="13" t="s">
        <v>757</v>
      </c>
      <c r="H3937" s="13" t="s">
        <v>5350</v>
      </c>
      <c r="I3937" s="13" t="s">
        <v>114</v>
      </c>
      <c r="J3937" s="13" t="s">
        <v>5350</v>
      </c>
      <c r="K3937" s="30" t="n">
        <v>20</v>
      </c>
      <c r="L3937" s="31" t="n">
        <v>46248</v>
      </c>
      <c r="M3937" s="31" t="n">
        <v>46267</v>
      </c>
      <c r="N3937" s="13"/>
      <c r="O3937" s="13"/>
      <c r="P3937" s="13"/>
      <c r="Q3937" s="13"/>
    </row>
    <row r="3938" customFormat="false" ht="15" hidden="false" customHeight="false" outlineLevel="0" collapsed="false">
      <c r="A3938" s="13" t="s">
        <v>12331</v>
      </c>
      <c r="B3938" s="13" t="n">
        <v>3933</v>
      </c>
      <c r="C3938" s="13" t="s">
        <v>12332</v>
      </c>
      <c r="D3938" s="13" t="n">
        <v>6</v>
      </c>
      <c r="E3938" s="36" t="s">
        <v>10035</v>
      </c>
      <c r="F3938" s="13" t="s">
        <v>1298</v>
      </c>
      <c r="G3938" s="13" t="s">
        <v>757</v>
      </c>
      <c r="H3938" s="13" t="s">
        <v>5350</v>
      </c>
      <c r="I3938" s="13" t="s">
        <v>114</v>
      </c>
      <c r="J3938" s="13" t="s">
        <v>10129</v>
      </c>
      <c r="K3938" s="30" t="n">
        <v>1</v>
      </c>
      <c r="L3938" s="31" t="n">
        <v>46248</v>
      </c>
      <c r="M3938" s="31" t="n">
        <v>46248</v>
      </c>
      <c r="N3938" s="13"/>
      <c r="O3938" s="13"/>
      <c r="P3938" s="13"/>
      <c r="Q3938" s="13"/>
    </row>
    <row r="3939" customFormat="false" ht="15" hidden="false" customHeight="false" outlineLevel="0" collapsed="false">
      <c r="A3939" s="16" t="s">
        <v>12333</v>
      </c>
      <c r="B3939" s="16" t="n">
        <v>3934</v>
      </c>
      <c r="C3939" s="16" t="s">
        <v>12334</v>
      </c>
      <c r="D3939" s="16" t="n">
        <v>7</v>
      </c>
      <c r="E3939" s="37" t="s">
        <v>10038</v>
      </c>
      <c r="F3939" s="16" t="s">
        <v>1285</v>
      </c>
      <c r="G3939" s="16" t="s">
        <v>757</v>
      </c>
      <c r="H3939" s="16" t="s">
        <v>5350</v>
      </c>
      <c r="I3939" s="16" t="s">
        <v>114</v>
      </c>
      <c r="J3939" s="16" t="s">
        <v>10035</v>
      </c>
      <c r="K3939" s="32" t="n">
        <v>1</v>
      </c>
      <c r="L3939" s="33" t="n">
        <v>46248</v>
      </c>
      <c r="M3939" s="33" t="n">
        <v>46248</v>
      </c>
      <c r="N3939" s="16" t="s">
        <v>12220</v>
      </c>
      <c r="O3939" s="16"/>
      <c r="P3939" s="16" t="str">
        <f aca="false">IF(AND(L3939&lt;=$D$2,M3939&gt;=$C$2),"Sí","")</f>
        <v/>
      </c>
      <c r="Q3939" s="18" t="str">
        <f aca="false">IF(COUNTIF(LOOKAHEAD!$A$5:$A$604,A3939)&gt;0,"En Lookahead",IF(P3939="Sí","INCORPORAR",""))</f>
        <v/>
      </c>
    </row>
    <row r="3940" customFormat="false" ht="15" hidden="false" customHeight="false" outlineLevel="0" collapsed="false">
      <c r="A3940" s="13" t="s">
        <v>12335</v>
      </c>
      <c r="B3940" s="13" t="n">
        <v>3935</v>
      </c>
      <c r="C3940" s="13" t="s">
        <v>12336</v>
      </c>
      <c r="D3940" s="13" t="n">
        <v>6</v>
      </c>
      <c r="E3940" s="36" t="s">
        <v>1534</v>
      </c>
      <c r="F3940" s="13" t="s">
        <v>1298</v>
      </c>
      <c r="G3940" s="13" t="s">
        <v>757</v>
      </c>
      <c r="H3940" s="13" t="s">
        <v>5350</v>
      </c>
      <c r="I3940" s="13" t="s">
        <v>114</v>
      </c>
      <c r="J3940" s="13" t="s">
        <v>10129</v>
      </c>
      <c r="K3940" s="30" t="n">
        <v>15</v>
      </c>
      <c r="L3940" s="31" t="n">
        <v>46249</v>
      </c>
      <c r="M3940" s="31" t="n">
        <v>46263</v>
      </c>
      <c r="N3940" s="13"/>
      <c r="O3940" s="13"/>
      <c r="P3940" s="13"/>
      <c r="Q3940" s="13"/>
    </row>
    <row r="3941" customFormat="false" ht="15" hidden="false" customHeight="false" outlineLevel="0" collapsed="false">
      <c r="A3941" s="16" t="s">
        <v>12337</v>
      </c>
      <c r="B3941" s="16" t="n">
        <v>3936</v>
      </c>
      <c r="C3941" s="16" t="s">
        <v>12338</v>
      </c>
      <c r="D3941" s="16" t="n">
        <v>7</v>
      </c>
      <c r="E3941" s="37" t="s">
        <v>10043</v>
      </c>
      <c r="F3941" s="16" t="s">
        <v>1285</v>
      </c>
      <c r="G3941" s="16" t="s">
        <v>757</v>
      </c>
      <c r="H3941" s="16" t="s">
        <v>5350</v>
      </c>
      <c r="I3941" s="16" t="s">
        <v>114</v>
      </c>
      <c r="J3941" s="16" t="s">
        <v>1534</v>
      </c>
      <c r="K3941" s="32" t="n">
        <v>1</v>
      </c>
      <c r="L3941" s="33" t="n">
        <v>46249</v>
      </c>
      <c r="M3941" s="33" t="n">
        <v>46249</v>
      </c>
      <c r="N3941" s="16" t="s">
        <v>12339</v>
      </c>
      <c r="O3941" s="16"/>
      <c r="P3941" s="16" t="str">
        <f aca="false">IF(AND(L3941&lt;=$D$2,M3941&gt;=$C$2),"Sí","")</f>
        <v/>
      </c>
      <c r="Q3941" s="18" t="str">
        <f aca="false">IF(COUNTIF(LOOKAHEAD!$A$5:$A$604,A3941)&gt;0,"En Lookahead",IF(P3941="Sí","INCORPORAR",""))</f>
        <v/>
      </c>
    </row>
    <row r="3942" customFormat="false" ht="15" hidden="false" customHeight="false" outlineLevel="0" collapsed="false">
      <c r="A3942" s="16" t="s">
        <v>12340</v>
      </c>
      <c r="B3942" s="16" t="n">
        <v>3937</v>
      </c>
      <c r="C3942" s="16" t="s">
        <v>12341</v>
      </c>
      <c r="D3942" s="16" t="n">
        <v>7</v>
      </c>
      <c r="E3942" s="37" t="s">
        <v>10047</v>
      </c>
      <c r="F3942" s="16" t="s">
        <v>1285</v>
      </c>
      <c r="G3942" s="16" t="s">
        <v>757</v>
      </c>
      <c r="H3942" s="16" t="s">
        <v>5350</v>
      </c>
      <c r="I3942" s="16" t="s">
        <v>114</v>
      </c>
      <c r="J3942" s="16" t="s">
        <v>1534</v>
      </c>
      <c r="K3942" s="32" t="n">
        <v>1</v>
      </c>
      <c r="L3942" s="33" t="n">
        <v>46250</v>
      </c>
      <c r="M3942" s="33" t="n">
        <v>46250</v>
      </c>
      <c r="N3942" s="16" t="s">
        <v>12342</v>
      </c>
      <c r="O3942" s="16"/>
      <c r="P3942" s="16" t="str">
        <f aca="false">IF(AND(L3942&lt;=$D$2,M3942&gt;=$C$2),"Sí","")</f>
        <v/>
      </c>
      <c r="Q3942" s="18" t="str">
        <f aca="false">IF(COUNTIF(LOOKAHEAD!$A$5:$A$604,A3942)&gt;0,"En Lookahead",IF(P3942="Sí","INCORPORAR",""))</f>
        <v/>
      </c>
    </row>
    <row r="3943" customFormat="false" ht="15" hidden="false" customHeight="false" outlineLevel="0" collapsed="false">
      <c r="A3943" s="16" t="s">
        <v>12343</v>
      </c>
      <c r="B3943" s="16" t="n">
        <v>3938</v>
      </c>
      <c r="C3943" s="16" t="s">
        <v>12344</v>
      </c>
      <c r="D3943" s="16" t="n">
        <v>7</v>
      </c>
      <c r="E3943" s="37" t="s">
        <v>10051</v>
      </c>
      <c r="F3943" s="16" t="s">
        <v>1285</v>
      </c>
      <c r="G3943" s="16" t="s">
        <v>757</v>
      </c>
      <c r="H3943" s="16" t="s">
        <v>5350</v>
      </c>
      <c r="I3943" s="16" t="s">
        <v>114</v>
      </c>
      <c r="J3943" s="16" t="s">
        <v>1534</v>
      </c>
      <c r="K3943" s="32" t="n">
        <v>1</v>
      </c>
      <c r="L3943" s="33" t="n">
        <v>46251</v>
      </c>
      <c r="M3943" s="33" t="n">
        <v>46251</v>
      </c>
      <c r="N3943" s="16" t="s">
        <v>12345</v>
      </c>
      <c r="O3943" s="16"/>
      <c r="P3943" s="16" t="str">
        <f aca="false">IF(AND(L3943&lt;=$D$2,M3943&gt;=$C$2),"Sí","")</f>
        <v/>
      </c>
      <c r="Q3943" s="18" t="str">
        <f aca="false">IF(COUNTIF(LOOKAHEAD!$A$5:$A$604,A3943)&gt;0,"En Lookahead",IF(P3943="Sí","INCORPORAR",""))</f>
        <v/>
      </c>
    </row>
    <row r="3944" customFormat="false" ht="15" hidden="false" customHeight="false" outlineLevel="0" collapsed="false">
      <c r="A3944" s="16" t="s">
        <v>12346</v>
      </c>
      <c r="B3944" s="16" t="n">
        <v>3939</v>
      </c>
      <c r="C3944" s="16" t="s">
        <v>12347</v>
      </c>
      <c r="D3944" s="16" t="n">
        <v>7</v>
      </c>
      <c r="E3944" s="37" t="s">
        <v>10055</v>
      </c>
      <c r="F3944" s="16" t="s">
        <v>1285</v>
      </c>
      <c r="G3944" s="16" t="s">
        <v>757</v>
      </c>
      <c r="H3944" s="16" t="s">
        <v>5350</v>
      </c>
      <c r="I3944" s="16" t="s">
        <v>114</v>
      </c>
      <c r="J3944" s="16" t="s">
        <v>1534</v>
      </c>
      <c r="K3944" s="32" t="n">
        <v>1</v>
      </c>
      <c r="L3944" s="33" t="n">
        <v>46252</v>
      </c>
      <c r="M3944" s="33" t="n">
        <v>46252</v>
      </c>
      <c r="N3944" s="16" t="s">
        <v>12348</v>
      </c>
      <c r="O3944" s="16"/>
      <c r="P3944" s="16" t="str">
        <f aca="false">IF(AND(L3944&lt;=$D$2,M3944&gt;=$C$2),"Sí","")</f>
        <v/>
      </c>
      <c r="Q3944" s="18" t="str">
        <f aca="false">IF(COUNTIF(LOOKAHEAD!$A$5:$A$604,A3944)&gt;0,"En Lookahead",IF(P3944="Sí","INCORPORAR",""))</f>
        <v/>
      </c>
    </row>
    <row r="3945" customFormat="false" ht="15" hidden="false" customHeight="false" outlineLevel="0" collapsed="false">
      <c r="A3945" s="16" t="s">
        <v>12349</v>
      </c>
      <c r="B3945" s="16" t="n">
        <v>3940</v>
      </c>
      <c r="C3945" s="16" t="s">
        <v>12350</v>
      </c>
      <c r="D3945" s="16" t="n">
        <v>7</v>
      </c>
      <c r="E3945" s="37" t="s">
        <v>10059</v>
      </c>
      <c r="F3945" s="16" t="s">
        <v>1285</v>
      </c>
      <c r="G3945" s="16" t="s">
        <v>757</v>
      </c>
      <c r="H3945" s="16" t="s">
        <v>5350</v>
      </c>
      <c r="I3945" s="16" t="s">
        <v>114</v>
      </c>
      <c r="J3945" s="16" t="s">
        <v>1534</v>
      </c>
      <c r="K3945" s="32" t="n">
        <v>1</v>
      </c>
      <c r="L3945" s="33" t="n">
        <v>46261</v>
      </c>
      <c r="M3945" s="33" t="n">
        <v>46261</v>
      </c>
      <c r="N3945" s="16" t="s">
        <v>12351</v>
      </c>
      <c r="O3945" s="16"/>
      <c r="P3945" s="16" t="str">
        <f aca="false">IF(AND(L3945&lt;=$D$2,M3945&gt;=$C$2),"Sí","")</f>
        <v/>
      </c>
      <c r="Q3945" s="18" t="str">
        <f aca="false">IF(COUNTIF(LOOKAHEAD!$A$5:$A$604,A3945)&gt;0,"En Lookahead",IF(P3945="Sí","INCORPORAR",""))</f>
        <v/>
      </c>
    </row>
    <row r="3946" customFormat="false" ht="15" hidden="false" customHeight="false" outlineLevel="0" collapsed="false">
      <c r="A3946" s="16" t="s">
        <v>12352</v>
      </c>
      <c r="B3946" s="16" t="n">
        <v>3941</v>
      </c>
      <c r="C3946" s="16" t="s">
        <v>12353</v>
      </c>
      <c r="D3946" s="16" t="n">
        <v>7</v>
      </c>
      <c r="E3946" s="37" t="s">
        <v>10063</v>
      </c>
      <c r="F3946" s="16" t="s">
        <v>1285</v>
      </c>
      <c r="G3946" s="16" t="s">
        <v>757</v>
      </c>
      <c r="H3946" s="16" t="s">
        <v>5350</v>
      </c>
      <c r="I3946" s="16" t="s">
        <v>114</v>
      </c>
      <c r="J3946" s="16" t="s">
        <v>1534</v>
      </c>
      <c r="K3946" s="32" t="n">
        <v>1</v>
      </c>
      <c r="L3946" s="33" t="n">
        <v>46262</v>
      </c>
      <c r="M3946" s="33" t="n">
        <v>46262</v>
      </c>
      <c r="N3946" s="16" t="s">
        <v>12354</v>
      </c>
      <c r="O3946" s="16"/>
      <c r="P3946" s="16" t="str">
        <f aca="false">IF(AND(L3946&lt;=$D$2,M3946&gt;=$C$2),"Sí","")</f>
        <v/>
      </c>
      <c r="Q3946" s="18" t="str">
        <f aca="false">IF(COUNTIF(LOOKAHEAD!$A$5:$A$604,A3946)&gt;0,"En Lookahead",IF(P3946="Sí","INCORPORAR",""))</f>
        <v/>
      </c>
    </row>
    <row r="3947" customFormat="false" ht="15" hidden="false" customHeight="false" outlineLevel="0" collapsed="false">
      <c r="A3947" s="16" t="s">
        <v>12355</v>
      </c>
      <c r="B3947" s="16" t="n">
        <v>3942</v>
      </c>
      <c r="C3947" s="16" t="s">
        <v>12356</v>
      </c>
      <c r="D3947" s="16" t="n">
        <v>7</v>
      </c>
      <c r="E3947" s="37" t="s">
        <v>1557</v>
      </c>
      <c r="F3947" s="16" t="s">
        <v>1285</v>
      </c>
      <c r="G3947" s="16" t="s">
        <v>757</v>
      </c>
      <c r="H3947" s="16" t="s">
        <v>5350</v>
      </c>
      <c r="I3947" s="16" t="s">
        <v>114</v>
      </c>
      <c r="J3947" s="16" t="s">
        <v>1534</v>
      </c>
      <c r="K3947" s="32" t="n">
        <v>1</v>
      </c>
      <c r="L3947" s="33" t="n">
        <v>46261</v>
      </c>
      <c r="M3947" s="33" t="n">
        <v>46261</v>
      </c>
      <c r="N3947" s="16" t="s">
        <v>12357</v>
      </c>
      <c r="O3947" s="16"/>
      <c r="P3947" s="16" t="str">
        <f aca="false">IF(AND(L3947&lt;=$D$2,M3947&gt;=$C$2),"Sí","")</f>
        <v/>
      </c>
      <c r="Q3947" s="18" t="str">
        <f aca="false">IF(COUNTIF(LOOKAHEAD!$A$5:$A$604,A3947)&gt;0,"En Lookahead",IF(P3947="Sí","INCORPORAR",""))</f>
        <v/>
      </c>
    </row>
    <row r="3948" customFormat="false" ht="15" hidden="false" customHeight="false" outlineLevel="0" collapsed="false">
      <c r="A3948" s="16" t="s">
        <v>12358</v>
      </c>
      <c r="B3948" s="16" t="n">
        <v>3943</v>
      </c>
      <c r="C3948" s="16" t="s">
        <v>12359</v>
      </c>
      <c r="D3948" s="16" t="n">
        <v>7</v>
      </c>
      <c r="E3948" s="37" t="s">
        <v>10069</v>
      </c>
      <c r="F3948" s="16" t="s">
        <v>1285</v>
      </c>
      <c r="G3948" s="16" t="s">
        <v>757</v>
      </c>
      <c r="H3948" s="16" t="s">
        <v>5350</v>
      </c>
      <c r="I3948" s="16" t="s">
        <v>114</v>
      </c>
      <c r="J3948" s="16" t="s">
        <v>1534</v>
      </c>
      <c r="K3948" s="32" t="n">
        <v>1</v>
      </c>
      <c r="L3948" s="33" t="n">
        <v>46263</v>
      </c>
      <c r="M3948" s="33" t="n">
        <v>46263</v>
      </c>
      <c r="N3948" s="16" t="s">
        <v>12360</v>
      </c>
      <c r="O3948" s="16"/>
      <c r="P3948" s="16" t="str">
        <f aca="false">IF(AND(L3948&lt;=$D$2,M3948&gt;=$C$2),"Sí","")</f>
        <v/>
      </c>
      <c r="Q3948" s="18" t="str">
        <f aca="false">IF(COUNTIF(LOOKAHEAD!$A$5:$A$604,A3948)&gt;0,"En Lookahead",IF(P3948="Sí","INCORPORAR",""))</f>
        <v/>
      </c>
    </row>
    <row r="3949" customFormat="false" ht="15" hidden="false" customHeight="false" outlineLevel="0" collapsed="false">
      <c r="A3949" s="13" t="s">
        <v>12361</v>
      </c>
      <c r="B3949" s="13" t="n">
        <v>3944</v>
      </c>
      <c r="C3949" s="13" t="s">
        <v>12362</v>
      </c>
      <c r="D3949" s="13" t="n">
        <v>6</v>
      </c>
      <c r="E3949" s="36" t="s">
        <v>10162</v>
      </c>
      <c r="F3949" s="13" t="s">
        <v>1298</v>
      </c>
      <c r="G3949" s="13" t="s">
        <v>757</v>
      </c>
      <c r="H3949" s="13" t="s">
        <v>5350</v>
      </c>
      <c r="I3949" s="13" t="s">
        <v>114</v>
      </c>
      <c r="J3949" s="13" t="s">
        <v>10129</v>
      </c>
      <c r="K3949" s="30" t="n">
        <v>2</v>
      </c>
      <c r="L3949" s="31" t="n">
        <v>46264</v>
      </c>
      <c r="M3949" s="31" t="n">
        <v>46265</v>
      </c>
      <c r="N3949" s="13"/>
      <c r="O3949" s="13"/>
      <c r="P3949" s="13"/>
      <c r="Q3949" s="13"/>
    </row>
    <row r="3950" customFormat="false" ht="15" hidden="false" customHeight="false" outlineLevel="0" collapsed="false">
      <c r="A3950" s="16" t="s">
        <v>12363</v>
      </c>
      <c r="B3950" s="16" t="n">
        <v>3945</v>
      </c>
      <c r="C3950" s="16" t="s">
        <v>12364</v>
      </c>
      <c r="D3950" s="16" t="n">
        <v>7</v>
      </c>
      <c r="E3950" s="37" t="s">
        <v>10165</v>
      </c>
      <c r="F3950" s="16" t="s">
        <v>1285</v>
      </c>
      <c r="G3950" s="16" t="s">
        <v>757</v>
      </c>
      <c r="H3950" s="16" t="s">
        <v>5350</v>
      </c>
      <c r="I3950" s="16" t="s">
        <v>114</v>
      </c>
      <c r="J3950" s="16" t="s">
        <v>10162</v>
      </c>
      <c r="K3950" s="32" t="n">
        <v>1</v>
      </c>
      <c r="L3950" s="33" t="n">
        <v>46264</v>
      </c>
      <c r="M3950" s="33" t="n">
        <v>46264</v>
      </c>
      <c r="N3950" s="16" t="s">
        <v>12365</v>
      </c>
      <c r="O3950" s="16"/>
      <c r="P3950" s="16" t="str">
        <f aca="false">IF(AND(L3950&lt;=$D$2,M3950&gt;=$C$2),"Sí","")</f>
        <v/>
      </c>
      <c r="Q3950" s="18" t="str">
        <f aca="false">IF(COUNTIF(LOOKAHEAD!$A$5:$A$604,A3950)&gt;0,"En Lookahead",IF(P3950="Sí","INCORPORAR",""))</f>
        <v/>
      </c>
    </row>
    <row r="3951" customFormat="false" ht="15" hidden="false" customHeight="false" outlineLevel="0" collapsed="false">
      <c r="A3951" s="16" t="s">
        <v>12366</v>
      </c>
      <c r="B3951" s="16" t="n">
        <v>3946</v>
      </c>
      <c r="C3951" s="16" t="s">
        <v>12367</v>
      </c>
      <c r="D3951" s="16" t="n">
        <v>7</v>
      </c>
      <c r="E3951" s="37" t="s">
        <v>10169</v>
      </c>
      <c r="F3951" s="16" t="s">
        <v>1285</v>
      </c>
      <c r="G3951" s="16" t="s">
        <v>757</v>
      </c>
      <c r="H3951" s="16" t="s">
        <v>5350</v>
      </c>
      <c r="I3951" s="16" t="s">
        <v>114</v>
      </c>
      <c r="J3951" s="16" t="s">
        <v>10162</v>
      </c>
      <c r="K3951" s="32" t="n">
        <v>1</v>
      </c>
      <c r="L3951" s="33" t="n">
        <v>46265</v>
      </c>
      <c r="M3951" s="33" t="n">
        <v>46265</v>
      </c>
      <c r="N3951" s="16" t="s">
        <v>12368</v>
      </c>
      <c r="O3951" s="16"/>
      <c r="P3951" s="16" t="str">
        <f aca="false">IF(AND(L3951&lt;=$D$2,M3951&gt;=$C$2),"Sí","")</f>
        <v/>
      </c>
      <c r="Q3951" s="18" t="str">
        <f aca="false">IF(COUNTIF(LOOKAHEAD!$A$5:$A$604,A3951)&gt;0,"En Lookahead",IF(P3951="Sí","INCORPORAR",""))</f>
        <v/>
      </c>
    </row>
    <row r="3952" customFormat="false" ht="15" hidden="false" customHeight="false" outlineLevel="0" collapsed="false">
      <c r="A3952" s="13" t="s">
        <v>12369</v>
      </c>
      <c r="B3952" s="13" t="n">
        <v>3947</v>
      </c>
      <c r="C3952" s="13" t="s">
        <v>12370</v>
      </c>
      <c r="D3952" s="13" t="n">
        <v>6</v>
      </c>
      <c r="E3952" s="36" t="s">
        <v>10173</v>
      </c>
      <c r="F3952" s="13" t="s">
        <v>1298</v>
      </c>
      <c r="G3952" s="13" t="s">
        <v>757</v>
      </c>
      <c r="H3952" s="13" t="s">
        <v>5350</v>
      </c>
      <c r="I3952" s="13" t="s">
        <v>114</v>
      </c>
      <c r="J3952" s="13" t="s">
        <v>10129</v>
      </c>
      <c r="K3952" s="30" t="n">
        <v>12</v>
      </c>
      <c r="L3952" s="31" t="n">
        <v>46252</v>
      </c>
      <c r="M3952" s="31" t="n">
        <v>46263</v>
      </c>
      <c r="N3952" s="13"/>
      <c r="O3952" s="13"/>
      <c r="P3952" s="13"/>
      <c r="Q3952" s="13"/>
    </row>
    <row r="3953" customFormat="false" ht="15" hidden="false" customHeight="false" outlineLevel="0" collapsed="false">
      <c r="A3953" s="16" t="s">
        <v>12371</v>
      </c>
      <c r="B3953" s="16" t="n">
        <v>3948</v>
      </c>
      <c r="C3953" s="16" t="s">
        <v>12372</v>
      </c>
      <c r="D3953" s="16" t="n">
        <v>7</v>
      </c>
      <c r="E3953" s="37" t="s">
        <v>10176</v>
      </c>
      <c r="F3953" s="16" t="s">
        <v>1285</v>
      </c>
      <c r="G3953" s="16" t="s">
        <v>757</v>
      </c>
      <c r="H3953" s="16" t="s">
        <v>5350</v>
      </c>
      <c r="I3953" s="16" t="s">
        <v>114</v>
      </c>
      <c r="J3953" s="16" t="s">
        <v>10173</v>
      </c>
      <c r="K3953" s="32" t="n">
        <v>1</v>
      </c>
      <c r="L3953" s="33" t="n">
        <v>46252</v>
      </c>
      <c r="M3953" s="33" t="n">
        <v>46252</v>
      </c>
      <c r="N3953" s="16" t="s">
        <v>12348</v>
      </c>
      <c r="O3953" s="16"/>
      <c r="P3953" s="16" t="str">
        <f aca="false">IF(AND(L3953&lt;=$D$2,M3953&gt;=$C$2),"Sí","")</f>
        <v/>
      </c>
      <c r="Q3953" s="18" t="str">
        <f aca="false">IF(COUNTIF(LOOKAHEAD!$A$5:$A$604,A3953)&gt;0,"En Lookahead",IF(P3953="Sí","INCORPORAR",""))</f>
        <v/>
      </c>
    </row>
    <row r="3954" customFormat="false" ht="15" hidden="false" customHeight="false" outlineLevel="0" collapsed="false">
      <c r="A3954" s="16" t="s">
        <v>12373</v>
      </c>
      <c r="B3954" s="16" t="n">
        <v>3949</v>
      </c>
      <c r="C3954" s="16" t="s">
        <v>12374</v>
      </c>
      <c r="D3954" s="16" t="n">
        <v>7</v>
      </c>
      <c r="E3954" s="37" t="s">
        <v>10075</v>
      </c>
      <c r="F3954" s="16" t="s">
        <v>1285</v>
      </c>
      <c r="G3954" s="16" t="s">
        <v>757</v>
      </c>
      <c r="H3954" s="16" t="s">
        <v>5350</v>
      </c>
      <c r="I3954" s="16" t="s">
        <v>114</v>
      </c>
      <c r="J3954" s="16" t="s">
        <v>10173</v>
      </c>
      <c r="K3954" s="32" t="n">
        <v>1</v>
      </c>
      <c r="L3954" s="33" t="n">
        <v>46253</v>
      </c>
      <c r="M3954" s="33" t="n">
        <v>46253</v>
      </c>
      <c r="N3954" s="16" t="s">
        <v>12375</v>
      </c>
      <c r="O3954" s="16"/>
      <c r="P3954" s="16" t="str">
        <f aca="false">IF(AND(L3954&lt;=$D$2,M3954&gt;=$C$2),"Sí","")</f>
        <v/>
      </c>
      <c r="Q3954" s="18" t="str">
        <f aca="false">IF(COUNTIF(LOOKAHEAD!$A$5:$A$604,A3954)&gt;0,"En Lookahead",IF(P3954="Sí","INCORPORAR",""))</f>
        <v/>
      </c>
    </row>
    <row r="3955" customFormat="false" ht="15" hidden="false" customHeight="false" outlineLevel="0" collapsed="false">
      <c r="A3955" s="16" t="s">
        <v>12376</v>
      </c>
      <c r="B3955" s="16" t="n">
        <v>3950</v>
      </c>
      <c r="C3955" s="16" t="s">
        <v>12377</v>
      </c>
      <c r="D3955" s="16" t="n">
        <v>7</v>
      </c>
      <c r="E3955" s="37" t="s">
        <v>10182</v>
      </c>
      <c r="F3955" s="16" t="s">
        <v>1285</v>
      </c>
      <c r="G3955" s="16" t="s">
        <v>757</v>
      </c>
      <c r="H3955" s="16" t="s">
        <v>5350</v>
      </c>
      <c r="I3955" s="16" t="s">
        <v>114</v>
      </c>
      <c r="J3955" s="16" t="s">
        <v>10173</v>
      </c>
      <c r="K3955" s="32" t="n">
        <v>1</v>
      </c>
      <c r="L3955" s="33" t="n">
        <v>46263</v>
      </c>
      <c r="M3955" s="33" t="n">
        <v>46263</v>
      </c>
      <c r="N3955" s="16" t="s">
        <v>12360</v>
      </c>
      <c r="O3955" s="16"/>
      <c r="P3955" s="16" t="str">
        <f aca="false">IF(AND(L3955&lt;=$D$2,M3955&gt;=$C$2),"Sí","")</f>
        <v/>
      </c>
      <c r="Q3955" s="18" t="str">
        <f aca="false">IF(COUNTIF(LOOKAHEAD!$A$5:$A$604,A3955)&gt;0,"En Lookahead",IF(P3955="Sí","INCORPORAR",""))</f>
        <v/>
      </c>
    </row>
    <row r="3956" customFormat="false" ht="15" hidden="false" customHeight="false" outlineLevel="0" collapsed="false">
      <c r="A3956" s="13" t="s">
        <v>12378</v>
      </c>
      <c r="B3956" s="13" t="n">
        <v>3951</v>
      </c>
      <c r="C3956" s="13" t="s">
        <v>12379</v>
      </c>
      <c r="D3956" s="13" t="n">
        <v>6</v>
      </c>
      <c r="E3956" s="36" t="s">
        <v>10079</v>
      </c>
      <c r="F3956" s="13" t="s">
        <v>1298</v>
      </c>
      <c r="G3956" s="13" t="s">
        <v>757</v>
      </c>
      <c r="H3956" s="13" t="s">
        <v>5350</v>
      </c>
      <c r="I3956" s="13" t="s">
        <v>114</v>
      </c>
      <c r="J3956" s="13" t="s">
        <v>10129</v>
      </c>
      <c r="K3956" s="30" t="n">
        <v>7</v>
      </c>
      <c r="L3956" s="31" t="n">
        <v>46254</v>
      </c>
      <c r="M3956" s="31" t="n">
        <v>46260</v>
      </c>
      <c r="N3956" s="13"/>
      <c r="O3956" s="13"/>
      <c r="P3956" s="13"/>
      <c r="Q3956" s="13"/>
    </row>
    <row r="3957" customFormat="false" ht="15" hidden="false" customHeight="false" outlineLevel="0" collapsed="false">
      <c r="A3957" s="16" t="s">
        <v>12380</v>
      </c>
      <c r="B3957" s="16" t="n">
        <v>3952</v>
      </c>
      <c r="C3957" s="16" t="s">
        <v>12381</v>
      </c>
      <c r="D3957" s="16" t="n">
        <v>7</v>
      </c>
      <c r="E3957" s="37" t="s">
        <v>10187</v>
      </c>
      <c r="F3957" s="16" t="s">
        <v>1285</v>
      </c>
      <c r="G3957" s="16" t="s">
        <v>757</v>
      </c>
      <c r="H3957" s="16" t="s">
        <v>5350</v>
      </c>
      <c r="I3957" s="16" t="s">
        <v>114</v>
      </c>
      <c r="J3957" s="16" t="s">
        <v>10079</v>
      </c>
      <c r="K3957" s="32" t="n">
        <v>1</v>
      </c>
      <c r="L3957" s="33" t="n">
        <v>46254</v>
      </c>
      <c r="M3957" s="33" t="n">
        <v>46254</v>
      </c>
      <c r="N3957" s="16" t="s">
        <v>12382</v>
      </c>
      <c r="O3957" s="16"/>
      <c r="P3957" s="16" t="str">
        <f aca="false">IF(AND(L3957&lt;=$D$2,M3957&gt;=$C$2),"Sí","")</f>
        <v/>
      </c>
      <c r="Q3957" s="18" t="str">
        <f aca="false">IF(COUNTIF(LOOKAHEAD!$A$5:$A$604,A3957)&gt;0,"En Lookahead",IF(P3957="Sí","INCORPORAR",""))</f>
        <v/>
      </c>
    </row>
    <row r="3958" customFormat="false" ht="15" hidden="false" customHeight="false" outlineLevel="0" collapsed="false">
      <c r="A3958" s="16" t="s">
        <v>12383</v>
      </c>
      <c r="B3958" s="16" t="n">
        <v>3953</v>
      </c>
      <c r="C3958" s="16" t="s">
        <v>12384</v>
      </c>
      <c r="D3958" s="16" t="n">
        <v>7</v>
      </c>
      <c r="E3958" s="37" t="s">
        <v>10190</v>
      </c>
      <c r="F3958" s="16" t="s">
        <v>1285</v>
      </c>
      <c r="G3958" s="16" t="s">
        <v>757</v>
      </c>
      <c r="H3958" s="16" t="s">
        <v>5350</v>
      </c>
      <c r="I3958" s="16" t="s">
        <v>114</v>
      </c>
      <c r="J3958" s="16" t="s">
        <v>10079</v>
      </c>
      <c r="K3958" s="32" t="n">
        <v>1</v>
      </c>
      <c r="L3958" s="33" t="n">
        <v>46255</v>
      </c>
      <c r="M3958" s="33" t="n">
        <v>46255</v>
      </c>
      <c r="N3958" s="16" t="s">
        <v>12385</v>
      </c>
      <c r="O3958" s="16"/>
      <c r="P3958" s="16" t="str">
        <f aca="false">IF(AND(L3958&lt;=$D$2,M3958&gt;=$C$2),"Sí","")</f>
        <v/>
      </c>
      <c r="Q3958" s="18" t="str">
        <f aca="false">IF(COUNTIF(LOOKAHEAD!$A$5:$A$604,A3958)&gt;0,"En Lookahead",IF(P3958="Sí","INCORPORAR",""))</f>
        <v/>
      </c>
    </row>
    <row r="3959" customFormat="false" ht="15" hidden="false" customHeight="false" outlineLevel="0" collapsed="false">
      <c r="A3959" s="16" t="s">
        <v>12386</v>
      </c>
      <c r="B3959" s="16" t="n">
        <v>3954</v>
      </c>
      <c r="C3959" s="16" t="s">
        <v>12387</v>
      </c>
      <c r="D3959" s="16" t="n">
        <v>7</v>
      </c>
      <c r="E3959" s="37" t="s">
        <v>10699</v>
      </c>
      <c r="F3959" s="16" t="s">
        <v>1285</v>
      </c>
      <c r="G3959" s="16" t="s">
        <v>757</v>
      </c>
      <c r="H3959" s="16" t="s">
        <v>5350</v>
      </c>
      <c r="I3959" s="16" t="s">
        <v>114</v>
      </c>
      <c r="J3959" s="16" t="s">
        <v>10079</v>
      </c>
      <c r="K3959" s="32" t="n">
        <v>1</v>
      </c>
      <c r="L3959" s="33" t="n">
        <v>46256</v>
      </c>
      <c r="M3959" s="33" t="n">
        <v>46256</v>
      </c>
      <c r="N3959" s="16" t="s">
        <v>12388</v>
      </c>
      <c r="O3959" s="16"/>
      <c r="P3959" s="16" t="str">
        <f aca="false">IF(AND(L3959&lt;=$D$2,M3959&gt;=$C$2),"Sí","")</f>
        <v/>
      </c>
      <c r="Q3959" s="18" t="str">
        <f aca="false">IF(COUNTIF(LOOKAHEAD!$A$5:$A$604,A3959)&gt;0,"En Lookahead",IF(P3959="Sí","INCORPORAR",""))</f>
        <v/>
      </c>
    </row>
    <row r="3960" customFormat="false" ht="15" hidden="false" customHeight="false" outlineLevel="0" collapsed="false">
      <c r="A3960" s="16" t="s">
        <v>12389</v>
      </c>
      <c r="B3960" s="16" t="n">
        <v>3955</v>
      </c>
      <c r="C3960" s="16" t="s">
        <v>12390</v>
      </c>
      <c r="D3960" s="16" t="n">
        <v>7</v>
      </c>
      <c r="E3960" s="37" t="s">
        <v>10086</v>
      </c>
      <c r="F3960" s="16" t="s">
        <v>1285</v>
      </c>
      <c r="G3960" s="16" t="s">
        <v>757</v>
      </c>
      <c r="H3960" s="16" t="s">
        <v>5350</v>
      </c>
      <c r="I3960" s="16" t="s">
        <v>114</v>
      </c>
      <c r="J3960" s="16" t="s">
        <v>10079</v>
      </c>
      <c r="K3960" s="32" t="n">
        <v>1</v>
      </c>
      <c r="L3960" s="33" t="n">
        <v>46257</v>
      </c>
      <c r="M3960" s="33" t="n">
        <v>46257</v>
      </c>
      <c r="N3960" s="16" t="s">
        <v>12391</v>
      </c>
      <c r="O3960" s="16"/>
      <c r="P3960" s="16" t="str">
        <f aca="false">IF(AND(L3960&lt;=$D$2,M3960&gt;=$C$2),"Sí","")</f>
        <v/>
      </c>
      <c r="Q3960" s="18" t="str">
        <f aca="false">IF(COUNTIF(LOOKAHEAD!$A$5:$A$604,A3960)&gt;0,"En Lookahead",IF(P3960="Sí","INCORPORAR",""))</f>
        <v/>
      </c>
    </row>
    <row r="3961" customFormat="false" ht="15" hidden="false" customHeight="false" outlineLevel="0" collapsed="false">
      <c r="A3961" s="16" t="s">
        <v>12392</v>
      </c>
      <c r="B3961" s="16" t="n">
        <v>3956</v>
      </c>
      <c r="C3961" s="16" t="s">
        <v>12393</v>
      </c>
      <c r="D3961" s="16" t="n">
        <v>7</v>
      </c>
      <c r="E3961" s="37" t="s">
        <v>10090</v>
      </c>
      <c r="F3961" s="16" t="s">
        <v>1285</v>
      </c>
      <c r="G3961" s="16" t="s">
        <v>757</v>
      </c>
      <c r="H3961" s="16" t="s">
        <v>5350</v>
      </c>
      <c r="I3961" s="16" t="s">
        <v>114</v>
      </c>
      <c r="J3961" s="16" t="s">
        <v>10079</v>
      </c>
      <c r="K3961" s="32" t="n">
        <v>1</v>
      </c>
      <c r="L3961" s="33" t="n">
        <v>46258</v>
      </c>
      <c r="M3961" s="33" t="n">
        <v>46258</v>
      </c>
      <c r="N3961" s="16" t="s">
        <v>12394</v>
      </c>
      <c r="O3961" s="16"/>
      <c r="P3961" s="16" t="str">
        <f aca="false">IF(AND(L3961&lt;=$D$2,M3961&gt;=$C$2),"Sí","")</f>
        <v/>
      </c>
      <c r="Q3961" s="18" t="str">
        <f aca="false">IF(COUNTIF(LOOKAHEAD!$A$5:$A$604,A3961)&gt;0,"En Lookahead",IF(P3961="Sí","INCORPORAR",""))</f>
        <v/>
      </c>
    </row>
    <row r="3962" customFormat="false" ht="15" hidden="false" customHeight="false" outlineLevel="0" collapsed="false">
      <c r="A3962" s="16" t="s">
        <v>12395</v>
      </c>
      <c r="B3962" s="16" t="n">
        <v>3957</v>
      </c>
      <c r="C3962" s="16" t="s">
        <v>12396</v>
      </c>
      <c r="D3962" s="16" t="n">
        <v>7</v>
      </c>
      <c r="E3962" s="37" t="s">
        <v>10212</v>
      </c>
      <c r="F3962" s="16" t="s">
        <v>1285</v>
      </c>
      <c r="G3962" s="16" t="s">
        <v>757</v>
      </c>
      <c r="H3962" s="16" t="s">
        <v>5350</v>
      </c>
      <c r="I3962" s="16" t="s">
        <v>114</v>
      </c>
      <c r="J3962" s="16" t="s">
        <v>10079</v>
      </c>
      <c r="K3962" s="32" t="n">
        <v>1</v>
      </c>
      <c r="L3962" s="33" t="n">
        <v>46259</v>
      </c>
      <c r="M3962" s="33" t="n">
        <v>46259</v>
      </c>
      <c r="N3962" s="16" t="s">
        <v>12397</v>
      </c>
      <c r="O3962" s="16"/>
      <c r="P3962" s="16" t="str">
        <f aca="false">IF(AND(L3962&lt;=$D$2,M3962&gt;=$C$2),"Sí","")</f>
        <v/>
      </c>
      <c r="Q3962" s="18" t="str">
        <f aca="false">IF(COUNTIF(LOOKAHEAD!$A$5:$A$604,A3962)&gt;0,"En Lookahead",IF(P3962="Sí","INCORPORAR",""))</f>
        <v/>
      </c>
    </row>
    <row r="3963" customFormat="false" ht="15" hidden="false" customHeight="false" outlineLevel="0" collapsed="false">
      <c r="A3963" s="16" t="s">
        <v>12398</v>
      </c>
      <c r="B3963" s="16" t="n">
        <v>3958</v>
      </c>
      <c r="C3963" s="16" t="s">
        <v>12399</v>
      </c>
      <c r="D3963" s="16" t="n">
        <v>7</v>
      </c>
      <c r="E3963" s="37" t="s">
        <v>10216</v>
      </c>
      <c r="F3963" s="16" t="s">
        <v>1285</v>
      </c>
      <c r="G3963" s="16" t="s">
        <v>757</v>
      </c>
      <c r="H3963" s="16" t="s">
        <v>5350</v>
      </c>
      <c r="I3963" s="16" t="s">
        <v>114</v>
      </c>
      <c r="J3963" s="16" t="s">
        <v>10079</v>
      </c>
      <c r="K3963" s="32" t="n">
        <v>1</v>
      </c>
      <c r="L3963" s="33" t="n">
        <v>46260</v>
      </c>
      <c r="M3963" s="33" t="n">
        <v>46260</v>
      </c>
      <c r="N3963" s="16" t="s">
        <v>12400</v>
      </c>
      <c r="O3963" s="16"/>
      <c r="P3963" s="16" t="str">
        <f aca="false">IF(AND(L3963&lt;=$D$2,M3963&gt;=$C$2),"Sí","")</f>
        <v/>
      </c>
      <c r="Q3963" s="18" t="str">
        <f aca="false">IF(COUNTIF(LOOKAHEAD!$A$5:$A$604,A3963)&gt;0,"En Lookahead",IF(P3963="Sí","INCORPORAR",""))</f>
        <v/>
      </c>
    </row>
    <row r="3964" customFormat="false" ht="15" hidden="false" customHeight="false" outlineLevel="0" collapsed="false">
      <c r="A3964" s="13" t="s">
        <v>12401</v>
      </c>
      <c r="B3964" s="13" t="n">
        <v>3959</v>
      </c>
      <c r="C3964" s="13" t="s">
        <v>12402</v>
      </c>
      <c r="D3964" s="13" t="n">
        <v>6</v>
      </c>
      <c r="E3964" s="36" t="s">
        <v>10236</v>
      </c>
      <c r="F3964" s="13" t="s">
        <v>1298</v>
      </c>
      <c r="G3964" s="13" t="s">
        <v>757</v>
      </c>
      <c r="H3964" s="13" t="s">
        <v>5350</v>
      </c>
      <c r="I3964" s="13" t="s">
        <v>114</v>
      </c>
      <c r="J3964" s="13" t="s">
        <v>10129</v>
      </c>
      <c r="K3964" s="30" t="n">
        <v>2</v>
      </c>
      <c r="L3964" s="31" t="n">
        <v>46266</v>
      </c>
      <c r="M3964" s="31" t="n">
        <v>46267</v>
      </c>
      <c r="N3964" s="13"/>
      <c r="O3964" s="13"/>
      <c r="P3964" s="13"/>
      <c r="Q3964" s="13"/>
    </row>
    <row r="3965" customFormat="false" ht="15" hidden="false" customHeight="false" outlineLevel="0" collapsed="false">
      <c r="A3965" s="16" t="s">
        <v>12403</v>
      </c>
      <c r="B3965" s="16" t="n">
        <v>3960</v>
      </c>
      <c r="C3965" s="16" t="s">
        <v>12404</v>
      </c>
      <c r="D3965" s="16" t="n">
        <v>7</v>
      </c>
      <c r="E3965" s="37" t="s">
        <v>10239</v>
      </c>
      <c r="F3965" s="16" t="s">
        <v>1285</v>
      </c>
      <c r="G3965" s="16" t="s">
        <v>757</v>
      </c>
      <c r="H3965" s="16" t="s">
        <v>5350</v>
      </c>
      <c r="I3965" s="16" t="s">
        <v>114</v>
      </c>
      <c r="J3965" s="16" t="s">
        <v>10236</v>
      </c>
      <c r="K3965" s="32" t="n">
        <v>1</v>
      </c>
      <c r="L3965" s="33" t="n">
        <v>46266</v>
      </c>
      <c r="M3965" s="33" t="n">
        <v>46266</v>
      </c>
      <c r="N3965" s="16" t="s">
        <v>12405</v>
      </c>
      <c r="O3965" s="16"/>
      <c r="P3965" s="16" t="str">
        <f aca="false">IF(AND(L3965&lt;=$D$2,M3965&gt;=$C$2),"Sí","")</f>
        <v/>
      </c>
      <c r="Q3965" s="18" t="str">
        <f aca="false">IF(COUNTIF(LOOKAHEAD!$A$5:$A$604,A3965)&gt;0,"En Lookahead",IF(P3965="Sí","INCORPORAR",""))</f>
        <v/>
      </c>
    </row>
    <row r="3966" customFormat="false" ht="15" hidden="false" customHeight="false" outlineLevel="0" collapsed="false">
      <c r="A3966" s="16" t="s">
        <v>12406</v>
      </c>
      <c r="B3966" s="16" t="n">
        <v>3961</v>
      </c>
      <c r="C3966" s="16" t="s">
        <v>12407</v>
      </c>
      <c r="D3966" s="16" t="n">
        <v>7</v>
      </c>
      <c r="E3966" s="37" t="s">
        <v>10247</v>
      </c>
      <c r="F3966" s="16" t="s">
        <v>1285</v>
      </c>
      <c r="G3966" s="16" t="s">
        <v>757</v>
      </c>
      <c r="H3966" s="16" t="s">
        <v>5350</v>
      </c>
      <c r="I3966" s="16" t="s">
        <v>114</v>
      </c>
      <c r="J3966" s="16" t="s">
        <v>10236</v>
      </c>
      <c r="K3966" s="32" t="n">
        <v>1</v>
      </c>
      <c r="L3966" s="33" t="n">
        <v>46267</v>
      </c>
      <c r="M3966" s="33" t="n">
        <v>46267</v>
      </c>
      <c r="N3966" s="16" t="s">
        <v>12408</v>
      </c>
      <c r="O3966" s="16"/>
      <c r="P3966" s="16" t="str">
        <f aca="false">IF(AND(L3966&lt;=$D$2,M3966&gt;=$C$2),"Sí","")</f>
        <v/>
      </c>
      <c r="Q3966" s="18" t="str">
        <f aca="false">IF(COUNTIF(LOOKAHEAD!$A$5:$A$604,A3966)&gt;0,"En Lookahead",IF(P3966="Sí","INCORPORAR",""))</f>
        <v/>
      </c>
    </row>
    <row r="3967" customFormat="false" ht="15" hidden="false" customHeight="false" outlineLevel="0" collapsed="false">
      <c r="A3967" s="13" t="s">
        <v>12409</v>
      </c>
      <c r="B3967" s="13" t="n">
        <v>3962</v>
      </c>
      <c r="C3967" s="13" t="s">
        <v>12410</v>
      </c>
      <c r="D3967" s="13" t="n">
        <v>4</v>
      </c>
      <c r="E3967" s="20" t="s">
        <v>12411</v>
      </c>
      <c r="F3967" s="13" t="s">
        <v>1298</v>
      </c>
      <c r="G3967" s="13" t="s">
        <v>757</v>
      </c>
      <c r="H3967" s="13" t="s">
        <v>12411</v>
      </c>
      <c r="I3967" s="13" t="s">
        <v>118</v>
      </c>
      <c r="J3967" s="13" t="s">
        <v>9945</v>
      </c>
      <c r="K3967" s="30" t="n">
        <v>4</v>
      </c>
      <c r="L3967" s="31" t="n">
        <v>46094</v>
      </c>
      <c r="M3967" s="31" t="n">
        <v>46097</v>
      </c>
      <c r="N3967" s="13"/>
      <c r="O3967" s="13"/>
      <c r="P3967" s="13"/>
      <c r="Q3967" s="13"/>
    </row>
    <row r="3968" customFormat="false" ht="15" hidden="false" customHeight="false" outlineLevel="0" collapsed="false">
      <c r="A3968" s="13" t="s">
        <v>12412</v>
      </c>
      <c r="B3968" s="13" t="n">
        <v>3963</v>
      </c>
      <c r="C3968" s="13" t="s">
        <v>12413</v>
      </c>
      <c r="D3968" s="13" t="n">
        <v>5</v>
      </c>
      <c r="E3968" s="34" t="s">
        <v>10032</v>
      </c>
      <c r="F3968" s="13" t="s">
        <v>1298</v>
      </c>
      <c r="G3968" s="13" t="s">
        <v>757</v>
      </c>
      <c r="H3968" s="13" t="s">
        <v>12411</v>
      </c>
      <c r="I3968" s="13" t="s">
        <v>118</v>
      </c>
      <c r="J3968" s="13" t="s">
        <v>12411</v>
      </c>
      <c r="K3968" s="30" t="n">
        <v>4</v>
      </c>
      <c r="L3968" s="31" t="n">
        <v>46094</v>
      </c>
      <c r="M3968" s="31" t="n">
        <v>46097</v>
      </c>
      <c r="N3968" s="13"/>
      <c r="O3968" s="13"/>
      <c r="P3968" s="13"/>
      <c r="Q3968" s="13"/>
    </row>
    <row r="3969" customFormat="false" ht="15" hidden="false" customHeight="false" outlineLevel="0" collapsed="false">
      <c r="A3969" s="13" t="s">
        <v>12414</v>
      </c>
      <c r="B3969" s="13" t="n">
        <v>3964</v>
      </c>
      <c r="C3969" s="13" t="s">
        <v>12415</v>
      </c>
      <c r="D3969" s="13" t="n">
        <v>6</v>
      </c>
      <c r="E3969" s="36" t="s">
        <v>10072</v>
      </c>
      <c r="F3969" s="13" t="s">
        <v>1298</v>
      </c>
      <c r="G3969" s="13" t="s">
        <v>757</v>
      </c>
      <c r="H3969" s="13" t="s">
        <v>12411</v>
      </c>
      <c r="I3969" s="13" t="s">
        <v>118</v>
      </c>
      <c r="J3969" s="13" t="s">
        <v>10032</v>
      </c>
      <c r="K3969" s="30" t="n">
        <v>1</v>
      </c>
      <c r="L3969" s="31" t="n">
        <v>46094</v>
      </c>
      <c r="M3969" s="31" t="n">
        <v>46094</v>
      </c>
      <c r="N3969" s="13"/>
      <c r="O3969" s="13"/>
      <c r="P3969" s="13"/>
      <c r="Q3969" s="13"/>
    </row>
    <row r="3970" customFormat="false" ht="15" hidden="false" customHeight="false" outlineLevel="0" collapsed="false">
      <c r="A3970" s="16" t="s">
        <v>12416</v>
      </c>
      <c r="B3970" s="16" t="n">
        <v>3965</v>
      </c>
      <c r="C3970" s="16" t="s">
        <v>12417</v>
      </c>
      <c r="D3970" s="16" t="n">
        <v>7</v>
      </c>
      <c r="E3970" s="37" t="s">
        <v>10075</v>
      </c>
      <c r="F3970" s="16" t="s">
        <v>1285</v>
      </c>
      <c r="G3970" s="16" t="s">
        <v>757</v>
      </c>
      <c r="H3970" s="16" t="s">
        <v>12411</v>
      </c>
      <c r="I3970" s="16" t="s">
        <v>118</v>
      </c>
      <c r="J3970" s="16" t="s">
        <v>10072</v>
      </c>
      <c r="K3970" s="32" t="n">
        <v>1</v>
      </c>
      <c r="L3970" s="33" t="n">
        <v>46094</v>
      </c>
      <c r="M3970" s="33" t="n">
        <v>46094</v>
      </c>
      <c r="N3970" s="16" t="s">
        <v>5570</v>
      </c>
      <c r="O3970" s="16"/>
      <c r="P3970" s="16" t="str">
        <f aca="false">IF(AND(L3970&lt;=$D$2,M3970&gt;=$C$2),"Sí","")</f>
        <v/>
      </c>
      <c r="Q3970" s="18" t="str">
        <f aca="false">IF(COUNTIF(LOOKAHEAD!$A$5:$A$604,A3970)&gt;0,"En Lookahead",IF(P3970="Sí","INCORPORAR",""))</f>
        <v/>
      </c>
    </row>
    <row r="3971" customFormat="false" ht="15" hidden="false" customHeight="false" outlineLevel="0" collapsed="false">
      <c r="A3971" s="13" t="s">
        <v>12418</v>
      </c>
      <c r="B3971" s="13" t="n">
        <v>3966</v>
      </c>
      <c r="C3971" s="13" t="s">
        <v>12419</v>
      </c>
      <c r="D3971" s="13" t="n">
        <v>6</v>
      </c>
      <c r="E3971" s="36" t="s">
        <v>10079</v>
      </c>
      <c r="F3971" s="13" t="s">
        <v>1298</v>
      </c>
      <c r="G3971" s="13" t="s">
        <v>757</v>
      </c>
      <c r="H3971" s="13" t="s">
        <v>12411</v>
      </c>
      <c r="I3971" s="13" t="s">
        <v>118</v>
      </c>
      <c r="J3971" s="13" t="s">
        <v>10032</v>
      </c>
      <c r="K3971" s="30" t="n">
        <v>2</v>
      </c>
      <c r="L3971" s="31" t="n">
        <v>46095</v>
      </c>
      <c r="M3971" s="31" t="n">
        <v>46096</v>
      </c>
      <c r="N3971" s="13"/>
      <c r="O3971" s="13"/>
      <c r="P3971" s="13"/>
      <c r="Q3971" s="13"/>
    </row>
    <row r="3972" customFormat="false" ht="15" hidden="false" customHeight="false" outlineLevel="0" collapsed="false">
      <c r="A3972" s="16" t="s">
        <v>12420</v>
      </c>
      <c r="B3972" s="16" t="n">
        <v>3967</v>
      </c>
      <c r="C3972" s="16" t="s">
        <v>12421</v>
      </c>
      <c r="D3972" s="16" t="n">
        <v>7</v>
      </c>
      <c r="E3972" s="37" t="s">
        <v>10086</v>
      </c>
      <c r="F3972" s="16" t="s">
        <v>1285</v>
      </c>
      <c r="G3972" s="16" t="s">
        <v>757</v>
      </c>
      <c r="H3972" s="16" t="s">
        <v>12411</v>
      </c>
      <c r="I3972" s="16" t="s">
        <v>118</v>
      </c>
      <c r="J3972" s="16" t="s">
        <v>10079</v>
      </c>
      <c r="K3972" s="32" t="n">
        <v>1</v>
      </c>
      <c r="L3972" s="33" t="n">
        <v>46095</v>
      </c>
      <c r="M3972" s="33" t="n">
        <v>46095</v>
      </c>
      <c r="N3972" s="16" t="s">
        <v>12422</v>
      </c>
      <c r="O3972" s="16"/>
      <c r="P3972" s="16" t="str">
        <f aca="false">IF(AND(L3972&lt;=$D$2,M3972&gt;=$C$2),"Sí","")</f>
        <v/>
      </c>
      <c r="Q3972" s="18" t="str">
        <f aca="false">IF(COUNTIF(LOOKAHEAD!$A$5:$A$604,A3972)&gt;0,"En Lookahead",IF(P3972="Sí","INCORPORAR",""))</f>
        <v/>
      </c>
    </row>
    <row r="3973" customFormat="false" ht="15" hidden="false" customHeight="false" outlineLevel="0" collapsed="false">
      <c r="A3973" s="16" t="s">
        <v>12423</v>
      </c>
      <c r="B3973" s="16" t="n">
        <v>3968</v>
      </c>
      <c r="C3973" s="16" t="s">
        <v>12424</v>
      </c>
      <c r="D3973" s="16" t="n">
        <v>7</v>
      </c>
      <c r="E3973" s="37" t="s">
        <v>10212</v>
      </c>
      <c r="F3973" s="16" t="s">
        <v>1285</v>
      </c>
      <c r="G3973" s="16" t="s">
        <v>757</v>
      </c>
      <c r="H3973" s="16" t="s">
        <v>12411</v>
      </c>
      <c r="I3973" s="16" t="s">
        <v>118</v>
      </c>
      <c r="J3973" s="16" t="s">
        <v>10079</v>
      </c>
      <c r="K3973" s="32" t="n">
        <v>1</v>
      </c>
      <c r="L3973" s="33" t="n">
        <v>46096</v>
      </c>
      <c r="M3973" s="33" t="n">
        <v>46096</v>
      </c>
      <c r="N3973" s="16" t="s">
        <v>12425</v>
      </c>
      <c r="O3973" s="16"/>
      <c r="P3973" s="16" t="str">
        <f aca="false">IF(AND(L3973&lt;=$D$2,M3973&gt;=$C$2),"Sí","")</f>
        <v/>
      </c>
      <c r="Q3973" s="18" t="str">
        <f aca="false">IF(COUNTIF(LOOKAHEAD!$A$5:$A$604,A3973)&gt;0,"En Lookahead",IF(P3973="Sí","INCORPORAR",""))</f>
        <v/>
      </c>
    </row>
    <row r="3974" customFormat="false" ht="15" hidden="false" customHeight="false" outlineLevel="0" collapsed="false">
      <c r="A3974" s="13" t="s">
        <v>12426</v>
      </c>
      <c r="B3974" s="13" t="n">
        <v>3969</v>
      </c>
      <c r="C3974" s="13" t="s">
        <v>12427</v>
      </c>
      <c r="D3974" s="13" t="n">
        <v>6</v>
      </c>
      <c r="E3974" s="36" t="s">
        <v>10119</v>
      </c>
      <c r="F3974" s="13" t="s">
        <v>1298</v>
      </c>
      <c r="G3974" s="13" t="s">
        <v>757</v>
      </c>
      <c r="H3974" s="13" t="s">
        <v>12411</v>
      </c>
      <c r="I3974" s="13" t="s">
        <v>118</v>
      </c>
      <c r="J3974" s="13" t="s">
        <v>10032</v>
      </c>
      <c r="K3974" s="30" t="n">
        <v>1</v>
      </c>
      <c r="L3974" s="31" t="n">
        <v>46097</v>
      </c>
      <c r="M3974" s="31" t="n">
        <v>46097</v>
      </c>
      <c r="N3974" s="13"/>
      <c r="O3974" s="13"/>
      <c r="P3974" s="13"/>
      <c r="Q3974" s="13"/>
    </row>
    <row r="3975" customFormat="false" ht="15" hidden="false" customHeight="false" outlineLevel="0" collapsed="false">
      <c r="A3975" s="16" t="s">
        <v>12428</v>
      </c>
      <c r="B3975" s="16" t="n">
        <v>3970</v>
      </c>
      <c r="C3975" s="16" t="s">
        <v>12429</v>
      </c>
      <c r="D3975" s="16" t="n">
        <v>7</v>
      </c>
      <c r="E3975" s="37" t="s">
        <v>10125</v>
      </c>
      <c r="F3975" s="16" t="s">
        <v>1285</v>
      </c>
      <c r="G3975" s="16" t="s">
        <v>757</v>
      </c>
      <c r="H3975" s="16" t="s">
        <v>12411</v>
      </c>
      <c r="I3975" s="16" t="s">
        <v>118</v>
      </c>
      <c r="J3975" s="16" t="s">
        <v>10119</v>
      </c>
      <c r="K3975" s="32" t="n">
        <v>1</v>
      </c>
      <c r="L3975" s="33" t="n">
        <v>46097</v>
      </c>
      <c r="M3975" s="33" t="n">
        <v>46097</v>
      </c>
      <c r="N3975" s="16" t="s">
        <v>12430</v>
      </c>
      <c r="O3975" s="16"/>
      <c r="P3975" s="16" t="str">
        <f aca="false">IF(AND(L3975&lt;=$D$2,M3975&gt;=$C$2),"Sí","")</f>
        <v/>
      </c>
      <c r="Q3975" s="18" t="str">
        <f aca="false">IF(COUNTIF(LOOKAHEAD!$A$5:$A$604,A3975)&gt;0,"En Lookahead",IF(P3975="Sí","INCORPORAR",""))</f>
        <v/>
      </c>
    </row>
    <row r="3976" customFormat="false" ht="15" hidden="false" customHeight="false" outlineLevel="0" collapsed="false">
      <c r="A3976" s="13" t="s">
        <v>12431</v>
      </c>
      <c r="B3976" s="13" t="n">
        <v>3971</v>
      </c>
      <c r="C3976" s="13" t="s">
        <v>12432</v>
      </c>
      <c r="D3976" s="13" t="n">
        <v>4</v>
      </c>
      <c r="E3976" s="20" t="s">
        <v>12433</v>
      </c>
      <c r="F3976" s="13" t="s">
        <v>1298</v>
      </c>
      <c r="G3976" s="13" t="s">
        <v>757</v>
      </c>
      <c r="H3976" s="13" t="s">
        <v>12433</v>
      </c>
      <c r="I3976" s="13" t="s">
        <v>121</v>
      </c>
      <c r="J3976" s="13" t="s">
        <v>9945</v>
      </c>
      <c r="K3976" s="30" t="n">
        <v>4</v>
      </c>
      <c r="L3976" s="31" t="n">
        <v>46249</v>
      </c>
      <c r="M3976" s="31" t="n">
        <v>46252</v>
      </c>
      <c r="N3976" s="13"/>
      <c r="O3976" s="13"/>
      <c r="P3976" s="13"/>
      <c r="Q3976" s="13"/>
    </row>
    <row r="3977" customFormat="false" ht="15" hidden="false" customHeight="false" outlineLevel="0" collapsed="false">
      <c r="A3977" s="13" t="s">
        <v>12434</v>
      </c>
      <c r="B3977" s="13" t="n">
        <v>3972</v>
      </c>
      <c r="C3977" s="13" t="s">
        <v>12435</v>
      </c>
      <c r="D3977" s="13" t="n">
        <v>5</v>
      </c>
      <c r="E3977" s="34" t="s">
        <v>10032</v>
      </c>
      <c r="F3977" s="13" t="s">
        <v>1298</v>
      </c>
      <c r="G3977" s="13" t="s">
        <v>757</v>
      </c>
      <c r="H3977" s="13" t="s">
        <v>12433</v>
      </c>
      <c r="I3977" s="13" t="s">
        <v>121</v>
      </c>
      <c r="J3977" s="13" t="s">
        <v>12433</v>
      </c>
      <c r="K3977" s="30" t="n">
        <v>4</v>
      </c>
      <c r="L3977" s="31" t="n">
        <v>46249</v>
      </c>
      <c r="M3977" s="31" t="n">
        <v>46252</v>
      </c>
      <c r="N3977" s="13"/>
      <c r="O3977" s="13"/>
      <c r="P3977" s="13"/>
      <c r="Q3977" s="13"/>
    </row>
    <row r="3978" customFormat="false" ht="15" hidden="false" customHeight="false" outlineLevel="0" collapsed="false">
      <c r="A3978" s="13" t="s">
        <v>12436</v>
      </c>
      <c r="B3978" s="13" t="n">
        <v>3973</v>
      </c>
      <c r="C3978" s="13" t="s">
        <v>12437</v>
      </c>
      <c r="D3978" s="13" t="n">
        <v>6</v>
      </c>
      <c r="E3978" s="36" t="s">
        <v>10072</v>
      </c>
      <c r="F3978" s="13" t="s">
        <v>1298</v>
      </c>
      <c r="G3978" s="13" t="s">
        <v>757</v>
      </c>
      <c r="H3978" s="13" t="s">
        <v>12433</v>
      </c>
      <c r="I3978" s="13" t="s">
        <v>121</v>
      </c>
      <c r="J3978" s="13" t="s">
        <v>10032</v>
      </c>
      <c r="K3978" s="30" t="n">
        <v>1</v>
      </c>
      <c r="L3978" s="31" t="n">
        <v>46249</v>
      </c>
      <c r="M3978" s="31" t="n">
        <v>46249</v>
      </c>
      <c r="N3978" s="13"/>
      <c r="O3978" s="13"/>
      <c r="P3978" s="13"/>
      <c r="Q3978" s="13"/>
    </row>
    <row r="3979" customFormat="false" ht="15" hidden="false" customHeight="false" outlineLevel="0" collapsed="false">
      <c r="A3979" s="16" t="s">
        <v>12438</v>
      </c>
      <c r="B3979" s="16" t="n">
        <v>3974</v>
      </c>
      <c r="C3979" s="16" t="s">
        <v>12439</v>
      </c>
      <c r="D3979" s="16" t="n">
        <v>7</v>
      </c>
      <c r="E3979" s="37" t="s">
        <v>10075</v>
      </c>
      <c r="F3979" s="16" t="s">
        <v>1285</v>
      </c>
      <c r="G3979" s="16" t="s">
        <v>757</v>
      </c>
      <c r="H3979" s="16" t="s">
        <v>12433</v>
      </c>
      <c r="I3979" s="16" t="s">
        <v>121</v>
      </c>
      <c r="J3979" s="16" t="s">
        <v>10072</v>
      </c>
      <c r="K3979" s="32" t="n">
        <v>1</v>
      </c>
      <c r="L3979" s="33" t="n">
        <v>46249</v>
      </c>
      <c r="M3979" s="33" t="n">
        <v>46249</v>
      </c>
      <c r="N3979" s="16" t="s">
        <v>5767</v>
      </c>
      <c r="O3979" s="16"/>
      <c r="P3979" s="16" t="str">
        <f aca="false">IF(AND(L3979&lt;=$D$2,M3979&gt;=$C$2),"Sí","")</f>
        <v/>
      </c>
      <c r="Q3979" s="18" t="str">
        <f aca="false">IF(COUNTIF(LOOKAHEAD!$A$5:$A$604,A3979)&gt;0,"En Lookahead",IF(P3979="Sí","INCORPORAR",""))</f>
        <v/>
      </c>
    </row>
    <row r="3980" customFormat="false" ht="15" hidden="false" customHeight="false" outlineLevel="0" collapsed="false">
      <c r="A3980" s="13" t="s">
        <v>12440</v>
      </c>
      <c r="B3980" s="13" t="n">
        <v>3975</v>
      </c>
      <c r="C3980" s="13" t="s">
        <v>12441</v>
      </c>
      <c r="D3980" s="13" t="n">
        <v>6</v>
      </c>
      <c r="E3980" s="36" t="s">
        <v>10079</v>
      </c>
      <c r="F3980" s="13" t="s">
        <v>1298</v>
      </c>
      <c r="G3980" s="13" t="s">
        <v>757</v>
      </c>
      <c r="H3980" s="13" t="s">
        <v>12433</v>
      </c>
      <c r="I3980" s="13" t="s">
        <v>121</v>
      </c>
      <c r="J3980" s="13" t="s">
        <v>10032</v>
      </c>
      <c r="K3980" s="30" t="n">
        <v>2</v>
      </c>
      <c r="L3980" s="31" t="n">
        <v>46250</v>
      </c>
      <c r="M3980" s="31" t="n">
        <v>46251</v>
      </c>
      <c r="N3980" s="13"/>
      <c r="O3980" s="13"/>
      <c r="P3980" s="13"/>
      <c r="Q3980" s="13"/>
    </row>
    <row r="3981" customFormat="false" ht="15" hidden="false" customHeight="false" outlineLevel="0" collapsed="false">
      <c r="A3981" s="16" t="s">
        <v>12442</v>
      </c>
      <c r="B3981" s="16" t="n">
        <v>3976</v>
      </c>
      <c r="C3981" s="16" t="s">
        <v>12443</v>
      </c>
      <c r="D3981" s="16" t="n">
        <v>7</v>
      </c>
      <c r="E3981" s="37" t="s">
        <v>10086</v>
      </c>
      <c r="F3981" s="16" t="s">
        <v>1285</v>
      </c>
      <c r="G3981" s="16" t="s">
        <v>757</v>
      </c>
      <c r="H3981" s="16" t="s">
        <v>12433</v>
      </c>
      <c r="I3981" s="16" t="s">
        <v>121</v>
      </c>
      <c r="J3981" s="16" t="s">
        <v>10079</v>
      </c>
      <c r="K3981" s="32" t="n">
        <v>1</v>
      </c>
      <c r="L3981" s="33" t="n">
        <v>46250</v>
      </c>
      <c r="M3981" s="33" t="n">
        <v>46250</v>
      </c>
      <c r="N3981" s="16" t="s">
        <v>12444</v>
      </c>
      <c r="O3981" s="16"/>
      <c r="P3981" s="16" t="str">
        <f aca="false">IF(AND(L3981&lt;=$D$2,M3981&gt;=$C$2),"Sí","")</f>
        <v/>
      </c>
      <c r="Q3981" s="18" t="str">
        <f aca="false">IF(COUNTIF(LOOKAHEAD!$A$5:$A$604,A3981)&gt;0,"En Lookahead",IF(P3981="Sí","INCORPORAR",""))</f>
        <v/>
      </c>
    </row>
    <row r="3982" customFormat="false" ht="15" hidden="false" customHeight="false" outlineLevel="0" collapsed="false">
      <c r="A3982" s="16" t="s">
        <v>12445</v>
      </c>
      <c r="B3982" s="16" t="n">
        <v>3977</v>
      </c>
      <c r="C3982" s="16" t="s">
        <v>12446</v>
      </c>
      <c r="D3982" s="16" t="n">
        <v>7</v>
      </c>
      <c r="E3982" s="37" t="s">
        <v>10212</v>
      </c>
      <c r="F3982" s="16" t="s">
        <v>1285</v>
      </c>
      <c r="G3982" s="16" t="s">
        <v>757</v>
      </c>
      <c r="H3982" s="16" t="s">
        <v>12433</v>
      </c>
      <c r="I3982" s="16" t="s">
        <v>121</v>
      </c>
      <c r="J3982" s="16" t="s">
        <v>10079</v>
      </c>
      <c r="K3982" s="32" t="n">
        <v>1</v>
      </c>
      <c r="L3982" s="33" t="n">
        <v>46251</v>
      </c>
      <c r="M3982" s="33" t="n">
        <v>46251</v>
      </c>
      <c r="N3982" s="16" t="s">
        <v>12447</v>
      </c>
      <c r="O3982" s="16"/>
      <c r="P3982" s="16" t="str">
        <f aca="false">IF(AND(L3982&lt;=$D$2,M3982&gt;=$C$2),"Sí","")</f>
        <v/>
      </c>
      <c r="Q3982" s="18" t="str">
        <f aca="false">IF(COUNTIF(LOOKAHEAD!$A$5:$A$604,A3982)&gt;0,"En Lookahead",IF(P3982="Sí","INCORPORAR",""))</f>
        <v/>
      </c>
    </row>
    <row r="3983" customFormat="false" ht="15" hidden="false" customHeight="false" outlineLevel="0" collapsed="false">
      <c r="A3983" s="13" t="s">
        <v>12448</v>
      </c>
      <c r="B3983" s="13" t="n">
        <v>3978</v>
      </c>
      <c r="C3983" s="13" t="s">
        <v>12449</v>
      </c>
      <c r="D3983" s="13" t="n">
        <v>6</v>
      </c>
      <c r="E3983" s="36" t="s">
        <v>10119</v>
      </c>
      <c r="F3983" s="13" t="s">
        <v>1298</v>
      </c>
      <c r="G3983" s="13" t="s">
        <v>757</v>
      </c>
      <c r="H3983" s="13" t="s">
        <v>12433</v>
      </c>
      <c r="I3983" s="13" t="s">
        <v>121</v>
      </c>
      <c r="J3983" s="13" t="s">
        <v>10032</v>
      </c>
      <c r="K3983" s="30" t="n">
        <v>1</v>
      </c>
      <c r="L3983" s="31" t="n">
        <v>46252</v>
      </c>
      <c r="M3983" s="31" t="n">
        <v>46252</v>
      </c>
      <c r="N3983" s="13"/>
      <c r="O3983" s="13"/>
      <c r="P3983" s="13"/>
      <c r="Q3983" s="13"/>
    </row>
    <row r="3984" customFormat="false" ht="15" hidden="false" customHeight="false" outlineLevel="0" collapsed="false">
      <c r="A3984" s="16" t="s">
        <v>12450</v>
      </c>
      <c r="B3984" s="16" t="n">
        <v>3979</v>
      </c>
      <c r="C3984" s="16" t="s">
        <v>12451</v>
      </c>
      <c r="D3984" s="16" t="n">
        <v>7</v>
      </c>
      <c r="E3984" s="37" t="s">
        <v>10125</v>
      </c>
      <c r="F3984" s="16" t="s">
        <v>1285</v>
      </c>
      <c r="G3984" s="16" t="s">
        <v>757</v>
      </c>
      <c r="H3984" s="16" t="s">
        <v>12433</v>
      </c>
      <c r="I3984" s="16" t="s">
        <v>121</v>
      </c>
      <c r="J3984" s="16" t="s">
        <v>10119</v>
      </c>
      <c r="K3984" s="32" t="n">
        <v>1</v>
      </c>
      <c r="L3984" s="33" t="n">
        <v>46252</v>
      </c>
      <c r="M3984" s="33" t="n">
        <v>46252</v>
      </c>
      <c r="N3984" s="16" t="s">
        <v>12452</v>
      </c>
      <c r="O3984" s="16"/>
      <c r="P3984" s="16" t="str">
        <f aca="false">IF(AND(L3984&lt;=$D$2,M3984&gt;=$C$2),"Sí","")</f>
        <v/>
      </c>
      <c r="Q3984" s="18" t="str">
        <f aca="false">IF(COUNTIF(LOOKAHEAD!$A$5:$A$604,A3984)&gt;0,"En Lookahead",IF(P3984="Sí","INCORPORAR",""))</f>
        <v/>
      </c>
    </row>
    <row r="3985" customFormat="false" ht="15" hidden="false" customHeight="false" outlineLevel="0" collapsed="false">
      <c r="A3985" s="13" t="s">
        <v>12453</v>
      </c>
      <c r="B3985" s="13" t="n">
        <v>3980</v>
      </c>
      <c r="C3985" s="13" t="s">
        <v>12454</v>
      </c>
      <c r="D3985" s="13" t="n">
        <v>4</v>
      </c>
      <c r="E3985" s="20" t="s">
        <v>12455</v>
      </c>
      <c r="F3985" s="13" t="s">
        <v>1298</v>
      </c>
      <c r="G3985" s="13" t="s">
        <v>757</v>
      </c>
      <c r="H3985" s="13" t="s">
        <v>12455</v>
      </c>
      <c r="I3985" s="13" t="s">
        <v>123</v>
      </c>
      <c r="J3985" s="13" t="s">
        <v>9945</v>
      </c>
      <c r="K3985" s="30" t="n">
        <v>4</v>
      </c>
      <c r="L3985" s="31" t="n">
        <v>45961</v>
      </c>
      <c r="M3985" s="31" t="n">
        <v>45964</v>
      </c>
      <c r="N3985" s="13"/>
      <c r="O3985" s="13"/>
      <c r="P3985" s="13"/>
      <c r="Q3985" s="13"/>
    </row>
    <row r="3986" customFormat="false" ht="15" hidden="false" customHeight="false" outlineLevel="0" collapsed="false">
      <c r="A3986" s="13" t="s">
        <v>12456</v>
      </c>
      <c r="B3986" s="13" t="n">
        <v>3981</v>
      </c>
      <c r="C3986" s="13" t="s">
        <v>12457</v>
      </c>
      <c r="D3986" s="13" t="n">
        <v>5</v>
      </c>
      <c r="E3986" s="34" t="s">
        <v>10032</v>
      </c>
      <c r="F3986" s="13" t="s">
        <v>1298</v>
      </c>
      <c r="G3986" s="13" t="s">
        <v>757</v>
      </c>
      <c r="H3986" s="13" t="s">
        <v>12455</v>
      </c>
      <c r="I3986" s="13" t="s">
        <v>123</v>
      </c>
      <c r="J3986" s="13" t="s">
        <v>12455</v>
      </c>
      <c r="K3986" s="30" t="n">
        <v>4</v>
      </c>
      <c r="L3986" s="31" t="n">
        <v>45961</v>
      </c>
      <c r="M3986" s="31" t="n">
        <v>45964</v>
      </c>
      <c r="N3986" s="13"/>
      <c r="O3986" s="13"/>
      <c r="P3986" s="13"/>
      <c r="Q3986" s="13"/>
    </row>
    <row r="3987" customFormat="false" ht="15" hidden="false" customHeight="false" outlineLevel="0" collapsed="false">
      <c r="A3987" s="13" t="s">
        <v>12458</v>
      </c>
      <c r="B3987" s="13" t="n">
        <v>3982</v>
      </c>
      <c r="C3987" s="13" t="s">
        <v>12459</v>
      </c>
      <c r="D3987" s="13" t="n">
        <v>6</v>
      </c>
      <c r="E3987" s="36" t="s">
        <v>10072</v>
      </c>
      <c r="F3987" s="13" t="s">
        <v>1298</v>
      </c>
      <c r="G3987" s="13" t="s">
        <v>757</v>
      </c>
      <c r="H3987" s="13" t="s">
        <v>12455</v>
      </c>
      <c r="I3987" s="13" t="s">
        <v>123</v>
      </c>
      <c r="J3987" s="13" t="s">
        <v>10032</v>
      </c>
      <c r="K3987" s="30" t="n">
        <v>1</v>
      </c>
      <c r="L3987" s="31" t="n">
        <v>45961</v>
      </c>
      <c r="M3987" s="31" t="n">
        <v>45961</v>
      </c>
      <c r="N3987" s="13"/>
      <c r="O3987" s="13"/>
      <c r="P3987" s="13"/>
      <c r="Q3987" s="13"/>
    </row>
    <row r="3988" customFormat="false" ht="15" hidden="false" customHeight="false" outlineLevel="0" collapsed="false">
      <c r="A3988" s="16" t="s">
        <v>12460</v>
      </c>
      <c r="B3988" s="16" t="n">
        <v>3983</v>
      </c>
      <c r="C3988" s="16" t="s">
        <v>12461</v>
      </c>
      <c r="D3988" s="16" t="n">
        <v>7</v>
      </c>
      <c r="E3988" s="37" t="s">
        <v>10075</v>
      </c>
      <c r="F3988" s="16" t="s">
        <v>1285</v>
      </c>
      <c r="G3988" s="16" t="s">
        <v>757</v>
      </c>
      <c r="H3988" s="16" t="s">
        <v>12455</v>
      </c>
      <c r="I3988" s="16" t="s">
        <v>123</v>
      </c>
      <c r="J3988" s="16" t="s">
        <v>10072</v>
      </c>
      <c r="K3988" s="32" t="n">
        <v>1</v>
      </c>
      <c r="L3988" s="33" t="n">
        <v>45961</v>
      </c>
      <c r="M3988" s="33" t="n">
        <v>45961</v>
      </c>
      <c r="N3988" s="16" t="s">
        <v>6043</v>
      </c>
      <c r="O3988" s="16"/>
      <c r="P3988" s="16" t="str">
        <f aca="false">IF(AND(L3988&lt;=$D$2,M3988&gt;=$C$2),"Sí","")</f>
        <v/>
      </c>
      <c r="Q3988" s="18" t="str">
        <f aca="false">IF(COUNTIF(LOOKAHEAD!$A$5:$A$604,A3988)&gt;0,"En Lookahead",IF(P3988="Sí","INCORPORAR",""))</f>
        <v/>
      </c>
    </row>
    <row r="3989" customFormat="false" ht="15" hidden="false" customHeight="false" outlineLevel="0" collapsed="false">
      <c r="A3989" s="13" t="s">
        <v>12462</v>
      </c>
      <c r="B3989" s="13" t="n">
        <v>3984</v>
      </c>
      <c r="C3989" s="13" t="s">
        <v>12463</v>
      </c>
      <c r="D3989" s="13" t="n">
        <v>6</v>
      </c>
      <c r="E3989" s="36" t="s">
        <v>10079</v>
      </c>
      <c r="F3989" s="13" t="s">
        <v>1298</v>
      </c>
      <c r="G3989" s="13" t="s">
        <v>757</v>
      </c>
      <c r="H3989" s="13" t="s">
        <v>12455</v>
      </c>
      <c r="I3989" s="13" t="s">
        <v>123</v>
      </c>
      <c r="J3989" s="13" t="s">
        <v>10032</v>
      </c>
      <c r="K3989" s="30" t="n">
        <v>2</v>
      </c>
      <c r="L3989" s="31" t="n">
        <v>45962</v>
      </c>
      <c r="M3989" s="31" t="n">
        <v>45963</v>
      </c>
      <c r="N3989" s="13"/>
      <c r="O3989" s="13"/>
      <c r="P3989" s="13"/>
      <c r="Q3989" s="13"/>
    </row>
    <row r="3990" customFormat="false" ht="15" hidden="false" customHeight="false" outlineLevel="0" collapsed="false">
      <c r="A3990" s="16" t="s">
        <v>12464</v>
      </c>
      <c r="B3990" s="16" t="n">
        <v>3985</v>
      </c>
      <c r="C3990" s="16" t="s">
        <v>12465</v>
      </c>
      <c r="D3990" s="16" t="n">
        <v>7</v>
      </c>
      <c r="E3990" s="37" t="s">
        <v>10086</v>
      </c>
      <c r="F3990" s="16" t="s">
        <v>1285</v>
      </c>
      <c r="G3990" s="16" t="s">
        <v>757</v>
      </c>
      <c r="H3990" s="16" t="s">
        <v>12455</v>
      </c>
      <c r="I3990" s="16" t="s">
        <v>123</v>
      </c>
      <c r="J3990" s="16" t="s">
        <v>10079</v>
      </c>
      <c r="K3990" s="32" t="n">
        <v>1</v>
      </c>
      <c r="L3990" s="33" t="n">
        <v>45962</v>
      </c>
      <c r="M3990" s="33" t="n">
        <v>45962</v>
      </c>
      <c r="N3990" s="16" t="s">
        <v>12466</v>
      </c>
      <c r="O3990" s="16"/>
      <c r="P3990" s="16" t="str">
        <f aca="false">IF(AND(L3990&lt;=$D$2,M3990&gt;=$C$2),"Sí","")</f>
        <v/>
      </c>
      <c r="Q3990" s="18" t="str">
        <f aca="false">IF(COUNTIF(LOOKAHEAD!$A$5:$A$604,A3990)&gt;0,"En Lookahead",IF(P3990="Sí","INCORPORAR",""))</f>
        <v/>
      </c>
    </row>
    <row r="3991" customFormat="false" ht="15" hidden="false" customHeight="false" outlineLevel="0" collapsed="false">
      <c r="A3991" s="16" t="s">
        <v>12467</v>
      </c>
      <c r="B3991" s="16" t="n">
        <v>3986</v>
      </c>
      <c r="C3991" s="16" t="s">
        <v>12468</v>
      </c>
      <c r="D3991" s="16" t="n">
        <v>7</v>
      </c>
      <c r="E3991" s="37" t="s">
        <v>10212</v>
      </c>
      <c r="F3991" s="16" t="s">
        <v>1285</v>
      </c>
      <c r="G3991" s="16" t="s">
        <v>757</v>
      </c>
      <c r="H3991" s="16" t="s">
        <v>12455</v>
      </c>
      <c r="I3991" s="16" t="s">
        <v>123</v>
      </c>
      <c r="J3991" s="16" t="s">
        <v>10079</v>
      </c>
      <c r="K3991" s="32" t="n">
        <v>1</v>
      </c>
      <c r="L3991" s="33" t="n">
        <v>45963</v>
      </c>
      <c r="M3991" s="33" t="n">
        <v>45963</v>
      </c>
      <c r="N3991" s="16" t="s">
        <v>12469</v>
      </c>
      <c r="O3991" s="16"/>
      <c r="P3991" s="16" t="str">
        <f aca="false">IF(AND(L3991&lt;=$D$2,M3991&gt;=$C$2),"Sí","")</f>
        <v/>
      </c>
      <c r="Q3991" s="18" t="str">
        <f aca="false">IF(COUNTIF(LOOKAHEAD!$A$5:$A$604,A3991)&gt;0,"En Lookahead",IF(P3991="Sí","INCORPORAR",""))</f>
        <v/>
      </c>
    </row>
    <row r="3992" customFormat="false" ht="15" hidden="false" customHeight="false" outlineLevel="0" collapsed="false">
      <c r="A3992" s="13" t="s">
        <v>12470</v>
      </c>
      <c r="B3992" s="13" t="n">
        <v>3987</v>
      </c>
      <c r="C3992" s="13" t="s">
        <v>12471</v>
      </c>
      <c r="D3992" s="13" t="n">
        <v>6</v>
      </c>
      <c r="E3992" s="36" t="s">
        <v>10119</v>
      </c>
      <c r="F3992" s="13" t="s">
        <v>1298</v>
      </c>
      <c r="G3992" s="13" t="s">
        <v>757</v>
      </c>
      <c r="H3992" s="13" t="s">
        <v>12455</v>
      </c>
      <c r="I3992" s="13" t="s">
        <v>123</v>
      </c>
      <c r="J3992" s="13" t="s">
        <v>10032</v>
      </c>
      <c r="K3992" s="30" t="n">
        <v>1</v>
      </c>
      <c r="L3992" s="31" t="n">
        <v>45964</v>
      </c>
      <c r="M3992" s="31" t="n">
        <v>45964</v>
      </c>
      <c r="N3992" s="13"/>
      <c r="O3992" s="13"/>
      <c r="P3992" s="13"/>
      <c r="Q3992" s="13"/>
    </row>
    <row r="3993" customFormat="false" ht="15" hidden="false" customHeight="false" outlineLevel="0" collapsed="false">
      <c r="A3993" s="16" t="s">
        <v>12472</v>
      </c>
      <c r="B3993" s="16" t="n">
        <v>3988</v>
      </c>
      <c r="C3993" s="16" t="s">
        <v>12473</v>
      </c>
      <c r="D3993" s="16" t="n">
        <v>7</v>
      </c>
      <c r="E3993" s="37" t="s">
        <v>10125</v>
      </c>
      <c r="F3993" s="16" t="s">
        <v>1285</v>
      </c>
      <c r="G3993" s="16" t="s">
        <v>757</v>
      </c>
      <c r="H3993" s="16" t="s">
        <v>12455</v>
      </c>
      <c r="I3993" s="16" t="s">
        <v>123</v>
      </c>
      <c r="J3993" s="16" t="s">
        <v>10119</v>
      </c>
      <c r="K3993" s="32" t="n">
        <v>1</v>
      </c>
      <c r="L3993" s="33" t="n">
        <v>45964</v>
      </c>
      <c r="M3993" s="33" t="n">
        <v>45964</v>
      </c>
      <c r="N3993" s="16" t="s">
        <v>12474</v>
      </c>
      <c r="O3993" s="16"/>
      <c r="P3993" s="16" t="str">
        <f aca="false">IF(AND(L3993&lt;=$D$2,M3993&gt;=$C$2),"Sí","")</f>
        <v/>
      </c>
      <c r="Q3993" s="18" t="str">
        <f aca="false">IF(COUNTIF(LOOKAHEAD!$A$5:$A$604,A3993)&gt;0,"En Lookahead",IF(P3993="Sí","INCORPORAR",""))</f>
        <v/>
      </c>
    </row>
    <row r="3994" customFormat="false" ht="15" hidden="false" customHeight="false" outlineLevel="0" collapsed="false">
      <c r="A3994" s="13" t="s">
        <v>12475</v>
      </c>
      <c r="B3994" s="13" t="n">
        <v>3989</v>
      </c>
      <c r="C3994" s="13" t="s">
        <v>12476</v>
      </c>
      <c r="D3994" s="13" t="n">
        <v>4</v>
      </c>
      <c r="E3994" s="20" t="s">
        <v>12477</v>
      </c>
      <c r="F3994" s="13" t="s">
        <v>1298</v>
      </c>
      <c r="G3994" s="13" t="s">
        <v>757</v>
      </c>
      <c r="H3994" s="13" t="s">
        <v>12477</v>
      </c>
      <c r="I3994" s="13" t="s">
        <v>125</v>
      </c>
      <c r="J3994" s="13" t="s">
        <v>9945</v>
      </c>
      <c r="K3994" s="30" t="n">
        <v>5</v>
      </c>
      <c r="L3994" s="31" t="n">
        <v>45973</v>
      </c>
      <c r="M3994" s="31" t="n">
        <v>45977</v>
      </c>
      <c r="N3994" s="13"/>
      <c r="O3994" s="13"/>
      <c r="P3994" s="13"/>
      <c r="Q3994" s="13"/>
    </row>
    <row r="3995" customFormat="false" ht="15" hidden="false" customHeight="false" outlineLevel="0" collapsed="false">
      <c r="A3995" s="13" t="s">
        <v>12478</v>
      </c>
      <c r="B3995" s="13" t="n">
        <v>3990</v>
      </c>
      <c r="C3995" s="13" t="s">
        <v>12479</v>
      </c>
      <c r="D3995" s="13" t="n">
        <v>5</v>
      </c>
      <c r="E3995" s="34" t="s">
        <v>10032</v>
      </c>
      <c r="F3995" s="13" t="s">
        <v>1298</v>
      </c>
      <c r="G3995" s="13" t="s">
        <v>757</v>
      </c>
      <c r="H3995" s="13" t="s">
        <v>12477</v>
      </c>
      <c r="I3995" s="13" t="s">
        <v>125</v>
      </c>
      <c r="J3995" s="13" t="s">
        <v>12477</v>
      </c>
      <c r="K3995" s="30" t="n">
        <v>5</v>
      </c>
      <c r="L3995" s="31" t="n">
        <v>45973</v>
      </c>
      <c r="M3995" s="31" t="n">
        <v>45977</v>
      </c>
      <c r="N3995" s="13"/>
      <c r="O3995" s="13"/>
      <c r="P3995" s="13"/>
      <c r="Q3995" s="13"/>
    </row>
    <row r="3996" customFormat="false" ht="15" hidden="false" customHeight="false" outlineLevel="0" collapsed="false">
      <c r="A3996" s="13" t="s">
        <v>12480</v>
      </c>
      <c r="B3996" s="13" t="n">
        <v>3991</v>
      </c>
      <c r="C3996" s="13" t="s">
        <v>12481</v>
      </c>
      <c r="D3996" s="13" t="n">
        <v>6</v>
      </c>
      <c r="E3996" s="36" t="s">
        <v>10072</v>
      </c>
      <c r="F3996" s="13" t="s">
        <v>1298</v>
      </c>
      <c r="G3996" s="13" t="s">
        <v>757</v>
      </c>
      <c r="H3996" s="13" t="s">
        <v>12477</v>
      </c>
      <c r="I3996" s="13" t="s">
        <v>125</v>
      </c>
      <c r="J3996" s="13" t="s">
        <v>10032</v>
      </c>
      <c r="K3996" s="30" t="n">
        <v>1</v>
      </c>
      <c r="L3996" s="31" t="n">
        <v>45973</v>
      </c>
      <c r="M3996" s="31" t="n">
        <v>45973</v>
      </c>
      <c r="N3996" s="13"/>
      <c r="O3996" s="13"/>
      <c r="P3996" s="13"/>
      <c r="Q3996" s="13"/>
    </row>
    <row r="3997" customFormat="false" ht="15" hidden="false" customHeight="false" outlineLevel="0" collapsed="false">
      <c r="A3997" s="16" t="s">
        <v>12482</v>
      </c>
      <c r="B3997" s="16" t="n">
        <v>3992</v>
      </c>
      <c r="C3997" s="16" t="s">
        <v>12483</v>
      </c>
      <c r="D3997" s="16" t="n">
        <v>7</v>
      </c>
      <c r="E3997" s="37" t="s">
        <v>10075</v>
      </c>
      <c r="F3997" s="16" t="s">
        <v>1285</v>
      </c>
      <c r="G3997" s="16" t="s">
        <v>757</v>
      </c>
      <c r="H3997" s="16" t="s">
        <v>12477</v>
      </c>
      <c r="I3997" s="16" t="s">
        <v>125</v>
      </c>
      <c r="J3997" s="16" t="s">
        <v>10072</v>
      </c>
      <c r="K3997" s="32" t="n">
        <v>1</v>
      </c>
      <c r="L3997" s="33" t="n">
        <v>45973</v>
      </c>
      <c r="M3997" s="33" t="n">
        <v>45973</v>
      </c>
      <c r="N3997" s="16" t="s">
        <v>6400</v>
      </c>
      <c r="O3997" s="16"/>
      <c r="P3997" s="16" t="str">
        <f aca="false">IF(AND(L3997&lt;=$D$2,M3997&gt;=$C$2),"Sí","")</f>
        <v/>
      </c>
      <c r="Q3997" s="18" t="str">
        <f aca="false">IF(COUNTIF(LOOKAHEAD!$A$5:$A$604,A3997)&gt;0,"En Lookahead",IF(P3997="Sí","INCORPORAR",""))</f>
        <v/>
      </c>
    </row>
    <row r="3998" customFormat="false" ht="15" hidden="false" customHeight="false" outlineLevel="0" collapsed="false">
      <c r="A3998" s="13" t="s">
        <v>12484</v>
      </c>
      <c r="B3998" s="13" t="n">
        <v>3993</v>
      </c>
      <c r="C3998" s="13" t="s">
        <v>12485</v>
      </c>
      <c r="D3998" s="13" t="n">
        <v>6</v>
      </c>
      <c r="E3998" s="36" t="s">
        <v>10079</v>
      </c>
      <c r="F3998" s="13" t="s">
        <v>1298</v>
      </c>
      <c r="G3998" s="13" t="s">
        <v>757</v>
      </c>
      <c r="H3998" s="13" t="s">
        <v>12477</v>
      </c>
      <c r="I3998" s="13" t="s">
        <v>125</v>
      </c>
      <c r="J3998" s="13" t="s">
        <v>10032</v>
      </c>
      <c r="K3998" s="30" t="n">
        <v>2</v>
      </c>
      <c r="L3998" s="31" t="n">
        <v>45974</v>
      </c>
      <c r="M3998" s="31" t="n">
        <v>45975</v>
      </c>
      <c r="N3998" s="13"/>
      <c r="O3998" s="13"/>
      <c r="P3998" s="13"/>
      <c r="Q3998" s="13"/>
    </row>
    <row r="3999" customFormat="false" ht="15" hidden="false" customHeight="false" outlineLevel="0" collapsed="false">
      <c r="A3999" s="16" t="s">
        <v>12486</v>
      </c>
      <c r="B3999" s="16" t="n">
        <v>3994</v>
      </c>
      <c r="C3999" s="16" t="s">
        <v>12487</v>
      </c>
      <c r="D3999" s="16" t="n">
        <v>7</v>
      </c>
      <c r="E3999" s="37" t="s">
        <v>10086</v>
      </c>
      <c r="F3999" s="16" t="s">
        <v>1285</v>
      </c>
      <c r="G3999" s="16" t="s">
        <v>757</v>
      </c>
      <c r="H3999" s="16" t="s">
        <v>12477</v>
      </c>
      <c r="I3999" s="16" t="s">
        <v>125</v>
      </c>
      <c r="J3999" s="16" t="s">
        <v>10079</v>
      </c>
      <c r="K3999" s="32" t="n">
        <v>1</v>
      </c>
      <c r="L3999" s="33" t="n">
        <v>45974</v>
      </c>
      <c r="M3999" s="33" t="n">
        <v>45974</v>
      </c>
      <c r="N3999" s="16" t="s">
        <v>12488</v>
      </c>
      <c r="O3999" s="16"/>
      <c r="P3999" s="16" t="str">
        <f aca="false">IF(AND(L3999&lt;=$D$2,M3999&gt;=$C$2),"Sí","")</f>
        <v/>
      </c>
      <c r="Q3999" s="18" t="str">
        <f aca="false">IF(COUNTIF(LOOKAHEAD!$A$5:$A$604,A3999)&gt;0,"En Lookahead",IF(P3999="Sí","INCORPORAR",""))</f>
        <v/>
      </c>
    </row>
    <row r="4000" customFormat="false" ht="15" hidden="false" customHeight="false" outlineLevel="0" collapsed="false">
      <c r="A4000" s="16" t="s">
        <v>12489</v>
      </c>
      <c r="B4000" s="16" t="n">
        <v>3995</v>
      </c>
      <c r="C4000" s="16" t="s">
        <v>12490</v>
      </c>
      <c r="D4000" s="16" t="n">
        <v>7</v>
      </c>
      <c r="E4000" s="37" t="s">
        <v>10212</v>
      </c>
      <c r="F4000" s="16" t="s">
        <v>1285</v>
      </c>
      <c r="G4000" s="16" t="s">
        <v>757</v>
      </c>
      <c r="H4000" s="16" t="s">
        <v>12477</v>
      </c>
      <c r="I4000" s="16" t="s">
        <v>125</v>
      </c>
      <c r="J4000" s="16" t="s">
        <v>10079</v>
      </c>
      <c r="K4000" s="32" t="n">
        <v>1</v>
      </c>
      <c r="L4000" s="33" t="n">
        <v>45975</v>
      </c>
      <c r="M4000" s="33" t="n">
        <v>45975</v>
      </c>
      <c r="N4000" s="16" t="s">
        <v>12491</v>
      </c>
      <c r="O4000" s="16"/>
      <c r="P4000" s="16" t="str">
        <f aca="false">IF(AND(L4000&lt;=$D$2,M4000&gt;=$C$2),"Sí","")</f>
        <v/>
      </c>
      <c r="Q4000" s="18" t="str">
        <f aca="false">IF(COUNTIF(LOOKAHEAD!$A$5:$A$604,A4000)&gt;0,"En Lookahead",IF(P4000="Sí","INCORPORAR",""))</f>
        <v/>
      </c>
    </row>
    <row r="4001" customFormat="false" ht="15" hidden="false" customHeight="false" outlineLevel="0" collapsed="false">
      <c r="A4001" s="13" t="s">
        <v>12492</v>
      </c>
      <c r="B4001" s="13" t="n">
        <v>3996</v>
      </c>
      <c r="C4001" s="13" t="s">
        <v>12493</v>
      </c>
      <c r="D4001" s="13" t="n">
        <v>6</v>
      </c>
      <c r="E4001" s="36" t="s">
        <v>10119</v>
      </c>
      <c r="F4001" s="13" t="s">
        <v>1298</v>
      </c>
      <c r="G4001" s="13" t="s">
        <v>757</v>
      </c>
      <c r="H4001" s="13" t="s">
        <v>12477</v>
      </c>
      <c r="I4001" s="13" t="s">
        <v>125</v>
      </c>
      <c r="J4001" s="13" t="s">
        <v>10032</v>
      </c>
      <c r="K4001" s="30" t="n">
        <v>2</v>
      </c>
      <c r="L4001" s="31" t="n">
        <v>45976</v>
      </c>
      <c r="M4001" s="31" t="n">
        <v>45977</v>
      </c>
      <c r="N4001" s="13"/>
      <c r="O4001" s="13"/>
      <c r="P4001" s="13"/>
      <c r="Q4001" s="13"/>
    </row>
    <row r="4002" customFormat="false" ht="15" hidden="false" customHeight="false" outlineLevel="0" collapsed="false">
      <c r="A4002" s="16" t="s">
        <v>12494</v>
      </c>
      <c r="B4002" s="16" t="n">
        <v>3997</v>
      </c>
      <c r="C4002" s="16" t="s">
        <v>12495</v>
      </c>
      <c r="D4002" s="16" t="n">
        <v>7</v>
      </c>
      <c r="E4002" s="37" t="s">
        <v>10125</v>
      </c>
      <c r="F4002" s="16" t="s">
        <v>1285</v>
      </c>
      <c r="G4002" s="16" t="s">
        <v>757</v>
      </c>
      <c r="H4002" s="16" t="s">
        <v>12477</v>
      </c>
      <c r="I4002" s="16" t="s">
        <v>125</v>
      </c>
      <c r="J4002" s="16" t="s">
        <v>10119</v>
      </c>
      <c r="K4002" s="32" t="n">
        <v>2</v>
      </c>
      <c r="L4002" s="33" t="n">
        <v>45976</v>
      </c>
      <c r="M4002" s="33" t="n">
        <v>45977</v>
      </c>
      <c r="N4002" s="16" t="s">
        <v>12496</v>
      </c>
      <c r="O4002" s="16"/>
      <c r="P4002" s="16" t="str">
        <f aca="false">IF(AND(L4002&lt;=$D$2,M4002&gt;=$C$2),"Sí","")</f>
        <v/>
      </c>
      <c r="Q4002" s="18" t="str">
        <f aca="false">IF(COUNTIF(LOOKAHEAD!$A$5:$A$604,A4002)&gt;0,"En Lookahead",IF(P4002="Sí","INCORPORAR",""))</f>
        <v/>
      </c>
    </row>
    <row r="4003" customFormat="false" ht="15" hidden="false" customHeight="false" outlineLevel="0" collapsed="false">
      <c r="A4003" s="13" t="s">
        <v>12497</v>
      </c>
      <c r="B4003" s="13" t="n">
        <v>3998</v>
      </c>
      <c r="C4003" s="13" t="s">
        <v>12498</v>
      </c>
      <c r="D4003" s="13" t="n">
        <v>4</v>
      </c>
      <c r="E4003" s="20" t="s">
        <v>12499</v>
      </c>
      <c r="F4003" s="13" t="s">
        <v>1298</v>
      </c>
      <c r="G4003" s="13" t="s">
        <v>757</v>
      </c>
      <c r="H4003" s="13" t="s">
        <v>12499</v>
      </c>
      <c r="I4003" s="13" t="s">
        <v>127</v>
      </c>
      <c r="J4003" s="13" t="s">
        <v>9945</v>
      </c>
      <c r="K4003" s="30" t="n">
        <v>112</v>
      </c>
      <c r="L4003" s="31" t="n">
        <v>45933</v>
      </c>
      <c r="M4003" s="31" t="n">
        <v>46044</v>
      </c>
      <c r="N4003" s="13"/>
      <c r="O4003" s="13"/>
      <c r="P4003" s="13"/>
      <c r="Q4003" s="13"/>
    </row>
    <row r="4004" customFormat="false" ht="15" hidden="false" customHeight="false" outlineLevel="0" collapsed="false">
      <c r="A4004" s="13" t="s">
        <v>12500</v>
      </c>
      <c r="B4004" s="13" t="n">
        <v>3999</v>
      </c>
      <c r="C4004" s="13" t="s">
        <v>12501</v>
      </c>
      <c r="D4004" s="13" t="n">
        <v>5</v>
      </c>
      <c r="E4004" s="34" t="s">
        <v>10035</v>
      </c>
      <c r="F4004" s="13" t="s">
        <v>1298</v>
      </c>
      <c r="G4004" s="13" t="s">
        <v>757</v>
      </c>
      <c r="H4004" s="13" t="s">
        <v>12499</v>
      </c>
      <c r="I4004" s="13" t="s">
        <v>127</v>
      </c>
      <c r="J4004" s="13" t="s">
        <v>12499</v>
      </c>
      <c r="K4004" s="30" t="n">
        <v>1</v>
      </c>
      <c r="L4004" s="31" t="n">
        <v>45933</v>
      </c>
      <c r="M4004" s="31" t="n">
        <v>45933</v>
      </c>
      <c r="N4004" s="13"/>
      <c r="O4004" s="13"/>
      <c r="P4004" s="13"/>
      <c r="Q4004" s="13"/>
    </row>
    <row r="4005" customFormat="false" ht="15" hidden="false" customHeight="false" outlineLevel="0" collapsed="false">
      <c r="A4005" s="16" t="s">
        <v>12502</v>
      </c>
      <c r="B4005" s="16" t="n">
        <v>4000</v>
      </c>
      <c r="C4005" s="16" t="s">
        <v>12503</v>
      </c>
      <c r="D4005" s="16" t="n">
        <v>6</v>
      </c>
      <c r="E4005" s="35" t="s">
        <v>10038</v>
      </c>
      <c r="F4005" s="16" t="s">
        <v>1285</v>
      </c>
      <c r="G4005" s="16" t="s">
        <v>757</v>
      </c>
      <c r="H4005" s="16" t="s">
        <v>12499</v>
      </c>
      <c r="I4005" s="16" t="s">
        <v>127</v>
      </c>
      <c r="J4005" s="16" t="s">
        <v>10035</v>
      </c>
      <c r="K4005" s="32" t="n">
        <v>1</v>
      </c>
      <c r="L4005" s="33" t="n">
        <v>45933</v>
      </c>
      <c r="M4005" s="33" t="n">
        <v>45933</v>
      </c>
      <c r="N4005" s="16" t="s">
        <v>6726</v>
      </c>
      <c r="O4005" s="16"/>
      <c r="P4005" s="16" t="str">
        <f aca="false">IF(AND(L4005&lt;=$D$2,M4005&gt;=$C$2),"Sí","")</f>
        <v/>
      </c>
      <c r="Q4005" s="18" t="str">
        <f aca="false">IF(COUNTIF(LOOKAHEAD!$A$5:$A$604,A4005)&gt;0,"En Lookahead",IF(P4005="Sí","INCORPORAR",""))</f>
        <v/>
      </c>
    </row>
    <row r="4006" customFormat="false" ht="15" hidden="false" customHeight="false" outlineLevel="0" collapsed="false">
      <c r="A4006" s="13" t="s">
        <v>12504</v>
      </c>
      <c r="B4006" s="13" t="n">
        <v>4001</v>
      </c>
      <c r="C4006" s="13" t="s">
        <v>12505</v>
      </c>
      <c r="D4006" s="13" t="n">
        <v>5</v>
      </c>
      <c r="E4006" s="34" t="s">
        <v>1534</v>
      </c>
      <c r="F4006" s="13" t="s">
        <v>1298</v>
      </c>
      <c r="G4006" s="13" t="s">
        <v>757</v>
      </c>
      <c r="H4006" s="13" t="s">
        <v>12499</v>
      </c>
      <c r="I4006" s="13" t="s">
        <v>127</v>
      </c>
      <c r="J4006" s="13" t="s">
        <v>12499</v>
      </c>
      <c r="K4006" s="30" t="n">
        <v>49</v>
      </c>
      <c r="L4006" s="31" t="n">
        <v>45934</v>
      </c>
      <c r="M4006" s="31" t="n">
        <v>45982</v>
      </c>
      <c r="N4006" s="13"/>
      <c r="O4006" s="13"/>
      <c r="P4006" s="13"/>
      <c r="Q4006" s="13"/>
    </row>
    <row r="4007" customFormat="false" ht="15" hidden="false" customHeight="false" outlineLevel="0" collapsed="false">
      <c r="A4007" s="16" t="s">
        <v>12506</v>
      </c>
      <c r="B4007" s="16" t="n">
        <v>4002</v>
      </c>
      <c r="C4007" s="16" t="s">
        <v>12507</v>
      </c>
      <c r="D4007" s="16" t="n">
        <v>6</v>
      </c>
      <c r="E4007" s="35" t="s">
        <v>10043</v>
      </c>
      <c r="F4007" s="16" t="s">
        <v>1285</v>
      </c>
      <c r="G4007" s="16" t="s">
        <v>757</v>
      </c>
      <c r="H4007" s="16" t="s">
        <v>12499</v>
      </c>
      <c r="I4007" s="16" t="s">
        <v>127</v>
      </c>
      <c r="J4007" s="16" t="s">
        <v>1534</v>
      </c>
      <c r="K4007" s="32" t="n">
        <v>33</v>
      </c>
      <c r="L4007" s="33" t="n">
        <v>45934</v>
      </c>
      <c r="M4007" s="33" t="n">
        <v>45966</v>
      </c>
      <c r="N4007" s="16" t="s">
        <v>12508</v>
      </c>
      <c r="O4007" s="16"/>
      <c r="P4007" s="16" t="str">
        <f aca="false">IF(AND(L4007&lt;=$D$2,M4007&gt;=$C$2),"Sí","")</f>
        <v/>
      </c>
      <c r="Q4007" s="18" t="str">
        <f aca="false">IF(COUNTIF(LOOKAHEAD!$A$5:$A$604,A4007)&gt;0,"En Lookahead",IF(P4007="Sí","INCORPORAR",""))</f>
        <v/>
      </c>
    </row>
    <row r="4008" customFormat="false" ht="15" hidden="false" customHeight="false" outlineLevel="0" collapsed="false">
      <c r="A4008" s="16" t="s">
        <v>12509</v>
      </c>
      <c r="B4008" s="16" t="n">
        <v>4003</v>
      </c>
      <c r="C4008" s="16" t="s">
        <v>12510</v>
      </c>
      <c r="D4008" s="16" t="n">
        <v>6</v>
      </c>
      <c r="E4008" s="35" t="s">
        <v>10047</v>
      </c>
      <c r="F4008" s="16" t="s">
        <v>1285</v>
      </c>
      <c r="G4008" s="16" t="s">
        <v>757</v>
      </c>
      <c r="H4008" s="16" t="s">
        <v>12499</v>
      </c>
      <c r="I4008" s="16" t="s">
        <v>127</v>
      </c>
      <c r="J4008" s="16" t="s">
        <v>1534</v>
      </c>
      <c r="K4008" s="32" t="n">
        <v>4</v>
      </c>
      <c r="L4008" s="33" t="n">
        <v>45967</v>
      </c>
      <c r="M4008" s="33" t="n">
        <v>45970</v>
      </c>
      <c r="N4008" s="16" t="s">
        <v>12511</v>
      </c>
      <c r="O4008" s="16"/>
      <c r="P4008" s="16" t="str">
        <f aca="false">IF(AND(L4008&lt;=$D$2,M4008&gt;=$C$2),"Sí","")</f>
        <v/>
      </c>
      <c r="Q4008" s="18" t="str">
        <f aca="false">IF(COUNTIF(LOOKAHEAD!$A$5:$A$604,A4008)&gt;0,"En Lookahead",IF(P4008="Sí","INCORPORAR",""))</f>
        <v/>
      </c>
    </row>
    <row r="4009" customFormat="false" ht="15" hidden="false" customHeight="false" outlineLevel="0" collapsed="false">
      <c r="A4009" s="16" t="s">
        <v>12512</v>
      </c>
      <c r="B4009" s="16" t="n">
        <v>4004</v>
      </c>
      <c r="C4009" s="16" t="s">
        <v>12513</v>
      </c>
      <c r="D4009" s="16" t="n">
        <v>6</v>
      </c>
      <c r="E4009" s="35" t="s">
        <v>10051</v>
      </c>
      <c r="F4009" s="16" t="s">
        <v>1285</v>
      </c>
      <c r="G4009" s="16" t="s">
        <v>757</v>
      </c>
      <c r="H4009" s="16" t="s">
        <v>12499</v>
      </c>
      <c r="I4009" s="16" t="s">
        <v>127</v>
      </c>
      <c r="J4009" s="16" t="s">
        <v>1534</v>
      </c>
      <c r="K4009" s="32" t="n">
        <v>4</v>
      </c>
      <c r="L4009" s="33" t="n">
        <v>45971</v>
      </c>
      <c r="M4009" s="33" t="n">
        <v>45974</v>
      </c>
      <c r="N4009" s="16" t="s">
        <v>12514</v>
      </c>
      <c r="O4009" s="16"/>
      <c r="P4009" s="16" t="str">
        <f aca="false">IF(AND(L4009&lt;=$D$2,M4009&gt;=$C$2),"Sí","")</f>
        <v/>
      </c>
      <c r="Q4009" s="18" t="str">
        <f aca="false">IF(COUNTIF(LOOKAHEAD!$A$5:$A$604,A4009)&gt;0,"En Lookahead",IF(P4009="Sí","INCORPORAR",""))</f>
        <v/>
      </c>
    </row>
    <row r="4010" customFormat="false" ht="15" hidden="false" customHeight="false" outlineLevel="0" collapsed="false">
      <c r="A4010" s="16" t="s">
        <v>12515</v>
      </c>
      <c r="B4010" s="16" t="n">
        <v>4005</v>
      </c>
      <c r="C4010" s="16" t="s">
        <v>12516</v>
      </c>
      <c r="D4010" s="16" t="n">
        <v>6</v>
      </c>
      <c r="E4010" s="35" t="s">
        <v>10055</v>
      </c>
      <c r="F4010" s="16" t="s">
        <v>1285</v>
      </c>
      <c r="G4010" s="16" t="s">
        <v>757</v>
      </c>
      <c r="H4010" s="16" t="s">
        <v>12499</v>
      </c>
      <c r="I4010" s="16" t="s">
        <v>127</v>
      </c>
      <c r="J4010" s="16" t="s">
        <v>1534</v>
      </c>
      <c r="K4010" s="32" t="n">
        <v>3</v>
      </c>
      <c r="L4010" s="33" t="n">
        <v>45975</v>
      </c>
      <c r="M4010" s="33" t="n">
        <v>45977</v>
      </c>
      <c r="N4010" s="16" t="s">
        <v>12517</v>
      </c>
      <c r="O4010" s="16"/>
      <c r="P4010" s="16" t="str">
        <f aca="false">IF(AND(L4010&lt;=$D$2,M4010&gt;=$C$2),"Sí","")</f>
        <v/>
      </c>
      <c r="Q4010" s="18" t="str">
        <f aca="false">IF(COUNTIF(LOOKAHEAD!$A$5:$A$604,A4010)&gt;0,"En Lookahead",IF(P4010="Sí","INCORPORAR",""))</f>
        <v/>
      </c>
    </row>
    <row r="4011" customFormat="false" ht="15" hidden="false" customHeight="false" outlineLevel="0" collapsed="false">
      <c r="A4011" s="16" t="s">
        <v>12518</v>
      </c>
      <c r="B4011" s="16" t="n">
        <v>4006</v>
      </c>
      <c r="C4011" s="16" t="s">
        <v>12519</v>
      </c>
      <c r="D4011" s="16" t="n">
        <v>6</v>
      </c>
      <c r="E4011" s="35" t="s">
        <v>10059</v>
      </c>
      <c r="F4011" s="16" t="s">
        <v>1285</v>
      </c>
      <c r="G4011" s="16" t="s">
        <v>757</v>
      </c>
      <c r="H4011" s="16" t="s">
        <v>12499</v>
      </c>
      <c r="I4011" s="16" t="s">
        <v>127</v>
      </c>
      <c r="J4011" s="16" t="s">
        <v>1534</v>
      </c>
      <c r="K4011" s="32" t="n">
        <v>2</v>
      </c>
      <c r="L4011" s="33" t="n">
        <v>45978</v>
      </c>
      <c r="M4011" s="33" t="n">
        <v>45979</v>
      </c>
      <c r="N4011" s="16" t="s">
        <v>12520</v>
      </c>
      <c r="O4011" s="16"/>
      <c r="P4011" s="16" t="str">
        <f aca="false">IF(AND(L4011&lt;=$D$2,M4011&gt;=$C$2),"Sí","")</f>
        <v/>
      </c>
      <c r="Q4011" s="18" t="str">
        <f aca="false">IF(COUNTIF(LOOKAHEAD!$A$5:$A$604,A4011)&gt;0,"En Lookahead",IF(P4011="Sí","INCORPORAR",""))</f>
        <v/>
      </c>
    </row>
    <row r="4012" customFormat="false" ht="15" hidden="false" customHeight="false" outlineLevel="0" collapsed="false">
      <c r="A4012" s="16" t="s">
        <v>12521</v>
      </c>
      <c r="B4012" s="16" t="n">
        <v>4007</v>
      </c>
      <c r="C4012" s="16" t="s">
        <v>12522</v>
      </c>
      <c r="D4012" s="16" t="n">
        <v>6</v>
      </c>
      <c r="E4012" s="35" t="s">
        <v>10063</v>
      </c>
      <c r="F4012" s="16" t="s">
        <v>1285</v>
      </c>
      <c r="G4012" s="16" t="s">
        <v>757</v>
      </c>
      <c r="H4012" s="16" t="s">
        <v>12499</v>
      </c>
      <c r="I4012" s="16" t="s">
        <v>127</v>
      </c>
      <c r="J4012" s="16" t="s">
        <v>1534</v>
      </c>
      <c r="K4012" s="32" t="n">
        <v>1</v>
      </c>
      <c r="L4012" s="33" t="n">
        <v>45980</v>
      </c>
      <c r="M4012" s="33" t="n">
        <v>45980</v>
      </c>
      <c r="N4012" s="16" t="s">
        <v>12523</v>
      </c>
      <c r="O4012" s="16"/>
      <c r="P4012" s="16" t="str">
        <f aca="false">IF(AND(L4012&lt;=$D$2,M4012&gt;=$C$2),"Sí","")</f>
        <v/>
      </c>
      <c r="Q4012" s="18" t="str">
        <f aca="false">IF(COUNTIF(LOOKAHEAD!$A$5:$A$604,A4012)&gt;0,"En Lookahead",IF(P4012="Sí","INCORPORAR",""))</f>
        <v/>
      </c>
    </row>
    <row r="4013" customFormat="false" ht="15" hidden="false" customHeight="false" outlineLevel="0" collapsed="false">
      <c r="A4013" s="16" t="s">
        <v>12524</v>
      </c>
      <c r="B4013" s="16" t="n">
        <v>4008</v>
      </c>
      <c r="C4013" s="16" t="s">
        <v>12525</v>
      </c>
      <c r="D4013" s="16" t="n">
        <v>6</v>
      </c>
      <c r="E4013" s="35" t="s">
        <v>1557</v>
      </c>
      <c r="F4013" s="16" t="s">
        <v>1285</v>
      </c>
      <c r="G4013" s="16" t="s">
        <v>757</v>
      </c>
      <c r="H4013" s="16" t="s">
        <v>12499</v>
      </c>
      <c r="I4013" s="16" t="s">
        <v>127</v>
      </c>
      <c r="J4013" s="16" t="s">
        <v>1534</v>
      </c>
      <c r="K4013" s="32" t="n">
        <v>1</v>
      </c>
      <c r="L4013" s="33" t="n">
        <v>45981</v>
      </c>
      <c r="M4013" s="33" t="n">
        <v>45981</v>
      </c>
      <c r="N4013" s="16" t="s">
        <v>12526</v>
      </c>
      <c r="O4013" s="16"/>
      <c r="P4013" s="16" t="str">
        <f aca="false">IF(AND(L4013&lt;=$D$2,M4013&gt;=$C$2),"Sí","")</f>
        <v/>
      </c>
      <c r="Q4013" s="18" t="str">
        <f aca="false">IF(COUNTIF(LOOKAHEAD!$A$5:$A$604,A4013)&gt;0,"En Lookahead",IF(P4013="Sí","INCORPORAR",""))</f>
        <v/>
      </c>
    </row>
    <row r="4014" customFormat="false" ht="15" hidden="false" customHeight="false" outlineLevel="0" collapsed="false">
      <c r="A4014" s="16" t="s">
        <v>12527</v>
      </c>
      <c r="B4014" s="16" t="n">
        <v>4009</v>
      </c>
      <c r="C4014" s="16" t="s">
        <v>12528</v>
      </c>
      <c r="D4014" s="16" t="n">
        <v>6</v>
      </c>
      <c r="E4014" s="35" t="s">
        <v>10069</v>
      </c>
      <c r="F4014" s="16" t="s">
        <v>1285</v>
      </c>
      <c r="G4014" s="16" t="s">
        <v>757</v>
      </c>
      <c r="H4014" s="16" t="s">
        <v>12499</v>
      </c>
      <c r="I4014" s="16" t="s">
        <v>127</v>
      </c>
      <c r="J4014" s="16" t="s">
        <v>1534</v>
      </c>
      <c r="K4014" s="32" t="n">
        <v>1</v>
      </c>
      <c r="L4014" s="33" t="n">
        <v>45982</v>
      </c>
      <c r="M4014" s="33" t="n">
        <v>45982</v>
      </c>
      <c r="N4014" s="16" t="s">
        <v>12529</v>
      </c>
      <c r="O4014" s="16"/>
      <c r="P4014" s="16" t="str">
        <f aca="false">IF(AND(L4014&lt;=$D$2,M4014&gt;=$C$2),"Sí","")</f>
        <v/>
      </c>
      <c r="Q4014" s="18" t="str">
        <f aca="false">IF(COUNTIF(LOOKAHEAD!$A$5:$A$604,A4014)&gt;0,"En Lookahead",IF(P4014="Sí","INCORPORAR",""))</f>
        <v/>
      </c>
    </row>
    <row r="4015" customFormat="false" ht="15" hidden="false" customHeight="false" outlineLevel="0" collapsed="false">
      <c r="A4015" s="13" t="s">
        <v>12530</v>
      </c>
      <c r="B4015" s="13" t="n">
        <v>4010</v>
      </c>
      <c r="C4015" s="13" t="s">
        <v>12531</v>
      </c>
      <c r="D4015" s="13" t="n">
        <v>5</v>
      </c>
      <c r="E4015" s="34" t="s">
        <v>9950</v>
      </c>
      <c r="F4015" s="13" t="s">
        <v>1298</v>
      </c>
      <c r="G4015" s="13" t="s">
        <v>757</v>
      </c>
      <c r="H4015" s="13" t="s">
        <v>12499</v>
      </c>
      <c r="I4015" s="13" t="s">
        <v>127</v>
      </c>
      <c r="J4015" s="13" t="s">
        <v>12499</v>
      </c>
      <c r="K4015" s="30" t="n">
        <v>1</v>
      </c>
      <c r="L4015" s="31" t="n">
        <v>45983</v>
      </c>
      <c r="M4015" s="31" t="n">
        <v>45983</v>
      </c>
      <c r="N4015" s="13"/>
      <c r="O4015" s="13"/>
      <c r="P4015" s="13"/>
      <c r="Q4015" s="13"/>
    </row>
    <row r="4016" customFormat="false" ht="15" hidden="false" customHeight="false" outlineLevel="0" collapsed="false">
      <c r="A4016" s="13" t="s">
        <v>12532</v>
      </c>
      <c r="B4016" s="13" t="n">
        <v>4011</v>
      </c>
      <c r="C4016" s="13" t="s">
        <v>12533</v>
      </c>
      <c r="D4016" s="13" t="n">
        <v>6</v>
      </c>
      <c r="E4016" s="36" t="s">
        <v>9953</v>
      </c>
      <c r="F4016" s="13" t="s">
        <v>1298</v>
      </c>
      <c r="G4016" s="13" t="s">
        <v>757</v>
      </c>
      <c r="H4016" s="13" t="s">
        <v>12499</v>
      </c>
      <c r="I4016" s="13" t="s">
        <v>127</v>
      </c>
      <c r="J4016" s="13" t="s">
        <v>9950</v>
      </c>
      <c r="K4016" s="30" t="n">
        <v>1</v>
      </c>
      <c r="L4016" s="31" t="n">
        <v>45983</v>
      </c>
      <c r="M4016" s="31" t="n">
        <v>45983</v>
      </c>
      <c r="N4016" s="13"/>
      <c r="O4016" s="13"/>
      <c r="P4016" s="13"/>
      <c r="Q4016" s="13"/>
    </row>
    <row r="4017" customFormat="false" ht="15" hidden="false" customHeight="false" outlineLevel="0" collapsed="false">
      <c r="A4017" s="16" t="s">
        <v>12534</v>
      </c>
      <c r="B4017" s="16" t="n">
        <v>4012</v>
      </c>
      <c r="C4017" s="16" t="s">
        <v>12535</v>
      </c>
      <c r="D4017" s="16" t="n">
        <v>7</v>
      </c>
      <c r="E4017" s="37" t="s">
        <v>12536</v>
      </c>
      <c r="F4017" s="16" t="s">
        <v>1285</v>
      </c>
      <c r="G4017" s="16" t="s">
        <v>757</v>
      </c>
      <c r="H4017" s="16" t="s">
        <v>12499</v>
      </c>
      <c r="I4017" s="16" t="s">
        <v>127</v>
      </c>
      <c r="J4017" s="16" t="s">
        <v>9953</v>
      </c>
      <c r="K4017" s="32" t="n">
        <v>1</v>
      </c>
      <c r="L4017" s="33" t="n">
        <v>45983</v>
      </c>
      <c r="M4017" s="33" t="n">
        <v>45983</v>
      </c>
      <c r="N4017" s="16" t="s">
        <v>12537</v>
      </c>
      <c r="O4017" s="16"/>
      <c r="P4017" s="16" t="str">
        <f aca="false">IF(AND(L4017&lt;=$D$2,M4017&gt;=$C$2),"Sí","")</f>
        <v/>
      </c>
      <c r="Q4017" s="18" t="str">
        <f aca="false">IF(COUNTIF(LOOKAHEAD!$A$5:$A$604,A4017)&gt;0,"En Lookahead",IF(P4017="Sí","INCORPORAR",""))</f>
        <v/>
      </c>
    </row>
    <row r="4018" customFormat="false" ht="15" hidden="false" customHeight="false" outlineLevel="0" collapsed="false">
      <c r="A4018" s="13" t="s">
        <v>12538</v>
      </c>
      <c r="B4018" s="13" t="n">
        <v>4013</v>
      </c>
      <c r="C4018" s="13" t="s">
        <v>12539</v>
      </c>
      <c r="D4018" s="13" t="n">
        <v>5</v>
      </c>
      <c r="E4018" s="34" t="s">
        <v>9975</v>
      </c>
      <c r="F4018" s="13" t="s">
        <v>1298</v>
      </c>
      <c r="G4018" s="13" t="s">
        <v>757</v>
      </c>
      <c r="H4018" s="13" t="s">
        <v>12499</v>
      </c>
      <c r="I4018" s="13" t="s">
        <v>127</v>
      </c>
      <c r="J4018" s="13" t="s">
        <v>12499</v>
      </c>
      <c r="K4018" s="30" t="n">
        <v>60</v>
      </c>
      <c r="L4018" s="31" t="n">
        <v>45975</v>
      </c>
      <c r="M4018" s="31" t="n">
        <v>46034</v>
      </c>
      <c r="N4018" s="13"/>
      <c r="O4018" s="13"/>
      <c r="P4018" s="13"/>
      <c r="Q4018" s="13"/>
    </row>
    <row r="4019" customFormat="false" ht="15" hidden="false" customHeight="false" outlineLevel="0" collapsed="false">
      <c r="A4019" s="13" t="s">
        <v>12540</v>
      </c>
      <c r="B4019" s="13" t="n">
        <v>4014</v>
      </c>
      <c r="C4019" s="13" t="s">
        <v>12541</v>
      </c>
      <c r="D4019" s="13" t="n">
        <v>6</v>
      </c>
      <c r="E4019" s="36" t="s">
        <v>12542</v>
      </c>
      <c r="F4019" s="13" t="s">
        <v>1298</v>
      </c>
      <c r="G4019" s="13" t="s">
        <v>757</v>
      </c>
      <c r="H4019" s="13" t="s">
        <v>12499</v>
      </c>
      <c r="I4019" s="13" t="s">
        <v>127</v>
      </c>
      <c r="J4019" s="13" t="s">
        <v>9975</v>
      </c>
      <c r="K4019" s="30" t="n">
        <v>7</v>
      </c>
      <c r="L4019" s="31" t="n">
        <v>45975</v>
      </c>
      <c r="M4019" s="31" t="n">
        <v>45981</v>
      </c>
      <c r="N4019" s="13"/>
      <c r="O4019" s="13"/>
      <c r="P4019" s="13"/>
      <c r="Q4019" s="13"/>
    </row>
    <row r="4020" customFormat="false" ht="15" hidden="false" customHeight="false" outlineLevel="0" collapsed="false">
      <c r="A4020" s="16" t="s">
        <v>12543</v>
      </c>
      <c r="B4020" s="16" t="n">
        <v>4015</v>
      </c>
      <c r="C4020" s="16" t="s">
        <v>12544</v>
      </c>
      <c r="D4020" s="16" t="n">
        <v>7</v>
      </c>
      <c r="E4020" s="37" t="s">
        <v>11561</v>
      </c>
      <c r="F4020" s="16" t="s">
        <v>1285</v>
      </c>
      <c r="G4020" s="16" t="s">
        <v>757</v>
      </c>
      <c r="H4020" s="16" t="s">
        <v>12499</v>
      </c>
      <c r="I4020" s="16" t="s">
        <v>127</v>
      </c>
      <c r="J4020" s="16" t="s">
        <v>12542</v>
      </c>
      <c r="K4020" s="32" t="n">
        <v>7</v>
      </c>
      <c r="L4020" s="33" t="n">
        <v>45975</v>
      </c>
      <c r="M4020" s="33" t="n">
        <v>45981</v>
      </c>
      <c r="N4020" s="16" t="s">
        <v>12517</v>
      </c>
      <c r="O4020" s="16"/>
      <c r="P4020" s="16" t="str">
        <f aca="false">IF(AND(L4020&lt;=$D$2,M4020&gt;=$C$2),"Sí","")</f>
        <v/>
      </c>
      <c r="Q4020" s="18" t="str">
        <f aca="false">IF(COUNTIF(LOOKAHEAD!$A$5:$A$604,A4020)&gt;0,"En Lookahead",IF(P4020="Sí","INCORPORAR",""))</f>
        <v/>
      </c>
    </row>
    <row r="4021" customFormat="false" ht="15" hidden="false" customHeight="false" outlineLevel="0" collapsed="false">
      <c r="A4021" s="13" t="s">
        <v>12545</v>
      </c>
      <c r="B4021" s="13" t="n">
        <v>4016</v>
      </c>
      <c r="C4021" s="13" t="s">
        <v>12546</v>
      </c>
      <c r="D4021" s="13" t="n">
        <v>6</v>
      </c>
      <c r="E4021" s="36" t="s">
        <v>9984</v>
      </c>
      <c r="F4021" s="13" t="s">
        <v>1298</v>
      </c>
      <c r="G4021" s="13" t="s">
        <v>757</v>
      </c>
      <c r="H4021" s="13" t="s">
        <v>12499</v>
      </c>
      <c r="I4021" s="13" t="s">
        <v>127</v>
      </c>
      <c r="J4021" s="13" t="s">
        <v>9975</v>
      </c>
      <c r="K4021" s="30" t="n">
        <v>48</v>
      </c>
      <c r="L4021" s="31" t="n">
        <v>45982</v>
      </c>
      <c r="M4021" s="31" t="n">
        <v>46029</v>
      </c>
      <c r="N4021" s="13"/>
      <c r="O4021" s="13"/>
      <c r="P4021" s="13"/>
      <c r="Q4021" s="13"/>
    </row>
    <row r="4022" customFormat="false" ht="15" hidden="false" customHeight="false" outlineLevel="0" collapsed="false">
      <c r="A4022" s="16" t="s">
        <v>12547</v>
      </c>
      <c r="B4022" s="16" t="n">
        <v>4017</v>
      </c>
      <c r="C4022" s="16" t="s">
        <v>12548</v>
      </c>
      <c r="D4022" s="16" t="n">
        <v>7</v>
      </c>
      <c r="E4022" s="37" t="s">
        <v>10377</v>
      </c>
      <c r="F4022" s="16" t="s">
        <v>1285</v>
      </c>
      <c r="G4022" s="16" t="s">
        <v>757</v>
      </c>
      <c r="H4022" s="16" t="s">
        <v>12499</v>
      </c>
      <c r="I4022" s="16" t="s">
        <v>127</v>
      </c>
      <c r="J4022" s="16" t="s">
        <v>9984</v>
      </c>
      <c r="K4022" s="32" t="n">
        <v>1</v>
      </c>
      <c r="L4022" s="33" t="n">
        <v>45982</v>
      </c>
      <c r="M4022" s="33" t="n">
        <v>45982</v>
      </c>
      <c r="N4022" s="16" t="s">
        <v>12549</v>
      </c>
      <c r="O4022" s="16"/>
      <c r="P4022" s="16" t="str">
        <f aca="false">IF(AND(L4022&lt;=$D$2,M4022&gt;=$C$2),"Sí","")</f>
        <v/>
      </c>
      <c r="Q4022" s="18" t="str">
        <f aca="false">IF(COUNTIF(LOOKAHEAD!$A$5:$A$604,A4022)&gt;0,"En Lookahead",IF(P4022="Sí","INCORPORAR",""))</f>
        <v/>
      </c>
    </row>
    <row r="4023" customFormat="false" ht="15" hidden="false" customHeight="false" outlineLevel="0" collapsed="false">
      <c r="A4023" s="16" t="s">
        <v>12550</v>
      </c>
      <c r="B4023" s="16" t="n">
        <v>4018</v>
      </c>
      <c r="C4023" s="16" t="s">
        <v>12551</v>
      </c>
      <c r="D4023" s="16" t="n">
        <v>7</v>
      </c>
      <c r="E4023" s="37" t="s">
        <v>11561</v>
      </c>
      <c r="F4023" s="16" t="s">
        <v>1285</v>
      </c>
      <c r="G4023" s="16" t="s">
        <v>757</v>
      </c>
      <c r="H4023" s="16" t="s">
        <v>12499</v>
      </c>
      <c r="I4023" s="16" t="s">
        <v>127</v>
      </c>
      <c r="J4023" s="16" t="s">
        <v>9984</v>
      </c>
      <c r="K4023" s="32" t="n">
        <v>2</v>
      </c>
      <c r="L4023" s="33" t="n">
        <v>45983</v>
      </c>
      <c r="M4023" s="33" t="n">
        <v>45984</v>
      </c>
      <c r="N4023" s="16" t="s">
        <v>12552</v>
      </c>
      <c r="O4023" s="16"/>
      <c r="P4023" s="16" t="str">
        <f aca="false">IF(AND(L4023&lt;=$D$2,M4023&gt;=$C$2),"Sí","")</f>
        <v/>
      </c>
      <c r="Q4023" s="18" t="str">
        <f aca="false">IF(COUNTIF(LOOKAHEAD!$A$5:$A$604,A4023)&gt;0,"En Lookahead",IF(P4023="Sí","INCORPORAR",""))</f>
        <v/>
      </c>
    </row>
    <row r="4024" customFormat="false" ht="15" hidden="false" customHeight="false" outlineLevel="0" collapsed="false">
      <c r="A4024" s="16" t="s">
        <v>12553</v>
      </c>
      <c r="B4024" s="16" t="n">
        <v>4019</v>
      </c>
      <c r="C4024" s="16" t="s">
        <v>12554</v>
      </c>
      <c r="D4024" s="16" t="n">
        <v>7</v>
      </c>
      <c r="E4024" s="37" t="s">
        <v>10380</v>
      </c>
      <c r="F4024" s="16" t="s">
        <v>1285</v>
      </c>
      <c r="G4024" s="16" t="s">
        <v>757</v>
      </c>
      <c r="H4024" s="16" t="s">
        <v>12499</v>
      </c>
      <c r="I4024" s="16" t="s">
        <v>127</v>
      </c>
      <c r="J4024" s="16" t="s">
        <v>9984</v>
      </c>
      <c r="K4024" s="32" t="n">
        <v>2</v>
      </c>
      <c r="L4024" s="33" t="n">
        <v>45985</v>
      </c>
      <c r="M4024" s="33" t="n">
        <v>45986</v>
      </c>
      <c r="N4024" s="16" t="s">
        <v>12555</v>
      </c>
      <c r="O4024" s="16"/>
      <c r="P4024" s="16" t="str">
        <f aca="false">IF(AND(L4024&lt;=$D$2,M4024&gt;=$C$2),"Sí","")</f>
        <v/>
      </c>
      <c r="Q4024" s="18" t="str">
        <f aca="false">IF(COUNTIF(LOOKAHEAD!$A$5:$A$604,A4024)&gt;0,"En Lookahead",IF(P4024="Sí","INCORPORAR",""))</f>
        <v/>
      </c>
    </row>
    <row r="4025" customFormat="false" ht="15" hidden="false" customHeight="false" outlineLevel="0" collapsed="false">
      <c r="A4025" s="16" t="s">
        <v>12556</v>
      </c>
      <c r="B4025" s="16" t="n">
        <v>4020</v>
      </c>
      <c r="C4025" s="16" t="s">
        <v>12557</v>
      </c>
      <c r="D4025" s="16" t="n">
        <v>7</v>
      </c>
      <c r="E4025" s="37" t="s">
        <v>9987</v>
      </c>
      <c r="F4025" s="16" t="s">
        <v>1285</v>
      </c>
      <c r="G4025" s="16" t="s">
        <v>757</v>
      </c>
      <c r="H4025" s="16" t="s">
        <v>12499</v>
      </c>
      <c r="I4025" s="16" t="s">
        <v>127</v>
      </c>
      <c r="J4025" s="16" t="s">
        <v>9984</v>
      </c>
      <c r="K4025" s="32" t="n">
        <v>2</v>
      </c>
      <c r="L4025" s="33" t="n">
        <v>45987</v>
      </c>
      <c r="M4025" s="33" t="n">
        <v>45988</v>
      </c>
      <c r="N4025" s="16" t="s">
        <v>12558</v>
      </c>
      <c r="O4025" s="16"/>
      <c r="P4025" s="16" t="str">
        <f aca="false">IF(AND(L4025&lt;=$D$2,M4025&gt;=$C$2),"Sí","")</f>
        <v/>
      </c>
      <c r="Q4025" s="18" t="str">
        <f aca="false">IF(COUNTIF(LOOKAHEAD!$A$5:$A$604,A4025)&gt;0,"En Lookahead",IF(P4025="Sí","INCORPORAR",""))</f>
        <v/>
      </c>
    </row>
    <row r="4026" customFormat="false" ht="15" hidden="false" customHeight="false" outlineLevel="0" collapsed="false">
      <c r="A4026" s="16" t="s">
        <v>12559</v>
      </c>
      <c r="B4026" s="16" t="n">
        <v>4021</v>
      </c>
      <c r="C4026" s="16" t="s">
        <v>12560</v>
      </c>
      <c r="D4026" s="16" t="n">
        <v>7</v>
      </c>
      <c r="E4026" s="37" t="s">
        <v>9991</v>
      </c>
      <c r="F4026" s="16" t="s">
        <v>1285</v>
      </c>
      <c r="G4026" s="16" t="s">
        <v>757</v>
      </c>
      <c r="H4026" s="16" t="s">
        <v>12499</v>
      </c>
      <c r="I4026" s="16" t="s">
        <v>127</v>
      </c>
      <c r="J4026" s="16" t="s">
        <v>9984</v>
      </c>
      <c r="K4026" s="32" t="n">
        <v>1</v>
      </c>
      <c r="L4026" s="33" t="n">
        <v>45989</v>
      </c>
      <c r="M4026" s="33" t="n">
        <v>45989</v>
      </c>
      <c r="N4026" s="16" t="s">
        <v>12561</v>
      </c>
      <c r="O4026" s="16"/>
      <c r="P4026" s="16" t="str">
        <f aca="false">IF(AND(L4026&lt;=$D$2,M4026&gt;=$C$2),"Sí","")</f>
        <v/>
      </c>
      <c r="Q4026" s="18" t="str">
        <f aca="false">IF(COUNTIF(LOOKAHEAD!$A$5:$A$604,A4026)&gt;0,"En Lookahead",IF(P4026="Sí","INCORPORAR",""))</f>
        <v/>
      </c>
    </row>
    <row r="4027" customFormat="false" ht="15" hidden="false" customHeight="false" outlineLevel="0" collapsed="false">
      <c r="A4027" s="16" t="s">
        <v>12562</v>
      </c>
      <c r="B4027" s="16" t="n">
        <v>4022</v>
      </c>
      <c r="C4027" s="16" t="s">
        <v>12563</v>
      </c>
      <c r="D4027" s="16" t="n">
        <v>7</v>
      </c>
      <c r="E4027" s="37" t="s">
        <v>12564</v>
      </c>
      <c r="F4027" s="16" t="s">
        <v>1285</v>
      </c>
      <c r="G4027" s="16" t="s">
        <v>757</v>
      </c>
      <c r="H4027" s="16" t="s">
        <v>12499</v>
      </c>
      <c r="I4027" s="16" t="s">
        <v>127</v>
      </c>
      <c r="J4027" s="16" t="s">
        <v>9984</v>
      </c>
      <c r="K4027" s="32" t="n">
        <v>1</v>
      </c>
      <c r="L4027" s="33" t="n">
        <v>45990</v>
      </c>
      <c r="M4027" s="33" t="n">
        <v>45990</v>
      </c>
      <c r="N4027" s="16" t="s">
        <v>12565</v>
      </c>
      <c r="O4027" s="16"/>
      <c r="P4027" s="16" t="str">
        <f aca="false">IF(AND(L4027&lt;=$D$2,M4027&gt;=$C$2),"Sí","")</f>
        <v/>
      </c>
      <c r="Q4027" s="18" t="str">
        <f aca="false">IF(COUNTIF(LOOKAHEAD!$A$5:$A$604,A4027)&gt;0,"En Lookahead",IF(P4027="Sí","INCORPORAR",""))</f>
        <v/>
      </c>
    </row>
    <row r="4028" customFormat="false" ht="15" hidden="false" customHeight="false" outlineLevel="0" collapsed="false">
      <c r="A4028" s="16" t="s">
        <v>12566</v>
      </c>
      <c r="B4028" s="16" t="n">
        <v>4023</v>
      </c>
      <c r="C4028" s="16" t="s">
        <v>12567</v>
      </c>
      <c r="D4028" s="16" t="n">
        <v>7</v>
      </c>
      <c r="E4028" s="37" t="s">
        <v>12568</v>
      </c>
      <c r="F4028" s="16" t="s">
        <v>1285</v>
      </c>
      <c r="G4028" s="16" t="s">
        <v>757</v>
      </c>
      <c r="H4028" s="16" t="s">
        <v>12499</v>
      </c>
      <c r="I4028" s="16" t="s">
        <v>127</v>
      </c>
      <c r="J4028" s="16" t="s">
        <v>9984</v>
      </c>
      <c r="K4028" s="32" t="n">
        <v>2</v>
      </c>
      <c r="L4028" s="33" t="n">
        <v>45991</v>
      </c>
      <c r="M4028" s="33" t="n">
        <v>45992</v>
      </c>
      <c r="N4028" s="16" t="s">
        <v>12569</v>
      </c>
      <c r="O4028" s="16"/>
      <c r="P4028" s="16" t="str">
        <f aca="false">IF(AND(L4028&lt;=$D$2,M4028&gt;=$C$2),"Sí","")</f>
        <v/>
      </c>
      <c r="Q4028" s="18" t="str">
        <f aca="false">IF(COUNTIF(LOOKAHEAD!$A$5:$A$604,A4028)&gt;0,"En Lookahead",IF(P4028="Sí","INCORPORAR",""))</f>
        <v/>
      </c>
    </row>
    <row r="4029" customFormat="false" ht="15" hidden="false" customHeight="false" outlineLevel="0" collapsed="false">
      <c r="A4029" s="16" t="s">
        <v>12570</v>
      </c>
      <c r="B4029" s="16" t="n">
        <v>4024</v>
      </c>
      <c r="C4029" s="16" t="s">
        <v>12571</v>
      </c>
      <c r="D4029" s="16" t="n">
        <v>7</v>
      </c>
      <c r="E4029" s="37" t="s">
        <v>12572</v>
      </c>
      <c r="F4029" s="16" t="s">
        <v>1285</v>
      </c>
      <c r="G4029" s="16" t="s">
        <v>757</v>
      </c>
      <c r="H4029" s="16" t="s">
        <v>12499</v>
      </c>
      <c r="I4029" s="16" t="s">
        <v>127</v>
      </c>
      <c r="J4029" s="16" t="s">
        <v>9984</v>
      </c>
      <c r="K4029" s="32" t="n">
        <v>2</v>
      </c>
      <c r="L4029" s="33" t="n">
        <v>45993</v>
      </c>
      <c r="M4029" s="33" t="n">
        <v>45994</v>
      </c>
      <c r="N4029" s="16" t="s">
        <v>12573</v>
      </c>
      <c r="O4029" s="16"/>
      <c r="P4029" s="16" t="str">
        <f aca="false">IF(AND(L4029&lt;=$D$2,M4029&gt;=$C$2),"Sí","")</f>
        <v/>
      </c>
      <c r="Q4029" s="18" t="str">
        <f aca="false">IF(COUNTIF(LOOKAHEAD!$A$5:$A$604,A4029)&gt;0,"En Lookahead",IF(P4029="Sí","INCORPORAR",""))</f>
        <v/>
      </c>
    </row>
    <row r="4030" customFormat="false" ht="15" hidden="false" customHeight="false" outlineLevel="0" collapsed="false">
      <c r="A4030" s="16" t="s">
        <v>12574</v>
      </c>
      <c r="B4030" s="16" t="n">
        <v>4025</v>
      </c>
      <c r="C4030" s="16" t="s">
        <v>12575</v>
      </c>
      <c r="D4030" s="16" t="n">
        <v>7</v>
      </c>
      <c r="E4030" s="37" t="s">
        <v>12576</v>
      </c>
      <c r="F4030" s="16" t="s">
        <v>1285</v>
      </c>
      <c r="G4030" s="16" t="s">
        <v>757</v>
      </c>
      <c r="H4030" s="16" t="s">
        <v>12499</v>
      </c>
      <c r="I4030" s="16" t="s">
        <v>127</v>
      </c>
      <c r="J4030" s="16" t="s">
        <v>9984</v>
      </c>
      <c r="K4030" s="32" t="n">
        <v>1</v>
      </c>
      <c r="L4030" s="33" t="n">
        <v>45995</v>
      </c>
      <c r="M4030" s="33" t="n">
        <v>45995</v>
      </c>
      <c r="N4030" s="16" t="s">
        <v>12577</v>
      </c>
      <c r="O4030" s="16"/>
      <c r="P4030" s="16" t="str">
        <f aca="false">IF(AND(L4030&lt;=$D$2,M4030&gt;=$C$2),"Sí","")</f>
        <v/>
      </c>
      <c r="Q4030" s="18" t="str">
        <f aca="false">IF(COUNTIF(LOOKAHEAD!$A$5:$A$604,A4030)&gt;0,"En Lookahead",IF(P4030="Sí","INCORPORAR",""))</f>
        <v/>
      </c>
    </row>
    <row r="4031" customFormat="false" ht="15" hidden="false" customHeight="false" outlineLevel="0" collapsed="false">
      <c r="A4031" s="16" t="s">
        <v>12578</v>
      </c>
      <c r="B4031" s="16" t="n">
        <v>4026</v>
      </c>
      <c r="C4031" s="16" t="s">
        <v>12579</v>
      </c>
      <c r="D4031" s="16" t="n">
        <v>7</v>
      </c>
      <c r="E4031" s="37" t="s">
        <v>12580</v>
      </c>
      <c r="F4031" s="16" t="s">
        <v>1285</v>
      </c>
      <c r="G4031" s="16" t="s">
        <v>757</v>
      </c>
      <c r="H4031" s="16" t="s">
        <v>12499</v>
      </c>
      <c r="I4031" s="16" t="s">
        <v>127</v>
      </c>
      <c r="J4031" s="16" t="s">
        <v>9984</v>
      </c>
      <c r="K4031" s="32" t="n">
        <v>1</v>
      </c>
      <c r="L4031" s="33" t="n">
        <v>45996</v>
      </c>
      <c r="M4031" s="33" t="n">
        <v>45996</v>
      </c>
      <c r="N4031" s="16" t="s">
        <v>12581</v>
      </c>
      <c r="O4031" s="16"/>
      <c r="P4031" s="16" t="str">
        <f aca="false">IF(AND(L4031&lt;=$D$2,M4031&gt;=$C$2),"Sí","")</f>
        <v/>
      </c>
      <c r="Q4031" s="18" t="str">
        <f aca="false">IF(COUNTIF(LOOKAHEAD!$A$5:$A$604,A4031)&gt;0,"En Lookahead",IF(P4031="Sí","INCORPORAR",""))</f>
        <v/>
      </c>
    </row>
    <row r="4032" customFormat="false" ht="15" hidden="false" customHeight="false" outlineLevel="0" collapsed="false">
      <c r="A4032" s="16" t="s">
        <v>12582</v>
      </c>
      <c r="B4032" s="16" t="n">
        <v>4027</v>
      </c>
      <c r="C4032" s="16" t="s">
        <v>12583</v>
      </c>
      <c r="D4032" s="16" t="n">
        <v>7</v>
      </c>
      <c r="E4032" s="37" t="s">
        <v>12584</v>
      </c>
      <c r="F4032" s="16" t="s">
        <v>1285</v>
      </c>
      <c r="G4032" s="16" t="s">
        <v>757</v>
      </c>
      <c r="H4032" s="16" t="s">
        <v>12499</v>
      </c>
      <c r="I4032" s="16" t="s">
        <v>127</v>
      </c>
      <c r="J4032" s="16" t="s">
        <v>9984</v>
      </c>
      <c r="K4032" s="32" t="n">
        <v>1</v>
      </c>
      <c r="L4032" s="33" t="n">
        <v>45997</v>
      </c>
      <c r="M4032" s="33" t="n">
        <v>45997</v>
      </c>
      <c r="N4032" s="16" t="s">
        <v>12585</v>
      </c>
      <c r="O4032" s="16"/>
      <c r="P4032" s="16" t="str">
        <f aca="false">IF(AND(L4032&lt;=$D$2,M4032&gt;=$C$2),"Sí","")</f>
        <v/>
      </c>
      <c r="Q4032" s="18" t="str">
        <f aca="false">IF(COUNTIF(LOOKAHEAD!$A$5:$A$604,A4032)&gt;0,"En Lookahead",IF(P4032="Sí","INCORPORAR",""))</f>
        <v/>
      </c>
    </row>
    <row r="4033" customFormat="false" ht="15" hidden="false" customHeight="false" outlineLevel="0" collapsed="false">
      <c r="A4033" s="16" t="s">
        <v>12586</v>
      </c>
      <c r="B4033" s="16" t="n">
        <v>4028</v>
      </c>
      <c r="C4033" s="16" t="s">
        <v>12587</v>
      </c>
      <c r="D4033" s="16" t="n">
        <v>7</v>
      </c>
      <c r="E4033" s="37" t="s">
        <v>12588</v>
      </c>
      <c r="F4033" s="16" t="s">
        <v>1285</v>
      </c>
      <c r="G4033" s="16" t="s">
        <v>757</v>
      </c>
      <c r="H4033" s="16" t="s">
        <v>12499</v>
      </c>
      <c r="I4033" s="16" t="s">
        <v>127</v>
      </c>
      <c r="J4033" s="16" t="s">
        <v>9984</v>
      </c>
      <c r="K4033" s="32" t="n">
        <v>2</v>
      </c>
      <c r="L4033" s="33" t="n">
        <v>46028</v>
      </c>
      <c r="M4033" s="33" t="n">
        <v>46029</v>
      </c>
      <c r="N4033" s="16" t="s">
        <v>12589</v>
      </c>
      <c r="O4033" s="16"/>
      <c r="P4033" s="16" t="str">
        <f aca="false">IF(AND(L4033&lt;=$D$2,M4033&gt;=$C$2),"Sí","")</f>
        <v/>
      </c>
      <c r="Q4033" s="18" t="str">
        <f aca="false">IF(COUNTIF(LOOKAHEAD!$A$5:$A$604,A4033)&gt;0,"En Lookahead",IF(P4033="Sí","INCORPORAR",""))</f>
        <v/>
      </c>
    </row>
    <row r="4034" customFormat="false" ht="15" hidden="false" customHeight="false" outlineLevel="0" collapsed="false">
      <c r="A4034" s="13" t="s">
        <v>12590</v>
      </c>
      <c r="B4034" s="13" t="n">
        <v>4029</v>
      </c>
      <c r="C4034" s="13" t="s">
        <v>12591</v>
      </c>
      <c r="D4034" s="13" t="n">
        <v>6</v>
      </c>
      <c r="E4034" s="36" t="s">
        <v>9999</v>
      </c>
      <c r="F4034" s="13" t="s">
        <v>1298</v>
      </c>
      <c r="G4034" s="13" t="s">
        <v>757</v>
      </c>
      <c r="H4034" s="13" t="s">
        <v>12499</v>
      </c>
      <c r="I4034" s="13" t="s">
        <v>127</v>
      </c>
      <c r="J4034" s="13" t="s">
        <v>9975</v>
      </c>
      <c r="K4034" s="30" t="n">
        <v>25</v>
      </c>
      <c r="L4034" s="31" t="n">
        <v>45998</v>
      </c>
      <c r="M4034" s="31" t="n">
        <v>46022</v>
      </c>
      <c r="N4034" s="13"/>
      <c r="O4034" s="13"/>
      <c r="P4034" s="13"/>
      <c r="Q4034" s="13"/>
    </row>
    <row r="4035" customFormat="false" ht="15" hidden="false" customHeight="false" outlineLevel="0" collapsed="false">
      <c r="A4035" s="16" t="s">
        <v>12592</v>
      </c>
      <c r="B4035" s="16" t="n">
        <v>4030</v>
      </c>
      <c r="C4035" s="16" t="s">
        <v>12593</v>
      </c>
      <c r="D4035" s="16" t="n">
        <v>7</v>
      </c>
      <c r="E4035" s="37" t="s">
        <v>11579</v>
      </c>
      <c r="F4035" s="16" t="s">
        <v>1285</v>
      </c>
      <c r="G4035" s="16" t="s">
        <v>757</v>
      </c>
      <c r="H4035" s="16" t="s">
        <v>12499</v>
      </c>
      <c r="I4035" s="16" t="s">
        <v>127</v>
      </c>
      <c r="J4035" s="16" t="s">
        <v>9999</v>
      </c>
      <c r="K4035" s="32" t="n">
        <v>1</v>
      </c>
      <c r="L4035" s="33" t="n">
        <v>45998</v>
      </c>
      <c r="M4035" s="33" t="n">
        <v>45998</v>
      </c>
      <c r="N4035" s="16" t="s">
        <v>12594</v>
      </c>
      <c r="O4035" s="16"/>
      <c r="P4035" s="16" t="str">
        <f aca="false">IF(AND(L4035&lt;=$D$2,M4035&gt;=$C$2),"Sí","")</f>
        <v/>
      </c>
      <c r="Q4035" s="18" t="str">
        <f aca="false">IF(COUNTIF(LOOKAHEAD!$A$5:$A$604,A4035)&gt;0,"En Lookahead",IF(P4035="Sí","INCORPORAR",""))</f>
        <v/>
      </c>
    </row>
    <row r="4036" customFormat="false" ht="15" hidden="false" customHeight="false" outlineLevel="0" collapsed="false">
      <c r="A4036" s="16" t="s">
        <v>12595</v>
      </c>
      <c r="B4036" s="16" t="n">
        <v>4031</v>
      </c>
      <c r="C4036" s="16" t="s">
        <v>12596</v>
      </c>
      <c r="D4036" s="16" t="n">
        <v>7</v>
      </c>
      <c r="E4036" s="37" t="s">
        <v>10399</v>
      </c>
      <c r="F4036" s="16" t="s">
        <v>1285</v>
      </c>
      <c r="G4036" s="16" t="s">
        <v>757</v>
      </c>
      <c r="H4036" s="16" t="s">
        <v>12499</v>
      </c>
      <c r="I4036" s="16" t="s">
        <v>127</v>
      </c>
      <c r="J4036" s="16" t="s">
        <v>9999</v>
      </c>
      <c r="K4036" s="32" t="n">
        <v>1</v>
      </c>
      <c r="L4036" s="33" t="n">
        <v>45999</v>
      </c>
      <c r="M4036" s="33" t="n">
        <v>45999</v>
      </c>
      <c r="N4036" s="16" t="s">
        <v>12597</v>
      </c>
      <c r="O4036" s="16"/>
      <c r="P4036" s="16" t="str">
        <f aca="false">IF(AND(L4036&lt;=$D$2,M4036&gt;=$C$2),"Sí","")</f>
        <v/>
      </c>
      <c r="Q4036" s="18" t="str">
        <f aca="false">IF(COUNTIF(LOOKAHEAD!$A$5:$A$604,A4036)&gt;0,"En Lookahead",IF(P4036="Sí","INCORPORAR",""))</f>
        <v/>
      </c>
    </row>
    <row r="4037" customFormat="false" ht="15" hidden="false" customHeight="false" outlineLevel="0" collapsed="false">
      <c r="A4037" s="16" t="s">
        <v>12598</v>
      </c>
      <c r="B4037" s="16" t="n">
        <v>4032</v>
      </c>
      <c r="C4037" s="16" t="s">
        <v>12599</v>
      </c>
      <c r="D4037" s="16" t="n">
        <v>7</v>
      </c>
      <c r="E4037" s="37" t="s">
        <v>10002</v>
      </c>
      <c r="F4037" s="16" t="s">
        <v>1285</v>
      </c>
      <c r="G4037" s="16" t="s">
        <v>757</v>
      </c>
      <c r="H4037" s="16" t="s">
        <v>12499</v>
      </c>
      <c r="I4037" s="16" t="s">
        <v>127</v>
      </c>
      <c r="J4037" s="16" t="s">
        <v>9999</v>
      </c>
      <c r="K4037" s="32" t="n">
        <v>1</v>
      </c>
      <c r="L4037" s="33" t="n">
        <v>46000</v>
      </c>
      <c r="M4037" s="33" t="n">
        <v>46000</v>
      </c>
      <c r="N4037" s="16" t="s">
        <v>12600</v>
      </c>
      <c r="O4037" s="16"/>
      <c r="P4037" s="16" t="str">
        <f aca="false">IF(AND(L4037&lt;=$D$2,M4037&gt;=$C$2),"Sí","")</f>
        <v/>
      </c>
      <c r="Q4037" s="18" t="str">
        <f aca="false">IF(COUNTIF(LOOKAHEAD!$A$5:$A$604,A4037)&gt;0,"En Lookahead",IF(P4037="Sí","INCORPORAR",""))</f>
        <v/>
      </c>
    </row>
    <row r="4038" customFormat="false" ht="15" hidden="false" customHeight="false" outlineLevel="0" collapsed="false">
      <c r="A4038" s="16" t="s">
        <v>12601</v>
      </c>
      <c r="B4038" s="16" t="n">
        <v>4033</v>
      </c>
      <c r="C4038" s="16" t="s">
        <v>12602</v>
      </c>
      <c r="D4038" s="16" t="n">
        <v>7</v>
      </c>
      <c r="E4038" s="37" t="s">
        <v>11592</v>
      </c>
      <c r="F4038" s="16" t="s">
        <v>1285</v>
      </c>
      <c r="G4038" s="16" t="s">
        <v>757</v>
      </c>
      <c r="H4038" s="16" t="s">
        <v>12499</v>
      </c>
      <c r="I4038" s="16" t="s">
        <v>127</v>
      </c>
      <c r="J4038" s="16" t="s">
        <v>9999</v>
      </c>
      <c r="K4038" s="32" t="n">
        <v>1</v>
      </c>
      <c r="L4038" s="33" t="n">
        <v>46001</v>
      </c>
      <c r="M4038" s="33" t="n">
        <v>46001</v>
      </c>
      <c r="N4038" s="16" t="s">
        <v>12603</v>
      </c>
      <c r="O4038" s="16"/>
      <c r="P4038" s="16" t="str">
        <f aca="false">IF(AND(L4038&lt;=$D$2,M4038&gt;=$C$2),"Sí","")</f>
        <v/>
      </c>
      <c r="Q4038" s="18" t="str">
        <f aca="false">IF(COUNTIF(LOOKAHEAD!$A$5:$A$604,A4038)&gt;0,"En Lookahead",IF(P4038="Sí","INCORPORAR",""))</f>
        <v/>
      </c>
    </row>
    <row r="4039" customFormat="false" ht="15" hidden="false" customHeight="false" outlineLevel="0" collapsed="false">
      <c r="A4039" s="16" t="s">
        <v>12604</v>
      </c>
      <c r="B4039" s="16" t="n">
        <v>4034</v>
      </c>
      <c r="C4039" s="16" t="s">
        <v>12605</v>
      </c>
      <c r="D4039" s="16" t="n">
        <v>7</v>
      </c>
      <c r="E4039" s="37" t="s">
        <v>10414</v>
      </c>
      <c r="F4039" s="16" t="s">
        <v>1285</v>
      </c>
      <c r="G4039" s="16" t="s">
        <v>757</v>
      </c>
      <c r="H4039" s="16" t="s">
        <v>12499</v>
      </c>
      <c r="I4039" s="16" t="s">
        <v>127</v>
      </c>
      <c r="J4039" s="16" t="s">
        <v>9999</v>
      </c>
      <c r="K4039" s="32" t="n">
        <v>1</v>
      </c>
      <c r="L4039" s="33" t="n">
        <v>46002</v>
      </c>
      <c r="M4039" s="33" t="n">
        <v>46002</v>
      </c>
      <c r="N4039" s="16" t="s">
        <v>12606</v>
      </c>
      <c r="O4039" s="16"/>
      <c r="P4039" s="16" t="str">
        <f aca="false">IF(AND(L4039&lt;=$D$2,M4039&gt;=$C$2),"Sí","")</f>
        <v/>
      </c>
      <c r="Q4039" s="18" t="str">
        <f aca="false">IF(COUNTIF(LOOKAHEAD!$A$5:$A$604,A4039)&gt;0,"En Lookahead",IF(P4039="Sí","INCORPORAR",""))</f>
        <v/>
      </c>
    </row>
    <row r="4040" customFormat="false" ht="15" hidden="false" customHeight="false" outlineLevel="0" collapsed="false">
      <c r="A4040" s="16" t="s">
        <v>12607</v>
      </c>
      <c r="B4040" s="16" t="n">
        <v>4035</v>
      </c>
      <c r="C4040" s="16" t="s">
        <v>12608</v>
      </c>
      <c r="D4040" s="16" t="n">
        <v>7</v>
      </c>
      <c r="E4040" s="37" t="s">
        <v>10006</v>
      </c>
      <c r="F4040" s="16" t="s">
        <v>1285</v>
      </c>
      <c r="G4040" s="16" t="s">
        <v>757</v>
      </c>
      <c r="H4040" s="16" t="s">
        <v>12499</v>
      </c>
      <c r="I4040" s="16" t="s">
        <v>127</v>
      </c>
      <c r="J4040" s="16" t="s">
        <v>9999</v>
      </c>
      <c r="K4040" s="32" t="n">
        <v>1</v>
      </c>
      <c r="L4040" s="33" t="n">
        <v>46003</v>
      </c>
      <c r="M4040" s="33" t="n">
        <v>46003</v>
      </c>
      <c r="N4040" s="16" t="s">
        <v>12609</v>
      </c>
      <c r="O4040" s="16"/>
      <c r="P4040" s="16" t="str">
        <f aca="false">IF(AND(L4040&lt;=$D$2,M4040&gt;=$C$2),"Sí","")</f>
        <v/>
      </c>
      <c r="Q4040" s="18" t="str">
        <f aca="false">IF(COUNTIF(LOOKAHEAD!$A$5:$A$604,A4040)&gt;0,"En Lookahead",IF(P4040="Sí","INCORPORAR",""))</f>
        <v/>
      </c>
    </row>
    <row r="4041" customFormat="false" ht="15" hidden="false" customHeight="false" outlineLevel="0" collapsed="false">
      <c r="A4041" s="16" t="s">
        <v>12610</v>
      </c>
      <c r="B4041" s="16" t="n">
        <v>4036</v>
      </c>
      <c r="C4041" s="16" t="s">
        <v>12611</v>
      </c>
      <c r="D4041" s="16" t="n">
        <v>7</v>
      </c>
      <c r="E4041" s="37" t="s">
        <v>12612</v>
      </c>
      <c r="F4041" s="16" t="s">
        <v>1285</v>
      </c>
      <c r="G4041" s="16" t="s">
        <v>757</v>
      </c>
      <c r="H4041" s="16" t="s">
        <v>12499</v>
      </c>
      <c r="I4041" s="16" t="s">
        <v>127</v>
      </c>
      <c r="J4041" s="16" t="s">
        <v>9999</v>
      </c>
      <c r="K4041" s="32" t="n">
        <v>1</v>
      </c>
      <c r="L4041" s="33" t="n">
        <v>46004</v>
      </c>
      <c r="M4041" s="33" t="n">
        <v>46004</v>
      </c>
      <c r="N4041" s="16" t="s">
        <v>12613</v>
      </c>
      <c r="O4041" s="16"/>
      <c r="P4041" s="16" t="str">
        <f aca="false">IF(AND(L4041&lt;=$D$2,M4041&gt;=$C$2),"Sí","")</f>
        <v/>
      </c>
      <c r="Q4041" s="18" t="str">
        <f aca="false">IF(COUNTIF(LOOKAHEAD!$A$5:$A$604,A4041)&gt;0,"En Lookahead",IF(P4041="Sí","INCORPORAR",""))</f>
        <v/>
      </c>
    </row>
    <row r="4042" customFormat="false" ht="15" hidden="false" customHeight="false" outlineLevel="0" collapsed="false">
      <c r="A4042" s="16" t="s">
        <v>12614</v>
      </c>
      <c r="B4042" s="16" t="n">
        <v>4037</v>
      </c>
      <c r="C4042" s="16" t="s">
        <v>12615</v>
      </c>
      <c r="D4042" s="16" t="n">
        <v>7</v>
      </c>
      <c r="E4042" s="37" t="s">
        <v>12616</v>
      </c>
      <c r="F4042" s="16" t="s">
        <v>1285</v>
      </c>
      <c r="G4042" s="16" t="s">
        <v>757</v>
      </c>
      <c r="H4042" s="16" t="s">
        <v>12499</v>
      </c>
      <c r="I4042" s="16" t="s">
        <v>127</v>
      </c>
      <c r="J4042" s="16" t="s">
        <v>9999</v>
      </c>
      <c r="K4042" s="32" t="n">
        <v>1</v>
      </c>
      <c r="L4042" s="33" t="n">
        <v>46005</v>
      </c>
      <c r="M4042" s="33" t="n">
        <v>46005</v>
      </c>
      <c r="N4042" s="16" t="s">
        <v>12617</v>
      </c>
      <c r="O4042" s="16"/>
      <c r="P4042" s="16" t="str">
        <f aca="false">IF(AND(L4042&lt;=$D$2,M4042&gt;=$C$2),"Sí","")</f>
        <v/>
      </c>
      <c r="Q4042" s="18" t="str">
        <f aca="false">IF(COUNTIF(LOOKAHEAD!$A$5:$A$604,A4042)&gt;0,"En Lookahead",IF(P4042="Sí","INCORPORAR",""))</f>
        <v/>
      </c>
    </row>
    <row r="4043" customFormat="false" ht="15" hidden="false" customHeight="false" outlineLevel="0" collapsed="false">
      <c r="A4043" s="16" t="s">
        <v>12618</v>
      </c>
      <c r="B4043" s="16" t="n">
        <v>4038</v>
      </c>
      <c r="C4043" s="16" t="s">
        <v>12619</v>
      </c>
      <c r="D4043" s="16" t="n">
        <v>7</v>
      </c>
      <c r="E4043" s="37" t="s">
        <v>10421</v>
      </c>
      <c r="F4043" s="16" t="s">
        <v>1285</v>
      </c>
      <c r="G4043" s="16" t="s">
        <v>757</v>
      </c>
      <c r="H4043" s="16" t="s">
        <v>12499</v>
      </c>
      <c r="I4043" s="16" t="s">
        <v>127</v>
      </c>
      <c r="J4043" s="16" t="s">
        <v>9999</v>
      </c>
      <c r="K4043" s="32" t="n">
        <v>1</v>
      </c>
      <c r="L4043" s="33" t="n">
        <v>46006</v>
      </c>
      <c r="M4043" s="33" t="n">
        <v>46006</v>
      </c>
      <c r="N4043" s="16" t="s">
        <v>12620</v>
      </c>
      <c r="O4043" s="16"/>
      <c r="P4043" s="16" t="str">
        <f aca="false">IF(AND(L4043&lt;=$D$2,M4043&gt;=$C$2),"Sí","")</f>
        <v/>
      </c>
      <c r="Q4043" s="18" t="str">
        <f aca="false">IF(COUNTIF(LOOKAHEAD!$A$5:$A$604,A4043)&gt;0,"En Lookahead",IF(P4043="Sí","INCORPORAR",""))</f>
        <v/>
      </c>
    </row>
    <row r="4044" customFormat="false" ht="15" hidden="false" customHeight="false" outlineLevel="0" collapsed="false">
      <c r="A4044" s="16" t="s">
        <v>12621</v>
      </c>
      <c r="B4044" s="16" t="n">
        <v>4039</v>
      </c>
      <c r="C4044" s="16" t="s">
        <v>12622</v>
      </c>
      <c r="D4044" s="16" t="n">
        <v>7</v>
      </c>
      <c r="E4044" s="37" t="s">
        <v>10010</v>
      </c>
      <c r="F4044" s="16" t="s">
        <v>1285</v>
      </c>
      <c r="G4044" s="16" t="s">
        <v>757</v>
      </c>
      <c r="H4044" s="16" t="s">
        <v>12499</v>
      </c>
      <c r="I4044" s="16" t="s">
        <v>127</v>
      </c>
      <c r="J4044" s="16" t="s">
        <v>9999</v>
      </c>
      <c r="K4044" s="32" t="n">
        <v>1</v>
      </c>
      <c r="L4044" s="33" t="n">
        <v>46007</v>
      </c>
      <c r="M4044" s="33" t="n">
        <v>46007</v>
      </c>
      <c r="N4044" s="16" t="s">
        <v>12623</v>
      </c>
      <c r="O4044" s="16"/>
      <c r="P4044" s="16" t="str">
        <f aca="false">IF(AND(L4044&lt;=$D$2,M4044&gt;=$C$2),"Sí","")</f>
        <v/>
      </c>
      <c r="Q4044" s="18" t="str">
        <f aca="false">IF(COUNTIF(LOOKAHEAD!$A$5:$A$604,A4044)&gt;0,"En Lookahead",IF(P4044="Sí","INCORPORAR",""))</f>
        <v/>
      </c>
    </row>
    <row r="4045" customFormat="false" ht="15" hidden="false" customHeight="false" outlineLevel="0" collapsed="false">
      <c r="A4045" s="16" t="s">
        <v>12624</v>
      </c>
      <c r="B4045" s="16" t="n">
        <v>4040</v>
      </c>
      <c r="C4045" s="16" t="s">
        <v>12625</v>
      </c>
      <c r="D4045" s="16" t="n">
        <v>7</v>
      </c>
      <c r="E4045" s="37" t="s">
        <v>12626</v>
      </c>
      <c r="F4045" s="16" t="s">
        <v>1285</v>
      </c>
      <c r="G4045" s="16" t="s">
        <v>757</v>
      </c>
      <c r="H4045" s="16" t="s">
        <v>12499</v>
      </c>
      <c r="I4045" s="16" t="s">
        <v>127</v>
      </c>
      <c r="J4045" s="16" t="s">
        <v>9999</v>
      </c>
      <c r="K4045" s="32" t="n">
        <v>1</v>
      </c>
      <c r="L4045" s="33" t="n">
        <v>46008</v>
      </c>
      <c r="M4045" s="33" t="n">
        <v>46008</v>
      </c>
      <c r="N4045" s="16" t="s">
        <v>12627</v>
      </c>
      <c r="O4045" s="16"/>
      <c r="P4045" s="16" t="str">
        <f aca="false">IF(AND(L4045&lt;=$D$2,M4045&gt;=$C$2),"Sí","")</f>
        <v/>
      </c>
      <c r="Q4045" s="18" t="str">
        <f aca="false">IF(COUNTIF(LOOKAHEAD!$A$5:$A$604,A4045)&gt;0,"En Lookahead",IF(P4045="Sí","INCORPORAR",""))</f>
        <v/>
      </c>
    </row>
    <row r="4046" customFormat="false" ht="15" hidden="false" customHeight="false" outlineLevel="0" collapsed="false">
      <c r="A4046" s="16" t="s">
        <v>12628</v>
      </c>
      <c r="B4046" s="16" t="n">
        <v>4041</v>
      </c>
      <c r="C4046" s="16" t="s">
        <v>12629</v>
      </c>
      <c r="D4046" s="16" t="n">
        <v>7</v>
      </c>
      <c r="E4046" s="37" t="s">
        <v>12630</v>
      </c>
      <c r="F4046" s="16" t="s">
        <v>1285</v>
      </c>
      <c r="G4046" s="16" t="s">
        <v>757</v>
      </c>
      <c r="H4046" s="16" t="s">
        <v>12499</v>
      </c>
      <c r="I4046" s="16" t="s">
        <v>127</v>
      </c>
      <c r="J4046" s="16" t="s">
        <v>9999</v>
      </c>
      <c r="K4046" s="32" t="n">
        <v>1</v>
      </c>
      <c r="L4046" s="33" t="n">
        <v>46009</v>
      </c>
      <c r="M4046" s="33" t="n">
        <v>46009</v>
      </c>
      <c r="N4046" s="16" t="s">
        <v>12631</v>
      </c>
      <c r="O4046" s="16"/>
      <c r="P4046" s="16" t="str">
        <f aca="false">IF(AND(L4046&lt;=$D$2,M4046&gt;=$C$2),"Sí","")</f>
        <v/>
      </c>
      <c r="Q4046" s="18" t="str">
        <f aca="false">IF(COUNTIF(LOOKAHEAD!$A$5:$A$604,A4046)&gt;0,"En Lookahead",IF(P4046="Sí","INCORPORAR",""))</f>
        <v/>
      </c>
    </row>
    <row r="4047" customFormat="false" ht="15" hidden="false" customHeight="false" outlineLevel="0" collapsed="false">
      <c r="A4047" s="16" t="s">
        <v>12632</v>
      </c>
      <c r="B4047" s="16" t="n">
        <v>4042</v>
      </c>
      <c r="C4047" s="16" t="s">
        <v>12633</v>
      </c>
      <c r="D4047" s="16" t="n">
        <v>7</v>
      </c>
      <c r="E4047" s="37" t="s">
        <v>12634</v>
      </c>
      <c r="F4047" s="16" t="s">
        <v>1285</v>
      </c>
      <c r="G4047" s="16" t="s">
        <v>757</v>
      </c>
      <c r="H4047" s="16" t="s">
        <v>12499</v>
      </c>
      <c r="I4047" s="16" t="s">
        <v>127</v>
      </c>
      <c r="J4047" s="16" t="s">
        <v>9999</v>
      </c>
      <c r="K4047" s="32" t="n">
        <v>1</v>
      </c>
      <c r="L4047" s="33" t="n">
        <v>46010</v>
      </c>
      <c r="M4047" s="33" t="n">
        <v>46010</v>
      </c>
      <c r="N4047" s="16" t="s">
        <v>12635</v>
      </c>
      <c r="O4047" s="16"/>
      <c r="P4047" s="16" t="str">
        <f aca="false">IF(AND(L4047&lt;=$D$2,M4047&gt;=$C$2),"Sí","")</f>
        <v/>
      </c>
      <c r="Q4047" s="18" t="str">
        <f aca="false">IF(COUNTIF(LOOKAHEAD!$A$5:$A$604,A4047)&gt;0,"En Lookahead",IF(P4047="Sí","INCORPORAR",""))</f>
        <v/>
      </c>
    </row>
    <row r="4048" customFormat="false" ht="15" hidden="false" customHeight="false" outlineLevel="0" collapsed="false">
      <c r="A4048" s="16" t="s">
        <v>12636</v>
      </c>
      <c r="B4048" s="16" t="n">
        <v>4043</v>
      </c>
      <c r="C4048" s="16" t="s">
        <v>12637</v>
      </c>
      <c r="D4048" s="16" t="n">
        <v>7</v>
      </c>
      <c r="E4048" s="37" t="s">
        <v>12638</v>
      </c>
      <c r="F4048" s="16" t="s">
        <v>1285</v>
      </c>
      <c r="G4048" s="16" t="s">
        <v>757</v>
      </c>
      <c r="H4048" s="16" t="s">
        <v>12499</v>
      </c>
      <c r="I4048" s="16" t="s">
        <v>127</v>
      </c>
      <c r="J4048" s="16" t="s">
        <v>9999</v>
      </c>
      <c r="K4048" s="32" t="n">
        <v>1</v>
      </c>
      <c r="L4048" s="33" t="n">
        <v>46011</v>
      </c>
      <c r="M4048" s="33" t="n">
        <v>46011</v>
      </c>
      <c r="N4048" s="16" t="s">
        <v>12639</v>
      </c>
      <c r="O4048" s="16"/>
      <c r="P4048" s="16" t="str">
        <f aca="false">IF(AND(L4048&lt;=$D$2,M4048&gt;=$C$2),"Sí","")</f>
        <v/>
      </c>
      <c r="Q4048" s="18" t="str">
        <f aca="false">IF(COUNTIF(LOOKAHEAD!$A$5:$A$604,A4048)&gt;0,"En Lookahead",IF(P4048="Sí","INCORPORAR",""))</f>
        <v/>
      </c>
    </row>
    <row r="4049" customFormat="false" ht="15" hidden="false" customHeight="false" outlineLevel="0" collapsed="false">
      <c r="A4049" s="16" t="s">
        <v>12640</v>
      </c>
      <c r="B4049" s="16" t="n">
        <v>4044</v>
      </c>
      <c r="C4049" s="16" t="s">
        <v>12641</v>
      </c>
      <c r="D4049" s="16" t="n">
        <v>7</v>
      </c>
      <c r="E4049" s="37" t="s">
        <v>12642</v>
      </c>
      <c r="F4049" s="16" t="s">
        <v>1285</v>
      </c>
      <c r="G4049" s="16" t="s">
        <v>757</v>
      </c>
      <c r="H4049" s="16" t="s">
        <v>12499</v>
      </c>
      <c r="I4049" s="16" t="s">
        <v>127</v>
      </c>
      <c r="J4049" s="16" t="s">
        <v>9999</v>
      </c>
      <c r="K4049" s="32" t="n">
        <v>1</v>
      </c>
      <c r="L4049" s="33" t="n">
        <v>46012</v>
      </c>
      <c r="M4049" s="33" t="n">
        <v>46012</v>
      </c>
      <c r="N4049" s="16" t="s">
        <v>12643</v>
      </c>
      <c r="O4049" s="16"/>
      <c r="P4049" s="16" t="str">
        <f aca="false">IF(AND(L4049&lt;=$D$2,M4049&gt;=$C$2),"Sí","")</f>
        <v/>
      </c>
      <c r="Q4049" s="18" t="str">
        <f aca="false">IF(COUNTIF(LOOKAHEAD!$A$5:$A$604,A4049)&gt;0,"En Lookahead",IF(P4049="Sí","INCORPORAR",""))</f>
        <v/>
      </c>
    </row>
    <row r="4050" customFormat="false" ht="15" hidden="false" customHeight="false" outlineLevel="0" collapsed="false">
      <c r="A4050" s="16" t="s">
        <v>12644</v>
      </c>
      <c r="B4050" s="16" t="n">
        <v>4045</v>
      </c>
      <c r="C4050" s="16" t="s">
        <v>12645</v>
      </c>
      <c r="D4050" s="16" t="n">
        <v>7</v>
      </c>
      <c r="E4050" s="37" t="s">
        <v>12646</v>
      </c>
      <c r="F4050" s="16" t="s">
        <v>1285</v>
      </c>
      <c r="G4050" s="16" t="s">
        <v>757</v>
      </c>
      <c r="H4050" s="16" t="s">
        <v>12499</v>
      </c>
      <c r="I4050" s="16" t="s">
        <v>127</v>
      </c>
      <c r="J4050" s="16" t="s">
        <v>9999</v>
      </c>
      <c r="K4050" s="32" t="n">
        <v>1</v>
      </c>
      <c r="L4050" s="33" t="n">
        <v>46013</v>
      </c>
      <c r="M4050" s="33" t="n">
        <v>46013</v>
      </c>
      <c r="N4050" s="16" t="s">
        <v>12647</v>
      </c>
      <c r="O4050" s="16"/>
      <c r="P4050" s="16" t="str">
        <f aca="false">IF(AND(L4050&lt;=$D$2,M4050&gt;=$C$2),"Sí","")</f>
        <v/>
      </c>
      <c r="Q4050" s="18" t="str">
        <f aca="false">IF(COUNTIF(LOOKAHEAD!$A$5:$A$604,A4050)&gt;0,"En Lookahead",IF(P4050="Sí","INCORPORAR",""))</f>
        <v/>
      </c>
    </row>
    <row r="4051" customFormat="false" ht="15" hidden="false" customHeight="false" outlineLevel="0" collapsed="false">
      <c r="A4051" s="16" t="s">
        <v>12648</v>
      </c>
      <c r="B4051" s="16" t="n">
        <v>4046</v>
      </c>
      <c r="C4051" s="16" t="s">
        <v>12649</v>
      </c>
      <c r="D4051" s="16" t="n">
        <v>7</v>
      </c>
      <c r="E4051" s="37" t="s">
        <v>12650</v>
      </c>
      <c r="F4051" s="16" t="s">
        <v>1285</v>
      </c>
      <c r="G4051" s="16" t="s">
        <v>757</v>
      </c>
      <c r="H4051" s="16" t="s">
        <v>12499</v>
      </c>
      <c r="I4051" s="16" t="s">
        <v>127</v>
      </c>
      <c r="J4051" s="16" t="s">
        <v>9999</v>
      </c>
      <c r="K4051" s="32" t="n">
        <v>1</v>
      </c>
      <c r="L4051" s="33" t="n">
        <v>46014</v>
      </c>
      <c r="M4051" s="33" t="n">
        <v>46014</v>
      </c>
      <c r="N4051" s="16" t="s">
        <v>12651</v>
      </c>
      <c r="O4051" s="16"/>
      <c r="P4051" s="16" t="str">
        <f aca="false">IF(AND(L4051&lt;=$D$2,M4051&gt;=$C$2),"Sí","")</f>
        <v/>
      </c>
      <c r="Q4051" s="18" t="str">
        <f aca="false">IF(COUNTIF(LOOKAHEAD!$A$5:$A$604,A4051)&gt;0,"En Lookahead",IF(P4051="Sí","INCORPORAR",""))</f>
        <v/>
      </c>
    </row>
    <row r="4052" customFormat="false" ht="15" hidden="false" customHeight="false" outlineLevel="0" collapsed="false">
      <c r="A4052" s="16" t="s">
        <v>12652</v>
      </c>
      <c r="B4052" s="16" t="n">
        <v>4047</v>
      </c>
      <c r="C4052" s="16" t="s">
        <v>12653</v>
      </c>
      <c r="D4052" s="16" t="n">
        <v>7</v>
      </c>
      <c r="E4052" s="37" t="s">
        <v>12654</v>
      </c>
      <c r="F4052" s="16" t="s">
        <v>1285</v>
      </c>
      <c r="G4052" s="16" t="s">
        <v>757</v>
      </c>
      <c r="H4052" s="16" t="s">
        <v>12499</v>
      </c>
      <c r="I4052" s="16" t="s">
        <v>127</v>
      </c>
      <c r="J4052" s="16" t="s">
        <v>9999</v>
      </c>
      <c r="K4052" s="32" t="n">
        <v>1</v>
      </c>
      <c r="L4052" s="33" t="n">
        <v>46015</v>
      </c>
      <c r="M4052" s="33" t="n">
        <v>46015</v>
      </c>
      <c r="N4052" s="16" t="s">
        <v>12655</v>
      </c>
      <c r="O4052" s="16"/>
      <c r="P4052" s="16" t="str">
        <f aca="false">IF(AND(L4052&lt;=$D$2,M4052&gt;=$C$2),"Sí","")</f>
        <v/>
      </c>
      <c r="Q4052" s="18" t="str">
        <f aca="false">IF(COUNTIF(LOOKAHEAD!$A$5:$A$604,A4052)&gt;0,"En Lookahead",IF(P4052="Sí","INCORPORAR",""))</f>
        <v/>
      </c>
    </row>
    <row r="4053" customFormat="false" ht="15" hidden="false" customHeight="false" outlineLevel="0" collapsed="false">
      <c r="A4053" s="16" t="s">
        <v>12656</v>
      </c>
      <c r="B4053" s="16" t="n">
        <v>4048</v>
      </c>
      <c r="C4053" s="16" t="s">
        <v>12657</v>
      </c>
      <c r="D4053" s="16" t="n">
        <v>7</v>
      </c>
      <c r="E4053" s="37" t="s">
        <v>12658</v>
      </c>
      <c r="F4053" s="16" t="s">
        <v>1285</v>
      </c>
      <c r="G4053" s="16" t="s">
        <v>757</v>
      </c>
      <c r="H4053" s="16" t="s">
        <v>12499</v>
      </c>
      <c r="I4053" s="16" t="s">
        <v>127</v>
      </c>
      <c r="J4053" s="16" t="s">
        <v>9999</v>
      </c>
      <c r="K4053" s="32" t="n">
        <v>1</v>
      </c>
      <c r="L4053" s="33" t="n">
        <v>46016</v>
      </c>
      <c r="M4053" s="33" t="n">
        <v>46016</v>
      </c>
      <c r="N4053" s="16" t="s">
        <v>12659</v>
      </c>
      <c r="O4053" s="16"/>
      <c r="P4053" s="16" t="str">
        <f aca="false">IF(AND(L4053&lt;=$D$2,M4053&gt;=$C$2),"Sí","")</f>
        <v/>
      </c>
      <c r="Q4053" s="18" t="str">
        <f aca="false">IF(COUNTIF(LOOKAHEAD!$A$5:$A$604,A4053)&gt;0,"En Lookahead",IF(P4053="Sí","INCORPORAR",""))</f>
        <v/>
      </c>
    </row>
    <row r="4054" customFormat="false" ht="15" hidden="false" customHeight="false" outlineLevel="0" collapsed="false">
      <c r="A4054" s="16" t="s">
        <v>12660</v>
      </c>
      <c r="B4054" s="16" t="n">
        <v>4049</v>
      </c>
      <c r="C4054" s="16" t="s">
        <v>12661</v>
      </c>
      <c r="D4054" s="16" t="n">
        <v>7</v>
      </c>
      <c r="E4054" s="37" t="s">
        <v>12662</v>
      </c>
      <c r="F4054" s="16" t="s">
        <v>1285</v>
      </c>
      <c r="G4054" s="16" t="s">
        <v>757</v>
      </c>
      <c r="H4054" s="16" t="s">
        <v>12499</v>
      </c>
      <c r="I4054" s="16" t="s">
        <v>127</v>
      </c>
      <c r="J4054" s="16" t="s">
        <v>9999</v>
      </c>
      <c r="K4054" s="32" t="n">
        <v>1</v>
      </c>
      <c r="L4054" s="33" t="n">
        <v>46017</v>
      </c>
      <c r="M4054" s="33" t="n">
        <v>46017</v>
      </c>
      <c r="N4054" s="16" t="s">
        <v>12663</v>
      </c>
      <c r="O4054" s="16"/>
      <c r="P4054" s="16" t="str">
        <f aca="false">IF(AND(L4054&lt;=$D$2,M4054&gt;=$C$2),"Sí","")</f>
        <v/>
      </c>
      <c r="Q4054" s="18" t="str">
        <f aca="false">IF(COUNTIF(LOOKAHEAD!$A$5:$A$604,A4054)&gt;0,"En Lookahead",IF(P4054="Sí","INCORPORAR",""))</f>
        <v/>
      </c>
    </row>
    <row r="4055" customFormat="false" ht="15" hidden="false" customHeight="false" outlineLevel="0" collapsed="false">
      <c r="A4055" s="16" t="s">
        <v>12664</v>
      </c>
      <c r="B4055" s="16" t="n">
        <v>4050</v>
      </c>
      <c r="C4055" s="16" t="s">
        <v>12665</v>
      </c>
      <c r="D4055" s="16" t="n">
        <v>7</v>
      </c>
      <c r="E4055" s="37" t="s">
        <v>12666</v>
      </c>
      <c r="F4055" s="16" t="s">
        <v>1285</v>
      </c>
      <c r="G4055" s="16" t="s">
        <v>757</v>
      </c>
      <c r="H4055" s="16" t="s">
        <v>12499</v>
      </c>
      <c r="I4055" s="16" t="s">
        <v>127</v>
      </c>
      <c r="J4055" s="16" t="s">
        <v>9999</v>
      </c>
      <c r="K4055" s="32" t="n">
        <v>1</v>
      </c>
      <c r="L4055" s="33" t="n">
        <v>46018</v>
      </c>
      <c r="M4055" s="33" t="n">
        <v>46018</v>
      </c>
      <c r="N4055" s="16" t="s">
        <v>12667</v>
      </c>
      <c r="O4055" s="16"/>
      <c r="P4055" s="16" t="str">
        <f aca="false">IF(AND(L4055&lt;=$D$2,M4055&gt;=$C$2),"Sí","")</f>
        <v/>
      </c>
      <c r="Q4055" s="18" t="str">
        <f aca="false">IF(COUNTIF(LOOKAHEAD!$A$5:$A$604,A4055)&gt;0,"En Lookahead",IF(P4055="Sí","INCORPORAR",""))</f>
        <v/>
      </c>
    </row>
    <row r="4056" customFormat="false" ht="15" hidden="false" customHeight="false" outlineLevel="0" collapsed="false">
      <c r="A4056" s="16" t="s">
        <v>12668</v>
      </c>
      <c r="B4056" s="16" t="n">
        <v>4051</v>
      </c>
      <c r="C4056" s="16" t="s">
        <v>12669</v>
      </c>
      <c r="D4056" s="16" t="n">
        <v>7</v>
      </c>
      <c r="E4056" s="37" t="s">
        <v>12670</v>
      </c>
      <c r="F4056" s="16" t="s">
        <v>1285</v>
      </c>
      <c r="G4056" s="16" t="s">
        <v>757</v>
      </c>
      <c r="H4056" s="16" t="s">
        <v>12499</v>
      </c>
      <c r="I4056" s="16" t="s">
        <v>127</v>
      </c>
      <c r="J4056" s="16" t="s">
        <v>9999</v>
      </c>
      <c r="K4056" s="32" t="n">
        <v>1</v>
      </c>
      <c r="L4056" s="33" t="n">
        <v>46019</v>
      </c>
      <c r="M4056" s="33" t="n">
        <v>46019</v>
      </c>
      <c r="N4056" s="16" t="s">
        <v>12671</v>
      </c>
      <c r="O4056" s="16"/>
      <c r="P4056" s="16" t="str">
        <f aca="false">IF(AND(L4056&lt;=$D$2,M4056&gt;=$C$2),"Sí","")</f>
        <v/>
      </c>
      <c r="Q4056" s="18" t="str">
        <f aca="false">IF(COUNTIF(LOOKAHEAD!$A$5:$A$604,A4056)&gt;0,"En Lookahead",IF(P4056="Sí","INCORPORAR",""))</f>
        <v/>
      </c>
    </row>
    <row r="4057" customFormat="false" ht="15" hidden="false" customHeight="false" outlineLevel="0" collapsed="false">
      <c r="A4057" s="16" t="s">
        <v>12672</v>
      </c>
      <c r="B4057" s="16" t="n">
        <v>4052</v>
      </c>
      <c r="C4057" s="16" t="s">
        <v>12673</v>
      </c>
      <c r="D4057" s="16" t="n">
        <v>7</v>
      </c>
      <c r="E4057" s="37" t="s">
        <v>12674</v>
      </c>
      <c r="F4057" s="16" t="s">
        <v>1285</v>
      </c>
      <c r="G4057" s="16" t="s">
        <v>757</v>
      </c>
      <c r="H4057" s="16" t="s">
        <v>12499</v>
      </c>
      <c r="I4057" s="16" t="s">
        <v>127</v>
      </c>
      <c r="J4057" s="16" t="s">
        <v>9999</v>
      </c>
      <c r="K4057" s="32" t="n">
        <v>1</v>
      </c>
      <c r="L4057" s="33" t="n">
        <v>46020</v>
      </c>
      <c r="M4057" s="33" t="n">
        <v>46020</v>
      </c>
      <c r="N4057" s="16" t="s">
        <v>12675</v>
      </c>
      <c r="O4057" s="16"/>
      <c r="P4057" s="16" t="str">
        <f aca="false">IF(AND(L4057&lt;=$D$2,M4057&gt;=$C$2),"Sí","")</f>
        <v/>
      </c>
      <c r="Q4057" s="18" t="str">
        <f aca="false">IF(COUNTIF(LOOKAHEAD!$A$5:$A$604,A4057)&gt;0,"En Lookahead",IF(P4057="Sí","INCORPORAR",""))</f>
        <v/>
      </c>
    </row>
    <row r="4058" customFormat="false" ht="15" hidden="false" customHeight="false" outlineLevel="0" collapsed="false">
      <c r="A4058" s="16" t="s">
        <v>12676</v>
      </c>
      <c r="B4058" s="16" t="n">
        <v>4053</v>
      </c>
      <c r="C4058" s="16" t="s">
        <v>12677</v>
      </c>
      <c r="D4058" s="16" t="n">
        <v>7</v>
      </c>
      <c r="E4058" s="37" t="s">
        <v>12678</v>
      </c>
      <c r="F4058" s="16" t="s">
        <v>1285</v>
      </c>
      <c r="G4058" s="16" t="s">
        <v>757</v>
      </c>
      <c r="H4058" s="16" t="s">
        <v>12499</v>
      </c>
      <c r="I4058" s="16" t="s">
        <v>127</v>
      </c>
      <c r="J4058" s="16" t="s">
        <v>9999</v>
      </c>
      <c r="K4058" s="32" t="n">
        <v>1</v>
      </c>
      <c r="L4058" s="33" t="n">
        <v>46021</v>
      </c>
      <c r="M4058" s="33" t="n">
        <v>46021</v>
      </c>
      <c r="N4058" s="16" t="s">
        <v>12679</v>
      </c>
      <c r="O4058" s="16"/>
      <c r="P4058" s="16" t="str">
        <f aca="false">IF(AND(L4058&lt;=$D$2,M4058&gt;=$C$2),"Sí","")</f>
        <v/>
      </c>
      <c r="Q4058" s="18" t="str">
        <f aca="false">IF(COUNTIF(LOOKAHEAD!$A$5:$A$604,A4058)&gt;0,"En Lookahead",IF(P4058="Sí","INCORPORAR",""))</f>
        <v/>
      </c>
    </row>
    <row r="4059" customFormat="false" ht="15" hidden="false" customHeight="false" outlineLevel="0" collapsed="false">
      <c r="A4059" s="16" t="s">
        <v>12680</v>
      </c>
      <c r="B4059" s="16" t="n">
        <v>4054</v>
      </c>
      <c r="C4059" s="16" t="s">
        <v>12681</v>
      </c>
      <c r="D4059" s="16" t="n">
        <v>7</v>
      </c>
      <c r="E4059" s="37" t="s">
        <v>12682</v>
      </c>
      <c r="F4059" s="16" t="s">
        <v>1285</v>
      </c>
      <c r="G4059" s="16" t="s">
        <v>757</v>
      </c>
      <c r="H4059" s="16" t="s">
        <v>12499</v>
      </c>
      <c r="I4059" s="16" t="s">
        <v>127</v>
      </c>
      <c r="J4059" s="16" t="s">
        <v>9999</v>
      </c>
      <c r="K4059" s="32" t="n">
        <v>1</v>
      </c>
      <c r="L4059" s="33" t="n">
        <v>46022</v>
      </c>
      <c r="M4059" s="33" t="n">
        <v>46022</v>
      </c>
      <c r="N4059" s="16" t="s">
        <v>12683</v>
      </c>
      <c r="O4059" s="16"/>
      <c r="P4059" s="16" t="str">
        <f aca="false">IF(AND(L4059&lt;=$D$2,M4059&gt;=$C$2),"Sí","")</f>
        <v/>
      </c>
      <c r="Q4059" s="18" t="str">
        <f aca="false">IF(COUNTIF(LOOKAHEAD!$A$5:$A$604,A4059)&gt;0,"En Lookahead",IF(P4059="Sí","INCORPORAR",""))</f>
        <v/>
      </c>
    </row>
    <row r="4060" customFormat="false" ht="15" hidden="false" customHeight="false" outlineLevel="0" collapsed="false">
      <c r="A4060" s="13" t="s">
        <v>12684</v>
      </c>
      <c r="B4060" s="13" t="n">
        <v>4055</v>
      </c>
      <c r="C4060" s="13" t="s">
        <v>12685</v>
      </c>
      <c r="D4060" s="13" t="n">
        <v>6</v>
      </c>
      <c r="E4060" s="36" t="s">
        <v>10018</v>
      </c>
      <c r="F4060" s="13" t="s">
        <v>1298</v>
      </c>
      <c r="G4060" s="13" t="s">
        <v>757</v>
      </c>
      <c r="H4060" s="13" t="s">
        <v>12499</v>
      </c>
      <c r="I4060" s="13" t="s">
        <v>127</v>
      </c>
      <c r="J4060" s="13" t="s">
        <v>9975</v>
      </c>
      <c r="K4060" s="30" t="n">
        <v>4</v>
      </c>
      <c r="L4060" s="31" t="n">
        <v>46023</v>
      </c>
      <c r="M4060" s="31" t="n">
        <v>46026</v>
      </c>
      <c r="N4060" s="13"/>
      <c r="O4060" s="13"/>
      <c r="P4060" s="13"/>
      <c r="Q4060" s="13"/>
    </row>
    <row r="4061" customFormat="false" ht="15" hidden="false" customHeight="false" outlineLevel="0" collapsed="false">
      <c r="A4061" s="16" t="s">
        <v>12686</v>
      </c>
      <c r="B4061" s="16" t="n">
        <v>4056</v>
      </c>
      <c r="C4061" s="16" t="s">
        <v>12687</v>
      </c>
      <c r="D4061" s="16" t="n">
        <v>7</v>
      </c>
      <c r="E4061" s="37" t="s">
        <v>12688</v>
      </c>
      <c r="F4061" s="16" t="s">
        <v>1285</v>
      </c>
      <c r="G4061" s="16" t="s">
        <v>757</v>
      </c>
      <c r="H4061" s="16" t="s">
        <v>12499</v>
      </c>
      <c r="I4061" s="16" t="s">
        <v>127</v>
      </c>
      <c r="J4061" s="16" t="s">
        <v>10018</v>
      </c>
      <c r="K4061" s="32" t="n">
        <v>1</v>
      </c>
      <c r="L4061" s="33" t="n">
        <v>46023</v>
      </c>
      <c r="M4061" s="33" t="n">
        <v>46023</v>
      </c>
      <c r="N4061" s="16" t="s">
        <v>12689</v>
      </c>
      <c r="O4061" s="16"/>
      <c r="P4061" s="16" t="str">
        <f aca="false">IF(AND(L4061&lt;=$D$2,M4061&gt;=$C$2),"Sí","")</f>
        <v/>
      </c>
      <c r="Q4061" s="18" t="str">
        <f aca="false">IF(COUNTIF(LOOKAHEAD!$A$5:$A$604,A4061)&gt;0,"En Lookahead",IF(P4061="Sí","INCORPORAR",""))</f>
        <v/>
      </c>
    </row>
    <row r="4062" customFormat="false" ht="15" hidden="false" customHeight="false" outlineLevel="0" collapsed="false">
      <c r="A4062" s="16" t="s">
        <v>12690</v>
      </c>
      <c r="B4062" s="16" t="n">
        <v>4057</v>
      </c>
      <c r="C4062" s="16" t="s">
        <v>12691</v>
      </c>
      <c r="D4062" s="16" t="n">
        <v>7</v>
      </c>
      <c r="E4062" s="37" t="s">
        <v>12692</v>
      </c>
      <c r="F4062" s="16" t="s">
        <v>1285</v>
      </c>
      <c r="G4062" s="16" t="s">
        <v>757</v>
      </c>
      <c r="H4062" s="16" t="s">
        <v>12499</v>
      </c>
      <c r="I4062" s="16" t="s">
        <v>127</v>
      </c>
      <c r="J4062" s="16" t="s">
        <v>10018</v>
      </c>
      <c r="K4062" s="32" t="n">
        <v>1</v>
      </c>
      <c r="L4062" s="33" t="n">
        <v>46024</v>
      </c>
      <c r="M4062" s="33" t="n">
        <v>46024</v>
      </c>
      <c r="N4062" s="16" t="s">
        <v>12693</v>
      </c>
      <c r="O4062" s="16"/>
      <c r="P4062" s="16" t="str">
        <f aca="false">IF(AND(L4062&lt;=$D$2,M4062&gt;=$C$2),"Sí","")</f>
        <v/>
      </c>
      <c r="Q4062" s="18" t="str">
        <f aca="false">IF(COUNTIF(LOOKAHEAD!$A$5:$A$604,A4062)&gt;0,"En Lookahead",IF(P4062="Sí","INCORPORAR",""))</f>
        <v/>
      </c>
    </row>
    <row r="4063" customFormat="false" ht="15" hidden="false" customHeight="false" outlineLevel="0" collapsed="false">
      <c r="A4063" s="16" t="s">
        <v>12694</v>
      </c>
      <c r="B4063" s="16" t="n">
        <v>4058</v>
      </c>
      <c r="C4063" s="16" t="s">
        <v>12695</v>
      </c>
      <c r="D4063" s="16" t="n">
        <v>7</v>
      </c>
      <c r="E4063" s="37" t="s">
        <v>10847</v>
      </c>
      <c r="F4063" s="16" t="s">
        <v>1285</v>
      </c>
      <c r="G4063" s="16" t="s">
        <v>757</v>
      </c>
      <c r="H4063" s="16" t="s">
        <v>12499</v>
      </c>
      <c r="I4063" s="16" t="s">
        <v>127</v>
      </c>
      <c r="J4063" s="16" t="s">
        <v>10018</v>
      </c>
      <c r="K4063" s="32" t="n">
        <v>1</v>
      </c>
      <c r="L4063" s="33" t="n">
        <v>46025</v>
      </c>
      <c r="M4063" s="33" t="n">
        <v>46025</v>
      </c>
      <c r="N4063" s="16" t="s">
        <v>12696</v>
      </c>
      <c r="O4063" s="16"/>
      <c r="P4063" s="16" t="str">
        <f aca="false">IF(AND(L4063&lt;=$D$2,M4063&gt;=$C$2),"Sí","")</f>
        <v/>
      </c>
      <c r="Q4063" s="18" t="str">
        <f aca="false">IF(COUNTIF(LOOKAHEAD!$A$5:$A$604,A4063)&gt;0,"En Lookahead",IF(P4063="Sí","INCORPORAR",""))</f>
        <v/>
      </c>
    </row>
    <row r="4064" customFormat="false" ht="15" hidden="false" customHeight="false" outlineLevel="0" collapsed="false">
      <c r="A4064" s="16" t="s">
        <v>12697</v>
      </c>
      <c r="B4064" s="16" t="n">
        <v>4059</v>
      </c>
      <c r="C4064" s="16" t="s">
        <v>12698</v>
      </c>
      <c r="D4064" s="16" t="n">
        <v>7</v>
      </c>
      <c r="E4064" s="37" t="s">
        <v>12699</v>
      </c>
      <c r="F4064" s="16" t="s">
        <v>1285</v>
      </c>
      <c r="G4064" s="16" t="s">
        <v>757</v>
      </c>
      <c r="H4064" s="16" t="s">
        <v>12499</v>
      </c>
      <c r="I4064" s="16" t="s">
        <v>127</v>
      </c>
      <c r="J4064" s="16" t="s">
        <v>10018</v>
      </c>
      <c r="K4064" s="32" t="n">
        <v>1</v>
      </c>
      <c r="L4064" s="33" t="n">
        <v>46026</v>
      </c>
      <c r="M4064" s="33" t="n">
        <v>46026</v>
      </c>
      <c r="N4064" s="16" t="s">
        <v>12700</v>
      </c>
      <c r="O4064" s="16"/>
      <c r="P4064" s="16" t="str">
        <f aca="false">IF(AND(L4064&lt;=$D$2,M4064&gt;=$C$2),"Sí","")</f>
        <v/>
      </c>
      <c r="Q4064" s="18" t="str">
        <f aca="false">IF(COUNTIF(LOOKAHEAD!$A$5:$A$604,A4064)&gt;0,"En Lookahead",IF(P4064="Sí","INCORPORAR",""))</f>
        <v/>
      </c>
    </row>
    <row r="4065" customFormat="false" ht="15" hidden="false" customHeight="false" outlineLevel="0" collapsed="false">
      <c r="A4065" s="13" t="s">
        <v>12701</v>
      </c>
      <c r="B4065" s="13" t="n">
        <v>4060</v>
      </c>
      <c r="C4065" s="13" t="s">
        <v>12702</v>
      </c>
      <c r="D4065" s="13" t="n">
        <v>6</v>
      </c>
      <c r="E4065" s="36" t="s">
        <v>10025</v>
      </c>
      <c r="F4065" s="13" t="s">
        <v>1298</v>
      </c>
      <c r="G4065" s="13" t="s">
        <v>757</v>
      </c>
      <c r="H4065" s="13" t="s">
        <v>12499</v>
      </c>
      <c r="I4065" s="13" t="s">
        <v>127</v>
      </c>
      <c r="J4065" s="13" t="s">
        <v>9975</v>
      </c>
      <c r="K4065" s="30" t="n">
        <v>1</v>
      </c>
      <c r="L4065" s="31" t="n">
        <v>46027</v>
      </c>
      <c r="M4065" s="31" t="n">
        <v>46027</v>
      </c>
      <c r="N4065" s="13"/>
      <c r="O4065" s="13"/>
      <c r="P4065" s="13"/>
      <c r="Q4065" s="13"/>
    </row>
    <row r="4066" customFormat="false" ht="15" hidden="false" customHeight="false" outlineLevel="0" collapsed="false">
      <c r="A4066" s="16" t="s">
        <v>12703</v>
      </c>
      <c r="B4066" s="16" t="n">
        <v>4061</v>
      </c>
      <c r="C4066" s="16" t="s">
        <v>12704</v>
      </c>
      <c r="D4066" s="16" t="n">
        <v>7</v>
      </c>
      <c r="E4066" s="37" t="s">
        <v>12705</v>
      </c>
      <c r="F4066" s="16" t="s">
        <v>1285</v>
      </c>
      <c r="G4066" s="16" t="s">
        <v>757</v>
      </c>
      <c r="H4066" s="16" t="s">
        <v>12499</v>
      </c>
      <c r="I4066" s="16" t="s">
        <v>127</v>
      </c>
      <c r="J4066" s="16" t="s">
        <v>10025</v>
      </c>
      <c r="K4066" s="32" t="n">
        <v>1</v>
      </c>
      <c r="L4066" s="33" t="n">
        <v>46027</v>
      </c>
      <c r="M4066" s="33" t="n">
        <v>46027</v>
      </c>
      <c r="N4066" s="16" t="s">
        <v>12706</v>
      </c>
      <c r="O4066" s="16"/>
      <c r="P4066" s="16" t="str">
        <f aca="false">IF(AND(L4066&lt;=$D$2,M4066&gt;=$C$2),"Sí","")</f>
        <v/>
      </c>
      <c r="Q4066" s="18" t="str">
        <f aca="false">IF(COUNTIF(LOOKAHEAD!$A$5:$A$604,A4066)&gt;0,"En Lookahead",IF(P4066="Sí","INCORPORAR",""))</f>
        <v/>
      </c>
    </row>
    <row r="4067" customFormat="false" ht="15" hidden="false" customHeight="false" outlineLevel="0" collapsed="false">
      <c r="A4067" s="13" t="s">
        <v>12707</v>
      </c>
      <c r="B4067" s="13" t="n">
        <v>4062</v>
      </c>
      <c r="C4067" s="13" t="s">
        <v>12708</v>
      </c>
      <c r="D4067" s="13" t="n">
        <v>6</v>
      </c>
      <c r="E4067" s="36" t="s">
        <v>12709</v>
      </c>
      <c r="F4067" s="13" t="s">
        <v>1298</v>
      </c>
      <c r="G4067" s="13" t="s">
        <v>757</v>
      </c>
      <c r="H4067" s="13" t="s">
        <v>12499</v>
      </c>
      <c r="I4067" s="13" t="s">
        <v>127</v>
      </c>
      <c r="J4067" s="13" t="s">
        <v>9975</v>
      </c>
      <c r="K4067" s="30" t="n">
        <v>12</v>
      </c>
      <c r="L4067" s="31" t="n">
        <v>46023</v>
      </c>
      <c r="M4067" s="31" t="n">
        <v>46034</v>
      </c>
      <c r="N4067" s="13"/>
      <c r="O4067" s="13"/>
      <c r="P4067" s="13"/>
      <c r="Q4067" s="13"/>
    </row>
    <row r="4068" customFormat="false" ht="15" hidden="false" customHeight="false" outlineLevel="0" collapsed="false">
      <c r="A4068" s="16" t="s">
        <v>12710</v>
      </c>
      <c r="B4068" s="16" t="n">
        <v>4063</v>
      </c>
      <c r="C4068" s="16" t="s">
        <v>12711</v>
      </c>
      <c r="D4068" s="16" t="n">
        <v>7</v>
      </c>
      <c r="E4068" s="37" t="s">
        <v>12712</v>
      </c>
      <c r="F4068" s="16" t="s">
        <v>1285</v>
      </c>
      <c r="G4068" s="16" t="s">
        <v>757</v>
      </c>
      <c r="H4068" s="16" t="s">
        <v>12499</v>
      </c>
      <c r="I4068" s="16" t="s">
        <v>127</v>
      </c>
      <c r="J4068" s="16" t="s">
        <v>12709</v>
      </c>
      <c r="K4068" s="32" t="n">
        <v>1</v>
      </c>
      <c r="L4068" s="33" t="n">
        <v>46023</v>
      </c>
      <c r="M4068" s="33" t="n">
        <v>46023</v>
      </c>
      <c r="N4068" s="16" t="s">
        <v>12689</v>
      </c>
      <c r="O4068" s="16"/>
      <c r="P4068" s="16" t="str">
        <f aca="false">IF(AND(L4068&lt;=$D$2,M4068&gt;=$C$2),"Sí","")</f>
        <v/>
      </c>
      <c r="Q4068" s="18" t="str">
        <f aca="false">IF(COUNTIF(LOOKAHEAD!$A$5:$A$604,A4068)&gt;0,"En Lookahead",IF(P4068="Sí","INCORPORAR",""))</f>
        <v/>
      </c>
    </row>
    <row r="4069" customFormat="false" ht="15" hidden="false" customHeight="false" outlineLevel="0" collapsed="false">
      <c r="A4069" s="16" t="s">
        <v>12713</v>
      </c>
      <c r="B4069" s="16" t="n">
        <v>4064</v>
      </c>
      <c r="C4069" s="16" t="s">
        <v>12714</v>
      </c>
      <c r="D4069" s="16" t="n">
        <v>7</v>
      </c>
      <c r="E4069" s="37" t="s">
        <v>12715</v>
      </c>
      <c r="F4069" s="16" t="s">
        <v>1285</v>
      </c>
      <c r="G4069" s="16" t="s">
        <v>757</v>
      </c>
      <c r="H4069" s="16" t="s">
        <v>12499</v>
      </c>
      <c r="I4069" s="16" t="s">
        <v>127</v>
      </c>
      <c r="J4069" s="16" t="s">
        <v>12709</v>
      </c>
      <c r="K4069" s="32" t="n">
        <v>1</v>
      </c>
      <c r="L4069" s="33" t="n">
        <v>46024</v>
      </c>
      <c r="M4069" s="33" t="n">
        <v>46024</v>
      </c>
      <c r="N4069" s="16" t="s">
        <v>12716</v>
      </c>
      <c r="O4069" s="16"/>
      <c r="P4069" s="16" t="str">
        <f aca="false">IF(AND(L4069&lt;=$D$2,M4069&gt;=$C$2),"Sí","")</f>
        <v/>
      </c>
      <c r="Q4069" s="18" t="str">
        <f aca="false">IF(COUNTIF(LOOKAHEAD!$A$5:$A$604,A4069)&gt;0,"En Lookahead",IF(P4069="Sí","INCORPORAR",""))</f>
        <v/>
      </c>
    </row>
    <row r="4070" customFormat="false" ht="15" hidden="false" customHeight="false" outlineLevel="0" collapsed="false">
      <c r="A4070" s="16" t="s">
        <v>12717</v>
      </c>
      <c r="B4070" s="16" t="n">
        <v>4065</v>
      </c>
      <c r="C4070" s="16" t="s">
        <v>12718</v>
      </c>
      <c r="D4070" s="16" t="n">
        <v>7</v>
      </c>
      <c r="E4070" s="37" t="s">
        <v>12564</v>
      </c>
      <c r="F4070" s="16" t="s">
        <v>1285</v>
      </c>
      <c r="G4070" s="16" t="s">
        <v>757</v>
      </c>
      <c r="H4070" s="16" t="s">
        <v>12499</v>
      </c>
      <c r="I4070" s="16" t="s">
        <v>127</v>
      </c>
      <c r="J4070" s="16" t="s">
        <v>12709</v>
      </c>
      <c r="K4070" s="32" t="n">
        <v>1</v>
      </c>
      <c r="L4070" s="33" t="n">
        <v>46025</v>
      </c>
      <c r="M4070" s="33" t="n">
        <v>46025</v>
      </c>
      <c r="N4070" s="16" t="s">
        <v>12719</v>
      </c>
      <c r="O4070" s="16"/>
      <c r="P4070" s="16" t="str">
        <f aca="false">IF(AND(L4070&lt;=$D$2,M4070&gt;=$C$2),"Sí","")</f>
        <v/>
      </c>
      <c r="Q4070" s="18" t="str">
        <f aca="false">IF(COUNTIF(LOOKAHEAD!$A$5:$A$604,A4070)&gt;0,"En Lookahead",IF(P4070="Sí","INCORPORAR",""))</f>
        <v/>
      </c>
    </row>
    <row r="4071" customFormat="false" ht="15" hidden="false" customHeight="false" outlineLevel="0" collapsed="false">
      <c r="A4071" s="16" t="s">
        <v>12720</v>
      </c>
      <c r="B4071" s="16" t="n">
        <v>4066</v>
      </c>
      <c r="C4071" s="16" t="s">
        <v>12721</v>
      </c>
      <c r="D4071" s="16" t="n">
        <v>7</v>
      </c>
      <c r="E4071" s="37" t="s">
        <v>12722</v>
      </c>
      <c r="F4071" s="16" t="s">
        <v>1285</v>
      </c>
      <c r="G4071" s="16" t="s">
        <v>757</v>
      </c>
      <c r="H4071" s="16" t="s">
        <v>12499</v>
      </c>
      <c r="I4071" s="16" t="s">
        <v>127</v>
      </c>
      <c r="J4071" s="16" t="s">
        <v>12709</v>
      </c>
      <c r="K4071" s="32" t="n">
        <v>1</v>
      </c>
      <c r="L4071" s="33" t="n">
        <v>46026</v>
      </c>
      <c r="M4071" s="33" t="n">
        <v>46026</v>
      </c>
      <c r="N4071" s="16" t="s">
        <v>12723</v>
      </c>
      <c r="O4071" s="16"/>
      <c r="P4071" s="16" t="str">
        <f aca="false">IF(AND(L4071&lt;=$D$2,M4071&gt;=$C$2),"Sí","")</f>
        <v/>
      </c>
      <c r="Q4071" s="18" t="str">
        <f aca="false">IF(COUNTIF(LOOKAHEAD!$A$5:$A$604,A4071)&gt;0,"En Lookahead",IF(P4071="Sí","INCORPORAR",""))</f>
        <v/>
      </c>
    </row>
    <row r="4072" customFormat="false" ht="15" hidden="false" customHeight="false" outlineLevel="0" collapsed="false">
      <c r="A4072" s="16" t="s">
        <v>12724</v>
      </c>
      <c r="B4072" s="16" t="n">
        <v>4067</v>
      </c>
      <c r="C4072" s="16" t="s">
        <v>12725</v>
      </c>
      <c r="D4072" s="16" t="n">
        <v>7</v>
      </c>
      <c r="E4072" s="37" t="s">
        <v>12726</v>
      </c>
      <c r="F4072" s="16" t="s">
        <v>1285</v>
      </c>
      <c r="G4072" s="16" t="s">
        <v>757</v>
      </c>
      <c r="H4072" s="16" t="s">
        <v>12499</v>
      </c>
      <c r="I4072" s="16" t="s">
        <v>127</v>
      </c>
      <c r="J4072" s="16" t="s">
        <v>12709</v>
      </c>
      <c r="K4072" s="32" t="n">
        <v>1</v>
      </c>
      <c r="L4072" s="33" t="n">
        <v>46027</v>
      </c>
      <c r="M4072" s="33" t="n">
        <v>46027</v>
      </c>
      <c r="N4072" s="16" t="s">
        <v>12727</v>
      </c>
      <c r="O4072" s="16"/>
      <c r="P4072" s="16" t="str">
        <f aca="false">IF(AND(L4072&lt;=$D$2,M4072&gt;=$C$2),"Sí","")</f>
        <v/>
      </c>
      <c r="Q4072" s="18" t="str">
        <f aca="false">IF(COUNTIF(LOOKAHEAD!$A$5:$A$604,A4072)&gt;0,"En Lookahead",IF(P4072="Sí","INCORPORAR",""))</f>
        <v/>
      </c>
    </row>
    <row r="4073" customFormat="false" ht="15" hidden="false" customHeight="false" outlineLevel="0" collapsed="false">
      <c r="A4073" s="16" t="s">
        <v>12728</v>
      </c>
      <c r="B4073" s="16" t="n">
        <v>4068</v>
      </c>
      <c r="C4073" s="16" t="s">
        <v>12729</v>
      </c>
      <c r="D4073" s="16" t="n">
        <v>7</v>
      </c>
      <c r="E4073" s="37" t="s">
        <v>12730</v>
      </c>
      <c r="F4073" s="16" t="s">
        <v>1285</v>
      </c>
      <c r="G4073" s="16" t="s">
        <v>757</v>
      </c>
      <c r="H4073" s="16" t="s">
        <v>12499</v>
      </c>
      <c r="I4073" s="16" t="s">
        <v>127</v>
      </c>
      <c r="J4073" s="16" t="s">
        <v>12709</v>
      </c>
      <c r="K4073" s="32" t="n">
        <v>1</v>
      </c>
      <c r="L4073" s="33" t="n">
        <v>46028</v>
      </c>
      <c r="M4073" s="33" t="n">
        <v>46028</v>
      </c>
      <c r="N4073" s="16" t="s">
        <v>12731</v>
      </c>
      <c r="O4073" s="16"/>
      <c r="P4073" s="16" t="str">
        <f aca="false">IF(AND(L4073&lt;=$D$2,M4073&gt;=$C$2),"Sí","")</f>
        <v/>
      </c>
      <c r="Q4073" s="18" t="str">
        <f aca="false">IF(COUNTIF(LOOKAHEAD!$A$5:$A$604,A4073)&gt;0,"En Lookahead",IF(P4073="Sí","INCORPORAR",""))</f>
        <v/>
      </c>
    </row>
    <row r="4074" customFormat="false" ht="15" hidden="false" customHeight="false" outlineLevel="0" collapsed="false">
      <c r="A4074" s="16" t="s">
        <v>12732</v>
      </c>
      <c r="B4074" s="16" t="n">
        <v>4069</v>
      </c>
      <c r="C4074" s="16" t="s">
        <v>12733</v>
      </c>
      <c r="D4074" s="16" t="n">
        <v>7</v>
      </c>
      <c r="E4074" s="37" t="s">
        <v>12734</v>
      </c>
      <c r="F4074" s="16" t="s">
        <v>1285</v>
      </c>
      <c r="G4074" s="16" t="s">
        <v>757</v>
      </c>
      <c r="H4074" s="16" t="s">
        <v>12499</v>
      </c>
      <c r="I4074" s="16" t="s">
        <v>127</v>
      </c>
      <c r="J4074" s="16" t="s">
        <v>12709</v>
      </c>
      <c r="K4074" s="32" t="n">
        <v>1</v>
      </c>
      <c r="L4074" s="33" t="n">
        <v>46029</v>
      </c>
      <c r="M4074" s="33" t="n">
        <v>46029</v>
      </c>
      <c r="N4074" s="16" t="s">
        <v>12735</v>
      </c>
      <c r="O4074" s="16"/>
      <c r="P4074" s="16" t="str">
        <f aca="false">IF(AND(L4074&lt;=$D$2,M4074&gt;=$C$2),"Sí","")</f>
        <v/>
      </c>
      <c r="Q4074" s="18" t="str">
        <f aca="false">IF(COUNTIF(LOOKAHEAD!$A$5:$A$604,A4074)&gt;0,"En Lookahead",IF(P4074="Sí","INCORPORAR",""))</f>
        <v/>
      </c>
    </row>
    <row r="4075" customFormat="false" ht="15" hidden="false" customHeight="false" outlineLevel="0" collapsed="false">
      <c r="A4075" s="16" t="s">
        <v>12736</v>
      </c>
      <c r="B4075" s="16" t="n">
        <v>4070</v>
      </c>
      <c r="C4075" s="16" t="s">
        <v>12737</v>
      </c>
      <c r="D4075" s="16" t="n">
        <v>7</v>
      </c>
      <c r="E4075" s="37" t="s">
        <v>12738</v>
      </c>
      <c r="F4075" s="16" t="s">
        <v>1285</v>
      </c>
      <c r="G4075" s="16" t="s">
        <v>757</v>
      </c>
      <c r="H4075" s="16" t="s">
        <v>12499</v>
      </c>
      <c r="I4075" s="16" t="s">
        <v>127</v>
      </c>
      <c r="J4075" s="16" t="s">
        <v>12709</v>
      </c>
      <c r="K4075" s="32" t="n">
        <v>1</v>
      </c>
      <c r="L4075" s="33" t="n">
        <v>46030</v>
      </c>
      <c r="M4075" s="33" t="n">
        <v>46030</v>
      </c>
      <c r="N4075" s="16" t="s">
        <v>12739</v>
      </c>
      <c r="O4075" s="16"/>
      <c r="P4075" s="16" t="str">
        <f aca="false">IF(AND(L4075&lt;=$D$2,M4075&gt;=$C$2),"Sí","")</f>
        <v/>
      </c>
      <c r="Q4075" s="18" t="str">
        <f aca="false">IF(COUNTIF(LOOKAHEAD!$A$5:$A$604,A4075)&gt;0,"En Lookahead",IF(P4075="Sí","INCORPORAR",""))</f>
        <v/>
      </c>
    </row>
    <row r="4076" customFormat="false" ht="15" hidden="false" customHeight="false" outlineLevel="0" collapsed="false">
      <c r="A4076" s="16" t="s">
        <v>12740</v>
      </c>
      <c r="B4076" s="16" t="n">
        <v>4071</v>
      </c>
      <c r="C4076" s="16" t="s">
        <v>12741</v>
      </c>
      <c r="D4076" s="16" t="n">
        <v>7</v>
      </c>
      <c r="E4076" s="37" t="s">
        <v>12742</v>
      </c>
      <c r="F4076" s="16" t="s">
        <v>1285</v>
      </c>
      <c r="G4076" s="16" t="s">
        <v>757</v>
      </c>
      <c r="H4076" s="16" t="s">
        <v>12499</v>
      </c>
      <c r="I4076" s="16" t="s">
        <v>127</v>
      </c>
      <c r="J4076" s="16" t="s">
        <v>12709</v>
      </c>
      <c r="K4076" s="32" t="n">
        <v>1</v>
      </c>
      <c r="L4076" s="33" t="n">
        <v>46024</v>
      </c>
      <c r="M4076" s="33" t="n">
        <v>46024</v>
      </c>
      <c r="N4076" s="16" t="s">
        <v>12716</v>
      </c>
      <c r="O4076" s="16"/>
      <c r="P4076" s="16" t="str">
        <f aca="false">IF(AND(L4076&lt;=$D$2,M4076&gt;=$C$2),"Sí","")</f>
        <v/>
      </c>
      <c r="Q4076" s="18" t="str">
        <f aca="false">IF(COUNTIF(LOOKAHEAD!$A$5:$A$604,A4076)&gt;0,"En Lookahead",IF(P4076="Sí","INCORPORAR",""))</f>
        <v/>
      </c>
    </row>
    <row r="4077" customFormat="false" ht="15" hidden="false" customHeight="false" outlineLevel="0" collapsed="false">
      <c r="A4077" s="16" t="s">
        <v>12743</v>
      </c>
      <c r="B4077" s="16" t="n">
        <v>4072</v>
      </c>
      <c r="C4077" s="16" t="s">
        <v>12744</v>
      </c>
      <c r="D4077" s="16" t="n">
        <v>7</v>
      </c>
      <c r="E4077" s="37" t="s">
        <v>12745</v>
      </c>
      <c r="F4077" s="16" t="s">
        <v>1285</v>
      </c>
      <c r="G4077" s="16" t="s">
        <v>757</v>
      </c>
      <c r="H4077" s="16" t="s">
        <v>12499</v>
      </c>
      <c r="I4077" s="16" t="s">
        <v>127</v>
      </c>
      <c r="J4077" s="16" t="s">
        <v>12709</v>
      </c>
      <c r="K4077" s="32" t="n">
        <v>1</v>
      </c>
      <c r="L4077" s="33" t="n">
        <v>46025</v>
      </c>
      <c r="M4077" s="33" t="n">
        <v>46025</v>
      </c>
      <c r="N4077" s="16" t="s">
        <v>12719</v>
      </c>
      <c r="O4077" s="16"/>
      <c r="P4077" s="16" t="str">
        <f aca="false">IF(AND(L4077&lt;=$D$2,M4077&gt;=$C$2),"Sí","")</f>
        <v/>
      </c>
      <c r="Q4077" s="18" t="str">
        <f aca="false">IF(COUNTIF(LOOKAHEAD!$A$5:$A$604,A4077)&gt;0,"En Lookahead",IF(P4077="Sí","INCORPORAR",""))</f>
        <v/>
      </c>
    </row>
    <row r="4078" customFormat="false" ht="15" hidden="false" customHeight="false" outlineLevel="0" collapsed="false">
      <c r="A4078" s="16" t="s">
        <v>12746</v>
      </c>
      <c r="B4078" s="16" t="n">
        <v>4073</v>
      </c>
      <c r="C4078" s="16" t="s">
        <v>12747</v>
      </c>
      <c r="D4078" s="16" t="n">
        <v>7</v>
      </c>
      <c r="E4078" s="37" t="s">
        <v>12748</v>
      </c>
      <c r="F4078" s="16" t="s">
        <v>1285</v>
      </c>
      <c r="G4078" s="16" t="s">
        <v>757</v>
      </c>
      <c r="H4078" s="16" t="s">
        <v>12499</v>
      </c>
      <c r="I4078" s="16" t="s">
        <v>127</v>
      </c>
      <c r="J4078" s="16" t="s">
        <v>12709</v>
      </c>
      <c r="K4078" s="32" t="n">
        <v>1</v>
      </c>
      <c r="L4078" s="33" t="n">
        <v>46026</v>
      </c>
      <c r="M4078" s="33" t="n">
        <v>46026</v>
      </c>
      <c r="N4078" s="16" t="s">
        <v>12749</v>
      </c>
      <c r="O4078" s="16"/>
      <c r="P4078" s="16" t="str">
        <f aca="false">IF(AND(L4078&lt;=$D$2,M4078&gt;=$C$2),"Sí","")</f>
        <v/>
      </c>
      <c r="Q4078" s="18" t="str">
        <f aca="false">IF(COUNTIF(LOOKAHEAD!$A$5:$A$604,A4078)&gt;0,"En Lookahead",IF(P4078="Sí","INCORPORAR",""))</f>
        <v/>
      </c>
    </row>
    <row r="4079" customFormat="false" ht="15" hidden="false" customHeight="false" outlineLevel="0" collapsed="false">
      <c r="A4079" s="16" t="s">
        <v>12750</v>
      </c>
      <c r="B4079" s="16" t="n">
        <v>4074</v>
      </c>
      <c r="C4079" s="16" t="s">
        <v>12751</v>
      </c>
      <c r="D4079" s="16" t="n">
        <v>7</v>
      </c>
      <c r="E4079" s="37" t="s">
        <v>12752</v>
      </c>
      <c r="F4079" s="16" t="s">
        <v>1285</v>
      </c>
      <c r="G4079" s="16" t="s">
        <v>757</v>
      </c>
      <c r="H4079" s="16" t="s">
        <v>12499</v>
      </c>
      <c r="I4079" s="16" t="s">
        <v>127</v>
      </c>
      <c r="J4079" s="16" t="s">
        <v>12709</v>
      </c>
      <c r="K4079" s="32" t="n">
        <v>1</v>
      </c>
      <c r="L4079" s="33" t="n">
        <v>46027</v>
      </c>
      <c r="M4079" s="33" t="n">
        <v>46027</v>
      </c>
      <c r="N4079" s="16" t="s">
        <v>12753</v>
      </c>
      <c r="O4079" s="16"/>
      <c r="P4079" s="16" t="str">
        <f aca="false">IF(AND(L4079&lt;=$D$2,M4079&gt;=$C$2),"Sí","")</f>
        <v/>
      </c>
      <c r="Q4079" s="18" t="str">
        <f aca="false">IF(COUNTIF(LOOKAHEAD!$A$5:$A$604,A4079)&gt;0,"En Lookahead",IF(P4079="Sí","INCORPORAR",""))</f>
        <v/>
      </c>
    </row>
    <row r="4080" customFormat="false" ht="15" hidden="false" customHeight="false" outlineLevel="0" collapsed="false">
      <c r="A4080" s="16" t="s">
        <v>12754</v>
      </c>
      <c r="B4080" s="16" t="n">
        <v>4075</v>
      </c>
      <c r="C4080" s="16" t="s">
        <v>12755</v>
      </c>
      <c r="D4080" s="16" t="n">
        <v>7</v>
      </c>
      <c r="E4080" s="37" t="s">
        <v>12756</v>
      </c>
      <c r="F4080" s="16" t="s">
        <v>1285</v>
      </c>
      <c r="G4080" s="16" t="s">
        <v>757</v>
      </c>
      <c r="H4080" s="16" t="s">
        <v>12499</v>
      </c>
      <c r="I4080" s="16" t="s">
        <v>127</v>
      </c>
      <c r="J4080" s="16" t="s">
        <v>12709</v>
      </c>
      <c r="K4080" s="32" t="n">
        <v>1</v>
      </c>
      <c r="L4080" s="33" t="n">
        <v>46028</v>
      </c>
      <c r="M4080" s="33" t="n">
        <v>46028</v>
      </c>
      <c r="N4080" s="16" t="s">
        <v>12757</v>
      </c>
      <c r="O4080" s="16"/>
      <c r="P4080" s="16" t="str">
        <f aca="false">IF(AND(L4080&lt;=$D$2,M4080&gt;=$C$2),"Sí","")</f>
        <v/>
      </c>
      <c r="Q4080" s="18" t="str">
        <f aca="false">IF(COUNTIF(LOOKAHEAD!$A$5:$A$604,A4080)&gt;0,"En Lookahead",IF(P4080="Sí","INCORPORAR",""))</f>
        <v/>
      </c>
    </row>
    <row r="4081" customFormat="false" ht="15" hidden="false" customHeight="false" outlineLevel="0" collapsed="false">
      <c r="A4081" s="16" t="s">
        <v>12758</v>
      </c>
      <c r="B4081" s="16" t="n">
        <v>4076</v>
      </c>
      <c r="C4081" s="16" t="s">
        <v>12759</v>
      </c>
      <c r="D4081" s="16" t="n">
        <v>7</v>
      </c>
      <c r="E4081" s="37" t="s">
        <v>12760</v>
      </c>
      <c r="F4081" s="16" t="s">
        <v>1285</v>
      </c>
      <c r="G4081" s="16" t="s">
        <v>757</v>
      </c>
      <c r="H4081" s="16" t="s">
        <v>12499</v>
      </c>
      <c r="I4081" s="16" t="s">
        <v>127</v>
      </c>
      <c r="J4081" s="16" t="s">
        <v>12709</v>
      </c>
      <c r="K4081" s="32" t="n">
        <v>1</v>
      </c>
      <c r="L4081" s="33" t="n">
        <v>46029</v>
      </c>
      <c r="M4081" s="33" t="n">
        <v>46029</v>
      </c>
      <c r="N4081" s="16" t="s">
        <v>12761</v>
      </c>
      <c r="O4081" s="16"/>
      <c r="P4081" s="16" t="str">
        <f aca="false">IF(AND(L4081&lt;=$D$2,M4081&gt;=$C$2),"Sí","")</f>
        <v/>
      </c>
      <c r="Q4081" s="18" t="str">
        <f aca="false">IF(COUNTIF(LOOKAHEAD!$A$5:$A$604,A4081)&gt;0,"En Lookahead",IF(P4081="Sí","INCORPORAR",""))</f>
        <v/>
      </c>
    </row>
    <row r="4082" customFormat="false" ht="15" hidden="false" customHeight="false" outlineLevel="0" collapsed="false">
      <c r="A4082" s="16" t="s">
        <v>12762</v>
      </c>
      <c r="B4082" s="16" t="n">
        <v>4077</v>
      </c>
      <c r="C4082" s="16" t="s">
        <v>12763</v>
      </c>
      <c r="D4082" s="16" t="n">
        <v>7</v>
      </c>
      <c r="E4082" s="37" t="s">
        <v>12764</v>
      </c>
      <c r="F4082" s="16" t="s">
        <v>1285</v>
      </c>
      <c r="G4082" s="16" t="s">
        <v>757</v>
      </c>
      <c r="H4082" s="16" t="s">
        <v>12499</v>
      </c>
      <c r="I4082" s="16" t="s">
        <v>127</v>
      </c>
      <c r="J4082" s="16" t="s">
        <v>12709</v>
      </c>
      <c r="K4082" s="32" t="n">
        <v>1</v>
      </c>
      <c r="L4082" s="33" t="n">
        <v>46030</v>
      </c>
      <c r="M4082" s="33" t="n">
        <v>46030</v>
      </c>
      <c r="N4082" s="16" t="s">
        <v>12765</v>
      </c>
      <c r="O4082" s="16"/>
      <c r="P4082" s="16" t="str">
        <f aca="false">IF(AND(L4082&lt;=$D$2,M4082&gt;=$C$2),"Sí","")</f>
        <v/>
      </c>
      <c r="Q4082" s="18" t="str">
        <f aca="false">IF(COUNTIF(LOOKAHEAD!$A$5:$A$604,A4082)&gt;0,"En Lookahead",IF(P4082="Sí","INCORPORAR",""))</f>
        <v/>
      </c>
    </row>
    <row r="4083" customFormat="false" ht="15" hidden="false" customHeight="false" outlineLevel="0" collapsed="false">
      <c r="A4083" s="16" t="s">
        <v>12766</v>
      </c>
      <c r="B4083" s="16" t="n">
        <v>4078</v>
      </c>
      <c r="C4083" s="16" t="s">
        <v>12767</v>
      </c>
      <c r="D4083" s="16" t="n">
        <v>7</v>
      </c>
      <c r="E4083" s="37" t="s">
        <v>12688</v>
      </c>
      <c r="F4083" s="16" t="s">
        <v>1285</v>
      </c>
      <c r="G4083" s="16" t="s">
        <v>757</v>
      </c>
      <c r="H4083" s="16" t="s">
        <v>12499</v>
      </c>
      <c r="I4083" s="16" t="s">
        <v>127</v>
      </c>
      <c r="J4083" s="16" t="s">
        <v>12709</v>
      </c>
      <c r="K4083" s="32" t="n">
        <v>1</v>
      </c>
      <c r="L4083" s="33" t="n">
        <v>46031</v>
      </c>
      <c r="M4083" s="33" t="n">
        <v>46031</v>
      </c>
      <c r="N4083" s="16" t="s">
        <v>12768</v>
      </c>
      <c r="O4083" s="16"/>
      <c r="P4083" s="16" t="str">
        <f aca="false">IF(AND(L4083&lt;=$D$2,M4083&gt;=$C$2),"Sí","")</f>
        <v/>
      </c>
      <c r="Q4083" s="18" t="str">
        <f aca="false">IF(COUNTIF(LOOKAHEAD!$A$5:$A$604,A4083)&gt;0,"En Lookahead",IF(P4083="Sí","INCORPORAR",""))</f>
        <v/>
      </c>
    </row>
    <row r="4084" customFormat="false" ht="15" hidden="false" customHeight="false" outlineLevel="0" collapsed="false">
      <c r="A4084" s="16" t="s">
        <v>12769</v>
      </c>
      <c r="B4084" s="16" t="n">
        <v>4079</v>
      </c>
      <c r="C4084" s="16" t="s">
        <v>12770</v>
      </c>
      <c r="D4084" s="16" t="n">
        <v>7</v>
      </c>
      <c r="E4084" s="37" t="s">
        <v>12771</v>
      </c>
      <c r="F4084" s="16" t="s">
        <v>1285</v>
      </c>
      <c r="G4084" s="16" t="s">
        <v>757</v>
      </c>
      <c r="H4084" s="16" t="s">
        <v>12499</v>
      </c>
      <c r="I4084" s="16" t="s">
        <v>127</v>
      </c>
      <c r="J4084" s="16" t="s">
        <v>12709</v>
      </c>
      <c r="K4084" s="32" t="n">
        <v>1</v>
      </c>
      <c r="L4084" s="33" t="n">
        <v>46032</v>
      </c>
      <c r="M4084" s="33" t="n">
        <v>46032</v>
      </c>
      <c r="N4084" s="16" t="s">
        <v>12772</v>
      </c>
      <c r="O4084" s="16"/>
      <c r="P4084" s="16" t="str">
        <f aca="false">IF(AND(L4084&lt;=$D$2,M4084&gt;=$C$2),"Sí","")</f>
        <v/>
      </c>
      <c r="Q4084" s="18" t="str">
        <f aca="false">IF(COUNTIF(LOOKAHEAD!$A$5:$A$604,A4084)&gt;0,"En Lookahead",IF(P4084="Sí","INCORPORAR",""))</f>
        <v/>
      </c>
    </row>
    <row r="4085" customFormat="false" ht="15" hidden="false" customHeight="false" outlineLevel="0" collapsed="false">
      <c r="A4085" s="16" t="s">
        <v>12773</v>
      </c>
      <c r="B4085" s="16" t="n">
        <v>4080</v>
      </c>
      <c r="C4085" s="16" t="s">
        <v>12774</v>
      </c>
      <c r="D4085" s="16" t="n">
        <v>7</v>
      </c>
      <c r="E4085" s="37" t="s">
        <v>12775</v>
      </c>
      <c r="F4085" s="16" t="s">
        <v>1285</v>
      </c>
      <c r="G4085" s="16" t="s">
        <v>757</v>
      </c>
      <c r="H4085" s="16" t="s">
        <v>12499</v>
      </c>
      <c r="I4085" s="16" t="s">
        <v>127</v>
      </c>
      <c r="J4085" s="16" t="s">
        <v>12709</v>
      </c>
      <c r="K4085" s="32" t="n">
        <v>2</v>
      </c>
      <c r="L4085" s="33" t="n">
        <v>46033</v>
      </c>
      <c r="M4085" s="33" t="n">
        <v>46034</v>
      </c>
      <c r="N4085" s="16" t="s">
        <v>12776</v>
      </c>
      <c r="O4085" s="16"/>
      <c r="P4085" s="16" t="str">
        <f aca="false">IF(AND(L4085&lt;=$D$2,M4085&gt;=$C$2),"Sí","")</f>
        <v/>
      </c>
      <c r="Q4085" s="18" t="str">
        <f aca="false">IF(COUNTIF(LOOKAHEAD!$A$5:$A$604,A4085)&gt;0,"En Lookahead",IF(P4085="Sí","INCORPORAR",""))</f>
        <v/>
      </c>
    </row>
    <row r="4086" customFormat="false" ht="15" hidden="false" customHeight="false" outlineLevel="0" collapsed="false">
      <c r="A4086" s="16" t="s">
        <v>12777</v>
      </c>
      <c r="B4086" s="16" t="n">
        <v>4081</v>
      </c>
      <c r="C4086" s="16" t="s">
        <v>12778</v>
      </c>
      <c r="D4086" s="16" t="n">
        <v>7</v>
      </c>
      <c r="E4086" s="37" t="s">
        <v>12779</v>
      </c>
      <c r="F4086" s="16" t="s">
        <v>1285</v>
      </c>
      <c r="G4086" s="16" t="s">
        <v>757</v>
      </c>
      <c r="H4086" s="16" t="s">
        <v>12499</v>
      </c>
      <c r="I4086" s="16" t="s">
        <v>127</v>
      </c>
      <c r="J4086" s="16" t="s">
        <v>12709</v>
      </c>
      <c r="K4086" s="32" t="n">
        <v>2</v>
      </c>
      <c r="L4086" s="33" t="n">
        <v>46033</v>
      </c>
      <c r="M4086" s="33" t="n">
        <v>46034</v>
      </c>
      <c r="N4086" s="16" t="s">
        <v>12780</v>
      </c>
      <c r="O4086" s="16"/>
      <c r="P4086" s="16" t="str">
        <f aca="false">IF(AND(L4086&lt;=$D$2,M4086&gt;=$C$2),"Sí","")</f>
        <v/>
      </c>
      <c r="Q4086" s="18" t="str">
        <f aca="false">IF(COUNTIF(LOOKAHEAD!$A$5:$A$604,A4086)&gt;0,"En Lookahead",IF(P4086="Sí","INCORPORAR",""))</f>
        <v/>
      </c>
    </row>
    <row r="4087" customFormat="false" ht="15" hidden="false" customHeight="false" outlineLevel="0" collapsed="false">
      <c r="A4087" s="16" t="s">
        <v>12781</v>
      </c>
      <c r="B4087" s="16" t="n">
        <v>4082</v>
      </c>
      <c r="C4087" s="16" t="s">
        <v>12782</v>
      </c>
      <c r="D4087" s="16" t="n">
        <v>7</v>
      </c>
      <c r="E4087" s="37" t="s">
        <v>10904</v>
      </c>
      <c r="F4087" s="16" t="s">
        <v>1285</v>
      </c>
      <c r="G4087" s="16" t="s">
        <v>757</v>
      </c>
      <c r="H4087" s="16" t="s">
        <v>12499</v>
      </c>
      <c r="I4087" s="16" t="s">
        <v>127</v>
      </c>
      <c r="J4087" s="16" t="s">
        <v>12709</v>
      </c>
      <c r="K4087" s="32" t="n">
        <v>1</v>
      </c>
      <c r="L4087" s="33" t="n">
        <v>46025</v>
      </c>
      <c r="M4087" s="33" t="n">
        <v>46025</v>
      </c>
      <c r="N4087" s="16" t="s">
        <v>12783</v>
      </c>
      <c r="O4087" s="16"/>
      <c r="P4087" s="16" t="str">
        <f aca="false">IF(AND(L4087&lt;=$D$2,M4087&gt;=$C$2),"Sí","")</f>
        <v/>
      </c>
      <c r="Q4087" s="18" t="str">
        <f aca="false">IF(COUNTIF(LOOKAHEAD!$A$5:$A$604,A4087)&gt;0,"En Lookahead",IF(P4087="Sí","INCORPORAR",""))</f>
        <v/>
      </c>
    </row>
    <row r="4088" customFormat="false" ht="15" hidden="false" customHeight="false" outlineLevel="0" collapsed="false">
      <c r="A4088" s="16" t="s">
        <v>12784</v>
      </c>
      <c r="B4088" s="16" t="n">
        <v>4083</v>
      </c>
      <c r="C4088" s="16" t="s">
        <v>12785</v>
      </c>
      <c r="D4088" s="16" t="n">
        <v>7</v>
      </c>
      <c r="E4088" s="37" t="s">
        <v>12786</v>
      </c>
      <c r="F4088" s="16" t="s">
        <v>1285</v>
      </c>
      <c r="G4088" s="16" t="s">
        <v>757</v>
      </c>
      <c r="H4088" s="16" t="s">
        <v>12499</v>
      </c>
      <c r="I4088" s="16" t="s">
        <v>127</v>
      </c>
      <c r="J4088" s="16" t="s">
        <v>12709</v>
      </c>
      <c r="K4088" s="32" t="n">
        <v>1</v>
      </c>
      <c r="L4088" s="33" t="n">
        <v>46026</v>
      </c>
      <c r="M4088" s="33" t="n">
        <v>46026</v>
      </c>
      <c r="N4088" s="16" t="s">
        <v>12787</v>
      </c>
      <c r="O4088" s="16"/>
      <c r="P4088" s="16" t="str">
        <f aca="false">IF(AND(L4088&lt;=$D$2,M4088&gt;=$C$2),"Sí","")</f>
        <v/>
      </c>
      <c r="Q4088" s="18" t="str">
        <f aca="false">IF(COUNTIF(LOOKAHEAD!$A$5:$A$604,A4088)&gt;0,"En Lookahead",IF(P4088="Sí","INCORPORAR",""))</f>
        <v/>
      </c>
    </row>
    <row r="4089" customFormat="false" ht="15" hidden="false" customHeight="false" outlineLevel="0" collapsed="false">
      <c r="A4089" s="16" t="s">
        <v>12788</v>
      </c>
      <c r="B4089" s="16" t="n">
        <v>4084</v>
      </c>
      <c r="C4089" s="16" t="s">
        <v>12789</v>
      </c>
      <c r="D4089" s="16" t="n">
        <v>7</v>
      </c>
      <c r="E4089" s="37" t="s">
        <v>12790</v>
      </c>
      <c r="F4089" s="16" t="s">
        <v>1285</v>
      </c>
      <c r="G4089" s="16" t="s">
        <v>757</v>
      </c>
      <c r="H4089" s="16" t="s">
        <v>12499</v>
      </c>
      <c r="I4089" s="16" t="s">
        <v>127</v>
      </c>
      <c r="J4089" s="16" t="s">
        <v>12709</v>
      </c>
      <c r="K4089" s="32" t="n">
        <v>1</v>
      </c>
      <c r="L4089" s="33" t="n">
        <v>46027</v>
      </c>
      <c r="M4089" s="33" t="n">
        <v>46027</v>
      </c>
      <c r="N4089" s="16" t="s">
        <v>12791</v>
      </c>
      <c r="O4089" s="16"/>
      <c r="P4089" s="16" t="str">
        <f aca="false">IF(AND(L4089&lt;=$D$2,M4089&gt;=$C$2),"Sí","")</f>
        <v/>
      </c>
      <c r="Q4089" s="18" t="str">
        <f aca="false">IF(COUNTIF(LOOKAHEAD!$A$5:$A$604,A4089)&gt;0,"En Lookahead",IF(P4089="Sí","INCORPORAR",""))</f>
        <v/>
      </c>
    </row>
    <row r="4090" customFormat="false" ht="15" hidden="false" customHeight="false" outlineLevel="0" collapsed="false">
      <c r="A4090" s="16" t="s">
        <v>12792</v>
      </c>
      <c r="B4090" s="16" t="n">
        <v>4085</v>
      </c>
      <c r="C4090" s="16" t="s">
        <v>12793</v>
      </c>
      <c r="D4090" s="16" t="n">
        <v>7</v>
      </c>
      <c r="E4090" s="37" t="s">
        <v>12794</v>
      </c>
      <c r="F4090" s="16" t="s">
        <v>1285</v>
      </c>
      <c r="G4090" s="16" t="s">
        <v>757</v>
      </c>
      <c r="H4090" s="16" t="s">
        <v>12499</v>
      </c>
      <c r="I4090" s="16" t="s">
        <v>127</v>
      </c>
      <c r="J4090" s="16" t="s">
        <v>12709</v>
      </c>
      <c r="K4090" s="32" t="n">
        <v>1</v>
      </c>
      <c r="L4090" s="33" t="n">
        <v>46028</v>
      </c>
      <c r="M4090" s="33" t="n">
        <v>46028</v>
      </c>
      <c r="N4090" s="16" t="s">
        <v>12795</v>
      </c>
      <c r="O4090" s="16"/>
      <c r="P4090" s="16" t="str">
        <f aca="false">IF(AND(L4090&lt;=$D$2,M4090&gt;=$C$2),"Sí","")</f>
        <v/>
      </c>
      <c r="Q4090" s="18" t="str">
        <f aca="false">IF(COUNTIF(LOOKAHEAD!$A$5:$A$604,A4090)&gt;0,"En Lookahead",IF(P4090="Sí","INCORPORAR",""))</f>
        <v/>
      </c>
    </row>
    <row r="4091" customFormat="false" ht="15" hidden="false" customHeight="false" outlineLevel="0" collapsed="false">
      <c r="A4091" s="16" t="s">
        <v>12796</v>
      </c>
      <c r="B4091" s="16" t="n">
        <v>4086</v>
      </c>
      <c r="C4091" s="16" t="s">
        <v>12797</v>
      </c>
      <c r="D4091" s="16" t="n">
        <v>7</v>
      </c>
      <c r="E4091" s="37" t="s">
        <v>12798</v>
      </c>
      <c r="F4091" s="16" t="s">
        <v>1285</v>
      </c>
      <c r="G4091" s="16" t="s">
        <v>757</v>
      </c>
      <c r="H4091" s="16" t="s">
        <v>12499</v>
      </c>
      <c r="I4091" s="16" t="s">
        <v>127</v>
      </c>
      <c r="J4091" s="16" t="s">
        <v>12709</v>
      </c>
      <c r="K4091" s="32" t="n">
        <v>1</v>
      </c>
      <c r="L4091" s="33" t="n">
        <v>46029</v>
      </c>
      <c r="M4091" s="33" t="n">
        <v>46029</v>
      </c>
      <c r="N4091" s="16" t="s">
        <v>12799</v>
      </c>
      <c r="O4091" s="16"/>
      <c r="P4091" s="16" t="str">
        <f aca="false">IF(AND(L4091&lt;=$D$2,M4091&gt;=$C$2),"Sí","")</f>
        <v/>
      </c>
      <c r="Q4091" s="18" t="str">
        <f aca="false">IF(COUNTIF(LOOKAHEAD!$A$5:$A$604,A4091)&gt;0,"En Lookahead",IF(P4091="Sí","INCORPORAR",""))</f>
        <v/>
      </c>
    </row>
    <row r="4092" customFormat="false" ht="15" hidden="false" customHeight="false" outlineLevel="0" collapsed="false">
      <c r="A4092" s="16" t="s">
        <v>12800</v>
      </c>
      <c r="B4092" s="16" t="n">
        <v>4087</v>
      </c>
      <c r="C4092" s="16" t="s">
        <v>12801</v>
      </c>
      <c r="D4092" s="16" t="n">
        <v>7</v>
      </c>
      <c r="E4092" s="37" t="s">
        <v>12802</v>
      </c>
      <c r="F4092" s="16" t="s">
        <v>1285</v>
      </c>
      <c r="G4092" s="16" t="s">
        <v>757</v>
      </c>
      <c r="H4092" s="16" t="s">
        <v>12499</v>
      </c>
      <c r="I4092" s="16" t="s">
        <v>127</v>
      </c>
      <c r="J4092" s="16" t="s">
        <v>12709</v>
      </c>
      <c r="K4092" s="32" t="n">
        <v>1</v>
      </c>
      <c r="L4092" s="33" t="n">
        <v>46030</v>
      </c>
      <c r="M4092" s="33" t="n">
        <v>46030</v>
      </c>
      <c r="N4092" s="16" t="s">
        <v>12803</v>
      </c>
      <c r="O4092" s="16"/>
      <c r="P4092" s="16" t="str">
        <f aca="false">IF(AND(L4092&lt;=$D$2,M4092&gt;=$C$2),"Sí","")</f>
        <v/>
      </c>
      <c r="Q4092" s="18" t="str">
        <f aca="false">IF(COUNTIF(LOOKAHEAD!$A$5:$A$604,A4092)&gt;0,"En Lookahead",IF(P4092="Sí","INCORPORAR",""))</f>
        <v/>
      </c>
    </row>
    <row r="4093" customFormat="false" ht="15" hidden="false" customHeight="false" outlineLevel="0" collapsed="false">
      <c r="A4093" s="16" t="s">
        <v>12804</v>
      </c>
      <c r="B4093" s="16" t="n">
        <v>4088</v>
      </c>
      <c r="C4093" s="16" t="s">
        <v>12805</v>
      </c>
      <c r="D4093" s="16" t="n">
        <v>7</v>
      </c>
      <c r="E4093" s="37" t="s">
        <v>12806</v>
      </c>
      <c r="F4093" s="16" t="s">
        <v>1285</v>
      </c>
      <c r="G4093" s="16" t="s">
        <v>757</v>
      </c>
      <c r="H4093" s="16" t="s">
        <v>12499</v>
      </c>
      <c r="I4093" s="16" t="s">
        <v>127</v>
      </c>
      <c r="J4093" s="16" t="s">
        <v>12709</v>
      </c>
      <c r="K4093" s="32" t="n">
        <v>3</v>
      </c>
      <c r="L4093" s="33" t="n">
        <v>46031</v>
      </c>
      <c r="M4093" s="33" t="n">
        <v>46033</v>
      </c>
      <c r="N4093" s="16" t="s">
        <v>12807</v>
      </c>
      <c r="O4093" s="16"/>
      <c r="P4093" s="16" t="str">
        <f aca="false">IF(AND(L4093&lt;=$D$2,M4093&gt;=$C$2),"Sí","")</f>
        <v/>
      </c>
      <c r="Q4093" s="18" t="str">
        <f aca="false">IF(COUNTIF(LOOKAHEAD!$A$5:$A$604,A4093)&gt;0,"En Lookahead",IF(P4093="Sí","INCORPORAR",""))</f>
        <v/>
      </c>
    </row>
    <row r="4094" customFormat="false" ht="15" hidden="false" customHeight="false" outlineLevel="0" collapsed="false">
      <c r="A4094" s="16" t="s">
        <v>12808</v>
      </c>
      <c r="B4094" s="16" t="n">
        <v>4089</v>
      </c>
      <c r="C4094" s="16" t="s">
        <v>12809</v>
      </c>
      <c r="D4094" s="16" t="n">
        <v>7</v>
      </c>
      <c r="E4094" s="37" t="s">
        <v>12810</v>
      </c>
      <c r="F4094" s="16" t="s">
        <v>1285</v>
      </c>
      <c r="G4094" s="16" t="s">
        <v>757</v>
      </c>
      <c r="H4094" s="16" t="s">
        <v>12499</v>
      </c>
      <c r="I4094" s="16" t="s">
        <v>127</v>
      </c>
      <c r="J4094" s="16" t="s">
        <v>12709</v>
      </c>
      <c r="K4094" s="32" t="n">
        <v>3</v>
      </c>
      <c r="L4094" s="33" t="n">
        <v>46031</v>
      </c>
      <c r="M4094" s="33" t="n">
        <v>46033</v>
      </c>
      <c r="N4094" s="16" t="s">
        <v>12811</v>
      </c>
      <c r="O4094" s="16"/>
      <c r="P4094" s="16" t="str">
        <f aca="false">IF(AND(L4094&lt;=$D$2,M4094&gt;=$C$2),"Sí","")</f>
        <v/>
      </c>
      <c r="Q4094" s="18" t="str">
        <f aca="false">IF(COUNTIF(LOOKAHEAD!$A$5:$A$604,A4094)&gt;0,"En Lookahead",IF(P4094="Sí","INCORPORAR",""))</f>
        <v/>
      </c>
    </row>
    <row r="4095" customFormat="false" ht="15" hidden="false" customHeight="false" outlineLevel="0" collapsed="false">
      <c r="A4095" s="13" t="s">
        <v>12812</v>
      </c>
      <c r="B4095" s="13" t="n">
        <v>4090</v>
      </c>
      <c r="C4095" s="13" t="s">
        <v>12813</v>
      </c>
      <c r="D4095" s="13" t="n">
        <v>6</v>
      </c>
      <c r="E4095" s="36" t="s">
        <v>2800</v>
      </c>
      <c r="F4095" s="13" t="s">
        <v>1298</v>
      </c>
      <c r="G4095" s="13" t="s">
        <v>757</v>
      </c>
      <c r="H4095" s="13" t="s">
        <v>12499</v>
      </c>
      <c r="I4095" s="13" t="s">
        <v>127</v>
      </c>
      <c r="J4095" s="13" t="s">
        <v>9975</v>
      </c>
      <c r="K4095" s="30" t="n">
        <v>8</v>
      </c>
      <c r="L4095" s="31" t="n">
        <v>46024</v>
      </c>
      <c r="M4095" s="31" t="n">
        <v>46031</v>
      </c>
      <c r="N4095" s="13"/>
      <c r="O4095" s="13"/>
      <c r="P4095" s="13"/>
      <c r="Q4095" s="13"/>
    </row>
    <row r="4096" customFormat="false" ht="15" hidden="false" customHeight="false" outlineLevel="0" collapsed="false">
      <c r="A4096" s="16" t="s">
        <v>12814</v>
      </c>
      <c r="B4096" s="16" t="n">
        <v>4091</v>
      </c>
      <c r="C4096" s="16" t="s">
        <v>12815</v>
      </c>
      <c r="D4096" s="16" t="n">
        <v>7</v>
      </c>
      <c r="E4096" s="37" t="s">
        <v>12712</v>
      </c>
      <c r="F4096" s="16" t="s">
        <v>1285</v>
      </c>
      <c r="G4096" s="16" t="s">
        <v>757</v>
      </c>
      <c r="H4096" s="16" t="s">
        <v>12499</v>
      </c>
      <c r="I4096" s="16" t="s">
        <v>127</v>
      </c>
      <c r="J4096" s="16" t="s">
        <v>2800</v>
      </c>
      <c r="K4096" s="32" t="n">
        <v>1</v>
      </c>
      <c r="L4096" s="33" t="n">
        <v>46024</v>
      </c>
      <c r="M4096" s="33" t="n">
        <v>46024</v>
      </c>
      <c r="N4096" s="16" t="s">
        <v>12716</v>
      </c>
      <c r="O4096" s="16"/>
      <c r="P4096" s="16" t="str">
        <f aca="false">IF(AND(L4096&lt;=$D$2,M4096&gt;=$C$2),"Sí","")</f>
        <v/>
      </c>
      <c r="Q4096" s="18" t="str">
        <f aca="false">IF(COUNTIF(LOOKAHEAD!$A$5:$A$604,A4096)&gt;0,"En Lookahead",IF(P4096="Sí","INCORPORAR",""))</f>
        <v/>
      </c>
    </row>
    <row r="4097" customFormat="false" ht="15" hidden="false" customHeight="false" outlineLevel="0" collapsed="false">
      <c r="A4097" s="16" t="s">
        <v>12816</v>
      </c>
      <c r="B4097" s="16" t="n">
        <v>4092</v>
      </c>
      <c r="C4097" s="16" t="s">
        <v>12817</v>
      </c>
      <c r="D4097" s="16" t="n">
        <v>7</v>
      </c>
      <c r="E4097" s="37" t="s">
        <v>12564</v>
      </c>
      <c r="F4097" s="16" t="s">
        <v>1285</v>
      </c>
      <c r="G4097" s="16" t="s">
        <v>757</v>
      </c>
      <c r="H4097" s="16" t="s">
        <v>12499</v>
      </c>
      <c r="I4097" s="16" t="s">
        <v>127</v>
      </c>
      <c r="J4097" s="16" t="s">
        <v>2800</v>
      </c>
      <c r="K4097" s="32" t="n">
        <v>1</v>
      </c>
      <c r="L4097" s="33" t="n">
        <v>46025</v>
      </c>
      <c r="M4097" s="33" t="n">
        <v>46025</v>
      </c>
      <c r="N4097" s="16" t="s">
        <v>12818</v>
      </c>
      <c r="O4097" s="16"/>
      <c r="P4097" s="16" t="str">
        <f aca="false">IF(AND(L4097&lt;=$D$2,M4097&gt;=$C$2),"Sí","")</f>
        <v/>
      </c>
      <c r="Q4097" s="18" t="str">
        <f aca="false">IF(COUNTIF(LOOKAHEAD!$A$5:$A$604,A4097)&gt;0,"En Lookahead",IF(P4097="Sí","INCORPORAR",""))</f>
        <v/>
      </c>
    </row>
    <row r="4098" customFormat="false" ht="15" hidden="false" customHeight="false" outlineLevel="0" collapsed="false">
      <c r="A4098" s="16" t="s">
        <v>12819</v>
      </c>
      <c r="B4098" s="16" t="n">
        <v>4093</v>
      </c>
      <c r="C4098" s="16" t="s">
        <v>12820</v>
      </c>
      <c r="D4098" s="16" t="n">
        <v>7</v>
      </c>
      <c r="E4098" s="37" t="s">
        <v>12821</v>
      </c>
      <c r="F4098" s="16" t="s">
        <v>1285</v>
      </c>
      <c r="G4098" s="16" t="s">
        <v>757</v>
      </c>
      <c r="H4098" s="16" t="s">
        <v>12499</v>
      </c>
      <c r="I4098" s="16" t="s">
        <v>127</v>
      </c>
      <c r="J4098" s="16" t="s">
        <v>2800</v>
      </c>
      <c r="K4098" s="32" t="n">
        <v>1</v>
      </c>
      <c r="L4098" s="33" t="n">
        <v>46026</v>
      </c>
      <c r="M4098" s="33" t="n">
        <v>46026</v>
      </c>
      <c r="N4098" s="16" t="s">
        <v>12822</v>
      </c>
      <c r="O4098" s="16"/>
      <c r="P4098" s="16" t="str">
        <f aca="false">IF(AND(L4098&lt;=$D$2,M4098&gt;=$C$2),"Sí","")</f>
        <v/>
      </c>
      <c r="Q4098" s="18" t="str">
        <f aca="false">IF(COUNTIF(LOOKAHEAD!$A$5:$A$604,A4098)&gt;0,"En Lookahead",IF(P4098="Sí","INCORPORAR",""))</f>
        <v/>
      </c>
    </row>
    <row r="4099" customFormat="false" ht="15" hidden="false" customHeight="false" outlineLevel="0" collapsed="false">
      <c r="A4099" s="16" t="s">
        <v>12823</v>
      </c>
      <c r="B4099" s="16" t="n">
        <v>4094</v>
      </c>
      <c r="C4099" s="16" t="s">
        <v>12824</v>
      </c>
      <c r="D4099" s="16" t="n">
        <v>7</v>
      </c>
      <c r="E4099" s="37" t="s">
        <v>12722</v>
      </c>
      <c r="F4099" s="16" t="s">
        <v>1285</v>
      </c>
      <c r="G4099" s="16" t="s">
        <v>757</v>
      </c>
      <c r="H4099" s="16" t="s">
        <v>12499</v>
      </c>
      <c r="I4099" s="16" t="s">
        <v>127</v>
      </c>
      <c r="J4099" s="16" t="s">
        <v>2800</v>
      </c>
      <c r="K4099" s="32" t="n">
        <v>1</v>
      </c>
      <c r="L4099" s="33" t="n">
        <v>46027</v>
      </c>
      <c r="M4099" s="33" t="n">
        <v>46027</v>
      </c>
      <c r="N4099" s="16" t="s">
        <v>12825</v>
      </c>
      <c r="O4099" s="16"/>
      <c r="P4099" s="16" t="str">
        <f aca="false">IF(AND(L4099&lt;=$D$2,M4099&gt;=$C$2),"Sí","")</f>
        <v/>
      </c>
      <c r="Q4099" s="18" t="str">
        <f aca="false">IF(COUNTIF(LOOKAHEAD!$A$5:$A$604,A4099)&gt;0,"En Lookahead",IF(P4099="Sí","INCORPORAR",""))</f>
        <v/>
      </c>
    </row>
    <row r="4100" customFormat="false" ht="15" hidden="false" customHeight="false" outlineLevel="0" collapsed="false">
      <c r="A4100" s="16" t="s">
        <v>12826</v>
      </c>
      <c r="B4100" s="16" t="n">
        <v>4095</v>
      </c>
      <c r="C4100" s="16" t="s">
        <v>12827</v>
      </c>
      <c r="D4100" s="16" t="n">
        <v>7</v>
      </c>
      <c r="E4100" s="37" t="s">
        <v>12730</v>
      </c>
      <c r="F4100" s="16" t="s">
        <v>1285</v>
      </c>
      <c r="G4100" s="16" t="s">
        <v>757</v>
      </c>
      <c r="H4100" s="16" t="s">
        <v>12499</v>
      </c>
      <c r="I4100" s="16" t="s">
        <v>127</v>
      </c>
      <c r="J4100" s="16" t="s">
        <v>2800</v>
      </c>
      <c r="K4100" s="32" t="n">
        <v>1</v>
      </c>
      <c r="L4100" s="33" t="n">
        <v>46028</v>
      </c>
      <c r="M4100" s="33" t="n">
        <v>46028</v>
      </c>
      <c r="N4100" s="16" t="s">
        <v>12828</v>
      </c>
      <c r="O4100" s="16"/>
      <c r="P4100" s="16" t="str">
        <f aca="false">IF(AND(L4100&lt;=$D$2,M4100&gt;=$C$2),"Sí","")</f>
        <v/>
      </c>
      <c r="Q4100" s="18" t="str">
        <f aca="false">IF(COUNTIF(LOOKAHEAD!$A$5:$A$604,A4100)&gt;0,"En Lookahead",IF(P4100="Sí","INCORPORAR",""))</f>
        <v/>
      </c>
    </row>
    <row r="4101" customFormat="false" ht="15" hidden="false" customHeight="false" outlineLevel="0" collapsed="false">
      <c r="A4101" s="16" t="s">
        <v>12829</v>
      </c>
      <c r="B4101" s="16" t="n">
        <v>4096</v>
      </c>
      <c r="C4101" s="16" t="s">
        <v>12830</v>
      </c>
      <c r="D4101" s="16" t="n">
        <v>7</v>
      </c>
      <c r="E4101" s="37" t="s">
        <v>12742</v>
      </c>
      <c r="F4101" s="16" t="s">
        <v>1285</v>
      </c>
      <c r="G4101" s="16" t="s">
        <v>757</v>
      </c>
      <c r="H4101" s="16" t="s">
        <v>12499</v>
      </c>
      <c r="I4101" s="16" t="s">
        <v>127</v>
      </c>
      <c r="J4101" s="16" t="s">
        <v>2800</v>
      </c>
      <c r="K4101" s="32" t="n">
        <v>1</v>
      </c>
      <c r="L4101" s="33" t="n">
        <v>46024</v>
      </c>
      <c r="M4101" s="33" t="n">
        <v>46024</v>
      </c>
      <c r="N4101" s="16" t="s">
        <v>12831</v>
      </c>
      <c r="O4101" s="16"/>
      <c r="P4101" s="16" t="str">
        <f aca="false">IF(AND(L4101&lt;=$D$2,M4101&gt;=$C$2),"Sí","")</f>
        <v/>
      </c>
      <c r="Q4101" s="18" t="str">
        <f aca="false">IF(COUNTIF(LOOKAHEAD!$A$5:$A$604,A4101)&gt;0,"En Lookahead",IF(P4101="Sí","INCORPORAR",""))</f>
        <v/>
      </c>
    </row>
    <row r="4102" customFormat="false" ht="15" hidden="false" customHeight="false" outlineLevel="0" collapsed="false">
      <c r="A4102" s="16" t="s">
        <v>12832</v>
      </c>
      <c r="B4102" s="16" t="n">
        <v>4097</v>
      </c>
      <c r="C4102" s="16" t="s">
        <v>12833</v>
      </c>
      <c r="D4102" s="16" t="n">
        <v>7</v>
      </c>
      <c r="E4102" s="37" t="s">
        <v>12748</v>
      </c>
      <c r="F4102" s="16" t="s">
        <v>1285</v>
      </c>
      <c r="G4102" s="16" t="s">
        <v>757</v>
      </c>
      <c r="H4102" s="16" t="s">
        <v>12499</v>
      </c>
      <c r="I4102" s="16" t="s">
        <v>127</v>
      </c>
      <c r="J4102" s="16" t="s">
        <v>2800</v>
      </c>
      <c r="K4102" s="32" t="n">
        <v>1</v>
      </c>
      <c r="L4102" s="33" t="n">
        <v>46025</v>
      </c>
      <c r="M4102" s="33" t="n">
        <v>46025</v>
      </c>
      <c r="N4102" s="16" t="s">
        <v>12834</v>
      </c>
      <c r="O4102" s="16"/>
      <c r="P4102" s="16" t="str">
        <f aca="false">IF(AND(L4102&lt;=$D$2,M4102&gt;=$C$2),"Sí","")</f>
        <v/>
      </c>
      <c r="Q4102" s="18" t="str">
        <f aca="false">IF(COUNTIF(LOOKAHEAD!$A$5:$A$604,A4102)&gt;0,"En Lookahead",IF(P4102="Sí","INCORPORAR",""))</f>
        <v/>
      </c>
    </row>
    <row r="4103" customFormat="false" ht="15" hidden="false" customHeight="false" outlineLevel="0" collapsed="false">
      <c r="A4103" s="16" t="s">
        <v>12835</v>
      </c>
      <c r="B4103" s="16" t="n">
        <v>4098</v>
      </c>
      <c r="C4103" s="16" t="s">
        <v>12836</v>
      </c>
      <c r="D4103" s="16" t="n">
        <v>7</v>
      </c>
      <c r="E4103" s="37" t="s">
        <v>12837</v>
      </c>
      <c r="F4103" s="16" t="s">
        <v>1285</v>
      </c>
      <c r="G4103" s="16" t="s">
        <v>757</v>
      </c>
      <c r="H4103" s="16" t="s">
        <v>12499</v>
      </c>
      <c r="I4103" s="16" t="s">
        <v>127</v>
      </c>
      <c r="J4103" s="16" t="s">
        <v>2800</v>
      </c>
      <c r="K4103" s="32" t="n">
        <v>1</v>
      </c>
      <c r="L4103" s="33" t="n">
        <v>46026</v>
      </c>
      <c r="M4103" s="33" t="n">
        <v>46026</v>
      </c>
      <c r="N4103" s="16" t="s">
        <v>12838</v>
      </c>
      <c r="O4103" s="16"/>
      <c r="P4103" s="16" t="str">
        <f aca="false">IF(AND(L4103&lt;=$D$2,M4103&gt;=$C$2),"Sí","")</f>
        <v/>
      </c>
      <c r="Q4103" s="18" t="str">
        <f aca="false">IF(COUNTIF(LOOKAHEAD!$A$5:$A$604,A4103)&gt;0,"En Lookahead",IF(P4103="Sí","INCORPORAR",""))</f>
        <v/>
      </c>
    </row>
    <row r="4104" customFormat="false" ht="15" hidden="false" customHeight="false" outlineLevel="0" collapsed="false">
      <c r="A4104" s="16" t="s">
        <v>12839</v>
      </c>
      <c r="B4104" s="16" t="n">
        <v>4099</v>
      </c>
      <c r="C4104" s="16" t="s">
        <v>12840</v>
      </c>
      <c r="D4104" s="16" t="n">
        <v>7</v>
      </c>
      <c r="E4104" s="37" t="s">
        <v>12760</v>
      </c>
      <c r="F4104" s="16" t="s">
        <v>1285</v>
      </c>
      <c r="G4104" s="16" t="s">
        <v>757</v>
      </c>
      <c r="H4104" s="16" t="s">
        <v>12499</v>
      </c>
      <c r="I4104" s="16" t="s">
        <v>127</v>
      </c>
      <c r="J4104" s="16" t="s">
        <v>2800</v>
      </c>
      <c r="K4104" s="32" t="n">
        <v>1</v>
      </c>
      <c r="L4104" s="33" t="n">
        <v>46027</v>
      </c>
      <c r="M4104" s="33" t="n">
        <v>46027</v>
      </c>
      <c r="N4104" s="16" t="s">
        <v>12841</v>
      </c>
      <c r="O4104" s="16"/>
      <c r="P4104" s="16" t="str">
        <f aca="false">IF(AND(L4104&lt;=$D$2,M4104&gt;=$C$2),"Sí","")</f>
        <v/>
      </c>
      <c r="Q4104" s="18" t="str">
        <f aca="false">IF(COUNTIF(LOOKAHEAD!$A$5:$A$604,A4104)&gt;0,"En Lookahead",IF(P4104="Sí","INCORPORAR",""))</f>
        <v/>
      </c>
    </row>
    <row r="4105" customFormat="false" ht="15" hidden="false" customHeight="false" outlineLevel="0" collapsed="false">
      <c r="A4105" s="16" t="s">
        <v>12842</v>
      </c>
      <c r="B4105" s="16" t="n">
        <v>4100</v>
      </c>
      <c r="C4105" s="16" t="s">
        <v>12843</v>
      </c>
      <c r="D4105" s="16" t="n">
        <v>7</v>
      </c>
      <c r="E4105" s="37" t="s">
        <v>12844</v>
      </c>
      <c r="F4105" s="16" t="s">
        <v>1285</v>
      </c>
      <c r="G4105" s="16" t="s">
        <v>757</v>
      </c>
      <c r="H4105" s="16" t="s">
        <v>12499</v>
      </c>
      <c r="I4105" s="16" t="s">
        <v>127</v>
      </c>
      <c r="J4105" s="16" t="s">
        <v>2800</v>
      </c>
      <c r="K4105" s="32" t="n">
        <v>1</v>
      </c>
      <c r="L4105" s="33" t="n">
        <v>46028</v>
      </c>
      <c r="M4105" s="33" t="n">
        <v>46028</v>
      </c>
      <c r="N4105" s="16" t="s">
        <v>12845</v>
      </c>
      <c r="O4105" s="16"/>
      <c r="P4105" s="16" t="str">
        <f aca="false">IF(AND(L4105&lt;=$D$2,M4105&gt;=$C$2),"Sí","")</f>
        <v/>
      </c>
      <c r="Q4105" s="18" t="str">
        <f aca="false">IF(COUNTIF(LOOKAHEAD!$A$5:$A$604,A4105)&gt;0,"En Lookahead",IF(P4105="Sí","INCORPORAR",""))</f>
        <v/>
      </c>
    </row>
    <row r="4106" customFormat="false" ht="15" hidden="false" customHeight="false" outlineLevel="0" collapsed="false">
      <c r="A4106" s="16" t="s">
        <v>12846</v>
      </c>
      <c r="B4106" s="16" t="n">
        <v>4101</v>
      </c>
      <c r="C4106" s="16" t="s">
        <v>12847</v>
      </c>
      <c r="D4106" s="16" t="n">
        <v>7</v>
      </c>
      <c r="E4106" s="37" t="s">
        <v>12688</v>
      </c>
      <c r="F4106" s="16" t="s">
        <v>1285</v>
      </c>
      <c r="G4106" s="16" t="s">
        <v>757</v>
      </c>
      <c r="H4106" s="16" t="s">
        <v>12499</v>
      </c>
      <c r="I4106" s="16" t="s">
        <v>127</v>
      </c>
      <c r="J4106" s="16" t="s">
        <v>2800</v>
      </c>
      <c r="K4106" s="32" t="n">
        <v>1</v>
      </c>
      <c r="L4106" s="33" t="n">
        <v>46029</v>
      </c>
      <c r="M4106" s="33" t="n">
        <v>46029</v>
      </c>
      <c r="N4106" s="16" t="s">
        <v>12848</v>
      </c>
      <c r="O4106" s="16"/>
      <c r="P4106" s="16" t="str">
        <f aca="false">IF(AND(L4106&lt;=$D$2,M4106&gt;=$C$2),"Sí","")</f>
        <v/>
      </c>
      <c r="Q4106" s="18" t="str">
        <f aca="false">IF(COUNTIF(LOOKAHEAD!$A$5:$A$604,A4106)&gt;0,"En Lookahead",IF(P4106="Sí","INCORPORAR",""))</f>
        <v/>
      </c>
    </row>
    <row r="4107" customFormat="false" ht="15" hidden="false" customHeight="false" outlineLevel="0" collapsed="false">
      <c r="A4107" s="16" t="s">
        <v>12849</v>
      </c>
      <c r="B4107" s="16" t="n">
        <v>4102</v>
      </c>
      <c r="C4107" s="16" t="s">
        <v>12850</v>
      </c>
      <c r="D4107" s="16" t="n">
        <v>7</v>
      </c>
      <c r="E4107" s="37" t="s">
        <v>10663</v>
      </c>
      <c r="F4107" s="16" t="s">
        <v>1285</v>
      </c>
      <c r="G4107" s="16" t="s">
        <v>757</v>
      </c>
      <c r="H4107" s="16" t="s">
        <v>12499</v>
      </c>
      <c r="I4107" s="16" t="s">
        <v>127</v>
      </c>
      <c r="J4107" s="16" t="s">
        <v>2800</v>
      </c>
      <c r="K4107" s="32" t="n">
        <v>1</v>
      </c>
      <c r="L4107" s="33" t="n">
        <v>46025</v>
      </c>
      <c r="M4107" s="33" t="n">
        <v>46025</v>
      </c>
      <c r="N4107" s="16" t="s">
        <v>12851</v>
      </c>
      <c r="O4107" s="16"/>
      <c r="P4107" s="16" t="str">
        <f aca="false">IF(AND(L4107&lt;=$D$2,M4107&gt;=$C$2),"Sí","")</f>
        <v/>
      </c>
      <c r="Q4107" s="18" t="str">
        <f aca="false">IF(COUNTIF(LOOKAHEAD!$A$5:$A$604,A4107)&gt;0,"En Lookahead",IF(P4107="Sí","INCORPORAR",""))</f>
        <v/>
      </c>
    </row>
    <row r="4108" customFormat="false" ht="15" hidden="false" customHeight="false" outlineLevel="0" collapsed="false">
      <c r="A4108" s="16" t="s">
        <v>12852</v>
      </c>
      <c r="B4108" s="16" t="n">
        <v>4103</v>
      </c>
      <c r="C4108" s="16" t="s">
        <v>12853</v>
      </c>
      <c r="D4108" s="16" t="n">
        <v>7</v>
      </c>
      <c r="E4108" s="37" t="s">
        <v>12771</v>
      </c>
      <c r="F4108" s="16" t="s">
        <v>1285</v>
      </c>
      <c r="G4108" s="16" t="s">
        <v>757</v>
      </c>
      <c r="H4108" s="16" t="s">
        <v>12499</v>
      </c>
      <c r="I4108" s="16" t="s">
        <v>127</v>
      </c>
      <c r="J4108" s="16" t="s">
        <v>2800</v>
      </c>
      <c r="K4108" s="32" t="n">
        <v>2</v>
      </c>
      <c r="L4108" s="33" t="n">
        <v>46030</v>
      </c>
      <c r="M4108" s="33" t="n">
        <v>46031</v>
      </c>
      <c r="N4108" s="16" t="s">
        <v>12854</v>
      </c>
      <c r="O4108" s="16"/>
      <c r="P4108" s="16" t="str">
        <f aca="false">IF(AND(L4108&lt;=$D$2,M4108&gt;=$C$2),"Sí","")</f>
        <v/>
      </c>
      <c r="Q4108" s="18" t="str">
        <f aca="false">IF(COUNTIF(LOOKAHEAD!$A$5:$A$604,A4108)&gt;0,"En Lookahead",IF(P4108="Sí","INCORPORAR",""))</f>
        <v/>
      </c>
    </row>
    <row r="4109" customFormat="false" ht="15" hidden="false" customHeight="false" outlineLevel="0" collapsed="false">
      <c r="A4109" s="16" t="s">
        <v>12855</v>
      </c>
      <c r="B4109" s="16" t="n">
        <v>4104</v>
      </c>
      <c r="C4109" s="16" t="s">
        <v>12856</v>
      </c>
      <c r="D4109" s="16" t="n">
        <v>7</v>
      </c>
      <c r="E4109" s="37" t="s">
        <v>10904</v>
      </c>
      <c r="F4109" s="16" t="s">
        <v>1285</v>
      </c>
      <c r="G4109" s="16" t="s">
        <v>757</v>
      </c>
      <c r="H4109" s="16" t="s">
        <v>12499</v>
      </c>
      <c r="I4109" s="16" t="s">
        <v>127</v>
      </c>
      <c r="J4109" s="16" t="s">
        <v>2800</v>
      </c>
      <c r="K4109" s="32" t="n">
        <v>1</v>
      </c>
      <c r="L4109" s="33" t="n">
        <v>46026</v>
      </c>
      <c r="M4109" s="33" t="n">
        <v>46026</v>
      </c>
      <c r="N4109" s="16" t="s">
        <v>12838</v>
      </c>
      <c r="O4109" s="16"/>
      <c r="P4109" s="16" t="str">
        <f aca="false">IF(AND(L4109&lt;=$D$2,M4109&gt;=$C$2),"Sí","")</f>
        <v/>
      </c>
      <c r="Q4109" s="18" t="str">
        <f aca="false">IF(COUNTIF(LOOKAHEAD!$A$5:$A$604,A4109)&gt;0,"En Lookahead",IF(P4109="Sí","INCORPORAR",""))</f>
        <v/>
      </c>
    </row>
    <row r="4110" customFormat="false" ht="15" hidden="false" customHeight="false" outlineLevel="0" collapsed="false">
      <c r="A4110" s="16" t="s">
        <v>12857</v>
      </c>
      <c r="B4110" s="16" t="n">
        <v>4105</v>
      </c>
      <c r="C4110" s="16" t="s">
        <v>12858</v>
      </c>
      <c r="D4110" s="16" t="n">
        <v>7</v>
      </c>
      <c r="E4110" s="37" t="s">
        <v>12859</v>
      </c>
      <c r="F4110" s="16" t="s">
        <v>1285</v>
      </c>
      <c r="G4110" s="16" t="s">
        <v>757</v>
      </c>
      <c r="H4110" s="16" t="s">
        <v>12499</v>
      </c>
      <c r="I4110" s="16" t="s">
        <v>127</v>
      </c>
      <c r="J4110" s="16" t="s">
        <v>2800</v>
      </c>
      <c r="K4110" s="32" t="n">
        <v>1</v>
      </c>
      <c r="L4110" s="33" t="n">
        <v>46027</v>
      </c>
      <c r="M4110" s="33" t="n">
        <v>46027</v>
      </c>
      <c r="N4110" s="16" t="s">
        <v>12860</v>
      </c>
      <c r="O4110" s="16"/>
      <c r="P4110" s="16" t="str">
        <f aca="false">IF(AND(L4110&lt;=$D$2,M4110&gt;=$C$2),"Sí","")</f>
        <v/>
      </c>
      <c r="Q4110" s="18" t="str">
        <f aca="false">IF(COUNTIF(LOOKAHEAD!$A$5:$A$604,A4110)&gt;0,"En Lookahead",IF(P4110="Sí","INCORPORAR",""))</f>
        <v/>
      </c>
    </row>
    <row r="4111" customFormat="false" ht="15" hidden="false" customHeight="false" outlineLevel="0" collapsed="false">
      <c r="A4111" s="16" t="s">
        <v>12861</v>
      </c>
      <c r="B4111" s="16" t="n">
        <v>4106</v>
      </c>
      <c r="C4111" s="16" t="s">
        <v>12862</v>
      </c>
      <c r="D4111" s="16" t="n">
        <v>7</v>
      </c>
      <c r="E4111" s="37" t="s">
        <v>12802</v>
      </c>
      <c r="F4111" s="16" t="s">
        <v>1285</v>
      </c>
      <c r="G4111" s="16" t="s">
        <v>757</v>
      </c>
      <c r="H4111" s="16" t="s">
        <v>12499</v>
      </c>
      <c r="I4111" s="16" t="s">
        <v>127</v>
      </c>
      <c r="J4111" s="16" t="s">
        <v>2800</v>
      </c>
      <c r="K4111" s="32" t="n">
        <v>1</v>
      </c>
      <c r="L4111" s="33" t="n">
        <v>46028</v>
      </c>
      <c r="M4111" s="33" t="n">
        <v>46028</v>
      </c>
      <c r="N4111" s="16" t="s">
        <v>12863</v>
      </c>
      <c r="O4111" s="16"/>
      <c r="P4111" s="16" t="str">
        <f aca="false">IF(AND(L4111&lt;=$D$2,M4111&gt;=$C$2),"Sí","")</f>
        <v/>
      </c>
      <c r="Q4111" s="18" t="str">
        <f aca="false">IF(COUNTIF(LOOKAHEAD!$A$5:$A$604,A4111)&gt;0,"En Lookahead",IF(P4111="Sí","INCORPORAR",""))</f>
        <v/>
      </c>
    </row>
    <row r="4112" customFormat="false" ht="15" hidden="false" customHeight="false" outlineLevel="0" collapsed="false">
      <c r="A4112" s="16" t="s">
        <v>12864</v>
      </c>
      <c r="B4112" s="16" t="n">
        <v>4107</v>
      </c>
      <c r="C4112" s="16" t="s">
        <v>12865</v>
      </c>
      <c r="D4112" s="16" t="n">
        <v>7</v>
      </c>
      <c r="E4112" s="37" t="s">
        <v>10243</v>
      </c>
      <c r="F4112" s="16" t="s">
        <v>1285</v>
      </c>
      <c r="G4112" s="16" t="s">
        <v>757</v>
      </c>
      <c r="H4112" s="16" t="s">
        <v>12499</v>
      </c>
      <c r="I4112" s="16" t="s">
        <v>127</v>
      </c>
      <c r="J4112" s="16" t="s">
        <v>2800</v>
      </c>
      <c r="K4112" s="32" t="n">
        <v>1</v>
      </c>
      <c r="L4112" s="33" t="n">
        <v>46029</v>
      </c>
      <c r="M4112" s="33" t="n">
        <v>46029</v>
      </c>
      <c r="N4112" s="16" t="s">
        <v>12866</v>
      </c>
      <c r="O4112" s="16"/>
      <c r="P4112" s="16" t="str">
        <f aca="false">IF(AND(L4112&lt;=$D$2,M4112&gt;=$C$2),"Sí","")</f>
        <v/>
      </c>
      <c r="Q4112" s="18" t="str">
        <f aca="false">IF(COUNTIF(LOOKAHEAD!$A$5:$A$604,A4112)&gt;0,"En Lookahead",IF(P4112="Sí","INCORPORAR",""))</f>
        <v/>
      </c>
    </row>
    <row r="4113" customFormat="false" ht="15" hidden="false" customHeight="false" outlineLevel="0" collapsed="false">
      <c r="A4113" s="16" t="s">
        <v>12867</v>
      </c>
      <c r="B4113" s="16" t="n">
        <v>4108</v>
      </c>
      <c r="C4113" s="16" t="s">
        <v>12868</v>
      </c>
      <c r="D4113" s="16" t="n">
        <v>7</v>
      </c>
      <c r="E4113" s="37" t="s">
        <v>12869</v>
      </c>
      <c r="F4113" s="16" t="s">
        <v>1285</v>
      </c>
      <c r="G4113" s="16" t="s">
        <v>757</v>
      </c>
      <c r="H4113" s="16" t="s">
        <v>12499</v>
      </c>
      <c r="I4113" s="16" t="s">
        <v>127</v>
      </c>
      <c r="J4113" s="16" t="s">
        <v>2800</v>
      </c>
      <c r="K4113" s="32" t="n">
        <v>1</v>
      </c>
      <c r="L4113" s="33" t="n">
        <v>46030</v>
      </c>
      <c r="M4113" s="33" t="n">
        <v>46030</v>
      </c>
      <c r="N4113" s="16" t="s">
        <v>12870</v>
      </c>
      <c r="O4113" s="16"/>
      <c r="P4113" s="16" t="str">
        <f aca="false">IF(AND(L4113&lt;=$D$2,M4113&gt;=$C$2),"Sí","")</f>
        <v/>
      </c>
      <c r="Q4113" s="18" t="str">
        <f aca="false">IF(COUNTIF(LOOKAHEAD!$A$5:$A$604,A4113)&gt;0,"En Lookahead",IF(P4113="Sí","INCORPORAR",""))</f>
        <v/>
      </c>
    </row>
    <row r="4114" customFormat="false" ht="15" hidden="false" customHeight="false" outlineLevel="0" collapsed="false">
      <c r="A4114" s="13" t="s">
        <v>12871</v>
      </c>
      <c r="B4114" s="13" t="n">
        <v>4109</v>
      </c>
      <c r="C4114" s="13" t="s">
        <v>12872</v>
      </c>
      <c r="D4114" s="13" t="n">
        <v>6</v>
      </c>
      <c r="E4114" s="36" t="s">
        <v>12873</v>
      </c>
      <c r="F4114" s="13" t="s">
        <v>1298</v>
      </c>
      <c r="G4114" s="13" t="s">
        <v>757</v>
      </c>
      <c r="H4114" s="13" t="s">
        <v>12499</v>
      </c>
      <c r="I4114" s="13" t="s">
        <v>127</v>
      </c>
      <c r="J4114" s="13" t="s">
        <v>9975</v>
      </c>
      <c r="K4114" s="30" t="n">
        <v>5</v>
      </c>
      <c r="L4114" s="31" t="n">
        <v>46026</v>
      </c>
      <c r="M4114" s="31" t="n">
        <v>46030</v>
      </c>
      <c r="N4114" s="13"/>
      <c r="O4114" s="13"/>
      <c r="P4114" s="13"/>
      <c r="Q4114" s="13"/>
    </row>
    <row r="4115" customFormat="false" ht="15" hidden="false" customHeight="false" outlineLevel="0" collapsed="false">
      <c r="A4115" s="16" t="s">
        <v>12874</v>
      </c>
      <c r="B4115" s="16" t="n">
        <v>4110</v>
      </c>
      <c r="C4115" s="16" t="s">
        <v>12875</v>
      </c>
      <c r="D4115" s="16" t="n">
        <v>7</v>
      </c>
      <c r="E4115" s="37" t="s">
        <v>12876</v>
      </c>
      <c r="F4115" s="16" t="s">
        <v>1285</v>
      </c>
      <c r="G4115" s="16" t="s">
        <v>757</v>
      </c>
      <c r="H4115" s="16" t="s">
        <v>12499</v>
      </c>
      <c r="I4115" s="16" t="s">
        <v>127</v>
      </c>
      <c r="J4115" s="16" t="s">
        <v>12873</v>
      </c>
      <c r="K4115" s="32" t="n">
        <v>1</v>
      </c>
      <c r="L4115" s="33" t="n">
        <v>46026</v>
      </c>
      <c r="M4115" s="33" t="n">
        <v>46026</v>
      </c>
      <c r="N4115" s="16" t="s">
        <v>12877</v>
      </c>
      <c r="O4115" s="16"/>
      <c r="P4115" s="16" t="str">
        <f aca="false">IF(AND(L4115&lt;=$D$2,M4115&gt;=$C$2),"Sí","")</f>
        <v/>
      </c>
      <c r="Q4115" s="18" t="str">
        <f aca="false">IF(COUNTIF(LOOKAHEAD!$A$5:$A$604,A4115)&gt;0,"En Lookahead",IF(P4115="Sí","INCORPORAR",""))</f>
        <v/>
      </c>
    </row>
    <row r="4116" customFormat="false" ht="15" hidden="false" customHeight="false" outlineLevel="0" collapsed="false">
      <c r="A4116" s="16" t="s">
        <v>12878</v>
      </c>
      <c r="B4116" s="16" t="n">
        <v>4111</v>
      </c>
      <c r="C4116" s="16" t="s">
        <v>12879</v>
      </c>
      <c r="D4116" s="16" t="n">
        <v>7</v>
      </c>
      <c r="E4116" s="37" t="s">
        <v>12880</v>
      </c>
      <c r="F4116" s="16" t="s">
        <v>1285</v>
      </c>
      <c r="G4116" s="16" t="s">
        <v>757</v>
      </c>
      <c r="H4116" s="16" t="s">
        <v>12499</v>
      </c>
      <c r="I4116" s="16" t="s">
        <v>127</v>
      </c>
      <c r="J4116" s="16" t="s">
        <v>12873</v>
      </c>
      <c r="K4116" s="32" t="n">
        <v>4</v>
      </c>
      <c r="L4116" s="33" t="n">
        <v>46027</v>
      </c>
      <c r="M4116" s="33" t="n">
        <v>46030</v>
      </c>
      <c r="N4116" s="16" t="s">
        <v>12881</v>
      </c>
      <c r="O4116" s="16"/>
      <c r="P4116" s="16" t="str">
        <f aca="false">IF(AND(L4116&lt;=$D$2,M4116&gt;=$C$2),"Sí","")</f>
        <v/>
      </c>
      <c r="Q4116" s="18" t="str">
        <f aca="false">IF(COUNTIF(LOOKAHEAD!$A$5:$A$604,A4116)&gt;0,"En Lookahead",IF(P4116="Sí","INCORPORAR",""))</f>
        <v/>
      </c>
    </row>
    <row r="4117" customFormat="false" ht="15" hidden="false" customHeight="false" outlineLevel="0" collapsed="false">
      <c r="A4117" s="16" t="s">
        <v>12882</v>
      </c>
      <c r="B4117" s="16" t="n">
        <v>4112</v>
      </c>
      <c r="C4117" s="16" t="s">
        <v>12883</v>
      </c>
      <c r="D4117" s="16" t="n">
        <v>7</v>
      </c>
      <c r="E4117" s="37" t="s">
        <v>12884</v>
      </c>
      <c r="F4117" s="16" t="s">
        <v>1285</v>
      </c>
      <c r="G4117" s="16" t="s">
        <v>757</v>
      </c>
      <c r="H4117" s="16" t="s">
        <v>12499</v>
      </c>
      <c r="I4117" s="16" t="s">
        <v>127</v>
      </c>
      <c r="J4117" s="16" t="s">
        <v>12873</v>
      </c>
      <c r="K4117" s="32" t="n">
        <v>1</v>
      </c>
      <c r="L4117" s="33" t="n">
        <v>46027</v>
      </c>
      <c r="M4117" s="33" t="n">
        <v>46027</v>
      </c>
      <c r="N4117" s="16" t="s">
        <v>12885</v>
      </c>
      <c r="O4117" s="16"/>
      <c r="P4117" s="16" t="str">
        <f aca="false">IF(AND(L4117&lt;=$D$2,M4117&gt;=$C$2),"Sí","")</f>
        <v/>
      </c>
      <c r="Q4117" s="18" t="str">
        <f aca="false">IF(COUNTIF(LOOKAHEAD!$A$5:$A$604,A4117)&gt;0,"En Lookahead",IF(P4117="Sí","INCORPORAR",""))</f>
        <v/>
      </c>
    </row>
    <row r="4118" customFormat="false" ht="15" hidden="false" customHeight="false" outlineLevel="0" collapsed="false">
      <c r="A4118" s="16" t="s">
        <v>12886</v>
      </c>
      <c r="B4118" s="16" t="n">
        <v>4113</v>
      </c>
      <c r="C4118" s="16" t="s">
        <v>12887</v>
      </c>
      <c r="D4118" s="16" t="n">
        <v>7</v>
      </c>
      <c r="E4118" s="37" t="s">
        <v>12888</v>
      </c>
      <c r="F4118" s="16" t="s">
        <v>1285</v>
      </c>
      <c r="G4118" s="16" t="s">
        <v>757</v>
      </c>
      <c r="H4118" s="16" t="s">
        <v>12499</v>
      </c>
      <c r="I4118" s="16" t="s">
        <v>127</v>
      </c>
      <c r="J4118" s="16" t="s">
        <v>12873</v>
      </c>
      <c r="K4118" s="32" t="n">
        <v>1</v>
      </c>
      <c r="L4118" s="33" t="n">
        <v>46027</v>
      </c>
      <c r="M4118" s="33" t="n">
        <v>46027</v>
      </c>
      <c r="N4118" s="16" t="s">
        <v>12885</v>
      </c>
      <c r="O4118" s="16"/>
      <c r="P4118" s="16" t="str">
        <f aca="false">IF(AND(L4118&lt;=$D$2,M4118&gt;=$C$2),"Sí","")</f>
        <v/>
      </c>
      <c r="Q4118" s="18" t="str">
        <f aca="false">IF(COUNTIF(LOOKAHEAD!$A$5:$A$604,A4118)&gt;0,"En Lookahead",IF(P4118="Sí","INCORPORAR",""))</f>
        <v/>
      </c>
    </row>
    <row r="4119" customFormat="false" ht="15" hidden="false" customHeight="false" outlineLevel="0" collapsed="false">
      <c r="A4119" s="16" t="s">
        <v>12889</v>
      </c>
      <c r="B4119" s="16" t="n">
        <v>4114</v>
      </c>
      <c r="C4119" s="16" t="s">
        <v>12890</v>
      </c>
      <c r="D4119" s="16" t="n">
        <v>7</v>
      </c>
      <c r="E4119" s="37" t="s">
        <v>10904</v>
      </c>
      <c r="F4119" s="16" t="s">
        <v>1285</v>
      </c>
      <c r="G4119" s="16" t="s">
        <v>757</v>
      </c>
      <c r="H4119" s="16" t="s">
        <v>12499</v>
      </c>
      <c r="I4119" s="16" t="s">
        <v>127</v>
      </c>
      <c r="J4119" s="16" t="s">
        <v>12873</v>
      </c>
      <c r="K4119" s="32" t="n">
        <v>1</v>
      </c>
      <c r="L4119" s="33" t="n">
        <v>46028</v>
      </c>
      <c r="M4119" s="33" t="n">
        <v>46028</v>
      </c>
      <c r="N4119" s="16" t="s">
        <v>12891</v>
      </c>
      <c r="O4119" s="16"/>
      <c r="P4119" s="16" t="str">
        <f aca="false">IF(AND(L4119&lt;=$D$2,M4119&gt;=$C$2),"Sí","")</f>
        <v/>
      </c>
      <c r="Q4119" s="18" t="str">
        <f aca="false">IF(COUNTIF(LOOKAHEAD!$A$5:$A$604,A4119)&gt;0,"En Lookahead",IF(P4119="Sí","INCORPORAR",""))</f>
        <v/>
      </c>
    </row>
    <row r="4120" customFormat="false" ht="15" hidden="false" customHeight="false" outlineLevel="0" collapsed="false">
      <c r="A4120" s="16" t="s">
        <v>12892</v>
      </c>
      <c r="B4120" s="16" t="n">
        <v>4115</v>
      </c>
      <c r="C4120" s="16" t="s">
        <v>12893</v>
      </c>
      <c r="D4120" s="16" t="n">
        <v>7</v>
      </c>
      <c r="E4120" s="37" t="s">
        <v>12894</v>
      </c>
      <c r="F4120" s="16" t="s">
        <v>1285</v>
      </c>
      <c r="G4120" s="16" t="s">
        <v>757</v>
      </c>
      <c r="H4120" s="16" t="s">
        <v>12499</v>
      </c>
      <c r="I4120" s="16" t="s">
        <v>127</v>
      </c>
      <c r="J4120" s="16" t="s">
        <v>12873</v>
      </c>
      <c r="K4120" s="32" t="n">
        <v>1</v>
      </c>
      <c r="L4120" s="33" t="n">
        <v>46029</v>
      </c>
      <c r="M4120" s="33" t="n">
        <v>46029</v>
      </c>
      <c r="N4120" s="16" t="s">
        <v>12895</v>
      </c>
      <c r="O4120" s="16"/>
      <c r="P4120" s="16" t="str">
        <f aca="false">IF(AND(L4120&lt;=$D$2,M4120&gt;=$C$2),"Sí","")</f>
        <v/>
      </c>
      <c r="Q4120" s="18" t="str">
        <f aca="false">IF(COUNTIF(LOOKAHEAD!$A$5:$A$604,A4120)&gt;0,"En Lookahead",IF(P4120="Sí","INCORPORAR",""))</f>
        <v/>
      </c>
    </row>
    <row r="4121" customFormat="false" ht="15" hidden="false" customHeight="false" outlineLevel="0" collapsed="false">
      <c r="A4121" s="16" t="s">
        <v>12896</v>
      </c>
      <c r="B4121" s="16" t="n">
        <v>4116</v>
      </c>
      <c r="C4121" s="16" t="s">
        <v>12897</v>
      </c>
      <c r="D4121" s="16" t="n">
        <v>7</v>
      </c>
      <c r="E4121" s="37" t="s">
        <v>12898</v>
      </c>
      <c r="F4121" s="16" t="s">
        <v>1285</v>
      </c>
      <c r="G4121" s="16" t="s">
        <v>757</v>
      </c>
      <c r="H4121" s="16" t="s">
        <v>12499</v>
      </c>
      <c r="I4121" s="16" t="s">
        <v>127</v>
      </c>
      <c r="J4121" s="16" t="s">
        <v>12873</v>
      </c>
      <c r="K4121" s="32" t="n">
        <v>1</v>
      </c>
      <c r="L4121" s="33" t="n">
        <v>46030</v>
      </c>
      <c r="M4121" s="33" t="n">
        <v>46030</v>
      </c>
      <c r="N4121" s="16" t="s">
        <v>12899</v>
      </c>
      <c r="O4121" s="16"/>
      <c r="P4121" s="16" t="str">
        <f aca="false">IF(AND(L4121&lt;=$D$2,M4121&gt;=$C$2),"Sí","")</f>
        <v/>
      </c>
      <c r="Q4121" s="18" t="str">
        <f aca="false">IF(COUNTIF(LOOKAHEAD!$A$5:$A$604,A4121)&gt;0,"En Lookahead",IF(P4121="Sí","INCORPORAR",""))</f>
        <v/>
      </c>
    </row>
    <row r="4122" customFormat="false" ht="15" hidden="false" customHeight="false" outlineLevel="0" collapsed="false">
      <c r="A4122" s="16" t="s">
        <v>12900</v>
      </c>
      <c r="B4122" s="16" t="n">
        <v>4117</v>
      </c>
      <c r="C4122" s="16" t="s">
        <v>12901</v>
      </c>
      <c r="D4122" s="16" t="n">
        <v>7</v>
      </c>
      <c r="E4122" s="37" t="s">
        <v>12902</v>
      </c>
      <c r="F4122" s="16" t="s">
        <v>1285</v>
      </c>
      <c r="G4122" s="16" t="s">
        <v>757</v>
      </c>
      <c r="H4122" s="16" t="s">
        <v>12499</v>
      </c>
      <c r="I4122" s="16" t="s">
        <v>127</v>
      </c>
      <c r="J4122" s="16" t="s">
        <v>12873</v>
      </c>
      <c r="K4122" s="32" t="n">
        <v>1</v>
      </c>
      <c r="L4122" s="33" t="n">
        <v>46030</v>
      </c>
      <c r="M4122" s="33" t="n">
        <v>46030</v>
      </c>
      <c r="N4122" s="16" t="s">
        <v>12903</v>
      </c>
      <c r="O4122" s="16"/>
      <c r="P4122" s="16" t="str">
        <f aca="false">IF(AND(L4122&lt;=$D$2,M4122&gt;=$C$2),"Sí","")</f>
        <v/>
      </c>
      <c r="Q4122" s="18" t="str">
        <f aca="false">IF(COUNTIF(LOOKAHEAD!$A$5:$A$604,A4122)&gt;0,"En Lookahead",IF(P4122="Sí","INCORPORAR",""))</f>
        <v/>
      </c>
    </row>
    <row r="4123" customFormat="false" ht="15" hidden="false" customHeight="false" outlineLevel="0" collapsed="false">
      <c r="A4123" s="16" t="s">
        <v>12904</v>
      </c>
      <c r="B4123" s="16" t="n">
        <v>4118</v>
      </c>
      <c r="C4123" s="16" t="s">
        <v>12905</v>
      </c>
      <c r="D4123" s="16" t="n">
        <v>7</v>
      </c>
      <c r="E4123" s="37" t="s">
        <v>12906</v>
      </c>
      <c r="F4123" s="16" t="s">
        <v>1285</v>
      </c>
      <c r="G4123" s="16" t="s">
        <v>757</v>
      </c>
      <c r="H4123" s="16" t="s">
        <v>12499</v>
      </c>
      <c r="I4123" s="16" t="s">
        <v>127</v>
      </c>
      <c r="J4123" s="16" t="s">
        <v>12873</v>
      </c>
      <c r="K4123" s="32" t="n">
        <v>1</v>
      </c>
      <c r="L4123" s="33" t="n">
        <v>46030</v>
      </c>
      <c r="M4123" s="33" t="n">
        <v>46030</v>
      </c>
      <c r="N4123" s="16" t="s">
        <v>12903</v>
      </c>
      <c r="O4123" s="16"/>
      <c r="P4123" s="16" t="str">
        <f aca="false">IF(AND(L4123&lt;=$D$2,M4123&gt;=$C$2),"Sí","")</f>
        <v/>
      </c>
      <c r="Q4123" s="18" t="str">
        <f aca="false">IF(COUNTIF(LOOKAHEAD!$A$5:$A$604,A4123)&gt;0,"En Lookahead",IF(P4123="Sí","INCORPORAR",""))</f>
        <v/>
      </c>
    </row>
    <row r="4124" customFormat="false" ht="15" hidden="false" customHeight="false" outlineLevel="0" collapsed="false">
      <c r="A4124" s="13" t="s">
        <v>12907</v>
      </c>
      <c r="B4124" s="13" t="n">
        <v>4119</v>
      </c>
      <c r="C4124" s="13" t="s">
        <v>12908</v>
      </c>
      <c r="D4124" s="13" t="n">
        <v>5</v>
      </c>
      <c r="E4124" s="34" t="s">
        <v>12909</v>
      </c>
      <c r="F4124" s="13" t="s">
        <v>1298</v>
      </c>
      <c r="G4124" s="13" t="s">
        <v>757</v>
      </c>
      <c r="H4124" s="13" t="s">
        <v>12499</v>
      </c>
      <c r="I4124" s="13" t="s">
        <v>127</v>
      </c>
      <c r="J4124" s="13" t="s">
        <v>12499</v>
      </c>
      <c r="K4124" s="30" t="n">
        <v>111</v>
      </c>
      <c r="L4124" s="31" t="n">
        <v>45934</v>
      </c>
      <c r="M4124" s="31" t="n">
        <v>46044</v>
      </c>
      <c r="N4124" s="13"/>
      <c r="O4124" s="13"/>
      <c r="P4124" s="13"/>
      <c r="Q4124" s="13"/>
    </row>
    <row r="4125" customFormat="false" ht="15" hidden="false" customHeight="false" outlineLevel="0" collapsed="false">
      <c r="A4125" s="13" t="s">
        <v>12910</v>
      </c>
      <c r="B4125" s="13" t="n">
        <v>4120</v>
      </c>
      <c r="C4125" s="13" t="s">
        <v>12911</v>
      </c>
      <c r="D4125" s="13" t="n">
        <v>6</v>
      </c>
      <c r="E4125" s="36" t="s">
        <v>1368</v>
      </c>
      <c r="F4125" s="13" t="s">
        <v>1298</v>
      </c>
      <c r="G4125" s="13" t="s">
        <v>757</v>
      </c>
      <c r="H4125" s="13" t="s">
        <v>12499</v>
      </c>
      <c r="I4125" s="13" t="s">
        <v>127</v>
      </c>
      <c r="J4125" s="13" t="s">
        <v>12909</v>
      </c>
      <c r="K4125" s="30" t="n">
        <v>1</v>
      </c>
      <c r="L4125" s="31" t="n">
        <v>45934</v>
      </c>
      <c r="M4125" s="31" t="n">
        <v>45934</v>
      </c>
      <c r="N4125" s="13"/>
      <c r="O4125" s="13"/>
      <c r="P4125" s="13"/>
      <c r="Q4125" s="13"/>
    </row>
    <row r="4126" customFormat="false" ht="15" hidden="false" customHeight="false" outlineLevel="0" collapsed="false">
      <c r="A4126" s="16" t="s">
        <v>12912</v>
      </c>
      <c r="B4126" s="16" t="n">
        <v>4121</v>
      </c>
      <c r="C4126" s="16" t="s">
        <v>12913</v>
      </c>
      <c r="D4126" s="16" t="n">
        <v>7</v>
      </c>
      <c r="E4126" s="37" t="s">
        <v>10038</v>
      </c>
      <c r="F4126" s="16" t="s">
        <v>1285</v>
      </c>
      <c r="G4126" s="16" t="s">
        <v>757</v>
      </c>
      <c r="H4126" s="16" t="s">
        <v>12499</v>
      </c>
      <c r="I4126" s="16" t="s">
        <v>127</v>
      </c>
      <c r="J4126" s="16" t="s">
        <v>1368</v>
      </c>
      <c r="K4126" s="32" t="n">
        <v>1</v>
      </c>
      <c r="L4126" s="33" t="n">
        <v>45934</v>
      </c>
      <c r="M4126" s="33" t="n">
        <v>45934</v>
      </c>
      <c r="N4126" s="16" t="s">
        <v>12508</v>
      </c>
      <c r="O4126" s="16"/>
      <c r="P4126" s="16" t="str">
        <f aca="false">IF(AND(L4126&lt;=$D$2,M4126&gt;=$C$2),"Sí","")</f>
        <v/>
      </c>
      <c r="Q4126" s="18" t="str">
        <f aca="false">IF(COUNTIF(LOOKAHEAD!$A$5:$A$604,A4126)&gt;0,"En Lookahead",IF(P4126="Sí","INCORPORAR",""))</f>
        <v/>
      </c>
    </row>
    <row r="4127" customFormat="false" ht="15" hidden="false" customHeight="false" outlineLevel="0" collapsed="false">
      <c r="A4127" s="13" t="s">
        <v>12914</v>
      </c>
      <c r="B4127" s="13" t="n">
        <v>4122</v>
      </c>
      <c r="C4127" s="13" t="s">
        <v>12915</v>
      </c>
      <c r="D4127" s="13" t="n">
        <v>6</v>
      </c>
      <c r="E4127" s="36" t="s">
        <v>1534</v>
      </c>
      <c r="F4127" s="13" t="s">
        <v>1298</v>
      </c>
      <c r="G4127" s="13" t="s">
        <v>757</v>
      </c>
      <c r="H4127" s="13" t="s">
        <v>12499</v>
      </c>
      <c r="I4127" s="13" t="s">
        <v>127</v>
      </c>
      <c r="J4127" s="13" t="s">
        <v>12909</v>
      </c>
      <c r="K4127" s="30" t="n">
        <v>13</v>
      </c>
      <c r="L4127" s="31" t="n">
        <v>45995</v>
      </c>
      <c r="M4127" s="31" t="n">
        <v>46007</v>
      </c>
      <c r="N4127" s="13"/>
      <c r="O4127" s="13"/>
      <c r="P4127" s="13"/>
      <c r="Q4127" s="13"/>
    </row>
    <row r="4128" customFormat="false" ht="15" hidden="false" customHeight="false" outlineLevel="0" collapsed="false">
      <c r="A4128" s="16" t="s">
        <v>12916</v>
      </c>
      <c r="B4128" s="16" t="n">
        <v>4123</v>
      </c>
      <c r="C4128" s="16" t="s">
        <v>12917</v>
      </c>
      <c r="D4128" s="16" t="n">
        <v>7</v>
      </c>
      <c r="E4128" s="37" t="s">
        <v>12918</v>
      </c>
      <c r="F4128" s="16" t="s">
        <v>1285</v>
      </c>
      <c r="G4128" s="16" t="s">
        <v>757</v>
      </c>
      <c r="H4128" s="16" t="s">
        <v>12499</v>
      </c>
      <c r="I4128" s="16" t="s">
        <v>127</v>
      </c>
      <c r="J4128" s="16" t="s">
        <v>1534</v>
      </c>
      <c r="K4128" s="32" t="n">
        <v>1</v>
      </c>
      <c r="L4128" s="33" t="n">
        <v>45995</v>
      </c>
      <c r="M4128" s="33" t="n">
        <v>45995</v>
      </c>
      <c r="N4128" s="16" t="s">
        <v>12919</v>
      </c>
      <c r="O4128" s="16"/>
      <c r="P4128" s="16" t="str">
        <f aca="false">IF(AND(L4128&lt;=$D$2,M4128&gt;=$C$2),"Sí","")</f>
        <v/>
      </c>
      <c r="Q4128" s="18" t="str">
        <f aca="false">IF(COUNTIF(LOOKAHEAD!$A$5:$A$604,A4128)&gt;0,"En Lookahead",IF(P4128="Sí","INCORPORAR",""))</f>
        <v/>
      </c>
    </row>
    <row r="4129" customFormat="false" ht="15" hidden="false" customHeight="false" outlineLevel="0" collapsed="false">
      <c r="A4129" s="16" t="s">
        <v>12920</v>
      </c>
      <c r="B4129" s="16" t="n">
        <v>4124</v>
      </c>
      <c r="C4129" s="16" t="s">
        <v>12921</v>
      </c>
      <c r="D4129" s="16" t="n">
        <v>7</v>
      </c>
      <c r="E4129" s="37" t="s">
        <v>10047</v>
      </c>
      <c r="F4129" s="16" t="s">
        <v>1285</v>
      </c>
      <c r="G4129" s="16" t="s">
        <v>757</v>
      </c>
      <c r="H4129" s="16" t="s">
        <v>12499</v>
      </c>
      <c r="I4129" s="16" t="s">
        <v>127</v>
      </c>
      <c r="J4129" s="16" t="s">
        <v>1534</v>
      </c>
      <c r="K4129" s="32" t="n">
        <v>5</v>
      </c>
      <c r="L4129" s="33" t="n">
        <v>45996</v>
      </c>
      <c r="M4129" s="33" t="n">
        <v>46000</v>
      </c>
      <c r="N4129" s="16" t="s">
        <v>12922</v>
      </c>
      <c r="O4129" s="16"/>
      <c r="P4129" s="16" t="str">
        <f aca="false">IF(AND(L4129&lt;=$D$2,M4129&gt;=$C$2),"Sí","")</f>
        <v/>
      </c>
      <c r="Q4129" s="18" t="str">
        <f aca="false">IF(COUNTIF(LOOKAHEAD!$A$5:$A$604,A4129)&gt;0,"En Lookahead",IF(P4129="Sí","INCORPORAR",""))</f>
        <v/>
      </c>
    </row>
    <row r="4130" customFormat="false" ht="15" hidden="false" customHeight="false" outlineLevel="0" collapsed="false">
      <c r="A4130" s="16" t="s">
        <v>12923</v>
      </c>
      <c r="B4130" s="16" t="n">
        <v>4125</v>
      </c>
      <c r="C4130" s="16" t="s">
        <v>12924</v>
      </c>
      <c r="D4130" s="16" t="n">
        <v>7</v>
      </c>
      <c r="E4130" s="37" t="s">
        <v>10051</v>
      </c>
      <c r="F4130" s="16" t="s">
        <v>1285</v>
      </c>
      <c r="G4130" s="16" t="s">
        <v>757</v>
      </c>
      <c r="H4130" s="16" t="s">
        <v>12499</v>
      </c>
      <c r="I4130" s="16" t="s">
        <v>127</v>
      </c>
      <c r="J4130" s="16" t="s">
        <v>1534</v>
      </c>
      <c r="K4130" s="32" t="n">
        <v>1</v>
      </c>
      <c r="L4130" s="33" t="n">
        <v>46001</v>
      </c>
      <c r="M4130" s="33" t="n">
        <v>46001</v>
      </c>
      <c r="N4130" s="16" t="s">
        <v>12925</v>
      </c>
      <c r="O4130" s="16"/>
      <c r="P4130" s="16" t="str">
        <f aca="false">IF(AND(L4130&lt;=$D$2,M4130&gt;=$C$2),"Sí","")</f>
        <v/>
      </c>
      <c r="Q4130" s="18" t="str">
        <f aca="false">IF(COUNTIF(LOOKAHEAD!$A$5:$A$604,A4130)&gt;0,"En Lookahead",IF(P4130="Sí","INCORPORAR",""))</f>
        <v/>
      </c>
    </row>
    <row r="4131" customFormat="false" ht="15" hidden="false" customHeight="false" outlineLevel="0" collapsed="false">
      <c r="A4131" s="16" t="s">
        <v>12926</v>
      </c>
      <c r="B4131" s="16" t="n">
        <v>4126</v>
      </c>
      <c r="C4131" s="16" t="s">
        <v>12927</v>
      </c>
      <c r="D4131" s="16" t="n">
        <v>7</v>
      </c>
      <c r="E4131" s="37" t="s">
        <v>10059</v>
      </c>
      <c r="F4131" s="16" t="s">
        <v>1285</v>
      </c>
      <c r="G4131" s="16" t="s">
        <v>757</v>
      </c>
      <c r="H4131" s="16" t="s">
        <v>12499</v>
      </c>
      <c r="I4131" s="16" t="s">
        <v>127</v>
      </c>
      <c r="J4131" s="16" t="s">
        <v>1534</v>
      </c>
      <c r="K4131" s="32" t="n">
        <v>2</v>
      </c>
      <c r="L4131" s="33" t="n">
        <v>46002</v>
      </c>
      <c r="M4131" s="33" t="n">
        <v>46003</v>
      </c>
      <c r="N4131" s="16" t="s">
        <v>12928</v>
      </c>
      <c r="O4131" s="16"/>
      <c r="P4131" s="16" t="str">
        <f aca="false">IF(AND(L4131&lt;=$D$2,M4131&gt;=$C$2),"Sí","")</f>
        <v/>
      </c>
      <c r="Q4131" s="18" t="str">
        <f aca="false">IF(COUNTIF(LOOKAHEAD!$A$5:$A$604,A4131)&gt;0,"En Lookahead",IF(P4131="Sí","INCORPORAR",""))</f>
        <v/>
      </c>
    </row>
    <row r="4132" customFormat="false" ht="15" hidden="false" customHeight="false" outlineLevel="0" collapsed="false">
      <c r="A4132" s="16" t="s">
        <v>12929</v>
      </c>
      <c r="B4132" s="16" t="n">
        <v>4127</v>
      </c>
      <c r="C4132" s="16" t="s">
        <v>12930</v>
      </c>
      <c r="D4132" s="16" t="n">
        <v>7</v>
      </c>
      <c r="E4132" s="37" t="s">
        <v>10063</v>
      </c>
      <c r="F4132" s="16" t="s">
        <v>1285</v>
      </c>
      <c r="G4132" s="16" t="s">
        <v>757</v>
      </c>
      <c r="H4132" s="16" t="s">
        <v>12499</v>
      </c>
      <c r="I4132" s="16" t="s">
        <v>127</v>
      </c>
      <c r="J4132" s="16" t="s">
        <v>1534</v>
      </c>
      <c r="K4132" s="32" t="n">
        <v>2</v>
      </c>
      <c r="L4132" s="33" t="n">
        <v>46004</v>
      </c>
      <c r="M4132" s="33" t="n">
        <v>46005</v>
      </c>
      <c r="N4132" s="16" t="s">
        <v>12931</v>
      </c>
      <c r="O4132" s="16"/>
      <c r="P4132" s="16" t="str">
        <f aca="false">IF(AND(L4132&lt;=$D$2,M4132&gt;=$C$2),"Sí","")</f>
        <v/>
      </c>
      <c r="Q4132" s="18" t="str">
        <f aca="false">IF(COUNTIF(LOOKAHEAD!$A$5:$A$604,A4132)&gt;0,"En Lookahead",IF(P4132="Sí","INCORPORAR",""))</f>
        <v/>
      </c>
    </row>
    <row r="4133" customFormat="false" ht="15" hidden="false" customHeight="false" outlineLevel="0" collapsed="false">
      <c r="A4133" s="16" t="s">
        <v>12932</v>
      </c>
      <c r="B4133" s="16" t="n">
        <v>4128</v>
      </c>
      <c r="C4133" s="16" t="s">
        <v>12933</v>
      </c>
      <c r="D4133" s="16" t="n">
        <v>7</v>
      </c>
      <c r="E4133" s="37" t="s">
        <v>1557</v>
      </c>
      <c r="F4133" s="16" t="s">
        <v>1285</v>
      </c>
      <c r="G4133" s="16" t="s">
        <v>757</v>
      </c>
      <c r="H4133" s="16" t="s">
        <v>12499</v>
      </c>
      <c r="I4133" s="16" t="s">
        <v>127</v>
      </c>
      <c r="J4133" s="16" t="s">
        <v>1534</v>
      </c>
      <c r="K4133" s="32" t="n">
        <v>1</v>
      </c>
      <c r="L4133" s="33" t="n">
        <v>46006</v>
      </c>
      <c r="M4133" s="33" t="n">
        <v>46006</v>
      </c>
      <c r="N4133" s="16" t="s">
        <v>12934</v>
      </c>
      <c r="O4133" s="16"/>
      <c r="P4133" s="16" t="str">
        <f aca="false">IF(AND(L4133&lt;=$D$2,M4133&gt;=$C$2),"Sí","")</f>
        <v/>
      </c>
      <c r="Q4133" s="18" t="str">
        <f aca="false">IF(COUNTIF(LOOKAHEAD!$A$5:$A$604,A4133)&gt;0,"En Lookahead",IF(P4133="Sí","INCORPORAR",""))</f>
        <v/>
      </c>
    </row>
    <row r="4134" customFormat="false" ht="15" hidden="false" customHeight="false" outlineLevel="0" collapsed="false">
      <c r="A4134" s="16" t="s">
        <v>12935</v>
      </c>
      <c r="B4134" s="16" t="n">
        <v>4129</v>
      </c>
      <c r="C4134" s="16" t="s">
        <v>12936</v>
      </c>
      <c r="D4134" s="16" t="n">
        <v>7</v>
      </c>
      <c r="E4134" s="37" t="s">
        <v>10069</v>
      </c>
      <c r="F4134" s="16" t="s">
        <v>1285</v>
      </c>
      <c r="G4134" s="16" t="s">
        <v>757</v>
      </c>
      <c r="H4134" s="16" t="s">
        <v>12499</v>
      </c>
      <c r="I4134" s="16" t="s">
        <v>127</v>
      </c>
      <c r="J4134" s="16" t="s">
        <v>1534</v>
      </c>
      <c r="K4134" s="32" t="n">
        <v>1</v>
      </c>
      <c r="L4134" s="33" t="n">
        <v>46007</v>
      </c>
      <c r="M4134" s="33" t="n">
        <v>46007</v>
      </c>
      <c r="N4134" s="16" t="s">
        <v>12937</v>
      </c>
      <c r="O4134" s="16"/>
      <c r="P4134" s="16" t="str">
        <f aca="false">IF(AND(L4134&lt;=$D$2,M4134&gt;=$C$2),"Sí","")</f>
        <v/>
      </c>
      <c r="Q4134" s="18" t="str">
        <f aca="false">IF(COUNTIF(LOOKAHEAD!$A$5:$A$604,A4134)&gt;0,"En Lookahead",IF(P4134="Sí","INCORPORAR",""))</f>
        <v/>
      </c>
    </row>
    <row r="4135" customFormat="false" ht="15" hidden="false" customHeight="false" outlineLevel="0" collapsed="false">
      <c r="A4135" s="13" t="s">
        <v>12938</v>
      </c>
      <c r="B4135" s="13" t="n">
        <v>4130</v>
      </c>
      <c r="C4135" s="13" t="s">
        <v>12939</v>
      </c>
      <c r="D4135" s="13" t="n">
        <v>6</v>
      </c>
      <c r="E4135" s="36" t="s">
        <v>12940</v>
      </c>
      <c r="F4135" s="13" t="s">
        <v>1298</v>
      </c>
      <c r="G4135" s="13" t="s">
        <v>757</v>
      </c>
      <c r="H4135" s="13" t="s">
        <v>12499</v>
      </c>
      <c r="I4135" s="13" t="s">
        <v>127</v>
      </c>
      <c r="J4135" s="13" t="s">
        <v>12909</v>
      </c>
      <c r="K4135" s="30" t="n">
        <v>14</v>
      </c>
      <c r="L4135" s="31" t="n">
        <v>46002</v>
      </c>
      <c r="M4135" s="31" t="n">
        <v>46015</v>
      </c>
      <c r="N4135" s="13"/>
      <c r="O4135" s="13"/>
      <c r="P4135" s="13"/>
      <c r="Q4135" s="13"/>
    </row>
    <row r="4136" customFormat="false" ht="15" hidden="false" customHeight="false" outlineLevel="0" collapsed="false">
      <c r="A4136" s="16" t="s">
        <v>12941</v>
      </c>
      <c r="B4136" s="16" t="n">
        <v>4131</v>
      </c>
      <c r="C4136" s="16" t="s">
        <v>12942</v>
      </c>
      <c r="D4136" s="16" t="n">
        <v>7</v>
      </c>
      <c r="E4136" s="37" t="s">
        <v>12943</v>
      </c>
      <c r="F4136" s="16" t="s">
        <v>1285</v>
      </c>
      <c r="G4136" s="16" t="s">
        <v>757</v>
      </c>
      <c r="H4136" s="16" t="s">
        <v>12499</v>
      </c>
      <c r="I4136" s="16" t="s">
        <v>127</v>
      </c>
      <c r="J4136" s="16" t="s">
        <v>12940</v>
      </c>
      <c r="K4136" s="32" t="n">
        <v>6</v>
      </c>
      <c r="L4136" s="33" t="n">
        <v>46002</v>
      </c>
      <c r="M4136" s="33" t="n">
        <v>46007</v>
      </c>
      <c r="N4136" s="16" t="s">
        <v>12928</v>
      </c>
      <c r="O4136" s="16"/>
      <c r="P4136" s="16" t="str">
        <f aca="false">IF(AND(L4136&lt;=$D$2,M4136&gt;=$C$2),"Sí","")</f>
        <v/>
      </c>
      <c r="Q4136" s="18" t="str">
        <f aca="false">IF(COUNTIF(LOOKAHEAD!$A$5:$A$604,A4136)&gt;0,"En Lookahead",IF(P4136="Sí","INCORPORAR",""))</f>
        <v/>
      </c>
    </row>
    <row r="4137" customFormat="false" ht="15" hidden="false" customHeight="false" outlineLevel="0" collapsed="false">
      <c r="A4137" s="16" t="s">
        <v>12944</v>
      </c>
      <c r="B4137" s="16" t="n">
        <v>4132</v>
      </c>
      <c r="C4137" s="16" t="s">
        <v>12945</v>
      </c>
      <c r="D4137" s="16" t="n">
        <v>7</v>
      </c>
      <c r="E4137" s="37" t="s">
        <v>12946</v>
      </c>
      <c r="F4137" s="16" t="s">
        <v>1285</v>
      </c>
      <c r="G4137" s="16" t="s">
        <v>757</v>
      </c>
      <c r="H4137" s="16" t="s">
        <v>12499</v>
      </c>
      <c r="I4137" s="16" t="s">
        <v>127</v>
      </c>
      <c r="J4137" s="16" t="s">
        <v>12940</v>
      </c>
      <c r="K4137" s="32" t="n">
        <v>4</v>
      </c>
      <c r="L4137" s="33" t="n">
        <v>46008</v>
      </c>
      <c r="M4137" s="33" t="n">
        <v>46011</v>
      </c>
      <c r="N4137" s="16" t="s">
        <v>12947</v>
      </c>
      <c r="O4137" s="16"/>
      <c r="P4137" s="16" t="str">
        <f aca="false">IF(AND(L4137&lt;=$D$2,M4137&gt;=$C$2),"Sí","")</f>
        <v/>
      </c>
      <c r="Q4137" s="18" t="str">
        <f aca="false">IF(COUNTIF(LOOKAHEAD!$A$5:$A$604,A4137)&gt;0,"En Lookahead",IF(P4137="Sí","INCORPORAR",""))</f>
        <v/>
      </c>
    </row>
    <row r="4138" customFormat="false" ht="15" hidden="false" customHeight="false" outlineLevel="0" collapsed="false">
      <c r="A4138" s="16" t="s">
        <v>12948</v>
      </c>
      <c r="B4138" s="16" t="n">
        <v>4133</v>
      </c>
      <c r="C4138" s="16" t="s">
        <v>12949</v>
      </c>
      <c r="D4138" s="16" t="n">
        <v>7</v>
      </c>
      <c r="E4138" s="37" t="s">
        <v>12950</v>
      </c>
      <c r="F4138" s="16" t="s">
        <v>1285</v>
      </c>
      <c r="G4138" s="16" t="s">
        <v>757</v>
      </c>
      <c r="H4138" s="16" t="s">
        <v>12499</v>
      </c>
      <c r="I4138" s="16" t="s">
        <v>127</v>
      </c>
      <c r="J4138" s="16" t="s">
        <v>12940</v>
      </c>
      <c r="K4138" s="32" t="n">
        <v>3</v>
      </c>
      <c r="L4138" s="33" t="n">
        <v>46012</v>
      </c>
      <c r="M4138" s="33" t="n">
        <v>46014</v>
      </c>
      <c r="N4138" s="16" t="s">
        <v>12951</v>
      </c>
      <c r="O4138" s="16"/>
      <c r="P4138" s="16" t="str">
        <f aca="false">IF(AND(L4138&lt;=$D$2,M4138&gt;=$C$2),"Sí","")</f>
        <v/>
      </c>
      <c r="Q4138" s="18" t="str">
        <f aca="false">IF(COUNTIF(LOOKAHEAD!$A$5:$A$604,A4138)&gt;0,"En Lookahead",IF(P4138="Sí","INCORPORAR",""))</f>
        <v/>
      </c>
    </row>
    <row r="4139" customFormat="false" ht="15" hidden="false" customHeight="false" outlineLevel="0" collapsed="false">
      <c r="A4139" s="16" t="s">
        <v>12952</v>
      </c>
      <c r="B4139" s="16" t="n">
        <v>4134</v>
      </c>
      <c r="C4139" s="16" t="s">
        <v>12953</v>
      </c>
      <c r="D4139" s="16" t="n">
        <v>7</v>
      </c>
      <c r="E4139" s="37" t="s">
        <v>12954</v>
      </c>
      <c r="F4139" s="16" t="s">
        <v>1285</v>
      </c>
      <c r="G4139" s="16" t="s">
        <v>757</v>
      </c>
      <c r="H4139" s="16" t="s">
        <v>12499</v>
      </c>
      <c r="I4139" s="16" t="s">
        <v>127</v>
      </c>
      <c r="J4139" s="16" t="s">
        <v>12940</v>
      </c>
      <c r="K4139" s="32" t="n">
        <v>1</v>
      </c>
      <c r="L4139" s="33" t="n">
        <v>46015</v>
      </c>
      <c r="M4139" s="33" t="n">
        <v>46015</v>
      </c>
      <c r="N4139" s="16" t="s">
        <v>12955</v>
      </c>
      <c r="O4139" s="16"/>
      <c r="P4139" s="16" t="str">
        <f aca="false">IF(AND(L4139&lt;=$D$2,M4139&gt;=$C$2),"Sí","")</f>
        <v/>
      </c>
      <c r="Q4139" s="18" t="str">
        <f aca="false">IF(COUNTIF(LOOKAHEAD!$A$5:$A$604,A4139)&gt;0,"En Lookahead",IF(P4139="Sí","INCORPORAR",""))</f>
        <v/>
      </c>
    </row>
    <row r="4140" customFormat="false" ht="15" hidden="false" customHeight="false" outlineLevel="0" collapsed="false">
      <c r="A4140" s="13" t="s">
        <v>12956</v>
      </c>
      <c r="B4140" s="13" t="n">
        <v>4135</v>
      </c>
      <c r="C4140" s="13" t="s">
        <v>12957</v>
      </c>
      <c r="D4140" s="13" t="n">
        <v>6</v>
      </c>
      <c r="E4140" s="36" t="s">
        <v>10079</v>
      </c>
      <c r="F4140" s="13" t="s">
        <v>1298</v>
      </c>
      <c r="G4140" s="13" t="s">
        <v>757</v>
      </c>
      <c r="H4140" s="13" t="s">
        <v>12499</v>
      </c>
      <c r="I4140" s="13" t="s">
        <v>127</v>
      </c>
      <c r="J4140" s="13" t="s">
        <v>12909</v>
      </c>
      <c r="K4140" s="30" t="n">
        <v>13</v>
      </c>
      <c r="L4140" s="31" t="n">
        <v>46002</v>
      </c>
      <c r="M4140" s="31" t="n">
        <v>46014</v>
      </c>
      <c r="N4140" s="13"/>
      <c r="O4140" s="13"/>
      <c r="P4140" s="13"/>
      <c r="Q4140" s="13"/>
    </row>
    <row r="4141" customFormat="false" ht="15" hidden="false" customHeight="false" outlineLevel="0" collapsed="false">
      <c r="A4141" s="16" t="s">
        <v>12958</v>
      </c>
      <c r="B4141" s="16" t="n">
        <v>4136</v>
      </c>
      <c r="C4141" s="16" t="s">
        <v>12959</v>
      </c>
      <c r="D4141" s="16" t="n">
        <v>7</v>
      </c>
      <c r="E4141" s="37" t="s">
        <v>12960</v>
      </c>
      <c r="F4141" s="16" t="s">
        <v>1285</v>
      </c>
      <c r="G4141" s="16" t="s">
        <v>757</v>
      </c>
      <c r="H4141" s="16" t="s">
        <v>12499</v>
      </c>
      <c r="I4141" s="16" t="s">
        <v>127</v>
      </c>
      <c r="J4141" s="16" t="s">
        <v>10079</v>
      </c>
      <c r="K4141" s="32" t="n">
        <v>1</v>
      </c>
      <c r="L4141" s="33" t="n">
        <v>46002</v>
      </c>
      <c r="M4141" s="33" t="n">
        <v>46002</v>
      </c>
      <c r="N4141" s="16" t="s">
        <v>12961</v>
      </c>
      <c r="O4141" s="16"/>
      <c r="P4141" s="16" t="str">
        <f aca="false">IF(AND(L4141&lt;=$D$2,M4141&gt;=$C$2),"Sí","")</f>
        <v/>
      </c>
      <c r="Q4141" s="18" t="str">
        <f aca="false">IF(COUNTIF(LOOKAHEAD!$A$5:$A$604,A4141)&gt;0,"En Lookahead",IF(P4141="Sí","INCORPORAR",""))</f>
        <v/>
      </c>
    </row>
    <row r="4142" customFormat="false" ht="15" hidden="false" customHeight="false" outlineLevel="0" collapsed="false">
      <c r="A4142" s="16" t="s">
        <v>12962</v>
      </c>
      <c r="B4142" s="16" t="n">
        <v>4137</v>
      </c>
      <c r="C4142" s="16" t="s">
        <v>12963</v>
      </c>
      <c r="D4142" s="16" t="n">
        <v>7</v>
      </c>
      <c r="E4142" s="37" t="s">
        <v>12964</v>
      </c>
      <c r="F4142" s="16" t="s">
        <v>1285</v>
      </c>
      <c r="G4142" s="16" t="s">
        <v>757</v>
      </c>
      <c r="H4142" s="16" t="s">
        <v>12499</v>
      </c>
      <c r="I4142" s="16" t="s">
        <v>127</v>
      </c>
      <c r="J4142" s="16" t="s">
        <v>10079</v>
      </c>
      <c r="K4142" s="32" t="n">
        <v>1</v>
      </c>
      <c r="L4142" s="33" t="n">
        <v>46003</v>
      </c>
      <c r="M4142" s="33" t="n">
        <v>46003</v>
      </c>
      <c r="N4142" s="16" t="s">
        <v>12965</v>
      </c>
      <c r="O4142" s="16"/>
      <c r="P4142" s="16" t="str">
        <f aca="false">IF(AND(L4142&lt;=$D$2,M4142&gt;=$C$2),"Sí","")</f>
        <v/>
      </c>
      <c r="Q4142" s="18" t="str">
        <f aca="false">IF(COUNTIF(LOOKAHEAD!$A$5:$A$604,A4142)&gt;0,"En Lookahead",IF(P4142="Sí","INCORPORAR",""))</f>
        <v/>
      </c>
    </row>
    <row r="4143" customFormat="false" ht="15" hidden="false" customHeight="false" outlineLevel="0" collapsed="false">
      <c r="A4143" s="16" t="s">
        <v>12966</v>
      </c>
      <c r="B4143" s="16" t="n">
        <v>4138</v>
      </c>
      <c r="C4143" s="16" t="s">
        <v>12967</v>
      </c>
      <c r="D4143" s="16" t="n">
        <v>7</v>
      </c>
      <c r="E4143" s="37" t="s">
        <v>12968</v>
      </c>
      <c r="F4143" s="16" t="s">
        <v>1285</v>
      </c>
      <c r="G4143" s="16" t="s">
        <v>757</v>
      </c>
      <c r="H4143" s="16" t="s">
        <v>12499</v>
      </c>
      <c r="I4143" s="16" t="s">
        <v>127</v>
      </c>
      <c r="J4143" s="16" t="s">
        <v>10079</v>
      </c>
      <c r="K4143" s="32" t="n">
        <v>1</v>
      </c>
      <c r="L4143" s="33" t="n">
        <v>46004</v>
      </c>
      <c r="M4143" s="33" t="n">
        <v>46004</v>
      </c>
      <c r="N4143" s="16" t="s">
        <v>12969</v>
      </c>
      <c r="O4143" s="16"/>
      <c r="P4143" s="16" t="str">
        <f aca="false">IF(AND(L4143&lt;=$D$2,M4143&gt;=$C$2),"Sí","")</f>
        <v/>
      </c>
      <c r="Q4143" s="18" t="str">
        <f aca="false">IF(COUNTIF(LOOKAHEAD!$A$5:$A$604,A4143)&gt;0,"En Lookahead",IF(P4143="Sí","INCORPORAR",""))</f>
        <v/>
      </c>
    </row>
    <row r="4144" customFormat="false" ht="15" hidden="false" customHeight="false" outlineLevel="0" collapsed="false">
      <c r="A4144" s="16" t="s">
        <v>12970</v>
      </c>
      <c r="B4144" s="16" t="n">
        <v>4139</v>
      </c>
      <c r="C4144" s="16" t="s">
        <v>12971</v>
      </c>
      <c r="D4144" s="16" t="n">
        <v>7</v>
      </c>
      <c r="E4144" s="37" t="s">
        <v>12972</v>
      </c>
      <c r="F4144" s="16" t="s">
        <v>1285</v>
      </c>
      <c r="G4144" s="16" t="s">
        <v>757</v>
      </c>
      <c r="H4144" s="16" t="s">
        <v>12499</v>
      </c>
      <c r="I4144" s="16" t="s">
        <v>127</v>
      </c>
      <c r="J4144" s="16" t="s">
        <v>10079</v>
      </c>
      <c r="K4144" s="32" t="n">
        <v>1</v>
      </c>
      <c r="L4144" s="33" t="n">
        <v>46005</v>
      </c>
      <c r="M4144" s="33" t="n">
        <v>46005</v>
      </c>
      <c r="N4144" s="16" t="s">
        <v>12973</v>
      </c>
      <c r="O4144" s="16"/>
      <c r="P4144" s="16" t="str">
        <f aca="false">IF(AND(L4144&lt;=$D$2,M4144&gt;=$C$2),"Sí","")</f>
        <v/>
      </c>
      <c r="Q4144" s="18" t="str">
        <f aca="false">IF(COUNTIF(LOOKAHEAD!$A$5:$A$604,A4144)&gt;0,"En Lookahead",IF(P4144="Sí","INCORPORAR",""))</f>
        <v/>
      </c>
    </row>
    <row r="4145" customFormat="false" ht="15" hidden="false" customHeight="false" outlineLevel="0" collapsed="false">
      <c r="A4145" s="16" t="s">
        <v>12974</v>
      </c>
      <c r="B4145" s="16" t="n">
        <v>4140</v>
      </c>
      <c r="C4145" s="16" t="s">
        <v>12975</v>
      </c>
      <c r="D4145" s="16" t="n">
        <v>7</v>
      </c>
      <c r="E4145" s="37" t="s">
        <v>12976</v>
      </c>
      <c r="F4145" s="16" t="s">
        <v>1285</v>
      </c>
      <c r="G4145" s="16" t="s">
        <v>757</v>
      </c>
      <c r="H4145" s="16" t="s">
        <v>12499</v>
      </c>
      <c r="I4145" s="16" t="s">
        <v>127</v>
      </c>
      <c r="J4145" s="16" t="s">
        <v>10079</v>
      </c>
      <c r="K4145" s="32" t="n">
        <v>1</v>
      </c>
      <c r="L4145" s="33" t="n">
        <v>46006</v>
      </c>
      <c r="M4145" s="33" t="n">
        <v>46006</v>
      </c>
      <c r="N4145" s="16" t="s">
        <v>12977</v>
      </c>
      <c r="O4145" s="16"/>
      <c r="P4145" s="16" t="str">
        <f aca="false">IF(AND(L4145&lt;=$D$2,M4145&gt;=$C$2),"Sí","")</f>
        <v/>
      </c>
      <c r="Q4145" s="18" t="str">
        <f aca="false">IF(COUNTIF(LOOKAHEAD!$A$5:$A$604,A4145)&gt;0,"En Lookahead",IF(P4145="Sí","INCORPORAR",""))</f>
        <v/>
      </c>
    </row>
    <row r="4146" customFormat="false" ht="15" hidden="false" customHeight="false" outlineLevel="0" collapsed="false">
      <c r="A4146" s="16" t="s">
        <v>12978</v>
      </c>
      <c r="B4146" s="16" t="n">
        <v>4141</v>
      </c>
      <c r="C4146" s="16" t="s">
        <v>12979</v>
      </c>
      <c r="D4146" s="16" t="n">
        <v>7</v>
      </c>
      <c r="E4146" s="37" t="s">
        <v>12980</v>
      </c>
      <c r="F4146" s="16" t="s">
        <v>1285</v>
      </c>
      <c r="G4146" s="16" t="s">
        <v>757</v>
      </c>
      <c r="H4146" s="16" t="s">
        <v>12499</v>
      </c>
      <c r="I4146" s="16" t="s">
        <v>127</v>
      </c>
      <c r="J4146" s="16" t="s">
        <v>10079</v>
      </c>
      <c r="K4146" s="32" t="n">
        <v>1</v>
      </c>
      <c r="L4146" s="33" t="n">
        <v>46007</v>
      </c>
      <c r="M4146" s="33" t="n">
        <v>46007</v>
      </c>
      <c r="N4146" s="16" t="s">
        <v>12981</v>
      </c>
      <c r="O4146" s="16"/>
      <c r="P4146" s="16" t="str">
        <f aca="false">IF(AND(L4146&lt;=$D$2,M4146&gt;=$C$2),"Sí","")</f>
        <v/>
      </c>
      <c r="Q4146" s="18" t="str">
        <f aca="false">IF(COUNTIF(LOOKAHEAD!$A$5:$A$604,A4146)&gt;0,"En Lookahead",IF(P4146="Sí","INCORPORAR",""))</f>
        <v/>
      </c>
    </row>
    <row r="4147" customFormat="false" ht="15" hidden="false" customHeight="false" outlineLevel="0" collapsed="false">
      <c r="A4147" s="16" t="s">
        <v>12982</v>
      </c>
      <c r="B4147" s="16" t="n">
        <v>4142</v>
      </c>
      <c r="C4147" s="16" t="s">
        <v>12983</v>
      </c>
      <c r="D4147" s="16" t="n">
        <v>7</v>
      </c>
      <c r="E4147" s="37" t="s">
        <v>12984</v>
      </c>
      <c r="F4147" s="16" t="s">
        <v>1285</v>
      </c>
      <c r="G4147" s="16" t="s">
        <v>757</v>
      </c>
      <c r="H4147" s="16" t="s">
        <v>12499</v>
      </c>
      <c r="I4147" s="16" t="s">
        <v>127</v>
      </c>
      <c r="J4147" s="16" t="s">
        <v>10079</v>
      </c>
      <c r="K4147" s="32" t="n">
        <v>2</v>
      </c>
      <c r="L4147" s="33" t="n">
        <v>46008</v>
      </c>
      <c r="M4147" s="33" t="n">
        <v>46009</v>
      </c>
      <c r="N4147" s="16" t="s">
        <v>12985</v>
      </c>
      <c r="O4147" s="16"/>
      <c r="P4147" s="16" t="str">
        <f aca="false">IF(AND(L4147&lt;=$D$2,M4147&gt;=$C$2),"Sí","")</f>
        <v/>
      </c>
      <c r="Q4147" s="18" t="str">
        <f aca="false">IF(COUNTIF(LOOKAHEAD!$A$5:$A$604,A4147)&gt;0,"En Lookahead",IF(P4147="Sí","INCORPORAR",""))</f>
        <v/>
      </c>
    </row>
    <row r="4148" customFormat="false" ht="15" hidden="false" customHeight="false" outlineLevel="0" collapsed="false">
      <c r="A4148" s="16" t="s">
        <v>12986</v>
      </c>
      <c r="B4148" s="16" t="n">
        <v>4143</v>
      </c>
      <c r="C4148" s="16" t="s">
        <v>12987</v>
      </c>
      <c r="D4148" s="16" t="n">
        <v>7</v>
      </c>
      <c r="E4148" s="37" t="s">
        <v>12988</v>
      </c>
      <c r="F4148" s="16" t="s">
        <v>1285</v>
      </c>
      <c r="G4148" s="16" t="s">
        <v>757</v>
      </c>
      <c r="H4148" s="16" t="s">
        <v>12499</v>
      </c>
      <c r="I4148" s="16" t="s">
        <v>127</v>
      </c>
      <c r="J4148" s="16" t="s">
        <v>10079</v>
      </c>
      <c r="K4148" s="32" t="n">
        <v>1</v>
      </c>
      <c r="L4148" s="33" t="n">
        <v>46010</v>
      </c>
      <c r="M4148" s="33" t="n">
        <v>46010</v>
      </c>
      <c r="N4148" s="16" t="s">
        <v>12989</v>
      </c>
      <c r="O4148" s="16"/>
      <c r="P4148" s="16" t="str">
        <f aca="false">IF(AND(L4148&lt;=$D$2,M4148&gt;=$C$2),"Sí","")</f>
        <v/>
      </c>
      <c r="Q4148" s="18" t="str">
        <f aca="false">IF(COUNTIF(LOOKAHEAD!$A$5:$A$604,A4148)&gt;0,"En Lookahead",IF(P4148="Sí","INCORPORAR",""))</f>
        <v/>
      </c>
    </row>
    <row r="4149" customFormat="false" ht="15" hidden="false" customHeight="false" outlineLevel="0" collapsed="false">
      <c r="A4149" s="16" t="s">
        <v>12990</v>
      </c>
      <c r="B4149" s="16" t="n">
        <v>4144</v>
      </c>
      <c r="C4149" s="16" t="s">
        <v>12991</v>
      </c>
      <c r="D4149" s="16" t="n">
        <v>7</v>
      </c>
      <c r="E4149" s="37" t="s">
        <v>12992</v>
      </c>
      <c r="F4149" s="16" t="s">
        <v>1285</v>
      </c>
      <c r="G4149" s="16" t="s">
        <v>757</v>
      </c>
      <c r="H4149" s="16" t="s">
        <v>12499</v>
      </c>
      <c r="I4149" s="16" t="s">
        <v>127</v>
      </c>
      <c r="J4149" s="16" t="s">
        <v>10079</v>
      </c>
      <c r="K4149" s="32" t="n">
        <v>1</v>
      </c>
      <c r="L4149" s="33" t="n">
        <v>46011</v>
      </c>
      <c r="M4149" s="33" t="n">
        <v>46011</v>
      </c>
      <c r="N4149" s="16" t="s">
        <v>12993</v>
      </c>
      <c r="O4149" s="16"/>
      <c r="P4149" s="16" t="str">
        <f aca="false">IF(AND(L4149&lt;=$D$2,M4149&gt;=$C$2),"Sí","")</f>
        <v/>
      </c>
      <c r="Q4149" s="18" t="str">
        <f aca="false">IF(COUNTIF(LOOKAHEAD!$A$5:$A$604,A4149)&gt;0,"En Lookahead",IF(P4149="Sí","INCORPORAR",""))</f>
        <v/>
      </c>
    </row>
    <row r="4150" customFormat="false" ht="15" hidden="false" customHeight="false" outlineLevel="0" collapsed="false">
      <c r="A4150" s="16" t="s">
        <v>12994</v>
      </c>
      <c r="B4150" s="16" t="n">
        <v>4145</v>
      </c>
      <c r="C4150" s="16" t="s">
        <v>12995</v>
      </c>
      <c r="D4150" s="16" t="n">
        <v>7</v>
      </c>
      <c r="E4150" s="37" t="s">
        <v>12996</v>
      </c>
      <c r="F4150" s="16" t="s">
        <v>1285</v>
      </c>
      <c r="G4150" s="16" t="s">
        <v>757</v>
      </c>
      <c r="H4150" s="16" t="s">
        <v>12499</v>
      </c>
      <c r="I4150" s="16" t="s">
        <v>127</v>
      </c>
      <c r="J4150" s="16" t="s">
        <v>10079</v>
      </c>
      <c r="K4150" s="32" t="n">
        <v>1</v>
      </c>
      <c r="L4150" s="33" t="n">
        <v>46012</v>
      </c>
      <c r="M4150" s="33" t="n">
        <v>46012</v>
      </c>
      <c r="N4150" s="16" t="s">
        <v>12997</v>
      </c>
      <c r="O4150" s="16"/>
      <c r="P4150" s="16" t="str">
        <f aca="false">IF(AND(L4150&lt;=$D$2,M4150&gt;=$C$2),"Sí","")</f>
        <v/>
      </c>
      <c r="Q4150" s="18" t="str">
        <f aca="false">IF(COUNTIF(LOOKAHEAD!$A$5:$A$604,A4150)&gt;0,"En Lookahead",IF(P4150="Sí","INCORPORAR",""))</f>
        <v/>
      </c>
    </row>
    <row r="4151" customFormat="false" ht="15" hidden="false" customHeight="false" outlineLevel="0" collapsed="false">
      <c r="A4151" s="16" t="s">
        <v>12998</v>
      </c>
      <c r="B4151" s="16" t="n">
        <v>4146</v>
      </c>
      <c r="C4151" s="16" t="s">
        <v>12999</v>
      </c>
      <c r="D4151" s="16" t="n">
        <v>7</v>
      </c>
      <c r="E4151" s="37" t="s">
        <v>13000</v>
      </c>
      <c r="F4151" s="16" t="s">
        <v>1285</v>
      </c>
      <c r="G4151" s="16" t="s">
        <v>757</v>
      </c>
      <c r="H4151" s="16" t="s">
        <v>12499</v>
      </c>
      <c r="I4151" s="16" t="s">
        <v>127</v>
      </c>
      <c r="J4151" s="16" t="s">
        <v>10079</v>
      </c>
      <c r="K4151" s="32" t="n">
        <v>1</v>
      </c>
      <c r="L4151" s="33" t="n">
        <v>46013</v>
      </c>
      <c r="M4151" s="33" t="n">
        <v>46013</v>
      </c>
      <c r="N4151" s="16" t="s">
        <v>13001</v>
      </c>
      <c r="O4151" s="16"/>
      <c r="P4151" s="16" t="str">
        <f aca="false">IF(AND(L4151&lt;=$D$2,M4151&gt;=$C$2),"Sí","")</f>
        <v/>
      </c>
      <c r="Q4151" s="18" t="str">
        <f aca="false">IF(COUNTIF(LOOKAHEAD!$A$5:$A$604,A4151)&gt;0,"En Lookahead",IF(P4151="Sí","INCORPORAR",""))</f>
        <v/>
      </c>
    </row>
    <row r="4152" customFormat="false" ht="15" hidden="false" customHeight="false" outlineLevel="0" collapsed="false">
      <c r="A4152" s="16" t="s">
        <v>13002</v>
      </c>
      <c r="B4152" s="16" t="n">
        <v>4147</v>
      </c>
      <c r="C4152" s="16" t="s">
        <v>13003</v>
      </c>
      <c r="D4152" s="16" t="n">
        <v>7</v>
      </c>
      <c r="E4152" s="37" t="s">
        <v>13004</v>
      </c>
      <c r="F4152" s="16" t="s">
        <v>1285</v>
      </c>
      <c r="G4152" s="16" t="s">
        <v>757</v>
      </c>
      <c r="H4152" s="16" t="s">
        <v>12499</v>
      </c>
      <c r="I4152" s="16" t="s">
        <v>127</v>
      </c>
      <c r="J4152" s="16" t="s">
        <v>10079</v>
      </c>
      <c r="K4152" s="32" t="n">
        <v>1</v>
      </c>
      <c r="L4152" s="33" t="n">
        <v>46014</v>
      </c>
      <c r="M4152" s="33" t="n">
        <v>46014</v>
      </c>
      <c r="N4152" s="16" t="s">
        <v>13005</v>
      </c>
      <c r="O4152" s="16"/>
      <c r="P4152" s="16" t="str">
        <f aca="false">IF(AND(L4152&lt;=$D$2,M4152&gt;=$C$2),"Sí","")</f>
        <v/>
      </c>
      <c r="Q4152" s="18" t="str">
        <f aca="false">IF(COUNTIF(LOOKAHEAD!$A$5:$A$604,A4152)&gt;0,"En Lookahead",IF(P4152="Sí","INCORPORAR",""))</f>
        <v/>
      </c>
    </row>
    <row r="4153" customFormat="false" ht="15" hidden="false" customHeight="false" outlineLevel="0" collapsed="false">
      <c r="A4153" s="13" t="s">
        <v>13006</v>
      </c>
      <c r="B4153" s="13" t="n">
        <v>4148</v>
      </c>
      <c r="C4153" s="13" t="s">
        <v>13007</v>
      </c>
      <c r="D4153" s="13" t="n">
        <v>6</v>
      </c>
      <c r="E4153" s="36" t="s">
        <v>13008</v>
      </c>
      <c r="F4153" s="13" t="s">
        <v>1298</v>
      </c>
      <c r="G4153" s="13" t="s">
        <v>757</v>
      </c>
      <c r="H4153" s="13" t="s">
        <v>12499</v>
      </c>
      <c r="I4153" s="13" t="s">
        <v>127</v>
      </c>
      <c r="J4153" s="13" t="s">
        <v>12909</v>
      </c>
      <c r="K4153" s="30" t="n">
        <v>8</v>
      </c>
      <c r="L4153" s="31" t="n">
        <v>46016</v>
      </c>
      <c r="M4153" s="31" t="n">
        <v>46023</v>
      </c>
      <c r="N4153" s="13"/>
      <c r="O4153" s="13"/>
      <c r="P4153" s="13"/>
      <c r="Q4153" s="13"/>
    </row>
    <row r="4154" customFormat="false" ht="15" hidden="false" customHeight="false" outlineLevel="0" collapsed="false">
      <c r="A4154" s="16" t="s">
        <v>13009</v>
      </c>
      <c r="B4154" s="16" t="n">
        <v>4149</v>
      </c>
      <c r="C4154" s="16" t="s">
        <v>13010</v>
      </c>
      <c r="D4154" s="16" t="n">
        <v>7</v>
      </c>
      <c r="E4154" s="37" t="s">
        <v>13011</v>
      </c>
      <c r="F4154" s="16" t="s">
        <v>1285</v>
      </c>
      <c r="G4154" s="16" t="s">
        <v>757</v>
      </c>
      <c r="H4154" s="16" t="s">
        <v>12499</v>
      </c>
      <c r="I4154" s="16" t="s">
        <v>127</v>
      </c>
      <c r="J4154" s="16" t="s">
        <v>13008</v>
      </c>
      <c r="K4154" s="32" t="n">
        <v>8</v>
      </c>
      <c r="L4154" s="33" t="n">
        <v>46016</v>
      </c>
      <c r="M4154" s="33" t="n">
        <v>46023</v>
      </c>
      <c r="N4154" s="16" t="s">
        <v>13012</v>
      </c>
      <c r="O4154" s="16"/>
      <c r="P4154" s="16" t="str">
        <f aca="false">IF(AND(L4154&lt;=$D$2,M4154&gt;=$C$2),"Sí","")</f>
        <v/>
      </c>
      <c r="Q4154" s="18" t="str">
        <f aca="false">IF(COUNTIF(LOOKAHEAD!$A$5:$A$604,A4154)&gt;0,"En Lookahead",IF(P4154="Sí","INCORPORAR",""))</f>
        <v/>
      </c>
    </row>
    <row r="4155" customFormat="false" ht="15" hidden="false" customHeight="false" outlineLevel="0" collapsed="false">
      <c r="A4155" s="13" t="s">
        <v>13013</v>
      </c>
      <c r="B4155" s="13" t="n">
        <v>4150</v>
      </c>
      <c r="C4155" s="13" t="s">
        <v>13014</v>
      </c>
      <c r="D4155" s="13" t="n">
        <v>6</v>
      </c>
      <c r="E4155" s="36" t="s">
        <v>13015</v>
      </c>
      <c r="F4155" s="13" t="s">
        <v>1298</v>
      </c>
      <c r="G4155" s="13" t="s">
        <v>757</v>
      </c>
      <c r="H4155" s="13" t="s">
        <v>12499</v>
      </c>
      <c r="I4155" s="13" t="s">
        <v>127</v>
      </c>
      <c r="J4155" s="13" t="s">
        <v>12909</v>
      </c>
      <c r="K4155" s="30" t="n">
        <v>2</v>
      </c>
      <c r="L4155" s="31" t="n">
        <v>46024</v>
      </c>
      <c r="M4155" s="31" t="n">
        <v>46025</v>
      </c>
      <c r="N4155" s="13"/>
      <c r="O4155" s="13"/>
      <c r="P4155" s="13"/>
      <c r="Q4155" s="13"/>
    </row>
    <row r="4156" customFormat="false" ht="15" hidden="false" customHeight="false" outlineLevel="0" collapsed="false">
      <c r="A4156" s="16" t="s">
        <v>13016</v>
      </c>
      <c r="B4156" s="16" t="n">
        <v>4151</v>
      </c>
      <c r="C4156" s="16" t="s">
        <v>13017</v>
      </c>
      <c r="D4156" s="16" t="n">
        <v>7</v>
      </c>
      <c r="E4156" s="37" t="s">
        <v>13018</v>
      </c>
      <c r="F4156" s="16" t="s">
        <v>1285</v>
      </c>
      <c r="G4156" s="16" t="s">
        <v>757</v>
      </c>
      <c r="H4156" s="16" t="s">
        <v>12499</v>
      </c>
      <c r="I4156" s="16" t="s">
        <v>127</v>
      </c>
      <c r="J4156" s="16" t="s">
        <v>13015</v>
      </c>
      <c r="K4156" s="32" t="n">
        <v>1</v>
      </c>
      <c r="L4156" s="33" t="n">
        <v>46024</v>
      </c>
      <c r="M4156" s="33" t="n">
        <v>46024</v>
      </c>
      <c r="N4156" s="16" t="s">
        <v>13019</v>
      </c>
      <c r="O4156" s="16"/>
      <c r="P4156" s="16" t="str">
        <f aca="false">IF(AND(L4156&lt;=$D$2,M4156&gt;=$C$2),"Sí","")</f>
        <v/>
      </c>
      <c r="Q4156" s="18" t="str">
        <f aca="false">IF(COUNTIF(LOOKAHEAD!$A$5:$A$604,A4156)&gt;0,"En Lookahead",IF(P4156="Sí","INCORPORAR",""))</f>
        <v/>
      </c>
    </row>
    <row r="4157" customFormat="false" ht="15" hidden="false" customHeight="false" outlineLevel="0" collapsed="false">
      <c r="A4157" s="16" t="s">
        <v>13020</v>
      </c>
      <c r="B4157" s="16" t="n">
        <v>4152</v>
      </c>
      <c r="C4157" s="16" t="s">
        <v>13021</v>
      </c>
      <c r="D4157" s="16" t="n">
        <v>7</v>
      </c>
      <c r="E4157" s="37" t="s">
        <v>13022</v>
      </c>
      <c r="F4157" s="16" t="s">
        <v>1285</v>
      </c>
      <c r="G4157" s="16" t="s">
        <v>757</v>
      </c>
      <c r="H4157" s="16" t="s">
        <v>12499</v>
      </c>
      <c r="I4157" s="16" t="s">
        <v>127</v>
      </c>
      <c r="J4157" s="16" t="s">
        <v>13015</v>
      </c>
      <c r="K4157" s="32" t="n">
        <v>1</v>
      </c>
      <c r="L4157" s="33" t="n">
        <v>46025</v>
      </c>
      <c r="M4157" s="33" t="n">
        <v>46025</v>
      </c>
      <c r="N4157" s="16" t="s">
        <v>13023</v>
      </c>
      <c r="O4157" s="16"/>
      <c r="P4157" s="16" t="str">
        <f aca="false">IF(AND(L4157&lt;=$D$2,M4157&gt;=$C$2),"Sí","")</f>
        <v/>
      </c>
      <c r="Q4157" s="18" t="str">
        <f aca="false">IF(COUNTIF(LOOKAHEAD!$A$5:$A$604,A4157)&gt;0,"En Lookahead",IF(P4157="Sí","INCORPORAR",""))</f>
        <v/>
      </c>
    </row>
    <row r="4158" customFormat="false" ht="15" hidden="false" customHeight="false" outlineLevel="0" collapsed="false">
      <c r="A4158" s="13" t="s">
        <v>13024</v>
      </c>
      <c r="B4158" s="13" t="n">
        <v>4153</v>
      </c>
      <c r="C4158" s="13" t="s">
        <v>13025</v>
      </c>
      <c r="D4158" s="13" t="n">
        <v>6</v>
      </c>
      <c r="E4158" s="36" t="s">
        <v>13026</v>
      </c>
      <c r="F4158" s="13" t="s">
        <v>1298</v>
      </c>
      <c r="G4158" s="13" t="s">
        <v>757</v>
      </c>
      <c r="H4158" s="13" t="s">
        <v>12499</v>
      </c>
      <c r="I4158" s="13" t="s">
        <v>127</v>
      </c>
      <c r="J4158" s="13" t="s">
        <v>12909</v>
      </c>
      <c r="K4158" s="30" t="n">
        <v>43</v>
      </c>
      <c r="L4158" s="31" t="n">
        <v>46002</v>
      </c>
      <c r="M4158" s="31" t="n">
        <v>46044</v>
      </c>
      <c r="N4158" s="13"/>
      <c r="O4158" s="13"/>
      <c r="P4158" s="13"/>
      <c r="Q4158" s="13"/>
    </row>
    <row r="4159" customFormat="false" ht="15" hidden="false" customHeight="false" outlineLevel="0" collapsed="false">
      <c r="A4159" s="16" t="s">
        <v>13027</v>
      </c>
      <c r="B4159" s="16" t="n">
        <v>4154</v>
      </c>
      <c r="C4159" s="16" t="s">
        <v>13028</v>
      </c>
      <c r="D4159" s="16" t="n">
        <v>7</v>
      </c>
      <c r="E4159" s="37" t="s">
        <v>13029</v>
      </c>
      <c r="F4159" s="16" t="s">
        <v>1285</v>
      </c>
      <c r="G4159" s="16" t="s">
        <v>757</v>
      </c>
      <c r="H4159" s="16" t="s">
        <v>12499</v>
      </c>
      <c r="I4159" s="16" t="s">
        <v>127</v>
      </c>
      <c r="J4159" s="16" t="s">
        <v>13026</v>
      </c>
      <c r="K4159" s="32" t="n">
        <v>1</v>
      </c>
      <c r="L4159" s="33" t="n">
        <v>46002</v>
      </c>
      <c r="M4159" s="33" t="n">
        <v>46002</v>
      </c>
      <c r="N4159" s="16" t="s">
        <v>12928</v>
      </c>
      <c r="O4159" s="16"/>
      <c r="P4159" s="16" t="str">
        <f aca="false">IF(AND(L4159&lt;=$D$2,M4159&gt;=$C$2),"Sí","")</f>
        <v/>
      </c>
      <c r="Q4159" s="18" t="str">
        <f aca="false">IF(COUNTIF(LOOKAHEAD!$A$5:$A$604,A4159)&gt;0,"En Lookahead",IF(P4159="Sí","INCORPORAR",""))</f>
        <v/>
      </c>
    </row>
    <row r="4160" customFormat="false" ht="15" hidden="false" customHeight="false" outlineLevel="0" collapsed="false">
      <c r="A4160" s="16" t="s">
        <v>13030</v>
      </c>
      <c r="B4160" s="16" t="n">
        <v>4155</v>
      </c>
      <c r="C4160" s="16" t="s">
        <v>13031</v>
      </c>
      <c r="D4160" s="16" t="n">
        <v>7</v>
      </c>
      <c r="E4160" s="37" t="s">
        <v>12946</v>
      </c>
      <c r="F4160" s="16" t="s">
        <v>1285</v>
      </c>
      <c r="G4160" s="16" t="s">
        <v>757</v>
      </c>
      <c r="H4160" s="16" t="s">
        <v>12499</v>
      </c>
      <c r="I4160" s="16" t="s">
        <v>127</v>
      </c>
      <c r="J4160" s="16" t="s">
        <v>13026</v>
      </c>
      <c r="K4160" s="32" t="n">
        <v>3</v>
      </c>
      <c r="L4160" s="33" t="n">
        <v>46003</v>
      </c>
      <c r="M4160" s="33" t="n">
        <v>46005</v>
      </c>
      <c r="N4160" s="16" t="s">
        <v>13032</v>
      </c>
      <c r="O4160" s="16"/>
      <c r="P4160" s="16" t="str">
        <f aca="false">IF(AND(L4160&lt;=$D$2,M4160&gt;=$C$2),"Sí","")</f>
        <v/>
      </c>
      <c r="Q4160" s="18" t="str">
        <f aca="false">IF(COUNTIF(LOOKAHEAD!$A$5:$A$604,A4160)&gt;0,"En Lookahead",IF(P4160="Sí","INCORPORAR",""))</f>
        <v/>
      </c>
    </row>
    <row r="4161" customFormat="false" ht="15" hidden="false" customHeight="false" outlineLevel="0" collapsed="false">
      <c r="A4161" s="16" t="s">
        <v>13033</v>
      </c>
      <c r="B4161" s="16" t="n">
        <v>4156</v>
      </c>
      <c r="C4161" s="16" t="s">
        <v>13034</v>
      </c>
      <c r="D4161" s="16" t="n">
        <v>7</v>
      </c>
      <c r="E4161" s="37" t="s">
        <v>13035</v>
      </c>
      <c r="F4161" s="16" t="s">
        <v>1285</v>
      </c>
      <c r="G4161" s="16" t="s">
        <v>757</v>
      </c>
      <c r="H4161" s="16" t="s">
        <v>12499</v>
      </c>
      <c r="I4161" s="16" t="s">
        <v>127</v>
      </c>
      <c r="J4161" s="16" t="s">
        <v>13026</v>
      </c>
      <c r="K4161" s="32" t="n">
        <v>1</v>
      </c>
      <c r="L4161" s="33" t="n">
        <v>46006</v>
      </c>
      <c r="M4161" s="33" t="n">
        <v>46006</v>
      </c>
      <c r="N4161" s="16" t="s">
        <v>13036</v>
      </c>
      <c r="O4161" s="16"/>
      <c r="P4161" s="16" t="str">
        <f aca="false">IF(AND(L4161&lt;=$D$2,M4161&gt;=$C$2),"Sí","")</f>
        <v/>
      </c>
      <c r="Q4161" s="18" t="str">
        <f aca="false">IF(COUNTIF(LOOKAHEAD!$A$5:$A$604,A4161)&gt;0,"En Lookahead",IF(P4161="Sí","INCORPORAR",""))</f>
        <v/>
      </c>
    </row>
    <row r="4162" customFormat="false" ht="15" hidden="false" customHeight="false" outlineLevel="0" collapsed="false">
      <c r="A4162" s="16" t="s">
        <v>13037</v>
      </c>
      <c r="B4162" s="16" t="n">
        <v>4157</v>
      </c>
      <c r="C4162" s="16" t="s">
        <v>13038</v>
      </c>
      <c r="D4162" s="16" t="n">
        <v>7</v>
      </c>
      <c r="E4162" s="37" t="s">
        <v>13039</v>
      </c>
      <c r="F4162" s="16" t="s">
        <v>1285</v>
      </c>
      <c r="G4162" s="16" t="s">
        <v>757</v>
      </c>
      <c r="H4162" s="16" t="s">
        <v>12499</v>
      </c>
      <c r="I4162" s="16" t="s">
        <v>127</v>
      </c>
      <c r="J4162" s="16" t="s">
        <v>13026</v>
      </c>
      <c r="K4162" s="32" t="n">
        <v>1</v>
      </c>
      <c r="L4162" s="33" t="n">
        <v>46007</v>
      </c>
      <c r="M4162" s="33" t="n">
        <v>46007</v>
      </c>
      <c r="N4162" s="16" t="s">
        <v>13040</v>
      </c>
      <c r="O4162" s="16"/>
      <c r="P4162" s="16" t="str">
        <f aca="false">IF(AND(L4162&lt;=$D$2,M4162&gt;=$C$2),"Sí","")</f>
        <v/>
      </c>
      <c r="Q4162" s="18" t="str">
        <f aca="false">IF(COUNTIF(LOOKAHEAD!$A$5:$A$604,A4162)&gt;0,"En Lookahead",IF(P4162="Sí","INCORPORAR",""))</f>
        <v/>
      </c>
    </row>
    <row r="4163" customFormat="false" ht="15" hidden="false" customHeight="false" outlineLevel="0" collapsed="false">
      <c r="A4163" s="16" t="s">
        <v>13041</v>
      </c>
      <c r="B4163" s="16" t="n">
        <v>4158</v>
      </c>
      <c r="C4163" s="16" t="s">
        <v>13042</v>
      </c>
      <c r="D4163" s="16" t="n">
        <v>7</v>
      </c>
      <c r="E4163" s="37" t="s">
        <v>13043</v>
      </c>
      <c r="F4163" s="16" t="s">
        <v>1285</v>
      </c>
      <c r="G4163" s="16" t="s">
        <v>757</v>
      </c>
      <c r="H4163" s="16" t="s">
        <v>12499</v>
      </c>
      <c r="I4163" s="16" t="s">
        <v>127</v>
      </c>
      <c r="J4163" s="16" t="s">
        <v>13026</v>
      </c>
      <c r="K4163" s="32" t="n">
        <v>1</v>
      </c>
      <c r="L4163" s="33" t="n">
        <v>46002</v>
      </c>
      <c r="M4163" s="33" t="n">
        <v>46002</v>
      </c>
      <c r="N4163" s="16" t="s">
        <v>13044</v>
      </c>
      <c r="O4163" s="16"/>
      <c r="P4163" s="16" t="str">
        <f aca="false">IF(AND(L4163&lt;=$D$2,M4163&gt;=$C$2),"Sí","")</f>
        <v/>
      </c>
      <c r="Q4163" s="18" t="str">
        <f aca="false">IF(COUNTIF(LOOKAHEAD!$A$5:$A$604,A4163)&gt;0,"En Lookahead",IF(P4163="Sí","INCORPORAR",""))</f>
        <v/>
      </c>
    </row>
    <row r="4164" customFormat="false" ht="15" hidden="false" customHeight="false" outlineLevel="0" collapsed="false">
      <c r="A4164" s="16" t="s">
        <v>13045</v>
      </c>
      <c r="B4164" s="16" t="n">
        <v>4159</v>
      </c>
      <c r="C4164" s="16" t="s">
        <v>13046</v>
      </c>
      <c r="D4164" s="16" t="n">
        <v>7</v>
      </c>
      <c r="E4164" s="37" t="s">
        <v>13047</v>
      </c>
      <c r="F4164" s="16" t="s">
        <v>1285</v>
      </c>
      <c r="G4164" s="16" t="s">
        <v>757</v>
      </c>
      <c r="H4164" s="16" t="s">
        <v>12499</v>
      </c>
      <c r="I4164" s="16" t="s">
        <v>127</v>
      </c>
      <c r="J4164" s="16" t="s">
        <v>13026</v>
      </c>
      <c r="K4164" s="32" t="n">
        <v>1</v>
      </c>
      <c r="L4164" s="33" t="n">
        <v>46003</v>
      </c>
      <c r="M4164" s="33" t="n">
        <v>46003</v>
      </c>
      <c r="N4164" s="16" t="s">
        <v>13048</v>
      </c>
      <c r="O4164" s="16"/>
      <c r="P4164" s="16" t="str">
        <f aca="false">IF(AND(L4164&lt;=$D$2,M4164&gt;=$C$2),"Sí","")</f>
        <v/>
      </c>
      <c r="Q4164" s="18" t="str">
        <f aca="false">IF(COUNTIF(LOOKAHEAD!$A$5:$A$604,A4164)&gt;0,"En Lookahead",IF(P4164="Sí","INCORPORAR",""))</f>
        <v/>
      </c>
    </row>
    <row r="4165" customFormat="false" ht="15" hidden="false" customHeight="false" outlineLevel="0" collapsed="false">
      <c r="A4165" s="16" t="s">
        <v>13049</v>
      </c>
      <c r="B4165" s="16" t="n">
        <v>4160</v>
      </c>
      <c r="C4165" s="16" t="s">
        <v>13050</v>
      </c>
      <c r="D4165" s="16" t="n">
        <v>7</v>
      </c>
      <c r="E4165" s="37" t="s">
        <v>13051</v>
      </c>
      <c r="F4165" s="16" t="s">
        <v>1285</v>
      </c>
      <c r="G4165" s="16" t="s">
        <v>757</v>
      </c>
      <c r="H4165" s="16" t="s">
        <v>12499</v>
      </c>
      <c r="I4165" s="16" t="s">
        <v>127</v>
      </c>
      <c r="J4165" s="16" t="s">
        <v>13026</v>
      </c>
      <c r="K4165" s="32" t="n">
        <v>1</v>
      </c>
      <c r="L4165" s="33" t="n">
        <v>46004</v>
      </c>
      <c r="M4165" s="33" t="n">
        <v>46004</v>
      </c>
      <c r="N4165" s="16" t="s">
        <v>13052</v>
      </c>
      <c r="O4165" s="16"/>
      <c r="P4165" s="16" t="str">
        <f aca="false">IF(AND(L4165&lt;=$D$2,M4165&gt;=$C$2),"Sí","")</f>
        <v/>
      </c>
      <c r="Q4165" s="18" t="str">
        <f aca="false">IF(COUNTIF(LOOKAHEAD!$A$5:$A$604,A4165)&gt;0,"En Lookahead",IF(P4165="Sí","INCORPORAR",""))</f>
        <v/>
      </c>
    </row>
    <row r="4166" customFormat="false" ht="15" hidden="false" customHeight="false" outlineLevel="0" collapsed="false">
      <c r="A4166" s="16" t="s">
        <v>13053</v>
      </c>
      <c r="B4166" s="16" t="n">
        <v>4161</v>
      </c>
      <c r="C4166" s="16" t="s">
        <v>13054</v>
      </c>
      <c r="D4166" s="16" t="n">
        <v>7</v>
      </c>
      <c r="E4166" s="37" t="s">
        <v>13055</v>
      </c>
      <c r="F4166" s="16" t="s">
        <v>1285</v>
      </c>
      <c r="G4166" s="16" t="s">
        <v>757</v>
      </c>
      <c r="H4166" s="16" t="s">
        <v>12499</v>
      </c>
      <c r="I4166" s="16" t="s">
        <v>127</v>
      </c>
      <c r="J4166" s="16" t="s">
        <v>13026</v>
      </c>
      <c r="K4166" s="32" t="n">
        <v>1</v>
      </c>
      <c r="L4166" s="33" t="n">
        <v>46005</v>
      </c>
      <c r="M4166" s="33" t="n">
        <v>46005</v>
      </c>
      <c r="N4166" s="16" t="s">
        <v>13056</v>
      </c>
      <c r="O4166" s="16"/>
      <c r="P4166" s="16" t="str">
        <f aca="false">IF(AND(L4166&lt;=$D$2,M4166&gt;=$C$2),"Sí","")</f>
        <v/>
      </c>
      <c r="Q4166" s="18" t="str">
        <f aca="false">IF(COUNTIF(LOOKAHEAD!$A$5:$A$604,A4166)&gt;0,"En Lookahead",IF(P4166="Sí","INCORPORAR",""))</f>
        <v/>
      </c>
    </row>
    <row r="4167" customFormat="false" ht="15" hidden="false" customHeight="false" outlineLevel="0" collapsed="false">
      <c r="A4167" s="16" t="s">
        <v>13057</v>
      </c>
      <c r="B4167" s="16" t="n">
        <v>4162</v>
      </c>
      <c r="C4167" s="16" t="s">
        <v>13058</v>
      </c>
      <c r="D4167" s="16" t="n">
        <v>7</v>
      </c>
      <c r="E4167" s="37" t="s">
        <v>13059</v>
      </c>
      <c r="F4167" s="16" t="s">
        <v>1285</v>
      </c>
      <c r="G4167" s="16" t="s">
        <v>757</v>
      </c>
      <c r="H4167" s="16" t="s">
        <v>12499</v>
      </c>
      <c r="I4167" s="16" t="s">
        <v>127</v>
      </c>
      <c r="J4167" s="16" t="s">
        <v>13026</v>
      </c>
      <c r="K4167" s="32" t="n">
        <v>1</v>
      </c>
      <c r="L4167" s="33" t="n">
        <v>46006</v>
      </c>
      <c r="M4167" s="33" t="n">
        <v>46006</v>
      </c>
      <c r="N4167" s="16" t="s">
        <v>13060</v>
      </c>
      <c r="O4167" s="16"/>
      <c r="P4167" s="16" t="str">
        <f aca="false">IF(AND(L4167&lt;=$D$2,M4167&gt;=$C$2),"Sí","")</f>
        <v/>
      </c>
      <c r="Q4167" s="18" t="str">
        <f aca="false">IF(COUNTIF(LOOKAHEAD!$A$5:$A$604,A4167)&gt;0,"En Lookahead",IF(P4167="Sí","INCORPORAR",""))</f>
        <v/>
      </c>
    </row>
    <row r="4168" customFormat="false" ht="15" hidden="false" customHeight="false" outlineLevel="0" collapsed="false">
      <c r="A4168" s="16" t="s">
        <v>13061</v>
      </c>
      <c r="B4168" s="16" t="n">
        <v>4163</v>
      </c>
      <c r="C4168" s="16" t="s">
        <v>13062</v>
      </c>
      <c r="D4168" s="16" t="n">
        <v>7</v>
      </c>
      <c r="E4168" s="37" t="s">
        <v>13063</v>
      </c>
      <c r="F4168" s="16" t="s">
        <v>1285</v>
      </c>
      <c r="G4168" s="16" t="s">
        <v>757</v>
      </c>
      <c r="H4168" s="16" t="s">
        <v>12499</v>
      </c>
      <c r="I4168" s="16" t="s">
        <v>127</v>
      </c>
      <c r="J4168" s="16" t="s">
        <v>13026</v>
      </c>
      <c r="K4168" s="32" t="n">
        <v>1</v>
      </c>
      <c r="L4168" s="33" t="n">
        <v>46007</v>
      </c>
      <c r="M4168" s="33" t="n">
        <v>46007</v>
      </c>
      <c r="N4168" s="16" t="s">
        <v>13064</v>
      </c>
      <c r="O4168" s="16"/>
      <c r="P4168" s="16" t="str">
        <f aca="false">IF(AND(L4168&lt;=$D$2,M4168&gt;=$C$2),"Sí","")</f>
        <v/>
      </c>
      <c r="Q4168" s="18" t="str">
        <f aca="false">IF(COUNTIF(LOOKAHEAD!$A$5:$A$604,A4168)&gt;0,"En Lookahead",IF(P4168="Sí","INCORPORAR",""))</f>
        <v/>
      </c>
    </row>
    <row r="4169" customFormat="false" ht="15" hidden="false" customHeight="false" outlineLevel="0" collapsed="false">
      <c r="A4169" s="16" t="s">
        <v>13065</v>
      </c>
      <c r="B4169" s="16" t="n">
        <v>4164</v>
      </c>
      <c r="C4169" s="16" t="s">
        <v>13066</v>
      </c>
      <c r="D4169" s="16" t="n">
        <v>7</v>
      </c>
      <c r="E4169" s="37" t="s">
        <v>13067</v>
      </c>
      <c r="F4169" s="16" t="s">
        <v>1285</v>
      </c>
      <c r="G4169" s="16" t="s">
        <v>757</v>
      </c>
      <c r="H4169" s="16" t="s">
        <v>12499</v>
      </c>
      <c r="I4169" s="16" t="s">
        <v>127</v>
      </c>
      <c r="J4169" s="16" t="s">
        <v>13026</v>
      </c>
      <c r="K4169" s="32" t="n">
        <v>1</v>
      </c>
      <c r="L4169" s="33" t="n">
        <v>46008</v>
      </c>
      <c r="M4169" s="33" t="n">
        <v>46008</v>
      </c>
      <c r="N4169" s="16" t="s">
        <v>13068</v>
      </c>
      <c r="O4169" s="16"/>
      <c r="P4169" s="16" t="str">
        <f aca="false">IF(AND(L4169&lt;=$D$2,M4169&gt;=$C$2),"Sí","")</f>
        <v/>
      </c>
      <c r="Q4169" s="18" t="str">
        <f aca="false">IF(COUNTIF(LOOKAHEAD!$A$5:$A$604,A4169)&gt;0,"En Lookahead",IF(P4169="Sí","INCORPORAR",""))</f>
        <v/>
      </c>
    </row>
    <row r="4170" customFormat="false" ht="15" hidden="false" customHeight="false" outlineLevel="0" collapsed="false">
      <c r="A4170" s="16" t="s">
        <v>13069</v>
      </c>
      <c r="B4170" s="16" t="n">
        <v>4165</v>
      </c>
      <c r="C4170" s="16" t="s">
        <v>13070</v>
      </c>
      <c r="D4170" s="16" t="n">
        <v>7</v>
      </c>
      <c r="E4170" s="37" t="s">
        <v>13071</v>
      </c>
      <c r="F4170" s="16" t="s">
        <v>1285</v>
      </c>
      <c r="G4170" s="16" t="s">
        <v>757</v>
      </c>
      <c r="H4170" s="16" t="s">
        <v>12499</v>
      </c>
      <c r="I4170" s="16" t="s">
        <v>127</v>
      </c>
      <c r="J4170" s="16" t="s">
        <v>13026</v>
      </c>
      <c r="K4170" s="32" t="n">
        <v>1</v>
      </c>
      <c r="L4170" s="33" t="n">
        <v>46009</v>
      </c>
      <c r="M4170" s="33" t="n">
        <v>46009</v>
      </c>
      <c r="N4170" s="16" t="s">
        <v>13072</v>
      </c>
      <c r="O4170" s="16"/>
      <c r="P4170" s="16" t="str">
        <f aca="false">IF(AND(L4170&lt;=$D$2,M4170&gt;=$C$2),"Sí","")</f>
        <v/>
      </c>
      <c r="Q4170" s="18" t="str">
        <f aca="false">IF(COUNTIF(LOOKAHEAD!$A$5:$A$604,A4170)&gt;0,"En Lookahead",IF(P4170="Sí","INCORPORAR",""))</f>
        <v/>
      </c>
    </row>
    <row r="4171" customFormat="false" ht="15" hidden="false" customHeight="false" outlineLevel="0" collapsed="false">
      <c r="A4171" s="16" t="s">
        <v>13073</v>
      </c>
      <c r="B4171" s="16" t="n">
        <v>4166</v>
      </c>
      <c r="C4171" s="16" t="s">
        <v>13074</v>
      </c>
      <c r="D4171" s="16" t="n">
        <v>7</v>
      </c>
      <c r="E4171" s="37" t="s">
        <v>13075</v>
      </c>
      <c r="F4171" s="16" t="s">
        <v>1285</v>
      </c>
      <c r="G4171" s="16" t="s">
        <v>757</v>
      </c>
      <c r="H4171" s="16" t="s">
        <v>12499</v>
      </c>
      <c r="I4171" s="16" t="s">
        <v>127</v>
      </c>
      <c r="J4171" s="16" t="s">
        <v>13026</v>
      </c>
      <c r="K4171" s="32" t="n">
        <v>1</v>
      </c>
      <c r="L4171" s="33" t="n">
        <v>46010</v>
      </c>
      <c r="M4171" s="33" t="n">
        <v>46010</v>
      </c>
      <c r="N4171" s="16" t="s">
        <v>13076</v>
      </c>
      <c r="O4171" s="16"/>
      <c r="P4171" s="16" t="str">
        <f aca="false">IF(AND(L4171&lt;=$D$2,M4171&gt;=$C$2),"Sí","")</f>
        <v/>
      </c>
      <c r="Q4171" s="18" t="str">
        <f aca="false">IF(COUNTIF(LOOKAHEAD!$A$5:$A$604,A4171)&gt;0,"En Lookahead",IF(P4171="Sí","INCORPORAR",""))</f>
        <v/>
      </c>
    </row>
    <row r="4172" customFormat="false" ht="15" hidden="false" customHeight="false" outlineLevel="0" collapsed="false">
      <c r="A4172" s="16" t="s">
        <v>13077</v>
      </c>
      <c r="B4172" s="16" t="n">
        <v>4167</v>
      </c>
      <c r="C4172" s="16" t="s">
        <v>13078</v>
      </c>
      <c r="D4172" s="16" t="n">
        <v>7</v>
      </c>
      <c r="E4172" s="37" t="s">
        <v>13079</v>
      </c>
      <c r="F4172" s="16" t="s">
        <v>1285</v>
      </c>
      <c r="G4172" s="16" t="s">
        <v>757</v>
      </c>
      <c r="H4172" s="16" t="s">
        <v>12499</v>
      </c>
      <c r="I4172" s="16" t="s">
        <v>127</v>
      </c>
      <c r="J4172" s="16" t="s">
        <v>13026</v>
      </c>
      <c r="K4172" s="32" t="n">
        <v>1</v>
      </c>
      <c r="L4172" s="33" t="n">
        <v>46011</v>
      </c>
      <c r="M4172" s="33" t="n">
        <v>46011</v>
      </c>
      <c r="N4172" s="16" t="s">
        <v>13080</v>
      </c>
      <c r="O4172" s="16"/>
      <c r="P4172" s="16" t="str">
        <f aca="false">IF(AND(L4172&lt;=$D$2,M4172&gt;=$C$2),"Sí","")</f>
        <v/>
      </c>
      <c r="Q4172" s="18" t="str">
        <f aca="false">IF(COUNTIF(LOOKAHEAD!$A$5:$A$604,A4172)&gt;0,"En Lookahead",IF(P4172="Sí","INCORPORAR",""))</f>
        <v/>
      </c>
    </row>
    <row r="4173" customFormat="false" ht="15" hidden="false" customHeight="false" outlineLevel="0" collapsed="false">
      <c r="A4173" s="16" t="s">
        <v>13081</v>
      </c>
      <c r="B4173" s="16" t="n">
        <v>4168</v>
      </c>
      <c r="C4173" s="16" t="s">
        <v>13082</v>
      </c>
      <c r="D4173" s="16" t="n">
        <v>7</v>
      </c>
      <c r="E4173" s="37" t="s">
        <v>13083</v>
      </c>
      <c r="F4173" s="16" t="s">
        <v>1285</v>
      </c>
      <c r="G4173" s="16" t="s">
        <v>757</v>
      </c>
      <c r="H4173" s="16" t="s">
        <v>12499</v>
      </c>
      <c r="I4173" s="16" t="s">
        <v>127</v>
      </c>
      <c r="J4173" s="16" t="s">
        <v>13026</v>
      </c>
      <c r="K4173" s="32" t="n">
        <v>1</v>
      </c>
      <c r="L4173" s="33" t="n">
        <v>46012</v>
      </c>
      <c r="M4173" s="33" t="n">
        <v>46012</v>
      </c>
      <c r="N4173" s="16" t="s">
        <v>13084</v>
      </c>
      <c r="O4173" s="16"/>
      <c r="P4173" s="16" t="str">
        <f aca="false">IF(AND(L4173&lt;=$D$2,M4173&gt;=$C$2),"Sí","")</f>
        <v/>
      </c>
      <c r="Q4173" s="18" t="str">
        <f aca="false">IF(COUNTIF(LOOKAHEAD!$A$5:$A$604,A4173)&gt;0,"En Lookahead",IF(P4173="Sí","INCORPORAR",""))</f>
        <v/>
      </c>
    </row>
    <row r="4174" customFormat="false" ht="15" hidden="false" customHeight="false" outlineLevel="0" collapsed="false">
      <c r="A4174" s="16" t="s">
        <v>13085</v>
      </c>
      <c r="B4174" s="16" t="n">
        <v>4169</v>
      </c>
      <c r="C4174" s="16" t="s">
        <v>13086</v>
      </c>
      <c r="D4174" s="16" t="n">
        <v>7</v>
      </c>
      <c r="E4174" s="37" t="s">
        <v>13087</v>
      </c>
      <c r="F4174" s="16" t="s">
        <v>1285</v>
      </c>
      <c r="G4174" s="16" t="s">
        <v>757</v>
      </c>
      <c r="H4174" s="16" t="s">
        <v>12499</v>
      </c>
      <c r="I4174" s="16" t="s">
        <v>127</v>
      </c>
      <c r="J4174" s="16" t="s">
        <v>13026</v>
      </c>
      <c r="K4174" s="32" t="n">
        <v>1</v>
      </c>
      <c r="L4174" s="33" t="n">
        <v>46013</v>
      </c>
      <c r="M4174" s="33" t="n">
        <v>46013</v>
      </c>
      <c r="N4174" s="16" t="s">
        <v>13088</v>
      </c>
      <c r="O4174" s="16"/>
      <c r="P4174" s="16" t="str">
        <f aca="false">IF(AND(L4174&lt;=$D$2,M4174&gt;=$C$2),"Sí","")</f>
        <v/>
      </c>
      <c r="Q4174" s="18" t="str">
        <f aca="false">IF(COUNTIF(LOOKAHEAD!$A$5:$A$604,A4174)&gt;0,"En Lookahead",IF(P4174="Sí","INCORPORAR",""))</f>
        <v/>
      </c>
    </row>
    <row r="4175" customFormat="false" ht="15" hidden="false" customHeight="false" outlineLevel="0" collapsed="false">
      <c r="A4175" s="16" t="s">
        <v>13089</v>
      </c>
      <c r="B4175" s="16" t="n">
        <v>4170</v>
      </c>
      <c r="C4175" s="16" t="s">
        <v>13090</v>
      </c>
      <c r="D4175" s="16" t="n">
        <v>7</v>
      </c>
      <c r="E4175" s="37" t="s">
        <v>13091</v>
      </c>
      <c r="F4175" s="16" t="s">
        <v>1285</v>
      </c>
      <c r="G4175" s="16" t="s">
        <v>757</v>
      </c>
      <c r="H4175" s="16" t="s">
        <v>12499</v>
      </c>
      <c r="I4175" s="16" t="s">
        <v>127</v>
      </c>
      <c r="J4175" s="16" t="s">
        <v>13026</v>
      </c>
      <c r="K4175" s="32" t="n">
        <v>1</v>
      </c>
      <c r="L4175" s="33" t="n">
        <v>46014</v>
      </c>
      <c r="M4175" s="33" t="n">
        <v>46014</v>
      </c>
      <c r="N4175" s="16" t="s">
        <v>13092</v>
      </c>
      <c r="O4175" s="16"/>
      <c r="P4175" s="16" t="str">
        <f aca="false">IF(AND(L4175&lt;=$D$2,M4175&gt;=$C$2),"Sí","")</f>
        <v/>
      </c>
      <c r="Q4175" s="18" t="str">
        <f aca="false">IF(COUNTIF(LOOKAHEAD!$A$5:$A$604,A4175)&gt;0,"En Lookahead",IF(P4175="Sí","INCORPORAR",""))</f>
        <v/>
      </c>
    </row>
    <row r="4176" customFormat="false" ht="15" hidden="false" customHeight="false" outlineLevel="0" collapsed="false">
      <c r="A4176" s="16" t="s">
        <v>13093</v>
      </c>
      <c r="B4176" s="16" t="n">
        <v>4171</v>
      </c>
      <c r="C4176" s="16" t="s">
        <v>13094</v>
      </c>
      <c r="D4176" s="16" t="n">
        <v>7</v>
      </c>
      <c r="E4176" s="37" t="s">
        <v>13095</v>
      </c>
      <c r="F4176" s="16" t="s">
        <v>1285</v>
      </c>
      <c r="G4176" s="16" t="s">
        <v>757</v>
      </c>
      <c r="H4176" s="16" t="s">
        <v>12499</v>
      </c>
      <c r="I4176" s="16" t="s">
        <v>127</v>
      </c>
      <c r="J4176" s="16" t="s">
        <v>13026</v>
      </c>
      <c r="K4176" s="32" t="n">
        <v>1</v>
      </c>
      <c r="L4176" s="33" t="n">
        <v>46015</v>
      </c>
      <c r="M4176" s="33" t="n">
        <v>46015</v>
      </c>
      <c r="N4176" s="16" t="s">
        <v>13096</v>
      </c>
      <c r="O4176" s="16"/>
      <c r="P4176" s="16" t="str">
        <f aca="false">IF(AND(L4176&lt;=$D$2,M4176&gt;=$C$2),"Sí","")</f>
        <v/>
      </c>
      <c r="Q4176" s="18" t="str">
        <f aca="false">IF(COUNTIF(LOOKAHEAD!$A$5:$A$604,A4176)&gt;0,"En Lookahead",IF(P4176="Sí","INCORPORAR",""))</f>
        <v/>
      </c>
    </row>
    <row r="4177" customFormat="false" ht="15" hidden="false" customHeight="false" outlineLevel="0" collapsed="false">
      <c r="A4177" s="16" t="s">
        <v>13097</v>
      </c>
      <c r="B4177" s="16" t="n">
        <v>4172</v>
      </c>
      <c r="C4177" s="16" t="s">
        <v>13098</v>
      </c>
      <c r="D4177" s="16" t="n">
        <v>7</v>
      </c>
      <c r="E4177" s="37" t="s">
        <v>13099</v>
      </c>
      <c r="F4177" s="16" t="s">
        <v>1285</v>
      </c>
      <c r="G4177" s="16" t="s">
        <v>757</v>
      </c>
      <c r="H4177" s="16" t="s">
        <v>12499</v>
      </c>
      <c r="I4177" s="16" t="s">
        <v>127</v>
      </c>
      <c r="J4177" s="16" t="s">
        <v>13026</v>
      </c>
      <c r="K4177" s="32" t="n">
        <v>1</v>
      </c>
      <c r="L4177" s="33" t="n">
        <v>46016</v>
      </c>
      <c r="M4177" s="33" t="n">
        <v>46016</v>
      </c>
      <c r="N4177" s="16" t="s">
        <v>13100</v>
      </c>
      <c r="O4177" s="16"/>
      <c r="P4177" s="16" t="str">
        <f aca="false">IF(AND(L4177&lt;=$D$2,M4177&gt;=$C$2),"Sí","")</f>
        <v/>
      </c>
      <c r="Q4177" s="18" t="str">
        <f aca="false">IF(COUNTIF(LOOKAHEAD!$A$5:$A$604,A4177)&gt;0,"En Lookahead",IF(P4177="Sí","INCORPORAR",""))</f>
        <v/>
      </c>
    </row>
    <row r="4178" customFormat="false" ht="15" hidden="false" customHeight="false" outlineLevel="0" collapsed="false">
      <c r="A4178" s="16" t="s">
        <v>13101</v>
      </c>
      <c r="B4178" s="16" t="n">
        <v>4173</v>
      </c>
      <c r="C4178" s="16" t="s">
        <v>13102</v>
      </c>
      <c r="D4178" s="16" t="n">
        <v>7</v>
      </c>
      <c r="E4178" s="37" t="s">
        <v>13103</v>
      </c>
      <c r="F4178" s="16" t="s">
        <v>1285</v>
      </c>
      <c r="G4178" s="16" t="s">
        <v>757</v>
      </c>
      <c r="H4178" s="16" t="s">
        <v>12499</v>
      </c>
      <c r="I4178" s="16" t="s">
        <v>127</v>
      </c>
      <c r="J4178" s="16" t="s">
        <v>13026</v>
      </c>
      <c r="K4178" s="32" t="n">
        <v>1</v>
      </c>
      <c r="L4178" s="33" t="n">
        <v>46017</v>
      </c>
      <c r="M4178" s="33" t="n">
        <v>46017</v>
      </c>
      <c r="N4178" s="16" t="s">
        <v>13104</v>
      </c>
      <c r="O4178" s="16"/>
      <c r="P4178" s="16" t="str">
        <f aca="false">IF(AND(L4178&lt;=$D$2,M4178&gt;=$C$2),"Sí","")</f>
        <v/>
      </c>
      <c r="Q4178" s="18" t="str">
        <f aca="false">IF(COUNTIF(LOOKAHEAD!$A$5:$A$604,A4178)&gt;0,"En Lookahead",IF(P4178="Sí","INCORPORAR",""))</f>
        <v/>
      </c>
    </row>
    <row r="4179" customFormat="false" ht="15" hidden="false" customHeight="false" outlineLevel="0" collapsed="false">
      <c r="A4179" s="16" t="s">
        <v>13105</v>
      </c>
      <c r="B4179" s="16" t="n">
        <v>4174</v>
      </c>
      <c r="C4179" s="16" t="s">
        <v>13106</v>
      </c>
      <c r="D4179" s="16" t="n">
        <v>7</v>
      </c>
      <c r="E4179" s="37" t="s">
        <v>13107</v>
      </c>
      <c r="F4179" s="16" t="s">
        <v>1285</v>
      </c>
      <c r="G4179" s="16" t="s">
        <v>757</v>
      </c>
      <c r="H4179" s="16" t="s">
        <v>12499</v>
      </c>
      <c r="I4179" s="16" t="s">
        <v>127</v>
      </c>
      <c r="J4179" s="16" t="s">
        <v>13026</v>
      </c>
      <c r="K4179" s="32" t="n">
        <v>1</v>
      </c>
      <c r="L4179" s="33" t="n">
        <v>46018</v>
      </c>
      <c r="M4179" s="33" t="n">
        <v>46018</v>
      </c>
      <c r="N4179" s="16" t="s">
        <v>13108</v>
      </c>
      <c r="O4179" s="16"/>
      <c r="P4179" s="16" t="str">
        <f aca="false">IF(AND(L4179&lt;=$D$2,M4179&gt;=$C$2),"Sí","")</f>
        <v/>
      </c>
      <c r="Q4179" s="18" t="str">
        <f aca="false">IF(COUNTIF(LOOKAHEAD!$A$5:$A$604,A4179)&gt;0,"En Lookahead",IF(P4179="Sí","INCORPORAR",""))</f>
        <v/>
      </c>
    </row>
    <row r="4180" customFormat="false" ht="15" hidden="false" customHeight="false" outlineLevel="0" collapsed="false">
      <c r="A4180" s="16" t="s">
        <v>13109</v>
      </c>
      <c r="B4180" s="16" t="n">
        <v>4175</v>
      </c>
      <c r="C4180" s="16" t="s">
        <v>13110</v>
      </c>
      <c r="D4180" s="16" t="n">
        <v>7</v>
      </c>
      <c r="E4180" s="37" t="s">
        <v>13111</v>
      </c>
      <c r="F4180" s="16" t="s">
        <v>1285</v>
      </c>
      <c r="G4180" s="16" t="s">
        <v>757</v>
      </c>
      <c r="H4180" s="16" t="s">
        <v>12499</v>
      </c>
      <c r="I4180" s="16" t="s">
        <v>127</v>
      </c>
      <c r="J4180" s="16" t="s">
        <v>13026</v>
      </c>
      <c r="K4180" s="32" t="n">
        <v>1</v>
      </c>
      <c r="L4180" s="33" t="n">
        <v>46019</v>
      </c>
      <c r="M4180" s="33" t="n">
        <v>46019</v>
      </c>
      <c r="N4180" s="16" t="s">
        <v>13112</v>
      </c>
      <c r="O4180" s="16"/>
      <c r="P4180" s="16" t="str">
        <f aca="false">IF(AND(L4180&lt;=$D$2,M4180&gt;=$C$2),"Sí","")</f>
        <v/>
      </c>
      <c r="Q4180" s="18" t="str">
        <f aca="false">IF(COUNTIF(LOOKAHEAD!$A$5:$A$604,A4180)&gt;0,"En Lookahead",IF(P4180="Sí","INCORPORAR",""))</f>
        <v/>
      </c>
    </row>
    <row r="4181" customFormat="false" ht="15" hidden="false" customHeight="false" outlineLevel="0" collapsed="false">
      <c r="A4181" s="16" t="s">
        <v>13113</v>
      </c>
      <c r="B4181" s="16" t="n">
        <v>4176</v>
      </c>
      <c r="C4181" s="16" t="s">
        <v>13114</v>
      </c>
      <c r="D4181" s="16" t="n">
        <v>7</v>
      </c>
      <c r="E4181" s="37" t="s">
        <v>13115</v>
      </c>
      <c r="F4181" s="16" t="s">
        <v>1285</v>
      </c>
      <c r="G4181" s="16" t="s">
        <v>757</v>
      </c>
      <c r="H4181" s="16" t="s">
        <v>12499</v>
      </c>
      <c r="I4181" s="16" t="s">
        <v>127</v>
      </c>
      <c r="J4181" s="16" t="s">
        <v>13026</v>
      </c>
      <c r="K4181" s="32" t="n">
        <v>1</v>
      </c>
      <c r="L4181" s="33" t="n">
        <v>46020</v>
      </c>
      <c r="M4181" s="33" t="n">
        <v>46020</v>
      </c>
      <c r="N4181" s="16" t="s">
        <v>13116</v>
      </c>
      <c r="O4181" s="16"/>
      <c r="P4181" s="16" t="str">
        <f aca="false">IF(AND(L4181&lt;=$D$2,M4181&gt;=$C$2),"Sí","")</f>
        <v/>
      </c>
      <c r="Q4181" s="18" t="str">
        <f aca="false">IF(COUNTIF(LOOKAHEAD!$A$5:$A$604,A4181)&gt;0,"En Lookahead",IF(P4181="Sí","INCORPORAR",""))</f>
        <v/>
      </c>
    </row>
    <row r="4182" customFormat="false" ht="15" hidden="false" customHeight="false" outlineLevel="0" collapsed="false">
      <c r="A4182" s="16" t="s">
        <v>13117</v>
      </c>
      <c r="B4182" s="16" t="n">
        <v>4177</v>
      </c>
      <c r="C4182" s="16" t="s">
        <v>13118</v>
      </c>
      <c r="D4182" s="16" t="n">
        <v>7</v>
      </c>
      <c r="E4182" s="37" t="s">
        <v>13119</v>
      </c>
      <c r="F4182" s="16" t="s">
        <v>1285</v>
      </c>
      <c r="G4182" s="16" t="s">
        <v>757</v>
      </c>
      <c r="H4182" s="16" t="s">
        <v>12499</v>
      </c>
      <c r="I4182" s="16" t="s">
        <v>127</v>
      </c>
      <c r="J4182" s="16" t="s">
        <v>13026</v>
      </c>
      <c r="K4182" s="32" t="n">
        <v>1</v>
      </c>
      <c r="L4182" s="33" t="n">
        <v>46021</v>
      </c>
      <c r="M4182" s="33" t="n">
        <v>46021</v>
      </c>
      <c r="N4182" s="16" t="s">
        <v>13120</v>
      </c>
      <c r="O4182" s="16"/>
      <c r="P4182" s="16" t="str">
        <f aca="false">IF(AND(L4182&lt;=$D$2,M4182&gt;=$C$2),"Sí","")</f>
        <v/>
      </c>
      <c r="Q4182" s="18" t="str">
        <f aca="false">IF(COUNTIF(LOOKAHEAD!$A$5:$A$604,A4182)&gt;0,"En Lookahead",IF(P4182="Sí","INCORPORAR",""))</f>
        <v/>
      </c>
    </row>
    <row r="4183" customFormat="false" ht="15" hidden="false" customHeight="false" outlineLevel="0" collapsed="false">
      <c r="A4183" s="16" t="s">
        <v>13121</v>
      </c>
      <c r="B4183" s="16" t="n">
        <v>4178</v>
      </c>
      <c r="C4183" s="16" t="s">
        <v>13122</v>
      </c>
      <c r="D4183" s="16" t="n">
        <v>7</v>
      </c>
      <c r="E4183" s="37" t="s">
        <v>13123</v>
      </c>
      <c r="F4183" s="16" t="s">
        <v>1285</v>
      </c>
      <c r="G4183" s="16" t="s">
        <v>757</v>
      </c>
      <c r="H4183" s="16" t="s">
        <v>12499</v>
      </c>
      <c r="I4183" s="16" t="s">
        <v>127</v>
      </c>
      <c r="J4183" s="16" t="s">
        <v>13026</v>
      </c>
      <c r="K4183" s="32" t="n">
        <v>1</v>
      </c>
      <c r="L4183" s="33" t="n">
        <v>46022</v>
      </c>
      <c r="M4183" s="33" t="n">
        <v>46022</v>
      </c>
      <c r="N4183" s="16" t="s">
        <v>13124</v>
      </c>
      <c r="O4183" s="16"/>
      <c r="P4183" s="16" t="str">
        <f aca="false">IF(AND(L4183&lt;=$D$2,M4183&gt;=$C$2),"Sí","")</f>
        <v/>
      </c>
      <c r="Q4183" s="18" t="str">
        <f aca="false">IF(COUNTIF(LOOKAHEAD!$A$5:$A$604,A4183)&gt;0,"En Lookahead",IF(P4183="Sí","INCORPORAR",""))</f>
        <v/>
      </c>
    </row>
    <row r="4184" customFormat="false" ht="15" hidden="false" customHeight="false" outlineLevel="0" collapsed="false">
      <c r="A4184" s="16" t="s">
        <v>13125</v>
      </c>
      <c r="B4184" s="16" t="n">
        <v>4179</v>
      </c>
      <c r="C4184" s="16" t="s">
        <v>13126</v>
      </c>
      <c r="D4184" s="16" t="n">
        <v>7</v>
      </c>
      <c r="E4184" s="37" t="s">
        <v>13127</v>
      </c>
      <c r="F4184" s="16" t="s">
        <v>1285</v>
      </c>
      <c r="G4184" s="16" t="s">
        <v>757</v>
      </c>
      <c r="H4184" s="16" t="s">
        <v>12499</v>
      </c>
      <c r="I4184" s="16" t="s">
        <v>127</v>
      </c>
      <c r="J4184" s="16" t="s">
        <v>13026</v>
      </c>
      <c r="K4184" s="32" t="n">
        <v>1</v>
      </c>
      <c r="L4184" s="33" t="n">
        <v>46023</v>
      </c>
      <c r="M4184" s="33" t="n">
        <v>46023</v>
      </c>
      <c r="N4184" s="16" t="s">
        <v>13128</v>
      </c>
      <c r="O4184" s="16"/>
      <c r="P4184" s="16" t="str">
        <f aca="false">IF(AND(L4184&lt;=$D$2,M4184&gt;=$C$2),"Sí","")</f>
        <v/>
      </c>
      <c r="Q4184" s="18" t="str">
        <f aca="false">IF(COUNTIF(LOOKAHEAD!$A$5:$A$604,A4184)&gt;0,"En Lookahead",IF(P4184="Sí","INCORPORAR",""))</f>
        <v/>
      </c>
    </row>
    <row r="4185" customFormat="false" ht="15" hidden="false" customHeight="false" outlineLevel="0" collapsed="false">
      <c r="A4185" s="16" t="s">
        <v>13129</v>
      </c>
      <c r="B4185" s="16" t="n">
        <v>4180</v>
      </c>
      <c r="C4185" s="16" t="s">
        <v>13130</v>
      </c>
      <c r="D4185" s="16" t="n">
        <v>7</v>
      </c>
      <c r="E4185" s="37" t="s">
        <v>13131</v>
      </c>
      <c r="F4185" s="16" t="s">
        <v>1285</v>
      </c>
      <c r="G4185" s="16" t="s">
        <v>757</v>
      </c>
      <c r="H4185" s="16" t="s">
        <v>12499</v>
      </c>
      <c r="I4185" s="16" t="s">
        <v>127</v>
      </c>
      <c r="J4185" s="16" t="s">
        <v>13026</v>
      </c>
      <c r="K4185" s="32" t="n">
        <v>1</v>
      </c>
      <c r="L4185" s="33" t="n">
        <v>46024</v>
      </c>
      <c r="M4185" s="33" t="n">
        <v>46024</v>
      </c>
      <c r="N4185" s="16" t="s">
        <v>13132</v>
      </c>
      <c r="O4185" s="16"/>
      <c r="P4185" s="16" t="str">
        <f aca="false">IF(AND(L4185&lt;=$D$2,M4185&gt;=$C$2),"Sí","")</f>
        <v/>
      </c>
      <c r="Q4185" s="18" t="str">
        <f aca="false">IF(COUNTIF(LOOKAHEAD!$A$5:$A$604,A4185)&gt;0,"En Lookahead",IF(P4185="Sí","INCORPORAR",""))</f>
        <v/>
      </c>
    </row>
    <row r="4186" customFormat="false" ht="15" hidden="false" customHeight="false" outlineLevel="0" collapsed="false">
      <c r="A4186" s="16" t="s">
        <v>13133</v>
      </c>
      <c r="B4186" s="16" t="n">
        <v>4181</v>
      </c>
      <c r="C4186" s="16" t="s">
        <v>13134</v>
      </c>
      <c r="D4186" s="16" t="n">
        <v>7</v>
      </c>
      <c r="E4186" s="37" t="s">
        <v>13135</v>
      </c>
      <c r="F4186" s="16" t="s">
        <v>1285</v>
      </c>
      <c r="G4186" s="16" t="s">
        <v>757</v>
      </c>
      <c r="H4186" s="16" t="s">
        <v>12499</v>
      </c>
      <c r="I4186" s="16" t="s">
        <v>127</v>
      </c>
      <c r="J4186" s="16" t="s">
        <v>13026</v>
      </c>
      <c r="K4186" s="32" t="n">
        <v>1</v>
      </c>
      <c r="L4186" s="33" t="n">
        <v>46025</v>
      </c>
      <c r="M4186" s="33" t="n">
        <v>46025</v>
      </c>
      <c r="N4186" s="16" t="s">
        <v>13136</v>
      </c>
      <c r="O4186" s="16"/>
      <c r="P4186" s="16" t="str">
        <f aca="false">IF(AND(L4186&lt;=$D$2,M4186&gt;=$C$2),"Sí","")</f>
        <v/>
      </c>
      <c r="Q4186" s="18" t="str">
        <f aca="false">IF(COUNTIF(LOOKAHEAD!$A$5:$A$604,A4186)&gt;0,"En Lookahead",IF(P4186="Sí","INCORPORAR",""))</f>
        <v/>
      </c>
    </row>
    <row r="4187" customFormat="false" ht="15" hidden="false" customHeight="false" outlineLevel="0" collapsed="false">
      <c r="A4187" s="16" t="s">
        <v>13137</v>
      </c>
      <c r="B4187" s="16" t="n">
        <v>4182</v>
      </c>
      <c r="C4187" s="16" t="s">
        <v>13138</v>
      </c>
      <c r="D4187" s="16" t="n">
        <v>7</v>
      </c>
      <c r="E4187" s="37" t="s">
        <v>13139</v>
      </c>
      <c r="F4187" s="16" t="s">
        <v>1285</v>
      </c>
      <c r="G4187" s="16" t="s">
        <v>757</v>
      </c>
      <c r="H4187" s="16" t="s">
        <v>12499</v>
      </c>
      <c r="I4187" s="16" t="s">
        <v>127</v>
      </c>
      <c r="J4187" s="16" t="s">
        <v>13026</v>
      </c>
      <c r="K4187" s="32" t="n">
        <v>1</v>
      </c>
      <c r="L4187" s="33" t="n">
        <v>46026</v>
      </c>
      <c r="M4187" s="33" t="n">
        <v>46026</v>
      </c>
      <c r="N4187" s="16" t="s">
        <v>13140</v>
      </c>
      <c r="O4187" s="16"/>
      <c r="P4187" s="16" t="str">
        <f aca="false">IF(AND(L4187&lt;=$D$2,M4187&gt;=$C$2),"Sí","")</f>
        <v/>
      </c>
      <c r="Q4187" s="18" t="str">
        <f aca="false">IF(COUNTIF(LOOKAHEAD!$A$5:$A$604,A4187)&gt;0,"En Lookahead",IF(P4187="Sí","INCORPORAR",""))</f>
        <v/>
      </c>
    </row>
    <row r="4188" customFormat="false" ht="15" hidden="false" customHeight="false" outlineLevel="0" collapsed="false">
      <c r="A4188" s="16" t="s">
        <v>13141</v>
      </c>
      <c r="B4188" s="16" t="n">
        <v>4183</v>
      </c>
      <c r="C4188" s="16" t="s">
        <v>13142</v>
      </c>
      <c r="D4188" s="16" t="n">
        <v>7</v>
      </c>
      <c r="E4188" s="37" t="s">
        <v>13143</v>
      </c>
      <c r="F4188" s="16" t="s">
        <v>1285</v>
      </c>
      <c r="G4188" s="16" t="s">
        <v>757</v>
      </c>
      <c r="H4188" s="16" t="s">
        <v>12499</v>
      </c>
      <c r="I4188" s="16" t="s">
        <v>127</v>
      </c>
      <c r="J4188" s="16" t="s">
        <v>13026</v>
      </c>
      <c r="K4188" s="32" t="n">
        <v>1</v>
      </c>
      <c r="L4188" s="33" t="n">
        <v>46027</v>
      </c>
      <c r="M4188" s="33" t="n">
        <v>46027</v>
      </c>
      <c r="N4188" s="16" t="s">
        <v>13144</v>
      </c>
      <c r="O4188" s="16"/>
      <c r="P4188" s="16" t="str">
        <f aca="false">IF(AND(L4188&lt;=$D$2,M4188&gt;=$C$2),"Sí","")</f>
        <v/>
      </c>
      <c r="Q4188" s="18" t="str">
        <f aca="false">IF(COUNTIF(LOOKAHEAD!$A$5:$A$604,A4188)&gt;0,"En Lookahead",IF(P4188="Sí","INCORPORAR",""))</f>
        <v/>
      </c>
    </row>
    <row r="4189" customFormat="false" ht="15" hidden="false" customHeight="false" outlineLevel="0" collapsed="false">
      <c r="A4189" s="16" t="s">
        <v>13145</v>
      </c>
      <c r="B4189" s="16" t="n">
        <v>4184</v>
      </c>
      <c r="C4189" s="16" t="s">
        <v>13146</v>
      </c>
      <c r="D4189" s="16" t="n">
        <v>7</v>
      </c>
      <c r="E4189" s="37" t="s">
        <v>13147</v>
      </c>
      <c r="F4189" s="16" t="s">
        <v>1285</v>
      </c>
      <c r="G4189" s="16" t="s">
        <v>757</v>
      </c>
      <c r="H4189" s="16" t="s">
        <v>12499</v>
      </c>
      <c r="I4189" s="16" t="s">
        <v>127</v>
      </c>
      <c r="J4189" s="16" t="s">
        <v>13026</v>
      </c>
      <c r="K4189" s="32" t="n">
        <v>1</v>
      </c>
      <c r="L4189" s="33" t="n">
        <v>46028</v>
      </c>
      <c r="M4189" s="33" t="n">
        <v>46028</v>
      </c>
      <c r="N4189" s="16" t="s">
        <v>13148</v>
      </c>
      <c r="O4189" s="16"/>
      <c r="P4189" s="16" t="str">
        <f aca="false">IF(AND(L4189&lt;=$D$2,M4189&gt;=$C$2),"Sí","")</f>
        <v/>
      </c>
      <c r="Q4189" s="18" t="str">
        <f aca="false">IF(COUNTIF(LOOKAHEAD!$A$5:$A$604,A4189)&gt;0,"En Lookahead",IF(P4189="Sí","INCORPORAR",""))</f>
        <v/>
      </c>
    </row>
    <row r="4190" customFormat="false" ht="15" hidden="false" customHeight="false" outlineLevel="0" collapsed="false">
      <c r="A4190" s="16" t="s">
        <v>13149</v>
      </c>
      <c r="B4190" s="16" t="n">
        <v>4185</v>
      </c>
      <c r="C4190" s="16" t="s">
        <v>13150</v>
      </c>
      <c r="D4190" s="16" t="n">
        <v>7</v>
      </c>
      <c r="E4190" s="37" t="s">
        <v>12756</v>
      </c>
      <c r="F4190" s="16" t="s">
        <v>1285</v>
      </c>
      <c r="G4190" s="16" t="s">
        <v>757</v>
      </c>
      <c r="H4190" s="16" t="s">
        <v>12499</v>
      </c>
      <c r="I4190" s="16" t="s">
        <v>127</v>
      </c>
      <c r="J4190" s="16" t="s">
        <v>13026</v>
      </c>
      <c r="K4190" s="32" t="n">
        <v>1</v>
      </c>
      <c r="L4190" s="33" t="n">
        <v>46029</v>
      </c>
      <c r="M4190" s="33" t="n">
        <v>46029</v>
      </c>
      <c r="N4190" s="16" t="s">
        <v>13151</v>
      </c>
      <c r="O4190" s="16"/>
      <c r="P4190" s="16" t="str">
        <f aca="false">IF(AND(L4190&lt;=$D$2,M4190&gt;=$C$2),"Sí","")</f>
        <v/>
      </c>
      <c r="Q4190" s="18" t="str">
        <f aca="false">IF(COUNTIF(LOOKAHEAD!$A$5:$A$604,A4190)&gt;0,"En Lookahead",IF(P4190="Sí","INCORPORAR",""))</f>
        <v/>
      </c>
    </row>
    <row r="4191" customFormat="false" ht="15" hidden="false" customHeight="false" outlineLevel="0" collapsed="false">
      <c r="A4191" s="16" t="s">
        <v>13152</v>
      </c>
      <c r="B4191" s="16" t="n">
        <v>4186</v>
      </c>
      <c r="C4191" s="16" t="s">
        <v>13153</v>
      </c>
      <c r="D4191" s="16" t="n">
        <v>7</v>
      </c>
      <c r="E4191" s="37" t="s">
        <v>13154</v>
      </c>
      <c r="F4191" s="16" t="s">
        <v>1285</v>
      </c>
      <c r="G4191" s="16" t="s">
        <v>757</v>
      </c>
      <c r="H4191" s="16" t="s">
        <v>12499</v>
      </c>
      <c r="I4191" s="16" t="s">
        <v>127</v>
      </c>
      <c r="J4191" s="16" t="s">
        <v>13026</v>
      </c>
      <c r="K4191" s="32" t="n">
        <v>1</v>
      </c>
      <c r="L4191" s="33" t="n">
        <v>46030</v>
      </c>
      <c r="M4191" s="33" t="n">
        <v>46030</v>
      </c>
      <c r="N4191" s="16" t="s">
        <v>13155</v>
      </c>
      <c r="O4191" s="16"/>
      <c r="P4191" s="16" t="str">
        <f aca="false">IF(AND(L4191&lt;=$D$2,M4191&gt;=$C$2),"Sí","")</f>
        <v/>
      </c>
      <c r="Q4191" s="18" t="str">
        <f aca="false">IF(COUNTIF(LOOKAHEAD!$A$5:$A$604,A4191)&gt;0,"En Lookahead",IF(P4191="Sí","INCORPORAR",""))</f>
        <v/>
      </c>
    </row>
    <row r="4192" customFormat="false" ht="15" hidden="false" customHeight="false" outlineLevel="0" collapsed="false">
      <c r="A4192" s="16" t="s">
        <v>13156</v>
      </c>
      <c r="B4192" s="16" t="n">
        <v>4187</v>
      </c>
      <c r="C4192" s="16" t="s">
        <v>13157</v>
      </c>
      <c r="D4192" s="16" t="n">
        <v>7</v>
      </c>
      <c r="E4192" s="37" t="s">
        <v>13158</v>
      </c>
      <c r="F4192" s="16" t="s">
        <v>1285</v>
      </c>
      <c r="G4192" s="16" t="s">
        <v>757</v>
      </c>
      <c r="H4192" s="16" t="s">
        <v>12499</v>
      </c>
      <c r="I4192" s="16" t="s">
        <v>127</v>
      </c>
      <c r="J4192" s="16" t="s">
        <v>13026</v>
      </c>
      <c r="K4192" s="32" t="n">
        <v>1</v>
      </c>
      <c r="L4192" s="33" t="n">
        <v>46031</v>
      </c>
      <c r="M4192" s="33" t="n">
        <v>46031</v>
      </c>
      <c r="N4192" s="16" t="s">
        <v>13159</v>
      </c>
      <c r="O4192" s="16"/>
      <c r="P4192" s="16" t="str">
        <f aca="false">IF(AND(L4192&lt;=$D$2,M4192&gt;=$C$2),"Sí","")</f>
        <v/>
      </c>
      <c r="Q4192" s="18" t="str">
        <f aca="false">IF(COUNTIF(LOOKAHEAD!$A$5:$A$604,A4192)&gt;0,"En Lookahead",IF(P4192="Sí","INCORPORAR",""))</f>
        <v/>
      </c>
    </row>
    <row r="4193" customFormat="false" ht="15" hidden="false" customHeight="false" outlineLevel="0" collapsed="false">
      <c r="A4193" s="16" t="s">
        <v>13160</v>
      </c>
      <c r="B4193" s="16" t="n">
        <v>4188</v>
      </c>
      <c r="C4193" s="16" t="s">
        <v>13161</v>
      </c>
      <c r="D4193" s="16" t="n">
        <v>7</v>
      </c>
      <c r="E4193" s="37" t="s">
        <v>13162</v>
      </c>
      <c r="F4193" s="16" t="s">
        <v>1285</v>
      </c>
      <c r="G4193" s="16" t="s">
        <v>757</v>
      </c>
      <c r="H4193" s="16" t="s">
        <v>12499</v>
      </c>
      <c r="I4193" s="16" t="s">
        <v>127</v>
      </c>
      <c r="J4193" s="16" t="s">
        <v>13026</v>
      </c>
      <c r="K4193" s="32" t="n">
        <v>1</v>
      </c>
      <c r="L4193" s="33" t="n">
        <v>46032</v>
      </c>
      <c r="M4193" s="33" t="n">
        <v>46032</v>
      </c>
      <c r="N4193" s="16" t="s">
        <v>13163</v>
      </c>
      <c r="O4193" s="16"/>
      <c r="P4193" s="16" t="str">
        <f aca="false">IF(AND(L4193&lt;=$D$2,M4193&gt;=$C$2),"Sí","")</f>
        <v/>
      </c>
      <c r="Q4193" s="18" t="str">
        <f aca="false">IF(COUNTIF(LOOKAHEAD!$A$5:$A$604,A4193)&gt;0,"En Lookahead",IF(P4193="Sí","INCORPORAR",""))</f>
        <v/>
      </c>
    </row>
    <row r="4194" customFormat="false" ht="15" hidden="false" customHeight="false" outlineLevel="0" collapsed="false">
      <c r="A4194" s="16" t="s">
        <v>13164</v>
      </c>
      <c r="B4194" s="16" t="n">
        <v>4189</v>
      </c>
      <c r="C4194" s="16" t="s">
        <v>13165</v>
      </c>
      <c r="D4194" s="16" t="n">
        <v>7</v>
      </c>
      <c r="E4194" s="37" t="s">
        <v>13166</v>
      </c>
      <c r="F4194" s="16" t="s">
        <v>1285</v>
      </c>
      <c r="G4194" s="16" t="s">
        <v>757</v>
      </c>
      <c r="H4194" s="16" t="s">
        <v>12499</v>
      </c>
      <c r="I4194" s="16" t="s">
        <v>127</v>
      </c>
      <c r="J4194" s="16" t="s">
        <v>13026</v>
      </c>
      <c r="K4194" s="32" t="n">
        <v>1</v>
      </c>
      <c r="L4194" s="33" t="n">
        <v>46033</v>
      </c>
      <c r="M4194" s="33" t="n">
        <v>46033</v>
      </c>
      <c r="N4194" s="16" t="s">
        <v>13167</v>
      </c>
      <c r="O4194" s="16"/>
      <c r="P4194" s="16" t="str">
        <f aca="false">IF(AND(L4194&lt;=$D$2,M4194&gt;=$C$2),"Sí","")</f>
        <v/>
      </c>
      <c r="Q4194" s="18" t="str">
        <f aca="false">IF(COUNTIF(LOOKAHEAD!$A$5:$A$604,A4194)&gt;0,"En Lookahead",IF(P4194="Sí","INCORPORAR",""))</f>
        <v/>
      </c>
    </row>
    <row r="4195" customFormat="false" ht="15" hidden="false" customHeight="false" outlineLevel="0" collapsed="false">
      <c r="A4195" s="16" t="s">
        <v>13168</v>
      </c>
      <c r="B4195" s="16" t="n">
        <v>4190</v>
      </c>
      <c r="C4195" s="16" t="s">
        <v>13169</v>
      </c>
      <c r="D4195" s="16" t="n">
        <v>7</v>
      </c>
      <c r="E4195" s="37" t="s">
        <v>13170</v>
      </c>
      <c r="F4195" s="16" t="s">
        <v>1285</v>
      </c>
      <c r="G4195" s="16" t="s">
        <v>757</v>
      </c>
      <c r="H4195" s="16" t="s">
        <v>12499</v>
      </c>
      <c r="I4195" s="16" t="s">
        <v>127</v>
      </c>
      <c r="J4195" s="16" t="s">
        <v>13026</v>
      </c>
      <c r="K4195" s="32" t="n">
        <v>1</v>
      </c>
      <c r="L4195" s="33" t="n">
        <v>46034</v>
      </c>
      <c r="M4195" s="33" t="n">
        <v>46034</v>
      </c>
      <c r="N4195" s="16" t="s">
        <v>13171</v>
      </c>
      <c r="O4195" s="16"/>
      <c r="P4195" s="16" t="str">
        <f aca="false">IF(AND(L4195&lt;=$D$2,M4195&gt;=$C$2),"Sí","")</f>
        <v/>
      </c>
      <c r="Q4195" s="18" t="str">
        <f aca="false">IF(COUNTIF(LOOKAHEAD!$A$5:$A$604,A4195)&gt;0,"En Lookahead",IF(P4195="Sí","INCORPORAR",""))</f>
        <v/>
      </c>
    </row>
    <row r="4196" customFormat="false" ht="15" hidden="false" customHeight="false" outlineLevel="0" collapsed="false">
      <c r="A4196" s="16" t="s">
        <v>13172</v>
      </c>
      <c r="B4196" s="16" t="n">
        <v>4191</v>
      </c>
      <c r="C4196" s="16" t="s">
        <v>13173</v>
      </c>
      <c r="D4196" s="16" t="n">
        <v>7</v>
      </c>
      <c r="E4196" s="37" t="s">
        <v>13174</v>
      </c>
      <c r="F4196" s="16" t="s">
        <v>1285</v>
      </c>
      <c r="G4196" s="16" t="s">
        <v>757</v>
      </c>
      <c r="H4196" s="16" t="s">
        <v>12499</v>
      </c>
      <c r="I4196" s="16" t="s">
        <v>127</v>
      </c>
      <c r="J4196" s="16" t="s">
        <v>13026</v>
      </c>
      <c r="K4196" s="32" t="n">
        <v>1</v>
      </c>
      <c r="L4196" s="33" t="n">
        <v>46035</v>
      </c>
      <c r="M4196" s="33" t="n">
        <v>46035</v>
      </c>
      <c r="N4196" s="16" t="s">
        <v>13175</v>
      </c>
      <c r="O4196" s="16"/>
      <c r="P4196" s="16" t="str">
        <f aca="false">IF(AND(L4196&lt;=$D$2,M4196&gt;=$C$2),"Sí","")</f>
        <v/>
      </c>
      <c r="Q4196" s="18" t="str">
        <f aca="false">IF(COUNTIF(LOOKAHEAD!$A$5:$A$604,A4196)&gt;0,"En Lookahead",IF(P4196="Sí","INCORPORAR",""))</f>
        <v/>
      </c>
    </row>
    <row r="4197" customFormat="false" ht="15" hidden="false" customHeight="false" outlineLevel="0" collapsed="false">
      <c r="A4197" s="16" t="s">
        <v>13176</v>
      </c>
      <c r="B4197" s="16" t="n">
        <v>4192</v>
      </c>
      <c r="C4197" s="16" t="s">
        <v>13177</v>
      </c>
      <c r="D4197" s="16" t="n">
        <v>7</v>
      </c>
      <c r="E4197" s="37" t="s">
        <v>13022</v>
      </c>
      <c r="F4197" s="16" t="s">
        <v>1285</v>
      </c>
      <c r="G4197" s="16" t="s">
        <v>757</v>
      </c>
      <c r="H4197" s="16" t="s">
        <v>12499</v>
      </c>
      <c r="I4197" s="16" t="s">
        <v>127</v>
      </c>
      <c r="J4197" s="16" t="s">
        <v>13026</v>
      </c>
      <c r="K4197" s="32" t="n">
        <v>1</v>
      </c>
      <c r="L4197" s="33" t="n">
        <v>46036</v>
      </c>
      <c r="M4197" s="33" t="n">
        <v>46036</v>
      </c>
      <c r="N4197" s="16" t="s">
        <v>13178</v>
      </c>
      <c r="O4197" s="16"/>
      <c r="P4197" s="16" t="str">
        <f aca="false">IF(AND(L4197&lt;=$D$2,M4197&gt;=$C$2),"Sí","")</f>
        <v/>
      </c>
      <c r="Q4197" s="18" t="str">
        <f aca="false">IF(COUNTIF(LOOKAHEAD!$A$5:$A$604,A4197)&gt;0,"En Lookahead",IF(P4197="Sí","INCORPORAR",""))</f>
        <v/>
      </c>
    </row>
    <row r="4198" customFormat="false" ht="15" hidden="false" customHeight="false" outlineLevel="0" collapsed="false">
      <c r="A4198" s="16" t="s">
        <v>13179</v>
      </c>
      <c r="B4198" s="16" t="n">
        <v>4193</v>
      </c>
      <c r="C4198" s="16" t="s">
        <v>13180</v>
      </c>
      <c r="D4198" s="16" t="n">
        <v>7</v>
      </c>
      <c r="E4198" s="37" t="s">
        <v>13181</v>
      </c>
      <c r="F4198" s="16" t="s">
        <v>1285</v>
      </c>
      <c r="G4198" s="16" t="s">
        <v>757</v>
      </c>
      <c r="H4198" s="16" t="s">
        <v>12499</v>
      </c>
      <c r="I4198" s="16" t="s">
        <v>127</v>
      </c>
      <c r="J4198" s="16" t="s">
        <v>13026</v>
      </c>
      <c r="K4198" s="32" t="n">
        <v>1</v>
      </c>
      <c r="L4198" s="33" t="n">
        <v>46037</v>
      </c>
      <c r="M4198" s="33" t="n">
        <v>46037</v>
      </c>
      <c r="N4198" s="16" t="s">
        <v>13182</v>
      </c>
      <c r="O4198" s="16"/>
      <c r="P4198" s="16" t="str">
        <f aca="false">IF(AND(L4198&lt;=$D$2,M4198&gt;=$C$2),"Sí","")</f>
        <v/>
      </c>
      <c r="Q4198" s="18" t="str">
        <f aca="false">IF(COUNTIF(LOOKAHEAD!$A$5:$A$604,A4198)&gt;0,"En Lookahead",IF(P4198="Sí","INCORPORAR",""))</f>
        <v/>
      </c>
    </row>
    <row r="4199" customFormat="false" ht="15" hidden="false" customHeight="false" outlineLevel="0" collapsed="false">
      <c r="A4199" s="16" t="s">
        <v>13183</v>
      </c>
      <c r="B4199" s="16" t="n">
        <v>4194</v>
      </c>
      <c r="C4199" s="16" t="s">
        <v>13184</v>
      </c>
      <c r="D4199" s="16" t="n">
        <v>7</v>
      </c>
      <c r="E4199" s="37" t="s">
        <v>13185</v>
      </c>
      <c r="F4199" s="16" t="s">
        <v>1285</v>
      </c>
      <c r="G4199" s="16" t="s">
        <v>757</v>
      </c>
      <c r="H4199" s="16" t="s">
        <v>12499</v>
      </c>
      <c r="I4199" s="16" t="s">
        <v>127</v>
      </c>
      <c r="J4199" s="16" t="s">
        <v>13026</v>
      </c>
      <c r="K4199" s="32" t="n">
        <v>1</v>
      </c>
      <c r="L4199" s="33" t="n">
        <v>46038</v>
      </c>
      <c r="M4199" s="33" t="n">
        <v>46038</v>
      </c>
      <c r="N4199" s="16" t="s">
        <v>13186</v>
      </c>
      <c r="O4199" s="16"/>
      <c r="P4199" s="16" t="str">
        <f aca="false">IF(AND(L4199&lt;=$D$2,M4199&gt;=$C$2),"Sí","")</f>
        <v/>
      </c>
      <c r="Q4199" s="18" t="str">
        <f aca="false">IF(COUNTIF(LOOKAHEAD!$A$5:$A$604,A4199)&gt;0,"En Lookahead",IF(P4199="Sí","INCORPORAR",""))</f>
        <v/>
      </c>
    </row>
    <row r="4200" customFormat="false" ht="15" hidden="false" customHeight="false" outlineLevel="0" collapsed="false">
      <c r="A4200" s="16" t="s">
        <v>13187</v>
      </c>
      <c r="B4200" s="16" t="n">
        <v>4195</v>
      </c>
      <c r="C4200" s="16" t="s">
        <v>13188</v>
      </c>
      <c r="D4200" s="16" t="n">
        <v>7</v>
      </c>
      <c r="E4200" s="37" t="s">
        <v>13189</v>
      </c>
      <c r="F4200" s="16" t="s">
        <v>1285</v>
      </c>
      <c r="G4200" s="16" t="s">
        <v>757</v>
      </c>
      <c r="H4200" s="16" t="s">
        <v>12499</v>
      </c>
      <c r="I4200" s="16" t="s">
        <v>127</v>
      </c>
      <c r="J4200" s="16" t="s">
        <v>13026</v>
      </c>
      <c r="K4200" s="32" t="n">
        <v>1</v>
      </c>
      <c r="L4200" s="33" t="n">
        <v>46034</v>
      </c>
      <c r="M4200" s="33" t="n">
        <v>46034</v>
      </c>
      <c r="N4200" s="16" t="s">
        <v>13171</v>
      </c>
      <c r="O4200" s="16"/>
      <c r="P4200" s="16" t="str">
        <f aca="false">IF(AND(L4200&lt;=$D$2,M4200&gt;=$C$2),"Sí","")</f>
        <v/>
      </c>
      <c r="Q4200" s="18" t="str">
        <f aca="false">IF(COUNTIF(LOOKAHEAD!$A$5:$A$604,A4200)&gt;0,"En Lookahead",IF(P4200="Sí","INCORPORAR",""))</f>
        <v/>
      </c>
    </row>
    <row r="4201" customFormat="false" ht="15" hidden="false" customHeight="false" outlineLevel="0" collapsed="false">
      <c r="A4201" s="16" t="s">
        <v>13190</v>
      </c>
      <c r="B4201" s="16" t="n">
        <v>4196</v>
      </c>
      <c r="C4201" s="16" t="s">
        <v>13191</v>
      </c>
      <c r="D4201" s="16" t="n">
        <v>7</v>
      </c>
      <c r="E4201" s="37" t="s">
        <v>13192</v>
      </c>
      <c r="F4201" s="16" t="s">
        <v>1285</v>
      </c>
      <c r="G4201" s="16" t="s">
        <v>757</v>
      </c>
      <c r="H4201" s="16" t="s">
        <v>12499</v>
      </c>
      <c r="I4201" s="16" t="s">
        <v>127</v>
      </c>
      <c r="J4201" s="16" t="s">
        <v>13026</v>
      </c>
      <c r="K4201" s="32" t="n">
        <v>1</v>
      </c>
      <c r="L4201" s="33" t="n">
        <v>46034</v>
      </c>
      <c r="M4201" s="33" t="n">
        <v>46034</v>
      </c>
      <c r="N4201" s="16" t="s">
        <v>13171</v>
      </c>
      <c r="O4201" s="16"/>
      <c r="P4201" s="16" t="str">
        <f aca="false">IF(AND(L4201&lt;=$D$2,M4201&gt;=$C$2),"Sí","")</f>
        <v/>
      </c>
      <c r="Q4201" s="18" t="str">
        <f aca="false">IF(COUNTIF(LOOKAHEAD!$A$5:$A$604,A4201)&gt;0,"En Lookahead",IF(P4201="Sí","INCORPORAR",""))</f>
        <v/>
      </c>
    </row>
    <row r="4202" customFormat="false" ht="15" hidden="false" customHeight="false" outlineLevel="0" collapsed="false">
      <c r="A4202" s="16" t="s">
        <v>13193</v>
      </c>
      <c r="B4202" s="16" t="n">
        <v>4197</v>
      </c>
      <c r="C4202" s="16" t="s">
        <v>13194</v>
      </c>
      <c r="D4202" s="16" t="n">
        <v>7</v>
      </c>
      <c r="E4202" s="37" t="s">
        <v>13195</v>
      </c>
      <c r="F4202" s="16" t="s">
        <v>1285</v>
      </c>
      <c r="G4202" s="16" t="s">
        <v>757</v>
      </c>
      <c r="H4202" s="16" t="s">
        <v>12499</v>
      </c>
      <c r="I4202" s="16" t="s">
        <v>127</v>
      </c>
      <c r="J4202" s="16" t="s">
        <v>13026</v>
      </c>
      <c r="K4202" s="32" t="n">
        <v>1</v>
      </c>
      <c r="L4202" s="33" t="n">
        <v>46035</v>
      </c>
      <c r="M4202" s="33" t="n">
        <v>46035</v>
      </c>
      <c r="N4202" s="16" t="s">
        <v>13196</v>
      </c>
      <c r="O4202" s="16"/>
      <c r="P4202" s="16" t="str">
        <f aca="false">IF(AND(L4202&lt;=$D$2,M4202&gt;=$C$2),"Sí","")</f>
        <v/>
      </c>
      <c r="Q4202" s="18" t="str">
        <f aca="false">IF(COUNTIF(LOOKAHEAD!$A$5:$A$604,A4202)&gt;0,"En Lookahead",IF(P4202="Sí","INCORPORAR",""))</f>
        <v/>
      </c>
    </row>
    <row r="4203" customFormat="false" ht="15" hidden="false" customHeight="false" outlineLevel="0" collapsed="false">
      <c r="A4203" s="16" t="s">
        <v>13197</v>
      </c>
      <c r="B4203" s="16" t="n">
        <v>4198</v>
      </c>
      <c r="C4203" s="16" t="s">
        <v>13198</v>
      </c>
      <c r="D4203" s="16" t="n">
        <v>7</v>
      </c>
      <c r="E4203" s="37" t="s">
        <v>13199</v>
      </c>
      <c r="F4203" s="16" t="s">
        <v>1285</v>
      </c>
      <c r="G4203" s="16" t="s">
        <v>757</v>
      </c>
      <c r="H4203" s="16" t="s">
        <v>12499</v>
      </c>
      <c r="I4203" s="16" t="s">
        <v>127</v>
      </c>
      <c r="J4203" s="16" t="s">
        <v>13026</v>
      </c>
      <c r="K4203" s="32" t="n">
        <v>2</v>
      </c>
      <c r="L4203" s="33" t="n">
        <v>46035</v>
      </c>
      <c r="M4203" s="33" t="n">
        <v>46036</v>
      </c>
      <c r="N4203" s="16" t="s">
        <v>13200</v>
      </c>
      <c r="O4203" s="16"/>
      <c r="P4203" s="16" t="str">
        <f aca="false">IF(AND(L4203&lt;=$D$2,M4203&gt;=$C$2),"Sí","")</f>
        <v/>
      </c>
      <c r="Q4203" s="18" t="str">
        <f aca="false">IF(COUNTIF(LOOKAHEAD!$A$5:$A$604,A4203)&gt;0,"En Lookahead",IF(P4203="Sí","INCORPORAR",""))</f>
        <v/>
      </c>
    </row>
    <row r="4204" customFormat="false" ht="15" hidden="false" customHeight="false" outlineLevel="0" collapsed="false">
      <c r="A4204" s="16" t="s">
        <v>13201</v>
      </c>
      <c r="B4204" s="16" t="n">
        <v>4199</v>
      </c>
      <c r="C4204" s="16" t="s">
        <v>13202</v>
      </c>
      <c r="D4204" s="16" t="n">
        <v>7</v>
      </c>
      <c r="E4204" s="37" t="s">
        <v>13203</v>
      </c>
      <c r="F4204" s="16" t="s">
        <v>1285</v>
      </c>
      <c r="G4204" s="16" t="s">
        <v>757</v>
      </c>
      <c r="H4204" s="16" t="s">
        <v>12499</v>
      </c>
      <c r="I4204" s="16" t="s">
        <v>127</v>
      </c>
      <c r="J4204" s="16" t="s">
        <v>13026</v>
      </c>
      <c r="K4204" s="32" t="n">
        <v>1</v>
      </c>
      <c r="L4204" s="33" t="n">
        <v>46036</v>
      </c>
      <c r="M4204" s="33" t="n">
        <v>46036</v>
      </c>
      <c r="N4204" s="16" t="s">
        <v>13204</v>
      </c>
      <c r="O4204" s="16"/>
      <c r="P4204" s="16" t="str">
        <f aca="false">IF(AND(L4204&lt;=$D$2,M4204&gt;=$C$2),"Sí","")</f>
        <v/>
      </c>
      <c r="Q4204" s="18" t="str">
        <f aca="false">IF(COUNTIF(LOOKAHEAD!$A$5:$A$604,A4204)&gt;0,"En Lookahead",IF(P4204="Sí","INCORPORAR",""))</f>
        <v/>
      </c>
    </row>
    <row r="4205" customFormat="false" ht="15" hidden="false" customHeight="false" outlineLevel="0" collapsed="false">
      <c r="A4205" s="16" t="s">
        <v>13205</v>
      </c>
      <c r="B4205" s="16" t="n">
        <v>4200</v>
      </c>
      <c r="C4205" s="16" t="s">
        <v>13206</v>
      </c>
      <c r="D4205" s="16" t="n">
        <v>7</v>
      </c>
      <c r="E4205" s="37" t="s">
        <v>13207</v>
      </c>
      <c r="F4205" s="16" t="s">
        <v>1285</v>
      </c>
      <c r="G4205" s="16" t="s">
        <v>757</v>
      </c>
      <c r="H4205" s="16" t="s">
        <v>12499</v>
      </c>
      <c r="I4205" s="16" t="s">
        <v>127</v>
      </c>
      <c r="J4205" s="16" t="s">
        <v>13026</v>
      </c>
      <c r="K4205" s="32" t="n">
        <v>5</v>
      </c>
      <c r="L4205" s="33" t="n">
        <v>46037</v>
      </c>
      <c r="M4205" s="33" t="n">
        <v>46041</v>
      </c>
      <c r="N4205" s="16" t="s">
        <v>13208</v>
      </c>
      <c r="O4205" s="16"/>
      <c r="P4205" s="16" t="str">
        <f aca="false">IF(AND(L4205&lt;=$D$2,M4205&gt;=$C$2),"Sí","")</f>
        <v/>
      </c>
      <c r="Q4205" s="18" t="str">
        <f aca="false">IF(COUNTIF(LOOKAHEAD!$A$5:$A$604,A4205)&gt;0,"En Lookahead",IF(P4205="Sí","INCORPORAR",""))</f>
        <v/>
      </c>
    </row>
    <row r="4206" customFormat="false" ht="15" hidden="false" customHeight="false" outlineLevel="0" collapsed="false">
      <c r="A4206" s="16" t="s">
        <v>13209</v>
      </c>
      <c r="B4206" s="16" t="n">
        <v>4201</v>
      </c>
      <c r="C4206" s="16" t="s">
        <v>13210</v>
      </c>
      <c r="D4206" s="16" t="n">
        <v>7</v>
      </c>
      <c r="E4206" s="37" t="s">
        <v>13211</v>
      </c>
      <c r="F4206" s="16" t="s">
        <v>1285</v>
      </c>
      <c r="G4206" s="16" t="s">
        <v>757</v>
      </c>
      <c r="H4206" s="16" t="s">
        <v>12499</v>
      </c>
      <c r="I4206" s="16" t="s">
        <v>127</v>
      </c>
      <c r="J4206" s="16" t="s">
        <v>13026</v>
      </c>
      <c r="K4206" s="32" t="n">
        <v>1</v>
      </c>
      <c r="L4206" s="33" t="n">
        <v>46034</v>
      </c>
      <c r="M4206" s="33" t="n">
        <v>46034</v>
      </c>
      <c r="N4206" s="16" t="s">
        <v>13171</v>
      </c>
      <c r="O4206" s="16"/>
      <c r="P4206" s="16" t="str">
        <f aca="false">IF(AND(L4206&lt;=$D$2,M4206&gt;=$C$2),"Sí","")</f>
        <v/>
      </c>
      <c r="Q4206" s="18" t="str">
        <f aca="false">IF(COUNTIF(LOOKAHEAD!$A$5:$A$604,A4206)&gt;0,"En Lookahead",IF(P4206="Sí","INCORPORAR",""))</f>
        <v/>
      </c>
    </row>
    <row r="4207" customFormat="false" ht="15" hidden="false" customHeight="false" outlineLevel="0" collapsed="false">
      <c r="A4207" s="16" t="s">
        <v>13212</v>
      </c>
      <c r="B4207" s="16" t="n">
        <v>4202</v>
      </c>
      <c r="C4207" s="16" t="s">
        <v>13213</v>
      </c>
      <c r="D4207" s="16" t="n">
        <v>7</v>
      </c>
      <c r="E4207" s="37" t="s">
        <v>13214</v>
      </c>
      <c r="F4207" s="16" t="s">
        <v>1285</v>
      </c>
      <c r="G4207" s="16" t="s">
        <v>757</v>
      </c>
      <c r="H4207" s="16" t="s">
        <v>12499</v>
      </c>
      <c r="I4207" s="16" t="s">
        <v>127</v>
      </c>
      <c r="J4207" s="16" t="s">
        <v>13026</v>
      </c>
      <c r="K4207" s="32" t="n">
        <v>1</v>
      </c>
      <c r="L4207" s="33" t="n">
        <v>46037</v>
      </c>
      <c r="M4207" s="33" t="n">
        <v>46037</v>
      </c>
      <c r="N4207" s="16" t="s">
        <v>13215</v>
      </c>
      <c r="O4207" s="16"/>
      <c r="P4207" s="16" t="str">
        <f aca="false">IF(AND(L4207&lt;=$D$2,M4207&gt;=$C$2),"Sí","")</f>
        <v/>
      </c>
      <c r="Q4207" s="18" t="str">
        <f aca="false">IF(COUNTIF(LOOKAHEAD!$A$5:$A$604,A4207)&gt;0,"En Lookahead",IF(P4207="Sí","INCORPORAR",""))</f>
        <v/>
      </c>
    </row>
    <row r="4208" customFormat="false" ht="15" hidden="false" customHeight="false" outlineLevel="0" collapsed="false">
      <c r="A4208" s="16" t="s">
        <v>13216</v>
      </c>
      <c r="B4208" s="16" t="n">
        <v>4203</v>
      </c>
      <c r="C4208" s="16" t="s">
        <v>13217</v>
      </c>
      <c r="D4208" s="16" t="n">
        <v>7</v>
      </c>
      <c r="E4208" s="37" t="s">
        <v>12802</v>
      </c>
      <c r="F4208" s="16" t="s">
        <v>1285</v>
      </c>
      <c r="G4208" s="16" t="s">
        <v>757</v>
      </c>
      <c r="H4208" s="16" t="s">
        <v>12499</v>
      </c>
      <c r="I4208" s="16" t="s">
        <v>127</v>
      </c>
      <c r="J4208" s="16" t="s">
        <v>13026</v>
      </c>
      <c r="K4208" s="32" t="n">
        <v>1</v>
      </c>
      <c r="L4208" s="33" t="n">
        <v>46035</v>
      </c>
      <c r="M4208" s="33" t="n">
        <v>46035</v>
      </c>
      <c r="N4208" s="16" t="s">
        <v>13218</v>
      </c>
      <c r="O4208" s="16"/>
      <c r="P4208" s="16" t="str">
        <f aca="false">IF(AND(L4208&lt;=$D$2,M4208&gt;=$C$2),"Sí","")</f>
        <v/>
      </c>
      <c r="Q4208" s="18" t="str">
        <f aca="false">IF(COUNTIF(LOOKAHEAD!$A$5:$A$604,A4208)&gt;0,"En Lookahead",IF(P4208="Sí","INCORPORAR",""))</f>
        <v/>
      </c>
    </row>
    <row r="4209" customFormat="false" ht="15" hidden="false" customHeight="false" outlineLevel="0" collapsed="false">
      <c r="A4209" s="16" t="s">
        <v>13219</v>
      </c>
      <c r="B4209" s="16" t="n">
        <v>4204</v>
      </c>
      <c r="C4209" s="16" t="s">
        <v>13220</v>
      </c>
      <c r="D4209" s="16" t="n">
        <v>7</v>
      </c>
      <c r="E4209" s="37" t="s">
        <v>12810</v>
      </c>
      <c r="F4209" s="16" t="s">
        <v>1285</v>
      </c>
      <c r="G4209" s="16" t="s">
        <v>757</v>
      </c>
      <c r="H4209" s="16" t="s">
        <v>12499</v>
      </c>
      <c r="I4209" s="16" t="s">
        <v>127</v>
      </c>
      <c r="J4209" s="16" t="s">
        <v>13026</v>
      </c>
      <c r="K4209" s="32" t="n">
        <v>2</v>
      </c>
      <c r="L4209" s="33" t="n">
        <v>46036</v>
      </c>
      <c r="M4209" s="33" t="n">
        <v>46037</v>
      </c>
      <c r="N4209" s="16" t="s">
        <v>13221</v>
      </c>
      <c r="O4209" s="16"/>
      <c r="P4209" s="16" t="str">
        <f aca="false">IF(AND(L4209&lt;=$D$2,M4209&gt;=$C$2),"Sí","")</f>
        <v/>
      </c>
      <c r="Q4209" s="18" t="str">
        <f aca="false">IF(COUNTIF(LOOKAHEAD!$A$5:$A$604,A4209)&gt;0,"En Lookahead",IF(P4209="Sí","INCORPORAR",""))</f>
        <v/>
      </c>
    </row>
    <row r="4210" customFormat="false" ht="15" hidden="false" customHeight="false" outlineLevel="0" collapsed="false">
      <c r="A4210" s="16" t="s">
        <v>13222</v>
      </c>
      <c r="B4210" s="16" t="n">
        <v>4205</v>
      </c>
      <c r="C4210" s="16" t="s">
        <v>13223</v>
      </c>
      <c r="D4210" s="16" t="n">
        <v>7</v>
      </c>
      <c r="E4210" s="37" t="s">
        <v>13224</v>
      </c>
      <c r="F4210" s="16" t="s">
        <v>1285</v>
      </c>
      <c r="G4210" s="16" t="s">
        <v>757</v>
      </c>
      <c r="H4210" s="16" t="s">
        <v>12499</v>
      </c>
      <c r="I4210" s="16" t="s">
        <v>127</v>
      </c>
      <c r="J4210" s="16" t="s">
        <v>13026</v>
      </c>
      <c r="K4210" s="32" t="n">
        <v>1</v>
      </c>
      <c r="L4210" s="33" t="n">
        <v>46038</v>
      </c>
      <c r="M4210" s="33" t="n">
        <v>46038</v>
      </c>
      <c r="N4210" s="16" t="s">
        <v>13225</v>
      </c>
      <c r="O4210" s="16"/>
      <c r="P4210" s="16" t="str">
        <f aca="false">IF(AND(L4210&lt;=$D$2,M4210&gt;=$C$2),"Sí","")</f>
        <v/>
      </c>
      <c r="Q4210" s="18" t="str">
        <f aca="false">IF(COUNTIF(LOOKAHEAD!$A$5:$A$604,A4210)&gt;0,"En Lookahead",IF(P4210="Sí","INCORPORAR",""))</f>
        <v/>
      </c>
    </row>
    <row r="4211" customFormat="false" ht="15" hidden="false" customHeight="false" outlineLevel="0" collapsed="false">
      <c r="A4211" s="16" t="s">
        <v>13226</v>
      </c>
      <c r="B4211" s="16" t="n">
        <v>4206</v>
      </c>
      <c r="C4211" s="16" t="s">
        <v>13227</v>
      </c>
      <c r="D4211" s="16" t="n">
        <v>7</v>
      </c>
      <c r="E4211" s="37" t="s">
        <v>13228</v>
      </c>
      <c r="F4211" s="16" t="s">
        <v>1285</v>
      </c>
      <c r="G4211" s="16" t="s">
        <v>757</v>
      </c>
      <c r="H4211" s="16" t="s">
        <v>12499</v>
      </c>
      <c r="I4211" s="16" t="s">
        <v>127</v>
      </c>
      <c r="J4211" s="16" t="s">
        <v>13026</v>
      </c>
      <c r="K4211" s="32" t="n">
        <v>7</v>
      </c>
      <c r="L4211" s="33" t="n">
        <v>46038</v>
      </c>
      <c r="M4211" s="33" t="n">
        <v>46044</v>
      </c>
      <c r="N4211" s="16" t="s">
        <v>13225</v>
      </c>
      <c r="O4211" s="16"/>
      <c r="P4211" s="16" t="str">
        <f aca="false">IF(AND(L4211&lt;=$D$2,M4211&gt;=$C$2),"Sí","")</f>
        <v/>
      </c>
      <c r="Q4211" s="18" t="str">
        <f aca="false">IF(COUNTIF(LOOKAHEAD!$A$5:$A$604,A4211)&gt;0,"En Lookahead",IF(P4211="Sí","INCORPORAR",""))</f>
        <v/>
      </c>
    </row>
    <row r="4212" customFormat="false" ht="15" hidden="false" customHeight="false" outlineLevel="0" collapsed="false">
      <c r="A4212" s="16" t="s">
        <v>13229</v>
      </c>
      <c r="B4212" s="16" t="n">
        <v>4207</v>
      </c>
      <c r="C4212" s="16" t="s">
        <v>13230</v>
      </c>
      <c r="D4212" s="16" t="n">
        <v>7</v>
      </c>
      <c r="E4212" s="37" t="s">
        <v>13231</v>
      </c>
      <c r="F4212" s="16" t="s">
        <v>1285</v>
      </c>
      <c r="G4212" s="16" t="s">
        <v>757</v>
      </c>
      <c r="H4212" s="16" t="s">
        <v>12499</v>
      </c>
      <c r="I4212" s="16" t="s">
        <v>127</v>
      </c>
      <c r="J4212" s="16" t="s">
        <v>13026</v>
      </c>
      <c r="K4212" s="32" t="n">
        <v>1</v>
      </c>
      <c r="L4212" s="33" t="n">
        <v>46003</v>
      </c>
      <c r="M4212" s="33" t="n">
        <v>46003</v>
      </c>
      <c r="N4212" s="16" t="s">
        <v>13032</v>
      </c>
      <c r="O4212" s="16"/>
      <c r="P4212" s="16" t="str">
        <f aca="false">IF(AND(L4212&lt;=$D$2,M4212&gt;=$C$2),"Sí","")</f>
        <v/>
      </c>
      <c r="Q4212" s="18" t="str">
        <f aca="false">IF(COUNTIF(LOOKAHEAD!$A$5:$A$604,A4212)&gt;0,"En Lookahead",IF(P4212="Sí","INCORPORAR",""))</f>
        <v/>
      </c>
    </row>
    <row r="4213" customFormat="false" ht="15" hidden="false" customHeight="false" outlineLevel="0" collapsed="false">
      <c r="A4213" s="13" t="s">
        <v>13232</v>
      </c>
      <c r="B4213" s="13" t="n">
        <v>4208</v>
      </c>
      <c r="C4213" s="13" t="s">
        <v>13233</v>
      </c>
      <c r="D4213" s="13" t="n">
        <v>5</v>
      </c>
      <c r="E4213" s="34" t="s">
        <v>10032</v>
      </c>
      <c r="F4213" s="13" t="s">
        <v>1298</v>
      </c>
      <c r="G4213" s="13" t="s">
        <v>757</v>
      </c>
      <c r="H4213" s="13" t="s">
        <v>12499</v>
      </c>
      <c r="I4213" s="13" t="s">
        <v>127</v>
      </c>
      <c r="J4213" s="13" t="s">
        <v>12499</v>
      </c>
      <c r="K4213" s="30" t="n">
        <v>19</v>
      </c>
      <c r="L4213" s="31" t="n">
        <v>45934</v>
      </c>
      <c r="M4213" s="31" t="n">
        <v>45952</v>
      </c>
      <c r="N4213" s="13"/>
      <c r="O4213" s="13"/>
      <c r="P4213" s="13"/>
      <c r="Q4213" s="13"/>
    </row>
    <row r="4214" customFormat="false" ht="15" hidden="false" customHeight="false" outlineLevel="0" collapsed="false">
      <c r="A4214" s="13" t="s">
        <v>13234</v>
      </c>
      <c r="B4214" s="13" t="n">
        <v>4209</v>
      </c>
      <c r="C4214" s="13" t="s">
        <v>13235</v>
      </c>
      <c r="D4214" s="13" t="n">
        <v>6</v>
      </c>
      <c r="E4214" s="36" t="s">
        <v>10072</v>
      </c>
      <c r="F4214" s="13" t="s">
        <v>1298</v>
      </c>
      <c r="G4214" s="13" t="s">
        <v>757</v>
      </c>
      <c r="H4214" s="13" t="s">
        <v>12499</v>
      </c>
      <c r="I4214" s="13" t="s">
        <v>127</v>
      </c>
      <c r="J4214" s="13" t="s">
        <v>10032</v>
      </c>
      <c r="K4214" s="30" t="n">
        <v>1</v>
      </c>
      <c r="L4214" s="31" t="n">
        <v>45934</v>
      </c>
      <c r="M4214" s="31" t="n">
        <v>45934</v>
      </c>
      <c r="N4214" s="13"/>
      <c r="O4214" s="13"/>
      <c r="P4214" s="13"/>
      <c r="Q4214" s="13"/>
    </row>
    <row r="4215" customFormat="false" ht="15" hidden="false" customHeight="false" outlineLevel="0" collapsed="false">
      <c r="A4215" s="16" t="s">
        <v>13236</v>
      </c>
      <c r="B4215" s="16" t="n">
        <v>4210</v>
      </c>
      <c r="C4215" s="16" t="s">
        <v>13237</v>
      </c>
      <c r="D4215" s="16" t="n">
        <v>7</v>
      </c>
      <c r="E4215" s="37" t="s">
        <v>10075</v>
      </c>
      <c r="F4215" s="16" t="s">
        <v>1285</v>
      </c>
      <c r="G4215" s="16" t="s">
        <v>757</v>
      </c>
      <c r="H4215" s="16" t="s">
        <v>12499</v>
      </c>
      <c r="I4215" s="16" t="s">
        <v>127</v>
      </c>
      <c r="J4215" s="16" t="s">
        <v>10072</v>
      </c>
      <c r="K4215" s="32" t="n">
        <v>1</v>
      </c>
      <c r="L4215" s="33" t="n">
        <v>45934</v>
      </c>
      <c r="M4215" s="33" t="n">
        <v>45934</v>
      </c>
      <c r="N4215" s="16" t="s">
        <v>12508</v>
      </c>
      <c r="O4215" s="16"/>
      <c r="P4215" s="16" t="str">
        <f aca="false">IF(AND(L4215&lt;=$D$2,M4215&gt;=$C$2),"Sí","")</f>
        <v/>
      </c>
      <c r="Q4215" s="18" t="str">
        <f aca="false">IF(COUNTIF(LOOKAHEAD!$A$5:$A$604,A4215)&gt;0,"En Lookahead",IF(P4215="Sí","INCORPORAR",""))</f>
        <v/>
      </c>
    </row>
    <row r="4216" customFormat="false" ht="15" hidden="false" customHeight="false" outlineLevel="0" collapsed="false">
      <c r="A4216" s="13" t="s">
        <v>13238</v>
      </c>
      <c r="B4216" s="13" t="n">
        <v>4211</v>
      </c>
      <c r="C4216" s="13" t="s">
        <v>13239</v>
      </c>
      <c r="D4216" s="13" t="n">
        <v>6</v>
      </c>
      <c r="E4216" s="36" t="s">
        <v>13240</v>
      </c>
      <c r="F4216" s="13" t="s">
        <v>1298</v>
      </c>
      <c r="G4216" s="13" t="s">
        <v>757</v>
      </c>
      <c r="H4216" s="13" t="s">
        <v>12499</v>
      </c>
      <c r="I4216" s="13" t="s">
        <v>127</v>
      </c>
      <c r="J4216" s="13" t="s">
        <v>10032</v>
      </c>
      <c r="K4216" s="30" t="n">
        <v>16</v>
      </c>
      <c r="L4216" s="31" t="n">
        <v>45934</v>
      </c>
      <c r="M4216" s="31" t="n">
        <v>45949</v>
      </c>
      <c r="N4216" s="13"/>
      <c r="O4216" s="13"/>
      <c r="P4216" s="13"/>
      <c r="Q4216" s="13"/>
    </row>
    <row r="4217" customFormat="false" ht="15" hidden="false" customHeight="false" outlineLevel="0" collapsed="false">
      <c r="A4217" s="16" t="s">
        <v>13241</v>
      </c>
      <c r="B4217" s="16" t="n">
        <v>4212</v>
      </c>
      <c r="C4217" s="16" t="s">
        <v>13242</v>
      </c>
      <c r="D4217" s="16" t="n">
        <v>7</v>
      </c>
      <c r="E4217" s="37" t="s">
        <v>10105</v>
      </c>
      <c r="F4217" s="16" t="s">
        <v>1285</v>
      </c>
      <c r="G4217" s="16" t="s">
        <v>757</v>
      </c>
      <c r="H4217" s="16" t="s">
        <v>12499</v>
      </c>
      <c r="I4217" s="16" t="s">
        <v>127</v>
      </c>
      <c r="J4217" s="16" t="s">
        <v>13240</v>
      </c>
      <c r="K4217" s="32" t="n">
        <v>2</v>
      </c>
      <c r="L4217" s="33" t="n">
        <v>45934</v>
      </c>
      <c r="M4217" s="33" t="n">
        <v>45935</v>
      </c>
      <c r="N4217" s="16" t="s">
        <v>12508</v>
      </c>
      <c r="O4217" s="16"/>
      <c r="P4217" s="16" t="str">
        <f aca="false">IF(AND(L4217&lt;=$D$2,M4217&gt;=$C$2),"Sí","")</f>
        <v/>
      </c>
      <c r="Q4217" s="18" t="str">
        <f aca="false">IF(COUNTIF(LOOKAHEAD!$A$5:$A$604,A4217)&gt;0,"En Lookahead",IF(P4217="Sí","INCORPORAR",""))</f>
        <v/>
      </c>
    </row>
    <row r="4218" customFormat="false" ht="15" hidden="false" customHeight="false" outlineLevel="0" collapsed="false">
      <c r="A4218" s="16" t="s">
        <v>13243</v>
      </c>
      <c r="B4218" s="16" t="n">
        <v>4213</v>
      </c>
      <c r="C4218" s="16" t="s">
        <v>13244</v>
      </c>
      <c r="D4218" s="16" t="n">
        <v>7</v>
      </c>
      <c r="E4218" s="37" t="s">
        <v>1557</v>
      </c>
      <c r="F4218" s="16" t="s">
        <v>1285</v>
      </c>
      <c r="G4218" s="16" t="s">
        <v>757</v>
      </c>
      <c r="H4218" s="16" t="s">
        <v>12499</v>
      </c>
      <c r="I4218" s="16" t="s">
        <v>127</v>
      </c>
      <c r="J4218" s="16" t="s">
        <v>13240</v>
      </c>
      <c r="K4218" s="32" t="n">
        <v>1</v>
      </c>
      <c r="L4218" s="33" t="n">
        <v>45936</v>
      </c>
      <c r="M4218" s="33" t="n">
        <v>45936</v>
      </c>
      <c r="N4218" s="16" t="s">
        <v>13245</v>
      </c>
      <c r="O4218" s="16"/>
      <c r="P4218" s="16" t="str">
        <f aca="false">IF(AND(L4218&lt;=$D$2,M4218&gt;=$C$2),"Sí","")</f>
        <v/>
      </c>
      <c r="Q4218" s="18" t="str">
        <f aca="false">IF(COUNTIF(LOOKAHEAD!$A$5:$A$604,A4218)&gt;0,"En Lookahead",IF(P4218="Sí","INCORPORAR",""))</f>
        <v/>
      </c>
    </row>
    <row r="4219" customFormat="false" ht="15" hidden="false" customHeight="false" outlineLevel="0" collapsed="false">
      <c r="A4219" s="16" t="s">
        <v>13246</v>
      </c>
      <c r="B4219" s="16" t="n">
        <v>4214</v>
      </c>
      <c r="C4219" s="16" t="s">
        <v>13247</v>
      </c>
      <c r="D4219" s="16" t="n">
        <v>7</v>
      </c>
      <c r="E4219" s="37" t="s">
        <v>10069</v>
      </c>
      <c r="F4219" s="16" t="s">
        <v>1285</v>
      </c>
      <c r="G4219" s="16" t="s">
        <v>757</v>
      </c>
      <c r="H4219" s="16" t="s">
        <v>12499</v>
      </c>
      <c r="I4219" s="16" t="s">
        <v>127</v>
      </c>
      <c r="J4219" s="16" t="s">
        <v>13240</v>
      </c>
      <c r="K4219" s="32" t="n">
        <v>1</v>
      </c>
      <c r="L4219" s="33" t="n">
        <v>45949</v>
      </c>
      <c r="M4219" s="33" t="n">
        <v>45949</v>
      </c>
      <c r="N4219" s="16" t="s">
        <v>13248</v>
      </c>
      <c r="O4219" s="16"/>
      <c r="P4219" s="16" t="str">
        <f aca="false">IF(AND(L4219&lt;=$D$2,M4219&gt;=$C$2),"Sí","")</f>
        <v/>
      </c>
      <c r="Q4219" s="18" t="str">
        <f aca="false">IF(COUNTIF(LOOKAHEAD!$A$5:$A$604,A4219)&gt;0,"En Lookahead",IF(P4219="Sí","INCORPORAR",""))</f>
        <v/>
      </c>
    </row>
    <row r="4220" customFormat="false" ht="15" hidden="false" customHeight="false" outlineLevel="0" collapsed="false">
      <c r="A4220" s="16" t="s">
        <v>13249</v>
      </c>
      <c r="B4220" s="16" t="n">
        <v>4215</v>
      </c>
      <c r="C4220" s="16" t="s">
        <v>13250</v>
      </c>
      <c r="D4220" s="16" t="n">
        <v>7</v>
      </c>
      <c r="E4220" s="37" t="s">
        <v>13251</v>
      </c>
      <c r="F4220" s="16" t="s">
        <v>1285</v>
      </c>
      <c r="G4220" s="16" t="s">
        <v>757</v>
      </c>
      <c r="H4220" s="16" t="s">
        <v>12499</v>
      </c>
      <c r="I4220" s="16" t="s">
        <v>127</v>
      </c>
      <c r="J4220" s="16" t="s">
        <v>13240</v>
      </c>
      <c r="K4220" s="32" t="n">
        <v>8</v>
      </c>
      <c r="L4220" s="33" t="n">
        <v>45937</v>
      </c>
      <c r="M4220" s="33" t="n">
        <v>45944</v>
      </c>
      <c r="N4220" s="16" t="s">
        <v>13252</v>
      </c>
      <c r="O4220" s="16"/>
      <c r="P4220" s="16" t="str">
        <f aca="false">IF(AND(L4220&lt;=$D$2,M4220&gt;=$C$2),"Sí","")</f>
        <v/>
      </c>
      <c r="Q4220" s="18" t="str">
        <f aca="false">IF(COUNTIF(LOOKAHEAD!$A$5:$A$604,A4220)&gt;0,"En Lookahead",IF(P4220="Sí","INCORPORAR",""))</f>
        <v/>
      </c>
    </row>
    <row r="4221" customFormat="false" ht="15" hidden="false" customHeight="false" outlineLevel="0" collapsed="false">
      <c r="A4221" s="16" t="s">
        <v>13253</v>
      </c>
      <c r="B4221" s="16" t="n">
        <v>4216</v>
      </c>
      <c r="C4221" s="16" t="s">
        <v>13254</v>
      </c>
      <c r="D4221" s="16" t="n">
        <v>7</v>
      </c>
      <c r="E4221" s="37" t="s">
        <v>13255</v>
      </c>
      <c r="F4221" s="16" t="s">
        <v>1285</v>
      </c>
      <c r="G4221" s="16" t="s">
        <v>757</v>
      </c>
      <c r="H4221" s="16" t="s">
        <v>12499</v>
      </c>
      <c r="I4221" s="16" t="s">
        <v>127</v>
      </c>
      <c r="J4221" s="16" t="s">
        <v>13240</v>
      </c>
      <c r="K4221" s="32" t="n">
        <v>4</v>
      </c>
      <c r="L4221" s="33" t="n">
        <v>45945</v>
      </c>
      <c r="M4221" s="33" t="n">
        <v>45948</v>
      </c>
      <c r="N4221" s="16" t="s">
        <v>13256</v>
      </c>
      <c r="O4221" s="16"/>
      <c r="P4221" s="16" t="str">
        <f aca="false">IF(AND(L4221&lt;=$D$2,M4221&gt;=$C$2),"Sí","")</f>
        <v/>
      </c>
      <c r="Q4221" s="18" t="str">
        <f aca="false">IF(COUNTIF(LOOKAHEAD!$A$5:$A$604,A4221)&gt;0,"En Lookahead",IF(P4221="Sí","INCORPORAR",""))</f>
        <v/>
      </c>
    </row>
    <row r="4222" customFormat="false" ht="15" hidden="false" customHeight="false" outlineLevel="0" collapsed="false">
      <c r="A4222" s="13" t="s">
        <v>13257</v>
      </c>
      <c r="B4222" s="13" t="n">
        <v>4217</v>
      </c>
      <c r="C4222" s="13" t="s">
        <v>13258</v>
      </c>
      <c r="D4222" s="13" t="n">
        <v>6</v>
      </c>
      <c r="E4222" s="36" t="s">
        <v>10102</v>
      </c>
      <c r="F4222" s="13" t="s">
        <v>1298</v>
      </c>
      <c r="G4222" s="13" t="s">
        <v>757</v>
      </c>
      <c r="H4222" s="13" t="s">
        <v>12499</v>
      </c>
      <c r="I4222" s="13" t="s">
        <v>127</v>
      </c>
      <c r="J4222" s="13" t="s">
        <v>10032</v>
      </c>
      <c r="K4222" s="30" t="n">
        <v>4</v>
      </c>
      <c r="L4222" s="31" t="n">
        <v>45949</v>
      </c>
      <c r="M4222" s="31" t="n">
        <v>45952</v>
      </c>
      <c r="N4222" s="13"/>
      <c r="O4222" s="13"/>
      <c r="P4222" s="13"/>
      <c r="Q4222" s="13"/>
    </row>
    <row r="4223" customFormat="false" ht="15" hidden="false" customHeight="false" outlineLevel="0" collapsed="false">
      <c r="A4223" s="16" t="s">
        <v>13259</v>
      </c>
      <c r="B4223" s="16" t="n">
        <v>4218</v>
      </c>
      <c r="C4223" s="16" t="s">
        <v>13260</v>
      </c>
      <c r="D4223" s="16" t="n">
        <v>7</v>
      </c>
      <c r="E4223" s="37" t="s">
        <v>10105</v>
      </c>
      <c r="F4223" s="16" t="s">
        <v>1285</v>
      </c>
      <c r="G4223" s="16" t="s">
        <v>757</v>
      </c>
      <c r="H4223" s="16" t="s">
        <v>12499</v>
      </c>
      <c r="I4223" s="16" t="s">
        <v>127</v>
      </c>
      <c r="J4223" s="16" t="s">
        <v>10102</v>
      </c>
      <c r="K4223" s="32" t="n">
        <v>1</v>
      </c>
      <c r="L4223" s="33" t="n">
        <v>45949</v>
      </c>
      <c r="M4223" s="33" t="n">
        <v>45949</v>
      </c>
      <c r="N4223" s="16" t="s">
        <v>13248</v>
      </c>
      <c r="O4223" s="16"/>
      <c r="P4223" s="16" t="str">
        <f aca="false">IF(AND(L4223&lt;=$D$2,M4223&gt;=$C$2),"Sí","")</f>
        <v/>
      </c>
      <c r="Q4223" s="18" t="str">
        <f aca="false">IF(COUNTIF(LOOKAHEAD!$A$5:$A$604,A4223)&gt;0,"En Lookahead",IF(P4223="Sí","INCORPORAR",""))</f>
        <v/>
      </c>
    </row>
    <row r="4224" customFormat="false" ht="15" hidden="false" customHeight="false" outlineLevel="0" collapsed="false">
      <c r="A4224" s="16" t="s">
        <v>13261</v>
      </c>
      <c r="B4224" s="16" t="n">
        <v>4219</v>
      </c>
      <c r="C4224" s="16" t="s">
        <v>13262</v>
      </c>
      <c r="D4224" s="16" t="n">
        <v>7</v>
      </c>
      <c r="E4224" s="37" t="s">
        <v>1557</v>
      </c>
      <c r="F4224" s="16" t="s">
        <v>1285</v>
      </c>
      <c r="G4224" s="16" t="s">
        <v>757</v>
      </c>
      <c r="H4224" s="16" t="s">
        <v>12499</v>
      </c>
      <c r="I4224" s="16" t="s">
        <v>127</v>
      </c>
      <c r="J4224" s="16" t="s">
        <v>10102</v>
      </c>
      <c r="K4224" s="32" t="n">
        <v>1</v>
      </c>
      <c r="L4224" s="33" t="n">
        <v>45950</v>
      </c>
      <c r="M4224" s="33" t="n">
        <v>45950</v>
      </c>
      <c r="N4224" s="16" t="s">
        <v>13263</v>
      </c>
      <c r="O4224" s="16"/>
      <c r="P4224" s="16" t="str">
        <f aca="false">IF(AND(L4224&lt;=$D$2,M4224&gt;=$C$2),"Sí","")</f>
        <v/>
      </c>
      <c r="Q4224" s="18" t="str">
        <f aca="false">IF(COUNTIF(LOOKAHEAD!$A$5:$A$604,A4224)&gt;0,"En Lookahead",IF(P4224="Sí","INCORPORAR",""))</f>
        <v/>
      </c>
    </row>
    <row r="4225" customFormat="false" ht="15" hidden="false" customHeight="false" outlineLevel="0" collapsed="false">
      <c r="A4225" s="16" t="s">
        <v>13264</v>
      </c>
      <c r="B4225" s="16" t="n">
        <v>4220</v>
      </c>
      <c r="C4225" s="16" t="s">
        <v>13265</v>
      </c>
      <c r="D4225" s="16" t="n">
        <v>7</v>
      </c>
      <c r="E4225" s="37" t="s">
        <v>10069</v>
      </c>
      <c r="F4225" s="16" t="s">
        <v>1285</v>
      </c>
      <c r="G4225" s="16" t="s">
        <v>757</v>
      </c>
      <c r="H4225" s="16" t="s">
        <v>12499</v>
      </c>
      <c r="I4225" s="16" t="s">
        <v>127</v>
      </c>
      <c r="J4225" s="16" t="s">
        <v>10102</v>
      </c>
      <c r="K4225" s="32" t="n">
        <v>1</v>
      </c>
      <c r="L4225" s="33" t="n">
        <v>45952</v>
      </c>
      <c r="M4225" s="33" t="n">
        <v>45952</v>
      </c>
      <c r="N4225" s="16" t="s">
        <v>13266</v>
      </c>
      <c r="O4225" s="16"/>
      <c r="P4225" s="16" t="str">
        <f aca="false">IF(AND(L4225&lt;=$D$2,M4225&gt;=$C$2),"Sí","")</f>
        <v/>
      </c>
      <c r="Q4225" s="18" t="str">
        <f aca="false">IF(COUNTIF(LOOKAHEAD!$A$5:$A$604,A4225)&gt;0,"En Lookahead",IF(P4225="Sí","INCORPORAR",""))</f>
        <v/>
      </c>
    </row>
    <row r="4226" customFormat="false" ht="15" hidden="false" customHeight="false" outlineLevel="0" collapsed="false">
      <c r="A4226" s="16" t="s">
        <v>13267</v>
      </c>
      <c r="B4226" s="16" t="n">
        <v>4221</v>
      </c>
      <c r="C4226" s="16" t="s">
        <v>13268</v>
      </c>
      <c r="D4226" s="16" t="n">
        <v>7</v>
      </c>
      <c r="E4226" s="37" t="s">
        <v>10115</v>
      </c>
      <c r="F4226" s="16" t="s">
        <v>1285</v>
      </c>
      <c r="G4226" s="16" t="s">
        <v>757</v>
      </c>
      <c r="H4226" s="16" t="s">
        <v>12499</v>
      </c>
      <c r="I4226" s="16" t="s">
        <v>127</v>
      </c>
      <c r="J4226" s="16" t="s">
        <v>10102</v>
      </c>
      <c r="K4226" s="32" t="n">
        <v>1</v>
      </c>
      <c r="L4226" s="33" t="n">
        <v>45951</v>
      </c>
      <c r="M4226" s="33" t="n">
        <v>45951</v>
      </c>
      <c r="N4226" s="16" t="s">
        <v>13269</v>
      </c>
      <c r="O4226" s="16"/>
      <c r="P4226" s="16" t="str">
        <f aca="false">IF(AND(L4226&lt;=$D$2,M4226&gt;=$C$2),"Sí","")</f>
        <v/>
      </c>
      <c r="Q4226" s="18" t="str">
        <f aca="false">IF(COUNTIF(LOOKAHEAD!$A$5:$A$604,A4226)&gt;0,"En Lookahead",IF(P4226="Sí","INCORPORAR",""))</f>
        <v/>
      </c>
    </row>
    <row r="4227" customFormat="false" ht="15" hidden="false" customHeight="false" outlineLevel="0" collapsed="false">
      <c r="A4227" s="13" t="s">
        <v>13270</v>
      </c>
      <c r="B4227" s="13" t="n">
        <v>4222</v>
      </c>
      <c r="C4227" s="13" t="s">
        <v>13271</v>
      </c>
      <c r="D4227" s="13" t="n">
        <v>5</v>
      </c>
      <c r="E4227" s="34" t="s">
        <v>13272</v>
      </c>
      <c r="F4227" s="13" t="s">
        <v>1298</v>
      </c>
      <c r="G4227" s="13" t="s">
        <v>757</v>
      </c>
      <c r="H4227" s="13" t="s">
        <v>12499</v>
      </c>
      <c r="I4227" s="13" t="s">
        <v>127</v>
      </c>
      <c r="J4227" s="13" t="s">
        <v>12499</v>
      </c>
      <c r="K4227" s="30" t="n">
        <v>29</v>
      </c>
      <c r="L4227" s="31" t="n">
        <v>45950</v>
      </c>
      <c r="M4227" s="31" t="n">
        <v>45978</v>
      </c>
      <c r="N4227" s="13"/>
      <c r="O4227" s="13"/>
      <c r="P4227" s="13"/>
      <c r="Q4227" s="13"/>
    </row>
    <row r="4228" customFormat="false" ht="15" hidden="false" customHeight="false" outlineLevel="0" collapsed="false">
      <c r="A4228" s="13" t="s">
        <v>13273</v>
      </c>
      <c r="B4228" s="13" t="n">
        <v>4223</v>
      </c>
      <c r="C4228" s="13" t="s">
        <v>13274</v>
      </c>
      <c r="D4228" s="13" t="n">
        <v>6</v>
      </c>
      <c r="E4228" s="36" t="s">
        <v>1368</v>
      </c>
      <c r="F4228" s="13" t="s">
        <v>1298</v>
      </c>
      <c r="G4228" s="13" t="s">
        <v>757</v>
      </c>
      <c r="H4228" s="13" t="s">
        <v>12499</v>
      </c>
      <c r="I4228" s="13" t="s">
        <v>127</v>
      </c>
      <c r="J4228" s="13" t="s">
        <v>13272</v>
      </c>
      <c r="K4228" s="30" t="n">
        <v>1</v>
      </c>
      <c r="L4228" s="31" t="n">
        <v>45950</v>
      </c>
      <c r="M4228" s="31" t="n">
        <v>45950</v>
      </c>
      <c r="N4228" s="13"/>
      <c r="O4228" s="13"/>
      <c r="P4228" s="13"/>
      <c r="Q4228" s="13"/>
    </row>
    <row r="4229" customFormat="false" ht="15" hidden="false" customHeight="false" outlineLevel="0" collapsed="false">
      <c r="A4229" s="16" t="s">
        <v>13275</v>
      </c>
      <c r="B4229" s="16" t="n">
        <v>4224</v>
      </c>
      <c r="C4229" s="16" t="s">
        <v>13276</v>
      </c>
      <c r="D4229" s="16" t="n">
        <v>7</v>
      </c>
      <c r="E4229" s="37" t="s">
        <v>10038</v>
      </c>
      <c r="F4229" s="16" t="s">
        <v>1285</v>
      </c>
      <c r="G4229" s="16" t="s">
        <v>757</v>
      </c>
      <c r="H4229" s="16" t="s">
        <v>12499</v>
      </c>
      <c r="I4229" s="16" t="s">
        <v>127</v>
      </c>
      <c r="J4229" s="16" t="s">
        <v>1368</v>
      </c>
      <c r="K4229" s="32" t="n">
        <v>1</v>
      </c>
      <c r="L4229" s="33" t="n">
        <v>45950</v>
      </c>
      <c r="M4229" s="33" t="n">
        <v>45950</v>
      </c>
      <c r="N4229" s="16" t="s">
        <v>13277</v>
      </c>
      <c r="O4229" s="16"/>
      <c r="P4229" s="16" t="str">
        <f aca="false">IF(AND(L4229&lt;=$D$2,M4229&gt;=$C$2),"Sí","")</f>
        <v/>
      </c>
      <c r="Q4229" s="18" t="str">
        <f aca="false">IF(COUNTIF(LOOKAHEAD!$A$5:$A$604,A4229)&gt;0,"En Lookahead",IF(P4229="Sí","INCORPORAR",""))</f>
        <v/>
      </c>
    </row>
    <row r="4230" customFormat="false" ht="15" hidden="false" customHeight="false" outlineLevel="0" collapsed="false">
      <c r="A4230" s="13" t="s">
        <v>13278</v>
      </c>
      <c r="B4230" s="13" t="n">
        <v>4225</v>
      </c>
      <c r="C4230" s="13" t="s">
        <v>13279</v>
      </c>
      <c r="D4230" s="13" t="n">
        <v>6</v>
      </c>
      <c r="E4230" s="36" t="s">
        <v>1534</v>
      </c>
      <c r="F4230" s="13" t="s">
        <v>1298</v>
      </c>
      <c r="G4230" s="13" t="s">
        <v>757</v>
      </c>
      <c r="H4230" s="13" t="s">
        <v>12499</v>
      </c>
      <c r="I4230" s="13" t="s">
        <v>127</v>
      </c>
      <c r="J4230" s="13" t="s">
        <v>13272</v>
      </c>
      <c r="K4230" s="30" t="n">
        <v>27</v>
      </c>
      <c r="L4230" s="31" t="n">
        <v>45951</v>
      </c>
      <c r="M4230" s="31" t="n">
        <v>45977</v>
      </c>
      <c r="N4230" s="13"/>
      <c r="O4230" s="13"/>
      <c r="P4230" s="13"/>
      <c r="Q4230" s="13"/>
    </row>
    <row r="4231" customFormat="false" ht="15" hidden="false" customHeight="false" outlineLevel="0" collapsed="false">
      <c r="A4231" s="16" t="s">
        <v>13280</v>
      </c>
      <c r="B4231" s="16" t="n">
        <v>4226</v>
      </c>
      <c r="C4231" s="16" t="s">
        <v>13281</v>
      </c>
      <c r="D4231" s="16" t="n">
        <v>7</v>
      </c>
      <c r="E4231" s="37" t="s">
        <v>12918</v>
      </c>
      <c r="F4231" s="16" t="s">
        <v>1285</v>
      </c>
      <c r="G4231" s="16" t="s">
        <v>757</v>
      </c>
      <c r="H4231" s="16" t="s">
        <v>12499</v>
      </c>
      <c r="I4231" s="16" t="s">
        <v>127</v>
      </c>
      <c r="J4231" s="16" t="s">
        <v>1534</v>
      </c>
      <c r="K4231" s="32" t="n">
        <v>1</v>
      </c>
      <c r="L4231" s="33" t="n">
        <v>45951</v>
      </c>
      <c r="M4231" s="33" t="n">
        <v>45951</v>
      </c>
      <c r="N4231" s="16" t="s">
        <v>13282</v>
      </c>
      <c r="O4231" s="16"/>
      <c r="P4231" s="16" t="str">
        <f aca="false">IF(AND(L4231&lt;=$D$2,M4231&gt;=$C$2),"Sí","")</f>
        <v/>
      </c>
      <c r="Q4231" s="18" t="str">
        <f aca="false">IF(COUNTIF(LOOKAHEAD!$A$5:$A$604,A4231)&gt;0,"En Lookahead",IF(P4231="Sí","INCORPORAR",""))</f>
        <v/>
      </c>
    </row>
    <row r="4232" customFormat="false" ht="15" hidden="false" customHeight="false" outlineLevel="0" collapsed="false">
      <c r="A4232" s="16" t="s">
        <v>13283</v>
      </c>
      <c r="B4232" s="16" t="n">
        <v>4227</v>
      </c>
      <c r="C4232" s="16" t="s">
        <v>13284</v>
      </c>
      <c r="D4232" s="16" t="n">
        <v>7</v>
      </c>
      <c r="E4232" s="37" t="s">
        <v>10047</v>
      </c>
      <c r="F4232" s="16" t="s">
        <v>1285</v>
      </c>
      <c r="G4232" s="16" t="s">
        <v>757</v>
      </c>
      <c r="H4232" s="16" t="s">
        <v>12499</v>
      </c>
      <c r="I4232" s="16" t="s">
        <v>127</v>
      </c>
      <c r="J4232" s="16" t="s">
        <v>1534</v>
      </c>
      <c r="K4232" s="32" t="n">
        <v>2</v>
      </c>
      <c r="L4232" s="33" t="n">
        <v>45952</v>
      </c>
      <c r="M4232" s="33" t="n">
        <v>45953</v>
      </c>
      <c r="N4232" s="16" t="s">
        <v>13285</v>
      </c>
      <c r="O4232" s="16"/>
      <c r="P4232" s="16" t="str">
        <f aca="false">IF(AND(L4232&lt;=$D$2,M4232&gt;=$C$2),"Sí","")</f>
        <v/>
      </c>
      <c r="Q4232" s="18" t="str">
        <f aca="false">IF(COUNTIF(LOOKAHEAD!$A$5:$A$604,A4232)&gt;0,"En Lookahead",IF(P4232="Sí","INCORPORAR",""))</f>
        <v/>
      </c>
    </row>
    <row r="4233" customFormat="false" ht="15" hidden="false" customHeight="false" outlineLevel="0" collapsed="false">
      <c r="A4233" s="16" t="s">
        <v>13286</v>
      </c>
      <c r="B4233" s="16" t="n">
        <v>4228</v>
      </c>
      <c r="C4233" s="16" t="s">
        <v>13287</v>
      </c>
      <c r="D4233" s="16" t="n">
        <v>7</v>
      </c>
      <c r="E4233" s="37" t="s">
        <v>10051</v>
      </c>
      <c r="F4233" s="16" t="s">
        <v>1285</v>
      </c>
      <c r="G4233" s="16" t="s">
        <v>757</v>
      </c>
      <c r="H4233" s="16" t="s">
        <v>12499</v>
      </c>
      <c r="I4233" s="16" t="s">
        <v>127</v>
      </c>
      <c r="J4233" s="16" t="s">
        <v>1534</v>
      </c>
      <c r="K4233" s="32" t="n">
        <v>1</v>
      </c>
      <c r="L4233" s="33" t="n">
        <v>45954</v>
      </c>
      <c r="M4233" s="33" t="n">
        <v>45954</v>
      </c>
      <c r="N4233" s="16" t="s">
        <v>13288</v>
      </c>
      <c r="O4233" s="16"/>
      <c r="P4233" s="16" t="str">
        <f aca="false">IF(AND(L4233&lt;=$D$2,M4233&gt;=$C$2),"Sí","")</f>
        <v/>
      </c>
      <c r="Q4233" s="18" t="str">
        <f aca="false">IF(COUNTIF(LOOKAHEAD!$A$5:$A$604,A4233)&gt;0,"En Lookahead",IF(P4233="Sí","INCORPORAR",""))</f>
        <v/>
      </c>
    </row>
    <row r="4234" customFormat="false" ht="15" hidden="false" customHeight="false" outlineLevel="0" collapsed="false">
      <c r="A4234" s="16" t="s">
        <v>13289</v>
      </c>
      <c r="B4234" s="16" t="n">
        <v>4229</v>
      </c>
      <c r="C4234" s="16" t="s">
        <v>13290</v>
      </c>
      <c r="D4234" s="16" t="n">
        <v>7</v>
      </c>
      <c r="E4234" s="37" t="s">
        <v>10059</v>
      </c>
      <c r="F4234" s="16" t="s">
        <v>1285</v>
      </c>
      <c r="G4234" s="16" t="s">
        <v>757</v>
      </c>
      <c r="H4234" s="16" t="s">
        <v>12499</v>
      </c>
      <c r="I4234" s="16" t="s">
        <v>127</v>
      </c>
      <c r="J4234" s="16" t="s">
        <v>1534</v>
      </c>
      <c r="K4234" s="32" t="n">
        <v>1</v>
      </c>
      <c r="L4234" s="33" t="n">
        <v>45967</v>
      </c>
      <c r="M4234" s="33" t="n">
        <v>45967</v>
      </c>
      <c r="N4234" s="16" t="s">
        <v>13291</v>
      </c>
      <c r="O4234" s="16"/>
      <c r="P4234" s="16" t="str">
        <f aca="false">IF(AND(L4234&lt;=$D$2,M4234&gt;=$C$2),"Sí","")</f>
        <v/>
      </c>
      <c r="Q4234" s="18" t="str">
        <f aca="false">IF(COUNTIF(LOOKAHEAD!$A$5:$A$604,A4234)&gt;0,"En Lookahead",IF(P4234="Sí","INCORPORAR",""))</f>
        <v/>
      </c>
    </row>
    <row r="4235" customFormat="false" ht="15" hidden="false" customHeight="false" outlineLevel="0" collapsed="false">
      <c r="A4235" s="16" t="s">
        <v>13292</v>
      </c>
      <c r="B4235" s="16" t="n">
        <v>4230</v>
      </c>
      <c r="C4235" s="16" t="s">
        <v>13293</v>
      </c>
      <c r="D4235" s="16" t="n">
        <v>7</v>
      </c>
      <c r="E4235" s="37" t="s">
        <v>10063</v>
      </c>
      <c r="F4235" s="16" t="s">
        <v>1285</v>
      </c>
      <c r="G4235" s="16" t="s">
        <v>757</v>
      </c>
      <c r="H4235" s="16" t="s">
        <v>12499</v>
      </c>
      <c r="I4235" s="16" t="s">
        <v>127</v>
      </c>
      <c r="J4235" s="16" t="s">
        <v>1534</v>
      </c>
      <c r="K4235" s="32" t="n">
        <v>1</v>
      </c>
      <c r="L4235" s="33" t="n">
        <v>45968</v>
      </c>
      <c r="M4235" s="33" t="n">
        <v>45968</v>
      </c>
      <c r="N4235" s="16" t="s">
        <v>13294</v>
      </c>
      <c r="O4235" s="16"/>
      <c r="P4235" s="16" t="str">
        <f aca="false">IF(AND(L4235&lt;=$D$2,M4235&gt;=$C$2),"Sí","")</f>
        <v/>
      </c>
      <c r="Q4235" s="18" t="str">
        <f aca="false">IF(COUNTIF(LOOKAHEAD!$A$5:$A$604,A4235)&gt;0,"En Lookahead",IF(P4235="Sí","INCORPORAR",""))</f>
        <v/>
      </c>
    </row>
    <row r="4236" customFormat="false" ht="15" hidden="false" customHeight="false" outlineLevel="0" collapsed="false">
      <c r="A4236" s="16" t="s">
        <v>13295</v>
      </c>
      <c r="B4236" s="16" t="n">
        <v>4231</v>
      </c>
      <c r="C4236" s="16" t="s">
        <v>13296</v>
      </c>
      <c r="D4236" s="16" t="n">
        <v>7</v>
      </c>
      <c r="E4236" s="37" t="s">
        <v>1557</v>
      </c>
      <c r="F4236" s="16" t="s">
        <v>1285</v>
      </c>
      <c r="G4236" s="16" t="s">
        <v>757</v>
      </c>
      <c r="H4236" s="16" t="s">
        <v>12499</v>
      </c>
      <c r="I4236" s="16" t="s">
        <v>127</v>
      </c>
      <c r="J4236" s="16" t="s">
        <v>1534</v>
      </c>
      <c r="K4236" s="32" t="n">
        <v>1</v>
      </c>
      <c r="L4236" s="33" t="n">
        <v>45967</v>
      </c>
      <c r="M4236" s="33" t="n">
        <v>45967</v>
      </c>
      <c r="N4236" s="16" t="s">
        <v>13297</v>
      </c>
      <c r="O4236" s="16"/>
      <c r="P4236" s="16" t="str">
        <f aca="false">IF(AND(L4236&lt;=$D$2,M4236&gt;=$C$2),"Sí","")</f>
        <v/>
      </c>
      <c r="Q4236" s="18" t="str">
        <f aca="false">IF(COUNTIF(LOOKAHEAD!$A$5:$A$604,A4236)&gt;0,"En Lookahead",IF(P4236="Sí","INCORPORAR",""))</f>
        <v/>
      </c>
    </row>
    <row r="4237" customFormat="false" ht="15" hidden="false" customHeight="false" outlineLevel="0" collapsed="false">
      <c r="A4237" s="16" t="s">
        <v>13298</v>
      </c>
      <c r="B4237" s="16" t="n">
        <v>4232</v>
      </c>
      <c r="C4237" s="16" t="s">
        <v>13299</v>
      </c>
      <c r="D4237" s="16" t="n">
        <v>7</v>
      </c>
      <c r="E4237" s="37" t="s">
        <v>10069</v>
      </c>
      <c r="F4237" s="16" t="s">
        <v>1285</v>
      </c>
      <c r="G4237" s="16" t="s">
        <v>757</v>
      </c>
      <c r="H4237" s="16" t="s">
        <v>12499</v>
      </c>
      <c r="I4237" s="16" t="s">
        <v>127</v>
      </c>
      <c r="J4237" s="16" t="s">
        <v>1534</v>
      </c>
      <c r="K4237" s="32" t="n">
        <v>1</v>
      </c>
      <c r="L4237" s="33" t="n">
        <v>45977</v>
      </c>
      <c r="M4237" s="33" t="n">
        <v>45977</v>
      </c>
      <c r="N4237" s="16" t="s">
        <v>13300</v>
      </c>
      <c r="O4237" s="16"/>
      <c r="P4237" s="16" t="str">
        <f aca="false">IF(AND(L4237&lt;=$D$2,M4237&gt;=$C$2),"Sí","")</f>
        <v/>
      </c>
      <c r="Q4237" s="18" t="str">
        <f aca="false">IF(COUNTIF(LOOKAHEAD!$A$5:$A$604,A4237)&gt;0,"En Lookahead",IF(P4237="Sí","INCORPORAR",""))</f>
        <v/>
      </c>
    </row>
    <row r="4238" customFormat="false" ht="15" hidden="false" customHeight="false" outlineLevel="0" collapsed="false">
      <c r="A4238" s="13" t="s">
        <v>13301</v>
      </c>
      <c r="B4238" s="13" t="n">
        <v>4233</v>
      </c>
      <c r="C4238" s="13" t="s">
        <v>13302</v>
      </c>
      <c r="D4238" s="13" t="n">
        <v>6</v>
      </c>
      <c r="E4238" s="36" t="s">
        <v>13303</v>
      </c>
      <c r="F4238" s="13" t="s">
        <v>1298</v>
      </c>
      <c r="G4238" s="13" t="s">
        <v>757</v>
      </c>
      <c r="H4238" s="13" t="s">
        <v>12499</v>
      </c>
      <c r="I4238" s="13" t="s">
        <v>127</v>
      </c>
      <c r="J4238" s="13" t="s">
        <v>13272</v>
      </c>
      <c r="K4238" s="30" t="n">
        <v>24</v>
      </c>
      <c r="L4238" s="31" t="n">
        <v>45955</v>
      </c>
      <c r="M4238" s="31" t="n">
        <v>45978</v>
      </c>
      <c r="N4238" s="13"/>
      <c r="O4238" s="13"/>
      <c r="P4238" s="13"/>
      <c r="Q4238" s="13"/>
    </row>
    <row r="4239" customFormat="false" ht="15" hidden="false" customHeight="false" outlineLevel="0" collapsed="false">
      <c r="A4239" s="16" t="s">
        <v>13304</v>
      </c>
      <c r="B4239" s="16" t="n">
        <v>4234</v>
      </c>
      <c r="C4239" s="16" t="s">
        <v>13305</v>
      </c>
      <c r="D4239" s="16" t="n">
        <v>7</v>
      </c>
      <c r="E4239" s="37" t="s">
        <v>13306</v>
      </c>
      <c r="F4239" s="16" t="s">
        <v>1285</v>
      </c>
      <c r="G4239" s="16" t="s">
        <v>757</v>
      </c>
      <c r="H4239" s="16" t="s">
        <v>12499</v>
      </c>
      <c r="I4239" s="16" t="s">
        <v>127</v>
      </c>
      <c r="J4239" s="16" t="s">
        <v>13303</v>
      </c>
      <c r="K4239" s="32" t="n">
        <v>2</v>
      </c>
      <c r="L4239" s="33" t="n">
        <v>45955</v>
      </c>
      <c r="M4239" s="33" t="n">
        <v>45956</v>
      </c>
      <c r="N4239" s="16" t="s">
        <v>13307</v>
      </c>
      <c r="O4239" s="16"/>
      <c r="P4239" s="16" t="str">
        <f aca="false">IF(AND(L4239&lt;=$D$2,M4239&gt;=$C$2),"Sí","")</f>
        <v/>
      </c>
      <c r="Q4239" s="18" t="str">
        <f aca="false">IF(COUNTIF(LOOKAHEAD!$A$5:$A$604,A4239)&gt;0,"En Lookahead",IF(P4239="Sí","INCORPORAR",""))</f>
        <v/>
      </c>
    </row>
    <row r="4240" customFormat="false" ht="15" hidden="false" customHeight="false" outlineLevel="0" collapsed="false">
      <c r="A4240" s="16" t="s">
        <v>13308</v>
      </c>
      <c r="B4240" s="16" t="n">
        <v>4235</v>
      </c>
      <c r="C4240" s="16" t="s">
        <v>13309</v>
      </c>
      <c r="D4240" s="16" t="n">
        <v>7</v>
      </c>
      <c r="E4240" s="37" t="s">
        <v>13310</v>
      </c>
      <c r="F4240" s="16" t="s">
        <v>1285</v>
      </c>
      <c r="G4240" s="16" t="s">
        <v>757</v>
      </c>
      <c r="H4240" s="16" t="s">
        <v>12499</v>
      </c>
      <c r="I4240" s="16" t="s">
        <v>127</v>
      </c>
      <c r="J4240" s="16" t="s">
        <v>13303</v>
      </c>
      <c r="K4240" s="32" t="n">
        <v>10</v>
      </c>
      <c r="L4240" s="33" t="n">
        <v>45957</v>
      </c>
      <c r="M4240" s="33" t="n">
        <v>45966</v>
      </c>
      <c r="N4240" s="16" t="s">
        <v>13311</v>
      </c>
      <c r="O4240" s="16"/>
      <c r="P4240" s="16" t="str">
        <f aca="false">IF(AND(L4240&lt;=$D$2,M4240&gt;=$C$2),"Sí","")</f>
        <v/>
      </c>
      <c r="Q4240" s="18" t="str">
        <f aca="false">IF(COUNTIF(LOOKAHEAD!$A$5:$A$604,A4240)&gt;0,"En Lookahead",IF(P4240="Sí","INCORPORAR",""))</f>
        <v/>
      </c>
    </row>
    <row r="4241" customFormat="false" ht="15" hidden="false" customHeight="false" outlineLevel="0" collapsed="false">
      <c r="A4241" s="16" t="s">
        <v>13312</v>
      </c>
      <c r="B4241" s="16" t="n">
        <v>4236</v>
      </c>
      <c r="C4241" s="16" t="s">
        <v>13313</v>
      </c>
      <c r="D4241" s="16" t="n">
        <v>7</v>
      </c>
      <c r="E4241" s="37" t="s">
        <v>13314</v>
      </c>
      <c r="F4241" s="16" t="s">
        <v>1285</v>
      </c>
      <c r="G4241" s="16" t="s">
        <v>757</v>
      </c>
      <c r="H4241" s="16" t="s">
        <v>12499</v>
      </c>
      <c r="I4241" s="16" t="s">
        <v>127</v>
      </c>
      <c r="J4241" s="16" t="s">
        <v>13303</v>
      </c>
      <c r="K4241" s="32" t="n">
        <v>1</v>
      </c>
      <c r="L4241" s="33" t="n">
        <v>45978</v>
      </c>
      <c r="M4241" s="33" t="n">
        <v>45978</v>
      </c>
      <c r="N4241" s="16" t="s">
        <v>13315</v>
      </c>
      <c r="O4241" s="16"/>
      <c r="P4241" s="16" t="str">
        <f aca="false">IF(AND(L4241&lt;=$D$2,M4241&gt;=$C$2),"Sí","")</f>
        <v/>
      </c>
      <c r="Q4241" s="18" t="str">
        <f aca="false">IF(COUNTIF(LOOKAHEAD!$A$5:$A$604,A4241)&gt;0,"En Lookahead",IF(P4241="Sí","INCORPORAR",""))</f>
        <v/>
      </c>
    </row>
    <row r="4242" customFormat="false" ht="15" hidden="false" customHeight="false" outlineLevel="0" collapsed="false">
      <c r="A4242" s="13" t="s">
        <v>13316</v>
      </c>
      <c r="B4242" s="13" t="n">
        <v>4237</v>
      </c>
      <c r="C4242" s="13" t="s">
        <v>13317</v>
      </c>
      <c r="D4242" s="13" t="n">
        <v>6</v>
      </c>
      <c r="E4242" s="36" t="s">
        <v>13318</v>
      </c>
      <c r="F4242" s="13" t="s">
        <v>1298</v>
      </c>
      <c r="G4242" s="13" t="s">
        <v>757</v>
      </c>
      <c r="H4242" s="13" t="s">
        <v>12499</v>
      </c>
      <c r="I4242" s="13" t="s">
        <v>127</v>
      </c>
      <c r="J4242" s="13" t="s">
        <v>13272</v>
      </c>
      <c r="K4242" s="30" t="n">
        <v>10</v>
      </c>
      <c r="L4242" s="31" t="n">
        <v>45967</v>
      </c>
      <c r="M4242" s="31" t="n">
        <v>45976</v>
      </c>
      <c r="N4242" s="13"/>
      <c r="O4242" s="13"/>
      <c r="P4242" s="13"/>
      <c r="Q4242" s="13"/>
    </row>
    <row r="4243" customFormat="false" ht="15" hidden="false" customHeight="false" outlineLevel="0" collapsed="false">
      <c r="A4243" s="16" t="s">
        <v>13319</v>
      </c>
      <c r="B4243" s="16" t="n">
        <v>4238</v>
      </c>
      <c r="C4243" s="16" t="s">
        <v>13320</v>
      </c>
      <c r="D4243" s="16" t="n">
        <v>7</v>
      </c>
      <c r="E4243" s="37" t="s">
        <v>13321</v>
      </c>
      <c r="F4243" s="16" t="s">
        <v>1285</v>
      </c>
      <c r="G4243" s="16" t="s">
        <v>757</v>
      </c>
      <c r="H4243" s="16" t="s">
        <v>12499</v>
      </c>
      <c r="I4243" s="16" t="s">
        <v>127</v>
      </c>
      <c r="J4243" s="16" t="s">
        <v>13318</v>
      </c>
      <c r="K4243" s="32" t="n">
        <v>2</v>
      </c>
      <c r="L4243" s="33" t="n">
        <v>45967</v>
      </c>
      <c r="M4243" s="33" t="n">
        <v>45968</v>
      </c>
      <c r="N4243" s="16" t="s">
        <v>13291</v>
      </c>
      <c r="O4243" s="16"/>
      <c r="P4243" s="16" t="str">
        <f aca="false">IF(AND(L4243&lt;=$D$2,M4243&gt;=$C$2),"Sí","")</f>
        <v/>
      </c>
      <c r="Q4243" s="18" t="str">
        <f aca="false">IF(COUNTIF(LOOKAHEAD!$A$5:$A$604,A4243)&gt;0,"En Lookahead",IF(P4243="Sí","INCORPORAR",""))</f>
        <v/>
      </c>
    </row>
    <row r="4244" customFormat="false" ht="15" hidden="false" customHeight="false" outlineLevel="0" collapsed="false">
      <c r="A4244" s="16" t="s">
        <v>13322</v>
      </c>
      <c r="B4244" s="16" t="n">
        <v>4239</v>
      </c>
      <c r="C4244" s="16" t="s">
        <v>13323</v>
      </c>
      <c r="D4244" s="16" t="n">
        <v>7</v>
      </c>
      <c r="E4244" s="37" t="s">
        <v>13324</v>
      </c>
      <c r="F4244" s="16" t="s">
        <v>1285</v>
      </c>
      <c r="G4244" s="16" t="s">
        <v>757</v>
      </c>
      <c r="H4244" s="16" t="s">
        <v>12499</v>
      </c>
      <c r="I4244" s="16" t="s">
        <v>127</v>
      </c>
      <c r="J4244" s="16" t="s">
        <v>13318</v>
      </c>
      <c r="K4244" s="32" t="n">
        <v>1</v>
      </c>
      <c r="L4244" s="33" t="n">
        <v>45969</v>
      </c>
      <c r="M4244" s="33" t="n">
        <v>45969</v>
      </c>
      <c r="N4244" s="16" t="s">
        <v>13325</v>
      </c>
      <c r="O4244" s="16"/>
      <c r="P4244" s="16" t="str">
        <f aca="false">IF(AND(L4244&lt;=$D$2,M4244&gt;=$C$2),"Sí","")</f>
        <v/>
      </c>
      <c r="Q4244" s="18" t="str">
        <f aca="false">IF(COUNTIF(LOOKAHEAD!$A$5:$A$604,A4244)&gt;0,"En Lookahead",IF(P4244="Sí","INCORPORAR",""))</f>
        <v/>
      </c>
    </row>
    <row r="4245" customFormat="false" ht="15" hidden="false" customHeight="false" outlineLevel="0" collapsed="false">
      <c r="A4245" s="16" t="s">
        <v>13326</v>
      </c>
      <c r="B4245" s="16" t="n">
        <v>4240</v>
      </c>
      <c r="C4245" s="16" t="s">
        <v>13327</v>
      </c>
      <c r="D4245" s="16" t="n">
        <v>7</v>
      </c>
      <c r="E4245" s="37" t="s">
        <v>13328</v>
      </c>
      <c r="F4245" s="16" t="s">
        <v>1285</v>
      </c>
      <c r="G4245" s="16" t="s">
        <v>757</v>
      </c>
      <c r="H4245" s="16" t="s">
        <v>12499</v>
      </c>
      <c r="I4245" s="16" t="s">
        <v>127</v>
      </c>
      <c r="J4245" s="16" t="s">
        <v>13318</v>
      </c>
      <c r="K4245" s="32" t="n">
        <v>1</v>
      </c>
      <c r="L4245" s="33" t="n">
        <v>45970</v>
      </c>
      <c r="M4245" s="33" t="n">
        <v>45970</v>
      </c>
      <c r="N4245" s="16" t="s">
        <v>13329</v>
      </c>
      <c r="O4245" s="16"/>
      <c r="P4245" s="16" t="str">
        <f aca="false">IF(AND(L4245&lt;=$D$2,M4245&gt;=$C$2),"Sí","")</f>
        <v/>
      </c>
      <c r="Q4245" s="18" t="str">
        <f aca="false">IF(COUNTIF(LOOKAHEAD!$A$5:$A$604,A4245)&gt;0,"En Lookahead",IF(P4245="Sí","INCORPORAR",""))</f>
        <v/>
      </c>
    </row>
    <row r="4246" customFormat="false" ht="15" hidden="false" customHeight="false" outlineLevel="0" collapsed="false">
      <c r="A4246" s="16" t="s">
        <v>13330</v>
      </c>
      <c r="B4246" s="16" t="n">
        <v>4241</v>
      </c>
      <c r="C4246" s="16" t="s">
        <v>13331</v>
      </c>
      <c r="D4246" s="16" t="n">
        <v>7</v>
      </c>
      <c r="E4246" s="37" t="s">
        <v>13332</v>
      </c>
      <c r="F4246" s="16" t="s">
        <v>1285</v>
      </c>
      <c r="G4246" s="16" t="s">
        <v>757</v>
      </c>
      <c r="H4246" s="16" t="s">
        <v>12499</v>
      </c>
      <c r="I4246" s="16" t="s">
        <v>127</v>
      </c>
      <c r="J4246" s="16" t="s">
        <v>13318</v>
      </c>
      <c r="K4246" s="32" t="n">
        <v>1</v>
      </c>
      <c r="L4246" s="33" t="n">
        <v>45971</v>
      </c>
      <c r="M4246" s="33" t="n">
        <v>45971</v>
      </c>
      <c r="N4246" s="16" t="s">
        <v>13333</v>
      </c>
      <c r="O4246" s="16"/>
      <c r="P4246" s="16" t="str">
        <f aca="false">IF(AND(L4246&lt;=$D$2,M4246&gt;=$C$2),"Sí","")</f>
        <v/>
      </c>
      <c r="Q4246" s="18" t="str">
        <f aca="false">IF(COUNTIF(LOOKAHEAD!$A$5:$A$604,A4246)&gt;0,"En Lookahead",IF(P4246="Sí","INCORPORAR",""))</f>
        <v/>
      </c>
    </row>
    <row r="4247" customFormat="false" ht="15" hidden="false" customHeight="false" outlineLevel="0" collapsed="false">
      <c r="A4247" s="16" t="s">
        <v>13334</v>
      </c>
      <c r="B4247" s="16" t="n">
        <v>4242</v>
      </c>
      <c r="C4247" s="16" t="s">
        <v>13335</v>
      </c>
      <c r="D4247" s="16" t="n">
        <v>7</v>
      </c>
      <c r="E4247" s="37" t="s">
        <v>13336</v>
      </c>
      <c r="F4247" s="16" t="s">
        <v>1285</v>
      </c>
      <c r="G4247" s="16" t="s">
        <v>757</v>
      </c>
      <c r="H4247" s="16" t="s">
        <v>12499</v>
      </c>
      <c r="I4247" s="16" t="s">
        <v>127</v>
      </c>
      <c r="J4247" s="16" t="s">
        <v>13318</v>
      </c>
      <c r="K4247" s="32" t="n">
        <v>3</v>
      </c>
      <c r="L4247" s="33" t="n">
        <v>45972</v>
      </c>
      <c r="M4247" s="33" t="n">
        <v>45974</v>
      </c>
      <c r="N4247" s="16" t="s">
        <v>13337</v>
      </c>
      <c r="O4247" s="16"/>
      <c r="P4247" s="16" t="str">
        <f aca="false">IF(AND(L4247&lt;=$D$2,M4247&gt;=$C$2),"Sí","")</f>
        <v/>
      </c>
      <c r="Q4247" s="18" t="str">
        <f aca="false">IF(COUNTIF(LOOKAHEAD!$A$5:$A$604,A4247)&gt;0,"En Lookahead",IF(P4247="Sí","INCORPORAR",""))</f>
        <v/>
      </c>
    </row>
    <row r="4248" customFormat="false" ht="15" hidden="false" customHeight="false" outlineLevel="0" collapsed="false">
      <c r="A4248" s="16" t="s">
        <v>13338</v>
      </c>
      <c r="B4248" s="16" t="n">
        <v>4243</v>
      </c>
      <c r="C4248" s="16" t="s">
        <v>13339</v>
      </c>
      <c r="D4248" s="16" t="n">
        <v>7</v>
      </c>
      <c r="E4248" s="37" t="s">
        <v>13340</v>
      </c>
      <c r="F4248" s="16" t="s">
        <v>1285</v>
      </c>
      <c r="G4248" s="16" t="s">
        <v>757</v>
      </c>
      <c r="H4248" s="16" t="s">
        <v>12499</v>
      </c>
      <c r="I4248" s="16" t="s">
        <v>127</v>
      </c>
      <c r="J4248" s="16" t="s">
        <v>13318</v>
      </c>
      <c r="K4248" s="32" t="n">
        <v>1</v>
      </c>
      <c r="L4248" s="33" t="n">
        <v>45975</v>
      </c>
      <c r="M4248" s="33" t="n">
        <v>45975</v>
      </c>
      <c r="N4248" s="16" t="s">
        <v>13341</v>
      </c>
      <c r="O4248" s="16"/>
      <c r="P4248" s="16" t="str">
        <f aca="false">IF(AND(L4248&lt;=$D$2,M4248&gt;=$C$2),"Sí","")</f>
        <v/>
      </c>
      <c r="Q4248" s="18" t="str">
        <f aca="false">IF(COUNTIF(LOOKAHEAD!$A$5:$A$604,A4248)&gt;0,"En Lookahead",IF(P4248="Sí","INCORPORAR",""))</f>
        <v/>
      </c>
    </row>
    <row r="4249" customFormat="false" ht="15" hidden="false" customHeight="false" outlineLevel="0" collapsed="false">
      <c r="A4249" s="16" t="s">
        <v>13342</v>
      </c>
      <c r="B4249" s="16" t="n">
        <v>4244</v>
      </c>
      <c r="C4249" s="16" t="s">
        <v>13343</v>
      </c>
      <c r="D4249" s="16" t="n">
        <v>7</v>
      </c>
      <c r="E4249" s="37" t="s">
        <v>13344</v>
      </c>
      <c r="F4249" s="16" t="s">
        <v>1285</v>
      </c>
      <c r="G4249" s="16" t="s">
        <v>757</v>
      </c>
      <c r="H4249" s="16" t="s">
        <v>12499</v>
      </c>
      <c r="I4249" s="16" t="s">
        <v>127</v>
      </c>
      <c r="J4249" s="16" t="s">
        <v>13318</v>
      </c>
      <c r="K4249" s="32" t="n">
        <v>1</v>
      </c>
      <c r="L4249" s="33" t="n">
        <v>45976</v>
      </c>
      <c r="M4249" s="33" t="n">
        <v>45976</v>
      </c>
      <c r="N4249" s="16" t="s">
        <v>13345</v>
      </c>
      <c r="O4249" s="16"/>
      <c r="P4249" s="16" t="str">
        <f aca="false">IF(AND(L4249&lt;=$D$2,M4249&gt;=$C$2),"Sí","")</f>
        <v/>
      </c>
      <c r="Q4249" s="18" t="str">
        <f aca="false">IF(COUNTIF(LOOKAHEAD!$A$5:$A$604,A4249)&gt;0,"En Lookahead",IF(P4249="Sí","INCORPORAR",""))</f>
        <v/>
      </c>
    </row>
    <row r="4250" customFormat="false" ht="15" hidden="false" customHeight="false" outlineLevel="0" collapsed="false">
      <c r="A4250" s="13" t="s">
        <v>13346</v>
      </c>
      <c r="B4250" s="13" t="n">
        <v>4245</v>
      </c>
      <c r="C4250" s="13" t="s">
        <v>13347</v>
      </c>
      <c r="D4250" s="13" t="n">
        <v>6</v>
      </c>
      <c r="E4250" s="36" t="s">
        <v>2137</v>
      </c>
      <c r="F4250" s="13" t="s">
        <v>1298</v>
      </c>
      <c r="G4250" s="13" t="s">
        <v>757</v>
      </c>
      <c r="H4250" s="13" t="s">
        <v>12499</v>
      </c>
      <c r="I4250" s="13" t="s">
        <v>127</v>
      </c>
      <c r="J4250" s="13" t="s">
        <v>13272</v>
      </c>
      <c r="K4250" s="30" t="n">
        <v>1</v>
      </c>
      <c r="L4250" s="31" t="n">
        <v>45978</v>
      </c>
      <c r="M4250" s="31" t="n">
        <v>45978</v>
      </c>
      <c r="N4250" s="13"/>
      <c r="O4250" s="13"/>
      <c r="P4250" s="13"/>
      <c r="Q4250" s="13"/>
    </row>
    <row r="4251" customFormat="false" ht="15" hidden="false" customHeight="false" outlineLevel="0" collapsed="false">
      <c r="A4251" s="16" t="s">
        <v>13348</v>
      </c>
      <c r="B4251" s="16" t="n">
        <v>4246</v>
      </c>
      <c r="C4251" s="16" t="s">
        <v>13349</v>
      </c>
      <c r="D4251" s="16" t="n">
        <v>7</v>
      </c>
      <c r="E4251" s="37" t="s">
        <v>13350</v>
      </c>
      <c r="F4251" s="16" t="s">
        <v>1285</v>
      </c>
      <c r="G4251" s="16" t="s">
        <v>757</v>
      </c>
      <c r="H4251" s="16" t="s">
        <v>12499</v>
      </c>
      <c r="I4251" s="16" t="s">
        <v>127</v>
      </c>
      <c r="J4251" s="16" t="s">
        <v>2137</v>
      </c>
      <c r="K4251" s="32" t="n">
        <v>1</v>
      </c>
      <c r="L4251" s="33" t="n">
        <v>45978</v>
      </c>
      <c r="M4251" s="33" t="n">
        <v>45978</v>
      </c>
      <c r="N4251" s="16" t="s">
        <v>13315</v>
      </c>
      <c r="O4251" s="16"/>
      <c r="P4251" s="16" t="str">
        <f aca="false">IF(AND(L4251&lt;=$D$2,M4251&gt;=$C$2),"Sí","")</f>
        <v/>
      </c>
      <c r="Q4251" s="18" t="str">
        <f aca="false">IF(COUNTIF(LOOKAHEAD!$A$5:$A$604,A4251)&gt;0,"En Lookahead",IF(P4251="Sí","INCORPORAR",""))</f>
        <v/>
      </c>
    </row>
    <row r="4252" customFormat="false" ht="15" hidden="false" customHeight="false" outlineLevel="0" collapsed="false">
      <c r="A4252" s="25" t="s">
        <v>13351</v>
      </c>
      <c r="B4252" s="25" t="n">
        <v>4247</v>
      </c>
      <c r="C4252" s="25" t="s">
        <v>13352</v>
      </c>
      <c r="D4252" s="25" t="n">
        <v>2</v>
      </c>
      <c r="E4252" s="28" t="s">
        <v>13353</v>
      </c>
      <c r="F4252" s="25" t="s">
        <v>1298</v>
      </c>
      <c r="G4252" s="25" t="s">
        <v>882</v>
      </c>
      <c r="H4252" s="25"/>
      <c r="I4252" s="25"/>
      <c r="J4252" s="25" t="s">
        <v>1302</v>
      </c>
      <c r="K4252" s="26" t="n">
        <v>509</v>
      </c>
      <c r="L4252" s="27" t="n">
        <v>45997</v>
      </c>
      <c r="M4252" s="27" t="n">
        <v>46585</v>
      </c>
      <c r="N4252" s="25"/>
      <c r="O4252" s="25"/>
      <c r="P4252" s="25"/>
      <c r="Q4252" s="25"/>
    </row>
    <row r="4253" customFormat="false" ht="15" hidden="false" customHeight="false" outlineLevel="0" collapsed="false">
      <c r="A4253" s="25" t="s">
        <v>13354</v>
      </c>
      <c r="B4253" s="25" t="n">
        <v>4248</v>
      </c>
      <c r="C4253" s="25" t="s">
        <v>13355</v>
      </c>
      <c r="D4253" s="25" t="n">
        <v>3</v>
      </c>
      <c r="E4253" s="29" t="s">
        <v>13356</v>
      </c>
      <c r="F4253" s="25" t="s">
        <v>1298</v>
      </c>
      <c r="G4253" s="25" t="s">
        <v>882</v>
      </c>
      <c r="H4253" s="25"/>
      <c r="I4253" s="25"/>
      <c r="J4253" s="25" t="s">
        <v>13353</v>
      </c>
      <c r="K4253" s="26" t="n">
        <v>509</v>
      </c>
      <c r="L4253" s="27" t="n">
        <v>45997</v>
      </c>
      <c r="M4253" s="27" t="n">
        <v>46585</v>
      </c>
      <c r="N4253" s="25"/>
      <c r="O4253" s="25"/>
      <c r="P4253" s="25"/>
      <c r="Q4253" s="25"/>
    </row>
    <row r="4254" customFormat="false" ht="15" hidden="false" customHeight="false" outlineLevel="0" collapsed="false">
      <c r="A4254" s="13" t="s">
        <v>13357</v>
      </c>
      <c r="B4254" s="13" t="n">
        <v>4249</v>
      </c>
      <c r="C4254" s="13" t="s">
        <v>13358</v>
      </c>
      <c r="D4254" s="13" t="n">
        <v>4</v>
      </c>
      <c r="E4254" s="20" t="s">
        <v>13359</v>
      </c>
      <c r="F4254" s="13" t="s">
        <v>1298</v>
      </c>
      <c r="G4254" s="13" t="s">
        <v>882</v>
      </c>
      <c r="H4254" s="13" t="s">
        <v>13359</v>
      </c>
      <c r="I4254" s="13" t="s">
        <v>136</v>
      </c>
      <c r="J4254" s="13" t="s">
        <v>13356</v>
      </c>
      <c r="K4254" s="30" t="n">
        <v>484</v>
      </c>
      <c r="L4254" s="31" t="n">
        <v>45997</v>
      </c>
      <c r="M4254" s="31" t="n">
        <v>46560</v>
      </c>
      <c r="N4254" s="13"/>
      <c r="O4254" s="13"/>
      <c r="P4254" s="13"/>
      <c r="Q4254" s="13"/>
    </row>
    <row r="4255" customFormat="false" ht="15" hidden="false" customHeight="false" outlineLevel="0" collapsed="false">
      <c r="A4255" s="13" t="s">
        <v>13360</v>
      </c>
      <c r="B4255" s="13" t="n">
        <v>4250</v>
      </c>
      <c r="C4255" s="13" t="s">
        <v>13361</v>
      </c>
      <c r="D4255" s="13" t="n">
        <v>5</v>
      </c>
      <c r="E4255" s="34" t="s">
        <v>1368</v>
      </c>
      <c r="F4255" s="13" t="s">
        <v>1298</v>
      </c>
      <c r="G4255" s="13" t="s">
        <v>882</v>
      </c>
      <c r="H4255" s="13" t="s">
        <v>13359</v>
      </c>
      <c r="I4255" s="13" t="s">
        <v>136</v>
      </c>
      <c r="J4255" s="13" t="s">
        <v>13359</v>
      </c>
      <c r="K4255" s="30" t="n">
        <v>1</v>
      </c>
      <c r="L4255" s="31" t="n">
        <v>45997</v>
      </c>
      <c r="M4255" s="31" t="n">
        <v>45997</v>
      </c>
      <c r="N4255" s="13"/>
      <c r="O4255" s="13"/>
      <c r="P4255" s="13"/>
      <c r="Q4255" s="13"/>
    </row>
    <row r="4256" customFormat="false" ht="15" hidden="false" customHeight="false" outlineLevel="0" collapsed="false">
      <c r="A4256" s="16" t="s">
        <v>13362</v>
      </c>
      <c r="B4256" s="16" t="n">
        <v>4251</v>
      </c>
      <c r="C4256" s="16" t="s">
        <v>13363</v>
      </c>
      <c r="D4256" s="16" t="n">
        <v>6</v>
      </c>
      <c r="E4256" s="35" t="s">
        <v>13364</v>
      </c>
      <c r="F4256" s="16" t="s">
        <v>1285</v>
      </c>
      <c r="G4256" s="16" t="s">
        <v>882</v>
      </c>
      <c r="H4256" s="16" t="s">
        <v>13359</v>
      </c>
      <c r="I4256" s="16" t="s">
        <v>136</v>
      </c>
      <c r="J4256" s="16" t="s">
        <v>1368</v>
      </c>
      <c r="K4256" s="32" t="n">
        <v>1</v>
      </c>
      <c r="L4256" s="33" t="n">
        <v>45997</v>
      </c>
      <c r="M4256" s="33" t="n">
        <v>45997</v>
      </c>
      <c r="N4256" s="16" t="s">
        <v>13365</v>
      </c>
      <c r="O4256" s="16"/>
      <c r="P4256" s="16" t="str">
        <f aca="false">IF(AND(L4256&lt;=$D$2,M4256&gt;=$C$2),"Sí","")</f>
        <v/>
      </c>
      <c r="Q4256" s="18" t="str">
        <f aca="false">IF(COUNTIF(LOOKAHEAD!$A$5:$A$604,A4256)&gt;0,"En Lookahead",IF(P4256="Sí","INCORPORAR",""))</f>
        <v/>
      </c>
    </row>
    <row r="4257" customFormat="false" ht="15" hidden="false" customHeight="false" outlineLevel="0" collapsed="false">
      <c r="A4257" s="13" t="s">
        <v>13366</v>
      </c>
      <c r="B4257" s="13" t="n">
        <v>4252</v>
      </c>
      <c r="C4257" s="13" t="s">
        <v>13367</v>
      </c>
      <c r="D4257" s="13" t="n">
        <v>5</v>
      </c>
      <c r="E4257" s="34" t="s">
        <v>13368</v>
      </c>
      <c r="F4257" s="13" t="s">
        <v>1298</v>
      </c>
      <c r="G4257" s="13" t="s">
        <v>882</v>
      </c>
      <c r="H4257" s="13" t="s">
        <v>13359</v>
      </c>
      <c r="I4257" s="13" t="s">
        <v>136</v>
      </c>
      <c r="J4257" s="13" t="s">
        <v>13359</v>
      </c>
      <c r="K4257" s="30" t="n">
        <v>4</v>
      </c>
      <c r="L4257" s="31" t="n">
        <v>46028</v>
      </c>
      <c r="M4257" s="31" t="n">
        <v>46031</v>
      </c>
      <c r="N4257" s="13"/>
      <c r="O4257" s="13"/>
      <c r="P4257" s="13"/>
      <c r="Q4257" s="13"/>
    </row>
    <row r="4258" customFormat="false" ht="15" hidden="false" customHeight="false" outlineLevel="0" collapsed="false">
      <c r="A4258" s="16" t="s">
        <v>13369</v>
      </c>
      <c r="B4258" s="16" t="n">
        <v>4253</v>
      </c>
      <c r="C4258" s="16" t="s">
        <v>13370</v>
      </c>
      <c r="D4258" s="16" t="n">
        <v>6</v>
      </c>
      <c r="E4258" s="35" t="s">
        <v>13371</v>
      </c>
      <c r="F4258" s="16" t="s">
        <v>1285</v>
      </c>
      <c r="G4258" s="16" t="s">
        <v>882</v>
      </c>
      <c r="H4258" s="16" t="s">
        <v>13359</v>
      </c>
      <c r="I4258" s="16" t="s">
        <v>136</v>
      </c>
      <c r="J4258" s="16" t="s">
        <v>13368</v>
      </c>
      <c r="K4258" s="32" t="n">
        <v>1</v>
      </c>
      <c r="L4258" s="33" t="n">
        <v>46029</v>
      </c>
      <c r="M4258" s="33" t="n">
        <v>46029</v>
      </c>
      <c r="N4258" s="16" t="s">
        <v>13372</v>
      </c>
      <c r="O4258" s="16"/>
      <c r="P4258" s="16" t="str">
        <f aca="false">IF(AND(L4258&lt;=$D$2,M4258&gt;=$C$2),"Sí","")</f>
        <v/>
      </c>
      <c r="Q4258" s="18" t="str">
        <f aca="false">IF(COUNTIF(LOOKAHEAD!$A$5:$A$604,A4258)&gt;0,"En Lookahead",IF(P4258="Sí","INCORPORAR",""))</f>
        <v/>
      </c>
    </row>
    <row r="4259" customFormat="false" ht="15" hidden="false" customHeight="false" outlineLevel="0" collapsed="false">
      <c r="A4259" s="16" t="s">
        <v>13373</v>
      </c>
      <c r="B4259" s="16" t="n">
        <v>4254</v>
      </c>
      <c r="C4259" s="16" t="s">
        <v>13374</v>
      </c>
      <c r="D4259" s="16" t="n">
        <v>6</v>
      </c>
      <c r="E4259" s="35" t="s">
        <v>13375</v>
      </c>
      <c r="F4259" s="16" t="s">
        <v>1285</v>
      </c>
      <c r="G4259" s="16" t="s">
        <v>882</v>
      </c>
      <c r="H4259" s="16" t="s">
        <v>13359</v>
      </c>
      <c r="I4259" s="16" t="s">
        <v>136</v>
      </c>
      <c r="J4259" s="16" t="s">
        <v>13368</v>
      </c>
      <c r="K4259" s="32" t="n">
        <v>1</v>
      </c>
      <c r="L4259" s="33" t="n">
        <v>46030</v>
      </c>
      <c r="M4259" s="33" t="n">
        <v>46030</v>
      </c>
      <c r="N4259" s="16" t="s">
        <v>13376</v>
      </c>
      <c r="O4259" s="16"/>
      <c r="P4259" s="16" t="str">
        <f aca="false">IF(AND(L4259&lt;=$D$2,M4259&gt;=$C$2),"Sí","")</f>
        <v/>
      </c>
      <c r="Q4259" s="18" t="str">
        <f aca="false">IF(COUNTIF(LOOKAHEAD!$A$5:$A$604,A4259)&gt;0,"En Lookahead",IF(P4259="Sí","INCORPORAR",""))</f>
        <v/>
      </c>
    </row>
    <row r="4260" customFormat="false" ht="15" hidden="false" customHeight="false" outlineLevel="0" collapsed="false">
      <c r="A4260" s="16" t="s">
        <v>13377</v>
      </c>
      <c r="B4260" s="16" t="n">
        <v>4255</v>
      </c>
      <c r="C4260" s="16" t="s">
        <v>13378</v>
      </c>
      <c r="D4260" s="16" t="n">
        <v>6</v>
      </c>
      <c r="E4260" s="35" t="s">
        <v>13379</v>
      </c>
      <c r="F4260" s="16" t="s">
        <v>1285</v>
      </c>
      <c r="G4260" s="16" t="s">
        <v>882</v>
      </c>
      <c r="H4260" s="16" t="s">
        <v>13359</v>
      </c>
      <c r="I4260" s="16" t="s">
        <v>136</v>
      </c>
      <c r="J4260" s="16" t="s">
        <v>13368</v>
      </c>
      <c r="K4260" s="32" t="n">
        <v>1</v>
      </c>
      <c r="L4260" s="33" t="n">
        <v>46031</v>
      </c>
      <c r="M4260" s="33" t="n">
        <v>46031</v>
      </c>
      <c r="N4260" s="16" t="s">
        <v>13380</v>
      </c>
      <c r="O4260" s="16"/>
      <c r="P4260" s="16" t="str">
        <f aca="false">IF(AND(L4260&lt;=$D$2,M4260&gt;=$C$2),"Sí","")</f>
        <v/>
      </c>
      <c r="Q4260" s="18" t="str">
        <f aca="false">IF(COUNTIF(LOOKAHEAD!$A$5:$A$604,A4260)&gt;0,"En Lookahead",IF(P4260="Sí","INCORPORAR",""))</f>
        <v/>
      </c>
    </row>
    <row r="4261" customFormat="false" ht="15" hidden="false" customHeight="false" outlineLevel="0" collapsed="false">
      <c r="A4261" s="16" t="s">
        <v>13381</v>
      </c>
      <c r="B4261" s="16" t="n">
        <v>4256</v>
      </c>
      <c r="C4261" s="16" t="s">
        <v>13382</v>
      </c>
      <c r="D4261" s="16" t="n">
        <v>6</v>
      </c>
      <c r="E4261" s="35" t="s">
        <v>13383</v>
      </c>
      <c r="F4261" s="16" t="s">
        <v>1285</v>
      </c>
      <c r="G4261" s="16" t="s">
        <v>882</v>
      </c>
      <c r="H4261" s="16" t="s">
        <v>13359</v>
      </c>
      <c r="I4261" s="16" t="s">
        <v>136</v>
      </c>
      <c r="J4261" s="16" t="s">
        <v>13368</v>
      </c>
      <c r="K4261" s="32" t="n">
        <v>1</v>
      </c>
      <c r="L4261" s="33" t="n">
        <v>46028</v>
      </c>
      <c r="M4261" s="33" t="n">
        <v>46028</v>
      </c>
      <c r="N4261" s="16" t="s">
        <v>13384</v>
      </c>
      <c r="O4261" s="16"/>
      <c r="P4261" s="16" t="str">
        <f aca="false">IF(AND(L4261&lt;=$D$2,M4261&gt;=$C$2),"Sí","")</f>
        <v/>
      </c>
      <c r="Q4261" s="18" t="str">
        <f aca="false">IF(COUNTIF(LOOKAHEAD!$A$5:$A$604,A4261)&gt;0,"En Lookahead",IF(P4261="Sí","INCORPORAR",""))</f>
        <v/>
      </c>
    </row>
    <row r="4262" customFormat="false" ht="15" hidden="false" customHeight="false" outlineLevel="0" collapsed="false">
      <c r="A4262" s="13" t="s">
        <v>13385</v>
      </c>
      <c r="B4262" s="13" t="n">
        <v>4257</v>
      </c>
      <c r="C4262" s="13" t="s">
        <v>13386</v>
      </c>
      <c r="D4262" s="13" t="n">
        <v>5</v>
      </c>
      <c r="E4262" s="34" t="s">
        <v>1534</v>
      </c>
      <c r="F4262" s="13" t="s">
        <v>1298</v>
      </c>
      <c r="G4262" s="13" t="s">
        <v>882</v>
      </c>
      <c r="H4262" s="13" t="s">
        <v>13359</v>
      </c>
      <c r="I4262" s="13" t="s">
        <v>136</v>
      </c>
      <c r="J4262" s="13" t="s">
        <v>13359</v>
      </c>
      <c r="K4262" s="30" t="n">
        <v>121</v>
      </c>
      <c r="L4262" s="31" t="n">
        <v>45998</v>
      </c>
      <c r="M4262" s="31" t="n">
        <v>46118</v>
      </c>
      <c r="N4262" s="13"/>
      <c r="O4262" s="13"/>
      <c r="P4262" s="13"/>
      <c r="Q4262" s="13"/>
    </row>
    <row r="4263" customFormat="false" ht="15" hidden="false" customHeight="false" outlineLevel="0" collapsed="false">
      <c r="A4263" s="16" t="s">
        <v>13387</v>
      </c>
      <c r="B4263" s="16" t="n">
        <v>4258</v>
      </c>
      <c r="C4263" s="16" t="s">
        <v>13388</v>
      </c>
      <c r="D4263" s="16" t="n">
        <v>6</v>
      </c>
      <c r="E4263" s="35" t="s">
        <v>13389</v>
      </c>
      <c r="F4263" s="16" t="s">
        <v>1285</v>
      </c>
      <c r="G4263" s="16" t="s">
        <v>882</v>
      </c>
      <c r="H4263" s="16" t="s">
        <v>13359</v>
      </c>
      <c r="I4263" s="16" t="s">
        <v>136</v>
      </c>
      <c r="J4263" s="16" t="s">
        <v>1534</v>
      </c>
      <c r="K4263" s="32" t="n">
        <v>1</v>
      </c>
      <c r="L4263" s="33" t="n">
        <v>46118</v>
      </c>
      <c r="M4263" s="33" t="n">
        <v>46118</v>
      </c>
      <c r="N4263" s="16" t="s">
        <v>13390</v>
      </c>
      <c r="O4263" s="16"/>
      <c r="P4263" s="16" t="str">
        <f aca="false">IF(AND(L4263&lt;=$D$2,M4263&gt;=$C$2),"Sí","")</f>
        <v/>
      </c>
      <c r="Q4263" s="18" t="str">
        <f aca="false">IF(COUNTIF(LOOKAHEAD!$A$5:$A$604,A4263)&gt;0,"En Lookahead",IF(P4263="Sí","INCORPORAR",""))</f>
        <v/>
      </c>
    </row>
    <row r="4264" customFormat="false" ht="15" hidden="false" customHeight="false" outlineLevel="0" collapsed="false">
      <c r="A4264" s="16" t="s">
        <v>13391</v>
      </c>
      <c r="B4264" s="16" t="n">
        <v>4259</v>
      </c>
      <c r="C4264" s="16" t="s">
        <v>13392</v>
      </c>
      <c r="D4264" s="16" t="n">
        <v>6</v>
      </c>
      <c r="E4264" s="35" t="s">
        <v>10043</v>
      </c>
      <c r="F4264" s="16" t="s">
        <v>1285</v>
      </c>
      <c r="G4264" s="16" t="s">
        <v>882</v>
      </c>
      <c r="H4264" s="16" t="s">
        <v>13359</v>
      </c>
      <c r="I4264" s="16" t="s">
        <v>136</v>
      </c>
      <c r="J4264" s="16" t="s">
        <v>1534</v>
      </c>
      <c r="K4264" s="32" t="n">
        <v>23</v>
      </c>
      <c r="L4264" s="33" t="n">
        <v>45998</v>
      </c>
      <c r="M4264" s="33" t="n">
        <v>46020</v>
      </c>
      <c r="N4264" s="16" t="s">
        <v>13393</v>
      </c>
      <c r="O4264" s="16"/>
      <c r="P4264" s="16" t="str">
        <f aca="false">IF(AND(L4264&lt;=$D$2,M4264&gt;=$C$2),"Sí","")</f>
        <v/>
      </c>
      <c r="Q4264" s="18" t="str">
        <f aca="false">IF(COUNTIF(LOOKAHEAD!$A$5:$A$604,A4264)&gt;0,"En Lookahead",IF(P4264="Sí","INCORPORAR",""))</f>
        <v/>
      </c>
    </row>
    <row r="4265" customFormat="false" ht="15" hidden="false" customHeight="false" outlineLevel="0" collapsed="false">
      <c r="A4265" s="16" t="s">
        <v>13394</v>
      </c>
      <c r="B4265" s="16" t="n">
        <v>4260</v>
      </c>
      <c r="C4265" s="16" t="s">
        <v>13395</v>
      </c>
      <c r="D4265" s="16" t="n">
        <v>6</v>
      </c>
      <c r="E4265" s="35" t="s">
        <v>13396</v>
      </c>
      <c r="F4265" s="16" t="s">
        <v>1285</v>
      </c>
      <c r="G4265" s="16" t="s">
        <v>882</v>
      </c>
      <c r="H4265" s="16" t="s">
        <v>13359</v>
      </c>
      <c r="I4265" s="16" t="s">
        <v>136</v>
      </c>
      <c r="J4265" s="16" t="s">
        <v>1534</v>
      </c>
      <c r="K4265" s="32" t="n">
        <v>20</v>
      </c>
      <c r="L4265" s="33" t="n">
        <v>46058</v>
      </c>
      <c r="M4265" s="33" t="n">
        <v>46077</v>
      </c>
      <c r="N4265" s="16" t="s">
        <v>13397</v>
      </c>
      <c r="O4265" s="16"/>
      <c r="P4265" s="16" t="str">
        <f aca="false">IF(AND(L4265&lt;=$D$2,M4265&gt;=$C$2),"Sí","")</f>
        <v/>
      </c>
      <c r="Q4265" s="18" t="str">
        <f aca="false">IF(COUNTIF(LOOKAHEAD!$A$5:$A$604,A4265)&gt;0,"En Lookahead",IF(P4265="Sí","INCORPORAR",""))</f>
        <v/>
      </c>
    </row>
    <row r="4266" customFormat="false" ht="15" hidden="false" customHeight="false" outlineLevel="0" collapsed="false">
      <c r="A4266" s="16" t="s">
        <v>13398</v>
      </c>
      <c r="B4266" s="16" t="n">
        <v>4261</v>
      </c>
      <c r="C4266" s="16" t="s">
        <v>13399</v>
      </c>
      <c r="D4266" s="16" t="n">
        <v>6</v>
      </c>
      <c r="E4266" s="35" t="s">
        <v>13400</v>
      </c>
      <c r="F4266" s="16" t="s">
        <v>1285</v>
      </c>
      <c r="G4266" s="16" t="s">
        <v>882</v>
      </c>
      <c r="H4266" s="16" t="s">
        <v>13359</v>
      </c>
      <c r="I4266" s="16" t="s">
        <v>136</v>
      </c>
      <c r="J4266" s="16" t="s">
        <v>1534</v>
      </c>
      <c r="K4266" s="32" t="n">
        <v>2</v>
      </c>
      <c r="L4266" s="33" t="n">
        <v>46078</v>
      </c>
      <c r="M4266" s="33" t="n">
        <v>46079</v>
      </c>
      <c r="N4266" s="16" t="s">
        <v>13401</v>
      </c>
      <c r="O4266" s="16"/>
      <c r="P4266" s="16" t="str">
        <f aca="false">IF(AND(L4266&lt;=$D$2,M4266&gt;=$C$2),"Sí","")</f>
        <v/>
      </c>
      <c r="Q4266" s="18" t="str">
        <f aca="false">IF(COUNTIF(LOOKAHEAD!$A$5:$A$604,A4266)&gt;0,"En Lookahead",IF(P4266="Sí","INCORPORAR",""))</f>
        <v/>
      </c>
    </row>
    <row r="4267" customFormat="false" ht="15" hidden="false" customHeight="false" outlineLevel="0" collapsed="false">
      <c r="A4267" s="16" t="s">
        <v>13402</v>
      </c>
      <c r="B4267" s="16" t="n">
        <v>4262</v>
      </c>
      <c r="C4267" s="16" t="s">
        <v>13403</v>
      </c>
      <c r="D4267" s="16" t="n">
        <v>6</v>
      </c>
      <c r="E4267" s="35" t="s">
        <v>10059</v>
      </c>
      <c r="F4267" s="16" t="s">
        <v>1285</v>
      </c>
      <c r="G4267" s="16" t="s">
        <v>882</v>
      </c>
      <c r="H4267" s="16" t="s">
        <v>13359</v>
      </c>
      <c r="I4267" s="16" t="s">
        <v>136</v>
      </c>
      <c r="J4267" s="16" t="s">
        <v>1534</v>
      </c>
      <c r="K4267" s="32" t="n">
        <v>2</v>
      </c>
      <c r="L4267" s="33" t="n">
        <v>46080</v>
      </c>
      <c r="M4267" s="33" t="n">
        <v>46081</v>
      </c>
      <c r="N4267" s="16" t="s">
        <v>13404</v>
      </c>
      <c r="O4267" s="16"/>
      <c r="P4267" s="16" t="str">
        <f aca="false">IF(AND(L4267&lt;=$D$2,M4267&gt;=$C$2),"Sí","")</f>
        <v/>
      </c>
      <c r="Q4267" s="18" t="str">
        <f aca="false">IF(COUNTIF(LOOKAHEAD!$A$5:$A$604,A4267)&gt;0,"En Lookahead",IF(P4267="Sí","INCORPORAR",""))</f>
        <v/>
      </c>
    </row>
    <row r="4268" customFormat="false" ht="15" hidden="false" customHeight="false" outlineLevel="0" collapsed="false">
      <c r="A4268" s="16" t="s">
        <v>13405</v>
      </c>
      <c r="B4268" s="16" t="n">
        <v>4263</v>
      </c>
      <c r="C4268" s="16" t="s">
        <v>13406</v>
      </c>
      <c r="D4268" s="16" t="n">
        <v>6</v>
      </c>
      <c r="E4268" s="35" t="s">
        <v>1557</v>
      </c>
      <c r="F4268" s="16" t="s">
        <v>1285</v>
      </c>
      <c r="G4268" s="16" t="s">
        <v>882</v>
      </c>
      <c r="H4268" s="16" t="s">
        <v>13359</v>
      </c>
      <c r="I4268" s="16" t="s">
        <v>136</v>
      </c>
      <c r="J4268" s="16" t="s">
        <v>1534</v>
      </c>
      <c r="K4268" s="32" t="n">
        <v>14</v>
      </c>
      <c r="L4268" s="33" t="n">
        <v>46082</v>
      </c>
      <c r="M4268" s="33" t="n">
        <v>46095</v>
      </c>
      <c r="N4268" s="16" t="s">
        <v>13407</v>
      </c>
      <c r="O4268" s="16"/>
      <c r="P4268" s="16" t="str">
        <f aca="false">IF(AND(L4268&lt;=$D$2,M4268&gt;=$C$2),"Sí","")</f>
        <v/>
      </c>
      <c r="Q4268" s="18" t="str">
        <f aca="false">IF(COUNTIF(LOOKAHEAD!$A$5:$A$604,A4268)&gt;0,"En Lookahead",IF(P4268="Sí","INCORPORAR",""))</f>
        <v/>
      </c>
    </row>
    <row r="4269" customFormat="false" ht="15" hidden="false" customHeight="false" outlineLevel="0" collapsed="false">
      <c r="A4269" s="16" t="s">
        <v>13408</v>
      </c>
      <c r="B4269" s="16" t="n">
        <v>4264</v>
      </c>
      <c r="C4269" s="16" t="s">
        <v>13409</v>
      </c>
      <c r="D4269" s="16" t="n">
        <v>6</v>
      </c>
      <c r="E4269" s="35" t="s">
        <v>1560</v>
      </c>
      <c r="F4269" s="16" t="s">
        <v>1285</v>
      </c>
      <c r="G4269" s="16" t="s">
        <v>882</v>
      </c>
      <c r="H4269" s="16" t="s">
        <v>13359</v>
      </c>
      <c r="I4269" s="16" t="s">
        <v>136</v>
      </c>
      <c r="J4269" s="16" t="s">
        <v>1534</v>
      </c>
      <c r="K4269" s="32" t="n">
        <v>1</v>
      </c>
      <c r="L4269" s="33" t="n">
        <v>46096</v>
      </c>
      <c r="M4269" s="33" t="n">
        <v>46096</v>
      </c>
      <c r="N4269" s="16" t="s">
        <v>13410</v>
      </c>
      <c r="O4269" s="16"/>
      <c r="P4269" s="16" t="str">
        <f aca="false">IF(AND(L4269&lt;=$D$2,M4269&gt;=$C$2),"Sí","")</f>
        <v/>
      </c>
      <c r="Q4269" s="18" t="str">
        <f aca="false">IF(COUNTIF(LOOKAHEAD!$A$5:$A$604,A4269)&gt;0,"En Lookahead",IF(P4269="Sí","INCORPORAR",""))</f>
        <v/>
      </c>
    </row>
    <row r="4270" customFormat="false" ht="15" hidden="false" customHeight="false" outlineLevel="0" collapsed="false">
      <c r="A4270" s="13" t="s">
        <v>13411</v>
      </c>
      <c r="B4270" s="13" t="n">
        <v>4265</v>
      </c>
      <c r="C4270" s="13" t="s">
        <v>13412</v>
      </c>
      <c r="D4270" s="13" t="n">
        <v>5</v>
      </c>
      <c r="E4270" s="34" t="s">
        <v>13413</v>
      </c>
      <c r="F4270" s="13" t="s">
        <v>1298</v>
      </c>
      <c r="G4270" s="13" t="s">
        <v>882</v>
      </c>
      <c r="H4270" s="13" t="s">
        <v>13359</v>
      </c>
      <c r="I4270" s="13" t="s">
        <v>136</v>
      </c>
      <c r="J4270" s="13" t="s">
        <v>13359</v>
      </c>
      <c r="K4270" s="30" t="n">
        <v>29</v>
      </c>
      <c r="L4270" s="31" t="n">
        <v>46021</v>
      </c>
      <c r="M4270" s="31" t="n">
        <v>46049</v>
      </c>
      <c r="N4270" s="13"/>
      <c r="O4270" s="13"/>
      <c r="P4270" s="13"/>
      <c r="Q4270" s="13"/>
    </row>
    <row r="4271" customFormat="false" ht="15" hidden="false" customHeight="false" outlineLevel="0" collapsed="false">
      <c r="A4271" s="16" t="s">
        <v>13414</v>
      </c>
      <c r="B4271" s="16" t="n">
        <v>4266</v>
      </c>
      <c r="C4271" s="16" t="s">
        <v>13415</v>
      </c>
      <c r="D4271" s="16" t="n">
        <v>6</v>
      </c>
      <c r="E4271" s="35" t="s">
        <v>13416</v>
      </c>
      <c r="F4271" s="16" t="s">
        <v>1285</v>
      </c>
      <c r="G4271" s="16" t="s">
        <v>882</v>
      </c>
      <c r="H4271" s="16" t="s">
        <v>13359</v>
      </c>
      <c r="I4271" s="16" t="s">
        <v>136</v>
      </c>
      <c r="J4271" s="16" t="s">
        <v>13413</v>
      </c>
      <c r="K4271" s="32" t="n">
        <v>28</v>
      </c>
      <c r="L4271" s="33" t="n">
        <v>46021</v>
      </c>
      <c r="M4271" s="33" t="n">
        <v>46048</v>
      </c>
      <c r="N4271" s="16" t="s">
        <v>13417</v>
      </c>
      <c r="O4271" s="16"/>
      <c r="P4271" s="16" t="str">
        <f aca="false">IF(AND(L4271&lt;=$D$2,M4271&gt;=$C$2),"Sí","")</f>
        <v/>
      </c>
      <c r="Q4271" s="18" t="str">
        <f aca="false">IF(COUNTIF(LOOKAHEAD!$A$5:$A$604,A4271)&gt;0,"En Lookahead",IF(P4271="Sí","INCORPORAR",""))</f>
        <v/>
      </c>
    </row>
    <row r="4272" customFormat="false" ht="15" hidden="false" customHeight="false" outlineLevel="0" collapsed="false">
      <c r="A4272" s="16" t="s">
        <v>13418</v>
      </c>
      <c r="B4272" s="16" t="n">
        <v>4267</v>
      </c>
      <c r="C4272" s="16" t="s">
        <v>13419</v>
      </c>
      <c r="D4272" s="16" t="n">
        <v>6</v>
      </c>
      <c r="E4272" s="35" t="s">
        <v>13420</v>
      </c>
      <c r="F4272" s="16" t="s">
        <v>1285</v>
      </c>
      <c r="G4272" s="16" t="s">
        <v>882</v>
      </c>
      <c r="H4272" s="16" t="s">
        <v>13359</v>
      </c>
      <c r="I4272" s="16" t="s">
        <v>136</v>
      </c>
      <c r="J4272" s="16" t="s">
        <v>13413</v>
      </c>
      <c r="K4272" s="32" t="n">
        <v>1</v>
      </c>
      <c r="L4272" s="33" t="n">
        <v>46049</v>
      </c>
      <c r="M4272" s="33" t="n">
        <v>46049</v>
      </c>
      <c r="N4272" s="16" t="s">
        <v>13421</v>
      </c>
      <c r="O4272" s="16"/>
      <c r="P4272" s="16" t="str">
        <f aca="false">IF(AND(L4272&lt;=$D$2,M4272&gt;=$C$2),"Sí","")</f>
        <v/>
      </c>
      <c r="Q4272" s="18" t="str">
        <f aca="false">IF(COUNTIF(LOOKAHEAD!$A$5:$A$604,A4272)&gt;0,"En Lookahead",IF(P4272="Sí","INCORPORAR",""))</f>
        <v/>
      </c>
    </row>
    <row r="4273" customFormat="false" ht="15" hidden="false" customHeight="false" outlineLevel="0" collapsed="false">
      <c r="A4273" s="13" t="s">
        <v>13422</v>
      </c>
      <c r="B4273" s="13" t="n">
        <v>4268</v>
      </c>
      <c r="C4273" s="13" t="s">
        <v>13423</v>
      </c>
      <c r="D4273" s="13" t="n">
        <v>5</v>
      </c>
      <c r="E4273" s="34" t="s">
        <v>13424</v>
      </c>
      <c r="F4273" s="13" t="s">
        <v>1298</v>
      </c>
      <c r="G4273" s="13" t="s">
        <v>882</v>
      </c>
      <c r="H4273" s="13" t="s">
        <v>13359</v>
      </c>
      <c r="I4273" s="13" t="s">
        <v>136</v>
      </c>
      <c r="J4273" s="13" t="s">
        <v>13359</v>
      </c>
      <c r="K4273" s="30" t="n">
        <v>7</v>
      </c>
      <c r="L4273" s="31" t="n">
        <v>46050</v>
      </c>
      <c r="M4273" s="31" t="n">
        <v>46056</v>
      </c>
      <c r="N4273" s="13"/>
      <c r="O4273" s="13"/>
      <c r="P4273" s="13"/>
      <c r="Q4273" s="13"/>
    </row>
    <row r="4274" customFormat="false" ht="15" hidden="false" customHeight="false" outlineLevel="0" collapsed="false">
      <c r="A4274" s="16" t="s">
        <v>13425</v>
      </c>
      <c r="B4274" s="16" t="n">
        <v>4269</v>
      </c>
      <c r="C4274" s="16" t="s">
        <v>13426</v>
      </c>
      <c r="D4274" s="16" t="n">
        <v>6</v>
      </c>
      <c r="E4274" s="35" t="s">
        <v>13427</v>
      </c>
      <c r="F4274" s="16" t="s">
        <v>1285</v>
      </c>
      <c r="G4274" s="16" t="s">
        <v>882</v>
      </c>
      <c r="H4274" s="16" t="s">
        <v>13359</v>
      </c>
      <c r="I4274" s="16" t="s">
        <v>136</v>
      </c>
      <c r="J4274" s="16" t="s">
        <v>13424</v>
      </c>
      <c r="K4274" s="32" t="n">
        <v>7</v>
      </c>
      <c r="L4274" s="33" t="n">
        <v>46050</v>
      </c>
      <c r="M4274" s="33" t="n">
        <v>46056</v>
      </c>
      <c r="N4274" s="16" t="s">
        <v>13428</v>
      </c>
      <c r="O4274" s="16"/>
      <c r="P4274" s="16" t="str">
        <f aca="false">IF(AND(L4274&lt;=$D$2,M4274&gt;=$C$2),"Sí","")</f>
        <v/>
      </c>
      <c r="Q4274" s="18" t="str">
        <f aca="false">IF(COUNTIF(LOOKAHEAD!$A$5:$A$604,A4274)&gt;0,"En Lookahead",IF(P4274="Sí","INCORPORAR",""))</f>
        <v/>
      </c>
    </row>
    <row r="4275" customFormat="false" ht="15" hidden="false" customHeight="false" outlineLevel="0" collapsed="false">
      <c r="A4275" s="13" t="s">
        <v>13429</v>
      </c>
      <c r="B4275" s="13" t="n">
        <v>4270</v>
      </c>
      <c r="C4275" s="13" t="s">
        <v>13430</v>
      </c>
      <c r="D4275" s="13" t="n">
        <v>5</v>
      </c>
      <c r="E4275" s="34" t="s">
        <v>13431</v>
      </c>
      <c r="F4275" s="13" t="s">
        <v>1298</v>
      </c>
      <c r="G4275" s="13" t="s">
        <v>882</v>
      </c>
      <c r="H4275" s="13" t="s">
        <v>13359</v>
      </c>
      <c r="I4275" s="13" t="s">
        <v>136</v>
      </c>
      <c r="J4275" s="13" t="s">
        <v>13359</v>
      </c>
      <c r="K4275" s="30" t="n">
        <v>9</v>
      </c>
      <c r="L4275" s="31" t="n">
        <v>46057</v>
      </c>
      <c r="M4275" s="31" t="n">
        <v>46065</v>
      </c>
      <c r="N4275" s="13"/>
      <c r="O4275" s="13"/>
      <c r="P4275" s="13"/>
      <c r="Q4275" s="13"/>
    </row>
    <row r="4276" customFormat="false" ht="15" hidden="false" customHeight="false" outlineLevel="0" collapsed="false">
      <c r="A4276" s="16" t="s">
        <v>13432</v>
      </c>
      <c r="B4276" s="16" t="n">
        <v>4271</v>
      </c>
      <c r="C4276" s="16" t="s">
        <v>13433</v>
      </c>
      <c r="D4276" s="16" t="n">
        <v>6</v>
      </c>
      <c r="E4276" s="35" t="s">
        <v>13434</v>
      </c>
      <c r="F4276" s="16" t="s">
        <v>1285</v>
      </c>
      <c r="G4276" s="16" t="s">
        <v>882</v>
      </c>
      <c r="H4276" s="16" t="s">
        <v>13359</v>
      </c>
      <c r="I4276" s="16" t="s">
        <v>136</v>
      </c>
      <c r="J4276" s="16" t="s">
        <v>13431</v>
      </c>
      <c r="K4276" s="32" t="n">
        <v>9</v>
      </c>
      <c r="L4276" s="33" t="n">
        <v>46057</v>
      </c>
      <c r="M4276" s="33" t="n">
        <v>46065</v>
      </c>
      <c r="N4276" s="16" t="s">
        <v>13435</v>
      </c>
      <c r="O4276" s="16"/>
      <c r="P4276" s="16" t="str">
        <f aca="false">IF(AND(L4276&lt;=$D$2,M4276&gt;=$C$2),"Sí","")</f>
        <v/>
      </c>
      <c r="Q4276" s="18" t="str">
        <f aca="false">IF(COUNTIF(LOOKAHEAD!$A$5:$A$604,A4276)&gt;0,"En Lookahead",IF(P4276="Sí","INCORPORAR",""))</f>
        <v/>
      </c>
    </row>
    <row r="4277" customFormat="false" ht="15" hidden="false" customHeight="false" outlineLevel="0" collapsed="false">
      <c r="A4277" s="13" t="s">
        <v>13436</v>
      </c>
      <c r="B4277" s="13" t="n">
        <v>4272</v>
      </c>
      <c r="C4277" s="13" t="s">
        <v>13437</v>
      </c>
      <c r="D4277" s="13" t="n">
        <v>5</v>
      </c>
      <c r="E4277" s="34" t="s">
        <v>13438</v>
      </c>
      <c r="F4277" s="13" t="s">
        <v>1298</v>
      </c>
      <c r="G4277" s="13" t="s">
        <v>882</v>
      </c>
      <c r="H4277" s="13" t="s">
        <v>13359</v>
      </c>
      <c r="I4277" s="13" t="s">
        <v>136</v>
      </c>
      <c r="J4277" s="13" t="s">
        <v>13359</v>
      </c>
      <c r="K4277" s="30" t="n">
        <v>28</v>
      </c>
      <c r="L4277" s="31" t="n">
        <v>46066</v>
      </c>
      <c r="M4277" s="31" t="n">
        <v>46093</v>
      </c>
      <c r="N4277" s="13"/>
      <c r="O4277" s="13"/>
      <c r="P4277" s="13"/>
      <c r="Q4277" s="13"/>
    </row>
    <row r="4278" customFormat="false" ht="15" hidden="false" customHeight="false" outlineLevel="0" collapsed="false">
      <c r="A4278" s="16" t="s">
        <v>13439</v>
      </c>
      <c r="B4278" s="16" t="n">
        <v>4273</v>
      </c>
      <c r="C4278" s="16" t="s">
        <v>13440</v>
      </c>
      <c r="D4278" s="16" t="n">
        <v>6</v>
      </c>
      <c r="E4278" s="35" t="s">
        <v>13441</v>
      </c>
      <c r="F4278" s="16" t="s">
        <v>1285</v>
      </c>
      <c r="G4278" s="16" t="s">
        <v>882</v>
      </c>
      <c r="H4278" s="16" t="s">
        <v>13359</v>
      </c>
      <c r="I4278" s="16" t="s">
        <v>136</v>
      </c>
      <c r="J4278" s="16" t="s">
        <v>13438</v>
      </c>
      <c r="K4278" s="32" t="n">
        <v>11</v>
      </c>
      <c r="L4278" s="33" t="n">
        <v>46066</v>
      </c>
      <c r="M4278" s="33" t="n">
        <v>46076</v>
      </c>
      <c r="N4278" s="16" t="s">
        <v>13442</v>
      </c>
      <c r="O4278" s="16"/>
      <c r="P4278" s="16" t="str">
        <f aca="false">IF(AND(L4278&lt;=$D$2,M4278&gt;=$C$2),"Sí","")</f>
        <v/>
      </c>
      <c r="Q4278" s="18" t="str">
        <f aca="false">IF(COUNTIF(LOOKAHEAD!$A$5:$A$604,A4278)&gt;0,"En Lookahead",IF(P4278="Sí","INCORPORAR",""))</f>
        <v/>
      </c>
    </row>
    <row r="4279" customFormat="false" ht="15" hidden="false" customHeight="false" outlineLevel="0" collapsed="false">
      <c r="A4279" s="16" t="s">
        <v>13443</v>
      </c>
      <c r="B4279" s="16" t="n">
        <v>4274</v>
      </c>
      <c r="C4279" s="16" t="s">
        <v>13444</v>
      </c>
      <c r="D4279" s="16" t="n">
        <v>6</v>
      </c>
      <c r="E4279" s="35" t="s">
        <v>13445</v>
      </c>
      <c r="F4279" s="16" t="s">
        <v>1285</v>
      </c>
      <c r="G4279" s="16" t="s">
        <v>882</v>
      </c>
      <c r="H4279" s="16" t="s">
        <v>13359</v>
      </c>
      <c r="I4279" s="16" t="s">
        <v>136</v>
      </c>
      <c r="J4279" s="16" t="s">
        <v>13438</v>
      </c>
      <c r="K4279" s="32" t="n">
        <v>1</v>
      </c>
      <c r="L4279" s="33" t="n">
        <v>46077</v>
      </c>
      <c r="M4279" s="33" t="n">
        <v>46077</v>
      </c>
      <c r="N4279" s="16" t="s">
        <v>13446</v>
      </c>
      <c r="O4279" s="16"/>
      <c r="P4279" s="16" t="str">
        <f aca="false">IF(AND(L4279&lt;=$D$2,M4279&gt;=$C$2),"Sí","")</f>
        <v/>
      </c>
      <c r="Q4279" s="18" t="str">
        <f aca="false">IF(COUNTIF(LOOKAHEAD!$A$5:$A$604,A4279)&gt;0,"En Lookahead",IF(P4279="Sí","INCORPORAR",""))</f>
        <v/>
      </c>
    </row>
    <row r="4280" customFormat="false" ht="15" hidden="false" customHeight="false" outlineLevel="0" collapsed="false">
      <c r="A4280" s="16" t="s">
        <v>13447</v>
      </c>
      <c r="B4280" s="16" t="n">
        <v>4275</v>
      </c>
      <c r="C4280" s="16" t="s">
        <v>13448</v>
      </c>
      <c r="D4280" s="16" t="n">
        <v>6</v>
      </c>
      <c r="E4280" s="35" t="s">
        <v>13449</v>
      </c>
      <c r="F4280" s="16" t="s">
        <v>1285</v>
      </c>
      <c r="G4280" s="16" t="s">
        <v>882</v>
      </c>
      <c r="H4280" s="16" t="s">
        <v>13359</v>
      </c>
      <c r="I4280" s="16" t="s">
        <v>136</v>
      </c>
      <c r="J4280" s="16" t="s">
        <v>13438</v>
      </c>
      <c r="K4280" s="32" t="n">
        <v>1</v>
      </c>
      <c r="L4280" s="33" t="n">
        <v>46078</v>
      </c>
      <c r="M4280" s="33" t="n">
        <v>46078</v>
      </c>
      <c r="N4280" s="16" t="s">
        <v>13450</v>
      </c>
      <c r="O4280" s="16"/>
      <c r="P4280" s="16" t="str">
        <f aca="false">IF(AND(L4280&lt;=$D$2,M4280&gt;=$C$2),"Sí","")</f>
        <v/>
      </c>
      <c r="Q4280" s="18" t="str">
        <f aca="false">IF(COUNTIF(LOOKAHEAD!$A$5:$A$604,A4280)&gt;0,"En Lookahead",IF(P4280="Sí","INCORPORAR",""))</f>
        <v/>
      </c>
    </row>
    <row r="4281" customFormat="false" ht="15" hidden="false" customHeight="false" outlineLevel="0" collapsed="false">
      <c r="A4281" s="16" t="s">
        <v>13451</v>
      </c>
      <c r="B4281" s="16" t="n">
        <v>4276</v>
      </c>
      <c r="C4281" s="16" t="s">
        <v>13452</v>
      </c>
      <c r="D4281" s="16" t="n">
        <v>6</v>
      </c>
      <c r="E4281" s="35" t="s">
        <v>13453</v>
      </c>
      <c r="F4281" s="16" t="s">
        <v>1285</v>
      </c>
      <c r="G4281" s="16" t="s">
        <v>882</v>
      </c>
      <c r="H4281" s="16" t="s">
        <v>13359</v>
      </c>
      <c r="I4281" s="16" t="s">
        <v>136</v>
      </c>
      <c r="J4281" s="16" t="s">
        <v>13438</v>
      </c>
      <c r="K4281" s="32" t="n">
        <v>7</v>
      </c>
      <c r="L4281" s="33" t="n">
        <v>46079</v>
      </c>
      <c r="M4281" s="33" t="n">
        <v>46085</v>
      </c>
      <c r="N4281" s="16" t="s">
        <v>13454</v>
      </c>
      <c r="O4281" s="16"/>
      <c r="P4281" s="16" t="str">
        <f aca="false">IF(AND(L4281&lt;=$D$2,M4281&gt;=$C$2),"Sí","")</f>
        <v/>
      </c>
      <c r="Q4281" s="18" t="str">
        <f aca="false">IF(COUNTIF(LOOKAHEAD!$A$5:$A$604,A4281)&gt;0,"En Lookahead",IF(P4281="Sí","INCORPORAR",""))</f>
        <v/>
      </c>
    </row>
    <row r="4282" customFormat="false" ht="15" hidden="false" customHeight="false" outlineLevel="0" collapsed="false">
      <c r="A4282" s="16" t="s">
        <v>13455</v>
      </c>
      <c r="B4282" s="16" t="n">
        <v>4277</v>
      </c>
      <c r="C4282" s="16" t="s">
        <v>13456</v>
      </c>
      <c r="D4282" s="16" t="n">
        <v>6</v>
      </c>
      <c r="E4282" s="35" t="s">
        <v>13457</v>
      </c>
      <c r="F4282" s="16" t="s">
        <v>1285</v>
      </c>
      <c r="G4282" s="16" t="s">
        <v>882</v>
      </c>
      <c r="H4282" s="16" t="s">
        <v>13359</v>
      </c>
      <c r="I4282" s="16" t="s">
        <v>136</v>
      </c>
      <c r="J4282" s="16" t="s">
        <v>13438</v>
      </c>
      <c r="K4282" s="32" t="n">
        <v>1</v>
      </c>
      <c r="L4282" s="33" t="n">
        <v>46086</v>
      </c>
      <c r="M4282" s="33" t="n">
        <v>46086</v>
      </c>
      <c r="N4282" s="16" t="s">
        <v>13458</v>
      </c>
      <c r="O4282" s="16"/>
      <c r="P4282" s="16" t="str">
        <f aca="false">IF(AND(L4282&lt;=$D$2,M4282&gt;=$C$2),"Sí","")</f>
        <v/>
      </c>
      <c r="Q4282" s="18" t="str">
        <f aca="false">IF(COUNTIF(LOOKAHEAD!$A$5:$A$604,A4282)&gt;0,"En Lookahead",IF(P4282="Sí","INCORPORAR",""))</f>
        <v/>
      </c>
    </row>
    <row r="4283" customFormat="false" ht="15" hidden="false" customHeight="false" outlineLevel="0" collapsed="false">
      <c r="A4283" s="16" t="s">
        <v>13459</v>
      </c>
      <c r="B4283" s="16" t="n">
        <v>4278</v>
      </c>
      <c r="C4283" s="16" t="s">
        <v>13460</v>
      </c>
      <c r="D4283" s="16" t="n">
        <v>6</v>
      </c>
      <c r="E4283" s="35" t="s">
        <v>13461</v>
      </c>
      <c r="F4283" s="16" t="s">
        <v>1285</v>
      </c>
      <c r="G4283" s="16" t="s">
        <v>882</v>
      </c>
      <c r="H4283" s="16" t="s">
        <v>13359</v>
      </c>
      <c r="I4283" s="16" t="s">
        <v>136</v>
      </c>
      <c r="J4283" s="16" t="s">
        <v>13438</v>
      </c>
      <c r="K4283" s="32" t="n">
        <v>1</v>
      </c>
      <c r="L4283" s="33" t="n">
        <v>46087</v>
      </c>
      <c r="M4283" s="33" t="n">
        <v>46087</v>
      </c>
      <c r="N4283" s="16" t="s">
        <v>13462</v>
      </c>
      <c r="O4283" s="16"/>
      <c r="P4283" s="16" t="str">
        <f aca="false">IF(AND(L4283&lt;=$D$2,M4283&gt;=$C$2),"Sí","")</f>
        <v/>
      </c>
      <c r="Q4283" s="18" t="str">
        <f aca="false">IF(COUNTIF(LOOKAHEAD!$A$5:$A$604,A4283)&gt;0,"En Lookahead",IF(P4283="Sí","INCORPORAR",""))</f>
        <v/>
      </c>
    </row>
    <row r="4284" customFormat="false" ht="15" hidden="false" customHeight="false" outlineLevel="0" collapsed="false">
      <c r="A4284" s="16" t="s">
        <v>13463</v>
      </c>
      <c r="B4284" s="16" t="n">
        <v>4279</v>
      </c>
      <c r="C4284" s="16" t="s">
        <v>13464</v>
      </c>
      <c r="D4284" s="16" t="n">
        <v>6</v>
      </c>
      <c r="E4284" s="35" t="s">
        <v>13465</v>
      </c>
      <c r="F4284" s="16" t="s">
        <v>1285</v>
      </c>
      <c r="G4284" s="16" t="s">
        <v>882</v>
      </c>
      <c r="H4284" s="16" t="s">
        <v>13359</v>
      </c>
      <c r="I4284" s="16" t="s">
        <v>136</v>
      </c>
      <c r="J4284" s="16" t="s">
        <v>13438</v>
      </c>
      <c r="K4284" s="32" t="n">
        <v>1</v>
      </c>
      <c r="L4284" s="33" t="n">
        <v>46088</v>
      </c>
      <c r="M4284" s="33" t="n">
        <v>46088</v>
      </c>
      <c r="N4284" s="16" t="s">
        <v>13466</v>
      </c>
      <c r="O4284" s="16"/>
      <c r="P4284" s="16" t="str">
        <f aca="false">IF(AND(L4284&lt;=$D$2,M4284&gt;=$C$2),"Sí","")</f>
        <v/>
      </c>
      <c r="Q4284" s="18" t="str">
        <f aca="false">IF(COUNTIF(LOOKAHEAD!$A$5:$A$604,A4284)&gt;0,"En Lookahead",IF(P4284="Sí","INCORPORAR",""))</f>
        <v/>
      </c>
    </row>
    <row r="4285" customFormat="false" ht="15" hidden="false" customHeight="false" outlineLevel="0" collapsed="false">
      <c r="A4285" s="16" t="s">
        <v>13467</v>
      </c>
      <c r="B4285" s="16" t="n">
        <v>4280</v>
      </c>
      <c r="C4285" s="16" t="s">
        <v>13468</v>
      </c>
      <c r="D4285" s="16" t="n">
        <v>6</v>
      </c>
      <c r="E4285" s="35" t="s">
        <v>13469</v>
      </c>
      <c r="F4285" s="16" t="s">
        <v>1285</v>
      </c>
      <c r="G4285" s="16" t="s">
        <v>882</v>
      </c>
      <c r="H4285" s="16" t="s">
        <v>13359</v>
      </c>
      <c r="I4285" s="16" t="s">
        <v>136</v>
      </c>
      <c r="J4285" s="16" t="s">
        <v>13438</v>
      </c>
      <c r="K4285" s="32" t="n">
        <v>1</v>
      </c>
      <c r="L4285" s="33" t="n">
        <v>46089</v>
      </c>
      <c r="M4285" s="33" t="n">
        <v>46089</v>
      </c>
      <c r="N4285" s="16" t="s">
        <v>13470</v>
      </c>
      <c r="O4285" s="16"/>
      <c r="P4285" s="16" t="str">
        <f aca="false">IF(AND(L4285&lt;=$D$2,M4285&gt;=$C$2),"Sí","")</f>
        <v/>
      </c>
      <c r="Q4285" s="18" t="str">
        <f aca="false">IF(COUNTIF(LOOKAHEAD!$A$5:$A$604,A4285)&gt;0,"En Lookahead",IF(P4285="Sí","INCORPORAR",""))</f>
        <v/>
      </c>
    </row>
    <row r="4286" customFormat="false" ht="15" hidden="false" customHeight="false" outlineLevel="0" collapsed="false">
      <c r="A4286" s="16" t="s">
        <v>13471</v>
      </c>
      <c r="B4286" s="16" t="n">
        <v>4281</v>
      </c>
      <c r="C4286" s="16" t="s">
        <v>13472</v>
      </c>
      <c r="D4286" s="16" t="n">
        <v>6</v>
      </c>
      <c r="E4286" s="35" t="s">
        <v>13473</v>
      </c>
      <c r="F4286" s="16" t="s">
        <v>1285</v>
      </c>
      <c r="G4286" s="16" t="s">
        <v>882</v>
      </c>
      <c r="H4286" s="16" t="s">
        <v>13359</v>
      </c>
      <c r="I4286" s="16" t="s">
        <v>136</v>
      </c>
      <c r="J4286" s="16" t="s">
        <v>13438</v>
      </c>
      <c r="K4286" s="32" t="n">
        <v>3</v>
      </c>
      <c r="L4286" s="33" t="n">
        <v>46090</v>
      </c>
      <c r="M4286" s="33" t="n">
        <v>46092</v>
      </c>
      <c r="N4286" s="16" t="s">
        <v>13474</v>
      </c>
      <c r="O4286" s="16"/>
      <c r="P4286" s="16" t="str">
        <f aca="false">IF(AND(L4286&lt;=$D$2,M4286&gt;=$C$2),"Sí","")</f>
        <v/>
      </c>
      <c r="Q4286" s="18" t="str">
        <f aca="false">IF(COUNTIF(LOOKAHEAD!$A$5:$A$604,A4286)&gt;0,"En Lookahead",IF(P4286="Sí","INCORPORAR",""))</f>
        <v/>
      </c>
    </row>
    <row r="4287" customFormat="false" ht="15" hidden="false" customHeight="false" outlineLevel="0" collapsed="false">
      <c r="A4287" s="16" t="s">
        <v>13475</v>
      </c>
      <c r="B4287" s="16" t="n">
        <v>4282</v>
      </c>
      <c r="C4287" s="16" t="s">
        <v>13476</v>
      </c>
      <c r="D4287" s="16" t="n">
        <v>6</v>
      </c>
      <c r="E4287" s="35" t="s">
        <v>13477</v>
      </c>
      <c r="F4287" s="16" t="s">
        <v>1285</v>
      </c>
      <c r="G4287" s="16" t="s">
        <v>882</v>
      </c>
      <c r="H4287" s="16" t="s">
        <v>13359</v>
      </c>
      <c r="I4287" s="16" t="s">
        <v>136</v>
      </c>
      <c r="J4287" s="16" t="s">
        <v>13438</v>
      </c>
      <c r="K4287" s="32" t="n">
        <v>1</v>
      </c>
      <c r="L4287" s="33" t="n">
        <v>46093</v>
      </c>
      <c r="M4287" s="33" t="n">
        <v>46093</v>
      </c>
      <c r="N4287" s="16" t="s">
        <v>13478</v>
      </c>
      <c r="O4287" s="16"/>
      <c r="P4287" s="16" t="str">
        <f aca="false">IF(AND(L4287&lt;=$D$2,M4287&gt;=$C$2),"Sí","")</f>
        <v/>
      </c>
      <c r="Q4287" s="18" t="str">
        <f aca="false">IF(COUNTIF(LOOKAHEAD!$A$5:$A$604,A4287)&gt;0,"En Lookahead",IF(P4287="Sí","INCORPORAR",""))</f>
        <v/>
      </c>
    </row>
    <row r="4288" customFormat="false" ht="15" hidden="false" customHeight="false" outlineLevel="0" collapsed="false">
      <c r="A4288" s="13" t="s">
        <v>13479</v>
      </c>
      <c r="B4288" s="13" t="n">
        <v>4283</v>
      </c>
      <c r="C4288" s="13" t="s">
        <v>13480</v>
      </c>
      <c r="D4288" s="13" t="n">
        <v>5</v>
      </c>
      <c r="E4288" s="34" t="s">
        <v>13481</v>
      </c>
      <c r="F4288" s="13" t="s">
        <v>1298</v>
      </c>
      <c r="G4288" s="13" t="s">
        <v>882</v>
      </c>
      <c r="H4288" s="13" t="s">
        <v>13359</v>
      </c>
      <c r="I4288" s="13" t="s">
        <v>136</v>
      </c>
      <c r="J4288" s="13" t="s">
        <v>13359</v>
      </c>
      <c r="K4288" s="30" t="n">
        <v>5</v>
      </c>
      <c r="L4288" s="31" t="n">
        <v>46094</v>
      </c>
      <c r="M4288" s="31" t="n">
        <v>46098</v>
      </c>
      <c r="N4288" s="13"/>
      <c r="O4288" s="13"/>
      <c r="P4288" s="13"/>
      <c r="Q4288" s="13"/>
    </row>
    <row r="4289" customFormat="false" ht="15" hidden="false" customHeight="false" outlineLevel="0" collapsed="false">
      <c r="A4289" s="16" t="s">
        <v>13482</v>
      </c>
      <c r="B4289" s="16" t="n">
        <v>4284</v>
      </c>
      <c r="C4289" s="16" t="s">
        <v>13483</v>
      </c>
      <c r="D4289" s="16" t="n">
        <v>6</v>
      </c>
      <c r="E4289" s="35" t="s">
        <v>13484</v>
      </c>
      <c r="F4289" s="16" t="s">
        <v>1285</v>
      </c>
      <c r="G4289" s="16" t="s">
        <v>882</v>
      </c>
      <c r="H4289" s="16" t="s">
        <v>13359</v>
      </c>
      <c r="I4289" s="16" t="s">
        <v>136</v>
      </c>
      <c r="J4289" s="16" t="s">
        <v>13481</v>
      </c>
      <c r="K4289" s="32" t="n">
        <v>1</v>
      </c>
      <c r="L4289" s="33" t="n">
        <v>46094</v>
      </c>
      <c r="M4289" s="33" t="n">
        <v>46094</v>
      </c>
      <c r="N4289" s="16" t="s">
        <v>13485</v>
      </c>
      <c r="O4289" s="16"/>
      <c r="P4289" s="16" t="str">
        <f aca="false">IF(AND(L4289&lt;=$D$2,M4289&gt;=$C$2),"Sí","")</f>
        <v/>
      </c>
      <c r="Q4289" s="18" t="str">
        <f aca="false">IF(COUNTIF(LOOKAHEAD!$A$5:$A$604,A4289)&gt;0,"En Lookahead",IF(P4289="Sí","INCORPORAR",""))</f>
        <v/>
      </c>
    </row>
    <row r="4290" customFormat="false" ht="15" hidden="false" customHeight="false" outlineLevel="0" collapsed="false">
      <c r="A4290" s="16" t="s">
        <v>13486</v>
      </c>
      <c r="B4290" s="16" t="n">
        <v>4285</v>
      </c>
      <c r="C4290" s="16" t="s">
        <v>13487</v>
      </c>
      <c r="D4290" s="16" t="n">
        <v>6</v>
      </c>
      <c r="E4290" s="35" t="s">
        <v>13488</v>
      </c>
      <c r="F4290" s="16" t="s">
        <v>1285</v>
      </c>
      <c r="G4290" s="16" t="s">
        <v>882</v>
      </c>
      <c r="H4290" s="16" t="s">
        <v>13359</v>
      </c>
      <c r="I4290" s="16" t="s">
        <v>136</v>
      </c>
      <c r="J4290" s="16" t="s">
        <v>13481</v>
      </c>
      <c r="K4290" s="32" t="n">
        <v>1</v>
      </c>
      <c r="L4290" s="33" t="n">
        <v>46095</v>
      </c>
      <c r="M4290" s="33" t="n">
        <v>46095</v>
      </c>
      <c r="N4290" s="16" t="s">
        <v>13489</v>
      </c>
      <c r="O4290" s="16"/>
      <c r="P4290" s="16" t="str">
        <f aca="false">IF(AND(L4290&lt;=$D$2,M4290&gt;=$C$2),"Sí","")</f>
        <v/>
      </c>
      <c r="Q4290" s="18" t="str">
        <f aca="false">IF(COUNTIF(LOOKAHEAD!$A$5:$A$604,A4290)&gt;0,"En Lookahead",IF(P4290="Sí","INCORPORAR",""))</f>
        <v/>
      </c>
    </row>
    <row r="4291" customFormat="false" ht="15" hidden="false" customHeight="false" outlineLevel="0" collapsed="false">
      <c r="A4291" s="16" t="s">
        <v>13490</v>
      </c>
      <c r="B4291" s="16" t="n">
        <v>4286</v>
      </c>
      <c r="C4291" s="16" t="s">
        <v>13491</v>
      </c>
      <c r="D4291" s="16" t="n">
        <v>6</v>
      </c>
      <c r="E4291" s="35" t="s">
        <v>13492</v>
      </c>
      <c r="F4291" s="16" t="s">
        <v>1285</v>
      </c>
      <c r="G4291" s="16" t="s">
        <v>882</v>
      </c>
      <c r="H4291" s="16" t="s">
        <v>13359</v>
      </c>
      <c r="I4291" s="16" t="s">
        <v>136</v>
      </c>
      <c r="J4291" s="16" t="s">
        <v>13481</v>
      </c>
      <c r="K4291" s="32" t="n">
        <v>1</v>
      </c>
      <c r="L4291" s="33" t="n">
        <v>46096</v>
      </c>
      <c r="M4291" s="33" t="n">
        <v>46096</v>
      </c>
      <c r="N4291" s="16" t="s">
        <v>13493</v>
      </c>
      <c r="O4291" s="16"/>
      <c r="P4291" s="16" t="str">
        <f aca="false">IF(AND(L4291&lt;=$D$2,M4291&gt;=$C$2),"Sí","")</f>
        <v/>
      </c>
      <c r="Q4291" s="18" t="str">
        <f aca="false">IF(COUNTIF(LOOKAHEAD!$A$5:$A$604,A4291)&gt;0,"En Lookahead",IF(P4291="Sí","INCORPORAR",""))</f>
        <v/>
      </c>
    </row>
    <row r="4292" customFormat="false" ht="15" hidden="false" customHeight="false" outlineLevel="0" collapsed="false">
      <c r="A4292" s="16" t="s">
        <v>13494</v>
      </c>
      <c r="B4292" s="16" t="n">
        <v>4287</v>
      </c>
      <c r="C4292" s="16" t="s">
        <v>13495</v>
      </c>
      <c r="D4292" s="16" t="n">
        <v>6</v>
      </c>
      <c r="E4292" s="35" t="s">
        <v>13496</v>
      </c>
      <c r="F4292" s="16" t="s">
        <v>1285</v>
      </c>
      <c r="G4292" s="16" t="s">
        <v>882</v>
      </c>
      <c r="H4292" s="16" t="s">
        <v>13359</v>
      </c>
      <c r="I4292" s="16" t="s">
        <v>136</v>
      </c>
      <c r="J4292" s="16" t="s">
        <v>13481</v>
      </c>
      <c r="K4292" s="32" t="n">
        <v>1</v>
      </c>
      <c r="L4292" s="33" t="n">
        <v>46097</v>
      </c>
      <c r="M4292" s="33" t="n">
        <v>46097</v>
      </c>
      <c r="N4292" s="16" t="s">
        <v>13497</v>
      </c>
      <c r="O4292" s="16"/>
      <c r="P4292" s="16" t="str">
        <f aca="false">IF(AND(L4292&lt;=$D$2,M4292&gt;=$C$2),"Sí","")</f>
        <v/>
      </c>
      <c r="Q4292" s="18" t="str">
        <f aca="false">IF(COUNTIF(LOOKAHEAD!$A$5:$A$604,A4292)&gt;0,"En Lookahead",IF(P4292="Sí","INCORPORAR",""))</f>
        <v/>
      </c>
    </row>
    <row r="4293" customFormat="false" ht="15" hidden="false" customHeight="false" outlineLevel="0" collapsed="false">
      <c r="A4293" s="16" t="s">
        <v>13498</v>
      </c>
      <c r="B4293" s="16" t="n">
        <v>4288</v>
      </c>
      <c r="C4293" s="16" t="s">
        <v>13499</v>
      </c>
      <c r="D4293" s="16" t="n">
        <v>6</v>
      </c>
      <c r="E4293" s="35" t="s">
        <v>13500</v>
      </c>
      <c r="F4293" s="16" t="s">
        <v>1285</v>
      </c>
      <c r="G4293" s="16" t="s">
        <v>882</v>
      </c>
      <c r="H4293" s="16" t="s">
        <v>13359</v>
      </c>
      <c r="I4293" s="16" t="s">
        <v>136</v>
      </c>
      <c r="J4293" s="16" t="s">
        <v>13481</v>
      </c>
      <c r="K4293" s="32" t="n">
        <v>1</v>
      </c>
      <c r="L4293" s="33" t="n">
        <v>46098</v>
      </c>
      <c r="M4293" s="33" t="n">
        <v>46098</v>
      </c>
      <c r="N4293" s="16" t="s">
        <v>13501</v>
      </c>
      <c r="O4293" s="16"/>
      <c r="P4293" s="16" t="str">
        <f aca="false">IF(AND(L4293&lt;=$D$2,M4293&gt;=$C$2),"Sí","")</f>
        <v/>
      </c>
      <c r="Q4293" s="18" t="str">
        <f aca="false">IF(COUNTIF(LOOKAHEAD!$A$5:$A$604,A4293)&gt;0,"En Lookahead",IF(P4293="Sí","INCORPORAR",""))</f>
        <v/>
      </c>
    </row>
    <row r="4294" customFormat="false" ht="15" hidden="false" customHeight="false" outlineLevel="0" collapsed="false">
      <c r="A4294" s="13" t="s">
        <v>13502</v>
      </c>
      <c r="B4294" s="13" t="n">
        <v>4289</v>
      </c>
      <c r="C4294" s="13" t="s">
        <v>13503</v>
      </c>
      <c r="D4294" s="13" t="n">
        <v>5</v>
      </c>
      <c r="E4294" s="34" t="s">
        <v>13504</v>
      </c>
      <c r="F4294" s="13" t="s">
        <v>1298</v>
      </c>
      <c r="G4294" s="13" t="s">
        <v>882</v>
      </c>
      <c r="H4294" s="13" t="s">
        <v>13359</v>
      </c>
      <c r="I4294" s="13" t="s">
        <v>136</v>
      </c>
      <c r="J4294" s="13" t="s">
        <v>13359</v>
      </c>
      <c r="K4294" s="30" t="n">
        <v>15</v>
      </c>
      <c r="L4294" s="31" t="n">
        <v>46099</v>
      </c>
      <c r="M4294" s="31" t="n">
        <v>46113</v>
      </c>
      <c r="N4294" s="13"/>
      <c r="O4294" s="13"/>
      <c r="P4294" s="13"/>
      <c r="Q4294" s="13"/>
    </row>
    <row r="4295" customFormat="false" ht="15" hidden="false" customHeight="false" outlineLevel="0" collapsed="false">
      <c r="A4295" s="16" t="s">
        <v>13505</v>
      </c>
      <c r="B4295" s="16" t="n">
        <v>4290</v>
      </c>
      <c r="C4295" s="16" t="s">
        <v>13506</v>
      </c>
      <c r="D4295" s="16" t="n">
        <v>6</v>
      </c>
      <c r="E4295" s="35" t="s">
        <v>13507</v>
      </c>
      <c r="F4295" s="16" t="s">
        <v>1285</v>
      </c>
      <c r="G4295" s="16" t="s">
        <v>882</v>
      </c>
      <c r="H4295" s="16" t="s">
        <v>13359</v>
      </c>
      <c r="I4295" s="16" t="s">
        <v>136</v>
      </c>
      <c r="J4295" s="16" t="s">
        <v>13504</v>
      </c>
      <c r="K4295" s="32" t="n">
        <v>2</v>
      </c>
      <c r="L4295" s="33" t="n">
        <v>46099</v>
      </c>
      <c r="M4295" s="33" t="n">
        <v>46100</v>
      </c>
      <c r="N4295" s="16" t="s">
        <v>13508</v>
      </c>
      <c r="O4295" s="16"/>
      <c r="P4295" s="16" t="str">
        <f aca="false">IF(AND(L4295&lt;=$D$2,M4295&gt;=$C$2),"Sí","")</f>
        <v/>
      </c>
      <c r="Q4295" s="18" t="str">
        <f aca="false">IF(COUNTIF(LOOKAHEAD!$A$5:$A$604,A4295)&gt;0,"En Lookahead",IF(P4295="Sí","INCORPORAR",""))</f>
        <v/>
      </c>
    </row>
    <row r="4296" customFormat="false" ht="15" hidden="false" customHeight="false" outlineLevel="0" collapsed="false">
      <c r="A4296" s="16" t="s">
        <v>13509</v>
      </c>
      <c r="B4296" s="16" t="n">
        <v>4291</v>
      </c>
      <c r="C4296" s="16" t="s">
        <v>13510</v>
      </c>
      <c r="D4296" s="16" t="n">
        <v>6</v>
      </c>
      <c r="E4296" s="35" t="s">
        <v>13511</v>
      </c>
      <c r="F4296" s="16" t="s">
        <v>1285</v>
      </c>
      <c r="G4296" s="16" t="s">
        <v>882</v>
      </c>
      <c r="H4296" s="16" t="s">
        <v>13359</v>
      </c>
      <c r="I4296" s="16" t="s">
        <v>136</v>
      </c>
      <c r="J4296" s="16" t="s">
        <v>13504</v>
      </c>
      <c r="K4296" s="32" t="n">
        <v>3</v>
      </c>
      <c r="L4296" s="33" t="n">
        <v>46099</v>
      </c>
      <c r="M4296" s="33" t="n">
        <v>46101</v>
      </c>
      <c r="N4296" s="16" t="s">
        <v>13512</v>
      </c>
      <c r="O4296" s="16"/>
      <c r="P4296" s="16" t="str">
        <f aca="false">IF(AND(L4296&lt;=$D$2,M4296&gt;=$C$2),"Sí","")</f>
        <v/>
      </c>
      <c r="Q4296" s="18" t="str">
        <f aca="false">IF(COUNTIF(LOOKAHEAD!$A$5:$A$604,A4296)&gt;0,"En Lookahead",IF(P4296="Sí","INCORPORAR",""))</f>
        <v/>
      </c>
    </row>
    <row r="4297" customFormat="false" ht="15" hidden="false" customHeight="false" outlineLevel="0" collapsed="false">
      <c r="A4297" s="16" t="s">
        <v>13513</v>
      </c>
      <c r="B4297" s="16" t="n">
        <v>4292</v>
      </c>
      <c r="C4297" s="16" t="s">
        <v>13514</v>
      </c>
      <c r="D4297" s="16" t="n">
        <v>6</v>
      </c>
      <c r="E4297" s="35" t="s">
        <v>13515</v>
      </c>
      <c r="F4297" s="16" t="s">
        <v>1285</v>
      </c>
      <c r="G4297" s="16" t="s">
        <v>882</v>
      </c>
      <c r="H4297" s="16" t="s">
        <v>13359</v>
      </c>
      <c r="I4297" s="16" t="s">
        <v>136</v>
      </c>
      <c r="J4297" s="16" t="s">
        <v>13504</v>
      </c>
      <c r="K4297" s="32" t="n">
        <v>1</v>
      </c>
      <c r="L4297" s="33" t="n">
        <v>46099</v>
      </c>
      <c r="M4297" s="33" t="n">
        <v>46099</v>
      </c>
      <c r="N4297" s="16" t="s">
        <v>13512</v>
      </c>
      <c r="O4297" s="16"/>
      <c r="P4297" s="16" t="str">
        <f aca="false">IF(AND(L4297&lt;=$D$2,M4297&gt;=$C$2),"Sí","")</f>
        <v/>
      </c>
      <c r="Q4297" s="18" t="str">
        <f aca="false">IF(COUNTIF(LOOKAHEAD!$A$5:$A$604,A4297)&gt;0,"En Lookahead",IF(P4297="Sí","INCORPORAR",""))</f>
        <v/>
      </c>
    </row>
    <row r="4298" customFormat="false" ht="15" hidden="false" customHeight="false" outlineLevel="0" collapsed="false">
      <c r="A4298" s="16" t="s">
        <v>13516</v>
      </c>
      <c r="B4298" s="16" t="n">
        <v>4293</v>
      </c>
      <c r="C4298" s="16" t="s">
        <v>13517</v>
      </c>
      <c r="D4298" s="16" t="n">
        <v>6</v>
      </c>
      <c r="E4298" s="35" t="s">
        <v>13518</v>
      </c>
      <c r="F4298" s="16" t="s">
        <v>1285</v>
      </c>
      <c r="G4298" s="16" t="s">
        <v>882</v>
      </c>
      <c r="H4298" s="16" t="s">
        <v>13359</v>
      </c>
      <c r="I4298" s="16" t="s">
        <v>136</v>
      </c>
      <c r="J4298" s="16" t="s">
        <v>13504</v>
      </c>
      <c r="K4298" s="32" t="n">
        <v>1</v>
      </c>
      <c r="L4298" s="33" t="n">
        <v>46099</v>
      </c>
      <c r="M4298" s="33" t="n">
        <v>46099</v>
      </c>
      <c r="N4298" s="16" t="s">
        <v>13512</v>
      </c>
      <c r="O4298" s="16"/>
      <c r="P4298" s="16" t="str">
        <f aca="false">IF(AND(L4298&lt;=$D$2,M4298&gt;=$C$2),"Sí","")</f>
        <v/>
      </c>
      <c r="Q4298" s="18" t="str">
        <f aca="false">IF(COUNTIF(LOOKAHEAD!$A$5:$A$604,A4298)&gt;0,"En Lookahead",IF(P4298="Sí","INCORPORAR",""))</f>
        <v/>
      </c>
    </row>
    <row r="4299" customFormat="false" ht="15" hidden="false" customHeight="false" outlineLevel="0" collapsed="false">
      <c r="A4299" s="16" t="s">
        <v>13519</v>
      </c>
      <c r="B4299" s="16" t="n">
        <v>4294</v>
      </c>
      <c r="C4299" s="16" t="s">
        <v>13520</v>
      </c>
      <c r="D4299" s="16" t="n">
        <v>6</v>
      </c>
      <c r="E4299" s="35" t="s">
        <v>13521</v>
      </c>
      <c r="F4299" s="16" t="s">
        <v>1285</v>
      </c>
      <c r="G4299" s="16" t="s">
        <v>882</v>
      </c>
      <c r="H4299" s="16" t="s">
        <v>13359</v>
      </c>
      <c r="I4299" s="16" t="s">
        <v>136</v>
      </c>
      <c r="J4299" s="16" t="s">
        <v>13504</v>
      </c>
      <c r="K4299" s="32" t="n">
        <v>2</v>
      </c>
      <c r="L4299" s="33" t="n">
        <v>46099</v>
      </c>
      <c r="M4299" s="33" t="n">
        <v>46100</v>
      </c>
      <c r="N4299" s="16" t="s">
        <v>13512</v>
      </c>
      <c r="O4299" s="16"/>
      <c r="P4299" s="16" t="str">
        <f aca="false">IF(AND(L4299&lt;=$D$2,M4299&gt;=$C$2),"Sí","")</f>
        <v/>
      </c>
      <c r="Q4299" s="18" t="str">
        <f aca="false">IF(COUNTIF(LOOKAHEAD!$A$5:$A$604,A4299)&gt;0,"En Lookahead",IF(P4299="Sí","INCORPORAR",""))</f>
        <v/>
      </c>
    </row>
    <row r="4300" customFormat="false" ht="15" hidden="false" customHeight="false" outlineLevel="0" collapsed="false">
      <c r="A4300" s="16" t="s">
        <v>13522</v>
      </c>
      <c r="B4300" s="16" t="n">
        <v>4295</v>
      </c>
      <c r="C4300" s="16" t="s">
        <v>13523</v>
      </c>
      <c r="D4300" s="16" t="n">
        <v>6</v>
      </c>
      <c r="E4300" s="35" t="s">
        <v>13524</v>
      </c>
      <c r="F4300" s="16" t="s">
        <v>1285</v>
      </c>
      <c r="G4300" s="16" t="s">
        <v>882</v>
      </c>
      <c r="H4300" s="16" t="s">
        <v>13359</v>
      </c>
      <c r="I4300" s="16" t="s">
        <v>136</v>
      </c>
      <c r="J4300" s="16" t="s">
        <v>13504</v>
      </c>
      <c r="K4300" s="32" t="n">
        <v>1</v>
      </c>
      <c r="L4300" s="33" t="n">
        <v>46099</v>
      </c>
      <c r="M4300" s="33" t="n">
        <v>46099</v>
      </c>
      <c r="N4300" s="16" t="s">
        <v>13512</v>
      </c>
      <c r="O4300" s="16"/>
      <c r="P4300" s="16" t="str">
        <f aca="false">IF(AND(L4300&lt;=$D$2,M4300&gt;=$C$2),"Sí","")</f>
        <v/>
      </c>
      <c r="Q4300" s="18" t="str">
        <f aca="false">IF(COUNTIF(LOOKAHEAD!$A$5:$A$604,A4300)&gt;0,"En Lookahead",IF(P4300="Sí","INCORPORAR",""))</f>
        <v/>
      </c>
    </row>
    <row r="4301" customFormat="false" ht="15" hidden="false" customHeight="false" outlineLevel="0" collapsed="false">
      <c r="A4301" s="16" t="s">
        <v>13525</v>
      </c>
      <c r="B4301" s="16" t="n">
        <v>4296</v>
      </c>
      <c r="C4301" s="16" t="s">
        <v>13526</v>
      </c>
      <c r="D4301" s="16" t="n">
        <v>6</v>
      </c>
      <c r="E4301" s="35" t="s">
        <v>13527</v>
      </c>
      <c r="F4301" s="16" t="s">
        <v>1285</v>
      </c>
      <c r="G4301" s="16" t="s">
        <v>882</v>
      </c>
      <c r="H4301" s="16" t="s">
        <v>13359</v>
      </c>
      <c r="I4301" s="16" t="s">
        <v>136</v>
      </c>
      <c r="J4301" s="16" t="s">
        <v>13504</v>
      </c>
      <c r="K4301" s="32" t="n">
        <v>1</v>
      </c>
      <c r="L4301" s="33" t="n">
        <v>46099</v>
      </c>
      <c r="M4301" s="33" t="n">
        <v>46099</v>
      </c>
      <c r="N4301" s="16" t="s">
        <v>13512</v>
      </c>
      <c r="O4301" s="16"/>
      <c r="P4301" s="16" t="str">
        <f aca="false">IF(AND(L4301&lt;=$D$2,M4301&gt;=$C$2),"Sí","")</f>
        <v/>
      </c>
      <c r="Q4301" s="18" t="str">
        <f aca="false">IF(COUNTIF(LOOKAHEAD!$A$5:$A$604,A4301)&gt;0,"En Lookahead",IF(P4301="Sí","INCORPORAR",""))</f>
        <v/>
      </c>
    </row>
    <row r="4302" customFormat="false" ht="15" hidden="false" customHeight="false" outlineLevel="0" collapsed="false">
      <c r="A4302" s="16" t="s">
        <v>13528</v>
      </c>
      <c r="B4302" s="16" t="n">
        <v>4297</v>
      </c>
      <c r="C4302" s="16" t="s">
        <v>13529</v>
      </c>
      <c r="D4302" s="16" t="n">
        <v>6</v>
      </c>
      <c r="E4302" s="35" t="s">
        <v>13530</v>
      </c>
      <c r="F4302" s="16" t="s">
        <v>1285</v>
      </c>
      <c r="G4302" s="16" t="s">
        <v>882</v>
      </c>
      <c r="H4302" s="16" t="s">
        <v>13359</v>
      </c>
      <c r="I4302" s="16" t="s">
        <v>136</v>
      </c>
      <c r="J4302" s="16" t="s">
        <v>13504</v>
      </c>
      <c r="K4302" s="32" t="n">
        <v>1</v>
      </c>
      <c r="L4302" s="33" t="n">
        <v>46099</v>
      </c>
      <c r="M4302" s="33" t="n">
        <v>46099</v>
      </c>
      <c r="N4302" s="16" t="s">
        <v>13512</v>
      </c>
      <c r="O4302" s="16"/>
      <c r="P4302" s="16" t="str">
        <f aca="false">IF(AND(L4302&lt;=$D$2,M4302&gt;=$C$2),"Sí","")</f>
        <v/>
      </c>
      <c r="Q4302" s="18" t="str">
        <f aca="false">IF(COUNTIF(LOOKAHEAD!$A$5:$A$604,A4302)&gt;0,"En Lookahead",IF(P4302="Sí","INCORPORAR",""))</f>
        <v/>
      </c>
    </row>
    <row r="4303" customFormat="false" ht="15" hidden="false" customHeight="false" outlineLevel="0" collapsed="false">
      <c r="A4303" s="16" t="s">
        <v>13531</v>
      </c>
      <c r="B4303" s="16" t="n">
        <v>4298</v>
      </c>
      <c r="C4303" s="16" t="s">
        <v>13532</v>
      </c>
      <c r="D4303" s="16" t="n">
        <v>6</v>
      </c>
      <c r="E4303" s="35" t="s">
        <v>13533</v>
      </c>
      <c r="F4303" s="16" t="s">
        <v>1285</v>
      </c>
      <c r="G4303" s="16" t="s">
        <v>882</v>
      </c>
      <c r="H4303" s="16" t="s">
        <v>13359</v>
      </c>
      <c r="I4303" s="16" t="s">
        <v>136</v>
      </c>
      <c r="J4303" s="16" t="s">
        <v>13504</v>
      </c>
      <c r="K4303" s="32" t="n">
        <v>1</v>
      </c>
      <c r="L4303" s="33" t="n">
        <v>46100</v>
      </c>
      <c r="M4303" s="33" t="n">
        <v>46100</v>
      </c>
      <c r="N4303" s="16" t="s">
        <v>13534</v>
      </c>
      <c r="O4303" s="16"/>
      <c r="P4303" s="16" t="str">
        <f aca="false">IF(AND(L4303&lt;=$D$2,M4303&gt;=$C$2),"Sí","")</f>
        <v/>
      </c>
      <c r="Q4303" s="18" t="str">
        <f aca="false">IF(COUNTIF(LOOKAHEAD!$A$5:$A$604,A4303)&gt;0,"En Lookahead",IF(P4303="Sí","INCORPORAR",""))</f>
        <v/>
      </c>
    </row>
    <row r="4304" customFormat="false" ht="15" hidden="false" customHeight="false" outlineLevel="0" collapsed="false">
      <c r="A4304" s="16" t="s">
        <v>13535</v>
      </c>
      <c r="B4304" s="16" t="n">
        <v>4299</v>
      </c>
      <c r="C4304" s="16" t="s">
        <v>13536</v>
      </c>
      <c r="D4304" s="16" t="n">
        <v>6</v>
      </c>
      <c r="E4304" s="35" t="s">
        <v>13537</v>
      </c>
      <c r="F4304" s="16" t="s">
        <v>1285</v>
      </c>
      <c r="G4304" s="16" t="s">
        <v>882</v>
      </c>
      <c r="H4304" s="16" t="s">
        <v>13359</v>
      </c>
      <c r="I4304" s="16" t="s">
        <v>136</v>
      </c>
      <c r="J4304" s="16" t="s">
        <v>13504</v>
      </c>
      <c r="K4304" s="32" t="n">
        <v>1</v>
      </c>
      <c r="L4304" s="33" t="n">
        <v>46099</v>
      </c>
      <c r="M4304" s="33" t="n">
        <v>46099</v>
      </c>
      <c r="N4304" s="16" t="s">
        <v>13512</v>
      </c>
      <c r="O4304" s="16"/>
      <c r="P4304" s="16" t="str">
        <f aca="false">IF(AND(L4304&lt;=$D$2,M4304&gt;=$C$2),"Sí","")</f>
        <v/>
      </c>
      <c r="Q4304" s="18" t="str">
        <f aca="false">IF(COUNTIF(LOOKAHEAD!$A$5:$A$604,A4304)&gt;0,"En Lookahead",IF(P4304="Sí","INCORPORAR",""))</f>
        <v/>
      </c>
    </row>
    <row r="4305" customFormat="false" ht="15" hidden="false" customHeight="false" outlineLevel="0" collapsed="false">
      <c r="A4305" s="16" t="s">
        <v>13538</v>
      </c>
      <c r="B4305" s="16" t="n">
        <v>4300</v>
      </c>
      <c r="C4305" s="16" t="s">
        <v>13539</v>
      </c>
      <c r="D4305" s="16" t="n">
        <v>6</v>
      </c>
      <c r="E4305" s="35" t="s">
        <v>13540</v>
      </c>
      <c r="F4305" s="16" t="s">
        <v>1285</v>
      </c>
      <c r="G4305" s="16" t="s">
        <v>882</v>
      </c>
      <c r="H4305" s="16" t="s">
        <v>13359</v>
      </c>
      <c r="I4305" s="16" t="s">
        <v>136</v>
      </c>
      <c r="J4305" s="16" t="s">
        <v>13504</v>
      </c>
      <c r="K4305" s="32" t="n">
        <v>3</v>
      </c>
      <c r="L4305" s="33" t="n">
        <v>46099</v>
      </c>
      <c r="M4305" s="33" t="n">
        <v>46101</v>
      </c>
      <c r="N4305" s="16" t="s">
        <v>13541</v>
      </c>
      <c r="O4305" s="16"/>
      <c r="P4305" s="16" t="str">
        <f aca="false">IF(AND(L4305&lt;=$D$2,M4305&gt;=$C$2),"Sí","")</f>
        <v/>
      </c>
      <c r="Q4305" s="18" t="str">
        <f aca="false">IF(COUNTIF(LOOKAHEAD!$A$5:$A$604,A4305)&gt;0,"En Lookahead",IF(P4305="Sí","INCORPORAR",""))</f>
        <v/>
      </c>
    </row>
    <row r="4306" customFormat="false" ht="15" hidden="false" customHeight="false" outlineLevel="0" collapsed="false">
      <c r="A4306" s="16" t="s">
        <v>13542</v>
      </c>
      <c r="B4306" s="16" t="n">
        <v>4301</v>
      </c>
      <c r="C4306" s="16" t="s">
        <v>13543</v>
      </c>
      <c r="D4306" s="16" t="n">
        <v>6</v>
      </c>
      <c r="E4306" s="35" t="s">
        <v>13544</v>
      </c>
      <c r="F4306" s="16" t="s">
        <v>1285</v>
      </c>
      <c r="G4306" s="16" t="s">
        <v>882</v>
      </c>
      <c r="H4306" s="16" t="s">
        <v>13359</v>
      </c>
      <c r="I4306" s="16" t="s">
        <v>136</v>
      </c>
      <c r="J4306" s="16" t="s">
        <v>13504</v>
      </c>
      <c r="K4306" s="32" t="n">
        <v>1</v>
      </c>
      <c r="L4306" s="33" t="n">
        <v>46102</v>
      </c>
      <c r="M4306" s="33" t="n">
        <v>46102</v>
      </c>
      <c r="N4306" s="16" t="s">
        <v>13545</v>
      </c>
      <c r="O4306" s="16"/>
      <c r="P4306" s="16" t="str">
        <f aca="false">IF(AND(L4306&lt;=$D$2,M4306&gt;=$C$2),"Sí","")</f>
        <v/>
      </c>
      <c r="Q4306" s="18" t="str">
        <f aca="false">IF(COUNTIF(LOOKAHEAD!$A$5:$A$604,A4306)&gt;0,"En Lookahead",IF(P4306="Sí","INCORPORAR",""))</f>
        <v/>
      </c>
    </row>
    <row r="4307" customFormat="false" ht="15" hidden="false" customHeight="false" outlineLevel="0" collapsed="false">
      <c r="A4307" s="16" t="s">
        <v>13546</v>
      </c>
      <c r="B4307" s="16" t="n">
        <v>4302</v>
      </c>
      <c r="C4307" s="16" t="s">
        <v>13547</v>
      </c>
      <c r="D4307" s="16" t="n">
        <v>6</v>
      </c>
      <c r="E4307" s="35" t="s">
        <v>13548</v>
      </c>
      <c r="F4307" s="16" t="s">
        <v>1285</v>
      </c>
      <c r="G4307" s="16" t="s">
        <v>882</v>
      </c>
      <c r="H4307" s="16" t="s">
        <v>13359</v>
      </c>
      <c r="I4307" s="16" t="s">
        <v>136</v>
      </c>
      <c r="J4307" s="16" t="s">
        <v>13504</v>
      </c>
      <c r="K4307" s="32" t="n">
        <v>1</v>
      </c>
      <c r="L4307" s="33" t="n">
        <v>46103</v>
      </c>
      <c r="M4307" s="33" t="n">
        <v>46103</v>
      </c>
      <c r="N4307" s="16" t="s">
        <v>13549</v>
      </c>
      <c r="O4307" s="16"/>
      <c r="P4307" s="16" t="str">
        <f aca="false">IF(AND(L4307&lt;=$D$2,M4307&gt;=$C$2),"Sí","")</f>
        <v/>
      </c>
      <c r="Q4307" s="18" t="str">
        <f aca="false">IF(COUNTIF(LOOKAHEAD!$A$5:$A$604,A4307)&gt;0,"En Lookahead",IF(P4307="Sí","INCORPORAR",""))</f>
        <v/>
      </c>
    </row>
    <row r="4308" customFormat="false" ht="15" hidden="false" customHeight="false" outlineLevel="0" collapsed="false">
      <c r="A4308" s="16" t="s">
        <v>13550</v>
      </c>
      <c r="B4308" s="16" t="n">
        <v>4303</v>
      </c>
      <c r="C4308" s="16" t="s">
        <v>13551</v>
      </c>
      <c r="D4308" s="16" t="n">
        <v>6</v>
      </c>
      <c r="E4308" s="35" t="s">
        <v>13552</v>
      </c>
      <c r="F4308" s="16" t="s">
        <v>1285</v>
      </c>
      <c r="G4308" s="16" t="s">
        <v>882</v>
      </c>
      <c r="H4308" s="16" t="s">
        <v>13359</v>
      </c>
      <c r="I4308" s="16" t="s">
        <v>136</v>
      </c>
      <c r="J4308" s="16" t="s">
        <v>13504</v>
      </c>
      <c r="K4308" s="32" t="n">
        <v>9</v>
      </c>
      <c r="L4308" s="33" t="n">
        <v>46104</v>
      </c>
      <c r="M4308" s="33" t="n">
        <v>46112</v>
      </c>
      <c r="N4308" s="16" t="s">
        <v>13553</v>
      </c>
      <c r="O4308" s="16"/>
      <c r="P4308" s="16" t="str">
        <f aca="false">IF(AND(L4308&lt;=$D$2,M4308&gt;=$C$2),"Sí","")</f>
        <v/>
      </c>
      <c r="Q4308" s="18" t="str">
        <f aca="false">IF(COUNTIF(LOOKAHEAD!$A$5:$A$604,A4308)&gt;0,"En Lookahead",IF(P4308="Sí","INCORPORAR",""))</f>
        <v/>
      </c>
    </row>
    <row r="4309" customFormat="false" ht="15" hidden="false" customHeight="false" outlineLevel="0" collapsed="false">
      <c r="A4309" s="16" t="s">
        <v>13554</v>
      </c>
      <c r="B4309" s="16" t="n">
        <v>4304</v>
      </c>
      <c r="C4309" s="16" t="s">
        <v>13555</v>
      </c>
      <c r="D4309" s="16" t="n">
        <v>6</v>
      </c>
      <c r="E4309" s="35" t="s">
        <v>13556</v>
      </c>
      <c r="F4309" s="16" t="s">
        <v>1285</v>
      </c>
      <c r="G4309" s="16" t="s">
        <v>882</v>
      </c>
      <c r="H4309" s="16" t="s">
        <v>13359</v>
      </c>
      <c r="I4309" s="16" t="s">
        <v>136</v>
      </c>
      <c r="J4309" s="16" t="s">
        <v>13504</v>
      </c>
      <c r="K4309" s="32" t="n">
        <v>1</v>
      </c>
      <c r="L4309" s="33" t="n">
        <v>46113</v>
      </c>
      <c r="M4309" s="33" t="n">
        <v>46113</v>
      </c>
      <c r="N4309" s="16" t="s">
        <v>13557</v>
      </c>
      <c r="O4309" s="16"/>
      <c r="P4309" s="16" t="str">
        <f aca="false">IF(AND(L4309&lt;=$D$2,M4309&gt;=$C$2),"Sí","")</f>
        <v/>
      </c>
      <c r="Q4309" s="18" t="str">
        <f aca="false">IF(COUNTIF(LOOKAHEAD!$A$5:$A$604,A4309)&gt;0,"En Lookahead",IF(P4309="Sí","INCORPORAR",""))</f>
        <v/>
      </c>
    </row>
    <row r="4310" customFormat="false" ht="15" hidden="false" customHeight="false" outlineLevel="0" collapsed="false">
      <c r="A4310" s="13" t="s">
        <v>13558</v>
      </c>
      <c r="B4310" s="13" t="n">
        <v>4305</v>
      </c>
      <c r="C4310" s="13" t="s">
        <v>13559</v>
      </c>
      <c r="D4310" s="13" t="n">
        <v>5</v>
      </c>
      <c r="E4310" s="34" t="s">
        <v>13560</v>
      </c>
      <c r="F4310" s="13" t="s">
        <v>1298</v>
      </c>
      <c r="G4310" s="13" t="s">
        <v>882</v>
      </c>
      <c r="H4310" s="13" t="s">
        <v>13359</v>
      </c>
      <c r="I4310" s="13" t="s">
        <v>136</v>
      </c>
      <c r="J4310" s="13" t="s">
        <v>13359</v>
      </c>
      <c r="K4310" s="30" t="n">
        <v>198</v>
      </c>
      <c r="L4310" s="31" t="n">
        <v>46100</v>
      </c>
      <c r="M4310" s="31" t="n">
        <v>46377</v>
      </c>
      <c r="N4310" s="13"/>
      <c r="O4310" s="13"/>
      <c r="P4310" s="13"/>
      <c r="Q4310" s="13"/>
    </row>
    <row r="4311" customFormat="false" ht="15" hidden="false" customHeight="false" outlineLevel="0" collapsed="false">
      <c r="A4311" s="16" t="s">
        <v>13561</v>
      </c>
      <c r="B4311" s="16" t="n">
        <v>4306</v>
      </c>
      <c r="C4311" s="16" t="s">
        <v>13562</v>
      </c>
      <c r="D4311" s="16" t="n">
        <v>6</v>
      </c>
      <c r="E4311" s="35" t="s">
        <v>13563</v>
      </c>
      <c r="F4311" s="16" t="s">
        <v>1285</v>
      </c>
      <c r="G4311" s="16" t="s">
        <v>882</v>
      </c>
      <c r="H4311" s="16" t="s">
        <v>13359</v>
      </c>
      <c r="I4311" s="16" t="s">
        <v>136</v>
      </c>
      <c r="J4311" s="16" t="s">
        <v>13560</v>
      </c>
      <c r="K4311" s="32" t="n">
        <v>22</v>
      </c>
      <c r="L4311" s="33" t="n">
        <v>46100</v>
      </c>
      <c r="M4311" s="33" t="n">
        <v>46121</v>
      </c>
      <c r="N4311" s="16" t="s">
        <v>13564</v>
      </c>
      <c r="O4311" s="16"/>
      <c r="P4311" s="16" t="str">
        <f aca="false">IF(AND(L4311&lt;=$D$2,M4311&gt;=$C$2),"Sí","")</f>
        <v/>
      </c>
      <c r="Q4311" s="18" t="str">
        <f aca="false">IF(COUNTIF(LOOKAHEAD!$A$5:$A$604,A4311)&gt;0,"En Lookahead",IF(P4311="Sí","INCORPORAR",""))</f>
        <v/>
      </c>
    </row>
    <row r="4312" customFormat="false" ht="15" hidden="false" customHeight="false" outlineLevel="0" collapsed="false">
      <c r="A4312" s="16" t="s">
        <v>13565</v>
      </c>
      <c r="B4312" s="16" t="n">
        <v>4307</v>
      </c>
      <c r="C4312" s="16" t="s">
        <v>13566</v>
      </c>
      <c r="D4312" s="16" t="n">
        <v>6</v>
      </c>
      <c r="E4312" s="35" t="s">
        <v>13567</v>
      </c>
      <c r="F4312" s="16" t="s">
        <v>1285</v>
      </c>
      <c r="G4312" s="16" t="s">
        <v>882</v>
      </c>
      <c r="H4312" s="16" t="s">
        <v>13359</v>
      </c>
      <c r="I4312" s="16" t="s">
        <v>136</v>
      </c>
      <c r="J4312" s="16" t="s">
        <v>13560</v>
      </c>
      <c r="K4312" s="32" t="n">
        <v>2</v>
      </c>
      <c r="L4312" s="33" t="n">
        <v>46122</v>
      </c>
      <c r="M4312" s="33" t="n">
        <v>46123</v>
      </c>
      <c r="N4312" s="16" t="s">
        <v>13568</v>
      </c>
      <c r="O4312" s="16"/>
      <c r="P4312" s="16" t="str">
        <f aca="false">IF(AND(L4312&lt;=$D$2,M4312&gt;=$C$2),"Sí","")</f>
        <v/>
      </c>
      <c r="Q4312" s="18" t="str">
        <f aca="false">IF(COUNTIF(LOOKAHEAD!$A$5:$A$604,A4312)&gt;0,"En Lookahead",IF(P4312="Sí","INCORPORAR",""))</f>
        <v/>
      </c>
    </row>
    <row r="4313" customFormat="false" ht="15" hidden="false" customHeight="false" outlineLevel="0" collapsed="false">
      <c r="A4313" s="16" t="s">
        <v>13569</v>
      </c>
      <c r="B4313" s="16" t="n">
        <v>4308</v>
      </c>
      <c r="C4313" s="16" t="s">
        <v>13570</v>
      </c>
      <c r="D4313" s="16" t="n">
        <v>6</v>
      </c>
      <c r="E4313" s="35" t="s">
        <v>13571</v>
      </c>
      <c r="F4313" s="16" t="s">
        <v>1285</v>
      </c>
      <c r="G4313" s="16" t="s">
        <v>882</v>
      </c>
      <c r="H4313" s="16" t="s">
        <v>13359</v>
      </c>
      <c r="I4313" s="16" t="s">
        <v>136</v>
      </c>
      <c r="J4313" s="16" t="s">
        <v>13560</v>
      </c>
      <c r="K4313" s="32" t="n">
        <v>4</v>
      </c>
      <c r="L4313" s="33" t="n">
        <v>46124</v>
      </c>
      <c r="M4313" s="33" t="n">
        <v>46127</v>
      </c>
      <c r="N4313" s="16" t="s">
        <v>13572</v>
      </c>
      <c r="O4313" s="16"/>
      <c r="P4313" s="16" t="str">
        <f aca="false">IF(AND(L4313&lt;=$D$2,M4313&gt;=$C$2),"Sí","")</f>
        <v/>
      </c>
      <c r="Q4313" s="18" t="str">
        <f aca="false">IF(COUNTIF(LOOKAHEAD!$A$5:$A$604,A4313)&gt;0,"En Lookahead",IF(P4313="Sí","INCORPORAR",""))</f>
        <v/>
      </c>
    </row>
    <row r="4314" customFormat="false" ht="15" hidden="false" customHeight="false" outlineLevel="0" collapsed="false">
      <c r="A4314" s="16" t="s">
        <v>13573</v>
      </c>
      <c r="B4314" s="16" t="n">
        <v>4309</v>
      </c>
      <c r="C4314" s="16" t="s">
        <v>13574</v>
      </c>
      <c r="D4314" s="16" t="n">
        <v>6</v>
      </c>
      <c r="E4314" s="35" t="s">
        <v>13575</v>
      </c>
      <c r="F4314" s="16" t="s">
        <v>1285</v>
      </c>
      <c r="G4314" s="16" t="s">
        <v>882</v>
      </c>
      <c r="H4314" s="16" t="s">
        <v>13359</v>
      </c>
      <c r="I4314" s="16" t="s">
        <v>136</v>
      </c>
      <c r="J4314" s="16" t="s">
        <v>13560</v>
      </c>
      <c r="K4314" s="32" t="n">
        <v>1</v>
      </c>
      <c r="L4314" s="33" t="n">
        <v>46128</v>
      </c>
      <c r="M4314" s="33" t="n">
        <v>46128</v>
      </c>
      <c r="N4314" s="16" t="s">
        <v>13576</v>
      </c>
      <c r="O4314" s="16"/>
      <c r="P4314" s="16" t="str">
        <f aca="false">IF(AND(L4314&lt;=$D$2,M4314&gt;=$C$2),"Sí","")</f>
        <v/>
      </c>
      <c r="Q4314" s="18" t="str">
        <f aca="false">IF(COUNTIF(LOOKAHEAD!$A$5:$A$604,A4314)&gt;0,"En Lookahead",IF(P4314="Sí","INCORPORAR",""))</f>
        <v/>
      </c>
    </row>
    <row r="4315" customFormat="false" ht="15" hidden="false" customHeight="false" outlineLevel="0" collapsed="false">
      <c r="A4315" s="16" t="s">
        <v>13577</v>
      </c>
      <c r="B4315" s="16" t="n">
        <v>4310</v>
      </c>
      <c r="C4315" s="16" t="s">
        <v>13578</v>
      </c>
      <c r="D4315" s="16" t="n">
        <v>6</v>
      </c>
      <c r="E4315" s="35" t="s">
        <v>13579</v>
      </c>
      <c r="F4315" s="16" t="s">
        <v>1285</v>
      </c>
      <c r="G4315" s="16" t="s">
        <v>882</v>
      </c>
      <c r="H4315" s="16" t="s">
        <v>13359</v>
      </c>
      <c r="I4315" s="16" t="s">
        <v>136</v>
      </c>
      <c r="J4315" s="16" t="s">
        <v>13560</v>
      </c>
      <c r="K4315" s="32" t="n">
        <v>1</v>
      </c>
      <c r="L4315" s="33" t="n">
        <v>46129</v>
      </c>
      <c r="M4315" s="33" t="n">
        <v>46129</v>
      </c>
      <c r="N4315" s="16" t="s">
        <v>13580</v>
      </c>
      <c r="O4315" s="16"/>
      <c r="P4315" s="16" t="str">
        <f aca="false">IF(AND(L4315&lt;=$D$2,M4315&gt;=$C$2),"Sí","")</f>
        <v/>
      </c>
      <c r="Q4315" s="18" t="str">
        <f aca="false">IF(COUNTIF(LOOKAHEAD!$A$5:$A$604,A4315)&gt;0,"En Lookahead",IF(P4315="Sí","INCORPORAR",""))</f>
        <v/>
      </c>
    </row>
    <row r="4316" customFormat="false" ht="15" hidden="false" customHeight="false" outlineLevel="0" collapsed="false">
      <c r="A4316" s="16" t="s">
        <v>13581</v>
      </c>
      <c r="B4316" s="16" t="n">
        <v>4311</v>
      </c>
      <c r="C4316" s="16" t="s">
        <v>13582</v>
      </c>
      <c r="D4316" s="16" t="n">
        <v>6</v>
      </c>
      <c r="E4316" s="35" t="s">
        <v>13583</v>
      </c>
      <c r="F4316" s="16" t="s">
        <v>1285</v>
      </c>
      <c r="G4316" s="16" t="s">
        <v>882</v>
      </c>
      <c r="H4316" s="16" t="s">
        <v>13359</v>
      </c>
      <c r="I4316" s="16" t="s">
        <v>136</v>
      </c>
      <c r="J4316" s="16" t="s">
        <v>13560</v>
      </c>
      <c r="K4316" s="32" t="n">
        <v>1</v>
      </c>
      <c r="L4316" s="33" t="n">
        <v>46130</v>
      </c>
      <c r="M4316" s="33" t="n">
        <v>46130</v>
      </c>
      <c r="N4316" s="16" t="s">
        <v>13584</v>
      </c>
      <c r="O4316" s="16"/>
      <c r="P4316" s="16" t="str">
        <f aca="false">IF(AND(L4316&lt;=$D$2,M4316&gt;=$C$2),"Sí","")</f>
        <v/>
      </c>
      <c r="Q4316" s="18" t="str">
        <f aca="false">IF(COUNTIF(LOOKAHEAD!$A$5:$A$604,A4316)&gt;0,"En Lookahead",IF(P4316="Sí","INCORPORAR",""))</f>
        <v/>
      </c>
    </row>
    <row r="4317" customFormat="false" ht="15" hidden="false" customHeight="false" outlineLevel="0" collapsed="false">
      <c r="A4317" s="16" t="s">
        <v>13585</v>
      </c>
      <c r="B4317" s="16" t="n">
        <v>4312</v>
      </c>
      <c r="C4317" s="16" t="s">
        <v>13586</v>
      </c>
      <c r="D4317" s="16" t="n">
        <v>6</v>
      </c>
      <c r="E4317" s="35" t="s">
        <v>13587</v>
      </c>
      <c r="F4317" s="16" t="s">
        <v>1285</v>
      </c>
      <c r="G4317" s="16" t="s">
        <v>882</v>
      </c>
      <c r="H4317" s="16" t="s">
        <v>13359</v>
      </c>
      <c r="I4317" s="16" t="s">
        <v>136</v>
      </c>
      <c r="J4317" s="16" t="s">
        <v>13560</v>
      </c>
      <c r="K4317" s="32" t="n">
        <v>2</v>
      </c>
      <c r="L4317" s="33" t="n">
        <v>46131</v>
      </c>
      <c r="M4317" s="33" t="n">
        <v>46132</v>
      </c>
      <c r="N4317" s="16" t="s">
        <v>13588</v>
      </c>
      <c r="O4317" s="16"/>
      <c r="P4317" s="16" t="str">
        <f aca="false">IF(AND(L4317&lt;=$D$2,M4317&gt;=$C$2),"Sí","")</f>
        <v/>
      </c>
      <c r="Q4317" s="18" t="str">
        <f aca="false">IF(COUNTIF(LOOKAHEAD!$A$5:$A$604,A4317)&gt;0,"En Lookahead",IF(P4317="Sí","INCORPORAR",""))</f>
        <v/>
      </c>
    </row>
    <row r="4318" customFormat="false" ht="15" hidden="false" customHeight="false" outlineLevel="0" collapsed="false">
      <c r="A4318" s="16" t="s">
        <v>13589</v>
      </c>
      <c r="B4318" s="16" t="n">
        <v>4313</v>
      </c>
      <c r="C4318" s="16" t="s">
        <v>13590</v>
      </c>
      <c r="D4318" s="16" t="n">
        <v>6</v>
      </c>
      <c r="E4318" s="35" t="s">
        <v>13591</v>
      </c>
      <c r="F4318" s="16" t="s">
        <v>1285</v>
      </c>
      <c r="G4318" s="16" t="s">
        <v>882</v>
      </c>
      <c r="H4318" s="16" t="s">
        <v>13359</v>
      </c>
      <c r="I4318" s="16" t="s">
        <v>136</v>
      </c>
      <c r="J4318" s="16" t="s">
        <v>13560</v>
      </c>
      <c r="K4318" s="32" t="n">
        <v>8</v>
      </c>
      <c r="L4318" s="33" t="n">
        <v>46133</v>
      </c>
      <c r="M4318" s="33" t="n">
        <v>46140</v>
      </c>
      <c r="N4318" s="16" t="s">
        <v>13592</v>
      </c>
      <c r="O4318" s="16"/>
      <c r="P4318" s="16" t="str">
        <f aca="false">IF(AND(L4318&lt;=$D$2,M4318&gt;=$C$2),"Sí","")</f>
        <v/>
      </c>
      <c r="Q4318" s="18" t="str">
        <f aca="false">IF(COUNTIF(LOOKAHEAD!$A$5:$A$604,A4318)&gt;0,"En Lookahead",IF(P4318="Sí","INCORPORAR",""))</f>
        <v/>
      </c>
    </row>
    <row r="4319" customFormat="false" ht="15" hidden="false" customHeight="false" outlineLevel="0" collapsed="false">
      <c r="A4319" s="16" t="s">
        <v>13593</v>
      </c>
      <c r="B4319" s="16" t="n">
        <v>4314</v>
      </c>
      <c r="C4319" s="16" t="s">
        <v>13594</v>
      </c>
      <c r="D4319" s="16" t="n">
        <v>6</v>
      </c>
      <c r="E4319" s="35" t="s">
        <v>13595</v>
      </c>
      <c r="F4319" s="16" t="s">
        <v>1285</v>
      </c>
      <c r="G4319" s="16" t="s">
        <v>882</v>
      </c>
      <c r="H4319" s="16" t="s">
        <v>13359</v>
      </c>
      <c r="I4319" s="16" t="s">
        <v>136</v>
      </c>
      <c r="J4319" s="16" t="s">
        <v>13560</v>
      </c>
      <c r="K4319" s="32" t="n">
        <v>2</v>
      </c>
      <c r="L4319" s="33" t="n">
        <v>46141</v>
      </c>
      <c r="M4319" s="33" t="n">
        <v>46142</v>
      </c>
      <c r="N4319" s="16" t="s">
        <v>13596</v>
      </c>
      <c r="O4319" s="16"/>
      <c r="P4319" s="16" t="str">
        <f aca="false">IF(AND(L4319&lt;=$D$2,M4319&gt;=$C$2),"Sí","")</f>
        <v/>
      </c>
      <c r="Q4319" s="18" t="str">
        <f aca="false">IF(COUNTIF(LOOKAHEAD!$A$5:$A$604,A4319)&gt;0,"En Lookahead",IF(P4319="Sí","INCORPORAR",""))</f>
        <v/>
      </c>
    </row>
    <row r="4320" customFormat="false" ht="15" hidden="false" customHeight="false" outlineLevel="0" collapsed="false">
      <c r="A4320" s="16" t="s">
        <v>13597</v>
      </c>
      <c r="B4320" s="16" t="n">
        <v>4315</v>
      </c>
      <c r="C4320" s="16" t="s">
        <v>13598</v>
      </c>
      <c r="D4320" s="16" t="n">
        <v>6</v>
      </c>
      <c r="E4320" s="35" t="s">
        <v>13599</v>
      </c>
      <c r="F4320" s="16" t="s">
        <v>1285</v>
      </c>
      <c r="G4320" s="16" t="s">
        <v>882</v>
      </c>
      <c r="H4320" s="16" t="s">
        <v>13359</v>
      </c>
      <c r="I4320" s="16" t="s">
        <v>136</v>
      </c>
      <c r="J4320" s="16" t="s">
        <v>13560</v>
      </c>
      <c r="K4320" s="32" t="n">
        <v>2</v>
      </c>
      <c r="L4320" s="33" t="n">
        <v>46373</v>
      </c>
      <c r="M4320" s="33" t="n">
        <v>46374</v>
      </c>
      <c r="N4320" s="16" t="s">
        <v>13600</v>
      </c>
      <c r="O4320" s="16"/>
      <c r="P4320" s="16" t="str">
        <f aca="false">IF(AND(L4320&lt;=$D$2,M4320&gt;=$C$2),"Sí","")</f>
        <v/>
      </c>
      <c r="Q4320" s="18" t="str">
        <f aca="false">IF(COUNTIF(LOOKAHEAD!$A$5:$A$604,A4320)&gt;0,"En Lookahead",IF(P4320="Sí","INCORPORAR",""))</f>
        <v/>
      </c>
    </row>
    <row r="4321" customFormat="false" ht="15" hidden="false" customHeight="false" outlineLevel="0" collapsed="false">
      <c r="A4321" s="16" t="s">
        <v>13601</v>
      </c>
      <c r="B4321" s="16" t="n">
        <v>4316</v>
      </c>
      <c r="C4321" s="16" t="s">
        <v>13602</v>
      </c>
      <c r="D4321" s="16" t="n">
        <v>6</v>
      </c>
      <c r="E4321" s="35" t="s">
        <v>13603</v>
      </c>
      <c r="F4321" s="16" t="s">
        <v>1285</v>
      </c>
      <c r="G4321" s="16" t="s">
        <v>882</v>
      </c>
      <c r="H4321" s="16" t="s">
        <v>13359</v>
      </c>
      <c r="I4321" s="16" t="s">
        <v>136</v>
      </c>
      <c r="J4321" s="16" t="s">
        <v>13560</v>
      </c>
      <c r="K4321" s="32" t="n">
        <v>1</v>
      </c>
      <c r="L4321" s="33" t="n">
        <v>46375</v>
      </c>
      <c r="M4321" s="33" t="n">
        <v>46375</v>
      </c>
      <c r="N4321" s="16" t="s">
        <v>13604</v>
      </c>
      <c r="O4321" s="16"/>
      <c r="P4321" s="16" t="str">
        <f aca="false">IF(AND(L4321&lt;=$D$2,M4321&gt;=$C$2),"Sí","")</f>
        <v/>
      </c>
      <c r="Q4321" s="18" t="str">
        <f aca="false">IF(COUNTIF(LOOKAHEAD!$A$5:$A$604,A4321)&gt;0,"En Lookahead",IF(P4321="Sí","INCORPORAR",""))</f>
        <v/>
      </c>
    </row>
    <row r="4322" customFormat="false" ht="15" hidden="false" customHeight="false" outlineLevel="0" collapsed="false">
      <c r="A4322" s="16" t="s">
        <v>13605</v>
      </c>
      <c r="B4322" s="16" t="n">
        <v>4317</v>
      </c>
      <c r="C4322" s="16" t="s">
        <v>13606</v>
      </c>
      <c r="D4322" s="16" t="n">
        <v>6</v>
      </c>
      <c r="E4322" s="35" t="s">
        <v>13607</v>
      </c>
      <c r="F4322" s="16" t="s">
        <v>1285</v>
      </c>
      <c r="G4322" s="16" t="s">
        <v>882</v>
      </c>
      <c r="H4322" s="16" t="s">
        <v>13359</v>
      </c>
      <c r="I4322" s="16" t="s">
        <v>136</v>
      </c>
      <c r="J4322" s="16" t="s">
        <v>13560</v>
      </c>
      <c r="K4322" s="32" t="n">
        <v>1</v>
      </c>
      <c r="L4322" s="33" t="n">
        <v>46376</v>
      </c>
      <c r="M4322" s="33" t="n">
        <v>46376</v>
      </c>
      <c r="N4322" s="16" t="s">
        <v>13608</v>
      </c>
      <c r="O4322" s="16"/>
      <c r="P4322" s="16" t="str">
        <f aca="false">IF(AND(L4322&lt;=$D$2,M4322&gt;=$C$2),"Sí","")</f>
        <v/>
      </c>
      <c r="Q4322" s="18" t="str">
        <f aca="false">IF(COUNTIF(LOOKAHEAD!$A$5:$A$604,A4322)&gt;0,"En Lookahead",IF(P4322="Sí","INCORPORAR",""))</f>
        <v/>
      </c>
    </row>
    <row r="4323" customFormat="false" ht="15" hidden="false" customHeight="false" outlineLevel="0" collapsed="false">
      <c r="A4323" s="16" t="s">
        <v>13609</v>
      </c>
      <c r="B4323" s="16" t="n">
        <v>4318</v>
      </c>
      <c r="C4323" s="16" t="s">
        <v>13610</v>
      </c>
      <c r="D4323" s="16" t="n">
        <v>6</v>
      </c>
      <c r="E4323" s="35" t="s">
        <v>13611</v>
      </c>
      <c r="F4323" s="16" t="s">
        <v>1285</v>
      </c>
      <c r="G4323" s="16" t="s">
        <v>882</v>
      </c>
      <c r="H4323" s="16" t="s">
        <v>13359</v>
      </c>
      <c r="I4323" s="16" t="s">
        <v>136</v>
      </c>
      <c r="J4323" s="16" t="s">
        <v>13560</v>
      </c>
      <c r="K4323" s="32" t="n">
        <v>1</v>
      </c>
      <c r="L4323" s="33" t="n">
        <v>46377</v>
      </c>
      <c r="M4323" s="33" t="n">
        <v>46377</v>
      </c>
      <c r="N4323" s="16" t="s">
        <v>13612</v>
      </c>
      <c r="O4323" s="16"/>
      <c r="P4323" s="16" t="str">
        <f aca="false">IF(AND(L4323&lt;=$D$2,M4323&gt;=$C$2),"Sí","")</f>
        <v/>
      </c>
      <c r="Q4323" s="18" t="str">
        <f aca="false">IF(COUNTIF(LOOKAHEAD!$A$5:$A$604,A4323)&gt;0,"En Lookahead",IF(P4323="Sí","INCORPORAR",""))</f>
        <v/>
      </c>
    </row>
    <row r="4324" customFormat="false" ht="15" hidden="false" customHeight="false" outlineLevel="0" collapsed="false">
      <c r="A4324" s="13" t="s">
        <v>13613</v>
      </c>
      <c r="B4324" s="13" t="n">
        <v>4319</v>
      </c>
      <c r="C4324" s="13" t="s">
        <v>13614</v>
      </c>
      <c r="D4324" s="13" t="n">
        <v>5</v>
      </c>
      <c r="E4324" s="34" t="s">
        <v>13615</v>
      </c>
      <c r="F4324" s="13" t="s">
        <v>1298</v>
      </c>
      <c r="G4324" s="13" t="s">
        <v>882</v>
      </c>
      <c r="H4324" s="13" t="s">
        <v>13359</v>
      </c>
      <c r="I4324" s="13" t="s">
        <v>136</v>
      </c>
      <c r="J4324" s="13" t="s">
        <v>13359</v>
      </c>
      <c r="K4324" s="30" t="n">
        <v>1</v>
      </c>
      <c r="L4324" s="31" t="n">
        <v>46378</v>
      </c>
      <c r="M4324" s="31" t="n">
        <v>46378</v>
      </c>
      <c r="N4324" s="13"/>
      <c r="O4324" s="13"/>
      <c r="P4324" s="13"/>
      <c r="Q4324" s="13"/>
    </row>
    <row r="4325" customFormat="false" ht="15" hidden="false" customHeight="false" outlineLevel="0" collapsed="false">
      <c r="A4325" s="16" t="s">
        <v>13616</v>
      </c>
      <c r="B4325" s="16" t="n">
        <v>4320</v>
      </c>
      <c r="C4325" s="16" t="s">
        <v>13617</v>
      </c>
      <c r="D4325" s="16" t="n">
        <v>6</v>
      </c>
      <c r="E4325" s="35" t="s">
        <v>13618</v>
      </c>
      <c r="F4325" s="16" t="s">
        <v>1285</v>
      </c>
      <c r="G4325" s="16" t="s">
        <v>882</v>
      </c>
      <c r="H4325" s="16" t="s">
        <v>13359</v>
      </c>
      <c r="I4325" s="16" t="s">
        <v>136</v>
      </c>
      <c r="J4325" s="16" t="s">
        <v>13615</v>
      </c>
      <c r="K4325" s="32" t="n">
        <v>1</v>
      </c>
      <c r="L4325" s="33" t="n">
        <v>46378</v>
      </c>
      <c r="M4325" s="33" t="n">
        <v>46378</v>
      </c>
      <c r="N4325" s="16" t="s">
        <v>13619</v>
      </c>
      <c r="O4325" s="16"/>
      <c r="P4325" s="16" t="str">
        <f aca="false">IF(AND(L4325&lt;=$D$2,M4325&gt;=$C$2),"Sí","")</f>
        <v/>
      </c>
      <c r="Q4325" s="18" t="str">
        <f aca="false">IF(COUNTIF(LOOKAHEAD!$A$5:$A$604,A4325)&gt;0,"En Lookahead",IF(P4325="Sí","INCORPORAR",""))</f>
        <v/>
      </c>
    </row>
    <row r="4326" customFormat="false" ht="15" hidden="false" customHeight="false" outlineLevel="0" collapsed="false">
      <c r="A4326" s="13" t="s">
        <v>13620</v>
      </c>
      <c r="B4326" s="13" t="n">
        <v>4321</v>
      </c>
      <c r="C4326" s="13" t="s">
        <v>13621</v>
      </c>
      <c r="D4326" s="13" t="n">
        <v>5</v>
      </c>
      <c r="E4326" s="34" t="s">
        <v>13622</v>
      </c>
      <c r="F4326" s="13" t="s">
        <v>1298</v>
      </c>
      <c r="G4326" s="13" t="s">
        <v>882</v>
      </c>
      <c r="H4326" s="13" t="s">
        <v>13359</v>
      </c>
      <c r="I4326" s="13" t="s">
        <v>136</v>
      </c>
      <c r="J4326" s="13" t="s">
        <v>13359</v>
      </c>
      <c r="K4326" s="30" t="n">
        <v>36</v>
      </c>
      <c r="L4326" s="31" t="n">
        <v>46379</v>
      </c>
      <c r="M4326" s="31" t="n">
        <v>46414</v>
      </c>
      <c r="N4326" s="13"/>
      <c r="O4326" s="13"/>
      <c r="P4326" s="13"/>
      <c r="Q4326" s="13"/>
    </row>
    <row r="4327" customFormat="false" ht="15" hidden="false" customHeight="false" outlineLevel="0" collapsed="false">
      <c r="A4327" s="16" t="s">
        <v>13623</v>
      </c>
      <c r="B4327" s="16" t="n">
        <v>4322</v>
      </c>
      <c r="C4327" s="16" t="s">
        <v>13624</v>
      </c>
      <c r="D4327" s="16" t="n">
        <v>6</v>
      </c>
      <c r="E4327" s="35" t="s">
        <v>13625</v>
      </c>
      <c r="F4327" s="16" t="s">
        <v>1285</v>
      </c>
      <c r="G4327" s="16" t="s">
        <v>882</v>
      </c>
      <c r="H4327" s="16" t="s">
        <v>13359</v>
      </c>
      <c r="I4327" s="16" t="s">
        <v>136</v>
      </c>
      <c r="J4327" s="16" t="s">
        <v>13622</v>
      </c>
      <c r="K4327" s="32" t="n">
        <v>36</v>
      </c>
      <c r="L4327" s="33" t="n">
        <v>46379</v>
      </c>
      <c r="M4327" s="33" t="n">
        <v>46414</v>
      </c>
      <c r="N4327" s="16" t="s">
        <v>13626</v>
      </c>
      <c r="O4327" s="16"/>
      <c r="P4327" s="16" t="str">
        <f aca="false">IF(AND(L4327&lt;=$D$2,M4327&gt;=$C$2),"Sí","")</f>
        <v/>
      </c>
      <c r="Q4327" s="18" t="str">
        <f aca="false">IF(COUNTIF(LOOKAHEAD!$A$5:$A$604,A4327)&gt;0,"En Lookahead",IF(P4327="Sí","INCORPORAR",""))</f>
        <v/>
      </c>
    </row>
    <row r="4328" customFormat="false" ht="15" hidden="false" customHeight="false" outlineLevel="0" collapsed="false">
      <c r="A4328" s="16" t="s">
        <v>13627</v>
      </c>
      <c r="B4328" s="16" t="n">
        <v>4323</v>
      </c>
      <c r="C4328" s="16" t="s">
        <v>13628</v>
      </c>
      <c r="D4328" s="16" t="n">
        <v>6</v>
      </c>
      <c r="E4328" s="35" t="s">
        <v>13629</v>
      </c>
      <c r="F4328" s="16" t="s">
        <v>1285</v>
      </c>
      <c r="G4328" s="16" t="s">
        <v>882</v>
      </c>
      <c r="H4328" s="16" t="s">
        <v>13359</v>
      </c>
      <c r="I4328" s="16" t="s">
        <v>136</v>
      </c>
      <c r="J4328" s="16" t="s">
        <v>13622</v>
      </c>
      <c r="K4328" s="32" t="n">
        <v>20</v>
      </c>
      <c r="L4328" s="33" t="n">
        <v>46379</v>
      </c>
      <c r="M4328" s="33" t="n">
        <v>46398</v>
      </c>
      <c r="N4328" s="16" t="s">
        <v>13630</v>
      </c>
      <c r="O4328" s="16"/>
      <c r="P4328" s="16" t="str">
        <f aca="false">IF(AND(L4328&lt;=$D$2,M4328&gt;=$C$2),"Sí","")</f>
        <v/>
      </c>
      <c r="Q4328" s="18" t="str">
        <f aca="false">IF(COUNTIF(LOOKAHEAD!$A$5:$A$604,A4328)&gt;0,"En Lookahead",IF(P4328="Sí","INCORPORAR",""))</f>
        <v/>
      </c>
    </row>
    <row r="4329" customFormat="false" ht="15" hidden="false" customHeight="false" outlineLevel="0" collapsed="false">
      <c r="A4329" s="16" t="s">
        <v>13631</v>
      </c>
      <c r="B4329" s="16" t="n">
        <v>4324</v>
      </c>
      <c r="C4329" s="16" t="s">
        <v>13632</v>
      </c>
      <c r="D4329" s="16" t="n">
        <v>6</v>
      </c>
      <c r="E4329" s="35" t="s">
        <v>13633</v>
      </c>
      <c r="F4329" s="16" t="s">
        <v>1285</v>
      </c>
      <c r="G4329" s="16" t="s">
        <v>882</v>
      </c>
      <c r="H4329" s="16" t="s">
        <v>13359</v>
      </c>
      <c r="I4329" s="16" t="s">
        <v>136</v>
      </c>
      <c r="J4329" s="16" t="s">
        <v>13622</v>
      </c>
      <c r="K4329" s="32" t="n">
        <v>3</v>
      </c>
      <c r="L4329" s="33" t="n">
        <v>46379</v>
      </c>
      <c r="M4329" s="33" t="n">
        <v>46381</v>
      </c>
      <c r="N4329" s="16" t="s">
        <v>13634</v>
      </c>
      <c r="O4329" s="16"/>
      <c r="P4329" s="16" t="str">
        <f aca="false">IF(AND(L4329&lt;=$D$2,M4329&gt;=$C$2),"Sí","")</f>
        <v/>
      </c>
      <c r="Q4329" s="18" t="str">
        <f aca="false">IF(COUNTIF(LOOKAHEAD!$A$5:$A$604,A4329)&gt;0,"En Lookahead",IF(P4329="Sí","INCORPORAR",""))</f>
        <v/>
      </c>
    </row>
    <row r="4330" customFormat="false" ht="15" hidden="false" customHeight="false" outlineLevel="0" collapsed="false">
      <c r="A4330" s="16" t="s">
        <v>13635</v>
      </c>
      <c r="B4330" s="16" t="n">
        <v>4325</v>
      </c>
      <c r="C4330" s="16" t="s">
        <v>13636</v>
      </c>
      <c r="D4330" s="16" t="n">
        <v>6</v>
      </c>
      <c r="E4330" s="35" t="s">
        <v>13637</v>
      </c>
      <c r="F4330" s="16" t="s">
        <v>1285</v>
      </c>
      <c r="G4330" s="16" t="s">
        <v>882</v>
      </c>
      <c r="H4330" s="16" t="s">
        <v>13359</v>
      </c>
      <c r="I4330" s="16" t="s">
        <v>136</v>
      </c>
      <c r="J4330" s="16" t="s">
        <v>13622</v>
      </c>
      <c r="K4330" s="32" t="n">
        <v>1</v>
      </c>
      <c r="L4330" s="33" t="n">
        <v>46379</v>
      </c>
      <c r="M4330" s="33" t="n">
        <v>46379</v>
      </c>
      <c r="N4330" s="16" t="s">
        <v>13638</v>
      </c>
      <c r="O4330" s="16"/>
      <c r="P4330" s="16" t="str">
        <f aca="false">IF(AND(L4330&lt;=$D$2,M4330&gt;=$C$2),"Sí","")</f>
        <v/>
      </c>
      <c r="Q4330" s="18" t="str">
        <f aca="false">IF(COUNTIF(LOOKAHEAD!$A$5:$A$604,A4330)&gt;0,"En Lookahead",IF(P4330="Sí","INCORPORAR",""))</f>
        <v/>
      </c>
    </row>
    <row r="4331" customFormat="false" ht="15" hidden="false" customHeight="false" outlineLevel="0" collapsed="false">
      <c r="A4331" s="16" t="s">
        <v>13639</v>
      </c>
      <c r="B4331" s="16" t="n">
        <v>4326</v>
      </c>
      <c r="C4331" s="16" t="s">
        <v>13640</v>
      </c>
      <c r="D4331" s="16" t="n">
        <v>6</v>
      </c>
      <c r="E4331" s="35" t="s">
        <v>13641</v>
      </c>
      <c r="F4331" s="16" t="s">
        <v>1285</v>
      </c>
      <c r="G4331" s="16" t="s">
        <v>882</v>
      </c>
      <c r="H4331" s="16" t="s">
        <v>13359</v>
      </c>
      <c r="I4331" s="16" t="s">
        <v>136</v>
      </c>
      <c r="J4331" s="16" t="s">
        <v>13622</v>
      </c>
      <c r="K4331" s="32" t="n">
        <v>2</v>
      </c>
      <c r="L4331" s="33" t="n">
        <v>46380</v>
      </c>
      <c r="M4331" s="33" t="n">
        <v>46381</v>
      </c>
      <c r="N4331" s="16" t="s">
        <v>13642</v>
      </c>
      <c r="O4331" s="16"/>
      <c r="P4331" s="16" t="str">
        <f aca="false">IF(AND(L4331&lt;=$D$2,M4331&gt;=$C$2),"Sí","")</f>
        <v/>
      </c>
      <c r="Q4331" s="18" t="str">
        <f aca="false">IF(COUNTIF(LOOKAHEAD!$A$5:$A$604,A4331)&gt;0,"En Lookahead",IF(P4331="Sí","INCORPORAR",""))</f>
        <v/>
      </c>
    </row>
    <row r="4332" customFormat="false" ht="15" hidden="false" customHeight="false" outlineLevel="0" collapsed="false">
      <c r="A4332" s="16" t="s">
        <v>13643</v>
      </c>
      <c r="B4332" s="16" t="n">
        <v>4327</v>
      </c>
      <c r="C4332" s="16" t="s">
        <v>13644</v>
      </c>
      <c r="D4332" s="16" t="n">
        <v>6</v>
      </c>
      <c r="E4332" s="35" t="s">
        <v>13645</v>
      </c>
      <c r="F4332" s="16" t="s">
        <v>1285</v>
      </c>
      <c r="G4332" s="16" t="s">
        <v>882</v>
      </c>
      <c r="H4332" s="16" t="s">
        <v>13359</v>
      </c>
      <c r="I4332" s="16" t="s">
        <v>136</v>
      </c>
      <c r="J4332" s="16" t="s">
        <v>13622</v>
      </c>
      <c r="K4332" s="32" t="n">
        <v>1</v>
      </c>
      <c r="L4332" s="33" t="n">
        <v>46380</v>
      </c>
      <c r="M4332" s="33" t="n">
        <v>46380</v>
      </c>
      <c r="N4332" s="16" t="s">
        <v>13646</v>
      </c>
      <c r="O4332" s="16"/>
      <c r="P4332" s="16" t="str">
        <f aca="false">IF(AND(L4332&lt;=$D$2,M4332&gt;=$C$2),"Sí","")</f>
        <v/>
      </c>
      <c r="Q4332" s="18" t="str">
        <f aca="false">IF(COUNTIF(LOOKAHEAD!$A$5:$A$604,A4332)&gt;0,"En Lookahead",IF(P4332="Sí","INCORPORAR",""))</f>
        <v/>
      </c>
    </row>
    <row r="4333" customFormat="false" ht="15" hidden="false" customHeight="false" outlineLevel="0" collapsed="false">
      <c r="A4333" s="16" t="s">
        <v>13647</v>
      </c>
      <c r="B4333" s="16" t="n">
        <v>4328</v>
      </c>
      <c r="C4333" s="16" t="s">
        <v>13648</v>
      </c>
      <c r="D4333" s="16" t="n">
        <v>6</v>
      </c>
      <c r="E4333" s="35" t="s">
        <v>13649</v>
      </c>
      <c r="F4333" s="16" t="s">
        <v>1285</v>
      </c>
      <c r="G4333" s="16" t="s">
        <v>882</v>
      </c>
      <c r="H4333" s="16" t="s">
        <v>13359</v>
      </c>
      <c r="I4333" s="16" t="s">
        <v>136</v>
      </c>
      <c r="J4333" s="16" t="s">
        <v>13622</v>
      </c>
      <c r="K4333" s="32" t="n">
        <v>1</v>
      </c>
      <c r="L4333" s="33" t="n">
        <v>46380</v>
      </c>
      <c r="M4333" s="33" t="n">
        <v>46380</v>
      </c>
      <c r="N4333" s="16" t="s">
        <v>13650</v>
      </c>
      <c r="O4333" s="16"/>
      <c r="P4333" s="16" t="str">
        <f aca="false">IF(AND(L4333&lt;=$D$2,M4333&gt;=$C$2),"Sí","")</f>
        <v/>
      </c>
      <c r="Q4333" s="18" t="str">
        <f aca="false">IF(COUNTIF(LOOKAHEAD!$A$5:$A$604,A4333)&gt;0,"En Lookahead",IF(P4333="Sí","INCORPORAR",""))</f>
        <v/>
      </c>
    </row>
    <row r="4334" customFormat="false" ht="15" hidden="false" customHeight="false" outlineLevel="0" collapsed="false">
      <c r="A4334" s="16" t="s">
        <v>13651</v>
      </c>
      <c r="B4334" s="16" t="n">
        <v>4329</v>
      </c>
      <c r="C4334" s="16" t="s">
        <v>13652</v>
      </c>
      <c r="D4334" s="16" t="n">
        <v>6</v>
      </c>
      <c r="E4334" s="35" t="s">
        <v>13653</v>
      </c>
      <c r="F4334" s="16" t="s">
        <v>1285</v>
      </c>
      <c r="G4334" s="16" t="s">
        <v>882</v>
      </c>
      <c r="H4334" s="16" t="s">
        <v>13359</v>
      </c>
      <c r="I4334" s="16" t="s">
        <v>136</v>
      </c>
      <c r="J4334" s="16" t="s">
        <v>13622</v>
      </c>
      <c r="K4334" s="32" t="n">
        <v>1</v>
      </c>
      <c r="L4334" s="33" t="n">
        <v>46380</v>
      </c>
      <c r="M4334" s="33" t="n">
        <v>46380</v>
      </c>
      <c r="N4334" s="16" t="s">
        <v>13654</v>
      </c>
      <c r="O4334" s="16"/>
      <c r="P4334" s="16" t="str">
        <f aca="false">IF(AND(L4334&lt;=$D$2,M4334&gt;=$C$2),"Sí","")</f>
        <v/>
      </c>
      <c r="Q4334" s="18" t="str">
        <f aca="false">IF(COUNTIF(LOOKAHEAD!$A$5:$A$604,A4334)&gt;0,"En Lookahead",IF(P4334="Sí","INCORPORAR",""))</f>
        <v/>
      </c>
    </row>
    <row r="4335" customFormat="false" ht="15" hidden="false" customHeight="false" outlineLevel="0" collapsed="false">
      <c r="A4335" s="16" t="s">
        <v>13655</v>
      </c>
      <c r="B4335" s="16" t="n">
        <v>4330</v>
      </c>
      <c r="C4335" s="16" t="s">
        <v>13656</v>
      </c>
      <c r="D4335" s="16" t="n">
        <v>6</v>
      </c>
      <c r="E4335" s="35" t="s">
        <v>13657</v>
      </c>
      <c r="F4335" s="16" t="s">
        <v>1285</v>
      </c>
      <c r="G4335" s="16" t="s">
        <v>882</v>
      </c>
      <c r="H4335" s="16" t="s">
        <v>13359</v>
      </c>
      <c r="I4335" s="16" t="s">
        <v>136</v>
      </c>
      <c r="J4335" s="16" t="s">
        <v>13622</v>
      </c>
      <c r="K4335" s="32" t="n">
        <v>1</v>
      </c>
      <c r="L4335" s="33" t="n">
        <v>46381</v>
      </c>
      <c r="M4335" s="33" t="n">
        <v>46381</v>
      </c>
      <c r="N4335" s="16" t="s">
        <v>13658</v>
      </c>
      <c r="O4335" s="16"/>
      <c r="P4335" s="16" t="str">
        <f aca="false">IF(AND(L4335&lt;=$D$2,M4335&gt;=$C$2),"Sí","")</f>
        <v/>
      </c>
      <c r="Q4335" s="18" t="str">
        <f aca="false">IF(COUNTIF(LOOKAHEAD!$A$5:$A$604,A4335)&gt;0,"En Lookahead",IF(P4335="Sí","INCORPORAR",""))</f>
        <v/>
      </c>
    </row>
    <row r="4336" customFormat="false" ht="15" hidden="false" customHeight="false" outlineLevel="0" collapsed="false">
      <c r="A4336" s="16" t="s">
        <v>13659</v>
      </c>
      <c r="B4336" s="16" t="n">
        <v>4331</v>
      </c>
      <c r="C4336" s="16" t="s">
        <v>13660</v>
      </c>
      <c r="D4336" s="16" t="n">
        <v>6</v>
      </c>
      <c r="E4336" s="35" t="s">
        <v>13661</v>
      </c>
      <c r="F4336" s="16" t="s">
        <v>1285</v>
      </c>
      <c r="G4336" s="16" t="s">
        <v>882</v>
      </c>
      <c r="H4336" s="16" t="s">
        <v>13359</v>
      </c>
      <c r="I4336" s="16" t="s">
        <v>136</v>
      </c>
      <c r="J4336" s="16" t="s">
        <v>13622</v>
      </c>
      <c r="K4336" s="32" t="n">
        <v>1</v>
      </c>
      <c r="L4336" s="33" t="n">
        <v>46382</v>
      </c>
      <c r="M4336" s="33" t="n">
        <v>46382</v>
      </c>
      <c r="N4336" s="16" t="s">
        <v>13662</v>
      </c>
      <c r="O4336" s="16"/>
      <c r="P4336" s="16" t="str">
        <f aca="false">IF(AND(L4336&lt;=$D$2,M4336&gt;=$C$2),"Sí","")</f>
        <v/>
      </c>
      <c r="Q4336" s="18" t="str">
        <f aca="false">IF(COUNTIF(LOOKAHEAD!$A$5:$A$604,A4336)&gt;0,"En Lookahead",IF(P4336="Sí","INCORPORAR",""))</f>
        <v/>
      </c>
    </row>
    <row r="4337" customFormat="false" ht="15" hidden="false" customHeight="false" outlineLevel="0" collapsed="false">
      <c r="A4337" s="16" t="s">
        <v>13663</v>
      </c>
      <c r="B4337" s="16" t="n">
        <v>4332</v>
      </c>
      <c r="C4337" s="16" t="s">
        <v>13664</v>
      </c>
      <c r="D4337" s="16" t="n">
        <v>6</v>
      </c>
      <c r="E4337" s="35" t="s">
        <v>13665</v>
      </c>
      <c r="F4337" s="16" t="s">
        <v>1285</v>
      </c>
      <c r="G4337" s="16" t="s">
        <v>882</v>
      </c>
      <c r="H4337" s="16" t="s">
        <v>13359</v>
      </c>
      <c r="I4337" s="16" t="s">
        <v>136</v>
      </c>
      <c r="J4337" s="16" t="s">
        <v>13622</v>
      </c>
      <c r="K4337" s="32" t="n">
        <v>3</v>
      </c>
      <c r="L4337" s="33" t="n">
        <v>46382</v>
      </c>
      <c r="M4337" s="33" t="n">
        <v>46384</v>
      </c>
      <c r="N4337" s="16" t="s">
        <v>13666</v>
      </c>
      <c r="O4337" s="16"/>
      <c r="P4337" s="16" t="str">
        <f aca="false">IF(AND(L4337&lt;=$D$2,M4337&gt;=$C$2),"Sí","")</f>
        <v/>
      </c>
      <c r="Q4337" s="18" t="str">
        <f aca="false">IF(COUNTIF(LOOKAHEAD!$A$5:$A$604,A4337)&gt;0,"En Lookahead",IF(P4337="Sí","INCORPORAR",""))</f>
        <v/>
      </c>
    </row>
    <row r="4338" customFormat="false" ht="15" hidden="false" customHeight="false" outlineLevel="0" collapsed="false">
      <c r="A4338" s="16" t="s">
        <v>13667</v>
      </c>
      <c r="B4338" s="16" t="n">
        <v>4333</v>
      </c>
      <c r="C4338" s="16" t="s">
        <v>13668</v>
      </c>
      <c r="D4338" s="16" t="n">
        <v>6</v>
      </c>
      <c r="E4338" s="35" t="s">
        <v>13669</v>
      </c>
      <c r="F4338" s="16" t="s">
        <v>1285</v>
      </c>
      <c r="G4338" s="16" t="s">
        <v>882</v>
      </c>
      <c r="H4338" s="16" t="s">
        <v>13359</v>
      </c>
      <c r="I4338" s="16" t="s">
        <v>136</v>
      </c>
      <c r="J4338" s="16" t="s">
        <v>13622</v>
      </c>
      <c r="K4338" s="32" t="n">
        <v>1</v>
      </c>
      <c r="L4338" s="33" t="n">
        <v>46382</v>
      </c>
      <c r="M4338" s="33" t="n">
        <v>46382</v>
      </c>
      <c r="N4338" s="16" t="s">
        <v>13670</v>
      </c>
      <c r="O4338" s="16"/>
      <c r="P4338" s="16" t="str">
        <f aca="false">IF(AND(L4338&lt;=$D$2,M4338&gt;=$C$2),"Sí","")</f>
        <v/>
      </c>
      <c r="Q4338" s="18" t="str">
        <f aca="false">IF(COUNTIF(LOOKAHEAD!$A$5:$A$604,A4338)&gt;0,"En Lookahead",IF(P4338="Sí","INCORPORAR",""))</f>
        <v/>
      </c>
    </row>
    <row r="4339" customFormat="false" ht="15" hidden="false" customHeight="false" outlineLevel="0" collapsed="false">
      <c r="A4339" s="16" t="s">
        <v>13671</v>
      </c>
      <c r="B4339" s="16" t="n">
        <v>4334</v>
      </c>
      <c r="C4339" s="16" t="s">
        <v>13672</v>
      </c>
      <c r="D4339" s="16" t="n">
        <v>6</v>
      </c>
      <c r="E4339" s="35" t="s">
        <v>13673</v>
      </c>
      <c r="F4339" s="16" t="s">
        <v>1285</v>
      </c>
      <c r="G4339" s="16" t="s">
        <v>882</v>
      </c>
      <c r="H4339" s="16" t="s">
        <v>13359</v>
      </c>
      <c r="I4339" s="16" t="s">
        <v>136</v>
      </c>
      <c r="J4339" s="16" t="s">
        <v>13622</v>
      </c>
      <c r="K4339" s="32" t="n">
        <v>1</v>
      </c>
      <c r="L4339" s="33" t="n">
        <v>46382</v>
      </c>
      <c r="M4339" s="33" t="n">
        <v>46382</v>
      </c>
      <c r="N4339" s="16" t="s">
        <v>13674</v>
      </c>
      <c r="O4339" s="16"/>
      <c r="P4339" s="16" t="str">
        <f aca="false">IF(AND(L4339&lt;=$D$2,M4339&gt;=$C$2),"Sí","")</f>
        <v/>
      </c>
      <c r="Q4339" s="18" t="str">
        <f aca="false">IF(COUNTIF(LOOKAHEAD!$A$5:$A$604,A4339)&gt;0,"En Lookahead",IF(P4339="Sí","INCORPORAR",""))</f>
        <v/>
      </c>
    </row>
    <row r="4340" customFormat="false" ht="15" hidden="false" customHeight="false" outlineLevel="0" collapsed="false">
      <c r="A4340" s="16" t="s">
        <v>13675</v>
      </c>
      <c r="B4340" s="16" t="n">
        <v>4335</v>
      </c>
      <c r="C4340" s="16" t="s">
        <v>13676</v>
      </c>
      <c r="D4340" s="16" t="n">
        <v>6</v>
      </c>
      <c r="E4340" s="35" t="s">
        <v>13677</v>
      </c>
      <c r="F4340" s="16" t="s">
        <v>1285</v>
      </c>
      <c r="G4340" s="16" t="s">
        <v>882</v>
      </c>
      <c r="H4340" s="16" t="s">
        <v>13359</v>
      </c>
      <c r="I4340" s="16" t="s">
        <v>136</v>
      </c>
      <c r="J4340" s="16" t="s">
        <v>13622</v>
      </c>
      <c r="K4340" s="32" t="n">
        <v>1</v>
      </c>
      <c r="L4340" s="33" t="n">
        <v>46382</v>
      </c>
      <c r="M4340" s="33" t="n">
        <v>46382</v>
      </c>
      <c r="N4340" s="16" t="s">
        <v>13678</v>
      </c>
      <c r="O4340" s="16"/>
      <c r="P4340" s="16" t="str">
        <f aca="false">IF(AND(L4340&lt;=$D$2,M4340&gt;=$C$2),"Sí","")</f>
        <v/>
      </c>
      <c r="Q4340" s="18" t="str">
        <f aca="false">IF(COUNTIF(LOOKAHEAD!$A$5:$A$604,A4340)&gt;0,"En Lookahead",IF(P4340="Sí","INCORPORAR",""))</f>
        <v/>
      </c>
    </row>
    <row r="4341" customFormat="false" ht="15" hidden="false" customHeight="false" outlineLevel="0" collapsed="false">
      <c r="A4341" s="16" t="s">
        <v>13679</v>
      </c>
      <c r="B4341" s="16" t="n">
        <v>4336</v>
      </c>
      <c r="C4341" s="16" t="s">
        <v>13680</v>
      </c>
      <c r="D4341" s="16" t="n">
        <v>6</v>
      </c>
      <c r="E4341" s="35" t="s">
        <v>13681</v>
      </c>
      <c r="F4341" s="16" t="s">
        <v>1285</v>
      </c>
      <c r="G4341" s="16" t="s">
        <v>882</v>
      </c>
      <c r="H4341" s="16" t="s">
        <v>13359</v>
      </c>
      <c r="I4341" s="16" t="s">
        <v>136</v>
      </c>
      <c r="J4341" s="16" t="s">
        <v>13622</v>
      </c>
      <c r="K4341" s="32" t="n">
        <v>1</v>
      </c>
      <c r="L4341" s="33" t="n">
        <v>46383</v>
      </c>
      <c r="M4341" s="33" t="n">
        <v>46383</v>
      </c>
      <c r="N4341" s="16" t="s">
        <v>13682</v>
      </c>
      <c r="O4341" s="16"/>
      <c r="P4341" s="16" t="str">
        <f aca="false">IF(AND(L4341&lt;=$D$2,M4341&gt;=$C$2),"Sí","")</f>
        <v/>
      </c>
      <c r="Q4341" s="18" t="str">
        <f aca="false">IF(COUNTIF(LOOKAHEAD!$A$5:$A$604,A4341)&gt;0,"En Lookahead",IF(P4341="Sí","INCORPORAR",""))</f>
        <v/>
      </c>
    </row>
    <row r="4342" customFormat="false" ht="15" hidden="false" customHeight="false" outlineLevel="0" collapsed="false">
      <c r="A4342" s="16" t="s">
        <v>13683</v>
      </c>
      <c r="B4342" s="16" t="n">
        <v>4337</v>
      </c>
      <c r="C4342" s="16" t="s">
        <v>13684</v>
      </c>
      <c r="D4342" s="16" t="n">
        <v>6</v>
      </c>
      <c r="E4342" s="35" t="s">
        <v>13685</v>
      </c>
      <c r="F4342" s="16" t="s">
        <v>1285</v>
      </c>
      <c r="G4342" s="16" t="s">
        <v>882</v>
      </c>
      <c r="H4342" s="16" t="s">
        <v>13359</v>
      </c>
      <c r="I4342" s="16" t="s">
        <v>136</v>
      </c>
      <c r="J4342" s="16" t="s">
        <v>13622</v>
      </c>
      <c r="K4342" s="32" t="n">
        <v>1</v>
      </c>
      <c r="L4342" s="33" t="n">
        <v>46384</v>
      </c>
      <c r="M4342" s="33" t="n">
        <v>46384</v>
      </c>
      <c r="N4342" s="16" t="s">
        <v>13686</v>
      </c>
      <c r="O4342" s="16"/>
      <c r="P4342" s="16" t="str">
        <f aca="false">IF(AND(L4342&lt;=$D$2,M4342&gt;=$C$2),"Sí","")</f>
        <v/>
      </c>
      <c r="Q4342" s="18" t="str">
        <f aca="false">IF(COUNTIF(LOOKAHEAD!$A$5:$A$604,A4342)&gt;0,"En Lookahead",IF(P4342="Sí","INCORPORAR",""))</f>
        <v/>
      </c>
    </row>
    <row r="4343" customFormat="false" ht="15" hidden="false" customHeight="false" outlineLevel="0" collapsed="false">
      <c r="A4343" s="13" t="s">
        <v>13687</v>
      </c>
      <c r="B4343" s="13" t="n">
        <v>4338</v>
      </c>
      <c r="C4343" s="13" t="s">
        <v>13688</v>
      </c>
      <c r="D4343" s="13" t="n">
        <v>5</v>
      </c>
      <c r="E4343" s="34" t="s">
        <v>13689</v>
      </c>
      <c r="F4343" s="13" t="s">
        <v>1298</v>
      </c>
      <c r="G4343" s="13" t="s">
        <v>882</v>
      </c>
      <c r="H4343" s="13" t="s">
        <v>13359</v>
      </c>
      <c r="I4343" s="13" t="s">
        <v>136</v>
      </c>
      <c r="J4343" s="13" t="s">
        <v>13359</v>
      </c>
      <c r="K4343" s="30" t="n">
        <v>100</v>
      </c>
      <c r="L4343" s="31" t="n">
        <v>46385</v>
      </c>
      <c r="M4343" s="31" t="n">
        <v>46484</v>
      </c>
      <c r="N4343" s="13"/>
      <c r="O4343" s="13"/>
      <c r="P4343" s="13"/>
      <c r="Q4343" s="13"/>
    </row>
    <row r="4344" customFormat="false" ht="15" hidden="false" customHeight="false" outlineLevel="0" collapsed="false">
      <c r="A4344" s="16" t="s">
        <v>13690</v>
      </c>
      <c r="B4344" s="16" t="n">
        <v>4339</v>
      </c>
      <c r="C4344" s="16" t="s">
        <v>13691</v>
      </c>
      <c r="D4344" s="16" t="n">
        <v>6</v>
      </c>
      <c r="E4344" s="35" t="s">
        <v>13692</v>
      </c>
      <c r="F4344" s="16" t="s">
        <v>1285</v>
      </c>
      <c r="G4344" s="16" t="s">
        <v>882</v>
      </c>
      <c r="H4344" s="16" t="s">
        <v>13359</v>
      </c>
      <c r="I4344" s="16" t="s">
        <v>136</v>
      </c>
      <c r="J4344" s="16" t="s">
        <v>13689</v>
      </c>
      <c r="K4344" s="32" t="n">
        <v>2</v>
      </c>
      <c r="L4344" s="33" t="n">
        <v>46385</v>
      </c>
      <c r="M4344" s="33" t="n">
        <v>46386</v>
      </c>
      <c r="N4344" s="16" t="s">
        <v>13693</v>
      </c>
      <c r="O4344" s="16"/>
      <c r="P4344" s="16" t="str">
        <f aca="false">IF(AND(L4344&lt;=$D$2,M4344&gt;=$C$2),"Sí","")</f>
        <v/>
      </c>
      <c r="Q4344" s="18" t="str">
        <f aca="false">IF(COUNTIF(LOOKAHEAD!$A$5:$A$604,A4344)&gt;0,"En Lookahead",IF(P4344="Sí","INCORPORAR",""))</f>
        <v/>
      </c>
    </row>
    <row r="4345" customFormat="false" ht="15" hidden="false" customHeight="false" outlineLevel="0" collapsed="false">
      <c r="A4345" s="16" t="s">
        <v>13694</v>
      </c>
      <c r="B4345" s="16" t="n">
        <v>4340</v>
      </c>
      <c r="C4345" s="16" t="s">
        <v>13695</v>
      </c>
      <c r="D4345" s="16" t="n">
        <v>6</v>
      </c>
      <c r="E4345" s="35" t="s">
        <v>13696</v>
      </c>
      <c r="F4345" s="16" t="s">
        <v>1285</v>
      </c>
      <c r="G4345" s="16" t="s">
        <v>882</v>
      </c>
      <c r="H4345" s="16" t="s">
        <v>13359</v>
      </c>
      <c r="I4345" s="16" t="s">
        <v>136</v>
      </c>
      <c r="J4345" s="16" t="s">
        <v>13689</v>
      </c>
      <c r="K4345" s="32" t="n">
        <v>7</v>
      </c>
      <c r="L4345" s="33" t="n">
        <v>46387</v>
      </c>
      <c r="M4345" s="33" t="n">
        <v>46393</v>
      </c>
      <c r="N4345" s="16" t="s">
        <v>13697</v>
      </c>
      <c r="O4345" s="16"/>
      <c r="P4345" s="16" t="str">
        <f aca="false">IF(AND(L4345&lt;=$D$2,M4345&gt;=$C$2),"Sí","")</f>
        <v/>
      </c>
      <c r="Q4345" s="18" t="str">
        <f aca="false">IF(COUNTIF(LOOKAHEAD!$A$5:$A$604,A4345)&gt;0,"En Lookahead",IF(P4345="Sí","INCORPORAR",""))</f>
        <v/>
      </c>
    </row>
    <row r="4346" customFormat="false" ht="15" hidden="false" customHeight="false" outlineLevel="0" collapsed="false">
      <c r="A4346" s="16" t="s">
        <v>13698</v>
      </c>
      <c r="B4346" s="16" t="n">
        <v>4341</v>
      </c>
      <c r="C4346" s="16" t="s">
        <v>13699</v>
      </c>
      <c r="D4346" s="16" t="n">
        <v>6</v>
      </c>
      <c r="E4346" s="35" t="s">
        <v>13700</v>
      </c>
      <c r="F4346" s="16" t="s">
        <v>1285</v>
      </c>
      <c r="G4346" s="16" t="s">
        <v>882</v>
      </c>
      <c r="H4346" s="16" t="s">
        <v>13359</v>
      </c>
      <c r="I4346" s="16" t="s">
        <v>136</v>
      </c>
      <c r="J4346" s="16" t="s">
        <v>13689</v>
      </c>
      <c r="K4346" s="32" t="n">
        <v>3</v>
      </c>
      <c r="L4346" s="33" t="n">
        <v>46394</v>
      </c>
      <c r="M4346" s="33" t="n">
        <v>46396</v>
      </c>
      <c r="N4346" s="16" t="s">
        <v>13701</v>
      </c>
      <c r="O4346" s="16"/>
      <c r="P4346" s="16" t="str">
        <f aca="false">IF(AND(L4346&lt;=$D$2,M4346&gt;=$C$2),"Sí","")</f>
        <v/>
      </c>
      <c r="Q4346" s="18" t="str">
        <f aca="false">IF(COUNTIF(LOOKAHEAD!$A$5:$A$604,A4346)&gt;0,"En Lookahead",IF(P4346="Sí","INCORPORAR",""))</f>
        <v/>
      </c>
    </row>
    <row r="4347" customFormat="false" ht="15" hidden="false" customHeight="false" outlineLevel="0" collapsed="false">
      <c r="A4347" s="16" t="s">
        <v>13702</v>
      </c>
      <c r="B4347" s="16" t="n">
        <v>4342</v>
      </c>
      <c r="C4347" s="16" t="s">
        <v>13703</v>
      </c>
      <c r="D4347" s="16" t="n">
        <v>6</v>
      </c>
      <c r="E4347" s="35" t="s">
        <v>13704</v>
      </c>
      <c r="F4347" s="16" t="s">
        <v>1285</v>
      </c>
      <c r="G4347" s="16" t="s">
        <v>882</v>
      </c>
      <c r="H4347" s="16" t="s">
        <v>13359</v>
      </c>
      <c r="I4347" s="16" t="s">
        <v>136</v>
      </c>
      <c r="J4347" s="16" t="s">
        <v>13689</v>
      </c>
      <c r="K4347" s="32" t="n">
        <v>7</v>
      </c>
      <c r="L4347" s="33" t="n">
        <v>46397</v>
      </c>
      <c r="M4347" s="33" t="n">
        <v>46403</v>
      </c>
      <c r="N4347" s="16" t="s">
        <v>13705</v>
      </c>
      <c r="O4347" s="16"/>
      <c r="P4347" s="16" t="str">
        <f aca="false">IF(AND(L4347&lt;=$D$2,M4347&gt;=$C$2),"Sí","")</f>
        <v/>
      </c>
      <c r="Q4347" s="18" t="str">
        <f aca="false">IF(COUNTIF(LOOKAHEAD!$A$5:$A$604,A4347)&gt;0,"En Lookahead",IF(P4347="Sí","INCORPORAR",""))</f>
        <v/>
      </c>
    </row>
    <row r="4348" customFormat="false" ht="15" hidden="false" customHeight="false" outlineLevel="0" collapsed="false">
      <c r="A4348" s="16" t="s">
        <v>13706</v>
      </c>
      <c r="B4348" s="16" t="n">
        <v>4343</v>
      </c>
      <c r="C4348" s="16" t="s">
        <v>13707</v>
      </c>
      <c r="D4348" s="16" t="n">
        <v>6</v>
      </c>
      <c r="E4348" s="35" t="s">
        <v>13708</v>
      </c>
      <c r="F4348" s="16" t="s">
        <v>1285</v>
      </c>
      <c r="G4348" s="16" t="s">
        <v>882</v>
      </c>
      <c r="H4348" s="16" t="s">
        <v>13359</v>
      </c>
      <c r="I4348" s="16" t="s">
        <v>136</v>
      </c>
      <c r="J4348" s="16" t="s">
        <v>13689</v>
      </c>
      <c r="K4348" s="32" t="n">
        <v>5</v>
      </c>
      <c r="L4348" s="33" t="n">
        <v>46404</v>
      </c>
      <c r="M4348" s="33" t="n">
        <v>46408</v>
      </c>
      <c r="N4348" s="16" t="s">
        <v>13709</v>
      </c>
      <c r="O4348" s="16"/>
      <c r="P4348" s="16" t="str">
        <f aca="false">IF(AND(L4348&lt;=$D$2,M4348&gt;=$C$2),"Sí","")</f>
        <v/>
      </c>
      <c r="Q4348" s="18" t="str">
        <f aca="false">IF(COUNTIF(LOOKAHEAD!$A$5:$A$604,A4348)&gt;0,"En Lookahead",IF(P4348="Sí","INCORPORAR",""))</f>
        <v/>
      </c>
    </row>
    <row r="4349" customFormat="false" ht="15" hidden="false" customHeight="false" outlineLevel="0" collapsed="false">
      <c r="A4349" s="16" t="s">
        <v>13710</v>
      </c>
      <c r="B4349" s="16" t="n">
        <v>4344</v>
      </c>
      <c r="C4349" s="16" t="s">
        <v>13711</v>
      </c>
      <c r="D4349" s="16" t="n">
        <v>6</v>
      </c>
      <c r="E4349" s="35" t="s">
        <v>13712</v>
      </c>
      <c r="F4349" s="16" t="s">
        <v>1285</v>
      </c>
      <c r="G4349" s="16" t="s">
        <v>882</v>
      </c>
      <c r="H4349" s="16" t="s">
        <v>13359</v>
      </c>
      <c r="I4349" s="16" t="s">
        <v>136</v>
      </c>
      <c r="J4349" s="16" t="s">
        <v>13689</v>
      </c>
      <c r="K4349" s="32" t="n">
        <v>6</v>
      </c>
      <c r="L4349" s="33" t="n">
        <v>46409</v>
      </c>
      <c r="M4349" s="33" t="n">
        <v>46414</v>
      </c>
      <c r="N4349" s="16" t="s">
        <v>13713</v>
      </c>
      <c r="O4349" s="16"/>
      <c r="P4349" s="16" t="str">
        <f aca="false">IF(AND(L4349&lt;=$D$2,M4349&gt;=$C$2),"Sí","")</f>
        <v/>
      </c>
      <c r="Q4349" s="18" t="str">
        <f aca="false">IF(COUNTIF(LOOKAHEAD!$A$5:$A$604,A4349)&gt;0,"En Lookahead",IF(P4349="Sí","INCORPORAR",""))</f>
        <v/>
      </c>
    </row>
    <row r="4350" customFormat="false" ht="15" hidden="false" customHeight="false" outlineLevel="0" collapsed="false">
      <c r="A4350" s="16" t="s">
        <v>13714</v>
      </c>
      <c r="B4350" s="16" t="n">
        <v>4345</v>
      </c>
      <c r="C4350" s="16" t="s">
        <v>13715</v>
      </c>
      <c r="D4350" s="16" t="n">
        <v>6</v>
      </c>
      <c r="E4350" s="35" t="s">
        <v>13716</v>
      </c>
      <c r="F4350" s="16" t="s">
        <v>1285</v>
      </c>
      <c r="G4350" s="16" t="s">
        <v>882</v>
      </c>
      <c r="H4350" s="16" t="s">
        <v>13359</v>
      </c>
      <c r="I4350" s="16" t="s">
        <v>136</v>
      </c>
      <c r="J4350" s="16" t="s">
        <v>13689</v>
      </c>
      <c r="K4350" s="32" t="n">
        <v>1</v>
      </c>
      <c r="L4350" s="33" t="n">
        <v>46415</v>
      </c>
      <c r="M4350" s="33" t="n">
        <v>46415</v>
      </c>
      <c r="N4350" s="16" t="s">
        <v>13717</v>
      </c>
      <c r="O4350" s="16"/>
      <c r="P4350" s="16" t="str">
        <f aca="false">IF(AND(L4350&lt;=$D$2,M4350&gt;=$C$2),"Sí","")</f>
        <v/>
      </c>
      <c r="Q4350" s="18" t="str">
        <f aca="false">IF(COUNTIF(LOOKAHEAD!$A$5:$A$604,A4350)&gt;0,"En Lookahead",IF(P4350="Sí","INCORPORAR",""))</f>
        <v/>
      </c>
    </row>
    <row r="4351" customFormat="false" ht="15" hidden="false" customHeight="false" outlineLevel="0" collapsed="false">
      <c r="A4351" s="16" t="s">
        <v>13718</v>
      </c>
      <c r="B4351" s="16" t="n">
        <v>4346</v>
      </c>
      <c r="C4351" s="16" t="s">
        <v>13719</v>
      </c>
      <c r="D4351" s="16" t="n">
        <v>6</v>
      </c>
      <c r="E4351" s="35" t="s">
        <v>13720</v>
      </c>
      <c r="F4351" s="16" t="s">
        <v>1285</v>
      </c>
      <c r="G4351" s="16" t="s">
        <v>882</v>
      </c>
      <c r="H4351" s="16" t="s">
        <v>13359</v>
      </c>
      <c r="I4351" s="16" t="s">
        <v>136</v>
      </c>
      <c r="J4351" s="16" t="s">
        <v>13689</v>
      </c>
      <c r="K4351" s="32" t="n">
        <v>3</v>
      </c>
      <c r="L4351" s="33" t="n">
        <v>46416</v>
      </c>
      <c r="M4351" s="33" t="n">
        <v>46418</v>
      </c>
      <c r="N4351" s="16" t="s">
        <v>13721</v>
      </c>
      <c r="O4351" s="16"/>
      <c r="P4351" s="16" t="str">
        <f aca="false">IF(AND(L4351&lt;=$D$2,M4351&gt;=$C$2),"Sí","")</f>
        <v/>
      </c>
      <c r="Q4351" s="18" t="str">
        <f aca="false">IF(COUNTIF(LOOKAHEAD!$A$5:$A$604,A4351)&gt;0,"En Lookahead",IF(P4351="Sí","INCORPORAR",""))</f>
        <v/>
      </c>
    </row>
    <row r="4352" customFormat="false" ht="15" hidden="false" customHeight="false" outlineLevel="0" collapsed="false">
      <c r="A4352" s="16" t="s">
        <v>13722</v>
      </c>
      <c r="B4352" s="16" t="n">
        <v>4347</v>
      </c>
      <c r="C4352" s="16" t="s">
        <v>13723</v>
      </c>
      <c r="D4352" s="16" t="n">
        <v>6</v>
      </c>
      <c r="E4352" s="35" t="s">
        <v>13724</v>
      </c>
      <c r="F4352" s="16" t="s">
        <v>1285</v>
      </c>
      <c r="G4352" s="16" t="s">
        <v>882</v>
      </c>
      <c r="H4352" s="16" t="s">
        <v>13359</v>
      </c>
      <c r="I4352" s="16" t="s">
        <v>136</v>
      </c>
      <c r="J4352" s="16" t="s">
        <v>13689</v>
      </c>
      <c r="K4352" s="32" t="n">
        <v>1</v>
      </c>
      <c r="L4352" s="33" t="n">
        <v>46419</v>
      </c>
      <c r="M4352" s="33" t="n">
        <v>46419</v>
      </c>
      <c r="N4352" s="16" t="s">
        <v>13725</v>
      </c>
      <c r="O4352" s="16"/>
      <c r="P4352" s="16" t="str">
        <f aca="false">IF(AND(L4352&lt;=$D$2,M4352&gt;=$C$2),"Sí","")</f>
        <v/>
      </c>
      <c r="Q4352" s="18" t="str">
        <f aca="false">IF(COUNTIF(LOOKAHEAD!$A$5:$A$604,A4352)&gt;0,"En Lookahead",IF(P4352="Sí","INCORPORAR",""))</f>
        <v/>
      </c>
    </row>
    <row r="4353" customFormat="false" ht="15" hidden="false" customHeight="false" outlineLevel="0" collapsed="false">
      <c r="A4353" s="16" t="s">
        <v>13726</v>
      </c>
      <c r="B4353" s="16" t="n">
        <v>4348</v>
      </c>
      <c r="C4353" s="16" t="s">
        <v>13727</v>
      </c>
      <c r="D4353" s="16" t="n">
        <v>6</v>
      </c>
      <c r="E4353" s="35" t="s">
        <v>13728</v>
      </c>
      <c r="F4353" s="16" t="s">
        <v>1285</v>
      </c>
      <c r="G4353" s="16" t="s">
        <v>882</v>
      </c>
      <c r="H4353" s="16" t="s">
        <v>13359</v>
      </c>
      <c r="I4353" s="16" t="s">
        <v>136</v>
      </c>
      <c r="J4353" s="16" t="s">
        <v>13689</v>
      </c>
      <c r="K4353" s="32" t="n">
        <v>8</v>
      </c>
      <c r="L4353" s="33" t="n">
        <v>46420</v>
      </c>
      <c r="M4353" s="33" t="n">
        <v>46427</v>
      </c>
      <c r="N4353" s="16" t="s">
        <v>13729</v>
      </c>
      <c r="O4353" s="16"/>
      <c r="P4353" s="16" t="str">
        <f aca="false">IF(AND(L4353&lt;=$D$2,M4353&gt;=$C$2),"Sí","")</f>
        <v/>
      </c>
      <c r="Q4353" s="18" t="str">
        <f aca="false">IF(COUNTIF(LOOKAHEAD!$A$5:$A$604,A4353)&gt;0,"En Lookahead",IF(P4353="Sí","INCORPORAR",""))</f>
        <v/>
      </c>
    </row>
    <row r="4354" customFormat="false" ht="15" hidden="false" customHeight="false" outlineLevel="0" collapsed="false">
      <c r="A4354" s="16" t="s">
        <v>13730</v>
      </c>
      <c r="B4354" s="16" t="n">
        <v>4349</v>
      </c>
      <c r="C4354" s="16" t="s">
        <v>13731</v>
      </c>
      <c r="D4354" s="16" t="n">
        <v>6</v>
      </c>
      <c r="E4354" s="35" t="s">
        <v>13732</v>
      </c>
      <c r="F4354" s="16" t="s">
        <v>1285</v>
      </c>
      <c r="G4354" s="16" t="s">
        <v>882</v>
      </c>
      <c r="H4354" s="16" t="s">
        <v>13359</v>
      </c>
      <c r="I4354" s="16" t="s">
        <v>136</v>
      </c>
      <c r="J4354" s="16" t="s">
        <v>13689</v>
      </c>
      <c r="K4354" s="32" t="n">
        <v>5</v>
      </c>
      <c r="L4354" s="33" t="n">
        <v>46428</v>
      </c>
      <c r="M4354" s="33" t="n">
        <v>46432</v>
      </c>
      <c r="N4354" s="16" t="s">
        <v>13733</v>
      </c>
      <c r="O4354" s="16"/>
      <c r="P4354" s="16" t="str">
        <f aca="false">IF(AND(L4354&lt;=$D$2,M4354&gt;=$C$2),"Sí","")</f>
        <v/>
      </c>
      <c r="Q4354" s="18" t="str">
        <f aca="false">IF(COUNTIF(LOOKAHEAD!$A$5:$A$604,A4354)&gt;0,"En Lookahead",IF(P4354="Sí","INCORPORAR",""))</f>
        <v/>
      </c>
    </row>
    <row r="4355" customFormat="false" ht="15" hidden="false" customHeight="false" outlineLevel="0" collapsed="false">
      <c r="A4355" s="16" t="s">
        <v>13734</v>
      </c>
      <c r="B4355" s="16" t="n">
        <v>4350</v>
      </c>
      <c r="C4355" s="16" t="s">
        <v>13735</v>
      </c>
      <c r="D4355" s="16" t="n">
        <v>6</v>
      </c>
      <c r="E4355" s="35" t="s">
        <v>13736</v>
      </c>
      <c r="F4355" s="16" t="s">
        <v>1285</v>
      </c>
      <c r="G4355" s="16" t="s">
        <v>882</v>
      </c>
      <c r="H4355" s="16" t="s">
        <v>13359</v>
      </c>
      <c r="I4355" s="16" t="s">
        <v>136</v>
      </c>
      <c r="J4355" s="16" t="s">
        <v>13689</v>
      </c>
      <c r="K4355" s="32" t="n">
        <v>2</v>
      </c>
      <c r="L4355" s="33" t="n">
        <v>46433</v>
      </c>
      <c r="M4355" s="33" t="n">
        <v>46434</v>
      </c>
      <c r="N4355" s="16" t="s">
        <v>13737</v>
      </c>
      <c r="O4355" s="16"/>
      <c r="P4355" s="16" t="str">
        <f aca="false">IF(AND(L4355&lt;=$D$2,M4355&gt;=$C$2),"Sí","")</f>
        <v/>
      </c>
      <c r="Q4355" s="18" t="str">
        <f aca="false">IF(COUNTIF(LOOKAHEAD!$A$5:$A$604,A4355)&gt;0,"En Lookahead",IF(P4355="Sí","INCORPORAR",""))</f>
        <v/>
      </c>
    </row>
    <row r="4356" customFormat="false" ht="15" hidden="false" customHeight="false" outlineLevel="0" collapsed="false">
      <c r="A4356" s="16" t="s">
        <v>13738</v>
      </c>
      <c r="B4356" s="16" t="n">
        <v>4351</v>
      </c>
      <c r="C4356" s="16" t="s">
        <v>13739</v>
      </c>
      <c r="D4356" s="16" t="n">
        <v>6</v>
      </c>
      <c r="E4356" s="35" t="s">
        <v>13740</v>
      </c>
      <c r="F4356" s="16" t="s">
        <v>1285</v>
      </c>
      <c r="G4356" s="16" t="s">
        <v>882</v>
      </c>
      <c r="H4356" s="16" t="s">
        <v>13359</v>
      </c>
      <c r="I4356" s="16" t="s">
        <v>136</v>
      </c>
      <c r="J4356" s="16" t="s">
        <v>13689</v>
      </c>
      <c r="K4356" s="32" t="n">
        <v>1</v>
      </c>
      <c r="L4356" s="33" t="n">
        <v>46435</v>
      </c>
      <c r="M4356" s="33" t="n">
        <v>46435</v>
      </c>
      <c r="N4356" s="16" t="s">
        <v>13741</v>
      </c>
      <c r="O4356" s="16"/>
      <c r="P4356" s="16" t="str">
        <f aca="false">IF(AND(L4356&lt;=$D$2,M4356&gt;=$C$2),"Sí","")</f>
        <v/>
      </c>
      <c r="Q4356" s="18" t="str">
        <f aca="false">IF(COUNTIF(LOOKAHEAD!$A$5:$A$604,A4356)&gt;0,"En Lookahead",IF(P4356="Sí","INCORPORAR",""))</f>
        <v/>
      </c>
    </row>
    <row r="4357" customFormat="false" ht="15" hidden="false" customHeight="false" outlineLevel="0" collapsed="false">
      <c r="A4357" s="16" t="s">
        <v>13742</v>
      </c>
      <c r="B4357" s="16" t="n">
        <v>4352</v>
      </c>
      <c r="C4357" s="16" t="s">
        <v>13743</v>
      </c>
      <c r="D4357" s="16" t="n">
        <v>6</v>
      </c>
      <c r="E4357" s="35" t="s">
        <v>13744</v>
      </c>
      <c r="F4357" s="16" t="s">
        <v>1285</v>
      </c>
      <c r="G4357" s="16" t="s">
        <v>882</v>
      </c>
      <c r="H4357" s="16" t="s">
        <v>13359</v>
      </c>
      <c r="I4357" s="16" t="s">
        <v>136</v>
      </c>
      <c r="J4357" s="16" t="s">
        <v>13689</v>
      </c>
      <c r="K4357" s="32" t="n">
        <v>3</v>
      </c>
      <c r="L4357" s="33" t="n">
        <v>46436</v>
      </c>
      <c r="M4357" s="33" t="n">
        <v>46438</v>
      </c>
      <c r="N4357" s="16" t="s">
        <v>13745</v>
      </c>
      <c r="O4357" s="16"/>
      <c r="P4357" s="16" t="str">
        <f aca="false">IF(AND(L4357&lt;=$D$2,M4357&gt;=$C$2),"Sí","")</f>
        <v/>
      </c>
      <c r="Q4357" s="18" t="str">
        <f aca="false">IF(COUNTIF(LOOKAHEAD!$A$5:$A$604,A4357)&gt;0,"En Lookahead",IF(P4357="Sí","INCORPORAR",""))</f>
        <v/>
      </c>
    </row>
    <row r="4358" customFormat="false" ht="15" hidden="false" customHeight="false" outlineLevel="0" collapsed="false">
      <c r="A4358" s="16" t="s">
        <v>13746</v>
      </c>
      <c r="B4358" s="16" t="n">
        <v>4353</v>
      </c>
      <c r="C4358" s="16" t="s">
        <v>13747</v>
      </c>
      <c r="D4358" s="16" t="n">
        <v>6</v>
      </c>
      <c r="E4358" s="35" t="s">
        <v>13748</v>
      </c>
      <c r="F4358" s="16" t="s">
        <v>1285</v>
      </c>
      <c r="G4358" s="16" t="s">
        <v>882</v>
      </c>
      <c r="H4358" s="16" t="s">
        <v>13359</v>
      </c>
      <c r="I4358" s="16" t="s">
        <v>136</v>
      </c>
      <c r="J4358" s="16" t="s">
        <v>13689</v>
      </c>
      <c r="K4358" s="32" t="n">
        <v>1</v>
      </c>
      <c r="L4358" s="33" t="n">
        <v>46439</v>
      </c>
      <c r="M4358" s="33" t="n">
        <v>46439</v>
      </c>
      <c r="N4358" s="16" t="s">
        <v>13749</v>
      </c>
      <c r="O4358" s="16"/>
      <c r="P4358" s="16" t="str">
        <f aca="false">IF(AND(L4358&lt;=$D$2,M4358&gt;=$C$2),"Sí","")</f>
        <v/>
      </c>
      <c r="Q4358" s="18" t="str">
        <f aca="false">IF(COUNTIF(LOOKAHEAD!$A$5:$A$604,A4358)&gt;0,"En Lookahead",IF(P4358="Sí","INCORPORAR",""))</f>
        <v/>
      </c>
    </row>
    <row r="4359" customFormat="false" ht="15" hidden="false" customHeight="false" outlineLevel="0" collapsed="false">
      <c r="A4359" s="16" t="s">
        <v>13750</v>
      </c>
      <c r="B4359" s="16" t="n">
        <v>4354</v>
      </c>
      <c r="C4359" s="16" t="s">
        <v>13751</v>
      </c>
      <c r="D4359" s="16" t="n">
        <v>6</v>
      </c>
      <c r="E4359" s="35" t="s">
        <v>13752</v>
      </c>
      <c r="F4359" s="16" t="s">
        <v>1285</v>
      </c>
      <c r="G4359" s="16" t="s">
        <v>882</v>
      </c>
      <c r="H4359" s="16" t="s">
        <v>13359</v>
      </c>
      <c r="I4359" s="16" t="s">
        <v>136</v>
      </c>
      <c r="J4359" s="16" t="s">
        <v>13689</v>
      </c>
      <c r="K4359" s="32" t="n">
        <v>1</v>
      </c>
      <c r="L4359" s="33" t="n">
        <v>46440</v>
      </c>
      <c r="M4359" s="33" t="n">
        <v>46440</v>
      </c>
      <c r="N4359" s="16" t="s">
        <v>13753</v>
      </c>
      <c r="O4359" s="16"/>
      <c r="P4359" s="16" t="str">
        <f aca="false">IF(AND(L4359&lt;=$D$2,M4359&gt;=$C$2),"Sí","")</f>
        <v/>
      </c>
      <c r="Q4359" s="18" t="str">
        <f aca="false">IF(COUNTIF(LOOKAHEAD!$A$5:$A$604,A4359)&gt;0,"En Lookahead",IF(P4359="Sí","INCORPORAR",""))</f>
        <v/>
      </c>
    </row>
    <row r="4360" customFormat="false" ht="15" hidden="false" customHeight="false" outlineLevel="0" collapsed="false">
      <c r="A4360" s="16" t="s">
        <v>13754</v>
      </c>
      <c r="B4360" s="16" t="n">
        <v>4355</v>
      </c>
      <c r="C4360" s="16" t="s">
        <v>13755</v>
      </c>
      <c r="D4360" s="16" t="n">
        <v>6</v>
      </c>
      <c r="E4360" s="35" t="s">
        <v>13756</v>
      </c>
      <c r="F4360" s="16" t="s">
        <v>1285</v>
      </c>
      <c r="G4360" s="16" t="s">
        <v>882</v>
      </c>
      <c r="H4360" s="16" t="s">
        <v>13359</v>
      </c>
      <c r="I4360" s="16" t="s">
        <v>136</v>
      </c>
      <c r="J4360" s="16" t="s">
        <v>13689</v>
      </c>
      <c r="K4360" s="32" t="n">
        <v>1</v>
      </c>
      <c r="L4360" s="33" t="n">
        <v>46441</v>
      </c>
      <c r="M4360" s="33" t="n">
        <v>46441</v>
      </c>
      <c r="N4360" s="16" t="s">
        <v>13757</v>
      </c>
      <c r="O4360" s="16"/>
      <c r="P4360" s="16" t="str">
        <f aca="false">IF(AND(L4360&lt;=$D$2,M4360&gt;=$C$2),"Sí","")</f>
        <v/>
      </c>
      <c r="Q4360" s="18" t="str">
        <f aca="false">IF(COUNTIF(LOOKAHEAD!$A$5:$A$604,A4360)&gt;0,"En Lookahead",IF(P4360="Sí","INCORPORAR",""))</f>
        <v/>
      </c>
    </row>
    <row r="4361" customFormat="false" ht="15" hidden="false" customHeight="false" outlineLevel="0" collapsed="false">
      <c r="A4361" s="16" t="s">
        <v>13758</v>
      </c>
      <c r="B4361" s="16" t="n">
        <v>4356</v>
      </c>
      <c r="C4361" s="16" t="s">
        <v>13759</v>
      </c>
      <c r="D4361" s="16" t="n">
        <v>6</v>
      </c>
      <c r="E4361" s="35" t="s">
        <v>13760</v>
      </c>
      <c r="F4361" s="16" t="s">
        <v>1285</v>
      </c>
      <c r="G4361" s="16" t="s">
        <v>882</v>
      </c>
      <c r="H4361" s="16" t="s">
        <v>13359</v>
      </c>
      <c r="I4361" s="16" t="s">
        <v>136</v>
      </c>
      <c r="J4361" s="16" t="s">
        <v>13689</v>
      </c>
      <c r="K4361" s="32" t="n">
        <v>5</v>
      </c>
      <c r="L4361" s="33" t="n">
        <v>46442</v>
      </c>
      <c r="M4361" s="33" t="n">
        <v>46446</v>
      </c>
      <c r="N4361" s="16" t="s">
        <v>13761</v>
      </c>
      <c r="O4361" s="16"/>
      <c r="P4361" s="16" t="str">
        <f aca="false">IF(AND(L4361&lt;=$D$2,M4361&gt;=$C$2),"Sí","")</f>
        <v/>
      </c>
      <c r="Q4361" s="18" t="str">
        <f aca="false">IF(COUNTIF(LOOKAHEAD!$A$5:$A$604,A4361)&gt;0,"En Lookahead",IF(P4361="Sí","INCORPORAR",""))</f>
        <v/>
      </c>
    </row>
    <row r="4362" customFormat="false" ht="15" hidden="false" customHeight="false" outlineLevel="0" collapsed="false">
      <c r="A4362" s="16" t="s">
        <v>13762</v>
      </c>
      <c r="B4362" s="16" t="n">
        <v>4357</v>
      </c>
      <c r="C4362" s="16" t="s">
        <v>13763</v>
      </c>
      <c r="D4362" s="16" t="n">
        <v>6</v>
      </c>
      <c r="E4362" s="35" t="s">
        <v>13764</v>
      </c>
      <c r="F4362" s="16" t="s">
        <v>1285</v>
      </c>
      <c r="G4362" s="16" t="s">
        <v>882</v>
      </c>
      <c r="H4362" s="16" t="s">
        <v>13359</v>
      </c>
      <c r="I4362" s="16" t="s">
        <v>136</v>
      </c>
      <c r="J4362" s="16" t="s">
        <v>13689</v>
      </c>
      <c r="K4362" s="32" t="n">
        <v>1</v>
      </c>
      <c r="L4362" s="33" t="n">
        <v>46447</v>
      </c>
      <c r="M4362" s="33" t="n">
        <v>46447</v>
      </c>
      <c r="N4362" s="16" t="s">
        <v>13765</v>
      </c>
      <c r="O4362" s="16"/>
      <c r="P4362" s="16" t="str">
        <f aca="false">IF(AND(L4362&lt;=$D$2,M4362&gt;=$C$2),"Sí","")</f>
        <v/>
      </c>
      <c r="Q4362" s="18" t="str">
        <f aca="false">IF(COUNTIF(LOOKAHEAD!$A$5:$A$604,A4362)&gt;0,"En Lookahead",IF(P4362="Sí","INCORPORAR",""))</f>
        <v/>
      </c>
    </row>
    <row r="4363" customFormat="false" ht="15" hidden="false" customHeight="false" outlineLevel="0" collapsed="false">
      <c r="A4363" s="16" t="s">
        <v>13766</v>
      </c>
      <c r="B4363" s="16" t="n">
        <v>4358</v>
      </c>
      <c r="C4363" s="16" t="s">
        <v>13767</v>
      </c>
      <c r="D4363" s="16" t="n">
        <v>6</v>
      </c>
      <c r="E4363" s="35" t="s">
        <v>13768</v>
      </c>
      <c r="F4363" s="16" t="s">
        <v>1285</v>
      </c>
      <c r="G4363" s="16" t="s">
        <v>882</v>
      </c>
      <c r="H4363" s="16" t="s">
        <v>13359</v>
      </c>
      <c r="I4363" s="16" t="s">
        <v>136</v>
      </c>
      <c r="J4363" s="16" t="s">
        <v>13689</v>
      </c>
      <c r="K4363" s="32" t="n">
        <v>1</v>
      </c>
      <c r="L4363" s="33" t="n">
        <v>46448</v>
      </c>
      <c r="M4363" s="33" t="n">
        <v>46448</v>
      </c>
      <c r="N4363" s="16" t="s">
        <v>13769</v>
      </c>
      <c r="O4363" s="16"/>
      <c r="P4363" s="16" t="str">
        <f aca="false">IF(AND(L4363&lt;=$D$2,M4363&gt;=$C$2),"Sí","")</f>
        <v/>
      </c>
      <c r="Q4363" s="18" t="str">
        <f aca="false">IF(COUNTIF(LOOKAHEAD!$A$5:$A$604,A4363)&gt;0,"En Lookahead",IF(P4363="Sí","INCORPORAR",""))</f>
        <v/>
      </c>
    </row>
    <row r="4364" customFormat="false" ht="15" hidden="false" customHeight="false" outlineLevel="0" collapsed="false">
      <c r="A4364" s="16" t="s">
        <v>13770</v>
      </c>
      <c r="B4364" s="16" t="n">
        <v>4359</v>
      </c>
      <c r="C4364" s="16" t="s">
        <v>13771</v>
      </c>
      <c r="D4364" s="16" t="n">
        <v>6</v>
      </c>
      <c r="E4364" s="35" t="s">
        <v>13772</v>
      </c>
      <c r="F4364" s="16" t="s">
        <v>1285</v>
      </c>
      <c r="G4364" s="16" t="s">
        <v>882</v>
      </c>
      <c r="H4364" s="16" t="s">
        <v>13359</v>
      </c>
      <c r="I4364" s="16" t="s">
        <v>136</v>
      </c>
      <c r="J4364" s="16" t="s">
        <v>13689</v>
      </c>
      <c r="K4364" s="32" t="n">
        <v>1</v>
      </c>
      <c r="L4364" s="33" t="n">
        <v>46449</v>
      </c>
      <c r="M4364" s="33" t="n">
        <v>46449</v>
      </c>
      <c r="N4364" s="16" t="s">
        <v>13773</v>
      </c>
      <c r="O4364" s="16"/>
      <c r="P4364" s="16" t="str">
        <f aca="false">IF(AND(L4364&lt;=$D$2,M4364&gt;=$C$2),"Sí","")</f>
        <v/>
      </c>
      <c r="Q4364" s="18" t="str">
        <f aca="false">IF(COUNTIF(LOOKAHEAD!$A$5:$A$604,A4364)&gt;0,"En Lookahead",IF(P4364="Sí","INCORPORAR",""))</f>
        <v/>
      </c>
    </row>
    <row r="4365" customFormat="false" ht="15" hidden="false" customHeight="false" outlineLevel="0" collapsed="false">
      <c r="A4365" s="16" t="s">
        <v>13774</v>
      </c>
      <c r="B4365" s="16" t="n">
        <v>4360</v>
      </c>
      <c r="C4365" s="16" t="s">
        <v>13775</v>
      </c>
      <c r="D4365" s="16" t="n">
        <v>6</v>
      </c>
      <c r="E4365" s="35" t="s">
        <v>13776</v>
      </c>
      <c r="F4365" s="16" t="s">
        <v>1285</v>
      </c>
      <c r="G4365" s="16" t="s">
        <v>882</v>
      </c>
      <c r="H4365" s="16" t="s">
        <v>13359</v>
      </c>
      <c r="I4365" s="16" t="s">
        <v>136</v>
      </c>
      <c r="J4365" s="16" t="s">
        <v>13689</v>
      </c>
      <c r="K4365" s="32" t="n">
        <v>1</v>
      </c>
      <c r="L4365" s="33" t="n">
        <v>46450</v>
      </c>
      <c r="M4365" s="33" t="n">
        <v>46450</v>
      </c>
      <c r="N4365" s="16" t="s">
        <v>13777</v>
      </c>
      <c r="O4365" s="16"/>
      <c r="P4365" s="16" t="str">
        <f aca="false">IF(AND(L4365&lt;=$D$2,M4365&gt;=$C$2),"Sí","")</f>
        <v/>
      </c>
      <c r="Q4365" s="18" t="str">
        <f aca="false">IF(COUNTIF(LOOKAHEAD!$A$5:$A$604,A4365)&gt;0,"En Lookahead",IF(P4365="Sí","INCORPORAR",""))</f>
        <v/>
      </c>
    </row>
    <row r="4366" customFormat="false" ht="15" hidden="false" customHeight="false" outlineLevel="0" collapsed="false">
      <c r="A4366" s="16" t="s">
        <v>13778</v>
      </c>
      <c r="B4366" s="16" t="n">
        <v>4361</v>
      </c>
      <c r="C4366" s="16" t="s">
        <v>13779</v>
      </c>
      <c r="D4366" s="16" t="n">
        <v>6</v>
      </c>
      <c r="E4366" s="35" t="s">
        <v>13780</v>
      </c>
      <c r="F4366" s="16" t="s">
        <v>1285</v>
      </c>
      <c r="G4366" s="16" t="s">
        <v>882</v>
      </c>
      <c r="H4366" s="16" t="s">
        <v>13359</v>
      </c>
      <c r="I4366" s="16" t="s">
        <v>136</v>
      </c>
      <c r="J4366" s="16" t="s">
        <v>13689</v>
      </c>
      <c r="K4366" s="32" t="n">
        <v>1</v>
      </c>
      <c r="L4366" s="33" t="n">
        <v>46451</v>
      </c>
      <c r="M4366" s="33" t="n">
        <v>46451</v>
      </c>
      <c r="N4366" s="16" t="s">
        <v>13781</v>
      </c>
      <c r="O4366" s="16"/>
      <c r="P4366" s="16" t="str">
        <f aca="false">IF(AND(L4366&lt;=$D$2,M4366&gt;=$C$2),"Sí","")</f>
        <v/>
      </c>
      <c r="Q4366" s="18" t="str">
        <f aca="false">IF(COUNTIF(LOOKAHEAD!$A$5:$A$604,A4366)&gt;0,"En Lookahead",IF(P4366="Sí","INCORPORAR",""))</f>
        <v/>
      </c>
    </row>
    <row r="4367" customFormat="false" ht="15" hidden="false" customHeight="false" outlineLevel="0" collapsed="false">
      <c r="A4367" s="16" t="s">
        <v>13782</v>
      </c>
      <c r="B4367" s="16" t="n">
        <v>4362</v>
      </c>
      <c r="C4367" s="16" t="s">
        <v>13783</v>
      </c>
      <c r="D4367" s="16" t="n">
        <v>6</v>
      </c>
      <c r="E4367" s="35" t="s">
        <v>13784</v>
      </c>
      <c r="F4367" s="16" t="s">
        <v>1285</v>
      </c>
      <c r="G4367" s="16" t="s">
        <v>882</v>
      </c>
      <c r="H4367" s="16" t="s">
        <v>13359</v>
      </c>
      <c r="I4367" s="16" t="s">
        <v>136</v>
      </c>
      <c r="J4367" s="16" t="s">
        <v>13689</v>
      </c>
      <c r="K4367" s="32" t="n">
        <v>11</v>
      </c>
      <c r="L4367" s="33" t="n">
        <v>46452</v>
      </c>
      <c r="M4367" s="33" t="n">
        <v>46462</v>
      </c>
      <c r="N4367" s="16" t="s">
        <v>13785</v>
      </c>
      <c r="O4367" s="16"/>
      <c r="P4367" s="16" t="str">
        <f aca="false">IF(AND(L4367&lt;=$D$2,M4367&gt;=$C$2),"Sí","")</f>
        <v/>
      </c>
      <c r="Q4367" s="18" t="str">
        <f aca="false">IF(COUNTIF(LOOKAHEAD!$A$5:$A$604,A4367)&gt;0,"En Lookahead",IF(P4367="Sí","INCORPORAR",""))</f>
        <v/>
      </c>
    </row>
    <row r="4368" customFormat="false" ht="15" hidden="false" customHeight="false" outlineLevel="0" collapsed="false">
      <c r="A4368" s="16" t="s">
        <v>13786</v>
      </c>
      <c r="B4368" s="16" t="n">
        <v>4363</v>
      </c>
      <c r="C4368" s="16" t="s">
        <v>13787</v>
      </c>
      <c r="D4368" s="16" t="n">
        <v>6</v>
      </c>
      <c r="E4368" s="35" t="s">
        <v>13788</v>
      </c>
      <c r="F4368" s="16" t="s">
        <v>1285</v>
      </c>
      <c r="G4368" s="16" t="s">
        <v>882</v>
      </c>
      <c r="H4368" s="16" t="s">
        <v>13359</v>
      </c>
      <c r="I4368" s="16" t="s">
        <v>136</v>
      </c>
      <c r="J4368" s="16" t="s">
        <v>13689</v>
      </c>
      <c r="K4368" s="32" t="n">
        <v>20</v>
      </c>
      <c r="L4368" s="33" t="n">
        <v>46463</v>
      </c>
      <c r="M4368" s="33" t="n">
        <v>46482</v>
      </c>
      <c r="N4368" s="16" t="s">
        <v>13789</v>
      </c>
      <c r="O4368" s="16"/>
      <c r="P4368" s="16" t="str">
        <f aca="false">IF(AND(L4368&lt;=$D$2,M4368&gt;=$C$2),"Sí","")</f>
        <v/>
      </c>
      <c r="Q4368" s="18" t="str">
        <f aca="false">IF(COUNTIF(LOOKAHEAD!$A$5:$A$604,A4368)&gt;0,"En Lookahead",IF(P4368="Sí","INCORPORAR",""))</f>
        <v/>
      </c>
    </row>
    <row r="4369" customFormat="false" ht="15" hidden="false" customHeight="false" outlineLevel="0" collapsed="false">
      <c r="A4369" s="16" t="s">
        <v>13790</v>
      </c>
      <c r="B4369" s="16" t="n">
        <v>4364</v>
      </c>
      <c r="C4369" s="16" t="s">
        <v>13791</v>
      </c>
      <c r="D4369" s="16" t="n">
        <v>6</v>
      </c>
      <c r="E4369" s="35" t="s">
        <v>13792</v>
      </c>
      <c r="F4369" s="16" t="s">
        <v>1285</v>
      </c>
      <c r="G4369" s="16" t="s">
        <v>882</v>
      </c>
      <c r="H4369" s="16" t="s">
        <v>13359</v>
      </c>
      <c r="I4369" s="16" t="s">
        <v>136</v>
      </c>
      <c r="J4369" s="16" t="s">
        <v>13689</v>
      </c>
      <c r="K4369" s="32" t="n">
        <v>1</v>
      </c>
      <c r="L4369" s="33" t="n">
        <v>46483</v>
      </c>
      <c r="M4369" s="33" t="n">
        <v>46483</v>
      </c>
      <c r="N4369" s="16" t="s">
        <v>13793</v>
      </c>
      <c r="O4369" s="16"/>
      <c r="P4369" s="16" t="str">
        <f aca="false">IF(AND(L4369&lt;=$D$2,M4369&gt;=$C$2),"Sí","")</f>
        <v/>
      </c>
      <c r="Q4369" s="18" t="str">
        <f aca="false">IF(COUNTIF(LOOKAHEAD!$A$5:$A$604,A4369)&gt;0,"En Lookahead",IF(P4369="Sí","INCORPORAR",""))</f>
        <v/>
      </c>
    </row>
    <row r="4370" customFormat="false" ht="15" hidden="false" customHeight="false" outlineLevel="0" collapsed="false">
      <c r="A4370" s="16" t="s">
        <v>13794</v>
      </c>
      <c r="B4370" s="16" t="n">
        <v>4365</v>
      </c>
      <c r="C4370" s="16" t="s">
        <v>13795</v>
      </c>
      <c r="D4370" s="16" t="n">
        <v>6</v>
      </c>
      <c r="E4370" s="35" t="s">
        <v>13796</v>
      </c>
      <c r="F4370" s="16" t="s">
        <v>1285</v>
      </c>
      <c r="G4370" s="16" t="s">
        <v>882</v>
      </c>
      <c r="H4370" s="16" t="s">
        <v>13359</v>
      </c>
      <c r="I4370" s="16" t="s">
        <v>136</v>
      </c>
      <c r="J4370" s="16" t="s">
        <v>13689</v>
      </c>
      <c r="K4370" s="32" t="n">
        <v>1</v>
      </c>
      <c r="L4370" s="33" t="n">
        <v>46484</v>
      </c>
      <c r="M4370" s="33" t="n">
        <v>46484</v>
      </c>
      <c r="N4370" s="16" t="s">
        <v>13797</v>
      </c>
      <c r="O4370" s="16"/>
      <c r="P4370" s="16" t="str">
        <f aca="false">IF(AND(L4370&lt;=$D$2,M4370&gt;=$C$2),"Sí","")</f>
        <v/>
      </c>
      <c r="Q4370" s="18" t="str">
        <f aca="false">IF(COUNTIF(LOOKAHEAD!$A$5:$A$604,A4370)&gt;0,"En Lookahead",IF(P4370="Sí","INCORPORAR",""))</f>
        <v/>
      </c>
    </row>
    <row r="4371" customFormat="false" ht="15" hidden="false" customHeight="false" outlineLevel="0" collapsed="false">
      <c r="A4371" s="13" t="s">
        <v>13798</v>
      </c>
      <c r="B4371" s="13" t="n">
        <v>4366</v>
      </c>
      <c r="C4371" s="13" t="s">
        <v>13799</v>
      </c>
      <c r="D4371" s="13" t="n">
        <v>5</v>
      </c>
      <c r="E4371" s="34" t="s">
        <v>13800</v>
      </c>
      <c r="F4371" s="13" t="s">
        <v>1298</v>
      </c>
      <c r="G4371" s="13" t="s">
        <v>882</v>
      </c>
      <c r="H4371" s="13" t="s">
        <v>13359</v>
      </c>
      <c r="I4371" s="13" t="s">
        <v>136</v>
      </c>
      <c r="J4371" s="13" t="s">
        <v>13359</v>
      </c>
      <c r="K4371" s="30" t="n">
        <v>40</v>
      </c>
      <c r="L4371" s="31" t="n">
        <v>46404</v>
      </c>
      <c r="M4371" s="31" t="n">
        <v>46443</v>
      </c>
      <c r="N4371" s="13"/>
      <c r="O4371" s="13"/>
      <c r="P4371" s="13"/>
      <c r="Q4371" s="13"/>
    </row>
    <row r="4372" customFormat="false" ht="15" hidden="false" customHeight="false" outlineLevel="0" collapsed="false">
      <c r="A4372" s="16" t="s">
        <v>13801</v>
      </c>
      <c r="B4372" s="16" t="n">
        <v>4367</v>
      </c>
      <c r="C4372" s="16" t="s">
        <v>13802</v>
      </c>
      <c r="D4372" s="16" t="n">
        <v>6</v>
      </c>
      <c r="E4372" s="35" t="s">
        <v>13803</v>
      </c>
      <c r="F4372" s="16" t="s">
        <v>1285</v>
      </c>
      <c r="G4372" s="16" t="s">
        <v>882</v>
      </c>
      <c r="H4372" s="16" t="s">
        <v>13359</v>
      </c>
      <c r="I4372" s="16" t="s">
        <v>136</v>
      </c>
      <c r="J4372" s="16" t="s">
        <v>13800</v>
      </c>
      <c r="K4372" s="32" t="n">
        <v>17</v>
      </c>
      <c r="L4372" s="33" t="n">
        <v>46404</v>
      </c>
      <c r="M4372" s="33" t="n">
        <v>46420</v>
      </c>
      <c r="N4372" s="16" t="s">
        <v>13709</v>
      </c>
      <c r="O4372" s="16"/>
      <c r="P4372" s="16" t="str">
        <f aca="false">IF(AND(L4372&lt;=$D$2,M4372&gt;=$C$2),"Sí","")</f>
        <v/>
      </c>
      <c r="Q4372" s="18" t="str">
        <f aca="false">IF(COUNTIF(LOOKAHEAD!$A$5:$A$604,A4372)&gt;0,"En Lookahead",IF(P4372="Sí","INCORPORAR",""))</f>
        <v/>
      </c>
    </row>
    <row r="4373" customFormat="false" ht="15" hidden="false" customHeight="false" outlineLevel="0" collapsed="false">
      <c r="A4373" s="16" t="s">
        <v>13804</v>
      </c>
      <c r="B4373" s="16" t="n">
        <v>4368</v>
      </c>
      <c r="C4373" s="16" t="s">
        <v>13805</v>
      </c>
      <c r="D4373" s="16" t="n">
        <v>6</v>
      </c>
      <c r="E4373" s="35" t="s">
        <v>13806</v>
      </c>
      <c r="F4373" s="16" t="s">
        <v>1285</v>
      </c>
      <c r="G4373" s="16" t="s">
        <v>882</v>
      </c>
      <c r="H4373" s="16" t="s">
        <v>13359</v>
      </c>
      <c r="I4373" s="16" t="s">
        <v>136</v>
      </c>
      <c r="J4373" s="16" t="s">
        <v>13800</v>
      </c>
      <c r="K4373" s="32" t="n">
        <v>1</v>
      </c>
      <c r="L4373" s="33" t="n">
        <v>46421</v>
      </c>
      <c r="M4373" s="33" t="n">
        <v>46421</v>
      </c>
      <c r="N4373" s="16" t="s">
        <v>13807</v>
      </c>
      <c r="O4373" s="16"/>
      <c r="P4373" s="16" t="str">
        <f aca="false">IF(AND(L4373&lt;=$D$2,M4373&gt;=$C$2),"Sí","")</f>
        <v/>
      </c>
      <c r="Q4373" s="18" t="str">
        <f aca="false">IF(COUNTIF(LOOKAHEAD!$A$5:$A$604,A4373)&gt;0,"En Lookahead",IF(P4373="Sí","INCORPORAR",""))</f>
        <v/>
      </c>
    </row>
    <row r="4374" customFormat="false" ht="15" hidden="false" customHeight="false" outlineLevel="0" collapsed="false">
      <c r="A4374" s="16" t="s">
        <v>13808</v>
      </c>
      <c r="B4374" s="16" t="n">
        <v>4369</v>
      </c>
      <c r="C4374" s="16" t="s">
        <v>13809</v>
      </c>
      <c r="D4374" s="16" t="n">
        <v>6</v>
      </c>
      <c r="E4374" s="35" t="s">
        <v>13810</v>
      </c>
      <c r="F4374" s="16" t="s">
        <v>1285</v>
      </c>
      <c r="G4374" s="16" t="s">
        <v>882</v>
      </c>
      <c r="H4374" s="16" t="s">
        <v>13359</v>
      </c>
      <c r="I4374" s="16" t="s">
        <v>136</v>
      </c>
      <c r="J4374" s="16" t="s">
        <v>13800</v>
      </c>
      <c r="K4374" s="32" t="n">
        <v>1</v>
      </c>
      <c r="L4374" s="33" t="n">
        <v>46422</v>
      </c>
      <c r="M4374" s="33" t="n">
        <v>46422</v>
      </c>
      <c r="N4374" s="16" t="s">
        <v>13811</v>
      </c>
      <c r="O4374" s="16"/>
      <c r="P4374" s="16" t="str">
        <f aca="false">IF(AND(L4374&lt;=$D$2,M4374&gt;=$C$2),"Sí","")</f>
        <v/>
      </c>
      <c r="Q4374" s="18" t="str">
        <f aca="false">IF(COUNTIF(LOOKAHEAD!$A$5:$A$604,A4374)&gt;0,"En Lookahead",IF(P4374="Sí","INCORPORAR",""))</f>
        <v/>
      </c>
    </row>
    <row r="4375" customFormat="false" ht="15" hidden="false" customHeight="false" outlineLevel="0" collapsed="false">
      <c r="A4375" s="16" t="s">
        <v>13812</v>
      </c>
      <c r="B4375" s="16" t="n">
        <v>4370</v>
      </c>
      <c r="C4375" s="16" t="s">
        <v>13813</v>
      </c>
      <c r="D4375" s="16" t="n">
        <v>6</v>
      </c>
      <c r="E4375" s="35" t="s">
        <v>13814</v>
      </c>
      <c r="F4375" s="16" t="s">
        <v>1285</v>
      </c>
      <c r="G4375" s="16" t="s">
        <v>882</v>
      </c>
      <c r="H4375" s="16" t="s">
        <v>13359</v>
      </c>
      <c r="I4375" s="16" t="s">
        <v>136</v>
      </c>
      <c r="J4375" s="16" t="s">
        <v>13800</v>
      </c>
      <c r="K4375" s="32" t="n">
        <v>1</v>
      </c>
      <c r="L4375" s="33" t="n">
        <v>46423</v>
      </c>
      <c r="M4375" s="33" t="n">
        <v>46423</v>
      </c>
      <c r="N4375" s="16" t="s">
        <v>13815</v>
      </c>
      <c r="O4375" s="16"/>
      <c r="P4375" s="16" t="str">
        <f aca="false">IF(AND(L4375&lt;=$D$2,M4375&gt;=$C$2),"Sí","")</f>
        <v/>
      </c>
      <c r="Q4375" s="18" t="str">
        <f aca="false">IF(COUNTIF(LOOKAHEAD!$A$5:$A$604,A4375)&gt;0,"En Lookahead",IF(P4375="Sí","INCORPORAR",""))</f>
        <v/>
      </c>
    </row>
    <row r="4376" customFormat="false" ht="15" hidden="false" customHeight="false" outlineLevel="0" collapsed="false">
      <c r="A4376" s="16" t="s">
        <v>13816</v>
      </c>
      <c r="B4376" s="16" t="n">
        <v>4371</v>
      </c>
      <c r="C4376" s="16" t="s">
        <v>13817</v>
      </c>
      <c r="D4376" s="16" t="n">
        <v>6</v>
      </c>
      <c r="E4376" s="35" t="s">
        <v>13818</v>
      </c>
      <c r="F4376" s="16" t="s">
        <v>1285</v>
      </c>
      <c r="G4376" s="16" t="s">
        <v>882</v>
      </c>
      <c r="H4376" s="16" t="s">
        <v>13359</v>
      </c>
      <c r="I4376" s="16" t="s">
        <v>136</v>
      </c>
      <c r="J4376" s="16" t="s">
        <v>13800</v>
      </c>
      <c r="K4376" s="32" t="n">
        <v>1</v>
      </c>
      <c r="L4376" s="33" t="n">
        <v>46424</v>
      </c>
      <c r="M4376" s="33" t="n">
        <v>46424</v>
      </c>
      <c r="N4376" s="16" t="s">
        <v>13819</v>
      </c>
      <c r="O4376" s="16"/>
      <c r="P4376" s="16" t="str">
        <f aca="false">IF(AND(L4376&lt;=$D$2,M4376&gt;=$C$2),"Sí","")</f>
        <v/>
      </c>
      <c r="Q4376" s="18" t="str">
        <f aca="false">IF(COUNTIF(LOOKAHEAD!$A$5:$A$604,A4376)&gt;0,"En Lookahead",IF(P4376="Sí","INCORPORAR",""))</f>
        <v/>
      </c>
    </row>
    <row r="4377" customFormat="false" ht="15" hidden="false" customHeight="false" outlineLevel="0" collapsed="false">
      <c r="A4377" s="16" t="s">
        <v>13820</v>
      </c>
      <c r="B4377" s="16" t="n">
        <v>4372</v>
      </c>
      <c r="C4377" s="16" t="s">
        <v>13821</v>
      </c>
      <c r="D4377" s="16" t="n">
        <v>6</v>
      </c>
      <c r="E4377" s="35" t="s">
        <v>13822</v>
      </c>
      <c r="F4377" s="16" t="s">
        <v>1285</v>
      </c>
      <c r="G4377" s="16" t="s">
        <v>882</v>
      </c>
      <c r="H4377" s="16" t="s">
        <v>13359</v>
      </c>
      <c r="I4377" s="16" t="s">
        <v>136</v>
      </c>
      <c r="J4377" s="16" t="s">
        <v>13800</v>
      </c>
      <c r="K4377" s="32" t="n">
        <v>10</v>
      </c>
      <c r="L4377" s="33" t="n">
        <v>46425</v>
      </c>
      <c r="M4377" s="33" t="n">
        <v>46434</v>
      </c>
      <c r="N4377" s="16" t="s">
        <v>13823</v>
      </c>
      <c r="O4377" s="16"/>
      <c r="P4377" s="16" t="str">
        <f aca="false">IF(AND(L4377&lt;=$D$2,M4377&gt;=$C$2),"Sí","")</f>
        <v/>
      </c>
      <c r="Q4377" s="18" t="str">
        <f aca="false">IF(COUNTIF(LOOKAHEAD!$A$5:$A$604,A4377)&gt;0,"En Lookahead",IF(P4377="Sí","INCORPORAR",""))</f>
        <v/>
      </c>
    </row>
    <row r="4378" customFormat="false" ht="15" hidden="false" customHeight="false" outlineLevel="0" collapsed="false">
      <c r="A4378" s="16" t="s">
        <v>13824</v>
      </c>
      <c r="B4378" s="16" t="n">
        <v>4373</v>
      </c>
      <c r="C4378" s="16" t="s">
        <v>13825</v>
      </c>
      <c r="D4378" s="16" t="n">
        <v>6</v>
      </c>
      <c r="E4378" s="35" t="s">
        <v>13826</v>
      </c>
      <c r="F4378" s="16" t="s">
        <v>1285</v>
      </c>
      <c r="G4378" s="16" t="s">
        <v>882</v>
      </c>
      <c r="H4378" s="16" t="s">
        <v>13359</v>
      </c>
      <c r="I4378" s="16" t="s">
        <v>136</v>
      </c>
      <c r="J4378" s="16" t="s">
        <v>13800</v>
      </c>
      <c r="K4378" s="32" t="n">
        <v>1</v>
      </c>
      <c r="L4378" s="33" t="n">
        <v>46435</v>
      </c>
      <c r="M4378" s="33" t="n">
        <v>46435</v>
      </c>
      <c r="N4378" s="16" t="s">
        <v>13827</v>
      </c>
      <c r="O4378" s="16"/>
      <c r="P4378" s="16" t="str">
        <f aca="false">IF(AND(L4378&lt;=$D$2,M4378&gt;=$C$2),"Sí","")</f>
        <v/>
      </c>
      <c r="Q4378" s="18" t="str">
        <f aca="false">IF(COUNTIF(LOOKAHEAD!$A$5:$A$604,A4378)&gt;0,"En Lookahead",IF(P4378="Sí","INCORPORAR",""))</f>
        <v/>
      </c>
    </row>
    <row r="4379" customFormat="false" ht="15" hidden="false" customHeight="false" outlineLevel="0" collapsed="false">
      <c r="A4379" s="16" t="s">
        <v>13828</v>
      </c>
      <c r="B4379" s="16" t="n">
        <v>4374</v>
      </c>
      <c r="C4379" s="16" t="s">
        <v>13829</v>
      </c>
      <c r="D4379" s="16" t="n">
        <v>6</v>
      </c>
      <c r="E4379" s="35" t="s">
        <v>13830</v>
      </c>
      <c r="F4379" s="16" t="s">
        <v>1285</v>
      </c>
      <c r="G4379" s="16" t="s">
        <v>882</v>
      </c>
      <c r="H4379" s="16" t="s">
        <v>13359</v>
      </c>
      <c r="I4379" s="16" t="s">
        <v>136</v>
      </c>
      <c r="J4379" s="16" t="s">
        <v>13800</v>
      </c>
      <c r="K4379" s="32" t="n">
        <v>1</v>
      </c>
      <c r="L4379" s="33" t="n">
        <v>46436</v>
      </c>
      <c r="M4379" s="33" t="n">
        <v>46436</v>
      </c>
      <c r="N4379" s="16" t="s">
        <v>13831</v>
      </c>
      <c r="O4379" s="16"/>
      <c r="P4379" s="16" t="str">
        <f aca="false">IF(AND(L4379&lt;=$D$2,M4379&gt;=$C$2),"Sí","")</f>
        <v/>
      </c>
      <c r="Q4379" s="18" t="str">
        <f aca="false">IF(COUNTIF(LOOKAHEAD!$A$5:$A$604,A4379)&gt;0,"En Lookahead",IF(P4379="Sí","INCORPORAR",""))</f>
        <v/>
      </c>
    </row>
    <row r="4380" customFormat="false" ht="15" hidden="false" customHeight="false" outlineLevel="0" collapsed="false">
      <c r="A4380" s="16" t="s">
        <v>13832</v>
      </c>
      <c r="B4380" s="16" t="n">
        <v>4375</v>
      </c>
      <c r="C4380" s="16" t="s">
        <v>13833</v>
      </c>
      <c r="D4380" s="16" t="n">
        <v>6</v>
      </c>
      <c r="E4380" s="35" t="s">
        <v>13834</v>
      </c>
      <c r="F4380" s="16" t="s">
        <v>1285</v>
      </c>
      <c r="G4380" s="16" t="s">
        <v>882</v>
      </c>
      <c r="H4380" s="16" t="s">
        <v>13359</v>
      </c>
      <c r="I4380" s="16" t="s">
        <v>136</v>
      </c>
      <c r="J4380" s="16" t="s">
        <v>13800</v>
      </c>
      <c r="K4380" s="32" t="n">
        <v>1</v>
      </c>
      <c r="L4380" s="33" t="n">
        <v>46437</v>
      </c>
      <c r="M4380" s="33" t="n">
        <v>46437</v>
      </c>
      <c r="N4380" s="16" t="s">
        <v>13835</v>
      </c>
      <c r="O4380" s="16"/>
      <c r="P4380" s="16" t="str">
        <f aca="false">IF(AND(L4380&lt;=$D$2,M4380&gt;=$C$2),"Sí","")</f>
        <v/>
      </c>
      <c r="Q4380" s="18" t="str">
        <f aca="false">IF(COUNTIF(LOOKAHEAD!$A$5:$A$604,A4380)&gt;0,"En Lookahead",IF(P4380="Sí","INCORPORAR",""))</f>
        <v/>
      </c>
    </row>
    <row r="4381" customFormat="false" ht="15" hidden="false" customHeight="false" outlineLevel="0" collapsed="false">
      <c r="A4381" s="16" t="s">
        <v>13836</v>
      </c>
      <c r="B4381" s="16" t="n">
        <v>4376</v>
      </c>
      <c r="C4381" s="16" t="s">
        <v>13837</v>
      </c>
      <c r="D4381" s="16" t="n">
        <v>6</v>
      </c>
      <c r="E4381" s="35" t="s">
        <v>13838</v>
      </c>
      <c r="F4381" s="16" t="s">
        <v>1285</v>
      </c>
      <c r="G4381" s="16" t="s">
        <v>882</v>
      </c>
      <c r="H4381" s="16" t="s">
        <v>13359</v>
      </c>
      <c r="I4381" s="16" t="s">
        <v>136</v>
      </c>
      <c r="J4381" s="16" t="s">
        <v>13800</v>
      </c>
      <c r="K4381" s="32" t="n">
        <v>1</v>
      </c>
      <c r="L4381" s="33" t="n">
        <v>46438</v>
      </c>
      <c r="M4381" s="33" t="n">
        <v>46438</v>
      </c>
      <c r="N4381" s="16" t="s">
        <v>13839</v>
      </c>
      <c r="O4381" s="16"/>
      <c r="P4381" s="16" t="str">
        <f aca="false">IF(AND(L4381&lt;=$D$2,M4381&gt;=$C$2),"Sí","")</f>
        <v/>
      </c>
      <c r="Q4381" s="18" t="str">
        <f aca="false">IF(COUNTIF(LOOKAHEAD!$A$5:$A$604,A4381)&gt;0,"En Lookahead",IF(P4381="Sí","INCORPORAR",""))</f>
        <v/>
      </c>
    </row>
    <row r="4382" customFormat="false" ht="15" hidden="false" customHeight="false" outlineLevel="0" collapsed="false">
      <c r="A4382" s="16" t="s">
        <v>13840</v>
      </c>
      <c r="B4382" s="16" t="n">
        <v>4377</v>
      </c>
      <c r="C4382" s="16" t="s">
        <v>13841</v>
      </c>
      <c r="D4382" s="16" t="n">
        <v>6</v>
      </c>
      <c r="E4382" s="35" t="s">
        <v>13842</v>
      </c>
      <c r="F4382" s="16" t="s">
        <v>1285</v>
      </c>
      <c r="G4382" s="16" t="s">
        <v>882</v>
      </c>
      <c r="H4382" s="16" t="s">
        <v>13359</v>
      </c>
      <c r="I4382" s="16" t="s">
        <v>136</v>
      </c>
      <c r="J4382" s="16" t="s">
        <v>13800</v>
      </c>
      <c r="K4382" s="32" t="n">
        <v>4</v>
      </c>
      <c r="L4382" s="33" t="n">
        <v>46439</v>
      </c>
      <c r="M4382" s="33" t="n">
        <v>46442</v>
      </c>
      <c r="N4382" s="16" t="s">
        <v>13843</v>
      </c>
      <c r="O4382" s="16"/>
      <c r="P4382" s="16" t="str">
        <f aca="false">IF(AND(L4382&lt;=$D$2,M4382&gt;=$C$2),"Sí","")</f>
        <v/>
      </c>
      <c r="Q4382" s="18" t="str">
        <f aca="false">IF(COUNTIF(LOOKAHEAD!$A$5:$A$604,A4382)&gt;0,"En Lookahead",IF(P4382="Sí","INCORPORAR",""))</f>
        <v/>
      </c>
    </row>
    <row r="4383" customFormat="false" ht="15" hidden="false" customHeight="false" outlineLevel="0" collapsed="false">
      <c r="A4383" s="16" t="s">
        <v>13844</v>
      </c>
      <c r="B4383" s="16" t="n">
        <v>4378</v>
      </c>
      <c r="C4383" s="16" t="s">
        <v>13845</v>
      </c>
      <c r="D4383" s="16" t="n">
        <v>6</v>
      </c>
      <c r="E4383" s="35" t="s">
        <v>13846</v>
      </c>
      <c r="F4383" s="16" t="s">
        <v>1285</v>
      </c>
      <c r="G4383" s="16" t="s">
        <v>882</v>
      </c>
      <c r="H4383" s="16" t="s">
        <v>13359</v>
      </c>
      <c r="I4383" s="16" t="s">
        <v>136</v>
      </c>
      <c r="J4383" s="16" t="s">
        <v>13800</v>
      </c>
      <c r="K4383" s="32" t="n">
        <v>1</v>
      </c>
      <c r="L4383" s="33" t="n">
        <v>46443</v>
      </c>
      <c r="M4383" s="33" t="n">
        <v>46443</v>
      </c>
      <c r="N4383" s="16" t="s">
        <v>13847</v>
      </c>
      <c r="O4383" s="16"/>
      <c r="P4383" s="16" t="str">
        <f aca="false">IF(AND(L4383&lt;=$D$2,M4383&gt;=$C$2),"Sí","")</f>
        <v/>
      </c>
      <c r="Q4383" s="18" t="str">
        <f aca="false">IF(COUNTIF(LOOKAHEAD!$A$5:$A$604,A4383)&gt;0,"En Lookahead",IF(P4383="Sí","INCORPORAR",""))</f>
        <v/>
      </c>
    </row>
    <row r="4384" customFormat="false" ht="15" hidden="false" customHeight="false" outlineLevel="0" collapsed="false">
      <c r="A4384" s="13" t="s">
        <v>13848</v>
      </c>
      <c r="B4384" s="13" t="n">
        <v>4379</v>
      </c>
      <c r="C4384" s="13" t="s">
        <v>13849</v>
      </c>
      <c r="D4384" s="13" t="n">
        <v>5</v>
      </c>
      <c r="E4384" s="34" t="s">
        <v>13850</v>
      </c>
      <c r="F4384" s="13" t="s">
        <v>1298</v>
      </c>
      <c r="G4384" s="13" t="s">
        <v>882</v>
      </c>
      <c r="H4384" s="13" t="s">
        <v>13359</v>
      </c>
      <c r="I4384" s="13" t="s">
        <v>136</v>
      </c>
      <c r="J4384" s="13" t="s">
        <v>13359</v>
      </c>
      <c r="K4384" s="30" t="n">
        <v>1</v>
      </c>
      <c r="L4384" s="31" t="n">
        <v>46444</v>
      </c>
      <c r="M4384" s="31" t="n">
        <v>46444</v>
      </c>
      <c r="N4384" s="13"/>
      <c r="O4384" s="13"/>
      <c r="P4384" s="13"/>
      <c r="Q4384" s="13"/>
    </row>
    <row r="4385" customFormat="false" ht="15" hidden="false" customHeight="false" outlineLevel="0" collapsed="false">
      <c r="A4385" s="16" t="s">
        <v>13851</v>
      </c>
      <c r="B4385" s="16" t="n">
        <v>4380</v>
      </c>
      <c r="C4385" s="16" t="s">
        <v>13852</v>
      </c>
      <c r="D4385" s="16" t="n">
        <v>6</v>
      </c>
      <c r="E4385" s="35" t="s">
        <v>13853</v>
      </c>
      <c r="F4385" s="16" t="s">
        <v>1285</v>
      </c>
      <c r="G4385" s="16" t="s">
        <v>882</v>
      </c>
      <c r="H4385" s="16" t="s">
        <v>13359</v>
      </c>
      <c r="I4385" s="16" t="s">
        <v>136</v>
      </c>
      <c r="J4385" s="16" t="s">
        <v>13850</v>
      </c>
      <c r="K4385" s="32" t="n">
        <v>1</v>
      </c>
      <c r="L4385" s="33" t="n">
        <v>46444</v>
      </c>
      <c r="M4385" s="33" t="n">
        <v>46444</v>
      </c>
      <c r="N4385" s="16" t="s">
        <v>13854</v>
      </c>
      <c r="O4385" s="16"/>
      <c r="P4385" s="16" t="str">
        <f aca="false">IF(AND(L4385&lt;=$D$2,M4385&gt;=$C$2),"Sí","")</f>
        <v/>
      </c>
      <c r="Q4385" s="18" t="str">
        <f aca="false">IF(COUNTIF(LOOKAHEAD!$A$5:$A$604,A4385)&gt;0,"En Lookahead",IF(P4385="Sí","INCORPORAR",""))</f>
        <v/>
      </c>
    </row>
    <row r="4386" customFormat="false" ht="15" hidden="false" customHeight="false" outlineLevel="0" collapsed="false">
      <c r="A4386" s="13" t="s">
        <v>13855</v>
      </c>
      <c r="B4386" s="13" t="n">
        <v>4381</v>
      </c>
      <c r="C4386" s="13" t="s">
        <v>13856</v>
      </c>
      <c r="D4386" s="13" t="n">
        <v>5</v>
      </c>
      <c r="E4386" s="34" t="s">
        <v>13857</v>
      </c>
      <c r="F4386" s="13" t="s">
        <v>1298</v>
      </c>
      <c r="G4386" s="13" t="s">
        <v>882</v>
      </c>
      <c r="H4386" s="13" t="s">
        <v>13359</v>
      </c>
      <c r="I4386" s="13" t="s">
        <v>136</v>
      </c>
      <c r="J4386" s="13" t="s">
        <v>13359</v>
      </c>
      <c r="K4386" s="30" t="n">
        <v>7</v>
      </c>
      <c r="L4386" s="31" t="n">
        <v>46445</v>
      </c>
      <c r="M4386" s="31" t="n">
        <v>46451</v>
      </c>
      <c r="N4386" s="13"/>
      <c r="O4386" s="13"/>
      <c r="P4386" s="13"/>
      <c r="Q4386" s="13"/>
    </row>
    <row r="4387" customFormat="false" ht="15" hidden="false" customHeight="false" outlineLevel="0" collapsed="false">
      <c r="A4387" s="16" t="s">
        <v>13858</v>
      </c>
      <c r="B4387" s="16" t="n">
        <v>4382</v>
      </c>
      <c r="C4387" s="16" t="s">
        <v>13859</v>
      </c>
      <c r="D4387" s="16" t="n">
        <v>6</v>
      </c>
      <c r="E4387" s="35" t="s">
        <v>13860</v>
      </c>
      <c r="F4387" s="16" t="s">
        <v>1285</v>
      </c>
      <c r="G4387" s="16" t="s">
        <v>882</v>
      </c>
      <c r="H4387" s="16" t="s">
        <v>13359</v>
      </c>
      <c r="I4387" s="16" t="s">
        <v>136</v>
      </c>
      <c r="J4387" s="16" t="s">
        <v>13857</v>
      </c>
      <c r="K4387" s="32" t="n">
        <v>3</v>
      </c>
      <c r="L4387" s="33" t="n">
        <v>46445</v>
      </c>
      <c r="M4387" s="33" t="n">
        <v>46447</v>
      </c>
      <c r="N4387" s="16" t="s">
        <v>13861</v>
      </c>
      <c r="O4387" s="16"/>
      <c r="P4387" s="16" t="str">
        <f aca="false">IF(AND(L4387&lt;=$D$2,M4387&gt;=$C$2),"Sí","")</f>
        <v/>
      </c>
      <c r="Q4387" s="18" t="str">
        <f aca="false">IF(COUNTIF(LOOKAHEAD!$A$5:$A$604,A4387)&gt;0,"En Lookahead",IF(P4387="Sí","INCORPORAR",""))</f>
        <v/>
      </c>
    </row>
    <row r="4388" customFormat="false" ht="15" hidden="false" customHeight="false" outlineLevel="0" collapsed="false">
      <c r="A4388" s="16" t="s">
        <v>13862</v>
      </c>
      <c r="B4388" s="16" t="n">
        <v>4383</v>
      </c>
      <c r="C4388" s="16" t="s">
        <v>13863</v>
      </c>
      <c r="D4388" s="16" t="n">
        <v>6</v>
      </c>
      <c r="E4388" s="35" t="s">
        <v>13864</v>
      </c>
      <c r="F4388" s="16" t="s">
        <v>1285</v>
      </c>
      <c r="G4388" s="16" t="s">
        <v>882</v>
      </c>
      <c r="H4388" s="16" t="s">
        <v>13359</v>
      </c>
      <c r="I4388" s="16" t="s">
        <v>136</v>
      </c>
      <c r="J4388" s="16" t="s">
        <v>13857</v>
      </c>
      <c r="K4388" s="32" t="n">
        <v>1</v>
      </c>
      <c r="L4388" s="33" t="n">
        <v>46448</v>
      </c>
      <c r="M4388" s="33" t="n">
        <v>46448</v>
      </c>
      <c r="N4388" s="16" t="s">
        <v>13865</v>
      </c>
      <c r="O4388" s="16"/>
      <c r="P4388" s="16" t="str">
        <f aca="false">IF(AND(L4388&lt;=$D$2,M4388&gt;=$C$2),"Sí","")</f>
        <v/>
      </c>
      <c r="Q4388" s="18" t="str">
        <f aca="false">IF(COUNTIF(LOOKAHEAD!$A$5:$A$604,A4388)&gt;0,"En Lookahead",IF(P4388="Sí","INCORPORAR",""))</f>
        <v/>
      </c>
    </row>
    <row r="4389" customFormat="false" ht="15" hidden="false" customHeight="false" outlineLevel="0" collapsed="false">
      <c r="A4389" s="16" t="s">
        <v>13866</v>
      </c>
      <c r="B4389" s="16" t="n">
        <v>4384</v>
      </c>
      <c r="C4389" s="16" t="s">
        <v>13867</v>
      </c>
      <c r="D4389" s="16" t="n">
        <v>6</v>
      </c>
      <c r="E4389" s="35" t="s">
        <v>13868</v>
      </c>
      <c r="F4389" s="16" t="s">
        <v>1285</v>
      </c>
      <c r="G4389" s="16" t="s">
        <v>882</v>
      </c>
      <c r="H4389" s="16" t="s">
        <v>13359</v>
      </c>
      <c r="I4389" s="16" t="s">
        <v>136</v>
      </c>
      <c r="J4389" s="16" t="s">
        <v>13857</v>
      </c>
      <c r="K4389" s="32" t="n">
        <v>1</v>
      </c>
      <c r="L4389" s="33" t="n">
        <v>46449</v>
      </c>
      <c r="M4389" s="33" t="n">
        <v>46449</v>
      </c>
      <c r="N4389" s="16" t="s">
        <v>13869</v>
      </c>
      <c r="O4389" s="16"/>
      <c r="P4389" s="16" t="str">
        <f aca="false">IF(AND(L4389&lt;=$D$2,M4389&gt;=$C$2),"Sí","")</f>
        <v/>
      </c>
      <c r="Q4389" s="18" t="str">
        <f aca="false">IF(COUNTIF(LOOKAHEAD!$A$5:$A$604,A4389)&gt;0,"En Lookahead",IF(P4389="Sí","INCORPORAR",""))</f>
        <v/>
      </c>
    </row>
    <row r="4390" customFormat="false" ht="15" hidden="false" customHeight="false" outlineLevel="0" collapsed="false">
      <c r="A4390" s="16" t="s">
        <v>13870</v>
      </c>
      <c r="B4390" s="16" t="n">
        <v>4385</v>
      </c>
      <c r="C4390" s="16" t="s">
        <v>13871</v>
      </c>
      <c r="D4390" s="16" t="n">
        <v>6</v>
      </c>
      <c r="E4390" s="35" t="s">
        <v>13872</v>
      </c>
      <c r="F4390" s="16" t="s">
        <v>1285</v>
      </c>
      <c r="G4390" s="16" t="s">
        <v>882</v>
      </c>
      <c r="H4390" s="16" t="s">
        <v>13359</v>
      </c>
      <c r="I4390" s="16" t="s">
        <v>136</v>
      </c>
      <c r="J4390" s="16" t="s">
        <v>13857</v>
      </c>
      <c r="K4390" s="32" t="n">
        <v>2</v>
      </c>
      <c r="L4390" s="33" t="n">
        <v>46450</v>
      </c>
      <c r="M4390" s="33" t="n">
        <v>46451</v>
      </c>
      <c r="N4390" s="16" t="s">
        <v>13873</v>
      </c>
      <c r="O4390" s="16"/>
      <c r="P4390" s="16" t="str">
        <f aca="false">IF(AND(L4390&lt;=$D$2,M4390&gt;=$C$2),"Sí","")</f>
        <v/>
      </c>
      <c r="Q4390" s="18" t="str">
        <f aca="false">IF(COUNTIF(LOOKAHEAD!$A$5:$A$604,A4390)&gt;0,"En Lookahead",IF(P4390="Sí","INCORPORAR",""))</f>
        <v/>
      </c>
    </row>
    <row r="4391" customFormat="false" ht="15" hidden="false" customHeight="false" outlineLevel="0" collapsed="false">
      <c r="A4391" s="13" t="s">
        <v>13874</v>
      </c>
      <c r="B4391" s="13" t="n">
        <v>4386</v>
      </c>
      <c r="C4391" s="13" t="s">
        <v>13875</v>
      </c>
      <c r="D4391" s="13" t="n">
        <v>5</v>
      </c>
      <c r="E4391" s="34" t="s">
        <v>13876</v>
      </c>
      <c r="F4391" s="13" t="s">
        <v>1298</v>
      </c>
      <c r="G4391" s="13" t="s">
        <v>882</v>
      </c>
      <c r="H4391" s="13" t="s">
        <v>13359</v>
      </c>
      <c r="I4391" s="13" t="s">
        <v>136</v>
      </c>
      <c r="J4391" s="13" t="s">
        <v>13359</v>
      </c>
      <c r="K4391" s="30" t="n">
        <v>3</v>
      </c>
      <c r="L4391" s="31" t="n">
        <v>46452</v>
      </c>
      <c r="M4391" s="31" t="n">
        <v>46454</v>
      </c>
      <c r="N4391" s="13"/>
      <c r="O4391" s="13"/>
      <c r="P4391" s="13"/>
      <c r="Q4391" s="13"/>
    </row>
    <row r="4392" customFormat="false" ht="15" hidden="false" customHeight="false" outlineLevel="0" collapsed="false">
      <c r="A4392" s="16" t="s">
        <v>13877</v>
      </c>
      <c r="B4392" s="16" t="n">
        <v>4387</v>
      </c>
      <c r="C4392" s="16" t="s">
        <v>13878</v>
      </c>
      <c r="D4392" s="16" t="n">
        <v>6</v>
      </c>
      <c r="E4392" s="35" t="s">
        <v>13879</v>
      </c>
      <c r="F4392" s="16" t="s">
        <v>1285</v>
      </c>
      <c r="G4392" s="16" t="s">
        <v>882</v>
      </c>
      <c r="H4392" s="16" t="s">
        <v>13359</v>
      </c>
      <c r="I4392" s="16" t="s">
        <v>136</v>
      </c>
      <c r="J4392" s="16" t="s">
        <v>13876</v>
      </c>
      <c r="K4392" s="32" t="n">
        <v>3</v>
      </c>
      <c r="L4392" s="33" t="n">
        <v>46452</v>
      </c>
      <c r="M4392" s="33" t="n">
        <v>46454</v>
      </c>
      <c r="N4392" s="16" t="s">
        <v>13880</v>
      </c>
      <c r="O4392" s="16"/>
      <c r="P4392" s="16" t="str">
        <f aca="false">IF(AND(L4392&lt;=$D$2,M4392&gt;=$C$2),"Sí","")</f>
        <v/>
      </c>
      <c r="Q4392" s="18" t="str">
        <f aca="false">IF(COUNTIF(LOOKAHEAD!$A$5:$A$604,A4392)&gt;0,"En Lookahead",IF(P4392="Sí","INCORPORAR",""))</f>
        <v/>
      </c>
    </row>
    <row r="4393" customFormat="false" ht="15" hidden="false" customHeight="false" outlineLevel="0" collapsed="false">
      <c r="A4393" s="13" t="s">
        <v>13881</v>
      </c>
      <c r="B4393" s="13" t="n">
        <v>4388</v>
      </c>
      <c r="C4393" s="13" t="s">
        <v>13882</v>
      </c>
      <c r="D4393" s="13" t="n">
        <v>5</v>
      </c>
      <c r="E4393" s="34" t="s">
        <v>13883</v>
      </c>
      <c r="F4393" s="13" t="s">
        <v>1298</v>
      </c>
      <c r="G4393" s="13" t="s">
        <v>882</v>
      </c>
      <c r="H4393" s="13" t="s">
        <v>13359</v>
      </c>
      <c r="I4393" s="13" t="s">
        <v>136</v>
      </c>
      <c r="J4393" s="13" t="s">
        <v>13359</v>
      </c>
      <c r="K4393" s="30" t="n">
        <v>106</v>
      </c>
      <c r="L4393" s="31" t="n">
        <v>46455</v>
      </c>
      <c r="M4393" s="31" t="n">
        <v>46560</v>
      </c>
      <c r="N4393" s="13"/>
      <c r="O4393" s="13"/>
      <c r="P4393" s="13"/>
      <c r="Q4393" s="13"/>
    </row>
    <row r="4394" customFormat="false" ht="15" hidden="false" customHeight="false" outlineLevel="0" collapsed="false">
      <c r="A4394" s="16" t="s">
        <v>13884</v>
      </c>
      <c r="B4394" s="16" t="n">
        <v>4389</v>
      </c>
      <c r="C4394" s="16" t="s">
        <v>13885</v>
      </c>
      <c r="D4394" s="16" t="n">
        <v>6</v>
      </c>
      <c r="E4394" s="35" t="s">
        <v>13886</v>
      </c>
      <c r="F4394" s="16" t="s">
        <v>1285</v>
      </c>
      <c r="G4394" s="16" t="s">
        <v>882</v>
      </c>
      <c r="H4394" s="16" t="s">
        <v>13359</v>
      </c>
      <c r="I4394" s="16" t="s">
        <v>136</v>
      </c>
      <c r="J4394" s="16" t="s">
        <v>13883</v>
      </c>
      <c r="K4394" s="32" t="n">
        <v>2</v>
      </c>
      <c r="L4394" s="33" t="n">
        <v>46455</v>
      </c>
      <c r="M4394" s="33" t="n">
        <v>46456</v>
      </c>
      <c r="N4394" s="16" t="s">
        <v>13887</v>
      </c>
      <c r="O4394" s="16"/>
      <c r="P4394" s="16" t="str">
        <f aca="false">IF(AND(L4394&lt;=$D$2,M4394&gt;=$C$2),"Sí","")</f>
        <v/>
      </c>
      <c r="Q4394" s="18" t="str">
        <f aca="false">IF(COUNTIF(LOOKAHEAD!$A$5:$A$604,A4394)&gt;0,"En Lookahead",IF(P4394="Sí","INCORPORAR",""))</f>
        <v/>
      </c>
    </row>
    <row r="4395" customFormat="false" ht="15" hidden="false" customHeight="false" outlineLevel="0" collapsed="false">
      <c r="A4395" s="16" t="s">
        <v>13888</v>
      </c>
      <c r="B4395" s="16" t="n">
        <v>4390</v>
      </c>
      <c r="C4395" s="16" t="s">
        <v>13889</v>
      </c>
      <c r="D4395" s="16" t="n">
        <v>6</v>
      </c>
      <c r="E4395" s="35" t="s">
        <v>13890</v>
      </c>
      <c r="F4395" s="16" t="s">
        <v>1285</v>
      </c>
      <c r="G4395" s="16" t="s">
        <v>882</v>
      </c>
      <c r="H4395" s="16" t="s">
        <v>13359</v>
      </c>
      <c r="I4395" s="16" t="s">
        <v>136</v>
      </c>
      <c r="J4395" s="16" t="s">
        <v>13883</v>
      </c>
      <c r="K4395" s="32" t="n">
        <v>2</v>
      </c>
      <c r="L4395" s="33" t="n">
        <v>46457</v>
      </c>
      <c r="M4395" s="33" t="n">
        <v>46458</v>
      </c>
      <c r="N4395" s="16" t="s">
        <v>13891</v>
      </c>
      <c r="O4395" s="16"/>
      <c r="P4395" s="16" t="str">
        <f aca="false">IF(AND(L4395&lt;=$D$2,M4395&gt;=$C$2),"Sí","")</f>
        <v/>
      </c>
      <c r="Q4395" s="18" t="str">
        <f aca="false">IF(COUNTIF(LOOKAHEAD!$A$5:$A$604,A4395)&gt;0,"En Lookahead",IF(P4395="Sí","INCORPORAR",""))</f>
        <v/>
      </c>
    </row>
    <row r="4396" customFormat="false" ht="15" hidden="false" customHeight="false" outlineLevel="0" collapsed="false">
      <c r="A4396" s="16" t="s">
        <v>13892</v>
      </c>
      <c r="B4396" s="16" t="n">
        <v>4391</v>
      </c>
      <c r="C4396" s="16" t="s">
        <v>13893</v>
      </c>
      <c r="D4396" s="16" t="n">
        <v>6</v>
      </c>
      <c r="E4396" s="35" t="s">
        <v>13894</v>
      </c>
      <c r="F4396" s="16" t="s">
        <v>1285</v>
      </c>
      <c r="G4396" s="16" t="s">
        <v>882</v>
      </c>
      <c r="H4396" s="16" t="s">
        <v>13359</v>
      </c>
      <c r="I4396" s="16" t="s">
        <v>136</v>
      </c>
      <c r="J4396" s="16" t="s">
        <v>13883</v>
      </c>
      <c r="K4396" s="32" t="n">
        <v>2</v>
      </c>
      <c r="L4396" s="33" t="n">
        <v>46459</v>
      </c>
      <c r="M4396" s="33" t="n">
        <v>46460</v>
      </c>
      <c r="N4396" s="16" t="s">
        <v>13895</v>
      </c>
      <c r="O4396" s="16"/>
      <c r="P4396" s="16" t="str">
        <f aca="false">IF(AND(L4396&lt;=$D$2,M4396&gt;=$C$2),"Sí","")</f>
        <v/>
      </c>
      <c r="Q4396" s="18" t="str">
        <f aca="false">IF(COUNTIF(LOOKAHEAD!$A$5:$A$604,A4396)&gt;0,"En Lookahead",IF(P4396="Sí","INCORPORAR",""))</f>
        <v/>
      </c>
    </row>
    <row r="4397" customFormat="false" ht="15" hidden="false" customHeight="false" outlineLevel="0" collapsed="false">
      <c r="A4397" s="16" t="s">
        <v>13896</v>
      </c>
      <c r="B4397" s="16" t="n">
        <v>4392</v>
      </c>
      <c r="C4397" s="16" t="s">
        <v>13897</v>
      </c>
      <c r="D4397" s="16" t="n">
        <v>6</v>
      </c>
      <c r="E4397" s="35" t="s">
        <v>13898</v>
      </c>
      <c r="F4397" s="16" t="s">
        <v>1285</v>
      </c>
      <c r="G4397" s="16" t="s">
        <v>882</v>
      </c>
      <c r="H4397" s="16" t="s">
        <v>13359</v>
      </c>
      <c r="I4397" s="16" t="s">
        <v>136</v>
      </c>
      <c r="J4397" s="16" t="s">
        <v>13883</v>
      </c>
      <c r="K4397" s="32" t="n">
        <v>2</v>
      </c>
      <c r="L4397" s="33" t="n">
        <v>46461</v>
      </c>
      <c r="M4397" s="33" t="n">
        <v>46462</v>
      </c>
      <c r="N4397" s="16" t="s">
        <v>13899</v>
      </c>
      <c r="O4397" s="16"/>
      <c r="P4397" s="16" t="str">
        <f aca="false">IF(AND(L4397&lt;=$D$2,M4397&gt;=$C$2),"Sí","")</f>
        <v/>
      </c>
      <c r="Q4397" s="18" t="str">
        <f aca="false">IF(COUNTIF(LOOKAHEAD!$A$5:$A$604,A4397)&gt;0,"En Lookahead",IF(P4397="Sí","INCORPORAR",""))</f>
        <v/>
      </c>
    </row>
    <row r="4398" customFormat="false" ht="15" hidden="false" customHeight="false" outlineLevel="0" collapsed="false">
      <c r="A4398" s="16" t="s">
        <v>13900</v>
      </c>
      <c r="B4398" s="16" t="n">
        <v>4393</v>
      </c>
      <c r="C4398" s="16" t="s">
        <v>13901</v>
      </c>
      <c r="D4398" s="16" t="n">
        <v>6</v>
      </c>
      <c r="E4398" s="35" t="s">
        <v>13902</v>
      </c>
      <c r="F4398" s="16" t="s">
        <v>1285</v>
      </c>
      <c r="G4398" s="16" t="s">
        <v>882</v>
      </c>
      <c r="H4398" s="16" t="s">
        <v>13359</v>
      </c>
      <c r="I4398" s="16" t="s">
        <v>136</v>
      </c>
      <c r="J4398" s="16" t="s">
        <v>13883</v>
      </c>
      <c r="K4398" s="32" t="n">
        <v>2</v>
      </c>
      <c r="L4398" s="33" t="n">
        <v>46463</v>
      </c>
      <c r="M4398" s="33" t="n">
        <v>46464</v>
      </c>
      <c r="N4398" s="16" t="s">
        <v>13903</v>
      </c>
      <c r="O4398" s="16"/>
      <c r="P4398" s="16" t="str">
        <f aca="false">IF(AND(L4398&lt;=$D$2,M4398&gt;=$C$2),"Sí","")</f>
        <v/>
      </c>
      <c r="Q4398" s="18" t="str">
        <f aca="false">IF(COUNTIF(LOOKAHEAD!$A$5:$A$604,A4398)&gt;0,"En Lookahead",IF(P4398="Sí","INCORPORAR",""))</f>
        <v/>
      </c>
    </row>
    <row r="4399" customFormat="false" ht="15" hidden="false" customHeight="false" outlineLevel="0" collapsed="false">
      <c r="A4399" s="16" t="s">
        <v>13904</v>
      </c>
      <c r="B4399" s="16" t="n">
        <v>4394</v>
      </c>
      <c r="C4399" s="16" t="s">
        <v>13905</v>
      </c>
      <c r="D4399" s="16" t="n">
        <v>6</v>
      </c>
      <c r="E4399" s="35" t="s">
        <v>13906</v>
      </c>
      <c r="F4399" s="16" t="s">
        <v>1285</v>
      </c>
      <c r="G4399" s="16" t="s">
        <v>882</v>
      </c>
      <c r="H4399" s="16" t="s">
        <v>13359</v>
      </c>
      <c r="I4399" s="16" t="s">
        <v>136</v>
      </c>
      <c r="J4399" s="16" t="s">
        <v>13883</v>
      </c>
      <c r="K4399" s="32" t="n">
        <v>2</v>
      </c>
      <c r="L4399" s="33" t="n">
        <v>46465</v>
      </c>
      <c r="M4399" s="33" t="n">
        <v>46466</v>
      </c>
      <c r="N4399" s="16" t="s">
        <v>13907</v>
      </c>
      <c r="O4399" s="16"/>
      <c r="P4399" s="16" t="str">
        <f aca="false">IF(AND(L4399&lt;=$D$2,M4399&gt;=$C$2),"Sí","")</f>
        <v/>
      </c>
      <c r="Q4399" s="18" t="str">
        <f aca="false">IF(COUNTIF(LOOKAHEAD!$A$5:$A$604,A4399)&gt;0,"En Lookahead",IF(P4399="Sí","INCORPORAR",""))</f>
        <v/>
      </c>
    </row>
    <row r="4400" customFormat="false" ht="15" hidden="false" customHeight="false" outlineLevel="0" collapsed="false">
      <c r="A4400" s="16" t="s">
        <v>13908</v>
      </c>
      <c r="B4400" s="16" t="n">
        <v>4395</v>
      </c>
      <c r="C4400" s="16" t="s">
        <v>13909</v>
      </c>
      <c r="D4400" s="16" t="n">
        <v>6</v>
      </c>
      <c r="E4400" s="35" t="s">
        <v>13910</v>
      </c>
      <c r="F4400" s="16" t="s">
        <v>1285</v>
      </c>
      <c r="G4400" s="16" t="s">
        <v>882</v>
      </c>
      <c r="H4400" s="16" t="s">
        <v>13359</v>
      </c>
      <c r="I4400" s="16" t="s">
        <v>136</v>
      </c>
      <c r="J4400" s="16" t="s">
        <v>13883</v>
      </c>
      <c r="K4400" s="32" t="n">
        <v>2</v>
      </c>
      <c r="L4400" s="33" t="n">
        <v>46467</v>
      </c>
      <c r="M4400" s="33" t="n">
        <v>46468</v>
      </c>
      <c r="N4400" s="16" t="s">
        <v>13911</v>
      </c>
      <c r="O4400" s="16"/>
      <c r="P4400" s="16" t="str">
        <f aca="false">IF(AND(L4400&lt;=$D$2,M4400&gt;=$C$2),"Sí","")</f>
        <v/>
      </c>
      <c r="Q4400" s="18" t="str">
        <f aca="false">IF(COUNTIF(LOOKAHEAD!$A$5:$A$604,A4400)&gt;0,"En Lookahead",IF(P4400="Sí","INCORPORAR",""))</f>
        <v/>
      </c>
    </row>
    <row r="4401" customFormat="false" ht="15" hidden="false" customHeight="false" outlineLevel="0" collapsed="false">
      <c r="A4401" s="16" t="s">
        <v>13912</v>
      </c>
      <c r="B4401" s="16" t="n">
        <v>4396</v>
      </c>
      <c r="C4401" s="16" t="s">
        <v>13913</v>
      </c>
      <c r="D4401" s="16" t="n">
        <v>6</v>
      </c>
      <c r="E4401" s="35" t="s">
        <v>13914</v>
      </c>
      <c r="F4401" s="16" t="s">
        <v>1285</v>
      </c>
      <c r="G4401" s="16" t="s">
        <v>882</v>
      </c>
      <c r="H4401" s="16" t="s">
        <v>13359</v>
      </c>
      <c r="I4401" s="16" t="s">
        <v>136</v>
      </c>
      <c r="J4401" s="16" t="s">
        <v>13883</v>
      </c>
      <c r="K4401" s="32" t="n">
        <v>2</v>
      </c>
      <c r="L4401" s="33" t="n">
        <v>46469</v>
      </c>
      <c r="M4401" s="33" t="n">
        <v>46470</v>
      </c>
      <c r="N4401" s="16" t="s">
        <v>13915</v>
      </c>
      <c r="O4401" s="16"/>
      <c r="P4401" s="16" t="str">
        <f aca="false">IF(AND(L4401&lt;=$D$2,M4401&gt;=$C$2),"Sí","")</f>
        <v/>
      </c>
      <c r="Q4401" s="18" t="str">
        <f aca="false">IF(COUNTIF(LOOKAHEAD!$A$5:$A$604,A4401)&gt;0,"En Lookahead",IF(P4401="Sí","INCORPORAR",""))</f>
        <v/>
      </c>
    </row>
    <row r="4402" customFormat="false" ht="15" hidden="false" customHeight="false" outlineLevel="0" collapsed="false">
      <c r="A4402" s="16" t="s">
        <v>13916</v>
      </c>
      <c r="B4402" s="16" t="n">
        <v>4397</v>
      </c>
      <c r="C4402" s="16" t="s">
        <v>13917</v>
      </c>
      <c r="D4402" s="16" t="n">
        <v>6</v>
      </c>
      <c r="E4402" s="35" t="s">
        <v>13918</v>
      </c>
      <c r="F4402" s="16" t="s">
        <v>1285</v>
      </c>
      <c r="G4402" s="16" t="s">
        <v>882</v>
      </c>
      <c r="H4402" s="16" t="s">
        <v>13359</v>
      </c>
      <c r="I4402" s="16" t="s">
        <v>136</v>
      </c>
      <c r="J4402" s="16" t="s">
        <v>13883</v>
      </c>
      <c r="K4402" s="32" t="n">
        <v>2</v>
      </c>
      <c r="L4402" s="33" t="n">
        <v>46471</v>
      </c>
      <c r="M4402" s="33" t="n">
        <v>46472</v>
      </c>
      <c r="N4402" s="16" t="s">
        <v>13919</v>
      </c>
      <c r="O4402" s="16"/>
      <c r="P4402" s="16" t="str">
        <f aca="false">IF(AND(L4402&lt;=$D$2,M4402&gt;=$C$2),"Sí","")</f>
        <v/>
      </c>
      <c r="Q4402" s="18" t="str">
        <f aca="false">IF(COUNTIF(LOOKAHEAD!$A$5:$A$604,A4402)&gt;0,"En Lookahead",IF(P4402="Sí","INCORPORAR",""))</f>
        <v/>
      </c>
    </row>
    <row r="4403" customFormat="false" ht="15" hidden="false" customHeight="false" outlineLevel="0" collapsed="false">
      <c r="A4403" s="16" t="s">
        <v>13920</v>
      </c>
      <c r="B4403" s="16" t="n">
        <v>4398</v>
      </c>
      <c r="C4403" s="16" t="s">
        <v>13921</v>
      </c>
      <c r="D4403" s="16" t="n">
        <v>6</v>
      </c>
      <c r="E4403" s="35" t="s">
        <v>13922</v>
      </c>
      <c r="F4403" s="16" t="s">
        <v>1285</v>
      </c>
      <c r="G4403" s="16" t="s">
        <v>882</v>
      </c>
      <c r="H4403" s="16" t="s">
        <v>13359</v>
      </c>
      <c r="I4403" s="16" t="s">
        <v>136</v>
      </c>
      <c r="J4403" s="16" t="s">
        <v>13883</v>
      </c>
      <c r="K4403" s="32" t="n">
        <v>2</v>
      </c>
      <c r="L4403" s="33" t="n">
        <v>46473</v>
      </c>
      <c r="M4403" s="33" t="n">
        <v>46474</v>
      </c>
      <c r="N4403" s="16" t="s">
        <v>13923</v>
      </c>
      <c r="O4403" s="16"/>
      <c r="P4403" s="16" t="str">
        <f aca="false">IF(AND(L4403&lt;=$D$2,M4403&gt;=$C$2),"Sí","")</f>
        <v/>
      </c>
      <c r="Q4403" s="18" t="str">
        <f aca="false">IF(COUNTIF(LOOKAHEAD!$A$5:$A$604,A4403)&gt;0,"En Lookahead",IF(P4403="Sí","INCORPORAR",""))</f>
        <v/>
      </c>
    </row>
    <row r="4404" customFormat="false" ht="15" hidden="false" customHeight="false" outlineLevel="0" collapsed="false">
      <c r="A4404" s="16" t="s">
        <v>13924</v>
      </c>
      <c r="B4404" s="16" t="n">
        <v>4399</v>
      </c>
      <c r="C4404" s="16" t="s">
        <v>13925</v>
      </c>
      <c r="D4404" s="16" t="n">
        <v>6</v>
      </c>
      <c r="E4404" s="35" t="s">
        <v>13926</v>
      </c>
      <c r="F4404" s="16" t="s">
        <v>1285</v>
      </c>
      <c r="G4404" s="16" t="s">
        <v>882</v>
      </c>
      <c r="H4404" s="16" t="s">
        <v>13359</v>
      </c>
      <c r="I4404" s="16" t="s">
        <v>136</v>
      </c>
      <c r="J4404" s="16" t="s">
        <v>13883</v>
      </c>
      <c r="K4404" s="32" t="n">
        <v>2</v>
      </c>
      <c r="L4404" s="33" t="n">
        <v>46475</v>
      </c>
      <c r="M4404" s="33" t="n">
        <v>46476</v>
      </c>
      <c r="N4404" s="16" t="s">
        <v>13927</v>
      </c>
      <c r="O4404" s="16"/>
      <c r="P4404" s="16" t="str">
        <f aca="false">IF(AND(L4404&lt;=$D$2,M4404&gt;=$C$2),"Sí","")</f>
        <v/>
      </c>
      <c r="Q4404" s="18" t="str">
        <f aca="false">IF(COUNTIF(LOOKAHEAD!$A$5:$A$604,A4404)&gt;0,"En Lookahead",IF(P4404="Sí","INCORPORAR",""))</f>
        <v/>
      </c>
    </row>
    <row r="4405" customFormat="false" ht="15" hidden="false" customHeight="false" outlineLevel="0" collapsed="false">
      <c r="A4405" s="16" t="s">
        <v>13928</v>
      </c>
      <c r="B4405" s="16" t="n">
        <v>4400</v>
      </c>
      <c r="C4405" s="16" t="s">
        <v>13929</v>
      </c>
      <c r="D4405" s="16" t="n">
        <v>6</v>
      </c>
      <c r="E4405" s="35" t="s">
        <v>13930</v>
      </c>
      <c r="F4405" s="16" t="s">
        <v>1285</v>
      </c>
      <c r="G4405" s="16" t="s">
        <v>882</v>
      </c>
      <c r="H4405" s="16" t="s">
        <v>13359</v>
      </c>
      <c r="I4405" s="16" t="s">
        <v>136</v>
      </c>
      <c r="J4405" s="16" t="s">
        <v>13883</v>
      </c>
      <c r="K4405" s="32" t="n">
        <v>2</v>
      </c>
      <c r="L4405" s="33" t="n">
        <v>46477</v>
      </c>
      <c r="M4405" s="33" t="n">
        <v>46478</v>
      </c>
      <c r="N4405" s="16" t="s">
        <v>13931</v>
      </c>
      <c r="O4405" s="16"/>
      <c r="P4405" s="16" t="str">
        <f aca="false">IF(AND(L4405&lt;=$D$2,M4405&gt;=$C$2),"Sí","")</f>
        <v/>
      </c>
      <c r="Q4405" s="18" t="str">
        <f aca="false">IF(COUNTIF(LOOKAHEAD!$A$5:$A$604,A4405)&gt;0,"En Lookahead",IF(P4405="Sí","INCORPORAR",""))</f>
        <v/>
      </c>
    </row>
    <row r="4406" customFormat="false" ht="15" hidden="false" customHeight="false" outlineLevel="0" collapsed="false">
      <c r="A4406" s="16" t="s">
        <v>13932</v>
      </c>
      <c r="B4406" s="16" t="n">
        <v>4401</v>
      </c>
      <c r="C4406" s="16" t="s">
        <v>13933</v>
      </c>
      <c r="D4406" s="16" t="n">
        <v>6</v>
      </c>
      <c r="E4406" s="35" t="s">
        <v>13934</v>
      </c>
      <c r="F4406" s="16" t="s">
        <v>1285</v>
      </c>
      <c r="G4406" s="16" t="s">
        <v>882</v>
      </c>
      <c r="H4406" s="16" t="s">
        <v>13359</v>
      </c>
      <c r="I4406" s="16" t="s">
        <v>136</v>
      </c>
      <c r="J4406" s="16" t="s">
        <v>13883</v>
      </c>
      <c r="K4406" s="32" t="n">
        <v>2</v>
      </c>
      <c r="L4406" s="33" t="n">
        <v>46479</v>
      </c>
      <c r="M4406" s="33" t="n">
        <v>46480</v>
      </c>
      <c r="N4406" s="16" t="s">
        <v>13935</v>
      </c>
      <c r="O4406" s="16"/>
      <c r="P4406" s="16" t="str">
        <f aca="false">IF(AND(L4406&lt;=$D$2,M4406&gt;=$C$2),"Sí","")</f>
        <v/>
      </c>
      <c r="Q4406" s="18" t="str">
        <f aca="false">IF(COUNTIF(LOOKAHEAD!$A$5:$A$604,A4406)&gt;0,"En Lookahead",IF(P4406="Sí","INCORPORAR",""))</f>
        <v/>
      </c>
    </row>
    <row r="4407" customFormat="false" ht="15" hidden="false" customHeight="false" outlineLevel="0" collapsed="false">
      <c r="A4407" s="16" t="s">
        <v>13936</v>
      </c>
      <c r="B4407" s="16" t="n">
        <v>4402</v>
      </c>
      <c r="C4407" s="16" t="s">
        <v>13937</v>
      </c>
      <c r="D4407" s="16" t="n">
        <v>6</v>
      </c>
      <c r="E4407" s="35" t="s">
        <v>13938</v>
      </c>
      <c r="F4407" s="16" t="s">
        <v>1285</v>
      </c>
      <c r="G4407" s="16" t="s">
        <v>882</v>
      </c>
      <c r="H4407" s="16" t="s">
        <v>13359</v>
      </c>
      <c r="I4407" s="16" t="s">
        <v>136</v>
      </c>
      <c r="J4407" s="16" t="s">
        <v>13883</v>
      </c>
      <c r="K4407" s="32" t="n">
        <v>2</v>
      </c>
      <c r="L4407" s="33" t="n">
        <v>46481</v>
      </c>
      <c r="M4407" s="33" t="n">
        <v>46482</v>
      </c>
      <c r="N4407" s="16" t="s">
        <v>13939</v>
      </c>
      <c r="O4407" s="16"/>
      <c r="P4407" s="16" t="str">
        <f aca="false">IF(AND(L4407&lt;=$D$2,M4407&gt;=$C$2),"Sí","")</f>
        <v/>
      </c>
      <c r="Q4407" s="18" t="str">
        <f aca="false">IF(COUNTIF(LOOKAHEAD!$A$5:$A$604,A4407)&gt;0,"En Lookahead",IF(P4407="Sí","INCORPORAR",""))</f>
        <v/>
      </c>
    </row>
    <row r="4408" customFormat="false" ht="15" hidden="false" customHeight="false" outlineLevel="0" collapsed="false">
      <c r="A4408" s="16" t="s">
        <v>13940</v>
      </c>
      <c r="B4408" s="16" t="n">
        <v>4403</v>
      </c>
      <c r="C4408" s="16" t="s">
        <v>13941</v>
      </c>
      <c r="D4408" s="16" t="n">
        <v>6</v>
      </c>
      <c r="E4408" s="35" t="s">
        <v>13942</v>
      </c>
      <c r="F4408" s="16" t="s">
        <v>1285</v>
      </c>
      <c r="G4408" s="16" t="s">
        <v>882</v>
      </c>
      <c r="H4408" s="16" t="s">
        <v>13359</v>
      </c>
      <c r="I4408" s="16" t="s">
        <v>136</v>
      </c>
      <c r="J4408" s="16" t="s">
        <v>13883</v>
      </c>
      <c r="K4408" s="32" t="n">
        <v>2</v>
      </c>
      <c r="L4408" s="33" t="n">
        <v>46483</v>
      </c>
      <c r="M4408" s="33" t="n">
        <v>46484</v>
      </c>
      <c r="N4408" s="16" t="s">
        <v>13943</v>
      </c>
      <c r="O4408" s="16"/>
      <c r="P4408" s="16" t="str">
        <f aca="false">IF(AND(L4408&lt;=$D$2,M4408&gt;=$C$2),"Sí","")</f>
        <v/>
      </c>
      <c r="Q4408" s="18" t="str">
        <f aca="false">IF(COUNTIF(LOOKAHEAD!$A$5:$A$604,A4408)&gt;0,"En Lookahead",IF(P4408="Sí","INCORPORAR",""))</f>
        <v/>
      </c>
    </row>
    <row r="4409" customFormat="false" ht="15" hidden="false" customHeight="false" outlineLevel="0" collapsed="false">
      <c r="A4409" s="16" t="s">
        <v>13944</v>
      </c>
      <c r="B4409" s="16" t="n">
        <v>4404</v>
      </c>
      <c r="C4409" s="16" t="s">
        <v>13945</v>
      </c>
      <c r="D4409" s="16" t="n">
        <v>6</v>
      </c>
      <c r="E4409" s="35" t="s">
        <v>13946</v>
      </c>
      <c r="F4409" s="16" t="s">
        <v>1285</v>
      </c>
      <c r="G4409" s="16" t="s">
        <v>882</v>
      </c>
      <c r="H4409" s="16" t="s">
        <v>13359</v>
      </c>
      <c r="I4409" s="16" t="s">
        <v>136</v>
      </c>
      <c r="J4409" s="16" t="s">
        <v>13883</v>
      </c>
      <c r="K4409" s="32" t="n">
        <v>2</v>
      </c>
      <c r="L4409" s="33" t="n">
        <v>46485</v>
      </c>
      <c r="M4409" s="33" t="n">
        <v>46486</v>
      </c>
      <c r="N4409" s="16" t="s">
        <v>13947</v>
      </c>
      <c r="O4409" s="16"/>
      <c r="P4409" s="16" t="str">
        <f aca="false">IF(AND(L4409&lt;=$D$2,M4409&gt;=$C$2),"Sí","")</f>
        <v/>
      </c>
      <c r="Q4409" s="18" t="str">
        <f aca="false">IF(COUNTIF(LOOKAHEAD!$A$5:$A$604,A4409)&gt;0,"En Lookahead",IF(P4409="Sí","INCORPORAR",""))</f>
        <v/>
      </c>
    </row>
    <row r="4410" customFormat="false" ht="15" hidden="false" customHeight="false" outlineLevel="0" collapsed="false">
      <c r="A4410" s="16" t="s">
        <v>13948</v>
      </c>
      <c r="B4410" s="16" t="n">
        <v>4405</v>
      </c>
      <c r="C4410" s="16" t="s">
        <v>13949</v>
      </c>
      <c r="D4410" s="16" t="n">
        <v>6</v>
      </c>
      <c r="E4410" s="35" t="s">
        <v>13950</v>
      </c>
      <c r="F4410" s="16" t="s">
        <v>1285</v>
      </c>
      <c r="G4410" s="16" t="s">
        <v>882</v>
      </c>
      <c r="H4410" s="16" t="s">
        <v>13359</v>
      </c>
      <c r="I4410" s="16" t="s">
        <v>136</v>
      </c>
      <c r="J4410" s="16" t="s">
        <v>13883</v>
      </c>
      <c r="K4410" s="32" t="n">
        <v>2</v>
      </c>
      <c r="L4410" s="33" t="n">
        <v>46487</v>
      </c>
      <c r="M4410" s="33" t="n">
        <v>46488</v>
      </c>
      <c r="N4410" s="16" t="s">
        <v>13951</v>
      </c>
      <c r="O4410" s="16"/>
      <c r="P4410" s="16" t="str">
        <f aca="false">IF(AND(L4410&lt;=$D$2,M4410&gt;=$C$2),"Sí","")</f>
        <v/>
      </c>
      <c r="Q4410" s="18" t="str">
        <f aca="false">IF(COUNTIF(LOOKAHEAD!$A$5:$A$604,A4410)&gt;0,"En Lookahead",IF(P4410="Sí","INCORPORAR",""))</f>
        <v/>
      </c>
    </row>
    <row r="4411" customFormat="false" ht="15" hidden="false" customHeight="false" outlineLevel="0" collapsed="false">
      <c r="A4411" s="16" t="s">
        <v>13952</v>
      </c>
      <c r="B4411" s="16" t="n">
        <v>4406</v>
      </c>
      <c r="C4411" s="16" t="s">
        <v>13953</v>
      </c>
      <c r="D4411" s="16" t="n">
        <v>6</v>
      </c>
      <c r="E4411" s="35" t="s">
        <v>13954</v>
      </c>
      <c r="F4411" s="16" t="s">
        <v>1285</v>
      </c>
      <c r="G4411" s="16" t="s">
        <v>882</v>
      </c>
      <c r="H4411" s="16" t="s">
        <v>13359</v>
      </c>
      <c r="I4411" s="16" t="s">
        <v>136</v>
      </c>
      <c r="J4411" s="16" t="s">
        <v>13883</v>
      </c>
      <c r="K4411" s="32" t="n">
        <v>2</v>
      </c>
      <c r="L4411" s="33" t="n">
        <v>46489</v>
      </c>
      <c r="M4411" s="33" t="n">
        <v>46490</v>
      </c>
      <c r="N4411" s="16" t="s">
        <v>13955</v>
      </c>
      <c r="O4411" s="16"/>
      <c r="P4411" s="16" t="str">
        <f aca="false">IF(AND(L4411&lt;=$D$2,M4411&gt;=$C$2),"Sí","")</f>
        <v/>
      </c>
      <c r="Q4411" s="18" t="str">
        <f aca="false">IF(COUNTIF(LOOKAHEAD!$A$5:$A$604,A4411)&gt;0,"En Lookahead",IF(P4411="Sí","INCORPORAR",""))</f>
        <v/>
      </c>
    </row>
    <row r="4412" customFormat="false" ht="15" hidden="false" customHeight="false" outlineLevel="0" collapsed="false">
      <c r="A4412" s="16" t="s">
        <v>13956</v>
      </c>
      <c r="B4412" s="16" t="n">
        <v>4407</v>
      </c>
      <c r="C4412" s="16" t="s">
        <v>13957</v>
      </c>
      <c r="D4412" s="16" t="n">
        <v>6</v>
      </c>
      <c r="E4412" s="35" t="s">
        <v>13958</v>
      </c>
      <c r="F4412" s="16" t="s">
        <v>1285</v>
      </c>
      <c r="G4412" s="16" t="s">
        <v>882</v>
      </c>
      <c r="H4412" s="16" t="s">
        <v>13359</v>
      </c>
      <c r="I4412" s="16" t="s">
        <v>136</v>
      </c>
      <c r="J4412" s="16" t="s">
        <v>13883</v>
      </c>
      <c r="K4412" s="32" t="n">
        <v>2</v>
      </c>
      <c r="L4412" s="33" t="n">
        <v>46491</v>
      </c>
      <c r="M4412" s="33" t="n">
        <v>46492</v>
      </c>
      <c r="N4412" s="16" t="s">
        <v>13959</v>
      </c>
      <c r="O4412" s="16"/>
      <c r="P4412" s="16" t="str">
        <f aca="false">IF(AND(L4412&lt;=$D$2,M4412&gt;=$C$2),"Sí","")</f>
        <v/>
      </c>
      <c r="Q4412" s="18" t="str">
        <f aca="false">IF(COUNTIF(LOOKAHEAD!$A$5:$A$604,A4412)&gt;0,"En Lookahead",IF(P4412="Sí","INCORPORAR",""))</f>
        <v/>
      </c>
    </row>
    <row r="4413" customFormat="false" ht="15" hidden="false" customHeight="false" outlineLevel="0" collapsed="false">
      <c r="A4413" s="16" t="s">
        <v>13960</v>
      </c>
      <c r="B4413" s="16" t="n">
        <v>4408</v>
      </c>
      <c r="C4413" s="16" t="s">
        <v>13961</v>
      </c>
      <c r="D4413" s="16" t="n">
        <v>6</v>
      </c>
      <c r="E4413" s="35" t="s">
        <v>13962</v>
      </c>
      <c r="F4413" s="16" t="s">
        <v>1285</v>
      </c>
      <c r="G4413" s="16" t="s">
        <v>882</v>
      </c>
      <c r="H4413" s="16" t="s">
        <v>13359</v>
      </c>
      <c r="I4413" s="16" t="s">
        <v>136</v>
      </c>
      <c r="J4413" s="16" t="s">
        <v>13883</v>
      </c>
      <c r="K4413" s="32" t="n">
        <v>2</v>
      </c>
      <c r="L4413" s="33" t="n">
        <v>46493</v>
      </c>
      <c r="M4413" s="33" t="n">
        <v>46494</v>
      </c>
      <c r="N4413" s="16" t="s">
        <v>13963</v>
      </c>
      <c r="O4413" s="16"/>
      <c r="P4413" s="16" t="str">
        <f aca="false">IF(AND(L4413&lt;=$D$2,M4413&gt;=$C$2),"Sí","")</f>
        <v/>
      </c>
      <c r="Q4413" s="18" t="str">
        <f aca="false">IF(COUNTIF(LOOKAHEAD!$A$5:$A$604,A4413)&gt;0,"En Lookahead",IF(P4413="Sí","INCORPORAR",""))</f>
        <v/>
      </c>
    </row>
    <row r="4414" customFormat="false" ht="15" hidden="false" customHeight="false" outlineLevel="0" collapsed="false">
      <c r="A4414" s="16" t="s">
        <v>13964</v>
      </c>
      <c r="B4414" s="16" t="n">
        <v>4409</v>
      </c>
      <c r="C4414" s="16" t="s">
        <v>13965</v>
      </c>
      <c r="D4414" s="16" t="n">
        <v>6</v>
      </c>
      <c r="E4414" s="35" t="s">
        <v>13966</v>
      </c>
      <c r="F4414" s="16" t="s">
        <v>1285</v>
      </c>
      <c r="G4414" s="16" t="s">
        <v>882</v>
      </c>
      <c r="H4414" s="16" t="s">
        <v>13359</v>
      </c>
      <c r="I4414" s="16" t="s">
        <v>136</v>
      </c>
      <c r="J4414" s="16" t="s">
        <v>13883</v>
      </c>
      <c r="K4414" s="32" t="n">
        <v>2</v>
      </c>
      <c r="L4414" s="33" t="n">
        <v>46495</v>
      </c>
      <c r="M4414" s="33" t="n">
        <v>46496</v>
      </c>
      <c r="N4414" s="16" t="s">
        <v>13967</v>
      </c>
      <c r="O4414" s="16"/>
      <c r="P4414" s="16" t="str">
        <f aca="false">IF(AND(L4414&lt;=$D$2,M4414&gt;=$C$2),"Sí","")</f>
        <v/>
      </c>
      <c r="Q4414" s="18" t="str">
        <f aca="false">IF(COUNTIF(LOOKAHEAD!$A$5:$A$604,A4414)&gt;0,"En Lookahead",IF(P4414="Sí","INCORPORAR",""))</f>
        <v/>
      </c>
    </row>
    <row r="4415" customFormat="false" ht="15" hidden="false" customHeight="false" outlineLevel="0" collapsed="false">
      <c r="A4415" s="16" t="s">
        <v>13968</v>
      </c>
      <c r="B4415" s="16" t="n">
        <v>4410</v>
      </c>
      <c r="C4415" s="16" t="s">
        <v>13969</v>
      </c>
      <c r="D4415" s="16" t="n">
        <v>6</v>
      </c>
      <c r="E4415" s="35" t="s">
        <v>13970</v>
      </c>
      <c r="F4415" s="16" t="s">
        <v>1285</v>
      </c>
      <c r="G4415" s="16" t="s">
        <v>882</v>
      </c>
      <c r="H4415" s="16" t="s">
        <v>13359</v>
      </c>
      <c r="I4415" s="16" t="s">
        <v>136</v>
      </c>
      <c r="J4415" s="16" t="s">
        <v>13883</v>
      </c>
      <c r="K4415" s="32" t="n">
        <v>2</v>
      </c>
      <c r="L4415" s="33" t="n">
        <v>46497</v>
      </c>
      <c r="M4415" s="33" t="n">
        <v>46498</v>
      </c>
      <c r="N4415" s="16" t="s">
        <v>13971</v>
      </c>
      <c r="O4415" s="16"/>
      <c r="P4415" s="16" t="str">
        <f aca="false">IF(AND(L4415&lt;=$D$2,M4415&gt;=$C$2),"Sí","")</f>
        <v/>
      </c>
      <c r="Q4415" s="18" t="str">
        <f aca="false">IF(COUNTIF(LOOKAHEAD!$A$5:$A$604,A4415)&gt;0,"En Lookahead",IF(P4415="Sí","INCORPORAR",""))</f>
        <v/>
      </c>
    </row>
    <row r="4416" customFormat="false" ht="15" hidden="false" customHeight="false" outlineLevel="0" collapsed="false">
      <c r="A4416" s="16" t="s">
        <v>13972</v>
      </c>
      <c r="B4416" s="16" t="n">
        <v>4411</v>
      </c>
      <c r="C4416" s="16" t="s">
        <v>13973</v>
      </c>
      <c r="D4416" s="16" t="n">
        <v>6</v>
      </c>
      <c r="E4416" s="35" t="s">
        <v>13974</v>
      </c>
      <c r="F4416" s="16" t="s">
        <v>1285</v>
      </c>
      <c r="G4416" s="16" t="s">
        <v>882</v>
      </c>
      <c r="H4416" s="16" t="s">
        <v>13359</v>
      </c>
      <c r="I4416" s="16" t="s">
        <v>136</v>
      </c>
      <c r="J4416" s="16" t="s">
        <v>13883</v>
      </c>
      <c r="K4416" s="32" t="n">
        <v>2</v>
      </c>
      <c r="L4416" s="33" t="n">
        <v>46499</v>
      </c>
      <c r="M4416" s="33" t="n">
        <v>46500</v>
      </c>
      <c r="N4416" s="16" t="s">
        <v>13975</v>
      </c>
      <c r="O4416" s="16"/>
      <c r="P4416" s="16" t="str">
        <f aca="false">IF(AND(L4416&lt;=$D$2,M4416&gt;=$C$2),"Sí","")</f>
        <v/>
      </c>
      <c r="Q4416" s="18" t="str">
        <f aca="false">IF(COUNTIF(LOOKAHEAD!$A$5:$A$604,A4416)&gt;0,"En Lookahead",IF(P4416="Sí","INCORPORAR",""))</f>
        <v/>
      </c>
    </row>
    <row r="4417" customFormat="false" ht="15" hidden="false" customHeight="false" outlineLevel="0" collapsed="false">
      <c r="A4417" s="16" t="s">
        <v>13976</v>
      </c>
      <c r="B4417" s="16" t="n">
        <v>4412</v>
      </c>
      <c r="C4417" s="16" t="s">
        <v>13977</v>
      </c>
      <c r="D4417" s="16" t="n">
        <v>6</v>
      </c>
      <c r="E4417" s="35" t="s">
        <v>13978</v>
      </c>
      <c r="F4417" s="16" t="s">
        <v>1285</v>
      </c>
      <c r="G4417" s="16" t="s">
        <v>882</v>
      </c>
      <c r="H4417" s="16" t="s">
        <v>13359</v>
      </c>
      <c r="I4417" s="16" t="s">
        <v>136</v>
      </c>
      <c r="J4417" s="16" t="s">
        <v>13883</v>
      </c>
      <c r="K4417" s="32" t="n">
        <v>2</v>
      </c>
      <c r="L4417" s="33" t="n">
        <v>46501</v>
      </c>
      <c r="M4417" s="33" t="n">
        <v>46502</v>
      </c>
      <c r="N4417" s="16" t="s">
        <v>13979</v>
      </c>
      <c r="O4417" s="16"/>
      <c r="P4417" s="16" t="str">
        <f aca="false">IF(AND(L4417&lt;=$D$2,M4417&gt;=$C$2),"Sí","")</f>
        <v/>
      </c>
      <c r="Q4417" s="18" t="str">
        <f aca="false">IF(COUNTIF(LOOKAHEAD!$A$5:$A$604,A4417)&gt;0,"En Lookahead",IF(P4417="Sí","INCORPORAR",""))</f>
        <v/>
      </c>
    </row>
    <row r="4418" customFormat="false" ht="15" hidden="false" customHeight="false" outlineLevel="0" collapsed="false">
      <c r="A4418" s="16" t="s">
        <v>13980</v>
      </c>
      <c r="B4418" s="16" t="n">
        <v>4413</v>
      </c>
      <c r="C4418" s="16" t="s">
        <v>13981</v>
      </c>
      <c r="D4418" s="16" t="n">
        <v>6</v>
      </c>
      <c r="E4418" s="35" t="s">
        <v>13982</v>
      </c>
      <c r="F4418" s="16" t="s">
        <v>1285</v>
      </c>
      <c r="G4418" s="16" t="s">
        <v>882</v>
      </c>
      <c r="H4418" s="16" t="s">
        <v>13359</v>
      </c>
      <c r="I4418" s="16" t="s">
        <v>136</v>
      </c>
      <c r="J4418" s="16" t="s">
        <v>13883</v>
      </c>
      <c r="K4418" s="32" t="n">
        <v>3</v>
      </c>
      <c r="L4418" s="33" t="n">
        <v>46503</v>
      </c>
      <c r="M4418" s="33" t="n">
        <v>46505</v>
      </c>
      <c r="N4418" s="16" t="s">
        <v>13983</v>
      </c>
      <c r="O4418" s="16"/>
      <c r="P4418" s="16" t="str">
        <f aca="false">IF(AND(L4418&lt;=$D$2,M4418&gt;=$C$2),"Sí","")</f>
        <v/>
      </c>
      <c r="Q4418" s="18" t="str">
        <f aca="false">IF(COUNTIF(LOOKAHEAD!$A$5:$A$604,A4418)&gt;0,"En Lookahead",IF(P4418="Sí","INCORPORAR",""))</f>
        <v/>
      </c>
    </row>
    <row r="4419" customFormat="false" ht="15" hidden="false" customHeight="false" outlineLevel="0" collapsed="false">
      <c r="A4419" s="16" t="s">
        <v>13984</v>
      </c>
      <c r="B4419" s="16" t="n">
        <v>4414</v>
      </c>
      <c r="C4419" s="16" t="s">
        <v>13985</v>
      </c>
      <c r="D4419" s="16" t="n">
        <v>6</v>
      </c>
      <c r="E4419" s="35" t="s">
        <v>13986</v>
      </c>
      <c r="F4419" s="16" t="s">
        <v>1285</v>
      </c>
      <c r="G4419" s="16" t="s">
        <v>882</v>
      </c>
      <c r="H4419" s="16" t="s">
        <v>13359</v>
      </c>
      <c r="I4419" s="16" t="s">
        <v>136</v>
      </c>
      <c r="J4419" s="16" t="s">
        <v>13883</v>
      </c>
      <c r="K4419" s="32" t="n">
        <v>2</v>
      </c>
      <c r="L4419" s="33" t="n">
        <v>46506</v>
      </c>
      <c r="M4419" s="33" t="n">
        <v>46507</v>
      </c>
      <c r="N4419" s="16" t="s">
        <v>13987</v>
      </c>
      <c r="O4419" s="16"/>
      <c r="P4419" s="16" t="str">
        <f aca="false">IF(AND(L4419&lt;=$D$2,M4419&gt;=$C$2),"Sí","")</f>
        <v/>
      </c>
      <c r="Q4419" s="18" t="str">
        <f aca="false">IF(COUNTIF(LOOKAHEAD!$A$5:$A$604,A4419)&gt;0,"En Lookahead",IF(P4419="Sí","INCORPORAR",""))</f>
        <v/>
      </c>
    </row>
    <row r="4420" customFormat="false" ht="15" hidden="false" customHeight="false" outlineLevel="0" collapsed="false">
      <c r="A4420" s="16" t="s">
        <v>13988</v>
      </c>
      <c r="B4420" s="16" t="n">
        <v>4415</v>
      </c>
      <c r="C4420" s="16" t="s">
        <v>13989</v>
      </c>
      <c r="D4420" s="16" t="n">
        <v>6</v>
      </c>
      <c r="E4420" s="35" t="s">
        <v>13990</v>
      </c>
      <c r="F4420" s="16" t="s">
        <v>1285</v>
      </c>
      <c r="G4420" s="16" t="s">
        <v>882</v>
      </c>
      <c r="H4420" s="16" t="s">
        <v>13359</v>
      </c>
      <c r="I4420" s="16" t="s">
        <v>136</v>
      </c>
      <c r="J4420" s="16" t="s">
        <v>13883</v>
      </c>
      <c r="K4420" s="32" t="n">
        <v>2</v>
      </c>
      <c r="L4420" s="33" t="n">
        <v>46508</v>
      </c>
      <c r="M4420" s="33" t="n">
        <v>46509</v>
      </c>
      <c r="N4420" s="16" t="s">
        <v>13991</v>
      </c>
      <c r="O4420" s="16"/>
      <c r="P4420" s="16" t="str">
        <f aca="false">IF(AND(L4420&lt;=$D$2,M4420&gt;=$C$2),"Sí","")</f>
        <v/>
      </c>
      <c r="Q4420" s="18" t="str">
        <f aca="false">IF(COUNTIF(LOOKAHEAD!$A$5:$A$604,A4420)&gt;0,"En Lookahead",IF(P4420="Sí","INCORPORAR",""))</f>
        <v/>
      </c>
    </row>
    <row r="4421" customFormat="false" ht="15" hidden="false" customHeight="false" outlineLevel="0" collapsed="false">
      <c r="A4421" s="16" t="s">
        <v>13992</v>
      </c>
      <c r="B4421" s="16" t="n">
        <v>4416</v>
      </c>
      <c r="C4421" s="16" t="s">
        <v>13993</v>
      </c>
      <c r="D4421" s="16" t="n">
        <v>6</v>
      </c>
      <c r="E4421" s="35" t="s">
        <v>13994</v>
      </c>
      <c r="F4421" s="16" t="s">
        <v>1285</v>
      </c>
      <c r="G4421" s="16" t="s">
        <v>882</v>
      </c>
      <c r="H4421" s="16" t="s">
        <v>13359</v>
      </c>
      <c r="I4421" s="16" t="s">
        <v>136</v>
      </c>
      <c r="J4421" s="16" t="s">
        <v>13883</v>
      </c>
      <c r="K4421" s="32" t="n">
        <v>2</v>
      </c>
      <c r="L4421" s="33" t="n">
        <v>46510</v>
      </c>
      <c r="M4421" s="33" t="n">
        <v>46511</v>
      </c>
      <c r="N4421" s="16" t="s">
        <v>13995</v>
      </c>
      <c r="O4421" s="16"/>
      <c r="P4421" s="16" t="str">
        <f aca="false">IF(AND(L4421&lt;=$D$2,M4421&gt;=$C$2),"Sí","")</f>
        <v/>
      </c>
      <c r="Q4421" s="18" t="str">
        <f aca="false">IF(COUNTIF(LOOKAHEAD!$A$5:$A$604,A4421)&gt;0,"En Lookahead",IF(P4421="Sí","INCORPORAR",""))</f>
        <v/>
      </c>
    </row>
    <row r="4422" customFormat="false" ht="15" hidden="false" customHeight="false" outlineLevel="0" collapsed="false">
      <c r="A4422" s="16" t="s">
        <v>13996</v>
      </c>
      <c r="B4422" s="16" t="n">
        <v>4417</v>
      </c>
      <c r="C4422" s="16" t="s">
        <v>13997</v>
      </c>
      <c r="D4422" s="16" t="n">
        <v>6</v>
      </c>
      <c r="E4422" s="35" t="s">
        <v>13998</v>
      </c>
      <c r="F4422" s="16" t="s">
        <v>1285</v>
      </c>
      <c r="G4422" s="16" t="s">
        <v>882</v>
      </c>
      <c r="H4422" s="16" t="s">
        <v>13359</v>
      </c>
      <c r="I4422" s="16" t="s">
        <v>136</v>
      </c>
      <c r="J4422" s="16" t="s">
        <v>13883</v>
      </c>
      <c r="K4422" s="32" t="n">
        <v>2</v>
      </c>
      <c r="L4422" s="33" t="n">
        <v>46512</v>
      </c>
      <c r="M4422" s="33" t="n">
        <v>46513</v>
      </c>
      <c r="N4422" s="16" t="s">
        <v>13999</v>
      </c>
      <c r="O4422" s="16"/>
      <c r="P4422" s="16" t="str">
        <f aca="false">IF(AND(L4422&lt;=$D$2,M4422&gt;=$C$2),"Sí","")</f>
        <v/>
      </c>
      <c r="Q4422" s="18" t="str">
        <f aca="false">IF(COUNTIF(LOOKAHEAD!$A$5:$A$604,A4422)&gt;0,"En Lookahead",IF(P4422="Sí","INCORPORAR",""))</f>
        <v/>
      </c>
    </row>
    <row r="4423" customFormat="false" ht="15" hidden="false" customHeight="false" outlineLevel="0" collapsed="false">
      <c r="A4423" s="16" t="s">
        <v>14000</v>
      </c>
      <c r="B4423" s="16" t="n">
        <v>4418</v>
      </c>
      <c r="C4423" s="16" t="s">
        <v>14001</v>
      </c>
      <c r="D4423" s="16" t="n">
        <v>6</v>
      </c>
      <c r="E4423" s="35" t="s">
        <v>14002</v>
      </c>
      <c r="F4423" s="16" t="s">
        <v>1285</v>
      </c>
      <c r="G4423" s="16" t="s">
        <v>882</v>
      </c>
      <c r="H4423" s="16" t="s">
        <v>13359</v>
      </c>
      <c r="I4423" s="16" t="s">
        <v>136</v>
      </c>
      <c r="J4423" s="16" t="s">
        <v>13883</v>
      </c>
      <c r="K4423" s="32" t="n">
        <v>2</v>
      </c>
      <c r="L4423" s="33" t="n">
        <v>46514</v>
      </c>
      <c r="M4423" s="33" t="n">
        <v>46515</v>
      </c>
      <c r="N4423" s="16" t="s">
        <v>14003</v>
      </c>
      <c r="O4423" s="16"/>
      <c r="P4423" s="16" t="str">
        <f aca="false">IF(AND(L4423&lt;=$D$2,M4423&gt;=$C$2),"Sí","")</f>
        <v/>
      </c>
      <c r="Q4423" s="18" t="str">
        <f aca="false">IF(COUNTIF(LOOKAHEAD!$A$5:$A$604,A4423)&gt;0,"En Lookahead",IF(P4423="Sí","INCORPORAR",""))</f>
        <v/>
      </c>
    </row>
    <row r="4424" customFormat="false" ht="15" hidden="false" customHeight="false" outlineLevel="0" collapsed="false">
      <c r="A4424" s="16" t="s">
        <v>14004</v>
      </c>
      <c r="B4424" s="16" t="n">
        <v>4419</v>
      </c>
      <c r="C4424" s="16" t="s">
        <v>14005</v>
      </c>
      <c r="D4424" s="16" t="n">
        <v>6</v>
      </c>
      <c r="E4424" s="35" t="s">
        <v>14006</v>
      </c>
      <c r="F4424" s="16" t="s">
        <v>1285</v>
      </c>
      <c r="G4424" s="16" t="s">
        <v>882</v>
      </c>
      <c r="H4424" s="16" t="s">
        <v>13359</v>
      </c>
      <c r="I4424" s="16" t="s">
        <v>136</v>
      </c>
      <c r="J4424" s="16" t="s">
        <v>13883</v>
      </c>
      <c r="K4424" s="32" t="n">
        <v>2</v>
      </c>
      <c r="L4424" s="33" t="n">
        <v>46516</v>
      </c>
      <c r="M4424" s="33" t="n">
        <v>46517</v>
      </c>
      <c r="N4424" s="16" t="s">
        <v>14007</v>
      </c>
      <c r="O4424" s="16"/>
      <c r="P4424" s="16" t="str">
        <f aca="false">IF(AND(L4424&lt;=$D$2,M4424&gt;=$C$2),"Sí","")</f>
        <v/>
      </c>
      <c r="Q4424" s="18" t="str">
        <f aca="false">IF(COUNTIF(LOOKAHEAD!$A$5:$A$604,A4424)&gt;0,"En Lookahead",IF(P4424="Sí","INCORPORAR",""))</f>
        <v/>
      </c>
    </row>
    <row r="4425" customFormat="false" ht="15" hidden="false" customHeight="false" outlineLevel="0" collapsed="false">
      <c r="A4425" s="16" t="s">
        <v>14008</v>
      </c>
      <c r="B4425" s="16" t="n">
        <v>4420</v>
      </c>
      <c r="C4425" s="16" t="s">
        <v>14009</v>
      </c>
      <c r="D4425" s="16" t="n">
        <v>6</v>
      </c>
      <c r="E4425" s="35" t="s">
        <v>14010</v>
      </c>
      <c r="F4425" s="16" t="s">
        <v>1285</v>
      </c>
      <c r="G4425" s="16" t="s">
        <v>882</v>
      </c>
      <c r="H4425" s="16" t="s">
        <v>13359</v>
      </c>
      <c r="I4425" s="16" t="s">
        <v>136</v>
      </c>
      <c r="J4425" s="16" t="s">
        <v>13883</v>
      </c>
      <c r="K4425" s="32" t="n">
        <v>2</v>
      </c>
      <c r="L4425" s="33" t="n">
        <v>46518</v>
      </c>
      <c r="M4425" s="33" t="n">
        <v>46519</v>
      </c>
      <c r="N4425" s="16" t="s">
        <v>14011</v>
      </c>
      <c r="O4425" s="16"/>
      <c r="P4425" s="16" t="str">
        <f aca="false">IF(AND(L4425&lt;=$D$2,M4425&gt;=$C$2),"Sí","")</f>
        <v/>
      </c>
      <c r="Q4425" s="18" t="str">
        <f aca="false">IF(COUNTIF(LOOKAHEAD!$A$5:$A$604,A4425)&gt;0,"En Lookahead",IF(P4425="Sí","INCORPORAR",""))</f>
        <v/>
      </c>
    </row>
    <row r="4426" customFormat="false" ht="15" hidden="false" customHeight="false" outlineLevel="0" collapsed="false">
      <c r="A4426" s="16" t="s">
        <v>14012</v>
      </c>
      <c r="B4426" s="16" t="n">
        <v>4421</v>
      </c>
      <c r="C4426" s="16" t="s">
        <v>14013</v>
      </c>
      <c r="D4426" s="16" t="n">
        <v>6</v>
      </c>
      <c r="E4426" s="35" t="s">
        <v>14014</v>
      </c>
      <c r="F4426" s="16" t="s">
        <v>1285</v>
      </c>
      <c r="G4426" s="16" t="s">
        <v>882</v>
      </c>
      <c r="H4426" s="16" t="s">
        <v>13359</v>
      </c>
      <c r="I4426" s="16" t="s">
        <v>136</v>
      </c>
      <c r="J4426" s="16" t="s">
        <v>13883</v>
      </c>
      <c r="K4426" s="32" t="n">
        <v>2</v>
      </c>
      <c r="L4426" s="33" t="n">
        <v>46520</v>
      </c>
      <c r="M4426" s="33" t="n">
        <v>46521</v>
      </c>
      <c r="N4426" s="16" t="s">
        <v>14015</v>
      </c>
      <c r="O4426" s="16"/>
      <c r="P4426" s="16" t="str">
        <f aca="false">IF(AND(L4426&lt;=$D$2,M4426&gt;=$C$2),"Sí","")</f>
        <v/>
      </c>
      <c r="Q4426" s="18" t="str">
        <f aca="false">IF(COUNTIF(LOOKAHEAD!$A$5:$A$604,A4426)&gt;0,"En Lookahead",IF(P4426="Sí","INCORPORAR",""))</f>
        <v/>
      </c>
    </row>
    <row r="4427" customFormat="false" ht="15" hidden="false" customHeight="false" outlineLevel="0" collapsed="false">
      <c r="A4427" s="16" t="s">
        <v>14016</v>
      </c>
      <c r="B4427" s="16" t="n">
        <v>4422</v>
      </c>
      <c r="C4427" s="16" t="s">
        <v>14017</v>
      </c>
      <c r="D4427" s="16" t="n">
        <v>6</v>
      </c>
      <c r="E4427" s="35" t="s">
        <v>14018</v>
      </c>
      <c r="F4427" s="16" t="s">
        <v>1285</v>
      </c>
      <c r="G4427" s="16" t="s">
        <v>882</v>
      </c>
      <c r="H4427" s="16" t="s">
        <v>13359</v>
      </c>
      <c r="I4427" s="16" t="s">
        <v>136</v>
      </c>
      <c r="J4427" s="16" t="s">
        <v>13883</v>
      </c>
      <c r="K4427" s="32" t="n">
        <v>2</v>
      </c>
      <c r="L4427" s="33" t="n">
        <v>46522</v>
      </c>
      <c r="M4427" s="33" t="n">
        <v>46523</v>
      </c>
      <c r="N4427" s="16" t="s">
        <v>14019</v>
      </c>
      <c r="O4427" s="16"/>
      <c r="P4427" s="16" t="str">
        <f aca="false">IF(AND(L4427&lt;=$D$2,M4427&gt;=$C$2),"Sí","")</f>
        <v/>
      </c>
      <c r="Q4427" s="18" t="str">
        <f aca="false">IF(COUNTIF(LOOKAHEAD!$A$5:$A$604,A4427)&gt;0,"En Lookahead",IF(P4427="Sí","INCORPORAR",""))</f>
        <v/>
      </c>
    </row>
    <row r="4428" customFormat="false" ht="15" hidden="false" customHeight="false" outlineLevel="0" collapsed="false">
      <c r="A4428" s="16" t="s">
        <v>14020</v>
      </c>
      <c r="B4428" s="16" t="n">
        <v>4423</v>
      </c>
      <c r="C4428" s="16" t="s">
        <v>14021</v>
      </c>
      <c r="D4428" s="16" t="n">
        <v>6</v>
      </c>
      <c r="E4428" s="35" t="s">
        <v>14022</v>
      </c>
      <c r="F4428" s="16" t="s">
        <v>1285</v>
      </c>
      <c r="G4428" s="16" t="s">
        <v>882</v>
      </c>
      <c r="H4428" s="16" t="s">
        <v>13359</v>
      </c>
      <c r="I4428" s="16" t="s">
        <v>136</v>
      </c>
      <c r="J4428" s="16" t="s">
        <v>13883</v>
      </c>
      <c r="K4428" s="32" t="n">
        <v>2</v>
      </c>
      <c r="L4428" s="33" t="n">
        <v>46524</v>
      </c>
      <c r="M4428" s="33" t="n">
        <v>46525</v>
      </c>
      <c r="N4428" s="16" t="s">
        <v>14023</v>
      </c>
      <c r="O4428" s="16"/>
      <c r="P4428" s="16" t="str">
        <f aca="false">IF(AND(L4428&lt;=$D$2,M4428&gt;=$C$2),"Sí","")</f>
        <v/>
      </c>
      <c r="Q4428" s="18" t="str">
        <f aca="false">IF(COUNTIF(LOOKAHEAD!$A$5:$A$604,A4428)&gt;0,"En Lookahead",IF(P4428="Sí","INCORPORAR",""))</f>
        <v/>
      </c>
    </row>
    <row r="4429" customFormat="false" ht="15" hidden="false" customHeight="false" outlineLevel="0" collapsed="false">
      <c r="A4429" s="16" t="s">
        <v>14024</v>
      </c>
      <c r="B4429" s="16" t="n">
        <v>4424</v>
      </c>
      <c r="C4429" s="16" t="s">
        <v>14025</v>
      </c>
      <c r="D4429" s="16" t="n">
        <v>6</v>
      </c>
      <c r="E4429" s="35" t="s">
        <v>14026</v>
      </c>
      <c r="F4429" s="16" t="s">
        <v>1285</v>
      </c>
      <c r="G4429" s="16" t="s">
        <v>882</v>
      </c>
      <c r="H4429" s="16" t="s">
        <v>13359</v>
      </c>
      <c r="I4429" s="16" t="s">
        <v>136</v>
      </c>
      <c r="J4429" s="16" t="s">
        <v>13883</v>
      </c>
      <c r="K4429" s="32" t="n">
        <v>3</v>
      </c>
      <c r="L4429" s="33" t="n">
        <v>46526</v>
      </c>
      <c r="M4429" s="33" t="n">
        <v>46528</v>
      </c>
      <c r="N4429" s="16" t="s">
        <v>14027</v>
      </c>
      <c r="O4429" s="16"/>
      <c r="P4429" s="16" t="str">
        <f aca="false">IF(AND(L4429&lt;=$D$2,M4429&gt;=$C$2),"Sí","")</f>
        <v/>
      </c>
      <c r="Q4429" s="18" t="str">
        <f aca="false">IF(COUNTIF(LOOKAHEAD!$A$5:$A$604,A4429)&gt;0,"En Lookahead",IF(P4429="Sí","INCORPORAR",""))</f>
        <v/>
      </c>
    </row>
    <row r="4430" customFormat="false" ht="15" hidden="false" customHeight="false" outlineLevel="0" collapsed="false">
      <c r="A4430" s="16" t="s">
        <v>14028</v>
      </c>
      <c r="B4430" s="16" t="n">
        <v>4425</v>
      </c>
      <c r="C4430" s="16" t="s">
        <v>14029</v>
      </c>
      <c r="D4430" s="16" t="n">
        <v>6</v>
      </c>
      <c r="E4430" s="35" t="s">
        <v>14030</v>
      </c>
      <c r="F4430" s="16" t="s">
        <v>1285</v>
      </c>
      <c r="G4430" s="16" t="s">
        <v>882</v>
      </c>
      <c r="H4430" s="16" t="s">
        <v>13359</v>
      </c>
      <c r="I4430" s="16" t="s">
        <v>136</v>
      </c>
      <c r="J4430" s="16" t="s">
        <v>13883</v>
      </c>
      <c r="K4430" s="32" t="n">
        <v>2</v>
      </c>
      <c r="L4430" s="33" t="n">
        <v>46529</v>
      </c>
      <c r="M4430" s="33" t="n">
        <v>46530</v>
      </c>
      <c r="N4430" s="16" t="s">
        <v>14031</v>
      </c>
      <c r="O4430" s="16"/>
      <c r="P4430" s="16" t="str">
        <f aca="false">IF(AND(L4430&lt;=$D$2,M4430&gt;=$C$2),"Sí","")</f>
        <v/>
      </c>
      <c r="Q4430" s="18" t="str">
        <f aca="false">IF(COUNTIF(LOOKAHEAD!$A$5:$A$604,A4430)&gt;0,"En Lookahead",IF(P4430="Sí","INCORPORAR",""))</f>
        <v/>
      </c>
    </row>
    <row r="4431" customFormat="false" ht="15" hidden="false" customHeight="false" outlineLevel="0" collapsed="false">
      <c r="A4431" s="16" t="s">
        <v>14032</v>
      </c>
      <c r="B4431" s="16" t="n">
        <v>4426</v>
      </c>
      <c r="C4431" s="16" t="s">
        <v>14033</v>
      </c>
      <c r="D4431" s="16" t="n">
        <v>6</v>
      </c>
      <c r="E4431" s="35" t="s">
        <v>14034</v>
      </c>
      <c r="F4431" s="16" t="s">
        <v>1285</v>
      </c>
      <c r="G4431" s="16" t="s">
        <v>882</v>
      </c>
      <c r="H4431" s="16" t="s">
        <v>13359</v>
      </c>
      <c r="I4431" s="16" t="s">
        <v>136</v>
      </c>
      <c r="J4431" s="16" t="s">
        <v>13883</v>
      </c>
      <c r="K4431" s="32" t="n">
        <v>2</v>
      </c>
      <c r="L4431" s="33" t="n">
        <v>46531</v>
      </c>
      <c r="M4431" s="33" t="n">
        <v>46532</v>
      </c>
      <c r="N4431" s="16" t="s">
        <v>14035</v>
      </c>
      <c r="O4431" s="16"/>
      <c r="P4431" s="16" t="str">
        <f aca="false">IF(AND(L4431&lt;=$D$2,M4431&gt;=$C$2),"Sí","")</f>
        <v/>
      </c>
      <c r="Q4431" s="18" t="str">
        <f aca="false">IF(COUNTIF(LOOKAHEAD!$A$5:$A$604,A4431)&gt;0,"En Lookahead",IF(P4431="Sí","INCORPORAR",""))</f>
        <v/>
      </c>
    </row>
    <row r="4432" customFormat="false" ht="15" hidden="false" customHeight="false" outlineLevel="0" collapsed="false">
      <c r="A4432" s="16" t="s">
        <v>14036</v>
      </c>
      <c r="B4432" s="16" t="n">
        <v>4427</v>
      </c>
      <c r="C4432" s="16" t="s">
        <v>14037</v>
      </c>
      <c r="D4432" s="16" t="n">
        <v>6</v>
      </c>
      <c r="E4432" s="35" t="s">
        <v>14038</v>
      </c>
      <c r="F4432" s="16" t="s">
        <v>1285</v>
      </c>
      <c r="G4432" s="16" t="s">
        <v>882</v>
      </c>
      <c r="H4432" s="16" t="s">
        <v>13359</v>
      </c>
      <c r="I4432" s="16" t="s">
        <v>136</v>
      </c>
      <c r="J4432" s="16" t="s">
        <v>13883</v>
      </c>
      <c r="K4432" s="32" t="n">
        <v>2</v>
      </c>
      <c r="L4432" s="33" t="n">
        <v>46533</v>
      </c>
      <c r="M4432" s="33" t="n">
        <v>46534</v>
      </c>
      <c r="N4432" s="16" t="s">
        <v>14039</v>
      </c>
      <c r="O4432" s="16"/>
      <c r="P4432" s="16" t="str">
        <f aca="false">IF(AND(L4432&lt;=$D$2,M4432&gt;=$C$2),"Sí","")</f>
        <v/>
      </c>
      <c r="Q4432" s="18" t="str">
        <f aca="false">IF(COUNTIF(LOOKAHEAD!$A$5:$A$604,A4432)&gt;0,"En Lookahead",IF(P4432="Sí","INCORPORAR",""))</f>
        <v/>
      </c>
    </row>
    <row r="4433" customFormat="false" ht="15" hidden="false" customHeight="false" outlineLevel="0" collapsed="false">
      <c r="A4433" s="16" t="s">
        <v>14040</v>
      </c>
      <c r="B4433" s="16" t="n">
        <v>4428</v>
      </c>
      <c r="C4433" s="16" t="s">
        <v>14041</v>
      </c>
      <c r="D4433" s="16" t="n">
        <v>6</v>
      </c>
      <c r="E4433" s="35" t="s">
        <v>14042</v>
      </c>
      <c r="F4433" s="16" t="s">
        <v>1285</v>
      </c>
      <c r="G4433" s="16" t="s">
        <v>882</v>
      </c>
      <c r="H4433" s="16" t="s">
        <v>13359</v>
      </c>
      <c r="I4433" s="16" t="s">
        <v>136</v>
      </c>
      <c r="J4433" s="16" t="s">
        <v>13883</v>
      </c>
      <c r="K4433" s="32" t="n">
        <v>2</v>
      </c>
      <c r="L4433" s="33" t="n">
        <v>46535</v>
      </c>
      <c r="M4433" s="33" t="n">
        <v>46536</v>
      </c>
      <c r="N4433" s="16" t="s">
        <v>14043</v>
      </c>
      <c r="O4433" s="16"/>
      <c r="P4433" s="16" t="str">
        <f aca="false">IF(AND(L4433&lt;=$D$2,M4433&gt;=$C$2),"Sí","")</f>
        <v/>
      </c>
      <c r="Q4433" s="18" t="str">
        <f aca="false">IF(COUNTIF(LOOKAHEAD!$A$5:$A$604,A4433)&gt;0,"En Lookahead",IF(P4433="Sí","INCORPORAR",""))</f>
        <v/>
      </c>
    </row>
    <row r="4434" customFormat="false" ht="15" hidden="false" customHeight="false" outlineLevel="0" collapsed="false">
      <c r="A4434" s="16" t="s">
        <v>14044</v>
      </c>
      <c r="B4434" s="16" t="n">
        <v>4429</v>
      </c>
      <c r="C4434" s="16" t="s">
        <v>14045</v>
      </c>
      <c r="D4434" s="16" t="n">
        <v>6</v>
      </c>
      <c r="E4434" s="35" t="s">
        <v>14046</v>
      </c>
      <c r="F4434" s="16" t="s">
        <v>1285</v>
      </c>
      <c r="G4434" s="16" t="s">
        <v>882</v>
      </c>
      <c r="H4434" s="16" t="s">
        <v>13359</v>
      </c>
      <c r="I4434" s="16" t="s">
        <v>136</v>
      </c>
      <c r="J4434" s="16" t="s">
        <v>13883</v>
      </c>
      <c r="K4434" s="32" t="n">
        <v>2</v>
      </c>
      <c r="L4434" s="33" t="n">
        <v>46537</v>
      </c>
      <c r="M4434" s="33" t="n">
        <v>46538</v>
      </c>
      <c r="N4434" s="16" t="s">
        <v>14047</v>
      </c>
      <c r="O4434" s="16"/>
      <c r="P4434" s="16" t="str">
        <f aca="false">IF(AND(L4434&lt;=$D$2,M4434&gt;=$C$2),"Sí","")</f>
        <v/>
      </c>
      <c r="Q4434" s="18" t="str">
        <f aca="false">IF(COUNTIF(LOOKAHEAD!$A$5:$A$604,A4434)&gt;0,"En Lookahead",IF(P4434="Sí","INCORPORAR",""))</f>
        <v/>
      </c>
    </row>
    <row r="4435" customFormat="false" ht="15" hidden="false" customHeight="false" outlineLevel="0" collapsed="false">
      <c r="A4435" s="16" t="s">
        <v>14048</v>
      </c>
      <c r="B4435" s="16" t="n">
        <v>4430</v>
      </c>
      <c r="C4435" s="16" t="s">
        <v>14049</v>
      </c>
      <c r="D4435" s="16" t="n">
        <v>6</v>
      </c>
      <c r="E4435" s="35" t="s">
        <v>14050</v>
      </c>
      <c r="F4435" s="16" t="s">
        <v>1285</v>
      </c>
      <c r="G4435" s="16" t="s">
        <v>882</v>
      </c>
      <c r="H4435" s="16" t="s">
        <v>13359</v>
      </c>
      <c r="I4435" s="16" t="s">
        <v>136</v>
      </c>
      <c r="J4435" s="16" t="s">
        <v>13883</v>
      </c>
      <c r="K4435" s="32" t="n">
        <v>3</v>
      </c>
      <c r="L4435" s="33" t="n">
        <v>46539</v>
      </c>
      <c r="M4435" s="33" t="n">
        <v>46541</v>
      </c>
      <c r="N4435" s="16" t="s">
        <v>14051</v>
      </c>
      <c r="O4435" s="16"/>
      <c r="P4435" s="16" t="str">
        <f aca="false">IF(AND(L4435&lt;=$D$2,M4435&gt;=$C$2),"Sí","")</f>
        <v/>
      </c>
      <c r="Q4435" s="18" t="str">
        <f aca="false">IF(COUNTIF(LOOKAHEAD!$A$5:$A$604,A4435)&gt;0,"En Lookahead",IF(P4435="Sí","INCORPORAR",""))</f>
        <v/>
      </c>
    </row>
    <row r="4436" customFormat="false" ht="15" hidden="false" customHeight="false" outlineLevel="0" collapsed="false">
      <c r="A4436" s="16" t="s">
        <v>14052</v>
      </c>
      <c r="B4436" s="16" t="n">
        <v>4431</v>
      </c>
      <c r="C4436" s="16" t="s">
        <v>14053</v>
      </c>
      <c r="D4436" s="16" t="n">
        <v>6</v>
      </c>
      <c r="E4436" s="35" t="s">
        <v>14054</v>
      </c>
      <c r="F4436" s="16" t="s">
        <v>1285</v>
      </c>
      <c r="G4436" s="16" t="s">
        <v>882</v>
      </c>
      <c r="H4436" s="16" t="s">
        <v>13359</v>
      </c>
      <c r="I4436" s="16" t="s">
        <v>136</v>
      </c>
      <c r="J4436" s="16" t="s">
        <v>13883</v>
      </c>
      <c r="K4436" s="32" t="n">
        <v>3</v>
      </c>
      <c r="L4436" s="33" t="n">
        <v>46542</v>
      </c>
      <c r="M4436" s="33" t="n">
        <v>46544</v>
      </c>
      <c r="N4436" s="16" t="s">
        <v>14055</v>
      </c>
      <c r="O4436" s="16"/>
      <c r="P4436" s="16" t="str">
        <f aca="false">IF(AND(L4436&lt;=$D$2,M4436&gt;=$C$2),"Sí","")</f>
        <v/>
      </c>
      <c r="Q4436" s="18" t="str">
        <f aca="false">IF(COUNTIF(LOOKAHEAD!$A$5:$A$604,A4436)&gt;0,"En Lookahead",IF(P4436="Sí","INCORPORAR",""))</f>
        <v/>
      </c>
    </row>
    <row r="4437" customFormat="false" ht="15" hidden="false" customHeight="false" outlineLevel="0" collapsed="false">
      <c r="A4437" s="16" t="s">
        <v>14056</v>
      </c>
      <c r="B4437" s="16" t="n">
        <v>4432</v>
      </c>
      <c r="C4437" s="16" t="s">
        <v>14057</v>
      </c>
      <c r="D4437" s="16" t="n">
        <v>6</v>
      </c>
      <c r="E4437" s="35" t="s">
        <v>14058</v>
      </c>
      <c r="F4437" s="16" t="s">
        <v>1285</v>
      </c>
      <c r="G4437" s="16" t="s">
        <v>882</v>
      </c>
      <c r="H4437" s="16" t="s">
        <v>13359</v>
      </c>
      <c r="I4437" s="16" t="s">
        <v>136</v>
      </c>
      <c r="J4437" s="16" t="s">
        <v>13883</v>
      </c>
      <c r="K4437" s="32" t="n">
        <v>2</v>
      </c>
      <c r="L4437" s="33" t="n">
        <v>46545</v>
      </c>
      <c r="M4437" s="33" t="n">
        <v>46546</v>
      </c>
      <c r="N4437" s="16" t="s">
        <v>14059</v>
      </c>
      <c r="O4437" s="16"/>
      <c r="P4437" s="16" t="str">
        <f aca="false">IF(AND(L4437&lt;=$D$2,M4437&gt;=$C$2),"Sí","")</f>
        <v/>
      </c>
      <c r="Q4437" s="18" t="str">
        <f aca="false">IF(COUNTIF(LOOKAHEAD!$A$5:$A$604,A4437)&gt;0,"En Lookahead",IF(P4437="Sí","INCORPORAR",""))</f>
        <v/>
      </c>
    </row>
    <row r="4438" customFormat="false" ht="15" hidden="false" customHeight="false" outlineLevel="0" collapsed="false">
      <c r="A4438" s="16" t="s">
        <v>14060</v>
      </c>
      <c r="B4438" s="16" t="n">
        <v>4433</v>
      </c>
      <c r="C4438" s="16" t="s">
        <v>14061</v>
      </c>
      <c r="D4438" s="16" t="n">
        <v>6</v>
      </c>
      <c r="E4438" s="35" t="s">
        <v>14062</v>
      </c>
      <c r="F4438" s="16" t="s">
        <v>1285</v>
      </c>
      <c r="G4438" s="16" t="s">
        <v>882</v>
      </c>
      <c r="H4438" s="16" t="s">
        <v>13359</v>
      </c>
      <c r="I4438" s="16" t="s">
        <v>136</v>
      </c>
      <c r="J4438" s="16" t="s">
        <v>13883</v>
      </c>
      <c r="K4438" s="32" t="n">
        <v>2</v>
      </c>
      <c r="L4438" s="33" t="n">
        <v>46547</v>
      </c>
      <c r="M4438" s="33" t="n">
        <v>46548</v>
      </c>
      <c r="N4438" s="16" t="s">
        <v>14063</v>
      </c>
      <c r="O4438" s="16"/>
      <c r="P4438" s="16" t="str">
        <f aca="false">IF(AND(L4438&lt;=$D$2,M4438&gt;=$C$2),"Sí","")</f>
        <v/>
      </c>
      <c r="Q4438" s="18" t="str">
        <f aca="false">IF(COUNTIF(LOOKAHEAD!$A$5:$A$604,A4438)&gt;0,"En Lookahead",IF(P4438="Sí","INCORPORAR",""))</f>
        <v/>
      </c>
    </row>
    <row r="4439" customFormat="false" ht="15" hidden="false" customHeight="false" outlineLevel="0" collapsed="false">
      <c r="A4439" s="16" t="s">
        <v>14064</v>
      </c>
      <c r="B4439" s="16" t="n">
        <v>4434</v>
      </c>
      <c r="C4439" s="16" t="s">
        <v>14065</v>
      </c>
      <c r="D4439" s="16" t="n">
        <v>6</v>
      </c>
      <c r="E4439" s="35" t="s">
        <v>14066</v>
      </c>
      <c r="F4439" s="16" t="s">
        <v>1285</v>
      </c>
      <c r="G4439" s="16" t="s">
        <v>882</v>
      </c>
      <c r="H4439" s="16" t="s">
        <v>13359</v>
      </c>
      <c r="I4439" s="16" t="s">
        <v>136</v>
      </c>
      <c r="J4439" s="16" t="s">
        <v>13883</v>
      </c>
      <c r="K4439" s="32" t="n">
        <v>2</v>
      </c>
      <c r="L4439" s="33" t="n">
        <v>46549</v>
      </c>
      <c r="M4439" s="33" t="n">
        <v>46550</v>
      </c>
      <c r="N4439" s="16" t="s">
        <v>14067</v>
      </c>
      <c r="O4439" s="16"/>
      <c r="P4439" s="16" t="str">
        <f aca="false">IF(AND(L4439&lt;=$D$2,M4439&gt;=$C$2),"Sí","")</f>
        <v/>
      </c>
      <c r="Q4439" s="18" t="str">
        <f aca="false">IF(COUNTIF(LOOKAHEAD!$A$5:$A$604,A4439)&gt;0,"En Lookahead",IF(P4439="Sí","INCORPORAR",""))</f>
        <v/>
      </c>
    </row>
    <row r="4440" customFormat="false" ht="15" hidden="false" customHeight="false" outlineLevel="0" collapsed="false">
      <c r="A4440" s="16" t="s">
        <v>14068</v>
      </c>
      <c r="B4440" s="16" t="n">
        <v>4435</v>
      </c>
      <c r="C4440" s="16" t="s">
        <v>14069</v>
      </c>
      <c r="D4440" s="16" t="n">
        <v>6</v>
      </c>
      <c r="E4440" s="35" t="s">
        <v>14070</v>
      </c>
      <c r="F4440" s="16" t="s">
        <v>1285</v>
      </c>
      <c r="G4440" s="16" t="s">
        <v>882</v>
      </c>
      <c r="H4440" s="16" t="s">
        <v>13359</v>
      </c>
      <c r="I4440" s="16" t="s">
        <v>136</v>
      </c>
      <c r="J4440" s="16" t="s">
        <v>13883</v>
      </c>
      <c r="K4440" s="32" t="n">
        <v>2</v>
      </c>
      <c r="L4440" s="33" t="n">
        <v>46551</v>
      </c>
      <c r="M4440" s="33" t="n">
        <v>46552</v>
      </c>
      <c r="N4440" s="16" t="s">
        <v>14071</v>
      </c>
      <c r="O4440" s="16"/>
      <c r="P4440" s="16" t="str">
        <f aca="false">IF(AND(L4440&lt;=$D$2,M4440&gt;=$C$2),"Sí","")</f>
        <v/>
      </c>
      <c r="Q4440" s="18" t="str">
        <f aca="false">IF(COUNTIF(LOOKAHEAD!$A$5:$A$604,A4440)&gt;0,"En Lookahead",IF(P4440="Sí","INCORPORAR",""))</f>
        <v/>
      </c>
    </row>
    <row r="4441" customFormat="false" ht="15" hidden="false" customHeight="false" outlineLevel="0" collapsed="false">
      <c r="A4441" s="16" t="s">
        <v>14072</v>
      </c>
      <c r="B4441" s="16" t="n">
        <v>4436</v>
      </c>
      <c r="C4441" s="16" t="s">
        <v>14073</v>
      </c>
      <c r="D4441" s="16" t="n">
        <v>6</v>
      </c>
      <c r="E4441" s="35" t="s">
        <v>14074</v>
      </c>
      <c r="F4441" s="16" t="s">
        <v>1285</v>
      </c>
      <c r="G4441" s="16" t="s">
        <v>882</v>
      </c>
      <c r="H4441" s="16" t="s">
        <v>13359</v>
      </c>
      <c r="I4441" s="16" t="s">
        <v>136</v>
      </c>
      <c r="J4441" s="16" t="s">
        <v>13883</v>
      </c>
      <c r="K4441" s="32" t="n">
        <v>3</v>
      </c>
      <c r="L4441" s="33" t="n">
        <v>46553</v>
      </c>
      <c r="M4441" s="33" t="n">
        <v>46555</v>
      </c>
      <c r="N4441" s="16" t="s">
        <v>14075</v>
      </c>
      <c r="O4441" s="16"/>
      <c r="P4441" s="16" t="str">
        <f aca="false">IF(AND(L4441&lt;=$D$2,M4441&gt;=$C$2),"Sí","")</f>
        <v/>
      </c>
      <c r="Q4441" s="18" t="str">
        <f aca="false">IF(COUNTIF(LOOKAHEAD!$A$5:$A$604,A4441)&gt;0,"En Lookahead",IF(P4441="Sí","INCORPORAR",""))</f>
        <v/>
      </c>
    </row>
    <row r="4442" customFormat="false" ht="15" hidden="false" customHeight="false" outlineLevel="0" collapsed="false">
      <c r="A4442" s="16" t="s">
        <v>14076</v>
      </c>
      <c r="B4442" s="16" t="n">
        <v>4437</v>
      </c>
      <c r="C4442" s="16" t="s">
        <v>14077</v>
      </c>
      <c r="D4442" s="16" t="n">
        <v>6</v>
      </c>
      <c r="E4442" s="35" t="s">
        <v>14078</v>
      </c>
      <c r="F4442" s="16" t="s">
        <v>1285</v>
      </c>
      <c r="G4442" s="16" t="s">
        <v>882</v>
      </c>
      <c r="H4442" s="16" t="s">
        <v>13359</v>
      </c>
      <c r="I4442" s="16" t="s">
        <v>136</v>
      </c>
      <c r="J4442" s="16" t="s">
        <v>13883</v>
      </c>
      <c r="K4442" s="32" t="n">
        <v>3</v>
      </c>
      <c r="L4442" s="33" t="n">
        <v>46556</v>
      </c>
      <c r="M4442" s="33" t="n">
        <v>46558</v>
      </c>
      <c r="N4442" s="16" t="s">
        <v>14079</v>
      </c>
      <c r="O4442" s="16"/>
      <c r="P4442" s="16" t="str">
        <f aca="false">IF(AND(L4442&lt;=$D$2,M4442&gt;=$C$2),"Sí","")</f>
        <v/>
      </c>
      <c r="Q4442" s="18" t="str">
        <f aca="false">IF(COUNTIF(LOOKAHEAD!$A$5:$A$604,A4442)&gt;0,"En Lookahead",IF(P4442="Sí","INCORPORAR",""))</f>
        <v/>
      </c>
    </row>
    <row r="4443" customFormat="false" ht="15" hidden="false" customHeight="false" outlineLevel="0" collapsed="false">
      <c r="A4443" s="16" t="s">
        <v>14080</v>
      </c>
      <c r="B4443" s="16" t="n">
        <v>4438</v>
      </c>
      <c r="C4443" s="16" t="s">
        <v>14081</v>
      </c>
      <c r="D4443" s="16" t="n">
        <v>6</v>
      </c>
      <c r="E4443" s="35" t="s">
        <v>14082</v>
      </c>
      <c r="F4443" s="16" t="s">
        <v>1285</v>
      </c>
      <c r="G4443" s="16" t="s">
        <v>882</v>
      </c>
      <c r="H4443" s="16" t="s">
        <v>13359</v>
      </c>
      <c r="I4443" s="16" t="s">
        <v>136</v>
      </c>
      <c r="J4443" s="16" t="s">
        <v>13883</v>
      </c>
      <c r="K4443" s="32" t="n">
        <v>2</v>
      </c>
      <c r="L4443" s="33" t="n">
        <v>46559</v>
      </c>
      <c r="M4443" s="33" t="n">
        <v>46560</v>
      </c>
      <c r="N4443" s="16" t="s">
        <v>14083</v>
      </c>
      <c r="O4443" s="16"/>
      <c r="P4443" s="16" t="str">
        <f aca="false">IF(AND(L4443&lt;=$D$2,M4443&gt;=$C$2),"Sí","")</f>
        <v/>
      </c>
      <c r="Q4443" s="18" t="str">
        <f aca="false">IF(COUNTIF(LOOKAHEAD!$A$5:$A$604,A4443)&gt;0,"En Lookahead",IF(P4443="Sí","INCORPORAR",""))</f>
        <v/>
      </c>
    </row>
    <row r="4444" customFormat="false" ht="15" hidden="false" customHeight="false" outlineLevel="0" collapsed="false">
      <c r="A4444" s="13" t="s">
        <v>14084</v>
      </c>
      <c r="B4444" s="13" t="n">
        <v>4439</v>
      </c>
      <c r="C4444" s="13" t="s">
        <v>14085</v>
      </c>
      <c r="D4444" s="13" t="n">
        <v>5</v>
      </c>
      <c r="E4444" s="34" t="s">
        <v>14086</v>
      </c>
      <c r="F4444" s="13" t="s">
        <v>1298</v>
      </c>
      <c r="G4444" s="13" t="s">
        <v>882</v>
      </c>
      <c r="H4444" s="13" t="s">
        <v>13359</v>
      </c>
      <c r="I4444" s="13" t="s">
        <v>136</v>
      </c>
      <c r="J4444" s="13" t="s">
        <v>13359</v>
      </c>
      <c r="K4444" s="30" t="n">
        <v>53</v>
      </c>
      <c r="L4444" s="31" t="n">
        <v>46375</v>
      </c>
      <c r="M4444" s="31" t="n">
        <v>46427</v>
      </c>
      <c r="N4444" s="13"/>
      <c r="O4444" s="13"/>
      <c r="P4444" s="13"/>
      <c r="Q4444" s="13"/>
    </row>
    <row r="4445" customFormat="false" ht="15" hidden="false" customHeight="false" outlineLevel="0" collapsed="false">
      <c r="A4445" s="16" t="s">
        <v>14087</v>
      </c>
      <c r="B4445" s="16" t="n">
        <v>4440</v>
      </c>
      <c r="C4445" s="16" t="s">
        <v>14088</v>
      </c>
      <c r="D4445" s="16" t="n">
        <v>6</v>
      </c>
      <c r="E4445" s="35" t="s">
        <v>14089</v>
      </c>
      <c r="F4445" s="16" t="s">
        <v>1285</v>
      </c>
      <c r="G4445" s="16" t="s">
        <v>882</v>
      </c>
      <c r="H4445" s="16" t="s">
        <v>13359</v>
      </c>
      <c r="I4445" s="16" t="s">
        <v>136</v>
      </c>
      <c r="J4445" s="16" t="s">
        <v>14086</v>
      </c>
      <c r="K4445" s="32" t="n">
        <v>38</v>
      </c>
      <c r="L4445" s="33" t="n">
        <v>46375</v>
      </c>
      <c r="M4445" s="33" t="n">
        <v>46412</v>
      </c>
      <c r="N4445" s="16" t="s">
        <v>13604</v>
      </c>
      <c r="O4445" s="16"/>
      <c r="P4445" s="16" t="str">
        <f aca="false">IF(AND(L4445&lt;=$D$2,M4445&gt;=$C$2),"Sí","")</f>
        <v/>
      </c>
      <c r="Q4445" s="18" t="str">
        <f aca="false">IF(COUNTIF(LOOKAHEAD!$A$5:$A$604,A4445)&gt;0,"En Lookahead",IF(P4445="Sí","INCORPORAR",""))</f>
        <v/>
      </c>
    </row>
    <row r="4446" customFormat="false" ht="15" hidden="false" customHeight="false" outlineLevel="0" collapsed="false">
      <c r="A4446" s="16" t="s">
        <v>14090</v>
      </c>
      <c r="B4446" s="16" t="n">
        <v>4441</v>
      </c>
      <c r="C4446" s="16" t="s">
        <v>14091</v>
      </c>
      <c r="D4446" s="16" t="n">
        <v>6</v>
      </c>
      <c r="E4446" s="35" t="s">
        <v>14092</v>
      </c>
      <c r="F4446" s="16" t="s">
        <v>1285</v>
      </c>
      <c r="G4446" s="16" t="s">
        <v>882</v>
      </c>
      <c r="H4446" s="16" t="s">
        <v>13359</v>
      </c>
      <c r="I4446" s="16" t="s">
        <v>136</v>
      </c>
      <c r="J4446" s="16" t="s">
        <v>14086</v>
      </c>
      <c r="K4446" s="32" t="n">
        <v>15</v>
      </c>
      <c r="L4446" s="33" t="n">
        <v>46413</v>
      </c>
      <c r="M4446" s="33" t="n">
        <v>46427</v>
      </c>
      <c r="N4446" s="16" t="s">
        <v>14093</v>
      </c>
      <c r="O4446" s="16"/>
      <c r="P4446" s="16" t="str">
        <f aca="false">IF(AND(L4446&lt;=$D$2,M4446&gt;=$C$2),"Sí","")</f>
        <v/>
      </c>
      <c r="Q4446" s="18" t="str">
        <f aca="false">IF(COUNTIF(LOOKAHEAD!$A$5:$A$604,A4446)&gt;0,"En Lookahead",IF(P4446="Sí","INCORPORAR",""))</f>
        <v/>
      </c>
    </row>
    <row r="4447" customFormat="false" ht="15" hidden="false" customHeight="false" outlineLevel="0" collapsed="false">
      <c r="A4447" s="13" t="s">
        <v>14094</v>
      </c>
      <c r="B4447" s="13" t="n">
        <v>4442</v>
      </c>
      <c r="C4447" s="13" t="s">
        <v>14095</v>
      </c>
      <c r="D4447" s="13" t="n">
        <v>5</v>
      </c>
      <c r="E4447" s="34" t="s">
        <v>14096</v>
      </c>
      <c r="F4447" s="13" t="s">
        <v>1298</v>
      </c>
      <c r="G4447" s="13" t="s">
        <v>882</v>
      </c>
      <c r="H4447" s="13" t="s">
        <v>13359</v>
      </c>
      <c r="I4447" s="13" t="s">
        <v>136</v>
      </c>
      <c r="J4447" s="13" t="s">
        <v>13359</v>
      </c>
      <c r="K4447" s="30" t="n">
        <v>14</v>
      </c>
      <c r="L4447" s="31" t="n">
        <v>46428</v>
      </c>
      <c r="M4447" s="31" t="n">
        <v>46441</v>
      </c>
      <c r="N4447" s="13"/>
      <c r="O4447" s="13"/>
      <c r="P4447" s="13"/>
      <c r="Q4447" s="13"/>
    </row>
    <row r="4448" customFormat="false" ht="15" hidden="false" customHeight="false" outlineLevel="0" collapsed="false">
      <c r="A4448" s="16" t="s">
        <v>14097</v>
      </c>
      <c r="B4448" s="16" t="n">
        <v>4443</v>
      </c>
      <c r="C4448" s="16" t="s">
        <v>14098</v>
      </c>
      <c r="D4448" s="16" t="n">
        <v>6</v>
      </c>
      <c r="E4448" s="35" t="s">
        <v>14099</v>
      </c>
      <c r="F4448" s="16" t="s">
        <v>1285</v>
      </c>
      <c r="G4448" s="16" t="s">
        <v>882</v>
      </c>
      <c r="H4448" s="16" t="s">
        <v>13359</v>
      </c>
      <c r="I4448" s="16" t="s">
        <v>136</v>
      </c>
      <c r="J4448" s="16" t="s">
        <v>14096</v>
      </c>
      <c r="K4448" s="32" t="n">
        <v>5</v>
      </c>
      <c r="L4448" s="33" t="n">
        <v>46428</v>
      </c>
      <c r="M4448" s="33" t="n">
        <v>46432</v>
      </c>
      <c r="N4448" s="16" t="s">
        <v>14100</v>
      </c>
      <c r="O4448" s="16"/>
      <c r="P4448" s="16" t="str">
        <f aca="false">IF(AND(L4448&lt;=$D$2,M4448&gt;=$C$2),"Sí","")</f>
        <v/>
      </c>
      <c r="Q4448" s="18" t="str">
        <f aca="false">IF(COUNTIF(LOOKAHEAD!$A$5:$A$604,A4448)&gt;0,"En Lookahead",IF(P4448="Sí","INCORPORAR",""))</f>
        <v/>
      </c>
    </row>
    <row r="4449" customFormat="false" ht="15" hidden="false" customHeight="false" outlineLevel="0" collapsed="false">
      <c r="A4449" s="16" t="s">
        <v>14101</v>
      </c>
      <c r="B4449" s="16" t="n">
        <v>4444</v>
      </c>
      <c r="C4449" s="16" t="s">
        <v>14102</v>
      </c>
      <c r="D4449" s="16" t="n">
        <v>6</v>
      </c>
      <c r="E4449" s="35" t="s">
        <v>14103</v>
      </c>
      <c r="F4449" s="16" t="s">
        <v>1285</v>
      </c>
      <c r="G4449" s="16" t="s">
        <v>882</v>
      </c>
      <c r="H4449" s="16" t="s">
        <v>13359</v>
      </c>
      <c r="I4449" s="16" t="s">
        <v>136</v>
      </c>
      <c r="J4449" s="16" t="s">
        <v>14096</v>
      </c>
      <c r="K4449" s="32" t="n">
        <v>5</v>
      </c>
      <c r="L4449" s="33" t="n">
        <v>46433</v>
      </c>
      <c r="M4449" s="33" t="n">
        <v>46437</v>
      </c>
      <c r="N4449" s="16" t="s">
        <v>14104</v>
      </c>
      <c r="O4449" s="16"/>
      <c r="P4449" s="16" t="str">
        <f aca="false">IF(AND(L4449&lt;=$D$2,M4449&gt;=$C$2),"Sí","")</f>
        <v/>
      </c>
      <c r="Q4449" s="18" t="str">
        <f aca="false">IF(COUNTIF(LOOKAHEAD!$A$5:$A$604,A4449)&gt;0,"En Lookahead",IF(P4449="Sí","INCORPORAR",""))</f>
        <v/>
      </c>
    </row>
    <row r="4450" customFormat="false" ht="15" hidden="false" customHeight="false" outlineLevel="0" collapsed="false">
      <c r="A4450" s="16" t="s">
        <v>14105</v>
      </c>
      <c r="B4450" s="16" t="n">
        <v>4445</v>
      </c>
      <c r="C4450" s="16" t="s">
        <v>14106</v>
      </c>
      <c r="D4450" s="16" t="n">
        <v>6</v>
      </c>
      <c r="E4450" s="35" t="s">
        <v>14107</v>
      </c>
      <c r="F4450" s="16" t="s">
        <v>1285</v>
      </c>
      <c r="G4450" s="16" t="s">
        <v>882</v>
      </c>
      <c r="H4450" s="16" t="s">
        <v>13359</v>
      </c>
      <c r="I4450" s="16" t="s">
        <v>136</v>
      </c>
      <c r="J4450" s="16" t="s">
        <v>14096</v>
      </c>
      <c r="K4450" s="32" t="n">
        <v>4</v>
      </c>
      <c r="L4450" s="33" t="n">
        <v>46438</v>
      </c>
      <c r="M4450" s="33" t="n">
        <v>46441</v>
      </c>
      <c r="N4450" s="16" t="s">
        <v>14108</v>
      </c>
      <c r="O4450" s="16"/>
      <c r="P4450" s="16" t="str">
        <f aca="false">IF(AND(L4450&lt;=$D$2,M4450&gt;=$C$2),"Sí","")</f>
        <v/>
      </c>
      <c r="Q4450" s="18" t="str">
        <f aca="false">IF(COUNTIF(LOOKAHEAD!$A$5:$A$604,A4450)&gt;0,"En Lookahead",IF(P4450="Sí","INCORPORAR",""))</f>
        <v/>
      </c>
    </row>
    <row r="4451" customFormat="false" ht="15" hidden="false" customHeight="false" outlineLevel="0" collapsed="false">
      <c r="A4451" s="13" t="s">
        <v>14109</v>
      </c>
      <c r="B4451" s="13" t="n">
        <v>4446</v>
      </c>
      <c r="C4451" s="13" t="s">
        <v>14110</v>
      </c>
      <c r="D4451" s="13" t="n">
        <v>5</v>
      </c>
      <c r="E4451" s="34" t="s">
        <v>14111</v>
      </c>
      <c r="F4451" s="13" t="s">
        <v>1298</v>
      </c>
      <c r="G4451" s="13" t="s">
        <v>882</v>
      </c>
      <c r="H4451" s="13" t="s">
        <v>13359</v>
      </c>
      <c r="I4451" s="13" t="s">
        <v>136</v>
      </c>
      <c r="J4451" s="13" t="s">
        <v>13359</v>
      </c>
      <c r="K4451" s="30" t="n">
        <v>14</v>
      </c>
      <c r="L4451" s="31" t="n">
        <v>46442</v>
      </c>
      <c r="M4451" s="31" t="n">
        <v>46455</v>
      </c>
      <c r="N4451" s="13"/>
      <c r="O4451" s="13"/>
      <c r="P4451" s="13"/>
      <c r="Q4451" s="13"/>
    </row>
    <row r="4452" customFormat="false" ht="15" hidden="false" customHeight="false" outlineLevel="0" collapsed="false">
      <c r="A4452" s="16" t="s">
        <v>14112</v>
      </c>
      <c r="B4452" s="16" t="n">
        <v>4447</v>
      </c>
      <c r="C4452" s="16" t="s">
        <v>14113</v>
      </c>
      <c r="D4452" s="16" t="n">
        <v>6</v>
      </c>
      <c r="E4452" s="35" t="s">
        <v>14114</v>
      </c>
      <c r="F4452" s="16" t="s">
        <v>1285</v>
      </c>
      <c r="G4452" s="16" t="s">
        <v>882</v>
      </c>
      <c r="H4452" s="16" t="s">
        <v>13359</v>
      </c>
      <c r="I4452" s="16" t="s">
        <v>136</v>
      </c>
      <c r="J4452" s="16" t="s">
        <v>14111</v>
      </c>
      <c r="K4452" s="32" t="n">
        <v>10</v>
      </c>
      <c r="L4452" s="33" t="n">
        <v>46442</v>
      </c>
      <c r="M4452" s="33" t="n">
        <v>46451</v>
      </c>
      <c r="N4452" s="16" t="s">
        <v>14115</v>
      </c>
      <c r="O4452" s="16"/>
      <c r="P4452" s="16" t="str">
        <f aca="false">IF(AND(L4452&lt;=$D$2,M4452&gt;=$C$2),"Sí","")</f>
        <v/>
      </c>
      <c r="Q4452" s="18" t="str">
        <f aca="false">IF(COUNTIF(LOOKAHEAD!$A$5:$A$604,A4452)&gt;0,"En Lookahead",IF(P4452="Sí","INCORPORAR",""))</f>
        <v/>
      </c>
    </row>
    <row r="4453" customFormat="false" ht="15" hidden="false" customHeight="false" outlineLevel="0" collapsed="false">
      <c r="A4453" s="16" t="s">
        <v>14116</v>
      </c>
      <c r="B4453" s="16" t="n">
        <v>4448</v>
      </c>
      <c r="C4453" s="16" t="s">
        <v>14117</v>
      </c>
      <c r="D4453" s="16" t="n">
        <v>6</v>
      </c>
      <c r="E4453" s="35" t="s">
        <v>14118</v>
      </c>
      <c r="F4453" s="16" t="s">
        <v>1285</v>
      </c>
      <c r="G4453" s="16" t="s">
        <v>882</v>
      </c>
      <c r="H4453" s="16" t="s">
        <v>13359</v>
      </c>
      <c r="I4453" s="16" t="s">
        <v>136</v>
      </c>
      <c r="J4453" s="16" t="s">
        <v>14111</v>
      </c>
      <c r="K4453" s="32" t="n">
        <v>4</v>
      </c>
      <c r="L4453" s="33" t="n">
        <v>46452</v>
      </c>
      <c r="M4453" s="33" t="n">
        <v>46455</v>
      </c>
      <c r="N4453" s="16" t="s">
        <v>14119</v>
      </c>
      <c r="O4453" s="16"/>
      <c r="P4453" s="16" t="str">
        <f aca="false">IF(AND(L4453&lt;=$D$2,M4453&gt;=$C$2),"Sí","")</f>
        <v/>
      </c>
      <c r="Q4453" s="18" t="str">
        <f aca="false">IF(COUNTIF(LOOKAHEAD!$A$5:$A$604,A4453)&gt;0,"En Lookahead",IF(P4453="Sí","INCORPORAR",""))</f>
        <v/>
      </c>
    </row>
    <row r="4454" customFormat="false" ht="15" hidden="false" customHeight="false" outlineLevel="0" collapsed="false">
      <c r="A4454" s="13" t="s">
        <v>14120</v>
      </c>
      <c r="B4454" s="13" t="n">
        <v>4449</v>
      </c>
      <c r="C4454" s="13" t="s">
        <v>14121</v>
      </c>
      <c r="D4454" s="13" t="n">
        <v>5</v>
      </c>
      <c r="E4454" s="34" t="s">
        <v>14122</v>
      </c>
      <c r="F4454" s="13" t="s">
        <v>1298</v>
      </c>
      <c r="G4454" s="13" t="s">
        <v>882</v>
      </c>
      <c r="H4454" s="13" t="s">
        <v>13359</v>
      </c>
      <c r="I4454" s="13" t="s">
        <v>136</v>
      </c>
      <c r="J4454" s="13" t="s">
        <v>13359</v>
      </c>
      <c r="K4454" s="30" t="n">
        <v>52</v>
      </c>
      <c r="L4454" s="31" t="n">
        <v>46456</v>
      </c>
      <c r="M4454" s="31" t="n">
        <v>46507</v>
      </c>
      <c r="N4454" s="13"/>
      <c r="O4454" s="13"/>
      <c r="P4454" s="13"/>
      <c r="Q4454" s="13"/>
    </row>
    <row r="4455" customFormat="false" ht="15" hidden="false" customHeight="false" outlineLevel="0" collapsed="false">
      <c r="A4455" s="16" t="s">
        <v>14123</v>
      </c>
      <c r="B4455" s="16" t="n">
        <v>4450</v>
      </c>
      <c r="C4455" s="16" t="s">
        <v>14124</v>
      </c>
      <c r="D4455" s="16" t="n">
        <v>6</v>
      </c>
      <c r="E4455" s="35" t="s">
        <v>14125</v>
      </c>
      <c r="F4455" s="16" t="s">
        <v>1285</v>
      </c>
      <c r="G4455" s="16" t="s">
        <v>882</v>
      </c>
      <c r="H4455" s="16" t="s">
        <v>13359</v>
      </c>
      <c r="I4455" s="16" t="s">
        <v>136</v>
      </c>
      <c r="J4455" s="16" t="s">
        <v>14122</v>
      </c>
      <c r="K4455" s="32" t="n">
        <v>52</v>
      </c>
      <c r="L4455" s="33" t="n">
        <v>46456</v>
      </c>
      <c r="M4455" s="33" t="n">
        <v>46507</v>
      </c>
      <c r="N4455" s="16" t="s">
        <v>14126</v>
      </c>
      <c r="O4455" s="16"/>
      <c r="P4455" s="16" t="str">
        <f aca="false">IF(AND(L4455&lt;=$D$2,M4455&gt;=$C$2),"Sí","")</f>
        <v/>
      </c>
      <c r="Q4455" s="18" t="str">
        <f aca="false">IF(COUNTIF(LOOKAHEAD!$A$5:$A$604,A4455)&gt;0,"En Lookahead",IF(P4455="Sí","INCORPORAR",""))</f>
        <v/>
      </c>
    </row>
    <row r="4456" customFormat="false" ht="15" hidden="false" customHeight="false" outlineLevel="0" collapsed="false">
      <c r="A4456" s="13" t="s">
        <v>14127</v>
      </c>
      <c r="B4456" s="13" t="n">
        <v>4451</v>
      </c>
      <c r="C4456" s="13" t="s">
        <v>14128</v>
      </c>
      <c r="D4456" s="13" t="n">
        <v>4</v>
      </c>
      <c r="E4456" s="20" t="s">
        <v>14129</v>
      </c>
      <c r="F4456" s="13" t="s">
        <v>1298</v>
      </c>
      <c r="G4456" s="13" t="s">
        <v>882</v>
      </c>
      <c r="H4456" s="13" t="s">
        <v>14129</v>
      </c>
      <c r="I4456" s="13" t="s">
        <v>136</v>
      </c>
      <c r="J4456" s="13" t="s">
        <v>13356</v>
      </c>
      <c r="K4456" s="30" t="n">
        <v>78</v>
      </c>
      <c r="L4456" s="31" t="n">
        <v>46508</v>
      </c>
      <c r="M4456" s="31" t="n">
        <v>46585</v>
      </c>
      <c r="N4456" s="13"/>
      <c r="O4456" s="13"/>
      <c r="P4456" s="13"/>
      <c r="Q4456" s="13"/>
    </row>
    <row r="4457" customFormat="false" ht="15" hidden="false" customHeight="false" outlineLevel="0" collapsed="false">
      <c r="A4457" s="13" t="s">
        <v>14130</v>
      </c>
      <c r="B4457" s="13" t="n">
        <v>4452</v>
      </c>
      <c r="C4457" s="13" t="s">
        <v>14131</v>
      </c>
      <c r="D4457" s="13" t="n">
        <v>5</v>
      </c>
      <c r="E4457" s="34" t="s">
        <v>14132</v>
      </c>
      <c r="F4457" s="13" t="s">
        <v>1298</v>
      </c>
      <c r="G4457" s="13" t="s">
        <v>882</v>
      </c>
      <c r="H4457" s="13" t="s">
        <v>14129</v>
      </c>
      <c r="I4457" s="13" t="s">
        <v>136</v>
      </c>
      <c r="J4457" s="13" t="s">
        <v>14129</v>
      </c>
      <c r="K4457" s="30" t="n">
        <v>7</v>
      </c>
      <c r="L4457" s="31" t="n">
        <v>46508</v>
      </c>
      <c r="M4457" s="31" t="n">
        <v>46514</v>
      </c>
      <c r="N4457" s="13"/>
      <c r="O4457" s="13"/>
      <c r="P4457" s="13"/>
      <c r="Q4457" s="13"/>
    </row>
    <row r="4458" customFormat="false" ht="15" hidden="false" customHeight="false" outlineLevel="0" collapsed="false">
      <c r="A4458" s="13" t="s">
        <v>14133</v>
      </c>
      <c r="B4458" s="13" t="n">
        <v>4453</v>
      </c>
      <c r="C4458" s="13" t="s">
        <v>14134</v>
      </c>
      <c r="D4458" s="13" t="n">
        <v>6</v>
      </c>
      <c r="E4458" s="36" t="s">
        <v>14135</v>
      </c>
      <c r="F4458" s="13" t="s">
        <v>1298</v>
      </c>
      <c r="G4458" s="13" t="s">
        <v>882</v>
      </c>
      <c r="H4458" s="13" t="s">
        <v>14129</v>
      </c>
      <c r="I4458" s="13" t="s">
        <v>136</v>
      </c>
      <c r="J4458" s="13" t="s">
        <v>14132</v>
      </c>
      <c r="K4458" s="30" t="n">
        <v>6</v>
      </c>
      <c r="L4458" s="31" t="n">
        <v>46508</v>
      </c>
      <c r="M4458" s="31" t="n">
        <v>46513</v>
      </c>
      <c r="N4458" s="13"/>
      <c r="O4458" s="13"/>
      <c r="P4458" s="13"/>
      <c r="Q4458" s="13"/>
    </row>
    <row r="4459" customFormat="false" ht="15" hidden="false" customHeight="false" outlineLevel="0" collapsed="false">
      <c r="A4459" s="16" t="s">
        <v>14136</v>
      </c>
      <c r="B4459" s="16" t="n">
        <v>4454</v>
      </c>
      <c r="C4459" s="16" t="s">
        <v>14137</v>
      </c>
      <c r="D4459" s="16" t="n">
        <v>7</v>
      </c>
      <c r="E4459" s="37" t="s">
        <v>14138</v>
      </c>
      <c r="F4459" s="16" t="s">
        <v>1285</v>
      </c>
      <c r="G4459" s="16" t="s">
        <v>882</v>
      </c>
      <c r="H4459" s="16" t="s">
        <v>14129</v>
      </c>
      <c r="I4459" s="16" t="s">
        <v>136</v>
      </c>
      <c r="J4459" s="16" t="s">
        <v>14135</v>
      </c>
      <c r="K4459" s="32" t="n">
        <v>1</v>
      </c>
      <c r="L4459" s="33" t="n">
        <v>46508</v>
      </c>
      <c r="M4459" s="33" t="n">
        <v>46508</v>
      </c>
      <c r="N4459" s="16" t="s">
        <v>14139</v>
      </c>
      <c r="O4459" s="16"/>
      <c r="P4459" s="16" t="str">
        <f aca="false">IF(AND(L4459&lt;=$D$2,M4459&gt;=$C$2),"Sí","")</f>
        <v/>
      </c>
      <c r="Q4459" s="18" t="str">
        <f aca="false">IF(COUNTIF(LOOKAHEAD!$A$5:$A$604,A4459)&gt;0,"En Lookahead",IF(P4459="Sí","INCORPORAR",""))</f>
        <v/>
      </c>
    </row>
    <row r="4460" customFormat="false" ht="15" hidden="false" customHeight="false" outlineLevel="0" collapsed="false">
      <c r="A4460" s="16" t="s">
        <v>14140</v>
      </c>
      <c r="B4460" s="16" t="n">
        <v>4455</v>
      </c>
      <c r="C4460" s="16" t="s">
        <v>14141</v>
      </c>
      <c r="D4460" s="16" t="n">
        <v>7</v>
      </c>
      <c r="E4460" s="37" t="s">
        <v>14142</v>
      </c>
      <c r="F4460" s="16" t="s">
        <v>1285</v>
      </c>
      <c r="G4460" s="16" t="s">
        <v>882</v>
      </c>
      <c r="H4460" s="16" t="s">
        <v>14129</v>
      </c>
      <c r="I4460" s="16" t="s">
        <v>136</v>
      </c>
      <c r="J4460" s="16" t="s">
        <v>14135</v>
      </c>
      <c r="K4460" s="32" t="n">
        <v>1</v>
      </c>
      <c r="L4460" s="33" t="n">
        <v>46509</v>
      </c>
      <c r="M4460" s="33" t="n">
        <v>46509</v>
      </c>
      <c r="N4460" s="16" t="s">
        <v>14143</v>
      </c>
      <c r="O4460" s="16"/>
      <c r="P4460" s="16" t="str">
        <f aca="false">IF(AND(L4460&lt;=$D$2,M4460&gt;=$C$2),"Sí","")</f>
        <v/>
      </c>
      <c r="Q4460" s="18" t="str">
        <f aca="false">IF(COUNTIF(LOOKAHEAD!$A$5:$A$604,A4460)&gt;0,"En Lookahead",IF(P4460="Sí","INCORPORAR",""))</f>
        <v/>
      </c>
    </row>
    <row r="4461" customFormat="false" ht="15" hidden="false" customHeight="false" outlineLevel="0" collapsed="false">
      <c r="A4461" s="16" t="s">
        <v>14144</v>
      </c>
      <c r="B4461" s="16" t="n">
        <v>4456</v>
      </c>
      <c r="C4461" s="16" t="s">
        <v>14145</v>
      </c>
      <c r="D4461" s="16" t="n">
        <v>7</v>
      </c>
      <c r="E4461" s="37" t="s">
        <v>14146</v>
      </c>
      <c r="F4461" s="16" t="s">
        <v>1285</v>
      </c>
      <c r="G4461" s="16" t="s">
        <v>882</v>
      </c>
      <c r="H4461" s="16" t="s">
        <v>14129</v>
      </c>
      <c r="I4461" s="16" t="s">
        <v>136</v>
      </c>
      <c r="J4461" s="16" t="s">
        <v>14135</v>
      </c>
      <c r="K4461" s="32" t="n">
        <v>1</v>
      </c>
      <c r="L4461" s="33" t="n">
        <v>46510</v>
      </c>
      <c r="M4461" s="33" t="n">
        <v>46510</v>
      </c>
      <c r="N4461" s="16" t="s">
        <v>14147</v>
      </c>
      <c r="O4461" s="16"/>
      <c r="P4461" s="16" t="str">
        <f aca="false">IF(AND(L4461&lt;=$D$2,M4461&gt;=$C$2),"Sí","")</f>
        <v/>
      </c>
      <c r="Q4461" s="18" t="str">
        <f aca="false">IF(COUNTIF(LOOKAHEAD!$A$5:$A$604,A4461)&gt;0,"En Lookahead",IF(P4461="Sí","INCORPORAR",""))</f>
        <v/>
      </c>
    </row>
    <row r="4462" customFormat="false" ht="15" hidden="false" customHeight="false" outlineLevel="0" collapsed="false">
      <c r="A4462" s="16" t="s">
        <v>14148</v>
      </c>
      <c r="B4462" s="16" t="n">
        <v>4457</v>
      </c>
      <c r="C4462" s="16" t="s">
        <v>14149</v>
      </c>
      <c r="D4462" s="16" t="n">
        <v>7</v>
      </c>
      <c r="E4462" s="37" t="s">
        <v>14150</v>
      </c>
      <c r="F4462" s="16" t="s">
        <v>1285</v>
      </c>
      <c r="G4462" s="16" t="s">
        <v>882</v>
      </c>
      <c r="H4462" s="16" t="s">
        <v>14129</v>
      </c>
      <c r="I4462" s="16" t="s">
        <v>136</v>
      </c>
      <c r="J4462" s="16" t="s">
        <v>14135</v>
      </c>
      <c r="K4462" s="32" t="n">
        <v>1</v>
      </c>
      <c r="L4462" s="33" t="n">
        <v>46511</v>
      </c>
      <c r="M4462" s="33" t="n">
        <v>46511</v>
      </c>
      <c r="N4462" s="16" t="s">
        <v>14151</v>
      </c>
      <c r="O4462" s="16"/>
      <c r="P4462" s="16" t="str">
        <f aca="false">IF(AND(L4462&lt;=$D$2,M4462&gt;=$C$2),"Sí","")</f>
        <v/>
      </c>
      <c r="Q4462" s="18" t="str">
        <f aca="false">IF(COUNTIF(LOOKAHEAD!$A$5:$A$604,A4462)&gt;0,"En Lookahead",IF(P4462="Sí","INCORPORAR",""))</f>
        <v/>
      </c>
    </row>
    <row r="4463" customFormat="false" ht="15" hidden="false" customHeight="false" outlineLevel="0" collapsed="false">
      <c r="A4463" s="16" t="s">
        <v>14152</v>
      </c>
      <c r="B4463" s="16" t="n">
        <v>4458</v>
      </c>
      <c r="C4463" s="16" t="s">
        <v>14153</v>
      </c>
      <c r="D4463" s="16" t="n">
        <v>7</v>
      </c>
      <c r="E4463" s="37" t="s">
        <v>14154</v>
      </c>
      <c r="F4463" s="16" t="s">
        <v>1285</v>
      </c>
      <c r="G4463" s="16" t="s">
        <v>882</v>
      </c>
      <c r="H4463" s="16" t="s">
        <v>14129</v>
      </c>
      <c r="I4463" s="16" t="s">
        <v>136</v>
      </c>
      <c r="J4463" s="16" t="s">
        <v>14135</v>
      </c>
      <c r="K4463" s="32" t="n">
        <v>1</v>
      </c>
      <c r="L4463" s="33" t="n">
        <v>46512</v>
      </c>
      <c r="M4463" s="33" t="n">
        <v>46512</v>
      </c>
      <c r="N4463" s="16" t="s">
        <v>14155</v>
      </c>
      <c r="O4463" s="16"/>
      <c r="P4463" s="16" t="str">
        <f aca="false">IF(AND(L4463&lt;=$D$2,M4463&gt;=$C$2),"Sí","")</f>
        <v/>
      </c>
      <c r="Q4463" s="18" t="str">
        <f aca="false">IF(COUNTIF(LOOKAHEAD!$A$5:$A$604,A4463)&gt;0,"En Lookahead",IF(P4463="Sí","INCORPORAR",""))</f>
        <v/>
      </c>
    </row>
    <row r="4464" customFormat="false" ht="15" hidden="false" customHeight="false" outlineLevel="0" collapsed="false">
      <c r="A4464" s="16" t="s">
        <v>14156</v>
      </c>
      <c r="B4464" s="16" t="n">
        <v>4459</v>
      </c>
      <c r="C4464" s="16" t="s">
        <v>14157</v>
      </c>
      <c r="D4464" s="16" t="n">
        <v>7</v>
      </c>
      <c r="E4464" s="37" t="s">
        <v>14158</v>
      </c>
      <c r="F4464" s="16" t="s">
        <v>1285</v>
      </c>
      <c r="G4464" s="16" t="s">
        <v>882</v>
      </c>
      <c r="H4464" s="16" t="s">
        <v>14129</v>
      </c>
      <c r="I4464" s="16" t="s">
        <v>136</v>
      </c>
      <c r="J4464" s="16" t="s">
        <v>14135</v>
      </c>
      <c r="K4464" s="32" t="n">
        <v>1</v>
      </c>
      <c r="L4464" s="33" t="n">
        <v>46513</v>
      </c>
      <c r="M4464" s="33" t="n">
        <v>46513</v>
      </c>
      <c r="N4464" s="16" t="s">
        <v>14159</v>
      </c>
      <c r="O4464" s="16"/>
      <c r="P4464" s="16" t="str">
        <f aca="false">IF(AND(L4464&lt;=$D$2,M4464&gt;=$C$2),"Sí","")</f>
        <v/>
      </c>
      <c r="Q4464" s="18" t="str">
        <f aca="false">IF(COUNTIF(LOOKAHEAD!$A$5:$A$604,A4464)&gt;0,"En Lookahead",IF(P4464="Sí","INCORPORAR",""))</f>
        <v/>
      </c>
    </row>
    <row r="4465" customFormat="false" ht="15" hidden="false" customHeight="false" outlineLevel="0" collapsed="false">
      <c r="A4465" s="13" t="s">
        <v>14160</v>
      </c>
      <c r="B4465" s="13" t="n">
        <v>4460</v>
      </c>
      <c r="C4465" s="13" t="s">
        <v>14161</v>
      </c>
      <c r="D4465" s="13" t="n">
        <v>6</v>
      </c>
      <c r="E4465" s="36" t="s">
        <v>14162</v>
      </c>
      <c r="F4465" s="13" t="s">
        <v>1298</v>
      </c>
      <c r="G4465" s="13" t="s">
        <v>882</v>
      </c>
      <c r="H4465" s="13" t="s">
        <v>14129</v>
      </c>
      <c r="I4465" s="13" t="s">
        <v>136</v>
      </c>
      <c r="J4465" s="13" t="s">
        <v>14132</v>
      </c>
      <c r="K4465" s="30" t="n">
        <v>1</v>
      </c>
      <c r="L4465" s="31" t="n">
        <v>46514</v>
      </c>
      <c r="M4465" s="31" t="n">
        <v>46514</v>
      </c>
      <c r="N4465" s="13"/>
      <c r="O4465" s="13"/>
      <c r="P4465" s="13"/>
      <c r="Q4465" s="13"/>
    </row>
    <row r="4466" customFormat="false" ht="15" hidden="false" customHeight="false" outlineLevel="0" collapsed="false">
      <c r="A4466" s="16" t="s">
        <v>14163</v>
      </c>
      <c r="B4466" s="16" t="n">
        <v>4461</v>
      </c>
      <c r="C4466" s="16" t="s">
        <v>14164</v>
      </c>
      <c r="D4466" s="16" t="n">
        <v>7</v>
      </c>
      <c r="E4466" s="37" t="s">
        <v>14165</v>
      </c>
      <c r="F4466" s="16" t="s">
        <v>1285</v>
      </c>
      <c r="G4466" s="16" t="s">
        <v>882</v>
      </c>
      <c r="H4466" s="16" t="s">
        <v>14129</v>
      </c>
      <c r="I4466" s="16" t="s">
        <v>136</v>
      </c>
      <c r="J4466" s="16" t="s">
        <v>14162</v>
      </c>
      <c r="K4466" s="32" t="n">
        <v>1</v>
      </c>
      <c r="L4466" s="33" t="n">
        <v>46514</v>
      </c>
      <c r="M4466" s="33" t="n">
        <v>46514</v>
      </c>
      <c r="N4466" s="16" t="s">
        <v>14166</v>
      </c>
      <c r="O4466" s="16"/>
      <c r="P4466" s="16" t="str">
        <f aca="false">IF(AND(L4466&lt;=$D$2,M4466&gt;=$C$2),"Sí","")</f>
        <v/>
      </c>
      <c r="Q4466" s="18" t="str">
        <f aca="false">IF(COUNTIF(LOOKAHEAD!$A$5:$A$604,A4466)&gt;0,"En Lookahead",IF(P4466="Sí","INCORPORAR",""))</f>
        <v/>
      </c>
    </row>
    <row r="4467" customFormat="false" ht="15" hidden="false" customHeight="false" outlineLevel="0" collapsed="false">
      <c r="A4467" s="13" t="s">
        <v>14167</v>
      </c>
      <c r="B4467" s="13" t="n">
        <v>4462</v>
      </c>
      <c r="C4467" s="13" t="s">
        <v>14168</v>
      </c>
      <c r="D4467" s="13" t="n">
        <v>5</v>
      </c>
      <c r="E4467" s="34" t="s">
        <v>14169</v>
      </c>
      <c r="F4467" s="13" t="s">
        <v>1298</v>
      </c>
      <c r="G4467" s="13" t="s">
        <v>882</v>
      </c>
      <c r="H4467" s="13" t="s">
        <v>14129</v>
      </c>
      <c r="I4467" s="13" t="s">
        <v>136</v>
      </c>
      <c r="J4467" s="13" t="s">
        <v>14129</v>
      </c>
      <c r="K4467" s="30" t="n">
        <v>73</v>
      </c>
      <c r="L4467" s="31" t="n">
        <v>46513</v>
      </c>
      <c r="M4467" s="31" t="n">
        <v>46585</v>
      </c>
      <c r="N4467" s="13"/>
      <c r="O4467" s="13"/>
      <c r="P4467" s="13"/>
      <c r="Q4467" s="13"/>
    </row>
    <row r="4468" customFormat="false" ht="15" hidden="false" customHeight="false" outlineLevel="0" collapsed="false">
      <c r="A4468" s="13" t="s">
        <v>14170</v>
      </c>
      <c r="B4468" s="13" t="n">
        <v>4463</v>
      </c>
      <c r="C4468" s="13" t="s">
        <v>14171</v>
      </c>
      <c r="D4468" s="13" t="n">
        <v>6</v>
      </c>
      <c r="E4468" s="36" t="s">
        <v>14172</v>
      </c>
      <c r="F4468" s="13" t="s">
        <v>1298</v>
      </c>
      <c r="G4468" s="13" t="s">
        <v>882</v>
      </c>
      <c r="H4468" s="13" t="s">
        <v>14129</v>
      </c>
      <c r="I4468" s="13" t="s">
        <v>136</v>
      </c>
      <c r="J4468" s="13" t="s">
        <v>14169</v>
      </c>
      <c r="K4468" s="30" t="n">
        <v>2</v>
      </c>
      <c r="L4468" s="31" t="n">
        <v>46515</v>
      </c>
      <c r="M4468" s="31" t="n">
        <v>46516</v>
      </c>
      <c r="N4468" s="13"/>
      <c r="O4468" s="13"/>
      <c r="P4468" s="13"/>
      <c r="Q4468" s="13"/>
    </row>
    <row r="4469" customFormat="false" ht="15" hidden="false" customHeight="false" outlineLevel="0" collapsed="false">
      <c r="A4469" s="16" t="s">
        <v>14173</v>
      </c>
      <c r="B4469" s="16" t="n">
        <v>4464</v>
      </c>
      <c r="C4469" s="16" t="s">
        <v>14174</v>
      </c>
      <c r="D4469" s="16" t="n">
        <v>7</v>
      </c>
      <c r="E4469" s="37" t="s">
        <v>14175</v>
      </c>
      <c r="F4469" s="16" t="s">
        <v>1285</v>
      </c>
      <c r="G4469" s="16" t="s">
        <v>882</v>
      </c>
      <c r="H4469" s="16" t="s">
        <v>14129</v>
      </c>
      <c r="I4469" s="16" t="s">
        <v>136</v>
      </c>
      <c r="J4469" s="16" t="s">
        <v>14172</v>
      </c>
      <c r="K4469" s="32" t="n">
        <v>1</v>
      </c>
      <c r="L4469" s="33" t="n">
        <v>46515</v>
      </c>
      <c r="M4469" s="33" t="n">
        <v>46515</v>
      </c>
      <c r="N4469" s="16" t="s">
        <v>14176</v>
      </c>
      <c r="O4469" s="16"/>
      <c r="P4469" s="16" t="str">
        <f aca="false">IF(AND(L4469&lt;=$D$2,M4469&gt;=$C$2),"Sí","")</f>
        <v/>
      </c>
      <c r="Q4469" s="18" t="str">
        <f aca="false">IF(COUNTIF(LOOKAHEAD!$A$5:$A$604,A4469)&gt;0,"En Lookahead",IF(P4469="Sí","INCORPORAR",""))</f>
        <v/>
      </c>
    </row>
    <row r="4470" customFormat="false" ht="15" hidden="false" customHeight="false" outlineLevel="0" collapsed="false">
      <c r="A4470" s="16" t="s">
        <v>14177</v>
      </c>
      <c r="B4470" s="16" t="n">
        <v>4465</v>
      </c>
      <c r="C4470" s="16" t="s">
        <v>14178</v>
      </c>
      <c r="D4470" s="16" t="n">
        <v>7</v>
      </c>
      <c r="E4470" s="37" t="s">
        <v>14179</v>
      </c>
      <c r="F4470" s="16" t="s">
        <v>1285</v>
      </c>
      <c r="G4470" s="16" t="s">
        <v>882</v>
      </c>
      <c r="H4470" s="16" t="s">
        <v>14129</v>
      </c>
      <c r="I4470" s="16" t="s">
        <v>136</v>
      </c>
      <c r="J4470" s="16" t="s">
        <v>14172</v>
      </c>
      <c r="K4470" s="32" t="n">
        <v>1</v>
      </c>
      <c r="L4470" s="33" t="n">
        <v>46516</v>
      </c>
      <c r="M4470" s="33" t="n">
        <v>46516</v>
      </c>
      <c r="N4470" s="16" t="s">
        <v>14180</v>
      </c>
      <c r="O4470" s="16"/>
      <c r="P4470" s="16" t="str">
        <f aca="false">IF(AND(L4470&lt;=$D$2,M4470&gt;=$C$2),"Sí","")</f>
        <v/>
      </c>
      <c r="Q4470" s="18" t="str">
        <f aca="false">IF(COUNTIF(LOOKAHEAD!$A$5:$A$604,A4470)&gt;0,"En Lookahead",IF(P4470="Sí","INCORPORAR",""))</f>
        <v/>
      </c>
    </row>
    <row r="4471" customFormat="false" ht="15" hidden="false" customHeight="false" outlineLevel="0" collapsed="false">
      <c r="A4471" s="13" t="s">
        <v>14181</v>
      </c>
      <c r="B4471" s="13" t="n">
        <v>4466</v>
      </c>
      <c r="C4471" s="13" t="s">
        <v>14182</v>
      </c>
      <c r="D4471" s="13" t="n">
        <v>6</v>
      </c>
      <c r="E4471" s="36" t="s">
        <v>14183</v>
      </c>
      <c r="F4471" s="13" t="s">
        <v>1298</v>
      </c>
      <c r="G4471" s="13" t="s">
        <v>882</v>
      </c>
      <c r="H4471" s="13" t="s">
        <v>14129</v>
      </c>
      <c r="I4471" s="13" t="s">
        <v>136</v>
      </c>
      <c r="J4471" s="13" t="s">
        <v>14169</v>
      </c>
      <c r="K4471" s="30" t="n">
        <v>2</v>
      </c>
      <c r="L4471" s="31" t="n">
        <v>46517</v>
      </c>
      <c r="M4471" s="31" t="n">
        <v>46518</v>
      </c>
      <c r="N4471" s="13"/>
      <c r="O4471" s="13"/>
      <c r="P4471" s="13"/>
      <c r="Q4471" s="13"/>
    </row>
    <row r="4472" customFormat="false" ht="15" hidden="false" customHeight="false" outlineLevel="0" collapsed="false">
      <c r="A4472" s="16" t="s">
        <v>14184</v>
      </c>
      <c r="B4472" s="16" t="n">
        <v>4467</v>
      </c>
      <c r="C4472" s="16" t="s">
        <v>14185</v>
      </c>
      <c r="D4472" s="16" t="n">
        <v>7</v>
      </c>
      <c r="E4472" s="37" t="s">
        <v>14186</v>
      </c>
      <c r="F4472" s="16" t="s">
        <v>1285</v>
      </c>
      <c r="G4472" s="16" t="s">
        <v>882</v>
      </c>
      <c r="H4472" s="16" t="s">
        <v>14129</v>
      </c>
      <c r="I4472" s="16" t="s">
        <v>136</v>
      </c>
      <c r="J4472" s="16" t="s">
        <v>14183</v>
      </c>
      <c r="K4472" s="32" t="n">
        <v>1</v>
      </c>
      <c r="L4472" s="33" t="n">
        <v>46517</v>
      </c>
      <c r="M4472" s="33" t="n">
        <v>46517</v>
      </c>
      <c r="N4472" s="16" t="s">
        <v>14187</v>
      </c>
      <c r="O4472" s="16"/>
      <c r="P4472" s="16" t="str">
        <f aca="false">IF(AND(L4472&lt;=$D$2,M4472&gt;=$C$2),"Sí","")</f>
        <v/>
      </c>
      <c r="Q4472" s="18" t="str">
        <f aca="false">IF(COUNTIF(LOOKAHEAD!$A$5:$A$604,A4472)&gt;0,"En Lookahead",IF(P4472="Sí","INCORPORAR",""))</f>
        <v/>
      </c>
    </row>
    <row r="4473" customFormat="false" ht="15" hidden="false" customHeight="false" outlineLevel="0" collapsed="false">
      <c r="A4473" s="16" t="s">
        <v>14188</v>
      </c>
      <c r="B4473" s="16" t="n">
        <v>4468</v>
      </c>
      <c r="C4473" s="16" t="s">
        <v>14189</v>
      </c>
      <c r="D4473" s="16" t="n">
        <v>7</v>
      </c>
      <c r="E4473" s="37" t="s">
        <v>14190</v>
      </c>
      <c r="F4473" s="16" t="s">
        <v>1285</v>
      </c>
      <c r="G4473" s="16" t="s">
        <v>882</v>
      </c>
      <c r="H4473" s="16" t="s">
        <v>14129</v>
      </c>
      <c r="I4473" s="16" t="s">
        <v>136</v>
      </c>
      <c r="J4473" s="16" t="s">
        <v>14183</v>
      </c>
      <c r="K4473" s="32" t="n">
        <v>1</v>
      </c>
      <c r="L4473" s="33" t="n">
        <v>46518</v>
      </c>
      <c r="M4473" s="33" t="n">
        <v>46518</v>
      </c>
      <c r="N4473" s="16" t="s">
        <v>14191</v>
      </c>
      <c r="O4473" s="16"/>
      <c r="P4473" s="16" t="str">
        <f aca="false">IF(AND(L4473&lt;=$D$2,M4473&gt;=$C$2),"Sí","")</f>
        <v/>
      </c>
      <c r="Q4473" s="18" t="str">
        <f aca="false">IF(COUNTIF(LOOKAHEAD!$A$5:$A$604,A4473)&gt;0,"En Lookahead",IF(P4473="Sí","INCORPORAR",""))</f>
        <v/>
      </c>
    </row>
    <row r="4474" customFormat="false" ht="15" hidden="false" customHeight="false" outlineLevel="0" collapsed="false">
      <c r="A4474" s="13" t="s">
        <v>14192</v>
      </c>
      <c r="B4474" s="13" t="n">
        <v>4469</v>
      </c>
      <c r="C4474" s="13" t="s">
        <v>14193</v>
      </c>
      <c r="D4474" s="13" t="n">
        <v>6</v>
      </c>
      <c r="E4474" s="36" t="s">
        <v>14194</v>
      </c>
      <c r="F4474" s="13" t="s">
        <v>1298</v>
      </c>
      <c r="G4474" s="13" t="s">
        <v>882</v>
      </c>
      <c r="H4474" s="13" t="s">
        <v>14129</v>
      </c>
      <c r="I4474" s="13" t="s">
        <v>136</v>
      </c>
      <c r="J4474" s="13" t="s">
        <v>14169</v>
      </c>
      <c r="K4474" s="30" t="n">
        <v>2</v>
      </c>
      <c r="L4474" s="31" t="n">
        <v>46519</v>
      </c>
      <c r="M4474" s="31" t="n">
        <v>46520</v>
      </c>
      <c r="N4474" s="13"/>
      <c r="O4474" s="13"/>
      <c r="P4474" s="13"/>
      <c r="Q4474" s="13"/>
    </row>
    <row r="4475" customFormat="false" ht="15" hidden="false" customHeight="false" outlineLevel="0" collapsed="false">
      <c r="A4475" s="16" t="s">
        <v>14195</v>
      </c>
      <c r="B4475" s="16" t="n">
        <v>4470</v>
      </c>
      <c r="C4475" s="16" t="s">
        <v>14196</v>
      </c>
      <c r="D4475" s="16" t="n">
        <v>7</v>
      </c>
      <c r="E4475" s="37" t="s">
        <v>14197</v>
      </c>
      <c r="F4475" s="16" t="s">
        <v>1285</v>
      </c>
      <c r="G4475" s="16" t="s">
        <v>882</v>
      </c>
      <c r="H4475" s="16" t="s">
        <v>14129</v>
      </c>
      <c r="I4475" s="16" t="s">
        <v>136</v>
      </c>
      <c r="J4475" s="16" t="s">
        <v>14194</v>
      </c>
      <c r="K4475" s="32" t="n">
        <v>2</v>
      </c>
      <c r="L4475" s="33" t="n">
        <v>46519</v>
      </c>
      <c r="M4475" s="33" t="n">
        <v>46520</v>
      </c>
      <c r="N4475" s="16" t="s">
        <v>14198</v>
      </c>
      <c r="O4475" s="16"/>
      <c r="P4475" s="16" t="str">
        <f aca="false">IF(AND(L4475&lt;=$D$2,M4475&gt;=$C$2),"Sí","")</f>
        <v/>
      </c>
      <c r="Q4475" s="18" t="str">
        <f aca="false">IF(COUNTIF(LOOKAHEAD!$A$5:$A$604,A4475)&gt;0,"En Lookahead",IF(P4475="Sí","INCORPORAR",""))</f>
        <v/>
      </c>
    </row>
    <row r="4476" customFormat="false" ht="15" hidden="false" customHeight="false" outlineLevel="0" collapsed="false">
      <c r="A4476" s="13" t="s">
        <v>14199</v>
      </c>
      <c r="B4476" s="13" t="n">
        <v>4471</v>
      </c>
      <c r="C4476" s="13" t="s">
        <v>14200</v>
      </c>
      <c r="D4476" s="13" t="n">
        <v>6</v>
      </c>
      <c r="E4476" s="36" t="s">
        <v>14201</v>
      </c>
      <c r="F4476" s="13" t="s">
        <v>1298</v>
      </c>
      <c r="G4476" s="13" t="s">
        <v>882</v>
      </c>
      <c r="H4476" s="13" t="s">
        <v>14129</v>
      </c>
      <c r="I4476" s="13" t="s">
        <v>136</v>
      </c>
      <c r="J4476" s="13" t="s">
        <v>14169</v>
      </c>
      <c r="K4476" s="30" t="n">
        <v>3</v>
      </c>
      <c r="L4476" s="31" t="n">
        <v>46521</v>
      </c>
      <c r="M4476" s="31" t="n">
        <v>46523</v>
      </c>
      <c r="N4476" s="13"/>
      <c r="O4476" s="13"/>
      <c r="P4476" s="13"/>
      <c r="Q4476" s="13"/>
    </row>
    <row r="4477" customFormat="false" ht="15" hidden="false" customHeight="false" outlineLevel="0" collapsed="false">
      <c r="A4477" s="16" t="s">
        <v>14202</v>
      </c>
      <c r="B4477" s="16" t="n">
        <v>4472</v>
      </c>
      <c r="C4477" s="16" t="s">
        <v>14203</v>
      </c>
      <c r="D4477" s="16" t="n">
        <v>7</v>
      </c>
      <c r="E4477" s="37" t="s">
        <v>14204</v>
      </c>
      <c r="F4477" s="16" t="s">
        <v>1285</v>
      </c>
      <c r="G4477" s="16" t="s">
        <v>882</v>
      </c>
      <c r="H4477" s="16" t="s">
        <v>14129</v>
      </c>
      <c r="I4477" s="16" t="s">
        <v>136</v>
      </c>
      <c r="J4477" s="16" t="s">
        <v>14201</v>
      </c>
      <c r="K4477" s="32" t="n">
        <v>1</v>
      </c>
      <c r="L4477" s="33" t="n">
        <v>46521</v>
      </c>
      <c r="M4477" s="33" t="n">
        <v>46521</v>
      </c>
      <c r="N4477" s="16" t="s">
        <v>14205</v>
      </c>
      <c r="O4477" s="16"/>
      <c r="P4477" s="16" t="str">
        <f aca="false">IF(AND(L4477&lt;=$D$2,M4477&gt;=$C$2),"Sí","")</f>
        <v/>
      </c>
      <c r="Q4477" s="18" t="str">
        <f aca="false">IF(COUNTIF(LOOKAHEAD!$A$5:$A$604,A4477)&gt;0,"En Lookahead",IF(P4477="Sí","INCORPORAR",""))</f>
        <v/>
      </c>
    </row>
    <row r="4478" customFormat="false" ht="15" hidden="false" customHeight="false" outlineLevel="0" collapsed="false">
      <c r="A4478" s="16" t="s">
        <v>14206</v>
      </c>
      <c r="B4478" s="16" t="n">
        <v>4473</v>
      </c>
      <c r="C4478" s="16" t="s">
        <v>14207</v>
      </c>
      <c r="D4478" s="16" t="n">
        <v>7</v>
      </c>
      <c r="E4478" s="37" t="s">
        <v>14208</v>
      </c>
      <c r="F4478" s="16" t="s">
        <v>1285</v>
      </c>
      <c r="G4478" s="16" t="s">
        <v>882</v>
      </c>
      <c r="H4478" s="16" t="s">
        <v>14129</v>
      </c>
      <c r="I4478" s="16" t="s">
        <v>136</v>
      </c>
      <c r="J4478" s="16" t="s">
        <v>14201</v>
      </c>
      <c r="K4478" s="32" t="n">
        <v>2</v>
      </c>
      <c r="L4478" s="33" t="n">
        <v>46522</v>
      </c>
      <c r="M4478" s="33" t="n">
        <v>46523</v>
      </c>
      <c r="N4478" s="16" t="s">
        <v>14209</v>
      </c>
      <c r="O4478" s="16"/>
      <c r="P4478" s="16" t="str">
        <f aca="false">IF(AND(L4478&lt;=$D$2,M4478&gt;=$C$2),"Sí","")</f>
        <v/>
      </c>
      <c r="Q4478" s="18" t="str">
        <f aca="false">IF(COUNTIF(LOOKAHEAD!$A$5:$A$604,A4478)&gt;0,"En Lookahead",IF(P4478="Sí","INCORPORAR",""))</f>
        <v/>
      </c>
    </row>
    <row r="4479" customFormat="false" ht="15" hidden="false" customHeight="false" outlineLevel="0" collapsed="false">
      <c r="A4479" s="13" t="s">
        <v>14210</v>
      </c>
      <c r="B4479" s="13" t="n">
        <v>4474</v>
      </c>
      <c r="C4479" s="13" t="s">
        <v>14211</v>
      </c>
      <c r="D4479" s="13" t="n">
        <v>6</v>
      </c>
      <c r="E4479" s="36" t="s">
        <v>14212</v>
      </c>
      <c r="F4479" s="13" t="s">
        <v>1298</v>
      </c>
      <c r="G4479" s="13" t="s">
        <v>882</v>
      </c>
      <c r="H4479" s="13" t="s">
        <v>14129</v>
      </c>
      <c r="I4479" s="13" t="s">
        <v>136</v>
      </c>
      <c r="J4479" s="13" t="s">
        <v>14169</v>
      </c>
      <c r="K4479" s="30" t="n">
        <v>50</v>
      </c>
      <c r="L4479" s="31" t="n">
        <v>46522</v>
      </c>
      <c r="M4479" s="31" t="n">
        <v>46571</v>
      </c>
      <c r="N4479" s="13"/>
      <c r="O4479" s="13"/>
      <c r="P4479" s="13"/>
      <c r="Q4479" s="13"/>
    </row>
    <row r="4480" customFormat="false" ht="15" hidden="false" customHeight="false" outlineLevel="0" collapsed="false">
      <c r="A4480" s="16" t="s">
        <v>14213</v>
      </c>
      <c r="B4480" s="16" t="n">
        <v>4475</v>
      </c>
      <c r="C4480" s="16" t="s">
        <v>14214</v>
      </c>
      <c r="D4480" s="16" t="n">
        <v>7</v>
      </c>
      <c r="E4480" s="37" t="s">
        <v>14215</v>
      </c>
      <c r="F4480" s="16" t="s">
        <v>1285</v>
      </c>
      <c r="G4480" s="16" t="s">
        <v>882</v>
      </c>
      <c r="H4480" s="16" t="s">
        <v>14129</v>
      </c>
      <c r="I4480" s="16" t="s">
        <v>136</v>
      </c>
      <c r="J4480" s="16" t="s">
        <v>14212</v>
      </c>
      <c r="K4480" s="32" t="n">
        <v>43</v>
      </c>
      <c r="L4480" s="33" t="n">
        <v>46522</v>
      </c>
      <c r="M4480" s="33" t="n">
        <v>46564</v>
      </c>
      <c r="N4480" s="16" t="s">
        <v>14209</v>
      </c>
      <c r="O4480" s="16"/>
      <c r="P4480" s="16" t="str">
        <f aca="false">IF(AND(L4480&lt;=$D$2,M4480&gt;=$C$2),"Sí","")</f>
        <v/>
      </c>
      <c r="Q4480" s="18" t="str">
        <f aca="false">IF(COUNTIF(LOOKAHEAD!$A$5:$A$604,A4480)&gt;0,"En Lookahead",IF(P4480="Sí","INCORPORAR",""))</f>
        <v/>
      </c>
    </row>
    <row r="4481" customFormat="false" ht="15" hidden="false" customHeight="false" outlineLevel="0" collapsed="false">
      <c r="A4481" s="16" t="s">
        <v>14216</v>
      </c>
      <c r="B4481" s="16" t="n">
        <v>4476</v>
      </c>
      <c r="C4481" s="16" t="s">
        <v>14217</v>
      </c>
      <c r="D4481" s="16" t="n">
        <v>7</v>
      </c>
      <c r="E4481" s="37" t="s">
        <v>14218</v>
      </c>
      <c r="F4481" s="16" t="s">
        <v>1285</v>
      </c>
      <c r="G4481" s="16" t="s">
        <v>882</v>
      </c>
      <c r="H4481" s="16" t="s">
        <v>14129</v>
      </c>
      <c r="I4481" s="16" t="s">
        <v>136</v>
      </c>
      <c r="J4481" s="16" t="s">
        <v>14212</v>
      </c>
      <c r="K4481" s="32" t="n">
        <v>7</v>
      </c>
      <c r="L4481" s="33" t="n">
        <v>46565</v>
      </c>
      <c r="M4481" s="33" t="n">
        <v>46571</v>
      </c>
      <c r="N4481" s="16" t="s">
        <v>14219</v>
      </c>
      <c r="O4481" s="16"/>
      <c r="P4481" s="16" t="str">
        <f aca="false">IF(AND(L4481&lt;=$D$2,M4481&gt;=$C$2),"Sí","")</f>
        <v/>
      </c>
      <c r="Q4481" s="18" t="str">
        <f aca="false">IF(COUNTIF(LOOKAHEAD!$A$5:$A$604,A4481)&gt;0,"En Lookahead",IF(P4481="Sí","INCORPORAR",""))</f>
        <v/>
      </c>
    </row>
    <row r="4482" customFormat="false" ht="15" hidden="false" customHeight="false" outlineLevel="0" collapsed="false">
      <c r="A4482" s="13" t="s">
        <v>14220</v>
      </c>
      <c r="B4482" s="13" t="n">
        <v>4477</v>
      </c>
      <c r="C4482" s="13" t="s">
        <v>14221</v>
      </c>
      <c r="D4482" s="13" t="n">
        <v>6</v>
      </c>
      <c r="E4482" s="36" t="s">
        <v>14222</v>
      </c>
      <c r="F4482" s="13" t="s">
        <v>1298</v>
      </c>
      <c r="G4482" s="13" t="s">
        <v>882</v>
      </c>
      <c r="H4482" s="13" t="s">
        <v>14129</v>
      </c>
      <c r="I4482" s="13" t="s">
        <v>136</v>
      </c>
      <c r="J4482" s="13" t="s">
        <v>14169</v>
      </c>
      <c r="K4482" s="30" t="n">
        <v>8</v>
      </c>
      <c r="L4482" s="31" t="n">
        <v>46572</v>
      </c>
      <c r="M4482" s="31" t="n">
        <v>46579</v>
      </c>
      <c r="N4482" s="13"/>
      <c r="O4482" s="13"/>
      <c r="P4482" s="13"/>
      <c r="Q4482" s="13"/>
    </row>
    <row r="4483" customFormat="false" ht="15" hidden="false" customHeight="false" outlineLevel="0" collapsed="false">
      <c r="A4483" s="16" t="s">
        <v>14223</v>
      </c>
      <c r="B4483" s="16" t="n">
        <v>4478</v>
      </c>
      <c r="C4483" s="16" t="s">
        <v>14224</v>
      </c>
      <c r="D4483" s="16" t="n">
        <v>7</v>
      </c>
      <c r="E4483" s="37" t="s">
        <v>14225</v>
      </c>
      <c r="F4483" s="16" t="s">
        <v>1285</v>
      </c>
      <c r="G4483" s="16" t="s">
        <v>882</v>
      </c>
      <c r="H4483" s="16" t="s">
        <v>14129</v>
      </c>
      <c r="I4483" s="16" t="s">
        <v>136</v>
      </c>
      <c r="J4483" s="16" t="s">
        <v>14222</v>
      </c>
      <c r="K4483" s="32" t="n">
        <v>2</v>
      </c>
      <c r="L4483" s="33" t="n">
        <v>46572</v>
      </c>
      <c r="M4483" s="33" t="n">
        <v>46573</v>
      </c>
      <c r="N4483" s="16" t="s">
        <v>14226</v>
      </c>
      <c r="O4483" s="16"/>
      <c r="P4483" s="16" t="str">
        <f aca="false">IF(AND(L4483&lt;=$D$2,M4483&gt;=$C$2),"Sí","")</f>
        <v/>
      </c>
      <c r="Q4483" s="18" t="str">
        <f aca="false">IF(COUNTIF(LOOKAHEAD!$A$5:$A$604,A4483)&gt;0,"En Lookahead",IF(P4483="Sí","INCORPORAR",""))</f>
        <v/>
      </c>
    </row>
    <row r="4484" customFormat="false" ht="15" hidden="false" customHeight="false" outlineLevel="0" collapsed="false">
      <c r="A4484" s="16" t="s">
        <v>14227</v>
      </c>
      <c r="B4484" s="16" t="n">
        <v>4479</v>
      </c>
      <c r="C4484" s="16" t="s">
        <v>14228</v>
      </c>
      <c r="D4484" s="16" t="n">
        <v>7</v>
      </c>
      <c r="E4484" s="37" t="s">
        <v>14229</v>
      </c>
      <c r="F4484" s="16" t="s">
        <v>1285</v>
      </c>
      <c r="G4484" s="16" t="s">
        <v>882</v>
      </c>
      <c r="H4484" s="16" t="s">
        <v>14129</v>
      </c>
      <c r="I4484" s="16" t="s">
        <v>136</v>
      </c>
      <c r="J4484" s="16" t="s">
        <v>14222</v>
      </c>
      <c r="K4484" s="32" t="n">
        <v>3</v>
      </c>
      <c r="L4484" s="33" t="n">
        <v>46574</v>
      </c>
      <c r="M4484" s="33" t="n">
        <v>46576</v>
      </c>
      <c r="N4484" s="16" t="s">
        <v>14230</v>
      </c>
      <c r="O4484" s="16"/>
      <c r="P4484" s="16" t="str">
        <f aca="false">IF(AND(L4484&lt;=$D$2,M4484&gt;=$C$2),"Sí","")</f>
        <v/>
      </c>
      <c r="Q4484" s="18" t="str">
        <f aca="false">IF(COUNTIF(LOOKAHEAD!$A$5:$A$604,A4484)&gt;0,"En Lookahead",IF(P4484="Sí","INCORPORAR",""))</f>
        <v/>
      </c>
    </row>
    <row r="4485" customFormat="false" ht="15" hidden="false" customHeight="false" outlineLevel="0" collapsed="false">
      <c r="A4485" s="16" t="s">
        <v>14231</v>
      </c>
      <c r="B4485" s="16" t="n">
        <v>4480</v>
      </c>
      <c r="C4485" s="16" t="s">
        <v>14232</v>
      </c>
      <c r="D4485" s="16" t="n">
        <v>7</v>
      </c>
      <c r="E4485" s="37" t="s">
        <v>14233</v>
      </c>
      <c r="F4485" s="16" t="s">
        <v>1285</v>
      </c>
      <c r="G4485" s="16" t="s">
        <v>882</v>
      </c>
      <c r="H4485" s="16" t="s">
        <v>14129</v>
      </c>
      <c r="I4485" s="16" t="s">
        <v>136</v>
      </c>
      <c r="J4485" s="16" t="s">
        <v>14222</v>
      </c>
      <c r="K4485" s="32" t="n">
        <v>1</v>
      </c>
      <c r="L4485" s="33" t="n">
        <v>46577</v>
      </c>
      <c r="M4485" s="33" t="n">
        <v>46577</v>
      </c>
      <c r="N4485" s="16" t="s">
        <v>14234</v>
      </c>
      <c r="O4485" s="16"/>
      <c r="P4485" s="16" t="str">
        <f aca="false">IF(AND(L4485&lt;=$D$2,M4485&gt;=$C$2),"Sí","")</f>
        <v/>
      </c>
      <c r="Q4485" s="18" t="str">
        <f aca="false">IF(COUNTIF(LOOKAHEAD!$A$5:$A$604,A4485)&gt;0,"En Lookahead",IF(P4485="Sí","INCORPORAR",""))</f>
        <v/>
      </c>
    </row>
    <row r="4486" customFormat="false" ht="15" hidden="false" customHeight="false" outlineLevel="0" collapsed="false">
      <c r="A4486" s="16" t="s">
        <v>14235</v>
      </c>
      <c r="B4486" s="16" t="n">
        <v>4481</v>
      </c>
      <c r="C4486" s="16" t="s">
        <v>14236</v>
      </c>
      <c r="D4486" s="16" t="n">
        <v>7</v>
      </c>
      <c r="E4486" s="37" t="s">
        <v>14237</v>
      </c>
      <c r="F4486" s="16" t="s">
        <v>1285</v>
      </c>
      <c r="G4486" s="16" t="s">
        <v>882</v>
      </c>
      <c r="H4486" s="16" t="s">
        <v>14129</v>
      </c>
      <c r="I4486" s="16" t="s">
        <v>136</v>
      </c>
      <c r="J4486" s="16" t="s">
        <v>14222</v>
      </c>
      <c r="K4486" s="32" t="n">
        <v>1</v>
      </c>
      <c r="L4486" s="33" t="n">
        <v>46578</v>
      </c>
      <c r="M4486" s="33" t="n">
        <v>46578</v>
      </c>
      <c r="N4486" s="16" t="s">
        <v>14238</v>
      </c>
      <c r="O4486" s="16"/>
      <c r="P4486" s="16" t="str">
        <f aca="false">IF(AND(L4486&lt;=$D$2,M4486&gt;=$C$2),"Sí","")</f>
        <v/>
      </c>
      <c r="Q4486" s="18" t="str">
        <f aca="false">IF(COUNTIF(LOOKAHEAD!$A$5:$A$604,A4486)&gt;0,"En Lookahead",IF(P4486="Sí","INCORPORAR",""))</f>
        <v/>
      </c>
    </row>
    <row r="4487" customFormat="false" ht="15" hidden="false" customHeight="false" outlineLevel="0" collapsed="false">
      <c r="A4487" s="16" t="s">
        <v>14239</v>
      </c>
      <c r="B4487" s="16" t="n">
        <v>4482</v>
      </c>
      <c r="C4487" s="16" t="s">
        <v>14240</v>
      </c>
      <c r="D4487" s="16" t="n">
        <v>7</v>
      </c>
      <c r="E4487" s="37" t="s">
        <v>14241</v>
      </c>
      <c r="F4487" s="16" t="s">
        <v>1285</v>
      </c>
      <c r="G4487" s="16" t="s">
        <v>882</v>
      </c>
      <c r="H4487" s="16" t="s">
        <v>14129</v>
      </c>
      <c r="I4487" s="16" t="s">
        <v>136</v>
      </c>
      <c r="J4487" s="16" t="s">
        <v>14222</v>
      </c>
      <c r="K4487" s="32" t="n">
        <v>1</v>
      </c>
      <c r="L4487" s="33" t="n">
        <v>46579</v>
      </c>
      <c r="M4487" s="33" t="n">
        <v>46579</v>
      </c>
      <c r="N4487" s="16" t="s">
        <v>14242</v>
      </c>
      <c r="O4487" s="16"/>
      <c r="P4487" s="16" t="str">
        <f aca="false">IF(AND(L4487&lt;=$D$2,M4487&gt;=$C$2),"Sí","")</f>
        <v/>
      </c>
      <c r="Q4487" s="18" t="str">
        <f aca="false">IF(COUNTIF(LOOKAHEAD!$A$5:$A$604,A4487)&gt;0,"En Lookahead",IF(P4487="Sí","INCORPORAR",""))</f>
        <v/>
      </c>
    </row>
    <row r="4488" customFormat="false" ht="15" hidden="false" customHeight="false" outlineLevel="0" collapsed="false">
      <c r="A4488" s="13" t="s">
        <v>14243</v>
      </c>
      <c r="B4488" s="13" t="n">
        <v>4483</v>
      </c>
      <c r="C4488" s="13" t="s">
        <v>14244</v>
      </c>
      <c r="D4488" s="13" t="n">
        <v>6</v>
      </c>
      <c r="E4488" s="36" t="s">
        <v>14245</v>
      </c>
      <c r="F4488" s="13" t="s">
        <v>1298</v>
      </c>
      <c r="G4488" s="13" t="s">
        <v>882</v>
      </c>
      <c r="H4488" s="13" t="s">
        <v>14129</v>
      </c>
      <c r="I4488" s="13" t="s">
        <v>136</v>
      </c>
      <c r="J4488" s="13" t="s">
        <v>14169</v>
      </c>
      <c r="K4488" s="30" t="n">
        <v>1</v>
      </c>
      <c r="L4488" s="31" t="n">
        <v>46580</v>
      </c>
      <c r="M4488" s="31" t="n">
        <v>46580</v>
      </c>
      <c r="N4488" s="13"/>
      <c r="O4488" s="13"/>
      <c r="P4488" s="13"/>
      <c r="Q4488" s="13"/>
    </row>
    <row r="4489" customFormat="false" ht="15" hidden="false" customHeight="false" outlineLevel="0" collapsed="false">
      <c r="A4489" s="16" t="s">
        <v>14246</v>
      </c>
      <c r="B4489" s="16" t="n">
        <v>4484</v>
      </c>
      <c r="C4489" s="16" t="s">
        <v>14247</v>
      </c>
      <c r="D4489" s="16" t="n">
        <v>7</v>
      </c>
      <c r="E4489" s="37" t="s">
        <v>14245</v>
      </c>
      <c r="F4489" s="16" t="s">
        <v>1285</v>
      </c>
      <c r="G4489" s="16" t="s">
        <v>882</v>
      </c>
      <c r="H4489" s="16" t="s">
        <v>14129</v>
      </c>
      <c r="I4489" s="16" t="s">
        <v>136</v>
      </c>
      <c r="J4489" s="16" t="s">
        <v>14245</v>
      </c>
      <c r="K4489" s="32" t="n">
        <v>1</v>
      </c>
      <c r="L4489" s="33" t="n">
        <v>46580</v>
      </c>
      <c r="M4489" s="33" t="n">
        <v>46580</v>
      </c>
      <c r="N4489" s="16" t="s">
        <v>14248</v>
      </c>
      <c r="O4489" s="16"/>
      <c r="P4489" s="16" t="str">
        <f aca="false">IF(AND(L4489&lt;=$D$2,M4489&gt;=$C$2),"Sí","")</f>
        <v/>
      </c>
      <c r="Q4489" s="18" t="str">
        <f aca="false">IF(COUNTIF(LOOKAHEAD!$A$5:$A$604,A4489)&gt;0,"En Lookahead",IF(P4489="Sí","INCORPORAR",""))</f>
        <v/>
      </c>
    </row>
    <row r="4490" customFormat="false" ht="15" hidden="false" customHeight="false" outlineLevel="0" collapsed="false">
      <c r="A4490" s="13" t="s">
        <v>14249</v>
      </c>
      <c r="B4490" s="13" t="n">
        <v>4485</v>
      </c>
      <c r="C4490" s="13" t="s">
        <v>14250</v>
      </c>
      <c r="D4490" s="13" t="n">
        <v>6</v>
      </c>
      <c r="E4490" s="36" t="s">
        <v>14251</v>
      </c>
      <c r="F4490" s="13" t="s">
        <v>1298</v>
      </c>
      <c r="G4490" s="13" t="s">
        <v>882</v>
      </c>
      <c r="H4490" s="13" t="s">
        <v>14129</v>
      </c>
      <c r="I4490" s="13" t="s">
        <v>136</v>
      </c>
      <c r="J4490" s="13" t="s">
        <v>14169</v>
      </c>
      <c r="K4490" s="30" t="n">
        <v>73</v>
      </c>
      <c r="L4490" s="31" t="n">
        <v>46513</v>
      </c>
      <c r="M4490" s="31" t="n">
        <v>46585</v>
      </c>
      <c r="N4490" s="13"/>
      <c r="O4490" s="13"/>
      <c r="P4490" s="13"/>
      <c r="Q4490" s="13"/>
    </row>
    <row r="4491" customFormat="false" ht="15" hidden="false" customHeight="false" outlineLevel="0" collapsed="false">
      <c r="A4491" s="16" t="s">
        <v>14252</v>
      </c>
      <c r="B4491" s="16" t="n">
        <v>4486</v>
      </c>
      <c r="C4491" s="16" t="s">
        <v>14253</v>
      </c>
      <c r="D4491" s="16" t="n">
        <v>7</v>
      </c>
      <c r="E4491" s="37" t="s">
        <v>14254</v>
      </c>
      <c r="F4491" s="16" t="s">
        <v>1285</v>
      </c>
      <c r="G4491" s="16" t="s">
        <v>882</v>
      </c>
      <c r="H4491" s="16" t="s">
        <v>14129</v>
      </c>
      <c r="I4491" s="16" t="s">
        <v>136</v>
      </c>
      <c r="J4491" s="16" t="s">
        <v>14251</v>
      </c>
      <c r="K4491" s="32" t="n">
        <v>5</v>
      </c>
      <c r="L4491" s="33" t="n">
        <v>46581</v>
      </c>
      <c r="M4491" s="33" t="n">
        <v>46585</v>
      </c>
      <c r="N4491" s="16" t="s">
        <v>14255</v>
      </c>
      <c r="O4491" s="16"/>
      <c r="P4491" s="16" t="str">
        <f aca="false">IF(AND(L4491&lt;=$D$2,M4491&gt;=$C$2),"Sí","")</f>
        <v/>
      </c>
      <c r="Q4491" s="18" t="str">
        <f aca="false">IF(COUNTIF(LOOKAHEAD!$A$5:$A$604,A4491)&gt;0,"En Lookahead",IF(P4491="Sí","INCORPORAR",""))</f>
        <v/>
      </c>
    </row>
    <row r="4492" customFormat="false" ht="15" hidden="false" customHeight="false" outlineLevel="0" collapsed="false">
      <c r="A4492" s="16" t="s">
        <v>14256</v>
      </c>
      <c r="B4492" s="16" t="n">
        <v>4487</v>
      </c>
      <c r="C4492" s="16" t="s">
        <v>14257</v>
      </c>
      <c r="D4492" s="16" t="n">
        <v>7</v>
      </c>
      <c r="E4492" s="37" t="s">
        <v>14258</v>
      </c>
      <c r="F4492" s="16" t="s">
        <v>1285</v>
      </c>
      <c r="G4492" s="16" t="s">
        <v>882</v>
      </c>
      <c r="H4492" s="16" t="s">
        <v>14129</v>
      </c>
      <c r="I4492" s="16" t="s">
        <v>136</v>
      </c>
      <c r="J4492" s="16" t="s">
        <v>14251</v>
      </c>
      <c r="K4492" s="32" t="n">
        <v>60</v>
      </c>
      <c r="L4492" s="33" t="n">
        <v>46526</v>
      </c>
      <c r="M4492" s="33" t="n">
        <v>46585</v>
      </c>
      <c r="N4492" s="16" t="s">
        <v>14259</v>
      </c>
      <c r="O4492" s="16"/>
      <c r="P4492" s="16" t="str">
        <f aca="false">IF(AND(L4492&lt;=$D$2,M4492&gt;=$C$2),"Sí","")</f>
        <v/>
      </c>
      <c r="Q4492" s="18" t="str">
        <f aca="false">IF(COUNTIF(LOOKAHEAD!$A$5:$A$604,A4492)&gt;0,"En Lookahead",IF(P4492="Sí","INCORPORAR",""))</f>
        <v/>
      </c>
    </row>
    <row r="4493" customFormat="false" ht="15" hidden="false" customHeight="false" outlineLevel="0" collapsed="false">
      <c r="A4493" s="16" t="s">
        <v>14260</v>
      </c>
      <c r="B4493" s="16" t="n">
        <v>4488</v>
      </c>
      <c r="C4493" s="16" t="s">
        <v>14261</v>
      </c>
      <c r="D4493" s="16" t="n">
        <v>7</v>
      </c>
      <c r="E4493" s="37" t="s">
        <v>14262</v>
      </c>
      <c r="F4493" s="16" t="s">
        <v>1285</v>
      </c>
      <c r="G4493" s="16" t="s">
        <v>882</v>
      </c>
      <c r="H4493" s="16" t="s">
        <v>14129</v>
      </c>
      <c r="I4493" s="16" t="s">
        <v>136</v>
      </c>
      <c r="J4493" s="16" t="s">
        <v>14251</v>
      </c>
      <c r="K4493" s="32" t="n">
        <v>60</v>
      </c>
      <c r="L4493" s="33" t="n">
        <v>46526</v>
      </c>
      <c r="M4493" s="33" t="n">
        <v>46585</v>
      </c>
      <c r="N4493" s="16" t="s">
        <v>14263</v>
      </c>
      <c r="O4493" s="16"/>
      <c r="P4493" s="16" t="str">
        <f aca="false">IF(AND(L4493&lt;=$D$2,M4493&gt;=$C$2),"Sí","")</f>
        <v/>
      </c>
      <c r="Q4493" s="18" t="str">
        <f aca="false">IF(COUNTIF(LOOKAHEAD!$A$5:$A$604,A4493)&gt;0,"En Lookahead",IF(P4493="Sí","INCORPORAR",""))</f>
        <v/>
      </c>
    </row>
    <row r="4494" customFormat="false" ht="15" hidden="false" customHeight="false" outlineLevel="0" collapsed="false">
      <c r="A4494" s="16" t="s">
        <v>14264</v>
      </c>
      <c r="B4494" s="16" t="n">
        <v>4489</v>
      </c>
      <c r="C4494" s="16" t="s">
        <v>14265</v>
      </c>
      <c r="D4494" s="16" t="n">
        <v>7</v>
      </c>
      <c r="E4494" s="37" t="s">
        <v>14266</v>
      </c>
      <c r="F4494" s="16" t="s">
        <v>1285</v>
      </c>
      <c r="G4494" s="16" t="s">
        <v>882</v>
      </c>
      <c r="H4494" s="16" t="s">
        <v>14129</v>
      </c>
      <c r="I4494" s="16" t="s">
        <v>136</v>
      </c>
      <c r="J4494" s="16" t="s">
        <v>14251</v>
      </c>
      <c r="K4494" s="32" t="n">
        <v>60</v>
      </c>
      <c r="L4494" s="33" t="n">
        <v>46526</v>
      </c>
      <c r="M4494" s="33" t="n">
        <v>46585</v>
      </c>
      <c r="N4494" s="16" t="s">
        <v>14267</v>
      </c>
      <c r="O4494" s="16"/>
      <c r="P4494" s="16" t="str">
        <f aca="false">IF(AND(L4494&lt;=$D$2,M4494&gt;=$C$2),"Sí","")</f>
        <v/>
      </c>
      <c r="Q4494" s="18" t="str">
        <f aca="false">IF(COUNTIF(LOOKAHEAD!$A$5:$A$604,A4494)&gt;0,"En Lookahead",IF(P4494="Sí","INCORPORAR",""))</f>
        <v/>
      </c>
    </row>
    <row r="4495" customFormat="false" ht="15" hidden="false" customHeight="false" outlineLevel="0" collapsed="false">
      <c r="A4495" s="16" t="s">
        <v>14268</v>
      </c>
      <c r="B4495" s="16" t="n">
        <v>4490</v>
      </c>
      <c r="C4495" s="16" t="s">
        <v>14269</v>
      </c>
      <c r="D4495" s="16" t="n">
        <v>7</v>
      </c>
      <c r="E4495" s="37" t="s">
        <v>14270</v>
      </c>
      <c r="F4495" s="16" t="s">
        <v>1285</v>
      </c>
      <c r="G4495" s="16" t="s">
        <v>882</v>
      </c>
      <c r="H4495" s="16" t="s">
        <v>14129</v>
      </c>
      <c r="I4495" s="16" t="s">
        <v>136</v>
      </c>
      <c r="J4495" s="16" t="s">
        <v>14251</v>
      </c>
      <c r="K4495" s="32" t="n">
        <v>50</v>
      </c>
      <c r="L4495" s="33" t="n">
        <v>46513</v>
      </c>
      <c r="M4495" s="33" t="n">
        <v>46562</v>
      </c>
      <c r="N4495" s="16" t="s">
        <v>14271</v>
      </c>
      <c r="O4495" s="16"/>
      <c r="P4495" s="16" t="str">
        <f aca="false">IF(AND(L4495&lt;=$D$2,M4495&gt;=$C$2),"Sí","")</f>
        <v/>
      </c>
      <c r="Q4495" s="18" t="str">
        <f aca="false">IF(COUNTIF(LOOKAHEAD!$A$5:$A$604,A4495)&gt;0,"En Lookahead",IF(P4495="Sí","INCORPORAR",""))</f>
        <v/>
      </c>
    </row>
    <row r="4496" customFormat="false" ht="15" hidden="false" customHeight="false" outlineLevel="0" collapsed="false">
      <c r="A4496" s="16" t="s">
        <v>14272</v>
      </c>
      <c r="B4496" s="16" t="n">
        <v>4491</v>
      </c>
      <c r="C4496" s="16" t="s">
        <v>14273</v>
      </c>
      <c r="D4496" s="16" t="n">
        <v>7</v>
      </c>
      <c r="E4496" s="37" t="s">
        <v>14274</v>
      </c>
      <c r="F4496" s="16" t="s">
        <v>1285</v>
      </c>
      <c r="G4496" s="16" t="s">
        <v>882</v>
      </c>
      <c r="H4496" s="16" t="s">
        <v>14129</v>
      </c>
      <c r="I4496" s="16" t="s">
        <v>136</v>
      </c>
      <c r="J4496" s="16" t="s">
        <v>14251</v>
      </c>
      <c r="K4496" s="32" t="n">
        <v>15</v>
      </c>
      <c r="L4496" s="33" t="n">
        <v>46563</v>
      </c>
      <c r="M4496" s="33" t="n">
        <v>46577</v>
      </c>
      <c r="N4496" s="16" t="s">
        <v>14275</v>
      </c>
      <c r="O4496" s="16"/>
      <c r="P4496" s="16" t="str">
        <f aca="false">IF(AND(L4496&lt;=$D$2,M4496&gt;=$C$2),"Sí","")</f>
        <v/>
      </c>
      <c r="Q4496" s="18" t="str">
        <f aca="false">IF(COUNTIF(LOOKAHEAD!$A$5:$A$604,A4496)&gt;0,"En Lookahead",IF(P4496="Sí","INCORPORAR",""))</f>
        <v/>
      </c>
    </row>
    <row r="4497" customFormat="false" ht="15" hidden="false" customHeight="false" outlineLevel="0" collapsed="false">
      <c r="A4497" s="13" t="s">
        <v>14276</v>
      </c>
      <c r="B4497" s="13" t="n">
        <v>4492</v>
      </c>
      <c r="C4497" s="13" t="s">
        <v>14277</v>
      </c>
      <c r="D4497" s="13" t="n">
        <v>6</v>
      </c>
      <c r="E4497" s="36" t="s">
        <v>14278</v>
      </c>
      <c r="F4497" s="13" t="s">
        <v>1298</v>
      </c>
      <c r="G4497" s="13" t="s">
        <v>882</v>
      </c>
      <c r="H4497" s="13" t="s">
        <v>14129</v>
      </c>
      <c r="I4497" s="13" t="s">
        <v>136</v>
      </c>
      <c r="J4497" s="13" t="s">
        <v>14169</v>
      </c>
      <c r="K4497" s="30" t="n">
        <v>2</v>
      </c>
      <c r="L4497" s="31" t="n">
        <v>46581</v>
      </c>
      <c r="M4497" s="31" t="n">
        <v>46582</v>
      </c>
      <c r="N4497" s="13"/>
      <c r="O4497" s="13"/>
      <c r="P4497" s="13"/>
      <c r="Q4497" s="13"/>
    </row>
    <row r="4498" customFormat="false" ht="15" hidden="false" customHeight="false" outlineLevel="0" collapsed="false">
      <c r="A4498" s="16" t="s">
        <v>14279</v>
      </c>
      <c r="B4498" s="16" t="n">
        <v>4493</v>
      </c>
      <c r="C4498" s="16" t="s">
        <v>14280</v>
      </c>
      <c r="D4498" s="16" t="n">
        <v>7</v>
      </c>
      <c r="E4498" s="37" t="s">
        <v>14281</v>
      </c>
      <c r="F4498" s="16" t="s">
        <v>1285</v>
      </c>
      <c r="G4498" s="16" t="s">
        <v>882</v>
      </c>
      <c r="H4498" s="16" t="s">
        <v>14129</v>
      </c>
      <c r="I4498" s="16" t="s">
        <v>136</v>
      </c>
      <c r="J4498" s="16" t="s">
        <v>14278</v>
      </c>
      <c r="K4498" s="32" t="n">
        <v>1</v>
      </c>
      <c r="L4498" s="33" t="n">
        <v>46581</v>
      </c>
      <c r="M4498" s="33" t="n">
        <v>46581</v>
      </c>
      <c r="N4498" s="16" t="s">
        <v>14255</v>
      </c>
      <c r="O4498" s="16"/>
      <c r="P4498" s="16" t="str">
        <f aca="false">IF(AND(L4498&lt;=$D$2,M4498&gt;=$C$2),"Sí","")</f>
        <v/>
      </c>
      <c r="Q4498" s="18" t="str">
        <f aca="false">IF(COUNTIF(LOOKAHEAD!$A$5:$A$604,A4498)&gt;0,"En Lookahead",IF(P4498="Sí","INCORPORAR",""))</f>
        <v/>
      </c>
    </row>
    <row r="4499" customFormat="false" ht="15" hidden="false" customHeight="false" outlineLevel="0" collapsed="false">
      <c r="A4499" s="16" t="s">
        <v>14282</v>
      </c>
      <c r="B4499" s="16" t="n">
        <v>4494</v>
      </c>
      <c r="C4499" s="16" t="s">
        <v>14283</v>
      </c>
      <c r="D4499" s="16" t="n">
        <v>7</v>
      </c>
      <c r="E4499" s="37" t="s">
        <v>14284</v>
      </c>
      <c r="F4499" s="16" t="s">
        <v>1285</v>
      </c>
      <c r="G4499" s="16" t="s">
        <v>882</v>
      </c>
      <c r="H4499" s="16" t="s">
        <v>14129</v>
      </c>
      <c r="I4499" s="16" t="s">
        <v>136</v>
      </c>
      <c r="J4499" s="16" t="s">
        <v>14278</v>
      </c>
      <c r="K4499" s="32" t="n">
        <v>1</v>
      </c>
      <c r="L4499" s="33" t="n">
        <v>46582</v>
      </c>
      <c r="M4499" s="33" t="n">
        <v>46582</v>
      </c>
      <c r="N4499" s="16" t="s">
        <v>14285</v>
      </c>
      <c r="O4499" s="16"/>
      <c r="P4499" s="16" t="str">
        <f aca="false">IF(AND(L4499&lt;=$D$2,M4499&gt;=$C$2),"Sí","")</f>
        <v/>
      </c>
      <c r="Q4499" s="18" t="str">
        <f aca="false">IF(COUNTIF(LOOKAHEAD!$A$5:$A$604,A4499)&gt;0,"En Lookahead",IF(P4499="Sí","INCORPORAR",""))</f>
        <v/>
      </c>
    </row>
    <row r="4500" customFormat="false" ht="15" hidden="false" customHeight="false" outlineLevel="0" collapsed="false">
      <c r="A4500" s="16" t="s">
        <v>14286</v>
      </c>
      <c r="B4500" s="16" t="n">
        <v>4495</v>
      </c>
      <c r="C4500" s="16" t="s">
        <v>14287</v>
      </c>
      <c r="D4500" s="16" t="n">
        <v>7</v>
      </c>
      <c r="E4500" s="37" t="s">
        <v>14288</v>
      </c>
      <c r="F4500" s="16" t="s">
        <v>1285</v>
      </c>
      <c r="G4500" s="16" t="s">
        <v>882</v>
      </c>
      <c r="H4500" s="16" t="s">
        <v>14129</v>
      </c>
      <c r="I4500" s="16" t="s">
        <v>136</v>
      </c>
      <c r="J4500" s="16" t="s">
        <v>14278</v>
      </c>
      <c r="K4500" s="32" t="n">
        <v>1</v>
      </c>
      <c r="L4500" s="33" t="n">
        <v>46582</v>
      </c>
      <c r="M4500" s="33" t="n">
        <v>46582</v>
      </c>
      <c r="N4500" s="16" t="s">
        <v>14285</v>
      </c>
      <c r="O4500" s="16"/>
      <c r="P4500" s="16" t="str">
        <f aca="false">IF(AND(L4500&lt;=$D$2,M4500&gt;=$C$2),"Sí","")</f>
        <v/>
      </c>
      <c r="Q4500" s="18" t="str">
        <f aca="false">IF(COUNTIF(LOOKAHEAD!$A$5:$A$604,A4500)&gt;0,"En Lookahead",IF(P4500="Sí","INCORPORAR",""))</f>
        <v/>
      </c>
    </row>
    <row r="4501" customFormat="false" ht="15" hidden="false" customHeight="false" outlineLevel="0" collapsed="false">
      <c r="A4501" s="25" t="s">
        <v>14289</v>
      </c>
      <c r="B4501" s="25" t="n">
        <v>4496</v>
      </c>
      <c r="C4501" s="25" t="s">
        <v>14290</v>
      </c>
      <c r="D4501" s="25" t="n">
        <v>2</v>
      </c>
      <c r="E4501" s="28" t="s">
        <v>14291</v>
      </c>
      <c r="F4501" s="25" t="s">
        <v>1298</v>
      </c>
      <c r="G4501" s="25" t="s">
        <v>1063</v>
      </c>
      <c r="H4501" s="25"/>
      <c r="I4501" s="25"/>
      <c r="J4501" s="25" t="s">
        <v>1302</v>
      </c>
      <c r="K4501" s="26" t="n">
        <v>50</v>
      </c>
      <c r="L4501" s="27" t="n">
        <v>46541</v>
      </c>
      <c r="M4501" s="27" t="n">
        <v>46590</v>
      </c>
      <c r="N4501" s="25"/>
      <c r="O4501" s="25" t="s">
        <v>1299</v>
      </c>
      <c r="P4501" s="25"/>
      <c r="Q4501" s="25"/>
    </row>
    <row r="4502" customFormat="false" ht="15" hidden="false" customHeight="false" outlineLevel="0" collapsed="false">
      <c r="A4502" s="25" t="s">
        <v>14292</v>
      </c>
      <c r="B4502" s="25" t="n">
        <v>4497</v>
      </c>
      <c r="C4502" s="25" t="s">
        <v>14293</v>
      </c>
      <c r="D4502" s="25" t="n">
        <v>3</v>
      </c>
      <c r="E4502" s="29" t="s">
        <v>14294</v>
      </c>
      <c r="F4502" s="25" t="s">
        <v>1298</v>
      </c>
      <c r="G4502" s="25" t="s">
        <v>1063</v>
      </c>
      <c r="H4502" s="25"/>
      <c r="I4502" s="25"/>
      <c r="J4502" s="25" t="s">
        <v>14291</v>
      </c>
      <c r="K4502" s="26" t="n">
        <v>50</v>
      </c>
      <c r="L4502" s="27" t="n">
        <v>46541</v>
      </c>
      <c r="M4502" s="27" t="n">
        <v>46590</v>
      </c>
      <c r="N4502" s="25"/>
      <c r="O4502" s="25" t="s">
        <v>1299</v>
      </c>
      <c r="P4502" s="25"/>
      <c r="Q4502" s="25"/>
    </row>
    <row r="4503" customFormat="false" ht="15" hidden="false" customHeight="false" outlineLevel="0" collapsed="false">
      <c r="A4503" s="13" t="s">
        <v>14295</v>
      </c>
      <c r="B4503" s="13" t="n">
        <v>4498</v>
      </c>
      <c r="C4503" s="13" t="s">
        <v>14296</v>
      </c>
      <c r="D4503" s="13" t="n">
        <v>4</v>
      </c>
      <c r="E4503" s="20" t="s">
        <v>14297</v>
      </c>
      <c r="F4503" s="13" t="s">
        <v>1298</v>
      </c>
      <c r="G4503" s="13" t="s">
        <v>1063</v>
      </c>
      <c r="H4503" s="13" t="s">
        <v>14297</v>
      </c>
      <c r="I4503" s="13" t="s">
        <v>136</v>
      </c>
      <c r="J4503" s="13" t="s">
        <v>14294</v>
      </c>
      <c r="K4503" s="30" t="n">
        <v>50</v>
      </c>
      <c r="L4503" s="31" t="n">
        <v>46541</v>
      </c>
      <c r="M4503" s="31" t="n">
        <v>46590</v>
      </c>
      <c r="N4503" s="13"/>
      <c r="O4503" s="13" t="s">
        <v>1299</v>
      </c>
      <c r="P4503" s="13"/>
      <c r="Q4503" s="13"/>
    </row>
    <row r="4504" customFormat="false" ht="15" hidden="false" customHeight="false" outlineLevel="0" collapsed="false">
      <c r="A4504" s="13" t="s">
        <v>14298</v>
      </c>
      <c r="B4504" s="13" t="n">
        <v>4499</v>
      </c>
      <c r="C4504" s="13" t="s">
        <v>14299</v>
      </c>
      <c r="D4504" s="13" t="n">
        <v>5</v>
      </c>
      <c r="E4504" s="34" t="s">
        <v>1531</v>
      </c>
      <c r="F4504" s="13" t="s">
        <v>1298</v>
      </c>
      <c r="G4504" s="13" t="s">
        <v>1063</v>
      </c>
      <c r="H4504" s="13" t="s">
        <v>14297</v>
      </c>
      <c r="I4504" s="13" t="s">
        <v>136</v>
      </c>
      <c r="J4504" s="13" t="s">
        <v>14297</v>
      </c>
      <c r="K4504" s="30" t="n">
        <v>50</v>
      </c>
      <c r="L4504" s="31" t="n">
        <v>46541</v>
      </c>
      <c r="M4504" s="31" t="n">
        <v>46590</v>
      </c>
      <c r="N4504" s="13"/>
      <c r="O4504" s="13" t="s">
        <v>1299</v>
      </c>
      <c r="P4504" s="13"/>
      <c r="Q4504" s="13"/>
    </row>
    <row r="4505" customFormat="false" ht="15" hidden="false" customHeight="false" outlineLevel="0" collapsed="false">
      <c r="A4505" s="13" t="s">
        <v>14300</v>
      </c>
      <c r="B4505" s="13" t="n">
        <v>4500</v>
      </c>
      <c r="C4505" s="13" t="s">
        <v>14301</v>
      </c>
      <c r="D4505" s="13" t="n">
        <v>6</v>
      </c>
      <c r="E4505" s="36" t="s">
        <v>14302</v>
      </c>
      <c r="F4505" s="13" t="s">
        <v>1298</v>
      </c>
      <c r="G4505" s="13" t="s">
        <v>1063</v>
      </c>
      <c r="H4505" s="13" t="s">
        <v>14297</v>
      </c>
      <c r="I4505" s="13" t="s">
        <v>136</v>
      </c>
      <c r="J4505" s="13" t="s">
        <v>1531</v>
      </c>
      <c r="K4505" s="30" t="n">
        <v>50</v>
      </c>
      <c r="L4505" s="31" t="n">
        <v>46541</v>
      </c>
      <c r="M4505" s="31" t="n">
        <v>46590</v>
      </c>
      <c r="N4505" s="13"/>
      <c r="O4505" s="13" t="s">
        <v>1299</v>
      </c>
      <c r="P4505" s="13"/>
      <c r="Q4505" s="13"/>
    </row>
    <row r="4506" customFormat="false" ht="15" hidden="false" customHeight="false" outlineLevel="0" collapsed="false">
      <c r="A4506" s="13" t="s">
        <v>14303</v>
      </c>
      <c r="B4506" s="13" t="n">
        <v>4501</v>
      </c>
      <c r="C4506" s="13" t="s">
        <v>14304</v>
      </c>
      <c r="D4506" s="13" t="n">
        <v>7</v>
      </c>
      <c r="E4506" s="38" t="s">
        <v>14305</v>
      </c>
      <c r="F4506" s="13" t="s">
        <v>1298</v>
      </c>
      <c r="G4506" s="13" t="s">
        <v>1063</v>
      </c>
      <c r="H4506" s="13" t="s">
        <v>14297</v>
      </c>
      <c r="I4506" s="13" t="s">
        <v>136</v>
      </c>
      <c r="J4506" s="13" t="s">
        <v>14302</v>
      </c>
      <c r="K4506" s="30" t="n">
        <v>50</v>
      </c>
      <c r="L4506" s="31" t="n">
        <v>46541</v>
      </c>
      <c r="M4506" s="31" t="n">
        <v>46590</v>
      </c>
      <c r="N4506" s="13"/>
      <c r="O4506" s="13" t="s">
        <v>1299</v>
      </c>
      <c r="P4506" s="13"/>
      <c r="Q4506" s="13"/>
    </row>
    <row r="4507" customFormat="false" ht="15" hidden="false" customHeight="false" outlineLevel="0" collapsed="false">
      <c r="A4507" s="16" t="s">
        <v>14306</v>
      </c>
      <c r="B4507" s="16" t="n">
        <v>4502</v>
      </c>
      <c r="C4507" s="16" t="s">
        <v>14307</v>
      </c>
      <c r="D4507" s="16" t="n">
        <v>8</v>
      </c>
      <c r="E4507" s="39" t="s">
        <v>14308</v>
      </c>
      <c r="F4507" s="16" t="s">
        <v>1285</v>
      </c>
      <c r="G4507" s="16" t="s">
        <v>1063</v>
      </c>
      <c r="H4507" s="16" t="s">
        <v>14297</v>
      </c>
      <c r="I4507" s="16" t="s">
        <v>136</v>
      </c>
      <c r="J4507" s="16" t="s">
        <v>14305</v>
      </c>
      <c r="K4507" s="32" t="n">
        <v>50</v>
      </c>
      <c r="L4507" s="33" t="n">
        <v>46541</v>
      </c>
      <c r="M4507" s="33" t="n">
        <v>46590</v>
      </c>
      <c r="N4507" s="16" t="s">
        <v>14309</v>
      </c>
      <c r="O4507" s="16" t="s">
        <v>1299</v>
      </c>
      <c r="P4507" s="16" t="str">
        <f aca="false">IF(AND(L4507&lt;=$D$2,M4507&gt;=$C$2),"Sí","")</f>
        <v/>
      </c>
      <c r="Q4507" s="18" t="str">
        <f aca="false">IF(COUNTIF(LOOKAHEAD!$A$5:$A$604,A4507)&gt;0,"En Lookahead",IF(P4507="Sí","INCORPORAR",""))</f>
        <v/>
      </c>
    </row>
    <row r="4508" customFormat="false" ht="15" hidden="false" customHeight="false" outlineLevel="0" collapsed="false">
      <c r="A4508" s="16" t="s">
        <v>14310</v>
      </c>
      <c r="B4508" s="16" t="n">
        <v>4503</v>
      </c>
      <c r="C4508" s="16" t="s">
        <v>14311</v>
      </c>
      <c r="D4508" s="16" t="n">
        <v>8</v>
      </c>
      <c r="E4508" s="39" t="s">
        <v>14312</v>
      </c>
      <c r="F4508" s="16" t="s">
        <v>1285</v>
      </c>
      <c r="G4508" s="16" t="s">
        <v>1063</v>
      </c>
      <c r="H4508" s="16" t="s">
        <v>14297</v>
      </c>
      <c r="I4508" s="16" t="s">
        <v>136</v>
      </c>
      <c r="J4508" s="16" t="s">
        <v>14305</v>
      </c>
      <c r="K4508" s="32" t="n">
        <v>50</v>
      </c>
      <c r="L4508" s="33" t="n">
        <v>46541</v>
      </c>
      <c r="M4508" s="33" t="n">
        <v>46590</v>
      </c>
      <c r="N4508" s="16" t="s">
        <v>14313</v>
      </c>
      <c r="O4508" s="16" t="s">
        <v>1299</v>
      </c>
      <c r="P4508" s="16" t="str">
        <f aca="false">IF(AND(L4508&lt;=$D$2,M4508&gt;=$C$2),"Sí","")</f>
        <v/>
      </c>
      <c r="Q4508" s="18" t="str">
        <f aca="false">IF(COUNTIF(LOOKAHEAD!$A$5:$A$604,A4508)&gt;0,"En Lookahead",IF(P4508="Sí","INCORPORAR",""))</f>
        <v/>
      </c>
    </row>
    <row r="4509" customFormat="false" ht="15" hidden="false" customHeight="false" outlineLevel="0" collapsed="false">
      <c r="A4509" s="16" t="s">
        <v>14314</v>
      </c>
      <c r="B4509" s="16" t="n">
        <v>4504</v>
      </c>
      <c r="C4509" s="16" t="s">
        <v>14315</v>
      </c>
      <c r="D4509" s="16" t="n">
        <v>8</v>
      </c>
      <c r="E4509" s="39" t="s">
        <v>14316</v>
      </c>
      <c r="F4509" s="16" t="s">
        <v>1285</v>
      </c>
      <c r="G4509" s="16" t="s">
        <v>1063</v>
      </c>
      <c r="H4509" s="16" t="s">
        <v>14297</v>
      </c>
      <c r="I4509" s="16" t="s">
        <v>136</v>
      </c>
      <c r="J4509" s="16" t="s">
        <v>14305</v>
      </c>
      <c r="K4509" s="32" t="n">
        <v>50</v>
      </c>
      <c r="L4509" s="33" t="n">
        <v>46541</v>
      </c>
      <c r="M4509" s="33" t="n">
        <v>46590</v>
      </c>
      <c r="N4509" s="16" t="s">
        <v>14313</v>
      </c>
      <c r="O4509" s="16" t="s">
        <v>1299</v>
      </c>
      <c r="P4509" s="16" t="str">
        <f aca="false">IF(AND(L4509&lt;=$D$2,M4509&gt;=$C$2),"Sí","")</f>
        <v/>
      </c>
      <c r="Q4509" s="18" t="str">
        <f aca="false">IF(COUNTIF(LOOKAHEAD!$A$5:$A$604,A4509)&gt;0,"En Lookahead",IF(P4509="Sí","INCORPORAR",""))</f>
        <v/>
      </c>
    </row>
    <row r="4510" customFormat="false" ht="15" hidden="false" customHeight="false" outlineLevel="0" collapsed="false">
      <c r="A4510" s="16" t="s">
        <v>14317</v>
      </c>
      <c r="B4510" s="16" t="n">
        <v>4505</v>
      </c>
      <c r="C4510" s="16" t="s">
        <v>14318</v>
      </c>
      <c r="D4510" s="16" t="n">
        <v>8</v>
      </c>
      <c r="E4510" s="39" t="s">
        <v>14319</v>
      </c>
      <c r="F4510" s="16" t="s">
        <v>1285</v>
      </c>
      <c r="G4510" s="16" t="s">
        <v>1063</v>
      </c>
      <c r="H4510" s="16" t="s">
        <v>14297</v>
      </c>
      <c r="I4510" s="16" t="s">
        <v>136</v>
      </c>
      <c r="J4510" s="16" t="s">
        <v>14305</v>
      </c>
      <c r="K4510" s="32" t="n">
        <v>50</v>
      </c>
      <c r="L4510" s="33" t="n">
        <v>46541</v>
      </c>
      <c r="M4510" s="33" t="n">
        <v>46590</v>
      </c>
      <c r="N4510" s="16" t="s">
        <v>14313</v>
      </c>
      <c r="O4510" s="16" t="s">
        <v>1299</v>
      </c>
      <c r="P4510" s="16" t="str">
        <f aca="false">IF(AND(L4510&lt;=$D$2,M4510&gt;=$C$2),"Sí","")</f>
        <v/>
      </c>
      <c r="Q4510" s="18" t="str">
        <f aca="false">IF(COUNTIF(LOOKAHEAD!$A$5:$A$604,A4510)&gt;0,"En Lookahead",IF(P4510="Sí","INCORPORAR",""))</f>
        <v/>
      </c>
    </row>
    <row r="4511" customFormat="false" ht="15" hidden="false" customHeight="false" outlineLevel="0" collapsed="false">
      <c r="A4511" s="16" t="s">
        <v>14320</v>
      </c>
      <c r="B4511" s="16" t="n">
        <v>4506</v>
      </c>
      <c r="C4511" s="16" t="s">
        <v>14321</v>
      </c>
      <c r="D4511" s="16" t="n">
        <v>8</v>
      </c>
      <c r="E4511" s="39" t="s">
        <v>14322</v>
      </c>
      <c r="F4511" s="16" t="s">
        <v>1285</v>
      </c>
      <c r="G4511" s="16" t="s">
        <v>1063</v>
      </c>
      <c r="H4511" s="16" t="s">
        <v>14297</v>
      </c>
      <c r="I4511" s="16" t="s">
        <v>136</v>
      </c>
      <c r="J4511" s="16" t="s">
        <v>14305</v>
      </c>
      <c r="K4511" s="32" t="n">
        <v>50</v>
      </c>
      <c r="L4511" s="33" t="n">
        <v>46541</v>
      </c>
      <c r="M4511" s="33" t="n">
        <v>46590</v>
      </c>
      <c r="N4511" s="16" t="s">
        <v>14313</v>
      </c>
      <c r="O4511" s="16" t="s">
        <v>1299</v>
      </c>
      <c r="P4511" s="16" t="str">
        <f aca="false">IF(AND(L4511&lt;=$D$2,M4511&gt;=$C$2),"Sí","")</f>
        <v/>
      </c>
      <c r="Q4511" s="18" t="str">
        <f aca="false">IF(COUNTIF(LOOKAHEAD!$A$5:$A$604,A4511)&gt;0,"En Lookahead",IF(P4511="Sí","INCORPORAR",""))</f>
        <v/>
      </c>
    </row>
    <row r="4512" customFormat="false" ht="15" hidden="false" customHeight="false" outlineLevel="0" collapsed="false">
      <c r="A4512" s="16" t="s">
        <v>14323</v>
      </c>
      <c r="B4512" s="16" t="n">
        <v>4507</v>
      </c>
      <c r="C4512" s="16" t="s">
        <v>14324</v>
      </c>
      <c r="D4512" s="16" t="n">
        <v>8</v>
      </c>
      <c r="E4512" s="39" t="s">
        <v>14325</v>
      </c>
      <c r="F4512" s="16" t="s">
        <v>1285</v>
      </c>
      <c r="G4512" s="16" t="s">
        <v>1063</v>
      </c>
      <c r="H4512" s="16" t="s">
        <v>14297</v>
      </c>
      <c r="I4512" s="16" t="s">
        <v>136</v>
      </c>
      <c r="J4512" s="16" t="s">
        <v>14305</v>
      </c>
      <c r="K4512" s="32" t="n">
        <v>50</v>
      </c>
      <c r="L4512" s="33" t="n">
        <v>46541</v>
      </c>
      <c r="M4512" s="33" t="n">
        <v>46590</v>
      </c>
      <c r="N4512" s="16" t="s">
        <v>14313</v>
      </c>
      <c r="O4512" s="16" t="s">
        <v>1299</v>
      </c>
      <c r="P4512" s="16" t="str">
        <f aca="false">IF(AND(L4512&lt;=$D$2,M4512&gt;=$C$2),"Sí","")</f>
        <v/>
      </c>
      <c r="Q4512" s="18" t="str">
        <f aca="false">IF(COUNTIF(LOOKAHEAD!$A$5:$A$604,A4512)&gt;0,"En Lookahead",IF(P4512="Sí","INCORPORAR",""))</f>
        <v/>
      </c>
    </row>
    <row r="4513" customFormat="false" ht="15" hidden="false" customHeight="false" outlineLevel="0" collapsed="false">
      <c r="A4513" s="16" t="s">
        <v>14326</v>
      </c>
      <c r="B4513" s="16" t="n">
        <v>4508</v>
      </c>
      <c r="C4513" s="16" t="s">
        <v>14327</v>
      </c>
      <c r="D4513" s="16" t="n">
        <v>8</v>
      </c>
      <c r="E4513" s="39" t="s">
        <v>14328</v>
      </c>
      <c r="F4513" s="16" t="s">
        <v>1285</v>
      </c>
      <c r="G4513" s="16" t="s">
        <v>1063</v>
      </c>
      <c r="H4513" s="16" t="s">
        <v>14297</v>
      </c>
      <c r="I4513" s="16" t="s">
        <v>136</v>
      </c>
      <c r="J4513" s="16" t="s">
        <v>14305</v>
      </c>
      <c r="K4513" s="32" t="n">
        <v>50</v>
      </c>
      <c r="L4513" s="33" t="n">
        <v>46541</v>
      </c>
      <c r="M4513" s="33" t="n">
        <v>46590</v>
      </c>
      <c r="N4513" s="16" t="s">
        <v>14313</v>
      </c>
      <c r="O4513" s="16" t="s">
        <v>1299</v>
      </c>
      <c r="P4513" s="16" t="str">
        <f aca="false">IF(AND(L4513&lt;=$D$2,M4513&gt;=$C$2),"Sí","")</f>
        <v/>
      </c>
      <c r="Q4513" s="18" t="str">
        <f aca="false">IF(COUNTIF(LOOKAHEAD!$A$5:$A$604,A4513)&gt;0,"En Lookahead",IF(P4513="Sí","INCORPORAR",""))</f>
        <v/>
      </c>
    </row>
    <row r="4514" customFormat="false" ht="15" hidden="false" customHeight="false" outlineLevel="0" collapsed="false">
      <c r="A4514" s="13" t="s">
        <v>14329</v>
      </c>
      <c r="B4514" s="13" t="n">
        <v>4509</v>
      </c>
      <c r="C4514" s="13" t="s">
        <v>14330</v>
      </c>
      <c r="D4514" s="13" t="n">
        <v>7</v>
      </c>
      <c r="E4514" s="38" t="s">
        <v>14331</v>
      </c>
      <c r="F4514" s="13" t="s">
        <v>1298</v>
      </c>
      <c r="G4514" s="13" t="s">
        <v>1063</v>
      </c>
      <c r="H4514" s="13" t="s">
        <v>14297</v>
      </c>
      <c r="I4514" s="13" t="s">
        <v>136</v>
      </c>
      <c r="J4514" s="13" t="s">
        <v>14302</v>
      </c>
      <c r="K4514" s="30" t="n">
        <v>50</v>
      </c>
      <c r="L4514" s="31" t="n">
        <v>46541</v>
      </c>
      <c r="M4514" s="31" t="n">
        <v>46590</v>
      </c>
      <c r="N4514" s="13"/>
      <c r="O4514" s="13" t="s">
        <v>1299</v>
      </c>
      <c r="P4514" s="13"/>
      <c r="Q4514" s="13"/>
    </row>
    <row r="4515" customFormat="false" ht="15" hidden="false" customHeight="false" outlineLevel="0" collapsed="false">
      <c r="A4515" s="16" t="s">
        <v>14332</v>
      </c>
      <c r="B4515" s="16" t="n">
        <v>4510</v>
      </c>
      <c r="C4515" s="16" t="s">
        <v>14333</v>
      </c>
      <c r="D4515" s="16" t="n">
        <v>8</v>
      </c>
      <c r="E4515" s="39" t="s">
        <v>14334</v>
      </c>
      <c r="F4515" s="16" t="s">
        <v>1285</v>
      </c>
      <c r="G4515" s="16" t="s">
        <v>1063</v>
      </c>
      <c r="H4515" s="16" t="s">
        <v>14297</v>
      </c>
      <c r="I4515" s="16" t="s">
        <v>136</v>
      </c>
      <c r="J4515" s="16" t="s">
        <v>14331</v>
      </c>
      <c r="K4515" s="32" t="n">
        <v>50</v>
      </c>
      <c r="L4515" s="33" t="n">
        <v>46541</v>
      </c>
      <c r="M4515" s="33" t="n">
        <v>46590</v>
      </c>
      <c r="N4515" s="16" t="s">
        <v>14313</v>
      </c>
      <c r="O4515" s="16" t="s">
        <v>1299</v>
      </c>
      <c r="P4515" s="16" t="str">
        <f aca="false">IF(AND(L4515&lt;=$D$2,M4515&gt;=$C$2),"Sí","")</f>
        <v/>
      </c>
      <c r="Q4515" s="18" t="str">
        <f aca="false">IF(COUNTIF(LOOKAHEAD!$A$5:$A$604,A4515)&gt;0,"En Lookahead",IF(P4515="Sí","INCORPORAR",""))</f>
        <v/>
      </c>
    </row>
    <row r="4516" customFormat="false" ht="15" hidden="false" customHeight="false" outlineLevel="0" collapsed="false">
      <c r="A4516" s="16" t="s">
        <v>14335</v>
      </c>
      <c r="B4516" s="16" t="n">
        <v>4511</v>
      </c>
      <c r="C4516" s="16" t="s">
        <v>14336</v>
      </c>
      <c r="D4516" s="16" t="n">
        <v>8</v>
      </c>
      <c r="E4516" s="39" t="s">
        <v>14337</v>
      </c>
      <c r="F4516" s="16" t="s">
        <v>1285</v>
      </c>
      <c r="G4516" s="16" t="s">
        <v>1063</v>
      </c>
      <c r="H4516" s="16" t="s">
        <v>14297</v>
      </c>
      <c r="I4516" s="16" t="s">
        <v>136</v>
      </c>
      <c r="J4516" s="16" t="s">
        <v>14331</v>
      </c>
      <c r="K4516" s="32" t="n">
        <v>50</v>
      </c>
      <c r="L4516" s="33" t="n">
        <v>46541</v>
      </c>
      <c r="M4516" s="33" t="n">
        <v>46590</v>
      </c>
      <c r="N4516" s="16" t="s">
        <v>14313</v>
      </c>
      <c r="O4516" s="16" t="s">
        <v>1299</v>
      </c>
      <c r="P4516" s="16" t="str">
        <f aca="false">IF(AND(L4516&lt;=$D$2,M4516&gt;=$C$2),"Sí","")</f>
        <v/>
      </c>
      <c r="Q4516" s="18" t="str">
        <f aca="false">IF(COUNTIF(LOOKAHEAD!$A$5:$A$604,A4516)&gt;0,"En Lookahead",IF(P4516="Sí","INCORPORAR",""))</f>
        <v/>
      </c>
    </row>
    <row r="4517" customFormat="false" ht="15" hidden="false" customHeight="false" outlineLevel="0" collapsed="false">
      <c r="A4517" s="16" t="s">
        <v>14338</v>
      </c>
      <c r="B4517" s="16" t="n">
        <v>4512</v>
      </c>
      <c r="C4517" s="16" t="s">
        <v>14339</v>
      </c>
      <c r="D4517" s="16" t="n">
        <v>8</v>
      </c>
      <c r="E4517" s="39" t="s">
        <v>14340</v>
      </c>
      <c r="F4517" s="16" t="s">
        <v>1285</v>
      </c>
      <c r="G4517" s="16" t="s">
        <v>1063</v>
      </c>
      <c r="H4517" s="16" t="s">
        <v>14297</v>
      </c>
      <c r="I4517" s="16" t="s">
        <v>136</v>
      </c>
      <c r="J4517" s="16" t="s">
        <v>14331</v>
      </c>
      <c r="K4517" s="32" t="n">
        <v>50</v>
      </c>
      <c r="L4517" s="33" t="n">
        <v>46541</v>
      </c>
      <c r="M4517" s="33" t="n">
        <v>46590</v>
      </c>
      <c r="N4517" s="16" t="s">
        <v>14313</v>
      </c>
      <c r="O4517" s="16" t="s">
        <v>1299</v>
      </c>
      <c r="P4517" s="16" t="str">
        <f aca="false">IF(AND(L4517&lt;=$D$2,M4517&gt;=$C$2),"Sí","")</f>
        <v/>
      </c>
      <c r="Q4517" s="18" t="str">
        <f aca="false">IF(COUNTIF(LOOKAHEAD!$A$5:$A$604,A4517)&gt;0,"En Lookahead",IF(P4517="Sí","INCORPORAR",""))</f>
        <v/>
      </c>
    </row>
    <row r="4518" customFormat="false" ht="15" hidden="false" customHeight="false" outlineLevel="0" collapsed="false">
      <c r="A4518" s="16" t="s">
        <v>14341</v>
      </c>
      <c r="B4518" s="16" t="n">
        <v>4513</v>
      </c>
      <c r="C4518" s="16" t="s">
        <v>14342</v>
      </c>
      <c r="D4518" s="16" t="n">
        <v>8</v>
      </c>
      <c r="E4518" s="39" t="s">
        <v>14319</v>
      </c>
      <c r="F4518" s="16" t="s">
        <v>1285</v>
      </c>
      <c r="G4518" s="16" t="s">
        <v>1063</v>
      </c>
      <c r="H4518" s="16" t="s">
        <v>14297</v>
      </c>
      <c r="I4518" s="16" t="s">
        <v>136</v>
      </c>
      <c r="J4518" s="16" t="s">
        <v>14331</v>
      </c>
      <c r="K4518" s="32" t="n">
        <v>50</v>
      </c>
      <c r="L4518" s="33" t="n">
        <v>46541</v>
      </c>
      <c r="M4518" s="33" t="n">
        <v>46590</v>
      </c>
      <c r="N4518" s="16" t="s">
        <v>14313</v>
      </c>
      <c r="O4518" s="16" t="s">
        <v>1299</v>
      </c>
      <c r="P4518" s="16" t="str">
        <f aca="false">IF(AND(L4518&lt;=$D$2,M4518&gt;=$C$2),"Sí","")</f>
        <v/>
      </c>
      <c r="Q4518" s="18" t="str">
        <f aca="false">IF(COUNTIF(LOOKAHEAD!$A$5:$A$604,A4518)&gt;0,"En Lookahead",IF(P4518="Sí","INCORPORAR",""))</f>
        <v/>
      </c>
    </row>
    <row r="4519" customFormat="false" ht="15" hidden="false" customHeight="false" outlineLevel="0" collapsed="false">
      <c r="A4519" s="16" t="s">
        <v>14343</v>
      </c>
      <c r="B4519" s="16" t="n">
        <v>4514</v>
      </c>
      <c r="C4519" s="16" t="s">
        <v>14344</v>
      </c>
      <c r="D4519" s="16" t="n">
        <v>8</v>
      </c>
      <c r="E4519" s="39" t="s">
        <v>14322</v>
      </c>
      <c r="F4519" s="16" t="s">
        <v>1285</v>
      </c>
      <c r="G4519" s="16" t="s">
        <v>1063</v>
      </c>
      <c r="H4519" s="16" t="s">
        <v>14297</v>
      </c>
      <c r="I4519" s="16" t="s">
        <v>136</v>
      </c>
      <c r="J4519" s="16" t="s">
        <v>14331</v>
      </c>
      <c r="K4519" s="32" t="n">
        <v>50</v>
      </c>
      <c r="L4519" s="33" t="n">
        <v>46541</v>
      </c>
      <c r="M4519" s="33" t="n">
        <v>46590</v>
      </c>
      <c r="N4519" s="16" t="s">
        <v>14313</v>
      </c>
      <c r="O4519" s="16" t="s">
        <v>1299</v>
      </c>
      <c r="P4519" s="16" t="str">
        <f aca="false">IF(AND(L4519&lt;=$D$2,M4519&gt;=$C$2),"Sí","")</f>
        <v/>
      </c>
      <c r="Q4519" s="18" t="str">
        <f aca="false">IF(COUNTIF(LOOKAHEAD!$A$5:$A$604,A4519)&gt;0,"En Lookahead",IF(P4519="Sí","INCORPORAR",""))</f>
        <v/>
      </c>
    </row>
    <row r="4520" customFormat="false" ht="15" hidden="false" customHeight="false" outlineLevel="0" collapsed="false">
      <c r="A4520" s="13" t="s">
        <v>14345</v>
      </c>
      <c r="B4520" s="13" t="n">
        <v>4515</v>
      </c>
      <c r="C4520" s="13" t="s">
        <v>14346</v>
      </c>
      <c r="D4520" s="13" t="n">
        <v>7</v>
      </c>
      <c r="E4520" s="38" t="s">
        <v>14347</v>
      </c>
      <c r="F4520" s="13" t="s">
        <v>1298</v>
      </c>
      <c r="G4520" s="13" t="s">
        <v>1063</v>
      </c>
      <c r="H4520" s="13" t="s">
        <v>14297</v>
      </c>
      <c r="I4520" s="13" t="s">
        <v>136</v>
      </c>
      <c r="J4520" s="13" t="s">
        <v>14302</v>
      </c>
      <c r="K4520" s="30" t="n">
        <v>50</v>
      </c>
      <c r="L4520" s="31" t="n">
        <v>46541</v>
      </c>
      <c r="M4520" s="31" t="n">
        <v>46590</v>
      </c>
      <c r="N4520" s="13"/>
      <c r="O4520" s="13" t="s">
        <v>1299</v>
      </c>
      <c r="P4520" s="13"/>
      <c r="Q4520" s="13"/>
    </row>
    <row r="4521" customFormat="false" ht="15" hidden="false" customHeight="false" outlineLevel="0" collapsed="false">
      <c r="A4521" s="16" t="s">
        <v>14348</v>
      </c>
      <c r="B4521" s="16" t="n">
        <v>4516</v>
      </c>
      <c r="C4521" s="16" t="s">
        <v>14349</v>
      </c>
      <c r="D4521" s="16" t="n">
        <v>8</v>
      </c>
      <c r="E4521" s="39" t="s">
        <v>14308</v>
      </c>
      <c r="F4521" s="16" t="s">
        <v>1285</v>
      </c>
      <c r="G4521" s="16" t="s">
        <v>1063</v>
      </c>
      <c r="H4521" s="16" t="s">
        <v>14297</v>
      </c>
      <c r="I4521" s="16" t="s">
        <v>136</v>
      </c>
      <c r="J4521" s="16" t="s">
        <v>14347</v>
      </c>
      <c r="K4521" s="32" t="n">
        <v>50</v>
      </c>
      <c r="L4521" s="33" t="n">
        <v>46541</v>
      </c>
      <c r="M4521" s="33" t="n">
        <v>46590</v>
      </c>
      <c r="N4521" s="16" t="s">
        <v>14313</v>
      </c>
      <c r="O4521" s="16" t="s">
        <v>1299</v>
      </c>
      <c r="P4521" s="16" t="str">
        <f aca="false">IF(AND(L4521&lt;=$D$2,M4521&gt;=$C$2),"Sí","")</f>
        <v/>
      </c>
      <c r="Q4521" s="18" t="str">
        <f aca="false">IF(COUNTIF(LOOKAHEAD!$A$5:$A$604,A4521)&gt;0,"En Lookahead",IF(P4521="Sí","INCORPORAR",""))</f>
        <v/>
      </c>
    </row>
    <row r="4522" customFormat="false" ht="15" hidden="false" customHeight="false" outlineLevel="0" collapsed="false">
      <c r="A4522" s="16" t="s">
        <v>14350</v>
      </c>
      <c r="B4522" s="16" t="n">
        <v>4517</v>
      </c>
      <c r="C4522" s="16" t="s">
        <v>14351</v>
      </c>
      <c r="D4522" s="16" t="n">
        <v>8</v>
      </c>
      <c r="E4522" s="39" t="s">
        <v>14319</v>
      </c>
      <c r="F4522" s="16" t="s">
        <v>1285</v>
      </c>
      <c r="G4522" s="16" t="s">
        <v>1063</v>
      </c>
      <c r="H4522" s="16" t="s">
        <v>14297</v>
      </c>
      <c r="I4522" s="16" t="s">
        <v>136</v>
      </c>
      <c r="J4522" s="16" t="s">
        <v>14347</v>
      </c>
      <c r="K4522" s="32" t="n">
        <v>50</v>
      </c>
      <c r="L4522" s="33" t="n">
        <v>46541</v>
      </c>
      <c r="M4522" s="33" t="n">
        <v>46590</v>
      </c>
      <c r="N4522" s="16" t="s">
        <v>14313</v>
      </c>
      <c r="O4522" s="16" t="s">
        <v>1299</v>
      </c>
      <c r="P4522" s="16" t="str">
        <f aca="false">IF(AND(L4522&lt;=$D$2,M4522&gt;=$C$2),"Sí","")</f>
        <v/>
      </c>
      <c r="Q4522" s="18" t="str">
        <f aca="false">IF(COUNTIF(LOOKAHEAD!$A$5:$A$604,A4522)&gt;0,"En Lookahead",IF(P4522="Sí","INCORPORAR",""))</f>
        <v/>
      </c>
    </row>
    <row r="4523" customFormat="false" ht="15" hidden="false" customHeight="false" outlineLevel="0" collapsed="false">
      <c r="A4523" s="13" t="s">
        <v>14352</v>
      </c>
      <c r="B4523" s="13" t="n">
        <v>4518</v>
      </c>
      <c r="C4523" s="13" t="s">
        <v>14353</v>
      </c>
      <c r="D4523" s="13" t="n">
        <v>7</v>
      </c>
      <c r="E4523" s="38" t="s">
        <v>14354</v>
      </c>
      <c r="F4523" s="13" t="s">
        <v>1298</v>
      </c>
      <c r="G4523" s="13" t="s">
        <v>1063</v>
      </c>
      <c r="H4523" s="13" t="s">
        <v>14297</v>
      </c>
      <c r="I4523" s="13" t="s">
        <v>136</v>
      </c>
      <c r="J4523" s="13" t="s">
        <v>14302</v>
      </c>
      <c r="K4523" s="30" t="n">
        <v>50</v>
      </c>
      <c r="L4523" s="31" t="n">
        <v>46541</v>
      </c>
      <c r="M4523" s="31" t="n">
        <v>46590</v>
      </c>
      <c r="N4523" s="13"/>
      <c r="O4523" s="13" t="s">
        <v>1299</v>
      </c>
      <c r="P4523" s="13"/>
      <c r="Q4523" s="13"/>
    </row>
    <row r="4524" customFormat="false" ht="15" hidden="false" customHeight="false" outlineLevel="0" collapsed="false">
      <c r="A4524" s="16" t="s">
        <v>14355</v>
      </c>
      <c r="B4524" s="16" t="n">
        <v>4519</v>
      </c>
      <c r="C4524" s="16" t="s">
        <v>14356</v>
      </c>
      <c r="D4524" s="16" t="n">
        <v>8</v>
      </c>
      <c r="E4524" s="39" t="s">
        <v>14357</v>
      </c>
      <c r="F4524" s="16" t="s">
        <v>1285</v>
      </c>
      <c r="G4524" s="16" t="s">
        <v>1063</v>
      </c>
      <c r="H4524" s="16" t="s">
        <v>14297</v>
      </c>
      <c r="I4524" s="16" t="s">
        <v>136</v>
      </c>
      <c r="J4524" s="16" t="s">
        <v>14354</v>
      </c>
      <c r="K4524" s="32" t="n">
        <v>50</v>
      </c>
      <c r="L4524" s="33" t="n">
        <v>46541</v>
      </c>
      <c r="M4524" s="33" t="n">
        <v>46590</v>
      </c>
      <c r="N4524" s="16" t="s">
        <v>14313</v>
      </c>
      <c r="O4524" s="16" t="s">
        <v>1299</v>
      </c>
      <c r="P4524" s="16" t="str">
        <f aca="false">IF(AND(L4524&lt;=$D$2,M4524&gt;=$C$2),"Sí","")</f>
        <v/>
      </c>
      <c r="Q4524" s="18" t="str">
        <f aca="false">IF(COUNTIF(LOOKAHEAD!$A$5:$A$604,A4524)&gt;0,"En Lookahead",IF(P4524="Sí","INCORPORAR",""))</f>
        <v/>
      </c>
    </row>
    <row r="4525" customFormat="false" ht="15" hidden="false" customHeight="false" outlineLevel="0" collapsed="false">
      <c r="A4525" s="16" t="s">
        <v>14358</v>
      </c>
      <c r="B4525" s="16" t="n">
        <v>4520</v>
      </c>
      <c r="C4525" s="16" t="s">
        <v>14359</v>
      </c>
      <c r="D4525" s="16" t="n">
        <v>8</v>
      </c>
      <c r="E4525" s="39" t="s">
        <v>14360</v>
      </c>
      <c r="F4525" s="16" t="s">
        <v>1285</v>
      </c>
      <c r="G4525" s="16" t="s">
        <v>1063</v>
      </c>
      <c r="H4525" s="16" t="s">
        <v>14297</v>
      </c>
      <c r="I4525" s="16" t="s">
        <v>136</v>
      </c>
      <c r="J4525" s="16" t="s">
        <v>14354</v>
      </c>
      <c r="K4525" s="32" t="n">
        <v>50</v>
      </c>
      <c r="L4525" s="33" t="n">
        <v>46541</v>
      </c>
      <c r="M4525" s="33" t="n">
        <v>46590</v>
      </c>
      <c r="N4525" s="16" t="s">
        <v>14313</v>
      </c>
      <c r="O4525" s="16" t="s">
        <v>1299</v>
      </c>
      <c r="P4525" s="16" t="str">
        <f aca="false">IF(AND(L4525&lt;=$D$2,M4525&gt;=$C$2),"Sí","")</f>
        <v/>
      </c>
      <c r="Q4525" s="18" t="str">
        <f aca="false">IF(COUNTIF(LOOKAHEAD!$A$5:$A$604,A4525)&gt;0,"En Lookahead",IF(P4525="Sí","INCORPORAR",""))</f>
        <v/>
      </c>
    </row>
    <row r="4526" customFormat="false" ht="15" hidden="false" customHeight="false" outlineLevel="0" collapsed="false">
      <c r="A4526" s="13" t="s">
        <v>14361</v>
      </c>
      <c r="B4526" s="13" t="n">
        <v>4521</v>
      </c>
      <c r="C4526" s="13" t="s">
        <v>14362</v>
      </c>
      <c r="D4526" s="13" t="n">
        <v>7</v>
      </c>
      <c r="E4526" s="38" t="s">
        <v>14363</v>
      </c>
      <c r="F4526" s="13" t="s">
        <v>1298</v>
      </c>
      <c r="G4526" s="13" t="s">
        <v>1063</v>
      </c>
      <c r="H4526" s="13" t="s">
        <v>14297</v>
      </c>
      <c r="I4526" s="13" t="s">
        <v>136</v>
      </c>
      <c r="J4526" s="13" t="s">
        <v>14302</v>
      </c>
      <c r="K4526" s="30" t="n">
        <v>50</v>
      </c>
      <c r="L4526" s="31" t="n">
        <v>46541</v>
      </c>
      <c r="M4526" s="31" t="n">
        <v>46590</v>
      </c>
      <c r="N4526" s="13"/>
      <c r="O4526" s="13" t="s">
        <v>1299</v>
      </c>
      <c r="P4526" s="13"/>
      <c r="Q4526" s="13"/>
    </row>
    <row r="4527" customFormat="false" ht="15" hidden="false" customHeight="false" outlineLevel="0" collapsed="false">
      <c r="A4527" s="16" t="s">
        <v>14364</v>
      </c>
      <c r="B4527" s="16" t="n">
        <v>4522</v>
      </c>
      <c r="C4527" s="16" t="s">
        <v>14365</v>
      </c>
      <c r="D4527" s="16" t="n">
        <v>8</v>
      </c>
      <c r="E4527" s="39" t="s">
        <v>14308</v>
      </c>
      <c r="F4527" s="16" t="s">
        <v>1285</v>
      </c>
      <c r="G4527" s="16" t="s">
        <v>1063</v>
      </c>
      <c r="H4527" s="16" t="s">
        <v>14297</v>
      </c>
      <c r="I4527" s="16" t="s">
        <v>136</v>
      </c>
      <c r="J4527" s="16" t="s">
        <v>14363</v>
      </c>
      <c r="K4527" s="32" t="n">
        <v>50</v>
      </c>
      <c r="L4527" s="33" t="n">
        <v>46541</v>
      </c>
      <c r="M4527" s="33" t="n">
        <v>46590</v>
      </c>
      <c r="N4527" s="16" t="s">
        <v>14313</v>
      </c>
      <c r="O4527" s="16" t="s">
        <v>1299</v>
      </c>
      <c r="P4527" s="16" t="str">
        <f aca="false">IF(AND(L4527&lt;=$D$2,M4527&gt;=$C$2),"Sí","")</f>
        <v/>
      </c>
      <c r="Q4527" s="18" t="str">
        <f aca="false">IF(COUNTIF(LOOKAHEAD!$A$5:$A$604,A4527)&gt;0,"En Lookahead",IF(P4527="Sí","INCORPORAR",""))</f>
        <v/>
      </c>
    </row>
    <row r="4528" customFormat="false" ht="15" hidden="false" customHeight="false" outlineLevel="0" collapsed="false">
      <c r="A4528" s="16" t="s">
        <v>14366</v>
      </c>
      <c r="B4528" s="16" t="n">
        <v>4523</v>
      </c>
      <c r="C4528" s="16" t="s">
        <v>14367</v>
      </c>
      <c r="D4528" s="16" t="n">
        <v>8</v>
      </c>
      <c r="E4528" s="39" t="s">
        <v>14337</v>
      </c>
      <c r="F4528" s="16" t="s">
        <v>1285</v>
      </c>
      <c r="G4528" s="16" t="s">
        <v>1063</v>
      </c>
      <c r="H4528" s="16" t="s">
        <v>14297</v>
      </c>
      <c r="I4528" s="16" t="s">
        <v>136</v>
      </c>
      <c r="J4528" s="16" t="s">
        <v>14363</v>
      </c>
      <c r="K4528" s="32" t="n">
        <v>50</v>
      </c>
      <c r="L4528" s="33" t="n">
        <v>46541</v>
      </c>
      <c r="M4528" s="33" t="n">
        <v>46590</v>
      </c>
      <c r="N4528" s="16" t="s">
        <v>14313</v>
      </c>
      <c r="O4528" s="16" t="s">
        <v>1299</v>
      </c>
      <c r="P4528" s="16" t="str">
        <f aca="false">IF(AND(L4528&lt;=$D$2,M4528&gt;=$C$2),"Sí","")</f>
        <v/>
      </c>
      <c r="Q4528" s="18" t="str">
        <f aca="false">IF(COUNTIF(LOOKAHEAD!$A$5:$A$604,A4528)&gt;0,"En Lookahead",IF(P4528="Sí","INCORPORAR",""))</f>
        <v/>
      </c>
    </row>
    <row r="4529" customFormat="false" ht="15" hidden="false" customHeight="false" outlineLevel="0" collapsed="false">
      <c r="A4529" s="16" t="s">
        <v>14368</v>
      </c>
      <c r="B4529" s="16" t="n">
        <v>4524</v>
      </c>
      <c r="C4529" s="16" t="s">
        <v>14369</v>
      </c>
      <c r="D4529" s="16" t="n">
        <v>8</v>
      </c>
      <c r="E4529" s="39" t="s">
        <v>14316</v>
      </c>
      <c r="F4529" s="16" t="s">
        <v>1285</v>
      </c>
      <c r="G4529" s="16" t="s">
        <v>1063</v>
      </c>
      <c r="H4529" s="16" t="s">
        <v>14297</v>
      </c>
      <c r="I4529" s="16" t="s">
        <v>136</v>
      </c>
      <c r="J4529" s="16" t="s">
        <v>14363</v>
      </c>
      <c r="K4529" s="32" t="n">
        <v>50</v>
      </c>
      <c r="L4529" s="33" t="n">
        <v>46541</v>
      </c>
      <c r="M4529" s="33" t="n">
        <v>46590</v>
      </c>
      <c r="N4529" s="16" t="s">
        <v>14313</v>
      </c>
      <c r="O4529" s="16" t="s">
        <v>1299</v>
      </c>
      <c r="P4529" s="16" t="str">
        <f aca="false">IF(AND(L4529&lt;=$D$2,M4529&gt;=$C$2),"Sí","")</f>
        <v/>
      </c>
      <c r="Q4529" s="18" t="str">
        <f aca="false">IF(COUNTIF(LOOKAHEAD!$A$5:$A$604,A4529)&gt;0,"En Lookahead",IF(P4529="Sí","INCORPORAR",""))</f>
        <v/>
      </c>
    </row>
    <row r="4530" customFormat="false" ht="15" hidden="false" customHeight="false" outlineLevel="0" collapsed="false">
      <c r="A4530" s="16" t="s">
        <v>14370</v>
      </c>
      <c r="B4530" s="16" t="n">
        <v>4525</v>
      </c>
      <c r="C4530" s="16" t="s">
        <v>14371</v>
      </c>
      <c r="D4530" s="16" t="n">
        <v>8</v>
      </c>
      <c r="E4530" s="39" t="s">
        <v>14319</v>
      </c>
      <c r="F4530" s="16" t="s">
        <v>1285</v>
      </c>
      <c r="G4530" s="16" t="s">
        <v>1063</v>
      </c>
      <c r="H4530" s="16" t="s">
        <v>14297</v>
      </c>
      <c r="I4530" s="16" t="s">
        <v>136</v>
      </c>
      <c r="J4530" s="16" t="s">
        <v>14363</v>
      </c>
      <c r="K4530" s="32" t="n">
        <v>50</v>
      </c>
      <c r="L4530" s="33" t="n">
        <v>46541</v>
      </c>
      <c r="M4530" s="33" t="n">
        <v>46590</v>
      </c>
      <c r="N4530" s="16" t="s">
        <v>14313</v>
      </c>
      <c r="O4530" s="16" t="s">
        <v>1299</v>
      </c>
      <c r="P4530" s="16" t="str">
        <f aca="false">IF(AND(L4530&lt;=$D$2,M4530&gt;=$C$2),"Sí","")</f>
        <v/>
      </c>
      <c r="Q4530" s="18" t="str">
        <f aca="false">IF(COUNTIF(LOOKAHEAD!$A$5:$A$604,A4530)&gt;0,"En Lookahead",IF(P4530="Sí","INCORPORAR",""))</f>
        <v/>
      </c>
    </row>
    <row r="4531" customFormat="false" ht="15" hidden="false" customHeight="false" outlineLevel="0" collapsed="false">
      <c r="A4531" s="16" t="s">
        <v>14372</v>
      </c>
      <c r="B4531" s="16" t="n">
        <v>4526</v>
      </c>
      <c r="C4531" s="16" t="s">
        <v>14373</v>
      </c>
      <c r="D4531" s="16" t="n">
        <v>8</v>
      </c>
      <c r="E4531" s="39" t="s">
        <v>14322</v>
      </c>
      <c r="F4531" s="16" t="s">
        <v>1285</v>
      </c>
      <c r="G4531" s="16" t="s">
        <v>1063</v>
      </c>
      <c r="H4531" s="16" t="s">
        <v>14297</v>
      </c>
      <c r="I4531" s="16" t="s">
        <v>136</v>
      </c>
      <c r="J4531" s="16" t="s">
        <v>14363</v>
      </c>
      <c r="K4531" s="32" t="n">
        <v>50</v>
      </c>
      <c r="L4531" s="33" t="n">
        <v>46541</v>
      </c>
      <c r="M4531" s="33" t="n">
        <v>46590</v>
      </c>
      <c r="N4531" s="16" t="s">
        <v>14313</v>
      </c>
      <c r="O4531" s="16" t="s">
        <v>1299</v>
      </c>
      <c r="P4531" s="16" t="str">
        <f aca="false">IF(AND(L4531&lt;=$D$2,M4531&gt;=$C$2),"Sí","")</f>
        <v/>
      </c>
      <c r="Q4531" s="18" t="str">
        <f aca="false">IF(COUNTIF(LOOKAHEAD!$A$5:$A$604,A4531)&gt;0,"En Lookahead",IF(P4531="Sí","INCORPORAR",""))</f>
        <v/>
      </c>
    </row>
    <row r="4532" customFormat="false" ht="15" hidden="false" customHeight="false" outlineLevel="0" collapsed="false">
      <c r="A4532" s="16" t="s">
        <v>14374</v>
      </c>
      <c r="B4532" s="16" t="n">
        <v>4527</v>
      </c>
      <c r="C4532" s="16" t="s">
        <v>14375</v>
      </c>
      <c r="D4532" s="16" t="n">
        <v>8</v>
      </c>
      <c r="E4532" s="39" t="s">
        <v>14325</v>
      </c>
      <c r="F4532" s="16" t="s">
        <v>1285</v>
      </c>
      <c r="G4532" s="16" t="s">
        <v>1063</v>
      </c>
      <c r="H4532" s="16" t="s">
        <v>14297</v>
      </c>
      <c r="I4532" s="16" t="s">
        <v>136</v>
      </c>
      <c r="J4532" s="16" t="s">
        <v>14363</v>
      </c>
      <c r="K4532" s="32" t="n">
        <v>50</v>
      </c>
      <c r="L4532" s="33" t="n">
        <v>46541</v>
      </c>
      <c r="M4532" s="33" t="n">
        <v>46590</v>
      </c>
      <c r="N4532" s="16" t="s">
        <v>14313</v>
      </c>
      <c r="O4532" s="16" t="s">
        <v>1299</v>
      </c>
      <c r="P4532" s="16" t="str">
        <f aca="false">IF(AND(L4532&lt;=$D$2,M4532&gt;=$C$2),"Sí","")</f>
        <v/>
      </c>
      <c r="Q4532" s="18" t="str">
        <f aca="false">IF(COUNTIF(LOOKAHEAD!$A$5:$A$604,A4532)&gt;0,"En Lookahead",IF(P4532="Sí","INCORPORAR",""))</f>
        <v/>
      </c>
    </row>
    <row r="4533" customFormat="false" ht="15" hidden="false" customHeight="false" outlineLevel="0" collapsed="false">
      <c r="A4533" s="16" t="s">
        <v>14376</v>
      </c>
      <c r="B4533" s="16" t="n">
        <v>4528</v>
      </c>
      <c r="C4533" s="16" t="s">
        <v>14377</v>
      </c>
      <c r="D4533" s="16" t="n">
        <v>8</v>
      </c>
      <c r="E4533" s="39" t="s">
        <v>14378</v>
      </c>
      <c r="F4533" s="16" t="s">
        <v>1285</v>
      </c>
      <c r="G4533" s="16" t="s">
        <v>1063</v>
      </c>
      <c r="H4533" s="16" t="s">
        <v>14297</v>
      </c>
      <c r="I4533" s="16" t="s">
        <v>136</v>
      </c>
      <c r="J4533" s="16" t="s">
        <v>14363</v>
      </c>
      <c r="K4533" s="32" t="n">
        <v>50</v>
      </c>
      <c r="L4533" s="33" t="n">
        <v>46541</v>
      </c>
      <c r="M4533" s="33" t="n">
        <v>46590</v>
      </c>
      <c r="N4533" s="16" t="s">
        <v>14313</v>
      </c>
      <c r="O4533" s="16" t="s">
        <v>1299</v>
      </c>
      <c r="P4533" s="16" t="str">
        <f aca="false">IF(AND(L4533&lt;=$D$2,M4533&gt;=$C$2),"Sí","")</f>
        <v/>
      </c>
      <c r="Q4533" s="18" t="str">
        <f aca="false">IF(COUNTIF(LOOKAHEAD!$A$5:$A$604,A4533)&gt;0,"En Lookahead",IF(P4533="Sí","INCORPORAR",""))</f>
        <v/>
      </c>
    </row>
    <row r="4534" customFormat="false" ht="15" hidden="false" customHeight="false" outlineLevel="0" collapsed="false">
      <c r="A4534" s="16" t="s">
        <v>14379</v>
      </c>
      <c r="B4534" s="16" t="n">
        <v>4529</v>
      </c>
      <c r="C4534" s="16" t="s">
        <v>14380</v>
      </c>
      <c r="D4534" s="16" t="n">
        <v>8</v>
      </c>
      <c r="E4534" s="39" t="s">
        <v>14381</v>
      </c>
      <c r="F4534" s="16" t="s">
        <v>1285</v>
      </c>
      <c r="G4534" s="16" t="s">
        <v>1063</v>
      </c>
      <c r="H4534" s="16" t="s">
        <v>14297</v>
      </c>
      <c r="I4534" s="16" t="s">
        <v>136</v>
      </c>
      <c r="J4534" s="16" t="s">
        <v>14363</v>
      </c>
      <c r="K4534" s="32" t="n">
        <v>50</v>
      </c>
      <c r="L4534" s="33" t="n">
        <v>46541</v>
      </c>
      <c r="M4534" s="33" t="n">
        <v>46590</v>
      </c>
      <c r="N4534" s="16" t="s">
        <v>14313</v>
      </c>
      <c r="O4534" s="16" t="s">
        <v>1299</v>
      </c>
      <c r="P4534" s="16" t="str">
        <f aca="false">IF(AND(L4534&lt;=$D$2,M4534&gt;=$C$2),"Sí","")</f>
        <v/>
      </c>
      <c r="Q4534" s="18" t="str">
        <f aca="false">IF(COUNTIF(LOOKAHEAD!$A$5:$A$604,A4534)&gt;0,"En Lookahead",IF(P4534="Sí","INCORPORAR",""))</f>
        <v/>
      </c>
    </row>
    <row r="4535" customFormat="false" ht="15" hidden="false" customHeight="false" outlineLevel="0" collapsed="false">
      <c r="A4535" s="16" t="s">
        <v>14382</v>
      </c>
      <c r="B4535" s="16" t="n">
        <v>4530</v>
      </c>
      <c r="C4535" s="16" t="s">
        <v>14383</v>
      </c>
      <c r="D4535" s="16" t="n">
        <v>8</v>
      </c>
      <c r="E4535" s="39" t="s">
        <v>14384</v>
      </c>
      <c r="F4535" s="16" t="s">
        <v>1285</v>
      </c>
      <c r="G4535" s="16" t="s">
        <v>1063</v>
      </c>
      <c r="H4535" s="16" t="s">
        <v>14297</v>
      </c>
      <c r="I4535" s="16" t="s">
        <v>136</v>
      </c>
      <c r="J4535" s="16" t="s">
        <v>14363</v>
      </c>
      <c r="K4535" s="32" t="n">
        <v>50</v>
      </c>
      <c r="L4535" s="33" t="n">
        <v>46541</v>
      </c>
      <c r="M4535" s="33" t="n">
        <v>46590</v>
      </c>
      <c r="N4535" s="16" t="s">
        <v>14313</v>
      </c>
      <c r="O4535" s="16" t="s">
        <v>1299</v>
      </c>
      <c r="P4535" s="16" t="str">
        <f aca="false">IF(AND(L4535&lt;=$D$2,M4535&gt;=$C$2),"Sí","")</f>
        <v/>
      </c>
      <c r="Q4535" s="18" t="str">
        <f aca="false">IF(COUNTIF(LOOKAHEAD!$A$5:$A$604,A4535)&gt;0,"En Lookahead",IF(P4535="Sí","INCORPORAR",""))</f>
        <v/>
      </c>
    </row>
    <row r="4536" customFormat="false" ht="15" hidden="false" customHeight="false" outlineLevel="0" collapsed="false">
      <c r="A4536" s="13" t="s">
        <v>14385</v>
      </c>
      <c r="B4536" s="13" t="n">
        <v>4531</v>
      </c>
      <c r="C4536" s="13" t="s">
        <v>14386</v>
      </c>
      <c r="D4536" s="13" t="n">
        <v>7</v>
      </c>
      <c r="E4536" s="38" t="s">
        <v>14387</v>
      </c>
      <c r="F4536" s="13" t="s">
        <v>1298</v>
      </c>
      <c r="G4536" s="13" t="s">
        <v>1063</v>
      </c>
      <c r="H4536" s="13" t="s">
        <v>14297</v>
      </c>
      <c r="I4536" s="13" t="s">
        <v>136</v>
      </c>
      <c r="J4536" s="13" t="s">
        <v>14302</v>
      </c>
      <c r="K4536" s="30" t="n">
        <v>50</v>
      </c>
      <c r="L4536" s="31" t="n">
        <v>46541</v>
      </c>
      <c r="M4536" s="31" t="n">
        <v>46590</v>
      </c>
      <c r="N4536" s="13"/>
      <c r="O4536" s="13" t="s">
        <v>1299</v>
      </c>
      <c r="P4536" s="13"/>
      <c r="Q4536" s="13"/>
    </row>
    <row r="4537" customFormat="false" ht="15" hidden="false" customHeight="false" outlineLevel="0" collapsed="false">
      <c r="A4537" s="16" t="s">
        <v>14388</v>
      </c>
      <c r="B4537" s="16" t="n">
        <v>4532</v>
      </c>
      <c r="C4537" s="16" t="s">
        <v>14389</v>
      </c>
      <c r="D4537" s="16" t="n">
        <v>8</v>
      </c>
      <c r="E4537" s="39" t="s">
        <v>14308</v>
      </c>
      <c r="F4537" s="16" t="s">
        <v>1285</v>
      </c>
      <c r="G4537" s="16" t="s">
        <v>1063</v>
      </c>
      <c r="H4537" s="16" t="s">
        <v>14297</v>
      </c>
      <c r="I4537" s="16" t="s">
        <v>136</v>
      </c>
      <c r="J4537" s="16" t="s">
        <v>14387</v>
      </c>
      <c r="K4537" s="32" t="n">
        <v>50</v>
      </c>
      <c r="L4537" s="33" t="n">
        <v>46541</v>
      </c>
      <c r="M4537" s="33" t="n">
        <v>46590</v>
      </c>
      <c r="N4537" s="16" t="s">
        <v>14313</v>
      </c>
      <c r="O4537" s="16" t="s">
        <v>1299</v>
      </c>
      <c r="P4537" s="16" t="str">
        <f aca="false">IF(AND(L4537&lt;=$D$2,M4537&gt;=$C$2),"Sí","")</f>
        <v/>
      </c>
      <c r="Q4537" s="18" t="str">
        <f aca="false">IF(COUNTIF(LOOKAHEAD!$A$5:$A$604,A4537)&gt;0,"En Lookahead",IF(P4537="Sí","INCORPORAR",""))</f>
        <v/>
      </c>
    </row>
    <row r="4538" customFormat="false" ht="15" hidden="false" customHeight="false" outlineLevel="0" collapsed="false">
      <c r="A4538" s="16" t="s">
        <v>14390</v>
      </c>
      <c r="B4538" s="16" t="n">
        <v>4533</v>
      </c>
      <c r="C4538" s="16" t="s">
        <v>14391</v>
      </c>
      <c r="D4538" s="16" t="n">
        <v>8</v>
      </c>
      <c r="E4538" s="39" t="s">
        <v>14392</v>
      </c>
      <c r="F4538" s="16" t="s">
        <v>1285</v>
      </c>
      <c r="G4538" s="16" t="s">
        <v>1063</v>
      </c>
      <c r="H4538" s="16" t="s">
        <v>14297</v>
      </c>
      <c r="I4538" s="16" t="s">
        <v>136</v>
      </c>
      <c r="J4538" s="16" t="s">
        <v>14387</v>
      </c>
      <c r="K4538" s="32" t="n">
        <v>50</v>
      </c>
      <c r="L4538" s="33" t="n">
        <v>46541</v>
      </c>
      <c r="M4538" s="33" t="n">
        <v>46590</v>
      </c>
      <c r="N4538" s="16" t="s">
        <v>14313</v>
      </c>
      <c r="O4538" s="16" t="s">
        <v>1299</v>
      </c>
      <c r="P4538" s="16" t="str">
        <f aca="false">IF(AND(L4538&lt;=$D$2,M4538&gt;=$C$2),"Sí","")</f>
        <v/>
      </c>
      <c r="Q4538" s="18" t="str">
        <f aca="false">IF(COUNTIF(LOOKAHEAD!$A$5:$A$604,A4538)&gt;0,"En Lookahead",IF(P4538="Sí","INCORPORAR",""))</f>
        <v/>
      </c>
    </row>
    <row r="4539" customFormat="false" ht="15" hidden="false" customHeight="false" outlineLevel="0" collapsed="false">
      <c r="A4539" s="16" t="s">
        <v>14393</v>
      </c>
      <c r="B4539" s="16" t="n">
        <v>4534</v>
      </c>
      <c r="C4539" s="16" t="s">
        <v>14394</v>
      </c>
      <c r="D4539" s="16" t="n">
        <v>8</v>
      </c>
      <c r="E4539" s="39" t="s">
        <v>14337</v>
      </c>
      <c r="F4539" s="16" t="s">
        <v>1285</v>
      </c>
      <c r="G4539" s="16" t="s">
        <v>1063</v>
      </c>
      <c r="H4539" s="16" t="s">
        <v>14297</v>
      </c>
      <c r="I4539" s="16" t="s">
        <v>136</v>
      </c>
      <c r="J4539" s="16" t="s">
        <v>14387</v>
      </c>
      <c r="K4539" s="32" t="n">
        <v>50</v>
      </c>
      <c r="L4539" s="33" t="n">
        <v>46541</v>
      </c>
      <c r="M4539" s="33" t="n">
        <v>46590</v>
      </c>
      <c r="N4539" s="16" t="s">
        <v>14313</v>
      </c>
      <c r="O4539" s="16" t="s">
        <v>1299</v>
      </c>
      <c r="P4539" s="16" t="str">
        <f aca="false">IF(AND(L4539&lt;=$D$2,M4539&gt;=$C$2),"Sí","")</f>
        <v/>
      </c>
      <c r="Q4539" s="18" t="str">
        <f aca="false">IF(COUNTIF(LOOKAHEAD!$A$5:$A$604,A4539)&gt;0,"En Lookahead",IF(P4539="Sí","INCORPORAR",""))</f>
        <v/>
      </c>
    </row>
    <row r="4540" customFormat="false" ht="15" hidden="false" customHeight="false" outlineLevel="0" collapsed="false">
      <c r="A4540" s="16" t="s">
        <v>14395</v>
      </c>
      <c r="B4540" s="16" t="n">
        <v>4535</v>
      </c>
      <c r="C4540" s="16" t="s">
        <v>14396</v>
      </c>
      <c r="D4540" s="16" t="n">
        <v>8</v>
      </c>
      <c r="E4540" s="39" t="s">
        <v>14316</v>
      </c>
      <c r="F4540" s="16" t="s">
        <v>1285</v>
      </c>
      <c r="G4540" s="16" t="s">
        <v>1063</v>
      </c>
      <c r="H4540" s="16" t="s">
        <v>14297</v>
      </c>
      <c r="I4540" s="16" t="s">
        <v>136</v>
      </c>
      <c r="J4540" s="16" t="s">
        <v>14387</v>
      </c>
      <c r="K4540" s="32" t="n">
        <v>50</v>
      </c>
      <c r="L4540" s="33" t="n">
        <v>46541</v>
      </c>
      <c r="M4540" s="33" t="n">
        <v>46590</v>
      </c>
      <c r="N4540" s="16" t="s">
        <v>14313</v>
      </c>
      <c r="O4540" s="16" t="s">
        <v>1299</v>
      </c>
      <c r="P4540" s="16" t="str">
        <f aca="false">IF(AND(L4540&lt;=$D$2,M4540&gt;=$C$2),"Sí","")</f>
        <v/>
      </c>
      <c r="Q4540" s="18" t="str">
        <f aca="false">IF(COUNTIF(LOOKAHEAD!$A$5:$A$604,A4540)&gt;0,"En Lookahead",IF(P4540="Sí","INCORPORAR",""))</f>
        <v/>
      </c>
    </row>
    <row r="4541" customFormat="false" ht="15" hidden="false" customHeight="false" outlineLevel="0" collapsed="false">
      <c r="A4541" s="16" t="s">
        <v>14397</v>
      </c>
      <c r="B4541" s="16" t="n">
        <v>4536</v>
      </c>
      <c r="C4541" s="16" t="s">
        <v>14398</v>
      </c>
      <c r="D4541" s="16" t="n">
        <v>8</v>
      </c>
      <c r="E4541" s="39" t="s">
        <v>14319</v>
      </c>
      <c r="F4541" s="16" t="s">
        <v>1285</v>
      </c>
      <c r="G4541" s="16" t="s">
        <v>1063</v>
      </c>
      <c r="H4541" s="16" t="s">
        <v>14297</v>
      </c>
      <c r="I4541" s="16" t="s">
        <v>136</v>
      </c>
      <c r="J4541" s="16" t="s">
        <v>14387</v>
      </c>
      <c r="K4541" s="32" t="n">
        <v>50</v>
      </c>
      <c r="L4541" s="33" t="n">
        <v>46541</v>
      </c>
      <c r="M4541" s="33" t="n">
        <v>46590</v>
      </c>
      <c r="N4541" s="16" t="s">
        <v>14313</v>
      </c>
      <c r="O4541" s="16" t="s">
        <v>1299</v>
      </c>
      <c r="P4541" s="16" t="str">
        <f aca="false">IF(AND(L4541&lt;=$D$2,M4541&gt;=$C$2),"Sí","")</f>
        <v/>
      </c>
      <c r="Q4541" s="18" t="str">
        <f aca="false">IF(COUNTIF(LOOKAHEAD!$A$5:$A$604,A4541)&gt;0,"En Lookahead",IF(P4541="Sí","INCORPORAR",""))</f>
        <v/>
      </c>
    </row>
    <row r="4542" customFormat="false" ht="15" hidden="false" customHeight="false" outlineLevel="0" collapsed="false">
      <c r="A4542" s="16" t="s">
        <v>14399</v>
      </c>
      <c r="B4542" s="16" t="n">
        <v>4537</v>
      </c>
      <c r="C4542" s="16" t="s">
        <v>14400</v>
      </c>
      <c r="D4542" s="16" t="n">
        <v>8</v>
      </c>
      <c r="E4542" s="39" t="s">
        <v>14322</v>
      </c>
      <c r="F4542" s="16" t="s">
        <v>1285</v>
      </c>
      <c r="G4542" s="16" t="s">
        <v>1063</v>
      </c>
      <c r="H4542" s="16" t="s">
        <v>14297</v>
      </c>
      <c r="I4542" s="16" t="s">
        <v>136</v>
      </c>
      <c r="J4542" s="16" t="s">
        <v>14387</v>
      </c>
      <c r="K4542" s="32" t="n">
        <v>50</v>
      </c>
      <c r="L4542" s="33" t="n">
        <v>46541</v>
      </c>
      <c r="M4542" s="33" t="n">
        <v>46590</v>
      </c>
      <c r="N4542" s="16" t="s">
        <v>14313</v>
      </c>
      <c r="O4542" s="16" t="s">
        <v>1299</v>
      </c>
      <c r="P4542" s="16" t="str">
        <f aca="false">IF(AND(L4542&lt;=$D$2,M4542&gt;=$C$2),"Sí","")</f>
        <v/>
      </c>
      <c r="Q4542" s="18" t="str">
        <f aca="false">IF(COUNTIF(LOOKAHEAD!$A$5:$A$604,A4542)&gt;0,"En Lookahead",IF(P4542="Sí","INCORPORAR",""))</f>
        <v/>
      </c>
    </row>
    <row r="4543" customFormat="false" ht="15" hidden="false" customHeight="false" outlineLevel="0" collapsed="false">
      <c r="A4543" s="16" t="s">
        <v>14401</v>
      </c>
      <c r="B4543" s="16" t="n">
        <v>4538</v>
      </c>
      <c r="C4543" s="16" t="s">
        <v>14402</v>
      </c>
      <c r="D4543" s="16" t="n">
        <v>8</v>
      </c>
      <c r="E4543" s="39" t="s">
        <v>14403</v>
      </c>
      <c r="F4543" s="16" t="s">
        <v>1285</v>
      </c>
      <c r="G4543" s="16" t="s">
        <v>1063</v>
      </c>
      <c r="H4543" s="16" t="s">
        <v>14297</v>
      </c>
      <c r="I4543" s="16" t="s">
        <v>136</v>
      </c>
      <c r="J4543" s="16" t="s">
        <v>14387</v>
      </c>
      <c r="K4543" s="32" t="n">
        <v>50</v>
      </c>
      <c r="L4543" s="33" t="n">
        <v>46541</v>
      </c>
      <c r="M4543" s="33" t="n">
        <v>46590</v>
      </c>
      <c r="N4543" s="16" t="s">
        <v>14313</v>
      </c>
      <c r="O4543" s="16" t="s">
        <v>1299</v>
      </c>
      <c r="P4543" s="16" t="str">
        <f aca="false">IF(AND(L4543&lt;=$D$2,M4543&gt;=$C$2),"Sí","")</f>
        <v/>
      </c>
      <c r="Q4543" s="18" t="str">
        <f aca="false">IF(COUNTIF(LOOKAHEAD!$A$5:$A$604,A4543)&gt;0,"En Lookahead",IF(P4543="Sí","INCORPORAR",""))</f>
        <v/>
      </c>
    </row>
    <row r="4544" customFormat="false" ht="15" hidden="false" customHeight="false" outlineLevel="0" collapsed="false">
      <c r="A4544" s="16" t="s">
        <v>14404</v>
      </c>
      <c r="B4544" s="16" t="n">
        <v>4539</v>
      </c>
      <c r="C4544" s="16" t="s">
        <v>14405</v>
      </c>
      <c r="D4544" s="16" t="n">
        <v>8</v>
      </c>
      <c r="E4544" s="39" t="s">
        <v>14325</v>
      </c>
      <c r="F4544" s="16" t="s">
        <v>1285</v>
      </c>
      <c r="G4544" s="16" t="s">
        <v>1063</v>
      </c>
      <c r="H4544" s="16" t="s">
        <v>14297</v>
      </c>
      <c r="I4544" s="16" t="s">
        <v>136</v>
      </c>
      <c r="J4544" s="16" t="s">
        <v>14387</v>
      </c>
      <c r="K4544" s="32" t="n">
        <v>50</v>
      </c>
      <c r="L4544" s="33" t="n">
        <v>46541</v>
      </c>
      <c r="M4544" s="33" t="n">
        <v>46590</v>
      </c>
      <c r="N4544" s="16" t="s">
        <v>14313</v>
      </c>
      <c r="O4544" s="16" t="s">
        <v>1299</v>
      </c>
      <c r="P4544" s="16" t="str">
        <f aca="false">IF(AND(L4544&lt;=$D$2,M4544&gt;=$C$2),"Sí","")</f>
        <v/>
      </c>
      <c r="Q4544" s="18" t="str">
        <f aca="false">IF(COUNTIF(LOOKAHEAD!$A$5:$A$604,A4544)&gt;0,"En Lookahead",IF(P4544="Sí","INCORPORAR",""))</f>
        <v/>
      </c>
    </row>
    <row r="4545" customFormat="false" ht="15" hidden="false" customHeight="false" outlineLevel="0" collapsed="false">
      <c r="A4545" s="13" t="s">
        <v>14406</v>
      </c>
      <c r="B4545" s="13" t="n">
        <v>4540</v>
      </c>
      <c r="C4545" s="13" t="s">
        <v>14407</v>
      </c>
      <c r="D4545" s="13" t="n">
        <v>7</v>
      </c>
      <c r="E4545" s="38" t="s">
        <v>14408</v>
      </c>
      <c r="F4545" s="13" t="s">
        <v>1298</v>
      </c>
      <c r="G4545" s="13" t="s">
        <v>1063</v>
      </c>
      <c r="H4545" s="13" t="s">
        <v>14297</v>
      </c>
      <c r="I4545" s="13" t="s">
        <v>136</v>
      </c>
      <c r="J4545" s="13" t="s">
        <v>14302</v>
      </c>
      <c r="K4545" s="30" t="n">
        <v>50</v>
      </c>
      <c r="L4545" s="31" t="n">
        <v>46541</v>
      </c>
      <c r="M4545" s="31" t="n">
        <v>46590</v>
      </c>
      <c r="N4545" s="13"/>
      <c r="O4545" s="13" t="s">
        <v>1299</v>
      </c>
      <c r="P4545" s="13"/>
      <c r="Q4545" s="13"/>
    </row>
    <row r="4546" customFormat="false" ht="15" hidden="false" customHeight="false" outlineLevel="0" collapsed="false">
      <c r="A4546" s="16" t="s">
        <v>14409</v>
      </c>
      <c r="B4546" s="16" t="n">
        <v>4541</v>
      </c>
      <c r="C4546" s="16" t="s">
        <v>14410</v>
      </c>
      <c r="D4546" s="16" t="n">
        <v>8</v>
      </c>
      <c r="E4546" s="39" t="s">
        <v>14308</v>
      </c>
      <c r="F4546" s="16" t="s">
        <v>1285</v>
      </c>
      <c r="G4546" s="16" t="s">
        <v>1063</v>
      </c>
      <c r="H4546" s="16" t="s">
        <v>14297</v>
      </c>
      <c r="I4546" s="16" t="s">
        <v>136</v>
      </c>
      <c r="J4546" s="16" t="s">
        <v>14408</v>
      </c>
      <c r="K4546" s="32" t="n">
        <v>50</v>
      </c>
      <c r="L4546" s="33" t="n">
        <v>46541</v>
      </c>
      <c r="M4546" s="33" t="n">
        <v>46590</v>
      </c>
      <c r="N4546" s="16" t="s">
        <v>14313</v>
      </c>
      <c r="O4546" s="16" t="s">
        <v>1299</v>
      </c>
      <c r="P4546" s="16" t="str">
        <f aca="false">IF(AND(L4546&lt;=$D$2,M4546&gt;=$C$2),"Sí","")</f>
        <v/>
      </c>
      <c r="Q4546" s="18" t="str">
        <f aca="false">IF(COUNTIF(LOOKAHEAD!$A$5:$A$604,A4546)&gt;0,"En Lookahead",IF(P4546="Sí","INCORPORAR",""))</f>
        <v/>
      </c>
    </row>
    <row r="4547" customFormat="false" ht="15" hidden="false" customHeight="false" outlineLevel="0" collapsed="false">
      <c r="A4547" s="16" t="s">
        <v>14411</v>
      </c>
      <c r="B4547" s="16" t="n">
        <v>4542</v>
      </c>
      <c r="C4547" s="16" t="s">
        <v>14412</v>
      </c>
      <c r="D4547" s="16" t="n">
        <v>8</v>
      </c>
      <c r="E4547" s="39" t="s">
        <v>14392</v>
      </c>
      <c r="F4547" s="16" t="s">
        <v>1285</v>
      </c>
      <c r="G4547" s="16" t="s">
        <v>1063</v>
      </c>
      <c r="H4547" s="16" t="s">
        <v>14297</v>
      </c>
      <c r="I4547" s="16" t="s">
        <v>136</v>
      </c>
      <c r="J4547" s="16" t="s">
        <v>14408</v>
      </c>
      <c r="K4547" s="32" t="n">
        <v>50</v>
      </c>
      <c r="L4547" s="33" t="n">
        <v>46541</v>
      </c>
      <c r="M4547" s="33" t="n">
        <v>46590</v>
      </c>
      <c r="N4547" s="16" t="s">
        <v>14313</v>
      </c>
      <c r="O4547" s="16" t="s">
        <v>1299</v>
      </c>
      <c r="P4547" s="16" t="str">
        <f aca="false">IF(AND(L4547&lt;=$D$2,M4547&gt;=$C$2),"Sí","")</f>
        <v/>
      </c>
      <c r="Q4547" s="18" t="str">
        <f aca="false">IF(COUNTIF(LOOKAHEAD!$A$5:$A$604,A4547)&gt;0,"En Lookahead",IF(P4547="Sí","INCORPORAR",""))</f>
        <v/>
      </c>
    </row>
    <row r="4548" customFormat="false" ht="15" hidden="false" customHeight="false" outlineLevel="0" collapsed="false">
      <c r="A4548" s="16" t="s">
        <v>14413</v>
      </c>
      <c r="B4548" s="16" t="n">
        <v>4543</v>
      </c>
      <c r="C4548" s="16" t="s">
        <v>14414</v>
      </c>
      <c r="D4548" s="16" t="n">
        <v>8</v>
      </c>
      <c r="E4548" s="39" t="s">
        <v>14337</v>
      </c>
      <c r="F4548" s="16" t="s">
        <v>1285</v>
      </c>
      <c r="G4548" s="16" t="s">
        <v>1063</v>
      </c>
      <c r="H4548" s="16" t="s">
        <v>14297</v>
      </c>
      <c r="I4548" s="16" t="s">
        <v>136</v>
      </c>
      <c r="J4548" s="16" t="s">
        <v>14408</v>
      </c>
      <c r="K4548" s="32" t="n">
        <v>50</v>
      </c>
      <c r="L4548" s="33" t="n">
        <v>46541</v>
      </c>
      <c r="M4548" s="33" t="n">
        <v>46590</v>
      </c>
      <c r="N4548" s="16" t="s">
        <v>14313</v>
      </c>
      <c r="O4548" s="16" t="s">
        <v>1299</v>
      </c>
      <c r="P4548" s="16" t="str">
        <f aca="false">IF(AND(L4548&lt;=$D$2,M4548&gt;=$C$2),"Sí","")</f>
        <v/>
      </c>
      <c r="Q4548" s="18" t="str">
        <f aca="false">IF(COUNTIF(LOOKAHEAD!$A$5:$A$604,A4548)&gt;0,"En Lookahead",IF(P4548="Sí","INCORPORAR",""))</f>
        <v/>
      </c>
    </row>
    <row r="4549" customFormat="false" ht="15" hidden="false" customHeight="false" outlineLevel="0" collapsed="false">
      <c r="A4549" s="16" t="s">
        <v>14415</v>
      </c>
      <c r="B4549" s="16" t="n">
        <v>4544</v>
      </c>
      <c r="C4549" s="16" t="s">
        <v>14416</v>
      </c>
      <c r="D4549" s="16" t="n">
        <v>8</v>
      </c>
      <c r="E4549" s="39" t="s">
        <v>14316</v>
      </c>
      <c r="F4549" s="16" t="s">
        <v>1285</v>
      </c>
      <c r="G4549" s="16" t="s">
        <v>1063</v>
      </c>
      <c r="H4549" s="16" t="s">
        <v>14297</v>
      </c>
      <c r="I4549" s="16" t="s">
        <v>136</v>
      </c>
      <c r="J4549" s="16" t="s">
        <v>14408</v>
      </c>
      <c r="K4549" s="32" t="n">
        <v>50</v>
      </c>
      <c r="L4549" s="33" t="n">
        <v>46541</v>
      </c>
      <c r="M4549" s="33" t="n">
        <v>46590</v>
      </c>
      <c r="N4549" s="16" t="s">
        <v>14313</v>
      </c>
      <c r="O4549" s="16" t="s">
        <v>1299</v>
      </c>
      <c r="P4549" s="16" t="str">
        <f aca="false">IF(AND(L4549&lt;=$D$2,M4549&gt;=$C$2),"Sí","")</f>
        <v/>
      </c>
      <c r="Q4549" s="18" t="str">
        <f aca="false">IF(COUNTIF(LOOKAHEAD!$A$5:$A$604,A4549)&gt;0,"En Lookahead",IF(P4549="Sí","INCORPORAR",""))</f>
        <v/>
      </c>
    </row>
    <row r="4550" customFormat="false" ht="15" hidden="false" customHeight="false" outlineLevel="0" collapsed="false">
      <c r="A4550" s="16" t="s">
        <v>14417</v>
      </c>
      <c r="B4550" s="16" t="n">
        <v>4545</v>
      </c>
      <c r="C4550" s="16" t="s">
        <v>14418</v>
      </c>
      <c r="D4550" s="16" t="n">
        <v>8</v>
      </c>
      <c r="E4550" s="39" t="s">
        <v>14319</v>
      </c>
      <c r="F4550" s="16" t="s">
        <v>1285</v>
      </c>
      <c r="G4550" s="16" t="s">
        <v>1063</v>
      </c>
      <c r="H4550" s="16" t="s">
        <v>14297</v>
      </c>
      <c r="I4550" s="16" t="s">
        <v>136</v>
      </c>
      <c r="J4550" s="16" t="s">
        <v>14408</v>
      </c>
      <c r="K4550" s="32" t="n">
        <v>50</v>
      </c>
      <c r="L4550" s="33" t="n">
        <v>46541</v>
      </c>
      <c r="M4550" s="33" t="n">
        <v>46590</v>
      </c>
      <c r="N4550" s="16" t="s">
        <v>14313</v>
      </c>
      <c r="O4550" s="16" t="s">
        <v>1299</v>
      </c>
      <c r="P4550" s="16" t="str">
        <f aca="false">IF(AND(L4550&lt;=$D$2,M4550&gt;=$C$2),"Sí","")</f>
        <v/>
      </c>
      <c r="Q4550" s="18" t="str">
        <f aca="false">IF(COUNTIF(LOOKAHEAD!$A$5:$A$604,A4550)&gt;0,"En Lookahead",IF(P4550="Sí","INCORPORAR",""))</f>
        <v/>
      </c>
    </row>
    <row r="4551" customFormat="false" ht="15" hidden="false" customHeight="false" outlineLevel="0" collapsed="false">
      <c r="A4551" s="16" t="s">
        <v>14419</v>
      </c>
      <c r="B4551" s="16" t="n">
        <v>4546</v>
      </c>
      <c r="C4551" s="16" t="s">
        <v>14420</v>
      </c>
      <c r="D4551" s="16" t="n">
        <v>8</v>
      </c>
      <c r="E4551" s="39" t="s">
        <v>14322</v>
      </c>
      <c r="F4551" s="16" t="s">
        <v>1285</v>
      </c>
      <c r="G4551" s="16" t="s">
        <v>1063</v>
      </c>
      <c r="H4551" s="16" t="s">
        <v>14297</v>
      </c>
      <c r="I4551" s="16" t="s">
        <v>136</v>
      </c>
      <c r="J4551" s="16" t="s">
        <v>14408</v>
      </c>
      <c r="K4551" s="32" t="n">
        <v>50</v>
      </c>
      <c r="L4551" s="33" t="n">
        <v>46541</v>
      </c>
      <c r="M4551" s="33" t="n">
        <v>46590</v>
      </c>
      <c r="N4551" s="16" t="s">
        <v>14313</v>
      </c>
      <c r="O4551" s="16" t="s">
        <v>1299</v>
      </c>
      <c r="P4551" s="16" t="str">
        <f aca="false">IF(AND(L4551&lt;=$D$2,M4551&gt;=$C$2),"Sí","")</f>
        <v/>
      </c>
      <c r="Q4551" s="18" t="str">
        <f aca="false">IF(COUNTIF(LOOKAHEAD!$A$5:$A$604,A4551)&gt;0,"En Lookahead",IF(P4551="Sí","INCORPORAR",""))</f>
        <v/>
      </c>
    </row>
    <row r="4552" customFormat="false" ht="15" hidden="false" customHeight="false" outlineLevel="0" collapsed="false">
      <c r="A4552" s="16" t="s">
        <v>14421</v>
      </c>
      <c r="B4552" s="16" t="n">
        <v>4547</v>
      </c>
      <c r="C4552" s="16" t="s">
        <v>14422</v>
      </c>
      <c r="D4552" s="16" t="n">
        <v>8</v>
      </c>
      <c r="E4552" s="39" t="s">
        <v>14403</v>
      </c>
      <c r="F4552" s="16" t="s">
        <v>1285</v>
      </c>
      <c r="G4552" s="16" t="s">
        <v>1063</v>
      </c>
      <c r="H4552" s="16" t="s">
        <v>14297</v>
      </c>
      <c r="I4552" s="16" t="s">
        <v>136</v>
      </c>
      <c r="J4552" s="16" t="s">
        <v>14408</v>
      </c>
      <c r="K4552" s="32" t="n">
        <v>50</v>
      </c>
      <c r="L4552" s="33" t="n">
        <v>46541</v>
      </c>
      <c r="M4552" s="33" t="n">
        <v>46590</v>
      </c>
      <c r="N4552" s="16" t="s">
        <v>14313</v>
      </c>
      <c r="O4552" s="16" t="s">
        <v>1299</v>
      </c>
      <c r="P4552" s="16" t="str">
        <f aca="false">IF(AND(L4552&lt;=$D$2,M4552&gt;=$C$2),"Sí","")</f>
        <v/>
      </c>
      <c r="Q4552" s="18" t="str">
        <f aca="false">IF(COUNTIF(LOOKAHEAD!$A$5:$A$604,A4552)&gt;0,"En Lookahead",IF(P4552="Sí","INCORPORAR",""))</f>
        <v/>
      </c>
    </row>
    <row r="4553" customFormat="false" ht="15" hidden="false" customHeight="false" outlineLevel="0" collapsed="false">
      <c r="A4553" s="16" t="s">
        <v>14423</v>
      </c>
      <c r="B4553" s="16" t="n">
        <v>4548</v>
      </c>
      <c r="C4553" s="16" t="s">
        <v>14424</v>
      </c>
      <c r="D4553" s="16" t="n">
        <v>8</v>
      </c>
      <c r="E4553" s="39" t="s">
        <v>14325</v>
      </c>
      <c r="F4553" s="16" t="s">
        <v>1285</v>
      </c>
      <c r="G4553" s="16" t="s">
        <v>1063</v>
      </c>
      <c r="H4553" s="16" t="s">
        <v>14297</v>
      </c>
      <c r="I4553" s="16" t="s">
        <v>136</v>
      </c>
      <c r="J4553" s="16" t="s">
        <v>14408</v>
      </c>
      <c r="K4553" s="32" t="n">
        <v>50</v>
      </c>
      <c r="L4553" s="33" t="n">
        <v>46541</v>
      </c>
      <c r="M4553" s="33" t="n">
        <v>46590</v>
      </c>
      <c r="N4553" s="16" t="s">
        <v>14313</v>
      </c>
      <c r="O4553" s="16" t="s">
        <v>1299</v>
      </c>
      <c r="P4553" s="16" t="str">
        <f aca="false">IF(AND(L4553&lt;=$D$2,M4553&gt;=$C$2),"Sí","")</f>
        <v/>
      </c>
      <c r="Q4553" s="18" t="str">
        <f aca="false">IF(COUNTIF(LOOKAHEAD!$A$5:$A$604,A4553)&gt;0,"En Lookahead",IF(P4553="Sí","INCORPORAR",""))</f>
        <v/>
      </c>
    </row>
    <row r="4554" customFormat="false" ht="15" hidden="false" customHeight="false" outlineLevel="0" collapsed="false">
      <c r="A4554" s="13" t="s">
        <v>14425</v>
      </c>
      <c r="B4554" s="13" t="n">
        <v>4549</v>
      </c>
      <c r="C4554" s="13" t="s">
        <v>14426</v>
      </c>
      <c r="D4554" s="13" t="n">
        <v>7</v>
      </c>
      <c r="E4554" s="38" t="s">
        <v>14427</v>
      </c>
      <c r="F4554" s="13" t="s">
        <v>1298</v>
      </c>
      <c r="G4554" s="13" t="s">
        <v>1063</v>
      </c>
      <c r="H4554" s="13" t="s">
        <v>14297</v>
      </c>
      <c r="I4554" s="13" t="s">
        <v>136</v>
      </c>
      <c r="J4554" s="13" t="s">
        <v>14302</v>
      </c>
      <c r="K4554" s="30" t="n">
        <v>50</v>
      </c>
      <c r="L4554" s="31" t="n">
        <v>46541</v>
      </c>
      <c r="M4554" s="31" t="n">
        <v>46590</v>
      </c>
      <c r="N4554" s="13"/>
      <c r="O4554" s="13" t="s">
        <v>1299</v>
      </c>
      <c r="P4554" s="13"/>
      <c r="Q4554" s="13"/>
    </row>
    <row r="4555" customFormat="false" ht="15" hidden="false" customHeight="false" outlineLevel="0" collapsed="false">
      <c r="A4555" s="16" t="s">
        <v>14428</v>
      </c>
      <c r="B4555" s="16" t="n">
        <v>4550</v>
      </c>
      <c r="C4555" s="16" t="s">
        <v>14429</v>
      </c>
      <c r="D4555" s="16" t="n">
        <v>8</v>
      </c>
      <c r="E4555" s="39" t="s">
        <v>14308</v>
      </c>
      <c r="F4555" s="16" t="s">
        <v>1285</v>
      </c>
      <c r="G4555" s="16" t="s">
        <v>1063</v>
      </c>
      <c r="H4555" s="16" t="s">
        <v>14297</v>
      </c>
      <c r="I4555" s="16" t="s">
        <v>136</v>
      </c>
      <c r="J4555" s="16" t="s">
        <v>14427</v>
      </c>
      <c r="K4555" s="32" t="n">
        <v>50</v>
      </c>
      <c r="L4555" s="33" t="n">
        <v>46541</v>
      </c>
      <c r="M4555" s="33" t="n">
        <v>46590</v>
      </c>
      <c r="N4555" s="16" t="s">
        <v>14313</v>
      </c>
      <c r="O4555" s="16" t="s">
        <v>1299</v>
      </c>
      <c r="P4555" s="16" t="str">
        <f aca="false">IF(AND(L4555&lt;=$D$2,M4555&gt;=$C$2),"Sí","")</f>
        <v/>
      </c>
      <c r="Q4555" s="18" t="str">
        <f aca="false">IF(COUNTIF(LOOKAHEAD!$A$5:$A$604,A4555)&gt;0,"En Lookahead",IF(P4555="Sí","INCORPORAR",""))</f>
        <v/>
      </c>
    </row>
    <row r="4556" customFormat="false" ht="15" hidden="false" customHeight="false" outlineLevel="0" collapsed="false">
      <c r="A4556" s="16" t="s">
        <v>14430</v>
      </c>
      <c r="B4556" s="16" t="n">
        <v>4551</v>
      </c>
      <c r="C4556" s="16" t="s">
        <v>14431</v>
      </c>
      <c r="D4556" s="16" t="n">
        <v>8</v>
      </c>
      <c r="E4556" s="39" t="s">
        <v>14432</v>
      </c>
      <c r="F4556" s="16" t="s">
        <v>1285</v>
      </c>
      <c r="G4556" s="16" t="s">
        <v>1063</v>
      </c>
      <c r="H4556" s="16" t="s">
        <v>14297</v>
      </c>
      <c r="I4556" s="16" t="s">
        <v>136</v>
      </c>
      <c r="J4556" s="16" t="s">
        <v>14427</v>
      </c>
      <c r="K4556" s="32" t="n">
        <v>50</v>
      </c>
      <c r="L4556" s="33" t="n">
        <v>46541</v>
      </c>
      <c r="M4556" s="33" t="n">
        <v>46590</v>
      </c>
      <c r="N4556" s="16" t="s">
        <v>14313</v>
      </c>
      <c r="O4556" s="16" t="s">
        <v>1299</v>
      </c>
      <c r="P4556" s="16" t="str">
        <f aca="false">IF(AND(L4556&lt;=$D$2,M4556&gt;=$C$2),"Sí","")</f>
        <v/>
      </c>
      <c r="Q4556" s="18" t="str">
        <f aca="false">IF(COUNTIF(LOOKAHEAD!$A$5:$A$604,A4556)&gt;0,"En Lookahead",IF(P4556="Sí","INCORPORAR",""))</f>
        <v/>
      </c>
    </row>
    <row r="4557" customFormat="false" ht="15" hidden="false" customHeight="false" outlineLevel="0" collapsed="false">
      <c r="A4557" s="16" t="s">
        <v>14433</v>
      </c>
      <c r="B4557" s="16" t="n">
        <v>4552</v>
      </c>
      <c r="C4557" s="16" t="s">
        <v>14434</v>
      </c>
      <c r="D4557" s="16" t="n">
        <v>8</v>
      </c>
      <c r="E4557" s="39" t="s">
        <v>14435</v>
      </c>
      <c r="F4557" s="16" t="s">
        <v>1285</v>
      </c>
      <c r="G4557" s="16" t="s">
        <v>1063</v>
      </c>
      <c r="H4557" s="16" t="s">
        <v>14297</v>
      </c>
      <c r="I4557" s="16" t="s">
        <v>136</v>
      </c>
      <c r="J4557" s="16" t="s">
        <v>14427</v>
      </c>
      <c r="K4557" s="32" t="n">
        <v>50</v>
      </c>
      <c r="L4557" s="33" t="n">
        <v>46541</v>
      </c>
      <c r="M4557" s="33" t="n">
        <v>46590</v>
      </c>
      <c r="N4557" s="16" t="s">
        <v>14313</v>
      </c>
      <c r="O4557" s="16" t="s">
        <v>1299</v>
      </c>
      <c r="P4557" s="16" t="str">
        <f aca="false">IF(AND(L4557&lt;=$D$2,M4557&gt;=$C$2),"Sí","")</f>
        <v/>
      </c>
      <c r="Q4557" s="18" t="str">
        <f aca="false">IF(COUNTIF(LOOKAHEAD!$A$5:$A$604,A4557)&gt;0,"En Lookahead",IF(P4557="Sí","INCORPORAR",""))</f>
        <v/>
      </c>
    </row>
    <row r="4558" customFormat="false" ht="15" hidden="false" customHeight="false" outlineLevel="0" collapsed="false">
      <c r="A4558" s="16" t="s">
        <v>14436</v>
      </c>
      <c r="B4558" s="16" t="n">
        <v>4553</v>
      </c>
      <c r="C4558" s="16" t="s">
        <v>14437</v>
      </c>
      <c r="D4558" s="16" t="n">
        <v>8</v>
      </c>
      <c r="E4558" s="39" t="s">
        <v>14438</v>
      </c>
      <c r="F4558" s="16" t="s">
        <v>1285</v>
      </c>
      <c r="G4558" s="16" t="s">
        <v>1063</v>
      </c>
      <c r="H4558" s="16" t="s">
        <v>14297</v>
      </c>
      <c r="I4558" s="16" t="s">
        <v>136</v>
      </c>
      <c r="J4558" s="16" t="s">
        <v>14427</v>
      </c>
      <c r="K4558" s="32" t="n">
        <v>50</v>
      </c>
      <c r="L4558" s="33" t="n">
        <v>46541</v>
      </c>
      <c r="M4558" s="33" t="n">
        <v>46590</v>
      </c>
      <c r="N4558" s="16" t="s">
        <v>14313</v>
      </c>
      <c r="O4558" s="16" t="s">
        <v>1299</v>
      </c>
      <c r="P4558" s="16" t="str">
        <f aca="false">IF(AND(L4558&lt;=$D$2,M4558&gt;=$C$2),"Sí","")</f>
        <v/>
      </c>
      <c r="Q4558" s="18" t="str">
        <f aca="false">IF(COUNTIF(LOOKAHEAD!$A$5:$A$604,A4558)&gt;0,"En Lookahead",IF(P4558="Sí","INCORPORAR",""))</f>
        <v/>
      </c>
    </row>
    <row r="4559" customFormat="false" ht="15" hidden="false" customHeight="false" outlineLevel="0" collapsed="false">
      <c r="A4559" s="16" t="s">
        <v>14439</v>
      </c>
      <c r="B4559" s="16" t="n">
        <v>4554</v>
      </c>
      <c r="C4559" s="16" t="s">
        <v>14440</v>
      </c>
      <c r="D4559" s="16" t="n">
        <v>8</v>
      </c>
      <c r="E4559" s="39" t="s">
        <v>14340</v>
      </c>
      <c r="F4559" s="16" t="s">
        <v>1285</v>
      </c>
      <c r="G4559" s="16" t="s">
        <v>1063</v>
      </c>
      <c r="H4559" s="16" t="s">
        <v>14297</v>
      </c>
      <c r="I4559" s="16" t="s">
        <v>136</v>
      </c>
      <c r="J4559" s="16" t="s">
        <v>14427</v>
      </c>
      <c r="K4559" s="32" t="n">
        <v>50</v>
      </c>
      <c r="L4559" s="33" t="n">
        <v>46541</v>
      </c>
      <c r="M4559" s="33" t="n">
        <v>46590</v>
      </c>
      <c r="N4559" s="16" t="s">
        <v>14313</v>
      </c>
      <c r="O4559" s="16" t="s">
        <v>1299</v>
      </c>
      <c r="P4559" s="16" t="str">
        <f aca="false">IF(AND(L4559&lt;=$D$2,M4559&gt;=$C$2),"Sí","")</f>
        <v/>
      </c>
      <c r="Q4559" s="18" t="str">
        <f aca="false">IF(COUNTIF(LOOKAHEAD!$A$5:$A$604,A4559)&gt;0,"En Lookahead",IF(P4559="Sí","INCORPORAR",""))</f>
        <v/>
      </c>
    </row>
    <row r="4560" customFormat="false" ht="15" hidden="false" customHeight="false" outlineLevel="0" collapsed="false">
      <c r="A4560" s="16" t="s">
        <v>14441</v>
      </c>
      <c r="B4560" s="16" t="n">
        <v>4555</v>
      </c>
      <c r="C4560" s="16" t="s">
        <v>14442</v>
      </c>
      <c r="D4560" s="16" t="n">
        <v>8</v>
      </c>
      <c r="E4560" s="39" t="s">
        <v>14316</v>
      </c>
      <c r="F4560" s="16" t="s">
        <v>1285</v>
      </c>
      <c r="G4560" s="16" t="s">
        <v>1063</v>
      </c>
      <c r="H4560" s="16" t="s">
        <v>14297</v>
      </c>
      <c r="I4560" s="16" t="s">
        <v>136</v>
      </c>
      <c r="J4560" s="16" t="s">
        <v>14427</v>
      </c>
      <c r="K4560" s="32" t="n">
        <v>50</v>
      </c>
      <c r="L4560" s="33" t="n">
        <v>46541</v>
      </c>
      <c r="M4560" s="33" t="n">
        <v>46590</v>
      </c>
      <c r="N4560" s="16" t="s">
        <v>14313</v>
      </c>
      <c r="O4560" s="16" t="s">
        <v>1299</v>
      </c>
      <c r="P4560" s="16" t="str">
        <f aca="false">IF(AND(L4560&lt;=$D$2,M4560&gt;=$C$2),"Sí","")</f>
        <v/>
      </c>
      <c r="Q4560" s="18" t="str">
        <f aca="false">IF(COUNTIF(LOOKAHEAD!$A$5:$A$604,A4560)&gt;0,"En Lookahead",IF(P4560="Sí","INCORPORAR",""))</f>
        <v/>
      </c>
    </row>
    <row r="4561" customFormat="false" ht="15" hidden="false" customHeight="false" outlineLevel="0" collapsed="false">
      <c r="A4561" s="16" t="s">
        <v>14443</v>
      </c>
      <c r="B4561" s="16" t="n">
        <v>4556</v>
      </c>
      <c r="C4561" s="16" t="s">
        <v>14444</v>
      </c>
      <c r="D4561" s="16" t="n">
        <v>8</v>
      </c>
      <c r="E4561" s="39" t="s">
        <v>14319</v>
      </c>
      <c r="F4561" s="16" t="s">
        <v>1285</v>
      </c>
      <c r="G4561" s="16" t="s">
        <v>1063</v>
      </c>
      <c r="H4561" s="16" t="s">
        <v>14297</v>
      </c>
      <c r="I4561" s="16" t="s">
        <v>136</v>
      </c>
      <c r="J4561" s="16" t="s">
        <v>14427</v>
      </c>
      <c r="K4561" s="32" t="n">
        <v>50</v>
      </c>
      <c r="L4561" s="33" t="n">
        <v>46541</v>
      </c>
      <c r="M4561" s="33" t="n">
        <v>46590</v>
      </c>
      <c r="N4561" s="16" t="s">
        <v>14313</v>
      </c>
      <c r="O4561" s="16" t="s">
        <v>1299</v>
      </c>
      <c r="P4561" s="16" t="str">
        <f aca="false">IF(AND(L4561&lt;=$D$2,M4561&gt;=$C$2),"Sí","")</f>
        <v/>
      </c>
      <c r="Q4561" s="18" t="str">
        <f aca="false">IF(COUNTIF(LOOKAHEAD!$A$5:$A$604,A4561)&gt;0,"En Lookahead",IF(P4561="Sí","INCORPORAR",""))</f>
        <v/>
      </c>
    </row>
    <row r="4562" customFormat="false" ht="15" hidden="false" customHeight="false" outlineLevel="0" collapsed="false">
      <c r="A4562" s="16" t="s">
        <v>14445</v>
      </c>
      <c r="B4562" s="16" t="n">
        <v>4557</v>
      </c>
      <c r="C4562" s="16" t="s">
        <v>14446</v>
      </c>
      <c r="D4562" s="16" t="n">
        <v>8</v>
      </c>
      <c r="E4562" s="39" t="s">
        <v>14322</v>
      </c>
      <c r="F4562" s="16" t="s">
        <v>1285</v>
      </c>
      <c r="G4562" s="16" t="s">
        <v>1063</v>
      </c>
      <c r="H4562" s="16" t="s">
        <v>14297</v>
      </c>
      <c r="I4562" s="16" t="s">
        <v>136</v>
      </c>
      <c r="J4562" s="16" t="s">
        <v>14427</v>
      </c>
      <c r="K4562" s="32" t="n">
        <v>50</v>
      </c>
      <c r="L4562" s="33" t="n">
        <v>46541</v>
      </c>
      <c r="M4562" s="33" t="n">
        <v>46590</v>
      </c>
      <c r="N4562" s="16" t="s">
        <v>14313</v>
      </c>
      <c r="O4562" s="16" t="s">
        <v>1299</v>
      </c>
      <c r="P4562" s="16" t="str">
        <f aca="false">IF(AND(L4562&lt;=$D$2,M4562&gt;=$C$2),"Sí","")</f>
        <v/>
      </c>
      <c r="Q4562" s="18" t="str">
        <f aca="false">IF(COUNTIF(LOOKAHEAD!$A$5:$A$604,A4562)&gt;0,"En Lookahead",IF(P4562="Sí","INCORPORAR",""))</f>
        <v/>
      </c>
    </row>
    <row r="4563" customFormat="false" ht="15" hidden="false" customHeight="false" outlineLevel="0" collapsed="false">
      <c r="A4563" s="16" t="s">
        <v>14447</v>
      </c>
      <c r="B4563" s="16" t="n">
        <v>4558</v>
      </c>
      <c r="C4563" s="16" t="s">
        <v>14448</v>
      </c>
      <c r="D4563" s="16" t="n">
        <v>8</v>
      </c>
      <c r="E4563" s="39" t="s">
        <v>14449</v>
      </c>
      <c r="F4563" s="16" t="s">
        <v>1285</v>
      </c>
      <c r="G4563" s="16" t="s">
        <v>1063</v>
      </c>
      <c r="H4563" s="16" t="s">
        <v>14297</v>
      </c>
      <c r="I4563" s="16" t="s">
        <v>136</v>
      </c>
      <c r="J4563" s="16" t="s">
        <v>14427</v>
      </c>
      <c r="K4563" s="32" t="n">
        <v>50</v>
      </c>
      <c r="L4563" s="33" t="n">
        <v>46541</v>
      </c>
      <c r="M4563" s="33" t="n">
        <v>46590</v>
      </c>
      <c r="N4563" s="16" t="s">
        <v>14313</v>
      </c>
      <c r="O4563" s="16" t="s">
        <v>1299</v>
      </c>
      <c r="P4563" s="16" t="str">
        <f aca="false">IF(AND(L4563&lt;=$D$2,M4563&gt;=$C$2),"Sí","")</f>
        <v/>
      </c>
      <c r="Q4563" s="18" t="str">
        <f aca="false">IF(COUNTIF(LOOKAHEAD!$A$5:$A$604,A4563)&gt;0,"En Lookahead",IF(P4563="Sí","INCORPORAR",""))</f>
        <v/>
      </c>
    </row>
    <row r="4564" customFormat="false" ht="15" hidden="false" customHeight="false" outlineLevel="0" collapsed="false">
      <c r="A4564" s="16" t="s">
        <v>14450</v>
      </c>
      <c r="B4564" s="16" t="n">
        <v>4559</v>
      </c>
      <c r="C4564" s="16" t="s">
        <v>14451</v>
      </c>
      <c r="D4564" s="16" t="n">
        <v>8</v>
      </c>
      <c r="E4564" s="39" t="s">
        <v>14452</v>
      </c>
      <c r="F4564" s="16" t="s">
        <v>1285</v>
      </c>
      <c r="G4564" s="16" t="s">
        <v>1063</v>
      </c>
      <c r="H4564" s="16" t="s">
        <v>14297</v>
      </c>
      <c r="I4564" s="16" t="s">
        <v>136</v>
      </c>
      <c r="J4564" s="16" t="s">
        <v>14427</v>
      </c>
      <c r="K4564" s="32" t="n">
        <v>50</v>
      </c>
      <c r="L4564" s="33" t="n">
        <v>46541</v>
      </c>
      <c r="M4564" s="33" t="n">
        <v>46590</v>
      </c>
      <c r="N4564" s="16" t="s">
        <v>14313</v>
      </c>
      <c r="O4564" s="16" t="s">
        <v>1299</v>
      </c>
      <c r="P4564" s="16" t="str">
        <f aca="false">IF(AND(L4564&lt;=$D$2,M4564&gt;=$C$2),"Sí","")</f>
        <v/>
      </c>
      <c r="Q4564" s="18" t="str">
        <f aca="false">IF(COUNTIF(LOOKAHEAD!$A$5:$A$604,A4564)&gt;0,"En Lookahead",IF(P4564="Sí","INCORPORAR",""))</f>
        <v/>
      </c>
    </row>
    <row r="4565" customFormat="false" ht="15" hidden="false" customHeight="false" outlineLevel="0" collapsed="false">
      <c r="A4565" s="16" t="s">
        <v>14453</v>
      </c>
      <c r="B4565" s="16" t="n">
        <v>4560</v>
      </c>
      <c r="C4565" s="16" t="s">
        <v>14454</v>
      </c>
      <c r="D4565" s="16" t="n">
        <v>8</v>
      </c>
      <c r="E4565" s="39" t="s">
        <v>14455</v>
      </c>
      <c r="F4565" s="16" t="s">
        <v>1285</v>
      </c>
      <c r="G4565" s="16" t="s">
        <v>1063</v>
      </c>
      <c r="H4565" s="16" t="s">
        <v>14297</v>
      </c>
      <c r="I4565" s="16" t="s">
        <v>136</v>
      </c>
      <c r="J4565" s="16" t="s">
        <v>14427</v>
      </c>
      <c r="K4565" s="32" t="n">
        <v>50</v>
      </c>
      <c r="L4565" s="33" t="n">
        <v>46541</v>
      </c>
      <c r="M4565" s="33" t="n">
        <v>46590</v>
      </c>
      <c r="N4565" s="16" t="s">
        <v>14313</v>
      </c>
      <c r="O4565" s="16" t="s">
        <v>1299</v>
      </c>
      <c r="P4565" s="16" t="str">
        <f aca="false">IF(AND(L4565&lt;=$D$2,M4565&gt;=$C$2),"Sí","")</f>
        <v/>
      </c>
      <c r="Q4565" s="18" t="str">
        <f aca="false">IF(COUNTIF(LOOKAHEAD!$A$5:$A$604,A4565)&gt;0,"En Lookahead",IF(P4565="Sí","INCORPORAR",""))</f>
        <v/>
      </c>
    </row>
    <row r="4566" customFormat="false" ht="15" hidden="false" customHeight="false" outlineLevel="0" collapsed="false">
      <c r="A4566" s="16" t="s">
        <v>14456</v>
      </c>
      <c r="B4566" s="16" t="n">
        <v>4561</v>
      </c>
      <c r="C4566" s="16" t="s">
        <v>14457</v>
      </c>
      <c r="D4566" s="16" t="n">
        <v>8</v>
      </c>
      <c r="E4566" s="39" t="s">
        <v>14458</v>
      </c>
      <c r="F4566" s="16" t="s">
        <v>1285</v>
      </c>
      <c r="G4566" s="16" t="s">
        <v>1063</v>
      </c>
      <c r="H4566" s="16" t="s">
        <v>14297</v>
      </c>
      <c r="I4566" s="16" t="s">
        <v>136</v>
      </c>
      <c r="J4566" s="16" t="s">
        <v>14427</v>
      </c>
      <c r="K4566" s="32" t="n">
        <v>50</v>
      </c>
      <c r="L4566" s="33" t="n">
        <v>46541</v>
      </c>
      <c r="M4566" s="33" t="n">
        <v>46590</v>
      </c>
      <c r="N4566" s="16" t="s">
        <v>14313</v>
      </c>
      <c r="O4566" s="16" t="s">
        <v>1299</v>
      </c>
      <c r="P4566" s="16" t="str">
        <f aca="false">IF(AND(L4566&lt;=$D$2,M4566&gt;=$C$2),"Sí","")</f>
        <v/>
      </c>
      <c r="Q4566" s="18" t="str">
        <f aca="false">IF(COUNTIF(LOOKAHEAD!$A$5:$A$604,A4566)&gt;0,"En Lookahead",IF(P4566="Sí","INCORPORAR",""))</f>
        <v/>
      </c>
    </row>
    <row r="4567" customFormat="false" ht="15" hidden="false" customHeight="false" outlineLevel="0" collapsed="false">
      <c r="A4567" s="16" t="s">
        <v>14459</v>
      </c>
      <c r="B4567" s="16" t="n">
        <v>4562</v>
      </c>
      <c r="C4567" s="16" t="s">
        <v>14460</v>
      </c>
      <c r="D4567" s="16" t="n">
        <v>8</v>
      </c>
      <c r="E4567" s="39" t="s">
        <v>14461</v>
      </c>
      <c r="F4567" s="16" t="s">
        <v>1285</v>
      </c>
      <c r="G4567" s="16" t="s">
        <v>1063</v>
      </c>
      <c r="H4567" s="16" t="s">
        <v>14297</v>
      </c>
      <c r="I4567" s="16" t="s">
        <v>136</v>
      </c>
      <c r="J4567" s="16" t="s">
        <v>14427</v>
      </c>
      <c r="K4567" s="32" t="n">
        <v>50</v>
      </c>
      <c r="L4567" s="33" t="n">
        <v>46541</v>
      </c>
      <c r="M4567" s="33" t="n">
        <v>46590</v>
      </c>
      <c r="N4567" s="16" t="s">
        <v>14313</v>
      </c>
      <c r="O4567" s="16" t="s">
        <v>1299</v>
      </c>
      <c r="P4567" s="16" t="str">
        <f aca="false">IF(AND(L4567&lt;=$D$2,M4567&gt;=$C$2),"Sí","")</f>
        <v/>
      </c>
      <c r="Q4567" s="18" t="str">
        <f aca="false">IF(COUNTIF(LOOKAHEAD!$A$5:$A$604,A4567)&gt;0,"En Lookahead",IF(P4567="Sí","INCORPORAR",""))</f>
        <v/>
      </c>
    </row>
    <row r="4568" customFormat="false" ht="15" hidden="false" customHeight="false" outlineLevel="0" collapsed="false">
      <c r="A4568" s="13" t="s">
        <v>14462</v>
      </c>
      <c r="B4568" s="13" t="n">
        <v>4563</v>
      </c>
      <c r="C4568" s="13" t="s">
        <v>14463</v>
      </c>
      <c r="D4568" s="13" t="n">
        <v>7</v>
      </c>
      <c r="E4568" s="38" t="s">
        <v>14354</v>
      </c>
      <c r="F4568" s="13" t="s">
        <v>1298</v>
      </c>
      <c r="G4568" s="13" t="s">
        <v>1063</v>
      </c>
      <c r="H4568" s="13" t="s">
        <v>14297</v>
      </c>
      <c r="I4568" s="13" t="s">
        <v>136</v>
      </c>
      <c r="J4568" s="13" t="s">
        <v>14302</v>
      </c>
      <c r="K4568" s="30" t="n">
        <v>50</v>
      </c>
      <c r="L4568" s="31" t="n">
        <v>46541</v>
      </c>
      <c r="M4568" s="31" t="n">
        <v>46590</v>
      </c>
      <c r="N4568" s="13"/>
      <c r="O4568" s="13" t="s">
        <v>1299</v>
      </c>
      <c r="P4568" s="13"/>
      <c r="Q4568" s="13"/>
    </row>
    <row r="4569" customFormat="false" ht="15" hidden="false" customHeight="false" outlineLevel="0" collapsed="false">
      <c r="A4569" s="16" t="s">
        <v>14464</v>
      </c>
      <c r="B4569" s="16" t="n">
        <v>4564</v>
      </c>
      <c r="C4569" s="16" t="s">
        <v>14465</v>
      </c>
      <c r="D4569" s="16" t="n">
        <v>8</v>
      </c>
      <c r="E4569" s="39" t="s">
        <v>14466</v>
      </c>
      <c r="F4569" s="16" t="s">
        <v>1285</v>
      </c>
      <c r="G4569" s="16" t="s">
        <v>1063</v>
      </c>
      <c r="H4569" s="16" t="s">
        <v>14297</v>
      </c>
      <c r="I4569" s="16" t="s">
        <v>136</v>
      </c>
      <c r="J4569" s="16" t="s">
        <v>14354</v>
      </c>
      <c r="K4569" s="32" t="n">
        <v>50</v>
      </c>
      <c r="L4569" s="33" t="n">
        <v>46541</v>
      </c>
      <c r="M4569" s="33" t="n">
        <v>46590</v>
      </c>
      <c r="N4569" s="16" t="s">
        <v>14313</v>
      </c>
      <c r="O4569" s="16" t="s">
        <v>1299</v>
      </c>
      <c r="P4569" s="16" t="str">
        <f aca="false">IF(AND(L4569&lt;=$D$2,M4569&gt;=$C$2),"Sí","")</f>
        <v/>
      </c>
      <c r="Q4569" s="18" t="str">
        <f aca="false">IF(COUNTIF(LOOKAHEAD!$A$5:$A$604,A4569)&gt;0,"En Lookahead",IF(P4569="Sí","INCORPORAR",""))</f>
        <v/>
      </c>
    </row>
    <row r="4570" customFormat="false" ht="15" hidden="false" customHeight="false" outlineLevel="0" collapsed="false">
      <c r="A4570" s="16" t="s">
        <v>14467</v>
      </c>
      <c r="B4570" s="16" t="n">
        <v>4565</v>
      </c>
      <c r="C4570" s="16" t="s">
        <v>14468</v>
      </c>
      <c r="D4570" s="16" t="n">
        <v>8</v>
      </c>
      <c r="E4570" s="39" t="s">
        <v>14360</v>
      </c>
      <c r="F4570" s="16" t="s">
        <v>1285</v>
      </c>
      <c r="G4570" s="16" t="s">
        <v>1063</v>
      </c>
      <c r="H4570" s="16" t="s">
        <v>14297</v>
      </c>
      <c r="I4570" s="16" t="s">
        <v>136</v>
      </c>
      <c r="J4570" s="16" t="s">
        <v>14354</v>
      </c>
      <c r="K4570" s="32" t="n">
        <v>50</v>
      </c>
      <c r="L4570" s="33" t="n">
        <v>46541</v>
      </c>
      <c r="M4570" s="33" t="n">
        <v>46590</v>
      </c>
      <c r="N4570" s="16" t="s">
        <v>14313</v>
      </c>
      <c r="O4570" s="16" t="s">
        <v>1299</v>
      </c>
      <c r="P4570" s="16" t="str">
        <f aca="false">IF(AND(L4570&lt;=$D$2,M4570&gt;=$C$2),"Sí","")</f>
        <v/>
      </c>
      <c r="Q4570" s="18" t="str">
        <f aca="false">IF(COUNTIF(LOOKAHEAD!$A$5:$A$604,A4570)&gt;0,"En Lookahead",IF(P4570="Sí","INCORPORAR",""))</f>
        <v/>
      </c>
    </row>
    <row r="4571" customFormat="false" ht="15" hidden="false" customHeight="false" outlineLevel="0" collapsed="false">
      <c r="A4571" s="13" t="s">
        <v>14469</v>
      </c>
      <c r="B4571" s="13" t="n">
        <v>4566</v>
      </c>
      <c r="C4571" s="13" t="s">
        <v>14470</v>
      </c>
      <c r="D4571" s="13" t="n">
        <v>6</v>
      </c>
      <c r="E4571" s="36" t="s">
        <v>14471</v>
      </c>
      <c r="F4571" s="13" t="s">
        <v>1298</v>
      </c>
      <c r="G4571" s="13" t="s">
        <v>1063</v>
      </c>
      <c r="H4571" s="13" t="s">
        <v>14297</v>
      </c>
      <c r="I4571" s="13" t="s">
        <v>136</v>
      </c>
      <c r="J4571" s="13" t="s">
        <v>1531</v>
      </c>
      <c r="K4571" s="30" t="n">
        <v>50</v>
      </c>
      <c r="L4571" s="31" t="n">
        <v>46541</v>
      </c>
      <c r="M4571" s="31" t="n">
        <v>46590</v>
      </c>
      <c r="N4571" s="13"/>
      <c r="O4571" s="13" t="s">
        <v>1299</v>
      </c>
      <c r="P4571" s="13"/>
      <c r="Q4571" s="13"/>
    </row>
    <row r="4572" customFormat="false" ht="15" hidden="false" customHeight="false" outlineLevel="0" collapsed="false">
      <c r="A4572" s="13" t="s">
        <v>14472</v>
      </c>
      <c r="B4572" s="13" t="n">
        <v>4567</v>
      </c>
      <c r="C4572" s="13" t="s">
        <v>14473</v>
      </c>
      <c r="D4572" s="13" t="n">
        <v>7</v>
      </c>
      <c r="E4572" s="38" t="s">
        <v>14474</v>
      </c>
      <c r="F4572" s="13" t="s">
        <v>1298</v>
      </c>
      <c r="G4572" s="13" t="s">
        <v>1063</v>
      </c>
      <c r="H4572" s="13" t="s">
        <v>14297</v>
      </c>
      <c r="I4572" s="13" t="s">
        <v>136</v>
      </c>
      <c r="J4572" s="13" t="s">
        <v>14471</v>
      </c>
      <c r="K4572" s="30" t="n">
        <v>50</v>
      </c>
      <c r="L4572" s="31" t="n">
        <v>46541</v>
      </c>
      <c r="M4572" s="31" t="n">
        <v>46590</v>
      </c>
      <c r="N4572" s="13"/>
      <c r="O4572" s="13" t="s">
        <v>1299</v>
      </c>
      <c r="P4572" s="13"/>
      <c r="Q4572" s="13"/>
    </row>
    <row r="4573" customFormat="false" ht="15" hidden="false" customHeight="false" outlineLevel="0" collapsed="false">
      <c r="A4573" s="16" t="s">
        <v>14475</v>
      </c>
      <c r="B4573" s="16" t="n">
        <v>4568</v>
      </c>
      <c r="C4573" s="16" t="s">
        <v>14476</v>
      </c>
      <c r="D4573" s="16" t="n">
        <v>8</v>
      </c>
      <c r="E4573" s="39" t="s">
        <v>14477</v>
      </c>
      <c r="F4573" s="16" t="s">
        <v>1285</v>
      </c>
      <c r="G4573" s="16" t="s">
        <v>1063</v>
      </c>
      <c r="H4573" s="16" t="s">
        <v>14297</v>
      </c>
      <c r="I4573" s="16" t="s">
        <v>136</v>
      </c>
      <c r="J4573" s="16" t="s">
        <v>14474</v>
      </c>
      <c r="K4573" s="32" t="n">
        <v>50</v>
      </c>
      <c r="L4573" s="33" t="n">
        <v>46541</v>
      </c>
      <c r="M4573" s="33" t="n">
        <v>46590</v>
      </c>
      <c r="N4573" s="16" t="s">
        <v>14313</v>
      </c>
      <c r="O4573" s="16" t="s">
        <v>1299</v>
      </c>
      <c r="P4573" s="16" t="str">
        <f aca="false">IF(AND(L4573&lt;=$D$2,M4573&gt;=$C$2),"Sí","")</f>
        <v/>
      </c>
      <c r="Q4573" s="18" t="str">
        <f aca="false">IF(COUNTIF(LOOKAHEAD!$A$5:$A$604,A4573)&gt;0,"En Lookahead",IF(P4573="Sí","INCORPORAR",""))</f>
        <v/>
      </c>
    </row>
    <row r="4574" customFormat="false" ht="15" hidden="false" customHeight="false" outlineLevel="0" collapsed="false">
      <c r="A4574" s="16" t="s">
        <v>14478</v>
      </c>
      <c r="B4574" s="16" t="n">
        <v>4569</v>
      </c>
      <c r="C4574" s="16" t="s">
        <v>14479</v>
      </c>
      <c r="D4574" s="16" t="n">
        <v>8</v>
      </c>
      <c r="E4574" s="39" t="s">
        <v>14392</v>
      </c>
      <c r="F4574" s="16" t="s">
        <v>1285</v>
      </c>
      <c r="G4574" s="16" t="s">
        <v>1063</v>
      </c>
      <c r="H4574" s="16" t="s">
        <v>14297</v>
      </c>
      <c r="I4574" s="16" t="s">
        <v>136</v>
      </c>
      <c r="J4574" s="16" t="s">
        <v>14474</v>
      </c>
      <c r="K4574" s="32" t="n">
        <v>50</v>
      </c>
      <c r="L4574" s="33" t="n">
        <v>46541</v>
      </c>
      <c r="M4574" s="33" t="n">
        <v>46590</v>
      </c>
      <c r="N4574" s="16" t="s">
        <v>14313</v>
      </c>
      <c r="O4574" s="16" t="s">
        <v>1299</v>
      </c>
      <c r="P4574" s="16" t="str">
        <f aca="false">IF(AND(L4574&lt;=$D$2,M4574&gt;=$C$2),"Sí","")</f>
        <v/>
      </c>
      <c r="Q4574" s="18" t="str">
        <f aca="false">IF(COUNTIF(LOOKAHEAD!$A$5:$A$604,A4574)&gt;0,"En Lookahead",IF(P4574="Sí","INCORPORAR",""))</f>
        <v/>
      </c>
    </row>
    <row r="4575" customFormat="false" ht="15" hidden="false" customHeight="false" outlineLevel="0" collapsed="false">
      <c r="A4575" s="16" t="s">
        <v>14480</v>
      </c>
      <c r="B4575" s="16" t="n">
        <v>4570</v>
      </c>
      <c r="C4575" s="16" t="s">
        <v>14481</v>
      </c>
      <c r="D4575" s="16" t="n">
        <v>8</v>
      </c>
      <c r="E4575" s="39" t="s">
        <v>14337</v>
      </c>
      <c r="F4575" s="16" t="s">
        <v>1285</v>
      </c>
      <c r="G4575" s="16" t="s">
        <v>1063</v>
      </c>
      <c r="H4575" s="16" t="s">
        <v>14297</v>
      </c>
      <c r="I4575" s="16" t="s">
        <v>136</v>
      </c>
      <c r="J4575" s="16" t="s">
        <v>14474</v>
      </c>
      <c r="K4575" s="32" t="n">
        <v>50</v>
      </c>
      <c r="L4575" s="33" t="n">
        <v>46541</v>
      </c>
      <c r="M4575" s="33" t="n">
        <v>46590</v>
      </c>
      <c r="N4575" s="16" t="s">
        <v>14313</v>
      </c>
      <c r="O4575" s="16" t="s">
        <v>1299</v>
      </c>
      <c r="P4575" s="16" t="str">
        <f aca="false">IF(AND(L4575&lt;=$D$2,M4575&gt;=$C$2),"Sí","")</f>
        <v/>
      </c>
      <c r="Q4575" s="18" t="str">
        <f aca="false">IF(COUNTIF(LOOKAHEAD!$A$5:$A$604,A4575)&gt;0,"En Lookahead",IF(P4575="Sí","INCORPORAR",""))</f>
        <v/>
      </c>
    </row>
    <row r="4576" customFormat="false" ht="15" hidden="false" customHeight="false" outlineLevel="0" collapsed="false">
      <c r="A4576" s="16" t="s">
        <v>14482</v>
      </c>
      <c r="B4576" s="16" t="n">
        <v>4571</v>
      </c>
      <c r="C4576" s="16" t="s">
        <v>14483</v>
      </c>
      <c r="D4576" s="16" t="n">
        <v>8</v>
      </c>
      <c r="E4576" s="39" t="s">
        <v>14484</v>
      </c>
      <c r="F4576" s="16" t="s">
        <v>1285</v>
      </c>
      <c r="G4576" s="16" t="s">
        <v>1063</v>
      </c>
      <c r="H4576" s="16" t="s">
        <v>14297</v>
      </c>
      <c r="I4576" s="16" t="s">
        <v>136</v>
      </c>
      <c r="J4576" s="16" t="s">
        <v>14474</v>
      </c>
      <c r="K4576" s="32" t="n">
        <v>50</v>
      </c>
      <c r="L4576" s="33" t="n">
        <v>46541</v>
      </c>
      <c r="M4576" s="33" t="n">
        <v>46590</v>
      </c>
      <c r="N4576" s="16" t="s">
        <v>14313</v>
      </c>
      <c r="O4576" s="16" t="s">
        <v>1299</v>
      </c>
      <c r="P4576" s="16" t="str">
        <f aca="false">IF(AND(L4576&lt;=$D$2,M4576&gt;=$C$2),"Sí","")</f>
        <v/>
      </c>
      <c r="Q4576" s="18" t="str">
        <f aca="false">IF(COUNTIF(LOOKAHEAD!$A$5:$A$604,A4576)&gt;0,"En Lookahead",IF(P4576="Sí","INCORPORAR",""))</f>
        <v/>
      </c>
    </row>
    <row r="4577" customFormat="false" ht="15" hidden="false" customHeight="false" outlineLevel="0" collapsed="false">
      <c r="A4577" s="16" t="s">
        <v>14485</v>
      </c>
      <c r="B4577" s="16" t="n">
        <v>4572</v>
      </c>
      <c r="C4577" s="16" t="s">
        <v>14486</v>
      </c>
      <c r="D4577" s="16" t="n">
        <v>8</v>
      </c>
      <c r="E4577" s="39" t="s">
        <v>14487</v>
      </c>
      <c r="F4577" s="16" t="s">
        <v>1285</v>
      </c>
      <c r="G4577" s="16" t="s">
        <v>1063</v>
      </c>
      <c r="H4577" s="16" t="s">
        <v>14297</v>
      </c>
      <c r="I4577" s="16" t="s">
        <v>136</v>
      </c>
      <c r="J4577" s="16" t="s">
        <v>14474</v>
      </c>
      <c r="K4577" s="32" t="n">
        <v>50</v>
      </c>
      <c r="L4577" s="33" t="n">
        <v>46541</v>
      </c>
      <c r="M4577" s="33" t="n">
        <v>46590</v>
      </c>
      <c r="N4577" s="16" t="s">
        <v>14313</v>
      </c>
      <c r="O4577" s="16" t="s">
        <v>1299</v>
      </c>
      <c r="P4577" s="16" t="str">
        <f aca="false">IF(AND(L4577&lt;=$D$2,M4577&gt;=$C$2),"Sí","")</f>
        <v/>
      </c>
      <c r="Q4577" s="18" t="str">
        <f aca="false">IF(COUNTIF(LOOKAHEAD!$A$5:$A$604,A4577)&gt;0,"En Lookahead",IF(P4577="Sí","INCORPORAR",""))</f>
        <v/>
      </c>
    </row>
    <row r="4578" customFormat="false" ht="15" hidden="false" customHeight="false" outlineLevel="0" collapsed="false">
      <c r="A4578" s="16" t="s">
        <v>14488</v>
      </c>
      <c r="B4578" s="16" t="n">
        <v>4573</v>
      </c>
      <c r="C4578" s="16" t="s">
        <v>14489</v>
      </c>
      <c r="D4578" s="16" t="n">
        <v>8</v>
      </c>
      <c r="E4578" s="39" t="s">
        <v>14319</v>
      </c>
      <c r="F4578" s="16" t="s">
        <v>1285</v>
      </c>
      <c r="G4578" s="16" t="s">
        <v>1063</v>
      </c>
      <c r="H4578" s="16" t="s">
        <v>14297</v>
      </c>
      <c r="I4578" s="16" t="s">
        <v>136</v>
      </c>
      <c r="J4578" s="16" t="s">
        <v>14474</v>
      </c>
      <c r="K4578" s="32" t="n">
        <v>50</v>
      </c>
      <c r="L4578" s="33" t="n">
        <v>46541</v>
      </c>
      <c r="M4578" s="33" t="n">
        <v>46590</v>
      </c>
      <c r="N4578" s="16" t="s">
        <v>14313</v>
      </c>
      <c r="O4578" s="16" t="s">
        <v>1299</v>
      </c>
      <c r="P4578" s="16" t="str">
        <f aca="false">IF(AND(L4578&lt;=$D$2,M4578&gt;=$C$2),"Sí","")</f>
        <v/>
      </c>
      <c r="Q4578" s="18" t="str">
        <f aca="false">IF(COUNTIF(LOOKAHEAD!$A$5:$A$604,A4578)&gt;0,"En Lookahead",IF(P4578="Sí","INCORPORAR",""))</f>
        <v/>
      </c>
    </row>
    <row r="4579" customFormat="false" ht="15" hidden="false" customHeight="false" outlineLevel="0" collapsed="false">
      <c r="A4579" s="16" t="s">
        <v>14490</v>
      </c>
      <c r="B4579" s="16" t="n">
        <v>4574</v>
      </c>
      <c r="C4579" s="16" t="s">
        <v>14491</v>
      </c>
      <c r="D4579" s="16" t="n">
        <v>8</v>
      </c>
      <c r="E4579" s="39" t="s">
        <v>14492</v>
      </c>
      <c r="F4579" s="16" t="s">
        <v>1285</v>
      </c>
      <c r="G4579" s="16" t="s">
        <v>1063</v>
      </c>
      <c r="H4579" s="16" t="s">
        <v>14297</v>
      </c>
      <c r="I4579" s="16" t="s">
        <v>136</v>
      </c>
      <c r="J4579" s="16" t="s">
        <v>14474</v>
      </c>
      <c r="K4579" s="32" t="n">
        <v>50</v>
      </c>
      <c r="L4579" s="33" t="n">
        <v>46541</v>
      </c>
      <c r="M4579" s="33" t="n">
        <v>46590</v>
      </c>
      <c r="N4579" s="16" t="s">
        <v>14313</v>
      </c>
      <c r="O4579" s="16" t="s">
        <v>1299</v>
      </c>
      <c r="P4579" s="16" t="str">
        <f aca="false">IF(AND(L4579&lt;=$D$2,M4579&gt;=$C$2),"Sí","")</f>
        <v/>
      </c>
      <c r="Q4579" s="18" t="str">
        <f aca="false">IF(COUNTIF(LOOKAHEAD!$A$5:$A$604,A4579)&gt;0,"En Lookahead",IF(P4579="Sí","INCORPORAR",""))</f>
        <v/>
      </c>
    </row>
    <row r="4580" customFormat="false" ht="15" hidden="false" customHeight="false" outlineLevel="0" collapsed="false">
      <c r="A4580" s="16" t="s">
        <v>14493</v>
      </c>
      <c r="B4580" s="16" t="n">
        <v>4575</v>
      </c>
      <c r="C4580" s="16" t="s">
        <v>14494</v>
      </c>
      <c r="D4580" s="16" t="n">
        <v>8</v>
      </c>
      <c r="E4580" s="39" t="s">
        <v>14495</v>
      </c>
      <c r="F4580" s="16" t="s">
        <v>1285</v>
      </c>
      <c r="G4580" s="16" t="s">
        <v>1063</v>
      </c>
      <c r="H4580" s="16" t="s">
        <v>14297</v>
      </c>
      <c r="I4580" s="16" t="s">
        <v>136</v>
      </c>
      <c r="J4580" s="16" t="s">
        <v>14474</v>
      </c>
      <c r="K4580" s="32" t="n">
        <v>50</v>
      </c>
      <c r="L4580" s="33" t="n">
        <v>46541</v>
      </c>
      <c r="M4580" s="33" t="n">
        <v>46590</v>
      </c>
      <c r="N4580" s="16" t="s">
        <v>14313</v>
      </c>
      <c r="O4580" s="16" t="s">
        <v>1299</v>
      </c>
      <c r="P4580" s="16" t="str">
        <f aca="false">IF(AND(L4580&lt;=$D$2,M4580&gt;=$C$2),"Sí","")</f>
        <v/>
      </c>
      <c r="Q4580" s="18" t="str">
        <f aca="false">IF(COUNTIF(LOOKAHEAD!$A$5:$A$604,A4580)&gt;0,"En Lookahead",IF(P4580="Sí","INCORPORAR",""))</f>
        <v/>
      </c>
    </row>
    <row r="4581" customFormat="false" ht="15" hidden="false" customHeight="false" outlineLevel="0" collapsed="false">
      <c r="A4581" s="16" t="s">
        <v>14496</v>
      </c>
      <c r="B4581" s="16" t="n">
        <v>4576</v>
      </c>
      <c r="C4581" s="16" t="s">
        <v>14497</v>
      </c>
      <c r="D4581" s="16" t="n">
        <v>8</v>
      </c>
      <c r="E4581" s="39" t="s">
        <v>14322</v>
      </c>
      <c r="F4581" s="16" t="s">
        <v>1285</v>
      </c>
      <c r="G4581" s="16" t="s">
        <v>1063</v>
      </c>
      <c r="H4581" s="16" t="s">
        <v>14297</v>
      </c>
      <c r="I4581" s="16" t="s">
        <v>136</v>
      </c>
      <c r="J4581" s="16" t="s">
        <v>14474</v>
      </c>
      <c r="K4581" s="32" t="n">
        <v>50</v>
      </c>
      <c r="L4581" s="33" t="n">
        <v>46541</v>
      </c>
      <c r="M4581" s="33" t="n">
        <v>46590</v>
      </c>
      <c r="N4581" s="16" t="s">
        <v>14313</v>
      </c>
      <c r="O4581" s="16" t="s">
        <v>1299</v>
      </c>
      <c r="P4581" s="16" t="str">
        <f aca="false">IF(AND(L4581&lt;=$D$2,M4581&gt;=$C$2),"Sí","")</f>
        <v/>
      </c>
      <c r="Q4581" s="18" t="str">
        <f aca="false">IF(COUNTIF(LOOKAHEAD!$A$5:$A$604,A4581)&gt;0,"En Lookahead",IF(P4581="Sí","INCORPORAR",""))</f>
        <v/>
      </c>
    </row>
    <row r="4582" customFormat="false" ht="15" hidden="false" customHeight="false" outlineLevel="0" collapsed="false">
      <c r="A4582" s="16" t="s">
        <v>14498</v>
      </c>
      <c r="B4582" s="16" t="n">
        <v>4577</v>
      </c>
      <c r="C4582" s="16" t="s">
        <v>14499</v>
      </c>
      <c r="D4582" s="16" t="n">
        <v>8</v>
      </c>
      <c r="E4582" s="39" t="s">
        <v>14500</v>
      </c>
      <c r="F4582" s="16" t="s">
        <v>1285</v>
      </c>
      <c r="G4582" s="16" t="s">
        <v>1063</v>
      </c>
      <c r="H4582" s="16" t="s">
        <v>14297</v>
      </c>
      <c r="I4582" s="16" t="s">
        <v>136</v>
      </c>
      <c r="J4582" s="16" t="s">
        <v>14474</v>
      </c>
      <c r="K4582" s="32" t="n">
        <v>50</v>
      </c>
      <c r="L4582" s="33" t="n">
        <v>46541</v>
      </c>
      <c r="M4582" s="33" t="n">
        <v>46590</v>
      </c>
      <c r="N4582" s="16" t="s">
        <v>14313</v>
      </c>
      <c r="O4582" s="16" t="s">
        <v>1299</v>
      </c>
      <c r="P4582" s="16" t="str">
        <f aca="false">IF(AND(L4582&lt;=$D$2,M4582&gt;=$C$2),"Sí","")</f>
        <v/>
      </c>
      <c r="Q4582" s="18" t="str">
        <f aca="false">IF(COUNTIF(LOOKAHEAD!$A$5:$A$604,A4582)&gt;0,"En Lookahead",IF(P4582="Sí","INCORPORAR",""))</f>
        <v/>
      </c>
    </row>
    <row r="4583" customFormat="false" ht="15" hidden="false" customHeight="false" outlineLevel="0" collapsed="false">
      <c r="A4583" s="13" t="s">
        <v>14501</v>
      </c>
      <c r="B4583" s="13" t="n">
        <v>4578</v>
      </c>
      <c r="C4583" s="13" t="s">
        <v>14502</v>
      </c>
      <c r="D4583" s="13" t="n">
        <v>7</v>
      </c>
      <c r="E4583" s="38" t="s">
        <v>14503</v>
      </c>
      <c r="F4583" s="13" t="s">
        <v>1298</v>
      </c>
      <c r="G4583" s="13" t="s">
        <v>1063</v>
      </c>
      <c r="H4583" s="13" t="s">
        <v>14297</v>
      </c>
      <c r="I4583" s="13" t="s">
        <v>136</v>
      </c>
      <c r="J4583" s="13" t="s">
        <v>14471</v>
      </c>
      <c r="K4583" s="30" t="n">
        <v>50</v>
      </c>
      <c r="L4583" s="31" t="n">
        <v>46541</v>
      </c>
      <c r="M4583" s="31" t="n">
        <v>46590</v>
      </c>
      <c r="N4583" s="13"/>
      <c r="O4583" s="13" t="s">
        <v>1299</v>
      </c>
      <c r="P4583" s="13"/>
      <c r="Q4583" s="13"/>
    </row>
    <row r="4584" customFormat="false" ht="15" hidden="false" customHeight="false" outlineLevel="0" collapsed="false">
      <c r="A4584" s="16" t="s">
        <v>14504</v>
      </c>
      <c r="B4584" s="16" t="n">
        <v>4579</v>
      </c>
      <c r="C4584" s="16" t="s">
        <v>14505</v>
      </c>
      <c r="D4584" s="16" t="n">
        <v>8</v>
      </c>
      <c r="E4584" s="39" t="s">
        <v>14506</v>
      </c>
      <c r="F4584" s="16" t="s">
        <v>1285</v>
      </c>
      <c r="G4584" s="16" t="s">
        <v>1063</v>
      </c>
      <c r="H4584" s="16" t="s">
        <v>14297</v>
      </c>
      <c r="I4584" s="16" t="s">
        <v>136</v>
      </c>
      <c r="J4584" s="16" t="s">
        <v>14503</v>
      </c>
      <c r="K4584" s="32" t="n">
        <v>50</v>
      </c>
      <c r="L4584" s="33" t="n">
        <v>46541</v>
      </c>
      <c r="M4584" s="33" t="n">
        <v>46590</v>
      </c>
      <c r="N4584" s="16" t="s">
        <v>14313</v>
      </c>
      <c r="O4584" s="16" t="s">
        <v>1299</v>
      </c>
      <c r="P4584" s="16" t="str">
        <f aca="false">IF(AND(L4584&lt;=$D$2,M4584&gt;=$C$2),"Sí","")</f>
        <v/>
      </c>
      <c r="Q4584" s="18" t="str">
        <f aca="false">IF(COUNTIF(LOOKAHEAD!$A$5:$A$604,A4584)&gt;0,"En Lookahead",IF(P4584="Sí","INCORPORAR",""))</f>
        <v/>
      </c>
    </row>
    <row r="4585" customFormat="false" ht="15" hidden="false" customHeight="false" outlineLevel="0" collapsed="false">
      <c r="A4585" s="13" t="s">
        <v>14507</v>
      </c>
      <c r="B4585" s="13" t="n">
        <v>4580</v>
      </c>
      <c r="C4585" s="13" t="s">
        <v>14508</v>
      </c>
      <c r="D4585" s="13" t="n">
        <v>7</v>
      </c>
      <c r="E4585" s="38" t="s">
        <v>14509</v>
      </c>
      <c r="F4585" s="13" t="s">
        <v>1298</v>
      </c>
      <c r="G4585" s="13" t="s">
        <v>1063</v>
      </c>
      <c r="H4585" s="13" t="s">
        <v>14297</v>
      </c>
      <c r="I4585" s="13" t="s">
        <v>136</v>
      </c>
      <c r="J4585" s="13" t="s">
        <v>14471</v>
      </c>
      <c r="K4585" s="30" t="n">
        <v>50</v>
      </c>
      <c r="L4585" s="31" t="n">
        <v>46541</v>
      </c>
      <c r="M4585" s="31" t="n">
        <v>46590</v>
      </c>
      <c r="N4585" s="13"/>
      <c r="O4585" s="13" t="s">
        <v>1299</v>
      </c>
      <c r="P4585" s="13"/>
      <c r="Q4585" s="13"/>
    </row>
    <row r="4586" customFormat="false" ht="15" hidden="false" customHeight="false" outlineLevel="0" collapsed="false">
      <c r="A4586" s="16" t="s">
        <v>14510</v>
      </c>
      <c r="B4586" s="16" t="n">
        <v>4581</v>
      </c>
      <c r="C4586" s="16" t="s">
        <v>14511</v>
      </c>
      <c r="D4586" s="16" t="n">
        <v>8</v>
      </c>
      <c r="E4586" s="39" t="s">
        <v>14512</v>
      </c>
      <c r="F4586" s="16" t="s">
        <v>1285</v>
      </c>
      <c r="G4586" s="16" t="s">
        <v>1063</v>
      </c>
      <c r="H4586" s="16" t="s">
        <v>14297</v>
      </c>
      <c r="I4586" s="16" t="s">
        <v>136</v>
      </c>
      <c r="J4586" s="16" t="s">
        <v>14509</v>
      </c>
      <c r="K4586" s="32" t="n">
        <v>50</v>
      </c>
      <c r="L4586" s="33" t="n">
        <v>46541</v>
      </c>
      <c r="M4586" s="33" t="n">
        <v>46590</v>
      </c>
      <c r="N4586" s="16" t="s">
        <v>14313</v>
      </c>
      <c r="O4586" s="16" t="s">
        <v>1299</v>
      </c>
      <c r="P4586" s="16" t="str">
        <f aca="false">IF(AND(L4586&lt;=$D$2,M4586&gt;=$C$2),"Sí","")</f>
        <v/>
      </c>
      <c r="Q4586" s="18" t="str">
        <f aca="false">IF(COUNTIF(LOOKAHEAD!$A$5:$A$604,A4586)&gt;0,"En Lookahead",IF(P4586="Sí","INCORPORAR",""))</f>
        <v/>
      </c>
    </row>
    <row r="4587" customFormat="false" ht="15" hidden="false" customHeight="false" outlineLevel="0" collapsed="false">
      <c r="A4587" s="13" t="s">
        <v>14513</v>
      </c>
      <c r="B4587" s="13" t="n">
        <v>4582</v>
      </c>
      <c r="C4587" s="13" t="s">
        <v>14514</v>
      </c>
      <c r="D4587" s="13" t="n">
        <v>7</v>
      </c>
      <c r="E4587" s="38" t="s">
        <v>14515</v>
      </c>
      <c r="F4587" s="13" t="s">
        <v>1298</v>
      </c>
      <c r="G4587" s="13" t="s">
        <v>1063</v>
      </c>
      <c r="H4587" s="13" t="s">
        <v>14297</v>
      </c>
      <c r="I4587" s="13" t="s">
        <v>136</v>
      </c>
      <c r="J4587" s="13" t="s">
        <v>14471</v>
      </c>
      <c r="K4587" s="30" t="n">
        <v>50</v>
      </c>
      <c r="L4587" s="31" t="n">
        <v>46541</v>
      </c>
      <c r="M4587" s="31" t="n">
        <v>46590</v>
      </c>
      <c r="N4587" s="13"/>
      <c r="O4587" s="13" t="s">
        <v>1299</v>
      </c>
      <c r="P4587" s="13"/>
      <c r="Q4587" s="13"/>
    </row>
    <row r="4588" customFormat="false" ht="15" hidden="false" customHeight="false" outlineLevel="0" collapsed="false">
      <c r="A4588" s="16" t="s">
        <v>14516</v>
      </c>
      <c r="B4588" s="16" t="n">
        <v>4583</v>
      </c>
      <c r="C4588" s="16" t="s">
        <v>14517</v>
      </c>
      <c r="D4588" s="16" t="n">
        <v>8</v>
      </c>
      <c r="E4588" s="39" t="s">
        <v>14518</v>
      </c>
      <c r="F4588" s="16" t="s">
        <v>1285</v>
      </c>
      <c r="G4588" s="16" t="s">
        <v>1063</v>
      </c>
      <c r="H4588" s="16" t="s">
        <v>14297</v>
      </c>
      <c r="I4588" s="16" t="s">
        <v>136</v>
      </c>
      <c r="J4588" s="16" t="s">
        <v>14515</v>
      </c>
      <c r="K4588" s="32" t="n">
        <v>50</v>
      </c>
      <c r="L4588" s="33" t="n">
        <v>46541</v>
      </c>
      <c r="M4588" s="33" t="n">
        <v>46590</v>
      </c>
      <c r="N4588" s="16" t="s">
        <v>14313</v>
      </c>
      <c r="O4588" s="16" t="s">
        <v>1299</v>
      </c>
      <c r="P4588" s="16" t="str">
        <f aca="false">IF(AND(L4588&lt;=$D$2,M4588&gt;=$C$2),"Sí","")</f>
        <v/>
      </c>
      <c r="Q4588" s="18" t="str">
        <f aca="false">IF(COUNTIF(LOOKAHEAD!$A$5:$A$604,A4588)&gt;0,"En Lookahead",IF(P4588="Sí","INCORPORAR",""))</f>
        <v/>
      </c>
    </row>
    <row r="4589" customFormat="false" ht="15" hidden="false" customHeight="false" outlineLevel="0" collapsed="false">
      <c r="A4589" s="16" t="s">
        <v>14519</v>
      </c>
      <c r="B4589" s="16" t="n">
        <v>4584</v>
      </c>
      <c r="C4589" s="16" t="s">
        <v>14520</v>
      </c>
      <c r="D4589" s="16" t="n">
        <v>8</v>
      </c>
      <c r="E4589" s="39" t="s">
        <v>14316</v>
      </c>
      <c r="F4589" s="16" t="s">
        <v>1285</v>
      </c>
      <c r="G4589" s="16" t="s">
        <v>1063</v>
      </c>
      <c r="H4589" s="16" t="s">
        <v>14297</v>
      </c>
      <c r="I4589" s="16" t="s">
        <v>136</v>
      </c>
      <c r="J4589" s="16" t="s">
        <v>14515</v>
      </c>
      <c r="K4589" s="32" t="n">
        <v>50</v>
      </c>
      <c r="L4589" s="33" t="n">
        <v>46541</v>
      </c>
      <c r="M4589" s="33" t="n">
        <v>46590</v>
      </c>
      <c r="N4589" s="16" t="s">
        <v>14313</v>
      </c>
      <c r="O4589" s="16" t="s">
        <v>1299</v>
      </c>
      <c r="P4589" s="16" t="str">
        <f aca="false">IF(AND(L4589&lt;=$D$2,M4589&gt;=$C$2),"Sí","")</f>
        <v/>
      </c>
      <c r="Q4589" s="18" t="str">
        <f aca="false">IF(COUNTIF(LOOKAHEAD!$A$5:$A$604,A4589)&gt;0,"En Lookahead",IF(P4589="Sí","INCORPORAR",""))</f>
        <v/>
      </c>
    </row>
    <row r="4590" customFormat="false" ht="15" hidden="false" customHeight="false" outlineLevel="0" collapsed="false">
      <c r="A4590" s="16" t="s">
        <v>14521</v>
      </c>
      <c r="B4590" s="16" t="n">
        <v>4585</v>
      </c>
      <c r="C4590" s="16" t="s">
        <v>14522</v>
      </c>
      <c r="D4590" s="16" t="n">
        <v>8</v>
      </c>
      <c r="E4590" s="39" t="s">
        <v>14319</v>
      </c>
      <c r="F4590" s="16" t="s">
        <v>1285</v>
      </c>
      <c r="G4590" s="16" t="s">
        <v>1063</v>
      </c>
      <c r="H4590" s="16" t="s">
        <v>14297</v>
      </c>
      <c r="I4590" s="16" t="s">
        <v>136</v>
      </c>
      <c r="J4590" s="16" t="s">
        <v>14515</v>
      </c>
      <c r="K4590" s="32" t="n">
        <v>50</v>
      </c>
      <c r="L4590" s="33" t="n">
        <v>46541</v>
      </c>
      <c r="M4590" s="33" t="n">
        <v>46590</v>
      </c>
      <c r="N4590" s="16" t="s">
        <v>14313</v>
      </c>
      <c r="O4590" s="16" t="s">
        <v>1299</v>
      </c>
      <c r="P4590" s="16" t="str">
        <f aca="false">IF(AND(L4590&lt;=$D$2,M4590&gt;=$C$2),"Sí","")</f>
        <v/>
      </c>
      <c r="Q4590" s="18" t="str">
        <f aca="false">IF(COUNTIF(LOOKAHEAD!$A$5:$A$604,A4590)&gt;0,"En Lookahead",IF(P4590="Sí","INCORPORAR",""))</f>
        <v/>
      </c>
    </row>
    <row r="4591" customFormat="false" ht="15" hidden="false" customHeight="false" outlineLevel="0" collapsed="false">
      <c r="A4591" s="16" t="s">
        <v>14523</v>
      </c>
      <c r="B4591" s="16" t="n">
        <v>4586</v>
      </c>
      <c r="C4591" s="16" t="s">
        <v>14524</v>
      </c>
      <c r="D4591" s="16" t="n">
        <v>8</v>
      </c>
      <c r="E4591" s="39" t="s">
        <v>14466</v>
      </c>
      <c r="F4591" s="16" t="s">
        <v>1285</v>
      </c>
      <c r="G4591" s="16" t="s">
        <v>1063</v>
      </c>
      <c r="H4591" s="16" t="s">
        <v>14297</v>
      </c>
      <c r="I4591" s="16" t="s">
        <v>136</v>
      </c>
      <c r="J4591" s="16" t="s">
        <v>14515</v>
      </c>
      <c r="K4591" s="32" t="n">
        <v>50</v>
      </c>
      <c r="L4591" s="33" t="n">
        <v>46541</v>
      </c>
      <c r="M4591" s="33" t="n">
        <v>46590</v>
      </c>
      <c r="N4591" s="16" t="s">
        <v>14313</v>
      </c>
      <c r="O4591" s="16" t="s">
        <v>1299</v>
      </c>
      <c r="P4591" s="16" t="str">
        <f aca="false">IF(AND(L4591&lt;=$D$2,M4591&gt;=$C$2),"Sí","")</f>
        <v/>
      </c>
      <c r="Q4591" s="18" t="str">
        <f aca="false">IF(COUNTIF(LOOKAHEAD!$A$5:$A$604,A4591)&gt;0,"En Lookahead",IF(P4591="Sí","INCORPORAR",""))</f>
        <v/>
      </c>
    </row>
    <row r="4592" customFormat="false" ht="15" hidden="false" customHeight="false" outlineLevel="0" collapsed="false">
      <c r="A4592" s="16" t="s">
        <v>14525</v>
      </c>
      <c r="B4592" s="16" t="n">
        <v>4587</v>
      </c>
      <c r="C4592" s="16" t="s">
        <v>14526</v>
      </c>
      <c r="D4592" s="16" t="n">
        <v>8</v>
      </c>
      <c r="E4592" s="39" t="s">
        <v>14322</v>
      </c>
      <c r="F4592" s="16" t="s">
        <v>1285</v>
      </c>
      <c r="G4592" s="16" t="s">
        <v>1063</v>
      </c>
      <c r="H4592" s="16" t="s">
        <v>14297</v>
      </c>
      <c r="I4592" s="16" t="s">
        <v>136</v>
      </c>
      <c r="J4592" s="16" t="s">
        <v>14515</v>
      </c>
      <c r="K4592" s="32" t="n">
        <v>50</v>
      </c>
      <c r="L4592" s="33" t="n">
        <v>46541</v>
      </c>
      <c r="M4592" s="33" t="n">
        <v>46590</v>
      </c>
      <c r="N4592" s="16" t="s">
        <v>14313</v>
      </c>
      <c r="O4592" s="16" t="s">
        <v>1299</v>
      </c>
      <c r="P4592" s="16" t="str">
        <f aca="false">IF(AND(L4592&lt;=$D$2,M4592&gt;=$C$2),"Sí","")</f>
        <v/>
      </c>
      <c r="Q4592" s="18" t="str">
        <f aca="false">IF(COUNTIF(LOOKAHEAD!$A$5:$A$604,A4592)&gt;0,"En Lookahead",IF(P4592="Sí","INCORPORAR",""))</f>
        <v/>
      </c>
    </row>
    <row r="4593" customFormat="false" ht="15" hidden="false" customHeight="false" outlineLevel="0" collapsed="false">
      <c r="A4593" s="16" t="s">
        <v>14527</v>
      </c>
      <c r="B4593" s="16" t="n">
        <v>4588</v>
      </c>
      <c r="C4593" s="16" t="s">
        <v>14528</v>
      </c>
      <c r="D4593" s="16" t="n">
        <v>8</v>
      </c>
      <c r="E4593" s="39" t="s">
        <v>14403</v>
      </c>
      <c r="F4593" s="16" t="s">
        <v>1285</v>
      </c>
      <c r="G4593" s="16" t="s">
        <v>1063</v>
      </c>
      <c r="H4593" s="16" t="s">
        <v>14297</v>
      </c>
      <c r="I4593" s="16" t="s">
        <v>136</v>
      </c>
      <c r="J4593" s="16" t="s">
        <v>14515</v>
      </c>
      <c r="K4593" s="32" t="n">
        <v>50</v>
      </c>
      <c r="L4593" s="33" t="n">
        <v>46541</v>
      </c>
      <c r="M4593" s="33" t="n">
        <v>46590</v>
      </c>
      <c r="N4593" s="16" t="s">
        <v>14313</v>
      </c>
      <c r="O4593" s="16" t="s">
        <v>1299</v>
      </c>
      <c r="P4593" s="16" t="str">
        <f aca="false">IF(AND(L4593&lt;=$D$2,M4593&gt;=$C$2),"Sí","")</f>
        <v/>
      </c>
      <c r="Q4593" s="18" t="str">
        <f aca="false">IF(COUNTIF(LOOKAHEAD!$A$5:$A$604,A4593)&gt;0,"En Lookahead",IF(P4593="Sí","INCORPORAR",""))</f>
        <v/>
      </c>
    </row>
    <row r="4594" customFormat="false" ht="15" hidden="false" customHeight="false" outlineLevel="0" collapsed="false">
      <c r="A4594" s="16" t="s">
        <v>14529</v>
      </c>
      <c r="B4594" s="16" t="n">
        <v>4589</v>
      </c>
      <c r="C4594" s="16" t="s">
        <v>14530</v>
      </c>
      <c r="D4594" s="16" t="n">
        <v>8</v>
      </c>
      <c r="E4594" s="39" t="s">
        <v>14531</v>
      </c>
      <c r="F4594" s="16" t="s">
        <v>1285</v>
      </c>
      <c r="G4594" s="16" t="s">
        <v>1063</v>
      </c>
      <c r="H4594" s="16" t="s">
        <v>14297</v>
      </c>
      <c r="I4594" s="16" t="s">
        <v>136</v>
      </c>
      <c r="J4594" s="16" t="s">
        <v>14515</v>
      </c>
      <c r="K4594" s="32" t="n">
        <v>50</v>
      </c>
      <c r="L4594" s="33" t="n">
        <v>46541</v>
      </c>
      <c r="M4594" s="33" t="n">
        <v>46590</v>
      </c>
      <c r="N4594" s="16" t="s">
        <v>14313</v>
      </c>
      <c r="O4594" s="16" t="s">
        <v>1299</v>
      </c>
      <c r="P4594" s="16" t="str">
        <f aca="false">IF(AND(L4594&lt;=$D$2,M4594&gt;=$C$2),"Sí","")</f>
        <v/>
      </c>
      <c r="Q4594" s="18" t="str">
        <f aca="false">IF(COUNTIF(LOOKAHEAD!$A$5:$A$604,A4594)&gt;0,"En Lookahead",IF(P4594="Sí","INCORPORAR",""))</f>
        <v/>
      </c>
    </row>
    <row r="4595" customFormat="false" ht="15" hidden="false" customHeight="false" outlineLevel="0" collapsed="false">
      <c r="A4595" s="13" t="s">
        <v>14532</v>
      </c>
      <c r="B4595" s="13" t="n">
        <v>4590</v>
      </c>
      <c r="C4595" s="13" t="s">
        <v>14533</v>
      </c>
      <c r="D4595" s="13" t="n">
        <v>7</v>
      </c>
      <c r="E4595" s="38" t="s">
        <v>14534</v>
      </c>
      <c r="F4595" s="13" t="s">
        <v>1298</v>
      </c>
      <c r="G4595" s="13" t="s">
        <v>1063</v>
      </c>
      <c r="H4595" s="13" t="s">
        <v>14297</v>
      </c>
      <c r="I4595" s="13" t="s">
        <v>136</v>
      </c>
      <c r="J4595" s="13" t="s">
        <v>14471</v>
      </c>
      <c r="K4595" s="30" t="n">
        <v>50</v>
      </c>
      <c r="L4595" s="31" t="n">
        <v>46541</v>
      </c>
      <c r="M4595" s="31" t="n">
        <v>46590</v>
      </c>
      <c r="N4595" s="13"/>
      <c r="O4595" s="13" t="s">
        <v>1299</v>
      </c>
      <c r="P4595" s="13"/>
      <c r="Q4595" s="13"/>
    </row>
    <row r="4596" customFormat="false" ht="15" hidden="false" customHeight="false" outlineLevel="0" collapsed="false">
      <c r="A4596" s="16" t="s">
        <v>14535</v>
      </c>
      <c r="B4596" s="16" t="n">
        <v>4591</v>
      </c>
      <c r="C4596" s="16" t="s">
        <v>14536</v>
      </c>
      <c r="D4596" s="16" t="n">
        <v>8</v>
      </c>
      <c r="E4596" s="39" t="s">
        <v>14537</v>
      </c>
      <c r="F4596" s="16" t="s">
        <v>1285</v>
      </c>
      <c r="G4596" s="16" t="s">
        <v>1063</v>
      </c>
      <c r="H4596" s="16" t="s">
        <v>14297</v>
      </c>
      <c r="I4596" s="16" t="s">
        <v>136</v>
      </c>
      <c r="J4596" s="16" t="s">
        <v>14534</v>
      </c>
      <c r="K4596" s="32" t="n">
        <v>50</v>
      </c>
      <c r="L4596" s="33" t="n">
        <v>46541</v>
      </c>
      <c r="M4596" s="33" t="n">
        <v>46590</v>
      </c>
      <c r="N4596" s="16" t="s">
        <v>14313</v>
      </c>
      <c r="O4596" s="16" t="s">
        <v>1299</v>
      </c>
      <c r="P4596" s="16" t="str">
        <f aca="false">IF(AND(L4596&lt;=$D$2,M4596&gt;=$C$2),"Sí","")</f>
        <v/>
      </c>
      <c r="Q4596" s="18" t="str">
        <f aca="false">IF(COUNTIF(LOOKAHEAD!$A$5:$A$604,A4596)&gt;0,"En Lookahead",IF(P4596="Sí","INCORPORAR",""))</f>
        <v/>
      </c>
    </row>
    <row r="4597" customFormat="false" ht="15" hidden="false" customHeight="false" outlineLevel="0" collapsed="false">
      <c r="A4597" s="16" t="s">
        <v>14538</v>
      </c>
      <c r="B4597" s="16" t="n">
        <v>4592</v>
      </c>
      <c r="C4597" s="16" t="s">
        <v>14539</v>
      </c>
      <c r="D4597" s="16" t="n">
        <v>8</v>
      </c>
      <c r="E4597" s="39" t="s">
        <v>14392</v>
      </c>
      <c r="F4597" s="16" t="s">
        <v>1285</v>
      </c>
      <c r="G4597" s="16" t="s">
        <v>1063</v>
      </c>
      <c r="H4597" s="16" t="s">
        <v>14297</v>
      </c>
      <c r="I4597" s="16" t="s">
        <v>136</v>
      </c>
      <c r="J4597" s="16" t="s">
        <v>14534</v>
      </c>
      <c r="K4597" s="32" t="n">
        <v>50</v>
      </c>
      <c r="L4597" s="33" t="n">
        <v>46541</v>
      </c>
      <c r="M4597" s="33" t="n">
        <v>46590</v>
      </c>
      <c r="N4597" s="16" t="s">
        <v>14313</v>
      </c>
      <c r="O4597" s="16" t="s">
        <v>1299</v>
      </c>
      <c r="P4597" s="16" t="str">
        <f aca="false">IF(AND(L4597&lt;=$D$2,M4597&gt;=$C$2),"Sí","")</f>
        <v/>
      </c>
      <c r="Q4597" s="18" t="str">
        <f aca="false">IF(COUNTIF(LOOKAHEAD!$A$5:$A$604,A4597)&gt;0,"En Lookahead",IF(P4597="Sí","INCORPORAR",""))</f>
        <v/>
      </c>
    </row>
    <row r="4598" customFormat="false" ht="15" hidden="false" customHeight="false" outlineLevel="0" collapsed="false">
      <c r="A4598" s="16" t="s">
        <v>14540</v>
      </c>
      <c r="B4598" s="16" t="n">
        <v>4593</v>
      </c>
      <c r="C4598" s="16" t="s">
        <v>14541</v>
      </c>
      <c r="D4598" s="16" t="n">
        <v>8</v>
      </c>
      <c r="E4598" s="39" t="s">
        <v>14487</v>
      </c>
      <c r="F4598" s="16" t="s">
        <v>1285</v>
      </c>
      <c r="G4598" s="16" t="s">
        <v>1063</v>
      </c>
      <c r="H4598" s="16" t="s">
        <v>14297</v>
      </c>
      <c r="I4598" s="16" t="s">
        <v>136</v>
      </c>
      <c r="J4598" s="16" t="s">
        <v>14534</v>
      </c>
      <c r="K4598" s="32" t="n">
        <v>50</v>
      </c>
      <c r="L4598" s="33" t="n">
        <v>46541</v>
      </c>
      <c r="M4598" s="33" t="n">
        <v>46590</v>
      </c>
      <c r="N4598" s="16" t="s">
        <v>14313</v>
      </c>
      <c r="O4598" s="16" t="s">
        <v>1299</v>
      </c>
      <c r="P4598" s="16" t="str">
        <f aca="false">IF(AND(L4598&lt;=$D$2,M4598&gt;=$C$2),"Sí","")</f>
        <v/>
      </c>
      <c r="Q4598" s="18" t="str">
        <f aca="false">IF(COUNTIF(LOOKAHEAD!$A$5:$A$604,A4598)&gt;0,"En Lookahead",IF(P4598="Sí","INCORPORAR",""))</f>
        <v/>
      </c>
    </row>
    <row r="4599" customFormat="false" ht="15" hidden="false" customHeight="false" outlineLevel="0" collapsed="false">
      <c r="A4599" s="16" t="s">
        <v>14542</v>
      </c>
      <c r="B4599" s="16" t="n">
        <v>4594</v>
      </c>
      <c r="C4599" s="16" t="s">
        <v>14543</v>
      </c>
      <c r="D4599" s="16" t="n">
        <v>8</v>
      </c>
      <c r="E4599" s="39" t="s">
        <v>14319</v>
      </c>
      <c r="F4599" s="16" t="s">
        <v>1285</v>
      </c>
      <c r="G4599" s="16" t="s">
        <v>1063</v>
      </c>
      <c r="H4599" s="16" t="s">
        <v>14297</v>
      </c>
      <c r="I4599" s="16" t="s">
        <v>136</v>
      </c>
      <c r="J4599" s="16" t="s">
        <v>14534</v>
      </c>
      <c r="K4599" s="32" t="n">
        <v>50</v>
      </c>
      <c r="L4599" s="33" t="n">
        <v>46541</v>
      </c>
      <c r="M4599" s="33" t="n">
        <v>46590</v>
      </c>
      <c r="N4599" s="16" t="s">
        <v>14313</v>
      </c>
      <c r="O4599" s="16" t="s">
        <v>1299</v>
      </c>
      <c r="P4599" s="16" t="str">
        <f aca="false">IF(AND(L4599&lt;=$D$2,M4599&gt;=$C$2),"Sí","")</f>
        <v/>
      </c>
      <c r="Q4599" s="18" t="str">
        <f aca="false">IF(COUNTIF(LOOKAHEAD!$A$5:$A$604,A4599)&gt;0,"En Lookahead",IF(P4599="Sí","INCORPORAR",""))</f>
        <v/>
      </c>
    </row>
    <row r="4600" customFormat="false" ht="15" hidden="false" customHeight="false" outlineLevel="0" collapsed="false">
      <c r="A4600" s="16" t="s">
        <v>14544</v>
      </c>
      <c r="B4600" s="16" t="n">
        <v>4595</v>
      </c>
      <c r="C4600" s="16" t="s">
        <v>14545</v>
      </c>
      <c r="D4600" s="16" t="n">
        <v>8</v>
      </c>
      <c r="E4600" s="39" t="s">
        <v>14322</v>
      </c>
      <c r="F4600" s="16" t="s">
        <v>1285</v>
      </c>
      <c r="G4600" s="16" t="s">
        <v>1063</v>
      </c>
      <c r="H4600" s="16" t="s">
        <v>14297</v>
      </c>
      <c r="I4600" s="16" t="s">
        <v>136</v>
      </c>
      <c r="J4600" s="16" t="s">
        <v>14534</v>
      </c>
      <c r="K4600" s="32" t="n">
        <v>50</v>
      </c>
      <c r="L4600" s="33" t="n">
        <v>46541</v>
      </c>
      <c r="M4600" s="33" t="n">
        <v>46590</v>
      </c>
      <c r="N4600" s="16" t="s">
        <v>14313</v>
      </c>
      <c r="O4600" s="16" t="s">
        <v>1299</v>
      </c>
      <c r="P4600" s="16" t="str">
        <f aca="false">IF(AND(L4600&lt;=$D$2,M4600&gt;=$C$2),"Sí","")</f>
        <v/>
      </c>
      <c r="Q4600" s="18" t="str">
        <f aca="false">IF(COUNTIF(LOOKAHEAD!$A$5:$A$604,A4600)&gt;0,"En Lookahead",IF(P4600="Sí","INCORPORAR",""))</f>
        <v/>
      </c>
    </row>
    <row r="4601" customFormat="false" ht="15" hidden="false" customHeight="false" outlineLevel="0" collapsed="false">
      <c r="A4601" s="16" t="s">
        <v>14546</v>
      </c>
      <c r="B4601" s="16" t="n">
        <v>4596</v>
      </c>
      <c r="C4601" s="16" t="s">
        <v>14547</v>
      </c>
      <c r="D4601" s="16" t="n">
        <v>8</v>
      </c>
      <c r="E4601" s="39" t="s">
        <v>14548</v>
      </c>
      <c r="F4601" s="16" t="s">
        <v>1285</v>
      </c>
      <c r="G4601" s="16" t="s">
        <v>1063</v>
      </c>
      <c r="H4601" s="16" t="s">
        <v>14297</v>
      </c>
      <c r="I4601" s="16" t="s">
        <v>136</v>
      </c>
      <c r="J4601" s="16" t="s">
        <v>14534</v>
      </c>
      <c r="K4601" s="32" t="n">
        <v>50</v>
      </c>
      <c r="L4601" s="33" t="n">
        <v>46541</v>
      </c>
      <c r="M4601" s="33" t="n">
        <v>46590</v>
      </c>
      <c r="N4601" s="16" t="s">
        <v>14313</v>
      </c>
      <c r="O4601" s="16" t="s">
        <v>1299</v>
      </c>
      <c r="P4601" s="16" t="str">
        <f aca="false">IF(AND(L4601&lt;=$D$2,M4601&gt;=$C$2),"Sí","")</f>
        <v/>
      </c>
      <c r="Q4601" s="18" t="str">
        <f aca="false">IF(COUNTIF(LOOKAHEAD!$A$5:$A$604,A4601)&gt;0,"En Lookahead",IF(P4601="Sí","INCORPORAR",""))</f>
        <v/>
      </c>
    </row>
    <row r="4602" customFormat="false" ht="15" hidden="false" customHeight="false" outlineLevel="0" collapsed="false">
      <c r="A4602" s="16" t="s">
        <v>14549</v>
      </c>
      <c r="B4602" s="16" t="n">
        <v>4597</v>
      </c>
      <c r="C4602" s="16" t="s">
        <v>14550</v>
      </c>
      <c r="D4602" s="16" t="n">
        <v>8</v>
      </c>
      <c r="E4602" s="39" t="s">
        <v>14384</v>
      </c>
      <c r="F4602" s="16" t="s">
        <v>1285</v>
      </c>
      <c r="G4602" s="16" t="s">
        <v>1063</v>
      </c>
      <c r="H4602" s="16" t="s">
        <v>14297</v>
      </c>
      <c r="I4602" s="16" t="s">
        <v>136</v>
      </c>
      <c r="J4602" s="16" t="s">
        <v>14534</v>
      </c>
      <c r="K4602" s="32" t="n">
        <v>50</v>
      </c>
      <c r="L4602" s="33" t="n">
        <v>46541</v>
      </c>
      <c r="M4602" s="33" t="n">
        <v>46590</v>
      </c>
      <c r="N4602" s="16" t="s">
        <v>14313</v>
      </c>
      <c r="O4602" s="16" t="s">
        <v>1299</v>
      </c>
      <c r="P4602" s="16" t="str">
        <f aca="false">IF(AND(L4602&lt;=$D$2,M4602&gt;=$C$2),"Sí","")</f>
        <v/>
      </c>
      <c r="Q4602" s="18" t="str">
        <f aca="false">IF(COUNTIF(LOOKAHEAD!$A$5:$A$604,A4602)&gt;0,"En Lookahead",IF(P4602="Sí","INCORPORAR",""))</f>
        <v/>
      </c>
    </row>
    <row r="4603" customFormat="false" ht="15" hidden="false" customHeight="false" outlineLevel="0" collapsed="false">
      <c r="A4603" s="16" t="s">
        <v>14551</v>
      </c>
      <c r="B4603" s="16" t="n">
        <v>4598</v>
      </c>
      <c r="C4603" s="16" t="s">
        <v>14552</v>
      </c>
      <c r="D4603" s="16" t="n">
        <v>8</v>
      </c>
      <c r="E4603" s="39" t="s">
        <v>14553</v>
      </c>
      <c r="F4603" s="16" t="s">
        <v>1285</v>
      </c>
      <c r="G4603" s="16" t="s">
        <v>1063</v>
      </c>
      <c r="H4603" s="16" t="s">
        <v>14297</v>
      </c>
      <c r="I4603" s="16" t="s">
        <v>136</v>
      </c>
      <c r="J4603" s="16" t="s">
        <v>14534</v>
      </c>
      <c r="K4603" s="32" t="n">
        <v>50</v>
      </c>
      <c r="L4603" s="33" t="n">
        <v>46541</v>
      </c>
      <c r="M4603" s="33" t="n">
        <v>46590</v>
      </c>
      <c r="N4603" s="16" t="s">
        <v>14313</v>
      </c>
      <c r="O4603" s="16" t="s">
        <v>1299</v>
      </c>
      <c r="P4603" s="16" t="str">
        <f aca="false">IF(AND(L4603&lt;=$D$2,M4603&gt;=$C$2),"Sí","")</f>
        <v/>
      </c>
      <c r="Q4603" s="18" t="str">
        <f aca="false">IF(COUNTIF(LOOKAHEAD!$A$5:$A$604,A4603)&gt;0,"En Lookahead",IF(P4603="Sí","INCORPORAR",""))</f>
        <v/>
      </c>
    </row>
    <row r="4604" customFormat="false" ht="15" hidden="false" customHeight="false" outlineLevel="0" collapsed="false">
      <c r="A4604" s="13" t="s">
        <v>14554</v>
      </c>
      <c r="B4604" s="13" t="n">
        <v>4599</v>
      </c>
      <c r="C4604" s="13" t="s">
        <v>14555</v>
      </c>
      <c r="D4604" s="13" t="n">
        <v>7</v>
      </c>
      <c r="E4604" s="38" t="s">
        <v>14556</v>
      </c>
      <c r="F4604" s="13" t="s">
        <v>1298</v>
      </c>
      <c r="G4604" s="13" t="s">
        <v>1063</v>
      </c>
      <c r="H4604" s="13" t="s">
        <v>14297</v>
      </c>
      <c r="I4604" s="13" t="s">
        <v>136</v>
      </c>
      <c r="J4604" s="13" t="s">
        <v>14471</v>
      </c>
      <c r="K4604" s="30" t="n">
        <v>50</v>
      </c>
      <c r="L4604" s="31" t="n">
        <v>46541</v>
      </c>
      <c r="M4604" s="31" t="n">
        <v>46590</v>
      </c>
      <c r="N4604" s="13"/>
      <c r="O4604" s="13" t="s">
        <v>1299</v>
      </c>
      <c r="P4604" s="13"/>
      <c r="Q4604" s="13"/>
    </row>
    <row r="4605" customFormat="false" ht="15" hidden="false" customHeight="false" outlineLevel="0" collapsed="false">
      <c r="A4605" s="16" t="s">
        <v>14557</v>
      </c>
      <c r="B4605" s="16" t="n">
        <v>4600</v>
      </c>
      <c r="C4605" s="16" t="s">
        <v>14558</v>
      </c>
      <c r="D4605" s="16" t="n">
        <v>8</v>
      </c>
      <c r="E4605" s="39" t="s">
        <v>14466</v>
      </c>
      <c r="F4605" s="16" t="s">
        <v>1285</v>
      </c>
      <c r="G4605" s="16" t="s">
        <v>1063</v>
      </c>
      <c r="H4605" s="16" t="s">
        <v>14297</v>
      </c>
      <c r="I4605" s="16" t="s">
        <v>136</v>
      </c>
      <c r="J4605" s="16" t="s">
        <v>14556</v>
      </c>
      <c r="K4605" s="32" t="n">
        <v>50</v>
      </c>
      <c r="L4605" s="33" t="n">
        <v>46541</v>
      </c>
      <c r="M4605" s="33" t="n">
        <v>46590</v>
      </c>
      <c r="N4605" s="16" t="s">
        <v>14313</v>
      </c>
      <c r="O4605" s="16" t="s">
        <v>1299</v>
      </c>
      <c r="P4605" s="16" t="str">
        <f aca="false">IF(AND(L4605&lt;=$D$2,M4605&gt;=$C$2),"Sí","")</f>
        <v/>
      </c>
      <c r="Q4605" s="18" t="str">
        <f aca="false">IF(COUNTIF(LOOKAHEAD!$A$5:$A$604,A4605)&gt;0,"En Lookahead",IF(P4605="Sí","INCORPORAR",""))</f>
        <v/>
      </c>
    </row>
    <row r="4606" customFormat="false" ht="15" hidden="false" customHeight="false" outlineLevel="0" collapsed="false">
      <c r="A4606" s="16" t="s">
        <v>14559</v>
      </c>
      <c r="B4606" s="16" t="n">
        <v>4601</v>
      </c>
      <c r="C4606" s="16" t="s">
        <v>14560</v>
      </c>
      <c r="D4606" s="16" t="n">
        <v>8</v>
      </c>
      <c r="E4606" s="39" t="s">
        <v>14512</v>
      </c>
      <c r="F4606" s="16" t="s">
        <v>1285</v>
      </c>
      <c r="G4606" s="16" t="s">
        <v>1063</v>
      </c>
      <c r="H4606" s="16" t="s">
        <v>14297</v>
      </c>
      <c r="I4606" s="16" t="s">
        <v>136</v>
      </c>
      <c r="J4606" s="16" t="s">
        <v>14556</v>
      </c>
      <c r="K4606" s="32" t="n">
        <v>50</v>
      </c>
      <c r="L4606" s="33" t="n">
        <v>46541</v>
      </c>
      <c r="M4606" s="33" t="n">
        <v>46590</v>
      </c>
      <c r="N4606" s="16" t="s">
        <v>14313</v>
      </c>
      <c r="O4606" s="16" t="s">
        <v>1299</v>
      </c>
      <c r="P4606" s="16" t="str">
        <f aca="false">IF(AND(L4606&lt;=$D$2,M4606&gt;=$C$2),"Sí","")</f>
        <v/>
      </c>
      <c r="Q4606" s="18" t="str">
        <f aca="false">IF(COUNTIF(LOOKAHEAD!$A$5:$A$604,A4606)&gt;0,"En Lookahead",IF(P4606="Sí","INCORPORAR",""))</f>
        <v/>
      </c>
    </row>
    <row r="4607" customFormat="false" ht="15" hidden="false" customHeight="false" outlineLevel="0" collapsed="false">
      <c r="A4607" s="16" t="s">
        <v>14561</v>
      </c>
      <c r="B4607" s="16" t="n">
        <v>4602</v>
      </c>
      <c r="C4607" s="16" t="s">
        <v>14562</v>
      </c>
      <c r="D4607" s="16" t="n">
        <v>8</v>
      </c>
      <c r="E4607" s="39" t="s">
        <v>14360</v>
      </c>
      <c r="F4607" s="16" t="s">
        <v>1285</v>
      </c>
      <c r="G4607" s="16" t="s">
        <v>1063</v>
      </c>
      <c r="H4607" s="16" t="s">
        <v>14297</v>
      </c>
      <c r="I4607" s="16" t="s">
        <v>136</v>
      </c>
      <c r="J4607" s="16" t="s">
        <v>14556</v>
      </c>
      <c r="K4607" s="32" t="n">
        <v>50</v>
      </c>
      <c r="L4607" s="33" t="n">
        <v>46541</v>
      </c>
      <c r="M4607" s="33" t="n">
        <v>46590</v>
      </c>
      <c r="N4607" s="16" t="s">
        <v>14313</v>
      </c>
      <c r="O4607" s="16" t="s">
        <v>1299</v>
      </c>
      <c r="P4607" s="16" t="str">
        <f aca="false">IF(AND(L4607&lt;=$D$2,M4607&gt;=$C$2),"Sí","")</f>
        <v/>
      </c>
      <c r="Q4607" s="18" t="str">
        <f aca="false">IF(COUNTIF(LOOKAHEAD!$A$5:$A$604,A4607)&gt;0,"En Lookahead",IF(P4607="Sí","INCORPORAR",""))</f>
        <v/>
      </c>
    </row>
    <row r="4608" customFormat="false" ht="15" hidden="false" customHeight="false" outlineLevel="0" collapsed="false">
      <c r="A4608" s="13" t="s">
        <v>14563</v>
      </c>
      <c r="B4608" s="13" t="n">
        <v>4603</v>
      </c>
      <c r="C4608" s="13" t="s">
        <v>14564</v>
      </c>
      <c r="D4608" s="13" t="n">
        <v>6</v>
      </c>
      <c r="E4608" s="36" t="s">
        <v>14565</v>
      </c>
      <c r="F4608" s="13" t="s">
        <v>1298</v>
      </c>
      <c r="G4608" s="13" t="s">
        <v>1063</v>
      </c>
      <c r="H4608" s="13" t="s">
        <v>14297</v>
      </c>
      <c r="I4608" s="13" t="s">
        <v>136</v>
      </c>
      <c r="J4608" s="13" t="s">
        <v>1531</v>
      </c>
      <c r="K4608" s="30" t="n">
        <v>50</v>
      </c>
      <c r="L4608" s="31" t="n">
        <v>46541</v>
      </c>
      <c r="M4608" s="31" t="n">
        <v>46590</v>
      </c>
      <c r="N4608" s="13"/>
      <c r="O4608" s="13" t="s">
        <v>1299</v>
      </c>
      <c r="P4608" s="13"/>
      <c r="Q4608" s="13"/>
    </row>
    <row r="4609" customFormat="false" ht="15" hidden="false" customHeight="false" outlineLevel="0" collapsed="false">
      <c r="A4609" s="13" t="s">
        <v>14566</v>
      </c>
      <c r="B4609" s="13" t="n">
        <v>4604</v>
      </c>
      <c r="C4609" s="13" t="s">
        <v>14567</v>
      </c>
      <c r="D4609" s="13" t="n">
        <v>7</v>
      </c>
      <c r="E4609" s="38" t="s">
        <v>14568</v>
      </c>
      <c r="F4609" s="13" t="s">
        <v>1298</v>
      </c>
      <c r="G4609" s="13" t="s">
        <v>1063</v>
      </c>
      <c r="H4609" s="13" t="s">
        <v>14297</v>
      </c>
      <c r="I4609" s="13" t="s">
        <v>136</v>
      </c>
      <c r="J4609" s="13" t="s">
        <v>14565</v>
      </c>
      <c r="K4609" s="30" t="n">
        <v>50</v>
      </c>
      <c r="L4609" s="31" t="n">
        <v>46541</v>
      </c>
      <c r="M4609" s="31" t="n">
        <v>46590</v>
      </c>
      <c r="N4609" s="13"/>
      <c r="O4609" s="13" t="s">
        <v>1299</v>
      </c>
      <c r="P4609" s="13"/>
      <c r="Q4609" s="13"/>
    </row>
    <row r="4610" customFormat="false" ht="15" hidden="false" customHeight="false" outlineLevel="0" collapsed="false">
      <c r="A4610" s="16" t="s">
        <v>14569</v>
      </c>
      <c r="B4610" s="16" t="n">
        <v>4605</v>
      </c>
      <c r="C4610" s="16" t="s">
        <v>14570</v>
      </c>
      <c r="D4610" s="16" t="n">
        <v>8</v>
      </c>
      <c r="E4610" s="39" t="s">
        <v>14477</v>
      </c>
      <c r="F4610" s="16" t="s">
        <v>1285</v>
      </c>
      <c r="G4610" s="16" t="s">
        <v>1063</v>
      </c>
      <c r="H4610" s="16" t="s">
        <v>14297</v>
      </c>
      <c r="I4610" s="16" t="s">
        <v>136</v>
      </c>
      <c r="J4610" s="16" t="s">
        <v>14568</v>
      </c>
      <c r="K4610" s="32" t="n">
        <v>50</v>
      </c>
      <c r="L4610" s="33" t="n">
        <v>46541</v>
      </c>
      <c r="M4610" s="33" t="n">
        <v>46590</v>
      </c>
      <c r="N4610" s="16" t="s">
        <v>14313</v>
      </c>
      <c r="O4610" s="16" t="s">
        <v>1299</v>
      </c>
      <c r="P4610" s="16" t="str">
        <f aca="false">IF(AND(L4610&lt;=$D$2,M4610&gt;=$C$2),"Sí","")</f>
        <v/>
      </c>
      <c r="Q4610" s="18" t="str">
        <f aca="false">IF(COUNTIF(LOOKAHEAD!$A$5:$A$604,A4610)&gt;0,"En Lookahead",IF(P4610="Sí","INCORPORAR",""))</f>
        <v/>
      </c>
    </row>
    <row r="4611" customFormat="false" ht="15" hidden="false" customHeight="false" outlineLevel="0" collapsed="false">
      <c r="A4611" s="16" t="s">
        <v>14571</v>
      </c>
      <c r="B4611" s="16" t="n">
        <v>4606</v>
      </c>
      <c r="C4611" s="16" t="s">
        <v>14572</v>
      </c>
      <c r="D4611" s="16" t="n">
        <v>8</v>
      </c>
      <c r="E4611" s="39" t="s">
        <v>14392</v>
      </c>
      <c r="F4611" s="16" t="s">
        <v>1285</v>
      </c>
      <c r="G4611" s="16" t="s">
        <v>1063</v>
      </c>
      <c r="H4611" s="16" t="s">
        <v>14297</v>
      </c>
      <c r="I4611" s="16" t="s">
        <v>136</v>
      </c>
      <c r="J4611" s="16" t="s">
        <v>14568</v>
      </c>
      <c r="K4611" s="32" t="n">
        <v>50</v>
      </c>
      <c r="L4611" s="33" t="n">
        <v>46541</v>
      </c>
      <c r="M4611" s="33" t="n">
        <v>46590</v>
      </c>
      <c r="N4611" s="16" t="s">
        <v>14313</v>
      </c>
      <c r="O4611" s="16" t="s">
        <v>1299</v>
      </c>
      <c r="P4611" s="16" t="str">
        <f aca="false">IF(AND(L4611&lt;=$D$2,M4611&gt;=$C$2),"Sí","")</f>
        <v/>
      </c>
      <c r="Q4611" s="18" t="str">
        <f aca="false">IF(COUNTIF(LOOKAHEAD!$A$5:$A$604,A4611)&gt;0,"En Lookahead",IF(P4611="Sí","INCORPORAR",""))</f>
        <v/>
      </c>
    </row>
    <row r="4612" customFormat="false" ht="15" hidden="false" customHeight="false" outlineLevel="0" collapsed="false">
      <c r="A4612" s="16" t="s">
        <v>14573</v>
      </c>
      <c r="B4612" s="16" t="n">
        <v>4607</v>
      </c>
      <c r="C4612" s="16" t="s">
        <v>14574</v>
      </c>
      <c r="D4612" s="16" t="n">
        <v>8</v>
      </c>
      <c r="E4612" s="39" t="s">
        <v>14337</v>
      </c>
      <c r="F4612" s="16" t="s">
        <v>1285</v>
      </c>
      <c r="G4612" s="16" t="s">
        <v>1063</v>
      </c>
      <c r="H4612" s="16" t="s">
        <v>14297</v>
      </c>
      <c r="I4612" s="16" t="s">
        <v>136</v>
      </c>
      <c r="J4612" s="16" t="s">
        <v>14568</v>
      </c>
      <c r="K4612" s="32" t="n">
        <v>50</v>
      </c>
      <c r="L4612" s="33" t="n">
        <v>46541</v>
      </c>
      <c r="M4612" s="33" t="n">
        <v>46590</v>
      </c>
      <c r="N4612" s="16" t="s">
        <v>14313</v>
      </c>
      <c r="O4612" s="16" t="s">
        <v>1299</v>
      </c>
      <c r="P4612" s="16" t="str">
        <f aca="false">IF(AND(L4612&lt;=$D$2,M4612&gt;=$C$2),"Sí","")</f>
        <v/>
      </c>
      <c r="Q4612" s="18" t="str">
        <f aca="false">IF(COUNTIF(LOOKAHEAD!$A$5:$A$604,A4612)&gt;0,"En Lookahead",IF(P4612="Sí","INCORPORAR",""))</f>
        <v/>
      </c>
    </row>
    <row r="4613" customFormat="false" ht="15" hidden="false" customHeight="false" outlineLevel="0" collapsed="false">
      <c r="A4613" s="16" t="s">
        <v>14575</v>
      </c>
      <c r="B4613" s="16" t="n">
        <v>4608</v>
      </c>
      <c r="C4613" s="16" t="s">
        <v>14576</v>
      </c>
      <c r="D4613" s="16" t="n">
        <v>8</v>
      </c>
      <c r="E4613" s="39" t="s">
        <v>14484</v>
      </c>
      <c r="F4613" s="16" t="s">
        <v>1285</v>
      </c>
      <c r="G4613" s="16" t="s">
        <v>1063</v>
      </c>
      <c r="H4613" s="16" t="s">
        <v>14297</v>
      </c>
      <c r="I4613" s="16" t="s">
        <v>136</v>
      </c>
      <c r="J4613" s="16" t="s">
        <v>14568</v>
      </c>
      <c r="K4613" s="32" t="n">
        <v>50</v>
      </c>
      <c r="L4613" s="33" t="n">
        <v>46541</v>
      </c>
      <c r="M4613" s="33" t="n">
        <v>46590</v>
      </c>
      <c r="N4613" s="16" t="s">
        <v>14313</v>
      </c>
      <c r="O4613" s="16" t="s">
        <v>1299</v>
      </c>
      <c r="P4613" s="16" t="str">
        <f aca="false">IF(AND(L4613&lt;=$D$2,M4613&gt;=$C$2),"Sí","")</f>
        <v/>
      </c>
      <c r="Q4613" s="18" t="str">
        <f aca="false">IF(COUNTIF(LOOKAHEAD!$A$5:$A$604,A4613)&gt;0,"En Lookahead",IF(P4613="Sí","INCORPORAR",""))</f>
        <v/>
      </c>
    </row>
    <row r="4614" customFormat="false" ht="15" hidden="false" customHeight="false" outlineLevel="0" collapsed="false">
      <c r="A4614" s="16" t="s">
        <v>14577</v>
      </c>
      <c r="B4614" s="16" t="n">
        <v>4609</v>
      </c>
      <c r="C4614" s="16" t="s">
        <v>14578</v>
      </c>
      <c r="D4614" s="16" t="n">
        <v>8</v>
      </c>
      <c r="E4614" s="39" t="s">
        <v>14319</v>
      </c>
      <c r="F4614" s="16" t="s">
        <v>1285</v>
      </c>
      <c r="G4614" s="16" t="s">
        <v>1063</v>
      </c>
      <c r="H4614" s="16" t="s">
        <v>14297</v>
      </c>
      <c r="I4614" s="16" t="s">
        <v>136</v>
      </c>
      <c r="J4614" s="16" t="s">
        <v>14568</v>
      </c>
      <c r="K4614" s="32" t="n">
        <v>50</v>
      </c>
      <c r="L4614" s="33" t="n">
        <v>46541</v>
      </c>
      <c r="M4614" s="33" t="n">
        <v>46590</v>
      </c>
      <c r="N4614" s="16" t="s">
        <v>14313</v>
      </c>
      <c r="O4614" s="16" t="s">
        <v>1299</v>
      </c>
      <c r="P4614" s="16" t="str">
        <f aca="false">IF(AND(L4614&lt;=$D$2,M4614&gt;=$C$2),"Sí","")</f>
        <v/>
      </c>
      <c r="Q4614" s="18" t="str">
        <f aca="false">IF(COUNTIF(LOOKAHEAD!$A$5:$A$604,A4614)&gt;0,"En Lookahead",IF(P4614="Sí","INCORPORAR",""))</f>
        <v/>
      </c>
    </row>
    <row r="4615" customFormat="false" ht="15" hidden="false" customHeight="false" outlineLevel="0" collapsed="false">
      <c r="A4615" s="16" t="s">
        <v>14579</v>
      </c>
      <c r="B4615" s="16" t="n">
        <v>4610</v>
      </c>
      <c r="C4615" s="16" t="s">
        <v>14580</v>
      </c>
      <c r="D4615" s="16" t="n">
        <v>8</v>
      </c>
      <c r="E4615" s="39" t="s">
        <v>14492</v>
      </c>
      <c r="F4615" s="16" t="s">
        <v>1285</v>
      </c>
      <c r="G4615" s="16" t="s">
        <v>1063</v>
      </c>
      <c r="H4615" s="16" t="s">
        <v>14297</v>
      </c>
      <c r="I4615" s="16" t="s">
        <v>136</v>
      </c>
      <c r="J4615" s="16" t="s">
        <v>14568</v>
      </c>
      <c r="K4615" s="32" t="n">
        <v>50</v>
      </c>
      <c r="L4615" s="33" t="n">
        <v>46541</v>
      </c>
      <c r="M4615" s="33" t="n">
        <v>46590</v>
      </c>
      <c r="N4615" s="16" t="s">
        <v>14313</v>
      </c>
      <c r="O4615" s="16" t="s">
        <v>1299</v>
      </c>
      <c r="P4615" s="16" t="str">
        <f aca="false">IF(AND(L4615&lt;=$D$2,M4615&gt;=$C$2),"Sí","")</f>
        <v/>
      </c>
      <c r="Q4615" s="18" t="str">
        <f aca="false">IF(COUNTIF(LOOKAHEAD!$A$5:$A$604,A4615)&gt;0,"En Lookahead",IF(P4615="Sí","INCORPORAR",""))</f>
        <v/>
      </c>
    </row>
    <row r="4616" customFormat="false" ht="15" hidden="false" customHeight="false" outlineLevel="0" collapsed="false">
      <c r="A4616" s="16" t="s">
        <v>14581</v>
      </c>
      <c r="B4616" s="16" t="n">
        <v>4611</v>
      </c>
      <c r="C4616" s="16" t="s">
        <v>14582</v>
      </c>
      <c r="D4616" s="16" t="n">
        <v>8</v>
      </c>
      <c r="E4616" s="39" t="s">
        <v>14495</v>
      </c>
      <c r="F4616" s="16" t="s">
        <v>1285</v>
      </c>
      <c r="G4616" s="16" t="s">
        <v>1063</v>
      </c>
      <c r="H4616" s="16" t="s">
        <v>14297</v>
      </c>
      <c r="I4616" s="16" t="s">
        <v>136</v>
      </c>
      <c r="J4616" s="16" t="s">
        <v>14568</v>
      </c>
      <c r="K4616" s="32" t="n">
        <v>50</v>
      </c>
      <c r="L4616" s="33" t="n">
        <v>46541</v>
      </c>
      <c r="M4616" s="33" t="n">
        <v>46590</v>
      </c>
      <c r="N4616" s="16" t="s">
        <v>14313</v>
      </c>
      <c r="O4616" s="16" t="s">
        <v>1299</v>
      </c>
      <c r="P4616" s="16" t="str">
        <f aca="false">IF(AND(L4616&lt;=$D$2,M4616&gt;=$C$2),"Sí","")</f>
        <v/>
      </c>
      <c r="Q4616" s="18" t="str">
        <f aca="false">IF(COUNTIF(LOOKAHEAD!$A$5:$A$604,A4616)&gt;0,"En Lookahead",IF(P4616="Sí","INCORPORAR",""))</f>
        <v/>
      </c>
    </row>
    <row r="4617" customFormat="false" ht="15" hidden="false" customHeight="false" outlineLevel="0" collapsed="false">
      <c r="A4617" s="16" t="s">
        <v>14583</v>
      </c>
      <c r="B4617" s="16" t="n">
        <v>4612</v>
      </c>
      <c r="C4617" s="16" t="s">
        <v>14584</v>
      </c>
      <c r="D4617" s="16" t="n">
        <v>8</v>
      </c>
      <c r="E4617" s="39" t="s">
        <v>14322</v>
      </c>
      <c r="F4617" s="16" t="s">
        <v>1285</v>
      </c>
      <c r="G4617" s="16" t="s">
        <v>1063</v>
      </c>
      <c r="H4617" s="16" t="s">
        <v>14297</v>
      </c>
      <c r="I4617" s="16" t="s">
        <v>136</v>
      </c>
      <c r="J4617" s="16" t="s">
        <v>14568</v>
      </c>
      <c r="K4617" s="32" t="n">
        <v>50</v>
      </c>
      <c r="L4617" s="33" t="n">
        <v>46541</v>
      </c>
      <c r="M4617" s="33" t="n">
        <v>46590</v>
      </c>
      <c r="N4617" s="16" t="s">
        <v>14313</v>
      </c>
      <c r="O4617" s="16" t="s">
        <v>1299</v>
      </c>
      <c r="P4617" s="16" t="str">
        <f aca="false">IF(AND(L4617&lt;=$D$2,M4617&gt;=$C$2),"Sí","")</f>
        <v/>
      </c>
      <c r="Q4617" s="18" t="str">
        <f aca="false">IF(COUNTIF(LOOKAHEAD!$A$5:$A$604,A4617)&gt;0,"En Lookahead",IF(P4617="Sí","INCORPORAR",""))</f>
        <v/>
      </c>
    </row>
    <row r="4618" customFormat="false" ht="15" hidden="false" customHeight="false" outlineLevel="0" collapsed="false">
      <c r="A4618" s="16" t="s">
        <v>14585</v>
      </c>
      <c r="B4618" s="16" t="n">
        <v>4613</v>
      </c>
      <c r="C4618" s="16" t="s">
        <v>14586</v>
      </c>
      <c r="D4618" s="16" t="n">
        <v>8</v>
      </c>
      <c r="E4618" s="39" t="s">
        <v>14587</v>
      </c>
      <c r="F4618" s="16" t="s">
        <v>1285</v>
      </c>
      <c r="G4618" s="16" t="s">
        <v>1063</v>
      </c>
      <c r="H4618" s="16" t="s">
        <v>14297</v>
      </c>
      <c r="I4618" s="16" t="s">
        <v>136</v>
      </c>
      <c r="J4618" s="16" t="s">
        <v>14568</v>
      </c>
      <c r="K4618" s="32" t="n">
        <v>50</v>
      </c>
      <c r="L4618" s="33" t="n">
        <v>46541</v>
      </c>
      <c r="M4618" s="33" t="n">
        <v>46590</v>
      </c>
      <c r="N4618" s="16" t="s">
        <v>14313</v>
      </c>
      <c r="O4618" s="16" t="s">
        <v>1299</v>
      </c>
      <c r="P4618" s="16" t="str">
        <f aca="false">IF(AND(L4618&lt;=$D$2,M4618&gt;=$C$2),"Sí","")</f>
        <v/>
      </c>
      <c r="Q4618" s="18" t="str">
        <f aca="false">IF(COUNTIF(LOOKAHEAD!$A$5:$A$604,A4618)&gt;0,"En Lookahead",IF(P4618="Sí","INCORPORAR",""))</f>
        <v/>
      </c>
    </row>
    <row r="4619" customFormat="false" ht="15" hidden="false" customHeight="false" outlineLevel="0" collapsed="false">
      <c r="A4619" s="16" t="s">
        <v>14588</v>
      </c>
      <c r="B4619" s="16" t="n">
        <v>4614</v>
      </c>
      <c r="C4619" s="16" t="s">
        <v>14589</v>
      </c>
      <c r="D4619" s="16" t="n">
        <v>8</v>
      </c>
      <c r="E4619" s="39" t="s">
        <v>14325</v>
      </c>
      <c r="F4619" s="16" t="s">
        <v>1285</v>
      </c>
      <c r="G4619" s="16" t="s">
        <v>1063</v>
      </c>
      <c r="H4619" s="16" t="s">
        <v>14297</v>
      </c>
      <c r="I4619" s="16" t="s">
        <v>136</v>
      </c>
      <c r="J4619" s="16" t="s">
        <v>14568</v>
      </c>
      <c r="K4619" s="32" t="n">
        <v>50</v>
      </c>
      <c r="L4619" s="33" t="n">
        <v>46541</v>
      </c>
      <c r="M4619" s="33" t="n">
        <v>46590</v>
      </c>
      <c r="N4619" s="16" t="s">
        <v>14313</v>
      </c>
      <c r="O4619" s="16" t="s">
        <v>1299</v>
      </c>
      <c r="P4619" s="16" t="str">
        <f aca="false">IF(AND(L4619&lt;=$D$2,M4619&gt;=$C$2),"Sí","")</f>
        <v/>
      </c>
      <c r="Q4619" s="18" t="str">
        <f aca="false">IF(COUNTIF(LOOKAHEAD!$A$5:$A$604,A4619)&gt;0,"En Lookahead",IF(P4619="Sí","INCORPORAR",""))</f>
        <v/>
      </c>
    </row>
    <row r="4620" customFormat="false" ht="15" hidden="false" customHeight="false" outlineLevel="0" collapsed="false">
      <c r="A4620" s="16" t="s">
        <v>14590</v>
      </c>
      <c r="B4620" s="16" t="n">
        <v>4615</v>
      </c>
      <c r="C4620" s="16" t="s">
        <v>14591</v>
      </c>
      <c r="D4620" s="16" t="n">
        <v>8</v>
      </c>
      <c r="E4620" s="39" t="s">
        <v>14500</v>
      </c>
      <c r="F4620" s="16" t="s">
        <v>1285</v>
      </c>
      <c r="G4620" s="16" t="s">
        <v>1063</v>
      </c>
      <c r="H4620" s="16" t="s">
        <v>14297</v>
      </c>
      <c r="I4620" s="16" t="s">
        <v>136</v>
      </c>
      <c r="J4620" s="16" t="s">
        <v>14568</v>
      </c>
      <c r="K4620" s="32" t="n">
        <v>50</v>
      </c>
      <c r="L4620" s="33" t="n">
        <v>46541</v>
      </c>
      <c r="M4620" s="33" t="n">
        <v>46590</v>
      </c>
      <c r="N4620" s="16" t="s">
        <v>14313</v>
      </c>
      <c r="O4620" s="16" t="s">
        <v>1299</v>
      </c>
      <c r="P4620" s="16" t="str">
        <f aca="false">IF(AND(L4620&lt;=$D$2,M4620&gt;=$C$2),"Sí","")</f>
        <v/>
      </c>
      <c r="Q4620" s="18" t="str">
        <f aca="false">IF(COUNTIF(LOOKAHEAD!$A$5:$A$604,A4620)&gt;0,"En Lookahead",IF(P4620="Sí","INCORPORAR",""))</f>
        <v/>
      </c>
    </row>
    <row r="4621" customFormat="false" ht="15" hidden="false" customHeight="false" outlineLevel="0" collapsed="false">
      <c r="A4621" s="13" t="s">
        <v>14592</v>
      </c>
      <c r="B4621" s="13" t="n">
        <v>4616</v>
      </c>
      <c r="C4621" s="13" t="s">
        <v>14593</v>
      </c>
      <c r="D4621" s="13" t="n">
        <v>7</v>
      </c>
      <c r="E4621" s="38" t="s">
        <v>14594</v>
      </c>
      <c r="F4621" s="13" t="s">
        <v>1298</v>
      </c>
      <c r="G4621" s="13" t="s">
        <v>1063</v>
      </c>
      <c r="H4621" s="13" t="s">
        <v>14297</v>
      </c>
      <c r="I4621" s="13" t="s">
        <v>136</v>
      </c>
      <c r="J4621" s="13" t="s">
        <v>14565</v>
      </c>
      <c r="K4621" s="30" t="n">
        <v>50</v>
      </c>
      <c r="L4621" s="31" t="n">
        <v>46541</v>
      </c>
      <c r="M4621" s="31" t="n">
        <v>46590</v>
      </c>
      <c r="N4621" s="13"/>
      <c r="O4621" s="13" t="s">
        <v>1299</v>
      </c>
      <c r="P4621" s="13"/>
      <c r="Q4621" s="13"/>
    </row>
    <row r="4622" customFormat="false" ht="15" hidden="false" customHeight="false" outlineLevel="0" collapsed="false">
      <c r="A4622" s="16" t="s">
        <v>14595</v>
      </c>
      <c r="B4622" s="16" t="n">
        <v>4617</v>
      </c>
      <c r="C4622" s="16" t="s">
        <v>14596</v>
      </c>
      <c r="D4622" s="16" t="n">
        <v>8</v>
      </c>
      <c r="E4622" s="39" t="s">
        <v>14308</v>
      </c>
      <c r="F4622" s="16" t="s">
        <v>1285</v>
      </c>
      <c r="G4622" s="16" t="s">
        <v>1063</v>
      </c>
      <c r="H4622" s="16" t="s">
        <v>14297</v>
      </c>
      <c r="I4622" s="16" t="s">
        <v>136</v>
      </c>
      <c r="J4622" s="16" t="s">
        <v>14594</v>
      </c>
      <c r="K4622" s="32" t="n">
        <v>50</v>
      </c>
      <c r="L4622" s="33" t="n">
        <v>46541</v>
      </c>
      <c r="M4622" s="33" t="n">
        <v>46590</v>
      </c>
      <c r="N4622" s="16" t="s">
        <v>14313</v>
      </c>
      <c r="O4622" s="16" t="s">
        <v>1299</v>
      </c>
      <c r="P4622" s="16" t="str">
        <f aca="false">IF(AND(L4622&lt;=$D$2,M4622&gt;=$C$2),"Sí","")</f>
        <v/>
      </c>
      <c r="Q4622" s="18" t="str">
        <f aca="false">IF(COUNTIF(LOOKAHEAD!$A$5:$A$604,A4622)&gt;0,"En Lookahead",IF(P4622="Sí","INCORPORAR",""))</f>
        <v/>
      </c>
    </row>
    <row r="4623" customFormat="false" ht="15" hidden="false" customHeight="false" outlineLevel="0" collapsed="false">
      <c r="A4623" s="16" t="s">
        <v>14597</v>
      </c>
      <c r="B4623" s="16" t="n">
        <v>4618</v>
      </c>
      <c r="C4623" s="16" t="s">
        <v>14598</v>
      </c>
      <c r="D4623" s="16" t="n">
        <v>8</v>
      </c>
      <c r="E4623" s="39" t="s">
        <v>14392</v>
      </c>
      <c r="F4623" s="16" t="s">
        <v>1285</v>
      </c>
      <c r="G4623" s="16" t="s">
        <v>1063</v>
      </c>
      <c r="H4623" s="16" t="s">
        <v>14297</v>
      </c>
      <c r="I4623" s="16" t="s">
        <v>136</v>
      </c>
      <c r="J4623" s="16" t="s">
        <v>14594</v>
      </c>
      <c r="K4623" s="32" t="n">
        <v>50</v>
      </c>
      <c r="L4623" s="33" t="n">
        <v>46541</v>
      </c>
      <c r="M4623" s="33" t="n">
        <v>46590</v>
      </c>
      <c r="N4623" s="16" t="s">
        <v>14313</v>
      </c>
      <c r="O4623" s="16" t="s">
        <v>1299</v>
      </c>
      <c r="P4623" s="16" t="str">
        <f aca="false">IF(AND(L4623&lt;=$D$2,M4623&gt;=$C$2),"Sí","")</f>
        <v/>
      </c>
      <c r="Q4623" s="18" t="str">
        <f aca="false">IF(COUNTIF(LOOKAHEAD!$A$5:$A$604,A4623)&gt;0,"En Lookahead",IF(P4623="Sí","INCORPORAR",""))</f>
        <v/>
      </c>
    </row>
    <row r="4624" customFormat="false" ht="15" hidden="false" customHeight="false" outlineLevel="0" collapsed="false">
      <c r="A4624" s="16" t="s">
        <v>14599</v>
      </c>
      <c r="B4624" s="16" t="n">
        <v>4619</v>
      </c>
      <c r="C4624" s="16" t="s">
        <v>14600</v>
      </c>
      <c r="D4624" s="16" t="n">
        <v>8</v>
      </c>
      <c r="E4624" s="39" t="s">
        <v>14337</v>
      </c>
      <c r="F4624" s="16" t="s">
        <v>1285</v>
      </c>
      <c r="G4624" s="16" t="s">
        <v>1063</v>
      </c>
      <c r="H4624" s="16" t="s">
        <v>14297</v>
      </c>
      <c r="I4624" s="16" t="s">
        <v>136</v>
      </c>
      <c r="J4624" s="16" t="s">
        <v>14594</v>
      </c>
      <c r="K4624" s="32" t="n">
        <v>50</v>
      </c>
      <c r="L4624" s="33" t="n">
        <v>46541</v>
      </c>
      <c r="M4624" s="33" t="n">
        <v>46590</v>
      </c>
      <c r="N4624" s="16" t="s">
        <v>14313</v>
      </c>
      <c r="O4624" s="16" t="s">
        <v>1299</v>
      </c>
      <c r="P4624" s="16" t="str">
        <f aca="false">IF(AND(L4624&lt;=$D$2,M4624&gt;=$C$2),"Sí","")</f>
        <v/>
      </c>
      <c r="Q4624" s="18" t="str">
        <f aca="false">IF(COUNTIF(LOOKAHEAD!$A$5:$A$604,A4624)&gt;0,"En Lookahead",IF(P4624="Sí","INCORPORAR",""))</f>
        <v/>
      </c>
    </row>
    <row r="4625" customFormat="false" ht="15" hidden="false" customHeight="false" outlineLevel="0" collapsed="false">
      <c r="A4625" s="16" t="s">
        <v>14601</v>
      </c>
      <c r="B4625" s="16" t="n">
        <v>4620</v>
      </c>
      <c r="C4625" s="16" t="s">
        <v>14602</v>
      </c>
      <c r="D4625" s="16" t="n">
        <v>8</v>
      </c>
      <c r="E4625" s="39" t="s">
        <v>14316</v>
      </c>
      <c r="F4625" s="16" t="s">
        <v>1285</v>
      </c>
      <c r="G4625" s="16" t="s">
        <v>1063</v>
      </c>
      <c r="H4625" s="16" t="s">
        <v>14297</v>
      </c>
      <c r="I4625" s="16" t="s">
        <v>136</v>
      </c>
      <c r="J4625" s="16" t="s">
        <v>14594</v>
      </c>
      <c r="K4625" s="32" t="n">
        <v>50</v>
      </c>
      <c r="L4625" s="33" t="n">
        <v>46541</v>
      </c>
      <c r="M4625" s="33" t="n">
        <v>46590</v>
      </c>
      <c r="N4625" s="16" t="s">
        <v>14313</v>
      </c>
      <c r="O4625" s="16" t="s">
        <v>1299</v>
      </c>
      <c r="P4625" s="16" t="str">
        <f aca="false">IF(AND(L4625&lt;=$D$2,M4625&gt;=$C$2),"Sí","")</f>
        <v/>
      </c>
      <c r="Q4625" s="18" t="str">
        <f aca="false">IF(COUNTIF(LOOKAHEAD!$A$5:$A$604,A4625)&gt;0,"En Lookahead",IF(P4625="Sí","INCORPORAR",""))</f>
        <v/>
      </c>
    </row>
    <row r="4626" customFormat="false" ht="15" hidden="false" customHeight="false" outlineLevel="0" collapsed="false">
      <c r="A4626" s="16" t="s">
        <v>14603</v>
      </c>
      <c r="B4626" s="16" t="n">
        <v>4621</v>
      </c>
      <c r="C4626" s="16" t="s">
        <v>14604</v>
      </c>
      <c r="D4626" s="16" t="n">
        <v>8</v>
      </c>
      <c r="E4626" s="39" t="s">
        <v>14319</v>
      </c>
      <c r="F4626" s="16" t="s">
        <v>1285</v>
      </c>
      <c r="G4626" s="16" t="s">
        <v>1063</v>
      </c>
      <c r="H4626" s="16" t="s">
        <v>14297</v>
      </c>
      <c r="I4626" s="16" t="s">
        <v>136</v>
      </c>
      <c r="J4626" s="16" t="s">
        <v>14594</v>
      </c>
      <c r="K4626" s="32" t="n">
        <v>50</v>
      </c>
      <c r="L4626" s="33" t="n">
        <v>46541</v>
      </c>
      <c r="M4626" s="33" t="n">
        <v>46590</v>
      </c>
      <c r="N4626" s="16" t="s">
        <v>14313</v>
      </c>
      <c r="O4626" s="16" t="s">
        <v>1299</v>
      </c>
      <c r="P4626" s="16" t="str">
        <f aca="false">IF(AND(L4626&lt;=$D$2,M4626&gt;=$C$2),"Sí","")</f>
        <v/>
      </c>
      <c r="Q4626" s="18" t="str">
        <f aca="false">IF(COUNTIF(LOOKAHEAD!$A$5:$A$604,A4626)&gt;0,"En Lookahead",IF(P4626="Sí","INCORPORAR",""))</f>
        <v/>
      </c>
    </row>
    <row r="4627" customFormat="false" ht="15" hidden="false" customHeight="false" outlineLevel="0" collapsed="false">
      <c r="A4627" s="16" t="s">
        <v>14605</v>
      </c>
      <c r="B4627" s="16" t="n">
        <v>4622</v>
      </c>
      <c r="C4627" s="16" t="s">
        <v>14606</v>
      </c>
      <c r="D4627" s="16" t="n">
        <v>8</v>
      </c>
      <c r="E4627" s="39" t="s">
        <v>14322</v>
      </c>
      <c r="F4627" s="16" t="s">
        <v>1285</v>
      </c>
      <c r="G4627" s="16" t="s">
        <v>1063</v>
      </c>
      <c r="H4627" s="16" t="s">
        <v>14297</v>
      </c>
      <c r="I4627" s="16" t="s">
        <v>136</v>
      </c>
      <c r="J4627" s="16" t="s">
        <v>14594</v>
      </c>
      <c r="K4627" s="32" t="n">
        <v>50</v>
      </c>
      <c r="L4627" s="33" t="n">
        <v>46541</v>
      </c>
      <c r="M4627" s="33" t="n">
        <v>46590</v>
      </c>
      <c r="N4627" s="16" t="s">
        <v>14313</v>
      </c>
      <c r="O4627" s="16" t="s">
        <v>1299</v>
      </c>
      <c r="P4627" s="16" t="str">
        <f aca="false">IF(AND(L4627&lt;=$D$2,M4627&gt;=$C$2),"Sí","")</f>
        <v/>
      </c>
      <c r="Q4627" s="18" t="str">
        <f aca="false">IF(COUNTIF(LOOKAHEAD!$A$5:$A$604,A4627)&gt;0,"En Lookahead",IF(P4627="Sí","INCORPORAR",""))</f>
        <v/>
      </c>
    </row>
    <row r="4628" customFormat="false" ht="15" hidden="false" customHeight="false" outlineLevel="0" collapsed="false">
      <c r="A4628" s="13" t="s">
        <v>14607</v>
      </c>
      <c r="B4628" s="13" t="n">
        <v>4623</v>
      </c>
      <c r="C4628" s="13" t="s">
        <v>14608</v>
      </c>
      <c r="D4628" s="13" t="n">
        <v>7</v>
      </c>
      <c r="E4628" s="38" t="s">
        <v>14509</v>
      </c>
      <c r="F4628" s="13" t="s">
        <v>1298</v>
      </c>
      <c r="G4628" s="13" t="s">
        <v>1063</v>
      </c>
      <c r="H4628" s="13" t="s">
        <v>14297</v>
      </c>
      <c r="I4628" s="13" t="s">
        <v>136</v>
      </c>
      <c r="J4628" s="13" t="s">
        <v>14565</v>
      </c>
      <c r="K4628" s="30" t="n">
        <v>50</v>
      </c>
      <c r="L4628" s="31" t="n">
        <v>46541</v>
      </c>
      <c r="M4628" s="31" t="n">
        <v>46590</v>
      </c>
      <c r="N4628" s="13"/>
      <c r="O4628" s="13" t="s">
        <v>1299</v>
      </c>
      <c r="P4628" s="13"/>
      <c r="Q4628" s="13"/>
    </row>
    <row r="4629" customFormat="false" ht="15" hidden="false" customHeight="false" outlineLevel="0" collapsed="false">
      <c r="A4629" s="16" t="s">
        <v>14609</v>
      </c>
      <c r="B4629" s="16" t="n">
        <v>4624</v>
      </c>
      <c r="C4629" s="16" t="s">
        <v>14610</v>
      </c>
      <c r="D4629" s="16" t="n">
        <v>8</v>
      </c>
      <c r="E4629" s="39" t="s">
        <v>14512</v>
      </c>
      <c r="F4629" s="16" t="s">
        <v>1285</v>
      </c>
      <c r="G4629" s="16" t="s">
        <v>1063</v>
      </c>
      <c r="H4629" s="16" t="s">
        <v>14297</v>
      </c>
      <c r="I4629" s="16" t="s">
        <v>136</v>
      </c>
      <c r="J4629" s="16" t="s">
        <v>14509</v>
      </c>
      <c r="K4629" s="32" t="n">
        <v>50</v>
      </c>
      <c r="L4629" s="33" t="n">
        <v>46541</v>
      </c>
      <c r="M4629" s="33" t="n">
        <v>46590</v>
      </c>
      <c r="N4629" s="16" t="s">
        <v>14313</v>
      </c>
      <c r="O4629" s="16" t="s">
        <v>1299</v>
      </c>
      <c r="P4629" s="16" t="str">
        <f aca="false">IF(AND(L4629&lt;=$D$2,M4629&gt;=$C$2),"Sí","")</f>
        <v/>
      </c>
      <c r="Q4629" s="18" t="str">
        <f aca="false">IF(COUNTIF(LOOKAHEAD!$A$5:$A$604,A4629)&gt;0,"En Lookahead",IF(P4629="Sí","INCORPORAR",""))</f>
        <v/>
      </c>
    </row>
    <row r="4630" customFormat="false" ht="15" hidden="false" customHeight="false" outlineLevel="0" collapsed="false">
      <c r="A4630" s="13" t="s">
        <v>14611</v>
      </c>
      <c r="B4630" s="13" t="n">
        <v>4625</v>
      </c>
      <c r="C4630" s="13" t="s">
        <v>14612</v>
      </c>
      <c r="D4630" s="13" t="n">
        <v>7</v>
      </c>
      <c r="E4630" s="38" t="s">
        <v>14515</v>
      </c>
      <c r="F4630" s="13" t="s">
        <v>1298</v>
      </c>
      <c r="G4630" s="13" t="s">
        <v>1063</v>
      </c>
      <c r="H4630" s="13" t="s">
        <v>14297</v>
      </c>
      <c r="I4630" s="13" t="s">
        <v>136</v>
      </c>
      <c r="J4630" s="13" t="s">
        <v>14565</v>
      </c>
      <c r="K4630" s="30" t="n">
        <v>50</v>
      </c>
      <c r="L4630" s="31" t="n">
        <v>46541</v>
      </c>
      <c r="M4630" s="31" t="n">
        <v>46590</v>
      </c>
      <c r="N4630" s="13"/>
      <c r="O4630" s="13" t="s">
        <v>1299</v>
      </c>
      <c r="P4630" s="13"/>
      <c r="Q4630" s="13"/>
    </row>
    <row r="4631" customFormat="false" ht="15" hidden="false" customHeight="false" outlineLevel="0" collapsed="false">
      <c r="A4631" s="16" t="s">
        <v>14613</v>
      </c>
      <c r="B4631" s="16" t="n">
        <v>4626</v>
      </c>
      <c r="C4631" s="16" t="s">
        <v>14614</v>
      </c>
      <c r="D4631" s="16" t="n">
        <v>8</v>
      </c>
      <c r="E4631" s="39" t="s">
        <v>14518</v>
      </c>
      <c r="F4631" s="16" t="s">
        <v>1285</v>
      </c>
      <c r="G4631" s="16" t="s">
        <v>1063</v>
      </c>
      <c r="H4631" s="16" t="s">
        <v>14297</v>
      </c>
      <c r="I4631" s="16" t="s">
        <v>136</v>
      </c>
      <c r="J4631" s="16" t="s">
        <v>14515</v>
      </c>
      <c r="K4631" s="32" t="n">
        <v>50</v>
      </c>
      <c r="L4631" s="33" t="n">
        <v>46541</v>
      </c>
      <c r="M4631" s="33" t="n">
        <v>46590</v>
      </c>
      <c r="N4631" s="16" t="s">
        <v>14313</v>
      </c>
      <c r="O4631" s="16" t="s">
        <v>1299</v>
      </c>
      <c r="P4631" s="16" t="str">
        <f aca="false">IF(AND(L4631&lt;=$D$2,M4631&gt;=$C$2),"Sí","")</f>
        <v/>
      </c>
      <c r="Q4631" s="18" t="str">
        <f aca="false">IF(COUNTIF(LOOKAHEAD!$A$5:$A$604,A4631)&gt;0,"En Lookahead",IF(P4631="Sí","INCORPORAR",""))</f>
        <v/>
      </c>
    </row>
    <row r="4632" customFormat="false" ht="15" hidden="false" customHeight="false" outlineLevel="0" collapsed="false">
      <c r="A4632" s="16" t="s">
        <v>14615</v>
      </c>
      <c r="B4632" s="16" t="n">
        <v>4627</v>
      </c>
      <c r="C4632" s="16" t="s">
        <v>14616</v>
      </c>
      <c r="D4632" s="16" t="n">
        <v>8</v>
      </c>
      <c r="E4632" s="39" t="s">
        <v>14392</v>
      </c>
      <c r="F4632" s="16" t="s">
        <v>1285</v>
      </c>
      <c r="G4632" s="16" t="s">
        <v>1063</v>
      </c>
      <c r="H4632" s="16" t="s">
        <v>14297</v>
      </c>
      <c r="I4632" s="16" t="s">
        <v>136</v>
      </c>
      <c r="J4632" s="16" t="s">
        <v>14515</v>
      </c>
      <c r="K4632" s="32" t="n">
        <v>50</v>
      </c>
      <c r="L4632" s="33" t="n">
        <v>46541</v>
      </c>
      <c r="M4632" s="33" t="n">
        <v>46590</v>
      </c>
      <c r="N4632" s="16" t="s">
        <v>14313</v>
      </c>
      <c r="O4632" s="16" t="s">
        <v>1299</v>
      </c>
      <c r="P4632" s="16" t="str">
        <f aca="false">IF(AND(L4632&lt;=$D$2,M4632&gt;=$C$2),"Sí","")</f>
        <v/>
      </c>
      <c r="Q4632" s="18" t="str">
        <f aca="false">IF(COUNTIF(LOOKAHEAD!$A$5:$A$604,A4632)&gt;0,"En Lookahead",IF(P4632="Sí","INCORPORAR",""))</f>
        <v/>
      </c>
    </row>
    <row r="4633" customFormat="false" ht="15" hidden="false" customHeight="false" outlineLevel="0" collapsed="false">
      <c r="A4633" s="16" t="s">
        <v>14617</v>
      </c>
      <c r="B4633" s="16" t="n">
        <v>4628</v>
      </c>
      <c r="C4633" s="16" t="s">
        <v>14618</v>
      </c>
      <c r="D4633" s="16" t="n">
        <v>8</v>
      </c>
      <c r="E4633" s="39" t="s">
        <v>14337</v>
      </c>
      <c r="F4633" s="16" t="s">
        <v>1285</v>
      </c>
      <c r="G4633" s="16" t="s">
        <v>1063</v>
      </c>
      <c r="H4633" s="16" t="s">
        <v>14297</v>
      </c>
      <c r="I4633" s="16" t="s">
        <v>136</v>
      </c>
      <c r="J4633" s="16" t="s">
        <v>14515</v>
      </c>
      <c r="K4633" s="32" t="n">
        <v>50</v>
      </c>
      <c r="L4633" s="33" t="n">
        <v>46541</v>
      </c>
      <c r="M4633" s="33" t="n">
        <v>46590</v>
      </c>
      <c r="N4633" s="16" t="s">
        <v>14313</v>
      </c>
      <c r="O4633" s="16" t="s">
        <v>1299</v>
      </c>
      <c r="P4633" s="16" t="str">
        <f aca="false">IF(AND(L4633&lt;=$D$2,M4633&gt;=$C$2),"Sí","")</f>
        <v/>
      </c>
      <c r="Q4633" s="18" t="str">
        <f aca="false">IF(COUNTIF(LOOKAHEAD!$A$5:$A$604,A4633)&gt;0,"En Lookahead",IF(P4633="Sí","INCORPORAR",""))</f>
        <v/>
      </c>
    </row>
    <row r="4634" customFormat="false" ht="15" hidden="false" customHeight="false" outlineLevel="0" collapsed="false">
      <c r="A4634" s="16" t="s">
        <v>14619</v>
      </c>
      <c r="B4634" s="16" t="n">
        <v>4629</v>
      </c>
      <c r="C4634" s="16" t="s">
        <v>14620</v>
      </c>
      <c r="D4634" s="16" t="n">
        <v>8</v>
      </c>
      <c r="E4634" s="39" t="s">
        <v>14316</v>
      </c>
      <c r="F4634" s="16" t="s">
        <v>1285</v>
      </c>
      <c r="G4634" s="16" t="s">
        <v>1063</v>
      </c>
      <c r="H4634" s="16" t="s">
        <v>14297</v>
      </c>
      <c r="I4634" s="16" t="s">
        <v>136</v>
      </c>
      <c r="J4634" s="16" t="s">
        <v>14515</v>
      </c>
      <c r="K4634" s="32" t="n">
        <v>50</v>
      </c>
      <c r="L4634" s="33" t="n">
        <v>46541</v>
      </c>
      <c r="M4634" s="33" t="n">
        <v>46590</v>
      </c>
      <c r="N4634" s="16" t="s">
        <v>14313</v>
      </c>
      <c r="O4634" s="16" t="s">
        <v>1299</v>
      </c>
      <c r="P4634" s="16" t="str">
        <f aca="false">IF(AND(L4634&lt;=$D$2,M4634&gt;=$C$2),"Sí","")</f>
        <v/>
      </c>
      <c r="Q4634" s="18" t="str">
        <f aca="false">IF(COUNTIF(LOOKAHEAD!$A$5:$A$604,A4634)&gt;0,"En Lookahead",IF(P4634="Sí","INCORPORAR",""))</f>
        <v/>
      </c>
    </row>
    <row r="4635" customFormat="false" ht="15" hidden="false" customHeight="false" outlineLevel="0" collapsed="false">
      <c r="A4635" s="16" t="s">
        <v>14621</v>
      </c>
      <c r="B4635" s="16" t="n">
        <v>4630</v>
      </c>
      <c r="C4635" s="16" t="s">
        <v>14622</v>
      </c>
      <c r="D4635" s="16" t="n">
        <v>8</v>
      </c>
      <c r="E4635" s="39" t="s">
        <v>14319</v>
      </c>
      <c r="F4635" s="16" t="s">
        <v>1285</v>
      </c>
      <c r="G4635" s="16" t="s">
        <v>1063</v>
      </c>
      <c r="H4635" s="16" t="s">
        <v>14297</v>
      </c>
      <c r="I4635" s="16" t="s">
        <v>136</v>
      </c>
      <c r="J4635" s="16" t="s">
        <v>14515</v>
      </c>
      <c r="K4635" s="32" t="n">
        <v>50</v>
      </c>
      <c r="L4635" s="33" t="n">
        <v>46541</v>
      </c>
      <c r="M4635" s="33" t="n">
        <v>46590</v>
      </c>
      <c r="N4635" s="16" t="s">
        <v>14313</v>
      </c>
      <c r="O4635" s="16" t="s">
        <v>1299</v>
      </c>
      <c r="P4635" s="16" t="str">
        <f aca="false">IF(AND(L4635&lt;=$D$2,M4635&gt;=$C$2),"Sí","")</f>
        <v/>
      </c>
      <c r="Q4635" s="18" t="str">
        <f aca="false">IF(COUNTIF(LOOKAHEAD!$A$5:$A$604,A4635)&gt;0,"En Lookahead",IF(P4635="Sí","INCORPORAR",""))</f>
        <v/>
      </c>
    </row>
    <row r="4636" customFormat="false" ht="15" hidden="false" customHeight="false" outlineLevel="0" collapsed="false">
      <c r="A4636" s="16" t="s">
        <v>14623</v>
      </c>
      <c r="B4636" s="16" t="n">
        <v>4631</v>
      </c>
      <c r="C4636" s="16" t="s">
        <v>14624</v>
      </c>
      <c r="D4636" s="16" t="n">
        <v>8</v>
      </c>
      <c r="E4636" s="39" t="s">
        <v>14466</v>
      </c>
      <c r="F4636" s="16" t="s">
        <v>1285</v>
      </c>
      <c r="G4636" s="16" t="s">
        <v>1063</v>
      </c>
      <c r="H4636" s="16" t="s">
        <v>14297</v>
      </c>
      <c r="I4636" s="16" t="s">
        <v>136</v>
      </c>
      <c r="J4636" s="16" t="s">
        <v>14515</v>
      </c>
      <c r="K4636" s="32" t="n">
        <v>50</v>
      </c>
      <c r="L4636" s="33" t="n">
        <v>46541</v>
      </c>
      <c r="M4636" s="33" t="n">
        <v>46590</v>
      </c>
      <c r="N4636" s="16" t="s">
        <v>14313</v>
      </c>
      <c r="O4636" s="16" t="s">
        <v>1299</v>
      </c>
      <c r="P4636" s="16" t="str">
        <f aca="false">IF(AND(L4636&lt;=$D$2,M4636&gt;=$C$2),"Sí","")</f>
        <v/>
      </c>
      <c r="Q4636" s="18" t="str">
        <f aca="false">IF(COUNTIF(LOOKAHEAD!$A$5:$A$604,A4636)&gt;0,"En Lookahead",IF(P4636="Sí","INCORPORAR",""))</f>
        <v/>
      </c>
    </row>
    <row r="4637" customFormat="false" ht="15" hidden="false" customHeight="false" outlineLevel="0" collapsed="false">
      <c r="A4637" s="16" t="s">
        <v>14625</v>
      </c>
      <c r="B4637" s="16" t="n">
        <v>4632</v>
      </c>
      <c r="C4637" s="16" t="s">
        <v>14626</v>
      </c>
      <c r="D4637" s="16" t="n">
        <v>8</v>
      </c>
      <c r="E4637" s="39" t="s">
        <v>14322</v>
      </c>
      <c r="F4637" s="16" t="s">
        <v>1285</v>
      </c>
      <c r="G4637" s="16" t="s">
        <v>1063</v>
      </c>
      <c r="H4637" s="16" t="s">
        <v>14297</v>
      </c>
      <c r="I4637" s="16" t="s">
        <v>136</v>
      </c>
      <c r="J4637" s="16" t="s">
        <v>14515</v>
      </c>
      <c r="K4637" s="32" t="n">
        <v>50</v>
      </c>
      <c r="L4637" s="33" t="n">
        <v>46541</v>
      </c>
      <c r="M4637" s="33" t="n">
        <v>46590</v>
      </c>
      <c r="N4637" s="16" t="s">
        <v>14313</v>
      </c>
      <c r="O4637" s="16" t="s">
        <v>1299</v>
      </c>
      <c r="P4637" s="16" t="str">
        <f aca="false">IF(AND(L4637&lt;=$D$2,M4637&gt;=$C$2),"Sí","")</f>
        <v/>
      </c>
      <c r="Q4637" s="18" t="str">
        <f aca="false">IF(COUNTIF(LOOKAHEAD!$A$5:$A$604,A4637)&gt;0,"En Lookahead",IF(P4637="Sí","INCORPORAR",""))</f>
        <v/>
      </c>
    </row>
    <row r="4638" customFormat="false" ht="15" hidden="false" customHeight="false" outlineLevel="0" collapsed="false">
      <c r="A4638" s="16" t="s">
        <v>14627</v>
      </c>
      <c r="B4638" s="16" t="n">
        <v>4633</v>
      </c>
      <c r="C4638" s="16" t="s">
        <v>14628</v>
      </c>
      <c r="D4638" s="16" t="n">
        <v>8</v>
      </c>
      <c r="E4638" s="39" t="s">
        <v>14629</v>
      </c>
      <c r="F4638" s="16" t="s">
        <v>1285</v>
      </c>
      <c r="G4638" s="16" t="s">
        <v>1063</v>
      </c>
      <c r="H4638" s="16" t="s">
        <v>14297</v>
      </c>
      <c r="I4638" s="16" t="s">
        <v>136</v>
      </c>
      <c r="J4638" s="16" t="s">
        <v>14515</v>
      </c>
      <c r="K4638" s="32" t="n">
        <v>50</v>
      </c>
      <c r="L4638" s="33" t="n">
        <v>46541</v>
      </c>
      <c r="M4638" s="33" t="n">
        <v>46590</v>
      </c>
      <c r="N4638" s="16" t="s">
        <v>14313</v>
      </c>
      <c r="O4638" s="16" t="s">
        <v>1299</v>
      </c>
      <c r="P4638" s="16" t="str">
        <f aca="false">IF(AND(L4638&lt;=$D$2,M4638&gt;=$C$2),"Sí","")</f>
        <v/>
      </c>
      <c r="Q4638" s="18" t="str">
        <f aca="false">IF(COUNTIF(LOOKAHEAD!$A$5:$A$604,A4638)&gt;0,"En Lookahead",IF(P4638="Sí","INCORPORAR",""))</f>
        <v/>
      </c>
    </row>
    <row r="4639" customFormat="false" ht="15" hidden="false" customHeight="false" outlineLevel="0" collapsed="false">
      <c r="A4639" s="13" t="s">
        <v>14630</v>
      </c>
      <c r="B4639" s="13" t="n">
        <v>4634</v>
      </c>
      <c r="C4639" s="13" t="s">
        <v>14631</v>
      </c>
      <c r="D4639" s="13" t="n">
        <v>7</v>
      </c>
      <c r="E4639" s="38" t="s">
        <v>14632</v>
      </c>
      <c r="F4639" s="13" t="s">
        <v>1298</v>
      </c>
      <c r="G4639" s="13" t="s">
        <v>1063</v>
      </c>
      <c r="H4639" s="13" t="s">
        <v>14297</v>
      </c>
      <c r="I4639" s="13" t="s">
        <v>136</v>
      </c>
      <c r="J4639" s="13" t="s">
        <v>14565</v>
      </c>
      <c r="K4639" s="30" t="n">
        <v>50</v>
      </c>
      <c r="L4639" s="31" t="n">
        <v>46541</v>
      </c>
      <c r="M4639" s="31" t="n">
        <v>46590</v>
      </c>
      <c r="N4639" s="13"/>
      <c r="O4639" s="13" t="s">
        <v>1299</v>
      </c>
      <c r="P4639" s="13"/>
      <c r="Q4639" s="13"/>
    </row>
    <row r="4640" customFormat="false" ht="15" hidden="false" customHeight="false" outlineLevel="0" collapsed="false">
      <c r="A4640" s="16" t="s">
        <v>14633</v>
      </c>
      <c r="B4640" s="16" t="n">
        <v>4635</v>
      </c>
      <c r="C4640" s="16" t="s">
        <v>14634</v>
      </c>
      <c r="D4640" s="16" t="n">
        <v>8</v>
      </c>
      <c r="E4640" s="39" t="s">
        <v>14512</v>
      </c>
      <c r="F4640" s="16" t="s">
        <v>1285</v>
      </c>
      <c r="G4640" s="16" t="s">
        <v>1063</v>
      </c>
      <c r="H4640" s="16" t="s">
        <v>14297</v>
      </c>
      <c r="I4640" s="16" t="s">
        <v>136</v>
      </c>
      <c r="J4640" s="16" t="s">
        <v>14632</v>
      </c>
      <c r="K4640" s="32" t="n">
        <v>50</v>
      </c>
      <c r="L4640" s="33" t="n">
        <v>46541</v>
      </c>
      <c r="M4640" s="33" t="n">
        <v>46590</v>
      </c>
      <c r="N4640" s="16" t="s">
        <v>14313</v>
      </c>
      <c r="O4640" s="16" t="s">
        <v>1299</v>
      </c>
      <c r="P4640" s="16" t="str">
        <f aca="false">IF(AND(L4640&lt;=$D$2,M4640&gt;=$C$2),"Sí","")</f>
        <v/>
      </c>
      <c r="Q4640" s="18" t="str">
        <f aca="false">IF(COUNTIF(LOOKAHEAD!$A$5:$A$604,A4640)&gt;0,"En Lookahead",IF(P4640="Sí","INCORPORAR",""))</f>
        <v/>
      </c>
    </row>
    <row r="4641" customFormat="false" ht="15" hidden="false" customHeight="false" outlineLevel="0" collapsed="false">
      <c r="A4641" s="13" t="s">
        <v>14635</v>
      </c>
      <c r="B4641" s="13" t="n">
        <v>4636</v>
      </c>
      <c r="C4641" s="13" t="s">
        <v>14636</v>
      </c>
      <c r="D4641" s="13" t="n">
        <v>7</v>
      </c>
      <c r="E4641" s="38" t="s">
        <v>14556</v>
      </c>
      <c r="F4641" s="13" t="s">
        <v>1298</v>
      </c>
      <c r="G4641" s="13" t="s">
        <v>1063</v>
      </c>
      <c r="H4641" s="13" t="s">
        <v>14297</v>
      </c>
      <c r="I4641" s="13" t="s">
        <v>136</v>
      </c>
      <c r="J4641" s="13" t="s">
        <v>14565</v>
      </c>
      <c r="K4641" s="30" t="n">
        <v>50</v>
      </c>
      <c r="L4641" s="31" t="n">
        <v>46541</v>
      </c>
      <c r="M4641" s="31" t="n">
        <v>46590</v>
      </c>
      <c r="N4641" s="13"/>
      <c r="O4641" s="13" t="s">
        <v>1299</v>
      </c>
      <c r="P4641" s="13"/>
      <c r="Q4641" s="13"/>
    </row>
    <row r="4642" customFormat="false" ht="15" hidden="false" customHeight="false" outlineLevel="0" collapsed="false">
      <c r="A4642" s="16" t="s">
        <v>14637</v>
      </c>
      <c r="B4642" s="16" t="n">
        <v>4637</v>
      </c>
      <c r="C4642" s="16" t="s">
        <v>14638</v>
      </c>
      <c r="D4642" s="16" t="n">
        <v>8</v>
      </c>
      <c r="E4642" s="39" t="s">
        <v>14639</v>
      </c>
      <c r="F4642" s="16" t="s">
        <v>1285</v>
      </c>
      <c r="G4642" s="16" t="s">
        <v>1063</v>
      </c>
      <c r="H4642" s="16" t="s">
        <v>14297</v>
      </c>
      <c r="I4642" s="16" t="s">
        <v>136</v>
      </c>
      <c r="J4642" s="16" t="s">
        <v>14556</v>
      </c>
      <c r="K4642" s="32" t="n">
        <v>50</v>
      </c>
      <c r="L4642" s="33" t="n">
        <v>46541</v>
      </c>
      <c r="M4642" s="33" t="n">
        <v>46590</v>
      </c>
      <c r="N4642" s="16" t="s">
        <v>14313</v>
      </c>
      <c r="O4642" s="16" t="s">
        <v>1299</v>
      </c>
      <c r="P4642" s="16" t="str">
        <f aca="false">IF(AND(L4642&lt;=$D$2,M4642&gt;=$C$2),"Sí","")</f>
        <v/>
      </c>
      <c r="Q4642" s="18" t="str">
        <f aca="false">IF(COUNTIF(LOOKAHEAD!$A$5:$A$604,A4642)&gt;0,"En Lookahead",IF(P4642="Sí","INCORPORAR",""))</f>
        <v/>
      </c>
    </row>
    <row r="4643" customFormat="false" ht="15" hidden="false" customHeight="false" outlineLevel="0" collapsed="false">
      <c r="A4643" s="13" t="s">
        <v>14640</v>
      </c>
      <c r="B4643" s="13" t="n">
        <v>4638</v>
      </c>
      <c r="C4643" s="13" t="s">
        <v>14641</v>
      </c>
      <c r="D4643" s="13" t="n">
        <v>5</v>
      </c>
      <c r="E4643" s="34" t="s">
        <v>2225</v>
      </c>
      <c r="F4643" s="13" t="s">
        <v>1298</v>
      </c>
      <c r="G4643" s="13" t="s">
        <v>1063</v>
      </c>
      <c r="H4643" s="13" t="s">
        <v>14297</v>
      </c>
      <c r="I4643" s="13" t="s">
        <v>136</v>
      </c>
      <c r="J4643" s="13" t="s">
        <v>14297</v>
      </c>
      <c r="K4643" s="30" t="n">
        <v>50</v>
      </c>
      <c r="L4643" s="31" t="n">
        <v>46541</v>
      </c>
      <c r="M4643" s="31" t="n">
        <v>46590</v>
      </c>
      <c r="N4643" s="13"/>
      <c r="O4643" s="13" t="s">
        <v>1299</v>
      </c>
      <c r="P4643" s="13"/>
      <c r="Q4643" s="13"/>
    </row>
    <row r="4644" customFormat="false" ht="15" hidden="false" customHeight="false" outlineLevel="0" collapsed="false">
      <c r="A4644" s="13" t="s">
        <v>14642</v>
      </c>
      <c r="B4644" s="13" t="n">
        <v>4639</v>
      </c>
      <c r="C4644" s="13" t="s">
        <v>14643</v>
      </c>
      <c r="D4644" s="13" t="n">
        <v>6</v>
      </c>
      <c r="E4644" s="36" t="s">
        <v>14302</v>
      </c>
      <c r="F4644" s="13" t="s">
        <v>1298</v>
      </c>
      <c r="G4644" s="13" t="s">
        <v>1063</v>
      </c>
      <c r="H4644" s="13" t="s">
        <v>14297</v>
      </c>
      <c r="I4644" s="13" t="s">
        <v>136</v>
      </c>
      <c r="J4644" s="13" t="s">
        <v>2225</v>
      </c>
      <c r="K4644" s="30" t="n">
        <v>50</v>
      </c>
      <c r="L4644" s="31" t="n">
        <v>46541</v>
      </c>
      <c r="M4644" s="31" t="n">
        <v>46590</v>
      </c>
      <c r="N4644" s="13"/>
      <c r="O4644" s="13" t="s">
        <v>1299</v>
      </c>
      <c r="P4644" s="13"/>
      <c r="Q4644" s="13"/>
    </row>
    <row r="4645" customFormat="false" ht="15" hidden="false" customHeight="false" outlineLevel="0" collapsed="false">
      <c r="A4645" s="13" t="s">
        <v>14644</v>
      </c>
      <c r="B4645" s="13" t="n">
        <v>4640</v>
      </c>
      <c r="C4645" s="13" t="s">
        <v>14645</v>
      </c>
      <c r="D4645" s="13" t="n">
        <v>7</v>
      </c>
      <c r="E4645" s="38" t="s">
        <v>14646</v>
      </c>
      <c r="F4645" s="13" t="s">
        <v>1298</v>
      </c>
      <c r="G4645" s="13" t="s">
        <v>1063</v>
      </c>
      <c r="H4645" s="13" t="s">
        <v>14297</v>
      </c>
      <c r="I4645" s="13" t="s">
        <v>136</v>
      </c>
      <c r="J4645" s="13" t="s">
        <v>14302</v>
      </c>
      <c r="K4645" s="30" t="n">
        <v>50</v>
      </c>
      <c r="L4645" s="31" t="n">
        <v>46541</v>
      </c>
      <c r="M4645" s="31" t="n">
        <v>46590</v>
      </c>
      <c r="N4645" s="13"/>
      <c r="O4645" s="13" t="s">
        <v>1299</v>
      </c>
      <c r="P4645" s="13"/>
      <c r="Q4645" s="13"/>
    </row>
    <row r="4646" customFormat="false" ht="15" hidden="false" customHeight="false" outlineLevel="0" collapsed="false">
      <c r="A4646" s="16" t="s">
        <v>14647</v>
      </c>
      <c r="B4646" s="16" t="n">
        <v>4641</v>
      </c>
      <c r="C4646" s="16" t="s">
        <v>14648</v>
      </c>
      <c r="D4646" s="16" t="n">
        <v>8</v>
      </c>
      <c r="E4646" s="39" t="s">
        <v>14477</v>
      </c>
      <c r="F4646" s="16" t="s">
        <v>1285</v>
      </c>
      <c r="G4646" s="16" t="s">
        <v>1063</v>
      </c>
      <c r="H4646" s="16" t="s">
        <v>14297</v>
      </c>
      <c r="I4646" s="16" t="s">
        <v>136</v>
      </c>
      <c r="J4646" s="16" t="s">
        <v>14646</v>
      </c>
      <c r="K4646" s="32" t="n">
        <v>50</v>
      </c>
      <c r="L4646" s="33" t="n">
        <v>46541</v>
      </c>
      <c r="M4646" s="33" t="n">
        <v>46590</v>
      </c>
      <c r="N4646" s="16" t="s">
        <v>14649</v>
      </c>
      <c r="O4646" s="16" t="s">
        <v>1299</v>
      </c>
      <c r="P4646" s="16" t="str">
        <f aca="false">IF(AND(L4646&lt;=$D$2,M4646&gt;=$C$2),"Sí","")</f>
        <v/>
      </c>
      <c r="Q4646" s="18" t="str">
        <f aca="false">IF(COUNTIF(LOOKAHEAD!$A$5:$A$604,A4646)&gt;0,"En Lookahead",IF(P4646="Sí","INCORPORAR",""))</f>
        <v/>
      </c>
    </row>
    <row r="4647" customFormat="false" ht="15" hidden="false" customHeight="false" outlineLevel="0" collapsed="false">
      <c r="A4647" s="16" t="s">
        <v>14650</v>
      </c>
      <c r="B4647" s="16" t="n">
        <v>4642</v>
      </c>
      <c r="C4647" s="16" t="s">
        <v>14651</v>
      </c>
      <c r="D4647" s="16" t="n">
        <v>8</v>
      </c>
      <c r="E4647" s="39" t="s">
        <v>14337</v>
      </c>
      <c r="F4647" s="16" t="s">
        <v>1285</v>
      </c>
      <c r="G4647" s="16" t="s">
        <v>1063</v>
      </c>
      <c r="H4647" s="16" t="s">
        <v>14297</v>
      </c>
      <c r="I4647" s="16" t="s">
        <v>136</v>
      </c>
      <c r="J4647" s="16" t="s">
        <v>14646</v>
      </c>
      <c r="K4647" s="32" t="n">
        <v>50</v>
      </c>
      <c r="L4647" s="33" t="n">
        <v>46541</v>
      </c>
      <c r="M4647" s="33" t="n">
        <v>46590</v>
      </c>
      <c r="N4647" s="16" t="s">
        <v>14652</v>
      </c>
      <c r="O4647" s="16" t="s">
        <v>1299</v>
      </c>
      <c r="P4647" s="16" t="str">
        <f aca="false">IF(AND(L4647&lt;=$D$2,M4647&gt;=$C$2),"Sí","")</f>
        <v/>
      </c>
      <c r="Q4647" s="18" t="str">
        <f aca="false">IF(COUNTIF(LOOKAHEAD!$A$5:$A$604,A4647)&gt;0,"En Lookahead",IF(P4647="Sí","INCORPORAR",""))</f>
        <v/>
      </c>
    </row>
    <row r="4648" customFormat="false" ht="15" hidden="false" customHeight="false" outlineLevel="0" collapsed="false">
      <c r="A4648" s="16" t="s">
        <v>14653</v>
      </c>
      <c r="B4648" s="16" t="n">
        <v>4643</v>
      </c>
      <c r="C4648" s="16" t="s">
        <v>14654</v>
      </c>
      <c r="D4648" s="16" t="n">
        <v>8</v>
      </c>
      <c r="E4648" s="39" t="s">
        <v>14484</v>
      </c>
      <c r="F4648" s="16" t="s">
        <v>1285</v>
      </c>
      <c r="G4648" s="16" t="s">
        <v>1063</v>
      </c>
      <c r="H4648" s="16" t="s">
        <v>14297</v>
      </c>
      <c r="I4648" s="16" t="s">
        <v>136</v>
      </c>
      <c r="J4648" s="16" t="s">
        <v>14646</v>
      </c>
      <c r="K4648" s="32" t="n">
        <v>50</v>
      </c>
      <c r="L4648" s="33" t="n">
        <v>46541</v>
      </c>
      <c r="M4648" s="33" t="n">
        <v>46590</v>
      </c>
      <c r="N4648" s="16" t="s">
        <v>14652</v>
      </c>
      <c r="O4648" s="16" t="s">
        <v>1299</v>
      </c>
      <c r="P4648" s="16" t="str">
        <f aca="false">IF(AND(L4648&lt;=$D$2,M4648&gt;=$C$2),"Sí","")</f>
        <v/>
      </c>
      <c r="Q4648" s="18" t="str">
        <f aca="false">IF(COUNTIF(LOOKAHEAD!$A$5:$A$604,A4648)&gt;0,"En Lookahead",IF(P4648="Sí","INCORPORAR",""))</f>
        <v/>
      </c>
    </row>
    <row r="4649" customFormat="false" ht="15" hidden="false" customHeight="false" outlineLevel="0" collapsed="false">
      <c r="A4649" s="16" t="s">
        <v>14655</v>
      </c>
      <c r="B4649" s="16" t="n">
        <v>4644</v>
      </c>
      <c r="C4649" s="16" t="s">
        <v>14656</v>
      </c>
      <c r="D4649" s="16" t="n">
        <v>8</v>
      </c>
      <c r="E4649" s="39" t="s">
        <v>14438</v>
      </c>
      <c r="F4649" s="16" t="s">
        <v>1285</v>
      </c>
      <c r="G4649" s="16" t="s">
        <v>1063</v>
      </c>
      <c r="H4649" s="16" t="s">
        <v>14297</v>
      </c>
      <c r="I4649" s="16" t="s">
        <v>136</v>
      </c>
      <c r="J4649" s="16" t="s">
        <v>14646</v>
      </c>
      <c r="K4649" s="32" t="n">
        <v>50</v>
      </c>
      <c r="L4649" s="33" t="n">
        <v>46541</v>
      </c>
      <c r="M4649" s="33" t="n">
        <v>46590</v>
      </c>
      <c r="N4649" s="16" t="s">
        <v>14652</v>
      </c>
      <c r="O4649" s="16" t="s">
        <v>1299</v>
      </c>
      <c r="P4649" s="16" t="str">
        <f aca="false">IF(AND(L4649&lt;=$D$2,M4649&gt;=$C$2),"Sí","")</f>
        <v/>
      </c>
      <c r="Q4649" s="18" t="str">
        <f aca="false">IF(COUNTIF(LOOKAHEAD!$A$5:$A$604,A4649)&gt;0,"En Lookahead",IF(P4649="Sí","INCORPORAR",""))</f>
        <v/>
      </c>
    </row>
    <row r="4650" customFormat="false" ht="15" hidden="false" customHeight="false" outlineLevel="0" collapsed="false">
      <c r="A4650" s="16" t="s">
        <v>14657</v>
      </c>
      <c r="B4650" s="16" t="n">
        <v>4645</v>
      </c>
      <c r="C4650" s="16" t="s">
        <v>14658</v>
      </c>
      <c r="D4650" s="16" t="n">
        <v>8</v>
      </c>
      <c r="E4650" s="39" t="s">
        <v>14319</v>
      </c>
      <c r="F4650" s="16" t="s">
        <v>1285</v>
      </c>
      <c r="G4650" s="16" t="s">
        <v>1063</v>
      </c>
      <c r="H4650" s="16" t="s">
        <v>14297</v>
      </c>
      <c r="I4650" s="16" t="s">
        <v>136</v>
      </c>
      <c r="J4650" s="16" t="s">
        <v>14646</v>
      </c>
      <c r="K4650" s="32" t="n">
        <v>50</v>
      </c>
      <c r="L4650" s="33" t="n">
        <v>46541</v>
      </c>
      <c r="M4650" s="33" t="n">
        <v>46590</v>
      </c>
      <c r="N4650" s="16" t="s">
        <v>14652</v>
      </c>
      <c r="O4650" s="16" t="s">
        <v>1299</v>
      </c>
      <c r="P4650" s="16" t="str">
        <f aca="false">IF(AND(L4650&lt;=$D$2,M4650&gt;=$C$2),"Sí","")</f>
        <v/>
      </c>
      <c r="Q4650" s="18" t="str">
        <f aca="false">IF(COUNTIF(LOOKAHEAD!$A$5:$A$604,A4650)&gt;0,"En Lookahead",IF(P4650="Sí","INCORPORAR",""))</f>
        <v/>
      </c>
    </row>
    <row r="4651" customFormat="false" ht="15" hidden="false" customHeight="false" outlineLevel="0" collapsed="false">
      <c r="A4651" s="16" t="s">
        <v>14659</v>
      </c>
      <c r="B4651" s="16" t="n">
        <v>4646</v>
      </c>
      <c r="C4651" s="16" t="s">
        <v>14660</v>
      </c>
      <c r="D4651" s="16" t="n">
        <v>8</v>
      </c>
      <c r="E4651" s="39" t="s">
        <v>14492</v>
      </c>
      <c r="F4651" s="16" t="s">
        <v>1285</v>
      </c>
      <c r="G4651" s="16" t="s">
        <v>1063</v>
      </c>
      <c r="H4651" s="16" t="s">
        <v>14297</v>
      </c>
      <c r="I4651" s="16" t="s">
        <v>136</v>
      </c>
      <c r="J4651" s="16" t="s">
        <v>14646</v>
      </c>
      <c r="K4651" s="32" t="n">
        <v>50</v>
      </c>
      <c r="L4651" s="33" t="n">
        <v>46541</v>
      </c>
      <c r="M4651" s="33" t="n">
        <v>46590</v>
      </c>
      <c r="N4651" s="16" t="s">
        <v>14652</v>
      </c>
      <c r="O4651" s="16" t="s">
        <v>1299</v>
      </c>
      <c r="P4651" s="16" t="str">
        <f aca="false">IF(AND(L4651&lt;=$D$2,M4651&gt;=$C$2),"Sí","")</f>
        <v/>
      </c>
      <c r="Q4651" s="18" t="str">
        <f aca="false">IF(COUNTIF(LOOKAHEAD!$A$5:$A$604,A4651)&gt;0,"En Lookahead",IF(P4651="Sí","INCORPORAR",""))</f>
        <v/>
      </c>
    </row>
    <row r="4652" customFormat="false" ht="15" hidden="false" customHeight="false" outlineLevel="0" collapsed="false">
      <c r="A4652" s="16" t="s">
        <v>14661</v>
      </c>
      <c r="B4652" s="16" t="n">
        <v>4647</v>
      </c>
      <c r="C4652" s="16" t="s">
        <v>14662</v>
      </c>
      <c r="D4652" s="16" t="n">
        <v>8</v>
      </c>
      <c r="E4652" s="39" t="s">
        <v>14495</v>
      </c>
      <c r="F4652" s="16" t="s">
        <v>1285</v>
      </c>
      <c r="G4652" s="16" t="s">
        <v>1063</v>
      </c>
      <c r="H4652" s="16" t="s">
        <v>14297</v>
      </c>
      <c r="I4652" s="16" t="s">
        <v>136</v>
      </c>
      <c r="J4652" s="16" t="s">
        <v>14646</v>
      </c>
      <c r="K4652" s="32" t="n">
        <v>50</v>
      </c>
      <c r="L4652" s="33" t="n">
        <v>46541</v>
      </c>
      <c r="M4652" s="33" t="n">
        <v>46590</v>
      </c>
      <c r="N4652" s="16" t="s">
        <v>14652</v>
      </c>
      <c r="O4652" s="16" t="s">
        <v>1299</v>
      </c>
      <c r="P4652" s="16" t="str">
        <f aca="false">IF(AND(L4652&lt;=$D$2,M4652&gt;=$C$2),"Sí","")</f>
        <v/>
      </c>
      <c r="Q4652" s="18" t="str">
        <f aca="false">IF(COUNTIF(LOOKAHEAD!$A$5:$A$604,A4652)&gt;0,"En Lookahead",IF(P4652="Sí","INCORPORAR",""))</f>
        <v/>
      </c>
    </row>
    <row r="4653" customFormat="false" ht="15" hidden="false" customHeight="false" outlineLevel="0" collapsed="false">
      <c r="A4653" s="16" t="s">
        <v>14663</v>
      </c>
      <c r="B4653" s="16" t="n">
        <v>4648</v>
      </c>
      <c r="C4653" s="16" t="s">
        <v>14664</v>
      </c>
      <c r="D4653" s="16" t="n">
        <v>8</v>
      </c>
      <c r="E4653" s="39" t="s">
        <v>14322</v>
      </c>
      <c r="F4653" s="16" t="s">
        <v>1285</v>
      </c>
      <c r="G4653" s="16" t="s">
        <v>1063</v>
      </c>
      <c r="H4653" s="16" t="s">
        <v>14297</v>
      </c>
      <c r="I4653" s="16" t="s">
        <v>136</v>
      </c>
      <c r="J4653" s="16" t="s">
        <v>14646</v>
      </c>
      <c r="K4653" s="32" t="n">
        <v>50</v>
      </c>
      <c r="L4653" s="33" t="n">
        <v>46541</v>
      </c>
      <c r="M4653" s="33" t="n">
        <v>46590</v>
      </c>
      <c r="N4653" s="16" t="s">
        <v>14652</v>
      </c>
      <c r="O4653" s="16" t="s">
        <v>1299</v>
      </c>
      <c r="P4653" s="16" t="str">
        <f aca="false">IF(AND(L4653&lt;=$D$2,M4653&gt;=$C$2),"Sí","")</f>
        <v/>
      </c>
      <c r="Q4653" s="18" t="str">
        <f aca="false">IF(COUNTIF(LOOKAHEAD!$A$5:$A$604,A4653)&gt;0,"En Lookahead",IF(P4653="Sí","INCORPORAR",""))</f>
        <v/>
      </c>
    </row>
    <row r="4654" customFormat="false" ht="15" hidden="false" customHeight="false" outlineLevel="0" collapsed="false">
      <c r="A4654" s="16" t="s">
        <v>14665</v>
      </c>
      <c r="B4654" s="16" t="n">
        <v>4649</v>
      </c>
      <c r="C4654" s="16" t="s">
        <v>14666</v>
      </c>
      <c r="D4654" s="16" t="n">
        <v>8</v>
      </c>
      <c r="E4654" s="39" t="s">
        <v>14587</v>
      </c>
      <c r="F4654" s="16" t="s">
        <v>1285</v>
      </c>
      <c r="G4654" s="16" t="s">
        <v>1063</v>
      </c>
      <c r="H4654" s="16" t="s">
        <v>14297</v>
      </c>
      <c r="I4654" s="16" t="s">
        <v>136</v>
      </c>
      <c r="J4654" s="16" t="s">
        <v>14646</v>
      </c>
      <c r="K4654" s="32" t="n">
        <v>50</v>
      </c>
      <c r="L4654" s="33" t="n">
        <v>46541</v>
      </c>
      <c r="M4654" s="33" t="n">
        <v>46590</v>
      </c>
      <c r="N4654" s="16" t="s">
        <v>14652</v>
      </c>
      <c r="O4654" s="16" t="s">
        <v>1299</v>
      </c>
      <c r="P4654" s="16" t="str">
        <f aca="false">IF(AND(L4654&lt;=$D$2,M4654&gt;=$C$2),"Sí","")</f>
        <v/>
      </c>
      <c r="Q4654" s="18" t="str">
        <f aca="false">IF(COUNTIF(LOOKAHEAD!$A$5:$A$604,A4654)&gt;0,"En Lookahead",IF(P4654="Sí","INCORPORAR",""))</f>
        <v/>
      </c>
    </row>
    <row r="4655" customFormat="false" ht="15" hidden="false" customHeight="false" outlineLevel="0" collapsed="false">
      <c r="A4655" s="16" t="s">
        <v>14667</v>
      </c>
      <c r="B4655" s="16" t="n">
        <v>4650</v>
      </c>
      <c r="C4655" s="16" t="s">
        <v>14668</v>
      </c>
      <c r="D4655" s="16" t="n">
        <v>8</v>
      </c>
      <c r="E4655" s="39" t="s">
        <v>14325</v>
      </c>
      <c r="F4655" s="16" t="s">
        <v>1285</v>
      </c>
      <c r="G4655" s="16" t="s">
        <v>1063</v>
      </c>
      <c r="H4655" s="16" t="s">
        <v>14297</v>
      </c>
      <c r="I4655" s="16" t="s">
        <v>136</v>
      </c>
      <c r="J4655" s="16" t="s">
        <v>14646</v>
      </c>
      <c r="K4655" s="32" t="n">
        <v>50</v>
      </c>
      <c r="L4655" s="33" t="n">
        <v>46541</v>
      </c>
      <c r="M4655" s="33" t="n">
        <v>46590</v>
      </c>
      <c r="N4655" s="16" t="s">
        <v>14652</v>
      </c>
      <c r="O4655" s="16" t="s">
        <v>1299</v>
      </c>
      <c r="P4655" s="16" t="str">
        <f aca="false">IF(AND(L4655&lt;=$D$2,M4655&gt;=$C$2),"Sí","")</f>
        <v/>
      </c>
      <c r="Q4655" s="18" t="str">
        <f aca="false">IF(COUNTIF(LOOKAHEAD!$A$5:$A$604,A4655)&gt;0,"En Lookahead",IF(P4655="Sí","INCORPORAR",""))</f>
        <v/>
      </c>
    </row>
    <row r="4656" customFormat="false" ht="15" hidden="false" customHeight="false" outlineLevel="0" collapsed="false">
      <c r="A4656" s="16" t="s">
        <v>14669</v>
      </c>
      <c r="B4656" s="16" t="n">
        <v>4651</v>
      </c>
      <c r="C4656" s="16" t="s">
        <v>14670</v>
      </c>
      <c r="D4656" s="16" t="n">
        <v>8</v>
      </c>
      <c r="E4656" s="39" t="s">
        <v>14671</v>
      </c>
      <c r="F4656" s="16" t="s">
        <v>1285</v>
      </c>
      <c r="G4656" s="16" t="s">
        <v>1063</v>
      </c>
      <c r="H4656" s="16" t="s">
        <v>14297</v>
      </c>
      <c r="I4656" s="16" t="s">
        <v>136</v>
      </c>
      <c r="J4656" s="16" t="s">
        <v>14646</v>
      </c>
      <c r="K4656" s="32" t="n">
        <v>50</v>
      </c>
      <c r="L4656" s="33" t="n">
        <v>46541</v>
      </c>
      <c r="M4656" s="33" t="n">
        <v>46590</v>
      </c>
      <c r="N4656" s="16" t="s">
        <v>14652</v>
      </c>
      <c r="O4656" s="16" t="s">
        <v>1299</v>
      </c>
      <c r="P4656" s="16" t="str">
        <f aca="false">IF(AND(L4656&lt;=$D$2,M4656&gt;=$C$2),"Sí","")</f>
        <v/>
      </c>
      <c r="Q4656" s="18" t="str">
        <f aca="false">IF(COUNTIF(LOOKAHEAD!$A$5:$A$604,A4656)&gt;0,"En Lookahead",IF(P4656="Sí","INCORPORAR",""))</f>
        <v/>
      </c>
    </row>
    <row r="4657" customFormat="false" ht="15" hidden="false" customHeight="false" outlineLevel="0" collapsed="false">
      <c r="A4657" s="13" t="s">
        <v>14672</v>
      </c>
      <c r="B4657" s="13" t="n">
        <v>4652</v>
      </c>
      <c r="C4657" s="13" t="s">
        <v>14673</v>
      </c>
      <c r="D4657" s="13" t="n">
        <v>7</v>
      </c>
      <c r="E4657" s="38" t="s">
        <v>14515</v>
      </c>
      <c r="F4657" s="13" t="s">
        <v>1298</v>
      </c>
      <c r="G4657" s="13" t="s">
        <v>1063</v>
      </c>
      <c r="H4657" s="13" t="s">
        <v>14297</v>
      </c>
      <c r="I4657" s="13" t="s">
        <v>136</v>
      </c>
      <c r="J4657" s="13" t="s">
        <v>14302</v>
      </c>
      <c r="K4657" s="30" t="n">
        <v>50</v>
      </c>
      <c r="L4657" s="31" t="n">
        <v>46541</v>
      </c>
      <c r="M4657" s="31" t="n">
        <v>46590</v>
      </c>
      <c r="N4657" s="13"/>
      <c r="O4657" s="13" t="s">
        <v>1299</v>
      </c>
      <c r="P4657" s="13"/>
      <c r="Q4657" s="13"/>
    </row>
    <row r="4658" customFormat="false" ht="15" hidden="false" customHeight="false" outlineLevel="0" collapsed="false">
      <c r="A4658" s="16" t="s">
        <v>14674</v>
      </c>
      <c r="B4658" s="16" t="n">
        <v>4653</v>
      </c>
      <c r="C4658" s="16" t="s">
        <v>14675</v>
      </c>
      <c r="D4658" s="16" t="n">
        <v>8</v>
      </c>
      <c r="E4658" s="39" t="s">
        <v>14308</v>
      </c>
      <c r="F4658" s="16" t="s">
        <v>1285</v>
      </c>
      <c r="G4658" s="16" t="s">
        <v>1063</v>
      </c>
      <c r="H4658" s="16" t="s">
        <v>14297</v>
      </c>
      <c r="I4658" s="16" t="s">
        <v>136</v>
      </c>
      <c r="J4658" s="16" t="s">
        <v>14515</v>
      </c>
      <c r="K4658" s="32" t="n">
        <v>50</v>
      </c>
      <c r="L4658" s="33" t="n">
        <v>46541</v>
      </c>
      <c r="M4658" s="33" t="n">
        <v>46590</v>
      </c>
      <c r="N4658" s="16" t="s">
        <v>14652</v>
      </c>
      <c r="O4658" s="16" t="s">
        <v>1299</v>
      </c>
      <c r="P4658" s="16" t="str">
        <f aca="false">IF(AND(L4658&lt;=$D$2,M4658&gt;=$C$2),"Sí","")</f>
        <v/>
      </c>
      <c r="Q4658" s="18" t="str">
        <f aca="false">IF(COUNTIF(LOOKAHEAD!$A$5:$A$604,A4658)&gt;0,"En Lookahead",IF(P4658="Sí","INCORPORAR",""))</f>
        <v/>
      </c>
    </row>
    <row r="4659" customFormat="false" ht="15" hidden="false" customHeight="false" outlineLevel="0" collapsed="false">
      <c r="A4659" s="16" t="s">
        <v>14676</v>
      </c>
      <c r="B4659" s="16" t="n">
        <v>4654</v>
      </c>
      <c r="C4659" s="16" t="s">
        <v>14677</v>
      </c>
      <c r="D4659" s="16" t="n">
        <v>8</v>
      </c>
      <c r="E4659" s="39" t="s">
        <v>14392</v>
      </c>
      <c r="F4659" s="16" t="s">
        <v>1285</v>
      </c>
      <c r="G4659" s="16" t="s">
        <v>1063</v>
      </c>
      <c r="H4659" s="16" t="s">
        <v>14297</v>
      </c>
      <c r="I4659" s="16" t="s">
        <v>136</v>
      </c>
      <c r="J4659" s="16" t="s">
        <v>14515</v>
      </c>
      <c r="K4659" s="32" t="n">
        <v>50</v>
      </c>
      <c r="L4659" s="33" t="n">
        <v>46541</v>
      </c>
      <c r="M4659" s="33" t="n">
        <v>46590</v>
      </c>
      <c r="N4659" s="16" t="s">
        <v>14652</v>
      </c>
      <c r="O4659" s="16" t="s">
        <v>1299</v>
      </c>
      <c r="P4659" s="16" t="str">
        <f aca="false">IF(AND(L4659&lt;=$D$2,M4659&gt;=$C$2),"Sí","")</f>
        <v/>
      </c>
      <c r="Q4659" s="18" t="str">
        <f aca="false">IF(COUNTIF(LOOKAHEAD!$A$5:$A$604,A4659)&gt;0,"En Lookahead",IF(P4659="Sí","INCORPORAR",""))</f>
        <v/>
      </c>
    </row>
    <row r="4660" customFormat="false" ht="15" hidden="false" customHeight="false" outlineLevel="0" collapsed="false">
      <c r="A4660" s="16" t="s">
        <v>14678</v>
      </c>
      <c r="B4660" s="16" t="n">
        <v>4655</v>
      </c>
      <c r="C4660" s="16" t="s">
        <v>14679</v>
      </c>
      <c r="D4660" s="16" t="n">
        <v>8</v>
      </c>
      <c r="E4660" s="39" t="s">
        <v>14337</v>
      </c>
      <c r="F4660" s="16" t="s">
        <v>1285</v>
      </c>
      <c r="G4660" s="16" t="s">
        <v>1063</v>
      </c>
      <c r="H4660" s="16" t="s">
        <v>14297</v>
      </c>
      <c r="I4660" s="16" t="s">
        <v>136</v>
      </c>
      <c r="J4660" s="16" t="s">
        <v>14515</v>
      </c>
      <c r="K4660" s="32" t="n">
        <v>50</v>
      </c>
      <c r="L4660" s="33" t="n">
        <v>46541</v>
      </c>
      <c r="M4660" s="33" t="n">
        <v>46590</v>
      </c>
      <c r="N4660" s="16" t="s">
        <v>14652</v>
      </c>
      <c r="O4660" s="16" t="s">
        <v>1299</v>
      </c>
      <c r="P4660" s="16" t="str">
        <f aca="false">IF(AND(L4660&lt;=$D$2,M4660&gt;=$C$2),"Sí","")</f>
        <v/>
      </c>
      <c r="Q4660" s="18" t="str">
        <f aca="false">IF(COUNTIF(LOOKAHEAD!$A$5:$A$604,A4660)&gt;0,"En Lookahead",IF(P4660="Sí","INCORPORAR",""))</f>
        <v/>
      </c>
    </row>
    <row r="4661" customFormat="false" ht="15" hidden="false" customHeight="false" outlineLevel="0" collapsed="false">
      <c r="A4661" s="16" t="s">
        <v>14680</v>
      </c>
      <c r="B4661" s="16" t="n">
        <v>4656</v>
      </c>
      <c r="C4661" s="16" t="s">
        <v>14681</v>
      </c>
      <c r="D4661" s="16" t="n">
        <v>8</v>
      </c>
      <c r="E4661" s="39" t="s">
        <v>14316</v>
      </c>
      <c r="F4661" s="16" t="s">
        <v>1285</v>
      </c>
      <c r="G4661" s="16" t="s">
        <v>1063</v>
      </c>
      <c r="H4661" s="16" t="s">
        <v>14297</v>
      </c>
      <c r="I4661" s="16" t="s">
        <v>136</v>
      </c>
      <c r="J4661" s="16" t="s">
        <v>14515</v>
      </c>
      <c r="K4661" s="32" t="n">
        <v>50</v>
      </c>
      <c r="L4661" s="33" t="n">
        <v>46541</v>
      </c>
      <c r="M4661" s="33" t="n">
        <v>46590</v>
      </c>
      <c r="N4661" s="16" t="s">
        <v>14652</v>
      </c>
      <c r="O4661" s="16" t="s">
        <v>1299</v>
      </c>
      <c r="P4661" s="16" t="str">
        <f aca="false">IF(AND(L4661&lt;=$D$2,M4661&gt;=$C$2),"Sí","")</f>
        <v/>
      </c>
      <c r="Q4661" s="18" t="str">
        <f aca="false">IF(COUNTIF(LOOKAHEAD!$A$5:$A$604,A4661)&gt;0,"En Lookahead",IF(P4661="Sí","INCORPORAR",""))</f>
        <v/>
      </c>
    </row>
    <row r="4662" customFormat="false" ht="15" hidden="false" customHeight="false" outlineLevel="0" collapsed="false">
      <c r="A4662" s="16" t="s">
        <v>14682</v>
      </c>
      <c r="B4662" s="16" t="n">
        <v>4657</v>
      </c>
      <c r="C4662" s="16" t="s">
        <v>14683</v>
      </c>
      <c r="D4662" s="16" t="n">
        <v>8</v>
      </c>
      <c r="E4662" s="39" t="s">
        <v>14319</v>
      </c>
      <c r="F4662" s="16" t="s">
        <v>1285</v>
      </c>
      <c r="G4662" s="16" t="s">
        <v>1063</v>
      </c>
      <c r="H4662" s="16" t="s">
        <v>14297</v>
      </c>
      <c r="I4662" s="16" t="s">
        <v>136</v>
      </c>
      <c r="J4662" s="16" t="s">
        <v>14515</v>
      </c>
      <c r="K4662" s="32" t="n">
        <v>50</v>
      </c>
      <c r="L4662" s="33" t="n">
        <v>46541</v>
      </c>
      <c r="M4662" s="33" t="n">
        <v>46590</v>
      </c>
      <c r="N4662" s="16" t="s">
        <v>14652</v>
      </c>
      <c r="O4662" s="16" t="s">
        <v>1299</v>
      </c>
      <c r="P4662" s="16" t="str">
        <f aca="false">IF(AND(L4662&lt;=$D$2,M4662&gt;=$C$2),"Sí","")</f>
        <v/>
      </c>
      <c r="Q4662" s="18" t="str">
        <f aca="false">IF(COUNTIF(LOOKAHEAD!$A$5:$A$604,A4662)&gt;0,"En Lookahead",IF(P4662="Sí","INCORPORAR",""))</f>
        <v/>
      </c>
    </row>
    <row r="4663" customFormat="false" ht="15" hidden="false" customHeight="false" outlineLevel="0" collapsed="false">
      <c r="A4663" s="16" t="s">
        <v>14684</v>
      </c>
      <c r="B4663" s="16" t="n">
        <v>4658</v>
      </c>
      <c r="C4663" s="16" t="s">
        <v>14685</v>
      </c>
      <c r="D4663" s="16" t="n">
        <v>8</v>
      </c>
      <c r="E4663" s="39" t="s">
        <v>14322</v>
      </c>
      <c r="F4663" s="16" t="s">
        <v>1285</v>
      </c>
      <c r="G4663" s="16" t="s">
        <v>1063</v>
      </c>
      <c r="H4663" s="16" t="s">
        <v>14297</v>
      </c>
      <c r="I4663" s="16" t="s">
        <v>136</v>
      </c>
      <c r="J4663" s="16" t="s">
        <v>14515</v>
      </c>
      <c r="K4663" s="32" t="n">
        <v>50</v>
      </c>
      <c r="L4663" s="33" t="n">
        <v>46541</v>
      </c>
      <c r="M4663" s="33" t="n">
        <v>46590</v>
      </c>
      <c r="N4663" s="16" t="s">
        <v>14652</v>
      </c>
      <c r="O4663" s="16" t="s">
        <v>1299</v>
      </c>
      <c r="P4663" s="16" t="str">
        <f aca="false">IF(AND(L4663&lt;=$D$2,M4663&gt;=$C$2),"Sí","")</f>
        <v/>
      </c>
      <c r="Q4663" s="18" t="str">
        <f aca="false">IF(COUNTIF(LOOKAHEAD!$A$5:$A$604,A4663)&gt;0,"En Lookahead",IF(P4663="Sí","INCORPORAR",""))</f>
        <v/>
      </c>
    </row>
    <row r="4664" customFormat="false" ht="15" hidden="false" customHeight="false" outlineLevel="0" collapsed="false">
      <c r="A4664" s="16" t="s">
        <v>14686</v>
      </c>
      <c r="B4664" s="16" t="n">
        <v>4659</v>
      </c>
      <c r="C4664" s="16" t="s">
        <v>14687</v>
      </c>
      <c r="D4664" s="16" t="n">
        <v>8</v>
      </c>
      <c r="E4664" s="39" t="s">
        <v>14587</v>
      </c>
      <c r="F4664" s="16" t="s">
        <v>1285</v>
      </c>
      <c r="G4664" s="16" t="s">
        <v>1063</v>
      </c>
      <c r="H4664" s="16" t="s">
        <v>14297</v>
      </c>
      <c r="I4664" s="16" t="s">
        <v>136</v>
      </c>
      <c r="J4664" s="16" t="s">
        <v>14515</v>
      </c>
      <c r="K4664" s="32" t="n">
        <v>50</v>
      </c>
      <c r="L4664" s="33" t="n">
        <v>46541</v>
      </c>
      <c r="M4664" s="33" t="n">
        <v>46590</v>
      </c>
      <c r="N4664" s="16" t="s">
        <v>14652</v>
      </c>
      <c r="O4664" s="16" t="s">
        <v>1299</v>
      </c>
      <c r="P4664" s="16" t="str">
        <f aca="false">IF(AND(L4664&lt;=$D$2,M4664&gt;=$C$2),"Sí","")</f>
        <v/>
      </c>
      <c r="Q4664" s="18" t="str">
        <f aca="false">IF(COUNTIF(LOOKAHEAD!$A$5:$A$604,A4664)&gt;0,"En Lookahead",IF(P4664="Sí","INCORPORAR",""))</f>
        <v/>
      </c>
    </row>
    <row r="4665" customFormat="false" ht="15" hidden="false" customHeight="false" outlineLevel="0" collapsed="false">
      <c r="A4665" s="16" t="s">
        <v>14688</v>
      </c>
      <c r="B4665" s="16" t="n">
        <v>4660</v>
      </c>
      <c r="C4665" s="16" t="s">
        <v>14689</v>
      </c>
      <c r="D4665" s="16" t="n">
        <v>8</v>
      </c>
      <c r="E4665" s="39" t="s">
        <v>14325</v>
      </c>
      <c r="F4665" s="16" t="s">
        <v>1285</v>
      </c>
      <c r="G4665" s="16" t="s">
        <v>1063</v>
      </c>
      <c r="H4665" s="16" t="s">
        <v>14297</v>
      </c>
      <c r="I4665" s="16" t="s">
        <v>136</v>
      </c>
      <c r="J4665" s="16" t="s">
        <v>14515</v>
      </c>
      <c r="K4665" s="32" t="n">
        <v>50</v>
      </c>
      <c r="L4665" s="33" t="n">
        <v>46541</v>
      </c>
      <c r="M4665" s="33" t="n">
        <v>46590</v>
      </c>
      <c r="N4665" s="16" t="s">
        <v>14652</v>
      </c>
      <c r="O4665" s="16" t="s">
        <v>1299</v>
      </c>
      <c r="P4665" s="16" t="str">
        <f aca="false">IF(AND(L4665&lt;=$D$2,M4665&gt;=$C$2),"Sí","")</f>
        <v/>
      </c>
      <c r="Q4665" s="18" t="str">
        <f aca="false">IF(COUNTIF(LOOKAHEAD!$A$5:$A$604,A4665)&gt;0,"En Lookahead",IF(P4665="Sí","INCORPORAR",""))</f>
        <v/>
      </c>
    </row>
    <row r="4666" customFormat="false" ht="15" hidden="false" customHeight="false" outlineLevel="0" collapsed="false">
      <c r="A4666" s="16" t="s">
        <v>14690</v>
      </c>
      <c r="B4666" s="16" t="n">
        <v>4661</v>
      </c>
      <c r="C4666" s="16" t="s">
        <v>14691</v>
      </c>
      <c r="D4666" s="16" t="n">
        <v>8</v>
      </c>
      <c r="E4666" s="39" t="s">
        <v>14671</v>
      </c>
      <c r="F4666" s="16" t="s">
        <v>1285</v>
      </c>
      <c r="G4666" s="16" t="s">
        <v>1063</v>
      </c>
      <c r="H4666" s="16" t="s">
        <v>14297</v>
      </c>
      <c r="I4666" s="16" t="s">
        <v>136</v>
      </c>
      <c r="J4666" s="16" t="s">
        <v>14515</v>
      </c>
      <c r="K4666" s="32" t="n">
        <v>50</v>
      </c>
      <c r="L4666" s="33" t="n">
        <v>46541</v>
      </c>
      <c r="M4666" s="33" t="n">
        <v>46590</v>
      </c>
      <c r="N4666" s="16" t="s">
        <v>14652</v>
      </c>
      <c r="O4666" s="16" t="s">
        <v>1299</v>
      </c>
      <c r="P4666" s="16" t="str">
        <f aca="false">IF(AND(L4666&lt;=$D$2,M4666&gt;=$C$2),"Sí","")</f>
        <v/>
      </c>
      <c r="Q4666" s="18" t="str">
        <f aca="false">IF(COUNTIF(LOOKAHEAD!$A$5:$A$604,A4666)&gt;0,"En Lookahead",IF(P4666="Sí","INCORPORAR",""))</f>
        <v/>
      </c>
    </row>
    <row r="4667" customFormat="false" ht="15" hidden="false" customHeight="false" outlineLevel="0" collapsed="false">
      <c r="A4667" s="13" t="s">
        <v>14692</v>
      </c>
      <c r="B4667" s="13" t="n">
        <v>4662</v>
      </c>
      <c r="C4667" s="13" t="s">
        <v>14693</v>
      </c>
      <c r="D4667" s="13" t="n">
        <v>7</v>
      </c>
      <c r="E4667" s="38" t="s">
        <v>14509</v>
      </c>
      <c r="F4667" s="13" t="s">
        <v>1298</v>
      </c>
      <c r="G4667" s="13" t="s">
        <v>1063</v>
      </c>
      <c r="H4667" s="13" t="s">
        <v>14297</v>
      </c>
      <c r="I4667" s="13" t="s">
        <v>136</v>
      </c>
      <c r="J4667" s="13" t="s">
        <v>14302</v>
      </c>
      <c r="K4667" s="30" t="n">
        <v>50</v>
      </c>
      <c r="L4667" s="31" t="n">
        <v>46541</v>
      </c>
      <c r="M4667" s="31" t="n">
        <v>46590</v>
      </c>
      <c r="N4667" s="13"/>
      <c r="O4667" s="13" t="s">
        <v>1299</v>
      </c>
      <c r="P4667" s="13"/>
      <c r="Q4667" s="13"/>
    </row>
    <row r="4668" customFormat="false" ht="15" hidden="false" customHeight="false" outlineLevel="0" collapsed="false">
      <c r="A4668" s="16" t="s">
        <v>14694</v>
      </c>
      <c r="B4668" s="16" t="n">
        <v>4663</v>
      </c>
      <c r="C4668" s="16" t="s">
        <v>14695</v>
      </c>
      <c r="D4668" s="16" t="n">
        <v>8</v>
      </c>
      <c r="E4668" s="39" t="s">
        <v>14512</v>
      </c>
      <c r="F4668" s="16" t="s">
        <v>1285</v>
      </c>
      <c r="G4668" s="16" t="s">
        <v>1063</v>
      </c>
      <c r="H4668" s="16" t="s">
        <v>14297</v>
      </c>
      <c r="I4668" s="16" t="s">
        <v>136</v>
      </c>
      <c r="J4668" s="16" t="s">
        <v>14509</v>
      </c>
      <c r="K4668" s="32" t="n">
        <v>50</v>
      </c>
      <c r="L4668" s="33" t="n">
        <v>46541</v>
      </c>
      <c r="M4668" s="33" t="n">
        <v>46590</v>
      </c>
      <c r="N4668" s="16" t="s">
        <v>14652</v>
      </c>
      <c r="O4668" s="16" t="s">
        <v>1299</v>
      </c>
      <c r="P4668" s="16" t="str">
        <f aca="false">IF(AND(L4668&lt;=$D$2,M4668&gt;=$C$2),"Sí","")</f>
        <v/>
      </c>
      <c r="Q4668" s="18" t="str">
        <f aca="false">IF(COUNTIF(LOOKAHEAD!$A$5:$A$604,A4668)&gt;0,"En Lookahead",IF(P4668="Sí","INCORPORAR",""))</f>
        <v/>
      </c>
    </row>
    <row r="4669" customFormat="false" ht="15" hidden="false" customHeight="false" outlineLevel="0" collapsed="false">
      <c r="A4669" s="13" t="s">
        <v>14696</v>
      </c>
      <c r="B4669" s="13" t="n">
        <v>4664</v>
      </c>
      <c r="C4669" s="13" t="s">
        <v>14697</v>
      </c>
      <c r="D4669" s="13" t="n">
        <v>7</v>
      </c>
      <c r="E4669" s="38" t="s">
        <v>14503</v>
      </c>
      <c r="F4669" s="13" t="s">
        <v>1298</v>
      </c>
      <c r="G4669" s="13" t="s">
        <v>1063</v>
      </c>
      <c r="H4669" s="13" t="s">
        <v>14297</v>
      </c>
      <c r="I4669" s="13" t="s">
        <v>136</v>
      </c>
      <c r="J4669" s="13" t="s">
        <v>14302</v>
      </c>
      <c r="K4669" s="30" t="n">
        <v>50</v>
      </c>
      <c r="L4669" s="31" t="n">
        <v>46541</v>
      </c>
      <c r="M4669" s="31" t="n">
        <v>46590</v>
      </c>
      <c r="N4669" s="13"/>
      <c r="O4669" s="13" t="s">
        <v>1299</v>
      </c>
      <c r="P4669" s="13"/>
      <c r="Q4669" s="13"/>
    </row>
    <row r="4670" customFormat="false" ht="15" hidden="false" customHeight="false" outlineLevel="0" collapsed="false">
      <c r="A4670" s="16" t="s">
        <v>14698</v>
      </c>
      <c r="B4670" s="16" t="n">
        <v>4665</v>
      </c>
      <c r="C4670" s="16" t="s">
        <v>14699</v>
      </c>
      <c r="D4670" s="16" t="n">
        <v>8</v>
      </c>
      <c r="E4670" s="39" t="s">
        <v>14506</v>
      </c>
      <c r="F4670" s="16" t="s">
        <v>1285</v>
      </c>
      <c r="G4670" s="16" t="s">
        <v>1063</v>
      </c>
      <c r="H4670" s="16" t="s">
        <v>14297</v>
      </c>
      <c r="I4670" s="16" t="s">
        <v>136</v>
      </c>
      <c r="J4670" s="16" t="s">
        <v>14503</v>
      </c>
      <c r="K4670" s="32" t="n">
        <v>50</v>
      </c>
      <c r="L4670" s="33" t="n">
        <v>46541</v>
      </c>
      <c r="M4670" s="33" t="n">
        <v>46590</v>
      </c>
      <c r="N4670" s="16" t="s">
        <v>14652</v>
      </c>
      <c r="O4670" s="16" t="s">
        <v>1299</v>
      </c>
      <c r="P4670" s="16" t="str">
        <f aca="false">IF(AND(L4670&lt;=$D$2,M4670&gt;=$C$2),"Sí","")</f>
        <v/>
      </c>
      <c r="Q4670" s="18" t="str">
        <f aca="false">IF(COUNTIF(LOOKAHEAD!$A$5:$A$604,A4670)&gt;0,"En Lookahead",IF(P4670="Sí","INCORPORAR",""))</f>
        <v/>
      </c>
    </row>
    <row r="4671" customFormat="false" ht="15" hidden="false" customHeight="false" outlineLevel="0" collapsed="false">
      <c r="A4671" s="13" t="s">
        <v>14700</v>
      </c>
      <c r="B4671" s="13" t="n">
        <v>4666</v>
      </c>
      <c r="C4671" s="13" t="s">
        <v>14701</v>
      </c>
      <c r="D4671" s="13" t="n">
        <v>7</v>
      </c>
      <c r="E4671" s="38" t="s">
        <v>14702</v>
      </c>
      <c r="F4671" s="13" t="s">
        <v>1298</v>
      </c>
      <c r="G4671" s="13" t="s">
        <v>1063</v>
      </c>
      <c r="H4671" s="13" t="s">
        <v>14297</v>
      </c>
      <c r="I4671" s="13" t="s">
        <v>136</v>
      </c>
      <c r="J4671" s="13" t="s">
        <v>14302</v>
      </c>
      <c r="K4671" s="30" t="n">
        <v>50</v>
      </c>
      <c r="L4671" s="31" t="n">
        <v>46541</v>
      </c>
      <c r="M4671" s="31" t="n">
        <v>46590</v>
      </c>
      <c r="N4671" s="13"/>
      <c r="O4671" s="13" t="s">
        <v>1299</v>
      </c>
      <c r="P4671" s="13"/>
      <c r="Q4671" s="13"/>
    </row>
    <row r="4672" customFormat="false" ht="15" hidden="false" customHeight="false" outlineLevel="0" collapsed="false">
      <c r="A4672" s="16" t="s">
        <v>14703</v>
      </c>
      <c r="B4672" s="16" t="n">
        <v>4667</v>
      </c>
      <c r="C4672" s="16" t="s">
        <v>14704</v>
      </c>
      <c r="D4672" s="16" t="n">
        <v>8</v>
      </c>
      <c r="E4672" s="39" t="s">
        <v>14308</v>
      </c>
      <c r="F4672" s="16" t="s">
        <v>1285</v>
      </c>
      <c r="G4672" s="16" t="s">
        <v>1063</v>
      </c>
      <c r="H4672" s="16" t="s">
        <v>14297</v>
      </c>
      <c r="I4672" s="16" t="s">
        <v>136</v>
      </c>
      <c r="J4672" s="16" t="s">
        <v>14702</v>
      </c>
      <c r="K4672" s="32" t="n">
        <v>50</v>
      </c>
      <c r="L4672" s="33" t="n">
        <v>46541</v>
      </c>
      <c r="M4672" s="33" t="n">
        <v>46590</v>
      </c>
      <c r="N4672" s="16" t="s">
        <v>14652</v>
      </c>
      <c r="O4672" s="16" t="s">
        <v>1299</v>
      </c>
      <c r="P4672" s="16" t="str">
        <f aca="false">IF(AND(L4672&lt;=$D$2,M4672&gt;=$C$2),"Sí","")</f>
        <v/>
      </c>
      <c r="Q4672" s="18" t="str">
        <f aca="false">IF(COUNTIF(LOOKAHEAD!$A$5:$A$604,A4672)&gt;0,"En Lookahead",IF(P4672="Sí","INCORPORAR",""))</f>
        <v/>
      </c>
    </row>
    <row r="4673" customFormat="false" ht="15" hidden="false" customHeight="false" outlineLevel="0" collapsed="false">
      <c r="A4673" s="16" t="s">
        <v>14705</v>
      </c>
      <c r="B4673" s="16" t="n">
        <v>4668</v>
      </c>
      <c r="C4673" s="16" t="s">
        <v>14706</v>
      </c>
      <c r="D4673" s="16" t="n">
        <v>8</v>
      </c>
      <c r="E4673" s="39" t="s">
        <v>14518</v>
      </c>
      <c r="F4673" s="16" t="s">
        <v>1285</v>
      </c>
      <c r="G4673" s="16" t="s">
        <v>1063</v>
      </c>
      <c r="H4673" s="16" t="s">
        <v>14297</v>
      </c>
      <c r="I4673" s="16" t="s">
        <v>136</v>
      </c>
      <c r="J4673" s="16" t="s">
        <v>14702</v>
      </c>
      <c r="K4673" s="32" t="n">
        <v>50</v>
      </c>
      <c r="L4673" s="33" t="n">
        <v>46541</v>
      </c>
      <c r="M4673" s="33" t="n">
        <v>46590</v>
      </c>
      <c r="N4673" s="16" t="s">
        <v>14652</v>
      </c>
      <c r="O4673" s="16" t="s">
        <v>1299</v>
      </c>
      <c r="P4673" s="16" t="str">
        <f aca="false">IF(AND(L4673&lt;=$D$2,M4673&gt;=$C$2),"Sí","")</f>
        <v/>
      </c>
      <c r="Q4673" s="18" t="str">
        <f aca="false">IF(COUNTIF(LOOKAHEAD!$A$5:$A$604,A4673)&gt;0,"En Lookahead",IF(P4673="Sí","INCORPORAR",""))</f>
        <v/>
      </c>
    </row>
    <row r="4674" customFormat="false" ht="15" hidden="false" customHeight="false" outlineLevel="0" collapsed="false">
      <c r="A4674" s="16" t="s">
        <v>14707</v>
      </c>
      <c r="B4674" s="16" t="n">
        <v>4669</v>
      </c>
      <c r="C4674" s="16" t="s">
        <v>14708</v>
      </c>
      <c r="D4674" s="16" t="n">
        <v>8</v>
      </c>
      <c r="E4674" s="39" t="s">
        <v>14709</v>
      </c>
      <c r="F4674" s="16" t="s">
        <v>1285</v>
      </c>
      <c r="G4674" s="16" t="s">
        <v>1063</v>
      </c>
      <c r="H4674" s="16" t="s">
        <v>14297</v>
      </c>
      <c r="I4674" s="16" t="s">
        <v>136</v>
      </c>
      <c r="J4674" s="16" t="s">
        <v>14702</v>
      </c>
      <c r="K4674" s="32" t="n">
        <v>50</v>
      </c>
      <c r="L4674" s="33" t="n">
        <v>46541</v>
      </c>
      <c r="M4674" s="33" t="n">
        <v>46590</v>
      </c>
      <c r="N4674" s="16" t="s">
        <v>14652</v>
      </c>
      <c r="O4674" s="16" t="s">
        <v>1299</v>
      </c>
      <c r="P4674" s="16" t="str">
        <f aca="false">IF(AND(L4674&lt;=$D$2,M4674&gt;=$C$2),"Sí","")</f>
        <v/>
      </c>
      <c r="Q4674" s="18" t="str">
        <f aca="false">IF(COUNTIF(LOOKAHEAD!$A$5:$A$604,A4674)&gt;0,"En Lookahead",IF(P4674="Sí","INCORPORAR",""))</f>
        <v/>
      </c>
    </row>
    <row r="4675" customFormat="false" ht="15" hidden="false" customHeight="false" outlineLevel="0" collapsed="false">
      <c r="A4675" s="16" t="s">
        <v>14710</v>
      </c>
      <c r="B4675" s="16" t="n">
        <v>4670</v>
      </c>
      <c r="C4675" s="16" t="s">
        <v>14711</v>
      </c>
      <c r="D4675" s="16" t="n">
        <v>8</v>
      </c>
      <c r="E4675" s="39" t="s">
        <v>14392</v>
      </c>
      <c r="F4675" s="16" t="s">
        <v>1285</v>
      </c>
      <c r="G4675" s="16" t="s">
        <v>1063</v>
      </c>
      <c r="H4675" s="16" t="s">
        <v>14297</v>
      </c>
      <c r="I4675" s="16" t="s">
        <v>136</v>
      </c>
      <c r="J4675" s="16" t="s">
        <v>14702</v>
      </c>
      <c r="K4675" s="32" t="n">
        <v>50</v>
      </c>
      <c r="L4675" s="33" t="n">
        <v>46541</v>
      </c>
      <c r="M4675" s="33" t="n">
        <v>46590</v>
      </c>
      <c r="N4675" s="16" t="s">
        <v>14652</v>
      </c>
      <c r="O4675" s="16" t="s">
        <v>1299</v>
      </c>
      <c r="P4675" s="16" t="str">
        <f aca="false">IF(AND(L4675&lt;=$D$2,M4675&gt;=$C$2),"Sí","")</f>
        <v/>
      </c>
      <c r="Q4675" s="18" t="str">
        <f aca="false">IF(COUNTIF(LOOKAHEAD!$A$5:$A$604,A4675)&gt;0,"En Lookahead",IF(P4675="Sí","INCORPORAR",""))</f>
        <v/>
      </c>
    </row>
    <row r="4676" customFormat="false" ht="15" hidden="false" customHeight="false" outlineLevel="0" collapsed="false">
      <c r="A4676" s="16" t="s">
        <v>14712</v>
      </c>
      <c r="B4676" s="16" t="n">
        <v>4671</v>
      </c>
      <c r="C4676" s="16" t="s">
        <v>14713</v>
      </c>
      <c r="D4676" s="16" t="n">
        <v>8</v>
      </c>
      <c r="E4676" s="39" t="s">
        <v>14337</v>
      </c>
      <c r="F4676" s="16" t="s">
        <v>1285</v>
      </c>
      <c r="G4676" s="16" t="s">
        <v>1063</v>
      </c>
      <c r="H4676" s="16" t="s">
        <v>14297</v>
      </c>
      <c r="I4676" s="16" t="s">
        <v>136</v>
      </c>
      <c r="J4676" s="16" t="s">
        <v>14702</v>
      </c>
      <c r="K4676" s="32" t="n">
        <v>50</v>
      </c>
      <c r="L4676" s="33" t="n">
        <v>46541</v>
      </c>
      <c r="M4676" s="33" t="n">
        <v>46590</v>
      </c>
      <c r="N4676" s="16" t="s">
        <v>14652</v>
      </c>
      <c r="O4676" s="16" t="s">
        <v>1299</v>
      </c>
      <c r="P4676" s="16" t="str">
        <f aca="false">IF(AND(L4676&lt;=$D$2,M4676&gt;=$C$2),"Sí","")</f>
        <v/>
      </c>
      <c r="Q4676" s="18" t="str">
        <f aca="false">IF(COUNTIF(LOOKAHEAD!$A$5:$A$604,A4676)&gt;0,"En Lookahead",IF(P4676="Sí","INCORPORAR",""))</f>
        <v/>
      </c>
    </row>
    <row r="4677" customFormat="false" ht="15" hidden="false" customHeight="false" outlineLevel="0" collapsed="false">
      <c r="A4677" s="16" t="s">
        <v>14714</v>
      </c>
      <c r="B4677" s="16" t="n">
        <v>4672</v>
      </c>
      <c r="C4677" s="16" t="s">
        <v>14715</v>
      </c>
      <c r="D4677" s="16" t="n">
        <v>8</v>
      </c>
      <c r="E4677" s="39" t="s">
        <v>14316</v>
      </c>
      <c r="F4677" s="16" t="s">
        <v>1285</v>
      </c>
      <c r="G4677" s="16" t="s">
        <v>1063</v>
      </c>
      <c r="H4677" s="16" t="s">
        <v>14297</v>
      </c>
      <c r="I4677" s="16" t="s">
        <v>136</v>
      </c>
      <c r="J4677" s="16" t="s">
        <v>14702</v>
      </c>
      <c r="K4677" s="32" t="n">
        <v>50</v>
      </c>
      <c r="L4677" s="33" t="n">
        <v>46541</v>
      </c>
      <c r="M4677" s="33" t="n">
        <v>46590</v>
      </c>
      <c r="N4677" s="16" t="s">
        <v>14652</v>
      </c>
      <c r="O4677" s="16" t="s">
        <v>1299</v>
      </c>
      <c r="P4677" s="16" t="str">
        <f aca="false">IF(AND(L4677&lt;=$D$2,M4677&gt;=$C$2),"Sí","")</f>
        <v/>
      </c>
      <c r="Q4677" s="18" t="str">
        <f aca="false">IF(COUNTIF(LOOKAHEAD!$A$5:$A$604,A4677)&gt;0,"En Lookahead",IF(P4677="Sí","INCORPORAR",""))</f>
        <v/>
      </c>
    </row>
    <row r="4678" customFormat="false" ht="15" hidden="false" customHeight="false" outlineLevel="0" collapsed="false">
      <c r="A4678" s="16" t="s">
        <v>14716</v>
      </c>
      <c r="B4678" s="16" t="n">
        <v>4673</v>
      </c>
      <c r="C4678" s="16" t="s">
        <v>14717</v>
      </c>
      <c r="D4678" s="16" t="n">
        <v>8</v>
      </c>
      <c r="E4678" s="39" t="s">
        <v>14319</v>
      </c>
      <c r="F4678" s="16" t="s">
        <v>1285</v>
      </c>
      <c r="G4678" s="16" t="s">
        <v>1063</v>
      </c>
      <c r="H4678" s="16" t="s">
        <v>14297</v>
      </c>
      <c r="I4678" s="16" t="s">
        <v>136</v>
      </c>
      <c r="J4678" s="16" t="s">
        <v>14702</v>
      </c>
      <c r="K4678" s="32" t="n">
        <v>50</v>
      </c>
      <c r="L4678" s="33" t="n">
        <v>46541</v>
      </c>
      <c r="M4678" s="33" t="n">
        <v>46590</v>
      </c>
      <c r="N4678" s="16" t="s">
        <v>14652</v>
      </c>
      <c r="O4678" s="16" t="s">
        <v>1299</v>
      </c>
      <c r="P4678" s="16" t="str">
        <f aca="false">IF(AND(L4678&lt;=$D$2,M4678&gt;=$C$2),"Sí","")</f>
        <v/>
      </c>
      <c r="Q4678" s="18" t="str">
        <f aca="false">IF(COUNTIF(LOOKAHEAD!$A$5:$A$604,A4678)&gt;0,"En Lookahead",IF(P4678="Sí","INCORPORAR",""))</f>
        <v/>
      </c>
    </row>
    <row r="4679" customFormat="false" ht="15" hidden="false" customHeight="false" outlineLevel="0" collapsed="false">
      <c r="A4679" s="16" t="s">
        <v>14718</v>
      </c>
      <c r="B4679" s="16" t="n">
        <v>4674</v>
      </c>
      <c r="C4679" s="16" t="s">
        <v>14719</v>
      </c>
      <c r="D4679" s="16" t="n">
        <v>8</v>
      </c>
      <c r="E4679" s="39" t="s">
        <v>14322</v>
      </c>
      <c r="F4679" s="16" t="s">
        <v>1285</v>
      </c>
      <c r="G4679" s="16" t="s">
        <v>1063</v>
      </c>
      <c r="H4679" s="16" t="s">
        <v>14297</v>
      </c>
      <c r="I4679" s="16" t="s">
        <v>136</v>
      </c>
      <c r="J4679" s="16" t="s">
        <v>14702</v>
      </c>
      <c r="K4679" s="32" t="n">
        <v>50</v>
      </c>
      <c r="L4679" s="33" t="n">
        <v>46541</v>
      </c>
      <c r="M4679" s="33" t="n">
        <v>46590</v>
      </c>
      <c r="N4679" s="16" t="s">
        <v>14652</v>
      </c>
      <c r="O4679" s="16" t="s">
        <v>1299</v>
      </c>
      <c r="P4679" s="16" t="str">
        <f aca="false">IF(AND(L4679&lt;=$D$2,M4679&gt;=$C$2),"Sí","")</f>
        <v/>
      </c>
      <c r="Q4679" s="18" t="str">
        <f aca="false">IF(COUNTIF(LOOKAHEAD!$A$5:$A$604,A4679)&gt;0,"En Lookahead",IF(P4679="Sí","INCORPORAR",""))</f>
        <v/>
      </c>
    </row>
    <row r="4680" customFormat="false" ht="15" hidden="false" customHeight="false" outlineLevel="0" collapsed="false">
      <c r="A4680" s="16" t="s">
        <v>14720</v>
      </c>
      <c r="B4680" s="16" t="n">
        <v>4675</v>
      </c>
      <c r="C4680" s="16" t="s">
        <v>14721</v>
      </c>
      <c r="D4680" s="16" t="n">
        <v>8</v>
      </c>
      <c r="E4680" s="39" t="s">
        <v>14325</v>
      </c>
      <c r="F4680" s="16" t="s">
        <v>1285</v>
      </c>
      <c r="G4680" s="16" t="s">
        <v>1063</v>
      </c>
      <c r="H4680" s="16" t="s">
        <v>14297</v>
      </c>
      <c r="I4680" s="16" t="s">
        <v>136</v>
      </c>
      <c r="J4680" s="16" t="s">
        <v>14702</v>
      </c>
      <c r="K4680" s="32" t="n">
        <v>50</v>
      </c>
      <c r="L4680" s="33" t="n">
        <v>46541</v>
      </c>
      <c r="M4680" s="33" t="n">
        <v>46590</v>
      </c>
      <c r="N4680" s="16" t="s">
        <v>14652</v>
      </c>
      <c r="O4680" s="16" t="s">
        <v>1299</v>
      </c>
      <c r="P4680" s="16" t="str">
        <f aca="false">IF(AND(L4680&lt;=$D$2,M4680&gt;=$C$2),"Sí","")</f>
        <v/>
      </c>
      <c r="Q4680" s="18" t="str">
        <f aca="false">IF(COUNTIF(LOOKAHEAD!$A$5:$A$604,A4680)&gt;0,"En Lookahead",IF(P4680="Sí","INCORPORAR",""))</f>
        <v/>
      </c>
    </row>
    <row r="4681" customFormat="false" ht="15" hidden="false" customHeight="false" outlineLevel="0" collapsed="false">
      <c r="A4681" s="16" t="s">
        <v>14722</v>
      </c>
      <c r="B4681" s="16" t="n">
        <v>4676</v>
      </c>
      <c r="C4681" s="16" t="s">
        <v>14723</v>
      </c>
      <c r="D4681" s="16" t="n">
        <v>8</v>
      </c>
      <c r="E4681" s="39" t="s">
        <v>14671</v>
      </c>
      <c r="F4681" s="16" t="s">
        <v>1285</v>
      </c>
      <c r="G4681" s="16" t="s">
        <v>1063</v>
      </c>
      <c r="H4681" s="16" t="s">
        <v>14297</v>
      </c>
      <c r="I4681" s="16" t="s">
        <v>136</v>
      </c>
      <c r="J4681" s="16" t="s">
        <v>14702</v>
      </c>
      <c r="K4681" s="32" t="n">
        <v>50</v>
      </c>
      <c r="L4681" s="33" t="n">
        <v>46541</v>
      </c>
      <c r="M4681" s="33" t="n">
        <v>46590</v>
      </c>
      <c r="N4681" s="16" t="s">
        <v>14652</v>
      </c>
      <c r="O4681" s="16" t="s">
        <v>1299</v>
      </c>
      <c r="P4681" s="16" t="str">
        <f aca="false">IF(AND(L4681&lt;=$D$2,M4681&gt;=$C$2),"Sí","")</f>
        <v/>
      </c>
      <c r="Q4681" s="18" t="str">
        <f aca="false">IF(COUNTIF(LOOKAHEAD!$A$5:$A$604,A4681)&gt;0,"En Lookahead",IF(P4681="Sí","INCORPORAR",""))</f>
        <v/>
      </c>
    </row>
    <row r="4682" customFormat="false" ht="15" hidden="false" customHeight="false" outlineLevel="0" collapsed="false">
      <c r="A4682" s="16" t="s">
        <v>14724</v>
      </c>
      <c r="B4682" s="16" t="n">
        <v>4677</v>
      </c>
      <c r="C4682" s="16" t="s">
        <v>14725</v>
      </c>
      <c r="D4682" s="16" t="n">
        <v>8</v>
      </c>
      <c r="E4682" s="39" t="s">
        <v>14378</v>
      </c>
      <c r="F4682" s="16" t="s">
        <v>1285</v>
      </c>
      <c r="G4682" s="16" t="s">
        <v>1063</v>
      </c>
      <c r="H4682" s="16" t="s">
        <v>14297</v>
      </c>
      <c r="I4682" s="16" t="s">
        <v>136</v>
      </c>
      <c r="J4682" s="16" t="s">
        <v>14702</v>
      </c>
      <c r="K4682" s="32" t="n">
        <v>50</v>
      </c>
      <c r="L4682" s="33" t="n">
        <v>46541</v>
      </c>
      <c r="M4682" s="33" t="n">
        <v>46590</v>
      </c>
      <c r="N4682" s="16" t="s">
        <v>14652</v>
      </c>
      <c r="O4682" s="16" t="s">
        <v>1299</v>
      </c>
      <c r="P4682" s="16" t="str">
        <f aca="false">IF(AND(L4682&lt;=$D$2,M4682&gt;=$C$2),"Sí","")</f>
        <v/>
      </c>
      <c r="Q4682" s="18" t="str">
        <f aca="false">IF(COUNTIF(LOOKAHEAD!$A$5:$A$604,A4682)&gt;0,"En Lookahead",IF(P4682="Sí","INCORPORAR",""))</f>
        <v/>
      </c>
    </row>
    <row r="4683" customFormat="false" ht="15" hidden="false" customHeight="false" outlineLevel="0" collapsed="false">
      <c r="A4683" s="16" t="s">
        <v>14726</v>
      </c>
      <c r="B4683" s="16" t="n">
        <v>4678</v>
      </c>
      <c r="C4683" s="16" t="s">
        <v>14727</v>
      </c>
      <c r="D4683" s="16" t="n">
        <v>8</v>
      </c>
      <c r="E4683" s="39" t="s">
        <v>14629</v>
      </c>
      <c r="F4683" s="16" t="s">
        <v>1285</v>
      </c>
      <c r="G4683" s="16" t="s">
        <v>1063</v>
      </c>
      <c r="H4683" s="16" t="s">
        <v>14297</v>
      </c>
      <c r="I4683" s="16" t="s">
        <v>136</v>
      </c>
      <c r="J4683" s="16" t="s">
        <v>14702</v>
      </c>
      <c r="K4683" s="32" t="n">
        <v>50</v>
      </c>
      <c r="L4683" s="33" t="n">
        <v>46541</v>
      </c>
      <c r="M4683" s="33" t="n">
        <v>46590</v>
      </c>
      <c r="N4683" s="16" t="s">
        <v>14652</v>
      </c>
      <c r="O4683" s="16" t="s">
        <v>1299</v>
      </c>
      <c r="P4683" s="16" t="str">
        <f aca="false">IF(AND(L4683&lt;=$D$2,M4683&gt;=$C$2),"Sí","")</f>
        <v/>
      </c>
      <c r="Q4683" s="18" t="str">
        <f aca="false">IF(COUNTIF(LOOKAHEAD!$A$5:$A$604,A4683)&gt;0,"En Lookahead",IF(P4683="Sí","INCORPORAR",""))</f>
        <v/>
      </c>
    </row>
    <row r="4684" customFormat="false" ht="15" hidden="false" customHeight="false" outlineLevel="0" collapsed="false">
      <c r="A4684" s="16" t="s">
        <v>14728</v>
      </c>
      <c r="B4684" s="16" t="n">
        <v>4679</v>
      </c>
      <c r="C4684" s="16" t="s">
        <v>14729</v>
      </c>
      <c r="D4684" s="16" t="n">
        <v>8</v>
      </c>
      <c r="E4684" s="39" t="s">
        <v>14730</v>
      </c>
      <c r="F4684" s="16" t="s">
        <v>1285</v>
      </c>
      <c r="G4684" s="16" t="s">
        <v>1063</v>
      </c>
      <c r="H4684" s="16" t="s">
        <v>14297</v>
      </c>
      <c r="I4684" s="16" t="s">
        <v>136</v>
      </c>
      <c r="J4684" s="16" t="s">
        <v>14702</v>
      </c>
      <c r="K4684" s="32" t="n">
        <v>50</v>
      </c>
      <c r="L4684" s="33" t="n">
        <v>46541</v>
      </c>
      <c r="M4684" s="33" t="n">
        <v>46590</v>
      </c>
      <c r="N4684" s="16" t="s">
        <v>14652</v>
      </c>
      <c r="O4684" s="16" t="s">
        <v>1299</v>
      </c>
      <c r="P4684" s="16" t="str">
        <f aca="false">IF(AND(L4684&lt;=$D$2,M4684&gt;=$C$2),"Sí","")</f>
        <v/>
      </c>
      <c r="Q4684" s="18" t="str">
        <f aca="false">IF(COUNTIF(LOOKAHEAD!$A$5:$A$604,A4684)&gt;0,"En Lookahead",IF(P4684="Sí","INCORPORAR",""))</f>
        <v/>
      </c>
    </row>
    <row r="4685" customFormat="false" ht="15" hidden="false" customHeight="false" outlineLevel="0" collapsed="false">
      <c r="A4685" s="16" t="s">
        <v>14731</v>
      </c>
      <c r="B4685" s="16" t="n">
        <v>4680</v>
      </c>
      <c r="C4685" s="16" t="s">
        <v>14732</v>
      </c>
      <c r="D4685" s="16" t="n">
        <v>8</v>
      </c>
      <c r="E4685" s="39" t="s">
        <v>14381</v>
      </c>
      <c r="F4685" s="16" t="s">
        <v>1285</v>
      </c>
      <c r="G4685" s="16" t="s">
        <v>1063</v>
      </c>
      <c r="H4685" s="16" t="s">
        <v>14297</v>
      </c>
      <c r="I4685" s="16" t="s">
        <v>136</v>
      </c>
      <c r="J4685" s="16" t="s">
        <v>14702</v>
      </c>
      <c r="K4685" s="32" t="n">
        <v>50</v>
      </c>
      <c r="L4685" s="33" t="n">
        <v>46541</v>
      </c>
      <c r="M4685" s="33" t="n">
        <v>46590</v>
      </c>
      <c r="N4685" s="16" t="s">
        <v>14652</v>
      </c>
      <c r="O4685" s="16" t="s">
        <v>1299</v>
      </c>
      <c r="P4685" s="16" t="str">
        <f aca="false">IF(AND(L4685&lt;=$D$2,M4685&gt;=$C$2),"Sí","")</f>
        <v/>
      </c>
      <c r="Q4685" s="18" t="str">
        <f aca="false">IF(COUNTIF(LOOKAHEAD!$A$5:$A$604,A4685)&gt;0,"En Lookahead",IF(P4685="Sí","INCORPORAR",""))</f>
        <v/>
      </c>
    </row>
    <row r="4686" customFormat="false" ht="15" hidden="false" customHeight="false" outlineLevel="0" collapsed="false">
      <c r="A4686" s="16" t="s">
        <v>14733</v>
      </c>
      <c r="B4686" s="16" t="n">
        <v>4681</v>
      </c>
      <c r="C4686" s="16" t="s">
        <v>14734</v>
      </c>
      <c r="D4686" s="16" t="n">
        <v>8</v>
      </c>
      <c r="E4686" s="39" t="s">
        <v>14500</v>
      </c>
      <c r="F4686" s="16" t="s">
        <v>1285</v>
      </c>
      <c r="G4686" s="16" t="s">
        <v>1063</v>
      </c>
      <c r="H4686" s="16" t="s">
        <v>14297</v>
      </c>
      <c r="I4686" s="16" t="s">
        <v>136</v>
      </c>
      <c r="J4686" s="16" t="s">
        <v>14702</v>
      </c>
      <c r="K4686" s="32" t="n">
        <v>50</v>
      </c>
      <c r="L4686" s="33" t="n">
        <v>46541</v>
      </c>
      <c r="M4686" s="33" t="n">
        <v>46590</v>
      </c>
      <c r="N4686" s="16" t="s">
        <v>14652</v>
      </c>
      <c r="O4686" s="16" t="s">
        <v>1299</v>
      </c>
      <c r="P4686" s="16" t="str">
        <f aca="false">IF(AND(L4686&lt;=$D$2,M4686&gt;=$C$2),"Sí","")</f>
        <v/>
      </c>
      <c r="Q4686" s="18" t="str">
        <f aca="false">IF(COUNTIF(LOOKAHEAD!$A$5:$A$604,A4686)&gt;0,"En Lookahead",IF(P4686="Sí","INCORPORAR",""))</f>
        <v/>
      </c>
    </row>
    <row r="4687" customFormat="false" ht="15" hidden="false" customHeight="false" outlineLevel="0" collapsed="false">
      <c r="A4687" s="13" t="s">
        <v>14735</v>
      </c>
      <c r="B4687" s="13" t="n">
        <v>4682</v>
      </c>
      <c r="C4687" s="13" t="s">
        <v>14736</v>
      </c>
      <c r="D4687" s="13" t="n">
        <v>7</v>
      </c>
      <c r="E4687" s="38" t="s">
        <v>14509</v>
      </c>
      <c r="F4687" s="13" t="s">
        <v>1298</v>
      </c>
      <c r="G4687" s="13" t="s">
        <v>1063</v>
      </c>
      <c r="H4687" s="13" t="s">
        <v>14297</v>
      </c>
      <c r="I4687" s="13" t="s">
        <v>136</v>
      </c>
      <c r="J4687" s="13" t="s">
        <v>14302</v>
      </c>
      <c r="K4687" s="30" t="n">
        <v>50</v>
      </c>
      <c r="L4687" s="31" t="n">
        <v>46541</v>
      </c>
      <c r="M4687" s="31" t="n">
        <v>46590</v>
      </c>
      <c r="N4687" s="13"/>
      <c r="O4687" s="13" t="s">
        <v>1299</v>
      </c>
      <c r="P4687" s="13"/>
      <c r="Q4687" s="13"/>
    </row>
    <row r="4688" customFormat="false" ht="15" hidden="false" customHeight="false" outlineLevel="0" collapsed="false">
      <c r="A4688" s="16" t="s">
        <v>14737</v>
      </c>
      <c r="B4688" s="16" t="n">
        <v>4683</v>
      </c>
      <c r="C4688" s="16" t="s">
        <v>14738</v>
      </c>
      <c r="D4688" s="16" t="n">
        <v>8</v>
      </c>
      <c r="E4688" s="39" t="s">
        <v>14512</v>
      </c>
      <c r="F4688" s="16" t="s">
        <v>1285</v>
      </c>
      <c r="G4688" s="16" t="s">
        <v>1063</v>
      </c>
      <c r="H4688" s="16" t="s">
        <v>14297</v>
      </c>
      <c r="I4688" s="16" t="s">
        <v>136</v>
      </c>
      <c r="J4688" s="16" t="s">
        <v>14509</v>
      </c>
      <c r="K4688" s="32" t="n">
        <v>50</v>
      </c>
      <c r="L4688" s="33" t="n">
        <v>46541</v>
      </c>
      <c r="M4688" s="33" t="n">
        <v>46590</v>
      </c>
      <c r="N4688" s="16" t="s">
        <v>14652</v>
      </c>
      <c r="O4688" s="16" t="s">
        <v>1299</v>
      </c>
      <c r="P4688" s="16" t="str">
        <f aca="false">IF(AND(L4688&lt;=$D$2,M4688&gt;=$C$2),"Sí","")</f>
        <v/>
      </c>
      <c r="Q4688" s="18" t="str">
        <f aca="false">IF(COUNTIF(LOOKAHEAD!$A$5:$A$604,A4688)&gt;0,"En Lookahead",IF(P4688="Sí","INCORPORAR",""))</f>
        <v/>
      </c>
    </row>
    <row r="4689" customFormat="false" ht="15" hidden="false" customHeight="false" outlineLevel="0" collapsed="false">
      <c r="A4689" s="13" t="s">
        <v>14739</v>
      </c>
      <c r="B4689" s="13" t="n">
        <v>4684</v>
      </c>
      <c r="C4689" s="13" t="s">
        <v>14740</v>
      </c>
      <c r="D4689" s="13" t="n">
        <v>7</v>
      </c>
      <c r="E4689" s="38" t="s">
        <v>14741</v>
      </c>
      <c r="F4689" s="13" t="s">
        <v>1298</v>
      </c>
      <c r="G4689" s="13" t="s">
        <v>1063</v>
      </c>
      <c r="H4689" s="13" t="s">
        <v>14297</v>
      </c>
      <c r="I4689" s="13" t="s">
        <v>136</v>
      </c>
      <c r="J4689" s="13" t="s">
        <v>14302</v>
      </c>
      <c r="K4689" s="30" t="n">
        <v>50</v>
      </c>
      <c r="L4689" s="31" t="n">
        <v>46541</v>
      </c>
      <c r="M4689" s="31" t="n">
        <v>46590</v>
      </c>
      <c r="N4689" s="13"/>
      <c r="O4689" s="13" t="s">
        <v>1299</v>
      </c>
      <c r="P4689" s="13"/>
      <c r="Q4689" s="13"/>
    </row>
    <row r="4690" customFormat="false" ht="15" hidden="false" customHeight="false" outlineLevel="0" collapsed="false">
      <c r="A4690" s="16" t="s">
        <v>14742</v>
      </c>
      <c r="B4690" s="16" t="n">
        <v>4685</v>
      </c>
      <c r="C4690" s="16" t="s">
        <v>14743</v>
      </c>
      <c r="D4690" s="16" t="n">
        <v>8</v>
      </c>
      <c r="E4690" s="39" t="s">
        <v>14308</v>
      </c>
      <c r="F4690" s="16" t="s">
        <v>1285</v>
      </c>
      <c r="G4690" s="16" t="s">
        <v>1063</v>
      </c>
      <c r="H4690" s="16" t="s">
        <v>14297</v>
      </c>
      <c r="I4690" s="16" t="s">
        <v>136</v>
      </c>
      <c r="J4690" s="16" t="s">
        <v>14741</v>
      </c>
      <c r="K4690" s="32" t="n">
        <v>50</v>
      </c>
      <c r="L4690" s="33" t="n">
        <v>46541</v>
      </c>
      <c r="M4690" s="33" t="n">
        <v>46590</v>
      </c>
      <c r="N4690" s="16" t="s">
        <v>14652</v>
      </c>
      <c r="O4690" s="16" t="s">
        <v>1299</v>
      </c>
      <c r="P4690" s="16" t="str">
        <f aca="false">IF(AND(L4690&lt;=$D$2,M4690&gt;=$C$2),"Sí","")</f>
        <v/>
      </c>
      <c r="Q4690" s="18" t="str">
        <f aca="false">IF(COUNTIF(LOOKAHEAD!$A$5:$A$604,A4690)&gt;0,"En Lookahead",IF(P4690="Sí","INCORPORAR",""))</f>
        <v/>
      </c>
    </row>
    <row r="4691" customFormat="false" ht="15" hidden="false" customHeight="false" outlineLevel="0" collapsed="false">
      <c r="A4691" s="16" t="s">
        <v>14744</v>
      </c>
      <c r="B4691" s="16" t="n">
        <v>4686</v>
      </c>
      <c r="C4691" s="16" t="s">
        <v>14745</v>
      </c>
      <c r="D4691" s="16" t="n">
        <v>8</v>
      </c>
      <c r="E4691" s="39" t="s">
        <v>14518</v>
      </c>
      <c r="F4691" s="16" t="s">
        <v>1285</v>
      </c>
      <c r="G4691" s="16" t="s">
        <v>1063</v>
      </c>
      <c r="H4691" s="16" t="s">
        <v>14297</v>
      </c>
      <c r="I4691" s="16" t="s">
        <v>136</v>
      </c>
      <c r="J4691" s="16" t="s">
        <v>14741</v>
      </c>
      <c r="K4691" s="32" t="n">
        <v>50</v>
      </c>
      <c r="L4691" s="33" t="n">
        <v>46541</v>
      </c>
      <c r="M4691" s="33" t="n">
        <v>46590</v>
      </c>
      <c r="N4691" s="16" t="s">
        <v>14652</v>
      </c>
      <c r="O4691" s="16" t="s">
        <v>1299</v>
      </c>
      <c r="P4691" s="16" t="str">
        <f aca="false">IF(AND(L4691&lt;=$D$2,M4691&gt;=$C$2),"Sí","")</f>
        <v/>
      </c>
      <c r="Q4691" s="18" t="str">
        <f aca="false">IF(COUNTIF(LOOKAHEAD!$A$5:$A$604,A4691)&gt;0,"En Lookahead",IF(P4691="Sí","INCORPORAR",""))</f>
        <v/>
      </c>
    </row>
    <row r="4692" customFormat="false" ht="15" hidden="false" customHeight="false" outlineLevel="0" collapsed="false">
      <c r="A4692" s="16" t="s">
        <v>14746</v>
      </c>
      <c r="B4692" s="16" t="n">
        <v>4687</v>
      </c>
      <c r="C4692" s="16" t="s">
        <v>14747</v>
      </c>
      <c r="D4692" s="16" t="n">
        <v>8</v>
      </c>
      <c r="E4692" s="39" t="s">
        <v>14709</v>
      </c>
      <c r="F4692" s="16" t="s">
        <v>1285</v>
      </c>
      <c r="G4692" s="16" t="s">
        <v>1063</v>
      </c>
      <c r="H4692" s="16" t="s">
        <v>14297</v>
      </c>
      <c r="I4692" s="16" t="s">
        <v>136</v>
      </c>
      <c r="J4692" s="16" t="s">
        <v>14741</v>
      </c>
      <c r="K4692" s="32" t="n">
        <v>50</v>
      </c>
      <c r="L4692" s="33" t="n">
        <v>46541</v>
      </c>
      <c r="M4692" s="33" t="n">
        <v>46590</v>
      </c>
      <c r="N4692" s="16" t="s">
        <v>14652</v>
      </c>
      <c r="O4692" s="16" t="s">
        <v>1299</v>
      </c>
      <c r="P4692" s="16" t="str">
        <f aca="false">IF(AND(L4692&lt;=$D$2,M4692&gt;=$C$2),"Sí","")</f>
        <v/>
      </c>
      <c r="Q4692" s="18" t="str">
        <f aca="false">IF(COUNTIF(LOOKAHEAD!$A$5:$A$604,A4692)&gt;0,"En Lookahead",IF(P4692="Sí","INCORPORAR",""))</f>
        <v/>
      </c>
    </row>
    <row r="4693" customFormat="false" ht="15" hidden="false" customHeight="false" outlineLevel="0" collapsed="false">
      <c r="A4693" s="16" t="s">
        <v>14748</v>
      </c>
      <c r="B4693" s="16" t="n">
        <v>4688</v>
      </c>
      <c r="C4693" s="16" t="s">
        <v>14749</v>
      </c>
      <c r="D4693" s="16" t="n">
        <v>8</v>
      </c>
      <c r="E4693" s="39" t="s">
        <v>14392</v>
      </c>
      <c r="F4693" s="16" t="s">
        <v>1285</v>
      </c>
      <c r="G4693" s="16" t="s">
        <v>1063</v>
      </c>
      <c r="H4693" s="16" t="s">
        <v>14297</v>
      </c>
      <c r="I4693" s="16" t="s">
        <v>136</v>
      </c>
      <c r="J4693" s="16" t="s">
        <v>14741</v>
      </c>
      <c r="K4693" s="32" t="n">
        <v>50</v>
      </c>
      <c r="L4693" s="33" t="n">
        <v>46541</v>
      </c>
      <c r="M4693" s="33" t="n">
        <v>46590</v>
      </c>
      <c r="N4693" s="16" t="s">
        <v>14652</v>
      </c>
      <c r="O4693" s="16" t="s">
        <v>1299</v>
      </c>
      <c r="P4693" s="16" t="str">
        <f aca="false">IF(AND(L4693&lt;=$D$2,M4693&gt;=$C$2),"Sí","")</f>
        <v/>
      </c>
      <c r="Q4693" s="18" t="str">
        <f aca="false">IF(COUNTIF(LOOKAHEAD!$A$5:$A$604,A4693)&gt;0,"En Lookahead",IF(P4693="Sí","INCORPORAR",""))</f>
        <v/>
      </c>
    </row>
    <row r="4694" customFormat="false" ht="15" hidden="false" customHeight="false" outlineLevel="0" collapsed="false">
      <c r="A4694" s="16" t="s">
        <v>14750</v>
      </c>
      <c r="B4694" s="16" t="n">
        <v>4689</v>
      </c>
      <c r="C4694" s="16" t="s">
        <v>14751</v>
      </c>
      <c r="D4694" s="16" t="n">
        <v>8</v>
      </c>
      <c r="E4694" s="39" t="s">
        <v>14337</v>
      </c>
      <c r="F4694" s="16" t="s">
        <v>1285</v>
      </c>
      <c r="G4694" s="16" t="s">
        <v>1063</v>
      </c>
      <c r="H4694" s="16" t="s">
        <v>14297</v>
      </c>
      <c r="I4694" s="16" t="s">
        <v>136</v>
      </c>
      <c r="J4694" s="16" t="s">
        <v>14741</v>
      </c>
      <c r="K4694" s="32" t="n">
        <v>50</v>
      </c>
      <c r="L4694" s="33" t="n">
        <v>46541</v>
      </c>
      <c r="M4694" s="33" t="n">
        <v>46590</v>
      </c>
      <c r="N4694" s="16" t="s">
        <v>14652</v>
      </c>
      <c r="O4694" s="16" t="s">
        <v>1299</v>
      </c>
      <c r="P4694" s="16" t="str">
        <f aca="false">IF(AND(L4694&lt;=$D$2,M4694&gt;=$C$2),"Sí","")</f>
        <v/>
      </c>
      <c r="Q4694" s="18" t="str">
        <f aca="false">IF(COUNTIF(LOOKAHEAD!$A$5:$A$604,A4694)&gt;0,"En Lookahead",IF(P4694="Sí","INCORPORAR",""))</f>
        <v/>
      </c>
    </row>
    <row r="4695" customFormat="false" ht="15" hidden="false" customHeight="false" outlineLevel="0" collapsed="false">
      <c r="A4695" s="16" t="s">
        <v>14752</v>
      </c>
      <c r="B4695" s="16" t="n">
        <v>4690</v>
      </c>
      <c r="C4695" s="16" t="s">
        <v>14753</v>
      </c>
      <c r="D4695" s="16" t="n">
        <v>8</v>
      </c>
      <c r="E4695" s="39" t="s">
        <v>14484</v>
      </c>
      <c r="F4695" s="16" t="s">
        <v>1285</v>
      </c>
      <c r="G4695" s="16" t="s">
        <v>1063</v>
      </c>
      <c r="H4695" s="16" t="s">
        <v>14297</v>
      </c>
      <c r="I4695" s="16" t="s">
        <v>136</v>
      </c>
      <c r="J4695" s="16" t="s">
        <v>14741</v>
      </c>
      <c r="K4695" s="32" t="n">
        <v>50</v>
      </c>
      <c r="L4695" s="33" t="n">
        <v>46541</v>
      </c>
      <c r="M4695" s="33" t="n">
        <v>46590</v>
      </c>
      <c r="N4695" s="16" t="s">
        <v>14652</v>
      </c>
      <c r="O4695" s="16" t="s">
        <v>1299</v>
      </c>
      <c r="P4695" s="16" t="str">
        <f aca="false">IF(AND(L4695&lt;=$D$2,M4695&gt;=$C$2),"Sí","")</f>
        <v/>
      </c>
      <c r="Q4695" s="18" t="str">
        <f aca="false">IF(COUNTIF(LOOKAHEAD!$A$5:$A$604,A4695)&gt;0,"En Lookahead",IF(P4695="Sí","INCORPORAR",""))</f>
        <v/>
      </c>
    </row>
    <row r="4696" customFormat="false" ht="15" hidden="false" customHeight="false" outlineLevel="0" collapsed="false">
      <c r="A4696" s="16" t="s">
        <v>14754</v>
      </c>
      <c r="B4696" s="16" t="n">
        <v>4691</v>
      </c>
      <c r="C4696" s="16" t="s">
        <v>14755</v>
      </c>
      <c r="D4696" s="16" t="n">
        <v>8</v>
      </c>
      <c r="E4696" s="39" t="s">
        <v>14316</v>
      </c>
      <c r="F4696" s="16" t="s">
        <v>1285</v>
      </c>
      <c r="G4696" s="16" t="s">
        <v>1063</v>
      </c>
      <c r="H4696" s="16" t="s">
        <v>14297</v>
      </c>
      <c r="I4696" s="16" t="s">
        <v>136</v>
      </c>
      <c r="J4696" s="16" t="s">
        <v>14741</v>
      </c>
      <c r="K4696" s="32" t="n">
        <v>50</v>
      </c>
      <c r="L4696" s="33" t="n">
        <v>46541</v>
      </c>
      <c r="M4696" s="33" t="n">
        <v>46590</v>
      </c>
      <c r="N4696" s="16" t="s">
        <v>14652</v>
      </c>
      <c r="O4696" s="16" t="s">
        <v>1299</v>
      </c>
      <c r="P4696" s="16" t="str">
        <f aca="false">IF(AND(L4696&lt;=$D$2,M4696&gt;=$C$2),"Sí","")</f>
        <v/>
      </c>
      <c r="Q4696" s="18" t="str">
        <f aca="false">IF(COUNTIF(LOOKAHEAD!$A$5:$A$604,A4696)&gt;0,"En Lookahead",IF(P4696="Sí","INCORPORAR",""))</f>
        <v/>
      </c>
    </row>
    <row r="4697" customFormat="false" ht="15" hidden="false" customHeight="false" outlineLevel="0" collapsed="false">
      <c r="A4697" s="16" t="s">
        <v>14756</v>
      </c>
      <c r="B4697" s="16" t="n">
        <v>4692</v>
      </c>
      <c r="C4697" s="16" t="s">
        <v>14757</v>
      </c>
      <c r="D4697" s="16" t="n">
        <v>8</v>
      </c>
      <c r="E4697" s="39" t="s">
        <v>14319</v>
      </c>
      <c r="F4697" s="16" t="s">
        <v>1285</v>
      </c>
      <c r="G4697" s="16" t="s">
        <v>1063</v>
      </c>
      <c r="H4697" s="16" t="s">
        <v>14297</v>
      </c>
      <c r="I4697" s="16" t="s">
        <v>136</v>
      </c>
      <c r="J4697" s="16" t="s">
        <v>14741</v>
      </c>
      <c r="K4697" s="32" t="n">
        <v>50</v>
      </c>
      <c r="L4697" s="33" t="n">
        <v>46541</v>
      </c>
      <c r="M4697" s="33" t="n">
        <v>46590</v>
      </c>
      <c r="N4697" s="16" t="s">
        <v>14652</v>
      </c>
      <c r="O4697" s="16" t="s">
        <v>1299</v>
      </c>
      <c r="P4697" s="16" t="str">
        <f aca="false">IF(AND(L4697&lt;=$D$2,M4697&gt;=$C$2),"Sí","")</f>
        <v/>
      </c>
      <c r="Q4697" s="18" t="str">
        <f aca="false">IF(COUNTIF(LOOKAHEAD!$A$5:$A$604,A4697)&gt;0,"En Lookahead",IF(P4697="Sí","INCORPORAR",""))</f>
        <v/>
      </c>
    </row>
    <row r="4698" customFormat="false" ht="15" hidden="false" customHeight="false" outlineLevel="0" collapsed="false">
      <c r="A4698" s="16" t="s">
        <v>14758</v>
      </c>
      <c r="B4698" s="16" t="n">
        <v>4693</v>
      </c>
      <c r="C4698" s="16" t="s">
        <v>14759</v>
      </c>
      <c r="D4698" s="16" t="n">
        <v>8</v>
      </c>
      <c r="E4698" s="39" t="s">
        <v>14322</v>
      </c>
      <c r="F4698" s="16" t="s">
        <v>1285</v>
      </c>
      <c r="G4698" s="16" t="s">
        <v>1063</v>
      </c>
      <c r="H4698" s="16" t="s">
        <v>14297</v>
      </c>
      <c r="I4698" s="16" t="s">
        <v>136</v>
      </c>
      <c r="J4698" s="16" t="s">
        <v>14741</v>
      </c>
      <c r="K4698" s="32" t="n">
        <v>50</v>
      </c>
      <c r="L4698" s="33" t="n">
        <v>46541</v>
      </c>
      <c r="M4698" s="33" t="n">
        <v>46590</v>
      </c>
      <c r="N4698" s="16" t="s">
        <v>14652</v>
      </c>
      <c r="O4698" s="16" t="s">
        <v>1299</v>
      </c>
      <c r="P4698" s="16" t="str">
        <f aca="false">IF(AND(L4698&lt;=$D$2,M4698&gt;=$C$2),"Sí","")</f>
        <v/>
      </c>
      <c r="Q4698" s="18" t="str">
        <f aca="false">IF(COUNTIF(LOOKAHEAD!$A$5:$A$604,A4698)&gt;0,"En Lookahead",IF(P4698="Sí","INCORPORAR",""))</f>
        <v/>
      </c>
    </row>
    <row r="4699" customFormat="false" ht="15" hidden="false" customHeight="false" outlineLevel="0" collapsed="false">
      <c r="A4699" s="16" t="s">
        <v>14760</v>
      </c>
      <c r="B4699" s="16" t="n">
        <v>4694</v>
      </c>
      <c r="C4699" s="16" t="s">
        <v>14761</v>
      </c>
      <c r="D4699" s="16" t="n">
        <v>8</v>
      </c>
      <c r="E4699" s="39" t="s">
        <v>14325</v>
      </c>
      <c r="F4699" s="16" t="s">
        <v>1285</v>
      </c>
      <c r="G4699" s="16" t="s">
        <v>1063</v>
      </c>
      <c r="H4699" s="16" t="s">
        <v>14297</v>
      </c>
      <c r="I4699" s="16" t="s">
        <v>136</v>
      </c>
      <c r="J4699" s="16" t="s">
        <v>14741</v>
      </c>
      <c r="K4699" s="32" t="n">
        <v>50</v>
      </c>
      <c r="L4699" s="33" t="n">
        <v>46541</v>
      </c>
      <c r="M4699" s="33" t="n">
        <v>46590</v>
      </c>
      <c r="N4699" s="16" t="s">
        <v>14652</v>
      </c>
      <c r="O4699" s="16" t="s">
        <v>1299</v>
      </c>
      <c r="P4699" s="16" t="str">
        <f aca="false">IF(AND(L4699&lt;=$D$2,M4699&gt;=$C$2),"Sí","")</f>
        <v/>
      </c>
      <c r="Q4699" s="18" t="str">
        <f aca="false">IF(COUNTIF(LOOKAHEAD!$A$5:$A$604,A4699)&gt;0,"En Lookahead",IF(P4699="Sí","INCORPORAR",""))</f>
        <v/>
      </c>
    </row>
    <row r="4700" customFormat="false" ht="15" hidden="false" customHeight="false" outlineLevel="0" collapsed="false">
      <c r="A4700" s="16" t="s">
        <v>14762</v>
      </c>
      <c r="B4700" s="16" t="n">
        <v>4695</v>
      </c>
      <c r="C4700" s="16" t="s">
        <v>14763</v>
      </c>
      <c r="D4700" s="16" t="n">
        <v>8</v>
      </c>
      <c r="E4700" s="39" t="s">
        <v>14671</v>
      </c>
      <c r="F4700" s="16" t="s">
        <v>1285</v>
      </c>
      <c r="G4700" s="16" t="s">
        <v>1063</v>
      </c>
      <c r="H4700" s="16" t="s">
        <v>14297</v>
      </c>
      <c r="I4700" s="16" t="s">
        <v>136</v>
      </c>
      <c r="J4700" s="16" t="s">
        <v>14741</v>
      </c>
      <c r="K4700" s="32" t="n">
        <v>50</v>
      </c>
      <c r="L4700" s="33" t="n">
        <v>46541</v>
      </c>
      <c r="M4700" s="33" t="n">
        <v>46590</v>
      </c>
      <c r="N4700" s="16" t="s">
        <v>14652</v>
      </c>
      <c r="O4700" s="16" t="s">
        <v>1299</v>
      </c>
      <c r="P4700" s="16" t="str">
        <f aca="false">IF(AND(L4700&lt;=$D$2,M4700&gt;=$C$2),"Sí","")</f>
        <v/>
      </c>
      <c r="Q4700" s="18" t="str">
        <f aca="false">IF(COUNTIF(LOOKAHEAD!$A$5:$A$604,A4700)&gt;0,"En Lookahead",IF(P4700="Sí","INCORPORAR",""))</f>
        <v/>
      </c>
    </row>
    <row r="4701" customFormat="false" ht="15" hidden="false" customHeight="false" outlineLevel="0" collapsed="false">
      <c r="A4701" s="16" t="s">
        <v>14764</v>
      </c>
      <c r="B4701" s="16" t="n">
        <v>4696</v>
      </c>
      <c r="C4701" s="16" t="s">
        <v>14765</v>
      </c>
      <c r="D4701" s="16" t="n">
        <v>8</v>
      </c>
      <c r="E4701" s="39" t="s">
        <v>14381</v>
      </c>
      <c r="F4701" s="16" t="s">
        <v>1285</v>
      </c>
      <c r="G4701" s="16" t="s">
        <v>1063</v>
      </c>
      <c r="H4701" s="16" t="s">
        <v>14297</v>
      </c>
      <c r="I4701" s="16" t="s">
        <v>136</v>
      </c>
      <c r="J4701" s="16" t="s">
        <v>14741</v>
      </c>
      <c r="K4701" s="32" t="n">
        <v>50</v>
      </c>
      <c r="L4701" s="33" t="n">
        <v>46541</v>
      </c>
      <c r="M4701" s="33" t="n">
        <v>46590</v>
      </c>
      <c r="N4701" s="16" t="s">
        <v>14652</v>
      </c>
      <c r="O4701" s="16" t="s">
        <v>1299</v>
      </c>
      <c r="P4701" s="16" t="str">
        <f aca="false">IF(AND(L4701&lt;=$D$2,M4701&gt;=$C$2),"Sí","")</f>
        <v/>
      </c>
      <c r="Q4701" s="18" t="str">
        <f aca="false">IF(COUNTIF(LOOKAHEAD!$A$5:$A$604,A4701)&gt;0,"En Lookahead",IF(P4701="Sí","INCORPORAR",""))</f>
        <v/>
      </c>
    </row>
    <row r="4702" customFormat="false" ht="15" hidden="false" customHeight="false" outlineLevel="0" collapsed="false">
      <c r="A4702" s="13" t="s">
        <v>14766</v>
      </c>
      <c r="B4702" s="13" t="n">
        <v>4697</v>
      </c>
      <c r="C4702" s="13" t="s">
        <v>14767</v>
      </c>
      <c r="D4702" s="13" t="n">
        <v>7</v>
      </c>
      <c r="E4702" s="38" t="s">
        <v>14509</v>
      </c>
      <c r="F4702" s="13" t="s">
        <v>1298</v>
      </c>
      <c r="G4702" s="13" t="s">
        <v>1063</v>
      </c>
      <c r="H4702" s="13" t="s">
        <v>14297</v>
      </c>
      <c r="I4702" s="13" t="s">
        <v>136</v>
      </c>
      <c r="J4702" s="13" t="s">
        <v>14302</v>
      </c>
      <c r="K4702" s="30" t="n">
        <v>50</v>
      </c>
      <c r="L4702" s="31" t="n">
        <v>46541</v>
      </c>
      <c r="M4702" s="31" t="n">
        <v>46590</v>
      </c>
      <c r="N4702" s="13"/>
      <c r="O4702" s="13" t="s">
        <v>1299</v>
      </c>
      <c r="P4702" s="13"/>
      <c r="Q4702" s="13"/>
    </row>
    <row r="4703" customFormat="false" ht="15" hidden="false" customHeight="false" outlineLevel="0" collapsed="false">
      <c r="A4703" s="16" t="s">
        <v>14768</v>
      </c>
      <c r="B4703" s="16" t="n">
        <v>4698</v>
      </c>
      <c r="C4703" s="16" t="s">
        <v>14769</v>
      </c>
      <c r="D4703" s="16" t="n">
        <v>8</v>
      </c>
      <c r="E4703" s="39" t="s">
        <v>14512</v>
      </c>
      <c r="F4703" s="16" t="s">
        <v>1285</v>
      </c>
      <c r="G4703" s="16" t="s">
        <v>1063</v>
      </c>
      <c r="H4703" s="16" t="s">
        <v>14297</v>
      </c>
      <c r="I4703" s="16" t="s">
        <v>136</v>
      </c>
      <c r="J4703" s="16" t="s">
        <v>14509</v>
      </c>
      <c r="K4703" s="32" t="n">
        <v>50</v>
      </c>
      <c r="L4703" s="33" t="n">
        <v>46541</v>
      </c>
      <c r="M4703" s="33" t="n">
        <v>46590</v>
      </c>
      <c r="N4703" s="16" t="s">
        <v>14652</v>
      </c>
      <c r="O4703" s="16" t="s">
        <v>1299</v>
      </c>
      <c r="P4703" s="16" t="str">
        <f aca="false">IF(AND(L4703&lt;=$D$2,M4703&gt;=$C$2),"Sí","")</f>
        <v/>
      </c>
      <c r="Q4703" s="18" t="str">
        <f aca="false">IF(COUNTIF(LOOKAHEAD!$A$5:$A$604,A4703)&gt;0,"En Lookahead",IF(P4703="Sí","INCORPORAR",""))</f>
        <v/>
      </c>
    </row>
    <row r="4704" customFormat="false" ht="15" hidden="false" customHeight="false" outlineLevel="0" collapsed="false">
      <c r="A4704" s="13" t="s">
        <v>14770</v>
      </c>
      <c r="B4704" s="13" t="n">
        <v>4699</v>
      </c>
      <c r="C4704" s="13" t="s">
        <v>14771</v>
      </c>
      <c r="D4704" s="13" t="n">
        <v>7</v>
      </c>
      <c r="E4704" s="38" t="s">
        <v>14772</v>
      </c>
      <c r="F4704" s="13" t="s">
        <v>1298</v>
      </c>
      <c r="G4704" s="13" t="s">
        <v>1063</v>
      </c>
      <c r="H4704" s="13" t="s">
        <v>14297</v>
      </c>
      <c r="I4704" s="13" t="s">
        <v>136</v>
      </c>
      <c r="J4704" s="13" t="s">
        <v>14302</v>
      </c>
      <c r="K4704" s="30" t="n">
        <v>50</v>
      </c>
      <c r="L4704" s="31" t="n">
        <v>46541</v>
      </c>
      <c r="M4704" s="31" t="n">
        <v>46590</v>
      </c>
      <c r="N4704" s="13"/>
      <c r="O4704" s="13" t="s">
        <v>1299</v>
      </c>
      <c r="P4704" s="13"/>
      <c r="Q4704" s="13"/>
    </row>
    <row r="4705" customFormat="false" ht="15" hidden="false" customHeight="false" outlineLevel="0" collapsed="false">
      <c r="A4705" s="16" t="s">
        <v>14773</v>
      </c>
      <c r="B4705" s="16" t="n">
        <v>4700</v>
      </c>
      <c r="C4705" s="16" t="s">
        <v>14774</v>
      </c>
      <c r="D4705" s="16" t="n">
        <v>8</v>
      </c>
      <c r="E4705" s="39" t="s">
        <v>14308</v>
      </c>
      <c r="F4705" s="16" t="s">
        <v>1285</v>
      </c>
      <c r="G4705" s="16" t="s">
        <v>1063</v>
      </c>
      <c r="H4705" s="16" t="s">
        <v>14297</v>
      </c>
      <c r="I4705" s="16" t="s">
        <v>136</v>
      </c>
      <c r="J4705" s="16" t="s">
        <v>14772</v>
      </c>
      <c r="K4705" s="32" t="n">
        <v>50</v>
      </c>
      <c r="L4705" s="33" t="n">
        <v>46541</v>
      </c>
      <c r="M4705" s="33" t="n">
        <v>46590</v>
      </c>
      <c r="N4705" s="16" t="s">
        <v>14652</v>
      </c>
      <c r="O4705" s="16" t="s">
        <v>1299</v>
      </c>
      <c r="P4705" s="16" t="str">
        <f aca="false">IF(AND(L4705&lt;=$D$2,M4705&gt;=$C$2),"Sí","")</f>
        <v/>
      </c>
      <c r="Q4705" s="18" t="str">
        <f aca="false">IF(COUNTIF(LOOKAHEAD!$A$5:$A$604,A4705)&gt;0,"En Lookahead",IF(P4705="Sí","INCORPORAR",""))</f>
        <v/>
      </c>
    </row>
    <row r="4706" customFormat="false" ht="15" hidden="false" customHeight="false" outlineLevel="0" collapsed="false">
      <c r="A4706" s="16" t="s">
        <v>14775</v>
      </c>
      <c r="B4706" s="16" t="n">
        <v>4701</v>
      </c>
      <c r="C4706" s="16" t="s">
        <v>14776</v>
      </c>
      <c r="D4706" s="16" t="n">
        <v>8</v>
      </c>
      <c r="E4706" s="39" t="s">
        <v>14518</v>
      </c>
      <c r="F4706" s="16" t="s">
        <v>1285</v>
      </c>
      <c r="G4706" s="16" t="s">
        <v>1063</v>
      </c>
      <c r="H4706" s="16" t="s">
        <v>14297</v>
      </c>
      <c r="I4706" s="16" t="s">
        <v>136</v>
      </c>
      <c r="J4706" s="16" t="s">
        <v>14772</v>
      </c>
      <c r="K4706" s="32" t="n">
        <v>50</v>
      </c>
      <c r="L4706" s="33" t="n">
        <v>46541</v>
      </c>
      <c r="M4706" s="33" t="n">
        <v>46590</v>
      </c>
      <c r="N4706" s="16" t="s">
        <v>14652</v>
      </c>
      <c r="O4706" s="16" t="s">
        <v>1299</v>
      </c>
      <c r="P4706" s="16" t="str">
        <f aca="false">IF(AND(L4706&lt;=$D$2,M4706&gt;=$C$2),"Sí","")</f>
        <v/>
      </c>
      <c r="Q4706" s="18" t="str">
        <f aca="false">IF(COUNTIF(LOOKAHEAD!$A$5:$A$604,A4706)&gt;0,"En Lookahead",IF(P4706="Sí","INCORPORAR",""))</f>
        <v/>
      </c>
    </row>
    <row r="4707" customFormat="false" ht="15" hidden="false" customHeight="false" outlineLevel="0" collapsed="false">
      <c r="A4707" s="16" t="s">
        <v>14777</v>
      </c>
      <c r="B4707" s="16" t="n">
        <v>4702</v>
      </c>
      <c r="C4707" s="16" t="s">
        <v>14778</v>
      </c>
      <c r="D4707" s="16" t="n">
        <v>8</v>
      </c>
      <c r="E4707" s="39" t="s">
        <v>14709</v>
      </c>
      <c r="F4707" s="16" t="s">
        <v>1285</v>
      </c>
      <c r="G4707" s="16" t="s">
        <v>1063</v>
      </c>
      <c r="H4707" s="16" t="s">
        <v>14297</v>
      </c>
      <c r="I4707" s="16" t="s">
        <v>136</v>
      </c>
      <c r="J4707" s="16" t="s">
        <v>14772</v>
      </c>
      <c r="K4707" s="32" t="n">
        <v>50</v>
      </c>
      <c r="L4707" s="33" t="n">
        <v>46541</v>
      </c>
      <c r="M4707" s="33" t="n">
        <v>46590</v>
      </c>
      <c r="N4707" s="16" t="s">
        <v>14652</v>
      </c>
      <c r="O4707" s="16" t="s">
        <v>1299</v>
      </c>
      <c r="P4707" s="16" t="str">
        <f aca="false">IF(AND(L4707&lt;=$D$2,M4707&gt;=$C$2),"Sí","")</f>
        <v/>
      </c>
      <c r="Q4707" s="18" t="str">
        <f aca="false">IF(COUNTIF(LOOKAHEAD!$A$5:$A$604,A4707)&gt;0,"En Lookahead",IF(P4707="Sí","INCORPORAR",""))</f>
        <v/>
      </c>
    </row>
    <row r="4708" customFormat="false" ht="15" hidden="false" customHeight="false" outlineLevel="0" collapsed="false">
      <c r="A4708" s="16" t="s">
        <v>14779</v>
      </c>
      <c r="B4708" s="16" t="n">
        <v>4703</v>
      </c>
      <c r="C4708" s="16" t="s">
        <v>14780</v>
      </c>
      <c r="D4708" s="16" t="n">
        <v>8</v>
      </c>
      <c r="E4708" s="39" t="s">
        <v>14392</v>
      </c>
      <c r="F4708" s="16" t="s">
        <v>1285</v>
      </c>
      <c r="G4708" s="16" t="s">
        <v>1063</v>
      </c>
      <c r="H4708" s="16" t="s">
        <v>14297</v>
      </c>
      <c r="I4708" s="16" t="s">
        <v>136</v>
      </c>
      <c r="J4708" s="16" t="s">
        <v>14772</v>
      </c>
      <c r="K4708" s="32" t="n">
        <v>50</v>
      </c>
      <c r="L4708" s="33" t="n">
        <v>46541</v>
      </c>
      <c r="M4708" s="33" t="n">
        <v>46590</v>
      </c>
      <c r="N4708" s="16" t="s">
        <v>14652</v>
      </c>
      <c r="O4708" s="16" t="s">
        <v>1299</v>
      </c>
      <c r="P4708" s="16" t="str">
        <f aca="false">IF(AND(L4708&lt;=$D$2,M4708&gt;=$C$2),"Sí","")</f>
        <v/>
      </c>
      <c r="Q4708" s="18" t="str">
        <f aca="false">IF(COUNTIF(LOOKAHEAD!$A$5:$A$604,A4708)&gt;0,"En Lookahead",IF(P4708="Sí","INCORPORAR",""))</f>
        <v/>
      </c>
    </row>
    <row r="4709" customFormat="false" ht="15" hidden="false" customHeight="false" outlineLevel="0" collapsed="false">
      <c r="A4709" s="16" t="s">
        <v>14781</v>
      </c>
      <c r="B4709" s="16" t="n">
        <v>4704</v>
      </c>
      <c r="C4709" s="16" t="s">
        <v>14782</v>
      </c>
      <c r="D4709" s="16" t="n">
        <v>8</v>
      </c>
      <c r="E4709" s="39" t="s">
        <v>14484</v>
      </c>
      <c r="F4709" s="16" t="s">
        <v>1285</v>
      </c>
      <c r="G4709" s="16" t="s">
        <v>1063</v>
      </c>
      <c r="H4709" s="16" t="s">
        <v>14297</v>
      </c>
      <c r="I4709" s="16" t="s">
        <v>136</v>
      </c>
      <c r="J4709" s="16" t="s">
        <v>14772</v>
      </c>
      <c r="K4709" s="32" t="n">
        <v>50</v>
      </c>
      <c r="L4709" s="33" t="n">
        <v>46541</v>
      </c>
      <c r="M4709" s="33" t="n">
        <v>46590</v>
      </c>
      <c r="N4709" s="16" t="s">
        <v>14652</v>
      </c>
      <c r="O4709" s="16" t="s">
        <v>1299</v>
      </c>
      <c r="P4709" s="16" t="str">
        <f aca="false">IF(AND(L4709&lt;=$D$2,M4709&gt;=$C$2),"Sí","")</f>
        <v/>
      </c>
      <c r="Q4709" s="18" t="str">
        <f aca="false">IF(COUNTIF(LOOKAHEAD!$A$5:$A$604,A4709)&gt;0,"En Lookahead",IF(P4709="Sí","INCORPORAR",""))</f>
        <v/>
      </c>
    </row>
    <row r="4710" customFormat="false" ht="15" hidden="false" customHeight="false" outlineLevel="0" collapsed="false">
      <c r="A4710" s="16" t="s">
        <v>14783</v>
      </c>
      <c r="B4710" s="16" t="n">
        <v>4705</v>
      </c>
      <c r="C4710" s="16" t="s">
        <v>14784</v>
      </c>
      <c r="D4710" s="16" t="n">
        <v>8</v>
      </c>
      <c r="E4710" s="39" t="s">
        <v>14316</v>
      </c>
      <c r="F4710" s="16" t="s">
        <v>1285</v>
      </c>
      <c r="G4710" s="16" t="s">
        <v>1063</v>
      </c>
      <c r="H4710" s="16" t="s">
        <v>14297</v>
      </c>
      <c r="I4710" s="16" t="s">
        <v>136</v>
      </c>
      <c r="J4710" s="16" t="s">
        <v>14772</v>
      </c>
      <c r="K4710" s="32" t="n">
        <v>50</v>
      </c>
      <c r="L4710" s="33" t="n">
        <v>46541</v>
      </c>
      <c r="M4710" s="33" t="n">
        <v>46590</v>
      </c>
      <c r="N4710" s="16" t="s">
        <v>14652</v>
      </c>
      <c r="O4710" s="16" t="s">
        <v>1299</v>
      </c>
      <c r="P4710" s="16" t="str">
        <f aca="false">IF(AND(L4710&lt;=$D$2,M4710&gt;=$C$2),"Sí","")</f>
        <v/>
      </c>
      <c r="Q4710" s="18" t="str">
        <f aca="false">IF(COUNTIF(LOOKAHEAD!$A$5:$A$604,A4710)&gt;0,"En Lookahead",IF(P4710="Sí","INCORPORAR",""))</f>
        <v/>
      </c>
    </row>
    <row r="4711" customFormat="false" ht="15" hidden="false" customHeight="false" outlineLevel="0" collapsed="false">
      <c r="A4711" s="16" t="s">
        <v>14785</v>
      </c>
      <c r="B4711" s="16" t="n">
        <v>4706</v>
      </c>
      <c r="C4711" s="16" t="s">
        <v>14786</v>
      </c>
      <c r="D4711" s="16" t="n">
        <v>8</v>
      </c>
      <c r="E4711" s="39" t="s">
        <v>14319</v>
      </c>
      <c r="F4711" s="16" t="s">
        <v>1285</v>
      </c>
      <c r="G4711" s="16" t="s">
        <v>1063</v>
      </c>
      <c r="H4711" s="16" t="s">
        <v>14297</v>
      </c>
      <c r="I4711" s="16" t="s">
        <v>136</v>
      </c>
      <c r="J4711" s="16" t="s">
        <v>14772</v>
      </c>
      <c r="K4711" s="32" t="n">
        <v>50</v>
      </c>
      <c r="L4711" s="33" t="n">
        <v>46541</v>
      </c>
      <c r="M4711" s="33" t="n">
        <v>46590</v>
      </c>
      <c r="N4711" s="16" t="s">
        <v>14652</v>
      </c>
      <c r="O4711" s="16" t="s">
        <v>1299</v>
      </c>
      <c r="P4711" s="16" t="str">
        <f aca="false">IF(AND(L4711&lt;=$D$2,M4711&gt;=$C$2),"Sí","")</f>
        <v/>
      </c>
      <c r="Q4711" s="18" t="str">
        <f aca="false">IF(COUNTIF(LOOKAHEAD!$A$5:$A$604,A4711)&gt;0,"En Lookahead",IF(P4711="Sí","INCORPORAR",""))</f>
        <v/>
      </c>
    </row>
    <row r="4712" customFormat="false" ht="15" hidden="false" customHeight="false" outlineLevel="0" collapsed="false">
      <c r="A4712" s="16" t="s">
        <v>14787</v>
      </c>
      <c r="B4712" s="16" t="n">
        <v>4707</v>
      </c>
      <c r="C4712" s="16" t="s">
        <v>14788</v>
      </c>
      <c r="D4712" s="16" t="n">
        <v>8</v>
      </c>
      <c r="E4712" s="39" t="s">
        <v>14322</v>
      </c>
      <c r="F4712" s="16" t="s">
        <v>1285</v>
      </c>
      <c r="G4712" s="16" t="s">
        <v>1063</v>
      </c>
      <c r="H4712" s="16" t="s">
        <v>14297</v>
      </c>
      <c r="I4712" s="16" t="s">
        <v>136</v>
      </c>
      <c r="J4712" s="16" t="s">
        <v>14772</v>
      </c>
      <c r="K4712" s="32" t="n">
        <v>50</v>
      </c>
      <c r="L4712" s="33" t="n">
        <v>46541</v>
      </c>
      <c r="M4712" s="33" t="n">
        <v>46590</v>
      </c>
      <c r="N4712" s="16" t="s">
        <v>14652</v>
      </c>
      <c r="O4712" s="16" t="s">
        <v>1299</v>
      </c>
      <c r="P4712" s="16" t="str">
        <f aca="false">IF(AND(L4712&lt;=$D$2,M4712&gt;=$C$2),"Sí","")</f>
        <v/>
      </c>
      <c r="Q4712" s="18" t="str">
        <f aca="false">IF(COUNTIF(LOOKAHEAD!$A$5:$A$604,A4712)&gt;0,"En Lookahead",IF(P4712="Sí","INCORPORAR",""))</f>
        <v/>
      </c>
    </row>
    <row r="4713" customFormat="false" ht="15" hidden="false" customHeight="false" outlineLevel="0" collapsed="false">
      <c r="A4713" s="13" t="s">
        <v>14789</v>
      </c>
      <c r="B4713" s="13" t="n">
        <v>4708</v>
      </c>
      <c r="C4713" s="13" t="s">
        <v>14790</v>
      </c>
      <c r="D4713" s="13" t="n">
        <v>7</v>
      </c>
      <c r="E4713" s="38" t="s">
        <v>14509</v>
      </c>
      <c r="F4713" s="13" t="s">
        <v>1298</v>
      </c>
      <c r="G4713" s="13" t="s">
        <v>1063</v>
      </c>
      <c r="H4713" s="13" t="s">
        <v>14297</v>
      </c>
      <c r="I4713" s="13" t="s">
        <v>136</v>
      </c>
      <c r="J4713" s="13" t="s">
        <v>14302</v>
      </c>
      <c r="K4713" s="30" t="n">
        <v>50</v>
      </c>
      <c r="L4713" s="31" t="n">
        <v>46541</v>
      </c>
      <c r="M4713" s="31" t="n">
        <v>46590</v>
      </c>
      <c r="N4713" s="13"/>
      <c r="O4713" s="13" t="s">
        <v>1299</v>
      </c>
      <c r="P4713" s="13"/>
      <c r="Q4713" s="13"/>
    </row>
    <row r="4714" customFormat="false" ht="15" hidden="false" customHeight="false" outlineLevel="0" collapsed="false">
      <c r="A4714" s="16" t="s">
        <v>14791</v>
      </c>
      <c r="B4714" s="16" t="n">
        <v>4709</v>
      </c>
      <c r="C4714" s="16" t="s">
        <v>14792</v>
      </c>
      <c r="D4714" s="16" t="n">
        <v>8</v>
      </c>
      <c r="E4714" s="39" t="s">
        <v>14512</v>
      </c>
      <c r="F4714" s="16" t="s">
        <v>1285</v>
      </c>
      <c r="G4714" s="16" t="s">
        <v>1063</v>
      </c>
      <c r="H4714" s="16" t="s">
        <v>14297</v>
      </c>
      <c r="I4714" s="16" t="s">
        <v>136</v>
      </c>
      <c r="J4714" s="16" t="s">
        <v>14509</v>
      </c>
      <c r="K4714" s="32" t="n">
        <v>50</v>
      </c>
      <c r="L4714" s="33" t="n">
        <v>46541</v>
      </c>
      <c r="M4714" s="33" t="n">
        <v>46590</v>
      </c>
      <c r="N4714" s="16" t="s">
        <v>14652</v>
      </c>
      <c r="O4714" s="16" t="s">
        <v>1299</v>
      </c>
      <c r="P4714" s="16" t="str">
        <f aca="false">IF(AND(L4714&lt;=$D$2,M4714&gt;=$C$2),"Sí","")</f>
        <v/>
      </c>
      <c r="Q4714" s="18" t="str">
        <f aca="false">IF(COUNTIF(LOOKAHEAD!$A$5:$A$604,A4714)&gt;0,"En Lookahead",IF(P4714="Sí","INCORPORAR",""))</f>
        <v/>
      </c>
    </row>
    <row r="4715" customFormat="false" ht="15" hidden="false" customHeight="false" outlineLevel="0" collapsed="false">
      <c r="A4715" s="13" t="s">
        <v>14793</v>
      </c>
      <c r="B4715" s="13" t="n">
        <v>4710</v>
      </c>
      <c r="C4715" s="13" t="s">
        <v>14794</v>
      </c>
      <c r="D4715" s="13" t="n">
        <v>7</v>
      </c>
      <c r="E4715" s="38" t="s">
        <v>14795</v>
      </c>
      <c r="F4715" s="13" t="s">
        <v>1298</v>
      </c>
      <c r="G4715" s="13" t="s">
        <v>1063</v>
      </c>
      <c r="H4715" s="13" t="s">
        <v>14297</v>
      </c>
      <c r="I4715" s="13" t="s">
        <v>136</v>
      </c>
      <c r="J4715" s="13" t="s">
        <v>14302</v>
      </c>
      <c r="K4715" s="30" t="n">
        <v>50</v>
      </c>
      <c r="L4715" s="31" t="n">
        <v>46541</v>
      </c>
      <c r="M4715" s="31" t="n">
        <v>46590</v>
      </c>
      <c r="N4715" s="13"/>
      <c r="O4715" s="13" t="s">
        <v>1299</v>
      </c>
      <c r="P4715" s="13"/>
      <c r="Q4715" s="13"/>
    </row>
    <row r="4716" customFormat="false" ht="15" hidden="false" customHeight="false" outlineLevel="0" collapsed="false">
      <c r="A4716" s="16" t="s">
        <v>14796</v>
      </c>
      <c r="B4716" s="16" t="n">
        <v>4711</v>
      </c>
      <c r="C4716" s="16" t="s">
        <v>14797</v>
      </c>
      <c r="D4716" s="16" t="n">
        <v>8</v>
      </c>
      <c r="E4716" s="39" t="s">
        <v>14477</v>
      </c>
      <c r="F4716" s="16" t="s">
        <v>1285</v>
      </c>
      <c r="G4716" s="16" t="s">
        <v>1063</v>
      </c>
      <c r="H4716" s="16" t="s">
        <v>14297</v>
      </c>
      <c r="I4716" s="16" t="s">
        <v>136</v>
      </c>
      <c r="J4716" s="16" t="s">
        <v>14795</v>
      </c>
      <c r="K4716" s="32" t="n">
        <v>50</v>
      </c>
      <c r="L4716" s="33" t="n">
        <v>46541</v>
      </c>
      <c r="M4716" s="33" t="n">
        <v>46590</v>
      </c>
      <c r="N4716" s="16" t="s">
        <v>14652</v>
      </c>
      <c r="O4716" s="16" t="s">
        <v>1299</v>
      </c>
      <c r="P4716" s="16" t="str">
        <f aca="false">IF(AND(L4716&lt;=$D$2,M4716&gt;=$C$2),"Sí","")</f>
        <v/>
      </c>
      <c r="Q4716" s="18" t="str">
        <f aca="false">IF(COUNTIF(LOOKAHEAD!$A$5:$A$604,A4716)&gt;0,"En Lookahead",IF(P4716="Sí","INCORPORAR",""))</f>
        <v/>
      </c>
    </row>
    <row r="4717" customFormat="false" ht="15" hidden="false" customHeight="false" outlineLevel="0" collapsed="false">
      <c r="A4717" s="16" t="s">
        <v>14798</v>
      </c>
      <c r="B4717" s="16" t="n">
        <v>4712</v>
      </c>
      <c r="C4717" s="16" t="s">
        <v>14799</v>
      </c>
      <c r="D4717" s="16" t="n">
        <v>8</v>
      </c>
      <c r="E4717" s="39" t="s">
        <v>14337</v>
      </c>
      <c r="F4717" s="16" t="s">
        <v>1285</v>
      </c>
      <c r="G4717" s="16" t="s">
        <v>1063</v>
      </c>
      <c r="H4717" s="16" t="s">
        <v>14297</v>
      </c>
      <c r="I4717" s="16" t="s">
        <v>136</v>
      </c>
      <c r="J4717" s="16" t="s">
        <v>14795</v>
      </c>
      <c r="K4717" s="32" t="n">
        <v>50</v>
      </c>
      <c r="L4717" s="33" t="n">
        <v>46541</v>
      </c>
      <c r="M4717" s="33" t="n">
        <v>46590</v>
      </c>
      <c r="N4717" s="16" t="s">
        <v>14652</v>
      </c>
      <c r="O4717" s="16" t="s">
        <v>1299</v>
      </c>
      <c r="P4717" s="16" t="str">
        <f aca="false">IF(AND(L4717&lt;=$D$2,M4717&gt;=$C$2),"Sí","")</f>
        <v/>
      </c>
      <c r="Q4717" s="18" t="str">
        <f aca="false">IF(COUNTIF(LOOKAHEAD!$A$5:$A$604,A4717)&gt;0,"En Lookahead",IF(P4717="Sí","INCORPORAR",""))</f>
        <v/>
      </c>
    </row>
    <row r="4718" customFormat="false" ht="15" hidden="false" customHeight="false" outlineLevel="0" collapsed="false">
      <c r="A4718" s="16" t="s">
        <v>14800</v>
      </c>
      <c r="B4718" s="16" t="n">
        <v>4713</v>
      </c>
      <c r="C4718" s="16" t="s">
        <v>14801</v>
      </c>
      <c r="D4718" s="16" t="n">
        <v>8</v>
      </c>
      <c r="E4718" s="39" t="s">
        <v>14484</v>
      </c>
      <c r="F4718" s="16" t="s">
        <v>1285</v>
      </c>
      <c r="G4718" s="16" t="s">
        <v>1063</v>
      </c>
      <c r="H4718" s="16" t="s">
        <v>14297</v>
      </c>
      <c r="I4718" s="16" t="s">
        <v>136</v>
      </c>
      <c r="J4718" s="16" t="s">
        <v>14795</v>
      </c>
      <c r="K4718" s="32" t="n">
        <v>50</v>
      </c>
      <c r="L4718" s="33" t="n">
        <v>46541</v>
      </c>
      <c r="M4718" s="33" t="n">
        <v>46590</v>
      </c>
      <c r="N4718" s="16" t="s">
        <v>14652</v>
      </c>
      <c r="O4718" s="16" t="s">
        <v>1299</v>
      </c>
      <c r="P4718" s="16" t="str">
        <f aca="false">IF(AND(L4718&lt;=$D$2,M4718&gt;=$C$2),"Sí","")</f>
        <v/>
      </c>
      <c r="Q4718" s="18" t="str">
        <f aca="false">IF(COUNTIF(LOOKAHEAD!$A$5:$A$604,A4718)&gt;0,"En Lookahead",IF(P4718="Sí","INCORPORAR",""))</f>
        <v/>
      </c>
    </row>
    <row r="4719" customFormat="false" ht="15" hidden="false" customHeight="false" outlineLevel="0" collapsed="false">
      <c r="A4719" s="16" t="s">
        <v>14802</v>
      </c>
      <c r="B4719" s="16" t="n">
        <v>4714</v>
      </c>
      <c r="C4719" s="16" t="s">
        <v>14803</v>
      </c>
      <c r="D4719" s="16" t="n">
        <v>8</v>
      </c>
      <c r="E4719" s="39" t="s">
        <v>14319</v>
      </c>
      <c r="F4719" s="16" t="s">
        <v>1285</v>
      </c>
      <c r="G4719" s="16" t="s">
        <v>1063</v>
      </c>
      <c r="H4719" s="16" t="s">
        <v>14297</v>
      </c>
      <c r="I4719" s="16" t="s">
        <v>136</v>
      </c>
      <c r="J4719" s="16" t="s">
        <v>14795</v>
      </c>
      <c r="K4719" s="32" t="n">
        <v>50</v>
      </c>
      <c r="L4719" s="33" t="n">
        <v>46541</v>
      </c>
      <c r="M4719" s="33" t="n">
        <v>46590</v>
      </c>
      <c r="N4719" s="16" t="s">
        <v>14652</v>
      </c>
      <c r="O4719" s="16" t="s">
        <v>1299</v>
      </c>
      <c r="P4719" s="16" t="str">
        <f aca="false">IF(AND(L4719&lt;=$D$2,M4719&gt;=$C$2),"Sí","")</f>
        <v/>
      </c>
      <c r="Q4719" s="18" t="str">
        <f aca="false">IF(COUNTIF(LOOKAHEAD!$A$5:$A$604,A4719)&gt;0,"En Lookahead",IF(P4719="Sí","INCORPORAR",""))</f>
        <v/>
      </c>
    </row>
    <row r="4720" customFormat="false" ht="15" hidden="false" customHeight="false" outlineLevel="0" collapsed="false">
      <c r="A4720" s="16" t="s">
        <v>14804</v>
      </c>
      <c r="B4720" s="16" t="n">
        <v>4715</v>
      </c>
      <c r="C4720" s="16" t="s">
        <v>14805</v>
      </c>
      <c r="D4720" s="16" t="n">
        <v>8</v>
      </c>
      <c r="E4720" s="39" t="s">
        <v>14492</v>
      </c>
      <c r="F4720" s="16" t="s">
        <v>1285</v>
      </c>
      <c r="G4720" s="16" t="s">
        <v>1063</v>
      </c>
      <c r="H4720" s="16" t="s">
        <v>14297</v>
      </c>
      <c r="I4720" s="16" t="s">
        <v>136</v>
      </c>
      <c r="J4720" s="16" t="s">
        <v>14795</v>
      </c>
      <c r="K4720" s="32" t="n">
        <v>50</v>
      </c>
      <c r="L4720" s="33" t="n">
        <v>46541</v>
      </c>
      <c r="M4720" s="33" t="n">
        <v>46590</v>
      </c>
      <c r="N4720" s="16" t="s">
        <v>14652</v>
      </c>
      <c r="O4720" s="16" t="s">
        <v>1299</v>
      </c>
      <c r="P4720" s="16" t="str">
        <f aca="false">IF(AND(L4720&lt;=$D$2,M4720&gt;=$C$2),"Sí","")</f>
        <v/>
      </c>
      <c r="Q4720" s="18" t="str">
        <f aca="false">IF(COUNTIF(LOOKAHEAD!$A$5:$A$604,A4720)&gt;0,"En Lookahead",IF(P4720="Sí","INCORPORAR",""))</f>
        <v/>
      </c>
    </row>
    <row r="4721" customFormat="false" ht="15" hidden="false" customHeight="false" outlineLevel="0" collapsed="false">
      <c r="A4721" s="16" t="s">
        <v>14806</v>
      </c>
      <c r="B4721" s="16" t="n">
        <v>4716</v>
      </c>
      <c r="C4721" s="16" t="s">
        <v>14807</v>
      </c>
      <c r="D4721" s="16" t="n">
        <v>8</v>
      </c>
      <c r="E4721" s="39" t="s">
        <v>14495</v>
      </c>
      <c r="F4721" s="16" t="s">
        <v>1285</v>
      </c>
      <c r="G4721" s="16" t="s">
        <v>1063</v>
      </c>
      <c r="H4721" s="16" t="s">
        <v>14297</v>
      </c>
      <c r="I4721" s="16" t="s">
        <v>136</v>
      </c>
      <c r="J4721" s="16" t="s">
        <v>14795</v>
      </c>
      <c r="K4721" s="32" t="n">
        <v>50</v>
      </c>
      <c r="L4721" s="33" t="n">
        <v>46541</v>
      </c>
      <c r="M4721" s="33" t="n">
        <v>46590</v>
      </c>
      <c r="N4721" s="16" t="s">
        <v>14652</v>
      </c>
      <c r="O4721" s="16" t="s">
        <v>1299</v>
      </c>
      <c r="P4721" s="16" t="str">
        <f aca="false">IF(AND(L4721&lt;=$D$2,M4721&gt;=$C$2),"Sí","")</f>
        <v/>
      </c>
      <c r="Q4721" s="18" t="str">
        <f aca="false">IF(COUNTIF(LOOKAHEAD!$A$5:$A$604,A4721)&gt;0,"En Lookahead",IF(P4721="Sí","INCORPORAR",""))</f>
        <v/>
      </c>
    </row>
    <row r="4722" customFormat="false" ht="15" hidden="false" customHeight="false" outlineLevel="0" collapsed="false">
      <c r="A4722" s="16" t="s">
        <v>14808</v>
      </c>
      <c r="B4722" s="16" t="n">
        <v>4717</v>
      </c>
      <c r="C4722" s="16" t="s">
        <v>14809</v>
      </c>
      <c r="D4722" s="16" t="n">
        <v>8</v>
      </c>
      <c r="E4722" s="39" t="s">
        <v>14322</v>
      </c>
      <c r="F4722" s="16" t="s">
        <v>1285</v>
      </c>
      <c r="G4722" s="16" t="s">
        <v>1063</v>
      </c>
      <c r="H4722" s="16" t="s">
        <v>14297</v>
      </c>
      <c r="I4722" s="16" t="s">
        <v>136</v>
      </c>
      <c r="J4722" s="16" t="s">
        <v>14795</v>
      </c>
      <c r="K4722" s="32" t="n">
        <v>50</v>
      </c>
      <c r="L4722" s="33" t="n">
        <v>46541</v>
      </c>
      <c r="M4722" s="33" t="n">
        <v>46590</v>
      </c>
      <c r="N4722" s="16" t="s">
        <v>14652</v>
      </c>
      <c r="O4722" s="16" t="s">
        <v>1299</v>
      </c>
      <c r="P4722" s="16" t="str">
        <f aca="false">IF(AND(L4722&lt;=$D$2,M4722&gt;=$C$2),"Sí","")</f>
        <v/>
      </c>
      <c r="Q4722" s="18" t="str">
        <f aca="false">IF(COUNTIF(LOOKAHEAD!$A$5:$A$604,A4722)&gt;0,"En Lookahead",IF(P4722="Sí","INCORPORAR",""))</f>
        <v/>
      </c>
    </row>
    <row r="4723" customFormat="false" ht="15" hidden="false" customHeight="false" outlineLevel="0" collapsed="false">
      <c r="A4723" s="16" t="s">
        <v>14810</v>
      </c>
      <c r="B4723" s="16" t="n">
        <v>4718</v>
      </c>
      <c r="C4723" s="16" t="s">
        <v>14811</v>
      </c>
      <c r="D4723" s="16" t="n">
        <v>8</v>
      </c>
      <c r="E4723" s="39" t="s">
        <v>14403</v>
      </c>
      <c r="F4723" s="16" t="s">
        <v>1285</v>
      </c>
      <c r="G4723" s="16" t="s">
        <v>1063</v>
      </c>
      <c r="H4723" s="16" t="s">
        <v>14297</v>
      </c>
      <c r="I4723" s="16" t="s">
        <v>136</v>
      </c>
      <c r="J4723" s="16" t="s">
        <v>14795</v>
      </c>
      <c r="K4723" s="32" t="n">
        <v>50</v>
      </c>
      <c r="L4723" s="33" t="n">
        <v>46541</v>
      </c>
      <c r="M4723" s="33" t="n">
        <v>46590</v>
      </c>
      <c r="N4723" s="16" t="s">
        <v>14652</v>
      </c>
      <c r="O4723" s="16" t="s">
        <v>1299</v>
      </c>
      <c r="P4723" s="16" t="str">
        <f aca="false">IF(AND(L4723&lt;=$D$2,M4723&gt;=$C$2),"Sí","")</f>
        <v/>
      </c>
      <c r="Q4723" s="18" t="str">
        <f aca="false">IF(COUNTIF(LOOKAHEAD!$A$5:$A$604,A4723)&gt;0,"En Lookahead",IF(P4723="Sí","INCORPORAR",""))</f>
        <v/>
      </c>
    </row>
    <row r="4724" customFormat="false" ht="15" hidden="false" customHeight="false" outlineLevel="0" collapsed="false">
      <c r="A4724" s="16" t="s">
        <v>14812</v>
      </c>
      <c r="B4724" s="16" t="n">
        <v>4719</v>
      </c>
      <c r="C4724" s="16" t="s">
        <v>14813</v>
      </c>
      <c r="D4724" s="16" t="n">
        <v>8</v>
      </c>
      <c r="E4724" s="39" t="s">
        <v>14325</v>
      </c>
      <c r="F4724" s="16" t="s">
        <v>1285</v>
      </c>
      <c r="G4724" s="16" t="s">
        <v>1063</v>
      </c>
      <c r="H4724" s="16" t="s">
        <v>14297</v>
      </c>
      <c r="I4724" s="16" t="s">
        <v>136</v>
      </c>
      <c r="J4724" s="16" t="s">
        <v>14795</v>
      </c>
      <c r="K4724" s="32" t="n">
        <v>50</v>
      </c>
      <c r="L4724" s="33" t="n">
        <v>46541</v>
      </c>
      <c r="M4724" s="33" t="n">
        <v>46590</v>
      </c>
      <c r="N4724" s="16" t="s">
        <v>14652</v>
      </c>
      <c r="O4724" s="16" t="s">
        <v>1299</v>
      </c>
      <c r="P4724" s="16" t="str">
        <f aca="false">IF(AND(L4724&lt;=$D$2,M4724&gt;=$C$2),"Sí","")</f>
        <v/>
      </c>
      <c r="Q4724" s="18" t="str">
        <f aca="false">IF(COUNTIF(LOOKAHEAD!$A$5:$A$604,A4724)&gt;0,"En Lookahead",IF(P4724="Sí","INCORPORAR",""))</f>
        <v/>
      </c>
    </row>
    <row r="4725" customFormat="false" ht="15" hidden="false" customHeight="false" outlineLevel="0" collapsed="false">
      <c r="A4725" s="13" t="s">
        <v>14814</v>
      </c>
      <c r="B4725" s="13" t="n">
        <v>4720</v>
      </c>
      <c r="C4725" s="13" t="s">
        <v>14815</v>
      </c>
      <c r="D4725" s="13" t="n">
        <v>7</v>
      </c>
      <c r="E4725" s="38" t="s">
        <v>14515</v>
      </c>
      <c r="F4725" s="13" t="s">
        <v>1298</v>
      </c>
      <c r="G4725" s="13" t="s">
        <v>1063</v>
      </c>
      <c r="H4725" s="13" t="s">
        <v>14297</v>
      </c>
      <c r="I4725" s="13" t="s">
        <v>136</v>
      </c>
      <c r="J4725" s="13" t="s">
        <v>14302</v>
      </c>
      <c r="K4725" s="30" t="n">
        <v>50</v>
      </c>
      <c r="L4725" s="31" t="n">
        <v>46541</v>
      </c>
      <c r="M4725" s="31" t="n">
        <v>46590</v>
      </c>
      <c r="N4725" s="13"/>
      <c r="O4725" s="13" t="s">
        <v>1299</v>
      </c>
      <c r="P4725" s="13"/>
      <c r="Q4725" s="13"/>
    </row>
    <row r="4726" customFormat="false" ht="15" hidden="false" customHeight="false" outlineLevel="0" collapsed="false">
      <c r="A4726" s="16" t="s">
        <v>14816</v>
      </c>
      <c r="B4726" s="16" t="n">
        <v>4721</v>
      </c>
      <c r="C4726" s="16" t="s">
        <v>14817</v>
      </c>
      <c r="D4726" s="16" t="n">
        <v>8</v>
      </c>
      <c r="E4726" s="39" t="s">
        <v>14308</v>
      </c>
      <c r="F4726" s="16" t="s">
        <v>1285</v>
      </c>
      <c r="G4726" s="16" t="s">
        <v>1063</v>
      </c>
      <c r="H4726" s="16" t="s">
        <v>14297</v>
      </c>
      <c r="I4726" s="16" t="s">
        <v>136</v>
      </c>
      <c r="J4726" s="16" t="s">
        <v>14515</v>
      </c>
      <c r="K4726" s="32" t="n">
        <v>50</v>
      </c>
      <c r="L4726" s="33" t="n">
        <v>46541</v>
      </c>
      <c r="M4726" s="33" t="n">
        <v>46590</v>
      </c>
      <c r="N4726" s="16" t="s">
        <v>14652</v>
      </c>
      <c r="O4726" s="16" t="s">
        <v>1299</v>
      </c>
      <c r="P4726" s="16" t="str">
        <f aca="false">IF(AND(L4726&lt;=$D$2,M4726&gt;=$C$2),"Sí","")</f>
        <v/>
      </c>
      <c r="Q4726" s="18" t="str">
        <f aca="false">IF(COUNTIF(LOOKAHEAD!$A$5:$A$604,A4726)&gt;0,"En Lookahead",IF(P4726="Sí","INCORPORAR",""))</f>
        <v/>
      </c>
    </row>
    <row r="4727" customFormat="false" ht="15" hidden="false" customHeight="false" outlineLevel="0" collapsed="false">
      <c r="A4727" s="16" t="s">
        <v>14818</v>
      </c>
      <c r="B4727" s="16" t="n">
        <v>4722</v>
      </c>
      <c r="C4727" s="16" t="s">
        <v>14819</v>
      </c>
      <c r="D4727" s="16" t="n">
        <v>8</v>
      </c>
      <c r="E4727" s="39" t="s">
        <v>14392</v>
      </c>
      <c r="F4727" s="16" t="s">
        <v>1285</v>
      </c>
      <c r="G4727" s="16" t="s">
        <v>1063</v>
      </c>
      <c r="H4727" s="16" t="s">
        <v>14297</v>
      </c>
      <c r="I4727" s="16" t="s">
        <v>136</v>
      </c>
      <c r="J4727" s="16" t="s">
        <v>14515</v>
      </c>
      <c r="K4727" s="32" t="n">
        <v>50</v>
      </c>
      <c r="L4727" s="33" t="n">
        <v>46541</v>
      </c>
      <c r="M4727" s="33" t="n">
        <v>46590</v>
      </c>
      <c r="N4727" s="16" t="s">
        <v>14652</v>
      </c>
      <c r="O4727" s="16" t="s">
        <v>1299</v>
      </c>
      <c r="P4727" s="16" t="str">
        <f aca="false">IF(AND(L4727&lt;=$D$2,M4727&gt;=$C$2),"Sí","")</f>
        <v/>
      </c>
      <c r="Q4727" s="18" t="str">
        <f aca="false">IF(COUNTIF(LOOKAHEAD!$A$5:$A$604,A4727)&gt;0,"En Lookahead",IF(P4727="Sí","INCORPORAR",""))</f>
        <v/>
      </c>
    </row>
    <row r="4728" customFormat="false" ht="15" hidden="false" customHeight="false" outlineLevel="0" collapsed="false">
      <c r="A4728" s="16" t="s">
        <v>14820</v>
      </c>
      <c r="B4728" s="16" t="n">
        <v>4723</v>
      </c>
      <c r="C4728" s="16" t="s">
        <v>14821</v>
      </c>
      <c r="D4728" s="16" t="n">
        <v>8</v>
      </c>
      <c r="E4728" s="39" t="s">
        <v>14337</v>
      </c>
      <c r="F4728" s="16" t="s">
        <v>1285</v>
      </c>
      <c r="G4728" s="16" t="s">
        <v>1063</v>
      </c>
      <c r="H4728" s="16" t="s">
        <v>14297</v>
      </c>
      <c r="I4728" s="16" t="s">
        <v>136</v>
      </c>
      <c r="J4728" s="16" t="s">
        <v>14515</v>
      </c>
      <c r="K4728" s="32" t="n">
        <v>50</v>
      </c>
      <c r="L4728" s="33" t="n">
        <v>46541</v>
      </c>
      <c r="M4728" s="33" t="n">
        <v>46590</v>
      </c>
      <c r="N4728" s="16" t="s">
        <v>14652</v>
      </c>
      <c r="O4728" s="16" t="s">
        <v>1299</v>
      </c>
      <c r="P4728" s="16" t="str">
        <f aca="false">IF(AND(L4728&lt;=$D$2,M4728&gt;=$C$2),"Sí","")</f>
        <v/>
      </c>
      <c r="Q4728" s="18" t="str">
        <f aca="false">IF(COUNTIF(LOOKAHEAD!$A$5:$A$604,A4728)&gt;0,"En Lookahead",IF(P4728="Sí","INCORPORAR",""))</f>
        <v/>
      </c>
    </row>
    <row r="4729" customFormat="false" ht="15" hidden="false" customHeight="false" outlineLevel="0" collapsed="false">
      <c r="A4729" s="16" t="s">
        <v>14822</v>
      </c>
      <c r="B4729" s="16" t="n">
        <v>4724</v>
      </c>
      <c r="C4729" s="16" t="s">
        <v>14823</v>
      </c>
      <c r="D4729" s="16" t="n">
        <v>8</v>
      </c>
      <c r="E4729" s="39" t="s">
        <v>14316</v>
      </c>
      <c r="F4729" s="16" t="s">
        <v>1285</v>
      </c>
      <c r="G4729" s="16" t="s">
        <v>1063</v>
      </c>
      <c r="H4729" s="16" t="s">
        <v>14297</v>
      </c>
      <c r="I4729" s="16" t="s">
        <v>136</v>
      </c>
      <c r="J4729" s="16" t="s">
        <v>14515</v>
      </c>
      <c r="K4729" s="32" t="n">
        <v>50</v>
      </c>
      <c r="L4729" s="33" t="n">
        <v>46541</v>
      </c>
      <c r="M4729" s="33" t="n">
        <v>46590</v>
      </c>
      <c r="N4729" s="16" t="s">
        <v>14652</v>
      </c>
      <c r="O4729" s="16" t="s">
        <v>1299</v>
      </c>
      <c r="P4729" s="16" t="str">
        <f aca="false">IF(AND(L4729&lt;=$D$2,M4729&gt;=$C$2),"Sí","")</f>
        <v/>
      </c>
      <c r="Q4729" s="18" t="str">
        <f aca="false">IF(COUNTIF(LOOKAHEAD!$A$5:$A$604,A4729)&gt;0,"En Lookahead",IF(P4729="Sí","INCORPORAR",""))</f>
        <v/>
      </c>
    </row>
    <row r="4730" customFormat="false" ht="15" hidden="false" customHeight="false" outlineLevel="0" collapsed="false">
      <c r="A4730" s="16" t="s">
        <v>14824</v>
      </c>
      <c r="B4730" s="16" t="n">
        <v>4725</v>
      </c>
      <c r="C4730" s="16" t="s">
        <v>14825</v>
      </c>
      <c r="D4730" s="16" t="n">
        <v>8</v>
      </c>
      <c r="E4730" s="39" t="s">
        <v>14319</v>
      </c>
      <c r="F4730" s="16" t="s">
        <v>1285</v>
      </c>
      <c r="G4730" s="16" t="s">
        <v>1063</v>
      </c>
      <c r="H4730" s="16" t="s">
        <v>14297</v>
      </c>
      <c r="I4730" s="16" t="s">
        <v>136</v>
      </c>
      <c r="J4730" s="16" t="s">
        <v>14515</v>
      </c>
      <c r="K4730" s="32" t="n">
        <v>50</v>
      </c>
      <c r="L4730" s="33" t="n">
        <v>46541</v>
      </c>
      <c r="M4730" s="33" t="n">
        <v>46590</v>
      </c>
      <c r="N4730" s="16" t="s">
        <v>14652</v>
      </c>
      <c r="O4730" s="16" t="s">
        <v>1299</v>
      </c>
      <c r="P4730" s="16" t="str">
        <f aca="false">IF(AND(L4730&lt;=$D$2,M4730&gt;=$C$2),"Sí","")</f>
        <v/>
      </c>
      <c r="Q4730" s="18" t="str">
        <f aca="false">IF(COUNTIF(LOOKAHEAD!$A$5:$A$604,A4730)&gt;0,"En Lookahead",IF(P4730="Sí","INCORPORAR",""))</f>
        <v/>
      </c>
    </row>
    <row r="4731" customFormat="false" ht="15" hidden="false" customHeight="false" outlineLevel="0" collapsed="false">
      <c r="A4731" s="16" t="s">
        <v>14826</v>
      </c>
      <c r="B4731" s="16" t="n">
        <v>4726</v>
      </c>
      <c r="C4731" s="16" t="s">
        <v>14827</v>
      </c>
      <c r="D4731" s="16" t="n">
        <v>8</v>
      </c>
      <c r="E4731" s="39" t="s">
        <v>14322</v>
      </c>
      <c r="F4731" s="16" t="s">
        <v>1285</v>
      </c>
      <c r="G4731" s="16" t="s">
        <v>1063</v>
      </c>
      <c r="H4731" s="16" t="s">
        <v>14297</v>
      </c>
      <c r="I4731" s="16" t="s">
        <v>136</v>
      </c>
      <c r="J4731" s="16" t="s">
        <v>14515</v>
      </c>
      <c r="K4731" s="32" t="n">
        <v>50</v>
      </c>
      <c r="L4731" s="33" t="n">
        <v>46541</v>
      </c>
      <c r="M4731" s="33" t="n">
        <v>46590</v>
      </c>
      <c r="N4731" s="16" t="s">
        <v>14652</v>
      </c>
      <c r="O4731" s="16" t="s">
        <v>1299</v>
      </c>
      <c r="P4731" s="16" t="str">
        <f aca="false">IF(AND(L4731&lt;=$D$2,M4731&gt;=$C$2),"Sí","")</f>
        <v/>
      </c>
      <c r="Q4731" s="18" t="str">
        <f aca="false">IF(COUNTIF(LOOKAHEAD!$A$5:$A$604,A4731)&gt;0,"En Lookahead",IF(P4731="Sí","INCORPORAR",""))</f>
        <v/>
      </c>
    </row>
    <row r="4732" customFormat="false" ht="15" hidden="false" customHeight="false" outlineLevel="0" collapsed="false">
      <c r="A4732" s="16" t="s">
        <v>14828</v>
      </c>
      <c r="B4732" s="16" t="n">
        <v>4727</v>
      </c>
      <c r="C4732" s="16" t="s">
        <v>14829</v>
      </c>
      <c r="D4732" s="16" t="n">
        <v>8</v>
      </c>
      <c r="E4732" s="39" t="s">
        <v>14325</v>
      </c>
      <c r="F4732" s="16" t="s">
        <v>1285</v>
      </c>
      <c r="G4732" s="16" t="s">
        <v>1063</v>
      </c>
      <c r="H4732" s="16" t="s">
        <v>14297</v>
      </c>
      <c r="I4732" s="16" t="s">
        <v>136</v>
      </c>
      <c r="J4732" s="16" t="s">
        <v>14515</v>
      </c>
      <c r="K4732" s="32" t="n">
        <v>50</v>
      </c>
      <c r="L4732" s="33" t="n">
        <v>46541</v>
      </c>
      <c r="M4732" s="33" t="n">
        <v>46590</v>
      </c>
      <c r="N4732" s="16" t="s">
        <v>14652</v>
      </c>
      <c r="O4732" s="16" t="s">
        <v>1299</v>
      </c>
      <c r="P4732" s="16" t="str">
        <f aca="false">IF(AND(L4732&lt;=$D$2,M4732&gt;=$C$2),"Sí","")</f>
        <v/>
      </c>
      <c r="Q4732" s="18" t="str">
        <f aca="false">IF(COUNTIF(LOOKAHEAD!$A$5:$A$604,A4732)&gt;0,"En Lookahead",IF(P4732="Sí","INCORPORAR",""))</f>
        <v/>
      </c>
    </row>
    <row r="4733" customFormat="false" ht="15" hidden="false" customHeight="false" outlineLevel="0" collapsed="false">
      <c r="A4733" s="13" t="s">
        <v>14830</v>
      </c>
      <c r="B4733" s="13" t="n">
        <v>4728</v>
      </c>
      <c r="C4733" s="13" t="s">
        <v>14831</v>
      </c>
      <c r="D4733" s="13" t="n">
        <v>7</v>
      </c>
      <c r="E4733" s="38" t="s">
        <v>14509</v>
      </c>
      <c r="F4733" s="13" t="s">
        <v>1298</v>
      </c>
      <c r="G4733" s="13" t="s">
        <v>1063</v>
      </c>
      <c r="H4733" s="13" t="s">
        <v>14297</v>
      </c>
      <c r="I4733" s="13" t="s">
        <v>136</v>
      </c>
      <c r="J4733" s="13" t="s">
        <v>14302</v>
      </c>
      <c r="K4733" s="30" t="n">
        <v>50</v>
      </c>
      <c r="L4733" s="31" t="n">
        <v>46541</v>
      </c>
      <c r="M4733" s="31" t="n">
        <v>46590</v>
      </c>
      <c r="N4733" s="13"/>
      <c r="O4733" s="13" t="s">
        <v>1299</v>
      </c>
      <c r="P4733" s="13"/>
      <c r="Q4733" s="13"/>
    </row>
    <row r="4734" customFormat="false" ht="15" hidden="false" customHeight="false" outlineLevel="0" collapsed="false">
      <c r="A4734" s="16" t="s">
        <v>14832</v>
      </c>
      <c r="B4734" s="16" t="n">
        <v>4729</v>
      </c>
      <c r="C4734" s="16" t="s">
        <v>14833</v>
      </c>
      <c r="D4734" s="16" t="n">
        <v>8</v>
      </c>
      <c r="E4734" s="39" t="s">
        <v>14512</v>
      </c>
      <c r="F4734" s="16" t="s">
        <v>1285</v>
      </c>
      <c r="G4734" s="16" t="s">
        <v>1063</v>
      </c>
      <c r="H4734" s="16" t="s">
        <v>14297</v>
      </c>
      <c r="I4734" s="16" t="s">
        <v>136</v>
      </c>
      <c r="J4734" s="16" t="s">
        <v>14509</v>
      </c>
      <c r="K4734" s="32" t="n">
        <v>50</v>
      </c>
      <c r="L4734" s="33" t="n">
        <v>46541</v>
      </c>
      <c r="M4734" s="33" t="n">
        <v>46590</v>
      </c>
      <c r="N4734" s="16" t="s">
        <v>14652</v>
      </c>
      <c r="O4734" s="16" t="s">
        <v>1299</v>
      </c>
      <c r="P4734" s="16" t="str">
        <f aca="false">IF(AND(L4734&lt;=$D$2,M4734&gt;=$C$2),"Sí","")</f>
        <v/>
      </c>
      <c r="Q4734" s="18" t="str">
        <f aca="false">IF(COUNTIF(LOOKAHEAD!$A$5:$A$604,A4734)&gt;0,"En Lookahead",IF(P4734="Sí","INCORPORAR",""))</f>
        <v/>
      </c>
    </row>
    <row r="4735" customFormat="false" ht="15" hidden="false" customHeight="false" outlineLevel="0" collapsed="false">
      <c r="A4735" s="13" t="s">
        <v>14834</v>
      </c>
      <c r="B4735" s="13" t="n">
        <v>4730</v>
      </c>
      <c r="C4735" s="13" t="s">
        <v>14835</v>
      </c>
      <c r="D4735" s="13" t="n">
        <v>7</v>
      </c>
      <c r="E4735" s="38" t="s">
        <v>14503</v>
      </c>
      <c r="F4735" s="13" t="s">
        <v>1298</v>
      </c>
      <c r="G4735" s="13" t="s">
        <v>1063</v>
      </c>
      <c r="H4735" s="13" t="s">
        <v>14297</v>
      </c>
      <c r="I4735" s="13" t="s">
        <v>136</v>
      </c>
      <c r="J4735" s="13" t="s">
        <v>14302</v>
      </c>
      <c r="K4735" s="30" t="n">
        <v>50</v>
      </c>
      <c r="L4735" s="31" t="n">
        <v>46541</v>
      </c>
      <c r="M4735" s="31" t="n">
        <v>46590</v>
      </c>
      <c r="N4735" s="13"/>
      <c r="O4735" s="13" t="s">
        <v>1299</v>
      </c>
      <c r="P4735" s="13"/>
      <c r="Q4735" s="13"/>
    </row>
    <row r="4736" customFormat="false" ht="15" hidden="false" customHeight="false" outlineLevel="0" collapsed="false">
      <c r="A4736" s="16" t="s">
        <v>14836</v>
      </c>
      <c r="B4736" s="16" t="n">
        <v>4731</v>
      </c>
      <c r="C4736" s="16" t="s">
        <v>14837</v>
      </c>
      <c r="D4736" s="16" t="n">
        <v>8</v>
      </c>
      <c r="E4736" s="39" t="s">
        <v>14506</v>
      </c>
      <c r="F4736" s="16" t="s">
        <v>1285</v>
      </c>
      <c r="G4736" s="16" t="s">
        <v>1063</v>
      </c>
      <c r="H4736" s="16" t="s">
        <v>14297</v>
      </c>
      <c r="I4736" s="16" t="s">
        <v>136</v>
      </c>
      <c r="J4736" s="16" t="s">
        <v>14503</v>
      </c>
      <c r="K4736" s="32" t="n">
        <v>50</v>
      </c>
      <c r="L4736" s="33" t="n">
        <v>46541</v>
      </c>
      <c r="M4736" s="33" t="n">
        <v>46590</v>
      </c>
      <c r="N4736" s="16" t="s">
        <v>14652</v>
      </c>
      <c r="O4736" s="16" t="s">
        <v>1299</v>
      </c>
      <c r="P4736" s="16" t="str">
        <f aca="false">IF(AND(L4736&lt;=$D$2,M4736&gt;=$C$2),"Sí","")</f>
        <v/>
      </c>
      <c r="Q4736" s="18" t="str">
        <f aca="false">IF(COUNTIF(LOOKAHEAD!$A$5:$A$604,A4736)&gt;0,"En Lookahead",IF(P4736="Sí","INCORPORAR",""))</f>
        <v/>
      </c>
    </row>
    <row r="4737" customFormat="false" ht="15" hidden="false" customHeight="false" outlineLevel="0" collapsed="false">
      <c r="A4737" s="13" t="s">
        <v>14838</v>
      </c>
      <c r="B4737" s="13" t="n">
        <v>4732</v>
      </c>
      <c r="C4737" s="13" t="s">
        <v>14839</v>
      </c>
      <c r="D4737" s="13" t="n">
        <v>7</v>
      </c>
      <c r="E4737" s="38" t="s">
        <v>14840</v>
      </c>
      <c r="F4737" s="13" t="s">
        <v>1298</v>
      </c>
      <c r="G4737" s="13" t="s">
        <v>1063</v>
      </c>
      <c r="H4737" s="13" t="s">
        <v>14297</v>
      </c>
      <c r="I4737" s="13" t="s">
        <v>136</v>
      </c>
      <c r="J4737" s="13" t="s">
        <v>14302</v>
      </c>
      <c r="K4737" s="30" t="n">
        <v>50</v>
      </c>
      <c r="L4737" s="31" t="n">
        <v>46541</v>
      </c>
      <c r="M4737" s="31" t="n">
        <v>46590</v>
      </c>
      <c r="N4737" s="13"/>
      <c r="O4737" s="13" t="s">
        <v>1299</v>
      </c>
      <c r="P4737" s="13"/>
      <c r="Q4737" s="13"/>
    </row>
    <row r="4738" customFormat="false" ht="15" hidden="false" customHeight="false" outlineLevel="0" collapsed="false">
      <c r="A4738" s="16" t="s">
        <v>14841</v>
      </c>
      <c r="B4738" s="16" t="n">
        <v>4733</v>
      </c>
      <c r="C4738" s="16" t="s">
        <v>14842</v>
      </c>
      <c r="D4738" s="16" t="n">
        <v>8</v>
      </c>
      <c r="E4738" s="39" t="s">
        <v>14308</v>
      </c>
      <c r="F4738" s="16" t="s">
        <v>1285</v>
      </c>
      <c r="G4738" s="16" t="s">
        <v>1063</v>
      </c>
      <c r="H4738" s="16" t="s">
        <v>14297</v>
      </c>
      <c r="I4738" s="16" t="s">
        <v>136</v>
      </c>
      <c r="J4738" s="16" t="s">
        <v>14840</v>
      </c>
      <c r="K4738" s="32" t="n">
        <v>50</v>
      </c>
      <c r="L4738" s="33" t="n">
        <v>46541</v>
      </c>
      <c r="M4738" s="33" t="n">
        <v>46590</v>
      </c>
      <c r="N4738" s="16" t="s">
        <v>14652</v>
      </c>
      <c r="O4738" s="16" t="s">
        <v>1299</v>
      </c>
      <c r="P4738" s="16" t="str">
        <f aca="false">IF(AND(L4738&lt;=$D$2,M4738&gt;=$C$2),"Sí","")</f>
        <v/>
      </c>
      <c r="Q4738" s="18" t="str">
        <f aca="false">IF(COUNTIF(LOOKAHEAD!$A$5:$A$604,A4738)&gt;0,"En Lookahead",IF(P4738="Sí","INCORPORAR",""))</f>
        <v/>
      </c>
    </row>
    <row r="4739" customFormat="false" ht="15" hidden="false" customHeight="false" outlineLevel="0" collapsed="false">
      <c r="A4739" s="16" t="s">
        <v>14843</v>
      </c>
      <c r="B4739" s="16" t="n">
        <v>4734</v>
      </c>
      <c r="C4739" s="16" t="s">
        <v>14844</v>
      </c>
      <c r="D4739" s="16" t="n">
        <v>8</v>
      </c>
      <c r="E4739" s="39" t="s">
        <v>14709</v>
      </c>
      <c r="F4739" s="16" t="s">
        <v>1285</v>
      </c>
      <c r="G4739" s="16" t="s">
        <v>1063</v>
      </c>
      <c r="H4739" s="16" t="s">
        <v>14297</v>
      </c>
      <c r="I4739" s="16" t="s">
        <v>136</v>
      </c>
      <c r="J4739" s="16" t="s">
        <v>14840</v>
      </c>
      <c r="K4739" s="32" t="n">
        <v>50</v>
      </c>
      <c r="L4739" s="33" t="n">
        <v>46541</v>
      </c>
      <c r="M4739" s="33" t="n">
        <v>46590</v>
      </c>
      <c r="N4739" s="16" t="s">
        <v>14652</v>
      </c>
      <c r="O4739" s="16" t="s">
        <v>1299</v>
      </c>
      <c r="P4739" s="16" t="str">
        <f aca="false">IF(AND(L4739&lt;=$D$2,M4739&gt;=$C$2),"Sí","")</f>
        <v/>
      </c>
      <c r="Q4739" s="18" t="str">
        <f aca="false">IF(COUNTIF(LOOKAHEAD!$A$5:$A$604,A4739)&gt;0,"En Lookahead",IF(P4739="Sí","INCORPORAR",""))</f>
        <v/>
      </c>
    </row>
    <row r="4740" customFormat="false" ht="15" hidden="false" customHeight="false" outlineLevel="0" collapsed="false">
      <c r="A4740" s="16" t="s">
        <v>14845</v>
      </c>
      <c r="B4740" s="16" t="n">
        <v>4735</v>
      </c>
      <c r="C4740" s="16" t="s">
        <v>14846</v>
      </c>
      <c r="D4740" s="16" t="n">
        <v>8</v>
      </c>
      <c r="E4740" s="39" t="s">
        <v>14392</v>
      </c>
      <c r="F4740" s="16" t="s">
        <v>1285</v>
      </c>
      <c r="G4740" s="16" t="s">
        <v>1063</v>
      </c>
      <c r="H4740" s="16" t="s">
        <v>14297</v>
      </c>
      <c r="I4740" s="16" t="s">
        <v>136</v>
      </c>
      <c r="J4740" s="16" t="s">
        <v>14840</v>
      </c>
      <c r="K4740" s="32" t="n">
        <v>50</v>
      </c>
      <c r="L4740" s="33" t="n">
        <v>46541</v>
      </c>
      <c r="M4740" s="33" t="n">
        <v>46590</v>
      </c>
      <c r="N4740" s="16" t="s">
        <v>14652</v>
      </c>
      <c r="O4740" s="16" t="s">
        <v>1299</v>
      </c>
      <c r="P4740" s="16" t="str">
        <f aca="false">IF(AND(L4740&lt;=$D$2,M4740&gt;=$C$2),"Sí","")</f>
        <v/>
      </c>
      <c r="Q4740" s="18" t="str">
        <f aca="false">IF(COUNTIF(LOOKAHEAD!$A$5:$A$604,A4740)&gt;0,"En Lookahead",IF(P4740="Sí","INCORPORAR",""))</f>
        <v/>
      </c>
    </row>
    <row r="4741" customFormat="false" ht="15" hidden="false" customHeight="false" outlineLevel="0" collapsed="false">
      <c r="A4741" s="16" t="s">
        <v>14847</v>
      </c>
      <c r="B4741" s="16" t="n">
        <v>4736</v>
      </c>
      <c r="C4741" s="16" t="s">
        <v>14848</v>
      </c>
      <c r="D4741" s="16" t="n">
        <v>8</v>
      </c>
      <c r="E4741" s="39" t="s">
        <v>14484</v>
      </c>
      <c r="F4741" s="16" t="s">
        <v>1285</v>
      </c>
      <c r="G4741" s="16" t="s">
        <v>1063</v>
      </c>
      <c r="H4741" s="16" t="s">
        <v>14297</v>
      </c>
      <c r="I4741" s="16" t="s">
        <v>136</v>
      </c>
      <c r="J4741" s="16" t="s">
        <v>14840</v>
      </c>
      <c r="K4741" s="32" t="n">
        <v>50</v>
      </c>
      <c r="L4741" s="33" t="n">
        <v>46541</v>
      </c>
      <c r="M4741" s="33" t="n">
        <v>46590</v>
      </c>
      <c r="N4741" s="16" t="s">
        <v>14652</v>
      </c>
      <c r="O4741" s="16" t="s">
        <v>1299</v>
      </c>
      <c r="P4741" s="16" t="str">
        <f aca="false">IF(AND(L4741&lt;=$D$2,M4741&gt;=$C$2),"Sí","")</f>
        <v/>
      </c>
      <c r="Q4741" s="18" t="str">
        <f aca="false">IF(COUNTIF(LOOKAHEAD!$A$5:$A$604,A4741)&gt;0,"En Lookahead",IF(P4741="Sí","INCORPORAR",""))</f>
        <v/>
      </c>
    </row>
    <row r="4742" customFormat="false" ht="15" hidden="false" customHeight="false" outlineLevel="0" collapsed="false">
      <c r="A4742" s="16" t="s">
        <v>14849</v>
      </c>
      <c r="B4742" s="16" t="n">
        <v>4737</v>
      </c>
      <c r="C4742" s="16" t="s">
        <v>14850</v>
      </c>
      <c r="D4742" s="16" t="n">
        <v>8</v>
      </c>
      <c r="E4742" s="39" t="s">
        <v>14316</v>
      </c>
      <c r="F4742" s="16" t="s">
        <v>1285</v>
      </c>
      <c r="G4742" s="16" t="s">
        <v>1063</v>
      </c>
      <c r="H4742" s="16" t="s">
        <v>14297</v>
      </c>
      <c r="I4742" s="16" t="s">
        <v>136</v>
      </c>
      <c r="J4742" s="16" t="s">
        <v>14840</v>
      </c>
      <c r="K4742" s="32" t="n">
        <v>50</v>
      </c>
      <c r="L4742" s="33" t="n">
        <v>46541</v>
      </c>
      <c r="M4742" s="33" t="n">
        <v>46590</v>
      </c>
      <c r="N4742" s="16" t="s">
        <v>14652</v>
      </c>
      <c r="O4742" s="16" t="s">
        <v>1299</v>
      </c>
      <c r="P4742" s="16" t="str">
        <f aca="false">IF(AND(L4742&lt;=$D$2,M4742&gt;=$C$2),"Sí","")</f>
        <v/>
      </c>
      <c r="Q4742" s="18" t="str">
        <f aca="false">IF(COUNTIF(LOOKAHEAD!$A$5:$A$604,A4742)&gt;0,"En Lookahead",IF(P4742="Sí","INCORPORAR",""))</f>
        <v/>
      </c>
    </row>
    <row r="4743" customFormat="false" ht="15" hidden="false" customHeight="false" outlineLevel="0" collapsed="false">
      <c r="A4743" s="16" t="s">
        <v>14851</v>
      </c>
      <c r="B4743" s="16" t="n">
        <v>4738</v>
      </c>
      <c r="C4743" s="16" t="s">
        <v>14852</v>
      </c>
      <c r="D4743" s="16" t="n">
        <v>8</v>
      </c>
      <c r="E4743" s="39" t="s">
        <v>14319</v>
      </c>
      <c r="F4743" s="16" t="s">
        <v>1285</v>
      </c>
      <c r="G4743" s="16" t="s">
        <v>1063</v>
      </c>
      <c r="H4743" s="16" t="s">
        <v>14297</v>
      </c>
      <c r="I4743" s="16" t="s">
        <v>136</v>
      </c>
      <c r="J4743" s="16" t="s">
        <v>14840</v>
      </c>
      <c r="K4743" s="32" t="n">
        <v>50</v>
      </c>
      <c r="L4743" s="33" t="n">
        <v>46541</v>
      </c>
      <c r="M4743" s="33" t="n">
        <v>46590</v>
      </c>
      <c r="N4743" s="16" t="s">
        <v>14652</v>
      </c>
      <c r="O4743" s="16" t="s">
        <v>1299</v>
      </c>
      <c r="P4743" s="16" t="str">
        <f aca="false">IF(AND(L4743&lt;=$D$2,M4743&gt;=$C$2),"Sí","")</f>
        <v/>
      </c>
      <c r="Q4743" s="18" t="str">
        <f aca="false">IF(COUNTIF(LOOKAHEAD!$A$5:$A$604,A4743)&gt;0,"En Lookahead",IF(P4743="Sí","INCORPORAR",""))</f>
        <v/>
      </c>
    </row>
    <row r="4744" customFormat="false" ht="15" hidden="false" customHeight="false" outlineLevel="0" collapsed="false">
      <c r="A4744" s="16" t="s">
        <v>14853</v>
      </c>
      <c r="B4744" s="16" t="n">
        <v>4739</v>
      </c>
      <c r="C4744" s="16" t="s">
        <v>14854</v>
      </c>
      <c r="D4744" s="16" t="n">
        <v>8</v>
      </c>
      <c r="E4744" s="39" t="s">
        <v>14322</v>
      </c>
      <c r="F4744" s="16" t="s">
        <v>1285</v>
      </c>
      <c r="G4744" s="16" t="s">
        <v>1063</v>
      </c>
      <c r="H4744" s="16" t="s">
        <v>14297</v>
      </c>
      <c r="I4744" s="16" t="s">
        <v>136</v>
      </c>
      <c r="J4744" s="16" t="s">
        <v>14840</v>
      </c>
      <c r="K4744" s="32" t="n">
        <v>50</v>
      </c>
      <c r="L4744" s="33" t="n">
        <v>46541</v>
      </c>
      <c r="M4744" s="33" t="n">
        <v>46590</v>
      </c>
      <c r="N4744" s="16" t="s">
        <v>14652</v>
      </c>
      <c r="O4744" s="16" t="s">
        <v>1299</v>
      </c>
      <c r="P4744" s="16" t="str">
        <f aca="false">IF(AND(L4744&lt;=$D$2,M4744&gt;=$C$2),"Sí","")</f>
        <v/>
      </c>
      <c r="Q4744" s="18" t="str">
        <f aca="false">IF(COUNTIF(LOOKAHEAD!$A$5:$A$604,A4744)&gt;0,"En Lookahead",IF(P4744="Sí","INCORPORAR",""))</f>
        <v/>
      </c>
    </row>
    <row r="4745" customFormat="false" ht="15" hidden="false" customHeight="false" outlineLevel="0" collapsed="false">
      <c r="A4745" s="13" t="s">
        <v>14855</v>
      </c>
      <c r="B4745" s="13" t="n">
        <v>4740</v>
      </c>
      <c r="C4745" s="13" t="s">
        <v>14856</v>
      </c>
      <c r="D4745" s="13" t="n">
        <v>7</v>
      </c>
      <c r="E4745" s="38" t="s">
        <v>14509</v>
      </c>
      <c r="F4745" s="13" t="s">
        <v>1298</v>
      </c>
      <c r="G4745" s="13" t="s">
        <v>1063</v>
      </c>
      <c r="H4745" s="13" t="s">
        <v>14297</v>
      </c>
      <c r="I4745" s="13" t="s">
        <v>136</v>
      </c>
      <c r="J4745" s="13" t="s">
        <v>14302</v>
      </c>
      <c r="K4745" s="30" t="n">
        <v>50</v>
      </c>
      <c r="L4745" s="31" t="n">
        <v>46541</v>
      </c>
      <c r="M4745" s="31" t="n">
        <v>46590</v>
      </c>
      <c r="N4745" s="13"/>
      <c r="O4745" s="13" t="s">
        <v>1299</v>
      </c>
      <c r="P4745" s="13"/>
      <c r="Q4745" s="13"/>
    </row>
    <row r="4746" customFormat="false" ht="15" hidden="false" customHeight="false" outlineLevel="0" collapsed="false">
      <c r="A4746" s="16" t="s">
        <v>14857</v>
      </c>
      <c r="B4746" s="16" t="n">
        <v>4741</v>
      </c>
      <c r="C4746" s="16" t="s">
        <v>14858</v>
      </c>
      <c r="D4746" s="16" t="n">
        <v>8</v>
      </c>
      <c r="E4746" s="39" t="s">
        <v>14512</v>
      </c>
      <c r="F4746" s="16" t="s">
        <v>1285</v>
      </c>
      <c r="G4746" s="16" t="s">
        <v>1063</v>
      </c>
      <c r="H4746" s="16" t="s">
        <v>14297</v>
      </c>
      <c r="I4746" s="16" t="s">
        <v>136</v>
      </c>
      <c r="J4746" s="16" t="s">
        <v>14509</v>
      </c>
      <c r="K4746" s="32" t="n">
        <v>50</v>
      </c>
      <c r="L4746" s="33" t="n">
        <v>46541</v>
      </c>
      <c r="M4746" s="33" t="n">
        <v>46590</v>
      </c>
      <c r="N4746" s="16" t="s">
        <v>14652</v>
      </c>
      <c r="O4746" s="16" t="s">
        <v>1299</v>
      </c>
      <c r="P4746" s="16" t="str">
        <f aca="false">IF(AND(L4746&lt;=$D$2,M4746&gt;=$C$2),"Sí","")</f>
        <v/>
      </c>
      <c r="Q4746" s="18" t="str">
        <f aca="false">IF(COUNTIF(LOOKAHEAD!$A$5:$A$604,A4746)&gt;0,"En Lookahead",IF(P4746="Sí","INCORPORAR",""))</f>
        <v/>
      </c>
    </row>
    <row r="4747" customFormat="false" ht="15" hidden="false" customHeight="false" outlineLevel="0" collapsed="false">
      <c r="A4747" s="13" t="s">
        <v>14859</v>
      </c>
      <c r="B4747" s="13" t="n">
        <v>4742</v>
      </c>
      <c r="C4747" s="13" t="s">
        <v>14860</v>
      </c>
      <c r="D4747" s="13" t="n">
        <v>7</v>
      </c>
      <c r="E4747" s="38" t="s">
        <v>14861</v>
      </c>
      <c r="F4747" s="13" t="s">
        <v>1298</v>
      </c>
      <c r="G4747" s="13" t="s">
        <v>1063</v>
      </c>
      <c r="H4747" s="13" t="s">
        <v>14297</v>
      </c>
      <c r="I4747" s="13" t="s">
        <v>136</v>
      </c>
      <c r="J4747" s="13" t="s">
        <v>14302</v>
      </c>
      <c r="K4747" s="30" t="n">
        <v>50</v>
      </c>
      <c r="L4747" s="31" t="n">
        <v>46541</v>
      </c>
      <c r="M4747" s="31" t="n">
        <v>46590</v>
      </c>
      <c r="N4747" s="13"/>
      <c r="O4747" s="13" t="s">
        <v>1299</v>
      </c>
      <c r="P4747" s="13"/>
      <c r="Q4747" s="13"/>
    </row>
    <row r="4748" customFormat="false" ht="15" hidden="false" customHeight="false" outlineLevel="0" collapsed="false">
      <c r="A4748" s="16" t="s">
        <v>14862</v>
      </c>
      <c r="B4748" s="16" t="n">
        <v>4743</v>
      </c>
      <c r="C4748" s="16" t="s">
        <v>14863</v>
      </c>
      <c r="D4748" s="16" t="n">
        <v>8</v>
      </c>
      <c r="E4748" s="39" t="s">
        <v>14308</v>
      </c>
      <c r="F4748" s="16" t="s">
        <v>1285</v>
      </c>
      <c r="G4748" s="16" t="s">
        <v>1063</v>
      </c>
      <c r="H4748" s="16" t="s">
        <v>14297</v>
      </c>
      <c r="I4748" s="16" t="s">
        <v>136</v>
      </c>
      <c r="J4748" s="16" t="s">
        <v>14861</v>
      </c>
      <c r="K4748" s="32" t="n">
        <v>50</v>
      </c>
      <c r="L4748" s="33" t="n">
        <v>46541</v>
      </c>
      <c r="M4748" s="33" t="n">
        <v>46590</v>
      </c>
      <c r="N4748" s="16" t="s">
        <v>14652</v>
      </c>
      <c r="O4748" s="16" t="s">
        <v>1299</v>
      </c>
      <c r="P4748" s="16" t="str">
        <f aca="false">IF(AND(L4748&lt;=$D$2,M4748&gt;=$C$2),"Sí","")</f>
        <v/>
      </c>
      <c r="Q4748" s="18" t="str">
        <f aca="false">IF(COUNTIF(LOOKAHEAD!$A$5:$A$604,A4748)&gt;0,"En Lookahead",IF(P4748="Sí","INCORPORAR",""))</f>
        <v/>
      </c>
    </row>
    <row r="4749" customFormat="false" ht="15" hidden="false" customHeight="false" outlineLevel="0" collapsed="false">
      <c r="A4749" s="16" t="s">
        <v>14864</v>
      </c>
      <c r="B4749" s="16" t="n">
        <v>4744</v>
      </c>
      <c r="C4749" s="16" t="s">
        <v>14865</v>
      </c>
      <c r="D4749" s="16" t="n">
        <v>8</v>
      </c>
      <c r="E4749" s="39" t="s">
        <v>14709</v>
      </c>
      <c r="F4749" s="16" t="s">
        <v>1285</v>
      </c>
      <c r="G4749" s="16" t="s">
        <v>1063</v>
      </c>
      <c r="H4749" s="16" t="s">
        <v>14297</v>
      </c>
      <c r="I4749" s="16" t="s">
        <v>136</v>
      </c>
      <c r="J4749" s="16" t="s">
        <v>14861</v>
      </c>
      <c r="K4749" s="32" t="n">
        <v>50</v>
      </c>
      <c r="L4749" s="33" t="n">
        <v>46541</v>
      </c>
      <c r="M4749" s="33" t="n">
        <v>46590</v>
      </c>
      <c r="N4749" s="16" t="s">
        <v>14652</v>
      </c>
      <c r="O4749" s="16" t="s">
        <v>1299</v>
      </c>
      <c r="P4749" s="16" t="str">
        <f aca="false">IF(AND(L4749&lt;=$D$2,M4749&gt;=$C$2),"Sí","")</f>
        <v/>
      </c>
      <c r="Q4749" s="18" t="str">
        <f aca="false">IF(COUNTIF(LOOKAHEAD!$A$5:$A$604,A4749)&gt;0,"En Lookahead",IF(P4749="Sí","INCORPORAR",""))</f>
        <v/>
      </c>
    </row>
    <row r="4750" customFormat="false" ht="15" hidden="false" customHeight="false" outlineLevel="0" collapsed="false">
      <c r="A4750" s="16" t="s">
        <v>14866</v>
      </c>
      <c r="B4750" s="16" t="n">
        <v>4745</v>
      </c>
      <c r="C4750" s="16" t="s">
        <v>14867</v>
      </c>
      <c r="D4750" s="16" t="n">
        <v>8</v>
      </c>
      <c r="E4750" s="39" t="s">
        <v>14319</v>
      </c>
      <c r="F4750" s="16" t="s">
        <v>1285</v>
      </c>
      <c r="G4750" s="16" t="s">
        <v>1063</v>
      </c>
      <c r="H4750" s="16" t="s">
        <v>14297</v>
      </c>
      <c r="I4750" s="16" t="s">
        <v>136</v>
      </c>
      <c r="J4750" s="16" t="s">
        <v>14861</v>
      </c>
      <c r="K4750" s="32" t="n">
        <v>50</v>
      </c>
      <c r="L4750" s="33" t="n">
        <v>46541</v>
      </c>
      <c r="M4750" s="33" t="n">
        <v>46590</v>
      </c>
      <c r="N4750" s="16" t="s">
        <v>14652</v>
      </c>
      <c r="O4750" s="16" t="s">
        <v>1299</v>
      </c>
      <c r="P4750" s="16" t="str">
        <f aca="false">IF(AND(L4750&lt;=$D$2,M4750&gt;=$C$2),"Sí","")</f>
        <v/>
      </c>
      <c r="Q4750" s="18" t="str">
        <f aca="false">IF(COUNTIF(LOOKAHEAD!$A$5:$A$604,A4750)&gt;0,"En Lookahead",IF(P4750="Sí","INCORPORAR",""))</f>
        <v/>
      </c>
    </row>
    <row r="4751" customFormat="false" ht="15" hidden="false" customHeight="false" outlineLevel="0" collapsed="false">
      <c r="A4751" s="16" t="s">
        <v>14868</v>
      </c>
      <c r="B4751" s="16" t="n">
        <v>4746</v>
      </c>
      <c r="C4751" s="16" t="s">
        <v>14869</v>
      </c>
      <c r="D4751" s="16" t="n">
        <v>8</v>
      </c>
      <c r="E4751" s="39" t="s">
        <v>14322</v>
      </c>
      <c r="F4751" s="16" t="s">
        <v>1285</v>
      </c>
      <c r="G4751" s="16" t="s">
        <v>1063</v>
      </c>
      <c r="H4751" s="16" t="s">
        <v>14297</v>
      </c>
      <c r="I4751" s="16" t="s">
        <v>136</v>
      </c>
      <c r="J4751" s="16" t="s">
        <v>14861</v>
      </c>
      <c r="K4751" s="32" t="n">
        <v>50</v>
      </c>
      <c r="L4751" s="33" t="n">
        <v>46541</v>
      </c>
      <c r="M4751" s="33" t="n">
        <v>46590</v>
      </c>
      <c r="N4751" s="16" t="s">
        <v>14652</v>
      </c>
      <c r="O4751" s="16" t="s">
        <v>1299</v>
      </c>
      <c r="P4751" s="16" t="str">
        <f aca="false">IF(AND(L4751&lt;=$D$2,M4751&gt;=$C$2),"Sí","")</f>
        <v/>
      </c>
      <c r="Q4751" s="18" t="str">
        <f aca="false">IF(COUNTIF(LOOKAHEAD!$A$5:$A$604,A4751)&gt;0,"En Lookahead",IF(P4751="Sí","INCORPORAR",""))</f>
        <v/>
      </c>
    </row>
    <row r="4752" customFormat="false" ht="15" hidden="false" customHeight="false" outlineLevel="0" collapsed="false">
      <c r="A4752" s="16" t="s">
        <v>14870</v>
      </c>
      <c r="B4752" s="16" t="n">
        <v>4747</v>
      </c>
      <c r="C4752" s="16" t="s">
        <v>14871</v>
      </c>
      <c r="D4752" s="16" t="n">
        <v>8</v>
      </c>
      <c r="E4752" s="39" t="s">
        <v>14872</v>
      </c>
      <c r="F4752" s="16" t="s">
        <v>1285</v>
      </c>
      <c r="G4752" s="16" t="s">
        <v>1063</v>
      </c>
      <c r="H4752" s="16" t="s">
        <v>14297</v>
      </c>
      <c r="I4752" s="16" t="s">
        <v>136</v>
      </c>
      <c r="J4752" s="16" t="s">
        <v>14861</v>
      </c>
      <c r="K4752" s="32" t="n">
        <v>50</v>
      </c>
      <c r="L4752" s="33" t="n">
        <v>46541</v>
      </c>
      <c r="M4752" s="33" t="n">
        <v>46590</v>
      </c>
      <c r="N4752" s="16" t="s">
        <v>14652</v>
      </c>
      <c r="O4752" s="16" t="s">
        <v>1299</v>
      </c>
      <c r="P4752" s="16" t="str">
        <f aca="false">IF(AND(L4752&lt;=$D$2,M4752&gt;=$C$2),"Sí","")</f>
        <v/>
      </c>
      <c r="Q4752" s="18" t="str">
        <f aca="false">IF(COUNTIF(LOOKAHEAD!$A$5:$A$604,A4752)&gt;0,"En Lookahead",IF(P4752="Sí","INCORPORAR",""))</f>
        <v/>
      </c>
    </row>
    <row r="4753" customFormat="false" ht="15" hidden="false" customHeight="false" outlineLevel="0" collapsed="false">
      <c r="A4753" s="16" t="s">
        <v>14873</v>
      </c>
      <c r="B4753" s="16" t="n">
        <v>4748</v>
      </c>
      <c r="C4753" s="16" t="s">
        <v>14874</v>
      </c>
      <c r="D4753" s="16" t="n">
        <v>8</v>
      </c>
      <c r="E4753" s="39" t="s">
        <v>14587</v>
      </c>
      <c r="F4753" s="16" t="s">
        <v>1285</v>
      </c>
      <c r="G4753" s="16" t="s">
        <v>1063</v>
      </c>
      <c r="H4753" s="16" t="s">
        <v>14297</v>
      </c>
      <c r="I4753" s="16" t="s">
        <v>136</v>
      </c>
      <c r="J4753" s="16" t="s">
        <v>14861</v>
      </c>
      <c r="K4753" s="32" t="n">
        <v>50</v>
      </c>
      <c r="L4753" s="33" t="n">
        <v>46541</v>
      </c>
      <c r="M4753" s="33" t="n">
        <v>46590</v>
      </c>
      <c r="N4753" s="16" t="s">
        <v>14652</v>
      </c>
      <c r="O4753" s="16" t="s">
        <v>1299</v>
      </c>
      <c r="P4753" s="16" t="str">
        <f aca="false">IF(AND(L4753&lt;=$D$2,M4753&gt;=$C$2),"Sí","")</f>
        <v/>
      </c>
      <c r="Q4753" s="18" t="str">
        <f aca="false">IF(COUNTIF(LOOKAHEAD!$A$5:$A$604,A4753)&gt;0,"En Lookahead",IF(P4753="Sí","INCORPORAR",""))</f>
        <v/>
      </c>
    </row>
    <row r="4754" customFormat="false" ht="15" hidden="false" customHeight="false" outlineLevel="0" collapsed="false">
      <c r="A4754" s="16" t="s">
        <v>14875</v>
      </c>
      <c r="B4754" s="16" t="n">
        <v>4749</v>
      </c>
      <c r="C4754" s="16" t="s">
        <v>14876</v>
      </c>
      <c r="D4754" s="16" t="n">
        <v>8</v>
      </c>
      <c r="E4754" s="39" t="s">
        <v>14325</v>
      </c>
      <c r="F4754" s="16" t="s">
        <v>1285</v>
      </c>
      <c r="G4754" s="16" t="s">
        <v>1063</v>
      </c>
      <c r="H4754" s="16" t="s">
        <v>14297</v>
      </c>
      <c r="I4754" s="16" t="s">
        <v>136</v>
      </c>
      <c r="J4754" s="16" t="s">
        <v>14861</v>
      </c>
      <c r="K4754" s="32" t="n">
        <v>50</v>
      </c>
      <c r="L4754" s="33" t="n">
        <v>46541</v>
      </c>
      <c r="M4754" s="33" t="n">
        <v>46590</v>
      </c>
      <c r="N4754" s="16" t="s">
        <v>14652</v>
      </c>
      <c r="O4754" s="16" t="s">
        <v>1299</v>
      </c>
      <c r="P4754" s="16" t="str">
        <f aca="false">IF(AND(L4754&lt;=$D$2,M4754&gt;=$C$2),"Sí","")</f>
        <v/>
      </c>
      <c r="Q4754" s="18" t="str">
        <f aca="false">IF(COUNTIF(LOOKAHEAD!$A$5:$A$604,A4754)&gt;0,"En Lookahead",IF(P4754="Sí","INCORPORAR",""))</f>
        <v/>
      </c>
    </row>
    <row r="4755" customFormat="false" ht="15" hidden="false" customHeight="false" outlineLevel="0" collapsed="false">
      <c r="A4755" s="13" t="s">
        <v>14877</v>
      </c>
      <c r="B4755" s="13" t="n">
        <v>4750</v>
      </c>
      <c r="C4755" s="13" t="s">
        <v>14878</v>
      </c>
      <c r="D4755" s="13" t="n">
        <v>7</v>
      </c>
      <c r="E4755" s="38" t="s">
        <v>14354</v>
      </c>
      <c r="F4755" s="13" t="s">
        <v>1298</v>
      </c>
      <c r="G4755" s="13" t="s">
        <v>1063</v>
      </c>
      <c r="H4755" s="13" t="s">
        <v>14297</v>
      </c>
      <c r="I4755" s="13" t="s">
        <v>136</v>
      </c>
      <c r="J4755" s="13" t="s">
        <v>14302</v>
      </c>
      <c r="K4755" s="30" t="n">
        <v>50</v>
      </c>
      <c r="L4755" s="31" t="n">
        <v>46541</v>
      </c>
      <c r="M4755" s="31" t="n">
        <v>46590</v>
      </c>
      <c r="N4755" s="13"/>
      <c r="O4755" s="13" t="s">
        <v>1299</v>
      </c>
      <c r="P4755" s="13"/>
      <c r="Q4755" s="13"/>
    </row>
    <row r="4756" customFormat="false" ht="15" hidden="false" customHeight="false" outlineLevel="0" collapsed="false">
      <c r="A4756" s="16" t="s">
        <v>14879</v>
      </c>
      <c r="B4756" s="16" t="n">
        <v>4751</v>
      </c>
      <c r="C4756" s="16" t="s">
        <v>14880</v>
      </c>
      <c r="D4756" s="16" t="n">
        <v>8</v>
      </c>
      <c r="E4756" s="39" t="s">
        <v>14357</v>
      </c>
      <c r="F4756" s="16" t="s">
        <v>1285</v>
      </c>
      <c r="G4756" s="16" t="s">
        <v>1063</v>
      </c>
      <c r="H4756" s="16" t="s">
        <v>14297</v>
      </c>
      <c r="I4756" s="16" t="s">
        <v>136</v>
      </c>
      <c r="J4756" s="16" t="s">
        <v>14354</v>
      </c>
      <c r="K4756" s="32" t="n">
        <v>50</v>
      </c>
      <c r="L4756" s="33" t="n">
        <v>46541</v>
      </c>
      <c r="M4756" s="33" t="n">
        <v>46590</v>
      </c>
      <c r="N4756" s="16" t="s">
        <v>14652</v>
      </c>
      <c r="O4756" s="16" t="s">
        <v>1299</v>
      </c>
      <c r="P4756" s="16" t="str">
        <f aca="false">IF(AND(L4756&lt;=$D$2,M4756&gt;=$C$2),"Sí","")</f>
        <v/>
      </c>
      <c r="Q4756" s="18" t="str">
        <f aca="false">IF(COUNTIF(LOOKAHEAD!$A$5:$A$604,A4756)&gt;0,"En Lookahead",IF(P4756="Sí","INCORPORAR",""))</f>
        <v/>
      </c>
    </row>
    <row r="4757" customFormat="false" ht="15" hidden="false" customHeight="false" outlineLevel="0" collapsed="false">
      <c r="A4757" s="16" t="s">
        <v>14881</v>
      </c>
      <c r="B4757" s="16" t="n">
        <v>4752</v>
      </c>
      <c r="C4757" s="16" t="s">
        <v>14882</v>
      </c>
      <c r="D4757" s="16" t="n">
        <v>8</v>
      </c>
      <c r="E4757" s="39" t="s">
        <v>14360</v>
      </c>
      <c r="F4757" s="16" t="s">
        <v>1285</v>
      </c>
      <c r="G4757" s="16" t="s">
        <v>1063</v>
      </c>
      <c r="H4757" s="16" t="s">
        <v>14297</v>
      </c>
      <c r="I4757" s="16" t="s">
        <v>136</v>
      </c>
      <c r="J4757" s="16" t="s">
        <v>14354</v>
      </c>
      <c r="K4757" s="32" t="n">
        <v>50</v>
      </c>
      <c r="L4757" s="33" t="n">
        <v>46541</v>
      </c>
      <c r="M4757" s="33" t="n">
        <v>46590</v>
      </c>
      <c r="N4757" s="16" t="s">
        <v>14652</v>
      </c>
      <c r="O4757" s="16" t="s">
        <v>1299</v>
      </c>
      <c r="P4757" s="16" t="str">
        <f aca="false">IF(AND(L4757&lt;=$D$2,M4757&gt;=$C$2),"Sí","")</f>
        <v/>
      </c>
      <c r="Q4757" s="18" t="str">
        <f aca="false">IF(COUNTIF(LOOKAHEAD!$A$5:$A$604,A4757)&gt;0,"En Lookahead",IF(P4757="Sí","INCORPORAR",""))</f>
        <v/>
      </c>
    </row>
    <row r="4758" customFormat="false" ht="15" hidden="false" customHeight="false" outlineLevel="0" collapsed="false">
      <c r="A4758" s="16" t="s">
        <v>14883</v>
      </c>
      <c r="B4758" s="16" t="n">
        <v>4753</v>
      </c>
      <c r="C4758" s="16" t="s">
        <v>14884</v>
      </c>
      <c r="D4758" s="16" t="n">
        <v>8</v>
      </c>
      <c r="E4758" s="39" t="s">
        <v>14639</v>
      </c>
      <c r="F4758" s="16" t="s">
        <v>1285</v>
      </c>
      <c r="G4758" s="16" t="s">
        <v>1063</v>
      </c>
      <c r="H4758" s="16" t="s">
        <v>14297</v>
      </c>
      <c r="I4758" s="16" t="s">
        <v>136</v>
      </c>
      <c r="J4758" s="16" t="s">
        <v>14354</v>
      </c>
      <c r="K4758" s="32" t="n">
        <v>50</v>
      </c>
      <c r="L4758" s="33" t="n">
        <v>46541</v>
      </c>
      <c r="M4758" s="33" t="n">
        <v>46590</v>
      </c>
      <c r="N4758" s="16" t="s">
        <v>14652</v>
      </c>
      <c r="O4758" s="16" t="s">
        <v>1299</v>
      </c>
      <c r="P4758" s="16" t="str">
        <f aca="false">IF(AND(L4758&lt;=$D$2,M4758&gt;=$C$2),"Sí","")</f>
        <v/>
      </c>
      <c r="Q4758" s="18" t="str">
        <f aca="false">IF(COUNTIF(LOOKAHEAD!$A$5:$A$604,A4758)&gt;0,"En Lookahead",IF(P4758="Sí","INCORPORAR",""))</f>
        <v/>
      </c>
    </row>
    <row r="4759" customFormat="false" ht="15" hidden="false" customHeight="false" outlineLevel="0" collapsed="false">
      <c r="A4759" s="13" t="s">
        <v>14885</v>
      </c>
      <c r="B4759" s="13" t="n">
        <v>4754</v>
      </c>
      <c r="C4759" s="13" t="s">
        <v>14886</v>
      </c>
      <c r="D4759" s="13" t="n">
        <v>7</v>
      </c>
      <c r="E4759" s="38" t="s">
        <v>14887</v>
      </c>
      <c r="F4759" s="13" t="s">
        <v>1298</v>
      </c>
      <c r="G4759" s="13" t="s">
        <v>1063</v>
      </c>
      <c r="H4759" s="13" t="s">
        <v>14297</v>
      </c>
      <c r="I4759" s="13" t="s">
        <v>136</v>
      </c>
      <c r="J4759" s="13" t="s">
        <v>14302</v>
      </c>
      <c r="K4759" s="30" t="n">
        <v>50</v>
      </c>
      <c r="L4759" s="31" t="n">
        <v>46541</v>
      </c>
      <c r="M4759" s="31" t="n">
        <v>46590</v>
      </c>
      <c r="N4759" s="13"/>
      <c r="O4759" s="13" t="s">
        <v>1299</v>
      </c>
      <c r="P4759" s="13"/>
      <c r="Q4759" s="13"/>
    </row>
    <row r="4760" customFormat="false" ht="15" hidden="false" customHeight="false" outlineLevel="0" collapsed="false">
      <c r="A4760" s="16" t="s">
        <v>14888</v>
      </c>
      <c r="B4760" s="16" t="n">
        <v>4755</v>
      </c>
      <c r="C4760" s="16" t="s">
        <v>14889</v>
      </c>
      <c r="D4760" s="16" t="n">
        <v>8</v>
      </c>
      <c r="E4760" s="39" t="s">
        <v>14639</v>
      </c>
      <c r="F4760" s="16" t="s">
        <v>1285</v>
      </c>
      <c r="G4760" s="16" t="s">
        <v>1063</v>
      </c>
      <c r="H4760" s="16" t="s">
        <v>14297</v>
      </c>
      <c r="I4760" s="16" t="s">
        <v>136</v>
      </c>
      <c r="J4760" s="16" t="s">
        <v>14887</v>
      </c>
      <c r="K4760" s="32" t="n">
        <v>50</v>
      </c>
      <c r="L4760" s="33" t="n">
        <v>46541</v>
      </c>
      <c r="M4760" s="33" t="n">
        <v>46590</v>
      </c>
      <c r="N4760" s="16" t="s">
        <v>14652</v>
      </c>
      <c r="O4760" s="16" t="s">
        <v>1299</v>
      </c>
      <c r="P4760" s="16" t="str">
        <f aca="false">IF(AND(L4760&lt;=$D$2,M4760&gt;=$C$2),"Sí","")</f>
        <v/>
      </c>
      <c r="Q4760" s="18" t="str">
        <f aca="false">IF(COUNTIF(LOOKAHEAD!$A$5:$A$604,A4760)&gt;0,"En Lookahead",IF(P4760="Sí","INCORPORAR",""))</f>
        <v/>
      </c>
    </row>
    <row r="4761" customFormat="false" ht="15" hidden="false" customHeight="false" outlineLevel="0" collapsed="false">
      <c r="A4761" s="13" t="s">
        <v>14890</v>
      </c>
      <c r="B4761" s="13" t="n">
        <v>4756</v>
      </c>
      <c r="C4761" s="13" t="s">
        <v>14891</v>
      </c>
      <c r="D4761" s="13" t="n">
        <v>7</v>
      </c>
      <c r="E4761" s="38" t="s">
        <v>14892</v>
      </c>
      <c r="F4761" s="13" t="s">
        <v>1298</v>
      </c>
      <c r="G4761" s="13" t="s">
        <v>1063</v>
      </c>
      <c r="H4761" s="13" t="s">
        <v>14297</v>
      </c>
      <c r="I4761" s="13" t="s">
        <v>136</v>
      </c>
      <c r="J4761" s="13" t="s">
        <v>14302</v>
      </c>
      <c r="K4761" s="30" t="n">
        <v>50</v>
      </c>
      <c r="L4761" s="31" t="n">
        <v>46541</v>
      </c>
      <c r="M4761" s="31" t="n">
        <v>46590</v>
      </c>
      <c r="N4761" s="13"/>
      <c r="O4761" s="13" t="s">
        <v>1299</v>
      </c>
      <c r="P4761" s="13"/>
      <c r="Q4761" s="13"/>
    </row>
    <row r="4762" customFormat="false" ht="15" hidden="false" customHeight="false" outlineLevel="0" collapsed="false">
      <c r="A4762" s="16" t="s">
        <v>14893</v>
      </c>
      <c r="B4762" s="16" t="n">
        <v>4757</v>
      </c>
      <c r="C4762" s="16" t="s">
        <v>14894</v>
      </c>
      <c r="D4762" s="16" t="n">
        <v>8</v>
      </c>
      <c r="E4762" s="39" t="s">
        <v>14895</v>
      </c>
      <c r="F4762" s="16" t="s">
        <v>1285</v>
      </c>
      <c r="G4762" s="16" t="s">
        <v>1063</v>
      </c>
      <c r="H4762" s="16" t="s">
        <v>14297</v>
      </c>
      <c r="I4762" s="16" t="s">
        <v>136</v>
      </c>
      <c r="J4762" s="16" t="s">
        <v>14892</v>
      </c>
      <c r="K4762" s="32" t="n">
        <v>50</v>
      </c>
      <c r="L4762" s="33" t="n">
        <v>46541</v>
      </c>
      <c r="M4762" s="33" t="n">
        <v>46590</v>
      </c>
      <c r="N4762" s="16" t="s">
        <v>14652</v>
      </c>
      <c r="O4762" s="16" t="s">
        <v>1299</v>
      </c>
      <c r="P4762" s="16" t="str">
        <f aca="false">IF(AND(L4762&lt;=$D$2,M4762&gt;=$C$2),"Sí","")</f>
        <v/>
      </c>
      <c r="Q4762" s="18" t="str">
        <f aca="false">IF(COUNTIF(LOOKAHEAD!$A$5:$A$604,A4762)&gt;0,"En Lookahead",IF(P4762="Sí","INCORPORAR",""))</f>
        <v/>
      </c>
    </row>
    <row r="4763" customFormat="false" ht="15" hidden="false" customHeight="false" outlineLevel="0" collapsed="false">
      <c r="A4763" s="16" t="s">
        <v>14896</v>
      </c>
      <c r="B4763" s="16" t="n">
        <v>4758</v>
      </c>
      <c r="C4763" s="16" t="s">
        <v>14897</v>
      </c>
      <c r="D4763" s="16" t="n">
        <v>8</v>
      </c>
      <c r="E4763" s="39" t="s">
        <v>14319</v>
      </c>
      <c r="F4763" s="16" t="s">
        <v>1285</v>
      </c>
      <c r="G4763" s="16" t="s">
        <v>1063</v>
      </c>
      <c r="H4763" s="16" t="s">
        <v>14297</v>
      </c>
      <c r="I4763" s="16" t="s">
        <v>136</v>
      </c>
      <c r="J4763" s="16" t="s">
        <v>14892</v>
      </c>
      <c r="K4763" s="32" t="n">
        <v>50</v>
      </c>
      <c r="L4763" s="33" t="n">
        <v>46541</v>
      </c>
      <c r="M4763" s="33" t="n">
        <v>46590</v>
      </c>
      <c r="N4763" s="16" t="s">
        <v>14652</v>
      </c>
      <c r="O4763" s="16" t="s">
        <v>1299</v>
      </c>
      <c r="P4763" s="16" t="str">
        <f aca="false">IF(AND(L4763&lt;=$D$2,M4763&gt;=$C$2),"Sí","")</f>
        <v/>
      </c>
      <c r="Q4763" s="18" t="str">
        <f aca="false">IF(COUNTIF(LOOKAHEAD!$A$5:$A$604,A4763)&gt;0,"En Lookahead",IF(P4763="Sí","INCORPORAR",""))</f>
        <v/>
      </c>
    </row>
    <row r="4764" customFormat="false" ht="15" hidden="false" customHeight="false" outlineLevel="0" collapsed="false">
      <c r="A4764" s="16" t="s">
        <v>14898</v>
      </c>
      <c r="B4764" s="16" t="n">
        <v>4759</v>
      </c>
      <c r="C4764" s="16" t="s">
        <v>14899</v>
      </c>
      <c r="D4764" s="16" t="n">
        <v>8</v>
      </c>
      <c r="E4764" s="39" t="s">
        <v>14322</v>
      </c>
      <c r="F4764" s="16" t="s">
        <v>1285</v>
      </c>
      <c r="G4764" s="16" t="s">
        <v>1063</v>
      </c>
      <c r="H4764" s="16" t="s">
        <v>14297</v>
      </c>
      <c r="I4764" s="16" t="s">
        <v>136</v>
      </c>
      <c r="J4764" s="16" t="s">
        <v>14892</v>
      </c>
      <c r="K4764" s="32" t="n">
        <v>50</v>
      </c>
      <c r="L4764" s="33" t="n">
        <v>46541</v>
      </c>
      <c r="M4764" s="33" t="n">
        <v>46590</v>
      </c>
      <c r="N4764" s="16" t="s">
        <v>14652</v>
      </c>
      <c r="O4764" s="16" t="s">
        <v>1299</v>
      </c>
      <c r="P4764" s="16" t="str">
        <f aca="false">IF(AND(L4764&lt;=$D$2,M4764&gt;=$C$2),"Sí","")</f>
        <v/>
      </c>
      <c r="Q4764" s="18" t="str">
        <f aca="false">IF(COUNTIF(LOOKAHEAD!$A$5:$A$604,A4764)&gt;0,"En Lookahead",IF(P4764="Sí","INCORPORAR",""))</f>
        <v/>
      </c>
    </row>
    <row r="4765" customFormat="false" ht="15" hidden="false" customHeight="false" outlineLevel="0" collapsed="false">
      <c r="A4765" s="13" t="s">
        <v>14900</v>
      </c>
      <c r="B4765" s="13" t="n">
        <v>4760</v>
      </c>
      <c r="C4765" s="13" t="s">
        <v>14901</v>
      </c>
      <c r="D4765" s="13" t="n">
        <v>7</v>
      </c>
      <c r="E4765" s="38" t="s">
        <v>14902</v>
      </c>
      <c r="F4765" s="13" t="s">
        <v>1298</v>
      </c>
      <c r="G4765" s="13" t="s">
        <v>1063</v>
      </c>
      <c r="H4765" s="13" t="s">
        <v>14297</v>
      </c>
      <c r="I4765" s="13" t="s">
        <v>136</v>
      </c>
      <c r="J4765" s="13" t="s">
        <v>14302</v>
      </c>
      <c r="K4765" s="30" t="n">
        <v>50</v>
      </c>
      <c r="L4765" s="31" t="n">
        <v>46541</v>
      </c>
      <c r="M4765" s="31" t="n">
        <v>46590</v>
      </c>
      <c r="N4765" s="13"/>
      <c r="O4765" s="13" t="s">
        <v>1299</v>
      </c>
      <c r="P4765" s="13"/>
      <c r="Q4765" s="13"/>
    </row>
    <row r="4766" customFormat="false" ht="15" hidden="false" customHeight="false" outlineLevel="0" collapsed="false">
      <c r="A4766" s="16" t="s">
        <v>14903</v>
      </c>
      <c r="B4766" s="16" t="n">
        <v>4761</v>
      </c>
      <c r="C4766" s="16" t="s">
        <v>14904</v>
      </c>
      <c r="D4766" s="16" t="n">
        <v>8</v>
      </c>
      <c r="E4766" s="39" t="s">
        <v>14506</v>
      </c>
      <c r="F4766" s="16" t="s">
        <v>1285</v>
      </c>
      <c r="G4766" s="16" t="s">
        <v>1063</v>
      </c>
      <c r="H4766" s="16" t="s">
        <v>14297</v>
      </c>
      <c r="I4766" s="16" t="s">
        <v>136</v>
      </c>
      <c r="J4766" s="16" t="s">
        <v>14902</v>
      </c>
      <c r="K4766" s="32" t="n">
        <v>50</v>
      </c>
      <c r="L4766" s="33" t="n">
        <v>46541</v>
      </c>
      <c r="M4766" s="33" t="n">
        <v>46590</v>
      </c>
      <c r="N4766" s="16" t="s">
        <v>14652</v>
      </c>
      <c r="O4766" s="16" t="s">
        <v>1299</v>
      </c>
      <c r="P4766" s="16" t="str">
        <f aca="false">IF(AND(L4766&lt;=$D$2,M4766&gt;=$C$2),"Sí","")</f>
        <v/>
      </c>
      <c r="Q4766" s="18" t="str">
        <f aca="false">IF(COUNTIF(LOOKAHEAD!$A$5:$A$604,A4766)&gt;0,"En Lookahead",IF(P4766="Sí","INCORPORAR",""))</f>
        <v/>
      </c>
    </row>
    <row r="4767" customFormat="false" ht="15" hidden="false" customHeight="false" outlineLevel="0" collapsed="false">
      <c r="A4767" s="13" t="s">
        <v>14905</v>
      </c>
      <c r="B4767" s="13" t="n">
        <v>4762</v>
      </c>
      <c r="C4767" s="13" t="s">
        <v>14906</v>
      </c>
      <c r="D4767" s="13" t="n">
        <v>6</v>
      </c>
      <c r="E4767" s="36" t="s">
        <v>14471</v>
      </c>
      <c r="F4767" s="13" t="s">
        <v>1298</v>
      </c>
      <c r="G4767" s="13" t="s">
        <v>1063</v>
      </c>
      <c r="H4767" s="13" t="s">
        <v>14297</v>
      </c>
      <c r="I4767" s="13" t="s">
        <v>136</v>
      </c>
      <c r="J4767" s="13" t="s">
        <v>2225</v>
      </c>
      <c r="K4767" s="30" t="n">
        <v>50</v>
      </c>
      <c r="L4767" s="31" t="n">
        <v>46541</v>
      </c>
      <c r="M4767" s="31" t="n">
        <v>46590</v>
      </c>
      <c r="N4767" s="13"/>
      <c r="O4767" s="13" t="s">
        <v>1299</v>
      </c>
      <c r="P4767" s="13"/>
      <c r="Q4767" s="13"/>
    </row>
    <row r="4768" customFormat="false" ht="15" hidden="false" customHeight="false" outlineLevel="0" collapsed="false">
      <c r="A4768" s="13" t="s">
        <v>14907</v>
      </c>
      <c r="B4768" s="13" t="n">
        <v>4763</v>
      </c>
      <c r="C4768" s="13" t="s">
        <v>14908</v>
      </c>
      <c r="D4768" s="13" t="n">
        <v>7</v>
      </c>
      <c r="E4768" s="38" t="s">
        <v>14909</v>
      </c>
      <c r="F4768" s="13" t="s">
        <v>1298</v>
      </c>
      <c r="G4768" s="13" t="s">
        <v>1063</v>
      </c>
      <c r="H4768" s="13" t="s">
        <v>14297</v>
      </c>
      <c r="I4768" s="13" t="s">
        <v>136</v>
      </c>
      <c r="J4768" s="13" t="s">
        <v>14471</v>
      </c>
      <c r="K4768" s="30" t="n">
        <v>50</v>
      </c>
      <c r="L4768" s="31" t="n">
        <v>46541</v>
      </c>
      <c r="M4768" s="31" t="n">
        <v>46590</v>
      </c>
      <c r="N4768" s="13"/>
      <c r="O4768" s="13" t="s">
        <v>1299</v>
      </c>
      <c r="P4768" s="13"/>
      <c r="Q4768" s="13"/>
    </row>
    <row r="4769" customFormat="false" ht="15" hidden="false" customHeight="false" outlineLevel="0" collapsed="false">
      <c r="A4769" s="16" t="s">
        <v>14910</v>
      </c>
      <c r="B4769" s="16" t="n">
        <v>4764</v>
      </c>
      <c r="C4769" s="16" t="s">
        <v>14911</v>
      </c>
      <c r="D4769" s="16" t="n">
        <v>8</v>
      </c>
      <c r="E4769" s="39" t="s">
        <v>14477</v>
      </c>
      <c r="F4769" s="16" t="s">
        <v>1285</v>
      </c>
      <c r="G4769" s="16" t="s">
        <v>1063</v>
      </c>
      <c r="H4769" s="16" t="s">
        <v>14297</v>
      </c>
      <c r="I4769" s="16" t="s">
        <v>136</v>
      </c>
      <c r="J4769" s="16" t="s">
        <v>14909</v>
      </c>
      <c r="K4769" s="32" t="n">
        <v>50</v>
      </c>
      <c r="L4769" s="33" t="n">
        <v>46541</v>
      </c>
      <c r="M4769" s="33" t="n">
        <v>46590</v>
      </c>
      <c r="N4769" s="16" t="s">
        <v>14652</v>
      </c>
      <c r="O4769" s="16" t="s">
        <v>1299</v>
      </c>
      <c r="P4769" s="16" t="str">
        <f aca="false">IF(AND(L4769&lt;=$D$2,M4769&gt;=$C$2),"Sí","")</f>
        <v/>
      </c>
      <c r="Q4769" s="18" t="str">
        <f aca="false">IF(COUNTIF(LOOKAHEAD!$A$5:$A$604,A4769)&gt;0,"En Lookahead",IF(P4769="Sí","INCORPORAR",""))</f>
        <v/>
      </c>
    </row>
    <row r="4770" customFormat="false" ht="15" hidden="false" customHeight="false" outlineLevel="0" collapsed="false">
      <c r="A4770" s="16" t="s">
        <v>14912</v>
      </c>
      <c r="B4770" s="16" t="n">
        <v>4765</v>
      </c>
      <c r="C4770" s="16" t="s">
        <v>14913</v>
      </c>
      <c r="D4770" s="16" t="n">
        <v>8</v>
      </c>
      <c r="E4770" s="39" t="s">
        <v>14392</v>
      </c>
      <c r="F4770" s="16" t="s">
        <v>1285</v>
      </c>
      <c r="G4770" s="16" t="s">
        <v>1063</v>
      </c>
      <c r="H4770" s="16" t="s">
        <v>14297</v>
      </c>
      <c r="I4770" s="16" t="s">
        <v>136</v>
      </c>
      <c r="J4770" s="16" t="s">
        <v>14909</v>
      </c>
      <c r="K4770" s="32" t="n">
        <v>50</v>
      </c>
      <c r="L4770" s="33" t="n">
        <v>46541</v>
      </c>
      <c r="M4770" s="33" t="n">
        <v>46590</v>
      </c>
      <c r="N4770" s="16" t="s">
        <v>14652</v>
      </c>
      <c r="O4770" s="16" t="s">
        <v>1299</v>
      </c>
      <c r="P4770" s="16" t="str">
        <f aca="false">IF(AND(L4770&lt;=$D$2,M4770&gt;=$C$2),"Sí","")</f>
        <v/>
      </c>
      <c r="Q4770" s="18" t="str">
        <f aca="false">IF(COUNTIF(LOOKAHEAD!$A$5:$A$604,A4770)&gt;0,"En Lookahead",IF(P4770="Sí","INCORPORAR",""))</f>
        <v/>
      </c>
    </row>
    <row r="4771" customFormat="false" ht="15" hidden="false" customHeight="false" outlineLevel="0" collapsed="false">
      <c r="A4771" s="16" t="s">
        <v>14914</v>
      </c>
      <c r="B4771" s="16" t="n">
        <v>4766</v>
      </c>
      <c r="C4771" s="16" t="s">
        <v>14915</v>
      </c>
      <c r="D4771" s="16" t="n">
        <v>8</v>
      </c>
      <c r="E4771" s="39" t="s">
        <v>14337</v>
      </c>
      <c r="F4771" s="16" t="s">
        <v>1285</v>
      </c>
      <c r="G4771" s="16" t="s">
        <v>1063</v>
      </c>
      <c r="H4771" s="16" t="s">
        <v>14297</v>
      </c>
      <c r="I4771" s="16" t="s">
        <v>136</v>
      </c>
      <c r="J4771" s="16" t="s">
        <v>14909</v>
      </c>
      <c r="K4771" s="32" t="n">
        <v>50</v>
      </c>
      <c r="L4771" s="33" t="n">
        <v>46541</v>
      </c>
      <c r="M4771" s="33" t="n">
        <v>46590</v>
      </c>
      <c r="N4771" s="16" t="s">
        <v>14652</v>
      </c>
      <c r="O4771" s="16" t="s">
        <v>1299</v>
      </c>
      <c r="P4771" s="16" t="str">
        <f aca="false">IF(AND(L4771&lt;=$D$2,M4771&gt;=$C$2),"Sí","")</f>
        <v/>
      </c>
      <c r="Q4771" s="18" t="str">
        <f aca="false">IF(COUNTIF(LOOKAHEAD!$A$5:$A$604,A4771)&gt;0,"En Lookahead",IF(P4771="Sí","INCORPORAR",""))</f>
        <v/>
      </c>
    </row>
    <row r="4772" customFormat="false" ht="15" hidden="false" customHeight="false" outlineLevel="0" collapsed="false">
      <c r="A4772" s="16" t="s">
        <v>14916</v>
      </c>
      <c r="B4772" s="16" t="n">
        <v>4767</v>
      </c>
      <c r="C4772" s="16" t="s">
        <v>14917</v>
      </c>
      <c r="D4772" s="16" t="n">
        <v>8</v>
      </c>
      <c r="E4772" s="39" t="s">
        <v>14484</v>
      </c>
      <c r="F4772" s="16" t="s">
        <v>1285</v>
      </c>
      <c r="G4772" s="16" t="s">
        <v>1063</v>
      </c>
      <c r="H4772" s="16" t="s">
        <v>14297</v>
      </c>
      <c r="I4772" s="16" t="s">
        <v>136</v>
      </c>
      <c r="J4772" s="16" t="s">
        <v>14909</v>
      </c>
      <c r="K4772" s="32" t="n">
        <v>50</v>
      </c>
      <c r="L4772" s="33" t="n">
        <v>46541</v>
      </c>
      <c r="M4772" s="33" t="n">
        <v>46590</v>
      </c>
      <c r="N4772" s="16" t="s">
        <v>14652</v>
      </c>
      <c r="O4772" s="16" t="s">
        <v>1299</v>
      </c>
      <c r="P4772" s="16" t="str">
        <f aca="false">IF(AND(L4772&lt;=$D$2,M4772&gt;=$C$2),"Sí","")</f>
        <v/>
      </c>
      <c r="Q4772" s="18" t="str">
        <f aca="false">IF(COUNTIF(LOOKAHEAD!$A$5:$A$604,A4772)&gt;0,"En Lookahead",IF(P4772="Sí","INCORPORAR",""))</f>
        <v/>
      </c>
    </row>
    <row r="4773" customFormat="false" ht="15" hidden="false" customHeight="false" outlineLevel="0" collapsed="false">
      <c r="A4773" s="16" t="s">
        <v>14918</v>
      </c>
      <c r="B4773" s="16" t="n">
        <v>4768</v>
      </c>
      <c r="C4773" s="16" t="s">
        <v>14919</v>
      </c>
      <c r="D4773" s="16" t="n">
        <v>8</v>
      </c>
      <c r="E4773" s="39" t="s">
        <v>14319</v>
      </c>
      <c r="F4773" s="16" t="s">
        <v>1285</v>
      </c>
      <c r="G4773" s="16" t="s">
        <v>1063</v>
      </c>
      <c r="H4773" s="16" t="s">
        <v>14297</v>
      </c>
      <c r="I4773" s="16" t="s">
        <v>136</v>
      </c>
      <c r="J4773" s="16" t="s">
        <v>14909</v>
      </c>
      <c r="K4773" s="32" t="n">
        <v>50</v>
      </c>
      <c r="L4773" s="33" t="n">
        <v>46541</v>
      </c>
      <c r="M4773" s="33" t="n">
        <v>46590</v>
      </c>
      <c r="N4773" s="16" t="s">
        <v>14652</v>
      </c>
      <c r="O4773" s="16" t="s">
        <v>1299</v>
      </c>
      <c r="P4773" s="16" t="str">
        <f aca="false">IF(AND(L4773&lt;=$D$2,M4773&gt;=$C$2),"Sí","")</f>
        <v/>
      </c>
      <c r="Q4773" s="18" t="str">
        <f aca="false">IF(COUNTIF(LOOKAHEAD!$A$5:$A$604,A4773)&gt;0,"En Lookahead",IF(P4773="Sí","INCORPORAR",""))</f>
        <v/>
      </c>
    </row>
    <row r="4774" customFormat="false" ht="15" hidden="false" customHeight="false" outlineLevel="0" collapsed="false">
      <c r="A4774" s="16" t="s">
        <v>14920</v>
      </c>
      <c r="B4774" s="16" t="n">
        <v>4769</v>
      </c>
      <c r="C4774" s="16" t="s">
        <v>14921</v>
      </c>
      <c r="D4774" s="16" t="n">
        <v>8</v>
      </c>
      <c r="E4774" s="39" t="s">
        <v>14492</v>
      </c>
      <c r="F4774" s="16" t="s">
        <v>1285</v>
      </c>
      <c r="G4774" s="16" t="s">
        <v>1063</v>
      </c>
      <c r="H4774" s="16" t="s">
        <v>14297</v>
      </c>
      <c r="I4774" s="16" t="s">
        <v>136</v>
      </c>
      <c r="J4774" s="16" t="s">
        <v>14909</v>
      </c>
      <c r="K4774" s="32" t="n">
        <v>50</v>
      </c>
      <c r="L4774" s="33" t="n">
        <v>46541</v>
      </c>
      <c r="M4774" s="33" t="n">
        <v>46590</v>
      </c>
      <c r="N4774" s="16" t="s">
        <v>14652</v>
      </c>
      <c r="O4774" s="16" t="s">
        <v>1299</v>
      </c>
      <c r="P4774" s="16" t="str">
        <f aca="false">IF(AND(L4774&lt;=$D$2,M4774&gt;=$C$2),"Sí","")</f>
        <v/>
      </c>
      <c r="Q4774" s="18" t="str">
        <f aca="false">IF(COUNTIF(LOOKAHEAD!$A$5:$A$604,A4774)&gt;0,"En Lookahead",IF(P4774="Sí","INCORPORAR",""))</f>
        <v/>
      </c>
    </row>
    <row r="4775" customFormat="false" ht="15" hidden="false" customHeight="false" outlineLevel="0" collapsed="false">
      <c r="A4775" s="16" t="s">
        <v>14922</v>
      </c>
      <c r="B4775" s="16" t="n">
        <v>4770</v>
      </c>
      <c r="C4775" s="16" t="s">
        <v>14923</v>
      </c>
      <c r="D4775" s="16" t="n">
        <v>8</v>
      </c>
      <c r="E4775" s="39" t="s">
        <v>14495</v>
      </c>
      <c r="F4775" s="16" t="s">
        <v>1285</v>
      </c>
      <c r="G4775" s="16" t="s">
        <v>1063</v>
      </c>
      <c r="H4775" s="16" t="s">
        <v>14297</v>
      </c>
      <c r="I4775" s="16" t="s">
        <v>136</v>
      </c>
      <c r="J4775" s="16" t="s">
        <v>14909</v>
      </c>
      <c r="K4775" s="32" t="n">
        <v>50</v>
      </c>
      <c r="L4775" s="33" t="n">
        <v>46541</v>
      </c>
      <c r="M4775" s="33" t="n">
        <v>46590</v>
      </c>
      <c r="N4775" s="16" t="s">
        <v>14652</v>
      </c>
      <c r="O4775" s="16" t="s">
        <v>1299</v>
      </c>
      <c r="P4775" s="16" t="str">
        <f aca="false">IF(AND(L4775&lt;=$D$2,M4775&gt;=$C$2),"Sí","")</f>
        <v/>
      </c>
      <c r="Q4775" s="18" t="str">
        <f aca="false">IF(COUNTIF(LOOKAHEAD!$A$5:$A$604,A4775)&gt;0,"En Lookahead",IF(P4775="Sí","INCORPORAR",""))</f>
        <v/>
      </c>
    </row>
    <row r="4776" customFormat="false" ht="15" hidden="false" customHeight="false" outlineLevel="0" collapsed="false">
      <c r="A4776" s="16" t="s">
        <v>14924</v>
      </c>
      <c r="B4776" s="16" t="n">
        <v>4771</v>
      </c>
      <c r="C4776" s="16" t="s">
        <v>14925</v>
      </c>
      <c r="D4776" s="16" t="n">
        <v>8</v>
      </c>
      <c r="E4776" s="39" t="s">
        <v>14322</v>
      </c>
      <c r="F4776" s="16" t="s">
        <v>1285</v>
      </c>
      <c r="G4776" s="16" t="s">
        <v>1063</v>
      </c>
      <c r="H4776" s="16" t="s">
        <v>14297</v>
      </c>
      <c r="I4776" s="16" t="s">
        <v>136</v>
      </c>
      <c r="J4776" s="16" t="s">
        <v>14909</v>
      </c>
      <c r="K4776" s="32" t="n">
        <v>50</v>
      </c>
      <c r="L4776" s="33" t="n">
        <v>46541</v>
      </c>
      <c r="M4776" s="33" t="n">
        <v>46590</v>
      </c>
      <c r="N4776" s="16" t="s">
        <v>14652</v>
      </c>
      <c r="O4776" s="16" t="s">
        <v>1299</v>
      </c>
      <c r="P4776" s="16" t="str">
        <f aca="false">IF(AND(L4776&lt;=$D$2,M4776&gt;=$C$2),"Sí","")</f>
        <v/>
      </c>
      <c r="Q4776" s="18" t="str">
        <f aca="false">IF(COUNTIF(LOOKAHEAD!$A$5:$A$604,A4776)&gt;0,"En Lookahead",IF(P4776="Sí","INCORPORAR",""))</f>
        <v/>
      </c>
    </row>
    <row r="4777" customFormat="false" ht="15" hidden="false" customHeight="false" outlineLevel="0" collapsed="false">
      <c r="A4777" s="16" t="s">
        <v>14926</v>
      </c>
      <c r="B4777" s="16" t="n">
        <v>4772</v>
      </c>
      <c r="C4777" s="16" t="s">
        <v>14927</v>
      </c>
      <c r="D4777" s="16" t="n">
        <v>8</v>
      </c>
      <c r="E4777" s="39" t="s">
        <v>14403</v>
      </c>
      <c r="F4777" s="16" t="s">
        <v>1285</v>
      </c>
      <c r="G4777" s="16" t="s">
        <v>1063</v>
      </c>
      <c r="H4777" s="16" t="s">
        <v>14297</v>
      </c>
      <c r="I4777" s="16" t="s">
        <v>136</v>
      </c>
      <c r="J4777" s="16" t="s">
        <v>14909</v>
      </c>
      <c r="K4777" s="32" t="n">
        <v>50</v>
      </c>
      <c r="L4777" s="33" t="n">
        <v>46541</v>
      </c>
      <c r="M4777" s="33" t="n">
        <v>46590</v>
      </c>
      <c r="N4777" s="16" t="s">
        <v>14652</v>
      </c>
      <c r="O4777" s="16" t="s">
        <v>1299</v>
      </c>
      <c r="P4777" s="16" t="str">
        <f aca="false">IF(AND(L4777&lt;=$D$2,M4777&gt;=$C$2),"Sí","")</f>
        <v/>
      </c>
      <c r="Q4777" s="18" t="str">
        <f aca="false">IF(COUNTIF(LOOKAHEAD!$A$5:$A$604,A4777)&gt;0,"En Lookahead",IF(P4777="Sí","INCORPORAR",""))</f>
        <v/>
      </c>
    </row>
    <row r="4778" customFormat="false" ht="15" hidden="false" customHeight="false" outlineLevel="0" collapsed="false">
      <c r="A4778" s="16" t="s">
        <v>14928</v>
      </c>
      <c r="B4778" s="16" t="n">
        <v>4773</v>
      </c>
      <c r="C4778" s="16" t="s">
        <v>14929</v>
      </c>
      <c r="D4778" s="16" t="n">
        <v>8</v>
      </c>
      <c r="E4778" s="39" t="s">
        <v>14587</v>
      </c>
      <c r="F4778" s="16" t="s">
        <v>1285</v>
      </c>
      <c r="G4778" s="16" t="s">
        <v>1063</v>
      </c>
      <c r="H4778" s="16" t="s">
        <v>14297</v>
      </c>
      <c r="I4778" s="16" t="s">
        <v>136</v>
      </c>
      <c r="J4778" s="16" t="s">
        <v>14909</v>
      </c>
      <c r="K4778" s="32" t="n">
        <v>50</v>
      </c>
      <c r="L4778" s="33" t="n">
        <v>46541</v>
      </c>
      <c r="M4778" s="33" t="n">
        <v>46590</v>
      </c>
      <c r="N4778" s="16" t="s">
        <v>14652</v>
      </c>
      <c r="O4778" s="16" t="s">
        <v>1299</v>
      </c>
      <c r="P4778" s="16" t="str">
        <f aca="false">IF(AND(L4778&lt;=$D$2,M4778&gt;=$C$2),"Sí","")</f>
        <v/>
      </c>
      <c r="Q4778" s="18" t="str">
        <f aca="false">IF(COUNTIF(LOOKAHEAD!$A$5:$A$604,A4778)&gt;0,"En Lookahead",IF(P4778="Sí","INCORPORAR",""))</f>
        <v/>
      </c>
    </row>
    <row r="4779" customFormat="false" ht="15" hidden="false" customHeight="false" outlineLevel="0" collapsed="false">
      <c r="A4779" s="16" t="s">
        <v>14930</v>
      </c>
      <c r="B4779" s="16" t="n">
        <v>4774</v>
      </c>
      <c r="C4779" s="16" t="s">
        <v>14931</v>
      </c>
      <c r="D4779" s="16" t="n">
        <v>8</v>
      </c>
      <c r="E4779" s="39" t="s">
        <v>14325</v>
      </c>
      <c r="F4779" s="16" t="s">
        <v>1285</v>
      </c>
      <c r="G4779" s="16" t="s">
        <v>1063</v>
      </c>
      <c r="H4779" s="16" t="s">
        <v>14297</v>
      </c>
      <c r="I4779" s="16" t="s">
        <v>136</v>
      </c>
      <c r="J4779" s="16" t="s">
        <v>14909</v>
      </c>
      <c r="K4779" s="32" t="n">
        <v>50</v>
      </c>
      <c r="L4779" s="33" t="n">
        <v>46541</v>
      </c>
      <c r="M4779" s="33" t="n">
        <v>46590</v>
      </c>
      <c r="N4779" s="16" t="s">
        <v>14652</v>
      </c>
      <c r="O4779" s="16" t="s">
        <v>1299</v>
      </c>
      <c r="P4779" s="16" t="str">
        <f aca="false">IF(AND(L4779&lt;=$D$2,M4779&gt;=$C$2),"Sí","")</f>
        <v/>
      </c>
      <c r="Q4779" s="18" t="str">
        <f aca="false">IF(COUNTIF(LOOKAHEAD!$A$5:$A$604,A4779)&gt;0,"En Lookahead",IF(P4779="Sí","INCORPORAR",""))</f>
        <v/>
      </c>
    </row>
    <row r="4780" customFormat="false" ht="15" hidden="false" customHeight="false" outlineLevel="0" collapsed="false">
      <c r="A4780" s="16" t="s">
        <v>14932</v>
      </c>
      <c r="B4780" s="16" t="n">
        <v>4775</v>
      </c>
      <c r="C4780" s="16" t="s">
        <v>14933</v>
      </c>
      <c r="D4780" s="16" t="n">
        <v>8</v>
      </c>
      <c r="E4780" s="39" t="s">
        <v>14671</v>
      </c>
      <c r="F4780" s="16" t="s">
        <v>1285</v>
      </c>
      <c r="G4780" s="16" t="s">
        <v>1063</v>
      </c>
      <c r="H4780" s="16" t="s">
        <v>14297</v>
      </c>
      <c r="I4780" s="16" t="s">
        <v>136</v>
      </c>
      <c r="J4780" s="16" t="s">
        <v>14909</v>
      </c>
      <c r="K4780" s="32" t="n">
        <v>50</v>
      </c>
      <c r="L4780" s="33" t="n">
        <v>46541</v>
      </c>
      <c r="M4780" s="33" t="n">
        <v>46590</v>
      </c>
      <c r="N4780" s="16" t="s">
        <v>14652</v>
      </c>
      <c r="O4780" s="16" t="s">
        <v>1299</v>
      </c>
      <c r="P4780" s="16" t="str">
        <f aca="false">IF(AND(L4780&lt;=$D$2,M4780&gt;=$C$2),"Sí","")</f>
        <v/>
      </c>
      <c r="Q4780" s="18" t="str">
        <f aca="false">IF(COUNTIF(LOOKAHEAD!$A$5:$A$604,A4780)&gt;0,"En Lookahead",IF(P4780="Sí","INCORPORAR",""))</f>
        <v/>
      </c>
    </row>
    <row r="4781" customFormat="false" ht="15" hidden="false" customHeight="false" outlineLevel="0" collapsed="false">
      <c r="A4781" s="16" t="s">
        <v>14934</v>
      </c>
      <c r="B4781" s="16" t="n">
        <v>4776</v>
      </c>
      <c r="C4781" s="16" t="s">
        <v>14935</v>
      </c>
      <c r="D4781" s="16" t="n">
        <v>8</v>
      </c>
      <c r="E4781" s="39" t="s">
        <v>14328</v>
      </c>
      <c r="F4781" s="16" t="s">
        <v>1285</v>
      </c>
      <c r="G4781" s="16" t="s">
        <v>1063</v>
      </c>
      <c r="H4781" s="16" t="s">
        <v>14297</v>
      </c>
      <c r="I4781" s="16" t="s">
        <v>136</v>
      </c>
      <c r="J4781" s="16" t="s">
        <v>14909</v>
      </c>
      <c r="K4781" s="32" t="n">
        <v>50</v>
      </c>
      <c r="L4781" s="33" t="n">
        <v>46541</v>
      </c>
      <c r="M4781" s="33" t="n">
        <v>46590</v>
      </c>
      <c r="N4781" s="16" t="s">
        <v>14652</v>
      </c>
      <c r="O4781" s="16" t="s">
        <v>1299</v>
      </c>
      <c r="P4781" s="16" t="str">
        <f aca="false">IF(AND(L4781&lt;=$D$2,M4781&gt;=$C$2),"Sí","")</f>
        <v/>
      </c>
      <c r="Q4781" s="18" t="str">
        <f aca="false">IF(COUNTIF(LOOKAHEAD!$A$5:$A$604,A4781)&gt;0,"En Lookahead",IF(P4781="Sí","INCORPORAR",""))</f>
        <v/>
      </c>
    </row>
    <row r="4782" customFormat="false" ht="15" hidden="false" customHeight="false" outlineLevel="0" collapsed="false">
      <c r="A4782" s="16" t="s">
        <v>14936</v>
      </c>
      <c r="B4782" s="16" t="n">
        <v>4777</v>
      </c>
      <c r="C4782" s="16" t="s">
        <v>14937</v>
      </c>
      <c r="D4782" s="16" t="n">
        <v>8</v>
      </c>
      <c r="E4782" s="39" t="s">
        <v>14938</v>
      </c>
      <c r="F4782" s="16" t="s">
        <v>1285</v>
      </c>
      <c r="G4782" s="16" t="s">
        <v>1063</v>
      </c>
      <c r="H4782" s="16" t="s">
        <v>14297</v>
      </c>
      <c r="I4782" s="16" t="s">
        <v>136</v>
      </c>
      <c r="J4782" s="16" t="s">
        <v>14909</v>
      </c>
      <c r="K4782" s="32" t="n">
        <v>50</v>
      </c>
      <c r="L4782" s="33" t="n">
        <v>46541</v>
      </c>
      <c r="M4782" s="33" t="n">
        <v>46590</v>
      </c>
      <c r="N4782" s="16" t="s">
        <v>14652</v>
      </c>
      <c r="O4782" s="16" t="s">
        <v>1299</v>
      </c>
      <c r="P4782" s="16" t="str">
        <f aca="false">IF(AND(L4782&lt;=$D$2,M4782&gt;=$C$2),"Sí","")</f>
        <v/>
      </c>
      <c r="Q4782" s="18" t="str">
        <f aca="false">IF(COUNTIF(LOOKAHEAD!$A$5:$A$604,A4782)&gt;0,"En Lookahead",IF(P4782="Sí","INCORPORAR",""))</f>
        <v/>
      </c>
    </row>
    <row r="4783" customFormat="false" ht="15" hidden="false" customHeight="false" outlineLevel="0" collapsed="false">
      <c r="A4783" s="16" t="s">
        <v>14939</v>
      </c>
      <c r="B4783" s="16" t="n">
        <v>4778</v>
      </c>
      <c r="C4783" s="16" t="s">
        <v>14940</v>
      </c>
      <c r="D4783" s="16" t="n">
        <v>8</v>
      </c>
      <c r="E4783" s="39" t="s">
        <v>14500</v>
      </c>
      <c r="F4783" s="16" t="s">
        <v>1285</v>
      </c>
      <c r="G4783" s="16" t="s">
        <v>1063</v>
      </c>
      <c r="H4783" s="16" t="s">
        <v>14297</v>
      </c>
      <c r="I4783" s="16" t="s">
        <v>136</v>
      </c>
      <c r="J4783" s="16" t="s">
        <v>14909</v>
      </c>
      <c r="K4783" s="32" t="n">
        <v>50</v>
      </c>
      <c r="L4783" s="33" t="n">
        <v>46541</v>
      </c>
      <c r="M4783" s="33" t="n">
        <v>46590</v>
      </c>
      <c r="N4783" s="16" t="s">
        <v>14652</v>
      </c>
      <c r="O4783" s="16" t="s">
        <v>1299</v>
      </c>
      <c r="P4783" s="16" t="str">
        <f aca="false">IF(AND(L4783&lt;=$D$2,M4783&gt;=$C$2),"Sí","")</f>
        <v/>
      </c>
      <c r="Q4783" s="18" t="str">
        <f aca="false">IF(COUNTIF(LOOKAHEAD!$A$5:$A$604,A4783)&gt;0,"En Lookahead",IF(P4783="Sí","INCORPORAR",""))</f>
        <v/>
      </c>
    </row>
    <row r="4784" customFormat="false" ht="15" hidden="false" customHeight="false" outlineLevel="0" collapsed="false">
      <c r="A4784" s="16" t="s">
        <v>14941</v>
      </c>
      <c r="B4784" s="16" t="n">
        <v>4779</v>
      </c>
      <c r="C4784" s="16" t="s">
        <v>14942</v>
      </c>
      <c r="D4784" s="16" t="n">
        <v>8</v>
      </c>
      <c r="E4784" s="39" t="s">
        <v>14384</v>
      </c>
      <c r="F4784" s="16" t="s">
        <v>1285</v>
      </c>
      <c r="G4784" s="16" t="s">
        <v>1063</v>
      </c>
      <c r="H4784" s="16" t="s">
        <v>14297</v>
      </c>
      <c r="I4784" s="16" t="s">
        <v>136</v>
      </c>
      <c r="J4784" s="16" t="s">
        <v>14909</v>
      </c>
      <c r="K4784" s="32" t="n">
        <v>50</v>
      </c>
      <c r="L4784" s="33" t="n">
        <v>46541</v>
      </c>
      <c r="M4784" s="33" t="n">
        <v>46590</v>
      </c>
      <c r="N4784" s="16" t="s">
        <v>14652</v>
      </c>
      <c r="O4784" s="16" t="s">
        <v>1299</v>
      </c>
      <c r="P4784" s="16" t="str">
        <f aca="false">IF(AND(L4784&lt;=$D$2,M4784&gt;=$C$2),"Sí","")</f>
        <v/>
      </c>
      <c r="Q4784" s="18" t="str">
        <f aca="false">IF(COUNTIF(LOOKAHEAD!$A$5:$A$604,A4784)&gt;0,"En Lookahead",IF(P4784="Sí","INCORPORAR",""))</f>
        <v/>
      </c>
    </row>
    <row r="4785" customFormat="false" ht="15" hidden="false" customHeight="false" outlineLevel="0" collapsed="false">
      <c r="A4785" s="16" t="s">
        <v>14943</v>
      </c>
      <c r="B4785" s="16" t="n">
        <v>4780</v>
      </c>
      <c r="C4785" s="16" t="s">
        <v>14944</v>
      </c>
      <c r="D4785" s="16" t="n">
        <v>8</v>
      </c>
      <c r="E4785" s="39" t="s">
        <v>14945</v>
      </c>
      <c r="F4785" s="16" t="s">
        <v>1285</v>
      </c>
      <c r="G4785" s="16" t="s">
        <v>1063</v>
      </c>
      <c r="H4785" s="16" t="s">
        <v>14297</v>
      </c>
      <c r="I4785" s="16" t="s">
        <v>136</v>
      </c>
      <c r="J4785" s="16" t="s">
        <v>14909</v>
      </c>
      <c r="K4785" s="32" t="n">
        <v>50</v>
      </c>
      <c r="L4785" s="33" t="n">
        <v>46541</v>
      </c>
      <c r="M4785" s="33" t="n">
        <v>46590</v>
      </c>
      <c r="N4785" s="16" t="s">
        <v>14652</v>
      </c>
      <c r="O4785" s="16" t="s">
        <v>1299</v>
      </c>
      <c r="P4785" s="16" t="str">
        <f aca="false">IF(AND(L4785&lt;=$D$2,M4785&gt;=$C$2),"Sí","")</f>
        <v/>
      </c>
      <c r="Q4785" s="18" t="str">
        <f aca="false">IF(COUNTIF(LOOKAHEAD!$A$5:$A$604,A4785)&gt;0,"En Lookahead",IF(P4785="Sí","INCORPORAR",""))</f>
        <v/>
      </c>
    </row>
    <row r="4786" customFormat="false" ht="15" hidden="false" customHeight="false" outlineLevel="0" collapsed="false">
      <c r="A4786" s="16" t="s">
        <v>14946</v>
      </c>
      <c r="B4786" s="16" t="n">
        <v>4781</v>
      </c>
      <c r="C4786" s="16" t="s">
        <v>14947</v>
      </c>
      <c r="D4786" s="16" t="n">
        <v>8</v>
      </c>
      <c r="E4786" s="39" t="s">
        <v>14948</v>
      </c>
      <c r="F4786" s="16" t="s">
        <v>1285</v>
      </c>
      <c r="G4786" s="16" t="s">
        <v>1063</v>
      </c>
      <c r="H4786" s="16" t="s">
        <v>14297</v>
      </c>
      <c r="I4786" s="16" t="s">
        <v>136</v>
      </c>
      <c r="J4786" s="16" t="s">
        <v>14909</v>
      </c>
      <c r="K4786" s="32" t="n">
        <v>50</v>
      </c>
      <c r="L4786" s="33" t="n">
        <v>46541</v>
      </c>
      <c r="M4786" s="33" t="n">
        <v>46590</v>
      </c>
      <c r="N4786" s="16" t="s">
        <v>14652</v>
      </c>
      <c r="O4786" s="16" t="s">
        <v>1299</v>
      </c>
      <c r="P4786" s="16" t="str">
        <f aca="false">IF(AND(L4786&lt;=$D$2,M4786&gt;=$C$2),"Sí","")</f>
        <v/>
      </c>
      <c r="Q4786" s="18" t="str">
        <f aca="false">IF(COUNTIF(LOOKAHEAD!$A$5:$A$604,A4786)&gt;0,"En Lookahead",IF(P4786="Sí","INCORPORAR",""))</f>
        <v/>
      </c>
    </row>
    <row r="4787" customFormat="false" ht="15" hidden="false" customHeight="false" outlineLevel="0" collapsed="false">
      <c r="A4787" s="13" t="s">
        <v>14949</v>
      </c>
      <c r="B4787" s="13" t="n">
        <v>4782</v>
      </c>
      <c r="C4787" s="13" t="s">
        <v>14950</v>
      </c>
      <c r="D4787" s="13" t="n">
        <v>7</v>
      </c>
      <c r="E4787" s="38" t="s">
        <v>14951</v>
      </c>
      <c r="F4787" s="13" t="s">
        <v>1298</v>
      </c>
      <c r="G4787" s="13" t="s">
        <v>1063</v>
      </c>
      <c r="H4787" s="13" t="s">
        <v>14297</v>
      </c>
      <c r="I4787" s="13" t="s">
        <v>136</v>
      </c>
      <c r="J4787" s="13" t="s">
        <v>14471</v>
      </c>
      <c r="K4787" s="30" t="n">
        <v>50</v>
      </c>
      <c r="L4787" s="31" t="n">
        <v>46541</v>
      </c>
      <c r="M4787" s="31" t="n">
        <v>46590</v>
      </c>
      <c r="N4787" s="13"/>
      <c r="O4787" s="13" t="s">
        <v>1299</v>
      </c>
      <c r="P4787" s="13"/>
      <c r="Q4787" s="13"/>
    </row>
    <row r="4788" customFormat="false" ht="15" hidden="false" customHeight="false" outlineLevel="0" collapsed="false">
      <c r="A4788" s="16" t="s">
        <v>14952</v>
      </c>
      <c r="B4788" s="16" t="n">
        <v>4783</v>
      </c>
      <c r="C4788" s="16" t="s">
        <v>14953</v>
      </c>
      <c r="D4788" s="16" t="n">
        <v>8</v>
      </c>
      <c r="E4788" s="39" t="s">
        <v>14308</v>
      </c>
      <c r="F4788" s="16" t="s">
        <v>1285</v>
      </c>
      <c r="G4788" s="16" t="s">
        <v>1063</v>
      </c>
      <c r="H4788" s="16" t="s">
        <v>14297</v>
      </c>
      <c r="I4788" s="16" t="s">
        <v>136</v>
      </c>
      <c r="J4788" s="16" t="s">
        <v>14951</v>
      </c>
      <c r="K4788" s="32" t="n">
        <v>50</v>
      </c>
      <c r="L4788" s="33" t="n">
        <v>46541</v>
      </c>
      <c r="M4788" s="33" t="n">
        <v>46590</v>
      </c>
      <c r="N4788" s="16" t="s">
        <v>14652</v>
      </c>
      <c r="O4788" s="16" t="s">
        <v>1299</v>
      </c>
      <c r="P4788" s="16" t="str">
        <f aca="false">IF(AND(L4788&lt;=$D$2,M4788&gt;=$C$2),"Sí","")</f>
        <v/>
      </c>
      <c r="Q4788" s="18" t="str">
        <f aca="false">IF(COUNTIF(LOOKAHEAD!$A$5:$A$604,A4788)&gt;0,"En Lookahead",IF(P4788="Sí","INCORPORAR",""))</f>
        <v/>
      </c>
    </row>
    <row r="4789" customFormat="false" ht="15" hidden="false" customHeight="false" outlineLevel="0" collapsed="false">
      <c r="A4789" s="16" t="s">
        <v>14954</v>
      </c>
      <c r="B4789" s="16" t="n">
        <v>4784</v>
      </c>
      <c r="C4789" s="16" t="s">
        <v>14955</v>
      </c>
      <c r="D4789" s="16" t="n">
        <v>8</v>
      </c>
      <c r="E4789" s="39" t="s">
        <v>14392</v>
      </c>
      <c r="F4789" s="16" t="s">
        <v>1285</v>
      </c>
      <c r="G4789" s="16" t="s">
        <v>1063</v>
      </c>
      <c r="H4789" s="16" t="s">
        <v>14297</v>
      </c>
      <c r="I4789" s="16" t="s">
        <v>136</v>
      </c>
      <c r="J4789" s="16" t="s">
        <v>14951</v>
      </c>
      <c r="K4789" s="32" t="n">
        <v>50</v>
      </c>
      <c r="L4789" s="33" t="n">
        <v>46541</v>
      </c>
      <c r="M4789" s="33" t="n">
        <v>46590</v>
      </c>
      <c r="N4789" s="16" t="s">
        <v>14652</v>
      </c>
      <c r="O4789" s="16" t="s">
        <v>1299</v>
      </c>
      <c r="P4789" s="16" t="str">
        <f aca="false">IF(AND(L4789&lt;=$D$2,M4789&gt;=$C$2),"Sí","")</f>
        <v/>
      </c>
      <c r="Q4789" s="18" t="str">
        <f aca="false">IF(COUNTIF(LOOKAHEAD!$A$5:$A$604,A4789)&gt;0,"En Lookahead",IF(P4789="Sí","INCORPORAR",""))</f>
        <v/>
      </c>
    </row>
    <row r="4790" customFormat="false" ht="15" hidden="false" customHeight="false" outlineLevel="0" collapsed="false">
      <c r="A4790" s="16" t="s">
        <v>14956</v>
      </c>
      <c r="B4790" s="16" t="n">
        <v>4785</v>
      </c>
      <c r="C4790" s="16" t="s">
        <v>14957</v>
      </c>
      <c r="D4790" s="16" t="n">
        <v>8</v>
      </c>
      <c r="E4790" s="39" t="s">
        <v>14337</v>
      </c>
      <c r="F4790" s="16" t="s">
        <v>1285</v>
      </c>
      <c r="G4790" s="16" t="s">
        <v>1063</v>
      </c>
      <c r="H4790" s="16" t="s">
        <v>14297</v>
      </c>
      <c r="I4790" s="16" t="s">
        <v>136</v>
      </c>
      <c r="J4790" s="16" t="s">
        <v>14951</v>
      </c>
      <c r="K4790" s="32" t="n">
        <v>50</v>
      </c>
      <c r="L4790" s="33" t="n">
        <v>46541</v>
      </c>
      <c r="M4790" s="33" t="n">
        <v>46590</v>
      </c>
      <c r="N4790" s="16" t="s">
        <v>14652</v>
      </c>
      <c r="O4790" s="16" t="s">
        <v>1299</v>
      </c>
      <c r="P4790" s="16" t="str">
        <f aca="false">IF(AND(L4790&lt;=$D$2,M4790&gt;=$C$2),"Sí","")</f>
        <v/>
      </c>
      <c r="Q4790" s="18" t="str">
        <f aca="false">IF(COUNTIF(LOOKAHEAD!$A$5:$A$604,A4790)&gt;0,"En Lookahead",IF(P4790="Sí","INCORPORAR",""))</f>
        <v/>
      </c>
    </row>
    <row r="4791" customFormat="false" ht="15" hidden="false" customHeight="false" outlineLevel="0" collapsed="false">
      <c r="A4791" s="16" t="s">
        <v>14958</v>
      </c>
      <c r="B4791" s="16" t="n">
        <v>4786</v>
      </c>
      <c r="C4791" s="16" t="s">
        <v>14959</v>
      </c>
      <c r="D4791" s="16" t="n">
        <v>8</v>
      </c>
      <c r="E4791" s="39" t="s">
        <v>14316</v>
      </c>
      <c r="F4791" s="16" t="s">
        <v>1285</v>
      </c>
      <c r="G4791" s="16" t="s">
        <v>1063</v>
      </c>
      <c r="H4791" s="16" t="s">
        <v>14297</v>
      </c>
      <c r="I4791" s="16" t="s">
        <v>136</v>
      </c>
      <c r="J4791" s="16" t="s">
        <v>14951</v>
      </c>
      <c r="K4791" s="32" t="n">
        <v>50</v>
      </c>
      <c r="L4791" s="33" t="n">
        <v>46541</v>
      </c>
      <c r="M4791" s="33" t="n">
        <v>46590</v>
      </c>
      <c r="N4791" s="16" t="s">
        <v>14652</v>
      </c>
      <c r="O4791" s="16" t="s">
        <v>1299</v>
      </c>
      <c r="P4791" s="16" t="str">
        <f aca="false">IF(AND(L4791&lt;=$D$2,M4791&gt;=$C$2),"Sí","")</f>
        <v/>
      </c>
      <c r="Q4791" s="18" t="str">
        <f aca="false">IF(COUNTIF(LOOKAHEAD!$A$5:$A$604,A4791)&gt;0,"En Lookahead",IF(P4791="Sí","INCORPORAR",""))</f>
        <v/>
      </c>
    </row>
    <row r="4792" customFormat="false" ht="15" hidden="false" customHeight="false" outlineLevel="0" collapsed="false">
      <c r="A4792" s="16" t="s">
        <v>14960</v>
      </c>
      <c r="B4792" s="16" t="n">
        <v>4787</v>
      </c>
      <c r="C4792" s="16" t="s">
        <v>14961</v>
      </c>
      <c r="D4792" s="16" t="n">
        <v>8</v>
      </c>
      <c r="E4792" s="39" t="s">
        <v>14322</v>
      </c>
      <c r="F4792" s="16" t="s">
        <v>1285</v>
      </c>
      <c r="G4792" s="16" t="s">
        <v>1063</v>
      </c>
      <c r="H4792" s="16" t="s">
        <v>14297</v>
      </c>
      <c r="I4792" s="16" t="s">
        <v>136</v>
      </c>
      <c r="J4792" s="16" t="s">
        <v>14951</v>
      </c>
      <c r="K4792" s="32" t="n">
        <v>50</v>
      </c>
      <c r="L4792" s="33" t="n">
        <v>46541</v>
      </c>
      <c r="M4792" s="33" t="n">
        <v>46590</v>
      </c>
      <c r="N4792" s="16" t="s">
        <v>14652</v>
      </c>
      <c r="O4792" s="16" t="s">
        <v>1299</v>
      </c>
      <c r="P4792" s="16" t="str">
        <f aca="false">IF(AND(L4792&lt;=$D$2,M4792&gt;=$C$2),"Sí","")</f>
        <v/>
      </c>
      <c r="Q4792" s="18" t="str">
        <f aca="false">IF(COUNTIF(LOOKAHEAD!$A$5:$A$604,A4792)&gt;0,"En Lookahead",IF(P4792="Sí","INCORPORAR",""))</f>
        <v/>
      </c>
    </row>
    <row r="4793" customFormat="false" ht="15" hidden="false" customHeight="false" outlineLevel="0" collapsed="false">
      <c r="A4793" s="13" t="s">
        <v>14962</v>
      </c>
      <c r="B4793" s="13" t="n">
        <v>4788</v>
      </c>
      <c r="C4793" s="13" t="s">
        <v>14963</v>
      </c>
      <c r="D4793" s="13" t="n">
        <v>7</v>
      </c>
      <c r="E4793" s="38" t="s">
        <v>14509</v>
      </c>
      <c r="F4793" s="13" t="s">
        <v>1298</v>
      </c>
      <c r="G4793" s="13" t="s">
        <v>1063</v>
      </c>
      <c r="H4793" s="13" t="s">
        <v>14297</v>
      </c>
      <c r="I4793" s="13" t="s">
        <v>136</v>
      </c>
      <c r="J4793" s="13" t="s">
        <v>14471</v>
      </c>
      <c r="K4793" s="30" t="n">
        <v>50</v>
      </c>
      <c r="L4793" s="31" t="n">
        <v>46541</v>
      </c>
      <c r="M4793" s="31" t="n">
        <v>46590</v>
      </c>
      <c r="N4793" s="13"/>
      <c r="O4793" s="13" t="s">
        <v>1299</v>
      </c>
      <c r="P4793" s="13"/>
      <c r="Q4793" s="13"/>
    </row>
    <row r="4794" customFormat="false" ht="15" hidden="false" customHeight="false" outlineLevel="0" collapsed="false">
      <c r="A4794" s="16" t="s">
        <v>14964</v>
      </c>
      <c r="B4794" s="16" t="n">
        <v>4789</v>
      </c>
      <c r="C4794" s="16" t="s">
        <v>14965</v>
      </c>
      <c r="D4794" s="16" t="n">
        <v>8</v>
      </c>
      <c r="E4794" s="39" t="s">
        <v>14512</v>
      </c>
      <c r="F4794" s="16" t="s">
        <v>1285</v>
      </c>
      <c r="G4794" s="16" t="s">
        <v>1063</v>
      </c>
      <c r="H4794" s="16" t="s">
        <v>14297</v>
      </c>
      <c r="I4794" s="16" t="s">
        <v>136</v>
      </c>
      <c r="J4794" s="16" t="s">
        <v>14509</v>
      </c>
      <c r="K4794" s="32" t="n">
        <v>50</v>
      </c>
      <c r="L4794" s="33" t="n">
        <v>46541</v>
      </c>
      <c r="M4794" s="33" t="n">
        <v>46590</v>
      </c>
      <c r="N4794" s="16" t="s">
        <v>14652</v>
      </c>
      <c r="O4794" s="16" t="s">
        <v>1299</v>
      </c>
      <c r="P4794" s="16" t="str">
        <f aca="false">IF(AND(L4794&lt;=$D$2,M4794&gt;=$C$2),"Sí","")</f>
        <v/>
      </c>
      <c r="Q4794" s="18" t="str">
        <f aca="false">IF(COUNTIF(LOOKAHEAD!$A$5:$A$604,A4794)&gt;0,"En Lookahead",IF(P4794="Sí","INCORPORAR",""))</f>
        <v/>
      </c>
    </row>
    <row r="4795" customFormat="false" ht="15" hidden="false" customHeight="false" outlineLevel="0" collapsed="false">
      <c r="A4795" s="16" t="s">
        <v>14966</v>
      </c>
      <c r="B4795" s="16" t="n">
        <v>4790</v>
      </c>
      <c r="C4795" s="16" t="s">
        <v>14967</v>
      </c>
      <c r="D4795" s="16" t="n">
        <v>8</v>
      </c>
      <c r="E4795" s="39" t="s">
        <v>14968</v>
      </c>
      <c r="F4795" s="16" t="s">
        <v>1285</v>
      </c>
      <c r="G4795" s="16" t="s">
        <v>1063</v>
      </c>
      <c r="H4795" s="16" t="s">
        <v>14297</v>
      </c>
      <c r="I4795" s="16" t="s">
        <v>136</v>
      </c>
      <c r="J4795" s="16" t="s">
        <v>14509</v>
      </c>
      <c r="K4795" s="32" t="n">
        <v>50</v>
      </c>
      <c r="L4795" s="33" t="n">
        <v>46541</v>
      </c>
      <c r="M4795" s="33" t="n">
        <v>46590</v>
      </c>
      <c r="N4795" s="16" t="s">
        <v>14652</v>
      </c>
      <c r="O4795" s="16" t="s">
        <v>1299</v>
      </c>
      <c r="P4795" s="16" t="str">
        <f aca="false">IF(AND(L4795&lt;=$D$2,M4795&gt;=$C$2),"Sí","")</f>
        <v/>
      </c>
      <c r="Q4795" s="18" t="str">
        <f aca="false">IF(COUNTIF(LOOKAHEAD!$A$5:$A$604,A4795)&gt;0,"En Lookahead",IF(P4795="Sí","INCORPORAR",""))</f>
        <v/>
      </c>
    </row>
    <row r="4796" customFormat="false" ht="15" hidden="false" customHeight="false" outlineLevel="0" collapsed="false">
      <c r="A4796" s="13" t="s">
        <v>14969</v>
      </c>
      <c r="B4796" s="13" t="n">
        <v>4791</v>
      </c>
      <c r="C4796" s="13" t="s">
        <v>14970</v>
      </c>
      <c r="D4796" s="13" t="n">
        <v>7</v>
      </c>
      <c r="E4796" s="38" t="s">
        <v>14515</v>
      </c>
      <c r="F4796" s="13" t="s">
        <v>1298</v>
      </c>
      <c r="G4796" s="13" t="s">
        <v>1063</v>
      </c>
      <c r="H4796" s="13" t="s">
        <v>14297</v>
      </c>
      <c r="I4796" s="13" t="s">
        <v>136</v>
      </c>
      <c r="J4796" s="13" t="s">
        <v>14471</v>
      </c>
      <c r="K4796" s="30" t="n">
        <v>50</v>
      </c>
      <c r="L4796" s="31" t="n">
        <v>46541</v>
      </c>
      <c r="M4796" s="31" t="n">
        <v>46590</v>
      </c>
      <c r="N4796" s="13"/>
      <c r="O4796" s="13" t="s">
        <v>1299</v>
      </c>
      <c r="P4796" s="13"/>
      <c r="Q4796" s="13"/>
    </row>
    <row r="4797" customFormat="false" ht="15" hidden="false" customHeight="false" outlineLevel="0" collapsed="false">
      <c r="A4797" s="16" t="s">
        <v>14971</v>
      </c>
      <c r="B4797" s="16" t="n">
        <v>4792</v>
      </c>
      <c r="C4797" s="16" t="s">
        <v>14972</v>
      </c>
      <c r="D4797" s="16" t="n">
        <v>8</v>
      </c>
      <c r="E4797" s="39" t="s">
        <v>14518</v>
      </c>
      <c r="F4797" s="16" t="s">
        <v>1285</v>
      </c>
      <c r="G4797" s="16" t="s">
        <v>1063</v>
      </c>
      <c r="H4797" s="16" t="s">
        <v>14297</v>
      </c>
      <c r="I4797" s="16" t="s">
        <v>136</v>
      </c>
      <c r="J4797" s="16" t="s">
        <v>14515</v>
      </c>
      <c r="K4797" s="32" t="n">
        <v>50</v>
      </c>
      <c r="L4797" s="33" t="n">
        <v>46541</v>
      </c>
      <c r="M4797" s="33" t="n">
        <v>46590</v>
      </c>
      <c r="N4797" s="16" t="s">
        <v>14652</v>
      </c>
      <c r="O4797" s="16" t="s">
        <v>1299</v>
      </c>
      <c r="P4797" s="16" t="str">
        <f aca="false">IF(AND(L4797&lt;=$D$2,M4797&gt;=$C$2),"Sí","")</f>
        <v/>
      </c>
      <c r="Q4797" s="18" t="str">
        <f aca="false">IF(COUNTIF(LOOKAHEAD!$A$5:$A$604,A4797)&gt;0,"En Lookahead",IF(P4797="Sí","INCORPORAR",""))</f>
        <v/>
      </c>
    </row>
    <row r="4798" customFormat="false" ht="15" hidden="false" customHeight="false" outlineLevel="0" collapsed="false">
      <c r="A4798" s="16" t="s">
        <v>14973</v>
      </c>
      <c r="B4798" s="16" t="n">
        <v>4793</v>
      </c>
      <c r="C4798" s="16" t="s">
        <v>14974</v>
      </c>
      <c r="D4798" s="16" t="n">
        <v>8</v>
      </c>
      <c r="E4798" s="39" t="s">
        <v>14392</v>
      </c>
      <c r="F4798" s="16" t="s">
        <v>1285</v>
      </c>
      <c r="G4798" s="16" t="s">
        <v>1063</v>
      </c>
      <c r="H4798" s="16" t="s">
        <v>14297</v>
      </c>
      <c r="I4798" s="16" t="s">
        <v>136</v>
      </c>
      <c r="J4798" s="16" t="s">
        <v>14515</v>
      </c>
      <c r="K4798" s="32" t="n">
        <v>50</v>
      </c>
      <c r="L4798" s="33" t="n">
        <v>46541</v>
      </c>
      <c r="M4798" s="33" t="n">
        <v>46590</v>
      </c>
      <c r="N4798" s="16" t="s">
        <v>14652</v>
      </c>
      <c r="O4798" s="16" t="s">
        <v>1299</v>
      </c>
      <c r="P4798" s="16" t="str">
        <f aca="false">IF(AND(L4798&lt;=$D$2,M4798&gt;=$C$2),"Sí","")</f>
        <v/>
      </c>
      <c r="Q4798" s="18" t="str">
        <f aca="false">IF(COUNTIF(LOOKAHEAD!$A$5:$A$604,A4798)&gt;0,"En Lookahead",IF(P4798="Sí","INCORPORAR",""))</f>
        <v/>
      </c>
    </row>
    <row r="4799" customFormat="false" ht="15" hidden="false" customHeight="false" outlineLevel="0" collapsed="false">
      <c r="A4799" s="16" t="s">
        <v>14975</v>
      </c>
      <c r="B4799" s="16" t="n">
        <v>4794</v>
      </c>
      <c r="C4799" s="16" t="s">
        <v>14976</v>
      </c>
      <c r="D4799" s="16" t="n">
        <v>8</v>
      </c>
      <c r="E4799" s="39" t="s">
        <v>14337</v>
      </c>
      <c r="F4799" s="16" t="s">
        <v>1285</v>
      </c>
      <c r="G4799" s="16" t="s">
        <v>1063</v>
      </c>
      <c r="H4799" s="16" t="s">
        <v>14297</v>
      </c>
      <c r="I4799" s="16" t="s">
        <v>136</v>
      </c>
      <c r="J4799" s="16" t="s">
        <v>14515</v>
      </c>
      <c r="K4799" s="32" t="n">
        <v>50</v>
      </c>
      <c r="L4799" s="33" t="n">
        <v>46541</v>
      </c>
      <c r="M4799" s="33" t="n">
        <v>46590</v>
      </c>
      <c r="N4799" s="16" t="s">
        <v>14652</v>
      </c>
      <c r="O4799" s="16" t="s">
        <v>1299</v>
      </c>
      <c r="P4799" s="16" t="str">
        <f aca="false">IF(AND(L4799&lt;=$D$2,M4799&gt;=$C$2),"Sí","")</f>
        <v/>
      </c>
      <c r="Q4799" s="18" t="str">
        <f aca="false">IF(COUNTIF(LOOKAHEAD!$A$5:$A$604,A4799)&gt;0,"En Lookahead",IF(P4799="Sí","INCORPORAR",""))</f>
        <v/>
      </c>
    </row>
    <row r="4800" customFormat="false" ht="15" hidden="false" customHeight="false" outlineLevel="0" collapsed="false">
      <c r="A4800" s="16" t="s">
        <v>14977</v>
      </c>
      <c r="B4800" s="16" t="n">
        <v>4795</v>
      </c>
      <c r="C4800" s="16" t="s">
        <v>14978</v>
      </c>
      <c r="D4800" s="16" t="n">
        <v>8</v>
      </c>
      <c r="E4800" s="39" t="s">
        <v>14484</v>
      </c>
      <c r="F4800" s="16" t="s">
        <v>1285</v>
      </c>
      <c r="G4800" s="16" t="s">
        <v>1063</v>
      </c>
      <c r="H4800" s="16" t="s">
        <v>14297</v>
      </c>
      <c r="I4800" s="16" t="s">
        <v>136</v>
      </c>
      <c r="J4800" s="16" t="s">
        <v>14515</v>
      </c>
      <c r="K4800" s="32" t="n">
        <v>50</v>
      </c>
      <c r="L4800" s="33" t="n">
        <v>46541</v>
      </c>
      <c r="M4800" s="33" t="n">
        <v>46590</v>
      </c>
      <c r="N4800" s="16" t="s">
        <v>14652</v>
      </c>
      <c r="O4800" s="16" t="s">
        <v>1299</v>
      </c>
      <c r="P4800" s="16" t="str">
        <f aca="false">IF(AND(L4800&lt;=$D$2,M4800&gt;=$C$2),"Sí","")</f>
        <v/>
      </c>
      <c r="Q4800" s="18" t="str">
        <f aca="false">IF(COUNTIF(LOOKAHEAD!$A$5:$A$604,A4800)&gt;0,"En Lookahead",IF(P4800="Sí","INCORPORAR",""))</f>
        <v/>
      </c>
    </row>
    <row r="4801" customFormat="false" ht="15" hidden="false" customHeight="false" outlineLevel="0" collapsed="false">
      <c r="A4801" s="16" t="s">
        <v>14979</v>
      </c>
      <c r="B4801" s="16" t="n">
        <v>4796</v>
      </c>
      <c r="C4801" s="16" t="s">
        <v>14980</v>
      </c>
      <c r="D4801" s="16" t="n">
        <v>8</v>
      </c>
      <c r="E4801" s="39" t="s">
        <v>14316</v>
      </c>
      <c r="F4801" s="16" t="s">
        <v>1285</v>
      </c>
      <c r="G4801" s="16" t="s">
        <v>1063</v>
      </c>
      <c r="H4801" s="16" t="s">
        <v>14297</v>
      </c>
      <c r="I4801" s="16" t="s">
        <v>136</v>
      </c>
      <c r="J4801" s="16" t="s">
        <v>14515</v>
      </c>
      <c r="K4801" s="32" t="n">
        <v>50</v>
      </c>
      <c r="L4801" s="33" t="n">
        <v>46541</v>
      </c>
      <c r="M4801" s="33" t="n">
        <v>46590</v>
      </c>
      <c r="N4801" s="16" t="s">
        <v>14652</v>
      </c>
      <c r="O4801" s="16" t="s">
        <v>1299</v>
      </c>
      <c r="P4801" s="16" t="str">
        <f aca="false">IF(AND(L4801&lt;=$D$2,M4801&gt;=$C$2),"Sí","")</f>
        <v/>
      </c>
      <c r="Q4801" s="18" t="str">
        <f aca="false">IF(COUNTIF(LOOKAHEAD!$A$5:$A$604,A4801)&gt;0,"En Lookahead",IF(P4801="Sí","INCORPORAR",""))</f>
        <v/>
      </c>
    </row>
    <row r="4802" customFormat="false" ht="15" hidden="false" customHeight="false" outlineLevel="0" collapsed="false">
      <c r="A4802" s="16" t="s">
        <v>14981</v>
      </c>
      <c r="B4802" s="16" t="n">
        <v>4797</v>
      </c>
      <c r="C4802" s="16" t="s">
        <v>14982</v>
      </c>
      <c r="D4802" s="16" t="n">
        <v>8</v>
      </c>
      <c r="E4802" s="39" t="s">
        <v>14319</v>
      </c>
      <c r="F4802" s="16" t="s">
        <v>1285</v>
      </c>
      <c r="G4802" s="16" t="s">
        <v>1063</v>
      </c>
      <c r="H4802" s="16" t="s">
        <v>14297</v>
      </c>
      <c r="I4802" s="16" t="s">
        <v>136</v>
      </c>
      <c r="J4802" s="16" t="s">
        <v>14515</v>
      </c>
      <c r="K4802" s="32" t="n">
        <v>50</v>
      </c>
      <c r="L4802" s="33" t="n">
        <v>46541</v>
      </c>
      <c r="M4802" s="33" t="n">
        <v>46590</v>
      </c>
      <c r="N4802" s="16" t="s">
        <v>14652</v>
      </c>
      <c r="O4802" s="16" t="s">
        <v>1299</v>
      </c>
      <c r="P4802" s="16" t="str">
        <f aca="false">IF(AND(L4802&lt;=$D$2,M4802&gt;=$C$2),"Sí","")</f>
        <v/>
      </c>
      <c r="Q4802" s="18" t="str">
        <f aca="false">IF(COUNTIF(LOOKAHEAD!$A$5:$A$604,A4802)&gt;0,"En Lookahead",IF(P4802="Sí","INCORPORAR",""))</f>
        <v/>
      </c>
    </row>
    <row r="4803" customFormat="false" ht="15" hidden="false" customHeight="false" outlineLevel="0" collapsed="false">
      <c r="A4803" s="16" t="s">
        <v>14983</v>
      </c>
      <c r="B4803" s="16" t="n">
        <v>4798</v>
      </c>
      <c r="C4803" s="16" t="s">
        <v>14984</v>
      </c>
      <c r="D4803" s="16" t="n">
        <v>8</v>
      </c>
      <c r="E4803" s="39" t="s">
        <v>14322</v>
      </c>
      <c r="F4803" s="16" t="s">
        <v>1285</v>
      </c>
      <c r="G4803" s="16" t="s">
        <v>1063</v>
      </c>
      <c r="H4803" s="16" t="s">
        <v>14297</v>
      </c>
      <c r="I4803" s="16" t="s">
        <v>136</v>
      </c>
      <c r="J4803" s="16" t="s">
        <v>14515</v>
      </c>
      <c r="K4803" s="32" t="n">
        <v>50</v>
      </c>
      <c r="L4803" s="33" t="n">
        <v>46541</v>
      </c>
      <c r="M4803" s="33" t="n">
        <v>46590</v>
      </c>
      <c r="N4803" s="16" t="s">
        <v>14652</v>
      </c>
      <c r="O4803" s="16" t="s">
        <v>1299</v>
      </c>
      <c r="P4803" s="16" t="str">
        <f aca="false">IF(AND(L4803&lt;=$D$2,M4803&gt;=$C$2),"Sí","")</f>
        <v/>
      </c>
      <c r="Q4803" s="18" t="str">
        <f aca="false">IF(COUNTIF(LOOKAHEAD!$A$5:$A$604,A4803)&gt;0,"En Lookahead",IF(P4803="Sí","INCORPORAR",""))</f>
        <v/>
      </c>
    </row>
    <row r="4804" customFormat="false" ht="15" hidden="false" customHeight="false" outlineLevel="0" collapsed="false">
      <c r="A4804" s="16" t="s">
        <v>14985</v>
      </c>
      <c r="B4804" s="16" t="n">
        <v>4799</v>
      </c>
      <c r="C4804" s="16" t="s">
        <v>14986</v>
      </c>
      <c r="D4804" s="16" t="n">
        <v>8</v>
      </c>
      <c r="E4804" s="39" t="s">
        <v>14403</v>
      </c>
      <c r="F4804" s="16" t="s">
        <v>1285</v>
      </c>
      <c r="G4804" s="16" t="s">
        <v>1063</v>
      </c>
      <c r="H4804" s="16" t="s">
        <v>14297</v>
      </c>
      <c r="I4804" s="16" t="s">
        <v>136</v>
      </c>
      <c r="J4804" s="16" t="s">
        <v>14515</v>
      </c>
      <c r="K4804" s="32" t="n">
        <v>50</v>
      </c>
      <c r="L4804" s="33" t="n">
        <v>46541</v>
      </c>
      <c r="M4804" s="33" t="n">
        <v>46590</v>
      </c>
      <c r="N4804" s="16" t="s">
        <v>14652</v>
      </c>
      <c r="O4804" s="16" t="s">
        <v>1299</v>
      </c>
      <c r="P4804" s="16" t="str">
        <f aca="false">IF(AND(L4804&lt;=$D$2,M4804&gt;=$C$2),"Sí","")</f>
        <v/>
      </c>
      <c r="Q4804" s="18" t="str">
        <f aca="false">IF(COUNTIF(LOOKAHEAD!$A$5:$A$604,A4804)&gt;0,"En Lookahead",IF(P4804="Sí","INCORPORAR",""))</f>
        <v/>
      </c>
    </row>
    <row r="4805" customFormat="false" ht="15" hidden="false" customHeight="false" outlineLevel="0" collapsed="false">
      <c r="A4805" s="16" t="s">
        <v>14987</v>
      </c>
      <c r="B4805" s="16" t="n">
        <v>4800</v>
      </c>
      <c r="C4805" s="16" t="s">
        <v>14988</v>
      </c>
      <c r="D4805" s="16" t="n">
        <v>8</v>
      </c>
      <c r="E4805" s="39" t="s">
        <v>14989</v>
      </c>
      <c r="F4805" s="16" t="s">
        <v>1285</v>
      </c>
      <c r="G4805" s="16" t="s">
        <v>1063</v>
      </c>
      <c r="H4805" s="16" t="s">
        <v>14297</v>
      </c>
      <c r="I4805" s="16" t="s">
        <v>136</v>
      </c>
      <c r="J4805" s="16" t="s">
        <v>14515</v>
      </c>
      <c r="K4805" s="32" t="n">
        <v>50</v>
      </c>
      <c r="L4805" s="33" t="n">
        <v>46541</v>
      </c>
      <c r="M4805" s="33" t="n">
        <v>46590</v>
      </c>
      <c r="N4805" s="16" t="s">
        <v>14652</v>
      </c>
      <c r="O4805" s="16" t="s">
        <v>1299</v>
      </c>
      <c r="P4805" s="16" t="str">
        <f aca="false">IF(AND(L4805&lt;=$D$2,M4805&gt;=$C$2),"Sí","")</f>
        <v/>
      </c>
      <c r="Q4805" s="18" t="str">
        <f aca="false">IF(COUNTIF(LOOKAHEAD!$A$5:$A$604,A4805)&gt;0,"En Lookahead",IF(P4805="Sí","INCORPORAR",""))</f>
        <v/>
      </c>
    </row>
    <row r="4806" customFormat="false" ht="15" hidden="false" customHeight="false" outlineLevel="0" collapsed="false">
      <c r="A4806" s="13" t="s">
        <v>14990</v>
      </c>
      <c r="B4806" s="13" t="n">
        <v>4801</v>
      </c>
      <c r="C4806" s="13" t="s">
        <v>14991</v>
      </c>
      <c r="D4806" s="13" t="n">
        <v>7</v>
      </c>
      <c r="E4806" s="38" t="s">
        <v>14509</v>
      </c>
      <c r="F4806" s="13" t="s">
        <v>1298</v>
      </c>
      <c r="G4806" s="13" t="s">
        <v>1063</v>
      </c>
      <c r="H4806" s="13" t="s">
        <v>14297</v>
      </c>
      <c r="I4806" s="13" t="s">
        <v>136</v>
      </c>
      <c r="J4806" s="13" t="s">
        <v>14471</v>
      </c>
      <c r="K4806" s="30" t="n">
        <v>50</v>
      </c>
      <c r="L4806" s="31" t="n">
        <v>46541</v>
      </c>
      <c r="M4806" s="31" t="n">
        <v>46590</v>
      </c>
      <c r="N4806" s="13"/>
      <c r="O4806" s="13" t="s">
        <v>1299</v>
      </c>
      <c r="P4806" s="13"/>
      <c r="Q4806" s="13"/>
    </row>
    <row r="4807" customFormat="false" ht="15" hidden="false" customHeight="false" outlineLevel="0" collapsed="false">
      <c r="A4807" s="16" t="s">
        <v>14992</v>
      </c>
      <c r="B4807" s="16" t="n">
        <v>4802</v>
      </c>
      <c r="C4807" s="16" t="s">
        <v>14993</v>
      </c>
      <c r="D4807" s="16" t="n">
        <v>8</v>
      </c>
      <c r="E4807" s="39" t="s">
        <v>14512</v>
      </c>
      <c r="F4807" s="16" t="s">
        <v>1285</v>
      </c>
      <c r="G4807" s="16" t="s">
        <v>1063</v>
      </c>
      <c r="H4807" s="16" t="s">
        <v>14297</v>
      </c>
      <c r="I4807" s="16" t="s">
        <v>136</v>
      </c>
      <c r="J4807" s="16" t="s">
        <v>14509</v>
      </c>
      <c r="K4807" s="32" t="n">
        <v>50</v>
      </c>
      <c r="L4807" s="33" t="n">
        <v>46541</v>
      </c>
      <c r="M4807" s="33" t="n">
        <v>46590</v>
      </c>
      <c r="N4807" s="16" t="s">
        <v>14652</v>
      </c>
      <c r="O4807" s="16" t="s">
        <v>1299</v>
      </c>
      <c r="P4807" s="16" t="str">
        <f aca="false">IF(AND(L4807&lt;=$D$2,M4807&gt;=$C$2),"Sí","")</f>
        <v/>
      </c>
      <c r="Q4807" s="18" t="str">
        <f aca="false">IF(COUNTIF(LOOKAHEAD!$A$5:$A$604,A4807)&gt;0,"En Lookahead",IF(P4807="Sí","INCORPORAR",""))</f>
        <v/>
      </c>
    </row>
    <row r="4808" customFormat="false" ht="15" hidden="false" customHeight="false" outlineLevel="0" collapsed="false">
      <c r="A4808" s="13" t="s">
        <v>14994</v>
      </c>
      <c r="B4808" s="13" t="n">
        <v>4803</v>
      </c>
      <c r="C4808" s="13" t="s">
        <v>14995</v>
      </c>
      <c r="D4808" s="13" t="n">
        <v>7</v>
      </c>
      <c r="E4808" s="38" t="s">
        <v>14503</v>
      </c>
      <c r="F4808" s="13" t="s">
        <v>1298</v>
      </c>
      <c r="G4808" s="13" t="s">
        <v>1063</v>
      </c>
      <c r="H4808" s="13" t="s">
        <v>14297</v>
      </c>
      <c r="I4808" s="13" t="s">
        <v>136</v>
      </c>
      <c r="J4808" s="13" t="s">
        <v>14471</v>
      </c>
      <c r="K4808" s="30" t="n">
        <v>50</v>
      </c>
      <c r="L4808" s="31" t="n">
        <v>46541</v>
      </c>
      <c r="M4808" s="31" t="n">
        <v>46590</v>
      </c>
      <c r="N4808" s="13"/>
      <c r="O4808" s="13" t="s">
        <v>1299</v>
      </c>
      <c r="P4808" s="13"/>
      <c r="Q4808" s="13"/>
    </row>
    <row r="4809" customFormat="false" ht="15" hidden="false" customHeight="false" outlineLevel="0" collapsed="false">
      <c r="A4809" s="16" t="s">
        <v>14996</v>
      </c>
      <c r="B4809" s="16" t="n">
        <v>4804</v>
      </c>
      <c r="C4809" s="16" t="s">
        <v>14997</v>
      </c>
      <c r="D4809" s="16" t="n">
        <v>8</v>
      </c>
      <c r="E4809" s="39" t="s">
        <v>14506</v>
      </c>
      <c r="F4809" s="16" t="s">
        <v>1285</v>
      </c>
      <c r="G4809" s="16" t="s">
        <v>1063</v>
      </c>
      <c r="H4809" s="16" t="s">
        <v>14297</v>
      </c>
      <c r="I4809" s="16" t="s">
        <v>136</v>
      </c>
      <c r="J4809" s="16" t="s">
        <v>14503</v>
      </c>
      <c r="K4809" s="32" t="n">
        <v>50</v>
      </c>
      <c r="L4809" s="33" t="n">
        <v>46541</v>
      </c>
      <c r="M4809" s="33" t="n">
        <v>46590</v>
      </c>
      <c r="N4809" s="16" t="s">
        <v>14652</v>
      </c>
      <c r="O4809" s="16" t="s">
        <v>1299</v>
      </c>
      <c r="P4809" s="16" t="str">
        <f aca="false">IF(AND(L4809&lt;=$D$2,M4809&gt;=$C$2),"Sí","")</f>
        <v/>
      </c>
      <c r="Q4809" s="18" t="str">
        <f aca="false">IF(COUNTIF(LOOKAHEAD!$A$5:$A$604,A4809)&gt;0,"En Lookahead",IF(P4809="Sí","INCORPORAR",""))</f>
        <v/>
      </c>
    </row>
    <row r="4810" customFormat="false" ht="15" hidden="false" customHeight="false" outlineLevel="0" collapsed="false">
      <c r="A4810" s="13" t="s">
        <v>14998</v>
      </c>
      <c r="B4810" s="13" t="n">
        <v>4805</v>
      </c>
      <c r="C4810" s="13" t="s">
        <v>14999</v>
      </c>
      <c r="D4810" s="13" t="n">
        <v>7</v>
      </c>
      <c r="E4810" s="38" t="s">
        <v>15000</v>
      </c>
      <c r="F4810" s="13" t="s">
        <v>1298</v>
      </c>
      <c r="G4810" s="13" t="s">
        <v>1063</v>
      </c>
      <c r="H4810" s="13" t="s">
        <v>14297</v>
      </c>
      <c r="I4810" s="13" t="s">
        <v>136</v>
      </c>
      <c r="J4810" s="13" t="s">
        <v>14471</v>
      </c>
      <c r="K4810" s="30" t="n">
        <v>50</v>
      </c>
      <c r="L4810" s="31" t="n">
        <v>46541</v>
      </c>
      <c r="M4810" s="31" t="n">
        <v>46590</v>
      </c>
      <c r="N4810" s="13"/>
      <c r="O4810" s="13" t="s">
        <v>1299</v>
      </c>
      <c r="P4810" s="13"/>
      <c r="Q4810" s="13"/>
    </row>
    <row r="4811" customFormat="false" ht="15" hidden="false" customHeight="false" outlineLevel="0" collapsed="false">
      <c r="A4811" s="16" t="s">
        <v>15001</v>
      </c>
      <c r="B4811" s="16" t="n">
        <v>4806</v>
      </c>
      <c r="C4811" s="16" t="s">
        <v>15002</v>
      </c>
      <c r="D4811" s="16" t="n">
        <v>8</v>
      </c>
      <c r="E4811" s="39" t="s">
        <v>14477</v>
      </c>
      <c r="F4811" s="16" t="s">
        <v>1285</v>
      </c>
      <c r="G4811" s="16" t="s">
        <v>1063</v>
      </c>
      <c r="H4811" s="16" t="s">
        <v>14297</v>
      </c>
      <c r="I4811" s="16" t="s">
        <v>136</v>
      </c>
      <c r="J4811" s="16" t="s">
        <v>15000</v>
      </c>
      <c r="K4811" s="32" t="n">
        <v>50</v>
      </c>
      <c r="L4811" s="33" t="n">
        <v>46541</v>
      </c>
      <c r="M4811" s="33" t="n">
        <v>46590</v>
      </c>
      <c r="N4811" s="16" t="s">
        <v>14652</v>
      </c>
      <c r="O4811" s="16" t="s">
        <v>1299</v>
      </c>
      <c r="P4811" s="16" t="str">
        <f aca="false">IF(AND(L4811&lt;=$D$2,M4811&gt;=$C$2),"Sí","")</f>
        <v/>
      </c>
      <c r="Q4811" s="18" t="str">
        <f aca="false">IF(COUNTIF(LOOKAHEAD!$A$5:$A$604,A4811)&gt;0,"En Lookahead",IF(P4811="Sí","INCORPORAR",""))</f>
        <v/>
      </c>
    </row>
    <row r="4812" customFormat="false" ht="15" hidden="false" customHeight="false" outlineLevel="0" collapsed="false">
      <c r="A4812" s="16" t="s">
        <v>15003</v>
      </c>
      <c r="B4812" s="16" t="n">
        <v>4807</v>
      </c>
      <c r="C4812" s="16" t="s">
        <v>15004</v>
      </c>
      <c r="D4812" s="16" t="n">
        <v>8</v>
      </c>
      <c r="E4812" s="39" t="s">
        <v>14392</v>
      </c>
      <c r="F4812" s="16" t="s">
        <v>1285</v>
      </c>
      <c r="G4812" s="16" t="s">
        <v>1063</v>
      </c>
      <c r="H4812" s="16" t="s">
        <v>14297</v>
      </c>
      <c r="I4812" s="16" t="s">
        <v>136</v>
      </c>
      <c r="J4812" s="16" t="s">
        <v>15000</v>
      </c>
      <c r="K4812" s="32" t="n">
        <v>50</v>
      </c>
      <c r="L4812" s="33" t="n">
        <v>46541</v>
      </c>
      <c r="M4812" s="33" t="n">
        <v>46590</v>
      </c>
      <c r="N4812" s="16" t="s">
        <v>14652</v>
      </c>
      <c r="O4812" s="16" t="s">
        <v>1299</v>
      </c>
      <c r="P4812" s="16" t="str">
        <f aca="false">IF(AND(L4812&lt;=$D$2,M4812&gt;=$C$2),"Sí","")</f>
        <v/>
      </c>
      <c r="Q4812" s="18" t="str">
        <f aca="false">IF(COUNTIF(LOOKAHEAD!$A$5:$A$604,A4812)&gt;0,"En Lookahead",IF(P4812="Sí","INCORPORAR",""))</f>
        <v/>
      </c>
    </row>
    <row r="4813" customFormat="false" ht="15" hidden="false" customHeight="false" outlineLevel="0" collapsed="false">
      <c r="A4813" s="16" t="s">
        <v>15005</v>
      </c>
      <c r="B4813" s="16" t="n">
        <v>4808</v>
      </c>
      <c r="C4813" s="16" t="s">
        <v>15006</v>
      </c>
      <c r="D4813" s="16" t="n">
        <v>8</v>
      </c>
      <c r="E4813" s="39" t="s">
        <v>14337</v>
      </c>
      <c r="F4813" s="16" t="s">
        <v>1285</v>
      </c>
      <c r="G4813" s="16" t="s">
        <v>1063</v>
      </c>
      <c r="H4813" s="16" t="s">
        <v>14297</v>
      </c>
      <c r="I4813" s="16" t="s">
        <v>136</v>
      </c>
      <c r="J4813" s="16" t="s">
        <v>15000</v>
      </c>
      <c r="K4813" s="32" t="n">
        <v>50</v>
      </c>
      <c r="L4813" s="33" t="n">
        <v>46541</v>
      </c>
      <c r="M4813" s="33" t="n">
        <v>46590</v>
      </c>
      <c r="N4813" s="16" t="s">
        <v>14652</v>
      </c>
      <c r="O4813" s="16" t="s">
        <v>1299</v>
      </c>
      <c r="P4813" s="16" t="str">
        <f aca="false">IF(AND(L4813&lt;=$D$2,M4813&gt;=$C$2),"Sí","")</f>
        <v/>
      </c>
      <c r="Q4813" s="18" t="str">
        <f aca="false">IF(COUNTIF(LOOKAHEAD!$A$5:$A$604,A4813)&gt;0,"En Lookahead",IF(P4813="Sí","INCORPORAR",""))</f>
        <v/>
      </c>
    </row>
    <row r="4814" customFormat="false" ht="15" hidden="false" customHeight="false" outlineLevel="0" collapsed="false">
      <c r="A4814" s="16" t="s">
        <v>15007</v>
      </c>
      <c r="B4814" s="16" t="n">
        <v>4809</v>
      </c>
      <c r="C4814" s="16" t="s">
        <v>15008</v>
      </c>
      <c r="D4814" s="16" t="n">
        <v>8</v>
      </c>
      <c r="E4814" s="39" t="s">
        <v>14487</v>
      </c>
      <c r="F4814" s="16" t="s">
        <v>1285</v>
      </c>
      <c r="G4814" s="16" t="s">
        <v>1063</v>
      </c>
      <c r="H4814" s="16" t="s">
        <v>14297</v>
      </c>
      <c r="I4814" s="16" t="s">
        <v>136</v>
      </c>
      <c r="J4814" s="16" t="s">
        <v>15000</v>
      </c>
      <c r="K4814" s="32" t="n">
        <v>50</v>
      </c>
      <c r="L4814" s="33" t="n">
        <v>46541</v>
      </c>
      <c r="M4814" s="33" t="n">
        <v>46590</v>
      </c>
      <c r="N4814" s="16" t="s">
        <v>14652</v>
      </c>
      <c r="O4814" s="16" t="s">
        <v>1299</v>
      </c>
      <c r="P4814" s="16" t="str">
        <f aca="false">IF(AND(L4814&lt;=$D$2,M4814&gt;=$C$2),"Sí","")</f>
        <v/>
      </c>
      <c r="Q4814" s="18" t="str">
        <f aca="false">IF(COUNTIF(LOOKAHEAD!$A$5:$A$604,A4814)&gt;0,"En Lookahead",IF(P4814="Sí","INCORPORAR",""))</f>
        <v/>
      </c>
    </row>
    <row r="4815" customFormat="false" ht="15" hidden="false" customHeight="false" outlineLevel="0" collapsed="false">
      <c r="A4815" s="16" t="s">
        <v>15009</v>
      </c>
      <c r="B4815" s="16" t="n">
        <v>4810</v>
      </c>
      <c r="C4815" s="16" t="s">
        <v>15010</v>
      </c>
      <c r="D4815" s="16" t="n">
        <v>8</v>
      </c>
      <c r="E4815" s="39" t="s">
        <v>14319</v>
      </c>
      <c r="F4815" s="16" t="s">
        <v>1285</v>
      </c>
      <c r="G4815" s="16" t="s">
        <v>1063</v>
      </c>
      <c r="H4815" s="16" t="s">
        <v>14297</v>
      </c>
      <c r="I4815" s="16" t="s">
        <v>136</v>
      </c>
      <c r="J4815" s="16" t="s">
        <v>15000</v>
      </c>
      <c r="K4815" s="32" t="n">
        <v>50</v>
      </c>
      <c r="L4815" s="33" t="n">
        <v>46541</v>
      </c>
      <c r="M4815" s="33" t="n">
        <v>46590</v>
      </c>
      <c r="N4815" s="16" t="s">
        <v>14652</v>
      </c>
      <c r="O4815" s="16" t="s">
        <v>1299</v>
      </c>
      <c r="P4815" s="16" t="str">
        <f aca="false">IF(AND(L4815&lt;=$D$2,M4815&gt;=$C$2),"Sí","")</f>
        <v/>
      </c>
      <c r="Q4815" s="18" t="str">
        <f aca="false">IF(COUNTIF(LOOKAHEAD!$A$5:$A$604,A4815)&gt;0,"En Lookahead",IF(P4815="Sí","INCORPORAR",""))</f>
        <v/>
      </c>
    </row>
    <row r="4816" customFormat="false" ht="15" hidden="false" customHeight="false" outlineLevel="0" collapsed="false">
      <c r="A4816" s="16" t="s">
        <v>15011</v>
      </c>
      <c r="B4816" s="16" t="n">
        <v>4811</v>
      </c>
      <c r="C4816" s="16" t="s">
        <v>15012</v>
      </c>
      <c r="D4816" s="16" t="n">
        <v>8</v>
      </c>
      <c r="E4816" s="39" t="s">
        <v>14492</v>
      </c>
      <c r="F4816" s="16" t="s">
        <v>1285</v>
      </c>
      <c r="G4816" s="16" t="s">
        <v>1063</v>
      </c>
      <c r="H4816" s="16" t="s">
        <v>14297</v>
      </c>
      <c r="I4816" s="16" t="s">
        <v>136</v>
      </c>
      <c r="J4816" s="16" t="s">
        <v>15000</v>
      </c>
      <c r="K4816" s="32" t="n">
        <v>50</v>
      </c>
      <c r="L4816" s="33" t="n">
        <v>46541</v>
      </c>
      <c r="M4816" s="33" t="n">
        <v>46590</v>
      </c>
      <c r="N4816" s="16" t="s">
        <v>14652</v>
      </c>
      <c r="O4816" s="16" t="s">
        <v>1299</v>
      </c>
      <c r="P4816" s="16" t="str">
        <f aca="false">IF(AND(L4816&lt;=$D$2,M4816&gt;=$C$2),"Sí","")</f>
        <v/>
      </c>
      <c r="Q4816" s="18" t="str">
        <f aca="false">IF(COUNTIF(LOOKAHEAD!$A$5:$A$604,A4816)&gt;0,"En Lookahead",IF(P4816="Sí","INCORPORAR",""))</f>
        <v/>
      </c>
    </row>
    <row r="4817" customFormat="false" ht="15" hidden="false" customHeight="false" outlineLevel="0" collapsed="false">
      <c r="A4817" s="16" t="s">
        <v>15013</v>
      </c>
      <c r="B4817" s="16" t="n">
        <v>4812</v>
      </c>
      <c r="C4817" s="16" t="s">
        <v>15014</v>
      </c>
      <c r="D4817" s="16" t="n">
        <v>8</v>
      </c>
      <c r="E4817" s="39" t="s">
        <v>14495</v>
      </c>
      <c r="F4817" s="16" t="s">
        <v>1285</v>
      </c>
      <c r="G4817" s="16" t="s">
        <v>1063</v>
      </c>
      <c r="H4817" s="16" t="s">
        <v>14297</v>
      </c>
      <c r="I4817" s="16" t="s">
        <v>136</v>
      </c>
      <c r="J4817" s="16" t="s">
        <v>15000</v>
      </c>
      <c r="K4817" s="32" t="n">
        <v>50</v>
      </c>
      <c r="L4817" s="33" t="n">
        <v>46541</v>
      </c>
      <c r="M4817" s="33" t="n">
        <v>46590</v>
      </c>
      <c r="N4817" s="16" t="s">
        <v>14652</v>
      </c>
      <c r="O4817" s="16" t="s">
        <v>1299</v>
      </c>
      <c r="P4817" s="16" t="str">
        <f aca="false">IF(AND(L4817&lt;=$D$2,M4817&gt;=$C$2),"Sí","")</f>
        <v/>
      </c>
      <c r="Q4817" s="18" t="str">
        <f aca="false">IF(COUNTIF(LOOKAHEAD!$A$5:$A$604,A4817)&gt;0,"En Lookahead",IF(P4817="Sí","INCORPORAR",""))</f>
        <v/>
      </c>
    </row>
    <row r="4818" customFormat="false" ht="15" hidden="false" customHeight="false" outlineLevel="0" collapsed="false">
      <c r="A4818" s="16" t="s">
        <v>15015</v>
      </c>
      <c r="B4818" s="16" t="n">
        <v>4813</v>
      </c>
      <c r="C4818" s="16" t="s">
        <v>15016</v>
      </c>
      <c r="D4818" s="16" t="n">
        <v>8</v>
      </c>
      <c r="E4818" s="39" t="s">
        <v>14322</v>
      </c>
      <c r="F4818" s="16" t="s">
        <v>1285</v>
      </c>
      <c r="G4818" s="16" t="s">
        <v>1063</v>
      </c>
      <c r="H4818" s="16" t="s">
        <v>14297</v>
      </c>
      <c r="I4818" s="16" t="s">
        <v>136</v>
      </c>
      <c r="J4818" s="16" t="s">
        <v>15000</v>
      </c>
      <c r="K4818" s="32" t="n">
        <v>50</v>
      </c>
      <c r="L4818" s="33" t="n">
        <v>46541</v>
      </c>
      <c r="M4818" s="33" t="n">
        <v>46590</v>
      </c>
      <c r="N4818" s="16" t="s">
        <v>14652</v>
      </c>
      <c r="O4818" s="16" t="s">
        <v>1299</v>
      </c>
      <c r="P4818" s="16" t="str">
        <f aca="false">IF(AND(L4818&lt;=$D$2,M4818&gt;=$C$2),"Sí","")</f>
        <v/>
      </c>
      <c r="Q4818" s="18" t="str">
        <f aca="false">IF(COUNTIF(LOOKAHEAD!$A$5:$A$604,A4818)&gt;0,"En Lookahead",IF(P4818="Sí","INCORPORAR",""))</f>
        <v/>
      </c>
    </row>
    <row r="4819" customFormat="false" ht="15" hidden="false" customHeight="false" outlineLevel="0" collapsed="false">
      <c r="A4819" s="16" t="s">
        <v>15017</v>
      </c>
      <c r="B4819" s="16" t="n">
        <v>4814</v>
      </c>
      <c r="C4819" s="16" t="s">
        <v>15018</v>
      </c>
      <c r="D4819" s="16" t="n">
        <v>8</v>
      </c>
      <c r="E4819" s="39" t="s">
        <v>14587</v>
      </c>
      <c r="F4819" s="16" t="s">
        <v>1285</v>
      </c>
      <c r="G4819" s="16" t="s">
        <v>1063</v>
      </c>
      <c r="H4819" s="16" t="s">
        <v>14297</v>
      </c>
      <c r="I4819" s="16" t="s">
        <v>136</v>
      </c>
      <c r="J4819" s="16" t="s">
        <v>15000</v>
      </c>
      <c r="K4819" s="32" t="n">
        <v>50</v>
      </c>
      <c r="L4819" s="33" t="n">
        <v>46541</v>
      </c>
      <c r="M4819" s="33" t="n">
        <v>46590</v>
      </c>
      <c r="N4819" s="16" t="s">
        <v>14652</v>
      </c>
      <c r="O4819" s="16" t="s">
        <v>1299</v>
      </c>
      <c r="P4819" s="16" t="str">
        <f aca="false">IF(AND(L4819&lt;=$D$2,M4819&gt;=$C$2),"Sí","")</f>
        <v/>
      </c>
      <c r="Q4819" s="18" t="str">
        <f aca="false">IF(COUNTIF(LOOKAHEAD!$A$5:$A$604,A4819)&gt;0,"En Lookahead",IF(P4819="Sí","INCORPORAR",""))</f>
        <v/>
      </c>
    </row>
    <row r="4820" customFormat="false" ht="15" hidden="false" customHeight="false" outlineLevel="0" collapsed="false">
      <c r="A4820" s="16" t="s">
        <v>15019</v>
      </c>
      <c r="B4820" s="16" t="n">
        <v>4815</v>
      </c>
      <c r="C4820" s="16" t="s">
        <v>15020</v>
      </c>
      <c r="D4820" s="16" t="n">
        <v>8</v>
      </c>
      <c r="E4820" s="39" t="s">
        <v>14325</v>
      </c>
      <c r="F4820" s="16" t="s">
        <v>1285</v>
      </c>
      <c r="G4820" s="16" t="s">
        <v>1063</v>
      </c>
      <c r="H4820" s="16" t="s">
        <v>14297</v>
      </c>
      <c r="I4820" s="16" t="s">
        <v>136</v>
      </c>
      <c r="J4820" s="16" t="s">
        <v>15000</v>
      </c>
      <c r="K4820" s="32" t="n">
        <v>50</v>
      </c>
      <c r="L4820" s="33" t="n">
        <v>46541</v>
      </c>
      <c r="M4820" s="33" t="n">
        <v>46590</v>
      </c>
      <c r="N4820" s="16" t="s">
        <v>14652</v>
      </c>
      <c r="O4820" s="16" t="s">
        <v>1299</v>
      </c>
      <c r="P4820" s="16" t="str">
        <f aca="false">IF(AND(L4820&lt;=$D$2,M4820&gt;=$C$2),"Sí","")</f>
        <v/>
      </c>
      <c r="Q4820" s="18" t="str">
        <f aca="false">IF(COUNTIF(LOOKAHEAD!$A$5:$A$604,A4820)&gt;0,"En Lookahead",IF(P4820="Sí","INCORPORAR",""))</f>
        <v/>
      </c>
    </row>
    <row r="4821" customFormat="false" ht="15" hidden="false" customHeight="false" outlineLevel="0" collapsed="false">
      <c r="A4821" s="16" t="s">
        <v>15021</v>
      </c>
      <c r="B4821" s="16" t="n">
        <v>4816</v>
      </c>
      <c r="C4821" s="16" t="s">
        <v>15022</v>
      </c>
      <c r="D4821" s="16" t="n">
        <v>8</v>
      </c>
      <c r="E4821" s="39" t="s">
        <v>14629</v>
      </c>
      <c r="F4821" s="16" t="s">
        <v>1285</v>
      </c>
      <c r="G4821" s="16" t="s">
        <v>1063</v>
      </c>
      <c r="H4821" s="16" t="s">
        <v>14297</v>
      </c>
      <c r="I4821" s="16" t="s">
        <v>136</v>
      </c>
      <c r="J4821" s="16" t="s">
        <v>15000</v>
      </c>
      <c r="K4821" s="32" t="n">
        <v>50</v>
      </c>
      <c r="L4821" s="33" t="n">
        <v>46541</v>
      </c>
      <c r="M4821" s="33" t="n">
        <v>46590</v>
      </c>
      <c r="N4821" s="16" t="s">
        <v>14652</v>
      </c>
      <c r="O4821" s="16" t="s">
        <v>1299</v>
      </c>
      <c r="P4821" s="16" t="str">
        <f aca="false">IF(AND(L4821&lt;=$D$2,M4821&gt;=$C$2),"Sí","")</f>
        <v/>
      </c>
      <c r="Q4821" s="18" t="str">
        <f aca="false">IF(COUNTIF(LOOKAHEAD!$A$5:$A$604,A4821)&gt;0,"En Lookahead",IF(P4821="Sí","INCORPORAR",""))</f>
        <v/>
      </c>
    </row>
    <row r="4822" customFormat="false" ht="15" hidden="false" customHeight="false" outlineLevel="0" collapsed="false">
      <c r="A4822" s="16" t="s">
        <v>15023</v>
      </c>
      <c r="B4822" s="16" t="n">
        <v>4817</v>
      </c>
      <c r="C4822" s="16" t="s">
        <v>15024</v>
      </c>
      <c r="D4822" s="16" t="n">
        <v>8</v>
      </c>
      <c r="E4822" s="39" t="s">
        <v>14500</v>
      </c>
      <c r="F4822" s="16" t="s">
        <v>1285</v>
      </c>
      <c r="G4822" s="16" t="s">
        <v>1063</v>
      </c>
      <c r="H4822" s="16" t="s">
        <v>14297</v>
      </c>
      <c r="I4822" s="16" t="s">
        <v>136</v>
      </c>
      <c r="J4822" s="16" t="s">
        <v>15000</v>
      </c>
      <c r="K4822" s="32" t="n">
        <v>50</v>
      </c>
      <c r="L4822" s="33" t="n">
        <v>46541</v>
      </c>
      <c r="M4822" s="33" t="n">
        <v>46590</v>
      </c>
      <c r="N4822" s="16" t="s">
        <v>14652</v>
      </c>
      <c r="O4822" s="16" t="s">
        <v>1299</v>
      </c>
      <c r="P4822" s="16" t="str">
        <f aca="false">IF(AND(L4822&lt;=$D$2,M4822&gt;=$C$2),"Sí","")</f>
        <v/>
      </c>
      <c r="Q4822" s="18" t="str">
        <f aca="false">IF(COUNTIF(LOOKAHEAD!$A$5:$A$604,A4822)&gt;0,"En Lookahead",IF(P4822="Sí","INCORPORAR",""))</f>
        <v/>
      </c>
    </row>
    <row r="4823" customFormat="false" ht="15" hidden="false" customHeight="false" outlineLevel="0" collapsed="false">
      <c r="A4823" s="13" t="s">
        <v>15025</v>
      </c>
      <c r="B4823" s="13" t="n">
        <v>4818</v>
      </c>
      <c r="C4823" s="13" t="s">
        <v>15026</v>
      </c>
      <c r="D4823" s="13" t="n">
        <v>7</v>
      </c>
      <c r="E4823" s="38" t="s">
        <v>15027</v>
      </c>
      <c r="F4823" s="13" t="s">
        <v>1298</v>
      </c>
      <c r="G4823" s="13" t="s">
        <v>1063</v>
      </c>
      <c r="H4823" s="13" t="s">
        <v>14297</v>
      </c>
      <c r="I4823" s="13" t="s">
        <v>136</v>
      </c>
      <c r="J4823" s="13" t="s">
        <v>14471</v>
      </c>
      <c r="K4823" s="30" t="n">
        <v>50</v>
      </c>
      <c r="L4823" s="31" t="n">
        <v>46541</v>
      </c>
      <c r="M4823" s="31" t="n">
        <v>46590</v>
      </c>
      <c r="N4823" s="13"/>
      <c r="O4823" s="13" t="s">
        <v>1299</v>
      </c>
      <c r="P4823" s="13"/>
      <c r="Q4823" s="13"/>
    </row>
    <row r="4824" customFormat="false" ht="15" hidden="false" customHeight="false" outlineLevel="0" collapsed="false">
      <c r="A4824" s="16" t="s">
        <v>15028</v>
      </c>
      <c r="B4824" s="16" t="n">
        <v>4819</v>
      </c>
      <c r="C4824" s="16" t="s">
        <v>15029</v>
      </c>
      <c r="D4824" s="16" t="n">
        <v>8</v>
      </c>
      <c r="E4824" s="39" t="s">
        <v>14308</v>
      </c>
      <c r="F4824" s="16" t="s">
        <v>1285</v>
      </c>
      <c r="G4824" s="16" t="s">
        <v>1063</v>
      </c>
      <c r="H4824" s="16" t="s">
        <v>14297</v>
      </c>
      <c r="I4824" s="16" t="s">
        <v>136</v>
      </c>
      <c r="J4824" s="16" t="s">
        <v>15027</v>
      </c>
      <c r="K4824" s="32" t="n">
        <v>50</v>
      </c>
      <c r="L4824" s="33" t="n">
        <v>46541</v>
      </c>
      <c r="M4824" s="33" t="n">
        <v>46590</v>
      </c>
      <c r="N4824" s="16" t="s">
        <v>14652</v>
      </c>
      <c r="O4824" s="16" t="s">
        <v>1299</v>
      </c>
      <c r="P4824" s="16" t="str">
        <f aca="false">IF(AND(L4824&lt;=$D$2,M4824&gt;=$C$2),"Sí","")</f>
        <v/>
      </c>
      <c r="Q4824" s="18" t="str">
        <f aca="false">IF(COUNTIF(LOOKAHEAD!$A$5:$A$604,A4824)&gt;0,"En Lookahead",IF(P4824="Sí","INCORPORAR",""))</f>
        <v/>
      </c>
    </row>
    <row r="4825" customFormat="false" ht="15" hidden="false" customHeight="false" outlineLevel="0" collapsed="false">
      <c r="A4825" s="16" t="s">
        <v>15030</v>
      </c>
      <c r="B4825" s="16" t="n">
        <v>4820</v>
      </c>
      <c r="C4825" s="16" t="s">
        <v>15031</v>
      </c>
      <c r="D4825" s="16" t="n">
        <v>8</v>
      </c>
      <c r="E4825" s="39" t="s">
        <v>14484</v>
      </c>
      <c r="F4825" s="16" t="s">
        <v>1285</v>
      </c>
      <c r="G4825" s="16" t="s">
        <v>1063</v>
      </c>
      <c r="H4825" s="16" t="s">
        <v>14297</v>
      </c>
      <c r="I4825" s="16" t="s">
        <v>136</v>
      </c>
      <c r="J4825" s="16" t="s">
        <v>15027</v>
      </c>
      <c r="K4825" s="32" t="n">
        <v>50</v>
      </c>
      <c r="L4825" s="33" t="n">
        <v>46541</v>
      </c>
      <c r="M4825" s="33" t="n">
        <v>46590</v>
      </c>
      <c r="N4825" s="16" t="s">
        <v>14652</v>
      </c>
      <c r="O4825" s="16" t="s">
        <v>1299</v>
      </c>
      <c r="P4825" s="16" t="str">
        <f aca="false">IF(AND(L4825&lt;=$D$2,M4825&gt;=$C$2),"Sí","")</f>
        <v/>
      </c>
      <c r="Q4825" s="18" t="str">
        <f aca="false">IF(COUNTIF(LOOKAHEAD!$A$5:$A$604,A4825)&gt;0,"En Lookahead",IF(P4825="Sí","INCORPORAR",""))</f>
        <v/>
      </c>
    </row>
    <row r="4826" customFormat="false" ht="15" hidden="false" customHeight="false" outlineLevel="0" collapsed="false">
      <c r="A4826" s="16" t="s">
        <v>15032</v>
      </c>
      <c r="B4826" s="16" t="n">
        <v>4821</v>
      </c>
      <c r="C4826" s="16" t="s">
        <v>15033</v>
      </c>
      <c r="D4826" s="16" t="n">
        <v>8</v>
      </c>
      <c r="E4826" s="39" t="s">
        <v>14316</v>
      </c>
      <c r="F4826" s="16" t="s">
        <v>1285</v>
      </c>
      <c r="G4826" s="16" t="s">
        <v>1063</v>
      </c>
      <c r="H4826" s="16" t="s">
        <v>14297</v>
      </c>
      <c r="I4826" s="16" t="s">
        <v>136</v>
      </c>
      <c r="J4826" s="16" t="s">
        <v>15027</v>
      </c>
      <c r="K4826" s="32" t="n">
        <v>50</v>
      </c>
      <c r="L4826" s="33" t="n">
        <v>46541</v>
      </c>
      <c r="M4826" s="33" t="n">
        <v>46590</v>
      </c>
      <c r="N4826" s="16" t="s">
        <v>14652</v>
      </c>
      <c r="O4826" s="16" t="s">
        <v>1299</v>
      </c>
      <c r="P4826" s="16" t="str">
        <f aca="false">IF(AND(L4826&lt;=$D$2,M4826&gt;=$C$2),"Sí","")</f>
        <v/>
      </c>
      <c r="Q4826" s="18" t="str">
        <f aca="false">IF(COUNTIF(LOOKAHEAD!$A$5:$A$604,A4826)&gt;0,"En Lookahead",IF(P4826="Sí","INCORPORAR",""))</f>
        <v/>
      </c>
    </row>
    <row r="4827" customFormat="false" ht="15" hidden="false" customHeight="false" outlineLevel="0" collapsed="false">
      <c r="A4827" s="16" t="s">
        <v>15034</v>
      </c>
      <c r="B4827" s="16" t="n">
        <v>4822</v>
      </c>
      <c r="C4827" s="16" t="s">
        <v>15035</v>
      </c>
      <c r="D4827" s="16" t="n">
        <v>8</v>
      </c>
      <c r="E4827" s="39" t="s">
        <v>14322</v>
      </c>
      <c r="F4827" s="16" t="s">
        <v>1285</v>
      </c>
      <c r="G4827" s="16" t="s">
        <v>1063</v>
      </c>
      <c r="H4827" s="16" t="s">
        <v>14297</v>
      </c>
      <c r="I4827" s="16" t="s">
        <v>136</v>
      </c>
      <c r="J4827" s="16" t="s">
        <v>15027</v>
      </c>
      <c r="K4827" s="32" t="n">
        <v>50</v>
      </c>
      <c r="L4827" s="33" t="n">
        <v>46541</v>
      </c>
      <c r="M4827" s="33" t="n">
        <v>46590</v>
      </c>
      <c r="N4827" s="16" t="s">
        <v>14652</v>
      </c>
      <c r="O4827" s="16" t="s">
        <v>1299</v>
      </c>
      <c r="P4827" s="16" t="str">
        <f aca="false">IF(AND(L4827&lt;=$D$2,M4827&gt;=$C$2),"Sí","")</f>
        <v/>
      </c>
      <c r="Q4827" s="18" t="str">
        <f aca="false">IF(COUNTIF(LOOKAHEAD!$A$5:$A$604,A4827)&gt;0,"En Lookahead",IF(P4827="Sí","INCORPORAR",""))</f>
        <v/>
      </c>
    </row>
    <row r="4828" customFormat="false" ht="15" hidden="false" customHeight="false" outlineLevel="0" collapsed="false">
      <c r="A4828" s="16" t="s">
        <v>15036</v>
      </c>
      <c r="B4828" s="16" t="n">
        <v>4823</v>
      </c>
      <c r="C4828" s="16" t="s">
        <v>15037</v>
      </c>
      <c r="D4828" s="16" t="n">
        <v>8</v>
      </c>
      <c r="E4828" s="39" t="s">
        <v>14403</v>
      </c>
      <c r="F4828" s="16" t="s">
        <v>1285</v>
      </c>
      <c r="G4828" s="16" t="s">
        <v>1063</v>
      </c>
      <c r="H4828" s="16" t="s">
        <v>14297</v>
      </c>
      <c r="I4828" s="16" t="s">
        <v>136</v>
      </c>
      <c r="J4828" s="16" t="s">
        <v>15027</v>
      </c>
      <c r="K4828" s="32" t="n">
        <v>50</v>
      </c>
      <c r="L4828" s="33" t="n">
        <v>46541</v>
      </c>
      <c r="M4828" s="33" t="n">
        <v>46590</v>
      </c>
      <c r="N4828" s="16" t="s">
        <v>14652</v>
      </c>
      <c r="O4828" s="16" t="s">
        <v>1299</v>
      </c>
      <c r="P4828" s="16" t="str">
        <f aca="false">IF(AND(L4828&lt;=$D$2,M4828&gt;=$C$2),"Sí","")</f>
        <v/>
      </c>
      <c r="Q4828" s="18" t="str">
        <f aca="false">IF(COUNTIF(LOOKAHEAD!$A$5:$A$604,A4828)&gt;0,"En Lookahead",IF(P4828="Sí","INCORPORAR",""))</f>
        <v/>
      </c>
    </row>
    <row r="4829" customFormat="false" ht="15" hidden="false" customHeight="false" outlineLevel="0" collapsed="false">
      <c r="A4829" s="16" t="s">
        <v>15038</v>
      </c>
      <c r="B4829" s="16" t="n">
        <v>4824</v>
      </c>
      <c r="C4829" s="16" t="s">
        <v>15039</v>
      </c>
      <c r="D4829" s="16" t="n">
        <v>8</v>
      </c>
      <c r="E4829" s="39" t="s">
        <v>14381</v>
      </c>
      <c r="F4829" s="16" t="s">
        <v>1285</v>
      </c>
      <c r="G4829" s="16" t="s">
        <v>1063</v>
      </c>
      <c r="H4829" s="16" t="s">
        <v>14297</v>
      </c>
      <c r="I4829" s="16" t="s">
        <v>136</v>
      </c>
      <c r="J4829" s="16" t="s">
        <v>15027</v>
      </c>
      <c r="K4829" s="32" t="n">
        <v>50</v>
      </c>
      <c r="L4829" s="33" t="n">
        <v>46541</v>
      </c>
      <c r="M4829" s="33" t="n">
        <v>46590</v>
      </c>
      <c r="N4829" s="16" t="s">
        <v>14652</v>
      </c>
      <c r="O4829" s="16" t="s">
        <v>1299</v>
      </c>
      <c r="P4829" s="16" t="str">
        <f aca="false">IF(AND(L4829&lt;=$D$2,M4829&gt;=$C$2),"Sí","")</f>
        <v/>
      </c>
      <c r="Q4829" s="18" t="str">
        <f aca="false">IF(COUNTIF(LOOKAHEAD!$A$5:$A$604,A4829)&gt;0,"En Lookahead",IF(P4829="Sí","INCORPORAR",""))</f>
        <v/>
      </c>
    </row>
    <row r="4830" customFormat="false" ht="15" hidden="false" customHeight="false" outlineLevel="0" collapsed="false">
      <c r="A4830" s="13" t="s">
        <v>15040</v>
      </c>
      <c r="B4830" s="13" t="n">
        <v>4825</v>
      </c>
      <c r="C4830" s="13" t="s">
        <v>15041</v>
      </c>
      <c r="D4830" s="13" t="n">
        <v>7</v>
      </c>
      <c r="E4830" s="38" t="s">
        <v>14509</v>
      </c>
      <c r="F4830" s="13" t="s">
        <v>1298</v>
      </c>
      <c r="G4830" s="13" t="s">
        <v>1063</v>
      </c>
      <c r="H4830" s="13" t="s">
        <v>14297</v>
      </c>
      <c r="I4830" s="13" t="s">
        <v>136</v>
      </c>
      <c r="J4830" s="13" t="s">
        <v>14471</v>
      </c>
      <c r="K4830" s="30" t="n">
        <v>50</v>
      </c>
      <c r="L4830" s="31" t="n">
        <v>46541</v>
      </c>
      <c r="M4830" s="31" t="n">
        <v>46590</v>
      </c>
      <c r="N4830" s="13"/>
      <c r="O4830" s="13" t="s">
        <v>1299</v>
      </c>
      <c r="P4830" s="13"/>
      <c r="Q4830" s="13"/>
    </row>
    <row r="4831" customFormat="false" ht="15" hidden="false" customHeight="false" outlineLevel="0" collapsed="false">
      <c r="A4831" s="16" t="s">
        <v>15042</v>
      </c>
      <c r="B4831" s="16" t="n">
        <v>4826</v>
      </c>
      <c r="C4831" s="16" t="s">
        <v>15043</v>
      </c>
      <c r="D4831" s="16" t="n">
        <v>8</v>
      </c>
      <c r="E4831" s="39" t="s">
        <v>14512</v>
      </c>
      <c r="F4831" s="16" t="s">
        <v>1285</v>
      </c>
      <c r="G4831" s="16" t="s">
        <v>1063</v>
      </c>
      <c r="H4831" s="16" t="s">
        <v>14297</v>
      </c>
      <c r="I4831" s="16" t="s">
        <v>136</v>
      </c>
      <c r="J4831" s="16" t="s">
        <v>14509</v>
      </c>
      <c r="K4831" s="32" t="n">
        <v>50</v>
      </c>
      <c r="L4831" s="33" t="n">
        <v>46541</v>
      </c>
      <c r="M4831" s="33" t="n">
        <v>46590</v>
      </c>
      <c r="N4831" s="16" t="s">
        <v>14652</v>
      </c>
      <c r="O4831" s="16" t="s">
        <v>1299</v>
      </c>
      <c r="P4831" s="16" t="str">
        <f aca="false">IF(AND(L4831&lt;=$D$2,M4831&gt;=$C$2),"Sí","")</f>
        <v/>
      </c>
      <c r="Q4831" s="18" t="str">
        <f aca="false">IF(COUNTIF(LOOKAHEAD!$A$5:$A$604,A4831)&gt;0,"En Lookahead",IF(P4831="Sí","INCORPORAR",""))</f>
        <v/>
      </c>
    </row>
    <row r="4832" customFormat="false" ht="15" hidden="false" customHeight="false" outlineLevel="0" collapsed="false">
      <c r="A4832" s="13" t="s">
        <v>15044</v>
      </c>
      <c r="B4832" s="13" t="n">
        <v>4827</v>
      </c>
      <c r="C4832" s="13" t="s">
        <v>15045</v>
      </c>
      <c r="D4832" s="13" t="n">
        <v>7</v>
      </c>
      <c r="E4832" s="38" t="s">
        <v>15046</v>
      </c>
      <c r="F4832" s="13" t="s">
        <v>1298</v>
      </c>
      <c r="G4832" s="13" t="s">
        <v>1063</v>
      </c>
      <c r="H4832" s="13" t="s">
        <v>14297</v>
      </c>
      <c r="I4832" s="13" t="s">
        <v>136</v>
      </c>
      <c r="J4832" s="13" t="s">
        <v>14471</v>
      </c>
      <c r="K4832" s="30" t="n">
        <v>50</v>
      </c>
      <c r="L4832" s="31" t="n">
        <v>46541</v>
      </c>
      <c r="M4832" s="31" t="n">
        <v>46590</v>
      </c>
      <c r="N4832" s="13"/>
      <c r="O4832" s="13" t="s">
        <v>1299</v>
      </c>
      <c r="P4832" s="13"/>
      <c r="Q4832" s="13"/>
    </row>
    <row r="4833" customFormat="false" ht="15" hidden="false" customHeight="false" outlineLevel="0" collapsed="false">
      <c r="A4833" s="16" t="s">
        <v>15047</v>
      </c>
      <c r="B4833" s="16" t="n">
        <v>4828</v>
      </c>
      <c r="C4833" s="16" t="s">
        <v>15048</v>
      </c>
      <c r="D4833" s="16" t="n">
        <v>8</v>
      </c>
      <c r="E4833" s="39" t="s">
        <v>14895</v>
      </c>
      <c r="F4833" s="16" t="s">
        <v>1285</v>
      </c>
      <c r="G4833" s="16" t="s">
        <v>1063</v>
      </c>
      <c r="H4833" s="16" t="s">
        <v>14297</v>
      </c>
      <c r="I4833" s="16" t="s">
        <v>136</v>
      </c>
      <c r="J4833" s="16" t="s">
        <v>15046</v>
      </c>
      <c r="K4833" s="32" t="n">
        <v>50</v>
      </c>
      <c r="L4833" s="33" t="n">
        <v>46541</v>
      </c>
      <c r="M4833" s="33" t="n">
        <v>46590</v>
      </c>
      <c r="N4833" s="16" t="s">
        <v>14652</v>
      </c>
      <c r="O4833" s="16" t="s">
        <v>1299</v>
      </c>
      <c r="P4833" s="16" t="str">
        <f aca="false">IF(AND(L4833&lt;=$D$2,M4833&gt;=$C$2),"Sí","")</f>
        <v/>
      </c>
      <c r="Q4833" s="18" t="str">
        <f aca="false">IF(COUNTIF(LOOKAHEAD!$A$5:$A$604,A4833)&gt;0,"En Lookahead",IF(P4833="Sí","INCORPORAR",""))</f>
        <v/>
      </c>
    </row>
    <row r="4834" customFormat="false" ht="15" hidden="false" customHeight="false" outlineLevel="0" collapsed="false">
      <c r="A4834" s="16" t="s">
        <v>15049</v>
      </c>
      <c r="B4834" s="16" t="n">
        <v>4829</v>
      </c>
      <c r="C4834" s="16" t="s">
        <v>15050</v>
      </c>
      <c r="D4834" s="16" t="n">
        <v>8</v>
      </c>
      <c r="E4834" s="39" t="s">
        <v>14392</v>
      </c>
      <c r="F4834" s="16" t="s">
        <v>1285</v>
      </c>
      <c r="G4834" s="16" t="s">
        <v>1063</v>
      </c>
      <c r="H4834" s="16" t="s">
        <v>14297</v>
      </c>
      <c r="I4834" s="16" t="s">
        <v>136</v>
      </c>
      <c r="J4834" s="16" t="s">
        <v>15046</v>
      </c>
      <c r="K4834" s="32" t="n">
        <v>50</v>
      </c>
      <c r="L4834" s="33" t="n">
        <v>46541</v>
      </c>
      <c r="M4834" s="33" t="n">
        <v>46590</v>
      </c>
      <c r="N4834" s="16" t="s">
        <v>14652</v>
      </c>
      <c r="O4834" s="16" t="s">
        <v>1299</v>
      </c>
      <c r="P4834" s="16" t="str">
        <f aca="false">IF(AND(L4834&lt;=$D$2,M4834&gt;=$C$2),"Sí","")</f>
        <v/>
      </c>
      <c r="Q4834" s="18" t="str">
        <f aca="false">IF(COUNTIF(LOOKAHEAD!$A$5:$A$604,A4834)&gt;0,"En Lookahead",IF(P4834="Sí","INCORPORAR",""))</f>
        <v/>
      </c>
    </row>
    <row r="4835" customFormat="false" ht="15" hidden="false" customHeight="false" outlineLevel="0" collapsed="false">
      <c r="A4835" s="16" t="s">
        <v>15051</v>
      </c>
      <c r="B4835" s="16" t="n">
        <v>4830</v>
      </c>
      <c r="C4835" s="16" t="s">
        <v>15052</v>
      </c>
      <c r="D4835" s="16" t="n">
        <v>8</v>
      </c>
      <c r="E4835" s="39" t="s">
        <v>14337</v>
      </c>
      <c r="F4835" s="16" t="s">
        <v>1285</v>
      </c>
      <c r="G4835" s="16" t="s">
        <v>1063</v>
      </c>
      <c r="H4835" s="16" t="s">
        <v>14297</v>
      </c>
      <c r="I4835" s="16" t="s">
        <v>136</v>
      </c>
      <c r="J4835" s="16" t="s">
        <v>15046</v>
      </c>
      <c r="K4835" s="32" t="n">
        <v>50</v>
      </c>
      <c r="L4835" s="33" t="n">
        <v>46541</v>
      </c>
      <c r="M4835" s="33" t="n">
        <v>46590</v>
      </c>
      <c r="N4835" s="16" t="s">
        <v>14652</v>
      </c>
      <c r="O4835" s="16" t="s">
        <v>1299</v>
      </c>
      <c r="P4835" s="16" t="str">
        <f aca="false">IF(AND(L4835&lt;=$D$2,M4835&gt;=$C$2),"Sí","")</f>
        <v/>
      </c>
      <c r="Q4835" s="18" t="str">
        <f aca="false">IF(COUNTIF(LOOKAHEAD!$A$5:$A$604,A4835)&gt;0,"En Lookahead",IF(P4835="Sí","INCORPORAR",""))</f>
        <v/>
      </c>
    </row>
    <row r="4836" customFormat="false" ht="15" hidden="false" customHeight="false" outlineLevel="0" collapsed="false">
      <c r="A4836" s="16" t="s">
        <v>15053</v>
      </c>
      <c r="B4836" s="16" t="n">
        <v>4831</v>
      </c>
      <c r="C4836" s="16" t="s">
        <v>15054</v>
      </c>
      <c r="D4836" s="16" t="n">
        <v>8</v>
      </c>
      <c r="E4836" s="39" t="s">
        <v>14487</v>
      </c>
      <c r="F4836" s="16" t="s">
        <v>1285</v>
      </c>
      <c r="G4836" s="16" t="s">
        <v>1063</v>
      </c>
      <c r="H4836" s="16" t="s">
        <v>14297</v>
      </c>
      <c r="I4836" s="16" t="s">
        <v>136</v>
      </c>
      <c r="J4836" s="16" t="s">
        <v>15046</v>
      </c>
      <c r="K4836" s="32" t="n">
        <v>50</v>
      </c>
      <c r="L4836" s="33" t="n">
        <v>46541</v>
      </c>
      <c r="M4836" s="33" t="n">
        <v>46590</v>
      </c>
      <c r="N4836" s="16" t="s">
        <v>14652</v>
      </c>
      <c r="O4836" s="16" t="s">
        <v>1299</v>
      </c>
      <c r="P4836" s="16" t="str">
        <f aca="false">IF(AND(L4836&lt;=$D$2,M4836&gt;=$C$2),"Sí","")</f>
        <v/>
      </c>
      <c r="Q4836" s="18" t="str">
        <f aca="false">IF(COUNTIF(LOOKAHEAD!$A$5:$A$604,A4836)&gt;0,"En Lookahead",IF(P4836="Sí","INCORPORAR",""))</f>
        <v/>
      </c>
    </row>
    <row r="4837" customFormat="false" ht="15" hidden="false" customHeight="false" outlineLevel="0" collapsed="false">
      <c r="A4837" s="16" t="s">
        <v>15055</v>
      </c>
      <c r="B4837" s="16" t="n">
        <v>4832</v>
      </c>
      <c r="C4837" s="16" t="s">
        <v>15056</v>
      </c>
      <c r="D4837" s="16" t="n">
        <v>8</v>
      </c>
      <c r="E4837" s="39" t="s">
        <v>14319</v>
      </c>
      <c r="F4837" s="16" t="s">
        <v>1285</v>
      </c>
      <c r="G4837" s="16" t="s">
        <v>1063</v>
      </c>
      <c r="H4837" s="16" t="s">
        <v>14297</v>
      </c>
      <c r="I4837" s="16" t="s">
        <v>136</v>
      </c>
      <c r="J4837" s="16" t="s">
        <v>15046</v>
      </c>
      <c r="K4837" s="32" t="n">
        <v>50</v>
      </c>
      <c r="L4837" s="33" t="n">
        <v>46541</v>
      </c>
      <c r="M4837" s="33" t="n">
        <v>46590</v>
      </c>
      <c r="N4837" s="16" t="s">
        <v>14652</v>
      </c>
      <c r="O4837" s="16" t="s">
        <v>1299</v>
      </c>
      <c r="P4837" s="16" t="str">
        <f aca="false">IF(AND(L4837&lt;=$D$2,M4837&gt;=$C$2),"Sí","")</f>
        <v/>
      </c>
      <c r="Q4837" s="18" t="str">
        <f aca="false">IF(COUNTIF(LOOKAHEAD!$A$5:$A$604,A4837)&gt;0,"En Lookahead",IF(P4837="Sí","INCORPORAR",""))</f>
        <v/>
      </c>
    </row>
    <row r="4838" customFormat="false" ht="15" hidden="false" customHeight="false" outlineLevel="0" collapsed="false">
      <c r="A4838" s="16" t="s">
        <v>15057</v>
      </c>
      <c r="B4838" s="16" t="n">
        <v>4833</v>
      </c>
      <c r="C4838" s="16" t="s">
        <v>15058</v>
      </c>
      <c r="D4838" s="16" t="n">
        <v>8</v>
      </c>
      <c r="E4838" s="39" t="s">
        <v>14322</v>
      </c>
      <c r="F4838" s="16" t="s">
        <v>1285</v>
      </c>
      <c r="G4838" s="16" t="s">
        <v>1063</v>
      </c>
      <c r="H4838" s="16" t="s">
        <v>14297</v>
      </c>
      <c r="I4838" s="16" t="s">
        <v>136</v>
      </c>
      <c r="J4838" s="16" t="s">
        <v>15046</v>
      </c>
      <c r="K4838" s="32" t="n">
        <v>50</v>
      </c>
      <c r="L4838" s="33" t="n">
        <v>46541</v>
      </c>
      <c r="M4838" s="33" t="n">
        <v>46590</v>
      </c>
      <c r="N4838" s="16" t="s">
        <v>14652</v>
      </c>
      <c r="O4838" s="16" t="s">
        <v>1299</v>
      </c>
      <c r="P4838" s="16" t="str">
        <f aca="false">IF(AND(L4838&lt;=$D$2,M4838&gt;=$C$2),"Sí","")</f>
        <v/>
      </c>
      <c r="Q4838" s="18" t="str">
        <f aca="false">IF(COUNTIF(LOOKAHEAD!$A$5:$A$604,A4838)&gt;0,"En Lookahead",IF(P4838="Sí","INCORPORAR",""))</f>
        <v/>
      </c>
    </row>
    <row r="4839" customFormat="false" ht="15" hidden="false" customHeight="false" outlineLevel="0" collapsed="false">
      <c r="A4839" s="16" t="s">
        <v>15059</v>
      </c>
      <c r="B4839" s="16" t="n">
        <v>4834</v>
      </c>
      <c r="C4839" s="16" t="s">
        <v>15060</v>
      </c>
      <c r="D4839" s="16" t="n">
        <v>8</v>
      </c>
      <c r="E4839" s="39" t="s">
        <v>14548</v>
      </c>
      <c r="F4839" s="16" t="s">
        <v>1285</v>
      </c>
      <c r="G4839" s="16" t="s">
        <v>1063</v>
      </c>
      <c r="H4839" s="16" t="s">
        <v>14297</v>
      </c>
      <c r="I4839" s="16" t="s">
        <v>136</v>
      </c>
      <c r="J4839" s="16" t="s">
        <v>15046</v>
      </c>
      <c r="K4839" s="32" t="n">
        <v>50</v>
      </c>
      <c r="L4839" s="33" t="n">
        <v>46541</v>
      </c>
      <c r="M4839" s="33" t="n">
        <v>46590</v>
      </c>
      <c r="N4839" s="16" t="s">
        <v>14652</v>
      </c>
      <c r="O4839" s="16" t="s">
        <v>1299</v>
      </c>
      <c r="P4839" s="16" t="str">
        <f aca="false">IF(AND(L4839&lt;=$D$2,M4839&gt;=$C$2),"Sí","")</f>
        <v/>
      </c>
      <c r="Q4839" s="18" t="str">
        <f aca="false">IF(COUNTIF(LOOKAHEAD!$A$5:$A$604,A4839)&gt;0,"En Lookahead",IF(P4839="Sí","INCORPORAR",""))</f>
        <v/>
      </c>
    </row>
    <row r="4840" customFormat="false" ht="15" hidden="false" customHeight="false" outlineLevel="0" collapsed="false">
      <c r="A4840" s="16" t="s">
        <v>15061</v>
      </c>
      <c r="B4840" s="16" t="n">
        <v>4835</v>
      </c>
      <c r="C4840" s="16" t="s">
        <v>15062</v>
      </c>
      <c r="D4840" s="16" t="n">
        <v>8</v>
      </c>
      <c r="E4840" s="39" t="s">
        <v>14384</v>
      </c>
      <c r="F4840" s="16" t="s">
        <v>1285</v>
      </c>
      <c r="G4840" s="16" t="s">
        <v>1063</v>
      </c>
      <c r="H4840" s="16" t="s">
        <v>14297</v>
      </c>
      <c r="I4840" s="16" t="s">
        <v>136</v>
      </c>
      <c r="J4840" s="16" t="s">
        <v>15046</v>
      </c>
      <c r="K4840" s="32" t="n">
        <v>50</v>
      </c>
      <c r="L4840" s="33" t="n">
        <v>46541</v>
      </c>
      <c r="M4840" s="33" t="n">
        <v>46590</v>
      </c>
      <c r="N4840" s="16" t="s">
        <v>14652</v>
      </c>
      <c r="O4840" s="16" t="s">
        <v>1299</v>
      </c>
      <c r="P4840" s="16" t="str">
        <f aca="false">IF(AND(L4840&lt;=$D$2,M4840&gt;=$C$2),"Sí","")</f>
        <v/>
      </c>
      <c r="Q4840" s="18" t="str">
        <f aca="false">IF(COUNTIF(LOOKAHEAD!$A$5:$A$604,A4840)&gt;0,"En Lookahead",IF(P4840="Sí","INCORPORAR",""))</f>
        <v/>
      </c>
    </row>
    <row r="4841" customFormat="false" ht="15" hidden="false" customHeight="false" outlineLevel="0" collapsed="false">
      <c r="A4841" s="16" t="s">
        <v>15063</v>
      </c>
      <c r="B4841" s="16" t="n">
        <v>4836</v>
      </c>
      <c r="C4841" s="16" t="s">
        <v>15064</v>
      </c>
      <c r="D4841" s="16" t="n">
        <v>8</v>
      </c>
      <c r="E4841" s="39" t="s">
        <v>14553</v>
      </c>
      <c r="F4841" s="16" t="s">
        <v>1285</v>
      </c>
      <c r="G4841" s="16" t="s">
        <v>1063</v>
      </c>
      <c r="H4841" s="16" t="s">
        <v>14297</v>
      </c>
      <c r="I4841" s="16" t="s">
        <v>136</v>
      </c>
      <c r="J4841" s="16" t="s">
        <v>15046</v>
      </c>
      <c r="K4841" s="32" t="n">
        <v>50</v>
      </c>
      <c r="L4841" s="33" t="n">
        <v>46541</v>
      </c>
      <c r="M4841" s="33" t="n">
        <v>46590</v>
      </c>
      <c r="N4841" s="16" t="s">
        <v>14652</v>
      </c>
      <c r="O4841" s="16" t="s">
        <v>1299</v>
      </c>
      <c r="P4841" s="16" t="str">
        <f aca="false">IF(AND(L4841&lt;=$D$2,M4841&gt;=$C$2),"Sí","")</f>
        <v/>
      </c>
      <c r="Q4841" s="18" t="str">
        <f aca="false">IF(COUNTIF(LOOKAHEAD!$A$5:$A$604,A4841)&gt;0,"En Lookahead",IF(P4841="Sí","INCORPORAR",""))</f>
        <v/>
      </c>
    </row>
    <row r="4842" customFormat="false" ht="15" hidden="false" customHeight="false" outlineLevel="0" collapsed="false">
      <c r="A4842" s="13" t="s">
        <v>15065</v>
      </c>
      <c r="B4842" s="13" t="n">
        <v>4837</v>
      </c>
      <c r="C4842" s="13" t="s">
        <v>15066</v>
      </c>
      <c r="D4842" s="13" t="n">
        <v>7</v>
      </c>
      <c r="E4842" s="38" t="s">
        <v>14887</v>
      </c>
      <c r="F4842" s="13" t="s">
        <v>1298</v>
      </c>
      <c r="G4842" s="13" t="s">
        <v>1063</v>
      </c>
      <c r="H4842" s="13" t="s">
        <v>14297</v>
      </c>
      <c r="I4842" s="13" t="s">
        <v>136</v>
      </c>
      <c r="J4842" s="13" t="s">
        <v>14471</v>
      </c>
      <c r="K4842" s="30" t="n">
        <v>50</v>
      </c>
      <c r="L4842" s="31" t="n">
        <v>46541</v>
      </c>
      <c r="M4842" s="31" t="n">
        <v>46590</v>
      </c>
      <c r="N4842" s="13"/>
      <c r="O4842" s="13" t="s">
        <v>1299</v>
      </c>
      <c r="P4842" s="13"/>
      <c r="Q4842" s="13"/>
    </row>
    <row r="4843" customFormat="false" ht="15" hidden="false" customHeight="false" outlineLevel="0" collapsed="false">
      <c r="A4843" s="16" t="s">
        <v>15067</v>
      </c>
      <c r="B4843" s="16" t="n">
        <v>4838</v>
      </c>
      <c r="C4843" s="16" t="s">
        <v>15068</v>
      </c>
      <c r="D4843" s="16" t="n">
        <v>8</v>
      </c>
      <c r="E4843" s="39" t="s">
        <v>14466</v>
      </c>
      <c r="F4843" s="16" t="s">
        <v>1285</v>
      </c>
      <c r="G4843" s="16" t="s">
        <v>1063</v>
      </c>
      <c r="H4843" s="16" t="s">
        <v>14297</v>
      </c>
      <c r="I4843" s="16" t="s">
        <v>136</v>
      </c>
      <c r="J4843" s="16" t="s">
        <v>14887</v>
      </c>
      <c r="K4843" s="32" t="n">
        <v>50</v>
      </c>
      <c r="L4843" s="33" t="n">
        <v>46541</v>
      </c>
      <c r="M4843" s="33" t="n">
        <v>46590</v>
      </c>
      <c r="N4843" s="16" t="s">
        <v>14652</v>
      </c>
      <c r="O4843" s="16" t="s">
        <v>1299</v>
      </c>
      <c r="P4843" s="16" t="str">
        <f aca="false">IF(AND(L4843&lt;=$D$2,M4843&gt;=$C$2),"Sí","")</f>
        <v/>
      </c>
      <c r="Q4843" s="18" t="str">
        <f aca="false">IF(COUNTIF(LOOKAHEAD!$A$5:$A$604,A4843)&gt;0,"En Lookahead",IF(P4843="Sí","INCORPORAR",""))</f>
        <v/>
      </c>
    </row>
    <row r="4844" customFormat="false" ht="15" hidden="false" customHeight="false" outlineLevel="0" collapsed="false">
      <c r="A4844" s="16" t="s">
        <v>15069</v>
      </c>
      <c r="B4844" s="16" t="n">
        <v>4839</v>
      </c>
      <c r="C4844" s="16" t="s">
        <v>15070</v>
      </c>
      <c r="D4844" s="16" t="n">
        <v>8</v>
      </c>
      <c r="E4844" s="39" t="s">
        <v>14360</v>
      </c>
      <c r="F4844" s="16" t="s">
        <v>1285</v>
      </c>
      <c r="G4844" s="16" t="s">
        <v>1063</v>
      </c>
      <c r="H4844" s="16" t="s">
        <v>14297</v>
      </c>
      <c r="I4844" s="16" t="s">
        <v>136</v>
      </c>
      <c r="J4844" s="16" t="s">
        <v>14887</v>
      </c>
      <c r="K4844" s="32" t="n">
        <v>50</v>
      </c>
      <c r="L4844" s="33" t="n">
        <v>46541</v>
      </c>
      <c r="M4844" s="33" t="n">
        <v>46590</v>
      </c>
      <c r="N4844" s="16" t="s">
        <v>14652</v>
      </c>
      <c r="O4844" s="16" t="s">
        <v>1299</v>
      </c>
      <c r="P4844" s="16" t="str">
        <f aca="false">IF(AND(L4844&lt;=$D$2,M4844&gt;=$C$2),"Sí","")</f>
        <v/>
      </c>
      <c r="Q4844" s="18" t="str">
        <f aca="false">IF(COUNTIF(LOOKAHEAD!$A$5:$A$604,A4844)&gt;0,"En Lookahead",IF(P4844="Sí","INCORPORAR",""))</f>
        <v/>
      </c>
    </row>
    <row r="4845" customFormat="false" ht="15" hidden="false" customHeight="false" outlineLevel="0" collapsed="false">
      <c r="A4845" s="13" t="s">
        <v>15071</v>
      </c>
      <c r="B4845" s="13" t="n">
        <v>4840</v>
      </c>
      <c r="C4845" s="13" t="s">
        <v>15072</v>
      </c>
      <c r="D4845" s="13" t="n">
        <v>7</v>
      </c>
      <c r="E4845" s="38" t="s">
        <v>14902</v>
      </c>
      <c r="F4845" s="13" t="s">
        <v>1298</v>
      </c>
      <c r="G4845" s="13" t="s">
        <v>1063</v>
      </c>
      <c r="H4845" s="13" t="s">
        <v>14297</v>
      </c>
      <c r="I4845" s="13" t="s">
        <v>136</v>
      </c>
      <c r="J4845" s="13" t="s">
        <v>14471</v>
      </c>
      <c r="K4845" s="30" t="n">
        <v>50</v>
      </c>
      <c r="L4845" s="31" t="n">
        <v>46541</v>
      </c>
      <c r="M4845" s="31" t="n">
        <v>46590</v>
      </c>
      <c r="N4845" s="13"/>
      <c r="O4845" s="13" t="s">
        <v>1299</v>
      </c>
      <c r="P4845" s="13"/>
      <c r="Q4845" s="13"/>
    </row>
    <row r="4846" customFormat="false" ht="15" hidden="false" customHeight="false" outlineLevel="0" collapsed="false">
      <c r="A4846" s="16" t="s">
        <v>15073</v>
      </c>
      <c r="B4846" s="16" t="n">
        <v>4841</v>
      </c>
      <c r="C4846" s="16" t="s">
        <v>15074</v>
      </c>
      <c r="D4846" s="16" t="n">
        <v>8</v>
      </c>
      <c r="E4846" s="39" t="s">
        <v>14506</v>
      </c>
      <c r="F4846" s="16" t="s">
        <v>1285</v>
      </c>
      <c r="G4846" s="16" t="s">
        <v>1063</v>
      </c>
      <c r="H4846" s="16" t="s">
        <v>14297</v>
      </c>
      <c r="I4846" s="16" t="s">
        <v>136</v>
      </c>
      <c r="J4846" s="16" t="s">
        <v>14902</v>
      </c>
      <c r="K4846" s="32" t="n">
        <v>50</v>
      </c>
      <c r="L4846" s="33" t="n">
        <v>46541</v>
      </c>
      <c r="M4846" s="33" t="n">
        <v>46590</v>
      </c>
      <c r="N4846" s="16" t="s">
        <v>14652</v>
      </c>
      <c r="O4846" s="16" t="s">
        <v>1299</v>
      </c>
      <c r="P4846" s="16" t="str">
        <f aca="false">IF(AND(L4846&lt;=$D$2,M4846&gt;=$C$2),"Sí","")</f>
        <v/>
      </c>
      <c r="Q4846" s="18" t="str">
        <f aca="false">IF(COUNTIF(LOOKAHEAD!$A$5:$A$604,A4846)&gt;0,"En Lookahead",IF(P4846="Sí","INCORPORAR",""))</f>
        <v/>
      </c>
    </row>
    <row r="4847" customFormat="false" ht="15" hidden="false" customHeight="false" outlineLevel="0" collapsed="false">
      <c r="A4847" s="13" t="s">
        <v>15075</v>
      </c>
      <c r="B4847" s="13" t="n">
        <v>4842</v>
      </c>
      <c r="C4847" s="13" t="s">
        <v>15076</v>
      </c>
      <c r="D4847" s="13" t="n">
        <v>7</v>
      </c>
      <c r="E4847" s="38" t="s">
        <v>15077</v>
      </c>
      <c r="F4847" s="13" t="s">
        <v>1298</v>
      </c>
      <c r="G4847" s="13" t="s">
        <v>1063</v>
      </c>
      <c r="H4847" s="13" t="s">
        <v>14297</v>
      </c>
      <c r="I4847" s="13" t="s">
        <v>136</v>
      </c>
      <c r="J4847" s="13" t="s">
        <v>14471</v>
      </c>
      <c r="K4847" s="30" t="n">
        <v>50</v>
      </c>
      <c r="L4847" s="31" t="n">
        <v>46541</v>
      </c>
      <c r="M4847" s="31" t="n">
        <v>46590</v>
      </c>
      <c r="N4847" s="13"/>
      <c r="O4847" s="13" t="s">
        <v>1299</v>
      </c>
      <c r="P4847" s="13"/>
      <c r="Q4847" s="13"/>
    </row>
    <row r="4848" customFormat="false" ht="15" hidden="false" customHeight="false" outlineLevel="0" collapsed="false">
      <c r="A4848" s="16" t="s">
        <v>15078</v>
      </c>
      <c r="B4848" s="16" t="n">
        <v>4843</v>
      </c>
      <c r="C4848" s="16" t="s">
        <v>15079</v>
      </c>
      <c r="D4848" s="16" t="n">
        <v>8</v>
      </c>
      <c r="E4848" s="39" t="s">
        <v>14308</v>
      </c>
      <c r="F4848" s="16" t="s">
        <v>1285</v>
      </c>
      <c r="G4848" s="16" t="s">
        <v>1063</v>
      </c>
      <c r="H4848" s="16" t="s">
        <v>14297</v>
      </c>
      <c r="I4848" s="16" t="s">
        <v>136</v>
      </c>
      <c r="J4848" s="16" t="s">
        <v>15077</v>
      </c>
      <c r="K4848" s="32" t="n">
        <v>50</v>
      </c>
      <c r="L4848" s="33" t="n">
        <v>46541</v>
      </c>
      <c r="M4848" s="33" t="n">
        <v>46590</v>
      </c>
      <c r="N4848" s="16" t="s">
        <v>14652</v>
      </c>
      <c r="O4848" s="16" t="s">
        <v>1299</v>
      </c>
      <c r="P4848" s="16" t="str">
        <f aca="false">IF(AND(L4848&lt;=$D$2,M4848&gt;=$C$2),"Sí","")</f>
        <v/>
      </c>
      <c r="Q4848" s="18" t="str">
        <f aca="false">IF(COUNTIF(LOOKAHEAD!$A$5:$A$604,A4848)&gt;0,"En Lookahead",IF(P4848="Sí","INCORPORAR",""))</f>
        <v/>
      </c>
    </row>
    <row r="4849" customFormat="false" ht="15" hidden="false" customHeight="false" outlineLevel="0" collapsed="false">
      <c r="A4849" s="16" t="s">
        <v>15080</v>
      </c>
      <c r="B4849" s="16" t="n">
        <v>4844</v>
      </c>
      <c r="C4849" s="16" t="s">
        <v>15081</v>
      </c>
      <c r="D4849" s="16" t="n">
        <v>8</v>
      </c>
      <c r="E4849" s="39" t="s">
        <v>14518</v>
      </c>
      <c r="F4849" s="16" t="s">
        <v>1285</v>
      </c>
      <c r="G4849" s="16" t="s">
        <v>1063</v>
      </c>
      <c r="H4849" s="16" t="s">
        <v>14297</v>
      </c>
      <c r="I4849" s="16" t="s">
        <v>136</v>
      </c>
      <c r="J4849" s="16" t="s">
        <v>15077</v>
      </c>
      <c r="K4849" s="32" t="n">
        <v>50</v>
      </c>
      <c r="L4849" s="33" t="n">
        <v>46541</v>
      </c>
      <c r="M4849" s="33" t="n">
        <v>46590</v>
      </c>
      <c r="N4849" s="16" t="s">
        <v>14652</v>
      </c>
      <c r="O4849" s="16" t="s">
        <v>1299</v>
      </c>
      <c r="P4849" s="16" t="str">
        <f aca="false">IF(AND(L4849&lt;=$D$2,M4849&gt;=$C$2),"Sí","")</f>
        <v/>
      </c>
      <c r="Q4849" s="18" t="str">
        <f aca="false">IF(COUNTIF(LOOKAHEAD!$A$5:$A$604,A4849)&gt;0,"En Lookahead",IF(P4849="Sí","INCORPORAR",""))</f>
        <v/>
      </c>
    </row>
    <row r="4850" customFormat="false" ht="15" hidden="false" customHeight="false" outlineLevel="0" collapsed="false">
      <c r="A4850" s="16" t="s">
        <v>15082</v>
      </c>
      <c r="B4850" s="16" t="n">
        <v>4845</v>
      </c>
      <c r="C4850" s="16" t="s">
        <v>15083</v>
      </c>
      <c r="D4850" s="16" t="n">
        <v>8</v>
      </c>
      <c r="E4850" s="39" t="s">
        <v>14392</v>
      </c>
      <c r="F4850" s="16" t="s">
        <v>1285</v>
      </c>
      <c r="G4850" s="16" t="s">
        <v>1063</v>
      </c>
      <c r="H4850" s="16" t="s">
        <v>14297</v>
      </c>
      <c r="I4850" s="16" t="s">
        <v>136</v>
      </c>
      <c r="J4850" s="16" t="s">
        <v>15077</v>
      </c>
      <c r="K4850" s="32" t="n">
        <v>50</v>
      </c>
      <c r="L4850" s="33" t="n">
        <v>46541</v>
      </c>
      <c r="M4850" s="33" t="n">
        <v>46590</v>
      </c>
      <c r="N4850" s="16" t="s">
        <v>14652</v>
      </c>
      <c r="O4850" s="16" t="s">
        <v>1299</v>
      </c>
      <c r="P4850" s="16" t="str">
        <f aca="false">IF(AND(L4850&lt;=$D$2,M4850&gt;=$C$2),"Sí","")</f>
        <v/>
      </c>
      <c r="Q4850" s="18" t="str">
        <f aca="false">IF(COUNTIF(LOOKAHEAD!$A$5:$A$604,A4850)&gt;0,"En Lookahead",IF(P4850="Sí","INCORPORAR",""))</f>
        <v/>
      </c>
    </row>
    <row r="4851" customFormat="false" ht="15" hidden="false" customHeight="false" outlineLevel="0" collapsed="false">
      <c r="A4851" s="16" t="s">
        <v>15084</v>
      </c>
      <c r="B4851" s="16" t="n">
        <v>4846</v>
      </c>
      <c r="C4851" s="16" t="s">
        <v>15085</v>
      </c>
      <c r="D4851" s="16" t="n">
        <v>8</v>
      </c>
      <c r="E4851" s="39" t="s">
        <v>14337</v>
      </c>
      <c r="F4851" s="16" t="s">
        <v>1285</v>
      </c>
      <c r="G4851" s="16" t="s">
        <v>1063</v>
      </c>
      <c r="H4851" s="16" t="s">
        <v>14297</v>
      </c>
      <c r="I4851" s="16" t="s">
        <v>136</v>
      </c>
      <c r="J4851" s="16" t="s">
        <v>15077</v>
      </c>
      <c r="K4851" s="32" t="n">
        <v>50</v>
      </c>
      <c r="L4851" s="33" t="n">
        <v>46541</v>
      </c>
      <c r="M4851" s="33" t="n">
        <v>46590</v>
      </c>
      <c r="N4851" s="16" t="s">
        <v>14652</v>
      </c>
      <c r="O4851" s="16" t="s">
        <v>1299</v>
      </c>
      <c r="P4851" s="16" t="str">
        <f aca="false">IF(AND(L4851&lt;=$D$2,M4851&gt;=$C$2),"Sí","")</f>
        <v/>
      </c>
      <c r="Q4851" s="18" t="str">
        <f aca="false">IF(COUNTIF(LOOKAHEAD!$A$5:$A$604,A4851)&gt;0,"En Lookahead",IF(P4851="Sí","INCORPORAR",""))</f>
        <v/>
      </c>
    </row>
    <row r="4852" customFormat="false" ht="15" hidden="false" customHeight="false" outlineLevel="0" collapsed="false">
      <c r="A4852" s="16" t="s">
        <v>15086</v>
      </c>
      <c r="B4852" s="16" t="n">
        <v>4847</v>
      </c>
      <c r="C4852" s="16" t="s">
        <v>15087</v>
      </c>
      <c r="D4852" s="16" t="n">
        <v>8</v>
      </c>
      <c r="E4852" s="39" t="s">
        <v>14316</v>
      </c>
      <c r="F4852" s="16" t="s">
        <v>1285</v>
      </c>
      <c r="G4852" s="16" t="s">
        <v>1063</v>
      </c>
      <c r="H4852" s="16" t="s">
        <v>14297</v>
      </c>
      <c r="I4852" s="16" t="s">
        <v>136</v>
      </c>
      <c r="J4852" s="16" t="s">
        <v>15077</v>
      </c>
      <c r="K4852" s="32" t="n">
        <v>50</v>
      </c>
      <c r="L4852" s="33" t="n">
        <v>46541</v>
      </c>
      <c r="M4852" s="33" t="n">
        <v>46590</v>
      </c>
      <c r="N4852" s="16" t="s">
        <v>14652</v>
      </c>
      <c r="O4852" s="16" t="s">
        <v>1299</v>
      </c>
      <c r="P4852" s="16" t="str">
        <f aca="false">IF(AND(L4852&lt;=$D$2,M4852&gt;=$C$2),"Sí","")</f>
        <v/>
      </c>
      <c r="Q4852" s="18" t="str">
        <f aca="false">IF(COUNTIF(LOOKAHEAD!$A$5:$A$604,A4852)&gt;0,"En Lookahead",IF(P4852="Sí","INCORPORAR",""))</f>
        <v/>
      </c>
    </row>
    <row r="4853" customFormat="false" ht="15" hidden="false" customHeight="false" outlineLevel="0" collapsed="false">
      <c r="A4853" s="16" t="s">
        <v>15088</v>
      </c>
      <c r="B4853" s="16" t="n">
        <v>4848</v>
      </c>
      <c r="C4853" s="16" t="s">
        <v>15089</v>
      </c>
      <c r="D4853" s="16" t="n">
        <v>8</v>
      </c>
      <c r="E4853" s="39" t="s">
        <v>14319</v>
      </c>
      <c r="F4853" s="16" t="s">
        <v>1285</v>
      </c>
      <c r="G4853" s="16" t="s">
        <v>1063</v>
      </c>
      <c r="H4853" s="16" t="s">
        <v>14297</v>
      </c>
      <c r="I4853" s="16" t="s">
        <v>136</v>
      </c>
      <c r="J4853" s="16" t="s">
        <v>15077</v>
      </c>
      <c r="K4853" s="32" t="n">
        <v>50</v>
      </c>
      <c r="L4853" s="33" t="n">
        <v>46541</v>
      </c>
      <c r="M4853" s="33" t="n">
        <v>46590</v>
      </c>
      <c r="N4853" s="16" t="s">
        <v>14652</v>
      </c>
      <c r="O4853" s="16" t="s">
        <v>1299</v>
      </c>
      <c r="P4853" s="16" t="str">
        <f aca="false">IF(AND(L4853&lt;=$D$2,M4853&gt;=$C$2),"Sí","")</f>
        <v/>
      </c>
      <c r="Q4853" s="18" t="str">
        <f aca="false">IF(COUNTIF(LOOKAHEAD!$A$5:$A$604,A4853)&gt;0,"En Lookahead",IF(P4853="Sí","INCORPORAR",""))</f>
        <v/>
      </c>
    </row>
    <row r="4854" customFormat="false" ht="15" hidden="false" customHeight="false" outlineLevel="0" collapsed="false">
      <c r="A4854" s="16" t="s">
        <v>15090</v>
      </c>
      <c r="B4854" s="16" t="n">
        <v>4849</v>
      </c>
      <c r="C4854" s="16" t="s">
        <v>15091</v>
      </c>
      <c r="D4854" s="16" t="n">
        <v>8</v>
      </c>
      <c r="E4854" s="39" t="s">
        <v>14322</v>
      </c>
      <c r="F4854" s="16" t="s">
        <v>1285</v>
      </c>
      <c r="G4854" s="16" t="s">
        <v>1063</v>
      </c>
      <c r="H4854" s="16" t="s">
        <v>14297</v>
      </c>
      <c r="I4854" s="16" t="s">
        <v>136</v>
      </c>
      <c r="J4854" s="16" t="s">
        <v>15077</v>
      </c>
      <c r="K4854" s="32" t="n">
        <v>50</v>
      </c>
      <c r="L4854" s="33" t="n">
        <v>46541</v>
      </c>
      <c r="M4854" s="33" t="n">
        <v>46590</v>
      </c>
      <c r="N4854" s="16" t="s">
        <v>14652</v>
      </c>
      <c r="O4854" s="16" t="s">
        <v>1299</v>
      </c>
      <c r="P4854" s="16" t="str">
        <f aca="false">IF(AND(L4854&lt;=$D$2,M4854&gt;=$C$2),"Sí","")</f>
        <v/>
      </c>
      <c r="Q4854" s="18" t="str">
        <f aca="false">IF(COUNTIF(LOOKAHEAD!$A$5:$A$604,A4854)&gt;0,"En Lookahead",IF(P4854="Sí","INCORPORAR",""))</f>
        <v/>
      </c>
    </row>
    <row r="4855" customFormat="false" ht="15" hidden="false" customHeight="false" outlineLevel="0" collapsed="false">
      <c r="A4855" s="16" t="s">
        <v>15092</v>
      </c>
      <c r="B4855" s="16" t="n">
        <v>4850</v>
      </c>
      <c r="C4855" s="16" t="s">
        <v>15093</v>
      </c>
      <c r="D4855" s="16" t="n">
        <v>8</v>
      </c>
      <c r="E4855" s="39" t="s">
        <v>14403</v>
      </c>
      <c r="F4855" s="16" t="s">
        <v>1285</v>
      </c>
      <c r="G4855" s="16" t="s">
        <v>1063</v>
      </c>
      <c r="H4855" s="16" t="s">
        <v>14297</v>
      </c>
      <c r="I4855" s="16" t="s">
        <v>136</v>
      </c>
      <c r="J4855" s="16" t="s">
        <v>15077</v>
      </c>
      <c r="K4855" s="32" t="n">
        <v>50</v>
      </c>
      <c r="L4855" s="33" t="n">
        <v>46541</v>
      </c>
      <c r="M4855" s="33" t="n">
        <v>46590</v>
      </c>
      <c r="N4855" s="16" t="s">
        <v>14652</v>
      </c>
      <c r="O4855" s="16" t="s">
        <v>1299</v>
      </c>
      <c r="P4855" s="16" t="str">
        <f aca="false">IF(AND(L4855&lt;=$D$2,M4855&gt;=$C$2),"Sí","")</f>
        <v/>
      </c>
      <c r="Q4855" s="18" t="str">
        <f aca="false">IF(COUNTIF(LOOKAHEAD!$A$5:$A$604,A4855)&gt;0,"En Lookahead",IF(P4855="Sí","INCORPORAR",""))</f>
        <v/>
      </c>
    </row>
    <row r="4856" customFormat="false" ht="15" hidden="false" customHeight="false" outlineLevel="0" collapsed="false">
      <c r="A4856" s="16" t="s">
        <v>15094</v>
      </c>
      <c r="B4856" s="16" t="n">
        <v>4851</v>
      </c>
      <c r="C4856" s="16" t="s">
        <v>15095</v>
      </c>
      <c r="D4856" s="16" t="n">
        <v>8</v>
      </c>
      <c r="E4856" s="39" t="s">
        <v>14671</v>
      </c>
      <c r="F4856" s="16" t="s">
        <v>1285</v>
      </c>
      <c r="G4856" s="16" t="s">
        <v>1063</v>
      </c>
      <c r="H4856" s="16" t="s">
        <v>14297</v>
      </c>
      <c r="I4856" s="16" t="s">
        <v>136</v>
      </c>
      <c r="J4856" s="16" t="s">
        <v>15077</v>
      </c>
      <c r="K4856" s="32" t="n">
        <v>50</v>
      </c>
      <c r="L4856" s="33" t="n">
        <v>46541</v>
      </c>
      <c r="M4856" s="33" t="n">
        <v>46590</v>
      </c>
      <c r="N4856" s="16" t="s">
        <v>14652</v>
      </c>
      <c r="O4856" s="16" t="s">
        <v>1299</v>
      </c>
      <c r="P4856" s="16" t="str">
        <f aca="false">IF(AND(L4856&lt;=$D$2,M4856&gt;=$C$2),"Sí","")</f>
        <v/>
      </c>
      <c r="Q4856" s="18" t="str">
        <f aca="false">IF(COUNTIF(LOOKAHEAD!$A$5:$A$604,A4856)&gt;0,"En Lookahead",IF(P4856="Sí","INCORPORAR",""))</f>
        <v/>
      </c>
    </row>
    <row r="4857" customFormat="false" ht="15" hidden="false" customHeight="false" outlineLevel="0" collapsed="false">
      <c r="A4857" s="16" t="s">
        <v>15096</v>
      </c>
      <c r="B4857" s="16" t="n">
        <v>4852</v>
      </c>
      <c r="C4857" s="16" t="s">
        <v>15097</v>
      </c>
      <c r="D4857" s="16" t="n">
        <v>8</v>
      </c>
      <c r="E4857" s="39" t="s">
        <v>14378</v>
      </c>
      <c r="F4857" s="16" t="s">
        <v>1285</v>
      </c>
      <c r="G4857" s="16" t="s">
        <v>1063</v>
      </c>
      <c r="H4857" s="16" t="s">
        <v>14297</v>
      </c>
      <c r="I4857" s="16" t="s">
        <v>136</v>
      </c>
      <c r="J4857" s="16" t="s">
        <v>15077</v>
      </c>
      <c r="K4857" s="32" t="n">
        <v>50</v>
      </c>
      <c r="L4857" s="33" t="n">
        <v>46541</v>
      </c>
      <c r="M4857" s="33" t="n">
        <v>46590</v>
      </c>
      <c r="N4857" s="16" t="s">
        <v>14652</v>
      </c>
      <c r="O4857" s="16" t="s">
        <v>1299</v>
      </c>
      <c r="P4857" s="16" t="str">
        <f aca="false">IF(AND(L4857&lt;=$D$2,M4857&gt;=$C$2),"Sí","")</f>
        <v/>
      </c>
      <c r="Q4857" s="18" t="str">
        <f aca="false">IF(COUNTIF(LOOKAHEAD!$A$5:$A$604,A4857)&gt;0,"En Lookahead",IF(P4857="Sí","INCORPORAR",""))</f>
        <v/>
      </c>
    </row>
    <row r="4858" customFormat="false" ht="15" hidden="false" customHeight="false" outlineLevel="0" collapsed="false">
      <c r="A4858" s="16" t="s">
        <v>15098</v>
      </c>
      <c r="B4858" s="16" t="n">
        <v>4853</v>
      </c>
      <c r="C4858" s="16" t="s">
        <v>15099</v>
      </c>
      <c r="D4858" s="16" t="n">
        <v>8</v>
      </c>
      <c r="E4858" s="39" t="s">
        <v>14328</v>
      </c>
      <c r="F4858" s="16" t="s">
        <v>1285</v>
      </c>
      <c r="G4858" s="16" t="s">
        <v>1063</v>
      </c>
      <c r="H4858" s="16" t="s">
        <v>14297</v>
      </c>
      <c r="I4858" s="16" t="s">
        <v>136</v>
      </c>
      <c r="J4858" s="16" t="s">
        <v>15077</v>
      </c>
      <c r="K4858" s="32" t="n">
        <v>50</v>
      </c>
      <c r="L4858" s="33" t="n">
        <v>46541</v>
      </c>
      <c r="M4858" s="33" t="n">
        <v>46590</v>
      </c>
      <c r="N4858" s="16" t="s">
        <v>14652</v>
      </c>
      <c r="O4858" s="16" t="s">
        <v>1299</v>
      </c>
      <c r="P4858" s="16" t="str">
        <f aca="false">IF(AND(L4858&lt;=$D$2,M4858&gt;=$C$2),"Sí","")</f>
        <v/>
      </c>
      <c r="Q4858" s="18" t="str">
        <f aca="false">IF(COUNTIF(LOOKAHEAD!$A$5:$A$604,A4858)&gt;0,"En Lookahead",IF(P4858="Sí","INCORPORAR",""))</f>
        <v/>
      </c>
    </row>
    <row r="4859" customFormat="false" ht="15" hidden="false" customHeight="false" outlineLevel="0" collapsed="false">
      <c r="A4859" s="16" t="s">
        <v>15100</v>
      </c>
      <c r="B4859" s="16" t="n">
        <v>4854</v>
      </c>
      <c r="C4859" s="16" t="s">
        <v>15101</v>
      </c>
      <c r="D4859" s="16" t="n">
        <v>8</v>
      </c>
      <c r="E4859" s="39" t="s">
        <v>14500</v>
      </c>
      <c r="F4859" s="16" t="s">
        <v>1285</v>
      </c>
      <c r="G4859" s="16" t="s">
        <v>1063</v>
      </c>
      <c r="H4859" s="16" t="s">
        <v>14297</v>
      </c>
      <c r="I4859" s="16" t="s">
        <v>136</v>
      </c>
      <c r="J4859" s="16" t="s">
        <v>15077</v>
      </c>
      <c r="K4859" s="32" t="n">
        <v>50</v>
      </c>
      <c r="L4859" s="33" t="n">
        <v>46541</v>
      </c>
      <c r="M4859" s="33" t="n">
        <v>46590</v>
      </c>
      <c r="N4859" s="16" t="s">
        <v>14652</v>
      </c>
      <c r="O4859" s="16" t="s">
        <v>1299</v>
      </c>
      <c r="P4859" s="16" t="str">
        <f aca="false">IF(AND(L4859&lt;=$D$2,M4859&gt;=$C$2),"Sí","")</f>
        <v/>
      </c>
      <c r="Q4859" s="18" t="str">
        <f aca="false">IF(COUNTIF(LOOKAHEAD!$A$5:$A$604,A4859)&gt;0,"En Lookahead",IF(P4859="Sí","INCORPORAR",""))</f>
        <v/>
      </c>
    </row>
    <row r="4860" customFormat="false" ht="15" hidden="false" customHeight="false" outlineLevel="0" collapsed="false">
      <c r="A4860" s="13" t="s">
        <v>15102</v>
      </c>
      <c r="B4860" s="13" t="n">
        <v>4855</v>
      </c>
      <c r="C4860" s="13" t="s">
        <v>15103</v>
      </c>
      <c r="D4860" s="13" t="n">
        <v>7</v>
      </c>
      <c r="E4860" s="38" t="s">
        <v>14509</v>
      </c>
      <c r="F4860" s="13" t="s">
        <v>1298</v>
      </c>
      <c r="G4860" s="13" t="s">
        <v>1063</v>
      </c>
      <c r="H4860" s="13" t="s">
        <v>14297</v>
      </c>
      <c r="I4860" s="13" t="s">
        <v>136</v>
      </c>
      <c r="J4860" s="13" t="s">
        <v>14471</v>
      </c>
      <c r="K4860" s="30" t="n">
        <v>50</v>
      </c>
      <c r="L4860" s="31" t="n">
        <v>46541</v>
      </c>
      <c r="M4860" s="31" t="n">
        <v>46590</v>
      </c>
      <c r="N4860" s="13"/>
      <c r="O4860" s="13" t="s">
        <v>1299</v>
      </c>
      <c r="P4860" s="13"/>
      <c r="Q4860" s="13"/>
    </row>
    <row r="4861" customFormat="false" ht="15" hidden="false" customHeight="false" outlineLevel="0" collapsed="false">
      <c r="A4861" s="16" t="s">
        <v>15104</v>
      </c>
      <c r="B4861" s="16" t="n">
        <v>4856</v>
      </c>
      <c r="C4861" s="16" t="s">
        <v>15105</v>
      </c>
      <c r="D4861" s="16" t="n">
        <v>8</v>
      </c>
      <c r="E4861" s="39" t="s">
        <v>14512</v>
      </c>
      <c r="F4861" s="16" t="s">
        <v>1285</v>
      </c>
      <c r="G4861" s="16" t="s">
        <v>1063</v>
      </c>
      <c r="H4861" s="16" t="s">
        <v>14297</v>
      </c>
      <c r="I4861" s="16" t="s">
        <v>136</v>
      </c>
      <c r="J4861" s="16" t="s">
        <v>14509</v>
      </c>
      <c r="K4861" s="32" t="n">
        <v>50</v>
      </c>
      <c r="L4861" s="33" t="n">
        <v>46541</v>
      </c>
      <c r="M4861" s="33" t="n">
        <v>46590</v>
      </c>
      <c r="N4861" s="16" t="s">
        <v>14652</v>
      </c>
      <c r="O4861" s="16" t="s">
        <v>1299</v>
      </c>
      <c r="P4861" s="16" t="str">
        <f aca="false">IF(AND(L4861&lt;=$D$2,M4861&gt;=$C$2),"Sí","")</f>
        <v/>
      </c>
      <c r="Q4861" s="18" t="str">
        <f aca="false">IF(COUNTIF(LOOKAHEAD!$A$5:$A$604,A4861)&gt;0,"En Lookahead",IF(P4861="Sí","INCORPORAR",""))</f>
        <v/>
      </c>
    </row>
    <row r="4862" customFormat="false" ht="15" hidden="false" customHeight="false" outlineLevel="0" collapsed="false">
      <c r="A4862" s="13" t="s">
        <v>15106</v>
      </c>
      <c r="B4862" s="13" t="n">
        <v>4857</v>
      </c>
      <c r="C4862" s="13" t="s">
        <v>15107</v>
      </c>
      <c r="D4862" s="13" t="n">
        <v>7</v>
      </c>
      <c r="E4862" s="38" t="s">
        <v>15108</v>
      </c>
      <c r="F4862" s="13" t="s">
        <v>1298</v>
      </c>
      <c r="G4862" s="13" t="s">
        <v>1063</v>
      </c>
      <c r="H4862" s="13" t="s">
        <v>14297</v>
      </c>
      <c r="I4862" s="13" t="s">
        <v>136</v>
      </c>
      <c r="J4862" s="13" t="s">
        <v>14471</v>
      </c>
      <c r="K4862" s="30" t="n">
        <v>50</v>
      </c>
      <c r="L4862" s="31" t="n">
        <v>46541</v>
      </c>
      <c r="M4862" s="31" t="n">
        <v>46590</v>
      </c>
      <c r="N4862" s="13"/>
      <c r="O4862" s="13" t="s">
        <v>1299</v>
      </c>
      <c r="P4862" s="13"/>
      <c r="Q4862" s="13"/>
    </row>
    <row r="4863" customFormat="false" ht="15" hidden="false" customHeight="false" outlineLevel="0" collapsed="false">
      <c r="A4863" s="16" t="s">
        <v>15109</v>
      </c>
      <c r="B4863" s="16" t="n">
        <v>4858</v>
      </c>
      <c r="C4863" s="16" t="s">
        <v>15110</v>
      </c>
      <c r="D4863" s="16" t="n">
        <v>8</v>
      </c>
      <c r="E4863" s="39" t="s">
        <v>14537</v>
      </c>
      <c r="F4863" s="16" t="s">
        <v>1285</v>
      </c>
      <c r="G4863" s="16" t="s">
        <v>1063</v>
      </c>
      <c r="H4863" s="16" t="s">
        <v>14297</v>
      </c>
      <c r="I4863" s="16" t="s">
        <v>136</v>
      </c>
      <c r="J4863" s="16" t="s">
        <v>15108</v>
      </c>
      <c r="K4863" s="32" t="n">
        <v>50</v>
      </c>
      <c r="L4863" s="33" t="n">
        <v>46541</v>
      </c>
      <c r="M4863" s="33" t="n">
        <v>46590</v>
      </c>
      <c r="N4863" s="16" t="s">
        <v>14652</v>
      </c>
      <c r="O4863" s="16" t="s">
        <v>1299</v>
      </c>
      <c r="P4863" s="16" t="str">
        <f aca="false">IF(AND(L4863&lt;=$D$2,M4863&gt;=$C$2),"Sí","")</f>
        <v/>
      </c>
      <c r="Q4863" s="18" t="str">
        <f aca="false">IF(COUNTIF(LOOKAHEAD!$A$5:$A$604,A4863)&gt;0,"En Lookahead",IF(P4863="Sí","INCORPORAR",""))</f>
        <v/>
      </c>
    </row>
    <row r="4864" customFormat="false" ht="15" hidden="false" customHeight="false" outlineLevel="0" collapsed="false">
      <c r="A4864" s="16" t="s">
        <v>15111</v>
      </c>
      <c r="B4864" s="16" t="n">
        <v>4859</v>
      </c>
      <c r="C4864" s="16" t="s">
        <v>15112</v>
      </c>
      <c r="D4864" s="16" t="n">
        <v>8</v>
      </c>
      <c r="E4864" s="39" t="s">
        <v>14392</v>
      </c>
      <c r="F4864" s="16" t="s">
        <v>1285</v>
      </c>
      <c r="G4864" s="16" t="s">
        <v>1063</v>
      </c>
      <c r="H4864" s="16" t="s">
        <v>14297</v>
      </c>
      <c r="I4864" s="16" t="s">
        <v>136</v>
      </c>
      <c r="J4864" s="16" t="s">
        <v>15108</v>
      </c>
      <c r="K4864" s="32" t="n">
        <v>50</v>
      </c>
      <c r="L4864" s="33" t="n">
        <v>46541</v>
      </c>
      <c r="M4864" s="33" t="n">
        <v>46590</v>
      </c>
      <c r="N4864" s="16" t="s">
        <v>14652</v>
      </c>
      <c r="O4864" s="16" t="s">
        <v>1299</v>
      </c>
      <c r="P4864" s="16" t="str">
        <f aca="false">IF(AND(L4864&lt;=$D$2,M4864&gt;=$C$2),"Sí","")</f>
        <v/>
      </c>
      <c r="Q4864" s="18" t="str">
        <f aca="false">IF(COUNTIF(LOOKAHEAD!$A$5:$A$604,A4864)&gt;0,"En Lookahead",IF(P4864="Sí","INCORPORAR",""))</f>
        <v/>
      </c>
    </row>
    <row r="4865" customFormat="false" ht="15" hidden="false" customHeight="false" outlineLevel="0" collapsed="false">
      <c r="A4865" s="16" t="s">
        <v>15113</v>
      </c>
      <c r="B4865" s="16" t="n">
        <v>4860</v>
      </c>
      <c r="C4865" s="16" t="s">
        <v>15114</v>
      </c>
      <c r="D4865" s="16" t="n">
        <v>8</v>
      </c>
      <c r="E4865" s="39" t="s">
        <v>14319</v>
      </c>
      <c r="F4865" s="16" t="s">
        <v>1285</v>
      </c>
      <c r="G4865" s="16" t="s">
        <v>1063</v>
      </c>
      <c r="H4865" s="16" t="s">
        <v>14297</v>
      </c>
      <c r="I4865" s="16" t="s">
        <v>136</v>
      </c>
      <c r="J4865" s="16" t="s">
        <v>15108</v>
      </c>
      <c r="K4865" s="32" t="n">
        <v>50</v>
      </c>
      <c r="L4865" s="33" t="n">
        <v>46541</v>
      </c>
      <c r="M4865" s="33" t="n">
        <v>46590</v>
      </c>
      <c r="N4865" s="16" t="s">
        <v>14652</v>
      </c>
      <c r="O4865" s="16" t="s">
        <v>1299</v>
      </c>
      <c r="P4865" s="16" t="str">
        <f aca="false">IF(AND(L4865&lt;=$D$2,M4865&gt;=$C$2),"Sí","")</f>
        <v/>
      </c>
      <c r="Q4865" s="18" t="str">
        <f aca="false">IF(COUNTIF(LOOKAHEAD!$A$5:$A$604,A4865)&gt;0,"En Lookahead",IF(P4865="Sí","INCORPORAR",""))</f>
        <v/>
      </c>
    </row>
    <row r="4866" customFormat="false" ht="15" hidden="false" customHeight="false" outlineLevel="0" collapsed="false">
      <c r="A4866" s="16" t="s">
        <v>15115</v>
      </c>
      <c r="B4866" s="16" t="n">
        <v>4861</v>
      </c>
      <c r="C4866" s="16" t="s">
        <v>15116</v>
      </c>
      <c r="D4866" s="16" t="n">
        <v>8</v>
      </c>
      <c r="E4866" s="39" t="s">
        <v>14322</v>
      </c>
      <c r="F4866" s="16" t="s">
        <v>1285</v>
      </c>
      <c r="G4866" s="16" t="s">
        <v>1063</v>
      </c>
      <c r="H4866" s="16" t="s">
        <v>14297</v>
      </c>
      <c r="I4866" s="16" t="s">
        <v>136</v>
      </c>
      <c r="J4866" s="16" t="s">
        <v>15108</v>
      </c>
      <c r="K4866" s="32" t="n">
        <v>50</v>
      </c>
      <c r="L4866" s="33" t="n">
        <v>46541</v>
      </c>
      <c r="M4866" s="33" t="n">
        <v>46590</v>
      </c>
      <c r="N4866" s="16" t="s">
        <v>14652</v>
      </c>
      <c r="O4866" s="16" t="s">
        <v>1299</v>
      </c>
      <c r="P4866" s="16" t="str">
        <f aca="false">IF(AND(L4866&lt;=$D$2,M4866&gt;=$C$2),"Sí","")</f>
        <v/>
      </c>
      <c r="Q4866" s="18" t="str">
        <f aca="false">IF(COUNTIF(LOOKAHEAD!$A$5:$A$604,A4866)&gt;0,"En Lookahead",IF(P4866="Sí","INCORPORAR",""))</f>
        <v/>
      </c>
    </row>
    <row r="4867" customFormat="false" ht="15" hidden="false" customHeight="false" outlineLevel="0" collapsed="false">
      <c r="A4867" s="16" t="s">
        <v>15117</v>
      </c>
      <c r="B4867" s="16" t="n">
        <v>4862</v>
      </c>
      <c r="C4867" s="16" t="s">
        <v>15118</v>
      </c>
      <c r="D4867" s="16" t="n">
        <v>8</v>
      </c>
      <c r="E4867" s="39" t="s">
        <v>14548</v>
      </c>
      <c r="F4867" s="16" t="s">
        <v>1285</v>
      </c>
      <c r="G4867" s="16" t="s">
        <v>1063</v>
      </c>
      <c r="H4867" s="16" t="s">
        <v>14297</v>
      </c>
      <c r="I4867" s="16" t="s">
        <v>136</v>
      </c>
      <c r="J4867" s="16" t="s">
        <v>15108</v>
      </c>
      <c r="K4867" s="32" t="n">
        <v>50</v>
      </c>
      <c r="L4867" s="33" t="n">
        <v>46541</v>
      </c>
      <c r="M4867" s="33" t="n">
        <v>46590</v>
      </c>
      <c r="N4867" s="16" t="s">
        <v>14652</v>
      </c>
      <c r="O4867" s="16" t="s">
        <v>1299</v>
      </c>
      <c r="P4867" s="16" t="str">
        <f aca="false">IF(AND(L4867&lt;=$D$2,M4867&gt;=$C$2),"Sí","")</f>
        <v/>
      </c>
      <c r="Q4867" s="18" t="str">
        <f aca="false">IF(COUNTIF(LOOKAHEAD!$A$5:$A$604,A4867)&gt;0,"En Lookahead",IF(P4867="Sí","INCORPORAR",""))</f>
        <v/>
      </c>
    </row>
    <row r="4868" customFormat="false" ht="15" hidden="false" customHeight="false" outlineLevel="0" collapsed="false">
      <c r="A4868" s="16" t="s">
        <v>15119</v>
      </c>
      <c r="B4868" s="16" t="n">
        <v>4863</v>
      </c>
      <c r="C4868" s="16" t="s">
        <v>15120</v>
      </c>
      <c r="D4868" s="16" t="n">
        <v>8</v>
      </c>
      <c r="E4868" s="39" t="s">
        <v>14384</v>
      </c>
      <c r="F4868" s="16" t="s">
        <v>1285</v>
      </c>
      <c r="G4868" s="16" t="s">
        <v>1063</v>
      </c>
      <c r="H4868" s="16" t="s">
        <v>14297</v>
      </c>
      <c r="I4868" s="16" t="s">
        <v>136</v>
      </c>
      <c r="J4868" s="16" t="s">
        <v>15108</v>
      </c>
      <c r="K4868" s="32" t="n">
        <v>50</v>
      </c>
      <c r="L4868" s="33" t="n">
        <v>46541</v>
      </c>
      <c r="M4868" s="33" t="n">
        <v>46590</v>
      </c>
      <c r="N4868" s="16" t="s">
        <v>14652</v>
      </c>
      <c r="O4868" s="16" t="s">
        <v>1299</v>
      </c>
      <c r="P4868" s="16" t="str">
        <f aca="false">IF(AND(L4868&lt;=$D$2,M4868&gt;=$C$2),"Sí","")</f>
        <v/>
      </c>
      <c r="Q4868" s="18" t="str">
        <f aca="false">IF(COUNTIF(LOOKAHEAD!$A$5:$A$604,A4868)&gt;0,"En Lookahead",IF(P4868="Sí","INCORPORAR",""))</f>
        <v/>
      </c>
    </row>
    <row r="4869" customFormat="false" ht="15" hidden="false" customHeight="false" outlineLevel="0" collapsed="false">
      <c r="A4869" s="16" t="s">
        <v>15121</v>
      </c>
      <c r="B4869" s="16" t="n">
        <v>4864</v>
      </c>
      <c r="C4869" s="16" t="s">
        <v>15122</v>
      </c>
      <c r="D4869" s="16" t="n">
        <v>8</v>
      </c>
      <c r="E4869" s="39" t="s">
        <v>14553</v>
      </c>
      <c r="F4869" s="16" t="s">
        <v>1285</v>
      </c>
      <c r="G4869" s="16" t="s">
        <v>1063</v>
      </c>
      <c r="H4869" s="16" t="s">
        <v>14297</v>
      </c>
      <c r="I4869" s="16" t="s">
        <v>136</v>
      </c>
      <c r="J4869" s="16" t="s">
        <v>15108</v>
      </c>
      <c r="K4869" s="32" t="n">
        <v>50</v>
      </c>
      <c r="L4869" s="33" t="n">
        <v>46541</v>
      </c>
      <c r="M4869" s="33" t="n">
        <v>46590</v>
      </c>
      <c r="N4869" s="16" t="s">
        <v>14652</v>
      </c>
      <c r="O4869" s="16" t="s">
        <v>1299</v>
      </c>
      <c r="P4869" s="16" t="str">
        <f aca="false">IF(AND(L4869&lt;=$D$2,M4869&gt;=$C$2),"Sí","")</f>
        <v/>
      </c>
      <c r="Q4869" s="18" t="str">
        <f aca="false">IF(COUNTIF(LOOKAHEAD!$A$5:$A$604,A4869)&gt;0,"En Lookahead",IF(P4869="Sí","INCORPORAR",""))</f>
        <v/>
      </c>
    </row>
    <row r="4870" customFormat="false" ht="15" hidden="false" customHeight="false" outlineLevel="0" collapsed="false">
      <c r="A4870" s="13" t="s">
        <v>15123</v>
      </c>
      <c r="B4870" s="13" t="n">
        <v>4865</v>
      </c>
      <c r="C4870" s="13" t="s">
        <v>15124</v>
      </c>
      <c r="D4870" s="13" t="n">
        <v>7</v>
      </c>
      <c r="E4870" s="38" t="s">
        <v>14515</v>
      </c>
      <c r="F4870" s="13" t="s">
        <v>1298</v>
      </c>
      <c r="G4870" s="13" t="s">
        <v>1063</v>
      </c>
      <c r="H4870" s="13" t="s">
        <v>14297</v>
      </c>
      <c r="I4870" s="13" t="s">
        <v>136</v>
      </c>
      <c r="J4870" s="13" t="s">
        <v>14471</v>
      </c>
      <c r="K4870" s="30" t="n">
        <v>50</v>
      </c>
      <c r="L4870" s="31" t="n">
        <v>46541</v>
      </c>
      <c r="M4870" s="31" t="n">
        <v>46590</v>
      </c>
      <c r="N4870" s="13"/>
      <c r="O4870" s="13" t="s">
        <v>1299</v>
      </c>
      <c r="P4870" s="13"/>
      <c r="Q4870" s="13"/>
    </row>
    <row r="4871" customFormat="false" ht="15" hidden="false" customHeight="false" outlineLevel="0" collapsed="false">
      <c r="A4871" s="16" t="s">
        <v>15125</v>
      </c>
      <c r="B4871" s="16" t="n">
        <v>4866</v>
      </c>
      <c r="C4871" s="16" t="s">
        <v>15126</v>
      </c>
      <c r="D4871" s="16" t="n">
        <v>8</v>
      </c>
      <c r="E4871" s="39" t="s">
        <v>14477</v>
      </c>
      <c r="F4871" s="16" t="s">
        <v>1285</v>
      </c>
      <c r="G4871" s="16" t="s">
        <v>1063</v>
      </c>
      <c r="H4871" s="16" t="s">
        <v>14297</v>
      </c>
      <c r="I4871" s="16" t="s">
        <v>136</v>
      </c>
      <c r="J4871" s="16" t="s">
        <v>14515</v>
      </c>
      <c r="K4871" s="32" t="n">
        <v>50</v>
      </c>
      <c r="L4871" s="33" t="n">
        <v>46541</v>
      </c>
      <c r="M4871" s="33" t="n">
        <v>46590</v>
      </c>
      <c r="N4871" s="16" t="s">
        <v>14652</v>
      </c>
      <c r="O4871" s="16" t="s">
        <v>1299</v>
      </c>
      <c r="P4871" s="16" t="str">
        <f aca="false">IF(AND(L4871&lt;=$D$2,M4871&gt;=$C$2),"Sí","")</f>
        <v/>
      </c>
      <c r="Q4871" s="18" t="str">
        <f aca="false">IF(COUNTIF(LOOKAHEAD!$A$5:$A$604,A4871)&gt;0,"En Lookahead",IF(P4871="Sí","INCORPORAR",""))</f>
        <v/>
      </c>
    </row>
    <row r="4872" customFormat="false" ht="15" hidden="false" customHeight="false" outlineLevel="0" collapsed="false">
      <c r="A4872" s="16" t="s">
        <v>15127</v>
      </c>
      <c r="B4872" s="16" t="n">
        <v>4867</v>
      </c>
      <c r="C4872" s="16" t="s">
        <v>15128</v>
      </c>
      <c r="D4872" s="16" t="n">
        <v>8</v>
      </c>
      <c r="E4872" s="39" t="s">
        <v>14392</v>
      </c>
      <c r="F4872" s="16" t="s">
        <v>1285</v>
      </c>
      <c r="G4872" s="16" t="s">
        <v>1063</v>
      </c>
      <c r="H4872" s="16" t="s">
        <v>14297</v>
      </c>
      <c r="I4872" s="16" t="s">
        <v>136</v>
      </c>
      <c r="J4872" s="16" t="s">
        <v>14515</v>
      </c>
      <c r="K4872" s="32" t="n">
        <v>50</v>
      </c>
      <c r="L4872" s="33" t="n">
        <v>46541</v>
      </c>
      <c r="M4872" s="33" t="n">
        <v>46590</v>
      </c>
      <c r="N4872" s="16" t="s">
        <v>14652</v>
      </c>
      <c r="O4872" s="16" t="s">
        <v>1299</v>
      </c>
      <c r="P4872" s="16" t="str">
        <f aca="false">IF(AND(L4872&lt;=$D$2,M4872&gt;=$C$2),"Sí","")</f>
        <v/>
      </c>
      <c r="Q4872" s="18" t="str">
        <f aca="false">IF(COUNTIF(LOOKAHEAD!$A$5:$A$604,A4872)&gt;0,"En Lookahead",IF(P4872="Sí","INCORPORAR",""))</f>
        <v/>
      </c>
    </row>
    <row r="4873" customFormat="false" ht="15" hidden="false" customHeight="false" outlineLevel="0" collapsed="false">
      <c r="A4873" s="16" t="s">
        <v>15129</v>
      </c>
      <c r="B4873" s="16" t="n">
        <v>4868</v>
      </c>
      <c r="C4873" s="16" t="s">
        <v>15130</v>
      </c>
      <c r="D4873" s="16" t="n">
        <v>8</v>
      </c>
      <c r="E4873" s="39" t="s">
        <v>14316</v>
      </c>
      <c r="F4873" s="16" t="s">
        <v>1285</v>
      </c>
      <c r="G4873" s="16" t="s">
        <v>1063</v>
      </c>
      <c r="H4873" s="16" t="s">
        <v>14297</v>
      </c>
      <c r="I4873" s="16" t="s">
        <v>136</v>
      </c>
      <c r="J4873" s="16" t="s">
        <v>14515</v>
      </c>
      <c r="K4873" s="32" t="n">
        <v>50</v>
      </c>
      <c r="L4873" s="33" t="n">
        <v>46541</v>
      </c>
      <c r="M4873" s="33" t="n">
        <v>46590</v>
      </c>
      <c r="N4873" s="16" t="s">
        <v>14652</v>
      </c>
      <c r="O4873" s="16" t="s">
        <v>1299</v>
      </c>
      <c r="P4873" s="16" t="str">
        <f aca="false">IF(AND(L4873&lt;=$D$2,M4873&gt;=$C$2),"Sí","")</f>
        <v/>
      </c>
      <c r="Q4873" s="18" t="str">
        <f aca="false">IF(COUNTIF(LOOKAHEAD!$A$5:$A$604,A4873)&gt;0,"En Lookahead",IF(P4873="Sí","INCORPORAR",""))</f>
        <v/>
      </c>
    </row>
    <row r="4874" customFormat="false" ht="15" hidden="false" customHeight="false" outlineLevel="0" collapsed="false">
      <c r="A4874" s="16" t="s">
        <v>15131</v>
      </c>
      <c r="B4874" s="16" t="n">
        <v>4869</v>
      </c>
      <c r="C4874" s="16" t="s">
        <v>15132</v>
      </c>
      <c r="D4874" s="16" t="n">
        <v>8</v>
      </c>
      <c r="E4874" s="39" t="s">
        <v>14319</v>
      </c>
      <c r="F4874" s="16" t="s">
        <v>1285</v>
      </c>
      <c r="G4874" s="16" t="s">
        <v>1063</v>
      </c>
      <c r="H4874" s="16" t="s">
        <v>14297</v>
      </c>
      <c r="I4874" s="16" t="s">
        <v>136</v>
      </c>
      <c r="J4874" s="16" t="s">
        <v>14515</v>
      </c>
      <c r="K4874" s="32" t="n">
        <v>50</v>
      </c>
      <c r="L4874" s="33" t="n">
        <v>46541</v>
      </c>
      <c r="M4874" s="33" t="n">
        <v>46590</v>
      </c>
      <c r="N4874" s="16" t="s">
        <v>14652</v>
      </c>
      <c r="O4874" s="16" t="s">
        <v>1299</v>
      </c>
      <c r="P4874" s="16" t="str">
        <f aca="false">IF(AND(L4874&lt;=$D$2,M4874&gt;=$C$2),"Sí","")</f>
        <v/>
      </c>
      <c r="Q4874" s="18" t="str">
        <f aca="false">IF(COUNTIF(LOOKAHEAD!$A$5:$A$604,A4874)&gt;0,"En Lookahead",IF(P4874="Sí","INCORPORAR",""))</f>
        <v/>
      </c>
    </row>
    <row r="4875" customFormat="false" ht="15" hidden="false" customHeight="false" outlineLevel="0" collapsed="false">
      <c r="A4875" s="16" t="s">
        <v>15133</v>
      </c>
      <c r="B4875" s="16" t="n">
        <v>4870</v>
      </c>
      <c r="C4875" s="16" t="s">
        <v>15134</v>
      </c>
      <c r="D4875" s="16" t="n">
        <v>8</v>
      </c>
      <c r="E4875" s="39" t="s">
        <v>14495</v>
      </c>
      <c r="F4875" s="16" t="s">
        <v>1285</v>
      </c>
      <c r="G4875" s="16" t="s">
        <v>1063</v>
      </c>
      <c r="H4875" s="16" t="s">
        <v>14297</v>
      </c>
      <c r="I4875" s="16" t="s">
        <v>136</v>
      </c>
      <c r="J4875" s="16" t="s">
        <v>14515</v>
      </c>
      <c r="K4875" s="32" t="n">
        <v>50</v>
      </c>
      <c r="L4875" s="33" t="n">
        <v>46541</v>
      </c>
      <c r="M4875" s="33" t="n">
        <v>46590</v>
      </c>
      <c r="N4875" s="16" t="s">
        <v>14652</v>
      </c>
      <c r="O4875" s="16" t="s">
        <v>1299</v>
      </c>
      <c r="P4875" s="16" t="str">
        <f aca="false">IF(AND(L4875&lt;=$D$2,M4875&gt;=$C$2),"Sí","")</f>
        <v/>
      </c>
      <c r="Q4875" s="18" t="str">
        <f aca="false">IF(COUNTIF(LOOKAHEAD!$A$5:$A$604,A4875)&gt;0,"En Lookahead",IF(P4875="Sí","INCORPORAR",""))</f>
        <v/>
      </c>
    </row>
    <row r="4876" customFormat="false" ht="15" hidden="false" customHeight="false" outlineLevel="0" collapsed="false">
      <c r="A4876" s="16" t="s">
        <v>15135</v>
      </c>
      <c r="B4876" s="16" t="n">
        <v>4871</v>
      </c>
      <c r="C4876" s="16" t="s">
        <v>15136</v>
      </c>
      <c r="D4876" s="16" t="n">
        <v>8</v>
      </c>
      <c r="E4876" s="39" t="s">
        <v>14322</v>
      </c>
      <c r="F4876" s="16" t="s">
        <v>1285</v>
      </c>
      <c r="G4876" s="16" t="s">
        <v>1063</v>
      </c>
      <c r="H4876" s="16" t="s">
        <v>14297</v>
      </c>
      <c r="I4876" s="16" t="s">
        <v>136</v>
      </c>
      <c r="J4876" s="16" t="s">
        <v>14515</v>
      </c>
      <c r="K4876" s="32" t="n">
        <v>50</v>
      </c>
      <c r="L4876" s="33" t="n">
        <v>46541</v>
      </c>
      <c r="M4876" s="33" t="n">
        <v>46590</v>
      </c>
      <c r="N4876" s="16" t="s">
        <v>14652</v>
      </c>
      <c r="O4876" s="16" t="s">
        <v>1299</v>
      </c>
      <c r="P4876" s="16" t="str">
        <f aca="false">IF(AND(L4876&lt;=$D$2,M4876&gt;=$C$2),"Sí","")</f>
        <v/>
      </c>
      <c r="Q4876" s="18" t="str">
        <f aca="false">IF(COUNTIF(LOOKAHEAD!$A$5:$A$604,A4876)&gt;0,"En Lookahead",IF(P4876="Sí","INCORPORAR",""))</f>
        <v/>
      </c>
    </row>
    <row r="4877" customFormat="false" ht="15" hidden="false" customHeight="false" outlineLevel="0" collapsed="false">
      <c r="A4877" s="13" t="s">
        <v>15137</v>
      </c>
      <c r="B4877" s="13" t="n">
        <v>4872</v>
      </c>
      <c r="C4877" s="13" t="s">
        <v>15138</v>
      </c>
      <c r="D4877" s="13" t="n">
        <v>7</v>
      </c>
      <c r="E4877" s="38" t="s">
        <v>15139</v>
      </c>
      <c r="F4877" s="13" t="s">
        <v>1298</v>
      </c>
      <c r="G4877" s="13" t="s">
        <v>1063</v>
      </c>
      <c r="H4877" s="13" t="s">
        <v>14297</v>
      </c>
      <c r="I4877" s="13" t="s">
        <v>136</v>
      </c>
      <c r="J4877" s="13" t="s">
        <v>14471</v>
      </c>
      <c r="K4877" s="30" t="n">
        <v>50</v>
      </c>
      <c r="L4877" s="31" t="n">
        <v>46541</v>
      </c>
      <c r="M4877" s="31" t="n">
        <v>46590</v>
      </c>
      <c r="N4877" s="13"/>
      <c r="O4877" s="13" t="s">
        <v>1299</v>
      </c>
      <c r="P4877" s="13"/>
      <c r="Q4877" s="13"/>
    </row>
    <row r="4878" customFormat="false" ht="15" hidden="false" customHeight="false" outlineLevel="0" collapsed="false">
      <c r="A4878" s="16" t="s">
        <v>15140</v>
      </c>
      <c r="B4878" s="16" t="n">
        <v>4873</v>
      </c>
      <c r="C4878" s="16" t="s">
        <v>15141</v>
      </c>
      <c r="D4878" s="16" t="n">
        <v>8</v>
      </c>
      <c r="E4878" s="39" t="s">
        <v>14477</v>
      </c>
      <c r="F4878" s="16" t="s">
        <v>1285</v>
      </c>
      <c r="G4878" s="16" t="s">
        <v>1063</v>
      </c>
      <c r="H4878" s="16" t="s">
        <v>14297</v>
      </c>
      <c r="I4878" s="16" t="s">
        <v>136</v>
      </c>
      <c r="J4878" s="16" t="s">
        <v>15139</v>
      </c>
      <c r="K4878" s="32" t="n">
        <v>50</v>
      </c>
      <c r="L4878" s="33" t="n">
        <v>46541</v>
      </c>
      <c r="M4878" s="33" t="n">
        <v>46590</v>
      </c>
      <c r="N4878" s="16" t="s">
        <v>14652</v>
      </c>
      <c r="O4878" s="16" t="s">
        <v>1299</v>
      </c>
      <c r="P4878" s="16" t="str">
        <f aca="false">IF(AND(L4878&lt;=$D$2,M4878&gt;=$C$2),"Sí","")</f>
        <v/>
      </c>
      <c r="Q4878" s="18" t="str">
        <f aca="false">IF(COUNTIF(LOOKAHEAD!$A$5:$A$604,A4878)&gt;0,"En Lookahead",IF(P4878="Sí","INCORPORAR",""))</f>
        <v/>
      </c>
    </row>
    <row r="4879" customFormat="false" ht="15" hidden="false" customHeight="false" outlineLevel="0" collapsed="false">
      <c r="A4879" s="16" t="s">
        <v>15142</v>
      </c>
      <c r="B4879" s="16" t="n">
        <v>4874</v>
      </c>
      <c r="C4879" s="16" t="s">
        <v>15143</v>
      </c>
      <c r="D4879" s="16" t="n">
        <v>8</v>
      </c>
      <c r="E4879" s="39" t="s">
        <v>14392</v>
      </c>
      <c r="F4879" s="16" t="s">
        <v>1285</v>
      </c>
      <c r="G4879" s="16" t="s">
        <v>1063</v>
      </c>
      <c r="H4879" s="16" t="s">
        <v>14297</v>
      </c>
      <c r="I4879" s="16" t="s">
        <v>136</v>
      </c>
      <c r="J4879" s="16" t="s">
        <v>15139</v>
      </c>
      <c r="K4879" s="32" t="n">
        <v>50</v>
      </c>
      <c r="L4879" s="33" t="n">
        <v>46541</v>
      </c>
      <c r="M4879" s="33" t="n">
        <v>46590</v>
      </c>
      <c r="N4879" s="16" t="s">
        <v>14652</v>
      </c>
      <c r="O4879" s="16" t="s">
        <v>1299</v>
      </c>
      <c r="P4879" s="16" t="str">
        <f aca="false">IF(AND(L4879&lt;=$D$2,M4879&gt;=$C$2),"Sí","")</f>
        <v/>
      </c>
      <c r="Q4879" s="18" t="str">
        <f aca="false">IF(COUNTIF(LOOKAHEAD!$A$5:$A$604,A4879)&gt;0,"En Lookahead",IF(P4879="Sí","INCORPORAR",""))</f>
        <v/>
      </c>
    </row>
    <row r="4880" customFormat="false" ht="15" hidden="false" customHeight="false" outlineLevel="0" collapsed="false">
      <c r="A4880" s="16" t="s">
        <v>15144</v>
      </c>
      <c r="B4880" s="16" t="n">
        <v>4875</v>
      </c>
      <c r="C4880" s="16" t="s">
        <v>15145</v>
      </c>
      <c r="D4880" s="16" t="n">
        <v>8</v>
      </c>
      <c r="E4880" s="39" t="s">
        <v>14337</v>
      </c>
      <c r="F4880" s="16" t="s">
        <v>1285</v>
      </c>
      <c r="G4880" s="16" t="s">
        <v>1063</v>
      </c>
      <c r="H4880" s="16" t="s">
        <v>14297</v>
      </c>
      <c r="I4880" s="16" t="s">
        <v>136</v>
      </c>
      <c r="J4880" s="16" t="s">
        <v>15139</v>
      </c>
      <c r="K4880" s="32" t="n">
        <v>50</v>
      </c>
      <c r="L4880" s="33" t="n">
        <v>46541</v>
      </c>
      <c r="M4880" s="33" t="n">
        <v>46590</v>
      </c>
      <c r="N4880" s="16" t="s">
        <v>14652</v>
      </c>
      <c r="O4880" s="16" t="s">
        <v>1299</v>
      </c>
      <c r="P4880" s="16" t="str">
        <f aca="false">IF(AND(L4880&lt;=$D$2,M4880&gt;=$C$2),"Sí","")</f>
        <v/>
      </c>
      <c r="Q4880" s="18" t="str">
        <f aca="false">IF(COUNTIF(LOOKAHEAD!$A$5:$A$604,A4880)&gt;0,"En Lookahead",IF(P4880="Sí","INCORPORAR",""))</f>
        <v/>
      </c>
    </row>
    <row r="4881" customFormat="false" ht="15" hidden="false" customHeight="false" outlineLevel="0" collapsed="false">
      <c r="A4881" s="16" t="s">
        <v>15146</v>
      </c>
      <c r="B4881" s="16" t="n">
        <v>4876</v>
      </c>
      <c r="C4881" s="16" t="s">
        <v>15147</v>
      </c>
      <c r="D4881" s="16" t="n">
        <v>8</v>
      </c>
      <c r="E4881" s="39" t="s">
        <v>14484</v>
      </c>
      <c r="F4881" s="16" t="s">
        <v>1285</v>
      </c>
      <c r="G4881" s="16" t="s">
        <v>1063</v>
      </c>
      <c r="H4881" s="16" t="s">
        <v>14297</v>
      </c>
      <c r="I4881" s="16" t="s">
        <v>136</v>
      </c>
      <c r="J4881" s="16" t="s">
        <v>15139</v>
      </c>
      <c r="K4881" s="32" t="n">
        <v>50</v>
      </c>
      <c r="L4881" s="33" t="n">
        <v>46541</v>
      </c>
      <c r="M4881" s="33" t="n">
        <v>46590</v>
      </c>
      <c r="N4881" s="16" t="s">
        <v>14652</v>
      </c>
      <c r="O4881" s="16" t="s">
        <v>1299</v>
      </c>
      <c r="P4881" s="16" t="str">
        <f aca="false">IF(AND(L4881&lt;=$D$2,M4881&gt;=$C$2),"Sí","")</f>
        <v/>
      </c>
      <c r="Q4881" s="18" t="str">
        <f aca="false">IF(COUNTIF(LOOKAHEAD!$A$5:$A$604,A4881)&gt;0,"En Lookahead",IF(P4881="Sí","INCORPORAR",""))</f>
        <v/>
      </c>
    </row>
    <row r="4882" customFormat="false" ht="15" hidden="false" customHeight="false" outlineLevel="0" collapsed="false">
      <c r="A4882" s="16" t="s">
        <v>15148</v>
      </c>
      <c r="B4882" s="16" t="n">
        <v>4877</v>
      </c>
      <c r="C4882" s="16" t="s">
        <v>15149</v>
      </c>
      <c r="D4882" s="16" t="n">
        <v>8</v>
      </c>
      <c r="E4882" s="39" t="s">
        <v>14319</v>
      </c>
      <c r="F4882" s="16" t="s">
        <v>1285</v>
      </c>
      <c r="G4882" s="16" t="s">
        <v>1063</v>
      </c>
      <c r="H4882" s="16" t="s">
        <v>14297</v>
      </c>
      <c r="I4882" s="16" t="s">
        <v>136</v>
      </c>
      <c r="J4882" s="16" t="s">
        <v>15139</v>
      </c>
      <c r="K4882" s="32" t="n">
        <v>50</v>
      </c>
      <c r="L4882" s="33" t="n">
        <v>46541</v>
      </c>
      <c r="M4882" s="33" t="n">
        <v>46590</v>
      </c>
      <c r="N4882" s="16" t="s">
        <v>14652</v>
      </c>
      <c r="O4882" s="16" t="s">
        <v>1299</v>
      </c>
      <c r="P4882" s="16" t="str">
        <f aca="false">IF(AND(L4882&lt;=$D$2,M4882&gt;=$C$2),"Sí","")</f>
        <v/>
      </c>
      <c r="Q4882" s="18" t="str">
        <f aca="false">IF(COUNTIF(LOOKAHEAD!$A$5:$A$604,A4882)&gt;0,"En Lookahead",IF(P4882="Sí","INCORPORAR",""))</f>
        <v/>
      </c>
    </row>
    <row r="4883" customFormat="false" ht="15" hidden="false" customHeight="false" outlineLevel="0" collapsed="false">
      <c r="A4883" s="16" t="s">
        <v>15150</v>
      </c>
      <c r="B4883" s="16" t="n">
        <v>4878</v>
      </c>
      <c r="C4883" s="16" t="s">
        <v>15151</v>
      </c>
      <c r="D4883" s="16" t="n">
        <v>8</v>
      </c>
      <c r="E4883" s="39" t="s">
        <v>14492</v>
      </c>
      <c r="F4883" s="16" t="s">
        <v>1285</v>
      </c>
      <c r="G4883" s="16" t="s">
        <v>1063</v>
      </c>
      <c r="H4883" s="16" t="s">
        <v>14297</v>
      </c>
      <c r="I4883" s="16" t="s">
        <v>136</v>
      </c>
      <c r="J4883" s="16" t="s">
        <v>15139</v>
      </c>
      <c r="K4883" s="32" t="n">
        <v>50</v>
      </c>
      <c r="L4883" s="33" t="n">
        <v>46541</v>
      </c>
      <c r="M4883" s="33" t="n">
        <v>46590</v>
      </c>
      <c r="N4883" s="16" t="s">
        <v>14652</v>
      </c>
      <c r="O4883" s="16" t="s">
        <v>1299</v>
      </c>
      <c r="P4883" s="16" t="str">
        <f aca="false">IF(AND(L4883&lt;=$D$2,M4883&gt;=$C$2),"Sí","")</f>
        <v/>
      </c>
      <c r="Q4883" s="18" t="str">
        <f aca="false">IF(COUNTIF(LOOKAHEAD!$A$5:$A$604,A4883)&gt;0,"En Lookahead",IF(P4883="Sí","INCORPORAR",""))</f>
        <v/>
      </c>
    </row>
    <row r="4884" customFormat="false" ht="15" hidden="false" customHeight="false" outlineLevel="0" collapsed="false">
      <c r="A4884" s="16" t="s">
        <v>15152</v>
      </c>
      <c r="B4884" s="16" t="n">
        <v>4879</v>
      </c>
      <c r="C4884" s="16" t="s">
        <v>15153</v>
      </c>
      <c r="D4884" s="16" t="n">
        <v>8</v>
      </c>
      <c r="E4884" s="39" t="s">
        <v>14495</v>
      </c>
      <c r="F4884" s="16" t="s">
        <v>1285</v>
      </c>
      <c r="G4884" s="16" t="s">
        <v>1063</v>
      </c>
      <c r="H4884" s="16" t="s">
        <v>14297</v>
      </c>
      <c r="I4884" s="16" t="s">
        <v>136</v>
      </c>
      <c r="J4884" s="16" t="s">
        <v>15139</v>
      </c>
      <c r="K4884" s="32" t="n">
        <v>50</v>
      </c>
      <c r="L4884" s="33" t="n">
        <v>46541</v>
      </c>
      <c r="M4884" s="33" t="n">
        <v>46590</v>
      </c>
      <c r="N4884" s="16" t="s">
        <v>14652</v>
      </c>
      <c r="O4884" s="16" t="s">
        <v>1299</v>
      </c>
      <c r="P4884" s="16" t="str">
        <f aca="false">IF(AND(L4884&lt;=$D$2,M4884&gt;=$C$2),"Sí","")</f>
        <v/>
      </c>
      <c r="Q4884" s="18" t="str">
        <f aca="false">IF(COUNTIF(LOOKAHEAD!$A$5:$A$604,A4884)&gt;0,"En Lookahead",IF(P4884="Sí","INCORPORAR",""))</f>
        <v/>
      </c>
    </row>
    <row r="4885" customFormat="false" ht="15" hidden="false" customHeight="false" outlineLevel="0" collapsed="false">
      <c r="A4885" s="16" t="s">
        <v>15154</v>
      </c>
      <c r="B4885" s="16" t="n">
        <v>4880</v>
      </c>
      <c r="C4885" s="16" t="s">
        <v>15155</v>
      </c>
      <c r="D4885" s="16" t="n">
        <v>8</v>
      </c>
      <c r="E4885" s="39" t="s">
        <v>14322</v>
      </c>
      <c r="F4885" s="16" t="s">
        <v>1285</v>
      </c>
      <c r="G4885" s="16" t="s">
        <v>1063</v>
      </c>
      <c r="H4885" s="16" t="s">
        <v>14297</v>
      </c>
      <c r="I4885" s="16" t="s">
        <v>136</v>
      </c>
      <c r="J4885" s="16" t="s">
        <v>15139</v>
      </c>
      <c r="K4885" s="32" t="n">
        <v>50</v>
      </c>
      <c r="L4885" s="33" t="n">
        <v>46541</v>
      </c>
      <c r="M4885" s="33" t="n">
        <v>46590</v>
      </c>
      <c r="N4885" s="16" t="s">
        <v>14652</v>
      </c>
      <c r="O4885" s="16" t="s">
        <v>1299</v>
      </c>
      <c r="P4885" s="16" t="str">
        <f aca="false">IF(AND(L4885&lt;=$D$2,M4885&gt;=$C$2),"Sí","")</f>
        <v/>
      </c>
      <c r="Q4885" s="18" t="str">
        <f aca="false">IF(COUNTIF(LOOKAHEAD!$A$5:$A$604,A4885)&gt;0,"En Lookahead",IF(P4885="Sí","INCORPORAR",""))</f>
        <v/>
      </c>
    </row>
    <row r="4886" customFormat="false" ht="15" hidden="false" customHeight="false" outlineLevel="0" collapsed="false">
      <c r="A4886" s="16" t="s">
        <v>15156</v>
      </c>
      <c r="B4886" s="16" t="n">
        <v>4881</v>
      </c>
      <c r="C4886" s="16" t="s">
        <v>15157</v>
      </c>
      <c r="D4886" s="16" t="n">
        <v>8</v>
      </c>
      <c r="E4886" s="39" t="s">
        <v>14587</v>
      </c>
      <c r="F4886" s="16" t="s">
        <v>1285</v>
      </c>
      <c r="G4886" s="16" t="s">
        <v>1063</v>
      </c>
      <c r="H4886" s="16" t="s">
        <v>14297</v>
      </c>
      <c r="I4886" s="16" t="s">
        <v>136</v>
      </c>
      <c r="J4886" s="16" t="s">
        <v>15139</v>
      </c>
      <c r="K4886" s="32" t="n">
        <v>50</v>
      </c>
      <c r="L4886" s="33" t="n">
        <v>46541</v>
      </c>
      <c r="M4886" s="33" t="n">
        <v>46590</v>
      </c>
      <c r="N4886" s="16" t="s">
        <v>14652</v>
      </c>
      <c r="O4886" s="16" t="s">
        <v>1299</v>
      </c>
      <c r="P4886" s="16" t="str">
        <f aca="false">IF(AND(L4886&lt;=$D$2,M4886&gt;=$C$2),"Sí","")</f>
        <v/>
      </c>
      <c r="Q4886" s="18" t="str">
        <f aca="false">IF(COUNTIF(LOOKAHEAD!$A$5:$A$604,A4886)&gt;0,"En Lookahead",IF(P4886="Sí","INCORPORAR",""))</f>
        <v/>
      </c>
    </row>
    <row r="4887" customFormat="false" ht="15" hidden="false" customHeight="false" outlineLevel="0" collapsed="false">
      <c r="A4887" s="16" t="s">
        <v>15158</v>
      </c>
      <c r="B4887" s="16" t="n">
        <v>4882</v>
      </c>
      <c r="C4887" s="16" t="s">
        <v>15159</v>
      </c>
      <c r="D4887" s="16" t="n">
        <v>8</v>
      </c>
      <c r="E4887" s="39" t="s">
        <v>14671</v>
      </c>
      <c r="F4887" s="16" t="s">
        <v>1285</v>
      </c>
      <c r="G4887" s="16" t="s">
        <v>1063</v>
      </c>
      <c r="H4887" s="16" t="s">
        <v>14297</v>
      </c>
      <c r="I4887" s="16" t="s">
        <v>136</v>
      </c>
      <c r="J4887" s="16" t="s">
        <v>15139</v>
      </c>
      <c r="K4887" s="32" t="n">
        <v>50</v>
      </c>
      <c r="L4887" s="33" t="n">
        <v>46541</v>
      </c>
      <c r="M4887" s="33" t="n">
        <v>46590</v>
      </c>
      <c r="N4887" s="16" t="s">
        <v>14652</v>
      </c>
      <c r="O4887" s="16" t="s">
        <v>1299</v>
      </c>
      <c r="P4887" s="16" t="str">
        <f aca="false">IF(AND(L4887&lt;=$D$2,M4887&gt;=$C$2),"Sí","")</f>
        <v/>
      </c>
      <c r="Q4887" s="18" t="str">
        <f aca="false">IF(COUNTIF(LOOKAHEAD!$A$5:$A$604,A4887)&gt;0,"En Lookahead",IF(P4887="Sí","INCORPORAR",""))</f>
        <v/>
      </c>
    </row>
    <row r="4888" customFormat="false" ht="15" hidden="false" customHeight="false" outlineLevel="0" collapsed="false">
      <c r="A4888" s="13" t="s">
        <v>15160</v>
      </c>
      <c r="B4888" s="13" t="n">
        <v>4883</v>
      </c>
      <c r="C4888" s="13" t="s">
        <v>15161</v>
      </c>
      <c r="D4888" s="13" t="n">
        <v>7</v>
      </c>
      <c r="E4888" s="38" t="s">
        <v>14509</v>
      </c>
      <c r="F4888" s="13" t="s">
        <v>1298</v>
      </c>
      <c r="G4888" s="13" t="s">
        <v>1063</v>
      </c>
      <c r="H4888" s="13" t="s">
        <v>14297</v>
      </c>
      <c r="I4888" s="13" t="s">
        <v>136</v>
      </c>
      <c r="J4888" s="13" t="s">
        <v>14471</v>
      </c>
      <c r="K4888" s="30" t="n">
        <v>50</v>
      </c>
      <c r="L4888" s="31" t="n">
        <v>46541</v>
      </c>
      <c r="M4888" s="31" t="n">
        <v>46590</v>
      </c>
      <c r="N4888" s="13"/>
      <c r="O4888" s="13" t="s">
        <v>1299</v>
      </c>
      <c r="P4888" s="13"/>
      <c r="Q4888" s="13"/>
    </row>
    <row r="4889" customFormat="false" ht="15" hidden="false" customHeight="false" outlineLevel="0" collapsed="false">
      <c r="A4889" s="16" t="s">
        <v>15162</v>
      </c>
      <c r="B4889" s="16" t="n">
        <v>4884</v>
      </c>
      <c r="C4889" s="16" t="s">
        <v>15163</v>
      </c>
      <c r="D4889" s="16" t="n">
        <v>8</v>
      </c>
      <c r="E4889" s="39" t="s">
        <v>14487</v>
      </c>
      <c r="F4889" s="16" t="s">
        <v>1285</v>
      </c>
      <c r="G4889" s="16" t="s">
        <v>1063</v>
      </c>
      <c r="H4889" s="16" t="s">
        <v>14297</v>
      </c>
      <c r="I4889" s="16" t="s">
        <v>136</v>
      </c>
      <c r="J4889" s="16" t="s">
        <v>14509</v>
      </c>
      <c r="K4889" s="32" t="n">
        <v>50</v>
      </c>
      <c r="L4889" s="33" t="n">
        <v>46541</v>
      </c>
      <c r="M4889" s="33" t="n">
        <v>46590</v>
      </c>
      <c r="N4889" s="16" t="s">
        <v>14652</v>
      </c>
      <c r="O4889" s="16" t="s">
        <v>1299</v>
      </c>
      <c r="P4889" s="16" t="str">
        <f aca="false">IF(AND(L4889&lt;=$D$2,M4889&gt;=$C$2),"Sí","")</f>
        <v/>
      </c>
      <c r="Q4889" s="18" t="str">
        <f aca="false">IF(COUNTIF(LOOKAHEAD!$A$5:$A$604,A4889)&gt;0,"En Lookahead",IF(P4889="Sí","INCORPORAR",""))</f>
        <v/>
      </c>
    </row>
    <row r="4890" customFormat="false" ht="15" hidden="false" customHeight="false" outlineLevel="0" collapsed="false">
      <c r="A4890" s="16" t="s">
        <v>15164</v>
      </c>
      <c r="B4890" s="16" t="n">
        <v>4885</v>
      </c>
      <c r="C4890" s="16" t="s">
        <v>15165</v>
      </c>
      <c r="D4890" s="16" t="n">
        <v>8</v>
      </c>
      <c r="E4890" s="39" t="s">
        <v>14512</v>
      </c>
      <c r="F4890" s="16" t="s">
        <v>1285</v>
      </c>
      <c r="G4890" s="16" t="s">
        <v>1063</v>
      </c>
      <c r="H4890" s="16" t="s">
        <v>14297</v>
      </c>
      <c r="I4890" s="16" t="s">
        <v>136</v>
      </c>
      <c r="J4890" s="16" t="s">
        <v>14509</v>
      </c>
      <c r="K4890" s="32" t="n">
        <v>50</v>
      </c>
      <c r="L4890" s="33" t="n">
        <v>46541</v>
      </c>
      <c r="M4890" s="33" t="n">
        <v>46590</v>
      </c>
      <c r="N4890" s="16" t="s">
        <v>14652</v>
      </c>
      <c r="O4890" s="16" t="s">
        <v>1299</v>
      </c>
      <c r="P4890" s="16" t="str">
        <f aca="false">IF(AND(L4890&lt;=$D$2,M4890&gt;=$C$2),"Sí","")</f>
        <v/>
      </c>
      <c r="Q4890" s="18" t="str">
        <f aca="false">IF(COUNTIF(LOOKAHEAD!$A$5:$A$604,A4890)&gt;0,"En Lookahead",IF(P4890="Sí","INCORPORAR",""))</f>
        <v/>
      </c>
    </row>
    <row r="4891" customFormat="false" ht="15" hidden="false" customHeight="false" outlineLevel="0" collapsed="false">
      <c r="A4891" s="13" t="s">
        <v>15166</v>
      </c>
      <c r="B4891" s="13" t="n">
        <v>4886</v>
      </c>
      <c r="C4891" s="13" t="s">
        <v>15167</v>
      </c>
      <c r="D4891" s="13" t="n">
        <v>7</v>
      </c>
      <c r="E4891" s="38" t="s">
        <v>14503</v>
      </c>
      <c r="F4891" s="13" t="s">
        <v>1298</v>
      </c>
      <c r="G4891" s="13" t="s">
        <v>1063</v>
      </c>
      <c r="H4891" s="13" t="s">
        <v>14297</v>
      </c>
      <c r="I4891" s="13" t="s">
        <v>136</v>
      </c>
      <c r="J4891" s="13" t="s">
        <v>14471</v>
      </c>
      <c r="K4891" s="30" t="n">
        <v>50</v>
      </c>
      <c r="L4891" s="31" t="n">
        <v>46541</v>
      </c>
      <c r="M4891" s="31" t="n">
        <v>46590</v>
      </c>
      <c r="N4891" s="13"/>
      <c r="O4891" s="13" t="s">
        <v>1299</v>
      </c>
      <c r="P4891" s="13"/>
      <c r="Q4891" s="13"/>
    </row>
    <row r="4892" customFormat="false" ht="15" hidden="false" customHeight="false" outlineLevel="0" collapsed="false">
      <c r="A4892" s="16" t="s">
        <v>15168</v>
      </c>
      <c r="B4892" s="16" t="n">
        <v>4887</v>
      </c>
      <c r="C4892" s="16" t="s">
        <v>15169</v>
      </c>
      <c r="D4892" s="16" t="n">
        <v>8</v>
      </c>
      <c r="E4892" s="39" t="s">
        <v>14506</v>
      </c>
      <c r="F4892" s="16" t="s">
        <v>1285</v>
      </c>
      <c r="G4892" s="16" t="s">
        <v>1063</v>
      </c>
      <c r="H4892" s="16" t="s">
        <v>14297</v>
      </c>
      <c r="I4892" s="16" t="s">
        <v>136</v>
      </c>
      <c r="J4892" s="16" t="s">
        <v>14503</v>
      </c>
      <c r="K4892" s="32" t="n">
        <v>50</v>
      </c>
      <c r="L4892" s="33" t="n">
        <v>46541</v>
      </c>
      <c r="M4892" s="33" t="n">
        <v>46590</v>
      </c>
      <c r="N4892" s="16" t="s">
        <v>14652</v>
      </c>
      <c r="O4892" s="16" t="s">
        <v>1299</v>
      </c>
      <c r="P4892" s="16" t="str">
        <f aca="false">IF(AND(L4892&lt;=$D$2,M4892&gt;=$C$2),"Sí","")</f>
        <v/>
      </c>
      <c r="Q4892" s="18" t="str">
        <f aca="false">IF(COUNTIF(LOOKAHEAD!$A$5:$A$604,A4892)&gt;0,"En Lookahead",IF(P4892="Sí","INCORPORAR",""))</f>
        <v/>
      </c>
    </row>
    <row r="4893" customFormat="false" ht="15" hidden="false" customHeight="false" outlineLevel="0" collapsed="false">
      <c r="A4893" s="13" t="s">
        <v>15170</v>
      </c>
      <c r="B4893" s="13" t="n">
        <v>4888</v>
      </c>
      <c r="C4893" s="13" t="s">
        <v>15171</v>
      </c>
      <c r="D4893" s="13" t="n">
        <v>7</v>
      </c>
      <c r="E4893" s="38" t="s">
        <v>15172</v>
      </c>
      <c r="F4893" s="13" t="s">
        <v>1298</v>
      </c>
      <c r="G4893" s="13" t="s">
        <v>1063</v>
      </c>
      <c r="H4893" s="13" t="s">
        <v>14297</v>
      </c>
      <c r="I4893" s="13" t="s">
        <v>136</v>
      </c>
      <c r="J4893" s="13" t="s">
        <v>14471</v>
      </c>
      <c r="K4893" s="30" t="n">
        <v>50</v>
      </c>
      <c r="L4893" s="31" t="n">
        <v>46541</v>
      </c>
      <c r="M4893" s="31" t="n">
        <v>46590</v>
      </c>
      <c r="N4893" s="13"/>
      <c r="O4893" s="13" t="s">
        <v>1299</v>
      </c>
      <c r="P4893" s="13"/>
      <c r="Q4893" s="13"/>
    </row>
    <row r="4894" customFormat="false" ht="15" hidden="false" customHeight="false" outlineLevel="0" collapsed="false">
      <c r="A4894" s="16" t="s">
        <v>15173</v>
      </c>
      <c r="B4894" s="16" t="n">
        <v>4889</v>
      </c>
      <c r="C4894" s="16" t="s">
        <v>15174</v>
      </c>
      <c r="D4894" s="16" t="n">
        <v>8</v>
      </c>
      <c r="E4894" s="39" t="s">
        <v>15175</v>
      </c>
      <c r="F4894" s="16" t="s">
        <v>1285</v>
      </c>
      <c r="G4894" s="16" t="s">
        <v>1063</v>
      </c>
      <c r="H4894" s="16" t="s">
        <v>14297</v>
      </c>
      <c r="I4894" s="16" t="s">
        <v>136</v>
      </c>
      <c r="J4894" s="16" t="s">
        <v>15172</v>
      </c>
      <c r="K4894" s="32" t="n">
        <v>50</v>
      </c>
      <c r="L4894" s="33" t="n">
        <v>46541</v>
      </c>
      <c r="M4894" s="33" t="n">
        <v>46590</v>
      </c>
      <c r="N4894" s="16" t="s">
        <v>14652</v>
      </c>
      <c r="O4894" s="16" t="s">
        <v>1299</v>
      </c>
      <c r="P4894" s="16" t="str">
        <f aca="false">IF(AND(L4894&lt;=$D$2,M4894&gt;=$C$2),"Sí","")</f>
        <v/>
      </c>
      <c r="Q4894" s="18" t="str">
        <f aca="false">IF(COUNTIF(LOOKAHEAD!$A$5:$A$604,A4894)&gt;0,"En Lookahead",IF(P4894="Sí","INCORPORAR",""))</f>
        <v/>
      </c>
    </row>
    <row r="4895" customFormat="false" ht="15" hidden="false" customHeight="false" outlineLevel="0" collapsed="false">
      <c r="A4895" s="16" t="s">
        <v>15176</v>
      </c>
      <c r="B4895" s="16" t="n">
        <v>4890</v>
      </c>
      <c r="C4895" s="16" t="s">
        <v>15177</v>
      </c>
      <c r="D4895" s="16" t="n">
        <v>8</v>
      </c>
      <c r="E4895" s="39" t="s">
        <v>15178</v>
      </c>
      <c r="F4895" s="16" t="s">
        <v>1285</v>
      </c>
      <c r="G4895" s="16" t="s">
        <v>1063</v>
      </c>
      <c r="H4895" s="16" t="s">
        <v>14297</v>
      </c>
      <c r="I4895" s="16" t="s">
        <v>136</v>
      </c>
      <c r="J4895" s="16" t="s">
        <v>15172</v>
      </c>
      <c r="K4895" s="32" t="n">
        <v>50</v>
      </c>
      <c r="L4895" s="33" t="n">
        <v>46541</v>
      </c>
      <c r="M4895" s="33" t="n">
        <v>46590</v>
      </c>
      <c r="N4895" s="16" t="s">
        <v>14652</v>
      </c>
      <c r="O4895" s="16" t="s">
        <v>1299</v>
      </c>
      <c r="P4895" s="16" t="str">
        <f aca="false">IF(AND(L4895&lt;=$D$2,M4895&gt;=$C$2),"Sí","")</f>
        <v/>
      </c>
      <c r="Q4895" s="18" t="str">
        <f aca="false">IF(COUNTIF(LOOKAHEAD!$A$5:$A$604,A4895)&gt;0,"En Lookahead",IF(P4895="Sí","INCORPORAR",""))</f>
        <v/>
      </c>
    </row>
    <row r="4896" customFormat="false" ht="15" hidden="false" customHeight="false" outlineLevel="0" collapsed="false">
      <c r="A4896" s="16" t="s">
        <v>15179</v>
      </c>
      <c r="B4896" s="16" t="n">
        <v>4891</v>
      </c>
      <c r="C4896" s="16" t="s">
        <v>15180</v>
      </c>
      <c r="D4896" s="16" t="n">
        <v>8</v>
      </c>
      <c r="E4896" s="39" t="s">
        <v>14506</v>
      </c>
      <c r="F4896" s="16" t="s">
        <v>1285</v>
      </c>
      <c r="G4896" s="16" t="s">
        <v>1063</v>
      </c>
      <c r="H4896" s="16" t="s">
        <v>14297</v>
      </c>
      <c r="I4896" s="16" t="s">
        <v>136</v>
      </c>
      <c r="J4896" s="16" t="s">
        <v>15172</v>
      </c>
      <c r="K4896" s="32" t="n">
        <v>50</v>
      </c>
      <c r="L4896" s="33" t="n">
        <v>46541</v>
      </c>
      <c r="M4896" s="33" t="n">
        <v>46590</v>
      </c>
      <c r="N4896" s="16" t="s">
        <v>14652</v>
      </c>
      <c r="O4896" s="16" t="s">
        <v>1299</v>
      </c>
      <c r="P4896" s="16" t="str">
        <f aca="false">IF(AND(L4896&lt;=$D$2,M4896&gt;=$C$2),"Sí","")</f>
        <v/>
      </c>
      <c r="Q4896" s="18" t="str">
        <f aca="false">IF(COUNTIF(LOOKAHEAD!$A$5:$A$604,A4896)&gt;0,"En Lookahead",IF(P4896="Sí","INCORPORAR",""))</f>
        <v/>
      </c>
    </row>
    <row r="4897" customFormat="false" ht="15" hidden="false" customHeight="false" outlineLevel="0" collapsed="false">
      <c r="A4897" s="16" t="s">
        <v>15181</v>
      </c>
      <c r="B4897" s="16" t="n">
        <v>4892</v>
      </c>
      <c r="C4897" s="16" t="s">
        <v>15182</v>
      </c>
      <c r="D4897" s="16" t="n">
        <v>8</v>
      </c>
      <c r="E4897" s="39" t="s">
        <v>15183</v>
      </c>
      <c r="F4897" s="16" t="s">
        <v>1285</v>
      </c>
      <c r="G4897" s="16" t="s">
        <v>1063</v>
      </c>
      <c r="H4897" s="16" t="s">
        <v>14297</v>
      </c>
      <c r="I4897" s="16" t="s">
        <v>136</v>
      </c>
      <c r="J4897" s="16" t="s">
        <v>15172</v>
      </c>
      <c r="K4897" s="32" t="n">
        <v>50</v>
      </c>
      <c r="L4897" s="33" t="n">
        <v>46541</v>
      </c>
      <c r="M4897" s="33" t="n">
        <v>46590</v>
      </c>
      <c r="N4897" s="16" t="s">
        <v>14652</v>
      </c>
      <c r="O4897" s="16" t="s">
        <v>1299</v>
      </c>
      <c r="P4897" s="16" t="str">
        <f aca="false">IF(AND(L4897&lt;=$D$2,M4897&gt;=$C$2),"Sí","")</f>
        <v/>
      </c>
      <c r="Q4897" s="18" t="str">
        <f aca="false">IF(COUNTIF(LOOKAHEAD!$A$5:$A$604,A4897)&gt;0,"En Lookahead",IF(P4897="Sí","INCORPORAR",""))</f>
        <v/>
      </c>
    </row>
    <row r="4898" customFormat="false" ht="15" hidden="false" customHeight="false" outlineLevel="0" collapsed="false">
      <c r="A4898" s="16" t="s">
        <v>15184</v>
      </c>
      <c r="B4898" s="16" t="n">
        <v>4893</v>
      </c>
      <c r="C4898" s="16" t="s">
        <v>15185</v>
      </c>
      <c r="D4898" s="16" t="n">
        <v>8</v>
      </c>
      <c r="E4898" s="39" t="s">
        <v>15186</v>
      </c>
      <c r="F4898" s="16" t="s">
        <v>1285</v>
      </c>
      <c r="G4898" s="16" t="s">
        <v>1063</v>
      </c>
      <c r="H4898" s="16" t="s">
        <v>14297</v>
      </c>
      <c r="I4898" s="16" t="s">
        <v>136</v>
      </c>
      <c r="J4898" s="16" t="s">
        <v>15172</v>
      </c>
      <c r="K4898" s="32" t="n">
        <v>50</v>
      </c>
      <c r="L4898" s="33" t="n">
        <v>46541</v>
      </c>
      <c r="M4898" s="33" t="n">
        <v>46590</v>
      </c>
      <c r="N4898" s="16" t="s">
        <v>14652</v>
      </c>
      <c r="O4898" s="16" t="s">
        <v>1299</v>
      </c>
      <c r="P4898" s="16" t="str">
        <f aca="false">IF(AND(L4898&lt;=$D$2,M4898&gt;=$C$2),"Sí","")</f>
        <v/>
      </c>
      <c r="Q4898" s="18" t="str">
        <f aca="false">IF(COUNTIF(LOOKAHEAD!$A$5:$A$604,A4898)&gt;0,"En Lookahead",IF(P4898="Sí","INCORPORAR",""))</f>
        <v/>
      </c>
    </row>
    <row r="4899" customFormat="false" ht="15" hidden="false" customHeight="false" outlineLevel="0" collapsed="false">
      <c r="A4899" s="16" t="s">
        <v>15187</v>
      </c>
      <c r="B4899" s="16" t="n">
        <v>4894</v>
      </c>
      <c r="C4899" s="16" t="s">
        <v>15188</v>
      </c>
      <c r="D4899" s="16" t="n">
        <v>8</v>
      </c>
      <c r="E4899" s="39" t="s">
        <v>15189</v>
      </c>
      <c r="F4899" s="16" t="s">
        <v>1285</v>
      </c>
      <c r="G4899" s="16" t="s">
        <v>1063</v>
      </c>
      <c r="H4899" s="16" t="s">
        <v>14297</v>
      </c>
      <c r="I4899" s="16" t="s">
        <v>136</v>
      </c>
      <c r="J4899" s="16" t="s">
        <v>15172</v>
      </c>
      <c r="K4899" s="32" t="n">
        <v>50</v>
      </c>
      <c r="L4899" s="33" t="n">
        <v>46541</v>
      </c>
      <c r="M4899" s="33" t="n">
        <v>46590</v>
      </c>
      <c r="N4899" s="16" t="s">
        <v>14652</v>
      </c>
      <c r="O4899" s="16" t="s">
        <v>1299</v>
      </c>
      <c r="P4899" s="16" t="str">
        <f aca="false">IF(AND(L4899&lt;=$D$2,M4899&gt;=$C$2),"Sí","")</f>
        <v/>
      </c>
      <c r="Q4899" s="18" t="str">
        <f aca="false">IF(COUNTIF(LOOKAHEAD!$A$5:$A$604,A4899)&gt;0,"En Lookahead",IF(P4899="Sí","INCORPORAR",""))</f>
        <v/>
      </c>
    </row>
    <row r="4900" customFormat="false" ht="15" hidden="false" customHeight="false" outlineLevel="0" collapsed="false">
      <c r="A4900" s="16" t="s">
        <v>15190</v>
      </c>
      <c r="B4900" s="16" t="n">
        <v>4895</v>
      </c>
      <c r="C4900" s="16" t="s">
        <v>15191</v>
      </c>
      <c r="D4900" s="16" t="n">
        <v>8</v>
      </c>
      <c r="E4900" s="39" t="s">
        <v>15192</v>
      </c>
      <c r="F4900" s="16" t="s">
        <v>1285</v>
      </c>
      <c r="G4900" s="16" t="s">
        <v>1063</v>
      </c>
      <c r="H4900" s="16" t="s">
        <v>14297</v>
      </c>
      <c r="I4900" s="16" t="s">
        <v>136</v>
      </c>
      <c r="J4900" s="16" t="s">
        <v>15172</v>
      </c>
      <c r="K4900" s="32" t="n">
        <v>50</v>
      </c>
      <c r="L4900" s="33" t="n">
        <v>46541</v>
      </c>
      <c r="M4900" s="33" t="n">
        <v>46590</v>
      </c>
      <c r="N4900" s="16" t="s">
        <v>14652</v>
      </c>
      <c r="O4900" s="16" t="s">
        <v>1299</v>
      </c>
      <c r="P4900" s="16" t="str">
        <f aca="false">IF(AND(L4900&lt;=$D$2,M4900&gt;=$C$2),"Sí","")</f>
        <v/>
      </c>
      <c r="Q4900" s="18" t="str">
        <f aca="false">IF(COUNTIF(LOOKAHEAD!$A$5:$A$604,A4900)&gt;0,"En Lookahead",IF(P4900="Sí","INCORPORAR",""))</f>
        <v/>
      </c>
    </row>
    <row r="4901" customFormat="false" ht="15" hidden="false" customHeight="false" outlineLevel="0" collapsed="false">
      <c r="A4901" s="16" t="s">
        <v>15193</v>
      </c>
      <c r="B4901" s="16" t="n">
        <v>4896</v>
      </c>
      <c r="C4901" s="16" t="s">
        <v>15194</v>
      </c>
      <c r="D4901" s="16" t="n">
        <v>8</v>
      </c>
      <c r="E4901" s="39" t="s">
        <v>15195</v>
      </c>
      <c r="F4901" s="16" t="s">
        <v>1285</v>
      </c>
      <c r="G4901" s="16" t="s">
        <v>1063</v>
      </c>
      <c r="H4901" s="16" t="s">
        <v>14297</v>
      </c>
      <c r="I4901" s="16" t="s">
        <v>136</v>
      </c>
      <c r="J4901" s="16" t="s">
        <v>15172</v>
      </c>
      <c r="K4901" s="32" t="n">
        <v>50</v>
      </c>
      <c r="L4901" s="33" t="n">
        <v>46541</v>
      </c>
      <c r="M4901" s="33" t="n">
        <v>46590</v>
      </c>
      <c r="N4901" s="16" t="s">
        <v>14652</v>
      </c>
      <c r="O4901" s="16" t="s">
        <v>1299</v>
      </c>
      <c r="P4901" s="16" t="str">
        <f aca="false">IF(AND(L4901&lt;=$D$2,M4901&gt;=$C$2),"Sí","")</f>
        <v/>
      </c>
      <c r="Q4901" s="18" t="str">
        <f aca="false">IF(COUNTIF(LOOKAHEAD!$A$5:$A$604,A4901)&gt;0,"En Lookahead",IF(P4901="Sí","INCORPORAR",""))</f>
        <v/>
      </c>
    </row>
    <row r="4902" customFormat="false" ht="15" hidden="false" customHeight="false" outlineLevel="0" collapsed="false">
      <c r="A4902" s="16" t="s">
        <v>15196</v>
      </c>
      <c r="B4902" s="16" t="n">
        <v>4897</v>
      </c>
      <c r="C4902" s="16" t="s">
        <v>15197</v>
      </c>
      <c r="D4902" s="16" t="n">
        <v>8</v>
      </c>
      <c r="E4902" s="39" t="s">
        <v>15198</v>
      </c>
      <c r="F4902" s="16" t="s">
        <v>1285</v>
      </c>
      <c r="G4902" s="16" t="s">
        <v>1063</v>
      </c>
      <c r="H4902" s="16" t="s">
        <v>14297</v>
      </c>
      <c r="I4902" s="16" t="s">
        <v>136</v>
      </c>
      <c r="J4902" s="16" t="s">
        <v>15172</v>
      </c>
      <c r="K4902" s="32" t="n">
        <v>50</v>
      </c>
      <c r="L4902" s="33" t="n">
        <v>46541</v>
      </c>
      <c r="M4902" s="33" t="n">
        <v>46590</v>
      </c>
      <c r="N4902" s="16" t="s">
        <v>14652</v>
      </c>
      <c r="O4902" s="16" t="s">
        <v>1299</v>
      </c>
      <c r="P4902" s="16" t="str">
        <f aca="false">IF(AND(L4902&lt;=$D$2,M4902&gt;=$C$2),"Sí","")</f>
        <v/>
      </c>
      <c r="Q4902" s="18" t="str">
        <f aca="false">IF(COUNTIF(LOOKAHEAD!$A$5:$A$604,A4902)&gt;0,"En Lookahead",IF(P4902="Sí","INCORPORAR",""))</f>
        <v/>
      </c>
    </row>
    <row r="4903" customFormat="false" ht="15" hidden="false" customHeight="false" outlineLevel="0" collapsed="false">
      <c r="A4903" s="16" t="s">
        <v>15199</v>
      </c>
      <c r="B4903" s="16" t="n">
        <v>4898</v>
      </c>
      <c r="C4903" s="16" t="s">
        <v>15200</v>
      </c>
      <c r="D4903" s="16" t="n">
        <v>8</v>
      </c>
      <c r="E4903" s="39" t="s">
        <v>15201</v>
      </c>
      <c r="F4903" s="16" t="s">
        <v>1285</v>
      </c>
      <c r="G4903" s="16" t="s">
        <v>1063</v>
      </c>
      <c r="H4903" s="16" t="s">
        <v>14297</v>
      </c>
      <c r="I4903" s="16" t="s">
        <v>136</v>
      </c>
      <c r="J4903" s="16" t="s">
        <v>15172</v>
      </c>
      <c r="K4903" s="32" t="n">
        <v>50</v>
      </c>
      <c r="L4903" s="33" t="n">
        <v>46541</v>
      </c>
      <c r="M4903" s="33" t="n">
        <v>46590</v>
      </c>
      <c r="N4903" s="16" t="s">
        <v>14652</v>
      </c>
      <c r="O4903" s="16" t="s">
        <v>1299</v>
      </c>
      <c r="P4903" s="16" t="str">
        <f aca="false">IF(AND(L4903&lt;=$D$2,M4903&gt;=$C$2),"Sí","")</f>
        <v/>
      </c>
      <c r="Q4903" s="18" t="str">
        <f aca="false">IF(COUNTIF(LOOKAHEAD!$A$5:$A$604,A4903)&gt;0,"En Lookahead",IF(P4903="Sí","INCORPORAR",""))</f>
        <v/>
      </c>
    </row>
    <row r="4904" customFormat="false" ht="15" hidden="false" customHeight="false" outlineLevel="0" collapsed="false">
      <c r="A4904" s="13" t="s">
        <v>15202</v>
      </c>
      <c r="B4904" s="13" t="n">
        <v>4899</v>
      </c>
      <c r="C4904" s="13" t="s">
        <v>15203</v>
      </c>
      <c r="D4904" s="13" t="n">
        <v>6</v>
      </c>
      <c r="E4904" s="36" t="s">
        <v>14565</v>
      </c>
      <c r="F4904" s="13" t="s">
        <v>1298</v>
      </c>
      <c r="G4904" s="13" t="s">
        <v>1063</v>
      </c>
      <c r="H4904" s="13" t="s">
        <v>14297</v>
      </c>
      <c r="I4904" s="13" t="s">
        <v>136</v>
      </c>
      <c r="J4904" s="13" t="s">
        <v>2225</v>
      </c>
      <c r="K4904" s="30" t="n">
        <v>50</v>
      </c>
      <c r="L4904" s="31" t="n">
        <v>46541</v>
      </c>
      <c r="M4904" s="31" t="n">
        <v>46590</v>
      </c>
      <c r="N4904" s="13"/>
      <c r="O4904" s="13" t="s">
        <v>1299</v>
      </c>
      <c r="P4904" s="13"/>
      <c r="Q4904" s="13"/>
    </row>
    <row r="4905" customFormat="false" ht="15" hidden="false" customHeight="false" outlineLevel="0" collapsed="false">
      <c r="A4905" s="13" t="s">
        <v>15204</v>
      </c>
      <c r="B4905" s="13" t="n">
        <v>4900</v>
      </c>
      <c r="C4905" s="13" t="s">
        <v>15205</v>
      </c>
      <c r="D4905" s="13" t="n">
        <v>7</v>
      </c>
      <c r="E4905" s="38" t="s">
        <v>15206</v>
      </c>
      <c r="F4905" s="13" t="s">
        <v>1298</v>
      </c>
      <c r="G4905" s="13" t="s">
        <v>1063</v>
      </c>
      <c r="H4905" s="13" t="s">
        <v>14297</v>
      </c>
      <c r="I4905" s="13" t="s">
        <v>136</v>
      </c>
      <c r="J4905" s="13" t="s">
        <v>14565</v>
      </c>
      <c r="K4905" s="30" t="n">
        <v>50</v>
      </c>
      <c r="L4905" s="31" t="n">
        <v>46541</v>
      </c>
      <c r="M4905" s="31" t="n">
        <v>46590</v>
      </c>
      <c r="N4905" s="13"/>
      <c r="O4905" s="13" t="s">
        <v>1299</v>
      </c>
      <c r="P4905" s="13"/>
      <c r="Q4905" s="13"/>
    </row>
    <row r="4906" customFormat="false" ht="15" hidden="false" customHeight="false" outlineLevel="0" collapsed="false">
      <c r="A4906" s="16" t="s">
        <v>15207</v>
      </c>
      <c r="B4906" s="16" t="n">
        <v>4901</v>
      </c>
      <c r="C4906" s="16" t="s">
        <v>15208</v>
      </c>
      <c r="D4906" s="16" t="n">
        <v>8</v>
      </c>
      <c r="E4906" s="39" t="s">
        <v>14308</v>
      </c>
      <c r="F4906" s="16" t="s">
        <v>1285</v>
      </c>
      <c r="G4906" s="16" t="s">
        <v>1063</v>
      </c>
      <c r="H4906" s="16" t="s">
        <v>14297</v>
      </c>
      <c r="I4906" s="16" t="s">
        <v>136</v>
      </c>
      <c r="J4906" s="16" t="s">
        <v>15206</v>
      </c>
      <c r="K4906" s="32" t="n">
        <v>50</v>
      </c>
      <c r="L4906" s="33" t="n">
        <v>46541</v>
      </c>
      <c r="M4906" s="33" t="n">
        <v>46590</v>
      </c>
      <c r="N4906" s="16" t="s">
        <v>14652</v>
      </c>
      <c r="O4906" s="16" t="s">
        <v>1299</v>
      </c>
      <c r="P4906" s="16" t="str">
        <f aca="false">IF(AND(L4906&lt;=$D$2,M4906&gt;=$C$2),"Sí","")</f>
        <v/>
      </c>
      <c r="Q4906" s="18" t="str">
        <f aca="false">IF(COUNTIF(LOOKAHEAD!$A$5:$A$604,A4906)&gt;0,"En Lookahead",IF(P4906="Sí","INCORPORAR",""))</f>
        <v/>
      </c>
    </row>
    <row r="4907" customFormat="false" ht="15" hidden="false" customHeight="false" outlineLevel="0" collapsed="false">
      <c r="A4907" s="16" t="s">
        <v>15209</v>
      </c>
      <c r="B4907" s="16" t="n">
        <v>4902</v>
      </c>
      <c r="C4907" s="16" t="s">
        <v>15210</v>
      </c>
      <c r="D4907" s="16" t="n">
        <v>8</v>
      </c>
      <c r="E4907" s="39" t="s">
        <v>14518</v>
      </c>
      <c r="F4907" s="16" t="s">
        <v>1285</v>
      </c>
      <c r="G4907" s="16" t="s">
        <v>1063</v>
      </c>
      <c r="H4907" s="16" t="s">
        <v>14297</v>
      </c>
      <c r="I4907" s="16" t="s">
        <v>136</v>
      </c>
      <c r="J4907" s="16" t="s">
        <v>15206</v>
      </c>
      <c r="K4907" s="32" t="n">
        <v>50</v>
      </c>
      <c r="L4907" s="33" t="n">
        <v>46541</v>
      </c>
      <c r="M4907" s="33" t="n">
        <v>46590</v>
      </c>
      <c r="N4907" s="16" t="s">
        <v>14652</v>
      </c>
      <c r="O4907" s="16" t="s">
        <v>1299</v>
      </c>
      <c r="P4907" s="16" t="str">
        <f aca="false">IF(AND(L4907&lt;=$D$2,M4907&gt;=$C$2),"Sí","")</f>
        <v/>
      </c>
      <c r="Q4907" s="18" t="str">
        <f aca="false">IF(COUNTIF(LOOKAHEAD!$A$5:$A$604,A4907)&gt;0,"En Lookahead",IF(P4907="Sí","INCORPORAR",""))</f>
        <v/>
      </c>
    </row>
    <row r="4908" customFormat="false" ht="15" hidden="false" customHeight="false" outlineLevel="0" collapsed="false">
      <c r="A4908" s="16" t="s">
        <v>15211</v>
      </c>
      <c r="B4908" s="16" t="n">
        <v>4903</v>
      </c>
      <c r="C4908" s="16" t="s">
        <v>15212</v>
      </c>
      <c r="D4908" s="16" t="n">
        <v>8</v>
      </c>
      <c r="E4908" s="39" t="s">
        <v>14484</v>
      </c>
      <c r="F4908" s="16" t="s">
        <v>1285</v>
      </c>
      <c r="G4908" s="16" t="s">
        <v>1063</v>
      </c>
      <c r="H4908" s="16" t="s">
        <v>14297</v>
      </c>
      <c r="I4908" s="16" t="s">
        <v>136</v>
      </c>
      <c r="J4908" s="16" t="s">
        <v>15206</v>
      </c>
      <c r="K4908" s="32" t="n">
        <v>50</v>
      </c>
      <c r="L4908" s="33" t="n">
        <v>46541</v>
      </c>
      <c r="M4908" s="33" t="n">
        <v>46590</v>
      </c>
      <c r="N4908" s="16" t="s">
        <v>14652</v>
      </c>
      <c r="O4908" s="16" t="s">
        <v>1299</v>
      </c>
      <c r="P4908" s="16" t="str">
        <f aca="false">IF(AND(L4908&lt;=$D$2,M4908&gt;=$C$2),"Sí","")</f>
        <v/>
      </c>
      <c r="Q4908" s="18" t="str">
        <f aca="false">IF(COUNTIF(LOOKAHEAD!$A$5:$A$604,A4908)&gt;0,"En Lookahead",IF(P4908="Sí","INCORPORAR",""))</f>
        <v/>
      </c>
    </row>
    <row r="4909" customFormat="false" ht="15" hidden="false" customHeight="false" outlineLevel="0" collapsed="false">
      <c r="A4909" s="16" t="s">
        <v>15213</v>
      </c>
      <c r="B4909" s="16" t="n">
        <v>4904</v>
      </c>
      <c r="C4909" s="16" t="s">
        <v>15214</v>
      </c>
      <c r="D4909" s="16" t="n">
        <v>8</v>
      </c>
      <c r="E4909" s="39" t="s">
        <v>14316</v>
      </c>
      <c r="F4909" s="16" t="s">
        <v>1285</v>
      </c>
      <c r="G4909" s="16" t="s">
        <v>1063</v>
      </c>
      <c r="H4909" s="16" t="s">
        <v>14297</v>
      </c>
      <c r="I4909" s="16" t="s">
        <v>136</v>
      </c>
      <c r="J4909" s="16" t="s">
        <v>15206</v>
      </c>
      <c r="K4909" s="32" t="n">
        <v>50</v>
      </c>
      <c r="L4909" s="33" t="n">
        <v>46541</v>
      </c>
      <c r="M4909" s="33" t="n">
        <v>46590</v>
      </c>
      <c r="N4909" s="16" t="s">
        <v>14652</v>
      </c>
      <c r="O4909" s="16" t="s">
        <v>1299</v>
      </c>
      <c r="P4909" s="16" t="str">
        <f aca="false">IF(AND(L4909&lt;=$D$2,M4909&gt;=$C$2),"Sí","")</f>
        <v/>
      </c>
      <c r="Q4909" s="18" t="str">
        <f aca="false">IF(COUNTIF(LOOKAHEAD!$A$5:$A$604,A4909)&gt;0,"En Lookahead",IF(P4909="Sí","INCORPORAR",""))</f>
        <v/>
      </c>
    </row>
    <row r="4910" customFormat="false" ht="15" hidden="false" customHeight="false" outlineLevel="0" collapsed="false">
      <c r="A4910" s="16" t="s">
        <v>15215</v>
      </c>
      <c r="B4910" s="16" t="n">
        <v>4905</v>
      </c>
      <c r="C4910" s="16" t="s">
        <v>15216</v>
      </c>
      <c r="D4910" s="16" t="n">
        <v>8</v>
      </c>
      <c r="E4910" s="39" t="s">
        <v>14319</v>
      </c>
      <c r="F4910" s="16" t="s">
        <v>1285</v>
      </c>
      <c r="G4910" s="16" t="s">
        <v>1063</v>
      </c>
      <c r="H4910" s="16" t="s">
        <v>14297</v>
      </c>
      <c r="I4910" s="16" t="s">
        <v>136</v>
      </c>
      <c r="J4910" s="16" t="s">
        <v>15206</v>
      </c>
      <c r="K4910" s="32" t="n">
        <v>50</v>
      </c>
      <c r="L4910" s="33" t="n">
        <v>46541</v>
      </c>
      <c r="M4910" s="33" t="n">
        <v>46590</v>
      </c>
      <c r="N4910" s="16" t="s">
        <v>14652</v>
      </c>
      <c r="O4910" s="16" t="s">
        <v>1299</v>
      </c>
      <c r="P4910" s="16" t="str">
        <f aca="false">IF(AND(L4910&lt;=$D$2,M4910&gt;=$C$2),"Sí","")</f>
        <v/>
      </c>
      <c r="Q4910" s="18" t="str">
        <f aca="false">IF(COUNTIF(LOOKAHEAD!$A$5:$A$604,A4910)&gt;0,"En Lookahead",IF(P4910="Sí","INCORPORAR",""))</f>
        <v/>
      </c>
    </row>
    <row r="4911" customFormat="false" ht="15" hidden="false" customHeight="false" outlineLevel="0" collapsed="false">
      <c r="A4911" s="16" t="s">
        <v>15217</v>
      </c>
      <c r="B4911" s="16" t="n">
        <v>4906</v>
      </c>
      <c r="C4911" s="16" t="s">
        <v>15218</v>
      </c>
      <c r="D4911" s="16" t="n">
        <v>8</v>
      </c>
      <c r="E4911" s="39" t="s">
        <v>14322</v>
      </c>
      <c r="F4911" s="16" t="s">
        <v>1285</v>
      </c>
      <c r="G4911" s="16" t="s">
        <v>1063</v>
      </c>
      <c r="H4911" s="16" t="s">
        <v>14297</v>
      </c>
      <c r="I4911" s="16" t="s">
        <v>136</v>
      </c>
      <c r="J4911" s="16" t="s">
        <v>15206</v>
      </c>
      <c r="K4911" s="32" t="n">
        <v>50</v>
      </c>
      <c r="L4911" s="33" t="n">
        <v>46541</v>
      </c>
      <c r="M4911" s="33" t="n">
        <v>46590</v>
      </c>
      <c r="N4911" s="16" t="s">
        <v>14652</v>
      </c>
      <c r="O4911" s="16" t="s">
        <v>1299</v>
      </c>
      <c r="P4911" s="16" t="str">
        <f aca="false">IF(AND(L4911&lt;=$D$2,M4911&gt;=$C$2),"Sí","")</f>
        <v/>
      </c>
      <c r="Q4911" s="18" t="str">
        <f aca="false">IF(COUNTIF(LOOKAHEAD!$A$5:$A$604,A4911)&gt;0,"En Lookahead",IF(P4911="Sí","INCORPORAR",""))</f>
        <v/>
      </c>
    </row>
    <row r="4912" customFormat="false" ht="15" hidden="false" customHeight="false" outlineLevel="0" collapsed="false">
      <c r="A4912" s="16" t="s">
        <v>15219</v>
      </c>
      <c r="B4912" s="16" t="n">
        <v>4907</v>
      </c>
      <c r="C4912" s="16" t="s">
        <v>15220</v>
      </c>
      <c r="D4912" s="16" t="n">
        <v>8</v>
      </c>
      <c r="E4912" s="39" t="s">
        <v>14403</v>
      </c>
      <c r="F4912" s="16" t="s">
        <v>1285</v>
      </c>
      <c r="G4912" s="16" t="s">
        <v>1063</v>
      </c>
      <c r="H4912" s="16" t="s">
        <v>14297</v>
      </c>
      <c r="I4912" s="16" t="s">
        <v>136</v>
      </c>
      <c r="J4912" s="16" t="s">
        <v>15206</v>
      </c>
      <c r="K4912" s="32" t="n">
        <v>50</v>
      </c>
      <c r="L4912" s="33" t="n">
        <v>46541</v>
      </c>
      <c r="M4912" s="33" t="n">
        <v>46590</v>
      </c>
      <c r="N4912" s="16" t="s">
        <v>14652</v>
      </c>
      <c r="O4912" s="16" t="s">
        <v>1299</v>
      </c>
      <c r="P4912" s="16" t="str">
        <f aca="false">IF(AND(L4912&lt;=$D$2,M4912&gt;=$C$2),"Sí","")</f>
        <v/>
      </c>
      <c r="Q4912" s="18" t="str">
        <f aca="false">IF(COUNTIF(LOOKAHEAD!$A$5:$A$604,A4912)&gt;0,"En Lookahead",IF(P4912="Sí","INCORPORAR",""))</f>
        <v/>
      </c>
    </row>
    <row r="4913" customFormat="false" ht="15" hidden="false" customHeight="false" outlineLevel="0" collapsed="false">
      <c r="A4913" s="16" t="s">
        <v>15221</v>
      </c>
      <c r="B4913" s="16" t="n">
        <v>4908</v>
      </c>
      <c r="C4913" s="16" t="s">
        <v>15222</v>
      </c>
      <c r="D4913" s="16" t="n">
        <v>8</v>
      </c>
      <c r="E4913" s="39" t="s">
        <v>14325</v>
      </c>
      <c r="F4913" s="16" t="s">
        <v>1285</v>
      </c>
      <c r="G4913" s="16" t="s">
        <v>1063</v>
      </c>
      <c r="H4913" s="16" t="s">
        <v>14297</v>
      </c>
      <c r="I4913" s="16" t="s">
        <v>136</v>
      </c>
      <c r="J4913" s="16" t="s">
        <v>15206</v>
      </c>
      <c r="K4913" s="32" t="n">
        <v>50</v>
      </c>
      <c r="L4913" s="33" t="n">
        <v>46541</v>
      </c>
      <c r="M4913" s="33" t="n">
        <v>46590</v>
      </c>
      <c r="N4913" s="16" t="s">
        <v>14652</v>
      </c>
      <c r="O4913" s="16" t="s">
        <v>1299</v>
      </c>
      <c r="P4913" s="16" t="str">
        <f aca="false">IF(AND(L4913&lt;=$D$2,M4913&gt;=$C$2),"Sí","")</f>
        <v/>
      </c>
      <c r="Q4913" s="18" t="str">
        <f aca="false">IF(COUNTIF(LOOKAHEAD!$A$5:$A$604,A4913)&gt;0,"En Lookahead",IF(P4913="Sí","INCORPORAR",""))</f>
        <v/>
      </c>
    </row>
    <row r="4914" customFormat="false" ht="15" hidden="false" customHeight="false" outlineLevel="0" collapsed="false">
      <c r="A4914" s="16" t="s">
        <v>15223</v>
      </c>
      <c r="B4914" s="16" t="n">
        <v>4909</v>
      </c>
      <c r="C4914" s="16" t="s">
        <v>15224</v>
      </c>
      <c r="D4914" s="16" t="n">
        <v>8</v>
      </c>
      <c r="E4914" s="39" t="s">
        <v>14671</v>
      </c>
      <c r="F4914" s="16" t="s">
        <v>1285</v>
      </c>
      <c r="G4914" s="16" t="s">
        <v>1063</v>
      </c>
      <c r="H4914" s="16" t="s">
        <v>14297</v>
      </c>
      <c r="I4914" s="16" t="s">
        <v>136</v>
      </c>
      <c r="J4914" s="16" t="s">
        <v>15206</v>
      </c>
      <c r="K4914" s="32" t="n">
        <v>50</v>
      </c>
      <c r="L4914" s="33" t="n">
        <v>46541</v>
      </c>
      <c r="M4914" s="33" t="n">
        <v>46590</v>
      </c>
      <c r="N4914" s="16" t="s">
        <v>14652</v>
      </c>
      <c r="O4914" s="16" t="s">
        <v>1299</v>
      </c>
      <c r="P4914" s="16" t="str">
        <f aca="false">IF(AND(L4914&lt;=$D$2,M4914&gt;=$C$2),"Sí","")</f>
        <v/>
      </c>
      <c r="Q4914" s="18" t="str">
        <f aca="false">IF(COUNTIF(LOOKAHEAD!$A$5:$A$604,A4914)&gt;0,"En Lookahead",IF(P4914="Sí","INCORPORAR",""))</f>
        <v/>
      </c>
    </row>
    <row r="4915" customFormat="false" ht="15" hidden="false" customHeight="false" outlineLevel="0" collapsed="false">
      <c r="A4915" s="16" t="s">
        <v>15225</v>
      </c>
      <c r="B4915" s="16" t="n">
        <v>4910</v>
      </c>
      <c r="C4915" s="16" t="s">
        <v>15226</v>
      </c>
      <c r="D4915" s="16" t="n">
        <v>8</v>
      </c>
      <c r="E4915" s="39" t="s">
        <v>14948</v>
      </c>
      <c r="F4915" s="16" t="s">
        <v>1285</v>
      </c>
      <c r="G4915" s="16" t="s">
        <v>1063</v>
      </c>
      <c r="H4915" s="16" t="s">
        <v>14297</v>
      </c>
      <c r="I4915" s="16" t="s">
        <v>136</v>
      </c>
      <c r="J4915" s="16" t="s">
        <v>15206</v>
      </c>
      <c r="K4915" s="32" t="n">
        <v>50</v>
      </c>
      <c r="L4915" s="33" t="n">
        <v>46541</v>
      </c>
      <c r="M4915" s="33" t="n">
        <v>46590</v>
      </c>
      <c r="N4915" s="16" t="s">
        <v>14652</v>
      </c>
      <c r="O4915" s="16" t="s">
        <v>1299</v>
      </c>
      <c r="P4915" s="16" t="str">
        <f aca="false">IF(AND(L4915&lt;=$D$2,M4915&gt;=$C$2),"Sí","")</f>
        <v/>
      </c>
      <c r="Q4915" s="18" t="str">
        <f aca="false">IF(COUNTIF(LOOKAHEAD!$A$5:$A$604,A4915)&gt;0,"En Lookahead",IF(P4915="Sí","INCORPORAR",""))</f>
        <v/>
      </c>
    </row>
    <row r="4916" customFormat="false" ht="15" hidden="false" customHeight="false" outlineLevel="0" collapsed="false">
      <c r="A4916" s="16" t="s">
        <v>15227</v>
      </c>
      <c r="B4916" s="16" t="n">
        <v>4911</v>
      </c>
      <c r="C4916" s="16" t="s">
        <v>15228</v>
      </c>
      <c r="D4916" s="16" t="n">
        <v>8</v>
      </c>
      <c r="E4916" s="39" t="s">
        <v>15229</v>
      </c>
      <c r="F4916" s="16" t="s">
        <v>1285</v>
      </c>
      <c r="G4916" s="16" t="s">
        <v>1063</v>
      </c>
      <c r="H4916" s="16" t="s">
        <v>14297</v>
      </c>
      <c r="I4916" s="16" t="s">
        <v>136</v>
      </c>
      <c r="J4916" s="16" t="s">
        <v>15206</v>
      </c>
      <c r="K4916" s="32" t="n">
        <v>50</v>
      </c>
      <c r="L4916" s="33" t="n">
        <v>46541</v>
      </c>
      <c r="M4916" s="33" t="n">
        <v>46590</v>
      </c>
      <c r="N4916" s="16" t="s">
        <v>14652</v>
      </c>
      <c r="O4916" s="16" t="s">
        <v>1299</v>
      </c>
      <c r="P4916" s="16" t="str">
        <f aca="false">IF(AND(L4916&lt;=$D$2,M4916&gt;=$C$2),"Sí","")</f>
        <v/>
      </c>
      <c r="Q4916" s="18" t="str">
        <f aca="false">IF(COUNTIF(LOOKAHEAD!$A$5:$A$604,A4916)&gt;0,"En Lookahead",IF(P4916="Sí","INCORPORAR",""))</f>
        <v/>
      </c>
    </row>
    <row r="4917" customFormat="false" ht="15" hidden="false" customHeight="false" outlineLevel="0" collapsed="false">
      <c r="A4917" s="16" t="s">
        <v>15230</v>
      </c>
      <c r="B4917" s="16" t="n">
        <v>4912</v>
      </c>
      <c r="C4917" s="16" t="s">
        <v>15231</v>
      </c>
      <c r="D4917" s="16" t="n">
        <v>8</v>
      </c>
      <c r="E4917" s="39" t="s">
        <v>15232</v>
      </c>
      <c r="F4917" s="16" t="s">
        <v>1285</v>
      </c>
      <c r="G4917" s="16" t="s">
        <v>1063</v>
      </c>
      <c r="H4917" s="16" t="s">
        <v>14297</v>
      </c>
      <c r="I4917" s="16" t="s">
        <v>136</v>
      </c>
      <c r="J4917" s="16" t="s">
        <v>15206</v>
      </c>
      <c r="K4917" s="32" t="n">
        <v>50</v>
      </c>
      <c r="L4917" s="33" t="n">
        <v>46541</v>
      </c>
      <c r="M4917" s="33" t="n">
        <v>46590</v>
      </c>
      <c r="N4917" s="16" t="s">
        <v>14652</v>
      </c>
      <c r="O4917" s="16" t="s">
        <v>1299</v>
      </c>
      <c r="P4917" s="16" t="str">
        <f aca="false">IF(AND(L4917&lt;=$D$2,M4917&gt;=$C$2),"Sí","")</f>
        <v/>
      </c>
      <c r="Q4917" s="18" t="str">
        <f aca="false">IF(COUNTIF(LOOKAHEAD!$A$5:$A$604,A4917)&gt;0,"En Lookahead",IF(P4917="Sí","INCORPORAR",""))</f>
        <v/>
      </c>
    </row>
    <row r="4918" customFormat="false" ht="15" hidden="false" customHeight="false" outlineLevel="0" collapsed="false">
      <c r="A4918" s="16" t="s">
        <v>15233</v>
      </c>
      <c r="B4918" s="16" t="n">
        <v>4913</v>
      </c>
      <c r="C4918" s="16" t="s">
        <v>15234</v>
      </c>
      <c r="D4918" s="16" t="n">
        <v>8</v>
      </c>
      <c r="E4918" s="39" t="s">
        <v>15235</v>
      </c>
      <c r="F4918" s="16" t="s">
        <v>1285</v>
      </c>
      <c r="G4918" s="16" t="s">
        <v>1063</v>
      </c>
      <c r="H4918" s="16" t="s">
        <v>14297</v>
      </c>
      <c r="I4918" s="16" t="s">
        <v>136</v>
      </c>
      <c r="J4918" s="16" t="s">
        <v>15206</v>
      </c>
      <c r="K4918" s="32" t="n">
        <v>50</v>
      </c>
      <c r="L4918" s="33" t="n">
        <v>46541</v>
      </c>
      <c r="M4918" s="33" t="n">
        <v>46590</v>
      </c>
      <c r="N4918" s="16" t="s">
        <v>14652</v>
      </c>
      <c r="O4918" s="16" t="s">
        <v>1299</v>
      </c>
      <c r="P4918" s="16" t="str">
        <f aca="false">IF(AND(L4918&lt;=$D$2,M4918&gt;=$C$2),"Sí","")</f>
        <v/>
      </c>
      <c r="Q4918" s="18" t="str">
        <f aca="false">IF(COUNTIF(LOOKAHEAD!$A$5:$A$604,A4918)&gt;0,"En Lookahead",IF(P4918="Sí","INCORPORAR",""))</f>
        <v/>
      </c>
    </row>
    <row r="4919" customFormat="false" ht="15" hidden="false" customHeight="false" outlineLevel="0" collapsed="false">
      <c r="A4919" s="16" t="s">
        <v>15236</v>
      </c>
      <c r="B4919" s="16" t="n">
        <v>4914</v>
      </c>
      <c r="C4919" s="16" t="s">
        <v>15237</v>
      </c>
      <c r="D4919" s="16" t="n">
        <v>8</v>
      </c>
      <c r="E4919" s="39" t="s">
        <v>15238</v>
      </c>
      <c r="F4919" s="16" t="s">
        <v>1285</v>
      </c>
      <c r="G4919" s="16" t="s">
        <v>1063</v>
      </c>
      <c r="H4919" s="16" t="s">
        <v>14297</v>
      </c>
      <c r="I4919" s="16" t="s">
        <v>136</v>
      </c>
      <c r="J4919" s="16" t="s">
        <v>15206</v>
      </c>
      <c r="K4919" s="32" t="n">
        <v>50</v>
      </c>
      <c r="L4919" s="33" t="n">
        <v>46541</v>
      </c>
      <c r="M4919" s="33" t="n">
        <v>46590</v>
      </c>
      <c r="N4919" s="16" t="s">
        <v>14652</v>
      </c>
      <c r="O4919" s="16" t="s">
        <v>1299</v>
      </c>
      <c r="P4919" s="16" t="str">
        <f aca="false">IF(AND(L4919&lt;=$D$2,M4919&gt;=$C$2),"Sí","")</f>
        <v/>
      </c>
      <c r="Q4919" s="18" t="str">
        <f aca="false">IF(COUNTIF(LOOKAHEAD!$A$5:$A$604,A4919)&gt;0,"En Lookahead",IF(P4919="Sí","INCORPORAR",""))</f>
        <v/>
      </c>
    </row>
    <row r="4920" customFormat="false" ht="15" hidden="false" customHeight="false" outlineLevel="0" collapsed="false">
      <c r="A4920" s="16" t="s">
        <v>15239</v>
      </c>
      <c r="B4920" s="16" t="n">
        <v>4915</v>
      </c>
      <c r="C4920" s="16" t="s">
        <v>15240</v>
      </c>
      <c r="D4920" s="16" t="n">
        <v>8</v>
      </c>
      <c r="E4920" s="39" t="s">
        <v>15241</v>
      </c>
      <c r="F4920" s="16" t="s">
        <v>1285</v>
      </c>
      <c r="G4920" s="16" t="s">
        <v>1063</v>
      </c>
      <c r="H4920" s="16" t="s">
        <v>14297</v>
      </c>
      <c r="I4920" s="16" t="s">
        <v>136</v>
      </c>
      <c r="J4920" s="16" t="s">
        <v>15206</v>
      </c>
      <c r="K4920" s="32" t="n">
        <v>50</v>
      </c>
      <c r="L4920" s="33" t="n">
        <v>46541</v>
      </c>
      <c r="M4920" s="33" t="n">
        <v>46590</v>
      </c>
      <c r="N4920" s="16" t="s">
        <v>14652</v>
      </c>
      <c r="O4920" s="16" t="s">
        <v>1299</v>
      </c>
      <c r="P4920" s="16" t="str">
        <f aca="false">IF(AND(L4920&lt;=$D$2,M4920&gt;=$C$2),"Sí","")</f>
        <v/>
      </c>
      <c r="Q4920" s="18" t="str">
        <f aca="false">IF(COUNTIF(LOOKAHEAD!$A$5:$A$604,A4920)&gt;0,"En Lookahead",IF(P4920="Sí","INCORPORAR",""))</f>
        <v/>
      </c>
    </row>
    <row r="4921" customFormat="false" ht="15" hidden="false" customHeight="false" outlineLevel="0" collapsed="false">
      <c r="A4921" s="16" t="s">
        <v>15242</v>
      </c>
      <c r="B4921" s="16" t="n">
        <v>4916</v>
      </c>
      <c r="C4921" s="16" t="s">
        <v>15243</v>
      </c>
      <c r="D4921" s="16" t="n">
        <v>8</v>
      </c>
      <c r="E4921" s="39" t="s">
        <v>15244</v>
      </c>
      <c r="F4921" s="16" t="s">
        <v>1285</v>
      </c>
      <c r="G4921" s="16" t="s">
        <v>1063</v>
      </c>
      <c r="H4921" s="16" t="s">
        <v>14297</v>
      </c>
      <c r="I4921" s="16" t="s">
        <v>136</v>
      </c>
      <c r="J4921" s="16" t="s">
        <v>15206</v>
      </c>
      <c r="K4921" s="32" t="n">
        <v>50</v>
      </c>
      <c r="L4921" s="33" t="n">
        <v>46541</v>
      </c>
      <c r="M4921" s="33" t="n">
        <v>46590</v>
      </c>
      <c r="N4921" s="16" t="s">
        <v>14652</v>
      </c>
      <c r="O4921" s="16" t="s">
        <v>1299</v>
      </c>
      <c r="P4921" s="16" t="str">
        <f aca="false">IF(AND(L4921&lt;=$D$2,M4921&gt;=$C$2),"Sí","")</f>
        <v/>
      </c>
      <c r="Q4921" s="18" t="str">
        <f aca="false">IF(COUNTIF(LOOKAHEAD!$A$5:$A$604,A4921)&gt;0,"En Lookahead",IF(P4921="Sí","INCORPORAR",""))</f>
        <v/>
      </c>
    </row>
    <row r="4922" customFormat="false" ht="15" hidden="false" customHeight="false" outlineLevel="0" collapsed="false">
      <c r="A4922" s="16" t="s">
        <v>15245</v>
      </c>
      <c r="B4922" s="16" t="n">
        <v>4917</v>
      </c>
      <c r="C4922" s="16" t="s">
        <v>15246</v>
      </c>
      <c r="D4922" s="16" t="n">
        <v>8</v>
      </c>
      <c r="E4922" s="39" t="s">
        <v>15247</v>
      </c>
      <c r="F4922" s="16" t="s">
        <v>1285</v>
      </c>
      <c r="G4922" s="16" t="s">
        <v>1063</v>
      </c>
      <c r="H4922" s="16" t="s">
        <v>14297</v>
      </c>
      <c r="I4922" s="16" t="s">
        <v>136</v>
      </c>
      <c r="J4922" s="16" t="s">
        <v>15206</v>
      </c>
      <c r="K4922" s="32" t="n">
        <v>50</v>
      </c>
      <c r="L4922" s="33" t="n">
        <v>46541</v>
      </c>
      <c r="M4922" s="33" t="n">
        <v>46590</v>
      </c>
      <c r="N4922" s="16" t="s">
        <v>14652</v>
      </c>
      <c r="O4922" s="16" t="s">
        <v>1299</v>
      </c>
      <c r="P4922" s="16" t="str">
        <f aca="false">IF(AND(L4922&lt;=$D$2,M4922&gt;=$C$2),"Sí","")</f>
        <v/>
      </c>
      <c r="Q4922" s="18" t="str">
        <f aca="false">IF(COUNTIF(LOOKAHEAD!$A$5:$A$604,A4922)&gt;0,"En Lookahead",IF(P4922="Sí","INCORPORAR",""))</f>
        <v/>
      </c>
    </row>
    <row r="4923" customFormat="false" ht="15" hidden="false" customHeight="false" outlineLevel="0" collapsed="false">
      <c r="A4923" s="13" t="s">
        <v>15248</v>
      </c>
      <c r="B4923" s="13" t="n">
        <v>4918</v>
      </c>
      <c r="C4923" s="13" t="s">
        <v>15249</v>
      </c>
      <c r="D4923" s="13" t="n">
        <v>7</v>
      </c>
      <c r="E4923" s="38" t="s">
        <v>15250</v>
      </c>
      <c r="F4923" s="13" t="s">
        <v>1298</v>
      </c>
      <c r="G4923" s="13" t="s">
        <v>1063</v>
      </c>
      <c r="H4923" s="13" t="s">
        <v>14297</v>
      </c>
      <c r="I4923" s="13" t="s">
        <v>136</v>
      </c>
      <c r="J4923" s="13" t="s">
        <v>14565</v>
      </c>
      <c r="K4923" s="30" t="n">
        <v>50</v>
      </c>
      <c r="L4923" s="31" t="n">
        <v>46541</v>
      </c>
      <c r="M4923" s="31" t="n">
        <v>46590</v>
      </c>
      <c r="N4923" s="13"/>
      <c r="O4923" s="13" t="s">
        <v>1299</v>
      </c>
      <c r="P4923" s="13"/>
      <c r="Q4923" s="13"/>
    </row>
    <row r="4924" customFormat="false" ht="15" hidden="false" customHeight="false" outlineLevel="0" collapsed="false">
      <c r="A4924" s="16" t="s">
        <v>15251</v>
      </c>
      <c r="B4924" s="16" t="n">
        <v>4919</v>
      </c>
      <c r="C4924" s="16" t="s">
        <v>15252</v>
      </c>
      <c r="D4924" s="16" t="n">
        <v>8</v>
      </c>
      <c r="E4924" s="39" t="s">
        <v>14308</v>
      </c>
      <c r="F4924" s="16" t="s">
        <v>1285</v>
      </c>
      <c r="G4924" s="16" t="s">
        <v>1063</v>
      </c>
      <c r="H4924" s="16" t="s">
        <v>14297</v>
      </c>
      <c r="I4924" s="16" t="s">
        <v>136</v>
      </c>
      <c r="J4924" s="16" t="s">
        <v>15250</v>
      </c>
      <c r="K4924" s="32" t="n">
        <v>50</v>
      </c>
      <c r="L4924" s="33" t="n">
        <v>46541</v>
      </c>
      <c r="M4924" s="33" t="n">
        <v>46590</v>
      </c>
      <c r="N4924" s="16" t="s">
        <v>14652</v>
      </c>
      <c r="O4924" s="16" t="s">
        <v>1299</v>
      </c>
      <c r="P4924" s="16" t="str">
        <f aca="false">IF(AND(L4924&lt;=$D$2,M4924&gt;=$C$2),"Sí","")</f>
        <v/>
      </c>
      <c r="Q4924" s="18" t="str">
        <f aca="false">IF(COUNTIF(LOOKAHEAD!$A$5:$A$604,A4924)&gt;0,"En Lookahead",IF(P4924="Sí","INCORPORAR",""))</f>
        <v/>
      </c>
    </row>
    <row r="4925" customFormat="false" ht="15" hidden="false" customHeight="false" outlineLevel="0" collapsed="false">
      <c r="A4925" s="16" t="s">
        <v>15253</v>
      </c>
      <c r="B4925" s="16" t="n">
        <v>4920</v>
      </c>
      <c r="C4925" s="16" t="s">
        <v>15254</v>
      </c>
      <c r="D4925" s="16" t="n">
        <v>8</v>
      </c>
      <c r="E4925" s="39" t="s">
        <v>14392</v>
      </c>
      <c r="F4925" s="16" t="s">
        <v>1285</v>
      </c>
      <c r="G4925" s="16" t="s">
        <v>1063</v>
      </c>
      <c r="H4925" s="16" t="s">
        <v>14297</v>
      </c>
      <c r="I4925" s="16" t="s">
        <v>136</v>
      </c>
      <c r="J4925" s="16" t="s">
        <v>15250</v>
      </c>
      <c r="K4925" s="32" t="n">
        <v>50</v>
      </c>
      <c r="L4925" s="33" t="n">
        <v>46541</v>
      </c>
      <c r="M4925" s="33" t="n">
        <v>46590</v>
      </c>
      <c r="N4925" s="16" t="s">
        <v>14652</v>
      </c>
      <c r="O4925" s="16" t="s">
        <v>1299</v>
      </c>
      <c r="P4925" s="16" t="str">
        <f aca="false">IF(AND(L4925&lt;=$D$2,M4925&gt;=$C$2),"Sí","")</f>
        <v/>
      </c>
      <c r="Q4925" s="18" t="str">
        <f aca="false">IF(COUNTIF(LOOKAHEAD!$A$5:$A$604,A4925)&gt;0,"En Lookahead",IF(P4925="Sí","INCORPORAR",""))</f>
        <v/>
      </c>
    </row>
    <row r="4926" customFormat="false" ht="15" hidden="false" customHeight="false" outlineLevel="0" collapsed="false">
      <c r="A4926" s="16" t="s">
        <v>15255</v>
      </c>
      <c r="B4926" s="16" t="n">
        <v>4921</v>
      </c>
      <c r="C4926" s="16" t="s">
        <v>15256</v>
      </c>
      <c r="D4926" s="16" t="n">
        <v>8</v>
      </c>
      <c r="E4926" s="39" t="s">
        <v>14484</v>
      </c>
      <c r="F4926" s="16" t="s">
        <v>1285</v>
      </c>
      <c r="G4926" s="16" t="s">
        <v>1063</v>
      </c>
      <c r="H4926" s="16" t="s">
        <v>14297</v>
      </c>
      <c r="I4926" s="16" t="s">
        <v>136</v>
      </c>
      <c r="J4926" s="16" t="s">
        <v>15250</v>
      </c>
      <c r="K4926" s="32" t="n">
        <v>50</v>
      </c>
      <c r="L4926" s="33" t="n">
        <v>46541</v>
      </c>
      <c r="M4926" s="33" t="n">
        <v>46590</v>
      </c>
      <c r="N4926" s="16" t="s">
        <v>14652</v>
      </c>
      <c r="O4926" s="16" t="s">
        <v>1299</v>
      </c>
      <c r="P4926" s="16" t="str">
        <f aca="false">IF(AND(L4926&lt;=$D$2,M4926&gt;=$C$2),"Sí","")</f>
        <v/>
      </c>
      <c r="Q4926" s="18" t="str">
        <f aca="false">IF(COUNTIF(LOOKAHEAD!$A$5:$A$604,A4926)&gt;0,"En Lookahead",IF(P4926="Sí","INCORPORAR",""))</f>
        <v/>
      </c>
    </row>
    <row r="4927" customFormat="false" ht="15" hidden="false" customHeight="false" outlineLevel="0" collapsed="false">
      <c r="A4927" s="16" t="s">
        <v>15257</v>
      </c>
      <c r="B4927" s="16" t="n">
        <v>4922</v>
      </c>
      <c r="C4927" s="16" t="s">
        <v>15258</v>
      </c>
      <c r="D4927" s="16" t="n">
        <v>8</v>
      </c>
      <c r="E4927" s="39" t="s">
        <v>14316</v>
      </c>
      <c r="F4927" s="16" t="s">
        <v>1285</v>
      </c>
      <c r="G4927" s="16" t="s">
        <v>1063</v>
      </c>
      <c r="H4927" s="16" t="s">
        <v>14297</v>
      </c>
      <c r="I4927" s="16" t="s">
        <v>136</v>
      </c>
      <c r="J4927" s="16" t="s">
        <v>15250</v>
      </c>
      <c r="K4927" s="32" t="n">
        <v>50</v>
      </c>
      <c r="L4927" s="33" t="n">
        <v>46541</v>
      </c>
      <c r="M4927" s="33" t="n">
        <v>46590</v>
      </c>
      <c r="N4927" s="16" t="s">
        <v>14652</v>
      </c>
      <c r="O4927" s="16" t="s">
        <v>1299</v>
      </c>
      <c r="P4927" s="16" t="str">
        <f aca="false">IF(AND(L4927&lt;=$D$2,M4927&gt;=$C$2),"Sí","")</f>
        <v/>
      </c>
      <c r="Q4927" s="18" t="str">
        <f aca="false">IF(COUNTIF(LOOKAHEAD!$A$5:$A$604,A4927)&gt;0,"En Lookahead",IF(P4927="Sí","INCORPORAR",""))</f>
        <v/>
      </c>
    </row>
    <row r="4928" customFormat="false" ht="15" hidden="false" customHeight="false" outlineLevel="0" collapsed="false">
      <c r="A4928" s="16" t="s">
        <v>15259</v>
      </c>
      <c r="B4928" s="16" t="n">
        <v>4923</v>
      </c>
      <c r="C4928" s="16" t="s">
        <v>15260</v>
      </c>
      <c r="D4928" s="16" t="n">
        <v>8</v>
      </c>
      <c r="E4928" s="39" t="s">
        <v>14322</v>
      </c>
      <c r="F4928" s="16" t="s">
        <v>1285</v>
      </c>
      <c r="G4928" s="16" t="s">
        <v>1063</v>
      </c>
      <c r="H4928" s="16" t="s">
        <v>14297</v>
      </c>
      <c r="I4928" s="16" t="s">
        <v>136</v>
      </c>
      <c r="J4928" s="16" t="s">
        <v>15250</v>
      </c>
      <c r="K4928" s="32" t="n">
        <v>50</v>
      </c>
      <c r="L4928" s="33" t="n">
        <v>46541</v>
      </c>
      <c r="M4928" s="33" t="n">
        <v>46590</v>
      </c>
      <c r="N4928" s="16" t="s">
        <v>14652</v>
      </c>
      <c r="O4928" s="16" t="s">
        <v>1299</v>
      </c>
      <c r="P4928" s="16" t="str">
        <f aca="false">IF(AND(L4928&lt;=$D$2,M4928&gt;=$C$2),"Sí","")</f>
        <v/>
      </c>
      <c r="Q4928" s="18" t="str">
        <f aca="false">IF(COUNTIF(LOOKAHEAD!$A$5:$A$604,A4928)&gt;0,"En Lookahead",IF(P4928="Sí","INCORPORAR",""))</f>
        <v/>
      </c>
    </row>
    <row r="4929" customFormat="false" ht="15" hidden="false" customHeight="false" outlineLevel="0" collapsed="false">
      <c r="A4929" s="16" t="s">
        <v>15261</v>
      </c>
      <c r="B4929" s="16" t="n">
        <v>4924</v>
      </c>
      <c r="C4929" s="16" t="s">
        <v>15262</v>
      </c>
      <c r="D4929" s="16" t="n">
        <v>8</v>
      </c>
      <c r="E4929" s="39" t="s">
        <v>14325</v>
      </c>
      <c r="F4929" s="16" t="s">
        <v>1285</v>
      </c>
      <c r="G4929" s="16" t="s">
        <v>1063</v>
      </c>
      <c r="H4929" s="16" t="s">
        <v>14297</v>
      </c>
      <c r="I4929" s="16" t="s">
        <v>136</v>
      </c>
      <c r="J4929" s="16" t="s">
        <v>15250</v>
      </c>
      <c r="K4929" s="32" t="n">
        <v>50</v>
      </c>
      <c r="L4929" s="33" t="n">
        <v>46541</v>
      </c>
      <c r="M4929" s="33" t="n">
        <v>46590</v>
      </c>
      <c r="N4929" s="16" t="s">
        <v>14652</v>
      </c>
      <c r="O4929" s="16" t="s">
        <v>1299</v>
      </c>
      <c r="P4929" s="16" t="str">
        <f aca="false">IF(AND(L4929&lt;=$D$2,M4929&gt;=$C$2),"Sí","")</f>
        <v/>
      </c>
      <c r="Q4929" s="18" t="str">
        <f aca="false">IF(COUNTIF(LOOKAHEAD!$A$5:$A$604,A4929)&gt;0,"En Lookahead",IF(P4929="Sí","INCORPORAR",""))</f>
        <v/>
      </c>
    </row>
    <row r="4930" customFormat="false" ht="15" hidden="false" customHeight="false" outlineLevel="0" collapsed="false">
      <c r="A4930" s="16" t="s">
        <v>15263</v>
      </c>
      <c r="B4930" s="16" t="n">
        <v>4925</v>
      </c>
      <c r="C4930" s="16" t="s">
        <v>15264</v>
      </c>
      <c r="D4930" s="16" t="n">
        <v>8</v>
      </c>
      <c r="E4930" s="39" t="s">
        <v>14378</v>
      </c>
      <c r="F4930" s="16" t="s">
        <v>1285</v>
      </c>
      <c r="G4930" s="16" t="s">
        <v>1063</v>
      </c>
      <c r="H4930" s="16" t="s">
        <v>14297</v>
      </c>
      <c r="I4930" s="16" t="s">
        <v>136</v>
      </c>
      <c r="J4930" s="16" t="s">
        <v>15250</v>
      </c>
      <c r="K4930" s="32" t="n">
        <v>50</v>
      </c>
      <c r="L4930" s="33" t="n">
        <v>46541</v>
      </c>
      <c r="M4930" s="33" t="n">
        <v>46590</v>
      </c>
      <c r="N4930" s="16" t="s">
        <v>14652</v>
      </c>
      <c r="O4930" s="16" t="s">
        <v>1299</v>
      </c>
      <c r="P4930" s="16" t="str">
        <f aca="false">IF(AND(L4930&lt;=$D$2,M4930&gt;=$C$2),"Sí","")</f>
        <v/>
      </c>
      <c r="Q4930" s="18" t="str">
        <f aca="false">IF(COUNTIF(LOOKAHEAD!$A$5:$A$604,A4930)&gt;0,"En Lookahead",IF(P4930="Sí","INCORPORAR",""))</f>
        <v/>
      </c>
    </row>
    <row r="4931" customFormat="false" ht="15" hidden="false" customHeight="false" outlineLevel="0" collapsed="false">
      <c r="A4931" s="13" t="s">
        <v>15265</v>
      </c>
      <c r="B4931" s="13" t="n">
        <v>4926</v>
      </c>
      <c r="C4931" s="13" t="s">
        <v>15266</v>
      </c>
      <c r="D4931" s="13" t="n">
        <v>7</v>
      </c>
      <c r="E4931" s="38" t="s">
        <v>14509</v>
      </c>
      <c r="F4931" s="13" t="s">
        <v>1298</v>
      </c>
      <c r="G4931" s="13" t="s">
        <v>1063</v>
      </c>
      <c r="H4931" s="13" t="s">
        <v>14297</v>
      </c>
      <c r="I4931" s="13" t="s">
        <v>136</v>
      </c>
      <c r="J4931" s="13" t="s">
        <v>14565</v>
      </c>
      <c r="K4931" s="30" t="n">
        <v>50</v>
      </c>
      <c r="L4931" s="31" t="n">
        <v>46541</v>
      </c>
      <c r="M4931" s="31" t="n">
        <v>46590</v>
      </c>
      <c r="N4931" s="13"/>
      <c r="O4931" s="13" t="s">
        <v>1299</v>
      </c>
      <c r="P4931" s="13"/>
      <c r="Q4931" s="13"/>
    </row>
    <row r="4932" customFormat="false" ht="15" hidden="false" customHeight="false" outlineLevel="0" collapsed="false">
      <c r="A4932" s="16" t="s">
        <v>15267</v>
      </c>
      <c r="B4932" s="16" t="n">
        <v>4927</v>
      </c>
      <c r="C4932" s="16" t="s">
        <v>15268</v>
      </c>
      <c r="D4932" s="16" t="n">
        <v>8</v>
      </c>
      <c r="E4932" s="39" t="s">
        <v>15269</v>
      </c>
      <c r="F4932" s="16" t="s">
        <v>1285</v>
      </c>
      <c r="G4932" s="16" t="s">
        <v>1063</v>
      </c>
      <c r="H4932" s="16" t="s">
        <v>14297</v>
      </c>
      <c r="I4932" s="16" t="s">
        <v>136</v>
      </c>
      <c r="J4932" s="16" t="s">
        <v>14509</v>
      </c>
      <c r="K4932" s="32" t="n">
        <v>50</v>
      </c>
      <c r="L4932" s="33" t="n">
        <v>46541</v>
      </c>
      <c r="M4932" s="33" t="n">
        <v>46590</v>
      </c>
      <c r="N4932" s="16" t="s">
        <v>14652</v>
      </c>
      <c r="O4932" s="16" t="s">
        <v>1299</v>
      </c>
      <c r="P4932" s="16" t="str">
        <f aca="false">IF(AND(L4932&lt;=$D$2,M4932&gt;=$C$2),"Sí","")</f>
        <v/>
      </c>
      <c r="Q4932" s="18" t="str">
        <f aca="false">IF(COUNTIF(LOOKAHEAD!$A$5:$A$604,A4932)&gt;0,"En Lookahead",IF(P4932="Sí","INCORPORAR",""))</f>
        <v/>
      </c>
    </row>
    <row r="4933" customFormat="false" ht="15" hidden="false" customHeight="false" outlineLevel="0" collapsed="false">
      <c r="A4933" s="16" t="s">
        <v>15270</v>
      </c>
      <c r="B4933" s="16" t="n">
        <v>4928</v>
      </c>
      <c r="C4933" s="16" t="s">
        <v>15271</v>
      </c>
      <c r="D4933" s="16" t="n">
        <v>8</v>
      </c>
      <c r="E4933" s="39" t="s">
        <v>14512</v>
      </c>
      <c r="F4933" s="16" t="s">
        <v>1285</v>
      </c>
      <c r="G4933" s="16" t="s">
        <v>1063</v>
      </c>
      <c r="H4933" s="16" t="s">
        <v>14297</v>
      </c>
      <c r="I4933" s="16" t="s">
        <v>136</v>
      </c>
      <c r="J4933" s="16" t="s">
        <v>14509</v>
      </c>
      <c r="K4933" s="32" t="n">
        <v>50</v>
      </c>
      <c r="L4933" s="33" t="n">
        <v>46541</v>
      </c>
      <c r="M4933" s="33" t="n">
        <v>46590</v>
      </c>
      <c r="N4933" s="16" t="s">
        <v>14652</v>
      </c>
      <c r="O4933" s="16" t="s">
        <v>1299</v>
      </c>
      <c r="P4933" s="16" t="str">
        <f aca="false">IF(AND(L4933&lt;=$D$2,M4933&gt;=$C$2),"Sí","")</f>
        <v/>
      </c>
      <c r="Q4933" s="18" t="str">
        <f aca="false">IF(COUNTIF(LOOKAHEAD!$A$5:$A$604,A4933)&gt;0,"En Lookahead",IF(P4933="Sí","INCORPORAR",""))</f>
        <v/>
      </c>
    </row>
    <row r="4934" customFormat="false" ht="15" hidden="false" customHeight="false" outlineLevel="0" collapsed="false">
      <c r="A4934" s="13" t="s">
        <v>15272</v>
      </c>
      <c r="B4934" s="13" t="n">
        <v>4929</v>
      </c>
      <c r="C4934" s="13" t="s">
        <v>15273</v>
      </c>
      <c r="D4934" s="13" t="n">
        <v>7</v>
      </c>
      <c r="E4934" s="38" t="s">
        <v>14632</v>
      </c>
      <c r="F4934" s="13" t="s">
        <v>1298</v>
      </c>
      <c r="G4934" s="13" t="s">
        <v>1063</v>
      </c>
      <c r="H4934" s="13" t="s">
        <v>14297</v>
      </c>
      <c r="I4934" s="13" t="s">
        <v>136</v>
      </c>
      <c r="J4934" s="13" t="s">
        <v>14565</v>
      </c>
      <c r="K4934" s="30" t="n">
        <v>50</v>
      </c>
      <c r="L4934" s="31" t="n">
        <v>46541</v>
      </c>
      <c r="M4934" s="31" t="n">
        <v>46590</v>
      </c>
      <c r="N4934" s="13"/>
      <c r="O4934" s="13" t="s">
        <v>1299</v>
      </c>
      <c r="P4934" s="13"/>
      <c r="Q4934" s="13"/>
    </row>
    <row r="4935" customFormat="false" ht="15" hidden="false" customHeight="false" outlineLevel="0" collapsed="false">
      <c r="A4935" s="16" t="s">
        <v>15274</v>
      </c>
      <c r="B4935" s="16" t="n">
        <v>4930</v>
      </c>
      <c r="C4935" s="16" t="s">
        <v>15275</v>
      </c>
      <c r="D4935" s="16" t="n">
        <v>8</v>
      </c>
      <c r="E4935" s="39" t="s">
        <v>14512</v>
      </c>
      <c r="F4935" s="16" t="s">
        <v>1285</v>
      </c>
      <c r="G4935" s="16" t="s">
        <v>1063</v>
      </c>
      <c r="H4935" s="16" t="s">
        <v>14297</v>
      </c>
      <c r="I4935" s="16" t="s">
        <v>136</v>
      </c>
      <c r="J4935" s="16" t="s">
        <v>14632</v>
      </c>
      <c r="K4935" s="32" t="n">
        <v>50</v>
      </c>
      <c r="L4935" s="33" t="n">
        <v>46541</v>
      </c>
      <c r="M4935" s="33" t="n">
        <v>46590</v>
      </c>
      <c r="N4935" s="16" t="s">
        <v>14652</v>
      </c>
      <c r="O4935" s="16" t="s">
        <v>1299</v>
      </c>
      <c r="P4935" s="16" t="str">
        <f aca="false">IF(AND(L4935&lt;=$D$2,M4935&gt;=$C$2),"Sí","")</f>
        <v/>
      </c>
      <c r="Q4935" s="18" t="str">
        <f aca="false">IF(COUNTIF(LOOKAHEAD!$A$5:$A$604,A4935)&gt;0,"En Lookahead",IF(P4935="Sí","INCORPORAR",""))</f>
        <v/>
      </c>
    </row>
    <row r="4936" customFormat="false" ht="15" hidden="false" customHeight="false" outlineLevel="0" collapsed="false">
      <c r="A4936" s="13" t="s">
        <v>15276</v>
      </c>
      <c r="B4936" s="13" t="n">
        <v>4931</v>
      </c>
      <c r="C4936" s="13" t="s">
        <v>15277</v>
      </c>
      <c r="D4936" s="13" t="n">
        <v>7</v>
      </c>
      <c r="E4936" s="38" t="s">
        <v>15278</v>
      </c>
      <c r="F4936" s="13" t="s">
        <v>1298</v>
      </c>
      <c r="G4936" s="13" t="s">
        <v>1063</v>
      </c>
      <c r="H4936" s="13" t="s">
        <v>14297</v>
      </c>
      <c r="I4936" s="13" t="s">
        <v>136</v>
      </c>
      <c r="J4936" s="13" t="s">
        <v>14565</v>
      </c>
      <c r="K4936" s="30" t="n">
        <v>50</v>
      </c>
      <c r="L4936" s="31" t="n">
        <v>46541</v>
      </c>
      <c r="M4936" s="31" t="n">
        <v>46590</v>
      </c>
      <c r="N4936" s="13"/>
      <c r="O4936" s="13" t="s">
        <v>1299</v>
      </c>
      <c r="P4936" s="13"/>
      <c r="Q4936" s="13"/>
    </row>
    <row r="4937" customFormat="false" ht="15" hidden="false" customHeight="false" outlineLevel="0" collapsed="false">
      <c r="A4937" s="16" t="s">
        <v>15279</v>
      </c>
      <c r="B4937" s="16" t="n">
        <v>4932</v>
      </c>
      <c r="C4937" s="16" t="s">
        <v>15280</v>
      </c>
      <c r="D4937" s="16" t="n">
        <v>8</v>
      </c>
      <c r="E4937" s="39" t="s">
        <v>15281</v>
      </c>
      <c r="F4937" s="16" t="s">
        <v>1285</v>
      </c>
      <c r="G4937" s="16" t="s">
        <v>1063</v>
      </c>
      <c r="H4937" s="16" t="s">
        <v>14297</v>
      </c>
      <c r="I4937" s="16" t="s">
        <v>136</v>
      </c>
      <c r="J4937" s="16" t="s">
        <v>15278</v>
      </c>
      <c r="K4937" s="32" t="n">
        <v>50</v>
      </c>
      <c r="L4937" s="33" t="n">
        <v>46541</v>
      </c>
      <c r="M4937" s="33" t="n">
        <v>46590</v>
      </c>
      <c r="N4937" s="16" t="s">
        <v>14652</v>
      </c>
      <c r="O4937" s="16" t="s">
        <v>1299</v>
      </c>
      <c r="P4937" s="16" t="str">
        <f aca="false">IF(AND(L4937&lt;=$D$2,M4937&gt;=$C$2),"Sí","")</f>
        <v/>
      </c>
      <c r="Q4937" s="18" t="str">
        <f aca="false">IF(COUNTIF(LOOKAHEAD!$A$5:$A$604,A4937)&gt;0,"En Lookahead",IF(P4937="Sí","INCORPORAR",""))</f>
        <v/>
      </c>
    </row>
    <row r="4938" customFormat="false" ht="15" hidden="false" customHeight="false" outlineLevel="0" collapsed="false">
      <c r="A4938" s="16" t="s">
        <v>15282</v>
      </c>
      <c r="B4938" s="16" t="n">
        <v>4933</v>
      </c>
      <c r="C4938" s="16" t="s">
        <v>15283</v>
      </c>
      <c r="D4938" s="16" t="n">
        <v>8</v>
      </c>
      <c r="E4938" s="39" t="s">
        <v>14639</v>
      </c>
      <c r="F4938" s="16" t="s">
        <v>1285</v>
      </c>
      <c r="G4938" s="16" t="s">
        <v>1063</v>
      </c>
      <c r="H4938" s="16" t="s">
        <v>14297</v>
      </c>
      <c r="I4938" s="16" t="s">
        <v>136</v>
      </c>
      <c r="J4938" s="16" t="s">
        <v>15278</v>
      </c>
      <c r="K4938" s="32" t="n">
        <v>50</v>
      </c>
      <c r="L4938" s="33" t="n">
        <v>46541</v>
      </c>
      <c r="M4938" s="33" t="n">
        <v>46590</v>
      </c>
      <c r="N4938" s="16" t="s">
        <v>14652</v>
      </c>
      <c r="O4938" s="16" t="s">
        <v>1299</v>
      </c>
      <c r="P4938" s="16" t="str">
        <f aca="false">IF(AND(L4938&lt;=$D$2,M4938&gt;=$C$2),"Sí","")</f>
        <v/>
      </c>
      <c r="Q4938" s="18" t="str">
        <f aca="false">IF(COUNTIF(LOOKAHEAD!$A$5:$A$604,A4938)&gt;0,"En Lookahead",IF(P4938="Sí","INCORPORAR",""))</f>
        <v/>
      </c>
    </row>
    <row r="4939" customFormat="false" ht="15" hidden="false" customHeight="false" outlineLevel="0" collapsed="false">
      <c r="A4939" s="13" t="s">
        <v>15284</v>
      </c>
      <c r="B4939" s="13" t="n">
        <v>4934</v>
      </c>
      <c r="C4939" s="13" t="s">
        <v>15285</v>
      </c>
      <c r="D4939" s="13" t="n">
        <v>7</v>
      </c>
      <c r="E4939" s="38" t="s">
        <v>15286</v>
      </c>
      <c r="F4939" s="13" t="s">
        <v>1298</v>
      </c>
      <c r="G4939" s="13" t="s">
        <v>1063</v>
      </c>
      <c r="H4939" s="13" t="s">
        <v>14297</v>
      </c>
      <c r="I4939" s="13" t="s">
        <v>136</v>
      </c>
      <c r="J4939" s="13" t="s">
        <v>14565</v>
      </c>
      <c r="K4939" s="30" t="n">
        <v>50</v>
      </c>
      <c r="L4939" s="31" t="n">
        <v>46541</v>
      </c>
      <c r="M4939" s="31" t="n">
        <v>46590</v>
      </c>
      <c r="N4939" s="13"/>
      <c r="O4939" s="13" t="s">
        <v>1299</v>
      </c>
      <c r="P4939" s="13"/>
      <c r="Q4939" s="13"/>
    </row>
    <row r="4940" customFormat="false" ht="15" hidden="false" customHeight="false" outlineLevel="0" collapsed="false">
      <c r="A4940" s="16" t="s">
        <v>15287</v>
      </c>
      <c r="B4940" s="16" t="n">
        <v>4935</v>
      </c>
      <c r="C4940" s="16" t="s">
        <v>15288</v>
      </c>
      <c r="D4940" s="16" t="n">
        <v>8</v>
      </c>
      <c r="E4940" s="39" t="s">
        <v>14506</v>
      </c>
      <c r="F4940" s="16" t="s">
        <v>1285</v>
      </c>
      <c r="G4940" s="16" t="s">
        <v>1063</v>
      </c>
      <c r="H4940" s="16" t="s">
        <v>14297</v>
      </c>
      <c r="I4940" s="16" t="s">
        <v>136</v>
      </c>
      <c r="J4940" s="16" t="s">
        <v>15286</v>
      </c>
      <c r="K4940" s="32" t="n">
        <v>50</v>
      </c>
      <c r="L4940" s="33" t="n">
        <v>46541</v>
      </c>
      <c r="M4940" s="33" t="n">
        <v>46590</v>
      </c>
      <c r="N4940" s="16" t="s">
        <v>14652</v>
      </c>
      <c r="O4940" s="16" t="s">
        <v>1299</v>
      </c>
      <c r="P4940" s="16" t="str">
        <f aca="false">IF(AND(L4940&lt;=$D$2,M4940&gt;=$C$2),"Sí","")</f>
        <v/>
      </c>
      <c r="Q4940" s="18" t="str">
        <f aca="false">IF(COUNTIF(LOOKAHEAD!$A$5:$A$604,A4940)&gt;0,"En Lookahead",IF(P4940="Sí","INCORPORAR",""))</f>
        <v/>
      </c>
    </row>
    <row r="4941" customFormat="false" ht="15" hidden="false" customHeight="false" outlineLevel="0" collapsed="false">
      <c r="A4941" s="16" t="s">
        <v>15289</v>
      </c>
      <c r="B4941" s="16" t="n">
        <v>4936</v>
      </c>
      <c r="C4941" s="16" t="s">
        <v>15290</v>
      </c>
      <c r="D4941" s="16" t="n">
        <v>8</v>
      </c>
      <c r="E4941" s="39" t="s">
        <v>14449</v>
      </c>
      <c r="F4941" s="16" t="s">
        <v>1285</v>
      </c>
      <c r="G4941" s="16" t="s">
        <v>1063</v>
      </c>
      <c r="H4941" s="16" t="s">
        <v>14297</v>
      </c>
      <c r="I4941" s="16" t="s">
        <v>136</v>
      </c>
      <c r="J4941" s="16" t="s">
        <v>15286</v>
      </c>
      <c r="K4941" s="32" t="n">
        <v>50</v>
      </c>
      <c r="L4941" s="33" t="n">
        <v>46541</v>
      </c>
      <c r="M4941" s="33" t="n">
        <v>46590</v>
      </c>
      <c r="N4941" s="16" t="s">
        <v>14652</v>
      </c>
      <c r="O4941" s="16" t="s">
        <v>1299</v>
      </c>
      <c r="P4941" s="16" t="str">
        <f aca="false">IF(AND(L4941&lt;=$D$2,M4941&gt;=$C$2),"Sí","")</f>
        <v/>
      </c>
      <c r="Q4941" s="18" t="str">
        <f aca="false">IF(COUNTIF(LOOKAHEAD!$A$5:$A$604,A4941)&gt;0,"En Lookahead",IF(P4941="Sí","INCORPORAR",""))</f>
        <v/>
      </c>
    </row>
    <row r="4942" customFormat="false" ht="15" hidden="false" customHeight="false" outlineLevel="0" collapsed="false">
      <c r="A4942" s="16" t="s">
        <v>15291</v>
      </c>
      <c r="B4942" s="16" t="n">
        <v>4937</v>
      </c>
      <c r="C4942" s="16" t="s">
        <v>15292</v>
      </c>
      <c r="D4942" s="16" t="n">
        <v>8</v>
      </c>
      <c r="E4942" s="39" t="s">
        <v>15186</v>
      </c>
      <c r="F4942" s="16" t="s">
        <v>1285</v>
      </c>
      <c r="G4942" s="16" t="s">
        <v>1063</v>
      </c>
      <c r="H4942" s="16" t="s">
        <v>14297</v>
      </c>
      <c r="I4942" s="16" t="s">
        <v>136</v>
      </c>
      <c r="J4942" s="16" t="s">
        <v>15286</v>
      </c>
      <c r="K4942" s="32" t="n">
        <v>50</v>
      </c>
      <c r="L4942" s="33" t="n">
        <v>46541</v>
      </c>
      <c r="M4942" s="33" t="n">
        <v>46590</v>
      </c>
      <c r="N4942" s="16" t="s">
        <v>14652</v>
      </c>
      <c r="O4942" s="16" t="s">
        <v>1299</v>
      </c>
      <c r="P4942" s="16" t="str">
        <f aca="false">IF(AND(L4942&lt;=$D$2,M4942&gt;=$C$2),"Sí","")</f>
        <v/>
      </c>
      <c r="Q4942" s="18" t="str">
        <f aca="false">IF(COUNTIF(LOOKAHEAD!$A$5:$A$604,A4942)&gt;0,"En Lookahead",IF(P4942="Sí","INCORPORAR",""))</f>
        <v/>
      </c>
    </row>
    <row r="4943" customFormat="false" ht="15" hidden="false" customHeight="false" outlineLevel="0" collapsed="false">
      <c r="A4943" s="16" t="s">
        <v>15293</v>
      </c>
      <c r="B4943" s="16" t="n">
        <v>4938</v>
      </c>
      <c r="C4943" s="16" t="s">
        <v>15294</v>
      </c>
      <c r="D4943" s="16" t="n">
        <v>8</v>
      </c>
      <c r="E4943" s="39" t="s">
        <v>15189</v>
      </c>
      <c r="F4943" s="16" t="s">
        <v>1285</v>
      </c>
      <c r="G4943" s="16" t="s">
        <v>1063</v>
      </c>
      <c r="H4943" s="16" t="s">
        <v>14297</v>
      </c>
      <c r="I4943" s="16" t="s">
        <v>136</v>
      </c>
      <c r="J4943" s="16" t="s">
        <v>15286</v>
      </c>
      <c r="K4943" s="32" t="n">
        <v>50</v>
      </c>
      <c r="L4943" s="33" t="n">
        <v>46541</v>
      </c>
      <c r="M4943" s="33" t="n">
        <v>46590</v>
      </c>
      <c r="N4943" s="16" t="s">
        <v>14652</v>
      </c>
      <c r="O4943" s="16" t="s">
        <v>1299</v>
      </c>
      <c r="P4943" s="16" t="str">
        <f aca="false">IF(AND(L4943&lt;=$D$2,M4943&gt;=$C$2),"Sí","")</f>
        <v/>
      </c>
      <c r="Q4943" s="18" t="str">
        <f aca="false">IF(COUNTIF(LOOKAHEAD!$A$5:$A$604,A4943)&gt;0,"En Lookahead",IF(P4943="Sí","INCORPORAR",""))</f>
        <v/>
      </c>
    </row>
    <row r="4944" customFormat="false" ht="15" hidden="false" customHeight="false" outlineLevel="0" collapsed="false">
      <c r="A4944" s="16" t="s">
        <v>15295</v>
      </c>
      <c r="B4944" s="16" t="n">
        <v>4939</v>
      </c>
      <c r="C4944" s="16" t="s">
        <v>15296</v>
      </c>
      <c r="D4944" s="16" t="n">
        <v>8</v>
      </c>
      <c r="E4944" s="39" t="s">
        <v>15192</v>
      </c>
      <c r="F4944" s="16" t="s">
        <v>1285</v>
      </c>
      <c r="G4944" s="16" t="s">
        <v>1063</v>
      </c>
      <c r="H4944" s="16" t="s">
        <v>14297</v>
      </c>
      <c r="I4944" s="16" t="s">
        <v>136</v>
      </c>
      <c r="J4944" s="16" t="s">
        <v>15286</v>
      </c>
      <c r="K4944" s="32" t="n">
        <v>50</v>
      </c>
      <c r="L4944" s="33" t="n">
        <v>46541</v>
      </c>
      <c r="M4944" s="33" t="n">
        <v>46590</v>
      </c>
      <c r="N4944" s="16" t="s">
        <v>14652</v>
      </c>
      <c r="O4944" s="16" t="s">
        <v>1299</v>
      </c>
      <c r="P4944" s="16" t="str">
        <f aca="false">IF(AND(L4944&lt;=$D$2,M4944&gt;=$C$2),"Sí","")</f>
        <v/>
      </c>
      <c r="Q4944" s="18" t="str">
        <f aca="false">IF(COUNTIF(LOOKAHEAD!$A$5:$A$604,A4944)&gt;0,"En Lookahead",IF(P4944="Sí","INCORPORAR",""))</f>
        <v/>
      </c>
    </row>
    <row r="4945" customFormat="false" ht="15" hidden="false" customHeight="false" outlineLevel="0" collapsed="false">
      <c r="A4945" s="16" t="s">
        <v>15297</v>
      </c>
      <c r="B4945" s="16" t="n">
        <v>4940</v>
      </c>
      <c r="C4945" s="16" t="s">
        <v>15298</v>
      </c>
      <c r="D4945" s="16" t="n">
        <v>8</v>
      </c>
      <c r="E4945" s="39" t="s">
        <v>15299</v>
      </c>
      <c r="F4945" s="16" t="s">
        <v>1285</v>
      </c>
      <c r="G4945" s="16" t="s">
        <v>1063</v>
      </c>
      <c r="H4945" s="16" t="s">
        <v>14297</v>
      </c>
      <c r="I4945" s="16" t="s">
        <v>136</v>
      </c>
      <c r="J4945" s="16" t="s">
        <v>15286</v>
      </c>
      <c r="K4945" s="32" t="n">
        <v>50</v>
      </c>
      <c r="L4945" s="33" t="n">
        <v>46541</v>
      </c>
      <c r="M4945" s="33" t="n">
        <v>46590</v>
      </c>
      <c r="N4945" s="16" t="s">
        <v>14652</v>
      </c>
      <c r="O4945" s="16" t="s">
        <v>1299</v>
      </c>
      <c r="P4945" s="16" t="str">
        <f aca="false">IF(AND(L4945&lt;=$D$2,M4945&gt;=$C$2),"Sí","")</f>
        <v/>
      </c>
      <c r="Q4945" s="18" t="str">
        <f aca="false">IF(COUNTIF(LOOKAHEAD!$A$5:$A$604,A4945)&gt;0,"En Lookahead",IF(P4945="Sí","INCORPORAR",""))</f>
        <v/>
      </c>
    </row>
    <row r="4946" customFormat="false" ht="15" hidden="false" customHeight="false" outlineLevel="0" collapsed="false">
      <c r="A4946" s="16" t="s">
        <v>15300</v>
      </c>
      <c r="B4946" s="16" t="n">
        <v>4941</v>
      </c>
      <c r="C4946" s="16" t="s">
        <v>15301</v>
      </c>
      <c r="D4946" s="16" t="n">
        <v>8</v>
      </c>
      <c r="E4946" s="39" t="s">
        <v>15302</v>
      </c>
      <c r="F4946" s="16" t="s">
        <v>1285</v>
      </c>
      <c r="G4946" s="16" t="s">
        <v>1063</v>
      </c>
      <c r="H4946" s="16" t="s">
        <v>14297</v>
      </c>
      <c r="I4946" s="16" t="s">
        <v>136</v>
      </c>
      <c r="J4946" s="16" t="s">
        <v>15286</v>
      </c>
      <c r="K4946" s="32" t="n">
        <v>50</v>
      </c>
      <c r="L4946" s="33" t="n">
        <v>46541</v>
      </c>
      <c r="M4946" s="33" t="n">
        <v>46590</v>
      </c>
      <c r="N4946" s="16" t="s">
        <v>14652</v>
      </c>
      <c r="O4946" s="16" t="s">
        <v>1299</v>
      </c>
      <c r="P4946" s="16" t="str">
        <f aca="false">IF(AND(L4946&lt;=$D$2,M4946&gt;=$C$2),"Sí","")</f>
        <v/>
      </c>
      <c r="Q4946" s="18" t="str">
        <f aca="false">IF(COUNTIF(LOOKAHEAD!$A$5:$A$604,A4946)&gt;0,"En Lookahead",IF(P4946="Sí","INCORPORAR",""))</f>
        <v/>
      </c>
    </row>
    <row r="4947" customFormat="false" ht="15" hidden="false" customHeight="false" outlineLevel="0" collapsed="false">
      <c r="A4947" s="16" t="s">
        <v>15303</v>
      </c>
      <c r="B4947" s="16" t="n">
        <v>4942</v>
      </c>
      <c r="C4947" s="16" t="s">
        <v>15304</v>
      </c>
      <c r="D4947" s="16" t="n">
        <v>8</v>
      </c>
      <c r="E4947" s="39" t="s">
        <v>15305</v>
      </c>
      <c r="F4947" s="16" t="s">
        <v>1285</v>
      </c>
      <c r="G4947" s="16" t="s">
        <v>1063</v>
      </c>
      <c r="H4947" s="16" t="s">
        <v>14297</v>
      </c>
      <c r="I4947" s="16" t="s">
        <v>136</v>
      </c>
      <c r="J4947" s="16" t="s">
        <v>15286</v>
      </c>
      <c r="K4947" s="32" t="n">
        <v>50</v>
      </c>
      <c r="L4947" s="33" t="n">
        <v>46541</v>
      </c>
      <c r="M4947" s="33" t="n">
        <v>46590</v>
      </c>
      <c r="N4947" s="16" t="s">
        <v>14652</v>
      </c>
      <c r="O4947" s="16" t="s">
        <v>1299</v>
      </c>
      <c r="P4947" s="16" t="str">
        <f aca="false">IF(AND(L4947&lt;=$D$2,M4947&gt;=$C$2),"Sí","")</f>
        <v/>
      </c>
      <c r="Q4947" s="18" t="str">
        <f aca="false">IF(COUNTIF(LOOKAHEAD!$A$5:$A$604,A4947)&gt;0,"En Lookahead",IF(P4947="Sí","INCORPORAR",""))</f>
        <v/>
      </c>
    </row>
    <row r="4948" customFormat="false" ht="15" hidden="false" customHeight="false" outlineLevel="0" collapsed="false">
      <c r="A4948" s="16" t="s">
        <v>15306</v>
      </c>
      <c r="B4948" s="16" t="n">
        <v>4943</v>
      </c>
      <c r="C4948" s="16" t="s">
        <v>15307</v>
      </c>
      <c r="D4948" s="16" t="n">
        <v>8</v>
      </c>
      <c r="E4948" s="39" t="s">
        <v>15308</v>
      </c>
      <c r="F4948" s="16" t="s">
        <v>1285</v>
      </c>
      <c r="G4948" s="16" t="s">
        <v>1063</v>
      </c>
      <c r="H4948" s="16" t="s">
        <v>14297</v>
      </c>
      <c r="I4948" s="16" t="s">
        <v>136</v>
      </c>
      <c r="J4948" s="16" t="s">
        <v>15286</v>
      </c>
      <c r="K4948" s="32" t="n">
        <v>50</v>
      </c>
      <c r="L4948" s="33" t="n">
        <v>46541</v>
      </c>
      <c r="M4948" s="33" t="n">
        <v>46590</v>
      </c>
      <c r="N4948" s="16" t="s">
        <v>14652</v>
      </c>
      <c r="O4948" s="16" t="s">
        <v>1299</v>
      </c>
      <c r="P4948" s="16" t="str">
        <f aca="false">IF(AND(L4948&lt;=$D$2,M4948&gt;=$C$2),"Sí","")</f>
        <v/>
      </c>
      <c r="Q4948" s="18" t="str">
        <f aca="false">IF(COUNTIF(LOOKAHEAD!$A$5:$A$604,A4948)&gt;0,"En Lookahead",IF(P4948="Sí","INCORPORAR",""))</f>
        <v/>
      </c>
    </row>
    <row r="4949" customFormat="false" ht="15" hidden="false" customHeight="false" outlineLevel="0" collapsed="false">
      <c r="A4949" s="16" t="s">
        <v>15309</v>
      </c>
      <c r="B4949" s="16" t="n">
        <v>4944</v>
      </c>
      <c r="C4949" s="16" t="s">
        <v>15310</v>
      </c>
      <c r="D4949" s="16" t="n">
        <v>8</v>
      </c>
      <c r="E4949" s="39" t="s">
        <v>15201</v>
      </c>
      <c r="F4949" s="16" t="s">
        <v>1285</v>
      </c>
      <c r="G4949" s="16" t="s">
        <v>1063</v>
      </c>
      <c r="H4949" s="16" t="s">
        <v>14297</v>
      </c>
      <c r="I4949" s="16" t="s">
        <v>136</v>
      </c>
      <c r="J4949" s="16" t="s">
        <v>15286</v>
      </c>
      <c r="K4949" s="32" t="n">
        <v>50</v>
      </c>
      <c r="L4949" s="33" t="n">
        <v>46541</v>
      </c>
      <c r="M4949" s="33" t="n">
        <v>46590</v>
      </c>
      <c r="N4949" s="16" t="s">
        <v>14652</v>
      </c>
      <c r="O4949" s="16" t="s">
        <v>1299</v>
      </c>
      <c r="P4949" s="16" t="str">
        <f aca="false">IF(AND(L4949&lt;=$D$2,M4949&gt;=$C$2),"Sí","")</f>
        <v/>
      </c>
      <c r="Q4949" s="18" t="str">
        <f aca="false">IF(COUNTIF(LOOKAHEAD!$A$5:$A$604,A4949)&gt;0,"En Lookahead",IF(P4949="Sí","INCORPORAR",""))</f>
        <v/>
      </c>
    </row>
    <row r="4950" customFormat="false" ht="15" hidden="false" customHeight="false" outlineLevel="0" collapsed="false">
      <c r="A4950" s="16" t="s">
        <v>15311</v>
      </c>
      <c r="B4950" s="16" t="n">
        <v>4945</v>
      </c>
      <c r="C4950" s="16" t="s">
        <v>15312</v>
      </c>
      <c r="D4950" s="16" t="n">
        <v>8</v>
      </c>
      <c r="E4950" s="39" t="s">
        <v>15313</v>
      </c>
      <c r="F4950" s="16" t="s">
        <v>1285</v>
      </c>
      <c r="G4950" s="16" t="s">
        <v>1063</v>
      </c>
      <c r="H4950" s="16" t="s">
        <v>14297</v>
      </c>
      <c r="I4950" s="16" t="s">
        <v>136</v>
      </c>
      <c r="J4950" s="16" t="s">
        <v>15286</v>
      </c>
      <c r="K4950" s="32" t="n">
        <v>50</v>
      </c>
      <c r="L4950" s="33" t="n">
        <v>46541</v>
      </c>
      <c r="M4950" s="33" t="n">
        <v>46590</v>
      </c>
      <c r="N4950" s="16" t="s">
        <v>14652</v>
      </c>
      <c r="O4950" s="16" t="s">
        <v>1299</v>
      </c>
      <c r="P4950" s="16" t="str">
        <f aca="false">IF(AND(L4950&lt;=$D$2,M4950&gt;=$C$2),"Sí","")</f>
        <v/>
      </c>
      <c r="Q4950" s="18" t="str">
        <f aca="false">IF(COUNTIF(LOOKAHEAD!$A$5:$A$604,A4950)&gt;0,"En Lookahead",IF(P4950="Sí","INCORPORAR",""))</f>
        <v/>
      </c>
    </row>
    <row r="4951" customFormat="false" ht="15" hidden="false" customHeight="false" outlineLevel="0" collapsed="false">
      <c r="A4951" s="16" t="s">
        <v>15314</v>
      </c>
      <c r="B4951" s="16" t="n">
        <v>4946</v>
      </c>
      <c r="C4951" s="16" t="s">
        <v>15315</v>
      </c>
      <c r="D4951" s="16" t="n">
        <v>8</v>
      </c>
      <c r="E4951" s="39" t="s">
        <v>15316</v>
      </c>
      <c r="F4951" s="16" t="s">
        <v>1285</v>
      </c>
      <c r="G4951" s="16" t="s">
        <v>1063</v>
      </c>
      <c r="H4951" s="16" t="s">
        <v>14297</v>
      </c>
      <c r="I4951" s="16" t="s">
        <v>136</v>
      </c>
      <c r="J4951" s="16" t="s">
        <v>15286</v>
      </c>
      <c r="K4951" s="32" t="n">
        <v>50</v>
      </c>
      <c r="L4951" s="33" t="n">
        <v>46541</v>
      </c>
      <c r="M4951" s="33" t="n">
        <v>46590</v>
      </c>
      <c r="N4951" s="16" t="s">
        <v>14652</v>
      </c>
      <c r="O4951" s="16" t="s">
        <v>1299</v>
      </c>
      <c r="P4951" s="16" t="str">
        <f aca="false">IF(AND(L4951&lt;=$D$2,M4951&gt;=$C$2),"Sí","")</f>
        <v/>
      </c>
      <c r="Q4951" s="18" t="str">
        <f aca="false">IF(COUNTIF(LOOKAHEAD!$A$5:$A$604,A4951)&gt;0,"En Lookahead",IF(P4951="Sí","INCORPORAR",""))</f>
        <v/>
      </c>
    </row>
    <row r="4952" customFormat="false" ht="15" hidden="false" customHeight="false" outlineLevel="0" collapsed="false">
      <c r="A4952" s="16" t="s">
        <v>15317</v>
      </c>
      <c r="B4952" s="16" t="n">
        <v>4947</v>
      </c>
      <c r="C4952" s="16" t="s">
        <v>15318</v>
      </c>
      <c r="D4952" s="16" t="n">
        <v>8</v>
      </c>
      <c r="E4952" s="39" t="s">
        <v>15319</v>
      </c>
      <c r="F4952" s="16" t="s">
        <v>1285</v>
      </c>
      <c r="G4952" s="16" t="s">
        <v>1063</v>
      </c>
      <c r="H4952" s="16" t="s">
        <v>14297</v>
      </c>
      <c r="I4952" s="16" t="s">
        <v>136</v>
      </c>
      <c r="J4952" s="16" t="s">
        <v>15286</v>
      </c>
      <c r="K4952" s="32" t="n">
        <v>50</v>
      </c>
      <c r="L4952" s="33" t="n">
        <v>46541</v>
      </c>
      <c r="M4952" s="33" t="n">
        <v>46590</v>
      </c>
      <c r="N4952" s="16" t="s">
        <v>14652</v>
      </c>
      <c r="O4952" s="16" t="s">
        <v>1299</v>
      </c>
      <c r="P4952" s="16" t="str">
        <f aca="false">IF(AND(L4952&lt;=$D$2,M4952&gt;=$C$2),"Sí","")</f>
        <v/>
      </c>
      <c r="Q4952" s="18" t="str">
        <f aca="false">IF(COUNTIF(LOOKAHEAD!$A$5:$A$604,A4952)&gt;0,"En Lookahead",IF(P4952="Sí","INCORPORAR",""))</f>
        <v/>
      </c>
    </row>
    <row r="4953" customFormat="false" ht="15" hidden="false" customHeight="false" outlineLevel="0" collapsed="false">
      <c r="A4953" s="13" t="s">
        <v>15320</v>
      </c>
      <c r="B4953" s="13" t="n">
        <v>4948</v>
      </c>
      <c r="C4953" s="13" t="s">
        <v>15321</v>
      </c>
      <c r="D4953" s="13" t="n">
        <v>7</v>
      </c>
      <c r="E4953" s="38" t="s">
        <v>14556</v>
      </c>
      <c r="F4953" s="13" t="s">
        <v>1298</v>
      </c>
      <c r="G4953" s="13" t="s">
        <v>1063</v>
      </c>
      <c r="H4953" s="13" t="s">
        <v>14297</v>
      </c>
      <c r="I4953" s="13" t="s">
        <v>136</v>
      </c>
      <c r="J4953" s="13" t="s">
        <v>14565</v>
      </c>
      <c r="K4953" s="30" t="n">
        <v>50</v>
      </c>
      <c r="L4953" s="31" t="n">
        <v>46541</v>
      </c>
      <c r="M4953" s="31" t="n">
        <v>46590</v>
      </c>
      <c r="N4953" s="13"/>
      <c r="O4953" s="13" t="s">
        <v>1299</v>
      </c>
      <c r="P4953" s="13"/>
      <c r="Q4953" s="13"/>
    </row>
    <row r="4954" customFormat="false" ht="15" hidden="false" customHeight="false" outlineLevel="0" collapsed="false">
      <c r="A4954" s="16" t="s">
        <v>15322</v>
      </c>
      <c r="B4954" s="16" t="n">
        <v>4949</v>
      </c>
      <c r="C4954" s="16" t="s">
        <v>15323</v>
      </c>
      <c r="D4954" s="16" t="n">
        <v>8</v>
      </c>
      <c r="E4954" s="39" t="s">
        <v>14466</v>
      </c>
      <c r="F4954" s="16" t="s">
        <v>1285</v>
      </c>
      <c r="G4954" s="16" t="s">
        <v>1063</v>
      </c>
      <c r="H4954" s="16" t="s">
        <v>14297</v>
      </c>
      <c r="I4954" s="16" t="s">
        <v>136</v>
      </c>
      <c r="J4954" s="16" t="s">
        <v>14556</v>
      </c>
      <c r="K4954" s="32" t="n">
        <v>50</v>
      </c>
      <c r="L4954" s="33" t="n">
        <v>46541</v>
      </c>
      <c r="M4954" s="33" t="n">
        <v>46590</v>
      </c>
      <c r="N4954" s="16" t="s">
        <v>14652</v>
      </c>
      <c r="O4954" s="16" t="s">
        <v>1299</v>
      </c>
      <c r="P4954" s="16" t="str">
        <f aca="false">IF(AND(L4954&lt;=$D$2,M4954&gt;=$C$2),"Sí","")</f>
        <v/>
      </c>
      <c r="Q4954" s="18" t="str">
        <f aca="false">IF(COUNTIF(LOOKAHEAD!$A$5:$A$604,A4954)&gt;0,"En Lookahead",IF(P4954="Sí","INCORPORAR",""))</f>
        <v/>
      </c>
    </row>
    <row r="4955" customFormat="false" ht="15" hidden="false" customHeight="false" outlineLevel="0" collapsed="false">
      <c r="A4955" s="16" t="s">
        <v>15324</v>
      </c>
      <c r="B4955" s="16" t="n">
        <v>4950</v>
      </c>
      <c r="C4955" s="16" t="s">
        <v>15325</v>
      </c>
      <c r="D4955" s="16" t="n">
        <v>8</v>
      </c>
      <c r="E4955" s="39" t="s">
        <v>14360</v>
      </c>
      <c r="F4955" s="16" t="s">
        <v>1285</v>
      </c>
      <c r="G4955" s="16" t="s">
        <v>1063</v>
      </c>
      <c r="H4955" s="16" t="s">
        <v>14297</v>
      </c>
      <c r="I4955" s="16" t="s">
        <v>136</v>
      </c>
      <c r="J4955" s="16" t="s">
        <v>14556</v>
      </c>
      <c r="K4955" s="32" t="n">
        <v>50</v>
      </c>
      <c r="L4955" s="33" t="n">
        <v>46541</v>
      </c>
      <c r="M4955" s="33" t="n">
        <v>46590</v>
      </c>
      <c r="N4955" s="16" t="s">
        <v>14652</v>
      </c>
      <c r="O4955" s="16" t="s">
        <v>1299</v>
      </c>
      <c r="P4955" s="16" t="str">
        <f aca="false">IF(AND(L4955&lt;=$D$2,M4955&gt;=$C$2),"Sí","")</f>
        <v/>
      </c>
      <c r="Q4955" s="18" t="str">
        <f aca="false">IF(COUNTIF(LOOKAHEAD!$A$5:$A$604,A4955)&gt;0,"En Lookahead",IF(P4955="Sí","INCORPORAR",""))</f>
        <v/>
      </c>
    </row>
    <row r="4956" customFormat="false" ht="15" hidden="false" customHeight="false" outlineLevel="0" collapsed="false">
      <c r="A4956" s="16" t="s">
        <v>15326</v>
      </c>
      <c r="B4956" s="16" t="n">
        <v>4951</v>
      </c>
      <c r="C4956" s="16" t="s">
        <v>15327</v>
      </c>
      <c r="D4956" s="16" t="n">
        <v>8</v>
      </c>
      <c r="E4956" s="39" t="s">
        <v>14639</v>
      </c>
      <c r="F4956" s="16" t="s">
        <v>1285</v>
      </c>
      <c r="G4956" s="16" t="s">
        <v>1063</v>
      </c>
      <c r="H4956" s="16" t="s">
        <v>14297</v>
      </c>
      <c r="I4956" s="16" t="s">
        <v>136</v>
      </c>
      <c r="J4956" s="16" t="s">
        <v>14556</v>
      </c>
      <c r="K4956" s="32" t="n">
        <v>50</v>
      </c>
      <c r="L4956" s="33" t="n">
        <v>46541</v>
      </c>
      <c r="M4956" s="33" t="n">
        <v>46590</v>
      </c>
      <c r="N4956" s="16" t="s">
        <v>14652</v>
      </c>
      <c r="O4956" s="16" t="s">
        <v>1299</v>
      </c>
      <c r="P4956" s="16" t="str">
        <f aca="false">IF(AND(L4956&lt;=$D$2,M4956&gt;=$C$2),"Sí","")</f>
        <v/>
      </c>
      <c r="Q4956" s="18" t="str">
        <f aca="false">IF(COUNTIF(LOOKAHEAD!$A$5:$A$604,A4956)&gt;0,"En Lookahead",IF(P4956="Sí","INCORPORAR",""))</f>
        <v/>
      </c>
    </row>
    <row r="4957" customFormat="false" ht="15" hidden="false" customHeight="false" outlineLevel="0" collapsed="false">
      <c r="A4957" s="13" t="s">
        <v>15328</v>
      </c>
      <c r="B4957" s="13" t="n">
        <v>4952</v>
      </c>
      <c r="C4957" s="13" t="s">
        <v>15329</v>
      </c>
      <c r="D4957" s="13" t="n">
        <v>7</v>
      </c>
      <c r="E4957" s="38" t="s">
        <v>15330</v>
      </c>
      <c r="F4957" s="13" t="s">
        <v>1298</v>
      </c>
      <c r="G4957" s="13" t="s">
        <v>1063</v>
      </c>
      <c r="H4957" s="13" t="s">
        <v>14297</v>
      </c>
      <c r="I4957" s="13" t="s">
        <v>136</v>
      </c>
      <c r="J4957" s="13" t="s">
        <v>14565</v>
      </c>
      <c r="K4957" s="30" t="n">
        <v>50</v>
      </c>
      <c r="L4957" s="31" t="n">
        <v>46541</v>
      </c>
      <c r="M4957" s="31" t="n">
        <v>46590</v>
      </c>
      <c r="N4957" s="13"/>
      <c r="O4957" s="13" t="s">
        <v>1299</v>
      </c>
      <c r="P4957" s="13"/>
      <c r="Q4957" s="13"/>
    </row>
    <row r="4958" customFormat="false" ht="15" hidden="false" customHeight="false" outlineLevel="0" collapsed="false">
      <c r="A4958" s="16" t="s">
        <v>15331</v>
      </c>
      <c r="B4958" s="16" t="n">
        <v>4953</v>
      </c>
      <c r="C4958" s="16" t="s">
        <v>15332</v>
      </c>
      <c r="D4958" s="16" t="n">
        <v>8</v>
      </c>
      <c r="E4958" s="39" t="s">
        <v>14512</v>
      </c>
      <c r="F4958" s="16" t="s">
        <v>1285</v>
      </c>
      <c r="G4958" s="16" t="s">
        <v>1063</v>
      </c>
      <c r="H4958" s="16" t="s">
        <v>14297</v>
      </c>
      <c r="I4958" s="16" t="s">
        <v>136</v>
      </c>
      <c r="J4958" s="16" t="s">
        <v>15330</v>
      </c>
      <c r="K4958" s="32" t="n">
        <v>50</v>
      </c>
      <c r="L4958" s="33" t="n">
        <v>46541</v>
      </c>
      <c r="M4958" s="33" t="n">
        <v>46590</v>
      </c>
      <c r="N4958" s="16" t="s">
        <v>14652</v>
      </c>
      <c r="O4958" s="16" t="s">
        <v>1299</v>
      </c>
      <c r="P4958" s="16" t="str">
        <f aca="false">IF(AND(L4958&lt;=$D$2,M4958&gt;=$C$2),"Sí","")</f>
        <v/>
      </c>
      <c r="Q4958" s="18" t="str">
        <f aca="false">IF(COUNTIF(LOOKAHEAD!$A$5:$A$604,A4958)&gt;0,"En Lookahead",IF(P4958="Sí","INCORPORAR",""))</f>
        <v/>
      </c>
    </row>
    <row r="4959" customFormat="false" ht="15" hidden="false" customHeight="false" outlineLevel="0" collapsed="false">
      <c r="A4959" s="13" t="s">
        <v>15333</v>
      </c>
      <c r="B4959" s="13" t="n">
        <v>4954</v>
      </c>
      <c r="C4959" s="13" t="s">
        <v>15334</v>
      </c>
      <c r="D4959" s="13" t="n">
        <v>7</v>
      </c>
      <c r="E4959" s="38" t="s">
        <v>15335</v>
      </c>
      <c r="F4959" s="13" t="s">
        <v>1298</v>
      </c>
      <c r="G4959" s="13" t="s">
        <v>1063</v>
      </c>
      <c r="H4959" s="13" t="s">
        <v>14297</v>
      </c>
      <c r="I4959" s="13" t="s">
        <v>136</v>
      </c>
      <c r="J4959" s="13" t="s">
        <v>14565</v>
      </c>
      <c r="K4959" s="30" t="n">
        <v>50</v>
      </c>
      <c r="L4959" s="31" t="n">
        <v>46541</v>
      </c>
      <c r="M4959" s="31" t="n">
        <v>46590</v>
      </c>
      <c r="N4959" s="13"/>
      <c r="O4959" s="13" t="s">
        <v>1299</v>
      </c>
      <c r="P4959" s="13"/>
      <c r="Q4959" s="13"/>
    </row>
    <row r="4960" customFormat="false" ht="15" hidden="false" customHeight="false" outlineLevel="0" collapsed="false">
      <c r="A4960" s="16" t="s">
        <v>15336</v>
      </c>
      <c r="B4960" s="16" t="n">
        <v>4955</v>
      </c>
      <c r="C4960" s="16" t="s">
        <v>15337</v>
      </c>
      <c r="D4960" s="16" t="n">
        <v>8</v>
      </c>
      <c r="E4960" s="39" t="s">
        <v>15269</v>
      </c>
      <c r="F4960" s="16" t="s">
        <v>1285</v>
      </c>
      <c r="G4960" s="16" t="s">
        <v>1063</v>
      </c>
      <c r="H4960" s="16" t="s">
        <v>14297</v>
      </c>
      <c r="I4960" s="16" t="s">
        <v>136</v>
      </c>
      <c r="J4960" s="16" t="s">
        <v>15335</v>
      </c>
      <c r="K4960" s="32" t="n">
        <v>50</v>
      </c>
      <c r="L4960" s="33" t="n">
        <v>46541</v>
      </c>
      <c r="M4960" s="33" t="n">
        <v>46590</v>
      </c>
      <c r="N4960" s="16" t="s">
        <v>14652</v>
      </c>
      <c r="O4960" s="16" t="s">
        <v>1299</v>
      </c>
      <c r="P4960" s="16" t="str">
        <f aca="false">IF(AND(L4960&lt;=$D$2,M4960&gt;=$C$2),"Sí","")</f>
        <v/>
      </c>
      <c r="Q4960" s="18" t="str">
        <f aca="false">IF(COUNTIF(LOOKAHEAD!$A$5:$A$604,A4960)&gt;0,"En Lookahead",IF(P4960="Sí","INCORPORAR",""))</f>
        <v/>
      </c>
    </row>
    <row r="4961" customFormat="false" ht="15" hidden="false" customHeight="false" outlineLevel="0" collapsed="false">
      <c r="A4961" s="16" t="s">
        <v>15338</v>
      </c>
      <c r="B4961" s="16" t="n">
        <v>4956</v>
      </c>
      <c r="C4961" s="16" t="s">
        <v>15339</v>
      </c>
      <c r="D4961" s="16" t="n">
        <v>8</v>
      </c>
      <c r="E4961" s="39" t="s">
        <v>14512</v>
      </c>
      <c r="F4961" s="16" t="s">
        <v>1285</v>
      </c>
      <c r="G4961" s="16" t="s">
        <v>1063</v>
      </c>
      <c r="H4961" s="16" t="s">
        <v>14297</v>
      </c>
      <c r="I4961" s="16" t="s">
        <v>136</v>
      </c>
      <c r="J4961" s="16" t="s">
        <v>15335</v>
      </c>
      <c r="K4961" s="32" t="n">
        <v>50</v>
      </c>
      <c r="L4961" s="33" t="n">
        <v>46541</v>
      </c>
      <c r="M4961" s="33" t="n">
        <v>46590</v>
      </c>
      <c r="N4961" s="16" t="s">
        <v>14652</v>
      </c>
      <c r="O4961" s="16" t="s">
        <v>1299</v>
      </c>
      <c r="P4961" s="16" t="str">
        <f aca="false">IF(AND(L4961&lt;=$D$2,M4961&gt;=$C$2),"Sí","")</f>
        <v/>
      </c>
      <c r="Q4961" s="18" t="str">
        <f aca="false">IF(COUNTIF(LOOKAHEAD!$A$5:$A$604,A4961)&gt;0,"En Lookahead",IF(P4961="Sí","INCORPORAR",""))</f>
        <v/>
      </c>
    </row>
    <row r="4962" customFormat="false" ht="15" hidden="false" customHeight="false" outlineLevel="0" collapsed="false">
      <c r="A4962" s="13" t="s">
        <v>15340</v>
      </c>
      <c r="B4962" s="13" t="n">
        <v>4957</v>
      </c>
      <c r="C4962" s="13" t="s">
        <v>15341</v>
      </c>
      <c r="D4962" s="13" t="n">
        <v>7</v>
      </c>
      <c r="E4962" s="38" t="s">
        <v>14534</v>
      </c>
      <c r="F4962" s="13" t="s">
        <v>1298</v>
      </c>
      <c r="G4962" s="13" t="s">
        <v>1063</v>
      </c>
      <c r="H4962" s="13" t="s">
        <v>14297</v>
      </c>
      <c r="I4962" s="13" t="s">
        <v>136</v>
      </c>
      <c r="J4962" s="13" t="s">
        <v>14565</v>
      </c>
      <c r="K4962" s="30" t="n">
        <v>50</v>
      </c>
      <c r="L4962" s="31" t="n">
        <v>46541</v>
      </c>
      <c r="M4962" s="31" t="n">
        <v>46590</v>
      </c>
      <c r="N4962" s="13"/>
      <c r="O4962" s="13" t="s">
        <v>1299</v>
      </c>
      <c r="P4962" s="13"/>
      <c r="Q4962" s="13"/>
    </row>
    <row r="4963" customFormat="false" ht="15" hidden="false" customHeight="false" outlineLevel="0" collapsed="false">
      <c r="A4963" s="16" t="s">
        <v>15342</v>
      </c>
      <c r="B4963" s="16" t="n">
        <v>4958</v>
      </c>
      <c r="C4963" s="16" t="s">
        <v>15343</v>
      </c>
      <c r="D4963" s="16" t="n">
        <v>8</v>
      </c>
      <c r="E4963" s="39" t="s">
        <v>15344</v>
      </c>
      <c r="F4963" s="16" t="s">
        <v>1285</v>
      </c>
      <c r="G4963" s="16" t="s">
        <v>1063</v>
      </c>
      <c r="H4963" s="16" t="s">
        <v>14297</v>
      </c>
      <c r="I4963" s="16" t="s">
        <v>136</v>
      </c>
      <c r="J4963" s="16" t="s">
        <v>14534</v>
      </c>
      <c r="K4963" s="32" t="n">
        <v>50</v>
      </c>
      <c r="L4963" s="33" t="n">
        <v>46541</v>
      </c>
      <c r="M4963" s="33" t="n">
        <v>46590</v>
      </c>
      <c r="N4963" s="16" t="s">
        <v>14652</v>
      </c>
      <c r="O4963" s="16" t="s">
        <v>1299</v>
      </c>
      <c r="P4963" s="16" t="str">
        <f aca="false">IF(AND(L4963&lt;=$D$2,M4963&gt;=$C$2),"Sí","")</f>
        <v/>
      </c>
      <c r="Q4963" s="18" t="str">
        <f aca="false">IF(COUNTIF(LOOKAHEAD!$A$5:$A$604,A4963)&gt;0,"En Lookahead",IF(P4963="Sí","INCORPORAR",""))</f>
        <v/>
      </c>
    </row>
    <row r="4964" customFormat="false" ht="15" hidden="false" customHeight="false" outlineLevel="0" collapsed="false">
      <c r="A4964" s="16" t="s">
        <v>15345</v>
      </c>
      <c r="B4964" s="16" t="n">
        <v>4959</v>
      </c>
      <c r="C4964" s="16" t="s">
        <v>15346</v>
      </c>
      <c r="D4964" s="16" t="n">
        <v>8</v>
      </c>
      <c r="E4964" s="39" t="s">
        <v>14487</v>
      </c>
      <c r="F4964" s="16" t="s">
        <v>1285</v>
      </c>
      <c r="G4964" s="16" t="s">
        <v>1063</v>
      </c>
      <c r="H4964" s="16" t="s">
        <v>14297</v>
      </c>
      <c r="I4964" s="16" t="s">
        <v>136</v>
      </c>
      <c r="J4964" s="16" t="s">
        <v>14534</v>
      </c>
      <c r="K4964" s="32" t="n">
        <v>50</v>
      </c>
      <c r="L4964" s="33" t="n">
        <v>46541</v>
      </c>
      <c r="M4964" s="33" t="n">
        <v>46590</v>
      </c>
      <c r="N4964" s="16" t="s">
        <v>14652</v>
      </c>
      <c r="O4964" s="16" t="s">
        <v>1299</v>
      </c>
      <c r="P4964" s="16" t="str">
        <f aca="false">IF(AND(L4964&lt;=$D$2,M4964&gt;=$C$2),"Sí","")</f>
        <v/>
      </c>
      <c r="Q4964" s="18" t="str">
        <f aca="false">IF(COUNTIF(LOOKAHEAD!$A$5:$A$604,A4964)&gt;0,"En Lookahead",IF(P4964="Sí","INCORPORAR",""))</f>
        <v/>
      </c>
    </row>
    <row r="4965" customFormat="false" ht="15" hidden="false" customHeight="false" outlineLevel="0" collapsed="false">
      <c r="A4965" s="16" t="s">
        <v>15347</v>
      </c>
      <c r="B4965" s="16" t="n">
        <v>4960</v>
      </c>
      <c r="C4965" s="16" t="s">
        <v>15348</v>
      </c>
      <c r="D4965" s="16" t="n">
        <v>8</v>
      </c>
      <c r="E4965" s="39" t="s">
        <v>14319</v>
      </c>
      <c r="F4965" s="16" t="s">
        <v>1285</v>
      </c>
      <c r="G4965" s="16" t="s">
        <v>1063</v>
      </c>
      <c r="H4965" s="16" t="s">
        <v>14297</v>
      </c>
      <c r="I4965" s="16" t="s">
        <v>136</v>
      </c>
      <c r="J4965" s="16" t="s">
        <v>14534</v>
      </c>
      <c r="K4965" s="32" t="n">
        <v>50</v>
      </c>
      <c r="L4965" s="33" t="n">
        <v>46541</v>
      </c>
      <c r="M4965" s="33" t="n">
        <v>46590</v>
      </c>
      <c r="N4965" s="16" t="s">
        <v>14652</v>
      </c>
      <c r="O4965" s="16" t="s">
        <v>1299</v>
      </c>
      <c r="P4965" s="16" t="str">
        <f aca="false">IF(AND(L4965&lt;=$D$2,M4965&gt;=$C$2),"Sí","")</f>
        <v/>
      </c>
      <c r="Q4965" s="18" t="str">
        <f aca="false">IF(COUNTIF(LOOKAHEAD!$A$5:$A$604,A4965)&gt;0,"En Lookahead",IF(P4965="Sí","INCORPORAR",""))</f>
        <v/>
      </c>
    </row>
    <row r="4966" customFormat="false" ht="15" hidden="false" customHeight="false" outlineLevel="0" collapsed="false">
      <c r="A4966" s="16" t="s">
        <v>15349</v>
      </c>
      <c r="B4966" s="16" t="n">
        <v>4961</v>
      </c>
      <c r="C4966" s="16" t="s">
        <v>15350</v>
      </c>
      <c r="D4966" s="16" t="n">
        <v>8</v>
      </c>
      <c r="E4966" s="39" t="s">
        <v>14322</v>
      </c>
      <c r="F4966" s="16" t="s">
        <v>1285</v>
      </c>
      <c r="G4966" s="16" t="s">
        <v>1063</v>
      </c>
      <c r="H4966" s="16" t="s">
        <v>14297</v>
      </c>
      <c r="I4966" s="16" t="s">
        <v>136</v>
      </c>
      <c r="J4966" s="16" t="s">
        <v>14534</v>
      </c>
      <c r="K4966" s="32" t="n">
        <v>50</v>
      </c>
      <c r="L4966" s="33" t="n">
        <v>46541</v>
      </c>
      <c r="M4966" s="33" t="n">
        <v>46590</v>
      </c>
      <c r="N4966" s="16" t="s">
        <v>14652</v>
      </c>
      <c r="O4966" s="16" t="s">
        <v>1299</v>
      </c>
      <c r="P4966" s="16" t="str">
        <f aca="false">IF(AND(L4966&lt;=$D$2,M4966&gt;=$C$2),"Sí","")</f>
        <v/>
      </c>
      <c r="Q4966" s="18" t="str">
        <f aca="false">IF(COUNTIF(LOOKAHEAD!$A$5:$A$604,A4966)&gt;0,"En Lookahead",IF(P4966="Sí","INCORPORAR",""))</f>
        <v/>
      </c>
    </row>
    <row r="4967" customFormat="false" ht="15" hidden="false" customHeight="false" outlineLevel="0" collapsed="false">
      <c r="A4967" s="16" t="s">
        <v>15351</v>
      </c>
      <c r="B4967" s="16" t="n">
        <v>4962</v>
      </c>
      <c r="C4967" s="16" t="s">
        <v>15352</v>
      </c>
      <c r="D4967" s="16" t="n">
        <v>8</v>
      </c>
      <c r="E4967" s="39" t="s">
        <v>14548</v>
      </c>
      <c r="F4967" s="16" t="s">
        <v>1285</v>
      </c>
      <c r="G4967" s="16" t="s">
        <v>1063</v>
      </c>
      <c r="H4967" s="16" t="s">
        <v>14297</v>
      </c>
      <c r="I4967" s="16" t="s">
        <v>136</v>
      </c>
      <c r="J4967" s="16" t="s">
        <v>14534</v>
      </c>
      <c r="K4967" s="32" t="n">
        <v>50</v>
      </c>
      <c r="L4967" s="33" t="n">
        <v>46541</v>
      </c>
      <c r="M4967" s="33" t="n">
        <v>46590</v>
      </c>
      <c r="N4967" s="16" t="s">
        <v>14652</v>
      </c>
      <c r="O4967" s="16" t="s">
        <v>1299</v>
      </c>
      <c r="P4967" s="16" t="str">
        <f aca="false">IF(AND(L4967&lt;=$D$2,M4967&gt;=$C$2),"Sí","")</f>
        <v/>
      </c>
      <c r="Q4967" s="18" t="str">
        <f aca="false">IF(COUNTIF(LOOKAHEAD!$A$5:$A$604,A4967)&gt;0,"En Lookahead",IF(P4967="Sí","INCORPORAR",""))</f>
        <v/>
      </c>
    </row>
    <row r="4968" customFormat="false" ht="15" hidden="false" customHeight="false" outlineLevel="0" collapsed="false">
      <c r="A4968" s="16" t="s">
        <v>15353</v>
      </c>
      <c r="B4968" s="16" t="n">
        <v>4963</v>
      </c>
      <c r="C4968" s="16" t="s">
        <v>15354</v>
      </c>
      <c r="D4968" s="16" t="n">
        <v>8</v>
      </c>
      <c r="E4968" s="39" t="s">
        <v>14553</v>
      </c>
      <c r="F4968" s="16" t="s">
        <v>1285</v>
      </c>
      <c r="G4968" s="16" t="s">
        <v>1063</v>
      </c>
      <c r="H4968" s="16" t="s">
        <v>14297</v>
      </c>
      <c r="I4968" s="16" t="s">
        <v>136</v>
      </c>
      <c r="J4968" s="16" t="s">
        <v>14534</v>
      </c>
      <c r="K4968" s="32" t="n">
        <v>50</v>
      </c>
      <c r="L4968" s="33" t="n">
        <v>46541</v>
      </c>
      <c r="M4968" s="33" t="n">
        <v>46590</v>
      </c>
      <c r="N4968" s="16" t="s">
        <v>14652</v>
      </c>
      <c r="O4968" s="16" t="s">
        <v>1299</v>
      </c>
      <c r="P4968" s="16" t="str">
        <f aca="false">IF(AND(L4968&lt;=$D$2,M4968&gt;=$C$2),"Sí","")</f>
        <v/>
      </c>
      <c r="Q4968" s="18" t="str">
        <f aca="false">IF(COUNTIF(LOOKAHEAD!$A$5:$A$604,A4968)&gt;0,"En Lookahead",IF(P4968="Sí","INCORPORAR",""))</f>
        <v/>
      </c>
    </row>
    <row r="4969" customFormat="false" ht="15" hidden="false" customHeight="false" outlineLevel="0" collapsed="false">
      <c r="A4969" s="13" t="s">
        <v>15355</v>
      </c>
      <c r="B4969" s="13" t="n">
        <v>4964</v>
      </c>
      <c r="C4969" s="13" t="s">
        <v>15356</v>
      </c>
      <c r="D4969" s="13" t="n">
        <v>7</v>
      </c>
      <c r="E4969" s="38" t="s">
        <v>15357</v>
      </c>
      <c r="F4969" s="13" t="s">
        <v>1298</v>
      </c>
      <c r="G4969" s="13" t="s">
        <v>1063</v>
      </c>
      <c r="H4969" s="13" t="s">
        <v>14297</v>
      </c>
      <c r="I4969" s="13" t="s">
        <v>136</v>
      </c>
      <c r="J4969" s="13" t="s">
        <v>14565</v>
      </c>
      <c r="K4969" s="30" t="n">
        <v>50</v>
      </c>
      <c r="L4969" s="31" t="n">
        <v>46541</v>
      </c>
      <c r="M4969" s="31" t="n">
        <v>46590</v>
      </c>
      <c r="N4969" s="13"/>
      <c r="O4969" s="13" t="s">
        <v>1299</v>
      </c>
      <c r="P4969" s="13"/>
      <c r="Q4969" s="13"/>
    </row>
    <row r="4970" customFormat="false" ht="15" hidden="false" customHeight="false" outlineLevel="0" collapsed="false">
      <c r="A4970" s="16" t="s">
        <v>15358</v>
      </c>
      <c r="B4970" s="16" t="n">
        <v>4965</v>
      </c>
      <c r="C4970" s="16" t="s">
        <v>15359</v>
      </c>
      <c r="D4970" s="16" t="n">
        <v>8</v>
      </c>
      <c r="E4970" s="39" t="s">
        <v>14392</v>
      </c>
      <c r="F4970" s="16" t="s">
        <v>1285</v>
      </c>
      <c r="G4970" s="16" t="s">
        <v>1063</v>
      </c>
      <c r="H4970" s="16" t="s">
        <v>14297</v>
      </c>
      <c r="I4970" s="16" t="s">
        <v>136</v>
      </c>
      <c r="J4970" s="16" t="s">
        <v>15357</v>
      </c>
      <c r="K4970" s="32" t="n">
        <v>50</v>
      </c>
      <c r="L4970" s="33" t="n">
        <v>46541</v>
      </c>
      <c r="M4970" s="33" t="n">
        <v>46590</v>
      </c>
      <c r="N4970" s="16" t="s">
        <v>14652</v>
      </c>
      <c r="O4970" s="16" t="s">
        <v>1299</v>
      </c>
      <c r="P4970" s="16" t="str">
        <f aca="false">IF(AND(L4970&lt;=$D$2,M4970&gt;=$C$2),"Sí","")</f>
        <v/>
      </c>
      <c r="Q4970" s="18" t="str">
        <f aca="false">IF(COUNTIF(LOOKAHEAD!$A$5:$A$604,A4970)&gt;0,"En Lookahead",IF(P4970="Sí","INCORPORAR",""))</f>
        <v/>
      </c>
    </row>
    <row r="4971" customFormat="false" ht="15" hidden="false" customHeight="false" outlineLevel="0" collapsed="false">
      <c r="A4971" s="16" t="s">
        <v>15360</v>
      </c>
      <c r="B4971" s="16" t="n">
        <v>4966</v>
      </c>
      <c r="C4971" s="16" t="s">
        <v>15361</v>
      </c>
      <c r="D4971" s="16" t="n">
        <v>8</v>
      </c>
      <c r="E4971" s="39" t="s">
        <v>14484</v>
      </c>
      <c r="F4971" s="16" t="s">
        <v>1285</v>
      </c>
      <c r="G4971" s="16" t="s">
        <v>1063</v>
      </c>
      <c r="H4971" s="16" t="s">
        <v>14297</v>
      </c>
      <c r="I4971" s="16" t="s">
        <v>136</v>
      </c>
      <c r="J4971" s="16" t="s">
        <v>15357</v>
      </c>
      <c r="K4971" s="32" t="n">
        <v>50</v>
      </c>
      <c r="L4971" s="33" t="n">
        <v>46541</v>
      </c>
      <c r="M4971" s="33" t="n">
        <v>46590</v>
      </c>
      <c r="N4971" s="16" t="s">
        <v>14652</v>
      </c>
      <c r="O4971" s="16" t="s">
        <v>1299</v>
      </c>
      <c r="P4971" s="16" t="str">
        <f aca="false">IF(AND(L4971&lt;=$D$2,M4971&gt;=$C$2),"Sí","")</f>
        <v/>
      </c>
      <c r="Q4971" s="18" t="str">
        <f aca="false">IF(COUNTIF(LOOKAHEAD!$A$5:$A$604,A4971)&gt;0,"En Lookahead",IF(P4971="Sí","INCORPORAR",""))</f>
        <v/>
      </c>
    </row>
    <row r="4972" customFormat="false" ht="15" hidden="false" customHeight="false" outlineLevel="0" collapsed="false">
      <c r="A4972" s="13" t="s">
        <v>15362</v>
      </c>
      <c r="B4972" s="13" t="n">
        <v>4967</v>
      </c>
      <c r="C4972" s="13" t="s">
        <v>15363</v>
      </c>
      <c r="D4972" s="13" t="n">
        <v>7</v>
      </c>
      <c r="E4972" s="38" t="s">
        <v>14902</v>
      </c>
      <c r="F4972" s="13" t="s">
        <v>1298</v>
      </c>
      <c r="G4972" s="13" t="s">
        <v>1063</v>
      </c>
      <c r="H4972" s="13" t="s">
        <v>14297</v>
      </c>
      <c r="I4972" s="13" t="s">
        <v>136</v>
      </c>
      <c r="J4972" s="13" t="s">
        <v>14565</v>
      </c>
      <c r="K4972" s="30" t="n">
        <v>50</v>
      </c>
      <c r="L4972" s="31" t="n">
        <v>46541</v>
      </c>
      <c r="M4972" s="31" t="n">
        <v>46590</v>
      </c>
      <c r="N4972" s="13"/>
      <c r="O4972" s="13" t="s">
        <v>1299</v>
      </c>
      <c r="P4972" s="13"/>
      <c r="Q4972" s="13"/>
    </row>
    <row r="4973" customFormat="false" ht="15" hidden="false" customHeight="false" outlineLevel="0" collapsed="false">
      <c r="A4973" s="16" t="s">
        <v>15364</v>
      </c>
      <c r="B4973" s="16" t="n">
        <v>4968</v>
      </c>
      <c r="C4973" s="16" t="s">
        <v>15365</v>
      </c>
      <c r="D4973" s="16" t="n">
        <v>8</v>
      </c>
      <c r="E4973" s="39" t="s">
        <v>14506</v>
      </c>
      <c r="F4973" s="16" t="s">
        <v>1285</v>
      </c>
      <c r="G4973" s="16" t="s">
        <v>1063</v>
      </c>
      <c r="H4973" s="16" t="s">
        <v>14297</v>
      </c>
      <c r="I4973" s="16" t="s">
        <v>136</v>
      </c>
      <c r="J4973" s="16" t="s">
        <v>14902</v>
      </c>
      <c r="K4973" s="32" t="n">
        <v>50</v>
      </c>
      <c r="L4973" s="33" t="n">
        <v>46541</v>
      </c>
      <c r="M4973" s="33" t="n">
        <v>46590</v>
      </c>
      <c r="N4973" s="16" t="s">
        <v>14652</v>
      </c>
      <c r="O4973" s="16" t="s">
        <v>1299</v>
      </c>
      <c r="P4973" s="16" t="str">
        <f aca="false">IF(AND(L4973&lt;=$D$2,M4973&gt;=$C$2),"Sí","")</f>
        <v/>
      </c>
      <c r="Q4973" s="18" t="str">
        <f aca="false">IF(COUNTIF(LOOKAHEAD!$A$5:$A$604,A4973)&gt;0,"En Lookahead",IF(P4973="Sí","INCORPORAR",""))</f>
        <v/>
      </c>
    </row>
    <row r="4974" customFormat="false" ht="15" hidden="false" customHeight="false" outlineLevel="0" collapsed="false">
      <c r="A4974" s="13" t="s">
        <v>15366</v>
      </c>
      <c r="B4974" s="13" t="n">
        <v>4969</v>
      </c>
      <c r="C4974" s="13" t="s">
        <v>15367</v>
      </c>
      <c r="D4974" s="13" t="n">
        <v>7</v>
      </c>
      <c r="E4974" s="38" t="s">
        <v>14632</v>
      </c>
      <c r="F4974" s="13" t="s">
        <v>1298</v>
      </c>
      <c r="G4974" s="13" t="s">
        <v>1063</v>
      </c>
      <c r="H4974" s="13" t="s">
        <v>14297</v>
      </c>
      <c r="I4974" s="13" t="s">
        <v>136</v>
      </c>
      <c r="J4974" s="13" t="s">
        <v>14565</v>
      </c>
      <c r="K4974" s="30" t="n">
        <v>50</v>
      </c>
      <c r="L4974" s="31" t="n">
        <v>46541</v>
      </c>
      <c r="M4974" s="31" t="n">
        <v>46590</v>
      </c>
      <c r="N4974" s="13"/>
      <c r="O4974" s="13" t="s">
        <v>1299</v>
      </c>
      <c r="P4974" s="13"/>
      <c r="Q4974" s="13"/>
    </row>
    <row r="4975" customFormat="false" ht="15" hidden="false" customHeight="false" outlineLevel="0" collapsed="false">
      <c r="A4975" s="16" t="s">
        <v>15368</v>
      </c>
      <c r="B4975" s="16" t="n">
        <v>4970</v>
      </c>
      <c r="C4975" s="16" t="s">
        <v>15369</v>
      </c>
      <c r="D4975" s="16" t="n">
        <v>8</v>
      </c>
      <c r="E4975" s="39" t="s">
        <v>14512</v>
      </c>
      <c r="F4975" s="16" t="s">
        <v>1285</v>
      </c>
      <c r="G4975" s="16" t="s">
        <v>1063</v>
      </c>
      <c r="H4975" s="16" t="s">
        <v>14297</v>
      </c>
      <c r="I4975" s="16" t="s">
        <v>136</v>
      </c>
      <c r="J4975" s="16" t="s">
        <v>14632</v>
      </c>
      <c r="K4975" s="32" t="n">
        <v>50</v>
      </c>
      <c r="L4975" s="33" t="n">
        <v>46541</v>
      </c>
      <c r="M4975" s="33" t="n">
        <v>46590</v>
      </c>
      <c r="N4975" s="16" t="s">
        <v>14652</v>
      </c>
      <c r="O4975" s="16" t="s">
        <v>1299</v>
      </c>
      <c r="P4975" s="16" t="str">
        <f aca="false">IF(AND(L4975&lt;=$D$2,M4975&gt;=$C$2),"Sí","")</f>
        <v/>
      </c>
      <c r="Q4975" s="18" t="str">
        <f aca="false">IF(COUNTIF(LOOKAHEAD!$A$5:$A$604,A4975)&gt;0,"En Lookahead",IF(P4975="Sí","INCORPORAR",""))</f>
        <v/>
      </c>
    </row>
    <row r="4976" customFormat="false" ht="15" hidden="false" customHeight="false" outlineLevel="0" collapsed="false">
      <c r="A4976" s="13" t="s">
        <v>15370</v>
      </c>
      <c r="B4976" s="13" t="n">
        <v>4971</v>
      </c>
      <c r="C4976" s="13" t="s">
        <v>15371</v>
      </c>
      <c r="D4976" s="13" t="n">
        <v>5</v>
      </c>
      <c r="E4976" s="34" t="s">
        <v>3012</v>
      </c>
      <c r="F4976" s="13" t="s">
        <v>1298</v>
      </c>
      <c r="G4976" s="13" t="s">
        <v>1063</v>
      </c>
      <c r="H4976" s="13" t="s">
        <v>14297</v>
      </c>
      <c r="I4976" s="13" t="s">
        <v>136</v>
      </c>
      <c r="J4976" s="13" t="s">
        <v>14297</v>
      </c>
      <c r="K4976" s="30" t="n">
        <v>50</v>
      </c>
      <c r="L4976" s="31" t="n">
        <v>46541</v>
      </c>
      <c r="M4976" s="31" t="n">
        <v>46590</v>
      </c>
      <c r="N4976" s="13"/>
      <c r="O4976" s="13" t="s">
        <v>1299</v>
      </c>
      <c r="P4976" s="13"/>
      <c r="Q4976" s="13"/>
    </row>
    <row r="4977" customFormat="false" ht="15" hidden="false" customHeight="false" outlineLevel="0" collapsed="false">
      <c r="A4977" s="13" t="s">
        <v>15372</v>
      </c>
      <c r="B4977" s="13" t="n">
        <v>4972</v>
      </c>
      <c r="C4977" s="13" t="s">
        <v>15373</v>
      </c>
      <c r="D4977" s="13" t="n">
        <v>6</v>
      </c>
      <c r="E4977" s="36" t="s">
        <v>14302</v>
      </c>
      <c r="F4977" s="13" t="s">
        <v>1298</v>
      </c>
      <c r="G4977" s="13" t="s">
        <v>1063</v>
      </c>
      <c r="H4977" s="13" t="s">
        <v>14297</v>
      </c>
      <c r="I4977" s="13" t="s">
        <v>136</v>
      </c>
      <c r="J4977" s="13" t="s">
        <v>3012</v>
      </c>
      <c r="K4977" s="30" t="n">
        <v>50</v>
      </c>
      <c r="L4977" s="31" t="n">
        <v>46541</v>
      </c>
      <c r="M4977" s="31" t="n">
        <v>46590</v>
      </c>
      <c r="N4977" s="13"/>
      <c r="O4977" s="13" t="s">
        <v>1299</v>
      </c>
      <c r="P4977" s="13"/>
      <c r="Q4977" s="13"/>
    </row>
    <row r="4978" customFormat="false" ht="15" hidden="false" customHeight="false" outlineLevel="0" collapsed="false">
      <c r="A4978" s="13" t="s">
        <v>15374</v>
      </c>
      <c r="B4978" s="13" t="n">
        <v>4973</v>
      </c>
      <c r="C4978" s="13" t="s">
        <v>15375</v>
      </c>
      <c r="D4978" s="13" t="n">
        <v>7</v>
      </c>
      <c r="E4978" s="38" t="s">
        <v>15376</v>
      </c>
      <c r="F4978" s="13" t="s">
        <v>1298</v>
      </c>
      <c r="G4978" s="13" t="s">
        <v>1063</v>
      </c>
      <c r="H4978" s="13" t="s">
        <v>14297</v>
      </c>
      <c r="I4978" s="13" t="s">
        <v>136</v>
      </c>
      <c r="J4978" s="13" t="s">
        <v>14302</v>
      </c>
      <c r="K4978" s="30" t="n">
        <v>50</v>
      </c>
      <c r="L4978" s="31" t="n">
        <v>46541</v>
      </c>
      <c r="M4978" s="31" t="n">
        <v>46590</v>
      </c>
      <c r="N4978" s="13"/>
      <c r="O4978" s="13" t="s">
        <v>1299</v>
      </c>
      <c r="P4978" s="13"/>
      <c r="Q4978" s="13"/>
    </row>
    <row r="4979" customFormat="false" ht="15" hidden="false" customHeight="false" outlineLevel="0" collapsed="false">
      <c r="A4979" s="16" t="s">
        <v>15377</v>
      </c>
      <c r="B4979" s="16" t="n">
        <v>4974</v>
      </c>
      <c r="C4979" s="16" t="s">
        <v>15378</v>
      </c>
      <c r="D4979" s="16" t="n">
        <v>8</v>
      </c>
      <c r="E4979" s="39" t="s">
        <v>15269</v>
      </c>
      <c r="F4979" s="16" t="s">
        <v>1285</v>
      </c>
      <c r="G4979" s="16" t="s">
        <v>1063</v>
      </c>
      <c r="H4979" s="16" t="s">
        <v>14297</v>
      </c>
      <c r="I4979" s="16" t="s">
        <v>136</v>
      </c>
      <c r="J4979" s="16" t="s">
        <v>15376</v>
      </c>
      <c r="K4979" s="32" t="n">
        <v>50</v>
      </c>
      <c r="L4979" s="33" t="n">
        <v>46541</v>
      </c>
      <c r="M4979" s="33" t="n">
        <v>46590</v>
      </c>
      <c r="N4979" s="16" t="s">
        <v>15379</v>
      </c>
      <c r="O4979" s="16" t="s">
        <v>1299</v>
      </c>
      <c r="P4979" s="16" t="str">
        <f aca="false">IF(AND(L4979&lt;=$D$2,M4979&gt;=$C$2),"Sí","")</f>
        <v/>
      </c>
      <c r="Q4979" s="18" t="str">
        <f aca="false">IF(COUNTIF(LOOKAHEAD!$A$5:$A$604,A4979)&gt;0,"En Lookahead",IF(P4979="Sí","INCORPORAR",""))</f>
        <v/>
      </c>
    </row>
    <row r="4980" customFormat="false" ht="15" hidden="false" customHeight="false" outlineLevel="0" collapsed="false">
      <c r="A4980" s="13" t="s">
        <v>15380</v>
      </c>
      <c r="B4980" s="13" t="n">
        <v>4975</v>
      </c>
      <c r="C4980" s="13" t="s">
        <v>15381</v>
      </c>
      <c r="D4980" s="13" t="n">
        <v>7</v>
      </c>
      <c r="E4980" s="38" t="s">
        <v>15206</v>
      </c>
      <c r="F4980" s="13" t="s">
        <v>1298</v>
      </c>
      <c r="G4980" s="13" t="s">
        <v>1063</v>
      </c>
      <c r="H4980" s="13" t="s">
        <v>14297</v>
      </c>
      <c r="I4980" s="13" t="s">
        <v>136</v>
      </c>
      <c r="J4980" s="13" t="s">
        <v>14302</v>
      </c>
      <c r="K4980" s="30" t="n">
        <v>50</v>
      </c>
      <c r="L4980" s="31" t="n">
        <v>46541</v>
      </c>
      <c r="M4980" s="31" t="n">
        <v>46590</v>
      </c>
      <c r="N4980" s="13"/>
      <c r="O4980" s="13" t="s">
        <v>1299</v>
      </c>
      <c r="P4980" s="13"/>
      <c r="Q4980" s="13"/>
    </row>
    <row r="4981" customFormat="false" ht="15" hidden="false" customHeight="false" outlineLevel="0" collapsed="false">
      <c r="A4981" s="16" t="s">
        <v>15382</v>
      </c>
      <c r="B4981" s="16" t="n">
        <v>4976</v>
      </c>
      <c r="C4981" s="16" t="s">
        <v>15383</v>
      </c>
      <c r="D4981" s="16" t="n">
        <v>8</v>
      </c>
      <c r="E4981" s="39" t="s">
        <v>14308</v>
      </c>
      <c r="F4981" s="16" t="s">
        <v>1285</v>
      </c>
      <c r="G4981" s="16" t="s">
        <v>1063</v>
      </c>
      <c r="H4981" s="16" t="s">
        <v>14297</v>
      </c>
      <c r="I4981" s="16" t="s">
        <v>136</v>
      </c>
      <c r="J4981" s="16" t="s">
        <v>15206</v>
      </c>
      <c r="K4981" s="32" t="n">
        <v>50</v>
      </c>
      <c r="L4981" s="33" t="n">
        <v>46541</v>
      </c>
      <c r="M4981" s="33" t="n">
        <v>46590</v>
      </c>
      <c r="N4981" s="16" t="s">
        <v>15384</v>
      </c>
      <c r="O4981" s="16" t="s">
        <v>1299</v>
      </c>
      <c r="P4981" s="16" t="str">
        <f aca="false">IF(AND(L4981&lt;=$D$2,M4981&gt;=$C$2),"Sí","")</f>
        <v/>
      </c>
      <c r="Q4981" s="18" t="str">
        <f aca="false">IF(COUNTIF(LOOKAHEAD!$A$5:$A$604,A4981)&gt;0,"En Lookahead",IF(P4981="Sí","INCORPORAR",""))</f>
        <v/>
      </c>
    </row>
    <row r="4982" customFormat="false" ht="15" hidden="false" customHeight="false" outlineLevel="0" collapsed="false">
      <c r="A4982" s="16" t="s">
        <v>15385</v>
      </c>
      <c r="B4982" s="16" t="n">
        <v>4977</v>
      </c>
      <c r="C4982" s="16" t="s">
        <v>15386</v>
      </c>
      <c r="D4982" s="16" t="n">
        <v>8</v>
      </c>
      <c r="E4982" s="39" t="s">
        <v>14392</v>
      </c>
      <c r="F4982" s="16" t="s">
        <v>1285</v>
      </c>
      <c r="G4982" s="16" t="s">
        <v>1063</v>
      </c>
      <c r="H4982" s="16" t="s">
        <v>14297</v>
      </c>
      <c r="I4982" s="16" t="s">
        <v>136</v>
      </c>
      <c r="J4982" s="16" t="s">
        <v>15206</v>
      </c>
      <c r="K4982" s="32" t="n">
        <v>50</v>
      </c>
      <c r="L4982" s="33" t="n">
        <v>46541</v>
      </c>
      <c r="M4982" s="33" t="n">
        <v>46590</v>
      </c>
      <c r="N4982" s="16" t="s">
        <v>15384</v>
      </c>
      <c r="O4982" s="16" t="s">
        <v>1299</v>
      </c>
      <c r="P4982" s="16" t="str">
        <f aca="false">IF(AND(L4982&lt;=$D$2,M4982&gt;=$C$2),"Sí","")</f>
        <v/>
      </c>
      <c r="Q4982" s="18" t="str">
        <f aca="false">IF(COUNTIF(LOOKAHEAD!$A$5:$A$604,A4982)&gt;0,"En Lookahead",IF(P4982="Sí","INCORPORAR",""))</f>
        <v/>
      </c>
    </row>
    <row r="4983" customFormat="false" ht="15" hidden="false" customHeight="false" outlineLevel="0" collapsed="false">
      <c r="A4983" s="16" t="s">
        <v>15387</v>
      </c>
      <c r="B4983" s="16" t="n">
        <v>4978</v>
      </c>
      <c r="C4983" s="16" t="s">
        <v>15388</v>
      </c>
      <c r="D4983" s="16" t="n">
        <v>8</v>
      </c>
      <c r="E4983" s="39" t="s">
        <v>14337</v>
      </c>
      <c r="F4983" s="16" t="s">
        <v>1285</v>
      </c>
      <c r="G4983" s="16" t="s">
        <v>1063</v>
      </c>
      <c r="H4983" s="16" t="s">
        <v>14297</v>
      </c>
      <c r="I4983" s="16" t="s">
        <v>136</v>
      </c>
      <c r="J4983" s="16" t="s">
        <v>15206</v>
      </c>
      <c r="K4983" s="32" t="n">
        <v>50</v>
      </c>
      <c r="L4983" s="33" t="n">
        <v>46541</v>
      </c>
      <c r="M4983" s="33" t="n">
        <v>46590</v>
      </c>
      <c r="N4983" s="16" t="s">
        <v>15384</v>
      </c>
      <c r="O4983" s="16" t="s">
        <v>1299</v>
      </c>
      <c r="P4983" s="16" t="str">
        <f aca="false">IF(AND(L4983&lt;=$D$2,M4983&gt;=$C$2),"Sí","")</f>
        <v/>
      </c>
      <c r="Q4983" s="18" t="str">
        <f aca="false">IF(COUNTIF(LOOKAHEAD!$A$5:$A$604,A4983)&gt;0,"En Lookahead",IF(P4983="Sí","INCORPORAR",""))</f>
        <v/>
      </c>
    </row>
    <row r="4984" customFormat="false" ht="15" hidden="false" customHeight="false" outlineLevel="0" collapsed="false">
      <c r="A4984" s="16" t="s">
        <v>15389</v>
      </c>
      <c r="B4984" s="16" t="n">
        <v>4979</v>
      </c>
      <c r="C4984" s="16" t="s">
        <v>15390</v>
      </c>
      <c r="D4984" s="16" t="n">
        <v>8</v>
      </c>
      <c r="E4984" s="39" t="s">
        <v>14316</v>
      </c>
      <c r="F4984" s="16" t="s">
        <v>1285</v>
      </c>
      <c r="G4984" s="16" t="s">
        <v>1063</v>
      </c>
      <c r="H4984" s="16" t="s">
        <v>14297</v>
      </c>
      <c r="I4984" s="16" t="s">
        <v>136</v>
      </c>
      <c r="J4984" s="16" t="s">
        <v>15206</v>
      </c>
      <c r="K4984" s="32" t="n">
        <v>50</v>
      </c>
      <c r="L4984" s="33" t="n">
        <v>46541</v>
      </c>
      <c r="M4984" s="33" t="n">
        <v>46590</v>
      </c>
      <c r="N4984" s="16" t="s">
        <v>15384</v>
      </c>
      <c r="O4984" s="16" t="s">
        <v>1299</v>
      </c>
      <c r="P4984" s="16" t="str">
        <f aca="false">IF(AND(L4984&lt;=$D$2,M4984&gt;=$C$2),"Sí","")</f>
        <v/>
      </c>
      <c r="Q4984" s="18" t="str">
        <f aca="false">IF(COUNTIF(LOOKAHEAD!$A$5:$A$604,A4984)&gt;0,"En Lookahead",IF(P4984="Sí","INCORPORAR",""))</f>
        <v/>
      </c>
    </row>
    <row r="4985" customFormat="false" ht="15" hidden="false" customHeight="false" outlineLevel="0" collapsed="false">
      <c r="A4985" s="16" t="s">
        <v>15391</v>
      </c>
      <c r="B4985" s="16" t="n">
        <v>4980</v>
      </c>
      <c r="C4985" s="16" t="s">
        <v>15392</v>
      </c>
      <c r="D4985" s="16" t="n">
        <v>8</v>
      </c>
      <c r="E4985" s="39" t="s">
        <v>14319</v>
      </c>
      <c r="F4985" s="16" t="s">
        <v>1285</v>
      </c>
      <c r="G4985" s="16" t="s">
        <v>1063</v>
      </c>
      <c r="H4985" s="16" t="s">
        <v>14297</v>
      </c>
      <c r="I4985" s="16" t="s">
        <v>136</v>
      </c>
      <c r="J4985" s="16" t="s">
        <v>15206</v>
      </c>
      <c r="K4985" s="32" t="n">
        <v>50</v>
      </c>
      <c r="L4985" s="33" t="n">
        <v>46541</v>
      </c>
      <c r="M4985" s="33" t="n">
        <v>46590</v>
      </c>
      <c r="N4985" s="16" t="s">
        <v>15384</v>
      </c>
      <c r="O4985" s="16" t="s">
        <v>1299</v>
      </c>
      <c r="P4985" s="16" t="str">
        <f aca="false">IF(AND(L4985&lt;=$D$2,M4985&gt;=$C$2),"Sí","")</f>
        <v/>
      </c>
      <c r="Q4985" s="18" t="str">
        <f aca="false">IF(COUNTIF(LOOKAHEAD!$A$5:$A$604,A4985)&gt;0,"En Lookahead",IF(P4985="Sí","INCORPORAR",""))</f>
        <v/>
      </c>
    </row>
    <row r="4986" customFormat="false" ht="15" hidden="false" customHeight="false" outlineLevel="0" collapsed="false">
      <c r="A4986" s="16" t="s">
        <v>15393</v>
      </c>
      <c r="B4986" s="16" t="n">
        <v>4981</v>
      </c>
      <c r="C4986" s="16" t="s">
        <v>15394</v>
      </c>
      <c r="D4986" s="16" t="n">
        <v>8</v>
      </c>
      <c r="E4986" s="39" t="s">
        <v>14322</v>
      </c>
      <c r="F4986" s="16" t="s">
        <v>1285</v>
      </c>
      <c r="G4986" s="16" t="s">
        <v>1063</v>
      </c>
      <c r="H4986" s="16" t="s">
        <v>14297</v>
      </c>
      <c r="I4986" s="16" t="s">
        <v>136</v>
      </c>
      <c r="J4986" s="16" t="s">
        <v>15206</v>
      </c>
      <c r="K4986" s="32" t="n">
        <v>50</v>
      </c>
      <c r="L4986" s="33" t="n">
        <v>46541</v>
      </c>
      <c r="M4986" s="33" t="n">
        <v>46590</v>
      </c>
      <c r="N4986" s="16" t="s">
        <v>15384</v>
      </c>
      <c r="O4986" s="16" t="s">
        <v>1299</v>
      </c>
      <c r="P4986" s="16" t="str">
        <f aca="false">IF(AND(L4986&lt;=$D$2,M4986&gt;=$C$2),"Sí","")</f>
        <v/>
      </c>
      <c r="Q4986" s="18" t="str">
        <f aca="false">IF(COUNTIF(LOOKAHEAD!$A$5:$A$604,A4986)&gt;0,"En Lookahead",IF(P4986="Sí","INCORPORAR",""))</f>
        <v/>
      </c>
    </row>
    <row r="4987" customFormat="false" ht="15" hidden="false" customHeight="false" outlineLevel="0" collapsed="false">
      <c r="A4987" s="16" t="s">
        <v>15395</v>
      </c>
      <c r="B4987" s="16" t="n">
        <v>4982</v>
      </c>
      <c r="C4987" s="16" t="s">
        <v>15396</v>
      </c>
      <c r="D4987" s="16" t="n">
        <v>8</v>
      </c>
      <c r="E4987" s="39" t="s">
        <v>14506</v>
      </c>
      <c r="F4987" s="16" t="s">
        <v>1285</v>
      </c>
      <c r="G4987" s="16" t="s">
        <v>1063</v>
      </c>
      <c r="H4987" s="16" t="s">
        <v>14297</v>
      </c>
      <c r="I4987" s="16" t="s">
        <v>136</v>
      </c>
      <c r="J4987" s="16" t="s">
        <v>15206</v>
      </c>
      <c r="K4987" s="32" t="n">
        <v>50</v>
      </c>
      <c r="L4987" s="33" t="n">
        <v>46541</v>
      </c>
      <c r="M4987" s="33" t="n">
        <v>46590</v>
      </c>
      <c r="N4987" s="16" t="s">
        <v>15384</v>
      </c>
      <c r="O4987" s="16" t="s">
        <v>1299</v>
      </c>
      <c r="P4987" s="16" t="str">
        <f aca="false">IF(AND(L4987&lt;=$D$2,M4987&gt;=$C$2),"Sí","")</f>
        <v/>
      </c>
      <c r="Q4987" s="18" t="str">
        <f aca="false">IF(COUNTIF(LOOKAHEAD!$A$5:$A$604,A4987)&gt;0,"En Lookahead",IF(P4987="Sí","INCORPORAR",""))</f>
        <v/>
      </c>
    </row>
    <row r="4988" customFormat="false" ht="15" hidden="false" customHeight="false" outlineLevel="0" collapsed="false">
      <c r="A4988" s="16" t="s">
        <v>15397</v>
      </c>
      <c r="B4988" s="16" t="n">
        <v>4983</v>
      </c>
      <c r="C4988" s="16" t="s">
        <v>15398</v>
      </c>
      <c r="D4988" s="16" t="n">
        <v>8</v>
      </c>
      <c r="E4988" s="39" t="s">
        <v>15399</v>
      </c>
      <c r="F4988" s="16" t="s">
        <v>1285</v>
      </c>
      <c r="G4988" s="16" t="s">
        <v>1063</v>
      </c>
      <c r="H4988" s="16" t="s">
        <v>14297</v>
      </c>
      <c r="I4988" s="16" t="s">
        <v>136</v>
      </c>
      <c r="J4988" s="16" t="s">
        <v>15206</v>
      </c>
      <c r="K4988" s="32" t="n">
        <v>50</v>
      </c>
      <c r="L4988" s="33" t="n">
        <v>46541</v>
      </c>
      <c r="M4988" s="33" t="n">
        <v>46590</v>
      </c>
      <c r="N4988" s="16" t="s">
        <v>15384</v>
      </c>
      <c r="O4988" s="16" t="s">
        <v>1299</v>
      </c>
      <c r="P4988" s="16" t="str">
        <f aca="false">IF(AND(L4988&lt;=$D$2,M4988&gt;=$C$2),"Sí","")</f>
        <v/>
      </c>
      <c r="Q4988" s="18" t="str">
        <f aca="false">IF(COUNTIF(LOOKAHEAD!$A$5:$A$604,A4988)&gt;0,"En Lookahead",IF(P4988="Sí","INCORPORAR",""))</f>
        <v/>
      </c>
    </row>
    <row r="4989" customFormat="false" ht="15" hidden="false" customHeight="false" outlineLevel="0" collapsed="false">
      <c r="A4989" s="16" t="s">
        <v>15400</v>
      </c>
      <c r="B4989" s="16" t="n">
        <v>4984</v>
      </c>
      <c r="C4989" s="16" t="s">
        <v>15401</v>
      </c>
      <c r="D4989" s="16" t="n">
        <v>8</v>
      </c>
      <c r="E4989" s="39" t="s">
        <v>14629</v>
      </c>
      <c r="F4989" s="16" t="s">
        <v>1285</v>
      </c>
      <c r="G4989" s="16" t="s">
        <v>1063</v>
      </c>
      <c r="H4989" s="16" t="s">
        <v>14297</v>
      </c>
      <c r="I4989" s="16" t="s">
        <v>136</v>
      </c>
      <c r="J4989" s="16" t="s">
        <v>15206</v>
      </c>
      <c r="K4989" s="32" t="n">
        <v>50</v>
      </c>
      <c r="L4989" s="33" t="n">
        <v>46541</v>
      </c>
      <c r="M4989" s="33" t="n">
        <v>46590</v>
      </c>
      <c r="N4989" s="16" t="s">
        <v>15384</v>
      </c>
      <c r="O4989" s="16" t="s">
        <v>1299</v>
      </c>
      <c r="P4989" s="16" t="str">
        <f aca="false">IF(AND(L4989&lt;=$D$2,M4989&gt;=$C$2),"Sí","")</f>
        <v/>
      </c>
      <c r="Q4989" s="18" t="str">
        <f aca="false">IF(COUNTIF(LOOKAHEAD!$A$5:$A$604,A4989)&gt;0,"En Lookahead",IF(P4989="Sí","INCORPORAR",""))</f>
        <v/>
      </c>
    </row>
    <row r="4990" customFormat="false" ht="15" hidden="false" customHeight="false" outlineLevel="0" collapsed="false">
      <c r="A4990" s="16" t="s">
        <v>15402</v>
      </c>
      <c r="B4990" s="16" t="n">
        <v>4985</v>
      </c>
      <c r="C4990" s="16" t="s">
        <v>15403</v>
      </c>
      <c r="D4990" s="16" t="n">
        <v>8</v>
      </c>
      <c r="E4990" s="39" t="s">
        <v>14381</v>
      </c>
      <c r="F4990" s="16" t="s">
        <v>1285</v>
      </c>
      <c r="G4990" s="16" t="s">
        <v>1063</v>
      </c>
      <c r="H4990" s="16" t="s">
        <v>14297</v>
      </c>
      <c r="I4990" s="16" t="s">
        <v>136</v>
      </c>
      <c r="J4990" s="16" t="s">
        <v>15206</v>
      </c>
      <c r="K4990" s="32" t="n">
        <v>50</v>
      </c>
      <c r="L4990" s="33" t="n">
        <v>46541</v>
      </c>
      <c r="M4990" s="33" t="n">
        <v>46590</v>
      </c>
      <c r="N4990" s="16" t="s">
        <v>15384</v>
      </c>
      <c r="O4990" s="16" t="s">
        <v>1299</v>
      </c>
      <c r="P4990" s="16" t="str">
        <f aca="false">IF(AND(L4990&lt;=$D$2,M4990&gt;=$C$2),"Sí","")</f>
        <v/>
      </c>
      <c r="Q4990" s="18" t="str">
        <f aca="false">IF(COUNTIF(LOOKAHEAD!$A$5:$A$604,A4990)&gt;0,"En Lookahead",IF(P4990="Sí","INCORPORAR",""))</f>
        <v/>
      </c>
    </row>
    <row r="4991" customFormat="false" ht="15" hidden="false" customHeight="false" outlineLevel="0" collapsed="false">
      <c r="A4991" s="13" t="s">
        <v>15404</v>
      </c>
      <c r="B4991" s="13" t="n">
        <v>4986</v>
      </c>
      <c r="C4991" s="13" t="s">
        <v>15405</v>
      </c>
      <c r="D4991" s="13" t="n">
        <v>7</v>
      </c>
      <c r="E4991" s="38" t="s">
        <v>15406</v>
      </c>
      <c r="F4991" s="13" t="s">
        <v>1298</v>
      </c>
      <c r="G4991" s="13" t="s">
        <v>1063</v>
      </c>
      <c r="H4991" s="13" t="s">
        <v>14297</v>
      </c>
      <c r="I4991" s="13" t="s">
        <v>136</v>
      </c>
      <c r="J4991" s="13" t="s">
        <v>14302</v>
      </c>
      <c r="K4991" s="30" t="n">
        <v>50</v>
      </c>
      <c r="L4991" s="31" t="n">
        <v>46541</v>
      </c>
      <c r="M4991" s="31" t="n">
        <v>46590</v>
      </c>
      <c r="N4991" s="13"/>
      <c r="O4991" s="13" t="s">
        <v>1299</v>
      </c>
      <c r="P4991" s="13"/>
      <c r="Q4991" s="13"/>
    </row>
    <row r="4992" customFormat="false" ht="15" hidden="false" customHeight="false" outlineLevel="0" collapsed="false">
      <c r="A4992" s="16" t="s">
        <v>15407</v>
      </c>
      <c r="B4992" s="16" t="n">
        <v>4987</v>
      </c>
      <c r="C4992" s="16" t="s">
        <v>15408</v>
      </c>
      <c r="D4992" s="16" t="n">
        <v>8</v>
      </c>
      <c r="E4992" s="39" t="s">
        <v>14639</v>
      </c>
      <c r="F4992" s="16" t="s">
        <v>1285</v>
      </c>
      <c r="G4992" s="16" t="s">
        <v>1063</v>
      </c>
      <c r="H4992" s="16" t="s">
        <v>14297</v>
      </c>
      <c r="I4992" s="16" t="s">
        <v>136</v>
      </c>
      <c r="J4992" s="16" t="s">
        <v>15406</v>
      </c>
      <c r="K4992" s="32" t="n">
        <v>50</v>
      </c>
      <c r="L4992" s="33" t="n">
        <v>46541</v>
      </c>
      <c r="M4992" s="33" t="n">
        <v>46590</v>
      </c>
      <c r="N4992" s="16" t="s">
        <v>15384</v>
      </c>
      <c r="O4992" s="16" t="s">
        <v>1299</v>
      </c>
      <c r="P4992" s="16" t="str">
        <f aca="false">IF(AND(L4992&lt;=$D$2,M4992&gt;=$C$2),"Sí","")</f>
        <v/>
      </c>
      <c r="Q4992" s="18" t="str">
        <f aca="false">IF(COUNTIF(LOOKAHEAD!$A$5:$A$604,A4992)&gt;0,"En Lookahead",IF(P4992="Sí","INCORPORAR",""))</f>
        <v/>
      </c>
    </row>
    <row r="4993" customFormat="false" ht="15" hidden="false" customHeight="false" outlineLevel="0" collapsed="false">
      <c r="A4993" s="13" t="s">
        <v>15409</v>
      </c>
      <c r="B4993" s="13" t="n">
        <v>4988</v>
      </c>
      <c r="C4993" s="13" t="s">
        <v>15410</v>
      </c>
      <c r="D4993" s="13" t="n">
        <v>6</v>
      </c>
      <c r="E4993" s="36" t="s">
        <v>14471</v>
      </c>
      <c r="F4993" s="13" t="s">
        <v>1298</v>
      </c>
      <c r="G4993" s="13" t="s">
        <v>1063</v>
      </c>
      <c r="H4993" s="13" t="s">
        <v>14297</v>
      </c>
      <c r="I4993" s="13" t="s">
        <v>136</v>
      </c>
      <c r="J4993" s="13" t="s">
        <v>3012</v>
      </c>
      <c r="K4993" s="30" t="n">
        <v>50</v>
      </c>
      <c r="L4993" s="31" t="n">
        <v>46541</v>
      </c>
      <c r="M4993" s="31" t="n">
        <v>46590</v>
      </c>
      <c r="N4993" s="13"/>
      <c r="O4993" s="13" t="s">
        <v>1299</v>
      </c>
      <c r="P4993" s="13"/>
      <c r="Q4993" s="13"/>
    </row>
    <row r="4994" customFormat="false" ht="15" hidden="false" customHeight="false" outlineLevel="0" collapsed="false">
      <c r="A4994" s="13" t="s">
        <v>15411</v>
      </c>
      <c r="B4994" s="13" t="n">
        <v>4989</v>
      </c>
      <c r="C4994" s="13" t="s">
        <v>15412</v>
      </c>
      <c r="D4994" s="13" t="n">
        <v>7</v>
      </c>
      <c r="E4994" s="38" t="s">
        <v>15376</v>
      </c>
      <c r="F4994" s="13" t="s">
        <v>1298</v>
      </c>
      <c r="G4994" s="13" t="s">
        <v>1063</v>
      </c>
      <c r="H4994" s="13" t="s">
        <v>14297</v>
      </c>
      <c r="I4994" s="13" t="s">
        <v>136</v>
      </c>
      <c r="J4994" s="13" t="s">
        <v>14471</v>
      </c>
      <c r="K4994" s="30" t="n">
        <v>50</v>
      </c>
      <c r="L4994" s="31" t="n">
        <v>46541</v>
      </c>
      <c r="M4994" s="31" t="n">
        <v>46590</v>
      </c>
      <c r="N4994" s="13"/>
      <c r="O4994" s="13" t="s">
        <v>1299</v>
      </c>
      <c r="P4994" s="13"/>
      <c r="Q4994" s="13"/>
    </row>
    <row r="4995" customFormat="false" ht="15" hidden="false" customHeight="false" outlineLevel="0" collapsed="false">
      <c r="A4995" s="16" t="s">
        <v>15413</v>
      </c>
      <c r="B4995" s="16" t="n">
        <v>4990</v>
      </c>
      <c r="C4995" s="16" t="s">
        <v>15414</v>
      </c>
      <c r="D4995" s="16" t="n">
        <v>8</v>
      </c>
      <c r="E4995" s="39" t="s">
        <v>14392</v>
      </c>
      <c r="F4995" s="16" t="s">
        <v>1285</v>
      </c>
      <c r="G4995" s="16" t="s">
        <v>1063</v>
      </c>
      <c r="H4995" s="16" t="s">
        <v>14297</v>
      </c>
      <c r="I4995" s="16" t="s">
        <v>136</v>
      </c>
      <c r="J4995" s="16" t="s">
        <v>15376</v>
      </c>
      <c r="K4995" s="32" t="n">
        <v>50</v>
      </c>
      <c r="L4995" s="33" t="n">
        <v>46541</v>
      </c>
      <c r="M4995" s="33" t="n">
        <v>46590</v>
      </c>
      <c r="N4995" s="16" t="s">
        <v>15384</v>
      </c>
      <c r="O4995" s="16" t="s">
        <v>1299</v>
      </c>
      <c r="P4995" s="16" t="str">
        <f aca="false">IF(AND(L4995&lt;=$D$2,M4995&gt;=$C$2),"Sí","")</f>
        <v/>
      </c>
      <c r="Q4995" s="18" t="str">
        <f aca="false">IF(COUNTIF(LOOKAHEAD!$A$5:$A$604,A4995)&gt;0,"En Lookahead",IF(P4995="Sí","INCORPORAR",""))</f>
        <v/>
      </c>
    </row>
    <row r="4996" customFormat="false" ht="15" hidden="false" customHeight="false" outlineLevel="0" collapsed="false">
      <c r="A4996" s="16" t="s">
        <v>15415</v>
      </c>
      <c r="B4996" s="16" t="n">
        <v>4991</v>
      </c>
      <c r="C4996" s="16" t="s">
        <v>15416</v>
      </c>
      <c r="D4996" s="16" t="n">
        <v>8</v>
      </c>
      <c r="E4996" s="39" t="s">
        <v>14639</v>
      </c>
      <c r="F4996" s="16" t="s">
        <v>1285</v>
      </c>
      <c r="G4996" s="16" t="s">
        <v>1063</v>
      </c>
      <c r="H4996" s="16" t="s">
        <v>14297</v>
      </c>
      <c r="I4996" s="16" t="s">
        <v>136</v>
      </c>
      <c r="J4996" s="16" t="s">
        <v>15376</v>
      </c>
      <c r="K4996" s="32" t="n">
        <v>50</v>
      </c>
      <c r="L4996" s="33" t="n">
        <v>46541</v>
      </c>
      <c r="M4996" s="33" t="n">
        <v>46590</v>
      </c>
      <c r="N4996" s="16" t="s">
        <v>15384</v>
      </c>
      <c r="O4996" s="16" t="s">
        <v>1299</v>
      </c>
      <c r="P4996" s="16" t="str">
        <f aca="false">IF(AND(L4996&lt;=$D$2,M4996&gt;=$C$2),"Sí","")</f>
        <v/>
      </c>
      <c r="Q4996" s="18" t="str">
        <f aca="false">IF(COUNTIF(LOOKAHEAD!$A$5:$A$604,A4996)&gt;0,"En Lookahead",IF(P4996="Sí","INCORPORAR",""))</f>
        <v/>
      </c>
    </row>
    <row r="4997" customFormat="false" ht="15" hidden="false" customHeight="false" outlineLevel="0" collapsed="false">
      <c r="A4997" s="13" t="s">
        <v>15417</v>
      </c>
      <c r="B4997" s="13" t="n">
        <v>4992</v>
      </c>
      <c r="C4997" s="13" t="s">
        <v>15418</v>
      </c>
      <c r="D4997" s="13" t="n">
        <v>6</v>
      </c>
      <c r="E4997" s="36" t="s">
        <v>14565</v>
      </c>
      <c r="F4997" s="13" t="s">
        <v>1298</v>
      </c>
      <c r="G4997" s="13" t="s">
        <v>1063</v>
      </c>
      <c r="H4997" s="13" t="s">
        <v>14297</v>
      </c>
      <c r="I4997" s="13" t="s">
        <v>136</v>
      </c>
      <c r="J4997" s="13" t="s">
        <v>3012</v>
      </c>
      <c r="K4997" s="30" t="n">
        <v>50</v>
      </c>
      <c r="L4997" s="31" t="n">
        <v>46541</v>
      </c>
      <c r="M4997" s="31" t="n">
        <v>46590</v>
      </c>
      <c r="N4997" s="13"/>
      <c r="O4997" s="13" t="s">
        <v>1299</v>
      </c>
      <c r="P4997" s="13"/>
      <c r="Q4997" s="13"/>
    </row>
    <row r="4998" customFormat="false" ht="15" hidden="false" customHeight="false" outlineLevel="0" collapsed="false">
      <c r="A4998" s="13" t="s">
        <v>15419</v>
      </c>
      <c r="B4998" s="13" t="n">
        <v>4993</v>
      </c>
      <c r="C4998" s="13" t="s">
        <v>15420</v>
      </c>
      <c r="D4998" s="13" t="n">
        <v>7</v>
      </c>
      <c r="E4998" s="38" t="s">
        <v>15421</v>
      </c>
      <c r="F4998" s="13" t="s">
        <v>1298</v>
      </c>
      <c r="G4998" s="13" t="s">
        <v>1063</v>
      </c>
      <c r="H4998" s="13" t="s">
        <v>14297</v>
      </c>
      <c r="I4998" s="13" t="s">
        <v>136</v>
      </c>
      <c r="J4998" s="13" t="s">
        <v>14565</v>
      </c>
      <c r="K4998" s="30" t="n">
        <v>50</v>
      </c>
      <c r="L4998" s="31" t="n">
        <v>46541</v>
      </c>
      <c r="M4998" s="31" t="n">
        <v>46590</v>
      </c>
      <c r="N4998" s="13"/>
      <c r="O4998" s="13" t="s">
        <v>1299</v>
      </c>
      <c r="P4998" s="13"/>
      <c r="Q4998" s="13"/>
    </row>
    <row r="4999" customFormat="false" ht="15" hidden="false" customHeight="false" outlineLevel="0" collapsed="false">
      <c r="A4999" s="16" t="s">
        <v>15422</v>
      </c>
      <c r="B4999" s="16" t="n">
        <v>4994</v>
      </c>
      <c r="C4999" s="16" t="s">
        <v>15423</v>
      </c>
      <c r="D4999" s="16" t="n">
        <v>8</v>
      </c>
      <c r="E4999" s="39" t="s">
        <v>15424</v>
      </c>
      <c r="F4999" s="16" t="s">
        <v>1285</v>
      </c>
      <c r="G4999" s="16" t="s">
        <v>1063</v>
      </c>
      <c r="H4999" s="16" t="s">
        <v>14297</v>
      </c>
      <c r="I4999" s="16" t="s">
        <v>136</v>
      </c>
      <c r="J4999" s="16" t="s">
        <v>15421</v>
      </c>
      <c r="K4999" s="32" t="n">
        <v>50</v>
      </c>
      <c r="L4999" s="33" t="n">
        <v>46541</v>
      </c>
      <c r="M4999" s="33" t="n">
        <v>46590</v>
      </c>
      <c r="N4999" s="16" t="s">
        <v>15384</v>
      </c>
      <c r="O4999" s="16" t="s">
        <v>1299</v>
      </c>
      <c r="P4999" s="16" t="str">
        <f aca="false">IF(AND(L4999&lt;=$D$2,M4999&gt;=$C$2),"Sí","")</f>
        <v/>
      </c>
      <c r="Q4999" s="18" t="str">
        <f aca="false">IF(COUNTIF(LOOKAHEAD!$A$5:$A$604,A4999)&gt;0,"En Lookahead",IF(P4999="Sí","INCORPORAR",""))</f>
        <v/>
      </c>
    </row>
    <row r="5000" customFormat="false" ht="15" hidden="false" customHeight="false" outlineLevel="0" collapsed="false">
      <c r="A5000" s="16" t="s">
        <v>15425</v>
      </c>
      <c r="B5000" s="16" t="n">
        <v>4995</v>
      </c>
      <c r="C5000" s="16" t="s">
        <v>15426</v>
      </c>
      <c r="D5000" s="16" t="n">
        <v>8</v>
      </c>
      <c r="E5000" s="39" t="s">
        <v>15427</v>
      </c>
      <c r="F5000" s="16" t="s">
        <v>1285</v>
      </c>
      <c r="G5000" s="16" t="s">
        <v>1063</v>
      </c>
      <c r="H5000" s="16" t="s">
        <v>14297</v>
      </c>
      <c r="I5000" s="16" t="s">
        <v>136</v>
      </c>
      <c r="J5000" s="16" t="s">
        <v>15421</v>
      </c>
      <c r="K5000" s="32" t="n">
        <v>50</v>
      </c>
      <c r="L5000" s="33" t="n">
        <v>46541</v>
      </c>
      <c r="M5000" s="33" t="n">
        <v>46590</v>
      </c>
      <c r="N5000" s="16" t="s">
        <v>15384</v>
      </c>
      <c r="O5000" s="16" t="s">
        <v>1299</v>
      </c>
      <c r="P5000" s="16" t="str">
        <f aca="false">IF(AND(L5000&lt;=$D$2,M5000&gt;=$C$2),"Sí","")</f>
        <v/>
      </c>
      <c r="Q5000" s="18" t="str">
        <f aca="false">IF(COUNTIF(LOOKAHEAD!$A$5:$A$604,A5000)&gt;0,"En Lookahead",IF(P5000="Sí","INCORPORAR",""))</f>
        <v/>
      </c>
    </row>
    <row r="5001" customFormat="false" ht="15" hidden="false" customHeight="false" outlineLevel="0" collapsed="false">
      <c r="A5001" s="16" t="s">
        <v>15428</v>
      </c>
      <c r="B5001" s="16" t="n">
        <v>4996</v>
      </c>
      <c r="C5001" s="16" t="s">
        <v>15429</v>
      </c>
      <c r="D5001" s="16" t="n">
        <v>8</v>
      </c>
      <c r="E5001" s="39" t="s">
        <v>15430</v>
      </c>
      <c r="F5001" s="16" t="s">
        <v>1285</v>
      </c>
      <c r="G5001" s="16" t="s">
        <v>1063</v>
      </c>
      <c r="H5001" s="16" t="s">
        <v>14297</v>
      </c>
      <c r="I5001" s="16" t="s">
        <v>136</v>
      </c>
      <c r="J5001" s="16" t="s">
        <v>15421</v>
      </c>
      <c r="K5001" s="32" t="n">
        <v>50</v>
      </c>
      <c r="L5001" s="33" t="n">
        <v>46541</v>
      </c>
      <c r="M5001" s="33" t="n">
        <v>46590</v>
      </c>
      <c r="N5001" s="16" t="s">
        <v>15384</v>
      </c>
      <c r="O5001" s="16" t="s">
        <v>1299</v>
      </c>
      <c r="P5001" s="16" t="str">
        <f aca="false">IF(AND(L5001&lt;=$D$2,M5001&gt;=$C$2),"Sí","")</f>
        <v/>
      </c>
      <c r="Q5001" s="18" t="str">
        <f aca="false">IF(COUNTIF(LOOKAHEAD!$A$5:$A$604,A5001)&gt;0,"En Lookahead",IF(P5001="Sí","INCORPORAR",""))</f>
        <v/>
      </c>
    </row>
    <row r="5002" customFormat="false" ht="15" hidden="false" customHeight="false" outlineLevel="0" collapsed="false">
      <c r="A5002" s="16" t="s">
        <v>15431</v>
      </c>
      <c r="B5002" s="16" t="n">
        <v>4997</v>
      </c>
      <c r="C5002" s="16" t="s">
        <v>15432</v>
      </c>
      <c r="D5002" s="16" t="n">
        <v>8</v>
      </c>
      <c r="E5002" s="39" t="s">
        <v>14506</v>
      </c>
      <c r="F5002" s="16" t="s">
        <v>1285</v>
      </c>
      <c r="G5002" s="16" t="s">
        <v>1063</v>
      </c>
      <c r="H5002" s="16" t="s">
        <v>14297</v>
      </c>
      <c r="I5002" s="16" t="s">
        <v>136</v>
      </c>
      <c r="J5002" s="16" t="s">
        <v>15421</v>
      </c>
      <c r="K5002" s="32" t="n">
        <v>50</v>
      </c>
      <c r="L5002" s="33" t="n">
        <v>46541</v>
      </c>
      <c r="M5002" s="33" t="n">
        <v>46590</v>
      </c>
      <c r="N5002" s="16" t="s">
        <v>15384</v>
      </c>
      <c r="O5002" s="16" t="s">
        <v>1299</v>
      </c>
      <c r="P5002" s="16" t="str">
        <f aca="false">IF(AND(L5002&lt;=$D$2,M5002&gt;=$C$2),"Sí","")</f>
        <v/>
      </c>
      <c r="Q5002" s="18" t="str">
        <f aca="false">IF(COUNTIF(LOOKAHEAD!$A$5:$A$604,A5002)&gt;0,"En Lookahead",IF(P5002="Sí","INCORPORAR",""))</f>
        <v/>
      </c>
    </row>
    <row r="5003" customFormat="false" ht="15" hidden="false" customHeight="false" outlineLevel="0" collapsed="false">
      <c r="A5003" s="16" t="s">
        <v>15433</v>
      </c>
      <c r="B5003" s="16" t="n">
        <v>4998</v>
      </c>
      <c r="C5003" s="16" t="s">
        <v>15434</v>
      </c>
      <c r="D5003" s="16" t="n">
        <v>8</v>
      </c>
      <c r="E5003" s="39" t="s">
        <v>14639</v>
      </c>
      <c r="F5003" s="16" t="s">
        <v>1285</v>
      </c>
      <c r="G5003" s="16" t="s">
        <v>1063</v>
      </c>
      <c r="H5003" s="16" t="s">
        <v>14297</v>
      </c>
      <c r="I5003" s="16" t="s">
        <v>136</v>
      </c>
      <c r="J5003" s="16" t="s">
        <v>15421</v>
      </c>
      <c r="K5003" s="32" t="n">
        <v>50</v>
      </c>
      <c r="L5003" s="33" t="n">
        <v>46541</v>
      </c>
      <c r="M5003" s="33" t="n">
        <v>46590</v>
      </c>
      <c r="N5003" s="16" t="s">
        <v>15384</v>
      </c>
      <c r="O5003" s="16" t="s">
        <v>1299</v>
      </c>
      <c r="P5003" s="16" t="str">
        <f aca="false">IF(AND(L5003&lt;=$D$2,M5003&gt;=$C$2),"Sí","")</f>
        <v/>
      </c>
      <c r="Q5003" s="18" t="str">
        <f aca="false">IF(COUNTIF(LOOKAHEAD!$A$5:$A$604,A5003)&gt;0,"En Lookahead",IF(P5003="Sí","INCORPORAR",""))</f>
        <v/>
      </c>
    </row>
    <row r="5004" customFormat="false" ht="15" hidden="false" customHeight="false" outlineLevel="0" collapsed="false">
      <c r="A5004" s="13" t="s">
        <v>15435</v>
      </c>
      <c r="B5004" s="13" t="n">
        <v>4999</v>
      </c>
      <c r="C5004" s="13" t="s">
        <v>15436</v>
      </c>
      <c r="D5004" s="13" t="n">
        <v>5</v>
      </c>
      <c r="E5004" s="34" t="s">
        <v>3455</v>
      </c>
      <c r="F5004" s="13" t="s">
        <v>1298</v>
      </c>
      <c r="G5004" s="13" t="s">
        <v>1063</v>
      </c>
      <c r="H5004" s="13" t="s">
        <v>14297</v>
      </c>
      <c r="I5004" s="13" t="s">
        <v>136</v>
      </c>
      <c r="J5004" s="13" t="s">
        <v>14297</v>
      </c>
      <c r="K5004" s="30" t="n">
        <v>50</v>
      </c>
      <c r="L5004" s="31" t="n">
        <v>46541</v>
      </c>
      <c r="M5004" s="31" t="n">
        <v>46590</v>
      </c>
      <c r="N5004" s="13"/>
      <c r="O5004" s="13" t="s">
        <v>1299</v>
      </c>
      <c r="P5004" s="13"/>
      <c r="Q5004" s="13"/>
    </row>
    <row r="5005" customFormat="false" ht="15" hidden="false" customHeight="false" outlineLevel="0" collapsed="false">
      <c r="A5005" s="13" t="s">
        <v>15437</v>
      </c>
      <c r="B5005" s="13" t="n">
        <v>5000</v>
      </c>
      <c r="C5005" s="13" t="s">
        <v>15438</v>
      </c>
      <c r="D5005" s="13" t="n">
        <v>6</v>
      </c>
      <c r="E5005" s="36" t="s">
        <v>14302</v>
      </c>
      <c r="F5005" s="13" t="s">
        <v>1298</v>
      </c>
      <c r="G5005" s="13" t="s">
        <v>1063</v>
      </c>
      <c r="H5005" s="13" t="s">
        <v>14297</v>
      </c>
      <c r="I5005" s="13" t="s">
        <v>136</v>
      </c>
      <c r="J5005" s="13" t="s">
        <v>3455</v>
      </c>
      <c r="K5005" s="30" t="n">
        <v>50</v>
      </c>
      <c r="L5005" s="31" t="n">
        <v>46541</v>
      </c>
      <c r="M5005" s="31" t="n">
        <v>46590</v>
      </c>
      <c r="N5005" s="13"/>
      <c r="O5005" s="13" t="s">
        <v>1299</v>
      </c>
      <c r="P5005" s="13"/>
      <c r="Q5005" s="13"/>
    </row>
    <row r="5006" customFormat="false" ht="15" hidden="false" customHeight="false" outlineLevel="0" collapsed="false">
      <c r="A5006" s="13" t="s">
        <v>15439</v>
      </c>
      <c r="B5006" s="13" t="n">
        <v>5001</v>
      </c>
      <c r="C5006" s="13" t="s">
        <v>15440</v>
      </c>
      <c r="D5006" s="13" t="n">
        <v>7</v>
      </c>
      <c r="E5006" s="38" t="s">
        <v>15441</v>
      </c>
      <c r="F5006" s="13" t="s">
        <v>1298</v>
      </c>
      <c r="G5006" s="13" t="s">
        <v>1063</v>
      </c>
      <c r="H5006" s="13" t="s">
        <v>14297</v>
      </c>
      <c r="I5006" s="13" t="s">
        <v>136</v>
      </c>
      <c r="J5006" s="13" t="s">
        <v>14302</v>
      </c>
      <c r="K5006" s="30" t="n">
        <v>50</v>
      </c>
      <c r="L5006" s="31" t="n">
        <v>46541</v>
      </c>
      <c r="M5006" s="31" t="n">
        <v>46590</v>
      </c>
      <c r="N5006" s="13"/>
      <c r="O5006" s="13" t="s">
        <v>1299</v>
      </c>
      <c r="P5006" s="13"/>
      <c r="Q5006" s="13"/>
    </row>
    <row r="5007" customFormat="false" ht="15" hidden="false" customHeight="false" outlineLevel="0" collapsed="false">
      <c r="A5007" s="16" t="s">
        <v>15442</v>
      </c>
      <c r="B5007" s="16" t="n">
        <v>5002</v>
      </c>
      <c r="C5007" s="16" t="s">
        <v>15443</v>
      </c>
      <c r="D5007" s="16" t="n">
        <v>8</v>
      </c>
      <c r="E5007" s="39" t="s">
        <v>14709</v>
      </c>
      <c r="F5007" s="16" t="s">
        <v>1285</v>
      </c>
      <c r="G5007" s="16" t="s">
        <v>1063</v>
      </c>
      <c r="H5007" s="16" t="s">
        <v>14297</v>
      </c>
      <c r="I5007" s="16" t="s">
        <v>136</v>
      </c>
      <c r="J5007" s="16" t="s">
        <v>15441</v>
      </c>
      <c r="K5007" s="32" t="n">
        <v>50</v>
      </c>
      <c r="L5007" s="33" t="n">
        <v>46541</v>
      </c>
      <c r="M5007" s="33" t="n">
        <v>46590</v>
      </c>
      <c r="N5007" s="16" t="s">
        <v>15444</v>
      </c>
      <c r="O5007" s="16" t="s">
        <v>1299</v>
      </c>
      <c r="P5007" s="16" t="str">
        <f aca="false">IF(AND(L5007&lt;=$D$2,M5007&gt;=$C$2),"Sí","")</f>
        <v/>
      </c>
      <c r="Q5007" s="18" t="str">
        <f aca="false">IF(COUNTIF(LOOKAHEAD!$A$5:$A$604,A5007)&gt;0,"En Lookahead",IF(P5007="Sí","INCORPORAR",""))</f>
        <v/>
      </c>
    </row>
    <row r="5008" customFormat="false" ht="15" hidden="false" customHeight="false" outlineLevel="0" collapsed="false">
      <c r="A5008" s="16" t="s">
        <v>15445</v>
      </c>
      <c r="B5008" s="16" t="n">
        <v>5003</v>
      </c>
      <c r="C5008" s="16" t="s">
        <v>15446</v>
      </c>
      <c r="D5008" s="16" t="n">
        <v>8</v>
      </c>
      <c r="E5008" s="39" t="s">
        <v>15269</v>
      </c>
      <c r="F5008" s="16" t="s">
        <v>1285</v>
      </c>
      <c r="G5008" s="16" t="s">
        <v>1063</v>
      </c>
      <c r="H5008" s="16" t="s">
        <v>14297</v>
      </c>
      <c r="I5008" s="16" t="s">
        <v>136</v>
      </c>
      <c r="J5008" s="16" t="s">
        <v>15441</v>
      </c>
      <c r="K5008" s="32" t="n">
        <v>50</v>
      </c>
      <c r="L5008" s="33" t="n">
        <v>46541</v>
      </c>
      <c r="M5008" s="33" t="n">
        <v>46590</v>
      </c>
      <c r="N5008" s="16" t="s">
        <v>15384</v>
      </c>
      <c r="O5008" s="16" t="s">
        <v>1299</v>
      </c>
      <c r="P5008" s="16" t="str">
        <f aca="false">IF(AND(L5008&lt;=$D$2,M5008&gt;=$C$2),"Sí","")</f>
        <v/>
      </c>
      <c r="Q5008" s="18" t="str">
        <f aca="false">IF(COUNTIF(LOOKAHEAD!$A$5:$A$604,A5008)&gt;0,"En Lookahead",IF(P5008="Sí","INCORPORAR",""))</f>
        <v/>
      </c>
    </row>
    <row r="5009" customFormat="false" ht="15" hidden="false" customHeight="false" outlineLevel="0" collapsed="false">
      <c r="A5009" s="16" t="s">
        <v>15447</v>
      </c>
      <c r="B5009" s="16" t="n">
        <v>5004</v>
      </c>
      <c r="C5009" s="16" t="s">
        <v>15448</v>
      </c>
      <c r="D5009" s="16" t="n">
        <v>8</v>
      </c>
      <c r="E5009" s="39" t="s">
        <v>14337</v>
      </c>
      <c r="F5009" s="16" t="s">
        <v>1285</v>
      </c>
      <c r="G5009" s="16" t="s">
        <v>1063</v>
      </c>
      <c r="H5009" s="16" t="s">
        <v>14297</v>
      </c>
      <c r="I5009" s="16" t="s">
        <v>136</v>
      </c>
      <c r="J5009" s="16" t="s">
        <v>15441</v>
      </c>
      <c r="K5009" s="32" t="n">
        <v>50</v>
      </c>
      <c r="L5009" s="33" t="n">
        <v>46541</v>
      </c>
      <c r="M5009" s="33" t="n">
        <v>46590</v>
      </c>
      <c r="N5009" s="16" t="s">
        <v>15384</v>
      </c>
      <c r="O5009" s="16" t="s">
        <v>1299</v>
      </c>
      <c r="P5009" s="16" t="str">
        <f aca="false">IF(AND(L5009&lt;=$D$2,M5009&gt;=$C$2),"Sí","")</f>
        <v/>
      </c>
      <c r="Q5009" s="18" t="str">
        <f aca="false">IF(COUNTIF(LOOKAHEAD!$A$5:$A$604,A5009)&gt;0,"En Lookahead",IF(P5009="Sí","INCORPORAR",""))</f>
        <v/>
      </c>
    </row>
    <row r="5010" customFormat="false" ht="15" hidden="false" customHeight="false" outlineLevel="0" collapsed="false">
      <c r="A5010" s="16" t="s">
        <v>15449</v>
      </c>
      <c r="B5010" s="16" t="n">
        <v>5005</v>
      </c>
      <c r="C5010" s="16" t="s">
        <v>15450</v>
      </c>
      <c r="D5010" s="16" t="n">
        <v>8</v>
      </c>
      <c r="E5010" s="39" t="s">
        <v>14322</v>
      </c>
      <c r="F5010" s="16" t="s">
        <v>1285</v>
      </c>
      <c r="G5010" s="16" t="s">
        <v>1063</v>
      </c>
      <c r="H5010" s="16" t="s">
        <v>14297</v>
      </c>
      <c r="I5010" s="16" t="s">
        <v>136</v>
      </c>
      <c r="J5010" s="16" t="s">
        <v>15441</v>
      </c>
      <c r="K5010" s="32" t="n">
        <v>50</v>
      </c>
      <c r="L5010" s="33" t="n">
        <v>46541</v>
      </c>
      <c r="M5010" s="33" t="n">
        <v>46590</v>
      </c>
      <c r="N5010" s="16" t="s">
        <v>15384</v>
      </c>
      <c r="O5010" s="16" t="s">
        <v>1299</v>
      </c>
      <c r="P5010" s="16" t="str">
        <f aca="false">IF(AND(L5010&lt;=$D$2,M5010&gt;=$C$2),"Sí","")</f>
        <v/>
      </c>
      <c r="Q5010" s="18" t="str">
        <f aca="false">IF(COUNTIF(LOOKAHEAD!$A$5:$A$604,A5010)&gt;0,"En Lookahead",IF(P5010="Sí","INCORPORAR",""))</f>
        <v/>
      </c>
    </row>
    <row r="5011" customFormat="false" ht="15" hidden="false" customHeight="false" outlineLevel="0" collapsed="false">
      <c r="A5011" s="16" t="s">
        <v>15451</v>
      </c>
      <c r="B5011" s="16" t="n">
        <v>5006</v>
      </c>
      <c r="C5011" s="16" t="s">
        <v>15452</v>
      </c>
      <c r="D5011" s="16" t="n">
        <v>8</v>
      </c>
      <c r="E5011" s="39" t="s">
        <v>14587</v>
      </c>
      <c r="F5011" s="16" t="s">
        <v>1285</v>
      </c>
      <c r="G5011" s="16" t="s">
        <v>1063</v>
      </c>
      <c r="H5011" s="16" t="s">
        <v>14297</v>
      </c>
      <c r="I5011" s="16" t="s">
        <v>136</v>
      </c>
      <c r="J5011" s="16" t="s">
        <v>15441</v>
      </c>
      <c r="K5011" s="32" t="n">
        <v>50</v>
      </c>
      <c r="L5011" s="33" t="n">
        <v>46541</v>
      </c>
      <c r="M5011" s="33" t="n">
        <v>46590</v>
      </c>
      <c r="N5011" s="16" t="s">
        <v>15384</v>
      </c>
      <c r="O5011" s="16" t="s">
        <v>1299</v>
      </c>
      <c r="P5011" s="16" t="str">
        <f aca="false">IF(AND(L5011&lt;=$D$2,M5011&gt;=$C$2),"Sí","")</f>
        <v/>
      </c>
      <c r="Q5011" s="18" t="str">
        <f aca="false">IF(COUNTIF(LOOKAHEAD!$A$5:$A$604,A5011)&gt;0,"En Lookahead",IF(P5011="Sí","INCORPORAR",""))</f>
        <v/>
      </c>
    </row>
    <row r="5012" customFormat="false" ht="15" hidden="false" customHeight="false" outlineLevel="0" collapsed="false">
      <c r="A5012" s="16" t="s">
        <v>15453</v>
      </c>
      <c r="B5012" s="16" t="n">
        <v>5007</v>
      </c>
      <c r="C5012" s="16" t="s">
        <v>15454</v>
      </c>
      <c r="D5012" s="16" t="n">
        <v>8</v>
      </c>
      <c r="E5012" s="39" t="s">
        <v>15455</v>
      </c>
      <c r="F5012" s="16" t="s">
        <v>1285</v>
      </c>
      <c r="G5012" s="16" t="s">
        <v>1063</v>
      </c>
      <c r="H5012" s="16" t="s">
        <v>14297</v>
      </c>
      <c r="I5012" s="16" t="s">
        <v>136</v>
      </c>
      <c r="J5012" s="16" t="s">
        <v>15441</v>
      </c>
      <c r="K5012" s="32" t="n">
        <v>50</v>
      </c>
      <c r="L5012" s="33" t="n">
        <v>46541</v>
      </c>
      <c r="M5012" s="33" t="n">
        <v>46590</v>
      </c>
      <c r="N5012" s="16" t="s">
        <v>15384</v>
      </c>
      <c r="O5012" s="16" t="s">
        <v>1299</v>
      </c>
      <c r="P5012" s="16" t="str">
        <f aca="false">IF(AND(L5012&lt;=$D$2,M5012&gt;=$C$2),"Sí","")</f>
        <v/>
      </c>
      <c r="Q5012" s="18" t="str">
        <f aca="false">IF(COUNTIF(LOOKAHEAD!$A$5:$A$604,A5012)&gt;0,"En Lookahead",IF(P5012="Sí","INCORPORAR",""))</f>
        <v/>
      </c>
    </row>
    <row r="5013" customFormat="false" ht="15" hidden="false" customHeight="false" outlineLevel="0" collapsed="false">
      <c r="A5013" s="16" t="s">
        <v>15456</v>
      </c>
      <c r="B5013" s="16" t="n">
        <v>5008</v>
      </c>
      <c r="C5013" s="16" t="s">
        <v>15457</v>
      </c>
      <c r="D5013" s="16" t="n">
        <v>8</v>
      </c>
      <c r="E5013" s="39" t="s">
        <v>14378</v>
      </c>
      <c r="F5013" s="16" t="s">
        <v>1285</v>
      </c>
      <c r="G5013" s="16" t="s">
        <v>1063</v>
      </c>
      <c r="H5013" s="16" t="s">
        <v>14297</v>
      </c>
      <c r="I5013" s="16" t="s">
        <v>136</v>
      </c>
      <c r="J5013" s="16" t="s">
        <v>15441</v>
      </c>
      <c r="K5013" s="32" t="n">
        <v>50</v>
      </c>
      <c r="L5013" s="33" t="n">
        <v>46541</v>
      </c>
      <c r="M5013" s="33" t="n">
        <v>46590</v>
      </c>
      <c r="N5013" s="16" t="s">
        <v>15384</v>
      </c>
      <c r="O5013" s="16" t="s">
        <v>1299</v>
      </c>
      <c r="P5013" s="16" t="str">
        <f aca="false">IF(AND(L5013&lt;=$D$2,M5013&gt;=$C$2),"Sí","")</f>
        <v/>
      </c>
      <c r="Q5013" s="18" t="str">
        <f aca="false">IF(COUNTIF(LOOKAHEAD!$A$5:$A$604,A5013)&gt;0,"En Lookahead",IF(P5013="Sí","INCORPORAR",""))</f>
        <v/>
      </c>
    </row>
    <row r="5014" customFormat="false" ht="15" hidden="false" customHeight="false" outlineLevel="0" collapsed="false">
      <c r="A5014" s="16" t="s">
        <v>15458</v>
      </c>
      <c r="B5014" s="16" t="n">
        <v>5009</v>
      </c>
      <c r="C5014" s="16" t="s">
        <v>15459</v>
      </c>
      <c r="D5014" s="16" t="n">
        <v>8</v>
      </c>
      <c r="E5014" s="39" t="s">
        <v>14629</v>
      </c>
      <c r="F5014" s="16" t="s">
        <v>1285</v>
      </c>
      <c r="G5014" s="16" t="s">
        <v>1063</v>
      </c>
      <c r="H5014" s="16" t="s">
        <v>14297</v>
      </c>
      <c r="I5014" s="16" t="s">
        <v>136</v>
      </c>
      <c r="J5014" s="16" t="s">
        <v>15441</v>
      </c>
      <c r="K5014" s="32" t="n">
        <v>50</v>
      </c>
      <c r="L5014" s="33" t="n">
        <v>46541</v>
      </c>
      <c r="M5014" s="33" t="n">
        <v>46590</v>
      </c>
      <c r="N5014" s="16" t="s">
        <v>15384</v>
      </c>
      <c r="O5014" s="16" t="s">
        <v>1299</v>
      </c>
      <c r="P5014" s="16" t="str">
        <f aca="false">IF(AND(L5014&lt;=$D$2,M5014&gt;=$C$2),"Sí","")</f>
        <v/>
      </c>
      <c r="Q5014" s="18" t="str">
        <f aca="false">IF(COUNTIF(LOOKAHEAD!$A$5:$A$604,A5014)&gt;0,"En Lookahead",IF(P5014="Sí","INCORPORAR",""))</f>
        <v/>
      </c>
    </row>
    <row r="5015" customFormat="false" ht="15" hidden="false" customHeight="false" outlineLevel="0" collapsed="false">
      <c r="A5015" s="16" t="s">
        <v>15460</v>
      </c>
      <c r="B5015" s="16" t="n">
        <v>5010</v>
      </c>
      <c r="C5015" s="16" t="s">
        <v>15461</v>
      </c>
      <c r="D5015" s="16" t="n">
        <v>8</v>
      </c>
      <c r="E5015" s="39" t="s">
        <v>14938</v>
      </c>
      <c r="F5015" s="16" t="s">
        <v>1285</v>
      </c>
      <c r="G5015" s="16" t="s">
        <v>1063</v>
      </c>
      <c r="H5015" s="16" t="s">
        <v>14297</v>
      </c>
      <c r="I5015" s="16" t="s">
        <v>136</v>
      </c>
      <c r="J5015" s="16" t="s">
        <v>15441</v>
      </c>
      <c r="K5015" s="32" t="n">
        <v>50</v>
      </c>
      <c r="L5015" s="33" t="n">
        <v>46541</v>
      </c>
      <c r="M5015" s="33" t="n">
        <v>46590</v>
      </c>
      <c r="N5015" s="16" t="s">
        <v>15384</v>
      </c>
      <c r="O5015" s="16" t="s">
        <v>1299</v>
      </c>
      <c r="P5015" s="16" t="str">
        <f aca="false">IF(AND(L5015&lt;=$D$2,M5015&gt;=$C$2),"Sí","")</f>
        <v/>
      </c>
      <c r="Q5015" s="18" t="str">
        <f aca="false">IF(COUNTIF(LOOKAHEAD!$A$5:$A$604,A5015)&gt;0,"En Lookahead",IF(P5015="Sí","INCORPORAR",""))</f>
        <v/>
      </c>
    </row>
    <row r="5016" customFormat="false" ht="15" hidden="false" customHeight="false" outlineLevel="0" collapsed="false">
      <c r="A5016" s="16" t="s">
        <v>15462</v>
      </c>
      <c r="B5016" s="16" t="n">
        <v>5011</v>
      </c>
      <c r="C5016" s="16" t="s">
        <v>15463</v>
      </c>
      <c r="D5016" s="16" t="n">
        <v>8</v>
      </c>
      <c r="E5016" s="39" t="s">
        <v>14500</v>
      </c>
      <c r="F5016" s="16" t="s">
        <v>1285</v>
      </c>
      <c r="G5016" s="16" t="s">
        <v>1063</v>
      </c>
      <c r="H5016" s="16" t="s">
        <v>14297</v>
      </c>
      <c r="I5016" s="16" t="s">
        <v>136</v>
      </c>
      <c r="J5016" s="16" t="s">
        <v>15441</v>
      </c>
      <c r="K5016" s="32" t="n">
        <v>50</v>
      </c>
      <c r="L5016" s="33" t="n">
        <v>46541</v>
      </c>
      <c r="M5016" s="33" t="n">
        <v>46590</v>
      </c>
      <c r="N5016" s="16" t="s">
        <v>15384</v>
      </c>
      <c r="O5016" s="16" t="s">
        <v>1299</v>
      </c>
      <c r="P5016" s="16" t="str">
        <f aca="false">IF(AND(L5016&lt;=$D$2,M5016&gt;=$C$2),"Sí","")</f>
        <v/>
      </c>
      <c r="Q5016" s="18" t="str">
        <f aca="false">IF(COUNTIF(LOOKAHEAD!$A$5:$A$604,A5016)&gt;0,"En Lookahead",IF(P5016="Sí","INCORPORAR",""))</f>
        <v/>
      </c>
    </row>
    <row r="5017" customFormat="false" ht="15" hidden="false" customHeight="false" outlineLevel="0" collapsed="false">
      <c r="A5017" s="16" t="s">
        <v>15464</v>
      </c>
      <c r="B5017" s="16" t="n">
        <v>5012</v>
      </c>
      <c r="C5017" s="16" t="s">
        <v>15465</v>
      </c>
      <c r="D5017" s="16" t="n">
        <v>8</v>
      </c>
      <c r="E5017" s="39" t="s">
        <v>15466</v>
      </c>
      <c r="F5017" s="16" t="s">
        <v>1285</v>
      </c>
      <c r="G5017" s="16" t="s">
        <v>1063</v>
      </c>
      <c r="H5017" s="16" t="s">
        <v>14297</v>
      </c>
      <c r="I5017" s="16" t="s">
        <v>136</v>
      </c>
      <c r="J5017" s="16" t="s">
        <v>15441</v>
      </c>
      <c r="K5017" s="32" t="n">
        <v>50</v>
      </c>
      <c r="L5017" s="33" t="n">
        <v>46541</v>
      </c>
      <c r="M5017" s="33" t="n">
        <v>46590</v>
      </c>
      <c r="N5017" s="16" t="s">
        <v>15384</v>
      </c>
      <c r="O5017" s="16" t="s">
        <v>1299</v>
      </c>
      <c r="P5017" s="16" t="str">
        <f aca="false">IF(AND(L5017&lt;=$D$2,M5017&gt;=$C$2),"Sí","")</f>
        <v/>
      </c>
      <c r="Q5017" s="18" t="str">
        <f aca="false">IF(COUNTIF(LOOKAHEAD!$A$5:$A$604,A5017)&gt;0,"En Lookahead",IF(P5017="Sí","INCORPORAR",""))</f>
        <v/>
      </c>
    </row>
    <row r="5018" customFormat="false" ht="15" hidden="false" customHeight="false" outlineLevel="0" collapsed="false">
      <c r="A5018" s="16" t="s">
        <v>15467</v>
      </c>
      <c r="B5018" s="16" t="n">
        <v>5013</v>
      </c>
      <c r="C5018" s="16" t="s">
        <v>15468</v>
      </c>
      <c r="D5018" s="16" t="n">
        <v>8</v>
      </c>
      <c r="E5018" s="39" t="s">
        <v>15469</v>
      </c>
      <c r="F5018" s="16" t="s">
        <v>1285</v>
      </c>
      <c r="G5018" s="16" t="s">
        <v>1063</v>
      </c>
      <c r="H5018" s="16" t="s">
        <v>14297</v>
      </c>
      <c r="I5018" s="16" t="s">
        <v>136</v>
      </c>
      <c r="J5018" s="16" t="s">
        <v>15441</v>
      </c>
      <c r="K5018" s="32" t="n">
        <v>50</v>
      </c>
      <c r="L5018" s="33" t="n">
        <v>46541</v>
      </c>
      <c r="M5018" s="33" t="n">
        <v>46590</v>
      </c>
      <c r="N5018" s="16" t="s">
        <v>15384</v>
      </c>
      <c r="O5018" s="16" t="s">
        <v>1299</v>
      </c>
      <c r="P5018" s="16" t="str">
        <f aca="false">IF(AND(L5018&lt;=$D$2,M5018&gt;=$C$2),"Sí","")</f>
        <v/>
      </c>
      <c r="Q5018" s="18" t="str">
        <f aca="false">IF(COUNTIF(LOOKAHEAD!$A$5:$A$604,A5018)&gt;0,"En Lookahead",IF(P5018="Sí","INCORPORAR",""))</f>
        <v/>
      </c>
    </row>
    <row r="5019" customFormat="false" ht="15" hidden="false" customHeight="false" outlineLevel="0" collapsed="false">
      <c r="A5019" s="16" t="s">
        <v>15470</v>
      </c>
      <c r="B5019" s="16" t="n">
        <v>5014</v>
      </c>
      <c r="C5019" s="16" t="s">
        <v>15471</v>
      </c>
      <c r="D5019" s="16" t="n">
        <v>8</v>
      </c>
      <c r="E5019" s="39" t="s">
        <v>15472</v>
      </c>
      <c r="F5019" s="16" t="s">
        <v>1285</v>
      </c>
      <c r="G5019" s="16" t="s">
        <v>1063</v>
      </c>
      <c r="H5019" s="16" t="s">
        <v>14297</v>
      </c>
      <c r="I5019" s="16" t="s">
        <v>136</v>
      </c>
      <c r="J5019" s="16" t="s">
        <v>15441</v>
      </c>
      <c r="K5019" s="32" t="n">
        <v>50</v>
      </c>
      <c r="L5019" s="33" t="n">
        <v>46541</v>
      </c>
      <c r="M5019" s="33" t="n">
        <v>46590</v>
      </c>
      <c r="N5019" s="16" t="s">
        <v>15384</v>
      </c>
      <c r="O5019" s="16" t="s">
        <v>1299</v>
      </c>
      <c r="P5019" s="16" t="str">
        <f aca="false">IF(AND(L5019&lt;=$D$2,M5019&gt;=$C$2),"Sí","")</f>
        <v/>
      </c>
      <c r="Q5019" s="18" t="str">
        <f aca="false">IF(COUNTIF(LOOKAHEAD!$A$5:$A$604,A5019)&gt;0,"En Lookahead",IF(P5019="Sí","INCORPORAR",""))</f>
        <v/>
      </c>
    </row>
    <row r="5020" customFormat="false" ht="15" hidden="false" customHeight="false" outlineLevel="0" collapsed="false">
      <c r="A5020" s="16" t="s">
        <v>15473</v>
      </c>
      <c r="B5020" s="16" t="n">
        <v>5015</v>
      </c>
      <c r="C5020" s="16" t="s">
        <v>15474</v>
      </c>
      <c r="D5020" s="16" t="n">
        <v>8</v>
      </c>
      <c r="E5020" s="39" t="s">
        <v>15475</v>
      </c>
      <c r="F5020" s="16" t="s">
        <v>1285</v>
      </c>
      <c r="G5020" s="16" t="s">
        <v>1063</v>
      </c>
      <c r="H5020" s="16" t="s">
        <v>14297</v>
      </c>
      <c r="I5020" s="16" t="s">
        <v>136</v>
      </c>
      <c r="J5020" s="16" t="s">
        <v>15441</v>
      </c>
      <c r="K5020" s="32" t="n">
        <v>50</v>
      </c>
      <c r="L5020" s="33" t="n">
        <v>46541</v>
      </c>
      <c r="M5020" s="33" t="n">
        <v>46590</v>
      </c>
      <c r="N5020" s="16" t="s">
        <v>15384</v>
      </c>
      <c r="O5020" s="16" t="s">
        <v>1299</v>
      </c>
      <c r="P5020" s="16" t="str">
        <f aca="false">IF(AND(L5020&lt;=$D$2,M5020&gt;=$C$2),"Sí","")</f>
        <v/>
      </c>
      <c r="Q5020" s="18" t="str">
        <f aca="false">IF(COUNTIF(LOOKAHEAD!$A$5:$A$604,A5020)&gt;0,"En Lookahead",IF(P5020="Sí","INCORPORAR",""))</f>
        <v/>
      </c>
    </row>
    <row r="5021" customFormat="false" ht="15" hidden="false" customHeight="false" outlineLevel="0" collapsed="false">
      <c r="A5021" s="16" t="s">
        <v>15476</v>
      </c>
      <c r="B5021" s="16" t="n">
        <v>5016</v>
      </c>
      <c r="C5021" s="16" t="s">
        <v>15477</v>
      </c>
      <c r="D5021" s="16" t="n">
        <v>8</v>
      </c>
      <c r="E5021" s="39" t="s">
        <v>15478</v>
      </c>
      <c r="F5021" s="16" t="s">
        <v>1285</v>
      </c>
      <c r="G5021" s="16" t="s">
        <v>1063</v>
      </c>
      <c r="H5021" s="16" t="s">
        <v>14297</v>
      </c>
      <c r="I5021" s="16" t="s">
        <v>136</v>
      </c>
      <c r="J5021" s="16" t="s">
        <v>15441</v>
      </c>
      <c r="K5021" s="32" t="n">
        <v>50</v>
      </c>
      <c r="L5021" s="33" t="n">
        <v>46541</v>
      </c>
      <c r="M5021" s="33" t="n">
        <v>46590</v>
      </c>
      <c r="N5021" s="16" t="s">
        <v>15384</v>
      </c>
      <c r="O5021" s="16" t="s">
        <v>1299</v>
      </c>
      <c r="P5021" s="16" t="str">
        <f aca="false">IF(AND(L5021&lt;=$D$2,M5021&gt;=$C$2),"Sí","")</f>
        <v/>
      </c>
      <c r="Q5021" s="18" t="str">
        <f aca="false">IF(COUNTIF(LOOKAHEAD!$A$5:$A$604,A5021)&gt;0,"En Lookahead",IF(P5021="Sí","INCORPORAR",""))</f>
        <v/>
      </c>
    </row>
    <row r="5022" customFormat="false" ht="15" hidden="false" customHeight="false" outlineLevel="0" collapsed="false">
      <c r="A5022" s="16" t="s">
        <v>15479</v>
      </c>
      <c r="B5022" s="16" t="n">
        <v>5017</v>
      </c>
      <c r="C5022" s="16" t="s">
        <v>15480</v>
      </c>
      <c r="D5022" s="16" t="n">
        <v>8</v>
      </c>
      <c r="E5022" s="39" t="s">
        <v>15481</v>
      </c>
      <c r="F5022" s="16" t="s">
        <v>1285</v>
      </c>
      <c r="G5022" s="16" t="s">
        <v>1063</v>
      </c>
      <c r="H5022" s="16" t="s">
        <v>14297</v>
      </c>
      <c r="I5022" s="16" t="s">
        <v>136</v>
      </c>
      <c r="J5022" s="16" t="s">
        <v>15441</v>
      </c>
      <c r="K5022" s="32" t="n">
        <v>50</v>
      </c>
      <c r="L5022" s="33" t="n">
        <v>46541</v>
      </c>
      <c r="M5022" s="33" t="n">
        <v>46590</v>
      </c>
      <c r="N5022" s="16" t="s">
        <v>15384</v>
      </c>
      <c r="O5022" s="16" t="s">
        <v>1299</v>
      </c>
      <c r="P5022" s="16" t="str">
        <f aca="false">IF(AND(L5022&lt;=$D$2,M5022&gt;=$C$2),"Sí","")</f>
        <v/>
      </c>
      <c r="Q5022" s="18" t="str">
        <f aca="false">IF(COUNTIF(LOOKAHEAD!$A$5:$A$604,A5022)&gt;0,"En Lookahead",IF(P5022="Sí","INCORPORAR",""))</f>
        <v/>
      </c>
    </row>
    <row r="5023" customFormat="false" ht="15" hidden="false" customHeight="false" outlineLevel="0" collapsed="false">
      <c r="A5023" s="13" t="s">
        <v>15482</v>
      </c>
      <c r="B5023" s="13" t="n">
        <v>5018</v>
      </c>
      <c r="C5023" s="13" t="s">
        <v>15483</v>
      </c>
      <c r="D5023" s="13" t="n">
        <v>7</v>
      </c>
      <c r="E5023" s="38" t="s">
        <v>14632</v>
      </c>
      <c r="F5023" s="13" t="s">
        <v>1298</v>
      </c>
      <c r="G5023" s="13" t="s">
        <v>1063</v>
      </c>
      <c r="H5023" s="13" t="s">
        <v>14297</v>
      </c>
      <c r="I5023" s="13" t="s">
        <v>136</v>
      </c>
      <c r="J5023" s="13" t="s">
        <v>14302</v>
      </c>
      <c r="K5023" s="30" t="n">
        <v>50</v>
      </c>
      <c r="L5023" s="31" t="n">
        <v>46541</v>
      </c>
      <c r="M5023" s="31" t="n">
        <v>46590</v>
      </c>
      <c r="N5023" s="13"/>
      <c r="O5023" s="13" t="s">
        <v>1299</v>
      </c>
      <c r="P5023" s="13"/>
      <c r="Q5023" s="13"/>
    </row>
    <row r="5024" customFormat="false" ht="15" hidden="false" customHeight="false" outlineLevel="0" collapsed="false">
      <c r="A5024" s="16" t="s">
        <v>15484</v>
      </c>
      <c r="B5024" s="16" t="n">
        <v>5019</v>
      </c>
      <c r="C5024" s="16" t="s">
        <v>15485</v>
      </c>
      <c r="D5024" s="16" t="n">
        <v>8</v>
      </c>
      <c r="E5024" s="39" t="s">
        <v>15269</v>
      </c>
      <c r="F5024" s="16" t="s">
        <v>1285</v>
      </c>
      <c r="G5024" s="16" t="s">
        <v>1063</v>
      </c>
      <c r="H5024" s="16" t="s">
        <v>14297</v>
      </c>
      <c r="I5024" s="16" t="s">
        <v>136</v>
      </c>
      <c r="J5024" s="16" t="s">
        <v>14632</v>
      </c>
      <c r="K5024" s="32" t="n">
        <v>50</v>
      </c>
      <c r="L5024" s="33" t="n">
        <v>46541</v>
      </c>
      <c r="M5024" s="33" t="n">
        <v>46590</v>
      </c>
      <c r="N5024" s="16" t="s">
        <v>15384</v>
      </c>
      <c r="O5024" s="16" t="s">
        <v>1299</v>
      </c>
      <c r="P5024" s="16" t="str">
        <f aca="false">IF(AND(L5024&lt;=$D$2,M5024&gt;=$C$2),"Sí","")</f>
        <v/>
      </c>
      <c r="Q5024" s="18" t="str">
        <f aca="false">IF(COUNTIF(LOOKAHEAD!$A$5:$A$604,A5024)&gt;0,"En Lookahead",IF(P5024="Sí","INCORPORAR",""))</f>
        <v/>
      </c>
    </row>
    <row r="5025" customFormat="false" ht="15" hidden="false" customHeight="false" outlineLevel="0" collapsed="false">
      <c r="A5025" s="13" t="s">
        <v>15486</v>
      </c>
      <c r="B5025" s="13" t="n">
        <v>5020</v>
      </c>
      <c r="C5025" s="13" t="s">
        <v>15487</v>
      </c>
      <c r="D5025" s="13" t="n">
        <v>7</v>
      </c>
      <c r="E5025" s="38" t="s">
        <v>15488</v>
      </c>
      <c r="F5025" s="13" t="s">
        <v>1298</v>
      </c>
      <c r="G5025" s="13" t="s">
        <v>1063</v>
      </c>
      <c r="H5025" s="13" t="s">
        <v>14297</v>
      </c>
      <c r="I5025" s="13" t="s">
        <v>136</v>
      </c>
      <c r="J5025" s="13" t="s">
        <v>14302</v>
      </c>
      <c r="K5025" s="30" t="n">
        <v>50</v>
      </c>
      <c r="L5025" s="31" t="n">
        <v>46541</v>
      </c>
      <c r="M5025" s="31" t="n">
        <v>46590</v>
      </c>
      <c r="N5025" s="13"/>
      <c r="O5025" s="13" t="s">
        <v>1299</v>
      </c>
      <c r="P5025" s="13"/>
      <c r="Q5025" s="13"/>
    </row>
    <row r="5026" customFormat="false" ht="15" hidden="false" customHeight="false" outlineLevel="0" collapsed="false">
      <c r="A5026" s="16" t="s">
        <v>15489</v>
      </c>
      <c r="B5026" s="16" t="n">
        <v>5021</v>
      </c>
      <c r="C5026" s="16" t="s">
        <v>15490</v>
      </c>
      <c r="D5026" s="16" t="n">
        <v>8</v>
      </c>
      <c r="E5026" s="39" t="s">
        <v>14308</v>
      </c>
      <c r="F5026" s="16" t="s">
        <v>1285</v>
      </c>
      <c r="G5026" s="16" t="s">
        <v>1063</v>
      </c>
      <c r="H5026" s="16" t="s">
        <v>14297</v>
      </c>
      <c r="I5026" s="16" t="s">
        <v>136</v>
      </c>
      <c r="J5026" s="16" t="s">
        <v>15488</v>
      </c>
      <c r="K5026" s="32" t="n">
        <v>50</v>
      </c>
      <c r="L5026" s="33" t="n">
        <v>46541</v>
      </c>
      <c r="M5026" s="33" t="n">
        <v>46590</v>
      </c>
      <c r="N5026" s="16" t="s">
        <v>15384</v>
      </c>
      <c r="O5026" s="16" t="s">
        <v>1299</v>
      </c>
      <c r="P5026" s="16" t="str">
        <f aca="false">IF(AND(L5026&lt;=$D$2,M5026&gt;=$C$2),"Sí","")</f>
        <v/>
      </c>
      <c r="Q5026" s="18" t="str">
        <f aca="false">IF(COUNTIF(LOOKAHEAD!$A$5:$A$604,A5026)&gt;0,"En Lookahead",IF(P5026="Sí","INCORPORAR",""))</f>
        <v/>
      </c>
    </row>
    <row r="5027" customFormat="false" ht="15" hidden="false" customHeight="false" outlineLevel="0" collapsed="false">
      <c r="A5027" s="16" t="s">
        <v>15491</v>
      </c>
      <c r="B5027" s="16" t="n">
        <v>5022</v>
      </c>
      <c r="C5027" s="16" t="s">
        <v>15492</v>
      </c>
      <c r="D5027" s="16" t="n">
        <v>8</v>
      </c>
      <c r="E5027" s="39" t="s">
        <v>14337</v>
      </c>
      <c r="F5027" s="16" t="s">
        <v>1285</v>
      </c>
      <c r="G5027" s="16" t="s">
        <v>1063</v>
      </c>
      <c r="H5027" s="16" t="s">
        <v>14297</v>
      </c>
      <c r="I5027" s="16" t="s">
        <v>136</v>
      </c>
      <c r="J5027" s="16" t="s">
        <v>15488</v>
      </c>
      <c r="K5027" s="32" t="n">
        <v>50</v>
      </c>
      <c r="L5027" s="33" t="n">
        <v>46541</v>
      </c>
      <c r="M5027" s="33" t="n">
        <v>46590</v>
      </c>
      <c r="N5027" s="16" t="s">
        <v>15384</v>
      </c>
      <c r="O5027" s="16" t="s">
        <v>1299</v>
      </c>
      <c r="P5027" s="16" t="str">
        <f aca="false">IF(AND(L5027&lt;=$D$2,M5027&gt;=$C$2),"Sí","")</f>
        <v/>
      </c>
      <c r="Q5027" s="18" t="str">
        <f aca="false">IF(COUNTIF(LOOKAHEAD!$A$5:$A$604,A5027)&gt;0,"En Lookahead",IF(P5027="Sí","INCORPORAR",""))</f>
        <v/>
      </c>
    </row>
    <row r="5028" customFormat="false" ht="15" hidden="false" customHeight="false" outlineLevel="0" collapsed="false">
      <c r="A5028" s="16" t="s">
        <v>15493</v>
      </c>
      <c r="B5028" s="16" t="n">
        <v>5023</v>
      </c>
      <c r="C5028" s="16" t="s">
        <v>15494</v>
      </c>
      <c r="D5028" s="16" t="n">
        <v>8</v>
      </c>
      <c r="E5028" s="39" t="s">
        <v>14316</v>
      </c>
      <c r="F5028" s="16" t="s">
        <v>1285</v>
      </c>
      <c r="G5028" s="16" t="s">
        <v>1063</v>
      </c>
      <c r="H5028" s="16" t="s">
        <v>14297</v>
      </c>
      <c r="I5028" s="16" t="s">
        <v>136</v>
      </c>
      <c r="J5028" s="16" t="s">
        <v>15488</v>
      </c>
      <c r="K5028" s="32" t="n">
        <v>50</v>
      </c>
      <c r="L5028" s="33" t="n">
        <v>46541</v>
      </c>
      <c r="M5028" s="33" t="n">
        <v>46590</v>
      </c>
      <c r="N5028" s="16" t="s">
        <v>15384</v>
      </c>
      <c r="O5028" s="16" t="s">
        <v>1299</v>
      </c>
      <c r="P5028" s="16" t="str">
        <f aca="false">IF(AND(L5028&lt;=$D$2,M5028&gt;=$C$2),"Sí","")</f>
        <v/>
      </c>
      <c r="Q5028" s="18" t="str">
        <f aca="false">IF(COUNTIF(LOOKAHEAD!$A$5:$A$604,A5028)&gt;0,"En Lookahead",IF(P5028="Sí","INCORPORAR",""))</f>
        <v/>
      </c>
    </row>
    <row r="5029" customFormat="false" ht="15" hidden="false" customHeight="false" outlineLevel="0" collapsed="false">
      <c r="A5029" s="16" t="s">
        <v>15495</v>
      </c>
      <c r="B5029" s="16" t="n">
        <v>5024</v>
      </c>
      <c r="C5029" s="16" t="s">
        <v>15496</v>
      </c>
      <c r="D5029" s="16" t="n">
        <v>8</v>
      </c>
      <c r="E5029" s="39" t="s">
        <v>14319</v>
      </c>
      <c r="F5029" s="16" t="s">
        <v>1285</v>
      </c>
      <c r="G5029" s="16" t="s">
        <v>1063</v>
      </c>
      <c r="H5029" s="16" t="s">
        <v>14297</v>
      </c>
      <c r="I5029" s="16" t="s">
        <v>136</v>
      </c>
      <c r="J5029" s="16" t="s">
        <v>15488</v>
      </c>
      <c r="K5029" s="32" t="n">
        <v>50</v>
      </c>
      <c r="L5029" s="33" t="n">
        <v>46541</v>
      </c>
      <c r="M5029" s="33" t="n">
        <v>46590</v>
      </c>
      <c r="N5029" s="16" t="s">
        <v>15384</v>
      </c>
      <c r="O5029" s="16" t="s">
        <v>1299</v>
      </c>
      <c r="P5029" s="16" t="str">
        <f aca="false">IF(AND(L5029&lt;=$D$2,M5029&gt;=$C$2),"Sí","")</f>
        <v/>
      </c>
      <c r="Q5029" s="18" t="str">
        <f aca="false">IF(COUNTIF(LOOKAHEAD!$A$5:$A$604,A5029)&gt;0,"En Lookahead",IF(P5029="Sí","INCORPORAR",""))</f>
        <v/>
      </c>
    </row>
    <row r="5030" customFormat="false" ht="15" hidden="false" customHeight="false" outlineLevel="0" collapsed="false">
      <c r="A5030" s="16" t="s">
        <v>15497</v>
      </c>
      <c r="B5030" s="16" t="n">
        <v>5025</v>
      </c>
      <c r="C5030" s="16" t="s">
        <v>15498</v>
      </c>
      <c r="D5030" s="16" t="n">
        <v>8</v>
      </c>
      <c r="E5030" s="39" t="s">
        <v>14322</v>
      </c>
      <c r="F5030" s="16" t="s">
        <v>1285</v>
      </c>
      <c r="G5030" s="16" t="s">
        <v>1063</v>
      </c>
      <c r="H5030" s="16" t="s">
        <v>14297</v>
      </c>
      <c r="I5030" s="16" t="s">
        <v>136</v>
      </c>
      <c r="J5030" s="16" t="s">
        <v>15488</v>
      </c>
      <c r="K5030" s="32" t="n">
        <v>50</v>
      </c>
      <c r="L5030" s="33" t="n">
        <v>46541</v>
      </c>
      <c r="M5030" s="33" t="n">
        <v>46590</v>
      </c>
      <c r="N5030" s="16" t="s">
        <v>15384</v>
      </c>
      <c r="O5030" s="16" t="s">
        <v>1299</v>
      </c>
      <c r="P5030" s="16" t="str">
        <f aca="false">IF(AND(L5030&lt;=$D$2,M5030&gt;=$C$2),"Sí","")</f>
        <v/>
      </c>
      <c r="Q5030" s="18" t="str">
        <f aca="false">IF(COUNTIF(LOOKAHEAD!$A$5:$A$604,A5030)&gt;0,"En Lookahead",IF(P5030="Sí","INCORPORAR",""))</f>
        <v/>
      </c>
    </row>
    <row r="5031" customFormat="false" ht="15" hidden="false" customHeight="false" outlineLevel="0" collapsed="false">
      <c r="A5031" s="16" t="s">
        <v>15499</v>
      </c>
      <c r="B5031" s="16" t="n">
        <v>5026</v>
      </c>
      <c r="C5031" s="16" t="s">
        <v>15500</v>
      </c>
      <c r="D5031" s="16" t="n">
        <v>8</v>
      </c>
      <c r="E5031" s="39" t="s">
        <v>14587</v>
      </c>
      <c r="F5031" s="16" t="s">
        <v>1285</v>
      </c>
      <c r="G5031" s="16" t="s">
        <v>1063</v>
      </c>
      <c r="H5031" s="16" t="s">
        <v>14297</v>
      </c>
      <c r="I5031" s="16" t="s">
        <v>136</v>
      </c>
      <c r="J5031" s="16" t="s">
        <v>15488</v>
      </c>
      <c r="K5031" s="32" t="n">
        <v>50</v>
      </c>
      <c r="L5031" s="33" t="n">
        <v>46541</v>
      </c>
      <c r="M5031" s="33" t="n">
        <v>46590</v>
      </c>
      <c r="N5031" s="16" t="s">
        <v>15384</v>
      </c>
      <c r="O5031" s="16" t="s">
        <v>1299</v>
      </c>
      <c r="P5031" s="16" t="str">
        <f aca="false">IF(AND(L5031&lt;=$D$2,M5031&gt;=$C$2),"Sí","")</f>
        <v/>
      </c>
      <c r="Q5031" s="18" t="str">
        <f aca="false">IF(COUNTIF(LOOKAHEAD!$A$5:$A$604,A5031)&gt;0,"En Lookahead",IF(P5031="Sí","INCORPORAR",""))</f>
        <v/>
      </c>
    </row>
    <row r="5032" customFormat="false" ht="15" hidden="false" customHeight="false" outlineLevel="0" collapsed="false">
      <c r="A5032" s="16" t="s">
        <v>15501</v>
      </c>
      <c r="B5032" s="16" t="n">
        <v>5027</v>
      </c>
      <c r="C5032" s="16" t="s">
        <v>15502</v>
      </c>
      <c r="D5032" s="16" t="n">
        <v>8</v>
      </c>
      <c r="E5032" s="39" t="s">
        <v>14325</v>
      </c>
      <c r="F5032" s="16" t="s">
        <v>1285</v>
      </c>
      <c r="G5032" s="16" t="s">
        <v>1063</v>
      </c>
      <c r="H5032" s="16" t="s">
        <v>14297</v>
      </c>
      <c r="I5032" s="16" t="s">
        <v>136</v>
      </c>
      <c r="J5032" s="16" t="s">
        <v>15488</v>
      </c>
      <c r="K5032" s="32" t="n">
        <v>50</v>
      </c>
      <c r="L5032" s="33" t="n">
        <v>46541</v>
      </c>
      <c r="M5032" s="33" t="n">
        <v>46590</v>
      </c>
      <c r="N5032" s="16" t="s">
        <v>15384</v>
      </c>
      <c r="O5032" s="16" t="s">
        <v>1299</v>
      </c>
      <c r="P5032" s="16" t="str">
        <f aca="false">IF(AND(L5032&lt;=$D$2,M5032&gt;=$C$2),"Sí","")</f>
        <v/>
      </c>
      <c r="Q5032" s="18" t="str">
        <f aca="false">IF(COUNTIF(LOOKAHEAD!$A$5:$A$604,A5032)&gt;0,"En Lookahead",IF(P5032="Sí","INCORPORAR",""))</f>
        <v/>
      </c>
    </row>
    <row r="5033" customFormat="false" ht="15" hidden="false" customHeight="false" outlineLevel="0" collapsed="false">
      <c r="A5033" s="16" t="s">
        <v>15503</v>
      </c>
      <c r="B5033" s="16" t="n">
        <v>5028</v>
      </c>
      <c r="C5033" s="16" t="s">
        <v>15504</v>
      </c>
      <c r="D5033" s="16" t="n">
        <v>8</v>
      </c>
      <c r="E5033" s="39" t="s">
        <v>14671</v>
      </c>
      <c r="F5033" s="16" t="s">
        <v>1285</v>
      </c>
      <c r="G5033" s="16" t="s">
        <v>1063</v>
      </c>
      <c r="H5033" s="16" t="s">
        <v>14297</v>
      </c>
      <c r="I5033" s="16" t="s">
        <v>136</v>
      </c>
      <c r="J5033" s="16" t="s">
        <v>15488</v>
      </c>
      <c r="K5033" s="32" t="n">
        <v>50</v>
      </c>
      <c r="L5033" s="33" t="n">
        <v>46541</v>
      </c>
      <c r="M5033" s="33" t="n">
        <v>46590</v>
      </c>
      <c r="N5033" s="16" t="s">
        <v>15384</v>
      </c>
      <c r="O5033" s="16" t="s">
        <v>1299</v>
      </c>
      <c r="P5033" s="16" t="str">
        <f aca="false">IF(AND(L5033&lt;=$D$2,M5033&gt;=$C$2),"Sí","")</f>
        <v/>
      </c>
      <c r="Q5033" s="18" t="str">
        <f aca="false">IF(COUNTIF(LOOKAHEAD!$A$5:$A$604,A5033)&gt;0,"En Lookahead",IF(P5033="Sí","INCORPORAR",""))</f>
        <v/>
      </c>
    </row>
    <row r="5034" customFormat="false" ht="15" hidden="false" customHeight="false" outlineLevel="0" collapsed="false">
      <c r="A5034" s="16" t="s">
        <v>15505</v>
      </c>
      <c r="B5034" s="16" t="n">
        <v>5029</v>
      </c>
      <c r="C5034" s="16" t="s">
        <v>15506</v>
      </c>
      <c r="D5034" s="16" t="n">
        <v>8</v>
      </c>
      <c r="E5034" s="39" t="s">
        <v>15399</v>
      </c>
      <c r="F5034" s="16" t="s">
        <v>1285</v>
      </c>
      <c r="G5034" s="16" t="s">
        <v>1063</v>
      </c>
      <c r="H5034" s="16" t="s">
        <v>14297</v>
      </c>
      <c r="I5034" s="16" t="s">
        <v>136</v>
      </c>
      <c r="J5034" s="16" t="s">
        <v>15488</v>
      </c>
      <c r="K5034" s="32" t="n">
        <v>50</v>
      </c>
      <c r="L5034" s="33" t="n">
        <v>46541</v>
      </c>
      <c r="M5034" s="33" t="n">
        <v>46590</v>
      </c>
      <c r="N5034" s="16" t="s">
        <v>15384</v>
      </c>
      <c r="O5034" s="16" t="s">
        <v>1299</v>
      </c>
      <c r="P5034" s="16" t="str">
        <f aca="false">IF(AND(L5034&lt;=$D$2,M5034&gt;=$C$2),"Sí","")</f>
        <v/>
      </c>
      <c r="Q5034" s="18" t="str">
        <f aca="false">IF(COUNTIF(LOOKAHEAD!$A$5:$A$604,A5034)&gt;0,"En Lookahead",IF(P5034="Sí","INCORPORAR",""))</f>
        <v/>
      </c>
    </row>
    <row r="5035" customFormat="false" ht="15" hidden="false" customHeight="false" outlineLevel="0" collapsed="false">
      <c r="A5035" s="13" t="s">
        <v>15507</v>
      </c>
      <c r="B5035" s="13" t="n">
        <v>5030</v>
      </c>
      <c r="C5035" s="13" t="s">
        <v>15508</v>
      </c>
      <c r="D5035" s="13" t="n">
        <v>7</v>
      </c>
      <c r="E5035" s="38" t="s">
        <v>14503</v>
      </c>
      <c r="F5035" s="13" t="s">
        <v>1298</v>
      </c>
      <c r="G5035" s="13" t="s">
        <v>1063</v>
      </c>
      <c r="H5035" s="13" t="s">
        <v>14297</v>
      </c>
      <c r="I5035" s="13" t="s">
        <v>136</v>
      </c>
      <c r="J5035" s="13" t="s">
        <v>14302</v>
      </c>
      <c r="K5035" s="30" t="n">
        <v>50</v>
      </c>
      <c r="L5035" s="31" t="n">
        <v>46541</v>
      </c>
      <c r="M5035" s="31" t="n">
        <v>46590</v>
      </c>
      <c r="N5035" s="13"/>
      <c r="O5035" s="13" t="s">
        <v>1299</v>
      </c>
      <c r="P5035" s="13"/>
      <c r="Q5035" s="13"/>
    </row>
    <row r="5036" customFormat="false" ht="15" hidden="false" customHeight="false" outlineLevel="0" collapsed="false">
      <c r="A5036" s="16" t="s">
        <v>15509</v>
      </c>
      <c r="B5036" s="16" t="n">
        <v>5031</v>
      </c>
      <c r="C5036" s="16" t="s">
        <v>15510</v>
      </c>
      <c r="D5036" s="16" t="n">
        <v>8</v>
      </c>
      <c r="E5036" s="39" t="s">
        <v>14506</v>
      </c>
      <c r="F5036" s="16" t="s">
        <v>1285</v>
      </c>
      <c r="G5036" s="16" t="s">
        <v>1063</v>
      </c>
      <c r="H5036" s="16" t="s">
        <v>14297</v>
      </c>
      <c r="I5036" s="16" t="s">
        <v>136</v>
      </c>
      <c r="J5036" s="16" t="s">
        <v>14503</v>
      </c>
      <c r="K5036" s="32" t="n">
        <v>50</v>
      </c>
      <c r="L5036" s="33" t="n">
        <v>46541</v>
      </c>
      <c r="M5036" s="33" t="n">
        <v>46590</v>
      </c>
      <c r="N5036" s="16" t="s">
        <v>15384</v>
      </c>
      <c r="O5036" s="16" t="s">
        <v>1299</v>
      </c>
      <c r="P5036" s="16" t="str">
        <f aca="false">IF(AND(L5036&lt;=$D$2,M5036&gt;=$C$2),"Sí","")</f>
        <v/>
      </c>
      <c r="Q5036" s="18" t="str">
        <f aca="false">IF(COUNTIF(LOOKAHEAD!$A$5:$A$604,A5036)&gt;0,"En Lookahead",IF(P5036="Sí","INCORPORAR",""))</f>
        <v/>
      </c>
    </row>
    <row r="5037" customFormat="false" ht="15" hidden="false" customHeight="false" outlineLevel="0" collapsed="false">
      <c r="A5037" s="13" t="s">
        <v>15511</v>
      </c>
      <c r="B5037" s="13" t="n">
        <v>5032</v>
      </c>
      <c r="C5037" s="13" t="s">
        <v>15512</v>
      </c>
      <c r="D5037" s="13" t="n">
        <v>5</v>
      </c>
      <c r="E5037" s="34" t="s">
        <v>3694</v>
      </c>
      <c r="F5037" s="13" t="s">
        <v>1298</v>
      </c>
      <c r="G5037" s="13" t="s">
        <v>1063</v>
      </c>
      <c r="H5037" s="13" t="s">
        <v>14297</v>
      </c>
      <c r="I5037" s="13" t="s">
        <v>136</v>
      </c>
      <c r="J5037" s="13" t="s">
        <v>14297</v>
      </c>
      <c r="K5037" s="30" t="n">
        <v>50</v>
      </c>
      <c r="L5037" s="31" t="n">
        <v>46541</v>
      </c>
      <c r="M5037" s="31" t="n">
        <v>46590</v>
      </c>
      <c r="N5037" s="13"/>
      <c r="O5037" s="13" t="s">
        <v>1299</v>
      </c>
      <c r="P5037" s="13"/>
      <c r="Q5037" s="13"/>
    </row>
    <row r="5038" customFormat="false" ht="15" hidden="false" customHeight="false" outlineLevel="0" collapsed="false">
      <c r="A5038" s="13" t="s">
        <v>15513</v>
      </c>
      <c r="B5038" s="13" t="n">
        <v>5033</v>
      </c>
      <c r="C5038" s="13" t="s">
        <v>15514</v>
      </c>
      <c r="D5038" s="13" t="n">
        <v>6</v>
      </c>
      <c r="E5038" s="36" t="s">
        <v>14302</v>
      </c>
      <c r="F5038" s="13" t="s">
        <v>1298</v>
      </c>
      <c r="G5038" s="13" t="s">
        <v>1063</v>
      </c>
      <c r="H5038" s="13" t="s">
        <v>14297</v>
      </c>
      <c r="I5038" s="13" t="s">
        <v>136</v>
      </c>
      <c r="J5038" s="13" t="s">
        <v>3694</v>
      </c>
      <c r="K5038" s="30" t="n">
        <v>50</v>
      </c>
      <c r="L5038" s="31" t="n">
        <v>46541</v>
      </c>
      <c r="M5038" s="31" t="n">
        <v>46590</v>
      </c>
      <c r="N5038" s="13"/>
      <c r="O5038" s="13" t="s">
        <v>1299</v>
      </c>
      <c r="P5038" s="13"/>
      <c r="Q5038" s="13"/>
    </row>
    <row r="5039" customFormat="false" ht="15" hidden="false" customHeight="false" outlineLevel="0" collapsed="false">
      <c r="A5039" s="13" t="s">
        <v>15515</v>
      </c>
      <c r="B5039" s="13" t="n">
        <v>5034</v>
      </c>
      <c r="C5039" s="13" t="s">
        <v>15516</v>
      </c>
      <c r="D5039" s="13" t="n">
        <v>7</v>
      </c>
      <c r="E5039" s="38" t="s">
        <v>15517</v>
      </c>
      <c r="F5039" s="13" t="s">
        <v>1298</v>
      </c>
      <c r="G5039" s="13" t="s">
        <v>1063</v>
      </c>
      <c r="H5039" s="13" t="s">
        <v>14297</v>
      </c>
      <c r="I5039" s="13" t="s">
        <v>136</v>
      </c>
      <c r="J5039" s="13" t="s">
        <v>14302</v>
      </c>
      <c r="K5039" s="30" t="n">
        <v>50</v>
      </c>
      <c r="L5039" s="31" t="n">
        <v>46541</v>
      </c>
      <c r="M5039" s="31" t="n">
        <v>46590</v>
      </c>
      <c r="N5039" s="13"/>
      <c r="O5039" s="13" t="s">
        <v>1299</v>
      </c>
      <c r="P5039" s="13"/>
      <c r="Q5039" s="13"/>
    </row>
    <row r="5040" customFormat="false" ht="15" hidden="false" customHeight="false" outlineLevel="0" collapsed="false">
      <c r="A5040" s="16" t="s">
        <v>15518</v>
      </c>
      <c r="B5040" s="16" t="n">
        <v>5035</v>
      </c>
      <c r="C5040" s="16" t="s">
        <v>15519</v>
      </c>
      <c r="D5040" s="16" t="n">
        <v>8</v>
      </c>
      <c r="E5040" s="39" t="s">
        <v>14308</v>
      </c>
      <c r="F5040" s="16" t="s">
        <v>1285</v>
      </c>
      <c r="G5040" s="16" t="s">
        <v>1063</v>
      </c>
      <c r="H5040" s="16" t="s">
        <v>14297</v>
      </c>
      <c r="I5040" s="16" t="s">
        <v>136</v>
      </c>
      <c r="J5040" s="16" t="s">
        <v>15517</v>
      </c>
      <c r="K5040" s="32" t="n">
        <v>50</v>
      </c>
      <c r="L5040" s="33" t="n">
        <v>46541</v>
      </c>
      <c r="M5040" s="33" t="n">
        <v>46590</v>
      </c>
      <c r="N5040" s="16" t="s">
        <v>14649</v>
      </c>
      <c r="O5040" s="16" t="s">
        <v>1299</v>
      </c>
      <c r="P5040" s="16" t="str">
        <f aca="false">IF(AND(L5040&lt;=$D$2,M5040&gt;=$C$2),"Sí","")</f>
        <v/>
      </c>
      <c r="Q5040" s="18" t="str">
        <f aca="false">IF(COUNTIF(LOOKAHEAD!$A$5:$A$604,A5040)&gt;0,"En Lookahead",IF(P5040="Sí","INCORPORAR",""))</f>
        <v/>
      </c>
    </row>
    <row r="5041" customFormat="false" ht="15" hidden="false" customHeight="false" outlineLevel="0" collapsed="false">
      <c r="A5041" s="16" t="s">
        <v>15520</v>
      </c>
      <c r="B5041" s="16" t="n">
        <v>5036</v>
      </c>
      <c r="C5041" s="16" t="s">
        <v>15521</v>
      </c>
      <c r="D5041" s="16" t="n">
        <v>8</v>
      </c>
      <c r="E5041" s="39" t="s">
        <v>14392</v>
      </c>
      <c r="F5041" s="16" t="s">
        <v>1285</v>
      </c>
      <c r="G5041" s="16" t="s">
        <v>1063</v>
      </c>
      <c r="H5041" s="16" t="s">
        <v>14297</v>
      </c>
      <c r="I5041" s="16" t="s">
        <v>136</v>
      </c>
      <c r="J5041" s="16" t="s">
        <v>15517</v>
      </c>
      <c r="K5041" s="32" t="n">
        <v>50</v>
      </c>
      <c r="L5041" s="33" t="n">
        <v>46541</v>
      </c>
      <c r="M5041" s="33" t="n">
        <v>46590</v>
      </c>
      <c r="N5041" s="16" t="s">
        <v>15522</v>
      </c>
      <c r="O5041" s="16" t="s">
        <v>1299</v>
      </c>
      <c r="P5041" s="16" t="str">
        <f aca="false">IF(AND(L5041&lt;=$D$2,M5041&gt;=$C$2),"Sí","")</f>
        <v/>
      </c>
      <c r="Q5041" s="18" t="str">
        <f aca="false">IF(COUNTIF(LOOKAHEAD!$A$5:$A$604,A5041)&gt;0,"En Lookahead",IF(P5041="Sí","INCORPORAR",""))</f>
        <v/>
      </c>
    </row>
    <row r="5042" customFormat="false" ht="15" hidden="false" customHeight="false" outlineLevel="0" collapsed="false">
      <c r="A5042" s="16" t="s">
        <v>15523</v>
      </c>
      <c r="B5042" s="16" t="n">
        <v>5037</v>
      </c>
      <c r="C5042" s="16" t="s">
        <v>15524</v>
      </c>
      <c r="D5042" s="16" t="n">
        <v>8</v>
      </c>
      <c r="E5042" s="39" t="s">
        <v>14337</v>
      </c>
      <c r="F5042" s="16" t="s">
        <v>1285</v>
      </c>
      <c r="G5042" s="16" t="s">
        <v>1063</v>
      </c>
      <c r="H5042" s="16" t="s">
        <v>14297</v>
      </c>
      <c r="I5042" s="16" t="s">
        <v>136</v>
      </c>
      <c r="J5042" s="16" t="s">
        <v>15517</v>
      </c>
      <c r="K5042" s="32" t="n">
        <v>50</v>
      </c>
      <c r="L5042" s="33" t="n">
        <v>46541</v>
      </c>
      <c r="M5042" s="33" t="n">
        <v>46590</v>
      </c>
      <c r="N5042" s="16" t="s">
        <v>15522</v>
      </c>
      <c r="O5042" s="16" t="s">
        <v>1299</v>
      </c>
      <c r="P5042" s="16" t="str">
        <f aca="false">IF(AND(L5042&lt;=$D$2,M5042&gt;=$C$2),"Sí","")</f>
        <v/>
      </c>
      <c r="Q5042" s="18" t="str">
        <f aca="false">IF(COUNTIF(LOOKAHEAD!$A$5:$A$604,A5042)&gt;0,"En Lookahead",IF(P5042="Sí","INCORPORAR",""))</f>
        <v/>
      </c>
    </row>
    <row r="5043" customFormat="false" ht="15" hidden="false" customHeight="false" outlineLevel="0" collapsed="false">
      <c r="A5043" s="16" t="s">
        <v>15525</v>
      </c>
      <c r="B5043" s="16" t="n">
        <v>5038</v>
      </c>
      <c r="C5043" s="16" t="s">
        <v>15526</v>
      </c>
      <c r="D5043" s="16" t="n">
        <v>8</v>
      </c>
      <c r="E5043" s="39" t="s">
        <v>14340</v>
      </c>
      <c r="F5043" s="16" t="s">
        <v>1285</v>
      </c>
      <c r="G5043" s="16" t="s">
        <v>1063</v>
      </c>
      <c r="H5043" s="16" t="s">
        <v>14297</v>
      </c>
      <c r="I5043" s="16" t="s">
        <v>136</v>
      </c>
      <c r="J5043" s="16" t="s">
        <v>15517</v>
      </c>
      <c r="K5043" s="32" t="n">
        <v>50</v>
      </c>
      <c r="L5043" s="33" t="n">
        <v>46541</v>
      </c>
      <c r="M5043" s="33" t="n">
        <v>46590</v>
      </c>
      <c r="N5043" s="16" t="s">
        <v>15522</v>
      </c>
      <c r="O5043" s="16" t="s">
        <v>1299</v>
      </c>
      <c r="P5043" s="16" t="str">
        <f aca="false">IF(AND(L5043&lt;=$D$2,M5043&gt;=$C$2),"Sí","")</f>
        <v/>
      </c>
      <c r="Q5043" s="18" t="str">
        <f aca="false">IF(COUNTIF(LOOKAHEAD!$A$5:$A$604,A5043)&gt;0,"En Lookahead",IF(P5043="Sí","INCORPORAR",""))</f>
        <v/>
      </c>
    </row>
    <row r="5044" customFormat="false" ht="15" hidden="false" customHeight="false" outlineLevel="0" collapsed="false">
      <c r="A5044" s="16" t="s">
        <v>15527</v>
      </c>
      <c r="B5044" s="16" t="n">
        <v>5039</v>
      </c>
      <c r="C5044" s="16" t="s">
        <v>15528</v>
      </c>
      <c r="D5044" s="16" t="n">
        <v>8</v>
      </c>
      <c r="E5044" s="39" t="s">
        <v>14316</v>
      </c>
      <c r="F5044" s="16" t="s">
        <v>1285</v>
      </c>
      <c r="G5044" s="16" t="s">
        <v>1063</v>
      </c>
      <c r="H5044" s="16" t="s">
        <v>14297</v>
      </c>
      <c r="I5044" s="16" t="s">
        <v>136</v>
      </c>
      <c r="J5044" s="16" t="s">
        <v>15517</v>
      </c>
      <c r="K5044" s="32" t="n">
        <v>50</v>
      </c>
      <c r="L5044" s="33" t="n">
        <v>46541</v>
      </c>
      <c r="M5044" s="33" t="n">
        <v>46590</v>
      </c>
      <c r="N5044" s="16" t="s">
        <v>15522</v>
      </c>
      <c r="O5044" s="16" t="s">
        <v>1299</v>
      </c>
      <c r="P5044" s="16" t="str">
        <f aca="false">IF(AND(L5044&lt;=$D$2,M5044&gt;=$C$2),"Sí","")</f>
        <v/>
      </c>
      <c r="Q5044" s="18" t="str">
        <f aca="false">IF(COUNTIF(LOOKAHEAD!$A$5:$A$604,A5044)&gt;0,"En Lookahead",IF(P5044="Sí","INCORPORAR",""))</f>
        <v/>
      </c>
    </row>
    <row r="5045" customFormat="false" ht="15" hidden="false" customHeight="false" outlineLevel="0" collapsed="false">
      <c r="A5045" s="16" t="s">
        <v>15529</v>
      </c>
      <c r="B5045" s="16" t="n">
        <v>5040</v>
      </c>
      <c r="C5045" s="16" t="s">
        <v>15530</v>
      </c>
      <c r="D5045" s="16" t="n">
        <v>8</v>
      </c>
      <c r="E5045" s="39" t="s">
        <v>14319</v>
      </c>
      <c r="F5045" s="16" t="s">
        <v>1285</v>
      </c>
      <c r="G5045" s="16" t="s">
        <v>1063</v>
      </c>
      <c r="H5045" s="16" t="s">
        <v>14297</v>
      </c>
      <c r="I5045" s="16" t="s">
        <v>136</v>
      </c>
      <c r="J5045" s="16" t="s">
        <v>15517</v>
      </c>
      <c r="K5045" s="32" t="n">
        <v>50</v>
      </c>
      <c r="L5045" s="33" t="n">
        <v>46541</v>
      </c>
      <c r="M5045" s="33" t="n">
        <v>46590</v>
      </c>
      <c r="N5045" s="16" t="s">
        <v>15522</v>
      </c>
      <c r="O5045" s="16" t="s">
        <v>1299</v>
      </c>
      <c r="P5045" s="16" t="str">
        <f aca="false">IF(AND(L5045&lt;=$D$2,M5045&gt;=$C$2),"Sí","")</f>
        <v/>
      </c>
      <c r="Q5045" s="18" t="str">
        <f aca="false">IF(COUNTIF(LOOKAHEAD!$A$5:$A$604,A5045)&gt;0,"En Lookahead",IF(P5045="Sí","INCORPORAR",""))</f>
        <v/>
      </c>
    </row>
    <row r="5046" customFormat="false" ht="15" hidden="false" customHeight="false" outlineLevel="0" collapsed="false">
      <c r="A5046" s="16" t="s">
        <v>15531</v>
      </c>
      <c r="B5046" s="16" t="n">
        <v>5041</v>
      </c>
      <c r="C5046" s="16" t="s">
        <v>15532</v>
      </c>
      <c r="D5046" s="16" t="n">
        <v>8</v>
      </c>
      <c r="E5046" s="39" t="s">
        <v>14322</v>
      </c>
      <c r="F5046" s="16" t="s">
        <v>1285</v>
      </c>
      <c r="G5046" s="16" t="s">
        <v>1063</v>
      </c>
      <c r="H5046" s="16" t="s">
        <v>14297</v>
      </c>
      <c r="I5046" s="16" t="s">
        <v>136</v>
      </c>
      <c r="J5046" s="16" t="s">
        <v>15517</v>
      </c>
      <c r="K5046" s="32" t="n">
        <v>50</v>
      </c>
      <c r="L5046" s="33" t="n">
        <v>46541</v>
      </c>
      <c r="M5046" s="33" t="n">
        <v>46590</v>
      </c>
      <c r="N5046" s="16" t="s">
        <v>15522</v>
      </c>
      <c r="O5046" s="16" t="s">
        <v>1299</v>
      </c>
      <c r="P5046" s="16" t="str">
        <f aca="false">IF(AND(L5046&lt;=$D$2,M5046&gt;=$C$2),"Sí","")</f>
        <v/>
      </c>
      <c r="Q5046" s="18" t="str">
        <f aca="false">IF(COUNTIF(LOOKAHEAD!$A$5:$A$604,A5046)&gt;0,"En Lookahead",IF(P5046="Sí","INCORPORAR",""))</f>
        <v/>
      </c>
    </row>
    <row r="5047" customFormat="false" ht="15" hidden="false" customHeight="false" outlineLevel="0" collapsed="false">
      <c r="A5047" s="16" t="s">
        <v>15533</v>
      </c>
      <c r="B5047" s="16" t="n">
        <v>5042</v>
      </c>
      <c r="C5047" s="16" t="s">
        <v>15534</v>
      </c>
      <c r="D5047" s="16" t="n">
        <v>8</v>
      </c>
      <c r="E5047" s="39" t="s">
        <v>15535</v>
      </c>
      <c r="F5047" s="16" t="s">
        <v>1285</v>
      </c>
      <c r="G5047" s="16" t="s">
        <v>1063</v>
      </c>
      <c r="H5047" s="16" t="s">
        <v>14297</v>
      </c>
      <c r="I5047" s="16" t="s">
        <v>136</v>
      </c>
      <c r="J5047" s="16" t="s">
        <v>15517</v>
      </c>
      <c r="K5047" s="32" t="n">
        <v>50</v>
      </c>
      <c r="L5047" s="33" t="n">
        <v>46541</v>
      </c>
      <c r="M5047" s="33" t="n">
        <v>46590</v>
      </c>
      <c r="N5047" s="16" t="s">
        <v>15522</v>
      </c>
      <c r="O5047" s="16" t="s">
        <v>1299</v>
      </c>
      <c r="P5047" s="16" t="str">
        <f aca="false">IF(AND(L5047&lt;=$D$2,M5047&gt;=$C$2),"Sí","")</f>
        <v/>
      </c>
      <c r="Q5047" s="18" t="str">
        <f aca="false">IF(COUNTIF(LOOKAHEAD!$A$5:$A$604,A5047)&gt;0,"En Lookahead",IF(P5047="Sí","INCORPORAR",""))</f>
        <v/>
      </c>
    </row>
    <row r="5048" customFormat="false" ht="15" hidden="false" customHeight="false" outlineLevel="0" collapsed="false">
      <c r="A5048" s="16" t="s">
        <v>15536</v>
      </c>
      <c r="B5048" s="16" t="n">
        <v>5043</v>
      </c>
      <c r="C5048" s="16" t="s">
        <v>15537</v>
      </c>
      <c r="D5048" s="16" t="n">
        <v>8</v>
      </c>
      <c r="E5048" s="39" t="s">
        <v>14325</v>
      </c>
      <c r="F5048" s="16" t="s">
        <v>1285</v>
      </c>
      <c r="G5048" s="16" t="s">
        <v>1063</v>
      </c>
      <c r="H5048" s="16" t="s">
        <v>14297</v>
      </c>
      <c r="I5048" s="16" t="s">
        <v>136</v>
      </c>
      <c r="J5048" s="16" t="s">
        <v>15517</v>
      </c>
      <c r="K5048" s="32" t="n">
        <v>50</v>
      </c>
      <c r="L5048" s="33" t="n">
        <v>46541</v>
      </c>
      <c r="M5048" s="33" t="n">
        <v>46590</v>
      </c>
      <c r="N5048" s="16" t="s">
        <v>15522</v>
      </c>
      <c r="O5048" s="16" t="s">
        <v>1299</v>
      </c>
      <c r="P5048" s="16" t="str">
        <f aca="false">IF(AND(L5048&lt;=$D$2,M5048&gt;=$C$2),"Sí","")</f>
        <v/>
      </c>
      <c r="Q5048" s="18" t="str">
        <f aca="false">IF(COUNTIF(LOOKAHEAD!$A$5:$A$604,A5048)&gt;0,"En Lookahead",IF(P5048="Sí","INCORPORAR",""))</f>
        <v/>
      </c>
    </row>
    <row r="5049" customFormat="false" ht="15" hidden="false" customHeight="false" outlineLevel="0" collapsed="false">
      <c r="A5049" s="16" t="s">
        <v>15538</v>
      </c>
      <c r="B5049" s="16" t="n">
        <v>5044</v>
      </c>
      <c r="C5049" s="16" t="s">
        <v>15539</v>
      </c>
      <c r="D5049" s="16" t="n">
        <v>8</v>
      </c>
      <c r="E5049" s="39" t="s">
        <v>14500</v>
      </c>
      <c r="F5049" s="16" t="s">
        <v>1285</v>
      </c>
      <c r="G5049" s="16" t="s">
        <v>1063</v>
      </c>
      <c r="H5049" s="16" t="s">
        <v>14297</v>
      </c>
      <c r="I5049" s="16" t="s">
        <v>136</v>
      </c>
      <c r="J5049" s="16" t="s">
        <v>15517</v>
      </c>
      <c r="K5049" s="32" t="n">
        <v>50</v>
      </c>
      <c r="L5049" s="33" t="n">
        <v>46541</v>
      </c>
      <c r="M5049" s="33" t="n">
        <v>46590</v>
      </c>
      <c r="N5049" s="16" t="s">
        <v>15522</v>
      </c>
      <c r="O5049" s="16" t="s">
        <v>1299</v>
      </c>
      <c r="P5049" s="16" t="str">
        <f aca="false">IF(AND(L5049&lt;=$D$2,M5049&gt;=$C$2),"Sí","")</f>
        <v/>
      </c>
      <c r="Q5049" s="18" t="str">
        <f aca="false">IF(COUNTIF(LOOKAHEAD!$A$5:$A$604,A5049)&gt;0,"En Lookahead",IF(P5049="Sí","INCORPORAR",""))</f>
        <v/>
      </c>
    </row>
    <row r="5050" customFormat="false" ht="15" hidden="false" customHeight="false" outlineLevel="0" collapsed="false">
      <c r="A5050" s="16" t="s">
        <v>15540</v>
      </c>
      <c r="B5050" s="16" t="n">
        <v>5045</v>
      </c>
      <c r="C5050" s="16" t="s">
        <v>15541</v>
      </c>
      <c r="D5050" s="16" t="n">
        <v>8</v>
      </c>
      <c r="E5050" s="39" t="s">
        <v>14989</v>
      </c>
      <c r="F5050" s="16" t="s">
        <v>1285</v>
      </c>
      <c r="G5050" s="16" t="s">
        <v>1063</v>
      </c>
      <c r="H5050" s="16" t="s">
        <v>14297</v>
      </c>
      <c r="I5050" s="16" t="s">
        <v>136</v>
      </c>
      <c r="J5050" s="16" t="s">
        <v>15517</v>
      </c>
      <c r="K5050" s="32" t="n">
        <v>50</v>
      </c>
      <c r="L5050" s="33" t="n">
        <v>46541</v>
      </c>
      <c r="M5050" s="33" t="n">
        <v>46590</v>
      </c>
      <c r="N5050" s="16" t="s">
        <v>15522</v>
      </c>
      <c r="O5050" s="16" t="s">
        <v>1299</v>
      </c>
      <c r="P5050" s="16" t="str">
        <f aca="false">IF(AND(L5050&lt;=$D$2,M5050&gt;=$C$2),"Sí","")</f>
        <v/>
      </c>
      <c r="Q5050" s="18" t="str">
        <f aca="false">IF(COUNTIF(LOOKAHEAD!$A$5:$A$604,A5050)&gt;0,"En Lookahead",IF(P5050="Sí","INCORPORAR",""))</f>
        <v/>
      </c>
    </row>
    <row r="5051" customFormat="false" ht="15" hidden="false" customHeight="false" outlineLevel="0" collapsed="false">
      <c r="A5051" s="16" t="s">
        <v>15542</v>
      </c>
      <c r="B5051" s="16" t="n">
        <v>5046</v>
      </c>
      <c r="C5051" s="16" t="s">
        <v>15543</v>
      </c>
      <c r="D5051" s="16" t="n">
        <v>8</v>
      </c>
      <c r="E5051" s="39" t="s">
        <v>15544</v>
      </c>
      <c r="F5051" s="16" t="s">
        <v>1285</v>
      </c>
      <c r="G5051" s="16" t="s">
        <v>1063</v>
      </c>
      <c r="H5051" s="16" t="s">
        <v>14297</v>
      </c>
      <c r="I5051" s="16" t="s">
        <v>136</v>
      </c>
      <c r="J5051" s="16" t="s">
        <v>15517</v>
      </c>
      <c r="K5051" s="32" t="n">
        <v>50</v>
      </c>
      <c r="L5051" s="33" t="n">
        <v>46541</v>
      </c>
      <c r="M5051" s="33" t="n">
        <v>46590</v>
      </c>
      <c r="N5051" s="16" t="s">
        <v>15522</v>
      </c>
      <c r="O5051" s="16" t="s">
        <v>1299</v>
      </c>
      <c r="P5051" s="16" t="str">
        <f aca="false">IF(AND(L5051&lt;=$D$2,M5051&gt;=$C$2),"Sí","")</f>
        <v/>
      </c>
      <c r="Q5051" s="18" t="str">
        <f aca="false">IF(COUNTIF(LOOKAHEAD!$A$5:$A$604,A5051)&gt;0,"En Lookahead",IF(P5051="Sí","INCORPORAR",""))</f>
        <v/>
      </c>
    </row>
    <row r="5052" customFormat="false" ht="15" hidden="false" customHeight="false" outlineLevel="0" collapsed="false">
      <c r="A5052" s="13" t="s">
        <v>15545</v>
      </c>
      <c r="B5052" s="13" t="n">
        <v>5047</v>
      </c>
      <c r="C5052" s="13" t="s">
        <v>15546</v>
      </c>
      <c r="D5052" s="13" t="n">
        <v>7</v>
      </c>
      <c r="E5052" s="38" t="s">
        <v>15547</v>
      </c>
      <c r="F5052" s="13" t="s">
        <v>1298</v>
      </c>
      <c r="G5052" s="13" t="s">
        <v>1063</v>
      </c>
      <c r="H5052" s="13" t="s">
        <v>14297</v>
      </c>
      <c r="I5052" s="13" t="s">
        <v>136</v>
      </c>
      <c r="J5052" s="13" t="s">
        <v>14302</v>
      </c>
      <c r="K5052" s="30" t="n">
        <v>50</v>
      </c>
      <c r="L5052" s="31" t="n">
        <v>46541</v>
      </c>
      <c r="M5052" s="31" t="n">
        <v>46590</v>
      </c>
      <c r="N5052" s="13"/>
      <c r="O5052" s="13" t="s">
        <v>1299</v>
      </c>
      <c r="P5052" s="13"/>
      <c r="Q5052" s="13"/>
    </row>
    <row r="5053" customFormat="false" ht="15" hidden="false" customHeight="false" outlineLevel="0" collapsed="false">
      <c r="A5053" s="16" t="s">
        <v>15548</v>
      </c>
      <c r="B5053" s="16" t="n">
        <v>5048</v>
      </c>
      <c r="C5053" s="16" t="s">
        <v>15549</v>
      </c>
      <c r="D5053" s="16" t="n">
        <v>8</v>
      </c>
      <c r="E5053" s="39" t="s">
        <v>14308</v>
      </c>
      <c r="F5053" s="16" t="s">
        <v>1285</v>
      </c>
      <c r="G5053" s="16" t="s">
        <v>1063</v>
      </c>
      <c r="H5053" s="16" t="s">
        <v>14297</v>
      </c>
      <c r="I5053" s="16" t="s">
        <v>136</v>
      </c>
      <c r="J5053" s="16" t="s">
        <v>15547</v>
      </c>
      <c r="K5053" s="32" t="n">
        <v>50</v>
      </c>
      <c r="L5053" s="33" t="n">
        <v>46541</v>
      </c>
      <c r="M5053" s="33" t="n">
        <v>46590</v>
      </c>
      <c r="N5053" s="16" t="s">
        <v>15522</v>
      </c>
      <c r="O5053" s="16" t="s">
        <v>1299</v>
      </c>
      <c r="P5053" s="16" t="str">
        <f aca="false">IF(AND(L5053&lt;=$D$2,M5053&gt;=$C$2),"Sí","")</f>
        <v/>
      </c>
      <c r="Q5053" s="18" t="str">
        <f aca="false">IF(COUNTIF(LOOKAHEAD!$A$5:$A$604,A5053)&gt;0,"En Lookahead",IF(P5053="Sí","INCORPORAR",""))</f>
        <v/>
      </c>
    </row>
    <row r="5054" customFormat="false" ht="15" hidden="false" customHeight="false" outlineLevel="0" collapsed="false">
      <c r="A5054" s="16" t="s">
        <v>15550</v>
      </c>
      <c r="B5054" s="16" t="n">
        <v>5049</v>
      </c>
      <c r="C5054" s="16" t="s">
        <v>15551</v>
      </c>
      <c r="D5054" s="16" t="n">
        <v>8</v>
      </c>
      <c r="E5054" s="39" t="s">
        <v>14337</v>
      </c>
      <c r="F5054" s="16" t="s">
        <v>1285</v>
      </c>
      <c r="G5054" s="16" t="s">
        <v>1063</v>
      </c>
      <c r="H5054" s="16" t="s">
        <v>14297</v>
      </c>
      <c r="I5054" s="16" t="s">
        <v>136</v>
      </c>
      <c r="J5054" s="16" t="s">
        <v>15547</v>
      </c>
      <c r="K5054" s="32" t="n">
        <v>50</v>
      </c>
      <c r="L5054" s="33" t="n">
        <v>46541</v>
      </c>
      <c r="M5054" s="33" t="n">
        <v>46590</v>
      </c>
      <c r="N5054" s="16" t="s">
        <v>15522</v>
      </c>
      <c r="O5054" s="16" t="s">
        <v>1299</v>
      </c>
      <c r="P5054" s="16" t="str">
        <f aca="false">IF(AND(L5054&lt;=$D$2,M5054&gt;=$C$2),"Sí","")</f>
        <v/>
      </c>
      <c r="Q5054" s="18" t="str">
        <f aca="false">IF(COUNTIF(LOOKAHEAD!$A$5:$A$604,A5054)&gt;0,"En Lookahead",IF(P5054="Sí","INCORPORAR",""))</f>
        <v/>
      </c>
    </row>
    <row r="5055" customFormat="false" ht="15" hidden="false" customHeight="false" outlineLevel="0" collapsed="false">
      <c r="A5055" s="16" t="s">
        <v>15552</v>
      </c>
      <c r="B5055" s="16" t="n">
        <v>5050</v>
      </c>
      <c r="C5055" s="16" t="s">
        <v>15553</v>
      </c>
      <c r="D5055" s="16" t="n">
        <v>8</v>
      </c>
      <c r="E5055" s="39" t="s">
        <v>14316</v>
      </c>
      <c r="F5055" s="16" t="s">
        <v>1285</v>
      </c>
      <c r="G5055" s="16" t="s">
        <v>1063</v>
      </c>
      <c r="H5055" s="16" t="s">
        <v>14297</v>
      </c>
      <c r="I5055" s="16" t="s">
        <v>136</v>
      </c>
      <c r="J5055" s="16" t="s">
        <v>15547</v>
      </c>
      <c r="K5055" s="32" t="n">
        <v>50</v>
      </c>
      <c r="L5055" s="33" t="n">
        <v>46541</v>
      </c>
      <c r="M5055" s="33" t="n">
        <v>46590</v>
      </c>
      <c r="N5055" s="16" t="s">
        <v>15522</v>
      </c>
      <c r="O5055" s="16" t="s">
        <v>1299</v>
      </c>
      <c r="P5055" s="16" t="str">
        <f aca="false">IF(AND(L5055&lt;=$D$2,M5055&gt;=$C$2),"Sí","")</f>
        <v/>
      </c>
      <c r="Q5055" s="18" t="str">
        <f aca="false">IF(COUNTIF(LOOKAHEAD!$A$5:$A$604,A5055)&gt;0,"En Lookahead",IF(P5055="Sí","INCORPORAR",""))</f>
        <v/>
      </c>
    </row>
    <row r="5056" customFormat="false" ht="15" hidden="false" customHeight="false" outlineLevel="0" collapsed="false">
      <c r="A5056" s="16" t="s">
        <v>15554</v>
      </c>
      <c r="B5056" s="16" t="n">
        <v>5051</v>
      </c>
      <c r="C5056" s="16" t="s">
        <v>15555</v>
      </c>
      <c r="D5056" s="16" t="n">
        <v>8</v>
      </c>
      <c r="E5056" s="39" t="s">
        <v>14319</v>
      </c>
      <c r="F5056" s="16" t="s">
        <v>1285</v>
      </c>
      <c r="G5056" s="16" t="s">
        <v>1063</v>
      </c>
      <c r="H5056" s="16" t="s">
        <v>14297</v>
      </c>
      <c r="I5056" s="16" t="s">
        <v>136</v>
      </c>
      <c r="J5056" s="16" t="s">
        <v>15547</v>
      </c>
      <c r="K5056" s="32" t="n">
        <v>50</v>
      </c>
      <c r="L5056" s="33" t="n">
        <v>46541</v>
      </c>
      <c r="M5056" s="33" t="n">
        <v>46590</v>
      </c>
      <c r="N5056" s="16" t="s">
        <v>15522</v>
      </c>
      <c r="O5056" s="16" t="s">
        <v>1299</v>
      </c>
      <c r="P5056" s="16" t="str">
        <f aca="false">IF(AND(L5056&lt;=$D$2,M5056&gt;=$C$2),"Sí","")</f>
        <v/>
      </c>
      <c r="Q5056" s="18" t="str">
        <f aca="false">IF(COUNTIF(LOOKAHEAD!$A$5:$A$604,A5056)&gt;0,"En Lookahead",IF(P5056="Sí","INCORPORAR",""))</f>
        <v/>
      </c>
    </row>
    <row r="5057" customFormat="false" ht="15" hidden="false" customHeight="false" outlineLevel="0" collapsed="false">
      <c r="A5057" s="16" t="s">
        <v>15556</v>
      </c>
      <c r="B5057" s="16" t="n">
        <v>5052</v>
      </c>
      <c r="C5057" s="16" t="s">
        <v>15557</v>
      </c>
      <c r="D5057" s="16" t="n">
        <v>8</v>
      </c>
      <c r="E5057" s="39" t="s">
        <v>14322</v>
      </c>
      <c r="F5057" s="16" t="s">
        <v>1285</v>
      </c>
      <c r="G5057" s="16" t="s">
        <v>1063</v>
      </c>
      <c r="H5057" s="16" t="s">
        <v>14297</v>
      </c>
      <c r="I5057" s="16" t="s">
        <v>136</v>
      </c>
      <c r="J5057" s="16" t="s">
        <v>15547</v>
      </c>
      <c r="K5057" s="32" t="n">
        <v>50</v>
      </c>
      <c r="L5057" s="33" t="n">
        <v>46541</v>
      </c>
      <c r="M5057" s="33" t="n">
        <v>46590</v>
      </c>
      <c r="N5057" s="16" t="s">
        <v>15522</v>
      </c>
      <c r="O5057" s="16" t="s">
        <v>1299</v>
      </c>
      <c r="P5057" s="16" t="str">
        <f aca="false">IF(AND(L5057&lt;=$D$2,M5057&gt;=$C$2),"Sí","")</f>
        <v/>
      </c>
      <c r="Q5057" s="18" t="str">
        <f aca="false">IF(COUNTIF(LOOKAHEAD!$A$5:$A$604,A5057)&gt;0,"En Lookahead",IF(P5057="Sí","INCORPORAR",""))</f>
        <v/>
      </c>
    </row>
    <row r="5058" customFormat="false" ht="15" hidden="false" customHeight="false" outlineLevel="0" collapsed="false">
      <c r="A5058" s="16" t="s">
        <v>15558</v>
      </c>
      <c r="B5058" s="16" t="n">
        <v>5053</v>
      </c>
      <c r="C5058" s="16" t="s">
        <v>15559</v>
      </c>
      <c r="D5058" s="16" t="n">
        <v>8</v>
      </c>
      <c r="E5058" s="39" t="s">
        <v>14325</v>
      </c>
      <c r="F5058" s="16" t="s">
        <v>1285</v>
      </c>
      <c r="G5058" s="16" t="s">
        <v>1063</v>
      </c>
      <c r="H5058" s="16" t="s">
        <v>14297</v>
      </c>
      <c r="I5058" s="16" t="s">
        <v>136</v>
      </c>
      <c r="J5058" s="16" t="s">
        <v>15547</v>
      </c>
      <c r="K5058" s="32" t="n">
        <v>50</v>
      </c>
      <c r="L5058" s="33" t="n">
        <v>46541</v>
      </c>
      <c r="M5058" s="33" t="n">
        <v>46590</v>
      </c>
      <c r="N5058" s="16" t="s">
        <v>15522</v>
      </c>
      <c r="O5058" s="16" t="s">
        <v>1299</v>
      </c>
      <c r="P5058" s="16" t="str">
        <f aca="false">IF(AND(L5058&lt;=$D$2,M5058&gt;=$C$2),"Sí","")</f>
        <v/>
      </c>
      <c r="Q5058" s="18" t="str">
        <f aca="false">IF(COUNTIF(LOOKAHEAD!$A$5:$A$604,A5058)&gt;0,"En Lookahead",IF(P5058="Sí","INCORPORAR",""))</f>
        <v/>
      </c>
    </row>
    <row r="5059" customFormat="false" ht="15" hidden="false" customHeight="false" outlineLevel="0" collapsed="false">
      <c r="A5059" s="16" t="s">
        <v>15560</v>
      </c>
      <c r="B5059" s="16" t="n">
        <v>5054</v>
      </c>
      <c r="C5059" s="16" t="s">
        <v>15561</v>
      </c>
      <c r="D5059" s="16" t="n">
        <v>8</v>
      </c>
      <c r="E5059" s="39" t="s">
        <v>14328</v>
      </c>
      <c r="F5059" s="16" t="s">
        <v>1285</v>
      </c>
      <c r="G5059" s="16" t="s">
        <v>1063</v>
      </c>
      <c r="H5059" s="16" t="s">
        <v>14297</v>
      </c>
      <c r="I5059" s="16" t="s">
        <v>136</v>
      </c>
      <c r="J5059" s="16" t="s">
        <v>15547</v>
      </c>
      <c r="K5059" s="32" t="n">
        <v>50</v>
      </c>
      <c r="L5059" s="33" t="n">
        <v>46541</v>
      </c>
      <c r="M5059" s="33" t="n">
        <v>46590</v>
      </c>
      <c r="N5059" s="16" t="s">
        <v>15522</v>
      </c>
      <c r="O5059" s="16" t="s">
        <v>1299</v>
      </c>
      <c r="P5059" s="16" t="str">
        <f aca="false">IF(AND(L5059&lt;=$D$2,M5059&gt;=$C$2),"Sí","")</f>
        <v/>
      </c>
      <c r="Q5059" s="18" t="str">
        <f aca="false">IF(COUNTIF(LOOKAHEAD!$A$5:$A$604,A5059)&gt;0,"En Lookahead",IF(P5059="Sí","INCORPORAR",""))</f>
        <v/>
      </c>
    </row>
    <row r="5060" customFormat="false" ht="15" hidden="false" customHeight="false" outlineLevel="0" collapsed="false">
      <c r="A5060" s="13" t="s">
        <v>15562</v>
      </c>
      <c r="B5060" s="13" t="n">
        <v>5055</v>
      </c>
      <c r="C5060" s="13" t="s">
        <v>15563</v>
      </c>
      <c r="D5060" s="13" t="n">
        <v>7</v>
      </c>
      <c r="E5060" s="38" t="s">
        <v>14509</v>
      </c>
      <c r="F5060" s="13" t="s">
        <v>1298</v>
      </c>
      <c r="G5060" s="13" t="s">
        <v>1063</v>
      </c>
      <c r="H5060" s="13" t="s">
        <v>14297</v>
      </c>
      <c r="I5060" s="13" t="s">
        <v>136</v>
      </c>
      <c r="J5060" s="13" t="s">
        <v>14302</v>
      </c>
      <c r="K5060" s="30" t="n">
        <v>50</v>
      </c>
      <c r="L5060" s="31" t="n">
        <v>46541</v>
      </c>
      <c r="M5060" s="31" t="n">
        <v>46590</v>
      </c>
      <c r="N5060" s="13"/>
      <c r="O5060" s="13" t="s">
        <v>1299</v>
      </c>
      <c r="P5060" s="13"/>
      <c r="Q5060" s="13"/>
    </row>
    <row r="5061" customFormat="false" ht="15" hidden="false" customHeight="false" outlineLevel="0" collapsed="false">
      <c r="A5061" s="16" t="s">
        <v>15564</v>
      </c>
      <c r="B5061" s="16" t="n">
        <v>5056</v>
      </c>
      <c r="C5061" s="16" t="s">
        <v>15565</v>
      </c>
      <c r="D5061" s="16" t="n">
        <v>8</v>
      </c>
      <c r="E5061" s="39" t="s">
        <v>14512</v>
      </c>
      <c r="F5061" s="16" t="s">
        <v>1285</v>
      </c>
      <c r="G5061" s="16" t="s">
        <v>1063</v>
      </c>
      <c r="H5061" s="16" t="s">
        <v>14297</v>
      </c>
      <c r="I5061" s="16" t="s">
        <v>136</v>
      </c>
      <c r="J5061" s="16" t="s">
        <v>14509</v>
      </c>
      <c r="K5061" s="32" t="n">
        <v>50</v>
      </c>
      <c r="L5061" s="33" t="n">
        <v>46541</v>
      </c>
      <c r="M5061" s="33" t="n">
        <v>46590</v>
      </c>
      <c r="N5061" s="16" t="s">
        <v>15522</v>
      </c>
      <c r="O5061" s="16" t="s">
        <v>1299</v>
      </c>
      <c r="P5061" s="16" t="str">
        <f aca="false">IF(AND(L5061&lt;=$D$2,M5061&gt;=$C$2),"Sí","")</f>
        <v/>
      </c>
      <c r="Q5061" s="18" t="str">
        <f aca="false">IF(COUNTIF(LOOKAHEAD!$A$5:$A$604,A5061)&gt;0,"En Lookahead",IF(P5061="Sí","INCORPORAR",""))</f>
        <v/>
      </c>
    </row>
    <row r="5062" customFormat="false" ht="15" hidden="false" customHeight="false" outlineLevel="0" collapsed="false">
      <c r="A5062" s="13" t="s">
        <v>15566</v>
      </c>
      <c r="B5062" s="13" t="n">
        <v>5057</v>
      </c>
      <c r="C5062" s="13" t="s">
        <v>15567</v>
      </c>
      <c r="D5062" s="13" t="n">
        <v>7</v>
      </c>
      <c r="E5062" s="38" t="s">
        <v>14503</v>
      </c>
      <c r="F5062" s="13" t="s">
        <v>1298</v>
      </c>
      <c r="G5062" s="13" t="s">
        <v>1063</v>
      </c>
      <c r="H5062" s="13" t="s">
        <v>14297</v>
      </c>
      <c r="I5062" s="13" t="s">
        <v>136</v>
      </c>
      <c r="J5062" s="13" t="s">
        <v>14302</v>
      </c>
      <c r="K5062" s="30" t="n">
        <v>50</v>
      </c>
      <c r="L5062" s="31" t="n">
        <v>46541</v>
      </c>
      <c r="M5062" s="31" t="n">
        <v>46590</v>
      </c>
      <c r="N5062" s="13"/>
      <c r="O5062" s="13" t="s">
        <v>1299</v>
      </c>
      <c r="P5062" s="13"/>
      <c r="Q5062" s="13"/>
    </row>
    <row r="5063" customFormat="false" ht="15" hidden="false" customHeight="false" outlineLevel="0" collapsed="false">
      <c r="A5063" s="16" t="s">
        <v>15568</v>
      </c>
      <c r="B5063" s="16" t="n">
        <v>5058</v>
      </c>
      <c r="C5063" s="16" t="s">
        <v>15569</v>
      </c>
      <c r="D5063" s="16" t="n">
        <v>8</v>
      </c>
      <c r="E5063" s="39" t="s">
        <v>14506</v>
      </c>
      <c r="F5063" s="16" t="s">
        <v>1285</v>
      </c>
      <c r="G5063" s="16" t="s">
        <v>1063</v>
      </c>
      <c r="H5063" s="16" t="s">
        <v>14297</v>
      </c>
      <c r="I5063" s="16" t="s">
        <v>136</v>
      </c>
      <c r="J5063" s="16" t="s">
        <v>14503</v>
      </c>
      <c r="K5063" s="32" t="n">
        <v>50</v>
      </c>
      <c r="L5063" s="33" t="n">
        <v>46541</v>
      </c>
      <c r="M5063" s="33" t="n">
        <v>46590</v>
      </c>
      <c r="N5063" s="16" t="s">
        <v>15522</v>
      </c>
      <c r="O5063" s="16" t="s">
        <v>1299</v>
      </c>
      <c r="P5063" s="16" t="str">
        <f aca="false">IF(AND(L5063&lt;=$D$2,M5063&gt;=$C$2),"Sí","")</f>
        <v/>
      </c>
      <c r="Q5063" s="18" t="str">
        <f aca="false">IF(COUNTIF(LOOKAHEAD!$A$5:$A$604,A5063)&gt;0,"En Lookahead",IF(P5063="Sí","INCORPORAR",""))</f>
        <v/>
      </c>
    </row>
    <row r="5064" customFormat="false" ht="15" hidden="false" customHeight="false" outlineLevel="0" collapsed="false">
      <c r="A5064" s="13" t="s">
        <v>15570</v>
      </c>
      <c r="B5064" s="13" t="n">
        <v>5059</v>
      </c>
      <c r="C5064" s="13" t="s">
        <v>15571</v>
      </c>
      <c r="D5064" s="13" t="n">
        <v>7</v>
      </c>
      <c r="E5064" s="38" t="s">
        <v>15046</v>
      </c>
      <c r="F5064" s="13" t="s">
        <v>1298</v>
      </c>
      <c r="G5064" s="13" t="s">
        <v>1063</v>
      </c>
      <c r="H5064" s="13" t="s">
        <v>14297</v>
      </c>
      <c r="I5064" s="13" t="s">
        <v>136</v>
      </c>
      <c r="J5064" s="13" t="s">
        <v>14302</v>
      </c>
      <c r="K5064" s="30" t="n">
        <v>50</v>
      </c>
      <c r="L5064" s="31" t="n">
        <v>46541</v>
      </c>
      <c r="M5064" s="31" t="n">
        <v>46590</v>
      </c>
      <c r="N5064" s="13"/>
      <c r="O5064" s="13" t="s">
        <v>1299</v>
      </c>
      <c r="P5064" s="13"/>
      <c r="Q5064" s="13"/>
    </row>
    <row r="5065" customFormat="false" ht="15" hidden="false" customHeight="false" outlineLevel="0" collapsed="false">
      <c r="A5065" s="16" t="s">
        <v>15572</v>
      </c>
      <c r="B5065" s="16" t="n">
        <v>5060</v>
      </c>
      <c r="C5065" s="16" t="s">
        <v>15573</v>
      </c>
      <c r="D5065" s="16" t="n">
        <v>8</v>
      </c>
      <c r="E5065" s="39" t="s">
        <v>14895</v>
      </c>
      <c r="F5065" s="16" t="s">
        <v>1285</v>
      </c>
      <c r="G5065" s="16" t="s">
        <v>1063</v>
      </c>
      <c r="H5065" s="16" t="s">
        <v>14297</v>
      </c>
      <c r="I5065" s="16" t="s">
        <v>136</v>
      </c>
      <c r="J5065" s="16" t="s">
        <v>15046</v>
      </c>
      <c r="K5065" s="32" t="n">
        <v>50</v>
      </c>
      <c r="L5065" s="33" t="n">
        <v>46541</v>
      </c>
      <c r="M5065" s="33" t="n">
        <v>46590</v>
      </c>
      <c r="N5065" s="16" t="s">
        <v>15522</v>
      </c>
      <c r="O5065" s="16" t="s">
        <v>1299</v>
      </c>
      <c r="P5065" s="16" t="str">
        <f aca="false">IF(AND(L5065&lt;=$D$2,M5065&gt;=$C$2),"Sí","")</f>
        <v/>
      </c>
      <c r="Q5065" s="18" t="str">
        <f aca="false">IF(COUNTIF(LOOKAHEAD!$A$5:$A$604,A5065)&gt;0,"En Lookahead",IF(P5065="Sí","INCORPORAR",""))</f>
        <v/>
      </c>
    </row>
    <row r="5066" customFormat="false" ht="15" hidden="false" customHeight="false" outlineLevel="0" collapsed="false">
      <c r="A5066" s="16" t="s">
        <v>15574</v>
      </c>
      <c r="B5066" s="16" t="n">
        <v>5061</v>
      </c>
      <c r="C5066" s="16" t="s">
        <v>15575</v>
      </c>
      <c r="D5066" s="16" t="n">
        <v>8</v>
      </c>
      <c r="E5066" s="39" t="s">
        <v>14337</v>
      </c>
      <c r="F5066" s="16" t="s">
        <v>1285</v>
      </c>
      <c r="G5066" s="16" t="s">
        <v>1063</v>
      </c>
      <c r="H5066" s="16" t="s">
        <v>14297</v>
      </c>
      <c r="I5066" s="16" t="s">
        <v>136</v>
      </c>
      <c r="J5066" s="16" t="s">
        <v>15046</v>
      </c>
      <c r="K5066" s="32" t="n">
        <v>50</v>
      </c>
      <c r="L5066" s="33" t="n">
        <v>46541</v>
      </c>
      <c r="M5066" s="33" t="n">
        <v>46590</v>
      </c>
      <c r="N5066" s="16" t="s">
        <v>15522</v>
      </c>
      <c r="O5066" s="16" t="s">
        <v>1299</v>
      </c>
      <c r="P5066" s="16" t="str">
        <f aca="false">IF(AND(L5066&lt;=$D$2,M5066&gt;=$C$2),"Sí","")</f>
        <v/>
      </c>
      <c r="Q5066" s="18" t="str">
        <f aca="false">IF(COUNTIF(LOOKAHEAD!$A$5:$A$604,A5066)&gt;0,"En Lookahead",IF(P5066="Sí","INCORPORAR",""))</f>
        <v/>
      </c>
    </row>
    <row r="5067" customFormat="false" ht="15" hidden="false" customHeight="false" outlineLevel="0" collapsed="false">
      <c r="A5067" s="16" t="s">
        <v>15576</v>
      </c>
      <c r="B5067" s="16" t="n">
        <v>5062</v>
      </c>
      <c r="C5067" s="16" t="s">
        <v>15577</v>
      </c>
      <c r="D5067" s="16" t="n">
        <v>8</v>
      </c>
      <c r="E5067" s="39" t="s">
        <v>14487</v>
      </c>
      <c r="F5067" s="16" t="s">
        <v>1285</v>
      </c>
      <c r="G5067" s="16" t="s">
        <v>1063</v>
      </c>
      <c r="H5067" s="16" t="s">
        <v>14297</v>
      </c>
      <c r="I5067" s="16" t="s">
        <v>136</v>
      </c>
      <c r="J5067" s="16" t="s">
        <v>15046</v>
      </c>
      <c r="K5067" s="32" t="n">
        <v>50</v>
      </c>
      <c r="L5067" s="33" t="n">
        <v>46541</v>
      </c>
      <c r="M5067" s="33" t="n">
        <v>46590</v>
      </c>
      <c r="N5067" s="16" t="s">
        <v>15522</v>
      </c>
      <c r="O5067" s="16" t="s">
        <v>1299</v>
      </c>
      <c r="P5067" s="16" t="str">
        <f aca="false">IF(AND(L5067&lt;=$D$2,M5067&gt;=$C$2),"Sí","")</f>
        <v/>
      </c>
      <c r="Q5067" s="18" t="str">
        <f aca="false">IF(COUNTIF(LOOKAHEAD!$A$5:$A$604,A5067)&gt;0,"En Lookahead",IF(P5067="Sí","INCORPORAR",""))</f>
        <v/>
      </c>
    </row>
    <row r="5068" customFormat="false" ht="15" hidden="false" customHeight="false" outlineLevel="0" collapsed="false">
      <c r="A5068" s="16" t="s">
        <v>15578</v>
      </c>
      <c r="B5068" s="16" t="n">
        <v>5063</v>
      </c>
      <c r="C5068" s="16" t="s">
        <v>15579</v>
      </c>
      <c r="D5068" s="16" t="n">
        <v>8</v>
      </c>
      <c r="E5068" s="39" t="s">
        <v>14319</v>
      </c>
      <c r="F5068" s="16" t="s">
        <v>1285</v>
      </c>
      <c r="G5068" s="16" t="s">
        <v>1063</v>
      </c>
      <c r="H5068" s="16" t="s">
        <v>14297</v>
      </c>
      <c r="I5068" s="16" t="s">
        <v>136</v>
      </c>
      <c r="J5068" s="16" t="s">
        <v>15046</v>
      </c>
      <c r="K5068" s="32" t="n">
        <v>50</v>
      </c>
      <c r="L5068" s="33" t="n">
        <v>46541</v>
      </c>
      <c r="M5068" s="33" t="n">
        <v>46590</v>
      </c>
      <c r="N5068" s="16" t="s">
        <v>15522</v>
      </c>
      <c r="O5068" s="16" t="s">
        <v>1299</v>
      </c>
      <c r="P5068" s="16" t="str">
        <f aca="false">IF(AND(L5068&lt;=$D$2,M5068&gt;=$C$2),"Sí","")</f>
        <v/>
      </c>
      <c r="Q5068" s="18" t="str">
        <f aca="false">IF(COUNTIF(LOOKAHEAD!$A$5:$A$604,A5068)&gt;0,"En Lookahead",IF(P5068="Sí","INCORPORAR",""))</f>
        <v/>
      </c>
    </row>
    <row r="5069" customFormat="false" ht="15" hidden="false" customHeight="false" outlineLevel="0" collapsed="false">
      <c r="A5069" s="16" t="s">
        <v>15580</v>
      </c>
      <c r="B5069" s="16" t="n">
        <v>5064</v>
      </c>
      <c r="C5069" s="16" t="s">
        <v>15581</v>
      </c>
      <c r="D5069" s="16" t="n">
        <v>8</v>
      </c>
      <c r="E5069" s="39" t="s">
        <v>14495</v>
      </c>
      <c r="F5069" s="16" t="s">
        <v>1285</v>
      </c>
      <c r="G5069" s="16" t="s">
        <v>1063</v>
      </c>
      <c r="H5069" s="16" t="s">
        <v>14297</v>
      </c>
      <c r="I5069" s="16" t="s">
        <v>136</v>
      </c>
      <c r="J5069" s="16" t="s">
        <v>15046</v>
      </c>
      <c r="K5069" s="32" t="n">
        <v>50</v>
      </c>
      <c r="L5069" s="33" t="n">
        <v>46541</v>
      </c>
      <c r="M5069" s="33" t="n">
        <v>46590</v>
      </c>
      <c r="N5069" s="16" t="s">
        <v>15522</v>
      </c>
      <c r="O5069" s="16" t="s">
        <v>1299</v>
      </c>
      <c r="P5069" s="16" t="str">
        <f aca="false">IF(AND(L5069&lt;=$D$2,M5069&gt;=$C$2),"Sí","")</f>
        <v/>
      </c>
      <c r="Q5069" s="18" t="str">
        <f aca="false">IF(COUNTIF(LOOKAHEAD!$A$5:$A$604,A5069)&gt;0,"En Lookahead",IF(P5069="Sí","INCORPORAR",""))</f>
        <v/>
      </c>
    </row>
    <row r="5070" customFormat="false" ht="15" hidden="false" customHeight="false" outlineLevel="0" collapsed="false">
      <c r="A5070" s="16" t="s">
        <v>15582</v>
      </c>
      <c r="B5070" s="16" t="n">
        <v>5065</v>
      </c>
      <c r="C5070" s="16" t="s">
        <v>15583</v>
      </c>
      <c r="D5070" s="16" t="n">
        <v>8</v>
      </c>
      <c r="E5070" s="39" t="s">
        <v>14322</v>
      </c>
      <c r="F5070" s="16" t="s">
        <v>1285</v>
      </c>
      <c r="G5070" s="16" t="s">
        <v>1063</v>
      </c>
      <c r="H5070" s="16" t="s">
        <v>14297</v>
      </c>
      <c r="I5070" s="16" t="s">
        <v>136</v>
      </c>
      <c r="J5070" s="16" t="s">
        <v>15046</v>
      </c>
      <c r="K5070" s="32" t="n">
        <v>50</v>
      </c>
      <c r="L5070" s="33" t="n">
        <v>46541</v>
      </c>
      <c r="M5070" s="33" t="n">
        <v>46590</v>
      </c>
      <c r="N5070" s="16" t="s">
        <v>15522</v>
      </c>
      <c r="O5070" s="16" t="s">
        <v>1299</v>
      </c>
      <c r="P5070" s="16" t="str">
        <f aca="false">IF(AND(L5070&lt;=$D$2,M5070&gt;=$C$2),"Sí","")</f>
        <v/>
      </c>
      <c r="Q5070" s="18" t="str">
        <f aca="false">IF(COUNTIF(LOOKAHEAD!$A$5:$A$604,A5070)&gt;0,"En Lookahead",IF(P5070="Sí","INCORPORAR",""))</f>
        <v/>
      </c>
    </row>
    <row r="5071" customFormat="false" ht="15" hidden="false" customHeight="false" outlineLevel="0" collapsed="false">
      <c r="A5071" s="16" t="s">
        <v>15584</v>
      </c>
      <c r="B5071" s="16" t="n">
        <v>5066</v>
      </c>
      <c r="C5071" s="16" t="s">
        <v>15585</v>
      </c>
      <c r="D5071" s="16" t="n">
        <v>8</v>
      </c>
      <c r="E5071" s="39" t="s">
        <v>14548</v>
      </c>
      <c r="F5071" s="16" t="s">
        <v>1285</v>
      </c>
      <c r="G5071" s="16" t="s">
        <v>1063</v>
      </c>
      <c r="H5071" s="16" t="s">
        <v>14297</v>
      </c>
      <c r="I5071" s="16" t="s">
        <v>136</v>
      </c>
      <c r="J5071" s="16" t="s">
        <v>15046</v>
      </c>
      <c r="K5071" s="32" t="n">
        <v>50</v>
      </c>
      <c r="L5071" s="33" t="n">
        <v>46541</v>
      </c>
      <c r="M5071" s="33" t="n">
        <v>46590</v>
      </c>
      <c r="N5071" s="16" t="s">
        <v>15522</v>
      </c>
      <c r="O5071" s="16" t="s">
        <v>1299</v>
      </c>
      <c r="P5071" s="16" t="str">
        <f aca="false">IF(AND(L5071&lt;=$D$2,M5071&gt;=$C$2),"Sí","")</f>
        <v/>
      </c>
      <c r="Q5071" s="18" t="str">
        <f aca="false">IF(COUNTIF(LOOKAHEAD!$A$5:$A$604,A5071)&gt;0,"En Lookahead",IF(P5071="Sí","INCORPORAR",""))</f>
        <v/>
      </c>
    </row>
    <row r="5072" customFormat="false" ht="15" hidden="false" customHeight="false" outlineLevel="0" collapsed="false">
      <c r="A5072" s="16" t="s">
        <v>15586</v>
      </c>
      <c r="B5072" s="16" t="n">
        <v>5067</v>
      </c>
      <c r="C5072" s="16" t="s">
        <v>15587</v>
      </c>
      <c r="D5072" s="16" t="n">
        <v>8</v>
      </c>
      <c r="E5072" s="39" t="s">
        <v>14384</v>
      </c>
      <c r="F5072" s="16" t="s">
        <v>1285</v>
      </c>
      <c r="G5072" s="16" t="s">
        <v>1063</v>
      </c>
      <c r="H5072" s="16" t="s">
        <v>14297</v>
      </c>
      <c r="I5072" s="16" t="s">
        <v>136</v>
      </c>
      <c r="J5072" s="16" t="s">
        <v>15046</v>
      </c>
      <c r="K5072" s="32" t="n">
        <v>50</v>
      </c>
      <c r="L5072" s="33" t="n">
        <v>46541</v>
      </c>
      <c r="M5072" s="33" t="n">
        <v>46590</v>
      </c>
      <c r="N5072" s="16" t="s">
        <v>15522</v>
      </c>
      <c r="O5072" s="16" t="s">
        <v>1299</v>
      </c>
      <c r="P5072" s="16" t="str">
        <f aca="false">IF(AND(L5072&lt;=$D$2,M5072&gt;=$C$2),"Sí","")</f>
        <v/>
      </c>
      <c r="Q5072" s="18" t="str">
        <f aca="false">IF(COUNTIF(LOOKAHEAD!$A$5:$A$604,A5072)&gt;0,"En Lookahead",IF(P5072="Sí","INCORPORAR",""))</f>
        <v/>
      </c>
    </row>
    <row r="5073" customFormat="false" ht="15" hidden="false" customHeight="false" outlineLevel="0" collapsed="false">
      <c r="A5073" s="16" t="s">
        <v>15588</v>
      </c>
      <c r="B5073" s="16" t="n">
        <v>5068</v>
      </c>
      <c r="C5073" s="16" t="s">
        <v>15589</v>
      </c>
      <c r="D5073" s="16" t="n">
        <v>8</v>
      </c>
      <c r="E5073" s="39" t="s">
        <v>14553</v>
      </c>
      <c r="F5073" s="16" t="s">
        <v>1285</v>
      </c>
      <c r="G5073" s="16" t="s">
        <v>1063</v>
      </c>
      <c r="H5073" s="16" t="s">
        <v>14297</v>
      </c>
      <c r="I5073" s="16" t="s">
        <v>136</v>
      </c>
      <c r="J5073" s="16" t="s">
        <v>15046</v>
      </c>
      <c r="K5073" s="32" t="n">
        <v>50</v>
      </c>
      <c r="L5073" s="33" t="n">
        <v>46541</v>
      </c>
      <c r="M5073" s="33" t="n">
        <v>46590</v>
      </c>
      <c r="N5073" s="16" t="s">
        <v>15522</v>
      </c>
      <c r="O5073" s="16" t="s">
        <v>1299</v>
      </c>
      <c r="P5073" s="16" t="str">
        <f aca="false">IF(AND(L5073&lt;=$D$2,M5073&gt;=$C$2),"Sí","")</f>
        <v/>
      </c>
      <c r="Q5073" s="18" t="str">
        <f aca="false">IF(COUNTIF(LOOKAHEAD!$A$5:$A$604,A5073)&gt;0,"En Lookahead",IF(P5073="Sí","INCORPORAR",""))</f>
        <v/>
      </c>
    </row>
    <row r="5074" customFormat="false" ht="15" hidden="false" customHeight="false" outlineLevel="0" collapsed="false">
      <c r="A5074" s="13" t="s">
        <v>15590</v>
      </c>
      <c r="B5074" s="13" t="n">
        <v>5069</v>
      </c>
      <c r="C5074" s="13" t="s">
        <v>15591</v>
      </c>
      <c r="D5074" s="13" t="n">
        <v>7</v>
      </c>
      <c r="E5074" s="38" t="s">
        <v>15592</v>
      </c>
      <c r="F5074" s="13" t="s">
        <v>1298</v>
      </c>
      <c r="G5074" s="13" t="s">
        <v>1063</v>
      </c>
      <c r="H5074" s="13" t="s">
        <v>14297</v>
      </c>
      <c r="I5074" s="13" t="s">
        <v>136</v>
      </c>
      <c r="J5074" s="13" t="s">
        <v>14302</v>
      </c>
      <c r="K5074" s="30" t="n">
        <v>50</v>
      </c>
      <c r="L5074" s="31" t="n">
        <v>46541</v>
      </c>
      <c r="M5074" s="31" t="n">
        <v>46590</v>
      </c>
      <c r="N5074" s="13"/>
      <c r="O5074" s="13" t="s">
        <v>1299</v>
      </c>
      <c r="P5074" s="13"/>
      <c r="Q5074" s="13"/>
    </row>
    <row r="5075" customFormat="false" ht="15" hidden="false" customHeight="false" outlineLevel="0" collapsed="false">
      <c r="A5075" s="16" t="s">
        <v>15593</v>
      </c>
      <c r="B5075" s="16" t="n">
        <v>5070</v>
      </c>
      <c r="C5075" s="16" t="s">
        <v>15594</v>
      </c>
      <c r="D5075" s="16" t="n">
        <v>8</v>
      </c>
      <c r="E5075" s="39" t="s">
        <v>14477</v>
      </c>
      <c r="F5075" s="16" t="s">
        <v>1285</v>
      </c>
      <c r="G5075" s="16" t="s">
        <v>1063</v>
      </c>
      <c r="H5075" s="16" t="s">
        <v>14297</v>
      </c>
      <c r="I5075" s="16" t="s">
        <v>136</v>
      </c>
      <c r="J5075" s="16" t="s">
        <v>15592</v>
      </c>
      <c r="K5075" s="32" t="n">
        <v>50</v>
      </c>
      <c r="L5075" s="33" t="n">
        <v>46541</v>
      </c>
      <c r="M5075" s="33" t="n">
        <v>46590</v>
      </c>
      <c r="N5075" s="16" t="s">
        <v>15522</v>
      </c>
      <c r="O5075" s="16" t="s">
        <v>1299</v>
      </c>
      <c r="P5075" s="16" t="str">
        <f aca="false">IF(AND(L5075&lt;=$D$2,M5075&gt;=$C$2),"Sí","")</f>
        <v/>
      </c>
      <c r="Q5075" s="18" t="str">
        <f aca="false">IF(COUNTIF(LOOKAHEAD!$A$5:$A$604,A5075)&gt;0,"En Lookahead",IF(P5075="Sí","INCORPORAR",""))</f>
        <v/>
      </c>
    </row>
    <row r="5076" customFormat="false" ht="15" hidden="false" customHeight="false" outlineLevel="0" collapsed="false">
      <c r="A5076" s="16" t="s">
        <v>15595</v>
      </c>
      <c r="B5076" s="16" t="n">
        <v>5071</v>
      </c>
      <c r="C5076" s="16" t="s">
        <v>15596</v>
      </c>
      <c r="D5076" s="16" t="n">
        <v>8</v>
      </c>
      <c r="E5076" s="39" t="s">
        <v>14337</v>
      </c>
      <c r="F5076" s="16" t="s">
        <v>1285</v>
      </c>
      <c r="G5076" s="16" t="s">
        <v>1063</v>
      </c>
      <c r="H5076" s="16" t="s">
        <v>14297</v>
      </c>
      <c r="I5076" s="16" t="s">
        <v>136</v>
      </c>
      <c r="J5076" s="16" t="s">
        <v>15592</v>
      </c>
      <c r="K5076" s="32" t="n">
        <v>50</v>
      </c>
      <c r="L5076" s="33" t="n">
        <v>46541</v>
      </c>
      <c r="M5076" s="33" t="n">
        <v>46590</v>
      </c>
      <c r="N5076" s="16" t="s">
        <v>15522</v>
      </c>
      <c r="O5076" s="16" t="s">
        <v>1299</v>
      </c>
      <c r="P5076" s="16" t="str">
        <f aca="false">IF(AND(L5076&lt;=$D$2,M5076&gt;=$C$2),"Sí","")</f>
        <v/>
      </c>
      <c r="Q5076" s="18" t="str">
        <f aca="false">IF(COUNTIF(LOOKAHEAD!$A$5:$A$604,A5076)&gt;0,"En Lookahead",IF(P5076="Sí","INCORPORAR",""))</f>
        <v/>
      </c>
    </row>
    <row r="5077" customFormat="false" ht="15" hidden="false" customHeight="false" outlineLevel="0" collapsed="false">
      <c r="A5077" s="16" t="s">
        <v>15597</v>
      </c>
      <c r="B5077" s="16" t="n">
        <v>5072</v>
      </c>
      <c r="C5077" s="16" t="s">
        <v>15598</v>
      </c>
      <c r="D5077" s="16" t="n">
        <v>8</v>
      </c>
      <c r="E5077" s="39" t="s">
        <v>14319</v>
      </c>
      <c r="F5077" s="16" t="s">
        <v>1285</v>
      </c>
      <c r="G5077" s="16" t="s">
        <v>1063</v>
      </c>
      <c r="H5077" s="16" t="s">
        <v>14297</v>
      </c>
      <c r="I5077" s="16" t="s">
        <v>136</v>
      </c>
      <c r="J5077" s="16" t="s">
        <v>15592</v>
      </c>
      <c r="K5077" s="32" t="n">
        <v>50</v>
      </c>
      <c r="L5077" s="33" t="n">
        <v>46541</v>
      </c>
      <c r="M5077" s="33" t="n">
        <v>46590</v>
      </c>
      <c r="N5077" s="16" t="s">
        <v>15522</v>
      </c>
      <c r="O5077" s="16" t="s">
        <v>1299</v>
      </c>
      <c r="P5077" s="16" t="str">
        <f aca="false">IF(AND(L5077&lt;=$D$2,M5077&gt;=$C$2),"Sí","")</f>
        <v/>
      </c>
      <c r="Q5077" s="18" t="str">
        <f aca="false">IF(COUNTIF(LOOKAHEAD!$A$5:$A$604,A5077)&gt;0,"En Lookahead",IF(P5077="Sí","INCORPORAR",""))</f>
        <v/>
      </c>
    </row>
    <row r="5078" customFormat="false" ht="15" hidden="false" customHeight="false" outlineLevel="0" collapsed="false">
      <c r="A5078" s="16" t="s">
        <v>15599</v>
      </c>
      <c r="B5078" s="16" t="n">
        <v>5073</v>
      </c>
      <c r="C5078" s="16" t="s">
        <v>15600</v>
      </c>
      <c r="D5078" s="16" t="n">
        <v>8</v>
      </c>
      <c r="E5078" s="39" t="s">
        <v>14492</v>
      </c>
      <c r="F5078" s="16" t="s">
        <v>1285</v>
      </c>
      <c r="G5078" s="16" t="s">
        <v>1063</v>
      </c>
      <c r="H5078" s="16" t="s">
        <v>14297</v>
      </c>
      <c r="I5078" s="16" t="s">
        <v>136</v>
      </c>
      <c r="J5078" s="16" t="s">
        <v>15592</v>
      </c>
      <c r="K5078" s="32" t="n">
        <v>50</v>
      </c>
      <c r="L5078" s="33" t="n">
        <v>46541</v>
      </c>
      <c r="M5078" s="33" t="n">
        <v>46590</v>
      </c>
      <c r="N5078" s="16" t="s">
        <v>15522</v>
      </c>
      <c r="O5078" s="16" t="s">
        <v>1299</v>
      </c>
      <c r="P5078" s="16" t="str">
        <f aca="false">IF(AND(L5078&lt;=$D$2,M5078&gt;=$C$2),"Sí","")</f>
        <v/>
      </c>
      <c r="Q5078" s="18" t="str">
        <f aca="false">IF(COUNTIF(LOOKAHEAD!$A$5:$A$604,A5078)&gt;0,"En Lookahead",IF(P5078="Sí","INCORPORAR",""))</f>
        <v/>
      </c>
    </row>
    <row r="5079" customFormat="false" ht="15" hidden="false" customHeight="false" outlineLevel="0" collapsed="false">
      <c r="A5079" s="16" t="s">
        <v>15601</v>
      </c>
      <c r="B5079" s="16" t="n">
        <v>5074</v>
      </c>
      <c r="C5079" s="16" t="s">
        <v>15602</v>
      </c>
      <c r="D5079" s="16" t="n">
        <v>8</v>
      </c>
      <c r="E5079" s="39" t="s">
        <v>14495</v>
      </c>
      <c r="F5079" s="16" t="s">
        <v>1285</v>
      </c>
      <c r="G5079" s="16" t="s">
        <v>1063</v>
      </c>
      <c r="H5079" s="16" t="s">
        <v>14297</v>
      </c>
      <c r="I5079" s="16" t="s">
        <v>136</v>
      </c>
      <c r="J5079" s="16" t="s">
        <v>15592</v>
      </c>
      <c r="K5079" s="32" t="n">
        <v>50</v>
      </c>
      <c r="L5079" s="33" t="n">
        <v>46541</v>
      </c>
      <c r="M5079" s="33" t="n">
        <v>46590</v>
      </c>
      <c r="N5079" s="16" t="s">
        <v>15522</v>
      </c>
      <c r="O5079" s="16" t="s">
        <v>1299</v>
      </c>
      <c r="P5079" s="16" t="str">
        <f aca="false">IF(AND(L5079&lt;=$D$2,M5079&gt;=$C$2),"Sí","")</f>
        <v/>
      </c>
      <c r="Q5079" s="18" t="str">
        <f aca="false">IF(COUNTIF(LOOKAHEAD!$A$5:$A$604,A5079)&gt;0,"En Lookahead",IF(P5079="Sí","INCORPORAR",""))</f>
        <v/>
      </c>
    </row>
    <row r="5080" customFormat="false" ht="15" hidden="false" customHeight="false" outlineLevel="0" collapsed="false">
      <c r="A5080" s="16" t="s">
        <v>15603</v>
      </c>
      <c r="B5080" s="16" t="n">
        <v>5075</v>
      </c>
      <c r="C5080" s="16" t="s">
        <v>15604</v>
      </c>
      <c r="D5080" s="16" t="n">
        <v>8</v>
      </c>
      <c r="E5080" s="39" t="s">
        <v>14322</v>
      </c>
      <c r="F5080" s="16" t="s">
        <v>1285</v>
      </c>
      <c r="G5080" s="16" t="s">
        <v>1063</v>
      </c>
      <c r="H5080" s="16" t="s">
        <v>14297</v>
      </c>
      <c r="I5080" s="16" t="s">
        <v>136</v>
      </c>
      <c r="J5080" s="16" t="s">
        <v>15592</v>
      </c>
      <c r="K5080" s="32" t="n">
        <v>50</v>
      </c>
      <c r="L5080" s="33" t="n">
        <v>46541</v>
      </c>
      <c r="M5080" s="33" t="n">
        <v>46590</v>
      </c>
      <c r="N5080" s="16" t="s">
        <v>15522</v>
      </c>
      <c r="O5080" s="16" t="s">
        <v>1299</v>
      </c>
      <c r="P5080" s="16" t="str">
        <f aca="false">IF(AND(L5080&lt;=$D$2,M5080&gt;=$C$2),"Sí","")</f>
        <v/>
      </c>
      <c r="Q5080" s="18" t="str">
        <f aca="false">IF(COUNTIF(LOOKAHEAD!$A$5:$A$604,A5080)&gt;0,"En Lookahead",IF(P5080="Sí","INCORPORAR",""))</f>
        <v/>
      </c>
    </row>
    <row r="5081" customFormat="false" ht="15" hidden="false" customHeight="false" outlineLevel="0" collapsed="false">
      <c r="A5081" s="16" t="s">
        <v>15605</v>
      </c>
      <c r="B5081" s="16" t="n">
        <v>5076</v>
      </c>
      <c r="C5081" s="16" t="s">
        <v>15606</v>
      </c>
      <c r="D5081" s="16" t="n">
        <v>8</v>
      </c>
      <c r="E5081" s="39" t="s">
        <v>14403</v>
      </c>
      <c r="F5081" s="16" t="s">
        <v>1285</v>
      </c>
      <c r="G5081" s="16" t="s">
        <v>1063</v>
      </c>
      <c r="H5081" s="16" t="s">
        <v>14297</v>
      </c>
      <c r="I5081" s="16" t="s">
        <v>136</v>
      </c>
      <c r="J5081" s="16" t="s">
        <v>15592</v>
      </c>
      <c r="K5081" s="32" t="n">
        <v>50</v>
      </c>
      <c r="L5081" s="33" t="n">
        <v>46541</v>
      </c>
      <c r="M5081" s="33" t="n">
        <v>46590</v>
      </c>
      <c r="N5081" s="16" t="s">
        <v>15522</v>
      </c>
      <c r="O5081" s="16" t="s">
        <v>1299</v>
      </c>
      <c r="P5081" s="16" t="str">
        <f aca="false">IF(AND(L5081&lt;=$D$2,M5081&gt;=$C$2),"Sí","")</f>
        <v/>
      </c>
      <c r="Q5081" s="18" t="str">
        <f aca="false">IF(COUNTIF(LOOKAHEAD!$A$5:$A$604,A5081)&gt;0,"En Lookahead",IF(P5081="Sí","INCORPORAR",""))</f>
        <v/>
      </c>
    </row>
    <row r="5082" customFormat="false" ht="15" hidden="false" customHeight="false" outlineLevel="0" collapsed="false">
      <c r="A5082" s="16" t="s">
        <v>15607</v>
      </c>
      <c r="B5082" s="16" t="n">
        <v>5077</v>
      </c>
      <c r="C5082" s="16" t="s">
        <v>15608</v>
      </c>
      <c r="D5082" s="16" t="n">
        <v>8</v>
      </c>
      <c r="E5082" s="39" t="s">
        <v>14325</v>
      </c>
      <c r="F5082" s="16" t="s">
        <v>1285</v>
      </c>
      <c r="G5082" s="16" t="s">
        <v>1063</v>
      </c>
      <c r="H5082" s="16" t="s">
        <v>14297</v>
      </c>
      <c r="I5082" s="16" t="s">
        <v>136</v>
      </c>
      <c r="J5082" s="16" t="s">
        <v>15592</v>
      </c>
      <c r="K5082" s="32" t="n">
        <v>50</v>
      </c>
      <c r="L5082" s="33" t="n">
        <v>46541</v>
      </c>
      <c r="M5082" s="33" t="n">
        <v>46590</v>
      </c>
      <c r="N5082" s="16" t="s">
        <v>15522</v>
      </c>
      <c r="O5082" s="16" t="s">
        <v>1299</v>
      </c>
      <c r="P5082" s="16" t="str">
        <f aca="false">IF(AND(L5082&lt;=$D$2,M5082&gt;=$C$2),"Sí","")</f>
        <v/>
      </c>
      <c r="Q5082" s="18" t="str">
        <f aca="false">IF(COUNTIF(LOOKAHEAD!$A$5:$A$604,A5082)&gt;0,"En Lookahead",IF(P5082="Sí","INCORPORAR",""))</f>
        <v/>
      </c>
    </row>
    <row r="5083" customFormat="false" ht="15" hidden="false" customHeight="false" outlineLevel="0" collapsed="false">
      <c r="A5083" s="16" t="s">
        <v>15609</v>
      </c>
      <c r="B5083" s="16" t="n">
        <v>5078</v>
      </c>
      <c r="C5083" s="16" t="s">
        <v>15610</v>
      </c>
      <c r="D5083" s="16" t="n">
        <v>8</v>
      </c>
      <c r="E5083" s="39" t="s">
        <v>15399</v>
      </c>
      <c r="F5083" s="16" t="s">
        <v>1285</v>
      </c>
      <c r="G5083" s="16" t="s">
        <v>1063</v>
      </c>
      <c r="H5083" s="16" t="s">
        <v>14297</v>
      </c>
      <c r="I5083" s="16" t="s">
        <v>136</v>
      </c>
      <c r="J5083" s="16" t="s">
        <v>15592</v>
      </c>
      <c r="K5083" s="32" t="n">
        <v>50</v>
      </c>
      <c r="L5083" s="33" t="n">
        <v>46541</v>
      </c>
      <c r="M5083" s="33" t="n">
        <v>46590</v>
      </c>
      <c r="N5083" s="16" t="s">
        <v>15522</v>
      </c>
      <c r="O5083" s="16" t="s">
        <v>1299</v>
      </c>
      <c r="P5083" s="16" t="str">
        <f aca="false">IF(AND(L5083&lt;=$D$2,M5083&gt;=$C$2),"Sí","")</f>
        <v/>
      </c>
      <c r="Q5083" s="18" t="str">
        <f aca="false">IF(COUNTIF(LOOKAHEAD!$A$5:$A$604,A5083)&gt;0,"En Lookahead",IF(P5083="Sí","INCORPORAR",""))</f>
        <v/>
      </c>
    </row>
    <row r="5084" customFormat="false" ht="15" hidden="false" customHeight="false" outlineLevel="0" collapsed="false">
      <c r="A5084" s="16" t="s">
        <v>15611</v>
      </c>
      <c r="B5084" s="16" t="n">
        <v>5079</v>
      </c>
      <c r="C5084" s="16" t="s">
        <v>15612</v>
      </c>
      <c r="D5084" s="16" t="n">
        <v>8</v>
      </c>
      <c r="E5084" s="39" t="s">
        <v>14381</v>
      </c>
      <c r="F5084" s="16" t="s">
        <v>1285</v>
      </c>
      <c r="G5084" s="16" t="s">
        <v>1063</v>
      </c>
      <c r="H5084" s="16" t="s">
        <v>14297</v>
      </c>
      <c r="I5084" s="16" t="s">
        <v>136</v>
      </c>
      <c r="J5084" s="16" t="s">
        <v>15592</v>
      </c>
      <c r="K5084" s="32" t="n">
        <v>50</v>
      </c>
      <c r="L5084" s="33" t="n">
        <v>46541</v>
      </c>
      <c r="M5084" s="33" t="n">
        <v>46590</v>
      </c>
      <c r="N5084" s="16" t="s">
        <v>15522</v>
      </c>
      <c r="O5084" s="16" t="s">
        <v>1299</v>
      </c>
      <c r="P5084" s="16" t="str">
        <f aca="false">IF(AND(L5084&lt;=$D$2,M5084&gt;=$C$2),"Sí","")</f>
        <v/>
      </c>
      <c r="Q5084" s="18" t="str">
        <f aca="false">IF(COUNTIF(LOOKAHEAD!$A$5:$A$604,A5084)&gt;0,"En Lookahead",IF(P5084="Sí","INCORPORAR",""))</f>
        <v/>
      </c>
    </row>
    <row r="5085" customFormat="false" ht="15" hidden="false" customHeight="false" outlineLevel="0" collapsed="false">
      <c r="A5085" s="13" t="s">
        <v>15613</v>
      </c>
      <c r="B5085" s="13" t="n">
        <v>5080</v>
      </c>
      <c r="C5085" s="13" t="s">
        <v>15614</v>
      </c>
      <c r="D5085" s="13" t="n">
        <v>7</v>
      </c>
      <c r="E5085" s="38" t="s">
        <v>14515</v>
      </c>
      <c r="F5085" s="13" t="s">
        <v>1298</v>
      </c>
      <c r="G5085" s="13" t="s">
        <v>1063</v>
      </c>
      <c r="H5085" s="13" t="s">
        <v>14297</v>
      </c>
      <c r="I5085" s="13" t="s">
        <v>136</v>
      </c>
      <c r="J5085" s="13" t="s">
        <v>14302</v>
      </c>
      <c r="K5085" s="30" t="n">
        <v>50</v>
      </c>
      <c r="L5085" s="31" t="n">
        <v>46541</v>
      </c>
      <c r="M5085" s="31" t="n">
        <v>46590</v>
      </c>
      <c r="N5085" s="13"/>
      <c r="O5085" s="13" t="s">
        <v>1299</v>
      </c>
      <c r="P5085" s="13"/>
      <c r="Q5085" s="13"/>
    </row>
    <row r="5086" customFormat="false" ht="15" hidden="false" customHeight="false" outlineLevel="0" collapsed="false">
      <c r="A5086" s="16" t="s">
        <v>15615</v>
      </c>
      <c r="B5086" s="16" t="n">
        <v>5081</v>
      </c>
      <c r="C5086" s="16" t="s">
        <v>15616</v>
      </c>
      <c r="D5086" s="16" t="n">
        <v>8</v>
      </c>
      <c r="E5086" s="39" t="s">
        <v>14518</v>
      </c>
      <c r="F5086" s="16" t="s">
        <v>1285</v>
      </c>
      <c r="G5086" s="16" t="s">
        <v>1063</v>
      </c>
      <c r="H5086" s="16" t="s">
        <v>14297</v>
      </c>
      <c r="I5086" s="16" t="s">
        <v>136</v>
      </c>
      <c r="J5086" s="16" t="s">
        <v>14515</v>
      </c>
      <c r="K5086" s="32" t="n">
        <v>50</v>
      </c>
      <c r="L5086" s="33" t="n">
        <v>46541</v>
      </c>
      <c r="M5086" s="33" t="n">
        <v>46590</v>
      </c>
      <c r="N5086" s="16" t="s">
        <v>15522</v>
      </c>
      <c r="O5086" s="16" t="s">
        <v>1299</v>
      </c>
      <c r="P5086" s="16" t="str">
        <f aca="false">IF(AND(L5086&lt;=$D$2,M5086&gt;=$C$2),"Sí","")</f>
        <v/>
      </c>
      <c r="Q5086" s="18" t="str">
        <f aca="false">IF(COUNTIF(LOOKAHEAD!$A$5:$A$604,A5086)&gt;0,"En Lookahead",IF(P5086="Sí","INCORPORAR",""))</f>
        <v/>
      </c>
    </row>
    <row r="5087" customFormat="false" ht="15" hidden="false" customHeight="false" outlineLevel="0" collapsed="false">
      <c r="A5087" s="16" t="s">
        <v>15617</v>
      </c>
      <c r="B5087" s="16" t="n">
        <v>5082</v>
      </c>
      <c r="C5087" s="16" t="s">
        <v>15618</v>
      </c>
      <c r="D5087" s="16" t="n">
        <v>8</v>
      </c>
      <c r="E5087" s="39" t="s">
        <v>14337</v>
      </c>
      <c r="F5087" s="16" t="s">
        <v>1285</v>
      </c>
      <c r="G5087" s="16" t="s">
        <v>1063</v>
      </c>
      <c r="H5087" s="16" t="s">
        <v>14297</v>
      </c>
      <c r="I5087" s="16" t="s">
        <v>136</v>
      </c>
      <c r="J5087" s="16" t="s">
        <v>14515</v>
      </c>
      <c r="K5087" s="32" t="n">
        <v>50</v>
      </c>
      <c r="L5087" s="33" t="n">
        <v>46541</v>
      </c>
      <c r="M5087" s="33" t="n">
        <v>46590</v>
      </c>
      <c r="N5087" s="16" t="s">
        <v>15522</v>
      </c>
      <c r="O5087" s="16" t="s">
        <v>1299</v>
      </c>
      <c r="P5087" s="16" t="str">
        <f aca="false">IF(AND(L5087&lt;=$D$2,M5087&gt;=$C$2),"Sí","")</f>
        <v/>
      </c>
      <c r="Q5087" s="18" t="str">
        <f aca="false">IF(COUNTIF(LOOKAHEAD!$A$5:$A$604,A5087)&gt;0,"En Lookahead",IF(P5087="Sí","INCORPORAR",""))</f>
        <v/>
      </c>
    </row>
    <row r="5088" customFormat="false" ht="15" hidden="false" customHeight="false" outlineLevel="0" collapsed="false">
      <c r="A5088" s="16" t="s">
        <v>15619</v>
      </c>
      <c r="B5088" s="16" t="n">
        <v>5083</v>
      </c>
      <c r="C5088" s="16" t="s">
        <v>15620</v>
      </c>
      <c r="D5088" s="16" t="n">
        <v>8</v>
      </c>
      <c r="E5088" s="39" t="s">
        <v>14316</v>
      </c>
      <c r="F5088" s="16" t="s">
        <v>1285</v>
      </c>
      <c r="G5088" s="16" t="s">
        <v>1063</v>
      </c>
      <c r="H5088" s="16" t="s">
        <v>14297</v>
      </c>
      <c r="I5088" s="16" t="s">
        <v>136</v>
      </c>
      <c r="J5088" s="16" t="s">
        <v>14515</v>
      </c>
      <c r="K5088" s="32" t="n">
        <v>50</v>
      </c>
      <c r="L5088" s="33" t="n">
        <v>46541</v>
      </c>
      <c r="M5088" s="33" t="n">
        <v>46590</v>
      </c>
      <c r="N5088" s="16" t="s">
        <v>15522</v>
      </c>
      <c r="O5088" s="16" t="s">
        <v>1299</v>
      </c>
      <c r="P5088" s="16" t="str">
        <f aca="false">IF(AND(L5088&lt;=$D$2,M5088&gt;=$C$2),"Sí","")</f>
        <v/>
      </c>
      <c r="Q5088" s="18" t="str">
        <f aca="false">IF(COUNTIF(LOOKAHEAD!$A$5:$A$604,A5088)&gt;0,"En Lookahead",IF(P5088="Sí","INCORPORAR",""))</f>
        <v/>
      </c>
    </row>
    <row r="5089" customFormat="false" ht="15" hidden="false" customHeight="false" outlineLevel="0" collapsed="false">
      <c r="A5089" s="16" t="s">
        <v>15621</v>
      </c>
      <c r="B5089" s="16" t="n">
        <v>5084</v>
      </c>
      <c r="C5089" s="16" t="s">
        <v>15622</v>
      </c>
      <c r="D5089" s="16" t="n">
        <v>8</v>
      </c>
      <c r="E5089" s="39" t="s">
        <v>14319</v>
      </c>
      <c r="F5089" s="16" t="s">
        <v>1285</v>
      </c>
      <c r="G5089" s="16" t="s">
        <v>1063</v>
      </c>
      <c r="H5089" s="16" t="s">
        <v>14297</v>
      </c>
      <c r="I5089" s="16" t="s">
        <v>136</v>
      </c>
      <c r="J5089" s="16" t="s">
        <v>14515</v>
      </c>
      <c r="K5089" s="32" t="n">
        <v>50</v>
      </c>
      <c r="L5089" s="33" t="n">
        <v>46541</v>
      </c>
      <c r="M5089" s="33" t="n">
        <v>46590</v>
      </c>
      <c r="N5089" s="16" t="s">
        <v>15522</v>
      </c>
      <c r="O5089" s="16" t="s">
        <v>1299</v>
      </c>
      <c r="P5089" s="16" t="str">
        <f aca="false">IF(AND(L5089&lt;=$D$2,M5089&gt;=$C$2),"Sí","")</f>
        <v/>
      </c>
      <c r="Q5089" s="18" t="str">
        <f aca="false">IF(COUNTIF(LOOKAHEAD!$A$5:$A$604,A5089)&gt;0,"En Lookahead",IF(P5089="Sí","INCORPORAR",""))</f>
        <v/>
      </c>
    </row>
    <row r="5090" customFormat="false" ht="15" hidden="false" customHeight="false" outlineLevel="0" collapsed="false">
      <c r="A5090" s="16" t="s">
        <v>15623</v>
      </c>
      <c r="B5090" s="16" t="n">
        <v>5085</v>
      </c>
      <c r="C5090" s="16" t="s">
        <v>15624</v>
      </c>
      <c r="D5090" s="16" t="n">
        <v>8</v>
      </c>
      <c r="E5090" s="39" t="s">
        <v>14466</v>
      </c>
      <c r="F5090" s="16" t="s">
        <v>1285</v>
      </c>
      <c r="G5090" s="16" t="s">
        <v>1063</v>
      </c>
      <c r="H5090" s="16" t="s">
        <v>14297</v>
      </c>
      <c r="I5090" s="16" t="s">
        <v>136</v>
      </c>
      <c r="J5090" s="16" t="s">
        <v>14515</v>
      </c>
      <c r="K5090" s="32" t="n">
        <v>50</v>
      </c>
      <c r="L5090" s="33" t="n">
        <v>46541</v>
      </c>
      <c r="M5090" s="33" t="n">
        <v>46590</v>
      </c>
      <c r="N5090" s="16" t="s">
        <v>15522</v>
      </c>
      <c r="O5090" s="16" t="s">
        <v>1299</v>
      </c>
      <c r="P5090" s="16" t="str">
        <f aca="false">IF(AND(L5090&lt;=$D$2,M5090&gt;=$C$2),"Sí","")</f>
        <v/>
      </c>
      <c r="Q5090" s="18" t="str">
        <f aca="false">IF(COUNTIF(LOOKAHEAD!$A$5:$A$604,A5090)&gt;0,"En Lookahead",IF(P5090="Sí","INCORPORAR",""))</f>
        <v/>
      </c>
    </row>
    <row r="5091" customFormat="false" ht="15" hidden="false" customHeight="false" outlineLevel="0" collapsed="false">
      <c r="A5091" s="16" t="s">
        <v>15625</v>
      </c>
      <c r="B5091" s="16" t="n">
        <v>5086</v>
      </c>
      <c r="C5091" s="16" t="s">
        <v>15626</v>
      </c>
      <c r="D5091" s="16" t="n">
        <v>8</v>
      </c>
      <c r="E5091" s="39" t="s">
        <v>14322</v>
      </c>
      <c r="F5091" s="16" t="s">
        <v>1285</v>
      </c>
      <c r="G5091" s="16" t="s">
        <v>1063</v>
      </c>
      <c r="H5091" s="16" t="s">
        <v>14297</v>
      </c>
      <c r="I5091" s="16" t="s">
        <v>136</v>
      </c>
      <c r="J5091" s="16" t="s">
        <v>14515</v>
      </c>
      <c r="K5091" s="32" t="n">
        <v>50</v>
      </c>
      <c r="L5091" s="33" t="n">
        <v>46541</v>
      </c>
      <c r="M5091" s="33" t="n">
        <v>46590</v>
      </c>
      <c r="N5091" s="16" t="s">
        <v>15522</v>
      </c>
      <c r="O5091" s="16" t="s">
        <v>1299</v>
      </c>
      <c r="P5091" s="16" t="str">
        <f aca="false">IF(AND(L5091&lt;=$D$2,M5091&gt;=$C$2),"Sí","")</f>
        <v/>
      </c>
      <c r="Q5091" s="18" t="str">
        <f aca="false">IF(COUNTIF(LOOKAHEAD!$A$5:$A$604,A5091)&gt;0,"En Lookahead",IF(P5091="Sí","INCORPORAR",""))</f>
        <v/>
      </c>
    </row>
    <row r="5092" customFormat="false" ht="15" hidden="false" customHeight="false" outlineLevel="0" collapsed="false">
      <c r="A5092" s="16" t="s">
        <v>15627</v>
      </c>
      <c r="B5092" s="16" t="n">
        <v>5087</v>
      </c>
      <c r="C5092" s="16" t="s">
        <v>15628</v>
      </c>
      <c r="D5092" s="16" t="n">
        <v>8</v>
      </c>
      <c r="E5092" s="39" t="s">
        <v>14381</v>
      </c>
      <c r="F5092" s="16" t="s">
        <v>1285</v>
      </c>
      <c r="G5092" s="16" t="s">
        <v>1063</v>
      </c>
      <c r="H5092" s="16" t="s">
        <v>14297</v>
      </c>
      <c r="I5092" s="16" t="s">
        <v>136</v>
      </c>
      <c r="J5092" s="16" t="s">
        <v>14515</v>
      </c>
      <c r="K5092" s="32" t="n">
        <v>50</v>
      </c>
      <c r="L5092" s="33" t="n">
        <v>46541</v>
      </c>
      <c r="M5092" s="33" t="n">
        <v>46590</v>
      </c>
      <c r="N5092" s="16" t="s">
        <v>15522</v>
      </c>
      <c r="O5092" s="16" t="s">
        <v>1299</v>
      </c>
      <c r="P5092" s="16" t="str">
        <f aca="false">IF(AND(L5092&lt;=$D$2,M5092&gt;=$C$2),"Sí","")</f>
        <v/>
      </c>
      <c r="Q5092" s="18" t="str">
        <f aca="false">IF(COUNTIF(LOOKAHEAD!$A$5:$A$604,A5092)&gt;0,"En Lookahead",IF(P5092="Sí","INCORPORAR",""))</f>
        <v/>
      </c>
    </row>
    <row r="5093" customFormat="false" ht="15" hidden="false" customHeight="false" outlineLevel="0" collapsed="false">
      <c r="A5093" s="13" t="s">
        <v>15629</v>
      </c>
      <c r="B5093" s="13" t="n">
        <v>5088</v>
      </c>
      <c r="C5093" s="13" t="s">
        <v>15630</v>
      </c>
      <c r="D5093" s="13" t="n">
        <v>7</v>
      </c>
      <c r="E5093" s="38" t="s">
        <v>14509</v>
      </c>
      <c r="F5093" s="13" t="s">
        <v>1298</v>
      </c>
      <c r="G5093" s="13" t="s">
        <v>1063</v>
      </c>
      <c r="H5093" s="13" t="s">
        <v>14297</v>
      </c>
      <c r="I5093" s="13" t="s">
        <v>136</v>
      </c>
      <c r="J5093" s="13" t="s">
        <v>14302</v>
      </c>
      <c r="K5093" s="30" t="n">
        <v>50</v>
      </c>
      <c r="L5093" s="31" t="n">
        <v>46541</v>
      </c>
      <c r="M5093" s="31" t="n">
        <v>46590</v>
      </c>
      <c r="N5093" s="13"/>
      <c r="O5093" s="13" t="s">
        <v>1299</v>
      </c>
      <c r="P5093" s="13"/>
      <c r="Q5093" s="13"/>
    </row>
    <row r="5094" customFormat="false" ht="15" hidden="false" customHeight="false" outlineLevel="0" collapsed="false">
      <c r="A5094" s="16" t="s">
        <v>15631</v>
      </c>
      <c r="B5094" s="16" t="n">
        <v>5089</v>
      </c>
      <c r="C5094" s="16" t="s">
        <v>15632</v>
      </c>
      <c r="D5094" s="16" t="n">
        <v>8</v>
      </c>
      <c r="E5094" s="39" t="s">
        <v>14512</v>
      </c>
      <c r="F5094" s="16" t="s">
        <v>1285</v>
      </c>
      <c r="G5094" s="16" t="s">
        <v>1063</v>
      </c>
      <c r="H5094" s="16" t="s">
        <v>14297</v>
      </c>
      <c r="I5094" s="16" t="s">
        <v>136</v>
      </c>
      <c r="J5094" s="16" t="s">
        <v>14509</v>
      </c>
      <c r="K5094" s="32" t="n">
        <v>50</v>
      </c>
      <c r="L5094" s="33" t="n">
        <v>46541</v>
      </c>
      <c r="M5094" s="33" t="n">
        <v>46590</v>
      </c>
      <c r="N5094" s="16" t="s">
        <v>15522</v>
      </c>
      <c r="O5094" s="16" t="s">
        <v>1299</v>
      </c>
      <c r="P5094" s="16" t="str">
        <f aca="false">IF(AND(L5094&lt;=$D$2,M5094&gt;=$C$2),"Sí","")</f>
        <v/>
      </c>
      <c r="Q5094" s="18" t="str">
        <f aca="false">IF(COUNTIF(LOOKAHEAD!$A$5:$A$604,A5094)&gt;0,"En Lookahead",IF(P5094="Sí","INCORPORAR",""))</f>
        <v/>
      </c>
    </row>
    <row r="5095" customFormat="false" ht="15" hidden="false" customHeight="false" outlineLevel="0" collapsed="false">
      <c r="A5095" s="13" t="s">
        <v>15633</v>
      </c>
      <c r="B5095" s="13" t="n">
        <v>5090</v>
      </c>
      <c r="C5095" s="13" t="s">
        <v>15634</v>
      </c>
      <c r="D5095" s="13" t="n">
        <v>7</v>
      </c>
      <c r="E5095" s="38" t="s">
        <v>15635</v>
      </c>
      <c r="F5095" s="13" t="s">
        <v>1298</v>
      </c>
      <c r="G5095" s="13" t="s">
        <v>1063</v>
      </c>
      <c r="H5095" s="13" t="s">
        <v>14297</v>
      </c>
      <c r="I5095" s="13" t="s">
        <v>136</v>
      </c>
      <c r="J5095" s="13" t="s">
        <v>14302</v>
      </c>
      <c r="K5095" s="30" t="n">
        <v>50</v>
      </c>
      <c r="L5095" s="31" t="n">
        <v>46541</v>
      </c>
      <c r="M5095" s="31" t="n">
        <v>46590</v>
      </c>
      <c r="N5095" s="13"/>
      <c r="O5095" s="13" t="s">
        <v>1299</v>
      </c>
      <c r="P5095" s="13"/>
      <c r="Q5095" s="13"/>
    </row>
    <row r="5096" customFormat="false" ht="15" hidden="false" customHeight="false" outlineLevel="0" collapsed="false">
      <c r="A5096" s="16" t="s">
        <v>15636</v>
      </c>
      <c r="B5096" s="16" t="n">
        <v>5091</v>
      </c>
      <c r="C5096" s="16" t="s">
        <v>15637</v>
      </c>
      <c r="D5096" s="16" t="n">
        <v>8</v>
      </c>
      <c r="E5096" s="39" t="s">
        <v>15638</v>
      </c>
      <c r="F5096" s="16" t="s">
        <v>1285</v>
      </c>
      <c r="G5096" s="16" t="s">
        <v>1063</v>
      </c>
      <c r="H5096" s="16" t="s">
        <v>14297</v>
      </c>
      <c r="I5096" s="16" t="s">
        <v>136</v>
      </c>
      <c r="J5096" s="16" t="s">
        <v>15635</v>
      </c>
      <c r="K5096" s="32" t="n">
        <v>50</v>
      </c>
      <c r="L5096" s="33" t="n">
        <v>46541</v>
      </c>
      <c r="M5096" s="33" t="n">
        <v>46590</v>
      </c>
      <c r="N5096" s="16" t="s">
        <v>15522</v>
      </c>
      <c r="O5096" s="16" t="s">
        <v>1299</v>
      </c>
      <c r="P5096" s="16" t="str">
        <f aca="false">IF(AND(L5096&lt;=$D$2,M5096&gt;=$C$2),"Sí","")</f>
        <v/>
      </c>
      <c r="Q5096" s="18" t="str">
        <f aca="false">IF(COUNTIF(LOOKAHEAD!$A$5:$A$604,A5096)&gt;0,"En Lookahead",IF(P5096="Sí","INCORPORAR",""))</f>
        <v/>
      </c>
    </row>
    <row r="5097" customFormat="false" ht="15" hidden="false" customHeight="false" outlineLevel="0" collapsed="false">
      <c r="A5097" s="16" t="s">
        <v>15639</v>
      </c>
      <c r="B5097" s="16" t="n">
        <v>5092</v>
      </c>
      <c r="C5097" s="16" t="s">
        <v>15640</v>
      </c>
      <c r="D5097" s="16" t="n">
        <v>8</v>
      </c>
      <c r="E5097" s="39" t="s">
        <v>14392</v>
      </c>
      <c r="F5097" s="16" t="s">
        <v>1285</v>
      </c>
      <c r="G5097" s="16" t="s">
        <v>1063</v>
      </c>
      <c r="H5097" s="16" t="s">
        <v>14297</v>
      </c>
      <c r="I5097" s="16" t="s">
        <v>136</v>
      </c>
      <c r="J5097" s="16" t="s">
        <v>15635</v>
      </c>
      <c r="K5097" s="32" t="n">
        <v>50</v>
      </c>
      <c r="L5097" s="33" t="n">
        <v>46541</v>
      </c>
      <c r="M5097" s="33" t="n">
        <v>46590</v>
      </c>
      <c r="N5097" s="16" t="s">
        <v>15522</v>
      </c>
      <c r="O5097" s="16" t="s">
        <v>1299</v>
      </c>
      <c r="P5097" s="16" t="str">
        <f aca="false">IF(AND(L5097&lt;=$D$2,M5097&gt;=$C$2),"Sí","")</f>
        <v/>
      </c>
      <c r="Q5097" s="18" t="str">
        <f aca="false">IF(COUNTIF(LOOKAHEAD!$A$5:$A$604,A5097)&gt;0,"En Lookahead",IF(P5097="Sí","INCORPORAR",""))</f>
        <v/>
      </c>
    </row>
    <row r="5098" customFormat="false" ht="15" hidden="false" customHeight="false" outlineLevel="0" collapsed="false">
      <c r="A5098" s="16" t="s">
        <v>15641</v>
      </c>
      <c r="B5098" s="16" t="n">
        <v>5093</v>
      </c>
      <c r="C5098" s="16" t="s">
        <v>15642</v>
      </c>
      <c r="D5098" s="16" t="n">
        <v>8</v>
      </c>
      <c r="E5098" s="39" t="s">
        <v>15643</v>
      </c>
      <c r="F5098" s="16" t="s">
        <v>1285</v>
      </c>
      <c r="G5098" s="16" t="s">
        <v>1063</v>
      </c>
      <c r="H5098" s="16" t="s">
        <v>14297</v>
      </c>
      <c r="I5098" s="16" t="s">
        <v>136</v>
      </c>
      <c r="J5098" s="16" t="s">
        <v>15635</v>
      </c>
      <c r="K5098" s="32" t="n">
        <v>50</v>
      </c>
      <c r="L5098" s="33" t="n">
        <v>46541</v>
      </c>
      <c r="M5098" s="33" t="n">
        <v>46590</v>
      </c>
      <c r="N5098" s="16" t="s">
        <v>15522</v>
      </c>
      <c r="O5098" s="16" t="s">
        <v>1299</v>
      </c>
      <c r="P5098" s="16" t="str">
        <f aca="false">IF(AND(L5098&lt;=$D$2,M5098&gt;=$C$2),"Sí","")</f>
        <v/>
      </c>
      <c r="Q5098" s="18" t="str">
        <f aca="false">IF(COUNTIF(LOOKAHEAD!$A$5:$A$604,A5098)&gt;0,"En Lookahead",IF(P5098="Sí","INCORPORAR",""))</f>
        <v/>
      </c>
    </row>
    <row r="5099" customFormat="false" ht="15" hidden="false" customHeight="false" outlineLevel="0" collapsed="false">
      <c r="A5099" s="16" t="s">
        <v>15644</v>
      </c>
      <c r="B5099" s="16" t="n">
        <v>5094</v>
      </c>
      <c r="C5099" s="16" t="s">
        <v>15645</v>
      </c>
      <c r="D5099" s="16" t="n">
        <v>8</v>
      </c>
      <c r="E5099" s="39" t="s">
        <v>15646</v>
      </c>
      <c r="F5099" s="16" t="s">
        <v>1285</v>
      </c>
      <c r="G5099" s="16" t="s">
        <v>1063</v>
      </c>
      <c r="H5099" s="16" t="s">
        <v>14297</v>
      </c>
      <c r="I5099" s="16" t="s">
        <v>136</v>
      </c>
      <c r="J5099" s="16" t="s">
        <v>15635</v>
      </c>
      <c r="K5099" s="32" t="n">
        <v>50</v>
      </c>
      <c r="L5099" s="33" t="n">
        <v>46541</v>
      </c>
      <c r="M5099" s="33" t="n">
        <v>46590</v>
      </c>
      <c r="N5099" s="16" t="s">
        <v>15522</v>
      </c>
      <c r="O5099" s="16" t="s">
        <v>1299</v>
      </c>
      <c r="P5099" s="16" t="str">
        <f aca="false">IF(AND(L5099&lt;=$D$2,M5099&gt;=$C$2),"Sí","")</f>
        <v/>
      </c>
      <c r="Q5099" s="18" t="str">
        <f aca="false">IF(COUNTIF(LOOKAHEAD!$A$5:$A$604,A5099)&gt;0,"En Lookahead",IF(P5099="Sí","INCORPORAR",""))</f>
        <v/>
      </c>
    </row>
    <row r="5100" customFormat="false" ht="15" hidden="false" customHeight="false" outlineLevel="0" collapsed="false">
      <c r="A5100" s="16" t="s">
        <v>15647</v>
      </c>
      <c r="B5100" s="16" t="n">
        <v>5095</v>
      </c>
      <c r="C5100" s="16" t="s">
        <v>15648</v>
      </c>
      <c r="D5100" s="16" t="n">
        <v>8</v>
      </c>
      <c r="E5100" s="39" t="s">
        <v>15649</v>
      </c>
      <c r="F5100" s="16" t="s">
        <v>1285</v>
      </c>
      <c r="G5100" s="16" t="s">
        <v>1063</v>
      </c>
      <c r="H5100" s="16" t="s">
        <v>14297</v>
      </c>
      <c r="I5100" s="16" t="s">
        <v>136</v>
      </c>
      <c r="J5100" s="16" t="s">
        <v>15635</v>
      </c>
      <c r="K5100" s="32" t="n">
        <v>50</v>
      </c>
      <c r="L5100" s="33" t="n">
        <v>46541</v>
      </c>
      <c r="M5100" s="33" t="n">
        <v>46590</v>
      </c>
      <c r="N5100" s="16" t="s">
        <v>15522</v>
      </c>
      <c r="O5100" s="16" t="s">
        <v>1299</v>
      </c>
      <c r="P5100" s="16" t="str">
        <f aca="false">IF(AND(L5100&lt;=$D$2,M5100&gt;=$C$2),"Sí","")</f>
        <v/>
      </c>
      <c r="Q5100" s="18" t="str">
        <f aca="false">IF(COUNTIF(LOOKAHEAD!$A$5:$A$604,A5100)&gt;0,"En Lookahead",IF(P5100="Sí","INCORPORAR",""))</f>
        <v/>
      </c>
    </row>
    <row r="5101" customFormat="false" ht="15" hidden="false" customHeight="false" outlineLevel="0" collapsed="false">
      <c r="A5101" s="16" t="s">
        <v>15650</v>
      </c>
      <c r="B5101" s="16" t="n">
        <v>5096</v>
      </c>
      <c r="C5101" s="16" t="s">
        <v>15651</v>
      </c>
      <c r="D5101" s="16" t="n">
        <v>8</v>
      </c>
      <c r="E5101" s="39" t="s">
        <v>15652</v>
      </c>
      <c r="F5101" s="16" t="s">
        <v>1285</v>
      </c>
      <c r="G5101" s="16" t="s">
        <v>1063</v>
      </c>
      <c r="H5101" s="16" t="s">
        <v>14297</v>
      </c>
      <c r="I5101" s="16" t="s">
        <v>136</v>
      </c>
      <c r="J5101" s="16" t="s">
        <v>15635</v>
      </c>
      <c r="K5101" s="32" t="n">
        <v>50</v>
      </c>
      <c r="L5101" s="33" t="n">
        <v>46541</v>
      </c>
      <c r="M5101" s="33" t="n">
        <v>46590</v>
      </c>
      <c r="N5101" s="16" t="s">
        <v>15522</v>
      </c>
      <c r="O5101" s="16" t="s">
        <v>1299</v>
      </c>
      <c r="P5101" s="16" t="str">
        <f aca="false">IF(AND(L5101&lt;=$D$2,M5101&gt;=$C$2),"Sí","")</f>
        <v/>
      </c>
      <c r="Q5101" s="18" t="str">
        <f aca="false">IF(COUNTIF(LOOKAHEAD!$A$5:$A$604,A5101)&gt;0,"En Lookahead",IF(P5101="Sí","INCORPORAR",""))</f>
        <v/>
      </c>
    </row>
    <row r="5102" customFormat="false" ht="15" hidden="false" customHeight="false" outlineLevel="0" collapsed="false">
      <c r="A5102" s="13" t="s">
        <v>15653</v>
      </c>
      <c r="B5102" s="13" t="n">
        <v>5097</v>
      </c>
      <c r="C5102" s="13" t="s">
        <v>15654</v>
      </c>
      <c r="D5102" s="13" t="n">
        <v>7</v>
      </c>
      <c r="E5102" s="38" t="s">
        <v>14515</v>
      </c>
      <c r="F5102" s="13" t="s">
        <v>1298</v>
      </c>
      <c r="G5102" s="13" t="s">
        <v>1063</v>
      </c>
      <c r="H5102" s="13" t="s">
        <v>14297</v>
      </c>
      <c r="I5102" s="13" t="s">
        <v>136</v>
      </c>
      <c r="J5102" s="13" t="s">
        <v>14302</v>
      </c>
      <c r="K5102" s="30" t="n">
        <v>50</v>
      </c>
      <c r="L5102" s="31" t="n">
        <v>46541</v>
      </c>
      <c r="M5102" s="31" t="n">
        <v>46590</v>
      </c>
      <c r="N5102" s="13"/>
      <c r="O5102" s="13" t="s">
        <v>1299</v>
      </c>
      <c r="P5102" s="13"/>
      <c r="Q5102" s="13"/>
    </row>
    <row r="5103" customFormat="false" ht="15" hidden="false" customHeight="false" outlineLevel="0" collapsed="false">
      <c r="A5103" s="16" t="s">
        <v>15655</v>
      </c>
      <c r="B5103" s="16" t="n">
        <v>5098</v>
      </c>
      <c r="C5103" s="16" t="s">
        <v>15656</v>
      </c>
      <c r="D5103" s="16" t="n">
        <v>8</v>
      </c>
      <c r="E5103" s="39" t="s">
        <v>14308</v>
      </c>
      <c r="F5103" s="16" t="s">
        <v>1285</v>
      </c>
      <c r="G5103" s="16" t="s">
        <v>1063</v>
      </c>
      <c r="H5103" s="16" t="s">
        <v>14297</v>
      </c>
      <c r="I5103" s="16" t="s">
        <v>136</v>
      </c>
      <c r="J5103" s="16" t="s">
        <v>14515</v>
      </c>
      <c r="K5103" s="32" t="n">
        <v>50</v>
      </c>
      <c r="L5103" s="33" t="n">
        <v>46541</v>
      </c>
      <c r="M5103" s="33" t="n">
        <v>46590</v>
      </c>
      <c r="N5103" s="16" t="s">
        <v>15522</v>
      </c>
      <c r="O5103" s="16" t="s">
        <v>1299</v>
      </c>
      <c r="P5103" s="16" t="str">
        <f aca="false">IF(AND(L5103&lt;=$D$2,M5103&gt;=$C$2),"Sí","")</f>
        <v/>
      </c>
      <c r="Q5103" s="18" t="str">
        <f aca="false">IF(COUNTIF(LOOKAHEAD!$A$5:$A$604,A5103)&gt;0,"En Lookahead",IF(P5103="Sí","INCORPORAR",""))</f>
        <v/>
      </c>
    </row>
    <row r="5104" customFormat="false" ht="15" hidden="false" customHeight="false" outlineLevel="0" collapsed="false">
      <c r="A5104" s="16" t="s">
        <v>15657</v>
      </c>
      <c r="B5104" s="16" t="n">
        <v>5099</v>
      </c>
      <c r="C5104" s="16" t="s">
        <v>15658</v>
      </c>
      <c r="D5104" s="16" t="n">
        <v>8</v>
      </c>
      <c r="E5104" s="39" t="s">
        <v>14392</v>
      </c>
      <c r="F5104" s="16" t="s">
        <v>1285</v>
      </c>
      <c r="G5104" s="16" t="s">
        <v>1063</v>
      </c>
      <c r="H5104" s="16" t="s">
        <v>14297</v>
      </c>
      <c r="I5104" s="16" t="s">
        <v>136</v>
      </c>
      <c r="J5104" s="16" t="s">
        <v>14515</v>
      </c>
      <c r="K5104" s="32" t="n">
        <v>50</v>
      </c>
      <c r="L5104" s="33" t="n">
        <v>46541</v>
      </c>
      <c r="M5104" s="33" t="n">
        <v>46590</v>
      </c>
      <c r="N5104" s="16" t="s">
        <v>15522</v>
      </c>
      <c r="O5104" s="16" t="s">
        <v>1299</v>
      </c>
      <c r="P5104" s="16" t="str">
        <f aca="false">IF(AND(L5104&lt;=$D$2,M5104&gt;=$C$2),"Sí","")</f>
        <v/>
      </c>
      <c r="Q5104" s="18" t="str">
        <f aca="false">IF(COUNTIF(LOOKAHEAD!$A$5:$A$604,A5104)&gt;0,"En Lookahead",IF(P5104="Sí","INCORPORAR",""))</f>
        <v/>
      </c>
    </row>
    <row r="5105" customFormat="false" ht="15" hidden="false" customHeight="false" outlineLevel="0" collapsed="false">
      <c r="A5105" s="16" t="s">
        <v>15659</v>
      </c>
      <c r="B5105" s="16" t="n">
        <v>5100</v>
      </c>
      <c r="C5105" s="16" t="s">
        <v>15660</v>
      </c>
      <c r="D5105" s="16" t="n">
        <v>8</v>
      </c>
      <c r="E5105" s="39" t="s">
        <v>14337</v>
      </c>
      <c r="F5105" s="16" t="s">
        <v>1285</v>
      </c>
      <c r="G5105" s="16" t="s">
        <v>1063</v>
      </c>
      <c r="H5105" s="16" t="s">
        <v>14297</v>
      </c>
      <c r="I5105" s="16" t="s">
        <v>136</v>
      </c>
      <c r="J5105" s="16" t="s">
        <v>14515</v>
      </c>
      <c r="K5105" s="32" t="n">
        <v>50</v>
      </c>
      <c r="L5105" s="33" t="n">
        <v>46541</v>
      </c>
      <c r="M5105" s="33" t="n">
        <v>46590</v>
      </c>
      <c r="N5105" s="16" t="s">
        <v>15522</v>
      </c>
      <c r="O5105" s="16" t="s">
        <v>1299</v>
      </c>
      <c r="P5105" s="16" t="str">
        <f aca="false">IF(AND(L5105&lt;=$D$2,M5105&gt;=$C$2),"Sí","")</f>
        <v/>
      </c>
      <c r="Q5105" s="18" t="str">
        <f aca="false">IF(COUNTIF(LOOKAHEAD!$A$5:$A$604,A5105)&gt;0,"En Lookahead",IF(P5105="Sí","INCORPORAR",""))</f>
        <v/>
      </c>
    </row>
    <row r="5106" customFormat="false" ht="15" hidden="false" customHeight="false" outlineLevel="0" collapsed="false">
      <c r="A5106" s="16" t="s">
        <v>15661</v>
      </c>
      <c r="B5106" s="16" t="n">
        <v>5101</v>
      </c>
      <c r="C5106" s="16" t="s">
        <v>15662</v>
      </c>
      <c r="D5106" s="16" t="n">
        <v>8</v>
      </c>
      <c r="E5106" s="39" t="s">
        <v>14484</v>
      </c>
      <c r="F5106" s="16" t="s">
        <v>1285</v>
      </c>
      <c r="G5106" s="16" t="s">
        <v>1063</v>
      </c>
      <c r="H5106" s="16" t="s">
        <v>14297</v>
      </c>
      <c r="I5106" s="16" t="s">
        <v>136</v>
      </c>
      <c r="J5106" s="16" t="s">
        <v>14515</v>
      </c>
      <c r="K5106" s="32" t="n">
        <v>50</v>
      </c>
      <c r="L5106" s="33" t="n">
        <v>46541</v>
      </c>
      <c r="M5106" s="33" t="n">
        <v>46590</v>
      </c>
      <c r="N5106" s="16" t="s">
        <v>15522</v>
      </c>
      <c r="O5106" s="16" t="s">
        <v>1299</v>
      </c>
      <c r="P5106" s="16" t="str">
        <f aca="false">IF(AND(L5106&lt;=$D$2,M5106&gt;=$C$2),"Sí","")</f>
        <v/>
      </c>
      <c r="Q5106" s="18" t="str">
        <f aca="false">IF(COUNTIF(LOOKAHEAD!$A$5:$A$604,A5106)&gt;0,"En Lookahead",IF(P5106="Sí","INCORPORAR",""))</f>
        <v/>
      </c>
    </row>
    <row r="5107" customFormat="false" ht="15" hidden="false" customHeight="false" outlineLevel="0" collapsed="false">
      <c r="A5107" s="16" t="s">
        <v>15663</v>
      </c>
      <c r="B5107" s="16" t="n">
        <v>5102</v>
      </c>
      <c r="C5107" s="16" t="s">
        <v>15664</v>
      </c>
      <c r="D5107" s="16" t="n">
        <v>8</v>
      </c>
      <c r="E5107" s="39" t="s">
        <v>14316</v>
      </c>
      <c r="F5107" s="16" t="s">
        <v>1285</v>
      </c>
      <c r="G5107" s="16" t="s">
        <v>1063</v>
      </c>
      <c r="H5107" s="16" t="s">
        <v>14297</v>
      </c>
      <c r="I5107" s="16" t="s">
        <v>136</v>
      </c>
      <c r="J5107" s="16" t="s">
        <v>14515</v>
      </c>
      <c r="K5107" s="32" t="n">
        <v>50</v>
      </c>
      <c r="L5107" s="33" t="n">
        <v>46541</v>
      </c>
      <c r="M5107" s="33" t="n">
        <v>46590</v>
      </c>
      <c r="N5107" s="16" t="s">
        <v>15522</v>
      </c>
      <c r="O5107" s="16" t="s">
        <v>1299</v>
      </c>
      <c r="P5107" s="16" t="str">
        <f aca="false">IF(AND(L5107&lt;=$D$2,M5107&gt;=$C$2),"Sí","")</f>
        <v/>
      </c>
      <c r="Q5107" s="18" t="str">
        <f aca="false">IF(COUNTIF(LOOKAHEAD!$A$5:$A$604,A5107)&gt;0,"En Lookahead",IF(P5107="Sí","INCORPORAR",""))</f>
        <v/>
      </c>
    </row>
    <row r="5108" customFormat="false" ht="15" hidden="false" customHeight="false" outlineLevel="0" collapsed="false">
      <c r="A5108" s="16" t="s">
        <v>15665</v>
      </c>
      <c r="B5108" s="16" t="n">
        <v>5103</v>
      </c>
      <c r="C5108" s="16" t="s">
        <v>15666</v>
      </c>
      <c r="D5108" s="16" t="n">
        <v>8</v>
      </c>
      <c r="E5108" s="39" t="s">
        <v>14319</v>
      </c>
      <c r="F5108" s="16" t="s">
        <v>1285</v>
      </c>
      <c r="G5108" s="16" t="s">
        <v>1063</v>
      </c>
      <c r="H5108" s="16" t="s">
        <v>14297</v>
      </c>
      <c r="I5108" s="16" t="s">
        <v>136</v>
      </c>
      <c r="J5108" s="16" t="s">
        <v>14515</v>
      </c>
      <c r="K5108" s="32" t="n">
        <v>50</v>
      </c>
      <c r="L5108" s="33" t="n">
        <v>46541</v>
      </c>
      <c r="M5108" s="33" t="n">
        <v>46590</v>
      </c>
      <c r="N5108" s="16" t="s">
        <v>15522</v>
      </c>
      <c r="O5108" s="16" t="s">
        <v>1299</v>
      </c>
      <c r="P5108" s="16" t="str">
        <f aca="false">IF(AND(L5108&lt;=$D$2,M5108&gt;=$C$2),"Sí","")</f>
        <v/>
      </c>
      <c r="Q5108" s="18" t="str">
        <f aca="false">IF(COUNTIF(LOOKAHEAD!$A$5:$A$604,A5108)&gt;0,"En Lookahead",IF(P5108="Sí","INCORPORAR",""))</f>
        <v/>
      </c>
    </row>
    <row r="5109" customFormat="false" ht="15" hidden="false" customHeight="false" outlineLevel="0" collapsed="false">
      <c r="A5109" s="16" t="s">
        <v>15667</v>
      </c>
      <c r="B5109" s="16" t="n">
        <v>5104</v>
      </c>
      <c r="C5109" s="16" t="s">
        <v>15668</v>
      </c>
      <c r="D5109" s="16" t="n">
        <v>8</v>
      </c>
      <c r="E5109" s="39" t="s">
        <v>14322</v>
      </c>
      <c r="F5109" s="16" t="s">
        <v>1285</v>
      </c>
      <c r="G5109" s="16" t="s">
        <v>1063</v>
      </c>
      <c r="H5109" s="16" t="s">
        <v>14297</v>
      </c>
      <c r="I5109" s="16" t="s">
        <v>136</v>
      </c>
      <c r="J5109" s="16" t="s">
        <v>14515</v>
      </c>
      <c r="K5109" s="32" t="n">
        <v>50</v>
      </c>
      <c r="L5109" s="33" t="n">
        <v>46541</v>
      </c>
      <c r="M5109" s="33" t="n">
        <v>46590</v>
      </c>
      <c r="N5109" s="16" t="s">
        <v>15522</v>
      </c>
      <c r="O5109" s="16" t="s">
        <v>1299</v>
      </c>
      <c r="P5109" s="16" t="str">
        <f aca="false">IF(AND(L5109&lt;=$D$2,M5109&gt;=$C$2),"Sí","")</f>
        <v/>
      </c>
      <c r="Q5109" s="18" t="str">
        <f aca="false">IF(COUNTIF(LOOKAHEAD!$A$5:$A$604,A5109)&gt;0,"En Lookahead",IF(P5109="Sí","INCORPORAR",""))</f>
        <v/>
      </c>
    </row>
    <row r="5110" customFormat="false" ht="15" hidden="false" customHeight="false" outlineLevel="0" collapsed="false">
      <c r="A5110" s="16" t="s">
        <v>15669</v>
      </c>
      <c r="B5110" s="16" t="n">
        <v>5105</v>
      </c>
      <c r="C5110" s="16" t="s">
        <v>15670</v>
      </c>
      <c r="D5110" s="16" t="n">
        <v>8</v>
      </c>
      <c r="E5110" s="39" t="s">
        <v>15535</v>
      </c>
      <c r="F5110" s="16" t="s">
        <v>1285</v>
      </c>
      <c r="G5110" s="16" t="s">
        <v>1063</v>
      </c>
      <c r="H5110" s="16" t="s">
        <v>14297</v>
      </c>
      <c r="I5110" s="16" t="s">
        <v>136</v>
      </c>
      <c r="J5110" s="16" t="s">
        <v>14515</v>
      </c>
      <c r="K5110" s="32" t="n">
        <v>50</v>
      </c>
      <c r="L5110" s="33" t="n">
        <v>46541</v>
      </c>
      <c r="M5110" s="33" t="n">
        <v>46590</v>
      </c>
      <c r="N5110" s="16" t="s">
        <v>15522</v>
      </c>
      <c r="O5110" s="16" t="s">
        <v>1299</v>
      </c>
      <c r="P5110" s="16" t="str">
        <f aca="false">IF(AND(L5110&lt;=$D$2,M5110&gt;=$C$2),"Sí","")</f>
        <v/>
      </c>
      <c r="Q5110" s="18" t="str">
        <f aca="false">IF(COUNTIF(LOOKAHEAD!$A$5:$A$604,A5110)&gt;0,"En Lookahead",IF(P5110="Sí","INCORPORAR",""))</f>
        <v/>
      </c>
    </row>
    <row r="5111" customFormat="false" ht="15" hidden="false" customHeight="false" outlineLevel="0" collapsed="false">
      <c r="A5111" s="16" t="s">
        <v>15671</v>
      </c>
      <c r="B5111" s="16" t="n">
        <v>5106</v>
      </c>
      <c r="C5111" s="16" t="s">
        <v>15672</v>
      </c>
      <c r="D5111" s="16" t="n">
        <v>8</v>
      </c>
      <c r="E5111" s="39" t="s">
        <v>14378</v>
      </c>
      <c r="F5111" s="16" t="s">
        <v>1285</v>
      </c>
      <c r="G5111" s="16" t="s">
        <v>1063</v>
      </c>
      <c r="H5111" s="16" t="s">
        <v>14297</v>
      </c>
      <c r="I5111" s="16" t="s">
        <v>136</v>
      </c>
      <c r="J5111" s="16" t="s">
        <v>14515</v>
      </c>
      <c r="K5111" s="32" t="n">
        <v>50</v>
      </c>
      <c r="L5111" s="33" t="n">
        <v>46541</v>
      </c>
      <c r="M5111" s="33" t="n">
        <v>46590</v>
      </c>
      <c r="N5111" s="16" t="s">
        <v>15522</v>
      </c>
      <c r="O5111" s="16" t="s">
        <v>1299</v>
      </c>
      <c r="P5111" s="16" t="str">
        <f aca="false">IF(AND(L5111&lt;=$D$2,M5111&gt;=$C$2),"Sí","")</f>
        <v/>
      </c>
      <c r="Q5111" s="18" t="str">
        <f aca="false">IF(COUNTIF(LOOKAHEAD!$A$5:$A$604,A5111)&gt;0,"En Lookahead",IF(P5111="Sí","INCORPORAR",""))</f>
        <v/>
      </c>
    </row>
    <row r="5112" customFormat="false" ht="15" hidden="false" customHeight="false" outlineLevel="0" collapsed="false">
      <c r="A5112" s="16" t="s">
        <v>15673</v>
      </c>
      <c r="B5112" s="16" t="n">
        <v>5107</v>
      </c>
      <c r="C5112" s="16" t="s">
        <v>15674</v>
      </c>
      <c r="D5112" s="16" t="n">
        <v>8</v>
      </c>
      <c r="E5112" s="39" t="s">
        <v>14328</v>
      </c>
      <c r="F5112" s="16" t="s">
        <v>1285</v>
      </c>
      <c r="G5112" s="16" t="s">
        <v>1063</v>
      </c>
      <c r="H5112" s="16" t="s">
        <v>14297</v>
      </c>
      <c r="I5112" s="16" t="s">
        <v>136</v>
      </c>
      <c r="J5112" s="16" t="s">
        <v>14515</v>
      </c>
      <c r="K5112" s="32" t="n">
        <v>50</v>
      </c>
      <c r="L5112" s="33" t="n">
        <v>46541</v>
      </c>
      <c r="M5112" s="33" t="n">
        <v>46590</v>
      </c>
      <c r="N5112" s="16" t="s">
        <v>15522</v>
      </c>
      <c r="O5112" s="16" t="s">
        <v>1299</v>
      </c>
      <c r="P5112" s="16" t="str">
        <f aca="false">IF(AND(L5112&lt;=$D$2,M5112&gt;=$C$2),"Sí","")</f>
        <v/>
      </c>
      <c r="Q5112" s="18" t="str">
        <f aca="false">IF(COUNTIF(LOOKAHEAD!$A$5:$A$604,A5112)&gt;0,"En Lookahead",IF(P5112="Sí","INCORPORAR",""))</f>
        <v/>
      </c>
    </row>
    <row r="5113" customFormat="false" ht="15" hidden="false" customHeight="false" outlineLevel="0" collapsed="false">
      <c r="A5113" s="16" t="s">
        <v>15675</v>
      </c>
      <c r="B5113" s="16" t="n">
        <v>5108</v>
      </c>
      <c r="C5113" s="16" t="s">
        <v>15676</v>
      </c>
      <c r="D5113" s="16" t="n">
        <v>8</v>
      </c>
      <c r="E5113" s="39" t="s">
        <v>14381</v>
      </c>
      <c r="F5113" s="16" t="s">
        <v>1285</v>
      </c>
      <c r="G5113" s="16" t="s">
        <v>1063</v>
      </c>
      <c r="H5113" s="16" t="s">
        <v>14297</v>
      </c>
      <c r="I5113" s="16" t="s">
        <v>136</v>
      </c>
      <c r="J5113" s="16" t="s">
        <v>14515</v>
      </c>
      <c r="K5113" s="32" t="n">
        <v>50</v>
      </c>
      <c r="L5113" s="33" t="n">
        <v>46541</v>
      </c>
      <c r="M5113" s="33" t="n">
        <v>46590</v>
      </c>
      <c r="N5113" s="16" t="s">
        <v>15522</v>
      </c>
      <c r="O5113" s="16" t="s">
        <v>1299</v>
      </c>
      <c r="P5113" s="16" t="str">
        <f aca="false">IF(AND(L5113&lt;=$D$2,M5113&gt;=$C$2),"Sí","")</f>
        <v/>
      </c>
      <c r="Q5113" s="18" t="str">
        <f aca="false">IF(COUNTIF(LOOKAHEAD!$A$5:$A$604,A5113)&gt;0,"En Lookahead",IF(P5113="Sí","INCORPORAR",""))</f>
        <v/>
      </c>
    </row>
    <row r="5114" customFormat="false" ht="15" hidden="false" customHeight="false" outlineLevel="0" collapsed="false">
      <c r="A5114" s="13" t="s">
        <v>15677</v>
      </c>
      <c r="B5114" s="13" t="n">
        <v>5109</v>
      </c>
      <c r="C5114" s="13" t="s">
        <v>15678</v>
      </c>
      <c r="D5114" s="13" t="n">
        <v>7</v>
      </c>
      <c r="E5114" s="38" t="s">
        <v>14556</v>
      </c>
      <c r="F5114" s="13" t="s">
        <v>1298</v>
      </c>
      <c r="G5114" s="13" t="s">
        <v>1063</v>
      </c>
      <c r="H5114" s="13" t="s">
        <v>14297</v>
      </c>
      <c r="I5114" s="13" t="s">
        <v>136</v>
      </c>
      <c r="J5114" s="13" t="s">
        <v>14302</v>
      </c>
      <c r="K5114" s="30" t="n">
        <v>50</v>
      </c>
      <c r="L5114" s="31" t="n">
        <v>46541</v>
      </c>
      <c r="M5114" s="31" t="n">
        <v>46590</v>
      </c>
      <c r="N5114" s="13"/>
      <c r="O5114" s="13" t="s">
        <v>1299</v>
      </c>
      <c r="P5114" s="13"/>
      <c r="Q5114" s="13"/>
    </row>
    <row r="5115" customFormat="false" ht="15" hidden="false" customHeight="false" outlineLevel="0" collapsed="false">
      <c r="A5115" s="16" t="s">
        <v>15679</v>
      </c>
      <c r="B5115" s="16" t="n">
        <v>5110</v>
      </c>
      <c r="C5115" s="16" t="s">
        <v>15680</v>
      </c>
      <c r="D5115" s="16" t="n">
        <v>8</v>
      </c>
      <c r="E5115" s="39" t="s">
        <v>14466</v>
      </c>
      <c r="F5115" s="16" t="s">
        <v>1285</v>
      </c>
      <c r="G5115" s="16" t="s">
        <v>1063</v>
      </c>
      <c r="H5115" s="16" t="s">
        <v>14297</v>
      </c>
      <c r="I5115" s="16" t="s">
        <v>136</v>
      </c>
      <c r="J5115" s="16" t="s">
        <v>14556</v>
      </c>
      <c r="K5115" s="32" t="n">
        <v>50</v>
      </c>
      <c r="L5115" s="33" t="n">
        <v>46541</v>
      </c>
      <c r="M5115" s="33" t="n">
        <v>46590</v>
      </c>
      <c r="N5115" s="16" t="s">
        <v>15522</v>
      </c>
      <c r="O5115" s="16" t="s">
        <v>1299</v>
      </c>
      <c r="P5115" s="16" t="str">
        <f aca="false">IF(AND(L5115&lt;=$D$2,M5115&gt;=$C$2),"Sí","")</f>
        <v/>
      </c>
      <c r="Q5115" s="18" t="str">
        <f aca="false">IF(COUNTIF(LOOKAHEAD!$A$5:$A$604,A5115)&gt;0,"En Lookahead",IF(P5115="Sí","INCORPORAR",""))</f>
        <v/>
      </c>
    </row>
    <row r="5116" customFormat="false" ht="15" hidden="false" customHeight="false" outlineLevel="0" collapsed="false">
      <c r="A5116" s="16" t="s">
        <v>15681</v>
      </c>
      <c r="B5116" s="16" t="n">
        <v>5111</v>
      </c>
      <c r="C5116" s="16" t="s">
        <v>15682</v>
      </c>
      <c r="D5116" s="16" t="n">
        <v>8</v>
      </c>
      <c r="E5116" s="39" t="s">
        <v>14360</v>
      </c>
      <c r="F5116" s="16" t="s">
        <v>1285</v>
      </c>
      <c r="G5116" s="16" t="s">
        <v>1063</v>
      </c>
      <c r="H5116" s="16" t="s">
        <v>14297</v>
      </c>
      <c r="I5116" s="16" t="s">
        <v>136</v>
      </c>
      <c r="J5116" s="16" t="s">
        <v>14556</v>
      </c>
      <c r="K5116" s="32" t="n">
        <v>50</v>
      </c>
      <c r="L5116" s="33" t="n">
        <v>46541</v>
      </c>
      <c r="M5116" s="33" t="n">
        <v>46590</v>
      </c>
      <c r="N5116" s="16" t="s">
        <v>15522</v>
      </c>
      <c r="O5116" s="16" t="s">
        <v>1299</v>
      </c>
      <c r="P5116" s="16" t="str">
        <f aca="false">IF(AND(L5116&lt;=$D$2,M5116&gt;=$C$2),"Sí","")</f>
        <v/>
      </c>
      <c r="Q5116" s="18" t="str">
        <f aca="false">IF(COUNTIF(LOOKAHEAD!$A$5:$A$604,A5116)&gt;0,"En Lookahead",IF(P5116="Sí","INCORPORAR",""))</f>
        <v/>
      </c>
    </row>
    <row r="5117" customFormat="false" ht="15" hidden="false" customHeight="false" outlineLevel="0" collapsed="false">
      <c r="A5117" s="13" t="s">
        <v>15683</v>
      </c>
      <c r="B5117" s="13" t="n">
        <v>5112</v>
      </c>
      <c r="C5117" s="13" t="s">
        <v>15684</v>
      </c>
      <c r="D5117" s="13" t="n">
        <v>7</v>
      </c>
      <c r="E5117" s="38" t="s">
        <v>15685</v>
      </c>
      <c r="F5117" s="13" t="s">
        <v>1298</v>
      </c>
      <c r="G5117" s="13" t="s">
        <v>1063</v>
      </c>
      <c r="H5117" s="13" t="s">
        <v>14297</v>
      </c>
      <c r="I5117" s="13" t="s">
        <v>136</v>
      </c>
      <c r="J5117" s="13" t="s">
        <v>14302</v>
      </c>
      <c r="K5117" s="30" t="n">
        <v>50</v>
      </c>
      <c r="L5117" s="31" t="n">
        <v>46541</v>
      </c>
      <c r="M5117" s="31" t="n">
        <v>46590</v>
      </c>
      <c r="N5117" s="13"/>
      <c r="O5117" s="13" t="s">
        <v>1299</v>
      </c>
      <c r="P5117" s="13"/>
      <c r="Q5117" s="13"/>
    </row>
    <row r="5118" customFormat="false" ht="15" hidden="false" customHeight="false" outlineLevel="0" collapsed="false">
      <c r="A5118" s="16" t="s">
        <v>15686</v>
      </c>
      <c r="B5118" s="16" t="n">
        <v>5113</v>
      </c>
      <c r="C5118" s="16" t="s">
        <v>15687</v>
      </c>
      <c r="D5118" s="16" t="n">
        <v>8</v>
      </c>
      <c r="E5118" s="39" t="s">
        <v>14506</v>
      </c>
      <c r="F5118" s="16" t="s">
        <v>1285</v>
      </c>
      <c r="G5118" s="16" t="s">
        <v>1063</v>
      </c>
      <c r="H5118" s="16" t="s">
        <v>14297</v>
      </c>
      <c r="I5118" s="16" t="s">
        <v>136</v>
      </c>
      <c r="J5118" s="16" t="s">
        <v>15685</v>
      </c>
      <c r="K5118" s="32" t="n">
        <v>50</v>
      </c>
      <c r="L5118" s="33" t="n">
        <v>46541</v>
      </c>
      <c r="M5118" s="33" t="n">
        <v>46590</v>
      </c>
      <c r="N5118" s="16" t="s">
        <v>15522</v>
      </c>
      <c r="O5118" s="16" t="s">
        <v>1299</v>
      </c>
      <c r="P5118" s="16" t="str">
        <f aca="false">IF(AND(L5118&lt;=$D$2,M5118&gt;=$C$2),"Sí","")</f>
        <v/>
      </c>
      <c r="Q5118" s="18" t="str">
        <f aca="false">IF(COUNTIF(LOOKAHEAD!$A$5:$A$604,A5118)&gt;0,"En Lookahead",IF(P5118="Sí","INCORPORAR",""))</f>
        <v/>
      </c>
    </row>
    <row r="5119" customFormat="false" ht="15" hidden="false" customHeight="false" outlineLevel="0" collapsed="false">
      <c r="A5119" s="13" t="s">
        <v>15688</v>
      </c>
      <c r="B5119" s="13" t="n">
        <v>5114</v>
      </c>
      <c r="C5119" s="13" t="s">
        <v>15689</v>
      </c>
      <c r="D5119" s="13" t="n">
        <v>7</v>
      </c>
      <c r="E5119" s="38" t="s">
        <v>15206</v>
      </c>
      <c r="F5119" s="13" t="s">
        <v>1298</v>
      </c>
      <c r="G5119" s="13" t="s">
        <v>1063</v>
      </c>
      <c r="H5119" s="13" t="s">
        <v>14297</v>
      </c>
      <c r="I5119" s="13" t="s">
        <v>136</v>
      </c>
      <c r="J5119" s="13" t="s">
        <v>14302</v>
      </c>
      <c r="K5119" s="30" t="n">
        <v>50</v>
      </c>
      <c r="L5119" s="31" t="n">
        <v>46541</v>
      </c>
      <c r="M5119" s="31" t="n">
        <v>46590</v>
      </c>
      <c r="N5119" s="13"/>
      <c r="O5119" s="13" t="s">
        <v>1299</v>
      </c>
      <c r="P5119" s="13"/>
      <c r="Q5119" s="13"/>
    </row>
    <row r="5120" customFormat="false" ht="15" hidden="false" customHeight="false" outlineLevel="0" collapsed="false">
      <c r="A5120" s="16" t="s">
        <v>15690</v>
      </c>
      <c r="B5120" s="16" t="n">
        <v>5115</v>
      </c>
      <c r="C5120" s="16" t="s">
        <v>15691</v>
      </c>
      <c r="D5120" s="16" t="n">
        <v>8</v>
      </c>
      <c r="E5120" s="39" t="s">
        <v>14518</v>
      </c>
      <c r="F5120" s="16" t="s">
        <v>1285</v>
      </c>
      <c r="G5120" s="16" t="s">
        <v>1063</v>
      </c>
      <c r="H5120" s="16" t="s">
        <v>14297</v>
      </c>
      <c r="I5120" s="16" t="s">
        <v>136</v>
      </c>
      <c r="J5120" s="16" t="s">
        <v>15206</v>
      </c>
      <c r="K5120" s="32" t="n">
        <v>50</v>
      </c>
      <c r="L5120" s="33" t="n">
        <v>46541</v>
      </c>
      <c r="M5120" s="33" t="n">
        <v>46590</v>
      </c>
      <c r="N5120" s="16" t="s">
        <v>15522</v>
      </c>
      <c r="O5120" s="16" t="s">
        <v>1299</v>
      </c>
      <c r="P5120" s="16" t="str">
        <f aca="false">IF(AND(L5120&lt;=$D$2,M5120&gt;=$C$2),"Sí","")</f>
        <v/>
      </c>
      <c r="Q5120" s="18" t="str">
        <f aca="false">IF(COUNTIF(LOOKAHEAD!$A$5:$A$604,A5120)&gt;0,"En Lookahead",IF(P5120="Sí","INCORPORAR",""))</f>
        <v/>
      </c>
    </row>
    <row r="5121" customFormat="false" ht="15" hidden="false" customHeight="false" outlineLevel="0" collapsed="false">
      <c r="A5121" s="16" t="s">
        <v>15692</v>
      </c>
      <c r="B5121" s="16" t="n">
        <v>5116</v>
      </c>
      <c r="C5121" s="16" t="s">
        <v>15693</v>
      </c>
      <c r="D5121" s="16" t="n">
        <v>8</v>
      </c>
      <c r="E5121" s="39" t="s">
        <v>14392</v>
      </c>
      <c r="F5121" s="16" t="s">
        <v>1285</v>
      </c>
      <c r="G5121" s="16" t="s">
        <v>1063</v>
      </c>
      <c r="H5121" s="16" t="s">
        <v>14297</v>
      </c>
      <c r="I5121" s="16" t="s">
        <v>136</v>
      </c>
      <c r="J5121" s="16" t="s">
        <v>15206</v>
      </c>
      <c r="K5121" s="32" t="n">
        <v>50</v>
      </c>
      <c r="L5121" s="33" t="n">
        <v>46541</v>
      </c>
      <c r="M5121" s="33" t="n">
        <v>46590</v>
      </c>
      <c r="N5121" s="16" t="s">
        <v>15522</v>
      </c>
      <c r="O5121" s="16" t="s">
        <v>1299</v>
      </c>
      <c r="P5121" s="16" t="str">
        <f aca="false">IF(AND(L5121&lt;=$D$2,M5121&gt;=$C$2),"Sí","")</f>
        <v/>
      </c>
      <c r="Q5121" s="18" t="str">
        <f aca="false">IF(COUNTIF(LOOKAHEAD!$A$5:$A$604,A5121)&gt;0,"En Lookahead",IF(P5121="Sí","INCORPORAR",""))</f>
        <v/>
      </c>
    </row>
    <row r="5122" customFormat="false" ht="15" hidden="false" customHeight="false" outlineLevel="0" collapsed="false">
      <c r="A5122" s="16" t="s">
        <v>15694</v>
      </c>
      <c r="B5122" s="16" t="n">
        <v>5117</v>
      </c>
      <c r="C5122" s="16" t="s">
        <v>15695</v>
      </c>
      <c r="D5122" s="16" t="n">
        <v>8</v>
      </c>
      <c r="E5122" s="39" t="s">
        <v>14316</v>
      </c>
      <c r="F5122" s="16" t="s">
        <v>1285</v>
      </c>
      <c r="G5122" s="16" t="s">
        <v>1063</v>
      </c>
      <c r="H5122" s="16" t="s">
        <v>14297</v>
      </c>
      <c r="I5122" s="16" t="s">
        <v>136</v>
      </c>
      <c r="J5122" s="16" t="s">
        <v>15206</v>
      </c>
      <c r="K5122" s="32" t="n">
        <v>50</v>
      </c>
      <c r="L5122" s="33" t="n">
        <v>46541</v>
      </c>
      <c r="M5122" s="33" t="n">
        <v>46590</v>
      </c>
      <c r="N5122" s="16" t="s">
        <v>15522</v>
      </c>
      <c r="O5122" s="16" t="s">
        <v>1299</v>
      </c>
      <c r="P5122" s="16" t="str">
        <f aca="false">IF(AND(L5122&lt;=$D$2,M5122&gt;=$C$2),"Sí","")</f>
        <v/>
      </c>
      <c r="Q5122" s="18" t="str">
        <f aca="false">IF(COUNTIF(LOOKAHEAD!$A$5:$A$604,A5122)&gt;0,"En Lookahead",IF(P5122="Sí","INCORPORAR",""))</f>
        <v/>
      </c>
    </row>
    <row r="5123" customFormat="false" ht="15" hidden="false" customHeight="false" outlineLevel="0" collapsed="false">
      <c r="A5123" s="16" t="s">
        <v>15696</v>
      </c>
      <c r="B5123" s="16" t="n">
        <v>5118</v>
      </c>
      <c r="C5123" s="16" t="s">
        <v>15697</v>
      </c>
      <c r="D5123" s="16" t="n">
        <v>8</v>
      </c>
      <c r="E5123" s="39" t="s">
        <v>14319</v>
      </c>
      <c r="F5123" s="16" t="s">
        <v>1285</v>
      </c>
      <c r="G5123" s="16" t="s">
        <v>1063</v>
      </c>
      <c r="H5123" s="16" t="s">
        <v>14297</v>
      </c>
      <c r="I5123" s="16" t="s">
        <v>136</v>
      </c>
      <c r="J5123" s="16" t="s">
        <v>15206</v>
      </c>
      <c r="K5123" s="32" t="n">
        <v>50</v>
      </c>
      <c r="L5123" s="33" t="n">
        <v>46541</v>
      </c>
      <c r="M5123" s="33" t="n">
        <v>46590</v>
      </c>
      <c r="N5123" s="16" t="s">
        <v>15522</v>
      </c>
      <c r="O5123" s="16" t="s">
        <v>1299</v>
      </c>
      <c r="P5123" s="16" t="str">
        <f aca="false">IF(AND(L5123&lt;=$D$2,M5123&gt;=$C$2),"Sí","")</f>
        <v/>
      </c>
      <c r="Q5123" s="18" t="str">
        <f aca="false">IF(COUNTIF(LOOKAHEAD!$A$5:$A$604,A5123)&gt;0,"En Lookahead",IF(P5123="Sí","INCORPORAR",""))</f>
        <v/>
      </c>
    </row>
    <row r="5124" customFormat="false" ht="15" hidden="false" customHeight="false" outlineLevel="0" collapsed="false">
      <c r="A5124" s="16" t="s">
        <v>15698</v>
      </c>
      <c r="B5124" s="16" t="n">
        <v>5119</v>
      </c>
      <c r="C5124" s="16" t="s">
        <v>15699</v>
      </c>
      <c r="D5124" s="16" t="n">
        <v>8</v>
      </c>
      <c r="E5124" s="39" t="s">
        <v>14322</v>
      </c>
      <c r="F5124" s="16" t="s">
        <v>1285</v>
      </c>
      <c r="G5124" s="16" t="s">
        <v>1063</v>
      </c>
      <c r="H5124" s="16" t="s">
        <v>14297</v>
      </c>
      <c r="I5124" s="16" t="s">
        <v>136</v>
      </c>
      <c r="J5124" s="16" t="s">
        <v>15206</v>
      </c>
      <c r="K5124" s="32" t="n">
        <v>50</v>
      </c>
      <c r="L5124" s="33" t="n">
        <v>46541</v>
      </c>
      <c r="M5124" s="33" t="n">
        <v>46590</v>
      </c>
      <c r="N5124" s="16" t="s">
        <v>15522</v>
      </c>
      <c r="O5124" s="16" t="s">
        <v>1299</v>
      </c>
      <c r="P5124" s="16" t="str">
        <f aca="false">IF(AND(L5124&lt;=$D$2,M5124&gt;=$C$2),"Sí","")</f>
        <v/>
      </c>
      <c r="Q5124" s="18" t="str">
        <f aca="false">IF(COUNTIF(LOOKAHEAD!$A$5:$A$604,A5124)&gt;0,"En Lookahead",IF(P5124="Sí","INCORPORAR",""))</f>
        <v/>
      </c>
    </row>
    <row r="5125" customFormat="false" ht="15" hidden="false" customHeight="false" outlineLevel="0" collapsed="false">
      <c r="A5125" s="16" t="s">
        <v>15700</v>
      </c>
      <c r="B5125" s="16" t="n">
        <v>5120</v>
      </c>
      <c r="C5125" s="16" t="s">
        <v>15701</v>
      </c>
      <c r="D5125" s="16" t="n">
        <v>8</v>
      </c>
      <c r="E5125" s="39" t="s">
        <v>14403</v>
      </c>
      <c r="F5125" s="16" t="s">
        <v>1285</v>
      </c>
      <c r="G5125" s="16" t="s">
        <v>1063</v>
      </c>
      <c r="H5125" s="16" t="s">
        <v>14297</v>
      </c>
      <c r="I5125" s="16" t="s">
        <v>136</v>
      </c>
      <c r="J5125" s="16" t="s">
        <v>15206</v>
      </c>
      <c r="K5125" s="32" t="n">
        <v>50</v>
      </c>
      <c r="L5125" s="33" t="n">
        <v>46541</v>
      </c>
      <c r="M5125" s="33" t="n">
        <v>46590</v>
      </c>
      <c r="N5125" s="16" t="s">
        <v>15522</v>
      </c>
      <c r="O5125" s="16" t="s">
        <v>1299</v>
      </c>
      <c r="P5125" s="16" t="str">
        <f aca="false">IF(AND(L5125&lt;=$D$2,M5125&gt;=$C$2),"Sí","")</f>
        <v/>
      </c>
      <c r="Q5125" s="18" t="str">
        <f aca="false">IF(COUNTIF(LOOKAHEAD!$A$5:$A$604,A5125)&gt;0,"En Lookahead",IF(P5125="Sí","INCORPORAR",""))</f>
        <v/>
      </c>
    </row>
    <row r="5126" customFormat="false" ht="15" hidden="false" customHeight="false" outlineLevel="0" collapsed="false">
      <c r="A5126" s="16" t="s">
        <v>15702</v>
      </c>
      <c r="B5126" s="16" t="n">
        <v>5121</v>
      </c>
      <c r="C5126" s="16" t="s">
        <v>15703</v>
      </c>
      <c r="D5126" s="16" t="n">
        <v>8</v>
      </c>
      <c r="E5126" s="39" t="s">
        <v>14325</v>
      </c>
      <c r="F5126" s="16" t="s">
        <v>1285</v>
      </c>
      <c r="G5126" s="16" t="s">
        <v>1063</v>
      </c>
      <c r="H5126" s="16" t="s">
        <v>14297</v>
      </c>
      <c r="I5126" s="16" t="s">
        <v>136</v>
      </c>
      <c r="J5126" s="16" t="s">
        <v>15206</v>
      </c>
      <c r="K5126" s="32" t="n">
        <v>50</v>
      </c>
      <c r="L5126" s="33" t="n">
        <v>46541</v>
      </c>
      <c r="M5126" s="33" t="n">
        <v>46590</v>
      </c>
      <c r="N5126" s="16" t="s">
        <v>15522</v>
      </c>
      <c r="O5126" s="16" t="s">
        <v>1299</v>
      </c>
      <c r="P5126" s="16" t="str">
        <f aca="false">IF(AND(L5126&lt;=$D$2,M5126&gt;=$C$2),"Sí","")</f>
        <v/>
      </c>
      <c r="Q5126" s="18" t="str">
        <f aca="false">IF(COUNTIF(LOOKAHEAD!$A$5:$A$604,A5126)&gt;0,"En Lookahead",IF(P5126="Sí","INCORPORAR",""))</f>
        <v/>
      </c>
    </row>
    <row r="5127" customFormat="false" ht="15" hidden="false" customHeight="false" outlineLevel="0" collapsed="false">
      <c r="A5127" s="16" t="s">
        <v>15704</v>
      </c>
      <c r="B5127" s="16" t="n">
        <v>5122</v>
      </c>
      <c r="C5127" s="16" t="s">
        <v>15705</v>
      </c>
      <c r="D5127" s="16" t="n">
        <v>8</v>
      </c>
      <c r="E5127" s="39" t="s">
        <v>14671</v>
      </c>
      <c r="F5127" s="16" t="s">
        <v>1285</v>
      </c>
      <c r="G5127" s="16" t="s">
        <v>1063</v>
      </c>
      <c r="H5127" s="16" t="s">
        <v>14297</v>
      </c>
      <c r="I5127" s="16" t="s">
        <v>136</v>
      </c>
      <c r="J5127" s="16" t="s">
        <v>15206</v>
      </c>
      <c r="K5127" s="32" t="n">
        <v>50</v>
      </c>
      <c r="L5127" s="33" t="n">
        <v>46541</v>
      </c>
      <c r="M5127" s="33" t="n">
        <v>46590</v>
      </c>
      <c r="N5127" s="16" t="s">
        <v>15522</v>
      </c>
      <c r="O5127" s="16" t="s">
        <v>1299</v>
      </c>
      <c r="P5127" s="16" t="str">
        <f aca="false">IF(AND(L5127&lt;=$D$2,M5127&gt;=$C$2),"Sí","")</f>
        <v/>
      </c>
      <c r="Q5127" s="18" t="str">
        <f aca="false">IF(COUNTIF(LOOKAHEAD!$A$5:$A$604,A5127)&gt;0,"En Lookahead",IF(P5127="Sí","INCORPORAR",""))</f>
        <v/>
      </c>
    </row>
    <row r="5128" customFormat="false" ht="15" hidden="false" customHeight="false" outlineLevel="0" collapsed="false">
      <c r="A5128" s="16" t="s">
        <v>15706</v>
      </c>
      <c r="B5128" s="16" t="n">
        <v>5123</v>
      </c>
      <c r="C5128" s="16" t="s">
        <v>15707</v>
      </c>
      <c r="D5128" s="16" t="n">
        <v>8</v>
      </c>
      <c r="E5128" s="39" t="s">
        <v>15708</v>
      </c>
      <c r="F5128" s="16" t="s">
        <v>1285</v>
      </c>
      <c r="G5128" s="16" t="s">
        <v>1063</v>
      </c>
      <c r="H5128" s="16" t="s">
        <v>14297</v>
      </c>
      <c r="I5128" s="16" t="s">
        <v>136</v>
      </c>
      <c r="J5128" s="16" t="s">
        <v>15206</v>
      </c>
      <c r="K5128" s="32" t="n">
        <v>50</v>
      </c>
      <c r="L5128" s="33" t="n">
        <v>46541</v>
      </c>
      <c r="M5128" s="33" t="n">
        <v>46590</v>
      </c>
      <c r="N5128" s="16" t="s">
        <v>15522</v>
      </c>
      <c r="O5128" s="16" t="s">
        <v>1299</v>
      </c>
      <c r="P5128" s="16" t="str">
        <f aca="false">IF(AND(L5128&lt;=$D$2,M5128&gt;=$C$2),"Sí","")</f>
        <v/>
      </c>
      <c r="Q5128" s="18" t="str">
        <f aca="false">IF(COUNTIF(LOOKAHEAD!$A$5:$A$604,A5128)&gt;0,"En Lookahead",IF(P5128="Sí","INCORPORAR",""))</f>
        <v/>
      </c>
    </row>
    <row r="5129" customFormat="false" ht="15" hidden="false" customHeight="false" outlineLevel="0" collapsed="false">
      <c r="A5129" s="13" t="s">
        <v>15709</v>
      </c>
      <c r="B5129" s="13" t="n">
        <v>5124</v>
      </c>
      <c r="C5129" s="13" t="s">
        <v>15710</v>
      </c>
      <c r="D5129" s="13" t="n">
        <v>7</v>
      </c>
      <c r="E5129" s="38" t="s">
        <v>15711</v>
      </c>
      <c r="F5129" s="13" t="s">
        <v>1298</v>
      </c>
      <c r="G5129" s="13" t="s">
        <v>1063</v>
      </c>
      <c r="H5129" s="13" t="s">
        <v>14297</v>
      </c>
      <c r="I5129" s="13" t="s">
        <v>136</v>
      </c>
      <c r="J5129" s="13" t="s">
        <v>14302</v>
      </c>
      <c r="K5129" s="30" t="n">
        <v>50</v>
      </c>
      <c r="L5129" s="31" t="n">
        <v>46541</v>
      </c>
      <c r="M5129" s="31" t="n">
        <v>46590</v>
      </c>
      <c r="N5129" s="13"/>
      <c r="O5129" s="13" t="s">
        <v>1299</v>
      </c>
      <c r="P5129" s="13"/>
      <c r="Q5129" s="13"/>
    </row>
    <row r="5130" customFormat="false" ht="15" hidden="false" customHeight="false" outlineLevel="0" collapsed="false">
      <c r="A5130" s="16" t="s">
        <v>15712</v>
      </c>
      <c r="B5130" s="16" t="n">
        <v>5125</v>
      </c>
      <c r="C5130" s="16" t="s">
        <v>15713</v>
      </c>
      <c r="D5130" s="16" t="n">
        <v>8</v>
      </c>
      <c r="E5130" s="39" t="s">
        <v>14308</v>
      </c>
      <c r="F5130" s="16" t="s">
        <v>1285</v>
      </c>
      <c r="G5130" s="16" t="s">
        <v>1063</v>
      </c>
      <c r="H5130" s="16" t="s">
        <v>14297</v>
      </c>
      <c r="I5130" s="16" t="s">
        <v>136</v>
      </c>
      <c r="J5130" s="16" t="s">
        <v>15711</v>
      </c>
      <c r="K5130" s="32" t="n">
        <v>50</v>
      </c>
      <c r="L5130" s="33" t="n">
        <v>46541</v>
      </c>
      <c r="M5130" s="33" t="n">
        <v>46590</v>
      </c>
      <c r="N5130" s="16" t="s">
        <v>15522</v>
      </c>
      <c r="O5130" s="16" t="s">
        <v>1299</v>
      </c>
      <c r="P5130" s="16" t="str">
        <f aca="false">IF(AND(L5130&lt;=$D$2,M5130&gt;=$C$2),"Sí","")</f>
        <v/>
      </c>
      <c r="Q5130" s="18" t="str">
        <f aca="false">IF(COUNTIF(LOOKAHEAD!$A$5:$A$604,A5130)&gt;0,"En Lookahead",IF(P5130="Sí","INCORPORAR",""))</f>
        <v/>
      </c>
    </row>
    <row r="5131" customFormat="false" ht="15" hidden="false" customHeight="false" outlineLevel="0" collapsed="false">
      <c r="A5131" s="16" t="s">
        <v>15714</v>
      </c>
      <c r="B5131" s="16" t="n">
        <v>5126</v>
      </c>
      <c r="C5131" s="16" t="s">
        <v>15715</v>
      </c>
      <c r="D5131" s="16" t="n">
        <v>8</v>
      </c>
      <c r="E5131" s="39" t="s">
        <v>14895</v>
      </c>
      <c r="F5131" s="16" t="s">
        <v>1285</v>
      </c>
      <c r="G5131" s="16" t="s">
        <v>1063</v>
      </c>
      <c r="H5131" s="16" t="s">
        <v>14297</v>
      </c>
      <c r="I5131" s="16" t="s">
        <v>136</v>
      </c>
      <c r="J5131" s="16" t="s">
        <v>15711</v>
      </c>
      <c r="K5131" s="32" t="n">
        <v>50</v>
      </c>
      <c r="L5131" s="33" t="n">
        <v>46541</v>
      </c>
      <c r="M5131" s="33" t="n">
        <v>46590</v>
      </c>
      <c r="N5131" s="16" t="s">
        <v>15522</v>
      </c>
      <c r="O5131" s="16" t="s">
        <v>1299</v>
      </c>
      <c r="P5131" s="16" t="str">
        <f aca="false">IF(AND(L5131&lt;=$D$2,M5131&gt;=$C$2),"Sí","")</f>
        <v/>
      </c>
      <c r="Q5131" s="18" t="str">
        <f aca="false">IF(COUNTIF(LOOKAHEAD!$A$5:$A$604,A5131)&gt;0,"En Lookahead",IF(P5131="Sí","INCORPORAR",""))</f>
        <v/>
      </c>
    </row>
    <row r="5132" customFormat="false" ht="15" hidden="false" customHeight="false" outlineLevel="0" collapsed="false">
      <c r="A5132" s="16" t="s">
        <v>15716</v>
      </c>
      <c r="B5132" s="16" t="n">
        <v>5127</v>
      </c>
      <c r="C5132" s="16" t="s">
        <v>15717</v>
      </c>
      <c r="D5132" s="16" t="n">
        <v>8</v>
      </c>
      <c r="E5132" s="39" t="s">
        <v>14392</v>
      </c>
      <c r="F5132" s="16" t="s">
        <v>1285</v>
      </c>
      <c r="G5132" s="16" t="s">
        <v>1063</v>
      </c>
      <c r="H5132" s="16" t="s">
        <v>14297</v>
      </c>
      <c r="I5132" s="16" t="s">
        <v>136</v>
      </c>
      <c r="J5132" s="16" t="s">
        <v>15711</v>
      </c>
      <c r="K5132" s="32" t="n">
        <v>50</v>
      </c>
      <c r="L5132" s="33" t="n">
        <v>46541</v>
      </c>
      <c r="M5132" s="33" t="n">
        <v>46590</v>
      </c>
      <c r="N5132" s="16" t="s">
        <v>15522</v>
      </c>
      <c r="O5132" s="16" t="s">
        <v>1299</v>
      </c>
      <c r="P5132" s="16" t="str">
        <f aca="false">IF(AND(L5132&lt;=$D$2,M5132&gt;=$C$2),"Sí","")</f>
        <v/>
      </c>
      <c r="Q5132" s="18" t="str">
        <f aca="false">IF(COUNTIF(LOOKAHEAD!$A$5:$A$604,A5132)&gt;0,"En Lookahead",IF(P5132="Sí","INCORPORAR",""))</f>
        <v/>
      </c>
    </row>
    <row r="5133" customFormat="false" ht="15" hidden="false" customHeight="false" outlineLevel="0" collapsed="false">
      <c r="A5133" s="16" t="s">
        <v>15718</v>
      </c>
      <c r="B5133" s="16" t="n">
        <v>5128</v>
      </c>
      <c r="C5133" s="16" t="s">
        <v>15719</v>
      </c>
      <c r="D5133" s="16" t="n">
        <v>8</v>
      </c>
      <c r="E5133" s="39" t="s">
        <v>14337</v>
      </c>
      <c r="F5133" s="16" t="s">
        <v>1285</v>
      </c>
      <c r="G5133" s="16" t="s">
        <v>1063</v>
      </c>
      <c r="H5133" s="16" t="s">
        <v>14297</v>
      </c>
      <c r="I5133" s="16" t="s">
        <v>136</v>
      </c>
      <c r="J5133" s="16" t="s">
        <v>15711</v>
      </c>
      <c r="K5133" s="32" t="n">
        <v>50</v>
      </c>
      <c r="L5133" s="33" t="n">
        <v>46541</v>
      </c>
      <c r="M5133" s="33" t="n">
        <v>46590</v>
      </c>
      <c r="N5133" s="16" t="s">
        <v>15522</v>
      </c>
      <c r="O5133" s="16" t="s">
        <v>1299</v>
      </c>
      <c r="P5133" s="16" t="str">
        <f aca="false">IF(AND(L5133&lt;=$D$2,M5133&gt;=$C$2),"Sí","")</f>
        <v/>
      </c>
      <c r="Q5133" s="18" t="str">
        <f aca="false">IF(COUNTIF(LOOKAHEAD!$A$5:$A$604,A5133)&gt;0,"En Lookahead",IF(P5133="Sí","INCORPORAR",""))</f>
        <v/>
      </c>
    </row>
    <row r="5134" customFormat="false" ht="15" hidden="false" customHeight="false" outlineLevel="0" collapsed="false">
      <c r="A5134" s="16" t="s">
        <v>15720</v>
      </c>
      <c r="B5134" s="16" t="n">
        <v>5129</v>
      </c>
      <c r="C5134" s="16" t="s">
        <v>15721</v>
      </c>
      <c r="D5134" s="16" t="n">
        <v>8</v>
      </c>
      <c r="E5134" s="39" t="s">
        <v>14484</v>
      </c>
      <c r="F5134" s="16" t="s">
        <v>1285</v>
      </c>
      <c r="G5134" s="16" t="s">
        <v>1063</v>
      </c>
      <c r="H5134" s="16" t="s">
        <v>14297</v>
      </c>
      <c r="I5134" s="16" t="s">
        <v>136</v>
      </c>
      <c r="J5134" s="16" t="s">
        <v>15711</v>
      </c>
      <c r="K5134" s="32" t="n">
        <v>50</v>
      </c>
      <c r="L5134" s="33" t="n">
        <v>46541</v>
      </c>
      <c r="M5134" s="33" t="n">
        <v>46590</v>
      </c>
      <c r="N5134" s="16" t="s">
        <v>15522</v>
      </c>
      <c r="O5134" s="16" t="s">
        <v>1299</v>
      </c>
      <c r="P5134" s="16" t="str">
        <f aca="false">IF(AND(L5134&lt;=$D$2,M5134&gt;=$C$2),"Sí","")</f>
        <v/>
      </c>
      <c r="Q5134" s="18" t="str">
        <f aca="false">IF(COUNTIF(LOOKAHEAD!$A$5:$A$604,A5134)&gt;0,"En Lookahead",IF(P5134="Sí","INCORPORAR",""))</f>
        <v/>
      </c>
    </row>
    <row r="5135" customFormat="false" ht="15" hidden="false" customHeight="false" outlineLevel="0" collapsed="false">
      <c r="A5135" s="16" t="s">
        <v>15722</v>
      </c>
      <c r="B5135" s="16" t="n">
        <v>5130</v>
      </c>
      <c r="C5135" s="16" t="s">
        <v>15723</v>
      </c>
      <c r="D5135" s="16" t="n">
        <v>8</v>
      </c>
      <c r="E5135" s="39" t="s">
        <v>14316</v>
      </c>
      <c r="F5135" s="16" t="s">
        <v>1285</v>
      </c>
      <c r="G5135" s="16" t="s">
        <v>1063</v>
      </c>
      <c r="H5135" s="16" t="s">
        <v>14297</v>
      </c>
      <c r="I5135" s="16" t="s">
        <v>136</v>
      </c>
      <c r="J5135" s="16" t="s">
        <v>15711</v>
      </c>
      <c r="K5135" s="32" t="n">
        <v>50</v>
      </c>
      <c r="L5135" s="33" t="n">
        <v>46541</v>
      </c>
      <c r="M5135" s="33" t="n">
        <v>46590</v>
      </c>
      <c r="N5135" s="16" t="s">
        <v>15522</v>
      </c>
      <c r="O5135" s="16" t="s">
        <v>1299</v>
      </c>
      <c r="P5135" s="16" t="str">
        <f aca="false">IF(AND(L5135&lt;=$D$2,M5135&gt;=$C$2),"Sí","")</f>
        <v/>
      </c>
      <c r="Q5135" s="18" t="str">
        <f aca="false">IF(COUNTIF(LOOKAHEAD!$A$5:$A$604,A5135)&gt;0,"En Lookahead",IF(P5135="Sí","INCORPORAR",""))</f>
        <v/>
      </c>
    </row>
    <row r="5136" customFormat="false" ht="15" hidden="false" customHeight="false" outlineLevel="0" collapsed="false">
      <c r="A5136" s="16" t="s">
        <v>15724</v>
      </c>
      <c r="B5136" s="16" t="n">
        <v>5131</v>
      </c>
      <c r="C5136" s="16" t="s">
        <v>15725</v>
      </c>
      <c r="D5136" s="16" t="n">
        <v>8</v>
      </c>
      <c r="E5136" s="39" t="s">
        <v>14319</v>
      </c>
      <c r="F5136" s="16" t="s">
        <v>1285</v>
      </c>
      <c r="G5136" s="16" t="s">
        <v>1063</v>
      </c>
      <c r="H5136" s="16" t="s">
        <v>14297</v>
      </c>
      <c r="I5136" s="16" t="s">
        <v>136</v>
      </c>
      <c r="J5136" s="16" t="s">
        <v>15711</v>
      </c>
      <c r="K5136" s="32" t="n">
        <v>50</v>
      </c>
      <c r="L5136" s="33" t="n">
        <v>46541</v>
      </c>
      <c r="M5136" s="33" t="n">
        <v>46590</v>
      </c>
      <c r="N5136" s="16" t="s">
        <v>15522</v>
      </c>
      <c r="O5136" s="16" t="s">
        <v>1299</v>
      </c>
      <c r="P5136" s="16" t="str">
        <f aca="false">IF(AND(L5136&lt;=$D$2,M5136&gt;=$C$2),"Sí","")</f>
        <v/>
      </c>
      <c r="Q5136" s="18" t="str">
        <f aca="false">IF(COUNTIF(LOOKAHEAD!$A$5:$A$604,A5136)&gt;0,"En Lookahead",IF(P5136="Sí","INCORPORAR",""))</f>
        <v/>
      </c>
    </row>
    <row r="5137" customFormat="false" ht="15" hidden="false" customHeight="false" outlineLevel="0" collapsed="false">
      <c r="A5137" s="16" t="s">
        <v>15726</v>
      </c>
      <c r="B5137" s="16" t="n">
        <v>5132</v>
      </c>
      <c r="C5137" s="16" t="s">
        <v>15727</v>
      </c>
      <c r="D5137" s="16" t="n">
        <v>8</v>
      </c>
      <c r="E5137" s="39" t="s">
        <v>14322</v>
      </c>
      <c r="F5137" s="16" t="s">
        <v>1285</v>
      </c>
      <c r="G5137" s="16" t="s">
        <v>1063</v>
      </c>
      <c r="H5137" s="16" t="s">
        <v>14297</v>
      </c>
      <c r="I5137" s="16" t="s">
        <v>136</v>
      </c>
      <c r="J5137" s="16" t="s">
        <v>15711</v>
      </c>
      <c r="K5137" s="32" t="n">
        <v>50</v>
      </c>
      <c r="L5137" s="33" t="n">
        <v>46541</v>
      </c>
      <c r="M5137" s="33" t="n">
        <v>46590</v>
      </c>
      <c r="N5137" s="16" t="s">
        <v>15522</v>
      </c>
      <c r="O5137" s="16" t="s">
        <v>1299</v>
      </c>
      <c r="P5137" s="16" t="str">
        <f aca="false">IF(AND(L5137&lt;=$D$2,M5137&gt;=$C$2),"Sí","")</f>
        <v/>
      </c>
      <c r="Q5137" s="18" t="str">
        <f aca="false">IF(COUNTIF(LOOKAHEAD!$A$5:$A$604,A5137)&gt;0,"En Lookahead",IF(P5137="Sí","INCORPORAR",""))</f>
        <v/>
      </c>
    </row>
    <row r="5138" customFormat="false" ht="15" hidden="false" customHeight="false" outlineLevel="0" collapsed="false">
      <c r="A5138" s="16" t="s">
        <v>15728</v>
      </c>
      <c r="B5138" s="16" t="n">
        <v>5133</v>
      </c>
      <c r="C5138" s="16" t="s">
        <v>15729</v>
      </c>
      <c r="D5138" s="16" t="n">
        <v>8</v>
      </c>
      <c r="E5138" s="39" t="s">
        <v>14403</v>
      </c>
      <c r="F5138" s="16" t="s">
        <v>1285</v>
      </c>
      <c r="G5138" s="16" t="s">
        <v>1063</v>
      </c>
      <c r="H5138" s="16" t="s">
        <v>14297</v>
      </c>
      <c r="I5138" s="16" t="s">
        <v>136</v>
      </c>
      <c r="J5138" s="16" t="s">
        <v>15711</v>
      </c>
      <c r="K5138" s="32" t="n">
        <v>50</v>
      </c>
      <c r="L5138" s="33" t="n">
        <v>46541</v>
      </c>
      <c r="M5138" s="33" t="n">
        <v>46590</v>
      </c>
      <c r="N5138" s="16" t="s">
        <v>15522</v>
      </c>
      <c r="O5138" s="16" t="s">
        <v>1299</v>
      </c>
      <c r="P5138" s="16" t="str">
        <f aca="false">IF(AND(L5138&lt;=$D$2,M5138&gt;=$C$2),"Sí","")</f>
        <v/>
      </c>
      <c r="Q5138" s="18" t="str">
        <f aca="false">IF(COUNTIF(LOOKAHEAD!$A$5:$A$604,A5138)&gt;0,"En Lookahead",IF(P5138="Sí","INCORPORAR",""))</f>
        <v/>
      </c>
    </row>
    <row r="5139" customFormat="false" ht="15" hidden="false" customHeight="false" outlineLevel="0" collapsed="false">
      <c r="A5139" s="16" t="s">
        <v>15730</v>
      </c>
      <c r="B5139" s="16" t="n">
        <v>5134</v>
      </c>
      <c r="C5139" s="16" t="s">
        <v>15731</v>
      </c>
      <c r="D5139" s="16" t="n">
        <v>8</v>
      </c>
      <c r="E5139" s="39" t="s">
        <v>14325</v>
      </c>
      <c r="F5139" s="16" t="s">
        <v>1285</v>
      </c>
      <c r="G5139" s="16" t="s">
        <v>1063</v>
      </c>
      <c r="H5139" s="16" t="s">
        <v>14297</v>
      </c>
      <c r="I5139" s="16" t="s">
        <v>136</v>
      </c>
      <c r="J5139" s="16" t="s">
        <v>15711</v>
      </c>
      <c r="K5139" s="32" t="n">
        <v>50</v>
      </c>
      <c r="L5139" s="33" t="n">
        <v>46541</v>
      </c>
      <c r="M5139" s="33" t="n">
        <v>46590</v>
      </c>
      <c r="N5139" s="16" t="s">
        <v>15522</v>
      </c>
      <c r="O5139" s="16" t="s">
        <v>1299</v>
      </c>
      <c r="P5139" s="16" t="str">
        <f aca="false">IF(AND(L5139&lt;=$D$2,M5139&gt;=$C$2),"Sí","")</f>
        <v/>
      </c>
      <c r="Q5139" s="18" t="str">
        <f aca="false">IF(COUNTIF(LOOKAHEAD!$A$5:$A$604,A5139)&gt;0,"En Lookahead",IF(P5139="Sí","INCORPORAR",""))</f>
        <v/>
      </c>
    </row>
    <row r="5140" customFormat="false" ht="15" hidden="false" customHeight="false" outlineLevel="0" collapsed="false">
      <c r="A5140" s="16" t="s">
        <v>15732</v>
      </c>
      <c r="B5140" s="16" t="n">
        <v>5135</v>
      </c>
      <c r="C5140" s="16" t="s">
        <v>15733</v>
      </c>
      <c r="D5140" s="16" t="n">
        <v>8</v>
      </c>
      <c r="E5140" s="39" t="s">
        <v>14378</v>
      </c>
      <c r="F5140" s="16" t="s">
        <v>1285</v>
      </c>
      <c r="G5140" s="16" t="s">
        <v>1063</v>
      </c>
      <c r="H5140" s="16" t="s">
        <v>14297</v>
      </c>
      <c r="I5140" s="16" t="s">
        <v>136</v>
      </c>
      <c r="J5140" s="16" t="s">
        <v>15711</v>
      </c>
      <c r="K5140" s="32" t="n">
        <v>50</v>
      </c>
      <c r="L5140" s="33" t="n">
        <v>46541</v>
      </c>
      <c r="M5140" s="33" t="n">
        <v>46590</v>
      </c>
      <c r="N5140" s="16" t="s">
        <v>15522</v>
      </c>
      <c r="O5140" s="16" t="s">
        <v>1299</v>
      </c>
      <c r="P5140" s="16" t="str">
        <f aca="false">IF(AND(L5140&lt;=$D$2,M5140&gt;=$C$2),"Sí","")</f>
        <v/>
      </c>
      <c r="Q5140" s="18" t="str">
        <f aca="false">IF(COUNTIF(LOOKAHEAD!$A$5:$A$604,A5140)&gt;0,"En Lookahead",IF(P5140="Sí","INCORPORAR",""))</f>
        <v/>
      </c>
    </row>
    <row r="5141" customFormat="false" ht="15" hidden="false" customHeight="false" outlineLevel="0" collapsed="false">
      <c r="A5141" s="16" t="s">
        <v>15734</v>
      </c>
      <c r="B5141" s="16" t="n">
        <v>5136</v>
      </c>
      <c r="C5141" s="16" t="s">
        <v>15735</v>
      </c>
      <c r="D5141" s="16" t="n">
        <v>8</v>
      </c>
      <c r="E5141" s="39" t="s">
        <v>14500</v>
      </c>
      <c r="F5141" s="16" t="s">
        <v>1285</v>
      </c>
      <c r="G5141" s="16" t="s">
        <v>1063</v>
      </c>
      <c r="H5141" s="16" t="s">
        <v>14297</v>
      </c>
      <c r="I5141" s="16" t="s">
        <v>136</v>
      </c>
      <c r="J5141" s="16" t="s">
        <v>15711</v>
      </c>
      <c r="K5141" s="32" t="n">
        <v>50</v>
      </c>
      <c r="L5141" s="33" t="n">
        <v>46541</v>
      </c>
      <c r="M5141" s="33" t="n">
        <v>46590</v>
      </c>
      <c r="N5141" s="16" t="s">
        <v>15522</v>
      </c>
      <c r="O5141" s="16" t="s">
        <v>1299</v>
      </c>
      <c r="P5141" s="16" t="str">
        <f aca="false">IF(AND(L5141&lt;=$D$2,M5141&gt;=$C$2),"Sí","")</f>
        <v/>
      </c>
      <c r="Q5141" s="18" t="str">
        <f aca="false">IF(COUNTIF(LOOKAHEAD!$A$5:$A$604,A5141)&gt;0,"En Lookahead",IF(P5141="Sí","INCORPORAR",""))</f>
        <v/>
      </c>
    </row>
    <row r="5142" customFormat="false" ht="15" hidden="false" customHeight="false" outlineLevel="0" collapsed="false">
      <c r="A5142" s="16" t="s">
        <v>15736</v>
      </c>
      <c r="B5142" s="16" t="n">
        <v>5137</v>
      </c>
      <c r="C5142" s="16" t="s">
        <v>15737</v>
      </c>
      <c r="D5142" s="16" t="n">
        <v>8</v>
      </c>
      <c r="E5142" s="39" t="s">
        <v>14384</v>
      </c>
      <c r="F5142" s="16" t="s">
        <v>1285</v>
      </c>
      <c r="G5142" s="16" t="s">
        <v>1063</v>
      </c>
      <c r="H5142" s="16" t="s">
        <v>14297</v>
      </c>
      <c r="I5142" s="16" t="s">
        <v>136</v>
      </c>
      <c r="J5142" s="16" t="s">
        <v>15711</v>
      </c>
      <c r="K5142" s="32" t="n">
        <v>50</v>
      </c>
      <c r="L5142" s="33" t="n">
        <v>46541</v>
      </c>
      <c r="M5142" s="33" t="n">
        <v>46590</v>
      </c>
      <c r="N5142" s="16" t="s">
        <v>15522</v>
      </c>
      <c r="O5142" s="16" t="s">
        <v>1299</v>
      </c>
      <c r="P5142" s="16" t="str">
        <f aca="false">IF(AND(L5142&lt;=$D$2,M5142&gt;=$C$2),"Sí","")</f>
        <v/>
      </c>
      <c r="Q5142" s="18" t="str">
        <f aca="false">IF(COUNTIF(LOOKAHEAD!$A$5:$A$604,A5142)&gt;0,"En Lookahead",IF(P5142="Sí","INCORPORAR",""))</f>
        <v/>
      </c>
    </row>
    <row r="5143" customFormat="false" ht="15" hidden="false" customHeight="false" outlineLevel="0" collapsed="false">
      <c r="A5143" s="16" t="s">
        <v>15738</v>
      </c>
      <c r="B5143" s="16" t="n">
        <v>5138</v>
      </c>
      <c r="C5143" s="16" t="s">
        <v>15739</v>
      </c>
      <c r="D5143" s="16" t="n">
        <v>8</v>
      </c>
      <c r="E5143" s="39" t="s">
        <v>14531</v>
      </c>
      <c r="F5143" s="16" t="s">
        <v>1285</v>
      </c>
      <c r="G5143" s="16" t="s">
        <v>1063</v>
      </c>
      <c r="H5143" s="16" t="s">
        <v>14297</v>
      </c>
      <c r="I5143" s="16" t="s">
        <v>136</v>
      </c>
      <c r="J5143" s="16" t="s">
        <v>15711</v>
      </c>
      <c r="K5143" s="32" t="n">
        <v>50</v>
      </c>
      <c r="L5143" s="33" t="n">
        <v>46541</v>
      </c>
      <c r="M5143" s="33" t="n">
        <v>46590</v>
      </c>
      <c r="N5143" s="16" t="s">
        <v>15522</v>
      </c>
      <c r="O5143" s="16" t="s">
        <v>1299</v>
      </c>
      <c r="P5143" s="16" t="str">
        <f aca="false">IF(AND(L5143&lt;=$D$2,M5143&gt;=$C$2),"Sí","")</f>
        <v/>
      </c>
      <c r="Q5143" s="18" t="str">
        <f aca="false">IF(COUNTIF(LOOKAHEAD!$A$5:$A$604,A5143)&gt;0,"En Lookahead",IF(P5143="Sí","INCORPORAR",""))</f>
        <v/>
      </c>
    </row>
    <row r="5144" customFormat="false" ht="15" hidden="false" customHeight="false" outlineLevel="0" collapsed="false">
      <c r="A5144" s="16" t="s">
        <v>15740</v>
      </c>
      <c r="B5144" s="16" t="n">
        <v>5139</v>
      </c>
      <c r="C5144" s="16" t="s">
        <v>15741</v>
      </c>
      <c r="D5144" s="16" t="n">
        <v>8</v>
      </c>
      <c r="E5144" s="39" t="s">
        <v>15742</v>
      </c>
      <c r="F5144" s="16" t="s">
        <v>1285</v>
      </c>
      <c r="G5144" s="16" t="s">
        <v>1063</v>
      </c>
      <c r="H5144" s="16" t="s">
        <v>14297</v>
      </c>
      <c r="I5144" s="16" t="s">
        <v>136</v>
      </c>
      <c r="J5144" s="16" t="s">
        <v>15711</v>
      </c>
      <c r="K5144" s="32" t="n">
        <v>50</v>
      </c>
      <c r="L5144" s="33" t="n">
        <v>46541</v>
      </c>
      <c r="M5144" s="33" t="n">
        <v>46590</v>
      </c>
      <c r="N5144" s="16" t="s">
        <v>15522</v>
      </c>
      <c r="O5144" s="16" t="s">
        <v>1299</v>
      </c>
      <c r="P5144" s="16" t="str">
        <f aca="false">IF(AND(L5144&lt;=$D$2,M5144&gt;=$C$2),"Sí","")</f>
        <v/>
      </c>
      <c r="Q5144" s="18" t="str">
        <f aca="false">IF(COUNTIF(LOOKAHEAD!$A$5:$A$604,A5144)&gt;0,"En Lookahead",IF(P5144="Sí","INCORPORAR",""))</f>
        <v/>
      </c>
    </row>
    <row r="5145" customFormat="false" ht="15" hidden="false" customHeight="false" outlineLevel="0" collapsed="false">
      <c r="A5145" s="16" t="s">
        <v>15743</v>
      </c>
      <c r="B5145" s="16" t="n">
        <v>5140</v>
      </c>
      <c r="C5145" s="16" t="s">
        <v>15744</v>
      </c>
      <c r="D5145" s="16" t="n">
        <v>8</v>
      </c>
      <c r="E5145" s="39" t="s">
        <v>15652</v>
      </c>
      <c r="F5145" s="16" t="s">
        <v>1285</v>
      </c>
      <c r="G5145" s="16" t="s">
        <v>1063</v>
      </c>
      <c r="H5145" s="16" t="s">
        <v>14297</v>
      </c>
      <c r="I5145" s="16" t="s">
        <v>136</v>
      </c>
      <c r="J5145" s="16" t="s">
        <v>15711</v>
      </c>
      <c r="K5145" s="32" t="n">
        <v>50</v>
      </c>
      <c r="L5145" s="33" t="n">
        <v>46541</v>
      </c>
      <c r="M5145" s="33" t="n">
        <v>46590</v>
      </c>
      <c r="N5145" s="16" t="s">
        <v>15522</v>
      </c>
      <c r="O5145" s="16" t="s">
        <v>1299</v>
      </c>
      <c r="P5145" s="16" t="str">
        <f aca="false">IF(AND(L5145&lt;=$D$2,M5145&gt;=$C$2),"Sí","")</f>
        <v/>
      </c>
      <c r="Q5145" s="18" t="str">
        <f aca="false">IF(COUNTIF(LOOKAHEAD!$A$5:$A$604,A5145)&gt;0,"En Lookahead",IF(P5145="Sí","INCORPORAR",""))</f>
        <v/>
      </c>
    </row>
    <row r="5146" customFormat="false" ht="15" hidden="false" customHeight="false" outlineLevel="0" collapsed="false">
      <c r="A5146" s="16" t="s">
        <v>15745</v>
      </c>
      <c r="B5146" s="16" t="n">
        <v>5141</v>
      </c>
      <c r="C5146" s="16" t="s">
        <v>15746</v>
      </c>
      <c r="D5146" s="16" t="n">
        <v>8</v>
      </c>
      <c r="E5146" s="39" t="s">
        <v>15747</v>
      </c>
      <c r="F5146" s="16" t="s">
        <v>1285</v>
      </c>
      <c r="G5146" s="16" t="s">
        <v>1063</v>
      </c>
      <c r="H5146" s="16" t="s">
        <v>14297</v>
      </c>
      <c r="I5146" s="16" t="s">
        <v>136</v>
      </c>
      <c r="J5146" s="16" t="s">
        <v>15711</v>
      </c>
      <c r="K5146" s="32" t="n">
        <v>50</v>
      </c>
      <c r="L5146" s="33" t="n">
        <v>46541</v>
      </c>
      <c r="M5146" s="33" t="n">
        <v>46590</v>
      </c>
      <c r="N5146" s="16" t="s">
        <v>15522</v>
      </c>
      <c r="O5146" s="16" t="s">
        <v>1299</v>
      </c>
      <c r="P5146" s="16" t="str">
        <f aca="false">IF(AND(L5146&lt;=$D$2,M5146&gt;=$C$2),"Sí","")</f>
        <v/>
      </c>
      <c r="Q5146" s="18" t="str">
        <f aca="false">IF(COUNTIF(LOOKAHEAD!$A$5:$A$604,A5146)&gt;0,"En Lookahead",IF(P5146="Sí","INCORPORAR",""))</f>
        <v/>
      </c>
    </row>
    <row r="5147" customFormat="false" ht="15" hidden="false" customHeight="false" outlineLevel="0" collapsed="false">
      <c r="A5147" s="13" t="s">
        <v>15748</v>
      </c>
      <c r="B5147" s="13" t="n">
        <v>5142</v>
      </c>
      <c r="C5147" s="13" t="s">
        <v>15749</v>
      </c>
      <c r="D5147" s="13" t="n">
        <v>6</v>
      </c>
      <c r="E5147" s="36" t="s">
        <v>14471</v>
      </c>
      <c r="F5147" s="13" t="s">
        <v>1298</v>
      </c>
      <c r="G5147" s="13" t="s">
        <v>1063</v>
      </c>
      <c r="H5147" s="13" t="s">
        <v>14297</v>
      </c>
      <c r="I5147" s="13" t="s">
        <v>136</v>
      </c>
      <c r="J5147" s="13" t="s">
        <v>3694</v>
      </c>
      <c r="K5147" s="30" t="n">
        <v>50</v>
      </c>
      <c r="L5147" s="31" t="n">
        <v>46541</v>
      </c>
      <c r="M5147" s="31" t="n">
        <v>46590</v>
      </c>
      <c r="N5147" s="13"/>
      <c r="O5147" s="13" t="s">
        <v>1299</v>
      </c>
      <c r="P5147" s="13"/>
      <c r="Q5147" s="13"/>
    </row>
    <row r="5148" customFormat="false" ht="15" hidden="false" customHeight="false" outlineLevel="0" collapsed="false">
      <c r="A5148" s="13" t="s">
        <v>15750</v>
      </c>
      <c r="B5148" s="13" t="n">
        <v>5143</v>
      </c>
      <c r="C5148" s="13" t="s">
        <v>15751</v>
      </c>
      <c r="D5148" s="13" t="n">
        <v>7</v>
      </c>
      <c r="E5148" s="38" t="s">
        <v>15752</v>
      </c>
      <c r="F5148" s="13" t="s">
        <v>1298</v>
      </c>
      <c r="G5148" s="13" t="s">
        <v>1063</v>
      </c>
      <c r="H5148" s="13" t="s">
        <v>14297</v>
      </c>
      <c r="I5148" s="13" t="s">
        <v>136</v>
      </c>
      <c r="J5148" s="13" t="s">
        <v>14471</v>
      </c>
      <c r="K5148" s="30" t="n">
        <v>50</v>
      </c>
      <c r="L5148" s="31" t="n">
        <v>46541</v>
      </c>
      <c r="M5148" s="31" t="n">
        <v>46590</v>
      </c>
      <c r="N5148" s="13"/>
      <c r="O5148" s="13" t="s">
        <v>1299</v>
      </c>
      <c r="P5148" s="13"/>
      <c r="Q5148" s="13"/>
    </row>
    <row r="5149" customFormat="false" ht="15" hidden="false" customHeight="false" outlineLevel="0" collapsed="false">
      <c r="A5149" s="16" t="s">
        <v>15753</v>
      </c>
      <c r="B5149" s="16" t="n">
        <v>5144</v>
      </c>
      <c r="C5149" s="16" t="s">
        <v>15754</v>
      </c>
      <c r="D5149" s="16" t="n">
        <v>8</v>
      </c>
      <c r="E5149" s="39" t="s">
        <v>14308</v>
      </c>
      <c r="F5149" s="16" t="s">
        <v>1285</v>
      </c>
      <c r="G5149" s="16" t="s">
        <v>1063</v>
      </c>
      <c r="H5149" s="16" t="s">
        <v>14297</v>
      </c>
      <c r="I5149" s="16" t="s">
        <v>136</v>
      </c>
      <c r="J5149" s="16" t="s">
        <v>15752</v>
      </c>
      <c r="K5149" s="32" t="n">
        <v>50</v>
      </c>
      <c r="L5149" s="33" t="n">
        <v>46541</v>
      </c>
      <c r="M5149" s="33" t="n">
        <v>46590</v>
      </c>
      <c r="N5149" s="16" t="s">
        <v>15522</v>
      </c>
      <c r="O5149" s="16" t="s">
        <v>1299</v>
      </c>
      <c r="P5149" s="16" t="str">
        <f aca="false">IF(AND(L5149&lt;=$D$2,M5149&gt;=$C$2),"Sí","")</f>
        <v/>
      </c>
      <c r="Q5149" s="18" t="str">
        <f aca="false">IF(COUNTIF(LOOKAHEAD!$A$5:$A$604,A5149)&gt;0,"En Lookahead",IF(P5149="Sí","INCORPORAR",""))</f>
        <v/>
      </c>
    </row>
    <row r="5150" customFormat="false" ht="15" hidden="false" customHeight="false" outlineLevel="0" collapsed="false">
      <c r="A5150" s="16" t="s">
        <v>15755</v>
      </c>
      <c r="B5150" s="16" t="n">
        <v>5145</v>
      </c>
      <c r="C5150" s="16" t="s">
        <v>15756</v>
      </c>
      <c r="D5150" s="16" t="n">
        <v>8</v>
      </c>
      <c r="E5150" s="39" t="s">
        <v>14392</v>
      </c>
      <c r="F5150" s="16" t="s">
        <v>1285</v>
      </c>
      <c r="G5150" s="16" t="s">
        <v>1063</v>
      </c>
      <c r="H5150" s="16" t="s">
        <v>14297</v>
      </c>
      <c r="I5150" s="16" t="s">
        <v>136</v>
      </c>
      <c r="J5150" s="16" t="s">
        <v>15752</v>
      </c>
      <c r="K5150" s="32" t="n">
        <v>50</v>
      </c>
      <c r="L5150" s="33" t="n">
        <v>46541</v>
      </c>
      <c r="M5150" s="33" t="n">
        <v>46590</v>
      </c>
      <c r="N5150" s="16" t="s">
        <v>15522</v>
      </c>
      <c r="O5150" s="16" t="s">
        <v>1299</v>
      </c>
      <c r="P5150" s="16" t="str">
        <f aca="false">IF(AND(L5150&lt;=$D$2,M5150&gt;=$C$2),"Sí","")</f>
        <v/>
      </c>
      <c r="Q5150" s="18" t="str">
        <f aca="false">IF(COUNTIF(LOOKAHEAD!$A$5:$A$604,A5150)&gt;0,"En Lookahead",IF(P5150="Sí","INCORPORAR",""))</f>
        <v/>
      </c>
    </row>
    <row r="5151" customFormat="false" ht="15" hidden="false" customHeight="false" outlineLevel="0" collapsed="false">
      <c r="A5151" s="16" t="s">
        <v>15757</v>
      </c>
      <c r="B5151" s="16" t="n">
        <v>5146</v>
      </c>
      <c r="C5151" s="16" t="s">
        <v>15758</v>
      </c>
      <c r="D5151" s="16" t="n">
        <v>8</v>
      </c>
      <c r="E5151" s="39" t="s">
        <v>14337</v>
      </c>
      <c r="F5151" s="16" t="s">
        <v>1285</v>
      </c>
      <c r="G5151" s="16" t="s">
        <v>1063</v>
      </c>
      <c r="H5151" s="16" t="s">
        <v>14297</v>
      </c>
      <c r="I5151" s="16" t="s">
        <v>136</v>
      </c>
      <c r="J5151" s="16" t="s">
        <v>15752</v>
      </c>
      <c r="K5151" s="32" t="n">
        <v>50</v>
      </c>
      <c r="L5151" s="33" t="n">
        <v>46541</v>
      </c>
      <c r="M5151" s="33" t="n">
        <v>46590</v>
      </c>
      <c r="N5151" s="16" t="s">
        <v>15522</v>
      </c>
      <c r="O5151" s="16" t="s">
        <v>1299</v>
      </c>
      <c r="P5151" s="16" t="str">
        <f aca="false">IF(AND(L5151&lt;=$D$2,M5151&gt;=$C$2),"Sí","")</f>
        <v/>
      </c>
      <c r="Q5151" s="18" t="str">
        <f aca="false">IF(COUNTIF(LOOKAHEAD!$A$5:$A$604,A5151)&gt;0,"En Lookahead",IF(P5151="Sí","INCORPORAR",""))</f>
        <v/>
      </c>
    </row>
    <row r="5152" customFormat="false" ht="15" hidden="false" customHeight="false" outlineLevel="0" collapsed="false">
      <c r="A5152" s="16" t="s">
        <v>15759</v>
      </c>
      <c r="B5152" s="16" t="n">
        <v>5147</v>
      </c>
      <c r="C5152" s="16" t="s">
        <v>15760</v>
      </c>
      <c r="D5152" s="16" t="n">
        <v>8</v>
      </c>
      <c r="E5152" s="39" t="s">
        <v>14484</v>
      </c>
      <c r="F5152" s="16" t="s">
        <v>1285</v>
      </c>
      <c r="G5152" s="16" t="s">
        <v>1063</v>
      </c>
      <c r="H5152" s="16" t="s">
        <v>14297</v>
      </c>
      <c r="I5152" s="16" t="s">
        <v>136</v>
      </c>
      <c r="J5152" s="16" t="s">
        <v>15752</v>
      </c>
      <c r="K5152" s="32" t="n">
        <v>50</v>
      </c>
      <c r="L5152" s="33" t="n">
        <v>46541</v>
      </c>
      <c r="M5152" s="33" t="n">
        <v>46590</v>
      </c>
      <c r="N5152" s="16" t="s">
        <v>15522</v>
      </c>
      <c r="O5152" s="16" t="s">
        <v>1299</v>
      </c>
      <c r="P5152" s="16" t="str">
        <f aca="false">IF(AND(L5152&lt;=$D$2,M5152&gt;=$C$2),"Sí","")</f>
        <v/>
      </c>
      <c r="Q5152" s="18" t="str">
        <f aca="false">IF(COUNTIF(LOOKAHEAD!$A$5:$A$604,A5152)&gt;0,"En Lookahead",IF(P5152="Sí","INCORPORAR",""))</f>
        <v/>
      </c>
    </row>
    <row r="5153" customFormat="false" ht="15" hidden="false" customHeight="false" outlineLevel="0" collapsed="false">
      <c r="A5153" s="16" t="s">
        <v>15761</v>
      </c>
      <c r="B5153" s="16" t="n">
        <v>5148</v>
      </c>
      <c r="C5153" s="16" t="s">
        <v>15762</v>
      </c>
      <c r="D5153" s="16" t="n">
        <v>8</v>
      </c>
      <c r="E5153" s="39" t="s">
        <v>14316</v>
      </c>
      <c r="F5153" s="16" t="s">
        <v>1285</v>
      </c>
      <c r="G5153" s="16" t="s">
        <v>1063</v>
      </c>
      <c r="H5153" s="16" t="s">
        <v>14297</v>
      </c>
      <c r="I5153" s="16" t="s">
        <v>136</v>
      </c>
      <c r="J5153" s="16" t="s">
        <v>15752</v>
      </c>
      <c r="K5153" s="32" t="n">
        <v>50</v>
      </c>
      <c r="L5153" s="33" t="n">
        <v>46541</v>
      </c>
      <c r="M5153" s="33" t="n">
        <v>46590</v>
      </c>
      <c r="N5153" s="16" t="s">
        <v>15522</v>
      </c>
      <c r="O5153" s="16" t="s">
        <v>1299</v>
      </c>
      <c r="P5153" s="16" t="str">
        <f aca="false">IF(AND(L5153&lt;=$D$2,M5153&gt;=$C$2),"Sí","")</f>
        <v/>
      </c>
      <c r="Q5153" s="18" t="str">
        <f aca="false">IF(COUNTIF(LOOKAHEAD!$A$5:$A$604,A5153)&gt;0,"En Lookahead",IF(P5153="Sí","INCORPORAR",""))</f>
        <v/>
      </c>
    </row>
    <row r="5154" customFormat="false" ht="15" hidden="false" customHeight="false" outlineLevel="0" collapsed="false">
      <c r="A5154" s="16" t="s">
        <v>15763</v>
      </c>
      <c r="B5154" s="16" t="n">
        <v>5149</v>
      </c>
      <c r="C5154" s="16" t="s">
        <v>15764</v>
      </c>
      <c r="D5154" s="16" t="n">
        <v>8</v>
      </c>
      <c r="E5154" s="39" t="s">
        <v>14319</v>
      </c>
      <c r="F5154" s="16" t="s">
        <v>1285</v>
      </c>
      <c r="G5154" s="16" t="s">
        <v>1063</v>
      </c>
      <c r="H5154" s="16" t="s">
        <v>14297</v>
      </c>
      <c r="I5154" s="16" t="s">
        <v>136</v>
      </c>
      <c r="J5154" s="16" t="s">
        <v>15752</v>
      </c>
      <c r="K5154" s="32" t="n">
        <v>50</v>
      </c>
      <c r="L5154" s="33" t="n">
        <v>46541</v>
      </c>
      <c r="M5154" s="33" t="n">
        <v>46590</v>
      </c>
      <c r="N5154" s="16" t="s">
        <v>15522</v>
      </c>
      <c r="O5154" s="16" t="s">
        <v>1299</v>
      </c>
      <c r="P5154" s="16" t="str">
        <f aca="false">IF(AND(L5154&lt;=$D$2,M5154&gt;=$C$2),"Sí","")</f>
        <v/>
      </c>
      <c r="Q5154" s="18" t="str">
        <f aca="false">IF(COUNTIF(LOOKAHEAD!$A$5:$A$604,A5154)&gt;0,"En Lookahead",IF(P5154="Sí","INCORPORAR",""))</f>
        <v/>
      </c>
    </row>
    <row r="5155" customFormat="false" ht="15" hidden="false" customHeight="false" outlineLevel="0" collapsed="false">
      <c r="A5155" s="16" t="s">
        <v>15765</v>
      </c>
      <c r="B5155" s="16" t="n">
        <v>5150</v>
      </c>
      <c r="C5155" s="16" t="s">
        <v>15766</v>
      </c>
      <c r="D5155" s="16" t="n">
        <v>8</v>
      </c>
      <c r="E5155" s="39" t="s">
        <v>14322</v>
      </c>
      <c r="F5155" s="16" t="s">
        <v>1285</v>
      </c>
      <c r="G5155" s="16" t="s">
        <v>1063</v>
      </c>
      <c r="H5155" s="16" t="s">
        <v>14297</v>
      </c>
      <c r="I5155" s="16" t="s">
        <v>136</v>
      </c>
      <c r="J5155" s="16" t="s">
        <v>15752</v>
      </c>
      <c r="K5155" s="32" t="n">
        <v>50</v>
      </c>
      <c r="L5155" s="33" t="n">
        <v>46541</v>
      </c>
      <c r="M5155" s="33" t="n">
        <v>46590</v>
      </c>
      <c r="N5155" s="16" t="s">
        <v>15522</v>
      </c>
      <c r="O5155" s="16" t="s">
        <v>1299</v>
      </c>
      <c r="P5155" s="16" t="str">
        <f aca="false">IF(AND(L5155&lt;=$D$2,M5155&gt;=$C$2),"Sí","")</f>
        <v/>
      </c>
      <c r="Q5155" s="18" t="str">
        <f aca="false">IF(COUNTIF(LOOKAHEAD!$A$5:$A$604,A5155)&gt;0,"En Lookahead",IF(P5155="Sí","INCORPORAR",""))</f>
        <v/>
      </c>
    </row>
    <row r="5156" customFormat="false" ht="15" hidden="false" customHeight="false" outlineLevel="0" collapsed="false">
      <c r="A5156" s="16" t="s">
        <v>15767</v>
      </c>
      <c r="B5156" s="16" t="n">
        <v>5151</v>
      </c>
      <c r="C5156" s="16" t="s">
        <v>15768</v>
      </c>
      <c r="D5156" s="16" t="n">
        <v>8</v>
      </c>
      <c r="E5156" s="39" t="s">
        <v>14325</v>
      </c>
      <c r="F5156" s="16" t="s">
        <v>1285</v>
      </c>
      <c r="G5156" s="16" t="s">
        <v>1063</v>
      </c>
      <c r="H5156" s="16" t="s">
        <v>14297</v>
      </c>
      <c r="I5156" s="16" t="s">
        <v>136</v>
      </c>
      <c r="J5156" s="16" t="s">
        <v>15752</v>
      </c>
      <c r="K5156" s="32" t="n">
        <v>50</v>
      </c>
      <c r="L5156" s="33" t="n">
        <v>46541</v>
      </c>
      <c r="M5156" s="33" t="n">
        <v>46590</v>
      </c>
      <c r="N5156" s="16" t="s">
        <v>15522</v>
      </c>
      <c r="O5156" s="16" t="s">
        <v>1299</v>
      </c>
      <c r="P5156" s="16" t="str">
        <f aca="false">IF(AND(L5156&lt;=$D$2,M5156&gt;=$C$2),"Sí","")</f>
        <v/>
      </c>
      <c r="Q5156" s="18" t="str">
        <f aca="false">IF(COUNTIF(LOOKAHEAD!$A$5:$A$604,A5156)&gt;0,"En Lookahead",IF(P5156="Sí","INCORPORAR",""))</f>
        <v/>
      </c>
    </row>
    <row r="5157" customFormat="false" ht="15" hidden="false" customHeight="false" outlineLevel="0" collapsed="false">
      <c r="A5157" s="16" t="s">
        <v>15769</v>
      </c>
      <c r="B5157" s="16" t="n">
        <v>5152</v>
      </c>
      <c r="C5157" s="16" t="s">
        <v>15770</v>
      </c>
      <c r="D5157" s="16" t="n">
        <v>8</v>
      </c>
      <c r="E5157" s="39" t="s">
        <v>14629</v>
      </c>
      <c r="F5157" s="16" t="s">
        <v>1285</v>
      </c>
      <c r="G5157" s="16" t="s">
        <v>1063</v>
      </c>
      <c r="H5157" s="16" t="s">
        <v>14297</v>
      </c>
      <c r="I5157" s="16" t="s">
        <v>136</v>
      </c>
      <c r="J5157" s="16" t="s">
        <v>15752</v>
      </c>
      <c r="K5157" s="32" t="n">
        <v>50</v>
      </c>
      <c r="L5157" s="33" t="n">
        <v>46541</v>
      </c>
      <c r="M5157" s="33" t="n">
        <v>46590</v>
      </c>
      <c r="N5157" s="16" t="s">
        <v>15522</v>
      </c>
      <c r="O5157" s="16" t="s">
        <v>1299</v>
      </c>
      <c r="P5157" s="16" t="str">
        <f aca="false">IF(AND(L5157&lt;=$D$2,M5157&gt;=$C$2),"Sí","")</f>
        <v/>
      </c>
      <c r="Q5157" s="18" t="str">
        <f aca="false">IF(COUNTIF(LOOKAHEAD!$A$5:$A$604,A5157)&gt;0,"En Lookahead",IF(P5157="Sí","INCORPORAR",""))</f>
        <v/>
      </c>
    </row>
    <row r="5158" customFormat="false" ht="15" hidden="false" customHeight="false" outlineLevel="0" collapsed="false">
      <c r="A5158" s="16" t="s">
        <v>15771</v>
      </c>
      <c r="B5158" s="16" t="n">
        <v>5153</v>
      </c>
      <c r="C5158" s="16" t="s">
        <v>15772</v>
      </c>
      <c r="D5158" s="16" t="n">
        <v>8</v>
      </c>
      <c r="E5158" s="39" t="s">
        <v>14381</v>
      </c>
      <c r="F5158" s="16" t="s">
        <v>1285</v>
      </c>
      <c r="G5158" s="16" t="s">
        <v>1063</v>
      </c>
      <c r="H5158" s="16" t="s">
        <v>14297</v>
      </c>
      <c r="I5158" s="16" t="s">
        <v>136</v>
      </c>
      <c r="J5158" s="16" t="s">
        <v>15752</v>
      </c>
      <c r="K5158" s="32" t="n">
        <v>50</v>
      </c>
      <c r="L5158" s="33" t="n">
        <v>46541</v>
      </c>
      <c r="M5158" s="33" t="n">
        <v>46590</v>
      </c>
      <c r="N5158" s="16" t="s">
        <v>15522</v>
      </c>
      <c r="O5158" s="16" t="s">
        <v>1299</v>
      </c>
      <c r="P5158" s="16" t="str">
        <f aca="false">IF(AND(L5158&lt;=$D$2,M5158&gt;=$C$2),"Sí","")</f>
        <v/>
      </c>
      <c r="Q5158" s="18" t="str">
        <f aca="false">IF(COUNTIF(LOOKAHEAD!$A$5:$A$604,A5158)&gt;0,"En Lookahead",IF(P5158="Sí","INCORPORAR",""))</f>
        <v/>
      </c>
    </row>
    <row r="5159" customFormat="false" ht="15" hidden="false" customHeight="false" outlineLevel="0" collapsed="false">
      <c r="A5159" s="13" t="s">
        <v>15773</v>
      </c>
      <c r="B5159" s="13" t="n">
        <v>5154</v>
      </c>
      <c r="C5159" s="13" t="s">
        <v>15774</v>
      </c>
      <c r="D5159" s="13" t="n">
        <v>7</v>
      </c>
      <c r="E5159" s="38" t="s">
        <v>15775</v>
      </c>
      <c r="F5159" s="13" t="s">
        <v>1298</v>
      </c>
      <c r="G5159" s="13" t="s">
        <v>1063</v>
      </c>
      <c r="H5159" s="13" t="s">
        <v>14297</v>
      </c>
      <c r="I5159" s="13" t="s">
        <v>136</v>
      </c>
      <c r="J5159" s="13" t="s">
        <v>14471</v>
      </c>
      <c r="K5159" s="30" t="n">
        <v>50</v>
      </c>
      <c r="L5159" s="31" t="n">
        <v>46541</v>
      </c>
      <c r="M5159" s="31" t="n">
        <v>46590</v>
      </c>
      <c r="N5159" s="13"/>
      <c r="O5159" s="13" t="s">
        <v>1299</v>
      </c>
      <c r="P5159" s="13"/>
      <c r="Q5159" s="13"/>
    </row>
    <row r="5160" customFormat="false" ht="15" hidden="false" customHeight="false" outlineLevel="0" collapsed="false">
      <c r="A5160" s="16" t="s">
        <v>15776</v>
      </c>
      <c r="B5160" s="16" t="n">
        <v>5155</v>
      </c>
      <c r="C5160" s="16" t="s">
        <v>15777</v>
      </c>
      <c r="D5160" s="16" t="n">
        <v>8</v>
      </c>
      <c r="E5160" s="39" t="s">
        <v>14308</v>
      </c>
      <c r="F5160" s="16" t="s">
        <v>1285</v>
      </c>
      <c r="G5160" s="16" t="s">
        <v>1063</v>
      </c>
      <c r="H5160" s="16" t="s">
        <v>14297</v>
      </c>
      <c r="I5160" s="16" t="s">
        <v>136</v>
      </c>
      <c r="J5160" s="16" t="s">
        <v>15775</v>
      </c>
      <c r="K5160" s="32" t="n">
        <v>50</v>
      </c>
      <c r="L5160" s="33" t="n">
        <v>46541</v>
      </c>
      <c r="M5160" s="33" t="n">
        <v>46590</v>
      </c>
      <c r="N5160" s="16" t="s">
        <v>15522</v>
      </c>
      <c r="O5160" s="16" t="s">
        <v>1299</v>
      </c>
      <c r="P5160" s="16" t="str">
        <f aca="false">IF(AND(L5160&lt;=$D$2,M5160&gt;=$C$2),"Sí","")</f>
        <v/>
      </c>
      <c r="Q5160" s="18" t="str">
        <f aca="false">IF(COUNTIF(LOOKAHEAD!$A$5:$A$604,A5160)&gt;0,"En Lookahead",IF(P5160="Sí","INCORPORAR",""))</f>
        <v/>
      </c>
    </row>
    <row r="5161" customFormat="false" ht="15" hidden="false" customHeight="false" outlineLevel="0" collapsed="false">
      <c r="A5161" s="16" t="s">
        <v>15778</v>
      </c>
      <c r="B5161" s="16" t="n">
        <v>5156</v>
      </c>
      <c r="C5161" s="16" t="s">
        <v>15779</v>
      </c>
      <c r="D5161" s="16" t="n">
        <v>8</v>
      </c>
      <c r="E5161" s="39" t="s">
        <v>14392</v>
      </c>
      <c r="F5161" s="16" t="s">
        <v>1285</v>
      </c>
      <c r="G5161" s="16" t="s">
        <v>1063</v>
      </c>
      <c r="H5161" s="16" t="s">
        <v>14297</v>
      </c>
      <c r="I5161" s="16" t="s">
        <v>136</v>
      </c>
      <c r="J5161" s="16" t="s">
        <v>15775</v>
      </c>
      <c r="K5161" s="32" t="n">
        <v>50</v>
      </c>
      <c r="L5161" s="33" t="n">
        <v>46541</v>
      </c>
      <c r="M5161" s="33" t="n">
        <v>46590</v>
      </c>
      <c r="N5161" s="16" t="s">
        <v>15522</v>
      </c>
      <c r="O5161" s="16" t="s">
        <v>1299</v>
      </c>
      <c r="P5161" s="16" t="str">
        <f aca="false">IF(AND(L5161&lt;=$D$2,M5161&gt;=$C$2),"Sí","")</f>
        <v/>
      </c>
      <c r="Q5161" s="18" t="str">
        <f aca="false">IF(COUNTIF(LOOKAHEAD!$A$5:$A$604,A5161)&gt;0,"En Lookahead",IF(P5161="Sí","INCORPORAR",""))</f>
        <v/>
      </c>
    </row>
    <row r="5162" customFormat="false" ht="15" hidden="false" customHeight="false" outlineLevel="0" collapsed="false">
      <c r="A5162" s="16" t="s">
        <v>15780</v>
      </c>
      <c r="B5162" s="16" t="n">
        <v>5157</v>
      </c>
      <c r="C5162" s="16" t="s">
        <v>15781</v>
      </c>
      <c r="D5162" s="16" t="n">
        <v>8</v>
      </c>
      <c r="E5162" s="39" t="s">
        <v>14337</v>
      </c>
      <c r="F5162" s="16" t="s">
        <v>1285</v>
      </c>
      <c r="G5162" s="16" t="s">
        <v>1063</v>
      </c>
      <c r="H5162" s="16" t="s">
        <v>14297</v>
      </c>
      <c r="I5162" s="16" t="s">
        <v>136</v>
      </c>
      <c r="J5162" s="16" t="s">
        <v>15775</v>
      </c>
      <c r="K5162" s="32" t="n">
        <v>50</v>
      </c>
      <c r="L5162" s="33" t="n">
        <v>46541</v>
      </c>
      <c r="M5162" s="33" t="n">
        <v>46590</v>
      </c>
      <c r="N5162" s="16" t="s">
        <v>15522</v>
      </c>
      <c r="O5162" s="16" t="s">
        <v>1299</v>
      </c>
      <c r="P5162" s="16" t="str">
        <f aca="false">IF(AND(L5162&lt;=$D$2,M5162&gt;=$C$2),"Sí","")</f>
        <v/>
      </c>
      <c r="Q5162" s="18" t="str">
        <f aca="false">IF(COUNTIF(LOOKAHEAD!$A$5:$A$604,A5162)&gt;0,"En Lookahead",IF(P5162="Sí","INCORPORAR",""))</f>
        <v/>
      </c>
    </row>
    <row r="5163" customFormat="false" ht="15" hidden="false" customHeight="false" outlineLevel="0" collapsed="false">
      <c r="A5163" s="16" t="s">
        <v>15782</v>
      </c>
      <c r="B5163" s="16" t="n">
        <v>5158</v>
      </c>
      <c r="C5163" s="16" t="s">
        <v>15783</v>
      </c>
      <c r="D5163" s="16" t="n">
        <v>8</v>
      </c>
      <c r="E5163" s="39" t="s">
        <v>14484</v>
      </c>
      <c r="F5163" s="16" t="s">
        <v>1285</v>
      </c>
      <c r="G5163" s="16" t="s">
        <v>1063</v>
      </c>
      <c r="H5163" s="16" t="s">
        <v>14297</v>
      </c>
      <c r="I5163" s="16" t="s">
        <v>136</v>
      </c>
      <c r="J5163" s="16" t="s">
        <v>15775</v>
      </c>
      <c r="K5163" s="32" t="n">
        <v>50</v>
      </c>
      <c r="L5163" s="33" t="n">
        <v>46541</v>
      </c>
      <c r="M5163" s="33" t="n">
        <v>46590</v>
      </c>
      <c r="N5163" s="16" t="s">
        <v>15522</v>
      </c>
      <c r="O5163" s="16" t="s">
        <v>1299</v>
      </c>
      <c r="P5163" s="16" t="str">
        <f aca="false">IF(AND(L5163&lt;=$D$2,M5163&gt;=$C$2),"Sí","")</f>
        <v/>
      </c>
      <c r="Q5163" s="18" t="str">
        <f aca="false">IF(COUNTIF(LOOKAHEAD!$A$5:$A$604,A5163)&gt;0,"En Lookahead",IF(P5163="Sí","INCORPORAR",""))</f>
        <v/>
      </c>
    </row>
    <row r="5164" customFormat="false" ht="15" hidden="false" customHeight="false" outlineLevel="0" collapsed="false">
      <c r="A5164" s="16" t="s">
        <v>15784</v>
      </c>
      <c r="B5164" s="16" t="n">
        <v>5159</v>
      </c>
      <c r="C5164" s="16" t="s">
        <v>15785</v>
      </c>
      <c r="D5164" s="16" t="n">
        <v>8</v>
      </c>
      <c r="E5164" s="39" t="s">
        <v>14316</v>
      </c>
      <c r="F5164" s="16" t="s">
        <v>1285</v>
      </c>
      <c r="G5164" s="16" t="s">
        <v>1063</v>
      </c>
      <c r="H5164" s="16" t="s">
        <v>14297</v>
      </c>
      <c r="I5164" s="16" t="s">
        <v>136</v>
      </c>
      <c r="J5164" s="16" t="s">
        <v>15775</v>
      </c>
      <c r="K5164" s="32" t="n">
        <v>50</v>
      </c>
      <c r="L5164" s="33" t="n">
        <v>46541</v>
      </c>
      <c r="M5164" s="33" t="n">
        <v>46590</v>
      </c>
      <c r="N5164" s="16" t="s">
        <v>15522</v>
      </c>
      <c r="O5164" s="16" t="s">
        <v>1299</v>
      </c>
      <c r="P5164" s="16" t="str">
        <f aca="false">IF(AND(L5164&lt;=$D$2,M5164&gt;=$C$2),"Sí","")</f>
        <v/>
      </c>
      <c r="Q5164" s="18" t="str">
        <f aca="false">IF(COUNTIF(LOOKAHEAD!$A$5:$A$604,A5164)&gt;0,"En Lookahead",IF(P5164="Sí","INCORPORAR",""))</f>
        <v/>
      </c>
    </row>
    <row r="5165" customFormat="false" ht="15" hidden="false" customHeight="false" outlineLevel="0" collapsed="false">
      <c r="A5165" s="16" t="s">
        <v>15786</v>
      </c>
      <c r="B5165" s="16" t="n">
        <v>5160</v>
      </c>
      <c r="C5165" s="16" t="s">
        <v>15787</v>
      </c>
      <c r="D5165" s="16" t="n">
        <v>8</v>
      </c>
      <c r="E5165" s="39" t="s">
        <v>14319</v>
      </c>
      <c r="F5165" s="16" t="s">
        <v>1285</v>
      </c>
      <c r="G5165" s="16" t="s">
        <v>1063</v>
      </c>
      <c r="H5165" s="16" t="s">
        <v>14297</v>
      </c>
      <c r="I5165" s="16" t="s">
        <v>136</v>
      </c>
      <c r="J5165" s="16" t="s">
        <v>15775</v>
      </c>
      <c r="K5165" s="32" t="n">
        <v>50</v>
      </c>
      <c r="L5165" s="33" t="n">
        <v>46541</v>
      </c>
      <c r="M5165" s="33" t="n">
        <v>46590</v>
      </c>
      <c r="N5165" s="16" t="s">
        <v>15522</v>
      </c>
      <c r="O5165" s="16" t="s">
        <v>1299</v>
      </c>
      <c r="P5165" s="16" t="str">
        <f aca="false">IF(AND(L5165&lt;=$D$2,M5165&gt;=$C$2),"Sí","")</f>
        <v/>
      </c>
      <c r="Q5165" s="18" t="str">
        <f aca="false">IF(COUNTIF(LOOKAHEAD!$A$5:$A$604,A5165)&gt;0,"En Lookahead",IF(P5165="Sí","INCORPORAR",""))</f>
        <v/>
      </c>
    </row>
    <row r="5166" customFormat="false" ht="15" hidden="false" customHeight="false" outlineLevel="0" collapsed="false">
      <c r="A5166" s="16" t="s">
        <v>15788</v>
      </c>
      <c r="B5166" s="16" t="n">
        <v>5161</v>
      </c>
      <c r="C5166" s="16" t="s">
        <v>15789</v>
      </c>
      <c r="D5166" s="16" t="n">
        <v>8</v>
      </c>
      <c r="E5166" s="39" t="s">
        <v>14322</v>
      </c>
      <c r="F5166" s="16" t="s">
        <v>1285</v>
      </c>
      <c r="G5166" s="16" t="s">
        <v>1063</v>
      </c>
      <c r="H5166" s="16" t="s">
        <v>14297</v>
      </c>
      <c r="I5166" s="16" t="s">
        <v>136</v>
      </c>
      <c r="J5166" s="16" t="s">
        <v>15775</v>
      </c>
      <c r="K5166" s="32" t="n">
        <v>50</v>
      </c>
      <c r="L5166" s="33" t="n">
        <v>46541</v>
      </c>
      <c r="M5166" s="33" t="n">
        <v>46590</v>
      </c>
      <c r="N5166" s="16" t="s">
        <v>15522</v>
      </c>
      <c r="O5166" s="16" t="s">
        <v>1299</v>
      </c>
      <c r="P5166" s="16" t="str">
        <f aca="false">IF(AND(L5166&lt;=$D$2,M5166&gt;=$C$2),"Sí","")</f>
        <v/>
      </c>
      <c r="Q5166" s="18" t="str">
        <f aca="false">IF(COUNTIF(LOOKAHEAD!$A$5:$A$604,A5166)&gt;0,"En Lookahead",IF(P5166="Sí","INCORPORAR",""))</f>
        <v/>
      </c>
    </row>
    <row r="5167" customFormat="false" ht="15" hidden="false" customHeight="false" outlineLevel="0" collapsed="false">
      <c r="A5167" s="16" t="s">
        <v>15790</v>
      </c>
      <c r="B5167" s="16" t="n">
        <v>5162</v>
      </c>
      <c r="C5167" s="16" t="s">
        <v>15791</v>
      </c>
      <c r="D5167" s="16" t="n">
        <v>8</v>
      </c>
      <c r="E5167" s="39" t="s">
        <v>14325</v>
      </c>
      <c r="F5167" s="16" t="s">
        <v>1285</v>
      </c>
      <c r="G5167" s="16" t="s">
        <v>1063</v>
      </c>
      <c r="H5167" s="16" t="s">
        <v>14297</v>
      </c>
      <c r="I5167" s="16" t="s">
        <v>136</v>
      </c>
      <c r="J5167" s="16" t="s">
        <v>15775</v>
      </c>
      <c r="K5167" s="32" t="n">
        <v>50</v>
      </c>
      <c r="L5167" s="33" t="n">
        <v>46541</v>
      </c>
      <c r="M5167" s="33" t="n">
        <v>46590</v>
      </c>
      <c r="N5167" s="16" t="s">
        <v>15522</v>
      </c>
      <c r="O5167" s="16" t="s">
        <v>1299</v>
      </c>
      <c r="P5167" s="16" t="str">
        <f aca="false">IF(AND(L5167&lt;=$D$2,M5167&gt;=$C$2),"Sí","")</f>
        <v/>
      </c>
      <c r="Q5167" s="18" t="str">
        <f aca="false">IF(COUNTIF(LOOKAHEAD!$A$5:$A$604,A5167)&gt;0,"En Lookahead",IF(P5167="Sí","INCORPORAR",""))</f>
        <v/>
      </c>
    </row>
    <row r="5168" customFormat="false" ht="15" hidden="false" customHeight="false" outlineLevel="0" collapsed="false">
      <c r="A5168" s="16" t="s">
        <v>15792</v>
      </c>
      <c r="B5168" s="16" t="n">
        <v>5163</v>
      </c>
      <c r="C5168" s="16" t="s">
        <v>15793</v>
      </c>
      <c r="D5168" s="16" t="n">
        <v>8</v>
      </c>
      <c r="E5168" s="39" t="s">
        <v>14629</v>
      </c>
      <c r="F5168" s="16" t="s">
        <v>1285</v>
      </c>
      <c r="G5168" s="16" t="s">
        <v>1063</v>
      </c>
      <c r="H5168" s="16" t="s">
        <v>14297</v>
      </c>
      <c r="I5168" s="16" t="s">
        <v>136</v>
      </c>
      <c r="J5168" s="16" t="s">
        <v>15775</v>
      </c>
      <c r="K5168" s="32" t="n">
        <v>50</v>
      </c>
      <c r="L5168" s="33" t="n">
        <v>46541</v>
      </c>
      <c r="M5168" s="33" t="n">
        <v>46590</v>
      </c>
      <c r="N5168" s="16" t="s">
        <v>15522</v>
      </c>
      <c r="O5168" s="16" t="s">
        <v>1299</v>
      </c>
      <c r="P5168" s="16" t="str">
        <f aca="false">IF(AND(L5168&lt;=$D$2,M5168&gt;=$C$2),"Sí","")</f>
        <v/>
      </c>
      <c r="Q5168" s="18" t="str">
        <f aca="false">IF(COUNTIF(LOOKAHEAD!$A$5:$A$604,A5168)&gt;0,"En Lookahead",IF(P5168="Sí","INCORPORAR",""))</f>
        <v/>
      </c>
    </row>
    <row r="5169" customFormat="false" ht="15" hidden="false" customHeight="false" outlineLevel="0" collapsed="false">
      <c r="A5169" s="16" t="s">
        <v>15794</v>
      </c>
      <c r="B5169" s="16" t="n">
        <v>5164</v>
      </c>
      <c r="C5169" s="16" t="s">
        <v>15795</v>
      </c>
      <c r="D5169" s="16" t="n">
        <v>8</v>
      </c>
      <c r="E5169" s="39" t="s">
        <v>14381</v>
      </c>
      <c r="F5169" s="16" t="s">
        <v>1285</v>
      </c>
      <c r="G5169" s="16" t="s">
        <v>1063</v>
      </c>
      <c r="H5169" s="16" t="s">
        <v>14297</v>
      </c>
      <c r="I5169" s="16" t="s">
        <v>136</v>
      </c>
      <c r="J5169" s="16" t="s">
        <v>15775</v>
      </c>
      <c r="K5169" s="32" t="n">
        <v>50</v>
      </c>
      <c r="L5169" s="33" t="n">
        <v>46541</v>
      </c>
      <c r="M5169" s="33" t="n">
        <v>46590</v>
      </c>
      <c r="N5169" s="16" t="s">
        <v>15522</v>
      </c>
      <c r="O5169" s="16" t="s">
        <v>1299</v>
      </c>
      <c r="P5169" s="16" t="str">
        <f aca="false">IF(AND(L5169&lt;=$D$2,M5169&gt;=$C$2),"Sí","")</f>
        <v/>
      </c>
      <c r="Q5169" s="18" t="str">
        <f aca="false">IF(COUNTIF(LOOKAHEAD!$A$5:$A$604,A5169)&gt;0,"En Lookahead",IF(P5169="Sí","INCORPORAR",""))</f>
        <v/>
      </c>
    </row>
    <row r="5170" customFormat="false" ht="15" hidden="false" customHeight="false" outlineLevel="0" collapsed="false">
      <c r="A5170" s="13" t="s">
        <v>15796</v>
      </c>
      <c r="B5170" s="13" t="n">
        <v>5165</v>
      </c>
      <c r="C5170" s="13" t="s">
        <v>15797</v>
      </c>
      <c r="D5170" s="13" t="n">
        <v>7</v>
      </c>
      <c r="E5170" s="38" t="s">
        <v>15798</v>
      </c>
      <c r="F5170" s="13" t="s">
        <v>1298</v>
      </c>
      <c r="G5170" s="13" t="s">
        <v>1063</v>
      </c>
      <c r="H5170" s="13" t="s">
        <v>14297</v>
      </c>
      <c r="I5170" s="13" t="s">
        <v>136</v>
      </c>
      <c r="J5170" s="13" t="s">
        <v>14471</v>
      </c>
      <c r="K5170" s="30" t="n">
        <v>50</v>
      </c>
      <c r="L5170" s="31" t="n">
        <v>46541</v>
      </c>
      <c r="M5170" s="31" t="n">
        <v>46590</v>
      </c>
      <c r="N5170" s="13"/>
      <c r="O5170" s="13" t="s">
        <v>1299</v>
      </c>
      <c r="P5170" s="13"/>
      <c r="Q5170" s="13"/>
    </row>
    <row r="5171" customFormat="false" ht="15" hidden="false" customHeight="false" outlineLevel="0" collapsed="false">
      <c r="A5171" s="16" t="s">
        <v>15799</v>
      </c>
      <c r="B5171" s="16" t="n">
        <v>5166</v>
      </c>
      <c r="C5171" s="16" t="s">
        <v>15800</v>
      </c>
      <c r="D5171" s="16" t="n">
        <v>8</v>
      </c>
      <c r="E5171" s="39" t="s">
        <v>14308</v>
      </c>
      <c r="F5171" s="16" t="s">
        <v>1285</v>
      </c>
      <c r="G5171" s="16" t="s">
        <v>1063</v>
      </c>
      <c r="H5171" s="16" t="s">
        <v>14297</v>
      </c>
      <c r="I5171" s="16" t="s">
        <v>136</v>
      </c>
      <c r="J5171" s="16" t="s">
        <v>15798</v>
      </c>
      <c r="K5171" s="32" t="n">
        <v>50</v>
      </c>
      <c r="L5171" s="33" t="n">
        <v>46541</v>
      </c>
      <c r="M5171" s="33" t="n">
        <v>46590</v>
      </c>
      <c r="N5171" s="16" t="s">
        <v>15522</v>
      </c>
      <c r="O5171" s="16" t="s">
        <v>1299</v>
      </c>
      <c r="P5171" s="16" t="str">
        <f aca="false">IF(AND(L5171&lt;=$D$2,M5171&gt;=$C$2),"Sí","")</f>
        <v/>
      </c>
      <c r="Q5171" s="18" t="str">
        <f aca="false">IF(COUNTIF(LOOKAHEAD!$A$5:$A$604,A5171)&gt;0,"En Lookahead",IF(P5171="Sí","INCORPORAR",""))</f>
        <v/>
      </c>
    </row>
    <row r="5172" customFormat="false" ht="15" hidden="false" customHeight="false" outlineLevel="0" collapsed="false">
      <c r="A5172" s="16" t="s">
        <v>15801</v>
      </c>
      <c r="B5172" s="16" t="n">
        <v>5167</v>
      </c>
      <c r="C5172" s="16" t="s">
        <v>15802</v>
      </c>
      <c r="D5172" s="16" t="n">
        <v>8</v>
      </c>
      <c r="E5172" s="39" t="s">
        <v>14392</v>
      </c>
      <c r="F5172" s="16" t="s">
        <v>1285</v>
      </c>
      <c r="G5172" s="16" t="s">
        <v>1063</v>
      </c>
      <c r="H5172" s="16" t="s">
        <v>14297</v>
      </c>
      <c r="I5172" s="16" t="s">
        <v>136</v>
      </c>
      <c r="J5172" s="16" t="s">
        <v>15798</v>
      </c>
      <c r="K5172" s="32" t="n">
        <v>50</v>
      </c>
      <c r="L5172" s="33" t="n">
        <v>46541</v>
      </c>
      <c r="M5172" s="33" t="n">
        <v>46590</v>
      </c>
      <c r="N5172" s="16" t="s">
        <v>15522</v>
      </c>
      <c r="O5172" s="16" t="s">
        <v>1299</v>
      </c>
      <c r="P5172" s="16" t="str">
        <f aca="false">IF(AND(L5172&lt;=$D$2,M5172&gt;=$C$2),"Sí","")</f>
        <v/>
      </c>
      <c r="Q5172" s="18" t="str">
        <f aca="false">IF(COUNTIF(LOOKAHEAD!$A$5:$A$604,A5172)&gt;0,"En Lookahead",IF(P5172="Sí","INCORPORAR",""))</f>
        <v/>
      </c>
    </row>
    <row r="5173" customFormat="false" ht="15" hidden="false" customHeight="false" outlineLevel="0" collapsed="false">
      <c r="A5173" s="16" t="s">
        <v>15803</v>
      </c>
      <c r="B5173" s="16" t="n">
        <v>5168</v>
      </c>
      <c r="C5173" s="16" t="s">
        <v>15804</v>
      </c>
      <c r="D5173" s="16" t="n">
        <v>8</v>
      </c>
      <c r="E5173" s="39" t="s">
        <v>14337</v>
      </c>
      <c r="F5173" s="16" t="s">
        <v>1285</v>
      </c>
      <c r="G5173" s="16" t="s">
        <v>1063</v>
      </c>
      <c r="H5173" s="16" t="s">
        <v>14297</v>
      </c>
      <c r="I5173" s="16" t="s">
        <v>136</v>
      </c>
      <c r="J5173" s="16" t="s">
        <v>15798</v>
      </c>
      <c r="K5173" s="32" t="n">
        <v>50</v>
      </c>
      <c r="L5173" s="33" t="n">
        <v>46541</v>
      </c>
      <c r="M5173" s="33" t="n">
        <v>46590</v>
      </c>
      <c r="N5173" s="16" t="s">
        <v>15522</v>
      </c>
      <c r="O5173" s="16" t="s">
        <v>1299</v>
      </c>
      <c r="P5173" s="16" t="str">
        <f aca="false">IF(AND(L5173&lt;=$D$2,M5173&gt;=$C$2),"Sí","")</f>
        <v/>
      </c>
      <c r="Q5173" s="18" t="str">
        <f aca="false">IF(COUNTIF(LOOKAHEAD!$A$5:$A$604,A5173)&gt;0,"En Lookahead",IF(P5173="Sí","INCORPORAR",""))</f>
        <v/>
      </c>
    </row>
    <row r="5174" customFormat="false" ht="15" hidden="false" customHeight="false" outlineLevel="0" collapsed="false">
      <c r="A5174" s="16" t="s">
        <v>15805</v>
      </c>
      <c r="B5174" s="16" t="n">
        <v>5169</v>
      </c>
      <c r="C5174" s="16" t="s">
        <v>15806</v>
      </c>
      <c r="D5174" s="16" t="n">
        <v>8</v>
      </c>
      <c r="E5174" s="39" t="s">
        <v>14484</v>
      </c>
      <c r="F5174" s="16" t="s">
        <v>1285</v>
      </c>
      <c r="G5174" s="16" t="s">
        <v>1063</v>
      </c>
      <c r="H5174" s="16" t="s">
        <v>14297</v>
      </c>
      <c r="I5174" s="16" t="s">
        <v>136</v>
      </c>
      <c r="J5174" s="16" t="s">
        <v>15798</v>
      </c>
      <c r="K5174" s="32" t="n">
        <v>50</v>
      </c>
      <c r="L5174" s="33" t="n">
        <v>46541</v>
      </c>
      <c r="M5174" s="33" t="n">
        <v>46590</v>
      </c>
      <c r="N5174" s="16" t="s">
        <v>15522</v>
      </c>
      <c r="O5174" s="16" t="s">
        <v>1299</v>
      </c>
      <c r="P5174" s="16" t="str">
        <f aca="false">IF(AND(L5174&lt;=$D$2,M5174&gt;=$C$2),"Sí","")</f>
        <v/>
      </c>
      <c r="Q5174" s="18" t="str">
        <f aca="false">IF(COUNTIF(LOOKAHEAD!$A$5:$A$604,A5174)&gt;0,"En Lookahead",IF(P5174="Sí","INCORPORAR",""))</f>
        <v/>
      </c>
    </row>
    <row r="5175" customFormat="false" ht="15" hidden="false" customHeight="false" outlineLevel="0" collapsed="false">
      <c r="A5175" s="16" t="s">
        <v>15807</v>
      </c>
      <c r="B5175" s="16" t="n">
        <v>5170</v>
      </c>
      <c r="C5175" s="16" t="s">
        <v>15808</v>
      </c>
      <c r="D5175" s="16" t="n">
        <v>8</v>
      </c>
      <c r="E5175" s="39" t="s">
        <v>14316</v>
      </c>
      <c r="F5175" s="16" t="s">
        <v>1285</v>
      </c>
      <c r="G5175" s="16" t="s">
        <v>1063</v>
      </c>
      <c r="H5175" s="16" t="s">
        <v>14297</v>
      </c>
      <c r="I5175" s="16" t="s">
        <v>136</v>
      </c>
      <c r="J5175" s="16" t="s">
        <v>15798</v>
      </c>
      <c r="K5175" s="32" t="n">
        <v>50</v>
      </c>
      <c r="L5175" s="33" t="n">
        <v>46541</v>
      </c>
      <c r="M5175" s="33" t="n">
        <v>46590</v>
      </c>
      <c r="N5175" s="16" t="s">
        <v>15522</v>
      </c>
      <c r="O5175" s="16" t="s">
        <v>1299</v>
      </c>
      <c r="P5175" s="16" t="str">
        <f aca="false">IF(AND(L5175&lt;=$D$2,M5175&gt;=$C$2),"Sí","")</f>
        <v/>
      </c>
      <c r="Q5175" s="18" t="str">
        <f aca="false">IF(COUNTIF(LOOKAHEAD!$A$5:$A$604,A5175)&gt;0,"En Lookahead",IF(P5175="Sí","INCORPORAR",""))</f>
        <v/>
      </c>
    </row>
    <row r="5176" customFormat="false" ht="15" hidden="false" customHeight="false" outlineLevel="0" collapsed="false">
      <c r="A5176" s="16" t="s">
        <v>15809</v>
      </c>
      <c r="B5176" s="16" t="n">
        <v>5171</v>
      </c>
      <c r="C5176" s="16" t="s">
        <v>15810</v>
      </c>
      <c r="D5176" s="16" t="n">
        <v>8</v>
      </c>
      <c r="E5176" s="39" t="s">
        <v>14319</v>
      </c>
      <c r="F5176" s="16" t="s">
        <v>1285</v>
      </c>
      <c r="G5176" s="16" t="s">
        <v>1063</v>
      </c>
      <c r="H5176" s="16" t="s">
        <v>14297</v>
      </c>
      <c r="I5176" s="16" t="s">
        <v>136</v>
      </c>
      <c r="J5176" s="16" t="s">
        <v>15798</v>
      </c>
      <c r="K5176" s="32" t="n">
        <v>50</v>
      </c>
      <c r="L5176" s="33" t="n">
        <v>46541</v>
      </c>
      <c r="M5176" s="33" t="n">
        <v>46590</v>
      </c>
      <c r="N5176" s="16" t="s">
        <v>15522</v>
      </c>
      <c r="O5176" s="16" t="s">
        <v>1299</v>
      </c>
      <c r="P5176" s="16" t="str">
        <f aca="false">IF(AND(L5176&lt;=$D$2,M5176&gt;=$C$2),"Sí","")</f>
        <v/>
      </c>
      <c r="Q5176" s="18" t="str">
        <f aca="false">IF(COUNTIF(LOOKAHEAD!$A$5:$A$604,A5176)&gt;0,"En Lookahead",IF(P5176="Sí","INCORPORAR",""))</f>
        <v/>
      </c>
    </row>
    <row r="5177" customFormat="false" ht="15" hidden="false" customHeight="false" outlineLevel="0" collapsed="false">
      <c r="A5177" s="16" t="s">
        <v>15811</v>
      </c>
      <c r="B5177" s="16" t="n">
        <v>5172</v>
      </c>
      <c r="C5177" s="16" t="s">
        <v>15812</v>
      </c>
      <c r="D5177" s="16" t="n">
        <v>8</v>
      </c>
      <c r="E5177" s="39" t="s">
        <v>14322</v>
      </c>
      <c r="F5177" s="16" t="s">
        <v>1285</v>
      </c>
      <c r="G5177" s="16" t="s">
        <v>1063</v>
      </c>
      <c r="H5177" s="16" t="s">
        <v>14297</v>
      </c>
      <c r="I5177" s="16" t="s">
        <v>136</v>
      </c>
      <c r="J5177" s="16" t="s">
        <v>15798</v>
      </c>
      <c r="K5177" s="32" t="n">
        <v>50</v>
      </c>
      <c r="L5177" s="33" t="n">
        <v>46541</v>
      </c>
      <c r="M5177" s="33" t="n">
        <v>46590</v>
      </c>
      <c r="N5177" s="16" t="s">
        <v>15522</v>
      </c>
      <c r="O5177" s="16" t="s">
        <v>1299</v>
      </c>
      <c r="P5177" s="16" t="str">
        <f aca="false">IF(AND(L5177&lt;=$D$2,M5177&gt;=$C$2),"Sí","")</f>
        <v/>
      </c>
      <c r="Q5177" s="18" t="str">
        <f aca="false">IF(COUNTIF(LOOKAHEAD!$A$5:$A$604,A5177)&gt;0,"En Lookahead",IF(P5177="Sí","INCORPORAR",""))</f>
        <v/>
      </c>
    </row>
    <row r="5178" customFormat="false" ht="15" hidden="false" customHeight="false" outlineLevel="0" collapsed="false">
      <c r="A5178" s="16" t="s">
        <v>15813</v>
      </c>
      <c r="B5178" s="16" t="n">
        <v>5173</v>
      </c>
      <c r="C5178" s="16" t="s">
        <v>15814</v>
      </c>
      <c r="D5178" s="16" t="n">
        <v>8</v>
      </c>
      <c r="E5178" s="39" t="s">
        <v>14671</v>
      </c>
      <c r="F5178" s="16" t="s">
        <v>1285</v>
      </c>
      <c r="G5178" s="16" t="s">
        <v>1063</v>
      </c>
      <c r="H5178" s="16" t="s">
        <v>14297</v>
      </c>
      <c r="I5178" s="16" t="s">
        <v>136</v>
      </c>
      <c r="J5178" s="16" t="s">
        <v>15798</v>
      </c>
      <c r="K5178" s="32" t="n">
        <v>50</v>
      </c>
      <c r="L5178" s="33" t="n">
        <v>46541</v>
      </c>
      <c r="M5178" s="33" t="n">
        <v>46590</v>
      </c>
      <c r="N5178" s="16" t="s">
        <v>15522</v>
      </c>
      <c r="O5178" s="16" t="s">
        <v>1299</v>
      </c>
      <c r="P5178" s="16" t="str">
        <f aca="false">IF(AND(L5178&lt;=$D$2,M5178&gt;=$C$2),"Sí","")</f>
        <v/>
      </c>
      <c r="Q5178" s="18" t="str">
        <f aca="false">IF(COUNTIF(LOOKAHEAD!$A$5:$A$604,A5178)&gt;0,"En Lookahead",IF(P5178="Sí","INCORPORAR",""))</f>
        <v/>
      </c>
    </row>
    <row r="5179" customFormat="false" ht="15" hidden="false" customHeight="false" outlineLevel="0" collapsed="false">
      <c r="A5179" s="16" t="s">
        <v>15815</v>
      </c>
      <c r="B5179" s="16" t="n">
        <v>5174</v>
      </c>
      <c r="C5179" s="16" t="s">
        <v>15816</v>
      </c>
      <c r="D5179" s="16" t="n">
        <v>8</v>
      </c>
      <c r="E5179" s="39" t="s">
        <v>14381</v>
      </c>
      <c r="F5179" s="16" t="s">
        <v>1285</v>
      </c>
      <c r="G5179" s="16" t="s">
        <v>1063</v>
      </c>
      <c r="H5179" s="16" t="s">
        <v>14297</v>
      </c>
      <c r="I5179" s="16" t="s">
        <v>136</v>
      </c>
      <c r="J5179" s="16" t="s">
        <v>15798</v>
      </c>
      <c r="K5179" s="32" t="n">
        <v>50</v>
      </c>
      <c r="L5179" s="33" t="n">
        <v>46541</v>
      </c>
      <c r="M5179" s="33" t="n">
        <v>46590</v>
      </c>
      <c r="N5179" s="16" t="s">
        <v>15522</v>
      </c>
      <c r="O5179" s="16" t="s">
        <v>1299</v>
      </c>
      <c r="P5179" s="16" t="str">
        <f aca="false">IF(AND(L5179&lt;=$D$2,M5179&gt;=$C$2),"Sí","")</f>
        <v/>
      </c>
      <c r="Q5179" s="18" t="str">
        <f aca="false">IF(COUNTIF(LOOKAHEAD!$A$5:$A$604,A5179)&gt;0,"En Lookahead",IF(P5179="Sí","INCORPORAR",""))</f>
        <v/>
      </c>
    </row>
    <row r="5180" customFormat="false" ht="15" hidden="false" customHeight="false" outlineLevel="0" collapsed="false">
      <c r="A5180" s="13" t="s">
        <v>15817</v>
      </c>
      <c r="B5180" s="13" t="n">
        <v>5175</v>
      </c>
      <c r="C5180" s="13" t="s">
        <v>15818</v>
      </c>
      <c r="D5180" s="13" t="n">
        <v>7</v>
      </c>
      <c r="E5180" s="38" t="s">
        <v>15819</v>
      </c>
      <c r="F5180" s="13" t="s">
        <v>1298</v>
      </c>
      <c r="G5180" s="13" t="s">
        <v>1063</v>
      </c>
      <c r="H5180" s="13" t="s">
        <v>14297</v>
      </c>
      <c r="I5180" s="13" t="s">
        <v>136</v>
      </c>
      <c r="J5180" s="13" t="s">
        <v>14471</v>
      </c>
      <c r="K5180" s="30" t="n">
        <v>50</v>
      </c>
      <c r="L5180" s="31" t="n">
        <v>46541</v>
      </c>
      <c r="M5180" s="31" t="n">
        <v>46590</v>
      </c>
      <c r="N5180" s="13"/>
      <c r="O5180" s="13" t="s">
        <v>1299</v>
      </c>
      <c r="P5180" s="13"/>
      <c r="Q5180" s="13"/>
    </row>
    <row r="5181" customFormat="false" ht="15" hidden="false" customHeight="false" outlineLevel="0" collapsed="false">
      <c r="A5181" s="16" t="s">
        <v>15820</v>
      </c>
      <c r="B5181" s="16" t="n">
        <v>5176</v>
      </c>
      <c r="C5181" s="16" t="s">
        <v>15821</v>
      </c>
      <c r="D5181" s="16" t="n">
        <v>8</v>
      </c>
      <c r="E5181" s="39" t="s">
        <v>14308</v>
      </c>
      <c r="F5181" s="16" t="s">
        <v>1285</v>
      </c>
      <c r="G5181" s="16" t="s">
        <v>1063</v>
      </c>
      <c r="H5181" s="16" t="s">
        <v>14297</v>
      </c>
      <c r="I5181" s="16" t="s">
        <v>136</v>
      </c>
      <c r="J5181" s="16" t="s">
        <v>15819</v>
      </c>
      <c r="K5181" s="32" t="n">
        <v>50</v>
      </c>
      <c r="L5181" s="33" t="n">
        <v>46541</v>
      </c>
      <c r="M5181" s="33" t="n">
        <v>46590</v>
      </c>
      <c r="N5181" s="16" t="s">
        <v>15522</v>
      </c>
      <c r="O5181" s="16" t="s">
        <v>1299</v>
      </c>
      <c r="P5181" s="16" t="str">
        <f aca="false">IF(AND(L5181&lt;=$D$2,M5181&gt;=$C$2),"Sí","")</f>
        <v/>
      </c>
      <c r="Q5181" s="18" t="str">
        <f aca="false">IF(COUNTIF(LOOKAHEAD!$A$5:$A$604,A5181)&gt;0,"En Lookahead",IF(P5181="Sí","INCORPORAR",""))</f>
        <v/>
      </c>
    </row>
    <row r="5182" customFormat="false" ht="15" hidden="false" customHeight="false" outlineLevel="0" collapsed="false">
      <c r="A5182" s="16" t="s">
        <v>15822</v>
      </c>
      <c r="B5182" s="16" t="n">
        <v>5177</v>
      </c>
      <c r="C5182" s="16" t="s">
        <v>15823</v>
      </c>
      <c r="D5182" s="16" t="n">
        <v>8</v>
      </c>
      <c r="E5182" s="39" t="s">
        <v>14392</v>
      </c>
      <c r="F5182" s="16" t="s">
        <v>1285</v>
      </c>
      <c r="G5182" s="16" t="s">
        <v>1063</v>
      </c>
      <c r="H5182" s="16" t="s">
        <v>14297</v>
      </c>
      <c r="I5182" s="16" t="s">
        <v>136</v>
      </c>
      <c r="J5182" s="16" t="s">
        <v>15819</v>
      </c>
      <c r="K5182" s="32" t="n">
        <v>50</v>
      </c>
      <c r="L5182" s="33" t="n">
        <v>46541</v>
      </c>
      <c r="M5182" s="33" t="n">
        <v>46590</v>
      </c>
      <c r="N5182" s="16" t="s">
        <v>15522</v>
      </c>
      <c r="O5182" s="16" t="s">
        <v>1299</v>
      </c>
      <c r="P5182" s="16" t="str">
        <f aca="false">IF(AND(L5182&lt;=$D$2,M5182&gt;=$C$2),"Sí","")</f>
        <v/>
      </c>
      <c r="Q5182" s="18" t="str">
        <f aca="false">IF(COUNTIF(LOOKAHEAD!$A$5:$A$604,A5182)&gt;0,"En Lookahead",IF(P5182="Sí","INCORPORAR",""))</f>
        <v/>
      </c>
    </row>
    <row r="5183" customFormat="false" ht="15" hidden="false" customHeight="false" outlineLevel="0" collapsed="false">
      <c r="A5183" s="16" t="s">
        <v>15824</v>
      </c>
      <c r="B5183" s="16" t="n">
        <v>5178</v>
      </c>
      <c r="C5183" s="16" t="s">
        <v>15825</v>
      </c>
      <c r="D5183" s="16" t="n">
        <v>8</v>
      </c>
      <c r="E5183" s="39" t="s">
        <v>14337</v>
      </c>
      <c r="F5183" s="16" t="s">
        <v>1285</v>
      </c>
      <c r="G5183" s="16" t="s">
        <v>1063</v>
      </c>
      <c r="H5183" s="16" t="s">
        <v>14297</v>
      </c>
      <c r="I5183" s="16" t="s">
        <v>136</v>
      </c>
      <c r="J5183" s="16" t="s">
        <v>15819</v>
      </c>
      <c r="K5183" s="32" t="n">
        <v>50</v>
      </c>
      <c r="L5183" s="33" t="n">
        <v>46541</v>
      </c>
      <c r="M5183" s="33" t="n">
        <v>46590</v>
      </c>
      <c r="N5183" s="16" t="s">
        <v>15522</v>
      </c>
      <c r="O5183" s="16" t="s">
        <v>1299</v>
      </c>
      <c r="P5183" s="16" t="str">
        <f aca="false">IF(AND(L5183&lt;=$D$2,M5183&gt;=$C$2),"Sí","")</f>
        <v/>
      </c>
      <c r="Q5183" s="18" t="str">
        <f aca="false">IF(COUNTIF(LOOKAHEAD!$A$5:$A$604,A5183)&gt;0,"En Lookahead",IF(P5183="Sí","INCORPORAR",""))</f>
        <v/>
      </c>
    </row>
    <row r="5184" customFormat="false" ht="15" hidden="false" customHeight="false" outlineLevel="0" collapsed="false">
      <c r="A5184" s="16" t="s">
        <v>15826</v>
      </c>
      <c r="B5184" s="16" t="n">
        <v>5179</v>
      </c>
      <c r="C5184" s="16" t="s">
        <v>15827</v>
      </c>
      <c r="D5184" s="16" t="n">
        <v>8</v>
      </c>
      <c r="E5184" s="39" t="s">
        <v>14484</v>
      </c>
      <c r="F5184" s="16" t="s">
        <v>1285</v>
      </c>
      <c r="G5184" s="16" t="s">
        <v>1063</v>
      </c>
      <c r="H5184" s="16" t="s">
        <v>14297</v>
      </c>
      <c r="I5184" s="16" t="s">
        <v>136</v>
      </c>
      <c r="J5184" s="16" t="s">
        <v>15819</v>
      </c>
      <c r="K5184" s="32" t="n">
        <v>50</v>
      </c>
      <c r="L5184" s="33" t="n">
        <v>46541</v>
      </c>
      <c r="M5184" s="33" t="n">
        <v>46590</v>
      </c>
      <c r="N5184" s="16" t="s">
        <v>15522</v>
      </c>
      <c r="O5184" s="16" t="s">
        <v>1299</v>
      </c>
      <c r="P5184" s="16" t="str">
        <f aca="false">IF(AND(L5184&lt;=$D$2,M5184&gt;=$C$2),"Sí","")</f>
        <v/>
      </c>
      <c r="Q5184" s="18" t="str">
        <f aca="false">IF(COUNTIF(LOOKAHEAD!$A$5:$A$604,A5184)&gt;0,"En Lookahead",IF(P5184="Sí","INCORPORAR",""))</f>
        <v/>
      </c>
    </row>
    <row r="5185" customFormat="false" ht="15" hidden="false" customHeight="false" outlineLevel="0" collapsed="false">
      <c r="A5185" s="16" t="s">
        <v>15828</v>
      </c>
      <c r="B5185" s="16" t="n">
        <v>5180</v>
      </c>
      <c r="C5185" s="16" t="s">
        <v>15829</v>
      </c>
      <c r="D5185" s="16" t="n">
        <v>8</v>
      </c>
      <c r="E5185" s="39" t="s">
        <v>14316</v>
      </c>
      <c r="F5185" s="16" t="s">
        <v>1285</v>
      </c>
      <c r="G5185" s="16" t="s">
        <v>1063</v>
      </c>
      <c r="H5185" s="16" t="s">
        <v>14297</v>
      </c>
      <c r="I5185" s="16" t="s">
        <v>136</v>
      </c>
      <c r="J5185" s="16" t="s">
        <v>15819</v>
      </c>
      <c r="K5185" s="32" t="n">
        <v>50</v>
      </c>
      <c r="L5185" s="33" t="n">
        <v>46541</v>
      </c>
      <c r="M5185" s="33" t="n">
        <v>46590</v>
      </c>
      <c r="N5185" s="16" t="s">
        <v>15522</v>
      </c>
      <c r="O5185" s="16" t="s">
        <v>1299</v>
      </c>
      <c r="P5185" s="16" t="str">
        <f aca="false">IF(AND(L5185&lt;=$D$2,M5185&gt;=$C$2),"Sí","")</f>
        <v/>
      </c>
      <c r="Q5185" s="18" t="str">
        <f aca="false">IF(COUNTIF(LOOKAHEAD!$A$5:$A$604,A5185)&gt;0,"En Lookahead",IF(P5185="Sí","INCORPORAR",""))</f>
        <v/>
      </c>
    </row>
    <row r="5186" customFormat="false" ht="15" hidden="false" customHeight="false" outlineLevel="0" collapsed="false">
      <c r="A5186" s="16" t="s">
        <v>15830</v>
      </c>
      <c r="B5186" s="16" t="n">
        <v>5181</v>
      </c>
      <c r="C5186" s="16" t="s">
        <v>15831</v>
      </c>
      <c r="D5186" s="16" t="n">
        <v>8</v>
      </c>
      <c r="E5186" s="39" t="s">
        <v>14319</v>
      </c>
      <c r="F5186" s="16" t="s">
        <v>1285</v>
      </c>
      <c r="G5186" s="16" t="s">
        <v>1063</v>
      </c>
      <c r="H5186" s="16" t="s">
        <v>14297</v>
      </c>
      <c r="I5186" s="16" t="s">
        <v>136</v>
      </c>
      <c r="J5186" s="16" t="s">
        <v>15819</v>
      </c>
      <c r="K5186" s="32" t="n">
        <v>50</v>
      </c>
      <c r="L5186" s="33" t="n">
        <v>46541</v>
      </c>
      <c r="M5186" s="33" t="n">
        <v>46590</v>
      </c>
      <c r="N5186" s="16" t="s">
        <v>15522</v>
      </c>
      <c r="O5186" s="16" t="s">
        <v>1299</v>
      </c>
      <c r="P5186" s="16" t="str">
        <f aca="false">IF(AND(L5186&lt;=$D$2,M5186&gt;=$C$2),"Sí","")</f>
        <v/>
      </c>
      <c r="Q5186" s="18" t="str">
        <f aca="false">IF(COUNTIF(LOOKAHEAD!$A$5:$A$604,A5186)&gt;0,"En Lookahead",IF(P5186="Sí","INCORPORAR",""))</f>
        <v/>
      </c>
    </row>
    <row r="5187" customFormat="false" ht="15" hidden="false" customHeight="false" outlineLevel="0" collapsed="false">
      <c r="A5187" s="16" t="s">
        <v>15832</v>
      </c>
      <c r="B5187" s="16" t="n">
        <v>5182</v>
      </c>
      <c r="C5187" s="16" t="s">
        <v>15833</v>
      </c>
      <c r="D5187" s="16" t="n">
        <v>8</v>
      </c>
      <c r="E5187" s="39" t="s">
        <v>14322</v>
      </c>
      <c r="F5187" s="16" t="s">
        <v>1285</v>
      </c>
      <c r="G5187" s="16" t="s">
        <v>1063</v>
      </c>
      <c r="H5187" s="16" t="s">
        <v>14297</v>
      </c>
      <c r="I5187" s="16" t="s">
        <v>136</v>
      </c>
      <c r="J5187" s="16" t="s">
        <v>15819</v>
      </c>
      <c r="K5187" s="32" t="n">
        <v>50</v>
      </c>
      <c r="L5187" s="33" t="n">
        <v>46541</v>
      </c>
      <c r="M5187" s="33" t="n">
        <v>46590</v>
      </c>
      <c r="N5187" s="16" t="s">
        <v>15522</v>
      </c>
      <c r="O5187" s="16" t="s">
        <v>1299</v>
      </c>
      <c r="P5187" s="16" t="str">
        <f aca="false">IF(AND(L5187&lt;=$D$2,M5187&gt;=$C$2),"Sí","")</f>
        <v/>
      </c>
      <c r="Q5187" s="18" t="str">
        <f aca="false">IF(COUNTIF(LOOKAHEAD!$A$5:$A$604,A5187)&gt;0,"En Lookahead",IF(P5187="Sí","INCORPORAR",""))</f>
        <v/>
      </c>
    </row>
    <row r="5188" customFormat="false" ht="15" hidden="false" customHeight="false" outlineLevel="0" collapsed="false">
      <c r="A5188" s="16" t="s">
        <v>15834</v>
      </c>
      <c r="B5188" s="16" t="n">
        <v>5183</v>
      </c>
      <c r="C5188" s="16" t="s">
        <v>15835</v>
      </c>
      <c r="D5188" s="16" t="n">
        <v>8</v>
      </c>
      <c r="E5188" s="39" t="s">
        <v>14378</v>
      </c>
      <c r="F5188" s="16" t="s">
        <v>1285</v>
      </c>
      <c r="G5188" s="16" t="s">
        <v>1063</v>
      </c>
      <c r="H5188" s="16" t="s">
        <v>14297</v>
      </c>
      <c r="I5188" s="16" t="s">
        <v>136</v>
      </c>
      <c r="J5188" s="16" t="s">
        <v>15819</v>
      </c>
      <c r="K5188" s="32" t="n">
        <v>50</v>
      </c>
      <c r="L5188" s="33" t="n">
        <v>46541</v>
      </c>
      <c r="M5188" s="33" t="n">
        <v>46590</v>
      </c>
      <c r="N5188" s="16" t="s">
        <v>15522</v>
      </c>
      <c r="O5188" s="16" t="s">
        <v>1299</v>
      </c>
      <c r="P5188" s="16" t="str">
        <f aca="false">IF(AND(L5188&lt;=$D$2,M5188&gt;=$C$2),"Sí","")</f>
        <v/>
      </c>
      <c r="Q5188" s="18" t="str">
        <f aca="false">IF(COUNTIF(LOOKAHEAD!$A$5:$A$604,A5188)&gt;0,"En Lookahead",IF(P5188="Sí","INCORPORAR",""))</f>
        <v/>
      </c>
    </row>
    <row r="5189" customFormat="false" ht="15" hidden="false" customHeight="false" outlineLevel="0" collapsed="false">
      <c r="A5189" s="16" t="s">
        <v>15836</v>
      </c>
      <c r="B5189" s="16" t="n">
        <v>5184</v>
      </c>
      <c r="C5189" s="16" t="s">
        <v>15837</v>
      </c>
      <c r="D5189" s="16" t="n">
        <v>8</v>
      </c>
      <c r="E5189" s="39" t="s">
        <v>14381</v>
      </c>
      <c r="F5189" s="16" t="s">
        <v>1285</v>
      </c>
      <c r="G5189" s="16" t="s">
        <v>1063</v>
      </c>
      <c r="H5189" s="16" t="s">
        <v>14297</v>
      </c>
      <c r="I5189" s="16" t="s">
        <v>136</v>
      </c>
      <c r="J5189" s="16" t="s">
        <v>15819</v>
      </c>
      <c r="K5189" s="32" t="n">
        <v>50</v>
      </c>
      <c r="L5189" s="33" t="n">
        <v>46541</v>
      </c>
      <c r="M5189" s="33" t="n">
        <v>46590</v>
      </c>
      <c r="N5189" s="16" t="s">
        <v>15522</v>
      </c>
      <c r="O5189" s="16" t="s">
        <v>1299</v>
      </c>
      <c r="P5189" s="16" t="str">
        <f aca="false">IF(AND(L5189&lt;=$D$2,M5189&gt;=$C$2),"Sí","")</f>
        <v/>
      </c>
      <c r="Q5189" s="18" t="str">
        <f aca="false">IF(COUNTIF(LOOKAHEAD!$A$5:$A$604,A5189)&gt;0,"En Lookahead",IF(P5189="Sí","INCORPORAR",""))</f>
        <v/>
      </c>
    </row>
    <row r="5190" customFormat="false" ht="15" hidden="false" customHeight="false" outlineLevel="0" collapsed="false">
      <c r="A5190" s="13" t="s">
        <v>15838</v>
      </c>
      <c r="B5190" s="13" t="n">
        <v>5185</v>
      </c>
      <c r="C5190" s="13" t="s">
        <v>15839</v>
      </c>
      <c r="D5190" s="13" t="n">
        <v>7</v>
      </c>
      <c r="E5190" s="38" t="s">
        <v>15840</v>
      </c>
      <c r="F5190" s="13" t="s">
        <v>1298</v>
      </c>
      <c r="G5190" s="13" t="s">
        <v>1063</v>
      </c>
      <c r="H5190" s="13" t="s">
        <v>14297</v>
      </c>
      <c r="I5190" s="13" t="s">
        <v>136</v>
      </c>
      <c r="J5190" s="13" t="s">
        <v>14471</v>
      </c>
      <c r="K5190" s="30" t="n">
        <v>50</v>
      </c>
      <c r="L5190" s="31" t="n">
        <v>46541</v>
      </c>
      <c r="M5190" s="31" t="n">
        <v>46590</v>
      </c>
      <c r="N5190" s="13"/>
      <c r="O5190" s="13" t="s">
        <v>1299</v>
      </c>
      <c r="P5190" s="13"/>
      <c r="Q5190" s="13"/>
    </row>
    <row r="5191" customFormat="false" ht="15" hidden="false" customHeight="false" outlineLevel="0" collapsed="false">
      <c r="A5191" s="16" t="s">
        <v>15841</v>
      </c>
      <c r="B5191" s="16" t="n">
        <v>5186</v>
      </c>
      <c r="C5191" s="16" t="s">
        <v>15842</v>
      </c>
      <c r="D5191" s="16" t="n">
        <v>8</v>
      </c>
      <c r="E5191" s="39" t="s">
        <v>14308</v>
      </c>
      <c r="F5191" s="16" t="s">
        <v>1285</v>
      </c>
      <c r="G5191" s="16" t="s">
        <v>1063</v>
      </c>
      <c r="H5191" s="16" t="s">
        <v>14297</v>
      </c>
      <c r="I5191" s="16" t="s">
        <v>136</v>
      </c>
      <c r="J5191" s="16" t="s">
        <v>15840</v>
      </c>
      <c r="K5191" s="32" t="n">
        <v>50</v>
      </c>
      <c r="L5191" s="33" t="n">
        <v>46541</v>
      </c>
      <c r="M5191" s="33" t="n">
        <v>46590</v>
      </c>
      <c r="N5191" s="16" t="s">
        <v>15522</v>
      </c>
      <c r="O5191" s="16" t="s">
        <v>1299</v>
      </c>
      <c r="P5191" s="16" t="str">
        <f aca="false">IF(AND(L5191&lt;=$D$2,M5191&gt;=$C$2),"Sí","")</f>
        <v/>
      </c>
      <c r="Q5191" s="18" t="str">
        <f aca="false">IF(COUNTIF(LOOKAHEAD!$A$5:$A$604,A5191)&gt;0,"En Lookahead",IF(P5191="Sí","INCORPORAR",""))</f>
        <v/>
      </c>
    </row>
    <row r="5192" customFormat="false" ht="15" hidden="false" customHeight="false" outlineLevel="0" collapsed="false">
      <c r="A5192" s="16" t="s">
        <v>15843</v>
      </c>
      <c r="B5192" s="16" t="n">
        <v>5187</v>
      </c>
      <c r="C5192" s="16" t="s">
        <v>15844</v>
      </c>
      <c r="D5192" s="16" t="n">
        <v>8</v>
      </c>
      <c r="E5192" s="39" t="s">
        <v>14392</v>
      </c>
      <c r="F5192" s="16" t="s">
        <v>1285</v>
      </c>
      <c r="G5192" s="16" t="s">
        <v>1063</v>
      </c>
      <c r="H5192" s="16" t="s">
        <v>14297</v>
      </c>
      <c r="I5192" s="16" t="s">
        <v>136</v>
      </c>
      <c r="J5192" s="16" t="s">
        <v>15840</v>
      </c>
      <c r="K5192" s="32" t="n">
        <v>50</v>
      </c>
      <c r="L5192" s="33" t="n">
        <v>46541</v>
      </c>
      <c r="M5192" s="33" t="n">
        <v>46590</v>
      </c>
      <c r="N5192" s="16" t="s">
        <v>15522</v>
      </c>
      <c r="O5192" s="16" t="s">
        <v>1299</v>
      </c>
      <c r="P5192" s="16" t="str">
        <f aca="false">IF(AND(L5192&lt;=$D$2,M5192&gt;=$C$2),"Sí","")</f>
        <v/>
      </c>
      <c r="Q5192" s="18" t="str">
        <f aca="false">IF(COUNTIF(LOOKAHEAD!$A$5:$A$604,A5192)&gt;0,"En Lookahead",IF(P5192="Sí","INCORPORAR",""))</f>
        <v/>
      </c>
    </row>
    <row r="5193" customFormat="false" ht="15" hidden="false" customHeight="false" outlineLevel="0" collapsed="false">
      <c r="A5193" s="16" t="s">
        <v>15845</v>
      </c>
      <c r="B5193" s="16" t="n">
        <v>5188</v>
      </c>
      <c r="C5193" s="16" t="s">
        <v>15846</v>
      </c>
      <c r="D5193" s="16" t="n">
        <v>8</v>
      </c>
      <c r="E5193" s="39" t="s">
        <v>14337</v>
      </c>
      <c r="F5193" s="16" t="s">
        <v>1285</v>
      </c>
      <c r="G5193" s="16" t="s">
        <v>1063</v>
      </c>
      <c r="H5193" s="16" t="s">
        <v>14297</v>
      </c>
      <c r="I5193" s="16" t="s">
        <v>136</v>
      </c>
      <c r="J5193" s="16" t="s">
        <v>15840</v>
      </c>
      <c r="K5193" s="32" t="n">
        <v>50</v>
      </c>
      <c r="L5193" s="33" t="n">
        <v>46541</v>
      </c>
      <c r="M5193" s="33" t="n">
        <v>46590</v>
      </c>
      <c r="N5193" s="16" t="s">
        <v>15522</v>
      </c>
      <c r="O5193" s="16" t="s">
        <v>1299</v>
      </c>
      <c r="P5193" s="16" t="str">
        <f aca="false">IF(AND(L5193&lt;=$D$2,M5193&gt;=$C$2),"Sí","")</f>
        <v/>
      </c>
      <c r="Q5193" s="18" t="str">
        <f aca="false">IF(COUNTIF(LOOKAHEAD!$A$5:$A$604,A5193)&gt;0,"En Lookahead",IF(P5193="Sí","INCORPORAR",""))</f>
        <v/>
      </c>
    </row>
    <row r="5194" customFormat="false" ht="15" hidden="false" customHeight="false" outlineLevel="0" collapsed="false">
      <c r="A5194" s="16" t="s">
        <v>15847</v>
      </c>
      <c r="B5194" s="16" t="n">
        <v>5189</v>
      </c>
      <c r="C5194" s="16" t="s">
        <v>15848</v>
      </c>
      <c r="D5194" s="16" t="n">
        <v>8</v>
      </c>
      <c r="E5194" s="39" t="s">
        <v>14484</v>
      </c>
      <c r="F5194" s="16" t="s">
        <v>1285</v>
      </c>
      <c r="G5194" s="16" t="s">
        <v>1063</v>
      </c>
      <c r="H5194" s="16" t="s">
        <v>14297</v>
      </c>
      <c r="I5194" s="16" t="s">
        <v>136</v>
      </c>
      <c r="J5194" s="16" t="s">
        <v>15840</v>
      </c>
      <c r="K5194" s="32" t="n">
        <v>50</v>
      </c>
      <c r="L5194" s="33" t="n">
        <v>46541</v>
      </c>
      <c r="M5194" s="33" t="n">
        <v>46590</v>
      </c>
      <c r="N5194" s="16" t="s">
        <v>15522</v>
      </c>
      <c r="O5194" s="16" t="s">
        <v>1299</v>
      </c>
      <c r="P5194" s="16" t="str">
        <f aca="false">IF(AND(L5194&lt;=$D$2,M5194&gt;=$C$2),"Sí","")</f>
        <v/>
      </c>
      <c r="Q5194" s="18" t="str">
        <f aca="false">IF(COUNTIF(LOOKAHEAD!$A$5:$A$604,A5194)&gt;0,"En Lookahead",IF(P5194="Sí","INCORPORAR",""))</f>
        <v/>
      </c>
    </row>
    <row r="5195" customFormat="false" ht="15" hidden="false" customHeight="false" outlineLevel="0" collapsed="false">
      <c r="A5195" s="16" t="s">
        <v>15849</v>
      </c>
      <c r="B5195" s="16" t="n">
        <v>5190</v>
      </c>
      <c r="C5195" s="16" t="s">
        <v>15850</v>
      </c>
      <c r="D5195" s="16" t="n">
        <v>8</v>
      </c>
      <c r="E5195" s="39" t="s">
        <v>14316</v>
      </c>
      <c r="F5195" s="16" t="s">
        <v>1285</v>
      </c>
      <c r="G5195" s="16" t="s">
        <v>1063</v>
      </c>
      <c r="H5195" s="16" t="s">
        <v>14297</v>
      </c>
      <c r="I5195" s="16" t="s">
        <v>136</v>
      </c>
      <c r="J5195" s="16" t="s">
        <v>15840</v>
      </c>
      <c r="K5195" s="32" t="n">
        <v>50</v>
      </c>
      <c r="L5195" s="33" t="n">
        <v>46541</v>
      </c>
      <c r="M5195" s="33" t="n">
        <v>46590</v>
      </c>
      <c r="N5195" s="16" t="s">
        <v>15522</v>
      </c>
      <c r="O5195" s="16" t="s">
        <v>1299</v>
      </c>
      <c r="P5195" s="16" t="str">
        <f aca="false">IF(AND(L5195&lt;=$D$2,M5195&gt;=$C$2),"Sí","")</f>
        <v/>
      </c>
      <c r="Q5195" s="18" t="str">
        <f aca="false">IF(COUNTIF(LOOKAHEAD!$A$5:$A$604,A5195)&gt;0,"En Lookahead",IF(P5195="Sí","INCORPORAR",""))</f>
        <v/>
      </c>
    </row>
    <row r="5196" customFormat="false" ht="15" hidden="false" customHeight="false" outlineLevel="0" collapsed="false">
      <c r="A5196" s="16" t="s">
        <v>15851</v>
      </c>
      <c r="B5196" s="16" t="n">
        <v>5191</v>
      </c>
      <c r="C5196" s="16" t="s">
        <v>15852</v>
      </c>
      <c r="D5196" s="16" t="n">
        <v>8</v>
      </c>
      <c r="E5196" s="39" t="s">
        <v>14319</v>
      </c>
      <c r="F5196" s="16" t="s">
        <v>1285</v>
      </c>
      <c r="G5196" s="16" t="s">
        <v>1063</v>
      </c>
      <c r="H5196" s="16" t="s">
        <v>14297</v>
      </c>
      <c r="I5196" s="16" t="s">
        <v>136</v>
      </c>
      <c r="J5196" s="16" t="s">
        <v>15840</v>
      </c>
      <c r="K5196" s="32" t="n">
        <v>50</v>
      </c>
      <c r="L5196" s="33" t="n">
        <v>46541</v>
      </c>
      <c r="M5196" s="33" t="n">
        <v>46590</v>
      </c>
      <c r="N5196" s="16" t="s">
        <v>15522</v>
      </c>
      <c r="O5196" s="16" t="s">
        <v>1299</v>
      </c>
      <c r="P5196" s="16" t="str">
        <f aca="false">IF(AND(L5196&lt;=$D$2,M5196&gt;=$C$2),"Sí","")</f>
        <v/>
      </c>
      <c r="Q5196" s="18" t="str">
        <f aca="false">IF(COUNTIF(LOOKAHEAD!$A$5:$A$604,A5196)&gt;0,"En Lookahead",IF(P5196="Sí","INCORPORAR",""))</f>
        <v/>
      </c>
    </row>
    <row r="5197" customFormat="false" ht="15" hidden="false" customHeight="false" outlineLevel="0" collapsed="false">
      <c r="A5197" s="16" t="s">
        <v>15853</v>
      </c>
      <c r="B5197" s="16" t="n">
        <v>5192</v>
      </c>
      <c r="C5197" s="16" t="s">
        <v>15854</v>
      </c>
      <c r="D5197" s="16" t="n">
        <v>8</v>
      </c>
      <c r="E5197" s="39" t="s">
        <v>14322</v>
      </c>
      <c r="F5197" s="16" t="s">
        <v>1285</v>
      </c>
      <c r="G5197" s="16" t="s">
        <v>1063</v>
      </c>
      <c r="H5197" s="16" t="s">
        <v>14297</v>
      </c>
      <c r="I5197" s="16" t="s">
        <v>136</v>
      </c>
      <c r="J5197" s="16" t="s">
        <v>15840</v>
      </c>
      <c r="K5197" s="32" t="n">
        <v>50</v>
      </c>
      <c r="L5197" s="33" t="n">
        <v>46541</v>
      </c>
      <c r="M5197" s="33" t="n">
        <v>46590</v>
      </c>
      <c r="N5197" s="16" t="s">
        <v>15522</v>
      </c>
      <c r="O5197" s="16" t="s">
        <v>1299</v>
      </c>
      <c r="P5197" s="16" t="str">
        <f aca="false">IF(AND(L5197&lt;=$D$2,M5197&gt;=$C$2),"Sí","")</f>
        <v/>
      </c>
      <c r="Q5197" s="18" t="str">
        <f aca="false">IF(COUNTIF(LOOKAHEAD!$A$5:$A$604,A5197)&gt;0,"En Lookahead",IF(P5197="Sí","INCORPORAR",""))</f>
        <v/>
      </c>
    </row>
    <row r="5198" customFormat="false" ht="15" hidden="false" customHeight="false" outlineLevel="0" collapsed="false">
      <c r="A5198" s="16" t="s">
        <v>15855</v>
      </c>
      <c r="B5198" s="16" t="n">
        <v>5193</v>
      </c>
      <c r="C5198" s="16" t="s">
        <v>15856</v>
      </c>
      <c r="D5198" s="16" t="n">
        <v>8</v>
      </c>
      <c r="E5198" s="39" t="s">
        <v>14671</v>
      </c>
      <c r="F5198" s="16" t="s">
        <v>1285</v>
      </c>
      <c r="G5198" s="16" t="s">
        <v>1063</v>
      </c>
      <c r="H5198" s="16" t="s">
        <v>14297</v>
      </c>
      <c r="I5198" s="16" t="s">
        <v>136</v>
      </c>
      <c r="J5198" s="16" t="s">
        <v>15840</v>
      </c>
      <c r="K5198" s="32" t="n">
        <v>50</v>
      </c>
      <c r="L5198" s="33" t="n">
        <v>46541</v>
      </c>
      <c r="M5198" s="33" t="n">
        <v>46590</v>
      </c>
      <c r="N5198" s="16" t="s">
        <v>15522</v>
      </c>
      <c r="O5198" s="16" t="s">
        <v>1299</v>
      </c>
      <c r="P5198" s="16" t="str">
        <f aca="false">IF(AND(L5198&lt;=$D$2,M5198&gt;=$C$2),"Sí","")</f>
        <v/>
      </c>
      <c r="Q5198" s="18" t="str">
        <f aca="false">IF(COUNTIF(LOOKAHEAD!$A$5:$A$604,A5198)&gt;0,"En Lookahead",IF(P5198="Sí","INCORPORAR",""))</f>
        <v/>
      </c>
    </row>
    <row r="5199" customFormat="false" ht="15" hidden="false" customHeight="false" outlineLevel="0" collapsed="false">
      <c r="A5199" s="16" t="s">
        <v>15857</v>
      </c>
      <c r="B5199" s="16" t="n">
        <v>5194</v>
      </c>
      <c r="C5199" s="16" t="s">
        <v>15858</v>
      </c>
      <c r="D5199" s="16" t="n">
        <v>8</v>
      </c>
      <c r="E5199" s="39" t="s">
        <v>14381</v>
      </c>
      <c r="F5199" s="16" t="s">
        <v>1285</v>
      </c>
      <c r="G5199" s="16" t="s">
        <v>1063</v>
      </c>
      <c r="H5199" s="16" t="s">
        <v>14297</v>
      </c>
      <c r="I5199" s="16" t="s">
        <v>136</v>
      </c>
      <c r="J5199" s="16" t="s">
        <v>15840</v>
      </c>
      <c r="K5199" s="32" t="n">
        <v>50</v>
      </c>
      <c r="L5199" s="33" t="n">
        <v>46541</v>
      </c>
      <c r="M5199" s="33" t="n">
        <v>46590</v>
      </c>
      <c r="N5199" s="16" t="s">
        <v>15522</v>
      </c>
      <c r="O5199" s="16" t="s">
        <v>1299</v>
      </c>
      <c r="P5199" s="16" t="str">
        <f aca="false">IF(AND(L5199&lt;=$D$2,M5199&gt;=$C$2),"Sí","")</f>
        <v/>
      </c>
      <c r="Q5199" s="18" t="str">
        <f aca="false">IF(COUNTIF(LOOKAHEAD!$A$5:$A$604,A5199)&gt;0,"En Lookahead",IF(P5199="Sí","INCORPORAR",""))</f>
        <v/>
      </c>
    </row>
    <row r="5200" customFormat="false" ht="15" hidden="false" customHeight="false" outlineLevel="0" collapsed="false">
      <c r="A5200" s="13" t="s">
        <v>15859</v>
      </c>
      <c r="B5200" s="13" t="n">
        <v>5195</v>
      </c>
      <c r="C5200" s="13" t="s">
        <v>15860</v>
      </c>
      <c r="D5200" s="13" t="n">
        <v>7</v>
      </c>
      <c r="E5200" s="38" t="s">
        <v>15861</v>
      </c>
      <c r="F5200" s="13" t="s">
        <v>1298</v>
      </c>
      <c r="G5200" s="13" t="s">
        <v>1063</v>
      </c>
      <c r="H5200" s="13" t="s">
        <v>14297</v>
      </c>
      <c r="I5200" s="13" t="s">
        <v>136</v>
      </c>
      <c r="J5200" s="13" t="s">
        <v>14471</v>
      </c>
      <c r="K5200" s="30" t="n">
        <v>50</v>
      </c>
      <c r="L5200" s="31" t="n">
        <v>46541</v>
      </c>
      <c r="M5200" s="31" t="n">
        <v>46590</v>
      </c>
      <c r="N5200" s="13"/>
      <c r="O5200" s="13" t="s">
        <v>1299</v>
      </c>
      <c r="P5200" s="13"/>
      <c r="Q5200" s="13"/>
    </row>
    <row r="5201" customFormat="false" ht="15" hidden="false" customHeight="false" outlineLevel="0" collapsed="false">
      <c r="A5201" s="16" t="s">
        <v>15862</v>
      </c>
      <c r="B5201" s="16" t="n">
        <v>5196</v>
      </c>
      <c r="C5201" s="16" t="s">
        <v>15863</v>
      </c>
      <c r="D5201" s="16" t="n">
        <v>8</v>
      </c>
      <c r="E5201" s="39" t="s">
        <v>9913</v>
      </c>
      <c r="F5201" s="16" t="s">
        <v>1285</v>
      </c>
      <c r="G5201" s="16" t="s">
        <v>1063</v>
      </c>
      <c r="H5201" s="16" t="s">
        <v>14297</v>
      </c>
      <c r="I5201" s="16" t="s">
        <v>136</v>
      </c>
      <c r="J5201" s="16" t="s">
        <v>15861</v>
      </c>
      <c r="K5201" s="32" t="n">
        <v>50</v>
      </c>
      <c r="L5201" s="33" t="n">
        <v>46541</v>
      </c>
      <c r="M5201" s="33" t="n">
        <v>46590</v>
      </c>
      <c r="N5201" s="16" t="s">
        <v>15522</v>
      </c>
      <c r="O5201" s="16" t="s">
        <v>1299</v>
      </c>
      <c r="P5201" s="16" t="str">
        <f aca="false">IF(AND(L5201&lt;=$D$2,M5201&gt;=$C$2),"Sí","")</f>
        <v/>
      </c>
      <c r="Q5201" s="18" t="str">
        <f aca="false">IF(COUNTIF(LOOKAHEAD!$A$5:$A$604,A5201)&gt;0,"En Lookahead",IF(P5201="Sí","INCORPORAR",""))</f>
        <v/>
      </c>
    </row>
    <row r="5202" customFormat="false" ht="15" hidden="false" customHeight="false" outlineLevel="0" collapsed="false">
      <c r="A5202" s="16" t="s">
        <v>15864</v>
      </c>
      <c r="B5202" s="16" t="n">
        <v>5197</v>
      </c>
      <c r="C5202" s="16" t="s">
        <v>15865</v>
      </c>
      <c r="D5202" s="16" t="n">
        <v>8</v>
      </c>
      <c r="E5202" s="39" t="s">
        <v>14392</v>
      </c>
      <c r="F5202" s="16" t="s">
        <v>1285</v>
      </c>
      <c r="G5202" s="16" t="s">
        <v>1063</v>
      </c>
      <c r="H5202" s="16" t="s">
        <v>14297</v>
      </c>
      <c r="I5202" s="16" t="s">
        <v>136</v>
      </c>
      <c r="J5202" s="16" t="s">
        <v>15861</v>
      </c>
      <c r="K5202" s="32" t="n">
        <v>50</v>
      </c>
      <c r="L5202" s="33" t="n">
        <v>46541</v>
      </c>
      <c r="M5202" s="33" t="n">
        <v>46590</v>
      </c>
      <c r="N5202" s="16" t="s">
        <v>15522</v>
      </c>
      <c r="O5202" s="16" t="s">
        <v>1299</v>
      </c>
      <c r="P5202" s="16" t="str">
        <f aca="false">IF(AND(L5202&lt;=$D$2,M5202&gt;=$C$2),"Sí","")</f>
        <v/>
      </c>
      <c r="Q5202" s="18" t="str">
        <f aca="false">IF(COUNTIF(LOOKAHEAD!$A$5:$A$604,A5202)&gt;0,"En Lookahead",IF(P5202="Sí","INCORPORAR",""))</f>
        <v/>
      </c>
    </row>
    <row r="5203" customFormat="false" ht="15" hidden="false" customHeight="false" outlineLevel="0" collapsed="false">
      <c r="A5203" s="16" t="s">
        <v>15866</v>
      </c>
      <c r="B5203" s="16" t="n">
        <v>5198</v>
      </c>
      <c r="C5203" s="16" t="s">
        <v>15867</v>
      </c>
      <c r="D5203" s="16" t="n">
        <v>8</v>
      </c>
      <c r="E5203" s="39" t="s">
        <v>14337</v>
      </c>
      <c r="F5203" s="16" t="s">
        <v>1285</v>
      </c>
      <c r="G5203" s="16" t="s">
        <v>1063</v>
      </c>
      <c r="H5203" s="16" t="s">
        <v>14297</v>
      </c>
      <c r="I5203" s="16" t="s">
        <v>136</v>
      </c>
      <c r="J5203" s="16" t="s">
        <v>15861</v>
      </c>
      <c r="K5203" s="32" t="n">
        <v>50</v>
      </c>
      <c r="L5203" s="33" t="n">
        <v>46541</v>
      </c>
      <c r="M5203" s="33" t="n">
        <v>46590</v>
      </c>
      <c r="N5203" s="16" t="s">
        <v>15522</v>
      </c>
      <c r="O5203" s="16" t="s">
        <v>1299</v>
      </c>
      <c r="P5203" s="16" t="str">
        <f aca="false">IF(AND(L5203&lt;=$D$2,M5203&gt;=$C$2),"Sí","")</f>
        <v/>
      </c>
      <c r="Q5203" s="18" t="str">
        <f aca="false">IF(COUNTIF(LOOKAHEAD!$A$5:$A$604,A5203)&gt;0,"En Lookahead",IF(P5203="Sí","INCORPORAR",""))</f>
        <v/>
      </c>
    </row>
    <row r="5204" customFormat="false" ht="15" hidden="false" customHeight="false" outlineLevel="0" collapsed="false">
      <c r="A5204" s="16" t="s">
        <v>15868</v>
      </c>
      <c r="B5204" s="16" t="n">
        <v>5199</v>
      </c>
      <c r="C5204" s="16" t="s">
        <v>15869</v>
      </c>
      <c r="D5204" s="16" t="n">
        <v>8</v>
      </c>
      <c r="E5204" s="39" t="s">
        <v>14484</v>
      </c>
      <c r="F5204" s="16" t="s">
        <v>1285</v>
      </c>
      <c r="G5204" s="16" t="s">
        <v>1063</v>
      </c>
      <c r="H5204" s="16" t="s">
        <v>14297</v>
      </c>
      <c r="I5204" s="16" t="s">
        <v>136</v>
      </c>
      <c r="J5204" s="16" t="s">
        <v>15861</v>
      </c>
      <c r="K5204" s="32" t="n">
        <v>50</v>
      </c>
      <c r="L5204" s="33" t="n">
        <v>46541</v>
      </c>
      <c r="M5204" s="33" t="n">
        <v>46590</v>
      </c>
      <c r="N5204" s="16" t="s">
        <v>15522</v>
      </c>
      <c r="O5204" s="16" t="s">
        <v>1299</v>
      </c>
      <c r="P5204" s="16" t="str">
        <f aca="false">IF(AND(L5204&lt;=$D$2,M5204&gt;=$C$2),"Sí","")</f>
        <v/>
      </c>
      <c r="Q5204" s="18" t="str">
        <f aca="false">IF(COUNTIF(LOOKAHEAD!$A$5:$A$604,A5204)&gt;0,"En Lookahead",IF(P5204="Sí","INCORPORAR",""))</f>
        <v/>
      </c>
    </row>
    <row r="5205" customFormat="false" ht="15" hidden="false" customHeight="false" outlineLevel="0" collapsed="false">
      <c r="A5205" s="16" t="s">
        <v>15870</v>
      </c>
      <c r="B5205" s="16" t="n">
        <v>5200</v>
      </c>
      <c r="C5205" s="16" t="s">
        <v>15871</v>
      </c>
      <c r="D5205" s="16" t="n">
        <v>8</v>
      </c>
      <c r="E5205" s="39" t="s">
        <v>14316</v>
      </c>
      <c r="F5205" s="16" t="s">
        <v>1285</v>
      </c>
      <c r="G5205" s="16" t="s">
        <v>1063</v>
      </c>
      <c r="H5205" s="16" t="s">
        <v>14297</v>
      </c>
      <c r="I5205" s="16" t="s">
        <v>136</v>
      </c>
      <c r="J5205" s="16" t="s">
        <v>15861</v>
      </c>
      <c r="K5205" s="32" t="n">
        <v>50</v>
      </c>
      <c r="L5205" s="33" t="n">
        <v>46541</v>
      </c>
      <c r="M5205" s="33" t="n">
        <v>46590</v>
      </c>
      <c r="N5205" s="16" t="s">
        <v>15522</v>
      </c>
      <c r="O5205" s="16" t="s">
        <v>1299</v>
      </c>
      <c r="P5205" s="16" t="str">
        <f aca="false">IF(AND(L5205&lt;=$D$2,M5205&gt;=$C$2),"Sí","")</f>
        <v/>
      </c>
      <c r="Q5205" s="18" t="str">
        <f aca="false">IF(COUNTIF(LOOKAHEAD!$A$5:$A$604,A5205)&gt;0,"En Lookahead",IF(P5205="Sí","INCORPORAR",""))</f>
        <v/>
      </c>
    </row>
    <row r="5206" customFormat="false" ht="15" hidden="false" customHeight="false" outlineLevel="0" collapsed="false">
      <c r="A5206" s="16" t="s">
        <v>15872</v>
      </c>
      <c r="B5206" s="16" t="n">
        <v>5201</v>
      </c>
      <c r="C5206" s="16" t="s">
        <v>15873</v>
      </c>
      <c r="D5206" s="16" t="n">
        <v>8</v>
      </c>
      <c r="E5206" s="39" t="s">
        <v>14319</v>
      </c>
      <c r="F5206" s="16" t="s">
        <v>1285</v>
      </c>
      <c r="G5206" s="16" t="s">
        <v>1063</v>
      </c>
      <c r="H5206" s="16" t="s">
        <v>14297</v>
      </c>
      <c r="I5206" s="16" t="s">
        <v>136</v>
      </c>
      <c r="J5206" s="16" t="s">
        <v>15861</v>
      </c>
      <c r="K5206" s="32" t="n">
        <v>50</v>
      </c>
      <c r="L5206" s="33" t="n">
        <v>46541</v>
      </c>
      <c r="M5206" s="33" t="n">
        <v>46590</v>
      </c>
      <c r="N5206" s="16" t="s">
        <v>15522</v>
      </c>
      <c r="O5206" s="16" t="s">
        <v>1299</v>
      </c>
      <c r="P5206" s="16" t="str">
        <f aca="false">IF(AND(L5206&lt;=$D$2,M5206&gt;=$C$2),"Sí","")</f>
        <v/>
      </c>
      <c r="Q5206" s="18" t="str">
        <f aca="false">IF(COUNTIF(LOOKAHEAD!$A$5:$A$604,A5206)&gt;0,"En Lookahead",IF(P5206="Sí","INCORPORAR",""))</f>
        <v/>
      </c>
    </row>
    <row r="5207" customFormat="false" ht="15" hidden="false" customHeight="false" outlineLevel="0" collapsed="false">
      <c r="A5207" s="16" t="s">
        <v>15874</v>
      </c>
      <c r="B5207" s="16" t="n">
        <v>5202</v>
      </c>
      <c r="C5207" s="16" t="s">
        <v>15875</v>
      </c>
      <c r="D5207" s="16" t="n">
        <v>8</v>
      </c>
      <c r="E5207" s="39" t="s">
        <v>14322</v>
      </c>
      <c r="F5207" s="16" t="s">
        <v>1285</v>
      </c>
      <c r="G5207" s="16" t="s">
        <v>1063</v>
      </c>
      <c r="H5207" s="16" t="s">
        <v>14297</v>
      </c>
      <c r="I5207" s="16" t="s">
        <v>136</v>
      </c>
      <c r="J5207" s="16" t="s">
        <v>15861</v>
      </c>
      <c r="K5207" s="32" t="n">
        <v>50</v>
      </c>
      <c r="L5207" s="33" t="n">
        <v>46541</v>
      </c>
      <c r="M5207" s="33" t="n">
        <v>46590</v>
      </c>
      <c r="N5207" s="16" t="s">
        <v>15522</v>
      </c>
      <c r="O5207" s="16" t="s">
        <v>1299</v>
      </c>
      <c r="P5207" s="16" t="str">
        <f aca="false">IF(AND(L5207&lt;=$D$2,M5207&gt;=$C$2),"Sí","")</f>
        <v/>
      </c>
      <c r="Q5207" s="18" t="str">
        <f aca="false">IF(COUNTIF(LOOKAHEAD!$A$5:$A$604,A5207)&gt;0,"En Lookahead",IF(P5207="Sí","INCORPORAR",""))</f>
        <v/>
      </c>
    </row>
    <row r="5208" customFormat="false" ht="15" hidden="false" customHeight="false" outlineLevel="0" collapsed="false">
      <c r="A5208" s="16" t="s">
        <v>15876</v>
      </c>
      <c r="B5208" s="16" t="n">
        <v>5203</v>
      </c>
      <c r="C5208" s="16" t="s">
        <v>15877</v>
      </c>
      <c r="D5208" s="16" t="n">
        <v>8</v>
      </c>
      <c r="E5208" s="39" t="s">
        <v>14671</v>
      </c>
      <c r="F5208" s="16" t="s">
        <v>1285</v>
      </c>
      <c r="G5208" s="16" t="s">
        <v>1063</v>
      </c>
      <c r="H5208" s="16" t="s">
        <v>14297</v>
      </c>
      <c r="I5208" s="16" t="s">
        <v>136</v>
      </c>
      <c r="J5208" s="16" t="s">
        <v>15861</v>
      </c>
      <c r="K5208" s="32" t="n">
        <v>50</v>
      </c>
      <c r="L5208" s="33" t="n">
        <v>46541</v>
      </c>
      <c r="M5208" s="33" t="n">
        <v>46590</v>
      </c>
      <c r="N5208" s="16" t="s">
        <v>15522</v>
      </c>
      <c r="O5208" s="16" t="s">
        <v>1299</v>
      </c>
      <c r="P5208" s="16" t="str">
        <f aca="false">IF(AND(L5208&lt;=$D$2,M5208&gt;=$C$2),"Sí","")</f>
        <v/>
      </c>
      <c r="Q5208" s="18" t="str">
        <f aca="false">IF(COUNTIF(LOOKAHEAD!$A$5:$A$604,A5208)&gt;0,"En Lookahead",IF(P5208="Sí","INCORPORAR",""))</f>
        <v/>
      </c>
    </row>
    <row r="5209" customFormat="false" ht="15" hidden="false" customHeight="false" outlineLevel="0" collapsed="false">
      <c r="A5209" s="16" t="s">
        <v>15878</v>
      </c>
      <c r="B5209" s="16" t="n">
        <v>5204</v>
      </c>
      <c r="C5209" s="16" t="s">
        <v>15879</v>
      </c>
      <c r="D5209" s="16" t="n">
        <v>8</v>
      </c>
      <c r="E5209" s="39" t="s">
        <v>14381</v>
      </c>
      <c r="F5209" s="16" t="s">
        <v>1285</v>
      </c>
      <c r="G5209" s="16" t="s">
        <v>1063</v>
      </c>
      <c r="H5209" s="16" t="s">
        <v>14297</v>
      </c>
      <c r="I5209" s="16" t="s">
        <v>136</v>
      </c>
      <c r="J5209" s="16" t="s">
        <v>15861</v>
      </c>
      <c r="K5209" s="32" t="n">
        <v>50</v>
      </c>
      <c r="L5209" s="33" t="n">
        <v>46541</v>
      </c>
      <c r="M5209" s="33" t="n">
        <v>46590</v>
      </c>
      <c r="N5209" s="16" t="s">
        <v>15522</v>
      </c>
      <c r="O5209" s="16" t="s">
        <v>1299</v>
      </c>
      <c r="P5209" s="16" t="str">
        <f aca="false">IF(AND(L5209&lt;=$D$2,M5209&gt;=$C$2),"Sí","")</f>
        <v/>
      </c>
      <c r="Q5209" s="18" t="str">
        <f aca="false">IF(COUNTIF(LOOKAHEAD!$A$5:$A$604,A5209)&gt;0,"En Lookahead",IF(P5209="Sí","INCORPORAR",""))</f>
        <v/>
      </c>
    </row>
    <row r="5210" customFormat="false" ht="15" hidden="false" customHeight="false" outlineLevel="0" collapsed="false">
      <c r="A5210" s="13" t="s">
        <v>15880</v>
      </c>
      <c r="B5210" s="13" t="n">
        <v>5205</v>
      </c>
      <c r="C5210" s="13" t="s">
        <v>15881</v>
      </c>
      <c r="D5210" s="13" t="n">
        <v>7</v>
      </c>
      <c r="E5210" s="38" t="s">
        <v>15882</v>
      </c>
      <c r="F5210" s="13" t="s">
        <v>1298</v>
      </c>
      <c r="G5210" s="13" t="s">
        <v>1063</v>
      </c>
      <c r="H5210" s="13" t="s">
        <v>14297</v>
      </c>
      <c r="I5210" s="13" t="s">
        <v>136</v>
      </c>
      <c r="J5210" s="13" t="s">
        <v>14471</v>
      </c>
      <c r="K5210" s="30" t="n">
        <v>50</v>
      </c>
      <c r="L5210" s="31" t="n">
        <v>46541</v>
      </c>
      <c r="M5210" s="31" t="n">
        <v>46590</v>
      </c>
      <c r="N5210" s="13"/>
      <c r="O5210" s="13" t="s">
        <v>1299</v>
      </c>
      <c r="P5210" s="13"/>
      <c r="Q5210" s="13"/>
    </row>
    <row r="5211" customFormat="false" ht="15" hidden="false" customHeight="false" outlineLevel="0" collapsed="false">
      <c r="A5211" s="16" t="s">
        <v>15883</v>
      </c>
      <c r="B5211" s="16" t="n">
        <v>5206</v>
      </c>
      <c r="C5211" s="16" t="s">
        <v>15884</v>
      </c>
      <c r="D5211" s="16" t="n">
        <v>8</v>
      </c>
      <c r="E5211" s="39" t="s">
        <v>14308</v>
      </c>
      <c r="F5211" s="16" t="s">
        <v>1285</v>
      </c>
      <c r="G5211" s="16" t="s">
        <v>1063</v>
      </c>
      <c r="H5211" s="16" t="s">
        <v>14297</v>
      </c>
      <c r="I5211" s="16" t="s">
        <v>136</v>
      </c>
      <c r="J5211" s="16" t="s">
        <v>15882</v>
      </c>
      <c r="K5211" s="32" t="n">
        <v>50</v>
      </c>
      <c r="L5211" s="33" t="n">
        <v>46541</v>
      </c>
      <c r="M5211" s="33" t="n">
        <v>46590</v>
      </c>
      <c r="N5211" s="16" t="s">
        <v>15522</v>
      </c>
      <c r="O5211" s="16" t="s">
        <v>1299</v>
      </c>
      <c r="P5211" s="16" t="str">
        <f aca="false">IF(AND(L5211&lt;=$D$2,M5211&gt;=$C$2),"Sí","")</f>
        <v/>
      </c>
      <c r="Q5211" s="18" t="str">
        <f aca="false">IF(COUNTIF(LOOKAHEAD!$A$5:$A$604,A5211)&gt;0,"En Lookahead",IF(P5211="Sí","INCORPORAR",""))</f>
        <v/>
      </c>
    </row>
    <row r="5212" customFormat="false" ht="15" hidden="false" customHeight="false" outlineLevel="0" collapsed="false">
      <c r="A5212" s="16" t="s">
        <v>15885</v>
      </c>
      <c r="B5212" s="16" t="n">
        <v>5207</v>
      </c>
      <c r="C5212" s="16" t="s">
        <v>15886</v>
      </c>
      <c r="D5212" s="16" t="n">
        <v>8</v>
      </c>
      <c r="E5212" s="39" t="s">
        <v>14392</v>
      </c>
      <c r="F5212" s="16" t="s">
        <v>1285</v>
      </c>
      <c r="G5212" s="16" t="s">
        <v>1063</v>
      </c>
      <c r="H5212" s="16" t="s">
        <v>14297</v>
      </c>
      <c r="I5212" s="16" t="s">
        <v>136</v>
      </c>
      <c r="J5212" s="16" t="s">
        <v>15882</v>
      </c>
      <c r="K5212" s="32" t="n">
        <v>50</v>
      </c>
      <c r="L5212" s="33" t="n">
        <v>46541</v>
      </c>
      <c r="M5212" s="33" t="n">
        <v>46590</v>
      </c>
      <c r="N5212" s="16" t="s">
        <v>15522</v>
      </c>
      <c r="O5212" s="16" t="s">
        <v>1299</v>
      </c>
      <c r="P5212" s="16" t="str">
        <f aca="false">IF(AND(L5212&lt;=$D$2,M5212&gt;=$C$2),"Sí","")</f>
        <v/>
      </c>
      <c r="Q5212" s="18" t="str">
        <f aca="false">IF(COUNTIF(LOOKAHEAD!$A$5:$A$604,A5212)&gt;0,"En Lookahead",IF(P5212="Sí","INCORPORAR",""))</f>
        <v/>
      </c>
    </row>
    <row r="5213" customFormat="false" ht="15" hidden="false" customHeight="false" outlineLevel="0" collapsed="false">
      <c r="A5213" s="16" t="s">
        <v>15887</v>
      </c>
      <c r="B5213" s="16" t="n">
        <v>5208</v>
      </c>
      <c r="C5213" s="16" t="s">
        <v>15888</v>
      </c>
      <c r="D5213" s="16" t="n">
        <v>8</v>
      </c>
      <c r="E5213" s="39" t="s">
        <v>14337</v>
      </c>
      <c r="F5213" s="16" t="s">
        <v>1285</v>
      </c>
      <c r="G5213" s="16" t="s">
        <v>1063</v>
      </c>
      <c r="H5213" s="16" t="s">
        <v>14297</v>
      </c>
      <c r="I5213" s="16" t="s">
        <v>136</v>
      </c>
      <c r="J5213" s="16" t="s">
        <v>15882</v>
      </c>
      <c r="K5213" s="32" t="n">
        <v>50</v>
      </c>
      <c r="L5213" s="33" t="n">
        <v>46541</v>
      </c>
      <c r="M5213" s="33" t="n">
        <v>46590</v>
      </c>
      <c r="N5213" s="16" t="s">
        <v>15522</v>
      </c>
      <c r="O5213" s="16" t="s">
        <v>1299</v>
      </c>
      <c r="P5213" s="16" t="str">
        <f aca="false">IF(AND(L5213&lt;=$D$2,M5213&gt;=$C$2),"Sí","")</f>
        <v/>
      </c>
      <c r="Q5213" s="18" t="str">
        <f aca="false">IF(COUNTIF(LOOKAHEAD!$A$5:$A$604,A5213)&gt;0,"En Lookahead",IF(P5213="Sí","INCORPORAR",""))</f>
        <v/>
      </c>
    </row>
    <row r="5214" customFormat="false" ht="15" hidden="false" customHeight="false" outlineLevel="0" collapsed="false">
      <c r="A5214" s="16" t="s">
        <v>15889</v>
      </c>
      <c r="B5214" s="16" t="n">
        <v>5209</v>
      </c>
      <c r="C5214" s="16" t="s">
        <v>15890</v>
      </c>
      <c r="D5214" s="16" t="n">
        <v>8</v>
      </c>
      <c r="E5214" s="39" t="s">
        <v>14484</v>
      </c>
      <c r="F5214" s="16" t="s">
        <v>1285</v>
      </c>
      <c r="G5214" s="16" t="s">
        <v>1063</v>
      </c>
      <c r="H5214" s="16" t="s">
        <v>14297</v>
      </c>
      <c r="I5214" s="16" t="s">
        <v>136</v>
      </c>
      <c r="J5214" s="16" t="s">
        <v>15882</v>
      </c>
      <c r="K5214" s="32" t="n">
        <v>50</v>
      </c>
      <c r="L5214" s="33" t="n">
        <v>46541</v>
      </c>
      <c r="M5214" s="33" t="n">
        <v>46590</v>
      </c>
      <c r="N5214" s="16" t="s">
        <v>15522</v>
      </c>
      <c r="O5214" s="16" t="s">
        <v>1299</v>
      </c>
      <c r="P5214" s="16" t="str">
        <f aca="false">IF(AND(L5214&lt;=$D$2,M5214&gt;=$C$2),"Sí","")</f>
        <v/>
      </c>
      <c r="Q5214" s="18" t="str">
        <f aca="false">IF(COUNTIF(LOOKAHEAD!$A$5:$A$604,A5214)&gt;0,"En Lookahead",IF(P5214="Sí","INCORPORAR",""))</f>
        <v/>
      </c>
    </row>
    <row r="5215" customFormat="false" ht="15" hidden="false" customHeight="false" outlineLevel="0" collapsed="false">
      <c r="A5215" s="16" t="s">
        <v>15891</v>
      </c>
      <c r="B5215" s="16" t="n">
        <v>5210</v>
      </c>
      <c r="C5215" s="16" t="s">
        <v>15892</v>
      </c>
      <c r="D5215" s="16" t="n">
        <v>8</v>
      </c>
      <c r="E5215" s="39" t="s">
        <v>14316</v>
      </c>
      <c r="F5215" s="16" t="s">
        <v>1285</v>
      </c>
      <c r="G5215" s="16" t="s">
        <v>1063</v>
      </c>
      <c r="H5215" s="16" t="s">
        <v>14297</v>
      </c>
      <c r="I5215" s="16" t="s">
        <v>136</v>
      </c>
      <c r="J5215" s="16" t="s">
        <v>15882</v>
      </c>
      <c r="K5215" s="32" t="n">
        <v>50</v>
      </c>
      <c r="L5215" s="33" t="n">
        <v>46541</v>
      </c>
      <c r="M5215" s="33" t="n">
        <v>46590</v>
      </c>
      <c r="N5215" s="16" t="s">
        <v>15522</v>
      </c>
      <c r="O5215" s="16" t="s">
        <v>1299</v>
      </c>
      <c r="P5215" s="16" t="str">
        <f aca="false">IF(AND(L5215&lt;=$D$2,M5215&gt;=$C$2),"Sí","")</f>
        <v/>
      </c>
      <c r="Q5215" s="18" t="str">
        <f aca="false">IF(COUNTIF(LOOKAHEAD!$A$5:$A$604,A5215)&gt;0,"En Lookahead",IF(P5215="Sí","INCORPORAR",""))</f>
        <v/>
      </c>
    </row>
    <row r="5216" customFormat="false" ht="15" hidden="false" customHeight="false" outlineLevel="0" collapsed="false">
      <c r="A5216" s="16" t="s">
        <v>15893</v>
      </c>
      <c r="B5216" s="16" t="n">
        <v>5211</v>
      </c>
      <c r="C5216" s="16" t="s">
        <v>15894</v>
      </c>
      <c r="D5216" s="16" t="n">
        <v>8</v>
      </c>
      <c r="E5216" s="39" t="s">
        <v>14319</v>
      </c>
      <c r="F5216" s="16" t="s">
        <v>1285</v>
      </c>
      <c r="G5216" s="16" t="s">
        <v>1063</v>
      </c>
      <c r="H5216" s="16" t="s">
        <v>14297</v>
      </c>
      <c r="I5216" s="16" t="s">
        <v>136</v>
      </c>
      <c r="J5216" s="16" t="s">
        <v>15882</v>
      </c>
      <c r="K5216" s="32" t="n">
        <v>50</v>
      </c>
      <c r="L5216" s="33" t="n">
        <v>46541</v>
      </c>
      <c r="M5216" s="33" t="n">
        <v>46590</v>
      </c>
      <c r="N5216" s="16" t="s">
        <v>15522</v>
      </c>
      <c r="O5216" s="16" t="s">
        <v>1299</v>
      </c>
      <c r="P5216" s="16" t="str">
        <f aca="false">IF(AND(L5216&lt;=$D$2,M5216&gt;=$C$2),"Sí","")</f>
        <v/>
      </c>
      <c r="Q5216" s="18" t="str">
        <f aca="false">IF(COUNTIF(LOOKAHEAD!$A$5:$A$604,A5216)&gt;0,"En Lookahead",IF(P5216="Sí","INCORPORAR",""))</f>
        <v/>
      </c>
    </row>
    <row r="5217" customFormat="false" ht="15" hidden="false" customHeight="false" outlineLevel="0" collapsed="false">
      <c r="A5217" s="16" t="s">
        <v>15895</v>
      </c>
      <c r="B5217" s="16" t="n">
        <v>5212</v>
      </c>
      <c r="C5217" s="16" t="s">
        <v>15896</v>
      </c>
      <c r="D5217" s="16" t="n">
        <v>8</v>
      </c>
      <c r="E5217" s="39" t="s">
        <v>14322</v>
      </c>
      <c r="F5217" s="16" t="s">
        <v>1285</v>
      </c>
      <c r="G5217" s="16" t="s">
        <v>1063</v>
      </c>
      <c r="H5217" s="16" t="s">
        <v>14297</v>
      </c>
      <c r="I5217" s="16" t="s">
        <v>136</v>
      </c>
      <c r="J5217" s="16" t="s">
        <v>15882</v>
      </c>
      <c r="K5217" s="32" t="n">
        <v>50</v>
      </c>
      <c r="L5217" s="33" t="n">
        <v>46541</v>
      </c>
      <c r="M5217" s="33" t="n">
        <v>46590</v>
      </c>
      <c r="N5217" s="16" t="s">
        <v>15522</v>
      </c>
      <c r="O5217" s="16" t="s">
        <v>1299</v>
      </c>
      <c r="P5217" s="16" t="str">
        <f aca="false">IF(AND(L5217&lt;=$D$2,M5217&gt;=$C$2),"Sí","")</f>
        <v/>
      </c>
      <c r="Q5217" s="18" t="str">
        <f aca="false">IF(COUNTIF(LOOKAHEAD!$A$5:$A$604,A5217)&gt;0,"En Lookahead",IF(P5217="Sí","INCORPORAR",""))</f>
        <v/>
      </c>
    </row>
    <row r="5218" customFormat="false" ht="15" hidden="false" customHeight="false" outlineLevel="0" collapsed="false">
      <c r="A5218" s="16" t="s">
        <v>15897</v>
      </c>
      <c r="B5218" s="16" t="n">
        <v>5213</v>
      </c>
      <c r="C5218" s="16" t="s">
        <v>15898</v>
      </c>
      <c r="D5218" s="16" t="n">
        <v>8</v>
      </c>
      <c r="E5218" s="39" t="s">
        <v>14671</v>
      </c>
      <c r="F5218" s="16" t="s">
        <v>1285</v>
      </c>
      <c r="G5218" s="16" t="s">
        <v>1063</v>
      </c>
      <c r="H5218" s="16" t="s">
        <v>14297</v>
      </c>
      <c r="I5218" s="16" t="s">
        <v>136</v>
      </c>
      <c r="J5218" s="16" t="s">
        <v>15882</v>
      </c>
      <c r="K5218" s="32" t="n">
        <v>50</v>
      </c>
      <c r="L5218" s="33" t="n">
        <v>46541</v>
      </c>
      <c r="M5218" s="33" t="n">
        <v>46590</v>
      </c>
      <c r="N5218" s="16" t="s">
        <v>15522</v>
      </c>
      <c r="O5218" s="16" t="s">
        <v>1299</v>
      </c>
      <c r="P5218" s="16" t="str">
        <f aca="false">IF(AND(L5218&lt;=$D$2,M5218&gt;=$C$2),"Sí","")</f>
        <v/>
      </c>
      <c r="Q5218" s="18" t="str">
        <f aca="false">IF(COUNTIF(LOOKAHEAD!$A$5:$A$604,A5218)&gt;0,"En Lookahead",IF(P5218="Sí","INCORPORAR",""))</f>
        <v/>
      </c>
    </row>
    <row r="5219" customFormat="false" ht="15" hidden="false" customHeight="false" outlineLevel="0" collapsed="false">
      <c r="A5219" s="16" t="s">
        <v>15899</v>
      </c>
      <c r="B5219" s="16" t="n">
        <v>5214</v>
      </c>
      <c r="C5219" s="16" t="s">
        <v>15900</v>
      </c>
      <c r="D5219" s="16" t="n">
        <v>8</v>
      </c>
      <c r="E5219" s="39" t="s">
        <v>14378</v>
      </c>
      <c r="F5219" s="16" t="s">
        <v>1285</v>
      </c>
      <c r="G5219" s="16" t="s">
        <v>1063</v>
      </c>
      <c r="H5219" s="16" t="s">
        <v>14297</v>
      </c>
      <c r="I5219" s="16" t="s">
        <v>136</v>
      </c>
      <c r="J5219" s="16" t="s">
        <v>15882</v>
      </c>
      <c r="K5219" s="32" t="n">
        <v>50</v>
      </c>
      <c r="L5219" s="33" t="n">
        <v>46541</v>
      </c>
      <c r="M5219" s="33" t="n">
        <v>46590</v>
      </c>
      <c r="N5219" s="16" t="s">
        <v>15522</v>
      </c>
      <c r="O5219" s="16" t="s">
        <v>1299</v>
      </c>
      <c r="P5219" s="16" t="str">
        <f aca="false">IF(AND(L5219&lt;=$D$2,M5219&gt;=$C$2),"Sí","")</f>
        <v/>
      </c>
      <c r="Q5219" s="18" t="str">
        <f aca="false">IF(COUNTIF(LOOKAHEAD!$A$5:$A$604,A5219)&gt;0,"En Lookahead",IF(P5219="Sí","INCORPORAR",""))</f>
        <v/>
      </c>
    </row>
    <row r="5220" customFormat="false" ht="15" hidden="false" customHeight="false" outlineLevel="0" collapsed="false">
      <c r="A5220" s="16" t="s">
        <v>15901</v>
      </c>
      <c r="B5220" s="16" t="n">
        <v>5215</v>
      </c>
      <c r="C5220" s="16" t="s">
        <v>15902</v>
      </c>
      <c r="D5220" s="16" t="n">
        <v>8</v>
      </c>
      <c r="E5220" s="39" t="s">
        <v>14381</v>
      </c>
      <c r="F5220" s="16" t="s">
        <v>1285</v>
      </c>
      <c r="G5220" s="16" t="s">
        <v>1063</v>
      </c>
      <c r="H5220" s="16" t="s">
        <v>14297</v>
      </c>
      <c r="I5220" s="16" t="s">
        <v>136</v>
      </c>
      <c r="J5220" s="16" t="s">
        <v>15882</v>
      </c>
      <c r="K5220" s="32" t="n">
        <v>50</v>
      </c>
      <c r="L5220" s="33" t="n">
        <v>46541</v>
      </c>
      <c r="M5220" s="33" t="n">
        <v>46590</v>
      </c>
      <c r="N5220" s="16" t="s">
        <v>15522</v>
      </c>
      <c r="O5220" s="16" t="s">
        <v>1299</v>
      </c>
      <c r="P5220" s="16" t="str">
        <f aca="false">IF(AND(L5220&lt;=$D$2,M5220&gt;=$C$2),"Sí","")</f>
        <v/>
      </c>
      <c r="Q5220" s="18" t="str">
        <f aca="false">IF(COUNTIF(LOOKAHEAD!$A$5:$A$604,A5220)&gt;0,"En Lookahead",IF(P5220="Sí","INCORPORAR",""))</f>
        <v/>
      </c>
    </row>
    <row r="5221" customFormat="false" ht="15" hidden="false" customHeight="false" outlineLevel="0" collapsed="false">
      <c r="A5221" s="13" t="s">
        <v>15903</v>
      </c>
      <c r="B5221" s="13" t="n">
        <v>5216</v>
      </c>
      <c r="C5221" s="13" t="s">
        <v>15904</v>
      </c>
      <c r="D5221" s="13" t="n">
        <v>5</v>
      </c>
      <c r="E5221" s="34" t="s">
        <v>4018</v>
      </c>
      <c r="F5221" s="13" t="s">
        <v>1298</v>
      </c>
      <c r="G5221" s="13" t="s">
        <v>1063</v>
      </c>
      <c r="H5221" s="13" t="s">
        <v>14297</v>
      </c>
      <c r="I5221" s="13" t="s">
        <v>136</v>
      </c>
      <c r="J5221" s="13" t="s">
        <v>14297</v>
      </c>
      <c r="K5221" s="30" t="n">
        <v>50</v>
      </c>
      <c r="L5221" s="31" t="n">
        <v>46541</v>
      </c>
      <c r="M5221" s="31" t="n">
        <v>46590</v>
      </c>
      <c r="N5221" s="13"/>
      <c r="O5221" s="13" t="s">
        <v>1299</v>
      </c>
      <c r="P5221" s="13"/>
      <c r="Q5221" s="13"/>
    </row>
    <row r="5222" customFormat="false" ht="15" hidden="false" customHeight="false" outlineLevel="0" collapsed="false">
      <c r="A5222" s="13" t="s">
        <v>15905</v>
      </c>
      <c r="B5222" s="13" t="n">
        <v>5217</v>
      </c>
      <c r="C5222" s="13" t="s">
        <v>15906</v>
      </c>
      <c r="D5222" s="13" t="n">
        <v>6</v>
      </c>
      <c r="E5222" s="36" t="s">
        <v>14302</v>
      </c>
      <c r="F5222" s="13" t="s">
        <v>1298</v>
      </c>
      <c r="G5222" s="13" t="s">
        <v>1063</v>
      </c>
      <c r="H5222" s="13" t="s">
        <v>14297</v>
      </c>
      <c r="I5222" s="13" t="s">
        <v>136</v>
      </c>
      <c r="J5222" s="13" t="s">
        <v>4018</v>
      </c>
      <c r="K5222" s="30" t="n">
        <v>50</v>
      </c>
      <c r="L5222" s="31" t="n">
        <v>46541</v>
      </c>
      <c r="M5222" s="31" t="n">
        <v>46590</v>
      </c>
      <c r="N5222" s="13"/>
      <c r="O5222" s="13" t="s">
        <v>1299</v>
      </c>
      <c r="P5222" s="13"/>
      <c r="Q5222" s="13"/>
    </row>
    <row r="5223" customFormat="false" ht="15" hidden="false" customHeight="false" outlineLevel="0" collapsed="false">
      <c r="A5223" s="13" t="s">
        <v>15907</v>
      </c>
      <c r="B5223" s="13" t="n">
        <v>5218</v>
      </c>
      <c r="C5223" s="13" t="s">
        <v>15908</v>
      </c>
      <c r="D5223" s="13" t="n">
        <v>7</v>
      </c>
      <c r="E5223" s="38" t="s">
        <v>15909</v>
      </c>
      <c r="F5223" s="13" t="s">
        <v>1298</v>
      </c>
      <c r="G5223" s="13" t="s">
        <v>1063</v>
      </c>
      <c r="H5223" s="13" t="s">
        <v>14297</v>
      </c>
      <c r="I5223" s="13" t="s">
        <v>136</v>
      </c>
      <c r="J5223" s="13" t="s">
        <v>14302</v>
      </c>
      <c r="K5223" s="30" t="n">
        <v>50</v>
      </c>
      <c r="L5223" s="31" t="n">
        <v>46541</v>
      </c>
      <c r="M5223" s="31" t="n">
        <v>46590</v>
      </c>
      <c r="N5223" s="13"/>
      <c r="O5223" s="13" t="s">
        <v>1299</v>
      </c>
      <c r="P5223" s="13"/>
      <c r="Q5223" s="13"/>
    </row>
    <row r="5224" customFormat="false" ht="15" hidden="false" customHeight="false" outlineLevel="0" collapsed="false">
      <c r="A5224" s="16" t="s">
        <v>15910</v>
      </c>
      <c r="B5224" s="16" t="n">
        <v>5219</v>
      </c>
      <c r="C5224" s="16" t="s">
        <v>15911</v>
      </c>
      <c r="D5224" s="16" t="n">
        <v>8</v>
      </c>
      <c r="E5224" s="39" t="s">
        <v>15912</v>
      </c>
      <c r="F5224" s="16" t="s">
        <v>1285</v>
      </c>
      <c r="G5224" s="16" t="s">
        <v>1063</v>
      </c>
      <c r="H5224" s="16" t="s">
        <v>14297</v>
      </c>
      <c r="I5224" s="16" t="s">
        <v>136</v>
      </c>
      <c r="J5224" s="16" t="s">
        <v>15909</v>
      </c>
      <c r="K5224" s="32" t="n">
        <v>50</v>
      </c>
      <c r="L5224" s="33" t="n">
        <v>46541</v>
      </c>
      <c r="M5224" s="33" t="n">
        <v>46590</v>
      </c>
      <c r="N5224" s="16" t="s">
        <v>14649</v>
      </c>
      <c r="O5224" s="16" t="s">
        <v>1299</v>
      </c>
      <c r="P5224" s="16" t="str">
        <f aca="false">IF(AND(L5224&lt;=$D$2,M5224&gt;=$C$2),"Sí","")</f>
        <v/>
      </c>
      <c r="Q5224" s="18" t="str">
        <f aca="false">IF(COUNTIF(LOOKAHEAD!$A$5:$A$604,A5224)&gt;0,"En Lookahead",IF(P5224="Sí","INCORPORAR",""))</f>
        <v/>
      </c>
    </row>
    <row r="5225" customFormat="false" ht="15" hidden="false" customHeight="false" outlineLevel="0" collapsed="false">
      <c r="A5225" s="16" t="s">
        <v>15913</v>
      </c>
      <c r="B5225" s="16" t="n">
        <v>5220</v>
      </c>
      <c r="C5225" s="16" t="s">
        <v>15914</v>
      </c>
      <c r="D5225" s="16" t="n">
        <v>8</v>
      </c>
      <c r="E5225" s="39" t="s">
        <v>15189</v>
      </c>
      <c r="F5225" s="16" t="s">
        <v>1285</v>
      </c>
      <c r="G5225" s="16" t="s">
        <v>1063</v>
      </c>
      <c r="H5225" s="16" t="s">
        <v>14297</v>
      </c>
      <c r="I5225" s="16" t="s">
        <v>136</v>
      </c>
      <c r="J5225" s="16" t="s">
        <v>15909</v>
      </c>
      <c r="K5225" s="32" t="n">
        <v>50</v>
      </c>
      <c r="L5225" s="33" t="n">
        <v>46541</v>
      </c>
      <c r="M5225" s="33" t="n">
        <v>46590</v>
      </c>
      <c r="N5225" s="16" t="s">
        <v>15915</v>
      </c>
      <c r="O5225" s="16" t="s">
        <v>1299</v>
      </c>
      <c r="P5225" s="16" t="str">
        <f aca="false">IF(AND(L5225&lt;=$D$2,M5225&gt;=$C$2),"Sí","")</f>
        <v/>
      </c>
      <c r="Q5225" s="18" t="str">
        <f aca="false">IF(COUNTIF(LOOKAHEAD!$A$5:$A$604,A5225)&gt;0,"En Lookahead",IF(P5225="Sí","INCORPORAR",""))</f>
        <v/>
      </c>
    </row>
    <row r="5226" customFormat="false" ht="15" hidden="false" customHeight="false" outlineLevel="0" collapsed="false">
      <c r="A5226" s="16" t="s">
        <v>15916</v>
      </c>
      <c r="B5226" s="16" t="n">
        <v>5221</v>
      </c>
      <c r="C5226" s="16" t="s">
        <v>15917</v>
      </c>
      <c r="D5226" s="16" t="n">
        <v>8</v>
      </c>
      <c r="E5226" s="39" t="s">
        <v>14487</v>
      </c>
      <c r="F5226" s="16" t="s">
        <v>1285</v>
      </c>
      <c r="G5226" s="16" t="s">
        <v>1063</v>
      </c>
      <c r="H5226" s="16" t="s">
        <v>14297</v>
      </c>
      <c r="I5226" s="16" t="s">
        <v>136</v>
      </c>
      <c r="J5226" s="16" t="s">
        <v>15909</v>
      </c>
      <c r="K5226" s="32" t="n">
        <v>50</v>
      </c>
      <c r="L5226" s="33" t="n">
        <v>46541</v>
      </c>
      <c r="M5226" s="33" t="n">
        <v>46590</v>
      </c>
      <c r="N5226" s="16" t="s">
        <v>15915</v>
      </c>
      <c r="O5226" s="16" t="s">
        <v>1299</v>
      </c>
      <c r="P5226" s="16" t="str">
        <f aca="false">IF(AND(L5226&lt;=$D$2,M5226&gt;=$C$2),"Sí","")</f>
        <v/>
      </c>
      <c r="Q5226" s="18" t="str">
        <f aca="false">IF(COUNTIF(LOOKAHEAD!$A$5:$A$604,A5226)&gt;0,"En Lookahead",IF(P5226="Sí","INCORPORAR",""))</f>
        <v/>
      </c>
    </row>
    <row r="5227" customFormat="false" ht="15" hidden="false" customHeight="false" outlineLevel="0" collapsed="false">
      <c r="A5227" s="13" t="s">
        <v>15918</v>
      </c>
      <c r="B5227" s="13" t="n">
        <v>5222</v>
      </c>
      <c r="C5227" s="13" t="s">
        <v>15919</v>
      </c>
      <c r="D5227" s="13" t="n">
        <v>7</v>
      </c>
      <c r="E5227" s="38" t="s">
        <v>15920</v>
      </c>
      <c r="F5227" s="13" t="s">
        <v>1298</v>
      </c>
      <c r="G5227" s="13" t="s">
        <v>1063</v>
      </c>
      <c r="H5227" s="13" t="s">
        <v>14297</v>
      </c>
      <c r="I5227" s="13" t="s">
        <v>136</v>
      </c>
      <c r="J5227" s="13" t="s">
        <v>14302</v>
      </c>
      <c r="K5227" s="30" t="n">
        <v>50</v>
      </c>
      <c r="L5227" s="31" t="n">
        <v>46541</v>
      </c>
      <c r="M5227" s="31" t="n">
        <v>46590</v>
      </c>
      <c r="N5227" s="13"/>
      <c r="O5227" s="13" t="s">
        <v>1299</v>
      </c>
      <c r="P5227" s="13"/>
      <c r="Q5227" s="13"/>
    </row>
    <row r="5228" customFormat="false" ht="15" hidden="false" customHeight="false" outlineLevel="0" collapsed="false">
      <c r="A5228" s="16" t="s">
        <v>15921</v>
      </c>
      <c r="B5228" s="16" t="n">
        <v>5223</v>
      </c>
      <c r="C5228" s="16" t="s">
        <v>15922</v>
      </c>
      <c r="D5228" s="16" t="n">
        <v>8</v>
      </c>
      <c r="E5228" s="39" t="s">
        <v>15430</v>
      </c>
      <c r="F5228" s="16" t="s">
        <v>1285</v>
      </c>
      <c r="G5228" s="16" t="s">
        <v>1063</v>
      </c>
      <c r="H5228" s="16" t="s">
        <v>14297</v>
      </c>
      <c r="I5228" s="16" t="s">
        <v>136</v>
      </c>
      <c r="J5228" s="16" t="s">
        <v>15920</v>
      </c>
      <c r="K5228" s="32" t="n">
        <v>50</v>
      </c>
      <c r="L5228" s="33" t="n">
        <v>46541</v>
      </c>
      <c r="M5228" s="33" t="n">
        <v>46590</v>
      </c>
      <c r="N5228" s="16" t="s">
        <v>15915</v>
      </c>
      <c r="O5228" s="16" t="s">
        <v>1299</v>
      </c>
      <c r="P5228" s="16" t="str">
        <f aca="false">IF(AND(L5228&lt;=$D$2,M5228&gt;=$C$2),"Sí","")</f>
        <v/>
      </c>
      <c r="Q5228" s="18" t="str">
        <f aca="false">IF(COUNTIF(LOOKAHEAD!$A$5:$A$604,A5228)&gt;0,"En Lookahead",IF(P5228="Sí","INCORPORAR",""))</f>
        <v/>
      </c>
    </row>
    <row r="5229" customFormat="false" ht="15" hidden="false" customHeight="false" outlineLevel="0" collapsed="false">
      <c r="A5229" s="16" t="s">
        <v>15923</v>
      </c>
      <c r="B5229" s="16" t="n">
        <v>5224</v>
      </c>
      <c r="C5229" s="16" t="s">
        <v>15924</v>
      </c>
      <c r="D5229" s="16" t="n">
        <v>8</v>
      </c>
      <c r="E5229" s="39" t="s">
        <v>14639</v>
      </c>
      <c r="F5229" s="16" t="s">
        <v>1285</v>
      </c>
      <c r="G5229" s="16" t="s">
        <v>1063</v>
      </c>
      <c r="H5229" s="16" t="s">
        <v>14297</v>
      </c>
      <c r="I5229" s="16" t="s">
        <v>136</v>
      </c>
      <c r="J5229" s="16" t="s">
        <v>15920</v>
      </c>
      <c r="K5229" s="32" t="n">
        <v>50</v>
      </c>
      <c r="L5229" s="33" t="n">
        <v>46541</v>
      </c>
      <c r="M5229" s="33" t="n">
        <v>46590</v>
      </c>
      <c r="N5229" s="16" t="s">
        <v>15915</v>
      </c>
      <c r="O5229" s="16" t="s">
        <v>1299</v>
      </c>
      <c r="P5229" s="16" t="str">
        <f aca="false">IF(AND(L5229&lt;=$D$2,M5229&gt;=$C$2),"Sí","")</f>
        <v/>
      </c>
      <c r="Q5229" s="18" t="str">
        <f aca="false">IF(COUNTIF(LOOKAHEAD!$A$5:$A$604,A5229)&gt;0,"En Lookahead",IF(P5229="Sí","INCORPORAR",""))</f>
        <v/>
      </c>
    </row>
    <row r="5230" customFormat="false" ht="15" hidden="false" customHeight="false" outlineLevel="0" collapsed="false">
      <c r="A5230" s="16" t="s">
        <v>15925</v>
      </c>
      <c r="B5230" s="16" t="n">
        <v>5225</v>
      </c>
      <c r="C5230" s="16" t="s">
        <v>15926</v>
      </c>
      <c r="D5230" s="16" t="n">
        <v>8</v>
      </c>
      <c r="E5230" s="39" t="s">
        <v>14384</v>
      </c>
      <c r="F5230" s="16" t="s">
        <v>1285</v>
      </c>
      <c r="G5230" s="16" t="s">
        <v>1063</v>
      </c>
      <c r="H5230" s="16" t="s">
        <v>14297</v>
      </c>
      <c r="I5230" s="16" t="s">
        <v>136</v>
      </c>
      <c r="J5230" s="16" t="s">
        <v>15920</v>
      </c>
      <c r="K5230" s="32" t="n">
        <v>50</v>
      </c>
      <c r="L5230" s="33" t="n">
        <v>46541</v>
      </c>
      <c r="M5230" s="33" t="n">
        <v>46590</v>
      </c>
      <c r="N5230" s="16" t="s">
        <v>15915</v>
      </c>
      <c r="O5230" s="16" t="s">
        <v>1299</v>
      </c>
      <c r="P5230" s="16" t="str">
        <f aca="false">IF(AND(L5230&lt;=$D$2,M5230&gt;=$C$2),"Sí","")</f>
        <v/>
      </c>
      <c r="Q5230" s="18" t="str">
        <f aca="false">IF(COUNTIF(LOOKAHEAD!$A$5:$A$604,A5230)&gt;0,"En Lookahead",IF(P5230="Sí","INCORPORAR",""))</f>
        <v/>
      </c>
    </row>
    <row r="5231" customFormat="false" ht="15" hidden="false" customHeight="false" outlineLevel="0" collapsed="false">
      <c r="A5231" s="16" t="s">
        <v>15927</v>
      </c>
      <c r="B5231" s="16" t="n">
        <v>5226</v>
      </c>
      <c r="C5231" s="16" t="s">
        <v>15928</v>
      </c>
      <c r="D5231" s="16" t="n">
        <v>8</v>
      </c>
      <c r="E5231" s="39" t="s">
        <v>15929</v>
      </c>
      <c r="F5231" s="16" t="s">
        <v>1285</v>
      </c>
      <c r="G5231" s="16" t="s">
        <v>1063</v>
      </c>
      <c r="H5231" s="16" t="s">
        <v>14297</v>
      </c>
      <c r="I5231" s="16" t="s">
        <v>136</v>
      </c>
      <c r="J5231" s="16" t="s">
        <v>15920</v>
      </c>
      <c r="K5231" s="32" t="n">
        <v>50</v>
      </c>
      <c r="L5231" s="33" t="n">
        <v>46541</v>
      </c>
      <c r="M5231" s="33" t="n">
        <v>46590</v>
      </c>
      <c r="N5231" s="16" t="s">
        <v>15915</v>
      </c>
      <c r="O5231" s="16" t="s">
        <v>1299</v>
      </c>
      <c r="P5231" s="16" t="str">
        <f aca="false">IF(AND(L5231&lt;=$D$2,M5231&gt;=$C$2),"Sí","")</f>
        <v/>
      </c>
      <c r="Q5231" s="18" t="str">
        <f aca="false">IF(COUNTIF(LOOKAHEAD!$A$5:$A$604,A5231)&gt;0,"En Lookahead",IF(P5231="Sí","INCORPORAR",""))</f>
        <v/>
      </c>
    </row>
    <row r="5232" customFormat="false" ht="15" hidden="false" customHeight="false" outlineLevel="0" collapsed="false">
      <c r="A5232" s="13" t="s">
        <v>15930</v>
      </c>
      <c r="B5232" s="13" t="n">
        <v>5227</v>
      </c>
      <c r="C5232" s="13" t="s">
        <v>15931</v>
      </c>
      <c r="D5232" s="13" t="n">
        <v>7</v>
      </c>
      <c r="E5232" s="38" t="s">
        <v>15932</v>
      </c>
      <c r="F5232" s="13" t="s">
        <v>1298</v>
      </c>
      <c r="G5232" s="13" t="s">
        <v>1063</v>
      </c>
      <c r="H5232" s="13" t="s">
        <v>14297</v>
      </c>
      <c r="I5232" s="13" t="s">
        <v>136</v>
      </c>
      <c r="J5232" s="13" t="s">
        <v>14302</v>
      </c>
      <c r="K5232" s="30" t="n">
        <v>50</v>
      </c>
      <c r="L5232" s="31" t="n">
        <v>46541</v>
      </c>
      <c r="M5232" s="31" t="n">
        <v>46590</v>
      </c>
      <c r="N5232" s="13"/>
      <c r="O5232" s="13" t="s">
        <v>1299</v>
      </c>
      <c r="P5232" s="13"/>
      <c r="Q5232" s="13"/>
    </row>
    <row r="5233" customFormat="false" ht="15" hidden="false" customHeight="false" outlineLevel="0" collapsed="false">
      <c r="A5233" s="16" t="s">
        <v>15933</v>
      </c>
      <c r="B5233" s="16" t="n">
        <v>5228</v>
      </c>
      <c r="C5233" s="16" t="s">
        <v>15934</v>
      </c>
      <c r="D5233" s="16" t="n">
        <v>8</v>
      </c>
      <c r="E5233" s="39" t="s">
        <v>15344</v>
      </c>
      <c r="F5233" s="16" t="s">
        <v>1285</v>
      </c>
      <c r="G5233" s="16" t="s">
        <v>1063</v>
      </c>
      <c r="H5233" s="16" t="s">
        <v>14297</v>
      </c>
      <c r="I5233" s="16" t="s">
        <v>136</v>
      </c>
      <c r="J5233" s="16" t="s">
        <v>15932</v>
      </c>
      <c r="K5233" s="32" t="n">
        <v>50</v>
      </c>
      <c r="L5233" s="33" t="n">
        <v>46541</v>
      </c>
      <c r="M5233" s="33" t="n">
        <v>46590</v>
      </c>
      <c r="N5233" s="16" t="s">
        <v>15915</v>
      </c>
      <c r="O5233" s="16" t="s">
        <v>1299</v>
      </c>
      <c r="P5233" s="16" t="str">
        <f aca="false">IF(AND(L5233&lt;=$D$2,M5233&gt;=$C$2),"Sí","")</f>
        <v/>
      </c>
      <c r="Q5233" s="18" t="str">
        <f aca="false">IF(COUNTIF(LOOKAHEAD!$A$5:$A$604,A5233)&gt;0,"En Lookahead",IF(P5233="Sí","INCORPORAR",""))</f>
        <v/>
      </c>
    </row>
    <row r="5234" customFormat="false" ht="15" hidden="false" customHeight="false" outlineLevel="0" collapsed="false">
      <c r="A5234" s="13" t="s">
        <v>15935</v>
      </c>
      <c r="B5234" s="13" t="n">
        <v>5229</v>
      </c>
      <c r="C5234" s="13" t="s">
        <v>15936</v>
      </c>
      <c r="D5234" s="13" t="n">
        <v>7</v>
      </c>
      <c r="E5234" s="38" t="s">
        <v>14632</v>
      </c>
      <c r="F5234" s="13" t="s">
        <v>1298</v>
      </c>
      <c r="G5234" s="13" t="s">
        <v>1063</v>
      </c>
      <c r="H5234" s="13" t="s">
        <v>14297</v>
      </c>
      <c r="I5234" s="13" t="s">
        <v>136</v>
      </c>
      <c r="J5234" s="13" t="s">
        <v>14302</v>
      </c>
      <c r="K5234" s="30" t="n">
        <v>50</v>
      </c>
      <c r="L5234" s="31" t="n">
        <v>46541</v>
      </c>
      <c r="M5234" s="31" t="n">
        <v>46590</v>
      </c>
      <c r="N5234" s="13"/>
      <c r="O5234" s="13" t="s">
        <v>1299</v>
      </c>
      <c r="P5234" s="13"/>
      <c r="Q5234" s="13"/>
    </row>
    <row r="5235" customFormat="false" ht="15" hidden="false" customHeight="false" outlineLevel="0" collapsed="false">
      <c r="A5235" s="16" t="s">
        <v>15937</v>
      </c>
      <c r="B5235" s="16" t="n">
        <v>5230</v>
      </c>
      <c r="C5235" s="16" t="s">
        <v>15938</v>
      </c>
      <c r="D5235" s="16" t="n">
        <v>8</v>
      </c>
      <c r="E5235" s="39" t="s">
        <v>14392</v>
      </c>
      <c r="F5235" s="16" t="s">
        <v>1285</v>
      </c>
      <c r="G5235" s="16" t="s">
        <v>1063</v>
      </c>
      <c r="H5235" s="16" t="s">
        <v>14297</v>
      </c>
      <c r="I5235" s="16" t="s">
        <v>136</v>
      </c>
      <c r="J5235" s="16" t="s">
        <v>14632</v>
      </c>
      <c r="K5235" s="32" t="n">
        <v>50</v>
      </c>
      <c r="L5235" s="33" t="n">
        <v>46541</v>
      </c>
      <c r="M5235" s="33" t="n">
        <v>46590</v>
      </c>
      <c r="N5235" s="16" t="s">
        <v>15915</v>
      </c>
      <c r="O5235" s="16" t="s">
        <v>1299</v>
      </c>
      <c r="P5235" s="16" t="str">
        <f aca="false">IF(AND(L5235&lt;=$D$2,M5235&gt;=$C$2),"Sí","")</f>
        <v/>
      </c>
      <c r="Q5235" s="18" t="str">
        <f aca="false">IF(COUNTIF(LOOKAHEAD!$A$5:$A$604,A5235)&gt;0,"En Lookahead",IF(P5235="Sí","INCORPORAR",""))</f>
        <v/>
      </c>
    </row>
    <row r="5236" customFormat="false" ht="15" hidden="false" customHeight="false" outlineLevel="0" collapsed="false">
      <c r="A5236" s="13" t="s">
        <v>15939</v>
      </c>
      <c r="B5236" s="13" t="n">
        <v>5231</v>
      </c>
      <c r="C5236" s="13" t="s">
        <v>15940</v>
      </c>
      <c r="D5236" s="13" t="n">
        <v>7</v>
      </c>
      <c r="E5236" s="38" t="s">
        <v>15941</v>
      </c>
      <c r="F5236" s="13" t="s">
        <v>1298</v>
      </c>
      <c r="G5236" s="13" t="s">
        <v>1063</v>
      </c>
      <c r="H5236" s="13" t="s">
        <v>14297</v>
      </c>
      <c r="I5236" s="13" t="s">
        <v>136</v>
      </c>
      <c r="J5236" s="13" t="s">
        <v>14302</v>
      </c>
      <c r="K5236" s="30" t="n">
        <v>50</v>
      </c>
      <c r="L5236" s="31" t="n">
        <v>46541</v>
      </c>
      <c r="M5236" s="31" t="n">
        <v>46590</v>
      </c>
      <c r="N5236" s="13"/>
      <c r="O5236" s="13" t="s">
        <v>1299</v>
      </c>
      <c r="P5236" s="13"/>
      <c r="Q5236" s="13"/>
    </row>
    <row r="5237" customFormat="false" ht="15" hidden="false" customHeight="false" outlineLevel="0" collapsed="false">
      <c r="A5237" s="16" t="s">
        <v>15942</v>
      </c>
      <c r="B5237" s="16" t="n">
        <v>5232</v>
      </c>
      <c r="C5237" s="16" t="s">
        <v>15943</v>
      </c>
      <c r="D5237" s="16" t="n">
        <v>8</v>
      </c>
      <c r="E5237" s="39" t="s">
        <v>15944</v>
      </c>
      <c r="F5237" s="16" t="s">
        <v>1285</v>
      </c>
      <c r="G5237" s="16" t="s">
        <v>1063</v>
      </c>
      <c r="H5237" s="16" t="s">
        <v>14297</v>
      </c>
      <c r="I5237" s="16" t="s">
        <v>136</v>
      </c>
      <c r="J5237" s="16" t="s">
        <v>15941</v>
      </c>
      <c r="K5237" s="32" t="n">
        <v>50</v>
      </c>
      <c r="L5237" s="33" t="n">
        <v>46541</v>
      </c>
      <c r="M5237" s="33" t="n">
        <v>46590</v>
      </c>
      <c r="N5237" s="16" t="s">
        <v>15915</v>
      </c>
      <c r="O5237" s="16" t="s">
        <v>1299</v>
      </c>
      <c r="P5237" s="16" t="str">
        <f aca="false">IF(AND(L5237&lt;=$D$2,M5237&gt;=$C$2),"Sí","")</f>
        <v/>
      </c>
      <c r="Q5237" s="18" t="str">
        <f aca="false">IF(COUNTIF(LOOKAHEAD!$A$5:$A$604,A5237)&gt;0,"En Lookahead",IF(P5237="Sí","INCORPORAR",""))</f>
        <v/>
      </c>
    </row>
    <row r="5238" customFormat="false" ht="15" hidden="false" customHeight="false" outlineLevel="0" collapsed="false">
      <c r="A5238" s="16" t="s">
        <v>15945</v>
      </c>
      <c r="B5238" s="16" t="n">
        <v>5233</v>
      </c>
      <c r="C5238" s="16" t="s">
        <v>15946</v>
      </c>
      <c r="D5238" s="16" t="n">
        <v>8</v>
      </c>
      <c r="E5238" s="39" t="s">
        <v>14639</v>
      </c>
      <c r="F5238" s="16" t="s">
        <v>1285</v>
      </c>
      <c r="G5238" s="16" t="s">
        <v>1063</v>
      </c>
      <c r="H5238" s="16" t="s">
        <v>14297</v>
      </c>
      <c r="I5238" s="16" t="s">
        <v>136</v>
      </c>
      <c r="J5238" s="16" t="s">
        <v>15941</v>
      </c>
      <c r="K5238" s="32" t="n">
        <v>50</v>
      </c>
      <c r="L5238" s="33" t="n">
        <v>46541</v>
      </c>
      <c r="M5238" s="33" t="n">
        <v>46590</v>
      </c>
      <c r="N5238" s="16" t="s">
        <v>15915</v>
      </c>
      <c r="O5238" s="16" t="s">
        <v>1299</v>
      </c>
      <c r="P5238" s="16" t="str">
        <f aca="false">IF(AND(L5238&lt;=$D$2,M5238&gt;=$C$2),"Sí","")</f>
        <v/>
      </c>
      <c r="Q5238" s="18" t="str">
        <f aca="false">IF(COUNTIF(LOOKAHEAD!$A$5:$A$604,A5238)&gt;0,"En Lookahead",IF(P5238="Sí","INCORPORAR",""))</f>
        <v/>
      </c>
    </row>
    <row r="5239" customFormat="false" ht="15" hidden="false" customHeight="false" outlineLevel="0" collapsed="false">
      <c r="A5239" s="13" t="s">
        <v>15947</v>
      </c>
      <c r="B5239" s="13" t="n">
        <v>5234</v>
      </c>
      <c r="C5239" s="13" t="s">
        <v>15948</v>
      </c>
      <c r="D5239" s="13" t="n">
        <v>6</v>
      </c>
      <c r="E5239" s="36" t="s">
        <v>14471</v>
      </c>
      <c r="F5239" s="13" t="s">
        <v>1298</v>
      </c>
      <c r="G5239" s="13" t="s">
        <v>1063</v>
      </c>
      <c r="H5239" s="13" t="s">
        <v>14297</v>
      </c>
      <c r="I5239" s="13" t="s">
        <v>136</v>
      </c>
      <c r="J5239" s="13" t="s">
        <v>4018</v>
      </c>
      <c r="K5239" s="30" t="n">
        <v>50</v>
      </c>
      <c r="L5239" s="31" t="n">
        <v>46541</v>
      </c>
      <c r="M5239" s="31" t="n">
        <v>46590</v>
      </c>
      <c r="N5239" s="13"/>
      <c r="O5239" s="13" t="s">
        <v>1299</v>
      </c>
      <c r="P5239" s="13"/>
      <c r="Q5239" s="13"/>
    </row>
    <row r="5240" customFormat="false" ht="15" hidden="false" customHeight="false" outlineLevel="0" collapsed="false">
      <c r="A5240" s="13" t="s">
        <v>15949</v>
      </c>
      <c r="B5240" s="13" t="n">
        <v>5235</v>
      </c>
      <c r="C5240" s="13" t="s">
        <v>15950</v>
      </c>
      <c r="D5240" s="13" t="n">
        <v>7</v>
      </c>
      <c r="E5240" s="38" t="s">
        <v>15951</v>
      </c>
      <c r="F5240" s="13" t="s">
        <v>1298</v>
      </c>
      <c r="G5240" s="13" t="s">
        <v>1063</v>
      </c>
      <c r="H5240" s="13" t="s">
        <v>14297</v>
      </c>
      <c r="I5240" s="13" t="s">
        <v>136</v>
      </c>
      <c r="J5240" s="13" t="s">
        <v>14471</v>
      </c>
      <c r="K5240" s="30" t="n">
        <v>50</v>
      </c>
      <c r="L5240" s="31" t="n">
        <v>46541</v>
      </c>
      <c r="M5240" s="31" t="n">
        <v>46590</v>
      </c>
      <c r="N5240" s="13"/>
      <c r="O5240" s="13" t="s">
        <v>1299</v>
      </c>
      <c r="P5240" s="13"/>
      <c r="Q5240" s="13"/>
    </row>
    <row r="5241" customFormat="false" ht="15" hidden="false" customHeight="false" outlineLevel="0" collapsed="false">
      <c r="A5241" s="16" t="s">
        <v>15952</v>
      </c>
      <c r="B5241" s="16" t="n">
        <v>5236</v>
      </c>
      <c r="C5241" s="16" t="s">
        <v>15953</v>
      </c>
      <c r="D5241" s="16" t="n">
        <v>8</v>
      </c>
      <c r="E5241" s="39" t="s">
        <v>14308</v>
      </c>
      <c r="F5241" s="16" t="s">
        <v>1285</v>
      </c>
      <c r="G5241" s="16" t="s">
        <v>1063</v>
      </c>
      <c r="H5241" s="16" t="s">
        <v>14297</v>
      </c>
      <c r="I5241" s="16" t="s">
        <v>136</v>
      </c>
      <c r="J5241" s="16" t="s">
        <v>15951</v>
      </c>
      <c r="K5241" s="32" t="n">
        <v>50</v>
      </c>
      <c r="L5241" s="33" t="n">
        <v>46541</v>
      </c>
      <c r="M5241" s="33" t="n">
        <v>46590</v>
      </c>
      <c r="N5241" s="16" t="s">
        <v>15915</v>
      </c>
      <c r="O5241" s="16" t="s">
        <v>1299</v>
      </c>
      <c r="P5241" s="16" t="str">
        <f aca="false">IF(AND(L5241&lt;=$D$2,M5241&gt;=$C$2),"Sí","")</f>
        <v/>
      </c>
      <c r="Q5241" s="18" t="str">
        <f aca="false">IF(COUNTIF(LOOKAHEAD!$A$5:$A$604,A5241)&gt;0,"En Lookahead",IF(P5241="Sí","INCORPORAR",""))</f>
        <v/>
      </c>
    </row>
    <row r="5242" customFormat="false" ht="15" hidden="false" customHeight="false" outlineLevel="0" collapsed="false">
      <c r="A5242" s="16" t="s">
        <v>15954</v>
      </c>
      <c r="B5242" s="16" t="n">
        <v>5237</v>
      </c>
      <c r="C5242" s="16" t="s">
        <v>15955</v>
      </c>
      <c r="D5242" s="16" t="n">
        <v>8</v>
      </c>
      <c r="E5242" s="39" t="s">
        <v>14392</v>
      </c>
      <c r="F5242" s="16" t="s">
        <v>1285</v>
      </c>
      <c r="G5242" s="16" t="s">
        <v>1063</v>
      </c>
      <c r="H5242" s="16" t="s">
        <v>14297</v>
      </c>
      <c r="I5242" s="16" t="s">
        <v>136</v>
      </c>
      <c r="J5242" s="16" t="s">
        <v>15951</v>
      </c>
      <c r="K5242" s="32" t="n">
        <v>50</v>
      </c>
      <c r="L5242" s="33" t="n">
        <v>46541</v>
      </c>
      <c r="M5242" s="33" t="n">
        <v>46590</v>
      </c>
      <c r="N5242" s="16" t="s">
        <v>15915</v>
      </c>
      <c r="O5242" s="16" t="s">
        <v>1299</v>
      </c>
      <c r="P5242" s="16" t="str">
        <f aca="false">IF(AND(L5242&lt;=$D$2,M5242&gt;=$C$2),"Sí","")</f>
        <v/>
      </c>
      <c r="Q5242" s="18" t="str">
        <f aca="false">IF(COUNTIF(LOOKAHEAD!$A$5:$A$604,A5242)&gt;0,"En Lookahead",IF(P5242="Sí","INCORPORAR",""))</f>
        <v/>
      </c>
    </row>
    <row r="5243" customFormat="false" ht="15" hidden="false" customHeight="false" outlineLevel="0" collapsed="false">
      <c r="A5243" s="16" t="s">
        <v>15956</v>
      </c>
      <c r="B5243" s="16" t="n">
        <v>5238</v>
      </c>
      <c r="C5243" s="16" t="s">
        <v>15957</v>
      </c>
      <c r="D5243" s="16" t="n">
        <v>8</v>
      </c>
      <c r="E5243" s="39" t="s">
        <v>14337</v>
      </c>
      <c r="F5243" s="16" t="s">
        <v>1285</v>
      </c>
      <c r="G5243" s="16" t="s">
        <v>1063</v>
      </c>
      <c r="H5243" s="16" t="s">
        <v>14297</v>
      </c>
      <c r="I5243" s="16" t="s">
        <v>136</v>
      </c>
      <c r="J5243" s="16" t="s">
        <v>15951</v>
      </c>
      <c r="K5243" s="32" t="n">
        <v>50</v>
      </c>
      <c r="L5243" s="33" t="n">
        <v>46541</v>
      </c>
      <c r="M5243" s="33" t="n">
        <v>46590</v>
      </c>
      <c r="N5243" s="16" t="s">
        <v>15915</v>
      </c>
      <c r="O5243" s="16" t="s">
        <v>1299</v>
      </c>
      <c r="P5243" s="16" t="str">
        <f aca="false">IF(AND(L5243&lt;=$D$2,M5243&gt;=$C$2),"Sí","")</f>
        <v/>
      </c>
      <c r="Q5243" s="18" t="str">
        <f aca="false">IF(COUNTIF(LOOKAHEAD!$A$5:$A$604,A5243)&gt;0,"En Lookahead",IF(P5243="Sí","INCORPORAR",""))</f>
        <v/>
      </c>
    </row>
    <row r="5244" customFormat="false" ht="15" hidden="false" customHeight="false" outlineLevel="0" collapsed="false">
      <c r="A5244" s="16" t="s">
        <v>15958</v>
      </c>
      <c r="B5244" s="16" t="n">
        <v>5239</v>
      </c>
      <c r="C5244" s="16" t="s">
        <v>15959</v>
      </c>
      <c r="D5244" s="16" t="n">
        <v>8</v>
      </c>
      <c r="E5244" s="39" t="s">
        <v>14484</v>
      </c>
      <c r="F5244" s="16" t="s">
        <v>1285</v>
      </c>
      <c r="G5244" s="16" t="s">
        <v>1063</v>
      </c>
      <c r="H5244" s="16" t="s">
        <v>14297</v>
      </c>
      <c r="I5244" s="16" t="s">
        <v>136</v>
      </c>
      <c r="J5244" s="16" t="s">
        <v>15951</v>
      </c>
      <c r="K5244" s="32" t="n">
        <v>50</v>
      </c>
      <c r="L5244" s="33" t="n">
        <v>46541</v>
      </c>
      <c r="M5244" s="33" t="n">
        <v>46590</v>
      </c>
      <c r="N5244" s="16" t="s">
        <v>15915</v>
      </c>
      <c r="O5244" s="16" t="s">
        <v>1299</v>
      </c>
      <c r="P5244" s="16" t="str">
        <f aca="false">IF(AND(L5244&lt;=$D$2,M5244&gt;=$C$2),"Sí","")</f>
        <v/>
      </c>
      <c r="Q5244" s="18" t="str">
        <f aca="false">IF(COUNTIF(LOOKAHEAD!$A$5:$A$604,A5244)&gt;0,"En Lookahead",IF(P5244="Sí","INCORPORAR",""))</f>
        <v/>
      </c>
    </row>
    <row r="5245" customFormat="false" ht="15" hidden="false" customHeight="false" outlineLevel="0" collapsed="false">
      <c r="A5245" s="16" t="s">
        <v>15960</v>
      </c>
      <c r="B5245" s="16" t="n">
        <v>5240</v>
      </c>
      <c r="C5245" s="16" t="s">
        <v>15961</v>
      </c>
      <c r="D5245" s="16" t="n">
        <v>8</v>
      </c>
      <c r="E5245" s="39" t="s">
        <v>14316</v>
      </c>
      <c r="F5245" s="16" t="s">
        <v>1285</v>
      </c>
      <c r="G5245" s="16" t="s">
        <v>1063</v>
      </c>
      <c r="H5245" s="16" t="s">
        <v>14297</v>
      </c>
      <c r="I5245" s="16" t="s">
        <v>136</v>
      </c>
      <c r="J5245" s="16" t="s">
        <v>15951</v>
      </c>
      <c r="K5245" s="32" t="n">
        <v>50</v>
      </c>
      <c r="L5245" s="33" t="n">
        <v>46541</v>
      </c>
      <c r="M5245" s="33" t="n">
        <v>46590</v>
      </c>
      <c r="N5245" s="16" t="s">
        <v>15915</v>
      </c>
      <c r="O5245" s="16" t="s">
        <v>1299</v>
      </c>
      <c r="P5245" s="16" t="str">
        <f aca="false">IF(AND(L5245&lt;=$D$2,M5245&gt;=$C$2),"Sí","")</f>
        <v/>
      </c>
      <c r="Q5245" s="18" t="str">
        <f aca="false">IF(COUNTIF(LOOKAHEAD!$A$5:$A$604,A5245)&gt;0,"En Lookahead",IF(P5245="Sí","INCORPORAR",""))</f>
        <v/>
      </c>
    </row>
    <row r="5246" customFormat="false" ht="15" hidden="false" customHeight="false" outlineLevel="0" collapsed="false">
      <c r="A5246" s="16" t="s">
        <v>15962</v>
      </c>
      <c r="B5246" s="16" t="n">
        <v>5241</v>
      </c>
      <c r="C5246" s="16" t="s">
        <v>15963</v>
      </c>
      <c r="D5246" s="16" t="n">
        <v>8</v>
      </c>
      <c r="E5246" s="39" t="s">
        <v>14319</v>
      </c>
      <c r="F5246" s="16" t="s">
        <v>1285</v>
      </c>
      <c r="G5246" s="16" t="s">
        <v>1063</v>
      </c>
      <c r="H5246" s="16" t="s">
        <v>14297</v>
      </c>
      <c r="I5246" s="16" t="s">
        <v>136</v>
      </c>
      <c r="J5246" s="16" t="s">
        <v>15951</v>
      </c>
      <c r="K5246" s="32" t="n">
        <v>50</v>
      </c>
      <c r="L5246" s="33" t="n">
        <v>46541</v>
      </c>
      <c r="M5246" s="33" t="n">
        <v>46590</v>
      </c>
      <c r="N5246" s="16" t="s">
        <v>15915</v>
      </c>
      <c r="O5246" s="16" t="s">
        <v>1299</v>
      </c>
      <c r="P5246" s="16" t="str">
        <f aca="false">IF(AND(L5246&lt;=$D$2,M5246&gt;=$C$2),"Sí","")</f>
        <v/>
      </c>
      <c r="Q5246" s="18" t="str">
        <f aca="false">IF(COUNTIF(LOOKAHEAD!$A$5:$A$604,A5246)&gt;0,"En Lookahead",IF(P5246="Sí","INCORPORAR",""))</f>
        <v/>
      </c>
    </row>
    <row r="5247" customFormat="false" ht="15" hidden="false" customHeight="false" outlineLevel="0" collapsed="false">
      <c r="A5247" s="16" t="s">
        <v>15964</v>
      </c>
      <c r="B5247" s="16" t="n">
        <v>5242</v>
      </c>
      <c r="C5247" s="16" t="s">
        <v>15965</v>
      </c>
      <c r="D5247" s="16" t="n">
        <v>8</v>
      </c>
      <c r="E5247" s="39" t="s">
        <v>14322</v>
      </c>
      <c r="F5247" s="16" t="s">
        <v>1285</v>
      </c>
      <c r="G5247" s="16" t="s">
        <v>1063</v>
      </c>
      <c r="H5247" s="16" t="s">
        <v>14297</v>
      </c>
      <c r="I5247" s="16" t="s">
        <v>136</v>
      </c>
      <c r="J5247" s="16" t="s">
        <v>15951</v>
      </c>
      <c r="K5247" s="32" t="n">
        <v>50</v>
      </c>
      <c r="L5247" s="33" t="n">
        <v>46541</v>
      </c>
      <c r="M5247" s="33" t="n">
        <v>46590</v>
      </c>
      <c r="N5247" s="16" t="s">
        <v>15915</v>
      </c>
      <c r="O5247" s="16" t="s">
        <v>1299</v>
      </c>
      <c r="P5247" s="16" t="str">
        <f aca="false">IF(AND(L5247&lt;=$D$2,M5247&gt;=$C$2),"Sí","")</f>
        <v/>
      </c>
      <c r="Q5247" s="18" t="str">
        <f aca="false">IF(COUNTIF(LOOKAHEAD!$A$5:$A$604,A5247)&gt;0,"En Lookahead",IF(P5247="Sí","INCORPORAR",""))</f>
        <v/>
      </c>
    </row>
    <row r="5248" customFormat="false" ht="15" hidden="false" customHeight="false" outlineLevel="0" collapsed="false">
      <c r="A5248" s="13" t="s">
        <v>15966</v>
      </c>
      <c r="B5248" s="13" t="n">
        <v>5243</v>
      </c>
      <c r="C5248" s="13" t="s">
        <v>15967</v>
      </c>
      <c r="D5248" s="13" t="n">
        <v>7</v>
      </c>
      <c r="E5248" s="38" t="s">
        <v>15968</v>
      </c>
      <c r="F5248" s="13" t="s">
        <v>1298</v>
      </c>
      <c r="G5248" s="13" t="s">
        <v>1063</v>
      </c>
      <c r="H5248" s="13" t="s">
        <v>14297</v>
      </c>
      <c r="I5248" s="13" t="s">
        <v>136</v>
      </c>
      <c r="J5248" s="13" t="s">
        <v>14471</v>
      </c>
      <c r="K5248" s="30" t="n">
        <v>50</v>
      </c>
      <c r="L5248" s="31" t="n">
        <v>46541</v>
      </c>
      <c r="M5248" s="31" t="n">
        <v>46590</v>
      </c>
      <c r="N5248" s="13"/>
      <c r="O5248" s="13" t="s">
        <v>1299</v>
      </c>
      <c r="P5248" s="13"/>
      <c r="Q5248" s="13"/>
    </row>
    <row r="5249" customFormat="false" ht="15" hidden="false" customHeight="false" outlineLevel="0" collapsed="false">
      <c r="A5249" s="16" t="s">
        <v>15969</v>
      </c>
      <c r="B5249" s="16" t="n">
        <v>5244</v>
      </c>
      <c r="C5249" s="16" t="s">
        <v>15970</v>
      </c>
      <c r="D5249" s="16" t="n">
        <v>8</v>
      </c>
      <c r="E5249" s="39" t="s">
        <v>14537</v>
      </c>
      <c r="F5249" s="16" t="s">
        <v>1285</v>
      </c>
      <c r="G5249" s="16" t="s">
        <v>1063</v>
      </c>
      <c r="H5249" s="16" t="s">
        <v>14297</v>
      </c>
      <c r="I5249" s="16" t="s">
        <v>136</v>
      </c>
      <c r="J5249" s="16" t="s">
        <v>15968</v>
      </c>
      <c r="K5249" s="32" t="n">
        <v>50</v>
      </c>
      <c r="L5249" s="33" t="n">
        <v>46541</v>
      </c>
      <c r="M5249" s="33" t="n">
        <v>46590</v>
      </c>
      <c r="N5249" s="16" t="s">
        <v>15915</v>
      </c>
      <c r="O5249" s="16" t="s">
        <v>1299</v>
      </c>
      <c r="P5249" s="16" t="str">
        <f aca="false">IF(AND(L5249&lt;=$D$2,M5249&gt;=$C$2),"Sí","")</f>
        <v/>
      </c>
      <c r="Q5249" s="18" t="str">
        <f aca="false">IF(COUNTIF(LOOKAHEAD!$A$5:$A$604,A5249)&gt;0,"En Lookahead",IF(P5249="Sí","INCORPORAR",""))</f>
        <v/>
      </c>
    </row>
    <row r="5250" customFormat="false" ht="15" hidden="false" customHeight="false" outlineLevel="0" collapsed="false">
      <c r="A5250" s="16" t="s">
        <v>15971</v>
      </c>
      <c r="B5250" s="16" t="n">
        <v>5245</v>
      </c>
      <c r="C5250" s="16" t="s">
        <v>15972</v>
      </c>
      <c r="D5250" s="16" t="n">
        <v>8</v>
      </c>
      <c r="E5250" s="39" t="s">
        <v>14392</v>
      </c>
      <c r="F5250" s="16" t="s">
        <v>1285</v>
      </c>
      <c r="G5250" s="16" t="s">
        <v>1063</v>
      </c>
      <c r="H5250" s="16" t="s">
        <v>14297</v>
      </c>
      <c r="I5250" s="16" t="s">
        <v>136</v>
      </c>
      <c r="J5250" s="16" t="s">
        <v>15968</v>
      </c>
      <c r="K5250" s="32" t="n">
        <v>50</v>
      </c>
      <c r="L5250" s="33" t="n">
        <v>46541</v>
      </c>
      <c r="M5250" s="33" t="n">
        <v>46590</v>
      </c>
      <c r="N5250" s="16" t="s">
        <v>15915</v>
      </c>
      <c r="O5250" s="16" t="s">
        <v>1299</v>
      </c>
      <c r="P5250" s="16" t="str">
        <f aca="false">IF(AND(L5250&lt;=$D$2,M5250&gt;=$C$2),"Sí","")</f>
        <v/>
      </c>
      <c r="Q5250" s="18" t="str">
        <f aca="false">IF(COUNTIF(LOOKAHEAD!$A$5:$A$604,A5250)&gt;0,"En Lookahead",IF(P5250="Sí","INCORPORAR",""))</f>
        <v/>
      </c>
    </row>
    <row r="5251" customFormat="false" ht="15" hidden="false" customHeight="false" outlineLevel="0" collapsed="false">
      <c r="A5251" s="16" t="s">
        <v>15973</v>
      </c>
      <c r="B5251" s="16" t="n">
        <v>5246</v>
      </c>
      <c r="C5251" s="16" t="s">
        <v>15974</v>
      </c>
      <c r="D5251" s="16" t="n">
        <v>8</v>
      </c>
      <c r="E5251" s="39" t="s">
        <v>14319</v>
      </c>
      <c r="F5251" s="16" t="s">
        <v>1285</v>
      </c>
      <c r="G5251" s="16" t="s">
        <v>1063</v>
      </c>
      <c r="H5251" s="16" t="s">
        <v>14297</v>
      </c>
      <c r="I5251" s="16" t="s">
        <v>136</v>
      </c>
      <c r="J5251" s="16" t="s">
        <v>15968</v>
      </c>
      <c r="K5251" s="32" t="n">
        <v>50</v>
      </c>
      <c r="L5251" s="33" t="n">
        <v>46541</v>
      </c>
      <c r="M5251" s="33" t="n">
        <v>46590</v>
      </c>
      <c r="N5251" s="16" t="s">
        <v>15915</v>
      </c>
      <c r="O5251" s="16" t="s">
        <v>1299</v>
      </c>
      <c r="P5251" s="16" t="str">
        <f aca="false">IF(AND(L5251&lt;=$D$2,M5251&gt;=$C$2),"Sí","")</f>
        <v/>
      </c>
      <c r="Q5251" s="18" t="str">
        <f aca="false">IF(COUNTIF(LOOKAHEAD!$A$5:$A$604,A5251)&gt;0,"En Lookahead",IF(P5251="Sí","INCORPORAR",""))</f>
        <v/>
      </c>
    </row>
    <row r="5252" customFormat="false" ht="15" hidden="false" customHeight="false" outlineLevel="0" collapsed="false">
      <c r="A5252" s="16" t="s">
        <v>15975</v>
      </c>
      <c r="B5252" s="16" t="n">
        <v>5247</v>
      </c>
      <c r="C5252" s="16" t="s">
        <v>15976</v>
      </c>
      <c r="D5252" s="16" t="n">
        <v>8</v>
      </c>
      <c r="E5252" s="39" t="s">
        <v>14322</v>
      </c>
      <c r="F5252" s="16" t="s">
        <v>1285</v>
      </c>
      <c r="G5252" s="16" t="s">
        <v>1063</v>
      </c>
      <c r="H5252" s="16" t="s">
        <v>14297</v>
      </c>
      <c r="I5252" s="16" t="s">
        <v>136</v>
      </c>
      <c r="J5252" s="16" t="s">
        <v>15968</v>
      </c>
      <c r="K5252" s="32" t="n">
        <v>50</v>
      </c>
      <c r="L5252" s="33" t="n">
        <v>46541</v>
      </c>
      <c r="M5252" s="33" t="n">
        <v>46590</v>
      </c>
      <c r="N5252" s="16" t="s">
        <v>15915</v>
      </c>
      <c r="O5252" s="16" t="s">
        <v>1299</v>
      </c>
      <c r="P5252" s="16" t="str">
        <f aca="false">IF(AND(L5252&lt;=$D$2,M5252&gt;=$C$2),"Sí","")</f>
        <v/>
      </c>
      <c r="Q5252" s="18" t="str">
        <f aca="false">IF(COUNTIF(LOOKAHEAD!$A$5:$A$604,A5252)&gt;0,"En Lookahead",IF(P5252="Sí","INCORPORAR",""))</f>
        <v/>
      </c>
    </row>
    <row r="5253" customFormat="false" ht="15" hidden="false" customHeight="false" outlineLevel="0" collapsed="false">
      <c r="A5253" s="16" t="s">
        <v>15977</v>
      </c>
      <c r="B5253" s="16" t="n">
        <v>5248</v>
      </c>
      <c r="C5253" s="16" t="s">
        <v>15978</v>
      </c>
      <c r="D5253" s="16" t="n">
        <v>8</v>
      </c>
      <c r="E5253" s="39" t="s">
        <v>14548</v>
      </c>
      <c r="F5253" s="16" t="s">
        <v>1285</v>
      </c>
      <c r="G5253" s="16" t="s">
        <v>1063</v>
      </c>
      <c r="H5253" s="16" t="s">
        <v>14297</v>
      </c>
      <c r="I5253" s="16" t="s">
        <v>136</v>
      </c>
      <c r="J5253" s="16" t="s">
        <v>15968</v>
      </c>
      <c r="K5253" s="32" t="n">
        <v>50</v>
      </c>
      <c r="L5253" s="33" t="n">
        <v>46541</v>
      </c>
      <c r="M5253" s="33" t="n">
        <v>46590</v>
      </c>
      <c r="N5253" s="16" t="s">
        <v>15915</v>
      </c>
      <c r="O5253" s="16" t="s">
        <v>1299</v>
      </c>
      <c r="P5253" s="16" t="str">
        <f aca="false">IF(AND(L5253&lt;=$D$2,M5253&gt;=$C$2),"Sí","")</f>
        <v/>
      </c>
      <c r="Q5253" s="18" t="str">
        <f aca="false">IF(COUNTIF(LOOKAHEAD!$A$5:$A$604,A5253)&gt;0,"En Lookahead",IF(P5253="Sí","INCORPORAR",""))</f>
        <v/>
      </c>
    </row>
    <row r="5254" customFormat="false" ht="15" hidden="false" customHeight="false" outlineLevel="0" collapsed="false">
      <c r="A5254" s="16" t="s">
        <v>15979</v>
      </c>
      <c r="B5254" s="16" t="n">
        <v>5249</v>
      </c>
      <c r="C5254" s="16" t="s">
        <v>15980</v>
      </c>
      <c r="D5254" s="16" t="n">
        <v>8</v>
      </c>
      <c r="E5254" s="39" t="s">
        <v>14384</v>
      </c>
      <c r="F5254" s="16" t="s">
        <v>1285</v>
      </c>
      <c r="G5254" s="16" t="s">
        <v>1063</v>
      </c>
      <c r="H5254" s="16" t="s">
        <v>14297</v>
      </c>
      <c r="I5254" s="16" t="s">
        <v>136</v>
      </c>
      <c r="J5254" s="16" t="s">
        <v>15968</v>
      </c>
      <c r="K5254" s="32" t="n">
        <v>50</v>
      </c>
      <c r="L5254" s="33" t="n">
        <v>46541</v>
      </c>
      <c r="M5254" s="33" t="n">
        <v>46590</v>
      </c>
      <c r="N5254" s="16" t="s">
        <v>15915</v>
      </c>
      <c r="O5254" s="16" t="s">
        <v>1299</v>
      </c>
      <c r="P5254" s="16" t="str">
        <f aca="false">IF(AND(L5254&lt;=$D$2,M5254&gt;=$C$2),"Sí","")</f>
        <v/>
      </c>
      <c r="Q5254" s="18" t="str">
        <f aca="false">IF(COUNTIF(LOOKAHEAD!$A$5:$A$604,A5254)&gt;0,"En Lookahead",IF(P5254="Sí","INCORPORAR",""))</f>
        <v/>
      </c>
    </row>
    <row r="5255" customFormat="false" ht="15" hidden="false" customHeight="false" outlineLevel="0" collapsed="false">
      <c r="A5255" s="16" t="s">
        <v>15981</v>
      </c>
      <c r="B5255" s="16" t="n">
        <v>5250</v>
      </c>
      <c r="C5255" s="16" t="s">
        <v>15982</v>
      </c>
      <c r="D5255" s="16" t="n">
        <v>8</v>
      </c>
      <c r="E5255" s="39" t="s">
        <v>14968</v>
      </c>
      <c r="F5255" s="16" t="s">
        <v>1285</v>
      </c>
      <c r="G5255" s="16" t="s">
        <v>1063</v>
      </c>
      <c r="H5255" s="16" t="s">
        <v>14297</v>
      </c>
      <c r="I5255" s="16" t="s">
        <v>136</v>
      </c>
      <c r="J5255" s="16" t="s">
        <v>15968</v>
      </c>
      <c r="K5255" s="32" t="n">
        <v>50</v>
      </c>
      <c r="L5255" s="33" t="n">
        <v>46541</v>
      </c>
      <c r="M5255" s="33" t="n">
        <v>46590</v>
      </c>
      <c r="N5255" s="16" t="s">
        <v>15915</v>
      </c>
      <c r="O5255" s="16" t="s">
        <v>1299</v>
      </c>
      <c r="P5255" s="16" t="str">
        <f aca="false">IF(AND(L5255&lt;=$D$2,M5255&gt;=$C$2),"Sí","")</f>
        <v/>
      </c>
      <c r="Q5255" s="18" t="str">
        <f aca="false">IF(COUNTIF(LOOKAHEAD!$A$5:$A$604,A5255)&gt;0,"En Lookahead",IF(P5255="Sí","INCORPORAR",""))</f>
        <v/>
      </c>
    </row>
    <row r="5256" customFormat="false" ht="15" hidden="false" customHeight="false" outlineLevel="0" collapsed="false">
      <c r="A5256" s="13" t="s">
        <v>15983</v>
      </c>
      <c r="B5256" s="13" t="n">
        <v>5251</v>
      </c>
      <c r="C5256" s="13" t="s">
        <v>15984</v>
      </c>
      <c r="D5256" s="13" t="n">
        <v>7</v>
      </c>
      <c r="E5256" s="38" t="s">
        <v>15985</v>
      </c>
      <c r="F5256" s="13" t="s">
        <v>1298</v>
      </c>
      <c r="G5256" s="13" t="s">
        <v>1063</v>
      </c>
      <c r="H5256" s="13" t="s">
        <v>14297</v>
      </c>
      <c r="I5256" s="13" t="s">
        <v>136</v>
      </c>
      <c r="J5256" s="13" t="s">
        <v>14471</v>
      </c>
      <c r="K5256" s="30" t="n">
        <v>50</v>
      </c>
      <c r="L5256" s="31" t="n">
        <v>46541</v>
      </c>
      <c r="M5256" s="31" t="n">
        <v>46590</v>
      </c>
      <c r="N5256" s="13"/>
      <c r="O5256" s="13" t="s">
        <v>1299</v>
      </c>
      <c r="P5256" s="13"/>
      <c r="Q5256" s="13"/>
    </row>
    <row r="5257" customFormat="false" ht="15" hidden="false" customHeight="false" outlineLevel="0" collapsed="false">
      <c r="A5257" s="16" t="s">
        <v>15986</v>
      </c>
      <c r="B5257" s="16" t="n">
        <v>5252</v>
      </c>
      <c r="C5257" s="16" t="s">
        <v>15987</v>
      </c>
      <c r="D5257" s="16" t="n">
        <v>8</v>
      </c>
      <c r="E5257" s="39" t="s">
        <v>14308</v>
      </c>
      <c r="F5257" s="16" t="s">
        <v>1285</v>
      </c>
      <c r="G5257" s="16" t="s">
        <v>1063</v>
      </c>
      <c r="H5257" s="16" t="s">
        <v>14297</v>
      </c>
      <c r="I5257" s="16" t="s">
        <v>136</v>
      </c>
      <c r="J5257" s="16" t="s">
        <v>15985</v>
      </c>
      <c r="K5257" s="32" t="n">
        <v>50</v>
      </c>
      <c r="L5257" s="33" t="n">
        <v>46541</v>
      </c>
      <c r="M5257" s="33" t="n">
        <v>46590</v>
      </c>
      <c r="N5257" s="16" t="s">
        <v>15915</v>
      </c>
      <c r="O5257" s="16" t="s">
        <v>1299</v>
      </c>
      <c r="P5257" s="16" t="str">
        <f aca="false">IF(AND(L5257&lt;=$D$2,M5257&gt;=$C$2),"Sí","")</f>
        <v/>
      </c>
      <c r="Q5257" s="18" t="str">
        <f aca="false">IF(COUNTIF(LOOKAHEAD!$A$5:$A$604,A5257)&gt;0,"En Lookahead",IF(P5257="Sí","INCORPORAR",""))</f>
        <v/>
      </c>
    </row>
    <row r="5258" customFormat="false" ht="15" hidden="false" customHeight="false" outlineLevel="0" collapsed="false">
      <c r="A5258" s="16" t="s">
        <v>15988</v>
      </c>
      <c r="B5258" s="16" t="n">
        <v>5253</v>
      </c>
      <c r="C5258" s="16" t="s">
        <v>15989</v>
      </c>
      <c r="D5258" s="16" t="n">
        <v>8</v>
      </c>
      <c r="E5258" s="39" t="s">
        <v>14392</v>
      </c>
      <c r="F5258" s="16" t="s">
        <v>1285</v>
      </c>
      <c r="G5258" s="16" t="s">
        <v>1063</v>
      </c>
      <c r="H5258" s="16" t="s">
        <v>14297</v>
      </c>
      <c r="I5258" s="16" t="s">
        <v>136</v>
      </c>
      <c r="J5258" s="16" t="s">
        <v>15985</v>
      </c>
      <c r="K5258" s="32" t="n">
        <v>50</v>
      </c>
      <c r="L5258" s="33" t="n">
        <v>46541</v>
      </c>
      <c r="M5258" s="33" t="n">
        <v>46590</v>
      </c>
      <c r="N5258" s="16" t="s">
        <v>15915</v>
      </c>
      <c r="O5258" s="16" t="s">
        <v>1299</v>
      </c>
      <c r="P5258" s="16" t="str">
        <f aca="false">IF(AND(L5258&lt;=$D$2,M5258&gt;=$C$2),"Sí","")</f>
        <v/>
      </c>
      <c r="Q5258" s="18" t="str">
        <f aca="false">IF(COUNTIF(LOOKAHEAD!$A$5:$A$604,A5258)&gt;0,"En Lookahead",IF(P5258="Sí","INCORPORAR",""))</f>
        <v/>
      </c>
    </row>
    <row r="5259" customFormat="false" ht="15" hidden="false" customHeight="false" outlineLevel="0" collapsed="false">
      <c r="A5259" s="16" t="s">
        <v>15990</v>
      </c>
      <c r="B5259" s="16" t="n">
        <v>5254</v>
      </c>
      <c r="C5259" s="16" t="s">
        <v>15991</v>
      </c>
      <c r="D5259" s="16" t="n">
        <v>8</v>
      </c>
      <c r="E5259" s="39" t="s">
        <v>14337</v>
      </c>
      <c r="F5259" s="16" t="s">
        <v>1285</v>
      </c>
      <c r="G5259" s="16" t="s">
        <v>1063</v>
      </c>
      <c r="H5259" s="16" t="s">
        <v>14297</v>
      </c>
      <c r="I5259" s="16" t="s">
        <v>136</v>
      </c>
      <c r="J5259" s="16" t="s">
        <v>15985</v>
      </c>
      <c r="K5259" s="32" t="n">
        <v>50</v>
      </c>
      <c r="L5259" s="33" t="n">
        <v>46541</v>
      </c>
      <c r="M5259" s="33" t="n">
        <v>46590</v>
      </c>
      <c r="N5259" s="16" t="s">
        <v>15915</v>
      </c>
      <c r="O5259" s="16" t="s">
        <v>1299</v>
      </c>
      <c r="P5259" s="16" t="str">
        <f aca="false">IF(AND(L5259&lt;=$D$2,M5259&gt;=$C$2),"Sí","")</f>
        <v/>
      </c>
      <c r="Q5259" s="18" t="str">
        <f aca="false">IF(COUNTIF(LOOKAHEAD!$A$5:$A$604,A5259)&gt;0,"En Lookahead",IF(P5259="Sí","INCORPORAR",""))</f>
        <v/>
      </c>
    </row>
    <row r="5260" customFormat="false" ht="15" hidden="false" customHeight="false" outlineLevel="0" collapsed="false">
      <c r="A5260" s="16" t="s">
        <v>15992</v>
      </c>
      <c r="B5260" s="16" t="n">
        <v>5255</v>
      </c>
      <c r="C5260" s="16" t="s">
        <v>15993</v>
      </c>
      <c r="D5260" s="16" t="n">
        <v>8</v>
      </c>
      <c r="E5260" s="39" t="s">
        <v>14316</v>
      </c>
      <c r="F5260" s="16" t="s">
        <v>1285</v>
      </c>
      <c r="G5260" s="16" t="s">
        <v>1063</v>
      </c>
      <c r="H5260" s="16" t="s">
        <v>14297</v>
      </c>
      <c r="I5260" s="16" t="s">
        <v>136</v>
      </c>
      <c r="J5260" s="16" t="s">
        <v>15985</v>
      </c>
      <c r="K5260" s="32" t="n">
        <v>50</v>
      </c>
      <c r="L5260" s="33" t="n">
        <v>46541</v>
      </c>
      <c r="M5260" s="33" t="n">
        <v>46590</v>
      </c>
      <c r="N5260" s="16" t="s">
        <v>15915</v>
      </c>
      <c r="O5260" s="16" t="s">
        <v>1299</v>
      </c>
      <c r="P5260" s="16" t="str">
        <f aca="false">IF(AND(L5260&lt;=$D$2,M5260&gt;=$C$2),"Sí","")</f>
        <v/>
      </c>
      <c r="Q5260" s="18" t="str">
        <f aca="false">IF(COUNTIF(LOOKAHEAD!$A$5:$A$604,A5260)&gt;0,"En Lookahead",IF(P5260="Sí","INCORPORAR",""))</f>
        <v/>
      </c>
    </row>
    <row r="5261" customFormat="false" ht="15" hidden="false" customHeight="false" outlineLevel="0" collapsed="false">
      <c r="A5261" s="16" t="s">
        <v>15994</v>
      </c>
      <c r="B5261" s="16" t="n">
        <v>5256</v>
      </c>
      <c r="C5261" s="16" t="s">
        <v>15995</v>
      </c>
      <c r="D5261" s="16" t="n">
        <v>8</v>
      </c>
      <c r="E5261" s="39" t="s">
        <v>14319</v>
      </c>
      <c r="F5261" s="16" t="s">
        <v>1285</v>
      </c>
      <c r="G5261" s="16" t="s">
        <v>1063</v>
      </c>
      <c r="H5261" s="16" t="s">
        <v>14297</v>
      </c>
      <c r="I5261" s="16" t="s">
        <v>136</v>
      </c>
      <c r="J5261" s="16" t="s">
        <v>15985</v>
      </c>
      <c r="K5261" s="32" t="n">
        <v>50</v>
      </c>
      <c r="L5261" s="33" t="n">
        <v>46541</v>
      </c>
      <c r="M5261" s="33" t="n">
        <v>46590</v>
      </c>
      <c r="N5261" s="16" t="s">
        <v>15915</v>
      </c>
      <c r="O5261" s="16" t="s">
        <v>1299</v>
      </c>
      <c r="P5261" s="16" t="str">
        <f aca="false">IF(AND(L5261&lt;=$D$2,M5261&gt;=$C$2),"Sí","")</f>
        <v/>
      </c>
      <c r="Q5261" s="18" t="str">
        <f aca="false">IF(COUNTIF(LOOKAHEAD!$A$5:$A$604,A5261)&gt;0,"En Lookahead",IF(P5261="Sí","INCORPORAR",""))</f>
        <v/>
      </c>
    </row>
    <row r="5262" customFormat="false" ht="15" hidden="false" customHeight="false" outlineLevel="0" collapsed="false">
      <c r="A5262" s="16" t="s">
        <v>15996</v>
      </c>
      <c r="B5262" s="16" t="n">
        <v>5257</v>
      </c>
      <c r="C5262" s="16" t="s">
        <v>15997</v>
      </c>
      <c r="D5262" s="16" t="n">
        <v>8</v>
      </c>
      <c r="E5262" s="39" t="s">
        <v>14322</v>
      </c>
      <c r="F5262" s="16" t="s">
        <v>1285</v>
      </c>
      <c r="G5262" s="16" t="s">
        <v>1063</v>
      </c>
      <c r="H5262" s="16" t="s">
        <v>14297</v>
      </c>
      <c r="I5262" s="16" t="s">
        <v>136</v>
      </c>
      <c r="J5262" s="16" t="s">
        <v>15985</v>
      </c>
      <c r="K5262" s="32" t="n">
        <v>50</v>
      </c>
      <c r="L5262" s="33" t="n">
        <v>46541</v>
      </c>
      <c r="M5262" s="33" t="n">
        <v>46590</v>
      </c>
      <c r="N5262" s="16" t="s">
        <v>15915</v>
      </c>
      <c r="O5262" s="16" t="s">
        <v>1299</v>
      </c>
      <c r="P5262" s="16" t="str">
        <f aca="false">IF(AND(L5262&lt;=$D$2,M5262&gt;=$C$2),"Sí","")</f>
        <v/>
      </c>
      <c r="Q5262" s="18" t="str">
        <f aca="false">IF(COUNTIF(LOOKAHEAD!$A$5:$A$604,A5262)&gt;0,"En Lookahead",IF(P5262="Sí","INCORPORAR",""))</f>
        <v/>
      </c>
    </row>
    <row r="5263" customFormat="false" ht="15" hidden="false" customHeight="false" outlineLevel="0" collapsed="false">
      <c r="A5263" s="16" t="s">
        <v>15998</v>
      </c>
      <c r="B5263" s="16" t="n">
        <v>5258</v>
      </c>
      <c r="C5263" s="16" t="s">
        <v>15999</v>
      </c>
      <c r="D5263" s="16" t="n">
        <v>8</v>
      </c>
      <c r="E5263" s="39" t="s">
        <v>14378</v>
      </c>
      <c r="F5263" s="16" t="s">
        <v>1285</v>
      </c>
      <c r="G5263" s="16" t="s">
        <v>1063</v>
      </c>
      <c r="H5263" s="16" t="s">
        <v>14297</v>
      </c>
      <c r="I5263" s="16" t="s">
        <v>136</v>
      </c>
      <c r="J5263" s="16" t="s">
        <v>15985</v>
      </c>
      <c r="K5263" s="32" t="n">
        <v>50</v>
      </c>
      <c r="L5263" s="33" t="n">
        <v>46541</v>
      </c>
      <c r="M5263" s="33" t="n">
        <v>46590</v>
      </c>
      <c r="N5263" s="16" t="s">
        <v>15915</v>
      </c>
      <c r="O5263" s="16" t="s">
        <v>1299</v>
      </c>
      <c r="P5263" s="16" t="str">
        <f aca="false">IF(AND(L5263&lt;=$D$2,M5263&gt;=$C$2),"Sí","")</f>
        <v/>
      </c>
      <c r="Q5263" s="18" t="str">
        <f aca="false">IF(COUNTIF(LOOKAHEAD!$A$5:$A$604,A5263)&gt;0,"En Lookahead",IF(P5263="Sí","INCORPORAR",""))</f>
        <v/>
      </c>
    </row>
    <row r="5264" customFormat="false" ht="15" hidden="false" customHeight="false" outlineLevel="0" collapsed="false">
      <c r="A5264" s="16" t="s">
        <v>16000</v>
      </c>
      <c r="B5264" s="16" t="n">
        <v>5259</v>
      </c>
      <c r="C5264" s="16" t="s">
        <v>16001</v>
      </c>
      <c r="D5264" s="16" t="n">
        <v>8</v>
      </c>
      <c r="E5264" s="39" t="s">
        <v>14381</v>
      </c>
      <c r="F5264" s="16" t="s">
        <v>1285</v>
      </c>
      <c r="G5264" s="16" t="s">
        <v>1063</v>
      </c>
      <c r="H5264" s="16" t="s">
        <v>14297</v>
      </c>
      <c r="I5264" s="16" t="s">
        <v>136</v>
      </c>
      <c r="J5264" s="16" t="s">
        <v>15985</v>
      </c>
      <c r="K5264" s="32" t="n">
        <v>50</v>
      </c>
      <c r="L5264" s="33" t="n">
        <v>46541</v>
      </c>
      <c r="M5264" s="33" t="n">
        <v>46590</v>
      </c>
      <c r="N5264" s="16" t="s">
        <v>15915</v>
      </c>
      <c r="O5264" s="16" t="s">
        <v>1299</v>
      </c>
      <c r="P5264" s="16" t="str">
        <f aca="false">IF(AND(L5264&lt;=$D$2,M5264&gt;=$C$2),"Sí","")</f>
        <v/>
      </c>
      <c r="Q5264" s="18" t="str">
        <f aca="false">IF(COUNTIF(LOOKAHEAD!$A$5:$A$604,A5264)&gt;0,"En Lookahead",IF(P5264="Sí","INCORPORAR",""))</f>
        <v/>
      </c>
    </row>
    <row r="5265" customFormat="false" ht="15" hidden="false" customHeight="false" outlineLevel="0" collapsed="false">
      <c r="A5265" s="13" t="s">
        <v>16002</v>
      </c>
      <c r="B5265" s="13" t="n">
        <v>5260</v>
      </c>
      <c r="C5265" s="13" t="s">
        <v>16003</v>
      </c>
      <c r="D5265" s="13" t="n">
        <v>7</v>
      </c>
      <c r="E5265" s="38" t="s">
        <v>14556</v>
      </c>
      <c r="F5265" s="13" t="s">
        <v>1298</v>
      </c>
      <c r="G5265" s="13" t="s">
        <v>1063</v>
      </c>
      <c r="H5265" s="13" t="s">
        <v>14297</v>
      </c>
      <c r="I5265" s="13" t="s">
        <v>136</v>
      </c>
      <c r="J5265" s="13" t="s">
        <v>14471</v>
      </c>
      <c r="K5265" s="30" t="n">
        <v>50</v>
      </c>
      <c r="L5265" s="31" t="n">
        <v>46541</v>
      </c>
      <c r="M5265" s="31" t="n">
        <v>46590</v>
      </c>
      <c r="N5265" s="13"/>
      <c r="O5265" s="13" t="s">
        <v>1299</v>
      </c>
      <c r="P5265" s="13"/>
      <c r="Q5265" s="13"/>
    </row>
    <row r="5266" customFormat="false" ht="15" hidden="false" customHeight="false" outlineLevel="0" collapsed="false">
      <c r="A5266" s="16" t="s">
        <v>16004</v>
      </c>
      <c r="B5266" s="16" t="n">
        <v>5261</v>
      </c>
      <c r="C5266" s="16" t="s">
        <v>16005</v>
      </c>
      <c r="D5266" s="16" t="n">
        <v>8</v>
      </c>
      <c r="E5266" s="39" t="s">
        <v>14466</v>
      </c>
      <c r="F5266" s="16" t="s">
        <v>1285</v>
      </c>
      <c r="G5266" s="16" t="s">
        <v>1063</v>
      </c>
      <c r="H5266" s="16" t="s">
        <v>14297</v>
      </c>
      <c r="I5266" s="16" t="s">
        <v>136</v>
      </c>
      <c r="J5266" s="16" t="s">
        <v>14556</v>
      </c>
      <c r="K5266" s="32" t="n">
        <v>50</v>
      </c>
      <c r="L5266" s="33" t="n">
        <v>46541</v>
      </c>
      <c r="M5266" s="33" t="n">
        <v>46590</v>
      </c>
      <c r="N5266" s="16" t="s">
        <v>15915</v>
      </c>
      <c r="O5266" s="16" t="s">
        <v>1299</v>
      </c>
      <c r="P5266" s="16" t="str">
        <f aca="false">IF(AND(L5266&lt;=$D$2,M5266&gt;=$C$2),"Sí","")</f>
        <v/>
      </c>
      <c r="Q5266" s="18" t="str">
        <f aca="false">IF(COUNTIF(LOOKAHEAD!$A$5:$A$604,A5266)&gt;0,"En Lookahead",IF(P5266="Sí","INCORPORAR",""))</f>
        <v/>
      </c>
    </row>
    <row r="5267" customFormat="false" ht="15" hidden="false" customHeight="false" outlineLevel="0" collapsed="false">
      <c r="A5267" s="16" t="s">
        <v>16006</v>
      </c>
      <c r="B5267" s="16" t="n">
        <v>5262</v>
      </c>
      <c r="C5267" s="16" t="s">
        <v>16007</v>
      </c>
      <c r="D5267" s="16" t="n">
        <v>8</v>
      </c>
      <c r="E5267" s="39" t="s">
        <v>14360</v>
      </c>
      <c r="F5267" s="16" t="s">
        <v>1285</v>
      </c>
      <c r="G5267" s="16" t="s">
        <v>1063</v>
      </c>
      <c r="H5267" s="16" t="s">
        <v>14297</v>
      </c>
      <c r="I5267" s="16" t="s">
        <v>136</v>
      </c>
      <c r="J5267" s="16" t="s">
        <v>14556</v>
      </c>
      <c r="K5267" s="32" t="n">
        <v>50</v>
      </c>
      <c r="L5267" s="33" t="n">
        <v>46541</v>
      </c>
      <c r="M5267" s="33" t="n">
        <v>46590</v>
      </c>
      <c r="N5267" s="16" t="s">
        <v>15915</v>
      </c>
      <c r="O5267" s="16" t="s">
        <v>1299</v>
      </c>
      <c r="P5267" s="16" t="str">
        <f aca="false">IF(AND(L5267&lt;=$D$2,M5267&gt;=$C$2),"Sí","")</f>
        <v/>
      </c>
      <c r="Q5267" s="18" t="str">
        <f aca="false">IF(COUNTIF(LOOKAHEAD!$A$5:$A$604,A5267)&gt;0,"En Lookahead",IF(P5267="Sí","INCORPORAR",""))</f>
        <v/>
      </c>
    </row>
    <row r="5268" customFormat="false" ht="15" hidden="false" customHeight="false" outlineLevel="0" collapsed="false">
      <c r="A5268" s="13" t="s">
        <v>16008</v>
      </c>
      <c r="B5268" s="13" t="n">
        <v>5263</v>
      </c>
      <c r="C5268" s="13" t="s">
        <v>16009</v>
      </c>
      <c r="D5268" s="13" t="n">
        <v>7</v>
      </c>
      <c r="E5268" s="38" t="s">
        <v>14902</v>
      </c>
      <c r="F5268" s="13" t="s">
        <v>1298</v>
      </c>
      <c r="G5268" s="13" t="s">
        <v>1063</v>
      </c>
      <c r="H5268" s="13" t="s">
        <v>14297</v>
      </c>
      <c r="I5268" s="13" t="s">
        <v>136</v>
      </c>
      <c r="J5268" s="13" t="s">
        <v>14471</v>
      </c>
      <c r="K5268" s="30" t="n">
        <v>50</v>
      </c>
      <c r="L5268" s="31" t="n">
        <v>46541</v>
      </c>
      <c r="M5268" s="31" t="n">
        <v>46590</v>
      </c>
      <c r="N5268" s="13"/>
      <c r="O5268" s="13" t="s">
        <v>1299</v>
      </c>
      <c r="P5268" s="13"/>
      <c r="Q5268" s="13"/>
    </row>
    <row r="5269" customFormat="false" ht="15" hidden="false" customHeight="false" outlineLevel="0" collapsed="false">
      <c r="A5269" s="16" t="s">
        <v>16010</v>
      </c>
      <c r="B5269" s="16" t="n">
        <v>5264</v>
      </c>
      <c r="C5269" s="16" t="s">
        <v>16011</v>
      </c>
      <c r="D5269" s="16" t="n">
        <v>8</v>
      </c>
      <c r="E5269" s="39" t="s">
        <v>14506</v>
      </c>
      <c r="F5269" s="16" t="s">
        <v>1285</v>
      </c>
      <c r="G5269" s="16" t="s">
        <v>1063</v>
      </c>
      <c r="H5269" s="16" t="s">
        <v>14297</v>
      </c>
      <c r="I5269" s="16" t="s">
        <v>136</v>
      </c>
      <c r="J5269" s="16" t="s">
        <v>14902</v>
      </c>
      <c r="K5269" s="32" t="n">
        <v>50</v>
      </c>
      <c r="L5269" s="33" t="n">
        <v>46541</v>
      </c>
      <c r="M5269" s="33" t="n">
        <v>46590</v>
      </c>
      <c r="N5269" s="16" t="s">
        <v>15915</v>
      </c>
      <c r="O5269" s="16" t="s">
        <v>1299</v>
      </c>
      <c r="P5269" s="16" t="str">
        <f aca="false">IF(AND(L5269&lt;=$D$2,M5269&gt;=$C$2),"Sí","")</f>
        <v/>
      </c>
      <c r="Q5269" s="18" t="str">
        <f aca="false">IF(COUNTIF(LOOKAHEAD!$A$5:$A$604,A5269)&gt;0,"En Lookahead",IF(P5269="Sí","INCORPORAR",""))</f>
        <v/>
      </c>
    </row>
    <row r="5270" customFormat="false" ht="15" hidden="false" customHeight="false" outlineLevel="0" collapsed="false">
      <c r="A5270" s="13" t="s">
        <v>16012</v>
      </c>
      <c r="B5270" s="13" t="n">
        <v>5265</v>
      </c>
      <c r="C5270" s="13" t="s">
        <v>16013</v>
      </c>
      <c r="D5270" s="13" t="n">
        <v>7</v>
      </c>
      <c r="E5270" s="38" t="s">
        <v>16014</v>
      </c>
      <c r="F5270" s="13" t="s">
        <v>1298</v>
      </c>
      <c r="G5270" s="13" t="s">
        <v>1063</v>
      </c>
      <c r="H5270" s="13" t="s">
        <v>14297</v>
      </c>
      <c r="I5270" s="13" t="s">
        <v>136</v>
      </c>
      <c r="J5270" s="13" t="s">
        <v>14471</v>
      </c>
      <c r="K5270" s="30" t="n">
        <v>50</v>
      </c>
      <c r="L5270" s="31" t="n">
        <v>46541</v>
      </c>
      <c r="M5270" s="31" t="n">
        <v>46590</v>
      </c>
      <c r="N5270" s="13"/>
      <c r="O5270" s="13" t="s">
        <v>1299</v>
      </c>
      <c r="P5270" s="13"/>
      <c r="Q5270" s="13"/>
    </row>
    <row r="5271" customFormat="false" ht="15" hidden="false" customHeight="false" outlineLevel="0" collapsed="false">
      <c r="A5271" s="16" t="s">
        <v>16015</v>
      </c>
      <c r="B5271" s="16" t="n">
        <v>5266</v>
      </c>
      <c r="C5271" s="16" t="s">
        <v>16016</v>
      </c>
      <c r="D5271" s="16" t="n">
        <v>8</v>
      </c>
      <c r="E5271" s="39" t="s">
        <v>14308</v>
      </c>
      <c r="F5271" s="16" t="s">
        <v>1285</v>
      </c>
      <c r="G5271" s="16" t="s">
        <v>1063</v>
      </c>
      <c r="H5271" s="16" t="s">
        <v>14297</v>
      </c>
      <c r="I5271" s="16" t="s">
        <v>136</v>
      </c>
      <c r="J5271" s="16" t="s">
        <v>16014</v>
      </c>
      <c r="K5271" s="32" t="n">
        <v>50</v>
      </c>
      <c r="L5271" s="33" t="n">
        <v>46541</v>
      </c>
      <c r="M5271" s="33" t="n">
        <v>46590</v>
      </c>
      <c r="N5271" s="16" t="s">
        <v>15915</v>
      </c>
      <c r="O5271" s="16" t="s">
        <v>1299</v>
      </c>
      <c r="P5271" s="16" t="str">
        <f aca="false">IF(AND(L5271&lt;=$D$2,M5271&gt;=$C$2),"Sí","")</f>
        <v/>
      </c>
      <c r="Q5271" s="18" t="str">
        <f aca="false">IF(COUNTIF(LOOKAHEAD!$A$5:$A$604,A5271)&gt;0,"En Lookahead",IF(P5271="Sí","INCORPORAR",""))</f>
        <v/>
      </c>
    </row>
    <row r="5272" customFormat="false" ht="15" hidden="false" customHeight="false" outlineLevel="0" collapsed="false">
      <c r="A5272" s="16" t="s">
        <v>16017</v>
      </c>
      <c r="B5272" s="16" t="n">
        <v>5267</v>
      </c>
      <c r="C5272" s="16" t="s">
        <v>16018</v>
      </c>
      <c r="D5272" s="16" t="n">
        <v>8</v>
      </c>
      <c r="E5272" s="39" t="s">
        <v>14392</v>
      </c>
      <c r="F5272" s="16" t="s">
        <v>1285</v>
      </c>
      <c r="G5272" s="16" t="s">
        <v>1063</v>
      </c>
      <c r="H5272" s="16" t="s">
        <v>14297</v>
      </c>
      <c r="I5272" s="16" t="s">
        <v>136</v>
      </c>
      <c r="J5272" s="16" t="s">
        <v>16014</v>
      </c>
      <c r="K5272" s="32" t="n">
        <v>50</v>
      </c>
      <c r="L5272" s="33" t="n">
        <v>46541</v>
      </c>
      <c r="M5272" s="33" t="n">
        <v>46590</v>
      </c>
      <c r="N5272" s="16" t="s">
        <v>15915</v>
      </c>
      <c r="O5272" s="16" t="s">
        <v>1299</v>
      </c>
      <c r="P5272" s="16" t="str">
        <f aca="false">IF(AND(L5272&lt;=$D$2,M5272&gt;=$C$2),"Sí","")</f>
        <v/>
      </c>
      <c r="Q5272" s="18" t="str">
        <f aca="false">IF(COUNTIF(LOOKAHEAD!$A$5:$A$604,A5272)&gt;0,"En Lookahead",IF(P5272="Sí","INCORPORAR",""))</f>
        <v/>
      </c>
    </row>
    <row r="5273" customFormat="false" ht="15" hidden="false" customHeight="false" outlineLevel="0" collapsed="false">
      <c r="A5273" s="16" t="s">
        <v>16019</v>
      </c>
      <c r="B5273" s="16" t="n">
        <v>5268</v>
      </c>
      <c r="C5273" s="16" t="s">
        <v>16020</v>
      </c>
      <c r="D5273" s="16" t="n">
        <v>8</v>
      </c>
      <c r="E5273" s="39" t="s">
        <v>14337</v>
      </c>
      <c r="F5273" s="16" t="s">
        <v>1285</v>
      </c>
      <c r="G5273" s="16" t="s">
        <v>1063</v>
      </c>
      <c r="H5273" s="16" t="s">
        <v>14297</v>
      </c>
      <c r="I5273" s="16" t="s">
        <v>136</v>
      </c>
      <c r="J5273" s="16" t="s">
        <v>16014</v>
      </c>
      <c r="K5273" s="32" t="n">
        <v>50</v>
      </c>
      <c r="L5273" s="33" t="n">
        <v>46541</v>
      </c>
      <c r="M5273" s="33" t="n">
        <v>46590</v>
      </c>
      <c r="N5273" s="16" t="s">
        <v>15915</v>
      </c>
      <c r="O5273" s="16" t="s">
        <v>1299</v>
      </c>
      <c r="P5273" s="16" t="str">
        <f aca="false">IF(AND(L5273&lt;=$D$2,M5273&gt;=$C$2),"Sí","")</f>
        <v/>
      </c>
      <c r="Q5273" s="18" t="str">
        <f aca="false">IF(COUNTIF(LOOKAHEAD!$A$5:$A$604,A5273)&gt;0,"En Lookahead",IF(P5273="Sí","INCORPORAR",""))</f>
        <v/>
      </c>
    </row>
    <row r="5274" customFormat="false" ht="15" hidden="false" customHeight="false" outlineLevel="0" collapsed="false">
      <c r="A5274" s="16" t="s">
        <v>16021</v>
      </c>
      <c r="B5274" s="16" t="n">
        <v>5269</v>
      </c>
      <c r="C5274" s="16" t="s">
        <v>16022</v>
      </c>
      <c r="D5274" s="16" t="n">
        <v>8</v>
      </c>
      <c r="E5274" s="39" t="s">
        <v>14316</v>
      </c>
      <c r="F5274" s="16" t="s">
        <v>1285</v>
      </c>
      <c r="G5274" s="16" t="s">
        <v>1063</v>
      </c>
      <c r="H5274" s="16" t="s">
        <v>14297</v>
      </c>
      <c r="I5274" s="16" t="s">
        <v>136</v>
      </c>
      <c r="J5274" s="16" t="s">
        <v>16014</v>
      </c>
      <c r="K5274" s="32" t="n">
        <v>50</v>
      </c>
      <c r="L5274" s="33" t="n">
        <v>46541</v>
      </c>
      <c r="M5274" s="33" t="n">
        <v>46590</v>
      </c>
      <c r="N5274" s="16" t="s">
        <v>15915</v>
      </c>
      <c r="O5274" s="16" t="s">
        <v>1299</v>
      </c>
      <c r="P5274" s="16" t="str">
        <f aca="false">IF(AND(L5274&lt;=$D$2,M5274&gt;=$C$2),"Sí","")</f>
        <v/>
      </c>
      <c r="Q5274" s="18" t="str">
        <f aca="false">IF(COUNTIF(LOOKAHEAD!$A$5:$A$604,A5274)&gt;0,"En Lookahead",IF(P5274="Sí","INCORPORAR",""))</f>
        <v/>
      </c>
    </row>
    <row r="5275" customFormat="false" ht="15" hidden="false" customHeight="false" outlineLevel="0" collapsed="false">
      <c r="A5275" s="16" t="s">
        <v>16023</v>
      </c>
      <c r="B5275" s="16" t="n">
        <v>5270</v>
      </c>
      <c r="C5275" s="16" t="s">
        <v>16024</v>
      </c>
      <c r="D5275" s="16" t="n">
        <v>8</v>
      </c>
      <c r="E5275" s="39" t="s">
        <v>14319</v>
      </c>
      <c r="F5275" s="16" t="s">
        <v>1285</v>
      </c>
      <c r="G5275" s="16" t="s">
        <v>1063</v>
      </c>
      <c r="H5275" s="16" t="s">
        <v>14297</v>
      </c>
      <c r="I5275" s="16" t="s">
        <v>136</v>
      </c>
      <c r="J5275" s="16" t="s">
        <v>16014</v>
      </c>
      <c r="K5275" s="32" t="n">
        <v>50</v>
      </c>
      <c r="L5275" s="33" t="n">
        <v>46541</v>
      </c>
      <c r="M5275" s="33" t="n">
        <v>46590</v>
      </c>
      <c r="N5275" s="16" t="s">
        <v>15915</v>
      </c>
      <c r="O5275" s="16" t="s">
        <v>1299</v>
      </c>
      <c r="P5275" s="16" t="str">
        <f aca="false">IF(AND(L5275&lt;=$D$2,M5275&gt;=$C$2),"Sí","")</f>
        <v/>
      </c>
      <c r="Q5275" s="18" t="str">
        <f aca="false">IF(COUNTIF(LOOKAHEAD!$A$5:$A$604,A5275)&gt;0,"En Lookahead",IF(P5275="Sí","INCORPORAR",""))</f>
        <v/>
      </c>
    </row>
    <row r="5276" customFormat="false" ht="15" hidden="false" customHeight="false" outlineLevel="0" collapsed="false">
      <c r="A5276" s="16" t="s">
        <v>16025</v>
      </c>
      <c r="B5276" s="16" t="n">
        <v>5271</v>
      </c>
      <c r="C5276" s="16" t="s">
        <v>16026</v>
      </c>
      <c r="D5276" s="16" t="n">
        <v>8</v>
      </c>
      <c r="E5276" s="39" t="s">
        <v>14322</v>
      </c>
      <c r="F5276" s="16" t="s">
        <v>1285</v>
      </c>
      <c r="G5276" s="16" t="s">
        <v>1063</v>
      </c>
      <c r="H5276" s="16" t="s">
        <v>14297</v>
      </c>
      <c r="I5276" s="16" t="s">
        <v>136</v>
      </c>
      <c r="J5276" s="16" t="s">
        <v>16014</v>
      </c>
      <c r="K5276" s="32" t="n">
        <v>50</v>
      </c>
      <c r="L5276" s="33" t="n">
        <v>46541</v>
      </c>
      <c r="M5276" s="33" t="n">
        <v>46590</v>
      </c>
      <c r="N5276" s="16" t="s">
        <v>15915</v>
      </c>
      <c r="O5276" s="16" t="s">
        <v>1299</v>
      </c>
      <c r="P5276" s="16" t="str">
        <f aca="false">IF(AND(L5276&lt;=$D$2,M5276&gt;=$C$2),"Sí","")</f>
        <v/>
      </c>
      <c r="Q5276" s="18" t="str">
        <f aca="false">IF(COUNTIF(LOOKAHEAD!$A$5:$A$604,A5276)&gt;0,"En Lookahead",IF(P5276="Sí","INCORPORAR",""))</f>
        <v/>
      </c>
    </row>
    <row r="5277" customFormat="false" ht="15" hidden="false" customHeight="false" outlineLevel="0" collapsed="false">
      <c r="A5277" s="16" t="s">
        <v>16027</v>
      </c>
      <c r="B5277" s="16" t="n">
        <v>5272</v>
      </c>
      <c r="C5277" s="16" t="s">
        <v>16028</v>
      </c>
      <c r="D5277" s="16" t="n">
        <v>8</v>
      </c>
      <c r="E5277" s="39" t="s">
        <v>14500</v>
      </c>
      <c r="F5277" s="16" t="s">
        <v>1285</v>
      </c>
      <c r="G5277" s="16" t="s">
        <v>1063</v>
      </c>
      <c r="H5277" s="16" t="s">
        <v>14297</v>
      </c>
      <c r="I5277" s="16" t="s">
        <v>136</v>
      </c>
      <c r="J5277" s="16" t="s">
        <v>16014</v>
      </c>
      <c r="K5277" s="32" t="n">
        <v>50</v>
      </c>
      <c r="L5277" s="33" t="n">
        <v>46541</v>
      </c>
      <c r="M5277" s="33" t="n">
        <v>46590</v>
      </c>
      <c r="N5277" s="16" t="s">
        <v>15915</v>
      </c>
      <c r="O5277" s="16" t="s">
        <v>1299</v>
      </c>
      <c r="P5277" s="16" t="str">
        <f aca="false">IF(AND(L5277&lt;=$D$2,M5277&gt;=$C$2),"Sí","")</f>
        <v/>
      </c>
      <c r="Q5277" s="18" t="str">
        <f aca="false">IF(COUNTIF(LOOKAHEAD!$A$5:$A$604,A5277)&gt;0,"En Lookahead",IF(P5277="Sí","INCORPORAR",""))</f>
        <v/>
      </c>
    </row>
    <row r="5278" customFormat="false" ht="15" hidden="false" customHeight="false" outlineLevel="0" collapsed="false">
      <c r="A5278" s="13" t="s">
        <v>16029</v>
      </c>
      <c r="B5278" s="13" t="n">
        <v>5273</v>
      </c>
      <c r="C5278" s="13" t="s">
        <v>16030</v>
      </c>
      <c r="D5278" s="13" t="n">
        <v>7</v>
      </c>
      <c r="E5278" s="38" t="s">
        <v>16031</v>
      </c>
      <c r="F5278" s="13" t="s">
        <v>1298</v>
      </c>
      <c r="G5278" s="13" t="s">
        <v>1063</v>
      </c>
      <c r="H5278" s="13" t="s">
        <v>14297</v>
      </c>
      <c r="I5278" s="13" t="s">
        <v>136</v>
      </c>
      <c r="J5278" s="13" t="s">
        <v>14471</v>
      </c>
      <c r="K5278" s="30" t="n">
        <v>50</v>
      </c>
      <c r="L5278" s="31" t="n">
        <v>46541</v>
      </c>
      <c r="M5278" s="31" t="n">
        <v>46590</v>
      </c>
      <c r="N5278" s="13"/>
      <c r="O5278" s="13" t="s">
        <v>1299</v>
      </c>
      <c r="P5278" s="13"/>
      <c r="Q5278" s="13"/>
    </row>
    <row r="5279" customFormat="false" ht="15" hidden="false" customHeight="false" outlineLevel="0" collapsed="false">
      <c r="A5279" s="16" t="s">
        <v>16032</v>
      </c>
      <c r="B5279" s="16" t="n">
        <v>5274</v>
      </c>
      <c r="C5279" s="16" t="s">
        <v>16033</v>
      </c>
      <c r="D5279" s="16" t="n">
        <v>8</v>
      </c>
      <c r="E5279" s="39" t="s">
        <v>14895</v>
      </c>
      <c r="F5279" s="16" t="s">
        <v>1285</v>
      </c>
      <c r="G5279" s="16" t="s">
        <v>1063</v>
      </c>
      <c r="H5279" s="16" t="s">
        <v>14297</v>
      </c>
      <c r="I5279" s="16" t="s">
        <v>136</v>
      </c>
      <c r="J5279" s="16" t="s">
        <v>16031</v>
      </c>
      <c r="K5279" s="32" t="n">
        <v>50</v>
      </c>
      <c r="L5279" s="33" t="n">
        <v>46541</v>
      </c>
      <c r="M5279" s="33" t="n">
        <v>46590</v>
      </c>
      <c r="N5279" s="16" t="s">
        <v>15915</v>
      </c>
      <c r="O5279" s="16" t="s">
        <v>1299</v>
      </c>
      <c r="P5279" s="16" t="str">
        <f aca="false">IF(AND(L5279&lt;=$D$2,M5279&gt;=$C$2),"Sí","")</f>
        <v/>
      </c>
      <c r="Q5279" s="18" t="str">
        <f aca="false">IF(COUNTIF(LOOKAHEAD!$A$5:$A$604,A5279)&gt;0,"En Lookahead",IF(P5279="Sí","INCORPORAR",""))</f>
        <v/>
      </c>
    </row>
    <row r="5280" customFormat="false" ht="15" hidden="false" customHeight="false" outlineLevel="0" collapsed="false">
      <c r="A5280" s="16" t="s">
        <v>16034</v>
      </c>
      <c r="B5280" s="16" t="n">
        <v>5275</v>
      </c>
      <c r="C5280" s="16" t="s">
        <v>16035</v>
      </c>
      <c r="D5280" s="16" t="n">
        <v>8</v>
      </c>
      <c r="E5280" s="39" t="s">
        <v>14337</v>
      </c>
      <c r="F5280" s="16" t="s">
        <v>1285</v>
      </c>
      <c r="G5280" s="16" t="s">
        <v>1063</v>
      </c>
      <c r="H5280" s="16" t="s">
        <v>14297</v>
      </c>
      <c r="I5280" s="16" t="s">
        <v>136</v>
      </c>
      <c r="J5280" s="16" t="s">
        <v>16031</v>
      </c>
      <c r="K5280" s="32" t="n">
        <v>50</v>
      </c>
      <c r="L5280" s="33" t="n">
        <v>46541</v>
      </c>
      <c r="M5280" s="33" t="n">
        <v>46590</v>
      </c>
      <c r="N5280" s="16" t="s">
        <v>15915</v>
      </c>
      <c r="O5280" s="16" t="s">
        <v>1299</v>
      </c>
      <c r="P5280" s="16" t="str">
        <f aca="false">IF(AND(L5280&lt;=$D$2,M5280&gt;=$C$2),"Sí","")</f>
        <v/>
      </c>
      <c r="Q5280" s="18" t="str">
        <f aca="false">IF(COUNTIF(LOOKAHEAD!$A$5:$A$604,A5280)&gt;0,"En Lookahead",IF(P5280="Sí","INCORPORAR",""))</f>
        <v/>
      </c>
    </row>
    <row r="5281" customFormat="false" ht="15" hidden="false" customHeight="false" outlineLevel="0" collapsed="false">
      <c r="A5281" s="16" t="s">
        <v>16036</v>
      </c>
      <c r="B5281" s="16" t="n">
        <v>5276</v>
      </c>
      <c r="C5281" s="16" t="s">
        <v>16037</v>
      </c>
      <c r="D5281" s="16" t="n">
        <v>8</v>
      </c>
      <c r="E5281" s="39" t="s">
        <v>14319</v>
      </c>
      <c r="F5281" s="16" t="s">
        <v>1285</v>
      </c>
      <c r="G5281" s="16" t="s">
        <v>1063</v>
      </c>
      <c r="H5281" s="16" t="s">
        <v>14297</v>
      </c>
      <c r="I5281" s="16" t="s">
        <v>136</v>
      </c>
      <c r="J5281" s="16" t="s">
        <v>16031</v>
      </c>
      <c r="K5281" s="32" t="n">
        <v>50</v>
      </c>
      <c r="L5281" s="33" t="n">
        <v>46541</v>
      </c>
      <c r="M5281" s="33" t="n">
        <v>46590</v>
      </c>
      <c r="N5281" s="16" t="s">
        <v>15915</v>
      </c>
      <c r="O5281" s="16" t="s">
        <v>1299</v>
      </c>
      <c r="P5281" s="16" t="str">
        <f aca="false">IF(AND(L5281&lt;=$D$2,M5281&gt;=$C$2),"Sí","")</f>
        <v/>
      </c>
      <c r="Q5281" s="18" t="str">
        <f aca="false">IF(COUNTIF(LOOKAHEAD!$A$5:$A$604,A5281)&gt;0,"En Lookahead",IF(P5281="Sí","INCORPORAR",""))</f>
        <v/>
      </c>
    </row>
    <row r="5282" customFormat="false" ht="15" hidden="false" customHeight="false" outlineLevel="0" collapsed="false">
      <c r="A5282" s="16" t="s">
        <v>16038</v>
      </c>
      <c r="B5282" s="16" t="n">
        <v>5277</v>
      </c>
      <c r="C5282" s="16" t="s">
        <v>16039</v>
      </c>
      <c r="D5282" s="16" t="n">
        <v>8</v>
      </c>
      <c r="E5282" s="39" t="s">
        <v>14322</v>
      </c>
      <c r="F5282" s="16" t="s">
        <v>1285</v>
      </c>
      <c r="G5282" s="16" t="s">
        <v>1063</v>
      </c>
      <c r="H5282" s="16" t="s">
        <v>14297</v>
      </c>
      <c r="I5282" s="16" t="s">
        <v>136</v>
      </c>
      <c r="J5282" s="16" t="s">
        <v>16031</v>
      </c>
      <c r="K5282" s="32" t="n">
        <v>50</v>
      </c>
      <c r="L5282" s="33" t="n">
        <v>46541</v>
      </c>
      <c r="M5282" s="33" t="n">
        <v>46590</v>
      </c>
      <c r="N5282" s="16" t="s">
        <v>15915</v>
      </c>
      <c r="O5282" s="16" t="s">
        <v>1299</v>
      </c>
      <c r="P5282" s="16" t="str">
        <f aca="false">IF(AND(L5282&lt;=$D$2,M5282&gt;=$C$2),"Sí","")</f>
        <v/>
      </c>
      <c r="Q5282" s="18" t="str">
        <f aca="false">IF(COUNTIF(LOOKAHEAD!$A$5:$A$604,A5282)&gt;0,"En Lookahead",IF(P5282="Sí","INCORPORAR",""))</f>
        <v/>
      </c>
    </row>
    <row r="5283" customFormat="false" ht="15" hidden="false" customHeight="false" outlineLevel="0" collapsed="false">
      <c r="A5283" s="16" t="s">
        <v>16040</v>
      </c>
      <c r="B5283" s="16" t="n">
        <v>5278</v>
      </c>
      <c r="C5283" s="16" t="s">
        <v>16041</v>
      </c>
      <c r="D5283" s="16" t="n">
        <v>8</v>
      </c>
      <c r="E5283" s="39" t="s">
        <v>14548</v>
      </c>
      <c r="F5283" s="16" t="s">
        <v>1285</v>
      </c>
      <c r="G5283" s="16" t="s">
        <v>1063</v>
      </c>
      <c r="H5283" s="16" t="s">
        <v>14297</v>
      </c>
      <c r="I5283" s="16" t="s">
        <v>136</v>
      </c>
      <c r="J5283" s="16" t="s">
        <v>16031</v>
      </c>
      <c r="K5283" s="32" t="n">
        <v>50</v>
      </c>
      <c r="L5283" s="33" t="n">
        <v>46541</v>
      </c>
      <c r="M5283" s="33" t="n">
        <v>46590</v>
      </c>
      <c r="N5283" s="16" t="s">
        <v>15915</v>
      </c>
      <c r="O5283" s="16" t="s">
        <v>1299</v>
      </c>
      <c r="P5283" s="16" t="str">
        <f aca="false">IF(AND(L5283&lt;=$D$2,M5283&gt;=$C$2),"Sí","")</f>
        <v/>
      </c>
      <c r="Q5283" s="18" t="str">
        <f aca="false">IF(COUNTIF(LOOKAHEAD!$A$5:$A$604,A5283)&gt;0,"En Lookahead",IF(P5283="Sí","INCORPORAR",""))</f>
        <v/>
      </c>
    </row>
    <row r="5284" customFormat="false" ht="15" hidden="false" customHeight="false" outlineLevel="0" collapsed="false">
      <c r="A5284" s="16" t="s">
        <v>16042</v>
      </c>
      <c r="B5284" s="16" t="n">
        <v>5279</v>
      </c>
      <c r="C5284" s="16" t="s">
        <v>16043</v>
      </c>
      <c r="D5284" s="16" t="n">
        <v>8</v>
      </c>
      <c r="E5284" s="39" t="s">
        <v>14384</v>
      </c>
      <c r="F5284" s="16" t="s">
        <v>1285</v>
      </c>
      <c r="G5284" s="16" t="s">
        <v>1063</v>
      </c>
      <c r="H5284" s="16" t="s">
        <v>14297</v>
      </c>
      <c r="I5284" s="16" t="s">
        <v>136</v>
      </c>
      <c r="J5284" s="16" t="s">
        <v>16031</v>
      </c>
      <c r="K5284" s="32" t="n">
        <v>50</v>
      </c>
      <c r="L5284" s="33" t="n">
        <v>46541</v>
      </c>
      <c r="M5284" s="33" t="n">
        <v>46590</v>
      </c>
      <c r="N5284" s="16" t="s">
        <v>15915</v>
      </c>
      <c r="O5284" s="16" t="s">
        <v>1299</v>
      </c>
      <c r="P5284" s="16" t="str">
        <f aca="false">IF(AND(L5284&lt;=$D$2,M5284&gt;=$C$2),"Sí","")</f>
        <v/>
      </c>
      <c r="Q5284" s="18" t="str">
        <f aca="false">IF(COUNTIF(LOOKAHEAD!$A$5:$A$604,A5284)&gt;0,"En Lookahead",IF(P5284="Sí","INCORPORAR",""))</f>
        <v/>
      </c>
    </row>
    <row r="5285" customFormat="false" ht="15" hidden="false" customHeight="false" outlineLevel="0" collapsed="false">
      <c r="A5285" s="16" t="s">
        <v>16044</v>
      </c>
      <c r="B5285" s="16" t="n">
        <v>5280</v>
      </c>
      <c r="C5285" s="16" t="s">
        <v>16045</v>
      </c>
      <c r="D5285" s="16" t="n">
        <v>8</v>
      </c>
      <c r="E5285" s="39" t="s">
        <v>14968</v>
      </c>
      <c r="F5285" s="16" t="s">
        <v>1285</v>
      </c>
      <c r="G5285" s="16" t="s">
        <v>1063</v>
      </c>
      <c r="H5285" s="16" t="s">
        <v>14297</v>
      </c>
      <c r="I5285" s="16" t="s">
        <v>136</v>
      </c>
      <c r="J5285" s="16" t="s">
        <v>16031</v>
      </c>
      <c r="K5285" s="32" t="n">
        <v>50</v>
      </c>
      <c r="L5285" s="33" t="n">
        <v>46541</v>
      </c>
      <c r="M5285" s="33" t="n">
        <v>46590</v>
      </c>
      <c r="N5285" s="16" t="s">
        <v>15915</v>
      </c>
      <c r="O5285" s="16" t="s">
        <v>1299</v>
      </c>
      <c r="P5285" s="16" t="str">
        <f aca="false">IF(AND(L5285&lt;=$D$2,M5285&gt;=$C$2),"Sí","")</f>
        <v/>
      </c>
      <c r="Q5285" s="18" t="str">
        <f aca="false">IF(COUNTIF(LOOKAHEAD!$A$5:$A$604,A5285)&gt;0,"En Lookahead",IF(P5285="Sí","INCORPORAR",""))</f>
        <v/>
      </c>
    </row>
    <row r="5286" customFormat="false" ht="15" hidden="false" customHeight="false" outlineLevel="0" collapsed="false">
      <c r="A5286" s="13" t="s">
        <v>16046</v>
      </c>
      <c r="B5286" s="13" t="n">
        <v>5281</v>
      </c>
      <c r="C5286" s="13" t="s">
        <v>16047</v>
      </c>
      <c r="D5286" s="13" t="n">
        <v>7</v>
      </c>
      <c r="E5286" s="38" t="s">
        <v>16048</v>
      </c>
      <c r="F5286" s="13" t="s">
        <v>1298</v>
      </c>
      <c r="G5286" s="13" t="s">
        <v>1063</v>
      </c>
      <c r="H5286" s="13" t="s">
        <v>14297</v>
      </c>
      <c r="I5286" s="13" t="s">
        <v>136</v>
      </c>
      <c r="J5286" s="13" t="s">
        <v>14471</v>
      </c>
      <c r="K5286" s="30" t="n">
        <v>50</v>
      </c>
      <c r="L5286" s="31" t="n">
        <v>46541</v>
      </c>
      <c r="M5286" s="31" t="n">
        <v>46590</v>
      </c>
      <c r="N5286" s="13"/>
      <c r="O5286" s="13" t="s">
        <v>1299</v>
      </c>
      <c r="P5286" s="13"/>
      <c r="Q5286" s="13"/>
    </row>
    <row r="5287" customFormat="false" ht="15" hidden="false" customHeight="false" outlineLevel="0" collapsed="false">
      <c r="A5287" s="16" t="s">
        <v>16049</v>
      </c>
      <c r="B5287" s="16" t="n">
        <v>5282</v>
      </c>
      <c r="C5287" s="16" t="s">
        <v>16050</v>
      </c>
      <c r="D5287" s="16" t="n">
        <v>8</v>
      </c>
      <c r="E5287" s="39" t="s">
        <v>14512</v>
      </c>
      <c r="F5287" s="16" t="s">
        <v>1285</v>
      </c>
      <c r="G5287" s="16" t="s">
        <v>1063</v>
      </c>
      <c r="H5287" s="16" t="s">
        <v>14297</v>
      </c>
      <c r="I5287" s="16" t="s">
        <v>136</v>
      </c>
      <c r="J5287" s="16" t="s">
        <v>16048</v>
      </c>
      <c r="K5287" s="32" t="n">
        <v>50</v>
      </c>
      <c r="L5287" s="33" t="n">
        <v>46541</v>
      </c>
      <c r="M5287" s="33" t="n">
        <v>46590</v>
      </c>
      <c r="N5287" s="16" t="s">
        <v>15915</v>
      </c>
      <c r="O5287" s="16" t="s">
        <v>1299</v>
      </c>
      <c r="P5287" s="16" t="str">
        <f aca="false">IF(AND(L5287&lt;=$D$2,M5287&gt;=$C$2),"Sí","")</f>
        <v/>
      </c>
      <c r="Q5287" s="18" t="str">
        <f aca="false">IF(COUNTIF(LOOKAHEAD!$A$5:$A$604,A5287)&gt;0,"En Lookahead",IF(P5287="Sí","INCORPORAR",""))</f>
        <v/>
      </c>
    </row>
    <row r="5288" customFormat="false" ht="15" hidden="false" customHeight="false" outlineLevel="0" collapsed="false">
      <c r="A5288" s="13" t="s">
        <v>16051</v>
      </c>
      <c r="B5288" s="13" t="n">
        <v>5283</v>
      </c>
      <c r="C5288" s="13" t="s">
        <v>16052</v>
      </c>
      <c r="D5288" s="13" t="n">
        <v>5</v>
      </c>
      <c r="E5288" s="34" t="s">
        <v>4416</v>
      </c>
      <c r="F5288" s="13" t="s">
        <v>1298</v>
      </c>
      <c r="G5288" s="13" t="s">
        <v>1063</v>
      </c>
      <c r="H5288" s="13" t="s">
        <v>14297</v>
      </c>
      <c r="I5288" s="13" t="s">
        <v>136</v>
      </c>
      <c r="J5288" s="13" t="s">
        <v>14297</v>
      </c>
      <c r="K5288" s="30" t="n">
        <v>50</v>
      </c>
      <c r="L5288" s="31" t="n">
        <v>46541</v>
      </c>
      <c r="M5288" s="31" t="n">
        <v>46590</v>
      </c>
      <c r="N5288" s="13"/>
      <c r="O5288" s="13" t="s">
        <v>1299</v>
      </c>
      <c r="P5288" s="13"/>
      <c r="Q5288" s="13"/>
    </row>
    <row r="5289" customFormat="false" ht="15" hidden="false" customHeight="false" outlineLevel="0" collapsed="false">
      <c r="A5289" s="13" t="s">
        <v>16053</v>
      </c>
      <c r="B5289" s="13" t="n">
        <v>5284</v>
      </c>
      <c r="C5289" s="13" t="s">
        <v>16054</v>
      </c>
      <c r="D5289" s="13" t="n">
        <v>6</v>
      </c>
      <c r="E5289" s="36" t="s">
        <v>14302</v>
      </c>
      <c r="F5289" s="13" t="s">
        <v>1298</v>
      </c>
      <c r="G5289" s="13" t="s">
        <v>1063</v>
      </c>
      <c r="H5289" s="13" t="s">
        <v>14297</v>
      </c>
      <c r="I5289" s="13" t="s">
        <v>136</v>
      </c>
      <c r="J5289" s="13" t="s">
        <v>4416</v>
      </c>
      <c r="K5289" s="30" t="n">
        <v>50</v>
      </c>
      <c r="L5289" s="31" t="n">
        <v>46541</v>
      </c>
      <c r="M5289" s="31" t="n">
        <v>46590</v>
      </c>
      <c r="N5289" s="13"/>
      <c r="O5289" s="13" t="s">
        <v>1299</v>
      </c>
      <c r="P5289" s="13"/>
      <c r="Q5289" s="13"/>
    </row>
    <row r="5290" customFormat="false" ht="15" hidden="false" customHeight="false" outlineLevel="0" collapsed="false">
      <c r="A5290" s="13" t="s">
        <v>16055</v>
      </c>
      <c r="B5290" s="13" t="n">
        <v>5285</v>
      </c>
      <c r="C5290" s="13" t="s">
        <v>16056</v>
      </c>
      <c r="D5290" s="13" t="n">
        <v>7</v>
      </c>
      <c r="E5290" s="38" t="s">
        <v>16057</v>
      </c>
      <c r="F5290" s="13" t="s">
        <v>1298</v>
      </c>
      <c r="G5290" s="13" t="s">
        <v>1063</v>
      </c>
      <c r="H5290" s="13" t="s">
        <v>14297</v>
      </c>
      <c r="I5290" s="13" t="s">
        <v>136</v>
      </c>
      <c r="J5290" s="13" t="s">
        <v>14302</v>
      </c>
      <c r="K5290" s="30" t="n">
        <v>50</v>
      </c>
      <c r="L5290" s="31" t="n">
        <v>46541</v>
      </c>
      <c r="M5290" s="31" t="n">
        <v>46590</v>
      </c>
      <c r="N5290" s="13"/>
      <c r="O5290" s="13" t="s">
        <v>1299</v>
      </c>
      <c r="P5290" s="13"/>
      <c r="Q5290" s="13"/>
    </row>
    <row r="5291" customFormat="false" ht="15" hidden="false" customHeight="false" outlineLevel="0" collapsed="false">
      <c r="A5291" s="16" t="s">
        <v>16058</v>
      </c>
      <c r="B5291" s="16" t="n">
        <v>5286</v>
      </c>
      <c r="C5291" s="16" t="s">
        <v>16059</v>
      </c>
      <c r="D5291" s="16" t="n">
        <v>8</v>
      </c>
      <c r="E5291" s="39" t="s">
        <v>14506</v>
      </c>
      <c r="F5291" s="16" t="s">
        <v>1285</v>
      </c>
      <c r="G5291" s="16" t="s">
        <v>1063</v>
      </c>
      <c r="H5291" s="16" t="s">
        <v>14297</v>
      </c>
      <c r="I5291" s="16" t="s">
        <v>136</v>
      </c>
      <c r="J5291" s="16" t="s">
        <v>16057</v>
      </c>
      <c r="K5291" s="32" t="n">
        <v>50</v>
      </c>
      <c r="L5291" s="33" t="n">
        <v>46541</v>
      </c>
      <c r="M5291" s="33" t="n">
        <v>46590</v>
      </c>
      <c r="N5291" s="16" t="s">
        <v>14649</v>
      </c>
      <c r="O5291" s="16" t="s">
        <v>1299</v>
      </c>
      <c r="P5291" s="16" t="str">
        <f aca="false">IF(AND(L5291&lt;=$D$2,M5291&gt;=$C$2),"Sí","")</f>
        <v/>
      </c>
      <c r="Q5291" s="18" t="str">
        <f aca="false">IF(COUNTIF(LOOKAHEAD!$A$5:$A$604,A5291)&gt;0,"En Lookahead",IF(P5291="Sí","INCORPORAR",""))</f>
        <v/>
      </c>
    </row>
    <row r="5292" customFormat="false" ht="15" hidden="false" customHeight="false" outlineLevel="0" collapsed="false">
      <c r="A5292" s="13" t="s">
        <v>16060</v>
      </c>
      <c r="B5292" s="13" t="n">
        <v>5287</v>
      </c>
      <c r="C5292" s="13" t="s">
        <v>16061</v>
      </c>
      <c r="D5292" s="13" t="n">
        <v>7</v>
      </c>
      <c r="E5292" s="38" t="s">
        <v>16062</v>
      </c>
      <c r="F5292" s="13" t="s">
        <v>1298</v>
      </c>
      <c r="G5292" s="13" t="s">
        <v>1063</v>
      </c>
      <c r="H5292" s="13" t="s">
        <v>14297</v>
      </c>
      <c r="I5292" s="13" t="s">
        <v>136</v>
      </c>
      <c r="J5292" s="13" t="s">
        <v>14302</v>
      </c>
      <c r="K5292" s="30" t="n">
        <v>50</v>
      </c>
      <c r="L5292" s="31" t="n">
        <v>46541</v>
      </c>
      <c r="M5292" s="31" t="n">
        <v>46590</v>
      </c>
      <c r="N5292" s="13"/>
      <c r="O5292" s="13" t="s">
        <v>1299</v>
      </c>
      <c r="P5292" s="13"/>
      <c r="Q5292" s="13"/>
    </row>
    <row r="5293" customFormat="false" ht="15" hidden="false" customHeight="false" outlineLevel="0" collapsed="false">
      <c r="A5293" s="16" t="s">
        <v>16063</v>
      </c>
      <c r="B5293" s="16" t="n">
        <v>5288</v>
      </c>
      <c r="C5293" s="16" t="s">
        <v>16064</v>
      </c>
      <c r="D5293" s="16" t="n">
        <v>8</v>
      </c>
      <c r="E5293" s="39" t="s">
        <v>14506</v>
      </c>
      <c r="F5293" s="16" t="s">
        <v>1285</v>
      </c>
      <c r="G5293" s="16" t="s">
        <v>1063</v>
      </c>
      <c r="H5293" s="16" t="s">
        <v>14297</v>
      </c>
      <c r="I5293" s="16" t="s">
        <v>136</v>
      </c>
      <c r="J5293" s="16" t="s">
        <v>16062</v>
      </c>
      <c r="K5293" s="32" t="n">
        <v>50</v>
      </c>
      <c r="L5293" s="33" t="n">
        <v>46541</v>
      </c>
      <c r="M5293" s="33" t="n">
        <v>46590</v>
      </c>
      <c r="N5293" s="16" t="s">
        <v>16065</v>
      </c>
      <c r="O5293" s="16" t="s">
        <v>1299</v>
      </c>
      <c r="P5293" s="16" t="str">
        <f aca="false">IF(AND(L5293&lt;=$D$2,M5293&gt;=$C$2),"Sí","")</f>
        <v/>
      </c>
      <c r="Q5293" s="18" t="str">
        <f aca="false">IF(COUNTIF(LOOKAHEAD!$A$5:$A$604,A5293)&gt;0,"En Lookahead",IF(P5293="Sí","INCORPORAR",""))</f>
        <v/>
      </c>
    </row>
    <row r="5294" customFormat="false" ht="15" hidden="false" customHeight="false" outlineLevel="0" collapsed="false">
      <c r="A5294" s="13" t="s">
        <v>16066</v>
      </c>
      <c r="B5294" s="13" t="n">
        <v>5289</v>
      </c>
      <c r="C5294" s="13" t="s">
        <v>16067</v>
      </c>
      <c r="D5294" s="13" t="n">
        <v>7</v>
      </c>
      <c r="E5294" s="38" t="s">
        <v>15685</v>
      </c>
      <c r="F5294" s="13" t="s">
        <v>1298</v>
      </c>
      <c r="G5294" s="13" t="s">
        <v>1063</v>
      </c>
      <c r="H5294" s="13" t="s">
        <v>14297</v>
      </c>
      <c r="I5294" s="13" t="s">
        <v>136</v>
      </c>
      <c r="J5294" s="13" t="s">
        <v>14302</v>
      </c>
      <c r="K5294" s="30" t="n">
        <v>50</v>
      </c>
      <c r="L5294" s="31" t="n">
        <v>46541</v>
      </c>
      <c r="M5294" s="31" t="n">
        <v>46590</v>
      </c>
      <c r="N5294" s="13"/>
      <c r="O5294" s="13" t="s">
        <v>1299</v>
      </c>
      <c r="P5294" s="13"/>
      <c r="Q5294" s="13"/>
    </row>
    <row r="5295" customFormat="false" ht="15" hidden="false" customHeight="false" outlineLevel="0" collapsed="false">
      <c r="A5295" s="16" t="s">
        <v>16068</v>
      </c>
      <c r="B5295" s="16" t="n">
        <v>5290</v>
      </c>
      <c r="C5295" s="16" t="s">
        <v>16069</v>
      </c>
      <c r="D5295" s="16" t="n">
        <v>8</v>
      </c>
      <c r="E5295" s="39" t="s">
        <v>14506</v>
      </c>
      <c r="F5295" s="16" t="s">
        <v>1285</v>
      </c>
      <c r="G5295" s="16" t="s">
        <v>1063</v>
      </c>
      <c r="H5295" s="16" t="s">
        <v>14297</v>
      </c>
      <c r="I5295" s="16" t="s">
        <v>136</v>
      </c>
      <c r="J5295" s="16" t="s">
        <v>15685</v>
      </c>
      <c r="K5295" s="32" t="n">
        <v>50</v>
      </c>
      <c r="L5295" s="33" t="n">
        <v>46541</v>
      </c>
      <c r="M5295" s="33" t="n">
        <v>46590</v>
      </c>
      <c r="N5295" s="16" t="s">
        <v>16065</v>
      </c>
      <c r="O5295" s="16" t="s">
        <v>1299</v>
      </c>
      <c r="P5295" s="16" t="str">
        <f aca="false">IF(AND(L5295&lt;=$D$2,M5295&gt;=$C$2),"Sí","")</f>
        <v/>
      </c>
      <c r="Q5295" s="18" t="str">
        <f aca="false">IF(COUNTIF(LOOKAHEAD!$A$5:$A$604,A5295)&gt;0,"En Lookahead",IF(P5295="Sí","INCORPORAR",""))</f>
        <v/>
      </c>
    </row>
    <row r="5296" customFormat="false" ht="15" hidden="false" customHeight="false" outlineLevel="0" collapsed="false">
      <c r="A5296" s="13" t="s">
        <v>16070</v>
      </c>
      <c r="B5296" s="13" t="n">
        <v>5291</v>
      </c>
      <c r="C5296" s="13" t="s">
        <v>16071</v>
      </c>
      <c r="D5296" s="13" t="n">
        <v>7</v>
      </c>
      <c r="E5296" s="38" t="s">
        <v>16072</v>
      </c>
      <c r="F5296" s="13" t="s">
        <v>1298</v>
      </c>
      <c r="G5296" s="13" t="s">
        <v>1063</v>
      </c>
      <c r="H5296" s="13" t="s">
        <v>14297</v>
      </c>
      <c r="I5296" s="13" t="s">
        <v>136</v>
      </c>
      <c r="J5296" s="13" t="s">
        <v>14302</v>
      </c>
      <c r="K5296" s="30" t="n">
        <v>50</v>
      </c>
      <c r="L5296" s="31" t="n">
        <v>46541</v>
      </c>
      <c r="M5296" s="31" t="n">
        <v>46590</v>
      </c>
      <c r="N5296" s="13"/>
      <c r="O5296" s="13" t="s">
        <v>1299</v>
      </c>
      <c r="P5296" s="13"/>
      <c r="Q5296" s="13"/>
    </row>
    <row r="5297" customFormat="false" ht="15" hidden="false" customHeight="false" outlineLevel="0" collapsed="false">
      <c r="A5297" s="16" t="s">
        <v>16073</v>
      </c>
      <c r="B5297" s="16" t="n">
        <v>5292</v>
      </c>
      <c r="C5297" s="16" t="s">
        <v>16074</v>
      </c>
      <c r="D5297" s="16" t="n">
        <v>8</v>
      </c>
      <c r="E5297" s="39" t="s">
        <v>14506</v>
      </c>
      <c r="F5297" s="16" t="s">
        <v>1285</v>
      </c>
      <c r="G5297" s="16" t="s">
        <v>1063</v>
      </c>
      <c r="H5297" s="16" t="s">
        <v>14297</v>
      </c>
      <c r="I5297" s="16" t="s">
        <v>136</v>
      </c>
      <c r="J5297" s="16" t="s">
        <v>16072</v>
      </c>
      <c r="K5297" s="32" t="n">
        <v>50</v>
      </c>
      <c r="L5297" s="33" t="n">
        <v>46541</v>
      </c>
      <c r="M5297" s="33" t="n">
        <v>46590</v>
      </c>
      <c r="N5297" s="16" t="s">
        <v>16065</v>
      </c>
      <c r="O5297" s="16" t="s">
        <v>1299</v>
      </c>
      <c r="P5297" s="16" t="str">
        <f aca="false">IF(AND(L5297&lt;=$D$2,M5297&gt;=$C$2),"Sí","")</f>
        <v/>
      </c>
      <c r="Q5297" s="18" t="str">
        <f aca="false">IF(COUNTIF(LOOKAHEAD!$A$5:$A$604,A5297)&gt;0,"En Lookahead",IF(P5297="Sí","INCORPORAR",""))</f>
        <v/>
      </c>
    </row>
    <row r="5298" customFormat="false" ht="15" hidden="false" customHeight="false" outlineLevel="0" collapsed="false">
      <c r="A5298" s="16" t="s">
        <v>16075</v>
      </c>
      <c r="B5298" s="16" t="n">
        <v>5293</v>
      </c>
      <c r="C5298" s="16" t="s">
        <v>16076</v>
      </c>
      <c r="D5298" s="16" t="n">
        <v>8</v>
      </c>
      <c r="E5298" s="39" t="s">
        <v>15299</v>
      </c>
      <c r="F5298" s="16" t="s">
        <v>1285</v>
      </c>
      <c r="G5298" s="16" t="s">
        <v>1063</v>
      </c>
      <c r="H5298" s="16" t="s">
        <v>14297</v>
      </c>
      <c r="I5298" s="16" t="s">
        <v>136</v>
      </c>
      <c r="J5298" s="16" t="s">
        <v>16072</v>
      </c>
      <c r="K5298" s="32" t="n">
        <v>50</v>
      </c>
      <c r="L5298" s="33" t="n">
        <v>46541</v>
      </c>
      <c r="M5298" s="33" t="n">
        <v>46590</v>
      </c>
      <c r="N5298" s="16" t="s">
        <v>16065</v>
      </c>
      <c r="O5298" s="16" t="s">
        <v>1299</v>
      </c>
      <c r="P5298" s="16" t="str">
        <f aca="false">IF(AND(L5298&lt;=$D$2,M5298&gt;=$C$2),"Sí","")</f>
        <v/>
      </c>
      <c r="Q5298" s="18" t="str">
        <f aca="false">IF(COUNTIF(LOOKAHEAD!$A$5:$A$604,A5298)&gt;0,"En Lookahead",IF(P5298="Sí","INCORPORAR",""))</f>
        <v/>
      </c>
    </row>
    <row r="5299" customFormat="false" ht="15" hidden="false" customHeight="false" outlineLevel="0" collapsed="false">
      <c r="A5299" s="16" t="s">
        <v>16077</v>
      </c>
      <c r="B5299" s="16" t="n">
        <v>5294</v>
      </c>
      <c r="C5299" s="16" t="s">
        <v>16078</v>
      </c>
      <c r="D5299" s="16" t="n">
        <v>8</v>
      </c>
      <c r="E5299" s="39" t="s">
        <v>15198</v>
      </c>
      <c r="F5299" s="16" t="s">
        <v>1285</v>
      </c>
      <c r="G5299" s="16" t="s">
        <v>1063</v>
      </c>
      <c r="H5299" s="16" t="s">
        <v>14297</v>
      </c>
      <c r="I5299" s="16" t="s">
        <v>136</v>
      </c>
      <c r="J5299" s="16" t="s">
        <v>16072</v>
      </c>
      <c r="K5299" s="32" t="n">
        <v>50</v>
      </c>
      <c r="L5299" s="33" t="n">
        <v>46541</v>
      </c>
      <c r="M5299" s="33" t="n">
        <v>46590</v>
      </c>
      <c r="N5299" s="16" t="s">
        <v>16065</v>
      </c>
      <c r="O5299" s="16" t="s">
        <v>1299</v>
      </c>
      <c r="P5299" s="16" t="str">
        <f aca="false">IF(AND(L5299&lt;=$D$2,M5299&gt;=$C$2),"Sí","")</f>
        <v/>
      </c>
      <c r="Q5299" s="18" t="str">
        <f aca="false">IF(COUNTIF(LOOKAHEAD!$A$5:$A$604,A5299)&gt;0,"En Lookahead",IF(P5299="Sí","INCORPORAR",""))</f>
        <v/>
      </c>
    </row>
    <row r="5300" customFormat="false" ht="15" hidden="false" customHeight="false" outlineLevel="0" collapsed="false">
      <c r="A5300" s="16" t="s">
        <v>16079</v>
      </c>
      <c r="B5300" s="16" t="n">
        <v>5295</v>
      </c>
      <c r="C5300" s="16" t="s">
        <v>16080</v>
      </c>
      <c r="D5300" s="16" t="n">
        <v>8</v>
      </c>
      <c r="E5300" s="39" t="s">
        <v>15201</v>
      </c>
      <c r="F5300" s="16" t="s">
        <v>1285</v>
      </c>
      <c r="G5300" s="16" t="s">
        <v>1063</v>
      </c>
      <c r="H5300" s="16" t="s">
        <v>14297</v>
      </c>
      <c r="I5300" s="16" t="s">
        <v>136</v>
      </c>
      <c r="J5300" s="16" t="s">
        <v>16072</v>
      </c>
      <c r="K5300" s="32" t="n">
        <v>50</v>
      </c>
      <c r="L5300" s="33" t="n">
        <v>46541</v>
      </c>
      <c r="M5300" s="33" t="n">
        <v>46590</v>
      </c>
      <c r="N5300" s="16" t="s">
        <v>16065</v>
      </c>
      <c r="O5300" s="16" t="s">
        <v>1299</v>
      </c>
      <c r="P5300" s="16" t="str">
        <f aca="false">IF(AND(L5300&lt;=$D$2,M5300&gt;=$C$2),"Sí","")</f>
        <v/>
      </c>
      <c r="Q5300" s="18" t="str">
        <f aca="false">IF(COUNTIF(LOOKAHEAD!$A$5:$A$604,A5300)&gt;0,"En Lookahead",IF(P5300="Sí","INCORPORAR",""))</f>
        <v/>
      </c>
    </row>
    <row r="5301" customFormat="false" ht="15" hidden="false" customHeight="false" outlineLevel="0" collapsed="false">
      <c r="A5301" s="13" t="s">
        <v>16081</v>
      </c>
      <c r="B5301" s="13" t="n">
        <v>5296</v>
      </c>
      <c r="C5301" s="13" t="s">
        <v>16082</v>
      </c>
      <c r="D5301" s="13" t="n">
        <v>5</v>
      </c>
      <c r="E5301" s="34" t="s">
        <v>4610</v>
      </c>
      <c r="F5301" s="13" t="s">
        <v>1298</v>
      </c>
      <c r="G5301" s="13" t="s">
        <v>1063</v>
      </c>
      <c r="H5301" s="13" t="s">
        <v>14297</v>
      </c>
      <c r="I5301" s="13" t="s">
        <v>136</v>
      </c>
      <c r="J5301" s="13" t="s">
        <v>14297</v>
      </c>
      <c r="K5301" s="30" t="n">
        <v>50</v>
      </c>
      <c r="L5301" s="31" t="n">
        <v>46541</v>
      </c>
      <c r="M5301" s="31" t="n">
        <v>46590</v>
      </c>
      <c r="N5301" s="13"/>
      <c r="O5301" s="13" t="s">
        <v>1299</v>
      </c>
      <c r="P5301" s="13"/>
      <c r="Q5301" s="13"/>
    </row>
    <row r="5302" customFormat="false" ht="15" hidden="false" customHeight="false" outlineLevel="0" collapsed="false">
      <c r="A5302" s="13" t="s">
        <v>16083</v>
      </c>
      <c r="B5302" s="13" t="n">
        <v>5297</v>
      </c>
      <c r="C5302" s="13" t="s">
        <v>16084</v>
      </c>
      <c r="D5302" s="13" t="n">
        <v>6</v>
      </c>
      <c r="E5302" s="36" t="s">
        <v>14302</v>
      </c>
      <c r="F5302" s="13" t="s">
        <v>1298</v>
      </c>
      <c r="G5302" s="13" t="s">
        <v>1063</v>
      </c>
      <c r="H5302" s="13" t="s">
        <v>14297</v>
      </c>
      <c r="I5302" s="13" t="s">
        <v>136</v>
      </c>
      <c r="J5302" s="13" t="s">
        <v>4610</v>
      </c>
      <c r="K5302" s="30" t="n">
        <v>50</v>
      </c>
      <c r="L5302" s="31" t="n">
        <v>46541</v>
      </c>
      <c r="M5302" s="31" t="n">
        <v>46590</v>
      </c>
      <c r="N5302" s="13"/>
      <c r="O5302" s="13" t="s">
        <v>1299</v>
      </c>
      <c r="P5302" s="13"/>
      <c r="Q5302" s="13"/>
    </row>
    <row r="5303" customFormat="false" ht="15" hidden="false" customHeight="false" outlineLevel="0" collapsed="false">
      <c r="A5303" s="13" t="s">
        <v>16085</v>
      </c>
      <c r="B5303" s="13" t="n">
        <v>5298</v>
      </c>
      <c r="C5303" s="13" t="s">
        <v>16086</v>
      </c>
      <c r="D5303" s="13" t="n">
        <v>7</v>
      </c>
      <c r="E5303" s="38" t="s">
        <v>16087</v>
      </c>
      <c r="F5303" s="13" t="s">
        <v>1298</v>
      </c>
      <c r="G5303" s="13" t="s">
        <v>1063</v>
      </c>
      <c r="H5303" s="13" t="s">
        <v>14297</v>
      </c>
      <c r="I5303" s="13" t="s">
        <v>136</v>
      </c>
      <c r="J5303" s="13" t="s">
        <v>14302</v>
      </c>
      <c r="K5303" s="30" t="n">
        <v>50</v>
      </c>
      <c r="L5303" s="31" t="n">
        <v>46541</v>
      </c>
      <c r="M5303" s="31" t="n">
        <v>46590</v>
      </c>
      <c r="N5303" s="13"/>
      <c r="O5303" s="13" t="s">
        <v>1299</v>
      </c>
      <c r="P5303" s="13"/>
      <c r="Q5303" s="13"/>
    </row>
    <row r="5304" customFormat="false" ht="15" hidden="false" customHeight="false" outlineLevel="0" collapsed="false">
      <c r="A5304" s="16" t="s">
        <v>16088</v>
      </c>
      <c r="B5304" s="16" t="n">
        <v>5299</v>
      </c>
      <c r="C5304" s="16" t="s">
        <v>16089</v>
      </c>
      <c r="D5304" s="16" t="n">
        <v>8</v>
      </c>
      <c r="E5304" s="39" t="s">
        <v>14308</v>
      </c>
      <c r="F5304" s="16" t="s">
        <v>1285</v>
      </c>
      <c r="G5304" s="16" t="s">
        <v>1063</v>
      </c>
      <c r="H5304" s="16" t="s">
        <v>14297</v>
      </c>
      <c r="I5304" s="16" t="s">
        <v>136</v>
      </c>
      <c r="J5304" s="16" t="s">
        <v>16087</v>
      </c>
      <c r="K5304" s="32" t="n">
        <v>50</v>
      </c>
      <c r="L5304" s="33" t="n">
        <v>46541</v>
      </c>
      <c r="M5304" s="33" t="n">
        <v>46590</v>
      </c>
      <c r="N5304" s="16" t="s">
        <v>14649</v>
      </c>
      <c r="O5304" s="16" t="s">
        <v>1299</v>
      </c>
      <c r="P5304" s="16" t="str">
        <f aca="false">IF(AND(L5304&lt;=$D$2,M5304&gt;=$C$2),"Sí","")</f>
        <v/>
      </c>
      <c r="Q5304" s="18" t="str">
        <f aca="false">IF(COUNTIF(LOOKAHEAD!$A$5:$A$604,A5304)&gt;0,"En Lookahead",IF(P5304="Sí","INCORPORAR",""))</f>
        <v/>
      </c>
    </row>
    <row r="5305" customFormat="false" ht="15" hidden="false" customHeight="false" outlineLevel="0" collapsed="false">
      <c r="A5305" s="16" t="s">
        <v>16090</v>
      </c>
      <c r="B5305" s="16" t="n">
        <v>5300</v>
      </c>
      <c r="C5305" s="16" t="s">
        <v>16091</v>
      </c>
      <c r="D5305" s="16" t="n">
        <v>8</v>
      </c>
      <c r="E5305" s="39" t="s">
        <v>14392</v>
      </c>
      <c r="F5305" s="16" t="s">
        <v>1285</v>
      </c>
      <c r="G5305" s="16" t="s">
        <v>1063</v>
      </c>
      <c r="H5305" s="16" t="s">
        <v>14297</v>
      </c>
      <c r="I5305" s="16" t="s">
        <v>136</v>
      </c>
      <c r="J5305" s="16" t="s">
        <v>16087</v>
      </c>
      <c r="K5305" s="32" t="n">
        <v>50</v>
      </c>
      <c r="L5305" s="33" t="n">
        <v>46541</v>
      </c>
      <c r="M5305" s="33" t="n">
        <v>46590</v>
      </c>
      <c r="N5305" s="16" t="s">
        <v>16092</v>
      </c>
      <c r="O5305" s="16" t="s">
        <v>1299</v>
      </c>
      <c r="P5305" s="16" t="str">
        <f aca="false">IF(AND(L5305&lt;=$D$2,M5305&gt;=$C$2),"Sí","")</f>
        <v/>
      </c>
      <c r="Q5305" s="18" t="str">
        <f aca="false">IF(COUNTIF(LOOKAHEAD!$A$5:$A$604,A5305)&gt;0,"En Lookahead",IF(P5305="Sí","INCORPORAR",""))</f>
        <v/>
      </c>
    </row>
    <row r="5306" customFormat="false" ht="15" hidden="false" customHeight="false" outlineLevel="0" collapsed="false">
      <c r="A5306" s="16" t="s">
        <v>16093</v>
      </c>
      <c r="B5306" s="16" t="n">
        <v>5301</v>
      </c>
      <c r="C5306" s="16" t="s">
        <v>16094</v>
      </c>
      <c r="D5306" s="16" t="n">
        <v>8</v>
      </c>
      <c r="E5306" s="39" t="s">
        <v>14316</v>
      </c>
      <c r="F5306" s="16" t="s">
        <v>1285</v>
      </c>
      <c r="G5306" s="16" t="s">
        <v>1063</v>
      </c>
      <c r="H5306" s="16" t="s">
        <v>14297</v>
      </c>
      <c r="I5306" s="16" t="s">
        <v>136</v>
      </c>
      <c r="J5306" s="16" t="s">
        <v>16087</v>
      </c>
      <c r="K5306" s="32" t="n">
        <v>50</v>
      </c>
      <c r="L5306" s="33" t="n">
        <v>46541</v>
      </c>
      <c r="M5306" s="33" t="n">
        <v>46590</v>
      </c>
      <c r="N5306" s="16" t="s">
        <v>16092</v>
      </c>
      <c r="O5306" s="16" t="s">
        <v>1299</v>
      </c>
      <c r="P5306" s="16" t="str">
        <f aca="false">IF(AND(L5306&lt;=$D$2,M5306&gt;=$C$2),"Sí","")</f>
        <v/>
      </c>
      <c r="Q5306" s="18" t="str">
        <f aca="false">IF(COUNTIF(LOOKAHEAD!$A$5:$A$604,A5306)&gt;0,"En Lookahead",IF(P5306="Sí","INCORPORAR",""))</f>
        <v/>
      </c>
    </row>
    <row r="5307" customFormat="false" ht="15" hidden="false" customHeight="false" outlineLevel="0" collapsed="false">
      <c r="A5307" s="16" t="s">
        <v>16095</v>
      </c>
      <c r="B5307" s="16" t="n">
        <v>5302</v>
      </c>
      <c r="C5307" s="16" t="s">
        <v>16096</v>
      </c>
      <c r="D5307" s="16" t="n">
        <v>8</v>
      </c>
      <c r="E5307" s="39" t="s">
        <v>14319</v>
      </c>
      <c r="F5307" s="16" t="s">
        <v>1285</v>
      </c>
      <c r="G5307" s="16" t="s">
        <v>1063</v>
      </c>
      <c r="H5307" s="16" t="s">
        <v>14297</v>
      </c>
      <c r="I5307" s="16" t="s">
        <v>136</v>
      </c>
      <c r="J5307" s="16" t="s">
        <v>16087</v>
      </c>
      <c r="K5307" s="32" t="n">
        <v>50</v>
      </c>
      <c r="L5307" s="33" t="n">
        <v>46541</v>
      </c>
      <c r="M5307" s="33" t="n">
        <v>46590</v>
      </c>
      <c r="N5307" s="16" t="s">
        <v>16092</v>
      </c>
      <c r="O5307" s="16" t="s">
        <v>1299</v>
      </c>
      <c r="P5307" s="16" t="str">
        <f aca="false">IF(AND(L5307&lt;=$D$2,M5307&gt;=$C$2),"Sí","")</f>
        <v/>
      </c>
      <c r="Q5307" s="18" t="str">
        <f aca="false">IF(COUNTIF(LOOKAHEAD!$A$5:$A$604,A5307)&gt;0,"En Lookahead",IF(P5307="Sí","INCORPORAR",""))</f>
        <v/>
      </c>
    </row>
    <row r="5308" customFormat="false" ht="15" hidden="false" customHeight="false" outlineLevel="0" collapsed="false">
      <c r="A5308" s="16" t="s">
        <v>16097</v>
      </c>
      <c r="B5308" s="16" t="n">
        <v>5303</v>
      </c>
      <c r="C5308" s="16" t="s">
        <v>16098</v>
      </c>
      <c r="D5308" s="16" t="n">
        <v>8</v>
      </c>
      <c r="E5308" s="39" t="s">
        <v>14322</v>
      </c>
      <c r="F5308" s="16" t="s">
        <v>1285</v>
      </c>
      <c r="G5308" s="16" t="s">
        <v>1063</v>
      </c>
      <c r="H5308" s="16" t="s">
        <v>14297</v>
      </c>
      <c r="I5308" s="16" t="s">
        <v>136</v>
      </c>
      <c r="J5308" s="16" t="s">
        <v>16087</v>
      </c>
      <c r="K5308" s="32" t="n">
        <v>50</v>
      </c>
      <c r="L5308" s="33" t="n">
        <v>46541</v>
      </c>
      <c r="M5308" s="33" t="n">
        <v>46590</v>
      </c>
      <c r="N5308" s="16" t="s">
        <v>16092</v>
      </c>
      <c r="O5308" s="16" t="s">
        <v>1299</v>
      </c>
      <c r="P5308" s="16" t="str">
        <f aca="false">IF(AND(L5308&lt;=$D$2,M5308&gt;=$C$2),"Sí","")</f>
        <v/>
      </c>
      <c r="Q5308" s="18" t="str">
        <f aca="false">IF(COUNTIF(LOOKAHEAD!$A$5:$A$604,A5308)&gt;0,"En Lookahead",IF(P5308="Sí","INCORPORAR",""))</f>
        <v/>
      </c>
    </row>
    <row r="5309" customFormat="false" ht="15" hidden="false" customHeight="false" outlineLevel="0" collapsed="false">
      <c r="A5309" s="16" t="s">
        <v>16099</v>
      </c>
      <c r="B5309" s="16" t="n">
        <v>5304</v>
      </c>
      <c r="C5309" s="16" t="s">
        <v>16100</v>
      </c>
      <c r="D5309" s="16" t="n">
        <v>8</v>
      </c>
      <c r="E5309" s="39" t="s">
        <v>16101</v>
      </c>
      <c r="F5309" s="16" t="s">
        <v>1285</v>
      </c>
      <c r="G5309" s="16" t="s">
        <v>1063</v>
      </c>
      <c r="H5309" s="16" t="s">
        <v>14297</v>
      </c>
      <c r="I5309" s="16" t="s">
        <v>136</v>
      </c>
      <c r="J5309" s="16" t="s">
        <v>16087</v>
      </c>
      <c r="K5309" s="32" t="n">
        <v>50</v>
      </c>
      <c r="L5309" s="33" t="n">
        <v>46541</v>
      </c>
      <c r="M5309" s="33" t="n">
        <v>46590</v>
      </c>
      <c r="N5309" s="16" t="s">
        <v>16092</v>
      </c>
      <c r="O5309" s="16" t="s">
        <v>1299</v>
      </c>
      <c r="P5309" s="16" t="str">
        <f aca="false">IF(AND(L5309&lt;=$D$2,M5309&gt;=$C$2),"Sí","")</f>
        <v/>
      </c>
      <c r="Q5309" s="18" t="str">
        <f aca="false">IF(COUNTIF(LOOKAHEAD!$A$5:$A$604,A5309)&gt;0,"En Lookahead",IF(P5309="Sí","INCORPORAR",""))</f>
        <v/>
      </c>
    </row>
    <row r="5310" customFormat="false" ht="15" hidden="false" customHeight="false" outlineLevel="0" collapsed="false">
      <c r="A5310" s="16" t="s">
        <v>16102</v>
      </c>
      <c r="B5310" s="16" t="n">
        <v>5305</v>
      </c>
      <c r="C5310" s="16" t="s">
        <v>16103</v>
      </c>
      <c r="D5310" s="16" t="n">
        <v>8</v>
      </c>
      <c r="E5310" s="39" t="s">
        <v>16104</v>
      </c>
      <c r="F5310" s="16" t="s">
        <v>1285</v>
      </c>
      <c r="G5310" s="16" t="s">
        <v>1063</v>
      </c>
      <c r="H5310" s="16" t="s">
        <v>14297</v>
      </c>
      <c r="I5310" s="16" t="s">
        <v>136</v>
      </c>
      <c r="J5310" s="16" t="s">
        <v>16087</v>
      </c>
      <c r="K5310" s="32" t="n">
        <v>50</v>
      </c>
      <c r="L5310" s="33" t="n">
        <v>46541</v>
      </c>
      <c r="M5310" s="33" t="n">
        <v>46590</v>
      </c>
      <c r="N5310" s="16" t="s">
        <v>16092</v>
      </c>
      <c r="O5310" s="16" t="s">
        <v>1299</v>
      </c>
      <c r="P5310" s="16" t="str">
        <f aca="false">IF(AND(L5310&lt;=$D$2,M5310&gt;=$C$2),"Sí","")</f>
        <v/>
      </c>
      <c r="Q5310" s="18" t="str">
        <f aca="false">IF(COUNTIF(LOOKAHEAD!$A$5:$A$604,A5310)&gt;0,"En Lookahead",IF(P5310="Sí","INCORPORAR",""))</f>
        <v/>
      </c>
    </row>
    <row r="5311" customFormat="false" ht="15" hidden="false" customHeight="false" outlineLevel="0" collapsed="false">
      <c r="A5311" s="16" t="s">
        <v>16105</v>
      </c>
      <c r="B5311" s="16" t="n">
        <v>5306</v>
      </c>
      <c r="C5311" s="16" t="s">
        <v>16106</v>
      </c>
      <c r="D5311" s="16" t="n">
        <v>8</v>
      </c>
      <c r="E5311" s="39" t="s">
        <v>14639</v>
      </c>
      <c r="F5311" s="16" t="s">
        <v>1285</v>
      </c>
      <c r="G5311" s="16" t="s">
        <v>1063</v>
      </c>
      <c r="H5311" s="16" t="s">
        <v>14297</v>
      </c>
      <c r="I5311" s="16" t="s">
        <v>136</v>
      </c>
      <c r="J5311" s="16" t="s">
        <v>16087</v>
      </c>
      <c r="K5311" s="32" t="n">
        <v>50</v>
      </c>
      <c r="L5311" s="33" t="n">
        <v>46541</v>
      </c>
      <c r="M5311" s="33" t="n">
        <v>46590</v>
      </c>
      <c r="N5311" s="16" t="s">
        <v>16092</v>
      </c>
      <c r="O5311" s="16" t="s">
        <v>1299</v>
      </c>
      <c r="P5311" s="16" t="str">
        <f aca="false">IF(AND(L5311&lt;=$D$2,M5311&gt;=$C$2),"Sí","")</f>
        <v/>
      </c>
      <c r="Q5311" s="18" t="str">
        <f aca="false">IF(COUNTIF(LOOKAHEAD!$A$5:$A$604,A5311)&gt;0,"En Lookahead",IF(P5311="Sí","INCORPORAR",""))</f>
        <v/>
      </c>
    </row>
    <row r="5312" customFormat="false" ht="15" hidden="false" customHeight="false" outlineLevel="0" collapsed="false">
      <c r="A5312" s="16" t="s">
        <v>16107</v>
      </c>
      <c r="B5312" s="16" t="n">
        <v>5307</v>
      </c>
      <c r="C5312" s="16" t="s">
        <v>16108</v>
      </c>
      <c r="D5312" s="16" t="n">
        <v>8</v>
      </c>
      <c r="E5312" s="39" t="s">
        <v>14325</v>
      </c>
      <c r="F5312" s="16" t="s">
        <v>1285</v>
      </c>
      <c r="G5312" s="16" t="s">
        <v>1063</v>
      </c>
      <c r="H5312" s="16" t="s">
        <v>14297</v>
      </c>
      <c r="I5312" s="16" t="s">
        <v>136</v>
      </c>
      <c r="J5312" s="16" t="s">
        <v>16087</v>
      </c>
      <c r="K5312" s="32" t="n">
        <v>50</v>
      </c>
      <c r="L5312" s="33" t="n">
        <v>46541</v>
      </c>
      <c r="M5312" s="33" t="n">
        <v>46590</v>
      </c>
      <c r="N5312" s="16" t="s">
        <v>16092</v>
      </c>
      <c r="O5312" s="16" t="s">
        <v>1299</v>
      </c>
      <c r="P5312" s="16" t="str">
        <f aca="false">IF(AND(L5312&lt;=$D$2,M5312&gt;=$C$2),"Sí","")</f>
        <v/>
      </c>
      <c r="Q5312" s="18" t="str">
        <f aca="false">IF(COUNTIF(LOOKAHEAD!$A$5:$A$604,A5312)&gt;0,"En Lookahead",IF(P5312="Sí","INCORPORAR",""))</f>
        <v/>
      </c>
    </row>
    <row r="5313" customFormat="false" ht="15" hidden="false" customHeight="false" outlineLevel="0" collapsed="false">
      <c r="A5313" s="16" t="s">
        <v>16109</v>
      </c>
      <c r="B5313" s="16" t="n">
        <v>5308</v>
      </c>
      <c r="C5313" s="16" t="s">
        <v>16110</v>
      </c>
      <c r="D5313" s="16" t="n">
        <v>8</v>
      </c>
      <c r="E5313" s="39" t="s">
        <v>14328</v>
      </c>
      <c r="F5313" s="16" t="s">
        <v>1285</v>
      </c>
      <c r="G5313" s="16" t="s">
        <v>1063</v>
      </c>
      <c r="H5313" s="16" t="s">
        <v>14297</v>
      </c>
      <c r="I5313" s="16" t="s">
        <v>136</v>
      </c>
      <c r="J5313" s="16" t="s">
        <v>16087</v>
      </c>
      <c r="K5313" s="32" t="n">
        <v>50</v>
      </c>
      <c r="L5313" s="33" t="n">
        <v>46541</v>
      </c>
      <c r="M5313" s="33" t="n">
        <v>46590</v>
      </c>
      <c r="N5313" s="16" t="s">
        <v>16092</v>
      </c>
      <c r="O5313" s="16" t="s">
        <v>1299</v>
      </c>
      <c r="P5313" s="16" t="str">
        <f aca="false">IF(AND(L5313&lt;=$D$2,M5313&gt;=$C$2),"Sí","")</f>
        <v/>
      </c>
      <c r="Q5313" s="18" t="str">
        <f aca="false">IF(COUNTIF(LOOKAHEAD!$A$5:$A$604,A5313)&gt;0,"En Lookahead",IF(P5313="Sí","INCORPORAR",""))</f>
        <v/>
      </c>
    </row>
    <row r="5314" customFormat="false" ht="15" hidden="false" customHeight="false" outlineLevel="0" collapsed="false">
      <c r="A5314" s="13" t="s">
        <v>16111</v>
      </c>
      <c r="B5314" s="13" t="n">
        <v>5309</v>
      </c>
      <c r="C5314" s="13" t="s">
        <v>16112</v>
      </c>
      <c r="D5314" s="13" t="n">
        <v>6</v>
      </c>
      <c r="E5314" s="36" t="s">
        <v>14471</v>
      </c>
      <c r="F5314" s="13" t="s">
        <v>1298</v>
      </c>
      <c r="G5314" s="13" t="s">
        <v>1063</v>
      </c>
      <c r="H5314" s="13" t="s">
        <v>14297</v>
      </c>
      <c r="I5314" s="13" t="s">
        <v>136</v>
      </c>
      <c r="J5314" s="13" t="s">
        <v>4610</v>
      </c>
      <c r="K5314" s="30" t="n">
        <v>50</v>
      </c>
      <c r="L5314" s="31" t="n">
        <v>46541</v>
      </c>
      <c r="M5314" s="31" t="n">
        <v>46590</v>
      </c>
      <c r="N5314" s="13"/>
      <c r="O5314" s="13" t="s">
        <v>1299</v>
      </c>
      <c r="P5314" s="13"/>
      <c r="Q5314" s="13"/>
    </row>
    <row r="5315" customFormat="false" ht="15" hidden="false" customHeight="false" outlineLevel="0" collapsed="false">
      <c r="A5315" s="13" t="s">
        <v>16113</v>
      </c>
      <c r="B5315" s="13" t="n">
        <v>5310</v>
      </c>
      <c r="C5315" s="13" t="s">
        <v>16114</v>
      </c>
      <c r="D5315" s="13" t="n">
        <v>7</v>
      </c>
      <c r="E5315" s="38" t="s">
        <v>16115</v>
      </c>
      <c r="F5315" s="13" t="s">
        <v>1298</v>
      </c>
      <c r="G5315" s="13" t="s">
        <v>1063</v>
      </c>
      <c r="H5315" s="13" t="s">
        <v>14297</v>
      </c>
      <c r="I5315" s="13" t="s">
        <v>136</v>
      </c>
      <c r="J5315" s="13" t="s">
        <v>14471</v>
      </c>
      <c r="K5315" s="30" t="n">
        <v>50</v>
      </c>
      <c r="L5315" s="31" t="n">
        <v>46541</v>
      </c>
      <c r="M5315" s="31" t="n">
        <v>46590</v>
      </c>
      <c r="N5315" s="13"/>
      <c r="O5315" s="13" t="s">
        <v>1299</v>
      </c>
      <c r="P5315" s="13"/>
      <c r="Q5315" s="13"/>
    </row>
    <row r="5316" customFormat="false" ht="15" hidden="false" customHeight="false" outlineLevel="0" collapsed="false">
      <c r="A5316" s="16" t="s">
        <v>16116</v>
      </c>
      <c r="B5316" s="16" t="n">
        <v>5311</v>
      </c>
      <c r="C5316" s="16" t="s">
        <v>16117</v>
      </c>
      <c r="D5316" s="16" t="n">
        <v>8</v>
      </c>
      <c r="E5316" s="39" t="s">
        <v>14308</v>
      </c>
      <c r="F5316" s="16" t="s">
        <v>1285</v>
      </c>
      <c r="G5316" s="16" t="s">
        <v>1063</v>
      </c>
      <c r="H5316" s="16" t="s">
        <v>14297</v>
      </c>
      <c r="I5316" s="16" t="s">
        <v>136</v>
      </c>
      <c r="J5316" s="16" t="s">
        <v>16115</v>
      </c>
      <c r="K5316" s="32" t="n">
        <v>50</v>
      </c>
      <c r="L5316" s="33" t="n">
        <v>46541</v>
      </c>
      <c r="M5316" s="33" t="n">
        <v>46590</v>
      </c>
      <c r="N5316" s="16" t="s">
        <v>16092</v>
      </c>
      <c r="O5316" s="16" t="s">
        <v>1299</v>
      </c>
      <c r="P5316" s="16" t="str">
        <f aca="false">IF(AND(L5316&lt;=$D$2,M5316&gt;=$C$2),"Sí","")</f>
        <v/>
      </c>
      <c r="Q5316" s="18" t="str">
        <f aca="false">IF(COUNTIF(LOOKAHEAD!$A$5:$A$604,A5316)&gt;0,"En Lookahead",IF(P5316="Sí","INCORPORAR",""))</f>
        <v/>
      </c>
    </row>
    <row r="5317" customFormat="false" ht="15" hidden="false" customHeight="false" outlineLevel="0" collapsed="false">
      <c r="A5317" s="16" t="s">
        <v>16118</v>
      </c>
      <c r="B5317" s="16" t="n">
        <v>5312</v>
      </c>
      <c r="C5317" s="16" t="s">
        <v>16119</v>
      </c>
      <c r="D5317" s="16" t="n">
        <v>8</v>
      </c>
      <c r="E5317" s="39" t="s">
        <v>14319</v>
      </c>
      <c r="F5317" s="16" t="s">
        <v>1285</v>
      </c>
      <c r="G5317" s="16" t="s">
        <v>1063</v>
      </c>
      <c r="H5317" s="16" t="s">
        <v>14297</v>
      </c>
      <c r="I5317" s="16" t="s">
        <v>136</v>
      </c>
      <c r="J5317" s="16" t="s">
        <v>16115</v>
      </c>
      <c r="K5317" s="32" t="n">
        <v>50</v>
      </c>
      <c r="L5317" s="33" t="n">
        <v>46541</v>
      </c>
      <c r="M5317" s="33" t="n">
        <v>46590</v>
      </c>
      <c r="N5317" s="16" t="s">
        <v>16092</v>
      </c>
      <c r="O5317" s="16" t="s">
        <v>1299</v>
      </c>
      <c r="P5317" s="16" t="str">
        <f aca="false">IF(AND(L5317&lt;=$D$2,M5317&gt;=$C$2),"Sí","")</f>
        <v/>
      </c>
      <c r="Q5317" s="18" t="str">
        <f aca="false">IF(COUNTIF(LOOKAHEAD!$A$5:$A$604,A5317)&gt;0,"En Lookahead",IF(P5317="Sí","INCORPORAR",""))</f>
        <v/>
      </c>
    </row>
    <row r="5318" customFormat="false" ht="15" hidden="false" customHeight="false" outlineLevel="0" collapsed="false">
      <c r="A5318" s="16" t="s">
        <v>16120</v>
      </c>
      <c r="B5318" s="16" t="n">
        <v>5313</v>
      </c>
      <c r="C5318" s="16" t="s">
        <v>16121</v>
      </c>
      <c r="D5318" s="16" t="n">
        <v>8</v>
      </c>
      <c r="E5318" s="39" t="s">
        <v>14322</v>
      </c>
      <c r="F5318" s="16" t="s">
        <v>1285</v>
      </c>
      <c r="G5318" s="16" t="s">
        <v>1063</v>
      </c>
      <c r="H5318" s="16" t="s">
        <v>14297</v>
      </c>
      <c r="I5318" s="16" t="s">
        <v>136</v>
      </c>
      <c r="J5318" s="16" t="s">
        <v>16115</v>
      </c>
      <c r="K5318" s="32" t="n">
        <v>50</v>
      </c>
      <c r="L5318" s="33" t="n">
        <v>46541</v>
      </c>
      <c r="M5318" s="33" t="n">
        <v>46590</v>
      </c>
      <c r="N5318" s="16" t="s">
        <v>16092</v>
      </c>
      <c r="O5318" s="16" t="s">
        <v>1299</v>
      </c>
      <c r="P5318" s="16" t="str">
        <f aca="false">IF(AND(L5318&lt;=$D$2,M5318&gt;=$C$2),"Sí","")</f>
        <v/>
      </c>
      <c r="Q5318" s="18" t="str">
        <f aca="false">IF(COUNTIF(LOOKAHEAD!$A$5:$A$604,A5318)&gt;0,"En Lookahead",IF(P5318="Sí","INCORPORAR",""))</f>
        <v/>
      </c>
    </row>
    <row r="5319" customFormat="false" ht="15" hidden="false" customHeight="false" outlineLevel="0" collapsed="false">
      <c r="A5319" s="16" t="s">
        <v>16122</v>
      </c>
      <c r="B5319" s="16" t="n">
        <v>5314</v>
      </c>
      <c r="C5319" s="16" t="s">
        <v>16123</v>
      </c>
      <c r="D5319" s="16" t="n">
        <v>8</v>
      </c>
      <c r="E5319" s="39" t="s">
        <v>16101</v>
      </c>
      <c r="F5319" s="16" t="s">
        <v>1285</v>
      </c>
      <c r="G5319" s="16" t="s">
        <v>1063</v>
      </c>
      <c r="H5319" s="16" t="s">
        <v>14297</v>
      </c>
      <c r="I5319" s="16" t="s">
        <v>136</v>
      </c>
      <c r="J5319" s="16" t="s">
        <v>16115</v>
      </c>
      <c r="K5319" s="32" t="n">
        <v>50</v>
      </c>
      <c r="L5319" s="33" t="n">
        <v>46541</v>
      </c>
      <c r="M5319" s="33" t="n">
        <v>46590</v>
      </c>
      <c r="N5319" s="16" t="s">
        <v>16092</v>
      </c>
      <c r="O5319" s="16" t="s">
        <v>1299</v>
      </c>
      <c r="P5319" s="16" t="str">
        <f aca="false">IF(AND(L5319&lt;=$D$2,M5319&gt;=$C$2),"Sí","")</f>
        <v/>
      </c>
      <c r="Q5319" s="18" t="str">
        <f aca="false">IF(COUNTIF(LOOKAHEAD!$A$5:$A$604,A5319)&gt;0,"En Lookahead",IF(P5319="Sí","INCORPORAR",""))</f>
        <v/>
      </c>
    </row>
    <row r="5320" customFormat="false" ht="15" hidden="false" customHeight="false" outlineLevel="0" collapsed="false">
      <c r="A5320" s="16" t="s">
        <v>16124</v>
      </c>
      <c r="B5320" s="16" t="n">
        <v>5315</v>
      </c>
      <c r="C5320" s="16" t="s">
        <v>16125</v>
      </c>
      <c r="D5320" s="16" t="n">
        <v>8</v>
      </c>
      <c r="E5320" s="39" t="s">
        <v>16104</v>
      </c>
      <c r="F5320" s="16" t="s">
        <v>1285</v>
      </c>
      <c r="G5320" s="16" t="s">
        <v>1063</v>
      </c>
      <c r="H5320" s="16" t="s">
        <v>14297</v>
      </c>
      <c r="I5320" s="16" t="s">
        <v>136</v>
      </c>
      <c r="J5320" s="16" t="s">
        <v>16115</v>
      </c>
      <c r="K5320" s="32" t="n">
        <v>50</v>
      </c>
      <c r="L5320" s="33" t="n">
        <v>46541</v>
      </c>
      <c r="M5320" s="33" t="n">
        <v>46590</v>
      </c>
      <c r="N5320" s="16" t="s">
        <v>16092</v>
      </c>
      <c r="O5320" s="16" t="s">
        <v>1299</v>
      </c>
      <c r="P5320" s="16" t="str">
        <f aca="false">IF(AND(L5320&lt;=$D$2,M5320&gt;=$C$2),"Sí","")</f>
        <v/>
      </c>
      <c r="Q5320" s="18" t="str">
        <f aca="false">IF(COUNTIF(LOOKAHEAD!$A$5:$A$604,A5320)&gt;0,"En Lookahead",IF(P5320="Sí","INCORPORAR",""))</f>
        <v/>
      </c>
    </row>
    <row r="5321" customFormat="false" ht="15" hidden="false" customHeight="false" outlineLevel="0" collapsed="false">
      <c r="A5321" s="16" t="s">
        <v>16126</v>
      </c>
      <c r="B5321" s="16" t="n">
        <v>5316</v>
      </c>
      <c r="C5321" s="16" t="s">
        <v>16127</v>
      </c>
      <c r="D5321" s="16" t="n">
        <v>8</v>
      </c>
      <c r="E5321" s="39" t="s">
        <v>14378</v>
      </c>
      <c r="F5321" s="16" t="s">
        <v>1285</v>
      </c>
      <c r="G5321" s="16" t="s">
        <v>1063</v>
      </c>
      <c r="H5321" s="16" t="s">
        <v>14297</v>
      </c>
      <c r="I5321" s="16" t="s">
        <v>136</v>
      </c>
      <c r="J5321" s="16" t="s">
        <v>16115</v>
      </c>
      <c r="K5321" s="32" t="n">
        <v>50</v>
      </c>
      <c r="L5321" s="33" t="n">
        <v>46541</v>
      </c>
      <c r="M5321" s="33" t="n">
        <v>46590</v>
      </c>
      <c r="N5321" s="16" t="s">
        <v>16092</v>
      </c>
      <c r="O5321" s="16" t="s">
        <v>1299</v>
      </c>
      <c r="P5321" s="16" t="str">
        <f aca="false">IF(AND(L5321&lt;=$D$2,M5321&gt;=$C$2),"Sí","")</f>
        <v/>
      </c>
      <c r="Q5321" s="18" t="str">
        <f aca="false">IF(COUNTIF(LOOKAHEAD!$A$5:$A$604,A5321)&gt;0,"En Lookahead",IF(P5321="Sí","INCORPORAR",""))</f>
        <v/>
      </c>
    </row>
    <row r="5322" customFormat="false" ht="15" hidden="false" customHeight="false" outlineLevel="0" collapsed="false">
      <c r="A5322" s="13" t="s">
        <v>16128</v>
      </c>
      <c r="B5322" s="13" t="n">
        <v>5317</v>
      </c>
      <c r="C5322" s="13" t="s">
        <v>16129</v>
      </c>
      <c r="D5322" s="13" t="n">
        <v>5</v>
      </c>
      <c r="E5322" s="34" t="s">
        <v>5039</v>
      </c>
      <c r="F5322" s="13" t="s">
        <v>1298</v>
      </c>
      <c r="G5322" s="13" t="s">
        <v>1063</v>
      </c>
      <c r="H5322" s="13" t="s">
        <v>14297</v>
      </c>
      <c r="I5322" s="13" t="s">
        <v>136</v>
      </c>
      <c r="J5322" s="13" t="s">
        <v>14297</v>
      </c>
      <c r="K5322" s="30" t="n">
        <v>50</v>
      </c>
      <c r="L5322" s="31" t="n">
        <v>46541</v>
      </c>
      <c r="M5322" s="31" t="n">
        <v>46590</v>
      </c>
      <c r="N5322" s="13"/>
      <c r="O5322" s="13" t="s">
        <v>1299</v>
      </c>
      <c r="P5322" s="13"/>
      <c r="Q5322" s="13"/>
    </row>
    <row r="5323" customFormat="false" ht="15" hidden="false" customHeight="false" outlineLevel="0" collapsed="false">
      <c r="A5323" s="13" t="s">
        <v>16130</v>
      </c>
      <c r="B5323" s="13" t="n">
        <v>5318</v>
      </c>
      <c r="C5323" s="13" t="s">
        <v>16131</v>
      </c>
      <c r="D5323" s="13" t="n">
        <v>6</v>
      </c>
      <c r="E5323" s="36" t="s">
        <v>14302</v>
      </c>
      <c r="F5323" s="13" t="s">
        <v>1298</v>
      </c>
      <c r="G5323" s="13" t="s">
        <v>1063</v>
      </c>
      <c r="H5323" s="13" t="s">
        <v>14297</v>
      </c>
      <c r="I5323" s="13" t="s">
        <v>136</v>
      </c>
      <c r="J5323" s="13" t="s">
        <v>5039</v>
      </c>
      <c r="K5323" s="30" t="n">
        <v>50</v>
      </c>
      <c r="L5323" s="31" t="n">
        <v>46541</v>
      </c>
      <c r="M5323" s="31" t="n">
        <v>46590</v>
      </c>
      <c r="N5323" s="13"/>
      <c r="O5323" s="13" t="s">
        <v>1299</v>
      </c>
      <c r="P5323" s="13"/>
      <c r="Q5323" s="13"/>
    </row>
    <row r="5324" customFormat="false" ht="15" hidden="false" customHeight="false" outlineLevel="0" collapsed="false">
      <c r="A5324" s="13" t="s">
        <v>16132</v>
      </c>
      <c r="B5324" s="13" t="n">
        <v>5319</v>
      </c>
      <c r="C5324" s="13" t="s">
        <v>16133</v>
      </c>
      <c r="D5324" s="13" t="n">
        <v>7</v>
      </c>
      <c r="E5324" s="38" t="s">
        <v>16134</v>
      </c>
      <c r="F5324" s="13" t="s">
        <v>1298</v>
      </c>
      <c r="G5324" s="13" t="s">
        <v>1063</v>
      </c>
      <c r="H5324" s="13" t="s">
        <v>14297</v>
      </c>
      <c r="I5324" s="13" t="s">
        <v>136</v>
      </c>
      <c r="J5324" s="13" t="s">
        <v>14302</v>
      </c>
      <c r="K5324" s="30" t="n">
        <v>50</v>
      </c>
      <c r="L5324" s="31" t="n">
        <v>46541</v>
      </c>
      <c r="M5324" s="31" t="n">
        <v>46590</v>
      </c>
      <c r="N5324" s="13"/>
      <c r="O5324" s="13" t="s">
        <v>1299</v>
      </c>
      <c r="P5324" s="13"/>
      <c r="Q5324" s="13"/>
    </row>
    <row r="5325" customFormat="false" ht="15" hidden="false" customHeight="false" outlineLevel="0" collapsed="false">
      <c r="A5325" s="16" t="s">
        <v>16135</v>
      </c>
      <c r="B5325" s="16" t="n">
        <v>5320</v>
      </c>
      <c r="C5325" s="16" t="s">
        <v>16136</v>
      </c>
      <c r="D5325" s="16" t="n">
        <v>8</v>
      </c>
      <c r="E5325" s="39" t="s">
        <v>14308</v>
      </c>
      <c r="F5325" s="16" t="s">
        <v>1285</v>
      </c>
      <c r="G5325" s="16" t="s">
        <v>1063</v>
      </c>
      <c r="H5325" s="16" t="s">
        <v>14297</v>
      </c>
      <c r="I5325" s="16" t="s">
        <v>136</v>
      </c>
      <c r="J5325" s="16" t="s">
        <v>16134</v>
      </c>
      <c r="K5325" s="32" t="n">
        <v>50</v>
      </c>
      <c r="L5325" s="33" t="n">
        <v>46541</v>
      </c>
      <c r="M5325" s="33" t="n">
        <v>46590</v>
      </c>
      <c r="N5325" s="16" t="s">
        <v>14649</v>
      </c>
      <c r="O5325" s="16" t="s">
        <v>1299</v>
      </c>
      <c r="P5325" s="16" t="str">
        <f aca="false">IF(AND(L5325&lt;=$D$2,M5325&gt;=$C$2),"Sí","")</f>
        <v/>
      </c>
      <c r="Q5325" s="18" t="str">
        <f aca="false">IF(COUNTIF(LOOKAHEAD!$A$5:$A$604,A5325)&gt;0,"En Lookahead",IF(P5325="Sí","INCORPORAR",""))</f>
        <v/>
      </c>
    </row>
    <row r="5326" customFormat="false" ht="15" hidden="false" customHeight="false" outlineLevel="0" collapsed="false">
      <c r="A5326" s="16" t="s">
        <v>16137</v>
      </c>
      <c r="B5326" s="16" t="n">
        <v>5321</v>
      </c>
      <c r="C5326" s="16" t="s">
        <v>16138</v>
      </c>
      <c r="D5326" s="16" t="n">
        <v>8</v>
      </c>
      <c r="E5326" s="39" t="s">
        <v>14392</v>
      </c>
      <c r="F5326" s="16" t="s">
        <v>1285</v>
      </c>
      <c r="G5326" s="16" t="s">
        <v>1063</v>
      </c>
      <c r="H5326" s="16" t="s">
        <v>14297</v>
      </c>
      <c r="I5326" s="16" t="s">
        <v>136</v>
      </c>
      <c r="J5326" s="16" t="s">
        <v>16134</v>
      </c>
      <c r="K5326" s="32" t="n">
        <v>50</v>
      </c>
      <c r="L5326" s="33" t="n">
        <v>46541</v>
      </c>
      <c r="M5326" s="33" t="n">
        <v>46590</v>
      </c>
      <c r="N5326" s="16" t="s">
        <v>16139</v>
      </c>
      <c r="O5326" s="16" t="s">
        <v>1299</v>
      </c>
      <c r="P5326" s="16" t="str">
        <f aca="false">IF(AND(L5326&lt;=$D$2,M5326&gt;=$C$2),"Sí","")</f>
        <v/>
      </c>
      <c r="Q5326" s="18" t="str">
        <f aca="false">IF(COUNTIF(LOOKAHEAD!$A$5:$A$604,A5326)&gt;0,"En Lookahead",IF(P5326="Sí","INCORPORAR",""))</f>
        <v/>
      </c>
    </row>
    <row r="5327" customFormat="false" ht="15" hidden="false" customHeight="false" outlineLevel="0" collapsed="false">
      <c r="A5327" s="16" t="s">
        <v>16140</v>
      </c>
      <c r="B5327" s="16" t="n">
        <v>5322</v>
      </c>
      <c r="C5327" s="16" t="s">
        <v>16141</v>
      </c>
      <c r="D5327" s="16" t="n">
        <v>8</v>
      </c>
      <c r="E5327" s="39" t="s">
        <v>14316</v>
      </c>
      <c r="F5327" s="16" t="s">
        <v>1285</v>
      </c>
      <c r="G5327" s="16" t="s">
        <v>1063</v>
      </c>
      <c r="H5327" s="16" t="s">
        <v>14297</v>
      </c>
      <c r="I5327" s="16" t="s">
        <v>136</v>
      </c>
      <c r="J5327" s="16" t="s">
        <v>16134</v>
      </c>
      <c r="K5327" s="32" t="n">
        <v>50</v>
      </c>
      <c r="L5327" s="33" t="n">
        <v>46541</v>
      </c>
      <c r="M5327" s="33" t="n">
        <v>46590</v>
      </c>
      <c r="N5327" s="16" t="s">
        <v>16139</v>
      </c>
      <c r="O5327" s="16" t="s">
        <v>1299</v>
      </c>
      <c r="P5327" s="16" t="str">
        <f aca="false">IF(AND(L5327&lt;=$D$2,M5327&gt;=$C$2),"Sí","")</f>
        <v/>
      </c>
      <c r="Q5327" s="18" t="str">
        <f aca="false">IF(COUNTIF(LOOKAHEAD!$A$5:$A$604,A5327)&gt;0,"En Lookahead",IF(P5327="Sí","INCORPORAR",""))</f>
        <v/>
      </c>
    </row>
    <row r="5328" customFormat="false" ht="15" hidden="false" customHeight="false" outlineLevel="0" collapsed="false">
      <c r="A5328" s="16" t="s">
        <v>16142</v>
      </c>
      <c r="B5328" s="16" t="n">
        <v>5323</v>
      </c>
      <c r="C5328" s="16" t="s">
        <v>16143</v>
      </c>
      <c r="D5328" s="16" t="n">
        <v>8</v>
      </c>
      <c r="E5328" s="39" t="s">
        <v>14319</v>
      </c>
      <c r="F5328" s="16" t="s">
        <v>1285</v>
      </c>
      <c r="G5328" s="16" t="s">
        <v>1063</v>
      </c>
      <c r="H5328" s="16" t="s">
        <v>14297</v>
      </c>
      <c r="I5328" s="16" t="s">
        <v>136</v>
      </c>
      <c r="J5328" s="16" t="s">
        <v>16134</v>
      </c>
      <c r="K5328" s="32" t="n">
        <v>50</v>
      </c>
      <c r="L5328" s="33" t="n">
        <v>46541</v>
      </c>
      <c r="M5328" s="33" t="n">
        <v>46590</v>
      </c>
      <c r="N5328" s="16" t="s">
        <v>16139</v>
      </c>
      <c r="O5328" s="16" t="s">
        <v>1299</v>
      </c>
      <c r="P5328" s="16" t="str">
        <f aca="false">IF(AND(L5328&lt;=$D$2,M5328&gt;=$C$2),"Sí","")</f>
        <v/>
      </c>
      <c r="Q5328" s="18" t="str">
        <f aca="false">IF(COUNTIF(LOOKAHEAD!$A$5:$A$604,A5328)&gt;0,"En Lookahead",IF(P5328="Sí","INCORPORAR",""))</f>
        <v/>
      </c>
    </row>
    <row r="5329" customFormat="false" ht="15" hidden="false" customHeight="false" outlineLevel="0" collapsed="false">
      <c r="A5329" s="16" t="s">
        <v>16144</v>
      </c>
      <c r="B5329" s="16" t="n">
        <v>5324</v>
      </c>
      <c r="C5329" s="16" t="s">
        <v>16145</v>
      </c>
      <c r="D5329" s="16" t="n">
        <v>8</v>
      </c>
      <c r="E5329" s="39" t="s">
        <v>14322</v>
      </c>
      <c r="F5329" s="16" t="s">
        <v>1285</v>
      </c>
      <c r="G5329" s="16" t="s">
        <v>1063</v>
      </c>
      <c r="H5329" s="16" t="s">
        <v>14297</v>
      </c>
      <c r="I5329" s="16" t="s">
        <v>136</v>
      </c>
      <c r="J5329" s="16" t="s">
        <v>16134</v>
      </c>
      <c r="K5329" s="32" t="n">
        <v>50</v>
      </c>
      <c r="L5329" s="33" t="n">
        <v>46541</v>
      </c>
      <c r="M5329" s="33" t="n">
        <v>46590</v>
      </c>
      <c r="N5329" s="16" t="s">
        <v>16139</v>
      </c>
      <c r="O5329" s="16" t="s">
        <v>1299</v>
      </c>
      <c r="P5329" s="16" t="str">
        <f aca="false">IF(AND(L5329&lt;=$D$2,M5329&gt;=$C$2),"Sí","")</f>
        <v/>
      </c>
      <c r="Q5329" s="18" t="str">
        <f aca="false">IF(COUNTIF(LOOKAHEAD!$A$5:$A$604,A5329)&gt;0,"En Lookahead",IF(P5329="Sí","INCORPORAR",""))</f>
        <v/>
      </c>
    </row>
    <row r="5330" customFormat="false" ht="15" hidden="false" customHeight="false" outlineLevel="0" collapsed="false">
      <c r="A5330" s="16" t="s">
        <v>16146</v>
      </c>
      <c r="B5330" s="16" t="n">
        <v>5325</v>
      </c>
      <c r="C5330" s="16" t="s">
        <v>16147</v>
      </c>
      <c r="D5330" s="16" t="n">
        <v>8</v>
      </c>
      <c r="E5330" s="39" t="s">
        <v>14403</v>
      </c>
      <c r="F5330" s="16" t="s">
        <v>1285</v>
      </c>
      <c r="G5330" s="16" t="s">
        <v>1063</v>
      </c>
      <c r="H5330" s="16" t="s">
        <v>14297</v>
      </c>
      <c r="I5330" s="16" t="s">
        <v>136</v>
      </c>
      <c r="J5330" s="16" t="s">
        <v>16134</v>
      </c>
      <c r="K5330" s="32" t="n">
        <v>50</v>
      </c>
      <c r="L5330" s="33" t="n">
        <v>46541</v>
      </c>
      <c r="M5330" s="33" t="n">
        <v>46590</v>
      </c>
      <c r="N5330" s="16" t="s">
        <v>16139</v>
      </c>
      <c r="O5330" s="16" t="s">
        <v>1299</v>
      </c>
      <c r="P5330" s="16" t="str">
        <f aca="false">IF(AND(L5330&lt;=$D$2,M5330&gt;=$C$2),"Sí","")</f>
        <v/>
      </c>
      <c r="Q5330" s="18" t="str">
        <f aca="false">IF(COUNTIF(LOOKAHEAD!$A$5:$A$604,A5330)&gt;0,"En Lookahead",IF(P5330="Sí","INCORPORAR",""))</f>
        <v/>
      </c>
    </row>
    <row r="5331" customFormat="false" ht="15" hidden="false" customHeight="false" outlineLevel="0" collapsed="false">
      <c r="A5331" s="16" t="s">
        <v>16148</v>
      </c>
      <c r="B5331" s="16" t="n">
        <v>5326</v>
      </c>
      <c r="C5331" s="16" t="s">
        <v>16149</v>
      </c>
      <c r="D5331" s="16" t="n">
        <v>8</v>
      </c>
      <c r="E5331" s="39" t="s">
        <v>14325</v>
      </c>
      <c r="F5331" s="16" t="s">
        <v>1285</v>
      </c>
      <c r="G5331" s="16" t="s">
        <v>1063</v>
      </c>
      <c r="H5331" s="16" t="s">
        <v>14297</v>
      </c>
      <c r="I5331" s="16" t="s">
        <v>136</v>
      </c>
      <c r="J5331" s="16" t="s">
        <v>16134</v>
      </c>
      <c r="K5331" s="32" t="n">
        <v>50</v>
      </c>
      <c r="L5331" s="33" t="n">
        <v>46541</v>
      </c>
      <c r="M5331" s="33" t="n">
        <v>46590</v>
      </c>
      <c r="N5331" s="16" t="s">
        <v>16139</v>
      </c>
      <c r="O5331" s="16" t="s">
        <v>1299</v>
      </c>
      <c r="P5331" s="16" t="str">
        <f aca="false">IF(AND(L5331&lt;=$D$2,M5331&gt;=$C$2),"Sí","")</f>
        <v/>
      </c>
      <c r="Q5331" s="18" t="str">
        <f aca="false">IF(COUNTIF(LOOKAHEAD!$A$5:$A$604,A5331)&gt;0,"En Lookahead",IF(P5331="Sí","INCORPORAR",""))</f>
        <v/>
      </c>
    </row>
    <row r="5332" customFormat="false" ht="15" hidden="false" customHeight="false" outlineLevel="0" collapsed="false">
      <c r="A5332" s="13" t="s">
        <v>16150</v>
      </c>
      <c r="B5332" s="13" t="n">
        <v>5327</v>
      </c>
      <c r="C5332" s="13" t="s">
        <v>16151</v>
      </c>
      <c r="D5332" s="13" t="n">
        <v>7</v>
      </c>
      <c r="E5332" s="38" t="s">
        <v>16152</v>
      </c>
      <c r="F5332" s="13" t="s">
        <v>1298</v>
      </c>
      <c r="G5332" s="13" t="s">
        <v>1063</v>
      </c>
      <c r="H5332" s="13" t="s">
        <v>14297</v>
      </c>
      <c r="I5332" s="13" t="s">
        <v>136</v>
      </c>
      <c r="J5332" s="13" t="s">
        <v>14302</v>
      </c>
      <c r="K5332" s="30" t="n">
        <v>50</v>
      </c>
      <c r="L5332" s="31" t="n">
        <v>46541</v>
      </c>
      <c r="M5332" s="31" t="n">
        <v>46590</v>
      </c>
      <c r="N5332" s="13"/>
      <c r="O5332" s="13" t="s">
        <v>1299</v>
      </c>
      <c r="P5332" s="13"/>
      <c r="Q5332" s="13"/>
    </row>
    <row r="5333" customFormat="false" ht="15" hidden="false" customHeight="false" outlineLevel="0" collapsed="false">
      <c r="A5333" s="16" t="s">
        <v>16153</v>
      </c>
      <c r="B5333" s="16" t="n">
        <v>5328</v>
      </c>
      <c r="C5333" s="16" t="s">
        <v>16154</v>
      </c>
      <c r="D5333" s="16" t="n">
        <v>8</v>
      </c>
      <c r="E5333" s="39" t="s">
        <v>14308</v>
      </c>
      <c r="F5333" s="16" t="s">
        <v>1285</v>
      </c>
      <c r="G5333" s="16" t="s">
        <v>1063</v>
      </c>
      <c r="H5333" s="16" t="s">
        <v>14297</v>
      </c>
      <c r="I5333" s="16" t="s">
        <v>136</v>
      </c>
      <c r="J5333" s="16" t="s">
        <v>16152</v>
      </c>
      <c r="K5333" s="32" t="n">
        <v>50</v>
      </c>
      <c r="L5333" s="33" t="n">
        <v>46541</v>
      </c>
      <c r="M5333" s="33" t="n">
        <v>46590</v>
      </c>
      <c r="N5333" s="16" t="s">
        <v>16139</v>
      </c>
      <c r="O5333" s="16" t="s">
        <v>1299</v>
      </c>
      <c r="P5333" s="16" t="str">
        <f aca="false">IF(AND(L5333&lt;=$D$2,M5333&gt;=$C$2),"Sí","")</f>
        <v/>
      </c>
      <c r="Q5333" s="18" t="str">
        <f aca="false">IF(COUNTIF(LOOKAHEAD!$A$5:$A$604,A5333)&gt;0,"En Lookahead",IF(P5333="Sí","INCORPORAR",""))</f>
        <v/>
      </c>
    </row>
    <row r="5334" customFormat="false" ht="15" hidden="false" customHeight="false" outlineLevel="0" collapsed="false">
      <c r="A5334" s="16" t="s">
        <v>16155</v>
      </c>
      <c r="B5334" s="16" t="n">
        <v>5329</v>
      </c>
      <c r="C5334" s="16" t="s">
        <v>16156</v>
      </c>
      <c r="D5334" s="16" t="n">
        <v>8</v>
      </c>
      <c r="E5334" s="39" t="s">
        <v>14709</v>
      </c>
      <c r="F5334" s="16" t="s">
        <v>1285</v>
      </c>
      <c r="G5334" s="16" t="s">
        <v>1063</v>
      </c>
      <c r="H5334" s="16" t="s">
        <v>14297</v>
      </c>
      <c r="I5334" s="16" t="s">
        <v>136</v>
      </c>
      <c r="J5334" s="16" t="s">
        <v>16152</v>
      </c>
      <c r="K5334" s="32" t="n">
        <v>50</v>
      </c>
      <c r="L5334" s="33" t="n">
        <v>46541</v>
      </c>
      <c r="M5334" s="33" t="n">
        <v>46590</v>
      </c>
      <c r="N5334" s="16" t="s">
        <v>16139</v>
      </c>
      <c r="O5334" s="16" t="s">
        <v>1299</v>
      </c>
      <c r="P5334" s="16" t="str">
        <f aca="false">IF(AND(L5334&lt;=$D$2,M5334&gt;=$C$2),"Sí","")</f>
        <v/>
      </c>
      <c r="Q5334" s="18" t="str">
        <f aca="false">IF(COUNTIF(LOOKAHEAD!$A$5:$A$604,A5334)&gt;0,"En Lookahead",IF(P5334="Sí","INCORPORAR",""))</f>
        <v/>
      </c>
    </row>
    <row r="5335" customFormat="false" ht="15" hidden="false" customHeight="false" outlineLevel="0" collapsed="false">
      <c r="A5335" s="16" t="s">
        <v>16157</v>
      </c>
      <c r="B5335" s="16" t="n">
        <v>5330</v>
      </c>
      <c r="C5335" s="16" t="s">
        <v>16158</v>
      </c>
      <c r="D5335" s="16" t="n">
        <v>8</v>
      </c>
      <c r="E5335" s="39" t="s">
        <v>14392</v>
      </c>
      <c r="F5335" s="16" t="s">
        <v>1285</v>
      </c>
      <c r="G5335" s="16" t="s">
        <v>1063</v>
      </c>
      <c r="H5335" s="16" t="s">
        <v>14297</v>
      </c>
      <c r="I5335" s="16" t="s">
        <v>136</v>
      </c>
      <c r="J5335" s="16" t="s">
        <v>16152</v>
      </c>
      <c r="K5335" s="32" t="n">
        <v>50</v>
      </c>
      <c r="L5335" s="33" t="n">
        <v>46541</v>
      </c>
      <c r="M5335" s="33" t="n">
        <v>46590</v>
      </c>
      <c r="N5335" s="16" t="s">
        <v>16139</v>
      </c>
      <c r="O5335" s="16" t="s">
        <v>1299</v>
      </c>
      <c r="P5335" s="16" t="str">
        <f aca="false">IF(AND(L5335&lt;=$D$2,M5335&gt;=$C$2),"Sí","")</f>
        <v/>
      </c>
      <c r="Q5335" s="18" t="str">
        <f aca="false">IF(COUNTIF(LOOKAHEAD!$A$5:$A$604,A5335)&gt;0,"En Lookahead",IF(P5335="Sí","INCORPORAR",""))</f>
        <v/>
      </c>
    </row>
    <row r="5336" customFormat="false" ht="15" hidden="false" customHeight="false" outlineLevel="0" collapsed="false">
      <c r="A5336" s="16" t="s">
        <v>16159</v>
      </c>
      <c r="B5336" s="16" t="n">
        <v>5331</v>
      </c>
      <c r="C5336" s="16" t="s">
        <v>16160</v>
      </c>
      <c r="D5336" s="16" t="n">
        <v>8</v>
      </c>
      <c r="E5336" s="39" t="s">
        <v>14316</v>
      </c>
      <c r="F5336" s="16" t="s">
        <v>1285</v>
      </c>
      <c r="G5336" s="16" t="s">
        <v>1063</v>
      </c>
      <c r="H5336" s="16" t="s">
        <v>14297</v>
      </c>
      <c r="I5336" s="16" t="s">
        <v>136</v>
      </c>
      <c r="J5336" s="16" t="s">
        <v>16152</v>
      </c>
      <c r="K5336" s="32" t="n">
        <v>50</v>
      </c>
      <c r="L5336" s="33" t="n">
        <v>46541</v>
      </c>
      <c r="M5336" s="33" t="n">
        <v>46590</v>
      </c>
      <c r="N5336" s="16" t="s">
        <v>16139</v>
      </c>
      <c r="O5336" s="16" t="s">
        <v>1299</v>
      </c>
      <c r="P5336" s="16" t="str">
        <f aca="false">IF(AND(L5336&lt;=$D$2,M5336&gt;=$C$2),"Sí","")</f>
        <v/>
      </c>
      <c r="Q5336" s="18" t="str">
        <f aca="false">IF(COUNTIF(LOOKAHEAD!$A$5:$A$604,A5336)&gt;0,"En Lookahead",IF(P5336="Sí","INCORPORAR",""))</f>
        <v/>
      </c>
    </row>
    <row r="5337" customFormat="false" ht="15" hidden="false" customHeight="false" outlineLevel="0" collapsed="false">
      <c r="A5337" s="16" t="s">
        <v>16161</v>
      </c>
      <c r="B5337" s="16" t="n">
        <v>5332</v>
      </c>
      <c r="C5337" s="16" t="s">
        <v>16162</v>
      </c>
      <c r="D5337" s="16" t="n">
        <v>8</v>
      </c>
      <c r="E5337" s="39" t="s">
        <v>14319</v>
      </c>
      <c r="F5337" s="16" t="s">
        <v>1285</v>
      </c>
      <c r="G5337" s="16" t="s">
        <v>1063</v>
      </c>
      <c r="H5337" s="16" t="s">
        <v>14297</v>
      </c>
      <c r="I5337" s="16" t="s">
        <v>136</v>
      </c>
      <c r="J5337" s="16" t="s">
        <v>16152</v>
      </c>
      <c r="K5337" s="32" t="n">
        <v>50</v>
      </c>
      <c r="L5337" s="33" t="n">
        <v>46541</v>
      </c>
      <c r="M5337" s="33" t="n">
        <v>46590</v>
      </c>
      <c r="N5337" s="16" t="s">
        <v>16139</v>
      </c>
      <c r="O5337" s="16" t="s">
        <v>1299</v>
      </c>
      <c r="P5337" s="16" t="str">
        <f aca="false">IF(AND(L5337&lt;=$D$2,M5337&gt;=$C$2),"Sí","")</f>
        <v/>
      </c>
      <c r="Q5337" s="18" t="str">
        <f aca="false">IF(COUNTIF(LOOKAHEAD!$A$5:$A$604,A5337)&gt;0,"En Lookahead",IF(P5337="Sí","INCORPORAR",""))</f>
        <v/>
      </c>
    </row>
    <row r="5338" customFormat="false" ht="15" hidden="false" customHeight="false" outlineLevel="0" collapsed="false">
      <c r="A5338" s="16" t="s">
        <v>16163</v>
      </c>
      <c r="B5338" s="16" t="n">
        <v>5333</v>
      </c>
      <c r="C5338" s="16" t="s">
        <v>16164</v>
      </c>
      <c r="D5338" s="16" t="n">
        <v>8</v>
      </c>
      <c r="E5338" s="39" t="s">
        <v>14322</v>
      </c>
      <c r="F5338" s="16" t="s">
        <v>1285</v>
      </c>
      <c r="G5338" s="16" t="s">
        <v>1063</v>
      </c>
      <c r="H5338" s="16" t="s">
        <v>14297</v>
      </c>
      <c r="I5338" s="16" t="s">
        <v>136</v>
      </c>
      <c r="J5338" s="16" t="s">
        <v>16152</v>
      </c>
      <c r="K5338" s="32" t="n">
        <v>50</v>
      </c>
      <c r="L5338" s="33" t="n">
        <v>46541</v>
      </c>
      <c r="M5338" s="33" t="n">
        <v>46590</v>
      </c>
      <c r="N5338" s="16" t="s">
        <v>16139</v>
      </c>
      <c r="O5338" s="16" t="s">
        <v>1299</v>
      </c>
      <c r="P5338" s="16" t="str">
        <f aca="false">IF(AND(L5338&lt;=$D$2,M5338&gt;=$C$2),"Sí","")</f>
        <v/>
      </c>
      <c r="Q5338" s="18" t="str">
        <f aca="false">IF(COUNTIF(LOOKAHEAD!$A$5:$A$604,A5338)&gt;0,"En Lookahead",IF(P5338="Sí","INCORPORAR",""))</f>
        <v/>
      </c>
    </row>
    <row r="5339" customFormat="false" ht="15" hidden="false" customHeight="false" outlineLevel="0" collapsed="false">
      <c r="A5339" s="16" t="s">
        <v>16165</v>
      </c>
      <c r="B5339" s="16" t="n">
        <v>5334</v>
      </c>
      <c r="C5339" s="16" t="s">
        <v>16166</v>
      </c>
      <c r="D5339" s="16" t="n">
        <v>8</v>
      </c>
      <c r="E5339" s="39" t="s">
        <v>14403</v>
      </c>
      <c r="F5339" s="16" t="s">
        <v>1285</v>
      </c>
      <c r="G5339" s="16" t="s">
        <v>1063</v>
      </c>
      <c r="H5339" s="16" t="s">
        <v>14297</v>
      </c>
      <c r="I5339" s="16" t="s">
        <v>136</v>
      </c>
      <c r="J5339" s="16" t="s">
        <v>16152</v>
      </c>
      <c r="K5339" s="32" t="n">
        <v>50</v>
      </c>
      <c r="L5339" s="33" t="n">
        <v>46541</v>
      </c>
      <c r="M5339" s="33" t="n">
        <v>46590</v>
      </c>
      <c r="N5339" s="16" t="s">
        <v>16139</v>
      </c>
      <c r="O5339" s="16" t="s">
        <v>1299</v>
      </c>
      <c r="P5339" s="16" t="str">
        <f aca="false">IF(AND(L5339&lt;=$D$2,M5339&gt;=$C$2),"Sí","")</f>
        <v/>
      </c>
      <c r="Q5339" s="18" t="str">
        <f aca="false">IF(COUNTIF(LOOKAHEAD!$A$5:$A$604,A5339)&gt;0,"En Lookahead",IF(P5339="Sí","INCORPORAR",""))</f>
        <v/>
      </c>
    </row>
    <row r="5340" customFormat="false" ht="15" hidden="false" customHeight="false" outlineLevel="0" collapsed="false">
      <c r="A5340" s="16" t="s">
        <v>16167</v>
      </c>
      <c r="B5340" s="16" t="n">
        <v>5335</v>
      </c>
      <c r="C5340" s="16" t="s">
        <v>16168</v>
      </c>
      <c r="D5340" s="16" t="n">
        <v>8</v>
      </c>
      <c r="E5340" s="39" t="s">
        <v>14671</v>
      </c>
      <c r="F5340" s="16" t="s">
        <v>1285</v>
      </c>
      <c r="G5340" s="16" t="s">
        <v>1063</v>
      </c>
      <c r="H5340" s="16" t="s">
        <v>14297</v>
      </c>
      <c r="I5340" s="16" t="s">
        <v>136</v>
      </c>
      <c r="J5340" s="16" t="s">
        <v>16152</v>
      </c>
      <c r="K5340" s="32" t="n">
        <v>50</v>
      </c>
      <c r="L5340" s="33" t="n">
        <v>46541</v>
      </c>
      <c r="M5340" s="33" t="n">
        <v>46590</v>
      </c>
      <c r="N5340" s="16" t="s">
        <v>16139</v>
      </c>
      <c r="O5340" s="16" t="s">
        <v>1299</v>
      </c>
      <c r="P5340" s="16" t="str">
        <f aca="false">IF(AND(L5340&lt;=$D$2,M5340&gt;=$C$2),"Sí","")</f>
        <v/>
      </c>
      <c r="Q5340" s="18" t="str">
        <f aca="false">IF(COUNTIF(LOOKAHEAD!$A$5:$A$604,A5340)&gt;0,"En Lookahead",IF(P5340="Sí","INCORPORAR",""))</f>
        <v/>
      </c>
    </row>
    <row r="5341" customFormat="false" ht="15" hidden="false" customHeight="false" outlineLevel="0" collapsed="false">
      <c r="A5341" s="16" t="s">
        <v>16169</v>
      </c>
      <c r="B5341" s="16" t="n">
        <v>5336</v>
      </c>
      <c r="C5341" s="16" t="s">
        <v>16170</v>
      </c>
      <c r="D5341" s="16" t="n">
        <v>8</v>
      </c>
      <c r="E5341" s="39" t="s">
        <v>14328</v>
      </c>
      <c r="F5341" s="16" t="s">
        <v>1285</v>
      </c>
      <c r="G5341" s="16" t="s">
        <v>1063</v>
      </c>
      <c r="H5341" s="16" t="s">
        <v>14297</v>
      </c>
      <c r="I5341" s="16" t="s">
        <v>136</v>
      </c>
      <c r="J5341" s="16" t="s">
        <v>16152</v>
      </c>
      <c r="K5341" s="32" t="n">
        <v>50</v>
      </c>
      <c r="L5341" s="33" t="n">
        <v>46541</v>
      </c>
      <c r="M5341" s="33" t="n">
        <v>46590</v>
      </c>
      <c r="N5341" s="16" t="s">
        <v>16139</v>
      </c>
      <c r="O5341" s="16" t="s">
        <v>1299</v>
      </c>
      <c r="P5341" s="16" t="str">
        <f aca="false">IF(AND(L5341&lt;=$D$2,M5341&gt;=$C$2),"Sí","")</f>
        <v/>
      </c>
      <c r="Q5341" s="18" t="str">
        <f aca="false">IF(COUNTIF(LOOKAHEAD!$A$5:$A$604,A5341)&gt;0,"En Lookahead",IF(P5341="Sí","INCORPORAR",""))</f>
        <v/>
      </c>
    </row>
    <row r="5342" customFormat="false" ht="15" hidden="false" customHeight="false" outlineLevel="0" collapsed="false">
      <c r="A5342" s="16" t="s">
        <v>16171</v>
      </c>
      <c r="B5342" s="16" t="n">
        <v>5337</v>
      </c>
      <c r="C5342" s="16" t="s">
        <v>16172</v>
      </c>
      <c r="D5342" s="16" t="n">
        <v>8</v>
      </c>
      <c r="E5342" s="39" t="s">
        <v>14500</v>
      </c>
      <c r="F5342" s="16" t="s">
        <v>1285</v>
      </c>
      <c r="G5342" s="16" t="s">
        <v>1063</v>
      </c>
      <c r="H5342" s="16" t="s">
        <v>14297</v>
      </c>
      <c r="I5342" s="16" t="s">
        <v>136</v>
      </c>
      <c r="J5342" s="16" t="s">
        <v>16152</v>
      </c>
      <c r="K5342" s="32" t="n">
        <v>50</v>
      </c>
      <c r="L5342" s="33" t="n">
        <v>46541</v>
      </c>
      <c r="M5342" s="33" t="n">
        <v>46590</v>
      </c>
      <c r="N5342" s="16" t="s">
        <v>16139</v>
      </c>
      <c r="O5342" s="16" t="s">
        <v>1299</v>
      </c>
      <c r="P5342" s="16" t="str">
        <f aca="false">IF(AND(L5342&lt;=$D$2,M5342&gt;=$C$2),"Sí","")</f>
        <v/>
      </c>
      <c r="Q5342" s="18" t="str">
        <f aca="false">IF(COUNTIF(LOOKAHEAD!$A$5:$A$604,A5342)&gt;0,"En Lookahead",IF(P5342="Sí","INCORPORAR",""))</f>
        <v/>
      </c>
    </row>
    <row r="5343" customFormat="false" ht="15" hidden="false" customHeight="false" outlineLevel="0" collapsed="false">
      <c r="A5343" s="16" t="s">
        <v>16173</v>
      </c>
      <c r="B5343" s="16" t="n">
        <v>5338</v>
      </c>
      <c r="C5343" s="16" t="s">
        <v>16174</v>
      </c>
      <c r="D5343" s="16" t="n">
        <v>8</v>
      </c>
      <c r="E5343" s="39" t="s">
        <v>16175</v>
      </c>
      <c r="F5343" s="16" t="s">
        <v>1285</v>
      </c>
      <c r="G5343" s="16" t="s">
        <v>1063</v>
      </c>
      <c r="H5343" s="16" t="s">
        <v>14297</v>
      </c>
      <c r="I5343" s="16" t="s">
        <v>136</v>
      </c>
      <c r="J5343" s="16" t="s">
        <v>16152</v>
      </c>
      <c r="K5343" s="32" t="n">
        <v>50</v>
      </c>
      <c r="L5343" s="33" t="n">
        <v>46541</v>
      </c>
      <c r="M5343" s="33" t="n">
        <v>46590</v>
      </c>
      <c r="N5343" s="16" t="s">
        <v>16139</v>
      </c>
      <c r="O5343" s="16" t="s">
        <v>1299</v>
      </c>
      <c r="P5343" s="16" t="str">
        <f aca="false">IF(AND(L5343&lt;=$D$2,M5343&gt;=$C$2),"Sí","")</f>
        <v/>
      </c>
      <c r="Q5343" s="18" t="str">
        <f aca="false">IF(COUNTIF(LOOKAHEAD!$A$5:$A$604,A5343)&gt;0,"En Lookahead",IF(P5343="Sí","INCORPORAR",""))</f>
        <v/>
      </c>
    </row>
    <row r="5344" customFormat="false" ht="15" hidden="false" customHeight="false" outlineLevel="0" collapsed="false">
      <c r="A5344" s="13" t="s">
        <v>16176</v>
      </c>
      <c r="B5344" s="13" t="n">
        <v>5339</v>
      </c>
      <c r="C5344" s="13" t="s">
        <v>16177</v>
      </c>
      <c r="D5344" s="13" t="n">
        <v>7</v>
      </c>
      <c r="E5344" s="38" t="s">
        <v>16178</v>
      </c>
      <c r="F5344" s="13" t="s">
        <v>1298</v>
      </c>
      <c r="G5344" s="13" t="s">
        <v>1063</v>
      </c>
      <c r="H5344" s="13" t="s">
        <v>14297</v>
      </c>
      <c r="I5344" s="13" t="s">
        <v>136</v>
      </c>
      <c r="J5344" s="13" t="s">
        <v>14302</v>
      </c>
      <c r="K5344" s="30" t="n">
        <v>50</v>
      </c>
      <c r="L5344" s="31" t="n">
        <v>46541</v>
      </c>
      <c r="M5344" s="31" t="n">
        <v>46590</v>
      </c>
      <c r="N5344" s="13"/>
      <c r="O5344" s="13" t="s">
        <v>1299</v>
      </c>
      <c r="P5344" s="13"/>
      <c r="Q5344" s="13"/>
    </row>
    <row r="5345" customFormat="false" ht="15" hidden="false" customHeight="false" outlineLevel="0" collapsed="false">
      <c r="A5345" s="16" t="s">
        <v>16179</v>
      </c>
      <c r="B5345" s="16" t="n">
        <v>5340</v>
      </c>
      <c r="C5345" s="16" t="s">
        <v>16180</v>
      </c>
      <c r="D5345" s="16" t="n">
        <v>8</v>
      </c>
      <c r="E5345" s="39" t="s">
        <v>14895</v>
      </c>
      <c r="F5345" s="16" t="s">
        <v>1285</v>
      </c>
      <c r="G5345" s="16" t="s">
        <v>1063</v>
      </c>
      <c r="H5345" s="16" t="s">
        <v>14297</v>
      </c>
      <c r="I5345" s="16" t="s">
        <v>136</v>
      </c>
      <c r="J5345" s="16" t="s">
        <v>16178</v>
      </c>
      <c r="K5345" s="32" t="n">
        <v>50</v>
      </c>
      <c r="L5345" s="33" t="n">
        <v>46541</v>
      </c>
      <c r="M5345" s="33" t="n">
        <v>46590</v>
      </c>
      <c r="N5345" s="16" t="s">
        <v>16139</v>
      </c>
      <c r="O5345" s="16" t="s">
        <v>1299</v>
      </c>
      <c r="P5345" s="16" t="str">
        <f aca="false">IF(AND(L5345&lt;=$D$2,M5345&gt;=$C$2),"Sí","")</f>
        <v/>
      </c>
      <c r="Q5345" s="18" t="str">
        <f aca="false">IF(COUNTIF(LOOKAHEAD!$A$5:$A$604,A5345)&gt;0,"En Lookahead",IF(P5345="Sí","INCORPORAR",""))</f>
        <v/>
      </c>
    </row>
    <row r="5346" customFormat="false" ht="15" hidden="false" customHeight="false" outlineLevel="0" collapsed="false">
      <c r="A5346" s="16" t="s">
        <v>16181</v>
      </c>
      <c r="B5346" s="16" t="n">
        <v>5341</v>
      </c>
      <c r="C5346" s="16" t="s">
        <v>16182</v>
      </c>
      <c r="D5346" s="16" t="n">
        <v>8</v>
      </c>
      <c r="E5346" s="39" t="s">
        <v>16183</v>
      </c>
      <c r="F5346" s="16" t="s">
        <v>1285</v>
      </c>
      <c r="G5346" s="16" t="s">
        <v>1063</v>
      </c>
      <c r="H5346" s="16" t="s">
        <v>14297</v>
      </c>
      <c r="I5346" s="16" t="s">
        <v>136</v>
      </c>
      <c r="J5346" s="16" t="s">
        <v>16178</v>
      </c>
      <c r="K5346" s="32" t="n">
        <v>50</v>
      </c>
      <c r="L5346" s="33" t="n">
        <v>46541</v>
      </c>
      <c r="M5346" s="33" t="n">
        <v>46590</v>
      </c>
      <c r="N5346" s="16" t="s">
        <v>16139</v>
      </c>
      <c r="O5346" s="16" t="s">
        <v>1299</v>
      </c>
      <c r="P5346" s="16" t="str">
        <f aca="false">IF(AND(L5346&lt;=$D$2,M5346&gt;=$C$2),"Sí","")</f>
        <v/>
      </c>
      <c r="Q5346" s="18" t="str">
        <f aca="false">IF(COUNTIF(LOOKAHEAD!$A$5:$A$604,A5346)&gt;0,"En Lookahead",IF(P5346="Sí","INCORPORAR",""))</f>
        <v/>
      </c>
    </row>
    <row r="5347" customFormat="false" ht="15" hidden="false" customHeight="false" outlineLevel="0" collapsed="false">
      <c r="A5347" s="16" t="s">
        <v>16184</v>
      </c>
      <c r="B5347" s="16" t="n">
        <v>5342</v>
      </c>
      <c r="C5347" s="16" t="s">
        <v>16185</v>
      </c>
      <c r="D5347" s="16" t="n">
        <v>8</v>
      </c>
      <c r="E5347" s="39" t="s">
        <v>14392</v>
      </c>
      <c r="F5347" s="16" t="s">
        <v>1285</v>
      </c>
      <c r="G5347" s="16" t="s">
        <v>1063</v>
      </c>
      <c r="H5347" s="16" t="s">
        <v>14297</v>
      </c>
      <c r="I5347" s="16" t="s">
        <v>136</v>
      </c>
      <c r="J5347" s="16" t="s">
        <v>16178</v>
      </c>
      <c r="K5347" s="32" t="n">
        <v>50</v>
      </c>
      <c r="L5347" s="33" t="n">
        <v>46541</v>
      </c>
      <c r="M5347" s="33" t="n">
        <v>46590</v>
      </c>
      <c r="N5347" s="16" t="s">
        <v>16139</v>
      </c>
      <c r="O5347" s="16" t="s">
        <v>1299</v>
      </c>
      <c r="P5347" s="16" t="str">
        <f aca="false">IF(AND(L5347&lt;=$D$2,M5347&gt;=$C$2),"Sí","")</f>
        <v/>
      </c>
      <c r="Q5347" s="18" t="str">
        <f aca="false">IF(COUNTIF(LOOKAHEAD!$A$5:$A$604,A5347)&gt;0,"En Lookahead",IF(P5347="Sí","INCORPORAR",""))</f>
        <v/>
      </c>
    </row>
    <row r="5348" customFormat="false" ht="15" hidden="false" customHeight="false" outlineLevel="0" collapsed="false">
      <c r="A5348" s="16" t="s">
        <v>16186</v>
      </c>
      <c r="B5348" s="16" t="n">
        <v>5343</v>
      </c>
      <c r="C5348" s="16" t="s">
        <v>16187</v>
      </c>
      <c r="D5348" s="16" t="n">
        <v>8</v>
      </c>
      <c r="E5348" s="39" t="s">
        <v>14340</v>
      </c>
      <c r="F5348" s="16" t="s">
        <v>1285</v>
      </c>
      <c r="G5348" s="16" t="s">
        <v>1063</v>
      </c>
      <c r="H5348" s="16" t="s">
        <v>14297</v>
      </c>
      <c r="I5348" s="16" t="s">
        <v>136</v>
      </c>
      <c r="J5348" s="16" t="s">
        <v>16178</v>
      </c>
      <c r="K5348" s="32" t="n">
        <v>50</v>
      </c>
      <c r="L5348" s="33" t="n">
        <v>46541</v>
      </c>
      <c r="M5348" s="33" t="n">
        <v>46590</v>
      </c>
      <c r="N5348" s="16" t="s">
        <v>16139</v>
      </c>
      <c r="O5348" s="16" t="s">
        <v>1299</v>
      </c>
      <c r="P5348" s="16" t="str">
        <f aca="false">IF(AND(L5348&lt;=$D$2,M5348&gt;=$C$2),"Sí","")</f>
        <v/>
      </c>
      <c r="Q5348" s="18" t="str">
        <f aca="false">IF(COUNTIF(LOOKAHEAD!$A$5:$A$604,A5348)&gt;0,"En Lookahead",IF(P5348="Sí","INCORPORAR",""))</f>
        <v/>
      </c>
    </row>
    <row r="5349" customFormat="false" ht="15" hidden="false" customHeight="false" outlineLevel="0" collapsed="false">
      <c r="A5349" s="16" t="s">
        <v>16188</v>
      </c>
      <c r="B5349" s="16" t="n">
        <v>5344</v>
      </c>
      <c r="C5349" s="16" t="s">
        <v>16189</v>
      </c>
      <c r="D5349" s="16" t="n">
        <v>8</v>
      </c>
      <c r="E5349" s="39" t="s">
        <v>14319</v>
      </c>
      <c r="F5349" s="16" t="s">
        <v>1285</v>
      </c>
      <c r="G5349" s="16" t="s">
        <v>1063</v>
      </c>
      <c r="H5349" s="16" t="s">
        <v>14297</v>
      </c>
      <c r="I5349" s="16" t="s">
        <v>136</v>
      </c>
      <c r="J5349" s="16" t="s">
        <v>16178</v>
      </c>
      <c r="K5349" s="32" t="n">
        <v>50</v>
      </c>
      <c r="L5349" s="33" t="n">
        <v>46541</v>
      </c>
      <c r="M5349" s="33" t="n">
        <v>46590</v>
      </c>
      <c r="N5349" s="16" t="s">
        <v>16139</v>
      </c>
      <c r="O5349" s="16" t="s">
        <v>1299</v>
      </c>
      <c r="P5349" s="16" t="str">
        <f aca="false">IF(AND(L5349&lt;=$D$2,M5349&gt;=$C$2),"Sí","")</f>
        <v/>
      </c>
      <c r="Q5349" s="18" t="str">
        <f aca="false">IF(COUNTIF(LOOKAHEAD!$A$5:$A$604,A5349)&gt;0,"En Lookahead",IF(P5349="Sí","INCORPORAR",""))</f>
        <v/>
      </c>
    </row>
    <row r="5350" customFormat="false" ht="15" hidden="false" customHeight="false" outlineLevel="0" collapsed="false">
      <c r="A5350" s="16" t="s">
        <v>16190</v>
      </c>
      <c r="B5350" s="16" t="n">
        <v>5345</v>
      </c>
      <c r="C5350" s="16" t="s">
        <v>16191</v>
      </c>
      <c r="D5350" s="16" t="n">
        <v>8</v>
      </c>
      <c r="E5350" s="39" t="s">
        <v>14322</v>
      </c>
      <c r="F5350" s="16" t="s">
        <v>1285</v>
      </c>
      <c r="G5350" s="16" t="s">
        <v>1063</v>
      </c>
      <c r="H5350" s="16" t="s">
        <v>14297</v>
      </c>
      <c r="I5350" s="16" t="s">
        <v>136</v>
      </c>
      <c r="J5350" s="16" t="s">
        <v>16178</v>
      </c>
      <c r="K5350" s="32" t="n">
        <v>50</v>
      </c>
      <c r="L5350" s="33" t="n">
        <v>46541</v>
      </c>
      <c r="M5350" s="33" t="n">
        <v>46590</v>
      </c>
      <c r="N5350" s="16" t="s">
        <v>16139</v>
      </c>
      <c r="O5350" s="16" t="s">
        <v>1299</v>
      </c>
      <c r="P5350" s="16" t="str">
        <f aca="false">IF(AND(L5350&lt;=$D$2,M5350&gt;=$C$2),"Sí","")</f>
        <v/>
      </c>
      <c r="Q5350" s="18" t="str">
        <f aca="false">IF(COUNTIF(LOOKAHEAD!$A$5:$A$604,A5350)&gt;0,"En Lookahead",IF(P5350="Sí","INCORPORAR",""))</f>
        <v/>
      </c>
    </row>
    <row r="5351" customFormat="false" ht="15" hidden="false" customHeight="false" outlineLevel="0" collapsed="false">
      <c r="A5351" s="16" t="s">
        <v>16192</v>
      </c>
      <c r="B5351" s="16" t="n">
        <v>5346</v>
      </c>
      <c r="C5351" s="16" t="s">
        <v>16193</v>
      </c>
      <c r="D5351" s="16" t="n">
        <v>8</v>
      </c>
      <c r="E5351" s="39" t="s">
        <v>14325</v>
      </c>
      <c r="F5351" s="16" t="s">
        <v>1285</v>
      </c>
      <c r="G5351" s="16" t="s">
        <v>1063</v>
      </c>
      <c r="H5351" s="16" t="s">
        <v>14297</v>
      </c>
      <c r="I5351" s="16" t="s">
        <v>136</v>
      </c>
      <c r="J5351" s="16" t="s">
        <v>16178</v>
      </c>
      <c r="K5351" s="32" t="n">
        <v>50</v>
      </c>
      <c r="L5351" s="33" t="n">
        <v>46541</v>
      </c>
      <c r="M5351" s="33" t="n">
        <v>46590</v>
      </c>
      <c r="N5351" s="16" t="s">
        <v>16139</v>
      </c>
      <c r="O5351" s="16" t="s">
        <v>1299</v>
      </c>
      <c r="P5351" s="16" t="str">
        <f aca="false">IF(AND(L5351&lt;=$D$2,M5351&gt;=$C$2),"Sí","")</f>
        <v/>
      </c>
      <c r="Q5351" s="18" t="str">
        <f aca="false">IF(COUNTIF(LOOKAHEAD!$A$5:$A$604,A5351)&gt;0,"En Lookahead",IF(P5351="Sí","INCORPORAR",""))</f>
        <v/>
      </c>
    </row>
    <row r="5352" customFormat="false" ht="15" hidden="false" customHeight="false" outlineLevel="0" collapsed="false">
      <c r="A5352" s="13" t="s">
        <v>16194</v>
      </c>
      <c r="B5352" s="13" t="n">
        <v>5347</v>
      </c>
      <c r="C5352" s="13" t="s">
        <v>16195</v>
      </c>
      <c r="D5352" s="13" t="n">
        <v>6</v>
      </c>
      <c r="E5352" s="36" t="s">
        <v>14471</v>
      </c>
      <c r="F5352" s="13" t="s">
        <v>1298</v>
      </c>
      <c r="G5352" s="13" t="s">
        <v>1063</v>
      </c>
      <c r="H5352" s="13" t="s">
        <v>14297</v>
      </c>
      <c r="I5352" s="13" t="s">
        <v>136</v>
      </c>
      <c r="J5352" s="13" t="s">
        <v>5039</v>
      </c>
      <c r="K5352" s="30" t="n">
        <v>50</v>
      </c>
      <c r="L5352" s="31" t="n">
        <v>46541</v>
      </c>
      <c r="M5352" s="31" t="n">
        <v>46590</v>
      </c>
      <c r="N5352" s="13"/>
      <c r="O5352" s="13" t="s">
        <v>1299</v>
      </c>
      <c r="P5352" s="13"/>
      <c r="Q5352" s="13"/>
    </row>
    <row r="5353" customFormat="false" ht="15" hidden="false" customHeight="false" outlineLevel="0" collapsed="false">
      <c r="A5353" s="13" t="s">
        <v>16196</v>
      </c>
      <c r="B5353" s="13" t="n">
        <v>5348</v>
      </c>
      <c r="C5353" s="13" t="s">
        <v>16197</v>
      </c>
      <c r="D5353" s="13" t="n">
        <v>7</v>
      </c>
      <c r="E5353" s="38" t="s">
        <v>16198</v>
      </c>
      <c r="F5353" s="13" t="s">
        <v>1298</v>
      </c>
      <c r="G5353" s="13" t="s">
        <v>1063</v>
      </c>
      <c r="H5353" s="13" t="s">
        <v>14297</v>
      </c>
      <c r="I5353" s="13" t="s">
        <v>136</v>
      </c>
      <c r="J5353" s="13" t="s">
        <v>14471</v>
      </c>
      <c r="K5353" s="30" t="n">
        <v>50</v>
      </c>
      <c r="L5353" s="31" t="n">
        <v>46541</v>
      </c>
      <c r="M5353" s="31" t="n">
        <v>46590</v>
      </c>
      <c r="N5353" s="13"/>
      <c r="O5353" s="13" t="s">
        <v>1299</v>
      </c>
      <c r="P5353" s="13"/>
      <c r="Q5353" s="13"/>
    </row>
    <row r="5354" customFormat="false" ht="15" hidden="false" customHeight="false" outlineLevel="0" collapsed="false">
      <c r="A5354" s="16" t="s">
        <v>16199</v>
      </c>
      <c r="B5354" s="16" t="n">
        <v>5349</v>
      </c>
      <c r="C5354" s="16" t="s">
        <v>16200</v>
      </c>
      <c r="D5354" s="16" t="n">
        <v>8</v>
      </c>
      <c r="E5354" s="39" t="s">
        <v>14308</v>
      </c>
      <c r="F5354" s="16" t="s">
        <v>1285</v>
      </c>
      <c r="G5354" s="16" t="s">
        <v>1063</v>
      </c>
      <c r="H5354" s="16" t="s">
        <v>14297</v>
      </c>
      <c r="I5354" s="16" t="s">
        <v>136</v>
      </c>
      <c r="J5354" s="16" t="s">
        <v>16198</v>
      </c>
      <c r="K5354" s="32" t="n">
        <v>50</v>
      </c>
      <c r="L5354" s="33" t="n">
        <v>46541</v>
      </c>
      <c r="M5354" s="33" t="n">
        <v>46590</v>
      </c>
      <c r="N5354" s="16" t="s">
        <v>16139</v>
      </c>
      <c r="O5354" s="16" t="s">
        <v>1299</v>
      </c>
      <c r="P5354" s="16" t="str">
        <f aca="false">IF(AND(L5354&lt;=$D$2,M5354&gt;=$C$2),"Sí","")</f>
        <v/>
      </c>
      <c r="Q5354" s="18" t="str">
        <f aca="false">IF(COUNTIF(LOOKAHEAD!$A$5:$A$604,A5354)&gt;0,"En Lookahead",IF(P5354="Sí","INCORPORAR",""))</f>
        <v/>
      </c>
    </row>
    <row r="5355" customFormat="false" ht="15" hidden="false" customHeight="false" outlineLevel="0" collapsed="false">
      <c r="A5355" s="16" t="s">
        <v>16201</v>
      </c>
      <c r="B5355" s="16" t="n">
        <v>5350</v>
      </c>
      <c r="C5355" s="16" t="s">
        <v>16202</v>
      </c>
      <c r="D5355" s="16" t="n">
        <v>8</v>
      </c>
      <c r="E5355" s="39" t="s">
        <v>14316</v>
      </c>
      <c r="F5355" s="16" t="s">
        <v>1285</v>
      </c>
      <c r="G5355" s="16" t="s">
        <v>1063</v>
      </c>
      <c r="H5355" s="16" t="s">
        <v>14297</v>
      </c>
      <c r="I5355" s="16" t="s">
        <v>136</v>
      </c>
      <c r="J5355" s="16" t="s">
        <v>16198</v>
      </c>
      <c r="K5355" s="32" t="n">
        <v>50</v>
      </c>
      <c r="L5355" s="33" t="n">
        <v>46541</v>
      </c>
      <c r="M5355" s="33" t="n">
        <v>46590</v>
      </c>
      <c r="N5355" s="16" t="s">
        <v>16139</v>
      </c>
      <c r="O5355" s="16" t="s">
        <v>1299</v>
      </c>
      <c r="P5355" s="16" t="str">
        <f aca="false">IF(AND(L5355&lt;=$D$2,M5355&gt;=$C$2),"Sí","")</f>
        <v/>
      </c>
      <c r="Q5355" s="18" t="str">
        <f aca="false">IF(COUNTIF(LOOKAHEAD!$A$5:$A$604,A5355)&gt;0,"En Lookahead",IF(P5355="Sí","INCORPORAR",""))</f>
        <v/>
      </c>
    </row>
    <row r="5356" customFormat="false" ht="15" hidden="false" customHeight="false" outlineLevel="0" collapsed="false">
      <c r="A5356" s="16" t="s">
        <v>16203</v>
      </c>
      <c r="B5356" s="16" t="n">
        <v>5351</v>
      </c>
      <c r="C5356" s="16" t="s">
        <v>16204</v>
      </c>
      <c r="D5356" s="16" t="n">
        <v>8</v>
      </c>
      <c r="E5356" s="39" t="s">
        <v>14322</v>
      </c>
      <c r="F5356" s="16" t="s">
        <v>1285</v>
      </c>
      <c r="G5356" s="16" t="s">
        <v>1063</v>
      </c>
      <c r="H5356" s="16" t="s">
        <v>14297</v>
      </c>
      <c r="I5356" s="16" t="s">
        <v>136</v>
      </c>
      <c r="J5356" s="16" t="s">
        <v>16198</v>
      </c>
      <c r="K5356" s="32" t="n">
        <v>50</v>
      </c>
      <c r="L5356" s="33" t="n">
        <v>46541</v>
      </c>
      <c r="M5356" s="33" t="n">
        <v>46590</v>
      </c>
      <c r="N5356" s="16" t="s">
        <v>16139</v>
      </c>
      <c r="O5356" s="16" t="s">
        <v>1299</v>
      </c>
      <c r="P5356" s="16" t="str">
        <f aca="false">IF(AND(L5356&lt;=$D$2,M5356&gt;=$C$2),"Sí","")</f>
        <v/>
      </c>
      <c r="Q5356" s="18" t="str">
        <f aca="false">IF(COUNTIF(LOOKAHEAD!$A$5:$A$604,A5356)&gt;0,"En Lookahead",IF(P5356="Sí","INCORPORAR",""))</f>
        <v/>
      </c>
    </row>
    <row r="5357" customFormat="false" ht="15" hidden="false" customHeight="false" outlineLevel="0" collapsed="false">
      <c r="A5357" s="16" t="s">
        <v>16205</v>
      </c>
      <c r="B5357" s="16" t="n">
        <v>5352</v>
      </c>
      <c r="C5357" s="16" t="s">
        <v>16206</v>
      </c>
      <c r="D5357" s="16" t="n">
        <v>8</v>
      </c>
      <c r="E5357" s="39" t="s">
        <v>14403</v>
      </c>
      <c r="F5357" s="16" t="s">
        <v>1285</v>
      </c>
      <c r="G5357" s="16" t="s">
        <v>1063</v>
      </c>
      <c r="H5357" s="16" t="s">
        <v>14297</v>
      </c>
      <c r="I5357" s="16" t="s">
        <v>136</v>
      </c>
      <c r="J5357" s="16" t="s">
        <v>16198</v>
      </c>
      <c r="K5357" s="32" t="n">
        <v>50</v>
      </c>
      <c r="L5357" s="33" t="n">
        <v>46541</v>
      </c>
      <c r="M5357" s="33" t="n">
        <v>46590</v>
      </c>
      <c r="N5357" s="16" t="s">
        <v>16139</v>
      </c>
      <c r="O5357" s="16" t="s">
        <v>1299</v>
      </c>
      <c r="P5357" s="16" t="str">
        <f aca="false">IF(AND(L5357&lt;=$D$2,M5357&gt;=$C$2),"Sí","")</f>
        <v/>
      </c>
      <c r="Q5357" s="18" t="str">
        <f aca="false">IF(COUNTIF(LOOKAHEAD!$A$5:$A$604,A5357)&gt;0,"En Lookahead",IF(P5357="Sí","INCORPORAR",""))</f>
        <v/>
      </c>
    </row>
    <row r="5358" customFormat="false" ht="15" hidden="false" customHeight="false" outlineLevel="0" collapsed="false">
      <c r="A5358" s="16" t="s">
        <v>16207</v>
      </c>
      <c r="B5358" s="16" t="n">
        <v>5353</v>
      </c>
      <c r="C5358" s="16" t="s">
        <v>16208</v>
      </c>
      <c r="D5358" s="16" t="n">
        <v>8</v>
      </c>
      <c r="E5358" s="39" t="s">
        <v>16209</v>
      </c>
      <c r="F5358" s="16" t="s">
        <v>1285</v>
      </c>
      <c r="G5358" s="16" t="s">
        <v>1063</v>
      </c>
      <c r="H5358" s="16" t="s">
        <v>14297</v>
      </c>
      <c r="I5358" s="16" t="s">
        <v>136</v>
      </c>
      <c r="J5358" s="16" t="s">
        <v>16198</v>
      </c>
      <c r="K5358" s="32" t="n">
        <v>50</v>
      </c>
      <c r="L5358" s="33" t="n">
        <v>46541</v>
      </c>
      <c r="M5358" s="33" t="n">
        <v>46590</v>
      </c>
      <c r="N5358" s="16" t="s">
        <v>16139</v>
      </c>
      <c r="O5358" s="16" t="s">
        <v>1299</v>
      </c>
      <c r="P5358" s="16" t="str">
        <f aca="false">IF(AND(L5358&lt;=$D$2,M5358&gt;=$C$2),"Sí","")</f>
        <v/>
      </c>
      <c r="Q5358" s="18" t="str">
        <f aca="false">IF(COUNTIF(LOOKAHEAD!$A$5:$A$604,A5358)&gt;0,"En Lookahead",IF(P5358="Sí","INCORPORAR",""))</f>
        <v/>
      </c>
    </row>
    <row r="5359" customFormat="false" ht="15" hidden="false" customHeight="false" outlineLevel="0" collapsed="false">
      <c r="A5359" s="16" t="s">
        <v>16210</v>
      </c>
      <c r="B5359" s="16" t="n">
        <v>5354</v>
      </c>
      <c r="C5359" s="16" t="s">
        <v>16211</v>
      </c>
      <c r="D5359" s="16" t="n">
        <v>8</v>
      </c>
      <c r="E5359" s="39" t="s">
        <v>14671</v>
      </c>
      <c r="F5359" s="16" t="s">
        <v>1285</v>
      </c>
      <c r="G5359" s="16" t="s">
        <v>1063</v>
      </c>
      <c r="H5359" s="16" t="s">
        <v>14297</v>
      </c>
      <c r="I5359" s="16" t="s">
        <v>136</v>
      </c>
      <c r="J5359" s="16" t="s">
        <v>16198</v>
      </c>
      <c r="K5359" s="32" t="n">
        <v>50</v>
      </c>
      <c r="L5359" s="33" t="n">
        <v>46541</v>
      </c>
      <c r="M5359" s="33" t="n">
        <v>46590</v>
      </c>
      <c r="N5359" s="16" t="s">
        <v>16139</v>
      </c>
      <c r="O5359" s="16" t="s">
        <v>1299</v>
      </c>
      <c r="P5359" s="16" t="str">
        <f aca="false">IF(AND(L5359&lt;=$D$2,M5359&gt;=$C$2),"Sí","")</f>
        <v/>
      </c>
      <c r="Q5359" s="18" t="str">
        <f aca="false">IF(COUNTIF(LOOKAHEAD!$A$5:$A$604,A5359)&gt;0,"En Lookahead",IF(P5359="Sí","INCORPORAR",""))</f>
        <v/>
      </c>
    </row>
    <row r="5360" customFormat="false" ht="15" hidden="false" customHeight="false" outlineLevel="0" collapsed="false">
      <c r="A5360" s="16" t="s">
        <v>16212</v>
      </c>
      <c r="B5360" s="16" t="n">
        <v>5355</v>
      </c>
      <c r="C5360" s="16" t="s">
        <v>16213</v>
      </c>
      <c r="D5360" s="16" t="n">
        <v>8</v>
      </c>
      <c r="E5360" s="39" t="s">
        <v>14328</v>
      </c>
      <c r="F5360" s="16" t="s">
        <v>1285</v>
      </c>
      <c r="G5360" s="16" t="s">
        <v>1063</v>
      </c>
      <c r="H5360" s="16" t="s">
        <v>14297</v>
      </c>
      <c r="I5360" s="16" t="s">
        <v>136</v>
      </c>
      <c r="J5360" s="16" t="s">
        <v>16198</v>
      </c>
      <c r="K5360" s="32" t="n">
        <v>50</v>
      </c>
      <c r="L5360" s="33" t="n">
        <v>46541</v>
      </c>
      <c r="M5360" s="33" t="n">
        <v>46590</v>
      </c>
      <c r="N5360" s="16" t="s">
        <v>16139</v>
      </c>
      <c r="O5360" s="16" t="s">
        <v>1299</v>
      </c>
      <c r="P5360" s="16" t="str">
        <f aca="false">IF(AND(L5360&lt;=$D$2,M5360&gt;=$C$2),"Sí","")</f>
        <v/>
      </c>
      <c r="Q5360" s="18" t="str">
        <f aca="false">IF(COUNTIF(LOOKAHEAD!$A$5:$A$604,A5360)&gt;0,"En Lookahead",IF(P5360="Sí","INCORPORAR",""))</f>
        <v/>
      </c>
    </row>
    <row r="5361" customFormat="false" ht="15" hidden="false" customHeight="false" outlineLevel="0" collapsed="false">
      <c r="A5361" s="13" t="s">
        <v>16214</v>
      </c>
      <c r="B5361" s="13" t="n">
        <v>5356</v>
      </c>
      <c r="C5361" s="13" t="s">
        <v>16215</v>
      </c>
      <c r="D5361" s="13" t="n">
        <v>7</v>
      </c>
      <c r="E5361" s="38" t="s">
        <v>16216</v>
      </c>
      <c r="F5361" s="13" t="s">
        <v>1298</v>
      </c>
      <c r="G5361" s="13" t="s">
        <v>1063</v>
      </c>
      <c r="H5361" s="13" t="s">
        <v>14297</v>
      </c>
      <c r="I5361" s="13" t="s">
        <v>136</v>
      </c>
      <c r="J5361" s="13" t="s">
        <v>14471</v>
      </c>
      <c r="K5361" s="30" t="n">
        <v>50</v>
      </c>
      <c r="L5361" s="31" t="n">
        <v>46541</v>
      </c>
      <c r="M5361" s="31" t="n">
        <v>46590</v>
      </c>
      <c r="N5361" s="13"/>
      <c r="O5361" s="13" t="s">
        <v>1299</v>
      </c>
      <c r="P5361" s="13"/>
      <c r="Q5361" s="13"/>
    </row>
    <row r="5362" customFormat="false" ht="15" hidden="false" customHeight="false" outlineLevel="0" collapsed="false">
      <c r="A5362" s="16" t="s">
        <v>16217</v>
      </c>
      <c r="B5362" s="16" t="n">
        <v>5357</v>
      </c>
      <c r="C5362" s="16" t="s">
        <v>16218</v>
      </c>
      <c r="D5362" s="16" t="n">
        <v>8</v>
      </c>
      <c r="E5362" s="39" t="s">
        <v>14308</v>
      </c>
      <c r="F5362" s="16" t="s">
        <v>1285</v>
      </c>
      <c r="G5362" s="16" t="s">
        <v>1063</v>
      </c>
      <c r="H5362" s="16" t="s">
        <v>14297</v>
      </c>
      <c r="I5362" s="16" t="s">
        <v>136</v>
      </c>
      <c r="J5362" s="16" t="s">
        <v>16216</v>
      </c>
      <c r="K5362" s="32" t="n">
        <v>50</v>
      </c>
      <c r="L5362" s="33" t="n">
        <v>46541</v>
      </c>
      <c r="M5362" s="33" t="n">
        <v>46590</v>
      </c>
      <c r="N5362" s="16" t="s">
        <v>16139</v>
      </c>
      <c r="O5362" s="16" t="s">
        <v>1299</v>
      </c>
      <c r="P5362" s="16" t="str">
        <f aca="false">IF(AND(L5362&lt;=$D$2,M5362&gt;=$C$2),"Sí","")</f>
        <v/>
      </c>
      <c r="Q5362" s="18" t="str">
        <f aca="false">IF(COUNTIF(LOOKAHEAD!$A$5:$A$604,A5362)&gt;0,"En Lookahead",IF(P5362="Sí","INCORPORAR",""))</f>
        <v/>
      </c>
    </row>
    <row r="5363" customFormat="false" ht="15" hidden="false" customHeight="false" outlineLevel="0" collapsed="false">
      <c r="A5363" s="16" t="s">
        <v>16219</v>
      </c>
      <c r="B5363" s="16" t="n">
        <v>5358</v>
      </c>
      <c r="C5363" s="16" t="s">
        <v>16220</v>
      </c>
      <c r="D5363" s="16" t="n">
        <v>8</v>
      </c>
      <c r="E5363" s="39" t="s">
        <v>14709</v>
      </c>
      <c r="F5363" s="16" t="s">
        <v>1285</v>
      </c>
      <c r="G5363" s="16" t="s">
        <v>1063</v>
      </c>
      <c r="H5363" s="16" t="s">
        <v>14297</v>
      </c>
      <c r="I5363" s="16" t="s">
        <v>136</v>
      </c>
      <c r="J5363" s="16" t="s">
        <v>16216</v>
      </c>
      <c r="K5363" s="32" t="n">
        <v>50</v>
      </c>
      <c r="L5363" s="33" t="n">
        <v>46541</v>
      </c>
      <c r="M5363" s="33" t="n">
        <v>46590</v>
      </c>
      <c r="N5363" s="16" t="s">
        <v>16139</v>
      </c>
      <c r="O5363" s="16" t="s">
        <v>1299</v>
      </c>
      <c r="P5363" s="16" t="str">
        <f aca="false">IF(AND(L5363&lt;=$D$2,M5363&gt;=$C$2),"Sí","")</f>
        <v/>
      </c>
      <c r="Q5363" s="18" t="str">
        <f aca="false">IF(COUNTIF(LOOKAHEAD!$A$5:$A$604,A5363)&gt;0,"En Lookahead",IF(P5363="Sí","INCORPORAR",""))</f>
        <v/>
      </c>
    </row>
    <row r="5364" customFormat="false" ht="15" hidden="false" customHeight="false" outlineLevel="0" collapsed="false">
      <c r="A5364" s="16" t="s">
        <v>16221</v>
      </c>
      <c r="B5364" s="16" t="n">
        <v>5359</v>
      </c>
      <c r="C5364" s="16" t="s">
        <v>16222</v>
      </c>
      <c r="D5364" s="16" t="n">
        <v>8</v>
      </c>
      <c r="E5364" s="39" t="s">
        <v>14392</v>
      </c>
      <c r="F5364" s="16" t="s">
        <v>1285</v>
      </c>
      <c r="G5364" s="16" t="s">
        <v>1063</v>
      </c>
      <c r="H5364" s="16" t="s">
        <v>14297</v>
      </c>
      <c r="I5364" s="16" t="s">
        <v>136</v>
      </c>
      <c r="J5364" s="16" t="s">
        <v>16216</v>
      </c>
      <c r="K5364" s="32" t="n">
        <v>50</v>
      </c>
      <c r="L5364" s="33" t="n">
        <v>46541</v>
      </c>
      <c r="M5364" s="33" t="n">
        <v>46590</v>
      </c>
      <c r="N5364" s="16" t="s">
        <v>16139</v>
      </c>
      <c r="O5364" s="16" t="s">
        <v>1299</v>
      </c>
      <c r="P5364" s="16" t="str">
        <f aca="false">IF(AND(L5364&lt;=$D$2,M5364&gt;=$C$2),"Sí","")</f>
        <v/>
      </c>
      <c r="Q5364" s="18" t="str">
        <f aca="false">IF(COUNTIF(LOOKAHEAD!$A$5:$A$604,A5364)&gt;0,"En Lookahead",IF(P5364="Sí","INCORPORAR",""))</f>
        <v/>
      </c>
    </row>
    <row r="5365" customFormat="false" ht="15" hidden="false" customHeight="false" outlineLevel="0" collapsed="false">
      <c r="A5365" s="16" t="s">
        <v>16223</v>
      </c>
      <c r="B5365" s="16" t="n">
        <v>5360</v>
      </c>
      <c r="C5365" s="16" t="s">
        <v>16224</v>
      </c>
      <c r="D5365" s="16" t="n">
        <v>8</v>
      </c>
      <c r="E5365" s="39" t="s">
        <v>14337</v>
      </c>
      <c r="F5365" s="16" t="s">
        <v>1285</v>
      </c>
      <c r="G5365" s="16" t="s">
        <v>1063</v>
      </c>
      <c r="H5365" s="16" t="s">
        <v>14297</v>
      </c>
      <c r="I5365" s="16" t="s">
        <v>136</v>
      </c>
      <c r="J5365" s="16" t="s">
        <v>16216</v>
      </c>
      <c r="K5365" s="32" t="n">
        <v>50</v>
      </c>
      <c r="L5365" s="33" t="n">
        <v>46541</v>
      </c>
      <c r="M5365" s="33" t="n">
        <v>46590</v>
      </c>
      <c r="N5365" s="16" t="s">
        <v>16139</v>
      </c>
      <c r="O5365" s="16" t="s">
        <v>1299</v>
      </c>
      <c r="P5365" s="16" t="str">
        <f aca="false">IF(AND(L5365&lt;=$D$2,M5365&gt;=$C$2),"Sí","")</f>
        <v/>
      </c>
      <c r="Q5365" s="18" t="str">
        <f aca="false">IF(COUNTIF(LOOKAHEAD!$A$5:$A$604,A5365)&gt;0,"En Lookahead",IF(P5365="Sí","INCORPORAR",""))</f>
        <v/>
      </c>
    </row>
    <row r="5366" customFormat="false" ht="15" hidden="false" customHeight="false" outlineLevel="0" collapsed="false">
      <c r="A5366" s="16" t="s">
        <v>16225</v>
      </c>
      <c r="B5366" s="16" t="n">
        <v>5361</v>
      </c>
      <c r="C5366" s="16" t="s">
        <v>16226</v>
      </c>
      <c r="D5366" s="16" t="n">
        <v>8</v>
      </c>
      <c r="E5366" s="39" t="s">
        <v>14316</v>
      </c>
      <c r="F5366" s="16" t="s">
        <v>1285</v>
      </c>
      <c r="G5366" s="16" t="s">
        <v>1063</v>
      </c>
      <c r="H5366" s="16" t="s">
        <v>14297</v>
      </c>
      <c r="I5366" s="16" t="s">
        <v>136</v>
      </c>
      <c r="J5366" s="16" t="s">
        <v>16216</v>
      </c>
      <c r="K5366" s="32" t="n">
        <v>50</v>
      </c>
      <c r="L5366" s="33" t="n">
        <v>46541</v>
      </c>
      <c r="M5366" s="33" t="n">
        <v>46590</v>
      </c>
      <c r="N5366" s="16" t="s">
        <v>16139</v>
      </c>
      <c r="O5366" s="16" t="s">
        <v>1299</v>
      </c>
      <c r="P5366" s="16" t="str">
        <f aca="false">IF(AND(L5366&lt;=$D$2,M5366&gt;=$C$2),"Sí","")</f>
        <v/>
      </c>
      <c r="Q5366" s="18" t="str">
        <f aca="false">IF(COUNTIF(LOOKAHEAD!$A$5:$A$604,A5366)&gt;0,"En Lookahead",IF(P5366="Sí","INCORPORAR",""))</f>
        <v/>
      </c>
    </row>
    <row r="5367" customFormat="false" ht="15" hidden="false" customHeight="false" outlineLevel="0" collapsed="false">
      <c r="A5367" s="16" t="s">
        <v>16227</v>
      </c>
      <c r="B5367" s="16" t="n">
        <v>5362</v>
      </c>
      <c r="C5367" s="16" t="s">
        <v>16228</v>
      </c>
      <c r="D5367" s="16" t="n">
        <v>8</v>
      </c>
      <c r="E5367" s="39" t="s">
        <v>14319</v>
      </c>
      <c r="F5367" s="16" t="s">
        <v>1285</v>
      </c>
      <c r="G5367" s="16" t="s">
        <v>1063</v>
      </c>
      <c r="H5367" s="16" t="s">
        <v>14297</v>
      </c>
      <c r="I5367" s="16" t="s">
        <v>136</v>
      </c>
      <c r="J5367" s="16" t="s">
        <v>16216</v>
      </c>
      <c r="K5367" s="32" t="n">
        <v>50</v>
      </c>
      <c r="L5367" s="33" t="n">
        <v>46541</v>
      </c>
      <c r="M5367" s="33" t="n">
        <v>46590</v>
      </c>
      <c r="N5367" s="16" t="s">
        <v>16139</v>
      </c>
      <c r="O5367" s="16" t="s">
        <v>1299</v>
      </c>
      <c r="P5367" s="16" t="str">
        <f aca="false">IF(AND(L5367&lt;=$D$2,M5367&gt;=$C$2),"Sí","")</f>
        <v/>
      </c>
      <c r="Q5367" s="18" t="str">
        <f aca="false">IF(COUNTIF(LOOKAHEAD!$A$5:$A$604,A5367)&gt;0,"En Lookahead",IF(P5367="Sí","INCORPORAR",""))</f>
        <v/>
      </c>
    </row>
    <row r="5368" customFormat="false" ht="15" hidden="false" customHeight="false" outlineLevel="0" collapsed="false">
      <c r="A5368" s="16" t="s">
        <v>16229</v>
      </c>
      <c r="B5368" s="16" t="n">
        <v>5363</v>
      </c>
      <c r="C5368" s="16" t="s">
        <v>16230</v>
      </c>
      <c r="D5368" s="16" t="n">
        <v>8</v>
      </c>
      <c r="E5368" s="39" t="s">
        <v>14322</v>
      </c>
      <c r="F5368" s="16" t="s">
        <v>1285</v>
      </c>
      <c r="G5368" s="16" t="s">
        <v>1063</v>
      </c>
      <c r="H5368" s="16" t="s">
        <v>14297</v>
      </c>
      <c r="I5368" s="16" t="s">
        <v>136</v>
      </c>
      <c r="J5368" s="16" t="s">
        <v>16216</v>
      </c>
      <c r="K5368" s="32" t="n">
        <v>50</v>
      </c>
      <c r="L5368" s="33" t="n">
        <v>46541</v>
      </c>
      <c r="M5368" s="33" t="n">
        <v>46590</v>
      </c>
      <c r="N5368" s="16" t="s">
        <v>16139</v>
      </c>
      <c r="O5368" s="16" t="s">
        <v>1299</v>
      </c>
      <c r="P5368" s="16" t="str">
        <f aca="false">IF(AND(L5368&lt;=$D$2,M5368&gt;=$C$2),"Sí","")</f>
        <v/>
      </c>
      <c r="Q5368" s="18" t="str">
        <f aca="false">IF(COUNTIF(LOOKAHEAD!$A$5:$A$604,A5368)&gt;0,"En Lookahead",IF(P5368="Sí","INCORPORAR",""))</f>
        <v/>
      </c>
    </row>
    <row r="5369" customFormat="false" ht="15" hidden="false" customHeight="false" outlineLevel="0" collapsed="false">
      <c r="A5369" s="16" t="s">
        <v>16231</v>
      </c>
      <c r="B5369" s="16" t="n">
        <v>5364</v>
      </c>
      <c r="C5369" s="16" t="s">
        <v>16232</v>
      </c>
      <c r="D5369" s="16" t="n">
        <v>8</v>
      </c>
      <c r="E5369" s="39" t="s">
        <v>14325</v>
      </c>
      <c r="F5369" s="16" t="s">
        <v>1285</v>
      </c>
      <c r="G5369" s="16" t="s">
        <v>1063</v>
      </c>
      <c r="H5369" s="16" t="s">
        <v>14297</v>
      </c>
      <c r="I5369" s="16" t="s">
        <v>136</v>
      </c>
      <c r="J5369" s="16" t="s">
        <v>16216</v>
      </c>
      <c r="K5369" s="32" t="n">
        <v>50</v>
      </c>
      <c r="L5369" s="33" t="n">
        <v>46541</v>
      </c>
      <c r="M5369" s="33" t="n">
        <v>46590</v>
      </c>
      <c r="N5369" s="16" t="s">
        <v>16139</v>
      </c>
      <c r="O5369" s="16" t="s">
        <v>1299</v>
      </c>
      <c r="P5369" s="16" t="str">
        <f aca="false">IF(AND(L5369&lt;=$D$2,M5369&gt;=$C$2),"Sí","")</f>
        <v/>
      </c>
      <c r="Q5369" s="18" t="str">
        <f aca="false">IF(COUNTIF(LOOKAHEAD!$A$5:$A$604,A5369)&gt;0,"En Lookahead",IF(P5369="Sí","INCORPORAR",""))</f>
        <v/>
      </c>
    </row>
    <row r="5370" customFormat="false" ht="15" hidden="false" customHeight="false" outlineLevel="0" collapsed="false">
      <c r="A5370" s="16" t="s">
        <v>16233</v>
      </c>
      <c r="B5370" s="16" t="n">
        <v>5365</v>
      </c>
      <c r="C5370" s="16" t="s">
        <v>16234</v>
      </c>
      <c r="D5370" s="16" t="n">
        <v>8</v>
      </c>
      <c r="E5370" s="39" t="s">
        <v>14378</v>
      </c>
      <c r="F5370" s="16" t="s">
        <v>1285</v>
      </c>
      <c r="G5370" s="16" t="s">
        <v>1063</v>
      </c>
      <c r="H5370" s="16" t="s">
        <v>14297</v>
      </c>
      <c r="I5370" s="16" t="s">
        <v>136</v>
      </c>
      <c r="J5370" s="16" t="s">
        <v>16216</v>
      </c>
      <c r="K5370" s="32" t="n">
        <v>50</v>
      </c>
      <c r="L5370" s="33" t="n">
        <v>46541</v>
      </c>
      <c r="M5370" s="33" t="n">
        <v>46590</v>
      </c>
      <c r="N5370" s="16" t="s">
        <v>16139</v>
      </c>
      <c r="O5370" s="16" t="s">
        <v>1299</v>
      </c>
      <c r="P5370" s="16" t="str">
        <f aca="false">IF(AND(L5370&lt;=$D$2,M5370&gt;=$C$2),"Sí","")</f>
        <v/>
      </c>
      <c r="Q5370" s="18" t="str">
        <f aca="false">IF(COUNTIF(LOOKAHEAD!$A$5:$A$604,A5370)&gt;0,"En Lookahead",IF(P5370="Sí","INCORPORAR",""))</f>
        <v/>
      </c>
    </row>
    <row r="5371" customFormat="false" ht="15" hidden="false" customHeight="false" outlineLevel="0" collapsed="false">
      <c r="A5371" s="16" t="s">
        <v>16235</v>
      </c>
      <c r="B5371" s="16" t="n">
        <v>5366</v>
      </c>
      <c r="C5371" s="16" t="s">
        <v>16236</v>
      </c>
      <c r="D5371" s="16" t="n">
        <v>8</v>
      </c>
      <c r="E5371" s="39" t="s">
        <v>14328</v>
      </c>
      <c r="F5371" s="16" t="s">
        <v>1285</v>
      </c>
      <c r="G5371" s="16" t="s">
        <v>1063</v>
      </c>
      <c r="H5371" s="16" t="s">
        <v>14297</v>
      </c>
      <c r="I5371" s="16" t="s">
        <v>136</v>
      </c>
      <c r="J5371" s="16" t="s">
        <v>16216</v>
      </c>
      <c r="K5371" s="32" t="n">
        <v>50</v>
      </c>
      <c r="L5371" s="33" t="n">
        <v>46541</v>
      </c>
      <c r="M5371" s="33" t="n">
        <v>46590</v>
      </c>
      <c r="N5371" s="16" t="s">
        <v>16139</v>
      </c>
      <c r="O5371" s="16" t="s">
        <v>1299</v>
      </c>
      <c r="P5371" s="16" t="str">
        <f aca="false">IF(AND(L5371&lt;=$D$2,M5371&gt;=$C$2),"Sí","")</f>
        <v/>
      </c>
      <c r="Q5371" s="18" t="str">
        <f aca="false">IF(COUNTIF(LOOKAHEAD!$A$5:$A$604,A5371)&gt;0,"En Lookahead",IF(P5371="Sí","INCORPORAR",""))</f>
        <v/>
      </c>
    </row>
    <row r="5372" customFormat="false" ht="15" hidden="false" customHeight="false" outlineLevel="0" collapsed="false">
      <c r="A5372" s="16" t="s">
        <v>16237</v>
      </c>
      <c r="B5372" s="16" t="n">
        <v>5367</v>
      </c>
      <c r="C5372" s="16" t="s">
        <v>16238</v>
      </c>
      <c r="D5372" s="16" t="n">
        <v>8</v>
      </c>
      <c r="E5372" s="39" t="s">
        <v>15399</v>
      </c>
      <c r="F5372" s="16" t="s">
        <v>1285</v>
      </c>
      <c r="G5372" s="16" t="s">
        <v>1063</v>
      </c>
      <c r="H5372" s="16" t="s">
        <v>14297</v>
      </c>
      <c r="I5372" s="16" t="s">
        <v>136</v>
      </c>
      <c r="J5372" s="16" t="s">
        <v>16216</v>
      </c>
      <c r="K5372" s="32" t="n">
        <v>50</v>
      </c>
      <c r="L5372" s="33" t="n">
        <v>46541</v>
      </c>
      <c r="M5372" s="33" t="n">
        <v>46590</v>
      </c>
      <c r="N5372" s="16" t="s">
        <v>16139</v>
      </c>
      <c r="O5372" s="16" t="s">
        <v>1299</v>
      </c>
      <c r="P5372" s="16" t="str">
        <f aca="false">IF(AND(L5372&lt;=$D$2,M5372&gt;=$C$2),"Sí","")</f>
        <v/>
      </c>
      <c r="Q5372" s="18" t="str">
        <f aca="false">IF(COUNTIF(LOOKAHEAD!$A$5:$A$604,A5372)&gt;0,"En Lookahead",IF(P5372="Sí","INCORPORAR",""))</f>
        <v/>
      </c>
    </row>
    <row r="5373" customFormat="false" ht="15" hidden="false" customHeight="false" outlineLevel="0" collapsed="false">
      <c r="A5373" s="16" t="s">
        <v>16239</v>
      </c>
      <c r="B5373" s="16" t="n">
        <v>5368</v>
      </c>
      <c r="C5373" s="16" t="s">
        <v>16240</v>
      </c>
      <c r="D5373" s="16" t="n">
        <v>8</v>
      </c>
      <c r="E5373" s="39" t="s">
        <v>14500</v>
      </c>
      <c r="F5373" s="16" t="s">
        <v>1285</v>
      </c>
      <c r="G5373" s="16" t="s">
        <v>1063</v>
      </c>
      <c r="H5373" s="16" t="s">
        <v>14297</v>
      </c>
      <c r="I5373" s="16" t="s">
        <v>136</v>
      </c>
      <c r="J5373" s="16" t="s">
        <v>16216</v>
      </c>
      <c r="K5373" s="32" t="n">
        <v>50</v>
      </c>
      <c r="L5373" s="33" t="n">
        <v>46541</v>
      </c>
      <c r="M5373" s="33" t="n">
        <v>46590</v>
      </c>
      <c r="N5373" s="16" t="s">
        <v>16139</v>
      </c>
      <c r="O5373" s="16" t="s">
        <v>1299</v>
      </c>
      <c r="P5373" s="16" t="str">
        <f aca="false">IF(AND(L5373&lt;=$D$2,M5373&gt;=$C$2),"Sí","")</f>
        <v/>
      </c>
      <c r="Q5373" s="18" t="str">
        <f aca="false">IF(COUNTIF(LOOKAHEAD!$A$5:$A$604,A5373)&gt;0,"En Lookahead",IF(P5373="Sí","INCORPORAR",""))</f>
        <v/>
      </c>
    </row>
    <row r="5374" customFormat="false" ht="15" hidden="false" customHeight="false" outlineLevel="0" collapsed="false">
      <c r="A5374" s="16" t="s">
        <v>16241</v>
      </c>
      <c r="B5374" s="16" t="n">
        <v>5369</v>
      </c>
      <c r="C5374" s="16" t="s">
        <v>16242</v>
      </c>
      <c r="D5374" s="16" t="n">
        <v>8</v>
      </c>
      <c r="E5374" s="39" t="s">
        <v>16243</v>
      </c>
      <c r="F5374" s="16" t="s">
        <v>1285</v>
      </c>
      <c r="G5374" s="16" t="s">
        <v>1063</v>
      </c>
      <c r="H5374" s="16" t="s">
        <v>14297</v>
      </c>
      <c r="I5374" s="16" t="s">
        <v>136</v>
      </c>
      <c r="J5374" s="16" t="s">
        <v>16216</v>
      </c>
      <c r="K5374" s="32" t="n">
        <v>50</v>
      </c>
      <c r="L5374" s="33" t="n">
        <v>46541</v>
      </c>
      <c r="M5374" s="33" t="n">
        <v>46590</v>
      </c>
      <c r="N5374" s="16" t="s">
        <v>16139</v>
      </c>
      <c r="O5374" s="16" t="s">
        <v>1299</v>
      </c>
      <c r="P5374" s="16" t="str">
        <f aca="false">IF(AND(L5374&lt;=$D$2,M5374&gt;=$C$2),"Sí","")</f>
        <v/>
      </c>
      <c r="Q5374" s="18" t="str">
        <f aca="false">IF(COUNTIF(LOOKAHEAD!$A$5:$A$604,A5374)&gt;0,"En Lookahead",IF(P5374="Sí","INCORPORAR",""))</f>
        <v/>
      </c>
    </row>
    <row r="5375" customFormat="false" ht="15" hidden="false" customHeight="false" outlineLevel="0" collapsed="false">
      <c r="A5375" s="16" t="s">
        <v>16244</v>
      </c>
      <c r="B5375" s="16" t="n">
        <v>5370</v>
      </c>
      <c r="C5375" s="16" t="s">
        <v>16245</v>
      </c>
      <c r="D5375" s="16" t="n">
        <v>8</v>
      </c>
      <c r="E5375" s="39" t="s">
        <v>16246</v>
      </c>
      <c r="F5375" s="16" t="s">
        <v>1285</v>
      </c>
      <c r="G5375" s="16" t="s">
        <v>1063</v>
      </c>
      <c r="H5375" s="16" t="s">
        <v>14297</v>
      </c>
      <c r="I5375" s="16" t="s">
        <v>136</v>
      </c>
      <c r="J5375" s="16" t="s">
        <v>16216</v>
      </c>
      <c r="K5375" s="32" t="n">
        <v>50</v>
      </c>
      <c r="L5375" s="33" t="n">
        <v>46541</v>
      </c>
      <c r="M5375" s="33" t="n">
        <v>46590</v>
      </c>
      <c r="N5375" s="16" t="s">
        <v>16139</v>
      </c>
      <c r="O5375" s="16" t="s">
        <v>1299</v>
      </c>
      <c r="P5375" s="16" t="str">
        <f aca="false">IF(AND(L5375&lt;=$D$2,M5375&gt;=$C$2),"Sí","")</f>
        <v/>
      </c>
      <c r="Q5375" s="18" t="str">
        <f aca="false">IF(COUNTIF(LOOKAHEAD!$A$5:$A$604,A5375)&gt;0,"En Lookahead",IF(P5375="Sí","INCORPORAR",""))</f>
        <v/>
      </c>
    </row>
    <row r="5376" customFormat="false" ht="15" hidden="false" customHeight="false" outlineLevel="0" collapsed="false">
      <c r="A5376" s="13" t="s">
        <v>16247</v>
      </c>
      <c r="B5376" s="13" t="n">
        <v>5371</v>
      </c>
      <c r="C5376" s="13" t="s">
        <v>16248</v>
      </c>
      <c r="D5376" s="13" t="n">
        <v>7</v>
      </c>
      <c r="E5376" s="38" t="s">
        <v>14509</v>
      </c>
      <c r="F5376" s="13" t="s">
        <v>1298</v>
      </c>
      <c r="G5376" s="13" t="s">
        <v>1063</v>
      </c>
      <c r="H5376" s="13" t="s">
        <v>14297</v>
      </c>
      <c r="I5376" s="13" t="s">
        <v>136</v>
      </c>
      <c r="J5376" s="13" t="s">
        <v>14471</v>
      </c>
      <c r="K5376" s="30" t="n">
        <v>50</v>
      </c>
      <c r="L5376" s="31" t="n">
        <v>46541</v>
      </c>
      <c r="M5376" s="31" t="n">
        <v>46590</v>
      </c>
      <c r="N5376" s="13"/>
      <c r="O5376" s="13" t="s">
        <v>1299</v>
      </c>
      <c r="P5376" s="13"/>
      <c r="Q5376" s="13"/>
    </row>
    <row r="5377" customFormat="false" ht="15" hidden="false" customHeight="false" outlineLevel="0" collapsed="false">
      <c r="A5377" s="16" t="s">
        <v>16249</v>
      </c>
      <c r="B5377" s="16" t="n">
        <v>5372</v>
      </c>
      <c r="C5377" s="16" t="s">
        <v>16250</v>
      </c>
      <c r="D5377" s="16" t="n">
        <v>8</v>
      </c>
      <c r="E5377" s="39" t="s">
        <v>14512</v>
      </c>
      <c r="F5377" s="16" t="s">
        <v>1285</v>
      </c>
      <c r="G5377" s="16" t="s">
        <v>1063</v>
      </c>
      <c r="H5377" s="16" t="s">
        <v>14297</v>
      </c>
      <c r="I5377" s="16" t="s">
        <v>136</v>
      </c>
      <c r="J5377" s="16" t="s">
        <v>14509</v>
      </c>
      <c r="K5377" s="32" t="n">
        <v>50</v>
      </c>
      <c r="L5377" s="33" t="n">
        <v>46541</v>
      </c>
      <c r="M5377" s="33" t="n">
        <v>46590</v>
      </c>
      <c r="N5377" s="16" t="s">
        <v>16139</v>
      </c>
      <c r="O5377" s="16" t="s">
        <v>1299</v>
      </c>
      <c r="P5377" s="16" t="str">
        <f aca="false">IF(AND(L5377&lt;=$D$2,M5377&gt;=$C$2),"Sí","")</f>
        <v/>
      </c>
      <c r="Q5377" s="18" t="str">
        <f aca="false">IF(COUNTIF(LOOKAHEAD!$A$5:$A$604,A5377)&gt;0,"En Lookahead",IF(P5377="Sí","INCORPORAR",""))</f>
        <v/>
      </c>
    </row>
    <row r="5378" customFormat="false" ht="15" hidden="false" customHeight="false" outlineLevel="0" collapsed="false">
      <c r="A5378" s="13" t="s">
        <v>16251</v>
      </c>
      <c r="B5378" s="13" t="n">
        <v>5373</v>
      </c>
      <c r="C5378" s="13" t="s">
        <v>16252</v>
      </c>
      <c r="D5378" s="13" t="n">
        <v>7</v>
      </c>
      <c r="E5378" s="38" t="s">
        <v>16253</v>
      </c>
      <c r="F5378" s="13" t="s">
        <v>1298</v>
      </c>
      <c r="G5378" s="13" t="s">
        <v>1063</v>
      </c>
      <c r="H5378" s="13" t="s">
        <v>14297</v>
      </c>
      <c r="I5378" s="13" t="s">
        <v>136</v>
      </c>
      <c r="J5378" s="13" t="s">
        <v>14471</v>
      </c>
      <c r="K5378" s="30" t="n">
        <v>50</v>
      </c>
      <c r="L5378" s="31" t="n">
        <v>46541</v>
      </c>
      <c r="M5378" s="31" t="n">
        <v>46590</v>
      </c>
      <c r="N5378" s="13"/>
      <c r="O5378" s="13" t="s">
        <v>1299</v>
      </c>
      <c r="P5378" s="13"/>
      <c r="Q5378" s="13"/>
    </row>
    <row r="5379" customFormat="false" ht="15" hidden="false" customHeight="false" outlineLevel="0" collapsed="false">
      <c r="A5379" s="16" t="s">
        <v>16254</v>
      </c>
      <c r="B5379" s="16" t="n">
        <v>5374</v>
      </c>
      <c r="C5379" s="16" t="s">
        <v>16255</v>
      </c>
      <c r="D5379" s="16" t="n">
        <v>8</v>
      </c>
      <c r="E5379" s="39" t="s">
        <v>14308</v>
      </c>
      <c r="F5379" s="16" t="s">
        <v>1285</v>
      </c>
      <c r="G5379" s="16" t="s">
        <v>1063</v>
      </c>
      <c r="H5379" s="16" t="s">
        <v>14297</v>
      </c>
      <c r="I5379" s="16" t="s">
        <v>136</v>
      </c>
      <c r="J5379" s="16" t="s">
        <v>16253</v>
      </c>
      <c r="K5379" s="32" t="n">
        <v>50</v>
      </c>
      <c r="L5379" s="33" t="n">
        <v>46541</v>
      </c>
      <c r="M5379" s="33" t="n">
        <v>46590</v>
      </c>
      <c r="N5379" s="16" t="s">
        <v>16139</v>
      </c>
      <c r="O5379" s="16" t="s">
        <v>1299</v>
      </c>
      <c r="P5379" s="16" t="str">
        <f aca="false">IF(AND(L5379&lt;=$D$2,M5379&gt;=$C$2),"Sí","")</f>
        <v/>
      </c>
      <c r="Q5379" s="18" t="str">
        <f aca="false">IF(COUNTIF(LOOKAHEAD!$A$5:$A$604,A5379)&gt;0,"En Lookahead",IF(P5379="Sí","INCORPORAR",""))</f>
        <v/>
      </c>
    </row>
    <row r="5380" customFormat="false" ht="15" hidden="false" customHeight="false" outlineLevel="0" collapsed="false">
      <c r="A5380" s="16" t="s">
        <v>16256</v>
      </c>
      <c r="B5380" s="16" t="n">
        <v>5375</v>
      </c>
      <c r="C5380" s="16" t="s">
        <v>16257</v>
      </c>
      <c r="D5380" s="16" t="n">
        <v>8</v>
      </c>
      <c r="E5380" s="39" t="s">
        <v>14518</v>
      </c>
      <c r="F5380" s="16" t="s">
        <v>1285</v>
      </c>
      <c r="G5380" s="16" t="s">
        <v>1063</v>
      </c>
      <c r="H5380" s="16" t="s">
        <v>14297</v>
      </c>
      <c r="I5380" s="16" t="s">
        <v>136</v>
      </c>
      <c r="J5380" s="16" t="s">
        <v>16253</v>
      </c>
      <c r="K5380" s="32" t="n">
        <v>50</v>
      </c>
      <c r="L5380" s="33" t="n">
        <v>46541</v>
      </c>
      <c r="M5380" s="33" t="n">
        <v>46590</v>
      </c>
      <c r="N5380" s="16" t="s">
        <v>16139</v>
      </c>
      <c r="O5380" s="16" t="s">
        <v>1299</v>
      </c>
      <c r="P5380" s="16" t="str">
        <f aca="false">IF(AND(L5380&lt;=$D$2,M5380&gt;=$C$2),"Sí","")</f>
        <v/>
      </c>
      <c r="Q5380" s="18" t="str">
        <f aca="false">IF(COUNTIF(LOOKAHEAD!$A$5:$A$604,A5380)&gt;0,"En Lookahead",IF(P5380="Sí","INCORPORAR",""))</f>
        <v/>
      </c>
    </row>
    <row r="5381" customFormat="false" ht="15" hidden="false" customHeight="false" outlineLevel="0" collapsed="false">
      <c r="A5381" s="16" t="s">
        <v>16258</v>
      </c>
      <c r="B5381" s="16" t="n">
        <v>5376</v>
      </c>
      <c r="C5381" s="16" t="s">
        <v>16259</v>
      </c>
      <c r="D5381" s="16" t="n">
        <v>8</v>
      </c>
      <c r="E5381" s="39" t="s">
        <v>14392</v>
      </c>
      <c r="F5381" s="16" t="s">
        <v>1285</v>
      </c>
      <c r="G5381" s="16" t="s">
        <v>1063</v>
      </c>
      <c r="H5381" s="16" t="s">
        <v>14297</v>
      </c>
      <c r="I5381" s="16" t="s">
        <v>136</v>
      </c>
      <c r="J5381" s="16" t="s">
        <v>16253</v>
      </c>
      <c r="K5381" s="32" t="n">
        <v>50</v>
      </c>
      <c r="L5381" s="33" t="n">
        <v>46541</v>
      </c>
      <c r="M5381" s="33" t="n">
        <v>46590</v>
      </c>
      <c r="N5381" s="16" t="s">
        <v>16139</v>
      </c>
      <c r="O5381" s="16" t="s">
        <v>1299</v>
      </c>
      <c r="P5381" s="16" t="str">
        <f aca="false">IF(AND(L5381&lt;=$D$2,M5381&gt;=$C$2),"Sí","")</f>
        <v/>
      </c>
      <c r="Q5381" s="18" t="str">
        <f aca="false">IF(COUNTIF(LOOKAHEAD!$A$5:$A$604,A5381)&gt;0,"En Lookahead",IF(P5381="Sí","INCORPORAR",""))</f>
        <v/>
      </c>
    </row>
    <row r="5382" customFormat="false" ht="15" hidden="false" customHeight="false" outlineLevel="0" collapsed="false">
      <c r="A5382" s="16" t="s">
        <v>16260</v>
      </c>
      <c r="B5382" s="16" t="n">
        <v>5377</v>
      </c>
      <c r="C5382" s="16" t="s">
        <v>16261</v>
      </c>
      <c r="D5382" s="16" t="n">
        <v>8</v>
      </c>
      <c r="E5382" s="39" t="s">
        <v>14337</v>
      </c>
      <c r="F5382" s="16" t="s">
        <v>1285</v>
      </c>
      <c r="G5382" s="16" t="s">
        <v>1063</v>
      </c>
      <c r="H5382" s="16" t="s">
        <v>14297</v>
      </c>
      <c r="I5382" s="16" t="s">
        <v>136</v>
      </c>
      <c r="J5382" s="16" t="s">
        <v>16253</v>
      </c>
      <c r="K5382" s="32" t="n">
        <v>50</v>
      </c>
      <c r="L5382" s="33" t="n">
        <v>46541</v>
      </c>
      <c r="M5382" s="33" t="n">
        <v>46590</v>
      </c>
      <c r="N5382" s="16" t="s">
        <v>16139</v>
      </c>
      <c r="O5382" s="16" t="s">
        <v>1299</v>
      </c>
      <c r="P5382" s="16" t="str">
        <f aca="false">IF(AND(L5382&lt;=$D$2,M5382&gt;=$C$2),"Sí","")</f>
        <v/>
      </c>
      <c r="Q5382" s="18" t="str">
        <f aca="false">IF(COUNTIF(LOOKAHEAD!$A$5:$A$604,A5382)&gt;0,"En Lookahead",IF(P5382="Sí","INCORPORAR",""))</f>
        <v/>
      </c>
    </row>
    <row r="5383" customFormat="false" ht="15" hidden="false" customHeight="false" outlineLevel="0" collapsed="false">
      <c r="A5383" s="16" t="s">
        <v>16262</v>
      </c>
      <c r="B5383" s="16" t="n">
        <v>5378</v>
      </c>
      <c r="C5383" s="16" t="s">
        <v>16263</v>
      </c>
      <c r="D5383" s="16" t="n">
        <v>8</v>
      </c>
      <c r="E5383" s="39" t="s">
        <v>14484</v>
      </c>
      <c r="F5383" s="16" t="s">
        <v>1285</v>
      </c>
      <c r="G5383" s="16" t="s">
        <v>1063</v>
      </c>
      <c r="H5383" s="16" t="s">
        <v>14297</v>
      </c>
      <c r="I5383" s="16" t="s">
        <v>136</v>
      </c>
      <c r="J5383" s="16" t="s">
        <v>16253</v>
      </c>
      <c r="K5383" s="32" t="n">
        <v>50</v>
      </c>
      <c r="L5383" s="33" t="n">
        <v>46541</v>
      </c>
      <c r="M5383" s="33" t="n">
        <v>46590</v>
      </c>
      <c r="N5383" s="16" t="s">
        <v>16139</v>
      </c>
      <c r="O5383" s="16" t="s">
        <v>1299</v>
      </c>
      <c r="P5383" s="16" t="str">
        <f aca="false">IF(AND(L5383&lt;=$D$2,M5383&gt;=$C$2),"Sí","")</f>
        <v/>
      </c>
      <c r="Q5383" s="18" t="str">
        <f aca="false">IF(COUNTIF(LOOKAHEAD!$A$5:$A$604,A5383)&gt;0,"En Lookahead",IF(P5383="Sí","INCORPORAR",""))</f>
        <v/>
      </c>
    </row>
    <row r="5384" customFormat="false" ht="15" hidden="false" customHeight="false" outlineLevel="0" collapsed="false">
      <c r="A5384" s="16" t="s">
        <v>16264</v>
      </c>
      <c r="B5384" s="16" t="n">
        <v>5379</v>
      </c>
      <c r="C5384" s="16" t="s">
        <v>16265</v>
      </c>
      <c r="D5384" s="16" t="n">
        <v>8</v>
      </c>
      <c r="E5384" s="39" t="s">
        <v>14316</v>
      </c>
      <c r="F5384" s="16" t="s">
        <v>1285</v>
      </c>
      <c r="G5384" s="16" t="s">
        <v>1063</v>
      </c>
      <c r="H5384" s="16" t="s">
        <v>14297</v>
      </c>
      <c r="I5384" s="16" t="s">
        <v>136</v>
      </c>
      <c r="J5384" s="16" t="s">
        <v>16253</v>
      </c>
      <c r="K5384" s="32" t="n">
        <v>50</v>
      </c>
      <c r="L5384" s="33" t="n">
        <v>46541</v>
      </c>
      <c r="M5384" s="33" t="n">
        <v>46590</v>
      </c>
      <c r="N5384" s="16" t="s">
        <v>16139</v>
      </c>
      <c r="O5384" s="16" t="s">
        <v>1299</v>
      </c>
      <c r="P5384" s="16" t="str">
        <f aca="false">IF(AND(L5384&lt;=$D$2,M5384&gt;=$C$2),"Sí","")</f>
        <v/>
      </c>
      <c r="Q5384" s="18" t="str">
        <f aca="false">IF(COUNTIF(LOOKAHEAD!$A$5:$A$604,A5384)&gt;0,"En Lookahead",IF(P5384="Sí","INCORPORAR",""))</f>
        <v/>
      </c>
    </row>
    <row r="5385" customFormat="false" ht="15" hidden="false" customHeight="false" outlineLevel="0" collapsed="false">
      <c r="A5385" s="16" t="s">
        <v>16266</v>
      </c>
      <c r="B5385" s="16" t="n">
        <v>5380</v>
      </c>
      <c r="C5385" s="16" t="s">
        <v>16267</v>
      </c>
      <c r="D5385" s="16" t="n">
        <v>8</v>
      </c>
      <c r="E5385" s="39" t="s">
        <v>14319</v>
      </c>
      <c r="F5385" s="16" t="s">
        <v>1285</v>
      </c>
      <c r="G5385" s="16" t="s">
        <v>1063</v>
      </c>
      <c r="H5385" s="16" t="s">
        <v>14297</v>
      </c>
      <c r="I5385" s="16" t="s">
        <v>136</v>
      </c>
      <c r="J5385" s="16" t="s">
        <v>16253</v>
      </c>
      <c r="K5385" s="32" t="n">
        <v>50</v>
      </c>
      <c r="L5385" s="33" t="n">
        <v>46541</v>
      </c>
      <c r="M5385" s="33" t="n">
        <v>46590</v>
      </c>
      <c r="N5385" s="16" t="s">
        <v>16139</v>
      </c>
      <c r="O5385" s="16" t="s">
        <v>1299</v>
      </c>
      <c r="P5385" s="16" t="str">
        <f aca="false">IF(AND(L5385&lt;=$D$2,M5385&gt;=$C$2),"Sí","")</f>
        <v/>
      </c>
      <c r="Q5385" s="18" t="str">
        <f aca="false">IF(COUNTIF(LOOKAHEAD!$A$5:$A$604,A5385)&gt;0,"En Lookahead",IF(P5385="Sí","INCORPORAR",""))</f>
        <v/>
      </c>
    </row>
    <row r="5386" customFormat="false" ht="15" hidden="false" customHeight="false" outlineLevel="0" collapsed="false">
      <c r="A5386" s="16" t="s">
        <v>16268</v>
      </c>
      <c r="B5386" s="16" t="n">
        <v>5381</v>
      </c>
      <c r="C5386" s="16" t="s">
        <v>16269</v>
      </c>
      <c r="D5386" s="16" t="n">
        <v>8</v>
      </c>
      <c r="E5386" s="39" t="s">
        <v>14322</v>
      </c>
      <c r="F5386" s="16" t="s">
        <v>1285</v>
      </c>
      <c r="G5386" s="16" t="s">
        <v>1063</v>
      </c>
      <c r="H5386" s="16" t="s">
        <v>14297</v>
      </c>
      <c r="I5386" s="16" t="s">
        <v>136</v>
      </c>
      <c r="J5386" s="16" t="s">
        <v>16253</v>
      </c>
      <c r="K5386" s="32" t="n">
        <v>50</v>
      </c>
      <c r="L5386" s="33" t="n">
        <v>46541</v>
      </c>
      <c r="M5386" s="33" t="n">
        <v>46590</v>
      </c>
      <c r="N5386" s="16" t="s">
        <v>16139</v>
      </c>
      <c r="O5386" s="16" t="s">
        <v>1299</v>
      </c>
      <c r="P5386" s="16" t="str">
        <f aca="false">IF(AND(L5386&lt;=$D$2,M5386&gt;=$C$2),"Sí","")</f>
        <v/>
      </c>
      <c r="Q5386" s="18" t="str">
        <f aca="false">IF(COUNTIF(LOOKAHEAD!$A$5:$A$604,A5386)&gt;0,"En Lookahead",IF(P5386="Sí","INCORPORAR",""))</f>
        <v/>
      </c>
    </row>
    <row r="5387" customFormat="false" ht="15" hidden="false" customHeight="false" outlineLevel="0" collapsed="false">
      <c r="A5387" s="16" t="s">
        <v>16270</v>
      </c>
      <c r="B5387" s="16" t="n">
        <v>5382</v>
      </c>
      <c r="C5387" s="16" t="s">
        <v>16271</v>
      </c>
      <c r="D5387" s="16" t="n">
        <v>8</v>
      </c>
      <c r="E5387" s="39" t="s">
        <v>14325</v>
      </c>
      <c r="F5387" s="16" t="s">
        <v>1285</v>
      </c>
      <c r="G5387" s="16" t="s">
        <v>1063</v>
      </c>
      <c r="H5387" s="16" t="s">
        <v>14297</v>
      </c>
      <c r="I5387" s="16" t="s">
        <v>136</v>
      </c>
      <c r="J5387" s="16" t="s">
        <v>16253</v>
      </c>
      <c r="K5387" s="32" t="n">
        <v>50</v>
      </c>
      <c r="L5387" s="33" t="n">
        <v>46541</v>
      </c>
      <c r="M5387" s="33" t="n">
        <v>46590</v>
      </c>
      <c r="N5387" s="16" t="s">
        <v>16139</v>
      </c>
      <c r="O5387" s="16" t="s">
        <v>1299</v>
      </c>
      <c r="P5387" s="16" t="str">
        <f aca="false">IF(AND(L5387&lt;=$D$2,M5387&gt;=$C$2),"Sí","")</f>
        <v/>
      </c>
      <c r="Q5387" s="18" t="str">
        <f aca="false">IF(COUNTIF(LOOKAHEAD!$A$5:$A$604,A5387)&gt;0,"En Lookahead",IF(P5387="Sí","INCORPORAR",""))</f>
        <v/>
      </c>
    </row>
    <row r="5388" customFormat="false" ht="15" hidden="false" customHeight="false" outlineLevel="0" collapsed="false">
      <c r="A5388" s="16" t="s">
        <v>16272</v>
      </c>
      <c r="B5388" s="16" t="n">
        <v>5383</v>
      </c>
      <c r="C5388" s="16" t="s">
        <v>16273</v>
      </c>
      <c r="D5388" s="16" t="n">
        <v>8</v>
      </c>
      <c r="E5388" s="39" t="s">
        <v>14500</v>
      </c>
      <c r="F5388" s="16" t="s">
        <v>1285</v>
      </c>
      <c r="G5388" s="16" t="s">
        <v>1063</v>
      </c>
      <c r="H5388" s="16" t="s">
        <v>14297</v>
      </c>
      <c r="I5388" s="16" t="s">
        <v>136</v>
      </c>
      <c r="J5388" s="16" t="s">
        <v>16253</v>
      </c>
      <c r="K5388" s="32" t="n">
        <v>50</v>
      </c>
      <c r="L5388" s="33" t="n">
        <v>46541</v>
      </c>
      <c r="M5388" s="33" t="n">
        <v>46590</v>
      </c>
      <c r="N5388" s="16" t="s">
        <v>16139</v>
      </c>
      <c r="O5388" s="16" t="s">
        <v>1299</v>
      </c>
      <c r="P5388" s="16" t="str">
        <f aca="false">IF(AND(L5388&lt;=$D$2,M5388&gt;=$C$2),"Sí","")</f>
        <v/>
      </c>
      <c r="Q5388" s="18" t="str">
        <f aca="false">IF(COUNTIF(LOOKAHEAD!$A$5:$A$604,A5388)&gt;0,"En Lookahead",IF(P5388="Sí","INCORPORAR",""))</f>
        <v/>
      </c>
    </row>
    <row r="5389" customFormat="false" ht="15" hidden="false" customHeight="false" outlineLevel="0" collapsed="false">
      <c r="A5389" s="13" t="s">
        <v>16274</v>
      </c>
      <c r="B5389" s="13" t="n">
        <v>5384</v>
      </c>
      <c r="C5389" s="13" t="s">
        <v>16275</v>
      </c>
      <c r="D5389" s="13" t="n">
        <v>7</v>
      </c>
      <c r="E5389" s="38" t="s">
        <v>14354</v>
      </c>
      <c r="F5389" s="13" t="s">
        <v>1298</v>
      </c>
      <c r="G5389" s="13" t="s">
        <v>1063</v>
      </c>
      <c r="H5389" s="13" t="s">
        <v>14297</v>
      </c>
      <c r="I5389" s="13" t="s">
        <v>136</v>
      </c>
      <c r="J5389" s="13" t="s">
        <v>14471</v>
      </c>
      <c r="K5389" s="30" t="n">
        <v>50</v>
      </c>
      <c r="L5389" s="31" t="n">
        <v>46541</v>
      </c>
      <c r="M5389" s="31" t="n">
        <v>46590</v>
      </c>
      <c r="N5389" s="13"/>
      <c r="O5389" s="13" t="s">
        <v>1299</v>
      </c>
      <c r="P5389" s="13"/>
      <c r="Q5389" s="13"/>
    </row>
    <row r="5390" customFormat="false" ht="15" hidden="false" customHeight="false" outlineLevel="0" collapsed="false">
      <c r="A5390" s="16" t="s">
        <v>16276</v>
      </c>
      <c r="B5390" s="16" t="n">
        <v>5385</v>
      </c>
      <c r="C5390" s="16" t="s">
        <v>16277</v>
      </c>
      <c r="D5390" s="16" t="n">
        <v>8</v>
      </c>
      <c r="E5390" s="39" t="s">
        <v>14466</v>
      </c>
      <c r="F5390" s="16" t="s">
        <v>1285</v>
      </c>
      <c r="G5390" s="16" t="s">
        <v>1063</v>
      </c>
      <c r="H5390" s="16" t="s">
        <v>14297</v>
      </c>
      <c r="I5390" s="16" t="s">
        <v>136</v>
      </c>
      <c r="J5390" s="16" t="s">
        <v>14354</v>
      </c>
      <c r="K5390" s="32" t="n">
        <v>50</v>
      </c>
      <c r="L5390" s="33" t="n">
        <v>46541</v>
      </c>
      <c r="M5390" s="33" t="n">
        <v>46590</v>
      </c>
      <c r="N5390" s="16" t="s">
        <v>16139</v>
      </c>
      <c r="O5390" s="16" t="s">
        <v>1299</v>
      </c>
      <c r="P5390" s="16" t="str">
        <f aca="false">IF(AND(L5390&lt;=$D$2,M5390&gt;=$C$2),"Sí","")</f>
        <v/>
      </c>
      <c r="Q5390" s="18" t="str">
        <f aca="false">IF(COUNTIF(LOOKAHEAD!$A$5:$A$604,A5390)&gt;0,"En Lookahead",IF(P5390="Sí","INCORPORAR",""))</f>
        <v/>
      </c>
    </row>
    <row r="5391" customFormat="false" ht="15" hidden="false" customHeight="false" outlineLevel="0" collapsed="false">
      <c r="A5391" s="16" t="s">
        <v>16278</v>
      </c>
      <c r="B5391" s="16" t="n">
        <v>5386</v>
      </c>
      <c r="C5391" s="16" t="s">
        <v>16279</v>
      </c>
      <c r="D5391" s="16" t="n">
        <v>8</v>
      </c>
      <c r="E5391" s="39" t="s">
        <v>14360</v>
      </c>
      <c r="F5391" s="16" t="s">
        <v>1285</v>
      </c>
      <c r="G5391" s="16" t="s">
        <v>1063</v>
      </c>
      <c r="H5391" s="16" t="s">
        <v>14297</v>
      </c>
      <c r="I5391" s="16" t="s">
        <v>136</v>
      </c>
      <c r="J5391" s="16" t="s">
        <v>14354</v>
      </c>
      <c r="K5391" s="32" t="n">
        <v>50</v>
      </c>
      <c r="L5391" s="33" t="n">
        <v>46541</v>
      </c>
      <c r="M5391" s="33" t="n">
        <v>46590</v>
      </c>
      <c r="N5391" s="16" t="s">
        <v>16139</v>
      </c>
      <c r="O5391" s="16" t="s">
        <v>1299</v>
      </c>
      <c r="P5391" s="16" t="str">
        <f aca="false">IF(AND(L5391&lt;=$D$2,M5391&gt;=$C$2),"Sí","")</f>
        <v/>
      </c>
      <c r="Q5391" s="18" t="str">
        <f aca="false">IF(COUNTIF(LOOKAHEAD!$A$5:$A$604,A5391)&gt;0,"En Lookahead",IF(P5391="Sí","INCORPORAR",""))</f>
        <v/>
      </c>
    </row>
    <row r="5392" customFormat="false" ht="15" hidden="false" customHeight="false" outlineLevel="0" collapsed="false">
      <c r="A5392" s="13" t="s">
        <v>16280</v>
      </c>
      <c r="B5392" s="13" t="n">
        <v>5387</v>
      </c>
      <c r="C5392" s="13" t="s">
        <v>16281</v>
      </c>
      <c r="D5392" s="13" t="n">
        <v>5</v>
      </c>
      <c r="E5392" s="34" t="s">
        <v>9102</v>
      </c>
      <c r="F5392" s="13" t="s">
        <v>1298</v>
      </c>
      <c r="G5392" s="13" t="s">
        <v>1063</v>
      </c>
      <c r="H5392" s="13" t="s">
        <v>14297</v>
      </c>
      <c r="I5392" s="13" t="s">
        <v>136</v>
      </c>
      <c r="J5392" s="13" t="s">
        <v>14297</v>
      </c>
      <c r="K5392" s="30" t="n">
        <v>50</v>
      </c>
      <c r="L5392" s="31" t="n">
        <v>46541</v>
      </c>
      <c r="M5392" s="31" t="n">
        <v>46590</v>
      </c>
      <c r="N5392" s="13"/>
      <c r="O5392" s="13" t="s">
        <v>1299</v>
      </c>
      <c r="P5392" s="13"/>
      <c r="Q5392" s="13"/>
    </row>
    <row r="5393" customFormat="false" ht="15" hidden="false" customHeight="false" outlineLevel="0" collapsed="false">
      <c r="A5393" s="13" t="s">
        <v>16282</v>
      </c>
      <c r="B5393" s="13" t="n">
        <v>5388</v>
      </c>
      <c r="C5393" s="13" t="s">
        <v>16283</v>
      </c>
      <c r="D5393" s="13" t="n">
        <v>6</v>
      </c>
      <c r="E5393" s="36" t="s">
        <v>14302</v>
      </c>
      <c r="F5393" s="13" t="s">
        <v>1298</v>
      </c>
      <c r="G5393" s="13" t="s">
        <v>1063</v>
      </c>
      <c r="H5393" s="13" t="s">
        <v>14297</v>
      </c>
      <c r="I5393" s="13" t="s">
        <v>136</v>
      </c>
      <c r="J5393" s="13" t="s">
        <v>9102</v>
      </c>
      <c r="K5393" s="30" t="n">
        <v>50</v>
      </c>
      <c r="L5393" s="31" t="n">
        <v>46541</v>
      </c>
      <c r="M5393" s="31" t="n">
        <v>46590</v>
      </c>
      <c r="N5393" s="13"/>
      <c r="O5393" s="13" t="s">
        <v>1299</v>
      </c>
      <c r="P5393" s="13"/>
      <c r="Q5393" s="13"/>
    </row>
    <row r="5394" customFormat="false" ht="15" hidden="false" customHeight="false" outlineLevel="0" collapsed="false">
      <c r="A5394" s="13" t="s">
        <v>16284</v>
      </c>
      <c r="B5394" s="13" t="n">
        <v>5389</v>
      </c>
      <c r="C5394" s="13" t="s">
        <v>16285</v>
      </c>
      <c r="D5394" s="13" t="n">
        <v>7</v>
      </c>
      <c r="E5394" s="38" t="s">
        <v>16286</v>
      </c>
      <c r="F5394" s="13" t="s">
        <v>1298</v>
      </c>
      <c r="G5394" s="13" t="s">
        <v>1063</v>
      </c>
      <c r="H5394" s="13" t="s">
        <v>14297</v>
      </c>
      <c r="I5394" s="13" t="s">
        <v>136</v>
      </c>
      <c r="J5394" s="13" t="s">
        <v>14302</v>
      </c>
      <c r="K5394" s="30" t="n">
        <v>50</v>
      </c>
      <c r="L5394" s="31" t="n">
        <v>46541</v>
      </c>
      <c r="M5394" s="31" t="n">
        <v>46590</v>
      </c>
      <c r="N5394" s="13"/>
      <c r="O5394" s="13" t="s">
        <v>1299</v>
      </c>
      <c r="P5394" s="13"/>
      <c r="Q5394" s="13"/>
    </row>
    <row r="5395" customFormat="false" ht="15" hidden="false" customHeight="false" outlineLevel="0" collapsed="false">
      <c r="A5395" s="16" t="s">
        <v>16287</v>
      </c>
      <c r="B5395" s="16" t="n">
        <v>5390</v>
      </c>
      <c r="C5395" s="16" t="s">
        <v>16288</v>
      </c>
      <c r="D5395" s="16" t="n">
        <v>8</v>
      </c>
      <c r="E5395" s="39" t="s">
        <v>14319</v>
      </c>
      <c r="F5395" s="16" t="s">
        <v>1285</v>
      </c>
      <c r="G5395" s="16" t="s">
        <v>1063</v>
      </c>
      <c r="H5395" s="16" t="s">
        <v>14297</v>
      </c>
      <c r="I5395" s="16" t="s">
        <v>136</v>
      </c>
      <c r="J5395" s="16" t="s">
        <v>16286</v>
      </c>
      <c r="K5395" s="32" t="n">
        <v>50</v>
      </c>
      <c r="L5395" s="33" t="n">
        <v>46541</v>
      </c>
      <c r="M5395" s="33" t="n">
        <v>46590</v>
      </c>
      <c r="N5395" s="16" t="s">
        <v>14649</v>
      </c>
      <c r="O5395" s="16" t="s">
        <v>1299</v>
      </c>
      <c r="P5395" s="16" t="str">
        <f aca="false">IF(AND(L5395&lt;=$D$2,M5395&gt;=$C$2),"Sí","")</f>
        <v/>
      </c>
      <c r="Q5395" s="18" t="str">
        <f aca="false">IF(COUNTIF(LOOKAHEAD!$A$5:$A$604,A5395)&gt;0,"En Lookahead",IF(P5395="Sí","INCORPORAR",""))</f>
        <v/>
      </c>
    </row>
    <row r="5396" customFormat="false" ht="15" hidden="false" customHeight="false" outlineLevel="0" collapsed="false">
      <c r="A5396" s="16" t="s">
        <v>16289</v>
      </c>
      <c r="B5396" s="16" t="n">
        <v>5391</v>
      </c>
      <c r="C5396" s="16" t="s">
        <v>16290</v>
      </c>
      <c r="D5396" s="16" t="n">
        <v>8</v>
      </c>
      <c r="E5396" s="39" t="s">
        <v>14403</v>
      </c>
      <c r="F5396" s="16" t="s">
        <v>1285</v>
      </c>
      <c r="G5396" s="16" t="s">
        <v>1063</v>
      </c>
      <c r="H5396" s="16" t="s">
        <v>14297</v>
      </c>
      <c r="I5396" s="16" t="s">
        <v>136</v>
      </c>
      <c r="J5396" s="16" t="s">
        <v>16286</v>
      </c>
      <c r="K5396" s="32" t="n">
        <v>50</v>
      </c>
      <c r="L5396" s="33" t="n">
        <v>46541</v>
      </c>
      <c r="M5396" s="33" t="n">
        <v>46590</v>
      </c>
      <c r="N5396" s="16" t="s">
        <v>16291</v>
      </c>
      <c r="O5396" s="16" t="s">
        <v>1299</v>
      </c>
      <c r="P5396" s="16" t="str">
        <f aca="false">IF(AND(L5396&lt;=$D$2,M5396&gt;=$C$2),"Sí","")</f>
        <v/>
      </c>
      <c r="Q5396" s="18" t="str">
        <f aca="false">IF(COUNTIF(LOOKAHEAD!$A$5:$A$604,A5396)&gt;0,"En Lookahead",IF(P5396="Sí","INCORPORAR",""))</f>
        <v/>
      </c>
    </row>
    <row r="5397" customFormat="false" ht="15" hidden="false" customHeight="false" outlineLevel="0" collapsed="false">
      <c r="A5397" s="16" t="s">
        <v>16292</v>
      </c>
      <c r="B5397" s="16" t="n">
        <v>5392</v>
      </c>
      <c r="C5397" s="16" t="s">
        <v>16293</v>
      </c>
      <c r="D5397" s="16" t="n">
        <v>8</v>
      </c>
      <c r="E5397" s="39" t="s">
        <v>14503</v>
      </c>
      <c r="F5397" s="16" t="s">
        <v>1285</v>
      </c>
      <c r="G5397" s="16" t="s">
        <v>1063</v>
      </c>
      <c r="H5397" s="16" t="s">
        <v>14297</v>
      </c>
      <c r="I5397" s="16" t="s">
        <v>136</v>
      </c>
      <c r="J5397" s="16" t="s">
        <v>16286</v>
      </c>
      <c r="K5397" s="32" t="n">
        <v>50</v>
      </c>
      <c r="L5397" s="33" t="n">
        <v>46541</v>
      </c>
      <c r="M5397" s="33" t="n">
        <v>46590</v>
      </c>
      <c r="N5397" s="16" t="s">
        <v>16291</v>
      </c>
      <c r="O5397" s="16" t="s">
        <v>1299</v>
      </c>
      <c r="P5397" s="16" t="str">
        <f aca="false">IF(AND(L5397&lt;=$D$2,M5397&gt;=$C$2),"Sí","")</f>
        <v/>
      </c>
      <c r="Q5397" s="18" t="str">
        <f aca="false">IF(COUNTIF(LOOKAHEAD!$A$5:$A$604,A5397)&gt;0,"En Lookahead",IF(P5397="Sí","INCORPORAR",""))</f>
        <v/>
      </c>
    </row>
    <row r="5398" customFormat="false" ht="15" hidden="false" customHeight="false" outlineLevel="0" collapsed="false">
      <c r="A5398" s="16" t="s">
        <v>16294</v>
      </c>
      <c r="B5398" s="16" t="n">
        <v>5393</v>
      </c>
      <c r="C5398" s="16" t="s">
        <v>16295</v>
      </c>
      <c r="D5398" s="16" t="n">
        <v>8</v>
      </c>
      <c r="E5398" s="39" t="s">
        <v>14506</v>
      </c>
      <c r="F5398" s="16" t="s">
        <v>1285</v>
      </c>
      <c r="G5398" s="16" t="s">
        <v>1063</v>
      </c>
      <c r="H5398" s="16" t="s">
        <v>14297</v>
      </c>
      <c r="I5398" s="16" t="s">
        <v>136</v>
      </c>
      <c r="J5398" s="16" t="s">
        <v>16286</v>
      </c>
      <c r="K5398" s="32" t="n">
        <v>50</v>
      </c>
      <c r="L5398" s="33" t="n">
        <v>46541</v>
      </c>
      <c r="M5398" s="33" t="n">
        <v>46590</v>
      </c>
      <c r="N5398" s="16" t="s">
        <v>16291</v>
      </c>
      <c r="O5398" s="16" t="s">
        <v>1299</v>
      </c>
      <c r="P5398" s="16" t="str">
        <f aca="false">IF(AND(L5398&lt;=$D$2,M5398&gt;=$C$2),"Sí","")</f>
        <v/>
      </c>
      <c r="Q5398" s="18" t="str">
        <f aca="false">IF(COUNTIF(LOOKAHEAD!$A$5:$A$604,A5398)&gt;0,"En Lookahead",IF(P5398="Sí","INCORPORAR",""))</f>
        <v/>
      </c>
    </row>
    <row r="5399" customFormat="false" ht="15" hidden="false" customHeight="false" outlineLevel="0" collapsed="false">
      <c r="A5399" s="13" t="s">
        <v>16296</v>
      </c>
      <c r="B5399" s="13" t="n">
        <v>5394</v>
      </c>
      <c r="C5399" s="13" t="s">
        <v>16297</v>
      </c>
      <c r="D5399" s="13" t="n">
        <v>5</v>
      </c>
      <c r="E5399" s="34" t="s">
        <v>9603</v>
      </c>
      <c r="F5399" s="13" t="s">
        <v>1298</v>
      </c>
      <c r="G5399" s="13" t="s">
        <v>1063</v>
      </c>
      <c r="H5399" s="13" t="s">
        <v>14297</v>
      </c>
      <c r="I5399" s="13" t="s">
        <v>136</v>
      </c>
      <c r="J5399" s="13" t="s">
        <v>14297</v>
      </c>
      <c r="K5399" s="30" t="n">
        <v>50</v>
      </c>
      <c r="L5399" s="31" t="n">
        <v>46541</v>
      </c>
      <c r="M5399" s="31" t="n">
        <v>46590</v>
      </c>
      <c r="N5399" s="13"/>
      <c r="O5399" s="13" t="s">
        <v>1299</v>
      </c>
      <c r="P5399" s="13"/>
      <c r="Q5399" s="13"/>
    </row>
    <row r="5400" customFormat="false" ht="15" hidden="false" customHeight="false" outlineLevel="0" collapsed="false">
      <c r="A5400" s="13" t="s">
        <v>16298</v>
      </c>
      <c r="B5400" s="13" t="n">
        <v>5395</v>
      </c>
      <c r="C5400" s="13" t="s">
        <v>16299</v>
      </c>
      <c r="D5400" s="13" t="n">
        <v>6</v>
      </c>
      <c r="E5400" s="36" t="s">
        <v>14302</v>
      </c>
      <c r="F5400" s="13" t="s">
        <v>1298</v>
      </c>
      <c r="G5400" s="13" t="s">
        <v>1063</v>
      </c>
      <c r="H5400" s="13" t="s">
        <v>14297</v>
      </c>
      <c r="I5400" s="13" t="s">
        <v>136</v>
      </c>
      <c r="J5400" s="13" t="s">
        <v>9603</v>
      </c>
      <c r="K5400" s="30" t="n">
        <v>50</v>
      </c>
      <c r="L5400" s="31" t="n">
        <v>46541</v>
      </c>
      <c r="M5400" s="31" t="n">
        <v>46590</v>
      </c>
      <c r="N5400" s="13"/>
      <c r="O5400" s="13" t="s">
        <v>1299</v>
      </c>
      <c r="P5400" s="13"/>
      <c r="Q5400" s="13"/>
    </row>
    <row r="5401" customFormat="false" ht="15" hidden="false" customHeight="false" outlineLevel="0" collapsed="false">
      <c r="A5401" s="13" t="s">
        <v>16300</v>
      </c>
      <c r="B5401" s="13" t="n">
        <v>5396</v>
      </c>
      <c r="C5401" s="13" t="s">
        <v>16301</v>
      </c>
      <c r="D5401" s="13" t="n">
        <v>7</v>
      </c>
      <c r="E5401" s="38" t="s">
        <v>16302</v>
      </c>
      <c r="F5401" s="13" t="s">
        <v>1298</v>
      </c>
      <c r="G5401" s="13" t="s">
        <v>1063</v>
      </c>
      <c r="H5401" s="13" t="s">
        <v>14297</v>
      </c>
      <c r="I5401" s="13" t="s">
        <v>136</v>
      </c>
      <c r="J5401" s="13" t="s">
        <v>14302</v>
      </c>
      <c r="K5401" s="30" t="n">
        <v>50</v>
      </c>
      <c r="L5401" s="31" t="n">
        <v>46541</v>
      </c>
      <c r="M5401" s="31" t="n">
        <v>46590</v>
      </c>
      <c r="N5401" s="13"/>
      <c r="O5401" s="13" t="s">
        <v>1299</v>
      </c>
      <c r="P5401" s="13"/>
      <c r="Q5401" s="13"/>
    </row>
    <row r="5402" customFormat="false" ht="15" hidden="false" customHeight="false" outlineLevel="0" collapsed="false">
      <c r="A5402" s="16" t="s">
        <v>16303</v>
      </c>
      <c r="B5402" s="16" t="n">
        <v>5397</v>
      </c>
      <c r="C5402" s="16" t="s">
        <v>16304</v>
      </c>
      <c r="D5402" s="16" t="n">
        <v>8</v>
      </c>
      <c r="E5402" s="39" t="s">
        <v>14639</v>
      </c>
      <c r="F5402" s="16" t="s">
        <v>1285</v>
      </c>
      <c r="G5402" s="16" t="s">
        <v>1063</v>
      </c>
      <c r="H5402" s="16" t="s">
        <v>14297</v>
      </c>
      <c r="I5402" s="16" t="s">
        <v>136</v>
      </c>
      <c r="J5402" s="16" t="s">
        <v>16302</v>
      </c>
      <c r="K5402" s="32" t="n">
        <v>50</v>
      </c>
      <c r="L5402" s="33" t="n">
        <v>46541</v>
      </c>
      <c r="M5402" s="33" t="n">
        <v>46590</v>
      </c>
      <c r="N5402" s="16" t="s">
        <v>14649</v>
      </c>
      <c r="O5402" s="16" t="s">
        <v>1299</v>
      </c>
      <c r="P5402" s="16" t="str">
        <f aca="false">IF(AND(L5402&lt;=$D$2,M5402&gt;=$C$2),"Sí","")</f>
        <v/>
      </c>
      <c r="Q5402" s="18" t="str">
        <f aca="false">IF(COUNTIF(LOOKAHEAD!$A$5:$A$604,A5402)&gt;0,"En Lookahead",IF(P5402="Sí","INCORPORAR",""))</f>
        <v/>
      </c>
    </row>
    <row r="5403" customFormat="false" ht="15" hidden="false" customHeight="false" outlineLevel="0" collapsed="false">
      <c r="A5403" s="13" t="s">
        <v>16305</v>
      </c>
      <c r="B5403" s="13" t="n">
        <v>5398</v>
      </c>
      <c r="C5403" s="13" t="s">
        <v>16306</v>
      </c>
      <c r="D5403" s="13" t="n">
        <v>7</v>
      </c>
      <c r="E5403" s="38" t="s">
        <v>6965</v>
      </c>
      <c r="F5403" s="13" t="s">
        <v>1298</v>
      </c>
      <c r="G5403" s="13" t="s">
        <v>1063</v>
      </c>
      <c r="H5403" s="13" t="s">
        <v>14297</v>
      </c>
      <c r="I5403" s="13" t="s">
        <v>136</v>
      </c>
      <c r="J5403" s="13" t="s">
        <v>14302</v>
      </c>
      <c r="K5403" s="30" t="n">
        <v>50</v>
      </c>
      <c r="L5403" s="31" t="n">
        <v>46541</v>
      </c>
      <c r="M5403" s="31" t="n">
        <v>46590</v>
      </c>
      <c r="N5403" s="13"/>
      <c r="O5403" s="13" t="s">
        <v>1299</v>
      </c>
      <c r="P5403" s="13"/>
      <c r="Q5403" s="13"/>
    </row>
    <row r="5404" customFormat="false" ht="15" hidden="false" customHeight="false" outlineLevel="0" collapsed="false">
      <c r="A5404" s="16" t="s">
        <v>16307</v>
      </c>
      <c r="B5404" s="16" t="n">
        <v>5399</v>
      </c>
      <c r="C5404" s="16" t="s">
        <v>16308</v>
      </c>
      <c r="D5404" s="16" t="n">
        <v>8</v>
      </c>
      <c r="E5404" s="39" t="s">
        <v>16309</v>
      </c>
      <c r="F5404" s="16" t="s">
        <v>1285</v>
      </c>
      <c r="G5404" s="16" t="s">
        <v>1063</v>
      </c>
      <c r="H5404" s="16" t="s">
        <v>14297</v>
      </c>
      <c r="I5404" s="16" t="s">
        <v>136</v>
      </c>
      <c r="J5404" s="16" t="s">
        <v>6965</v>
      </c>
      <c r="K5404" s="32" t="n">
        <v>50</v>
      </c>
      <c r="L5404" s="33" t="n">
        <v>46541</v>
      </c>
      <c r="M5404" s="33" t="n">
        <v>46590</v>
      </c>
      <c r="N5404" s="16" t="s">
        <v>16310</v>
      </c>
      <c r="O5404" s="16" t="s">
        <v>1299</v>
      </c>
      <c r="P5404" s="16" t="str">
        <f aca="false">IF(AND(L5404&lt;=$D$2,M5404&gt;=$C$2),"Sí","")</f>
        <v/>
      </c>
      <c r="Q5404" s="18" t="str">
        <f aca="false">IF(COUNTIF(LOOKAHEAD!$A$5:$A$604,A5404)&gt;0,"En Lookahead",IF(P5404="Sí","INCORPORAR",""))</f>
        <v/>
      </c>
    </row>
    <row r="5405" customFormat="false" ht="15" hidden="false" customHeight="false" outlineLevel="0" collapsed="false">
      <c r="A5405" s="16" t="s">
        <v>16311</v>
      </c>
      <c r="B5405" s="16" t="n">
        <v>5400</v>
      </c>
      <c r="C5405" s="16" t="s">
        <v>16312</v>
      </c>
      <c r="D5405" s="16" t="n">
        <v>8</v>
      </c>
      <c r="E5405" s="39" t="s">
        <v>16313</v>
      </c>
      <c r="F5405" s="16" t="s">
        <v>1285</v>
      </c>
      <c r="G5405" s="16" t="s">
        <v>1063</v>
      </c>
      <c r="H5405" s="16" t="s">
        <v>14297</v>
      </c>
      <c r="I5405" s="16" t="s">
        <v>136</v>
      </c>
      <c r="J5405" s="16" t="s">
        <v>6965</v>
      </c>
      <c r="K5405" s="32" t="n">
        <v>50</v>
      </c>
      <c r="L5405" s="33" t="n">
        <v>46541</v>
      </c>
      <c r="M5405" s="33" t="n">
        <v>46590</v>
      </c>
      <c r="N5405" s="16" t="s">
        <v>16310</v>
      </c>
      <c r="O5405" s="16" t="s">
        <v>1299</v>
      </c>
      <c r="P5405" s="16" t="str">
        <f aca="false">IF(AND(L5405&lt;=$D$2,M5405&gt;=$C$2),"Sí","")</f>
        <v/>
      </c>
      <c r="Q5405" s="18" t="str">
        <f aca="false">IF(COUNTIF(LOOKAHEAD!$A$5:$A$604,A5405)&gt;0,"En Lookahead",IF(P5405="Sí","INCORPORAR",""))</f>
        <v/>
      </c>
    </row>
    <row r="5406" customFormat="false" ht="15" hidden="false" customHeight="false" outlineLevel="0" collapsed="false">
      <c r="A5406" s="16" t="s">
        <v>16314</v>
      </c>
      <c r="B5406" s="16" t="n">
        <v>5401</v>
      </c>
      <c r="C5406" s="16" t="s">
        <v>16315</v>
      </c>
      <c r="D5406" s="16" t="n">
        <v>8</v>
      </c>
      <c r="E5406" s="39" t="s">
        <v>16316</v>
      </c>
      <c r="F5406" s="16" t="s">
        <v>1285</v>
      </c>
      <c r="G5406" s="16" t="s">
        <v>1063</v>
      </c>
      <c r="H5406" s="16" t="s">
        <v>14297</v>
      </c>
      <c r="I5406" s="16" t="s">
        <v>136</v>
      </c>
      <c r="J5406" s="16" t="s">
        <v>6965</v>
      </c>
      <c r="K5406" s="32" t="n">
        <v>50</v>
      </c>
      <c r="L5406" s="33" t="n">
        <v>46541</v>
      </c>
      <c r="M5406" s="33" t="n">
        <v>46590</v>
      </c>
      <c r="N5406" s="16" t="s">
        <v>16310</v>
      </c>
      <c r="O5406" s="16" t="s">
        <v>1299</v>
      </c>
      <c r="P5406" s="16" t="str">
        <f aca="false">IF(AND(L5406&lt;=$D$2,M5406&gt;=$C$2),"Sí","")</f>
        <v/>
      </c>
      <c r="Q5406" s="18" t="str">
        <f aca="false">IF(COUNTIF(LOOKAHEAD!$A$5:$A$604,A5406)&gt;0,"En Lookahead",IF(P5406="Sí","INCORPORAR",""))</f>
        <v/>
      </c>
    </row>
    <row r="5407" customFormat="false" ht="15" hidden="false" customHeight="false" outlineLevel="0" collapsed="false">
      <c r="A5407" s="25" t="s">
        <v>16317</v>
      </c>
      <c r="B5407" s="25" t="n">
        <v>5402</v>
      </c>
      <c r="C5407" s="25" t="s">
        <v>16318</v>
      </c>
      <c r="D5407" s="25" t="n">
        <v>2</v>
      </c>
      <c r="E5407" s="28" t="s">
        <v>16319</v>
      </c>
      <c r="F5407" s="25" t="s">
        <v>1298</v>
      </c>
      <c r="G5407" s="25" t="s">
        <v>1169</v>
      </c>
      <c r="H5407" s="25"/>
      <c r="I5407" s="25"/>
      <c r="J5407" s="25" t="s">
        <v>1302</v>
      </c>
      <c r="K5407" s="26" t="n">
        <v>311</v>
      </c>
      <c r="L5407" s="27" t="n">
        <v>46065</v>
      </c>
      <c r="M5407" s="27" t="n">
        <v>46455</v>
      </c>
      <c r="N5407" s="25"/>
      <c r="O5407" s="25"/>
      <c r="P5407" s="25"/>
      <c r="Q5407" s="25"/>
    </row>
    <row r="5408" customFormat="false" ht="15" hidden="false" customHeight="false" outlineLevel="0" collapsed="false">
      <c r="A5408" s="25" t="s">
        <v>16320</v>
      </c>
      <c r="B5408" s="25" t="n">
        <v>5403</v>
      </c>
      <c r="C5408" s="25" t="s">
        <v>16321</v>
      </c>
      <c r="D5408" s="25" t="n">
        <v>3</v>
      </c>
      <c r="E5408" s="29" t="s">
        <v>16322</v>
      </c>
      <c r="F5408" s="25" t="s">
        <v>1298</v>
      </c>
      <c r="G5408" s="25" t="s">
        <v>1169</v>
      </c>
      <c r="H5408" s="25"/>
      <c r="I5408" s="25"/>
      <c r="J5408" s="25" t="s">
        <v>16319</v>
      </c>
      <c r="K5408" s="26" t="n">
        <v>311</v>
      </c>
      <c r="L5408" s="27" t="n">
        <v>46065</v>
      </c>
      <c r="M5408" s="27" t="n">
        <v>46455</v>
      </c>
      <c r="N5408" s="25"/>
      <c r="O5408" s="25"/>
      <c r="P5408" s="25"/>
      <c r="Q5408" s="25"/>
    </row>
    <row r="5409" customFormat="false" ht="15" hidden="false" customHeight="false" outlineLevel="0" collapsed="false">
      <c r="A5409" s="13" t="s">
        <v>16323</v>
      </c>
      <c r="B5409" s="13" t="n">
        <v>5404</v>
      </c>
      <c r="C5409" s="13" t="s">
        <v>16324</v>
      </c>
      <c r="D5409" s="13" t="n">
        <v>4</v>
      </c>
      <c r="E5409" s="20" t="s">
        <v>16325</v>
      </c>
      <c r="F5409" s="13" t="s">
        <v>1298</v>
      </c>
      <c r="G5409" s="13" t="s">
        <v>1169</v>
      </c>
      <c r="H5409" s="13" t="s">
        <v>16325</v>
      </c>
      <c r="I5409" s="13" t="s">
        <v>127</v>
      </c>
      <c r="J5409" s="13" t="s">
        <v>16322</v>
      </c>
      <c r="K5409" s="30" t="n">
        <v>10</v>
      </c>
      <c r="L5409" s="31" t="n">
        <v>46065</v>
      </c>
      <c r="M5409" s="31" t="n">
        <v>46074</v>
      </c>
      <c r="N5409" s="13"/>
      <c r="O5409" s="13"/>
      <c r="P5409" s="13"/>
      <c r="Q5409" s="13"/>
    </row>
    <row r="5410" customFormat="false" ht="15" hidden="false" customHeight="false" outlineLevel="0" collapsed="false">
      <c r="A5410" s="13" t="s">
        <v>16326</v>
      </c>
      <c r="B5410" s="13" t="n">
        <v>5405</v>
      </c>
      <c r="C5410" s="13" t="s">
        <v>16327</v>
      </c>
      <c r="D5410" s="13" t="n">
        <v>5</v>
      </c>
      <c r="E5410" s="34" t="s">
        <v>1368</v>
      </c>
      <c r="F5410" s="13" t="s">
        <v>1298</v>
      </c>
      <c r="G5410" s="13" t="s">
        <v>1169</v>
      </c>
      <c r="H5410" s="13" t="s">
        <v>16325</v>
      </c>
      <c r="I5410" s="13" t="s">
        <v>127</v>
      </c>
      <c r="J5410" s="13" t="s">
        <v>16325</v>
      </c>
      <c r="K5410" s="30" t="n">
        <v>1</v>
      </c>
      <c r="L5410" s="31" t="n">
        <v>46065</v>
      </c>
      <c r="M5410" s="31" t="n">
        <v>46065</v>
      </c>
      <c r="N5410" s="13"/>
      <c r="O5410" s="13"/>
      <c r="P5410" s="13"/>
      <c r="Q5410" s="13"/>
    </row>
    <row r="5411" customFormat="false" ht="15" hidden="false" customHeight="false" outlineLevel="0" collapsed="false">
      <c r="A5411" s="16" t="s">
        <v>16328</v>
      </c>
      <c r="B5411" s="16" t="n">
        <v>5406</v>
      </c>
      <c r="C5411" s="16" t="s">
        <v>16329</v>
      </c>
      <c r="D5411" s="16" t="n">
        <v>6</v>
      </c>
      <c r="E5411" s="35" t="s">
        <v>16330</v>
      </c>
      <c r="F5411" s="16" t="s">
        <v>1285</v>
      </c>
      <c r="G5411" s="16" t="s">
        <v>1169</v>
      </c>
      <c r="H5411" s="16" t="s">
        <v>16325</v>
      </c>
      <c r="I5411" s="16" t="s">
        <v>127</v>
      </c>
      <c r="J5411" s="16" t="s">
        <v>1368</v>
      </c>
      <c r="K5411" s="32" t="n">
        <v>1</v>
      </c>
      <c r="L5411" s="33" t="n">
        <v>46065</v>
      </c>
      <c r="M5411" s="33" t="n">
        <v>46065</v>
      </c>
      <c r="N5411" s="16" t="s">
        <v>16331</v>
      </c>
      <c r="O5411" s="16"/>
      <c r="P5411" s="16" t="str">
        <f aca="false">IF(AND(L5411&lt;=$D$2,M5411&gt;=$C$2),"Sí","")</f>
        <v/>
      </c>
      <c r="Q5411" s="18" t="str">
        <f aca="false">IF(COUNTIF(LOOKAHEAD!$A$5:$A$604,A5411)&gt;0,"En Lookahead",IF(P5411="Sí","INCORPORAR",""))</f>
        <v/>
      </c>
    </row>
    <row r="5412" customFormat="false" ht="15" hidden="false" customHeight="false" outlineLevel="0" collapsed="false">
      <c r="A5412" s="13" t="s">
        <v>16332</v>
      </c>
      <c r="B5412" s="13" t="n">
        <v>5407</v>
      </c>
      <c r="C5412" s="13" t="s">
        <v>16333</v>
      </c>
      <c r="D5412" s="13" t="n">
        <v>5</v>
      </c>
      <c r="E5412" s="34" t="s">
        <v>1534</v>
      </c>
      <c r="F5412" s="13" t="s">
        <v>1298</v>
      </c>
      <c r="G5412" s="13" t="s">
        <v>1169</v>
      </c>
      <c r="H5412" s="13" t="s">
        <v>16325</v>
      </c>
      <c r="I5412" s="13" t="s">
        <v>127</v>
      </c>
      <c r="J5412" s="13" t="s">
        <v>16325</v>
      </c>
      <c r="K5412" s="30" t="n">
        <v>9</v>
      </c>
      <c r="L5412" s="31" t="n">
        <v>46066</v>
      </c>
      <c r="M5412" s="31" t="n">
        <v>46074</v>
      </c>
      <c r="N5412" s="13"/>
      <c r="O5412" s="13"/>
      <c r="P5412" s="13"/>
      <c r="Q5412" s="13"/>
    </row>
    <row r="5413" customFormat="false" ht="15" hidden="false" customHeight="false" outlineLevel="0" collapsed="false">
      <c r="A5413" s="16" t="s">
        <v>16334</v>
      </c>
      <c r="B5413" s="16" t="n">
        <v>5408</v>
      </c>
      <c r="C5413" s="16" t="s">
        <v>16335</v>
      </c>
      <c r="D5413" s="16" t="n">
        <v>6</v>
      </c>
      <c r="E5413" s="35" t="s">
        <v>16336</v>
      </c>
      <c r="F5413" s="16" t="s">
        <v>1285</v>
      </c>
      <c r="G5413" s="16" t="s">
        <v>1169</v>
      </c>
      <c r="H5413" s="16" t="s">
        <v>16325</v>
      </c>
      <c r="I5413" s="16" t="s">
        <v>127</v>
      </c>
      <c r="J5413" s="16" t="s">
        <v>1534</v>
      </c>
      <c r="K5413" s="32" t="n">
        <v>9</v>
      </c>
      <c r="L5413" s="33" t="n">
        <v>46066</v>
      </c>
      <c r="M5413" s="33" t="n">
        <v>46074</v>
      </c>
      <c r="N5413" s="16" t="s">
        <v>16337</v>
      </c>
      <c r="O5413" s="16"/>
      <c r="P5413" s="16" t="str">
        <f aca="false">IF(AND(L5413&lt;=$D$2,M5413&gt;=$C$2),"Sí","")</f>
        <v/>
      </c>
      <c r="Q5413" s="18" t="str">
        <f aca="false">IF(COUNTIF(LOOKAHEAD!$A$5:$A$604,A5413)&gt;0,"En Lookahead",IF(P5413="Sí","INCORPORAR",""))</f>
        <v/>
      </c>
    </row>
    <row r="5414" customFormat="false" ht="15" hidden="false" customHeight="false" outlineLevel="0" collapsed="false">
      <c r="A5414" s="16" t="s">
        <v>16338</v>
      </c>
      <c r="B5414" s="16" t="n">
        <v>5409</v>
      </c>
      <c r="C5414" s="16" t="s">
        <v>16339</v>
      </c>
      <c r="D5414" s="16" t="n">
        <v>6</v>
      </c>
      <c r="E5414" s="35" t="s">
        <v>16340</v>
      </c>
      <c r="F5414" s="16" t="s">
        <v>1285</v>
      </c>
      <c r="G5414" s="16" t="s">
        <v>1169</v>
      </c>
      <c r="H5414" s="16" t="s">
        <v>16325</v>
      </c>
      <c r="I5414" s="16" t="s">
        <v>127</v>
      </c>
      <c r="J5414" s="16" t="s">
        <v>1534</v>
      </c>
      <c r="K5414" s="32" t="n">
        <v>3</v>
      </c>
      <c r="L5414" s="33" t="n">
        <v>46066</v>
      </c>
      <c r="M5414" s="33" t="n">
        <v>46068</v>
      </c>
      <c r="N5414" s="16" t="s">
        <v>16337</v>
      </c>
      <c r="O5414" s="16"/>
      <c r="P5414" s="16" t="str">
        <f aca="false">IF(AND(L5414&lt;=$D$2,M5414&gt;=$C$2),"Sí","")</f>
        <v/>
      </c>
      <c r="Q5414" s="18" t="str">
        <f aca="false">IF(COUNTIF(LOOKAHEAD!$A$5:$A$604,A5414)&gt;0,"En Lookahead",IF(P5414="Sí","INCORPORAR",""))</f>
        <v/>
      </c>
    </row>
    <row r="5415" customFormat="false" ht="15" hidden="false" customHeight="false" outlineLevel="0" collapsed="false">
      <c r="A5415" s="16" t="s">
        <v>16341</v>
      </c>
      <c r="B5415" s="16" t="n">
        <v>5410</v>
      </c>
      <c r="C5415" s="16" t="s">
        <v>16342</v>
      </c>
      <c r="D5415" s="16" t="n">
        <v>6</v>
      </c>
      <c r="E5415" s="35" t="s">
        <v>16343</v>
      </c>
      <c r="F5415" s="16" t="s">
        <v>1285</v>
      </c>
      <c r="G5415" s="16" t="s">
        <v>1169</v>
      </c>
      <c r="H5415" s="16" t="s">
        <v>16325</v>
      </c>
      <c r="I5415" s="16" t="s">
        <v>127</v>
      </c>
      <c r="J5415" s="16" t="s">
        <v>1534</v>
      </c>
      <c r="K5415" s="32" t="n">
        <v>1</v>
      </c>
      <c r="L5415" s="33" t="n">
        <v>46066</v>
      </c>
      <c r="M5415" s="33" t="n">
        <v>46066</v>
      </c>
      <c r="N5415" s="16" t="s">
        <v>16337</v>
      </c>
      <c r="O5415" s="16"/>
      <c r="P5415" s="16" t="str">
        <f aca="false">IF(AND(L5415&lt;=$D$2,M5415&gt;=$C$2),"Sí","")</f>
        <v/>
      </c>
      <c r="Q5415" s="18" t="str">
        <f aca="false">IF(COUNTIF(LOOKAHEAD!$A$5:$A$604,A5415)&gt;0,"En Lookahead",IF(P5415="Sí","INCORPORAR",""))</f>
        <v/>
      </c>
    </row>
    <row r="5416" customFormat="false" ht="15" hidden="false" customHeight="false" outlineLevel="0" collapsed="false">
      <c r="A5416" s="16" t="s">
        <v>16344</v>
      </c>
      <c r="B5416" s="16" t="n">
        <v>5411</v>
      </c>
      <c r="C5416" s="16" t="s">
        <v>16345</v>
      </c>
      <c r="D5416" s="16" t="n">
        <v>6</v>
      </c>
      <c r="E5416" s="35" t="s">
        <v>16346</v>
      </c>
      <c r="F5416" s="16" t="s">
        <v>1285</v>
      </c>
      <c r="G5416" s="16" t="s">
        <v>1169</v>
      </c>
      <c r="H5416" s="16" t="s">
        <v>16325</v>
      </c>
      <c r="I5416" s="16" t="s">
        <v>127</v>
      </c>
      <c r="J5416" s="16" t="s">
        <v>1534</v>
      </c>
      <c r="K5416" s="32" t="n">
        <v>2</v>
      </c>
      <c r="L5416" s="33" t="n">
        <v>46067</v>
      </c>
      <c r="M5416" s="33" t="n">
        <v>46068</v>
      </c>
      <c r="N5416" s="16" t="s">
        <v>16347</v>
      </c>
      <c r="O5416" s="16"/>
      <c r="P5416" s="16" t="str">
        <f aca="false">IF(AND(L5416&lt;=$D$2,M5416&gt;=$C$2),"Sí","")</f>
        <v/>
      </c>
      <c r="Q5416" s="18" t="str">
        <f aca="false">IF(COUNTIF(LOOKAHEAD!$A$5:$A$604,A5416)&gt;0,"En Lookahead",IF(P5416="Sí","INCORPORAR",""))</f>
        <v/>
      </c>
    </row>
    <row r="5417" customFormat="false" ht="15" hidden="false" customHeight="false" outlineLevel="0" collapsed="false">
      <c r="A5417" s="16" t="s">
        <v>16348</v>
      </c>
      <c r="B5417" s="16" t="n">
        <v>5412</v>
      </c>
      <c r="C5417" s="16" t="s">
        <v>16349</v>
      </c>
      <c r="D5417" s="16" t="n">
        <v>6</v>
      </c>
      <c r="E5417" s="35" t="s">
        <v>1557</v>
      </c>
      <c r="F5417" s="16" t="s">
        <v>1285</v>
      </c>
      <c r="G5417" s="16" t="s">
        <v>1169</v>
      </c>
      <c r="H5417" s="16" t="s">
        <v>16325</v>
      </c>
      <c r="I5417" s="16" t="s">
        <v>127</v>
      </c>
      <c r="J5417" s="16" t="s">
        <v>1534</v>
      </c>
      <c r="K5417" s="32" t="n">
        <v>3</v>
      </c>
      <c r="L5417" s="33" t="n">
        <v>46067</v>
      </c>
      <c r="M5417" s="33" t="n">
        <v>46069</v>
      </c>
      <c r="N5417" s="16" t="s">
        <v>16347</v>
      </c>
      <c r="O5417" s="16"/>
      <c r="P5417" s="16" t="str">
        <f aca="false">IF(AND(L5417&lt;=$D$2,M5417&gt;=$C$2),"Sí","")</f>
        <v/>
      </c>
      <c r="Q5417" s="18" t="str">
        <f aca="false">IF(COUNTIF(LOOKAHEAD!$A$5:$A$604,A5417)&gt;0,"En Lookahead",IF(P5417="Sí","INCORPORAR",""))</f>
        <v/>
      </c>
    </row>
    <row r="5418" customFormat="false" ht="15" hidden="false" customHeight="false" outlineLevel="0" collapsed="false">
      <c r="A5418" s="16" t="s">
        <v>16350</v>
      </c>
      <c r="B5418" s="16" t="n">
        <v>5413</v>
      </c>
      <c r="C5418" s="16" t="s">
        <v>16351</v>
      </c>
      <c r="D5418" s="16" t="n">
        <v>6</v>
      </c>
      <c r="E5418" s="35" t="s">
        <v>1560</v>
      </c>
      <c r="F5418" s="16" t="s">
        <v>1285</v>
      </c>
      <c r="G5418" s="16" t="s">
        <v>1169</v>
      </c>
      <c r="H5418" s="16" t="s">
        <v>16325</v>
      </c>
      <c r="I5418" s="16" t="s">
        <v>127</v>
      </c>
      <c r="J5418" s="16" t="s">
        <v>1534</v>
      </c>
      <c r="K5418" s="32" t="n">
        <v>1</v>
      </c>
      <c r="L5418" s="33" t="n">
        <v>46070</v>
      </c>
      <c r="M5418" s="33" t="n">
        <v>46070</v>
      </c>
      <c r="N5418" s="16" t="s">
        <v>16352</v>
      </c>
      <c r="O5418" s="16"/>
      <c r="P5418" s="16" t="str">
        <f aca="false">IF(AND(L5418&lt;=$D$2,M5418&gt;=$C$2),"Sí","")</f>
        <v/>
      </c>
      <c r="Q5418" s="18" t="str">
        <f aca="false">IF(COUNTIF(LOOKAHEAD!$A$5:$A$604,A5418)&gt;0,"En Lookahead",IF(P5418="Sí","INCORPORAR",""))</f>
        <v/>
      </c>
    </row>
    <row r="5419" customFormat="false" ht="15" hidden="false" customHeight="false" outlineLevel="0" collapsed="false">
      <c r="A5419" s="16" t="s">
        <v>16353</v>
      </c>
      <c r="B5419" s="16" t="n">
        <v>5414</v>
      </c>
      <c r="C5419" s="16" t="s">
        <v>16354</v>
      </c>
      <c r="D5419" s="16" t="n">
        <v>6</v>
      </c>
      <c r="E5419" s="35" t="s">
        <v>16355</v>
      </c>
      <c r="F5419" s="16" t="s">
        <v>1285</v>
      </c>
      <c r="G5419" s="16" t="s">
        <v>1169</v>
      </c>
      <c r="H5419" s="16" t="s">
        <v>16325</v>
      </c>
      <c r="I5419" s="16" t="s">
        <v>127</v>
      </c>
      <c r="J5419" s="16" t="s">
        <v>1534</v>
      </c>
      <c r="K5419" s="32" t="n">
        <v>2</v>
      </c>
      <c r="L5419" s="33" t="n">
        <v>46066</v>
      </c>
      <c r="M5419" s="33" t="n">
        <v>46067</v>
      </c>
      <c r="N5419" s="16" t="s">
        <v>16356</v>
      </c>
      <c r="O5419" s="16"/>
      <c r="P5419" s="16" t="str">
        <f aca="false">IF(AND(L5419&lt;=$D$2,M5419&gt;=$C$2),"Sí","")</f>
        <v/>
      </c>
      <c r="Q5419" s="18" t="str">
        <f aca="false">IF(COUNTIF(LOOKAHEAD!$A$5:$A$604,A5419)&gt;0,"En Lookahead",IF(P5419="Sí","INCORPORAR",""))</f>
        <v/>
      </c>
    </row>
    <row r="5420" customFormat="false" ht="15" hidden="false" customHeight="false" outlineLevel="0" collapsed="false">
      <c r="A5420" s="13" t="s">
        <v>16357</v>
      </c>
      <c r="B5420" s="13" t="n">
        <v>5415</v>
      </c>
      <c r="C5420" s="13" t="s">
        <v>16358</v>
      </c>
      <c r="D5420" s="13" t="n">
        <v>4</v>
      </c>
      <c r="E5420" s="20" t="s">
        <v>16359</v>
      </c>
      <c r="F5420" s="13" t="s">
        <v>1298</v>
      </c>
      <c r="G5420" s="13" t="s">
        <v>1169</v>
      </c>
      <c r="H5420" s="13" t="s">
        <v>16359</v>
      </c>
      <c r="I5420" s="13" t="s">
        <v>136</v>
      </c>
      <c r="J5420" s="13" t="s">
        <v>16322</v>
      </c>
      <c r="K5420" s="30" t="n">
        <v>25</v>
      </c>
      <c r="L5420" s="31" t="n">
        <v>46067</v>
      </c>
      <c r="M5420" s="31" t="n">
        <v>46091</v>
      </c>
      <c r="N5420" s="13"/>
      <c r="O5420" s="13"/>
      <c r="P5420" s="13"/>
      <c r="Q5420" s="13"/>
    </row>
    <row r="5421" customFormat="false" ht="15" hidden="false" customHeight="false" outlineLevel="0" collapsed="false">
      <c r="A5421" s="16" t="s">
        <v>16360</v>
      </c>
      <c r="B5421" s="16" t="n">
        <v>5416</v>
      </c>
      <c r="C5421" s="16" t="s">
        <v>16361</v>
      </c>
      <c r="D5421" s="16" t="n">
        <v>5</v>
      </c>
      <c r="E5421" s="21" t="s">
        <v>16362</v>
      </c>
      <c r="F5421" s="16" t="s">
        <v>1285</v>
      </c>
      <c r="G5421" s="16" t="s">
        <v>1169</v>
      </c>
      <c r="H5421" s="16" t="s">
        <v>16359</v>
      </c>
      <c r="I5421" s="16" t="s">
        <v>136</v>
      </c>
      <c r="J5421" s="16" t="s">
        <v>16359</v>
      </c>
      <c r="K5421" s="32" t="n">
        <v>9</v>
      </c>
      <c r="L5421" s="33" t="n">
        <v>46067</v>
      </c>
      <c r="M5421" s="33" t="n">
        <v>46075</v>
      </c>
      <c r="N5421" s="16" t="s">
        <v>16347</v>
      </c>
      <c r="O5421" s="16"/>
      <c r="P5421" s="16" t="str">
        <f aca="false">IF(AND(L5421&lt;=$D$2,M5421&gt;=$C$2),"Sí","")</f>
        <v/>
      </c>
      <c r="Q5421" s="18" t="str">
        <f aca="false">IF(COUNTIF(LOOKAHEAD!$A$5:$A$604,A5421)&gt;0,"En Lookahead",IF(P5421="Sí","INCORPORAR",""))</f>
        <v/>
      </c>
    </row>
    <row r="5422" customFormat="false" ht="15" hidden="false" customHeight="false" outlineLevel="0" collapsed="false">
      <c r="A5422" s="16" t="s">
        <v>16363</v>
      </c>
      <c r="B5422" s="16" t="n">
        <v>5417</v>
      </c>
      <c r="C5422" s="16" t="s">
        <v>16364</v>
      </c>
      <c r="D5422" s="16" t="n">
        <v>5</v>
      </c>
      <c r="E5422" s="21" t="s">
        <v>16365</v>
      </c>
      <c r="F5422" s="16" t="s">
        <v>1285</v>
      </c>
      <c r="G5422" s="16" t="s">
        <v>1169</v>
      </c>
      <c r="H5422" s="16" t="s">
        <v>16359</v>
      </c>
      <c r="I5422" s="16" t="s">
        <v>136</v>
      </c>
      <c r="J5422" s="16" t="s">
        <v>16359</v>
      </c>
      <c r="K5422" s="32" t="n">
        <v>2</v>
      </c>
      <c r="L5422" s="33" t="n">
        <v>46076</v>
      </c>
      <c r="M5422" s="33" t="n">
        <v>46077</v>
      </c>
      <c r="N5422" s="16" t="s">
        <v>16366</v>
      </c>
      <c r="O5422" s="16"/>
      <c r="P5422" s="16" t="str">
        <f aca="false">IF(AND(L5422&lt;=$D$2,M5422&gt;=$C$2),"Sí","")</f>
        <v/>
      </c>
      <c r="Q5422" s="18" t="str">
        <f aca="false">IF(COUNTIF(LOOKAHEAD!$A$5:$A$604,A5422)&gt;0,"En Lookahead",IF(P5422="Sí","INCORPORAR",""))</f>
        <v/>
      </c>
    </row>
    <row r="5423" customFormat="false" ht="15" hidden="false" customHeight="false" outlineLevel="0" collapsed="false">
      <c r="A5423" s="16" t="s">
        <v>16367</v>
      </c>
      <c r="B5423" s="16" t="n">
        <v>5418</v>
      </c>
      <c r="C5423" s="16" t="s">
        <v>16368</v>
      </c>
      <c r="D5423" s="16" t="n">
        <v>5</v>
      </c>
      <c r="E5423" s="21" t="s">
        <v>16369</v>
      </c>
      <c r="F5423" s="16" t="s">
        <v>1285</v>
      </c>
      <c r="G5423" s="16" t="s">
        <v>1169</v>
      </c>
      <c r="H5423" s="16" t="s">
        <v>16359</v>
      </c>
      <c r="I5423" s="16" t="s">
        <v>136</v>
      </c>
      <c r="J5423" s="16" t="s">
        <v>16359</v>
      </c>
      <c r="K5423" s="32" t="n">
        <v>1</v>
      </c>
      <c r="L5423" s="33" t="n">
        <v>46078</v>
      </c>
      <c r="M5423" s="33" t="n">
        <v>46078</v>
      </c>
      <c r="N5423" s="16" t="s">
        <v>16370</v>
      </c>
      <c r="O5423" s="16"/>
      <c r="P5423" s="16" t="str">
        <f aca="false">IF(AND(L5423&lt;=$D$2,M5423&gt;=$C$2),"Sí","")</f>
        <v/>
      </c>
      <c r="Q5423" s="18" t="str">
        <f aca="false">IF(COUNTIF(LOOKAHEAD!$A$5:$A$604,A5423)&gt;0,"En Lookahead",IF(P5423="Sí","INCORPORAR",""))</f>
        <v/>
      </c>
    </row>
    <row r="5424" customFormat="false" ht="15" hidden="false" customHeight="false" outlineLevel="0" collapsed="false">
      <c r="A5424" s="16" t="s">
        <v>16371</v>
      </c>
      <c r="B5424" s="16" t="n">
        <v>5419</v>
      </c>
      <c r="C5424" s="16" t="s">
        <v>16372</v>
      </c>
      <c r="D5424" s="16" t="n">
        <v>5</v>
      </c>
      <c r="E5424" s="21" t="s">
        <v>16373</v>
      </c>
      <c r="F5424" s="16" t="s">
        <v>1285</v>
      </c>
      <c r="G5424" s="16" t="s">
        <v>1169</v>
      </c>
      <c r="H5424" s="16" t="s">
        <v>16359</v>
      </c>
      <c r="I5424" s="16" t="s">
        <v>136</v>
      </c>
      <c r="J5424" s="16" t="s">
        <v>16359</v>
      </c>
      <c r="K5424" s="32" t="n">
        <v>1</v>
      </c>
      <c r="L5424" s="33" t="n">
        <v>46079</v>
      </c>
      <c r="M5424" s="33" t="n">
        <v>46079</v>
      </c>
      <c r="N5424" s="16" t="s">
        <v>16374</v>
      </c>
      <c r="O5424" s="16"/>
      <c r="P5424" s="16" t="str">
        <f aca="false">IF(AND(L5424&lt;=$D$2,M5424&gt;=$C$2),"Sí","")</f>
        <v/>
      </c>
      <c r="Q5424" s="18" t="str">
        <f aca="false">IF(COUNTIF(LOOKAHEAD!$A$5:$A$604,A5424)&gt;0,"En Lookahead",IF(P5424="Sí","INCORPORAR",""))</f>
        <v/>
      </c>
    </row>
    <row r="5425" customFormat="false" ht="15" hidden="false" customHeight="false" outlineLevel="0" collapsed="false">
      <c r="A5425" s="16" t="s">
        <v>16375</v>
      </c>
      <c r="B5425" s="16" t="n">
        <v>5420</v>
      </c>
      <c r="C5425" s="16" t="s">
        <v>16376</v>
      </c>
      <c r="D5425" s="16" t="n">
        <v>5</v>
      </c>
      <c r="E5425" s="21" t="s">
        <v>16377</v>
      </c>
      <c r="F5425" s="16" t="s">
        <v>1285</v>
      </c>
      <c r="G5425" s="16" t="s">
        <v>1169</v>
      </c>
      <c r="H5425" s="16" t="s">
        <v>16359</v>
      </c>
      <c r="I5425" s="16" t="s">
        <v>136</v>
      </c>
      <c r="J5425" s="16" t="s">
        <v>16359</v>
      </c>
      <c r="K5425" s="32" t="n">
        <v>1</v>
      </c>
      <c r="L5425" s="33" t="n">
        <v>46080</v>
      </c>
      <c r="M5425" s="33" t="n">
        <v>46080</v>
      </c>
      <c r="N5425" s="16" t="s">
        <v>16378</v>
      </c>
      <c r="O5425" s="16"/>
      <c r="P5425" s="16" t="str">
        <f aca="false">IF(AND(L5425&lt;=$D$2,M5425&gt;=$C$2),"Sí","")</f>
        <v/>
      </c>
      <c r="Q5425" s="18" t="str">
        <f aca="false">IF(COUNTIF(LOOKAHEAD!$A$5:$A$604,A5425)&gt;0,"En Lookahead",IF(P5425="Sí","INCORPORAR",""))</f>
        <v/>
      </c>
    </row>
    <row r="5426" customFormat="false" ht="15" hidden="false" customHeight="false" outlineLevel="0" collapsed="false">
      <c r="A5426" s="16" t="s">
        <v>16379</v>
      </c>
      <c r="B5426" s="16" t="n">
        <v>5421</v>
      </c>
      <c r="C5426" s="16" t="s">
        <v>16380</v>
      </c>
      <c r="D5426" s="16" t="n">
        <v>5</v>
      </c>
      <c r="E5426" s="21" t="s">
        <v>16381</v>
      </c>
      <c r="F5426" s="16" t="s">
        <v>1285</v>
      </c>
      <c r="G5426" s="16" t="s">
        <v>1169</v>
      </c>
      <c r="H5426" s="16" t="s">
        <v>16359</v>
      </c>
      <c r="I5426" s="16" t="s">
        <v>136</v>
      </c>
      <c r="J5426" s="16" t="s">
        <v>16359</v>
      </c>
      <c r="K5426" s="32" t="n">
        <v>6</v>
      </c>
      <c r="L5426" s="33" t="n">
        <v>46081</v>
      </c>
      <c r="M5426" s="33" t="n">
        <v>46086</v>
      </c>
      <c r="N5426" s="16" t="s">
        <v>16382</v>
      </c>
      <c r="O5426" s="16"/>
      <c r="P5426" s="16" t="str">
        <f aca="false">IF(AND(L5426&lt;=$D$2,M5426&gt;=$C$2),"Sí","")</f>
        <v/>
      </c>
      <c r="Q5426" s="18" t="str">
        <f aca="false">IF(COUNTIF(LOOKAHEAD!$A$5:$A$604,A5426)&gt;0,"En Lookahead",IF(P5426="Sí","INCORPORAR",""))</f>
        <v/>
      </c>
    </row>
    <row r="5427" customFormat="false" ht="15" hidden="false" customHeight="false" outlineLevel="0" collapsed="false">
      <c r="A5427" s="16" t="s">
        <v>16383</v>
      </c>
      <c r="B5427" s="16" t="n">
        <v>5422</v>
      </c>
      <c r="C5427" s="16" t="s">
        <v>16384</v>
      </c>
      <c r="D5427" s="16" t="n">
        <v>5</v>
      </c>
      <c r="E5427" s="21" t="s">
        <v>16385</v>
      </c>
      <c r="F5427" s="16" t="s">
        <v>1285</v>
      </c>
      <c r="G5427" s="16" t="s">
        <v>1169</v>
      </c>
      <c r="H5427" s="16" t="s">
        <v>16359</v>
      </c>
      <c r="I5427" s="16" t="s">
        <v>136</v>
      </c>
      <c r="J5427" s="16" t="s">
        <v>16359</v>
      </c>
      <c r="K5427" s="32" t="n">
        <v>1</v>
      </c>
      <c r="L5427" s="33" t="n">
        <v>46087</v>
      </c>
      <c r="M5427" s="33" t="n">
        <v>46087</v>
      </c>
      <c r="N5427" s="16" t="s">
        <v>16386</v>
      </c>
      <c r="O5427" s="16"/>
      <c r="P5427" s="16" t="str">
        <f aca="false">IF(AND(L5427&lt;=$D$2,M5427&gt;=$C$2),"Sí","")</f>
        <v/>
      </c>
      <c r="Q5427" s="18" t="str">
        <f aca="false">IF(COUNTIF(LOOKAHEAD!$A$5:$A$604,A5427)&gt;0,"En Lookahead",IF(P5427="Sí","INCORPORAR",""))</f>
        <v/>
      </c>
    </row>
    <row r="5428" customFormat="false" ht="15" hidden="false" customHeight="false" outlineLevel="0" collapsed="false">
      <c r="A5428" s="16" t="s">
        <v>16387</v>
      </c>
      <c r="B5428" s="16" t="n">
        <v>5423</v>
      </c>
      <c r="C5428" s="16" t="s">
        <v>16388</v>
      </c>
      <c r="D5428" s="16" t="n">
        <v>5</v>
      </c>
      <c r="E5428" s="21" t="s">
        <v>16389</v>
      </c>
      <c r="F5428" s="16" t="s">
        <v>1285</v>
      </c>
      <c r="G5428" s="16" t="s">
        <v>1169</v>
      </c>
      <c r="H5428" s="16" t="s">
        <v>16359</v>
      </c>
      <c r="I5428" s="16" t="s">
        <v>136</v>
      </c>
      <c r="J5428" s="16" t="s">
        <v>16359</v>
      </c>
      <c r="K5428" s="32" t="n">
        <v>1</v>
      </c>
      <c r="L5428" s="33" t="n">
        <v>46088</v>
      </c>
      <c r="M5428" s="33" t="n">
        <v>46088</v>
      </c>
      <c r="N5428" s="16" t="s">
        <v>16390</v>
      </c>
      <c r="O5428" s="16"/>
      <c r="P5428" s="16" t="str">
        <f aca="false">IF(AND(L5428&lt;=$D$2,M5428&gt;=$C$2),"Sí","")</f>
        <v/>
      </c>
      <c r="Q5428" s="18" t="str">
        <f aca="false">IF(COUNTIF(LOOKAHEAD!$A$5:$A$604,A5428)&gt;0,"En Lookahead",IF(P5428="Sí","INCORPORAR",""))</f>
        <v/>
      </c>
    </row>
    <row r="5429" customFormat="false" ht="15" hidden="false" customHeight="false" outlineLevel="0" collapsed="false">
      <c r="A5429" s="16" t="s">
        <v>16391</v>
      </c>
      <c r="B5429" s="16" t="n">
        <v>5424</v>
      </c>
      <c r="C5429" s="16" t="s">
        <v>16392</v>
      </c>
      <c r="D5429" s="16" t="n">
        <v>5</v>
      </c>
      <c r="E5429" s="21" t="s">
        <v>16393</v>
      </c>
      <c r="F5429" s="16" t="s">
        <v>1285</v>
      </c>
      <c r="G5429" s="16" t="s">
        <v>1169</v>
      </c>
      <c r="H5429" s="16" t="s">
        <v>16359</v>
      </c>
      <c r="I5429" s="16" t="s">
        <v>136</v>
      </c>
      <c r="J5429" s="16" t="s">
        <v>16359</v>
      </c>
      <c r="K5429" s="32" t="n">
        <v>1</v>
      </c>
      <c r="L5429" s="33" t="n">
        <v>46089</v>
      </c>
      <c r="M5429" s="33" t="n">
        <v>46089</v>
      </c>
      <c r="N5429" s="16" t="s">
        <v>16394</v>
      </c>
      <c r="O5429" s="16"/>
      <c r="P5429" s="16" t="str">
        <f aca="false">IF(AND(L5429&lt;=$D$2,M5429&gt;=$C$2),"Sí","")</f>
        <v/>
      </c>
      <c r="Q5429" s="18" t="str">
        <f aca="false">IF(COUNTIF(LOOKAHEAD!$A$5:$A$604,A5429)&gt;0,"En Lookahead",IF(P5429="Sí","INCORPORAR",""))</f>
        <v/>
      </c>
    </row>
    <row r="5430" customFormat="false" ht="15" hidden="false" customHeight="false" outlineLevel="0" collapsed="false">
      <c r="A5430" s="16" t="s">
        <v>16395</v>
      </c>
      <c r="B5430" s="16" t="n">
        <v>5425</v>
      </c>
      <c r="C5430" s="16" t="s">
        <v>16396</v>
      </c>
      <c r="D5430" s="16" t="n">
        <v>5</v>
      </c>
      <c r="E5430" s="21" t="s">
        <v>16397</v>
      </c>
      <c r="F5430" s="16" t="s">
        <v>1285</v>
      </c>
      <c r="G5430" s="16" t="s">
        <v>1169</v>
      </c>
      <c r="H5430" s="16" t="s">
        <v>16359</v>
      </c>
      <c r="I5430" s="16" t="s">
        <v>136</v>
      </c>
      <c r="J5430" s="16" t="s">
        <v>16359</v>
      </c>
      <c r="K5430" s="32" t="n">
        <v>1</v>
      </c>
      <c r="L5430" s="33" t="n">
        <v>46090</v>
      </c>
      <c r="M5430" s="33" t="n">
        <v>46090</v>
      </c>
      <c r="N5430" s="16" t="s">
        <v>16398</v>
      </c>
      <c r="O5430" s="16"/>
      <c r="P5430" s="16" t="str">
        <f aca="false">IF(AND(L5430&lt;=$D$2,M5430&gt;=$C$2),"Sí","")</f>
        <v/>
      </c>
      <c r="Q5430" s="18" t="str">
        <f aca="false">IF(COUNTIF(LOOKAHEAD!$A$5:$A$604,A5430)&gt;0,"En Lookahead",IF(P5430="Sí","INCORPORAR",""))</f>
        <v/>
      </c>
    </row>
    <row r="5431" customFormat="false" ht="15" hidden="false" customHeight="false" outlineLevel="0" collapsed="false">
      <c r="A5431" s="16" t="s">
        <v>16399</v>
      </c>
      <c r="B5431" s="16" t="n">
        <v>5426</v>
      </c>
      <c r="C5431" s="16" t="s">
        <v>16400</v>
      </c>
      <c r="D5431" s="16" t="n">
        <v>5</v>
      </c>
      <c r="E5431" s="21" t="s">
        <v>16401</v>
      </c>
      <c r="F5431" s="16" t="s">
        <v>1285</v>
      </c>
      <c r="G5431" s="16" t="s">
        <v>1169</v>
      </c>
      <c r="H5431" s="16" t="s">
        <v>16359</v>
      </c>
      <c r="I5431" s="16" t="s">
        <v>136</v>
      </c>
      <c r="J5431" s="16" t="s">
        <v>16359</v>
      </c>
      <c r="K5431" s="32" t="n">
        <v>1</v>
      </c>
      <c r="L5431" s="33" t="n">
        <v>46091</v>
      </c>
      <c r="M5431" s="33" t="n">
        <v>46091</v>
      </c>
      <c r="N5431" s="16" t="s">
        <v>16402</v>
      </c>
      <c r="O5431" s="16"/>
      <c r="P5431" s="16" t="str">
        <f aca="false">IF(AND(L5431&lt;=$D$2,M5431&gt;=$C$2),"Sí","")</f>
        <v/>
      </c>
      <c r="Q5431" s="18" t="str">
        <f aca="false">IF(COUNTIF(LOOKAHEAD!$A$5:$A$604,A5431)&gt;0,"En Lookahead",IF(P5431="Sí","INCORPORAR",""))</f>
        <v/>
      </c>
    </row>
    <row r="5432" customFormat="false" ht="15" hidden="false" customHeight="false" outlineLevel="0" collapsed="false">
      <c r="A5432" s="16" t="s">
        <v>16403</v>
      </c>
      <c r="B5432" s="16" t="n">
        <v>5427</v>
      </c>
      <c r="C5432" s="16" t="s">
        <v>16404</v>
      </c>
      <c r="D5432" s="16" t="n">
        <v>5</v>
      </c>
      <c r="E5432" s="21" t="s">
        <v>16405</v>
      </c>
      <c r="F5432" s="16" t="s">
        <v>1285</v>
      </c>
      <c r="G5432" s="16" t="s">
        <v>1169</v>
      </c>
      <c r="H5432" s="16" t="s">
        <v>16359</v>
      </c>
      <c r="I5432" s="16" t="s">
        <v>136</v>
      </c>
      <c r="J5432" s="16" t="s">
        <v>16359</v>
      </c>
      <c r="K5432" s="32" t="n">
        <v>3</v>
      </c>
      <c r="L5432" s="33" t="n">
        <v>46067</v>
      </c>
      <c r="M5432" s="33" t="n">
        <v>46069</v>
      </c>
      <c r="N5432" s="16" t="s">
        <v>16406</v>
      </c>
      <c r="O5432" s="16"/>
      <c r="P5432" s="16" t="str">
        <f aca="false">IF(AND(L5432&lt;=$D$2,M5432&gt;=$C$2),"Sí","")</f>
        <v/>
      </c>
      <c r="Q5432" s="18" t="str">
        <f aca="false">IF(COUNTIF(LOOKAHEAD!$A$5:$A$604,A5432)&gt;0,"En Lookahead",IF(P5432="Sí","INCORPORAR",""))</f>
        <v/>
      </c>
    </row>
    <row r="5433" customFormat="false" ht="15" hidden="false" customHeight="false" outlineLevel="0" collapsed="false">
      <c r="A5433" s="16" t="s">
        <v>16407</v>
      </c>
      <c r="B5433" s="16" t="n">
        <v>5428</v>
      </c>
      <c r="C5433" s="16" t="s">
        <v>16408</v>
      </c>
      <c r="D5433" s="16" t="n">
        <v>5</v>
      </c>
      <c r="E5433" s="21" t="s">
        <v>16409</v>
      </c>
      <c r="F5433" s="16" t="s">
        <v>1285</v>
      </c>
      <c r="G5433" s="16" t="s">
        <v>1169</v>
      </c>
      <c r="H5433" s="16" t="s">
        <v>16359</v>
      </c>
      <c r="I5433" s="16" t="s">
        <v>136</v>
      </c>
      <c r="J5433" s="16" t="s">
        <v>16359</v>
      </c>
      <c r="K5433" s="32" t="n">
        <v>1</v>
      </c>
      <c r="L5433" s="33" t="n">
        <v>46067</v>
      </c>
      <c r="M5433" s="33" t="n">
        <v>46067</v>
      </c>
      <c r="N5433" s="16" t="s">
        <v>16406</v>
      </c>
      <c r="O5433" s="16"/>
      <c r="P5433" s="16" t="str">
        <f aca="false">IF(AND(L5433&lt;=$D$2,M5433&gt;=$C$2),"Sí","")</f>
        <v/>
      </c>
      <c r="Q5433" s="18" t="str">
        <f aca="false">IF(COUNTIF(LOOKAHEAD!$A$5:$A$604,A5433)&gt;0,"En Lookahead",IF(P5433="Sí","INCORPORAR",""))</f>
        <v/>
      </c>
    </row>
    <row r="5434" customFormat="false" ht="15" hidden="false" customHeight="false" outlineLevel="0" collapsed="false">
      <c r="A5434" s="16" t="s">
        <v>16410</v>
      </c>
      <c r="B5434" s="16" t="n">
        <v>5429</v>
      </c>
      <c r="C5434" s="16" t="s">
        <v>16411</v>
      </c>
      <c r="D5434" s="16" t="n">
        <v>5</v>
      </c>
      <c r="E5434" s="21" t="s">
        <v>16412</v>
      </c>
      <c r="F5434" s="16" t="s">
        <v>1285</v>
      </c>
      <c r="G5434" s="16" t="s">
        <v>1169</v>
      </c>
      <c r="H5434" s="16" t="s">
        <v>16359</v>
      </c>
      <c r="I5434" s="16" t="s">
        <v>136</v>
      </c>
      <c r="J5434" s="16" t="s">
        <v>16359</v>
      </c>
      <c r="K5434" s="32" t="n">
        <v>1</v>
      </c>
      <c r="L5434" s="33" t="n">
        <v>46067</v>
      </c>
      <c r="M5434" s="33" t="n">
        <v>46067</v>
      </c>
      <c r="N5434" s="16" t="s">
        <v>16406</v>
      </c>
      <c r="O5434" s="16"/>
      <c r="P5434" s="16" t="str">
        <f aca="false">IF(AND(L5434&lt;=$D$2,M5434&gt;=$C$2),"Sí","")</f>
        <v/>
      </c>
      <c r="Q5434" s="18" t="str">
        <f aca="false">IF(COUNTIF(LOOKAHEAD!$A$5:$A$604,A5434)&gt;0,"En Lookahead",IF(P5434="Sí","INCORPORAR",""))</f>
        <v/>
      </c>
    </row>
    <row r="5435" customFormat="false" ht="15" hidden="false" customHeight="false" outlineLevel="0" collapsed="false">
      <c r="A5435" s="16" t="s">
        <v>16413</v>
      </c>
      <c r="B5435" s="16" t="n">
        <v>5430</v>
      </c>
      <c r="C5435" s="16" t="s">
        <v>16414</v>
      </c>
      <c r="D5435" s="16" t="n">
        <v>5</v>
      </c>
      <c r="E5435" s="21" t="s">
        <v>16415</v>
      </c>
      <c r="F5435" s="16" t="s">
        <v>1285</v>
      </c>
      <c r="G5435" s="16" t="s">
        <v>1169</v>
      </c>
      <c r="H5435" s="16" t="s">
        <v>16359</v>
      </c>
      <c r="I5435" s="16" t="s">
        <v>136</v>
      </c>
      <c r="J5435" s="16" t="s">
        <v>16359</v>
      </c>
      <c r="K5435" s="32" t="n">
        <v>6</v>
      </c>
      <c r="L5435" s="33" t="n">
        <v>46067</v>
      </c>
      <c r="M5435" s="33" t="n">
        <v>46072</v>
      </c>
      <c r="N5435" s="16" t="s">
        <v>16406</v>
      </c>
      <c r="O5435" s="16"/>
      <c r="P5435" s="16" t="str">
        <f aca="false">IF(AND(L5435&lt;=$D$2,M5435&gt;=$C$2),"Sí","")</f>
        <v/>
      </c>
      <c r="Q5435" s="18" t="str">
        <f aca="false">IF(COUNTIF(LOOKAHEAD!$A$5:$A$604,A5435)&gt;0,"En Lookahead",IF(P5435="Sí","INCORPORAR",""))</f>
        <v/>
      </c>
    </row>
    <row r="5436" customFormat="false" ht="15" hidden="false" customHeight="false" outlineLevel="0" collapsed="false">
      <c r="A5436" s="16" t="s">
        <v>16416</v>
      </c>
      <c r="B5436" s="16" t="n">
        <v>5431</v>
      </c>
      <c r="C5436" s="16" t="s">
        <v>16417</v>
      </c>
      <c r="D5436" s="16" t="n">
        <v>5</v>
      </c>
      <c r="E5436" s="21" t="s">
        <v>16418</v>
      </c>
      <c r="F5436" s="16" t="s">
        <v>1285</v>
      </c>
      <c r="G5436" s="16" t="s">
        <v>1169</v>
      </c>
      <c r="H5436" s="16" t="s">
        <v>16359</v>
      </c>
      <c r="I5436" s="16" t="s">
        <v>136</v>
      </c>
      <c r="J5436" s="16" t="s">
        <v>16359</v>
      </c>
      <c r="K5436" s="32" t="n">
        <v>1</v>
      </c>
      <c r="L5436" s="33" t="n">
        <v>46067</v>
      </c>
      <c r="M5436" s="33" t="n">
        <v>46067</v>
      </c>
      <c r="N5436" s="16" t="s">
        <v>16406</v>
      </c>
      <c r="O5436" s="16"/>
      <c r="P5436" s="16" t="str">
        <f aca="false">IF(AND(L5436&lt;=$D$2,M5436&gt;=$C$2),"Sí","")</f>
        <v/>
      </c>
      <c r="Q5436" s="18" t="str">
        <f aca="false">IF(COUNTIF(LOOKAHEAD!$A$5:$A$604,A5436)&gt;0,"En Lookahead",IF(P5436="Sí","INCORPORAR",""))</f>
        <v/>
      </c>
    </row>
    <row r="5437" customFormat="false" ht="15" hidden="false" customHeight="false" outlineLevel="0" collapsed="false">
      <c r="A5437" s="16" t="s">
        <v>16419</v>
      </c>
      <c r="B5437" s="16" t="n">
        <v>5432</v>
      </c>
      <c r="C5437" s="16" t="s">
        <v>16420</v>
      </c>
      <c r="D5437" s="16" t="n">
        <v>5</v>
      </c>
      <c r="E5437" s="21" t="s">
        <v>16421</v>
      </c>
      <c r="F5437" s="16" t="s">
        <v>1285</v>
      </c>
      <c r="G5437" s="16" t="s">
        <v>1169</v>
      </c>
      <c r="H5437" s="16" t="s">
        <v>16359</v>
      </c>
      <c r="I5437" s="16" t="s">
        <v>136</v>
      </c>
      <c r="J5437" s="16" t="s">
        <v>16359</v>
      </c>
      <c r="K5437" s="32" t="n">
        <v>1</v>
      </c>
      <c r="L5437" s="33" t="n">
        <v>46067</v>
      </c>
      <c r="M5437" s="33" t="n">
        <v>46067</v>
      </c>
      <c r="N5437" s="16" t="s">
        <v>16406</v>
      </c>
      <c r="O5437" s="16"/>
      <c r="P5437" s="16" t="str">
        <f aca="false">IF(AND(L5437&lt;=$D$2,M5437&gt;=$C$2),"Sí","")</f>
        <v/>
      </c>
      <c r="Q5437" s="18" t="str">
        <f aca="false">IF(COUNTIF(LOOKAHEAD!$A$5:$A$604,A5437)&gt;0,"En Lookahead",IF(P5437="Sí","INCORPORAR",""))</f>
        <v/>
      </c>
    </row>
    <row r="5438" customFormat="false" ht="15" hidden="false" customHeight="false" outlineLevel="0" collapsed="false">
      <c r="A5438" s="16" t="s">
        <v>16422</v>
      </c>
      <c r="B5438" s="16" t="n">
        <v>5433</v>
      </c>
      <c r="C5438" s="16" t="s">
        <v>16423</v>
      </c>
      <c r="D5438" s="16" t="n">
        <v>5</v>
      </c>
      <c r="E5438" s="21" t="s">
        <v>16424</v>
      </c>
      <c r="F5438" s="16" t="s">
        <v>1285</v>
      </c>
      <c r="G5438" s="16" t="s">
        <v>1169</v>
      </c>
      <c r="H5438" s="16" t="s">
        <v>16359</v>
      </c>
      <c r="I5438" s="16" t="s">
        <v>136</v>
      </c>
      <c r="J5438" s="16" t="s">
        <v>16359</v>
      </c>
      <c r="K5438" s="32" t="n">
        <v>1</v>
      </c>
      <c r="L5438" s="33" t="n">
        <v>46067</v>
      </c>
      <c r="M5438" s="33" t="n">
        <v>46067</v>
      </c>
      <c r="N5438" s="16" t="s">
        <v>16406</v>
      </c>
      <c r="O5438" s="16"/>
      <c r="P5438" s="16" t="str">
        <f aca="false">IF(AND(L5438&lt;=$D$2,M5438&gt;=$C$2),"Sí","")</f>
        <v/>
      </c>
      <c r="Q5438" s="18" t="str">
        <f aca="false">IF(COUNTIF(LOOKAHEAD!$A$5:$A$604,A5438)&gt;0,"En Lookahead",IF(P5438="Sí","INCORPORAR",""))</f>
        <v/>
      </c>
    </row>
    <row r="5439" customFormat="false" ht="15" hidden="false" customHeight="false" outlineLevel="0" collapsed="false">
      <c r="A5439" s="16" t="s">
        <v>16425</v>
      </c>
      <c r="B5439" s="16" t="n">
        <v>5434</v>
      </c>
      <c r="C5439" s="16" t="s">
        <v>16426</v>
      </c>
      <c r="D5439" s="16" t="n">
        <v>5</v>
      </c>
      <c r="E5439" s="21" t="s">
        <v>16427</v>
      </c>
      <c r="F5439" s="16" t="s">
        <v>1285</v>
      </c>
      <c r="G5439" s="16" t="s">
        <v>1169</v>
      </c>
      <c r="H5439" s="16" t="s">
        <v>16359</v>
      </c>
      <c r="I5439" s="16" t="s">
        <v>136</v>
      </c>
      <c r="J5439" s="16" t="s">
        <v>16359</v>
      </c>
      <c r="K5439" s="32" t="n">
        <v>1</v>
      </c>
      <c r="L5439" s="33" t="n">
        <v>46067</v>
      </c>
      <c r="M5439" s="33" t="n">
        <v>46067</v>
      </c>
      <c r="N5439" s="16" t="s">
        <v>16406</v>
      </c>
      <c r="O5439" s="16"/>
      <c r="P5439" s="16" t="str">
        <f aca="false">IF(AND(L5439&lt;=$D$2,M5439&gt;=$C$2),"Sí","")</f>
        <v/>
      </c>
      <c r="Q5439" s="18" t="str">
        <f aca="false">IF(COUNTIF(LOOKAHEAD!$A$5:$A$604,A5439)&gt;0,"En Lookahead",IF(P5439="Sí","INCORPORAR",""))</f>
        <v/>
      </c>
    </row>
    <row r="5440" customFormat="false" ht="15" hidden="false" customHeight="false" outlineLevel="0" collapsed="false">
      <c r="A5440" s="16" t="s">
        <v>16428</v>
      </c>
      <c r="B5440" s="16" t="n">
        <v>5435</v>
      </c>
      <c r="C5440" s="16" t="s">
        <v>16429</v>
      </c>
      <c r="D5440" s="16" t="n">
        <v>5</v>
      </c>
      <c r="E5440" s="21" t="s">
        <v>16430</v>
      </c>
      <c r="F5440" s="16" t="s">
        <v>1285</v>
      </c>
      <c r="G5440" s="16" t="s">
        <v>1169</v>
      </c>
      <c r="H5440" s="16" t="s">
        <v>16359</v>
      </c>
      <c r="I5440" s="16" t="s">
        <v>136</v>
      </c>
      <c r="J5440" s="16" t="s">
        <v>16359</v>
      </c>
      <c r="K5440" s="32" t="n">
        <v>1</v>
      </c>
      <c r="L5440" s="33" t="n">
        <v>46067</v>
      </c>
      <c r="M5440" s="33" t="n">
        <v>46067</v>
      </c>
      <c r="N5440" s="16" t="s">
        <v>16406</v>
      </c>
      <c r="O5440" s="16"/>
      <c r="P5440" s="16" t="str">
        <f aca="false">IF(AND(L5440&lt;=$D$2,M5440&gt;=$C$2),"Sí","")</f>
        <v/>
      </c>
      <c r="Q5440" s="18" t="str">
        <f aca="false">IF(COUNTIF(LOOKAHEAD!$A$5:$A$604,A5440)&gt;0,"En Lookahead",IF(P5440="Sí","INCORPORAR",""))</f>
        <v/>
      </c>
    </row>
    <row r="5441" customFormat="false" ht="15" hidden="false" customHeight="false" outlineLevel="0" collapsed="false">
      <c r="A5441" s="16" t="s">
        <v>16431</v>
      </c>
      <c r="B5441" s="16" t="n">
        <v>5436</v>
      </c>
      <c r="C5441" s="16" t="s">
        <v>16432</v>
      </c>
      <c r="D5441" s="16" t="n">
        <v>5</v>
      </c>
      <c r="E5441" s="21" t="s">
        <v>16433</v>
      </c>
      <c r="F5441" s="16" t="s">
        <v>1285</v>
      </c>
      <c r="G5441" s="16" t="s">
        <v>1169</v>
      </c>
      <c r="H5441" s="16" t="s">
        <v>16359</v>
      </c>
      <c r="I5441" s="16" t="s">
        <v>136</v>
      </c>
      <c r="J5441" s="16" t="s">
        <v>16359</v>
      </c>
      <c r="K5441" s="32" t="n">
        <v>1</v>
      </c>
      <c r="L5441" s="33" t="n">
        <v>46067</v>
      </c>
      <c r="M5441" s="33" t="n">
        <v>46067</v>
      </c>
      <c r="N5441" s="16" t="s">
        <v>16406</v>
      </c>
      <c r="O5441" s="16"/>
      <c r="P5441" s="16" t="str">
        <f aca="false">IF(AND(L5441&lt;=$D$2,M5441&gt;=$C$2),"Sí","")</f>
        <v/>
      </c>
      <c r="Q5441" s="18" t="str">
        <f aca="false">IF(COUNTIF(LOOKAHEAD!$A$5:$A$604,A5441)&gt;0,"En Lookahead",IF(P5441="Sí","INCORPORAR",""))</f>
        <v/>
      </c>
    </row>
    <row r="5442" customFormat="false" ht="15" hidden="false" customHeight="false" outlineLevel="0" collapsed="false">
      <c r="A5442" s="16" t="s">
        <v>16434</v>
      </c>
      <c r="B5442" s="16" t="n">
        <v>5437</v>
      </c>
      <c r="C5442" s="16" t="s">
        <v>16435</v>
      </c>
      <c r="D5442" s="16" t="n">
        <v>5</v>
      </c>
      <c r="E5442" s="21" t="s">
        <v>16436</v>
      </c>
      <c r="F5442" s="16" t="s">
        <v>1285</v>
      </c>
      <c r="G5442" s="16" t="s">
        <v>1169</v>
      </c>
      <c r="H5442" s="16" t="s">
        <v>16359</v>
      </c>
      <c r="I5442" s="16" t="s">
        <v>136</v>
      </c>
      <c r="J5442" s="16" t="s">
        <v>16359</v>
      </c>
      <c r="K5442" s="32" t="n">
        <v>1</v>
      </c>
      <c r="L5442" s="33" t="n">
        <v>46067</v>
      </c>
      <c r="M5442" s="33" t="n">
        <v>46067</v>
      </c>
      <c r="N5442" s="16" t="s">
        <v>16406</v>
      </c>
      <c r="O5442" s="16"/>
      <c r="P5442" s="16" t="str">
        <f aca="false">IF(AND(L5442&lt;=$D$2,M5442&gt;=$C$2),"Sí","")</f>
        <v/>
      </c>
      <c r="Q5442" s="18" t="str">
        <f aca="false">IF(COUNTIF(LOOKAHEAD!$A$5:$A$604,A5442)&gt;0,"En Lookahead",IF(P5442="Sí","INCORPORAR",""))</f>
        <v/>
      </c>
    </row>
    <row r="5443" customFormat="false" ht="15" hidden="false" customHeight="false" outlineLevel="0" collapsed="false">
      <c r="A5443" s="16" t="s">
        <v>16437</v>
      </c>
      <c r="B5443" s="16" t="n">
        <v>5438</v>
      </c>
      <c r="C5443" s="16" t="s">
        <v>16438</v>
      </c>
      <c r="D5443" s="16" t="n">
        <v>5</v>
      </c>
      <c r="E5443" s="21" t="s">
        <v>16439</v>
      </c>
      <c r="F5443" s="16" t="s">
        <v>1285</v>
      </c>
      <c r="G5443" s="16" t="s">
        <v>1169</v>
      </c>
      <c r="H5443" s="16" t="s">
        <v>16359</v>
      </c>
      <c r="I5443" s="16" t="s">
        <v>136</v>
      </c>
      <c r="J5443" s="16" t="s">
        <v>16359</v>
      </c>
      <c r="K5443" s="32" t="n">
        <v>1</v>
      </c>
      <c r="L5443" s="33" t="n">
        <v>46067</v>
      </c>
      <c r="M5443" s="33" t="n">
        <v>46067</v>
      </c>
      <c r="N5443" s="16" t="s">
        <v>16406</v>
      </c>
      <c r="O5443" s="16"/>
      <c r="P5443" s="16" t="str">
        <f aca="false">IF(AND(L5443&lt;=$D$2,M5443&gt;=$C$2),"Sí","")</f>
        <v/>
      </c>
      <c r="Q5443" s="18" t="str">
        <f aca="false">IF(COUNTIF(LOOKAHEAD!$A$5:$A$604,A5443)&gt;0,"En Lookahead",IF(P5443="Sí","INCORPORAR",""))</f>
        <v/>
      </c>
    </row>
    <row r="5444" customFormat="false" ht="15" hidden="false" customHeight="false" outlineLevel="0" collapsed="false">
      <c r="A5444" s="16" t="s">
        <v>16440</v>
      </c>
      <c r="B5444" s="16" t="n">
        <v>5439</v>
      </c>
      <c r="C5444" s="16" t="s">
        <v>16441</v>
      </c>
      <c r="D5444" s="16" t="n">
        <v>5</v>
      </c>
      <c r="E5444" s="21" t="s">
        <v>16442</v>
      </c>
      <c r="F5444" s="16" t="s">
        <v>1285</v>
      </c>
      <c r="G5444" s="16" t="s">
        <v>1169</v>
      </c>
      <c r="H5444" s="16" t="s">
        <v>16359</v>
      </c>
      <c r="I5444" s="16" t="s">
        <v>136</v>
      </c>
      <c r="J5444" s="16" t="s">
        <v>16359</v>
      </c>
      <c r="K5444" s="32" t="n">
        <v>1</v>
      </c>
      <c r="L5444" s="33" t="n">
        <v>46067</v>
      </c>
      <c r="M5444" s="33" t="n">
        <v>46067</v>
      </c>
      <c r="N5444" s="16" t="s">
        <v>16406</v>
      </c>
      <c r="O5444" s="16"/>
      <c r="P5444" s="16" t="str">
        <f aca="false">IF(AND(L5444&lt;=$D$2,M5444&gt;=$C$2),"Sí","")</f>
        <v/>
      </c>
      <c r="Q5444" s="18" t="str">
        <f aca="false">IF(COUNTIF(LOOKAHEAD!$A$5:$A$604,A5444)&gt;0,"En Lookahead",IF(P5444="Sí","INCORPORAR",""))</f>
        <v/>
      </c>
    </row>
    <row r="5445" customFormat="false" ht="15" hidden="false" customHeight="false" outlineLevel="0" collapsed="false">
      <c r="A5445" s="16" t="s">
        <v>16443</v>
      </c>
      <c r="B5445" s="16" t="n">
        <v>5440</v>
      </c>
      <c r="C5445" s="16" t="s">
        <v>16444</v>
      </c>
      <c r="D5445" s="16" t="n">
        <v>5</v>
      </c>
      <c r="E5445" s="21" t="s">
        <v>16445</v>
      </c>
      <c r="F5445" s="16" t="s">
        <v>1285</v>
      </c>
      <c r="G5445" s="16" t="s">
        <v>1169</v>
      </c>
      <c r="H5445" s="16" t="s">
        <v>16359</v>
      </c>
      <c r="I5445" s="16" t="s">
        <v>136</v>
      </c>
      <c r="J5445" s="16" t="s">
        <v>16359</v>
      </c>
      <c r="K5445" s="32" t="n">
        <v>1</v>
      </c>
      <c r="L5445" s="33" t="n">
        <v>46067</v>
      </c>
      <c r="M5445" s="33" t="n">
        <v>46067</v>
      </c>
      <c r="N5445" s="16" t="s">
        <v>16406</v>
      </c>
      <c r="O5445" s="16"/>
      <c r="P5445" s="16" t="str">
        <f aca="false">IF(AND(L5445&lt;=$D$2,M5445&gt;=$C$2),"Sí","")</f>
        <v/>
      </c>
      <c r="Q5445" s="18" t="str">
        <f aca="false">IF(COUNTIF(LOOKAHEAD!$A$5:$A$604,A5445)&gt;0,"En Lookahead",IF(P5445="Sí","INCORPORAR",""))</f>
        <v/>
      </c>
    </row>
    <row r="5446" customFormat="false" ht="15" hidden="false" customHeight="false" outlineLevel="0" collapsed="false">
      <c r="A5446" s="16" t="s">
        <v>16446</v>
      </c>
      <c r="B5446" s="16" t="n">
        <v>5441</v>
      </c>
      <c r="C5446" s="16" t="s">
        <v>16447</v>
      </c>
      <c r="D5446" s="16" t="n">
        <v>5</v>
      </c>
      <c r="E5446" s="21" t="s">
        <v>16448</v>
      </c>
      <c r="F5446" s="16" t="s">
        <v>1285</v>
      </c>
      <c r="G5446" s="16" t="s">
        <v>1169</v>
      </c>
      <c r="H5446" s="16" t="s">
        <v>16359</v>
      </c>
      <c r="I5446" s="16" t="s">
        <v>136</v>
      </c>
      <c r="J5446" s="16" t="s">
        <v>16359</v>
      </c>
      <c r="K5446" s="32" t="n">
        <v>1</v>
      </c>
      <c r="L5446" s="33" t="n">
        <v>46067</v>
      </c>
      <c r="M5446" s="33" t="n">
        <v>46067</v>
      </c>
      <c r="N5446" s="16" t="s">
        <v>16406</v>
      </c>
      <c r="O5446" s="16"/>
      <c r="P5446" s="16" t="str">
        <f aca="false">IF(AND(L5446&lt;=$D$2,M5446&gt;=$C$2),"Sí","")</f>
        <v/>
      </c>
      <c r="Q5446" s="18" t="str">
        <f aca="false">IF(COUNTIF(LOOKAHEAD!$A$5:$A$604,A5446)&gt;0,"En Lookahead",IF(P5446="Sí","INCORPORAR",""))</f>
        <v/>
      </c>
    </row>
    <row r="5447" customFormat="false" ht="15" hidden="false" customHeight="false" outlineLevel="0" collapsed="false">
      <c r="A5447" s="13" t="s">
        <v>16449</v>
      </c>
      <c r="B5447" s="13" t="n">
        <v>5442</v>
      </c>
      <c r="C5447" s="13" t="s">
        <v>16450</v>
      </c>
      <c r="D5447" s="13" t="n">
        <v>4</v>
      </c>
      <c r="E5447" s="20" t="s">
        <v>16451</v>
      </c>
      <c r="F5447" s="13" t="s">
        <v>1298</v>
      </c>
      <c r="G5447" s="13" t="s">
        <v>1169</v>
      </c>
      <c r="H5447" s="13" t="s">
        <v>16451</v>
      </c>
      <c r="I5447" s="13" t="s">
        <v>136</v>
      </c>
      <c r="J5447" s="13" t="s">
        <v>16322</v>
      </c>
      <c r="K5447" s="30" t="n">
        <v>173</v>
      </c>
      <c r="L5447" s="31" t="n">
        <v>46092</v>
      </c>
      <c r="M5447" s="31" t="n">
        <v>46344</v>
      </c>
      <c r="N5447" s="13"/>
      <c r="O5447" s="13"/>
      <c r="P5447" s="13"/>
      <c r="Q5447" s="13"/>
    </row>
    <row r="5448" customFormat="false" ht="15" hidden="false" customHeight="false" outlineLevel="0" collapsed="false">
      <c r="A5448" s="13" t="s">
        <v>16452</v>
      </c>
      <c r="B5448" s="13" t="n">
        <v>5443</v>
      </c>
      <c r="C5448" s="13" t="s">
        <v>16453</v>
      </c>
      <c r="D5448" s="13" t="n">
        <v>5</v>
      </c>
      <c r="E5448" s="34" t="s">
        <v>16454</v>
      </c>
      <c r="F5448" s="13" t="s">
        <v>1298</v>
      </c>
      <c r="G5448" s="13" t="s">
        <v>1169</v>
      </c>
      <c r="H5448" s="13" t="s">
        <v>16451</v>
      </c>
      <c r="I5448" s="13" t="s">
        <v>136</v>
      </c>
      <c r="J5448" s="13" t="s">
        <v>16451</v>
      </c>
      <c r="K5448" s="30" t="n">
        <v>13</v>
      </c>
      <c r="L5448" s="31" t="n">
        <v>46092</v>
      </c>
      <c r="M5448" s="31" t="n">
        <v>46104</v>
      </c>
      <c r="N5448" s="13"/>
      <c r="O5448" s="13"/>
      <c r="P5448" s="13"/>
      <c r="Q5448" s="13"/>
    </row>
    <row r="5449" customFormat="false" ht="15" hidden="false" customHeight="false" outlineLevel="0" collapsed="false">
      <c r="A5449" s="16" t="s">
        <v>16455</v>
      </c>
      <c r="B5449" s="16" t="n">
        <v>5444</v>
      </c>
      <c r="C5449" s="16" t="s">
        <v>16456</v>
      </c>
      <c r="D5449" s="16" t="n">
        <v>6</v>
      </c>
      <c r="E5449" s="35" t="s">
        <v>16457</v>
      </c>
      <c r="F5449" s="16" t="s">
        <v>1285</v>
      </c>
      <c r="G5449" s="16" t="s">
        <v>1169</v>
      </c>
      <c r="H5449" s="16" t="s">
        <v>16451</v>
      </c>
      <c r="I5449" s="16" t="s">
        <v>136</v>
      </c>
      <c r="J5449" s="16" t="s">
        <v>16454</v>
      </c>
      <c r="K5449" s="32" t="n">
        <v>3</v>
      </c>
      <c r="L5449" s="33" t="n">
        <v>46092</v>
      </c>
      <c r="M5449" s="33" t="n">
        <v>46094</v>
      </c>
      <c r="N5449" s="16" t="s">
        <v>16458</v>
      </c>
      <c r="O5449" s="16"/>
      <c r="P5449" s="16" t="str">
        <f aca="false">IF(AND(L5449&lt;=$D$2,M5449&gt;=$C$2),"Sí","")</f>
        <v/>
      </c>
      <c r="Q5449" s="18" t="str">
        <f aca="false">IF(COUNTIF(LOOKAHEAD!$A$5:$A$604,A5449)&gt;0,"En Lookahead",IF(P5449="Sí","INCORPORAR",""))</f>
        <v/>
      </c>
    </row>
    <row r="5450" customFormat="false" ht="15" hidden="false" customHeight="false" outlineLevel="0" collapsed="false">
      <c r="A5450" s="16" t="s">
        <v>16459</v>
      </c>
      <c r="B5450" s="16" t="n">
        <v>5445</v>
      </c>
      <c r="C5450" s="16" t="s">
        <v>16460</v>
      </c>
      <c r="D5450" s="16" t="n">
        <v>6</v>
      </c>
      <c r="E5450" s="35" t="s">
        <v>16461</v>
      </c>
      <c r="F5450" s="16" t="s">
        <v>1285</v>
      </c>
      <c r="G5450" s="16" t="s">
        <v>1169</v>
      </c>
      <c r="H5450" s="16" t="s">
        <v>16451</v>
      </c>
      <c r="I5450" s="16" t="s">
        <v>136</v>
      </c>
      <c r="J5450" s="16" t="s">
        <v>16454</v>
      </c>
      <c r="K5450" s="32" t="n">
        <v>2</v>
      </c>
      <c r="L5450" s="33" t="n">
        <v>46095</v>
      </c>
      <c r="M5450" s="33" t="n">
        <v>46096</v>
      </c>
      <c r="N5450" s="16" t="s">
        <v>16462</v>
      </c>
      <c r="O5450" s="16"/>
      <c r="P5450" s="16" t="str">
        <f aca="false">IF(AND(L5450&lt;=$D$2,M5450&gt;=$C$2),"Sí","")</f>
        <v/>
      </c>
      <c r="Q5450" s="18" t="str">
        <f aca="false">IF(COUNTIF(LOOKAHEAD!$A$5:$A$604,A5450)&gt;0,"En Lookahead",IF(P5450="Sí","INCORPORAR",""))</f>
        <v/>
      </c>
    </row>
    <row r="5451" customFormat="false" ht="15" hidden="false" customHeight="false" outlineLevel="0" collapsed="false">
      <c r="A5451" s="16" t="s">
        <v>16463</v>
      </c>
      <c r="B5451" s="16" t="n">
        <v>5446</v>
      </c>
      <c r="C5451" s="16" t="s">
        <v>16464</v>
      </c>
      <c r="D5451" s="16" t="n">
        <v>6</v>
      </c>
      <c r="E5451" s="35" t="s">
        <v>16465</v>
      </c>
      <c r="F5451" s="16" t="s">
        <v>1285</v>
      </c>
      <c r="G5451" s="16" t="s">
        <v>1169</v>
      </c>
      <c r="H5451" s="16" t="s">
        <v>16451</v>
      </c>
      <c r="I5451" s="16" t="s">
        <v>136</v>
      </c>
      <c r="J5451" s="16" t="s">
        <v>16454</v>
      </c>
      <c r="K5451" s="32" t="n">
        <v>3</v>
      </c>
      <c r="L5451" s="33" t="n">
        <v>46097</v>
      </c>
      <c r="M5451" s="33" t="n">
        <v>46099</v>
      </c>
      <c r="N5451" s="16" t="s">
        <v>16466</v>
      </c>
      <c r="O5451" s="16"/>
      <c r="P5451" s="16" t="str">
        <f aca="false">IF(AND(L5451&lt;=$D$2,M5451&gt;=$C$2),"Sí","")</f>
        <v/>
      </c>
      <c r="Q5451" s="18" t="str">
        <f aca="false">IF(COUNTIF(LOOKAHEAD!$A$5:$A$604,A5451)&gt;0,"En Lookahead",IF(P5451="Sí","INCORPORAR",""))</f>
        <v/>
      </c>
    </row>
    <row r="5452" customFormat="false" ht="15" hidden="false" customHeight="false" outlineLevel="0" collapsed="false">
      <c r="A5452" s="16" t="s">
        <v>16467</v>
      </c>
      <c r="B5452" s="16" t="n">
        <v>5447</v>
      </c>
      <c r="C5452" s="16" t="s">
        <v>16468</v>
      </c>
      <c r="D5452" s="16" t="n">
        <v>6</v>
      </c>
      <c r="E5452" s="35" t="s">
        <v>16469</v>
      </c>
      <c r="F5452" s="16" t="s">
        <v>1285</v>
      </c>
      <c r="G5452" s="16" t="s">
        <v>1169</v>
      </c>
      <c r="H5452" s="16" t="s">
        <v>16451</v>
      </c>
      <c r="I5452" s="16" t="s">
        <v>136</v>
      </c>
      <c r="J5452" s="16" t="s">
        <v>16454</v>
      </c>
      <c r="K5452" s="32" t="n">
        <v>1</v>
      </c>
      <c r="L5452" s="33" t="n">
        <v>46100</v>
      </c>
      <c r="M5452" s="33" t="n">
        <v>46100</v>
      </c>
      <c r="N5452" s="16" t="s">
        <v>16470</v>
      </c>
      <c r="O5452" s="16"/>
      <c r="P5452" s="16" t="str">
        <f aca="false">IF(AND(L5452&lt;=$D$2,M5452&gt;=$C$2),"Sí","")</f>
        <v/>
      </c>
      <c r="Q5452" s="18" t="str">
        <f aca="false">IF(COUNTIF(LOOKAHEAD!$A$5:$A$604,A5452)&gt;0,"En Lookahead",IF(P5452="Sí","INCORPORAR",""))</f>
        <v/>
      </c>
    </row>
    <row r="5453" customFormat="false" ht="15" hidden="false" customHeight="false" outlineLevel="0" collapsed="false">
      <c r="A5453" s="16" t="s">
        <v>16471</v>
      </c>
      <c r="B5453" s="16" t="n">
        <v>5448</v>
      </c>
      <c r="C5453" s="16" t="s">
        <v>16472</v>
      </c>
      <c r="D5453" s="16" t="n">
        <v>6</v>
      </c>
      <c r="E5453" s="35" t="s">
        <v>16473</v>
      </c>
      <c r="F5453" s="16" t="s">
        <v>1285</v>
      </c>
      <c r="G5453" s="16" t="s">
        <v>1169</v>
      </c>
      <c r="H5453" s="16" t="s">
        <v>16451</v>
      </c>
      <c r="I5453" s="16" t="s">
        <v>136</v>
      </c>
      <c r="J5453" s="16" t="s">
        <v>16454</v>
      </c>
      <c r="K5453" s="32" t="n">
        <v>1</v>
      </c>
      <c r="L5453" s="33" t="n">
        <v>46101</v>
      </c>
      <c r="M5453" s="33" t="n">
        <v>46101</v>
      </c>
      <c r="N5453" s="16" t="s">
        <v>16474</v>
      </c>
      <c r="O5453" s="16"/>
      <c r="P5453" s="16" t="str">
        <f aca="false">IF(AND(L5453&lt;=$D$2,M5453&gt;=$C$2),"Sí","")</f>
        <v/>
      </c>
      <c r="Q5453" s="18" t="str">
        <f aca="false">IF(COUNTIF(LOOKAHEAD!$A$5:$A$604,A5453)&gt;0,"En Lookahead",IF(P5453="Sí","INCORPORAR",""))</f>
        <v/>
      </c>
    </row>
    <row r="5454" customFormat="false" ht="15" hidden="false" customHeight="false" outlineLevel="0" collapsed="false">
      <c r="A5454" s="16" t="s">
        <v>16475</v>
      </c>
      <c r="B5454" s="16" t="n">
        <v>5449</v>
      </c>
      <c r="C5454" s="16" t="s">
        <v>16476</v>
      </c>
      <c r="D5454" s="16" t="n">
        <v>6</v>
      </c>
      <c r="E5454" s="35" t="s">
        <v>16477</v>
      </c>
      <c r="F5454" s="16" t="s">
        <v>1285</v>
      </c>
      <c r="G5454" s="16" t="s">
        <v>1169</v>
      </c>
      <c r="H5454" s="16" t="s">
        <v>16451</v>
      </c>
      <c r="I5454" s="16" t="s">
        <v>136</v>
      </c>
      <c r="J5454" s="16" t="s">
        <v>16454</v>
      </c>
      <c r="K5454" s="32" t="n">
        <v>1</v>
      </c>
      <c r="L5454" s="33" t="n">
        <v>46102</v>
      </c>
      <c r="M5454" s="33" t="n">
        <v>46102</v>
      </c>
      <c r="N5454" s="16" t="s">
        <v>16478</v>
      </c>
      <c r="O5454" s="16"/>
      <c r="P5454" s="16" t="str">
        <f aca="false">IF(AND(L5454&lt;=$D$2,M5454&gt;=$C$2),"Sí","")</f>
        <v/>
      </c>
      <c r="Q5454" s="18" t="str">
        <f aca="false">IF(COUNTIF(LOOKAHEAD!$A$5:$A$604,A5454)&gt;0,"En Lookahead",IF(P5454="Sí","INCORPORAR",""))</f>
        <v/>
      </c>
    </row>
    <row r="5455" customFormat="false" ht="15" hidden="false" customHeight="false" outlineLevel="0" collapsed="false">
      <c r="A5455" s="16" t="s">
        <v>16479</v>
      </c>
      <c r="B5455" s="16" t="n">
        <v>5450</v>
      </c>
      <c r="C5455" s="16" t="s">
        <v>16480</v>
      </c>
      <c r="D5455" s="16" t="n">
        <v>6</v>
      </c>
      <c r="E5455" s="35" t="s">
        <v>16481</v>
      </c>
      <c r="F5455" s="16" t="s">
        <v>1285</v>
      </c>
      <c r="G5455" s="16" t="s">
        <v>1169</v>
      </c>
      <c r="H5455" s="16" t="s">
        <v>16451</v>
      </c>
      <c r="I5455" s="16" t="s">
        <v>136</v>
      </c>
      <c r="J5455" s="16" t="s">
        <v>16454</v>
      </c>
      <c r="K5455" s="32" t="n">
        <v>1</v>
      </c>
      <c r="L5455" s="33" t="n">
        <v>46103</v>
      </c>
      <c r="M5455" s="33" t="n">
        <v>46103</v>
      </c>
      <c r="N5455" s="16" t="s">
        <v>16482</v>
      </c>
      <c r="O5455" s="16"/>
      <c r="P5455" s="16" t="str">
        <f aca="false">IF(AND(L5455&lt;=$D$2,M5455&gt;=$C$2),"Sí","")</f>
        <v/>
      </c>
      <c r="Q5455" s="18" t="str">
        <f aca="false">IF(COUNTIF(LOOKAHEAD!$A$5:$A$604,A5455)&gt;0,"En Lookahead",IF(P5455="Sí","INCORPORAR",""))</f>
        <v/>
      </c>
    </row>
    <row r="5456" customFormat="false" ht="15" hidden="false" customHeight="false" outlineLevel="0" collapsed="false">
      <c r="A5456" s="16" t="s">
        <v>16483</v>
      </c>
      <c r="B5456" s="16" t="n">
        <v>5451</v>
      </c>
      <c r="C5456" s="16" t="s">
        <v>16484</v>
      </c>
      <c r="D5456" s="16" t="n">
        <v>6</v>
      </c>
      <c r="E5456" s="35" t="s">
        <v>16485</v>
      </c>
      <c r="F5456" s="16" t="s">
        <v>1285</v>
      </c>
      <c r="G5456" s="16" t="s">
        <v>1169</v>
      </c>
      <c r="H5456" s="16" t="s">
        <v>16451</v>
      </c>
      <c r="I5456" s="16" t="s">
        <v>136</v>
      </c>
      <c r="J5456" s="16" t="s">
        <v>16454</v>
      </c>
      <c r="K5456" s="32" t="n">
        <v>1</v>
      </c>
      <c r="L5456" s="33" t="n">
        <v>46104</v>
      </c>
      <c r="M5456" s="33" t="n">
        <v>46104</v>
      </c>
      <c r="N5456" s="16" t="s">
        <v>16486</v>
      </c>
      <c r="O5456" s="16"/>
      <c r="P5456" s="16" t="str">
        <f aca="false">IF(AND(L5456&lt;=$D$2,M5456&gt;=$C$2),"Sí","")</f>
        <v/>
      </c>
      <c r="Q5456" s="18" t="str">
        <f aca="false">IF(COUNTIF(LOOKAHEAD!$A$5:$A$604,A5456)&gt;0,"En Lookahead",IF(P5456="Sí","INCORPORAR",""))</f>
        <v/>
      </c>
    </row>
    <row r="5457" customFormat="false" ht="15" hidden="false" customHeight="false" outlineLevel="0" collapsed="false">
      <c r="A5457" s="13" t="s">
        <v>16487</v>
      </c>
      <c r="B5457" s="13" t="n">
        <v>5452</v>
      </c>
      <c r="C5457" s="13" t="s">
        <v>16488</v>
      </c>
      <c r="D5457" s="13" t="n">
        <v>5</v>
      </c>
      <c r="E5457" s="34" t="s">
        <v>16489</v>
      </c>
      <c r="F5457" s="13" t="s">
        <v>1298</v>
      </c>
      <c r="G5457" s="13" t="s">
        <v>1169</v>
      </c>
      <c r="H5457" s="13" t="s">
        <v>16451</v>
      </c>
      <c r="I5457" s="13" t="s">
        <v>136</v>
      </c>
      <c r="J5457" s="13" t="s">
        <v>16451</v>
      </c>
      <c r="K5457" s="30" t="n">
        <v>13</v>
      </c>
      <c r="L5457" s="31" t="n">
        <v>46105</v>
      </c>
      <c r="M5457" s="31" t="n">
        <v>46117</v>
      </c>
      <c r="N5457" s="13"/>
      <c r="O5457" s="13"/>
      <c r="P5457" s="13"/>
      <c r="Q5457" s="13"/>
    </row>
    <row r="5458" customFormat="false" ht="15" hidden="false" customHeight="false" outlineLevel="0" collapsed="false">
      <c r="A5458" s="16" t="s">
        <v>16490</v>
      </c>
      <c r="B5458" s="16" t="n">
        <v>5453</v>
      </c>
      <c r="C5458" s="16" t="s">
        <v>16491</v>
      </c>
      <c r="D5458" s="16" t="n">
        <v>6</v>
      </c>
      <c r="E5458" s="35" t="s">
        <v>16492</v>
      </c>
      <c r="F5458" s="16" t="s">
        <v>1285</v>
      </c>
      <c r="G5458" s="16" t="s">
        <v>1169</v>
      </c>
      <c r="H5458" s="16" t="s">
        <v>16451</v>
      </c>
      <c r="I5458" s="16" t="s">
        <v>136</v>
      </c>
      <c r="J5458" s="16" t="s">
        <v>16489</v>
      </c>
      <c r="K5458" s="32" t="n">
        <v>1</v>
      </c>
      <c r="L5458" s="33" t="n">
        <v>46105</v>
      </c>
      <c r="M5458" s="33" t="n">
        <v>46105</v>
      </c>
      <c r="N5458" s="16" t="s">
        <v>16493</v>
      </c>
      <c r="O5458" s="16"/>
      <c r="P5458" s="16" t="str">
        <f aca="false">IF(AND(L5458&lt;=$D$2,M5458&gt;=$C$2),"Sí","")</f>
        <v/>
      </c>
      <c r="Q5458" s="18" t="str">
        <f aca="false">IF(COUNTIF(LOOKAHEAD!$A$5:$A$604,A5458)&gt;0,"En Lookahead",IF(P5458="Sí","INCORPORAR",""))</f>
        <v/>
      </c>
    </row>
    <row r="5459" customFormat="false" ht="15" hidden="false" customHeight="false" outlineLevel="0" collapsed="false">
      <c r="A5459" s="16" t="s">
        <v>16494</v>
      </c>
      <c r="B5459" s="16" t="n">
        <v>5454</v>
      </c>
      <c r="C5459" s="16" t="s">
        <v>16495</v>
      </c>
      <c r="D5459" s="16" t="n">
        <v>6</v>
      </c>
      <c r="E5459" s="35" t="s">
        <v>16496</v>
      </c>
      <c r="F5459" s="16" t="s">
        <v>1285</v>
      </c>
      <c r="G5459" s="16" t="s">
        <v>1169</v>
      </c>
      <c r="H5459" s="16" t="s">
        <v>16451</v>
      </c>
      <c r="I5459" s="16" t="s">
        <v>136</v>
      </c>
      <c r="J5459" s="16" t="s">
        <v>16489</v>
      </c>
      <c r="K5459" s="32" t="n">
        <v>1</v>
      </c>
      <c r="L5459" s="33" t="n">
        <v>46106</v>
      </c>
      <c r="M5459" s="33" t="n">
        <v>46106</v>
      </c>
      <c r="N5459" s="16" t="s">
        <v>16497</v>
      </c>
      <c r="O5459" s="16"/>
      <c r="P5459" s="16" t="str">
        <f aca="false">IF(AND(L5459&lt;=$D$2,M5459&gt;=$C$2),"Sí","")</f>
        <v/>
      </c>
      <c r="Q5459" s="18" t="str">
        <f aca="false">IF(COUNTIF(LOOKAHEAD!$A$5:$A$604,A5459)&gt;0,"En Lookahead",IF(P5459="Sí","INCORPORAR",""))</f>
        <v/>
      </c>
    </row>
    <row r="5460" customFormat="false" ht="15" hidden="false" customHeight="false" outlineLevel="0" collapsed="false">
      <c r="A5460" s="16" t="s">
        <v>16498</v>
      </c>
      <c r="B5460" s="16" t="n">
        <v>5455</v>
      </c>
      <c r="C5460" s="16" t="s">
        <v>16499</v>
      </c>
      <c r="D5460" s="16" t="n">
        <v>6</v>
      </c>
      <c r="E5460" s="35" t="s">
        <v>16500</v>
      </c>
      <c r="F5460" s="16" t="s">
        <v>1285</v>
      </c>
      <c r="G5460" s="16" t="s">
        <v>1169</v>
      </c>
      <c r="H5460" s="16" t="s">
        <v>16451</v>
      </c>
      <c r="I5460" s="16" t="s">
        <v>136</v>
      </c>
      <c r="J5460" s="16" t="s">
        <v>16489</v>
      </c>
      <c r="K5460" s="32" t="n">
        <v>1</v>
      </c>
      <c r="L5460" s="33" t="n">
        <v>46107</v>
      </c>
      <c r="M5460" s="33" t="n">
        <v>46107</v>
      </c>
      <c r="N5460" s="16" t="s">
        <v>16501</v>
      </c>
      <c r="O5460" s="16"/>
      <c r="P5460" s="16" t="str">
        <f aca="false">IF(AND(L5460&lt;=$D$2,M5460&gt;=$C$2),"Sí","")</f>
        <v/>
      </c>
      <c r="Q5460" s="18" t="str">
        <f aca="false">IF(COUNTIF(LOOKAHEAD!$A$5:$A$604,A5460)&gt;0,"En Lookahead",IF(P5460="Sí","INCORPORAR",""))</f>
        <v/>
      </c>
    </row>
    <row r="5461" customFormat="false" ht="15" hidden="false" customHeight="false" outlineLevel="0" collapsed="false">
      <c r="A5461" s="16" t="s">
        <v>16502</v>
      </c>
      <c r="B5461" s="16" t="n">
        <v>5456</v>
      </c>
      <c r="C5461" s="16" t="s">
        <v>16503</v>
      </c>
      <c r="D5461" s="16" t="n">
        <v>6</v>
      </c>
      <c r="E5461" s="35" t="s">
        <v>16504</v>
      </c>
      <c r="F5461" s="16" t="s">
        <v>1285</v>
      </c>
      <c r="G5461" s="16" t="s">
        <v>1169</v>
      </c>
      <c r="H5461" s="16" t="s">
        <v>16451</v>
      </c>
      <c r="I5461" s="16" t="s">
        <v>136</v>
      </c>
      <c r="J5461" s="16" t="s">
        <v>16489</v>
      </c>
      <c r="K5461" s="32" t="n">
        <v>1</v>
      </c>
      <c r="L5461" s="33" t="n">
        <v>46108</v>
      </c>
      <c r="M5461" s="33" t="n">
        <v>46108</v>
      </c>
      <c r="N5461" s="16" t="s">
        <v>16505</v>
      </c>
      <c r="O5461" s="16"/>
      <c r="P5461" s="16" t="str">
        <f aca="false">IF(AND(L5461&lt;=$D$2,M5461&gt;=$C$2),"Sí","")</f>
        <v/>
      </c>
      <c r="Q5461" s="18" t="str">
        <f aca="false">IF(COUNTIF(LOOKAHEAD!$A$5:$A$604,A5461)&gt;0,"En Lookahead",IF(P5461="Sí","INCORPORAR",""))</f>
        <v/>
      </c>
    </row>
    <row r="5462" customFormat="false" ht="15" hidden="false" customHeight="false" outlineLevel="0" collapsed="false">
      <c r="A5462" s="16" t="s">
        <v>16506</v>
      </c>
      <c r="B5462" s="16" t="n">
        <v>5457</v>
      </c>
      <c r="C5462" s="16" t="s">
        <v>16507</v>
      </c>
      <c r="D5462" s="16" t="n">
        <v>6</v>
      </c>
      <c r="E5462" s="35" t="s">
        <v>16508</v>
      </c>
      <c r="F5462" s="16" t="s">
        <v>1285</v>
      </c>
      <c r="G5462" s="16" t="s">
        <v>1169</v>
      </c>
      <c r="H5462" s="16" t="s">
        <v>16451</v>
      </c>
      <c r="I5462" s="16" t="s">
        <v>136</v>
      </c>
      <c r="J5462" s="16" t="s">
        <v>16489</v>
      </c>
      <c r="K5462" s="32" t="n">
        <v>1</v>
      </c>
      <c r="L5462" s="33" t="n">
        <v>46109</v>
      </c>
      <c r="M5462" s="33" t="n">
        <v>46109</v>
      </c>
      <c r="N5462" s="16" t="s">
        <v>16509</v>
      </c>
      <c r="O5462" s="16"/>
      <c r="P5462" s="16" t="str">
        <f aca="false">IF(AND(L5462&lt;=$D$2,M5462&gt;=$C$2),"Sí","")</f>
        <v/>
      </c>
      <c r="Q5462" s="18" t="str">
        <f aca="false">IF(COUNTIF(LOOKAHEAD!$A$5:$A$604,A5462)&gt;0,"En Lookahead",IF(P5462="Sí","INCORPORAR",""))</f>
        <v/>
      </c>
    </row>
    <row r="5463" customFormat="false" ht="15" hidden="false" customHeight="false" outlineLevel="0" collapsed="false">
      <c r="A5463" s="16" t="s">
        <v>16510</v>
      </c>
      <c r="B5463" s="16" t="n">
        <v>5458</v>
      </c>
      <c r="C5463" s="16" t="s">
        <v>16511</v>
      </c>
      <c r="D5463" s="16" t="n">
        <v>6</v>
      </c>
      <c r="E5463" s="35" t="s">
        <v>16512</v>
      </c>
      <c r="F5463" s="16" t="s">
        <v>1285</v>
      </c>
      <c r="G5463" s="16" t="s">
        <v>1169</v>
      </c>
      <c r="H5463" s="16" t="s">
        <v>16451</v>
      </c>
      <c r="I5463" s="16" t="s">
        <v>136</v>
      </c>
      <c r="J5463" s="16" t="s">
        <v>16489</v>
      </c>
      <c r="K5463" s="32" t="n">
        <v>1</v>
      </c>
      <c r="L5463" s="33" t="n">
        <v>46110</v>
      </c>
      <c r="M5463" s="33" t="n">
        <v>46110</v>
      </c>
      <c r="N5463" s="16" t="s">
        <v>16513</v>
      </c>
      <c r="O5463" s="16"/>
      <c r="P5463" s="16" t="str">
        <f aca="false">IF(AND(L5463&lt;=$D$2,M5463&gt;=$C$2),"Sí","")</f>
        <v/>
      </c>
      <c r="Q5463" s="18" t="str">
        <f aca="false">IF(COUNTIF(LOOKAHEAD!$A$5:$A$604,A5463)&gt;0,"En Lookahead",IF(P5463="Sí","INCORPORAR",""))</f>
        <v/>
      </c>
    </row>
    <row r="5464" customFormat="false" ht="15" hidden="false" customHeight="false" outlineLevel="0" collapsed="false">
      <c r="A5464" s="16" t="s">
        <v>16514</v>
      </c>
      <c r="B5464" s="16" t="n">
        <v>5459</v>
      </c>
      <c r="C5464" s="16" t="s">
        <v>16515</v>
      </c>
      <c r="D5464" s="16" t="n">
        <v>6</v>
      </c>
      <c r="E5464" s="35" t="s">
        <v>16516</v>
      </c>
      <c r="F5464" s="16" t="s">
        <v>1285</v>
      </c>
      <c r="G5464" s="16" t="s">
        <v>1169</v>
      </c>
      <c r="H5464" s="16" t="s">
        <v>16451</v>
      </c>
      <c r="I5464" s="16" t="s">
        <v>136</v>
      </c>
      <c r="J5464" s="16" t="s">
        <v>16489</v>
      </c>
      <c r="K5464" s="32" t="n">
        <v>1</v>
      </c>
      <c r="L5464" s="33" t="n">
        <v>46111</v>
      </c>
      <c r="M5464" s="33" t="n">
        <v>46111</v>
      </c>
      <c r="N5464" s="16" t="s">
        <v>16517</v>
      </c>
      <c r="O5464" s="16"/>
      <c r="P5464" s="16" t="str">
        <f aca="false">IF(AND(L5464&lt;=$D$2,M5464&gt;=$C$2),"Sí","")</f>
        <v/>
      </c>
      <c r="Q5464" s="18" t="str">
        <f aca="false">IF(COUNTIF(LOOKAHEAD!$A$5:$A$604,A5464)&gt;0,"En Lookahead",IF(P5464="Sí","INCORPORAR",""))</f>
        <v/>
      </c>
    </row>
    <row r="5465" customFormat="false" ht="15" hidden="false" customHeight="false" outlineLevel="0" collapsed="false">
      <c r="A5465" s="16" t="s">
        <v>16518</v>
      </c>
      <c r="B5465" s="16" t="n">
        <v>5460</v>
      </c>
      <c r="C5465" s="16" t="s">
        <v>16519</v>
      </c>
      <c r="D5465" s="16" t="n">
        <v>6</v>
      </c>
      <c r="E5465" s="35" t="s">
        <v>16520</v>
      </c>
      <c r="F5465" s="16" t="s">
        <v>1285</v>
      </c>
      <c r="G5465" s="16" t="s">
        <v>1169</v>
      </c>
      <c r="H5465" s="16" t="s">
        <v>16451</v>
      </c>
      <c r="I5465" s="16" t="s">
        <v>136</v>
      </c>
      <c r="J5465" s="16" t="s">
        <v>16489</v>
      </c>
      <c r="K5465" s="32" t="n">
        <v>1</v>
      </c>
      <c r="L5465" s="33" t="n">
        <v>46112</v>
      </c>
      <c r="M5465" s="33" t="n">
        <v>46112</v>
      </c>
      <c r="N5465" s="16" t="s">
        <v>16521</v>
      </c>
      <c r="O5465" s="16"/>
      <c r="P5465" s="16" t="str">
        <f aca="false">IF(AND(L5465&lt;=$D$2,M5465&gt;=$C$2),"Sí","")</f>
        <v/>
      </c>
      <c r="Q5465" s="18" t="str">
        <f aca="false">IF(COUNTIF(LOOKAHEAD!$A$5:$A$604,A5465)&gt;0,"En Lookahead",IF(P5465="Sí","INCORPORAR",""))</f>
        <v/>
      </c>
    </row>
    <row r="5466" customFormat="false" ht="15" hidden="false" customHeight="false" outlineLevel="0" collapsed="false">
      <c r="A5466" s="16" t="s">
        <v>16522</v>
      </c>
      <c r="B5466" s="16" t="n">
        <v>5461</v>
      </c>
      <c r="C5466" s="16" t="s">
        <v>16523</v>
      </c>
      <c r="D5466" s="16" t="n">
        <v>6</v>
      </c>
      <c r="E5466" s="35" t="s">
        <v>16524</v>
      </c>
      <c r="F5466" s="16" t="s">
        <v>1285</v>
      </c>
      <c r="G5466" s="16" t="s">
        <v>1169</v>
      </c>
      <c r="H5466" s="16" t="s">
        <v>16451</v>
      </c>
      <c r="I5466" s="16" t="s">
        <v>136</v>
      </c>
      <c r="J5466" s="16" t="s">
        <v>16489</v>
      </c>
      <c r="K5466" s="32" t="n">
        <v>2</v>
      </c>
      <c r="L5466" s="33" t="n">
        <v>46113</v>
      </c>
      <c r="M5466" s="33" t="n">
        <v>46114</v>
      </c>
      <c r="N5466" s="16" t="s">
        <v>16525</v>
      </c>
      <c r="O5466" s="16"/>
      <c r="P5466" s="16" t="str">
        <f aca="false">IF(AND(L5466&lt;=$D$2,M5466&gt;=$C$2),"Sí","")</f>
        <v/>
      </c>
      <c r="Q5466" s="18" t="str">
        <f aca="false">IF(COUNTIF(LOOKAHEAD!$A$5:$A$604,A5466)&gt;0,"En Lookahead",IF(P5466="Sí","INCORPORAR",""))</f>
        <v/>
      </c>
    </row>
    <row r="5467" customFormat="false" ht="15" hidden="false" customHeight="false" outlineLevel="0" collapsed="false">
      <c r="A5467" s="16" t="s">
        <v>16526</v>
      </c>
      <c r="B5467" s="16" t="n">
        <v>5462</v>
      </c>
      <c r="C5467" s="16" t="s">
        <v>16527</v>
      </c>
      <c r="D5467" s="16" t="n">
        <v>6</v>
      </c>
      <c r="E5467" s="35" t="s">
        <v>16528</v>
      </c>
      <c r="F5467" s="16" t="s">
        <v>1285</v>
      </c>
      <c r="G5467" s="16" t="s">
        <v>1169</v>
      </c>
      <c r="H5467" s="16" t="s">
        <v>16451</v>
      </c>
      <c r="I5467" s="16" t="s">
        <v>136</v>
      </c>
      <c r="J5467" s="16" t="s">
        <v>16489</v>
      </c>
      <c r="K5467" s="32" t="n">
        <v>1</v>
      </c>
      <c r="L5467" s="33" t="n">
        <v>46115</v>
      </c>
      <c r="M5467" s="33" t="n">
        <v>46115</v>
      </c>
      <c r="N5467" s="16" t="s">
        <v>16529</v>
      </c>
      <c r="O5467" s="16"/>
      <c r="P5467" s="16" t="str">
        <f aca="false">IF(AND(L5467&lt;=$D$2,M5467&gt;=$C$2),"Sí","")</f>
        <v/>
      </c>
      <c r="Q5467" s="18" t="str">
        <f aca="false">IF(COUNTIF(LOOKAHEAD!$A$5:$A$604,A5467)&gt;0,"En Lookahead",IF(P5467="Sí","INCORPORAR",""))</f>
        <v/>
      </c>
    </row>
    <row r="5468" customFormat="false" ht="15" hidden="false" customHeight="false" outlineLevel="0" collapsed="false">
      <c r="A5468" s="16" t="s">
        <v>16530</v>
      </c>
      <c r="B5468" s="16" t="n">
        <v>5463</v>
      </c>
      <c r="C5468" s="16" t="s">
        <v>16531</v>
      </c>
      <c r="D5468" s="16" t="n">
        <v>6</v>
      </c>
      <c r="E5468" s="35" t="s">
        <v>16532</v>
      </c>
      <c r="F5468" s="16" t="s">
        <v>1285</v>
      </c>
      <c r="G5468" s="16" t="s">
        <v>1169</v>
      </c>
      <c r="H5468" s="16" t="s">
        <v>16451</v>
      </c>
      <c r="I5468" s="16" t="s">
        <v>136</v>
      </c>
      <c r="J5468" s="16" t="s">
        <v>16489</v>
      </c>
      <c r="K5468" s="32" t="n">
        <v>1</v>
      </c>
      <c r="L5468" s="33" t="n">
        <v>46116</v>
      </c>
      <c r="M5468" s="33" t="n">
        <v>46116</v>
      </c>
      <c r="N5468" s="16" t="s">
        <v>16533</v>
      </c>
      <c r="O5468" s="16"/>
      <c r="P5468" s="16" t="str">
        <f aca="false">IF(AND(L5468&lt;=$D$2,M5468&gt;=$C$2),"Sí","")</f>
        <v/>
      </c>
      <c r="Q5468" s="18" t="str">
        <f aca="false">IF(COUNTIF(LOOKAHEAD!$A$5:$A$604,A5468)&gt;0,"En Lookahead",IF(P5468="Sí","INCORPORAR",""))</f>
        <v/>
      </c>
    </row>
    <row r="5469" customFormat="false" ht="15" hidden="false" customHeight="false" outlineLevel="0" collapsed="false">
      <c r="A5469" s="16" t="s">
        <v>16534</v>
      </c>
      <c r="B5469" s="16" t="n">
        <v>5464</v>
      </c>
      <c r="C5469" s="16" t="s">
        <v>16535</v>
      </c>
      <c r="D5469" s="16" t="n">
        <v>6</v>
      </c>
      <c r="E5469" s="35" t="s">
        <v>16536</v>
      </c>
      <c r="F5469" s="16" t="s">
        <v>1285</v>
      </c>
      <c r="G5469" s="16" t="s">
        <v>1169</v>
      </c>
      <c r="H5469" s="16" t="s">
        <v>16451</v>
      </c>
      <c r="I5469" s="16" t="s">
        <v>136</v>
      </c>
      <c r="J5469" s="16" t="s">
        <v>16489</v>
      </c>
      <c r="K5469" s="32" t="n">
        <v>1</v>
      </c>
      <c r="L5469" s="33" t="n">
        <v>46117</v>
      </c>
      <c r="M5469" s="33" t="n">
        <v>46117</v>
      </c>
      <c r="N5469" s="16" t="s">
        <v>16537</v>
      </c>
      <c r="O5469" s="16"/>
      <c r="P5469" s="16" t="str">
        <f aca="false">IF(AND(L5469&lt;=$D$2,M5469&gt;=$C$2),"Sí","")</f>
        <v/>
      </c>
      <c r="Q5469" s="18" t="str">
        <f aca="false">IF(COUNTIF(LOOKAHEAD!$A$5:$A$604,A5469)&gt;0,"En Lookahead",IF(P5469="Sí","INCORPORAR",""))</f>
        <v/>
      </c>
    </row>
    <row r="5470" customFormat="false" ht="15" hidden="false" customHeight="false" outlineLevel="0" collapsed="false">
      <c r="A5470" s="13" t="s">
        <v>16538</v>
      </c>
      <c r="B5470" s="13" t="n">
        <v>5465</v>
      </c>
      <c r="C5470" s="13" t="s">
        <v>16539</v>
      </c>
      <c r="D5470" s="13" t="n">
        <v>5</v>
      </c>
      <c r="E5470" s="34" t="s">
        <v>16540</v>
      </c>
      <c r="F5470" s="13" t="s">
        <v>1298</v>
      </c>
      <c r="G5470" s="13" t="s">
        <v>1169</v>
      </c>
      <c r="H5470" s="13" t="s">
        <v>16451</v>
      </c>
      <c r="I5470" s="13" t="s">
        <v>136</v>
      </c>
      <c r="J5470" s="13" t="s">
        <v>16451</v>
      </c>
      <c r="K5470" s="30" t="n">
        <v>20</v>
      </c>
      <c r="L5470" s="31" t="n">
        <v>46118</v>
      </c>
      <c r="M5470" s="31" t="n">
        <v>46137</v>
      </c>
      <c r="N5470" s="13"/>
      <c r="O5470" s="13"/>
      <c r="P5470" s="13"/>
      <c r="Q5470" s="13"/>
    </row>
    <row r="5471" customFormat="false" ht="15" hidden="false" customHeight="false" outlineLevel="0" collapsed="false">
      <c r="A5471" s="16" t="s">
        <v>16541</v>
      </c>
      <c r="B5471" s="16" t="n">
        <v>5466</v>
      </c>
      <c r="C5471" s="16" t="s">
        <v>16542</v>
      </c>
      <c r="D5471" s="16" t="n">
        <v>6</v>
      </c>
      <c r="E5471" s="35" t="s">
        <v>16543</v>
      </c>
      <c r="F5471" s="16" t="s">
        <v>1285</v>
      </c>
      <c r="G5471" s="16" t="s">
        <v>1169</v>
      </c>
      <c r="H5471" s="16" t="s">
        <v>16451</v>
      </c>
      <c r="I5471" s="16" t="s">
        <v>136</v>
      </c>
      <c r="J5471" s="16" t="s">
        <v>16540</v>
      </c>
      <c r="K5471" s="32" t="n">
        <v>5</v>
      </c>
      <c r="L5471" s="33" t="n">
        <v>46118</v>
      </c>
      <c r="M5471" s="33" t="n">
        <v>46122</v>
      </c>
      <c r="N5471" s="16" t="s">
        <v>16544</v>
      </c>
      <c r="O5471" s="16"/>
      <c r="P5471" s="16" t="str">
        <f aca="false">IF(AND(L5471&lt;=$D$2,M5471&gt;=$C$2),"Sí","")</f>
        <v/>
      </c>
      <c r="Q5471" s="18" t="str">
        <f aca="false">IF(COUNTIF(LOOKAHEAD!$A$5:$A$604,A5471)&gt;0,"En Lookahead",IF(P5471="Sí","INCORPORAR",""))</f>
        <v/>
      </c>
    </row>
    <row r="5472" customFormat="false" ht="15" hidden="false" customHeight="false" outlineLevel="0" collapsed="false">
      <c r="A5472" s="16" t="s">
        <v>16545</v>
      </c>
      <c r="B5472" s="16" t="n">
        <v>5467</v>
      </c>
      <c r="C5472" s="16" t="s">
        <v>16546</v>
      </c>
      <c r="D5472" s="16" t="n">
        <v>6</v>
      </c>
      <c r="E5472" s="35" t="s">
        <v>16547</v>
      </c>
      <c r="F5472" s="16" t="s">
        <v>1285</v>
      </c>
      <c r="G5472" s="16" t="s">
        <v>1169</v>
      </c>
      <c r="H5472" s="16" t="s">
        <v>16451</v>
      </c>
      <c r="I5472" s="16" t="s">
        <v>136</v>
      </c>
      <c r="J5472" s="16" t="s">
        <v>16540</v>
      </c>
      <c r="K5472" s="32" t="n">
        <v>2</v>
      </c>
      <c r="L5472" s="33" t="n">
        <v>46123</v>
      </c>
      <c r="M5472" s="33" t="n">
        <v>46124</v>
      </c>
      <c r="N5472" s="16" t="s">
        <v>16548</v>
      </c>
      <c r="O5472" s="16"/>
      <c r="P5472" s="16" t="str">
        <f aca="false">IF(AND(L5472&lt;=$D$2,M5472&gt;=$C$2),"Sí","")</f>
        <v/>
      </c>
      <c r="Q5472" s="18" t="str">
        <f aca="false">IF(COUNTIF(LOOKAHEAD!$A$5:$A$604,A5472)&gt;0,"En Lookahead",IF(P5472="Sí","INCORPORAR",""))</f>
        <v/>
      </c>
    </row>
    <row r="5473" customFormat="false" ht="15" hidden="false" customHeight="false" outlineLevel="0" collapsed="false">
      <c r="A5473" s="16" t="s">
        <v>16549</v>
      </c>
      <c r="B5473" s="16" t="n">
        <v>5468</v>
      </c>
      <c r="C5473" s="16" t="s">
        <v>16550</v>
      </c>
      <c r="D5473" s="16" t="n">
        <v>6</v>
      </c>
      <c r="E5473" s="35" t="s">
        <v>16551</v>
      </c>
      <c r="F5473" s="16" t="s">
        <v>1285</v>
      </c>
      <c r="G5473" s="16" t="s">
        <v>1169</v>
      </c>
      <c r="H5473" s="16" t="s">
        <v>16451</v>
      </c>
      <c r="I5473" s="16" t="s">
        <v>136</v>
      </c>
      <c r="J5473" s="16" t="s">
        <v>16540</v>
      </c>
      <c r="K5473" s="32" t="n">
        <v>1</v>
      </c>
      <c r="L5473" s="33" t="n">
        <v>46125</v>
      </c>
      <c r="M5473" s="33" t="n">
        <v>46125</v>
      </c>
      <c r="N5473" s="16" t="s">
        <v>16552</v>
      </c>
      <c r="O5473" s="16"/>
      <c r="P5473" s="16" t="str">
        <f aca="false">IF(AND(L5473&lt;=$D$2,M5473&gt;=$C$2),"Sí","")</f>
        <v/>
      </c>
      <c r="Q5473" s="18" t="str">
        <f aca="false">IF(COUNTIF(LOOKAHEAD!$A$5:$A$604,A5473)&gt;0,"En Lookahead",IF(P5473="Sí","INCORPORAR",""))</f>
        <v/>
      </c>
    </row>
    <row r="5474" customFormat="false" ht="15" hidden="false" customHeight="false" outlineLevel="0" collapsed="false">
      <c r="A5474" s="16" t="s">
        <v>16553</v>
      </c>
      <c r="B5474" s="16" t="n">
        <v>5469</v>
      </c>
      <c r="C5474" s="16" t="s">
        <v>16554</v>
      </c>
      <c r="D5474" s="16" t="n">
        <v>6</v>
      </c>
      <c r="E5474" s="35" t="s">
        <v>16555</v>
      </c>
      <c r="F5474" s="16" t="s">
        <v>1285</v>
      </c>
      <c r="G5474" s="16" t="s">
        <v>1169</v>
      </c>
      <c r="H5474" s="16" t="s">
        <v>16451</v>
      </c>
      <c r="I5474" s="16" t="s">
        <v>136</v>
      </c>
      <c r="J5474" s="16" t="s">
        <v>16540</v>
      </c>
      <c r="K5474" s="32" t="n">
        <v>1</v>
      </c>
      <c r="L5474" s="33" t="n">
        <v>46126</v>
      </c>
      <c r="M5474" s="33" t="n">
        <v>46126</v>
      </c>
      <c r="N5474" s="16" t="s">
        <v>16556</v>
      </c>
      <c r="O5474" s="16"/>
      <c r="P5474" s="16" t="str">
        <f aca="false">IF(AND(L5474&lt;=$D$2,M5474&gt;=$C$2),"Sí","")</f>
        <v/>
      </c>
      <c r="Q5474" s="18" t="str">
        <f aca="false">IF(COUNTIF(LOOKAHEAD!$A$5:$A$604,A5474)&gt;0,"En Lookahead",IF(P5474="Sí","INCORPORAR",""))</f>
        <v/>
      </c>
    </row>
    <row r="5475" customFormat="false" ht="15" hidden="false" customHeight="false" outlineLevel="0" collapsed="false">
      <c r="A5475" s="16" t="s">
        <v>16557</v>
      </c>
      <c r="B5475" s="16" t="n">
        <v>5470</v>
      </c>
      <c r="C5475" s="16" t="s">
        <v>16558</v>
      </c>
      <c r="D5475" s="16" t="n">
        <v>6</v>
      </c>
      <c r="E5475" s="35" t="s">
        <v>16559</v>
      </c>
      <c r="F5475" s="16" t="s">
        <v>1285</v>
      </c>
      <c r="G5475" s="16" t="s">
        <v>1169</v>
      </c>
      <c r="H5475" s="16" t="s">
        <v>16451</v>
      </c>
      <c r="I5475" s="16" t="s">
        <v>136</v>
      </c>
      <c r="J5475" s="16" t="s">
        <v>16540</v>
      </c>
      <c r="K5475" s="32" t="n">
        <v>1</v>
      </c>
      <c r="L5475" s="33" t="n">
        <v>46127</v>
      </c>
      <c r="M5475" s="33" t="n">
        <v>46127</v>
      </c>
      <c r="N5475" s="16" t="s">
        <v>16560</v>
      </c>
      <c r="O5475" s="16"/>
      <c r="P5475" s="16" t="str">
        <f aca="false">IF(AND(L5475&lt;=$D$2,M5475&gt;=$C$2),"Sí","")</f>
        <v/>
      </c>
      <c r="Q5475" s="18" t="str">
        <f aca="false">IF(COUNTIF(LOOKAHEAD!$A$5:$A$604,A5475)&gt;0,"En Lookahead",IF(P5475="Sí","INCORPORAR",""))</f>
        <v/>
      </c>
    </row>
    <row r="5476" customFormat="false" ht="15" hidden="false" customHeight="false" outlineLevel="0" collapsed="false">
      <c r="A5476" s="16" t="s">
        <v>16561</v>
      </c>
      <c r="B5476" s="16" t="n">
        <v>5471</v>
      </c>
      <c r="C5476" s="16" t="s">
        <v>16562</v>
      </c>
      <c r="D5476" s="16" t="n">
        <v>6</v>
      </c>
      <c r="E5476" s="35" t="s">
        <v>16563</v>
      </c>
      <c r="F5476" s="16" t="s">
        <v>1285</v>
      </c>
      <c r="G5476" s="16" t="s">
        <v>1169</v>
      </c>
      <c r="H5476" s="16" t="s">
        <v>16451</v>
      </c>
      <c r="I5476" s="16" t="s">
        <v>136</v>
      </c>
      <c r="J5476" s="16" t="s">
        <v>16540</v>
      </c>
      <c r="K5476" s="32" t="n">
        <v>1</v>
      </c>
      <c r="L5476" s="33" t="n">
        <v>46128</v>
      </c>
      <c r="M5476" s="33" t="n">
        <v>46128</v>
      </c>
      <c r="N5476" s="16" t="s">
        <v>16564</v>
      </c>
      <c r="O5476" s="16"/>
      <c r="P5476" s="16" t="str">
        <f aca="false">IF(AND(L5476&lt;=$D$2,M5476&gt;=$C$2),"Sí","")</f>
        <v/>
      </c>
      <c r="Q5476" s="18" t="str">
        <f aca="false">IF(COUNTIF(LOOKAHEAD!$A$5:$A$604,A5476)&gt;0,"En Lookahead",IF(P5476="Sí","INCORPORAR",""))</f>
        <v/>
      </c>
    </row>
    <row r="5477" customFormat="false" ht="15" hidden="false" customHeight="false" outlineLevel="0" collapsed="false">
      <c r="A5477" s="16" t="s">
        <v>16565</v>
      </c>
      <c r="B5477" s="16" t="n">
        <v>5472</v>
      </c>
      <c r="C5477" s="16" t="s">
        <v>16566</v>
      </c>
      <c r="D5477" s="16" t="n">
        <v>6</v>
      </c>
      <c r="E5477" s="35" t="s">
        <v>16567</v>
      </c>
      <c r="F5477" s="16" t="s">
        <v>1285</v>
      </c>
      <c r="G5477" s="16" t="s">
        <v>1169</v>
      </c>
      <c r="H5477" s="16" t="s">
        <v>16451</v>
      </c>
      <c r="I5477" s="16" t="s">
        <v>136</v>
      </c>
      <c r="J5477" s="16" t="s">
        <v>16540</v>
      </c>
      <c r="K5477" s="32" t="n">
        <v>1</v>
      </c>
      <c r="L5477" s="33" t="n">
        <v>46129</v>
      </c>
      <c r="M5477" s="33" t="n">
        <v>46129</v>
      </c>
      <c r="N5477" s="16" t="s">
        <v>16568</v>
      </c>
      <c r="O5477" s="16"/>
      <c r="P5477" s="16" t="str">
        <f aca="false">IF(AND(L5477&lt;=$D$2,M5477&gt;=$C$2),"Sí","")</f>
        <v/>
      </c>
      <c r="Q5477" s="18" t="str">
        <f aca="false">IF(COUNTIF(LOOKAHEAD!$A$5:$A$604,A5477)&gt;0,"En Lookahead",IF(P5477="Sí","INCORPORAR",""))</f>
        <v/>
      </c>
    </row>
    <row r="5478" customFormat="false" ht="15" hidden="false" customHeight="false" outlineLevel="0" collapsed="false">
      <c r="A5478" s="16" t="s">
        <v>16569</v>
      </c>
      <c r="B5478" s="16" t="n">
        <v>5473</v>
      </c>
      <c r="C5478" s="16" t="s">
        <v>16570</v>
      </c>
      <c r="D5478" s="16" t="n">
        <v>6</v>
      </c>
      <c r="E5478" s="35" t="s">
        <v>16571</v>
      </c>
      <c r="F5478" s="16" t="s">
        <v>1285</v>
      </c>
      <c r="G5478" s="16" t="s">
        <v>1169</v>
      </c>
      <c r="H5478" s="16" t="s">
        <v>16451</v>
      </c>
      <c r="I5478" s="16" t="s">
        <v>136</v>
      </c>
      <c r="J5478" s="16" t="s">
        <v>16540</v>
      </c>
      <c r="K5478" s="32" t="n">
        <v>1</v>
      </c>
      <c r="L5478" s="33" t="n">
        <v>46130</v>
      </c>
      <c r="M5478" s="33" t="n">
        <v>46130</v>
      </c>
      <c r="N5478" s="16" t="s">
        <v>16572</v>
      </c>
      <c r="O5478" s="16"/>
      <c r="P5478" s="16" t="str">
        <f aca="false">IF(AND(L5478&lt;=$D$2,M5478&gt;=$C$2),"Sí","")</f>
        <v/>
      </c>
      <c r="Q5478" s="18" t="str">
        <f aca="false">IF(COUNTIF(LOOKAHEAD!$A$5:$A$604,A5478)&gt;0,"En Lookahead",IF(P5478="Sí","INCORPORAR",""))</f>
        <v/>
      </c>
    </row>
    <row r="5479" customFormat="false" ht="15" hidden="false" customHeight="false" outlineLevel="0" collapsed="false">
      <c r="A5479" s="16" t="s">
        <v>16573</v>
      </c>
      <c r="B5479" s="16" t="n">
        <v>5474</v>
      </c>
      <c r="C5479" s="16" t="s">
        <v>16574</v>
      </c>
      <c r="D5479" s="16" t="n">
        <v>6</v>
      </c>
      <c r="E5479" s="35" t="s">
        <v>16575</v>
      </c>
      <c r="F5479" s="16" t="s">
        <v>1285</v>
      </c>
      <c r="G5479" s="16" t="s">
        <v>1169</v>
      </c>
      <c r="H5479" s="16" t="s">
        <v>16451</v>
      </c>
      <c r="I5479" s="16" t="s">
        <v>136</v>
      </c>
      <c r="J5479" s="16" t="s">
        <v>16540</v>
      </c>
      <c r="K5479" s="32" t="n">
        <v>1</v>
      </c>
      <c r="L5479" s="33" t="n">
        <v>46131</v>
      </c>
      <c r="M5479" s="33" t="n">
        <v>46131</v>
      </c>
      <c r="N5479" s="16" t="s">
        <v>16576</v>
      </c>
      <c r="O5479" s="16"/>
      <c r="P5479" s="16" t="str">
        <f aca="false">IF(AND(L5479&lt;=$D$2,M5479&gt;=$C$2),"Sí","")</f>
        <v/>
      </c>
      <c r="Q5479" s="18" t="str">
        <f aca="false">IF(COUNTIF(LOOKAHEAD!$A$5:$A$604,A5479)&gt;0,"En Lookahead",IF(P5479="Sí","INCORPORAR",""))</f>
        <v/>
      </c>
    </row>
    <row r="5480" customFormat="false" ht="15" hidden="false" customHeight="false" outlineLevel="0" collapsed="false">
      <c r="A5480" s="16" t="s">
        <v>16577</v>
      </c>
      <c r="B5480" s="16" t="n">
        <v>5475</v>
      </c>
      <c r="C5480" s="16" t="s">
        <v>16578</v>
      </c>
      <c r="D5480" s="16" t="n">
        <v>6</v>
      </c>
      <c r="E5480" s="35" t="s">
        <v>16579</v>
      </c>
      <c r="F5480" s="16" t="s">
        <v>1285</v>
      </c>
      <c r="G5480" s="16" t="s">
        <v>1169</v>
      </c>
      <c r="H5480" s="16" t="s">
        <v>16451</v>
      </c>
      <c r="I5480" s="16" t="s">
        <v>136</v>
      </c>
      <c r="J5480" s="16" t="s">
        <v>16540</v>
      </c>
      <c r="K5480" s="32" t="n">
        <v>1</v>
      </c>
      <c r="L5480" s="33" t="n">
        <v>46132</v>
      </c>
      <c r="M5480" s="33" t="n">
        <v>46132</v>
      </c>
      <c r="N5480" s="16" t="s">
        <v>16580</v>
      </c>
      <c r="O5480" s="16"/>
      <c r="P5480" s="16" t="str">
        <f aca="false">IF(AND(L5480&lt;=$D$2,M5480&gt;=$C$2),"Sí","")</f>
        <v/>
      </c>
      <c r="Q5480" s="18" t="str">
        <f aca="false">IF(COUNTIF(LOOKAHEAD!$A$5:$A$604,A5480)&gt;0,"En Lookahead",IF(P5480="Sí","INCORPORAR",""))</f>
        <v/>
      </c>
    </row>
    <row r="5481" customFormat="false" ht="15" hidden="false" customHeight="false" outlineLevel="0" collapsed="false">
      <c r="A5481" s="16" t="s">
        <v>16581</v>
      </c>
      <c r="B5481" s="16" t="n">
        <v>5476</v>
      </c>
      <c r="C5481" s="16" t="s">
        <v>16582</v>
      </c>
      <c r="D5481" s="16" t="n">
        <v>6</v>
      </c>
      <c r="E5481" s="35" t="s">
        <v>16583</v>
      </c>
      <c r="F5481" s="16" t="s">
        <v>1285</v>
      </c>
      <c r="G5481" s="16" t="s">
        <v>1169</v>
      </c>
      <c r="H5481" s="16" t="s">
        <v>16451</v>
      </c>
      <c r="I5481" s="16" t="s">
        <v>136</v>
      </c>
      <c r="J5481" s="16" t="s">
        <v>16540</v>
      </c>
      <c r="K5481" s="32" t="n">
        <v>1</v>
      </c>
      <c r="L5481" s="33" t="n">
        <v>46133</v>
      </c>
      <c r="M5481" s="33" t="n">
        <v>46133</v>
      </c>
      <c r="N5481" s="16" t="s">
        <v>16584</v>
      </c>
      <c r="O5481" s="16"/>
      <c r="P5481" s="16" t="str">
        <f aca="false">IF(AND(L5481&lt;=$D$2,M5481&gt;=$C$2),"Sí","")</f>
        <v/>
      </c>
      <c r="Q5481" s="18" t="str">
        <f aca="false">IF(COUNTIF(LOOKAHEAD!$A$5:$A$604,A5481)&gt;0,"En Lookahead",IF(P5481="Sí","INCORPORAR",""))</f>
        <v/>
      </c>
    </row>
    <row r="5482" customFormat="false" ht="15" hidden="false" customHeight="false" outlineLevel="0" collapsed="false">
      <c r="A5482" s="16" t="s">
        <v>16585</v>
      </c>
      <c r="B5482" s="16" t="n">
        <v>5477</v>
      </c>
      <c r="C5482" s="16" t="s">
        <v>16586</v>
      </c>
      <c r="D5482" s="16" t="n">
        <v>6</v>
      </c>
      <c r="E5482" s="35" t="s">
        <v>16587</v>
      </c>
      <c r="F5482" s="16" t="s">
        <v>1285</v>
      </c>
      <c r="G5482" s="16" t="s">
        <v>1169</v>
      </c>
      <c r="H5482" s="16" t="s">
        <v>16451</v>
      </c>
      <c r="I5482" s="16" t="s">
        <v>136</v>
      </c>
      <c r="J5482" s="16" t="s">
        <v>16540</v>
      </c>
      <c r="K5482" s="32" t="n">
        <v>1</v>
      </c>
      <c r="L5482" s="33" t="n">
        <v>46134</v>
      </c>
      <c r="M5482" s="33" t="n">
        <v>46134</v>
      </c>
      <c r="N5482" s="16" t="s">
        <v>16588</v>
      </c>
      <c r="O5482" s="16"/>
      <c r="P5482" s="16" t="str">
        <f aca="false">IF(AND(L5482&lt;=$D$2,M5482&gt;=$C$2),"Sí","")</f>
        <v/>
      </c>
      <c r="Q5482" s="18" t="str">
        <f aca="false">IF(COUNTIF(LOOKAHEAD!$A$5:$A$604,A5482)&gt;0,"En Lookahead",IF(P5482="Sí","INCORPORAR",""))</f>
        <v/>
      </c>
    </row>
    <row r="5483" customFormat="false" ht="15" hidden="false" customHeight="false" outlineLevel="0" collapsed="false">
      <c r="A5483" s="16" t="s">
        <v>16589</v>
      </c>
      <c r="B5483" s="16" t="n">
        <v>5478</v>
      </c>
      <c r="C5483" s="16" t="s">
        <v>16590</v>
      </c>
      <c r="D5483" s="16" t="n">
        <v>6</v>
      </c>
      <c r="E5483" s="35" t="s">
        <v>16591</v>
      </c>
      <c r="F5483" s="16" t="s">
        <v>1285</v>
      </c>
      <c r="G5483" s="16" t="s">
        <v>1169</v>
      </c>
      <c r="H5483" s="16" t="s">
        <v>16451</v>
      </c>
      <c r="I5483" s="16" t="s">
        <v>136</v>
      </c>
      <c r="J5483" s="16" t="s">
        <v>16540</v>
      </c>
      <c r="K5483" s="32" t="n">
        <v>1</v>
      </c>
      <c r="L5483" s="33" t="n">
        <v>46135</v>
      </c>
      <c r="M5483" s="33" t="n">
        <v>46135</v>
      </c>
      <c r="N5483" s="16" t="s">
        <v>16592</v>
      </c>
      <c r="O5483" s="16"/>
      <c r="P5483" s="16" t="str">
        <f aca="false">IF(AND(L5483&lt;=$D$2,M5483&gt;=$C$2),"Sí","")</f>
        <v/>
      </c>
      <c r="Q5483" s="18" t="str">
        <f aca="false">IF(COUNTIF(LOOKAHEAD!$A$5:$A$604,A5483)&gt;0,"En Lookahead",IF(P5483="Sí","INCORPORAR",""))</f>
        <v/>
      </c>
    </row>
    <row r="5484" customFormat="false" ht="15" hidden="false" customHeight="false" outlineLevel="0" collapsed="false">
      <c r="A5484" s="16" t="s">
        <v>16593</v>
      </c>
      <c r="B5484" s="16" t="n">
        <v>5479</v>
      </c>
      <c r="C5484" s="16" t="s">
        <v>16594</v>
      </c>
      <c r="D5484" s="16" t="n">
        <v>6</v>
      </c>
      <c r="E5484" s="35" t="s">
        <v>16595</v>
      </c>
      <c r="F5484" s="16" t="s">
        <v>1285</v>
      </c>
      <c r="G5484" s="16" t="s">
        <v>1169</v>
      </c>
      <c r="H5484" s="16" t="s">
        <v>16451</v>
      </c>
      <c r="I5484" s="16" t="s">
        <v>136</v>
      </c>
      <c r="J5484" s="16" t="s">
        <v>16540</v>
      </c>
      <c r="K5484" s="32" t="n">
        <v>1</v>
      </c>
      <c r="L5484" s="33" t="n">
        <v>46136</v>
      </c>
      <c r="M5484" s="33" t="n">
        <v>46136</v>
      </c>
      <c r="N5484" s="16" t="s">
        <v>16596</v>
      </c>
      <c r="O5484" s="16"/>
      <c r="P5484" s="16" t="str">
        <f aca="false">IF(AND(L5484&lt;=$D$2,M5484&gt;=$C$2),"Sí","")</f>
        <v/>
      </c>
      <c r="Q5484" s="18" t="str">
        <f aca="false">IF(COUNTIF(LOOKAHEAD!$A$5:$A$604,A5484)&gt;0,"En Lookahead",IF(P5484="Sí","INCORPORAR",""))</f>
        <v/>
      </c>
    </row>
    <row r="5485" customFormat="false" ht="15" hidden="false" customHeight="false" outlineLevel="0" collapsed="false">
      <c r="A5485" s="16" t="s">
        <v>16597</v>
      </c>
      <c r="B5485" s="16" t="n">
        <v>5480</v>
      </c>
      <c r="C5485" s="16" t="s">
        <v>16598</v>
      </c>
      <c r="D5485" s="16" t="n">
        <v>6</v>
      </c>
      <c r="E5485" s="35" t="s">
        <v>16599</v>
      </c>
      <c r="F5485" s="16" t="s">
        <v>1285</v>
      </c>
      <c r="G5485" s="16" t="s">
        <v>1169</v>
      </c>
      <c r="H5485" s="16" t="s">
        <v>16451</v>
      </c>
      <c r="I5485" s="16" t="s">
        <v>136</v>
      </c>
      <c r="J5485" s="16" t="s">
        <v>16540</v>
      </c>
      <c r="K5485" s="32" t="n">
        <v>1</v>
      </c>
      <c r="L5485" s="33" t="n">
        <v>46137</v>
      </c>
      <c r="M5485" s="33" t="n">
        <v>46137</v>
      </c>
      <c r="N5485" s="16" t="s">
        <v>16600</v>
      </c>
      <c r="O5485" s="16"/>
      <c r="P5485" s="16" t="str">
        <f aca="false">IF(AND(L5485&lt;=$D$2,M5485&gt;=$C$2),"Sí","")</f>
        <v/>
      </c>
      <c r="Q5485" s="18" t="str">
        <f aca="false">IF(COUNTIF(LOOKAHEAD!$A$5:$A$604,A5485)&gt;0,"En Lookahead",IF(P5485="Sí","INCORPORAR",""))</f>
        <v/>
      </c>
    </row>
    <row r="5486" customFormat="false" ht="15" hidden="false" customHeight="false" outlineLevel="0" collapsed="false">
      <c r="A5486" s="13" t="s">
        <v>16601</v>
      </c>
      <c r="B5486" s="13" t="n">
        <v>5481</v>
      </c>
      <c r="C5486" s="13" t="s">
        <v>16602</v>
      </c>
      <c r="D5486" s="13" t="n">
        <v>5</v>
      </c>
      <c r="E5486" s="34" t="s">
        <v>16603</v>
      </c>
      <c r="F5486" s="13" t="s">
        <v>1298</v>
      </c>
      <c r="G5486" s="13" t="s">
        <v>1169</v>
      </c>
      <c r="H5486" s="13" t="s">
        <v>16451</v>
      </c>
      <c r="I5486" s="13" t="s">
        <v>136</v>
      </c>
      <c r="J5486" s="13" t="s">
        <v>16451</v>
      </c>
      <c r="K5486" s="30" t="n">
        <v>127</v>
      </c>
      <c r="L5486" s="31" t="n">
        <v>46138</v>
      </c>
      <c r="M5486" s="31" t="n">
        <v>46344</v>
      </c>
      <c r="N5486" s="13"/>
      <c r="O5486" s="13"/>
      <c r="P5486" s="13"/>
      <c r="Q5486" s="13"/>
    </row>
    <row r="5487" customFormat="false" ht="15" hidden="false" customHeight="false" outlineLevel="0" collapsed="false">
      <c r="A5487" s="16" t="s">
        <v>16604</v>
      </c>
      <c r="B5487" s="16" t="n">
        <v>5482</v>
      </c>
      <c r="C5487" s="16" t="s">
        <v>16605</v>
      </c>
      <c r="D5487" s="16" t="n">
        <v>6</v>
      </c>
      <c r="E5487" s="35" t="s">
        <v>16606</v>
      </c>
      <c r="F5487" s="16" t="s">
        <v>1285</v>
      </c>
      <c r="G5487" s="16" t="s">
        <v>1169</v>
      </c>
      <c r="H5487" s="16" t="s">
        <v>16451</v>
      </c>
      <c r="I5487" s="16" t="s">
        <v>136</v>
      </c>
      <c r="J5487" s="16" t="s">
        <v>16603</v>
      </c>
      <c r="K5487" s="32" t="n">
        <v>1</v>
      </c>
      <c r="L5487" s="33" t="n">
        <v>46138</v>
      </c>
      <c r="M5487" s="33" t="n">
        <v>46138</v>
      </c>
      <c r="N5487" s="16" t="s">
        <v>16607</v>
      </c>
      <c r="O5487" s="16"/>
      <c r="P5487" s="16" t="str">
        <f aca="false">IF(AND(L5487&lt;=$D$2,M5487&gt;=$C$2),"Sí","")</f>
        <v/>
      </c>
      <c r="Q5487" s="18" t="str">
        <f aca="false">IF(COUNTIF(LOOKAHEAD!$A$5:$A$604,A5487)&gt;0,"En Lookahead",IF(P5487="Sí","INCORPORAR",""))</f>
        <v/>
      </c>
    </row>
    <row r="5488" customFormat="false" ht="15" hidden="false" customHeight="false" outlineLevel="0" collapsed="false">
      <c r="A5488" s="16" t="s">
        <v>16608</v>
      </c>
      <c r="B5488" s="16" t="n">
        <v>5483</v>
      </c>
      <c r="C5488" s="16" t="s">
        <v>16609</v>
      </c>
      <c r="D5488" s="16" t="n">
        <v>6</v>
      </c>
      <c r="E5488" s="35" t="s">
        <v>16610</v>
      </c>
      <c r="F5488" s="16" t="s">
        <v>1285</v>
      </c>
      <c r="G5488" s="16" t="s">
        <v>1169</v>
      </c>
      <c r="H5488" s="16" t="s">
        <v>16451</v>
      </c>
      <c r="I5488" s="16" t="s">
        <v>136</v>
      </c>
      <c r="J5488" s="16" t="s">
        <v>16603</v>
      </c>
      <c r="K5488" s="32" t="n">
        <v>1</v>
      </c>
      <c r="L5488" s="33" t="n">
        <v>46139</v>
      </c>
      <c r="M5488" s="33" t="n">
        <v>46139</v>
      </c>
      <c r="N5488" s="16" t="s">
        <v>16611</v>
      </c>
      <c r="O5488" s="16"/>
      <c r="P5488" s="16" t="str">
        <f aca="false">IF(AND(L5488&lt;=$D$2,M5488&gt;=$C$2),"Sí","")</f>
        <v/>
      </c>
      <c r="Q5488" s="18" t="str">
        <f aca="false">IF(COUNTIF(LOOKAHEAD!$A$5:$A$604,A5488)&gt;0,"En Lookahead",IF(P5488="Sí","INCORPORAR",""))</f>
        <v/>
      </c>
    </row>
    <row r="5489" customFormat="false" ht="15" hidden="false" customHeight="false" outlineLevel="0" collapsed="false">
      <c r="A5489" s="16" t="s">
        <v>16612</v>
      </c>
      <c r="B5489" s="16" t="n">
        <v>5484</v>
      </c>
      <c r="C5489" s="16" t="s">
        <v>16613</v>
      </c>
      <c r="D5489" s="16" t="n">
        <v>6</v>
      </c>
      <c r="E5489" s="35" t="s">
        <v>16614</v>
      </c>
      <c r="F5489" s="16" t="s">
        <v>1285</v>
      </c>
      <c r="G5489" s="16" t="s">
        <v>1169</v>
      </c>
      <c r="H5489" s="16" t="s">
        <v>16451</v>
      </c>
      <c r="I5489" s="16" t="s">
        <v>136</v>
      </c>
      <c r="J5489" s="16" t="s">
        <v>16603</v>
      </c>
      <c r="K5489" s="32" t="n">
        <v>1</v>
      </c>
      <c r="L5489" s="33" t="n">
        <v>46140</v>
      </c>
      <c r="M5489" s="33" t="n">
        <v>46140</v>
      </c>
      <c r="N5489" s="16" t="s">
        <v>16615</v>
      </c>
      <c r="O5489" s="16"/>
      <c r="P5489" s="16" t="str">
        <f aca="false">IF(AND(L5489&lt;=$D$2,M5489&gt;=$C$2),"Sí","")</f>
        <v/>
      </c>
      <c r="Q5489" s="18" t="str">
        <f aca="false">IF(COUNTIF(LOOKAHEAD!$A$5:$A$604,A5489)&gt;0,"En Lookahead",IF(P5489="Sí","INCORPORAR",""))</f>
        <v/>
      </c>
    </row>
    <row r="5490" customFormat="false" ht="15" hidden="false" customHeight="false" outlineLevel="0" collapsed="false">
      <c r="A5490" s="16" t="s">
        <v>16616</v>
      </c>
      <c r="B5490" s="16" t="n">
        <v>5485</v>
      </c>
      <c r="C5490" s="16" t="s">
        <v>16617</v>
      </c>
      <c r="D5490" s="16" t="n">
        <v>6</v>
      </c>
      <c r="E5490" s="35" t="s">
        <v>16618</v>
      </c>
      <c r="F5490" s="16" t="s">
        <v>1285</v>
      </c>
      <c r="G5490" s="16" t="s">
        <v>1169</v>
      </c>
      <c r="H5490" s="16" t="s">
        <v>16451</v>
      </c>
      <c r="I5490" s="16" t="s">
        <v>136</v>
      </c>
      <c r="J5490" s="16" t="s">
        <v>16603</v>
      </c>
      <c r="K5490" s="32" t="n">
        <v>1</v>
      </c>
      <c r="L5490" s="33" t="n">
        <v>46141</v>
      </c>
      <c r="M5490" s="33" t="n">
        <v>46141</v>
      </c>
      <c r="N5490" s="16" t="s">
        <v>16619</v>
      </c>
      <c r="O5490" s="16"/>
      <c r="P5490" s="16" t="str">
        <f aca="false">IF(AND(L5490&lt;=$D$2,M5490&gt;=$C$2),"Sí","")</f>
        <v/>
      </c>
      <c r="Q5490" s="18" t="str">
        <f aca="false">IF(COUNTIF(LOOKAHEAD!$A$5:$A$604,A5490)&gt;0,"En Lookahead",IF(P5490="Sí","INCORPORAR",""))</f>
        <v/>
      </c>
    </row>
    <row r="5491" customFormat="false" ht="15" hidden="false" customHeight="false" outlineLevel="0" collapsed="false">
      <c r="A5491" s="16" t="s">
        <v>16620</v>
      </c>
      <c r="B5491" s="16" t="n">
        <v>5486</v>
      </c>
      <c r="C5491" s="16" t="s">
        <v>16621</v>
      </c>
      <c r="D5491" s="16" t="n">
        <v>6</v>
      </c>
      <c r="E5491" s="35" t="s">
        <v>16622</v>
      </c>
      <c r="F5491" s="16" t="s">
        <v>1285</v>
      </c>
      <c r="G5491" s="16" t="s">
        <v>1169</v>
      </c>
      <c r="H5491" s="16" t="s">
        <v>16451</v>
      </c>
      <c r="I5491" s="16" t="s">
        <v>136</v>
      </c>
      <c r="J5491" s="16" t="s">
        <v>16603</v>
      </c>
      <c r="K5491" s="32" t="n">
        <v>1</v>
      </c>
      <c r="L5491" s="33" t="n">
        <v>46142</v>
      </c>
      <c r="M5491" s="33" t="n">
        <v>46142</v>
      </c>
      <c r="N5491" s="16" t="s">
        <v>16623</v>
      </c>
      <c r="O5491" s="16"/>
      <c r="P5491" s="16" t="str">
        <f aca="false">IF(AND(L5491&lt;=$D$2,M5491&gt;=$C$2),"Sí","")</f>
        <v/>
      </c>
      <c r="Q5491" s="18" t="str">
        <f aca="false">IF(COUNTIF(LOOKAHEAD!$A$5:$A$604,A5491)&gt;0,"En Lookahead",IF(P5491="Sí","INCORPORAR",""))</f>
        <v/>
      </c>
    </row>
    <row r="5492" customFormat="false" ht="15" hidden="false" customHeight="false" outlineLevel="0" collapsed="false">
      <c r="A5492" s="16" t="s">
        <v>16624</v>
      </c>
      <c r="B5492" s="16" t="n">
        <v>5487</v>
      </c>
      <c r="C5492" s="16" t="s">
        <v>16625</v>
      </c>
      <c r="D5492" s="16" t="n">
        <v>6</v>
      </c>
      <c r="E5492" s="35" t="s">
        <v>16626</v>
      </c>
      <c r="F5492" s="16" t="s">
        <v>1285</v>
      </c>
      <c r="G5492" s="16" t="s">
        <v>1169</v>
      </c>
      <c r="H5492" s="16" t="s">
        <v>16451</v>
      </c>
      <c r="I5492" s="16" t="s">
        <v>136</v>
      </c>
      <c r="J5492" s="16" t="s">
        <v>16603</v>
      </c>
      <c r="K5492" s="32" t="n">
        <v>1</v>
      </c>
      <c r="L5492" s="33" t="n">
        <v>46343</v>
      </c>
      <c r="M5492" s="33" t="n">
        <v>46343</v>
      </c>
      <c r="N5492" s="16" t="s">
        <v>16627</v>
      </c>
      <c r="O5492" s="16"/>
      <c r="P5492" s="16" t="str">
        <f aca="false">IF(AND(L5492&lt;=$D$2,M5492&gt;=$C$2),"Sí","")</f>
        <v/>
      </c>
      <c r="Q5492" s="18" t="str">
        <f aca="false">IF(COUNTIF(LOOKAHEAD!$A$5:$A$604,A5492)&gt;0,"En Lookahead",IF(P5492="Sí","INCORPORAR",""))</f>
        <v/>
      </c>
    </row>
    <row r="5493" customFormat="false" ht="15" hidden="false" customHeight="false" outlineLevel="0" collapsed="false">
      <c r="A5493" s="16" t="s">
        <v>16628</v>
      </c>
      <c r="B5493" s="16" t="n">
        <v>5488</v>
      </c>
      <c r="C5493" s="16" t="s">
        <v>16629</v>
      </c>
      <c r="D5493" s="16" t="n">
        <v>6</v>
      </c>
      <c r="E5493" s="35" t="s">
        <v>16630</v>
      </c>
      <c r="F5493" s="16" t="s">
        <v>1285</v>
      </c>
      <c r="G5493" s="16" t="s">
        <v>1169</v>
      </c>
      <c r="H5493" s="16" t="s">
        <v>16451</v>
      </c>
      <c r="I5493" s="16" t="s">
        <v>136</v>
      </c>
      <c r="J5493" s="16" t="s">
        <v>16603</v>
      </c>
      <c r="K5493" s="32" t="n">
        <v>1</v>
      </c>
      <c r="L5493" s="33" t="n">
        <v>46344</v>
      </c>
      <c r="M5493" s="33" t="n">
        <v>46344</v>
      </c>
      <c r="N5493" s="16" t="s">
        <v>16631</v>
      </c>
      <c r="O5493" s="16"/>
      <c r="P5493" s="16" t="str">
        <f aca="false">IF(AND(L5493&lt;=$D$2,M5493&gt;=$C$2),"Sí","")</f>
        <v/>
      </c>
      <c r="Q5493" s="18" t="str">
        <f aca="false">IF(COUNTIF(LOOKAHEAD!$A$5:$A$604,A5493)&gt;0,"En Lookahead",IF(P5493="Sí","INCORPORAR",""))</f>
        <v/>
      </c>
    </row>
    <row r="5494" customFormat="false" ht="15" hidden="false" customHeight="false" outlineLevel="0" collapsed="false">
      <c r="A5494" s="13" t="s">
        <v>16632</v>
      </c>
      <c r="B5494" s="13" t="n">
        <v>5489</v>
      </c>
      <c r="C5494" s="13" t="s">
        <v>16633</v>
      </c>
      <c r="D5494" s="13" t="n">
        <v>4</v>
      </c>
      <c r="E5494" s="20" t="s">
        <v>16634</v>
      </c>
      <c r="F5494" s="13" t="s">
        <v>1298</v>
      </c>
      <c r="G5494" s="13" t="s">
        <v>1169</v>
      </c>
      <c r="H5494" s="13" t="s">
        <v>16634</v>
      </c>
      <c r="I5494" s="13" t="s">
        <v>136</v>
      </c>
      <c r="J5494" s="13" t="s">
        <v>16322</v>
      </c>
      <c r="K5494" s="30" t="n">
        <v>18</v>
      </c>
      <c r="L5494" s="31" t="n">
        <v>46345</v>
      </c>
      <c r="M5494" s="31" t="n">
        <v>46362</v>
      </c>
      <c r="N5494" s="13"/>
      <c r="O5494" s="13"/>
      <c r="P5494" s="13"/>
      <c r="Q5494" s="13"/>
    </row>
    <row r="5495" customFormat="false" ht="15" hidden="false" customHeight="false" outlineLevel="0" collapsed="false">
      <c r="A5495" s="16" t="s">
        <v>16635</v>
      </c>
      <c r="B5495" s="16" t="n">
        <v>5490</v>
      </c>
      <c r="C5495" s="16" t="s">
        <v>16636</v>
      </c>
      <c r="D5495" s="16" t="n">
        <v>5</v>
      </c>
      <c r="E5495" s="21" t="s">
        <v>16637</v>
      </c>
      <c r="F5495" s="16" t="s">
        <v>1285</v>
      </c>
      <c r="G5495" s="16" t="s">
        <v>1169</v>
      </c>
      <c r="H5495" s="16" t="s">
        <v>16634</v>
      </c>
      <c r="I5495" s="16" t="s">
        <v>136</v>
      </c>
      <c r="J5495" s="16" t="s">
        <v>16634</v>
      </c>
      <c r="K5495" s="32" t="n">
        <v>2</v>
      </c>
      <c r="L5495" s="33" t="n">
        <v>46345</v>
      </c>
      <c r="M5495" s="33" t="n">
        <v>46346</v>
      </c>
      <c r="N5495" s="16" t="s">
        <v>16638</v>
      </c>
      <c r="O5495" s="16"/>
      <c r="P5495" s="16" t="str">
        <f aca="false">IF(AND(L5495&lt;=$D$2,M5495&gt;=$C$2),"Sí","")</f>
        <v/>
      </c>
      <c r="Q5495" s="18" t="str">
        <f aca="false">IF(COUNTIF(LOOKAHEAD!$A$5:$A$604,A5495)&gt;0,"En Lookahead",IF(P5495="Sí","INCORPORAR",""))</f>
        <v/>
      </c>
    </row>
    <row r="5496" customFormat="false" ht="15" hidden="false" customHeight="false" outlineLevel="0" collapsed="false">
      <c r="A5496" s="16" t="s">
        <v>16639</v>
      </c>
      <c r="B5496" s="16" t="n">
        <v>5491</v>
      </c>
      <c r="C5496" s="16" t="s">
        <v>16640</v>
      </c>
      <c r="D5496" s="16" t="n">
        <v>5</v>
      </c>
      <c r="E5496" s="21" t="s">
        <v>16641</v>
      </c>
      <c r="F5496" s="16" t="s">
        <v>1285</v>
      </c>
      <c r="G5496" s="16" t="s">
        <v>1169</v>
      </c>
      <c r="H5496" s="16" t="s">
        <v>16634</v>
      </c>
      <c r="I5496" s="16" t="s">
        <v>136</v>
      </c>
      <c r="J5496" s="16" t="s">
        <v>16634</v>
      </c>
      <c r="K5496" s="32" t="n">
        <v>8</v>
      </c>
      <c r="L5496" s="33" t="n">
        <v>46347</v>
      </c>
      <c r="M5496" s="33" t="n">
        <v>46354</v>
      </c>
      <c r="N5496" s="16" t="s">
        <v>16642</v>
      </c>
      <c r="O5496" s="16"/>
      <c r="P5496" s="16" t="str">
        <f aca="false">IF(AND(L5496&lt;=$D$2,M5496&gt;=$C$2),"Sí","")</f>
        <v/>
      </c>
      <c r="Q5496" s="18" t="str">
        <f aca="false">IF(COUNTIF(LOOKAHEAD!$A$5:$A$604,A5496)&gt;0,"En Lookahead",IF(P5496="Sí","INCORPORAR",""))</f>
        <v/>
      </c>
    </row>
    <row r="5497" customFormat="false" ht="15" hidden="false" customHeight="false" outlineLevel="0" collapsed="false">
      <c r="A5497" s="16" t="s">
        <v>16643</v>
      </c>
      <c r="B5497" s="16" t="n">
        <v>5492</v>
      </c>
      <c r="C5497" s="16" t="s">
        <v>16644</v>
      </c>
      <c r="D5497" s="16" t="n">
        <v>5</v>
      </c>
      <c r="E5497" s="21" t="s">
        <v>16645</v>
      </c>
      <c r="F5497" s="16" t="s">
        <v>1285</v>
      </c>
      <c r="G5497" s="16" t="s">
        <v>1169</v>
      </c>
      <c r="H5497" s="16" t="s">
        <v>16634</v>
      </c>
      <c r="I5497" s="16" t="s">
        <v>136</v>
      </c>
      <c r="J5497" s="16" t="s">
        <v>16634</v>
      </c>
      <c r="K5497" s="32" t="n">
        <v>1</v>
      </c>
      <c r="L5497" s="33" t="n">
        <v>46355</v>
      </c>
      <c r="M5497" s="33" t="n">
        <v>46355</v>
      </c>
      <c r="N5497" s="16" t="s">
        <v>16646</v>
      </c>
      <c r="O5497" s="16"/>
      <c r="P5497" s="16" t="str">
        <f aca="false">IF(AND(L5497&lt;=$D$2,M5497&gt;=$C$2),"Sí","")</f>
        <v/>
      </c>
      <c r="Q5497" s="18" t="str">
        <f aca="false">IF(COUNTIF(LOOKAHEAD!$A$5:$A$604,A5497)&gt;0,"En Lookahead",IF(P5497="Sí","INCORPORAR",""))</f>
        <v/>
      </c>
    </row>
    <row r="5498" customFormat="false" ht="15" hidden="false" customHeight="false" outlineLevel="0" collapsed="false">
      <c r="A5498" s="16" t="s">
        <v>16647</v>
      </c>
      <c r="B5498" s="16" t="n">
        <v>5493</v>
      </c>
      <c r="C5498" s="16" t="s">
        <v>16648</v>
      </c>
      <c r="D5498" s="16" t="n">
        <v>5</v>
      </c>
      <c r="E5498" s="21" t="s">
        <v>16649</v>
      </c>
      <c r="F5498" s="16" t="s">
        <v>1285</v>
      </c>
      <c r="G5498" s="16" t="s">
        <v>1169</v>
      </c>
      <c r="H5498" s="16" t="s">
        <v>16634</v>
      </c>
      <c r="I5498" s="16" t="s">
        <v>136</v>
      </c>
      <c r="J5498" s="16" t="s">
        <v>16634</v>
      </c>
      <c r="K5498" s="32" t="n">
        <v>1</v>
      </c>
      <c r="L5498" s="33" t="n">
        <v>46356</v>
      </c>
      <c r="M5498" s="33" t="n">
        <v>46356</v>
      </c>
      <c r="N5498" s="16" t="s">
        <v>16650</v>
      </c>
      <c r="O5498" s="16"/>
      <c r="P5498" s="16" t="str">
        <f aca="false">IF(AND(L5498&lt;=$D$2,M5498&gt;=$C$2),"Sí","")</f>
        <v/>
      </c>
      <c r="Q5498" s="18" t="str">
        <f aca="false">IF(COUNTIF(LOOKAHEAD!$A$5:$A$604,A5498)&gt;0,"En Lookahead",IF(P5498="Sí","INCORPORAR",""))</f>
        <v/>
      </c>
    </row>
    <row r="5499" customFormat="false" ht="15" hidden="false" customHeight="false" outlineLevel="0" collapsed="false">
      <c r="A5499" s="16" t="s">
        <v>16651</v>
      </c>
      <c r="B5499" s="16" t="n">
        <v>5494</v>
      </c>
      <c r="C5499" s="16" t="s">
        <v>16652</v>
      </c>
      <c r="D5499" s="16" t="n">
        <v>5</v>
      </c>
      <c r="E5499" s="21" t="s">
        <v>16653</v>
      </c>
      <c r="F5499" s="16" t="s">
        <v>1285</v>
      </c>
      <c r="G5499" s="16" t="s">
        <v>1169</v>
      </c>
      <c r="H5499" s="16" t="s">
        <v>16634</v>
      </c>
      <c r="I5499" s="16" t="s">
        <v>136</v>
      </c>
      <c r="J5499" s="16" t="s">
        <v>16634</v>
      </c>
      <c r="K5499" s="32" t="n">
        <v>2</v>
      </c>
      <c r="L5499" s="33" t="n">
        <v>46357</v>
      </c>
      <c r="M5499" s="33" t="n">
        <v>46358</v>
      </c>
      <c r="N5499" s="16" t="s">
        <v>16654</v>
      </c>
      <c r="O5499" s="16"/>
      <c r="P5499" s="16" t="str">
        <f aca="false">IF(AND(L5499&lt;=$D$2,M5499&gt;=$C$2),"Sí","")</f>
        <v/>
      </c>
      <c r="Q5499" s="18" t="str">
        <f aca="false">IF(COUNTIF(LOOKAHEAD!$A$5:$A$604,A5499)&gt;0,"En Lookahead",IF(P5499="Sí","INCORPORAR",""))</f>
        <v/>
      </c>
    </row>
    <row r="5500" customFormat="false" ht="15" hidden="false" customHeight="false" outlineLevel="0" collapsed="false">
      <c r="A5500" s="16" t="s">
        <v>16655</v>
      </c>
      <c r="B5500" s="16" t="n">
        <v>5495</v>
      </c>
      <c r="C5500" s="16" t="s">
        <v>16656</v>
      </c>
      <c r="D5500" s="16" t="n">
        <v>5</v>
      </c>
      <c r="E5500" s="21" t="s">
        <v>16657</v>
      </c>
      <c r="F5500" s="16" t="s">
        <v>1285</v>
      </c>
      <c r="G5500" s="16" t="s">
        <v>1169</v>
      </c>
      <c r="H5500" s="16" t="s">
        <v>16634</v>
      </c>
      <c r="I5500" s="16" t="s">
        <v>136</v>
      </c>
      <c r="J5500" s="16" t="s">
        <v>16634</v>
      </c>
      <c r="K5500" s="32" t="n">
        <v>1</v>
      </c>
      <c r="L5500" s="33" t="n">
        <v>46359</v>
      </c>
      <c r="M5500" s="33" t="n">
        <v>46359</v>
      </c>
      <c r="N5500" s="16" t="s">
        <v>16658</v>
      </c>
      <c r="O5500" s="16"/>
      <c r="P5500" s="16" t="str">
        <f aca="false">IF(AND(L5500&lt;=$D$2,M5500&gt;=$C$2),"Sí","")</f>
        <v/>
      </c>
      <c r="Q5500" s="18" t="str">
        <f aca="false">IF(COUNTIF(LOOKAHEAD!$A$5:$A$604,A5500)&gt;0,"En Lookahead",IF(P5500="Sí","INCORPORAR",""))</f>
        <v/>
      </c>
    </row>
    <row r="5501" customFormat="false" ht="15" hidden="false" customHeight="false" outlineLevel="0" collapsed="false">
      <c r="A5501" s="16" t="s">
        <v>16659</v>
      </c>
      <c r="B5501" s="16" t="n">
        <v>5496</v>
      </c>
      <c r="C5501" s="16" t="s">
        <v>16660</v>
      </c>
      <c r="D5501" s="16" t="n">
        <v>5</v>
      </c>
      <c r="E5501" s="21" t="s">
        <v>16661</v>
      </c>
      <c r="F5501" s="16" t="s">
        <v>1285</v>
      </c>
      <c r="G5501" s="16" t="s">
        <v>1169</v>
      </c>
      <c r="H5501" s="16" t="s">
        <v>16634</v>
      </c>
      <c r="I5501" s="16" t="s">
        <v>136</v>
      </c>
      <c r="J5501" s="16" t="s">
        <v>16634</v>
      </c>
      <c r="K5501" s="32" t="n">
        <v>1</v>
      </c>
      <c r="L5501" s="33" t="n">
        <v>46360</v>
      </c>
      <c r="M5501" s="33" t="n">
        <v>46360</v>
      </c>
      <c r="N5501" s="16" t="s">
        <v>16662</v>
      </c>
      <c r="O5501" s="16"/>
      <c r="P5501" s="16" t="str">
        <f aca="false">IF(AND(L5501&lt;=$D$2,M5501&gt;=$C$2),"Sí","")</f>
        <v/>
      </c>
      <c r="Q5501" s="18" t="str">
        <f aca="false">IF(COUNTIF(LOOKAHEAD!$A$5:$A$604,A5501)&gt;0,"En Lookahead",IF(P5501="Sí","INCORPORAR",""))</f>
        <v/>
      </c>
    </row>
    <row r="5502" customFormat="false" ht="15" hidden="false" customHeight="false" outlineLevel="0" collapsed="false">
      <c r="A5502" s="16" t="s">
        <v>16663</v>
      </c>
      <c r="B5502" s="16" t="n">
        <v>5497</v>
      </c>
      <c r="C5502" s="16" t="s">
        <v>16664</v>
      </c>
      <c r="D5502" s="16" t="n">
        <v>5</v>
      </c>
      <c r="E5502" s="21" t="s">
        <v>16665</v>
      </c>
      <c r="F5502" s="16" t="s">
        <v>1285</v>
      </c>
      <c r="G5502" s="16" t="s">
        <v>1169</v>
      </c>
      <c r="H5502" s="16" t="s">
        <v>16634</v>
      </c>
      <c r="I5502" s="16" t="s">
        <v>136</v>
      </c>
      <c r="J5502" s="16" t="s">
        <v>16634</v>
      </c>
      <c r="K5502" s="32" t="n">
        <v>1</v>
      </c>
      <c r="L5502" s="33" t="n">
        <v>46361</v>
      </c>
      <c r="M5502" s="33" t="n">
        <v>46361</v>
      </c>
      <c r="N5502" s="16" t="s">
        <v>16666</v>
      </c>
      <c r="O5502" s="16"/>
      <c r="P5502" s="16" t="str">
        <f aca="false">IF(AND(L5502&lt;=$D$2,M5502&gt;=$C$2),"Sí","")</f>
        <v/>
      </c>
      <c r="Q5502" s="18" t="str">
        <f aca="false">IF(COUNTIF(LOOKAHEAD!$A$5:$A$604,A5502)&gt;0,"En Lookahead",IF(P5502="Sí","INCORPORAR",""))</f>
        <v/>
      </c>
    </row>
    <row r="5503" customFormat="false" ht="15" hidden="false" customHeight="false" outlineLevel="0" collapsed="false">
      <c r="A5503" s="16" t="s">
        <v>16667</v>
      </c>
      <c r="B5503" s="16" t="n">
        <v>5498</v>
      </c>
      <c r="C5503" s="16" t="s">
        <v>16668</v>
      </c>
      <c r="D5503" s="16" t="n">
        <v>5</v>
      </c>
      <c r="E5503" s="21" t="s">
        <v>16669</v>
      </c>
      <c r="F5503" s="16" t="s">
        <v>1285</v>
      </c>
      <c r="G5503" s="16" t="s">
        <v>1169</v>
      </c>
      <c r="H5503" s="16" t="s">
        <v>16634</v>
      </c>
      <c r="I5503" s="16" t="s">
        <v>136</v>
      </c>
      <c r="J5503" s="16" t="s">
        <v>16634</v>
      </c>
      <c r="K5503" s="32" t="n">
        <v>1</v>
      </c>
      <c r="L5503" s="33" t="n">
        <v>46362</v>
      </c>
      <c r="M5503" s="33" t="n">
        <v>46362</v>
      </c>
      <c r="N5503" s="16" t="s">
        <v>16670</v>
      </c>
      <c r="O5503" s="16"/>
      <c r="P5503" s="16" t="str">
        <f aca="false">IF(AND(L5503&lt;=$D$2,M5503&gt;=$C$2),"Sí","")</f>
        <v/>
      </c>
      <c r="Q5503" s="18" t="str">
        <f aca="false">IF(COUNTIF(LOOKAHEAD!$A$5:$A$604,A5503)&gt;0,"En Lookahead",IF(P5503="Sí","INCORPORAR",""))</f>
        <v/>
      </c>
    </row>
    <row r="5504" customFormat="false" ht="15" hidden="false" customHeight="false" outlineLevel="0" collapsed="false">
      <c r="A5504" s="13" t="s">
        <v>16671</v>
      </c>
      <c r="B5504" s="13" t="n">
        <v>5499</v>
      </c>
      <c r="C5504" s="13" t="s">
        <v>16672</v>
      </c>
      <c r="D5504" s="13" t="n">
        <v>4</v>
      </c>
      <c r="E5504" s="20" t="s">
        <v>16673</v>
      </c>
      <c r="F5504" s="13" t="s">
        <v>1298</v>
      </c>
      <c r="G5504" s="13" t="s">
        <v>1169</v>
      </c>
      <c r="H5504" s="13" t="s">
        <v>16673</v>
      </c>
      <c r="I5504" s="13" t="s">
        <v>136</v>
      </c>
      <c r="J5504" s="13" t="s">
        <v>16322</v>
      </c>
      <c r="K5504" s="30" t="n">
        <v>64</v>
      </c>
      <c r="L5504" s="31" t="n">
        <v>46355</v>
      </c>
      <c r="M5504" s="31" t="n">
        <v>46418</v>
      </c>
      <c r="N5504" s="13"/>
      <c r="O5504" s="13"/>
      <c r="P5504" s="13"/>
      <c r="Q5504" s="13"/>
    </row>
    <row r="5505" customFormat="false" ht="15" hidden="false" customHeight="false" outlineLevel="0" collapsed="false">
      <c r="A5505" s="13" t="s">
        <v>16674</v>
      </c>
      <c r="B5505" s="13" t="n">
        <v>5500</v>
      </c>
      <c r="C5505" s="13" t="s">
        <v>16675</v>
      </c>
      <c r="D5505" s="13" t="n">
        <v>5</v>
      </c>
      <c r="E5505" s="34" t="s">
        <v>16676</v>
      </c>
      <c r="F5505" s="13" t="s">
        <v>1298</v>
      </c>
      <c r="G5505" s="13" t="s">
        <v>1169</v>
      </c>
      <c r="H5505" s="13" t="s">
        <v>16673</v>
      </c>
      <c r="I5505" s="13" t="s">
        <v>136</v>
      </c>
      <c r="J5505" s="13" t="s">
        <v>16673</v>
      </c>
      <c r="K5505" s="30" t="n">
        <v>18</v>
      </c>
      <c r="L5505" s="31" t="n">
        <v>46371</v>
      </c>
      <c r="M5505" s="31" t="n">
        <v>46388</v>
      </c>
      <c r="N5505" s="13"/>
      <c r="O5505" s="13"/>
      <c r="P5505" s="13"/>
      <c r="Q5505" s="13"/>
    </row>
    <row r="5506" customFormat="false" ht="15" hidden="false" customHeight="false" outlineLevel="0" collapsed="false">
      <c r="A5506" s="16" t="s">
        <v>16677</v>
      </c>
      <c r="B5506" s="16" t="n">
        <v>5501</v>
      </c>
      <c r="C5506" s="16" t="s">
        <v>16678</v>
      </c>
      <c r="D5506" s="16" t="n">
        <v>6</v>
      </c>
      <c r="E5506" s="35" t="s">
        <v>16679</v>
      </c>
      <c r="F5506" s="16" t="s">
        <v>1285</v>
      </c>
      <c r="G5506" s="16" t="s">
        <v>1169</v>
      </c>
      <c r="H5506" s="16" t="s">
        <v>16673</v>
      </c>
      <c r="I5506" s="16" t="s">
        <v>136</v>
      </c>
      <c r="J5506" s="16" t="s">
        <v>16676</v>
      </c>
      <c r="K5506" s="32" t="n">
        <v>2</v>
      </c>
      <c r="L5506" s="33" t="n">
        <v>46371</v>
      </c>
      <c r="M5506" s="33" t="n">
        <v>46372</v>
      </c>
      <c r="N5506" s="16" t="s">
        <v>16680</v>
      </c>
      <c r="O5506" s="16"/>
      <c r="P5506" s="16" t="str">
        <f aca="false">IF(AND(L5506&lt;=$D$2,M5506&gt;=$C$2),"Sí","")</f>
        <v/>
      </c>
      <c r="Q5506" s="18" t="str">
        <f aca="false">IF(COUNTIF(LOOKAHEAD!$A$5:$A$604,A5506)&gt;0,"En Lookahead",IF(P5506="Sí","INCORPORAR",""))</f>
        <v/>
      </c>
    </row>
    <row r="5507" customFormat="false" ht="15" hidden="false" customHeight="false" outlineLevel="0" collapsed="false">
      <c r="A5507" s="16" t="s">
        <v>16681</v>
      </c>
      <c r="B5507" s="16" t="n">
        <v>5502</v>
      </c>
      <c r="C5507" s="16" t="s">
        <v>16682</v>
      </c>
      <c r="D5507" s="16" t="n">
        <v>6</v>
      </c>
      <c r="E5507" s="35" t="s">
        <v>16683</v>
      </c>
      <c r="F5507" s="16" t="s">
        <v>1285</v>
      </c>
      <c r="G5507" s="16" t="s">
        <v>1169</v>
      </c>
      <c r="H5507" s="16" t="s">
        <v>16673</v>
      </c>
      <c r="I5507" s="16" t="s">
        <v>136</v>
      </c>
      <c r="J5507" s="16" t="s">
        <v>16676</v>
      </c>
      <c r="K5507" s="32" t="n">
        <v>1</v>
      </c>
      <c r="L5507" s="33" t="n">
        <v>46373</v>
      </c>
      <c r="M5507" s="33" t="n">
        <v>46373</v>
      </c>
      <c r="N5507" s="16" t="s">
        <v>16684</v>
      </c>
      <c r="O5507" s="16"/>
      <c r="P5507" s="16" t="str">
        <f aca="false">IF(AND(L5507&lt;=$D$2,M5507&gt;=$C$2),"Sí","")</f>
        <v/>
      </c>
      <c r="Q5507" s="18" t="str">
        <f aca="false">IF(COUNTIF(LOOKAHEAD!$A$5:$A$604,A5507)&gt;0,"En Lookahead",IF(P5507="Sí","INCORPORAR",""))</f>
        <v/>
      </c>
    </row>
    <row r="5508" customFormat="false" ht="15" hidden="false" customHeight="false" outlineLevel="0" collapsed="false">
      <c r="A5508" s="16" t="s">
        <v>16685</v>
      </c>
      <c r="B5508" s="16" t="n">
        <v>5503</v>
      </c>
      <c r="C5508" s="16" t="s">
        <v>16686</v>
      </c>
      <c r="D5508" s="16" t="n">
        <v>6</v>
      </c>
      <c r="E5508" s="35" t="s">
        <v>16687</v>
      </c>
      <c r="F5508" s="16" t="s">
        <v>1285</v>
      </c>
      <c r="G5508" s="16" t="s">
        <v>1169</v>
      </c>
      <c r="H5508" s="16" t="s">
        <v>16673</v>
      </c>
      <c r="I5508" s="16" t="s">
        <v>136</v>
      </c>
      <c r="J5508" s="16" t="s">
        <v>16676</v>
      </c>
      <c r="K5508" s="32" t="n">
        <v>2</v>
      </c>
      <c r="L5508" s="33" t="n">
        <v>46374</v>
      </c>
      <c r="M5508" s="33" t="n">
        <v>46375</v>
      </c>
      <c r="N5508" s="16" t="s">
        <v>16688</v>
      </c>
      <c r="O5508" s="16"/>
      <c r="P5508" s="16" t="str">
        <f aca="false">IF(AND(L5508&lt;=$D$2,M5508&gt;=$C$2),"Sí","")</f>
        <v/>
      </c>
      <c r="Q5508" s="18" t="str">
        <f aca="false">IF(COUNTIF(LOOKAHEAD!$A$5:$A$604,A5508)&gt;0,"En Lookahead",IF(P5508="Sí","INCORPORAR",""))</f>
        <v/>
      </c>
    </row>
    <row r="5509" customFormat="false" ht="15" hidden="false" customHeight="false" outlineLevel="0" collapsed="false">
      <c r="A5509" s="16" t="s">
        <v>16689</v>
      </c>
      <c r="B5509" s="16" t="n">
        <v>5504</v>
      </c>
      <c r="C5509" s="16" t="s">
        <v>16690</v>
      </c>
      <c r="D5509" s="16" t="n">
        <v>6</v>
      </c>
      <c r="E5509" s="35" t="s">
        <v>16691</v>
      </c>
      <c r="F5509" s="16" t="s">
        <v>1285</v>
      </c>
      <c r="G5509" s="16" t="s">
        <v>1169</v>
      </c>
      <c r="H5509" s="16" t="s">
        <v>16673</v>
      </c>
      <c r="I5509" s="16" t="s">
        <v>136</v>
      </c>
      <c r="J5509" s="16" t="s">
        <v>16676</v>
      </c>
      <c r="K5509" s="32" t="n">
        <v>1</v>
      </c>
      <c r="L5509" s="33" t="n">
        <v>46376</v>
      </c>
      <c r="M5509" s="33" t="n">
        <v>46376</v>
      </c>
      <c r="N5509" s="16" t="s">
        <v>16692</v>
      </c>
      <c r="O5509" s="16"/>
      <c r="P5509" s="16" t="str">
        <f aca="false">IF(AND(L5509&lt;=$D$2,M5509&gt;=$C$2),"Sí","")</f>
        <v/>
      </c>
      <c r="Q5509" s="18" t="str">
        <f aca="false">IF(COUNTIF(LOOKAHEAD!$A$5:$A$604,A5509)&gt;0,"En Lookahead",IF(P5509="Sí","INCORPORAR",""))</f>
        <v/>
      </c>
    </row>
    <row r="5510" customFormat="false" ht="15" hidden="false" customHeight="false" outlineLevel="0" collapsed="false">
      <c r="A5510" s="16" t="s">
        <v>16693</v>
      </c>
      <c r="B5510" s="16" t="n">
        <v>5505</v>
      </c>
      <c r="C5510" s="16" t="s">
        <v>16694</v>
      </c>
      <c r="D5510" s="16" t="n">
        <v>6</v>
      </c>
      <c r="E5510" s="35" t="s">
        <v>16695</v>
      </c>
      <c r="F5510" s="16" t="s">
        <v>1285</v>
      </c>
      <c r="G5510" s="16" t="s">
        <v>1169</v>
      </c>
      <c r="H5510" s="16" t="s">
        <v>16673</v>
      </c>
      <c r="I5510" s="16" t="s">
        <v>136</v>
      </c>
      <c r="J5510" s="16" t="s">
        <v>16676</v>
      </c>
      <c r="K5510" s="32" t="n">
        <v>1</v>
      </c>
      <c r="L5510" s="33" t="n">
        <v>46377</v>
      </c>
      <c r="M5510" s="33" t="n">
        <v>46377</v>
      </c>
      <c r="N5510" s="16" t="s">
        <v>16696</v>
      </c>
      <c r="O5510" s="16"/>
      <c r="P5510" s="16" t="str">
        <f aca="false">IF(AND(L5510&lt;=$D$2,M5510&gt;=$C$2),"Sí","")</f>
        <v/>
      </c>
      <c r="Q5510" s="18" t="str">
        <f aca="false">IF(COUNTIF(LOOKAHEAD!$A$5:$A$604,A5510)&gt;0,"En Lookahead",IF(P5510="Sí","INCORPORAR",""))</f>
        <v/>
      </c>
    </row>
    <row r="5511" customFormat="false" ht="15" hidden="false" customHeight="false" outlineLevel="0" collapsed="false">
      <c r="A5511" s="16" t="s">
        <v>16697</v>
      </c>
      <c r="B5511" s="16" t="n">
        <v>5506</v>
      </c>
      <c r="C5511" s="16" t="s">
        <v>16698</v>
      </c>
      <c r="D5511" s="16" t="n">
        <v>6</v>
      </c>
      <c r="E5511" s="35" t="s">
        <v>16699</v>
      </c>
      <c r="F5511" s="16" t="s">
        <v>1285</v>
      </c>
      <c r="G5511" s="16" t="s">
        <v>1169</v>
      </c>
      <c r="H5511" s="16" t="s">
        <v>16673</v>
      </c>
      <c r="I5511" s="16" t="s">
        <v>136</v>
      </c>
      <c r="J5511" s="16" t="s">
        <v>16676</v>
      </c>
      <c r="K5511" s="32" t="n">
        <v>1</v>
      </c>
      <c r="L5511" s="33" t="n">
        <v>46378</v>
      </c>
      <c r="M5511" s="33" t="n">
        <v>46378</v>
      </c>
      <c r="N5511" s="16" t="s">
        <v>16700</v>
      </c>
      <c r="O5511" s="16"/>
      <c r="P5511" s="16" t="str">
        <f aca="false">IF(AND(L5511&lt;=$D$2,M5511&gt;=$C$2),"Sí","")</f>
        <v/>
      </c>
      <c r="Q5511" s="18" t="str">
        <f aca="false">IF(COUNTIF(LOOKAHEAD!$A$5:$A$604,A5511)&gt;0,"En Lookahead",IF(P5511="Sí","INCORPORAR",""))</f>
        <v/>
      </c>
    </row>
    <row r="5512" customFormat="false" ht="15" hidden="false" customHeight="false" outlineLevel="0" collapsed="false">
      <c r="A5512" s="16" t="s">
        <v>16701</v>
      </c>
      <c r="B5512" s="16" t="n">
        <v>5507</v>
      </c>
      <c r="C5512" s="16" t="s">
        <v>16702</v>
      </c>
      <c r="D5512" s="16" t="n">
        <v>6</v>
      </c>
      <c r="E5512" s="35" t="s">
        <v>16703</v>
      </c>
      <c r="F5512" s="16" t="s">
        <v>1285</v>
      </c>
      <c r="G5512" s="16" t="s">
        <v>1169</v>
      </c>
      <c r="H5512" s="16" t="s">
        <v>16673</v>
      </c>
      <c r="I5512" s="16" t="s">
        <v>136</v>
      </c>
      <c r="J5512" s="16" t="s">
        <v>16676</v>
      </c>
      <c r="K5512" s="32" t="n">
        <v>1</v>
      </c>
      <c r="L5512" s="33" t="n">
        <v>46379</v>
      </c>
      <c r="M5512" s="33" t="n">
        <v>46379</v>
      </c>
      <c r="N5512" s="16" t="s">
        <v>16704</v>
      </c>
      <c r="O5512" s="16"/>
      <c r="P5512" s="16" t="str">
        <f aca="false">IF(AND(L5512&lt;=$D$2,M5512&gt;=$C$2),"Sí","")</f>
        <v/>
      </c>
      <c r="Q5512" s="18" t="str">
        <f aca="false">IF(COUNTIF(LOOKAHEAD!$A$5:$A$604,A5512)&gt;0,"En Lookahead",IF(P5512="Sí","INCORPORAR",""))</f>
        <v/>
      </c>
    </row>
    <row r="5513" customFormat="false" ht="15" hidden="false" customHeight="false" outlineLevel="0" collapsed="false">
      <c r="A5513" s="16" t="s">
        <v>16705</v>
      </c>
      <c r="B5513" s="16" t="n">
        <v>5508</v>
      </c>
      <c r="C5513" s="16" t="s">
        <v>16706</v>
      </c>
      <c r="D5513" s="16" t="n">
        <v>6</v>
      </c>
      <c r="E5513" s="35" t="s">
        <v>16707</v>
      </c>
      <c r="F5513" s="16" t="s">
        <v>1285</v>
      </c>
      <c r="G5513" s="16" t="s">
        <v>1169</v>
      </c>
      <c r="H5513" s="16" t="s">
        <v>16673</v>
      </c>
      <c r="I5513" s="16" t="s">
        <v>136</v>
      </c>
      <c r="J5513" s="16" t="s">
        <v>16676</v>
      </c>
      <c r="K5513" s="32" t="n">
        <v>1</v>
      </c>
      <c r="L5513" s="33" t="n">
        <v>46380</v>
      </c>
      <c r="M5513" s="33" t="n">
        <v>46380</v>
      </c>
      <c r="N5513" s="16" t="s">
        <v>16708</v>
      </c>
      <c r="O5513" s="16"/>
      <c r="P5513" s="16" t="str">
        <f aca="false">IF(AND(L5513&lt;=$D$2,M5513&gt;=$C$2),"Sí","")</f>
        <v/>
      </c>
      <c r="Q5513" s="18" t="str">
        <f aca="false">IF(COUNTIF(LOOKAHEAD!$A$5:$A$604,A5513)&gt;0,"En Lookahead",IF(P5513="Sí","INCORPORAR",""))</f>
        <v/>
      </c>
    </row>
    <row r="5514" customFormat="false" ht="15" hidden="false" customHeight="false" outlineLevel="0" collapsed="false">
      <c r="A5514" s="16" t="s">
        <v>16709</v>
      </c>
      <c r="B5514" s="16" t="n">
        <v>5509</v>
      </c>
      <c r="C5514" s="16" t="s">
        <v>16710</v>
      </c>
      <c r="D5514" s="16" t="n">
        <v>6</v>
      </c>
      <c r="E5514" s="35" t="s">
        <v>16711</v>
      </c>
      <c r="F5514" s="16" t="s">
        <v>1285</v>
      </c>
      <c r="G5514" s="16" t="s">
        <v>1169</v>
      </c>
      <c r="H5514" s="16" t="s">
        <v>16673</v>
      </c>
      <c r="I5514" s="16" t="s">
        <v>136</v>
      </c>
      <c r="J5514" s="16" t="s">
        <v>16676</v>
      </c>
      <c r="K5514" s="32" t="n">
        <v>1</v>
      </c>
      <c r="L5514" s="33" t="n">
        <v>46381</v>
      </c>
      <c r="M5514" s="33" t="n">
        <v>46381</v>
      </c>
      <c r="N5514" s="16" t="s">
        <v>16712</v>
      </c>
      <c r="O5514" s="16"/>
      <c r="P5514" s="16" t="str">
        <f aca="false">IF(AND(L5514&lt;=$D$2,M5514&gt;=$C$2),"Sí","")</f>
        <v/>
      </c>
      <c r="Q5514" s="18" t="str">
        <f aca="false">IF(COUNTIF(LOOKAHEAD!$A$5:$A$604,A5514)&gt;0,"En Lookahead",IF(P5514="Sí","INCORPORAR",""))</f>
        <v/>
      </c>
    </row>
    <row r="5515" customFormat="false" ht="15" hidden="false" customHeight="false" outlineLevel="0" collapsed="false">
      <c r="A5515" s="16" t="s">
        <v>16713</v>
      </c>
      <c r="B5515" s="16" t="n">
        <v>5510</v>
      </c>
      <c r="C5515" s="16" t="s">
        <v>16714</v>
      </c>
      <c r="D5515" s="16" t="n">
        <v>6</v>
      </c>
      <c r="E5515" s="35" t="s">
        <v>16715</v>
      </c>
      <c r="F5515" s="16" t="s">
        <v>1285</v>
      </c>
      <c r="G5515" s="16" t="s">
        <v>1169</v>
      </c>
      <c r="H5515" s="16" t="s">
        <v>16673</v>
      </c>
      <c r="I5515" s="16" t="s">
        <v>136</v>
      </c>
      <c r="J5515" s="16" t="s">
        <v>16676</v>
      </c>
      <c r="K5515" s="32" t="n">
        <v>1</v>
      </c>
      <c r="L5515" s="33" t="n">
        <v>46382</v>
      </c>
      <c r="M5515" s="33" t="n">
        <v>46382</v>
      </c>
      <c r="N5515" s="16" t="s">
        <v>16716</v>
      </c>
      <c r="O5515" s="16"/>
      <c r="P5515" s="16" t="str">
        <f aca="false">IF(AND(L5515&lt;=$D$2,M5515&gt;=$C$2),"Sí","")</f>
        <v/>
      </c>
      <c r="Q5515" s="18" t="str">
        <f aca="false">IF(COUNTIF(LOOKAHEAD!$A$5:$A$604,A5515)&gt;0,"En Lookahead",IF(P5515="Sí","INCORPORAR",""))</f>
        <v/>
      </c>
    </row>
    <row r="5516" customFormat="false" ht="15" hidden="false" customHeight="false" outlineLevel="0" collapsed="false">
      <c r="A5516" s="16" t="s">
        <v>16717</v>
      </c>
      <c r="B5516" s="16" t="n">
        <v>5511</v>
      </c>
      <c r="C5516" s="16" t="s">
        <v>16718</v>
      </c>
      <c r="D5516" s="16" t="n">
        <v>6</v>
      </c>
      <c r="E5516" s="35" t="s">
        <v>16719</v>
      </c>
      <c r="F5516" s="16" t="s">
        <v>1285</v>
      </c>
      <c r="G5516" s="16" t="s">
        <v>1169</v>
      </c>
      <c r="H5516" s="16" t="s">
        <v>16673</v>
      </c>
      <c r="I5516" s="16" t="s">
        <v>136</v>
      </c>
      <c r="J5516" s="16" t="s">
        <v>16676</v>
      </c>
      <c r="K5516" s="32" t="n">
        <v>1</v>
      </c>
      <c r="L5516" s="33" t="n">
        <v>46383</v>
      </c>
      <c r="M5516" s="33" t="n">
        <v>46383</v>
      </c>
      <c r="N5516" s="16" t="s">
        <v>16720</v>
      </c>
      <c r="O5516" s="16"/>
      <c r="P5516" s="16" t="str">
        <f aca="false">IF(AND(L5516&lt;=$D$2,M5516&gt;=$C$2),"Sí","")</f>
        <v/>
      </c>
      <c r="Q5516" s="18" t="str">
        <f aca="false">IF(COUNTIF(LOOKAHEAD!$A$5:$A$604,A5516)&gt;0,"En Lookahead",IF(P5516="Sí","INCORPORAR",""))</f>
        <v/>
      </c>
    </row>
    <row r="5517" customFormat="false" ht="15" hidden="false" customHeight="false" outlineLevel="0" collapsed="false">
      <c r="A5517" s="16" t="s">
        <v>16721</v>
      </c>
      <c r="B5517" s="16" t="n">
        <v>5512</v>
      </c>
      <c r="C5517" s="16" t="s">
        <v>16722</v>
      </c>
      <c r="D5517" s="16" t="n">
        <v>6</v>
      </c>
      <c r="E5517" s="35" t="s">
        <v>16723</v>
      </c>
      <c r="F5517" s="16" t="s">
        <v>1285</v>
      </c>
      <c r="G5517" s="16" t="s">
        <v>1169</v>
      </c>
      <c r="H5517" s="16" t="s">
        <v>16673</v>
      </c>
      <c r="I5517" s="16" t="s">
        <v>136</v>
      </c>
      <c r="J5517" s="16" t="s">
        <v>16676</v>
      </c>
      <c r="K5517" s="32" t="n">
        <v>1</v>
      </c>
      <c r="L5517" s="33" t="n">
        <v>46384</v>
      </c>
      <c r="M5517" s="33" t="n">
        <v>46384</v>
      </c>
      <c r="N5517" s="16" t="s">
        <v>16724</v>
      </c>
      <c r="O5517" s="16"/>
      <c r="P5517" s="16" t="str">
        <f aca="false">IF(AND(L5517&lt;=$D$2,M5517&gt;=$C$2),"Sí","")</f>
        <v/>
      </c>
      <c r="Q5517" s="18" t="str">
        <f aca="false">IF(COUNTIF(LOOKAHEAD!$A$5:$A$604,A5517)&gt;0,"En Lookahead",IF(P5517="Sí","INCORPORAR",""))</f>
        <v/>
      </c>
    </row>
    <row r="5518" customFormat="false" ht="15" hidden="false" customHeight="false" outlineLevel="0" collapsed="false">
      <c r="A5518" s="16" t="s">
        <v>16725</v>
      </c>
      <c r="B5518" s="16" t="n">
        <v>5513</v>
      </c>
      <c r="C5518" s="16" t="s">
        <v>16726</v>
      </c>
      <c r="D5518" s="16" t="n">
        <v>6</v>
      </c>
      <c r="E5518" s="35" t="s">
        <v>16727</v>
      </c>
      <c r="F5518" s="16" t="s">
        <v>1285</v>
      </c>
      <c r="G5518" s="16" t="s">
        <v>1169</v>
      </c>
      <c r="H5518" s="16" t="s">
        <v>16673</v>
      </c>
      <c r="I5518" s="16" t="s">
        <v>136</v>
      </c>
      <c r="J5518" s="16" t="s">
        <v>16676</v>
      </c>
      <c r="K5518" s="32" t="n">
        <v>1</v>
      </c>
      <c r="L5518" s="33" t="n">
        <v>46385</v>
      </c>
      <c r="M5518" s="33" t="n">
        <v>46385</v>
      </c>
      <c r="N5518" s="16" t="s">
        <v>16728</v>
      </c>
      <c r="O5518" s="16"/>
      <c r="P5518" s="16" t="str">
        <f aca="false">IF(AND(L5518&lt;=$D$2,M5518&gt;=$C$2),"Sí","")</f>
        <v/>
      </c>
      <c r="Q5518" s="18" t="str">
        <f aca="false">IF(COUNTIF(LOOKAHEAD!$A$5:$A$604,A5518)&gt;0,"En Lookahead",IF(P5518="Sí","INCORPORAR",""))</f>
        <v/>
      </c>
    </row>
    <row r="5519" customFormat="false" ht="15" hidden="false" customHeight="false" outlineLevel="0" collapsed="false">
      <c r="A5519" s="16" t="s">
        <v>16729</v>
      </c>
      <c r="B5519" s="16" t="n">
        <v>5514</v>
      </c>
      <c r="C5519" s="16" t="s">
        <v>16730</v>
      </c>
      <c r="D5519" s="16" t="n">
        <v>6</v>
      </c>
      <c r="E5519" s="35" t="s">
        <v>16731</v>
      </c>
      <c r="F5519" s="16" t="s">
        <v>1285</v>
      </c>
      <c r="G5519" s="16" t="s">
        <v>1169</v>
      </c>
      <c r="H5519" s="16" t="s">
        <v>16673</v>
      </c>
      <c r="I5519" s="16" t="s">
        <v>136</v>
      </c>
      <c r="J5519" s="16" t="s">
        <v>16676</v>
      </c>
      <c r="K5519" s="32" t="n">
        <v>1</v>
      </c>
      <c r="L5519" s="33" t="n">
        <v>46386</v>
      </c>
      <c r="M5519" s="33" t="n">
        <v>46386</v>
      </c>
      <c r="N5519" s="16" t="s">
        <v>16732</v>
      </c>
      <c r="O5519" s="16"/>
      <c r="P5519" s="16" t="str">
        <f aca="false">IF(AND(L5519&lt;=$D$2,M5519&gt;=$C$2),"Sí","")</f>
        <v/>
      </c>
      <c r="Q5519" s="18" t="str">
        <f aca="false">IF(COUNTIF(LOOKAHEAD!$A$5:$A$604,A5519)&gt;0,"En Lookahead",IF(P5519="Sí","INCORPORAR",""))</f>
        <v/>
      </c>
    </row>
    <row r="5520" customFormat="false" ht="15" hidden="false" customHeight="false" outlineLevel="0" collapsed="false">
      <c r="A5520" s="16" t="s">
        <v>16733</v>
      </c>
      <c r="B5520" s="16" t="n">
        <v>5515</v>
      </c>
      <c r="C5520" s="16" t="s">
        <v>16734</v>
      </c>
      <c r="D5520" s="16" t="n">
        <v>6</v>
      </c>
      <c r="E5520" s="35" t="s">
        <v>16735</v>
      </c>
      <c r="F5520" s="16" t="s">
        <v>1285</v>
      </c>
      <c r="G5520" s="16" t="s">
        <v>1169</v>
      </c>
      <c r="H5520" s="16" t="s">
        <v>16673</v>
      </c>
      <c r="I5520" s="16" t="s">
        <v>136</v>
      </c>
      <c r="J5520" s="16" t="s">
        <v>16676</v>
      </c>
      <c r="K5520" s="32" t="n">
        <v>1</v>
      </c>
      <c r="L5520" s="33" t="n">
        <v>46387</v>
      </c>
      <c r="M5520" s="33" t="n">
        <v>46387</v>
      </c>
      <c r="N5520" s="16" t="s">
        <v>16736</v>
      </c>
      <c r="O5520" s="16"/>
      <c r="P5520" s="16" t="str">
        <f aca="false">IF(AND(L5520&lt;=$D$2,M5520&gt;=$C$2),"Sí","")</f>
        <v/>
      </c>
      <c r="Q5520" s="18" t="str">
        <f aca="false">IF(COUNTIF(LOOKAHEAD!$A$5:$A$604,A5520)&gt;0,"En Lookahead",IF(P5520="Sí","INCORPORAR",""))</f>
        <v/>
      </c>
    </row>
    <row r="5521" customFormat="false" ht="15" hidden="false" customHeight="false" outlineLevel="0" collapsed="false">
      <c r="A5521" s="16" t="s">
        <v>16737</v>
      </c>
      <c r="B5521" s="16" t="n">
        <v>5516</v>
      </c>
      <c r="C5521" s="16" t="s">
        <v>16738</v>
      </c>
      <c r="D5521" s="16" t="n">
        <v>6</v>
      </c>
      <c r="E5521" s="35" t="s">
        <v>16739</v>
      </c>
      <c r="F5521" s="16" t="s">
        <v>1285</v>
      </c>
      <c r="G5521" s="16" t="s">
        <v>1169</v>
      </c>
      <c r="H5521" s="16" t="s">
        <v>16673</v>
      </c>
      <c r="I5521" s="16" t="s">
        <v>136</v>
      </c>
      <c r="J5521" s="16" t="s">
        <v>16676</v>
      </c>
      <c r="K5521" s="32" t="n">
        <v>1</v>
      </c>
      <c r="L5521" s="33" t="n">
        <v>46388</v>
      </c>
      <c r="M5521" s="33" t="n">
        <v>46388</v>
      </c>
      <c r="N5521" s="16" t="s">
        <v>16740</v>
      </c>
      <c r="O5521" s="16"/>
      <c r="P5521" s="16" t="str">
        <f aca="false">IF(AND(L5521&lt;=$D$2,M5521&gt;=$C$2),"Sí","")</f>
        <v/>
      </c>
      <c r="Q5521" s="18" t="str">
        <f aca="false">IF(COUNTIF(LOOKAHEAD!$A$5:$A$604,A5521)&gt;0,"En Lookahead",IF(P5521="Sí","INCORPORAR",""))</f>
        <v/>
      </c>
    </row>
    <row r="5522" customFormat="false" ht="15" hidden="false" customHeight="false" outlineLevel="0" collapsed="false">
      <c r="A5522" s="13" t="s">
        <v>16741</v>
      </c>
      <c r="B5522" s="13" t="n">
        <v>5517</v>
      </c>
      <c r="C5522" s="13" t="s">
        <v>16742</v>
      </c>
      <c r="D5522" s="13" t="n">
        <v>5</v>
      </c>
      <c r="E5522" s="34" t="s">
        <v>16743</v>
      </c>
      <c r="F5522" s="13" t="s">
        <v>1298</v>
      </c>
      <c r="G5522" s="13" t="s">
        <v>1169</v>
      </c>
      <c r="H5522" s="13" t="s">
        <v>16673</v>
      </c>
      <c r="I5522" s="13" t="s">
        <v>136</v>
      </c>
      <c r="J5522" s="13" t="s">
        <v>16673</v>
      </c>
      <c r="K5522" s="30" t="n">
        <v>17</v>
      </c>
      <c r="L5522" s="31" t="n">
        <v>46355</v>
      </c>
      <c r="M5522" s="31" t="n">
        <v>46371</v>
      </c>
      <c r="N5522" s="13"/>
      <c r="O5522" s="13"/>
      <c r="P5522" s="13"/>
      <c r="Q5522" s="13"/>
    </row>
    <row r="5523" customFormat="false" ht="15" hidden="false" customHeight="false" outlineLevel="0" collapsed="false">
      <c r="A5523" s="16" t="s">
        <v>16744</v>
      </c>
      <c r="B5523" s="16" t="n">
        <v>5518</v>
      </c>
      <c r="C5523" s="16" t="s">
        <v>16745</v>
      </c>
      <c r="D5523" s="16" t="n">
        <v>6</v>
      </c>
      <c r="E5523" s="35" t="s">
        <v>16746</v>
      </c>
      <c r="F5523" s="16" t="s">
        <v>1285</v>
      </c>
      <c r="G5523" s="16" t="s">
        <v>1169</v>
      </c>
      <c r="H5523" s="16" t="s">
        <v>16673</v>
      </c>
      <c r="I5523" s="16" t="s">
        <v>136</v>
      </c>
      <c r="J5523" s="16" t="s">
        <v>16743</v>
      </c>
      <c r="K5523" s="32" t="n">
        <v>16</v>
      </c>
      <c r="L5523" s="33" t="n">
        <v>46355</v>
      </c>
      <c r="M5523" s="33" t="n">
        <v>46370</v>
      </c>
      <c r="N5523" s="16" t="s">
        <v>16646</v>
      </c>
      <c r="O5523" s="16"/>
      <c r="P5523" s="16" t="str">
        <f aca="false">IF(AND(L5523&lt;=$D$2,M5523&gt;=$C$2),"Sí","")</f>
        <v/>
      </c>
      <c r="Q5523" s="18" t="str">
        <f aca="false">IF(COUNTIF(LOOKAHEAD!$A$5:$A$604,A5523)&gt;0,"En Lookahead",IF(P5523="Sí","INCORPORAR",""))</f>
        <v/>
      </c>
    </row>
    <row r="5524" customFormat="false" ht="15" hidden="false" customHeight="false" outlineLevel="0" collapsed="false">
      <c r="A5524" s="16" t="s">
        <v>16747</v>
      </c>
      <c r="B5524" s="16" t="n">
        <v>5519</v>
      </c>
      <c r="C5524" s="16" t="s">
        <v>16748</v>
      </c>
      <c r="D5524" s="16" t="n">
        <v>6</v>
      </c>
      <c r="E5524" s="35" t="s">
        <v>16749</v>
      </c>
      <c r="F5524" s="16" t="s">
        <v>1285</v>
      </c>
      <c r="G5524" s="16" t="s">
        <v>1169</v>
      </c>
      <c r="H5524" s="16" t="s">
        <v>16673</v>
      </c>
      <c r="I5524" s="16" t="s">
        <v>136</v>
      </c>
      <c r="J5524" s="16" t="s">
        <v>16743</v>
      </c>
      <c r="K5524" s="32" t="n">
        <v>1</v>
      </c>
      <c r="L5524" s="33" t="n">
        <v>46371</v>
      </c>
      <c r="M5524" s="33" t="n">
        <v>46371</v>
      </c>
      <c r="N5524" s="16" t="s">
        <v>16680</v>
      </c>
      <c r="O5524" s="16"/>
      <c r="P5524" s="16" t="str">
        <f aca="false">IF(AND(L5524&lt;=$D$2,M5524&gt;=$C$2),"Sí","")</f>
        <v/>
      </c>
      <c r="Q5524" s="18" t="str">
        <f aca="false">IF(COUNTIF(LOOKAHEAD!$A$5:$A$604,A5524)&gt;0,"En Lookahead",IF(P5524="Sí","INCORPORAR",""))</f>
        <v/>
      </c>
    </row>
    <row r="5525" customFormat="false" ht="15" hidden="false" customHeight="false" outlineLevel="0" collapsed="false">
      <c r="A5525" s="13" t="s">
        <v>16750</v>
      </c>
      <c r="B5525" s="13" t="n">
        <v>5520</v>
      </c>
      <c r="C5525" s="13" t="s">
        <v>16751</v>
      </c>
      <c r="D5525" s="13" t="n">
        <v>5</v>
      </c>
      <c r="E5525" s="34" t="s">
        <v>16752</v>
      </c>
      <c r="F5525" s="13" t="s">
        <v>1298</v>
      </c>
      <c r="G5525" s="13" t="s">
        <v>1169</v>
      </c>
      <c r="H5525" s="13" t="s">
        <v>16673</v>
      </c>
      <c r="I5525" s="13" t="s">
        <v>136</v>
      </c>
      <c r="J5525" s="13" t="s">
        <v>16673</v>
      </c>
      <c r="K5525" s="30" t="n">
        <v>30</v>
      </c>
      <c r="L5525" s="31" t="n">
        <v>46389</v>
      </c>
      <c r="M5525" s="31" t="n">
        <v>46418</v>
      </c>
      <c r="N5525" s="13"/>
      <c r="O5525" s="13"/>
      <c r="P5525" s="13"/>
      <c r="Q5525" s="13"/>
    </row>
    <row r="5526" customFormat="false" ht="15" hidden="false" customHeight="false" outlineLevel="0" collapsed="false">
      <c r="A5526" s="16" t="s">
        <v>16753</v>
      </c>
      <c r="B5526" s="16" t="n">
        <v>5521</v>
      </c>
      <c r="C5526" s="16" t="s">
        <v>16754</v>
      </c>
      <c r="D5526" s="16" t="n">
        <v>6</v>
      </c>
      <c r="E5526" s="35" t="s">
        <v>16755</v>
      </c>
      <c r="F5526" s="16" t="s">
        <v>1285</v>
      </c>
      <c r="G5526" s="16" t="s">
        <v>1169</v>
      </c>
      <c r="H5526" s="16" t="s">
        <v>16673</v>
      </c>
      <c r="I5526" s="16" t="s">
        <v>136</v>
      </c>
      <c r="J5526" s="16" t="s">
        <v>16752</v>
      </c>
      <c r="K5526" s="32" t="n">
        <v>30</v>
      </c>
      <c r="L5526" s="33" t="n">
        <v>46389</v>
      </c>
      <c r="M5526" s="33" t="n">
        <v>46418</v>
      </c>
      <c r="N5526" s="16" t="s">
        <v>16756</v>
      </c>
      <c r="O5526" s="16"/>
      <c r="P5526" s="16" t="str">
        <f aca="false">IF(AND(L5526&lt;=$D$2,M5526&gt;=$C$2),"Sí","")</f>
        <v/>
      </c>
      <c r="Q5526" s="18" t="str">
        <f aca="false">IF(COUNTIF(LOOKAHEAD!$A$5:$A$604,A5526)&gt;0,"En Lookahead",IF(P5526="Sí","INCORPORAR",""))</f>
        <v/>
      </c>
    </row>
    <row r="5527" customFormat="false" ht="15" hidden="false" customHeight="false" outlineLevel="0" collapsed="false">
      <c r="A5527" s="16" t="s">
        <v>16757</v>
      </c>
      <c r="B5527" s="16" t="n">
        <v>5522</v>
      </c>
      <c r="C5527" s="16" t="s">
        <v>16758</v>
      </c>
      <c r="D5527" s="16" t="n">
        <v>6</v>
      </c>
      <c r="E5527" s="35" t="s">
        <v>16759</v>
      </c>
      <c r="F5527" s="16" t="s">
        <v>1285</v>
      </c>
      <c r="G5527" s="16" t="s">
        <v>1169</v>
      </c>
      <c r="H5527" s="16" t="s">
        <v>16673</v>
      </c>
      <c r="I5527" s="16" t="s">
        <v>136</v>
      </c>
      <c r="J5527" s="16" t="s">
        <v>16752</v>
      </c>
      <c r="K5527" s="32" t="n">
        <v>19</v>
      </c>
      <c r="L5527" s="33" t="n">
        <v>46389</v>
      </c>
      <c r="M5527" s="33" t="n">
        <v>46407</v>
      </c>
      <c r="N5527" s="16" t="s">
        <v>16760</v>
      </c>
      <c r="O5527" s="16"/>
      <c r="P5527" s="16" t="str">
        <f aca="false">IF(AND(L5527&lt;=$D$2,M5527&gt;=$C$2),"Sí","")</f>
        <v/>
      </c>
      <c r="Q5527" s="18" t="str">
        <f aca="false">IF(COUNTIF(LOOKAHEAD!$A$5:$A$604,A5527)&gt;0,"En Lookahead",IF(P5527="Sí","INCORPORAR",""))</f>
        <v/>
      </c>
    </row>
    <row r="5528" customFormat="false" ht="15" hidden="false" customHeight="false" outlineLevel="0" collapsed="false">
      <c r="A5528" s="16" t="s">
        <v>16761</v>
      </c>
      <c r="B5528" s="16" t="n">
        <v>5523</v>
      </c>
      <c r="C5528" s="16" t="s">
        <v>16762</v>
      </c>
      <c r="D5528" s="16" t="n">
        <v>6</v>
      </c>
      <c r="E5528" s="35" t="s">
        <v>16763</v>
      </c>
      <c r="F5528" s="16" t="s">
        <v>1285</v>
      </c>
      <c r="G5528" s="16" t="s">
        <v>1169</v>
      </c>
      <c r="H5528" s="16" t="s">
        <v>16673</v>
      </c>
      <c r="I5528" s="16" t="s">
        <v>136</v>
      </c>
      <c r="J5528" s="16" t="s">
        <v>16752</v>
      </c>
      <c r="K5528" s="32" t="n">
        <v>5</v>
      </c>
      <c r="L5528" s="33" t="n">
        <v>46389</v>
      </c>
      <c r="M5528" s="33" t="n">
        <v>46393</v>
      </c>
      <c r="N5528" s="16" t="s">
        <v>16760</v>
      </c>
      <c r="O5528" s="16"/>
      <c r="P5528" s="16" t="str">
        <f aca="false">IF(AND(L5528&lt;=$D$2,M5528&gt;=$C$2),"Sí","")</f>
        <v/>
      </c>
      <c r="Q5528" s="18" t="str">
        <f aca="false">IF(COUNTIF(LOOKAHEAD!$A$5:$A$604,A5528)&gt;0,"En Lookahead",IF(P5528="Sí","INCORPORAR",""))</f>
        <v/>
      </c>
    </row>
    <row r="5529" customFormat="false" ht="15" hidden="false" customHeight="false" outlineLevel="0" collapsed="false">
      <c r="A5529" s="13" t="s">
        <v>16764</v>
      </c>
      <c r="B5529" s="13" t="n">
        <v>5524</v>
      </c>
      <c r="C5529" s="13" t="s">
        <v>16765</v>
      </c>
      <c r="D5529" s="13" t="n">
        <v>4</v>
      </c>
      <c r="E5529" s="20" t="s">
        <v>16766</v>
      </c>
      <c r="F5529" s="13" t="s">
        <v>1298</v>
      </c>
      <c r="G5529" s="13" t="s">
        <v>1169</v>
      </c>
      <c r="H5529" s="13" t="s">
        <v>16766</v>
      </c>
      <c r="I5529" s="13" t="s">
        <v>136</v>
      </c>
      <c r="J5529" s="13" t="s">
        <v>16322</v>
      </c>
      <c r="K5529" s="30" t="n">
        <v>4</v>
      </c>
      <c r="L5529" s="31" t="n">
        <v>46419</v>
      </c>
      <c r="M5529" s="31" t="n">
        <v>46422</v>
      </c>
      <c r="N5529" s="13"/>
      <c r="O5529" s="13"/>
      <c r="P5529" s="13"/>
      <c r="Q5529" s="13"/>
    </row>
    <row r="5530" customFormat="false" ht="15" hidden="false" customHeight="false" outlineLevel="0" collapsed="false">
      <c r="A5530" s="13" t="s">
        <v>16767</v>
      </c>
      <c r="B5530" s="13" t="n">
        <v>5525</v>
      </c>
      <c r="C5530" s="13" t="s">
        <v>16768</v>
      </c>
      <c r="D5530" s="13" t="n">
        <v>5</v>
      </c>
      <c r="E5530" s="34" t="s">
        <v>16769</v>
      </c>
      <c r="F5530" s="13" t="s">
        <v>1298</v>
      </c>
      <c r="G5530" s="13" t="s">
        <v>1169</v>
      </c>
      <c r="H5530" s="13" t="s">
        <v>16766</v>
      </c>
      <c r="I5530" s="13" t="s">
        <v>136</v>
      </c>
      <c r="J5530" s="13" t="s">
        <v>16766</v>
      </c>
      <c r="K5530" s="30" t="n">
        <v>4</v>
      </c>
      <c r="L5530" s="31" t="n">
        <v>46419</v>
      </c>
      <c r="M5530" s="31" t="n">
        <v>46422</v>
      </c>
      <c r="N5530" s="13"/>
      <c r="O5530" s="13"/>
      <c r="P5530" s="13"/>
      <c r="Q5530" s="13"/>
    </row>
    <row r="5531" customFormat="false" ht="15" hidden="false" customHeight="false" outlineLevel="0" collapsed="false">
      <c r="A5531" s="16" t="s">
        <v>16770</v>
      </c>
      <c r="B5531" s="16" t="n">
        <v>5526</v>
      </c>
      <c r="C5531" s="16" t="s">
        <v>16771</v>
      </c>
      <c r="D5531" s="16" t="n">
        <v>6</v>
      </c>
      <c r="E5531" s="35" t="s">
        <v>16772</v>
      </c>
      <c r="F5531" s="16" t="s">
        <v>1285</v>
      </c>
      <c r="G5531" s="16" t="s">
        <v>1169</v>
      </c>
      <c r="H5531" s="16" t="s">
        <v>16766</v>
      </c>
      <c r="I5531" s="16" t="s">
        <v>136</v>
      </c>
      <c r="J5531" s="16" t="s">
        <v>16769</v>
      </c>
      <c r="K5531" s="32" t="n">
        <v>4</v>
      </c>
      <c r="L5531" s="33" t="n">
        <v>46419</v>
      </c>
      <c r="M5531" s="33" t="n">
        <v>46422</v>
      </c>
      <c r="N5531" s="16" t="s">
        <v>16773</v>
      </c>
      <c r="O5531" s="16"/>
      <c r="P5531" s="16" t="str">
        <f aca="false">IF(AND(L5531&lt;=$D$2,M5531&gt;=$C$2),"Sí","")</f>
        <v/>
      </c>
      <c r="Q5531" s="18" t="str">
        <f aca="false">IF(COUNTIF(LOOKAHEAD!$A$5:$A$604,A5531)&gt;0,"En Lookahead",IF(P5531="Sí","INCORPORAR",""))</f>
        <v/>
      </c>
    </row>
    <row r="5532" customFormat="false" ht="15" hidden="false" customHeight="false" outlineLevel="0" collapsed="false">
      <c r="A5532" s="16" t="s">
        <v>16774</v>
      </c>
      <c r="B5532" s="16" t="n">
        <v>5527</v>
      </c>
      <c r="C5532" s="16" t="s">
        <v>16775</v>
      </c>
      <c r="D5532" s="16" t="n">
        <v>6</v>
      </c>
      <c r="E5532" s="35" t="s">
        <v>16776</v>
      </c>
      <c r="F5532" s="16" t="s">
        <v>1285</v>
      </c>
      <c r="G5532" s="16" t="s">
        <v>1169</v>
      </c>
      <c r="H5532" s="16" t="s">
        <v>16766</v>
      </c>
      <c r="I5532" s="16" t="s">
        <v>136</v>
      </c>
      <c r="J5532" s="16" t="s">
        <v>16769</v>
      </c>
      <c r="K5532" s="32" t="n">
        <v>1</v>
      </c>
      <c r="L5532" s="33" t="n">
        <v>46419</v>
      </c>
      <c r="M5532" s="33" t="n">
        <v>46419</v>
      </c>
      <c r="N5532" s="16" t="s">
        <v>16777</v>
      </c>
      <c r="O5532" s="16"/>
      <c r="P5532" s="16" t="str">
        <f aca="false">IF(AND(L5532&lt;=$D$2,M5532&gt;=$C$2),"Sí","")</f>
        <v/>
      </c>
      <c r="Q5532" s="18" t="str">
        <f aca="false">IF(COUNTIF(LOOKAHEAD!$A$5:$A$604,A5532)&gt;0,"En Lookahead",IF(P5532="Sí","INCORPORAR",""))</f>
        <v/>
      </c>
    </row>
    <row r="5533" customFormat="false" ht="15" hidden="false" customHeight="false" outlineLevel="0" collapsed="false">
      <c r="A5533" s="16" t="s">
        <v>16778</v>
      </c>
      <c r="B5533" s="16" t="n">
        <v>5528</v>
      </c>
      <c r="C5533" s="16" t="s">
        <v>16779</v>
      </c>
      <c r="D5533" s="16" t="n">
        <v>6</v>
      </c>
      <c r="E5533" s="35" t="s">
        <v>16780</v>
      </c>
      <c r="F5533" s="16" t="s">
        <v>1285</v>
      </c>
      <c r="G5533" s="16" t="s">
        <v>1169</v>
      </c>
      <c r="H5533" s="16" t="s">
        <v>16766</v>
      </c>
      <c r="I5533" s="16" t="s">
        <v>136</v>
      </c>
      <c r="J5533" s="16" t="s">
        <v>16769</v>
      </c>
      <c r="K5533" s="32" t="n">
        <v>1</v>
      </c>
      <c r="L5533" s="33" t="n">
        <v>46419</v>
      </c>
      <c r="M5533" s="33" t="n">
        <v>46419</v>
      </c>
      <c r="N5533" s="16" t="s">
        <v>16777</v>
      </c>
      <c r="O5533" s="16"/>
      <c r="P5533" s="16" t="str">
        <f aca="false">IF(AND(L5533&lt;=$D$2,M5533&gt;=$C$2),"Sí","")</f>
        <v/>
      </c>
      <c r="Q5533" s="18" t="str">
        <f aca="false">IF(COUNTIF(LOOKAHEAD!$A$5:$A$604,A5533)&gt;0,"En Lookahead",IF(P5533="Sí","INCORPORAR",""))</f>
        <v/>
      </c>
    </row>
    <row r="5534" customFormat="false" ht="15" hidden="false" customHeight="false" outlineLevel="0" collapsed="false">
      <c r="A5534" s="16" t="s">
        <v>16781</v>
      </c>
      <c r="B5534" s="16" t="n">
        <v>5529</v>
      </c>
      <c r="C5534" s="16" t="s">
        <v>16782</v>
      </c>
      <c r="D5534" s="16" t="n">
        <v>6</v>
      </c>
      <c r="E5534" s="35" t="s">
        <v>16783</v>
      </c>
      <c r="F5534" s="16" t="s">
        <v>1285</v>
      </c>
      <c r="G5534" s="16" t="s">
        <v>1169</v>
      </c>
      <c r="H5534" s="16" t="s">
        <v>16766</v>
      </c>
      <c r="I5534" s="16" t="s">
        <v>136</v>
      </c>
      <c r="J5534" s="16" t="s">
        <v>16769</v>
      </c>
      <c r="K5534" s="32" t="n">
        <v>1</v>
      </c>
      <c r="L5534" s="33" t="n">
        <v>46419</v>
      </c>
      <c r="M5534" s="33" t="n">
        <v>46419</v>
      </c>
      <c r="N5534" s="16" t="s">
        <v>16777</v>
      </c>
      <c r="O5534" s="16"/>
      <c r="P5534" s="16" t="str">
        <f aca="false">IF(AND(L5534&lt;=$D$2,M5534&gt;=$C$2),"Sí","")</f>
        <v/>
      </c>
      <c r="Q5534" s="18" t="str">
        <f aca="false">IF(COUNTIF(LOOKAHEAD!$A$5:$A$604,A5534)&gt;0,"En Lookahead",IF(P5534="Sí","INCORPORAR",""))</f>
        <v/>
      </c>
    </row>
    <row r="5535" customFormat="false" ht="15" hidden="false" customHeight="false" outlineLevel="0" collapsed="false">
      <c r="A5535" s="13" t="s">
        <v>16784</v>
      </c>
      <c r="B5535" s="13" t="n">
        <v>5530</v>
      </c>
      <c r="C5535" s="13" t="s">
        <v>16785</v>
      </c>
      <c r="D5535" s="13" t="n">
        <v>4</v>
      </c>
      <c r="E5535" s="20" t="s">
        <v>16786</v>
      </c>
      <c r="F5535" s="13" t="s">
        <v>1298</v>
      </c>
      <c r="G5535" s="13" t="s">
        <v>1169</v>
      </c>
      <c r="H5535" s="13" t="s">
        <v>16786</v>
      </c>
      <c r="I5535" s="13" t="s">
        <v>136</v>
      </c>
      <c r="J5535" s="13" t="s">
        <v>16322</v>
      </c>
      <c r="K5535" s="30" t="n">
        <v>2</v>
      </c>
      <c r="L5535" s="31" t="n">
        <v>46420</v>
      </c>
      <c r="M5535" s="31" t="n">
        <v>46421</v>
      </c>
      <c r="N5535" s="13"/>
      <c r="O5535" s="13"/>
      <c r="P5535" s="13"/>
      <c r="Q5535" s="13"/>
    </row>
    <row r="5536" customFormat="false" ht="15" hidden="false" customHeight="false" outlineLevel="0" collapsed="false">
      <c r="A5536" s="13" t="s">
        <v>16787</v>
      </c>
      <c r="B5536" s="13" t="n">
        <v>5531</v>
      </c>
      <c r="C5536" s="13" t="s">
        <v>16788</v>
      </c>
      <c r="D5536" s="13" t="n">
        <v>5</v>
      </c>
      <c r="E5536" s="34" t="s">
        <v>16789</v>
      </c>
      <c r="F5536" s="13" t="s">
        <v>1298</v>
      </c>
      <c r="G5536" s="13" t="s">
        <v>1169</v>
      </c>
      <c r="H5536" s="13" t="s">
        <v>16786</v>
      </c>
      <c r="I5536" s="13" t="s">
        <v>136</v>
      </c>
      <c r="J5536" s="13" t="s">
        <v>16786</v>
      </c>
      <c r="K5536" s="30" t="n">
        <v>2</v>
      </c>
      <c r="L5536" s="31" t="n">
        <v>46420</v>
      </c>
      <c r="M5536" s="31" t="n">
        <v>46421</v>
      </c>
      <c r="N5536" s="13"/>
      <c r="O5536" s="13"/>
      <c r="P5536" s="13"/>
      <c r="Q5536" s="13"/>
    </row>
    <row r="5537" customFormat="false" ht="15" hidden="false" customHeight="false" outlineLevel="0" collapsed="false">
      <c r="A5537" s="16" t="s">
        <v>16790</v>
      </c>
      <c r="B5537" s="16" t="n">
        <v>5532</v>
      </c>
      <c r="C5537" s="16" t="s">
        <v>16791</v>
      </c>
      <c r="D5537" s="16" t="n">
        <v>6</v>
      </c>
      <c r="E5537" s="35" t="s">
        <v>16792</v>
      </c>
      <c r="F5537" s="16" t="s">
        <v>1285</v>
      </c>
      <c r="G5537" s="16" t="s">
        <v>1169</v>
      </c>
      <c r="H5537" s="16" t="s">
        <v>16786</v>
      </c>
      <c r="I5537" s="16" t="s">
        <v>136</v>
      </c>
      <c r="J5537" s="16" t="s">
        <v>16789</v>
      </c>
      <c r="K5537" s="32" t="n">
        <v>2</v>
      </c>
      <c r="L5537" s="33" t="n">
        <v>46420</v>
      </c>
      <c r="M5537" s="33" t="n">
        <v>46421</v>
      </c>
      <c r="N5537" s="16" t="s">
        <v>16793</v>
      </c>
      <c r="O5537" s="16"/>
      <c r="P5537" s="16" t="str">
        <f aca="false">IF(AND(L5537&lt;=$D$2,M5537&gt;=$C$2),"Sí","")</f>
        <v/>
      </c>
      <c r="Q5537" s="18" t="str">
        <f aca="false">IF(COUNTIF(LOOKAHEAD!$A$5:$A$604,A5537)&gt;0,"En Lookahead",IF(P5537="Sí","INCORPORAR",""))</f>
        <v/>
      </c>
    </row>
    <row r="5538" customFormat="false" ht="15" hidden="false" customHeight="false" outlineLevel="0" collapsed="false">
      <c r="A5538" s="13" t="s">
        <v>16794</v>
      </c>
      <c r="B5538" s="13" t="n">
        <v>5533</v>
      </c>
      <c r="C5538" s="13" t="s">
        <v>16795</v>
      </c>
      <c r="D5538" s="13" t="n">
        <v>4</v>
      </c>
      <c r="E5538" s="20" t="s">
        <v>16796</v>
      </c>
      <c r="F5538" s="13" t="s">
        <v>1298</v>
      </c>
      <c r="G5538" s="13" t="s">
        <v>1169</v>
      </c>
      <c r="H5538" s="13" t="s">
        <v>16796</v>
      </c>
      <c r="I5538" s="13" t="s">
        <v>136</v>
      </c>
      <c r="J5538" s="13" t="s">
        <v>16322</v>
      </c>
      <c r="K5538" s="30" t="n">
        <v>34</v>
      </c>
      <c r="L5538" s="31" t="n">
        <v>46422</v>
      </c>
      <c r="M5538" s="31" t="n">
        <v>46455</v>
      </c>
      <c r="N5538" s="13"/>
      <c r="O5538" s="13"/>
      <c r="P5538" s="13"/>
      <c r="Q5538" s="13"/>
    </row>
    <row r="5539" customFormat="false" ht="15" hidden="false" customHeight="false" outlineLevel="0" collapsed="false">
      <c r="A5539" s="13" t="s">
        <v>16797</v>
      </c>
      <c r="B5539" s="13" t="n">
        <v>5534</v>
      </c>
      <c r="C5539" s="13" t="s">
        <v>16798</v>
      </c>
      <c r="D5539" s="13" t="n">
        <v>5</v>
      </c>
      <c r="E5539" s="34" t="s">
        <v>16799</v>
      </c>
      <c r="F5539" s="13" t="s">
        <v>1298</v>
      </c>
      <c r="G5539" s="13" t="s">
        <v>1169</v>
      </c>
      <c r="H5539" s="13" t="s">
        <v>16796</v>
      </c>
      <c r="I5539" s="13" t="s">
        <v>136</v>
      </c>
      <c r="J5539" s="13" t="s">
        <v>16796</v>
      </c>
      <c r="K5539" s="30" t="n">
        <v>4</v>
      </c>
      <c r="L5539" s="31" t="n">
        <v>46422</v>
      </c>
      <c r="M5539" s="31" t="n">
        <v>46425</v>
      </c>
      <c r="N5539" s="13"/>
      <c r="O5539" s="13"/>
      <c r="P5539" s="13"/>
      <c r="Q5539" s="13"/>
    </row>
    <row r="5540" customFormat="false" ht="15" hidden="false" customHeight="false" outlineLevel="0" collapsed="false">
      <c r="A5540" s="13" t="s">
        <v>16800</v>
      </c>
      <c r="B5540" s="13" t="n">
        <v>5535</v>
      </c>
      <c r="C5540" s="13" t="s">
        <v>16801</v>
      </c>
      <c r="D5540" s="13" t="n">
        <v>6</v>
      </c>
      <c r="E5540" s="36" t="s">
        <v>16802</v>
      </c>
      <c r="F5540" s="13" t="s">
        <v>1298</v>
      </c>
      <c r="G5540" s="13" t="s">
        <v>1169</v>
      </c>
      <c r="H5540" s="13" t="s">
        <v>16796</v>
      </c>
      <c r="I5540" s="13" t="s">
        <v>136</v>
      </c>
      <c r="J5540" s="13" t="s">
        <v>16799</v>
      </c>
      <c r="K5540" s="30" t="n">
        <v>1</v>
      </c>
      <c r="L5540" s="31" t="n">
        <v>46422</v>
      </c>
      <c r="M5540" s="31" t="n">
        <v>46422</v>
      </c>
      <c r="N5540" s="13"/>
      <c r="O5540" s="13"/>
      <c r="P5540" s="13"/>
      <c r="Q5540" s="13"/>
    </row>
    <row r="5541" customFormat="false" ht="15" hidden="false" customHeight="false" outlineLevel="0" collapsed="false">
      <c r="A5541" s="16" t="s">
        <v>16803</v>
      </c>
      <c r="B5541" s="16" t="n">
        <v>5536</v>
      </c>
      <c r="C5541" s="16" t="s">
        <v>16804</v>
      </c>
      <c r="D5541" s="16" t="n">
        <v>7</v>
      </c>
      <c r="E5541" s="37" t="s">
        <v>16805</v>
      </c>
      <c r="F5541" s="16" t="s">
        <v>1285</v>
      </c>
      <c r="G5541" s="16" t="s">
        <v>1169</v>
      </c>
      <c r="H5541" s="16" t="s">
        <v>16796</v>
      </c>
      <c r="I5541" s="16" t="s">
        <v>136</v>
      </c>
      <c r="J5541" s="16" t="s">
        <v>16802</v>
      </c>
      <c r="K5541" s="32" t="n">
        <v>1</v>
      </c>
      <c r="L5541" s="33" t="n">
        <v>46422</v>
      </c>
      <c r="M5541" s="33" t="n">
        <v>46422</v>
      </c>
      <c r="N5541" s="16" t="s">
        <v>16806</v>
      </c>
      <c r="O5541" s="16"/>
      <c r="P5541" s="16" t="str">
        <f aca="false">IF(AND(L5541&lt;=$D$2,M5541&gt;=$C$2),"Sí","")</f>
        <v/>
      </c>
      <c r="Q5541" s="18" t="str">
        <f aca="false">IF(COUNTIF(LOOKAHEAD!$A$5:$A$604,A5541)&gt;0,"En Lookahead",IF(P5541="Sí","INCORPORAR",""))</f>
        <v/>
      </c>
    </row>
    <row r="5542" customFormat="false" ht="15" hidden="false" customHeight="false" outlineLevel="0" collapsed="false">
      <c r="A5542" s="16" t="s">
        <v>16807</v>
      </c>
      <c r="B5542" s="16" t="n">
        <v>5537</v>
      </c>
      <c r="C5542" s="16" t="s">
        <v>16808</v>
      </c>
      <c r="D5542" s="16" t="n">
        <v>7</v>
      </c>
      <c r="E5542" s="37" t="s">
        <v>16809</v>
      </c>
      <c r="F5542" s="16" t="s">
        <v>1285</v>
      </c>
      <c r="G5542" s="16" t="s">
        <v>1169</v>
      </c>
      <c r="H5542" s="16" t="s">
        <v>16796</v>
      </c>
      <c r="I5542" s="16" t="s">
        <v>136</v>
      </c>
      <c r="J5542" s="16" t="s">
        <v>16802</v>
      </c>
      <c r="K5542" s="32" t="n">
        <v>1</v>
      </c>
      <c r="L5542" s="33" t="n">
        <v>46422</v>
      </c>
      <c r="M5542" s="33" t="n">
        <v>46422</v>
      </c>
      <c r="N5542" s="16" t="s">
        <v>16810</v>
      </c>
      <c r="O5542" s="16"/>
      <c r="P5542" s="16" t="str">
        <f aca="false">IF(AND(L5542&lt;=$D$2,M5542&gt;=$C$2),"Sí","")</f>
        <v/>
      </c>
      <c r="Q5542" s="18" t="str">
        <f aca="false">IF(COUNTIF(LOOKAHEAD!$A$5:$A$604,A5542)&gt;0,"En Lookahead",IF(P5542="Sí","INCORPORAR",""))</f>
        <v/>
      </c>
    </row>
    <row r="5543" customFormat="false" ht="15" hidden="false" customHeight="false" outlineLevel="0" collapsed="false">
      <c r="A5543" s="13" t="s">
        <v>16811</v>
      </c>
      <c r="B5543" s="13" t="n">
        <v>5538</v>
      </c>
      <c r="C5543" s="13" t="s">
        <v>16812</v>
      </c>
      <c r="D5543" s="13" t="n">
        <v>6</v>
      </c>
      <c r="E5543" s="36" t="s">
        <v>16813</v>
      </c>
      <c r="F5543" s="13" t="s">
        <v>1298</v>
      </c>
      <c r="G5543" s="13" t="s">
        <v>1169</v>
      </c>
      <c r="H5543" s="13" t="s">
        <v>16796</v>
      </c>
      <c r="I5543" s="13" t="s">
        <v>136</v>
      </c>
      <c r="J5543" s="13" t="s">
        <v>16799</v>
      </c>
      <c r="K5543" s="30" t="n">
        <v>1</v>
      </c>
      <c r="L5543" s="31" t="n">
        <v>46423</v>
      </c>
      <c r="M5543" s="31" t="n">
        <v>46423</v>
      </c>
      <c r="N5543" s="13"/>
      <c r="O5543" s="13"/>
      <c r="P5543" s="13"/>
      <c r="Q5543" s="13"/>
    </row>
    <row r="5544" customFormat="false" ht="15" hidden="false" customHeight="false" outlineLevel="0" collapsed="false">
      <c r="A5544" s="16" t="s">
        <v>16814</v>
      </c>
      <c r="B5544" s="16" t="n">
        <v>5539</v>
      </c>
      <c r="C5544" s="16" t="s">
        <v>16815</v>
      </c>
      <c r="D5544" s="16" t="n">
        <v>7</v>
      </c>
      <c r="E5544" s="37" t="s">
        <v>16805</v>
      </c>
      <c r="F5544" s="16" t="s">
        <v>1285</v>
      </c>
      <c r="G5544" s="16" t="s">
        <v>1169</v>
      </c>
      <c r="H5544" s="16" t="s">
        <v>16796</v>
      </c>
      <c r="I5544" s="16" t="s">
        <v>136</v>
      </c>
      <c r="J5544" s="16" t="s">
        <v>16813</v>
      </c>
      <c r="K5544" s="32" t="n">
        <v>1</v>
      </c>
      <c r="L5544" s="33" t="n">
        <v>46423</v>
      </c>
      <c r="M5544" s="33" t="n">
        <v>46423</v>
      </c>
      <c r="N5544" s="16" t="s">
        <v>16816</v>
      </c>
      <c r="O5544" s="16"/>
      <c r="P5544" s="16" t="str">
        <f aca="false">IF(AND(L5544&lt;=$D$2,M5544&gt;=$C$2),"Sí","")</f>
        <v/>
      </c>
      <c r="Q5544" s="18" t="str">
        <f aca="false">IF(COUNTIF(LOOKAHEAD!$A$5:$A$604,A5544)&gt;0,"En Lookahead",IF(P5544="Sí","INCORPORAR",""))</f>
        <v/>
      </c>
    </row>
    <row r="5545" customFormat="false" ht="15" hidden="false" customHeight="false" outlineLevel="0" collapsed="false">
      <c r="A5545" s="16" t="s">
        <v>16817</v>
      </c>
      <c r="B5545" s="16" t="n">
        <v>5540</v>
      </c>
      <c r="C5545" s="16" t="s">
        <v>16818</v>
      </c>
      <c r="D5545" s="16" t="n">
        <v>7</v>
      </c>
      <c r="E5545" s="37" t="s">
        <v>16819</v>
      </c>
      <c r="F5545" s="16" t="s">
        <v>1285</v>
      </c>
      <c r="G5545" s="16" t="s">
        <v>1169</v>
      </c>
      <c r="H5545" s="16" t="s">
        <v>16796</v>
      </c>
      <c r="I5545" s="16" t="s">
        <v>136</v>
      </c>
      <c r="J5545" s="16" t="s">
        <v>16813</v>
      </c>
      <c r="K5545" s="32" t="n">
        <v>1</v>
      </c>
      <c r="L5545" s="33" t="n">
        <v>46423</v>
      </c>
      <c r="M5545" s="33" t="n">
        <v>46423</v>
      </c>
      <c r="N5545" s="16" t="s">
        <v>16820</v>
      </c>
      <c r="O5545" s="16"/>
      <c r="P5545" s="16" t="str">
        <f aca="false">IF(AND(L5545&lt;=$D$2,M5545&gt;=$C$2),"Sí","")</f>
        <v/>
      </c>
      <c r="Q5545" s="18" t="str">
        <f aca="false">IF(COUNTIF(LOOKAHEAD!$A$5:$A$604,A5545)&gt;0,"En Lookahead",IF(P5545="Sí","INCORPORAR",""))</f>
        <v/>
      </c>
    </row>
    <row r="5546" customFormat="false" ht="15" hidden="false" customHeight="false" outlineLevel="0" collapsed="false">
      <c r="A5546" s="13" t="s">
        <v>16821</v>
      </c>
      <c r="B5546" s="13" t="n">
        <v>5541</v>
      </c>
      <c r="C5546" s="13" t="s">
        <v>16822</v>
      </c>
      <c r="D5546" s="13" t="n">
        <v>6</v>
      </c>
      <c r="E5546" s="36" t="s">
        <v>16823</v>
      </c>
      <c r="F5546" s="13" t="s">
        <v>1298</v>
      </c>
      <c r="G5546" s="13" t="s">
        <v>1169</v>
      </c>
      <c r="H5546" s="13" t="s">
        <v>16796</v>
      </c>
      <c r="I5546" s="13" t="s">
        <v>136</v>
      </c>
      <c r="J5546" s="13" t="s">
        <v>16799</v>
      </c>
      <c r="K5546" s="30" t="n">
        <v>1</v>
      </c>
      <c r="L5546" s="31" t="n">
        <v>46424</v>
      </c>
      <c r="M5546" s="31" t="n">
        <v>46424</v>
      </c>
      <c r="N5546" s="13"/>
      <c r="O5546" s="13"/>
      <c r="P5546" s="13"/>
      <c r="Q5546" s="13"/>
    </row>
    <row r="5547" customFormat="false" ht="15" hidden="false" customHeight="false" outlineLevel="0" collapsed="false">
      <c r="A5547" s="16" t="s">
        <v>16824</v>
      </c>
      <c r="B5547" s="16" t="n">
        <v>5542</v>
      </c>
      <c r="C5547" s="16" t="s">
        <v>16825</v>
      </c>
      <c r="D5547" s="16" t="n">
        <v>7</v>
      </c>
      <c r="E5547" s="37" t="s">
        <v>16826</v>
      </c>
      <c r="F5547" s="16" t="s">
        <v>1285</v>
      </c>
      <c r="G5547" s="16" t="s">
        <v>1169</v>
      </c>
      <c r="H5547" s="16" t="s">
        <v>16796</v>
      </c>
      <c r="I5547" s="16" t="s">
        <v>136</v>
      </c>
      <c r="J5547" s="16" t="s">
        <v>16823</v>
      </c>
      <c r="K5547" s="32" t="n">
        <v>1</v>
      </c>
      <c r="L5547" s="33" t="n">
        <v>46424</v>
      </c>
      <c r="M5547" s="33" t="n">
        <v>46424</v>
      </c>
      <c r="N5547" s="16" t="s">
        <v>16827</v>
      </c>
      <c r="O5547" s="16"/>
      <c r="P5547" s="16" t="str">
        <f aca="false">IF(AND(L5547&lt;=$D$2,M5547&gt;=$C$2),"Sí","")</f>
        <v/>
      </c>
      <c r="Q5547" s="18" t="str">
        <f aca="false">IF(COUNTIF(LOOKAHEAD!$A$5:$A$604,A5547)&gt;0,"En Lookahead",IF(P5547="Sí","INCORPORAR",""))</f>
        <v/>
      </c>
    </row>
    <row r="5548" customFormat="false" ht="15" hidden="false" customHeight="false" outlineLevel="0" collapsed="false">
      <c r="A5548" s="16" t="s">
        <v>16828</v>
      </c>
      <c r="B5548" s="16" t="n">
        <v>5543</v>
      </c>
      <c r="C5548" s="16" t="s">
        <v>16829</v>
      </c>
      <c r="D5548" s="16" t="n">
        <v>7</v>
      </c>
      <c r="E5548" s="37" t="s">
        <v>16830</v>
      </c>
      <c r="F5548" s="16" t="s">
        <v>1285</v>
      </c>
      <c r="G5548" s="16" t="s">
        <v>1169</v>
      </c>
      <c r="H5548" s="16" t="s">
        <v>16796</v>
      </c>
      <c r="I5548" s="16" t="s">
        <v>136</v>
      </c>
      <c r="J5548" s="16" t="s">
        <v>16823</v>
      </c>
      <c r="K5548" s="32" t="n">
        <v>1</v>
      </c>
      <c r="L5548" s="33" t="n">
        <v>46424</v>
      </c>
      <c r="M5548" s="33" t="n">
        <v>46424</v>
      </c>
      <c r="N5548" s="16" t="s">
        <v>16831</v>
      </c>
      <c r="O5548" s="16"/>
      <c r="P5548" s="16" t="str">
        <f aca="false">IF(AND(L5548&lt;=$D$2,M5548&gt;=$C$2),"Sí","")</f>
        <v/>
      </c>
      <c r="Q5548" s="18" t="str">
        <f aca="false">IF(COUNTIF(LOOKAHEAD!$A$5:$A$604,A5548)&gt;0,"En Lookahead",IF(P5548="Sí","INCORPORAR",""))</f>
        <v/>
      </c>
    </row>
    <row r="5549" customFormat="false" ht="15" hidden="false" customHeight="false" outlineLevel="0" collapsed="false">
      <c r="A5549" s="13" t="s">
        <v>16832</v>
      </c>
      <c r="B5549" s="13" t="n">
        <v>5544</v>
      </c>
      <c r="C5549" s="13" t="s">
        <v>16833</v>
      </c>
      <c r="D5549" s="13" t="n">
        <v>6</v>
      </c>
      <c r="E5549" s="36" t="s">
        <v>16834</v>
      </c>
      <c r="F5549" s="13" t="s">
        <v>1298</v>
      </c>
      <c r="G5549" s="13" t="s">
        <v>1169</v>
      </c>
      <c r="H5549" s="13" t="s">
        <v>16796</v>
      </c>
      <c r="I5549" s="13" t="s">
        <v>136</v>
      </c>
      <c r="J5549" s="13" t="s">
        <v>16799</v>
      </c>
      <c r="K5549" s="30" t="n">
        <v>1</v>
      </c>
      <c r="L5549" s="31" t="n">
        <v>46425</v>
      </c>
      <c r="M5549" s="31" t="n">
        <v>46425</v>
      </c>
      <c r="N5549" s="13"/>
      <c r="O5549" s="13"/>
      <c r="P5549" s="13"/>
      <c r="Q5549" s="13"/>
    </row>
    <row r="5550" customFormat="false" ht="15" hidden="false" customHeight="false" outlineLevel="0" collapsed="false">
      <c r="A5550" s="16" t="s">
        <v>16835</v>
      </c>
      <c r="B5550" s="16" t="n">
        <v>5545</v>
      </c>
      <c r="C5550" s="16" t="s">
        <v>16836</v>
      </c>
      <c r="D5550" s="16" t="n">
        <v>7</v>
      </c>
      <c r="E5550" s="37" t="s">
        <v>16837</v>
      </c>
      <c r="F5550" s="16" t="s">
        <v>1285</v>
      </c>
      <c r="G5550" s="16" t="s">
        <v>1169</v>
      </c>
      <c r="H5550" s="16" t="s">
        <v>16796</v>
      </c>
      <c r="I5550" s="16" t="s">
        <v>136</v>
      </c>
      <c r="J5550" s="16" t="s">
        <v>16834</v>
      </c>
      <c r="K5550" s="32" t="n">
        <v>1</v>
      </c>
      <c r="L5550" s="33" t="n">
        <v>46425</v>
      </c>
      <c r="M5550" s="33" t="n">
        <v>46425</v>
      </c>
      <c r="N5550" s="16" t="s">
        <v>16838</v>
      </c>
      <c r="O5550" s="16"/>
      <c r="P5550" s="16" t="str">
        <f aca="false">IF(AND(L5550&lt;=$D$2,M5550&gt;=$C$2),"Sí","")</f>
        <v/>
      </c>
      <c r="Q5550" s="18" t="str">
        <f aca="false">IF(COUNTIF(LOOKAHEAD!$A$5:$A$604,A5550)&gt;0,"En Lookahead",IF(P5550="Sí","INCORPORAR",""))</f>
        <v/>
      </c>
    </row>
    <row r="5551" customFormat="false" ht="15" hidden="false" customHeight="false" outlineLevel="0" collapsed="false">
      <c r="A5551" s="16" t="s">
        <v>16839</v>
      </c>
      <c r="B5551" s="16" t="n">
        <v>5546</v>
      </c>
      <c r="C5551" s="16" t="s">
        <v>16840</v>
      </c>
      <c r="D5551" s="16" t="n">
        <v>7</v>
      </c>
      <c r="E5551" s="37" t="s">
        <v>16841</v>
      </c>
      <c r="F5551" s="16" t="s">
        <v>1285</v>
      </c>
      <c r="G5551" s="16" t="s">
        <v>1169</v>
      </c>
      <c r="H5551" s="16" t="s">
        <v>16796</v>
      </c>
      <c r="I5551" s="16" t="s">
        <v>136</v>
      </c>
      <c r="J5551" s="16" t="s">
        <v>16834</v>
      </c>
      <c r="K5551" s="32" t="n">
        <v>1</v>
      </c>
      <c r="L5551" s="33" t="n">
        <v>46425</v>
      </c>
      <c r="M5551" s="33" t="n">
        <v>46425</v>
      </c>
      <c r="N5551" s="16" t="s">
        <v>16842</v>
      </c>
      <c r="O5551" s="16"/>
      <c r="P5551" s="16" t="str">
        <f aca="false">IF(AND(L5551&lt;=$D$2,M5551&gt;=$C$2),"Sí","")</f>
        <v/>
      </c>
      <c r="Q5551" s="18" t="str">
        <f aca="false">IF(COUNTIF(LOOKAHEAD!$A$5:$A$604,A5551)&gt;0,"En Lookahead",IF(P5551="Sí","INCORPORAR",""))</f>
        <v/>
      </c>
    </row>
    <row r="5552" customFormat="false" ht="15" hidden="false" customHeight="false" outlineLevel="0" collapsed="false">
      <c r="A5552" s="13" t="s">
        <v>16843</v>
      </c>
      <c r="B5552" s="13" t="n">
        <v>5547</v>
      </c>
      <c r="C5552" s="13" t="s">
        <v>16844</v>
      </c>
      <c r="D5552" s="13" t="n">
        <v>5</v>
      </c>
      <c r="E5552" s="34" t="s">
        <v>16845</v>
      </c>
      <c r="F5552" s="13" t="s">
        <v>1298</v>
      </c>
      <c r="G5552" s="13" t="s">
        <v>1169</v>
      </c>
      <c r="H5552" s="13" t="s">
        <v>16796</v>
      </c>
      <c r="I5552" s="13" t="s">
        <v>136</v>
      </c>
      <c r="J5552" s="13" t="s">
        <v>16796</v>
      </c>
      <c r="K5552" s="30" t="n">
        <v>6</v>
      </c>
      <c r="L5552" s="31" t="n">
        <v>46426</v>
      </c>
      <c r="M5552" s="31" t="n">
        <v>46431</v>
      </c>
      <c r="N5552" s="13"/>
      <c r="O5552" s="13"/>
      <c r="P5552" s="13"/>
      <c r="Q5552" s="13"/>
    </row>
    <row r="5553" customFormat="false" ht="15" hidden="false" customHeight="false" outlineLevel="0" collapsed="false">
      <c r="A5553" s="13" t="s">
        <v>16846</v>
      </c>
      <c r="B5553" s="13" t="n">
        <v>5548</v>
      </c>
      <c r="C5553" s="13" t="s">
        <v>16847</v>
      </c>
      <c r="D5553" s="13" t="n">
        <v>6</v>
      </c>
      <c r="E5553" s="36" t="s">
        <v>16848</v>
      </c>
      <c r="F5553" s="13" t="s">
        <v>1298</v>
      </c>
      <c r="G5553" s="13" t="s">
        <v>1169</v>
      </c>
      <c r="H5553" s="13" t="s">
        <v>16796</v>
      </c>
      <c r="I5553" s="13" t="s">
        <v>136</v>
      </c>
      <c r="J5553" s="13" t="s">
        <v>16845</v>
      </c>
      <c r="K5553" s="30" t="n">
        <v>1</v>
      </c>
      <c r="L5553" s="31" t="n">
        <v>46426</v>
      </c>
      <c r="M5553" s="31" t="n">
        <v>46426</v>
      </c>
      <c r="N5553" s="13"/>
      <c r="O5553" s="13"/>
      <c r="P5553" s="13"/>
      <c r="Q5553" s="13"/>
    </row>
    <row r="5554" customFormat="false" ht="15" hidden="false" customHeight="false" outlineLevel="0" collapsed="false">
      <c r="A5554" s="16" t="s">
        <v>16849</v>
      </c>
      <c r="B5554" s="16" t="n">
        <v>5549</v>
      </c>
      <c r="C5554" s="16" t="s">
        <v>16850</v>
      </c>
      <c r="D5554" s="16" t="n">
        <v>7</v>
      </c>
      <c r="E5554" s="37" t="s">
        <v>16805</v>
      </c>
      <c r="F5554" s="16" t="s">
        <v>1285</v>
      </c>
      <c r="G5554" s="16" t="s">
        <v>1169</v>
      </c>
      <c r="H5554" s="16" t="s">
        <v>16796</v>
      </c>
      <c r="I5554" s="16" t="s">
        <v>136</v>
      </c>
      <c r="J5554" s="16" t="s">
        <v>16848</v>
      </c>
      <c r="K5554" s="32" t="n">
        <v>1</v>
      </c>
      <c r="L5554" s="33" t="n">
        <v>46426</v>
      </c>
      <c r="M5554" s="33" t="n">
        <v>46426</v>
      </c>
      <c r="N5554" s="16" t="s">
        <v>16851</v>
      </c>
      <c r="O5554" s="16"/>
      <c r="P5554" s="16" t="str">
        <f aca="false">IF(AND(L5554&lt;=$D$2,M5554&gt;=$C$2),"Sí","")</f>
        <v/>
      </c>
      <c r="Q5554" s="18" t="str">
        <f aca="false">IF(COUNTIF(LOOKAHEAD!$A$5:$A$604,A5554)&gt;0,"En Lookahead",IF(P5554="Sí","INCORPORAR",""))</f>
        <v/>
      </c>
    </row>
    <row r="5555" customFormat="false" ht="15" hidden="false" customHeight="false" outlineLevel="0" collapsed="false">
      <c r="A5555" s="16" t="s">
        <v>16852</v>
      </c>
      <c r="B5555" s="16" t="n">
        <v>5550</v>
      </c>
      <c r="C5555" s="16" t="s">
        <v>16853</v>
      </c>
      <c r="D5555" s="16" t="n">
        <v>7</v>
      </c>
      <c r="E5555" s="37" t="s">
        <v>16854</v>
      </c>
      <c r="F5555" s="16" t="s">
        <v>1285</v>
      </c>
      <c r="G5555" s="16" t="s">
        <v>1169</v>
      </c>
      <c r="H5555" s="16" t="s">
        <v>16796</v>
      </c>
      <c r="I5555" s="16" t="s">
        <v>136</v>
      </c>
      <c r="J5555" s="16" t="s">
        <v>16848</v>
      </c>
      <c r="K5555" s="32" t="n">
        <v>1</v>
      </c>
      <c r="L5555" s="33" t="n">
        <v>46426</v>
      </c>
      <c r="M5555" s="33" t="n">
        <v>46426</v>
      </c>
      <c r="N5555" s="16" t="s">
        <v>16855</v>
      </c>
      <c r="O5555" s="16"/>
      <c r="P5555" s="16" t="str">
        <f aca="false">IF(AND(L5555&lt;=$D$2,M5555&gt;=$C$2),"Sí","")</f>
        <v/>
      </c>
      <c r="Q5555" s="18" t="str">
        <f aca="false">IF(COUNTIF(LOOKAHEAD!$A$5:$A$604,A5555)&gt;0,"En Lookahead",IF(P5555="Sí","INCORPORAR",""))</f>
        <v/>
      </c>
    </row>
    <row r="5556" customFormat="false" ht="15" hidden="false" customHeight="false" outlineLevel="0" collapsed="false">
      <c r="A5556" s="13" t="s">
        <v>16856</v>
      </c>
      <c r="B5556" s="13" t="n">
        <v>5551</v>
      </c>
      <c r="C5556" s="13" t="s">
        <v>16857</v>
      </c>
      <c r="D5556" s="13" t="n">
        <v>6</v>
      </c>
      <c r="E5556" s="36" t="s">
        <v>16858</v>
      </c>
      <c r="F5556" s="13" t="s">
        <v>1298</v>
      </c>
      <c r="G5556" s="13" t="s">
        <v>1169</v>
      </c>
      <c r="H5556" s="13" t="s">
        <v>16796</v>
      </c>
      <c r="I5556" s="13" t="s">
        <v>136</v>
      </c>
      <c r="J5556" s="13" t="s">
        <v>16845</v>
      </c>
      <c r="K5556" s="30" t="n">
        <v>2</v>
      </c>
      <c r="L5556" s="31" t="n">
        <v>46427</v>
      </c>
      <c r="M5556" s="31" t="n">
        <v>46428</v>
      </c>
      <c r="N5556" s="13"/>
      <c r="O5556" s="13"/>
      <c r="P5556" s="13"/>
      <c r="Q5556" s="13"/>
    </row>
    <row r="5557" customFormat="false" ht="15" hidden="false" customHeight="false" outlineLevel="0" collapsed="false">
      <c r="A5557" s="16" t="s">
        <v>16859</v>
      </c>
      <c r="B5557" s="16" t="n">
        <v>5552</v>
      </c>
      <c r="C5557" s="16" t="s">
        <v>16860</v>
      </c>
      <c r="D5557" s="16" t="n">
        <v>7</v>
      </c>
      <c r="E5557" s="37" t="s">
        <v>16861</v>
      </c>
      <c r="F5557" s="16" t="s">
        <v>1285</v>
      </c>
      <c r="G5557" s="16" t="s">
        <v>1169</v>
      </c>
      <c r="H5557" s="16" t="s">
        <v>16796</v>
      </c>
      <c r="I5557" s="16" t="s">
        <v>136</v>
      </c>
      <c r="J5557" s="16" t="s">
        <v>16858</v>
      </c>
      <c r="K5557" s="32" t="n">
        <v>1</v>
      </c>
      <c r="L5557" s="33" t="n">
        <v>46427</v>
      </c>
      <c r="M5557" s="33" t="n">
        <v>46427</v>
      </c>
      <c r="N5557" s="16" t="s">
        <v>16862</v>
      </c>
      <c r="O5557" s="16"/>
      <c r="P5557" s="16" t="str">
        <f aca="false">IF(AND(L5557&lt;=$D$2,M5557&gt;=$C$2),"Sí","")</f>
        <v/>
      </c>
      <c r="Q5557" s="18" t="str">
        <f aca="false">IF(COUNTIF(LOOKAHEAD!$A$5:$A$604,A5557)&gt;0,"En Lookahead",IF(P5557="Sí","INCORPORAR",""))</f>
        <v/>
      </c>
    </row>
    <row r="5558" customFormat="false" ht="15" hidden="false" customHeight="false" outlineLevel="0" collapsed="false">
      <c r="A5558" s="16" t="s">
        <v>16863</v>
      </c>
      <c r="B5558" s="16" t="n">
        <v>5553</v>
      </c>
      <c r="C5558" s="16" t="s">
        <v>16864</v>
      </c>
      <c r="D5558" s="16" t="n">
        <v>7</v>
      </c>
      <c r="E5558" s="37" t="s">
        <v>16865</v>
      </c>
      <c r="F5558" s="16" t="s">
        <v>1285</v>
      </c>
      <c r="G5558" s="16" t="s">
        <v>1169</v>
      </c>
      <c r="H5558" s="16" t="s">
        <v>16796</v>
      </c>
      <c r="I5558" s="16" t="s">
        <v>136</v>
      </c>
      <c r="J5558" s="16" t="s">
        <v>16858</v>
      </c>
      <c r="K5558" s="32" t="n">
        <v>1</v>
      </c>
      <c r="L5558" s="33" t="n">
        <v>46428</v>
      </c>
      <c r="M5558" s="33" t="n">
        <v>46428</v>
      </c>
      <c r="N5558" s="16" t="s">
        <v>16866</v>
      </c>
      <c r="O5558" s="16"/>
      <c r="P5558" s="16" t="str">
        <f aca="false">IF(AND(L5558&lt;=$D$2,M5558&gt;=$C$2),"Sí","")</f>
        <v/>
      </c>
      <c r="Q5558" s="18" t="str">
        <f aca="false">IF(COUNTIF(LOOKAHEAD!$A$5:$A$604,A5558)&gt;0,"En Lookahead",IF(P5558="Sí","INCORPORAR",""))</f>
        <v/>
      </c>
    </row>
    <row r="5559" customFormat="false" ht="15" hidden="false" customHeight="false" outlineLevel="0" collapsed="false">
      <c r="A5559" s="13" t="s">
        <v>16867</v>
      </c>
      <c r="B5559" s="13" t="n">
        <v>5554</v>
      </c>
      <c r="C5559" s="13" t="s">
        <v>16868</v>
      </c>
      <c r="D5559" s="13" t="n">
        <v>6</v>
      </c>
      <c r="E5559" s="36" t="s">
        <v>16869</v>
      </c>
      <c r="F5559" s="13" t="s">
        <v>1298</v>
      </c>
      <c r="G5559" s="13" t="s">
        <v>1169</v>
      </c>
      <c r="H5559" s="13" t="s">
        <v>16796</v>
      </c>
      <c r="I5559" s="13" t="s">
        <v>136</v>
      </c>
      <c r="J5559" s="13" t="s">
        <v>16845</v>
      </c>
      <c r="K5559" s="30" t="n">
        <v>1</v>
      </c>
      <c r="L5559" s="31" t="n">
        <v>46429</v>
      </c>
      <c r="M5559" s="31" t="n">
        <v>46429</v>
      </c>
      <c r="N5559" s="13"/>
      <c r="O5559" s="13"/>
      <c r="P5559" s="13"/>
      <c r="Q5559" s="13"/>
    </row>
    <row r="5560" customFormat="false" ht="15" hidden="false" customHeight="false" outlineLevel="0" collapsed="false">
      <c r="A5560" s="16" t="s">
        <v>16870</v>
      </c>
      <c r="B5560" s="16" t="n">
        <v>5555</v>
      </c>
      <c r="C5560" s="16" t="s">
        <v>16871</v>
      </c>
      <c r="D5560" s="16" t="n">
        <v>7</v>
      </c>
      <c r="E5560" s="37" t="s">
        <v>16861</v>
      </c>
      <c r="F5560" s="16" t="s">
        <v>1285</v>
      </c>
      <c r="G5560" s="16" t="s">
        <v>1169</v>
      </c>
      <c r="H5560" s="16" t="s">
        <v>16796</v>
      </c>
      <c r="I5560" s="16" t="s">
        <v>136</v>
      </c>
      <c r="J5560" s="16" t="s">
        <v>16869</v>
      </c>
      <c r="K5560" s="32" t="n">
        <v>1</v>
      </c>
      <c r="L5560" s="33" t="n">
        <v>46429</v>
      </c>
      <c r="M5560" s="33" t="n">
        <v>46429</v>
      </c>
      <c r="N5560" s="16" t="s">
        <v>16872</v>
      </c>
      <c r="O5560" s="16"/>
      <c r="P5560" s="16" t="str">
        <f aca="false">IF(AND(L5560&lt;=$D$2,M5560&gt;=$C$2),"Sí","")</f>
        <v/>
      </c>
      <c r="Q5560" s="18" t="str">
        <f aca="false">IF(COUNTIF(LOOKAHEAD!$A$5:$A$604,A5560)&gt;0,"En Lookahead",IF(P5560="Sí","INCORPORAR",""))</f>
        <v/>
      </c>
    </row>
    <row r="5561" customFormat="false" ht="15" hidden="false" customHeight="false" outlineLevel="0" collapsed="false">
      <c r="A5561" s="16" t="s">
        <v>16873</v>
      </c>
      <c r="B5561" s="16" t="n">
        <v>5556</v>
      </c>
      <c r="C5561" s="16" t="s">
        <v>16874</v>
      </c>
      <c r="D5561" s="16" t="n">
        <v>7</v>
      </c>
      <c r="E5561" s="37" t="s">
        <v>16875</v>
      </c>
      <c r="F5561" s="16" t="s">
        <v>1285</v>
      </c>
      <c r="G5561" s="16" t="s">
        <v>1169</v>
      </c>
      <c r="H5561" s="16" t="s">
        <v>16796</v>
      </c>
      <c r="I5561" s="16" t="s">
        <v>136</v>
      </c>
      <c r="J5561" s="16" t="s">
        <v>16869</v>
      </c>
      <c r="K5561" s="32" t="n">
        <v>1</v>
      </c>
      <c r="L5561" s="33" t="n">
        <v>46429</v>
      </c>
      <c r="M5561" s="33" t="n">
        <v>46429</v>
      </c>
      <c r="N5561" s="16" t="s">
        <v>16876</v>
      </c>
      <c r="O5561" s="16"/>
      <c r="P5561" s="16" t="str">
        <f aca="false">IF(AND(L5561&lt;=$D$2,M5561&gt;=$C$2),"Sí","")</f>
        <v/>
      </c>
      <c r="Q5561" s="18" t="str">
        <f aca="false">IF(COUNTIF(LOOKAHEAD!$A$5:$A$604,A5561)&gt;0,"En Lookahead",IF(P5561="Sí","INCORPORAR",""))</f>
        <v/>
      </c>
    </row>
    <row r="5562" customFormat="false" ht="15" hidden="false" customHeight="false" outlineLevel="0" collapsed="false">
      <c r="A5562" s="13" t="s">
        <v>16877</v>
      </c>
      <c r="B5562" s="13" t="n">
        <v>5557</v>
      </c>
      <c r="C5562" s="13" t="s">
        <v>16878</v>
      </c>
      <c r="D5562" s="13" t="n">
        <v>6</v>
      </c>
      <c r="E5562" s="36" t="s">
        <v>16879</v>
      </c>
      <c r="F5562" s="13" t="s">
        <v>1298</v>
      </c>
      <c r="G5562" s="13" t="s">
        <v>1169</v>
      </c>
      <c r="H5562" s="13" t="s">
        <v>16796</v>
      </c>
      <c r="I5562" s="13" t="s">
        <v>136</v>
      </c>
      <c r="J5562" s="13" t="s">
        <v>16845</v>
      </c>
      <c r="K5562" s="30" t="n">
        <v>1</v>
      </c>
      <c r="L5562" s="31" t="n">
        <v>46430</v>
      </c>
      <c r="M5562" s="31" t="n">
        <v>46430</v>
      </c>
      <c r="N5562" s="13"/>
      <c r="O5562" s="13"/>
      <c r="P5562" s="13"/>
      <c r="Q5562" s="13"/>
    </row>
    <row r="5563" customFormat="false" ht="15" hidden="false" customHeight="false" outlineLevel="0" collapsed="false">
      <c r="A5563" s="16" t="s">
        <v>16880</v>
      </c>
      <c r="B5563" s="16" t="n">
        <v>5558</v>
      </c>
      <c r="C5563" s="16" t="s">
        <v>16881</v>
      </c>
      <c r="D5563" s="16" t="n">
        <v>7</v>
      </c>
      <c r="E5563" s="37" t="s">
        <v>16861</v>
      </c>
      <c r="F5563" s="16" t="s">
        <v>1285</v>
      </c>
      <c r="G5563" s="16" t="s">
        <v>1169</v>
      </c>
      <c r="H5563" s="16" t="s">
        <v>16796</v>
      </c>
      <c r="I5563" s="16" t="s">
        <v>136</v>
      </c>
      <c r="J5563" s="16" t="s">
        <v>16879</v>
      </c>
      <c r="K5563" s="32" t="n">
        <v>1</v>
      </c>
      <c r="L5563" s="33" t="n">
        <v>46430</v>
      </c>
      <c r="M5563" s="33" t="n">
        <v>46430</v>
      </c>
      <c r="N5563" s="16" t="s">
        <v>16882</v>
      </c>
      <c r="O5563" s="16"/>
      <c r="P5563" s="16" t="str">
        <f aca="false">IF(AND(L5563&lt;=$D$2,M5563&gt;=$C$2),"Sí","")</f>
        <v/>
      </c>
      <c r="Q5563" s="18" t="str">
        <f aca="false">IF(COUNTIF(LOOKAHEAD!$A$5:$A$604,A5563)&gt;0,"En Lookahead",IF(P5563="Sí","INCORPORAR",""))</f>
        <v/>
      </c>
    </row>
    <row r="5564" customFormat="false" ht="15" hidden="false" customHeight="false" outlineLevel="0" collapsed="false">
      <c r="A5564" s="16" t="s">
        <v>16883</v>
      </c>
      <c r="B5564" s="16" t="n">
        <v>5559</v>
      </c>
      <c r="C5564" s="16" t="s">
        <v>16884</v>
      </c>
      <c r="D5564" s="16" t="n">
        <v>7</v>
      </c>
      <c r="E5564" s="37" t="s">
        <v>16885</v>
      </c>
      <c r="F5564" s="16" t="s">
        <v>1285</v>
      </c>
      <c r="G5564" s="16" t="s">
        <v>1169</v>
      </c>
      <c r="H5564" s="16" t="s">
        <v>16796</v>
      </c>
      <c r="I5564" s="16" t="s">
        <v>136</v>
      </c>
      <c r="J5564" s="16" t="s">
        <v>16879</v>
      </c>
      <c r="K5564" s="32" t="n">
        <v>1</v>
      </c>
      <c r="L5564" s="33" t="n">
        <v>46430</v>
      </c>
      <c r="M5564" s="33" t="n">
        <v>46430</v>
      </c>
      <c r="N5564" s="16" t="s">
        <v>16886</v>
      </c>
      <c r="O5564" s="16"/>
      <c r="P5564" s="16" t="str">
        <f aca="false">IF(AND(L5564&lt;=$D$2,M5564&gt;=$C$2),"Sí","")</f>
        <v/>
      </c>
      <c r="Q5564" s="18" t="str">
        <f aca="false">IF(COUNTIF(LOOKAHEAD!$A$5:$A$604,A5564)&gt;0,"En Lookahead",IF(P5564="Sí","INCORPORAR",""))</f>
        <v/>
      </c>
    </row>
    <row r="5565" customFormat="false" ht="15" hidden="false" customHeight="false" outlineLevel="0" collapsed="false">
      <c r="A5565" s="13" t="s">
        <v>16887</v>
      </c>
      <c r="B5565" s="13" t="n">
        <v>5560</v>
      </c>
      <c r="C5565" s="13" t="s">
        <v>16888</v>
      </c>
      <c r="D5565" s="13" t="n">
        <v>6</v>
      </c>
      <c r="E5565" s="36" t="s">
        <v>16889</v>
      </c>
      <c r="F5565" s="13" t="s">
        <v>1298</v>
      </c>
      <c r="G5565" s="13" t="s">
        <v>1169</v>
      </c>
      <c r="H5565" s="13" t="s">
        <v>16796</v>
      </c>
      <c r="I5565" s="13" t="s">
        <v>136</v>
      </c>
      <c r="J5565" s="13" t="s">
        <v>16845</v>
      </c>
      <c r="K5565" s="30" t="n">
        <v>1</v>
      </c>
      <c r="L5565" s="31" t="n">
        <v>46431</v>
      </c>
      <c r="M5565" s="31" t="n">
        <v>46431</v>
      </c>
      <c r="N5565" s="13"/>
      <c r="O5565" s="13"/>
      <c r="P5565" s="13"/>
      <c r="Q5565" s="13"/>
    </row>
    <row r="5566" customFormat="false" ht="15" hidden="false" customHeight="false" outlineLevel="0" collapsed="false">
      <c r="A5566" s="16" t="s">
        <v>16890</v>
      </c>
      <c r="B5566" s="16" t="n">
        <v>5561</v>
      </c>
      <c r="C5566" s="16" t="s">
        <v>16891</v>
      </c>
      <c r="D5566" s="16" t="n">
        <v>7</v>
      </c>
      <c r="E5566" s="37" t="s">
        <v>16861</v>
      </c>
      <c r="F5566" s="16" t="s">
        <v>1285</v>
      </c>
      <c r="G5566" s="16" t="s">
        <v>1169</v>
      </c>
      <c r="H5566" s="16" t="s">
        <v>16796</v>
      </c>
      <c r="I5566" s="16" t="s">
        <v>136</v>
      </c>
      <c r="J5566" s="16" t="s">
        <v>16889</v>
      </c>
      <c r="K5566" s="32" t="n">
        <v>1</v>
      </c>
      <c r="L5566" s="33" t="n">
        <v>46431</v>
      </c>
      <c r="M5566" s="33" t="n">
        <v>46431</v>
      </c>
      <c r="N5566" s="16" t="s">
        <v>16892</v>
      </c>
      <c r="O5566" s="16"/>
      <c r="P5566" s="16" t="str">
        <f aca="false">IF(AND(L5566&lt;=$D$2,M5566&gt;=$C$2),"Sí","")</f>
        <v/>
      </c>
      <c r="Q5566" s="18" t="str">
        <f aca="false">IF(COUNTIF(LOOKAHEAD!$A$5:$A$604,A5566)&gt;0,"En Lookahead",IF(P5566="Sí","INCORPORAR",""))</f>
        <v/>
      </c>
    </row>
    <row r="5567" customFormat="false" ht="15" hidden="false" customHeight="false" outlineLevel="0" collapsed="false">
      <c r="A5567" s="16" t="s">
        <v>16893</v>
      </c>
      <c r="B5567" s="16" t="n">
        <v>5562</v>
      </c>
      <c r="C5567" s="16" t="s">
        <v>16894</v>
      </c>
      <c r="D5567" s="16" t="n">
        <v>7</v>
      </c>
      <c r="E5567" s="37" t="s">
        <v>16895</v>
      </c>
      <c r="F5567" s="16" t="s">
        <v>1285</v>
      </c>
      <c r="G5567" s="16" t="s">
        <v>1169</v>
      </c>
      <c r="H5567" s="16" t="s">
        <v>16796</v>
      </c>
      <c r="I5567" s="16" t="s">
        <v>136</v>
      </c>
      <c r="J5567" s="16" t="s">
        <v>16889</v>
      </c>
      <c r="K5567" s="32" t="n">
        <v>1</v>
      </c>
      <c r="L5567" s="33" t="n">
        <v>46431</v>
      </c>
      <c r="M5567" s="33" t="n">
        <v>46431</v>
      </c>
      <c r="N5567" s="16" t="s">
        <v>16896</v>
      </c>
      <c r="O5567" s="16"/>
      <c r="P5567" s="16" t="str">
        <f aca="false">IF(AND(L5567&lt;=$D$2,M5567&gt;=$C$2),"Sí","")</f>
        <v/>
      </c>
      <c r="Q5567" s="18" t="str">
        <f aca="false">IF(COUNTIF(LOOKAHEAD!$A$5:$A$604,A5567)&gt;0,"En Lookahead",IF(P5567="Sí","INCORPORAR",""))</f>
        <v/>
      </c>
    </row>
    <row r="5568" customFormat="false" ht="15" hidden="false" customHeight="false" outlineLevel="0" collapsed="false">
      <c r="A5568" s="13" t="s">
        <v>16897</v>
      </c>
      <c r="B5568" s="13" t="n">
        <v>5563</v>
      </c>
      <c r="C5568" s="13" t="s">
        <v>16898</v>
      </c>
      <c r="D5568" s="13" t="n">
        <v>5</v>
      </c>
      <c r="E5568" s="34" t="s">
        <v>16899</v>
      </c>
      <c r="F5568" s="13" t="s">
        <v>1298</v>
      </c>
      <c r="G5568" s="13" t="s">
        <v>1169</v>
      </c>
      <c r="H5568" s="13" t="s">
        <v>16796</v>
      </c>
      <c r="I5568" s="13" t="s">
        <v>136</v>
      </c>
      <c r="J5568" s="13" t="s">
        <v>16796</v>
      </c>
      <c r="K5568" s="30" t="n">
        <v>20</v>
      </c>
      <c r="L5568" s="31" t="n">
        <v>46432</v>
      </c>
      <c r="M5568" s="31" t="n">
        <v>46451</v>
      </c>
      <c r="N5568" s="13"/>
      <c r="O5568" s="13"/>
      <c r="P5568" s="13"/>
      <c r="Q5568" s="13"/>
    </row>
    <row r="5569" customFormat="false" ht="15" hidden="false" customHeight="false" outlineLevel="0" collapsed="false">
      <c r="A5569" s="13" t="s">
        <v>16900</v>
      </c>
      <c r="B5569" s="13" t="n">
        <v>5564</v>
      </c>
      <c r="C5569" s="13" t="s">
        <v>16901</v>
      </c>
      <c r="D5569" s="13" t="n">
        <v>6</v>
      </c>
      <c r="E5569" s="36" t="s">
        <v>16902</v>
      </c>
      <c r="F5569" s="13" t="s">
        <v>1298</v>
      </c>
      <c r="G5569" s="13" t="s">
        <v>1169</v>
      </c>
      <c r="H5569" s="13" t="s">
        <v>16796</v>
      </c>
      <c r="I5569" s="13" t="s">
        <v>136</v>
      </c>
      <c r="J5569" s="13" t="s">
        <v>16899</v>
      </c>
      <c r="K5569" s="30" t="n">
        <v>1</v>
      </c>
      <c r="L5569" s="31" t="n">
        <v>46432</v>
      </c>
      <c r="M5569" s="31" t="n">
        <v>46432</v>
      </c>
      <c r="N5569" s="13"/>
      <c r="O5569" s="13"/>
      <c r="P5569" s="13"/>
      <c r="Q5569" s="13"/>
    </row>
    <row r="5570" customFormat="false" ht="15" hidden="false" customHeight="false" outlineLevel="0" collapsed="false">
      <c r="A5570" s="16" t="s">
        <v>16903</v>
      </c>
      <c r="B5570" s="16" t="n">
        <v>5565</v>
      </c>
      <c r="C5570" s="16" t="s">
        <v>16904</v>
      </c>
      <c r="D5570" s="16" t="n">
        <v>7</v>
      </c>
      <c r="E5570" s="37" t="s">
        <v>16905</v>
      </c>
      <c r="F5570" s="16" t="s">
        <v>1285</v>
      </c>
      <c r="G5570" s="16" t="s">
        <v>1169</v>
      </c>
      <c r="H5570" s="16" t="s">
        <v>16796</v>
      </c>
      <c r="I5570" s="16" t="s">
        <v>136</v>
      </c>
      <c r="J5570" s="16" t="s">
        <v>16902</v>
      </c>
      <c r="K5570" s="32" t="n">
        <v>1</v>
      </c>
      <c r="L5570" s="33" t="n">
        <v>46432</v>
      </c>
      <c r="M5570" s="33" t="n">
        <v>46432</v>
      </c>
      <c r="N5570" s="16" t="s">
        <v>16906</v>
      </c>
      <c r="O5570" s="16"/>
      <c r="P5570" s="16" t="str">
        <f aca="false">IF(AND(L5570&lt;=$D$2,M5570&gt;=$C$2),"Sí","")</f>
        <v/>
      </c>
      <c r="Q5570" s="18" t="str">
        <f aca="false">IF(COUNTIF(LOOKAHEAD!$A$5:$A$604,A5570)&gt;0,"En Lookahead",IF(P5570="Sí","INCORPORAR",""))</f>
        <v/>
      </c>
    </row>
    <row r="5571" customFormat="false" ht="15" hidden="false" customHeight="false" outlineLevel="0" collapsed="false">
      <c r="A5571" s="13" t="s">
        <v>16907</v>
      </c>
      <c r="B5571" s="13" t="n">
        <v>5566</v>
      </c>
      <c r="C5571" s="13" t="s">
        <v>16908</v>
      </c>
      <c r="D5571" s="13" t="n">
        <v>6</v>
      </c>
      <c r="E5571" s="36" t="s">
        <v>16909</v>
      </c>
      <c r="F5571" s="13" t="s">
        <v>1298</v>
      </c>
      <c r="G5571" s="13" t="s">
        <v>1169</v>
      </c>
      <c r="H5571" s="13" t="s">
        <v>16796</v>
      </c>
      <c r="I5571" s="13" t="s">
        <v>136</v>
      </c>
      <c r="J5571" s="13" t="s">
        <v>16899</v>
      </c>
      <c r="K5571" s="30" t="n">
        <v>1</v>
      </c>
      <c r="L5571" s="31" t="n">
        <v>46433</v>
      </c>
      <c r="M5571" s="31" t="n">
        <v>46433</v>
      </c>
      <c r="N5571" s="13"/>
      <c r="O5571" s="13"/>
      <c r="P5571" s="13"/>
      <c r="Q5571" s="13"/>
    </row>
    <row r="5572" customFormat="false" ht="15" hidden="false" customHeight="false" outlineLevel="0" collapsed="false">
      <c r="A5572" s="16" t="s">
        <v>16910</v>
      </c>
      <c r="B5572" s="16" t="n">
        <v>5567</v>
      </c>
      <c r="C5572" s="16" t="s">
        <v>16911</v>
      </c>
      <c r="D5572" s="16" t="n">
        <v>7</v>
      </c>
      <c r="E5572" s="37" t="s">
        <v>16912</v>
      </c>
      <c r="F5572" s="16" t="s">
        <v>1285</v>
      </c>
      <c r="G5572" s="16" t="s">
        <v>1169</v>
      </c>
      <c r="H5572" s="16" t="s">
        <v>16796</v>
      </c>
      <c r="I5572" s="16" t="s">
        <v>136</v>
      </c>
      <c r="J5572" s="16" t="s">
        <v>16909</v>
      </c>
      <c r="K5572" s="32" t="n">
        <v>1</v>
      </c>
      <c r="L5572" s="33" t="n">
        <v>46433</v>
      </c>
      <c r="M5572" s="33" t="n">
        <v>46433</v>
      </c>
      <c r="N5572" s="16" t="s">
        <v>16913</v>
      </c>
      <c r="O5572" s="16"/>
      <c r="P5572" s="16" t="str">
        <f aca="false">IF(AND(L5572&lt;=$D$2,M5572&gt;=$C$2),"Sí","")</f>
        <v/>
      </c>
      <c r="Q5572" s="18" t="str">
        <f aca="false">IF(COUNTIF(LOOKAHEAD!$A$5:$A$604,A5572)&gt;0,"En Lookahead",IF(P5572="Sí","INCORPORAR",""))</f>
        <v/>
      </c>
    </row>
    <row r="5573" customFormat="false" ht="15" hidden="false" customHeight="false" outlineLevel="0" collapsed="false">
      <c r="A5573" s="13" t="s">
        <v>16914</v>
      </c>
      <c r="B5573" s="13" t="n">
        <v>5568</v>
      </c>
      <c r="C5573" s="13" t="s">
        <v>16915</v>
      </c>
      <c r="D5573" s="13" t="n">
        <v>6</v>
      </c>
      <c r="E5573" s="36" t="s">
        <v>16916</v>
      </c>
      <c r="F5573" s="13" t="s">
        <v>1298</v>
      </c>
      <c r="G5573" s="13" t="s">
        <v>1169</v>
      </c>
      <c r="H5573" s="13" t="s">
        <v>16796</v>
      </c>
      <c r="I5573" s="13" t="s">
        <v>136</v>
      </c>
      <c r="J5573" s="13" t="s">
        <v>16899</v>
      </c>
      <c r="K5573" s="30" t="n">
        <v>1</v>
      </c>
      <c r="L5573" s="31" t="n">
        <v>46434</v>
      </c>
      <c r="M5573" s="31" t="n">
        <v>46434</v>
      </c>
      <c r="N5573" s="13"/>
      <c r="O5573" s="13"/>
      <c r="P5573" s="13"/>
      <c r="Q5573" s="13"/>
    </row>
    <row r="5574" customFormat="false" ht="15" hidden="false" customHeight="false" outlineLevel="0" collapsed="false">
      <c r="A5574" s="16" t="s">
        <v>16917</v>
      </c>
      <c r="B5574" s="16" t="n">
        <v>5569</v>
      </c>
      <c r="C5574" s="16" t="s">
        <v>16918</v>
      </c>
      <c r="D5574" s="16" t="n">
        <v>7</v>
      </c>
      <c r="E5574" s="37" t="s">
        <v>16919</v>
      </c>
      <c r="F5574" s="16" t="s">
        <v>1285</v>
      </c>
      <c r="G5574" s="16" t="s">
        <v>1169</v>
      </c>
      <c r="H5574" s="16" t="s">
        <v>16796</v>
      </c>
      <c r="I5574" s="16" t="s">
        <v>136</v>
      </c>
      <c r="J5574" s="16" t="s">
        <v>16916</v>
      </c>
      <c r="K5574" s="32" t="n">
        <v>1</v>
      </c>
      <c r="L5574" s="33" t="n">
        <v>46434</v>
      </c>
      <c r="M5574" s="33" t="n">
        <v>46434</v>
      </c>
      <c r="N5574" s="16" t="s">
        <v>16920</v>
      </c>
      <c r="O5574" s="16"/>
      <c r="P5574" s="16" t="str">
        <f aca="false">IF(AND(L5574&lt;=$D$2,M5574&gt;=$C$2),"Sí","")</f>
        <v/>
      </c>
      <c r="Q5574" s="18" t="str">
        <f aca="false">IF(COUNTIF(LOOKAHEAD!$A$5:$A$604,A5574)&gt;0,"En Lookahead",IF(P5574="Sí","INCORPORAR",""))</f>
        <v/>
      </c>
    </row>
    <row r="5575" customFormat="false" ht="15" hidden="false" customHeight="false" outlineLevel="0" collapsed="false">
      <c r="A5575" s="13" t="s">
        <v>16921</v>
      </c>
      <c r="B5575" s="13" t="n">
        <v>5570</v>
      </c>
      <c r="C5575" s="13" t="s">
        <v>16922</v>
      </c>
      <c r="D5575" s="13" t="n">
        <v>6</v>
      </c>
      <c r="E5575" s="36" t="s">
        <v>16923</v>
      </c>
      <c r="F5575" s="13" t="s">
        <v>1298</v>
      </c>
      <c r="G5575" s="13" t="s">
        <v>1169</v>
      </c>
      <c r="H5575" s="13" t="s">
        <v>16796</v>
      </c>
      <c r="I5575" s="13" t="s">
        <v>136</v>
      </c>
      <c r="J5575" s="13" t="s">
        <v>16899</v>
      </c>
      <c r="K5575" s="30" t="n">
        <v>6</v>
      </c>
      <c r="L5575" s="31" t="n">
        <v>46435</v>
      </c>
      <c r="M5575" s="31" t="n">
        <v>46440</v>
      </c>
      <c r="N5575" s="13"/>
      <c r="O5575" s="13"/>
      <c r="P5575" s="13"/>
      <c r="Q5575" s="13"/>
    </row>
    <row r="5576" customFormat="false" ht="15" hidden="false" customHeight="false" outlineLevel="0" collapsed="false">
      <c r="A5576" s="16" t="s">
        <v>16924</v>
      </c>
      <c r="B5576" s="16" t="n">
        <v>5571</v>
      </c>
      <c r="C5576" s="16" t="s">
        <v>16925</v>
      </c>
      <c r="D5576" s="16" t="n">
        <v>7</v>
      </c>
      <c r="E5576" s="37" t="s">
        <v>16919</v>
      </c>
      <c r="F5576" s="16" t="s">
        <v>1285</v>
      </c>
      <c r="G5576" s="16" t="s">
        <v>1169</v>
      </c>
      <c r="H5576" s="16" t="s">
        <v>16796</v>
      </c>
      <c r="I5576" s="16" t="s">
        <v>136</v>
      </c>
      <c r="J5576" s="16" t="s">
        <v>16923</v>
      </c>
      <c r="K5576" s="32" t="n">
        <v>6</v>
      </c>
      <c r="L5576" s="33" t="n">
        <v>46435</v>
      </c>
      <c r="M5576" s="33" t="n">
        <v>46440</v>
      </c>
      <c r="N5576" s="16" t="s">
        <v>16926</v>
      </c>
      <c r="O5576" s="16"/>
      <c r="P5576" s="16" t="str">
        <f aca="false">IF(AND(L5576&lt;=$D$2,M5576&gt;=$C$2),"Sí","")</f>
        <v/>
      </c>
      <c r="Q5576" s="18" t="str">
        <f aca="false">IF(COUNTIF(LOOKAHEAD!$A$5:$A$604,A5576)&gt;0,"En Lookahead",IF(P5576="Sí","INCORPORAR",""))</f>
        <v/>
      </c>
    </row>
    <row r="5577" customFormat="false" ht="15" hidden="false" customHeight="false" outlineLevel="0" collapsed="false">
      <c r="A5577" s="13" t="s">
        <v>16927</v>
      </c>
      <c r="B5577" s="13" t="n">
        <v>5572</v>
      </c>
      <c r="C5577" s="13" t="s">
        <v>16928</v>
      </c>
      <c r="D5577" s="13" t="n">
        <v>6</v>
      </c>
      <c r="E5577" s="36" t="s">
        <v>16929</v>
      </c>
      <c r="F5577" s="13" t="s">
        <v>1298</v>
      </c>
      <c r="G5577" s="13" t="s">
        <v>1169</v>
      </c>
      <c r="H5577" s="13" t="s">
        <v>16796</v>
      </c>
      <c r="I5577" s="13" t="s">
        <v>136</v>
      </c>
      <c r="J5577" s="13" t="s">
        <v>16899</v>
      </c>
      <c r="K5577" s="30" t="n">
        <v>8</v>
      </c>
      <c r="L5577" s="31" t="n">
        <v>46441</v>
      </c>
      <c r="M5577" s="31" t="n">
        <v>46448</v>
      </c>
      <c r="N5577" s="13"/>
      <c r="O5577" s="13"/>
      <c r="P5577" s="13"/>
      <c r="Q5577" s="13"/>
    </row>
    <row r="5578" customFormat="false" ht="15" hidden="false" customHeight="false" outlineLevel="0" collapsed="false">
      <c r="A5578" s="16" t="s">
        <v>16930</v>
      </c>
      <c r="B5578" s="16" t="n">
        <v>5573</v>
      </c>
      <c r="C5578" s="16" t="s">
        <v>16931</v>
      </c>
      <c r="D5578" s="16" t="n">
        <v>7</v>
      </c>
      <c r="E5578" s="37" t="s">
        <v>16932</v>
      </c>
      <c r="F5578" s="16" t="s">
        <v>1285</v>
      </c>
      <c r="G5578" s="16" t="s">
        <v>1169</v>
      </c>
      <c r="H5578" s="16" t="s">
        <v>16796</v>
      </c>
      <c r="I5578" s="16" t="s">
        <v>136</v>
      </c>
      <c r="J5578" s="16" t="s">
        <v>16929</v>
      </c>
      <c r="K5578" s="32" t="n">
        <v>8</v>
      </c>
      <c r="L5578" s="33" t="n">
        <v>46441</v>
      </c>
      <c r="M5578" s="33" t="n">
        <v>46448</v>
      </c>
      <c r="N5578" s="16" t="s">
        <v>16933</v>
      </c>
      <c r="O5578" s="16"/>
      <c r="P5578" s="16" t="str">
        <f aca="false">IF(AND(L5578&lt;=$D$2,M5578&gt;=$C$2),"Sí","")</f>
        <v/>
      </c>
      <c r="Q5578" s="18" t="str">
        <f aca="false">IF(COUNTIF(LOOKAHEAD!$A$5:$A$604,A5578)&gt;0,"En Lookahead",IF(P5578="Sí","INCORPORAR",""))</f>
        <v/>
      </c>
    </row>
    <row r="5579" customFormat="false" ht="15" hidden="false" customHeight="false" outlineLevel="0" collapsed="false">
      <c r="A5579" s="13" t="s">
        <v>16934</v>
      </c>
      <c r="B5579" s="13" t="n">
        <v>5574</v>
      </c>
      <c r="C5579" s="13" t="s">
        <v>16935</v>
      </c>
      <c r="D5579" s="13" t="n">
        <v>6</v>
      </c>
      <c r="E5579" s="36" t="s">
        <v>16936</v>
      </c>
      <c r="F5579" s="13" t="s">
        <v>1298</v>
      </c>
      <c r="G5579" s="13" t="s">
        <v>1169</v>
      </c>
      <c r="H5579" s="13" t="s">
        <v>16796</v>
      </c>
      <c r="I5579" s="13" t="s">
        <v>136</v>
      </c>
      <c r="J5579" s="13" t="s">
        <v>16899</v>
      </c>
      <c r="K5579" s="30" t="n">
        <v>3</v>
      </c>
      <c r="L5579" s="31" t="n">
        <v>46449</v>
      </c>
      <c r="M5579" s="31" t="n">
        <v>46451</v>
      </c>
      <c r="N5579" s="13"/>
      <c r="O5579" s="13"/>
      <c r="P5579" s="13"/>
      <c r="Q5579" s="13"/>
    </row>
    <row r="5580" customFormat="false" ht="15" hidden="false" customHeight="false" outlineLevel="0" collapsed="false">
      <c r="A5580" s="16" t="s">
        <v>16937</v>
      </c>
      <c r="B5580" s="16" t="n">
        <v>5575</v>
      </c>
      <c r="C5580" s="16" t="s">
        <v>16938</v>
      </c>
      <c r="D5580" s="16" t="n">
        <v>7</v>
      </c>
      <c r="E5580" s="37" t="s">
        <v>16939</v>
      </c>
      <c r="F5580" s="16" t="s">
        <v>1285</v>
      </c>
      <c r="G5580" s="16" t="s">
        <v>1169</v>
      </c>
      <c r="H5580" s="16" t="s">
        <v>16796</v>
      </c>
      <c r="I5580" s="16" t="s">
        <v>136</v>
      </c>
      <c r="J5580" s="16" t="s">
        <v>16936</v>
      </c>
      <c r="K5580" s="32" t="n">
        <v>3</v>
      </c>
      <c r="L5580" s="33" t="n">
        <v>46449</v>
      </c>
      <c r="M5580" s="33" t="n">
        <v>46451</v>
      </c>
      <c r="N5580" s="16" t="s">
        <v>16940</v>
      </c>
      <c r="O5580" s="16"/>
      <c r="P5580" s="16" t="str">
        <f aca="false">IF(AND(L5580&lt;=$D$2,M5580&gt;=$C$2),"Sí","")</f>
        <v/>
      </c>
      <c r="Q5580" s="18" t="str">
        <f aca="false">IF(COUNTIF(LOOKAHEAD!$A$5:$A$604,A5580)&gt;0,"En Lookahead",IF(P5580="Sí","INCORPORAR",""))</f>
        <v/>
      </c>
    </row>
    <row r="5581" customFormat="false" ht="15" hidden="false" customHeight="false" outlineLevel="0" collapsed="false">
      <c r="A5581" s="13" t="s">
        <v>16941</v>
      </c>
      <c r="B5581" s="13" t="n">
        <v>5576</v>
      </c>
      <c r="C5581" s="13" t="s">
        <v>16942</v>
      </c>
      <c r="D5581" s="13" t="n">
        <v>5</v>
      </c>
      <c r="E5581" s="34" t="s">
        <v>16943</v>
      </c>
      <c r="F5581" s="13" t="s">
        <v>1298</v>
      </c>
      <c r="G5581" s="13" t="s">
        <v>1169</v>
      </c>
      <c r="H5581" s="13" t="s">
        <v>16796</v>
      </c>
      <c r="I5581" s="13" t="s">
        <v>136</v>
      </c>
      <c r="J5581" s="13" t="s">
        <v>16796</v>
      </c>
      <c r="K5581" s="30" t="n">
        <v>4</v>
      </c>
      <c r="L5581" s="31" t="n">
        <v>46452</v>
      </c>
      <c r="M5581" s="31" t="n">
        <v>46455</v>
      </c>
      <c r="N5581" s="13"/>
      <c r="O5581" s="13"/>
      <c r="P5581" s="13"/>
      <c r="Q5581" s="13"/>
    </row>
    <row r="5582" customFormat="false" ht="15" hidden="false" customHeight="false" outlineLevel="0" collapsed="false">
      <c r="A5582" s="13" t="s">
        <v>16944</v>
      </c>
      <c r="B5582" s="13" t="n">
        <v>5577</v>
      </c>
      <c r="C5582" s="13" t="s">
        <v>16945</v>
      </c>
      <c r="D5582" s="13" t="n">
        <v>6</v>
      </c>
      <c r="E5582" s="36" t="s">
        <v>16946</v>
      </c>
      <c r="F5582" s="13" t="s">
        <v>1298</v>
      </c>
      <c r="G5582" s="13" t="s">
        <v>1169</v>
      </c>
      <c r="H5582" s="13" t="s">
        <v>16796</v>
      </c>
      <c r="I5582" s="13" t="s">
        <v>136</v>
      </c>
      <c r="J5582" s="13" t="s">
        <v>16943</v>
      </c>
      <c r="K5582" s="30" t="n">
        <v>2</v>
      </c>
      <c r="L5582" s="31" t="n">
        <v>46452</v>
      </c>
      <c r="M5582" s="31" t="n">
        <v>46453</v>
      </c>
      <c r="N5582" s="13"/>
      <c r="O5582" s="13"/>
      <c r="P5582" s="13"/>
      <c r="Q5582" s="13"/>
    </row>
    <row r="5583" customFormat="false" ht="15" hidden="false" customHeight="false" outlineLevel="0" collapsed="false">
      <c r="A5583" s="16" t="s">
        <v>16947</v>
      </c>
      <c r="B5583" s="16" t="n">
        <v>5578</v>
      </c>
      <c r="C5583" s="16" t="s">
        <v>16948</v>
      </c>
      <c r="D5583" s="16" t="n">
        <v>7</v>
      </c>
      <c r="E5583" s="37" t="s">
        <v>16949</v>
      </c>
      <c r="F5583" s="16" t="s">
        <v>1285</v>
      </c>
      <c r="G5583" s="16" t="s">
        <v>1169</v>
      </c>
      <c r="H5583" s="16" t="s">
        <v>16796</v>
      </c>
      <c r="I5583" s="16" t="s">
        <v>136</v>
      </c>
      <c r="J5583" s="16" t="s">
        <v>16946</v>
      </c>
      <c r="K5583" s="32" t="n">
        <v>2</v>
      </c>
      <c r="L5583" s="33" t="n">
        <v>46452</v>
      </c>
      <c r="M5583" s="33" t="n">
        <v>46453</v>
      </c>
      <c r="N5583" s="16" t="s">
        <v>16950</v>
      </c>
      <c r="O5583" s="16"/>
      <c r="P5583" s="16" t="str">
        <f aca="false">IF(AND(L5583&lt;=$D$2,M5583&gt;=$C$2),"Sí","")</f>
        <v/>
      </c>
      <c r="Q5583" s="18" t="str">
        <f aca="false">IF(COUNTIF(LOOKAHEAD!$A$5:$A$604,A5583)&gt;0,"En Lookahead",IF(P5583="Sí","INCORPORAR",""))</f>
        <v/>
      </c>
    </row>
    <row r="5584" customFormat="false" ht="15" hidden="false" customHeight="false" outlineLevel="0" collapsed="false">
      <c r="A5584" s="13" t="s">
        <v>16951</v>
      </c>
      <c r="B5584" s="13" t="n">
        <v>5579</v>
      </c>
      <c r="C5584" s="13" t="s">
        <v>16952</v>
      </c>
      <c r="D5584" s="13" t="n">
        <v>6</v>
      </c>
      <c r="E5584" s="36" t="s">
        <v>16953</v>
      </c>
      <c r="F5584" s="13" t="s">
        <v>1298</v>
      </c>
      <c r="G5584" s="13" t="s">
        <v>1169</v>
      </c>
      <c r="H5584" s="13" t="s">
        <v>16796</v>
      </c>
      <c r="I5584" s="13" t="s">
        <v>136</v>
      </c>
      <c r="J5584" s="13" t="s">
        <v>16943</v>
      </c>
      <c r="K5584" s="30" t="n">
        <v>1</v>
      </c>
      <c r="L5584" s="31" t="n">
        <v>46454</v>
      </c>
      <c r="M5584" s="31" t="n">
        <v>46454</v>
      </c>
      <c r="N5584" s="13"/>
      <c r="O5584" s="13"/>
      <c r="P5584" s="13"/>
      <c r="Q5584" s="13"/>
    </row>
    <row r="5585" customFormat="false" ht="15" hidden="false" customHeight="false" outlineLevel="0" collapsed="false">
      <c r="A5585" s="16" t="s">
        <v>16954</v>
      </c>
      <c r="B5585" s="16" t="n">
        <v>5580</v>
      </c>
      <c r="C5585" s="16" t="s">
        <v>16955</v>
      </c>
      <c r="D5585" s="16" t="n">
        <v>7</v>
      </c>
      <c r="E5585" s="37" t="s">
        <v>16956</v>
      </c>
      <c r="F5585" s="16" t="s">
        <v>1285</v>
      </c>
      <c r="G5585" s="16" t="s">
        <v>1169</v>
      </c>
      <c r="H5585" s="16" t="s">
        <v>16796</v>
      </c>
      <c r="I5585" s="16" t="s">
        <v>136</v>
      </c>
      <c r="J5585" s="16" t="s">
        <v>16953</v>
      </c>
      <c r="K5585" s="32" t="n">
        <v>1</v>
      </c>
      <c r="L5585" s="33" t="n">
        <v>46454</v>
      </c>
      <c r="M5585" s="33" t="n">
        <v>46454</v>
      </c>
      <c r="N5585" s="16" t="s">
        <v>16957</v>
      </c>
      <c r="O5585" s="16"/>
      <c r="P5585" s="16" t="str">
        <f aca="false">IF(AND(L5585&lt;=$D$2,M5585&gt;=$C$2),"Sí","")</f>
        <v/>
      </c>
      <c r="Q5585" s="18" t="str">
        <f aca="false">IF(COUNTIF(LOOKAHEAD!$A$5:$A$604,A5585)&gt;0,"En Lookahead",IF(P5585="Sí","INCORPORAR",""))</f>
        <v/>
      </c>
    </row>
    <row r="5586" customFormat="false" ht="15" hidden="false" customHeight="false" outlineLevel="0" collapsed="false">
      <c r="A5586" s="13" t="s">
        <v>16958</v>
      </c>
      <c r="B5586" s="13" t="n">
        <v>5581</v>
      </c>
      <c r="C5586" s="13" t="s">
        <v>16959</v>
      </c>
      <c r="D5586" s="13" t="n">
        <v>6</v>
      </c>
      <c r="E5586" s="36" t="s">
        <v>16960</v>
      </c>
      <c r="F5586" s="13" t="s">
        <v>1298</v>
      </c>
      <c r="G5586" s="13" t="s">
        <v>1169</v>
      </c>
      <c r="H5586" s="13" t="s">
        <v>16796</v>
      </c>
      <c r="I5586" s="13" t="s">
        <v>136</v>
      </c>
      <c r="J5586" s="13" t="s">
        <v>16943</v>
      </c>
      <c r="K5586" s="30" t="n">
        <v>1</v>
      </c>
      <c r="L5586" s="31" t="n">
        <v>46455</v>
      </c>
      <c r="M5586" s="31" t="n">
        <v>46455</v>
      </c>
      <c r="N5586" s="13"/>
      <c r="O5586" s="13"/>
      <c r="P5586" s="13"/>
      <c r="Q5586" s="13"/>
    </row>
    <row r="5587" customFormat="false" ht="15" hidden="false" customHeight="false" outlineLevel="0" collapsed="false">
      <c r="A5587" s="16" t="s">
        <v>16961</v>
      </c>
      <c r="B5587" s="16" t="n">
        <v>5582</v>
      </c>
      <c r="C5587" s="16" t="s">
        <v>16962</v>
      </c>
      <c r="D5587" s="16" t="n">
        <v>7</v>
      </c>
      <c r="E5587" s="37" t="s">
        <v>16963</v>
      </c>
      <c r="F5587" s="16" t="s">
        <v>1285</v>
      </c>
      <c r="G5587" s="16" t="s">
        <v>1169</v>
      </c>
      <c r="H5587" s="16" t="s">
        <v>16796</v>
      </c>
      <c r="I5587" s="16" t="s">
        <v>136</v>
      </c>
      <c r="J5587" s="16" t="s">
        <v>16960</v>
      </c>
      <c r="K5587" s="32" t="n">
        <v>1</v>
      </c>
      <c r="L5587" s="33" t="n">
        <v>46455</v>
      </c>
      <c r="M5587" s="33" t="n">
        <v>46455</v>
      </c>
      <c r="N5587" s="16" t="s">
        <v>16964</v>
      </c>
      <c r="O5587" s="16"/>
      <c r="P5587" s="16" t="str">
        <f aca="false">IF(AND(L5587&lt;=$D$2,M5587&gt;=$C$2),"Sí","")</f>
        <v/>
      </c>
      <c r="Q5587" s="18" t="str">
        <f aca="false">IF(COUNTIF(LOOKAHEAD!$A$5:$A$604,A5587)&gt;0,"En Lookahead",IF(P5587="Sí","INCORPORAR",""))</f>
        <v/>
      </c>
    </row>
    <row r="5588" customFormat="false" ht="15" hidden="false" customHeight="false" outlineLevel="0" collapsed="false">
      <c r="A5588" s="13" t="s">
        <v>16965</v>
      </c>
      <c r="B5588" s="13" t="n">
        <v>5583</v>
      </c>
      <c r="C5588" s="13" t="s">
        <v>16966</v>
      </c>
      <c r="D5588" s="13" t="n">
        <v>4</v>
      </c>
      <c r="E5588" s="20" t="s">
        <v>16967</v>
      </c>
      <c r="F5588" s="13" t="s">
        <v>1298</v>
      </c>
      <c r="G5588" s="13" t="s">
        <v>1169</v>
      </c>
      <c r="H5588" s="13" t="s">
        <v>16967</v>
      </c>
      <c r="I5588" s="13" t="s">
        <v>136</v>
      </c>
      <c r="J5588" s="13" t="s">
        <v>16322</v>
      </c>
      <c r="K5588" s="30" t="n">
        <v>31</v>
      </c>
      <c r="L5588" s="31" t="n">
        <v>46363</v>
      </c>
      <c r="M5588" s="31" t="n">
        <v>46393</v>
      </c>
      <c r="N5588" s="13"/>
      <c r="O5588" s="13"/>
      <c r="P5588" s="13"/>
      <c r="Q5588" s="13"/>
    </row>
    <row r="5589" customFormat="false" ht="15" hidden="false" customHeight="false" outlineLevel="0" collapsed="false">
      <c r="A5589" s="13" t="s">
        <v>16968</v>
      </c>
      <c r="B5589" s="13" t="n">
        <v>5584</v>
      </c>
      <c r="C5589" s="13" t="s">
        <v>16969</v>
      </c>
      <c r="D5589" s="13" t="n">
        <v>5</v>
      </c>
      <c r="E5589" s="34" t="s">
        <v>16970</v>
      </c>
      <c r="F5589" s="13" t="s">
        <v>1298</v>
      </c>
      <c r="G5589" s="13" t="s">
        <v>1169</v>
      </c>
      <c r="H5589" s="13" t="s">
        <v>16967</v>
      </c>
      <c r="I5589" s="13" t="s">
        <v>136</v>
      </c>
      <c r="J5589" s="13" t="s">
        <v>16967</v>
      </c>
      <c r="K5589" s="30" t="n">
        <v>3</v>
      </c>
      <c r="L5589" s="31" t="n">
        <v>46363</v>
      </c>
      <c r="M5589" s="31" t="n">
        <v>46365</v>
      </c>
      <c r="N5589" s="13"/>
      <c r="O5589" s="13"/>
      <c r="P5589" s="13"/>
      <c r="Q5589" s="13"/>
    </row>
    <row r="5590" customFormat="false" ht="15" hidden="false" customHeight="false" outlineLevel="0" collapsed="false">
      <c r="A5590" s="16" t="s">
        <v>16971</v>
      </c>
      <c r="B5590" s="16" t="n">
        <v>5585</v>
      </c>
      <c r="C5590" s="16" t="s">
        <v>16972</v>
      </c>
      <c r="D5590" s="16" t="n">
        <v>6</v>
      </c>
      <c r="E5590" s="35" t="s">
        <v>16973</v>
      </c>
      <c r="F5590" s="16" t="s">
        <v>1285</v>
      </c>
      <c r="G5590" s="16" t="s">
        <v>1169</v>
      </c>
      <c r="H5590" s="16" t="s">
        <v>16967</v>
      </c>
      <c r="I5590" s="16" t="s">
        <v>136</v>
      </c>
      <c r="J5590" s="16" t="s">
        <v>16970</v>
      </c>
      <c r="K5590" s="32" t="n">
        <v>1</v>
      </c>
      <c r="L5590" s="33" t="n">
        <v>46363</v>
      </c>
      <c r="M5590" s="33" t="n">
        <v>46363</v>
      </c>
      <c r="N5590" s="16" t="s">
        <v>16974</v>
      </c>
      <c r="O5590" s="16"/>
      <c r="P5590" s="16" t="str">
        <f aca="false">IF(AND(L5590&lt;=$D$2,M5590&gt;=$C$2),"Sí","")</f>
        <v/>
      </c>
      <c r="Q5590" s="18" t="str">
        <f aca="false">IF(COUNTIF(LOOKAHEAD!$A$5:$A$604,A5590)&gt;0,"En Lookahead",IF(P5590="Sí","INCORPORAR",""))</f>
        <v/>
      </c>
    </row>
    <row r="5591" customFormat="false" ht="15" hidden="false" customHeight="false" outlineLevel="0" collapsed="false">
      <c r="A5591" s="16" t="s">
        <v>16975</v>
      </c>
      <c r="B5591" s="16" t="n">
        <v>5586</v>
      </c>
      <c r="C5591" s="16" t="s">
        <v>16976</v>
      </c>
      <c r="D5591" s="16" t="n">
        <v>6</v>
      </c>
      <c r="E5591" s="35" t="s">
        <v>16977</v>
      </c>
      <c r="F5591" s="16" t="s">
        <v>1285</v>
      </c>
      <c r="G5591" s="16" t="s">
        <v>1169</v>
      </c>
      <c r="H5591" s="16" t="s">
        <v>16967</v>
      </c>
      <c r="I5591" s="16" t="s">
        <v>136</v>
      </c>
      <c r="J5591" s="16" t="s">
        <v>16970</v>
      </c>
      <c r="K5591" s="32" t="n">
        <v>1</v>
      </c>
      <c r="L5591" s="33" t="n">
        <v>46364</v>
      </c>
      <c r="M5591" s="33" t="n">
        <v>46364</v>
      </c>
      <c r="N5591" s="16" t="s">
        <v>16978</v>
      </c>
      <c r="O5591" s="16"/>
      <c r="P5591" s="16" t="str">
        <f aca="false">IF(AND(L5591&lt;=$D$2,M5591&gt;=$C$2),"Sí","")</f>
        <v/>
      </c>
      <c r="Q5591" s="18" t="str">
        <f aca="false">IF(COUNTIF(LOOKAHEAD!$A$5:$A$604,A5591)&gt;0,"En Lookahead",IF(P5591="Sí","INCORPORAR",""))</f>
        <v/>
      </c>
    </row>
    <row r="5592" customFormat="false" ht="15" hidden="false" customHeight="false" outlineLevel="0" collapsed="false">
      <c r="A5592" s="16" t="s">
        <v>16979</v>
      </c>
      <c r="B5592" s="16" t="n">
        <v>5587</v>
      </c>
      <c r="C5592" s="16" t="s">
        <v>16980</v>
      </c>
      <c r="D5592" s="16" t="n">
        <v>6</v>
      </c>
      <c r="E5592" s="35" t="s">
        <v>16746</v>
      </c>
      <c r="F5592" s="16" t="s">
        <v>1285</v>
      </c>
      <c r="G5592" s="16" t="s">
        <v>1169</v>
      </c>
      <c r="H5592" s="16" t="s">
        <v>16967</v>
      </c>
      <c r="I5592" s="16" t="s">
        <v>136</v>
      </c>
      <c r="J5592" s="16" t="s">
        <v>16970</v>
      </c>
      <c r="K5592" s="32" t="n">
        <v>1</v>
      </c>
      <c r="L5592" s="33" t="n">
        <v>46365</v>
      </c>
      <c r="M5592" s="33" t="n">
        <v>46365</v>
      </c>
      <c r="N5592" s="16" t="s">
        <v>16981</v>
      </c>
      <c r="O5592" s="16"/>
      <c r="P5592" s="16" t="str">
        <f aca="false">IF(AND(L5592&lt;=$D$2,M5592&gt;=$C$2),"Sí","")</f>
        <v/>
      </c>
      <c r="Q5592" s="18" t="str">
        <f aca="false">IF(COUNTIF(LOOKAHEAD!$A$5:$A$604,A5592)&gt;0,"En Lookahead",IF(P5592="Sí","INCORPORAR",""))</f>
        <v/>
      </c>
    </row>
    <row r="5593" customFormat="false" ht="15" hidden="false" customHeight="false" outlineLevel="0" collapsed="false">
      <c r="A5593" s="13" t="s">
        <v>16982</v>
      </c>
      <c r="B5593" s="13" t="n">
        <v>5588</v>
      </c>
      <c r="C5593" s="13" t="s">
        <v>16983</v>
      </c>
      <c r="D5593" s="13" t="n">
        <v>5</v>
      </c>
      <c r="E5593" s="34" t="s">
        <v>16984</v>
      </c>
      <c r="F5593" s="13" t="s">
        <v>1298</v>
      </c>
      <c r="G5593" s="13" t="s">
        <v>1169</v>
      </c>
      <c r="H5593" s="13" t="s">
        <v>16967</v>
      </c>
      <c r="I5593" s="13" t="s">
        <v>136</v>
      </c>
      <c r="J5593" s="13" t="s">
        <v>16967</v>
      </c>
      <c r="K5593" s="30" t="n">
        <v>4</v>
      </c>
      <c r="L5593" s="31" t="n">
        <v>46366</v>
      </c>
      <c r="M5593" s="31" t="n">
        <v>46369</v>
      </c>
      <c r="N5593" s="13"/>
      <c r="O5593" s="13"/>
      <c r="P5593" s="13"/>
      <c r="Q5593" s="13"/>
    </row>
    <row r="5594" customFormat="false" ht="15" hidden="false" customHeight="false" outlineLevel="0" collapsed="false">
      <c r="A5594" s="16" t="s">
        <v>16985</v>
      </c>
      <c r="B5594" s="16" t="n">
        <v>5589</v>
      </c>
      <c r="C5594" s="16" t="s">
        <v>16986</v>
      </c>
      <c r="D5594" s="16" t="n">
        <v>6</v>
      </c>
      <c r="E5594" s="35" t="s">
        <v>16987</v>
      </c>
      <c r="F5594" s="16" t="s">
        <v>1285</v>
      </c>
      <c r="G5594" s="16" t="s">
        <v>1169</v>
      </c>
      <c r="H5594" s="16" t="s">
        <v>16967</v>
      </c>
      <c r="I5594" s="16" t="s">
        <v>136</v>
      </c>
      <c r="J5594" s="16" t="s">
        <v>16984</v>
      </c>
      <c r="K5594" s="32" t="n">
        <v>1</v>
      </c>
      <c r="L5594" s="33" t="n">
        <v>46366</v>
      </c>
      <c r="M5594" s="33" t="n">
        <v>46366</v>
      </c>
      <c r="N5594" s="16" t="s">
        <v>16988</v>
      </c>
      <c r="O5594" s="16"/>
      <c r="P5594" s="16" t="str">
        <f aca="false">IF(AND(L5594&lt;=$D$2,M5594&gt;=$C$2),"Sí","")</f>
        <v/>
      </c>
      <c r="Q5594" s="18" t="str">
        <f aca="false">IF(COUNTIF(LOOKAHEAD!$A$5:$A$604,A5594)&gt;0,"En Lookahead",IF(P5594="Sí","INCORPORAR",""))</f>
        <v/>
      </c>
    </row>
    <row r="5595" customFormat="false" ht="15" hidden="false" customHeight="false" outlineLevel="0" collapsed="false">
      <c r="A5595" s="16" t="s">
        <v>16989</v>
      </c>
      <c r="B5595" s="16" t="n">
        <v>5590</v>
      </c>
      <c r="C5595" s="16" t="s">
        <v>16990</v>
      </c>
      <c r="D5595" s="16" t="n">
        <v>6</v>
      </c>
      <c r="E5595" s="35" t="s">
        <v>16991</v>
      </c>
      <c r="F5595" s="16" t="s">
        <v>1285</v>
      </c>
      <c r="G5595" s="16" t="s">
        <v>1169</v>
      </c>
      <c r="H5595" s="16" t="s">
        <v>16967</v>
      </c>
      <c r="I5595" s="16" t="s">
        <v>136</v>
      </c>
      <c r="J5595" s="16" t="s">
        <v>16984</v>
      </c>
      <c r="K5595" s="32" t="n">
        <v>1</v>
      </c>
      <c r="L5595" s="33" t="n">
        <v>46367</v>
      </c>
      <c r="M5595" s="33" t="n">
        <v>46367</v>
      </c>
      <c r="N5595" s="16" t="s">
        <v>16992</v>
      </c>
      <c r="O5595" s="16"/>
      <c r="P5595" s="16" t="str">
        <f aca="false">IF(AND(L5595&lt;=$D$2,M5595&gt;=$C$2),"Sí","")</f>
        <v/>
      </c>
      <c r="Q5595" s="18" t="str">
        <f aca="false">IF(COUNTIF(LOOKAHEAD!$A$5:$A$604,A5595)&gt;0,"En Lookahead",IF(P5595="Sí","INCORPORAR",""))</f>
        <v/>
      </c>
    </row>
    <row r="5596" customFormat="false" ht="15" hidden="false" customHeight="false" outlineLevel="0" collapsed="false">
      <c r="A5596" s="16" t="s">
        <v>16993</v>
      </c>
      <c r="B5596" s="16" t="n">
        <v>5591</v>
      </c>
      <c r="C5596" s="16" t="s">
        <v>16994</v>
      </c>
      <c r="D5596" s="16" t="n">
        <v>6</v>
      </c>
      <c r="E5596" s="35" t="s">
        <v>16995</v>
      </c>
      <c r="F5596" s="16" t="s">
        <v>1285</v>
      </c>
      <c r="G5596" s="16" t="s">
        <v>1169</v>
      </c>
      <c r="H5596" s="16" t="s">
        <v>16967</v>
      </c>
      <c r="I5596" s="16" t="s">
        <v>136</v>
      </c>
      <c r="J5596" s="16" t="s">
        <v>16984</v>
      </c>
      <c r="K5596" s="32" t="n">
        <v>1</v>
      </c>
      <c r="L5596" s="33" t="n">
        <v>46368</v>
      </c>
      <c r="M5596" s="33" t="n">
        <v>46368</v>
      </c>
      <c r="N5596" s="16" t="s">
        <v>16996</v>
      </c>
      <c r="O5596" s="16"/>
      <c r="P5596" s="16" t="str">
        <f aca="false">IF(AND(L5596&lt;=$D$2,M5596&gt;=$C$2),"Sí","")</f>
        <v/>
      </c>
      <c r="Q5596" s="18" t="str">
        <f aca="false">IF(COUNTIF(LOOKAHEAD!$A$5:$A$604,A5596)&gt;0,"En Lookahead",IF(P5596="Sí","INCORPORAR",""))</f>
        <v/>
      </c>
    </row>
    <row r="5597" customFormat="false" ht="15" hidden="false" customHeight="false" outlineLevel="0" collapsed="false">
      <c r="A5597" s="16" t="s">
        <v>16997</v>
      </c>
      <c r="B5597" s="16" t="n">
        <v>5592</v>
      </c>
      <c r="C5597" s="16" t="s">
        <v>16998</v>
      </c>
      <c r="D5597" s="16" t="n">
        <v>6</v>
      </c>
      <c r="E5597" s="35" t="s">
        <v>16999</v>
      </c>
      <c r="F5597" s="16" t="s">
        <v>1285</v>
      </c>
      <c r="G5597" s="16" t="s">
        <v>1169</v>
      </c>
      <c r="H5597" s="16" t="s">
        <v>16967</v>
      </c>
      <c r="I5597" s="16" t="s">
        <v>136</v>
      </c>
      <c r="J5597" s="16" t="s">
        <v>16984</v>
      </c>
      <c r="K5597" s="32" t="n">
        <v>1</v>
      </c>
      <c r="L5597" s="33" t="n">
        <v>46369</v>
      </c>
      <c r="M5597" s="33" t="n">
        <v>46369</v>
      </c>
      <c r="N5597" s="16" t="s">
        <v>17000</v>
      </c>
      <c r="O5597" s="16"/>
      <c r="P5597" s="16" t="str">
        <f aca="false">IF(AND(L5597&lt;=$D$2,M5597&gt;=$C$2),"Sí","")</f>
        <v/>
      </c>
      <c r="Q5597" s="18" t="str">
        <f aca="false">IF(COUNTIF(LOOKAHEAD!$A$5:$A$604,A5597)&gt;0,"En Lookahead",IF(P5597="Sí","INCORPORAR",""))</f>
        <v/>
      </c>
    </row>
    <row r="5598" customFormat="false" ht="15" hidden="false" customHeight="false" outlineLevel="0" collapsed="false">
      <c r="A5598" s="13" t="s">
        <v>17001</v>
      </c>
      <c r="B5598" s="13" t="n">
        <v>5593</v>
      </c>
      <c r="C5598" s="13" t="s">
        <v>17002</v>
      </c>
      <c r="D5598" s="13" t="n">
        <v>5</v>
      </c>
      <c r="E5598" s="34" t="s">
        <v>17003</v>
      </c>
      <c r="F5598" s="13" t="s">
        <v>1298</v>
      </c>
      <c r="G5598" s="13" t="s">
        <v>1169</v>
      </c>
      <c r="H5598" s="13" t="s">
        <v>16967</v>
      </c>
      <c r="I5598" s="13" t="s">
        <v>136</v>
      </c>
      <c r="J5598" s="13" t="s">
        <v>16967</v>
      </c>
      <c r="K5598" s="30" t="n">
        <v>19</v>
      </c>
      <c r="L5598" s="31" t="n">
        <v>46370</v>
      </c>
      <c r="M5598" s="31" t="n">
        <v>46388</v>
      </c>
      <c r="N5598" s="13"/>
      <c r="O5598" s="13"/>
      <c r="P5598" s="13"/>
      <c r="Q5598" s="13"/>
    </row>
    <row r="5599" customFormat="false" ht="15" hidden="false" customHeight="false" outlineLevel="0" collapsed="false">
      <c r="A5599" s="16" t="s">
        <v>17004</v>
      </c>
      <c r="B5599" s="16" t="n">
        <v>5594</v>
      </c>
      <c r="C5599" s="16" t="s">
        <v>17005</v>
      </c>
      <c r="D5599" s="16" t="n">
        <v>6</v>
      </c>
      <c r="E5599" s="35" t="s">
        <v>17006</v>
      </c>
      <c r="F5599" s="16" t="s">
        <v>1285</v>
      </c>
      <c r="G5599" s="16" t="s">
        <v>1169</v>
      </c>
      <c r="H5599" s="16" t="s">
        <v>16967</v>
      </c>
      <c r="I5599" s="16" t="s">
        <v>136</v>
      </c>
      <c r="J5599" s="16" t="s">
        <v>17003</v>
      </c>
      <c r="K5599" s="32" t="n">
        <v>2</v>
      </c>
      <c r="L5599" s="33" t="n">
        <v>46370</v>
      </c>
      <c r="M5599" s="33" t="n">
        <v>46371</v>
      </c>
      <c r="N5599" s="16" t="s">
        <v>17007</v>
      </c>
      <c r="O5599" s="16"/>
      <c r="P5599" s="16" t="str">
        <f aca="false">IF(AND(L5599&lt;=$D$2,M5599&gt;=$C$2),"Sí","")</f>
        <v/>
      </c>
      <c r="Q5599" s="18" t="str">
        <f aca="false">IF(COUNTIF(LOOKAHEAD!$A$5:$A$604,A5599)&gt;0,"En Lookahead",IF(P5599="Sí","INCORPORAR",""))</f>
        <v/>
      </c>
    </row>
    <row r="5600" customFormat="false" ht="15" hidden="false" customHeight="false" outlineLevel="0" collapsed="false">
      <c r="A5600" s="16" t="s">
        <v>17008</v>
      </c>
      <c r="B5600" s="16" t="n">
        <v>5595</v>
      </c>
      <c r="C5600" s="16" t="s">
        <v>17009</v>
      </c>
      <c r="D5600" s="16" t="n">
        <v>6</v>
      </c>
      <c r="E5600" s="35" t="s">
        <v>17010</v>
      </c>
      <c r="F5600" s="16" t="s">
        <v>1285</v>
      </c>
      <c r="G5600" s="16" t="s">
        <v>1169</v>
      </c>
      <c r="H5600" s="16" t="s">
        <v>16967</v>
      </c>
      <c r="I5600" s="16" t="s">
        <v>136</v>
      </c>
      <c r="J5600" s="16" t="s">
        <v>17003</v>
      </c>
      <c r="K5600" s="32" t="n">
        <v>1</v>
      </c>
      <c r="L5600" s="33" t="n">
        <v>46372</v>
      </c>
      <c r="M5600" s="33" t="n">
        <v>46372</v>
      </c>
      <c r="N5600" s="16" t="s">
        <v>17011</v>
      </c>
      <c r="O5600" s="16"/>
      <c r="P5600" s="16" t="str">
        <f aca="false">IF(AND(L5600&lt;=$D$2,M5600&gt;=$C$2),"Sí","")</f>
        <v/>
      </c>
      <c r="Q5600" s="18" t="str">
        <f aca="false">IF(COUNTIF(LOOKAHEAD!$A$5:$A$604,A5600)&gt;0,"En Lookahead",IF(P5600="Sí","INCORPORAR",""))</f>
        <v/>
      </c>
    </row>
    <row r="5601" customFormat="false" ht="15" hidden="false" customHeight="false" outlineLevel="0" collapsed="false">
      <c r="A5601" s="16" t="s">
        <v>17012</v>
      </c>
      <c r="B5601" s="16" t="n">
        <v>5596</v>
      </c>
      <c r="C5601" s="16" t="s">
        <v>17013</v>
      </c>
      <c r="D5601" s="16" t="n">
        <v>6</v>
      </c>
      <c r="E5601" s="35" t="s">
        <v>17014</v>
      </c>
      <c r="F5601" s="16" t="s">
        <v>1285</v>
      </c>
      <c r="G5601" s="16" t="s">
        <v>1169</v>
      </c>
      <c r="H5601" s="16" t="s">
        <v>16967</v>
      </c>
      <c r="I5601" s="16" t="s">
        <v>136</v>
      </c>
      <c r="J5601" s="16" t="s">
        <v>17003</v>
      </c>
      <c r="K5601" s="32" t="n">
        <v>1</v>
      </c>
      <c r="L5601" s="33" t="n">
        <v>46373</v>
      </c>
      <c r="M5601" s="33" t="n">
        <v>46373</v>
      </c>
      <c r="N5601" s="16" t="s">
        <v>17015</v>
      </c>
      <c r="O5601" s="16"/>
      <c r="P5601" s="16" t="str">
        <f aca="false">IF(AND(L5601&lt;=$D$2,M5601&gt;=$C$2),"Sí","")</f>
        <v/>
      </c>
      <c r="Q5601" s="18" t="str">
        <f aca="false">IF(COUNTIF(LOOKAHEAD!$A$5:$A$604,A5601)&gt;0,"En Lookahead",IF(P5601="Sí","INCORPORAR",""))</f>
        <v/>
      </c>
    </row>
    <row r="5602" customFormat="false" ht="15" hidden="false" customHeight="false" outlineLevel="0" collapsed="false">
      <c r="A5602" s="16" t="s">
        <v>17016</v>
      </c>
      <c r="B5602" s="16" t="n">
        <v>5597</v>
      </c>
      <c r="C5602" s="16" t="s">
        <v>17017</v>
      </c>
      <c r="D5602" s="16" t="n">
        <v>6</v>
      </c>
      <c r="E5602" s="35" t="s">
        <v>17018</v>
      </c>
      <c r="F5602" s="16" t="s">
        <v>1285</v>
      </c>
      <c r="G5602" s="16" t="s">
        <v>1169</v>
      </c>
      <c r="H5602" s="16" t="s">
        <v>16967</v>
      </c>
      <c r="I5602" s="16" t="s">
        <v>136</v>
      </c>
      <c r="J5602" s="16" t="s">
        <v>17003</v>
      </c>
      <c r="K5602" s="32" t="n">
        <v>1</v>
      </c>
      <c r="L5602" s="33" t="n">
        <v>46374</v>
      </c>
      <c r="M5602" s="33" t="n">
        <v>46374</v>
      </c>
      <c r="N5602" s="16" t="s">
        <v>17019</v>
      </c>
      <c r="O5602" s="16"/>
      <c r="P5602" s="16" t="str">
        <f aca="false">IF(AND(L5602&lt;=$D$2,M5602&gt;=$C$2),"Sí","")</f>
        <v/>
      </c>
      <c r="Q5602" s="18" t="str">
        <f aca="false">IF(COUNTIF(LOOKAHEAD!$A$5:$A$604,A5602)&gt;0,"En Lookahead",IF(P5602="Sí","INCORPORAR",""))</f>
        <v/>
      </c>
    </row>
    <row r="5603" customFormat="false" ht="15" hidden="false" customHeight="false" outlineLevel="0" collapsed="false">
      <c r="A5603" s="16" t="s">
        <v>17020</v>
      </c>
      <c r="B5603" s="16" t="n">
        <v>5598</v>
      </c>
      <c r="C5603" s="16" t="s">
        <v>17021</v>
      </c>
      <c r="D5603" s="16" t="n">
        <v>6</v>
      </c>
      <c r="E5603" s="35" t="s">
        <v>17022</v>
      </c>
      <c r="F5603" s="16" t="s">
        <v>1285</v>
      </c>
      <c r="G5603" s="16" t="s">
        <v>1169</v>
      </c>
      <c r="H5603" s="16" t="s">
        <v>16967</v>
      </c>
      <c r="I5603" s="16" t="s">
        <v>136</v>
      </c>
      <c r="J5603" s="16" t="s">
        <v>17003</v>
      </c>
      <c r="K5603" s="32" t="n">
        <v>1</v>
      </c>
      <c r="L5603" s="33" t="n">
        <v>46375</v>
      </c>
      <c r="M5603" s="33" t="n">
        <v>46375</v>
      </c>
      <c r="N5603" s="16" t="s">
        <v>17023</v>
      </c>
      <c r="O5603" s="16"/>
      <c r="P5603" s="16" t="str">
        <f aca="false">IF(AND(L5603&lt;=$D$2,M5603&gt;=$C$2),"Sí","")</f>
        <v/>
      </c>
      <c r="Q5603" s="18" t="str">
        <f aca="false">IF(COUNTIF(LOOKAHEAD!$A$5:$A$604,A5603)&gt;0,"En Lookahead",IF(P5603="Sí","INCORPORAR",""))</f>
        <v/>
      </c>
    </row>
    <row r="5604" customFormat="false" ht="15" hidden="false" customHeight="false" outlineLevel="0" collapsed="false">
      <c r="A5604" s="16" t="s">
        <v>17024</v>
      </c>
      <c r="B5604" s="16" t="n">
        <v>5599</v>
      </c>
      <c r="C5604" s="16" t="s">
        <v>17025</v>
      </c>
      <c r="D5604" s="16" t="n">
        <v>6</v>
      </c>
      <c r="E5604" s="35" t="s">
        <v>17026</v>
      </c>
      <c r="F5604" s="16" t="s">
        <v>1285</v>
      </c>
      <c r="G5604" s="16" t="s">
        <v>1169</v>
      </c>
      <c r="H5604" s="16" t="s">
        <v>16967</v>
      </c>
      <c r="I5604" s="16" t="s">
        <v>136</v>
      </c>
      <c r="J5604" s="16" t="s">
        <v>17003</v>
      </c>
      <c r="K5604" s="32" t="n">
        <v>3</v>
      </c>
      <c r="L5604" s="33" t="n">
        <v>46376</v>
      </c>
      <c r="M5604" s="33" t="n">
        <v>46378</v>
      </c>
      <c r="N5604" s="16" t="s">
        <v>17027</v>
      </c>
      <c r="O5604" s="16"/>
      <c r="P5604" s="16" t="str">
        <f aca="false">IF(AND(L5604&lt;=$D$2,M5604&gt;=$C$2),"Sí","")</f>
        <v/>
      </c>
      <c r="Q5604" s="18" t="str">
        <f aca="false">IF(COUNTIF(LOOKAHEAD!$A$5:$A$604,A5604)&gt;0,"En Lookahead",IF(P5604="Sí","INCORPORAR",""))</f>
        <v/>
      </c>
    </row>
    <row r="5605" customFormat="false" ht="15" hidden="false" customHeight="false" outlineLevel="0" collapsed="false">
      <c r="A5605" s="16" t="s">
        <v>17028</v>
      </c>
      <c r="B5605" s="16" t="n">
        <v>5600</v>
      </c>
      <c r="C5605" s="16" t="s">
        <v>17029</v>
      </c>
      <c r="D5605" s="16" t="n">
        <v>6</v>
      </c>
      <c r="E5605" s="35" t="s">
        <v>17030</v>
      </c>
      <c r="F5605" s="16" t="s">
        <v>1285</v>
      </c>
      <c r="G5605" s="16" t="s">
        <v>1169</v>
      </c>
      <c r="H5605" s="16" t="s">
        <v>16967</v>
      </c>
      <c r="I5605" s="16" t="s">
        <v>136</v>
      </c>
      <c r="J5605" s="16" t="s">
        <v>17003</v>
      </c>
      <c r="K5605" s="32" t="n">
        <v>1</v>
      </c>
      <c r="L5605" s="33" t="n">
        <v>46379</v>
      </c>
      <c r="M5605" s="33" t="n">
        <v>46379</v>
      </c>
      <c r="N5605" s="16" t="s">
        <v>17031</v>
      </c>
      <c r="O5605" s="16"/>
      <c r="P5605" s="16" t="str">
        <f aca="false">IF(AND(L5605&lt;=$D$2,M5605&gt;=$C$2),"Sí","")</f>
        <v/>
      </c>
      <c r="Q5605" s="18" t="str">
        <f aca="false">IF(COUNTIF(LOOKAHEAD!$A$5:$A$604,A5605)&gt;0,"En Lookahead",IF(P5605="Sí","INCORPORAR",""))</f>
        <v/>
      </c>
    </row>
    <row r="5606" customFormat="false" ht="15" hidden="false" customHeight="false" outlineLevel="0" collapsed="false">
      <c r="A5606" s="16" t="s">
        <v>17032</v>
      </c>
      <c r="B5606" s="16" t="n">
        <v>5601</v>
      </c>
      <c r="C5606" s="16" t="s">
        <v>17033</v>
      </c>
      <c r="D5606" s="16" t="n">
        <v>6</v>
      </c>
      <c r="E5606" s="35" t="s">
        <v>17034</v>
      </c>
      <c r="F5606" s="16" t="s">
        <v>1285</v>
      </c>
      <c r="G5606" s="16" t="s">
        <v>1169</v>
      </c>
      <c r="H5606" s="16" t="s">
        <v>16967</v>
      </c>
      <c r="I5606" s="16" t="s">
        <v>136</v>
      </c>
      <c r="J5606" s="16" t="s">
        <v>17003</v>
      </c>
      <c r="K5606" s="32" t="n">
        <v>1</v>
      </c>
      <c r="L5606" s="33" t="n">
        <v>46380</v>
      </c>
      <c r="M5606" s="33" t="n">
        <v>46380</v>
      </c>
      <c r="N5606" s="16" t="s">
        <v>17035</v>
      </c>
      <c r="O5606" s="16"/>
      <c r="P5606" s="16" t="str">
        <f aca="false">IF(AND(L5606&lt;=$D$2,M5606&gt;=$C$2),"Sí","")</f>
        <v/>
      </c>
      <c r="Q5606" s="18" t="str">
        <f aca="false">IF(COUNTIF(LOOKAHEAD!$A$5:$A$604,A5606)&gt;0,"En Lookahead",IF(P5606="Sí","INCORPORAR",""))</f>
        <v/>
      </c>
    </row>
    <row r="5607" customFormat="false" ht="15" hidden="false" customHeight="false" outlineLevel="0" collapsed="false">
      <c r="A5607" s="16" t="s">
        <v>17036</v>
      </c>
      <c r="B5607" s="16" t="n">
        <v>5602</v>
      </c>
      <c r="C5607" s="16" t="s">
        <v>17037</v>
      </c>
      <c r="D5607" s="16" t="n">
        <v>6</v>
      </c>
      <c r="E5607" s="35" t="s">
        <v>17038</v>
      </c>
      <c r="F5607" s="16" t="s">
        <v>1285</v>
      </c>
      <c r="G5607" s="16" t="s">
        <v>1169</v>
      </c>
      <c r="H5607" s="16" t="s">
        <v>16967</v>
      </c>
      <c r="I5607" s="16" t="s">
        <v>136</v>
      </c>
      <c r="J5607" s="16" t="s">
        <v>17003</v>
      </c>
      <c r="K5607" s="32" t="n">
        <v>1</v>
      </c>
      <c r="L5607" s="33" t="n">
        <v>46381</v>
      </c>
      <c r="M5607" s="33" t="n">
        <v>46381</v>
      </c>
      <c r="N5607" s="16" t="s">
        <v>17039</v>
      </c>
      <c r="O5607" s="16"/>
      <c r="P5607" s="16" t="str">
        <f aca="false">IF(AND(L5607&lt;=$D$2,M5607&gt;=$C$2),"Sí","")</f>
        <v/>
      </c>
      <c r="Q5607" s="18" t="str">
        <f aca="false">IF(COUNTIF(LOOKAHEAD!$A$5:$A$604,A5607)&gt;0,"En Lookahead",IF(P5607="Sí","INCORPORAR",""))</f>
        <v/>
      </c>
    </row>
    <row r="5608" customFormat="false" ht="15" hidden="false" customHeight="false" outlineLevel="0" collapsed="false">
      <c r="A5608" s="16" t="s">
        <v>17040</v>
      </c>
      <c r="B5608" s="16" t="n">
        <v>5603</v>
      </c>
      <c r="C5608" s="16" t="s">
        <v>17041</v>
      </c>
      <c r="D5608" s="16" t="n">
        <v>6</v>
      </c>
      <c r="E5608" s="35" t="s">
        <v>17042</v>
      </c>
      <c r="F5608" s="16" t="s">
        <v>1285</v>
      </c>
      <c r="G5608" s="16" t="s">
        <v>1169</v>
      </c>
      <c r="H5608" s="16" t="s">
        <v>16967</v>
      </c>
      <c r="I5608" s="16" t="s">
        <v>136</v>
      </c>
      <c r="J5608" s="16" t="s">
        <v>17003</v>
      </c>
      <c r="K5608" s="32" t="n">
        <v>1</v>
      </c>
      <c r="L5608" s="33" t="n">
        <v>46382</v>
      </c>
      <c r="M5608" s="33" t="n">
        <v>46382</v>
      </c>
      <c r="N5608" s="16" t="s">
        <v>17043</v>
      </c>
      <c r="O5608" s="16"/>
      <c r="P5608" s="16" t="str">
        <f aca="false">IF(AND(L5608&lt;=$D$2,M5608&gt;=$C$2),"Sí","")</f>
        <v/>
      </c>
      <c r="Q5608" s="18" t="str">
        <f aca="false">IF(COUNTIF(LOOKAHEAD!$A$5:$A$604,A5608)&gt;0,"En Lookahead",IF(P5608="Sí","INCORPORAR",""))</f>
        <v/>
      </c>
    </row>
    <row r="5609" customFormat="false" ht="15" hidden="false" customHeight="false" outlineLevel="0" collapsed="false">
      <c r="A5609" s="16" t="s">
        <v>17044</v>
      </c>
      <c r="B5609" s="16" t="n">
        <v>5604</v>
      </c>
      <c r="C5609" s="16" t="s">
        <v>17045</v>
      </c>
      <c r="D5609" s="16" t="n">
        <v>6</v>
      </c>
      <c r="E5609" s="35" t="s">
        <v>17046</v>
      </c>
      <c r="F5609" s="16" t="s">
        <v>1285</v>
      </c>
      <c r="G5609" s="16" t="s">
        <v>1169</v>
      </c>
      <c r="H5609" s="16" t="s">
        <v>16967</v>
      </c>
      <c r="I5609" s="16" t="s">
        <v>136</v>
      </c>
      <c r="J5609" s="16" t="s">
        <v>17003</v>
      </c>
      <c r="K5609" s="32" t="n">
        <v>1</v>
      </c>
      <c r="L5609" s="33" t="n">
        <v>46383</v>
      </c>
      <c r="M5609" s="33" t="n">
        <v>46383</v>
      </c>
      <c r="N5609" s="16" t="s">
        <v>17047</v>
      </c>
      <c r="O5609" s="16"/>
      <c r="P5609" s="16" t="str">
        <f aca="false">IF(AND(L5609&lt;=$D$2,M5609&gt;=$C$2),"Sí","")</f>
        <v/>
      </c>
      <c r="Q5609" s="18" t="str">
        <f aca="false">IF(COUNTIF(LOOKAHEAD!$A$5:$A$604,A5609)&gt;0,"En Lookahead",IF(P5609="Sí","INCORPORAR",""))</f>
        <v/>
      </c>
    </row>
    <row r="5610" customFormat="false" ht="15" hidden="false" customHeight="false" outlineLevel="0" collapsed="false">
      <c r="A5610" s="16" t="s">
        <v>17048</v>
      </c>
      <c r="B5610" s="16" t="n">
        <v>5605</v>
      </c>
      <c r="C5610" s="16" t="s">
        <v>17049</v>
      </c>
      <c r="D5610" s="16" t="n">
        <v>6</v>
      </c>
      <c r="E5610" s="35" t="s">
        <v>17050</v>
      </c>
      <c r="F5610" s="16" t="s">
        <v>1285</v>
      </c>
      <c r="G5610" s="16" t="s">
        <v>1169</v>
      </c>
      <c r="H5610" s="16" t="s">
        <v>16967</v>
      </c>
      <c r="I5610" s="16" t="s">
        <v>136</v>
      </c>
      <c r="J5610" s="16" t="s">
        <v>17003</v>
      </c>
      <c r="K5610" s="32" t="n">
        <v>1</v>
      </c>
      <c r="L5610" s="33" t="n">
        <v>46384</v>
      </c>
      <c r="M5610" s="33" t="n">
        <v>46384</v>
      </c>
      <c r="N5610" s="16" t="s">
        <v>17051</v>
      </c>
      <c r="O5610" s="16"/>
      <c r="P5610" s="16" t="str">
        <f aca="false">IF(AND(L5610&lt;=$D$2,M5610&gt;=$C$2),"Sí","")</f>
        <v/>
      </c>
      <c r="Q5610" s="18" t="str">
        <f aca="false">IF(COUNTIF(LOOKAHEAD!$A$5:$A$604,A5610)&gt;0,"En Lookahead",IF(P5610="Sí","INCORPORAR",""))</f>
        <v/>
      </c>
    </row>
    <row r="5611" customFormat="false" ht="15" hidden="false" customHeight="false" outlineLevel="0" collapsed="false">
      <c r="A5611" s="16" t="s">
        <v>17052</v>
      </c>
      <c r="B5611" s="16" t="n">
        <v>5606</v>
      </c>
      <c r="C5611" s="16" t="s">
        <v>17053</v>
      </c>
      <c r="D5611" s="16" t="n">
        <v>6</v>
      </c>
      <c r="E5611" s="35" t="s">
        <v>17054</v>
      </c>
      <c r="F5611" s="16" t="s">
        <v>1285</v>
      </c>
      <c r="G5611" s="16" t="s">
        <v>1169</v>
      </c>
      <c r="H5611" s="16" t="s">
        <v>16967</v>
      </c>
      <c r="I5611" s="16" t="s">
        <v>136</v>
      </c>
      <c r="J5611" s="16" t="s">
        <v>17003</v>
      </c>
      <c r="K5611" s="32" t="n">
        <v>1</v>
      </c>
      <c r="L5611" s="33" t="n">
        <v>46385</v>
      </c>
      <c r="M5611" s="33" t="n">
        <v>46385</v>
      </c>
      <c r="N5611" s="16" t="s">
        <v>17055</v>
      </c>
      <c r="O5611" s="16"/>
      <c r="P5611" s="16" t="str">
        <f aca="false">IF(AND(L5611&lt;=$D$2,M5611&gt;=$C$2),"Sí","")</f>
        <v/>
      </c>
      <c r="Q5611" s="18" t="str">
        <f aca="false">IF(COUNTIF(LOOKAHEAD!$A$5:$A$604,A5611)&gt;0,"En Lookahead",IF(P5611="Sí","INCORPORAR",""))</f>
        <v/>
      </c>
    </row>
    <row r="5612" customFormat="false" ht="15" hidden="false" customHeight="false" outlineLevel="0" collapsed="false">
      <c r="A5612" s="16" t="s">
        <v>17056</v>
      </c>
      <c r="B5612" s="16" t="n">
        <v>5607</v>
      </c>
      <c r="C5612" s="16" t="s">
        <v>17057</v>
      </c>
      <c r="D5612" s="16" t="n">
        <v>6</v>
      </c>
      <c r="E5612" s="35" t="s">
        <v>17058</v>
      </c>
      <c r="F5612" s="16" t="s">
        <v>1285</v>
      </c>
      <c r="G5612" s="16" t="s">
        <v>1169</v>
      </c>
      <c r="H5612" s="16" t="s">
        <v>16967</v>
      </c>
      <c r="I5612" s="16" t="s">
        <v>136</v>
      </c>
      <c r="J5612" s="16" t="s">
        <v>17003</v>
      </c>
      <c r="K5612" s="32" t="n">
        <v>1</v>
      </c>
      <c r="L5612" s="33" t="n">
        <v>46386</v>
      </c>
      <c r="M5612" s="33" t="n">
        <v>46386</v>
      </c>
      <c r="N5612" s="16" t="s">
        <v>17059</v>
      </c>
      <c r="O5612" s="16"/>
      <c r="P5612" s="16" t="str">
        <f aca="false">IF(AND(L5612&lt;=$D$2,M5612&gt;=$C$2),"Sí","")</f>
        <v/>
      </c>
      <c r="Q5612" s="18" t="str">
        <f aca="false">IF(COUNTIF(LOOKAHEAD!$A$5:$A$604,A5612)&gt;0,"En Lookahead",IF(P5612="Sí","INCORPORAR",""))</f>
        <v/>
      </c>
    </row>
    <row r="5613" customFormat="false" ht="15" hidden="false" customHeight="false" outlineLevel="0" collapsed="false">
      <c r="A5613" s="16" t="s">
        <v>17060</v>
      </c>
      <c r="B5613" s="16" t="n">
        <v>5608</v>
      </c>
      <c r="C5613" s="16" t="s">
        <v>17061</v>
      </c>
      <c r="D5613" s="16" t="n">
        <v>6</v>
      </c>
      <c r="E5613" s="35" t="s">
        <v>17062</v>
      </c>
      <c r="F5613" s="16" t="s">
        <v>1285</v>
      </c>
      <c r="G5613" s="16" t="s">
        <v>1169</v>
      </c>
      <c r="H5613" s="16" t="s">
        <v>16967</v>
      </c>
      <c r="I5613" s="16" t="s">
        <v>136</v>
      </c>
      <c r="J5613" s="16" t="s">
        <v>17003</v>
      </c>
      <c r="K5613" s="32" t="n">
        <v>1</v>
      </c>
      <c r="L5613" s="33" t="n">
        <v>46387</v>
      </c>
      <c r="M5613" s="33" t="n">
        <v>46387</v>
      </c>
      <c r="N5613" s="16" t="s">
        <v>17063</v>
      </c>
      <c r="O5613" s="16"/>
      <c r="P5613" s="16" t="str">
        <f aca="false">IF(AND(L5613&lt;=$D$2,M5613&gt;=$C$2),"Sí","")</f>
        <v/>
      </c>
      <c r="Q5613" s="18" t="str">
        <f aca="false">IF(COUNTIF(LOOKAHEAD!$A$5:$A$604,A5613)&gt;0,"En Lookahead",IF(P5613="Sí","INCORPORAR",""))</f>
        <v/>
      </c>
    </row>
    <row r="5614" customFormat="false" ht="15" hidden="false" customHeight="false" outlineLevel="0" collapsed="false">
      <c r="A5614" s="16" t="s">
        <v>17064</v>
      </c>
      <c r="B5614" s="16" t="n">
        <v>5609</v>
      </c>
      <c r="C5614" s="16" t="s">
        <v>17065</v>
      </c>
      <c r="D5614" s="16" t="n">
        <v>6</v>
      </c>
      <c r="E5614" s="35" t="s">
        <v>17066</v>
      </c>
      <c r="F5614" s="16" t="s">
        <v>1285</v>
      </c>
      <c r="G5614" s="16" t="s">
        <v>1169</v>
      </c>
      <c r="H5614" s="16" t="s">
        <v>16967</v>
      </c>
      <c r="I5614" s="16" t="s">
        <v>136</v>
      </c>
      <c r="J5614" s="16" t="s">
        <v>17003</v>
      </c>
      <c r="K5614" s="32" t="n">
        <v>1</v>
      </c>
      <c r="L5614" s="33" t="n">
        <v>46388</v>
      </c>
      <c r="M5614" s="33" t="n">
        <v>46388</v>
      </c>
      <c r="N5614" s="16" t="s">
        <v>17067</v>
      </c>
      <c r="O5614" s="16"/>
      <c r="P5614" s="16" t="str">
        <f aca="false">IF(AND(L5614&lt;=$D$2,M5614&gt;=$C$2),"Sí","")</f>
        <v/>
      </c>
      <c r="Q5614" s="18" t="str">
        <f aca="false">IF(COUNTIF(LOOKAHEAD!$A$5:$A$604,A5614)&gt;0,"En Lookahead",IF(P5614="Sí","INCORPORAR",""))</f>
        <v/>
      </c>
    </row>
    <row r="5615" customFormat="false" ht="15" hidden="false" customHeight="false" outlineLevel="0" collapsed="false">
      <c r="A5615" s="13" t="s">
        <v>17068</v>
      </c>
      <c r="B5615" s="13" t="n">
        <v>5610</v>
      </c>
      <c r="C5615" s="13" t="s">
        <v>17069</v>
      </c>
      <c r="D5615" s="13" t="n">
        <v>5</v>
      </c>
      <c r="E5615" s="34" t="s">
        <v>17070</v>
      </c>
      <c r="F5615" s="13" t="s">
        <v>1298</v>
      </c>
      <c r="G5615" s="13" t="s">
        <v>1169</v>
      </c>
      <c r="H5615" s="13" t="s">
        <v>16967</v>
      </c>
      <c r="I5615" s="13" t="s">
        <v>136</v>
      </c>
      <c r="J5615" s="13" t="s">
        <v>16967</v>
      </c>
      <c r="K5615" s="30" t="n">
        <v>5</v>
      </c>
      <c r="L5615" s="31" t="n">
        <v>46389</v>
      </c>
      <c r="M5615" s="31" t="n">
        <v>46393</v>
      </c>
      <c r="N5615" s="13"/>
      <c r="O5615" s="13"/>
      <c r="P5615" s="13"/>
      <c r="Q5615" s="13"/>
    </row>
    <row r="5616" customFormat="false" ht="15" hidden="false" customHeight="false" outlineLevel="0" collapsed="false">
      <c r="A5616" s="16" t="s">
        <v>17071</v>
      </c>
      <c r="B5616" s="16" t="n">
        <v>5611</v>
      </c>
      <c r="C5616" s="16" t="s">
        <v>17072</v>
      </c>
      <c r="D5616" s="16" t="n">
        <v>6</v>
      </c>
      <c r="E5616" s="35" t="s">
        <v>17073</v>
      </c>
      <c r="F5616" s="16" t="s">
        <v>1285</v>
      </c>
      <c r="G5616" s="16" t="s">
        <v>1169</v>
      </c>
      <c r="H5616" s="16" t="s">
        <v>16967</v>
      </c>
      <c r="I5616" s="16" t="s">
        <v>136</v>
      </c>
      <c r="J5616" s="16" t="s">
        <v>17070</v>
      </c>
      <c r="K5616" s="32" t="n">
        <v>1</v>
      </c>
      <c r="L5616" s="33" t="n">
        <v>46389</v>
      </c>
      <c r="M5616" s="33" t="n">
        <v>46389</v>
      </c>
      <c r="N5616" s="16" t="s">
        <v>17074</v>
      </c>
      <c r="O5616" s="16"/>
      <c r="P5616" s="16" t="str">
        <f aca="false">IF(AND(L5616&lt;=$D$2,M5616&gt;=$C$2),"Sí","")</f>
        <v/>
      </c>
      <c r="Q5616" s="18" t="str">
        <f aca="false">IF(COUNTIF(LOOKAHEAD!$A$5:$A$604,A5616)&gt;0,"En Lookahead",IF(P5616="Sí","INCORPORAR",""))</f>
        <v/>
      </c>
    </row>
    <row r="5617" customFormat="false" ht="15" hidden="false" customHeight="false" outlineLevel="0" collapsed="false">
      <c r="A5617" s="16" t="s">
        <v>17075</v>
      </c>
      <c r="B5617" s="16" t="n">
        <v>5612</v>
      </c>
      <c r="C5617" s="16" t="s">
        <v>17076</v>
      </c>
      <c r="D5617" s="16" t="n">
        <v>6</v>
      </c>
      <c r="E5617" s="35" t="s">
        <v>17077</v>
      </c>
      <c r="F5617" s="16" t="s">
        <v>1285</v>
      </c>
      <c r="G5617" s="16" t="s">
        <v>1169</v>
      </c>
      <c r="H5617" s="16" t="s">
        <v>16967</v>
      </c>
      <c r="I5617" s="16" t="s">
        <v>136</v>
      </c>
      <c r="J5617" s="16" t="s">
        <v>17070</v>
      </c>
      <c r="K5617" s="32" t="n">
        <v>1</v>
      </c>
      <c r="L5617" s="33" t="n">
        <v>46390</v>
      </c>
      <c r="M5617" s="33" t="n">
        <v>46390</v>
      </c>
      <c r="N5617" s="16" t="s">
        <v>17078</v>
      </c>
      <c r="O5617" s="16"/>
      <c r="P5617" s="16" t="str">
        <f aca="false">IF(AND(L5617&lt;=$D$2,M5617&gt;=$C$2),"Sí","")</f>
        <v/>
      </c>
      <c r="Q5617" s="18" t="str">
        <f aca="false">IF(COUNTIF(LOOKAHEAD!$A$5:$A$604,A5617)&gt;0,"En Lookahead",IF(P5617="Sí","INCORPORAR",""))</f>
        <v/>
      </c>
    </row>
    <row r="5618" customFormat="false" ht="15" hidden="false" customHeight="false" outlineLevel="0" collapsed="false">
      <c r="A5618" s="16" t="s">
        <v>17079</v>
      </c>
      <c r="B5618" s="16" t="n">
        <v>5613</v>
      </c>
      <c r="C5618" s="16" t="s">
        <v>17080</v>
      </c>
      <c r="D5618" s="16" t="n">
        <v>6</v>
      </c>
      <c r="E5618" s="35" t="s">
        <v>17081</v>
      </c>
      <c r="F5618" s="16" t="s">
        <v>1285</v>
      </c>
      <c r="G5618" s="16" t="s">
        <v>1169</v>
      </c>
      <c r="H5618" s="16" t="s">
        <v>16967</v>
      </c>
      <c r="I5618" s="16" t="s">
        <v>136</v>
      </c>
      <c r="J5618" s="16" t="s">
        <v>17070</v>
      </c>
      <c r="K5618" s="32" t="n">
        <v>1</v>
      </c>
      <c r="L5618" s="33" t="n">
        <v>46391</v>
      </c>
      <c r="M5618" s="33" t="n">
        <v>46391</v>
      </c>
      <c r="N5618" s="16" t="s">
        <v>17082</v>
      </c>
      <c r="O5618" s="16"/>
      <c r="P5618" s="16" t="str">
        <f aca="false">IF(AND(L5618&lt;=$D$2,M5618&gt;=$C$2),"Sí","")</f>
        <v/>
      </c>
      <c r="Q5618" s="18" t="str">
        <f aca="false">IF(COUNTIF(LOOKAHEAD!$A$5:$A$604,A5618)&gt;0,"En Lookahead",IF(P5618="Sí","INCORPORAR",""))</f>
        <v/>
      </c>
    </row>
    <row r="5619" customFormat="false" ht="15" hidden="false" customHeight="false" outlineLevel="0" collapsed="false">
      <c r="A5619" s="16" t="s">
        <v>17083</v>
      </c>
      <c r="B5619" s="16" t="n">
        <v>5614</v>
      </c>
      <c r="C5619" s="16" t="s">
        <v>17084</v>
      </c>
      <c r="D5619" s="16" t="n">
        <v>6</v>
      </c>
      <c r="E5619" s="35" t="s">
        <v>17085</v>
      </c>
      <c r="F5619" s="16" t="s">
        <v>1285</v>
      </c>
      <c r="G5619" s="16" t="s">
        <v>1169</v>
      </c>
      <c r="H5619" s="16" t="s">
        <v>16967</v>
      </c>
      <c r="I5619" s="16" t="s">
        <v>136</v>
      </c>
      <c r="J5619" s="16" t="s">
        <v>17070</v>
      </c>
      <c r="K5619" s="32" t="n">
        <v>1</v>
      </c>
      <c r="L5619" s="33" t="n">
        <v>46392</v>
      </c>
      <c r="M5619" s="33" t="n">
        <v>46392</v>
      </c>
      <c r="N5619" s="16" t="s">
        <v>17086</v>
      </c>
      <c r="O5619" s="16"/>
      <c r="P5619" s="16" t="str">
        <f aca="false">IF(AND(L5619&lt;=$D$2,M5619&gt;=$C$2),"Sí","")</f>
        <v/>
      </c>
      <c r="Q5619" s="18" t="str">
        <f aca="false">IF(COUNTIF(LOOKAHEAD!$A$5:$A$604,A5619)&gt;0,"En Lookahead",IF(P5619="Sí","INCORPORAR",""))</f>
        <v/>
      </c>
    </row>
    <row r="5620" customFormat="false" ht="15" hidden="false" customHeight="false" outlineLevel="0" collapsed="false">
      <c r="A5620" s="16" t="s">
        <v>17087</v>
      </c>
      <c r="B5620" s="16" t="n">
        <v>5615</v>
      </c>
      <c r="C5620" s="16" t="s">
        <v>17088</v>
      </c>
      <c r="D5620" s="16" t="n">
        <v>6</v>
      </c>
      <c r="E5620" s="35" t="s">
        <v>17089</v>
      </c>
      <c r="F5620" s="16" t="s">
        <v>1285</v>
      </c>
      <c r="G5620" s="16" t="s">
        <v>1169</v>
      </c>
      <c r="H5620" s="16" t="s">
        <v>16967</v>
      </c>
      <c r="I5620" s="16" t="s">
        <v>136</v>
      </c>
      <c r="J5620" s="16" t="s">
        <v>17070</v>
      </c>
      <c r="K5620" s="32" t="n">
        <v>1</v>
      </c>
      <c r="L5620" s="33" t="n">
        <v>46393</v>
      </c>
      <c r="M5620" s="33" t="n">
        <v>46393</v>
      </c>
      <c r="N5620" s="16" t="s">
        <v>17090</v>
      </c>
      <c r="O5620" s="16"/>
      <c r="P5620" s="16" t="str">
        <f aca="false">IF(AND(L5620&lt;=$D$2,M5620&gt;=$C$2),"Sí","")</f>
        <v/>
      </c>
      <c r="Q5620" s="18" t="str">
        <f aca="false">IF(COUNTIF(LOOKAHEAD!$A$5:$A$604,A5620)&gt;0,"En Lookahead",IF(P5620="Sí","INCORPORAR",""))</f>
        <v/>
      </c>
    </row>
    <row r="5621" customFormat="false" ht="15" hidden="false" customHeight="false" outlineLevel="0" collapsed="false">
      <c r="A5621" s="13" t="s">
        <v>17091</v>
      </c>
      <c r="B5621" s="13" t="n">
        <v>5616</v>
      </c>
      <c r="C5621" s="13" t="s">
        <v>17092</v>
      </c>
      <c r="D5621" s="13" t="n">
        <v>4</v>
      </c>
      <c r="E5621" s="20" t="s">
        <v>17093</v>
      </c>
      <c r="F5621" s="13" t="s">
        <v>1298</v>
      </c>
      <c r="G5621" s="13" t="s">
        <v>1169</v>
      </c>
      <c r="H5621" s="13" t="s">
        <v>17093</v>
      </c>
      <c r="I5621" s="13" t="s">
        <v>136</v>
      </c>
      <c r="J5621" s="13" t="s">
        <v>16322</v>
      </c>
      <c r="K5621" s="30" t="n">
        <v>145</v>
      </c>
      <c r="L5621" s="31" t="n">
        <v>46138</v>
      </c>
      <c r="M5621" s="31" t="n">
        <v>46362</v>
      </c>
      <c r="N5621" s="13"/>
      <c r="O5621" s="13"/>
      <c r="P5621" s="13"/>
      <c r="Q5621" s="13"/>
    </row>
    <row r="5622" customFormat="false" ht="15" hidden="false" customHeight="false" outlineLevel="0" collapsed="false">
      <c r="A5622" s="13" t="s">
        <v>17094</v>
      </c>
      <c r="B5622" s="13" t="n">
        <v>5617</v>
      </c>
      <c r="C5622" s="13" t="s">
        <v>17095</v>
      </c>
      <c r="D5622" s="13" t="n">
        <v>5</v>
      </c>
      <c r="E5622" s="34" t="s">
        <v>16970</v>
      </c>
      <c r="F5622" s="13" t="s">
        <v>1298</v>
      </c>
      <c r="G5622" s="13" t="s">
        <v>1169</v>
      </c>
      <c r="H5622" s="13" t="s">
        <v>17093</v>
      </c>
      <c r="I5622" s="13" t="s">
        <v>136</v>
      </c>
      <c r="J5622" s="13" t="s">
        <v>17093</v>
      </c>
      <c r="K5622" s="30" t="n">
        <v>5</v>
      </c>
      <c r="L5622" s="31" t="n">
        <v>46138</v>
      </c>
      <c r="M5622" s="31" t="n">
        <v>46142</v>
      </c>
      <c r="N5622" s="13"/>
      <c r="O5622" s="13"/>
      <c r="P5622" s="13"/>
      <c r="Q5622" s="13"/>
    </row>
    <row r="5623" customFormat="false" ht="15" hidden="false" customHeight="false" outlineLevel="0" collapsed="false">
      <c r="A5623" s="16" t="s">
        <v>17096</v>
      </c>
      <c r="B5623" s="16" t="n">
        <v>5618</v>
      </c>
      <c r="C5623" s="16" t="s">
        <v>17097</v>
      </c>
      <c r="D5623" s="16" t="n">
        <v>6</v>
      </c>
      <c r="E5623" s="35" t="s">
        <v>17098</v>
      </c>
      <c r="F5623" s="16" t="s">
        <v>1285</v>
      </c>
      <c r="G5623" s="16" t="s">
        <v>1169</v>
      </c>
      <c r="H5623" s="16" t="s">
        <v>17093</v>
      </c>
      <c r="I5623" s="16" t="s">
        <v>136</v>
      </c>
      <c r="J5623" s="16" t="s">
        <v>16970</v>
      </c>
      <c r="K5623" s="32" t="n">
        <v>3</v>
      </c>
      <c r="L5623" s="33" t="n">
        <v>46138</v>
      </c>
      <c r="M5623" s="33" t="n">
        <v>46140</v>
      </c>
      <c r="N5623" s="16" t="s">
        <v>17099</v>
      </c>
      <c r="O5623" s="16"/>
      <c r="P5623" s="16" t="str">
        <f aca="false">IF(AND(L5623&lt;=$D$2,M5623&gt;=$C$2),"Sí","")</f>
        <v/>
      </c>
      <c r="Q5623" s="18" t="str">
        <f aca="false">IF(COUNTIF(LOOKAHEAD!$A$5:$A$604,A5623)&gt;0,"En Lookahead",IF(P5623="Sí","INCORPORAR",""))</f>
        <v/>
      </c>
    </row>
    <row r="5624" customFormat="false" ht="15" hidden="false" customHeight="false" outlineLevel="0" collapsed="false">
      <c r="A5624" s="16" t="s">
        <v>17100</v>
      </c>
      <c r="B5624" s="16" t="n">
        <v>5619</v>
      </c>
      <c r="C5624" s="16" t="s">
        <v>17101</v>
      </c>
      <c r="D5624" s="16" t="n">
        <v>6</v>
      </c>
      <c r="E5624" s="35" t="s">
        <v>17102</v>
      </c>
      <c r="F5624" s="16" t="s">
        <v>1285</v>
      </c>
      <c r="G5624" s="16" t="s">
        <v>1169</v>
      </c>
      <c r="H5624" s="16" t="s">
        <v>17093</v>
      </c>
      <c r="I5624" s="16" t="s">
        <v>136</v>
      </c>
      <c r="J5624" s="16" t="s">
        <v>16970</v>
      </c>
      <c r="K5624" s="32" t="n">
        <v>1</v>
      </c>
      <c r="L5624" s="33" t="n">
        <v>46141</v>
      </c>
      <c r="M5624" s="33" t="n">
        <v>46141</v>
      </c>
      <c r="N5624" s="16" t="s">
        <v>17103</v>
      </c>
      <c r="O5624" s="16"/>
      <c r="P5624" s="16" t="str">
        <f aca="false">IF(AND(L5624&lt;=$D$2,M5624&gt;=$C$2),"Sí","")</f>
        <v/>
      </c>
      <c r="Q5624" s="18" t="str">
        <f aca="false">IF(COUNTIF(LOOKAHEAD!$A$5:$A$604,A5624)&gt;0,"En Lookahead",IF(P5624="Sí","INCORPORAR",""))</f>
        <v/>
      </c>
    </row>
    <row r="5625" customFormat="false" ht="15" hidden="false" customHeight="false" outlineLevel="0" collapsed="false">
      <c r="A5625" s="16" t="s">
        <v>17104</v>
      </c>
      <c r="B5625" s="16" t="n">
        <v>5620</v>
      </c>
      <c r="C5625" s="16" t="s">
        <v>17105</v>
      </c>
      <c r="D5625" s="16" t="n">
        <v>6</v>
      </c>
      <c r="E5625" s="35" t="s">
        <v>17106</v>
      </c>
      <c r="F5625" s="16" t="s">
        <v>1285</v>
      </c>
      <c r="G5625" s="16" t="s">
        <v>1169</v>
      </c>
      <c r="H5625" s="16" t="s">
        <v>17093</v>
      </c>
      <c r="I5625" s="16" t="s">
        <v>136</v>
      </c>
      <c r="J5625" s="16" t="s">
        <v>16970</v>
      </c>
      <c r="K5625" s="32" t="n">
        <v>1</v>
      </c>
      <c r="L5625" s="33" t="n">
        <v>46142</v>
      </c>
      <c r="M5625" s="33" t="n">
        <v>46142</v>
      </c>
      <c r="N5625" s="16" t="s">
        <v>17107</v>
      </c>
      <c r="O5625" s="16"/>
      <c r="P5625" s="16" t="str">
        <f aca="false">IF(AND(L5625&lt;=$D$2,M5625&gt;=$C$2),"Sí","")</f>
        <v/>
      </c>
      <c r="Q5625" s="18" t="str">
        <f aca="false">IF(COUNTIF(LOOKAHEAD!$A$5:$A$604,A5625)&gt;0,"En Lookahead",IF(P5625="Sí","INCORPORAR",""))</f>
        <v/>
      </c>
    </row>
    <row r="5626" customFormat="false" ht="15" hidden="false" customHeight="false" outlineLevel="0" collapsed="false">
      <c r="A5626" s="13" t="s">
        <v>17108</v>
      </c>
      <c r="B5626" s="13" t="n">
        <v>5621</v>
      </c>
      <c r="C5626" s="13" t="s">
        <v>17109</v>
      </c>
      <c r="D5626" s="13" t="n">
        <v>5</v>
      </c>
      <c r="E5626" s="34" t="s">
        <v>17110</v>
      </c>
      <c r="F5626" s="13" t="s">
        <v>1298</v>
      </c>
      <c r="G5626" s="13" t="s">
        <v>1169</v>
      </c>
      <c r="H5626" s="13" t="s">
        <v>17093</v>
      </c>
      <c r="I5626" s="13" t="s">
        <v>136</v>
      </c>
      <c r="J5626" s="13" t="s">
        <v>17093</v>
      </c>
      <c r="K5626" s="30" t="n">
        <v>20</v>
      </c>
      <c r="L5626" s="31" t="n">
        <v>46343</v>
      </c>
      <c r="M5626" s="31" t="n">
        <v>46362</v>
      </c>
      <c r="N5626" s="13"/>
      <c r="O5626" s="13"/>
      <c r="P5626" s="13"/>
      <c r="Q5626" s="13"/>
    </row>
    <row r="5627" customFormat="false" ht="15" hidden="false" customHeight="false" outlineLevel="0" collapsed="false">
      <c r="A5627" s="16" t="s">
        <v>17111</v>
      </c>
      <c r="B5627" s="16" t="n">
        <v>5622</v>
      </c>
      <c r="C5627" s="16" t="s">
        <v>17112</v>
      </c>
      <c r="D5627" s="16" t="n">
        <v>6</v>
      </c>
      <c r="E5627" s="35" t="s">
        <v>17113</v>
      </c>
      <c r="F5627" s="16" t="s">
        <v>1285</v>
      </c>
      <c r="G5627" s="16" t="s">
        <v>1169</v>
      </c>
      <c r="H5627" s="16" t="s">
        <v>17093</v>
      </c>
      <c r="I5627" s="16" t="s">
        <v>136</v>
      </c>
      <c r="J5627" s="16" t="s">
        <v>17110</v>
      </c>
      <c r="K5627" s="32" t="n">
        <v>5</v>
      </c>
      <c r="L5627" s="33" t="n">
        <v>46343</v>
      </c>
      <c r="M5627" s="33" t="n">
        <v>46347</v>
      </c>
      <c r="N5627" s="16" t="s">
        <v>17114</v>
      </c>
      <c r="O5627" s="16"/>
      <c r="P5627" s="16" t="str">
        <f aca="false">IF(AND(L5627&lt;=$D$2,M5627&gt;=$C$2),"Sí","")</f>
        <v/>
      </c>
      <c r="Q5627" s="18" t="str">
        <f aca="false">IF(COUNTIF(LOOKAHEAD!$A$5:$A$604,A5627)&gt;0,"En Lookahead",IF(P5627="Sí","INCORPORAR",""))</f>
        <v/>
      </c>
    </row>
    <row r="5628" customFormat="false" ht="15" hidden="false" customHeight="false" outlineLevel="0" collapsed="false">
      <c r="A5628" s="16" t="s">
        <v>17115</v>
      </c>
      <c r="B5628" s="16" t="n">
        <v>5623</v>
      </c>
      <c r="C5628" s="16" t="s">
        <v>17116</v>
      </c>
      <c r="D5628" s="16" t="n">
        <v>6</v>
      </c>
      <c r="E5628" s="35" t="s">
        <v>17117</v>
      </c>
      <c r="F5628" s="16" t="s">
        <v>1285</v>
      </c>
      <c r="G5628" s="16" t="s">
        <v>1169</v>
      </c>
      <c r="H5628" s="16" t="s">
        <v>17093</v>
      </c>
      <c r="I5628" s="16" t="s">
        <v>136</v>
      </c>
      <c r="J5628" s="16" t="s">
        <v>17110</v>
      </c>
      <c r="K5628" s="32" t="n">
        <v>2</v>
      </c>
      <c r="L5628" s="33" t="n">
        <v>46348</v>
      </c>
      <c r="M5628" s="33" t="n">
        <v>46349</v>
      </c>
      <c r="N5628" s="16" t="s">
        <v>17118</v>
      </c>
      <c r="O5628" s="16"/>
      <c r="P5628" s="16" t="str">
        <f aca="false">IF(AND(L5628&lt;=$D$2,M5628&gt;=$C$2),"Sí","")</f>
        <v/>
      </c>
      <c r="Q5628" s="18" t="str">
        <f aca="false">IF(COUNTIF(LOOKAHEAD!$A$5:$A$604,A5628)&gt;0,"En Lookahead",IF(P5628="Sí","INCORPORAR",""))</f>
        <v/>
      </c>
    </row>
    <row r="5629" customFormat="false" ht="15" hidden="false" customHeight="false" outlineLevel="0" collapsed="false">
      <c r="A5629" s="16" t="s">
        <v>17119</v>
      </c>
      <c r="B5629" s="16" t="n">
        <v>5624</v>
      </c>
      <c r="C5629" s="16" t="s">
        <v>17120</v>
      </c>
      <c r="D5629" s="16" t="n">
        <v>6</v>
      </c>
      <c r="E5629" s="35" t="s">
        <v>17121</v>
      </c>
      <c r="F5629" s="16" t="s">
        <v>1285</v>
      </c>
      <c r="G5629" s="16" t="s">
        <v>1169</v>
      </c>
      <c r="H5629" s="16" t="s">
        <v>17093</v>
      </c>
      <c r="I5629" s="16" t="s">
        <v>136</v>
      </c>
      <c r="J5629" s="16" t="s">
        <v>17110</v>
      </c>
      <c r="K5629" s="32" t="n">
        <v>1</v>
      </c>
      <c r="L5629" s="33" t="n">
        <v>46350</v>
      </c>
      <c r="M5629" s="33" t="n">
        <v>46350</v>
      </c>
      <c r="N5629" s="16" t="s">
        <v>17122</v>
      </c>
      <c r="O5629" s="16"/>
      <c r="P5629" s="16" t="str">
        <f aca="false">IF(AND(L5629&lt;=$D$2,M5629&gt;=$C$2),"Sí","")</f>
        <v/>
      </c>
      <c r="Q5629" s="18" t="str">
        <f aca="false">IF(COUNTIF(LOOKAHEAD!$A$5:$A$604,A5629)&gt;0,"En Lookahead",IF(P5629="Sí","INCORPORAR",""))</f>
        <v/>
      </c>
    </row>
    <row r="5630" customFormat="false" ht="15" hidden="false" customHeight="false" outlineLevel="0" collapsed="false">
      <c r="A5630" s="16" t="s">
        <v>17123</v>
      </c>
      <c r="B5630" s="16" t="n">
        <v>5625</v>
      </c>
      <c r="C5630" s="16" t="s">
        <v>17124</v>
      </c>
      <c r="D5630" s="16" t="n">
        <v>6</v>
      </c>
      <c r="E5630" s="35" t="s">
        <v>17125</v>
      </c>
      <c r="F5630" s="16" t="s">
        <v>1285</v>
      </c>
      <c r="G5630" s="16" t="s">
        <v>1169</v>
      </c>
      <c r="H5630" s="16" t="s">
        <v>17093</v>
      </c>
      <c r="I5630" s="16" t="s">
        <v>136</v>
      </c>
      <c r="J5630" s="16" t="s">
        <v>17110</v>
      </c>
      <c r="K5630" s="32" t="n">
        <v>1</v>
      </c>
      <c r="L5630" s="33" t="n">
        <v>46351</v>
      </c>
      <c r="M5630" s="33" t="n">
        <v>46351</v>
      </c>
      <c r="N5630" s="16" t="s">
        <v>17126</v>
      </c>
      <c r="O5630" s="16"/>
      <c r="P5630" s="16" t="str">
        <f aca="false">IF(AND(L5630&lt;=$D$2,M5630&gt;=$C$2),"Sí","")</f>
        <v/>
      </c>
      <c r="Q5630" s="18" t="str">
        <f aca="false">IF(COUNTIF(LOOKAHEAD!$A$5:$A$604,A5630)&gt;0,"En Lookahead",IF(P5630="Sí","INCORPORAR",""))</f>
        <v/>
      </c>
    </row>
    <row r="5631" customFormat="false" ht="15" hidden="false" customHeight="false" outlineLevel="0" collapsed="false">
      <c r="A5631" s="16" t="s">
        <v>17127</v>
      </c>
      <c r="B5631" s="16" t="n">
        <v>5626</v>
      </c>
      <c r="C5631" s="16" t="s">
        <v>17128</v>
      </c>
      <c r="D5631" s="16" t="n">
        <v>6</v>
      </c>
      <c r="E5631" s="35" t="s">
        <v>17129</v>
      </c>
      <c r="F5631" s="16" t="s">
        <v>1285</v>
      </c>
      <c r="G5631" s="16" t="s">
        <v>1169</v>
      </c>
      <c r="H5631" s="16" t="s">
        <v>17093</v>
      </c>
      <c r="I5631" s="16" t="s">
        <v>136</v>
      </c>
      <c r="J5631" s="16" t="s">
        <v>17110</v>
      </c>
      <c r="K5631" s="32" t="n">
        <v>1</v>
      </c>
      <c r="L5631" s="33" t="n">
        <v>46352</v>
      </c>
      <c r="M5631" s="33" t="n">
        <v>46352</v>
      </c>
      <c r="N5631" s="16" t="s">
        <v>17130</v>
      </c>
      <c r="O5631" s="16"/>
      <c r="P5631" s="16" t="str">
        <f aca="false">IF(AND(L5631&lt;=$D$2,M5631&gt;=$C$2),"Sí","")</f>
        <v/>
      </c>
      <c r="Q5631" s="18" t="str">
        <f aca="false">IF(COUNTIF(LOOKAHEAD!$A$5:$A$604,A5631)&gt;0,"En Lookahead",IF(P5631="Sí","INCORPORAR",""))</f>
        <v/>
      </c>
    </row>
    <row r="5632" customFormat="false" ht="15" hidden="false" customHeight="false" outlineLevel="0" collapsed="false">
      <c r="A5632" s="16" t="s">
        <v>17131</v>
      </c>
      <c r="B5632" s="16" t="n">
        <v>5627</v>
      </c>
      <c r="C5632" s="16" t="s">
        <v>17132</v>
      </c>
      <c r="D5632" s="16" t="n">
        <v>6</v>
      </c>
      <c r="E5632" s="35" t="s">
        <v>17133</v>
      </c>
      <c r="F5632" s="16" t="s">
        <v>1285</v>
      </c>
      <c r="G5632" s="16" t="s">
        <v>1169</v>
      </c>
      <c r="H5632" s="16" t="s">
        <v>17093</v>
      </c>
      <c r="I5632" s="16" t="s">
        <v>136</v>
      </c>
      <c r="J5632" s="16" t="s">
        <v>17110</v>
      </c>
      <c r="K5632" s="32" t="n">
        <v>1</v>
      </c>
      <c r="L5632" s="33" t="n">
        <v>46353</v>
      </c>
      <c r="M5632" s="33" t="n">
        <v>46353</v>
      </c>
      <c r="N5632" s="16" t="s">
        <v>17134</v>
      </c>
      <c r="O5632" s="16"/>
      <c r="P5632" s="16" t="str">
        <f aca="false">IF(AND(L5632&lt;=$D$2,M5632&gt;=$C$2),"Sí","")</f>
        <v/>
      </c>
      <c r="Q5632" s="18" t="str">
        <f aca="false">IF(COUNTIF(LOOKAHEAD!$A$5:$A$604,A5632)&gt;0,"En Lookahead",IF(P5632="Sí","INCORPORAR",""))</f>
        <v/>
      </c>
    </row>
    <row r="5633" customFormat="false" ht="15" hidden="false" customHeight="false" outlineLevel="0" collapsed="false">
      <c r="A5633" s="16" t="s">
        <v>17135</v>
      </c>
      <c r="B5633" s="16" t="n">
        <v>5628</v>
      </c>
      <c r="C5633" s="16" t="s">
        <v>17136</v>
      </c>
      <c r="D5633" s="16" t="n">
        <v>6</v>
      </c>
      <c r="E5633" s="35" t="s">
        <v>17137</v>
      </c>
      <c r="F5633" s="16" t="s">
        <v>1285</v>
      </c>
      <c r="G5633" s="16" t="s">
        <v>1169</v>
      </c>
      <c r="H5633" s="16" t="s">
        <v>17093</v>
      </c>
      <c r="I5633" s="16" t="s">
        <v>136</v>
      </c>
      <c r="J5633" s="16" t="s">
        <v>17110</v>
      </c>
      <c r="K5633" s="32" t="n">
        <v>1</v>
      </c>
      <c r="L5633" s="33" t="n">
        <v>46354</v>
      </c>
      <c r="M5633" s="33" t="n">
        <v>46354</v>
      </c>
      <c r="N5633" s="16" t="s">
        <v>17138</v>
      </c>
      <c r="O5633" s="16"/>
      <c r="P5633" s="16" t="str">
        <f aca="false">IF(AND(L5633&lt;=$D$2,M5633&gt;=$C$2),"Sí","")</f>
        <v/>
      </c>
      <c r="Q5633" s="18" t="str">
        <f aca="false">IF(COUNTIF(LOOKAHEAD!$A$5:$A$604,A5633)&gt;0,"En Lookahead",IF(P5633="Sí","INCORPORAR",""))</f>
        <v/>
      </c>
    </row>
    <row r="5634" customFormat="false" ht="15" hidden="false" customHeight="false" outlineLevel="0" collapsed="false">
      <c r="A5634" s="16" t="s">
        <v>17139</v>
      </c>
      <c r="B5634" s="16" t="n">
        <v>5629</v>
      </c>
      <c r="C5634" s="16" t="s">
        <v>17140</v>
      </c>
      <c r="D5634" s="16" t="n">
        <v>6</v>
      </c>
      <c r="E5634" s="35" t="s">
        <v>17141</v>
      </c>
      <c r="F5634" s="16" t="s">
        <v>1285</v>
      </c>
      <c r="G5634" s="16" t="s">
        <v>1169</v>
      </c>
      <c r="H5634" s="16" t="s">
        <v>17093</v>
      </c>
      <c r="I5634" s="16" t="s">
        <v>136</v>
      </c>
      <c r="J5634" s="16" t="s">
        <v>17110</v>
      </c>
      <c r="K5634" s="32" t="n">
        <v>1</v>
      </c>
      <c r="L5634" s="33" t="n">
        <v>46355</v>
      </c>
      <c r="M5634" s="33" t="n">
        <v>46355</v>
      </c>
      <c r="N5634" s="16" t="s">
        <v>17142</v>
      </c>
      <c r="O5634" s="16"/>
      <c r="P5634" s="16" t="str">
        <f aca="false">IF(AND(L5634&lt;=$D$2,M5634&gt;=$C$2),"Sí","")</f>
        <v/>
      </c>
      <c r="Q5634" s="18" t="str">
        <f aca="false">IF(COUNTIF(LOOKAHEAD!$A$5:$A$604,A5634)&gt;0,"En Lookahead",IF(P5634="Sí","INCORPORAR",""))</f>
        <v/>
      </c>
    </row>
    <row r="5635" customFormat="false" ht="15" hidden="false" customHeight="false" outlineLevel="0" collapsed="false">
      <c r="A5635" s="16" t="s">
        <v>17143</v>
      </c>
      <c r="B5635" s="16" t="n">
        <v>5630</v>
      </c>
      <c r="C5635" s="16" t="s">
        <v>17144</v>
      </c>
      <c r="D5635" s="16" t="n">
        <v>6</v>
      </c>
      <c r="E5635" s="35" t="s">
        <v>17145</v>
      </c>
      <c r="F5635" s="16" t="s">
        <v>1285</v>
      </c>
      <c r="G5635" s="16" t="s">
        <v>1169</v>
      </c>
      <c r="H5635" s="16" t="s">
        <v>17093</v>
      </c>
      <c r="I5635" s="16" t="s">
        <v>136</v>
      </c>
      <c r="J5635" s="16" t="s">
        <v>17110</v>
      </c>
      <c r="K5635" s="32" t="n">
        <v>1</v>
      </c>
      <c r="L5635" s="33" t="n">
        <v>46356</v>
      </c>
      <c r="M5635" s="33" t="n">
        <v>46356</v>
      </c>
      <c r="N5635" s="16" t="s">
        <v>17146</v>
      </c>
      <c r="O5635" s="16"/>
      <c r="P5635" s="16" t="str">
        <f aca="false">IF(AND(L5635&lt;=$D$2,M5635&gt;=$C$2),"Sí","")</f>
        <v/>
      </c>
      <c r="Q5635" s="18" t="str">
        <f aca="false">IF(COUNTIF(LOOKAHEAD!$A$5:$A$604,A5635)&gt;0,"En Lookahead",IF(P5635="Sí","INCORPORAR",""))</f>
        <v/>
      </c>
    </row>
    <row r="5636" customFormat="false" ht="15" hidden="false" customHeight="false" outlineLevel="0" collapsed="false">
      <c r="A5636" s="16" t="s">
        <v>17147</v>
      </c>
      <c r="B5636" s="16" t="n">
        <v>5631</v>
      </c>
      <c r="C5636" s="16" t="s">
        <v>17148</v>
      </c>
      <c r="D5636" s="16" t="n">
        <v>6</v>
      </c>
      <c r="E5636" s="35" t="s">
        <v>17149</v>
      </c>
      <c r="F5636" s="16" t="s">
        <v>1285</v>
      </c>
      <c r="G5636" s="16" t="s">
        <v>1169</v>
      </c>
      <c r="H5636" s="16" t="s">
        <v>17093</v>
      </c>
      <c r="I5636" s="16" t="s">
        <v>136</v>
      </c>
      <c r="J5636" s="16" t="s">
        <v>17110</v>
      </c>
      <c r="K5636" s="32" t="n">
        <v>1</v>
      </c>
      <c r="L5636" s="33" t="n">
        <v>46357</v>
      </c>
      <c r="M5636" s="33" t="n">
        <v>46357</v>
      </c>
      <c r="N5636" s="16" t="s">
        <v>17150</v>
      </c>
      <c r="O5636" s="16"/>
      <c r="P5636" s="16" t="str">
        <f aca="false">IF(AND(L5636&lt;=$D$2,M5636&gt;=$C$2),"Sí","")</f>
        <v/>
      </c>
      <c r="Q5636" s="18" t="str">
        <f aca="false">IF(COUNTIF(LOOKAHEAD!$A$5:$A$604,A5636)&gt;0,"En Lookahead",IF(P5636="Sí","INCORPORAR",""))</f>
        <v/>
      </c>
    </row>
    <row r="5637" customFormat="false" ht="15" hidden="false" customHeight="false" outlineLevel="0" collapsed="false">
      <c r="A5637" s="16" t="s">
        <v>17151</v>
      </c>
      <c r="B5637" s="16" t="n">
        <v>5632</v>
      </c>
      <c r="C5637" s="16" t="s">
        <v>17152</v>
      </c>
      <c r="D5637" s="16" t="n">
        <v>6</v>
      </c>
      <c r="E5637" s="35" t="s">
        <v>17153</v>
      </c>
      <c r="F5637" s="16" t="s">
        <v>1285</v>
      </c>
      <c r="G5637" s="16" t="s">
        <v>1169</v>
      </c>
      <c r="H5637" s="16" t="s">
        <v>17093</v>
      </c>
      <c r="I5637" s="16" t="s">
        <v>136</v>
      </c>
      <c r="J5637" s="16" t="s">
        <v>17110</v>
      </c>
      <c r="K5637" s="32" t="n">
        <v>1</v>
      </c>
      <c r="L5637" s="33" t="n">
        <v>46358</v>
      </c>
      <c r="M5637" s="33" t="n">
        <v>46358</v>
      </c>
      <c r="N5637" s="16" t="s">
        <v>17154</v>
      </c>
      <c r="O5637" s="16"/>
      <c r="P5637" s="16" t="str">
        <f aca="false">IF(AND(L5637&lt;=$D$2,M5637&gt;=$C$2),"Sí","")</f>
        <v/>
      </c>
      <c r="Q5637" s="18" t="str">
        <f aca="false">IF(COUNTIF(LOOKAHEAD!$A$5:$A$604,A5637)&gt;0,"En Lookahead",IF(P5637="Sí","INCORPORAR",""))</f>
        <v/>
      </c>
    </row>
    <row r="5638" customFormat="false" ht="15" hidden="false" customHeight="false" outlineLevel="0" collapsed="false">
      <c r="A5638" s="16" t="s">
        <v>17155</v>
      </c>
      <c r="B5638" s="16" t="n">
        <v>5633</v>
      </c>
      <c r="C5638" s="16" t="s">
        <v>17156</v>
      </c>
      <c r="D5638" s="16" t="n">
        <v>6</v>
      </c>
      <c r="E5638" s="35" t="s">
        <v>17157</v>
      </c>
      <c r="F5638" s="16" t="s">
        <v>1285</v>
      </c>
      <c r="G5638" s="16" t="s">
        <v>1169</v>
      </c>
      <c r="H5638" s="16" t="s">
        <v>17093</v>
      </c>
      <c r="I5638" s="16" t="s">
        <v>136</v>
      </c>
      <c r="J5638" s="16" t="s">
        <v>17110</v>
      </c>
      <c r="K5638" s="32" t="n">
        <v>1</v>
      </c>
      <c r="L5638" s="33" t="n">
        <v>46359</v>
      </c>
      <c r="M5638" s="33" t="n">
        <v>46359</v>
      </c>
      <c r="N5638" s="16" t="s">
        <v>17158</v>
      </c>
      <c r="O5638" s="16"/>
      <c r="P5638" s="16" t="str">
        <f aca="false">IF(AND(L5638&lt;=$D$2,M5638&gt;=$C$2),"Sí","")</f>
        <v/>
      </c>
      <c r="Q5638" s="18" t="str">
        <f aca="false">IF(COUNTIF(LOOKAHEAD!$A$5:$A$604,A5638)&gt;0,"En Lookahead",IF(P5638="Sí","INCORPORAR",""))</f>
        <v/>
      </c>
    </row>
    <row r="5639" customFormat="false" ht="15" hidden="false" customHeight="false" outlineLevel="0" collapsed="false">
      <c r="A5639" s="16" t="s">
        <v>17159</v>
      </c>
      <c r="B5639" s="16" t="n">
        <v>5634</v>
      </c>
      <c r="C5639" s="16" t="s">
        <v>17160</v>
      </c>
      <c r="D5639" s="16" t="n">
        <v>6</v>
      </c>
      <c r="E5639" s="35" t="s">
        <v>17161</v>
      </c>
      <c r="F5639" s="16" t="s">
        <v>1285</v>
      </c>
      <c r="G5639" s="16" t="s">
        <v>1169</v>
      </c>
      <c r="H5639" s="16" t="s">
        <v>17093</v>
      </c>
      <c r="I5639" s="16" t="s">
        <v>136</v>
      </c>
      <c r="J5639" s="16" t="s">
        <v>17110</v>
      </c>
      <c r="K5639" s="32" t="n">
        <v>1</v>
      </c>
      <c r="L5639" s="33" t="n">
        <v>46360</v>
      </c>
      <c r="M5639" s="33" t="n">
        <v>46360</v>
      </c>
      <c r="N5639" s="16" t="s">
        <v>17162</v>
      </c>
      <c r="O5639" s="16"/>
      <c r="P5639" s="16" t="str">
        <f aca="false">IF(AND(L5639&lt;=$D$2,M5639&gt;=$C$2),"Sí","")</f>
        <v/>
      </c>
      <c r="Q5639" s="18" t="str">
        <f aca="false">IF(COUNTIF(LOOKAHEAD!$A$5:$A$604,A5639)&gt;0,"En Lookahead",IF(P5639="Sí","INCORPORAR",""))</f>
        <v/>
      </c>
    </row>
    <row r="5640" customFormat="false" ht="15" hidden="false" customHeight="false" outlineLevel="0" collapsed="false">
      <c r="A5640" s="16" t="s">
        <v>17163</v>
      </c>
      <c r="B5640" s="16" t="n">
        <v>5635</v>
      </c>
      <c r="C5640" s="16" t="s">
        <v>17164</v>
      </c>
      <c r="D5640" s="16" t="n">
        <v>6</v>
      </c>
      <c r="E5640" s="35" t="s">
        <v>17165</v>
      </c>
      <c r="F5640" s="16" t="s">
        <v>1285</v>
      </c>
      <c r="G5640" s="16" t="s">
        <v>1169</v>
      </c>
      <c r="H5640" s="16" t="s">
        <v>17093</v>
      </c>
      <c r="I5640" s="16" t="s">
        <v>136</v>
      </c>
      <c r="J5640" s="16" t="s">
        <v>17110</v>
      </c>
      <c r="K5640" s="32" t="n">
        <v>1</v>
      </c>
      <c r="L5640" s="33" t="n">
        <v>46361</v>
      </c>
      <c r="M5640" s="33" t="n">
        <v>46361</v>
      </c>
      <c r="N5640" s="16" t="s">
        <v>17166</v>
      </c>
      <c r="O5640" s="16"/>
      <c r="P5640" s="16" t="str">
        <f aca="false">IF(AND(L5640&lt;=$D$2,M5640&gt;=$C$2),"Sí","")</f>
        <v/>
      </c>
      <c r="Q5640" s="18" t="str">
        <f aca="false">IF(COUNTIF(LOOKAHEAD!$A$5:$A$604,A5640)&gt;0,"En Lookahead",IF(P5640="Sí","INCORPORAR",""))</f>
        <v/>
      </c>
    </row>
    <row r="5641" customFormat="false" ht="15" hidden="false" customHeight="false" outlineLevel="0" collapsed="false">
      <c r="A5641" s="16" t="s">
        <v>17167</v>
      </c>
      <c r="B5641" s="16" t="n">
        <v>5636</v>
      </c>
      <c r="C5641" s="16" t="s">
        <v>17168</v>
      </c>
      <c r="D5641" s="16" t="n">
        <v>6</v>
      </c>
      <c r="E5641" s="35" t="s">
        <v>17169</v>
      </c>
      <c r="F5641" s="16" t="s">
        <v>1285</v>
      </c>
      <c r="G5641" s="16" t="s">
        <v>1169</v>
      </c>
      <c r="H5641" s="16" t="s">
        <v>17093</v>
      </c>
      <c r="I5641" s="16" t="s">
        <v>136</v>
      </c>
      <c r="J5641" s="16" t="s">
        <v>17110</v>
      </c>
      <c r="K5641" s="32" t="n">
        <v>1</v>
      </c>
      <c r="L5641" s="33" t="n">
        <v>46362</v>
      </c>
      <c r="M5641" s="33" t="n">
        <v>46362</v>
      </c>
      <c r="N5641" s="16" t="s">
        <v>17170</v>
      </c>
      <c r="O5641" s="16"/>
      <c r="P5641" s="16" t="str">
        <f aca="false">IF(AND(L5641&lt;=$D$2,M5641&gt;=$C$2),"Sí","")</f>
        <v/>
      </c>
      <c r="Q5641" s="18" t="str">
        <f aca="false">IF(COUNTIF(LOOKAHEAD!$A$5:$A$604,A5641)&gt;0,"En Lookahead",IF(P5641="Sí","INCORPORAR",""))</f>
        <v/>
      </c>
    </row>
    <row r="5642" customFormat="false" ht="15" hidden="false" customHeight="false" outlineLevel="0" collapsed="false">
      <c r="A5642" s="13" t="s">
        <v>17171</v>
      </c>
      <c r="B5642" s="13" t="n">
        <v>5637</v>
      </c>
      <c r="C5642" s="13" t="s">
        <v>17172</v>
      </c>
      <c r="D5642" s="13" t="n">
        <v>4</v>
      </c>
      <c r="E5642" s="20" t="s">
        <v>17173</v>
      </c>
      <c r="F5642" s="13" t="s">
        <v>1298</v>
      </c>
      <c r="G5642" s="13" t="s">
        <v>1169</v>
      </c>
      <c r="H5642" s="13" t="s">
        <v>17173</v>
      </c>
      <c r="I5642" s="13" t="s">
        <v>136</v>
      </c>
      <c r="J5642" s="13" t="s">
        <v>16322</v>
      </c>
      <c r="K5642" s="30" t="n">
        <v>1</v>
      </c>
      <c r="L5642" s="31" t="n">
        <v>46363</v>
      </c>
      <c r="M5642" s="31" t="n">
        <v>46363</v>
      </c>
      <c r="N5642" s="13"/>
      <c r="O5642" s="13"/>
      <c r="P5642" s="13"/>
      <c r="Q5642" s="13"/>
    </row>
    <row r="5643" customFormat="false" ht="15" hidden="false" customHeight="false" outlineLevel="0" collapsed="false">
      <c r="A5643" s="13" t="s">
        <v>17174</v>
      </c>
      <c r="B5643" s="13" t="n">
        <v>5638</v>
      </c>
      <c r="C5643" s="13" t="s">
        <v>17175</v>
      </c>
      <c r="D5643" s="13" t="n">
        <v>5</v>
      </c>
      <c r="E5643" s="34" t="s">
        <v>17176</v>
      </c>
      <c r="F5643" s="13" t="s">
        <v>1298</v>
      </c>
      <c r="G5643" s="13" t="s">
        <v>1169</v>
      </c>
      <c r="H5643" s="13" t="s">
        <v>17173</v>
      </c>
      <c r="I5643" s="13" t="s">
        <v>136</v>
      </c>
      <c r="J5643" s="13" t="s">
        <v>17173</v>
      </c>
      <c r="K5643" s="30" t="n">
        <v>1</v>
      </c>
      <c r="L5643" s="31" t="n">
        <v>46363</v>
      </c>
      <c r="M5643" s="31" t="n">
        <v>46363</v>
      </c>
      <c r="N5643" s="13"/>
      <c r="O5643" s="13"/>
      <c r="P5643" s="13"/>
      <c r="Q5643" s="13"/>
    </row>
    <row r="5644" customFormat="false" ht="15" hidden="false" customHeight="false" outlineLevel="0" collapsed="false">
      <c r="A5644" s="16" t="s">
        <v>17177</v>
      </c>
      <c r="B5644" s="16" t="n">
        <v>5639</v>
      </c>
      <c r="C5644" s="16" t="s">
        <v>17178</v>
      </c>
      <c r="D5644" s="16" t="n">
        <v>6</v>
      </c>
      <c r="E5644" s="35" t="s">
        <v>17179</v>
      </c>
      <c r="F5644" s="16" t="s">
        <v>1285</v>
      </c>
      <c r="G5644" s="16" t="s">
        <v>1169</v>
      </c>
      <c r="H5644" s="16" t="s">
        <v>17173</v>
      </c>
      <c r="I5644" s="16" t="s">
        <v>136</v>
      </c>
      <c r="J5644" s="16" t="s">
        <v>17176</v>
      </c>
      <c r="K5644" s="32" t="n">
        <v>1</v>
      </c>
      <c r="L5644" s="33" t="n">
        <v>46363</v>
      </c>
      <c r="M5644" s="33" t="n">
        <v>46363</v>
      </c>
      <c r="N5644" s="16" t="s">
        <v>17180</v>
      </c>
      <c r="O5644" s="16"/>
      <c r="P5644" s="16" t="str">
        <f aca="false">IF(AND(L5644&lt;=$D$2,M5644&gt;=$C$2),"Sí","")</f>
        <v/>
      </c>
      <c r="Q5644" s="18" t="str">
        <f aca="false">IF(COUNTIF(LOOKAHEAD!$A$5:$A$604,A5644)&gt;0,"En Lookahead",IF(P5644="Sí","INCORPORAR",""))</f>
        <v/>
      </c>
    </row>
    <row r="5645" customFormat="false" ht="15" hidden="false" customHeight="false" outlineLevel="0" collapsed="false">
      <c r="A5645" s="13" t="s">
        <v>17181</v>
      </c>
      <c r="B5645" s="13" t="n">
        <v>5640</v>
      </c>
      <c r="C5645" s="13" t="s">
        <v>17182</v>
      </c>
      <c r="D5645" s="13" t="n">
        <v>4</v>
      </c>
      <c r="E5645" s="20" t="s">
        <v>17183</v>
      </c>
      <c r="F5645" s="13" t="s">
        <v>1298</v>
      </c>
      <c r="G5645" s="13" t="s">
        <v>1169</v>
      </c>
      <c r="H5645" s="13" t="s">
        <v>17183</v>
      </c>
      <c r="I5645" s="13" t="s">
        <v>136</v>
      </c>
      <c r="J5645" s="13" t="s">
        <v>16322</v>
      </c>
      <c r="K5645" s="30" t="n">
        <v>178</v>
      </c>
      <c r="L5645" s="31" t="n">
        <v>46095</v>
      </c>
      <c r="M5645" s="31" t="n">
        <v>46352</v>
      </c>
      <c r="N5645" s="13"/>
      <c r="O5645" s="13"/>
      <c r="P5645" s="13"/>
      <c r="Q5645" s="13"/>
    </row>
    <row r="5646" customFormat="false" ht="15" hidden="false" customHeight="false" outlineLevel="0" collapsed="false">
      <c r="A5646" s="13" t="s">
        <v>17184</v>
      </c>
      <c r="B5646" s="13" t="n">
        <v>5641</v>
      </c>
      <c r="C5646" s="13" t="s">
        <v>17185</v>
      </c>
      <c r="D5646" s="13" t="n">
        <v>5</v>
      </c>
      <c r="E5646" s="34" t="s">
        <v>17186</v>
      </c>
      <c r="F5646" s="13" t="s">
        <v>1298</v>
      </c>
      <c r="G5646" s="13" t="s">
        <v>1169</v>
      </c>
      <c r="H5646" s="13" t="s">
        <v>17183</v>
      </c>
      <c r="I5646" s="13" t="s">
        <v>136</v>
      </c>
      <c r="J5646" s="13" t="s">
        <v>17183</v>
      </c>
      <c r="K5646" s="30" t="n">
        <v>178</v>
      </c>
      <c r="L5646" s="31" t="n">
        <v>46095</v>
      </c>
      <c r="M5646" s="31" t="n">
        <v>46352</v>
      </c>
      <c r="N5646" s="13"/>
      <c r="O5646" s="13"/>
      <c r="P5646" s="13"/>
      <c r="Q5646" s="13"/>
    </row>
    <row r="5647" customFormat="false" ht="15" hidden="false" customHeight="false" outlineLevel="0" collapsed="false">
      <c r="A5647" s="16" t="s">
        <v>17187</v>
      </c>
      <c r="B5647" s="16" t="n">
        <v>5642</v>
      </c>
      <c r="C5647" s="16" t="s">
        <v>17188</v>
      </c>
      <c r="D5647" s="16" t="n">
        <v>6</v>
      </c>
      <c r="E5647" s="35" t="s">
        <v>17189</v>
      </c>
      <c r="F5647" s="16" t="s">
        <v>1285</v>
      </c>
      <c r="G5647" s="16" t="s">
        <v>1169</v>
      </c>
      <c r="H5647" s="16" t="s">
        <v>17183</v>
      </c>
      <c r="I5647" s="16" t="s">
        <v>136</v>
      </c>
      <c r="J5647" s="16" t="s">
        <v>17186</v>
      </c>
      <c r="K5647" s="32" t="n">
        <v>2</v>
      </c>
      <c r="L5647" s="33" t="n">
        <v>46118</v>
      </c>
      <c r="M5647" s="33" t="n">
        <v>46119</v>
      </c>
      <c r="N5647" s="16" t="s">
        <v>17190</v>
      </c>
      <c r="O5647" s="16"/>
      <c r="P5647" s="16" t="str">
        <f aca="false">IF(AND(L5647&lt;=$D$2,M5647&gt;=$C$2),"Sí","")</f>
        <v/>
      </c>
      <c r="Q5647" s="18" t="str">
        <f aca="false">IF(COUNTIF(LOOKAHEAD!$A$5:$A$604,A5647)&gt;0,"En Lookahead",IF(P5647="Sí","INCORPORAR",""))</f>
        <v/>
      </c>
    </row>
    <row r="5648" customFormat="false" ht="15" hidden="false" customHeight="false" outlineLevel="0" collapsed="false">
      <c r="A5648" s="16" t="s">
        <v>17191</v>
      </c>
      <c r="B5648" s="16" t="n">
        <v>5643</v>
      </c>
      <c r="C5648" s="16" t="s">
        <v>17192</v>
      </c>
      <c r="D5648" s="16" t="n">
        <v>6</v>
      </c>
      <c r="E5648" s="35" t="s">
        <v>17193</v>
      </c>
      <c r="F5648" s="16" t="s">
        <v>1285</v>
      </c>
      <c r="G5648" s="16" t="s">
        <v>1169</v>
      </c>
      <c r="H5648" s="16" t="s">
        <v>17183</v>
      </c>
      <c r="I5648" s="16" t="s">
        <v>136</v>
      </c>
      <c r="J5648" s="16" t="s">
        <v>17186</v>
      </c>
      <c r="K5648" s="32" t="n">
        <v>23</v>
      </c>
      <c r="L5648" s="33" t="n">
        <v>46118</v>
      </c>
      <c r="M5648" s="33" t="n">
        <v>46140</v>
      </c>
      <c r="N5648" s="16" t="s">
        <v>17194</v>
      </c>
      <c r="O5648" s="16"/>
      <c r="P5648" s="16" t="str">
        <f aca="false">IF(AND(L5648&lt;=$D$2,M5648&gt;=$C$2),"Sí","")</f>
        <v/>
      </c>
      <c r="Q5648" s="18" t="str">
        <f aca="false">IF(COUNTIF(LOOKAHEAD!$A$5:$A$604,A5648)&gt;0,"En Lookahead",IF(P5648="Sí","INCORPORAR",""))</f>
        <v/>
      </c>
    </row>
    <row r="5649" customFormat="false" ht="15" hidden="false" customHeight="false" outlineLevel="0" collapsed="false">
      <c r="A5649" s="16" t="s">
        <v>17195</v>
      </c>
      <c r="B5649" s="16" t="n">
        <v>5644</v>
      </c>
      <c r="C5649" s="16" t="s">
        <v>17196</v>
      </c>
      <c r="D5649" s="16" t="n">
        <v>6</v>
      </c>
      <c r="E5649" s="35" t="s">
        <v>17197</v>
      </c>
      <c r="F5649" s="16" t="s">
        <v>1285</v>
      </c>
      <c r="G5649" s="16" t="s">
        <v>1169</v>
      </c>
      <c r="H5649" s="16" t="s">
        <v>17183</v>
      </c>
      <c r="I5649" s="16" t="s">
        <v>136</v>
      </c>
      <c r="J5649" s="16" t="s">
        <v>17186</v>
      </c>
      <c r="K5649" s="32" t="n">
        <v>7</v>
      </c>
      <c r="L5649" s="33" t="n">
        <v>46141</v>
      </c>
      <c r="M5649" s="33" t="n">
        <v>46147</v>
      </c>
      <c r="N5649" s="16" t="s">
        <v>17198</v>
      </c>
      <c r="O5649" s="16"/>
      <c r="P5649" s="16" t="str">
        <f aca="false">IF(AND(L5649&lt;=$D$2,M5649&gt;=$C$2),"Sí","")</f>
        <v/>
      </c>
      <c r="Q5649" s="18" t="str">
        <f aca="false">IF(COUNTIF(LOOKAHEAD!$A$5:$A$604,A5649)&gt;0,"En Lookahead",IF(P5649="Sí","INCORPORAR",""))</f>
        <v/>
      </c>
    </row>
    <row r="5650" customFormat="false" ht="15" hidden="false" customHeight="false" outlineLevel="0" collapsed="false">
      <c r="A5650" s="16" t="s">
        <v>17199</v>
      </c>
      <c r="B5650" s="16" t="n">
        <v>5645</v>
      </c>
      <c r="C5650" s="16" t="s">
        <v>17200</v>
      </c>
      <c r="D5650" s="16" t="n">
        <v>6</v>
      </c>
      <c r="E5650" s="35" t="s">
        <v>17201</v>
      </c>
      <c r="F5650" s="16" t="s">
        <v>1285</v>
      </c>
      <c r="G5650" s="16" t="s">
        <v>1169</v>
      </c>
      <c r="H5650" s="16" t="s">
        <v>17183</v>
      </c>
      <c r="I5650" s="16" t="s">
        <v>136</v>
      </c>
      <c r="J5650" s="16" t="s">
        <v>17186</v>
      </c>
      <c r="K5650" s="32" t="n">
        <v>1</v>
      </c>
      <c r="L5650" s="33" t="n">
        <v>46095</v>
      </c>
      <c r="M5650" s="33" t="n">
        <v>46095</v>
      </c>
      <c r="N5650" s="16" t="s">
        <v>16462</v>
      </c>
      <c r="O5650" s="16"/>
      <c r="P5650" s="16" t="str">
        <f aca="false">IF(AND(L5650&lt;=$D$2,M5650&gt;=$C$2),"Sí","")</f>
        <v/>
      </c>
      <c r="Q5650" s="18" t="str">
        <f aca="false">IF(COUNTIF(LOOKAHEAD!$A$5:$A$604,A5650)&gt;0,"En Lookahead",IF(P5650="Sí","INCORPORAR",""))</f>
        <v/>
      </c>
    </row>
    <row r="5651" customFormat="false" ht="15" hidden="false" customHeight="false" outlineLevel="0" collapsed="false">
      <c r="A5651" s="16" t="s">
        <v>17202</v>
      </c>
      <c r="B5651" s="16" t="n">
        <v>5646</v>
      </c>
      <c r="C5651" s="16" t="s">
        <v>17203</v>
      </c>
      <c r="D5651" s="16" t="n">
        <v>6</v>
      </c>
      <c r="E5651" s="35" t="s">
        <v>17204</v>
      </c>
      <c r="F5651" s="16" t="s">
        <v>1285</v>
      </c>
      <c r="G5651" s="16" t="s">
        <v>1169</v>
      </c>
      <c r="H5651" s="16" t="s">
        <v>17183</v>
      </c>
      <c r="I5651" s="16" t="s">
        <v>136</v>
      </c>
      <c r="J5651" s="16" t="s">
        <v>17186</v>
      </c>
      <c r="K5651" s="32" t="n">
        <v>5</v>
      </c>
      <c r="L5651" s="33" t="n">
        <v>46097</v>
      </c>
      <c r="M5651" s="33" t="n">
        <v>46101</v>
      </c>
      <c r="N5651" s="16" t="s">
        <v>16466</v>
      </c>
      <c r="O5651" s="16"/>
      <c r="P5651" s="16" t="str">
        <f aca="false">IF(AND(L5651&lt;=$D$2,M5651&gt;=$C$2),"Sí","")</f>
        <v/>
      </c>
      <c r="Q5651" s="18" t="str">
        <f aca="false">IF(COUNTIF(LOOKAHEAD!$A$5:$A$604,A5651)&gt;0,"En Lookahead",IF(P5651="Sí","INCORPORAR",""))</f>
        <v/>
      </c>
    </row>
    <row r="5652" customFormat="false" ht="15" hidden="false" customHeight="false" outlineLevel="0" collapsed="false">
      <c r="A5652" s="16" t="s">
        <v>17205</v>
      </c>
      <c r="B5652" s="16" t="n">
        <v>5647</v>
      </c>
      <c r="C5652" s="16" t="s">
        <v>17206</v>
      </c>
      <c r="D5652" s="16" t="n">
        <v>6</v>
      </c>
      <c r="E5652" s="35" t="s">
        <v>17207</v>
      </c>
      <c r="F5652" s="16" t="s">
        <v>1285</v>
      </c>
      <c r="G5652" s="16" t="s">
        <v>1169</v>
      </c>
      <c r="H5652" s="16" t="s">
        <v>17183</v>
      </c>
      <c r="I5652" s="16" t="s">
        <v>136</v>
      </c>
      <c r="J5652" s="16" t="s">
        <v>17186</v>
      </c>
      <c r="K5652" s="32" t="n">
        <v>2</v>
      </c>
      <c r="L5652" s="33" t="n">
        <v>46100</v>
      </c>
      <c r="M5652" s="33" t="n">
        <v>46101</v>
      </c>
      <c r="N5652" s="16" t="s">
        <v>16470</v>
      </c>
      <c r="O5652" s="16"/>
      <c r="P5652" s="16" t="str">
        <f aca="false">IF(AND(L5652&lt;=$D$2,M5652&gt;=$C$2),"Sí","")</f>
        <v/>
      </c>
      <c r="Q5652" s="18" t="str">
        <f aca="false">IF(COUNTIF(LOOKAHEAD!$A$5:$A$604,A5652)&gt;0,"En Lookahead",IF(P5652="Sí","INCORPORAR",""))</f>
        <v/>
      </c>
    </row>
    <row r="5653" customFormat="false" ht="15" hidden="false" customHeight="false" outlineLevel="0" collapsed="false">
      <c r="A5653" s="16" t="s">
        <v>17208</v>
      </c>
      <c r="B5653" s="16" t="n">
        <v>5648</v>
      </c>
      <c r="C5653" s="16" t="s">
        <v>17209</v>
      </c>
      <c r="D5653" s="16" t="n">
        <v>6</v>
      </c>
      <c r="E5653" s="35" t="s">
        <v>17210</v>
      </c>
      <c r="F5653" s="16" t="s">
        <v>1285</v>
      </c>
      <c r="G5653" s="16" t="s">
        <v>1169</v>
      </c>
      <c r="H5653" s="16" t="s">
        <v>17183</v>
      </c>
      <c r="I5653" s="16" t="s">
        <v>136</v>
      </c>
      <c r="J5653" s="16" t="s">
        <v>17186</v>
      </c>
      <c r="K5653" s="32" t="n">
        <v>1</v>
      </c>
      <c r="L5653" s="33" t="n">
        <v>46148</v>
      </c>
      <c r="M5653" s="33" t="n">
        <v>46148</v>
      </c>
      <c r="N5653" s="16" t="s">
        <v>17211</v>
      </c>
      <c r="O5653" s="16"/>
      <c r="P5653" s="16" t="str">
        <f aca="false">IF(AND(L5653&lt;=$D$2,M5653&gt;=$C$2),"Sí","")</f>
        <v/>
      </c>
      <c r="Q5653" s="18" t="str">
        <f aca="false">IF(COUNTIF(LOOKAHEAD!$A$5:$A$604,A5653)&gt;0,"En Lookahead",IF(P5653="Sí","INCORPORAR",""))</f>
        <v/>
      </c>
    </row>
    <row r="5654" customFormat="false" ht="15" hidden="false" customHeight="false" outlineLevel="0" collapsed="false">
      <c r="A5654" s="16" t="s">
        <v>17212</v>
      </c>
      <c r="B5654" s="16" t="n">
        <v>5649</v>
      </c>
      <c r="C5654" s="16" t="s">
        <v>17213</v>
      </c>
      <c r="D5654" s="16" t="n">
        <v>6</v>
      </c>
      <c r="E5654" s="35" t="s">
        <v>17214</v>
      </c>
      <c r="F5654" s="16" t="s">
        <v>1285</v>
      </c>
      <c r="G5654" s="16" t="s">
        <v>1169</v>
      </c>
      <c r="H5654" s="16" t="s">
        <v>17183</v>
      </c>
      <c r="I5654" s="16" t="s">
        <v>136</v>
      </c>
      <c r="J5654" s="16" t="s">
        <v>17186</v>
      </c>
      <c r="K5654" s="32" t="n">
        <v>1</v>
      </c>
      <c r="L5654" s="33" t="n">
        <v>46149</v>
      </c>
      <c r="M5654" s="33" t="n">
        <v>46149</v>
      </c>
      <c r="N5654" s="16" t="s">
        <v>17215</v>
      </c>
      <c r="O5654" s="16"/>
      <c r="P5654" s="16" t="str">
        <f aca="false">IF(AND(L5654&lt;=$D$2,M5654&gt;=$C$2),"Sí","")</f>
        <v/>
      </c>
      <c r="Q5654" s="18" t="str">
        <f aca="false">IF(COUNTIF(LOOKAHEAD!$A$5:$A$604,A5654)&gt;0,"En Lookahead",IF(P5654="Sí","INCORPORAR",""))</f>
        <v/>
      </c>
    </row>
    <row r="5655" customFormat="false" ht="15" hidden="false" customHeight="false" outlineLevel="0" collapsed="false">
      <c r="A5655" s="16" t="s">
        <v>17216</v>
      </c>
      <c r="B5655" s="16" t="n">
        <v>5650</v>
      </c>
      <c r="C5655" s="16" t="s">
        <v>17217</v>
      </c>
      <c r="D5655" s="16" t="n">
        <v>6</v>
      </c>
      <c r="E5655" s="35" t="s">
        <v>17218</v>
      </c>
      <c r="F5655" s="16" t="s">
        <v>1285</v>
      </c>
      <c r="G5655" s="16" t="s">
        <v>1169</v>
      </c>
      <c r="H5655" s="16" t="s">
        <v>17183</v>
      </c>
      <c r="I5655" s="16" t="s">
        <v>136</v>
      </c>
      <c r="J5655" s="16" t="s">
        <v>17186</v>
      </c>
      <c r="K5655" s="32" t="n">
        <v>1</v>
      </c>
      <c r="L5655" s="33" t="n">
        <v>46350</v>
      </c>
      <c r="M5655" s="33" t="n">
        <v>46350</v>
      </c>
      <c r="N5655" s="16" t="s">
        <v>17219</v>
      </c>
      <c r="O5655" s="16"/>
      <c r="P5655" s="16" t="str">
        <f aca="false">IF(AND(L5655&lt;=$D$2,M5655&gt;=$C$2),"Sí","")</f>
        <v/>
      </c>
      <c r="Q5655" s="18" t="str">
        <f aca="false">IF(COUNTIF(LOOKAHEAD!$A$5:$A$604,A5655)&gt;0,"En Lookahead",IF(P5655="Sí","INCORPORAR",""))</f>
        <v/>
      </c>
    </row>
    <row r="5656" customFormat="false" ht="15" hidden="false" customHeight="false" outlineLevel="0" collapsed="false">
      <c r="A5656" s="16" t="s">
        <v>17220</v>
      </c>
      <c r="B5656" s="16" t="n">
        <v>5651</v>
      </c>
      <c r="C5656" s="16" t="s">
        <v>17221</v>
      </c>
      <c r="D5656" s="16" t="n">
        <v>6</v>
      </c>
      <c r="E5656" s="35" t="s">
        <v>17222</v>
      </c>
      <c r="F5656" s="16" t="s">
        <v>1285</v>
      </c>
      <c r="G5656" s="16" t="s">
        <v>1169</v>
      </c>
      <c r="H5656" s="16" t="s">
        <v>17183</v>
      </c>
      <c r="I5656" s="16" t="s">
        <v>136</v>
      </c>
      <c r="J5656" s="16" t="s">
        <v>17186</v>
      </c>
      <c r="K5656" s="32" t="n">
        <v>1</v>
      </c>
      <c r="L5656" s="33" t="n">
        <v>46351</v>
      </c>
      <c r="M5656" s="33" t="n">
        <v>46351</v>
      </c>
      <c r="N5656" s="16" t="s">
        <v>17223</v>
      </c>
      <c r="O5656" s="16"/>
      <c r="P5656" s="16" t="str">
        <f aca="false">IF(AND(L5656&lt;=$D$2,M5656&gt;=$C$2),"Sí","")</f>
        <v/>
      </c>
      <c r="Q5656" s="18" t="str">
        <f aca="false">IF(COUNTIF(LOOKAHEAD!$A$5:$A$604,A5656)&gt;0,"En Lookahead",IF(P5656="Sí","INCORPORAR",""))</f>
        <v/>
      </c>
    </row>
    <row r="5657" customFormat="false" ht="15" hidden="false" customHeight="false" outlineLevel="0" collapsed="false">
      <c r="A5657" s="16" t="s">
        <v>17224</v>
      </c>
      <c r="B5657" s="16" t="n">
        <v>5652</v>
      </c>
      <c r="C5657" s="16" t="s">
        <v>17225</v>
      </c>
      <c r="D5657" s="16" t="n">
        <v>6</v>
      </c>
      <c r="E5657" s="35" t="s">
        <v>17058</v>
      </c>
      <c r="F5657" s="16" t="s">
        <v>1285</v>
      </c>
      <c r="G5657" s="16" t="s">
        <v>1169</v>
      </c>
      <c r="H5657" s="16" t="s">
        <v>17183</v>
      </c>
      <c r="I5657" s="16" t="s">
        <v>136</v>
      </c>
      <c r="J5657" s="16" t="s">
        <v>17186</v>
      </c>
      <c r="K5657" s="32" t="n">
        <v>1</v>
      </c>
      <c r="L5657" s="33" t="n">
        <v>46352</v>
      </c>
      <c r="M5657" s="33" t="n">
        <v>46352</v>
      </c>
      <c r="N5657" s="16" t="s">
        <v>17226</v>
      </c>
      <c r="O5657" s="16"/>
      <c r="P5657" s="16" t="str">
        <f aca="false">IF(AND(L5657&lt;=$D$2,M5657&gt;=$C$2),"Sí","")</f>
        <v/>
      </c>
      <c r="Q5657" s="18" t="str">
        <f aca="false">IF(COUNTIF(LOOKAHEAD!$A$5:$A$604,A5657)&gt;0,"En Lookahead",IF(P5657="Sí","INCORPORAR",""))</f>
        <v/>
      </c>
    </row>
    <row r="5658" customFormat="false" ht="15" hidden="false" customHeight="false" outlineLevel="0" collapsed="false">
      <c r="A5658" s="13" t="s">
        <v>17227</v>
      </c>
      <c r="B5658" s="13" t="n">
        <v>5653</v>
      </c>
      <c r="C5658" s="13" t="s">
        <v>17228</v>
      </c>
      <c r="D5658" s="13" t="n">
        <v>4</v>
      </c>
      <c r="E5658" s="20" t="s">
        <v>17229</v>
      </c>
      <c r="F5658" s="13" t="s">
        <v>1298</v>
      </c>
      <c r="G5658" s="13" t="s">
        <v>1169</v>
      </c>
      <c r="H5658" s="13" t="s">
        <v>17229</v>
      </c>
      <c r="I5658" s="13" t="s">
        <v>136</v>
      </c>
      <c r="J5658" s="13" t="s">
        <v>16322</v>
      </c>
      <c r="K5658" s="30" t="n">
        <v>5</v>
      </c>
      <c r="L5658" s="31" t="n">
        <v>46345</v>
      </c>
      <c r="M5658" s="31" t="n">
        <v>46349</v>
      </c>
      <c r="N5658" s="13"/>
      <c r="O5658" s="13"/>
      <c r="P5658" s="13"/>
      <c r="Q5658" s="13"/>
    </row>
    <row r="5659" customFormat="false" ht="15" hidden="false" customHeight="false" outlineLevel="0" collapsed="false">
      <c r="A5659" s="13" t="s">
        <v>17230</v>
      </c>
      <c r="B5659" s="13" t="n">
        <v>5654</v>
      </c>
      <c r="C5659" s="13" t="s">
        <v>17231</v>
      </c>
      <c r="D5659" s="13" t="n">
        <v>5</v>
      </c>
      <c r="E5659" s="34" t="s">
        <v>16970</v>
      </c>
      <c r="F5659" s="13" t="s">
        <v>1298</v>
      </c>
      <c r="G5659" s="13" t="s">
        <v>1169</v>
      </c>
      <c r="H5659" s="13" t="s">
        <v>17229</v>
      </c>
      <c r="I5659" s="13" t="s">
        <v>136</v>
      </c>
      <c r="J5659" s="13" t="s">
        <v>17229</v>
      </c>
      <c r="K5659" s="30" t="n">
        <v>2</v>
      </c>
      <c r="L5659" s="31" t="n">
        <v>46345</v>
      </c>
      <c r="M5659" s="31" t="n">
        <v>46346</v>
      </c>
      <c r="N5659" s="13"/>
      <c r="O5659" s="13"/>
      <c r="P5659" s="13"/>
      <c r="Q5659" s="13"/>
    </row>
    <row r="5660" customFormat="false" ht="15" hidden="false" customHeight="false" outlineLevel="0" collapsed="false">
      <c r="A5660" s="16" t="s">
        <v>17232</v>
      </c>
      <c r="B5660" s="16" t="n">
        <v>5655</v>
      </c>
      <c r="C5660" s="16" t="s">
        <v>17233</v>
      </c>
      <c r="D5660" s="16" t="n">
        <v>6</v>
      </c>
      <c r="E5660" s="35" t="s">
        <v>17234</v>
      </c>
      <c r="F5660" s="16" t="s">
        <v>1285</v>
      </c>
      <c r="G5660" s="16" t="s">
        <v>1169</v>
      </c>
      <c r="H5660" s="16" t="s">
        <v>17229</v>
      </c>
      <c r="I5660" s="16" t="s">
        <v>136</v>
      </c>
      <c r="J5660" s="16" t="s">
        <v>16970</v>
      </c>
      <c r="K5660" s="32" t="n">
        <v>1</v>
      </c>
      <c r="L5660" s="33" t="n">
        <v>46345</v>
      </c>
      <c r="M5660" s="33" t="n">
        <v>46345</v>
      </c>
      <c r="N5660" s="16" t="s">
        <v>17235</v>
      </c>
      <c r="O5660" s="16"/>
      <c r="P5660" s="16" t="str">
        <f aca="false">IF(AND(L5660&lt;=$D$2,M5660&gt;=$C$2),"Sí","")</f>
        <v/>
      </c>
      <c r="Q5660" s="18" t="str">
        <f aca="false">IF(COUNTIF(LOOKAHEAD!$A$5:$A$604,A5660)&gt;0,"En Lookahead",IF(P5660="Sí","INCORPORAR",""))</f>
        <v/>
      </c>
    </row>
    <row r="5661" customFormat="false" ht="15" hidden="false" customHeight="false" outlineLevel="0" collapsed="false">
      <c r="A5661" s="16" t="s">
        <v>17236</v>
      </c>
      <c r="B5661" s="16" t="n">
        <v>5656</v>
      </c>
      <c r="C5661" s="16" t="s">
        <v>17237</v>
      </c>
      <c r="D5661" s="16" t="n">
        <v>6</v>
      </c>
      <c r="E5661" s="35" t="s">
        <v>17238</v>
      </c>
      <c r="F5661" s="16" t="s">
        <v>1285</v>
      </c>
      <c r="G5661" s="16" t="s">
        <v>1169</v>
      </c>
      <c r="H5661" s="16" t="s">
        <v>17229</v>
      </c>
      <c r="I5661" s="16" t="s">
        <v>136</v>
      </c>
      <c r="J5661" s="16" t="s">
        <v>16970</v>
      </c>
      <c r="K5661" s="32" t="n">
        <v>1</v>
      </c>
      <c r="L5661" s="33" t="n">
        <v>46346</v>
      </c>
      <c r="M5661" s="33" t="n">
        <v>46346</v>
      </c>
      <c r="N5661" s="16" t="s">
        <v>17239</v>
      </c>
      <c r="O5661" s="16"/>
      <c r="P5661" s="16" t="str">
        <f aca="false">IF(AND(L5661&lt;=$D$2,M5661&gt;=$C$2),"Sí","")</f>
        <v/>
      </c>
      <c r="Q5661" s="18" t="str">
        <f aca="false">IF(COUNTIF(LOOKAHEAD!$A$5:$A$604,A5661)&gt;0,"En Lookahead",IF(P5661="Sí","INCORPORAR",""))</f>
        <v/>
      </c>
    </row>
    <row r="5662" customFormat="false" ht="15" hidden="false" customHeight="false" outlineLevel="0" collapsed="false">
      <c r="A5662" s="13" t="s">
        <v>17240</v>
      </c>
      <c r="B5662" s="13" t="n">
        <v>5657</v>
      </c>
      <c r="C5662" s="13" t="s">
        <v>17241</v>
      </c>
      <c r="D5662" s="13" t="n">
        <v>5</v>
      </c>
      <c r="E5662" s="34" t="s">
        <v>17242</v>
      </c>
      <c r="F5662" s="13" t="s">
        <v>1298</v>
      </c>
      <c r="G5662" s="13" t="s">
        <v>1169</v>
      </c>
      <c r="H5662" s="13" t="s">
        <v>17229</v>
      </c>
      <c r="I5662" s="13" t="s">
        <v>136</v>
      </c>
      <c r="J5662" s="13" t="s">
        <v>17229</v>
      </c>
      <c r="K5662" s="30" t="n">
        <v>3</v>
      </c>
      <c r="L5662" s="31" t="n">
        <v>46347</v>
      </c>
      <c r="M5662" s="31" t="n">
        <v>46349</v>
      </c>
      <c r="N5662" s="13"/>
      <c r="O5662" s="13"/>
      <c r="P5662" s="13"/>
      <c r="Q5662" s="13"/>
    </row>
    <row r="5663" customFormat="false" ht="15" hidden="false" customHeight="false" outlineLevel="0" collapsed="false">
      <c r="A5663" s="16" t="s">
        <v>17243</v>
      </c>
      <c r="B5663" s="16" t="n">
        <v>5658</v>
      </c>
      <c r="C5663" s="16" t="s">
        <v>17244</v>
      </c>
      <c r="D5663" s="16" t="n">
        <v>6</v>
      </c>
      <c r="E5663" s="35" t="s">
        <v>17245</v>
      </c>
      <c r="F5663" s="16" t="s">
        <v>1285</v>
      </c>
      <c r="G5663" s="16" t="s">
        <v>1169</v>
      </c>
      <c r="H5663" s="16" t="s">
        <v>17229</v>
      </c>
      <c r="I5663" s="16" t="s">
        <v>136</v>
      </c>
      <c r="J5663" s="16" t="s">
        <v>17242</v>
      </c>
      <c r="K5663" s="32" t="n">
        <v>1</v>
      </c>
      <c r="L5663" s="33" t="n">
        <v>46347</v>
      </c>
      <c r="M5663" s="33" t="n">
        <v>46347</v>
      </c>
      <c r="N5663" s="16" t="s">
        <v>17246</v>
      </c>
      <c r="O5663" s="16"/>
      <c r="P5663" s="16" t="str">
        <f aca="false">IF(AND(L5663&lt;=$D$2,M5663&gt;=$C$2),"Sí","")</f>
        <v/>
      </c>
      <c r="Q5663" s="18" t="str">
        <f aca="false">IF(COUNTIF(LOOKAHEAD!$A$5:$A$604,A5663)&gt;0,"En Lookahead",IF(P5663="Sí","INCORPORAR",""))</f>
        <v/>
      </c>
    </row>
    <row r="5664" customFormat="false" ht="15" hidden="false" customHeight="false" outlineLevel="0" collapsed="false">
      <c r="A5664" s="16" t="s">
        <v>17247</v>
      </c>
      <c r="B5664" s="16" t="n">
        <v>5659</v>
      </c>
      <c r="C5664" s="16" t="s">
        <v>17248</v>
      </c>
      <c r="D5664" s="16" t="n">
        <v>6</v>
      </c>
      <c r="E5664" s="35" t="s">
        <v>17249</v>
      </c>
      <c r="F5664" s="16" t="s">
        <v>1285</v>
      </c>
      <c r="G5664" s="16" t="s">
        <v>1169</v>
      </c>
      <c r="H5664" s="16" t="s">
        <v>17229</v>
      </c>
      <c r="I5664" s="16" t="s">
        <v>136</v>
      </c>
      <c r="J5664" s="16" t="s">
        <v>17242</v>
      </c>
      <c r="K5664" s="32" t="n">
        <v>2</v>
      </c>
      <c r="L5664" s="33" t="n">
        <v>46348</v>
      </c>
      <c r="M5664" s="33" t="n">
        <v>46349</v>
      </c>
      <c r="N5664" s="16" t="s">
        <v>17250</v>
      </c>
      <c r="O5664" s="16"/>
      <c r="P5664" s="16" t="str">
        <f aca="false">IF(AND(L5664&lt;=$D$2,M5664&gt;=$C$2),"Sí","")</f>
        <v/>
      </c>
      <c r="Q5664" s="18" t="str">
        <f aca="false">IF(COUNTIF(LOOKAHEAD!$A$5:$A$604,A5664)&gt;0,"En Lookahead",IF(P5664="Sí","INCORPORAR",""))</f>
        <v/>
      </c>
    </row>
    <row r="5665" customFormat="false" ht="15" hidden="false" customHeight="false" outlineLevel="0" collapsed="false">
      <c r="A5665" s="13" t="s">
        <v>17251</v>
      </c>
      <c r="B5665" s="13" t="n">
        <v>5660</v>
      </c>
      <c r="C5665" s="13" t="s">
        <v>17252</v>
      </c>
      <c r="D5665" s="13" t="n">
        <v>4</v>
      </c>
      <c r="E5665" s="20" t="s">
        <v>17253</v>
      </c>
      <c r="F5665" s="13" t="s">
        <v>1298</v>
      </c>
      <c r="G5665" s="13" t="s">
        <v>1169</v>
      </c>
      <c r="H5665" s="13" t="s">
        <v>17253</v>
      </c>
      <c r="I5665" s="13" t="s">
        <v>136</v>
      </c>
      <c r="J5665" s="13" t="s">
        <v>16322</v>
      </c>
      <c r="K5665" s="30" t="n">
        <v>11</v>
      </c>
      <c r="L5665" s="31" t="n">
        <v>46350</v>
      </c>
      <c r="M5665" s="31" t="n">
        <v>46360</v>
      </c>
      <c r="N5665" s="13"/>
      <c r="O5665" s="13"/>
      <c r="P5665" s="13"/>
      <c r="Q5665" s="13"/>
    </row>
    <row r="5666" customFormat="false" ht="15" hidden="false" customHeight="false" outlineLevel="0" collapsed="false">
      <c r="A5666" s="13" t="s">
        <v>17254</v>
      </c>
      <c r="B5666" s="13" t="n">
        <v>5661</v>
      </c>
      <c r="C5666" s="13" t="s">
        <v>17255</v>
      </c>
      <c r="D5666" s="13" t="n">
        <v>5</v>
      </c>
      <c r="E5666" s="34" t="s">
        <v>16970</v>
      </c>
      <c r="F5666" s="13" t="s">
        <v>1298</v>
      </c>
      <c r="G5666" s="13" t="s">
        <v>1169</v>
      </c>
      <c r="H5666" s="13" t="s">
        <v>17253</v>
      </c>
      <c r="I5666" s="13" t="s">
        <v>136</v>
      </c>
      <c r="J5666" s="13" t="s">
        <v>17253</v>
      </c>
      <c r="K5666" s="30" t="n">
        <v>1</v>
      </c>
      <c r="L5666" s="31" t="n">
        <v>46350</v>
      </c>
      <c r="M5666" s="31" t="n">
        <v>46350</v>
      </c>
      <c r="N5666" s="13"/>
      <c r="O5666" s="13"/>
      <c r="P5666" s="13"/>
      <c r="Q5666" s="13"/>
    </row>
    <row r="5667" customFormat="false" ht="15" hidden="false" customHeight="false" outlineLevel="0" collapsed="false">
      <c r="A5667" s="16" t="s">
        <v>17256</v>
      </c>
      <c r="B5667" s="16" t="n">
        <v>5662</v>
      </c>
      <c r="C5667" s="16" t="s">
        <v>17257</v>
      </c>
      <c r="D5667" s="16" t="n">
        <v>6</v>
      </c>
      <c r="E5667" s="35" t="s">
        <v>13669</v>
      </c>
      <c r="F5667" s="16" t="s">
        <v>1285</v>
      </c>
      <c r="G5667" s="16" t="s">
        <v>1169</v>
      </c>
      <c r="H5667" s="16" t="s">
        <v>17253</v>
      </c>
      <c r="I5667" s="16" t="s">
        <v>136</v>
      </c>
      <c r="J5667" s="16" t="s">
        <v>16970</v>
      </c>
      <c r="K5667" s="32" t="n">
        <v>1</v>
      </c>
      <c r="L5667" s="33" t="n">
        <v>46350</v>
      </c>
      <c r="M5667" s="33" t="n">
        <v>46350</v>
      </c>
      <c r="N5667" s="16" t="s">
        <v>17258</v>
      </c>
      <c r="O5667" s="16"/>
      <c r="P5667" s="16" t="str">
        <f aca="false">IF(AND(L5667&lt;=$D$2,M5667&gt;=$C$2),"Sí","")</f>
        <v/>
      </c>
      <c r="Q5667" s="18" t="str">
        <f aca="false">IF(COUNTIF(LOOKAHEAD!$A$5:$A$604,A5667)&gt;0,"En Lookahead",IF(P5667="Sí","INCORPORAR",""))</f>
        <v/>
      </c>
    </row>
    <row r="5668" customFormat="false" ht="15" hidden="false" customHeight="false" outlineLevel="0" collapsed="false">
      <c r="A5668" s="13" t="s">
        <v>17259</v>
      </c>
      <c r="B5668" s="13" t="n">
        <v>5663</v>
      </c>
      <c r="C5668" s="13" t="s">
        <v>17260</v>
      </c>
      <c r="D5668" s="13" t="n">
        <v>5</v>
      </c>
      <c r="E5668" s="34" t="s">
        <v>17261</v>
      </c>
      <c r="F5668" s="13" t="s">
        <v>1298</v>
      </c>
      <c r="G5668" s="13" t="s">
        <v>1169</v>
      </c>
      <c r="H5668" s="13" t="s">
        <v>17253</v>
      </c>
      <c r="I5668" s="13" t="s">
        <v>136</v>
      </c>
      <c r="J5668" s="13" t="s">
        <v>17253</v>
      </c>
      <c r="K5668" s="30" t="n">
        <v>7</v>
      </c>
      <c r="L5668" s="31" t="n">
        <v>46351</v>
      </c>
      <c r="M5668" s="31" t="n">
        <v>46357</v>
      </c>
      <c r="N5668" s="13"/>
      <c r="O5668" s="13"/>
      <c r="P5668" s="13"/>
      <c r="Q5668" s="13"/>
    </row>
    <row r="5669" customFormat="false" ht="15" hidden="false" customHeight="false" outlineLevel="0" collapsed="false">
      <c r="A5669" s="16" t="s">
        <v>17262</v>
      </c>
      <c r="B5669" s="16" t="n">
        <v>5664</v>
      </c>
      <c r="C5669" s="16" t="s">
        <v>17263</v>
      </c>
      <c r="D5669" s="16" t="n">
        <v>6</v>
      </c>
      <c r="E5669" s="35" t="s">
        <v>17264</v>
      </c>
      <c r="F5669" s="16" t="s">
        <v>1285</v>
      </c>
      <c r="G5669" s="16" t="s">
        <v>1169</v>
      </c>
      <c r="H5669" s="16" t="s">
        <v>17253</v>
      </c>
      <c r="I5669" s="16" t="s">
        <v>136</v>
      </c>
      <c r="J5669" s="16" t="s">
        <v>17261</v>
      </c>
      <c r="K5669" s="32" t="n">
        <v>3</v>
      </c>
      <c r="L5669" s="33" t="n">
        <v>46351</v>
      </c>
      <c r="M5669" s="33" t="n">
        <v>46353</v>
      </c>
      <c r="N5669" s="16" t="s">
        <v>17265</v>
      </c>
      <c r="O5669" s="16"/>
      <c r="P5669" s="16" t="str">
        <f aca="false">IF(AND(L5669&lt;=$D$2,M5669&gt;=$C$2),"Sí","")</f>
        <v/>
      </c>
      <c r="Q5669" s="18" t="str">
        <f aca="false">IF(COUNTIF(LOOKAHEAD!$A$5:$A$604,A5669)&gt;0,"En Lookahead",IF(P5669="Sí","INCORPORAR",""))</f>
        <v/>
      </c>
    </row>
    <row r="5670" customFormat="false" ht="15" hidden="false" customHeight="false" outlineLevel="0" collapsed="false">
      <c r="A5670" s="16" t="s">
        <v>17266</v>
      </c>
      <c r="B5670" s="16" t="n">
        <v>5665</v>
      </c>
      <c r="C5670" s="16" t="s">
        <v>17267</v>
      </c>
      <c r="D5670" s="16" t="n">
        <v>6</v>
      </c>
      <c r="E5670" s="35" t="s">
        <v>17268</v>
      </c>
      <c r="F5670" s="16" t="s">
        <v>1285</v>
      </c>
      <c r="G5670" s="16" t="s">
        <v>1169</v>
      </c>
      <c r="H5670" s="16" t="s">
        <v>17253</v>
      </c>
      <c r="I5670" s="16" t="s">
        <v>136</v>
      </c>
      <c r="J5670" s="16" t="s">
        <v>17261</v>
      </c>
      <c r="K5670" s="32" t="n">
        <v>3</v>
      </c>
      <c r="L5670" s="33" t="n">
        <v>46354</v>
      </c>
      <c r="M5670" s="33" t="n">
        <v>46356</v>
      </c>
      <c r="N5670" s="16" t="s">
        <v>17269</v>
      </c>
      <c r="O5670" s="16"/>
      <c r="P5670" s="16" t="str">
        <f aca="false">IF(AND(L5670&lt;=$D$2,M5670&gt;=$C$2),"Sí","")</f>
        <v/>
      </c>
      <c r="Q5670" s="18" t="str">
        <f aca="false">IF(COUNTIF(LOOKAHEAD!$A$5:$A$604,A5670)&gt;0,"En Lookahead",IF(P5670="Sí","INCORPORAR",""))</f>
        <v/>
      </c>
    </row>
    <row r="5671" customFormat="false" ht="15" hidden="false" customHeight="false" outlineLevel="0" collapsed="false">
      <c r="A5671" s="16" t="s">
        <v>17270</v>
      </c>
      <c r="B5671" s="16" t="n">
        <v>5666</v>
      </c>
      <c r="C5671" s="16" t="s">
        <v>17271</v>
      </c>
      <c r="D5671" s="16" t="n">
        <v>6</v>
      </c>
      <c r="E5671" s="35" t="s">
        <v>17272</v>
      </c>
      <c r="F5671" s="16" t="s">
        <v>1285</v>
      </c>
      <c r="G5671" s="16" t="s">
        <v>1169</v>
      </c>
      <c r="H5671" s="16" t="s">
        <v>17253</v>
      </c>
      <c r="I5671" s="16" t="s">
        <v>136</v>
      </c>
      <c r="J5671" s="16" t="s">
        <v>17261</v>
      </c>
      <c r="K5671" s="32" t="n">
        <v>1</v>
      </c>
      <c r="L5671" s="33" t="n">
        <v>46357</v>
      </c>
      <c r="M5671" s="33" t="n">
        <v>46357</v>
      </c>
      <c r="N5671" s="16" t="s">
        <v>17273</v>
      </c>
      <c r="O5671" s="16"/>
      <c r="P5671" s="16" t="str">
        <f aca="false">IF(AND(L5671&lt;=$D$2,M5671&gt;=$C$2),"Sí","")</f>
        <v/>
      </c>
      <c r="Q5671" s="18" t="str">
        <f aca="false">IF(COUNTIF(LOOKAHEAD!$A$5:$A$604,A5671)&gt;0,"En Lookahead",IF(P5671="Sí","INCORPORAR",""))</f>
        <v/>
      </c>
    </row>
    <row r="5672" customFormat="false" ht="15" hidden="false" customHeight="false" outlineLevel="0" collapsed="false">
      <c r="A5672" s="13" t="s">
        <v>17274</v>
      </c>
      <c r="B5672" s="13" t="n">
        <v>5667</v>
      </c>
      <c r="C5672" s="13" t="s">
        <v>17275</v>
      </c>
      <c r="D5672" s="13" t="n">
        <v>5</v>
      </c>
      <c r="E5672" s="34" t="s">
        <v>17276</v>
      </c>
      <c r="F5672" s="13" t="s">
        <v>1298</v>
      </c>
      <c r="G5672" s="13" t="s">
        <v>1169</v>
      </c>
      <c r="H5672" s="13" t="s">
        <v>17253</v>
      </c>
      <c r="I5672" s="13" t="s">
        <v>136</v>
      </c>
      <c r="J5672" s="13" t="s">
        <v>17253</v>
      </c>
      <c r="K5672" s="30" t="n">
        <v>3</v>
      </c>
      <c r="L5672" s="31" t="n">
        <v>46358</v>
      </c>
      <c r="M5672" s="31" t="n">
        <v>46360</v>
      </c>
      <c r="N5672" s="13"/>
      <c r="O5672" s="13"/>
      <c r="P5672" s="13"/>
      <c r="Q5672" s="13"/>
    </row>
    <row r="5673" customFormat="false" ht="15" hidden="false" customHeight="false" outlineLevel="0" collapsed="false">
      <c r="A5673" s="16" t="s">
        <v>17277</v>
      </c>
      <c r="B5673" s="16" t="n">
        <v>5668</v>
      </c>
      <c r="C5673" s="16" t="s">
        <v>17278</v>
      </c>
      <c r="D5673" s="16" t="n">
        <v>6</v>
      </c>
      <c r="E5673" s="35" t="s">
        <v>17279</v>
      </c>
      <c r="F5673" s="16" t="s">
        <v>1285</v>
      </c>
      <c r="G5673" s="16" t="s">
        <v>1169</v>
      </c>
      <c r="H5673" s="16" t="s">
        <v>17253</v>
      </c>
      <c r="I5673" s="16" t="s">
        <v>136</v>
      </c>
      <c r="J5673" s="16" t="s">
        <v>17276</v>
      </c>
      <c r="K5673" s="32" t="n">
        <v>3</v>
      </c>
      <c r="L5673" s="33" t="n">
        <v>46358</v>
      </c>
      <c r="M5673" s="33" t="n">
        <v>46360</v>
      </c>
      <c r="N5673" s="16" t="s">
        <v>17280</v>
      </c>
      <c r="O5673" s="16"/>
      <c r="P5673" s="16" t="str">
        <f aca="false">IF(AND(L5673&lt;=$D$2,M5673&gt;=$C$2),"Sí","")</f>
        <v/>
      </c>
      <c r="Q5673" s="18" t="str">
        <f aca="false">IF(COUNTIF(LOOKAHEAD!$A$5:$A$604,A5673)&gt;0,"En Lookahead",IF(P5673="Sí","INCORPORAR",""))</f>
        <v/>
      </c>
    </row>
    <row r="5674" customFormat="false" ht="15" hidden="false" customHeight="false" outlineLevel="0" collapsed="false">
      <c r="A5674" s="25" t="s">
        <v>17281</v>
      </c>
      <c r="B5674" s="25" t="n">
        <v>5669</v>
      </c>
      <c r="C5674" s="25" t="s">
        <v>17282</v>
      </c>
      <c r="D5674" s="25" t="n">
        <v>2</v>
      </c>
      <c r="E5674" s="28" t="s">
        <v>17283</v>
      </c>
      <c r="F5674" s="25" t="s">
        <v>1298</v>
      </c>
      <c r="G5674" s="25" t="s">
        <v>1268</v>
      </c>
      <c r="H5674" s="25"/>
      <c r="I5674" s="25"/>
      <c r="J5674" s="25" t="s">
        <v>1302</v>
      </c>
      <c r="K5674" s="26" t="n">
        <v>178</v>
      </c>
      <c r="L5674" s="27" t="n">
        <v>46440</v>
      </c>
      <c r="M5674" s="27" t="n">
        <v>46617</v>
      </c>
      <c r="N5674" s="25"/>
      <c r="O5674" s="25" t="s">
        <v>1299</v>
      </c>
      <c r="P5674" s="25"/>
      <c r="Q5674" s="25"/>
    </row>
    <row r="5675" customFormat="false" ht="15" hidden="false" customHeight="false" outlineLevel="0" collapsed="false">
      <c r="A5675" s="25" t="s">
        <v>17284</v>
      </c>
      <c r="B5675" s="25" t="n">
        <v>5670</v>
      </c>
      <c r="C5675" s="25" t="s">
        <v>17285</v>
      </c>
      <c r="D5675" s="25" t="n">
        <v>3</v>
      </c>
      <c r="E5675" s="29" t="s">
        <v>17286</v>
      </c>
      <c r="F5675" s="25" t="s">
        <v>1298</v>
      </c>
      <c r="G5675" s="25" t="s">
        <v>1268</v>
      </c>
      <c r="H5675" s="25"/>
      <c r="I5675" s="25"/>
      <c r="J5675" s="25" t="s">
        <v>17283</v>
      </c>
      <c r="K5675" s="26" t="n">
        <v>178</v>
      </c>
      <c r="L5675" s="27" t="n">
        <v>46440</v>
      </c>
      <c r="M5675" s="27" t="n">
        <v>46617</v>
      </c>
      <c r="N5675" s="25"/>
      <c r="O5675" s="25" t="s">
        <v>1299</v>
      </c>
      <c r="P5675" s="25"/>
      <c r="Q5675" s="25"/>
    </row>
    <row r="5676" customFormat="false" ht="15" hidden="false" customHeight="false" outlineLevel="0" collapsed="false">
      <c r="A5676" s="16" t="s">
        <v>17287</v>
      </c>
      <c r="B5676" s="16" t="n">
        <v>5671</v>
      </c>
      <c r="C5676" s="16" t="s">
        <v>17288</v>
      </c>
      <c r="D5676" s="16" t="n">
        <v>4</v>
      </c>
      <c r="E5676" s="17" t="s">
        <v>17289</v>
      </c>
      <c r="F5676" s="16" t="s">
        <v>1285</v>
      </c>
      <c r="G5676" s="16" t="s">
        <v>1268</v>
      </c>
      <c r="H5676" s="16" t="s">
        <v>17289</v>
      </c>
      <c r="I5676" s="16" t="s">
        <v>136</v>
      </c>
      <c r="J5676" s="16" t="s">
        <v>17286</v>
      </c>
      <c r="K5676" s="32" t="n">
        <v>60</v>
      </c>
      <c r="L5676" s="33" t="n">
        <v>46440</v>
      </c>
      <c r="M5676" s="33" t="n">
        <v>46499</v>
      </c>
      <c r="N5676" s="16" t="s">
        <v>17290</v>
      </c>
      <c r="O5676" s="16" t="s">
        <v>1299</v>
      </c>
      <c r="P5676" s="16" t="str">
        <f aca="false">IF(AND(L5676&lt;=$D$2,M5676&gt;=$C$2),"Sí","")</f>
        <v/>
      </c>
      <c r="Q5676" s="18" t="str">
        <f aca="false">IF(COUNTIF(LOOKAHEAD!$A$5:$A$604,A5676)&gt;0,"En Lookahead",IF(P5676="Sí","INCORPORAR",""))</f>
        <v/>
      </c>
    </row>
    <row r="5677" customFormat="false" ht="15" hidden="false" customHeight="false" outlineLevel="0" collapsed="false">
      <c r="A5677" s="16" t="s">
        <v>17291</v>
      </c>
      <c r="B5677" s="16" t="n">
        <v>5672</v>
      </c>
      <c r="C5677" s="16" t="s">
        <v>17292</v>
      </c>
      <c r="D5677" s="16" t="n">
        <v>4</v>
      </c>
      <c r="E5677" s="17" t="s">
        <v>17293</v>
      </c>
      <c r="F5677" s="16" t="s">
        <v>1285</v>
      </c>
      <c r="G5677" s="16" t="s">
        <v>1268</v>
      </c>
      <c r="H5677" s="16" t="s">
        <v>17293</v>
      </c>
      <c r="I5677" s="16" t="s">
        <v>136</v>
      </c>
      <c r="J5677" s="16" t="s">
        <v>17286</v>
      </c>
      <c r="K5677" s="32" t="n">
        <v>60</v>
      </c>
      <c r="L5677" s="33" t="n">
        <v>46500</v>
      </c>
      <c r="M5677" s="33" t="n">
        <v>46559</v>
      </c>
      <c r="N5677" s="16" t="s">
        <v>17294</v>
      </c>
      <c r="O5677" s="16" t="s">
        <v>1299</v>
      </c>
      <c r="P5677" s="16" t="str">
        <f aca="false">IF(AND(L5677&lt;=$D$2,M5677&gt;=$C$2),"Sí","")</f>
        <v/>
      </c>
      <c r="Q5677" s="18" t="str">
        <f aca="false">IF(COUNTIF(LOOKAHEAD!$A$5:$A$604,A5677)&gt;0,"En Lookahead",IF(P5677="Sí","INCORPORAR",""))</f>
        <v/>
      </c>
    </row>
    <row r="5678" customFormat="false" ht="15" hidden="false" customHeight="false" outlineLevel="0" collapsed="false">
      <c r="A5678" s="16" t="s">
        <v>17295</v>
      </c>
      <c r="B5678" s="16" t="n">
        <v>5673</v>
      </c>
      <c r="C5678" s="16" t="s">
        <v>17296</v>
      </c>
      <c r="D5678" s="16" t="n">
        <v>4</v>
      </c>
      <c r="E5678" s="17" t="s">
        <v>17297</v>
      </c>
      <c r="F5678" s="16" t="s">
        <v>1285</v>
      </c>
      <c r="G5678" s="16" t="s">
        <v>1268</v>
      </c>
      <c r="H5678" s="16" t="s">
        <v>17297</v>
      </c>
      <c r="I5678" s="16" t="s">
        <v>136</v>
      </c>
      <c r="J5678" s="16" t="s">
        <v>17286</v>
      </c>
      <c r="K5678" s="32" t="n">
        <v>50</v>
      </c>
      <c r="L5678" s="33" t="n">
        <v>46568</v>
      </c>
      <c r="M5678" s="33" t="n">
        <v>46617</v>
      </c>
      <c r="N5678" s="16" t="s">
        <v>17298</v>
      </c>
      <c r="O5678" s="16" t="s">
        <v>1299</v>
      </c>
      <c r="P5678" s="16" t="str">
        <f aca="false">IF(AND(L5678&lt;=$D$2,M5678&gt;=$C$2),"Sí","")</f>
        <v/>
      </c>
      <c r="Q5678" s="18" t="str">
        <f aca="false">IF(COUNTIF(LOOKAHEAD!$A$5:$A$604,A5678)&gt;0,"En Lookahead",IF(P5678="Sí","INCORPORAR",""))</f>
        <v/>
      </c>
    </row>
    <row r="5679" customFormat="false" ht="15" hidden="false" customHeight="false" outlineLevel="0" collapsed="false">
      <c r="A5679" s="25" t="s">
        <v>17299</v>
      </c>
      <c r="B5679" s="25" t="n">
        <v>5674</v>
      </c>
      <c r="C5679" s="25" t="s">
        <v>17300</v>
      </c>
      <c r="D5679" s="25" t="n">
        <v>2</v>
      </c>
      <c r="E5679" s="28" t="s">
        <v>17301</v>
      </c>
      <c r="F5679" s="25" t="s">
        <v>1306</v>
      </c>
      <c r="G5679" s="25"/>
      <c r="H5679" s="25"/>
      <c r="I5679" s="25"/>
      <c r="J5679" s="25" t="s">
        <v>1302</v>
      </c>
      <c r="K5679" s="26" t="n">
        <v>0</v>
      </c>
      <c r="L5679" s="27" t="n">
        <v>46617</v>
      </c>
      <c r="M5679" s="27" t="n">
        <v>46617</v>
      </c>
      <c r="N5679" s="25" t="s">
        <v>17302</v>
      </c>
      <c r="O5679" s="25" t="s">
        <v>1299</v>
      </c>
      <c r="P5679" s="25"/>
      <c r="Q5679" s="25"/>
    </row>
  </sheetData>
  <autoFilter ref="A4:Q5679"/>
  <conditionalFormatting sqref="Q5:Q5679">
    <cfRule type="cellIs" priority="2" operator="equal" aboveAverage="0" equalAverage="0" bottom="0" percent="0" rank="0" text="" dxfId="9">
      <formula>"INCORPORAR"</formula>
    </cfRule>
    <cfRule type="cellIs" priority="3" operator="equal" aboveAverage="0" equalAverage="0" bottom="0" percent="0" rank="0" text="" dxfId="6">
      <formula>"En Lookahead"</formula>
    </cfRule>
  </conditionalFormatting>
  <conditionalFormatting sqref="O5:O5679">
    <cfRule type="cellIs" priority="4" operator="equal" aboveAverage="0" equalAverage="0" bottom="0" percent="0" rank="0" text="" dxfId="10">
      <formula>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J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36" min="11" style="0" width="4.5"/>
  </cols>
  <sheetData>
    <row r="1" customFormat="false" ht="17.35" hidden="false" customHeight="false" outlineLevel="0" collapsed="false">
      <c r="A1" s="1" t="s">
        <v>17303</v>
      </c>
      <c r="D1" s="7" t="s">
        <v>17304</v>
      </c>
    </row>
    <row r="2" customFormat="false" ht="15" hidden="false" customHeight="false" outlineLevel="0" collapsed="false">
      <c r="A2" s="22" t="s">
        <v>17305</v>
      </c>
      <c r="C2" s="40" t="s">
        <v>17306</v>
      </c>
    </row>
    <row r="3" customFormat="false" ht="15" hidden="false" customHeight="false" outlineLevel="0" collapsed="false">
      <c r="A3" s="22" t="s">
        <v>17307</v>
      </c>
      <c r="C3" s="41" t="n">
        <v>45870</v>
      </c>
    </row>
    <row r="4" customFormat="false" ht="15" hidden="false" customHeight="false" outlineLevel="0" collapsed="false">
      <c r="A4" s="42" t="s">
        <v>17308</v>
      </c>
    </row>
    <row r="5" customFormat="false" ht="31.5" hidden="false" customHeight="true" outlineLevel="0" collapsed="false">
      <c r="A5" s="8" t="s">
        <v>17309</v>
      </c>
      <c r="B5" s="8" t="s">
        <v>1306</v>
      </c>
      <c r="C5" s="8" t="s">
        <v>17310</v>
      </c>
      <c r="D5" s="8" t="s">
        <v>17311</v>
      </c>
      <c r="E5" s="8" t="s">
        <v>17312</v>
      </c>
      <c r="F5" s="8" t="s">
        <v>17313</v>
      </c>
      <c r="G5" s="8" t="s">
        <v>17314</v>
      </c>
    </row>
    <row r="6" customFormat="false" ht="15" hidden="false" customHeight="false" outlineLevel="0" collapsed="false">
      <c r="A6" s="9" t="s">
        <v>17315</v>
      </c>
      <c r="B6" s="9" t="s">
        <v>17316</v>
      </c>
      <c r="C6" s="43" t="n">
        <v>45878</v>
      </c>
      <c r="D6" s="43" t="n">
        <v>45878</v>
      </c>
      <c r="E6" s="32" t="n">
        <f aca="false">IF(OR(C6="",D6=""),"",D6-C6)</f>
        <v>0</v>
      </c>
      <c r="F6" s="9"/>
      <c r="G6" s="18" t="str">
        <f aca="false">IF(E6="","",IF(E6&lt;=0,"En plazo",IF(E6&lt;=7,"Riesgo","Atrasado")))</f>
        <v>En plazo</v>
      </c>
      <c r="I6" s="7" t="s">
        <v>17317</v>
      </c>
    </row>
    <row r="7" customFormat="false" ht="15" hidden="false" customHeight="false" outlineLevel="0" collapsed="false">
      <c r="A7" s="9" t="s">
        <v>17318</v>
      </c>
      <c r="B7" s="9" t="s">
        <v>17319</v>
      </c>
      <c r="C7" s="43"/>
      <c r="D7" s="43" t="n">
        <v>46525</v>
      </c>
      <c r="E7" s="32" t="str">
        <f aca="false">IF(OR(C7="",D7=""),"",D7-C7)</f>
        <v/>
      </c>
      <c r="F7" s="9"/>
      <c r="G7" s="18" t="str">
        <f aca="false">IF(E7="","",IF(E7&lt;=0,"En plazo",IF(E7&lt;=7,"Riesgo","Atrasado")))</f>
        <v/>
      </c>
    </row>
    <row r="8" customFormat="false" ht="15" hidden="false" customHeight="false" outlineLevel="0" collapsed="false">
      <c r="A8" s="9" t="s">
        <v>17320</v>
      </c>
      <c r="B8" s="9" t="s">
        <v>17321</v>
      </c>
      <c r="C8" s="43"/>
      <c r="D8" s="43" t="n">
        <v>46585</v>
      </c>
      <c r="E8" s="32" t="str">
        <f aca="false">IF(OR(C8="",D8=""),"",D8-C8)</f>
        <v/>
      </c>
      <c r="F8" s="9"/>
      <c r="G8" s="18" t="str">
        <f aca="false">IF(E8="","",IF(E8&lt;=0,"En plazo",IF(E8&lt;=7,"Riesgo","Atrasado")))</f>
        <v/>
      </c>
    </row>
    <row r="9" customFormat="false" ht="15" hidden="false" customHeight="false" outlineLevel="0" collapsed="false">
      <c r="A9" s="9" t="s">
        <v>17322</v>
      </c>
      <c r="B9" s="9" t="s">
        <v>17323</v>
      </c>
      <c r="C9" s="43"/>
      <c r="D9" s="43" t="n">
        <v>46609</v>
      </c>
      <c r="E9" s="32" t="str">
        <f aca="false">IF(OR(C9="",D9=""),"",D9-C9)</f>
        <v/>
      </c>
      <c r="F9" s="9"/>
      <c r="G9" s="18" t="str">
        <f aca="false">IF(E9="","",IF(E9&lt;=0,"En plazo",IF(E9&lt;=7,"Riesgo","Atrasado")))</f>
        <v/>
      </c>
    </row>
    <row r="10" customFormat="false" ht="15" hidden="false" customHeight="false" outlineLevel="0" collapsed="false">
      <c r="A10" s="9" t="s">
        <v>17324</v>
      </c>
      <c r="B10" s="9" t="s">
        <v>17325</v>
      </c>
      <c r="C10" s="43"/>
      <c r="D10" s="43" t="n">
        <v>46617</v>
      </c>
      <c r="E10" s="32" t="str">
        <f aca="false">IF(OR(C10="",D10=""),"",D10-C10)</f>
        <v/>
      </c>
      <c r="F10" s="9"/>
      <c r="G10" s="18" t="str">
        <f aca="false">IF(E10="","",IF(E10&lt;=0,"En plazo",IF(E10&lt;=7,"Riesgo","Atrasado")))</f>
        <v/>
      </c>
    </row>
    <row r="11" customFormat="false" ht="15" hidden="false" customHeight="false" outlineLevel="0" collapsed="false">
      <c r="A11" s="9" t="s">
        <v>17326</v>
      </c>
      <c r="B11" s="9" t="s">
        <v>17327</v>
      </c>
      <c r="C11" s="43" t="n">
        <v>46617</v>
      </c>
      <c r="D11" s="43" t="n">
        <v>46617</v>
      </c>
      <c r="E11" s="32" t="n">
        <f aca="false">IF(OR(C11="",D11=""),"",D11-C11)</f>
        <v>0</v>
      </c>
      <c r="F11" s="9"/>
      <c r="G11" s="18" t="str">
        <f aca="false">IF(E11="","",IF(E11&lt;=0,"En plazo",IF(E11&lt;=7,"Riesgo","Atrasado")))</f>
        <v>En plazo</v>
      </c>
    </row>
    <row r="12" customFormat="false" ht="15" hidden="false" customHeight="false" outlineLevel="0" collapsed="false">
      <c r="A12" s="9"/>
      <c r="B12" s="9"/>
      <c r="C12" s="43"/>
      <c r="D12" s="43"/>
      <c r="E12" s="32" t="str">
        <f aca="false">IF(OR(C12="",D12=""),"",D12-C12)</f>
        <v/>
      </c>
      <c r="F12" s="9"/>
      <c r="G12" s="18" t="str">
        <f aca="false">IF(E12="","",IF(E12&lt;=0,"En plazo",IF(E12&lt;=7,"Riesgo","Atrasado")))</f>
        <v/>
      </c>
    </row>
    <row r="13" customFormat="false" ht="15" hidden="false" customHeight="false" outlineLevel="0" collapsed="false">
      <c r="A13" s="9"/>
      <c r="B13" s="9"/>
      <c r="C13" s="43"/>
      <c r="D13" s="43"/>
      <c r="E13" s="32" t="str">
        <f aca="false">IF(OR(C13="",D13=""),"",D13-C13)</f>
        <v/>
      </c>
      <c r="F13" s="9"/>
      <c r="G13" s="18" t="str">
        <f aca="false">IF(E13="","",IF(E13&lt;=0,"En plazo",IF(E13&lt;=7,"Riesgo","Atrasado")))</f>
        <v/>
      </c>
    </row>
    <row r="14" customFormat="false" ht="15" hidden="false" customHeight="false" outlineLevel="0" collapsed="false">
      <c r="A14" s="9"/>
      <c r="B14" s="9"/>
      <c r="C14" s="43"/>
      <c r="D14" s="43"/>
      <c r="E14" s="32" t="str">
        <f aca="false">IF(OR(C14="",D14=""),"",D14-C14)</f>
        <v/>
      </c>
      <c r="F14" s="9"/>
      <c r="G14" s="18" t="str">
        <f aca="false">IF(E14="","",IF(E14&lt;=0,"En plazo",IF(E14&lt;=7,"Riesgo","Atrasado")))</f>
        <v/>
      </c>
    </row>
    <row r="15" customFormat="false" ht="15" hidden="false" customHeight="false" outlineLevel="0" collapsed="false">
      <c r="A15" s="9"/>
      <c r="B15" s="9"/>
      <c r="C15" s="43"/>
      <c r="D15" s="43"/>
      <c r="E15" s="32" t="str">
        <f aca="false">IF(OR(C15="",D15=""),"",D15-C15)</f>
        <v/>
      </c>
      <c r="F15" s="9"/>
      <c r="G15" s="18" t="str">
        <f aca="false">IF(E15="","",IF(E15&lt;=0,"En plazo",IF(E15&lt;=7,"Riesgo","Atrasado")))</f>
        <v/>
      </c>
    </row>
    <row r="17" customFormat="false" ht="15" hidden="false" customHeight="false" outlineLevel="0" collapsed="false">
      <c r="A17" s="42" t="s">
        <v>17328</v>
      </c>
      <c r="K17" s="42" t="s">
        <v>17329</v>
      </c>
    </row>
    <row r="18" customFormat="false" ht="31.5" hidden="false" customHeight="true" outlineLevel="0" collapsed="false">
      <c r="A18" s="8" t="s">
        <v>143</v>
      </c>
      <c r="B18" s="8" t="s">
        <v>17330</v>
      </c>
      <c r="C18" s="8" t="s">
        <v>17331</v>
      </c>
      <c r="D18" s="8" t="s">
        <v>1289</v>
      </c>
      <c r="E18" s="8" t="s">
        <v>1290</v>
      </c>
      <c r="F18" s="8" t="s">
        <v>17332</v>
      </c>
      <c r="G18" s="8" t="s">
        <v>17333</v>
      </c>
      <c r="H18" s="8" t="s">
        <v>17334</v>
      </c>
      <c r="I18" s="8" t="s">
        <v>17335</v>
      </c>
      <c r="J18" s="8" t="s">
        <v>17314</v>
      </c>
      <c r="K18" s="44" t="n">
        <f aca="false">$C$3</f>
        <v>45870</v>
      </c>
      <c r="L18" s="44" t="n">
        <f aca="false">EDATE(K18,1)</f>
        <v>45901</v>
      </c>
      <c r="M18" s="44" t="n">
        <f aca="false">EDATE(L18,1)</f>
        <v>45931</v>
      </c>
      <c r="N18" s="44" t="n">
        <f aca="false">EDATE(M18,1)</f>
        <v>45962</v>
      </c>
      <c r="O18" s="44" t="n">
        <f aca="false">EDATE(N18,1)</f>
        <v>45992</v>
      </c>
      <c r="P18" s="44" t="n">
        <f aca="false">EDATE(O18,1)</f>
        <v>46023</v>
      </c>
      <c r="Q18" s="44" t="n">
        <f aca="false">EDATE(P18,1)</f>
        <v>46054</v>
      </c>
      <c r="R18" s="44" t="n">
        <f aca="false">EDATE(Q18,1)</f>
        <v>46082</v>
      </c>
      <c r="S18" s="44" t="n">
        <f aca="false">EDATE(R18,1)</f>
        <v>46113</v>
      </c>
      <c r="T18" s="44" t="n">
        <f aca="false">EDATE(S18,1)</f>
        <v>46143</v>
      </c>
      <c r="U18" s="44" t="n">
        <f aca="false">EDATE(T18,1)</f>
        <v>46174</v>
      </c>
      <c r="V18" s="44" t="n">
        <f aca="false">EDATE(U18,1)</f>
        <v>46204</v>
      </c>
      <c r="W18" s="44" t="n">
        <f aca="false">EDATE(V18,1)</f>
        <v>46235</v>
      </c>
      <c r="X18" s="44" t="n">
        <f aca="false">EDATE(W18,1)</f>
        <v>46266</v>
      </c>
      <c r="Y18" s="44" t="n">
        <f aca="false">EDATE(X18,1)</f>
        <v>46296</v>
      </c>
      <c r="Z18" s="44" t="n">
        <f aca="false">EDATE(Y18,1)</f>
        <v>46327</v>
      </c>
      <c r="AA18" s="44" t="n">
        <f aca="false">EDATE(Z18,1)</f>
        <v>46357</v>
      </c>
      <c r="AB18" s="44" t="n">
        <f aca="false">EDATE(AA18,1)</f>
        <v>46388</v>
      </c>
      <c r="AC18" s="44" t="n">
        <f aca="false">EDATE(AB18,1)</f>
        <v>46419</v>
      </c>
      <c r="AD18" s="44" t="n">
        <f aca="false">EDATE(AC18,1)</f>
        <v>46447</v>
      </c>
      <c r="AE18" s="44" t="n">
        <f aca="false">EDATE(AD18,1)</f>
        <v>46478</v>
      </c>
      <c r="AF18" s="44" t="n">
        <f aca="false">EDATE(AE18,1)</f>
        <v>46508</v>
      </c>
      <c r="AG18" s="44" t="n">
        <f aca="false">EDATE(AF18,1)</f>
        <v>46539</v>
      </c>
      <c r="AH18" s="44" t="n">
        <f aca="false">EDATE(AG18,1)</f>
        <v>46569</v>
      </c>
      <c r="AI18" s="44" t="n">
        <f aca="false">EDATE(AH18,1)</f>
        <v>46600</v>
      </c>
      <c r="AJ18" s="44" t="n">
        <f aca="false">EDATE(AI18,1)</f>
        <v>46631</v>
      </c>
    </row>
    <row r="19" customFormat="false" ht="15" hidden="false" customHeight="false" outlineLevel="0" collapsed="false">
      <c r="A19" s="45" t="s">
        <v>149</v>
      </c>
      <c r="B19" s="45" t="s">
        <v>150</v>
      </c>
      <c r="C19" s="45" t="s">
        <v>17326</v>
      </c>
      <c r="D19" s="46" t="n">
        <v>45878</v>
      </c>
      <c r="E19" s="46" t="n">
        <v>46611</v>
      </c>
      <c r="F19" s="47" t="n">
        <f aca="false">IF(OR(D19="",E19=""),"",NETWORKDAYS.INTL(D19,E19,11))</f>
        <v>629</v>
      </c>
      <c r="G19" s="45"/>
      <c r="H19" s="10" t="n">
        <f aca="false">IF(A19="","",COUNTIF(LOOKAHEAD!$C$5:$C$604,A19))</f>
        <v>15</v>
      </c>
      <c r="I19" s="48" t="n">
        <f aca="false">IF(A19="","",IFERROR(AVERAGEIF(LOOKAHEAD!$C$5:$C$604,A19,LOOKAHEAD!$N$5:$N$604),0))</f>
        <v>0</v>
      </c>
      <c r="J19" s="10" t="str">
        <f aca="true">IF(A19="","",IF(OR(D19="",E19=""),"Sin fechas",IF(H19=0,IF(TODAY()&gt;E19,"Fin planificado",IF(TODAY()&gt;=D19,"En curso","Por iniciar")),IF(I19&gt;=1,"Terminada",IF(TODAY()&gt;E19,"Atrasada",IF(TODAY()&gt;=D19,"En curso","Por iniciar"))))))</f>
        <v>En curso</v>
      </c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</row>
    <row r="20" customFormat="false" ht="15" hidden="false" customHeight="false" outlineLevel="0" collapsed="false">
      <c r="A20" s="9" t="s">
        <v>1314</v>
      </c>
      <c r="B20" s="50" t="s">
        <v>1315</v>
      </c>
      <c r="C20" s="9"/>
      <c r="D20" s="43" t="n">
        <v>45878</v>
      </c>
      <c r="E20" s="43" t="n">
        <v>46611</v>
      </c>
      <c r="F20" s="32" t="n">
        <f aca="false">IF(OR(D20="",E20=""),"",NETWORKDAYS.INTL(D20,E20,11))</f>
        <v>629</v>
      </c>
      <c r="G20" s="9"/>
      <c r="H20" s="16"/>
      <c r="I20" s="51"/>
      <c r="J20" s="16" t="str">
        <f aca="true">IF(A20="","",IF(OR(D20="",E20=""),"Sin fechas",IF(TODAY()&gt;E20,"Fin planificado",IF(TODAY()&gt;=D20,"En curso","Por iniciar"))))</f>
        <v>En curso</v>
      </c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</row>
    <row r="21" customFormat="false" ht="15" hidden="false" customHeight="false" outlineLevel="0" collapsed="false">
      <c r="A21" s="9" t="s">
        <v>1348</v>
      </c>
      <c r="B21" s="50" t="s">
        <v>1349</v>
      </c>
      <c r="C21" s="9"/>
      <c r="D21" s="43" t="n">
        <v>45905</v>
      </c>
      <c r="E21" s="43" t="n">
        <v>46590</v>
      </c>
      <c r="F21" s="32" t="n">
        <f aca="false">IF(OR(D21="",E21=""),"",NETWORKDAYS.INTL(D21,E21,11))</f>
        <v>588</v>
      </c>
      <c r="G21" s="9"/>
      <c r="H21" s="16"/>
      <c r="I21" s="51"/>
      <c r="J21" s="16" t="str">
        <f aca="true">IF(A21="","",IF(OR(D21="",E21=""),"Sin fechas",IF(TODAY()&gt;E21,"Fin planificado",IF(TODAY()&gt;=D21,"En curso","Por iniciar"))))</f>
        <v>En curso</v>
      </c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</row>
    <row r="22" customFormat="false" ht="15" hidden="false" customHeight="false" outlineLevel="0" collapsed="false">
      <c r="A22" s="9" t="s">
        <v>1367</v>
      </c>
      <c r="B22" s="50" t="s">
        <v>1368</v>
      </c>
      <c r="C22" s="9"/>
      <c r="D22" s="43" t="n">
        <v>45893</v>
      </c>
      <c r="E22" s="43" t="n">
        <v>46596</v>
      </c>
      <c r="F22" s="32" t="n">
        <f aca="false">IF(OR(D22="",E22=""),"",NETWORKDAYS.INTL(D22,E22,11))</f>
        <v>603</v>
      </c>
      <c r="G22" s="9"/>
      <c r="H22" s="16"/>
      <c r="I22" s="51"/>
      <c r="J22" s="16" t="str">
        <f aca="true">IF(A22="","",IF(OR(D22="",E22=""),"Sin fechas",IF(TODAY()&gt;E22,"Fin planificado",IF(TODAY()&gt;=D22,"En curso","Por iniciar"))))</f>
        <v>En curso</v>
      </c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</row>
    <row r="23" customFormat="false" ht="15" hidden="false" customHeight="false" outlineLevel="0" collapsed="false">
      <c r="A23" s="9" t="s">
        <v>1394</v>
      </c>
      <c r="B23" s="50" t="s">
        <v>1395</v>
      </c>
      <c r="C23" s="9"/>
      <c r="D23" s="43" t="n">
        <v>45878</v>
      </c>
      <c r="E23" s="43" t="n">
        <v>46609</v>
      </c>
      <c r="F23" s="32" t="n">
        <f aca="false">IF(OR(D23="",E23=""),"",NETWORKDAYS.INTL(D23,E23,11))</f>
        <v>627</v>
      </c>
      <c r="G23" s="9"/>
      <c r="H23" s="16"/>
      <c r="I23" s="51"/>
      <c r="J23" s="16" t="str">
        <f aca="true">IF(A23="","",IF(OR(D23="",E23=""),"Sin fechas",IF(TODAY()&gt;E23,"Fin planificado",IF(TODAY()&gt;=D23,"En curso","Por iniciar"))))</f>
        <v>En curso</v>
      </c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</row>
    <row r="24" customFormat="false" ht="15" hidden="false" customHeight="false" outlineLevel="0" collapsed="false">
      <c r="A24" s="9" t="s">
        <v>1518</v>
      </c>
      <c r="B24" s="50" t="s">
        <v>1519</v>
      </c>
      <c r="C24" s="9"/>
      <c r="D24" s="43" t="n">
        <v>45878</v>
      </c>
      <c r="E24" s="43" t="n">
        <v>45912</v>
      </c>
      <c r="F24" s="32" t="n">
        <f aca="false">IF(OR(D24="",E24=""),"",NETWORKDAYS.INTL(D24,E24,11))</f>
        <v>30</v>
      </c>
      <c r="G24" s="9"/>
      <c r="H24" s="16"/>
      <c r="I24" s="51"/>
      <c r="J24" s="16" t="str">
        <f aca="true">IF(A24="","",IF(OR(D24="",E24=""),"Sin fechas",IF(TODAY()&gt;E24,"Fin planificado",IF(TODAY()&gt;=D24,"En curso","Por iniciar"))))</f>
        <v>Fin planificado</v>
      </c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</row>
    <row r="25" customFormat="false" ht="15" hidden="false" customHeight="false" outlineLevel="0" collapsed="false">
      <c r="A25" s="45" t="s">
        <v>322</v>
      </c>
      <c r="B25" s="45" t="s">
        <v>323</v>
      </c>
      <c r="C25" s="45" t="s">
        <v>17318</v>
      </c>
      <c r="D25" s="46" t="n">
        <v>45913</v>
      </c>
      <c r="E25" s="46" t="n">
        <v>46525</v>
      </c>
      <c r="F25" s="47" t="n">
        <f aca="false">IF(OR(D25="",E25=""),"",NETWORKDAYS.INTL(D25,E25,11))</f>
        <v>525</v>
      </c>
      <c r="G25" s="45"/>
      <c r="H25" s="10" t="n">
        <f aca="false">IF(A25="","",COUNTIF(LOOKAHEAD!$C$5:$C$604,A25))</f>
        <v>154</v>
      </c>
      <c r="I25" s="48" t="n">
        <f aca="false">IF(A25="","",IFERROR(AVERAGEIF(LOOKAHEAD!$C$5:$C$604,A25,LOOKAHEAD!$N$5:$N$604),0))</f>
        <v>0</v>
      </c>
      <c r="J25" s="10" t="str">
        <f aca="true">IF(A25="","",IF(OR(D25="",E25=""),"Sin fechas",IF(H25=0,IF(TODAY()&gt;E25,"Fin planificado",IF(TODAY()&gt;=D25,"En curso","Por iniciar")),IF(I25&gt;=1,"Terminada",IF(TODAY()&gt;E25,"Atrasada",IF(TODAY()&gt;=D25,"En curso","Por iniciar"))))))</f>
        <v>En curso</v>
      </c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</row>
    <row r="26" customFormat="false" ht="15" hidden="false" customHeight="false" outlineLevel="0" collapsed="false">
      <c r="A26" s="9" t="s">
        <v>1530</v>
      </c>
      <c r="B26" s="50" t="s">
        <v>1531</v>
      </c>
      <c r="C26" s="9"/>
      <c r="D26" s="43" t="n">
        <v>45913</v>
      </c>
      <c r="E26" s="43" t="n">
        <v>46299</v>
      </c>
      <c r="F26" s="32" t="n">
        <f aca="false">IF(OR(D26="",E26=""),"",NETWORKDAYS.INTL(D26,E26,11))</f>
        <v>331</v>
      </c>
      <c r="G26" s="9"/>
      <c r="H26" s="16"/>
      <c r="I26" s="51"/>
      <c r="J26" s="16" t="str">
        <f aca="true">IF(A26="","",IF(OR(D26="",E26=""),"Sin fechas",IF(TODAY()&gt;E26,"Fin planificado",IF(TODAY()&gt;=D26,"En curso","Por iniciar"))))</f>
        <v>Fin planificado</v>
      </c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</row>
    <row r="27" customFormat="false" ht="15" hidden="false" customHeight="false" outlineLevel="0" collapsed="false">
      <c r="A27" s="9" t="s">
        <v>2224</v>
      </c>
      <c r="B27" s="50" t="s">
        <v>2225</v>
      </c>
      <c r="C27" s="9"/>
      <c r="D27" s="43" t="n">
        <v>45959</v>
      </c>
      <c r="E27" s="43" t="n">
        <v>46525</v>
      </c>
      <c r="F27" s="32" t="n">
        <f aca="false">IF(OR(D27="",E27=""),"",NETWORKDAYS.INTL(D27,E27,11))</f>
        <v>486</v>
      </c>
      <c r="G27" s="9"/>
      <c r="H27" s="16"/>
      <c r="I27" s="51"/>
      <c r="J27" s="16" t="str">
        <f aca="true">IF(A27="","",IF(OR(D27="",E27=""),"Sin fechas",IF(TODAY()&gt;E27,"Fin planificado",IF(TODAY()&gt;=D27,"En curso","Por iniciar"))))</f>
        <v>En curso</v>
      </c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</row>
    <row r="28" customFormat="false" ht="15" hidden="false" customHeight="false" outlineLevel="0" collapsed="false">
      <c r="A28" s="9" t="s">
        <v>3011</v>
      </c>
      <c r="B28" s="50" t="s">
        <v>3012</v>
      </c>
      <c r="C28" s="9"/>
      <c r="D28" s="43" t="n">
        <v>46005</v>
      </c>
      <c r="E28" s="43" t="n">
        <v>46364</v>
      </c>
      <c r="F28" s="32" t="n">
        <f aca="false">IF(OR(D28="",E28=""),"",NETWORKDAYS.INTL(D28,E28,11))</f>
        <v>308</v>
      </c>
      <c r="G28" s="9"/>
      <c r="H28" s="16"/>
      <c r="I28" s="51"/>
      <c r="J28" s="16" t="str">
        <f aca="true">IF(A28="","",IF(OR(D28="",E28=""),"Sin fechas",IF(TODAY()&gt;E28,"Fin planificado",IF(TODAY()&gt;=D28,"En curso","Por iniciar"))))</f>
        <v>En curso</v>
      </c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</row>
    <row r="29" customFormat="false" ht="15" hidden="false" customHeight="false" outlineLevel="0" collapsed="false">
      <c r="A29" s="9" t="s">
        <v>3454</v>
      </c>
      <c r="B29" s="50" t="s">
        <v>3455</v>
      </c>
      <c r="C29" s="9"/>
      <c r="D29" s="43" t="n">
        <v>46051</v>
      </c>
      <c r="E29" s="43" t="n">
        <v>46148</v>
      </c>
      <c r="F29" s="32" t="n">
        <f aca="false">IF(OR(D29="",E29=""),"",NETWORKDAYS.INTL(D29,E29,11))</f>
        <v>84</v>
      </c>
      <c r="G29" s="9"/>
      <c r="H29" s="16"/>
      <c r="I29" s="51"/>
      <c r="J29" s="16" t="str">
        <f aca="true">IF(A29="","",IF(OR(D29="",E29=""),"Sin fechas",IF(TODAY()&gt;E29,"Fin planificado",IF(TODAY()&gt;=D29,"En curso","Por iniciar"))))</f>
        <v>Fin planificado</v>
      </c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</row>
    <row r="30" customFormat="false" ht="15" hidden="false" customHeight="false" outlineLevel="0" collapsed="false">
      <c r="A30" s="9" t="s">
        <v>3693</v>
      </c>
      <c r="B30" s="50" t="s">
        <v>3694</v>
      </c>
      <c r="C30" s="9"/>
      <c r="D30" s="43" t="n">
        <v>46092</v>
      </c>
      <c r="E30" s="43" t="n">
        <v>46354</v>
      </c>
      <c r="F30" s="32" t="n">
        <f aca="false">IF(OR(D30="",E30=""),"",NETWORKDAYS.INTL(D30,E30,11))</f>
        <v>226</v>
      </c>
      <c r="G30" s="9"/>
      <c r="H30" s="16"/>
      <c r="I30" s="51"/>
      <c r="J30" s="16" t="str">
        <f aca="true">IF(A30="","",IF(OR(D30="",E30=""),"Sin fechas",IF(TODAY()&gt;E30,"Fin planificado",IF(TODAY()&gt;=D30,"En curso","Por iniciar"))))</f>
        <v>En curso</v>
      </c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</row>
    <row r="31" customFormat="false" ht="15" hidden="false" customHeight="false" outlineLevel="0" collapsed="false">
      <c r="A31" s="9" t="s">
        <v>4017</v>
      </c>
      <c r="B31" s="50" t="s">
        <v>4018</v>
      </c>
      <c r="C31" s="9"/>
      <c r="D31" s="43" t="n">
        <v>46246</v>
      </c>
      <c r="E31" s="43" t="n">
        <v>46509</v>
      </c>
      <c r="F31" s="32" t="n">
        <f aca="false">IF(OR(D31="",E31=""),"",NETWORKDAYS.INTL(D31,E31,11))</f>
        <v>226</v>
      </c>
      <c r="G31" s="9"/>
      <c r="H31" s="16"/>
      <c r="I31" s="51"/>
      <c r="J31" s="16" t="str">
        <f aca="true">IF(A31="","",IF(OR(D31="",E31=""),"Sin fechas",IF(TODAY()&gt;E31,"Fin planificado",IF(TODAY()&gt;=D31,"En curso","Por iniciar"))))</f>
        <v>En curso</v>
      </c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</row>
    <row r="32" customFormat="false" ht="15" hidden="false" customHeight="false" outlineLevel="0" collapsed="false">
      <c r="A32" s="9" t="s">
        <v>4415</v>
      </c>
      <c r="B32" s="50" t="s">
        <v>4416</v>
      </c>
      <c r="C32" s="9"/>
      <c r="D32" s="43" t="n">
        <v>46155</v>
      </c>
      <c r="E32" s="43" t="n">
        <v>46299</v>
      </c>
      <c r="F32" s="32" t="n">
        <f aca="false">IF(OR(D32="",E32=""),"",NETWORKDAYS.INTL(D32,E32,11))</f>
        <v>124</v>
      </c>
      <c r="G32" s="9"/>
      <c r="H32" s="16"/>
      <c r="I32" s="51"/>
      <c r="J32" s="16" t="str">
        <f aca="true">IF(A32="","",IF(OR(D32="",E32=""),"Sin fechas",IF(TODAY()&gt;E32,"Fin planificado",IF(TODAY()&gt;=D32,"En curso","Por iniciar"))))</f>
        <v>Fin planificado</v>
      </c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</row>
    <row r="33" customFormat="false" ht="15" hidden="false" customHeight="false" outlineLevel="0" collapsed="false">
      <c r="A33" s="9" t="s">
        <v>4609</v>
      </c>
      <c r="B33" s="50" t="s">
        <v>4610</v>
      </c>
      <c r="C33" s="9"/>
      <c r="D33" s="43" t="n">
        <v>46133</v>
      </c>
      <c r="E33" s="43" t="n">
        <v>46495</v>
      </c>
      <c r="F33" s="32" t="n">
        <f aca="false">IF(OR(D33="",E33=""),"",NETWORKDAYS.INTL(D33,E33,11))</f>
        <v>311</v>
      </c>
      <c r="G33" s="9"/>
      <c r="H33" s="16"/>
      <c r="I33" s="51"/>
      <c r="J33" s="16" t="str">
        <f aca="true">IF(A33="","",IF(OR(D33="",E33=""),"Sin fechas",IF(TODAY()&gt;E33,"Fin planificado",IF(TODAY()&gt;=D33,"En curso","Por iniciar"))))</f>
        <v>En curso</v>
      </c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</row>
    <row r="34" customFormat="false" ht="15" hidden="false" customHeight="false" outlineLevel="0" collapsed="false">
      <c r="A34" s="9" t="s">
        <v>5038</v>
      </c>
      <c r="B34" s="50" t="s">
        <v>5039</v>
      </c>
      <c r="C34" s="9"/>
      <c r="D34" s="43" t="n">
        <v>46145</v>
      </c>
      <c r="E34" s="43" t="n">
        <v>46441</v>
      </c>
      <c r="F34" s="32" t="n">
        <f aca="false">IF(OR(D34="",E34=""),"",NETWORKDAYS.INTL(D34,E34,11))</f>
        <v>254</v>
      </c>
      <c r="G34" s="9"/>
      <c r="H34" s="16"/>
      <c r="I34" s="51"/>
      <c r="J34" s="16" t="str">
        <f aca="true">IF(A34="","",IF(OR(D34="",E34=""),"Sin fechas",IF(TODAY()&gt;E34,"Fin planificado",IF(TODAY()&gt;=D34,"En curso","Por iniciar"))))</f>
        <v>En curso</v>
      </c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</row>
    <row r="35" customFormat="false" ht="15" hidden="false" customHeight="false" outlineLevel="0" collapsed="false">
      <c r="A35" s="9" t="s">
        <v>5349</v>
      </c>
      <c r="B35" s="50" t="s">
        <v>5350</v>
      </c>
      <c r="C35" s="9"/>
      <c r="D35" s="43" t="n">
        <v>46146</v>
      </c>
      <c r="E35" s="43" t="n">
        <v>46321</v>
      </c>
      <c r="F35" s="32" t="n">
        <f aca="false">IF(OR(D35="",E35=""),"",NETWORKDAYS.INTL(D35,E35,11))</f>
        <v>151</v>
      </c>
      <c r="G35" s="9"/>
      <c r="H35" s="16"/>
      <c r="I35" s="51"/>
      <c r="J35" s="16" t="str">
        <f aca="true">IF(A35="","",IF(OR(D35="",E35=""),"Sin fechas",IF(TODAY()&gt;E35,"Fin planificado",IF(TODAY()&gt;=D35,"En curso","Por iniciar"))))</f>
        <v>En curso</v>
      </c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</row>
    <row r="36" customFormat="false" ht="15" hidden="false" customHeight="false" outlineLevel="0" collapsed="false">
      <c r="A36" s="9" t="s">
        <v>5562</v>
      </c>
      <c r="B36" s="50" t="s">
        <v>5563</v>
      </c>
      <c r="C36" s="9"/>
      <c r="D36" s="43" t="n">
        <v>46093</v>
      </c>
      <c r="E36" s="43" t="n">
        <v>46125</v>
      </c>
      <c r="F36" s="32" t="n">
        <f aca="false">IF(OR(D36="",E36=""),"",NETWORKDAYS.INTL(D36,E36,11))</f>
        <v>28</v>
      </c>
      <c r="G36" s="9"/>
      <c r="H36" s="16"/>
      <c r="I36" s="51"/>
      <c r="J36" s="16" t="str">
        <f aca="true">IF(A36="","",IF(OR(D36="",E36=""),"Sin fechas",IF(TODAY()&gt;E36,"Fin planificado",IF(TODAY()&gt;=D36,"En curso","Por iniciar"))))</f>
        <v>Fin planificado</v>
      </c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</row>
    <row r="37" customFormat="false" ht="15" hidden="false" customHeight="false" outlineLevel="0" collapsed="false">
      <c r="A37" s="9" t="s">
        <v>5759</v>
      </c>
      <c r="B37" s="50" t="s">
        <v>5760</v>
      </c>
      <c r="C37" s="9"/>
      <c r="D37" s="43" t="n">
        <v>46248</v>
      </c>
      <c r="E37" s="43" t="n">
        <v>46352</v>
      </c>
      <c r="F37" s="32" t="n">
        <f aca="false">IF(OR(D37="",E37=""),"",NETWORKDAYS.INTL(D37,E37,11))</f>
        <v>90</v>
      </c>
      <c r="G37" s="9"/>
      <c r="H37" s="16"/>
      <c r="I37" s="51"/>
      <c r="J37" s="16" t="str">
        <f aca="true">IF(A37="","",IF(OR(D37="",E37=""),"Sin fechas",IF(TODAY()&gt;E37,"Fin planificado",IF(TODAY()&gt;=D37,"En curso","Por iniciar"))))</f>
        <v>En curso</v>
      </c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</row>
    <row r="38" customFormat="false" ht="15" hidden="false" customHeight="false" outlineLevel="0" collapsed="false">
      <c r="A38" s="9" t="s">
        <v>6035</v>
      </c>
      <c r="B38" s="50" t="s">
        <v>6036</v>
      </c>
      <c r="C38" s="9"/>
      <c r="D38" s="43" t="n">
        <v>45960</v>
      </c>
      <c r="E38" s="43" t="n">
        <v>46024</v>
      </c>
      <c r="F38" s="32" t="n">
        <f aca="false">IF(OR(D38="",E38=""),"",NETWORKDAYS.INTL(D38,E38,11))</f>
        <v>56</v>
      </c>
      <c r="G38" s="9"/>
      <c r="H38" s="16"/>
      <c r="I38" s="51"/>
      <c r="J38" s="16" t="str">
        <f aca="true">IF(A38="","",IF(OR(D38="",E38=""),"Sin fechas",IF(TODAY()&gt;E38,"Fin planificado",IF(TODAY()&gt;=D38,"En curso","Por iniciar"))))</f>
        <v>Fin planificado</v>
      </c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</row>
    <row r="39" customFormat="false" ht="15" hidden="false" customHeight="false" outlineLevel="0" collapsed="false">
      <c r="A39" s="9" t="s">
        <v>6392</v>
      </c>
      <c r="B39" s="50" t="s">
        <v>6393</v>
      </c>
      <c r="C39" s="9"/>
      <c r="D39" s="43" t="n">
        <v>45972</v>
      </c>
      <c r="E39" s="43" t="n">
        <v>46023</v>
      </c>
      <c r="F39" s="32" t="n">
        <f aca="false">IF(OR(D39="",E39=""),"",NETWORKDAYS.INTL(D39,E39,11))</f>
        <v>45</v>
      </c>
      <c r="G39" s="9"/>
      <c r="H39" s="16"/>
      <c r="I39" s="51"/>
      <c r="J39" s="16" t="str">
        <f aca="true">IF(A39="","",IF(OR(D39="",E39=""),"Sin fechas",IF(TODAY()&gt;E39,"Fin planificado",IF(TODAY()&gt;=D39,"En curso","Por iniciar"))))</f>
        <v>Fin planificado</v>
      </c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</row>
    <row r="40" customFormat="false" ht="15" hidden="false" customHeight="false" outlineLevel="0" collapsed="false">
      <c r="A40" s="9" t="s">
        <v>6715</v>
      </c>
      <c r="B40" s="50" t="s">
        <v>6716</v>
      </c>
      <c r="C40" s="9"/>
      <c r="D40" s="43" t="n">
        <v>45918</v>
      </c>
      <c r="E40" s="43" t="n">
        <v>46097</v>
      </c>
      <c r="F40" s="32" t="n">
        <f aca="false">IF(OR(D40="",E40=""),"",NETWORKDAYS.INTL(D40,E40,11))</f>
        <v>154</v>
      </c>
      <c r="G40" s="9"/>
      <c r="H40" s="16"/>
      <c r="I40" s="51"/>
      <c r="J40" s="16" t="str">
        <f aca="true">IF(A40="","",IF(OR(D40="",E40=""),"Sin fechas",IF(TODAY()&gt;E40,"Fin planificado",IF(TODAY()&gt;=D40,"En curso","Por iniciar"))))</f>
        <v>Fin planificado</v>
      </c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</row>
    <row r="41" customFormat="false" ht="15" hidden="false" customHeight="false" outlineLevel="0" collapsed="false">
      <c r="A41" s="9" t="s">
        <v>7064</v>
      </c>
      <c r="B41" s="50" t="s">
        <v>7065</v>
      </c>
      <c r="C41" s="9"/>
      <c r="D41" s="43" t="n">
        <v>45973</v>
      </c>
      <c r="E41" s="43" t="n">
        <v>46008</v>
      </c>
      <c r="F41" s="32" t="n">
        <f aca="false">IF(OR(D41="",E41=""),"",NETWORKDAYS.INTL(D41,E41,11))</f>
        <v>31</v>
      </c>
      <c r="G41" s="9"/>
      <c r="H41" s="16"/>
      <c r="I41" s="51"/>
      <c r="J41" s="16" t="str">
        <f aca="true">IF(A41="","",IF(OR(D41="",E41=""),"Sin fechas",IF(TODAY()&gt;E41,"Fin planificado",IF(TODAY()&gt;=D41,"En curso","Por iniciar"))))</f>
        <v>Fin planificado</v>
      </c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</row>
    <row r="42" customFormat="false" ht="15" hidden="false" customHeight="false" outlineLevel="0" collapsed="false">
      <c r="A42" s="9" t="s">
        <v>7144</v>
      </c>
      <c r="B42" s="50" t="s">
        <v>7145</v>
      </c>
      <c r="C42" s="9"/>
      <c r="D42" s="43" t="n">
        <v>45969</v>
      </c>
      <c r="E42" s="43" t="n">
        <v>46094</v>
      </c>
      <c r="F42" s="32" t="n">
        <f aca="false">IF(OR(D42="",E42=""),"",NETWORKDAYS.INTL(D42,E42,11))</f>
        <v>108</v>
      </c>
      <c r="G42" s="9"/>
      <c r="H42" s="16"/>
      <c r="I42" s="51"/>
      <c r="J42" s="16" t="str">
        <f aca="true">IF(A42="","",IF(OR(D42="",E42=""),"Sin fechas",IF(TODAY()&gt;E42,"Fin planificado",IF(TODAY()&gt;=D42,"En curso","Por iniciar"))))</f>
        <v>Fin planificado</v>
      </c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</row>
    <row r="43" customFormat="false" ht="15" hidden="false" customHeight="false" outlineLevel="0" collapsed="false">
      <c r="A43" s="45" t="s">
        <v>563</v>
      </c>
      <c r="B43" s="45" t="s">
        <v>564</v>
      </c>
      <c r="C43" s="45" t="s">
        <v>17322</v>
      </c>
      <c r="D43" s="46" t="n">
        <v>45989</v>
      </c>
      <c r="E43" s="46" t="n">
        <v>46609</v>
      </c>
      <c r="F43" s="47" t="n">
        <f aca="false">IF(OR(D43="",E43=""),"",NETWORKDAYS.INTL(D43,E43,11))</f>
        <v>532</v>
      </c>
      <c r="G43" s="45"/>
      <c r="H43" s="10" t="n">
        <f aca="false">IF(A43="","",COUNTIF(LOOKAHEAD!$C$5:$C$604,A43))</f>
        <v>61</v>
      </c>
      <c r="I43" s="48" t="n">
        <f aca="false">IF(A43="","",IFERROR(AVERAGEIF(LOOKAHEAD!$C$5:$C$604,A43,LOOKAHEAD!$N$5:$N$604),0))</f>
        <v>0</v>
      </c>
      <c r="J43" s="10" t="str">
        <f aca="true">IF(A43="","",IF(OR(D43="",E43=""),"Sin fechas",IF(H43=0,IF(TODAY()&gt;E43,"Fin planificado",IF(TODAY()&gt;=D43,"En curso","Por iniciar")),IF(I43&gt;=1,"Terminada",IF(TODAY()&gt;E43,"Atrasada",IF(TODAY()&gt;=D43,"En curso","Por iniciar"))))))</f>
        <v>En curso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</row>
    <row r="44" customFormat="false" ht="15" hidden="false" customHeight="false" outlineLevel="0" collapsed="false">
      <c r="A44" s="9" t="s">
        <v>7174</v>
      </c>
      <c r="B44" s="50" t="s">
        <v>1531</v>
      </c>
      <c r="C44" s="9"/>
      <c r="D44" s="43" t="n">
        <v>46039</v>
      </c>
      <c r="E44" s="43" t="n">
        <v>46354</v>
      </c>
      <c r="F44" s="32" t="n">
        <f aca="false">IF(OR(D44="",E44=""),"",NETWORKDAYS.INTL(D44,E44,11))</f>
        <v>271</v>
      </c>
      <c r="G44" s="9"/>
      <c r="H44" s="16"/>
      <c r="I44" s="51"/>
      <c r="J44" s="16" t="str">
        <f aca="true">IF(A44="","",IF(OR(D44="",E44=""),"Sin fechas",IF(TODAY()&gt;E44,"Fin planificado",IF(TODAY()&gt;=D44,"En curso","Por iniciar"))))</f>
        <v>En curso</v>
      </c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</row>
    <row r="45" customFormat="false" ht="15" hidden="false" customHeight="false" outlineLevel="0" collapsed="false">
      <c r="A45" s="9" t="s">
        <v>7483</v>
      </c>
      <c r="B45" s="50" t="s">
        <v>2225</v>
      </c>
      <c r="C45" s="9"/>
      <c r="D45" s="43" t="n">
        <v>46104</v>
      </c>
      <c r="E45" s="43" t="n">
        <v>46572</v>
      </c>
      <c r="F45" s="32" t="n">
        <f aca="false">IF(OR(D45="",E45=""),"",NETWORKDAYS.INTL(D45,E45,11))</f>
        <v>402</v>
      </c>
      <c r="G45" s="9"/>
      <c r="H45" s="16"/>
      <c r="I45" s="51"/>
      <c r="J45" s="16" t="str">
        <f aca="true">IF(A45="","",IF(OR(D45="",E45=""),"Sin fechas",IF(TODAY()&gt;E45,"Fin planificado",IF(TODAY()&gt;=D45,"En curso","Por iniciar"))))</f>
        <v>En curso</v>
      </c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</row>
    <row r="46" customFormat="false" ht="15" hidden="false" customHeight="false" outlineLevel="0" collapsed="false">
      <c r="A46" s="9" t="s">
        <v>7816</v>
      </c>
      <c r="B46" s="50" t="s">
        <v>3012</v>
      </c>
      <c r="C46" s="9"/>
      <c r="D46" s="43" t="n">
        <v>46128</v>
      </c>
      <c r="E46" s="43" t="n">
        <v>46497</v>
      </c>
      <c r="F46" s="32" t="n">
        <f aca="false">IF(OR(D46="",E46=""),"",NETWORKDAYS.INTL(D46,E46,11))</f>
        <v>317</v>
      </c>
      <c r="G46" s="9"/>
      <c r="H46" s="16"/>
      <c r="I46" s="51"/>
      <c r="J46" s="16" t="str">
        <f aca="true">IF(A46="","",IF(OR(D46="",E46=""),"Sin fechas",IF(TODAY()&gt;E46,"Fin planificado",IF(TODAY()&gt;=D46,"En curso","Por iniciar"))))</f>
        <v>En curso</v>
      </c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</row>
    <row r="47" customFormat="false" ht="15" hidden="false" customHeight="false" outlineLevel="0" collapsed="false">
      <c r="A47" s="9" t="s">
        <v>8028</v>
      </c>
      <c r="B47" s="50" t="s">
        <v>3455</v>
      </c>
      <c r="C47" s="9"/>
      <c r="D47" s="43" t="n">
        <v>46116</v>
      </c>
      <c r="E47" s="43" t="n">
        <v>46452</v>
      </c>
      <c r="F47" s="32" t="n">
        <f aca="false">IF(OR(D47="",E47=""),"",NETWORKDAYS.INTL(D47,E47,11))</f>
        <v>289</v>
      </c>
      <c r="G47" s="9"/>
      <c r="H47" s="16"/>
      <c r="I47" s="51"/>
      <c r="J47" s="16" t="str">
        <f aca="true">IF(A47="","",IF(OR(D47="",E47=""),"Sin fechas",IF(TODAY()&gt;E47,"Fin planificado",IF(TODAY()&gt;=D47,"En curso","Por iniciar"))))</f>
        <v>En curso</v>
      </c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</row>
    <row r="48" customFormat="false" ht="15" hidden="false" customHeight="false" outlineLevel="0" collapsed="false">
      <c r="A48" s="9" t="s">
        <v>8176</v>
      </c>
      <c r="B48" s="50" t="s">
        <v>3694</v>
      </c>
      <c r="C48" s="9"/>
      <c r="D48" s="43" t="n">
        <v>46277</v>
      </c>
      <c r="E48" s="43" t="n">
        <v>46581</v>
      </c>
      <c r="F48" s="32" t="n">
        <f aca="false">IF(OR(D48="",E48=""),"",NETWORKDAYS.INTL(D48,E48,11))</f>
        <v>261</v>
      </c>
      <c r="G48" s="9"/>
      <c r="H48" s="16"/>
      <c r="I48" s="51"/>
      <c r="J48" s="16" t="str">
        <f aca="true">IF(A48="","",IF(OR(D48="",E48=""),"Sin fechas",IF(TODAY()&gt;E48,"Fin planificado",IF(TODAY()&gt;=D48,"En curso","Por iniciar"))))</f>
        <v>En curso</v>
      </c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</row>
    <row r="49" customFormat="false" ht="15" hidden="false" customHeight="false" outlineLevel="0" collapsed="false">
      <c r="A49" s="9" t="s">
        <v>8367</v>
      </c>
      <c r="B49" s="50" t="s">
        <v>4018</v>
      </c>
      <c r="C49" s="9"/>
      <c r="D49" s="43" t="n">
        <v>46340</v>
      </c>
      <c r="E49" s="43" t="n">
        <v>46609</v>
      </c>
      <c r="F49" s="32" t="n">
        <f aca="false">IF(OR(D49="",E49=""),"",NETWORKDAYS.INTL(D49,E49,11))</f>
        <v>231</v>
      </c>
      <c r="G49" s="9"/>
      <c r="H49" s="16"/>
      <c r="I49" s="51"/>
      <c r="J49" s="16" t="str">
        <f aca="true">IF(A49="","",IF(OR(D49="",E49=""),"Sin fechas",IF(TODAY()&gt;E49,"Fin planificado",IF(TODAY()&gt;=D49,"En curso","Por iniciar"))))</f>
        <v>Por iniciar</v>
      </c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</row>
    <row r="50" customFormat="false" ht="15" hidden="false" customHeight="false" outlineLevel="0" collapsed="false">
      <c r="A50" s="9" t="s">
        <v>8627</v>
      </c>
      <c r="B50" s="50" t="s">
        <v>4416</v>
      </c>
      <c r="C50" s="9"/>
      <c r="D50" s="43" t="n">
        <v>46281</v>
      </c>
      <c r="E50" s="43" t="n">
        <v>46373</v>
      </c>
      <c r="F50" s="32" t="n">
        <f aca="false">IF(OR(D50="",E50=""),"",NETWORKDAYS.INTL(D50,E50,11))</f>
        <v>80</v>
      </c>
      <c r="G50" s="9"/>
      <c r="H50" s="16"/>
      <c r="I50" s="51"/>
      <c r="J50" s="16" t="str">
        <f aca="true">IF(A50="","",IF(OR(D50="",E50=""),"Sin fechas",IF(TODAY()&gt;E50,"Fin planificado",IF(TODAY()&gt;=D50,"En curso","Por iniciar"))))</f>
        <v>En curso</v>
      </c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</row>
    <row r="51" customFormat="false" ht="15" hidden="false" customHeight="false" outlineLevel="0" collapsed="false">
      <c r="A51" s="9" t="s">
        <v>8772</v>
      </c>
      <c r="B51" s="50" t="s">
        <v>4610</v>
      </c>
      <c r="C51" s="9"/>
      <c r="D51" s="43" t="n">
        <v>46380</v>
      </c>
      <c r="E51" s="43" t="n">
        <v>46544</v>
      </c>
      <c r="F51" s="32" t="n">
        <f aca="false">IF(OR(D51="",E51=""),"",NETWORKDAYS.INTL(D51,E51,11))</f>
        <v>141</v>
      </c>
      <c r="G51" s="9"/>
      <c r="H51" s="16"/>
      <c r="I51" s="51"/>
      <c r="J51" s="16" t="str">
        <f aca="true">IF(A51="","",IF(OR(D51="",E51=""),"Sin fechas",IF(TODAY()&gt;E51,"Fin planificado",IF(TODAY()&gt;=D51,"En curso","Por iniciar"))))</f>
        <v>Por iniciar</v>
      </c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</row>
    <row r="52" customFormat="false" ht="15" hidden="false" customHeight="false" outlineLevel="0" collapsed="false">
      <c r="A52" s="9" t="s">
        <v>8929</v>
      </c>
      <c r="B52" s="50" t="s">
        <v>5039</v>
      </c>
      <c r="C52" s="9"/>
      <c r="D52" s="43" t="n">
        <v>46396</v>
      </c>
      <c r="E52" s="43" t="n">
        <v>46560</v>
      </c>
      <c r="F52" s="32" t="n">
        <f aca="false">IF(OR(D52="",E52=""),"",NETWORKDAYS.INTL(D52,E52,11))</f>
        <v>141</v>
      </c>
      <c r="G52" s="9"/>
      <c r="H52" s="16"/>
      <c r="I52" s="51"/>
      <c r="J52" s="16" t="str">
        <f aca="true">IF(A52="","",IF(OR(D52="",E52=""),"Sin fechas",IF(TODAY()&gt;E52,"Fin planificado",IF(TODAY()&gt;=D52,"En curso","Por iniciar"))))</f>
        <v>Por iniciar</v>
      </c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</row>
    <row r="53" customFormat="false" ht="15" hidden="false" customHeight="false" outlineLevel="0" collapsed="false">
      <c r="A53" s="9" t="s">
        <v>9101</v>
      </c>
      <c r="B53" s="50" t="s">
        <v>9102</v>
      </c>
      <c r="C53" s="9"/>
      <c r="D53" s="43" t="n">
        <v>46298</v>
      </c>
      <c r="E53" s="43" t="n">
        <v>46446</v>
      </c>
      <c r="F53" s="32" t="n">
        <f aca="false">IF(OR(D53="",E53=""),"",NETWORKDAYS.INTL(D53,E53,11))</f>
        <v>127</v>
      </c>
      <c r="G53" s="9"/>
      <c r="H53" s="16"/>
      <c r="I53" s="51"/>
      <c r="J53" s="16" t="str">
        <f aca="true">IF(A53="","",IF(OR(D53="",E53=""),"Sin fechas",IF(TODAY()&gt;E53,"Fin planificado",IF(TODAY()&gt;=D53,"En curso","Por iniciar"))))</f>
        <v>En curso</v>
      </c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</row>
    <row r="54" customFormat="false" ht="15" hidden="false" customHeight="false" outlineLevel="0" collapsed="false">
      <c r="A54" s="9" t="s">
        <v>9277</v>
      </c>
      <c r="B54" s="50" t="s">
        <v>9278</v>
      </c>
      <c r="C54" s="9"/>
      <c r="D54" s="43" t="n">
        <v>46115</v>
      </c>
      <c r="E54" s="43" t="n">
        <v>46145</v>
      </c>
      <c r="F54" s="32" t="n">
        <f aca="false">IF(OR(D54="",E54=""),"",NETWORKDAYS.INTL(D54,E54,11))</f>
        <v>26</v>
      </c>
      <c r="G54" s="9"/>
      <c r="H54" s="16"/>
      <c r="I54" s="51"/>
      <c r="J54" s="16" t="str">
        <f aca="true">IF(A54="","",IF(OR(D54="",E54=""),"Sin fechas",IF(TODAY()&gt;E54,"Fin planificado",IF(TODAY()&gt;=D54,"En curso","Por iniciar"))))</f>
        <v>Fin planificado</v>
      </c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</row>
    <row r="55" customFormat="false" ht="15" hidden="false" customHeight="false" outlineLevel="0" collapsed="false">
      <c r="A55" s="9" t="s">
        <v>9372</v>
      </c>
      <c r="B55" s="50" t="s">
        <v>9373</v>
      </c>
      <c r="C55" s="9"/>
      <c r="D55" s="43" t="n">
        <v>46313</v>
      </c>
      <c r="E55" s="43" t="n">
        <v>46351</v>
      </c>
      <c r="F55" s="32" t="n">
        <f aca="false">IF(OR(D55="",E55=""),"",NETWORKDAYS.INTL(D55,E55,11))</f>
        <v>33</v>
      </c>
      <c r="G55" s="9"/>
      <c r="H55" s="16"/>
      <c r="I55" s="51"/>
      <c r="J55" s="16" t="str">
        <f aca="true">IF(A55="","",IF(OR(D55="",E55=""),"Sin fechas",IF(TODAY()&gt;E55,"Fin planificado",IF(TODAY()&gt;=D55,"En curso","Por iniciar"))))</f>
        <v>Por iniciar</v>
      </c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</row>
    <row r="56" customFormat="false" ht="15" hidden="false" customHeight="false" outlineLevel="0" collapsed="false">
      <c r="A56" s="9" t="s">
        <v>9498</v>
      </c>
      <c r="B56" s="50" t="s">
        <v>9499</v>
      </c>
      <c r="C56" s="9"/>
      <c r="D56" s="43" t="n">
        <v>45989</v>
      </c>
      <c r="E56" s="43" t="n">
        <v>46016</v>
      </c>
      <c r="F56" s="32" t="n">
        <f aca="false">IF(OR(D56="",E56=""),"",NETWORKDAYS.INTL(D56,E56,11))</f>
        <v>24</v>
      </c>
      <c r="G56" s="9"/>
      <c r="H56" s="16"/>
      <c r="I56" s="51"/>
      <c r="J56" s="16" t="str">
        <f aca="true">IF(A56="","",IF(OR(D56="",E56=""),"Sin fechas",IF(TODAY()&gt;E56,"Fin planificado",IF(TODAY()&gt;=D56,"En curso","Por iniciar"))))</f>
        <v>Fin planificado</v>
      </c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</row>
    <row r="57" customFormat="false" ht="15" hidden="false" customHeight="false" outlineLevel="0" collapsed="false">
      <c r="A57" s="9" t="s">
        <v>9602</v>
      </c>
      <c r="B57" s="50" t="s">
        <v>9603</v>
      </c>
      <c r="C57" s="9"/>
      <c r="D57" s="43" t="n">
        <v>46016</v>
      </c>
      <c r="E57" s="43" t="n">
        <v>46060</v>
      </c>
      <c r="F57" s="32" t="n">
        <f aca="false">IF(OR(D57="",E57=""),"",NETWORKDAYS.INTL(D57,E57,11))</f>
        <v>39</v>
      </c>
      <c r="G57" s="9"/>
      <c r="H57" s="16"/>
      <c r="I57" s="51"/>
      <c r="J57" s="16" t="str">
        <f aca="true">IF(A57="","",IF(OR(D57="",E57=""),"Sin fechas",IF(TODAY()&gt;E57,"Fin planificado",IF(TODAY()&gt;=D57,"En curso","Por iniciar"))))</f>
        <v>Fin planificado</v>
      </c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</row>
    <row r="58" customFormat="false" ht="15" hidden="false" customHeight="false" outlineLevel="0" collapsed="false">
      <c r="A58" s="9" t="s">
        <v>9741</v>
      </c>
      <c r="B58" s="50" t="s">
        <v>6716</v>
      </c>
      <c r="C58" s="9"/>
      <c r="D58" s="43" t="n">
        <v>46007</v>
      </c>
      <c r="E58" s="43" t="n">
        <v>46057</v>
      </c>
      <c r="F58" s="32" t="n">
        <f aca="false">IF(OR(D58="",E58=""),"",NETWORKDAYS.INTL(D58,E58,11))</f>
        <v>44</v>
      </c>
      <c r="G58" s="9"/>
      <c r="H58" s="16"/>
      <c r="I58" s="51"/>
      <c r="J58" s="16" t="str">
        <f aca="true">IF(A58="","",IF(OR(D58="",E58=""),"Sin fechas",IF(TODAY()&gt;E58,"Fin planificado",IF(TODAY()&gt;=D58,"En curso","Por iniciar"))))</f>
        <v>Fin planificado</v>
      </c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</row>
    <row r="59" customFormat="false" ht="15" hidden="false" customHeight="false" outlineLevel="0" collapsed="false">
      <c r="A59" s="9" t="s">
        <v>9879</v>
      </c>
      <c r="B59" s="50" t="s">
        <v>7065</v>
      </c>
      <c r="C59" s="9"/>
      <c r="D59" s="43" t="n">
        <v>46058</v>
      </c>
      <c r="E59" s="43" t="n">
        <v>46074</v>
      </c>
      <c r="F59" s="32" t="n">
        <f aca="false">IF(OR(D59="",E59=""),"",NETWORKDAYS.INTL(D59,E59,11))</f>
        <v>15</v>
      </c>
      <c r="G59" s="9"/>
      <c r="H59" s="16"/>
      <c r="I59" s="51"/>
      <c r="J59" s="16" t="str">
        <f aca="true">IF(A59="","",IF(OR(D59="",E59=""),"Sin fechas",IF(TODAY()&gt;E59,"Fin planificado",IF(TODAY()&gt;=D59,"En curso","Por iniciar"))))</f>
        <v>Fin planificado</v>
      </c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</row>
    <row r="60" customFormat="false" ht="15" hidden="false" customHeight="false" outlineLevel="0" collapsed="false">
      <c r="A60" s="45" t="s">
        <v>757</v>
      </c>
      <c r="B60" s="45" t="s">
        <v>758</v>
      </c>
      <c r="C60" s="45" t="s">
        <v>17320</v>
      </c>
      <c r="D60" s="46" t="n">
        <v>45915</v>
      </c>
      <c r="E60" s="46" t="n">
        <v>46522</v>
      </c>
      <c r="F60" s="47" t="n">
        <f aca="false">IF(OR(D60="",E60=""),"",NETWORKDAYS.INTL(D60,E60,11))</f>
        <v>522</v>
      </c>
      <c r="G60" s="45"/>
      <c r="H60" s="10" t="n">
        <f aca="false">IF(A60="","",COUNTIF(LOOKAHEAD!$C$5:$C$604,A60))</f>
        <v>13</v>
      </c>
      <c r="I60" s="48" t="n">
        <f aca="false">IF(A60="","",IFERROR(AVERAGEIF(LOOKAHEAD!$C$5:$C$604,A60,LOOKAHEAD!$N$5:$N$604),0))</f>
        <v>0</v>
      </c>
      <c r="J60" s="10" t="str">
        <f aca="true">IF(A60="","",IF(OR(D60="",E60=""),"Sin fechas",IF(H60=0,IF(TODAY()&gt;E60,"Fin planificado",IF(TODAY()&gt;=D60,"En curso","Por iniciar")),IF(I60&gt;=1,"Terminada",IF(TODAY()&gt;E60,"Atrasada",IF(TODAY()&gt;=D60,"En curso","Por iniciar"))))))</f>
        <v>En curso</v>
      </c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</row>
    <row r="61" customFormat="false" ht="15" hidden="false" customHeight="false" outlineLevel="0" collapsed="false">
      <c r="A61" s="9" t="s">
        <v>9947</v>
      </c>
      <c r="B61" s="50" t="s">
        <v>1531</v>
      </c>
      <c r="C61" s="9"/>
      <c r="D61" s="43" t="n">
        <v>45915</v>
      </c>
      <c r="E61" s="43" t="n">
        <v>46329</v>
      </c>
      <c r="F61" s="32" t="n">
        <f aca="false">IF(OR(D61="",E61=""),"",NETWORKDAYS.INTL(D61,E61,11))</f>
        <v>356</v>
      </c>
      <c r="G61" s="9"/>
      <c r="H61" s="16"/>
      <c r="I61" s="51"/>
      <c r="J61" s="16" t="str">
        <f aca="true">IF(A61="","",IF(OR(D61="",E61=""),"Sin fechas",IF(TODAY()&gt;E61,"Fin planificado",IF(TODAY()&gt;=D61,"En curso","Por iniciar"))))</f>
        <v>En curso</v>
      </c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</row>
    <row r="62" customFormat="false" ht="15" hidden="false" customHeight="false" outlineLevel="0" collapsed="false">
      <c r="A62" s="9" t="s">
        <v>10303</v>
      </c>
      <c r="B62" s="50" t="s">
        <v>2225</v>
      </c>
      <c r="C62" s="9"/>
      <c r="D62" s="43" t="n">
        <v>45964</v>
      </c>
      <c r="E62" s="43" t="n">
        <v>46519</v>
      </c>
      <c r="F62" s="32" t="n">
        <f aca="false">IF(OR(D62="",E62=""),"",NETWORKDAYS.INTL(D62,E62,11))</f>
        <v>477</v>
      </c>
      <c r="G62" s="9"/>
      <c r="H62" s="16"/>
      <c r="I62" s="51"/>
      <c r="J62" s="16" t="str">
        <f aca="true">IF(A62="","",IF(OR(D62="",E62=""),"Sin fechas",IF(TODAY()&gt;E62,"Fin planificado",IF(TODAY()&gt;=D62,"En curso","Por iniciar"))))</f>
        <v>En curso</v>
      </c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</row>
    <row r="63" customFormat="false" ht="15" hidden="false" customHeight="false" outlineLevel="0" collapsed="false">
      <c r="A63" s="9" t="s">
        <v>10753</v>
      </c>
      <c r="B63" s="50" t="s">
        <v>3012</v>
      </c>
      <c r="C63" s="9"/>
      <c r="D63" s="43" t="n">
        <v>46008</v>
      </c>
      <c r="E63" s="43" t="n">
        <v>46413</v>
      </c>
      <c r="F63" s="32" t="n">
        <f aca="false">IF(OR(D63="",E63=""),"",NETWORKDAYS.INTL(D63,E63,11))</f>
        <v>348</v>
      </c>
      <c r="G63" s="9"/>
      <c r="H63" s="16"/>
      <c r="I63" s="51"/>
      <c r="J63" s="16" t="str">
        <f aca="true">IF(A63="","",IF(OR(D63="",E63=""),"Sin fechas",IF(TODAY()&gt;E63,"Fin planificado",IF(TODAY()&gt;=D63,"En curso","Por iniciar"))))</f>
        <v>En curso</v>
      </c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</row>
    <row r="64" customFormat="false" ht="15" hidden="false" customHeight="false" outlineLevel="0" collapsed="false">
      <c r="A64" s="9" t="s">
        <v>11000</v>
      </c>
      <c r="B64" s="50" t="s">
        <v>3455</v>
      </c>
      <c r="C64" s="9"/>
      <c r="D64" s="43" t="n">
        <v>46053</v>
      </c>
      <c r="E64" s="43" t="n">
        <v>46293</v>
      </c>
      <c r="F64" s="32" t="n">
        <f aca="false">IF(OR(D64="",E64=""),"",NETWORKDAYS.INTL(D64,E64,11))</f>
        <v>206</v>
      </c>
      <c r="G64" s="9"/>
      <c r="H64" s="16"/>
      <c r="I64" s="51"/>
      <c r="J64" s="16" t="str">
        <f aca="true">IF(A64="","",IF(OR(D64="",E64=""),"Sin fechas",IF(TODAY()&gt;E64,"Fin planificado",IF(TODAY()&gt;=D64,"En curso","Por iniciar"))))</f>
        <v>Fin planificado</v>
      </c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</row>
    <row r="65" customFormat="false" ht="15" hidden="false" customHeight="false" outlineLevel="0" collapsed="false">
      <c r="A65" s="9" t="s">
        <v>11243</v>
      </c>
      <c r="B65" s="50" t="s">
        <v>3694</v>
      </c>
      <c r="C65" s="9"/>
      <c r="D65" s="43" t="n">
        <v>46090</v>
      </c>
      <c r="E65" s="43" t="n">
        <v>46441</v>
      </c>
      <c r="F65" s="32" t="n">
        <f aca="false">IF(OR(D65="",E65=""),"",NETWORKDAYS.INTL(D65,E65,11))</f>
        <v>302</v>
      </c>
      <c r="G65" s="9"/>
      <c r="H65" s="16"/>
      <c r="I65" s="51"/>
      <c r="J65" s="16" t="str">
        <f aca="true">IF(A65="","",IF(OR(D65="",E65=""),"Sin fechas",IF(TODAY()&gt;E65,"Fin planificado",IF(TODAY()&gt;=D65,"En curso","Por iniciar"))))</f>
        <v>En curso</v>
      </c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</row>
    <row r="66" customFormat="false" ht="15" hidden="false" customHeight="false" outlineLevel="0" collapsed="false">
      <c r="A66" s="9" t="s">
        <v>11527</v>
      </c>
      <c r="B66" s="50" t="s">
        <v>4018</v>
      </c>
      <c r="C66" s="9"/>
      <c r="D66" s="43" t="n">
        <v>46250</v>
      </c>
      <c r="E66" s="43" t="n">
        <v>46522</v>
      </c>
      <c r="F66" s="32" t="n">
        <f aca="false">IF(OR(D66="",E66=""),"",NETWORKDAYS.INTL(D66,E66,11))</f>
        <v>234</v>
      </c>
      <c r="G66" s="9"/>
      <c r="H66" s="16"/>
      <c r="I66" s="51"/>
      <c r="J66" s="16" t="str">
        <f aca="true">IF(A66="","",IF(OR(D66="",E66=""),"Sin fechas",IF(TODAY()&gt;E66,"Fin planificado",IF(TODAY()&gt;=D66,"En curso","Por iniciar"))))</f>
        <v>En curso</v>
      </c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</row>
    <row r="67" customFormat="false" ht="15" hidden="false" customHeight="false" outlineLevel="0" collapsed="false">
      <c r="A67" s="9" t="s">
        <v>11767</v>
      </c>
      <c r="B67" s="50" t="s">
        <v>4416</v>
      </c>
      <c r="C67" s="9"/>
      <c r="D67" s="43" t="n">
        <v>46246</v>
      </c>
      <c r="E67" s="43" t="n">
        <v>46373</v>
      </c>
      <c r="F67" s="32" t="n">
        <f aca="false">IF(OR(D67="",E67=""),"",NETWORKDAYS.INTL(D67,E67,11))</f>
        <v>110</v>
      </c>
      <c r="G67" s="9"/>
      <c r="H67" s="16"/>
      <c r="I67" s="51"/>
      <c r="J67" s="16" t="str">
        <f aca="true">IF(A67="","",IF(OR(D67="",E67=""),"Sin fechas",IF(TODAY()&gt;E67,"Fin planificado",IF(TODAY()&gt;=D67,"En curso","Por iniciar"))))</f>
        <v>En curso</v>
      </c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</row>
    <row r="68" customFormat="false" ht="15" hidden="false" customHeight="false" outlineLevel="0" collapsed="false">
      <c r="A68" s="9" t="s">
        <v>12055</v>
      </c>
      <c r="B68" s="50" t="s">
        <v>4610</v>
      </c>
      <c r="C68" s="9"/>
      <c r="D68" s="43" t="n">
        <v>46136</v>
      </c>
      <c r="E68" s="43" t="n">
        <v>46148</v>
      </c>
      <c r="F68" s="32" t="n">
        <f aca="false">IF(OR(D68="",E68=""),"",NETWORKDAYS.INTL(D68,E68,11))</f>
        <v>11</v>
      </c>
      <c r="G68" s="9"/>
      <c r="H68" s="16"/>
      <c r="I68" s="51"/>
      <c r="J68" s="16" t="str">
        <f aca="true">IF(A68="","",IF(OR(D68="",E68=""),"Sin fechas",IF(TODAY()&gt;E68,"Fin planificado",IF(TODAY()&gt;=D68,"En curso","Por iniciar"))))</f>
        <v>Fin planificado</v>
      </c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</row>
    <row r="69" customFormat="false" ht="15" hidden="false" customHeight="false" outlineLevel="0" collapsed="false">
      <c r="A69" s="9" t="s">
        <v>12108</v>
      </c>
      <c r="B69" s="50" t="s">
        <v>5039</v>
      </c>
      <c r="C69" s="9"/>
      <c r="D69" s="43" t="n">
        <v>46147</v>
      </c>
      <c r="E69" s="43" t="n">
        <v>46243</v>
      </c>
      <c r="F69" s="32" t="n">
        <f aca="false">IF(OR(D69="",E69=""),"",NETWORKDAYS.INTL(D69,E69,11))</f>
        <v>83</v>
      </c>
      <c r="G69" s="9"/>
      <c r="H69" s="16"/>
      <c r="I69" s="51"/>
      <c r="J69" s="16" t="str">
        <f aca="true">IF(A69="","",IF(OR(D69="",E69=""),"Sin fechas",IF(TODAY()&gt;E69,"Fin planificado",IF(TODAY()&gt;=D69,"En curso","Por iniciar"))))</f>
        <v>Fin planificado</v>
      </c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</row>
    <row r="70" customFormat="false" ht="15" hidden="false" customHeight="false" outlineLevel="0" collapsed="false">
      <c r="A70" s="9" t="s">
        <v>12177</v>
      </c>
      <c r="B70" s="50" t="s">
        <v>5350</v>
      </c>
      <c r="C70" s="9"/>
      <c r="D70" s="43" t="n">
        <v>46237</v>
      </c>
      <c r="E70" s="43" t="n">
        <v>46411</v>
      </c>
      <c r="F70" s="32" t="n">
        <f aca="false">IF(OR(D70="",E70=""),"",NETWORKDAYS.INTL(D70,E70,11))</f>
        <v>150</v>
      </c>
      <c r="G70" s="9"/>
      <c r="H70" s="16"/>
      <c r="I70" s="51"/>
      <c r="J70" s="16" t="str">
        <f aca="true">IF(A70="","",IF(OR(D70="",E70=""),"Sin fechas",IF(TODAY()&gt;E70,"Fin planificado",IF(TODAY()&gt;=D70,"En curso","Por iniciar"))))</f>
        <v>En curso</v>
      </c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</row>
    <row r="71" customFormat="false" ht="15" hidden="false" customHeight="false" outlineLevel="0" collapsed="false">
      <c r="A71" s="9" t="s">
        <v>12410</v>
      </c>
      <c r="B71" s="50" t="s">
        <v>12411</v>
      </c>
      <c r="C71" s="9"/>
      <c r="D71" s="43" t="n">
        <v>46094</v>
      </c>
      <c r="E71" s="43" t="n">
        <v>46097</v>
      </c>
      <c r="F71" s="32" t="n">
        <f aca="false">IF(OR(D71="",E71=""),"",NETWORKDAYS.INTL(D71,E71,11))</f>
        <v>3</v>
      </c>
      <c r="G71" s="9"/>
      <c r="H71" s="16"/>
      <c r="I71" s="51"/>
      <c r="J71" s="16" t="str">
        <f aca="true">IF(A71="","",IF(OR(D71="",E71=""),"Sin fechas",IF(TODAY()&gt;E71,"Fin planificado",IF(TODAY()&gt;=D71,"En curso","Por iniciar"))))</f>
        <v>Fin planificado</v>
      </c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</row>
    <row r="72" customFormat="false" ht="15" hidden="false" customHeight="false" outlineLevel="0" collapsed="false">
      <c r="A72" s="9" t="s">
        <v>12432</v>
      </c>
      <c r="B72" s="50" t="s">
        <v>12433</v>
      </c>
      <c r="C72" s="9"/>
      <c r="D72" s="43" t="n">
        <v>46249</v>
      </c>
      <c r="E72" s="43" t="n">
        <v>46252</v>
      </c>
      <c r="F72" s="32" t="n">
        <f aca="false">IF(OR(D72="",E72=""),"",NETWORKDAYS.INTL(D72,E72,11))</f>
        <v>3</v>
      </c>
      <c r="G72" s="9"/>
      <c r="H72" s="16"/>
      <c r="I72" s="51"/>
      <c r="J72" s="16" t="str">
        <f aca="true">IF(A72="","",IF(OR(D72="",E72=""),"Sin fechas",IF(TODAY()&gt;E72,"Fin planificado",IF(TODAY()&gt;=D72,"En curso","Por iniciar"))))</f>
        <v>Fin planificado</v>
      </c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</row>
    <row r="73" customFormat="false" ht="15" hidden="false" customHeight="false" outlineLevel="0" collapsed="false">
      <c r="A73" s="9" t="s">
        <v>12454</v>
      </c>
      <c r="B73" s="50" t="s">
        <v>12455</v>
      </c>
      <c r="C73" s="9"/>
      <c r="D73" s="43" t="n">
        <v>45961</v>
      </c>
      <c r="E73" s="43" t="n">
        <v>45964</v>
      </c>
      <c r="F73" s="32" t="n">
        <f aca="false">IF(OR(D73="",E73=""),"",NETWORKDAYS.INTL(D73,E73,11))</f>
        <v>3</v>
      </c>
      <c r="G73" s="9"/>
      <c r="H73" s="16"/>
      <c r="I73" s="51"/>
      <c r="J73" s="16" t="str">
        <f aca="true">IF(A73="","",IF(OR(D73="",E73=""),"Sin fechas",IF(TODAY()&gt;E73,"Fin planificado",IF(TODAY()&gt;=D73,"En curso","Por iniciar"))))</f>
        <v>Fin planificado</v>
      </c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</row>
    <row r="74" customFormat="false" ht="15" hidden="false" customHeight="false" outlineLevel="0" collapsed="false">
      <c r="A74" s="9" t="s">
        <v>12476</v>
      </c>
      <c r="B74" s="50" t="s">
        <v>12477</v>
      </c>
      <c r="C74" s="9"/>
      <c r="D74" s="43" t="n">
        <v>45973</v>
      </c>
      <c r="E74" s="43" t="n">
        <v>45977</v>
      </c>
      <c r="F74" s="32" t="n">
        <f aca="false">IF(OR(D74="",E74=""),"",NETWORKDAYS.INTL(D74,E74,11))</f>
        <v>4</v>
      </c>
      <c r="G74" s="9"/>
      <c r="H74" s="16"/>
      <c r="I74" s="51"/>
      <c r="J74" s="16" t="str">
        <f aca="true">IF(A74="","",IF(OR(D74="",E74=""),"Sin fechas",IF(TODAY()&gt;E74,"Fin planificado",IF(TODAY()&gt;=D74,"En curso","Por iniciar"))))</f>
        <v>Fin planificado</v>
      </c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</row>
    <row r="75" customFormat="false" ht="15" hidden="false" customHeight="false" outlineLevel="0" collapsed="false">
      <c r="A75" s="9" t="s">
        <v>12498</v>
      </c>
      <c r="B75" s="50" t="s">
        <v>12499</v>
      </c>
      <c r="C75" s="9"/>
      <c r="D75" s="43" t="n">
        <v>45933</v>
      </c>
      <c r="E75" s="43" t="n">
        <v>46044</v>
      </c>
      <c r="F75" s="32" t="n">
        <f aca="false">IF(OR(D75="",E75=""),"",NETWORKDAYS.INTL(D75,E75,11))</f>
        <v>96</v>
      </c>
      <c r="G75" s="9"/>
      <c r="H75" s="16"/>
      <c r="I75" s="51"/>
      <c r="J75" s="16" t="str">
        <f aca="true">IF(A75="","",IF(OR(D75="",E75=""),"Sin fechas",IF(TODAY()&gt;E75,"Fin planificado",IF(TODAY()&gt;=D75,"En curso","Por iniciar"))))</f>
        <v>Fin planificado</v>
      </c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</row>
    <row r="76" customFormat="false" ht="15" hidden="false" customHeight="false" outlineLevel="0" collapsed="false">
      <c r="A76" s="45" t="s">
        <v>882</v>
      </c>
      <c r="B76" s="45" t="s">
        <v>883</v>
      </c>
      <c r="C76" s="45" t="s">
        <v>17320</v>
      </c>
      <c r="D76" s="46" t="n">
        <v>45997</v>
      </c>
      <c r="E76" s="46" t="n">
        <v>46585</v>
      </c>
      <c r="F76" s="47" t="n">
        <f aca="false">IF(OR(D76="",E76=""),"",NETWORKDAYS.INTL(D76,E76,11))</f>
        <v>505</v>
      </c>
      <c r="G76" s="45"/>
      <c r="H76" s="10" t="n">
        <f aca="false">IF(A76="","",COUNTIF(LOOKAHEAD!$C$5:$C$604,A76))</f>
        <v>0</v>
      </c>
      <c r="I76" s="48" t="n">
        <f aca="false">IF(A76="","",IFERROR(AVERAGEIF(LOOKAHEAD!$C$5:$C$604,A76,LOOKAHEAD!$N$5:$N$604),0))</f>
        <v>0</v>
      </c>
      <c r="J76" s="10" t="str">
        <f aca="true">IF(A76="","",IF(OR(D76="",E76=""),"Sin fechas",IF(H76=0,IF(TODAY()&gt;E76,"Fin planificado",IF(TODAY()&gt;=D76,"En curso","Por iniciar")),IF(I76&gt;=1,"Terminada",IF(TODAY()&gt;E76,"Atrasada",IF(TODAY()&gt;=D76,"En curso","Por iniciar"))))))</f>
        <v>En curso</v>
      </c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</row>
    <row r="77" customFormat="false" ht="15" hidden="false" customHeight="false" outlineLevel="0" collapsed="false">
      <c r="A77" s="9" t="s">
        <v>13358</v>
      </c>
      <c r="B77" s="50" t="s">
        <v>13359</v>
      </c>
      <c r="C77" s="9"/>
      <c r="D77" s="43" t="n">
        <v>45997</v>
      </c>
      <c r="E77" s="43" t="n">
        <v>46560</v>
      </c>
      <c r="F77" s="32" t="n">
        <f aca="false">IF(OR(D77="",E77=""),"",NETWORKDAYS.INTL(D77,E77,11))</f>
        <v>483</v>
      </c>
      <c r="G77" s="9"/>
      <c r="H77" s="16"/>
      <c r="I77" s="51"/>
      <c r="J77" s="16" t="str">
        <f aca="true">IF(A77="","",IF(OR(D77="",E77=""),"Sin fechas",IF(TODAY()&gt;E77,"Fin planificado",IF(TODAY()&gt;=D77,"En curso","Por iniciar"))))</f>
        <v>En curso</v>
      </c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</row>
    <row r="78" customFormat="false" ht="15" hidden="false" customHeight="false" outlineLevel="0" collapsed="false">
      <c r="A78" s="9" t="s">
        <v>14128</v>
      </c>
      <c r="B78" s="50" t="s">
        <v>14129</v>
      </c>
      <c r="C78" s="9"/>
      <c r="D78" s="43" t="n">
        <v>46508</v>
      </c>
      <c r="E78" s="43" t="n">
        <v>46585</v>
      </c>
      <c r="F78" s="32" t="n">
        <f aca="false">IF(OR(D78="",E78=""),"",NETWORKDAYS.INTL(D78,E78,11))</f>
        <v>67</v>
      </c>
      <c r="G78" s="9"/>
      <c r="H78" s="16"/>
      <c r="I78" s="51"/>
      <c r="J78" s="16" t="str">
        <f aca="true">IF(A78="","",IF(OR(D78="",E78=""),"Sin fechas",IF(TODAY()&gt;E78,"Fin planificado",IF(TODAY()&gt;=D78,"En curso","Por iniciar"))))</f>
        <v>Por iniciar</v>
      </c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</row>
    <row r="79" customFormat="false" ht="15" hidden="false" customHeight="false" outlineLevel="0" collapsed="false">
      <c r="A79" s="45" t="s">
        <v>1063</v>
      </c>
      <c r="B79" s="45" t="s">
        <v>1064</v>
      </c>
      <c r="C79" s="45" t="s">
        <v>17324</v>
      </c>
      <c r="D79" s="46" t="n">
        <v>46541</v>
      </c>
      <c r="E79" s="46" t="n">
        <v>46590</v>
      </c>
      <c r="F79" s="47" t="n">
        <f aca="false">IF(OR(D79="",E79=""),"",NETWORKDAYS.INTL(D79,E79,11))</f>
        <v>43</v>
      </c>
      <c r="G79" s="45"/>
      <c r="H79" s="10" t="n">
        <f aca="false">IF(A79="","",COUNTIF(LOOKAHEAD!$C$5:$C$604,A79))</f>
        <v>0</v>
      </c>
      <c r="I79" s="48" t="n">
        <f aca="false">IF(A79="","",IFERROR(AVERAGEIF(LOOKAHEAD!$C$5:$C$604,A79,LOOKAHEAD!$N$5:$N$604),0))</f>
        <v>0</v>
      </c>
      <c r="J79" s="10" t="str">
        <f aca="true">IF(A79="","",IF(OR(D79="",E79=""),"Sin fechas",IF(H79=0,IF(TODAY()&gt;E79,"Fin planificado",IF(TODAY()&gt;=D79,"En curso","Por iniciar")),IF(I79&gt;=1,"Terminada",IF(TODAY()&gt;E79,"Atrasada",IF(TODAY()&gt;=D79,"En curso","Por iniciar"))))))</f>
        <v>Por iniciar</v>
      </c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</row>
    <row r="80" customFormat="false" ht="15" hidden="false" customHeight="false" outlineLevel="0" collapsed="false">
      <c r="A80" s="9" t="s">
        <v>14296</v>
      </c>
      <c r="B80" s="50" t="s">
        <v>14297</v>
      </c>
      <c r="C80" s="9"/>
      <c r="D80" s="43" t="n">
        <v>46541</v>
      </c>
      <c r="E80" s="43" t="n">
        <v>46590</v>
      </c>
      <c r="F80" s="32" t="n">
        <f aca="false">IF(OR(D80="",E80=""),"",NETWORKDAYS.INTL(D80,E80,11))</f>
        <v>43</v>
      </c>
      <c r="G80" s="9"/>
      <c r="H80" s="16"/>
      <c r="I80" s="51"/>
      <c r="J80" s="16" t="str">
        <f aca="true">IF(A80="","",IF(OR(D80="",E80=""),"Sin fechas",IF(TODAY()&gt;E80,"Fin planificado",IF(TODAY()&gt;=D80,"En curso","Por iniciar"))))</f>
        <v>Por iniciar</v>
      </c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</row>
    <row r="81" customFormat="false" ht="15" hidden="false" customHeight="false" outlineLevel="0" collapsed="false">
      <c r="A81" s="45" t="s">
        <v>1169</v>
      </c>
      <c r="B81" s="45" t="s">
        <v>1170</v>
      </c>
      <c r="C81" s="45" t="s">
        <v>17320</v>
      </c>
      <c r="D81" s="46" t="n">
        <v>46065</v>
      </c>
      <c r="E81" s="46" t="n">
        <v>46455</v>
      </c>
      <c r="F81" s="47" t="n">
        <f aca="false">IF(OR(D81="",E81=""),"",NETWORKDAYS.INTL(D81,E81,11))</f>
        <v>335</v>
      </c>
      <c r="G81" s="45"/>
      <c r="H81" s="10" t="n">
        <f aca="false">IF(A81="","",COUNTIF(LOOKAHEAD!$C$5:$C$604,A81))</f>
        <v>0</v>
      </c>
      <c r="I81" s="48" t="n">
        <f aca="false">IF(A81="","",IFERROR(AVERAGEIF(LOOKAHEAD!$C$5:$C$604,A81,LOOKAHEAD!$N$5:$N$604),0))</f>
        <v>0</v>
      </c>
      <c r="J81" s="10" t="str">
        <f aca="true">IF(A81="","",IF(OR(D81="",E81=""),"Sin fechas",IF(H81=0,IF(TODAY()&gt;E81,"Fin planificado",IF(TODAY()&gt;=D81,"En curso","Por iniciar")),IF(I81&gt;=1,"Terminada",IF(TODAY()&gt;E81,"Atrasada",IF(TODAY()&gt;=D81,"En curso","Por iniciar"))))))</f>
        <v>En curso</v>
      </c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</row>
    <row r="82" customFormat="false" ht="15" hidden="false" customHeight="false" outlineLevel="0" collapsed="false">
      <c r="A82" s="9" t="s">
        <v>16324</v>
      </c>
      <c r="B82" s="50" t="s">
        <v>16325</v>
      </c>
      <c r="C82" s="9"/>
      <c r="D82" s="43" t="n">
        <v>46065</v>
      </c>
      <c r="E82" s="43" t="n">
        <v>46074</v>
      </c>
      <c r="F82" s="32" t="n">
        <f aca="false">IF(OR(D82="",E82=""),"",NETWORKDAYS.INTL(D82,E82,11))</f>
        <v>9</v>
      </c>
      <c r="G82" s="9"/>
      <c r="H82" s="16"/>
      <c r="I82" s="51"/>
      <c r="J82" s="16" t="str">
        <f aca="true">IF(A82="","",IF(OR(D82="",E82=""),"Sin fechas",IF(TODAY()&gt;E82,"Fin planificado",IF(TODAY()&gt;=D82,"En curso","Por iniciar"))))</f>
        <v>Fin planificado</v>
      </c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</row>
    <row r="83" customFormat="false" ht="15" hidden="false" customHeight="false" outlineLevel="0" collapsed="false">
      <c r="A83" s="9" t="s">
        <v>16358</v>
      </c>
      <c r="B83" s="50" t="s">
        <v>16359</v>
      </c>
      <c r="C83" s="9"/>
      <c r="D83" s="43" t="n">
        <v>46067</v>
      </c>
      <c r="E83" s="43" t="n">
        <v>46091</v>
      </c>
      <c r="F83" s="32" t="n">
        <f aca="false">IF(OR(D83="",E83=""),"",NETWORKDAYS.INTL(D83,E83,11))</f>
        <v>21</v>
      </c>
      <c r="G83" s="9"/>
      <c r="H83" s="16"/>
      <c r="I83" s="51"/>
      <c r="J83" s="16" t="str">
        <f aca="true">IF(A83="","",IF(OR(D83="",E83=""),"Sin fechas",IF(TODAY()&gt;E83,"Fin planificado",IF(TODAY()&gt;=D83,"En curso","Por iniciar"))))</f>
        <v>Fin planificado</v>
      </c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</row>
    <row r="84" customFormat="false" ht="15" hidden="false" customHeight="false" outlineLevel="0" collapsed="false">
      <c r="A84" s="9" t="s">
        <v>16450</v>
      </c>
      <c r="B84" s="50" t="s">
        <v>16451</v>
      </c>
      <c r="C84" s="9"/>
      <c r="D84" s="43" t="n">
        <v>46092</v>
      </c>
      <c r="E84" s="43" t="n">
        <v>46344</v>
      </c>
      <c r="F84" s="32" t="n">
        <f aca="false">IF(OR(D84="",E84=""),"",NETWORKDAYS.INTL(D84,E84,11))</f>
        <v>217</v>
      </c>
      <c r="G84" s="9"/>
      <c r="H84" s="16"/>
      <c r="I84" s="51"/>
      <c r="J84" s="16" t="str">
        <f aca="true">IF(A84="","",IF(OR(D84="",E84=""),"Sin fechas",IF(TODAY()&gt;E84,"Fin planificado",IF(TODAY()&gt;=D84,"En curso","Por iniciar"))))</f>
        <v>En curso</v>
      </c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</row>
    <row r="85" customFormat="false" ht="15" hidden="false" customHeight="false" outlineLevel="0" collapsed="false">
      <c r="A85" s="9" t="s">
        <v>16633</v>
      </c>
      <c r="B85" s="50" t="s">
        <v>16634</v>
      </c>
      <c r="C85" s="9"/>
      <c r="D85" s="43" t="n">
        <v>46345</v>
      </c>
      <c r="E85" s="43" t="n">
        <v>46362</v>
      </c>
      <c r="F85" s="32" t="n">
        <f aca="false">IF(OR(D85="",E85=""),"",NETWORKDAYS.INTL(D85,E85,11))</f>
        <v>15</v>
      </c>
      <c r="G85" s="9"/>
      <c r="H85" s="16"/>
      <c r="I85" s="51"/>
      <c r="J85" s="16" t="str">
        <f aca="true">IF(A85="","",IF(OR(D85="",E85=""),"Sin fechas",IF(TODAY()&gt;E85,"Fin planificado",IF(TODAY()&gt;=D85,"En curso","Por iniciar"))))</f>
        <v>Por iniciar</v>
      </c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</row>
    <row r="86" customFormat="false" ht="15" hidden="false" customHeight="false" outlineLevel="0" collapsed="false">
      <c r="A86" s="9" t="s">
        <v>16672</v>
      </c>
      <c r="B86" s="50" t="s">
        <v>16673</v>
      </c>
      <c r="C86" s="9"/>
      <c r="D86" s="43" t="n">
        <v>46355</v>
      </c>
      <c r="E86" s="43" t="n">
        <v>46418</v>
      </c>
      <c r="F86" s="32" t="n">
        <f aca="false">IF(OR(D86="",E86=""),"",NETWORKDAYS.INTL(D86,E86,11))</f>
        <v>54</v>
      </c>
      <c r="G86" s="9"/>
      <c r="H86" s="16"/>
      <c r="I86" s="51"/>
      <c r="J86" s="16" t="str">
        <f aca="true">IF(A86="","",IF(OR(D86="",E86=""),"Sin fechas",IF(TODAY()&gt;E86,"Fin planificado",IF(TODAY()&gt;=D86,"En curso","Por iniciar"))))</f>
        <v>Por iniciar</v>
      </c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</row>
    <row r="87" customFormat="false" ht="15" hidden="false" customHeight="false" outlineLevel="0" collapsed="false">
      <c r="A87" s="9" t="s">
        <v>16765</v>
      </c>
      <c r="B87" s="50" t="s">
        <v>16766</v>
      </c>
      <c r="C87" s="9"/>
      <c r="D87" s="43" t="n">
        <v>46419</v>
      </c>
      <c r="E87" s="43" t="n">
        <v>46422</v>
      </c>
      <c r="F87" s="32" t="n">
        <f aca="false">IF(OR(D87="",E87=""),"",NETWORKDAYS.INTL(D87,E87,11))</f>
        <v>4</v>
      </c>
      <c r="G87" s="9"/>
      <c r="H87" s="16"/>
      <c r="I87" s="51"/>
      <c r="J87" s="16" t="str">
        <f aca="true">IF(A87="","",IF(OR(D87="",E87=""),"Sin fechas",IF(TODAY()&gt;E87,"Fin planificado",IF(TODAY()&gt;=D87,"En curso","Por iniciar"))))</f>
        <v>Por iniciar</v>
      </c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</row>
    <row r="88" customFormat="false" ht="15" hidden="false" customHeight="false" outlineLevel="0" collapsed="false">
      <c r="A88" s="9" t="s">
        <v>16785</v>
      </c>
      <c r="B88" s="50" t="s">
        <v>16786</v>
      </c>
      <c r="C88" s="9"/>
      <c r="D88" s="43" t="n">
        <v>46420</v>
      </c>
      <c r="E88" s="43" t="n">
        <v>46421</v>
      </c>
      <c r="F88" s="32" t="n">
        <f aca="false">IF(OR(D88="",E88=""),"",NETWORKDAYS.INTL(D88,E88,11))</f>
        <v>2</v>
      </c>
      <c r="G88" s="9"/>
      <c r="H88" s="16"/>
      <c r="I88" s="51"/>
      <c r="J88" s="16" t="str">
        <f aca="true">IF(A88="","",IF(OR(D88="",E88=""),"Sin fechas",IF(TODAY()&gt;E88,"Fin planificado",IF(TODAY()&gt;=D88,"En curso","Por iniciar"))))</f>
        <v>Por iniciar</v>
      </c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</row>
    <row r="89" customFormat="false" ht="15" hidden="false" customHeight="false" outlineLevel="0" collapsed="false">
      <c r="A89" s="9" t="s">
        <v>16795</v>
      </c>
      <c r="B89" s="50" t="s">
        <v>16796</v>
      </c>
      <c r="C89" s="9"/>
      <c r="D89" s="43" t="n">
        <v>46422</v>
      </c>
      <c r="E89" s="43" t="n">
        <v>46455</v>
      </c>
      <c r="F89" s="32" t="n">
        <f aca="false">IF(OR(D89="",E89=""),"",NETWORKDAYS.INTL(D89,E89,11))</f>
        <v>29</v>
      </c>
      <c r="G89" s="9"/>
      <c r="H89" s="16"/>
      <c r="I89" s="51"/>
      <c r="J89" s="16" t="str">
        <f aca="true">IF(A89="","",IF(OR(D89="",E89=""),"Sin fechas",IF(TODAY()&gt;E89,"Fin planificado",IF(TODAY()&gt;=D89,"En curso","Por iniciar"))))</f>
        <v>Por iniciar</v>
      </c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</row>
    <row r="90" customFormat="false" ht="15" hidden="false" customHeight="false" outlineLevel="0" collapsed="false">
      <c r="A90" s="9" t="s">
        <v>16966</v>
      </c>
      <c r="B90" s="50" t="s">
        <v>16967</v>
      </c>
      <c r="C90" s="9"/>
      <c r="D90" s="43" t="n">
        <v>46363</v>
      </c>
      <c r="E90" s="43" t="n">
        <v>46393</v>
      </c>
      <c r="F90" s="32" t="n">
        <f aca="false">IF(OR(D90="",E90=""),"",NETWORKDAYS.INTL(D90,E90,11))</f>
        <v>27</v>
      </c>
      <c r="G90" s="9"/>
      <c r="H90" s="16"/>
      <c r="I90" s="51"/>
      <c r="J90" s="16" t="str">
        <f aca="true">IF(A90="","",IF(OR(D90="",E90=""),"Sin fechas",IF(TODAY()&gt;E90,"Fin planificado",IF(TODAY()&gt;=D90,"En curso","Por iniciar"))))</f>
        <v>Por iniciar</v>
      </c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</row>
    <row r="91" customFormat="false" ht="15" hidden="false" customHeight="false" outlineLevel="0" collapsed="false">
      <c r="A91" s="9" t="s">
        <v>17092</v>
      </c>
      <c r="B91" s="50" t="s">
        <v>17093</v>
      </c>
      <c r="C91" s="9"/>
      <c r="D91" s="43" t="n">
        <v>46138</v>
      </c>
      <c r="E91" s="43" t="n">
        <v>46362</v>
      </c>
      <c r="F91" s="32" t="n">
        <f aca="false">IF(OR(D91="",E91=""),"",NETWORKDAYS.INTL(D91,E91,11))</f>
        <v>192</v>
      </c>
      <c r="G91" s="9"/>
      <c r="H91" s="16"/>
      <c r="I91" s="51"/>
      <c r="J91" s="16" t="str">
        <f aca="true">IF(A91="","",IF(OR(D91="",E91=""),"Sin fechas",IF(TODAY()&gt;E91,"Fin planificado",IF(TODAY()&gt;=D91,"En curso","Por iniciar"))))</f>
        <v>En curso</v>
      </c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</row>
    <row r="92" customFormat="false" ht="15" hidden="false" customHeight="false" outlineLevel="0" collapsed="false">
      <c r="A92" s="9" t="s">
        <v>17172</v>
      </c>
      <c r="B92" s="50" t="s">
        <v>17173</v>
      </c>
      <c r="C92" s="9"/>
      <c r="D92" s="43" t="n">
        <v>46363</v>
      </c>
      <c r="E92" s="43" t="n">
        <v>46363</v>
      </c>
      <c r="F92" s="32" t="n">
        <f aca="false">IF(OR(D92="",E92=""),"",NETWORKDAYS.INTL(D92,E92,11))</f>
        <v>1</v>
      </c>
      <c r="G92" s="9"/>
      <c r="H92" s="16"/>
      <c r="I92" s="51"/>
      <c r="J92" s="16" t="str">
        <f aca="true">IF(A92="","",IF(OR(D92="",E92=""),"Sin fechas",IF(TODAY()&gt;E92,"Fin planificado",IF(TODAY()&gt;=D92,"En curso","Por iniciar"))))</f>
        <v>Por iniciar</v>
      </c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</row>
    <row r="93" customFormat="false" ht="15" hidden="false" customHeight="false" outlineLevel="0" collapsed="false">
      <c r="A93" s="9" t="s">
        <v>17182</v>
      </c>
      <c r="B93" s="50" t="s">
        <v>17183</v>
      </c>
      <c r="C93" s="9"/>
      <c r="D93" s="43" t="n">
        <v>46095</v>
      </c>
      <c r="E93" s="43" t="n">
        <v>46352</v>
      </c>
      <c r="F93" s="32" t="n">
        <f aca="false">IF(OR(D93="",E93=""),"",NETWORKDAYS.INTL(D93,E93,11))</f>
        <v>221</v>
      </c>
      <c r="G93" s="9"/>
      <c r="H93" s="16"/>
      <c r="I93" s="51"/>
      <c r="J93" s="16" t="str">
        <f aca="true">IF(A93="","",IF(OR(D93="",E93=""),"Sin fechas",IF(TODAY()&gt;E93,"Fin planificado",IF(TODAY()&gt;=D93,"En curso","Por iniciar"))))</f>
        <v>En curso</v>
      </c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</row>
    <row r="94" customFormat="false" ht="15" hidden="false" customHeight="false" outlineLevel="0" collapsed="false">
      <c r="A94" s="9" t="s">
        <v>17228</v>
      </c>
      <c r="B94" s="50" t="s">
        <v>17229</v>
      </c>
      <c r="C94" s="9"/>
      <c r="D94" s="43" t="n">
        <v>46345</v>
      </c>
      <c r="E94" s="43" t="n">
        <v>46349</v>
      </c>
      <c r="F94" s="32" t="n">
        <f aca="false">IF(OR(D94="",E94=""),"",NETWORKDAYS.INTL(D94,E94,11))</f>
        <v>4</v>
      </c>
      <c r="G94" s="9"/>
      <c r="H94" s="16"/>
      <c r="I94" s="51"/>
      <c r="J94" s="16" t="str">
        <f aca="true">IF(A94="","",IF(OR(D94="",E94=""),"Sin fechas",IF(TODAY()&gt;E94,"Fin planificado",IF(TODAY()&gt;=D94,"En curso","Por iniciar"))))</f>
        <v>Por iniciar</v>
      </c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</row>
    <row r="95" customFormat="false" ht="15" hidden="false" customHeight="false" outlineLevel="0" collapsed="false">
      <c r="A95" s="9" t="s">
        <v>17252</v>
      </c>
      <c r="B95" s="50" t="s">
        <v>17253</v>
      </c>
      <c r="C95" s="9"/>
      <c r="D95" s="43" t="n">
        <v>46350</v>
      </c>
      <c r="E95" s="43" t="n">
        <v>46360</v>
      </c>
      <c r="F95" s="32" t="n">
        <f aca="false">IF(OR(D95="",E95=""),"",NETWORKDAYS.INTL(D95,E95,11))</f>
        <v>10</v>
      </c>
      <c r="G95" s="9"/>
      <c r="H95" s="16"/>
      <c r="I95" s="51"/>
      <c r="J95" s="16" t="str">
        <f aca="true">IF(A95="","",IF(OR(D95="",E95=""),"Sin fechas",IF(TODAY()&gt;E95,"Fin planificado",IF(TODAY()&gt;=D95,"En curso","Por iniciar"))))</f>
        <v>Por iniciar</v>
      </c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</row>
    <row r="96" customFormat="false" ht="15" hidden="false" customHeight="false" outlineLevel="0" collapsed="false">
      <c r="A96" s="45" t="s">
        <v>1268</v>
      </c>
      <c r="B96" s="45" t="s">
        <v>1269</v>
      </c>
      <c r="C96" s="45" t="s">
        <v>17324</v>
      </c>
      <c r="D96" s="46" t="n">
        <v>46440</v>
      </c>
      <c r="E96" s="46" t="n">
        <v>46617</v>
      </c>
      <c r="F96" s="47" t="n">
        <f aca="false">IF(OR(D96="",E96=""),"",NETWORKDAYS.INTL(D96,E96,11))</f>
        <v>153</v>
      </c>
      <c r="G96" s="45"/>
      <c r="H96" s="10" t="n">
        <f aca="false">IF(A96="","",COUNTIF(LOOKAHEAD!$C$5:$C$604,A96))</f>
        <v>0</v>
      </c>
      <c r="I96" s="48" t="n">
        <f aca="false">IF(A96="","",IFERROR(AVERAGEIF(LOOKAHEAD!$C$5:$C$604,A96,LOOKAHEAD!$N$5:$N$604),0))</f>
        <v>0</v>
      </c>
      <c r="J96" s="10" t="str">
        <f aca="true">IF(A96="","",IF(OR(D96="",E96=""),"Sin fechas",IF(H96=0,IF(TODAY()&gt;E96,"Fin planificado",IF(TODAY()&gt;=D96,"En curso","Por iniciar")),IF(I96&gt;=1,"Terminada",IF(TODAY()&gt;E96,"Atrasada",IF(TODAY()&gt;=D96,"En curso","Por iniciar"))))))</f>
        <v>Por iniciar</v>
      </c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</row>
    <row r="97" customFormat="false" ht="15" hidden="false" customHeight="false" outlineLevel="0" collapsed="false">
      <c r="A97" s="9" t="s">
        <v>17288</v>
      </c>
      <c r="B97" s="50" t="s">
        <v>17289</v>
      </c>
      <c r="C97" s="9"/>
      <c r="D97" s="43" t="n">
        <v>46440</v>
      </c>
      <c r="E97" s="43" t="n">
        <v>46499</v>
      </c>
      <c r="F97" s="32" t="n">
        <f aca="false">IF(OR(D97="",E97=""),"",NETWORKDAYS.INTL(D97,E97,11))</f>
        <v>52</v>
      </c>
      <c r="G97" s="9"/>
      <c r="H97" s="16"/>
      <c r="I97" s="51"/>
      <c r="J97" s="16" t="str">
        <f aca="true">IF(A97="","",IF(OR(D97="",E97=""),"Sin fechas",IF(TODAY()&gt;E97,"Fin planificado",IF(TODAY()&gt;=D97,"En curso","Por iniciar"))))</f>
        <v>Por iniciar</v>
      </c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</row>
    <row r="98" customFormat="false" ht="15" hidden="false" customHeight="false" outlineLevel="0" collapsed="false">
      <c r="A98" s="9" t="s">
        <v>17292</v>
      </c>
      <c r="B98" s="50" t="s">
        <v>17293</v>
      </c>
      <c r="C98" s="9"/>
      <c r="D98" s="43" t="n">
        <v>46500</v>
      </c>
      <c r="E98" s="43" t="n">
        <v>46559</v>
      </c>
      <c r="F98" s="32" t="n">
        <f aca="false">IF(OR(D98="",E98=""),"",NETWORKDAYS.INTL(D98,E98,11))</f>
        <v>51</v>
      </c>
      <c r="G98" s="9"/>
      <c r="H98" s="16"/>
      <c r="I98" s="51"/>
      <c r="J98" s="16" t="str">
        <f aca="true">IF(A98="","",IF(OR(D98="",E98=""),"Sin fechas",IF(TODAY()&gt;E98,"Fin planificado",IF(TODAY()&gt;=D98,"En curso","Por iniciar"))))</f>
        <v>Por iniciar</v>
      </c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</row>
    <row r="99" customFormat="false" ht="15" hidden="false" customHeight="false" outlineLevel="0" collapsed="false">
      <c r="A99" s="9" t="s">
        <v>17296</v>
      </c>
      <c r="B99" s="50" t="s">
        <v>17297</v>
      </c>
      <c r="C99" s="9"/>
      <c r="D99" s="43" t="n">
        <v>46568</v>
      </c>
      <c r="E99" s="43" t="n">
        <v>46617</v>
      </c>
      <c r="F99" s="32" t="n">
        <f aca="false">IF(OR(D99="",E99=""),"",NETWORKDAYS.INTL(D99,E99,11))</f>
        <v>43</v>
      </c>
      <c r="G99" s="9"/>
      <c r="H99" s="16"/>
      <c r="I99" s="51"/>
      <c r="J99" s="16" t="str">
        <f aca="true">IF(A99="","",IF(OR(D99="",E99=""),"Sin fechas",IF(TODAY()&gt;E99,"Fin planificado",IF(TODAY()&gt;=D99,"En curso","Por iniciar"))))</f>
        <v>Por iniciar</v>
      </c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</row>
    <row r="100" customFormat="false" ht="15" hidden="false" customHeight="false" outlineLevel="0" collapsed="false">
      <c r="A100" s="9"/>
      <c r="B100" s="9"/>
      <c r="C100" s="9"/>
      <c r="D100" s="43"/>
      <c r="E100" s="43"/>
      <c r="F100" s="32" t="str">
        <f aca="false">IF(OR(D100="",E100=""),"",NETWORKDAYS.INTL(D100,E100,11))</f>
        <v/>
      </c>
      <c r="G100" s="9"/>
      <c r="H100" s="16"/>
      <c r="I100" s="51"/>
      <c r="J100" s="16" t="str">
        <f aca="true">IF(A100="","",IF(OR(D100="",E100=""),"Sin fechas",IF(TODAY()&gt;E100,"Fin planificado",IF(TODAY()&gt;=D100,"En curso","Por iniciar"))))</f>
        <v/>
      </c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</row>
    <row r="101" customFormat="false" ht="15" hidden="false" customHeight="false" outlineLevel="0" collapsed="false">
      <c r="A101" s="9"/>
      <c r="B101" s="9"/>
      <c r="C101" s="9"/>
      <c r="D101" s="43"/>
      <c r="E101" s="43"/>
      <c r="F101" s="32" t="str">
        <f aca="false">IF(OR(D101="",E101=""),"",NETWORKDAYS.INTL(D101,E101,11))</f>
        <v/>
      </c>
      <c r="G101" s="9"/>
      <c r="H101" s="16"/>
      <c r="I101" s="51"/>
      <c r="J101" s="16" t="str">
        <f aca="true">IF(A101="","",IF(OR(D101="",E101=""),"Sin fechas",IF(TODAY()&gt;E101,"Fin planificado",IF(TODAY()&gt;=D101,"En curso","Por iniciar"))))</f>
        <v/>
      </c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</row>
    <row r="102" customFormat="false" ht="15" hidden="false" customHeight="false" outlineLevel="0" collapsed="false">
      <c r="A102" s="9"/>
      <c r="B102" s="9"/>
      <c r="C102" s="9"/>
      <c r="D102" s="43"/>
      <c r="E102" s="43"/>
      <c r="F102" s="32" t="str">
        <f aca="false">IF(OR(D102="",E102=""),"",NETWORKDAYS.INTL(D102,E102,11))</f>
        <v/>
      </c>
      <c r="G102" s="9"/>
      <c r="H102" s="16"/>
      <c r="I102" s="51"/>
      <c r="J102" s="16" t="str">
        <f aca="true">IF(A102="","",IF(OR(D102="",E102=""),"Sin fechas",IF(TODAY()&gt;E102,"Fin planificado",IF(TODAY()&gt;=D102,"En curso","Por iniciar"))))</f>
        <v/>
      </c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</row>
    <row r="103" customFormat="false" ht="15" hidden="false" customHeight="false" outlineLevel="0" collapsed="false">
      <c r="A103" s="9"/>
      <c r="B103" s="9"/>
      <c r="C103" s="9"/>
      <c r="D103" s="43"/>
      <c r="E103" s="43"/>
      <c r="F103" s="32" t="str">
        <f aca="false">IF(OR(D103="",E103=""),"",NETWORKDAYS.INTL(D103,E103,11))</f>
        <v/>
      </c>
      <c r="G103" s="9"/>
      <c r="H103" s="16"/>
      <c r="I103" s="51"/>
      <c r="J103" s="16" t="str">
        <f aca="true">IF(A103="","",IF(OR(D103="",E103=""),"Sin fechas",IF(TODAY()&gt;E103,"Fin planificado",IF(TODAY()&gt;=D103,"En curso","Por iniciar"))))</f>
        <v/>
      </c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</row>
    <row r="104" customFormat="false" ht="15" hidden="false" customHeight="false" outlineLevel="0" collapsed="false">
      <c r="A104" s="9"/>
      <c r="B104" s="9"/>
      <c r="C104" s="9"/>
      <c r="D104" s="43"/>
      <c r="E104" s="43"/>
      <c r="F104" s="32" t="str">
        <f aca="false">IF(OR(D104="",E104=""),"",NETWORKDAYS.INTL(D104,E104,11))</f>
        <v/>
      </c>
      <c r="G104" s="9"/>
      <c r="H104" s="16"/>
      <c r="I104" s="51"/>
      <c r="J104" s="16" t="str">
        <f aca="true">IF(A104="","",IF(OR(D104="",E104=""),"Sin fechas",IF(TODAY()&gt;E104,"Fin planificado",IF(TODAY()&gt;=D104,"En curso","Por iniciar"))))</f>
        <v/>
      </c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</row>
    <row r="105" customFormat="false" ht="15" hidden="false" customHeight="false" outlineLevel="0" collapsed="false">
      <c r="A105" s="9"/>
      <c r="B105" s="9"/>
      <c r="C105" s="9"/>
      <c r="D105" s="43"/>
      <c r="E105" s="43"/>
      <c r="F105" s="32" t="str">
        <f aca="false">IF(OR(D105="",E105=""),"",NETWORKDAYS.INTL(D105,E105,11))</f>
        <v/>
      </c>
      <c r="G105" s="9"/>
      <c r="H105" s="16"/>
      <c r="I105" s="51"/>
      <c r="J105" s="16" t="str">
        <f aca="true">IF(A105="","",IF(OR(D105="",E105=""),"Sin fechas",IF(TODAY()&gt;E105,"Fin planificado",IF(TODAY()&gt;=D105,"En curso","Por iniciar"))))</f>
        <v/>
      </c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</row>
    <row r="106" customFormat="false" ht="15" hidden="false" customHeight="false" outlineLevel="0" collapsed="false">
      <c r="A106" s="9"/>
      <c r="B106" s="9"/>
      <c r="C106" s="9"/>
      <c r="D106" s="43"/>
      <c r="E106" s="43"/>
      <c r="F106" s="32" t="str">
        <f aca="false">IF(OR(D106="",E106=""),"",NETWORKDAYS.INTL(D106,E106,11))</f>
        <v/>
      </c>
      <c r="G106" s="9"/>
      <c r="H106" s="16"/>
      <c r="I106" s="51"/>
      <c r="J106" s="16" t="str">
        <f aca="true">IF(A106="","",IF(OR(D106="",E106=""),"Sin fechas",IF(TODAY()&gt;E106,"Fin planificado",IF(TODAY()&gt;=D106,"En curso","Por iniciar"))))</f>
        <v/>
      </c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</row>
    <row r="107" customFormat="false" ht="15" hidden="false" customHeight="false" outlineLevel="0" collapsed="false">
      <c r="A107" s="9"/>
      <c r="B107" s="9"/>
      <c r="C107" s="9"/>
      <c r="D107" s="43"/>
      <c r="E107" s="43"/>
      <c r="F107" s="32" t="str">
        <f aca="false">IF(OR(D107="",E107=""),"",NETWORKDAYS.INTL(D107,E107,11))</f>
        <v/>
      </c>
      <c r="G107" s="9"/>
      <c r="H107" s="16"/>
      <c r="I107" s="51"/>
      <c r="J107" s="16" t="str">
        <f aca="true">IF(A107="","",IF(OR(D107="",E107=""),"Sin fechas",IF(TODAY()&gt;E107,"Fin planificado",IF(TODAY()&gt;=D107,"En curso","Por iniciar"))))</f>
        <v/>
      </c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</row>
    <row r="108" customFormat="false" ht="15" hidden="false" customHeight="false" outlineLevel="0" collapsed="false">
      <c r="A108" s="9"/>
      <c r="B108" s="9"/>
      <c r="C108" s="9"/>
      <c r="D108" s="43"/>
      <c r="E108" s="43"/>
      <c r="F108" s="32" t="str">
        <f aca="false">IF(OR(D108="",E108=""),"",NETWORKDAYS.INTL(D108,E108,11))</f>
        <v/>
      </c>
      <c r="G108" s="9"/>
      <c r="H108" s="16"/>
      <c r="I108" s="51"/>
      <c r="J108" s="16" t="str">
        <f aca="true">IF(A108="","",IF(OR(D108="",E108=""),"Sin fechas",IF(TODAY()&gt;E108,"Fin planificado",IF(TODAY()&gt;=D108,"En curso","Por iniciar"))))</f>
        <v/>
      </c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</row>
    <row r="109" customFormat="false" ht="15" hidden="false" customHeight="false" outlineLevel="0" collapsed="false">
      <c r="A109" s="9"/>
      <c r="B109" s="9"/>
      <c r="C109" s="9"/>
      <c r="D109" s="43"/>
      <c r="E109" s="43"/>
      <c r="F109" s="32" t="str">
        <f aca="false">IF(OR(D109="",E109=""),"",NETWORKDAYS.INTL(D109,E109,11))</f>
        <v/>
      </c>
      <c r="G109" s="9"/>
      <c r="H109" s="16"/>
      <c r="I109" s="51"/>
      <c r="J109" s="16" t="str">
        <f aca="true">IF(A109="","",IF(OR(D109="",E109=""),"Sin fechas",IF(TODAY()&gt;E109,"Fin planificado",IF(TODAY()&gt;=D109,"En curso","Por iniciar"))))</f>
        <v/>
      </c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</row>
  </sheetData>
  <conditionalFormatting sqref="G6:G15">
    <cfRule type="cellIs" priority="2" operator="equal" aboveAverage="0" equalAverage="0" bottom="0" percent="0" rank="0" text="" dxfId="6">
      <formula>"En plazo"</formula>
    </cfRule>
    <cfRule type="cellIs" priority="3" operator="equal" aboveAverage="0" equalAverage="0" bottom="0" percent="0" rank="0" text="" dxfId="11">
      <formula>"Riesgo"</formula>
    </cfRule>
    <cfRule type="cellIs" priority="4" operator="equal" aboveAverage="0" equalAverage="0" bottom="0" percent="0" rank="0" text="" dxfId="9">
      <formula>"Atrasado"</formula>
    </cfRule>
  </conditionalFormatting>
  <conditionalFormatting sqref="J19:J109">
    <cfRule type="cellIs" priority="5" operator="equal" aboveAverage="0" equalAverage="0" bottom="0" percent="0" rank="0" text="" dxfId="6">
      <formula>"Terminada"</formula>
    </cfRule>
    <cfRule type="cellIs" priority="6" operator="equal" aboveAverage="0" equalAverage="0" bottom="0" percent="0" rank="0" text="" dxfId="11">
      <formula>"En curso"</formula>
    </cfRule>
    <cfRule type="cellIs" priority="7" operator="equal" aboveAverage="0" equalAverage="0" bottom="0" percent="0" rank="0" text="" dxfId="9">
      <formula>"Atrasada"</formula>
    </cfRule>
    <cfRule type="cellIs" priority="8" operator="equal" aboveAverage="0" equalAverage="0" bottom="0" percent="0" rank="0" text="" dxfId="6">
      <formula>"Fin planificado"</formula>
    </cfRule>
  </conditionalFormatting>
  <conditionalFormatting sqref="K19:AJ109">
    <cfRule type="expression" priority="9" aboveAverage="0" equalAverage="0" bottom="0" percent="0" rank="0" text="" dxfId="12">
      <formula>AND(K$18&lt;=TODAY(),EOMONTH(K$18,0)&gt;=TODAY())</formula>
    </cfRule>
    <cfRule type="expression" priority="10" aboveAverage="0" equalAverage="0" bottom="0" percent="0" rank="0" text="" dxfId="13">
      <formula>AND($D19&lt;&gt;"",K$18&lt;=$E19,EOMONTH(K$18,0)&gt;=$D19,LEN($A19)=2)</formula>
    </cfRule>
    <cfRule type="expression" priority="11" aboveAverage="0" equalAverage="0" bottom="0" percent="0" rank="0" text="" dxfId="14">
      <formula>AND($D19&lt;&gt;"",K$18&lt;=$E19,EOMONTH(K$18,0)&gt;=$D19)</formula>
    </cfRule>
  </conditionalFormatting>
  <dataValidations count="3">
    <dataValidation allowBlank="true" errorStyle="stop" operator="between" showDropDown="false" showErrorMessage="true" showInputMessage="false" sqref="F6:F15" type="list">
      <formula1>Responsables</formula1>
      <formula2>0</formula2>
    </dataValidation>
    <dataValidation allowBlank="true" errorStyle="stop" operator="between" showDropDown="false" showErrorMessage="true" showInputMessage="false" sqref="C19:C109" type="list">
      <formula1>$A$6:$A$15</formula1>
      <formula2>0</formula2>
    </dataValidation>
    <dataValidation allowBlank="true" errorStyle="stop" operator="between" showDropDown="false" showErrorMessage="true" showInputMessage="false" sqref="G19:G109" type="list">
      <formula1>Responsables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U6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0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24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13"/>
    <col collapsed="false" customWidth="true" hidden="false" outlineLevel="0" max="20" min="14" style="0" width="9"/>
    <col collapsed="false" customWidth="true" hidden="false" outlineLevel="0" max="21" min="21" style="0" width="45"/>
  </cols>
  <sheetData>
    <row r="1" customFormat="false" ht="17.35" hidden="false" customHeight="false" outlineLevel="0" collapsed="false">
      <c r="A1" s="1" t="s">
        <v>17336</v>
      </c>
      <c r="D1" s="7" t="s">
        <v>17337</v>
      </c>
    </row>
    <row r="2" customFormat="false" ht="15" hidden="false" customHeight="false" outlineLevel="0" collapsed="false">
      <c r="A2" s="22" t="s">
        <v>17338</v>
      </c>
      <c r="C2" s="52" t="n">
        <f aca="true">TODAY()-WEEKDAY(TODAY(),2)+1</f>
        <v>46300</v>
      </c>
      <c r="E2" s="22" t="s">
        <v>17339</v>
      </c>
      <c r="G2" s="53" t="n">
        <f aca="false">COUNTIF($M$5:$M$604,"LISTA")</f>
        <v>243</v>
      </c>
      <c r="H2" s="22" t="s">
        <v>17340</v>
      </c>
      <c r="J2" s="53" t="n">
        <f aca="false">COUNTIF($M$5:$M$604,"RESTRINGIDA")</f>
        <v>0</v>
      </c>
    </row>
    <row r="3" customFormat="false" ht="15" hidden="false" customHeight="false" outlineLevel="0" collapsed="false">
      <c r="O3" s="54" t="s">
        <v>17341</v>
      </c>
    </row>
    <row r="4" customFormat="false" ht="31.5" hidden="false" customHeight="true" outlineLevel="0" collapsed="false">
      <c r="A4" s="8" t="s">
        <v>17342</v>
      </c>
      <c r="B4" s="8" t="s">
        <v>17343</v>
      </c>
      <c r="C4" s="8" t="s">
        <v>143</v>
      </c>
      <c r="D4" s="8" t="s">
        <v>17344</v>
      </c>
      <c r="E4" s="8" t="s">
        <v>17345</v>
      </c>
      <c r="F4" s="8" t="s">
        <v>17346</v>
      </c>
      <c r="G4" s="8" t="s">
        <v>17347</v>
      </c>
      <c r="H4" s="8" t="s">
        <v>17348</v>
      </c>
      <c r="I4" s="8" t="s">
        <v>17349</v>
      </c>
      <c r="J4" s="8" t="s">
        <v>17350</v>
      </c>
      <c r="K4" s="8" t="s">
        <v>17351</v>
      </c>
      <c r="L4" s="8" t="s">
        <v>17352</v>
      </c>
      <c r="M4" s="8" t="s">
        <v>17314</v>
      </c>
      <c r="N4" s="8" t="s">
        <v>17353</v>
      </c>
      <c r="O4" s="55" t="n">
        <f aca="false">$C$2</f>
        <v>46300</v>
      </c>
      <c r="P4" s="55" t="n">
        <f aca="false">O4+7</f>
        <v>46307</v>
      </c>
      <c r="Q4" s="55" t="n">
        <f aca="false">P4+7</f>
        <v>46314</v>
      </c>
      <c r="R4" s="55" t="n">
        <f aca="false">Q4+7</f>
        <v>46321</v>
      </c>
      <c r="S4" s="55" t="n">
        <f aca="false">R4+7</f>
        <v>46328</v>
      </c>
      <c r="T4" s="55" t="n">
        <f aca="false">S4+7</f>
        <v>46335</v>
      </c>
      <c r="U4" s="8" t="s">
        <v>17354</v>
      </c>
    </row>
    <row r="5" customFormat="false" ht="15" hidden="false" customHeight="false" outlineLevel="0" collapsed="false">
      <c r="A5" s="9" t="s">
        <v>1425</v>
      </c>
      <c r="B5" s="9" t="s">
        <v>17355</v>
      </c>
      <c r="C5" s="16" t="str">
        <f aca="false">IF(B5="","",IFERROR(INDEX(EDT!$E$5:$E$436,MATCH(B5,EDT!$H$5:$H$436,0)),IFERROR(INDEX(CRONOGRAMA!$G$5:$G$5679,MATCH(A5,CRONOGRAMA!$A$5:$A$5679,0)),"Fuera EDT")))</f>
        <v>01</v>
      </c>
      <c r="D5" s="16" t="str">
        <f aca="false">IF(C5="","",IFERROR(INDEX(MASTER!$B$19:$B$109,MATCH(C5,MASTER!$A$19:$A$109,0)),"Asignar fase"))</f>
        <v>Obras Provisionales, Trabajos Preliminares, Seguridad y Salud, Mitigación Impacto Ambiental, PMAR</v>
      </c>
      <c r="E5" s="9" t="s">
        <v>136</v>
      </c>
      <c r="F5" s="9"/>
      <c r="G5" s="9"/>
      <c r="H5" s="56"/>
      <c r="I5" s="43" t="n">
        <v>45885</v>
      </c>
      <c r="J5" s="43" t="n">
        <v>46417</v>
      </c>
      <c r="K5" s="16" t="n">
        <f aca="false">IF(A5="","",COUNTIF(RESTRICCIONES!$B$5:$B$304,A5))</f>
        <v>0</v>
      </c>
      <c r="L5" s="16" t="n">
        <f aca="false">IF(A5="","",COUNTIFS(RESTRICCIONES!$B$5:$B$304,A5,RESTRICCIONES!$L$5:$L$304,"Pendiente"))</f>
        <v>0</v>
      </c>
      <c r="M5" s="18" t="str">
        <f aca="false">IF(A5="","",IF(L5=0,"LISTA","RESTRINGIDA"))</f>
        <v>LISTA</v>
      </c>
      <c r="N5" s="51" t="str">
        <f aca="false">IF(OR(A5="",H5=""),"",IFERROR(MIN(1,SUMIF(SEMANAL!$C$7:$C$506,A5,SEMANAL!$W$7:$W$506)/H5),0))</f>
        <v/>
      </c>
      <c r="O5" s="57"/>
      <c r="P5" s="57"/>
      <c r="Q5" s="57"/>
      <c r="R5" s="57"/>
      <c r="S5" s="57"/>
      <c r="T5" s="57"/>
      <c r="U5" s="9" t="s">
        <v>17356</v>
      </c>
    </row>
    <row r="6" customFormat="false" ht="15" hidden="false" customHeight="false" outlineLevel="0" collapsed="false">
      <c r="A6" s="9" t="s">
        <v>1482</v>
      </c>
      <c r="B6" s="9" t="s">
        <v>17357</v>
      </c>
      <c r="C6" s="16" t="str">
        <f aca="false">IF(B6="","",IFERROR(INDEX(EDT!$E$5:$E$436,MATCH(B6,EDT!$H$5:$H$436,0)),IFERROR(INDEX(CRONOGRAMA!$G$5:$G$5679,MATCH(A6,CRONOGRAMA!$A$5:$A$5679,0)),"Fuera EDT")))</f>
        <v>01</v>
      </c>
      <c r="D6" s="16" t="str">
        <f aca="false">IF(C6="","",IFERROR(INDEX(MASTER!$B$19:$B$109,MATCH(C6,MASTER!$A$19:$A$109,0)),"Asignar fase"))</f>
        <v>Obras Provisionales, Trabajos Preliminares, Seguridad y Salud, Mitigación Impacto Ambiental, PMAR</v>
      </c>
      <c r="E6" s="9" t="s">
        <v>136</v>
      </c>
      <c r="F6" s="9"/>
      <c r="G6" s="9"/>
      <c r="H6" s="56"/>
      <c r="I6" s="43" t="n">
        <v>45885</v>
      </c>
      <c r="J6" s="43" t="n">
        <v>46609</v>
      </c>
      <c r="K6" s="16" t="n">
        <f aca="false">IF(A6="","",COUNTIF(RESTRICCIONES!$B$5:$B$304,A6))</f>
        <v>0</v>
      </c>
      <c r="L6" s="16" t="n">
        <f aca="false">IF(A6="","",COUNTIFS(RESTRICCIONES!$B$5:$B$304,A6,RESTRICCIONES!$L$5:$L$304,"Pendiente"))</f>
        <v>0</v>
      </c>
      <c r="M6" s="18" t="str">
        <f aca="false">IF(A6="","",IF(L6=0,"LISTA","RESTRINGIDA"))</f>
        <v>LISTA</v>
      </c>
      <c r="N6" s="51" t="str">
        <f aca="false">IF(OR(A6="",H6=""),"",IFERROR(MIN(1,SUMIF(SEMANAL!$C$7:$C$506,A6,SEMANAL!$W$7:$W$506)/H6),0))</f>
        <v/>
      </c>
      <c r="O6" s="57"/>
      <c r="P6" s="57"/>
      <c r="Q6" s="57"/>
      <c r="R6" s="57"/>
      <c r="S6" s="57"/>
      <c r="T6" s="57"/>
      <c r="U6" s="9" t="s">
        <v>17356</v>
      </c>
    </row>
    <row r="7" customFormat="false" ht="15" hidden="false" customHeight="false" outlineLevel="0" collapsed="false">
      <c r="A7" s="9" t="s">
        <v>1403</v>
      </c>
      <c r="B7" s="9" t="s">
        <v>17358</v>
      </c>
      <c r="C7" s="16" t="str">
        <f aca="false">IF(B7="","",IFERROR(INDEX(EDT!$E$5:$E$436,MATCH(B7,EDT!$H$5:$H$436,0)),IFERROR(INDEX(CRONOGRAMA!$G$5:$G$5679,MATCH(A7,CRONOGRAMA!$A$5:$A$5679,0)),"Fuera EDT")))</f>
        <v>01</v>
      </c>
      <c r="D7" s="16" t="str">
        <f aca="false">IF(C7="","",IFERROR(INDEX(MASTER!$B$19:$B$109,MATCH(C7,MASTER!$A$19:$A$109,0)),"Asignar fase"))</f>
        <v>Obras Provisionales, Trabajos Preliminares, Seguridad y Salud, Mitigación Impacto Ambiental, PMAR</v>
      </c>
      <c r="E7" s="9" t="s">
        <v>136</v>
      </c>
      <c r="F7" s="9"/>
      <c r="G7" s="9"/>
      <c r="H7" s="56"/>
      <c r="I7" s="43" t="n">
        <v>45890</v>
      </c>
      <c r="J7" s="43" t="n">
        <v>46608</v>
      </c>
      <c r="K7" s="16" t="n">
        <f aca="false">IF(A7="","",COUNTIF(RESTRICCIONES!$B$5:$B$304,A7))</f>
        <v>0</v>
      </c>
      <c r="L7" s="16" t="n">
        <f aca="false">IF(A7="","",COUNTIFS(RESTRICCIONES!$B$5:$B$304,A7,RESTRICCIONES!$L$5:$L$304,"Pendiente"))</f>
        <v>0</v>
      </c>
      <c r="M7" s="18" t="str">
        <f aca="false">IF(A7="","",IF(L7=0,"LISTA","RESTRINGIDA"))</f>
        <v>LISTA</v>
      </c>
      <c r="N7" s="51" t="str">
        <f aca="false">IF(OR(A7="",H7=""),"",IFERROR(MIN(1,SUMIF(SEMANAL!$C$7:$C$506,A7,SEMANAL!$W$7:$W$506)/H7),0))</f>
        <v/>
      </c>
      <c r="O7" s="57"/>
      <c r="P7" s="57"/>
      <c r="Q7" s="57"/>
      <c r="R7" s="57"/>
      <c r="S7" s="57"/>
      <c r="T7" s="57"/>
      <c r="U7" s="9" t="s">
        <v>17359</v>
      </c>
    </row>
    <row r="8" customFormat="false" ht="15" hidden="false" customHeight="false" outlineLevel="0" collapsed="false">
      <c r="A8" s="9" t="s">
        <v>1407</v>
      </c>
      <c r="B8" s="9" t="s">
        <v>17360</v>
      </c>
      <c r="C8" s="16" t="str">
        <f aca="false">IF(B8="","",IFERROR(INDEX(EDT!$E$5:$E$436,MATCH(B8,EDT!$H$5:$H$436,0)),IFERROR(INDEX(CRONOGRAMA!$G$5:$G$5679,MATCH(A8,CRONOGRAMA!$A$5:$A$5679,0)),"Fuera EDT")))</f>
        <v>01</v>
      </c>
      <c r="D8" s="16" t="str">
        <f aca="false">IF(C8="","",IFERROR(INDEX(MASTER!$B$19:$B$109,MATCH(C8,MASTER!$A$19:$A$109,0)),"Asignar fase"))</f>
        <v>Obras Provisionales, Trabajos Preliminares, Seguridad y Salud, Mitigación Impacto Ambiental, PMAR</v>
      </c>
      <c r="E8" s="9" t="s">
        <v>136</v>
      </c>
      <c r="F8" s="9"/>
      <c r="G8" s="9"/>
      <c r="H8" s="56"/>
      <c r="I8" s="43" t="n">
        <v>45890</v>
      </c>
      <c r="J8" s="43" t="n">
        <v>46608</v>
      </c>
      <c r="K8" s="16" t="n">
        <f aca="false">IF(A8="","",COUNTIF(RESTRICCIONES!$B$5:$B$304,A8))</f>
        <v>0</v>
      </c>
      <c r="L8" s="16" t="n">
        <f aca="false">IF(A8="","",COUNTIFS(RESTRICCIONES!$B$5:$B$304,A8,RESTRICCIONES!$L$5:$L$304,"Pendiente"))</f>
        <v>0</v>
      </c>
      <c r="M8" s="18" t="str">
        <f aca="false">IF(A8="","",IF(L8=0,"LISTA","RESTRINGIDA"))</f>
        <v>LISTA</v>
      </c>
      <c r="N8" s="51" t="str">
        <f aca="false">IF(OR(A8="",H8=""),"",IFERROR(MIN(1,SUMIF(SEMANAL!$C$7:$C$506,A8,SEMANAL!$W$7:$W$506)/H8),0))</f>
        <v/>
      </c>
      <c r="O8" s="57"/>
      <c r="P8" s="57"/>
      <c r="Q8" s="57"/>
      <c r="R8" s="57"/>
      <c r="S8" s="57"/>
      <c r="T8" s="57"/>
      <c r="U8" s="9" t="s">
        <v>17361</v>
      </c>
    </row>
    <row r="9" customFormat="false" ht="15" hidden="false" customHeight="false" outlineLevel="0" collapsed="false">
      <c r="A9" s="9" t="s">
        <v>1411</v>
      </c>
      <c r="B9" s="9" t="s">
        <v>17362</v>
      </c>
      <c r="C9" s="16" t="str">
        <f aca="false">IF(B9="","",IFERROR(INDEX(EDT!$E$5:$E$436,MATCH(B9,EDT!$H$5:$H$436,0)),IFERROR(INDEX(CRONOGRAMA!$G$5:$G$5679,MATCH(A9,CRONOGRAMA!$A$5:$A$5679,0)),"Fuera EDT")))</f>
        <v>01</v>
      </c>
      <c r="D9" s="16" t="str">
        <f aca="false">IF(C9="","",IFERROR(INDEX(MASTER!$B$19:$B$109,MATCH(C9,MASTER!$A$19:$A$109,0)),"Asignar fase"))</f>
        <v>Obras Provisionales, Trabajos Preliminares, Seguridad y Salud, Mitigación Impacto Ambiental, PMAR</v>
      </c>
      <c r="E9" s="9" t="s">
        <v>136</v>
      </c>
      <c r="F9" s="9"/>
      <c r="G9" s="9"/>
      <c r="H9" s="56"/>
      <c r="I9" s="43" t="n">
        <v>45890</v>
      </c>
      <c r="J9" s="43" t="n">
        <v>46608</v>
      </c>
      <c r="K9" s="16" t="n">
        <f aca="false">IF(A9="","",COUNTIF(RESTRICCIONES!$B$5:$B$304,A9))</f>
        <v>0</v>
      </c>
      <c r="L9" s="16" t="n">
        <f aca="false">IF(A9="","",COUNTIFS(RESTRICCIONES!$B$5:$B$304,A9,RESTRICCIONES!$L$5:$L$304,"Pendiente"))</f>
        <v>0</v>
      </c>
      <c r="M9" s="18" t="str">
        <f aca="false">IF(A9="","",IF(L9=0,"LISTA","RESTRINGIDA"))</f>
        <v>LISTA</v>
      </c>
      <c r="N9" s="51" t="str">
        <f aca="false">IF(OR(A9="",H9=""),"",IFERROR(MIN(1,SUMIF(SEMANAL!$C$7:$C$506,A9,SEMANAL!$W$7:$W$506)/H9),0))</f>
        <v/>
      </c>
      <c r="O9" s="57"/>
      <c r="P9" s="57"/>
      <c r="Q9" s="57"/>
      <c r="R9" s="57"/>
      <c r="S9" s="57"/>
      <c r="T9" s="57"/>
      <c r="U9" s="9" t="s">
        <v>17361</v>
      </c>
    </row>
    <row r="10" customFormat="false" ht="15" hidden="false" customHeight="false" outlineLevel="0" collapsed="false">
      <c r="A10" s="9" t="s">
        <v>1414</v>
      </c>
      <c r="B10" s="9" t="s">
        <v>17363</v>
      </c>
      <c r="C10" s="16" t="str">
        <f aca="false">IF(B10="","",IFERROR(INDEX(EDT!$E$5:$E$436,MATCH(B10,EDT!$H$5:$H$436,0)),IFERROR(INDEX(CRONOGRAMA!$G$5:$G$5679,MATCH(A10,CRONOGRAMA!$A$5:$A$5679,0)),"Fuera EDT")))</f>
        <v>01</v>
      </c>
      <c r="D10" s="16" t="str">
        <f aca="false">IF(C10="","",IFERROR(INDEX(MASTER!$B$19:$B$109,MATCH(C10,MASTER!$A$19:$A$109,0)),"Asignar fase"))</f>
        <v>Obras Provisionales, Trabajos Preliminares, Seguridad y Salud, Mitigación Impacto Ambiental, PMAR</v>
      </c>
      <c r="E10" s="9" t="s">
        <v>136</v>
      </c>
      <c r="F10" s="9"/>
      <c r="G10" s="9"/>
      <c r="H10" s="56"/>
      <c r="I10" s="43" t="n">
        <v>45890</v>
      </c>
      <c r="J10" s="43" t="n">
        <v>46608</v>
      </c>
      <c r="K10" s="16" t="n">
        <f aca="false">IF(A10="","",COUNTIF(RESTRICCIONES!$B$5:$B$304,A10))</f>
        <v>0</v>
      </c>
      <c r="L10" s="16" t="n">
        <f aca="false">IF(A10="","",COUNTIFS(RESTRICCIONES!$B$5:$B$304,A10,RESTRICCIONES!$L$5:$L$304,"Pendiente"))</f>
        <v>0</v>
      </c>
      <c r="M10" s="18" t="str">
        <f aca="false">IF(A10="","",IF(L10=0,"LISTA","RESTRINGIDA"))</f>
        <v>LISTA</v>
      </c>
      <c r="N10" s="51" t="str">
        <f aca="false">IF(OR(A10="",H10=""),"",IFERROR(MIN(1,SUMIF(SEMANAL!$C$7:$C$506,A10,SEMANAL!$W$7:$W$506)/H10),0))</f>
        <v/>
      </c>
      <c r="O10" s="57"/>
      <c r="P10" s="57"/>
      <c r="Q10" s="57"/>
      <c r="R10" s="57"/>
      <c r="S10" s="57"/>
      <c r="T10" s="57"/>
      <c r="U10" s="9" t="s">
        <v>17364</v>
      </c>
    </row>
    <row r="11" customFormat="false" ht="15" hidden="false" customHeight="false" outlineLevel="0" collapsed="false">
      <c r="A11" s="9" t="s">
        <v>1369</v>
      </c>
      <c r="B11" s="9" t="s">
        <v>17365</v>
      </c>
      <c r="C11" s="16" t="str">
        <f aca="false">IF(B11="","",IFERROR(INDEX(EDT!$E$5:$E$436,MATCH(B11,EDT!$H$5:$H$436,0)),IFERROR(INDEX(CRONOGRAMA!$G$5:$G$5679,MATCH(A11,CRONOGRAMA!$A$5:$A$5679,0)),"Fuera EDT")))</f>
        <v>01</v>
      </c>
      <c r="D11" s="16" t="str">
        <f aca="false">IF(C11="","",IFERROR(INDEX(MASTER!$B$19:$B$109,MATCH(C11,MASTER!$A$19:$A$109,0)),"Asignar fase"))</f>
        <v>Obras Provisionales, Trabajos Preliminares, Seguridad y Salud, Mitigación Impacto Ambiental, PMAR</v>
      </c>
      <c r="E11" s="9" t="s">
        <v>136</v>
      </c>
      <c r="F11" s="9"/>
      <c r="G11" s="9"/>
      <c r="H11" s="56"/>
      <c r="I11" s="43" t="n">
        <v>45893</v>
      </c>
      <c r="J11" s="43" t="n">
        <v>46481</v>
      </c>
      <c r="K11" s="16" t="n">
        <f aca="false">IF(A11="","",COUNTIF(RESTRICCIONES!$B$5:$B$304,A11))</f>
        <v>0</v>
      </c>
      <c r="L11" s="16" t="n">
        <f aca="false">IF(A11="","",COUNTIFS(RESTRICCIONES!$B$5:$B$304,A11,RESTRICCIONES!$L$5:$L$304,"Pendiente"))</f>
        <v>0</v>
      </c>
      <c r="M11" s="18" t="str">
        <f aca="false">IF(A11="","",IF(L11=0,"LISTA","RESTRINGIDA"))</f>
        <v>LISTA</v>
      </c>
      <c r="N11" s="51" t="str">
        <f aca="false">IF(OR(A11="",H11=""),"",IFERROR(MIN(1,SUMIF(SEMANAL!$C$7:$C$506,A11,SEMANAL!$W$7:$W$506)/H11),0))</f>
        <v/>
      </c>
      <c r="O11" s="57"/>
      <c r="P11" s="57"/>
      <c r="Q11" s="57"/>
      <c r="R11" s="57"/>
      <c r="S11" s="57"/>
      <c r="T11" s="57"/>
      <c r="U11" s="9" t="s">
        <v>17366</v>
      </c>
    </row>
    <row r="12" customFormat="false" ht="15" hidden="false" customHeight="false" outlineLevel="0" collapsed="false">
      <c r="A12" s="9" t="s">
        <v>1362</v>
      </c>
      <c r="B12" s="9" t="s">
        <v>17367</v>
      </c>
      <c r="C12" s="16" t="str">
        <f aca="false">IF(B12="","",IFERROR(INDEX(EDT!$E$5:$E$436,MATCH(B12,EDT!$H$5:$H$436,0)),IFERROR(INDEX(CRONOGRAMA!$G$5:$G$5679,MATCH(A12,CRONOGRAMA!$A$5:$A$5679,0)),"Fuera EDT")))</f>
        <v>01</v>
      </c>
      <c r="D12" s="16" t="str">
        <f aca="false">IF(C12="","",IFERROR(INDEX(MASTER!$B$19:$B$109,MATCH(C12,MASTER!$A$19:$A$109,0)),"Asignar fase"))</f>
        <v>Obras Provisionales, Trabajos Preliminares, Seguridad y Salud, Mitigación Impacto Ambiental, PMAR</v>
      </c>
      <c r="E12" s="9" t="s">
        <v>136</v>
      </c>
      <c r="F12" s="9"/>
      <c r="G12" s="9"/>
      <c r="H12" s="56"/>
      <c r="I12" s="43" t="n">
        <v>45906</v>
      </c>
      <c r="J12" s="43" t="n">
        <v>46585</v>
      </c>
      <c r="K12" s="16" t="n">
        <f aca="false">IF(A12="","",COUNTIF(RESTRICCIONES!$B$5:$B$304,A12))</f>
        <v>0</v>
      </c>
      <c r="L12" s="16" t="n">
        <f aca="false">IF(A12="","",COUNTIFS(RESTRICCIONES!$B$5:$B$304,A12,RESTRICCIONES!$L$5:$L$304,"Pendiente"))</f>
        <v>0</v>
      </c>
      <c r="M12" s="18" t="str">
        <f aca="false">IF(A12="","",IF(L12=0,"LISTA","RESTRINGIDA"))</f>
        <v>LISTA</v>
      </c>
      <c r="N12" s="51" t="str">
        <f aca="false">IF(OR(A12="",H12=""),"",IFERROR(MIN(1,SUMIF(SEMANAL!$C$7:$C$506,A12,SEMANAL!$W$7:$W$506)/H12),0))</f>
        <v/>
      </c>
      <c r="O12" s="57"/>
      <c r="P12" s="57"/>
      <c r="Q12" s="57"/>
      <c r="R12" s="57"/>
      <c r="S12" s="57"/>
      <c r="T12" s="57"/>
      <c r="U12" s="9" t="s">
        <v>17368</v>
      </c>
    </row>
    <row r="13" customFormat="false" ht="15" hidden="false" customHeight="false" outlineLevel="0" collapsed="false">
      <c r="A13" s="9" t="s">
        <v>1358</v>
      </c>
      <c r="B13" s="9" t="s">
        <v>17369</v>
      </c>
      <c r="C13" s="16" t="str">
        <f aca="false">IF(B13="","",IFERROR(INDEX(EDT!$E$5:$E$436,MATCH(B13,EDT!$H$5:$H$436,0)),IFERROR(INDEX(CRONOGRAMA!$G$5:$G$5679,MATCH(A13,CRONOGRAMA!$A$5:$A$5679,0)),"Fuera EDT")))</f>
        <v>01</v>
      </c>
      <c r="D13" s="16" t="str">
        <f aca="false">IF(C13="","",IFERROR(INDEX(MASTER!$B$19:$B$109,MATCH(C13,MASTER!$A$19:$A$109,0)),"Asignar fase"))</f>
        <v>Obras Provisionales, Trabajos Preliminares, Seguridad y Salud, Mitigación Impacto Ambiental, PMAR</v>
      </c>
      <c r="E13" s="9" t="s">
        <v>136</v>
      </c>
      <c r="F13" s="9"/>
      <c r="G13" s="9"/>
      <c r="H13" s="56"/>
      <c r="I13" s="43" t="n">
        <v>45911</v>
      </c>
      <c r="J13" s="43" t="n">
        <v>46590</v>
      </c>
      <c r="K13" s="16" t="n">
        <f aca="false">IF(A13="","",COUNTIF(RESTRICCIONES!$B$5:$B$304,A13))</f>
        <v>0</v>
      </c>
      <c r="L13" s="16" t="n">
        <f aca="false">IF(A13="","",COUNTIFS(RESTRICCIONES!$B$5:$B$304,A13,RESTRICCIONES!$L$5:$L$304,"Pendiente"))</f>
        <v>0</v>
      </c>
      <c r="M13" s="18" t="str">
        <f aca="false">IF(A13="","",IF(L13=0,"LISTA","RESTRINGIDA"))</f>
        <v>LISTA</v>
      </c>
      <c r="N13" s="51" t="str">
        <f aca="false">IF(OR(A13="",H13=""),"",IFERROR(MIN(1,SUMIF(SEMANAL!$C$7:$C$506,A13,SEMANAL!$W$7:$W$506)/H13),0))</f>
        <v/>
      </c>
      <c r="O13" s="57"/>
      <c r="P13" s="57"/>
      <c r="Q13" s="57"/>
      <c r="R13" s="57"/>
      <c r="S13" s="57"/>
      <c r="T13" s="57"/>
      <c r="U13" s="9" t="s">
        <v>17370</v>
      </c>
    </row>
    <row r="14" customFormat="false" ht="15" hidden="false" customHeight="false" outlineLevel="0" collapsed="false">
      <c r="A14" s="9" t="s">
        <v>1332</v>
      </c>
      <c r="B14" s="9" t="s">
        <v>17371</v>
      </c>
      <c r="C14" s="16" t="str">
        <f aca="false">IF(B14="","",IFERROR(INDEX(EDT!$E$5:$E$436,MATCH(B14,EDT!$H$5:$H$436,0)),IFERROR(INDEX(CRONOGRAMA!$G$5:$G$5679,MATCH(A14,CRONOGRAMA!$A$5:$A$5679,0)),"Fuera EDT")))</f>
        <v>01</v>
      </c>
      <c r="D14" s="16" t="str">
        <f aca="false">IF(C14="","",IFERROR(INDEX(MASTER!$B$19:$B$109,MATCH(C14,MASTER!$A$19:$A$109,0)),"Asignar fase"))</f>
        <v>Obras Provisionales, Trabajos Preliminares, Seguridad y Salud, Mitigación Impacto Ambiental, PMAR</v>
      </c>
      <c r="E14" s="9" t="s">
        <v>136</v>
      </c>
      <c r="F14" s="9"/>
      <c r="G14" s="9"/>
      <c r="H14" s="56"/>
      <c r="I14" s="43" t="n">
        <v>45912</v>
      </c>
      <c r="J14" s="43" t="n">
        <v>46611</v>
      </c>
      <c r="K14" s="16" t="n">
        <f aca="false">IF(A14="","",COUNTIF(RESTRICCIONES!$B$5:$B$304,A14))</f>
        <v>0</v>
      </c>
      <c r="L14" s="16" t="n">
        <f aca="false">IF(A14="","",COUNTIFS(RESTRICCIONES!$B$5:$B$304,A14,RESTRICCIONES!$L$5:$L$304,"Pendiente"))</f>
        <v>0</v>
      </c>
      <c r="M14" s="18" t="str">
        <f aca="false">IF(A14="","",IF(L14=0,"LISTA","RESTRINGIDA"))</f>
        <v>LISTA</v>
      </c>
      <c r="N14" s="51" t="str">
        <f aca="false">IF(OR(A14="",H14=""),"",IFERROR(MIN(1,SUMIF(SEMANAL!$C$7:$C$506,A14,SEMANAL!$W$7:$W$506)/H14),0))</f>
        <v/>
      </c>
      <c r="O14" s="57"/>
      <c r="P14" s="57"/>
      <c r="Q14" s="57"/>
      <c r="R14" s="57"/>
      <c r="S14" s="57"/>
      <c r="T14" s="57"/>
      <c r="U14" s="9" t="s">
        <v>17372</v>
      </c>
    </row>
    <row r="15" customFormat="false" ht="15" hidden="false" customHeight="false" outlineLevel="0" collapsed="false">
      <c r="A15" s="9" t="s">
        <v>1429</v>
      </c>
      <c r="B15" s="9" t="s">
        <v>17373</v>
      </c>
      <c r="C15" s="16" t="str">
        <f aca="false">IF(B15="","",IFERROR(INDEX(EDT!$E$5:$E$436,MATCH(B15,EDT!$H$5:$H$436,0)),IFERROR(INDEX(CRONOGRAMA!$G$5:$G$5679,MATCH(A15,CRONOGRAMA!$A$5:$A$5679,0)),"Fuera EDT")))</f>
        <v>01</v>
      </c>
      <c r="D15" s="16" t="str">
        <f aca="false">IF(C15="","",IFERROR(INDEX(MASTER!$B$19:$B$109,MATCH(C15,MASTER!$A$19:$A$109,0)),"Asignar fase"))</f>
        <v>Obras Provisionales, Trabajos Preliminares, Seguridad y Salud, Mitigación Impacto Ambiental, PMAR</v>
      </c>
      <c r="E15" s="9" t="s">
        <v>136</v>
      </c>
      <c r="F15" s="9"/>
      <c r="G15" s="9"/>
      <c r="H15" s="56"/>
      <c r="I15" s="43" t="n">
        <v>45912</v>
      </c>
      <c r="J15" s="43" t="n">
        <v>46605</v>
      </c>
      <c r="K15" s="16" t="n">
        <f aca="false">IF(A15="","",COUNTIF(RESTRICCIONES!$B$5:$B$304,A15))</f>
        <v>0</v>
      </c>
      <c r="L15" s="16" t="n">
        <f aca="false">IF(A15="","",COUNTIFS(RESTRICCIONES!$B$5:$B$304,A15,RESTRICCIONES!$L$5:$L$304,"Pendiente"))</f>
        <v>0</v>
      </c>
      <c r="M15" s="18" t="str">
        <f aca="false">IF(A15="","",IF(L15=0,"LISTA","RESTRINGIDA"))</f>
        <v>LISTA</v>
      </c>
      <c r="N15" s="51" t="str">
        <f aca="false">IF(OR(A15="",H15=""),"",IFERROR(MIN(1,SUMIF(SEMANAL!$C$7:$C$506,A15,SEMANAL!$W$7:$W$506)/H15),0))</f>
        <v/>
      </c>
      <c r="O15" s="57"/>
      <c r="P15" s="57"/>
      <c r="Q15" s="57"/>
      <c r="R15" s="57"/>
      <c r="S15" s="57"/>
      <c r="T15" s="57"/>
      <c r="U15" s="9" t="s">
        <v>17374</v>
      </c>
    </row>
    <row r="16" customFormat="false" ht="15" hidden="false" customHeight="false" outlineLevel="0" collapsed="false">
      <c r="A16" s="9" t="s">
        <v>1418</v>
      </c>
      <c r="B16" s="9" t="s">
        <v>17375</v>
      </c>
      <c r="C16" s="16" t="str">
        <f aca="false">IF(B16="","",IFERROR(INDEX(EDT!$E$5:$E$436,MATCH(B16,EDT!$H$5:$H$436,0)),IFERROR(INDEX(CRONOGRAMA!$G$5:$G$5679,MATCH(A16,CRONOGRAMA!$A$5:$A$5679,0)),"Fuera EDT")))</f>
        <v>01</v>
      </c>
      <c r="D16" s="16" t="str">
        <f aca="false">IF(C16="","",IFERROR(INDEX(MASTER!$B$19:$B$109,MATCH(C16,MASTER!$A$19:$A$109,0)),"Asignar fase"))</f>
        <v>Obras Provisionales, Trabajos Preliminares, Seguridad y Salud, Mitigación Impacto Ambiental, PMAR</v>
      </c>
      <c r="E16" s="9" t="s">
        <v>136</v>
      </c>
      <c r="F16" s="9"/>
      <c r="G16" s="9"/>
      <c r="H16" s="56"/>
      <c r="I16" s="43" t="n">
        <v>45913</v>
      </c>
      <c r="J16" s="43" t="n">
        <v>46382</v>
      </c>
      <c r="K16" s="16" t="n">
        <f aca="false">IF(A16="","",COUNTIF(RESTRICCIONES!$B$5:$B$304,A16))</f>
        <v>0</v>
      </c>
      <c r="L16" s="16" t="n">
        <f aca="false">IF(A16="","",COUNTIFS(RESTRICCIONES!$B$5:$B$304,A16,RESTRICCIONES!$L$5:$L$304,"Pendiente"))</f>
        <v>0</v>
      </c>
      <c r="M16" s="18" t="str">
        <f aca="false">IF(A16="","",IF(L16=0,"LISTA","RESTRINGIDA"))</f>
        <v>LISTA</v>
      </c>
      <c r="N16" s="51" t="str">
        <f aca="false">IF(OR(A16="",H16=""),"",IFERROR(MIN(1,SUMIF(SEMANAL!$C$7:$C$506,A16,SEMANAL!$W$7:$W$506)/H16),0))</f>
        <v/>
      </c>
      <c r="O16" s="57"/>
      <c r="P16" s="57"/>
      <c r="Q16" s="57"/>
      <c r="R16" s="57"/>
      <c r="S16" s="57"/>
      <c r="T16" s="57"/>
      <c r="U16" s="9" t="s">
        <v>17376</v>
      </c>
    </row>
    <row r="17" customFormat="false" ht="15" hidden="false" customHeight="false" outlineLevel="0" collapsed="false">
      <c r="A17" s="9" t="s">
        <v>1373</v>
      </c>
      <c r="B17" s="9" t="s">
        <v>17377</v>
      </c>
      <c r="C17" s="16" t="str">
        <f aca="false">IF(B17="","",IFERROR(INDEX(EDT!$E$5:$E$436,MATCH(B17,EDT!$H$5:$H$436,0)),IFERROR(INDEX(CRONOGRAMA!$G$5:$G$5679,MATCH(A17,CRONOGRAMA!$A$5:$A$5679,0)),"Fuera EDT")))</f>
        <v>01</v>
      </c>
      <c r="D17" s="16" t="str">
        <f aca="false">IF(C17="","",IFERROR(INDEX(MASTER!$B$19:$B$109,MATCH(C17,MASTER!$A$19:$A$109,0)),"Asignar fase"))</f>
        <v>Obras Provisionales, Trabajos Preliminares, Seguridad y Salud, Mitigación Impacto Ambiental, PMAR</v>
      </c>
      <c r="E17" s="9" t="s">
        <v>136</v>
      </c>
      <c r="F17" s="9"/>
      <c r="G17" s="9"/>
      <c r="H17" s="56"/>
      <c r="I17" s="43" t="n">
        <v>45917</v>
      </c>
      <c r="J17" s="43" t="n">
        <v>46596</v>
      </c>
      <c r="K17" s="16" t="n">
        <f aca="false">IF(A17="","",COUNTIF(RESTRICCIONES!$B$5:$B$304,A17))</f>
        <v>0</v>
      </c>
      <c r="L17" s="16" t="n">
        <f aca="false">IF(A17="","",COUNTIFS(RESTRICCIONES!$B$5:$B$304,A17,RESTRICCIONES!$L$5:$L$304,"Pendiente"))</f>
        <v>0</v>
      </c>
      <c r="M17" s="18" t="str">
        <f aca="false">IF(A17="","",IF(L17=0,"LISTA","RESTRINGIDA"))</f>
        <v>LISTA</v>
      </c>
      <c r="N17" s="51" t="str">
        <f aca="false">IF(OR(A17="",H17=""),"",IFERROR(MIN(1,SUMIF(SEMANAL!$C$7:$C$506,A17,SEMANAL!$W$7:$W$506)/H17),0))</f>
        <v/>
      </c>
      <c r="O17" s="57"/>
      <c r="P17" s="57"/>
      <c r="Q17" s="57"/>
      <c r="R17" s="57"/>
      <c r="S17" s="57"/>
      <c r="T17" s="57"/>
      <c r="U17" s="9" t="s">
        <v>17378</v>
      </c>
    </row>
    <row r="18" customFormat="false" ht="15" hidden="false" customHeight="false" outlineLevel="0" collapsed="false">
      <c r="A18" s="9" t="s">
        <v>1343</v>
      </c>
      <c r="B18" s="9" t="s">
        <v>17379</v>
      </c>
      <c r="C18" s="16" t="str">
        <f aca="false">IF(B18="","",IFERROR(INDEX(EDT!$E$5:$E$436,MATCH(B18,EDT!$H$5:$H$436,0)),IFERROR(INDEX(CRONOGRAMA!$G$5:$G$5679,MATCH(A18,CRONOGRAMA!$A$5:$A$5679,0)),"Fuera EDT")))</f>
        <v>01</v>
      </c>
      <c r="D18" s="16" t="str">
        <f aca="false">IF(C18="","",IFERROR(INDEX(MASTER!$B$19:$B$109,MATCH(C18,MASTER!$A$19:$A$109,0)),"Asignar fase"))</f>
        <v>Obras Provisionales, Trabajos Preliminares, Seguridad y Salud, Mitigación Impacto Ambiental, PMAR</v>
      </c>
      <c r="E18" s="9" t="s">
        <v>136</v>
      </c>
      <c r="F18" s="9"/>
      <c r="G18" s="9"/>
      <c r="H18" s="56"/>
      <c r="I18" s="43" t="n">
        <v>45973</v>
      </c>
      <c r="J18" s="43" t="n">
        <v>46482</v>
      </c>
      <c r="K18" s="16" t="n">
        <f aca="false">IF(A18="","",COUNTIF(RESTRICCIONES!$B$5:$B$304,A18))</f>
        <v>0</v>
      </c>
      <c r="L18" s="16" t="n">
        <f aca="false">IF(A18="","",COUNTIFS(RESTRICCIONES!$B$5:$B$304,A18,RESTRICCIONES!$L$5:$L$304,"Pendiente"))</f>
        <v>0</v>
      </c>
      <c r="M18" s="18" t="str">
        <f aca="false">IF(A18="","",IF(L18=0,"LISTA","RESTRINGIDA"))</f>
        <v>LISTA</v>
      </c>
      <c r="N18" s="51" t="str">
        <f aca="false">IF(OR(A18="",H18=""),"",IFERROR(MIN(1,SUMIF(SEMANAL!$C$7:$C$506,A18,SEMANAL!$W$7:$W$506)/H18),0))</f>
        <v/>
      </c>
      <c r="O18" s="57"/>
      <c r="P18" s="57"/>
      <c r="Q18" s="57"/>
      <c r="R18" s="57"/>
      <c r="S18" s="57"/>
      <c r="T18" s="57"/>
      <c r="U18" s="9" t="s">
        <v>17380</v>
      </c>
    </row>
    <row r="19" customFormat="false" ht="15" hidden="false" customHeight="false" outlineLevel="0" collapsed="false">
      <c r="A19" s="9" t="s">
        <v>1385</v>
      </c>
      <c r="B19" s="9" t="s">
        <v>17381</v>
      </c>
      <c r="C19" s="16" t="str">
        <f aca="false">IF(B19="","",IFERROR(INDEX(EDT!$E$5:$E$436,MATCH(B19,EDT!$H$5:$H$436,0)),IFERROR(INDEX(CRONOGRAMA!$G$5:$G$5679,MATCH(A19,CRONOGRAMA!$A$5:$A$5679,0)),"Fuera EDT")))</f>
        <v>01</v>
      </c>
      <c r="D19" s="16" t="str">
        <f aca="false">IF(C19="","",IFERROR(INDEX(MASTER!$B$19:$B$109,MATCH(C19,MASTER!$A$19:$A$109,0)),"Asignar fase"))</f>
        <v>Obras Provisionales, Trabajos Preliminares, Seguridad y Salud, Mitigación Impacto Ambiental, PMAR</v>
      </c>
      <c r="E19" s="9" t="s">
        <v>136</v>
      </c>
      <c r="F19" s="9"/>
      <c r="G19" s="9"/>
      <c r="H19" s="56"/>
      <c r="I19" s="43" t="n">
        <v>45980</v>
      </c>
      <c r="J19" s="43" t="n">
        <v>46493</v>
      </c>
      <c r="K19" s="16" t="n">
        <f aca="false">IF(A19="","",COUNTIF(RESTRICCIONES!$B$5:$B$304,A19))</f>
        <v>0</v>
      </c>
      <c r="L19" s="16" t="n">
        <f aca="false">IF(A19="","",COUNTIFS(RESTRICCIONES!$B$5:$B$304,A19,RESTRICCIONES!$L$5:$L$304,"Pendiente"))</f>
        <v>0</v>
      </c>
      <c r="M19" s="18" t="str">
        <f aca="false">IF(A19="","",IF(L19=0,"LISTA","RESTRINGIDA"))</f>
        <v>LISTA</v>
      </c>
      <c r="N19" s="51" t="str">
        <f aca="false">IF(OR(A19="",H19=""),"",IFERROR(MIN(1,SUMIF(SEMANAL!$C$7:$C$506,A19,SEMANAL!$W$7:$W$506)/H19),0))</f>
        <v/>
      </c>
      <c r="O19" s="57"/>
      <c r="P19" s="57"/>
      <c r="Q19" s="57"/>
      <c r="R19" s="57"/>
      <c r="S19" s="57"/>
      <c r="T19" s="57"/>
      <c r="U19" s="9" t="s">
        <v>17382</v>
      </c>
    </row>
    <row r="20" customFormat="false" ht="15" hidden="false" customHeight="false" outlineLevel="0" collapsed="false">
      <c r="A20" s="9" t="s">
        <v>4036</v>
      </c>
      <c r="B20" s="9" t="s">
        <v>17383</v>
      </c>
      <c r="C20" s="16" t="str">
        <f aca="false">IF(B20="","",IFERROR(INDEX(EDT!$E$5:$E$436,MATCH(B20,EDT!$H$5:$H$436,0)),IFERROR(INDEX(CRONOGRAMA!$G$5:$G$5679,MATCH(A20,CRONOGRAMA!$A$5:$A$5679,0)),"Fuera EDT")))</f>
        <v>02</v>
      </c>
      <c r="D20" s="16" t="str">
        <f aca="false">IF(C20="","",IFERROR(INDEX(MASTER!$B$19:$B$109,MATCH(C20,MASTER!$A$19:$A$109,0)),"Asignar fase"))</f>
        <v>Estructuras</v>
      </c>
      <c r="E20" s="9" t="s">
        <v>92</v>
      </c>
      <c r="F20" s="9"/>
      <c r="G20" s="9"/>
      <c r="H20" s="56"/>
      <c r="I20" s="43" t="n">
        <v>46251</v>
      </c>
      <c r="J20" s="43" t="n">
        <v>46365</v>
      </c>
      <c r="K20" s="16" t="n">
        <f aca="false">IF(A20="","",COUNTIF(RESTRICCIONES!$B$5:$B$304,A20))</f>
        <v>0</v>
      </c>
      <c r="L20" s="16" t="n">
        <f aca="false">IF(A20="","",COUNTIFS(RESTRICCIONES!$B$5:$B$304,A20,RESTRICCIONES!$L$5:$L$304,"Pendiente"))</f>
        <v>0</v>
      </c>
      <c r="M20" s="18" t="str">
        <f aca="false">IF(A20="","",IF(L20=0,"LISTA","RESTRINGIDA"))</f>
        <v>LISTA</v>
      </c>
      <c r="N20" s="51" t="str">
        <f aca="false">IF(OR(A20="",H20=""),"",IFERROR(MIN(1,SUMIF(SEMANAL!$C$7:$C$506,A20,SEMANAL!$W$7:$W$506)/H20),0))</f>
        <v/>
      </c>
      <c r="O20" s="57"/>
      <c r="P20" s="57"/>
      <c r="Q20" s="57"/>
      <c r="R20" s="57"/>
      <c r="S20" s="57"/>
      <c r="T20" s="57"/>
      <c r="U20" s="9" t="s">
        <v>17384</v>
      </c>
    </row>
    <row r="21" customFormat="false" ht="15" hidden="false" customHeight="false" outlineLevel="0" collapsed="false">
      <c r="A21" s="9" t="s">
        <v>5887</v>
      </c>
      <c r="B21" s="9" t="s">
        <v>17385</v>
      </c>
      <c r="C21" s="16" t="str">
        <f aca="false">IF(B21="","",IFERROR(INDEX(EDT!$E$5:$E$436,MATCH(B21,EDT!$H$5:$H$436,0)),IFERROR(INDEX(CRONOGRAMA!$G$5:$G$5679,MATCH(A21,CRONOGRAMA!$A$5:$A$5679,0)),"Fuera EDT")))</f>
        <v>02</v>
      </c>
      <c r="D21" s="16" t="str">
        <f aca="false">IF(C21="","",IFERROR(INDEX(MASTER!$B$19:$B$109,MATCH(C21,MASTER!$A$19:$A$109,0)),"Asignar fase"))</f>
        <v>Estructuras</v>
      </c>
      <c r="E21" s="9" t="s">
        <v>121</v>
      </c>
      <c r="F21" s="9"/>
      <c r="G21" s="9"/>
      <c r="H21" s="56"/>
      <c r="I21" s="43" t="n">
        <v>46272</v>
      </c>
      <c r="J21" s="43" t="n">
        <v>46302</v>
      </c>
      <c r="K21" s="16" t="n">
        <f aca="false">IF(A21="","",COUNTIF(RESTRICCIONES!$B$5:$B$304,A21))</f>
        <v>0</v>
      </c>
      <c r="L21" s="16" t="n">
        <f aca="false">IF(A21="","",COUNTIFS(RESTRICCIONES!$B$5:$B$304,A21,RESTRICCIONES!$L$5:$L$304,"Pendiente"))</f>
        <v>0</v>
      </c>
      <c r="M21" s="18" t="str">
        <f aca="false">IF(A21="","",IF(L21=0,"LISTA","RESTRINGIDA"))</f>
        <v>LISTA</v>
      </c>
      <c r="N21" s="51" t="str">
        <f aca="false">IF(OR(A21="",H21=""),"",IFERROR(MIN(1,SUMIF(SEMANAL!$C$7:$C$506,A21,SEMANAL!$W$7:$W$506)/H21),0))</f>
        <v/>
      </c>
      <c r="O21" s="57"/>
      <c r="P21" s="57"/>
      <c r="Q21" s="57"/>
      <c r="R21" s="57"/>
      <c r="S21" s="57"/>
      <c r="T21" s="57"/>
      <c r="U21" s="9" t="s">
        <v>17386</v>
      </c>
    </row>
    <row r="22" customFormat="false" ht="15" hidden="false" customHeight="false" outlineLevel="0" collapsed="false">
      <c r="A22" s="9" t="s">
        <v>8179</v>
      </c>
      <c r="B22" s="9" t="s">
        <v>17387</v>
      </c>
      <c r="C22" s="16" t="str">
        <f aca="false">IF(B22="","",IFERROR(INDEX(EDT!$E$5:$E$436,MATCH(B22,EDT!$H$5:$H$436,0)),IFERROR(INDEX(CRONOGRAMA!$G$5:$G$5679,MATCH(A22,CRONOGRAMA!$A$5:$A$5679,0)),"Fuera EDT")))</f>
        <v>03</v>
      </c>
      <c r="D22" s="16" t="str">
        <f aca="false">IF(C22="","",IFERROR(INDEX(MASTER!$B$19:$B$109,MATCH(C22,MASTER!$A$19:$A$109,0)),"Asignar fase"))</f>
        <v>Arquitectura</v>
      </c>
      <c r="E22" s="9" t="s">
        <v>86</v>
      </c>
      <c r="F22" s="9"/>
      <c r="G22" s="9"/>
      <c r="H22" s="56"/>
      <c r="I22" s="43" t="n">
        <v>46277</v>
      </c>
      <c r="J22" s="43" t="n">
        <v>46303</v>
      </c>
      <c r="K22" s="16" t="n">
        <f aca="false">IF(A22="","",COUNTIF(RESTRICCIONES!$B$5:$B$304,A22))</f>
        <v>0</v>
      </c>
      <c r="L22" s="16" t="n">
        <f aca="false">IF(A22="","",COUNTIFS(RESTRICCIONES!$B$5:$B$304,A22,RESTRICCIONES!$L$5:$L$304,"Pendiente"))</f>
        <v>0</v>
      </c>
      <c r="M22" s="18" t="str">
        <f aca="false">IF(A22="","",IF(L22=0,"LISTA","RESTRINGIDA"))</f>
        <v>LISTA</v>
      </c>
      <c r="N22" s="51" t="str">
        <f aca="false">IF(OR(A22="",H22=""),"",IFERROR(MIN(1,SUMIF(SEMANAL!$C$7:$C$506,A22,SEMANAL!$W$7:$W$506)/H22),0))</f>
        <v/>
      </c>
      <c r="O22" s="57"/>
      <c r="P22" s="57"/>
      <c r="Q22" s="57"/>
      <c r="R22" s="57"/>
      <c r="S22" s="57"/>
      <c r="T22" s="57"/>
      <c r="U22" s="9" t="s">
        <v>17388</v>
      </c>
    </row>
    <row r="23" customFormat="false" ht="15" hidden="false" customHeight="false" outlineLevel="0" collapsed="false">
      <c r="A23" s="9" t="s">
        <v>7420</v>
      </c>
      <c r="B23" s="9" t="s">
        <v>17389</v>
      </c>
      <c r="C23" s="16" t="str">
        <f aca="false">IF(B23="","",IFERROR(INDEX(EDT!$E$5:$E$436,MATCH(B23,EDT!$H$5:$H$436,0)),IFERROR(INDEX(CRONOGRAMA!$G$5:$G$5679,MATCH(A23,CRONOGRAMA!$A$5:$A$5679,0)),"Fuera EDT")))</f>
        <v>03</v>
      </c>
      <c r="D23" s="16" t="str">
        <f aca="false">IF(C23="","",IFERROR(INDEX(MASTER!$B$19:$B$109,MATCH(C23,MASTER!$A$19:$A$109,0)),"Asignar fase"))</f>
        <v>Arquitectura</v>
      </c>
      <c r="E23" s="9" t="s">
        <v>62</v>
      </c>
      <c r="F23" s="9"/>
      <c r="G23" s="9"/>
      <c r="H23" s="56"/>
      <c r="I23" s="43" t="n">
        <v>46283</v>
      </c>
      <c r="J23" s="43" t="n">
        <v>46321</v>
      </c>
      <c r="K23" s="16" t="n">
        <f aca="false">IF(A23="","",COUNTIF(RESTRICCIONES!$B$5:$B$304,A23))</f>
        <v>0</v>
      </c>
      <c r="L23" s="16" t="n">
        <f aca="false">IF(A23="","",COUNTIFS(RESTRICCIONES!$B$5:$B$304,A23,RESTRICCIONES!$L$5:$L$304,"Pendiente"))</f>
        <v>0</v>
      </c>
      <c r="M23" s="18" t="str">
        <f aca="false">IF(A23="","",IF(L23=0,"LISTA","RESTRINGIDA"))</f>
        <v>LISTA</v>
      </c>
      <c r="N23" s="51" t="str">
        <f aca="false">IF(OR(A23="",H23=""),"",IFERROR(MIN(1,SUMIF(SEMANAL!$C$7:$C$506,A23,SEMANAL!$W$7:$W$506)/H23),0))</f>
        <v/>
      </c>
      <c r="O23" s="57"/>
      <c r="P23" s="57"/>
      <c r="Q23" s="57"/>
      <c r="R23" s="57"/>
      <c r="S23" s="57"/>
      <c r="T23" s="57"/>
      <c r="U23" s="9" t="s">
        <v>17390</v>
      </c>
    </row>
    <row r="24" customFormat="false" ht="15" hidden="false" customHeight="false" outlineLevel="0" collapsed="false">
      <c r="A24" s="9" t="s">
        <v>7831</v>
      </c>
      <c r="B24" s="9" t="s">
        <v>17391</v>
      </c>
      <c r="C24" s="16" t="str">
        <f aca="false">IF(B24="","",IFERROR(INDEX(EDT!$E$5:$E$436,MATCH(B24,EDT!$H$5:$H$436,0)),IFERROR(INDEX(CRONOGRAMA!$G$5:$G$5679,MATCH(A24,CRONOGRAMA!$A$5:$A$5679,0)),"Fuera EDT")))</f>
        <v>03</v>
      </c>
      <c r="D24" s="16" t="str">
        <f aca="false">IF(C24="","",IFERROR(INDEX(MASTER!$B$19:$B$109,MATCH(C24,MASTER!$A$19:$A$109,0)),"Asignar fase"))</f>
        <v>Arquitectura</v>
      </c>
      <c r="E24" s="9" t="s">
        <v>74</v>
      </c>
      <c r="F24" s="9"/>
      <c r="G24" s="9"/>
      <c r="H24" s="56"/>
      <c r="I24" s="43" t="n">
        <v>46283</v>
      </c>
      <c r="J24" s="43" t="n">
        <v>46310</v>
      </c>
      <c r="K24" s="16" t="n">
        <f aca="false">IF(A24="","",COUNTIF(RESTRICCIONES!$B$5:$B$304,A24))</f>
        <v>0</v>
      </c>
      <c r="L24" s="16" t="n">
        <f aca="false">IF(A24="","",COUNTIFS(RESTRICCIONES!$B$5:$B$304,A24,RESTRICCIONES!$L$5:$L$304,"Pendiente"))</f>
        <v>0</v>
      </c>
      <c r="M24" s="18" t="str">
        <f aca="false">IF(A24="","",IF(L24=0,"LISTA","RESTRINGIDA"))</f>
        <v>LISTA</v>
      </c>
      <c r="N24" s="51" t="str">
        <f aca="false">IF(OR(A24="",H24=""),"",IFERROR(MIN(1,SUMIF(SEMANAL!$C$7:$C$506,A24,SEMANAL!$W$7:$W$506)/H24),0))</f>
        <v/>
      </c>
      <c r="O24" s="57"/>
      <c r="P24" s="57"/>
      <c r="Q24" s="57"/>
      <c r="R24" s="57"/>
      <c r="S24" s="57"/>
      <c r="T24" s="57"/>
      <c r="U24" s="9" t="s">
        <v>17392</v>
      </c>
    </row>
    <row r="25" customFormat="false" ht="15" hidden="false" customHeight="false" outlineLevel="0" collapsed="false">
      <c r="A25" s="9" t="s">
        <v>4102</v>
      </c>
      <c r="B25" s="9" t="s">
        <v>17393</v>
      </c>
      <c r="C25" s="16" t="str">
        <f aca="false">IF(B25="","",IFERROR(INDEX(EDT!$E$5:$E$436,MATCH(B25,EDT!$H$5:$H$436,0)),IFERROR(INDEX(CRONOGRAMA!$G$5:$G$5679,MATCH(A25,CRONOGRAMA!$A$5:$A$5679,0)),"Fuera EDT")))</f>
        <v>02</v>
      </c>
      <c r="D25" s="16" t="str">
        <f aca="false">IF(C25="","",IFERROR(INDEX(MASTER!$B$19:$B$109,MATCH(C25,MASTER!$A$19:$A$109,0)),"Asignar fase"))</f>
        <v>Estructuras</v>
      </c>
      <c r="E25" s="9" t="s">
        <v>92</v>
      </c>
      <c r="F25" s="9"/>
      <c r="G25" s="9"/>
      <c r="H25" s="56"/>
      <c r="I25" s="43" t="n">
        <v>46285</v>
      </c>
      <c r="J25" s="43" t="n">
        <v>46300</v>
      </c>
      <c r="K25" s="16" t="n">
        <f aca="false">IF(A25="","",COUNTIF(RESTRICCIONES!$B$5:$B$304,A25))</f>
        <v>0</v>
      </c>
      <c r="L25" s="16" t="n">
        <f aca="false">IF(A25="","",COUNTIFS(RESTRICCIONES!$B$5:$B$304,A25,RESTRICCIONES!$L$5:$L$304,"Pendiente"))</f>
        <v>0</v>
      </c>
      <c r="M25" s="18" t="str">
        <f aca="false">IF(A25="","",IF(L25=0,"LISTA","RESTRINGIDA"))</f>
        <v>LISTA</v>
      </c>
      <c r="N25" s="51" t="str">
        <f aca="false">IF(OR(A25="",H25=""),"",IFERROR(MIN(1,SUMIF(SEMANAL!$C$7:$C$506,A25,SEMANAL!$W$7:$W$506)/H25),0))</f>
        <v/>
      </c>
      <c r="O25" s="57"/>
      <c r="P25" s="57"/>
      <c r="Q25" s="57"/>
      <c r="R25" s="57"/>
      <c r="S25" s="57"/>
      <c r="T25" s="57"/>
      <c r="U25" s="9" t="s">
        <v>17394</v>
      </c>
    </row>
    <row r="26" customFormat="false" ht="15" hidden="false" customHeight="false" outlineLevel="0" collapsed="false">
      <c r="A26" s="9" t="s">
        <v>4132</v>
      </c>
      <c r="B26" s="9" t="s">
        <v>17395</v>
      </c>
      <c r="C26" s="16" t="str">
        <f aca="false">IF(B26="","",IFERROR(INDEX(EDT!$E$5:$E$436,MATCH(B26,EDT!$H$5:$H$436,0)),IFERROR(INDEX(CRONOGRAMA!$G$5:$G$5679,MATCH(A26,CRONOGRAMA!$A$5:$A$5679,0)),"Fuera EDT")))</f>
        <v>02</v>
      </c>
      <c r="D26" s="16" t="str">
        <f aca="false">IF(C26="","",IFERROR(INDEX(MASTER!$B$19:$B$109,MATCH(C26,MASTER!$A$19:$A$109,0)),"Asignar fase"))</f>
        <v>Estructuras</v>
      </c>
      <c r="E26" s="9" t="s">
        <v>92</v>
      </c>
      <c r="F26" s="9"/>
      <c r="G26" s="9"/>
      <c r="H26" s="56"/>
      <c r="I26" s="43" t="n">
        <v>46285</v>
      </c>
      <c r="J26" s="43" t="n">
        <v>46300</v>
      </c>
      <c r="K26" s="16" t="n">
        <f aca="false">IF(A26="","",COUNTIF(RESTRICCIONES!$B$5:$B$304,A26))</f>
        <v>0</v>
      </c>
      <c r="L26" s="16" t="n">
        <f aca="false">IF(A26="","",COUNTIFS(RESTRICCIONES!$B$5:$B$304,A26,RESTRICCIONES!$L$5:$L$304,"Pendiente"))</f>
        <v>0</v>
      </c>
      <c r="M26" s="18" t="str">
        <f aca="false">IF(A26="","",IF(L26=0,"LISTA","RESTRINGIDA"))</f>
        <v>LISTA</v>
      </c>
      <c r="N26" s="51" t="str">
        <f aca="false">IF(OR(A26="",H26=""),"",IFERROR(MIN(1,SUMIF(SEMANAL!$C$7:$C$506,A26,SEMANAL!$W$7:$W$506)/H26),0))</f>
        <v/>
      </c>
      <c r="O26" s="57"/>
      <c r="P26" s="57"/>
      <c r="Q26" s="57"/>
      <c r="R26" s="57"/>
      <c r="S26" s="57"/>
      <c r="T26" s="57"/>
      <c r="U26" s="9" t="s">
        <v>17396</v>
      </c>
    </row>
    <row r="27" customFormat="false" ht="15" hidden="false" customHeight="false" outlineLevel="0" collapsed="false">
      <c r="A27" s="9" t="s">
        <v>4162</v>
      </c>
      <c r="B27" s="9" t="s">
        <v>17397</v>
      </c>
      <c r="C27" s="16" t="str">
        <f aca="false">IF(B27="","",IFERROR(INDEX(EDT!$E$5:$E$436,MATCH(B27,EDT!$H$5:$H$436,0)),IFERROR(INDEX(CRONOGRAMA!$G$5:$G$5679,MATCH(A27,CRONOGRAMA!$A$5:$A$5679,0)),"Fuera EDT")))</f>
        <v>02</v>
      </c>
      <c r="D27" s="16" t="str">
        <f aca="false">IF(C27="","",IFERROR(INDEX(MASTER!$B$19:$B$109,MATCH(C27,MASTER!$A$19:$A$109,0)),"Asignar fase"))</f>
        <v>Estructuras</v>
      </c>
      <c r="E27" s="9" t="s">
        <v>92</v>
      </c>
      <c r="F27" s="9"/>
      <c r="G27" s="9"/>
      <c r="H27" s="56"/>
      <c r="I27" s="43" t="n">
        <v>46285</v>
      </c>
      <c r="J27" s="43" t="n">
        <v>46310</v>
      </c>
      <c r="K27" s="16" t="n">
        <f aca="false">IF(A27="","",COUNTIF(RESTRICCIONES!$B$5:$B$304,A27))</f>
        <v>0</v>
      </c>
      <c r="L27" s="16" t="n">
        <f aca="false">IF(A27="","",COUNTIFS(RESTRICCIONES!$B$5:$B$304,A27,RESTRICCIONES!$L$5:$L$304,"Pendiente"))</f>
        <v>0</v>
      </c>
      <c r="M27" s="18" t="str">
        <f aca="false">IF(A27="","",IF(L27=0,"LISTA","RESTRINGIDA"))</f>
        <v>LISTA</v>
      </c>
      <c r="N27" s="51" t="str">
        <f aca="false">IF(OR(A27="",H27=""),"",IFERROR(MIN(1,SUMIF(SEMANAL!$C$7:$C$506,A27,SEMANAL!$W$7:$W$506)/H27),0))</f>
        <v/>
      </c>
      <c r="O27" s="57"/>
      <c r="P27" s="57"/>
      <c r="Q27" s="57"/>
      <c r="R27" s="57"/>
      <c r="S27" s="57"/>
      <c r="T27" s="57"/>
      <c r="U27" s="9" t="s">
        <v>17398</v>
      </c>
    </row>
    <row r="28" customFormat="false" ht="15" hidden="false" customHeight="false" outlineLevel="0" collapsed="false">
      <c r="A28" s="9" t="s">
        <v>3807</v>
      </c>
      <c r="B28" s="9" t="s">
        <v>17399</v>
      </c>
      <c r="C28" s="16" t="str">
        <f aca="false">IF(B28="","",IFERROR(INDEX(EDT!$E$5:$E$436,MATCH(B28,EDT!$H$5:$H$436,0)),IFERROR(INDEX(CRONOGRAMA!$G$5:$G$5679,MATCH(A28,CRONOGRAMA!$A$5:$A$5679,0)),"Fuera EDT")))</f>
        <v>02</v>
      </c>
      <c r="D28" s="16" t="str">
        <f aca="false">IF(C28="","",IFERROR(INDEX(MASTER!$B$19:$B$109,MATCH(C28,MASTER!$A$19:$A$109,0)),"Asignar fase"))</f>
        <v>Estructuras</v>
      </c>
      <c r="E28" s="9" t="s">
        <v>86</v>
      </c>
      <c r="F28" s="9"/>
      <c r="G28" s="9"/>
      <c r="H28" s="56"/>
      <c r="I28" s="43" t="n">
        <v>46296</v>
      </c>
      <c r="J28" s="43" t="n">
        <v>46308</v>
      </c>
      <c r="K28" s="16" t="n">
        <f aca="false">IF(A28="","",COUNTIF(RESTRICCIONES!$B$5:$B$304,A28))</f>
        <v>0</v>
      </c>
      <c r="L28" s="16" t="n">
        <f aca="false">IF(A28="","",COUNTIFS(RESTRICCIONES!$B$5:$B$304,A28,RESTRICCIONES!$L$5:$L$304,"Pendiente"))</f>
        <v>0</v>
      </c>
      <c r="M28" s="18" t="str">
        <f aca="false">IF(A28="","",IF(L28=0,"LISTA","RESTRINGIDA"))</f>
        <v>LISTA</v>
      </c>
      <c r="N28" s="51" t="str">
        <f aca="false">IF(OR(A28="",H28=""),"",IFERROR(MIN(1,SUMIF(SEMANAL!$C$7:$C$506,A28,SEMANAL!$W$7:$W$506)/H28),0))</f>
        <v/>
      </c>
      <c r="O28" s="57"/>
      <c r="P28" s="57"/>
      <c r="Q28" s="57"/>
      <c r="R28" s="57"/>
      <c r="S28" s="57"/>
      <c r="T28" s="57"/>
      <c r="U28" s="9" t="s">
        <v>17400</v>
      </c>
    </row>
    <row r="29" customFormat="false" ht="15" hidden="false" customHeight="false" outlineLevel="0" collapsed="false">
      <c r="A29" s="9" t="s">
        <v>5549</v>
      </c>
      <c r="B29" s="9" t="s">
        <v>17401</v>
      </c>
      <c r="C29" s="16" t="str">
        <f aca="false">IF(B29="","",IFERROR(INDEX(EDT!$E$5:$E$436,MATCH(B29,EDT!$H$5:$H$436,0)),IFERROR(INDEX(CRONOGRAMA!$G$5:$G$5679,MATCH(A29,CRONOGRAMA!$A$5:$A$5679,0)),"Fuera EDT")))</f>
        <v>02</v>
      </c>
      <c r="D29" s="16" t="str">
        <f aca="false">IF(C29="","",IFERROR(INDEX(MASTER!$B$19:$B$109,MATCH(C29,MASTER!$A$19:$A$109,0)),"Asignar fase"))</f>
        <v>Estructuras</v>
      </c>
      <c r="E29" s="9" t="s">
        <v>114</v>
      </c>
      <c r="F29" s="9"/>
      <c r="G29" s="9"/>
      <c r="H29" s="56"/>
      <c r="I29" s="43" t="n">
        <v>46298</v>
      </c>
      <c r="J29" s="43" t="n">
        <v>46301</v>
      </c>
      <c r="K29" s="16" t="n">
        <f aca="false">IF(A29="","",COUNTIF(RESTRICCIONES!$B$5:$B$304,A29))</f>
        <v>0</v>
      </c>
      <c r="L29" s="16" t="n">
        <f aca="false">IF(A29="","",COUNTIFS(RESTRICCIONES!$B$5:$B$304,A29,RESTRICCIONES!$L$5:$L$304,"Pendiente"))</f>
        <v>0</v>
      </c>
      <c r="M29" s="18" t="str">
        <f aca="false">IF(A29="","",IF(L29=0,"LISTA","RESTRINGIDA"))</f>
        <v>LISTA</v>
      </c>
      <c r="N29" s="51" t="str">
        <f aca="false">IF(OR(A29="",H29=""),"",IFERROR(MIN(1,SUMIF(SEMANAL!$C$7:$C$506,A29,SEMANAL!$W$7:$W$506)/H29),0))</f>
        <v/>
      </c>
      <c r="O29" s="57"/>
      <c r="P29" s="57"/>
      <c r="Q29" s="57"/>
      <c r="R29" s="57"/>
      <c r="S29" s="57"/>
      <c r="T29" s="57"/>
      <c r="U29" s="9" t="s">
        <v>17402</v>
      </c>
    </row>
    <row r="30" customFormat="false" ht="15" hidden="false" customHeight="false" outlineLevel="0" collapsed="false">
      <c r="A30" s="9" t="s">
        <v>7410</v>
      </c>
      <c r="B30" s="9" t="s">
        <v>17403</v>
      </c>
      <c r="C30" s="16" t="str">
        <f aca="false">IF(B30="","",IFERROR(INDEX(EDT!$E$5:$E$436,MATCH(B30,EDT!$H$5:$H$436,0)),IFERROR(INDEX(CRONOGRAMA!$G$5:$G$5679,MATCH(A30,CRONOGRAMA!$A$5:$A$5679,0)),"Fuera EDT")))</f>
        <v>03</v>
      </c>
      <c r="D30" s="16" t="str">
        <f aca="false">IF(C30="","",IFERROR(INDEX(MASTER!$B$19:$B$109,MATCH(C30,MASTER!$A$19:$A$109,0)),"Asignar fase"))</f>
        <v>Arquitectura</v>
      </c>
      <c r="E30" s="9" t="s">
        <v>62</v>
      </c>
      <c r="F30" s="9"/>
      <c r="G30" s="9"/>
      <c r="H30" s="56"/>
      <c r="I30" s="43" t="n">
        <v>46298</v>
      </c>
      <c r="J30" s="43" t="n">
        <v>46315</v>
      </c>
      <c r="K30" s="16" t="n">
        <f aca="false">IF(A30="","",COUNTIF(RESTRICCIONES!$B$5:$B$304,A30))</f>
        <v>0</v>
      </c>
      <c r="L30" s="16" t="n">
        <f aca="false">IF(A30="","",COUNTIFS(RESTRICCIONES!$B$5:$B$304,A30,RESTRICCIONES!$L$5:$L$304,"Pendiente"))</f>
        <v>0</v>
      </c>
      <c r="M30" s="18" t="str">
        <f aca="false">IF(A30="","",IF(L30=0,"LISTA","RESTRINGIDA"))</f>
        <v>LISTA</v>
      </c>
      <c r="N30" s="51" t="str">
        <f aca="false">IF(OR(A30="",H30=""),"",IFERROR(MIN(1,SUMIF(SEMANAL!$C$7:$C$506,A30,SEMANAL!$W$7:$W$506)/H30),0))</f>
        <v/>
      </c>
      <c r="O30" s="57"/>
      <c r="P30" s="57"/>
      <c r="Q30" s="57"/>
      <c r="R30" s="57"/>
      <c r="S30" s="57"/>
      <c r="T30" s="57"/>
      <c r="U30" s="9" t="s">
        <v>17404</v>
      </c>
    </row>
    <row r="31" customFormat="false" ht="15" hidden="false" customHeight="false" outlineLevel="0" collapsed="false">
      <c r="A31" s="9" t="s">
        <v>9105</v>
      </c>
      <c r="B31" s="9" t="s">
        <v>17387</v>
      </c>
      <c r="C31" s="16" t="str">
        <f aca="false">IF(B31="","",IFERROR(INDEX(EDT!$E$5:$E$436,MATCH(B31,EDT!$H$5:$H$436,0)),IFERROR(INDEX(CRONOGRAMA!$G$5:$G$5679,MATCH(A31,CRONOGRAMA!$A$5:$A$5679,0)),"Fuera EDT")))</f>
        <v>03</v>
      </c>
      <c r="D31" s="16" t="str">
        <f aca="false">IF(C31="","",IFERROR(INDEX(MASTER!$B$19:$B$109,MATCH(C31,MASTER!$A$19:$A$109,0)),"Asignar fase"))</f>
        <v>Arquitectura</v>
      </c>
      <c r="E31" s="9" t="s">
        <v>114</v>
      </c>
      <c r="F31" s="9"/>
      <c r="G31" s="9"/>
      <c r="H31" s="56"/>
      <c r="I31" s="43" t="n">
        <v>46298</v>
      </c>
      <c r="J31" s="43" t="n">
        <v>46312</v>
      </c>
      <c r="K31" s="16" t="n">
        <f aca="false">IF(A31="","",COUNTIF(RESTRICCIONES!$B$5:$B$304,A31))</f>
        <v>0</v>
      </c>
      <c r="L31" s="16" t="n">
        <f aca="false">IF(A31="","",COUNTIFS(RESTRICCIONES!$B$5:$B$304,A31,RESTRICCIONES!$L$5:$L$304,"Pendiente"))</f>
        <v>0</v>
      </c>
      <c r="M31" s="18" t="str">
        <f aca="false">IF(A31="","",IF(L31=0,"LISTA","RESTRINGIDA"))</f>
        <v>LISTA</v>
      </c>
      <c r="N31" s="51" t="str">
        <f aca="false">IF(OR(A31="",H31=""),"",IFERROR(MIN(1,SUMIF(SEMANAL!$C$7:$C$506,A31,SEMANAL!$W$7:$W$506)/H31),0))</f>
        <v/>
      </c>
      <c r="O31" s="57"/>
      <c r="P31" s="57"/>
      <c r="Q31" s="57"/>
      <c r="R31" s="57"/>
      <c r="S31" s="57"/>
      <c r="T31" s="57"/>
      <c r="U31" s="9" t="s">
        <v>17405</v>
      </c>
    </row>
    <row r="32" customFormat="false" ht="15" hidden="false" customHeight="false" outlineLevel="0" collapsed="false">
      <c r="A32" s="9" t="s">
        <v>5512</v>
      </c>
      <c r="B32" s="9" t="s">
        <v>17406</v>
      </c>
      <c r="C32" s="16" t="str">
        <f aca="false">IF(B32="","",IFERROR(INDEX(EDT!$E$5:$E$436,MATCH(B32,EDT!$H$5:$H$436,0)),IFERROR(INDEX(CRONOGRAMA!$G$5:$G$5679,MATCH(A32,CRONOGRAMA!$A$5:$A$5679,0)),"Fuera EDT")))</f>
        <v>02</v>
      </c>
      <c r="D32" s="16" t="str">
        <f aca="false">IF(C32="","",IFERROR(INDEX(MASTER!$B$19:$B$109,MATCH(C32,MASTER!$A$19:$A$109,0)),"Asignar fase"))</f>
        <v>Estructuras</v>
      </c>
      <c r="E32" s="9" t="s">
        <v>114</v>
      </c>
      <c r="F32" s="9"/>
      <c r="G32" s="9"/>
      <c r="H32" s="56"/>
      <c r="I32" s="43" t="n">
        <v>46299</v>
      </c>
      <c r="J32" s="43" t="n">
        <v>46301</v>
      </c>
      <c r="K32" s="16" t="n">
        <f aca="false">IF(A32="","",COUNTIF(RESTRICCIONES!$B$5:$B$304,A32))</f>
        <v>0</v>
      </c>
      <c r="L32" s="16" t="n">
        <f aca="false">IF(A32="","",COUNTIFS(RESTRICCIONES!$B$5:$B$304,A32,RESTRICCIONES!$L$5:$L$304,"Pendiente"))</f>
        <v>0</v>
      </c>
      <c r="M32" s="18" t="str">
        <f aca="false">IF(A32="","",IF(L32=0,"LISTA","RESTRINGIDA"))</f>
        <v>LISTA</v>
      </c>
      <c r="N32" s="51" t="str">
        <f aca="false">IF(OR(A32="",H32=""),"",IFERROR(MIN(1,SUMIF(SEMANAL!$C$7:$C$506,A32,SEMANAL!$W$7:$W$506)/H32),0))</f>
        <v/>
      </c>
      <c r="O32" s="57"/>
      <c r="P32" s="57"/>
      <c r="Q32" s="57"/>
      <c r="R32" s="57"/>
      <c r="S32" s="57"/>
      <c r="T32" s="57"/>
      <c r="U32" s="9" t="s">
        <v>17407</v>
      </c>
    </row>
    <row r="33" customFormat="false" ht="15" hidden="false" customHeight="false" outlineLevel="0" collapsed="false">
      <c r="A33" s="9" t="s">
        <v>8648</v>
      </c>
      <c r="B33" s="9" t="s">
        <v>17408</v>
      </c>
      <c r="C33" s="16" t="str">
        <f aca="false">IF(B33="","",IFERROR(INDEX(EDT!$E$5:$E$436,MATCH(B33,EDT!$H$5:$H$436,0)),IFERROR(INDEX(CRONOGRAMA!$G$5:$G$5679,MATCH(A33,CRONOGRAMA!$A$5:$A$5679,0)),"Fuera EDT")))</f>
        <v>03</v>
      </c>
      <c r="D33" s="16" t="str">
        <f aca="false">IF(C33="","",IFERROR(INDEX(MASTER!$B$19:$B$109,MATCH(C33,MASTER!$A$19:$A$109,0)),"Asignar fase"))</f>
        <v>Arquitectura</v>
      </c>
      <c r="E33" s="9" t="s">
        <v>98</v>
      </c>
      <c r="F33" s="9"/>
      <c r="G33" s="9"/>
      <c r="H33" s="56"/>
      <c r="I33" s="43" t="n">
        <v>46299</v>
      </c>
      <c r="J33" s="43" t="n">
        <v>46312</v>
      </c>
      <c r="K33" s="16" t="n">
        <f aca="false">IF(A33="","",COUNTIF(RESTRICCIONES!$B$5:$B$304,A33))</f>
        <v>0</v>
      </c>
      <c r="L33" s="16" t="n">
        <f aca="false">IF(A33="","",COUNTIFS(RESTRICCIONES!$B$5:$B$304,A33,RESTRICCIONES!$L$5:$L$304,"Pendiente"))</f>
        <v>0</v>
      </c>
      <c r="M33" s="18" t="str">
        <f aca="false">IF(A33="","",IF(L33=0,"LISTA","RESTRINGIDA"))</f>
        <v>LISTA</v>
      </c>
      <c r="N33" s="51" t="str">
        <f aca="false">IF(OR(A33="",H33=""),"",IFERROR(MIN(1,SUMIF(SEMANAL!$C$7:$C$506,A33,SEMANAL!$W$7:$W$506)/H33),0))</f>
        <v/>
      </c>
      <c r="O33" s="57"/>
      <c r="P33" s="57"/>
      <c r="Q33" s="57"/>
      <c r="R33" s="57"/>
      <c r="S33" s="57"/>
      <c r="T33" s="57"/>
      <c r="U33" s="9" t="s">
        <v>17409</v>
      </c>
    </row>
    <row r="34" customFormat="false" ht="15" hidden="false" customHeight="false" outlineLevel="0" collapsed="false">
      <c r="A34" s="9" t="s">
        <v>3256</v>
      </c>
      <c r="B34" s="9" t="s">
        <v>17410</v>
      </c>
      <c r="C34" s="16" t="str">
        <f aca="false">IF(B34="","",IFERROR(INDEX(EDT!$E$5:$E$436,MATCH(B34,EDT!$H$5:$H$436,0)),IFERROR(INDEX(CRONOGRAMA!$G$5:$G$5679,MATCH(A34,CRONOGRAMA!$A$5:$A$5679,0)),"Fuera EDT")))</f>
        <v>02</v>
      </c>
      <c r="D34" s="16" t="str">
        <f aca="false">IF(C34="","",IFERROR(INDEX(MASTER!$B$19:$B$109,MATCH(C34,MASTER!$A$19:$A$109,0)),"Asignar fase"))</f>
        <v>Estructuras</v>
      </c>
      <c r="E34" s="9" t="s">
        <v>74</v>
      </c>
      <c r="F34" s="9"/>
      <c r="G34" s="9"/>
      <c r="H34" s="56"/>
      <c r="I34" s="43" t="n">
        <v>46300</v>
      </c>
      <c r="J34" s="43" t="n">
        <v>46300</v>
      </c>
      <c r="K34" s="16" t="n">
        <f aca="false">IF(A34="","",COUNTIF(RESTRICCIONES!$B$5:$B$304,A34))</f>
        <v>0</v>
      </c>
      <c r="L34" s="16" t="n">
        <f aca="false">IF(A34="","",COUNTIFS(RESTRICCIONES!$B$5:$B$304,A34,RESTRICCIONES!$L$5:$L$304,"Pendiente"))</f>
        <v>0</v>
      </c>
      <c r="M34" s="18" t="str">
        <f aca="false">IF(A34="","",IF(L34=0,"LISTA","RESTRINGIDA"))</f>
        <v>LISTA</v>
      </c>
      <c r="N34" s="51" t="str">
        <f aca="false">IF(OR(A34="",H34=""),"",IFERROR(MIN(1,SUMIF(SEMANAL!$C$7:$C$506,A34,SEMANAL!$W$7:$W$506)/H34),0))</f>
        <v/>
      </c>
      <c r="O34" s="57"/>
      <c r="P34" s="57"/>
      <c r="Q34" s="57"/>
      <c r="R34" s="57"/>
      <c r="S34" s="57"/>
      <c r="T34" s="57"/>
      <c r="U34" s="9" t="s">
        <v>17411</v>
      </c>
    </row>
    <row r="35" customFormat="false" ht="15" hidden="false" customHeight="false" outlineLevel="0" collapsed="false">
      <c r="A35" s="9" t="s">
        <v>11982</v>
      </c>
      <c r="B35" s="9" t="s">
        <v>17412</v>
      </c>
      <c r="C35" s="16" t="str">
        <f aca="false">IF(B35="","",IFERROR(INDEX(EDT!$E$5:$E$436,MATCH(B35,EDT!$H$5:$H$436,0)),IFERROR(INDEX(CRONOGRAMA!$G$5:$G$5679,MATCH(A35,CRONOGRAMA!$A$5:$A$5679,0)),"Fuera EDT")))</f>
        <v>04</v>
      </c>
      <c r="D35" s="16" t="str">
        <f aca="false">IF(C35="","",IFERROR(INDEX(MASTER!$B$19:$B$109,MATCH(C35,MASTER!$A$19:$A$109,0)),"Asignar fase"))</f>
        <v>Instalaciones Sanitarias</v>
      </c>
      <c r="E35" s="9" t="s">
        <v>98</v>
      </c>
      <c r="F35" s="9"/>
      <c r="G35" s="9"/>
      <c r="H35" s="56"/>
      <c r="I35" s="43" t="n">
        <v>46300</v>
      </c>
      <c r="J35" s="43" t="n">
        <v>46300</v>
      </c>
      <c r="K35" s="16" t="n">
        <f aca="false">IF(A35="","",COUNTIF(RESTRICCIONES!$B$5:$B$304,A35))</f>
        <v>0</v>
      </c>
      <c r="L35" s="16" t="n">
        <f aca="false">IF(A35="","",COUNTIFS(RESTRICCIONES!$B$5:$B$304,A35,RESTRICCIONES!$L$5:$L$304,"Pendiente"))</f>
        <v>0</v>
      </c>
      <c r="M35" s="18" t="str">
        <f aca="false">IF(A35="","",IF(L35=0,"LISTA","RESTRINGIDA"))</f>
        <v>LISTA</v>
      </c>
      <c r="N35" s="51" t="str">
        <f aca="false">IF(OR(A35="",H35=""),"",IFERROR(MIN(1,SUMIF(SEMANAL!$C$7:$C$506,A35,SEMANAL!$W$7:$W$506)/H35),0))</f>
        <v/>
      </c>
      <c r="O35" s="57"/>
      <c r="P35" s="57"/>
      <c r="Q35" s="57"/>
      <c r="R35" s="57"/>
      <c r="S35" s="57"/>
      <c r="T35" s="57"/>
      <c r="U35" s="9" t="s">
        <v>17413</v>
      </c>
    </row>
    <row r="36" customFormat="false" ht="15" hidden="false" customHeight="false" outlineLevel="0" collapsed="false">
      <c r="A36" s="9" t="s">
        <v>12003</v>
      </c>
      <c r="B36" s="9" t="s">
        <v>17414</v>
      </c>
      <c r="C36" s="16" t="str">
        <f aca="false">IF(B36="","",IFERROR(INDEX(EDT!$E$5:$E$436,MATCH(B36,EDT!$H$5:$H$436,0)),IFERROR(INDEX(CRONOGRAMA!$G$5:$G$5679,MATCH(A36,CRONOGRAMA!$A$5:$A$5679,0)),"Fuera EDT")))</f>
        <v>04</v>
      </c>
      <c r="D36" s="16" t="str">
        <f aca="false">IF(C36="","",IFERROR(INDEX(MASTER!$B$19:$B$109,MATCH(C36,MASTER!$A$19:$A$109,0)),"Asignar fase"))</f>
        <v>Instalaciones Sanitarias</v>
      </c>
      <c r="E36" s="9" t="s">
        <v>98</v>
      </c>
      <c r="F36" s="9"/>
      <c r="G36" s="9"/>
      <c r="H36" s="56"/>
      <c r="I36" s="43" t="n">
        <v>46300</v>
      </c>
      <c r="J36" s="43" t="n">
        <v>46300</v>
      </c>
      <c r="K36" s="16" t="n">
        <f aca="false">IF(A36="","",COUNTIF(RESTRICCIONES!$B$5:$B$304,A36))</f>
        <v>0</v>
      </c>
      <c r="L36" s="16" t="n">
        <f aca="false">IF(A36="","",COUNTIFS(RESTRICCIONES!$B$5:$B$304,A36,RESTRICCIONES!$L$5:$L$304,"Pendiente"))</f>
        <v>0</v>
      </c>
      <c r="M36" s="18" t="str">
        <f aca="false">IF(A36="","",IF(L36=0,"LISTA","RESTRINGIDA"))</f>
        <v>LISTA</v>
      </c>
      <c r="N36" s="51" t="str">
        <f aca="false">IF(OR(A36="",H36=""),"",IFERROR(MIN(1,SUMIF(SEMANAL!$C$7:$C$506,A36,SEMANAL!$W$7:$W$506)/H36),0))</f>
        <v/>
      </c>
      <c r="O36" s="57"/>
      <c r="P36" s="57"/>
      <c r="Q36" s="57"/>
      <c r="R36" s="57"/>
      <c r="S36" s="57"/>
      <c r="T36" s="57"/>
      <c r="U36" s="9" t="s">
        <v>17413</v>
      </c>
    </row>
    <row r="37" customFormat="false" ht="15" hidden="false" customHeight="false" outlineLevel="0" collapsed="false">
      <c r="A37" s="9" t="s">
        <v>3155</v>
      </c>
      <c r="B37" s="9" t="s">
        <v>17415</v>
      </c>
      <c r="C37" s="16" t="str">
        <f aca="false">IF(B37="","",IFERROR(INDEX(EDT!$E$5:$E$436,MATCH(B37,EDT!$H$5:$H$436,0)),IFERROR(INDEX(CRONOGRAMA!$G$5:$G$5679,MATCH(A37,CRONOGRAMA!$A$5:$A$5679,0)),"Fuera EDT")))</f>
        <v>02</v>
      </c>
      <c r="D37" s="16" t="str">
        <f aca="false">IF(C37="","",IFERROR(INDEX(MASTER!$B$19:$B$109,MATCH(C37,MASTER!$A$19:$A$109,0)),"Asignar fase"))</f>
        <v>Estructuras</v>
      </c>
      <c r="E37" s="9" t="s">
        <v>74</v>
      </c>
      <c r="F37" s="9"/>
      <c r="G37" s="9"/>
      <c r="H37" s="56"/>
      <c r="I37" s="43" t="n">
        <v>46301</v>
      </c>
      <c r="J37" s="43" t="n">
        <v>46311</v>
      </c>
      <c r="K37" s="16" t="n">
        <f aca="false">IF(A37="","",COUNTIF(RESTRICCIONES!$B$5:$B$304,A37))</f>
        <v>0</v>
      </c>
      <c r="L37" s="16" t="n">
        <f aca="false">IF(A37="","",COUNTIFS(RESTRICCIONES!$B$5:$B$304,A37,RESTRICCIONES!$L$5:$L$304,"Pendiente"))</f>
        <v>0</v>
      </c>
      <c r="M37" s="18" t="str">
        <f aca="false">IF(A37="","",IF(L37=0,"LISTA","RESTRINGIDA"))</f>
        <v>LISTA</v>
      </c>
      <c r="N37" s="51" t="str">
        <f aca="false">IF(OR(A37="",H37=""),"",IFERROR(MIN(1,SUMIF(SEMANAL!$C$7:$C$506,A37,SEMANAL!$W$7:$W$506)/H37),0))</f>
        <v/>
      </c>
      <c r="O37" s="57"/>
      <c r="P37" s="57"/>
      <c r="Q37" s="57"/>
      <c r="R37" s="57"/>
      <c r="S37" s="57"/>
      <c r="T37" s="57"/>
      <c r="U37" s="9" t="s">
        <v>17416</v>
      </c>
    </row>
    <row r="38" customFormat="false" ht="15" hidden="false" customHeight="false" outlineLevel="0" collapsed="false">
      <c r="A38" s="9" t="s">
        <v>3269</v>
      </c>
      <c r="B38" s="9" t="s">
        <v>17417</v>
      </c>
      <c r="C38" s="16" t="str">
        <f aca="false">IF(B38="","",IFERROR(INDEX(EDT!$E$5:$E$436,MATCH(B38,EDT!$H$5:$H$436,0)),IFERROR(INDEX(CRONOGRAMA!$G$5:$G$5679,MATCH(A38,CRONOGRAMA!$A$5:$A$5679,0)),"Fuera EDT")))</f>
        <v>02</v>
      </c>
      <c r="D38" s="16" t="str">
        <f aca="false">IF(C38="","",IFERROR(INDEX(MASTER!$B$19:$B$109,MATCH(C38,MASTER!$A$19:$A$109,0)),"Asignar fase"))</f>
        <v>Estructuras</v>
      </c>
      <c r="E38" s="9" t="s">
        <v>74</v>
      </c>
      <c r="F38" s="9"/>
      <c r="G38" s="9"/>
      <c r="H38" s="56"/>
      <c r="I38" s="43" t="n">
        <v>46301</v>
      </c>
      <c r="J38" s="43" t="n">
        <v>46304</v>
      </c>
      <c r="K38" s="16" t="n">
        <f aca="false">IF(A38="","",COUNTIF(RESTRICCIONES!$B$5:$B$304,A38))</f>
        <v>0</v>
      </c>
      <c r="L38" s="16" t="n">
        <f aca="false">IF(A38="","",COUNTIFS(RESTRICCIONES!$B$5:$B$304,A38,RESTRICCIONES!$L$5:$L$304,"Pendiente"))</f>
        <v>0</v>
      </c>
      <c r="M38" s="18" t="str">
        <f aca="false">IF(A38="","",IF(L38=0,"LISTA","RESTRINGIDA"))</f>
        <v>LISTA</v>
      </c>
      <c r="N38" s="51" t="str">
        <f aca="false">IF(OR(A38="",H38=""),"",IFERROR(MIN(1,SUMIF(SEMANAL!$C$7:$C$506,A38,SEMANAL!$W$7:$W$506)/H38),0))</f>
        <v/>
      </c>
      <c r="O38" s="57"/>
      <c r="P38" s="57"/>
      <c r="Q38" s="57"/>
      <c r="R38" s="57"/>
      <c r="S38" s="57"/>
      <c r="T38" s="57"/>
      <c r="U38" s="9" t="s">
        <v>17418</v>
      </c>
    </row>
    <row r="39" customFormat="false" ht="15" hidden="false" customHeight="false" outlineLevel="0" collapsed="false">
      <c r="A39" s="9" t="s">
        <v>4099</v>
      </c>
      <c r="B39" s="9" t="s">
        <v>17419</v>
      </c>
      <c r="C39" s="16" t="str">
        <f aca="false">IF(B39="","",IFERROR(INDEX(EDT!$E$5:$E$436,MATCH(B39,EDT!$H$5:$H$436,0)),IFERROR(INDEX(CRONOGRAMA!$G$5:$G$5679,MATCH(A39,CRONOGRAMA!$A$5:$A$5679,0)),"Fuera EDT")))</f>
        <v>02</v>
      </c>
      <c r="D39" s="16" t="str">
        <f aca="false">IF(C39="","",IFERROR(INDEX(MASTER!$B$19:$B$109,MATCH(C39,MASTER!$A$19:$A$109,0)),"Asignar fase"))</f>
        <v>Estructuras</v>
      </c>
      <c r="E39" s="9" t="s">
        <v>92</v>
      </c>
      <c r="F39" s="9"/>
      <c r="G39" s="9"/>
      <c r="H39" s="56"/>
      <c r="I39" s="43" t="n">
        <v>46301</v>
      </c>
      <c r="J39" s="43" t="n">
        <v>46316</v>
      </c>
      <c r="K39" s="16" t="n">
        <f aca="false">IF(A39="","",COUNTIF(RESTRICCIONES!$B$5:$B$304,A39))</f>
        <v>0</v>
      </c>
      <c r="L39" s="16" t="n">
        <f aca="false">IF(A39="","",COUNTIFS(RESTRICCIONES!$B$5:$B$304,A39,RESTRICCIONES!$L$5:$L$304,"Pendiente"))</f>
        <v>0</v>
      </c>
      <c r="M39" s="18" t="str">
        <f aca="false">IF(A39="","",IF(L39=0,"LISTA","RESTRINGIDA"))</f>
        <v>LISTA</v>
      </c>
      <c r="N39" s="51" t="str">
        <f aca="false">IF(OR(A39="",H39=""),"",IFERROR(MIN(1,SUMIF(SEMANAL!$C$7:$C$506,A39,SEMANAL!$W$7:$W$506)/H39),0))</f>
        <v/>
      </c>
      <c r="O39" s="57"/>
      <c r="P39" s="57"/>
      <c r="Q39" s="57"/>
      <c r="R39" s="57"/>
      <c r="S39" s="57"/>
      <c r="T39" s="57"/>
      <c r="U39" s="9" t="s">
        <v>17420</v>
      </c>
    </row>
    <row r="40" customFormat="false" ht="15" hidden="false" customHeight="false" outlineLevel="0" collapsed="false">
      <c r="A40" s="9" t="s">
        <v>4129</v>
      </c>
      <c r="B40" s="9" t="s">
        <v>17385</v>
      </c>
      <c r="C40" s="16" t="str">
        <f aca="false">IF(B40="","",IFERROR(INDEX(EDT!$E$5:$E$436,MATCH(B40,EDT!$H$5:$H$436,0)),IFERROR(INDEX(CRONOGRAMA!$G$5:$G$5679,MATCH(A40,CRONOGRAMA!$A$5:$A$5679,0)),"Fuera EDT")))</f>
        <v>02</v>
      </c>
      <c r="D40" s="16" t="str">
        <f aca="false">IF(C40="","",IFERROR(INDEX(MASTER!$B$19:$B$109,MATCH(C40,MASTER!$A$19:$A$109,0)),"Asignar fase"))</f>
        <v>Estructuras</v>
      </c>
      <c r="E40" s="9" t="s">
        <v>92</v>
      </c>
      <c r="F40" s="9"/>
      <c r="G40" s="9"/>
      <c r="H40" s="56"/>
      <c r="I40" s="43" t="n">
        <v>46301</v>
      </c>
      <c r="J40" s="43" t="n">
        <v>46315</v>
      </c>
      <c r="K40" s="16" t="n">
        <f aca="false">IF(A40="","",COUNTIF(RESTRICCIONES!$B$5:$B$304,A40))</f>
        <v>0</v>
      </c>
      <c r="L40" s="16" t="n">
        <f aca="false">IF(A40="","",COUNTIFS(RESTRICCIONES!$B$5:$B$304,A40,RESTRICCIONES!$L$5:$L$304,"Pendiente"))</f>
        <v>0</v>
      </c>
      <c r="M40" s="18" t="str">
        <f aca="false">IF(A40="","",IF(L40=0,"LISTA","RESTRINGIDA"))</f>
        <v>LISTA</v>
      </c>
      <c r="N40" s="51" t="str">
        <f aca="false">IF(OR(A40="",H40=""),"",IFERROR(MIN(1,SUMIF(SEMANAL!$C$7:$C$506,A40,SEMANAL!$W$7:$W$506)/H40),0))</f>
        <v/>
      </c>
      <c r="O40" s="57"/>
      <c r="P40" s="57"/>
      <c r="Q40" s="57"/>
      <c r="R40" s="57"/>
      <c r="S40" s="57"/>
      <c r="T40" s="57"/>
      <c r="U40" s="9" t="s">
        <v>17421</v>
      </c>
    </row>
    <row r="41" customFormat="false" ht="15" hidden="false" customHeight="false" outlineLevel="0" collapsed="false">
      <c r="A41" s="9" t="s">
        <v>11987</v>
      </c>
      <c r="B41" s="9" t="s">
        <v>17422</v>
      </c>
      <c r="C41" s="16" t="str">
        <f aca="false">IF(B41="","",IFERROR(INDEX(EDT!$E$5:$E$436,MATCH(B41,EDT!$H$5:$H$436,0)),IFERROR(INDEX(CRONOGRAMA!$G$5:$G$5679,MATCH(A41,CRONOGRAMA!$A$5:$A$5679,0)),"Fuera EDT")))</f>
        <v>04</v>
      </c>
      <c r="D41" s="16" t="str">
        <f aca="false">IF(C41="","",IFERROR(INDEX(MASTER!$B$19:$B$109,MATCH(C41,MASTER!$A$19:$A$109,0)),"Asignar fase"))</f>
        <v>Instalaciones Sanitarias</v>
      </c>
      <c r="E41" s="9" t="s">
        <v>98</v>
      </c>
      <c r="F41" s="9"/>
      <c r="G41" s="9"/>
      <c r="H41" s="56"/>
      <c r="I41" s="43" t="n">
        <v>46301</v>
      </c>
      <c r="J41" s="43" t="n">
        <v>46302</v>
      </c>
      <c r="K41" s="16" t="n">
        <f aca="false">IF(A41="","",COUNTIF(RESTRICCIONES!$B$5:$B$304,A41))</f>
        <v>0</v>
      </c>
      <c r="L41" s="16" t="n">
        <f aca="false">IF(A41="","",COUNTIFS(RESTRICCIONES!$B$5:$B$304,A41,RESTRICCIONES!$L$5:$L$304,"Pendiente"))</f>
        <v>0</v>
      </c>
      <c r="M41" s="18" t="str">
        <f aca="false">IF(A41="","",IF(L41=0,"LISTA","RESTRINGIDA"))</f>
        <v>LISTA</v>
      </c>
      <c r="N41" s="51" t="str">
        <f aca="false">IF(OR(A41="",H41=""),"",IFERROR(MIN(1,SUMIF(SEMANAL!$C$7:$C$506,A41,SEMANAL!$W$7:$W$506)/H41),0))</f>
        <v/>
      </c>
      <c r="O41" s="57"/>
      <c r="P41" s="57"/>
      <c r="Q41" s="57"/>
      <c r="R41" s="57"/>
      <c r="S41" s="57"/>
      <c r="T41" s="57"/>
      <c r="U41" s="9" t="s">
        <v>17423</v>
      </c>
    </row>
    <row r="42" customFormat="false" ht="15" hidden="false" customHeight="false" outlineLevel="0" collapsed="false">
      <c r="A42" s="9" t="s">
        <v>5509</v>
      </c>
      <c r="B42" s="9" t="s">
        <v>17424</v>
      </c>
      <c r="C42" s="16" t="str">
        <f aca="false">IF(B42="","",IFERROR(INDEX(EDT!$E$5:$E$436,MATCH(B42,EDT!$H$5:$H$436,0)),IFERROR(INDEX(CRONOGRAMA!$G$5:$G$5679,MATCH(A42,CRONOGRAMA!$A$5:$A$5679,0)),"Fuera EDT")))</f>
        <v>02</v>
      </c>
      <c r="D42" s="16" t="str">
        <f aca="false">IF(C42="","",IFERROR(INDEX(MASTER!$B$19:$B$109,MATCH(C42,MASTER!$A$19:$A$109,0)),"Asignar fase"))</f>
        <v>Estructuras</v>
      </c>
      <c r="E42" s="9" t="s">
        <v>114</v>
      </c>
      <c r="F42" s="9"/>
      <c r="G42" s="9"/>
      <c r="H42" s="56"/>
      <c r="I42" s="43" t="n">
        <v>46302</v>
      </c>
      <c r="J42" s="43" t="n">
        <v>46302</v>
      </c>
      <c r="K42" s="16" t="n">
        <f aca="false">IF(A42="","",COUNTIF(RESTRICCIONES!$B$5:$B$304,A42))</f>
        <v>0</v>
      </c>
      <c r="L42" s="16" t="n">
        <f aca="false">IF(A42="","",COUNTIFS(RESTRICCIONES!$B$5:$B$304,A42,RESTRICCIONES!$L$5:$L$304,"Pendiente"))</f>
        <v>0</v>
      </c>
      <c r="M42" s="18" t="str">
        <f aca="false">IF(A42="","",IF(L42=0,"LISTA","RESTRINGIDA"))</f>
        <v>LISTA</v>
      </c>
      <c r="N42" s="51" t="str">
        <f aca="false">IF(OR(A42="",H42=""),"",IFERROR(MIN(1,SUMIF(SEMANAL!$C$7:$C$506,A42,SEMANAL!$W$7:$W$506)/H42),0))</f>
        <v/>
      </c>
      <c r="O42" s="57"/>
      <c r="P42" s="57"/>
      <c r="Q42" s="57"/>
      <c r="R42" s="57"/>
      <c r="S42" s="57"/>
      <c r="T42" s="57"/>
      <c r="U42" s="9" t="s">
        <v>17425</v>
      </c>
    </row>
    <row r="43" customFormat="false" ht="15" hidden="false" customHeight="false" outlineLevel="0" collapsed="false">
      <c r="A43" s="9" t="s">
        <v>5539</v>
      </c>
      <c r="B43" s="9" t="s">
        <v>17426</v>
      </c>
      <c r="C43" s="16" t="str">
        <f aca="false">IF(B43="","",IFERROR(INDEX(EDT!$E$5:$E$436,MATCH(B43,EDT!$H$5:$H$436,0)),IFERROR(INDEX(CRONOGRAMA!$G$5:$G$5679,MATCH(A43,CRONOGRAMA!$A$5:$A$5679,0)),"Fuera EDT")))</f>
        <v>02</v>
      </c>
      <c r="D43" s="16" t="str">
        <f aca="false">IF(C43="","",IFERROR(INDEX(MASTER!$B$19:$B$109,MATCH(C43,MASTER!$A$19:$A$109,0)),"Asignar fase"))</f>
        <v>Estructuras</v>
      </c>
      <c r="E43" s="9" t="s">
        <v>114</v>
      </c>
      <c r="F43" s="9"/>
      <c r="G43" s="9"/>
      <c r="H43" s="56"/>
      <c r="I43" s="43" t="n">
        <v>46302</v>
      </c>
      <c r="J43" s="43" t="n">
        <v>46305</v>
      </c>
      <c r="K43" s="16" t="n">
        <f aca="false">IF(A43="","",COUNTIF(RESTRICCIONES!$B$5:$B$304,A43))</f>
        <v>0</v>
      </c>
      <c r="L43" s="16" t="n">
        <f aca="false">IF(A43="","",COUNTIFS(RESTRICCIONES!$B$5:$B$304,A43,RESTRICCIONES!$L$5:$L$304,"Pendiente"))</f>
        <v>0</v>
      </c>
      <c r="M43" s="18" t="str">
        <f aca="false">IF(A43="","",IF(L43=0,"LISTA","RESTRINGIDA"))</f>
        <v>LISTA</v>
      </c>
      <c r="N43" s="51" t="str">
        <f aca="false">IF(OR(A43="",H43=""),"",IFERROR(MIN(1,SUMIF(SEMANAL!$C$7:$C$506,A43,SEMANAL!$W$7:$W$506)/H43),0))</f>
        <v/>
      </c>
      <c r="O43" s="57"/>
      <c r="P43" s="57"/>
      <c r="Q43" s="57"/>
      <c r="R43" s="57"/>
      <c r="S43" s="57"/>
      <c r="T43" s="57"/>
      <c r="U43" s="9" t="s">
        <v>17427</v>
      </c>
    </row>
    <row r="44" customFormat="false" ht="15" hidden="false" customHeight="false" outlineLevel="0" collapsed="false">
      <c r="A44" s="9" t="s">
        <v>5518</v>
      </c>
      <c r="B44" s="9" t="s">
        <v>17428</v>
      </c>
      <c r="C44" s="16" t="str">
        <f aca="false">IF(B44="","",IFERROR(INDEX(EDT!$E$5:$E$436,MATCH(B44,EDT!$H$5:$H$436,0)),IFERROR(INDEX(CRONOGRAMA!$G$5:$G$5679,MATCH(A44,CRONOGRAMA!$A$5:$A$5679,0)),"Fuera EDT")))</f>
        <v>02</v>
      </c>
      <c r="D44" s="16" t="str">
        <f aca="false">IF(C44="","",IFERROR(INDEX(MASTER!$B$19:$B$109,MATCH(C44,MASTER!$A$19:$A$109,0)),"Asignar fase"))</f>
        <v>Estructuras</v>
      </c>
      <c r="E44" s="9" t="s">
        <v>114</v>
      </c>
      <c r="F44" s="9"/>
      <c r="G44" s="9"/>
      <c r="H44" s="56"/>
      <c r="I44" s="43" t="n">
        <v>46303</v>
      </c>
      <c r="J44" s="43" t="n">
        <v>46303</v>
      </c>
      <c r="K44" s="16" t="n">
        <f aca="false">IF(A44="","",COUNTIF(RESTRICCIONES!$B$5:$B$304,A44))</f>
        <v>0</v>
      </c>
      <c r="L44" s="16" t="n">
        <f aca="false">IF(A44="","",COUNTIFS(RESTRICCIONES!$B$5:$B$304,A44,RESTRICCIONES!$L$5:$L$304,"Pendiente"))</f>
        <v>0</v>
      </c>
      <c r="M44" s="18" t="str">
        <f aca="false">IF(A44="","",IF(L44=0,"LISTA","RESTRINGIDA"))</f>
        <v>LISTA</v>
      </c>
      <c r="N44" s="51" t="str">
        <f aca="false">IF(OR(A44="",H44=""),"",IFERROR(MIN(1,SUMIF(SEMANAL!$C$7:$C$506,A44,SEMANAL!$W$7:$W$506)/H44),0))</f>
        <v/>
      </c>
      <c r="O44" s="57"/>
      <c r="P44" s="57"/>
      <c r="Q44" s="57"/>
      <c r="R44" s="57"/>
      <c r="S44" s="57"/>
      <c r="T44" s="57"/>
      <c r="U44" s="9" t="s">
        <v>17429</v>
      </c>
    </row>
    <row r="45" customFormat="false" ht="15" hidden="false" customHeight="false" outlineLevel="0" collapsed="false">
      <c r="A45" s="9" t="s">
        <v>5884</v>
      </c>
      <c r="B45" s="9" t="s">
        <v>17430</v>
      </c>
      <c r="C45" s="16" t="str">
        <f aca="false">IF(B45="","",IFERROR(INDEX(EDT!$E$5:$E$436,MATCH(B45,EDT!$H$5:$H$436,0)),IFERROR(INDEX(CRONOGRAMA!$G$5:$G$5679,MATCH(A45,CRONOGRAMA!$A$5:$A$5679,0)),"Fuera EDT")))</f>
        <v>02</v>
      </c>
      <c r="D45" s="16" t="str">
        <f aca="false">IF(C45="","",IFERROR(INDEX(MASTER!$B$19:$B$109,MATCH(C45,MASTER!$A$19:$A$109,0)),"Asignar fase"))</f>
        <v>Estructuras</v>
      </c>
      <c r="E45" s="9" t="s">
        <v>121</v>
      </c>
      <c r="F45" s="9"/>
      <c r="G45" s="9"/>
      <c r="H45" s="56"/>
      <c r="I45" s="43" t="n">
        <v>46303</v>
      </c>
      <c r="J45" s="43" t="n">
        <v>46304</v>
      </c>
      <c r="K45" s="16" t="n">
        <f aca="false">IF(A45="","",COUNTIF(RESTRICCIONES!$B$5:$B$304,A45))</f>
        <v>0</v>
      </c>
      <c r="L45" s="16" t="n">
        <f aca="false">IF(A45="","",COUNTIFS(RESTRICCIONES!$B$5:$B$304,A45,RESTRICCIONES!$L$5:$L$304,"Pendiente"))</f>
        <v>0</v>
      </c>
      <c r="M45" s="18" t="str">
        <f aca="false">IF(A45="","",IF(L45=0,"LISTA","RESTRINGIDA"))</f>
        <v>LISTA</v>
      </c>
      <c r="N45" s="51" t="str">
        <f aca="false">IF(OR(A45="",H45=""),"",IFERROR(MIN(1,SUMIF(SEMANAL!$C$7:$C$506,A45,SEMANAL!$W$7:$W$506)/H45),0))</f>
        <v/>
      </c>
      <c r="O45" s="57"/>
      <c r="P45" s="57"/>
      <c r="Q45" s="57"/>
      <c r="R45" s="57"/>
      <c r="S45" s="57"/>
      <c r="T45" s="57"/>
      <c r="U45" s="9" t="s">
        <v>17431</v>
      </c>
    </row>
    <row r="46" customFormat="false" ht="15" hidden="false" customHeight="false" outlineLevel="0" collapsed="false">
      <c r="A46" s="9" t="s">
        <v>11990</v>
      </c>
      <c r="B46" s="9" t="s">
        <v>17432</v>
      </c>
      <c r="C46" s="16" t="str">
        <f aca="false">IF(B46="","",IFERROR(INDEX(EDT!$E$5:$E$436,MATCH(B46,EDT!$H$5:$H$436,0)),IFERROR(INDEX(CRONOGRAMA!$G$5:$G$5679,MATCH(A46,CRONOGRAMA!$A$5:$A$5679,0)),"Fuera EDT")))</f>
        <v>04</v>
      </c>
      <c r="D46" s="16" t="str">
        <f aca="false">IF(C46="","",IFERROR(INDEX(MASTER!$B$19:$B$109,MATCH(C46,MASTER!$A$19:$A$109,0)),"Asignar fase"))</f>
        <v>Instalaciones Sanitarias</v>
      </c>
      <c r="E46" s="9" t="s">
        <v>98</v>
      </c>
      <c r="F46" s="9"/>
      <c r="G46" s="9"/>
      <c r="H46" s="56"/>
      <c r="I46" s="43" t="n">
        <v>46303</v>
      </c>
      <c r="J46" s="43" t="n">
        <v>46305</v>
      </c>
      <c r="K46" s="16" t="n">
        <f aca="false">IF(A46="","",COUNTIF(RESTRICCIONES!$B$5:$B$304,A46))</f>
        <v>0</v>
      </c>
      <c r="L46" s="16" t="n">
        <f aca="false">IF(A46="","",COUNTIFS(RESTRICCIONES!$B$5:$B$304,A46,RESTRICCIONES!$L$5:$L$304,"Pendiente"))</f>
        <v>0</v>
      </c>
      <c r="M46" s="18" t="str">
        <f aca="false">IF(A46="","",IF(L46=0,"LISTA","RESTRINGIDA"))</f>
        <v>LISTA</v>
      </c>
      <c r="N46" s="51" t="str">
        <f aca="false">IF(OR(A46="",H46=""),"",IFERROR(MIN(1,SUMIF(SEMANAL!$C$7:$C$506,A46,SEMANAL!$W$7:$W$506)/H46),0))</f>
        <v/>
      </c>
      <c r="O46" s="57"/>
      <c r="P46" s="57"/>
      <c r="Q46" s="57"/>
      <c r="R46" s="57"/>
      <c r="S46" s="57"/>
      <c r="T46" s="57"/>
      <c r="U46" s="9" t="s">
        <v>17433</v>
      </c>
    </row>
    <row r="47" customFormat="false" ht="15" hidden="false" customHeight="false" outlineLevel="0" collapsed="false">
      <c r="A47" s="9" t="s">
        <v>3922</v>
      </c>
      <c r="B47" s="9" t="s">
        <v>17434</v>
      </c>
      <c r="C47" s="16" t="str">
        <f aca="false">IF(B47="","",IFERROR(INDEX(EDT!$E$5:$E$436,MATCH(B47,EDT!$H$5:$H$436,0)),IFERROR(INDEX(CRONOGRAMA!$G$5:$G$5679,MATCH(A47,CRONOGRAMA!$A$5:$A$5679,0)),"Fuera EDT")))</f>
        <v>02</v>
      </c>
      <c r="D47" s="16" t="str">
        <f aca="false">IF(C47="","",IFERROR(INDEX(MASTER!$B$19:$B$109,MATCH(C47,MASTER!$A$19:$A$109,0)),"Asignar fase"))</f>
        <v>Estructuras</v>
      </c>
      <c r="E47" s="9" t="s">
        <v>86</v>
      </c>
      <c r="F47" s="9"/>
      <c r="G47" s="9"/>
      <c r="H47" s="56"/>
      <c r="I47" s="43" t="n">
        <v>46304</v>
      </c>
      <c r="J47" s="43" t="n">
        <v>46305</v>
      </c>
      <c r="K47" s="16" t="n">
        <f aca="false">IF(A47="","",COUNTIF(RESTRICCIONES!$B$5:$B$304,A47))</f>
        <v>0</v>
      </c>
      <c r="L47" s="16" t="n">
        <f aca="false">IF(A47="","",COUNTIFS(RESTRICCIONES!$B$5:$B$304,A47,RESTRICCIONES!$L$5:$L$304,"Pendiente"))</f>
        <v>0</v>
      </c>
      <c r="M47" s="18" t="str">
        <f aca="false">IF(A47="","",IF(L47=0,"LISTA","RESTRINGIDA"))</f>
        <v>LISTA</v>
      </c>
      <c r="N47" s="51" t="str">
        <f aca="false">IF(OR(A47="",H47=""),"",IFERROR(MIN(1,SUMIF(SEMANAL!$C$7:$C$506,A47,SEMANAL!$W$7:$W$506)/H47),0))</f>
        <v/>
      </c>
      <c r="O47" s="57"/>
      <c r="P47" s="57"/>
      <c r="Q47" s="57"/>
      <c r="R47" s="57"/>
      <c r="S47" s="57"/>
      <c r="T47" s="57"/>
      <c r="U47" s="9" t="s">
        <v>17435</v>
      </c>
    </row>
    <row r="48" customFormat="false" ht="15" hidden="false" customHeight="false" outlineLevel="0" collapsed="false">
      <c r="A48" s="9" t="s">
        <v>3936</v>
      </c>
      <c r="B48" s="9" t="s">
        <v>17436</v>
      </c>
      <c r="C48" s="16" t="str">
        <f aca="false">IF(B48="","",IFERROR(INDEX(EDT!$E$5:$E$436,MATCH(B48,EDT!$H$5:$H$436,0)),IFERROR(INDEX(CRONOGRAMA!$G$5:$G$5679,MATCH(A48,CRONOGRAMA!$A$5:$A$5679,0)),"Fuera EDT")))</f>
        <v>02</v>
      </c>
      <c r="D48" s="16" t="str">
        <f aca="false">IF(C48="","",IFERROR(INDEX(MASTER!$B$19:$B$109,MATCH(C48,MASTER!$A$19:$A$109,0)),"Asignar fase"))</f>
        <v>Estructuras</v>
      </c>
      <c r="E48" s="9" t="s">
        <v>86</v>
      </c>
      <c r="F48" s="9"/>
      <c r="G48" s="9"/>
      <c r="H48" s="56"/>
      <c r="I48" s="43" t="n">
        <v>46304</v>
      </c>
      <c r="J48" s="43" t="n">
        <v>46304</v>
      </c>
      <c r="K48" s="16" t="n">
        <f aca="false">IF(A48="","",COUNTIF(RESTRICCIONES!$B$5:$B$304,A48))</f>
        <v>0</v>
      </c>
      <c r="L48" s="16" t="n">
        <f aca="false">IF(A48="","",COUNTIFS(RESTRICCIONES!$B$5:$B$304,A48,RESTRICCIONES!$L$5:$L$304,"Pendiente"))</f>
        <v>0</v>
      </c>
      <c r="M48" s="18" t="str">
        <f aca="false">IF(A48="","",IF(L48=0,"LISTA","RESTRINGIDA"))</f>
        <v>LISTA</v>
      </c>
      <c r="N48" s="51" t="str">
        <f aca="false">IF(OR(A48="",H48=""),"",IFERROR(MIN(1,SUMIF(SEMANAL!$C$7:$C$506,A48,SEMANAL!$W$7:$W$506)/H48),0))</f>
        <v/>
      </c>
      <c r="O48" s="57"/>
      <c r="P48" s="57"/>
      <c r="Q48" s="57"/>
      <c r="R48" s="57"/>
      <c r="S48" s="57"/>
      <c r="T48" s="57"/>
      <c r="U48" s="9" t="s">
        <v>17435</v>
      </c>
    </row>
    <row r="49" customFormat="false" ht="15" hidden="false" customHeight="false" outlineLevel="0" collapsed="false">
      <c r="A49" s="9" t="s">
        <v>3948</v>
      </c>
      <c r="B49" s="9" t="s">
        <v>17437</v>
      </c>
      <c r="C49" s="16" t="str">
        <f aca="false">IF(B49="","",IFERROR(INDEX(EDT!$E$5:$E$436,MATCH(B49,EDT!$H$5:$H$436,0)),IFERROR(INDEX(CRONOGRAMA!$G$5:$G$5679,MATCH(A49,CRONOGRAMA!$A$5:$A$5679,0)),"Fuera EDT")))</f>
        <v>02</v>
      </c>
      <c r="D49" s="16" t="str">
        <f aca="false">IF(C49="","",IFERROR(INDEX(MASTER!$B$19:$B$109,MATCH(C49,MASTER!$A$19:$A$109,0)),"Asignar fase"))</f>
        <v>Estructuras</v>
      </c>
      <c r="E49" s="9" t="s">
        <v>86</v>
      </c>
      <c r="F49" s="9"/>
      <c r="G49" s="9"/>
      <c r="H49" s="56"/>
      <c r="I49" s="43" t="n">
        <v>46304</v>
      </c>
      <c r="J49" s="43" t="n">
        <v>46304</v>
      </c>
      <c r="K49" s="16" t="n">
        <f aca="false">IF(A49="","",COUNTIF(RESTRICCIONES!$B$5:$B$304,A49))</f>
        <v>0</v>
      </c>
      <c r="L49" s="16" t="n">
        <f aca="false">IF(A49="","",COUNTIFS(RESTRICCIONES!$B$5:$B$304,A49,RESTRICCIONES!$L$5:$L$304,"Pendiente"))</f>
        <v>0</v>
      </c>
      <c r="M49" s="18" t="str">
        <f aca="false">IF(A49="","",IF(L49=0,"LISTA","RESTRINGIDA"))</f>
        <v>LISTA</v>
      </c>
      <c r="N49" s="51" t="str">
        <f aca="false">IF(OR(A49="",H49=""),"",IFERROR(MIN(1,SUMIF(SEMANAL!$C$7:$C$506,A49,SEMANAL!$W$7:$W$506)/H49),0))</f>
        <v/>
      </c>
      <c r="O49" s="57"/>
      <c r="P49" s="57"/>
      <c r="Q49" s="57"/>
      <c r="R49" s="57"/>
      <c r="S49" s="57"/>
      <c r="T49" s="57"/>
      <c r="U49" s="9" t="s">
        <v>17435</v>
      </c>
    </row>
    <row r="50" customFormat="false" ht="15" hidden="false" customHeight="false" outlineLevel="0" collapsed="false">
      <c r="A50" s="9" t="s">
        <v>8181</v>
      </c>
      <c r="B50" s="9" t="s">
        <v>17438</v>
      </c>
      <c r="C50" s="16" t="str">
        <f aca="false">IF(B50="","",IFERROR(INDEX(EDT!$E$5:$E$436,MATCH(B50,EDT!$H$5:$H$436,0)),IFERROR(INDEX(CRONOGRAMA!$G$5:$G$5679,MATCH(A50,CRONOGRAMA!$A$5:$A$5679,0)),"Fuera EDT")))</f>
        <v>03</v>
      </c>
      <c r="D50" s="16" t="str">
        <f aca="false">IF(C50="","",IFERROR(INDEX(MASTER!$B$19:$B$109,MATCH(C50,MASTER!$A$19:$A$109,0)),"Asignar fase"))</f>
        <v>Arquitectura</v>
      </c>
      <c r="E50" s="9" t="s">
        <v>86</v>
      </c>
      <c r="F50" s="9"/>
      <c r="G50" s="9"/>
      <c r="H50" s="56"/>
      <c r="I50" s="43" t="n">
        <v>46304</v>
      </c>
      <c r="J50" s="43" t="n">
        <v>46305</v>
      </c>
      <c r="K50" s="16" t="n">
        <f aca="false">IF(A50="","",COUNTIF(RESTRICCIONES!$B$5:$B$304,A50))</f>
        <v>0</v>
      </c>
      <c r="L50" s="16" t="n">
        <f aca="false">IF(A50="","",COUNTIFS(RESTRICCIONES!$B$5:$B$304,A50,RESTRICCIONES!$L$5:$L$304,"Pendiente"))</f>
        <v>0</v>
      </c>
      <c r="M50" s="18" t="str">
        <f aca="false">IF(A50="","",IF(L50=0,"LISTA","RESTRINGIDA"))</f>
        <v>LISTA</v>
      </c>
      <c r="N50" s="51" t="str">
        <f aca="false">IF(OR(A50="",H50=""),"",IFERROR(MIN(1,SUMIF(SEMANAL!$C$7:$C$506,A50,SEMANAL!$W$7:$W$506)/H50),0))</f>
        <v/>
      </c>
      <c r="O50" s="57"/>
      <c r="P50" s="57"/>
      <c r="Q50" s="57"/>
      <c r="R50" s="57"/>
      <c r="S50" s="57"/>
      <c r="T50" s="57"/>
      <c r="U50" s="9" t="s">
        <v>17435</v>
      </c>
    </row>
    <row r="51" customFormat="false" ht="15" hidden="false" customHeight="false" outlineLevel="0" collapsed="false">
      <c r="A51" s="9" t="s">
        <v>3933</v>
      </c>
      <c r="B51" s="9" t="s">
        <v>17439</v>
      </c>
      <c r="C51" s="16" t="str">
        <f aca="false">IF(B51="","",IFERROR(INDEX(EDT!$E$5:$E$436,MATCH(B51,EDT!$H$5:$H$436,0)),IFERROR(INDEX(CRONOGRAMA!$G$5:$G$5679,MATCH(A51,CRONOGRAMA!$A$5:$A$5679,0)),"Fuera EDT")))</f>
        <v>02</v>
      </c>
      <c r="D51" s="16" t="str">
        <f aca="false">IF(C51="","",IFERROR(INDEX(MASTER!$B$19:$B$109,MATCH(C51,MASTER!$A$19:$A$109,0)),"Asignar fase"))</f>
        <v>Estructuras</v>
      </c>
      <c r="E51" s="9" t="s">
        <v>86</v>
      </c>
      <c r="F51" s="9"/>
      <c r="G51" s="9"/>
      <c r="H51" s="56"/>
      <c r="I51" s="43" t="n">
        <v>46305</v>
      </c>
      <c r="J51" s="43" t="n">
        <v>46306</v>
      </c>
      <c r="K51" s="16" t="n">
        <f aca="false">IF(A51="","",COUNTIF(RESTRICCIONES!$B$5:$B$304,A51))</f>
        <v>0</v>
      </c>
      <c r="L51" s="16" t="n">
        <f aca="false">IF(A51="","",COUNTIFS(RESTRICCIONES!$B$5:$B$304,A51,RESTRICCIONES!$L$5:$L$304,"Pendiente"))</f>
        <v>0</v>
      </c>
      <c r="M51" s="18" t="str">
        <f aca="false">IF(A51="","",IF(L51=0,"LISTA","RESTRINGIDA"))</f>
        <v>LISTA</v>
      </c>
      <c r="N51" s="51" t="str">
        <f aca="false">IF(OR(A51="",H51=""),"",IFERROR(MIN(1,SUMIF(SEMANAL!$C$7:$C$506,A51,SEMANAL!$W$7:$W$506)/H51),0))</f>
        <v/>
      </c>
      <c r="O51" s="57"/>
      <c r="P51" s="57"/>
      <c r="Q51" s="57"/>
      <c r="R51" s="57"/>
      <c r="S51" s="57"/>
      <c r="T51" s="57"/>
      <c r="U51" s="9" t="s">
        <v>17440</v>
      </c>
    </row>
    <row r="52" customFormat="false" ht="15" hidden="false" customHeight="false" outlineLevel="0" collapsed="false">
      <c r="A52" s="9" t="s">
        <v>3945</v>
      </c>
      <c r="B52" s="9" t="s">
        <v>17441</v>
      </c>
      <c r="C52" s="16" t="str">
        <f aca="false">IF(B52="","",IFERROR(INDEX(EDT!$E$5:$E$436,MATCH(B52,EDT!$H$5:$H$436,0)),IFERROR(INDEX(CRONOGRAMA!$G$5:$G$5679,MATCH(A52,CRONOGRAMA!$A$5:$A$5679,0)),"Fuera EDT")))</f>
        <v>02</v>
      </c>
      <c r="D52" s="16" t="str">
        <f aca="false">IF(C52="","",IFERROR(INDEX(MASTER!$B$19:$B$109,MATCH(C52,MASTER!$A$19:$A$109,0)),"Asignar fase"))</f>
        <v>Estructuras</v>
      </c>
      <c r="E52" s="9" t="s">
        <v>86</v>
      </c>
      <c r="F52" s="9"/>
      <c r="G52" s="9"/>
      <c r="H52" s="56"/>
      <c r="I52" s="43" t="n">
        <v>46305</v>
      </c>
      <c r="J52" s="43" t="n">
        <v>46306</v>
      </c>
      <c r="K52" s="16" t="n">
        <f aca="false">IF(A52="","",COUNTIF(RESTRICCIONES!$B$5:$B$304,A52))</f>
        <v>0</v>
      </c>
      <c r="L52" s="16" t="n">
        <f aca="false">IF(A52="","",COUNTIFS(RESTRICCIONES!$B$5:$B$304,A52,RESTRICCIONES!$L$5:$L$304,"Pendiente"))</f>
        <v>0</v>
      </c>
      <c r="M52" s="18" t="str">
        <f aca="false">IF(A52="","",IF(L52=0,"LISTA","RESTRINGIDA"))</f>
        <v>LISTA</v>
      </c>
      <c r="N52" s="51" t="str">
        <f aca="false">IF(OR(A52="",H52=""),"",IFERROR(MIN(1,SUMIF(SEMANAL!$C$7:$C$506,A52,SEMANAL!$W$7:$W$506)/H52),0))</f>
        <v/>
      </c>
      <c r="O52" s="57"/>
      <c r="P52" s="57"/>
      <c r="Q52" s="57"/>
      <c r="R52" s="57"/>
      <c r="S52" s="57"/>
      <c r="T52" s="57"/>
      <c r="U52" s="9" t="s">
        <v>17442</v>
      </c>
    </row>
    <row r="53" customFormat="false" ht="15" hidden="false" customHeight="false" outlineLevel="0" collapsed="false">
      <c r="A53" s="9" t="s">
        <v>5893</v>
      </c>
      <c r="B53" s="9" t="s">
        <v>17443</v>
      </c>
      <c r="C53" s="16" t="str">
        <f aca="false">IF(B53="","",IFERROR(INDEX(EDT!$E$5:$E$436,MATCH(B53,EDT!$H$5:$H$436,0)),IFERROR(INDEX(CRONOGRAMA!$G$5:$G$5679,MATCH(A53,CRONOGRAMA!$A$5:$A$5679,0)),"Fuera EDT")))</f>
        <v>02</v>
      </c>
      <c r="D53" s="16" t="str">
        <f aca="false">IF(C53="","",IFERROR(INDEX(MASTER!$B$19:$B$109,MATCH(C53,MASTER!$A$19:$A$109,0)),"Asignar fase"))</f>
        <v>Estructuras</v>
      </c>
      <c r="E53" s="9" t="s">
        <v>121</v>
      </c>
      <c r="F53" s="9"/>
      <c r="G53" s="9"/>
      <c r="H53" s="56"/>
      <c r="I53" s="43" t="n">
        <v>46305</v>
      </c>
      <c r="J53" s="43" t="n">
        <v>46308</v>
      </c>
      <c r="K53" s="16" t="n">
        <f aca="false">IF(A53="","",COUNTIF(RESTRICCIONES!$B$5:$B$304,A53))</f>
        <v>0</v>
      </c>
      <c r="L53" s="16" t="n">
        <f aca="false">IF(A53="","",COUNTIFS(RESTRICCIONES!$B$5:$B$304,A53,RESTRICCIONES!$L$5:$L$304,"Pendiente"))</f>
        <v>0</v>
      </c>
      <c r="M53" s="18" t="str">
        <f aca="false">IF(A53="","",IF(L53=0,"LISTA","RESTRINGIDA"))</f>
        <v>LISTA</v>
      </c>
      <c r="N53" s="51" t="str">
        <f aca="false">IF(OR(A53="",H53=""),"",IFERROR(MIN(1,SUMIF(SEMANAL!$C$7:$C$506,A53,SEMANAL!$W$7:$W$506)/H53),0))</f>
        <v/>
      </c>
      <c r="O53" s="57"/>
      <c r="P53" s="57"/>
      <c r="Q53" s="57"/>
      <c r="R53" s="57"/>
      <c r="S53" s="57"/>
      <c r="T53" s="57"/>
      <c r="U53" s="9" t="s">
        <v>17444</v>
      </c>
    </row>
    <row r="54" customFormat="false" ht="15" hidden="false" customHeight="false" outlineLevel="0" collapsed="false">
      <c r="A54" s="9" t="s">
        <v>5920</v>
      </c>
      <c r="B54" s="9" t="s">
        <v>17445</v>
      </c>
      <c r="C54" s="16" t="str">
        <f aca="false">IF(B54="","",IFERROR(INDEX(EDT!$E$5:$E$436,MATCH(B54,EDT!$H$5:$H$436,0)),IFERROR(INDEX(CRONOGRAMA!$G$5:$G$5679,MATCH(A54,CRONOGRAMA!$A$5:$A$5679,0)),"Fuera EDT")))</f>
        <v>02</v>
      </c>
      <c r="D54" s="16" t="str">
        <f aca="false">IF(C54="","",IFERROR(INDEX(MASTER!$B$19:$B$109,MATCH(C54,MASTER!$A$19:$A$109,0)),"Asignar fase"))</f>
        <v>Estructuras</v>
      </c>
      <c r="E54" s="9" t="s">
        <v>121</v>
      </c>
      <c r="F54" s="9"/>
      <c r="G54" s="9"/>
      <c r="H54" s="56"/>
      <c r="I54" s="43" t="n">
        <v>46305</v>
      </c>
      <c r="J54" s="43" t="n">
        <v>46307</v>
      </c>
      <c r="K54" s="16" t="n">
        <f aca="false">IF(A54="","",COUNTIF(RESTRICCIONES!$B$5:$B$304,A54))</f>
        <v>0</v>
      </c>
      <c r="L54" s="16" t="n">
        <f aca="false">IF(A54="","",COUNTIFS(RESTRICCIONES!$B$5:$B$304,A54,RESTRICCIONES!$L$5:$L$304,"Pendiente"))</f>
        <v>0</v>
      </c>
      <c r="M54" s="18" t="str">
        <f aca="false">IF(A54="","",IF(L54=0,"LISTA","RESTRINGIDA"))</f>
        <v>LISTA</v>
      </c>
      <c r="N54" s="51" t="str">
        <f aca="false">IF(OR(A54="",H54=""),"",IFERROR(MIN(1,SUMIF(SEMANAL!$C$7:$C$506,A54,SEMANAL!$W$7:$W$506)/H54),0))</f>
        <v/>
      </c>
      <c r="O54" s="57"/>
      <c r="P54" s="57"/>
      <c r="Q54" s="57"/>
      <c r="R54" s="57"/>
      <c r="S54" s="57"/>
      <c r="T54" s="57"/>
      <c r="U54" s="9" t="s">
        <v>17446</v>
      </c>
    </row>
    <row r="55" customFormat="false" ht="15" hidden="false" customHeight="false" outlineLevel="0" collapsed="false">
      <c r="A55" s="9" t="s">
        <v>3919</v>
      </c>
      <c r="B55" s="9" t="s">
        <v>17447</v>
      </c>
      <c r="C55" s="16" t="str">
        <f aca="false">IF(B55="","",IFERROR(INDEX(EDT!$E$5:$E$436,MATCH(B55,EDT!$H$5:$H$436,0)),IFERROR(INDEX(CRONOGRAMA!$G$5:$G$5679,MATCH(A55,CRONOGRAMA!$A$5:$A$5679,0)),"Fuera EDT")))</f>
        <v>02</v>
      </c>
      <c r="D55" s="16" t="str">
        <f aca="false">IF(C55="","",IFERROR(INDEX(MASTER!$B$19:$B$109,MATCH(C55,MASTER!$A$19:$A$109,0)),"Asignar fase"))</f>
        <v>Estructuras</v>
      </c>
      <c r="E55" s="9" t="s">
        <v>86</v>
      </c>
      <c r="F55" s="9"/>
      <c r="G55" s="9"/>
      <c r="H55" s="56"/>
      <c r="I55" s="43" t="n">
        <v>46306</v>
      </c>
      <c r="J55" s="43" t="n">
        <v>46307</v>
      </c>
      <c r="K55" s="16" t="n">
        <f aca="false">IF(A55="","",COUNTIF(RESTRICCIONES!$B$5:$B$304,A55))</f>
        <v>0</v>
      </c>
      <c r="L55" s="16" t="n">
        <f aca="false">IF(A55="","",COUNTIFS(RESTRICCIONES!$B$5:$B$304,A55,RESTRICCIONES!$L$5:$L$304,"Pendiente"))</f>
        <v>0</v>
      </c>
      <c r="M55" s="18" t="str">
        <f aca="false">IF(A55="","",IF(L55=0,"LISTA","RESTRINGIDA"))</f>
        <v>LISTA</v>
      </c>
      <c r="N55" s="51" t="str">
        <f aca="false">IF(OR(A55="",H55=""),"",IFERROR(MIN(1,SUMIF(SEMANAL!$C$7:$C$506,A55,SEMANAL!$W$7:$W$506)/H55),0))</f>
        <v/>
      </c>
      <c r="O55" s="57"/>
      <c r="P55" s="57"/>
      <c r="Q55" s="57"/>
      <c r="R55" s="57"/>
      <c r="S55" s="57"/>
      <c r="T55" s="57"/>
      <c r="U55" s="9" t="s">
        <v>17448</v>
      </c>
    </row>
    <row r="56" customFormat="false" ht="15" hidden="false" customHeight="false" outlineLevel="0" collapsed="false">
      <c r="A56" s="9" t="s">
        <v>5543</v>
      </c>
      <c r="B56" s="9" t="s">
        <v>17449</v>
      </c>
      <c r="C56" s="16" t="str">
        <f aca="false">IF(B56="","",IFERROR(INDEX(EDT!$E$5:$E$436,MATCH(B56,EDT!$H$5:$H$436,0)),IFERROR(INDEX(CRONOGRAMA!$G$5:$G$5679,MATCH(A56,CRONOGRAMA!$A$5:$A$5679,0)),"Fuera EDT")))</f>
        <v>02</v>
      </c>
      <c r="D56" s="16" t="str">
        <f aca="false">IF(C56="","",IFERROR(INDEX(MASTER!$B$19:$B$109,MATCH(C56,MASTER!$A$19:$A$109,0)),"Asignar fase"))</f>
        <v>Estructuras</v>
      </c>
      <c r="E56" s="9" t="s">
        <v>114</v>
      </c>
      <c r="F56" s="9"/>
      <c r="G56" s="9"/>
      <c r="H56" s="56"/>
      <c r="I56" s="43" t="n">
        <v>46306</v>
      </c>
      <c r="J56" s="43" t="n">
        <v>46306</v>
      </c>
      <c r="K56" s="16" t="n">
        <f aca="false">IF(A56="","",COUNTIF(RESTRICCIONES!$B$5:$B$304,A56))</f>
        <v>0</v>
      </c>
      <c r="L56" s="16" t="n">
        <f aca="false">IF(A56="","",COUNTIFS(RESTRICCIONES!$B$5:$B$304,A56,RESTRICCIONES!$L$5:$L$304,"Pendiente"))</f>
        <v>0</v>
      </c>
      <c r="M56" s="18" t="str">
        <f aca="false">IF(A56="","",IF(L56=0,"LISTA","RESTRINGIDA"))</f>
        <v>LISTA</v>
      </c>
      <c r="N56" s="51" t="str">
        <f aca="false">IF(OR(A56="",H56=""),"",IFERROR(MIN(1,SUMIF(SEMANAL!$C$7:$C$506,A56,SEMANAL!$W$7:$W$506)/H56),0))</f>
        <v/>
      </c>
      <c r="O56" s="57"/>
      <c r="P56" s="57"/>
      <c r="Q56" s="57"/>
      <c r="R56" s="57"/>
      <c r="S56" s="57"/>
      <c r="T56" s="57"/>
      <c r="U56" s="9" t="s">
        <v>17450</v>
      </c>
    </row>
    <row r="57" customFormat="false" ht="15" hidden="false" customHeight="false" outlineLevel="0" collapsed="false">
      <c r="A57" s="9" t="s">
        <v>8183</v>
      </c>
      <c r="B57" s="9" t="s">
        <v>17451</v>
      </c>
      <c r="C57" s="16" t="str">
        <f aca="false">IF(B57="","",IFERROR(INDEX(EDT!$E$5:$E$436,MATCH(B57,EDT!$H$5:$H$436,0)),IFERROR(INDEX(CRONOGRAMA!$G$5:$G$5679,MATCH(A57,CRONOGRAMA!$A$5:$A$5679,0)),"Fuera EDT")))</f>
        <v>03</v>
      </c>
      <c r="D57" s="16" t="str">
        <f aca="false">IF(C57="","",IFERROR(INDEX(MASTER!$B$19:$B$109,MATCH(C57,MASTER!$A$19:$A$109,0)),"Asignar fase"))</f>
        <v>Arquitectura</v>
      </c>
      <c r="E57" s="9" t="s">
        <v>86</v>
      </c>
      <c r="F57" s="9"/>
      <c r="G57" s="9"/>
      <c r="H57" s="56"/>
      <c r="I57" s="43" t="n">
        <v>46306</v>
      </c>
      <c r="J57" s="43" t="n">
        <v>46312</v>
      </c>
      <c r="K57" s="16" t="n">
        <f aca="false">IF(A57="","",COUNTIF(RESTRICCIONES!$B$5:$B$304,A57))</f>
        <v>0</v>
      </c>
      <c r="L57" s="16" t="n">
        <f aca="false">IF(A57="","",COUNTIFS(RESTRICCIONES!$B$5:$B$304,A57,RESTRICCIONES!$L$5:$L$304,"Pendiente"))</f>
        <v>0</v>
      </c>
      <c r="M57" s="18" t="str">
        <f aca="false">IF(A57="","",IF(L57=0,"LISTA","RESTRINGIDA"))</f>
        <v>LISTA</v>
      </c>
      <c r="N57" s="51" t="str">
        <f aca="false">IF(OR(A57="",H57=""),"",IFERROR(MIN(1,SUMIF(SEMANAL!$C$7:$C$506,A57,SEMANAL!$W$7:$W$506)/H57),0))</f>
        <v/>
      </c>
      <c r="O57" s="57"/>
      <c r="P57" s="57"/>
      <c r="Q57" s="57"/>
      <c r="R57" s="57"/>
      <c r="S57" s="57"/>
      <c r="T57" s="57"/>
      <c r="U57" s="9" t="s">
        <v>17452</v>
      </c>
    </row>
    <row r="58" customFormat="false" ht="15" hidden="false" customHeight="false" outlineLevel="0" collapsed="false">
      <c r="A58" s="9" t="s">
        <v>12042</v>
      </c>
      <c r="B58" s="9" t="s">
        <v>17453</v>
      </c>
      <c r="C58" s="16" t="str">
        <f aca="false">IF(B58="","",IFERROR(INDEX(EDT!$E$5:$E$436,MATCH(B58,EDT!$H$5:$H$436,0)),IFERROR(INDEX(CRONOGRAMA!$G$5:$G$5679,MATCH(A58,CRONOGRAMA!$A$5:$A$5679,0)),"Fuera EDT")))</f>
        <v>04</v>
      </c>
      <c r="D58" s="16" t="str">
        <f aca="false">IF(C58="","",IFERROR(INDEX(MASTER!$B$19:$B$109,MATCH(C58,MASTER!$A$19:$A$109,0)),"Asignar fase"))</f>
        <v>Instalaciones Sanitarias</v>
      </c>
      <c r="E58" s="9" t="s">
        <v>98</v>
      </c>
      <c r="F58" s="9"/>
      <c r="G58" s="9"/>
      <c r="H58" s="56"/>
      <c r="I58" s="43" t="n">
        <v>46306</v>
      </c>
      <c r="J58" s="43" t="n">
        <v>46307</v>
      </c>
      <c r="K58" s="16" t="n">
        <f aca="false">IF(A58="","",COUNTIF(RESTRICCIONES!$B$5:$B$304,A58))</f>
        <v>0</v>
      </c>
      <c r="L58" s="16" t="n">
        <f aca="false">IF(A58="","",COUNTIFS(RESTRICCIONES!$B$5:$B$304,A58,RESTRICCIONES!$L$5:$L$304,"Pendiente"))</f>
        <v>0</v>
      </c>
      <c r="M58" s="18" t="str">
        <f aca="false">IF(A58="","",IF(L58=0,"LISTA","RESTRINGIDA"))</f>
        <v>LISTA</v>
      </c>
      <c r="N58" s="51" t="str">
        <f aca="false">IF(OR(A58="",H58=""),"",IFERROR(MIN(1,SUMIF(SEMANAL!$C$7:$C$506,A58,SEMANAL!$W$7:$W$506)/H58),0))</f>
        <v/>
      </c>
      <c r="O58" s="57"/>
      <c r="P58" s="57"/>
      <c r="Q58" s="57"/>
      <c r="R58" s="57"/>
      <c r="S58" s="57"/>
      <c r="T58" s="57"/>
      <c r="U58" s="9" t="s">
        <v>17454</v>
      </c>
    </row>
    <row r="59" customFormat="false" ht="15" hidden="false" customHeight="false" outlineLevel="0" collapsed="false">
      <c r="A59" s="9" t="s">
        <v>3930</v>
      </c>
      <c r="B59" s="9" t="s">
        <v>17455</v>
      </c>
      <c r="C59" s="16" t="str">
        <f aca="false">IF(B59="","",IFERROR(INDEX(EDT!$E$5:$E$436,MATCH(B59,EDT!$H$5:$H$436,0)),IFERROR(INDEX(CRONOGRAMA!$G$5:$G$5679,MATCH(A59,CRONOGRAMA!$A$5:$A$5679,0)),"Fuera EDT")))</f>
        <v>02</v>
      </c>
      <c r="D59" s="16" t="str">
        <f aca="false">IF(C59="","",IFERROR(INDEX(MASTER!$B$19:$B$109,MATCH(C59,MASTER!$A$19:$A$109,0)),"Asignar fase"))</f>
        <v>Estructuras</v>
      </c>
      <c r="E59" s="9" t="s">
        <v>86</v>
      </c>
      <c r="F59" s="9"/>
      <c r="G59" s="9"/>
      <c r="H59" s="56"/>
      <c r="I59" s="43" t="n">
        <v>46307</v>
      </c>
      <c r="J59" s="43" t="n">
        <v>46307</v>
      </c>
      <c r="K59" s="16" t="n">
        <f aca="false">IF(A59="","",COUNTIF(RESTRICCIONES!$B$5:$B$304,A59))</f>
        <v>0</v>
      </c>
      <c r="L59" s="16" t="n">
        <f aca="false">IF(A59="","",COUNTIFS(RESTRICCIONES!$B$5:$B$304,A59,RESTRICCIONES!$L$5:$L$304,"Pendiente"))</f>
        <v>0</v>
      </c>
      <c r="M59" s="18" t="str">
        <f aca="false">IF(A59="","",IF(L59=0,"LISTA","RESTRINGIDA"))</f>
        <v>LISTA</v>
      </c>
      <c r="N59" s="51" t="str">
        <f aca="false">IF(OR(A59="",H59=""),"",IFERROR(MIN(1,SUMIF(SEMANAL!$C$7:$C$506,A59,SEMANAL!$W$7:$W$506)/H59),0))</f>
        <v/>
      </c>
      <c r="O59" s="57"/>
      <c r="P59" s="57"/>
      <c r="Q59" s="57"/>
      <c r="R59" s="57"/>
      <c r="S59" s="57"/>
      <c r="T59" s="57"/>
      <c r="U59" s="9" t="s">
        <v>17456</v>
      </c>
    </row>
    <row r="60" customFormat="false" ht="15" hidden="false" customHeight="false" outlineLevel="0" collapsed="false">
      <c r="A60" s="9" t="s">
        <v>3938</v>
      </c>
      <c r="B60" s="9" t="s">
        <v>17457</v>
      </c>
      <c r="C60" s="16" t="str">
        <f aca="false">IF(B60="","",IFERROR(INDEX(EDT!$E$5:$E$436,MATCH(B60,EDT!$H$5:$H$436,0)),IFERROR(INDEX(CRONOGRAMA!$G$5:$G$5679,MATCH(A60,CRONOGRAMA!$A$5:$A$5679,0)),"Fuera EDT")))</f>
        <v>02</v>
      </c>
      <c r="D60" s="16" t="str">
        <f aca="false">IF(C60="","",IFERROR(INDEX(MASTER!$B$19:$B$109,MATCH(C60,MASTER!$A$19:$A$109,0)),"Asignar fase"))</f>
        <v>Estructuras</v>
      </c>
      <c r="E60" s="9" t="s">
        <v>86</v>
      </c>
      <c r="F60" s="9"/>
      <c r="G60" s="9"/>
      <c r="H60" s="56"/>
      <c r="I60" s="43" t="n">
        <v>46307</v>
      </c>
      <c r="J60" s="43" t="n">
        <v>46307</v>
      </c>
      <c r="K60" s="16" t="n">
        <f aca="false">IF(A60="","",COUNTIF(RESTRICCIONES!$B$5:$B$304,A60))</f>
        <v>0</v>
      </c>
      <c r="L60" s="16" t="n">
        <f aca="false">IF(A60="","",COUNTIFS(RESTRICCIONES!$B$5:$B$304,A60,RESTRICCIONES!$L$5:$L$304,"Pendiente"))</f>
        <v>0</v>
      </c>
      <c r="M60" s="18" t="str">
        <f aca="false">IF(A60="","",IF(L60=0,"LISTA","RESTRINGIDA"))</f>
        <v>LISTA</v>
      </c>
      <c r="N60" s="51" t="str">
        <f aca="false">IF(OR(A60="",H60=""),"",IFERROR(MIN(1,SUMIF(SEMANAL!$C$7:$C$506,A60,SEMANAL!$W$7:$W$506)/H60),0))</f>
        <v/>
      </c>
      <c r="O60" s="57"/>
      <c r="P60" s="57"/>
      <c r="Q60" s="57"/>
      <c r="R60" s="57"/>
      <c r="S60" s="57"/>
      <c r="T60" s="57"/>
      <c r="U60" s="9" t="s">
        <v>17456</v>
      </c>
    </row>
    <row r="61" customFormat="false" ht="15" hidden="false" customHeight="false" outlineLevel="0" collapsed="false">
      <c r="A61" s="9" t="s">
        <v>3942</v>
      </c>
      <c r="B61" s="9" t="s">
        <v>17458</v>
      </c>
      <c r="C61" s="16" t="str">
        <f aca="false">IF(B61="","",IFERROR(INDEX(EDT!$E$5:$E$436,MATCH(B61,EDT!$H$5:$H$436,0)),IFERROR(INDEX(CRONOGRAMA!$G$5:$G$5679,MATCH(A61,CRONOGRAMA!$A$5:$A$5679,0)),"Fuera EDT")))</f>
        <v>02</v>
      </c>
      <c r="D61" s="16" t="str">
        <f aca="false">IF(C61="","",IFERROR(INDEX(MASTER!$B$19:$B$109,MATCH(C61,MASTER!$A$19:$A$109,0)),"Asignar fase"))</f>
        <v>Estructuras</v>
      </c>
      <c r="E61" s="9" t="s">
        <v>86</v>
      </c>
      <c r="F61" s="9"/>
      <c r="G61" s="9"/>
      <c r="H61" s="56"/>
      <c r="I61" s="43" t="n">
        <v>46307</v>
      </c>
      <c r="J61" s="43" t="n">
        <v>46307</v>
      </c>
      <c r="K61" s="16" t="n">
        <f aca="false">IF(A61="","",COUNTIF(RESTRICCIONES!$B$5:$B$304,A61))</f>
        <v>0</v>
      </c>
      <c r="L61" s="16" t="n">
        <f aca="false">IF(A61="","",COUNTIFS(RESTRICCIONES!$B$5:$B$304,A61,RESTRICCIONES!$L$5:$L$304,"Pendiente"))</f>
        <v>0</v>
      </c>
      <c r="M61" s="18" t="str">
        <f aca="false">IF(A61="","",IF(L61=0,"LISTA","RESTRINGIDA"))</f>
        <v>LISTA</v>
      </c>
      <c r="N61" s="51" t="str">
        <f aca="false">IF(OR(A61="",H61=""),"",IFERROR(MIN(1,SUMIF(SEMANAL!$C$7:$C$506,A61,SEMANAL!$W$7:$W$506)/H61),0))</f>
        <v/>
      </c>
      <c r="O61" s="57"/>
      <c r="P61" s="57"/>
      <c r="Q61" s="57"/>
      <c r="R61" s="57"/>
      <c r="S61" s="57"/>
      <c r="T61" s="57"/>
      <c r="U61" s="9" t="s">
        <v>17459</v>
      </c>
    </row>
    <row r="62" customFormat="false" ht="15" hidden="false" customHeight="false" outlineLevel="0" collapsed="false">
      <c r="A62" s="9" t="s">
        <v>5529</v>
      </c>
      <c r="B62" s="9" t="s">
        <v>17460</v>
      </c>
      <c r="C62" s="16" t="str">
        <f aca="false">IF(B62="","",IFERROR(INDEX(EDT!$E$5:$E$436,MATCH(B62,EDT!$H$5:$H$436,0)),IFERROR(INDEX(CRONOGRAMA!$G$5:$G$5679,MATCH(A62,CRONOGRAMA!$A$5:$A$5679,0)),"Fuera EDT")))</f>
        <v>02</v>
      </c>
      <c r="D62" s="16" t="str">
        <f aca="false">IF(C62="","",IFERROR(INDEX(MASTER!$B$19:$B$109,MATCH(C62,MASTER!$A$19:$A$109,0)),"Asignar fase"))</f>
        <v>Estructuras</v>
      </c>
      <c r="E62" s="9" t="s">
        <v>114</v>
      </c>
      <c r="F62" s="9"/>
      <c r="G62" s="9"/>
      <c r="H62" s="56"/>
      <c r="I62" s="43" t="n">
        <v>46307</v>
      </c>
      <c r="J62" s="43" t="n">
        <v>46308</v>
      </c>
      <c r="K62" s="16" t="n">
        <f aca="false">IF(A62="","",COUNTIF(RESTRICCIONES!$B$5:$B$304,A62))</f>
        <v>0</v>
      </c>
      <c r="L62" s="16" t="n">
        <f aca="false">IF(A62="","",COUNTIFS(RESTRICCIONES!$B$5:$B$304,A62,RESTRICCIONES!$L$5:$L$304,"Pendiente"))</f>
        <v>0</v>
      </c>
      <c r="M62" s="18" t="str">
        <f aca="false">IF(A62="","",IF(L62=0,"LISTA","RESTRINGIDA"))</f>
        <v>LISTA</v>
      </c>
      <c r="N62" s="51" t="str">
        <f aca="false">IF(OR(A62="",H62=""),"",IFERROR(MIN(1,SUMIF(SEMANAL!$C$7:$C$506,A62,SEMANAL!$W$7:$W$506)/H62),0))</f>
        <v/>
      </c>
      <c r="O62" s="57"/>
      <c r="P62" s="57"/>
      <c r="Q62" s="57"/>
      <c r="R62" s="57"/>
      <c r="S62" s="57"/>
      <c r="T62" s="57"/>
      <c r="U62" s="9" t="s">
        <v>17461</v>
      </c>
    </row>
    <row r="63" customFormat="false" ht="15" hidden="false" customHeight="false" outlineLevel="0" collapsed="false">
      <c r="A63" s="9" t="s">
        <v>5533</v>
      </c>
      <c r="B63" s="9" t="s">
        <v>17462</v>
      </c>
      <c r="C63" s="16" t="str">
        <f aca="false">IF(B63="","",IFERROR(INDEX(EDT!$E$5:$E$436,MATCH(B63,EDT!$H$5:$H$436,0)),IFERROR(INDEX(CRONOGRAMA!$G$5:$G$5679,MATCH(A63,CRONOGRAMA!$A$5:$A$5679,0)),"Fuera EDT")))</f>
        <v>02</v>
      </c>
      <c r="D63" s="16" t="str">
        <f aca="false">IF(C63="","",IFERROR(INDEX(MASTER!$B$19:$B$109,MATCH(C63,MASTER!$A$19:$A$109,0)),"Asignar fase"))</f>
        <v>Estructuras</v>
      </c>
      <c r="E63" s="9" t="s">
        <v>114</v>
      </c>
      <c r="F63" s="9"/>
      <c r="G63" s="9"/>
      <c r="H63" s="56"/>
      <c r="I63" s="43" t="n">
        <v>46307</v>
      </c>
      <c r="J63" s="43" t="n">
        <v>46308</v>
      </c>
      <c r="K63" s="16" t="n">
        <f aca="false">IF(A63="","",COUNTIF(RESTRICCIONES!$B$5:$B$304,A63))</f>
        <v>0</v>
      </c>
      <c r="L63" s="16" t="n">
        <f aca="false">IF(A63="","",COUNTIFS(RESTRICCIONES!$B$5:$B$304,A63,RESTRICCIONES!$L$5:$L$304,"Pendiente"))</f>
        <v>0</v>
      </c>
      <c r="M63" s="18" t="str">
        <f aca="false">IF(A63="","",IF(L63=0,"LISTA","RESTRINGIDA"))</f>
        <v>LISTA</v>
      </c>
      <c r="N63" s="51" t="str">
        <f aca="false">IF(OR(A63="",H63=""),"",IFERROR(MIN(1,SUMIF(SEMANAL!$C$7:$C$506,A63,SEMANAL!$W$7:$W$506)/H63),0))</f>
        <v/>
      </c>
      <c r="O63" s="57"/>
      <c r="P63" s="57"/>
      <c r="Q63" s="57"/>
      <c r="R63" s="57"/>
      <c r="S63" s="57"/>
      <c r="T63" s="57"/>
      <c r="U63" s="9" t="s">
        <v>17461</v>
      </c>
    </row>
    <row r="64" customFormat="false" ht="15" hidden="false" customHeight="false" outlineLevel="0" collapsed="false">
      <c r="A64" s="9" t="s">
        <v>5555</v>
      </c>
      <c r="B64" s="9" t="s">
        <v>17463</v>
      </c>
      <c r="C64" s="16" t="str">
        <f aca="false">IF(B64="","",IFERROR(INDEX(EDT!$E$5:$E$436,MATCH(B64,EDT!$H$5:$H$436,0)),IFERROR(INDEX(CRONOGRAMA!$G$5:$G$5679,MATCH(A64,CRONOGRAMA!$A$5:$A$5679,0)),"Fuera EDT")))</f>
        <v>02</v>
      </c>
      <c r="D64" s="16" t="str">
        <f aca="false">IF(C64="","",IFERROR(INDEX(MASTER!$B$19:$B$109,MATCH(C64,MASTER!$A$19:$A$109,0)),"Asignar fase"))</f>
        <v>Estructuras</v>
      </c>
      <c r="E64" s="9" t="s">
        <v>114</v>
      </c>
      <c r="F64" s="9"/>
      <c r="G64" s="9"/>
      <c r="H64" s="56"/>
      <c r="I64" s="43" t="n">
        <v>46307</v>
      </c>
      <c r="J64" s="43" t="n">
        <v>46308</v>
      </c>
      <c r="K64" s="16" t="n">
        <f aca="false">IF(A64="","",COUNTIF(RESTRICCIONES!$B$5:$B$304,A64))</f>
        <v>0</v>
      </c>
      <c r="L64" s="16" t="n">
        <f aca="false">IF(A64="","",COUNTIFS(RESTRICCIONES!$B$5:$B$304,A64,RESTRICCIONES!$L$5:$L$304,"Pendiente"))</f>
        <v>0</v>
      </c>
      <c r="M64" s="18" t="str">
        <f aca="false">IF(A64="","",IF(L64=0,"LISTA","RESTRINGIDA"))</f>
        <v>LISTA</v>
      </c>
      <c r="N64" s="51" t="str">
        <f aca="false">IF(OR(A64="",H64=""),"",IFERROR(MIN(1,SUMIF(SEMANAL!$C$7:$C$506,A64,SEMANAL!$W$7:$W$506)/H64),0))</f>
        <v/>
      </c>
      <c r="O64" s="57"/>
      <c r="P64" s="57"/>
      <c r="Q64" s="57"/>
      <c r="R64" s="57"/>
      <c r="S64" s="57"/>
      <c r="T64" s="57"/>
      <c r="U64" s="9" t="s">
        <v>17464</v>
      </c>
    </row>
    <row r="65" customFormat="false" ht="15" hidden="false" customHeight="false" outlineLevel="0" collapsed="false">
      <c r="A65" s="9" t="s">
        <v>3916</v>
      </c>
      <c r="B65" s="9" t="s">
        <v>17465</v>
      </c>
      <c r="C65" s="16" t="str">
        <f aca="false">IF(B65="","",IFERROR(INDEX(EDT!$E$5:$E$436,MATCH(B65,EDT!$H$5:$H$436,0)),IFERROR(INDEX(CRONOGRAMA!$G$5:$G$5679,MATCH(A65,CRONOGRAMA!$A$5:$A$5679,0)),"Fuera EDT")))</f>
        <v>02</v>
      </c>
      <c r="D65" s="16" t="str">
        <f aca="false">IF(C65="","",IFERROR(INDEX(MASTER!$B$19:$B$109,MATCH(C65,MASTER!$A$19:$A$109,0)),"Asignar fase"))</f>
        <v>Estructuras</v>
      </c>
      <c r="E65" s="9" t="s">
        <v>86</v>
      </c>
      <c r="F65" s="9"/>
      <c r="G65" s="9"/>
      <c r="H65" s="56"/>
      <c r="I65" s="43" t="n">
        <v>46308</v>
      </c>
      <c r="J65" s="43" t="n">
        <v>46308</v>
      </c>
      <c r="K65" s="16" t="n">
        <f aca="false">IF(A65="","",COUNTIF(RESTRICCIONES!$B$5:$B$304,A65))</f>
        <v>0</v>
      </c>
      <c r="L65" s="16" t="n">
        <f aca="false">IF(A65="","",COUNTIFS(RESTRICCIONES!$B$5:$B$304,A65,RESTRICCIONES!$L$5:$L$304,"Pendiente"))</f>
        <v>0</v>
      </c>
      <c r="M65" s="18" t="str">
        <f aca="false">IF(A65="","",IF(L65=0,"LISTA","RESTRINGIDA"))</f>
        <v>LISTA</v>
      </c>
      <c r="N65" s="51" t="str">
        <f aca="false">IF(OR(A65="",H65=""),"",IFERROR(MIN(1,SUMIF(SEMANAL!$C$7:$C$506,A65,SEMANAL!$W$7:$W$506)/H65),0))</f>
        <v/>
      </c>
      <c r="O65" s="57"/>
      <c r="P65" s="57"/>
      <c r="Q65" s="57"/>
      <c r="R65" s="57"/>
      <c r="S65" s="57"/>
      <c r="T65" s="57"/>
      <c r="U65" s="9" t="s">
        <v>17466</v>
      </c>
    </row>
    <row r="66" customFormat="false" ht="15" hidden="false" customHeight="false" outlineLevel="0" collapsed="false">
      <c r="A66" s="9" t="s">
        <v>3950</v>
      </c>
      <c r="B66" s="9" t="s">
        <v>17467</v>
      </c>
      <c r="C66" s="16" t="str">
        <f aca="false">IF(B66="","",IFERROR(INDEX(EDT!$E$5:$E$436,MATCH(B66,EDT!$H$5:$H$436,0)),IFERROR(INDEX(CRONOGRAMA!$G$5:$G$5679,MATCH(A66,CRONOGRAMA!$A$5:$A$5679,0)),"Fuera EDT")))</f>
        <v>02</v>
      </c>
      <c r="D66" s="16" t="str">
        <f aca="false">IF(C66="","",IFERROR(INDEX(MASTER!$B$19:$B$109,MATCH(C66,MASTER!$A$19:$A$109,0)),"Asignar fase"))</f>
        <v>Estructuras</v>
      </c>
      <c r="E66" s="9" t="s">
        <v>86</v>
      </c>
      <c r="F66" s="9"/>
      <c r="G66" s="9"/>
      <c r="H66" s="56"/>
      <c r="I66" s="43" t="n">
        <v>46308</v>
      </c>
      <c r="J66" s="43" t="n">
        <v>46308</v>
      </c>
      <c r="K66" s="16" t="n">
        <f aca="false">IF(A66="","",COUNTIF(RESTRICCIONES!$B$5:$B$304,A66))</f>
        <v>0</v>
      </c>
      <c r="L66" s="16" t="n">
        <f aca="false">IF(A66="","",COUNTIFS(RESTRICCIONES!$B$5:$B$304,A66,RESTRICCIONES!$L$5:$L$304,"Pendiente"))</f>
        <v>0</v>
      </c>
      <c r="M66" s="18" t="str">
        <f aca="false">IF(A66="","",IF(L66=0,"LISTA","RESTRINGIDA"))</f>
        <v>LISTA</v>
      </c>
      <c r="N66" s="51" t="str">
        <f aca="false">IF(OR(A66="",H66=""),"",IFERROR(MIN(1,SUMIF(SEMANAL!$C$7:$C$506,A66,SEMANAL!$W$7:$W$506)/H66),0))</f>
        <v/>
      </c>
      <c r="O66" s="57"/>
      <c r="P66" s="57"/>
      <c r="Q66" s="57"/>
      <c r="R66" s="57"/>
      <c r="S66" s="57"/>
      <c r="T66" s="57"/>
      <c r="U66" s="9" t="s">
        <v>17468</v>
      </c>
    </row>
    <row r="67" customFormat="false" ht="15" hidden="false" customHeight="false" outlineLevel="0" collapsed="false">
      <c r="A67" s="9" t="s">
        <v>3976</v>
      </c>
      <c r="B67" s="9" t="s">
        <v>17469</v>
      </c>
      <c r="C67" s="16" t="str">
        <f aca="false">IF(B67="","",IFERROR(INDEX(EDT!$E$5:$E$436,MATCH(B67,EDT!$H$5:$H$436,0)),IFERROR(INDEX(CRONOGRAMA!$G$5:$G$5679,MATCH(A67,CRONOGRAMA!$A$5:$A$5679,0)),"Fuera EDT")))</f>
        <v>02</v>
      </c>
      <c r="D67" s="16" t="str">
        <f aca="false">IF(C67="","",IFERROR(INDEX(MASTER!$B$19:$B$109,MATCH(C67,MASTER!$A$19:$A$109,0)),"Asignar fase"))</f>
        <v>Estructuras</v>
      </c>
      <c r="E67" s="9" t="s">
        <v>86</v>
      </c>
      <c r="F67" s="9"/>
      <c r="G67" s="9"/>
      <c r="H67" s="56"/>
      <c r="I67" s="43" t="n">
        <v>46308</v>
      </c>
      <c r="J67" s="43" t="n">
        <v>46308</v>
      </c>
      <c r="K67" s="16" t="n">
        <f aca="false">IF(A67="","",COUNTIF(RESTRICCIONES!$B$5:$B$304,A67))</f>
        <v>0</v>
      </c>
      <c r="L67" s="16" t="n">
        <f aca="false">IF(A67="","",COUNTIFS(RESTRICCIONES!$B$5:$B$304,A67,RESTRICCIONES!$L$5:$L$304,"Pendiente"))</f>
        <v>0</v>
      </c>
      <c r="M67" s="18" t="str">
        <f aca="false">IF(A67="","",IF(L67=0,"LISTA","RESTRINGIDA"))</f>
        <v>LISTA</v>
      </c>
      <c r="N67" s="51" t="str">
        <f aca="false">IF(OR(A67="",H67=""),"",IFERROR(MIN(1,SUMIF(SEMANAL!$C$7:$C$506,A67,SEMANAL!$W$7:$W$506)/H67),0))</f>
        <v/>
      </c>
      <c r="O67" s="57"/>
      <c r="P67" s="57"/>
      <c r="Q67" s="57"/>
      <c r="R67" s="57"/>
      <c r="S67" s="57"/>
      <c r="T67" s="57"/>
      <c r="U67" s="9" t="s">
        <v>17470</v>
      </c>
    </row>
    <row r="68" customFormat="false" ht="15" hidden="false" customHeight="false" outlineLevel="0" collapsed="false">
      <c r="A68" s="9" t="s">
        <v>3990</v>
      </c>
      <c r="B68" s="9" t="s">
        <v>17471</v>
      </c>
      <c r="C68" s="16" t="str">
        <f aca="false">IF(B68="","",IFERROR(INDEX(EDT!$E$5:$E$436,MATCH(B68,EDT!$H$5:$H$436,0)),IFERROR(INDEX(CRONOGRAMA!$G$5:$G$5679,MATCH(A68,CRONOGRAMA!$A$5:$A$5679,0)),"Fuera EDT")))</f>
        <v>02</v>
      </c>
      <c r="D68" s="16" t="str">
        <f aca="false">IF(C68="","",IFERROR(INDEX(MASTER!$B$19:$B$109,MATCH(C68,MASTER!$A$19:$A$109,0)),"Asignar fase"))</f>
        <v>Estructuras</v>
      </c>
      <c r="E68" s="9" t="s">
        <v>86</v>
      </c>
      <c r="F68" s="9"/>
      <c r="G68" s="9"/>
      <c r="H68" s="56"/>
      <c r="I68" s="43" t="n">
        <v>46308</v>
      </c>
      <c r="J68" s="43" t="n">
        <v>46309</v>
      </c>
      <c r="K68" s="16" t="n">
        <f aca="false">IF(A68="","",COUNTIF(RESTRICCIONES!$B$5:$B$304,A68))</f>
        <v>0</v>
      </c>
      <c r="L68" s="16" t="n">
        <f aca="false">IF(A68="","",COUNTIFS(RESTRICCIONES!$B$5:$B$304,A68,RESTRICCIONES!$L$5:$L$304,"Pendiente"))</f>
        <v>0</v>
      </c>
      <c r="M68" s="18" t="str">
        <f aca="false">IF(A68="","",IF(L68=0,"LISTA","RESTRINGIDA"))</f>
        <v>LISTA</v>
      </c>
      <c r="N68" s="51" t="str">
        <f aca="false">IF(OR(A68="",H68=""),"",IFERROR(MIN(1,SUMIF(SEMANAL!$C$7:$C$506,A68,SEMANAL!$W$7:$W$506)/H68),0))</f>
        <v/>
      </c>
      <c r="O68" s="57"/>
      <c r="P68" s="57"/>
      <c r="Q68" s="57"/>
      <c r="R68" s="57"/>
      <c r="S68" s="57"/>
      <c r="T68" s="57"/>
      <c r="U68" s="9" t="s">
        <v>17468</v>
      </c>
    </row>
    <row r="69" customFormat="false" ht="15" hidden="false" customHeight="false" outlineLevel="0" collapsed="false">
      <c r="A69" s="9" t="s">
        <v>4003</v>
      </c>
      <c r="B69" s="9" t="s">
        <v>17472</v>
      </c>
      <c r="C69" s="16" t="str">
        <f aca="false">IF(B69="","",IFERROR(INDEX(EDT!$E$5:$E$436,MATCH(B69,EDT!$H$5:$H$436,0)),IFERROR(INDEX(CRONOGRAMA!$G$5:$G$5679,MATCH(A69,CRONOGRAMA!$A$5:$A$5679,0)),"Fuera EDT")))</f>
        <v>02</v>
      </c>
      <c r="D69" s="16" t="str">
        <f aca="false">IF(C69="","",IFERROR(INDEX(MASTER!$B$19:$B$109,MATCH(C69,MASTER!$A$19:$A$109,0)),"Asignar fase"))</f>
        <v>Estructuras</v>
      </c>
      <c r="E69" s="9" t="s">
        <v>86</v>
      </c>
      <c r="F69" s="9"/>
      <c r="G69" s="9"/>
      <c r="H69" s="56"/>
      <c r="I69" s="43" t="n">
        <v>46308</v>
      </c>
      <c r="J69" s="43" t="n">
        <v>46309</v>
      </c>
      <c r="K69" s="16" t="n">
        <f aca="false">IF(A69="","",COUNTIF(RESTRICCIONES!$B$5:$B$304,A69))</f>
        <v>0</v>
      </c>
      <c r="L69" s="16" t="n">
        <f aca="false">IF(A69="","",COUNTIFS(RESTRICCIONES!$B$5:$B$304,A69,RESTRICCIONES!$L$5:$L$304,"Pendiente"))</f>
        <v>0</v>
      </c>
      <c r="M69" s="18" t="str">
        <f aca="false">IF(A69="","",IF(L69=0,"LISTA","RESTRINGIDA"))</f>
        <v>LISTA</v>
      </c>
      <c r="N69" s="51" t="str">
        <f aca="false">IF(OR(A69="",H69=""),"",IFERROR(MIN(1,SUMIF(SEMANAL!$C$7:$C$506,A69,SEMANAL!$W$7:$W$506)/H69),0))</f>
        <v/>
      </c>
      <c r="O69" s="57"/>
      <c r="P69" s="57"/>
      <c r="Q69" s="57"/>
      <c r="R69" s="57"/>
      <c r="S69" s="57"/>
      <c r="T69" s="57"/>
      <c r="U69" s="9" t="s">
        <v>17468</v>
      </c>
    </row>
    <row r="70" customFormat="false" ht="15" hidden="false" customHeight="false" outlineLevel="0" collapsed="false">
      <c r="A70" s="9" t="s">
        <v>5917</v>
      </c>
      <c r="B70" s="9" t="s">
        <v>17473</v>
      </c>
      <c r="C70" s="16" t="str">
        <f aca="false">IF(B70="","",IFERROR(INDEX(EDT!$E$5:$E$436,MATCH(B70,EDT!$H$5:$H$436,0)),IFERROR(INDEX(CRONOGRAMA!$G$5:$G$5679,MATCH(A70,CRONOGRAMA!$A$5:$A$5679,0)),"Fuera EDT")))</f>
        <v>02</v>
      </c>
      <c r="D70" s="16" t="str">
        <f aca="false">IF(C70="","",IFERROR(INDEX(MASTER!$B$19:$B$109,MATCH(C70,MASTER!$A$19:$A$109,0)),"Asignar fase"))</f>
        <v>Estructuras</v>
      </c>
      <c r="E70" s="9" t="s">
        <v>121</v>
      </c>
      <c r="F70" s="9"/>
      <c r="G70" s="9"/>
      <c r="H70" s="56"/>
      <c r="I70" s="43" t="n">
        <v>46308</v>
      </c>
      <c r="J70" s="43" t="n">
        <v>46310</v>
      </c>
      <c r="K70" s="16" t="n">
        <f aca="false">IF(A70="","",COUNTIF(RESTRICCIONES!$B$5:$B$304,A70))</f>
        <v>0</v>
      </c>
      <c r="L70" s="16" t="n">
        <f aca="false">IF(A70="","",COUNTIFS(RESTRICCIONES!$B$5:$B$304,A70,RESTRICCIONES!$L$5:$L$304,"Pendiente"))</f>
        <v>0</v>
      </c>
      <c r="M70" s="18" t="str">
        <f aca="false">IF(A70="","",IF(L70=0,"LISTA","RESTRINGIDA"))</f>
        <v>LISTA</v>
      </c>
      <c r="N70" s="51" t="str">
        <f aca="false">IF(OR(A70="",H70=""),"",IFERROR(MIN(1,SUMIF(SEMANAL!$C$7:$C$506,A70,SEMANAL!$W$7:$W$506)/H70),0))</f>
        <v/>
      </c>
      <c r="O70" s="57"/>
      <c r="P70" s="57"/>
      <c r="Q70" s="57"/>
      <c r="R70" s="57"/>
      <c r="S70" s="57"/>
      <c r="T70" s="57"/>
      <c r="U70" s="9" t="s">
        <v>17474</v>
      </c>
    </row>
    <row r="71" customFormat="false" ht="15" hidden="false" customHeight="false" outlineLevel="0" collapsed="false">
      <c r="A71" s="9" t="s">
        <v>5946</v>
      </c>
      <c r="B71" s="9" t="s">
        <v>17475</v>
      </c>
      <c r="C71" s="16" t="str">
        <f aca="false">IF(B71="","",IFERROR(INDEX(EDT!$E$5:$E$436,MATCH(B71,EDT!$H$5:$H$436,0)),IFERROR(INDEX(CRONOGRAMA!$G$5:$G$5679,MATCH(A71,CRONOGRAMA!$A$5:$A$5679,0)),"Fuera EDT")))</f>
        <v>02</v>
      </c>
      <c r="D71" s="16" t="str">
        <f aca="false">IF(C71="","",IFERROR(INDEX(MASTER!$B$19:$B$109,MATCH(C71,MASTER!$A$19:$A$109,0)),"Asignar fase"))</f>
        <v>Estructuras</v>
      </c>
      <c r="E71" s="9" t="s">
        <v>121</v>
      </c>
      <c r="F71" s="9"/>
      <c r="G71" s="9"/>
      <c r="H71" s="56"/>
      <c r="I71" s="43" t="n">
        <v>46308</v>
      </c>
      <c r="J71" s="43" t="n">
        <v>46309</v>
      </c>
      <c r="K71" s="16" t="n">
        <f aca="false">IF(A71="","",COUNTIF(RESTRICCIONES!$B$5:$B$304,A71))</f>
        <v>0</v>
      </c>
      <c r="L71" s="16" t="n">
        <f aca="false">IF(A71="","",COUNTIFS(RESTRICCIONES!$B$5:$B$304,A71,RESTRICCIONES!$L$5:$L$304,"Pendiente"))</f>
        <v>0</v>
      </c>
      <c r="M71" s="18" t="str">
        <f aca="false">IF(A71="","",IF(L71=0,"LISTA","RESTRINGIDA"))</f>
        <v>LISTA</v>
      </c>
      <c r="N71" s="51" t="str">
        <f aca="false">IF(OR(A71="",H71=""),"",IFERROR(MIN(1,SUMIF(SEMANAL!$C$7:$C$506,A71,SEMANAL!$W$7:$W$506)/H71),0))</f>
        <v/>
      </c>
      <c r="O71" s="57"/>
      <c r="P71" s="57"/>
      <c r="Q71" s="57"/>
      <c r="R71" s="57"/>
      <c r="S71" s="57"/>
      <c r="T71" s="57"/>
      <c r="U71" s="9" t="s">
        <v>17476</v>
      </c>
    </row>
    <row r="72" customFormat="false" ht="15" hidden="false" customHeight="false" outlineLevel="0" collapsed="false">
      <c r="A72" s="9" t="s">
        <v>12045</v>
      </c>
      <c r="B72" s="9" t="s">
        <v>17477</v>
      </c>
      <c r="C72" s="16" t="str">
        <f aca="false">IF(B72="","",IFERROR(INDEX(EDT!$E$5:$E$436,MATCH(B72,EDT!$H$5:$H$436,0)),IFERROR(INDEX(CRONOGRAMA!$G$5:$G$5679,MATCH(A72,CRONOGRAMA!$A$5:$A$5679,0)),"Fuera EDT")))</f>
        <v>04</v>
      </c>
      <c r="D72" s="16" t="str">
        <f aca="false">IF(C72="","",IFERROR(INDEX(MASTER!$B$19:$B$109,MATCH(C72,MASTER!$A$19:$A$109,0)),"Asignar fase"))</f>
        <v>Instalaciones Sanitarias</v>
      </c>
      <c r="E72" s="9" t="s">
        <v>98</v>
      </c>
      <c r="F72" s="9"/>
      <c r="G72" s="9"/>
      <c r="H72" s="56"/>
      <c r="I72" s="43" t="n">
        <v>46308</v>
      </c>
      <c r="J72" s="43" t="n">
        <v>46308</v>
      </c>
      <c r="K72" s="16" t="n">
        <f aca="false">IF(A72="","",COUNTIF(RESTRICCIONES!$B$5:$B$304,A72))</f>
        <v>0</v>
      </c>
      <c r="L72" s="16" t="n">
        <f aca="false">IF(A72="","",COUNTIFS(RESTRICCIONES!$B$5:$B$304,A72,RESTRICCIONES!$L$5:$L$304,"Pendiente"))</f>
        <v>0</v>
      </c>
      <c r="M72" s="18" t="str">
        <f aca="false">IF(A72="","",IF(L72=0,"LISTA","RESTRINGIDA"))</f>
        <v>LISTA</v>
      </c>
      <c r="N72" s="51" t="str">
        <f aca="false">IF(OR(A72="",H72=""),"",IFERROR(MIN(1,SUMIF(SEMANAL!$C$7:$C$506,A72,SEMANAL!$W$7:$W$506)/H72),0))</f>
        <v/>
      </c>
      <c r="O72" s="57"/>
      <c r="P72" s="57"/>
      <c r="Q72" s="57"/>
      <c r="R72" s="57"/>
      <c r="S72" s="57"/>
      <c r="T72" s="57"/>
      <c r="U72" s="9" t="s">
        <v>17478</v>
      </c>
    </row>
    <row r="73" customFormat="false" ht="15" hidden="false" customHeight="false" outlineLevel="0" collapsed="false">
      <c r="A73" s="9" t="s">
        <v>3804</v>
      </c>
      <c r="B73" s="9" t="s">
        <v>17479</v>
      </c>
      <c r="C73" s="16" t="str">
        <f aca="false">IF(B73="","",IFERROR(INDEX(EDT!$E$5:$E$436,MATCH(B73,EDT!$H$5:$H$436,0)),IFERROR(INDEX(CRONOGRAMA!$G$5:$G$5679,MATCH(A73,CRONOGRAMA!$A$5:$A$5679,0)),"Fuera EDT")))</f>
        <v>02</v>
      </c>
      <c r="D73" s="16" t="str">
        <f aca="false">IF(C73="","",IFERROR(INDEX(MASTER!$B$19:$B$109,MATCH(C73,MASTER!$A$19:$A$109,0)),"Asignar fase"))</f>
        <v>Estructuras</v>
      </c>
      <c r="E73" s="9" t="s">
        <v>86</v>
      </c>
      <c r="F73" s="9"/>
      <c r="G73" s="9"/>
      <c r="H73" s="56"/>
      <c r="I73" s="43" t="n">
        <v>46309</v>
      </c>
      <c r="J73" s="43" t="n">
        <v>46309</v>
      </c>
      <c r="K73" s="16" t="n">
        <f aca="false">IF(A73="","",COUNTIF(RESTRICCIONES!$B$5:$B$304,A73))</f>
        <v>0</v>
      </c>
      <c r="L73" s="16" t="n">
        <f aca="false">IF(A73="","",COUNTIFS(RESTRICCIONES!$B$5:$B$304,A73,RESTRICCIONES!$L$5:$L$304,"Pendiente"))</f>
        <v>0</v>
      </c>
      <c r="M73" s="18" t="str">
        <f aca="false">IF(A73="","",IF(L73=0,"LISTA","RESTRINGIDA"))</f>
        <v>LISTA</v>
      </c>
      <c r="N73" s="51" t="str">
        <f aca="false">IF(OR(A73="",H73=""),"",IFERROR(MIN(1,SUMIF(SEMANAL!$C$7:$C$506,A73,SEMANAL!$W$7:$W$506)/H73),0))</f>
        <v/>
      </c>
      <c r="O73" s="57"/>
      <c r="P73" s="57"/>
      <c r="Q73" s="57"/>
      <c r="R73" s="57"/>
      <c r="S73" s="57"/>
      <c r="T73" s="57"/>
      <c r="U73" s="9" t="s">
        <v>17480</v>
      </c>
    </row>
    <row r="74" customFormat="false" ht="15" hidden="false" customHeight="false" outlineLevel="0" collapsed="false">
      <c r="A74" s="9" t="s">
        <v>3925</v>
      </c>
      <c r="B74" s="9" t="s">
        <v>17481</v>
      </c>
      <c r="C74" s="16" t="str">
        <f aca="false">IF(B74="","",IFERROR(INDEX(EDT!$E$5:$E$436,MATCH(B74,EDT!$H$5:$H$436,0)),IFERROR(INDEX(CRONOGRAMA!$G$5:$G$5679,MATCH(A74,CRONOGRAMA!$A$5:$A$5679,0)),"Fuera EDT")))</f>
        <v>02</v>
      </c>
      <c r="D74" s="16" t="str">
        <f aca="false">IF(C74="","",IFERROR(INDEX(MASTER!$B$19:$B$109,MATCH(C74,MASTER!$A$19:$A$109,0)),"Asignar fase"))</f>
        <v>Estructuras</v>
      </c>
      <c r="E74" s="9" t="s">
        <v>86</v>
      </c>
      <c r="F74" s="9"/>
      <c r="G74" s="9"/>
      <c r="H74" s="56"/>
      <c r="I74" s="43" t="n">
        <v>46309</v>
      </c>
      <c r="J74" s="43" t="n">
        <v>46309</v>
      </c>
      <c r="K74" s="16" t="n">
        <f aca="false">IF(A74="","",COUNTIF(RESTRICCIONES!$B$5:$B$304,A74))</f>
        <v>0</v>
      </c>
      <c r="L74" s="16" t="n">
        <f aca="false">IF(A74="","",COUNTIFS(RESTRICCIONES!$B$5:$B$304,A74,RESTRICCIONES!$L$5:$L$304,"Pendiente"))</f>
        <v>0</v>
      </c>
      <c r="M74" s="18" t="str">
        <f aca="false">IF(A74="","",IF(L74=0,"LISTA","RESTRINGIDA"))</f>
        <v>LISTA</v>
      </c>
      <c r="N74" s="51" t="str">
        <f aca="false">IF(OR(A74="",H74=""),"",IFERROR(MIN(1,SUMIF(SEMANAL!$C$7:$C$506,A74,SEMANAL!$W$7:$W$506)/H74),0))</f>
        <v/>
      </c>
      <c r="O74" s="57"/>
      <c r="P74" s="57"/>
      <c r="Q74" s="57"/>
      <c r="R74" s="57"/>
      <c r="S74" s="57"/>
      <c r="T74" s="57"/>
      <c r="U74" s="9" t="s">
        <v>17482</v>
      </c>
    </row>
    <row r="75" customFormat="false" ht="15" hidden="false" customHeight="false" outlineLevel="0" collapsed="false">
      <c r="A75" s="9" t="s">
        <v>3963</v>
      </c>
      <c r="B75" s="9" t="s">
        <v>17483</v>
      </c>
      <c r="C75" s="16" t="str">
        <f aca="false">IF(B75="","",IFERROR(INDEX(EDT!$E$5:$E$436,MATCH(B75,EDT!$H$5:$H$436,0)),IFERROR(INDEX(CRONOGRAMA!$G$5:$G$5679,MATCH(A75,CRONOGRAMA!$A$5:$A$5679,0)),"Fuera EDT")))</f>
        <v>02</v>
      </c>
      <c r="D75" s="16" t="str">
        <f aca="false">IF(C75="","",IFERROR(INDEX(MASTER!$B$19:$B$109,MATCH(C75,MASTER!$A$19:$A$109,0)),"Asignar fase"))</f>
        <v>Estructuras</v>
      </c>
      <c r="E75" s="9" t="s">
        <v>86</v>
      </c>
      <c r="F75" s="9"/>
      <c r="G75" s="9"/>
      <c r="H75" s="56"/>
      <c r="I75" s="43" t="n">
        <v>46309</v>
      </c>
      <c r="J75" s="43" t="n">
        <v>46309</v>
      </c>
      <c r="K75" s="16" t="n">
        <f aca="false">IF(A75="","",COUNTIF(RESTRICCIONES!$B$5:$B$304,A75))</f>
        <v>0</v>
      </c>
      <c r="L75" s="16" t="n">
        <f aca="false">IF(A75="","",COUNTIFS(RESTRICCIONES!$B$5:$B$304,A75,RESTRICCIONES!$L$5:$L$304,"Pendiente"))</f>
        <v>0</v>
      </c>
      <c r="M75" s="18" t="str">
        <f aca="false">IF(A75="","",IF(L75=0,"LISTA","RESTRINGIDA"))</f>
        <v>LISTA</v>
      </c>
      <c r="N75" s="51" t="str">
        <f aca="false">IF(OR(A75="",H75=""),"",IFERROR(MIN(1,SUMIF(SEMANAL!$C$7:$C$506,A75,SEMANAL!$W$7:$W$506)/H75),0))</f>
        <v/>
      </c>
      <c r="O75" s="57"/>
      <c r="P75" s="57"/>
      <c r="Q75" s="57"/>
      <c r="R75" s="57"/>
      <c r="S75" s="57"/>
      <c r="T75" s="57"/>
      <c r="U75" s="9" t="s">
        <v>17482</v>
      </c>
    </row>
    <row r="76" customFormat="false" ht="15" hidden="false" customHeight="false" outlineLevel="0" collapsed="false">
      <c r="A76" s="9" t="s">
        <v>3973</v>
      </c>
      <c r="B76" s="9" t="s">
        <v>17484</v>
      </c>
      <c r="C76" s="16" t="str">
        <f aca="false">IF(B76="","",IFERROR(INDEX(EDT!$E$5:$E$436,MATCH(B76,EDT!$H$5:$H$436,0)),IFERROR(INDEX(CRONOGRAMA!$G$5:$G$5679,MATCH(A76,CRONOGRAMA!$A$5:$A$5679,0)),"Fuera EDT")))</f>
        <v>02</v>
      </c>
      <c r="D76" s="16" t="str">
        <f aca="false">IF(C76="","",IFERROR(INDEX(MASTER!$B$19:$B$109,MATCH(C76,MASTER!$A$19:$A$109,0)),"Asignar fase"))</f>
        <v>Estructuras</v>
      </c>
      <c r="E76" s="9" t="s">
        <v>86</v>
      </c>
      <c r="F76" s="9"/>
      <c r="G76" s="9"/>
      <c r="H76" s="56"/>
      <c r="I76" s="43" t="n">
        <v>46309</v>
      </c>
      <c r="J76" s="43" t="n">
        <v>46309</v>
      </c>
      <c r="K76" s="16" t="n">
        <f aca="false">IF(A76="","",COUNTIF(RESTRICCIONES!$B$5:$B$304,A76))</f>
        <v>0</v>
      </c>
      <c r="L76" s="16" t="n">
        <f aca="false">IF(A76="","",COUNTIFS(RESTRICCIONES!$B$5:$B$304,A76,RESTRICCIONES!$L$5:$L$304,"Pendiente"))</f>
        <v>0</v>
      </c>
      <c r="M76" s="18" t="str">
        <f aca="false">IF(A76="","",IF(L76=0,"LISTA","RESTRINGIDA"))</f>
        <v>LISTA</v>
      </c>
      <c r="N76" s="51" t="str">
        <f aca="false">IF(OR(A76="",H76=""),"",IFERROR(MIN(1,SUMIF(SEMANAL!$C$7:$C$506,A76,SEMANAL!$W$7:$W$506)/H76),0))</f>
        <v/>
      </c>
      <c r="O76" s="57"/>
      <c r="P76" s="57"/>
      <c r="Q76" s="57"/>
      <c r="R76" s="57"/>
      <c r="S76" s="57"/>
      <c r="T76" s="57"/>
      <c r="U76" s="9" t="s">
        <v>17485</v>
      </c>
    </row>
    <row r="77" customFormat="false" ht="15" hidden="false" customHeight="false" outlineLevel="0" collapsed="false">
      <c r="A77" s="9" t="s">
        <v>5536</v>
      </c>
      <c r="B77" s="9" t="s">
        <v>17486</v>
      </c>
      <c r="C77" s="16" t="str">
        <f aca="false">IF(B77="","",IFERROR(INDEX(EDT!$E$5:$E$436,MATCH(B77,EDT!$H$5:$H$436,0)),IFERROR(INDEX(CRONOGRAMA!$G$5:$G$5679,MATCH(A77,CRONOGRAMA!$A$5:$A$5679,0)),"Fuera EDT")))</f>
        <v>02</v>
      </c>
      <c r="D77" s="16" t="str">
        <f aca="false">IF(C77="","",IFERROR(INDEX(MASTER!$B$19:$B$109,MATCH(C77,MASTER!$A$19:$A$109,0)),"Asignar fase"))</f>
        <v>Estructuras</v>
      </c>
      <c r="E77" s="9" t="s">
        <v>114</v>
      </c>
      <c r="F77" s="9"/>
      <c r="G77" s="9"/>
      <c r="H77" s="56"/>
      <c r="I77" s="43" t="n">
        <v>46309</v>
      </c>
      <c r="J77" s="43" t="n">
        <v>46311</v>
      </c>
      <c r="K77" s="16" t="n">
        <f aca="false">IF(A77="","",COUNTIF(RESTRICCIONES!$B$5:$B$304,A77))</f>
        <v>0</v>
      </c>
      <c r="L77" s="16" t="n">
        <f aca="false">IF(A77="","",COUNTIFS(RESTRICCIONES!$B$5:$B$304,A77,RESTRICCIONES!$L$5:$L$304,"Pendiente"))</f>
        <v>0</v>
      </c>
      <c r="M77" s="18" t="str">
        <f aca="false">IF(A77="","",IF(L77=0,"LISTA","RESTRINGIDA"))</f>
        <v>LISTA</v>
      </c>
      <c r="N77" s="51" t="str">
        <f aca="false">IF(OR(A77="",H77=""),"",IFERROR(MIN(1,SUMIF(SEMANAL!$C$7:$C$506,A77,SEMANAL!$W$7:$W$506)/H77),0))</f>
        <v/>
      </c>
      <c r="O77" s="57"/>
      <c r="P77" s="57"/>
      <c r="Q77" s="57"/>
      <c r="R77" s="57"/>
      <c r="S77" s="57"/>
      <c r="T77" s="57"/>
      <c r="U77" s="9" t="s">
        <v>17487</v>
      </c>
    </row>
    <row r="78" customFormat="false" ht="15" hidden="false" customHeight="false" outlineLevel="0" collapsed="false">
      <c r="A78" s="9" t="s">
        <v>5552</v>
      </c>
      <c r="B78" s="9" t="s">
        <v>17488</v>
      </c>
      <c r="C78" s="16" t="str">
        <f aca="false">IF(B78="","",IFERROR(INDEX(EDT!$E$5:$E$436,MATCH(B78,EDT!$H$5:$H$436,0)),IFERROR(INDEX(CRONOGRAMA!$G$5:$G$5679,MATCH(A78,CRONOGRAMA!$A$5:$A$5679,0)),"Fuera EDT")))</f>
        <v>02</v>
      </c>
      <c r="D78" s="16" t="str">
        <f aca="false">IF(C78="","",IFERROR(INDEX(MASTER!$B$19:$B$109,MATCH(C78,MASTER!$A$19:$A$109,0)),"Asignar fase"))</f>
        <v>Estructuras</v>
      </c>
      <c r="E78" s="9" t="s">
        <v>114</v>
      </c>
      <c r="F78" s="9"/>
      <c r="G78" s="9"/>
      <c r="H78" s="56"/>
      <c r="I78" s="43" t="n">
        <v>46309</v>
      </c>
      <c r="J78" s="43" t="n">
        <v>46310</v>
      </c>
      <c r="K78" s="16" t="n">
        <f aca="false">IF(A78="","",COUNTIF(RESTRICCIONES!$B$5:$B$304,A78))</f>
        <v>0</v>
      </c>
      <c r="L78" s="16" t="n">
        <f aca="false">IF(A78="","",COUNTIFS(RESTRICCIONES!$B$5:$B$304,A78,RESTRICCIONES!$L$5:$L$304,"Pendiente"))</f>
        <v>0</v>
      </c>
      <c r="M78" s="18" t="str">
        <f aca="false">IF(A78="","",IF(L78=0,"LISTA","RESTRINGIDA"))</f>
        <v>LISTA</v>
      </c>
      <c r="N78" s="51" t="str">
        <f aca="false">IF(OR(A78="",H78=""),"",IFERROR(MIN(1,SUMIF(SEMANAL!$C$7:$C$506,A78,SEMANAL!$W$7:$W$506)/H78),0))</f>
        <v/>
      </c>
      <c r="O78" s="57"/>
      <c r="P78" s="57"/>
      <c r="Q78" s="57"/>
      <c r="R78" s="57"/>
      <c r="S78" s="57"/>
      <c r="T78" s="57"/>
      <c r="U78" s="9" t="s">
        <v>17489</v>
      </c>
    </row>
    <row r="79" customFormat="false" ht="15" hidden="false" customHeight="false" outlineLevel="0" collapsed="false">
      <c r="A79" s="9" t="s">
        <v>12048</v>
      </c>
      <c r="B79" s="9" t="s">
        <v>17490</v>
      </c>
      <c r="C79" s="16" t="str">
        <f aca="false">IF(B79="","",IFERROR(INDEX(EDT!$E$5:$E$436,MATCH(B79,EDT!$H$5:$H$436,0)),IFERROR(INDEX(CRONOGRAMA!$G$5:$G$5679,MATCH(A79,CRONOGRAMA!$A$5:$A$5679,0)),"Fuera EDT")))</f>
        <v>04</v>
      </c>
      <c r="D79" s="16" t="str">
        <f aca="false">IF(C79="","",IFERROR(INDEX(MASTER!$B$19:$B$109,MATCH(C79,MASTER!$A$19:$A$109,0)),"Asignar fase"))</f>
        <v>Instalaciones Sanitarias</v>
      </c>
      <c r="E79" s="9" t="s">
        <v>98</v>
      </c>
      <c r="F79" s="9"/>
      <c r="G79" s="9"/>
      <c r="H79" s="56"/>
      <c r="I79" s="43" t="n">
        <v>46309</v>
      </c>
      <c r="J79" s="43" t="n">
        <v>46309</v>
      </c>
      <c r="K79" s="16" t="n">
        <f aca="false">IF(A79="","",COUNTIF(RESTRICCIONES!$B$5:$B$304,A79))</f>
        <v>0</v>
      </c>
      <c r="L79" s="16" t="n">
        <f aca="false">IF(A79="","",COUNTIFS(RESTRICCIONES!$B$5:$B$304,A79,RESTRICCIONES!$L$5:$L$304,"Pendiente"))</f>
        <v>0</v>
      </c>
      <c r="M79" s="18" t="str">
        <f aca="false">IF(A79="","",IF(L79=0,"LISTA","RESTRINGIDA"))</f>
        <v>LISTA</v>
      </c>
      <c r="N79" s="51" t="str">
        <f aca="false">IF(OR(A79="",H79=""),"",IFERROR(MIN(1,SUMIF(SEMANAL!$C$7:$C$506,A79,SEMANAL!$W$7:$W$506)/H79),0))</f>
        <v/>
      </c>
      <c r="O79" s="57"/>
      <c r="P79" s="57"/>
      <c r="Q79" s="57"/>
      <c r="R79" s="57"/>
      <c r="S79" s="57"/>
      <c r="T79" s="57"/>
      <c r="U79" s="9" t="s">
        <v>17491</v>
      </c>
    </row>
    <row r="80" customFormat="false" ht="15" hidden="false" customHeight="false" outlineLevel="0" collapsed="false">
      <c r="A80" s="9" t="s">
        <v>3813</v>
      </c>
      <c r="B80" s="9" t="s">
        <v>17492</v>
      </c>
      <c r="C80" s="16" t="str">
        <f aca="false">IF(B80="","",IFERROR(INDEX(EDT!$E$5:$E$436,MATCH(B80,EDT!$H$5:$H$436,0)),IFERROR(INDEX(CRONOGRAMA!$G$5:$G$5679,MATCH(A80,CRONOGRAMA!$A$5:$A$5679,0)),"Fuera EDT")))</f>
        <v>02</v>
      </c>
      <c r="D80" s="16" t="str">
        <f aca="false">IF(C80="","",IFERROR(INDEX(MASTER!$B$19:$B$109,MATCH(C80,MASTER!$A$19:$A$109,0)),"Asignar fase"))</f>
        <v>Estructuras</v>
      </c>
      <c r="E80" s="9" t="s">
        <v>86</v>
      </c>
      <c r="F80" s="9"/>
      <c r="G80" s="9"/>
      <c r="H80" s="56"/>
      <c r="I80" s="43" t="n">
        <v>46310</v>
      </c>
      <c r="J80" s="43" t="n">
        <v>46311</v>
      </c>
      <c r="K80" s="16" t="n">
        <f aca="false">IF(A80="","",COUNTIF(RESTRICCIONES!$B$5:$B$304,A80))</f>
        <v>0</v>
      </c>
      <c r="L80" s="16" t="n">
        <f aca="false">IF(A80="","",COUNTIFS(RESTRICCIONES!$B$5:$B$304,A80,RESTRICCIONES!$L$5:$L$304,"Pendiente"))</f>
        <v>0</v>
      </c>
      <c r="M80" s="18" t="str">
        <f aca="false">IF(A80="","",IF(L80=0,"LISTA","RESTRINGIDA"))</f>
        <v>LISTA</v>
      </c>
      <c r="N80" s="51" t="str">
        <f aca="false">IF(OR(A80="",H80=""),"",IFERROR(MIN(1,SUMIF(SEMANAL!$C$7:$C$506,A80,SEMANAL!$W$7:$W$506)/H80),0))</f>
        <v/>
      </c>
      <c r="O80" s="57"/>
      <c r="P80" s="57"/>
      <c r="Q80" s="57"/>
      <c r="R80" s="57"/>
      <c r="S80" s="57"/>
      <c r="T80" s="57"/>
      <c r="U80" s="9" t="s">
        <v>17493</v>
      </c>
    </row>
    <row r="81" customFormat="false" ht="15" hidden="false" customHeight="false" outlineLevel="0" collapsed="false">
      <c r="A81" s="9" t="s">
        <v>3870</v>
      </c>
      <c r="B81" s="9" t="s">
        <v>17494</v>
      </c>
      <c r="C81" s="16" t="str">
        <f aca="false">IF(B81="","",IFERROR(INDEX(EDT!$E$5:$E$436,MATCH(B81,EDT!$H$5:$H$436,0)),IFERROR(INDEX(CRONOGRAMA!$G$5:$G$5679,MATCH(A81,CRONOGRAMA!$A$5:$A$5679,0)),"Fuera EDT")))</f>
        <v>02</v>
      </c>
      <c r="D81" s="16" t="str">
        <f aca="false">IF(C81="","",IFERROR(INDEX(MASTER!$B$19:$B$109,MATCH(C81,MASTER!$A$19:$A$109,0)),"Asignar fase"))</f>
        <v>Estructuras</v>
      </c>
      <c r="E81" s="9" t="s">
        <v>86</v>
      </c>
      <c r="F81" s="9"/>
      <c r="G81" s="9"/>
      <c r="H81" s="56"/>
      <c r="I81" s="43" t="n">
        <v>46310</v>
      </c>
      <c r="J81" s="43" t="n">
        <v>46324</v>
      </c>
      <c r="K81" s="16" t="n">
        <f aca="false">IF(A81="","",COUNTIF(RESTRICCIONES!$B$5:$B$304,A81))</f>
        <v>0</v>
      </c>
      <c r="L81" s="16" t="n">
        <f aca="false">IF(A81="","",COUNTIFS(RESTRICCIONES!$B$5:$B$304,A81,RESTRICCIONES!$L$5:$L$304,"Pendiente"))</f>
        <v>0</v>
      </c>
      <c r="M81" s="18" t="str">
        <f aca="false">IF(A81="","",IF(L81=0,"LISTA","RESTRINGIDA"))</f>
        <v>LISTA</v>
      </c>
      <c r="N81" s="51" t="str">
        <f aca="false">IF(OR(A81="",H81=""),"",IFERROR(MIN(1,SUMIF(SEMANAL!$C$7:$C$506,A81,SEMANAL!$W$7:$W$506)/H81),0))</f>
        <v/>
      </c>
      <c r="O81" s="57"/>
      <c r="P81" s="57"/>
      <c r="Q81" s="57"/>
      <c r="R81" s="57"/>
      <c r="S81" s="57"/>
      <c r="T81" s="57"/>
      <c r="U81" s="9" t="s">
        <v>17495</v>
      </c>
    </row>
    <row r="82" customFormat="false" ht="15" hidden="false" customHeight="false" outlineLevel="0" collapsed="false">
      <c r="A82" s="9" t="s">
        <v>3900</v>
      </c>
      <c r="B82" s="9" t="s">
        <v>17496</v>
      </c>
      <c r="C82" s="16" t="str">
        <f aca="false">IF(B82="","",IFERROR(INDEX(EDT!$E$5:$E$436,MATCH(B82,EDT!$H$5:$H$436,0)),IFERROR(INDEX(CRONOGRAMA!$G$5:$G$5679,MATCH(A82,CRONOGRAMA!$A$5:$A$5679,0)),"Fuera EDT")))</f>
        <v>02</v>
      </c>
      <c r="D82" s="16" t="str">
        <f aca="false">IF(C82="","",IFERROR(INDEX(MASTER!$B$19:$B$109,MATCH(C82,MASTER!$A$19:$A$109,0)),"Asignar fase"))</f>
        <v>Estructuras</v>
      </c>
      <c r="E82" s="9" t="s">
        <v>86</v>
      </c>
      <c r="F82" s="9"/>
      <c r="G82" s="9"/>
      <c r="H82" s="56"/>
      <c r="I82" s="43" t="n">
        <v>46310</v>
      </c>
      <c r="J82" s="43" t="n">
        <v>46339</v>
      </c>
      <c r="K82" s="16" t="n">
        <f aca="false">IF(A82="","",COUNTIF(RESTRICCIONES!$B$5:$B$304,A82))</f>
        <v>0</v>
      </c>
      <c r="L82" s="16" t="n">
        <f aca="false">IF(A82="","",COUNTIFS(RESTRICCIONES!$B$5:$B$304,A82,RESTRICCIONES!$L$5:$L$304,"Pendiente"))</f>
        <v>0</v>
      </c>
      <c r="M82" s="18" t="str">
        <f aca="false">IF(A82="","",IF(L82=0,"LISTA","RESTRINGIDA"))</f>
        <v>LISTA</v>
      </c>
      <c r="N82" s="51" t="str">
        <f aca="false">IF(OR(A82="",H82=""),"",IFERROR(MIN(1,SUMIF(SEMANAL!$C$7:$C$506,A82,SEMANAL!$W$7:$W$506)/H82),0))</f>
        <v/>
      </c>
      <c r="O82" s="57"/>
      <c r="P82" s="57"/>
      <c r="Q82" s="57"/>
      <c r="R82" s="57"/>
      <c r="S82" s="57"/>
      <c r="T82" s="57"/>
      <c r="U82" s="9" t="s">
        <v>17497</v>
      </c>
    </row>
    <row r="83" customFormat="false" ht="15" hidden="false" customHeight="false" outlineLevel="0" collapsed="false">
      <c r="A83" s="9" t="s">
        <v>3960</v>
      </c>
      <c r="B83" s="9" t="s">
        <v>17498</v>
      </c>
      <c r="C83" s="16" t="str">
        <f aca="false">IF(B83="","",IFERROR(INDEX(EDT!$E$5:$E$436,MATCH(B83,EDT!$H$5:$H$436,0)),IFERROR(INDEX(CRONOGRAMA!$G$5:$G$5679,MATCH(A83,CRONOGRAMA!$A$5:$A$5679,0)),"Fuera EDT")))</f>
        <v>02</v>
      </c>
      <c r="D83" s="16" t="str">
        <f aca="false">IF(C83="","",IFERROR(INDEX(MASTER!$B$19:$B$109,MATCH(C83,MASTER!$A$19:$A$109,0)),"Asignar fase"))</f>
        <v>Estructuras</v>
      </c>
      <c r="E83" s="9" t="s">
        <v>86</v>
      </c>
      <c r="F83" s="9"/>
      <c r="G83" s="9"/>
      <c r="H83" s="56"/>
      <c r="I83" s="43" t="n">
        <v>46310</v>
      </c>
      <c r="J83" s="43" t="n">
        <v>46311</v>
      </c>
      <c r="K83" s="16" t="n">
        <f aca="false">IF(A83="","",COUNTIF(RESTRICCIONES!$B$5:$B$304,A83))</f>
        <v>0</v>
      </c>
      <c r="L83" s="16" t="n">
        <f aca="false">IF(A83="","",COUNTIFS(RESTRICCIONES!$B$5:$B$304,A83,RESTRICCIONES!$L$5:$L$304,"Pendiente"))</f>
        <v>0</v>
      </c>
      <c r="M83" s="18" t="str">
        <f aca="false">IF(A83="","",IF(L83=0,"LISTA","RESTRINGIDA"))</f>
        <v>LISTA</v>
      </c>
      <c r="N83" s="51" t="str">
        <f aca="false">IF(OR(A83="",H83=""),"",IFERROR(MIN(1,SUMIF(SEMANAL!$C$7:$C$506,A83,SEMANAL!$W$7:$W$506)/H83),0))</f>
        <v/>
      </c>
      <c r="O83" s="57"/>
      <c r="P83" s="57"/>
      <c r="Q83" s="57"/>
      <c r="R83" s="57"/>
      <c r="S83" s="57"/>
      <c r="T83" s="57"/>
      <c r="U83" s="9" t="s">
        <v>17499</v>
      </c>
    </row>
    <row r="84" customFormat="false" ht="15" hidden="false" customHeight="false" outlineLevel="0" collapsed="false">
      <c r="A84" s="9" t="s">
        <v>3970</v>
      </c>
      <c r="B84" s="9" t="s">
        <v>17500</v>
      </c>
      <c r="C84" s="16" t="str">
        <f aca="false">IF(B84="","",IFERROR(INDEX(EDT!$E$5:$E$436,MATCH(B84,EDT!$H$5:$H$436,0)),IFERROR(INDEX(CRONOGRAMA!$G$5:$G$5679,MATCH(A84,CRONOGRAMA!$A$5:$A$5679,0)),"Fuera EDT")))</f>
        <v>02</v>
      </c>
      <c r="D84" s="16" t="str">
        <f aca="false">IF(C84="","",IFERROR(INDEX(MASTER!$B$19:$B$109,MATCH(C84,MASTER!$A$19:$A$109,0)),"Asignar fase"))</f>
        <v>Estructuras</v>
      </c>
      <c r="E84" s="9" t="s">
        <v>86</v>
      </c>
      <c r="F84" s="9"/>
      <c r="G84" s="9"/>
      <c r="H84" s="56"/>
      <c r="I84" s="43" t="n">
        <v>46310</v>
      </c>
      <c r="J84" s="43" t="n">
        <v>46310</v>
      </c>
      <c r="K84" s="16" t="n">
        <f aca="false">IF(A84="","",COUNTIF(RESTRICCIONES!$B$5:$B$304,A84))</f>
        <v>0</v>
      </c>
      <c r="L84" s="16" t="n">
        <f aca="false">IF(A84="","",COUNTIFS(RESTRICCIONES!$B$5:$B$304,A84,RESTRICCIONES!$L$5:$L$304,"Pendiente"))</f>
        <v>0</v>
      </c>
      <c r="M84" s="18" t="str">
        <f aca="false">IF(A84="","",IF(L84=0,"LISTA","RESTRINGIDA"))</f>
        <v>LISTA</v>
      </c>
      <c r="N84" s="51" t="str">
        <f aca="false">IF(OR(A84="",H84=""),"",IFERROR(MIN(1,SUMIF(SEMANAL!$C$7:$C$506,A84,SEMANAL!$W$7:$W$506)/H84),0))</f>
        <v/>
      </c>
      <c r="O84" s="57"/>
      <c r="P84" s="57"/>
      <c r="Q84" s="57"/>
      <c r="R84" s="57"/>
      <c r="S84" s="57"/>
      <c r="T84" s="57"/>
      <c r="U84" s="9" t="s">
        <v>17501</v>
      </c>
    </row>
    <row r="85" customFormat="false" ht="15" hidden="false" customHeight="false" outlineLevel="0" collapsed="false">
      <c r="A85" s="9" t="s">
        <v>3987</v>
      </c>
      <c r="B85" s="9" t="s">
        <v>17502</v>
      </c>
      <c r="C85" s="16" t="str">
        <f aca="false">IF(B85="","",IFERROR(INDEX(EDT!$E$5:$E$436,MATCH(B85,EDT!$H$5:$H$436,0)),IFERROR(INDEX(CRONOGRAMA!$G$5:$G$5679,MATCH(A85,CRONOGRAMA!$A$5:$A$5679,0)),"Fuera EDT")))</f>
        <v>02</v>
      </c>
      <c r="D85" s="16" t="str">
        <f aca="false">IF(C85="","",IFERROR(INDEX(MASTER!$B$19:$B$109,MATCH(C85,MASTER!$A$19:$A$109,0)),"Asignar fase"))</f>
        <v>Estructuras</v>
      </c>
      <c r="E85" s="9" t="s">
        <v>86</v>
      </c>
      <c r="F85" s="9"/>
      <c r="G85" s="9"/>
      <c r="H85" s="56"/>
      <c r="I85" s="43" t="n">
        <v>46310</v>
      </c>
      <c r="J85" s="43" t="n">
        <v>46311</v>
      </c>
      <c r="K85" s="16" t="n">
        <f aca="false">IF(A85="","",COUNTIF(RESTRICCIONES!$B$5:$B$304,A85))</f>
        <v>0</v>
      </c>
      <c r="L85" s="16" t="n">
        <f aca="false">IF(A85="","",COUNTIFS(RESTRICCIONES!$B$5:$B$304,A85,RESTRICCIONES!$L$5:$L$304,"Pendiente"))</f>
        <v>0</v>
      </c>
      <c r="M85" s="18" t="str">
        <f aca="false">IF(A85="","",IF(L85=0,"LISTA","RESTRINGIDA"))</f>
        <v>LISTA</v>
      </c>
      <c r="N85" s="51" t="str">
        <f aca="false">IF(OR(A85="",H85=""),"",IFERROR(MIN(1,SUMIF(SEMANAL!$C$7:$C$506,A85,SEMANAL!$W$7:$W$506)/H85),0))</f>
        <v/>
      </c>
      <c r="O85" s="57"/>
      <c r="P85" s="57"/>
      <c r="Q85" s="57"/>
      <c r="R85" s="57"/>
      <c r="S85" s="57"/>
      <c r="T85" s="57"/>
      <c r="U85" s="9" t="s">
        <v>17503</v>
      </c>
    </row>
    <row r="86" customFormat="false" ht="15" hidden="false" customHeight="false" outlineLevel="0" collapsed="false">
      <c r="A86" s="9" t="s">
        <v>4000</v>
      </c>
      <c r="B86" s="9" t="s">
        <v>17504</v>
      </c>
      <c r="C86" s="16" t="str">
        <f aca="false">IF(B86="","",IFERROR(INDEX(EDT!$E$5:$E$436,MATCH(B86,EDT!$H$5:$H$436,0)),IFERROR(INDEX(CRONOGRAMA!$G$5:$G$5679,MATCH(A86,CRONOGRAMA!$A$5:$A$5679,0)),"Fuera EDT")))</f>
        <v>02</v>
      </c>
      <c r="D86" s="16" t="str">
        <f aca="false">IF(C86="","",IFERROR(INDEX(MASTER!$B$19:$B$109,MATCH(C86,MASTER!$A$19:$A$109,0)),"Asignar fase"))</f>
        <v>Estructuras</v>
      </c>
      <c r="E86" s="9" t="s">
        <v>86</v>
      </c>
      <c r="F86" s="9"/>
      <c r="G86" s="9"/>
      <c r="H86" s="56"/>
      <c r="I86" s="43" t="n">
        <v>46310</v>
      </c>
      <c r="J86" s="43" t="n">
        <v>46318</v>
      </c>
      <c r="K86" s="16" t="n">
        <f aca="false">IF(A86="","",COUNTIF(RESTRICCIONES!$B$5:$B$304,A86))</f>
        <v>0</v>
      </c>
      <c r="L86" s="16" t="n">
        <f aca="false">IF(A86="","",COUNTIFS(RESTRICCIONES!$B$5:$B$304,A86,RESTRICCIONES!$L$5:$L$304,"Pendiente"))</f>
        <v>0</v>
      </c>
      <c r="M86" s="18" t="str">
        <f aca="false">IF(A86="","",IF(L86=0,"LISTA","RESTRINGIDA"))</f>
        <v>LISTA</v>
      </c>
      <c r="N86" s="51" t="str">
        <f aca="false">IF(OR(A86="",H86=""),"",IFERROR(MIN(1,SUMIF(SEMANAL!$C$7:$C$506,A86,SEMANAL!$W$7:$W$506)/H86),0))</f>
        <v/>
      </c>
      <c r="O86" s="57"/>
      <c r="P86" s="57"/>
      <c r="Q86" s="57"/>
      <c r="R86" s="57"/>
      <c r="S86" s="57"/>
      <c r="T86" s="57"/>
      <c r="U86" s="9" t="s">
        <v>17505</v>
      </c>
    </row>
    <row r="87" customFormat="false" ht="15" hidden="false" customHeight="false" outlineLevel="0" collapsed="false">
      <c r="A87" s="9" t="s">
        <v>5952</v>
      </c>
      <c r="B87" s="9" t="s">
        <v>17506</v>
      </c>
      <c r="C87" s="16" t="str">
        <f aca="false">IF(B87="","",IFERROR(INDEX(EDT!$E$5:$E$436,MATCH(B87,EDT!$H$5:$H$436,0)),IFERROR(INDEX(CRONOGRAMA!$G$5:$G$5679,MATCH(A87,CRONOGRAMA!$A$5:$A$5679,0)),"Fuera EDT")))</f>
        <v>02</v>
      </c>
      <c r="D87" s="16" t="str">
        <f aca="false">IF(C87="","",IFERROR(INDEX(MASTER!$B$19:$B$109,MATCH(C87,MASTER!$A$19:$A$109,0)),"Asignar fase"))</f>
        <v>Estructuras</v>
      </c>
      <c r="E87" s="9" t="s">
        <v>121</v>
      </c>
      <c r="F87" s="9"/>
      <c r="G87" s="9"/>
      <c r="H87" s="56"/>
      <c r="I87" s="43" t="n">
        <v>46310</v>
      </c>
      <c r="J87" s="43" t="n">
        <v>46310</v>
      </c>
      <c r="K87" s="16" t="n">
        <f aca="false">IF(A87="","",COUNTIF(RESTRICCIONES!$B$5:$B$304,A87))</f>
        <v>0</v>
      </c>
      <c r="L87" s="16" t="n">
        <f aca="false">IF(A87="","",COUNTIFS(RESTRICCIONES!$B$5:$B$304,A87,RESTRICCIONES!$L$5:$L$304,"Pendiente"))</f>
        <v>0</v>
      </c>
      <c r="M87" s="18" t="str">
        <f aca="false">IF(A87="","",IF(L87=0,"LISTA","RESTRINGIDA"))</f>
        <v>LISTA</v>
      </c>
      <c r="N87" s="51" t="str">
        <f aca="false">IF(OR(A87="",H87=""),"",IFERROR(MIN(1,SUMIF(SEMANAL!$C$7:$C$506,A87,SEMANAL!$W$7:$W$506)/H87),0))</f>
        <v/>
      </c>
      <c r="O87" s="57"/>
      <c r="P87" s="57"/>
      <c r="Q87" s="57"/>
      <c r="R87" s="57"/>
      <c r="S87" s="57"/>
      <c r="T87" s="57"/>
      <c r="U87" s="9" t="s">
        <v>17507</v>
      </c>
    </row>
    <row r="88" customFormat="false" ht="15" hidden="false" customHeight="false" outlineLevel="0" collapsed="false">
      <c r="A88" s="9" t="s">
        <v>12051</v>
      </c>
      <c r="B88" s="9" t="s">
        <v>17508</v>
      </c>
      <c r="C88" s="16" t="str">
        <f aca="false">IF(B88="","",IFERROR(INDEX(EDT!$E$5:$E$436,MATCH(B88,EDT!$H$5:$H$436,0)),IFERROR(INDEX(CRONOGRAMA!$G$5:$G$5679,MATCH(A88,CRONOGRAMA!$A$5:$A$5679,0)),"Fuera EDT")))</f>
        <v>04</v>
      </c>
      <c r="D88" s="16" t="str">
        <f aca="false">IF(C88="","",IFERROR(INDEX(MASTER!$B$19:$B$109,MATCH(C88,MASTER!$A$19:$A$109,0)),"Asignar fase"))</f>
        <v>Instalaciones Sanitarias</v>
      </c>
      <c r="E88" s="9" t="s">
        <v>98</v>
      </c>
      <c r="F88" s="9"/>
      <c r="G88" s="9"/>
      <c r="H88" s="56"/>
      <c r="I88" s="43" t="n">
        <v>46310</v>
      </c>
      <c r="J88" s="43" t="n">
        <v>46310</v>
      </c>
      <c r="K88" s="16" t="n">
        <f aca="false">IF(A88="","",COUNTIF(RESTRICCIONES!$B$5:$B$304,A88))</f>
        <v>0</v>
      </c>
      <c r="L88" s="16" t="n">
        <f aca="false">IF(A88="","",COUNTIFS(RESTRICCIONES!$B$5:$B$304,A88,RESTRICCIONES!$L$5:$L$304,"Pendiente"))</f>
        <v>0</v>
      </c>
      <c r="M88" s="18" t="str">
        <f aca="false">IF(A88="","",IF(L88=0,"LISTA","RESTRINGIDA"))</f>
        <v>LISTA</v>
      </c>
      <c r="N88" s="51" t="str">
        <f aca="false">IF(OR(A88="",H88=""),"",IFERROR(MIN(1,SUMIF(SEMANAL!$C$7:$C$506,A88,SEMANAL!$W$7:$W$506)/H88),0))</f>
        <v/>
      </c>
      <c r="O88" s="57"/>
      <c r="P88" s="57"/>
      <c r="Q88" s="57"/>
      <c r="R88" s="57"/>
      <c r="S88" s="57"/>
      <c r="T88" s="57"/>
      <c r="U88" s="9" t="s">
        <v>17509</v>
      </c>
    </row>
    <row r="89" customFormat="false" ht="15" hidden="false" customHeight="false" outlineLevel="0" collapsed="false">
      <c r="A89" s="9" t="s">
        <v>3979</v>
      </c>
      <c r="B89" s="9" t="s">
        <v>17510</v>
      </c>
      <c r="C89" s="16" t="str">
        <f aca="false">IF(B89="","",IFERROR(INDEX(EDT!$E$5:$E$436,MATCH(B89,EDT!$H$5:$H$436,0)),IFERROR(INDEX(CRONOGRAMA!$G$5:$G$5679,MATCH(A89,CRONOGRAMA!$A$5:$A$5679,0)),"Fuera EDT")))</f>
        <v>02</v>
      </c>
      <c r="D89" s="16" t="str">
        <f aca="false">IF(C89="","",IFERROR(INDEX(MASTER!$B$19:$B$109,MATCH(C89,MASTER!$A$19:$A$109,0)),"Asignar fase"))</f>
        <v>Estructuras</v>
      </c>
      <c r="E89" s="9" t="s">
        <v>86</v>
      </c>
      <c r="F89" s="9"/>
      <c r="G89" s="9"/>
      <c r="H89" s="56"/>
      <c r="I89" s="43" t="n">
        <v>46311</v>
      </c>
      <c r="J89" s="43" t="n">
        <v>46311</v>
      </c>
      <c r="K89" s="16" t="n">
        <f aca="false">IF(A89="","",COUNTIF(RESTRICCIONES!$B$5:$B$304,A89))</f>
        <v>0</v>
      </c>
      <c r="L89" s="16" t="n">
        <f aca="false">IF(A89="","",COUNTIFS(RESTRICCIONES!$B$5:$B$304,A89,RESTRICCIONES!$L$5:$L$304,"Pendiente"))</f>
        <v>0</v>
      </c>
      <c r="M89" s="18" t="str">
        <f aca="false">IF(A89="","",IF(L89=0,"LISTA","RESTRINGIDA"))</f>
        <v>LISTA</v>
      </c>
      <c r="N89" s="51" t="str">
        <f aca="false">IF(OR(A89="",H89=""),"",IFERROR(MIN(1,SUMIF(SEMANAL!$C$7:$C$506,A89,SEMANAL!$W$7:$W$506)/H89),0))</f>
        <v/>
      </c>
      <c r="O89" s="57"/>
      <c r="P89" s="57"/>
      <c r="Q89" s="57"/>
      <c r="R89" s="57"/>
      <c r="S89" s="57"/>
      <c r="T89" s="57"/>
      <c r="U89" s="9" t="s">
        <v>17511</v>
      </c>
    </row>
    <row r="90" customFormat="false" ht="15" hidden="false" customHeight="false" outlineLevel="0" collapsed="false">
      <c r="A90" s="9" t="s">
        <v>4158</v>
      </c>
      <c r="B90" s="9" t="s">
        <v>17512</v>
      </c>
      <c r="C90" s="16" t="str">
        <f aca="false">IF(B90="","",IFERROR(INDEX(EDT!$E$5:$E$436,MATCH(B90,EDT!$H$5:$H$436,0)),IFERROR(INDEX(CRONOGRAMA!$G$5:$G$5679,MATCH(A90,CRONOGRAMA!$A$5:$A$5679,0)),"Fuera EDT")))</f>
        <v>02</v>
      </c>
      <c r="D90" s="16" t="str">
        <f aca="false">IF(C90="","",IFERROR(INDEX(MASTER!$B$19:$B$109,MATCH(C90,MASTER!$A$19:$A$109,0)),"Asignar fase"))</f>
        <v>Estructuras</v>
      </c>
      <c r="E90" s="9" t="s">
        <v>92</v>
      </c>
      <c r="F90" s="9"/>
      <c r="G90" s="9"/>
      <c r="H90" s="56"/>
      <c r="I90" s="43" t="n">
        <v>46311</v>
      </c>
      <c r="J90" s="43" t="n">
        <v>46427</v>
      </c>
      <c r="K90" s="16" t="n">
        <f aca="false">IF(A90="","",COUNTIF(RESTRICCIONES!$B$5:$B$304,A90))</f>
        <v>0</v>
      </c>
      <c r="L90" s="16" t="n">
        <f aca="false">IF(A90="","",COUNTIFS(RESTRICCIONES!$B$5:$B$304,A90,RESTRICCIONES!$L$5:$L$304,"Pendiente"))</f>
        <v>0</v>
      </c>
      <c r="M90" s="18" t="str">
        <f aca="false">IF(A90="","",IF(L90=0,"LISTA","RESTRINGIDA"))</f>
        <v>LISTA</v>
      </c>
      <c r="N90" s="51" t="str">
        <f aca="false">IF(OR(A90="",H90=""),"",IFERROR(MIN(1,SUMIF(SEMANAL!$C$7:$C$506,A90,SEMANAL!$W$7:$W$506)/H90),0))</f>
        <v/>
      </c>
      <c r="O90" s="57"/>
      <c r="P90" s="57"/>
      <c r="Q90" s="57"/>
      <c r="R90" s="57"/>
      <c r="S90" s="57"/>
      <c r="T90" s="57"/>
      <c r="U90" s="9" t="s">
        <v>17513</v>
      </c>
    </row>
    <row r="91" customFormat="false" ht="15" hidden="false" customHeight="false" outlineLevel="0" collapsed="false">
      <c r="A91" s="9" t="s">
        <v>5546</v>
      </c>
      <c r="B91" s="9" t="s">
        <v>17514</v>
      </c>
      <c r="C91" s="16" t="str">
        <f aca="false">IF(B91="","",IFERROR(INDEX(EDT!$E$5:$E$436,MATCH(B91,EDT!$H$5:$H$436,0)),IFERROR(INDEX(CRONOGRAMA!$G$5:$G$5679,MATCH(A91,CRONOGRAMA!$A$5:$A$5679,0)),"Fuera EDT")))</f>
        <v>02</v>
      </c>
      <c r="D91" s="16" t="str">
        <f aca="false">IF(C91="","",IFERROR(INDEX(MASTER!$B$19:$B$109,MATCH(C91,MASTER!$A$19:$A$109,0)),"Asignar fase"))</f>
        <v>Estructuras</v>
      </c>
      <c r="E91" s="9" t="s">
        <v>114</v>
      </c>
      <c r="F91" s="9"/>
      <c r="G91" s="9"/>
      <c r="H91" s="56"/>
      <c r="I91" s="43" t="n">
        <v>46311</v>
      </c>
      <c r="J91" s="43" t="n">
        <v>46312</v>
      </c>
      <c r="K91" s="16" t="n">
        <f aca="false">IF(A91="","",COUNTIF(RESTRICCIONES!$B$5:$B$304,A91))</f>
        <v>0</v>
      </c>
      <c r="L91" s="16" t="n">
        <f aca="false">IF(A91="","",COUNTIFS(RESTRICCIONES!$B$5:$B$304,A91,RESTRICCIONES!$L$5:$L$304,"Pendiente"))</f>
        <v>0</v>
      </c>
      <c r="M91" s="18" t="str">
        <f aca="false">IF(A91="","",IF(L91=0,"LISTA","RESTRINGIDA"))</f>
        <v>LISTA</v>
      </c>
      <c r="N91" s="51" t="str">
        <f aca="false">IF(OR(A91="",H91=""),"",IFERROR(MIN(1,SUMIF(SEMANAL!$C$7:$C$506,A91,SEMANAL!$W$7:$W$506)/H91),0))</f>
        <v/>
      </c>
      <c r="O91" s="57"/>
      <c r="P91" s="57"/>
      <c r="Q91" s="57"/>
      <c r="R91" s="57"/>
      <c r="S91" s="57"/>
      <c r="T91" s="57"/>
      <c r="U91" s="9" t="s">
        <v>17515</v>
      </c>
    </row>
    <row r="92" customFormat="false" ht="15" hidden="false" customHeight="false" outlineLevel="0" collapsed="false">
      <c r="A92" s="9" t="s">
        <v>5914</v>
      </c>
      <c r="B92" s="9" t="s">
        <v>17516</v>
      </c>
      <c r="C92" s="16" t="str">
        <f aca="false">IF(B92="","",IFERROR(INDEX(EDT!$E$5:$E$436,MATCH(B92,EDT!$H$5:$H$436,0)),IFERROR(INDEX(CRONOGRAMA!$G$5:$G$5679,MATCH(A92,CRONOGRAMA!$A$5:$A$5679,0)),"Fuera EDT")))</f>
        <v>02</v>
      </c>
      <c r="D92" s="16" t="str">
        <f aca="false">IF(C92="","",IFERROR(INDEX(MASTER!$B$19:$B$109,MATCH(C92,MASTER!$A$19:$A$109,0)),"Asignar fase"))</f>
        <v>Estructuras</v>
      </c>
      <c r="E92" s="9" t="s">
        <v>121</v>
      </c>
      <c r="F92" s="9"/>
      <c r="G92" s="9"/>
      <c r="H92" s="56"/>
      <c r="I92" s="43" t="n">
        <v>46311</v>
      </c>
      <c r="J92" s="43" t="n">
        <v>46311</v>
      </c>
      <c r="K92" s="16" t="n">
        <f aca="false">IF(A92="","",COUNTIF(RESTRICCIONES!$B$5:$B$304,A92))</f>
        <v>0</v>
      </c>
      <c r="L92" s="16" t="n">
        <f aca="false">IF(A92="","",COUNTIFS(RESTRICCIONES!$B$5:$B$304,A92,RESTRICCIONES!$L$5:$L$304,"Pendiente"))</f>
        <v>0</v>
      </c>
      <c r="M92" s="18" t="str">
        <f aca="false">IF(A92="","",IF(L92=0,"LISTA","RESTRINGIDA"))</f>
        <v>LISTA</v>
      </c>
      <c r="N92" s="51" t="str">
        <f aca="false">IF(OR(A92="",H92=""),"",IFERROR(MIN(1,SUMIF(SEMANAL!$C$7:$C$506,A92,SEMANAL!$W$7:$W$506)/H92),0))</f>
        <v/>
      </c>
      <c r="O92" s="57"/>
      <c r="P92" s="57"/>
      <c r="Q92" s="57"/>
      <c r="R92" s="57"/>
      <c r="S92" s="57"/>
      <c r="T92" s="57"/>
      <c r="U92" s="9" t="s">
        <v>17517</v>
      </c>
    </row>
    <row r="93" customFormat="false" ht="15" hidden="false" customHeight="false" outlineLevel="0" collapsed="false">
      <c r="A93" s="9" t="s">
        <v>5949</v>
      </c>
      <c r="B93" s="9" t="s">
        <v>17518</v>
      </c>
      <c r="C93" s="16" t="str">
        <f aca="false">IF(B93="","",IFERROR(INDEX(EDT!$E$5:$E$436,MATCH(B93,EDT!$H$5:$H$436,0)),IFERROR(INDEX(CRONOGRAMA!$G$5:$G$5679,MATCH(A93,CRONOGRAMA!$A$5:$A$5679,0)),"Fuera EDT")))</f>
        <v>02</v>
      </c>
      <c r="D93" s="16" t="str">
        <f aca="false">IF(C93="","",IFERROR(INDEX(MASTER!$B$19:$B$109,MATCH(C93,MASTER!$A$19:$A$109,0)),"Asignar fase"))</f>
        <v>Estructuras</v>
      </c>
      <c r="E93" s="9" t="s">
        <v>121</v>
      </c>
      <c r="F93" s="9"/>
      <c r="G93" s="9"/>
      <c r="H93" s="56"/>
      <c r="I93" s="43" t="n">
        <v>46311</v>
      </c>
      <c r="J93" s="43" t="n">
        <v>46311</v>
      </c>
      <c r="K93" s="16" t="n">
        <f aca="false">IF(A93="","",COUNTIF(RESTRICCIONES!$B$5:$B$304,A93))</f>
        <v>0</v>
      </c>
      <c r="L93" s="16" t="n">
        <f aca="false">IF(A93="","",COUNTIFS(RESTRICCIONES!$B$5:$B$304,A93,RESTRICCIONES!$L$5:$L$304,"Pendiente"))</f>
        <v>0</v>
      </c>
      <c r="M93" s="18" t="str">
        <f aca="false">IF(A93="","",IF(L93=0,"LISTA","RESTRINGIDA"))</f>
        <v>LISTA</v>
      </c>
      <c r="N93" s="51" t="str">
        <f aca="false">IF(OR(A93="",H93=""),"",IFERROR(MIN(1,SUMIF(SEMANAL!$C$7:$C$506,A93,SEMANAL!$W$7:$W$506)/H93),0))</f>
        <v/>
      </c>
      <c r="O93" s="57"/>
      <c r="P93" s="57"/>
      <c r="Q93" s="57"/>
      <c r="R93" s="57"/>
      <c r="S93" s="57"/>
      <c r="T93" s="57"/>
      <c r="U93" s="9" t="s">
        <v>17519</v>
      </c>
    </row>
    <row r="94" customFormat="false" ht="15" hidden="false" customHeight="false" outlineLevel="0" collapsed="false">
      <c r="A94" s="9" t="s">
        <v>7834</v>
      </c>
      <c r="B94" s="9" t="s">
        <v>17520</v>
      </c>
      <c r="C94" s="16" t="str">
        <f aca="false">IF(B94="","",IFERROR(INDEX(EDT!$E$5:$E$436,MATCH(B94,EDT!$H$5:$H$436,0)),IFERROR(INDEX(CRONOGRAMA!$G$5:$G$5679,MATCH(A94,CRONOGRAMA!$A$5:$A$5679,0)),"Fuera EDT")))</f>
        <v>03</v>
      </c>
      <c r="D94" s="16" t="str">
        <f aca="false">IF(C94="","",IFERROR(INDEX(MASTER!$B$19:$B$109,MATCH(C94,MASTER!$A$19:$A$109,0)),"Asignar fase"))</f>
        <v>Arquitectura</v>
      </c>
      <c r="E94" s="9" t="s">
        <v>74</v>
      </c>
      <c r="F94" s="9"/>
      <c r="G94" s="9"/>
      <c r="H94" s="56"/>
      <c r="I94" s="43" t="n">
        <v>46311</v>
      </c>
      <c r="J94" s="43" t="n">
        <v>46328</v>
      </c>
      <c r="K94" s="16" t="n">
        <f aca="false">IF(A94="","",COUNTIF(RESTRICCIONES!$B$5:$B$304,A94))</f>
        <v>0</v>
      </c>
      <c r="L94" s="16" t="n">
        <f aca="false">IF(A94="","",COUNTIFS(RESTRICCIONES!$B$5:$B$304,A94,RESTRICCIONES!$L$5:$L$304,"Pendiente"))</f>
        <v>0</v>
      </c>
      <c r="M94" s="18" t="str">
        <f aca="false">IF(A94="","",IF(L94=0,"LISTA","RESTRINGIDA"))</f>
        <v>LISTA</v>
      </c>
      <c r="N94" s="51" t="str">
        <f aca="false">IF(OR(A94="",H94=""),"",IFERROR(MIN(1,SUMIF(SEMANAL!$C$7:$C$506,A94,SEMANAL!$W$7:$W$506)/H94),0))</f>
        <v/>
      </c>
      <c r="O94" s="57"/>
      <c r="P94" s="57"/>
      <c r="Q94" s="57"/>
      <c r="R94" s="57"/>
      <c r="S94" s="57"/>
      <c r="T94" s="57"/>
      <c r="U94" s="9" t="s">
        <v>17521</v>
      </c>
    </row>
    <row r="95" customFormat="false" ht="15" hidden="false" customHeight="false" outlineLevel="0" collapsed="false">
      <c r="A95" s="9" t="s">
        <v>7837</v>
      </c>
      <c r="B95" s="9" t="s">
        <v>17522</v>
      </c>
      <c r="C95" s="16" t="str">
        <f aca="false">IF(B95="","",IFERROR(INDEX(EDT!$E$5:$E$436,MATCH(B95,EDT!$H$5:$H$436,0)),IFERROR(INDEX(CRONOGRAMA!$G$5:$G$5679,MATCH(A95,CRONOGRAMA!$A$5:$A$5679,0)),"Fuera EDT")))</f>
        <v>03</v>
      </c>
      <c r="D95" s="16" t="str">
        <f aca="false">IF(C95="","",IFERROR(INDEX(MASTER!$B$19:$B$109,MATCH(C95,MASTER!$A$19:$A$109,0)),"Asignar fase"))</f>
        <v>Arquitectura</v>
      </c>
      <c r="E95" s="9" t="s">
        <v>74</v>
      </c>
      <c r="F95" s="9"/>
      <c r="G95" s="9"/>
      <c r="H95" s="56"/>
      <c r="I95" s="43" t="n">
        <v>46311</v>
      </c>
      <c r="J95" s="43" t="n">
        <v>46365</v>
      </c>
      <c r="K95" s="16" t="n">
        <f aca="false">IF(A95="","",COUNTIF(RESTRICCIONES!$B$5:$B$304,A95))</f>
        <v>0</v>
      </c>
      <c r="L95" s="16" t="n">
        <f aca="false">IF(A95="","",COUNTIFS(RESTRICCIONES!$B$5:$B$304,A95,RESTRICCIONES!$L$5:$L$304,"Pendiente"))</f>
        <v>0</v>
      </c>
      <c r="M95" s="18" t="str">
        <f aca="false">IF(A95="","",IF(L95=0,"LISTA","RESTRINGIDA"))</f>
        <v>LISTA</v>
      </c>
      <c r="N95" s="51" t="str">
        <f aca="false">IF(OR(A95="",H95=""),"",IFERROR(MIN(1,SUMIF(SEMANAL!$C$7:$C$506,A95,SEMANAL!$W$7:$W$506)/H95),0))</f>
        <v/>
      </c>
      <c r="O95" s="57"/>
      <c r="P95" s="57"/>
      <c r="Q95" s="57"/>
      <c r="R95" s="57"/>
      <c r="S95" s="57"/>
      <c r="T95" s="57"/>
      <c r="U95" s="9" t="s">
        <v>17523</v>
      </c>
    </row>
    <row r="96" customFormat="false" ht="15" hidden="false" customHeight="false" outlineLevel="0" collapsed="false">
      <c r="A96" s="9" t="s">
        <v>7840</v>
      </c>
      <c r="B96" s="9" t="s">
        <v>17524</v>
      </c>
      <c r="C96" s="16" t="str">
        <f aca="false">IF(B96="","",IFERROR(INDEX(EDT!$E$5:$E$436,MATCH(B96,EDT!$H$5:$H$436,0)),IFERROR(INDEX(CRONOGRAMA!$G$5:$G$5679,MATCH(A96,CRONOGRAMA!$A$5:$A$5679,0)),"Fuera EDT")))</f>
        <v>03</v>
      </c>
      <c r="D96" s="16" t="str">
        <f aca="false">IF(C96="","",IFERROR(INDEX(MASTER!$B$19:$B$109,MATCH(C96,MASTER!$A$19:$A$109,0)),"Asignar fase"))</f>
        <v>Arquitectura</v>
      </c>
      <c r="E96" s="9" t="s">
        <v>74</v>
      </c>
      <c r="F96" s="9"/>
      <c r="G96" s="9"/>
      <c r="H96" s="56"/>
      <c r="I96" s="43" t="n">
        <v>46311</v>
      </c>
      <c r="J96" s="43" t="n">
        <v>46340</v>
      </c>
      <c r="K96" s="16" t="n">
        <f aca="false">IF(A96="","",COUNTIF(RESTRICCIONES!$B$5:$B$304,A96))</f>
        <v>0</v>
      </c>
      <c r="L96" s="16" t="n">
        <f aca="false">IF(A96="","",COUNTIFS(RESTRICCIONES!$B$5:$B$304,A96,RESTRICCIONES!$L$5:$L$304,"Pendiente"))</f>
        <v>0</v>
      </c>
      <c r="M96" s="18" t="str">
        <f aca="false">IF(A96="","",IF(L96=0,"LISTA","RESTRINGIDA"))</f>
        <v>LISTA</v>
      </c>
      <c r="N96" s="51" t="str">
        <f aca="false">IF(OR(A96="",H96=""),"",IFERROR(MIN(1,SUMIF(SEMANAL!$C$7:$C$506,A96,SEMANAL!$W$7:$W$506)/H96),0))</f>
        <v/>
      </c>
      <c r="O96" s="57"/>
      <c r="P96" s="57"/>
      <c r="Q96" s="57"/>
      <c r="R96" s="57"/>
      <c r="S96" s="57"/>
      <c r="T96" s="57"/>
      <c r="U96" s="9" t="s">
        <v>17525</v>
      </c>
    </row>
    <row r="97" customFormat="false" ht="15" hidden="false" customHeight="false" outlineLevel="0" collapsed="false">
      <c r="A97" s="9" t="s">
        <v>7972</v>
      </c>
      <c r="B97" s="9" t="s">
        <v>17526</v>
      </c>
      <c r="C97" s="16" t="str">
        <f aca="false">IF(B97="","",IFERROR(INDEX(EDT!$E$5:$E$436,MATCH(B97,EDT!$H$5:$H$436,0)),IFERROR(INDEX(CRONOGRAMA!$G$5:$G$5679,MATCH(A97,CRONOGRAMA!$A$5:$A$5679,0)),"Fuera EDT")))</f>
        <v>03</v>
      </c>
      <c r="D97" s="16" t="str">
        <f aca="false">IF(C97="","",IFERROR(INDEX(MASTER!$B$19:$B$109,MATCH(C97,MASTER!$A$19:$A$109,0)),"Asignar fase"))</f>
        <v>Arquitectura</v>
      </c>
      <c r="E97" s="9" t="s">
        <v>74</v>
      </c>
      <c r="F97" s="9"/>
      <c r="G97" s="9"/>
      <c r="H97" s="56"/>
      <c r="I97" s="43" t="n">
        <v>46311</v>
      </c>
      <c r="J97" s="43" t="n">
        <v>46325</v>
      </c>
      <c r="K97" s="16" t="n">
        <f aca="false">IF(A97="","",COUNTIF(RESTRICCIONES!$B$5:$B$304,A97))</f>
        <v>0</v>
      </c>
      <c r="L97" s="16" t="n">
        <f aca="false">IF(A97="","",COUNTIFS(RESTRICCIONES!$B$5:$B$304,A97,RESTRICCIONES!$L$5:$L$304,"Pendiente"))</f>
        <v>0</v>
      </c>
      <c r="M97" s="18" t="str">
        <f aca="false">IF(A97="","",IF(L97=0,"LISTA","RESTRINGIDA"))</f>
        <v>LISTA</v>
      </c>
      <c r="N97" s="51" t="str">
        <f aca="false">IF(OR(A97="",H97=""),"",IFERROR(MIN(1,SUMIF(SEMANAL!$C$7:$C$506,A97,SEMANAL!$W$7:$W$506)/H97),0))</f>
        <v/>
      </c>
      <c r="O97" s="57"/>
      <c r="P97" s="57"/>
      <c r="Q97" s="57"/>
      <c r="R97" s="57"/>
      <c r="S97" s="57"/>
      <c r="T97" s="57"/>
      <c r="U97" s="9" t="s">
        <v>17521</v>
      </c>
    </row>
    <row r="98" customFormat="false" ht="15" hidden="false" customHeight="false" outlineLevel="0" collapsed="false">
      <c r="A98" s="9" t="s">
        <v>3152</v>
      </c>
      <c r="B98" s="9" t="s">
        <v>17527</v>
      </c>
      <c r="C98" s="16" t="str">
        <f aca="false">IF(B98="","",IFERROR(INDEX(EDT!$E$5:$E$436,MATCH(B98,EDT!$H$5:$H$436,0)),IFERROR(INDEX(CRONOGRAMA!$G$5:$G$5679,MATCH(A98,CRONOGRAMA!$A$5:$A$5679,0)),"Fuera EDT")))</f>
        <v>02</v>
      </c>
      <c r="D98" s="16" t="str">
        <f aca="false">IF(C98="","",IFERROR(INDEX(MASTER!$B$19:$B$109,MATCH(C98,MASTER!$A$19:$A$109,0)),"Asignar fase"))</f>
        <v>Estructuras</v>
      </c>
      <c r="E98" s="9" t="s">
        <v>74</v>
      </c>
      <c r="F98" s="9"/>
      <c r="G98" s="9"/>
      <c r="H98" s="56"/>
      <c r="I98" s="43" t="n">
        <v>46312</v>
      </c>
      <c r="J98" s="43" t="n">
        <v>46320</v>
      </c>
      <c r="K98" s="16" t="n">
        <f aca="false">IF(A98="","",COUNTIF(RESTRICCIONES!$B$5:$B$304,A98))</f>
        <v>0</v>
      </c>
      <c r="L98" s="16" t="n">
        <f aca="false">IF(A98="","",COUNTIFS(RESTRICCIONES!$B$5:$B$304,A98,RESTRICCIONES!$L$5:$L$304,"Pendiente"))</f>
        <v>0</v>
      </c>
      <c r="M98" s="18" t="str">
        <f aca="false">IF(A98="","",IF(L98=0,"LISTA","RESTRINGIDA"))</f>
        <v>LISTA</v>
      </c>
      <c r="N98" s="51" t="str">
        <f aca="false">IF(OR(A98="",H98=""),"",IFERROR(MIN(1,SUMIF(SEMANAL!$C$7:$C$506,A98,SEMANAL!$W$7:$W$506)/H98),0))</f>
        <v/>
      </c>
      <c r="O98" s="57"/>
      <c r="P98" s="57"/>
      <c r="Q98" s="57"/>
      <c r="R98" s="57"/>
      <c r="S98" s="57"/>
      <c r="T98" s="57"/>
      <c r="U98" s="9" t="s">
        <v>17528</v>
      </c>
    </row>
    <row r="99" customFormat="false" ht="15" hidden="false" customHeight="false" outlineLevel="0" collapsed="false">
      <c r="A99" s="9" t="s">
        <v>3957</v>
      </c>
      <c r="B99" s="9" t="s">
        <v>17529</v>
      </c>
      <c r="C99" s="16" t="str">
        <f aca="false">IF(B99="","",IFERROR(INDEX(EDT!$E$5:$E$436,MATCH(B99,EDT!$H$5:$H$436,0)),IFERROR(INDEX(CRONOGRAMA!$G$5:$G$5679,MATCH(A99,CRONOGRAMA!$A$5:$A$5679,0)),"Fuera EDT")))</f>
        <v>02</v>
      </c>
      <c r="D99" s="16" t="str">
        <f aca="false">IF(C99="","",IFERROR(INDEX(MASTER!$B$19:$B$109,MATCH(C99,MASTER!$A$19:$A$109,0)),"Asignar fase"))</f>
        <v>Estructuras</v>
      </c>
      <c r="E99" s="9" t="s">
        <v>86</v>
      </c>
      <c r="F99" s="9"/>
      <c r="G99" s="9"/>
      <c r="H99" s="56"/>
      <c r="I99" s="43" t="n">
        <v>46312</v>
      </c>
      <c r="J99" s="43" t="n">
        <v>46312</v>
      </c>
      <c r="K99" s="16" t="n">
        <f aca="false">IF(A99="","",COUNTIF(RESTRICCIONES!$B$5:$B$304,A99))</f>
        <v>0</v>
      </c>
      <c r="L99" s="16" t="n">
        <f aca="false">IF(A99="","",COUNTIFS(RESTRICCIONES!$B$5:$B$304,A99,RESTRICCIONES!$L$5:$L$304,"Pendiente"))</f>
        <v>0</v>
      </c>
      <c r="M99" s="18" t="str">
        <f aca="false">IF(A99="","",IF(L99=0,"LISTA","RESTRINGIDA"))</f>
        <v>LISTA</v>
      </c>
      <c r="N99" s="51" t="str">
        <f aca="false">IF(OR(A99="",H99=""),"",IFERROR(MIN(1,SUMIF(SEMANAL!$C$7:$C$506,A99,SEMANAL!$W$7:$W$506)/H99),0))</f>
        <v/>
      </c>
      <c r="O99" s="57"/>
      <c r="P99" s="57"/>
      <c r="Q99" s="57"/>
      <c r="R99" s="57"/>
      <c r="S99" s="57"/>
      <c r="T99" s="57"/>
      <c r="U99" s="9" t="s">
        <v>17530</v>
      </c>
    </row>
    <row r="100" customFormat="false" ht="15" hidden="false" customHeight="false" outlineLevel="0" collapsed="false">
      <c r="A100" s="9" t="s">
        <v>3984</v>
      </c>
      <c r="B100" s="9" t="s">
        <v>17531</v>
      </c>
      <c r="C100" s="16" t="str">
        <f aca="false">IF(B100="","",IFERROR(INDEX(EDT!$E$5:$E$436,MATCH(B100,EDT!$H$5:$H$436,0)),IFERROR(INDEX(CRONOGRAMA!$G$5:$G$5679,MATCH(A100,CRONOGRAMA!$A$5:$A$5679,0)),"Fuera EDT")))</f>
        <v>02</v>
      </c>
      <c r="D100" s="16" t="str">
        <f aca="false">IF(C100="","",IFERROR(INDEX(MASTER!$B$19:$B$109,MATCH(C100,MASTER!$A$19:$A$109,0)),"Asignar fase"))</f>
        <v>Estructuras</v>
      </c>
      <c r="E100" s="9" t="s">
        <v>86</v>
      </c>
      <c r="F100" s="9"/>
      <c r="G100" s="9"/>
      <c r="H100" s="56"/>
      <c r="I100" s="43" t="n">
        <v>46312</v>
      </c>
      <c r="J100" s="43" t="n">
        <v>46312</v>
      </c>
      <c r="K100" s="16" t="n">
        <f aca="false">IF(A100="","",COUNTIF(RESTRICCIONES!$B$5:$B$304,A100))</f>
        <v>0</v>
      </c>
      <c r="L100" s="16" t="n">
        <f aca="false">IF(A100="","",COUNTIFS(RESTRICCIONES!$B$5:$B$304,A100,RESTRICCIONES!$L$5:$L$304,"Pendiente"))</f>
        <v>0</v>
      </c>
      <c r="M100" s="18" t="str">
        <f aca="false">IF(A100="","",IF(L100=0,"LISTA","RESTRINGIDA"))</f>
        <v>LISTA</v>
      </c>
      <c r="N100" s="51" t="str">
        <f aca="false">IF(OR(A100="",H100=""),"",IFERROR(MIN(1,SUMIF(SEMANAL!$C$7:$C$506,A100,SEMANAL!$W$7:$W$506)/H100),0))</f>
        <v/>
      </c>
      <c r="O100" s="57"/>
      <c r="P100" s="57"/>
      <c r="Q100" s="57"/>
      <c r="R100" s="57"/>
      <c r="S100" s="57"/>
      <c r="T100" s="57"/>
      <c r="U100" s="9" t="s">
        <v>17532</v>
      </c>
    </row>
    <row r="101" customFormat="false" ht="15" hidden="false" customHeight="false" outlineLevel="0" collapsed="false">
      <c r="A101" s="9" t="s">
        <v>5874</v>
      </c>
      <c r="B101" s="9" t="s">
        <v>17533</v>
      </c>
      <c r="C101" s="16" t="str">
        <f aca="false">IF(B101="","",IFERROR(INDEX(EDT!$E$5:$E$436,MATCH(B101,EDT!$H$5:$H$436,0)),IFERROR(INDEX(CRONOGRAMA!$G$5:$G$5679,MATCH(A101,CRONOGRAMA!$A$5:$A$5679,0)),"Fuera EDT")))</f>
        <v>02</v>
      </c>
      <c r="D101" s="16" t="str">
        <f aca="false">IF(C101="","",IFERROR(INDEX(MASTER!$B$19:$B$109,MATCH(C101,MASTER!$A$19:$A$109,0)),"Asignar fase"))</f>
        <v>Estructuras</v>
      </c>
      <c r="E101" s="9" t="s">
        <v>121</v>
      </c>
      <c r="F101" s="9"/>
      <c r="G101" s="9"/>
      <c r="H101" s="56"/>
      <c r="I101" s="43" t="n">
        <v>46312</v>
      </c>
      <c r="J101" s="43" t="n">
        <v>46312</v>
      </c>
      <c r="K101" s="16" t="n">
        <f aca="false">IF(A101="","",COUNTIF(RESTRICCIONES!$B$5:$B$304,A101))</f>
        <v>0</v>
      </c>
      <c r="L101" s="16" t="n">
        <f aca="false">IF(A101="","",COUNTIFS(RESTRICCIONES!$B$5:$B$304,A101,RESTRICCIONES!$L$5:$L$304,"Pendiente"))</f>
        <v>0</v>
      </c>
      <c r="M101" s="18" t="str">
        <f aca="false">IF(A101="","",IF(L101=0,"LISTA","RESTRINGIDA"))</f>
        <v>LISTA</v>
      </c>
      <c r="N101" s="51" t="str">
        <f aca="false">IF(OR(A101="",H101=""),"",IFERROR(MIN(1,SUMIF(SEMANAL!$C$7:$C$506,A101,SEMANAL!$W$7:$W$506)/H101),0))</f>
        <v/>
      </c>
      <c r="O101" s="57"/>
      <c r="P101" s="57"/>
      <c r="Q101" s="57"/>
      <c r="R101" s="57"/>
      <c r="S101" s="57"/>
      <c r="T101" s="57"/>
      <c r="U101" s="9" t="s">
        <v>17534</v>
      </c>
    </row>
    <row r="102" customFormat="false" ht="15" hidden="false" customHeight="false" outlineLevel="0" collapsed="false">
      <c r="A102" s="9" t="s">
        <v>5904</v>
      </c>
      <c r="B102" s="9" t="s">
        <v>17535</v>
      </c>
      <c r="C102" s="16" t="str">
        <f aca="false">IF(B102="","",IFERROR(INDEX(EDT!$E$5:$E$436,MATCH(B102,EDT!$H$5:$H$436,0)),IFERROR(INDEX(CRONOGRAMA!$G$5:$G$5679,MATCH(A102,CRONOGRAMA!$A$5:$A$5679,0)),"Fuera EDT")))</f>
        <v>02</v>
      </c>
      <c r="D102" s="16" t="str">
        <f aca="false">IF(C102="","",IFERROR(INDEX(MASTER!$B$19:$B$109,MATCH(C102,MASTER!$A$19:$A$109,0)),"Asignar fase"))</f>
        <v>Estructuras</v>
      </c>
      <c r="E102" s="9" t="s">
        <v>121</v>
      </c>
      <c r="F102" s="9"/>
      <c r="G102" s="9"/>
      <c r="H102" s="56"/>
      <c r="I102" s="43" t="n">
        <v>46312</v>
      </c>
      <c r="J102" s="43" t="n">
        <v>46317</v>
      </c>
      <c r="K102" s="16" t="n">
        <f aca="false">IF(A102="","",COUNTIF(RESTRICCIONES!$B$5:$B$304,A102))</f>
        <v>0</v>
      </c>
      <c r="L102" s="16" t="n">
        <f aca="false">IF(A102="","",COUNTIFS(RESTRICCIONES!$B$5:$B$304,A102,RESTRICCIONES!$L$5:$L$304,"Pendiente"))</f>
        <v>0</v>
      </c>
      <c r="M102" s="18" t="str">
        <f aca="false">IF(A102="","",IF(L102=0,"LISTA","RESTRINGIDA"))</f>
        <v>LISTA</v>
      </c>
      <c r="N102" s="51" t="str">
        <f aca="false">IF(OR(A102="",H102=""),"",IFERROR(MIN(1,SUMIF(SEMANAL!$C$7:$C$506,A102,SEMANAL!$W$7:$W$506)/H102),0))</f>
        <v/>
      </c>
      <c r="O102" s="57"/>
      <c r="P102" s="57"/>
      <c r="Q102" s="57"/>
      <c r="R102" s="57"/>
      <c r="S102" s="57"/>
      <c r="T102" s="57"/>
      <c r="U102" s="9" t="s">
        <v>17536</v>
      </c>
    </row>
    <row r="103" customFormat="false" ht="15" hidden="false" customHeight="false" outlineLevel="0" collapsed="false">
      <c r="A103" s="9" t="s">
        <v>5923</v>
      </c>
      <c r="B103" s="9" t="s">
        <v>17537</v>
      </c>
      <c r="C103" s="16" t="str">
        <f aca="false">IF(B103="","",IFERROR(INDEX(EDT!$E$5:$E$436,MATCH(B103,EDT!$H$5:$H$436,0)),IFERROR(INDEX(CRONOGRAMA!$G$5:$G$5679,MATCH(A103,CRONOGRAMA!$A$5:$A$5679,0)),"Fuera EDT")))</f>
        <v>02</v>
      </c>
      <c r="D103" s="16" t="str">
        <f aca="false">IF(C103="","",IFERROR(INDEX(MASTER!$B$19:$B$109,MATCH(C103,MASTER!$A$19:$A$109,0)),"Asignar fase"))</f>
        <v>Estructuras</v>
      </c>
      <c r="E103" s="9" t="s">
        <v>121</v>
      </c>
      <c r="F103" s="9"/>
      <c r="G103" s="9"/>
      <c r="H103" s="56"/>
      <c r="I103" s="43" t="n">
        <v>46312</v>
      </c>
      <c r="J103" s="43" t="n">
        <v>46312</v>
      </c>
      <c r="K103" s="16" t="n">
        <f aca="false">IF(A103="","",COUNTIF(RESTRICCIONES!$B$5:$B$304,A103))</f>
        <v>0</v>
      </c>
      <c r="L103" s="16" t="n">
        <f aca="false">IF(A103="","",COUNTIFS(RESTRICCIONES!$B$5:$B$304,A103,RESTRICCIONES!$L$5:$L$304,"Pendiente"))</f>
        <v>0</v>
      </c>
      <c r="M103" s="18" t="str">
        <f aca="false">IF(A103="","",IF(L103=0,"LISTA","RESTRINGIDA"))</f>
        <v>LISTA</v>
      </c>
      <c r="N103" s="51" t="str">
        <f aca="false">IF(OR(A103="",H103=""),"",IFERROR(MIN(1,SUMIF(SEMANAL!$C$7:$C$506,A103,SEMANAL!$W$7:$W$506)/H103),0))</f>
        <v/>
      </c>
      <c r="O103" s="57"/>
      <c r="P103" s="57"/>
      <c r="Q103" s="57"/>
      <c r="R103" s="57"/>
      <c r="S103" s="57"/>
      <c r="T103" s="57"/>
      <c r="U103" s="9" t="s">
        <v>17534</v>
      </c>
    </row>
    <row r="104" customFormat="false" ht="15" hidden="false" customHeight="false" outlineLevel="0" collapsed="false">
      <c r="A104" s="9" t="s">
        <v>5943</v>
      </c>
      <c r="B104" s="9" t="s">
        <v>17538</v>
      </c>
      <c r="C104" s="16" t="str">
        <f aca="false">IF(B104="","",IFERROR(INDEX(EDT!$E$5:$E$436,MATCH(B104,EDT!$H$5:$H$436,0)),IFERROR(INDEX(CRONOGRAMA!$G$5:$G$5679,MATCH(A104,CRONOGRAMA!$A$5:$A$5679,0)),"Fuera EDT")))</f>
        <v>02</v>
      </c>
      <c r="D104" s="16" t="str">
        <f aca="false">IF(C104="","",IFERROR(INDEX(MASTER!$B$19:$B$109,MATCH(C104,MASTER!$A$19:$A$109,0)),"Asignar fase"))</f>
        <v>Estructuras</v>
      </c>
      <c r="E104" s="9" t="s">
        <v>121</v>
      </c>
      <c r="F104" s="9"/>
      <c r="G104" s="9"/>
      <c r="H104" s="56"/>
      <c r="I104" s="43" t="n">
        <v>46312</v>
      </c>
      <c r="J104" s="43" t="n">
        <v>46312</v>
      </c>
      <c r="K104" s="16" t="n">
        <f aca="false">IF(A104="","",COUNTIF(RESTRICCIONES!$B$5:$B$304,A104))</f>
        <v>0</v>
      </c>
      <c r="L104" s="16" t="n">
        <f aca="false">IF(A104="","",COUNTIFS(RESTRICCIONES!$B$5:$B$304,A104,RESTRICCIONES!$L$5:$L$304,"Pendiente"))</f>
        <v>0</v>
      </c>
      <c r="M104" s="18" t="str">
        <f aca="false">IF(A104="","",IF(L104=0,"LISTA","RESTRINGIDA"))</f>
        <v>LISTA</v>
      </c>
      <c r="N104" s="51" t="str">
        <f aca="false">IF(OR(A104="",H104=""),"",IFERROR(MIN(1,SUMIF(SEMANAL!$C$7:$C$506,A104,SEMANAL!$W$7:$W$506)/H104),0))</f>
        <v/>
      </c>
      <c r="O104" s="57"/>
      <c r="P104" s="57"/>
      <c r="Q104" s="57"/>
      <c r="R104" s="57"/>
      <c r="S104" s="57"/>
      <c r="T104" s="57"/>
      <c r="U104" s="9" t="s">
        <v>17539</v>
      </c>
    </row>
    <row r="105" customFormat="false" ht="15" hidden="false" customHeight="false" outlineLevel="0" collapsed="false">
      <c r="A105" s="9" t="s">
        <v>3965</v>
      </c>
      <c r="B105" s="9" t="s">
        <v>17540</v>
      </c>
      <c r="C105" s="16" t="str">
        <f aca="false">IF(B105="","",IFERROR(INDEX(EDT!$E$5:$E$436,MATCH(B105,EDT!$H$5:$H$436,0)),IFERROR(INDEX(CRONOGRAMA!$G$5:$G$5679,MATCH(A105,CRONOGRAMA!$A$5:$A$5679,0)),"Fuera EDT")))</f>
        <v>02</v>
      </c>
      <c r="D105" s="16" t="str">
        <f aca="false">IF(C105="","",IFERROR(INDEX(MASTER!$B$19:$B$109,MATCH(C105,MASTER!$A$19:$A$109,0)),"Asignar fase"))</f>
        <v>Estructuras</v>
      </c>
      <c r="E105" s="9" t="s">
        <v>86</v>
      </c>
      <c r="F105" s="9"/>
      <c r="G105" s="9"/>
      <c r="H105" s="56"/>
      <c r="I105" s="43" t="n">
        <v>46313</v>
      </c>
      <c r="J105" s="43" t="n">
        <v>46313</v>
      </c>
      <c r="K105" s="16" t="n">
        <f aca="false">IF(A105="","",COUNTIF(RESTRICCIONES!$B$5:$B$304,A105))</f>
        <v>0</v>
      </c>
      <c r="L105" s="16" t="n">
        <f aca="false">IF(A105="","",COUNTIFS(RESTRICCIONES!$B$5:$B$304,A105,RESTRICCIONES!$L$5:$L$304,"Pendiente"))</f>
        <v>0</v>
      </c>
      <c r="M105" s="18" t="str">
        <f aca="false">IF(A105="","",IF(L105=0,"LISTA","RESTRINGIDA"))</f>
        <v>LISTA</v>
      </c>
      <c r="N105" s="51" t="str">
        <f aca="false">IF(OR(A105="",H105=""),"",IFERROR(MIN(1,SUMIF(SEMANAL!$C$7:$C$506,A105,SEMANAL!$W$7:$W$506)/H105),0))</f>
        <v/>
      </c>
      <c r="O105" s="57"/>
      <c r="P105" s="57"/>
      <c r="Q105" s="57"/>
      <c r="R105" s="57"/>
      <c r="S105" s="57"/>
      <c r="T105" s="57"/>
      <c r="U105" s="9" t="s">
        <v>17541</v>
      </c>
    </row>
    <row r="106" customFormat="false" ht="15" hidden="false" customHeight="false" outlineLevel="0" collapsed="false">
      <c r="A106" s="9" t="s">
        <v>3992</v>
      </c>
      <c r="B106" s="9" t="s">
        <v>17542</v>
      </c>
      <c r="C106" s="16" t="str">
        <f aca="false">IF(B106="","",IFERROR(INDEX(EDT!$E$5:$E$436,MATCH(B106,EDT!$H$5:$H$436,0)),IFERROR(INDEX(CRONOGRAMA!$G$5:$G$5679,MATCH(A106,CRONOGRAMA!$A$5:$A$5679,0)),"Fuera EDT")))</f>
        <v>02</v>
      </c>
      <c r="D106" s="16" t="str">
        <f aca="false">IF(C106="","",IFERROR(INDEX(MASTER!$B$19:$B$109,MATCH(C106,MASTER!$A$19:$A$109,0)),"Asignar fase"))</f>
        <v>Estructuras</v>
      </c>
      <c r="E106" s="9" t="s">
        <v>86</v>
      </c>
      <c r="F106" s="9"/>
      <c r="G106" s="9"/>
      <c r="H106" s="56"/>
      <c r="I106" s="43" t="n">
        <v>46313</v>
      </c>
      <c r="J106" s="43" t="n">
        <v>46313</v>
      </c>
      <c r="K106" s="16" t="n">
        <f aca="false">IF(A106="","",COUNTIF(RESTRICCIONES!$B$5:$B$304,A106))</f>
        <v>0</v>
      </c>
      <c r="L106" s="16" t="n">
        <f aca="false">IF(A106="","",COUNTIFS(RESTRICCIONES!$B$5:$B$304,A106,RESTRICCIONES!$L$5:$L$304,"Pendiente"))</f>
        <v>0</v>
      </c>
      <c r="M106" s="18" t="str">
        <f aca="false">IF(A106="","",IF(L106=0,"LISTA","RESTRINGIDA"))</f>
        <v>LISTA</v>
      </c>
      <c r="N106" s="51" t="str">
        <f aca="false">IF(OR(A106="",H106=""),"",IFERROR(MIN(1,SUMIF(SEMANAL!$C$7:$C$506,A106,SEMANAL!$W$7:$W$506)/H106),0))</f>
        <v/>
      </c>
      <c r="O106" s="57"/>
      <c r="P106" s="57"/>
      <c r="Q106" s="57"/>
      <c r="R106" s="57"/>
      <c r="S106" s="57"/>
      <c r="T106" s="57"/>
      <c r="U106" s="9" t="s">
        <v>17543</v>
      </c>
    </row>
    <row r="107" customFormat="false" ht="15" hidden="false" customHeight="false" outlineLevel="0" collapsed="false">
      <c r="A107" s="9" t="s">
        <v>5488</v>
      </c>
      <c r="B107" s="9" t="s">
        <v>17544</v>
      </c>
      <c r="C107" s="16" t="str">
        <f aca="false">IF(B107="","",IFERROR(INDEX(EDT!$E$5:$E$436,MATCH(B107,EDT!$H$5:$H$436,0)),IFERROR(INDEX(CRONOGRAMA!$G$5:$G$5679,MATCH(A107,CRONOGRAMA!$A$5:$A$5679,0)),"Fuera EDT")))</f>
        <v>02</v>
      </c>
      <c r="D107" s="16" t="str">
        <f aca="false">IF(C107="","",IFERROR(INDEX(MASTER!$B$19:$B$109,MATCH(C107,MASTER!$A$19:$A$109,0)),"Asignar fase"))</f>
        <v>Estructuras</v>
      </c>
      <c r="E107" s="9" t="s">
        <v>114</v>
      </c>
      <c r="F107" s="9"/>
      <c r="G107" s="9"/>
      <c r="H107" s="56"/>
      <c r="I107" s="43" t="n">
        <v>46313</v>
      </c>
      <c r="J107" s="43" t="n">
        <v>46314</v>
      </c>
      <c r="K107" s="16" t="n">
        <f aca="false">IF(A107="","",COUNTIF(RESTRICCIONES!$B$5:$B$304,A107))</f>
        <v>0</v>
      </c>
      <c r="L107" s="16" t="n">
        <f aca="false">IF(A107="","",COUNTIFS(RESTRICCIONES!$B$5:$B$304,A107,RESTRICCIONES!$L$5:$L$304,"Pendiente"))</f>
        <v>0</v>
      </c>
      <c r="M107" s="18" t="str">
        <f aca="false">IF(A107="","",IF(L107=0,"LISTA","RESTRINGIDA"))</f>
        <v>LISTA</v>
      </c>
      <c r="N107" s="51" t="str">
        <f aca="false">IF(OR(A107="",H107=""),"",IFERROR(MIN(1,SUMIF(SEMANAL!$C$7:$C$506,A107,SEMANAL!$W$7:$W$506)/H107),0))</f>
        <v/>
      </c>
      <c r="O107" s="57"/>
      <c r="P107" s="57"/>
      <c r="Q107" s="57"/>
      <c r="R107" s="57"/>
      <c r="S107" s="57"/>
      <c r="T107" s="57"/>
      <c r="U107" s="9" t="s">
        <v>17545</v>
      </c>
    </row>
    <row r="108" customFormat="false" ht="15" hidden="false" customHeight="false" outlineLevel="0" collapsed="false">
      <c r="A108" s="9" t="s">
        <v>5871</v>
      </c>
      <c r="B108" s="9" t="s">
        <v>17399</v>
      </c>
      <c r="C108" s="16" t="str">
        <f aca="false">IF(B108="","",IFERROR(INDEX(EDT!$E$5:$E$436,MATCH(B108,EDT!$H$5:$H$436,0)),IFERROR(INDEX(CRONOGRAMA!$G$5:$G$5679,MATCH(A108,CRONOGRAMA!$A$5:$A$5679,0)),"Fuera EDT")))</f>
        <v>02</v>
      </c>
      <c r="D108" s="16" t="str">
        <f aca="false">IF(C108="","",IFERROR(INDEX(MASTER!$B$19:$B$109,MATCH(C108,MASTER!$A$19:$A$109,0)),"Asignar fase"))</f>
        <v>Estructuras</v>
      </c>
      <c r="E108" s="9" t="s">
        <v>121</v>
      </c>
      <c r="F108" s="9"/>
      <c r="G108" s="9"/>
      <c r="H108" s="56"/>
      <c r="I108" s="43" t="n">
        <v>46313</v>
      </c>
      <c r="J108" s="43" t="n">
        <v>46314</v>
      </c>
      <c r="K108" s="16" t="n">
        <f aca="false">IF(A108="","",COUNTIF(RESTRICCIONES!$B$5:$B$304,A108))</f>
        <v>0</v>
      </c>
      <c r="L108" s="16" t="n">
        <f aca="false">IF(A108="","",COUNTIFS(RESTRICCIONES!$B$5:$B$304,A108,RESTRICCIONES!$L$5:$L$304,"Pendiente"))</f>
        <v>0</v>
      </c>
      <c r="M108" s="18" t="str">
        <f aca="false">IF(A108="","",IF(L108=0,"LISTA","RESTRINGIDA"))</f>
        <v>LISTA</v>
      </c>
      <c r="N108" s="51" t="str">
        <f aca="false">IF(OR(A108="",H108=""),"",IFERROR(MIN(1,SUMIF(SEMANAL!$C$7:$C$506,A108,SEMANAL!$W$7:$W$506)/H108),0))</f>
        <v/>
      </c>
      <c r="O108" s="57"/>
      <c r="P108" s="57"/>
      <c r="Q108" s="57"/>
      <c r="R108" s="57"/>
      <c r="S108" s="57"/>
      <c r="T108" s="57"/>
      <c r="U108" s="9" t="s">
        <v>17546</v>
      </c>
    </row>
    <row r="109" customFormat="false" ht="15" hidden="false" customHeight="false" outlineLevel="0" collapsed="false">
      <c r="A109" s="9" t="s">
        <v>5955</v>
      </c>
      <c r="B109" s="9" t="s">
        <v>17547</v>
      </c>
      <c r="C109" s="16" t="str">
        <f aca="false">IF(B109="","",IFERROR(INDEX(EDT!$E$5:$E$436,MATCH(B109,EDT!$H$5:$H$436,0)),IFERROR(INDEX(CRONOGRAMA!$G$5:$G$5679,MATCH(A109,CRONOGRAMA!$A$5:$A$5679,0)),"Fuera EDT")))</f>
        <v>02</v>
      </c>
      <c r="D109" s="16" t="str">
        <f aca="false">IF(C109="","",IFERROR(INDEX(MASTER!$B$19:$B$109,MATCH(C109,MASTER!$A$19:$A$109,0)),"Asignar fase"))</f>
        <v>Estructuras</v>
      </c>
      <c r="E109" s="9" t="s">
        <v>121</v>
      </c>
      <c r="F109" s="9"/>
      <c r="G109" s="9"/>
      <c r="H109" s="56"/>
      <c r="I109" s="43" t="n">
        <v>46313</v>
      </c>
      <c r="J109" s="43" t="n">
        <v>46313</v>
      </c>
      <c r="K109" s="16" t="n">
        <f aca="false">IF(A109="","",COUNTIF(RESTRICCIONES!$B$5:$B$304,A109))</f>
        <v>0</v>
      </c>
      <c r="L109" s="16" t="n">
        <f aca="false">IF(A109="","",COUNTIFS(RESTRICCIONES!$B$5:$B$304,A109,RESTRICCIONES!$L$5:$L$304,"Pendiente"))</f>
        <v>0</v>
      </c>
      <c r="M109" s="18" t="str">
        <f aca="false">IF(A109="","",IF(L109=0,"LISTA","RESTRINGIDA"))</f>
        <v>LISTA</v>
      </c>
      <c r="N109" s="51" t="str">
        <f aca="false">IF(OR(A109="",H109=""),"",IFERROR(MIN(1,SUMIF(SEMANAL!$C$7:$C$506,A109,SEMANAL!$W$7:$W$506)/H109),0))</f>
        <v/>
      </c>
      <c r="O109" s="57"/>
      <c r="P109" s="57"/>
      <c r="Q109" s="57"/>
      <c r="R109" s="57"/>
      <c r="S109" s="57"/>
      <c r="T109" s="57"/>
      <c r="U109" s="9" t="s">
        <v>17548</v>
      </c>
    </row>
    <row r="110" customFormat="false" ht="15" hidden="false" customHeight="false" outlineLevel="0" collapsed="false">
      <c r="A110" s="9" t="s">
        <v>8186</v>
      </c>
      <c r="B110" s="9" t="s">
        <v>17549</v>
      </c>
      <c r="C110" s="16" t="str">
        <f aca="false">IF(B110="","",IFERROR(INDEX(EDT!$E$5:$E$436,MATCH(B110,EDT!$H$5:$H$436,0)),IFERROR(INDEX(CRONOGRAMA!$G$5:$G$5679,MATCH(A110,CRONOGRAMA!$A$5:$A$5679,0)),"Fuera EDT")))</f>
        <v>03</v>
      </c>
      <c r="D110" s="16" t="str">
        <f aca="false">IF(C110="","",IFERROR(INDEX(MASTER!$B$19:$B$109,MATCH(C110,MASTER!$A$19:$A$109,0)),"Asignar fase"))</f>
        <v>Arquitectura</v>
      </c>
      <c r="E110" s="9" t="s">
        <v>86</v>
      </c>
      <c r="F110" s="9"/>
      <c r="G110" s="9"/>
      <c r="H110" s="56"/>
      <c r="I110" s="43" t="n">
        <v>46313</v>
      </c>
      <c r="J110" s="43" t="n">
        <v>46314</v>
      </c>
      <c r="K110" s="16" t="n">
        <f aca="false">IF(A110="","",COUNTIF(RESTRICCIONES!$B$5:$B$304,A110))</f>
        <v>0</v>
      </c>
      <c r="L110" s="16" t="n">
        <f aca="false">IF(A110="","",COUNTIFS(RESTRICCIONES!$B$5:$B$304,A110,RESTRICCIONES!$L$5:$L$304,"Pendiente"))</f>
        <v>0</v>
      </c>
      <c r="M110" s="18" t="str">
        <f aca="false">IF(A110="","",IF(L110=0,"LISTA","RESTRINGIDA"))</f>
        <v>LISTA</v>
      </c>
      <c r="N110" s="51" t="str">
        <f aca="false">IF(OR(A110="",H110=""),"",IFERROR(MIN(1,SUMIF(SEMANAL!$C$7:$C$506,A110,SEMANAL!$W$7:$W$506)/H110),0))</f>
        <v/>
      </c>
      <c r="O110" s="57"/>
      <c r="P110" s="57"/>
      <c r="Q110" s="57"/>
      <c r="R110" s="57"/>
      <c r="S110" s="57"/>
      <c r="T110" s="57"/>
      <c r="U110" s="9" t="s">
        <v>17550</v>
      </c>
    </row>
    <row r="111" customFormat="false" ht="15" hidden="false" customHeight="false" outlineLevel="0" collapsed="false">
      <c r="A111" s="9" t="s">
        <v>8651</v>
      </c>
      <c r="B111" s="9" t="s">
        <v>17391</v>
      </c>
      <c r="C111" s="16" t="str">
        <f aca="false">IF(B111="","",IFERROR(INDEX(EDT!$E$5:$E$436,MATCH(B111,EDT!$H$5:$H$436,0)),IFERROR(INDEX(CRONOGRAMA!$G$5:$G$5679,MATCH(A111,CRONOGRAMA!$A$5:$A$5679,0)),"Fuera EDT")))</f>
        <v>03</v>
      </c>
      <c r="D111" s="16" t="str">
        <f aca="false">IF(C111="","",IFERROR(INDEX(MASTER!$B$19:$B$109,MATCH(C111,MASTER!$A$19:$A$109,0)),"Asignar fase"))</f>
        <v>Arquitectura</v>
      </c>
      <c r="E111" s="9" t="s">
        <v>98</v>
      </c>
      <c r="F111" s="9"/>
      <c r="G111" s="9"/>
      <c r="H111" s="56"/>
      <c r="I111" s="43" t="n">
        <v>46313</v>
      </c>
      <c r="J111" s="43" t="n">
        <v>46319</v>
      </c>
      <c r="K111" s="16" t="n">
        <f aca="false">IF(A111="","",COUNTIF(RESTRICCIONES!$B$5:$B$304,A111))</f>
        <v>0</v>
      </c>
      <c r="L111" s="16" t="n">
        <f aca="false">IF(A111="","",COUNTIFS(RESTRICCIONES!$B$5:$B$304,A111,RESTRICCIONES!$L$5:$L$304,"Pendiente"))</f>
        <v>0</v>
      </c>
      <c r="M111" s="18" t="str">
        <f aca="false">IF(A111="","",IF(L111=0,"LISTA","RESTRINGIDA"))</f>
        <v>LISTA</v>
      </c>
      <c r="N111" s="51" t="str">
        <f aca="false">IF(OR(A111="",H111=""),"",IFERROR(MIN(1,SUMIF(SEMANAL!$C$7:$C$506,A111,SEMANAL!$W$7:$W$506)/H111),0))</f>
        <v/>
      </c>
      <c r="O111" s="57"/>
      <c r="P111" s="57"/>
      <c r="Q111" s="57"/>
      <c r="R111" s="57"/>
      <c r="S111" s="57"/>
      <c r="T111" s="57"/>
      <c r="U111" s="9" t="s">
        <v>17551</v>
      </c>
    </row>
    <row r="112" customFormat="false" ht="15" hidden="false" customHeight="false" outlineLevel="0" collapsed="false">
      <c r="A112" s="9" t="s">
        <v>9107</v>
      </c>
      <c r="B112" s="9" t="s">
        <v>17438</v>
      </c>
      <c r="C112" s="16" t="str">
        <f aca="false">IF(B112="","",IFERROR(INDEX(EDT!$E$5:$E$436,MATCH(B112,EDT!$H$5:$H$436,0)),IFERROR(INDEX(CRONOGRAMA!$G$5:$G$5679,MATCH(A112,CRONOGRAMA!$A$5:$A$5679,0)),"Fuera EDT")))</f>
        <v>03</v>
      </c>
      <c r="D112" s="16" t="str">
        <f aca="false">IF(C112="","",IFERROR(INDEX(MASTER!$B$19:$B$109,MATCH(C112,MASTER!$A$19:$A$109,0)),"Asignar fase"))</f>
        <v>Arquitectura</v>
      </c>
      <c r="E112" s="9" t="s">
        <v>114</v>
      </c>
      <c r="F112" s="9"/>
      <c r="G112" s="9"/>
      <c r="H112" s="56"/>
      <c r="I112" s="43" t="n">
        <v>46313</v>
      </c>
      <c r="J112" s="43" t="n">
        <v>46325</v>
      </c>
      <c r="K112" s="16" t="n">
        <f aca="false">IF(A112="","",COUNTIF(RESTRICCIONES!$B$5:$B$304,A112))</f>
        <v>0</v>
      </c>
      <c r="L112" s="16" t="n">
        <f aca="false">IF(A112="","",COUNTIFS(RESTRICCIONES!$B$5:$B$304,A112,RESTRICCIONES!$L$5:$L$304,"Pendiente"))</f>
        <v>0</v>
      </c>
      <c r="M112" s="18" t="str">
        <f aca="false">IF(A112="","",IF(L112=0,"LISTA","RESTRINGIDA"))</f>
        <v>LISTA</v>
      </c>
      <c r="N112" s="51" t="str">
        <f aca="false">IF(OR(A112="",H112=""),"",IFERROR(MIN(1,SUMIF(SEMANAL!$C$7:$C$506,A112,SEMANAL!$W$7:$W$506)/H112),0))</f>
        <v/>
      </c>
      <c r="O112" s="57"/>
      <c r="P112" s="57"/>
      <c r="Q112" s="57"/>
      <c r="R112" s="57"/>
      <c r="S112" s="57"/>
      <c r="T112" s="57"/>
      <c r="U112" s="9" t="s">
        <v>17545</v>
      </c>
    </row>
    <row r="113" customFormat="false" ht="15" hidden="false" customHeight="false" outlineLevel="0" collapsed="false">
      <c r="A113" s="9" t="s">
        <v>9376</v>
      </c>
      <c r="B113" s="9" t="s">
        <v>17451</v>
      </c>
      <c r="C113" s="16" t="str">
        <f aca="false">IF(B113="","",IFERROR(INDEX(EDT!$E$5:$E$436,MATCH(B113,EDT!$H$5:$H$436,0)),IFERROR(INDEX(CRONOGRAMA!$G$5:$G$5679,MATCH(A113,CRONOGRAMA!$A$5:$A$5679,0)),"Fuera EDT")))</f>
        <v>03</v>
      </c>
      <c r="D113" s="16" t="str">
        <f aca="false">IF(C113="","",IFERROR(INDEX(MASTER!$B$19:$B$109,MATCH(C113,MASTER!$A$19:$A$109,0)),"Asignar fase"))</f>
        <v>Arquitectura</v>
      </c>
      <c r="E113" s="9" t="s">
        <v>121</v>
      </c>
      <c r="F113" s="9"/>
      <c r="G113" s="9"/>
      <c r="H113" s="56"/>
      <c r="I113" s="43" t="n">
        <v>46313</v>
      </c>
      <c r="J113" s="43" t="n">
        <v>46313</v>
      </c>
      <c r="K113" s="16" t="n">
        <f aca="false">IF(A113="","",COUNTIF(RESTRICCIONES!$B$5:$B$304,A113))</f>
        <v>0</v>
      </c>
      <c r="L113" s="16" t="n">
        <f aca="false">IF(A113="","",COUNTIFS(RESTRICCIONES!$B$5:$B$304,A113,RESTRICCIONES!$L$5:$L$304,"Pendiente"))</f>
        <v>0</v>
      </c>
      <c r="M113" s="18" t="str">
        <f aca="false">IF(A113="","",IF(L113=0,"LISTA","RESTRINGIDA"))</f>
        <v>LISTA</v>
      </c>
      <c r="N113" s="51" t="str">
        <f aca="false">IF(OR(A113="",H113=""),"",IFERROR(MIN(1,SUMIF(SEMANAL!$C$7:$C$506,A113,SEMANAL!$W$7:$W$506)/H113),0))</f>
        <v/>
      </c>
      <c r="O113" s="57"/>
      <c r="P113" s="57"/>
      <c r="Q113" s="57"/>
      <c r="R113" s="57"/>
      <c r="S113" s="57"/>
      <c r="T113" s="57"/>
      <c r="U113" s="9" t="s">
        <v>17552</v>
      </c>
    </row>
    <row r="114" customFormat="false" ht="15" hidden="false" customHeight="false" outlineLevel="0" collapsed="false">
      <c r="A114" s="9" t="s">
        <v>9379</v>
      </c>
      <c r="B114" s="9" t="s">
        <v>17553</v>
      </c>
      <c r="C114" s="16" t="str">
        <f aca="false">IF(B114="","",IFERROR(INDEX(EDT!$E$5:$E$436,MATCH(B114,EDT!$H$5:$H$436,0)),IFERROR(INDEX(CRONOGRAMA!$G$5:$G$5679,MATCH(A114,CRONOGRAMA!$A$5:$A$5679,0)),"Fuera EDT")))</f>
        <v>03</v>
      </c>
      <c r="D114" s="16" t="str">
        <f aca="false">IF(C114="","",IFERROR(INDEX(MASTER!$B$19:$B$109,MATCH(C114,MASTER!$A$19:$A$109,0)),"Asignar fase"))</f>
        <v>Arquitectura</v>
      </c>
      <c r="E114" s="9" t="s">
        <v>121</v>
      </c>
      <c r="F114" s="9"/>
      <c r="G114" s="9"/>
      <c r="H114" s="56"/>
      <c r="I114" s="43" t="n">
        <v>46313</v>
      </c>
      <c r="J114" s="43" t="n">
        <v>46316</v>
      </c>
      <c r="K114" s="16" t="n">
        <f aca="false">IF(A114="","",COUNTIF(RESTRICCIONES!$B$5:$B$304,A114))</f>
        <v>0</v>
      </c>
      <c r="L114" s="16" t="n">
        <f aca="false">IF(A114="","",COUNTIFS(RESTRICCIONES!$B$5:$B$304,A114,RESTRICCIONES!$L$5:$L$304,"Pendiente"))</f>
        <v>0</v>
      </c>
      <c r="M114" s="18" t="str">
        <f aca="false">IF(A114="","",IF(L114=0,"LISTA","RESTRINGIDA"))</f>
        <v>LISTA</v>
      </c>
      <c r="N114" s="51" t="str">
        <f aca="false">IF(OR(A114="",H114=""),"",IFERROR(MIN(1,SUMIF(SEMANAL!$C$7:$C$506,A114,SEMANAL!$W$7:$W$506)/H114),0))</f>
        <v/>
      </c>
      <c r="O114" s="57"/>
      <c r="P114" s="57"/>
      <c r="Q114" s="57"/>
      <c r="R114" s="57"/>
      <c r="S114" s="57"/>
      <c r="T114" s="57"/>
      <c r="U114" s="9" t="s">
        <v>17548</v>
      </c>
    </row>
    <row r="115" customFormat="false" ht="15" hidden="false" customHeight="false" outlineLevel="0" collapsed="false">
      <c r="A115" s="9" t="s">
        <v>9382</v>
      </c>
      <c r="B115" s="9" t="s">
        <v>17554</v>
      </c>
      <c r="C115" s="16" t="str">
        <f aca="false">IF(B115="","",IFERROR(INDEX(EDT!$E$5:$E$436,MATCH(B115,EDT!$H$5:$H$436,0)),IFERROR(INDEX(CRONOGRAMA!$G$5:$G$5679,MATCH(A115,CRONOGRAMA!$A$5:$A$5679,0)),"Fuera EDT")))</f>
        <v>03</v>
      </c>
      <c r="D115" s="16" t="str">
        <f aca="false">IF(C115="","",IFERROR(INDEX(MASTER!$B$19:$B$109,MATCH(C115,MASTER!$A$19:$A$109,0)),"Asignar fase"))</f>
        <v>Arquitectura</v>
      </c>
      <c r="E115" s="9" t="s">
        <v>121</v>
      </c>
      <c r="F115" s="9"/>
      <c r="G115" s="9"/>
      <c r="H115" s="56"/>
      <c r="I115" s="43" t="n">
        <v>46313</v>
      </c>
      <c r="J115" s="43" t="n">
        <v>46314</v>
      </c>
      <c r="K115" s="16" t="n">
        <f aca="false">IF(A115="","",COUNTIF(RESTRICCIONES!$B$5:$B$304,A115))</f>
        <v>0</v>
      </c>
      <c r="L115" s="16" t="n">
        <f aca="false">IF(A115="","",COUNTIFS(RESTRICCIONES!$B$5:$B$304,A115,RESTRICCIONES!$L$5:$L$304,"Pendiente"))</f>
        <v>0</v>
      </c>
      <c r="M115" s="18" t="str">
        <f aca="false">IF(A115="","",IF(L115=0,"LISTA","RESTRINGIDA"))</f>
        <v>LISTA</v>
      </c>
      <c r="N115" s="51" t="str">
        <f aca="false">IF(OR(A115="",H115=""),"",IFERROR(MIN(1,SUMIF(SEMANAL!$C$7:$C$506,A115,SEMANAL!$W$7:$W$506)/H115),0))</f>
        <v/>
      </c>
      <c r="O115" s="57"/>
      <c r="P115" s="57"/>
      <c r="Q115" s="57"/>
      <c r="R115" s="57"/>
      <c r="S115" s="57"/>
      <c r="T115" s="57"/>
      <c r="U115" s="9" t="s">
        <v>17552</v>
      </c>
    </row>
    <row r="116" customFormat="false" ht="15" hidden="false" customHeight="false" outlineLevel="0" collapsed="false">
      <c r="A116" s="9" t="s">
        <v>4654</v>
      </c>
      <c r="B116" s="9" t="s">
        <v>17555</v>
      </c>
      <c r="C116" s="16" t="str">
        <f aca="false">IF(B116="","",IFERROR(INDEX(EDT!$E$5:$E$436,MATCH(B116,EDT!$H$5:$H$436,0)),IFERROR(INDEX(CRONOGRAMA!$G$5:$G$5679,MATCH(A116,CRONOGRAMA!$A$5:$A$5679,0)),"Fuera EDT")))</f>
        <v>02</v>
      </c>
      <c r="D116" s="16" t="str">
        <f aca="false">IF(C116="","",IFERROR(INDEX(MASTER!$B$19:$B$109,MATCH(C116,MASTER!$A$19:$A$109,0)),"Asignar fase"))</f>
        <v>Estructuras</v>
      </c>
      <c r="E116" s="9" t="s">
        <v>104</v>
      </c>
      <c r="F116" s="9"/>
      <c r="G116" s="9"/>
      <c r="H116" s="56"/>
      <c r="I116" s="43" t="n">
        <v>46315</v>
      </c>
      <c r="J116" s="43" t="n">
        <v>46315</v>
      </c>
      <c r="K116" s="16" t="n">
        <f aca="false">IF(A116="","",COUNTIF(RESTRICCIONES!$B$5:$B$304,A116))</f>
        <v>0</v>
      </c>
      <c r="L116" s="16" t="n">
        <f aca="false">IF(A116="","",COUNTIFS(RESTRICCIONES!$B$5:$B$304,A116,RESTRICCIONES!$L$5:$L$304,"Pendiente"))</f>
        <v>0</v>
      </c>
      <c r="M116" s="18" t="str">
        <f aca="false">IF(A116="","",IF(L116=0,"LISTA","RESTRINGIDA"))</f>
        <v>LISTA</v>
      </c>
      <c r="N116" s="51" t="str">
        <f aca="false">IF(OR(A116="",H116=""),"",IFERROR(MIN(1,SUMIF(SEMANAL!$C$7:$C$506,A116,SEMANAL!$W$7:$W$506)/H116),0))</f>
        <v/>
      </c>
      <c r="O116" s="57"/>
      <c r="P116" s="57"/>
      <c r="Q116" s="57"/>
      <c r="R116" s="57"/>
      <c r="S116" s="57"/>
      <c r="T116" s="57"/>
      <c r="U116" s="9" t="s">
        <v>17556</v>
      </c>
    </row>
    <row r="117" customFormat="false" ht="15" hidden="false" customHeight="false" outlineLevel="0" collapsed="false">
      <c r="A117" s="9" t="s">
        <v>5485</v>
      </c>
      <c r="B117" s="9" t="s">
        <v>17557</v>
      </c>
      <c r="C117" s="16" t="str">
        <f aca="false">IF(B117="","",IFERROR(INDEX(EDT!$E$5:$E$436,MATCH(B117,EDT!$H$5:$H$436,0)),IFERROR(INDEX(CRONOGRAMA!$G$5:$G$5679,MATCH(A117,CRONOGRAMA!$A$5:$A$5679,0)),"Fuera EDT")))</f>
        <v>02</v>
      </c>
      <c r="D117" s="16" t="str">
        <f aca="false">IF(C117="","",IFERROR(INDEX(MASTER!$B$19:$B$109,MATCH(C117,MASTER!$A$19:$A$109,0)),"Asignar fase"))</f>
        <v>Estructuras</v>
      </c>
      <c r="E117" s="9" t="s">
        <v>114</v>
      </c>
      <c r="F117" s="9"/>
      <c r="G117" s="9"/>
      <c r="H117" s="56"/>
      <c r="I117" s="43" t="n">
        <v>46315</v>
      </c>
      <c r="J117" s="43" t="n">
        <v>46315</v>
      </c>
      <c r="K117" s="16" t="n">
        <f aca="false">IF(A117="","",COUNTIF(RESTRICCIONES!$B$5:$B$304,A117))</f>
        <v>0</v>
      </c>
      <c r="L117" s="16" t="n">
        <f aca="false">IF(A117="","",COUNTIFS(RESTRICCIONES!$B$5:$B$304,A117,RESTRICCIONES!$L$5:$L$304,"Pendiente"))</f>
        <v>0</v>
      </c>
      <c r="M117" s="18" t="str">
        <f aca="false">IF(A117="","",IF(L117=0,"LISTA","RESTRINGIDA"))</f>
        <v>LISTA</v>
      </c>
      <c r="N117" s="51" t="str">
        <f aca="false">IF(OR(A117="",H117=""),"",IFERROR(MIN(1,SUMIF(SEMANAL!$C$7:$C$506,A117,SEMANAL!$W$7:$W$506)/H117),0))</f>
        <v/>
      </c>
      <c r="O117" s="57"/>
      <c r="P117" s="57"/>
      <c r="Q117" s="57"/>
      <c r="R117" s="57"/>
      <c r="S117" s="57"/>
      <c r="T117" s="57"/>
      <c r="U117" s="9" t="s">
        <v>17558</v>
      </c>
    </row>
    <row r="118" customFormat="false" ht="15" hidden="false" customHeight="false" outlineLevel="0" collapsed="false">
      <c r="A118" s="9" t="s">
        <v>5868</v>
      </c>
      <c r="B118" s="9" t="s">
        <v>17479</v>
      </c>
      <c r="C118" s="16" t="str">
        <f aca="false">IF(B118="","",IFERROR(INDEX(EDT!$E$5:$E$436,MATCH(B118,EDT!$H$5:$H$436,0)),IFERROR(INDEX(CRONOGRAMA!$G$5:$G$5679,MATCH(A118,CRONOGRAMA!$A$5:$A$5679,0)),"Fuera EDT")))</f>
        <v>02</v>
      </c>
      <c r="D118" s="16" t="str">
        <f aca="false">IF(C118="","",IFERROR(INDEX(MASTER!$B$19:$B$109,MATCH(C118,MASTER!$A$19:$A$109,0)),"Asignar fase"))</f>
        <v>Estructuras</v>
      </c>
      <c r="E118" s="9" t="s">
        <v>121</v>
      </c>
      <c r="F118" s="9"/>
      <c r="G118" s="9"/>
      <c r="H118" s="56"/>
      <c r="I118" s="43" t="n">
        <v>46315</v>
      </c>
      <c r="J118" s="43" t="n">
        <v>46315</v>
      </c>
      <c r="K118" s="16" t="n">
        <f aca="false">IF(A118="","",COUNTIF(RESTRICCIONES!$B$5:$B$304,A118))</f>
        <v>0</v>
      </c>
      <c r="L118" s="16" t="n">
        <f aca="false">IF(A118="","",COUNTIFS(RESTRICCIONES!$B$5:$B$304,A118,RESTRICCIONES!$L$5:$L$304,"Pendiente"))</f>
        <v>0</v>
      </c>
      <c r="M118" s="18" t="str">
        <f aca="false">IF(A118="","",IF(L118=0,"LISTA","RESTRINGIDA"))</f>
        <v>LISTA</v>
      </c>
      <c r="N118" s="51" t="str">
        <f aca="false">IF(OR(A118="",H118=""),"",IFERROR(MIN(1,SUMIF(SEMANAL!$C$7:$C$506,A118,SEMANAL!$W$7:$W$506)/H118),0))</f>
        <v/>
      </c>
      <c r="O118" s="57"/>
      <c r="P118" s="57"/>
      <c r="Q118" s="57"/>
      <c r="R118" s="57"/>
      <c r="S118" s="57"/>
      <c r="T118" s="57"/>
      <c r="U118" s="9" t="s">
        <v>17559</v>
      </c>
    </row>
    <row r="119" customFormat="false" ht="15" hidden="false" customHeight="false" outlineLevel="0" collapsed="false">
      <c r="A119" s="9" t="s">
        <v>8189</v>
      </c>
      <c r="B119" s="9" t="s">
        <v>17560</v>
      </c>
      <c r="C119" s="16" t="str">
        <f aca="false">IF(B119="","",IFERROR(INDEX(EDT!$E$5:$E$436,MATCH(B119,EDT!$H$5:$H$436,0)),IFERROR(INDEX(CRONOGRAMA!$G$5:$G$5679,MATCH(A119,CRONOGRAMA!$A$5:$A$5679,0)),"Fuera EDT")))</f>
        <v>03</v>
      </c>
      <c r="D119" s="16" t="str">
        <f aca="false">IF(C119="","",IFERROR(INDEX(MASTER!$B$19:$B$109,MATCH(C119,MASTER!$A$19:$A$109,0)),"Asignar fase"))</f>
        <v>Arquitectura</v>
      </c>
      <c r="E119" s="9" t="s">
        <v>86</v>
      </c>
      <c r="F119" s="9"/>
      <c r="G119" s="9"/>
      <c r="H119" s="56"/>
      <c r="I119" s="43" t="n">
        <v>46315</v>
      </c>
      <c r="J119" s="43" t="n">
        <v>46315</v>
      </c>
      <c r="K119" s="16" t="n">
        <f aca="false">IF(A119="","",COUNTIF(RESTRICCIONES!$B$5:$B$304,A119))</f>
        <v>0</v>
      </c>
      <c r="L119" s="16" t="n">
        <f aca="false">IF(A119="","",COUNTIFS(RESTRICCIONES!$B$5:$B$304,A119,RESTRICCIONES!$L$5:$L$304,"Pendiente"))</f>
        <v>0</v>
      </c>
      <c r="M119" s="18" t="str">
        <f aca="false">IF(A119="","",IF(L119=0,"LISTA","RESTRINGIDA"))</f>
        <v>LISTA</v>
      </c>
      <c r="N119" s="51" t="str">
        <f aca="false">IF(OR(A119="",H119=""),"",IFERROR(MIN(1,SUMIF(SEMANAL!$C$7:$C$506,A119,SEMANAL!$W$7:$W$506)/H119),0))</f>
        <v/>
      </c>
      <c r="O119" s="57"/>
      <c r="P119" s="57"/>
      <c r="Q119" s="57"/>
      <c r="R119" s="57"/>
      <c r="S119" s="57"/>
      <c r="T119" s="57"/>
      <c r="U119" s="9" t="s">
        <v>17561</v>
      </c>
    </row>
    <row r="120" customFormat="false" ht="15" hidden="false" customHeight="false" outlineLevel="0" collapsed="false">
      <c r="A120" s="9" t="s">
        <v>4125</v>
      </c>
      <c r="B120" s="9" t="s">
        <v>17430</v>
      </c>
      <c r="C120" s="16" t="str">
        <f aca="false">IF(B120="","",IFERROR(INDEX(EDT!$E$5:$E$436,MATCH(B120,EDT!$H$5:$H$436,0)),IFERROR(INDEX(CRONOGRAMA!$G$5:$G$5679,MATCH(A120,CRONOGRAMA!$A$5:$A$5679,0)),"Fuera EDT")))</f>
        <v>02</v>
      </c>
      <c r="D120" s="16" t="str">
        <f aca="false">IF(C120="","",IFERROR(INDEX(MASTER!$B$19:$B$109,MATCH(C120,MASTER!$A$19:$A$109,0)),"Asignar fase"))</f>
        <v>Estructuras</v>
      </c>
      <c r="E120" s="9" t="s">
        <v>92</v>
      </c>
      <c r="F120" s="9"/>
      <c r="G120" s="9"/>
      <c r="H120" s="56"/>
      <c r="I120" s="43" t="n">
        <v>46316</v>
      </c>
      <c r="J120" s="43" t="n">
        <v>46316</v>
      </c>
      <c r="K120" s="16" t="n">
        <f aca="false">IF(A120="","",COUNTIF(RESTRICCIONES!$B$5:$B$304,A120))</f>
        <v>0</v>
      </c>
      <c r="L120" s="16" t="n">
        <f aca="false">IF(A120="","",COUNTIFS(RESTRICCIONES!$B$5:$B$304,A120,RESTRICCIONES!$L$5:$L$304,"Pendiente"))</f>
        <v>0</v>
      </c>
      <c r="M120" s="18" t="str">
        <f aca="false">IF(A120="","",IF(L120=0,"LISTA","RESTRINGIDA"))</f>
        <v>LISTA</v>
      </c>
      <c r="N120" s="51" t="str">
        <f aca="false">IF(OR(A120="",H120=""),"",IFERROR(MIN(1,SUMIF(SEMANAL!$C$7:$C$506,A120,SEMANAL!$W$7:$W$506)/H120),0))</f>
        <v/>
      </c>
      <c r="O120" s="57"/>
      <c r="P120" s="57"/>
      <c r="Q120" s="57"/>
      <c r="R120" s="57"/>
      <c r="S120" s="57"/>
      <c r="T120" s="57"/>
      <c r="U120" s="9" t="s">
        <v>17562</v>
      </c>
    </row>
    <row r="121" customFormat="false" ht="15" hidden="false" customHeight="false" outlineLevel="0" collapsed="false">
      <c r="A121" s="9" t="s">
        <v>4625</v>
      </c>
      <c r="B121" s="9" t="s">
        <v>17563</v>
      </c>
      <c r="C121" s="16" t="str">
        <f aca="false">IF(B121="","",IFERROR(INDEX(EDT!$E$5:$E$436,MATCH(B121,EDT!$H$5:$H$436,0)),IFERROR(INDEX(CRONOGRAMA!$G$5:$G$5679,MATCH(A121,CRONOGRAMA!$A$5:$A$5679,0)),"Fuera EDT")))</f>
        <v>02</v>
      </c>
      <c r="D121" s="16" t="str">
        <f aca="false">IF(C121="","",IFERROR(INDEX(MASTER!$B$19:$B$109,MATCH(C121,MASTER!$A$19:$A$109,0)),"Asignar fase"))</f>
        <v>Estructuras</v>
      </c>
      <c r="E121" s="9" t="s">
        <v>104</v>
      </c>
      <c r="F121" s="9"/>
      <c r="G121" s="9"/>
      <c r="H121" s="56"/>
      <c r="I121" s="43" t="n">
        <v>46316</v>
      </c>
      <c r="J121" s="43" t="n">
        <v>46325</v>
      </c>
      <c r="K121" s="16" t="n">
        <f aca="false">IF(A121="","",COUNTIF(RESTRICCIONES!$B$5:$B$304,A121))</f>
        <v>0</v>
      </c>
      <c r="L121" s="16" t="n">
        <f aca="false">IF(A121="","",COUNTIFS(RESTRICCIONES!$B$5:$B$304,A121,RESTRICCIONES!$L$5:$L$304,"Pendiente"))</f>
        <v>0</v>
      </c>
      <c r="M121" s="18" t="str">
        <f aca="false">IF(A121="","",IF(L121=0,"LISTA","RESTRINGIDA"))</f>
        <v>LISTA</v>
      </c>
      <c r="N121" s="51" t="str">
        <f aca="false">IF(OR(A121="",H121=""),"",IFERROR(MIN(1,SUMIF(SEMANAL!$C$7:$C$506,A121,SEMANAL!$W$7:$W$506)/H121),0))</f>
        <v/>
      </c>
      <c r="O121" s="57"/>
      <c r="P121" s="57"/>
      <c r="Q121" s="57"/>
      <c r="R121" s="57"/>
      <c r="S121" s="57"/>
      <c r="T121" s="57"/>
      <c r="U121" s="9" t="s">
        <v>17564</v>
      </c>
    </row>
    <row r="122" customFormat="false" ht="15" hidden="false" customHeight="false" outlineLevel="0" collapsed="false">
      <c r="A122" s="9" t="s">
        <v>4660</v>
      </c>
      <c r="B122" s="9" t="s">
        <v>17565</v>
      </c>
      <c r="C122" s="16" t="str">
        <f aca="false">IF(B122="","",IFERROR(INDEX(EDT!$E$5:$E$436,MATCH(B122,EDT!$H$5:$H$436,0)),IFERROR(INDEX(CRONOGRAMA!$G$5:$G$5679,MATCH(A122,CRONOGRAMA!$A$5:$A$5679,0)),"Fuera EDT")))</f>
        <v>02</v>
      </c>
      <c r="D122" s="16" t="str">
        <f aca="false">IF(C122="","",IFERROR(INDEX(MASTER!$B$19:$B$109,MATCH(C122,MASTER!$A$19:$A$109,0)),"Asignar fase"))</f>
        <v>Estructuras</v>
      </c>
      <c r="E122" s="9" t="s">
        <v>104</v>
      </c>
      <c r="F122" s="9"/>
      <c r="G122" s="9"/>
      <c r="H122" s="56"/>
      <c r="I122" s="43" t="n">
        <v>46316</v>
      </c>
      <c r="J122" s="43" t="n">
        <v>46317</v>
      </c>
      <c r="K122" s="16" t="n">
        <f aca="false">IF(A122="","",COUNTIF(RESTRICCIONES!$B$5:$B$304,A122))</f>
        <v>0</v>
      </c>
      <c r="L122" s="16" t="n">
        <f aca="false">IF(A122="","",COUNTIFS(RESTRICCIONES!$B$5:$B$304,A122,RESTRICCIONES!$L$5:$L$304,"Pendiente"))</f>
        <v>0</v>
      </c>
      <c r="M122" s="18" t="str">
        <f aca="false">IF(A122="","",IF(L122=0,"LISTA","RESTRINGIDA"))</f>
        <v>LISTA</v>
      </c>
      <c r="N122" s="51" t="str">
        <f aca="false">IF(OR(A122="",H122=""),"",IFERROR(MIN(1,SUMIF(SEMANAL!$C$7:$C$506,A122,SEMANAL!$W$7:$W$506)/H122),0))</f>
        <v/>
      </c>
      <c r="O122" s="57"/>
      <c r="P122" s="57"/>
      <c r="Q122" s="57"/>
      <c r="R122" s="57"/>
      <c r="S122" s="57"/>
      <c r="T122" s="57"/>
      <c r="U122" s="9" t="s">
        <v>17564</v>
      </c>
    </row>
    <row r="123" customFormat="false" ht="15" hidden="false" customHeight="false" outlineLevel="0" collapsed="false">
      <c r="A123" s="9" t="s">
        <v>4667</v>
      </c>
      <c r="B123" s="9" t="s">
        <v>17566</v>
      </c>
      <c r="C123" s="16" t="str">
        <f aca="false">IF(B123="","",IFERROR(INDEX(EDT!$E$5:$E$436,MATCH(B123,EDT!$H$5:$H$436,0)),IFERROR(INDEX(CRONOGRAMA!$G$5:$G$5679,MATCH(A123,CRONOGRAMA!$A$5:$A$5679,0)),"Fuera EDT")))</f>
        <v>02</v>
      </c>
      <c r="D123" s="16" t="str">
        <f aca="false">IF(C123="","",IFERROR(INDEX(MASTER!$B$19:$B$109,MATCH(C123,MASTER!$A$19:$A$109,0)),"Asignar fase"))</f>
        <v>Estructuras</v>
      </c>
      <c r="E123" s="9" t="s">
        <v>104</v>
      </c>
      <c r="F123" s="9"/>
      <c r="G123" s="9"/>
      <c r="H123" s="56"/>
      <c r="I123" s="43" t="n">
        <v>46316</v>
      </c>
      <c r="J123" s="43" t="n">
        <v>46322</v>
      </c>
      <c r="K123" s="16" t="n">
        <f aca="false">IF(A123="","",COUNTIF(RESTRICCIONES!$B$5:$B$304,A123))</f>
        <v>0</v>
      </c>
      <c r="L123" s="16" t="n">
        <f aca="false">IF(A123="","",COUNTIFS(RESTRICCIONES!$B$5:$B$304,A123,RESTRICCIONES!$L$5:$L$304,"Pendiente"))</f>
        <v>0</v>
      </c>
      <c r="M123" s="18" t="str">
        <f aca="false">IF(A123="","",IF(L123=0,"LISTA","RESTRINGIDA"))</f>
        <v>LISTA</v>
      </c>
      <c r="N123" s="51" t="str">
        <f aca="false">IF(OR(A123="",H123=""),"",IFERROR(MIN(1,SUMIF(SEMANAL!$C$7:$C$506,A123,SEMANAL!$W$7:$W$506)/H123),0))</f>
        <v/>
      </c>
      <c r="O123" s="57"/>
      <c r="P123" s="57"/>
      <c r="Q123" s="57"/>
      <c r="R123" s="57"/>
      <c r="S123" s="57"/>
      <c r="T123" s="57"/>
      <c r="U123" s="9" t="s">
        <v>17564</v>
      </c>
    </row>
    <row r="124" customFormat="false" ht="15" hidden="false" customHeight="false" outlineLevel="0" collapsed="false">
      <c r="A124" s="9" t="s">
        <v>4671</v>
      </c>
      <c r="B124" s="9" t="s">
        <v>17567</v>
      </c>
      <c r="C124" s="16" t="str">
        <f aca="false">IF(B124="","",IFERROR(INDEX(EDT!$E$5:$E$436,MATCH(B124,EDT!$H$5:$H$436,0)),IFERROR(INDEX(CRONOGRAMA!$G$5:$G$5679,MATCH(A124,CRONOGRAMA!$A$5:$A$5679,0)),"Fuera EDT")))</f>
        <v>02</v>
      </c>
      <c r="D124" s="16" t="str">
        <f aca="false">IF(C124="","",IFERROR(INDEX(MASTER!$B$19:$B$109,MATCH(C124,MASTER!$A$19:$A$109,0)),"Asignar fase"))</f>
        <v>Estructuras</v>
      </c>
      <c r="E124" s="9" t="s">
        <v>104</v>
      </c>
      <c r="F124" s="9"/>
      <c r="G124" s="9"/>
      <c r="H124" s="56"/>
      <c r="I124" s="43" t="n">
        <v>46316</v>
      </c>
      <c r="J124" s="43" t="n">
        <v>46318</v>
      </c>
      <c r="K124" s="16" t="n">
        <f aca="false">IF(A124="","",COUNTIF(RESTRICCIONES!$B$5:$B$304,A124))</f>
        <v>0</v>
      </c>
      <c r="L124" s="16" t="n">
        <f aca="false">IF(A124="","",COUNTIFS(RESTRICCIONES!$B$5:$B$304,A124,RESTRICCIONES!$L$5:$L$304,"Pendiente"))</f>
        <v>0</v>
      </c>
      <c r="M124" s="18" t="str">
        <f aca="false">IF(A124="","",IF(L124=0,"LISTA","RESTRINGIDA"))</f>
        <v>LISTA</v>
      </c>
      <c r="N124" s="51" t="str">
        <f aca="false">IF(OR(A124="",H124=""),"",IFERROR(MIN(1,SUMIF(SEMANAL!$C$7:$C$506,A124,SEMANAL!$W$7:$W$506)/H124),0))</f>
        <v/>
      </c>
      <c r="O124" s="57"/>
      <c r="P124" s="57"/>
      <c r="Q124" s="57"/>
      <c r="R124" s="57"/>
      <c r="S124" s="57"/>
      <c r="T124" s="57"/>
      <c r="U124" s="9" t="s">
        <v>17564</v>
      </c>
    </row>
    <row r="125" customFormat="false" ht="15" hidden="false" customHeight="false" outlineLevel="0" collapsed="false">
      <c r="A125" s="9" t="s">
        <v>5482</v>
      </c>
      <c r="B125" s="9" t="s">
        <v>17568</v>
      </c>
      <c r="C125" s="16" t="str">
        <f aca="false">IF(B125="","",IFERROR(INDEX(EDT!$E$5:$E$436,MATCH(B125,EDT!$H$5:$H$436,0)),IFERROR(INDEX(CRONOGRAMA!$G$5:$G$5679,MATCH(A125,CRONOGRAMA!$A$5:$A$5679,0)),"Fuera EDT")))</f>
        <v>02</v>
      </c>
      <c r="D125" s="16" t="str">
        <f aca="false">IF(C125="","",IFERROR(INDEX(MASTER!$B$19:$B$109,MATCH(C125,MASTER!$A$19:$A$109,0)),"Asignar fase"))</f>
        <v>Estructuras</v>
      </c>
      <c r="E125" s="9" t="s">
        <v>114</v>
      </c>
      <c r="F125" s="9"/>
      <c r="G125" s="9"/>
      <c r="H125" s="56"/>
      <c r="I125" s="43" t="n">
        <v>46316</v>
      </c>
      <c r="J125" s="43" t="n">
        <v>46316</v>
      </c>
      <c r="K125" s="16" t="n">
        <f aca="false">IF(A125="","",COUNTIF(RESTRICCIONES!$B$5:$B$304,A125))</f>
        <v>0</v>
      </c>
      <c r="L125" s="16" t="n">
        <f aca="false">IF(A125="","",COUNTIFS(RESTRICCIONES!$B$5:$B$304,A125,RESTRICCIONES!$L$5:$L$304,"Pendiente"))</f>
        <v>0</v>
      </c>
      <c r="M125" s="18" t="str">
        <f aca="false">IF(A125="","",IF(L125=0,"LISTA","RESTRINGIDA"))</f>
        <v>LISTA</v>
      </c>
      <c r="N125" s="51" t="str">
        <f aca="false">IF(OR(A125="",H125=""),"",IFERROR(MIN(1,SUMIF(SEMANAL!$C$7:$C$506,A125,SEMANAL!$W$7:$W$506)/H125),0))</f>
        <v/>
      </c>
      <c r="O125" s="57"/>
      <c r="P125" s="57"/>
      <c r="Q125" s="57"/>
      <c r="R125" s="57"/>
      <c r="S125" s="57"/>
      <c r="T125" s="57"/>
      <c r="U125" s="9" t="s">
        <v>17569</v>
      </c>
    </row>
    <row r="126" customFormat="false" ht="15" hidden="false" customHeight="false" outlineLevel="0" collapsed="false">
      <c r="A126" s="9" t="s">
        <v>5877</v>
      </c>
      <c r="B126" s="9" t="s">
        <v>17492</v>
      </c>
      <c r="C126" s="16" t="str">
        <f aca="false">IF(B126="","",IFERROR(INDEX(EDT!$E$5:$E$436,MATCH(B126,EDT!$H$5:$H$436,0)),IFERROR(INDEX(CRONOGRAMA!$G$5:$G$5679,MATCH(A126,CRONOGRAMA!$A$5:$A$5679,0)),"Fuera EDT")))</f>
        <v>02</v>
      </c>
      <c r="D126" s="16" t="str">
        <f aca="false">IF(C126="","",IFERROR(INDEX(MASTER!$B$19:$B$109,MATCH(C126,MASTER!$A$19:$A$109,0)),"Asignar fase"))</f>
        <v>Estructuras</v>
      </c>
      <c r="E126" s="9" t="s">
        <v>121</v>
      </c>
      <c r="F126" s="9"/>
      <c r="G126" s="9"/>
      <c r="H126" s="56"/>
      <c r="I126" s="43" t="n">
        <v>46316</v>
      </c>
      <c r="J126" s="43" t="n">
        <v>46316</v>
      </c>
      <c r="K126" s="16" t="n">
        <f aca="false">IF(A126="","",COUNTIF(RESTRICCIONES!$B$5:$B$304,A126))</f>
        <v>0</v>
      </c>
      <c r="L126" s="16" t="n">
        <f aca="false">IF(A126="","",COUNTIFS(RESTRICCIONES!$B$5:$B$304,A126,RESTRICCIONES!$L$5:$L$304,"Pendiente"))</f>
        <v>0</v>
      </c>
      <c r="M126" s="18" t="str">
        <f aca="false">IF(A126="","",IF(L126=0,"LISTA","RESTRINGIDA"))</f>
        <v>LISTA</v>
      </c>
      <c r="N126" s="51" t="str">
        <f aca="false">IF(OR(A126="",H126=""),"",IFERROR(MIN(1,SUMIF(SEMANAL!$C$7:$C$506,A126,SEMANAL!$W$7:$W$506)/H126),0))</f>
        <v/>
      </c>
      <c r="O126" s="57"/>
      <c r="P126" s="57"/>
      <c r="Q126" s="57"/>
      <c r="R126" s="57"/>
      <c r="S126" s="57"/>
      <c r="T126" s="57"/>
      <c r="U126" s="9" t="s">
        <v>17570</v>
      </c>
    </row>
    <row r="127" customFormat="false" ht="15" hidden="false" customHeight="false" outlineLevel="0" collapsed="false">
      <c r="A127" s="9" t="s">
        <v>8192</v>
      </c>
      <c r="B127" s="9" t="s">
        <v>17571</v>
      </c>
      <c r="C127" s="16" t="str">
        <f aca="false">IF(B127="","",IFERROR(INDEX(EDT!$E$5:$E$436,MATCH(B127,EDT!$H$5:$H$436,0)),IFERROR(INDEX(CRONOGRAMA!$G$5:$G$5679,MATCH(A127,CRONOGRAMA!$A$5:$A$5679,0)),"Fuera EDT")))</f>
        <v>03</v>
      </c>
      <c r="D127" s="16" t="str">
        <f aca="false">IF(C127="","",IFERROR(INDEX(MASTER!$B$19:$B$109,MATCH(C127,MASTER!$A$19:$A$109,0)),"Asignar fase"))</f>
        <v>Arquitectura</v>
      </c>
      <c r="E127" s="9" t="s">
        <v>86</v>
      </c>
      <c r="F127" s="9"/>
      <c r="G127" s="9"/>
      <c r="H127" s="56"/>
      <c r="I127" s="43" t="n">
        <v>46316</v>
      </c>
      <c r="J127" s="43" t="n">
        <v>46316</v>
      </c>
      <c r="K127" s="16" t="n">
        <f aca="false">IF(A127="","",COUNTIF(RESTRICCIONES!$B$5:$B$304,A127))</f>
        <v>0</v>
      </c>
      <c r="L127" s="16" t="n">
        <f aca="false">IF(A127="","",COUNTIFS(RESTRICCIONES!$B$5:$B$304,A127,RESTRICCIONES!$L$5:$L$304,"Pendiente"))</f>
        <v>0</v>
      </c>
      <c r="M127" s="18" t="str">
        <f aca="false">IF(A127="","",IF(L127=0,"LISTA","RESTRINGIDA"))</f>
        <v>LISTA</v>
      </c>
      <c r="N127" s="51" t="str">
        <f aca="false">IF(OR(A127="",H127=""),"",IFERROR(MIN(1,SUMIF(SEMANAL!$C$7:$C$506,A127,SEMANAL!$W$7:$W$506)/H127),0))</f>
        <v/>
      </c>
      <c r="O127" s="57"/>
      <c r="P127" s="57"/>
      <c r="Q127" s="57"/>
      <c r="R127" s="57"/>
      <c r="S127" s="57"/>
      <c r="T127" s="57"/>
      <c r="U127" s="9" t="s">
        <v>17572</v>
      </c>
    </row>
    <row r="128" customFormat="false" ht="15" hidden="false" customHeight="false" outlineLevel="0" collapsed="false">
      <c r="A128" s="9" t="s">
        <v>4095</v>
      </c>
      <c r="B128" s="9" t="s">
        <v>17573</v>
      </c>
      <c r="C128" s="16" t="str">
        <f aca="false">IF(B128="","",IFERROR(INDEX(EDT!$E$5:$E$436,MATCH(B128,EDT!$H$5:$H$436,0)),IFERROR(INDEX(CRONOGRAMA!$G$5:$G$5679,MATCH(A128,CRONOGRAMA!$A$5:$A$5679,0)),"Fuera EDT")))</f>
        <v>02</v>
      </c>
      <c r="D128" s="16" t="str">
        <f aca="false">IF(C128="","",IFERROR(INDEX(MASTER!$B$19:$B$109,MATCH(C128,MASTER!$A$19:$A$109,0)),"Asignar fase"))</f>
        <v>Estructuras</v>
      </c>
      <c r="E128" s="9" t="s">
        <v>92</v>
      </c>
      <c r="F128" s="9"/>
      <c r="G128" s="9"/>
      <c r="H128" s="56"/>
      <c r="I128" s="43" t="n">
        <v>46317</v>
      </c>
      <c r="J128" s="43" t="n">
        <v>46317</v>
      </c>
      <c r="K128" s="16" t="n">
        <f aca="false">IF(A128="","",COUNTIF(RESTRICCIONES!$B$5:$B$304,A128))</f>
        <v>0</v>
      </c>
      <c r="L128" s="16" t="n">
        <f aca="false">IF(A128="","",COUNTIFS(RESTRICCIONES!$B$5:$B$304,A128,RESTRICCIONES!$L$5:$L$304,"Pendiente"))</f>
        <v>0</v>
      </c>
      <c r="M128" s="18" t="str">
        <f aca="false">IF(A128="","",IF(L128=0,"LISTA","RESTRINGIDA"))</f>
        <v>LISTA</v>
      </c>
      <c r="N128" s="51" t="str">
        <f aca="false">IF(OR(A128="",H128=""),"",IFERROR(MIN(1,SUMIF(SEMANAL!$C$7:$C$506,A128,SEMANAL!$W$7:$W$506)/H128),0))</f>
        <v/>
      </c>
      <c r="O128" s="57"/>
      <c r="P128" s="57"/>
      <c r="Q128" s="57"/>
      <c r="R128" s="57"/>
      <c r="S128" s="57"/>
      <c r="T128" s="57"/>
      <c r="U128" s="9" t="s">
        <v>17574</v>
      </c>
    </row>
    <row r="129" customFormat="false" ht="15" hidden="false" customHeight="false" outlineLevel="0" collapsed="false">
      <c r="A129" s="9" t="s">
        <v>4135</v>
      </c>
      <c r="B129" s="9" t="s">
        <v>17443</v>
      </c>
      <c r="C129" s="16" t="str">
        <f aca="false">IF(B129="","",IFERROR(INDEX(EDT!$E$5:$E$436,MATCH(B129,EDT!$H$5:$H$436,0)),IFERROR(INDEX(CRONOGRAMA!$G$5:$G$5679,MATCH(A129,CRONOGRAMA!$A$5:$A$5679,0)),"Fuera EDT")))</f>
        <v>02</v>
      </c>
      <c r="D129" s="16" t="str">
        <f aca="false">IF(C129="","",IFERROR(INDEX(MASTER!$B$19:$B$109,MATCH(C129,MASTER!$A$19:$A$109,0)),"Asignar fase"))</f>
        <v>Estructuras</v>
      </c>
      <c r="E129" s="9" t="s">
        <v>92</v>
      </c>
      <c r="F129" s="9"/>
      <c r="G129" s="9"/>
      <c r="H129" s="56"/>
      <c r="I129" s="43" t="n">
        <v>46317</v>
      </c>
      <c r="J129" s="43" t="n">
        <v>46318</v>
      </c>
      <c r="K129" s="16" t="n">
        <f aca="false">IF(A129="","",COUNTIF(RESTRICCIONES!$B$5:$B$304,A129))</f>
        <v>0</v>
      </c>
      <c r="L129" s="16" t="n">
        <f aca="false">IF(A129="","",COUNTIFS(RESTRICCIONES!$B$5:$B$304,A129,RESTRICCIONES!$L$5:$L$304,"Pendiente"))</f>
        <v>0</v>
      </c>
      <c r="M129" s="18" t="str">
        <f aca="false">IF(A129="","",IF(L129=0,"LISTA","RESTRINGIDA"))</f>
        <v>LISTA</v>
      </c>
      <c r="N129" s="51" t="str">
        <f aca="false">IF(OR(A129="",H129=""),"",IFERROR(MIN(1,SUMIF(SEMANAL!$C$7:$C$506,A129,SEMANAL!$W$7:$W$506)/H129),0))</f>
        <v/>
      </c>
      <c r="O129" s="57"/>
      <c r="P129" s="57"/>
      <c r="Q129" s="57"/>
      <c r="R129" s="57"/>
      <c r="S129" s="57"/>
      <c r="T129" s="57"/>
      <c r="U129" s="9" t="s">
        <v>17575</v>
      </c>
    </row>
    <row r="130" customFormat="false" ht="15" hidden="false" customHeight="false" outlineLevel="0" collapsed="false">
      <c r="A130" s="9" t="s">
        <v>5491</v>
      </c>
      <c r="B130" s="9" t="s">
        <v>17576</v>
      </c>
      <c r="C130" s="16" t="str">
        <f aca="false">IF(B130="","",IFERROR(INDEX(EDT!$E$5:$E$436,MATCH(B130,EDT!$H$5:$H$436,0)),IFERROR(INDEX(CRONOGRAMA!$G$5:$G$5679,MATCH(A130,CRONOGRAMA!$A$5:$A$5679,0)),"Fuera EDT")))</f>
        <v>02</v>
      </c>
      <c r="D130" s="16" t="str">
        <f aca="false">IF(C130="","",IFERROR(INDEX(MASTER!$B$19:$B$109,MATCH(C130,MASTER!$A$19:$A$109,0)),"Asignar fase"))</f>
        <v>Estructuras</v>
      </c>
      <c r="E130" s="9" t="s">
        <v>114</v>
      </c>
      <c r="F130" s="9"/>
      <c r="G130" s="9"/>
      <c r="H130" s="56"/>
      <c r="I130" s="43" t="n">
        <v>46317</v>
      </c>
      <c r="J130" s="43" t="n">
        <v>46317</v>
      </c>
      <c r="K130" s="16" t="n">
        <f aca="false">IF(A130="","",COUNTIF(RESTRICCIONES!$B$5:$B$304,A130))</f>
        <v>0</v>
      </c>
      <c r="L130" s="16" t="n">
        <f aca="false">IF(A130="","",COUNTIFS(RESTRICCIONES!$B$5:$B$304,A130,RESTRICCIONES!$L$5:$L$304,"Pendiente"))</f>
        <v>0</v>
      </c>
      <c r="M130" s="18" t="str">
        <f aca="false">IF(A130="","",IF(L130=0,"LISTA","RESTRINGIDA"))</f>
        <v>LISTA</v>
      </c>
      <c r="N130" s="51" t="str">
        <f aca="false">IF(OR(A130="",H130=""),"",IFERROR(MIN(1,SUMIF(SEMANAL!$C$7:$C$506,A130,SEMANAL!$W$7:$W$506)/H130),0))</f>
        <v/>
      </c>
      <c r="O130" s="57"/>
      <c r="P130" s="57"/>
      <c r="Q130" s="57"/>
      <c r="R130" s="57"/>
      <c r="S130" s="57"/>
      <c r="T130" s="57"/>
      <c r="U130" s="9" t="s">
        <v>17577</v>
      </c>
    </row>
    <row r="131" customFormat="false" ht="15" hidden="false" customHeight="false" outlineLevel="0" collapsed="false">
      <c r="A131" s="9" t="s">
        <v>5502</v>
      </c>
      <c r="B131" s="9" t="s">
        <v>17471</v>
      </c>
      <c r="C131" s="16" t="str">
        <f aca="false">IF(B131="","",IFERROR(INDEX(EDT!$E$5:$E$436,MATCH(B131,EDT!$H$5:$H$436,0)),IFERROR(INDEX(CRONOGRAMA!$G$5:$G$5679,MATCH(A131,CRONOGRAMA!$A$5:$A$5679,0)),"Fuera EDT")))</f>
        <v>02</v>
      </c>
      <c r="D131" s="16" t="str">
        <f aca="false">IF(C131="","",IFERROR(INDEX(MASTER!$B$19:$B$109,MATCH(C131,MASTER!$A$19:$A$109,0)),"Asignar fase"))</f>
        <v>Estructuras</v>
      </c>
      <c r="E131" s="9" t="s">
        <v>114</v>
      </c>
      <c r="F131" s="9"/>
      <c r="G131" s="9"/>
      <c r="H131" s="56"/>
      <c r="I131" s="43" t="n">
        <v>46317</v>
      </c>
      <c r="J131" s="43" t="n">
        <v>46317</v>
      </c>
      <c r="K131" s="16" t="n">
        <f aca="false">IF(A131="","",COUNTIF(RESTRICCIONES!$B$5:$B$304,A131))</f>
        <v>0</v>
      </c>
      <c r="L131" s="16" t="n">
        <f aca="false">IF(A131="","",COUNTIFS(RESTRICCIONES!$B$5:$B$304,A131,RESTRICCIONES!$L$5:$L$304,"Pendiente"))</f>
        <v>0</v>
      </c>
      <c r="M131" s="18" t="str">
        <f aca="false">IF(A131="","",IF(L131=0,"LISTA","RESTRINGIDA"))</f>
        <v>LISTA</v>
      </c>
      <c r="N131" s="51" t="str">
        <f aca="false">IF(OR(A131="",H131=""),"",IFERROR(MIN(1,SUMIF(SEMANAL!$C$7:$C$506,A131,SEMANAL!$W$7:$W$506)/H131),0))</f>
        <v/>
      </c>
      <c r="O131" s="57"/>
      <c r="P131" s="57"/>
      <c r="Q131" s="57"/>
      <c r="R131" s="57"/>
      <c r="S131" s="57"/>
      <c r="T131" s="57"/>
      <c r="U131" s="9" t="s">
        <v>17577</v>
      </c>
    </row>
    <row r="132" customFormat="false" ht="15" hidden="false" customHeight="false" outlineLevel="0" collapsed="false">
      <c r="A132" s="9" t="s">
        <v>5996</v>
      </c>
      <c r="B132" s="9" t="s">
        <v>17544</v>
      </c>
      <c r="C132" s="16" t="str">
        <f aca="false">IF(B132="","",IFERROR(INDEX(EDT!$E$5:$E$436,MATCH(B132,EDT!$H$5:$H$436,0)),IFERROR(INDEX(CRONOGRAMA!$G$5:$G$5679,MATCH(A132,CRONOGRAMA!$A$5:$A$5679,0)),"Fuera EDT")))</f>
        <v>02</v>
      </c>
      <c r="D132" s="16" t="str">
        <f aca="false">IF(C132="","",IFERROR(INDEX(MASTER!$B$19:$B$109,MATCH(C132,MASTER!$A$19:$A$109,0)),"Asignar fase"))</f>
        <v>Estructuras</v>
      </c>
      <c r="E132" s="9" t="s">
        <v>121</v>
      </c>
      <c r="F132" s="9"/>
      <c r="G132" s="9"/>
      <c r="H132" s="56"/>
      <c r="I132" s="43" t="n">
        <v>46317</v>
      </c>
      <c r="J132" s="43" t="n">
        <v>46317</v>
      </c>
      <c r="K132" s="16" t="n">
        <f aca="false">IF(A132="","",COUNTIF(RESTRICCIONES!$B$5:$B$304,A132))</f>
        <v>0</v>
      </c>
      <c r="L132" s="16" t="n">
        <f aca="false">IF(A132="","",COUNTIFS(RESTRICCIONES!$B$5:$B$304,A132,RESTRICCIONES!$L$5:$L$304,"Pendiente"))</f>
        <v>0</v>
      </c>
      <c r="M132" s="18" t="str">
        <f aca="false">IF(A132="","",IF(L132=0,"LISTA","RESTRINGIDA"))</f>
        <v>LISTA</v>
      </c>
      <c r="N132" s="51" t="str">
        <f aca="false">IF(OR(A132="",H132=""),"",IFERROR(MIN(1,SUMIF(SEMANAL!$C$7:$C$506,A132,SEMANAL!$W$7:$W$506)/H132),0))</f>
        <v/>
      </c>
      <c r="O132" s="57"/>
      <c r="P132" s="57"/>
      <c r="Q132" s="57"/>
      <c r="R132" s="57"/>
      <c r="S132" s="57"/>
      <c r="T132" s="57"/>
      <c r="U132" s="9" t="s">
        <v>17578</v>
      </c>
    </row>
    <row r="133" customFormat="false" ht="15" hidden="false" customHeight="false" outlineLevel="0" collapsed="false">
      <c r="A133" s="9" t="s">
        <v>8197</v>
      </c>
      <c r="B133" s="9" t="s">
        <v>17408</v>
      </c>
      <c r="C133" s="16" t="str">
        <f aca="false">IF(B133="","",IFERROR(INDEX(EDT!$E$5:$E$436,MATCH(B133,EDT!$H$5:$H$436,0)),IFERROR(INDEX(CRONOGRAMA!$G$5:$G$5679,MATCH(A133,CRONOGRAMA!$A$5:$A$5679,0)),"Fuera EDT")))</f>
        <v>03</v>
      </c>
      <c r="D133" s="16" t="str">
        <f aca="false">IF(C133="","",IFERROR(INDEX(MASTER!$B$19:$B$109,MATCH(C133,MASTER!$A$19:$A$109,0)),"Asignar fase"))</f>
        <v>Arquitectura</v>
      </c>
      <c r="E133" s="9" t="s">
        <v>86</v>
      </c>
      <c r="F133" s="9"/>
      <c r="G133" s="9"/>
      <c r="H133" s="56"/>
      <c r="I133" s="43" t="n">
        <v>46317</v>
      </c>
      <c r="J133" s="43" t="n">
        <v>46329</v>
      </c>
      <c r="K133" s="16" t="n">
        <f aca="false">IF(A133="","",COUNTIF(RESTRICCIONES!$B$5:$B$304,A133))</f>
        <v>0</v>
      </c>
      <c r="L133" s="16" t="n">
        <f aca="false">IF(A133="","",COUNTIFS(RESTRICCIONES!$B$5:$B$304,A133,RESTRICCIONES!$L$5:$L$304,"Pendiente"))</f>
        <v>0</v>
      </c>
      <c r="M133" s="18" t="str">
        <f aca="false">IF(A133="","",IF(L133=0,"LISTA","RESTRINGIDA"))</f>
        <v>LISTA</v>
      </c>
      <c r="N133" s="51" t="str">
        <f aca="false">IF(OR(A133="",H133=""),"",IFERROR(MIN(1,SUMIF(SEMANAL!$C$7:$C$506,A133,SEMANAL!$W$7:$W$506)/H133),0))</f>
        <v/>
      </c>
      <c r="O133" s="57"/>
      <c r="P133" s="57"/>
      <c r="Q133" s="57"/>
      <c r="R133" s="57"/>
      <c r="S133" s="57"/>
      <c r="T133" s="57"/>
      <c r="U133" s="9" t="s">
        <v>17579</v>
      </c>
    </row>
    <row r="134" customFormat="false" ht="15" hidden="false" customHeight="false" outlineLevel="0" collapsed="false">
      <c r="A134" s="9" t="s">
        <v>9387</v>
      </c>
      <c r="B134" s="9" t="s">
        <v>17408</v>
      </c>
      <c r="C134" s="16" t="str">
        <f aca="false">IF(B134="","",IFERROR(INDEX(EDT!$E$5:$E$436,MATCH(B134,EDT!$H$5:$H$436,0)),IFERROR(INDEX(CRONOGRAMA!$G$5:$G$5679,MATCH(A134,CRONOGRAMA!$A$5:$A$5679,0)),"Fuera EDT")))</f>
        <v>03</v>
      </c>
      <c r="D134" s="16" t="str">
        <f aca="false">IF(C134="","",IFERROR(INDEX(MASTER!$B$19:$B$109,MATCH(C134,MASTER!$A$19:$A$109,0)),"Asignar fase"))</f>
        <v>Arquitectura</v>
      </c>
      <c r="E134" s="9" t="s">
        <v>121</v>
      </c>
      <c r="F134" s="9"/>
      <c r="G134" s="9"/>
      <c r="H134" s="56"/>
      <c r="I134" s="43" t="n">
        <v>46317</v>
      </c>
      <c r="J134" s="43" t="n">
        <v>46322</v>
      </c>
      <c r="K134" s="16" t="n">
        <f aca="false">IF(A134="","",COUNTIF(RESTRICCIONES!$B$5:$B$304,A134))</f>
        <v>0</v>
      </c>
      <c r="L134" s="16" t="n">
        <f aca="false">IF(A134="","",COUNTIFS(RESTRICCIONES!$B$5:$B$304,A134,RESTRICCIONES!$L$5:$L$304,"Pendiente"))</f>
        <v>0</v>
      </c>
      <c r="M134" s="18" t="str">
        <f aca="false">IF(A134="","",IF(L134=0,"LISTA","RESTRINGIDA"))</f>
        <v>LISTA</v>
      </c>
      <c r="N134" s="51" t="str">
        <f aca="false">IF(OR(A134="",H134=""),"",IFERROR(MIN(1,SUMIF(SEMANAL!$C$7:$C$506,A134,SEMANAL!$W$7:$W$506)/H134),0))</f>
        <v/>
      </c>
      <c r="O134" s="57"/>
      <c r="P134" s="57"/>
      <c r="Q134" s="57"/>
      <c r="R134" s="57"/>
      <c r="S134" s="57"/>
      <c r="T134" s="57"/>
      <c r="U134" s="9" t="s">
        <v>17578</v>
      </c>
    </row>
    <row r="135" customFormat="false" ht="15" hidden="false" customHeight="false" outlineLevel="0" collapsed="false">
      <c r="A135" s="9" t="s">
        <v>9389</v>
      </c>
      <c r="B135" s="9" t="s">
        <v>17391</v>
      </c>
      <c r="C135" s="16" t="str">
        <f aca="false">IF(B135="","",IFERROR(INDEX(EDT!$E$5:$E$436,MATCH(B135,EDT!$H$5:$H$436,0)),IFERROR(INDEX(CRONOGRAMA!$G$5:$G$5679,MATCH(A135,CRONOGRAMA!$A$5:$A$5679,0)),"Fuera EDT")))</f>
        <v>03</v>
      </c>
      <c r="D135" s="16" t="str">
        <f aca="false">IF(C135="","",IFERROR(INDEX(MASTER!$B$19:$B$109,MATCH(C135,MASTER!$A$19:$A$109,0)),"Asignar fase"))</f>
        <v>Arquitectura</v>
      </c>
      <c r="E135" s="9" t="s">
        <v>121</v>
      </c>
      <c r="F135" s="9"/>
      <c r="G135" s="9"/>
      <c r="H135" s="56"/>
      <c r="I135" s="43" t="n">
        <v>46317</v>
      </c>
      <c r="J135" s="43" t="n">
        <v>46319</v>
      </c>
      <c r="K135" s="16" t="n">
        <f aca="false">IF(A135="","",COUNTIF(RESTRICCIONES!$B$5:$B$304,A135))</f>
        <v>0</v>
      </c>
      <c r="L135" s="16" t="n">
        <f aca="false">IF(A135="","",COUNTIFS(RESTRICCIONES!$B$5:$B$304,A135,RESTRICCIONES!$L$5:$L$304,"Pendiente"))</f>
        <v>0</v>
      </c>
      <c r="M135" s="18" t="str">
        <f aca="false">IF(A135="","",IF(L135=0,"LISTA","RESTRINGIDA"))</f>
        <v>LISTA</v>
      </c>
      <c r="N135" s="51" t="str">
        <f aca="false">IF(OR(A135="",H135=""),"",IFERROR(MIN(1,SUMIF(SEMANAL!$C$7:$C$506,A135,SEMANAL!$W$7:$W$506)/H135),0))</f>
        <v/>
      </c>
      <c r="O135" s="57"/>
      <c r="P135" s="57"/>
      <c r="Q135" s="57"/>
      <c r="R135" s="57"/>
      <c r="S135" s="57"/>
      <c r="T135" s="57"/>
      <c r="U135" s="9" t="s">
        <v>17580</v>
      </c>
    </row>
    <row r="136" customFormat="false" ht="15" hidden="false" customHeight="false" outlineLevel="0" collapsed="false">
      <c r="A136" s="9" t="s">
        <v>4104</v>
      </c>
      <c r="B136" s="9" t="s">
        <v>17581</v>
      </c>
      <c r="C136" s="16" t="str">
        <f aca="false">IF(B136="","",IFERROR(INDEX(EDT!$E$5:$E$436,MATCH(B136,EDT!$H$5:$H$436,0)),IFERROR(INDEX(CRONOGRAMA!$G$5:$G$5679,MATCH(A136,CRONOGRAMA!$A$5:$A$5679,0)),"Fuera EDT")))</f>
        <v>02</v>
      </c>
      <c r="D136" s="16" t="str">
        <f aca="false">IF(C136="","",IFERROR(INDEX(MASTER!$B$19:$B$109,MATCH(C136,MASTER!$A$19:$A$109,0)),"Asignar fase"))</f>
        <v>Estructuras</v>
      </c>
      <c r="E136" s="9" t="s">
        <v>92</v>
      </c>
      <c r="F136" s="9"/>
      <c r="G136" s="9"/>
      <c r="H136" s="56"/>
      <c r="I136" s="43" t="n">
        <v>46318</v>
      </c>
      <c r="J136" s="43" t="n">
        <v>46319</v>
      </c>
      <c r="K136" s="16" t="n">
        <f aca="false">IF(A136="","",COUNTIF(RESTRICCIONES!$B$5:$B$304,A136))</f>
        <v>0</v>
      </c>
      <c r="L136" s="16" t="n">
        <f aca="false">IF(A136="","",COUNTIFS(RESTRICCIONES!$B$5:$B$304,A136,RESTRICCIONES!$L$5:$L$304,"Pendiente"))</f>
        <v>0</v>
      </c>
      <c r="M136" s="18" t="str">
        <f aca="false">IF(A136="","",IF(L136=0,"LISTA","RESTRINGIDA"))</f>
        <v>LISTA</v>
      </c>
      <c r="N136" s="51" t="str">
        <f aca="false">IF(OR(A136="",H136=""),"",IFERROR(MIN(1,SUMIF(SEMANAL!$C$7:$C$506,A136,SEMANAL!$W$7:$W$506)/H136),0))</f>
        <v/>
      </c>
      <c r="O136" s="57"/>
      <c r="P136" s="57"/>
      <c r="Q136" s="57"/>
      <c r="R136" s="57"/>
      <c r="S136" s="57"/>
      <c r="T136" s="57"/>
      <c r="U136" s="9" t="s">
        <v>17582</v>
      </c>
    </row>
    <row r="137" customFormat="false" ht="15" hidden="false" customHeight="false" outlineLevel="0" collapsed="false">
      <c r="A137" s="9" t="s">
        <v>4178</v>
      </c>
      <c r="B137" s="9" t="s">
        <v>17445</v>
      </c>
      <c r="C137" s="16" t="str">
        <f aca="false">IF(B137="","",IFERROR(INDEX(EDT!$E$5:$E$436,MATCH(B137,EDT!$H$5:$H$436,0)),IFERROR(INDEX(CRONOGRAMA!$G$5:$G$5679,MATCH(A137,CRONOGRAMA!$A$5:$A$5679,0)),"Fuera EDT")))</f>
        <v>02</v>
      </c>
      <c r="D137" s="16" t="str">
        <f aca="false">IF(C137="","",IFERROR(INDEX(MASTER!$B$19:$B$109,MATCH(C137,MASTER!$A$19:$A$109,0)),"Asignar fase"))</f>
        <v>Estructuras</v>
      </c>
      <c r="E137" s="9" t="s">
        <v>92</v>
      </c>
      <c r="F137" s="9"/>
      <c r="G137" s="9"/>
      <c r="H137" s="56"/>
      <c r="I137" s="43" t="n">
        <v>46318</v>
      </c>
      <c r="J137" s="43" t="n">
        <v>46351</v>
      </c>
      <c r="K137" s="16" t="n">
        <f aca="false">IF(A137="","",COUNTIF(RESTRICCIONES!$B$5:$B$304,A137))</f>
        <v>0</v>
      </c>
      <c r="L137" s="16" t="n">
        <f aca="false">IF(A137="","",COUNTIFS(RESTRICCIONES!$B$5:$B$304,A137,RESTRICCIONES!$L$5:$L$304,"Pendiente"))</f>
        <v>0</v>
      </c>
      <c r="M137" s="18" t="str">
        <f aca="false">IF(A137="","",IF(L137=0,"LISTA","RESTRINGIDA"))</f>
        <v>LISTA</v>
      </c>
      <c r="N137" s="51" t="str">
        <f aca="false">IF(OR(A137="",H137=""),"",IFERROR(MIN(1,SUMIF(SEMANAL!$C$7:$C$506,A137,SEMANAL!$W$7:$W$506)/H137),0))</f>
        <v/>
      </c>
      <c r="O137" s="57"/>
      <c r="P137" s="57"/>
      <c r="Q137" s="57"/>
      <c r="R137" s="57"/>
      <c r="S137" s="57"/>
      <c r="T137" s="57"/>
      <c r="U137" s="9" t="s">
        <v>17583</v>
      </c>
    </row>
    <row r="138" customFormat="false" ht="15" hidden="false" customHeight="false" outlineLevel="0" collapsed="false">
      <c r="A138" s="9" t="s">
        <v>4204</v>
      </c>
      <c r="B138" s="9" t="s">
        <v>17475</v>
      </c>
      <c r="C138" s="16" t="str">
        <f aca="false">IF(B138="","",IFERROR(INDEX(EDT!$E$5:$E$436,MATCH(B138,EDT!$H$5:$H$436,0)),IFERROR(INDEX(CRONOGRAMA!$G$5:$G$5679,MATCH(A138,CRONOGRAMA!$A$5:$A$5679,0)),"Fuera EDT")))</f>
        <v>02</v>
      </c>
      <c r="D138" s="16" t="str">
        <f aca="false">IF(C138="","",IFERROR(INDEX(MASTER!$B$19:$B$109,MATCH(C138,MASTER!$A$19:$A$109,0)),"Asignar fase"))</f>
        <v>Estructuras</v>
      </c>
      <c r="E138" s="9" t="s">
        <v>92</v>
      </c>
      <c r="F138" s="9"/>
      <c r="G138" s="9"/>
      <c r="H138" s="56"/>
      <c r="I138" s="43" t="n">
        <v>46318</v>
      </c>
      <c r="J138" s="43" t="n">
        <v>46327</v>
      </c>
      <c r="K138" s="16" t="n">
        <f aca="false">IF(A138="","",COUNTIF(RESTRICCIONES!$B$5:$B$304,A138))</f>
        <v>0</v>
      </c>
      <c r="L138" s="16" t="n">
        <f aca="false">IF(A138="","",COUNTIFS(RESTRICCIONES!$B$5:$B$304,A138,RESTRICCIONES!$L$5:$L$304,"Pendiente"))</f>
        <v>0</v>
      </c>
      <c r="M138" s="18" t="str">
        <f aca="false">IF(A138="","",IF(L138=0,"LISTA","RESTRINGIDA"))</f>
        <v>LISTA</v>
      </c>
      <c r="N138" s="51" t="str">
        <f aca="false">IF(OR(A138="",H138=""),"",IFERROR(MIN(1,SUMIF(SEMANAL!$C$7:$C$506,A138,SEMANAL!$W$7:$W$506)/H138),0))</f>
        <v/>
      </c>
      <c r="O138" s="57"/>
      <c r="P138" s="57"/>
      <c r="Q138" s="57"/>
      <c r="R138" s="57"/>
      <c r="S138" s="57"/>
      <c r="T138" s="57"/>
      <c r="U138" s="9" t="s">
        <v>17584</v>
      </c>
    </row>
    <row r="139" customFormat="false" ht="15" hidden="false" customHeight="false" outlineLevel="0" collapsed="false">
      <c r="A139" s="9" t="s">
        <v>5499</v>
      </c>
      <c r="B139" s="9" t="s">
        <v>17585</v>
      </c>
      <c r="C139" s="16" t="str">
        <f aca="false">IF(B139="","",IFERROR(INDEX(EDT!$E$5:$E$436,MATCH(B139,EDT!$H$5:$H$436,0)),IFERROR(INDEX(CRONOGRAMA!$G$5:$G$5679,MATCH(A139,CRONOGRAMA!$A$5:$A$5679,0)),"Fuera EDT")))</f>
        <v>02</v>
      </c>
      <c r="D139" s="16" t="str">
        <f aca="false">IF(C139="","",IFERROR(INDEX(MASTER!$B$19:$B$109,MATCH(C139,MASTER!$A$19:$A$109,0)),"Asignar fase"))</f>
        <v>Estructuras</v>
      </c>
      <c r="E139" s="9" t="s">
        <v>114</v>
      </c>
      <c r="F139" s="9"/>
      <c r="G139" s="9"/>
      <c r="H139" s="56"/>
      <c r="I139" s="43" t="n">
        <v>46318</v>
      </c>
      <c r="J139" s="43" t="n">
        <v>46319</v>
      </c>
      <c r="K139" s="16" t="n">
        <f aca="false">IF(A139="","",COUNTIF(RESTRICCIONES!$B$5:$B$304,A139))</f>
        <v>0</v>
      </c>
      <c r="L139" s="16" t="n">
        <f aca="false">IF(A139="","",COUNTIFS(RESTRICCIONES!$B$5:$B$304,A139,RESTRICCIONES!$L$5:$L$304,"Pendiente"))</f>
        <v>0</v>
      </c>
      <c r="M139" s="18" t="str">
        <f aca="false">IF(A139="","",IF(L139=0,"LISTA","RESTRINGIDA"))</f>
        <v>LISTA</v>
      </c>
      <c r="N139" s="51" t="str">
        <f aca="false">IF(OR(A139="",H139=""),"",IFERROR(MIN(1,SUMIF(SEMANAL!$C$7:$C$506,A139,SEMANAL!$W$7:$W$506)/H139),0))</f>
        <v/>
      </c>
      <c r="O139" s="57"/>
      <c r="P139" s="57"/>
      <c r="Q139" s="57"/>
      <c r="R139" s="57"/>
      <c r="S139" s="57"/>
      <c r="T139" s="57"/>
      <c r="U139" s="9" t="s">
        <v>17586</v>
      </c>
    </row>
    <row r="140" customFormat="false" ht="15" hidden="false" customHeight="false" outlineLevel="0" collapsed="false">
      <c r="A140" s="9" t="s">
        <v>5901</v>
      </c>
      <c r="B140" s="9" t="s">
        <v>17587</v>
      </c>
      <c r="C140" s="16" t="str">
        <f aca="false">IF(B140="","",IFERROR(INDEX(EDT!$E$5:$E$436,MATCH(B140,EDT!$H$5:$H$436,0)),IFERROR(INDEX(CRONOGRAMA!$G$5:$G$5679,MATCH(A140,CRONOGRAMA!$A$5:$A$5679,0)),"Fuera EDT")))</f>
        <v>02</v>
      </c>
      <c r="D140" s="16" t="str">
        <f aca="false">IF(C140="","",IFERROR(INDEX(MASTER!$B$19:$B$109,MATCH(C140,MASTER!$A$19:$A$109,0)),"Asignar fase"))</f>
        <v>Estructuras</v>
      </c>
      <c r="E140" s="9" t="s">
        <v>121</v>
      </c>
      <c r="F140" s="9"/>
      <c r="G140" s="9"/>
      <c r="H140" s="56"/>
      <c r="I140" s="43" t="n">
        <v>46318</v>
      </c>
      <c r="J140" s="43" t="n">
        <v>46328</v>
      </c>
      <c r="K140" s="16" t="n">
        <f aca="false">IF(A140="","",COUNTIF(RESTRICCIONES!$B$5:$B$304,A140))</f>
        <v>0</v>
      </c>
      <c r="L140" s="16" t="n">
        <f aca="false">IF(A140="","",COUNTIFS(RESTRICCIONES!$B$5:$B$304,A140,RESTRICCIONES!$L$5:$L$304,"Pendiente"))</f>
        <v>0</v>
      </c>
      <c r="M140" s="18" t="str">
        <f aca="false">IF(A140="","",IF(L140=0,"LISTA","RESTRINGIDA"))</f>
        <v>LISTA</v>
      </c>
      <c r="N140" s="51" t="str">
        <f aca="false">IF(OR(A140="",H140=""),"",IFERROR(MIN(1,SUMIF(SEMANAL!$C$7:$C$506,A140,SEMANAL!$W$7:$W$506)/H140),0))</f>
        <v/>
      </c>
      <c r="O140" s="57"/>
      <c r="P140" s="57"/>
      <c r="Q140" s="57"/>
      <c r="R140" s="57"/>
      <c r="S140" s="57"/>
      <c r="T140" s="57"/>
      <c r="U140" s="9" t="s">
        <v>17588</v>
      </c>
    </row>
    <row r="141" customFormat="false" ht="15" hidden="false" customHeight="false" outlineLevel="0" collapsed="false">
      <c r="A141" s="9" t="s">
        <v>5993</v>
      </c>
      <c r="B141" s="9" t="s">
        <v>17557</v>
      </c>
      <c r="C141" s="16" t="str">
        <f aca="false">IF(B141="","",IFERROR(INDEX(EDT!$E$5:$E$436,MATCH(B141,EDT!$H$5:$H$436,0)),IFERROR(INDEX(CRONOGRAMA!$G$5:$G$5679,MATCH(A141,CRONOGRAMA!$A$5:$A$5679,0)),"Fuera EDT")))</f>
        <v>02</v>
      </c>
      <c r="D141" s="16" t="str">
        <f aca="false">IF(C141="","",IFERROR(INDEX(MASTER!$B$19:$B$109,MATCH(C141,MASTER!$A$19:$A$109,0)),"Asignar fase"))</f>
        <v>Estructuras</v>
      </c>
      <c r="E141" s="9" t="s">
        <v>121</v>
      </c>
      <c r="F141" s="9"/>
      <c r="G141" s="9"/>
      <c r="H141" s="56"/>
      <c r="I141" s="43" t="n">
        <v>46318</v>
      </c>
      <c r="J141" s="43" t="n">
        <v>46318</v>
      </c>
      <c r="K141" s="16" t="n">
        <f aca="false">IF(A141="","",COUNTIF(RESTRICCIONES!$B$5:$B$304,A141))</f>
        <v>0</v>
      </c>
      <c r="L141" s="16" t="n">
        <f aca="false">IF(A141="","",COUNTIFS(RESTRICCIONES!$B$5:$B$304,A141,RESTRICCIONES!$L$5:$L$304,"Pendiente"))</f>
        <v>0</v>
      </c>
      <c r="M141" s="18" t="str">
        <f aca="false">IF(A141="","",IF(L141=0,"LISTA","RESTRINGIDA"))</f>
        <v>LISTA</v>
      </c>
      <c r="N141" s="51" t="str">
        <f aca="false">IF(OR(A141="",H141=""),"",IFERROR(MIN(1,SUMIF(SEMANAL!$C$7:$C$506,A141,SEMANAL!$W$7:$W$506)/H141),0))</f>
        <v/>
      </c>
      <c r="O141" s="57"/>
      <c r="P141" s="57"/>
      <c r="Q141" s="57"/>
      <c r="R141" s="57"/>
      <c r="S141" s="57"/>
      <c r="T141" s="57"/>
      <c r="U141" s="9" t="s">
        <v>17589</v>
      </c>
    </row>
    <row r="142" customFormat="false" ht="15" hidden="false" customHeight="false" outlineLevel="0" collapsed="false">
      <c r="A142" s="9" t="s">
        <v>3997</v>
      </c>
      <c r="B142" s="9" t="s">
        <v>17590</v>
      </c>
      <c r="C142" s="16" t="str">
        <f aca="false">IF(B142="","",IFERROR(INDEX(EDT!$E$5:$E$436,MATCH(B142,EDT!$H$5:$H$436,0)),IFERROR(INDEX(CRONOGRAMA!$G$5:$G$5679,MATCH(A142,CRONOGRAMA!$A$5:$A$5679,0)),"Fuera EDT")))</f>
        <v>02</v>
      </c>
      <c r="D142" s="16" t="str">
        <f aca="false">IF(C142="","",IFERROR(INDEX(MASTER!$B$19:$B$109,MATCH(C142,MASTER!$A$19:$A$109,0)),"Asignar fase"))</f>
        <v>Estructuras</v>
      </c>
      <c r="E142" s="9" t="s">
        <v>86</v>
      </c>
      <c r="F142" s="9"/>
      <c r="G142" s="9"/>
      <c r="H142" s="56"/>
      <c r="I142" s="43" t="n">
        <v>46319</v>
      </c>
      <c r="J142" s="43" t="n">
        <v>46319</v>
      </c>
      <c r="K142" s="16" t="n">
        <f aca="false">IF(A142="","",COUNTIF(RESTRICCIONES!$B$5:$B$304,A142))</f>
        <v>0</v>
      </c>
      <c r="L142" s="16" t="n">
        <f aca="false">IF(A142="","",COUNTIFS(RESTRICCIONES!$B$5:$B$304,A142,RESTRICCIONES!$L$5:$L$304,"Pendiente"))</f>
        <v>0</v>
      </c>
      <c r="M142" s="18" t="str">
        <f aca="false">IF(A142="","",IF(L142=0,"LISTA","RESTRINGIDA"))</f>
        <v>LISTA</v>
      </c>
      <c r="N142" s="51" t="str">
        <f aca="false">IF(OR(A142="",H142=""),"",IFERROR(MIN(1,SUMIF(SEMANAL!$C$7:$C$506,A142,SEMANAL!$W$7:$W$506)/H142),0))</f>
        <v/>
      </c>
      <c r="O142" s="57"/>
      <c r="P142" s="57"/>
      <c r="Q142" s="57"/>
      <c r="R142" s="57"/>
      <c r="S142" s="57"/>
      <c r="T142" s="57"/>
      <c r="U142" s="9" t="s">
        <v>17591</v>
      </c>
    </row>
    <row r="143" customFormat="false" ht="15" hidden="false" customHeight="false" outlineLevel="0" collapsed="false">
      <c r="A143" s="9" t="s">
        <v>5990</v>
      </c>
      <c r="B143" s="9" t="s">
        <v>17568</v>
      </c>
      <c r="C143" s="16" t="str">
        <f aca="false">IF(B143="","",IFERROR(INDEX(EDT!$E$5:$E$436,MATCH(B143,EDT!$H$5:$H$436,0)),IFERROR(INDEX(CRONOGRAMA!$G$5:$G$5679,MATCH(A143,CRONOGRAMA!$A$5:$A$5679,0)),"Fuera EDT")))</f>
        <v>02</v>
      </c>
      <c r="D143" s="16" t="str">
        <f aca="false">IF(C143="","",IFERROR(INDEX(MASTER!$B$19:$B$109,MATCH(C143,MASTER!$A$19:$A$109,0)),"Asignar fase"))</f>
        <v>Estructuras</v>
      </c>
      <c r="E143" s="9" t="s">
        <v>121</v>
      </c>
      <c r="F143" s="9"/>
      <c r="G143" s="9"/>
      <c r="H143" s="56"/>
      <c r="I143" s="43" t="n">
        <v>46319</v>
      </c>
      <c r="J143" s="43" t="n">
        <v>46319</v>
      </c>
      <c r="K143" s="16" t="n">
        <f aca="false">IF(A143="","",COUNTIF(RESTRICCIONES!$B$5:$B$304,A143))</f>
        <v>0</v>
      </c>
      <c r="L143" s="16" t="n">
        <f aca="false">IF(A143="","",COUNTIFS(RESTRICCIONES!$B$5:$B$304,A143,RESTRICCIONES!$L$5:$L$304,"Pendiente"))</f>
        <v>0</v>
      </c>
      <c r="M143" s="18" t="str">
        <f aca="false">IF(A143="","",IF(L143=0,"LISTA","RESTRINGIDA"))</f>
        <v>LISTA</v>
      </c>
      <c r="N143" s="51" t="str">
        <f aca="false">IF(OR(A143="",H143=""),"",IFERROR(MIN(1,SUMIF(SEMANAL!$C$7:$C$506,A143,SEMANAL!$W$7:$W$506)/H143),0))</f>
        <v/>
      </c>
      <c r="O143" s="57"/>
      <c r="P143" s="57"/>
      <c r="Q143" s="57"/>
      <c r="R143" s="57"/>
      <c r="S143" s="57"/>
      <c r="T143" s="57"/>
      <c r="U143" s="9" t="s">
        <v>17592</v>
      </c>
    </row>
    <row r="144" customFormat="false" ht="15" hidden="false" customHeight="false" outlineLevel="0" collapsed="false">
      <c r="A144" s="9" t="s">
        <v>4005</v>
      </c>
      <c r="B144" s="9" t="s">
        <v>17593</v>
      </c>
      <c r="C144" s="16" t="str">
        <f aca="false">IF(B144="","",IFERROR(INDEX(EDT!$E$5:$E$436,MATCH(B144,EDT!$H$5:$H$436,0)),IFERROR(INDEX(CRONOGRAMA!$G$5:$G$5679,MATCH(A144,CRONOGRAMA!$A$5:$A$5679,0)),"Fuera EDT")))</f>
        <v>02</v>
      </c>
      <c r="D144" s="16" t="str">
        <f aca="false">IF(C144="","",IFERROR(INDEX(MASTER!$B$19:$B$109,MATCH(C144,MASTER!$A$19:$A$109,0)),"Asignar fase"))</f>
        <v>Estructuras</v>
      </c>
      <c r="E144" s="9" t="s">
        <v>86</v>
      </c>
      <c r="F144" s="9"/>
      <c r="G144" s="9"/>
      <c r="H144" s="56"/>
      <c r="I144" s="43" t="n">
        <v>46320</v>
      </c>
      <c r="J144" s="43" t="n">
        <v>46321</v>
      </c>
      <c r="K144" s="16" t="n">
        <f aca="false">IF(A144="","",COUNTIF(RESTRICCIONES!$B$5:$B$304,A144))</f>
        <v>0</v>
      </c>
      <c r="L144" s="16" t="n">
        <f aca="false">IF(A144="","",COUNTIFS(RESTRICCIONES!$B$5:$B$304,A144,RESTRICCIONES!$L$5:$L$304,"Pendiente"))</f>
        <v>0</v>
      </c>
      <c r="M144" s="18" t="str">
        <f aca="false">IF(A144="","",IF(L144=0,"LISTA","RESTRINGIDA"))</f>
        <v>LISTA</v>
      </c>
      <c r="N144" s="51" t="str">
        <f aca="false">IF(OR(A144="",H144=""),"",IFERROR(MIN(1,SUMIF(SEMANAL!$C$7:$C$506,A144,SEMANAL!$W$7:$W$506)/H144),0))</f>
        <v/>
      </c>
      <c r="O144" s="57"/>
      <c r="P144" s="57"/>
      <c r="Q144" s="57"/>
      <c r="R144" s="57"/>
      <c r="S144" s="57"/>
      <c r="T144" s="57"/>
      <c r="U144" s="9" t="s">
        <v>17594</v>
      </c>
    </row>
    <row r="145" customFormat="false" ht="15" hidden="false" customHeight="false" outlineLevel="0" collapsed="false">
      <c r="A145" s="9" t="s">
        <v>5496</v>
      </c>
      <c r="B145" s="9" t="s">
        <v>17595</v>
      </c>
      <c r="C145" s="16" t="str">
        <f aca="false">IF(B145="","",IFERROR(INDEX(EDT!$E$5:$E$436,MATCH(B145,EDT!$H$5:$H$436,0)),IFERROR(INDEX(CRONOGRAMA!$G$5:$G$5679,MATCH(A145,CRONOGRAMA!$A$5:$A$5679,0)),"Fuera EDT")))</f>
        <v>02</v>
      </c>
      <c r="D145" s="16" t="str">
        <f aca="false">IF(C145="","",IFERROR(INDEX(MASTER!$B$19:$B$109,MATCH(C145,MASTER!$A$19:$A$109,0)),"Asignar fase"))</f>
        <v>Estructuras</v>
      </c>
      <c r="E145" s="9" t="s">
        <v>114</v>
      </c>
      <c r="F145" s="9"/>
      <c r="G145" s="9"/>
      <c r="H145" s="56"/>
      <c r="I145" s="43" t="n">
        <v>46320</v>
      </c>
      <c r="J145" s="43" t="n">
        <v>46320</v>
      </c>
      <c r="K145" s="16" t="n">
        <f aca="false">IF(A145="","",COUNTIF(RESTRICCIONES!$B$5:$B$304,A145))</f>
        <v>0</v>
      </c>
      <c r="L145" s="16" t="n">
        <f aca="false">IF(A145="","",COUNTIFS(RESTRICCIONES!$B$5:$B$304,A145,RESTRICCIONES!$L$5:$L$304,"Pendiente"))</f>
        <v>0</v>
      </c>
      <c r="M145" s="18" t="str">
        <f aca="false">IF(A145="","",IF(L145=0,"LISTA","RESTRINGIDA"))</f>
        <v>LISTA</v>
      </c>
      <c r="N145" s="51" t="str">
        <f aca="false">IF(OR(A145="",H145=""),"",IFERROR(MIN(1,SUMIF(SEMANAL!$C$7:$C$506,A145,SEMANAL!$W$7:$W$506)/H145),0))</f>
        <v/>
      </c>
      <c r="O145" s="57"/>
      <c r="P145" s="57"/>
      <c r="Q145" s="57"/>
      <c r="R145" s="57"/>
      <c r="S145" s="57"/>
      <c r="T145" s="57"/>
      <c r="U145" s="9" t="s">
        <v>17596</v>
      </c>
    </row>
    <row r="146" customFormat="false" ht="15" hidden="false" customHeight="false" outlineLevel="0" collapsed="false">
      <c r="A146" s="9" t="s">
        <v>5999</v>
      </c>
      <c r="B146" s="9" t="s">
        <v>17576</v>
      </c>
      <c r="C146" s="16" t="str">
        <f aca="false">IF(B146="","",IFERROR(INDEX(EDT!$E$5:$E$436,MATCH(B146,EDT!$H$5:$H$436,0)),IFERROR(INDEX(CRONOGRAMA!$G$5:$G$5679,MATCH(A146,CRONOGRAMA!$A$5:$A$5679,0)),"Fuera EDT")))</f>
        <v>02</v>
      </c>
      <c r="D146" s="16" t="str">
        <f aca="false">IF(C146="","",IFERROR(INDEX(MASTER!$B$19:$B$109,MATCH(C146,MASTER!$A$19:$A$109,0)),"Asignar fase"))</f>
        <v>Estructuras</v>
      </c>
      <c r="E146" s="9" t="s">
        <v>121</v>
      </c>
      <c r="F146" s="9"/>
      <c r="G146" s="9"/>
      <c r="H146" s="56"/>
      <c r="I146" s="43" t="n">
        <v>46320</v>
      </c>
      <c r="J146" s="43" t="n">
        <v>46320</v>
      </c>
      <c r="K146" s="16" t="n">
        <f aca="false">IF(A146="","",COUNTIF(RESTRICCIONES!$B$5:$B$304,A146))</f>
        <v>0</v>
      </c>
      <c r="L146" s="16" t="n">
        <f aca="false">IF(A146="","",COUNTIFS(RESTRICCIONES!$B$5:$B$304,A146,RESTRICCIONES!$L$5:$L$304,"Pendiente"))</f>
        <v>0</v>
      </c>
      <c r="M146" s="18" t="str">
        <f aca="false">IF(A146="","",IF(L146=0,"LISTA","RESTRINGIDA"))</f>
        <v>LISTA</v>
      </c>
      <c r="N146" s="51" t="str">
        <f aca="false">IF(OR(A146="",H146=""),"",IFERROR(MIN(1,SUMIF(SEMANAL!$C$7:$C$506,A146,SEMANAL!$W$7:$W$506)/H146),0))</f>
        <v/>
      </c>
      <c r="O146" s="57"/>
      <c r="P146" s="57"/>
      <c r="Q146" s="57"/>
      <c r="R146" s="57"/>
      <c r="S146" s="57"/>
      <c r="T146" s="57"/>
      <c r="U146" s="9" t="s">
        <v>17597</v>
      </c>
    </row>
    <row r="147" customFormat="false" ht="15" hidden="false" customHeight="false" outlineLevel="0" collapsed="false">
      <c r="A147" s="9" t="s">
        <v>6010</v>
      </c>
      <c r="B147" s="9" t="s">
        <v>17471</v>
      </c>
      <c r="C147" s="16" t="str">
        <f aca="false">IF(B147="","",IFERROR(INDEX(EDT!$E$5:$E$436,MATCH(B147,EDT!$H$5:$H$436,0)),IFERROR(INDEX(CRONOGRAMA!$G$5:$G$5679,MATCH(A147,CRONOGRAMA!$A$5:$A$5679,0)),"Fuera EDT")))</f>
        <v>02</v>
      </c>
      <c r="D147" s="16" t="str">
        <f aca="false">IF(C147="","",IFERROR(INDEX(MASTER!$B$19:$B$109,MATCH(C147,MASTER!$A$19:$A$109,0)),"Asignar fase"))</f>
        <v>Estructuras</v>
      </c>
      <c r="E147" s="9" t="s">
        <v>121</v>
      </c>
      <c r="F147" s="9"/>
      <c r="G147" s="9"/>
      <c r="H147" s="56"/>
      <c r="I147" s="43" t="n">
        <v>46320</v>
      </c>
      <c r="J147" s="43" t="n">
        <v>46320</v>
      </c>
      <c r="K147" s="16" t="n">
        <f aca="false">IF(A147="","",COUNTIF(RESTRICCIONES!$B$5:$B$304,A147))</f>
        <v>0</v>
      </c>
      <c r="L147" s="16" t="n">
        <f aca="false">IF(A147="","",COUNTIFS(RESTRICCIONES!$B$5:$B$304,A147,RESTRICCIONES!$L$5:$L$304,"Pendiente"))</f>
        <v>0</v>
      </c>
      <c r="M147" s="18" t="str">
        <f aca="false">IF(A147="","",IF(L147=0,"LISTA","RESTRINGIDA"))</f>
        <v>LISTA</v>
      </c>
      <c r="N147" s="51" t="str">
        <f aca="false">IF(OR(A147="",H147=""),"",IFERROR(MIN(1,SUMIF(SEMANAL!$C$7:$C$506,A147,SEMANAL!$W$7:$W$506)/H147),0))</f>
        <v/>
      </c>
      <c r="O147" s="57"/>
      <c r="P147" s="57"/>
      <c r="Q147" s="57"/>
      <c r="R147" s="57"/>
      <c r="S147" s="57"/>
      <c r="T147" s="57"/>
      <c r="U147" s="9" t="s">
        <v>17597</v>
      </c>
    </row>
    <row r="148" customFormat="false" ht="15" hidden="false" customHeight="false" outlineLevel="0" collapsed="false">
      <c r="A148" s="9" t="s">
        <v>8654</v>
      </c>
      <c r="B148" s="9" t="s">
        <v>17598</v>
      </c>
      <c r="C148" s="16" t="str">
        <f aca="false">IF(B148="","",IFERROR(INDEX(EDT!$E$5:$E$436,MATCH(B148,EDT!$H$5:$H$436,0)),IFERROR(INDEX(CRONOGRAMA!$G$5:$G$5679,MATCH(A148,CRONOGRAMA!$A$5:$A$5679,0)),"Fuera EDT")))</f>
        <v>03</v>
      </c>
      <c r="D148" s="16" t="str">
        <f aca="false">IF(C148="","",IFERROR(INDEX(MASTER!$B$19:$B$109,MATCH(C148,MASTER!$A$19:$A$109,0)),"Asignar fase"))</f>
        <v>Arquitectura</v>
      </c>
      <c r="E148" s="9" t="s">
        <v>98</v>
      </c>
      <c r="F148" s="9"/>
      <c r="G148" s="9"/>
      <c r="H148" s="56"/>
      <c r="I148" s="43" t="n">
        <v>46320</v>
      </c>
      <c r="J148" s="43" t="n">
        <v>46326</v>
      </c>
      <c r="K148" s="16" t="n">
        <f aca="false">IF(A148="","",COUNTIF(RESTRICCIONES!$B$5:$B$304,A148))</f>
        <v>0</v>
      </c>
      <c r="L148" s="16" t="n">
        <f aca="false">IF(A148="","",COUNTIFS(RESTRICCIONES!$B$5:$B$304,A148,RESTRICCIONES!$L$5:$L$304,"Pendiente"))</f>
        <v>0</v>
      </c>
      <c r="M148" s="18" t="str">
        <f aca="false">IF(A148="","",IF(L148=0,"LISTA","RESTRINGIDA"))</f>
        <v>LISTA</v>
      </c>
      <c r="N148" s="51" t="str">
        <f aca="false">IF(OR(A148="",H148=""),"",IFERROR(MIN(1,SUMIF(SEMANAL!$C$7:$C$506,A148,SEMANAL!$W$7:$W$506)/H148),0))</f>
        <v/>
      </c>
      <c r="O148" s="57"/>
      <c r="P148" s="57"/>
      <c r="Q148" s="57"/>
      <c r="R148" s="57"/>
      <c r="S148" s="57"/>
      <c r="T148" s="57"/>
      <c r="U148" s="9" t="s">
        <v>17599</v>
      </c>
    </row>
    <row r="149" customFormat="false" ht="15" hidden="false" customHeight="false" outlineLevel="0" collapsed="false">
      <c r="A149" s="9" t="s">
        <v>8665</v>
      </c>
      <c r="B149" s="9" t="s">
        <v>17524</v>
      </c>
      <c r="C149" s="16" t="str">
        <f aca="false">IF(B149="","",IFERROR(INDEX(EDT!$E$5:$E$436,MATCH(B149,EDT!$H$5:$H$436,0)),IFERROR(INDEX(CRONOGRAMA!$G$5:$G$5679,MATCH(A149,CRONOGRAMA!$A$5:$A$5679,0)),"Fuera EDT")))</f>
        <v>03</v>
      </c>
      <c r="D149" s="16" t="str">
        <f aca="false">IF(C149="","",IFERROR(INDEX(MASTER!$B$19:$B$109,MATCH(C149,MASTER!$A$19:$A$109,0)),"Asignar fase"))</f>
        <v>Arquitectura</v>
      </c>
      <c r="E149" s="9" t="s">
        <v>98</v>
      </c>
      <c r="F149" s="9"/>
      <c r="G149" s="9"/>
      <c r="H149" s="56"/>
      <c r="I149" s="43" t="n">
        <v>46320</v>
      </c>
      <c r="J149" s="43" t="n">
        <v>46350</v>
      </c>
      <c r="K149" s="16" t="n">
        <f aca="false">IF(A149="","",COUNTIF(RESTRICCIONES!$B$5:$B$304,A149))</f>
        <v>0</v>
      </c>
      <c r="L149" s="16" t="n">
        <f aca="false">IF(A149="","",COUNTIFS(RESTRICCIONES!$B$5:$B$304,A149,RESTRICCIONES!$L$5:$L$304,"Pendiente"))</f>
        <v>0</v>
      </c>
      <c r="M149" s="18" t="str">
        <f aca="false">IF(A149="","",IF(L149=0,"LISTA","RESTRINGIDA"))</f>
        <v>LISTA</v>
      </c>
      <c r="N149" s="51" t="str">
        <f aca="false">IF(OR(A149="",H149=""),"",IFERROR(MIN(1,SUMIF(SEMANAL!$C$7:$C$506,A149,SEMANAL!$W$7:$W$506)/H149),0))</f>
        <v/>
      </c>
      <c r="O149" s="57"/>
      <c r="P149" s="57"/>
      <c r="Q149" s="57"/>
      <c r="R149" s="57"/>
      <c r="S149" s="57"/>
      <c r="T149" s="57"/>
      <c r="U149" s="9" t="s">
        <v>17600</v>
      </c>
    </row>
    <row r="150" customFormat="false" ht="15" hidden="false" customHeight="false" outlineLevel="0" collapsed="false">
      <c r="A150" s="9" t="s">
        <v>8746</v>
      </c>
      <c r="B150" s="9" t="s">
        <v>17526</v>
      </c>
      <c r="C150" s="16" t="str">
        <f aca="false">IF(B150="","",IFERROR(INDEX(EDT!$E$5:$E$436,MATCH(B150,EDT!$H$5:$H$436,0)),IFERROR(INDEX(CRONOGRAMA!$G$5:$G$5679,MATCH(A150,CRONOGRAMA!$A$5:$A$5679,0)),"Fuera EDT")))</f>
        <v>03</v>
      </c>
      <c r="D150" s="16" t="str">
        <f aca="false">IF(C150="","",IFERROR(INDEX(MASTER!$B$19:$B$109,MATCH(C150,MASTER!$A$19:$A$109,0)),"Asignar fase"))</f>
        <v>Arquitectura</v>
      </c>
      <c r="E150" s="9" t="s">
        <v>98</v>
      </c>
      <c r="F150" s="9"/>
      <c r="G150" s="9"/>
      <c r="H150" s="56"/>
      <c r="I150" s="43" t="n">
        <v>46320</v>
      </c>
      <c r="J150" s="43" t="n">
        <v>46331</v>
      </c>
      <c r="K150" s="16" t="n">
        <f aca="false">IF(A150="","",COUNTIF(RESTRICCIONES!$B$5:$B$304,A150))</f>
        <v>0</v>
      </c>
      <c r="L150" s="16" t="n">
        <f aca="false">IF(A150="","",COUNTIFS(RESTRICCIONES!$B$5:$B$304,A150,RESTRICCIONES!$L$5:$L$304,"Pendiente"))</f>
        <v>0</v>
      </c>
      <c r="M150" s="18" t="str">
        <f aca="false">IF(A150="","",IF(L150=0,"LISTA","RESTRINGIDA"))</f>
        <v>LISTA</v>
      </c>
      <c r="N150" s="51" t="str">
        <f aca="false">IF(OR(A150="",H150=""),"",IFERROR(MIN(1,SUMIF(SEMANAL!$C$7:$C$506,A150,SEMANAL!$W$7:$W$506)/H150),0))</f>
        <v/>
      </c>
      <c r="O150" s="57"/>
      <c r="P150" s="57"/>
      <c r="Q150" s="57"/>
      <c r="R150" s="57"/>
      <c r="S150" s="57"/>
      <c r="T150" s="57"/>
      <c r="U150" s="9" t="s">
        <v>17599</v>
      </c>
    </row>
    <row r="151" customFormat="false" ht="15" hidden="false" customHeight="false" outlineLevel="0" collapsed="false">
      <c r="A151" s="9" t="s">
        <v>9392</v>
      </c>
      <c r="B151" s="9" t="s">
        <v>17520</v>
      </c>
      <c r="C151" s="16" t="str">
        <f aca="false">IF(B151="","",IFERROR(INDEX(EDT!$E$5:$E$436,MATCH(B151,EDT!$H$5:$H$436,0)),IFERROR(INDEX(CRONOGRAMA!$G$5:$G$5679,MATCH(A151,CRONOGRAMA!$A$5:$A$5679,0)),"Fuera EDT")))</f>
        <v>03</v>
      </c>
      <c r="D151" s="16" t="str">
        <f aca="false">IF(C151="","",IFERROR(INDEX(MASTER!$B$19:$B$109,MATCH(C151,MASTER!$A$19:$A$109,0)),"Asignar fase"))</f>
        <v>Arquitectura</v>
      </c>
      <c r="E151" s="9" t="s">
        <v>121</v>
      </c>
      <c r="F151" s="9"/>
      <c r="G151" s="9"/>
      <c r="H151" s="56"/>
      <c r="I151" s="43" t="n">
        <v>46320</v>
      </c>
      <c r="J151" s="43" t="n">
        <v>46320</v>
      </c>
      <c r="K151" s="16" t="n">
        <f aca="false">IF(A151="","",COUNTIF(RESTRICCIONES!$B$5:$B$304,A151))</f>
        <v>0</v>
      </c>
      <c r="L151" s="16" t="n">
        <f aca="false">IF(A151="","",COUNTIFS(RESTRICCIONES!$B$5:$B$304,A151,RESTRICCIONES!$L$5:$L$304,"Pendiente"))</f>
        <v>0</v>
      </c>
      <c r="M151" s="18" t="str">
        <f aca="false">IF(A151="","",IF(L151=0,"LISTA","RESTRINGIDA"))</f>
        <v>LISTA</v>
      </c>
      <c r="N151" s="51" t="str">
        <f aca="false">IF(OR(A151="",H151=""),"",IFERROR(MIN(1,SUMIF(SEMANAL!$C$7:$C$506,A151,SEMANAL!$W$7:$W$506)/H151),0))</f>
        <v/>
      </c>
      <c r="O151" s="57"/>
      <c r="P151" s="57"/>
      <c r="Q151" s="57"/>
      <c r="R151" s="57"/>
      <c r="S151" s="57"/>
      <c r="T151" s="57"/>
      <c r="U151" s="9" t="s">
        <v>17601</v>
      </c>
    </row>
    <row r="152" customFormat="false" ht="15" hidden="false" customHeight="false" outlineLevel="0" collapsed="false">
      <c r="A152" s="9" t="s">
        <v>9410</v>
      </c>
      <c r="B152" s="9" t="s">
        <v>17602</v>
      </c>
      <c r="C152" s="16" t="str">
        <f aca="false">IF(B152="","",IFERROR(INDEX(EDT!$E$5:$E$436,MATCH(B152,EDT!$H$5:$H$436,0)),IFERROR(INDEX(CRONOGRAMA!$G$5:$G$5679,MATCH(A152,CRONOGRAMA!$A$5:$A$5679,0)),"Fuera EDT")))</f>
        <v>03</v>
      </c>
      <c r="D152" s="16" t="str">
        <f aca="false">IF(C152="","",IFERROR(INDEX(MASTER!$B$19:$B$109,MATCH(C152,MASTER!$A$19:$A$109,0)),"Asignar fase"))</f>
        <v>Arquitectura</v>
      </c>
      <c r="E152" s="9" t="s">
        <v>121</v>
      </c>
      <c r="F152" s="9"/>
      <c r="G152" s="9"/>
      <c r="H152" s="56"/>
      <c r="I152" s="43" t="n">
        <v>46320</v>
      </c>
      <c r="J152" s="43" t="n">
        <v>46330</v>
      </c>
      <c r="K152" s="16" t="n">
        <f aca="false">IF(A152="","",COUNTIF(RESTRICCIONES!$B$5:$B$304,A152))</f>
        <v>0</v>
      </c>
      <c r="L152" s="16" t="n">
        <f aca="false">IF(A152="","",COUNTIFS(RESTRICCIONES!$B$5:$B$304,A152,RESTRICCIONES!$L$5:$L$304,"Pendiente"))</f>
        <v>0</v>
      </c>
      <c r="M152" s="18" t="str">
        <f aca="false">IF(A152="","",IF(L152=0,"LISTA","RESTRINGIDA"))</f>
        <v>LISTA</v>
      </c>
      <c r="N152" s="51" t="str">
        <f aca="false">IF(OR(A152="",H152=""),"",IFERROR(MIN(1,SUMIF(SEMANAL!$C$7:$C$506,A152,SEMANAL!$W$7:$W$506)/H152),0))</f>
        <v/>
      </c>
      <c r="O152" s="57"/>
      <c r="P152" s="57"/>
      <c r="Q152" s="57"/>
      <c r="R152" s="57"/>
      <c r="S152" s="57"/>
      <c r="T152" s="57"/>
      <c r="U152" s="9" t="s">
        <v>17601</v>
      </c>
    </row>
    <row r="153" customFormat="false" ht="15" hidden="false" customHeight="false" outlineLevel="0" collapsed="false">
      <c r="A153" s="9" t="s">
        <v>9472</v>
      </c>
      <c r="B153" s="9" t="s">
        <v>17526</v>
      </c>
      <c r="C153" s="16" t="str">
        <f aca="false">IF(B153="","",IFERROR(INDEX(EDT!$E$5:$E$436,MATCH(B153,EDT!$H$5:$H$436,0)),IFERROR(INDEX(CRONOGRAMA!$G$5:$G$5679,MATCH(A153,CRONOGRAMA!$A$5:$A$5679,0)),"Fuera EDT")))</f>
        <v>03</v>
      </c>
      <c r="D153" s="16" t="str">
        <f aca="false">IF(C153="","",IFERROR(INDEX(MASTER!$B$19:$B$109,MATCH(C153,MASTER!$A$19:$A$109,0)),"Asignar fase"))</f>
        <v>Arquitectura</v>
      </c>
      <c r="E153" s="9" t="s">
        <v>121</v>
      </c>
      <c r="F153" s="9"/>
      <c r="G153" s="9"/>
      <c r="H153" s="56"/>
      <c r="I153" s="43" t="n">
        <v>46320</v>
      </c>
      <c r="J153" s="43" t="n">
        <v>46321</v>
      </c>
      <c r="K153" s="16" t="n">
        <f aca="false">IF(A153="","",COUNTIF(RESTRICCIONES!$B$5:$B$304,A153))</f>
        <v>0</v>
      </c>
      <c r="L153" s="16" t="n">
        <f aca="false">IF(A153="","",COUNTIFS(RESTRICCIONES!$B$5:$B$304,A153,RESTRICCIONES!$L$5:$L$304,"Pendiente"))</f>
        <v>0</v>
      </c>
      <c r="M153" s="18" t="str">
        <f aca="false">IF(A153="","",IF(L153=0,"LISTA","RESTRINGIDA"))</f>
        <v>LISTA</v>
      </c>
      <c r="N153" s="51" t="str">
        <f aca="false">IF(OR(A153="",H153=""),"",IFERROR(MIN(1,SUMIF(SEMANAL!$C$7:$C$506,A153,SEMANAL!$W$7:$W$506)/H153),0))</f>
        <v/>
      </c>
      <c r="O153" s="57"/>
      <c r="P153" s="57"/>
      <c r="Q153" s="57"/>
      <c r="R153" s="57"/>
      <c r="S153" s="57"/>
      <c r="T153" s="57"/>
      <c r="U153" s="9" t="s">
        <v>17601</v>
      </c>
    </row>
    <row r="154" customFormat="false" ht="15" hidden="false" customHeight="false" outlineLevel="0" collapsed="false">
      <c r="A154" s="9" t="s">
        <v>9474</v>
      </c>
      <c r="B154" s="9" t="s">
        <v>17389</v>
      </c>
      <c r="C154" s="16" t="str">
        <f aca="false">IF(B154="","",IFERROR(INDEX(EDT!$E$5:$E$436,MATCH(B154,EDT!$H$5:$H$436,0)),IFERROR(INDEX(CRONOGRAMA!$G$5:$G$5679,MATCH(A154,CRONOGRAMA!$A$5:$A$5679,0)),"Fuera EDT")))</f>
        <v>03</v>
      </c>
      <c r="D154" s="16" t="str">
        <f aca="false">IF(C154="","",IFERROR(INDEX(MASTER!$B$19:$B$109,MATCH(C154,MASTER!$A$19:$A$109,0)),"Asignar fase"))</f>
        <v>Arquitectura</v>
      </c>
      <c r="E154" s="9" t="s">
        <v>121</v>
      </c>
      <c r="F154" s="9"/>
      <c r="G154" s="9"/>
      <c r="H154" s="56"/>
      <c r="I154" s="43" t="n">
        <v>46320</v>
      </c>
      <c r="J154" s="43" t="n">
        <v>46330</v>
      </c>
      <c r="K154" s="16" t="n">
        <f aca="false">IF(A154="","",COUNTIF(RESTRICCIONES!$B$5:$B$304,A154))</f>
        <v>0</v>
      </c>
      <c r="L154" s="16" t="n">
        <f aca="false">IF(A154="","",COUNTIFS(RESTRICCIONES!$B$5:$B$304,A154,RESTRICCIONES!$L$5:$L$304,"Pendiente"))</f>
        <v>0</v>
      </c>
      <c r="M154" s="18" t="str">
        <f aca="false">IF(A154="","",IF(L154=0,"LISTA","RESTRINGIDA"))</f>
        <v>LISTA</v>
      </c>
      <c r="N154" s="51" t="str">
        <f aca="false">IF(OR(A154="",H154=""),"",IFERROR(MIN(1,SUMIF(SEMANAL!$C$7:$C$506,A154,SEMANAL!$W$7:$W$506)/H154),0))</f>
        <v/>
      </c>
      <c r="O154" s="57"/>
      <c r="P154" s="57"/>
      <c r="Q154" s="57"/>
      <c r="R154" s="57"/>
      <c r="S154" s="57"/>
      <c r="T154" s="57"/>
      <c r="U154" s="9" t="s">
        <v>17603</v>
      </c>
    </row>
    <row r="155" customFormat="false" ht="15" hidden="false" customHeight="false" outlineLevel="0" collapsed="false">
      <c r="A155" s="9" t="s">
        <v>3149</v>
      </c>
      <c r="B155" s="9" t="s">
        <v>17604</v>
      </c>
      <c r="C155" s="16" t="str">
        <f aca="false">IF(B155="","",IFERROR(INDEX(EDT!$E$5:$E$436,MATCH(B155,EDT!$H$5:$H$436,0)),IFERROR(INDEX(CRONOGRAMA!$G$5:$G$5679,MATCH(A155,CRONOGRAMA!$A$5:$A$5679,0)),"Fuera EDT")))</f>
        <v>02</v>
      </c>
      <c r="D155" s="16" t="str">
        <f aca="false">IF(C155="","",IFERROR(INDEX(MASTER!$B$19:$B$109,MATCH(C155,MASTER!$A$19:$A$109,0)),"Asignar fase"))</f>
        <v>Estructuras</v>
      </c>
      <c r="E155" s="9" t="s">
        <v>74</v>
      </c>
      <c r="F155" s="9"/>
      <c r="G155" s="9"/>
      <c r="H155" s="56"/>
      <c r="I155" s="43" t="n">
        <v>46321</v>
      </c>
      <c r="J155" s="43" t="n">
        <v>46321</v>
      </c>
      <c r="K155" s="16" t="n">
        <f aca="false">IF(A155="","",COUNTIF(RESTRICCIONES!$B$5:$B$304,A155))</f>
        <v>0</v>
      </c>
      <c r="L155" s="16" t="n">
        <f aca="false">IF(A155="","",COUNTIFS(RESTRICCIONES!$B$5:$B$304,A155,RESTRICCIONES!$L$5:$L$304,"Pendiente"))</f>
        <v>0</v>
      </c>
      <c r="M155" s="18" t="str">
        <f aca="false">IF(A155="","",IF(L155=0,"LISTA","RESTRINGIDA"))</f>
        <v>LISTA</v>
      </c>
      <c r="N155" s="51" t="str">
        <f aca="false">IF(OR(A155="",H155=""),"",IFERROR(MIN(1,SUMIF(SEMANAL!$C$7:$C$506,A155,SEMANAL!$W$7:$W$506)/H155),0))</f>
        <v/>
      </c>
      <c r="O155" s="57"/>
      <c r="P155" s="57"/>
      <c r="Q155" s="57"/>
      <c r="R155" s="57"/>
      <c r="S155" s="57"/>
      <c r="T155" s="57"/>
      <c r="U155" s="9" t="s">
        <v>17605</v>
      </c>
    </row>
    <row r="156" customFormat="false" ht="15" hidden="false" customHeight="false" outlineLevel="0" collapsed="false">
      <c r="A156" s="9" t="s">
        <v>5504</v>
      </c>
      <c r="B156" s="9" t="s">
        <v>17542</v>
      </c>
      <c r="C156" s="16" t="str">
        <f aca="false">IF(B156="","",IFERROR(INDEX(EDT!$E$5:$E$436,MATCH(B156,EDT!$H$5:$H$436,0)),IFERROR(INDEX(CRONOGRAMA!$G$5:$G$5679,MATCH(A156,CRONOGRAMA!$A$5:$A$5679,0)),"Fuera EDT")))</f>
        <v>02</v>
      </c>
      <c r="D156" s="16" t="str">
        <f aca="false">IF(C156="","",IFERROR(INDEX(MASTER!$B$19:$B$109,MATCH(C156,MASTER!$A$19:$A$109,0)),"Asignar fase"))</f>
        <v>Estructuras</v>
      </c>
      <c r="E156" s="9" t="s">
        <v>114</v>
      </c>
      <c r="F156" s="9"/>
      <c r="G156" s="9"/>
      <c r="H156" s="56"/>
      <c r="I156" s="43" t="n">
        <v>46321</v>
      </c>
      <c r="J156" s="43" t="n">
        <v>46321</v>
      </c>
      <c r="K156" s="16" t="n">
        <f aca="false">IF(A156="","",COUNTIF(RESTRICCIONES!$B$5:$B$304,A156))</f>
        <v>0</v>
      </c>
      <c r="L156" s="16" t="n">
        <f aca="false">IF(A156="","",COUNTIFS(RESTRICCIONES!$B$5:$B$304,A156,RESTRICCIONES!$L$5:$L$304,"Pendiente"))</f>
        <v>0</v>
      </c>
      <c r="M156" s="18" t="str">
        <f aca="false">IF(A156="","",IF(L156=0,"LISTA","RESTRINGIDA"))</f>
        <v>LISTA</v>
      </c>
      <c r="N156" s="51" t="str">
        <f aca="false">IF(OR(A156="",H156=""),"",IFERROR(MIN(1,SUMIF(SEMANAL!$C$7:$C$506,A156,SEMANAL!$W$7:$W$506)/H156),0))</f>
        <v/>
      </c>
      <c r="O156" s="57"/>
      <c r="P156" s="57"/>
      <c r="Q156" s="57"/>
      <c r="R156" s="57"/>
      <c r="S156" s="57"/>
      <c r="T156" s="57"/>
      <c r="U156" s="9" t="s">
        <v>17606</v>
      </c>
    </row>
    <row r="157" customFormat="false" ht="15" hidden="false" customHeight="false" outlineLevel="0" collapsed="false">
      <c r="A157" s="9" t="s">
        <v>6007</v>
      </c>
      <c r="B157" s="9" t="s">
        <v>17607</v>
      </c>
      <c r="C157" s="16" t="str">
        <f aca="false">IF(B157="","",IFERROR(INDEX(EDT!$E$5:$E$436,MATCH(B157,EDT!$H$5:$H$436,0)),IFERROR(INDEX(CRONOGRAMA!$G$5:$G$5679,MATCH(A157,CRONOGRAMA!$A$5:$A$5679,0)),"Fuera EDT")))</f>
        <v>02</v>
      </c>
      <c r="D157" s="16" t="str">
        <f aca="false">IF(C157="","",IFERROR(INDEX(MASTER!$B$19:$B$109,MATCH(C157,MASTER!$A$19:$A$109,0)),"Asignar fase"))</f>
        <v>Estructuras</v>
      </c>
      <c r="E157" s="9" t="s">
        <v>121</v>
      </c>
      <c r="F157" s="9"/>
      <c r="G157" s="9"/>
      <c r="H157" s="56"/>
      <c r="I157" s="43" t="n">
        <v>46321</v>
      </c>
      <c r="J157" s="43" t="n">
        <v>46321</v>
      </c>
      <c r="K157" s="16" t="n">
        <f aca="false">IF(A157="","",COUNTIF(RESTRICCIONES!$B$5:$B$304,A157))</f>
        <v>0</v>
      </c>
      <c r="L157" s="16" t="n">
        <f aca="false">IF(A157="","",COUNTIFS(RESTRICCIONES!$B$5:$B$304,A157,RESTRICCIONES!$L$5:$L$304,"Pendiente"))</f>
        <v>0</v>
      </c>
      <c r="M157" s="18" t="str">
        <f aca="false">IF(A157="","",IF(L157=0,"LISTA","RESTRINGIDA"))</f>
        <v>LISTA</v>
      </c>
      <c r="N157" s="51" t="str">
        <f aca="false">IF(OR(A157="",H157=""),"",IFERROR(MIN(1,SUMIF(SEMANAL!$C$7:$C$506,A157,SEMANAL!$W$7:$W$506)/H157),0))</f>
        <v/>
      </c>
      <c r="O157" s="57"/>
      <c r="P157" s="57"/>
      <c r="Q157" s="57"/>
      <c r="R157" s="57"/>
      <c r="S157" s="57"/>
      <c r="T157" s="57"/>
      <c r="U157" s="9" t="s">
        <v>17608</v>
      </c>
    </row>
    <row r="158" customFormat="false" ht="15" hidden="false" customHeight="false" outlineLevel="0" collapsed="false">
      <c r="A158" s="9" t="s">
        <v>9395</v>
      </c>
      <c r="B158" s="9" t="s">
        <v>17609</v>
      </c>
      <c r="C158" s="16" t="str">
        <f aca="false">IF(B158="","",IFERROR(INDEX(EDT!$E$5:$E$436,MATCH(B158,EDT!$H$5:$H$436,0)),IFERROR(INDEX(CRONOGRAMA!$G$5:$G$5679,MATCH(A158,CRONOGRAMA!$A$5:$A$5679,0)),"Fuera EDT")))</f>
        <v>03</v>
      </c>
      <c r="D158" s="16" t="str">
        <f aca="false">IF(C158="","",IFERROR(INDEX(MASTER!$B$19:$B$109,MATCH(C158,MASTER!$A$19:$A$109,0)),"Asignar fase"))</f>
        <v>Arquitectura</v>
      </c>
      <c r="E158" s="9" t="s">
        <v>121</v>
      </c>
      <c r="F158" s="9"/>
      <c r="G158" s="9"/>
      <c r="H158" s="56"/>
      <c r="I158" s="43" t="n">
        <v>46321</v>
      </c>
      <c r="J158" s="43" t="n">
        <v>46326</v>
      </c>
      <c r="K158" s="16" t="n">
        <f aca="false">IF(A158="","",COUNTIF(RESTRICCIONES!$B$5:$B$304,A158))</f>
        <v>0</v>
      </c>
      <c r="L158" s="16" t="n">
        <f aca="false">IF(A158="","",COUNTIFS(RESTRICCIONES!$B$5:$B$304,A158,RESTRICCIONES!$L$5:$L$304,"Pendiente"))</f>
        <v>0</v>
      </c>
      <c r="M158" s="18" t="str">
        <f aca="false">IF(A158="","",IF(L158=0,"LISTA","RESTRINGIDA"))</f>
        <v>LISTA</v>
      </c>
      <c r="N158" s="51" t="str">
        <f aca="false">IF(OR(A158="",H158=""),"",IFERROR(MIN(1,SUMIF(SEMANAL!$C$7:$C$506,A158,SEMANAL!$W$7:$W$506)/H158),0))</f>
        <v/>
      </c>
      <c r="O158" s="57"/>
      <c r="P158" s="57"/>
      <c r="Q158" s="57"/>
      <c r="R158" s="57"/>
      <c r="S158" s="57"/>
      <c r="T158" s="57"/>
      <c r="U158" s="9" t="s">
        <v>17610</v>
      </c>
    </row>
    <row r="159" customFormat="false" ht="15" hidden="false" customHeight="false" outlineLevel="0" collapsed="false">
      <c r="A159" s="9" t="s">
        <v>9398</v>
      </c>
      <c r="B159" s="9" t="s">
        <v>17611</v>
      </c>
      <c r="C159" s="16" t="str">
        <f aca="false">IF(B159="","",IFERROR(INDEX(EDT!$E$5:$E$436,MATCH(B159,EDT!$H$5:$H$436,0)),IFERROR(INDEX(CRONOGRAMA!$G$5:$G$5679,MATCH(A159,CRONOGRAMA!$A$5:$A$5679,0)),"Fuera EDT")))</f>
        <v>03</v>
      </c>
      <c r="D159" s="16" t="str">
        <f aca="false">IF(C159="","",IFERROR(INDEX(MASTER!$B$19:$B$109,MATCH(C159,MASTER!$A$19:$A$109,0)),"Asignar fase"))</f>
        <v>Arquitectura</v>
      </c>
      <c r="E159" s="9" t="s">
        <v>121</v>
      </c>
      <c r="F159" s="9"/>
      <c r="G159" s="9"/>
      <c r="H159" s="56"/>
      <c r="I159" s="43" t="n">
        <v>46321</v>
      </c>
      <c r="J159" s="43" t="n">
        <v>46322</v>
      </c>
      <c r="K159" s="16" t="n">
        <f aca="false">IF(A159="","",COUNTIF(RESTRICCIONES!$B$5:$B$304,A159))</f>
        <v>0</v>
      </c>
      <c r="L159" s="16" t="n">
        <f aca="false">IF(A159="","",COUNTIFS(RESTRICCIONES!$B$5:$B$304,A159,RESTRICCIONES!$L$5:$L$304,"Pendiente"))</f>
        <v>0</v>
      </c>
      <c r="M159" s="18" t="str">
        <f aca="false">IF(A159="","",IF(L159=0,"LISTA","RESTRINGIDA"))</f>
        <v>LISTA</v>
      </c>
      <c r="N159" s="51" t="str">
        <f aca="false">IF(OR(A159="",H159=""),"",IFERROR(MIN(1,SUMIF(SEMANAL!$C$7:$C$506,A159,SEMANAL!$W$7:$W$506)/H159),0))</f>
        <v/>
      </c>
      <c r="O159" s="57"/>
      <c r="P159" s="57"/>
      <c r="Q159" s="57"/>
      <c r="R159" s="57"/>
      <c r="S159" s="57"/>
      <c r="T159" s="57"/>
      <c r="U159" s="9" t="s">
        <v>17612</v>
      </c>
    </row>
    <row r="160" customFormat="false" ht="15" hidden="false" customHeight="false" outlineLevel="0" collapsed="false">
      <c r="A160" s="9" t="s">
        <v>3158</v>
      </c>
      <c r="B160" s="9" t="s">
        <v>17613</v>
      </c>
      <c r="C160" s="16" t="str">
        <f aca="false">IF(B160="","",IFERROR(INDEX(EDT!$E$5:$E$436,MATCH(B160,EDT!$H$5:$H$436,0)),IFERROR(INDEX(CRONOGRAMA!$G$5:$G$5679,MATCH(A160,CRONOGRAMA!$A$5:$A$5679,0)),"Fuera EDT")))</f>
        <v>02</v>
      </c>
      <c r="D160" s="16" t="str">
        <f aca="false">IF(C160="","",IFERROR(INDEX(MASTER!$B$19:$B$109,MATCH(C160,MASTER!$A$19:$A$109,0)),"Asignar fase"))</f>
        <v>Estructuras</v>
      </c>
      <c r="E160" s="9" t="s">
        <v>74</v>
      </c>
      <c r="F160" s="9"/>
      <c r="G160" s="9"/>
      <c r="H160" s="56"/>
      <c r="I160" s="43" t="n">
        <v>46322</v>
      </c>
      <c r="J160" s="43" t="n">
        <v>46323</v>
      </c>
      <c r="K160" s="16" t="n">
        <f aca="false">IF(A160="","",COUNTIF(RESTRICCIONES!$B$5:$B$304,A160))</f>
        <v>0</v>
      </c>
      <c r="L160" s="16" t="n">
        <f aca="false">IF(A160="","",COUNTIFS(RESTRICCIONES!$B$5:$B$304,A160,RESTRICCIONES!$L$5:$L$304,"Pendiente"))</f>
        <v>0</v>
      </c>
      <c r="M160" s="18" t="str">
        <f aca="false">IF(A160="","",IF(L160=0,"LISTA","RESTRINGIDA"))</f>
        <v>LISTA</v>
      </c>
      <c r="N160" s="51" t="str">
        <f aca="false">IF(OR(A160="",H160=""),"",IFERROR(MIN(1,SUMIF(SEMANAL!$C$7:$C$506,A160,SEMANAL!$W$7:$W$506)/H160),0))</f>
        <v/>
      </c>
      <c r="O160" s="57"/>
      <c r="P160" s="57"/>
      <c r="Q160" s="57"/>
      <c r="R160" s="57"/>
      <c r="S160" s="57"/>
      <c r="T160" s="57"/>
      <c r="U160" s="9" t="s">
        <v>17614</v>
      </c>
    </row>
    <row r="161" customFormat="false" ht="15" hidden="false" customHeight="false" outlineLevel="0" collapsed="false">
      <c r="A161" s="9" t="s">
        <v>3229</v>
      </c>
      <c r="B161" s="9" t="s">
        <v>17615</v>
      </c>
      <c r="C161" s="16" t="str">
        <f aca="false">IF(B161="","",IFERROR(INDEX(EDT!$E$5:$E$436,MATCH(B161,EDT!$H$5:$H$436,0)),IFERROR(INDEX(CRONOGRAMA!$G$5:$G$5679,MATCH(A161,CRONOGRAMA!$A$5:$A$5679,0)),"Fuera EDT")))</f>
        <v>02</v>
      </c>
      <c r="D161" s="16" t="str">
        <f aca="false">IF(C161="","",IFERROR(INDEX(MASTER!$B$19:$B$109,MATCH(C161,MASTER!$A$19:$A$109,0)),"Asignar fase"))</f>
        <v>Estructuras</v>
      </c>
      <c r="E161" s="9" t="s">
        <v>74</v>
      </c>
      <c r="F161" s="9"/>
      <c r="G161" s="9"/>
      <c r="H161" s="56"/>
      <c r="I161" s="43" t="n">
        <v>46322</v>
      </c>
      <c r="J161" s="43" t="n">
        <v>46334</v>
      </c>
      <c r="K161" s="16" t="n">
        <f aca="false">IF(A161="","",COUNTIF(RESTRICCIONES!$B$5:$B$304,A161))</f>
        <v>0</v>
      </c>
      <c r="L161" s="16" t="n">
        <f aca="false">IF(A161="","",COUNTIFS(RESTRICCIONES!$B$5:$B$304,A161,RESTRICCIONES!$L$5:$L$304,"Pendiente"))</f>
        <v>0</v>
      </c>
      <c r="M161" s="18" t="str">
        <f aca="false">IF(A161="","",IF(L161=0,"LISTA","RESTRINGIDA"))</f>
        <v>LISTA</v>
      </c>
      <c r="N161" s="51" t="str">
        <f aca="false">IF(OR(A161="",H161=""),"",IFERROR(MIN(1,SUMIF(SEMANAL!$C$7:$C$506,A161,SEMANAL!$W$7:$W$506)/H161),0))</f>
        <v/>
      </c>
      <c r="O161" s="57"/>
      <c r="P161" s="57"/>
      <c r="Q161" s="57"/>
      <c r="R161" s="57"/>
      <c r="S161" s="57"/>
      <c r="T161" s="57"/>
      <c r="U161" s="9" t="s">
        <v>17614</v>
      </c>
    </row>
    <row r="162" customFormat="false" ht="15" hidden="false" customHeight="false" outlineLevel="0" collapsed="false">
      <c r="A162" s="9" t="s">
        <v>3277</v>
      </c>
      <c r="B162" s="9" t="s">
        <v>17616</v>
      </c>
      <c r="C162" s="16" t="str">
        <f aca="false">IF(B162="","",IFERROR(INDEX(EDT!$E$5:$E$436,MATCH(B162,EDT!$H$5:$H$436,0)),IFERROR(INDEX(CRONOGRAMA!$G$5:$G$5679,MATCH(A162,CRONOGRAMA!$A$5:$A$5679,0)),"Fuera EDT")))</f>
        <v>02</v>
      </c>
      <c r="D162" s="16" t="str">
        <f aca="false">IF(C162="","",IFERROR(INDEX(MASTER!$B$19:$B$109,MATCH(C162,MASTER!$A$19:$A$109,0)),"Asignar fase"))</f>
        <v>Estructuras</v>
      </c>
      <c r="E162" s="9" t="s">
        <v>74</v>
      </c>
      <c r="F162" s="9"/>
      <c r="G162" s="9"/>
      <c r="H162" s="56"/>
      <c r="I162" s="43" t="n">
        <v>46322</v>
      </c>
      <c r="J162" s="43" t="n">
        <v>46345</v>
      </c>
      <c r="K162" s="16" t="n">
        <f aca="false">IF(A162="","",COUNTIF(RESTRICCIONES!$B$5:$B$304,A162))</f>
        <v>0</v>
      </c>
      <c r="L162" s="16" t="n">
        <f aca="false">IF(A162="","",COUNTIFS(RESTRICCIONES!$B$5:$B$304,A162,RESTRICCIONES!$L$5:$L$304,"Pendiente"))</f>
        <v>0</v>
      </c>
      <c r="M162" s="18" t="str">
        <f aca="false">IF(A162="","",IF(L162=0,"LISTA","RESTRINGIDA"))</f>
        <v>LISTA</v>
      </c>
      <c r="N162" s="51" t="str">
        <f aca="false">IF(OR(A162="",H162=""),"",IFERROR(MIN(1,SUMIF(SEMANAL!$C$7:$C$506,A162,SEMANAL!$W$7:$W$506)/H162),0))</f>
        <v/>
      </c>
      <c r="O162" s="57"/>
      <c r="P162" s="57"/>
      <c r="Q162" s="57"/>
      <c r="R162" s="57"/>
      <c r="S162" s="57"/>
      <c r="T162" s="57"/>
      <c r="U162" s="9" t="s">
        <v>17617</v>
      </c>
    </row>
    <row r="163" customFormat="false" ht="15" hidden="false" customHeight="false" outlineLevel="0" collapsed="false">
      <c r="A163" s="9" t="s">
        <v>4010</v>
      </c>
      <c r="B163" s="9" t="s">
        <v>17618</v>
      </c>
      <c r="C163" s="16" t="str">
        <f aca="false">IF(B163="","",IFERROR(INDEX(EDT!$E$5:$E$436,MATCH(B163,EDT!$H$5:$H$436,0)),IFERROR(INDEX(CRONOGRAMA!$G$5:$G$5679,MATCH(A163,CRONOGRAMA!$A$5:$A$5679,0)),"Fuera EDT")))</f>
        <v>02</v>
      </c>
      <c r="D163" s="16" t="str">
        <f aca="false">IF(C163="","",IFERROR(INDEX(MASTER!$B$19:$B$109,MATCH(C163,MASTER!$A$19:$A$109,0)),"Asignar fase"))</f>
        <v>Estructuras</v>
      </c>
      <c r="E163" s="9" t="s">
        <v>86</v>
      </c>
      <c r="F163" s="9"/>
      <c r="G163" s="9"/>
      <c r="H163" s="56"/>
      <c r="I163" s="43" t="n">
        <v>46322</v>
      </c>
      <c r="J163" s="43" t="n">
        <v>46322</v>
      </c>
      <c r="K163" s="16" t="n">
        <f aca="false">IF(A163="","",COUNTIF(RESTRICCIONES!$B$5:$B$304,A163))</f>
        <v>0</v>
      </c>
      <c r="L163" s="16" t="n">
        <f aca="false">IF(A163="","",COUNTIFS(RESTRICCIONES!$B$5:$B$304,A163,RESTRICCIONES!$L$5:$L$304,"Pendiente"))</f>
        <v>0</v>
      </c>
      <c r="M163" s="18" t="str">
        <f aca="false">IF(A163="","",IF(L163=0,"LISTA","RESTRINGIDA"))</f>
        <v>LISTA</v>
      </c>
      <c r="N163" s="51" t="str">
        <f aca="false">IF(OR(A163="",H163=""),"",IFERROR(MIN(1,SUMIF(SEMANAL!$C$7:$C$506,A163,SEMANAL!$W$7:$W$506)/H163),0))</f>
        <v/>
      </c>
      <c r="O163" s="57"/>
      <c r="P163" s="57"/>
      <c r="Q163" s="57"/>
      <c r="R163" s="57"/>
      <c r="S163" s="57"/>
      <c r="T163" s="57"/>
      <c r="U163" s="9" t="s">
        <v>17619</v>
      </c>
    </row>
    <row r="164" customFormat="false" ht="15" hidden="false" customHeight="false" outlineLevel="0" collapsed="false">
      <c r="A164" s="9" t="s">
        <v>6004</v>
      </c>
      <c r="B164" s="9" t="s">
        <v>17595</v>
      </c>
      <c r="C164" s="16" t="str">
        <f aca="false">IF(B164="","",IFERROR(INDEX(EDT!$E$5:$E$436,MATCH(B164,EDT!$H$5:$H$436,0)),IFERROR(INDEX(CRONOGRAMA!$G$5:$G$5679,MATCH(A164,CRONOGRAMA!$A$5:$A$5679,0)),"Fuera EDT")))</f>
        <v>02</v>
      </c>
      <c r="D164" s="16" t="str">
        <f aca="false">IF(C164="","",IFERROR(INDEX(MASTER!$B$19:$B$109,MATCH(C164,MASTER!$A$19:$A$109,0)),"Asignar fase"))</f>
        <v>Estructuras</v>
      </c>
      <c r="E164" s="9" t="s">
        <v>121</v>
      </c>
      <c r="F164" s="9"/>
      <c r="G164" s="9"/>
      <c r="H164" s="56"/>
      <c r="I164" s="43" t="n">
        <v>46322</v>
      </c>
      <c r="J164" s="43" t="n">
        <v>46322</v>
      </c>
      <c r="K164" s="16" t="n">
        <f aca="false">IF(A164="","",COUNTIF(RESTRICCIONES!$B$5:$B$304,A164))</f>
        <v>0</v>
      </c>
      <c r="L164" s="16" t="n">
        <f aca="false">IF(A164="","",COUNTIFS(RESTRICCIONES!$B$5:$B$304,A164,RESTRICCIONES!$L$5:$L$304,"Pendiente"))</f>
        <v>0</v>
      </c>
      <c r="M164" s="18" t="str">
        <f aca="false">IF(A164="","",IF(L164=0,"LISTA","RESTRINGIDA"))</f>
        <v>LISTA</v>
      </c>
      <c r="N164" s="51" t="str">
        <f aca="false">IF(OR(A164="",H164=""),"",IFERROR(MIN(1,SUMIF(SEMANAL!$C$7:$C$506,A164,SEMANAL!$W$7:$W$506)/H164),0))</f>
        <v/>
      </c>
      <c r="O164" s="57"/>
      <c r="P164" s="57"/>
      <c r="Q164" s="57"/>
      <c r="R164" s="57"/>
      <c r="S164" s="57"/>
      <c r="T164" s="57"/>
      <c r="U164" s="9" t="s">
        <v>17620</v>
      </c>
    </row>
    <row r="165" customFormat="false" ht="15" hidden="false" customHeight="false" outlineLevel="0" collapsed="false">
      <c r="A165" s="9" t="s">
        <v>7430</v>
      </c>
      <c r="B165" s="9" t="s">
        <v>17621</v>
      </c>
      <c r="C165" s="16" t="str">
        <f aca="false">IF(B165="","",IFERROR(INDEX(EDT!$E$5:$E$436,MATCH(B165,EDT!$H$5:$H$436,0)),IFERROR(INDEX(CRONOGRAMA!$G$5:$G$5679,MATCH(A165,CRONOGRAMA!$A$5:$A$5679,0)),"Fuera EDT")))</f>
        <v>03</v>
      </c>
      <c r="D165" s="16" t="str">
        <f aca="false">IF(C165="","",IFERROR(INDEX(MASTER!$B$19:$B$109,MATCH(C165,MASTER!$A$19:$A$109,0)),"Asignar fase"))</f>
        <v>Arquitectura</v>
      </c>
      <c r="E165" s="9" t="s">
        <v>62</v>
      </c>
      <c r="F165" s="9"/>
      <c r="G165" s="9"/>
      <c r="H165" s="56"/>
      <c r="I165" s="43" t="n">
        <v>46322</v>
      </c>
      <c r="J165" s="43" t="n">
        <v>46326</v>
      </c>
      <c r="K165" s="16" t="n">
        <f aca="false">IF(A165="","",COUNTIF(RESTRICCIONES!$B$5:$B$304,A165))</f>
        <v>0</v>
      </c>
      <c r="L165" s="16" t="n">
        <f aca="false">IF(A165="","",COUNTIFS(RESTRICCIONES!$B$5:$B$304,A165,RESTRICCIONES!$L$5:$L$304,"Pendiente"))</f>
        <v>0</v>
      </c>
      <c r="M165" s="18" t="str">
        <f aca="false">IF(A165="","",IF(L165=0,"LISTA","RESTRINGIDA"))</f>
        <v>LISTA</v>
      </c>
      <c r="N165" s="51" t="str">
        <f aca="false">IF(OR(A165="",H165=""),"",IFERROR(MIN(1,SUMIF(SEMANAL!$C$7:$C$506,A165,SEMANAL!$W$7:$W$506)/H165),0))</f>
        <v/>
      </c>
      <c r="O165" s="57"/>
      <c r="P165" s="57"/>
      <c r="Q165" s="57"/>
      <c r="R165" s="57"/>
      <c r="S165" s="57"/>
      <c r="T165" s="57"/>
      <c r="U165" s="9" t="s">
        <v>17622</v>
      </c>
    </row>
    <row r="166" customFormat="false" ht="15" hidden="false" customHeight="false" outlineLevel="0" collapsed="false">
      <c r="A166" s="9" t="s">
        <v>4013</v>
      </c>
      <c r="B166" s="9" t="s">
        <v>17623</v>
      </c>
      <c r="C166" s="16" t="str">
        <f aca="false">IF(B166="","",IFERROR(INDEX(EDT!$E$5:$E$436,MATCH(B166,EDT!$H$5:$H$436,0)),IFERROR(INDEX(CRONOGRAMA!$G$5:$G$5679,MATCH(A166,CRONOGRAMA!$A$5:$A$5679,0)),"Fuera EDT")))</f>
        <v>02</v>
      </c>
      <c r="D166" s="16" t="str">
        <f aca="false">IF(C166="","",IFERROR(INDEX(MASTER!$B$19:$B$109,MATCH(C166,MASTER!$A$19:$A$109,0)),"Asignar fase"))</f>
        <v>Estructuras</v>
      </c>
      <c r="E166" s="9" t="s">
        <v>86</v>
      </c>
      <c r="F166" s="9"/>
      <c r="G166" s="9"/>
      <c r="H166" s="56"/>
      <c r="I166" s="43" t="n">
        <v>46323</v>
      </c>
      <c r="J166" s="43" t="n">
        <v>46323</v>
      </c>
      <c r="K166" s="16" t="n">
        <f aca="false">IF(A166="","",COUNTIF(RESTRICCIONES!$B$5:$B$304,A166))</f>
        <v>0</v>
      </c>
      <c r="L166" s="16" t="n">
        <f aca="false">IF(A166="","",COUNTIFS(RESTRICCIONES!$B$5:$B$304,A166,RESTRICCIONES!$L$5:$L$304,"Pendiente"))</f>
        <v>0</v>
      </c>
      <c r="M166" s="18" t="str">
        <f aca="false">IF(A166="","",IF(L166=0,"LISTA","RESTRINGIDA"))</f>
        <v>LISTA</v>
      </c>
      <c r="N166" s="51" t="str">
        <f aca="false">IF(OR(A166="",H166=""),"",IFERROR(MIN(1,SUMIF(SEMANAL!$C$7:$C$506,A166,SEMANAL!$W$7:$W$506)/H166),0))</f>
        <v/>
      </c>
      <c r="O166" s="57"/>
      <c r="P166" s="57"/>
      <c r="Q166" s="57"/>
      <c r="R166" s="57"/>
      <c r="S166" s="57"/>
      <c r="T166" s="57"/>
      <c r="U166" s="9" t="s">
        <v>17624</v>
      </c>
    </row>
    <row r="167" customFormat="false" ht="15" hidden="false" customHeight="false" outlineLevel="0" collapsed="false">
      <c r="A167" s="9" t="s">
        <v>4664</v>
      </c>
      <c r="B167" s="9" t="s">
        <v>17625</v>
      </c>
      <c r="C167" s="16" t="str">
        <f aca="false">IF(B167="","",IFERROR(INDEX(EDT!$E$5:$E$436,MATCH(B167,EDT!$H$5:$H$436,0)),IFERROR(INDEX(CRONOGRAMA!$G$5:$G$5679,MATCH(A167,CRONOGRAMA!$A$5:$A$5679,0)),"Fuera EDT")))</f>
        <v>02</v>
      </c>
      <c r="D167" s="16" t="str">
        <f aca="false">IF(C167="","",IFERROR(INDEX(MASTER!$B$19:$B$109,MATCH(C167,MASTER!$A$19:$A$109,0)),"Asignar fase"))</f>
        <v>Estructuras</v>
      </c>
      <c r="E167" s="9" t="s">
        <v>104</v>
      </c>
      <c r="F167" s="9"/>
      <c r="G167" s="9"/>
      <c r="H167" s="56"/>
      <c r="I167" s="43" t="n">
        <v>46323</v>
      </c>
      <c r="J167" s="43" t="n">
        <v>46328</v>
      </c>
      <c r="K167" s="16" t="n">
        <f aca="false">IF(A167="","",COUNTIF(RESTRICCIONES!$B$5:$B$304,A167))</f>
        <v>0</v>
      </c>
      <c r="L167" s="16" t="n">
        <f aca="false">IF(A167="","",COUNTIFS(RESTRICCIONES!$B$5:$B$304,A167,RESTRICCIONES!$L$5:$L$304,"Pendiente"))</f>
        <v>0</v>
      </c>
      <c r="M167" s="18" t="str">
        <f aca="false">IF(A167="","",IF(L167=0,"LISTA","RESTRINGIDA"))</f>
        <v>LISTA</v>
      </c>
      <c r="N167" s="51" t="str">
        <f aca="false">IF(OR(A167="",H167=""),"",IFERROR(MIN(1,SUMIF(SEMANAL!$C$7:$C$506,A167,SEMANAL!$W$7:$W$506)/H167),0))</f>
        <v/>
      </c>
      <c r="O167" s="57"/>
      <c r="P167" s="57"/>
      <c r="Q167" s="57"/>
      <c r="R167" s="57"/>
      <c r="S167" s="57"/>
      <c r="T167" s="57"/>
      <c r="U167" s="9" t="s">
        <v>17626</v>
      </c>
    </row>
    <row r="168" customFormat="false" ht="15" hidden="false" customHeight="false" outlineLevel="0" collapsed="false">
      <c r="A168" s="9" t="s">
        <v>6012</v>
      </c>
      <c r="B168" s="9" t="s">
        <v>17542</v>
      </c>
      <c r="C168" s="16" t="str">
        <f aca="false">IF(B168="","",IFERROR(INDEX(EDT!$E$5:$E$436,MATCH(B168,EDT!$H$5:$H$436,0)),IFERROR(INDEX(CRONOGRAMA!$G$5:$G$5679,MATCH(A168,CRONOGRAMA!$A$5:$A$5679,0)),"Fuera EDT")))</f>
        <v>02</v>
      </c>
      <c r="D168" s="16" t="str">
        <f aca="false">IF(C168="","",IFERROR(INDEX(MASTER!$B$19:$B$109,MATCH(C168,MASTER!$A$19:$A$109,0)),"Asignar fase"))</f>
        <v>Estructuras</v>
      </c>
      <c r="E168" s="9" t="s">
        <v>121</v>
      </c>
      <c r="F168" s="9"/>
      <c r="G168" s="9"/>
      <c r="H168" s="56"/>
      <c r="I168" s="43" t="n">
        <v>46323</v>
      </c>
      <c r="J168" s="43" t="n">
        <v>46323</v>
      </c>
      <c r="K168" s="16" t="n">
        <f aca="false">IF(A168="","",COUNTIF(RESTRICCIONES!$B$5:$B$304,A168))</f>
        <v>0</v>
      </c>
      <c r="L168" s="16" t="n">
        <f aca="false">IF(A168="","",COUNTIFS(RESTRICCIONES!$B$5:$B$304,A168,RESTRICCIONES!$L$5:$L$304,"Pendiente"))</f>
        <v>0</v>
      </c>
      <c r="M168" s="18" t="str">
        <f aca="false">IF(A168="","",IF(L168=0,"LISTA","RESTRINGIDA"))</f>
        <v>LISTA</v>
      </c>
      <c r="N168" s="51" t="str">
        <f aca="false">IF(OR(A168="",H168=""),"",IFERROR(MIN(1,SUMIF(SEMANAL!$C$7:$C$506,A168,SEMANAL!$W$7:$W$506)/H168),0))</f>
        <v/>
      </c>
      <c r="O168" s="57"/>
      <c r="P168" s="57"/>
      <c r="Q168" s="57"/>
      <c r="R168" s="57"/>
      <c r="S168" s="57"/>
      <c r="T168" s="57"/>
      <c r="U168" s="9" t="s">
        <v>17627</v>
      </c>
    </row>
    <row r="169" customFormat="false" ht="15" hidden="false" customHeight="false" outlineLevel="0" collapsed="false">
      <c r="A169" s="9" t="s">
        <v>9401</v>
      </c>
      <c r="B169" s="9" t="s">
        <v>17522</v>
      </c>
      <c r="C169" s="16" t="str">
        <f aca="false">IF(B169="","",IFERROR(INDEX(EDT!$E$5:$E$436,MATCH(B169,EDT!$H$5:$H$436,0)),IFERROR(INDEX(CRONOGRAMA!$G$5:$G$5679,MATCH(A169,CRONOGRAMA!$A$5:$A$5679,0)),"Fuera EDT")))</f>
        <v>03</v>
      </c>
      <c r="D169" s="16" t="str">
        <f aca="false">IF(C169="","",IFERROR(INDEX(MASTER!$B$19:$B$109,MATCH(C169,MASTER!$A$19:$A$109,0)),"Asignar fase"))</f>
        <v>Arquitectura</v>
      </c>
      <c r="E169" s="9" t="s">
        <v>121</v>
      </c>
      <c r="F169" s="9"/>
      <c r="G169" s="9"/>
      <c r="H169" s="56"/>
      <c r="I169" s="43" t="n">
        <v>46323</v>
      </c>
      <c r="J169" s="43" t="n">
        <v>46338</v>
      </c>
      <c r="K169" s="16" t="n">
        <f aca="false">IF(A169="","",COUNTIF(RESTRICCIONES!$B$5:$B$304,A169))</f>
        <v>0</v>
      </c>
      <c r="L169" s="16" t="n">
        <f aca="false">IF(A169="","",COUNTIFS(RESTRICCIONES!$B$5:$B$304,A169,RESTRICCIONES!$L$5:$L$304,"Pendiente"))</f>
        <v>0</v>
      </c>
      <c r="M169" s="18" t="str">
        <f aca="false">IF(A169="","",IF(L169=0,"LISTA","RESTRINGIDA"))</f>
        <v>LISTA</v>
      </c>
      <c r="N169" s="51" t="str">
        <f aca="false">IF(OR(A169="",H169=""),"",IFERROR(MIN(1,SUMIF(SEMANAL!$C$7:$C$506,A169,SEMANAL!$W$7:$W$506)/H169),0))</f>
        <v/>
      </c>
      <c r="O169" s="57"/>
      <c r="P169" s="57"/>
      <c r="Q169" s="57"/>
      <c r="R169" s="57"/>
      <c r="S169" s="57"/>
      <c r="T169" s="57"/>
      <c r="U169" s="9" t="s">
        <v>17628</v>
      </c>
    </row>
    <row r="170" customFormat="false" ht="15" hidden="false" customHeight="false" outlineLevel="0" collapsed="false">
      <c r="A170" s="9" t="s">
        <v>9404</v>
      </c>
      <c r="B170" s="9" t="s">
        <v>17524</v>
      </c>
      <c r="C170" s="16" t="str">
        <f aca="false">IF(B170="","",IFERROR(INDEX(EDT!$E$5:$E$436,MATCH(B170,EDT!$H$5:$H$436,0)),IFERROR(INDEX(CRONOGRAMA!$G$5:$G$5679,MATCH(A170,CRONOGRAMA!$A$5:$A$5679,0)),"Fuera EDT")))</f>
        <v>03</v>
      </c>
      <c r="D170" s="16" t="str">
        <f aca="false">IF(C170="","",IFERROR(INDEX(MASTER!$B$19:$B$109,MATCH(C170,MASTER!$A$19:$A$109,0)),"Asignar fase"))</f>
        <v>Arquitectura</v>
      </c>
      <c r="E170" s="9" t="s">
        <v>121</v>
      </c>
      <c r="F170" s="9"/>
      <c r="G170" s="9"/>
      <c r="H170" s="56"/>
      <c r="I170" s="43" t="n">
        <v>46323</v>
      </c>
      <c r="J170" s="43" t="n">
        <v>46328</v>
      </c>
      <c r="K170" s="16" t="n">
        <f aca="false">IF(A170="","",COUNTIF(RESTRICCIONES!$B$5:$B$304,A170))</f>
        <v>0</v>
      </c>
      <c r="L170" s="16" t="n">
        <f aca="false">IF(A170="","",COUNTIFS(RESTRICCIONES!$B$5:$B$304,A170,RESTRICCIONES!$L$5:$L$304,"Pendiente"))</f>
        <v>0</v>
      </c>
      <c r="M170" s="18" t="str">
        <f aca="false">IF(A170="","",IF(L170=0,"LISTA","RESTRINGIDA"))</f>
        <v>LISTA</v>
      </c>
      <c r="N170" s="51" t="str">
        <f aca="false">IF(OR(A170="",H170=""),"",IFERROR(MIN(1,SUMIF(SEMANAL!$C$7:$C$506,A170,SEMANAL!$W$7:$W$506)/H170),0))</f>
        <v/>
      </c>
      <c r="O170" s="57"/>
      <c r="P170" s="57"/>
      <c r="Q170" s="57"/>
      <c r="R170" s="57"/>
      <c r="S170" s="57"/>
      <c r="T170" s="57"/>
      <c r="U170" s="9" t="s">
        <v>17629</v>
      </c>
    </row>
    <row r="171" customFormat="false" ht="15" hidden="false" customHeight="false" outlineLevel="0" collapsed="false">
      <c r="A171" s="9" t="s">
        <v>3867</v>
      </c>
      <c r="B171" s="9" t="s">
        <v>17630</v>
      </c>
      <c r="C171" s="16" t="str">
        <f aca="false">IF(B171="","",IFERROR(INDEX(EDT!$E$5:$E$436,MATCH(B171,EDT!$H$5:$H$436,0)),IFERROR(INDEX(CRONOGRAMA!$G$5:$G$5679,MATCH(A171,CRONOGRAMA!$A$5:$A$5679,0)),"Fuera EDT")))</f>
        <v>02</v>
      </c>
      <c r="D171" s="16" t="str">
        <f aca="false">IF(C171="","",IFERROR(INDEX(MASTER!$B$19:$B$109,MATCH(C171,MASTER!$A$19:$A$109,0)),"Asignar fase"))</f>
        <v>Estructuras</v>
      </c>
      <c r="E171" s="9" t="s">
        <v>86</v>
      </c>
      <c r="F171" s="9"/>
      <c r="G171" s="9"/>
      <c r="H171" s="56"/>
      <c r="I171" s="43" t="n">
        <v>46325</v>
      </c>
      <c r="J171" s="43" t="n">
        <v>46349</v>
      </c>
      <c r="K171" s="16" t="n">
        <f aca="false">IF(A171="","",COUNTIF(RESTRICCIONES!$B$5:$B$304,A171))</f>
        <v>0</v>
      </c>
      <c r="L171" s="16" t="n">
        <f aca="false">IF(A171="","",COUNTIFS(RESTRICCIONES!$B$5:$B$304,A171,RESTRICCIONES!$L$5:$L$304,"Pendiente"))</f>
        <v>0</v>
      </c>
      <c r="M171" s="18" t="str">
        <f aca="false">IF(A171="","",IF(L171=0,"LISTA","RESTRINGIDA"))</f>
        <v>LISTA</v>
      </c>
      <c r="N171" s="51" t="str">
        <f aca="false">IF(OR(A171="",H171=""),"",IFERROR(MIN(1,SUMIF(SEMANAL!$C$7:$C$506,A171,SEMANAL!$W$7:$W$506)/H171),0))</f>
        <v/>
      </c>
      <c r="O171" s="57"/>
      <c r="P171" s="57"/>
      <c r="Q171" s="57"/>
      <c r="R171" s="57"/>
      <c r="S171" s="57"/>
      <c r="T171" s="57"/>
      <c r="U171" s="9" t="s">
        <v>17631</v>
      </c>
    </row>
    <row r="172" customFormat="false" ht="15" hidden="false" customHeight="false" outlineLevel="0" collapsed="false">
      <c r="A172" s="9" t="s">
        <v>2403</v>
      </c>
      <c r="B172" s="9" t="s">
        <v>17632</v>
      </c>
      <c r="C172" s="16" t="str">
        <f aca="false">IF(B172="","",IFERROR(INDEX(EDT!$E$5:$E$436,MATCH(B172,EDT!$H$5:$H$436,0)),IFERROR(INDEX(CRONOGRAMA!$G$5:$G$5679,MATCH(A172,CRONOGRAMA!$A$5:$A$5679,0)),"Fuera EDT")))</f>
        <v>02</v>
      </c>
      <c r="D172" s="16" t="str">
        <f aca="false">IF(C172="","",IFERROR(INDEX(MASTER!$B$19:$B$109,MATCH(C172,MASTER!$A$19:$A$109,0)),"Asignar fase"))</f>
        <v>Estructuras</v>
      </c>
      <c r="E172" s="9" t="s">
        <v>68</v>
      </c>
      <c r="F172" s="9"/>
      <c r="G172" s="9"/>
      <c r="H172" s="56"/>
      <c r="I172" s="43" t="n">
        <v>46326</v>
      </c>
      <c r="J172" s="43" t="n">
        <v>46328</v>
      </c>
      <c r="K172" s="16" t="n">
        <f aca="false">IF(A172="","",COUNTIF(RESTRICCIONES!$B$5:$B$304,A172))</f>
        <v>0</v>
      </c>
      <c r="L172" s="16" t="n">
        <f aca="false">IF(A172="","",COUNTIFS(RESTRICCIONES!$B$5:$B$304,A172,RESTRICCIONES!$L$5:$L$304,"Pendiente"))</f>
        <v>0</v>
      </c>
      <c r="M172" s="18" t="str">
        <f aca="false">IF(A172="","",IF(L172=0,"LISTA","RESTRINGIDA"))</f>
        <v>LISTA</v>
      </c>
      <c r="N172" s="51" t="str">
        <f aca="false">IF(OR(A172="",H172=""),"",IFERROR(MIN(1,SUMIF(SEMANAL!$C$7:$C$506,A172,SEMANAL!$W$7:$W$506)/H172),0))</f>
        <v/>
      </c>
      <c r="O172" s="57"/>
      <c r="P172" s="57"/>
      <c r="Q172" s="57"/>
      <c r="R172" s="57"/>
      <c r="S172" s="57"/>
      <c r="T172" s="57"/>
      <c r="U172" s="9" t="s">
        <v>17633</v>
      </c>
    </row>
    <row r="173" customFormat="false" ht="15" hidden="false" customHeight="false" outlineLevel="0" collapsed="false">
      <c r="A173" s="9" t="s">
        <v>4635</v>
      </c>
      <c r="B173" s="9" t="s">
        <v>17634</v>
      </c>
      <c r="C173" s="16" t="str">
        <f aca="false">IF(B173="","",IFERROR(INDEX(EDT!$E$5:$E$436,MATCH(B173,EDT!$H$5:$H$436,0)),IFERROR(INDEX(CRONOGRAMA!$G$5:$G$5679,MATCH(A173,CRONOGRAMA!$A$5:$A$5679,0)),"Fuera EDT")))</f>
        <v>02</v>
      </c>
      <c r="D173" s="16" t="str">
        <f aca="false">IF(C173="","",IFERROR(INDEX(MASTER!$B$19:$B$109,MATCH(C173,MASTER!$A$19:$A$109,0)),"Asignar fase"))</f>
        <v>Estructuras</v>
      </c>
      <c r="E173" s="9" t="s">
        <v>104</v>
      </c>
      <c r="F173" s="9"/>
      <c r="G173" s="9"/>
      <c r="H173" s="56"/>
      <c r="I173" s="43" t="n">
        <v>46326</v>
      </c>
      <c r="J173" s="43" t="n">
        <v>46330</v>
      </c>
      <c r="K173" s="16" t="n">
        <f aca="false">IF(A173="","",COUNTIF(RESTRICCIONES!$B$5:$B$304,A173))</f>
        <v>0</v>
      </c>
      <c r="L173" s="16" t="n">
        <f aca="false">IF(A173="","",COUNTIFS(RESTRICCIONES!$B$5:$B$304,A173,RESTRICCIONES!$L$5:$L$304,"Pendiente"))</f>
        <v>0</v>
      </c>
      <c r="M173" s="18" t="str">
        <f aca="false">IF(A173="","",IF(L173=0,"LISTA","RESTRINGIDA"))</f>
        <v>LISTA</v>
      </c>
      <c r="N173" s="51" t="str">
        <f aca="false">IF(OR(A173="",H173=""),"",IFERROR(MIN(1,SUMIF(SEMANAL!$C$7:$C$506,A173,SEMANAL!$W$7:$W$506)/H173),0))</f>
        <v/>
      </c>
      <c r="O173" s="57"/>
      <c r="P173" s="57"/>
      <c r="Q173" s="57"/>
      <c r="R173" s="57"/>
      <c r="S173" s="57"/>
      <c r="T173" s="57"/>
      <c r="U173" s="9" t="s">
        <v>17635</v>
      </c>
    </row>
    <row r="174" customFormat="false" ht="15" hidden="false" customHeight="false" outlineLevel="0" collapsed="false">
      <c r="A174" s="9" t="s">
        <v>7974</v>
      </c>
      <c r="B174" s="9" t="s">
        <v>17389</v>
      </c>
      <c r="C174" s="16" t="str">
        <f aca="false">IF(B174="","",IFERROR(INDEX(EDT!$E$5:$E$436,MATCH(B174,EDT!$H$5:$H$436,0)),IFERROR(INDEX(CRONOGRAMA!$G$5:$G$5679,MATCH(A174,CRONOGRAMA!$A$5:$A$5679,0)),"Fuera EDT")))</f>
        <v>03</v>
      </c>
      <c r="D174" s="16" t="str">
        <f aca="false">IF(C174="","",IFERROR(INDEX(MASTER!$B$19:$B$109,MATCH(C174,MASTER!$A$19:$A$109,0)),"Asignar fase"))</f>
        <v>Arquitectura</v>
      </c>
      <c r="E174" s="9" t="s">
        <v>74</v>
      </c>
      <c r="F174" s="9"/>
      <c r="G174" s="9"/>
      <c r="H174" s="56"/>
      <c r="I174" s="43" t="n">
        <v>46326</v>
      </c>
      <c r="J174" s="43" t="n">
        <v>46335</v>
      </c>
      <c r="K174" s="16" t="n">
        <f aca="false">IF(A174="","",COUNTIF(RESTRICCIONES!$B$5:$B$304,A174))</f>
        <v>0</v>
      </c>
      <c r="L174" s="16" t="n">
        <f aca="false">IF(A174="","",COUNTIFS(RESTRICCIONES!$B$5:$B$304,A174,RESTRICCIONES!$L$5:$L$304,"Pendiente"))</f>
        <v>0</v>
      </c>
      <c r="M174" s="18" t="str">
        <f aca="false">IF(A174="","",IF(L174=0,"LISTA","RESTRINGIDA"))</f>
        <v>LISTA</v>
      </c>
      <c r="N174" s="51" t="str">
        <f aca="false">IF(OR(A174="",H174=""),"",IFERROR(MIN(1,SUMIF(SEMANAL!$C$7:$C$506,A174,SEMANAL!$W$7:$W$506)/H174),0))</f>
        <v/>
      </c>
      <c r="O174" s="57"/>
      <c r="P174" s="57"/>
      <c r="Q174" s="57"/>
      <c r="R174" s="57"/>
      <c r="S174" s="57"/>
      <c r="T174" s="57"/>
      <c r="U174" s="9" t="s">
        <v>17636</v>
      </c>
    </row>
    <row r="175" customFormat="false" ht="15" hidden="false" customHeight="false" outlineLevel="0" collapsed="false">
      <c r="A175" s="9" t="s">
        <v>9109</v>
      </c>
      <c r="B175" s="9" t="s">
        <v>17549</v>
      </c>
      <c r="C175" s="16" t="str">
        <f aca="false">IF(B175="","",IFERROR(INDEX(EDT!$E$5:$E$436,MATCH(B175,EDT!$H$5:$H$436,0)),IFERROR(INDEX(CRONOGRAMA!$G$5:$G$5679,MATCH(A175,CRONOGRAMA!$A$5:$A$5679,0)),"Fuera EDT")))</f>
        <v>03</v>
      </c>
      <c r="D175" s="16" t="str">
        <f aca="false">IF(C175="","",IFERROR(INDEX(MASTER!$B$19:$B$109,MATCH(C175,MASTER!$A$19:$A$109,0)),"Asignar fase"))</f>
        <v>Arquitectura</v>
      </c>
      <c r="E175" s="9" t="s">
        <v>114</v>
      </c>
      <c r="F175" s="9"/>
      <c r="G175" s="9"/>
      <c r="H175" s="56"/>
      <c r="I175" s="43" t="n">
        <v>46326</v>
      </c>
      <c r="J175" s="43" t="n">
        <v>46326</v>
      </c>
      <c r="K175" s="16" t="n">
        <f aca="false">IF(A175="","",COUNTIF(RESTRICCIONES!$B$5:$B$304,A175))</f>
        <v>0</v>
      </c>
      <c r="L175" s="16" t="n">
        <f aca="false">IF(A175="","",COUNTIFS(RESTRICCIONES!$B$5:$B$304,A175,RESTRICCIONES!$L$5:$L$304,"Pendiente"))</f>
        <v>0</v>
      </c>
      <c r="M175" s="18" t="str">
        <f aca="false">IF(A175="","",IF(L175=0,"LISTA","RESTRINGIDA"))</f>
        <v>LISTA</v>
      </c>
      <c r="N175" s="51" t="str">
        <f aca="false">IF(OR(A175="",H175=""),"",IFERROR(MIN(1,SUMIF(SEMANAL!$C$7:$C$506,A175,SEMANAL!$W$7:$W$506)/H175),0))</f>
        <v/>
      </c>
      <c r="O175" s="57"/>
      <c r="P175" s="57"/>
      <c r="Q175" s="57"/>
      <c r="R175" s="57"/>
      <c r="S175" s="57"/>
      <c r="T175" s="57"/>
      <c r="U175" s="9" t="s">
        <v>17637</v>
      </c>
    </row>
    <row r="176" customFormat="false" ht="15" hidden="false" customHeight="false" outlineLevel="0" collapsed="false">
      <c r="A176" s="9" t="s">
        <v>7434</v>
      </c>
      <c r="B176" s="9" t="s">
        <v>17638</v>
      </c>
      <c r="C176" s="16" t="str">
        <f aca="false">IF(B176="","",IFERROR(INDEX(EDT!$E$5:$E$436,MATCH(B176,EDT!$H$5:$H$436,0)),IFERROR(INDEX(CRONOGRAMA!$G$5:$G$5679,MATCH(A176,CRONOGRAMA!$A$5:$A$5679,0)),"Fuera EDT")))</f>
        <v>03</v>
      </c>
      <c r="D176" s="16" t="str">
        <f aca="false">IF(C176="","",IFERROR(INDEX(MASTER!$B$19:$B$109,MATCH(C176,MASTER!$A$19:$A$109,0)),"Asignar fase"))</f>
        <v>Arquitectura</v>
      </c>
      <c r="E176" s="9" t="s">
        <v>62</v>
      </c>
      <c r="F176" s="9"/>
      <c r="G176" s="9"/>
      <c r="H176" s="56"/>
      <c r="I176" s="43" t="n">
        <v>46327</v>
      </c>
      <c r="J176" s="43" t="n">
        <v>46328</v>
      </c>
      <c r="K176" s="16" t="n">
        <f aca="false">IF(A176="","",COUNTIF(RESTRICCIONES!$B$5:$B$304,A176))</f>
        <v>0</v>
      </c>
      <c r="L176" s="16" t="n">
        <f aca="false">IF(A176="","",COUNTIFS(RESTRICCIONES!$B$5:$B$304,A176,RESTRICCIONES!$L$5:$L$304,"Pendiente"))</f>
        <v>0</v>
      </c>
      <c r="M176" s="18" t="str">
        <f aca="false">IF(A176="","",IF(L176=0,"LISTA","RESTRINGIDA"))</f>
        <v>LISTA</v>
      </c>
      <c r="N176" s="51" t="str">
        <f aca="false">IF(OR(A176="",H176=""),"",IFERROR(MIN(1,SUMIF(SEMANAL!$C$7:$C$506,A176,SEMANAL!$W$7:$W$506)/H176),0))</f>
        <v/>
      </c>
      <c r="O176" s="57"/>
      <c r="P176" s="57"/>
      <c r="Q176" s="57"/>
      <c r="R176" s="57"/>
      <c r="S176" s="57"/>
      <c r="T176" s="57"/>
      <c r="U176" s="9" t="s">
        <v>17639</v>
      </c>
    </row>
    <row r="177" customFormat="false" ht="15" hidden="false" customHeight="false" outlineLevel="0" collapsed="false">
      <c r="A177" s="9" t="s">
        <v>8658</v>
      </c>
      <c r="B177" s="9" t="s">
        <v>17640</v>
      </c>
      <c r="C177" s="16" t="str">
        <f aca="false">IF(B177="","",IFERROR(INDEX(EDT!$E$5:$E$436,MATCH(B177,EDT!$H$5:$H$436,0)),IFERROR(INDEX(CRONOGRAMA!$G$5:$G$5679,MATCH(A177,CRONOGRAMA!$A$5:$A$5679,0)),"Fuera EDT")))</f>
        <v>03</v>
      </c>
      <c r="D177" s="16" t="str">
        <f aca="false">IF(C177="","",IFERROR(INDEX(MASTER!$B$19:$B$109,MATCH(C177,MASTER!$A$19:$A$109,0)),"Asignar fase"))</f>
        <v>Arquitectura</v>
      </c>
      <c r="E177" s="9" t="s">
        <v>98</v>
      </c>
      <c r="F177" s="9"/>
      <c r="G177" s="9"/>
      <c r="H177" s="56"/>
      <c r="I177" s="43" t="n">
        <v>46327</v>
      </c>
      <c r="J177" s="43" t="n">
        <v>46330</v>
      </c>
      <c r="K177" s="16" t="n">
        <f aca="false">IF(A177="","",COUNTIF(RESTRICCIONES!$B$5:$B$304,A177))</f>
        <v>0</v>
      </c>
      <c r="L177" s="16" t="n">
        <f aca="false">IF(A177="","",COUNTIFS(RESTRICCIONES!$B$5:$B$304,A177,RESTRICCIONES!$L$5:$L$304,"Pendiente"))</f>
        <v>0</v>
      </c>
      <c r="M177" s="18" t="str">
        <f aca="false">IF(A177="","",IF(L177=0,"LISTA","RESTRINGIDA"))</f>
        <v>LISTA</v>
      </c>
      <c r="N177" s="51" t="str">
        <f aca="false">IF(OR(A177="",H177=""),"",IFERROR(MIN(1,SUMIF(SEMANAL!$C$7:$C$506,A177,SEMANAL!$W$7:$W$506)/H177),0))</f>
        <v/>
      </c>
      <c r="O177" s="57"/>
      <c r="P177" s="57"/>
      <c r="Q177" s="57"/>
      <c r="R177" s="57"/>
      <c r="S177" s="57"/>
      <c r="T177" s="57"/>
      <c r="U177" s="9" t="s">
        <v>17641</v>
      </c>
    </row>
    <row r="178" customFormat="false" ht="15" hidden="false" customHeight="false" outlineLevel="0" collapsed="false">
      <c r="A178" s="9" t="s">
        <v>9112</v>
      </c>
      <c r="B178" s="9" t="s">
        <v>17560</v>
      </c>
      <c r="C178" s="16" t="str">
        <f aca="false">IF(B178="","",IFERROR(INDEX(EDT!$E$5:$E$436,MATCH(B178,EDT!$H$5:$H$436,0)),IFERROR(INDEX(CRONOGRAMA!$G$5:$G$5679,MATCH(A178,CRONOGRAMA!$A$5:$A$5679,0)),"Fuera EDT")))</f>
        <v>03</v>
      </c>
      <c r="D178" s="16" t="str">
        <f aca="false">IF(C178="","",IFERROR(INDEX(MASTER!$B$19:$B$109,MATCH(C178,MASTER!$A$19:$A$109,0)),"Asignar fase"))</f>
        <v>Arquitectura</v>
      </c>
      <c r="E178" s="9" t="s">
        <v>114</v>
      </c>
      <c r="F178" s="9"/>
      <c r="G178" s="9"/>
      <c r="H178" s="56"/>
      <c r="I178" s="43" t="n">
        <v>46327</v>
      </c>
      <c r="J178" s="43" t="n">
        <v>46327</v>
      </c>
      <c r="K178" s="16" t="n">
        <f aca="false">IF(A178="","",COUNTIF(RESTRICCIONES!$B$5:$B$304,A178))</f>
        <v>0</v>
      </c>
      <c r="L178" s="16" t="n">
        <f aca="false">IF(A178="","",COUNTIFS(RESTRICCIONES!$B$5:$B$304,A178,RESTRICCIONES!$L$5:$L$304,"Pendiente"))</f>
        <v>0</v>
      </c>
      <c r="M178" s="18" t="str">
        <f aca="false">IF(A178="","",IF(L178=0,"LISTA","RESTRINGIDA"))</f>
        <v>LISTA</v>
      </c>
      <c r="N178" s="51" t="str">
        <f aca="false">IF(OR(A178="",H178=""),"",IFERROR(MIN(1,SUMIF(SEMANAL!$C$7:$C$506,A178,SEMANAL!$W$7:$W$506)/H178),0))</f>
        <v/>
      </c>
      <c r="O178" s="57"/>
      <c r="P178" s="57"/>
      <c r="Q178" s="57"/>
      <c r="R178" s="57"/>
      <c r="S178" s="57"/>
      <c r="T178" s="57"/>
      <c r="U178" s="9" t="s">
        <v>17642</v>
      </c>
    </row>
    <row r="179" customFormat="false" ht="15" hidden="false" customHeight="false" outlineLevel="0" collapsed="false">
      <c r="A179" s="9" t="s">
        <v>4210</v>
      </c>
      <c r="B179" s="9" t="s">
        <v>17643</v>
      </c>
      <c r="C179" s="16" t="str">
        <f aca="false">IF(B179="","",IFERROR(INDEX(EDT!$E$5:$E$436,MATCH(B179,EDT!$H$5:$H$436,0)),IFERROR(INDEX(CRONOGRAMA!$G$5:$G$5679,MATCH(A179,CRONOGRAMA!$A$5:$A$5679,0)),"Fuera EDT")))</f>
        <v>02</v>
      </c>
      <c r="D179" s="16" t="str">
        <f aca="false">IF(C179="","",IFERROR(INDEX(MASTER!$B$19:$B$109,MATCH(C179,MASTER!$A$19:$A$109,0)),"Asignar fase"))</f>
        <v>Estructuras</v>
      </c>
      <c r="E179" s="9" t="s">
        <v>92</v>
      </c>
      <c r="F179" s="9"/>
      <c r="G179" s="9"/>
      <c r="H179" s="56"/>
      <c r="I179" s="43" t="n">
        <v>46328</v>
      </c>
      <c r="J179" s="43" t="n">
        <v>46329</v>
      </c>
      <c r="K179" s="16" t="n">
        <f aca="false">IF(A179="","",COUNTIF(RESTRICCIONES!$B$5:$B$304,A179))</f>
        <v>0</v>
      </c>
      <c r="L179" s="16" t="n">
        <f aca="false">IF(A179="","",COUNTIFS(RESTRICCIONES!$B$5:$B$304,A179,RESTRICCIONES!$L$5:$L$304,"Pendiente"))</f>
        <v>0</v>
      </c>
      <c r="M179" s="18" t="str">
        <f aca="false">IF(A179="","",IF(L179=0,"LISTA","RESTRINGIDA"))</f>
        <v>LISTA</v>
      </c>
      <c r="N179" s="51" t="str">
        <f aca="false">IF(OR(A179="",H179=""),"",IFERROR(MIN(1,SUMIF(SEMANAL!$C$7:$C$506,A179,SEMANAL!$W$7:$W$506)/H179),0))</f>
        <v/>
      </c>
      <c r="O179" s="57"/>
      <c r="P179" s="57"/>
      <c r="Q179" s="57"/>
      <c r="R179" s="57"/>
      <c r="S179" s="57"/>
      <c r="T179" s="57"/>
      <c r="U179" s="9" t="s">
        <v>17644</v>
      </c>
    </row>
    <row r="180" customFormat="false" ht="15" hidden="false" customHeight="false" outlineLevel="0" collapsed="false">
      <c r="A180" s="9" t="s">
        <v>9115</v>
      </c>
      <c r="B180" s="9" t="s">
        <v>17645</v>
      </c>
      <c r="C180" s="16" t="str">
        <f aca="false">IF(B180="","",IFERROR(INDEX(EDT!$E$5:$E$436,MATCH(B180,EDT!$H$5:$H$436,0)),IFERROR(INDEX(CRONOGRAMA!$G$5:$G$5679,MATCH(A180,CRONOGRAMA!$A$5:$A$5679,0)),"Fuera EDT")))</f>
        <v>03</v>
      </c>
      <c r="D180" s="16" t="str">
        <f aca="false">IF(C180="","",IFERROR(INDEX(MASTER!$B$19:$B$109,MATCH(C180,MASTER!$A$19:$A$109,0)),"Asignar fase"))</f>
        <v>Arquitectura</v>
      </c>
      <c r="E180" s="9" t="s">
        <v>114</v>
      </c>
      <c r="F180" s="9"/>
      <c r="G180" s="9"/>
      <c r="H180" s="56"/>
      <c r="I180" s="43" t="n">
        <v>46328</v>
      </c>
      <c r="J180" s="43" t="n">
        <v>46330</v>
      </c>
      <c r="K180" s="16" t="n">
        <f aca="false">IF(A180="","",COUNTIF(RESTRICCIONES!$B$5:$B$304,A180))</f>
        <v>0</v>
      </c>
      <c r="L180" s="16" t="n">
        <f aca="false">IF(A180="","",COUNTIFS(RESTRICCIONES!$B$5:$B$304,A180,RESTRICCIONES!$L$5:$L$304,"Pendiente"))</f>
        <v>0</v>
      </c>
      <c r="M180" s="18" t="str">
        <f aca="false">IF(A180="","",IF(L180=0,"LISTA","RESTRINGIDA"))</f>
        <v>LISTA</v>
      </c>
      <c r="N180" s="51" t="str">
        <f aca="false">IF(OR(A180="",H180=""),"",IFERROR(MIN(1,SUMIF(SEMANAL!$C$7:$C$506,A180,SEMANAL!$W$7:$W$506)/H180),0))</f>
        <v/>
      </c>
      <c r="O180" s="57"/>
      <c r="P180" s="57"/>
      <c r="Q180" s="57"/>
      <c r="R180" s="57"/>
      <c r="S180" s="57"/>
      <c r="T180" s="57"/>
      <c r="U180" s="9" t="s">
        <v>17646</v>
      </c>
    </row>
    <row r="181" customFormat="false" ht="15" hidden="false" customHeight="false" outlineLevel="0" collapsed="false">
      <c r="A181" s="9" t="s">
        <v>2412</v>
      </c>
      <c r="B181" s="9" t="s">
        <v>17647</v>
      </c>
      <c r="C181" s="16" t="str">
        <f aca="false">IF(B181="","",IFERROR(INDEX(EDT!$E$5:$E$436,MATCH(B181,EDT!$H$5:$H$436,0)),IFERROR(INDEX(CRONOGRAMA!$G$5:$G$5679,MATCH(A181,CRONOGRAMA!$A$5:$A$5679,0)),"Fuera EDT")))</f>
        <v>02</v>
      </c>
      <c r="D181" s="16" t="str">
        <f aca="false">IF(C181="","",IFERROR(INDEX(MASTER!$B$19:$B$109,MATCH(C181,MASTER!$A$19:$A$109,0)),"Asignar fase"))</f>
        <v>Estructuras</v>
      </c>
      <c r="E181" s="9" t="s">
        <v>68</v>
      </c>
      <c r="F181" s="9"/>
      <c r="G181" s="9"/>
      <c r="H181" s="56"/>
      <c r="I181" s="43" t="n">
        <v>46329</v>
      </c>
      <c r="J181" s="43" t="n">
        <v>46334</v>
      </c>
      <c r="K181" s="16" t="n">
        <f aca="false">IF(A181="","",COUNTIF(RESTRICCIONES!$B$5:$B$304,A181))</f>
        <v>0</v>
      </c>
      <c r="L181" s="16" t="n">
        <f aca="false">IF(A181="","",COUNTIFS(RESTRICCIONES!$B$5:$B$304,A181,RESTRICCIONES!$L$5:$L$304,"Pendiente"))</f>
        <v>0</v>
      </c>
      <c r="M181" s="18" t="str">
        <f aca="false">IF(A181="","",IF(L181=0,"LISTA","RESTRINGIDA"))</f>
        <v>LISTA</v>
      </c>
      <c r="N181" s="51" t="str">
        <f aca="false">IF(OR(A181="",H181=""),"",IFERROR(MIN(1,SUMIF(SEMANAL!$C$7:$C$506,A181,SEMANAL!$W$7:$W$506)/H181),0))</f>
        <v/>
      </c>
      <c r="O181" s="57"/>
      <c r="P181" s="57"/>
      <c r="Q181" s="57"/>
      <c r="R181" s="57"/>
      <c r="S181" s="57"/>
      <c r="T181" s="57"/>
      <c r="U181" s="9" t="s">
        <v>17648</v>
      </c>
    </row>
    <row r="182" customFormat="false" ht="15" hidden="false" customHeight="false" outlineLevel="0" collapsed="false">
      <c r="A182" s="9" t="s">
        <v>2469</v>
      </c>
      <c r="B182" s="9" t="s">
        <v>17494</v>
      </c>
      <c r="C182" s="16" t="str">
        <f aca="false">IF(B182="","",IFERROR(INDEX(EDT!$E$5:$E$436,MATCH(B182,EDT!$H$5:$H$436,0)),IFERROR(INDEX(CRONOGRAMA!$G$5:$G$5679,MATCH(A182,CRONOGRAMA!$A$5:$A$5679,0)),"Fuera EDT")))</f>
        <v>02</v>
      </c>
      <c r="D182" s="16" t="str">
        <f aca="false">IF(C182="","",IFERROR(INDEX(MASTER!$B$19:$B$109,MATCH(C182,MASTER!$A$19:$A$109,0)),"Asignar fase"))</f>
        <v>Estructuras</v>
      </c>
      <c r="E182" s="9" t="s">
        <v>68</v>
      </c>
      <c r="F182" s="9"/>
      <c r="G182" s="9"/>
      <c r="H182" s="56"/>
      <c r="I182" s="43" t="n">
        <v>46329</v>
      </c>
      <c r="J182" s="43" t="n">
        <v>46353</v>
      </c>
      <c r="K182" s="16" t="n">
        <f aca="false">IF(A182="","",COUNTIF(RESTRICCIONES!$B$5:$B$304,A182))</f>
        <v>0</v>
      </c>
      <c r="L182" s="16" t="n">
        <f aca="false">IF(A182="","",COUNTIFS(RESTRICCIONES!$B$5:$B$304,A182,RESTRICCIONES!$L$5:$L$304,"Pendiente"))</f>
        <v>0</v>
      </c>
      <c r="M182" s="18" t="str">
        <f aca="false">IF(A182="","",IF(L182=0,"LISTA","RESTRINGIDA"))</f>
        <v>LISTA</v>
      </c>
      <c r="N182" s="51" t="str">
        <f aca="false">IF(OR(A182="",H182=""),"",IFERROR(MIN(1,SUMIF(SEMANAL!$C$7:$C$506,A182,SEMANAL!$W$7:$W$506)/H182),0))</f>
        <v/>
      </c>
      <c r="O182" s="57"/>
      <c r="P182" s="57"/>
      <c r="Q182" s="57"/>
      <c r="R182" s="57"/>
      <c r="S182" s="57"/>
      <c r="T182" s="57"/>
      <c r="U182" s="9" t="s">
        <v>17649</v>
      </c>
    </row>
    <row r="183" customFormat="false" ht="15" hidden="false" customHeight="false" outlineLevel="0" collapsed="false">
      <c r="A183" s="9" t="s">
        <v>2514</v>
      </c>
      <c r="B183" s="9" t="s">
        <v>17650</v>
      </c>
      <c r="C183" s="16" t="str">
        <f aca="false">IF(B183="","",IFERROR(INDEX(EDT!$E$5:$E$436,MATCH(B183,EDT!$H$5:$H$436,0)),IFERROR(INDEX(CRONOGRAMA!$G$5:$G$5679,MATCH(A183,CRONOGRAMA!$A$5:$A$5679,0)),"Fuera EDT")))</f>
        <v>02</v>
      </c>
      <c r="D183" s="16" t="str">
        <f aca="false">IF(C183="","",IFERROR(INDEX(MASTER!$B$19:$B$109,MATCH(C183,MASTER!$A$19:$A$109,0)),"Asignar fase"))</f>
        <v>Estructuras</v>
      </c>
      <c r="E183" s="9" t="s">
        <v>68</v>
      </c>
      <c r="F183" s="9"/>
      <c r="G183" s="9"/>
      <c r="H183" s="56"/>
      <c r="I183" s="43" t="n">
        <v>46329</v>
      </c>
      <c r="J183" s="43" t="n">
        <v>46333</v>
      </c>
      <c r="K183" s="16" t="n">
        <f aca="false">IF(A183="","",COUNTIF(RESTRICCIONES!$B$5:$B$304,A183))</f>
        <v>0</v>
      </c>
      <c r="L183" s="16" t="n">
        <f aca="false">IF(A183="","",COUNTIFS(RESTRICCIONES!$B$5:$B$304,A183,RESTRICCIONES!$L$5:$L$304,"Pendiente"))</f>
        <v>0</v>
      </c>
      <c r="M183" s="18" t="str">
        <f aca="false">IF(A183="","",IF(L183=0,"LISTA","RESTRINGIDA"))</f>
        <v>LISTA</v>
      </c>
      <c r="N183" s="51" t="str">
        <f aca="false">IF(OR(A183="",H183=""),"",IFERROR(MIN(1,SUMIF(SEMANAL!$C$7:$C$506,A183,SEMANAL!$W$7:$W$506)/H183),0))</f>
        <v/>
      </c>
      <c r="O183" s="57"/>
      <c r="P183" s="57"/>
      <c r="Q183" s="57"/>
      <c r="R183" s="57"/>
      <c r="S183" s="57"/>
      <c r="T183" s="57"/>
      <c r="U183" s="9" t="s">
        <v>17651</v>
      </c>
    </row>
    <row r="184" customFormat="false" ht="15" hidden="false" customHeight="false" outlineLevel="0" collapsed="false">
      <c r="A184" s="9" t="s">
        <v>2575</v>
      </c>
      <c r="B184" s="9" t="s">
        <v>17496</v>
      </c>
      <c r="C184" s="16" t="str">
        <f aca="false">IF(B184="","",IFERROR(INDEX(EDT!$E$5:$E$436,MATCH(B184,EDT!$H$5:$H$436,0)),IFERROR(INDEX(CRONOGRAMA!$G$5:$G$5679,MATCH(A184,CRONOGRAMA!$A$5:$A$5679,0)),"Fuera EDT")))</f>
        <v>02</v>
      </c>
      <c r="D184" s="16" t="str">
        <f aca="false">IF(C184="","",IFERROR(INDEX(MASTER!$B$19:$B$109,MATCH(C184,MASTER!$A$19:$A$109,0)),"Asignar fase"))</f>
        <v>Estructuras</v>
      </c>
      <c r="E184" s="9" t="s">
        <v>68</v>
      </c>
      <c r="F184" s="9"/>
      <c r="G184" s="9"/>
      <c r="H184" s="56"/>
      <c r="I184" s="43" t="n">
        <v>46329</v>
      </c>
      <c r="J184" s="43" t="n">
        <v>46343</v>
      </c>
      <c r="K184" s="16" t="n">
        <f aca="false">IF(A184="","",COUNTIF(RESTRICCIONES!$B$5:$B$304,A184))</f>
        <v>0</v>
      </c>
      <c r="L184" s="16" t="n">
        <f aca="false">IF(A184="","",COUNTIFS(RESTRICCIONES!$B$5:$B$304,A184,RESTRICCIONES!$L$5:$L$304,"Pendiente"))</f>
        <v>0</v>
      </c>
      <c r="M184" s="18" t="str">
        <f aca="false">IF(A184="","",IF(L184=0,"LISTA","RESTRINGIDA"))</f>
        <v>LISTA</v>
      </c>
      <c r="N184" s="51" t="str">
        <f aca="false">IF(OR(A184="",H184=""),"",IFERROR(MIN(1,SUMIF(SEMANAL!$C$7:$C$506,A184,SEMANAL!$W$7:$W$506)/H184),0))</f>
        <v/>
      </c>
      <c r="O184" s="57"/>
      <c r="P184" s="57"/>
      <c r="Q184" s="57"/>
      <c r="R184" s="57"/>
      <c r="S184" s="57"/>
      <c r="T184" s="57"/>
      <c r="U184" s="9" t="s">
        <v>17652</v>
      </c>
    </row>
    <row r="185" customFormat="false" ht="15" hidden="false" customHeight="false" outlineLevel="0" collapsed="false">
      <c r="A185" s="9" t="s">
        <v>2827</v>
      </c>
      <c r="B185" s="9" t="s">
        <v>17653</v>
      </c>
      <c r="C185" s="16" t="str">
        <f aca="false">IF(B185="","",IFERROR(INDEX(EDT!$E$5:$E$436,MATCH(B185,EDT!$H$5:$H$436,0)),IFERROR(INDEX(CRONOGRAMA!$G$5:$G$5679,MATCH(A185,CRONOGRAMA!$A$5:$A$5679,0)),"Fuera EDT")))</f>
        <v>02</v>
      </c>
      <c r="D185" s="16" t="str">
        <f aca="false">IF(C185="","",IFERROR(INDEX(MASTER!$B$19:$B$109,MATCH(C185,MASTER!$A$19:$A$109,0)),"Asignar fase"))</f>
        <v>Estructuras</v>
      </c>
      <c r="E185" s="9" t="s">
        <v>68</v>
      </c>
      <c r="F185" s="9"/>
      <c r="G185" s="9"/>
      <c r="H185" s="56"/>
      <c r="I185" s="43" t="n">
        <v>46329</v>
      </c>
      <c r="J185" s="43" t="n">
        <v>46346</v>
      </c>
      <c r="K185" s="16" t="n">
        <f aca="false">IF(A185="","",COUNTIF(RESTRICCIONES!$B$5:$B$304,A185))</f>
        <v>0</v>
      </c>
      <c r="L185" s="16" t="n">
        <f aca="false">IF(A185="","",COUNTIFS(RESTRICCIONES!$B$5:$B$304,A185,RESTRICCIONES!$L$5:$L$304,"Pendiente"))</f>
        <v>0</v>
      </c>
      <c r="M185" s="18" t="str">
        <f aca="false">IF(A185="","",IF(L185=0,"LISTA","RESTRINGIDA"))</f>
        <v>LISTA</v>
      </c>
      <c r="N185" s="51" t="str">
        <f aca="false">IF(OR(A185="",H185=""),"",IFERROR(MIN(1,SUMIF(SEMANAL!$C$7:$C$506,A185,SEMANAL!$W$7:$W$506)/H185),0))</f>
        <v/>
      </c>
      <c r="O185" s="57"/>
      <c r="P185" s="57"/>
      <c r="Q185" s="57"/>
      <c r="R185" s="57"/>
      <c r="S185" s="57"/>
      <c r="T185" s="57"/>
      <c r="U185" s="9" t="s">
        <v>17652</v>
      </c>
    </row>
    <row r="186" customFormat="false" ht="15" hidden="false" customHeight="false" outlineLevel="0" collapsed="false">
      <c r="A186" s="9" t="s">
        <v>4683</v>
      </c>
      <c r="B186" s="9" t="s">
        <v>17654</v>
      </c>
      <c r="C186" s="16" t="str">
        <f aca="false">IF(B186="","",IFERROR(INDEX(EDT!$E$5:$E$436,MATCH(B186,EDT!$H$5:$H$436,0)),IFERROR(INDEX(CRONOGRAMA!$G$5:$G$5679,MATCH(A186,CRONOGRAMA!$A$5:$A$5679,0)),"Fuera EDT")))</f>
        <v>02</v>
      </c>
      <c r="D186" s="16" t="str">
        <f aca="false">IF(C186="","",IFERROR(INDEX(MASTER!$B$19:$B$109,MATCH(C186,MASTER!$A$19:$A$109,0)),"Asignar fase"))</f>
        <v>Estructuras</v>
      </c>
      <c r="E186" s="9" t="s">
        <v>104</v>
      </c>
      <c r="F186" s="9"/>
      <c r="G186" s="9"/>
      <c r="H186" s="56"/>
      <c r="I186" s="43" t="n">
        <v>46329</v>
      </c>
      <c r="J186" s="43" t="n">
        <v>46338</v>
      </c>
      <c r="K186" s="16" t="n">
        <f aca="false">IF(A186="","",COUNTIF(RESTRICCIONES!$B$5:$B$304,A186))</f>
        <v>0</v>
      </c>
      <c r="L186" s="16" t="n">
        <f aca="false">IF(A186="","",COUNTIFS(RESTRICCIONES!$B$5:$B$304,A186,RESTRICCIONES!$L$5:$L$304,"Pendiente"))</f>
        <v>0</v>
      </c>
      <c r="M186" s="18" t="str">
        <f aca="false">IF(A186="","",IF(L186=0,"LISTA","RESTRINGIDA"))</f>
        <v>LISTA</v>
      </c>
      <c r="N186" s="51" t="str">
        <f aca="false">IF(OR(A186="",H186=""),"",IFERROR(MIN(1,SUMIF(SEMANAL!$C$7:$C$506,A186,SEMANAL!$W$7:$W$506)/H186),0))</f>
        <v/>
      </c>
      <c r="O186" s="57"/>
      <c r="P186" s="57"/>
      <c r="Q186" s="57"/>
      <c r="R186" s="57"/>
      <c r="S186" s="57"/>
      <c r="T186" s="57"/>
      <c r="U186" s="9" t="s">
        <v>17655</v>
      </c>
    </row>
    <row r="187" customFormat="false" ht="15" hidden="false" customHeight="false" outlineLevel="0" collapsed="false">
      <c r="A187" s="9" t="s">
        <v>5084</v>
      </c>
      <c r="B187" s="9" t="s">
        <v>17555</v>
      </c>
      <c r="C187" s="16" t="str">
        <f aca="false">IF(B187="","",IFERROR(INDEX(EDT!$E$5:$E$436,MATCH(B187,EDT!$H$5:$H$436,0)),IFERROR(INDEX(CRONOGRAMA!$G$5:$G$5679,MATCH(A187,CRONOGRAMA!$A$5:$A$5679,0)),"Fuera EDT")))</f>
        <v>02</v>
      </c>
      <c r="D187" s="16" t="str">
        <f aca="false">IF(C187="","",IFERROR(INDEX(MASTER!$B$19:$B$109,MATCH(C187,MASTER!$A$19:$A$109,0)),"Asignar fase"))</f>
        <v>Estructuras</v>
      </c>
      <c r="E187" s="9" t="s">
        <v>109</v>
      </c>
      <c r="F187" s="9"/>
      <c r="G187" s="9"/>
      <c r="H187" s="56"/>
      <c r="I187" s="43" t="n">
        <v>46329</v>
      </c>
      <c r="J187" s="43" t="n">
        <v>46329</v>
      </c>
      <c r="K187" s="16" t="n">
        <f aca="false">IF(A187="","",COUNTIF(RESTRICCIONES!$B$5:$B$304,A187))</f>
        <v>0</v>
      </c>
      <c r="L187" s="16" t="n">
        <f aca="false">IF(A187="","",COUNTIFS(RESTRICCIONES!$B$5:$B$304,A187,RESTRICCIONES!$L$5:$L$304,"Pendiente"))</f>
        <v>0</v>
      </c>
      <c r="M187" s="18" t="str">
        <f aca="false">IF(A187="","",IF(L187=0,"LISTA","RESTRINGIDA"))</f>
        <v>LISTA</v>
      </c>
      <c r="N187" s="51" t="str">
        <f aca="false">IF(OR(A187="",H187=""),"",IFERROR(MIN(1,SUMIF(SEMANAL!$C$7:$C$506,A187,SEMANAL!$W$7:$W$506)/H187),0))</f>
        <v/>
      </c>
      <c r="O187" s="57"/>
      <c r="P187" s="57"/>
      <c r="Q187" s="57"/>
      <c r="R187" s="57"/>
      <c r="S187" s="57"/>
      <c r="T187" s="57"/>
      <c r="U187" s="9" t="s">
        <v>17656</v>
      </c>
    </row>
    <row r="188" customFormat="false" ht="15" hidden="false" customHeight="false" outlineLevel="0" collapsed="false">
      <c r="A188" s="9" t="s">
        <v>5898</v>
      </c>
      <c r="B188" s="9" t="s">
        <v>17657</v>
      </c>
      <c r="C188" s="16" t="str">
        <f aca="false">IF(B188="","",IFERROR(INDEX(EDT!$E$5:$E$436,MATCH(B188,EDT!$H$5:$H$436,0)),IFERROR(INDEX(CRONOGRAMA!$G$5:$G$5679,MATCH(A188,CRONOGRAMA!$A$5:$A$5679,0)),"Fuera EDT")))</f>
        <v>02</v>
      </c>
      <c r="D188" s="16" t="str">
        <f aca="false">IF(C188="","",IFERROR(INDEX(MASTER!$B$19:$B$109,MATCH(C188,MASTER!$A$19:$A$109,0)),"Asignar fase"))</f>
        <v>Estructuras</v>
      </c>
      <c r="E188" s="9" t="s">
        <v>121</v>
      </c>
      <c r="F188" s="9"/>
      <c r="G188" s="9"/>
      <c r="H188" s="56"/>
      <c r="I188" s="43" t="n">
        <v>46329</v>
      </c>
      <c r="J188" s="43" t="n">
        <v>46329</v>
      </c>
      <c r="K188" s="16" t="n">
        <f aca="false">IF(A188="","",COUNTIF(RESTRICCIONES!$B$5:$B$304,A188))</f>
        <v>0</v>
      </c>
      <c r="L188" s="16" t="n">
        <f aca="false">IF(A188="","",COUNTIFS(RESTRICCIONES!$B$5:$B$304,A188,RESTRICCIONES!$L$5:$L$304,"Pendiente"))</f>
        <v>0</v>
      </c>
      <c r="M188" s="18" t="str">
        <f aca="false">IF(A188="","",IF(L188=0,"LISTA","RESTRINGIDA"))</f>
        <v>LISTA</v>
      </c>
      <c r="N188" s="51" t="str">
        <f aca="false">IF(OR(A188="",H188=""),"",IFERROR(MIN(1,SUMIF(SEMANAL!$C$7:$C$506,A188,SEMANAL!$W$7:$W$506)/H188),0))</f>
        <v/>
      </c>
      <c r="O188" s="57"/>
      <c r="P188" s="57"/>
      <c r="Q188" s="57"/>
      <c r="R188" s="57"/>
      <c r="S188" s="57"/>
      <c r="T188" s="57"/>
      <c r="U188" s="9" t="s">
        <v>17658</v>
      </c>
    </row>
    <row r="189" customFormat="false" ht="15" hidden="false" customHeight="false" outlineLevel="0" collapsed="false">
      <c r="A189" s="9" t="s">
        <v>7441</v>
      </c>
      <c r="B189" s="9" t="s">
        <v>17659</v>
      </c>
      <c r="C189" s="16" t="str">
        <f aca="false">IF(B189="","",IFERROR(INDEX(EDT!$E$5:$E$436,MATCH(B189,EDT!$H$5:$H$436,0)),IFERROR(INDEX(CRONOGRAMA!$G$5:$G$5679,MATCH(A189,CRONOGRAMA!$A$5:$A$5679,0)),"Fuera EDT")))</f>
        <v>03</v>
      </c>
      <c r="D189" s="16" t="str">
        <f aca="false">IF(C189="","",IFERROR(INDEX(MASTER!$B$19:$B$109,MATCH(C189,MASTER!$A$19:$A$109,0)),"Asignar fase"))</f>
        <v>Arquitectura</v>
      </c>
      <c r="E189" s="9" t="s">
        <v>62</v>
      </c>
      <c r="F189" s="9"/>
      <c r="G189" s="9"/>
      <c r="H189" s="56"/>
      <c r="I189" s="43" t="n">
        <v>46329</v>
      </c>
      <c r="J189" s="43" t="n">
        <v>46330</v>
      </c>
      <c r="K189" s="16" t="n">
        <f aca="false">IF(A189="","",COUNTIF(RESTRICCIONES!$B$5:$B$304,A189))</f>
        <v>0</v>
      </c>
      <c r="L189" s="16" t="n">
        <f aca="false">IF(A189="","",COUNTIFS(RESTRICCIONES!$B$5:$B$304,A189,RESTRICCIONES!$L$5:$L$304,"Pendiente"))</f>
        <v>0</v>
      </c>
      <c r="M189" s="18" t="str">
        <f aca="false">IF(A189="","",IF(L189=0,"LISTA","RESTRINGIDA"))</f>
        <v>LISTA</v>
      </c>
      <c r="N189" s="51" t="str">
        <f aca="false">IF(OR(A189="",H189=""),"",IFERROR(MIN(1,SUMIF(SEMANAL!$C$7:$C$506,A189,SEMANAL!$W$7:$W$506)/H189),0))</f>
        <v/>
      </c>
      <c r="O189" s="57"/>
      <c r="P189" s="57"/>
      <c r="Q189" s="57"/>
      <c r="R189" s="57"/>
      <c r="S189" s="57"/>
      <c r="T189" s="57"/>
      <c r="U189" s="9" t="s">
        <v>17660</v>
      </c>
    </row>
    <row r="190" customFormat="false" ht="15" hidden="false" customHeight="false" outlineLevel="0" collapsed="false">
      <c r="A190" s="9" t="s">
        <v>9954</v>
      </c>
      <c r="B190" s="9" t="s">
        <v>17661</v>
      </c>
      <c r="C190" s="16" t="str">
        <f aca="false">IF(B190="","",IFERROR(INDEX(EDT!$E$5:$E$436,MATCH(B190,EDT!$H$5:$H$436,0)),IFERROR(INDEX(CRONOGRAMA!$G$5:$G$5679,MATCH(A190,CRONOGRAMA!$A$5:$A$5679,0)),"Fuera EDT")))</f>
        <v>04</v>
      </c>
      <c r="D190" s="16" t="str">
        <f aca="false">IF(C190="","",IFERROR(INDEX(MASTER!$B$19:$B$109,MATCH(C190,MASTER!$A$19:$A$109,0)),"Asignar fase"))</f>
        <v>Instalaciones Sanitarias</v>
      </c>
      <c r="E190" s="9" t="s">
        <v>62</v>
      </c>
      <c r="F190" s="9"/>
      <c r="G190" s="9"/>
      <c r="H190" s="56"/>
      <c r="I190" s="43" t="n">
        <v>46329</v>
      </c>
      <c r="J190" s="43" t="n">
        <v>46329</v>
      </c>
      <c r="K190" s="16" t="n">
        <f aca="false">IF(A190="","",COUNTIF(RESTRICCIONES!$B$5:$B$304,A190))</f>
        <v>0</v>
      </c>
      <c r="L190" s="16" t="n">
        <f aca="false">IF(A190="","",COUNTIFS(RESTRICCIONES!$B$5:$B$304,A190,RESTRICCIONES!$L$5:$L$304,"Pendiente"))</f>
        <v>0</v>
      </c>
      <c r="M190" s="18" t="str">
        <f aca="false">IF(A190="","",IF(L190=0,"LISTA","RESTRINGIDA"))</f>
        <v>LISTA</v>
      </c>
      <c r="N190" s="51" t="str">
        <f aca="false">IF(OR(A190="",H190=""),"",IFERROR(MIN(1,SUMIF(SEMANAL!$C$7:$C$506,A190,SEMANAL!$W$7:$W$506)/H190),0))</f>
        <v/>
      </c>
      <c r="O190" s="57"/>
      <c r="P190" s="57"/>
      <c r="Q190" s="57"/>
      <c r="R190" s="57"/>
      <c r="S190" s="57"/>
      <c r="T190" s="57"/>
      <c r="U190" s="9" t="s">
        <v>17660</v>
      </c>
    </row>
    <row r="191" customFormat="false" ht="15" hidden="false" customHeight="false" outlineLevel="0" collapsed="false">
      <c r="A191" s="9" t="s">
        <v>9957</v>
      </c>
      <c r="B191" s="9" t="s">
        <v>17662</v>
      </c>
      <c r="C191" s="16" t="str">
        <f aca="false">IF(B191="","",IFERROR(INDEX(EDT!$E$5:$E$436,MATCH(B191,EDT!$H$5:$H$436,0)),IFERROR(INDEX(CRONOGRAMA!$G$5:$G$5679,MATCH(A191,CRONOGRAMA!$A$5:$A$5679,0)),"Fuera EDT")))</f>
        <v>04</v>
      </c>
      <c r="D191" s="16" t="str">
        <f aca="false">IF(C191="","",IFERROR(INDEX(MASTER!$B$19:$B$109,MATCH(C191,MASTER!$A$19:$A$109,0)),"Asignar fase"))</f>
        <v>Instalaciones Sanitarias</v>
      </c>
      <c r="E191" s="9" t="s">
        <v>62</v>
      </c>
      <c r="F191" s="9"/>
      <c r="G191" s="9"/>
      <c r="H191" s="56"/>
      <c r="I191" s="43" t="n">
        <v>46329</v>
      </c>
      <c r="J191" s="43" t="n">
        <v>46329</v>
      </c>
      <c r="K191" s="16" t="n">
        <f aca="false">IF(A191="","",COUNTIF(RESTRICCIONES!$B$5:$B$304,A191))</f>
        <v>0</v>
      </c>
      <c r="L191" s="16" t="n">
        <f aca="false">IF(A191="","",COUNTIFS(RESTRICCIONES!$B$5:$B$304,A191,RESTRICCIONES!$L$5:$L$304,"Pendiente"))</f>
        <v>0</v>
      </c>
      <c r="M191" s="18" t="str">
        <f aca="false">IF(A191="","",IF(L191=0,"LISTA","RESTRINGIDA"))</f>
        <v>LISTA</v>
      </c>
      <c r="N191" s="51" t="str">
        <f aca="false">IF(OR(A191="",H191=""),"",IFERROR(MIN(1,SUMIF(SEMANAL!$C$7:$C$506,A191,SEMANAL!$W$7:$W$506)/H191),0))</f>
        <v/>
      </c>
      <c r="O191" s="57"/>
      <c r="P191" s="57"/>
      <c r="Q191" s="57"/>
      <c r="R191" s="57"/>
      <c r="S191" s="57"/>
      <c r="T191" s="57"/>
      <c r="U191" s="9" t="s">
        <v>17663</v>
      </c>
    </row>
    <row r="192" customFormat="false" ht="15" hidden="false" customHeight="false" outlineLevel="0" collapsed="false">
      <c r="A192" s="9" t="s">
        <v>9964</v>
      </c>
      <c r="B192" s="9" t="s">
        <v>17664</v>
      </c>
      <c r="C192" s="16" t="str">
        <f aca="false">IF(B192="","",IFERROR(INDEX(EDT!$E$5:$E$436,MATCH(B192,EDT!$H$5:$H$436,0)),IFERROR(INDEX(CRONOGRAMA!$G$5:$G$5679,MATCH(A192,CRONOGRAMA!$A$5:$A$5679,0)),"Fuera EDT")))</f>
        <v>04</v>
      </c>
      <c r="D192" s="16" t="str">
        <f aca="false">IF(C192="","",IFERROR(INDEX(MASTER!$B$19:$B$109,MATCH(C192,MASTER!$A$19:$A$109,0)),"Asignar fase"))</f>
        <v>Instalaciones Sanitarias</v>
      </c>
      <c r="E192" s="9" t="s">
        <v>62</v>
      </c>
      <c r="F192" s="9"/>
      <c r="G192" s="9"/>
      <c r="H192" s="56"/>
      <c r="I192" s="43" t="n">
        <v>46329</v>
      </c>
      <c r="J192" s="43" t="n">
        <v>46329</v>
      </c>
      <c r="K192" s="16" t="n">
        <f aca="false">IF(A192="","",COUNTIF(RESTRICCIONES!$B$5:$B$304,A192))</f>
        <v>0</v>
      </c>
      <c r="L192" s="16" t="n">
        <f aca="false">IF(A192="","",COUNTIFS(RESTRICCIONES!$B$5:$B$304,A192,RESTRICCIONES!$L$5:$L$304,"Pendiente"))</f>
        <v>0</v>
      </c>
      <c r="M192" s="18" t="str">
        <f aca="false">IF(A192="","",IF(L192=0,"LISTA","RESTRINGIDA"))</f>
        <v>LISTA</v>
      </c>
      <c r="N192" s="51" t="str">
        <f aca="false">IF(OR(A192="",H192=""),"",IFERROR(MIN(1,SUMIF(SEMANAL!$C$7:$C$506,A192,SEMANAL!$W$7:$W$506)/H192),0))</f>
        <v/>
      </c>
      <c r="O192" s="57"/>
      <c r="P192" s="57"/>
      <c r="Q192" s="57"/>
      <c r="R192" s="57"/>
      <c r="S192" s="57"/>
      <c r="T192" s="57"/>
      <c r="U192" s="9" t="s">
        <v>17663</v>
      </c>
    </row>
    <row r="193" customFormat="false" ht="15" hidden="false" customHeight="false" outlineLevel="0" collapsed="false">
      <c r="A193" s="9" t="s">
        <v>9967</v>
      </c>
      <c r="B193" s="9" t="s">
        <v>17665</v>
      </c>
      <c r="C193" s="16" t="str">
        <f aca="false">IF(B193="","",IFERROR(INDEX(EDT!$E$5:$E$436,MATCH(B193,EDT!$H$5:$H$436,0)),IFERROR(INDEX(CRONOGRAMA!$G$5:$G$5679,MATCH(A193,CRONOGRAMA!$A$5:$A$5679,0)),"Fuera EDT")))</f>
        <v>04</v>
      </c>
      <c r="D193" s="16" t="str">
        <f aca="false">IF(C193="","",IFERROR(INDEX(MASTER!$B$19:$B$109,MATCH(C193,MASTER!$A$19:$A$109,0)),"Asignar fase"))</f>
        <v>Instalaciones Sanitarias</v>
      </c>
      <c r="E193" s="9" t="s">
        <v>62</v>
      </c>
      <c r="F193" s="9"/>
      <c r="G193" s="9"/>
      <c r="H193" s="56"/>
      <c r="I193" s="43" t="n">
        <v>46329</v>
      </c>
      <c r="J193" s="43" t="n">
        <v>46329</v>
      </c>
      <c r="K193" s="16" t="n">
        <f aca="false">IF(A193="","",COUNTIF(RESTRICCIONES!$B$5:$B$304,A193))</f>
        <v>0</v>
      </c>
      <c r="L193" s="16" t="n">
        <f aca="false">IF(A193="","",COUNTIFS(RESTRICCIONES!$B$5:$B$304,A193,RESTRICCIONES!$L$5:$L$304,"Pendiente"))</f>
        <v>0</v>
      </c>
      <c r="M193" s="18" t="str">
        <f aca="false">IF(A193="","",IF(L193=0,"LISTA","RESTRINGIDA"))</f>
        <v>LISTA</v>
      </c>
      <c r="N193" s="51" t="str">
        <f aca="false">IF(OR(A193="",H193=""),"",IFERROR(MIN(1,SUMIF(SEMANAL!$C$7:$C$506,A193,SEMANAL!$W$7:$W$506)/H193),0))</f>
        <v/>
      </c>
      <c r="O193" s="57"/>
      <c r="P193" s="57"/>
      <c r="Q193" s="57"/>
      <c r="R193" s="57"/>
      <c r="S193" s="57"/>
      <c r="T193" s="57"/>
      <c r="U193" s="9" t="s">
        <v>17663</v>
      </c>
    </row>
    <row r="194" customFormat="false" ht="15" hidden="false" customHeight="false" outlineLevel="0" collapsed="false">
      <c r="A194" s="9" t="s">
        <v>9970</v>
      </c>
      <c r="B194" s="9" t="s">
        <v>17666</v>
      </c>
      <c r="C194" s="16" t="str">
        <f aca="false">IF(B194="","",IFERROR(INDEX(EDT!$E$5:$E$436,MATCH(B194,EDT!$H$5:$H$436,0)),IFERROR(INDEX(CRONOGRAMA!$G$5:$G$5679,MATCH(A194,CRONOGRAMA!$A$5:$A$5679,0)),"Fuera EDT")))</f>
        <v>04</v>
      </c>
      <c r="D194" s="16" t="str">
        <f aca="false">IF(C194="","",IFERROR(INDEX(MASTER!$B$19:$B$109,MATCH(C194,MASTER!$A$19:$A$109,0)),"Asignar fase"))</f>
        <v>Instalaciones Sanitarias</v>
      </c>
      <c r="E194" s="9" t="s">
        <v>62</v>
      </c>
      <c r="F194" s="9"/>
      <c r="G194" s="9"/>
      <c r="H194" s="56"/>
      <c r="I194" s="43" t="n">
        <v>46329</v>
      </c>
      <c r="J194" s="43" t="n">
        <v>46329</v>
      </c>
      <c r="K194" s="16" t="n">
        <f aca="false">IF(A194="","",COUNTIF(RESTRICCIONES!$B$5:$B$304,A194))</f>
        <v>0</v>
      </c>
      <c r="L194" s="16" t="n">
        <f aca="false">IF(A194="","",COUNTIFS(RESTRICCIONES!$B$5:$B$304,A194,RESTRICCIONES!$L$5:$L$304,"Pendiente"))</f>
        <v>0</v>
      </c>
      <c r="M194" s="18" t="str">
        <f aca="false">IF(A194="","",IF(L194=0,"LISTA","RESTRINGIDA"))</f>
        <v>LISTA</v>
      </c>
      <c r="N194" s="51" t="str">
        <f aca="false">IF(OR(A194="",H194=""),"",IFERROR(MIN(1,SUMIF(SEMANAL!$C$7:$C$506,A194,SEMANAL!$W$7:$W$506)/H194),0))</f>
        <v/>
      </c>
      <c r="O194" s="57"/>
      <c r="P194" s="57"/>
      <c r="Q194" s="57"/>
      <c r="R194" s="57"/>
      <c r="S194" s="57"/>
      <c r="T194" s="57"/>
      <c r="U194" s="9" t="s">
        <v>17663</v>
      </c>
    </row>
    <row r="195" customFormat="false" ht="15" hidden="false" customHeight="false" outlineLevel="0" collapsed="false">
      <c r="A195" s="9" t="s">
        <v>4207</v>
      </c>
      <c r="B195" s="9" t="s">
        <v>17518</v>
      </c>
      <c r="C195" s="16" t="str">
        <f aca="false">IF(B195="","",IFERROR(INDEX(EDT!$E$5:$E$436,MATCH(B195,EDT!$H$5:$H$436,0)),IFERROR(INDEX(CRONOGRAMA!$G$5:$G$5679,MATCH(A195,CRONOGRAMA!$A$5:$A$5679,0)),"Fuera EDT")))</f>
        <v>02</v>
      </c>
      <c r="D195" s="16" t="str">
        <f aca="false">IF(C195="","",IFERROR(INDEX(MASTER!$B$19:$B$109,MATCH(C195,MASTER!$A$19:$A$109,0)),"Asignar fase"))</f>
        <v>Estructuras</v>
      </c>
      <c r="E195" s="9" t="s">
        <v>92</v>
      </c>
      <c r="F195" s="9"/>
      <c r="G195" s="9"/>
      <c r="H195" s="56"/>
      <c r="I195" s="43" t="n">
        <v>46330</v>
      </c>
      <c r="J195" s="43" t="n">
        <v>46338</v>
      </c>
      <c r="K195" s="16" t="n">
        <f aca="false">IF(A195="","",COUNTIF(RESTRICCIONES!$B$5:$B$304,A195))</f>
        <v>0</v>
      </c>
      <c r="L195" s="16" t="n">
        <f aca="false">IF(A195="","",COUNTIFS(RESTRICCIONES!$B$5:$B$304,A195,RESTRICCIONES!$L$5:$L$304,"Pendiente"))</f>
        <v>0</v>
      </c>
      <c r="M195" s="18" t="str">
        <f aca="false">IF(A195="","",IF(L195=0,"LISTA","RESTRINGIDA"))</f>
        <v>LISTA</v>
      </c>
      <c r="N195" s="51" t="str">
        <f aca="false">IF(OR(A195="",H195=""),"",IFERROR(MIN(1,SUMIF(SEMANAL!$C$7:$C$506,A195,SEMANAL!$W$7:$W$506)/H195),0))</f>
        <v/>
      </c>
      <c r="O195" s="57"/>
      <c r="P195" s="57"/>
      <c r="Q195" s="57"/>
      <c r="R195" s="57"/>
      <c r="S195" s="57"/>
      <c r="T195" s="57"/>
      <c r="U195" s="9" t="s">
        <v>17667</v>
      </c>
    </row>
    <row r="196" customFormat="false" ht="15" hidden="false" customHeight="false" outlineLevel="0" collapsed="false">
      <c r="A196" s="9" t="s">
        <v>5054</v>
      </c>
      <c r="B196" s="9" t="s">
        <v>17563</v>
      </c>
      <c r="C196" s="16" t="str">
        <f aca="false">IF(B196="","",IFERROR(INDEX(EDT!$E$5:$E$436,MATCH(B196,EDT!$H$5:$H$436,0)),IFERROR(INDEX(CRONOGRAMA!$G$5:$G$5679,MATCH(A196,CRONOGRAMA!$A$5:$A$5679,0)),"Fuera EDT")))</f>
        <v>02</v>
      </c>
      <c r="D196" s="16" t="str">
        <f aca="false">IF(C196="","",IFERROR(INDEX(MASTER!$B$19:$B$109,MATCH(C196,MASTER!$A$19:$A$109,0)),"Asignar fase"))</f>
        <v>Estructuras</v>
      </c>
      <c r="E196" s="9" t="s">
        <v>109</v>
      </c>
      <c r="F196" s="9"/>
      <c r="G196" s="9"/>
      <c r="H196" s="56"/>
      <c r="I196" s="43" t="n">
        <v>46330</v>
      </c>
      <c r="J196" s="43" t="n">
        <v>46333</v>
      </c>
      <c r="K196" s="16" t="n">
        <f aca="false">IF(A196="","",COUNTIF(RESTRICCIONES!$B$5:$B$304,A196))</f>
        <v>0</v>
      </c>
      <c r="L196" s="16" t="n">
        <f aca="false">IF(A196="","",COUNTIFS(RESTRICCIONES!$B$5:$B$304,A196,RESTRICCIONES!$L$5:$L$304,"Pendiente"))</f>
        <v>0</v>
      </c>
      <c r="M196" s="18" t="str">
        <f aca="false">IF(A196="","",IF(L196=0,"LISTA","RESTRINGIDA"))</f>
        <v>LISTA</v>
      </c>
      <c r="N196" s="51" t="str">
        <f aca="false">IF(OR(A196="",H196=""),"",IFERROR(MIN(1,SUMIF(SEMANAL!$C$7:$C$506,A196,SEMANAL!$W$7:$W$506)/H196),0))</f>
        <v/>
      </c>
      <c r="O196" s="57"/>
      <c r="P196" s="57"/>
      <c r="Q196" s="57"/>
      <c r="R196" s="57"/>
      <c r="S196" s="57"/>
      <c r="T196" s="57"/>
      <c r="U196" s="9" t="s">
        <v>17668</v>
      </c>
    </row>
    <row r="197" customFormat="false" ht="15" hidden="false" customHeight="false" outlineLevel="0" collapsed="false">
      <c r="A197" s="9" t="s">
        <v>5090</v>
      </c>
      <c r="B197" s="9" t="s">
        <v>17565</v>
      </c>
      <c r="C197" s="16" t="str">
        <f aca="false">IF(B197="","",IFERROR(INDEX(EDT!$E$5:$E$436,MATCH(B197,EDT!$H$5:$H$436,0)),IFERROR(INDEX(CRONOGRAMA!$G$5:$G$5679,MATCH(A197,CRONOGRAMA!$A$5:$A$5679,0)),"Fuera EDT")))</f>
        <v>02</v>
      </c>
      <c r="D197" s="16" t="str">
        <f aca="false">IF(C197="","",IFERROR(INDEX(MASTER!$B$19:$B$109,MATCH(C197,MASTER!$A$19:$A$109,0)),"Asignar fase"))</f>
        <v>Estructuras</v>
      </c>
      <c r="E197" s="9" t="s">
        <v>109</v>
      </c>
      <c r="F197" s="9"/>
      <c r="G197" s="9"/>
      <c r="H197" s="56"/>
      <c r="I197" s="43" t="n">
        <v>46330</v>
      </c>
      <c r="J197" s="43" t="n">
        <v>46330</v>
      </c>
      <c r="K197" s="16" t="n">
        <f aca="false">IF(A197="","",COUNTIF(RESTRICCIONES!$B$5:$B$304,A197))</f>
        <v>0</v>
      </c>
      <c r="L197" s="16" t="n">
        <f aca="false">IF(A197="","",COUNTIFS(RESTRICCIONES!$B$5:$B$304,A197,RESTRICCIONES!$L$5:$L$304,"Pendiente"))</f>
        <v>0</v>
      </c>
      <c r="M197" s="18" t="str">
        <f aca="false">IF(A197="","",IF(L197=0,"LISTA","RESTRINGIDA"))</f>
        <v>LISTA</v>
      </c>
      <c r="N197" s="51" t="str">
        <f aca="false">IF(OR(A197="",H197=""),"",IFERROR(MIN(1,SUMIF(SEMANAL!$C$7:$C$506,A197,SEMANAL!$W$7:$W$506)/H197),0))</f>
        <v/>
      </c>
      <c r="O197" s="57"/>
      <c r="P197" s="57"/>
      <c r="Q197" s="57"/>
      <c r="R197" s="57"/>
      <c r="S197" s="57"/>
      <c r="T197" s="57"/>
      <c r="U197" s="9" t="s">
        <v>17668</v>
      </c>
    </row>
    <row r="198" customFormat="false" ht="15" hidden="false" customHeight="false" outlineLevel="0" collapsed="false">
      <c r="A198" s="9" t="s">
        <v>5097</v>
      </c>
      <c r="B198" s="9" t="s">
        <v>17566</v>
      </c>
      <c r="C198" s="16" t="str">
        <f aca="false">IF(B198="","",IFERROR(INDEX(EDT!$E$5:$E$436,MATCH(B198,EDT!$H$5:$H$436,0)),IFERROR(INDEX(CRONOGRAMA!$G$5:$G$5679,MATCH(A198,CRONOGRAMA!$A$5:$A$5679,0)),"Fuera EDT")))</f>
        <v>02</v>
      </c>
      <c r="D198" s="16" t="str">
        <f aca="false">IF(C198="","",IFERROR(INDEX(MASTER!$B$19:$B$109,MATCH(C198,MASTER!$A$19:$A$109,0)),"Asignar fase"))</f>
        <v>Estructuras</v>
      </c>
      <c r="E198" s="9" t="s">
        <v>109</v>
      </c>
      <c r="F198" s="9"/>
      <c r="G198" s="9"/>
      <c r="H198" s="56"/>
      <c r="I198" s="43" t="n">
        <v>46330</v>
      </c>
      <c r="J198" s="43" t="n">
        <v>46331</v>
      </c>
      <c r="K198" s="16" t="n">
        <f aca="false">IF(A198="","",COUNTIF(RESTRICCIONES!$B$5:$B$304,A198))</f>
        <v>0</v>
      </c>
      <c r="L198" s="16" t="n">
        <f aca="false">IF(A198="","",COUNTIFS(RESTRICCIONES!$B$5:$B$304,A198,RESTRICCIONES!$L$5:$L$304,"Pendiente"))</f>
        <v>0</v>
      </c>
      <c r="M198" s="18" t="str">
        <f aca="false">IF(A198="","",IF(L198=0,"LISTA","RESTRINGIDA"))</f>
        <v>LISTA</v>
      </c>
      <c r="N198" s="51" t="str">
        <f aca="false">IF(OR(A198="",H198=""),"",IFERROR(MIN(1,SUMIF(SEMANAL!$C$7:$C$506,A198,SEMANAL!$W$7:$W$506)/H198),0))</f>
        <v/>
      </c>
      <c r="O198" s="57"/>
      <c r="P198" s="57"/>
      <c r="Q198" s="57"/>
      <c r="R198" s="57"/>
      <c r="S198" s="57"/>
      <c r="T198" s="57"/>
      <c r="U198" s="9" t="s">
        <v>17668</v>
      </c>
    </row>
    <row r="199" customFormat="false" ht="15" hidden="false" customHeight="false" outlineLevel="0" collapsed="false">
      <c r="A199" s="9" t="s">
        <v>5907</v>
      </c>
      <c r="B199" s="9" t="s">
        <v>17669</v>
      </c>
      <c r="C199" s="16" t="str">
        <f aca="false">IF(B199="","",IFERROR(INDEX(EDT!$E$5:$E$436,MATCH(B199,EDT!$H$5:$H$436,0)),IFERROR(INDEX(CRONOGRAMA!$G$5:$G$5679,MATCH(A199,CRONOGRAMA!$A$5:$A$5679,0)),"Fuera EDT")))</f>
        <v>02</v>
      </c>
      <c r="D199" s="16" t="str">
        <f aca="false">IF(C199="","",IFERROR(INDEX(MASTER!$B$19:$B$109,MATCH(C199,MASTER!$A$19:$A$109,0)),"Asignar fase"))</f>
        <v>Estructuras</v>
      </c>
      <c r="E199" s="9" t="s">
        <v>121</v>
      </c>
      <c r="F199" s="9"/>
      <c r="G199" s="9"/>
      <c r="H199" s="56"/>
      <c r="I199" s="43" t="n">
        <v>46330</v>
      </c>
      <c r="J199" s="43" t="n">
        <v>46331</v>
      </c>
      <c r="K199" s="16" t="n">
        <f aca="false">IF(A199="","",COUNTIF(RESTRICCIONES!$B$5:$B$304,A199))</f>
        <v>0</v>
      </c>
      <c r="L199" s="16" t="n">
        <f aca="false">IF(A199="","",COUNTIFS(RESTRICCIONES!$B$5:$B$304,A199,RESTRICCIONES!$L$5:$L$304,"Pendiente"))</f>
        <v>0</v>
      </c>
      <c r="M199" s="18" t="str">
        <f aca="false">IF(A199="","",IF(L199=0,"LISTA","RESTRINGIDA"))</f>
        <v>LISTA</v>
      </c>
      <c r="N199" s="51" t="str">
        <f aca="false">IF(OR(A199="",H199=""),"",IFERROR(MIN(1,SUMIF(SEMANAL!$C$7:$C$506,A199,SEMANAL!$W$7:$W$506)/H199),0))</f>
        <v/>
      </c>
      <c r="O199" s="57"/>
      <c r="P199" s="57"/>
      <c r="Q199" s="57"/>
      <c r="R199" s="57"/>
      <c r="S199" s="57"/>
      <c r="T199" s="57"/>
      <c r="U199" s="9" t="s">
        <v>17670</v>
      </c>
    </row>
    <row r="200" customFormat="false" ht="15" hidden="false" customHeight="false" outlineLevel="0" collapsed="false">
      <c r="A200" s="9" t="s">
        <v>5933</v>
      </c>
      <c r="B200" s="9" t="s">
        <v>17494</v>
      </c>
      <c r="C200" s="16" t="str">
        <f aca="false">IF(B200="","",IFERROR(INDEX(EDT!$E$5:$E$436,MATCH(B200,EDT!$H$5:$H$436,0)),IFERROR(INDEX(CRONOGRAMA!$G$5:$G$5679,MATCH(A200,CRONOGRAMA!$A$5:$A$5679,0)),"Fuera EDT")))</f>
        <v>02</v>
      </c>
      <c r="D200" s="16" t="str">
        <f aca="false">IF(C200="","",IFERROR(INDEX(MASTER!$B$19:$B$109,MATCH(C200,MASTER!$A$19:$A$109,0)),"Asignar fase"))</f>
        <v>Estructuras</v>
      </c>
      <c r="E200" s="9" t="s">
        <v>121</v>
      </c>
      <c r="F200" s="9"/>
      <c r="G200" s="9"/>
      <c r="H200" s="56"/>
      <c r="I200" s="43" t="n">
        <v>46330</v>
      </c>
      <c r="J200" s="43" t="n">
        <v>46332</v>
      </c>
      <c r="K200" s="16" t="n">
        <f aca="false">IF(A200="","",COUNTIF(RESTRICCIONES!$B$5:$B$304,A200))</f>
        <v>0</v>
      </c>
      <c r="L200" s="16" t="n">
        <f aca="false">IF(A200="","",COUNTIFS(RESTRICCIONES!$B$5:$B$304,A200,RESTRICCIONES!$L$5:$L$304,"Pendiente"))</f>
        <v>0</v>
      </c>
      <c r="M200" s="18" t="str">
        <f aca="false">IF(A200="","",IF(L200=0,"LISTA","RESTRINGIDA"))</f>
        <v>LISTA</v>
      </c>
      <c r="N200" s="51" t="str">
        <f aca="false">IF(OR(A200="",H200=""),"",IFERROR(MIN(1,SUMIF(SEMANAL!$C$7:$C$506,A200,SEMANAL!$W$7:$W$506)/H200),0))</f>
        <v/>
      </c>
      <c r="O200" s="57"/>
      <c r="P200" s="57"/>
      <c r="Q200" s="57"/>
      <c r="R200" s="57"/>
      <c r="S200" s="57"/>
      <c r="T200" s="57"/>
      <c r="U200" s="9" t="s">
        <v>17671</v>
      </c>
    </row>
    <row r="201" customFormat="false" ht="15" hidden="false" customHeight="false" outlineLevel="0" collapsed="false">
      <c r="A201" s="9" t="s">
        <v>7493</v>
      </c>
      <c r="B201" s="9" t="s">
        <v>17549</v>
      </c>
      <c r="C201" s="16" t="str">
        <f aca="false">IF(B201="","",IFERROR(INDEX(EDT!$E$5:$E$436,MATCH(B201,EDT!$H$5:$H$436,0)),IFERROR(INDEX(CRONOGRAMA!$G$5:$G$5679,MATCH(A201,CRONOGRAMA!$A$5:$A$5679,0)),"Fuera EDT")))</f>
        <v>03</v>
      </c>
      <c r="D201" s="16" t="str">
        <f aca="false">IF(C201="","",IFERROR(INDEX(MASTER!$B$19:$B$109,MATCH(C201,MASTER!$A$19:$A$109,0)),"Asignar fase"))</f>
        <v>Arquitectura</v>
      </c>
      <c r="E201" s="9" t="s">
        <v>68</v>
      </c>
      <c r="F201" s="9"/>
      <c r="G201" s="9"/>
      <c r="H201" s="56"/>
      <c r="I201" s="43" t="n">
        <v>46330</v>
      </c>
      <c r="J201" s="43" t="n">
        <v>46335</v>
      </c>
      <c r="K201" s="16" t="n">
        <f aca="false">IF(A201="","",COUNTIF(RESTRICCIONES!$B$5:$B$304,A201))</f>
        <v>0</v>
      </c>
      <c r="L201" s="16" t="n">
        <f aca="false">IF(A201="","",COUNTIFS(RESTRICCIONES!$B$5:$B$304,A201,RESTRICCIONES!$L$5:$L$304,"Pendiente"))</f>
        <v>0</v>
      </c>
      <c r="M201" s="18" t="str">
        <f aca="false">IF(A201="","",IF(L201=0,"LISTA","RESTRINGIDA"))</f>
        <v>LISTA</v>
      </c>
      <c r="N201" s="51" t="str">
        <f aca="false">IF(OR(A201="",H201=""),"",IFERROR(MIN(1,SUMIF(SEMANAL!$C$7:$C$506,A201,SEMANAL!$W$7:$W$506)/H201),0))</f>
        <v/>
      </c>
      <c r="O201" s="57"/>
      <c r="P201" s="57"/>
      <c r="Q201" s="57"/>
      <c r="R201" s="57"/>
      <c r="S201" s="57"/>
      <c r="T201" s="57"/>
      <c r="U201" s="9" t="s">
        <v>17672</v>
      </c>
    </row>
    <row r="202" customFormat="false" ht="15" hidden="false" customHeight="false" outlineLevel="0" collapsed="false">
      <c r="A202" s="9" t="s">
        <v>8200</v>
      </c>
      <c r="B202" s="9" t="s">
        <v>17391</v>
      </c>
      <c r="C202" s="16" t="str">
        <f aca="false">IF(B202="","",IFERROR(INDEX(EDT!$E$5:$E$436,MATCH(B202,EDT!$H$5:$H$436,0)),IFERROR(INDEX(CRONOGRAMA!$G$5:$G$5679,MATCH(A202,CRONOGRAMA!$A$5:$A$5679,0)),"Fuera EDT")))</f>
        <v>03</v>
      </c>
      <c r="D202" s="16" t="str">
        <f aca="false">IF(C202="","",IFERROR(INDEX(MASTER!$B$19:$B$109,MATCH(C202,MASTER!$A$19:$A$109,0)),"Asignar fase"))</f>
        <v>Arquitectura</v>
      </c>
      <c r="E202" s="9" t="s">
        <v>86</v>
      </c>
      <c r="F202" s="9"/>
      <c r="G202" s="9"/>
      <c r="H202" s="56"/>
      <c r="I202" s="43" t="n">
        <v>46330</v>
      </c>
      <c r="J202" s="43" t="n">
        <v>46347</v>
      </c>
      <c r="K202" s="16" t="n">
        <f aca="false">IF(A202="","",COUNTIF(RESTRICCIONES!$B$5:$B$304,A202))</f>
        <v>0</v>
      </c>
      <c r="L202" s="16" t="n">
        <f aca="false">IF(A202="","",COUNTIFS(RESTRICCIONES!$B$5:$B$304,A202,RESTRICCIONES!$L$5:$L$304,"Pendiente"))</f>
        <v>0</v>
      </c>
      <c r="M202" s="18" t="str">
        <f aca="false">IF(A202="","",IF(L202=0,"LISTA","RESTRINGIDA"))</f>
        <v>LISTA</v>
      </c>
      <c r="N202" s="51" t="str">
        <f aca="false">IF(OR(A202="",H202=""),"",IFERROR(MIN(1,SUMIF(SEMANAL!$C$7:$C$506,A202,SEMANAL!$W$7:$W$506)/H202),0))</f>
        <v/>
      </c>
      <c r="O202" s="57"/>
      <c r="P202" s="57"/>
      <c r="Q202" s="57"/>
      <c r="R202" s="57"/>
      <c r="S202" s="57"/>
      <c r="T202" s="57"/>
      <c r="U202" s="9" t="s">
        <v>17673</v>
      </c>
    </row>
    <row r="203" customFormat="false" ht="15" hidden="false" customHeight="false" outlineLevel="0" collapsed="false">
      <c r="A203" s="9" t="s">
        <v>7445</v>
      </c>
      <c r="B203" s="9" t="s">
        <v>17674</v>
      </c>
      <c r="C203" s="16" t="str">
        <f aca="false">IF(B203="","",IFERROR(INDEX(EDT!$E$5:$E$436,MATCH(B203,EDT!$H$5:$H$436,0)),IFERROR(INDEX(CRONOGRAMA!$G$5:$G$5679,MATCH(A203,CRONOGRAMA!$A$5:$A$5679,0)),"Fuera EDT")))</f>
        <v>03</v>
      </c>
      <c r="D203" s="16" t="str">
        <f aca="false">IF(C203="","",IFERROR(INDEX(MASTER!$B$19:$B$109,MATCH(C203,MASTER!$A$19:$A$109,0)),"Asignar fase"))</f>
        <v>Arquitectura</v>
      </c>
      <c r="E203" s="9" t="s">
        <v>62</v>
      </c>
      <c r="F203" s="9"/>
      <c r="G203" s="9"/>
      <c r="H203" s="56"/>
      <c r="I203" s="43" t="n">
        <v>46331</v>
      </c>
      <c r="J203" s="43" t="n">
        <v>46332</v>
      </c>
      <c r="K203" s="16" t="n">
        <f aca="false">IF(A203="","",COUNTIF(RESTRICCIONES!$B$5:$B$304,A203))</f>
        <v>0</v>
      </c>
      <c r="L203" s="16" t="n">
        <f aca="false">IF(A203="","",COUNTIFS(RESTRICCIONES!$B$5:$B$304,A203,RESTRICCIONES!$L$5:$L$304,"Pendiente"))</f>
        <v>0</v>
      </c>
      <c r="M203" s="18" t="str">
        <f aca="false">IF(A203="","",IF(L203=0,"LISTA","RESTRINGIDA"))</f>
        <v>LISTA</v>
      </c>
      <c r="N203" s="51" t="str">
        <f aca="false">IF(OR(A203="",H203=""),"",IFERROR(MIN(1,SUMIF(SEMANAL!$C$7:$C$506,A203,SEMANAL!$W$7:$W$506)/H203),0))</f>
        <v/>
      </c>
      <c r="O203" s="57"/>
      <c r="P203" s="57"/>
      <c r="Q203" s="57"/>
      <c r="R203" s="57"/>
      <c r="S203" s="57"/>
      <c r="T203" s="57"/>
      <c r="U203" s="9" t="s">
        <v>17675</v>
      </c>
    </row>
    <row r="204" customFormat="false" ht="15" hidden="false" customHeight="false" outlineLevel="0" collapsed="false">
      <c r="A204" s="9" t="s">
        <v>8662</v>
      </c>
      <c r="B204" s="9" t="s">
        <v>17520</v>
      </c>
      <c r="C204" s="16" t="str">
        <f aca="false">IF(B204="","",IFERROR(INDEX(EDT!$E$5:$E$436,MATCH(B204,EDT!$H$5:$H$436,0)),IFERROR(INDEX(CRONOGRAMA!$G$5:$G$5679,MATCH(A204,CRONOGRAMA!$A$5:$A$5679,0)),"Fuera EDT")))</f>
        <v>03</v>
      </c>
      <c r="D204" s="16" t="str">
        <f aca="false">IF(C204="","",IFERROR(INDEX(MASTER!$B$19:$B$109,MATCH(C204,MASTER!$A$19:$A$109,0)),"Asignar fase"))</f>
        <v>Arquitectura</v>
      </c>
      <c r="E204" s="9" t="s">
        <v>98</v>
      </c>
      <c r="F204" s="9"/>
      <c r="G204" s="9"/>
      <c r="H204" s="56"/>
      <c r="I204" s="43" t="n">
        <v>46331</v>
      </c>
      <c r="J204" s="43" t="n">
        <v>46337</v>
      </c>
      <c r="K204" s="16" t="n">
        <f aca="false">IF(A204="","",COUNTIF(RESTRICCIONES!$B$5:$B$304,A204))</f>
        <v>0</v>
      </c>
      <c r="L204" s="16" t="n">
        <f aca="false">IF(A204="","",COUNTIFS(RESTRICCIONES!$B$5:$B$304,A204,RESTRICCIONES!$L$5:$L$304,"Pendiente"))</f>
        <v>0</v>
      </c>
      <c r="M204" s="18" t="str">
        <f aca="false">IF(A204="","",IF(L204=0,"LISTA","RESTRINGIDA"))</f>
        <v>LISTA</v>
      </c>
      <c r="N204" s="51" t="str">
        <f aca="false">IF(OR(A204="",H204=""),"",IFERROR(MIN(1,SUMIF(SEMANAL!$C$7:$C$506,A204,SEMANAL!$W$7:$W$506)/H204),0))</f>
        <v/>
      </c>
      <c r="O204" s="57"/>
      <c r="P204" s="57"/>
      <c r="Q204" s="57"/>
      <c r="R204" s="57"/>
      <c r="S204" s="57"/>
      <c r="T204" s="57"/>
      <c r="U204" s="9" t="s">
        <v>17676</v>
      </c>
    </row>
    <row r="205" customFormat="false" ht="15" hidden="false" customHeight="false" outlineLevel="0" collapsed="false">
      <c r="A205" s="9" t="s">
        <v>9120</v>
      </c>
      <c r="B205" s="9" t="s">
        <v>17408</v>
      </c>
      <c r="C205" s="16" t="str">
        <f aca="false">IF(B205="","",IFERROR(INDEX(EDT!$E$5:$E$436,MATCH(B205,EDT!$H$5:$H$436,0)),IFERROR(INDEX(CRONOGRAMA!$G$5:$G$5679,MATCH(A205,CRONOGRAMA!$A$5:$A$5679,0)),"Fuera EDT")))</f>
        <v>03</v>
      </c>
      <c r="D205" s="16" t="str">
        <f aca="false">IF(C205="","",IFERROR(INDEX(MASTER!$B$19:$B$109,MATCH(C205,MASTER!$A$19:$A$109,0)),"Asignar fase"))</f>
        <v>Arquitectura</v>
      </c>
      <c r="E205" s="9" t="s">
        <v>114</v>
      </c>
      <c r="F205" s="9"/>
      <c r="G205" s="9"/>
      <c r="H205" s="56"/>
      <c r="I205" s="43" t="n">
        <v>46331</v>
      </c>
      <c r="J205" s="43" t="n">
        <v>46361</v>
      </c>
      <c r="K205" s="16" t="n">
        <f aca="false">IF(A205="","",COUNTIF(RESTRICCIONES!$B$5:$B$304,A205))</f>
        <v>0</v>
      </c>
      <c r="L205" s="16" t="n">
        <f aca="false">IF(A205="","",COUNTIFS(RESTRICCIONES!$B$5:$B$304,A205,RESTRICCIONES!$L$5:$L$304,"Pendiente"))</f>
        <v>0</v>
      </c>
      <c r="M205" s="18" t="str">
        <f aca="false">IF(A205="","",IF(L205=0,"LISTA","RESTRINGIDA"))</f>
        <v>LISTA</v>
      </c>
      <c r="N205" s="51" t="str">
        <f aca="false">IF(OR(A205="",H205=""),"",IFERROR(MIN(1,SUMIF(SEMANAL!$C$7:$C$506,A205,SEMANAL!$W$7:$W$506)/H205),0))</f>
        <v/>
      </c>
      <c r="O205" s="57"/>
      <c r="P205" s="57"/>
      <c r="Q205" s="57"/>
      <c r="R205" s="57"/>
      <c r="S205" s="57"/>
      <c r="T205" s="57"/>
      <c r="U205" s="9" t="s">
        <v>17677</v>
      </c>
    </row>
    <row r="206" customFormat="false" ht="15" hidden="false" customHeight="false" outlineLevel="0" collapsed="false">
      <c r="A206" s="9" t="s">
        <v>9416</v>
      </c>
      <c r="B206" s="9" t="s">
        <v>17678</v>
      </c>
      <c r="C206" s="16" t="str">
        <f aca="false">IF(B206="","",IFERROR(INDEX(EDT!$E$5:$E$436,MATCH(B206,EDT!$H$5:$H$436,0)),IFERROR(INDEX(CRONOGRAMA!$G$5:$G$5679,MATCH(A206,CRONOGRAMA!$A$5:$A$5679,0)),"Fuera EDT")))</f>
        <v>03</v>
      </c>
      <c r="D206" s="16" t="str">
        <f aca="false">IF(C206="","",IFERROR(INDEX(MASTER!$B$19:$B$109,MATCH(C206,MASTER!$A$19:$A$109,0)),"Asignar fase"))</f>
        <v>Arquitectura</v>
      </c>
      <c r="E206" s="9" t="s">
        <v>121</v>
      </c>
      <c r="F206" s="9"/>
      <c r="G206" s="9"/>
      <c r="H206" s="56"/>
      <c r="I206" s="43" t="n">
        <v>46331</v>
      </c>
      <c r="J206" s="43" t="n">
        <v>46333</v>
      </c>
      <c r="K206" s="16" t="n">
        <f aca="false">IF(A206="","",COUNTIF(RESTRICCIONES!$B$5:$B$304,A206))</f>
        <v>0</v>
      </c>
      <c r="L206" s="16" t="n">
        <f aca="false">IF(A206="","",COUNTIFS(RESTRICCIONES!$B$5:$B$304,A206,RESTRICCIONES!$L$5:$L$304,"Pendiente"))</f>
        <v>0</v>
      </c>
      <c r="M206" s="18" t="str">
        <f aca="false">IF(A206="","",IF(L206=0,"LISTA","RESTRINGIDA"))</f>
        <v>LISTA</v>
      </c>
      <c r="N206" s="51" t="str">
        <f aca="false">IF(OR(A206="",H206=""),"",IFERROR(MIN(1,SUMIF(SEMANAL!$C$7:$C$506,A206,SEMANAL!$W$7:$W$506)/H206),0))</f>
        <v/>
      </c>
      <c r="O206" s="57"/>
      <c r="P206" s="57"/>
      <c r="Q206" s="57"/>
      <c r="R206" s="57"/>
      <c r="S206" s="57"/>
      <c r="T206" s="57"/>
      <c r="U206" s="9" t="s">
        <v>17679</v>
      </c>
    </row>
    <row r="207" customFormat="false" ht="15" hidden="false" customHeight="false" outlineLevel="0" collapsed="false">
      <c r="A207" s="9" t="s">
        <v>9477</v>
      </c>
      <c r="B207" s="9" t="s">
        <v>17680</v>
      </c>
      <c r="C207" s="16" t="str">
        <f aca="false">IF(B207="","",IFERROR(INDEX(EDT!$E$5:$E$436,MATCH(B207,EDT!$H$5:$H$436,0)),IFERROR(INDEX(CRONOGRAMA!$G$5:$G$5679,MATCH(A207,CRONOGRAMA!$A$5:$A$5679,0)),"Fuera EDT")))</f>
        <v>03</v>
      </c>
      <c r="D207" s="16" t="str">
        <f aca="false">IF(C207="","",IFERROR(INDEX(MASTER!$B$19:$B$109,MATCH(C207,MASTER!$A$19:$A$109,0)),"Asignar fase"))</f>
        <v>Arquitectura</v>
      </c>
      <c r="E207" s="9" t="s">
        <v>121</v>
      </c>
      <c r="F207" s="9"/>
      <c r="G207" s="9"/>
      <c r="H207" s="56"/>
      <c r="I207" s="43" t="n">
        <v>46331</v>
      </c>
      <c r="J207" s="43" t="n">
        <v>46334</v>
      </c>
      <c r="K207" s="16" t="n">
        <f aca="false">IF(A207="","",COUNTIF(RESTRICCIONES!$B$5:$B$304,A207))</f>
        <v>0</v>
      </c>
      <c r="L207" s="16" t="n">
        <f aca="false">IF(A207="","",COUNTIFS(RESTRICCIONES!$B$5:$B$304,A207,RESTRICCIONES!$L$5:$L$304,"Pendiente"))</f>
        <v>0</v>
      </c>
      <c r="M207" s="18" t="str">
        <f aca="false">IF(A207="","",IF(L207=0,"LISTA","RESTRINGIDA"))</f>
        <v>LISTA</v>
      </c>
      <c r="N207" s="51" t="str">
        <f aca="false">IF(OR(A207="",H207=""),"",IFERROR(MIN(1,SUMIF(SEMANAL!$C$7:$C$506,A207,SEMANAL!$W$7:$W$506)/H207),0))</f>
        <v/>
      </c>
      <c r="O207" s="57"/>
      <c r="P207" s="57"/>
      <c r="Q207" s="57"/>
      <c r="R207" s="57"/>
      <c r="S207" s="57"/>
      <c r="T207" s="57"/>
      <c r="U207" s="9" t="s">
        <v>17679</v>
      </c>
    </row>
    <row r="208" customFormat="false" ht="15" hidden="false" customHeight="false" outlineLevel="0" collapsed="false">
      <c r="A208" s="9" t="s">
        <v>5094</v>
      </c>
      <c r="B208" s="9" t="s">
        <v>17625</v>
      </c>
      <c r="C208" s="16" t="str">
        <f aca="false">IF(B208="","",IFERROR(INDEX(EDT!$E$5:$E$436,MATCH(B208,EDT!$H$5:$H$436,0)),IFERROR(INDEX(CRONOGRAMA!$G$5:$G$5679,MATCH(A208,CRONOGRAMA!$A$5:$A$5679,0)),"Fuera EDT")))</f>
        <v>02</v>
      </c>
      <c r="D208" s="16" t="str">
        <f aca="false">IF(C208="","",IFERROR(INDEX(MASTER!$B$19:$B$109,MATCH(C208,MASTER!$A$19:$A$109,0)),"Asignar fase"))</f>
        <v>Estructuras</v>
      </c>
      <c r="E208" s="9" t="s">
        <v>109</v>
      </c>
      <c r="F208" s="9"/>
      <c r="G208" s="9"/>
      <c r="H208" s="56"/>
      <c r="I208" s="43" t="n">
        <v>46332</v>
      </c>
      <c r="J208" s="43" t="n">
        <v>46332</v>
      </c>
      <c r="K208" s="16" t="n">
        <f aca="false">IF(A208="","",COUNTIF(RESTRICCIONES!$B$5:$B$304,A208))</f>
        <v>0</v>
      </c>
      <c r="L208" s="16" t="n">
        <f aca="false">IF(A208="","",COUNTIFS(RESTRICCIONES!$B$5:$B$304,A208,RESTRICCIONES!$L$5:$L$304,"Pendiente"))</f>
        <v>0</v>
      </c>
      <c r="M208" s="18" t="str">
        <f aca="false">IF(A208="","",IF(L208=0,"LISTA","RESTRINGIDA"))</f>
        <v>LISTA</v>
      </c>
      <c r="N208" s="51" t="str">
        <f aca="false">IF(OR(A208="",H208=""),"",IFERROR(MIN(1,SUMIF(SEMANAL!$C$7:$C$506,A208,SEMANAL!$W$7:$W$506)/H208),0))</f>
        <v/>
      </c>
      <c r="O208" s="57"/>
      <c r="P208" s="57"/>
      <c r="Q208" s="57"/>
      <c r="R208" s="57"/>
      <c r="S208" s="57"/>
      <c r="T208" s="57"/>
      <c r="U208" s="9" t="s">
        <v>17681</v>
      </c>
    </row>
    <row r="209" customFormat="false" ht="15" hidden="false" customHeight="false" outlineLevel="0" collapsed="false">
      <c r="A209" s="9" t="s">
        <v>8748</v>
      </c>
      <c r="B209" s="9" t="s">
        <v>17389</v>
      </c>
      <c r="C209" s="16" t="str">
        <f aca="false">IF(B209="","",IFERROR(INDEX(EDT!$E$5:$E$436,MATCH(B209,EDT!$H$5:$H$436,0)),IFERROR(INDEX(CRONOGRAMA!$G$5:$G$5679,MATCH(A209,CRONOGRAMA!$A$5:$A$5679,0)),"Fuera EDT")))</f>
        <v>03</v>
      </c>
      <c r="D209" s="16" t="str">
        <f aca="false">IF(C209="","",IFERROR(INDEX(MASTER!$B$19:$B$109,MATCH(C209,MASTER!$A$19:$A$109,0)),"Asignar fase"))</f>
        <v>Arquitectura</v>
      </c>
      <c r="E209" s="9" t="s">
        <v>98</v>
      </c>
      <c r="F209" s="9"/>
      <c r="G209" s="9"/>
      <c r="H209" s="56"/>
      <c r="I209" s="43" t="n">
        <v>46332</v>
      </c>
      <c r="J209" s="43" t="n">
        <v>46334</v>
      </c>
      <c r="K209" s="16" t="n">
        <f aca="false">IF(A209="","",COUNTIF(RESTRICCIONES!$B$5:$B$304,A209))</f>
        <v>0</v>
      </c>
      <c r="L209" s="16" t="n">
        <f aca="false">IF(A209="","",COUNTIFS(RESTRICCIONES!$B$5:$B$304,A209,RESTRICCIONES!$L$5:$L$304,"Pendiente"))</f>
        <v>0</v>
      </c>
      <c r="M209" s="18" t="str">
        <f aca="false">IF(A209="","",IF(L209=0,"LISTA","RESTRINGIDA"))</f>
        <v>LISTA</v>
      </c>
      <c r="N209" s="51" t="str">
        <f aca="false">IF(OR(A209="",H209=""),"",IFERROR(MIN(1,SUMIF(SEMANAL!$C$7:$C$506,A209,SEMANAL!$W$7:$W$506)/H209),0))</f>
        <v/>
      </c>
      <c r="O209" s="57"/>
      <c r="P209" s="57"/>
      <c r="Q209" s="57"/>
      <c r="R209" s="57"/>
      <c r="S209" s="57"/>
      <c r="T209" s="57"/>
      <c r="U209" s="9" t="s">
        <v>17682</v>
      </c>
    </row>
    <row r="210" customFormat="false" ht="15" hidden="false" customHeight="false" outlineLevel="0" collapsed="false">
      <c r="A210" s="9" t="s">
        <v>5114</v>
      </c>
      <c r="B210" s="9" t="s">
        <v>17654</v>
      </c>
      <c r="C210" s="16" t="str">
        <f aca="false">IF(B210="","",IFERROR(INDEX(EDT!$E$5:$E$436,MATCH(B210,EDT!$H$5:$H$436,0)),IFERROR(INDEX(CRONOGRAMA!$G$5:$G$5679,MATCH(A210,CRONOGRAMA!$A$5:$A$5679,0)),"Fuera EDT")))</f>
        <v>02</v>
      </c>
      <c r="D210" s="16" t="str">
        <f aca="false">IF(C210="","",IFERROR(INDEX(MASTER!$B$19:$B$109,MATCH(C210,MASTER!$A$19:$A$109,0)),"Asignar fase"))</f>
        <v>Estructuras</v>
      </c>
      <c r="E210" s="9" t="s">
        <v>109</v>
      </c>
      <c r="F210" s="9"/>
      <c r="G210" s="9"/>
      <c r="H210" s="56"/>
      <c r="I210" s="43" t="n">
        <v>46333</v>
      </c>
      <c r="J210" s="43" t="n">
        <v>46335</v>
      </c>
      <c r="K210" s="16" t="n">
        <f aca="false">IF(A210="","",COUNTIF(RESTRICCIONES!$B$5:$B$304,A210))</f>
        <v>0</v>
      </c>
      <c r="L210" s="16" t="n">
        <f aca="false">IF(A210="","",COUNTIFS(RESTRICCIONES!$B$5:$B$304,A210,RESTRICCIONES!$L$5:$L$304,"Pendiente"))</f>
        <v>0</v>
      </c>
      <c r="M210" s="18" t="str">
        <f aca="false">IF(A210="","",IF(L210=0,"LISTA","RESTRINGIDA"))</f>
        <v>LISTA</v>
      </c>
      <c r="N210" s="51" t="str">
        <f aca="false">IF(OR(A210="",H210=""),"",IFERROR(MIN(1,SUMIF(SEMANAL!$C$7:$C$506,A210,SEMANAL!$W$7:$W$506)/H210),0))</f>
        <v/>
      </c>
      <c r="O210" s="57"/>
      <c r="P210" s="57"/>
      <c r="Q210" s="57"/>
      <c r="R210" s="57"/>
      <c r="S210" s="57"/>
      <c r="T210" s="57"/>
      <c r="U210" s="9" t="s">
        <v>17683</v>
      </c>
    </row>
    <row r="211" customFormat="false" ht="15" hidden="false" customHeight="false" outlineLevel="0" collapsed="false">
      <c r="A211" s="9" t="s">
        <v>5930</v>
      </c>
      <c r="B211" s="9" t="s">
        <v>17630</v>
      </c>
      <c r="C211" s="16" t="str">
        <f aca="false">IF(B211="","",IFERROR(INDEX(EDT!$E$5:$E$436,MATCH(B211,EDT!$H$5:$H$436,0)),IFERROR(INDEX(CRONOGRAMA!$G$5:$G$5679,MATCH(A211,CRONOGRAMA!$A$5:$A$5679,0)),"Fuera EDT")))</f>
        <v>02</v>
      </c>
      <c r="D211" s="16" t="str">
        <f aca="false">IF(C211="","",IFERROR(INDEX(MASTER!$B$19:$B$109,MATCH(C211,MASTER!$A$19:$A$109,0)),"Asignar fase"))</f>
        <v>Estructuras</v>
      </c>
      <c r="E211" s="9" t="s">
        <v>121</v>
      </c>
      <c r="F211" s="9"/>
      <c r="G211" s="9"/>
      <c r="H211" s="56"/>
      <c r="I211" s="43" t="n">
        <v>46333</v>
      </c>
      <c r="J211" s="43" t="n">
        <v>46335</v>
      </c>
      <c r="K211" s="16" t="n">
        <f aca="false">IF(A211="","",COUNTIF(RESTRICCIONES!$B$5:$B$304,A211))</f>
        <v>0</v>
      </c>
      <c r="L211" s="16" t="n">
        <f aca="false">IF(A211="","",COUNTIFS(RESTRICCIONES!$B$5:$B$304,A211,RESTRICCIONES!$L$5:$L$304,"Pendiente"))</f>
        <v>0</v>
      </c>
      <c r="M211" s="18" t="str">
        <f aca="false">IF(A211="","",IF(L211=0,"LISTA","RESTRINGIDA"))</f>
        <v>LISTA</v>
      </c>
      <c r="N211" s="51" t="str">
        <f aca="false">IF(OR(A211="",H211=""),"",IFERROR(MIN(1,SUMIF(SEMANAL!$C$7:$C$506,A211,SEMANAL!$W$7:$W$506)/H211),0))</f>
        <v/>
      </c>
      <c r="O211" s="57"/>
      <c r="P211" s="57"/>
      <c r="Q211" s="57"/>
      <c r="R211" s="57"/>
      <c r="S211" s="57"/>
      <c r="T211" s="57"/>
      <c r="U211" s="9" t="s">
        <v>17684</v>
      </c>
    </row>
    <row r="212" customFormat="false" ht="15" hidden="false" customHeight="false" outlineLevel="0" collapsed="false">
      <c r="A212" s="9" t="s">
        <v>5963</v>
      </c>
      <c r="B212" s="9" t="s">
        <v>17496</v>
      </c>
      <c r="C212" s="16" t="str">
        <f aca="false">IF(B212="","",IFERROR(INDEX(EDT!$E$5:$E$436,MATCH(B212,EDT!$H$5:$H$436,0)),IFERROR(INDEX(CRONOGRAMA!$G$5:$G$5679,MATCH(A212,CRONOGRAMA!$A$5:$A$5679,0)),"Fuera EDT")))</f>
        <v>02</v>
      </c>
      <c r="D212" s="16" t="str">
        <f aca="false">IF(C212="","",IFERROR(INDEX(MASTER!$B$19:$B$109,MATCH(C212,MASTER!$A$19:$A$109,0)),"Asignar fase"))</f>
        <v>Estructuras</v>
      </c>
      <c r="E212" s="9" t="s">
        <v>121</v>
      </c>
      <c r="F212" s="9"/>
      <c r="G212" s="9"/>
      <c r="H212" s="56"/>
      <c r="I212" s="43" t="n">
        <v>46333</v>
      </c>
      <c r="J212" s="43" t="n">
        <v>46337</v>
      </c>
      <c r="K212" s="16" t="n">
        <f aca="false">IF(A212="","",COUNTIF(RESTRICCIONES!$B$5:$B$304,A212))</f>
        <v>0</v>
      </c>
      <c r="L212" s="16" t="n">
        <f aca="false">IF(A212="","",COUNTIFS(RESTRICCIONES!$B$5:$B$304,A212,RESTRICCIONES!$L$5:$L$304,"Pendiente"))</f>
        <v>0</v>
      </c>
      <c r="M212" s="18" t="str">
        <f aca="false">IF(A212="","",IF(L212=0,"LISTA","RESTRINGIDA"))</f>
        <v>LISTA</v>
      </c>
      <c r="N212" s="51" t="str">
        <f aca="false">IF(OR(A212="",H212=""),"",IFERROR(MIN(1,SUMIF(SEMANAL!$C$7:$C$506,A212,SEMANAL!$W$7:$W$506)/H212),0))</f>
        <v/>
      </c>
      <c r="O212" s="57"/>
      <c r="P212" s="57"/>
      <c r="Q212" s="57"/>
      <c r="R212" s="57"/>
      <c r="S212" s="57"/>
      <c r="T212" s="57"/>
      <c r="U212" s="9" t="s">
        <v>17685</v>
      </c>
    </row>
    <row r="213" customFormat="false" ht="15" hidden="false" customHeight="false" outlineLevel="0" collapsed="false">
      <c r="A213" s="9" t="s">
        <v>7449</v>
      </c>
      <c r="B213" s="9" t="s">
        <v>17686</v>
      </c>
      <c r="C213" s="16" t="str">
        <f aca="false">IF(B213="","",IFERROR(INDEX(EDT!$E$5:$E$436,MATCH(B213,EDT!$H$5:$H$436,0)),IFERROR(INDEX(CRONOGRAMA!$G$5:$G$5679,MATCH(A213,CRONOGRAMA!$A$5:$A$5679,0)),"Fuera EDT")))</f>
        <v>03</v>
      </c>
      <c r="D213" s="16" t="str">
        <f aca="false">IF(C213="","",IFERROR(INDEX(MASTER!$B$19:$B$109,MATCH(C213,MASTER!$A$19:$A$109,0)),"Asignar fase"))</f>
        <v>Arquitectura</v>
      </c>
      <c r="E213" s="9" t="s">
        <v>62</v>
      </c>
      <c r="F213" s="9"/>
      <c r="G213" s="9"/>
      <c r="H213" s="56"/>
      <c r="I213" s="43" t="n">
        <v>46333</v>
      </c>
      <c r="J213" s="43" t="n">
        <v>46346</v>
      </c>
      <c r="K213" s="16" t="n">
        <f aca="false">IF(A213="","",COUNTIF(RESTRICCIONES!$B$5:$B$304,A213))</f>
        <v>0</v>
      </c>
      <c r="L213" s="16" t="n">
        <f aca="false">IF(A213="","",COUNTIFS(RESTRICCIONES!$B$5:$B$304,A213,RESTRICCIONES!$L$5:$L$304,"Pendiente"))</f>
        <v>0</v>
      </c>
      <c r="M213" s="18" t="str">
        <f aca="false">IF(A213="","",IF(L213=0,"LISTA","RESTRINGIDA"))</f>
        <v>LISTA</v>
      </c>
      <c r="N213" s="51" t="str">
        <f aca="false">IF(OR(A213="",H213=""),"",IFERROR(MIN(1,SUMIF(SEMANAL!$C$7:$C$506,A213,SEMANAL!$W$7:$W$506)/H213),0))</f>
        <v/>
      </c>
      <c r="O213" s="57"/>
      <c r="P213" s="57"/>
      <c r="Q213" s="57"/>
      <c r="R213" s="57"/>
      <c r="S213" s="57"/>
      <c r="T213" s="57"/>
      <c r="U213" s="9" t="s">
        <v>17687</v>
      </c>
    </row>
    <row r="214" customFormat="false" ht="15" hidden="false" customHeight="false" outlineLevel="0" collapsed="false">
      <c r="A214" s="9" t="s">
        <v>2511</v>
      </c>
      <c r="B214" s="9" t="s">
        <v>17688</v>
      </c>
      <c r="C214" s="16" t="str">
        <f aca="false">IF(B214="","",IFERROR(INDEX(EDT!$E$5:$E$436,MATCH(B214,EDT!$H$5:$H$436,0)),IFERROR(INDEX(CRONOGRAMA!$G$5:$G$5679,MATCH(A214,CRONOGRAMA!$A$5:$A$5679,0)),"Fuera EDT")))</f>
        <v>02</v>
      </c>
      <c r="D214" s="16" t="str">
        <f aca="false">IF(C214="","",IFERROR(INDEX(MASTER!$B$19:$B$109,MATCH(C214,MASTER!$A$19:$A$109,0)),"Asignar fase"))</f>
        <v>Estructuras</v>
      </c>
      <c r="E214" s="9" t="s">
        <v>68</v>
      </c>
      <c r="F214" s="9"/>
      <c r="G214" s="9"/>
      <c r="H214" s="56"/>
      <c r="I214" s="43" t="n">
        <v>46334</v>
      </c>
      <c r="J214" s="43" t="n">
        <v>46339</v>
      </c>
      <c r="K214" s="16" t="n">
        <f aca="false">IF(A214="","",COUNTIF(RESTRICCIONES!$B$5:$B$304,A214))</f>
        <v>0</v>
      </c>
      <c r="L214" s="16" t="n">
        <f aca="false">IF(A214="","",COUNTIFS(RESTRICCIONES!$B$5:$B$304,A214,RESTRICCIONES!$L$5:$L$304,"Pendiente"))</f>
        <v>0</v>
      </c>
      <c r="M214" s="18" t="str">
        <f aca="false">IF(A214="","",IF(L214=0,"LISTA","RESTRINGIDA"))</f>
        <v>LISTA</v>
      </c>
      <c r="N214" s="51" t="str">
        <f aca="false">IF(OR(A214="",H214=""),"",IFERROR(MIN(1,SUMIF(SEMANAL!$C$7:$C$506,A214,SEMANAL!$W$7:$W$506)/H214),0))</f>
        <v/>
      </c>
      <c r="O214" s="57"/>
      <c r="P214" s="57"/>
      <c r="Q214" s="57"/>
      <c r="R214" s="57"/>
      <c r="S214" s="57"/>
      <c r="T214" s="57"/>
      <c r="U214" s="9" t="s">
        <v>17689</v>
      </c>
    </row>
    <row r="215" customFormat="false" ht="15" hidden="false" customHeight="false" outlineLevel="0" collapsed="false">
      <c r="A215" s="9" t="s">
        <v>5066</v>
      </c>
      <c r="B215" s="9" t="s">
        <v>17634</v>
      </c>
      <c r="C215" s="16" t="str">
        <f aca="false">IF(B215="","",IFERROR(INDEX(EDT!$E$5:$E$436,MATCH(B215,EDT!$H$5:$H$436,0)),IFERROR(INDEX(CRONOGRAMA!$G$5:$G$5679,MATCH(A215,CRONOGRAMA!$A$5:$A$5679,0)),"Fuera EDT")))</f>
        <v>02</v>
      </c>
      <c r="D215" s="16" t="str">
        <f aca="false">IF(C215="","",IFERROR(INDEX(MASTER!$B$19:$B$109,MATCH(C215,MASTER!$A$19:$A$109,0)),"Asignar fase"))</f>
        <v>Estructuras</v>
      </c>
      <c r="E215" s="9" t="s">
        <v>109</v>
      </c>
      <c r="F215" s="9"/>
      <c r="G215" s="9"/>
      <c r="H215" s="56"/>
      <c r="I215" s="43" t="n">
        <v>46334</v>
      </c>
      <c r="J215" s="43" t="n">
        <v>46336</v>
      </c>
      <c r="K215" s="16" t="n">
        <f aca="false">IF(A215="","",COUNTIF(RESTRICCIONES!$B$5:$B$304,A215))</f>
        <v>0</v>
      </c>
      <c r="L215" s="16" t="n">
        <f aca="false">IF(A215="","",COUNTIFS(RESTRICCIONES!$B$5:$B$304,A215,RESTRICCIONES!$L$5:$L$304,"Pendiente"))</f>
        <v>0</v>
      </c>
      <c r="M215" s="18" t="str">
        <f aca="false">IF(A215="","",IF(L215=0,"LISTA","RESTRINGIDA"))</f>
        <v>LISTA</v>
      </c>
      <c r="N215" s="51" t="str">
        <f aca="false">IF(OR(A215="",H215=""),"",IFERROR(MIN(1,SUMIF(SEMANAL!$C$7:$C$506,A215,SEMANAL!$W$7:$W$506)/H215),0))</f>
        <v/>
      </c>
      <c r="O215" s="57"/>
      <c r="P215" s="57"/>
      <c r="Q215" s="57"/>
      <c r="R215" s="57"/>
      <c r="S215" s="57"/>
      <c r="T215" s="57"/>
      <c r="U215" s="9" t="s">
        <v>17690</v>
      </c>
    </row>
    <row r="216" customFormat="false" ht="15" hidden="false" customHeight="false" outlineLevel="0" collapsed="false">
      <c r="A216" s="9" t="s">
        <v>9421</v>
      </c>
      <c r="B216" s="9" t="s">
        <v>17691</v>
      </c>
      <c r="C216" s="16" t="str">
        <f aca="false">IF(B216="","",IFERROR(INDEX(EDT!$E$5:$E$436,MATCH(B216,EDT!$H$5:$H$436,0)),IFERROR(INDEX(CRONOGRAMA!$G$5:$G$5679,MATCH(A216,CRONOGRAMA!$A$5:$A$5679,0)),"Fuera EDT")))</f>
        <v>03</v>
      </c>
      <c r="D216" s="16" t="str">
        <f aca="false">IF(C216="","",IFERROR(INDEX(MASTER!$B$19:$B$109,MATCH(C216,MASTER!$A$19:$A$109,0)),"Asignar fase"))</f>
        <v>Arquitectura</v>
      </c>
      <c r="E216" s="9" t="s">
        <v>121</v>
      </c>
      <c r="F216" s="9"/>
      <c r="G216" s="9"/>
      <c r="H216" s="56"/>
      <c r="I216" s="43" t="n">
        <v>46334</v>
      </c>
      <c r="J216" s="43" t="n">
        <v>46343</v>
      </c>
      <c r="K216" s="16" t="n">
        <f aca="false">IF(A216="","",COUNTIF(RESTRICCIONES!$B$5:$B$304,A216))</f>
        <v>0</v>
      </c>
      <c r="L216" s="16" t="n">
        <f aca="false">IF(A216="","",COUNTIFS(RESTRICCIONES!$B$5:$B$304,A216,RESTRICCIONES!$L$5:$L$304,"Pendiente"))</f>
        <v>0</v>
      </c>
      <c r="M216" s="18" t="str">
        <f aca="false">IF(A216="","",IF(L216=0,"LISTA","RESTRINGIDA"))</f>
        <v>LISTA</v>
      </c>
      <c r="N216" s="51" t="str">
        <f aca="false">IF(OR(A216="",H216=""),"",IFERROR(MIN(1,SUMIF(SEMANAL!$C$7:$C$506,A216,SEMANAL!$W$7:$W$506)/H216),0))</f>
        <v/>
      </c>
      <c r="O216" s="57"/>
      <c r="P216" s="57"/>
      <c r="Q216" s="57"/>
      <c r="R216" s="57"/>
      <c r="S216" s="57"/>
      <c r="T216" s="57"/>
      <c r="U216" s="9" t="s">
        <v>17692</v>
      </c>
    </row>
    <row r="217" customFormat="false" ht="15" hidden="false" customHeight="false" outlineLevel="0" collapsed="false">
      <c r="A217" s="9" t="s">
        <v>3226</v>
      </c>
      <c r="B217" s="9" t="s">
        <v>17693</v>
      </c>
      <c r="C217" s="16" t="str">
        <f aca="false">IF(B217="","",IFERROR(INDEX(EDT!$E$5:$E$436,MATCH(B217,EDT!$H$5:$H$436,0)),IFERROR(INDEX(CRONOGRAMA!$G$5:$G$5679,MATCH(A217,CRONOGRAMA!$A$5:$A$5679,0)),"Fuera EDT")))</f>
        <v>02</v>
      </c>
      <c r="D217" s="16" t="str">
        <f aca="false">IF(C217="","",IFERROR(INDEX(MASTER!$B$19:$B$109,MATCH(C217,MASTER!$A$19:$A$109,0)),"Asignar fase"))</f>
        <v>Estructuras</v>
      </c>
      <c r="E217" s="9" t="s">
        <v>74</v>
      </c>
      <c r="F217" s="9"/>
      <c r="G217" s="9"/>
      <c r="H217" s="56"/>
      <c r="I217" s="43" t="n">
        <v>46335</v>
      </c>
      <c r="J217" s="43" t="n">
        <v>46360</v>
      </c>
      <c r="K217" s="16" t="n">
        <f aca="false">IF(A217="","",COUNTIF(RESTRICCIONES!$B$5:$B$304,A217))</f>
        <v>0</v>
      </c>
      <c r="L217" s="16" t="n">
        <f aca="false">IF(A217="","",COUNTIFS(RESTRICCIONES!$B$5:$B$304,A217,RESTRICCIONES!$L$5:$L$304,"Pendiente"))</f>
        <v>0</v>
      </c>
      <c r="M217" s="18" t="str">
        <f aca="false">IF(A217="","",IF(L217=0,"LISTA","RESTRINGIDA"))</f>
        <v>LISTA</v>
      </c>
      <c r="N217" s="51" t="str">
        <f aca="false">IF(OR(A217="",H217=""),"",IFERROR(MIN(1,SUMIF(SEMANAL!$C$7:$C$506,A217,SEMANAL!$W$7:$W$506)/H217),0))</f>
        <v/>
      </c>
      <c r="O217" s="57"/>
      <c r="P217" s="57"/>
      <c r="Q217" s="57"/>
      <c r="R217" s="57"/>
      <c r="S217" s="57"/>
      <c r="T217" s="57"/>
      <c r="U217" s="9" t="s">
        <v>17694</v>
      </c>
    </row>
    <row r="218" customFormat="false" ht="15" hidden="false" customHeight="false" outlineLevel="0" collapsed="false">
      <c r="A218" s="9" t="s">
        <v>9479</v>
      </c>
      <c r="B218" s="9" t="s">
        <v>17695</v>
      </c>
      <c r="C218" s="16" t="str">
        <f aca="false">IF(B218="","",IFERROR(INDEX(EDT!$E$5:$E$436,MATCH(B218,EDT!$H$5:$H$436,0)),IFERROR(INDEX(CRONOGRAMA!$G$5:$G$5679,MATCH(A218,CRONOGRAMA!$A$5:$A$5679,0)),"Fuera EDT")))</f>
        <v>03</v>
      </c>
      <c r="D218" s="16" t="str">
        <f aca="false">IF(C218="","",IFERROR(INDEX(MASTER!$B$19:$B$109,MATCH(C218,MASTER!$A$19:$A$109,0)),"Asignar fase"))</f>
        <v>Arquitectura</v>
      </c>
      <c r="E218" s="9" t="s">
        <v>121</v>
      </c>
      <c r="F218" s="9"/>
      <c r="G218" s="9"/>
      <c r="H218" s="56"/>
      <c r="I218" s="43" t="n">
        <v>46335</v>
      </c>
      <c r="J218" s="43" t="n">
        <v>46335</v>
      </c>
      <c r="K218" s="16" t="n">
        <f aca="false">IF(A218="","",COUNTIF(RESTRICCIONES!$B$5:$B$304,A218))</f>
        <v>0</v>
      </c>
      <c r="L218" s="16" t="n">
        <f aca="false">IF(A218="","",COUNTIFS(RESTRICCIONES!$B$5:$B$304,A218,RESTRICCIONES!$L$5:$L$304,"Pendiente"))</f>
        <v>0</v>
      </c>
      <c r="M218" s="18" t="str">
        <f aca="false">IF(A218="","",IF(L218=0,"LISTA","RESTRINGIDA"))</f>
        <v>LISTA</v>
      </c>
      <c r="N218" s="51" t="str">
        <f aca="false">IF(OR(A218="",H218=""),"",IFERROR(MIN(1,SUMIF(SEMANAL!$C$7:$C$506,A218,SEMANAL!$W$7:$W$506)/H218),0))</f>
        <v/>
      </c>
      <c r="O218" s="57"/>
      <c r="P218" s="57"/>
      <c r="Q218" s="57"/>
      <c r="R218" s="57"/>
      <c r="S218" s="57"/>
      <c r="T218" s="57"/>
      <c r="U218" s="9" t="s">
        <v>17696</v>
      </c>
    </row>
    <row r="219" customFormat="false" ht="15" hidden="false" customHeight="false" outlineLevel="0" collapsed="false">
      <c r="A219" s="9" t="s">
        <v>5111</v>
      </c>
      <c r="B219" s="9" t="s">
        <v>17697</v>
      </c>
      <c r="C219" s="16" t="str">
        <f aca="false">IF(B219="","",IFERROR(INDEX(EDT!$E$5:$E$436,MATCH(B219,EDT!$H$5:$H$436,0)),IFERROR(INDEX(CRONOGRAMA!$G$5:$G$5679,MATCH(A219,CRONOGRAMA!$A$5:$A$5679,0)),"Fuera EDT")))</f>
        <v>02</v>
      </c>
      <c r="D219" s="16" t="str">
        <f aca="false">IF(C219="","",IFERROR(INDEX(MASTER!$B$19:$B$109,MATCH(C219,MASTER!$A$19:$A$109,0)),"Asignar fase"))</f>
        <v>Estructuras</v>
      </c>
      <c r="E219" s="9" t="s">
        <v>109</v>
      </c>
      <c r="F219" s="9"/>
      <c r="G219" s="9"/>
      <c r="H219" s="56"/>
      <c r="I219" s="43" t="n">
        <v>46336</v>
      </c>
      <c r="J219" s="43" t="n">
        <v>46337</v>
      </c>
      <c r="K219" s="16" t="n">
        <f aca="false">IF(A219="","",COUNTIF(RESTRICCIONES!$B$5:$B$304,A219))</f>
        <v>0</v>
      </c>
      <c r="L219" s="16" t="n">
        <f aca="false">IF(A219="","",COUNTIFS(RESTRICCIONES!$B$5:$B$304,A219,RESTRICCIONES!$L$5:$L$304,"Pendiente"))</f>
        <v>0</v>
      </c>
      <c r="M219" s="18" t="str">
        <f aca="false">IF(A219="","",IF(L219=0,"LISTA","RESTRINGIDA"))</f>
        <v>LISTA</v>
      </c>
      <c r="N219" s="51" t="str">
        <f aca="false">IF(OR(A219="",H219=""),"",IFERROR(MIN(1,SUMIF(SEMANAL!$C$7:$C$506,A219,SEMANAL!$W$7:$W$506)/H219),0))</f>
        <v/>
      </c>
      <c r="O219" s="57"/>
      <c r="P219" s="57"/>
      <c r="Q219" s="57"/>
      <c r="R219" s="57"/>
      <c r="S219" s="57"/>
      <c r="T219" s="57"/>
      <c r="U219" s="9" t="s">
        <v>17698</v>
      </c>
    </row>
    <row r="220" customFormat="false" ht="15" hidden="false" customHeight="false" outlineLevel="0" collapsed="false">
      <c r="A220" s="9" t="s">
        <v>5927</v>
      </c>
      <c r="B220" s="9" t="s">
        <v>17699</v>
      </c>
      <c r="C220" s="16" t="str">
        <f aca="false">IF(B220="","",IFERROR(INDEX(EDT!$E$5:$E$436,MATCH(B220,EDT!$H$5:$H$436,0)),IFERROR(INDEX(CRONOGRAMA!$G$5:$G$5679,MATCH(A220,CRONOGRAMA!$A$5:$A$5679,0)),"Fuera EDT")))</f>
        <v>02</v>
      </c>
      <c r="D220" s="16" t="str">
        <f aca="false">IF(C220="","",IFERROR(INDEX(MASTER!$B$19:$B$109,MATCH(C220,MASTER!$A$19:$A$109,0)),"Asignar fase"))</f>
        <v>Estructuras</v>
      </c>
      <c r="E220" s="9" t="s">
        <v>121</v>
      </c>
      <c r="F220" s="9"/>
      <c r="G220" s="9"/>
      <c r="H220" s="56"/>
      <c r="I220" s="43" t="n">
        <v>46336</v>
      </c>
      <c r="J220" s="43" t="n">
        <v>46336</v>
      </c>
      <c r="K220" s="16" t="n">
        <f aca="false">IF(A220="","",COUNTIF(RESTRICCIONES!$B$5:$B$304,A220))</f>
        <v>0</v>
      </c>
      <c r="L220" s="16" t="n">
        <f aca="false">IF(A220="","",COUNTIFS(RESTRICCIONES!$B$5:$B$304,A220,RESTRICCIONES!$L$5:$L$304,"Pendiente"))</f>
        <v>0</v>
      </c>
      <c r="M220" s="18" t="str">
        <f aca="false">IF(A220="","",IF(L220=0,"LISTA","RESTRINGIDA"))</f>
        <v>LISTA</v>
      </c>
      <c r="N220" s="51" t="str">
        <f aca="false">IF(OR(A220="",H220=""),"",IFERROR(MIN(1,SUMIF(SEMANAL!$C$7:$C$506,A220,SEMANAL!$W$7:$W$506)/H220),0))</f>
        <v/>
      </c>
      <c r="O220" s="57"/>
      <c r="P220" s="57"/>
      <c r="Q220" s="57"/>
      <c r="R220" s="57"/>
      <c r="S220" s="57"/>
      <c r="T220" s="57"/>
      <c r="U220" s="9" t="s">
        <v>17700</v>
      </c>
    </row>
    <row r="221" customFormat="false" ht="15" hidden="false" customHeight="false" outlineLevel="0" collapsed="false">
      <c r="A221" s="9" t="s">
        <v>7496</v>
      </c>
      <c r="B221" s="9" t="s">
        <v>17560</v>
      </c>
      <c r="C221" s="16" t="str">
        <f aca="false">IF(B221="","",IFERROR(INDEX(EDT!$E$5:$E$436,MATCH(B221,EDT!$H$5:$H$436,0)),IFERROR(INDEX(CRONOGRAMA!$G$5:$G$5679,MATCH(A221,CRONOGRAMA!$A$5:$A$5679,0)),"Fuera EDT")))</f>
        <v>03</v>
      </c>
      <c r="D221" s="16" t="str">
        <f aca="false">IF(C221="","",IFERROR(INDEX(MASTER!$B$19:$B$109,MATCH(C221,MASTER!$A$19:$A$109,0)),"Asignar fase"))</f>
        <v>Arquitectura</v>
      </c>
      <c r="E221" s="9" t="s">
        <v>68</v>
      </c>
      <c r="F221" s="9"/>
      <c r="G221" s="9"/>
      <c r="H221" s="56"/>
      <c r="I221" s="43" t="n">
        <v>46336</v>
      </c>
      <c r="J221" s="43" t="n">
        <v>46337</v>
      </c>
      <c r="K221" s="16" t="n">
        <f aca="false">IF(A221="","",COUNTIF(RESTRICCIONES!$B$5:$B$304,A221))</f>
        <v>0</v>
      </c>
      <c r="L221" s="16" t="n">
        <f aca="false">IF(A221="","",COUNTIFS(RESTRICCIONES!$B$5:$B$304,A221,RESTRICCIONES!$L$5:$L$304,"Pendiente"))</f>
        <v>0</v>
      </c>
      <c r="M221" s="18" t="str">
        <f aca="false">IF(A221="","",IF(L221=0,"LISTA","RESTRINGIDA"))</f>
        <v>LISTA</v>
      </c>
      <c r="N221" s="51" t="str">
        <f aca="false">IF(OR(A221="",H221=""),"",IFERROR(MIN(1,SUMIF(SEMANAL!$C$7:$C$506,A221,SEMANAL!$W$7:$W$506)/H221),0))</f>
        <v/>
      </c>
      <c r="O221" s="57"/>
      <c r="P221" s="57"/>
      <c r="Q221" s="57"/>
      <c r="R221" s="57"/>
      <c r="S221" s="57"/>
      <c r="T221" s="57"/>
      <c r="U221" s="9" t="s">
        <v>17701</v>
      </c>
    </row>
    <row r="222" customFormat="false" ht="15" hidden="false" customHeight="false" outlineLevel="0" collapsed="false">
      <c r="A222" s="9" t="s">
        <v>9482</v>
      </c>
      <c r="B222" s="9" t="s">
        <v>17621</v>
      </c>
      <c r="C222" s="16" t="str">
        <f aca="false">IF(B222="","",IFERROR(INDEX(EDT!$E$5:$E$436,MATCH(B222,EDT!$H$5:$H$436,0)),IFERROR(INDEX(CRONOGRAMA!$G$5:$G$5679,MATCH(A222,CRONOGRAMA!$A$5:$A$5679,0)),"Fuera EDT")))</f>
        <v>03</v>
      </c>
      <c r="D222" s="16" t="str">
        <f aca="false">IF(C222="","",IFERROR(INDEX(MASTER!$B$19:$B$109,MATCH(C222,MASTER!$A$19:$A$109,0)),"Asignar fase"))</f>
        <v>Arquitectura</v>
      </c>
      <c r="E222" s="9" t="s">
        <v>121</v>
      </c>
      <c r="F222" s="9"/>
      <c r="G222" s="9"/>
      <c r="H222" s="56"/>
      <c r="I222" s="43" t="n">
        <v>46336</v>
      </c>
      <c r="J222" s="43" t="n">
        <v>46336</v>
      </c>
      <c r="K222" s="16" t="n">
        <f aca="false">IF(A222="","",COUNTIF(RESTRICCIONES!$B$5:$B$304,A222))</f>
        <v>0</v>
      </c>
      <c r="L222" s="16" t="n">
        <f aca="false">IF(A222="","",COUNTIFS(RESTRICCIONES!$B$5:$B$304,A222,RESTRICCIONES!$L$5:$L$304,"Pendiente"))</f>
        <v>0</v>
      </c>
      <c r="M222" s="18" t="str">
        <f aca="false">IF(A222="","",IF(L222=0,"LISTA","RESTRINGIDA"))</f>
        <v>LISTA</v>
      </c>
      <c r="N222" s="51" t="str">
        <f aca="false">IF(OR(A222="",H222=""),"",IFERROR(MIN(1,SUMIF(SEMANAL!$C$7:$C$506,A222,SEMANAL!$W$7:$W$506)/H222),0))</f>
        <v/>
      </c>
      <c r="O222" s="57"/>
      <c r="P222" s="57"/>
      <c r="Q222" s="57"/>
      <c r="R222" s="57"/>
      <c r="S222" s="57"/>
      <c r="T222" s="57"/>
      <c r="U222" s="9" t="s">
        <v>17702</v>
      </c>
    </row>
    <row r="223" customFormat="false" ht="15" hidden="false" customHeight="false" outlineLevel="0" collapsed="false">
      <c r="A223" s="9" t="s">
        <v>5101</v>
      </c>
      <c r="B223" s="9" t="s">
        <v>17567</v>
      </c>
      <c r="C223" s="16" t="str">
        <f aca="false">IF(B223="","",IFERROR(INDEX(EDT!$E$5:$E$436,MATCH(B223,EDT!$H$5:$H$436,0)),IFERROR(INDEX(CRONOGRAMA!$G$5:$G$5679,MATCH(A223,CRONOGRAMA!$A$5:$A$5679,0)),"Fuera EDT")))</f>
        <v>02</v>
      </c>
      <c r="D223" s="16" t="str">
        <f aca="false">IF(C223="","",IFERROR(INDEX(MASTER!$B$19:$B$109,MATCH(C223,MASTER!$A$19:$A$109,0)),"Asignar fase"))</f>
        <v>Estructuras</v>
      </c>
      <c r="E223" s="9" t="s">
        <v>109</v>
      </c>
      <c r="F223" s="9"/>
      <c r="G223" s="9"/>
      <c r="H223" s="56"/>
      <c r="I223" s="43" t="n">
        <v>46337</v>
      </c>
      <c r="J223" s="43" t="n">
        <v>46338</v>
      </c>
      <c r="K223" s="16" t="n">
        <f aca="false">IF(A223="","",COUNTIF(RESTRICCIONES!$B$5:$B$304,A223))</f>
        <v>0</v>
      </c>
      <c r="L223" s="16" t="n">
        <f aca="false">IF(A223="","",COUNTIFS(RESTRICCIONES!$B$5:$B$304,A223,RESTRICCIONES!$L$5:$L$304,"Pendiente"))</f>
        <v>0</v>
      </c>
      <c r="M223" s="18" t="str">
        <f aca="false">IF(A223="","",IF(L223=0,"LISTA","RESTRINGIDA"))</f>
        <v>LISTA</v>
      </c>
      <c r="N223" s="51" t="str">
        <f aca="false">IF(OR(A223="",H223=""),"",IFERROR(MIN(1,SUMIF(SEMANAL!$C$7:$C$506,A223,SEMANAL!$W$7:$W$506)/H223),0))</f>
        <v/>
      </c>
      <c r="O223" s="57"/>
      <c r="P223" s="57"/>
      <c r="Q223" s="57"/>
      <c r="R223" s="57"/>
      <c r="S223" s="57"/>
      <c r="T223" s="57"/>
      <c r="U223" s="9" t="s">
        <v>17703</v>
      </c>
    </row>
    <row r="224" customFormat="false" ht="15" hidden="false" customHeight="false" outlineLevel="0" collapsed="false">
      <c r="A224" s="9" t="s">
        <v>5936</v>
      </c>
      <c r="B224" s="9" t="s">
        <v>17704</v>
      </c>
      <c r="C224" s="16" t="str">
        <f aca="false">IF(B224="","",IFERROR(INDEX(EDT!$E$5:$E$436,MATCH(B224,EDT!$H$5:$H$436,0)),IFERROR(INDEX(CRONOGRAMA!$G$5:$G$5679,MATCH(A224,CRONOGRAMA!$A$5:$A$5679,0)),"Fuera EDT")))</f>
        <v>02</v>
      </c>
      <c r="D224" s="16" t="str">
        <f aca="false">IF(C224="","",IFERROR(INDEX(MASTER!$B$19:$B$109,MATCH(C224,MASTER!$A$19:$A$109,0)),"Asignar fase"))</f>
        <v>Estructuras</v>
      </c>
      <c r="E224" s="9" t="s">
        <v>121</v>
      </c>
      <c r="F224" s="9"/>
      <c r="G224" s="9"/>
      <c r="H224" s="56"/>
      <c r="I224" s="43" t="n">
        <v>46337</v>
      </c>
      <c r="J224" s="43" t="n">
        <v>46337</v>
      </c>
      <c r="K224" s="16" t="n">
        <f aca="false">IF(A224="","",COUNTIF(RESTRICCIONES!$B$5:$B$304,A224))</f>
        <v>0</v>
      </c>
      <c r="L224" s="16" t="n">
        <f aca="false">IF(A224="","",COUNTIFS(RESTRICCIONES!$B$5:$B$304,A224,RESTRICCIONES!$L$5:$L$304,"Pendiente"))</f>
        <v>0</v>
      </c>
      <c r="M224" s="18" t="str">
        <f aca="false">IF(A224="","",IF(L224=0,"LISTA","RESTRINGIDA"))</f>
        <v>LISTA</v>
      </c>
      <c r="N224" s="51" t="str">
        <f aca="false">IF(OR(A224="",H224=""),"",IFERROR(MIN(1,SUMIF(SEMANAL!$C$7:$C$506,A224,SEMANAL!$W$7:$W$506)/H224),0))</f>
        <v/>
      </c>
      <c r="O224" s="57"/>
      <c r="P224" s="57"/>
      <c r="Q224" s="57"/>
      <c r="R224" s="57"/>
      <c r="S224" s="57"/>
      <c r="T224" s="57"/>
      <c r="U224" s="9" t="s">
        <v>17705</v>
      </c>
    </row>
    <row r="225" customFormat="false" ht="15" hidden="false" customHeight="false" outlineLevel="0" collapsed="false">
      <c r="A225" s="9" t="s">
        <v>9487</v>
      </c>
      <c r="B225" s="9" t="s">
        <v>17686</v>
      </c>
      <c r="C225" s="16" t="str">
        <f aca="false">IF(B225="","",IFERROR(INDEX(EDT!$E$5:$E$436,MATCH(B225,EDT!$H$5:$H$436,0)),IFERROR(INDEX(CRONOGRAMA!$G$5:$G$5679,MATCH(A225,CRONOGRAMA!$A$5:$A$5679,0)),"Fuera EDT")))</f>
        <v>03</v>
      </c>
      <c r="D225" s="16" t="str">
        <f aca="false">IF(C225="","",IFERROR(INDEX(MASTER!$B$19:$B$109,MATCH(C225,MASTER!$A$19:$A$109,0)),"Asignar fase"))</f>
        <v>Arquitectura</v>
      </c>
      <c r="E225" s="9" t="s">
        <v>121</v>
      </c>
      <c r="F225" s="9"/>
      <c r="G225" s="9"/>
      <c r="H225" s="56"/>
      <c r="I225" s="43" t="n">
        <v>46337</v>
      </c>
      <c r="J225" s="43" t="n">
        <v>46337</v>
      </c>
      <c r="K225" s="16" t="n">
        <f aca="false">IF(A225="","",COUNTIF(RESTRICCIONES!$B$5:$B$304,A225))</f>
        <v>0</v>
      </c>
      <c r="L225" s="16" t="n">
        <f aca="false">IF(A225="","",COUNTIFS(RESTRICCIONES!$B$5:$B$304,A225,RESTRICCIONES!$L$5:$L$304,"Pendiente"))</f>
        <v>0</v>
      </c>
      <c r="M225" s="18" t="str">
        <f aca="false">IF(A225="","",IF(L225=0,"LISTA","RESTRINGIDA"))</f>
        <v>LISTA</v>
      </c>
      <c r="N225" s="51" t="str">
        <f aca="false">IF(OR(A225="",H225=""),"",IFERROR(MIN(1,SUMIF(SEMANAL!$C$7:$C$506,A225,SEMANAL!$W$7:$W$506)/H225),0))</f>
        <v/>
      </c>
      <c r="O225" s="57"/>
      <c r="P225" s="57"/>
      <c r="Q225" s="57"/>
      <c r="R225" s="57"/>
      <c r="S225" s="57"/>
      <c r="T225" s="57"/>
      <c r="U225" s="9" t="s">
        <v>17706</v>
      </c>
    </row>
    <row r="226" customFormat="false" ht="15" hidden="false" customHeight="false" outlineLevel="0" collapsed="false">
      <c r="A226" s="9" t="s">
        <v>5108</v>
      </c>
      <c r="B226" s="9" t="s">
        <v>17707</v>
      </c>
      <c r="C226" s="16" t="str">
        <f aca="false">IF(B226="","",IFERROR(INDEX(EDT!$E$5:$E$436,MATCH(B226,EDT!$H$5:$H$436,0)),IFERROR(INDEX(CRONOGRAMA!$G$5:$G$5679,MATCH(A226,CRONOGRAMA!$A$5:$A$5679,0)),"Fuera EDT")))</f>
        <v>02</v>
      </c>
      <c r="D226" s="16" t="str">
        <f aca="false">IF(C226="","",IFERROR(INDEX(MASTER!$B$19:$B$109,MATCH(C226,MASTER!$A$19:$A$109,0)),"Asignar fase"))</f>
        <v>Estructuras</v>
      </c>
      <c r="E226" s="9" t="s">
        <v>109</v>
      </c>
      <c r="F226" s="9"/>
      <c r="G226" s="9"/>
      <c r="H226" s="56"/>
      <c r="I226" s="43" t="n">
        <v>46338</v>
      </c>
      <c r="J226" s="43" t="n">
        <v>46338</v>
      </c>
      <c r="K226" s="16" t="n">
        <f aca="false">IF(A226="","",COUNTIF(RESTRICCIONES!$B$5:$B$304,A226))</f>
        <v>0</v>
      </c>
      <c r="L226" s="16" t="n">
        <f aca="false">IF(A226="","",COUNTIFS(RESTRICCIONES!$B$5:$B$304,A226,RESTRICCIONES!$L$5:$L$304,"Pendiente"))</f>
        <v>0</v>
      </c>
      <c r="M226" s="18" t="str">
        <f aca="false">IF(A226="","",IF(L226=0,"LISTA","RESTRINGIDA"))</f>
        <v>LISTA</v>
      </c>
      <c r="N226" s="51" t="str">
        <f aca="false">IF(OR(A226="",H226=""),"",IFERROR(MIN(1,SUMIF(SEMANAL!$C$7:$C$506,A226,SEMANAL!$W$7:$W$506)/H226),0))</f>
        <v/>
      </c>
      <c r="O226" s="57"/>
      <c r="P226" s="57"/>
      <c r="Q226" s="57"/>
      <c r="R226" s="57"/>
      <c r="S226" s="57"/>
      <c r="T226" s="57"/>
      <c r="U226" s="9" t="s">
        <v>17708</v>
      </c>
    </row>
    <row r="227" customFormat="false" ht="15" hidden="false" customHeight="false" outlineLevel="0" collapsed="false">
      <c r="A227" s="9" t="s">
        <v>5969</v>
      </c>
      <c r="B227" s="9" t="s">
        <v>17709</v>
      </c>
      <c r="C227" s="16" t="str">
        <f aca="false">IF(B227="","",IFERROR(INDEX(EDT!$E$5:$E$436,MATCH(B227,EDT!$H$5:$H$436,0)),IFERROR(INDEX(CRONOGRAMA!$G$5:$G$5679,MATCH(A227,CRONOGRAMA!$A$5:$A$5679,0)),"Fuera EDT")))</f>
        <v>02</v>
      </c>
      <c r="D227" s="16" t="str">
        <f aca="false">IF(C227="","",IFERROR(INDEX(MASTER!$B$19:$B$109,MATCH(C227,MASTER!$A$19:$A$109,0)),"Asignar fase"))</f>
        <v>Estructuras</v>
      </c>
      <c r="E227" s="9" t="s">
        <v>121</v>
      </c>
      <c r="F227" s="9"/>
      <c r="G227" s="9"/>
      <c r="H227" s="56"/>
      <c r="I227" s="43" t="n">
        <v>46338</v>
      </c>
      <c r="J227" s="43" t="n">
        <v>46338</v>
      </c>
      <c r="K227" s="16" t="n">
        <f aca="false">IF(A227="","",COUNTIF(RESTRICCIONES!$B$5:$B$304,A227))</f>
        <v>0</v>
      </c>
      <c r="L227" s="16" t="n">
        <f aca="false">IF(A227="","",COUNTIFS(RESTRICCIONES!$B$5:$B$304,A227,RESTRICCIONES!$L$5:$L$304,"Pendiente"))</f>
        <v>0</v>
      </c>
      <c r="M227" s="18" t="str">
        <f aca="false">IF(A227="","",IF(L227=0,"LISTA","RESTRINGIDA"))</f>
        <v>LISTA</v>
      </c>
      <c r="N227" s="51" t="str">
        <f aca="false">IF(OR(A227="",H227=""),"",IFERROR(MIN(1,SUMIF(SEMANAL!$C$7:$C$506,A227,SEMANAL!$W$7:$W$506)/H227),0))</f>
        <v/>
      </c>
      <c r="O227" s="57"/>
      <c r="P227" s="57"/>
      <c r="Q227" s="57"/>
      <c r="R227" s="57"/>
      <c r="S227" s="57"/>
      <c r="T227" s="57"/>
      <c r="U227" s="9" t="s">
        <v>17710</v>
      </c>
    </row>
    <row r="228" customFormat="false" ht="15" hidden="false" customHeight="false" outlineLevel="0" collapsed="false">
      <c r="A228" s="9" t="s">
        <v>7499</v>
      </c>
      <c r="B228" s="9" t="s">
        <v>17571</v>
      </c>
      <c r="C228" s="16" t="str">
        <f aca="false">IF(B228="","",IFERROR(INDEX(EDT!$E$5:$E$436,MATCH(B228,EDT!$H$5:$H$436,0)),IFERROR(INDEX(CRONOGRAMA!$G$5:$G$5679,MATCH(A228,CRONOGRAMA!$A$5:$A$5679,0)),"Fuera EDT")))</f>
        <v>03</v>
      </c>
      <c r="D228" s="16" t="str">
        <f aca="false">IF(C228="","",IFERROR(INDEX(MASTER!$B$19:$B$109,MATCH(C228,MASTER!$A$19:$A$109,0)),"Asignar fase"))</f>
        <v>Arquitectura</v>
      </c>
      <c r="E228" s="9" t="s">
        <v>68</v>
      </c>
      <c r="F228" s="9"/>
      <c r="G228" s="9"/>
      <c r="H228" s="56"/>
      <c r="I228" s="43" t="n">
        <v>46338</v>
      </c>
      <c r="J228" s="43" t="n">
        <v>46340</v>
      </c>
      <c r="K228" s="16" t="n">
        <f aca="false">IF(A228="","",COUNTIF(RESTRICCIONES!$B$5:$B$304,A228))</f>
        <v>0</v>
      </c>
      <c r="L228" s="16" t="n">
        <f aca="false">IF(A228="","",COUNTIFS(RESTRICCIONES!$B$5:$B$304,A228,RESTRICCIONES!$L$5:$L$304,"Pendiente"))</f>
        <v>0</v>
      </c>
      <c r="M228" s="18" t="str">
        <f aca="false">IF(A228="","",IF(L228=0,"LISTA","RESTRINGIDA"))</f>
        <v>LISTA</v>
      </c>
      <c r="N228" s="51" t="str">
        <f aca="false">IF(OR(A228="",H228=""),"",IFERROR(MIN(1,SUMIF(SEMANAL!$C$7:$C$506,A228,SEMANAL!$W$7:$W$506)/H228),0))</f>
        <v/>
      </c>
      <c r="O228" s="57"/>
      <c r="P228" s="57"/>
      <c r="Q228" s="57"/>
      <c r="R228" s="57"/>
      <c r="S228" s="57"/>
      <c r="T228" s="57"/>
      <c r="U228" s="9" t="s">
        <v>17711</v>
      </c>
    </row>
    <row r="229" customFormat="false" ht="15" hidden="false" customHeight="false" outlineLevel="0" collapsed="false">
      <c r="A229" s="9" t="s">
        <v>9494</v>
      </c>
      <c r="B229" s="9" t="s">
        <v>17712</v>
      </c>
      <c r="C229" s="16" t="str">
        <f aca="false">IF(B229="","",IFERROR(INDEX(EDT!$E$5:$E$436,MATCH(B229,EDT!$H$5:$H$436,0)),IFERROR(INDEX(CRONOGRAMA!$G$5:$G$5679,MATCH(A229,CRONOGRAMA!$A$5:$A$5679,0)),"Fuera EDT")))</f>
        <v>03</v>
      </c>
      <c r="D229" s="16" t="str">
        <f aca="false">IF(C229="","",IFERROR(INDEX(MASTER!$B$19:$B$109,MATCH(C229,MASTER!$A$19:$A$109,0)),"Asignar fase"))</f>
        <v>Arquitectura</v>
      </c>
      <c r="E229" s="9" t="s">
        <v>121</v>
      </c>
      <c r="F229" s="9"/>
      <c r="G229" s="9"/>
      <c r="H229" s="56"/>
      <c r="I229" s="43" t="n">
        <v>46338</v>
      </c>
      <c r="J229" s="43" t="n">
        <v>46338</v>
      </c>
      <c r="K229" s="16" t="n">
        <f aca="false">IF(A229="","",COUNTIF(RESTRICCIONES!$B$5:$B$304,A229))</f>
        <v>0</v>
      </c>
      <c r="L229" s="16" t="n">
        <f aca="false">IF(A229="","",COUNTIFS(RESTRICCIONES!$B$5:$B$304,A229,RESTRICCIONES!$L$5:$L$304,"Pendiente"))</f>
        <v>0</v>
      </c>
      <c r="M229" s="18" t="str">
        <f aca="false">IF(A229="","",IF(L229=0,"LISTA","RESTRINGIDA"))</f>
        <v>LISTA</v>
      </c>
      <c r="N229" s="51" t="str">
        <f aca="false">IF(OR(A229="",H229=""),"",IFERROR(MIN(1,SUMIF(SEMANAL!$C$7:$C$506,A229,SEMANAL!$W$7:$W$506)/H229),0))</f>
        <v/>
      </c>
      <c r="O229" s="57"/>
      <c r="P229" s="57"/>
      <c r="Q229" s="57"/>
      <c r="R229" s="57"/>
      <c r="S229" s="57"/>
      <c r="T229" s="57"/>
      <c r="U229" s="9" t="s">
        <v>17713</v>
      </c>
    </row>
    <row r="230" customFormat="false" ht="15" hidden="false" customHeight="false" outlineLevel="0" collapsed="false">
      <c r="A230" s="9" t="s">
        <v>4201</v>
      </c>
      <c r="B230" s="9" t="s">
        <v>17538</v>
      </c>
      <c r="C230" s="16" t="str">
        <f aca="false">IF(B230="","",IFERROR(INDEX(EDT!$E$5:$E$436,MATCH(B230,EDT!$H$5:$H$436,0)),IFERROR(INDEX(CRONOGRAMA!$G$5:$G$5679,MATCH(A230,CRONOGRAMA!$A$5:$A$5679,0)),"Fuera EDT")))</f>
        <v>02</v>
      </c>
      <c r="D230" s="16" t="str">
        <f aca="false">IF(C230="","",IFERROR(INDEX(MASTER!$B$19:$B$109,MATCH(C230,MASTER!$A$19:$A$109,0)),"Asignar fase"))</f>
        <v>Estructuras</v>
      </c>
      <c r="E230" s="9" t="s">
        <v>92</v>
      </c>
      <c r="F230" s="9"/>
      <c r="G230" s="9"/>
      <c r="H230" s="56"/>
      <c r="I230" s="43" t="n">
        <v>46339</v>
      </c>
      <c r="J230" s="43" t="n">
        <v>46339</v>
      </c>
      <c r="K230" s="16" t="n">
        <f aca="false">IF(A230="","",COUNTIF(RESTRICCIONES!$B$5:$B$304,A230))</f>
        <v>0</v>
      </c>
      <c r="L230" s="16" t="n">
        <f aca="false">IF(A230="","",COUNTIFS(RESTRICCIONES!$B$5:$B$304,A230,RESTRICCIONES!$L$5:$L$304,"Pendiente"))</f>
        <v>0</v>
      </c>
      <c r="M230" s="18" t="str">
        <f aca="false">IF(A230="","",IF(L230=0,"LISTA","RESTRINGIDA"))</f>
        <v>LISTA</v>
      </c>
      <c r="N230" s="51" t="str">
        <f aca="false">IF(OR(A230="",H230=""),"",IFERROR(MIN(1,SUMIF(SEMANAL!$C$7:$C$506,A230,SEMANAL!$W$7:$W$506)/H230),0))</f>
        <v/>
      </c>
      <c r="O230" s="57"/>
      <c r="P230" s="57"/>
      <c r="Q230" s="57"/>
      <c r="R230" s="57"/>
      <c r="S230" s="57"/>
      <c r="T230" s="57"/>
      <c r="U230" s="9" t="s">
        <v>17714</v>
      </c>
    </row>
    <row r="231" customFormat="false" ht="15" hidden="false" customHeight="false" outlineLevel="0" collapsed="false">
      <c r="A231" s="9" t="s">
        <v>4680</v>
      </c>
      <c r="B231" s="9" t="s">
        <v>17697</v>
      </c>
      <c r="C231" s="16" t="str">
        <f aca="false">IF(B231="","",IFERROR(INDEX(EDT!$E$5:$E$436,MATCH(B231,EDT!$H$5:$H$436,0)),IFERROR(INDEX(CRONOGRAMA!$G$5:$G$5679,MATCH(A231,CRONOGRAMA!$A$5:$A$5679,0)),"Fuera EDT")))</f>
        <v>02</v>
      </c>
      <c r="D231" s="16" t="str">
        <f aca="false">IF(C231="","",IFERROR(INDEX(MASTER!$B$19:$B$109,MATCH(C231,MASTER!$A$19:$A$109,0)),"Asignar fase"))</f>
        <v>Estructuras</v>
      </c>
      <c r="E231" s="9" t="s">
        <v>104</v>
      </c>
      <c r="F231" s="9"/>
      <c r="G231" s="9"/>
      <c r="H231" s="56"/>
      <c r="I231" s="43" t="n">
        <v>46339</v>
      </c>
      <c r="J231" s="43" t="n">
        <v>46343</v>
      </c>
      <c r="K231" s="16" t="n">
        <f aca="false">IF(A231="","",COUNTIF(RESTRICCIONES!$B$5:$B$304,A231))</f>
        <v>0</v>
      </c>
      <c r="L231" s="16" t="n">
        <f aca="false">IF(A231="","",COUNTIFS(RESTRICCIONES!$B$5:$B$304,A231,RESTRICCIONES!$L$5:$L$304,"Pendiente"))</f>
        <v>0</v>
      </c>
      <c r="M231" s="18" t="str">
        <f aca="false">IF(A231="","",IF(L231=0,"LISTA","RESTRINGIDA"))</f>
        <v>LISTA</v>
      </c>
      <c r="N231" s="51" t="str">
        <f aca="false">IF(OR(A231="",H231=""),"",IFERROR(MIN(1,SUMIF(SEMANAL!$C$7:$C$506,A231,SEMANAL!$W$7:$W$506)/H231),0))</f>
        <v/>
      </c>
      <c r="O231" s="57"/>
      <c r="P231" s="57"/>
      <c r="Q231" s="57"/>
      <c r="R231" s="57"/>
      <c r="S231" s="57"/>
      <c r="T231" s="57"/>
      <c r="U231" s="9" t="s">
        <v>17715</v>
      </c>
    </row>
    <row r="232" customFormat="false" ht="15" hidden="false" customHeight="false" outlineLevel="0" collapsed="false">
      <c r="A232" s="9" t="s">
        <v>5117</v>
      </c>
      <c r="B232" s="9" t="s">
        <v>17716</v>
      </c>
      <c r="C232" s="16" t="str">
        <f aca="false">IF(B232="","",IFERROR(INDEX(EDT!$E$5:$E$436,MATCH(B232,EDT!$H$5:$H$436,0)),IFERROR(INDEX(CRONOGRAMA!$G$5:$G$5679,MATCH(A232,CRONOGRAMA!$A$5:$A$5679,0)),"Fuera EDT")))</f>
        <v>02</v>
      </c>
      <c r="D232" s="16" t="str">
        <f aca="false">IF(C232="","",IFERROR(INDEX(MASTER!$B$19:$B$109,MATCH(C232,MASTER!$A$19:$A$109,0)),"Asignar fase"))</f>
        <v>Estructuras</v>
      </c>
      <c r="E232" s="9" t="s">
        <v>109</v>
      </c>
      <c r="F232" s="9"/>
      <c r="G232" s="9"/>
      <c r="H232" s="56"/>
      <c r="I232" s="43" t="n">
        <v>46339</v>
      </c>
      <c r="J232" s="43" t="n">
        <v>46339</v>
      </c>
      <c r="K232" s="16" t="n">
        <f aca="false">IF(A232="","",COUNTIF(RESTRICCIONES!$B$5:$B$304,A232))</f>
        <v>0</v>
      </c>
      <c r="L232" s="16" t="n">
        <f aca="false">IF(A232="","",COUNTIFS(RESTRICCIONES!$B$5:$B$304,A232,RESTRICCIONES!$L$5:$L$304,"Pendiente"))</f>
        <v>0</v>
      </c>
      <c r="M232" s="18" t="str">
        <f aca="false">IF(A232="","",IF(L232=0,"LISTA","RESTRINGIDA"))</f>
        <v>LISTA</v>
      </c>
      <c r="N232" s="51" t="str">
        <f aca="false">IF(OR(A232="",H232=""),"",IFERROR(MIN(1,SUMIF(SEMANAL!$C$7:$C$506,A232,SEMANAL!$W$7:$W$506)/H232),0))</f>
        <v/>
      </c>
      <c r="O232" s="57"/>
      <c r="P232" s="57"/>
      <c r="Q232" s="57"/>
      <c r="R232" s="57"/>
      <c r="S232" s="57"/>
      <c r="T232" s="57"/>
      <c r="U232" s="9" t="s">
        <v>17717</v>
      </c>
    </row>
    <row r="233" customFormat="false" ht="15" hidden="false" customHeight="false" outlineLevel="0" collapsed="false">
      <c r="A233" s="9" t="s">
        <v>5128</v>
      </c>
      <c r="B233" s="9" t="s">
        <v>17718</v>
      </c>
      <c r="C233" s="16" t="str">
        <f aca="false">IF(B233="","",IFERROR(INDEX(EDT!$E$5:$E$436,MATCH(B233,EDT!$H$5:$H$436,0)),IFERROR(INDEX(CRONOGRAMA!$G$5:$G$5679,MATCH(A233,CRONOGRAMA!$A$5:$A$5679,0)),"Fuera EDT")))</f>
        <v>02</v>
      </c>
      <c r="D233" s="16" t="str">
        <f aca="false">IF(C233="","",IFERROR(INDEX(MASTER!$B$19:$B$109,MATCH(C233,MASTER!$A$19:$A$109,0)),"Asignar fase"))</f>
        <v>Estructuras</v>
      </c>
      <c r="E233" s="9" t="s">
        <v>109</v>
      </c>
      <c r="F233" s="9"/>
      <c r="G233" s="9"/>
      <c r="H233" s="56"/>
      <c r="I233" s="43" t="n">
        <v>46339</v>
      </c>
      <c r="J233" s="43" t="n">
        <v>46346</v>
      </c>
      <c r="K233" s="16" t="n">
        <f aca="false">IF(A233="","",COUNTIF(RESTRICCIONES!$B$5:$B$304,A233))</f>
        <v>0</v>
      </c>
      <c r="L233" s="16" t="n">
        <f aca="false">IF(A233="","",COUNTIFS(RESTRICCIONES!$B$5:$B$304,A233,RESTRICCIONES!$L$5:$L$304,"Pendiente"))</f>
        <v>0</v>
      </c>
      <c r="M233" s="18" t="str">
        <f aca="false">IF(A233="","",IF(L233=0,"LISTA","RESTRINGIDA"))</f>
        <v>LISTA</v>
      </c>
      <c r="N233" s="51" t="str">
        <f aca="false">IF(OR(A233="",H233=""),"",IFERROR(MIN(1,SUMIF(SEMANAL!$C$7:$C$506,A233,SEMANAL!$W$7:$W$506)/H233),0))</f>
        <v/>
      </c>
      <c r="O233" s="57"/>
      <c r="P233" s="57"/>
      <c r="Q233" s="57"/>
      <c r="R233" s="57"/>
      <c r="S233" s="57"/>
      <c r="T233" s="57"/>
      <c r="U233" s="9" t="s">
        <v>17717</v>
      </c>
    </row>
    <row r="234" customFormat="false" ht="15" hidden="false" customHeight="false" outlineLevel="0" collapsed="false">
      <c r="A234" s="9" t="s">
        <v>5143</v>
      </c>
      <c r="B234" s="9" t="s">
        <v>17393</v>
      </c>
      <c r="C234" s="16" t="str">
        <f aca="false">IF(B234="","",IFERROR(INDEX(EDT!$E$5:$E$436,MATCH(B234,EDT!$H$5:$H$436,0)),IFERROR(INDEX(CRONOGRAMA!$G$5:$G$5679,MATCH(A234,CRONOGRAMA!$A$5:$A$5679,0)),"Fuera EDT")))</f>
        <v>02</v>
      </c>
      <c r="D234" s="16" t="str">
        <f aca="false">IF(C234="","",IFERROR(INDEX(MASTER!$B$19:$B$109,MATCH(C234,MASTER!$A$19:$A$109,0)),"Asignar fase"))</f>
        <v>Estructuras</v>
      </c>
      <c r="E234" s="9" t="s">
        <v>109</v>
      </c>
      <c r="F234" s="9"/>
      <c r="G234" s="9"/>
      <c r="H234" s="56"/>
      <c r="I234" s="43" t="n">
        <v>46339</v>
      </c>
      <c r="J234" s="43" t="n">
        <v>46347</v>
      </c>
      <c r="K234" s="16" t="n">
        <f aca="false">IF(A234="","",COUNTIF(RESTRICCIONES!$B$5:$B$304,A234))</f>
        <v>0</v>
      </c>
      <c r="L234" s="16" t="n">
        <f aca="false">IF(A234="","",COUNTIFS(RESTRICCIONES!$B$5:$B$304,A234,RESTRICCIONES!$L$5:$L$304,"Pendiente"))</f>
        <v>0</v>
      </c>
      <c r="M234" s="18" t="str">
        <f aca="false">IF(A234="","",IF(L234=0,"LISTA","RESTRINGIDA"))</f>
        <v>LISTA</v>
      </c>
      <c r="N234" s="51" t="str">
        <f aca="false">IF(OR(A234="",H234=""),"",IFERROR(MIN(1,SUMIF(SEMANAL!$C$7:$C$506,A234,SEMANAL!$W$7:$W$506)/H234),0))</f>
        <v/>
      </c>
      <c r="O234" s="57"/>
      <c r="P234" s="57"/>
      <c r="Q234" s="57"/>
      <c r="R234" s="57"/>
      <c r="S234" s="57"/>
      <c r="T234" s="57"/>
      <c r="U234" s="9" t="s">
        <v>17717</v>
      </c>
    </row>
    <row r="235" customFormat="false" ht="15" hidden="false" customHeight="false" outlineLevel="0" collapsed="false">
      <c r="A235" s="9" t="s">
        <v>5172</v>
      </c>
      <c r="B235" s="9" t="s">
        <v>17395</v>
      </c>
      <c r="C235" s="16" t="str">
        <f aca="false">IF(B235="","",IFERROR(INDEX(EDT!$E$5:$E$436,MATCH(B235,EDT!$H$5:$H$436,0)),IFERROR(INDEX(CRONOGRAMA!$G$5:$G$5679,MATCH(A235,CRONOGRAMA!$A$5:$A$5679,0)),"Fuera EDT")))</f>
        <v>02</v>
      </c>
      <c r="D235" s="16" t="str">
        <f aca="false">IF(C235="","",IFERROR(INDEX(MASTER!$B$19:$B$109,MATCH(C235,MASTER!$A$19:$A$109,0)),"Asignar fase"))</f>
        <v>Estructuras</v>
      </c>
      <c r="E235" s="9" t="s">
        <v>109</v>
      </c>
      <c r="F235" s="9"/>
      <c r="G235" s="9"/>
      <c r="H235" s="56"/>
      <c r="I235" s="43" t="n">
        <v>46339</v>
      </c>
      <c r="J235" s="43" t="n">
        <v>46348</v>
      </c>
      <c r="K235" s="16" t="n">
        <f aca="false">IF(A235="","",COUNTIF(RESTRICCIONES!$B$5:$B$304,A235))</f>
        <v>0</v>
      </c>
      <c r="L235" s="16" t="n">
        <f aca="false">IF(A235="","",COUNTIFS(RESTRICCIONES!$B$5:$B$304,A235,RESTRICCIONES!$L$5:$L$304,"Pendiente"))</f>
        <v>0</v>
      </c>
      <c r="M235" s="18" t="str">
        <f aca="false">IF(A235="","",IF(L235=0,"LISTA","RESTRINGIDA"))</f>
        <v>LISTA</v>
      </c>
      <c r="N235" s="51" t="str">
        <f aca="false">IF(OR(A235="",H235=""),"",IFERROR(MIN(1,SUMIF(SEMANAL!$C$7:$C$506,A235,SEMANAL!$W$7:$W$506)/H235),0))</f>
        <v/>
      </c>
      <c r="O235" s="57"/>
      <c r="P235" s="57"/>
      <c r="Q235" s="57"/>
      <c r="R235" s="57"/>
      <c r="S235" s="57"/>
      <c r="T235" s="57"/>
      <c r="U235" s="9" t="s">
        <v>17719</v>
      </c>
    </row>
    <row r="236" customFormat="false" ht="15" hidden="false" customHeight="false" outlineLevel="0" collapsed="false">
      <c r="A236" s="9" t="s">
        <v>5966</v>
      </c>
      <c r="B236" s="9" t="s">
        <v>17720</v>
      </c>
      <c r="C236" s="16" t="str">
        <f aca="false">IF(B236="","",IFERROR(INDEX(EDT!$E$5:$E$436,MATCH(B236,EDT!$H$5:$H$436,0)),IFERROR(INDEX(CRONOGRAMA!$G$5:$G$5679,MATCH(A236,CRONOGRAMA!$A$5:$A$5679,0)),"Fuera EDT")))</f>
        <v>02</v>
      </c>
      <c r="D236" s="16" t="str">
        <f aca="false">IF(C236="","",IFERROR(INDEX(MASTER!$B$19:$B$109,MATCH(C236,MASTER!$A$19:$A$109,0)),"Asignar fase"))</f>
        <v>Estructuras</v>
      </c>
      <c r="E236" s="9" t="s">
        <v>121</v>
      </c>
      <c r="F236" s="9"/>
      <c r="G236" s="9"/>
      <c r="H236" s="56"/>
      <c r="I236" s="43" t="n">
        <v>46339</v>
      </c>
      <c r="J236" s="43" t="n">
        <v>46339</v>
      </c>
      <c r="K236" s="16" t="n">
        <f aca="false">IF(A236="","",COUNTIF(RESTRICCIONES!$B$5:$B$304,A236))</f>
        <v>0</v>
      </c>
      <c r="L236" s="16" t="n">
        <f aca="false">IF(A236="","",COUNTIFS(RESTRICCIONES!$B$5:$B$304,A236,RESTRICCIONES!$L$5:$L$304,"Pendiente"))</f>
        <v>0</v>
      </c>
      <c r="M236" s="18" t="str">
        <f aca="false">IF(A236="","",IF(L236=0,"LISTA","RESTRINGIDA"))</f>
        <v>LISTA</v>
      </c>
      <c r="N236" s="51" t="str">
        <f aca="false">IF(OR(A236="",H236=""),"",IFERROR(MIN(1,SUMIF(SEMANAL!$C$7:$C$506,A236,SEMANAL!$W$7:$W$506)/H236),0))</f>
        <v/>
      </c>
      <c r="O236" s="57"/>
      <c r="P236" s="57"/>
      <c r="Q236" s="57"/>
      <c r="R236" s="57"/>
      <c r="S236" s="57"/>
      <c r="T236" s="57"/>
      <c r="U236" s="9" t="s">
        <v>17721</v>
      </c>
    </row>
    <row r="237" customFormat="false" ht="15" hidden="false" customHeight="false" outlineLevel="0" collapsed="false">
      <c r="A237" s="9" t="s">
        <v>2508</v>
      </c>
      <c r="B237" s="9" t="s">
        <v>17722</v>
      </c>
      <c r="C237" s="16" t="str">
        <f aca="false">IF(B237="","",IFERROR(INDEX(EDT!$E$5:$E$436,MATCH(B237,EDT!$H$5:$H$436,0)),IFERROR(INDEX(CRONOGRAMA!$G$5:$G$5679,MATCH(A237,CRONOGRAMA!$A$5:$A$5679,0)),"Fuera EDT")))</f>
        <v>02</v>
      </c>
      <c r="D237" s="16" t="str">
        <f aca="false">IF(C237="","",IFERROR(INDEX(MASTER!$B$19:$B$109,MATCH(C237,MASTER!$A$19:$A$109,0)),"Asignar fase"))</f>
        <v>Estructuras</v>
      </c>
      <c r="E237" s="9" t="s">
        <v>68</v>
      </c>
      <c r="F237" s="9"/>
      <c r="G237" s="9"/>
      <c r="H237" s="56"/>
      <c r="I237" s="43" t="n">
        <v>46340</v>
      </c>
      <c r="J237" s="43" t="n">
        <v>46340</v>
      </c>
      <c r="K237" s="16" t="n">
        <f aca="false">IF(A237="","",COUNTIF(RESTRICCIONES!$B$5:$B$304,A237))</f>
        <v>0</v>
      </c>
      <c r="L237" s="16" t="n">
        <f aca="false">IF(A237="","",COUNTIFS(RESTRICCIONES!$B$5:$B$304,A237,RESTRICCIONES!$L$5:$L$304,"Pendiente"))</f>
        <v>0</v>
      </c>
      <c r="M237" s="18" t="str">
        <f aca="false">IF(A237="","",IF(L237=0,"LISTA","RESTRINGIDA"))</f>
        <v>LISTA</v>
      </c>
      <c r="N237" s="51" t="str">
        <f aca="false">IF(OR(A237="",H237=""),"",IFERROR(MIN(1,SUMIF(SEMANAL!$C$7:$C$506,A237,SEMANAL!$W$7:$W$506)/H237),0))</f>
        <v/>
      </c>
      <c r="O237" s="57"/>
      <c r="P237" s="57"/>
      <c r="Q237" s="57"/>
      <c r="R237" s="57"/>
      <c r="S237" s="57"/>
      <c r="T237" s="57"/>
      <c r="U237" s="9" t="s">
        <v>17723</v>
      </c>
    </row>
    <row r="238" customFormat="false" ht="15" hidden="false" customHeight="false" outlineLevel="0" collapsed="false">
      <c r="A238" s="9" t="s">
        <v>3906</v>
      </c>
      <c r="B238" s="9" t="s">
        <v>17709</v>
      </c>
      <c r="C238" s="16" t="str">
        <f aca="false">IF(B238="","",IFERROR(INDEX(EDT!$E$5:$E$436,MATCH(B238,EDT!$H$5:$H$436,0)),IFERROR(INDEX(CRONOGRAMA!$G$5:$G$5679,MATCH(A238,CRONOGRAMA!$A$5:$A$5679,0)),"Fuera EDT")))</f>
        <v>02</v>
      </c>
      <c r="D238" s="16" t="str">
        <f aca="false">IF(C238="","",IFERROR(INDEX(MASTER!$B$19:$B$109,MATCH(C238,MASTER!$A$19:$A$109,0)),"Asignar fase"))</f>
        <v>Estructuras</v>
      </c>
      <c r="E238" s="9" t="s">
        <v>86</v>
      </c>
      <c r="F238" s="9"/>
      <c r="G238" s="9"/>
      <c r="H238" s="56"/>
      <c r="I238" s="43" t="n">
        <v>46340</v>
      </c>
      <c r="J238" s="43" t="n">
        <v>46341</v>
      </c>
      <c r="K238" s="16" t="n">
        <f aca="false">IF(A238="","",COUNTIF(RESTRICCIONES!$B$5:$B$304,A238))</f>
        <v>0</v>
      </c>
      <c r="L238" s="16" t="n">
        <f aca="false">IF(A238="","",COUNTIFS(RESTRICCIONES!$B$5:$B$304,A238,RESTRICCIONES!$L$5:$L$304,"Pendiente"))</f>
        <v>0</v>
      </c>
      <c r="M238" s="18" t="str">
        <f aca="false">IF(A238="","",IF(L238=0,"LISTA","RESTRINGIDA"))</f>
        <v>LISTA</v>
      </c>
      <c r="N238" s="51" t="str">
        <f aca="false">IF(OR(A238="",H238=""),"",IFERROR(MIN(1,SUMIF(SEMANAL!$C$7:$C$506,A238,SEMANAL!$W$7:$W$506)/H238),0))</f>
        <v/>
      </c>
      <c r="O238" s="57"/>
      <c r="P238" s="57"/>
      <c r="Q238" s="57"/>
      <c r="R238" s="57"/>
      <c r="S238" s="57"/>
      <c r="T238" s="57"/>
      <c r="U238" s="9" t="s">
        <v>17724</v>
      </c>
    </row>
    <row r="239" customFormat="false" ht="15" hidden="false" customHeight="false" outlineLevel="0" collapsed="false">
      <c r="A239" s="9" t="s">
        <v>4213</v>
      </c>
      <c r="B239" s="9" t="s">
        <v>17547</v>
      </c>
      <c r="C239" s="16" t="str">
        <f aca="false">IF(B239="","",IFERROR(INDEX(EDT!$E$5:$E$436,MATCH(B239,EDT!$H$5:$H$436,0)),IFERROR(INDEX(CRONOGRAMA!$G$5:$G$5679,MATCH(A239,CRONOGRAMA!$A$5:$A$5679,0)),"Fuera EDT")))</f>
        <v>02</v>
      </c>
      <c r="D239" s="16" t="str">
        <f aca="false">IF(C239="","",IFERROR(INDEX(MASTER!$B$19:$B$109,MATCH(C239,MASTER!$A$19:$A$109,0)),"Asignar fase"))</f>
        <v>Estructuras</v>
      </c>
      <c r="E239" s="9" t="s">
        <v>92</v>
      </c>
      <c r="F239" s="9"/>
      <c r="G239" s="9"/>
      <c r="H239" s="56"/>
      <c r="I239" s="43" t="n">
        <v>46340</v>
      </c>
      <c r="J239" s="43" t="n">
        <v>46343</v>
      </c>
      <c r="K239" s="16" t="n">
        <f aca="false">IF(A239="","",COUNTIF(RESTRICCIONES!$B$5:$B$304,A239))</f>
        <v>0</v>
      </c>
      <c r="L239" s="16" t="n">
        <f aca="false">IF(A239="","",COUNTIFS(RESTRICCIONES!$B$5:$B$304,A239,RESTRICCIONES!$L$5:$L$304,"Pendiente"))</f>
        <v>0</v>
      </c>
      <c r="M239" s="18" t="str">
        <f aca="false">IF(A239="","",IF(L239=0,"LISTA","RESTRINGIDA"))</f>
        <v>LISTA</v>
      </c>
      <c r="N239" s="51" t="str">
        <f aca="false">IF(OR(A239="",H239=""),"",IFERROR(MIN(1,SUMIF(SEMANAL!$C$7:$C$506,A239,SEMANAL!$W$7:$W$506)/H239),0))</f>
        <v/>
      </c>
      <c r="O239" s="57"/>
      <c r="P239" s="57"/>
      <c r="Q239" s="57"/>
      <c r="R239" s="57"/>
      <c r="S239" s="57"/>
      <c r="T239" s="57"/>
      <c r="U239" s="9" t="s">
        <v>17725</v>
      </c>
    </row>
    <row r="240" customFormat="false" ht="15" hidden="false" customHeight="false" outlineLevel="0" collapsed="false">
      <c r="A240" s="9" t="s">
        <v>5960</v>
      </c>
      <c r="B240" s="9" t="s">
        <v>17726</v>
      </c>
      <c r="C240" s="16" t="str">
        <f aca="false">IF(B240="","",IFERROR(INDEX(EDT!$E$5:$E$436,MATCH(B240,EDT!$H$5:$H$436,0)),IFERROR(INDEX(CRONOGRAMA!$G$5:$G$5679,MATCH(A240,CRONOGRAMA!$A$5:$A$5679,0)),"Fuera EDT")))</f>
        <v>02</v>
      </c>
      <c r="D240" s="16" t="str">
        <f aca="false">IF(C240="","",IFERROR(INDEX(MASTER!$B$19:$B$109,MATCH(C240,MASTER!$A$19:$A$109,0)),"Asignar fase"))</f>
        <v>Estructuras</v>
      </c>
      <c r="E240" s="9" t="s">
        <v>121</v>
      </c>
      <c r="F240" s="9"/>
      <c r="G240" s="9"/>
      <c r="H240" s="56"/>
      <c r="I240" s="43" t="n">
        <v>46340</v>
      </c>
      <c r="J240" s="43" t="n">
        <v>46340</v>
      </c>
      <c r="K240" s="16" t="n">
        <f aca="false">IF(A240="","",COUNTIF(RESTRICCIONES!$B$5:$B$304,A240))</f>
        <v>0</v>
      </c>
      <c r="L240" s="16" t="n">
        <f aca="false">IF(A240="","",COUNTIFS(RESTRICCIONES!$B$5:$B$304,A240,RESTRICCIONES!$L$5:$L$304,"Pendiente"))</f>
        <v>0</v>
      </c>
      <c r="M240" s="18" t="str">
        <f aca="false">IF(A240="","",IF(L240=0,"LISTA","RESTRINGIDA"))</f>
        <v>LISTA</v>
      </c>
      <c r="N240" s="51" t="str">
        <f aca="false">IF(OR(A240="",H240=""),"",IFERROR(MIN(1,SUMIF(SEMANAL!$C$7:$C$506,A240,SEMANAL!$W$7:$W$506)/H240),0))</f>
        <v/>
      </c>
      <c r="O240" s="57"/>
      <c r="P240" s="57"/>
      <c r="Q240" s="57"/>
      <c r="R240" s="57"/>
      <c r="S240" s="57"/>
      <c r="T240" s="57"/>
      <c r="U240" s="9" t="s">
        <v>17727</v>
      </c>
    </row>
    <row r="241" customFormat="false" ht="15" hidden="false" customHeight="false" outlineLevel="0" collapsed="false">
      <c r="A241" s="9" t="s">
        <v>8370</v>
      </c>
      <c r="B241" s="9" t="s">
        <v>17387</v>
      </c>
      <c r="C241" s="16" t="str">
        <f aca="false">IF(B241="","",IFERROR(INDEX(EDT!$E$5:$E$436,MATCH(B241,EDT!$H$5:$H$436,0)),IFERROR(INDEX(CRONOGRAMA!$G$5:$G$5679,MATCH(A241,CRONOGRAMA!$A$5:$A$5679,0)),"Fuera EDT")))</f>
        <v>03</v>
      </c>
      <c r="D241" s="16" t="str">
        <f aca="false">IF(C241="","",IFERROR(INDEX(MASTER!$B$19:$B$109,MATCH(C241,MASTER!$A$19:$A$109,0)),"Asignar fase"))</f>
        <v>Arquitectura</v>
      </c>
      <c r="E241" s="9" t="s">
        <v>92</v>
      </c>
      <c r="F241" s="9"/>
      <c r="G241" s="9"/>
      <c r="H241" s="56"/>
      <c r="I241" s="43" t="n">
        <v>46340</v>
      </c>
      <c r="J241" s="43" t="n">
        <v>46366</v>
      </c>
      <c r="K241" s="16" t="n">
        <f aca="false">IF(A241="","",COUNTIF(RESTRICCIONES!$B$5:$B$304,A241))</f>
        <v>0</v>
      </c>
      <c r="L241" s="16" t="n">
        <f aca="false">IF(A241="","",COUNTIFS(RESTRICCIONES!$B$5:$B$304,A241,RESTRICCIONES!$L$5:$L$304,"Pendiente"))</f>
        <v>0</v>
      </c>
      <c r="M241" s="18" t="str">
        <f aca="false">IF(A241="","",IF(L241=0,"LISTA","RESTRINGIDA"))</f>
        <v>LISTA</v>
      </c>
      <c r="N241" s="51" t="str">
        <f aca="false">IF(OR(A241="",H241=""),"",IFERROR(MIN(1,SUMIF(SEMANAL!$C$7:$C$506,A241,SEMANAL!$W$7:$W$506)/H241),0))</f>
        <v/>
      </c>
      <c r="O241" s="57"/>
      <c r="P241" s="57"/>
      <c r="Q241" s="57"/>
      <c r="R241" s="57"/>
      <c r="S241" s="57"/>
      <c r="T241" s="57"/>
      <c r="U241" s="9" t="s">
        <v>17728</v>
      </c>
    </row>
    <row r="242" customFormat="false" ht="15" hidden="false" customHeight="false" outlineLevel="0" collapsed="false">
      <c r="A242" s="9" t="s">
        <v>2517</v>
      </c>
      <c r="B242" s="9" t="s">
        <v>17729</v>
      </c>
      <c r="C242" s="16" t="str">
        <f aca="false">IF(B242="","",IFERROR(INDEX(EDT!$E$5:$E$436,MATCH(B242,EDT!$H$5:$H$436,0)),IFERROR(INDEX(CRONOGRAMA!$G$5:$G$5679,MATCH(A242,CRONOGRAMA!$A$5:$A$5679,0)),"Fuera EDT")))</f>
        <v>02</v>
      </c>
      <c r="D242" s="16" t="str">
        <f aca="false">IF(C242="","",IFERROR(INDEX(MASTER!$B$19:$B$109,MATCH(C242,MASTER!$A$19:$A$109,0)),"Asignar fase"))</f>
        <v>Estructuras</v>
      </c>
      <c r="E242" s="9" t="s">
        <v>68</v>
      </c>
      <c r="F242" s="9"/>
      <c r="G242" s="9"/>
      <c r="H242" s="56"/>
      <c r="I242" s="43" t="n">
        <v>46341</v>
      </c>
      <c r="J242" s="43" t="n">
        <v>46341</v>
      </c>
      <c r="K242" s="16" t="n">
        <f aca="false">IF(A242="","",COUNTIF(RESTRICCIONES!$B$5:$B$304,A242))</f>
        <v>0</v>
      </c>
      <c r="L242" s="16" t="n">
        <f aca="false">IF(A242="","",COUNTIFS(RESTRICCIONES!$B$5:$B$304,A242,RESTRICCIONES!$L$5:$L$304,"Pendiente"))</f>
        <v>0</v>
      </c>
      <c r="M242" s="18" t="str">
        <f aca="false">IF(A242="","",IF(L242=0,"LISTA","RESTRINGIDA"))</f>
        <v>LISTA</v>
      </c>
      <c r="N242" s="51" t="str">
        <f aca="false">IF(OR(A242="",H242=""),"",IFERROR(MIN(1,SUMIF(SEMANAL!$C$7:$C$506,A242,SEMANAL!$W$7:$W$506)/H242),0))</f>
        <v/>
      </c>
      <c r="O242" s="57"/>
      <c r="P242" s="57"/>
      <c r="Q242" s="57"/>
      <c r="R242" s="57"/>
      <c r="S242" s="57"/>
      <c r="T242" s="57"/>
      <c r="U242" s="9" t="s">
        <v>17730</v>
      </c>
    </row>
    <row r="243" customFormat="false" ht="15" hidden="false" customHeight="false" outlineLevel="0" collapsed="false">
      <c r="A243" s="9" t="s">
        <v>5972</v>
      </c>
      <c r="B243" s="9" t="s">
        <v>17417</v>
      </c>
      <c r="C243" s="16" t="str">
        <f aca="false">IF(B243="","",IFERROR(INDEX(EDT!$E$5:$E$436,MATCH(B243,EDT!$H$5:$H$436,0)),IFERROR(INDEX(CRONOGRAMA!$G$5:$G$5679,MATCH(A243,CRONOGRAMA!$A$5:$A$5679,0)),"Fuera EDT")))</f>
        <v>02</v>
      </c>
      <c r="D243" s="16" t="str">
        <f aca="false">IF(C243="","",IFERROR(INDEX(MASTER!$B$19:$B$109,MATCH(C243,MASTER!$A$19:$A$109,0)),"Asignar fase"))</f>
        <v>Estructuras</v>
      </c>
      <c r="E243" s="9" t="s">
        <v>121</v>
      </c>
      <c r="F243" s="9"/>
      <c r="G243" s="9"/>
      <c r="H243" s="56"/>
      <c r="I243" s="43" t="n">
        <v>46341</v>
      </c>
      <c r="J243" s="43" t="n">
        <v>46341</v>
      </c>
      <c r="K243" s="16" t="n">
        <f aca="false">IF(A243="","",COUNTIF(RESTRICCIONES!$B$5:$B$304,A243))</f>
        <v>0</v>
      </c>
      <c r="L243" s="16" t="n">
        <f aca="false">IF(A243="","",COUNTIFS(RESTRICCIONES!$B$5:$B$304,A243,RESTRICCIONES!$L$5:$L$304,"Pendiente"))</f>
        <v>0</v>
      </c>
      <c r="M243" s="18" t="str">
        <f aca="false">IF(A243="","",IF(L243=0,"LISTA","RESTRINGIDA"))</f>
        <v>LISTA</v>
      </c>
      <c r="N243" s="51" t="str">
        <f aca="false">IF(OR(A243="",H243=""),"",IFERROR(MIN(1,SUMIF(SEMANAL!$C$7:$C$506,A243,SEMANAL!$W$7:$W$506)/H243),0))</f>
        <v/>
      </c>
      <c r="O243" s="57"/>
      <c r="P243" s="57"/>
      <c r="Q243" s="57"/>
      <c r="R243" s="57"/>
      <c r="S243" s="57"/>
      <c r="T243" s="57"/>
      <c r="U243" s="9" t="s">
        <v>17731</v>
      </c>
    </row>
    <row r="244" customFormat="false" ht="15" hidden="false" customHeight="false" outlineLevel="0" collapsed="false">
      <c r="A244" s="9" t="s">
        <v>5983</v>
      </c>
      <c r="B244" s="9" t="s">
        <v>17732</v>
      </c>
      <c r="C244" s="16" t="str">
        <f aca="false">IF(B244="","",IFERROR(INDEX(EDT!$E$5:$E$436,MATCH(B244,EDT!$H$5:$H$436,0)),IFERROR(INDEX(CRONOGRAMA!$G$5:$G$5679,MATCH(A244,CRONOGRAMA!$A$5:$A$5679,0)),"Fuera EDT")))</f>
        <v>02</v>
      </c>
      <c r="D244" s="16" t="str">
        <f aca="false">IF(C244="","",IFERROR(INDEX(MASTER!$B$19:$B$109,MATCH(C244,MASTER!$A$19:$A$109,0)),"Asignar fase"))</f>
        <v>Estructuras</v>
      </c>
      <c r="E244" s="9" t="s">
        <v>121</v>
      </c>
      <c r="F244" s="9"/>
      <c r="G244" s="9"/>
      <c r="H244" s="56"/>
      <c r="I244" s="43" t="n">
        <v>46341</v>
      </c>
      <c r="J244" s="43" t="n">
        <v>46343</v>
      </c>
      <c r="K244" s="16" t="n">
        <f aca="false">IF(A244="","",COUNTIF(RESTRICCIONES!$B$5:$B$304,A244))</f>
        <v>0</v>
      </c>
      <c r="L244" s="16" t="n">
        <f aca="false">IF(A244="","",COUNTIFS(RESTRICCIONES!$B$5:$B$304,A244,RESTRICCIONES!$L$5:$L$304,"Pendiente"))</f>
        <v>0</v>
      </c>
      <c r="M244" s="18" t="str">
        <f aca="false">IF(A244="","",IF(L244=0,"LISTA","RESTRINGIDA"))</f>
        <v>LISTA</v>
      </c>
      <c r="N244" s="51" t="str">
        <f aca="false">IF(OR(A244="",H244=""),"",IFERROR(MIN(1,SUMIF(SEMANAL!$C$7:$C$506,A244,SEMANAL!$W$7:$W$506)/H244),0))</f>
        <v/>
      </c>
      <c r="O244" s="57"/>
      <c r="P244" s="57"/>
      <c r="Q244" s="57"/>
      <c r="R244" s="57"/>
      <c r="S244" s="57"/>
      <c r="T244" s="57"/>
      <c r="U244" s="9" t="s">
        <v>17731</v>
      </c>
    </row>
    <row r="245" customFormat="false" ht="15" hidden="false" customHeight="false" outlineLevel="0" collapsed="false">
      <c r="A245" s="9" t="s">
        <v>6024</v>
      </c>
      <c r="B245" s="9" t="s">
        <v>17733</v>
      </c>
      <c r="C245" s="16" t="str">
        <f aca="false">IF(B245="","",IFERROR(INDEX(EDT!$E$5:$E$436,MATCH(B245,EDT!$H$5:$H$436,0)),IFERROR(INDEX(CRONOGRAMA!$G$5:$G$5679,MATCH(A245,CRONOGRAMA!$A$5:$A$5679,0)),"Fuera EDT")))</f>
        <v>02</v>
      </c>
      <c r="D245" s="16" t="str">
        <f aca="false">IF(C245="","",IFERROR(INDEX(MASTER!$B$19:$B$109,MATCH(C245,MASTER!$A$19:$A$109,0)),"Asignar fase"))</f>
        <v>Estructuras</v>
      </c>
      <c r="E245" s="9" t="s">
        <v>121</v>
      </c>
      <c r="F245" s="9"/>
      <c r="G245" s="9"/>
      <c r="H245" s="56"/>
      <c r="I245" s="43" t="n">
        <v>46341</v>
      </c>
      <c r="J245" s="43" t="n">
        <v>46341</v>
      </c>
      <c r="K245" s="16" t="n">
        <f aca="false">IF(A245="","",COUNTIF(RESTRICCIONES!$B$5:$B$304,A245))</f>
        <v>0</v>
      </c>
      <c r="L245" s="16" t="n">
        <f aca="false">IF(A245="","",COUNTIFS(RESTRICCIONES!$B$5:$B$304,A245,RESTRICCIONES!$L$5:$L$304,"Pendiente"))</f>
        <v>0</v>
      </c>
      <c r="M245" s="18" t="str">
        <f aca="false">IF(A245="","",IF(L245=0,"LISTA","RESTRINGIDA"))</f>
        <v>LISTA</v>
      </c>
      <c r="N245" s="51" t="str">
        <f aca="false">IF(OR(A245="",H245=""),"",IFERROR(MIN(1,SUMIF(SEMANAL!$C$7:$C$506,A245,SEMANAL!$W$7:$W$506)/H245),0))</f>
        <v/>
      </c>
      <c r="O245" s="57"/>
      <c r="P245" s="57"/>
      <c r="Q245" s="57"/>
      <c r="R245" s="57"/>
      <c r="S245" s="57"/>
      <c r="T245" s="57"/>
      <c r="U245" s="9" t="s">
        <v>17731</v>
      </c>
    </row>
    <row r="246" customFormat="false" ht="15" hidden="false" customHeight="false" outlineLevel="0" collapsed="false">
      <c r="A246" s="9" t="s">
        <v>7503</v>
      </c>
      <c r="B246" s="9" t="s">
        <v>17645</v>
      </c>
      <c r="C246" s="16" t="str">
        <f aca="false">IF(B246="","",IFERROR(INDEX(EDT!$E$5:$E$436,MATCH(B246,EDT!$H$5:$H$436,0)),IFERROR(INDEX(CRONOGRAMA!$G$5:$G$5679,MATCH(A246,CRONOGRAMA!$A$5:$A$5679,0)),"Fuera EDT")))</f>
        <v>03</v>
      </c>
      <c r="D246" s="16" t="str">
        <f aca="false">IF(C246="","",IFERROR(INDEX(MASTER!$B$19:$B$109,MATCH(C246,MASTER!$A$19:$A$109,0)),"Asignar fase"))</f>
        <v>Arquitectura</v>
      </c>
      <c r="E246" s="9" t="s">
        <v>68</v>
      </c>
      <c r="F246" s="9"/>
      <c r="G246" s="9"/>
      <c r="H246" s="56"/>
      <c r="I246" s="43" t="n">
        <v>46341</v>
      </c>
      <c r="J246" s="43" t="n">
        <v>46346</v>
      </c>
      <c r="K246" s="16" t="n">
        <f aca="false">IF(A246="","",COUNTIF(RESTRICCIONES!$B$5:$B$304,A246))</f>
        <v>0</v>
      </c>
      <c r="L246" s="16" t="n">
        <f aca="false">IF(A246="","",COUNTIFS(RESTRICCIONES!$B$5:$B$304,A246,RESTRICCIONES!$L$5:$L$304,"Pendiente"))</f>
        <v>0</v>
      </c>
      <c r="M246" s="18" t="str">
        <f aca="false">IF(A246="","",IF(L246=0,"LISTA","RESTRINGIDA"))</f>
        <v>LISTA</v>
      </c>
      <c r="N246" s="51" t="str">
        <f aca="false">IF(OR(A246="",H246=""),"",IFERROR(MIN(1,SUMIF(SEMANAL!$C$7:$C$506,A246,SEMANAL!$W$7:$W$506)/H246),0))</f>
        <v/>
      </c>
      <c r="O246" s="57"/>
      <c r="P246" s="57"/>
      <c r="Q246" s="57"/>
      <c r="R246" s="57"/>
      <c r="S246" s="57"/>
      <c r="T246" s="57"/>
      <c r="U246" s="9" t="s">
        <v>17734</v>
      </c>
    </row>
    <row r="247" customFormat="false" ht="15" hidden="false" customHeight="false" outlineLevel="0" collapsed="false">
      <c r="A247" s="9" t="s">
        <v>7845</v>
      </c>
      <c r="B247" s="9" t="s">
        <v>17735</v>
      </c>
      <c r="C247" s="16" t="str">
        <f aca="false">IF(B247="","",IFERROR(INDEX(EDT!$E$5:$E$436,MATCH(B247,EDT!$H$5:$H$436,0)),IFERROR(INDEX(CRONOGRAMA!$G$5:$G$5679,MATCH(A247,CRONOGRAMA!$A$5:$A$5679,0)),"Fuera EDT")))</f>
        <v>03</v>
      </c>
      <c r="D247" s="16" t="str">
        <f aca="false">IF(C247="","",IFERROR(INDEX(MASTER!$B$19:$B$109,MATCH(C247,MASTER!$A$19:$A$109,0)),"Asignar fase"))</f>
        <v>Arquitectura</v>
      </c>
      <c r="E247" s="9" t="s">
        <v>74</v>
      </c>
      <c r="F247" s="9"/>
      <c r="G247" s="9"/>
      <c r="H247" s="56"/>
      <c r="I247" s="43" t="n">
        <v>46341</v>
      </c>
      <c r="J247" s="43" t="n">
        <v>46365</v>
      </c>
      <c r="K247" s="16" t="n">
        <f aca="false">IF(A247="","",COUNTIF(RESTRICCIONES!$B$5:$B$304,A247))</f>
        <v>0</v>
      </c>
      <c r="L247" s="16" t="n">
        <f aca="false">IF(A247="","",COUNTIFS(RESTRICCIONES!$B$5:$B$304,A247,RESTRICCIONES!$L$5:$L$304,"Pendiente"))</f>
        <v>0</v>
      </c>
      <c r="M247" s="18" t="str">
        <f aca="false">IF(A247="","",IF(L247=0,"LISTA","RESTRINGIDA"))</f>
        <v>LISTA</v>
      </c>
      <c r="N247" s="51" t="str">
        <f aca="false">IF(OR(A247="",H247=""),"",IFERROR(MIN(1,SUMIF(SEMANAL!$C$7:$C$506,A247,SEMANAL!$W$7:$W$506)/H247),0))</f>
        <v/>
      </c>
      <c r="O247" s="57"/>
      <c r="P247" s="57"/>
      <c r="Q247" s="57"/>
      <c r="R247" s="57"/>
      <c r="S247" s="57"/>
      <c r="T247" s="57"/>
      <c r="U247" s="9" t="s">
        <v>17736</v>
      </c>
    </row>
    <row r="248" customFormat="false" ht="15" hidden="false" customHeight="false" outlineLevel="0" collapsed="false">
      <c r="A248" s="9"/>
      <c r="B248" s="9"/>
      <c r="C248" s="16" t="str">
        <f aca="false">IF(B248="","",IFERROR(INDEX(EDT!$E$5:$E$436,MATCH(B248,EDT!$H$5:$H$436,0)),IFERROR(INDEX(CRONOGRAMA!$G$5:$G$5679,MATCH(A248,CRONOGRAMA!$A$5:$A$5679,0)),"Fuera EDT")))</f>
        <v/>
      </c>
      <c r="D248" s="16" t="str">
        <f aca="false">IF(C248="","",IFERROR(INDEX(MASTER!$B$19:$B$109,MATCH(C248,MASTER!$A$19:$A$109,0)),"Asignar fase"))</f>
        <v/>
      </c>
      <c r="E248" s="9"/>
      <c r="F248" s="9"/>
      <c r="G248" s="9"/>
      <c r="H248" s="56"/>
      <c r="I248" s="43"/>
      <c r="J248" s="43"/>
      <c r="K248" s="16" t="str">
        <f aca="false">IF(A248="","",COUNTIF(RESTRICCIONES!$B$5:$B$304,A248))</f>
        <v/>
      </c>
      <c r="L248" s="16" t="str">
        <f aca="false">IF(A248="","",COUNTIFS(RESTRICCIONES!$B$5:$B$304,A248,RESTRICCIONES!$L$5:$L$304,"Pendiente"))</f>
        <v/>
      </c>
      <c r="M248" s="18" t="str">
        <f aca="false">IF(A248="","",IF(L248=0,"LISTA","RESTRINGIDA"))</f>
        <v/>
      </c>
      <c r="N248" s="51" t="str">
        <f aca="false">IF(OR(A248="",H248=""),"",IFERROR(MIN(1,SUMIF(SEMANAL!$C$7:$C$506,A248,SEMANAL!$W$7:$W$506)/H248),0))</f>
        <v/>
      </c>
      <c r="O248" s="57"/>
      <c r="P248" s="57"/>
      <c r="Q248" s="57"/>
      <c r="R248" s="57"/>
      <c r="S248" s="57"/>
      <c r="T248" s="57"/>
      <c r="U248" s="9"/>
    </row>
    <row r="249" customFormat="false" ht="15" hidden="false" customHeight="false" outlineLevel="0" collapsed="false">
      <c r="A249" s="9"/>
      <c r="B249" s="9"/>
      <c r="C249" s="16" t="str">
        <f aca="false">IF(B249="","",IFERROR(INDEX(EDT!$E$5:$E$436,MATCH(B249,EDT!$H$5:$H$436,0)),IFERROR(INDEX(CRONOGRAMA!$G$5:$G$5679,MATCH(A249,CRONOGRAMA!$A$5:$A$5679,0)),"Fuera EDT")))</f>
        <v/>
      </c>
      <c r="D249" s="16" t="str">
        <f aca="false">IF(C249="","",IFERROR(INDEX(MASTER!$B$19:$B$109,MATCH(C249,MASTER!$A$19:$A$109,0)),"Asignar fase"))</f>
        <v/>
      </c>
      <c r="E249" s="9"/>
      <c r="F249" s="9"/>
      <c r="G249" s="9"/>
      <c r="H249" s="56"/>
      <c r="I249" s="43"/>
      <c r="J249" s="43"/>
      <c r="K249" s="16" t="str">
        <f aca="false">IF(A249="","",COUNTIF(RESTRICCIONES!$B$5:$B$304,A249))</f>
        <v/>
      </c>
      <c r="L249" s="16" t="str">
        <f aca="false">IF(A249="","",COUNTIFS(RESTRICCIONES!$B$5:$B$304,A249,RESTRICCIONES!$L$5:$L$304,"Pendiente"))</f>
        <v/>
      </c>
      <c r="M249" s="18" t="str">
        <f aca="false">IF(A249="","",IF(L249=0,"LISTA","RESTRINGIDA"))</f>
        <v/>
      </c>
      <c r="N249" s="51" t="str">
        <f aca="false">IF(OR(A249="",H249=""),"",IFERROR(MIN(1,SUMIF(SEMANAL!$C$7:$C$506,A249,SEMANAL!$W$7:$W$506)/H249),0))</f>
        <v/>
      </c>
      <c r="O249" s="57"/>
      <c r="P249" s="57"/>
      <c r="Q249" s="57"/>
      <c r="R249" s="57"/>
      <c r="S249" s="57"/>
      <c r="T249" s="57"/>
      <c r="U249" s="9"/>
    </row>
    <row r="250" customFormat="false" ht="15" hidden="false" customHeight="false" outlineLevel="0" collapsed="false">
      <c r="A250" s="9"/>
      <c r="B250" s="9"/>
      <c r="C250" s="16" t="str">
        <f aca="false">IF(B250="","",IFERROR(INDEX(EDT!$E$5:$E$436,MATCH(B250,EDT!$H$5:$H$436,0)),IFERROR(INDEX(CRONOGRAMA!$G$5:$G$5679,MATCH(A250,CRONOGRAMA!$A$5:$A$5679,0)),"Fuera EDT")))</f>
        <v/>
      </c>
      <c r="D250" s="16" t="str">
        <f aca="false">IF(C250="","",IFERROR(INDEX(MASTER!$B$19:$B$109,MATCH(C250,MASTER!$A$19:$A$109,0)),"Asignar fase"))</f>
        <v/>
      </c>
      <c r="E250" s="9"/>
      <c r="F250" s="9"/>
      <c r="G250" s="9"/>
      <c r="H250" s="56"/>
      <c r="I250" s="43"/>
      <c r="J250" s="43"/>
      <c r="K250" s="16" t="str">
        <f aca="false">IF(A250="","",COUNTIF(RESTRICCIONES!$B$5:$B$304,A250))</f>
        <v/>
      </c>
      <c r="L250" s="16" t="str">
        <f aca="false">IF(A250="","",COUNTIFS(RESTRICCIONES!$B$5:$B$304,A250,RESTRICCIONES!$L$5:$L$304,"Pendiente"))</f>
        <v/>
      </c>
      <c r="M250" s="18" t="str">
        <f aca="false">IF(A250="","",IF(L250=0,"LISTA","RESTRINGIDA"))</f>
        <v/>
      </c>
      <c r="N250" s="51" t="str">
        <f aca="false">IF(OR(A250="",H250=""),"",IFERROR(MIN(1,SUMIF(SEMANAL!$C$7:$C$506,A250,SEMANAL!$W$7:$W$506)/H250),0))</f>
        <v/>
      </c>
      <c r="O250" s="57"/>
      <c r="P250" s="57"/>
      <c r="Q250" s="57"/>
      <c r="R250" s="57"/>
      <c r="S250" s="57"/>
      <c r="T250" s="57"/>
      <c r="U250" s="9"/>
    </row>
    <row r="251" customFormat="false" ht="15" hidden="false" customHeight="false" outlineLevel="0" collapsed="false">
      <c r="A251" s="9"/>
      <c r="B251" s="9"/>
      <c r="C251" s="16" t="str">
        <f aca="false">IF(B251="","",IFERROR(INDEX(EDT!$E$5:$E$436,MATCH(B251,EDT!$H$5:$H$436,0)),IFERROR(INDEX(CRONOGRAMA!$G$5:$G$5679,MATCH(A251,CRONOGRAMA!$A$5:$A$5679,0)),"Fuera EDT")))</f>
        <v/>
      </c>
      <c r="D251" s="16" t="str">
        <f aca="false">IF(C251="","",IFERROR(INDEX(MASTER!$B$19:$B$109,MATCH(C251,MASTER!$A$19:$A$109,0)),"Asignar fase"))</f>
        <v/>
      </c>
      <c r="E251" s="9"/>
      <c r="F251" s="9"/>
      <c r="G251" s="9"/>
      <c r="H251" s="56"/>
      <c r="I251" s="43"/>
      <c r="J251" s="43"/>
      <c r="K251" s="16" t="str">
        <f aca="false">IF(A251="","",COUNTIF(RESTRICCIONES!$B$5:$B$304,A251))</f>
        <v/>
      </c>
      <c r="L251" s="16" t="str">
        <f aca="false">IF(A251="","",COUNTIFS(RESTRICCIONES!$B$5:$B$304,A251,RESTRICCIONES!$L$5:$L$304,"Pendiente"))</f>
        <v/>
      </c>
      <c r="M251" s="18" t="str">
        <f aca="false">IF(A251="","",IF(L251=0,"LISTA","RESTRINGIDA"))</f>
        <v/>
      </c>
      <c r="N251" s="51" t="str">
        <f aca="false">IF(OR(A251="",H251=""),"",IFERROR(MIN(1,SUMIF(SEMANAL!$C$7:$C$506,A251,SEMANAL!$W$7:$W$506)/H251),0))</f>
        <v/>
      </c>
      <c r="O251" s="57"/>
      <c r="P251" s="57"/>
      <c r="Q251" s="57"/>
      <c r="R251" s="57"/>
      <c r="S251" s="57"/>
      <c r="T251" s="57"/>
      <c r="U251" s="9"/>
    </row>
    <row r="252" customFormat="false" ht="15" hidden="false" customHeight="false" outlineLevel="0" collapsed="false">
      <c r="A252" s="9"/>
      <c r="B252" s="9"/>
      <c r="C252" s="16" t="str">
        <f aca="false">IF(B252="","",IFERROR(INDEX(EDT!$E$5:$E$436,MATCH(B252,EDT!$H$5:$H$436,0)),IFERROR(INDEX(CRONOGRAMA!$G$5:$G$5679,MATCH(A252,CRONOGRAMA!$A$5:$A$5679,0)),"Fuera EDT")))</f>
        <v/>
      </c>
      <c r="D252" s="16" t="str">
        <f aca="false">IF(C252="","",IFERROR(INDEX(MASTER!$B$19:$B$109,MATCH(C252,MASTER!$A$19:$A$109,0)),"Asignar fase"))</f>
        <v/>
      </c>
      <c r="E252" s="9"/>
      <c r="F252" s="9"/>
      <c r="G252" s="9"/>
      <c r="H252" s="56"/>
      <c r="I252" s="43"/>
      <c r="J252" s="43"/>
      <c r="K252" s="16" t="str">
        <f aca="false">IF(A252="","",COUNTIF(RESTRICCIONES!$B$5:$B$304,A252))</f>
        <v/>
      </c>
      <c r="L252" s="16" t="str">
        <f aca="false">IF(A252="","",COUNTIFS(RESTRICCIONES!$B$5:$B$304,A252,RESTRICCIONES!$L$5:$L$304,"Pendiente"))</f>
        <v/>
      </c>
      <c r="M252" s="18" t="str">
        <f aca="false">IF(A252="","",IF(L252=0,"LISTA","RESTRINGIDA"))</f>
        <v/>
      </c>
      <c r="N252" s="51" t="str">
        <f aca="false">IF(OR(A252="",H252=""),"",IFERROR(MIN(1,SUMIF(SEMANAL!$C$7:$C$506,A252,SEMANAL!$W$7:$W$506)/H252),0))</f>
        <v/>
      </c>
      <c r="O252" s="57"/>
      <c r="P252" s="57"/>
      <c r="Q252" s="57"/>
      <c r="R252" s="57"/>
      <c r="S252" s="57"/>
      <c r="T252" s="57"/>
      <c r="U252" s="9"/>
    </row>
    <row r="253" customFormat="false" ht="15" hidden="false" customHeight="false" outlineLevel="0" collapsed="false">
      <c r="A253" s="9"/>
      <c r="B253" s="9"/>
      <c r="C253" s="16" t="str">
        <f aca="false">IF(B253="","",IFERROR(INDEX(EDT!$E$5:$E$436,MATCH(B253,EDT!$H$5:$H$436,0)),IFERROR(INDEX(CRONOGRAMA!$G$5:$G$5679,MATCH(A253,CRONOGRAMA!$A$5:$A$5679,0)),"Fuera EDT")))</f>
        <v/>
      </c>
      <c r="D253" s="16" t="str">
        <f aca="false">IF(C253="","",IFERROR(INDEX(MASTER!$B$19:$B$109,MATCH(C253,MASTER!$A$19:$A$109,0)),"Asignar fase"))</f>
        <v/>
      </c>
      <c r="E253" s="9"/>
      <c r="F253" s="9"/>
      <c r="G253" s="9"/>
      <c r="H253" s="56"/>
      <c r="I253" s="43"/>
      <c r="J253" s="43"/>
      <c r="K253" s="16" t="str">
        <f aca="false">IF(A253="","",COUNTIF(RESTRICCIONES!$B$5:$B$304,A253))</f>
        <v/>
      </c>
      <c r="L253" s="16" t="str">
        <f aca="false">IF(A253="","",COUNTIFS(RESTRICCIONES!$B$5:$B$304,A253,RESTRICCIONES!$L$5:$L$304,"Pendiente"))</f>
        <v/>
      </c>
      <c r="M253" s="18" t="str">
        <f aca="false">IF(A253="","",IF(L253=0,"LISTA","RESTRINGIDA"))</f>
        <v/>
      </c>
      <c r="N253" s="51" t="str">
        <f aca="false">IF(OR(A253="",H253=""),"",IFERROR(MIN(1,SUMIF(SEMANAL!$C$7:$C$506,A253,SEMANAL!$W$7:$W$506)/H253),0))</f>
        <v/>
      </c>
      <c r="O253" s="57"/>
      <c r="P253" s="57"/>
      <c r="Q253" s="57"/>
      <c r="R253" s="57"/>
      <c r="S253" s="57"/>
      <c r="T253" s="57"/>
      <c r="U253" s="9"/>
    </row>
    <row r="254" customFormat="false" ht="15" hidden="false" customHeight="false" outlineLevel="0" collapsed="false">
      <c r="A254" s="9"/>
      <c r="B254" s="9"/>
      <c r="C254" s="16" t="str">
        <f aca="false">IF(B254="","",IFERROR(INDEX(EDT!$E$5:$E$436,MATCH(B254,EDT!$H$5:$H$436,0)),IFERROR(INDEX(CRONOGRAMA!$G$5:$G$5679,MATCH(A254,CRONOGRAMA!$A$5:$A$5679,0)),"Fuera EDT")))</f>
        <v/>
      </c>
      <c r="D254" s="16" t="str">
        <f aca="false">IF(C254="","",IFERROR(INDEX(MASTER!$B$19:$B$109,MATCH(C254,MASTER!$A$19:$A$109,0)),"Asignar fase"))</f>
        <v/>
      </c>
      <c r="E254" s="9"/>
      <c r="F254" s="9"/>
      <c r="G254" s="9"/>
      <c r="H254" s="56"/>
      <c r="I254" s="43"/>
      <c r="J254" s="43"/>
      <c r="K254" s="16" t="str">
        <f aca="false">IF(A254="","",COUNTIF(RESTRICCIONES!$B$5:$B$304,A254))</f>
        <v/>
      </c>
      <c r="L254" s="16" t="str">
        <f aca="false">IF(A254="","",COUNTIFS(RESTRICCIONES!$B$5:$B$304,A254,RESTRICCIONES!$L$5:$L$304,"Pendiente"))</f>
        <v/>
      </c>
      <c r="M254" s="18" t="str">
        <f aca="false">IF(A254="","",IF(L254=0,"LISTA","RESTRINGIDA"))</f>
        <v/>
      </c>
      <c r="N254" s="51" t="str">
        <f aca="false">IF(OR(A254="",H254=""),"",IFERROR(MIN(1,SUMIF(SEMANAL!$C$7:$C$506,A254,SEMANAL!$W$7:$W$506)/H254),0))</f>
        <v/>
      </c>
      <c r="O254" s="57"/>
      <c r="P254" s="57"/>
      <c r="Q254" s="57"/>
      <c r="R254" s="57"/>
      <c r="S254" s="57"/>
      <c r="T254" s="57"/>
      <c r="U254" s="9"/>
    </row>
    <row r="255" customFormat="false" ht="15" hidden="false" customHeight="false" outlineLevel="0" collapsed="false">
      <c r="A255" s="9"/>
      <c r="B255" s="9"/>
      <c r="C255" s="16" t="str">
        <f aca="false">IF(B255="","",IFERROR(INDEX(EDT!$E$5:$E$436,MATCH(B255,EDT!$H$5:$H$436,0)),IFERROR(INDEX(CRONOGRAMA!$G$5:$G$5679,MATCH(A255,CRONOGRAMA!$A$5:$A$5679,0)),"Fuera EDT")))</f>
        <v/>
      </c>
      <c r="D255" s="16" t="str">
        <f aca="false">IF(C255="","",IFERROR(INDEX(MASTER!$B$19:$B$109,MATCH(C255,MASTER!$A$19:$A$109,0)),"Asignar fase"))</f>
        <v/>
      </c>
      <c r="E255" s="9"/>
      <c r="F255" s="9"/>
      <c r="G255" s="9"/>
      <c r="H255" s="56"/>
      <c r="I255" s="43"/>
      <c r="J255" s="43"/>
      <c r="K255" s="16" t="str">
        <f aca="false">IF(A255="","",COUNTIF(RESTRICCIONES!$B$5:$B$304,A255))</f>
        <v/>
      </c>
      <c r="L255" s="16" t="str">
        <f aca="false">IF(A255="","",COUNTIFS(RESTRICCIONES!$B$5:$B$304,A255,RESTRICCIONES!$L$5:$L$304,"Pendiente"))</f>
        <v/>
      </c>
      <c r="M255" s="18" t="str">
        <f aca="false">IF(A255="","",IF(L255=0,"LISTA","RESTRINGIDA"))</f>
        <v/>
      </c>
      <c r="N255" s="51" t="str">
        <f aca="false">IF(OR(A255="",H255=""),"",IFERROR(MIN(1,SUMIF(SEMANAL!$C$7:$C$506,A255,SEMANAL!$W$7:$W$506)/H255),0))</f>
        <v/>
      </c>
      <c r="O255" s="57"/>
      <c r="P255" s="57"/>
      <c r="Q255" s="57"/>
      <c r="R255" s="57"/>
      <c r="S255" s="57"/>
      <c r="T255" s="57"/>
      <c r="U255" s="9"/>
    </row>
    <row r="256" customFormat="false" ht="15" hidden="false" customHeight="false" outlineLevel="0" collapsed="false">
      <c r="A256" s="9"/>
      <c r="B256" s="9"/>
      <c r="C256" s="16" t="str">
        <f aca="false">IF(B256="","",IFERROR(INDEX(EDT!$E$5:$E$436,MATCH(B256,EDT!$H$5:$H$436,0)),IFERROR(INDEX(CRONOGRAMA!$G$5:$G$5679,MATCH(A256,CRONOGRAMA!$A$5:$A$5679,0)),"Fuera EDT")))</f>
        <v/>
      </c>
      <c r="D256" s="16" t="str">
        <f aca="false">IF(C256="","",IFERROR(INDEX(MASTER!$B$19:$B$109,MATCH(C256,MASTER!$A$19:$A$109,0)),"Asignar fase"))</f>
        <v/>
      </c>
      <c r="E256" s="9"/>
      <c r="F256" s="9"/>
      <c r="G256" s="9"/>
      <c r="H256" s="56"/>
      <c r="I256" s="43"/>
      <c r="J256" s="43"/>
      <c r="K256" s="16" t="str">
        <f aca="false">IF(A256="","",COUNTIF(RESTRICCIONES!$B$5:$B$304,A256))</f>
        <v/>
      </c>
      <c r="L256" s="16" t="str">
        <f aca="false">IF(A256="","",COUNTIFS(RESTRICCIONES!$B$5:$B$304,A256,RESTRICCIONES!$L$5:$L$304,"Pendiente"))</f>
        <v/>
      </c>
      <c r="M256" s="18" t="str">
        <f aca="false">IF(A256="","",IF(L256=0,"LISTA","RESTRINGIDA"))</f>
        <v/>
      </c>
      <c r="N256" s="51" t="str">
        <f aca="false">IF(OR(A256="",H256=""),"",IFERROR(MIN(1,SUMIF(SEMANAL!$C$7:$C$506,A256,SEMANAL!$W$7:$W$506)/H256),0))</f>
        <v/>
      </c>
      <c r="O256" s="57"/>
      <c r="P256" s="57"/>
      <c r="Q256" s="57"/>
      <c r="R256" s="57"/>
      <c r="S256" s="57"/>
      <c r="T256" s="57"/>
      <c r="U256" s="9"/>
    </row>
    <row r="257" customFormat="false" ht="15" hidden="false" customHeight="false" outlineLevel="0" collapsed="false">
      <c r="A257" s="9"/>
      <c r="B257" s="9"/>
      <c r="C257" s="16" t="str">
        <f aca="false">IF(B257="","",IFERROR(INDEX(EDT!$E$5:$E$436,MATCH(B257,EDT!$H$5:$H$436,0)),IFERROR(INDEX(CRONOGRAMA!$G$5:$G$5679,MATCH(A257,CRONOGRAMA!$A$5:$A$5679,0)),"Fuera EDT")))</f>
        <v/>
      </c>
      <c r="D257" s="16" t="str">
        <f aca="false">IF(C257="","",IFERROR(INDEX(MASTER!$B$19:$B$109,MATCH(C257,MASTER!$A$19:$A$109,0)),"Asignar fase"))</f>
        <v/>
      </c>
      <c r="E257" s="9"/>
      <c r="F257" s="9"/>
      <c r="G257" s="9"/>
      <c r="H257" s="56"/>
      <c r="I257" s="43"/>
      <c r="J257" s="43"/>
      <c r="K257" s="16" t="str">
        <f aca="false">IF(A257="","",COUNTIF(RESTRICCIONES!$B$5:$B$304,A257))</f>
        <v/>
      </c>
      <c r="L257" s="16" t="str">
        <f aca="false">IF(A257="","",COUNTIFS(RESTRICCIONES!$B$5:$B$304,A257,RESTRICCIONES!$L$5:$L$304,"Pendiente"))</f>
        <v/>
      </c>
      <c r="M257" s="18" t="str">
        <f aca="false">IF(A257="","",IF(L257=0,"LISTA","RESTRINGIDA"))</f>
        <v/>
      </c>
      <c r="N257" s="51" t="str">
        <f aca="false">IF(OR(A257="",H257=""),"",IFERROR(MIN(1,SUMIF(SEMANAL!$C$7:$C$506,A257,SEMANAL!$W$7:$W$506)/H257),0))</f>
        <v/>
      </c>
      <c r="O257" s="57"/>
      <c r="P257" s="57"/>
      <c r="Q257" s="57"/>
      <c r="R257" s="57"/>
      <c r="S257" s="57"/>
      <c r="T257" s="57"/>
      <c r="U257" s="9"/>
    </row>
    <row r="258" customFormat="false" ht="15" hidden="false" customHeight="false" outlineLevel="0" collapsed="false">
      <c r="A258" s="9"/>
      <c r="B258" s="9"/>
      <c r="C258" s="16" t="str">
        <f aca="false">IF(B258="","",IFERROR(INDEX(EDT!$E$5:$E$436,MATCH(B258,EDT!$H$5:$H$436,0)),IFERROR(INDEX(CRONOGRAMA!$G$5:$G$5679,MATCH(A258,CRONOGRAMA!$A$5:$A$5679,0)),"Fuera EDT")))</f>
        <v/>
      </c>
      <c r="D258" s="16" t="str">
        <f aca="false">IF(C258="","",IFERROR(INDEX(MASTER!$B$19:$B$109,MATCH(C258,MASTER!$A$19:$A$109,0)),"Asignar fase"))</f>
        <v/>
      </c>
      <c r="E258" s="9"/>
      <c r="F258" s="9"/>
      <c r="G258" s="9"/>
      <c r="H258" s="56"/>
      <c r="I258" s="43"/>
      <c r="J258" s="43"/>
      <c r="K258" s="16" t="str">
        <f aca="false">IF(A258="","",COUNTIF(RESTRICCIONES!$B$5:$B$304,A258))</f>
        <v/>
      </c>
      <c r="L258" s="16" t="str">
        <f aca="false">IF(A258="","",COUNTIFS(RESTRICCIONES!$B$5:$B$304,A258,RESTRICCIONES!$L$5:$L$304,"Pendiente"))</f>
        <v/>
      </c>
      <c r="M258" s="18" t="str">
        <f aca="false">IF(A258="","",IF(L258=0,"LISTA","RESTRINGIDA"))</f>
        <v/>
      </c>
      <c r="N258" s="51" t="str">
        <f aca="false">IF(OR(A258="",H258=""),"",IFERROR(MIN(1,SUMIF(SEMANAL!$C$7:$C$506,A258,SEMANAL!$W$7:$W$506)/H258),0))</f>
        <v/>
      </c>
      <c r="O258" s="57"/>
      <c r="P258" s="57"/>
      <c r="Q258" s="57"/>
      <c r="R258" s="57"/>
      <c r="S258" s="57"/>
      <c r="T258" s="57"/>
      <c r="U258" s="9"/>
    </row>
    <row r="259" customFormat="false" ht="15" hidden="false" customHeight="false" outlineLevel="0" collapsed="false">
      <c r="A259" s="9"/>
      <c r="B259" s="9"/>
      <c r="C259" s="16" t="str">
        <f aca="false">IF(B259="","",IFERROR(INDEX(EDT!$E$5:$E$436,MATCH(B259,EDT!$H$5:$H$436,0)),IFERROR(INDEX(CRONOGRAMA!$G$5:$G$5679,MATCH(A259,CRONOGRAMA!$A$5:$A$5679,0)),"Fuera EDT")))</f>
        <v/>
      </c>
      <c r="D259" s="16" t="str">
        <f aca="false">IF(C259="","",IFERROR(INDEX(MASTER!$B$19:$B$109,MATCH(C259,MASTER!$A$19:$A$109,0)),"Asignar fase"))</f>
        <v/>
      </c>
      <c r="E259" s="9"/>
      <c r="F259" s="9"/>
      <c r="G259" s="9"/>
      <c r="H259" s="56"/>
      <c r="I259" s="43"/>
      <c r="J259" s="43"/>
      <c r="K259" s="16" t="str">
        <f aca="false">IF(A259="","",COUNTIF(RESTRICCIONES!$B$5:$B$304,A259))</f>
        <v/>
      </c>
      <c r="L259" s="16" t="str">
        <f aca="false">IF(A259="","",COUNTIFS(RESTRICCIONES!$B$5:$B$304,A259,RESTRICCIONES!$L$5:$L$304,"Pendiente"))</f>
        <v/>
      </c>
      <c r="M259" s="18" t="str">
        <f aca="false">IF(A259="","",IF(L259=0,"LISTA","RESTRINGIDA"))</f>
        <v/>
      </c>
      <c r="N259" s="51" t="str">
        <f aca="false">IF(OR(A259="",H259=""),"",IFERROR(MIN(1,SUMIF(SEMANAL!$C$7:$C$506,A259,SEMANAL!$W$7:$W$506)/H259),0))</f>
        <v/>
      </c>
      <c r="O259" s="57"/>
      <c r="P259" s="57"/>
      <c r="Q259" s="57"/>
      <c r="R259" s="57"/>
      <c r="S259" s="57"/>
      <c r="T259" s="57"/>
      <c r="U259" s="9"/>
    </row>
    <row r="260" customFormat="false" ht="15" hidden="false" customHeight="false" outlineLevel="0" collapsed="false">
      <c r="A260" s="9"/>
      <c r="B260" s="9"/>
      <c r="C260" s="16" t="str">
        <f aca="false">IF(B260="","",IFERROR(INDEX(EDT!$E$5:$E$436,MATCH(B260,EDT!$H$5:$H$436,0)),IFERROR(INDEX(CRONOGRAMA!$G$5:$G$5679,MATCH(A260,CRONOGRAMA!$A$5:$A$5679,0)),"Fuera EDT")))</f>
        <v/>
      </c>
      <c r="D260" s="16" t="str">
        <f aca="false">IF(C260="","",IFERROR(INDEX(MASTER!$B$19:$B$109,MATCH(C260,MASTER!$A$19:$A$109,0)),"Asignar fase"))</f>
        <v/>
      </c>
      <c r="E260" s="9"/>
      <c r="F260" s="9"/>
      <c r="G260" s="9"/>
      <c r="H260" s="56"/>
      <c r="I260" s="43"/>
      <c r="J260" s="43"/>
      <c r="K260" s="16" t="str">
        <f aca="false">IF(A260="","",COUNTIF(RESTRICCIONES!$B$5:$B$304,A260))</f>
        <v/>
      </c>
      <c r="L260" s="16" t="str">
        <f aca="false">IF(A260="","",COUNTIFS(RESTRICCIONES!$B$5:$B$304,A260,RESTRICCIONES!$L$5:$L$304,"Pendiente"))</f>
        <v/>
      </c>
      <c r="M260" s="18" t="str">
        <f aca="false">IF(A260="","",IF(L260=0,"LISTA","RESTRINGIDA"))</f>
        <v/>
      </c>
      <c r="N260" s="51" t="str">
        <f aca="false">IF(OR(A260="",H260=""),"",IFERROR(MIN(1,SUMIF(SEMANAL!$C$7:$C$506,A260,SEMANAL!$W$7:$W$506)/H260),0))</f>
        <v/>
      </c>
      <c r="O260" s="57"/>
      <c r="P260" s="57"/>
      <c r="Q260" s="57"/>
      <c r="R260" s="57"/>
      <c r="S260" s="57"/>
      <c r="T260" s="57"/>
      <c r="U260" s="9"/>
    </row>
    <row r="261" customFormat="false" ht="15" hidden="false" customHeight="false" outlineLevel="0" collapsed="false">
      <c r="A261" s="9"/>
      <c r="B261" s="9"/>
      <c r="C261" s="16" t="str">
        <f aca="false">IF(B261="","",IFERROR(INDEX(EDT!$E$5:$E$436,MATCH(B261,EDT!$H$5:$H$436,0)),IFERROR(INDEX(CRONOGRAMA!$G$5:$G$5679,MATCH(A261,CRONOGRAMA!$A$5:$A$5679,0)),"Fuera EDT")))</f>
        <v/>
      </c>
      <c r="D261" s="16" t="str">
        <f aca="false">IF(C261="","",IFERROR(INDEX(MASTER!$B$19:$B$109,MATCH(C261,MASTER!$A$19:$A$109,0)),"Asignar fase"))</f>
        <v/>
      </c>
      <c r="E261" s="9"/>
      <c r="F261" s="9"/>
      <c r="G261" s="9"/>
      <c r="H261" s="56"/>
      <c r="I261" s="43"/>
      <c r="J261" s="43"/>
      <c r="K261" s="16" t="str">
        <f aca="false">IF(A261="","",COUNTIF(RESTRICCIONES!$B$5:$B$304,A261))</f>
        <v/>
      </c>
      <c r="L261" s="16" t="str">
        <f aca="false">IF(A261="","",COUNTIFS(RESTRICCIONES!$B$5:$B$304,A261,RESTRICCIONES!$L$5:$L$304,"Pendiente"))</f>
        <v/>
      </c>
      <c r="M261" s="18" t="str">
        <f aca="false">IF(A261="","",IF(L261=0,"LISTA","RESTRINGIDA"))</f>
        <v/>
      </c>
      <c r="N261" s="51" t="str">
        <f aca="false">IF(OR(A261="",H261=""),"",IFERROR(MIN(1,SUMIF(SEMANAL!$C$7:$C$506,A261,SEMANAL!$W$7:$W$506)/H261),0))</f>
        <v/>
      </c>
      <c r="O261" s="57"/>
      <c r="P261" s="57"/>
      <c r="Q261" s="57"/>
      <c r="R261" s="57"/>
      <c r="S261" s="57"/>
      <c r="T261" s="57"/>
      <c r="U261" s="9"/>
    </row>
    <row r="262" customFormat="false" ht="15" hidden="false" customHeight="false" outlineLevel="0" collapsed="false">
      <c r="A262" s="9"/>
      <c r="B262" s="9"/>
      <c r="C262" s="16" t="str">
        <f aca="false">IF(B262="","",IFERROR(INDEX(EDT!$E$5:$E$436,MATCH(B262,EDT!$H$5:$H$436,0)),IFERROR(INDEX(CRONOGRAMA!$G$5:$G$5679,MATCH(A262,CRONOGRAMA!$A$5:$A$5679,0)),"Fuera EDT")))</f>
        <v/>
      </c>
      <c r="D262" s="16" t="str">
        <f aca="false">IF(C262="","",IFERROR(INDEX(MASTER!$B$19:$B$109,MATCH(C262,MASTER!$A$19:$A$109,0)),"Asignar fase"))</f>
        <v/>
      </c>
      <c r="E262" s="9"/>
      <c r="F262" s="9"/>
      <c r="G262" s="9"/>
      <c r="H262" s="56"/>
      <c r="I262" s="43"/>
      <c r="J262" s="43"/>
      <c r="K262" s="16" t="str">
        <f aca="false">IF(A262="","",COUNTIF(RESTRICCIONES!$B$5:$B$304,A262))</f>
        <v/>
      </c>
      <c r="L262" s="16" t="str">
        <f aca="false">IF(A262="","",COUNTIFS(RESTRICCIONES!$B$5:$B$304,A262,RESTRICCIONES!$L$5:$L$304,"Pendiente"))</f>
        <v/>
      </c>
      <c r="M262" s="18" t="str">
        <f aca="false">IF(A262="","",IF(L262=0,"LISTA","RESTRINGIDA"))</f>
        <v/>
      </c>
      <c r="N262" s="51" t="str">
        <f aca="false">IF(OR(A262="",H262=""),"",IFERROR(MIN(1,SUMIF(SEMANAL!$C$7:$C$506,A262,SEMANAL!$W$7:$W$506)/H262),0))</f>
        <v/>
      </c>
      <c r="O262" s="57"/>
      <c r="P262" s="57"/>
      <c r="Q262" s="57"/>
      <c r="R262" s="57"/>
      <c r="S262" s="57"/>
      <c r="T262" s="57"/>
      <c r="U262" s="9"/>
    </row>
    <row r="263" customFormat="false" ht="15" hidden="false" customHeight="false" outlineLevel="0" collapsed="false">
      <c r="A263" s="9"/>
      <c r="B263" s="9"/>
      <c r="C263" s="16" t="str">
        <f aca="false">IF(B263="","",IFERROR(INDEX(EDT!$E$5:$E$436,MATCH(B263,EDT!$H$5:$H$436,0)),IFERROR(INDEX(CRONOGRAMA!$G$5:$G$5679,MATCH(A263,CRONOGRAMA!$A$5:$A$5679,0)),"Fuera EDT")))</f>
        <v/>
      </c>
      <c r="D263" s="16" t="str">
        <f aca="false">IF(C263="","",IFERROR(INDEX(MASTER!$B$19:$B$109,MATCH(C263,MASTER!$A$19:$A$109,0)),"Asignar fase"))</f>
        <v/>
      </c>
      <c r="E263" s="9"/>
      <c r="F263" s="9"/>
      <c r="G263" s="9"/>
      <c r="H263" s="56"/>
      <c r="I263" s="43"/>
      <c r="J263" s="43"/>
      <c r="K263" s="16" t="str">
        <f aca="false">IF(A263="","",COUNTIF(RESTRICCIONES!$B$5:$B$304,A263))</f>
        <v/>
      </c>
      <c r="L263" s="16" t="str">
        <f aca="false">IF(A263="","",COUNTIFS(RESTRICCIONES!$B$5:$B$304,A263,RESTRICCIONES!$L$5:$L$304,"Pendiente"))</f>
        <v/>
      </c>
      <c r="M263" s="18" t="str">
        <f aca="false">IF(A263="","",IF(L263=0,"LISTA","RESTRINGIDA"))</f>
        <v/>
      </c>
      <c r="N263" s="51" t="str">
        <f aca="false">IF(OR(A263="",H263=""),"",IFERROR(MIN(1,SUMIF(SEMANAL!$C$7:$C$506,A263,SEMANAL!$W$7:$W$506)/H263),0))</f>
        <v/>
      </c>
      <c r="O263" s="57"/>
      <c r="P263" s="57"/>
      <c r="Q263" s="57"/>
      <c r="R263" s="57"/>
      <c r="S263" s="57"/>
      <c r="T263" s="57"/>
      <c r="U263" s="9"/>
    </row>
    <row r="264" customFormat="false" ht="15" hidden="false" customHeight="false" outlineLevel="0" collapsed="false">
      <c r="A264" s="9"/>
      <c r="B264" s="9"/>
      <c r="C264" s="16" t="str">
        <f aca="false">IF(B264="","",IFERROR(INDEX(EDT!$E$5:$E$436,MATCH(B264,EDT!$H$5:$H$436,0)),IFERROR(INDEX(CRONOGRAMA!$G$5:$G$5679,MATCH(A264,CRONOGRAMA!$A$5:$A$5679,0)),"Fuera EDT")))</f>
        <v/>
      </c>
      <c r="D264" s="16" t="str">
        <f aca="false">IF(C264="","",IFERROR(INDEX(MASTER!$B$19:$B$109,MATCH(C264,MASTER!$A$19:$A$109,0)),"Asignar fase"))</f>
        <v/>
      </c>
      <c r="E264" s="9"/>
      <c r="F264" s="9"/>
      <c r="G264" s="9"/>
      <c r="H264" s="56"/>
      <c r="I264" s="43"/>
      <c r="J264" s="43"/>
      <c r="K264" s="16" t="str">
        <f aca="false">IF(A264="","",COUNTIF(RESTRICCIONES!$B$5:$B$304,A264))</f>
        <v/>
      </c>
      <c r="L264" s="16" t="str">
        <f aca="false">IF(A264="","",COUNTIFS(RESTRICCIONES!$B$5:$B$304,A264,RESTRICCIONES!$L$5:$L$304,"Pendiente"))</f>
        <v/>
      </c>
      <c r="M264" s="18" t="str">
        <f aca="false">IF(A264="","",IF(L264=0,"LISTA","RESTRINGIDA"))</f>
        <v/>
      </c>
      <c r="N264" s="51" t="str">
        <f aca="false">IF(OR(A264="",H264=""),"",IFERROR(MIN(1,SUMIF(SEMANAL!$C$7:$C$506,A264,SEMANAL!$W$7:$W$506)/H264),0))</f>
        <v/>
      </c>
      <c r="O264" s="57"/>
      <c r="P264" s="57"/>
      <c r="Q264" s="57"/>
      <c r="R264" s="57"/>
      <c r="S264" s="57"/>
      <c r="T264" s="57"/>
      <c r="U264" s="9"/>
    </row>
    <row r="265" customFormat="false" ht="15" hidden="false" customHeight="false" outlineLevel="0" collapsed="false">
      <c r="A265" s="9"/>
      <c r="B265" s="9"/>
      <c r="C265" s="16" t="str">
        <f aca="false">IF(B265="","",IFERROR(INDEX(EDT!$E$5:$E$436,MATCH(B265,EDT!$H$5:$H$436,0)),IFERROR(INDEX(CRONOGRAMA!$G$5:$G$5679,MATCH(A265,CRONOGRAMA!$A$5:$A$5679,0)),"Fuera EDT")))</f>
        <v/>
      </c>
      <c r="D265" s="16" t="str">
        <f aca="false">IF(C265="","",IFERROR(INDEX(MASTER!$B$19:$B$109,MATCH(C265,MASTER!$A$19:$A$109,0)),"Asignar fase"))</f>
        <v/>
      </c>
      <c r="E265" s="9"/>
      <c r="F265" s="9"/>
      <c r="G265" s="9"/>
      <c r="H265" s="56"/>
      <c r="I265" s="43"/>
      <c r="J265" s="43"/>
      <c r="K265" s="16" t="str">
        <f aca="false">IF(A265="","",COUNTIF(RESTRICCIONES!$B$5:$B$304,A265))</f>
        <v/>
      </c>
      <c r="L265" s="16" t="str">
        <f aca="false">IF(A265="","",COUNTIFS(RESTRICCIONES!$B$5:$B$304,A265,RESTRICCIONES!$L$5:$L$304,"Pendiente"))</f>
        <v/>
      </c>
      <c r="M265" s="18" t="str">
        <f aca="false">IF(A265="","",IF(L265=0,"LISTA","RESTRINGIDA"))</f>
        <v/>
      </c>
      <c r="N265" s="51" t="str">
        <f aca="false">IF(OR(A265="",H265=""),"",IFERROR(MIN(1,SUMIF(SEMANAL!$C$7:$C$506,A265,SEMANAL!$W$7:$W$506)/H265),0))</f>
        <v/>
      </c>
      <c r="O265" s="57"/>
      <c r="P265" s="57"/>
      <c r="Q265" s="57"/>
      <c r="R265" s="57"/>
      <c r="S265" s="57"/>
      <c r="T265" s="57"/>
      <c r="U265" s="9"/>
    </row>
    <row r="266" customFormat="false" ht="15" hidden="false" customHeight="false" outlineLevel="0" collapsed="false">
      <c r="A266" s="9"/>
      <c r="B266" s="9"/>
      <c r="C266" s="16" t="str">
        <f aca="false">IF(B266="","",IFERROR(INDEX(EDT!$E$5:$E$436,MATCH(B266,EDT!$H$5:$H$436,0)),IFERROR(INDEX(CRONOGRAMA!$G$5:$G$5679,MATCH(A266,CRONOGRAMA!$A$5:$A$5679,0)),"Fuera EDT")))</f>
        <v/>
      </c>
      <c r="D266" s="16" t="str">
        <f aca="false">IF(C266="","",IFERROR(INDEX(MASTER!$B$19:$B$109,MATCH(C266,MASTER!$A$19:$A$109,0)),"Asignar fase"))</f>
        <v/>
      </c>
      <c r="E266" s="9"/>
      <c r="F266" s="9"/>
      <c r="G266" s="9"/>
      <c r="H266" s="56"/>
      <c r="I266" s="43"/>
      <c r="J266" s="43"/>
      <c r="K266" s="16" t="str">
        <f aca="false">IF(A266="","",COUNTIF(RESTRICCIONES!$B$5:$B$304,A266))</f>
        <v/>
      </c>
      <c r="L266" s="16" t="str">
        <f aca="false">IF(A266="","",COUNTIFS(RESTRICCIONES!$B$5:$B$304,A266,RESTRICCIONES!$L$5:$L$304,"Pendiente"))</f>
        <v/>
      </c>
      <c r="M266" s="18" t="str">
        <f aca="false">IF(A266="","",IF(L266=0,"LISTA","RESTRINGIDA"))</f>
        <v/>
      </c>
      <c r="N266" s="51" t="str">
        <f aca="false">IF(OR(A266="",H266=""),"",IFERROR(MIN(1,SUMIF(SEMANAL!$C$7:$C$506,A266,SEMANAL!$W$7:$W$506)/H266),0))</f>
        <v/>
      </c>
      <c r="O266" s="57"/>
      <c r="P266" s="57"/>
      <c r="Q266" s="57"/>
      <c r="R266" s="57"/>
      <c r="S266" s="57"/>
      <c r="T266" s="57"/>
      <c r="U266" s="9"/>
    </row>
    <row r="267" customFormat="false" ht="15" hidden="false" customHeight="false" outlineLevel="0" collapsed="false">
      <c r="A267" s="9"/>
      <c r="B267" s="9"/>
      <c r="C267" s="16" t="str">
        <f aca="false">IF(B267="","",IFERROR(INDEX(EDT!$E$5:$E$436,MATCH(B267,EDT!$H$5:$H$436,0)),IFERROR(INDEX(CRONOGRAMA!$G$5:$G$5679,MATCH(A267,CRONOGRAMA!$A$5:$A$5679,0)),"Fuera EDT")))</f>
        <v/>
      </c>
      <c r="D267" s="16" t="str">
        <f aca="false">IF(C267="","",IFERROR(INDEX(MASTER!$B$19:$B$109,MATCH(C267,MASTER!$A$19:$A$109,0)),"Asignar fase"))</f>
        <v/>
      </c>
      <c r="E267" s="9"/>
      <c r="F267" s="9"/>
      <c r="G267" s="9"/>
      <c r="H267" s="56"/>
      <c r="I267" s="43"/>
      <c r="J267" s="43"/>
      <c r="K267" s="16" t="str">
        <f aca="false">IF(A267="","",COUNTIF(RESTRICCIONES!$B$5:$B$304,A267))</f>
        <v/>
      </c>
      <c r="L267" s="16" t="str">
        <f aca="false">IF(A267="","",COUNTIFS(RESTRICCIONES!$B$5:$B$304,A267,RESTRICCIONES!$L$5:$L$304,"Pendiente"))</f>
        <v/>
      </c>
      <c r="M267" s="18" t="str">
        <f aca="false">IF(A267="","",IF(L267=0,"LISTA","RESTRINGIDA"))</f>
        <v/>
      </c>
      <c r="N267" s="51" t="str">
        <f aca="false">IF(OR(A267="",H267=""),"",IFERROR(MIN(1,SUMIF(SEMANAL!$C$7:$C$506,A267,SEMANAL!$W$7:$W$506)/H267),0))</f>
        <v/>
      </c>
      <c r="O267" s="57"/>
      <c r="P267" s="57"/>
      <c r="Q267" s="57"/>
      <c r="R267" s="57"/>
      <c r="S267" s="57"/>
      <c r="T267" s="57"/>
      <c r="U267" s="9"/>
    </row>
    <row r="268" customFormat="false" ht="15" hidden="false" customHeight="false" outlineLevel="0" collapsed="false">
      <c r="A268" s="9"/>
      <c r="B268" s="9"/>
      <c r="C268" s="16" t="str">
        <f aca="false">IF(B268="","",IFERROR(INDEX(EDT!$E$5:$E$436,MATCH(B268,EDT!$H$5:$H$436,0)),IFERROR(INDEX(CRONOGRAMA!$G$5:$G$5679,MATCH(A268,CRONOGRAMA!$A$5:$A$5679,0)),"Fuera EDT")))</f>
        <v/>
      </c>
      <c r="D268" s="16" t="str">
        <f aca="false">IF(C268="","",IFERROR(INDEX(MASTER!$B$19:$B$109,MATCH(C268,MASTER!$A$19:$A$109,0)),"Asignar fase"))</f>
        <v/>
      </c>
      <c r="E268" s="9"/>
      <c r="F268" s="9"/>
      <c r="G268" s="9"/>
      <c r="H268" s="56"/>
      <c r="I268" s="43"/>
      <c r="J268" s="43"/>
      <c r="K268" s="16" t="str">
        <f aca="false">IF(A268="","",COUNTIF(RESTRICCIONES!$B$5:$B$304,A268))</f>
        <v/>
      </c>
      <c r="L268" s="16" t="str">
        <f aca="false">IF(A268="","",COUNTIFS(RESTRICCIONES!$B$5:$B$304,A268,RESTRICCIONES!$L$5:$L$304,"Pendiente"))</f>
        <v/>
      </c>
      <c r="M268" s="18" t="str">
        <f aca="false">IF(A268="","",IF(L268=0,"LISTA","RESTRINGIDA"))</f>
        <v/>
      </c>
      <c r="N268" s="51" t="str">
        <f aca="false">IF(OR(A268="",H268=""),"",IFERROR(MIN(1,SUMIF(SEMANAL!$C$7:$C$506,A268,SEMANAL!$W$7:$W$506)/H268),0))</f>
        <v/>
      </c>
      <c r="O268" s="57"/>
      <c r="P268" s="57"/>
      <c r="Q268" s="57"/>
      <c r="R268" s="57"/>
      <c r="S268" s="57"/>
      <c r="T268" s="57"/>
      <c r="U268" s="9"/>
    </row>
    <row r="269" customFormat="false" ht="15" hidden="false" customHeight="false" outlineLevel="0" collapsed="false">
      <c r="A269" s="9"/>
      <c r="B269" s="9"/>
      <c r="C269" s="16" t="str">
        <f aca="false">IF(B269="","",IFERROR(INDEX(EDT!$E$5:$E$436,MATCH(B269,EDT!$H$5:$H$436,0)),IFERROR(INDEX(CRONOGRAMA!$G$5:$G$5679,MATCH(A269,CRONOGRAMA!$A$5:$A$5679,0)),"Fuera EDT")))</f>
        <v/>
      </c>
      <c r="D269" s="16" t="str">
        <f aca="false">IF(C269="","",IFERROR(INDEX(MASTER!$B$19:$B$109,MATCH(C269,MASTER!$A$19:$A$109,0)),"Asignar fase"))</f>
        <v/>
      </c>
      <c r="E269" s="9"/>
      <c r="F269" s="9"/>
      <c r="G269" s="9"/>
      <c r="H269" s="56"/>
      <c r="I269" s="43"/>
      <c r="J269" s="43"/>
      <c r="K269" s="16" t="str">
        <f aca="false">IF(A269="","",COUNTIF(RESTRICCIONES!$B$5:$B$304,A269))</f>
        <v/>
      </c>
      <c r="L269" s="16" t="str">
        <f aca="false">IF(A269="","",COUNTIFS(RESTRICCIONES!$B$5:$B$304,A269,RESTRICCIONES!$L$5:$L$304,"Pendiente"))</f>
        <v/>
      </c>
      <c r="M269" s="18" t="str">
        <f aca="false">IF(A269="","",IF(L269=0,"LISTA","RESTRINGIDA"))</f>
        <v/>
      </c>
      <c r="N269" s="51" t="str">
        <f aca="false">IF(OR(A269="",H269=""),"",IFERROR(MIN(1,SUMIF(SEMANAL!$C$7:$C$506,A269,SEMANAL!$W$7:$W$506)/H269),0))</f>
        <v/>
      </c>
      <c r="O269" s="57"/>
      <c r="P269" s="57"/>
      <c r="Q269" s="57"/>
      <c r="R269" s="57"/>
      <c r="S269" s="57"/>
      <c r="T269" s="57"/>
      <c r="U269" s="9"/>
    </row>
    <row r="270" customFormat="false" ht="15" hidden="false" customHeight="false" outlineLevel="0" collapsed="false">
      <c r="A270" s="9"/>
      <c r="B270" s="9"/>
      <c r="C270" s="16" t="str">
        <f aca="false">IF(B270="","",IFERROR(INDEX(EDT!$E$5:$E$436,MATCH(B270,EDT!$H$5:$H$436,0)),IFERROR(INDEX(CRONOGRAMA!$G$5:$G$5679,MATCH(A270,CRONOGRAMA!$A$5:$A$5679,0)),"Fuera EDT")))</f>
        <v/>
      </c>
      <c r="D270" s="16" t="str">
        <f aca="false">IF(C270="","",IFERROR(INDEX(MASTER!$B$19:$B$109,MATCH(C270,MASTER!$A$19:$A$109,0)),"Asignar fase"))</f>
        <v/>
      </c>
      <c r="E270" s="9"/>
      <c r="F270" s="9"/>
      <c r="G270" s="9"/>
      <c r="H270" s="56"/>
      <c r="I270" s="43"/>
      <c r="J270" s="43"/>
      <c r="K270" s="16" t="str">
        <f aca="false">IF(A270="","",COUNTIF(RESTRICCIONES!$B$5:$B$304,A270))</f>
        <v/>
      </c>
      <c r="L270" s="16" t="str">
        <f aca="false">IF(A270="","",COUNTIFS(RESTRICCIONES!$B$5:$B$304,A270,RESTRICCIONES!$L$5:$L$304,"Pendiente"))</f>
        <v/>
      </c>
      <c r="M270" s="18" t="str">
        <f aca="false">IF(A270="","",IF(L270=0,"LISTA","RESTRINGIDA"))</f>
        <v/>
      </c>
      <c r="N270" s="51" t="str">
        <f aca="false">IF(OR(A270="",H270=""),"",IFERROR(MIN(1,SUMIF(SEMANAL!$C$7:$C$506,A270,SEMANAL!$W$7:$W$506)/H270),0))</f>
        <v/>
      </c>
      <c r="O270" s="57"/>
      <c r="P270" s="57"/>
      <c r="Q270" s="57"/>
      <c r="R270" s="57"/>
      <c r="S270" s="57"/>
      <c r="T270" s="57"/>
      <c r="U270" s="9"/>
    </row>
    <row r="271" customFormat="false" ht="15" hidden="false" customHeight="false" outlineLevel="0" collapsed="false">
      <c r="A271" s="9"/>
      <c r="B271" s="9"/>
      <c r="C271" s="16" t="str">
        <f aca="false">IF(B271="","",IFERROR(INDEX(EDT!$E$5:$E$436,MATCH(B271,EDT!$H$5:$H$436,0)),IFERROR(INDEX(CRONOGRAMA!$G$5:$G$5679,MATCH(A271,CRONOGRAMA!$A$5:$A$5679,0)),"Fuera EDT")))</f>
        <v/>
      </c>
      <c r="D271" s="16" t="str">
        <f aca="false">IF(C271="","",IFERROR(INDEX(MASTER!$B$19:$B$109,MATCH(C271,MASTER!$A$19:$A$109,0)),"Asignar fase"))</f>
        <v/>
      </c>
      <c r="E271" s="9"/>
      <c r="F271" s="9"/>
      <c r="G271" s="9"/>
      <c r="H271" s="56"/>
      <c r="I271" s="43"/>
      <c r="J271" s="43"/>
      <c r="K271" s="16" t="str">
        <f aca="false">IF(A271="","",COUNTIF(RESTRICCIONES!$B$5:$B$304,A271))</f>
        <v/>
      </c>
      <c r="L271" s="16" t="str">
        <f aca="false">IF(A271="","",COUNTIFS(RESTRICCIONES!$B$5:$B$304,A271,RESTRICCIONES!$L$5:$L$304,"Pendiente"))</f>
        <v/>
      </c>
      <c r="M271" s="18" t="str">
        <f aca="false">IF(A271="","",IF(L271=0,"LISTA","RESTRINGIDA"))</f>
        <v/>
      </c>
      <c r="N271" s="51" t="str">
        <f aca="false">IF(OR(A271="",H271=""),"",IFERROR(MIN(1,SUMIF(SEMANAL!$C$7:$C$506,A271,SEMANAL!$W$7:$W$506)/H271),0))</f>
        <v/>
      </c>
      <c r="O271" s="57"/>
      <c r="P271" s="57"/>
      <c r="Q271" s="57"/>
      <c r="R271" s="57"/>
      <c r="S271" s="57"/>
      <c r="T271" s="57"/>
      <c r="U271" s="9"/>
    </row>
    <row r="272" customFormat="false" ht="15" hidden="false" customHeight="false" outlineLevel="0" collapsed="false">
      <c r="A272" s="9"/>
      <c r="B272" s="9"/>
      <c r="C272" s="16" t="str">
        <f aca="false">IF(B272="","",IFERROR(INDEX(EDT!$E$5:$E$436,MATCH(B272,EDT!$H$5:$H$436,0)),IFERROR(INDEX(CRONOGRAMA!$G$5:$G$5679,MATCH(A272,CRONOGRAMA!$A$5:$A$5679,0)),"Fuera EDT")))</f>
        <v/>
      </c>
      <c r="D272" s="16" t="str">
        <f aca="false">IF(C272="","",IFERROR(INDEX(MASTER!$B$19:$B$109,MATCH(C272,MASTER!$A$19:$A$109,0)),"Asignar fase"))</f>
        <v/>
      </c>
      <c r="E272" s="9"/>
      <c r="F272" s="9"/>
      <c r="G272" s="9"/>
      <c r="H272" s="56"/>
      <c r="I272" s="43"/>
      <c r="J272" s="43"/>
      <c r="K272" s="16" t="str">
        <f aca="false">IF(A272="","",COUNTIF(RESTRICCIONES!$B$5:$B$304,A272))</f>
        <v/>
      </c>
      <c r="L272" s="16" t="str">
        <f aca="false">IF(A272="","",COUNTIFS(RESTRICCIONES!$B$5:$B$304,A272,RESTRICCIONES!$L$5:$L$304,"Pendiente"))</f>
        <v/>
      </c>
      <c r="M272" s="18" t="str">
        <f aca="false">IF(A272="","",IF(L272=0,"LISTA","RESTRINGIDA"))</f>
        <v/>
      </c>
      <c r="N272" s="51" t="str">
        <f aca="false">IF(OR(A272="",H272=""),"",IFERROR(MIN(1,SUMIF(SEMANAL!$C$7:$C$506,A272,SEMANAL!$W$7:$W$506)/H272),0))</f>
        <v/>
      </c>
      <c r="O272" s="57"/>
      <c r="P272" s="57"/>
      <c r="Q272" s="57"/>
      <c r="R272" s="57"/>
      <c r="S272" s="57"/>
      <c r="T272" s="57"/>
      <c r="U272" s="9"/>
    </row>
    <row r="273" customFormat="false" ht="15" hidden="false" customHeight="false" outlineLevel="0" collapsed="false">
      <c r="A273" s="9"/>
      <c r="B273" s="9"/>
      <c r="C273" s="16" t="str">
        <f aca="false">IF(B273="","",IFERROR(INDEX(EDT!$E$5:$E$436,MATCH(B273,EDT!$H$5:$H$436,0)),IFERROR(INDEX(CRONOGRAMA!$G$5:$G$5679,MATCH(A273,CRONOGRAMA!$A$5:$A$5679,0)),"Fuera EDT")))</f>
        <v/>
      </c>
      <c r="D273" s="16" t="str">
        <f aca="false">IF(C273="","",IFERROR(INDEX(MASTER!$B$19:$B$109,MATCH(C273,MASTER!$A$19:$A$109,0)),"Asignar fase"))</f>
        <v/>
      </c>
      <c r="E273" s="9"/>
      <c r="F273" s="9"/>
      <c r="G273" s="9"/>
      <c r="H273" s="56"/>
      <c r="I273" s="43"/>
      <c r="J273" s="43"/>
      <c r="K273" s="16" t="str">
        <f aca="false">IF(A273="","",COUNTIF(RESTRICCIONES!$B$5:$B$304,A273))</f>
        <v/>
      </c>
      <c r="L273" s="16" t="str">
        <f aca="false">IF(A273="","",COUNTIFS(RESTRICCIONES!$B$5:$B$304,A273,RESTRICCIONES!$L$5:$L$304,"Pendiente"))</f>
        <v/>
      </c>
      <c r="M273" s="18" t="str">
        <f aca="false">IF(A273="","",IF(L273=0,"LISTA","RESTRINGIDA"))</f>
        <v/>
      </c>
      <c r="N273" s="51" t="str">
        <f aca="false">IF(OR(A273="",H273=""),"",IFERROR(MIN(1,SUMIF(SEMANAL!$C$7:$C$506,A273,SEMANAL!$W$7:$W$506)/H273),0))</f>
        <v/>
      </c>
      <c r="O273" s="57"/>
      <c r="P273" s="57"/>
      <c r="Q273" s="57"/>
      <c r="R273" s="57"/>
      <c r="S273" s="57"/>
      <c r="T273" s="57"/>
      <c r="U273" s="9"/>
    </row>
    <row r="274" customFormat="false" ht="15" hidden="false" customHeight="false" outlineLevel="0" collapsed="false">
      <c r="A274" s="9"/>
      <c r="B274" s="9"/>
      <c r="C274" s="16" t="str">
        <f aca="false">IF(B274="","",IFERROR(INDEX(EDT!$E$5:$E$436,MATCH(B274,EDT!$H$5:$H$436,0)),IFERROR(INDEX(CRONOGRAMA!$G$5:$G$5679,MATCH(A274,CRONOGRAMA!$A$5:$A$5679,0)),"Fuera EDT")))</f>
        <v/>
      </c>
      <c r="D274" s="16" t="str">
        <f aca="false">IF(C274="","",IFERROR(INDEX(MASTER!$B$19:$B$109,MATCH(C274,MASTER!$A$19:$A$109,0)),"Asignar fase"))</f>
        <v/>
      </c>
      <c r="E274" s="9"/>
      <c r="F274" s="9"/>
      <c r="G274" s="9"/>
      <c r="H274" s="56"/>
      <c r="I274" s="43"/>
      <c r="J274" s="43"/>
      <c r="K274" s="16" t="str">
        <f aca="false">IF(A274="","",COUNTIF(RESTRICCIONES!$B$5:$B$304,A274))</f>
        <v/>
      </c>
      <c r="L274" s="16" t="str">
        <f aca="false">IF(A274="","",COUNTIFS(RESTRICCIONES!$B$5:$B$304,A274,RESTRICCIONES!$L$5:$L$304,"Pendiente"))</f>
        <v/>
      </c>
      <c r="M274" s="18" t="str">
        <f aca="false">IF(A274="","",IF(L274=0,"LISTA","RESTRINGIDA"))</f>
        <v/>
      </c>
      <c r="N274" s="51" t="str">
        <f aca="false">IF(OR(A274="",H274=""),"",IFERROR(MIN(1,SUMIF(SEMANAL!$C$7:$C$506,A274,SEMANAL!$W$7:$W$506)/H274),0))</f>
        <v/>
      </c>
      <c r="O274" s="57"/>
      <c r="P274" s="57"/>
      <c r="Q274" s="57"/>
      <c r="R274" s="57"/>
      <c r="S274" s="57"/>
      <c r="T274" s="57"/>
      <c r="U274" s="9"/>
    </row>
    <row r="275" customFormat="false" ht="15" hidden="false" customHeight="false" outlineLevel="0" collapsed="false">
      <c r="A275" s="9"/>
      <c r="B275" s="9"/>
      <c r="C275" s="16" t="str">
        <f aca="false">IF(B275="","",IFERROR(INDEX(EDT!$E$5:$E$436,MATCH(B275,EDT!$H$5:$H$436,0)),IFERROR(INDEX(CRONOGRAMA!$G$5:$G$5679,MATCH(A275,CRONOGRAMA!$A$5:$A$5679,0)),"Fuera EDT")))</f>
        <v/>
      </c>
      <c r="D275" s="16" t="str">
        <f aca="false">IF(C275="","",IFERROR(INDEX(MASTER!$B$19:$B$109,MATCH(C275,MASTER!$A$19:$A$109,0)),"Asignar fase"))</f>
        <v/>
      </c>
      <c r="E275" s="9"/>
      <c r="F275" s="9"/>
      <c r="G275" s="9"/>
      <c r="H275" s="56"/>
      <c r="I275" s="43"/>
      <c r="J275" s="43"/>
      <c r="K275" s="16" t="str">
        <f aca="false">IF(A275="","",COUNTIF(RESTRICCIONES!$B$5:$B$304,A275))</f>
        <v/>
      </c>
      <c r="L275" s="16" t="str">
        <f aca="false">IF(A275="","",COUNTIFS(RESTRICCIONES!$B$5:$B$304,A275,RESTRICCIONES!$L$5:$L$304,"Pendiente"))</f>
        <v/>
      </c>
      <c r="M275" s="18" t="str">
        <f aca="false">IF(A275="","",IF(L275=0,"LISTA","RESTRINGIDA"))</f>
        <v/>
      </c>
      <c r="N275" s="51" t="str">
        <f aca="false">IF(OR(A275="",H275=""),"",IFERROR(MIN(1,SUMIF(SEMANAL!$C$7:$C$506,A275,SEMANAL!$W$7:$W$506)/H275),0))</f>
        <v/>
      </c>
      <c r="O275" s="57"/>
      <c r="P275" s="57"/>
      <c r="Q275" s="57"/>
      <c r="R275" s="57"/>
      <c r="S275" s="57"/>
      <c r="T275" s="57"/>
      <c r="U275" s="9"/>
    </row>
    <row r="276" customFormat="false" ht="15" hidden="false" customHeight="false" outlineLevel="0" collapsed="false">
      <c r="A276" s="9"/>
      <c r="B276" s="9"/>
      <c r="C276" s="16" t="str">
        <f aca="false">IF(B276="","",IFERROR(INDEX(EDT!$E$5:$E$436,MATCH(B276,EDT!$H$5:$H$436,0)),IFERROR(INDEX(CRONOGRAMA!$G$5:$G$5679,MATCH(A276,CRONOGRAMA!$A$5:$A$5679,0)),"Fuera EDT")))</f>
        <v/>
      </c>
      <c r="D276" s="16" t="str">
        <f aca="false">IF(C276="","",IFERROR(INDEX(MASTER!$B$19:$B$109,MATCH(C276,MASTER!$A$19:$A$109,0)),"Asignar fase"))</f>
        <v/>
      </c>
      <c r="E276" s="9"/>
      <c r="F276" s="9"/>
      <c r="G276" s="9"/>
      <c r="H276" s="56"/>
      <c r="I276" s="43"/>
      <c r="J276" s="43"/>
      <c r="K276" s="16" t="str">
        <f aca="false">IF(A276="","",COUNTIF(RESTRICCIONES!$B$5:$B$304,A276))</f>
        <v/>
      </c>
      <c r="L276" s="16" t="str">
        <f aca="false">IF(A276="","",COUNTIFS(RESTRICCIONES!$B$5:$B$304,A276,RESTRICCIONES!$L$5:$L$304,"Pendiente"))</f>
        <v/>
      </c>
      <c r="M276" s="18" t="str">
        <f aca="false">IF(A276="","",IF(L276=0,"LISTA","RESTRINGIDA"))</f>
        <v/>
      </c>
      <c r="N276" s="51" t="str">
        <f aca="false">IF(OR(A276="",H276=""),"",IFERROR(MIN(1,SUMIF(SEMANAL!$C$7:$C$506,A276,SEMANAL!$W$7:$W$506)/H276),0))</f>
        <v/>
      </c>
      <c r="O276" s="57"/>
      <c r="P276" s="57"/>
      <c r="Q276" s="57"/>
      <c r="R276" s="57"/>
      <c r="S276" s="57"/>
      <c r="T276" s="57"/>
      <c r="U276" s="9"/>
    </row>
    <row r="277" customFormat="false" ht="15" hidden="false" customHeight="false" outlineLevel="0" collapsed="false">
      <c r="A277" s="9"/>
      <c r="B277" s="9"/>
      <c r="C277" s="16" t="str">
        <f aca="false">IF(B277="","",IFERROR(INDEX(EDT!$E$5:$E$436,MATCH(B277,EDT!$H$5:$H$436,0)),IFERROR(INDEX(CRONOGRAMA!$G$5:$G$5679,MATCH(A277,CRONOGRAMA!$A$5:$A$5679,0)),"Fuera EDT")))</f>
        <v/>
      </c>
      <c r="D277" s="16" t="str">
        <f aca="false">IF(C277="","",IFERROR(INDEX(MASTER!$B$19:$B$109,MATCH(C277,MASTER!$A$19:$A$109,0)),"Asignar fase"))</f>
        <v/>
      </c>
      <c r="E277" s="9"/>
      <c r="F277" s="9"/>
      <c r="G277" s="9"/>
      <c r="H277" s="56"/>
      <c r="I277" s="43"/>
      <c r="J277" s="43"/>
      <c r="K277" s="16" t="str">
        <f aca="false">IF(A277="","",COUNTIF(RESTRICCIONES!$B$5:$B$304,A277))</f>
        <v/>
      </c>
      <c r="L277" s="16" t="str">
        <f aca="false">IF(A277="","",COUNTIFS(RESTRICCIONES!$B$5:$B$304,A277,RESTRICCIONES!$L$5:$L$304,"Pendiente"))</f>
        <v/>
      </c>
      <c r="M277" s="18" t="str">
        <f aca="false">IF(A277="","",IF(L277=0,"LISTA","RESTRINGIDA"))</f>
        <v/>
      </c>
      <c r="N277" s="51" t="str">
        <f aca="false">IF(OR(A277="",H277=""),"",IFERROR(MIN(1,SUMIF(SEMANAL!$C$7:$C$506,A277,SEMANAL!$W$7:$W$506)/H277),0))</f>
        <v/>
      </c>
      <c r="O277" s="57"/>
      <c r="P277" s="57"/>
      <c r="Q277" s="57"/>
      <c r="R277" s="57"/>
      <c r="S277" s="57"/>
      <c r="T277" s="57"/>
      <c r="U277" s="9"/>
    </row>
    <row r="278" customFormat="false" ht="15" hidden="false" customHeight="false" outlineLevel="0" collapsed="false">
      <c r="A278" s="9"/>
      <c r="B278" s="9"/>
      <c r="C278" s="16" t="str">
        <f aca="false">IF(B278="","",IFERROR(INDEX(EDT!$E$5:$E$436,MATCH(B278,EDT!$H$5:$H$436,0)),IFERROR(INDEX(CRONOGRAMA!$G$5:$G$5679,MATCH(A278,CRONOGRAMA!$A$5:$A$5679,0)),"Fuera EDT")))</f>
        <v/>
      </c>
      <c r="D278" s="16" t="str">
        <f aca="false">IF(C278="","",IFERROR(INDEX(MASTER!$B$19:$B$109,MATCH(C278,MASTER!$A$19:$A$109,0)),"Asignar fase"))</f>
        <v/>
      </c>
      <c r="E278" s="9"/>
      <c r="F278" s="9"/>
      <c r="G278" s="9"/>
      <c r="H278" s="56"/>
      <c r="I278" s="43"/>
      <c r="J278" s="43"/>
      <c r="K278" s="16" t="str">
        <f aca="false">IF(A278="","",COUNTIF(RESTRICCIONES!$B$5:$B$304,A278))</f>
        <v/>
      </c>
      <c r="L278" s="16" t="str">
        <f aca="false">IF(A278="","",COUNTIFS(RESTRICCIONES!$B$5:$B$304,A278,RESTRICCIONES!$L$5:$L$304,"Pendiente"))</f>
        <v/>
      </c>
      <c r="M278" s="18" t="str">
        <f aca="false">IF(A278="","",IF(L278=0,"LISTA","RESTRINGIDA"))</f>
        <v/>
      </c>
      <c r="N278" s="51" t="str">
        <f aca="false">IF(OR(A278="",H278=""),"",IFERROR(MIN(1,SUMIF(SEMANAL!$C$7:$C$506,A278,SEMANAL!$W$7:$W$506)/H278),0))</f>
        <v/>
      </c>
      <c r="O278" s="57"/>
      <c r="P278" s="57"/>
      <c r="Q278" s="57"/>
      <c r="R278" s="57"/>
      <c r="S278" s="57"/>
      <c r="T278" s="57"/>
      <c r="U278" s="9"/>
    </row>
    <row r="279" customFormat="false" ht="15" hidden="false" customHeight="false" outlineLevel="0" collapsed="false">
      <c r="A279" s="9"/>
      <c r="B279" s="9"/>
      <c r="C279" s="16" t="str">
        <f aca="false">IF(B279="","",IFERROR(INDEX(EDT!$E$5:$E$436,MATCH(B279,EDT!$H$5:$H$436,0)),IFERROR(INDEX(CRONOGRAMA!$G$5:$G$5679,MATCH(A279,CRONOGRAMA!$A$5:$A$5679,0)),"Fuera EDT")))</f>
        <v/>
      </c>
      <c r="D279" s="16" t="str">
        <f aca="false">IF(C279="","",IFERROR(INDEX(MASTER!$B$19:$B$109,MATCH(C279,MASTER!$A$19:$A$109,0)),"Asignar fase"))</f>
        <v/>
      </c>
      <c r="E279" s="9"/>
      <c r="F279" s="9"/>
      <c r="G279" s="9"/>
      <c r="H279" s="56"/>
      <c r="I279" s="43"/>
      <c r="J279" s="43"/>
      <c r="K279" s="16" t="str">
        <f aca="false">IF(A279="","",COUNTIF(RESTRICCIONES!$B$5:$B$304,A279))</f>
        <v/>
      </c>
      <c r="L279" s="16" t="str">
        <f aca="false">IF(A279="","",COUNTIFS(RESTRICCIONES!$B$5:$B$304,A279,RESTRICCIONES!$L$5:$L$304,"Pendiente"))</f>
        <v/>
      </c>
      <c r="M279" s="18" t="str">
        <f aca="false">IF(A279="","",IF(L279=0,"LISTA","RESTRINGIDA"))</f>
        <v/>
      </c>
      <c r="N279" s="51" t="str">
        <f aca="false">IF(OR(A279="",H279=""),"",IFERROR(MIN(1,SUMIF(SEMANAL!$C$7:$C$506,A279,SEMANAL!$W$7:$W$506)/H279),0))</f>
        <v/>
      </c>
      <c r="O279" s="57"/>
      <c r="P279" s="57"/>
      <c r="Q279" s="57"/>
      <c r="R279" s="57"/>
      <c r="S279" s="57"/>
      <c r="T279" s="57"/>
      <c r="U279" s="9"/>
    </row>
    <row r="280" customFormat="false" ht="15" hidden="false" customHeight="false" outlineLevel="0" collapsed="false">
      <c r="A280" s="9"/>
      <c r="B280" s="9"/>
      <c r="C280" s="16" t="str">
        <f aca="false">IF(B280="","",IFERROR(INDEX(EDT!$E$5:$E$436,MATCH(B280,EDT!$H$5:$H$436,0)),IFERROR(INDEX(CRONOGRAMA!$G$5:$G$5679,MATCH(A280,CRONOGRAMA!$A$5:$A$5679,0)),"Fuera EDT")))</f>
        <v/>
      </c>
      <c r="D280" s="16" t="str">
        <f aca="false">IF(C280="","",IFERROR(INDEX(MASTER!$B$19:$B$109,MATCH(C280,MASTER!$A$19:$A$109,0)),"Asignar fase"))</f>
        <v/>
      </c>
      <c r="E280" s="9"/>
      <c r="F280" s="9"/>
      <c r="G280" s="9"/>
      <c r="H280" s="56"/>
      <c r="I280" s="43"/>
      <c r="J280" s="43"/>
      <c r="K280" s="16" t="str">
        <f aca="false">IF(A280="","",COUNTIF(RESTRICCIONES!$B$5:$B$304,A280))</f>
        <v/>
      </c>
      <c r="L280" s="16" t="str">
        <f aca="false">IF(A280="","",COUNTIFS(RESTRICCIONES!$B$5:$B$304,A280,RESTRICCIONES!$L$5:$L$304,"Pendiente"))</f>
        <v/>
      </c>
      <c r="M280" s="18" t="str">
        <f aca="false">IF(A280="","",IF(L280=0,"LISTA","RESTRINGIDA"))</f>
        <v/>
      </c>
      <c r="N280" s="51" t="str">
        <f aca="false">IF(OR(A280="",H280=""),"",IFERROR(MIN(1,SUMIF(SEMANAL!$C$7:$C$506,A280,SEMANAL!$W$7:$W$506)/H280),0))</f>
        <v/>
      </c>
      <c r="O280" s="57"/>
      <c r="P280" s="57"/>
      <c r="Q280" s="57"/>
      <c r="R280" s="57"/>
      <c r="S280" s="57"/>
      <c r="T280" s="57"/>
      <c r="U280" s="9"/>
    </row>
    <row r="281" customFormat="false" ht="15" hidden="false" customHeight="false" outlineLevel="0" collapsed="false">
      <c r="A281" s="9"/>
      <c r="B281" s="9"/>
      <c r="C281" s="16" t="str">
        <f aca="false">IF(B281="","",IFERROR(INDEX(EDT!$E$5:$E$436,MATCH(B281,EDT!$H$5:$H$436,0)),IFERROR(INDEX(CRONOGRAMA!$G$5:$G$5679,MATCH(A281,CRONOGRAMA!$A$5:$A$5679,0)),"Fuera EDT")))</f>
        <v/>
      </c>
      <c r="D281" s="16" t="str">
        <f aca="false">IF(C281="","",IFERROR(INDEX(MASTER!$B$19:$B$109,MATCH(C281,MASTER!$A$19:$A$109,0)),"Asignar fase"))</f>
        <v/>
      </c>
      <c r="E281" s="9"/>
      <c r="F281" s="9"/>
      <c r="G281" s="9"/>
      <c r="H281" s="56"/>
      <c r="I281" s="43"/>
      <c r="J281" s="43"/>
      <c r="K281" s="16" t="str">
        <f aca="false">IF(A281="","",COUNTIF(RESTRICCIONES!$B$5:$B$304,A281))</f>
        <v/>
      </c>
      <c r="L281" s="16" t="str">
        <f aca="false">IF(A281="","",COUNTIFS(RESTRICCIONES!$B$5:$B$304,A281,RESTRICCIONES!$L$5:$L$304,"Pendiente"))</f>
        <v/>
      </c>
      <c r="M281" s="18" t="str">
        <f aca="false">IF(A281="","",IF(L281=0,"LISTA","RESTRINGIDA"))</f>
        <v/>
      </c>
      <c r="N281" s="51" t="str">
        <f aca="false">IF(OR(A281="",H281=""),"",IFERROR(MIN(1,SUMIF(SEMANAL!$C$7:$C$506,A281,SEMANAL!$W$7:$W$506)/H281),0))</f>
        <v/>
      </c>
      <c r="O281" s="57"/>
      <c r="P281" s="57"/>
      <c r="Q281" s="57"/>
      <c r="R281" s="57"/>
      <c r="S281" s="57"/>
      <c r="T281" s="57"/>
      <c r="U281" s="9"/>
    </row>
    <row r="282" customFormat="false" ht="15" hidden="false" customHeight="false" outlineLevel="0" collapsed="false">
      <c r="A282" s="9"/>
      <c r="B282" s="9"/>
      <c r="C282" s="16" t="str">
        <f aca="false">IF(B282="","",IFERROR(INDEX(EDT!$E$5:$E$436,MATCH(B282,EDT!$H$5:$H$436,0)),IFERROR(INDEX(CRONOGRAMA!$G$5:$G$5679,MATCH(A282,CRONOGRAMA!$A$5:$A$5679,0)),"Fuera EDT")))</f>
        <v/>
      </c>
      <c r="D282" s="16" t="str">
        <f aca="false">IF(C282="","",IFERROR(INDEX(MASTER!$B$19:$B$109,MATCH(C282,MASTER!$A$19:$A$109,0)),"Asignar fase"))</f>
        <v/>
      </c>
      <c r="E282" s="9"/>
      <c r="F282" s="9"/>
      <c r="G282" s="9"/>
      <c r="H282" s="56"/>
      <c r="I282" s="43"/>
      <c r="J282" s="43"/>
      <c r="K282" s="16" t="str">
        <f aca="false">IF(A282="","",COUNTIF(RESTRICCIONES!$B$5:$B$304,A282))</f>
        <v/>
      </c>
      <c r="L282" s="16" t="str">
        <f aca="false">IF(A282="","",COUNTIFS(RESTRICCIONES!$B$5:$B$304,A282,RESTRICCIONES!$L$5:$L$304,"Pendiente"))</f>
        <v/>
      </c>
      <c r="M282" s="18" t="str">
        <f aca="false">IF(A282="","",IF(L282=0,"LISTA","RESTRINGIDA"))</f>
        <v/>
      </c>
      <c r="N282" s="51" t="str">
        <f aca="false">IF(OR(A282="",H282=""),"",IFERROR(MIN(1,SUMIF(SEMANAL!$C$7:$C$506,A282,SEMANAL!$W$7:$W$506)/H282),0))</f>
        <v/>
      </c>
      <c r="O282" s="57"/>
      <c r="P282" s="57"/>
      <c r="Q282" s="57"/>
      <c r="R282" s="57"/>
      <c r="S282" s="57"/>
      <c r="T282" s="57"/>
      <c r="U282" s="9"/>
    </row>
    <row r="283" customFormat="false" ht="15" hidden="false" customHeight="false" outlineLevel="0" collapsed="false">
      <c r="A283" s="9"/>
      <c r="B283" s="9"/>
      <c r="C283" s="16" t="str">
        <f aca="false">IF(B283="","",IFERROR(INDEX(EDT!$E$5:$E$436,MATCH(B283,EDT!$H$5:$H$436,0)),IFERROR(INDEX(CRONOGRAMA!$G$5:$G$5679,MATCH(A283,CRONOGRAMA!$A$5:$A$5679,0)),"Fuera EDT")))</f>
        <v/>
      </c>
      <c r="D283" s="16" t="str">
        <f aca="false">IF(C283="","",IFERROR(INDEX(MASTER!$B$19:$B$109,MATCH(C283,MASTER!$A$19:$A$109,0)),"Asignar fase"))</f>
        <v/>
      </c>
      <c r="E283" s="9"/>
      <c r="F283" s="9"/>
      <c r="G283" s="9"/>
      <c r="H283" s="56"/>
      <c r="I283" s="43"/>
      <c r="J283" s="43"/>
      <c r="K283" s="16" t="str">
        <f aca="false">IF(A283="","",COUNTIF(RESTRICCIONES!$B$5:$B$304,A283))</f>
        <v/>
      </c>
      <c r="L283" s="16" t="str">
        <f aca="false">IF(A283="","",COUNTIFS(RESTRICCIONES!$B$5:$B$304,A283,RESTRICCIONES!$L$5:$L$304,"Pendiente"))</f>
        <v/>
      </c>
      <c r="M283" s="18" t="str">
        <f aca="false">IF(A283="","",IF(L283=0,"LISTA","RESTRINGIDA"))</f>
        <v/>
      </c>
      <c r="N283" s="51" t="str">
        <f aca="false">IF(OR(A283="",H283=""),"",IFERROR(MIN(1,SUMIF(SEMANAL!$C$7:$C$506,A283,SEMANAL!$W$7:$W$506)/H283),0))</f>
        <v/>
      </c>
      <c r="O283" s="57"/>
      <c r="P283" s="57"/>
      <c r="Q283" s="57"/>
      <c r="R283" s="57"/>
      <c r="S283" s="57"/>
      <c r="T283" s="57"/>
      <c r="U283" s="9"/>
    </row>
    <row r="284" customFormat="false" ht="15" hidden="false" customHeight="false" outlineLevel="0" collapsed="false">
      <c r="A284" s="9"/>
      <c r="B284" s="9"/>
      <c r="C284" s="16" t="str">
        <f aca="false">IF(B284="","",IFERROR(INDEX(EDT!$E$5:$E$436,MATCH(B284,EDT!$H$5:$H$436,0)),IFERROR(INDEX(CRONOGRAMA!$G$5:$G$5679,MATCH(A284,CRONOGRAMA!$A$5:$A$5679,0)),"Fuera EDT")))</f>
        <v/>
      </c>
      <c r="D284" s="16" t="str">
        <f aca="false">IF(C284="","",IFERROR(INDEX(MASTER!$B$19:$B$109,MATCH(C284,MASTER!$A$19:$A$109,0)),"Asignar fase"))</f>
        <v/>
      </c>
      <c r="E284" s="9"/>
      <c r="F284" s="9"/>
      <c r="G284" s="9"/>
      <c r="H284" s="56"/>
      <c r="I284" s="43"/>
      <c r="J284" s="43"/>
      <c r="K284" s="16" t="str">
        <f aca="false">IF(A284="","",COUNTIF(RESTRICCIONES!$B$5:$B$304,A284))</f>
        <v/>
      </c>
      <c r="L284" s="16" t="str">
        <f aca="false">IF(A284="","",COUNTIFS(RESTRICCIONES!$B$5:$B$304,A284,RESTRICCIONES!$L$5:$L$304,"Pendiente"))</f>
        <v/>
      </c>
      <c r="M284" s="18" t="str">
        <f aca="false">IF(A284="","",IF(L284=0,"LISTA","RESTRINGIDA"))</f>
        <v/>
      </c>
      <c r="N284" s="51" t="str">
        <f aca="false">IF(OR(A284="",H284=""),"",IFERROR(MIN(1,SUMIF(SEMANAL!$C$7:$C$506,A284,SEMANAL!$W$7:$W$506)/H284),0))</f>
        <v/>
      </c>
      <c r="O284" s="57"/>
      <c r="P284" s="57"/>
      <c r="Q284" s="57"/>
      <c r="R284" s="57"/>
      <c r="S284" s="57"/>
      <c r="T284" s="57"/>
      <c r="U284" s="9"/>
    </row>
    <row r="285" customFormat="false" ht="15" hidden="false" customHeight="false" outlineLevel="0" collapsed="false">
      <c r="A285" s="9"/>
      <c r="B285" s="9"/>
      <c r="C285" s="16" t="str">
        <f aca="false">IF(B285="","",IFERROR(INDEX(EDT!$E$5:$E$436,MATCH(B285,EDT!$H$5:$H$436,0)),IFERROR(INDEX(CRONOGRAMA!$G$5:$G$5679,MATCH(A285,CRONOGRAMA!$A$5:$A$5679,0)),"Fuera EDT")))</f>
        <v/>
      </c>
      <c r="D285" s="16" t="str">
        <f aca="false">IF(C285="","",IFERROR(INDEX(MASTER!$B$19:$B$109,MATCH(C285,MASTER!$A$19:$A$109,0)),"Asignar fase"))</f>
        <v/>
      </c>
      <c r="E285" s="9"/>
      <c r="F285" s="9"/>
      <c r="G285" s="9"/>
      <c r="H285" s="56"/>
      <c r="I285" s="43"/>
      <c r="J285" s="43"/>
      <c r="K285" s="16" t="str">
        <f aca="false">IF(A285="","",COUNTIF(RESTRICCIONES!$B$5:$B$304,A285))</f>
        <v/>
      </c>
      <c r="L285" s="16" t="str">
        <f aca="false">IF(A285="","",COUNTIFS(RESTRICCIONES!$B$5:$B$304,A285,RESTRICCIONES!$L$5:$L$304,"Pendiente"))</f>
        <v/>
      </c>
      <c r="M285" s="18" t="str">
        <f aca="false">IF(A285="","",IF(L285=0,"LISTA","RESTRINGIDA"))</f>
        <v/>
      </c>
      <c r="N285" s="51" t="str">
        <f aca="false">IF(OR(A285="",H285=""),"",IFERROR(MIN(1,SUMIF(SEMANAL!$C$7:$C$506,A285,SEMANAL!$W$7:$W$506)/H285),0))</f>
        <v/>
      </c>
      <c r="O285" s="57"/>
      <c r="P285" s="57"/>
      <c r="Q285" s="57"/>
      <c r="R285" s="57"/>
      <c r="S285" s="57"/>
      <c r="T285" s="57"/>
      <c r="U285" s="9"/>
    </row>
    <row r="286" customFormat="false" ht="15" hidden="false" customHeight="false" outlineLevel="0" collapsed="false">
      <c r="A286" s="9"/>
      <c r="B286" s="9"/>
      <c r="C286" s="16" t="str">
        <f aca="false">IF(B286="","",IFERROR(INDEX(EDT!$E$5:$E$436,MATCH(B286,EDT!$H$5:$H$436,0)),IFERROR(INDEX(CRONOGRAMA!$G$5:$G$5679,MATCH(A286,CRONOGRAMA!$A$5:$A$5679,0)),"Fuera EDT")))</f>
        <v/>
      </c>
      <c r="D286" s="16" t="str">
        <f aca="false">IF(C286="","",IFERROR(INDEX(MASTER!$B$19:$B$109,MATCH(C286,MASTER!$A$19:$A$109,0)),"Asignar fase"))</f>
        <v/>
      </c>
      <c r="E286" s="9"/>
      <c r="F286" s="9"/>
      <c r="G286" s="9"/>
      <c r="H286" s="56"/>
      <c r="I286" s="43"/>
      <c r="J286" s="43"/>
      <c r="K286" s="16" t="str">
        <f aca="false">IF(A286="","",COUNTIF(RESTRICCIONES!$B$5:$B$304,A286))</f>
        <v/>
      </c>
      <c r="L286" s="16" t="str">
        <f aca="false">IF(A286="","",COUNTIFS(RESTRICCIONES!$B$5:$B$304,A286,RESTRICCIONES!$L$5:$L$304,"Pendiente"))</f>
        <v/>
      </c>
      <c r="M286" s="18" t="str">
        <f aca="false">IF(A286="","",IF(L286=0,"LISTA","RESTRINGIDA"))</f>
        <v/>
      </c>
      <c r="N286" s="51" t="str">
        <f aca="false">IF(OR(A286="",H286=""),"",IFERROR(MIN(1,SUMIF(SEMANAL!$C$7:$C$506,A286,SEMANAL!$W$7:$W$506)/H286),0))</f>
        <v/>
      </c>
      <c r="O286" s="57"/>
      <c r="P286" s="57"/>
      <c r="Q286" s="57"/>
      <c r="R286" s="57"/>
      <c r="S286" s="57"/>
      <c r="T286" s="57"/>
      <c r="U286" s="9"/>
    </row>
    <row r="287" customFormat="false" ht="15" hidden="false" customHeight="false" outlineLevel="0" collapsed="false">
      <c r="A287" s="9"/>
      <c r="B287" s="9"/>
      <c r="C287" s="16" t="str">
        <f aca="false">IF(B287="","",IFERROR(INDEX(EDT!$E$5:$E$436,MATCH(B287,EDT!$H$5:$H$436,0)),IFERROR(INDEX(CRONOGRAMA!$G$5:$G$5679,MATCH(A287,CRONOGRAMA!$A$5:$A$5679,0)),"Fuera EDT")))</f>
        <v/>
      </c>
      <c r="D287" s="16" t="str">
        <f aca="false">IF(C287="","",IFERROR(INDEX(MASTER!$B$19:$B$109,MATCH(C287,MASTER!$A$19:$A$109,0)),"Asignar fase"))</f>
        <v/>
      </c>
      <c r="E287" s="9"/>
      <c r="F287" s="9"/>
      <c r="G287" s="9"/>
      <c r="H287" s="56"/>
      <c r="I287" s="43"/>
      <c r="J287" s="43"/>
      <c r="K287" s="16" t="str">
        <f aca="false">IF(A287="","",COUNTIF(RESTRICCIONES!$B$5:$B$304,A287))</f>
        <v/>
      </c>
      <c r="L287" s="16" t="str">
        <f aca="false">IF(A287="","",COUNTIFS(RESTRICCIONES!$B$5:$B$304,A287,RESTRICCIONES!$L$5:$L$304,"Pendiente"))</f>
        <v/>
      </c>
      <c r="M287" s="18" t="str">
        <f aca="false">IF(A287="","",IF(L287=0,"LISTA","RESTRINGIDA"))</f>
        <v/>
      </c>
      <c r="N287" s="51" t="str">
        <f aca="false">IF(OR(A287="",H287=""),"",IFERROR(MIN(1,SUMIF(SEMANAL!$C$7:$C$506,A287,SEMANAL!$W$7:$W$506)/H287),0))</f>
        <v/>
      </c>
      <c r="O287" s="57"/>
      <c r="P287" s="57"/>
      <c r="Q287" s="57"/>
      <c r="R287" s="57"/>
      <c r="S287" s="57"/>
      <c r="T287" s="57"/>
      <c r="U287" s="9"/>
    </row>
    <row r="288" customFormat="false" ht="15" hidden="false" customHeight="false" outlineLevel="0" collapsed="false">
      <c r="A288" s="9"/>
      <c r="B288" s="9"/>
      <c r="C288" s="16" t="str">
        <f aca="false">IF(B288="","",IFERROR(INDEX(EDT!$E$5:$E$436,MATCH(B288,EDT!$H$5:$H$436,0)),IFERROR(INDEX(CRONOGRAMA!$G$5:$G$5679,MATCH(A288,CRONOGRAMA!$A$5:$A$5679,0)),"Fuera EDT")))</f>
        <v/>
      </c>
      <c r="D288" s="16" t="str">
        <f aca="false">IF(C288="","",IFERROR(INDEX(MASTER!$B$19:$B$109,MATCH(C288,MASTER!$A$19:$A$109,0)),"Asignar fase"))</f>
        <v/>
      </c>
      <c r="E288" s="9"/>
      <c r="F288" s="9"/>
      <c r="G288" s="9"/>
      <c r="H288" s="56"/>
      <c r="I288" s="43"/>
      <c r="J288" s="43"/>
      <c r="K288" s="16" t="str">
        <f aca="false">IF(A288="","",COUNTIF(RESTRICCIONES!$B$5:$B$304,A288))</f>
        <v/>
      </c>
      <c r="L288" s="16" t="str">
        <f aca="false">IF(A288="","",COUNTIFS(RESTRICCIONES!$B$5:$B$304,A288,RESTRICCIONES!$L$5:$L$304,"Pendiente"))</f>
        <v/>
      </c>
      <c r="M288" s="18" t="str">
        <f aca="false">IF(A288="","",IF(L288=0,"LISTA","RESTRINGIDA"))</f>
        <v/>
      </c>
      <c r="N288" s="51" t="str">
        <f aca="false">IF(OR(A288="",H288=""),"",IFERROR(MIN(1,SUMIF(SEMANAL!$C$7:$C$506,A288,SEMANAL!$W$7:$W$506)/H288),0))</f>
        <v/>
      </c>
      <c r="O288" s="57"/>
      <c r="P288" s="57"/>
      <c r="Q288" s="57"/>
      <c r="R288" s="57"/>
      <c r="S288" s="57"/>
      <c r="T288" s="57"/>
      <c r="U288" s="9"/>
    </row>
    <row r="289" customFormat="false" ht="15" hidden="false" customHeight="false" outlineLevel="0" collapsed="false">
      <c r="A289" s="9"/>
      <c r="B289" s="9"/>
      <c r="C289" s="16" t="str">
        <f aca="false">IF(B289="","",IFERROR(INDEX(EDT!$E$5:$E$436,MATCH(B289,EDT!$H$5:$H$436,0)),IFERROR(INDEX(CRONOGRAMA!$G$5:$G$5679,MATCH(A289,CRONOGRAMA!$A$5:$A$5679,0)),"Fuera EDT")))</f>
        <v/>
      </c>
      <c r="D289" s="16" t="str">
        <f aca="false">IF(C289="","",IFERROR(INDEX(MASTER!$B$19:$B$109,MATCH(C289,MASTER!$A$19:$A$109,0)),"Asignar fase"))</f>
        <v/>
      </c>
      <c r="E289" s="9"/>
      <c r="F289" s="9"/>
      <c r="G289" s="9"/>
      <c r="H289" s="56"/>
      <c r="I289" s="43"/>
      <c r="J289" s="43"/>
      <c r="K289" s="16" t="str">
        <f aca="false">IF(A289="","",COUNTIF(RESTRICCIONES!$B$5:$B$304,A289))</f>
        <v/>
      </c>
      <c r="L289" s="16" t="str">
        <f aca="false">IF(A289="","",COUNTIFS(RESTRICCIONES!$B$5:$B$304,A289,RESTRICCIONES!$L$5:$L$304,"Pendiente"))</f>
        <v/>
      </c>
      <c r="M289" s="18" t="str">
        <f aca="false">IF(A289="","",IF(L289=0,"LISTA","RESTRINGIDA"))</f>
        <v/>
      </c>
      <c r="N289" s="51" t="str">
        <f aca="false">IF(OR(A289="",H289=""),"",IFERROR(MIN(1,SUMIF(SEMANAL!$C$7:$C$506,A289,SEMANAL!$W$7:$W$506)/H289),0))</f>
        <v/>
      </c>
      <c r="O289" s="57"/>
      <c r="P289" s="57"/>
      <c r="Q289" s="57"/>
      <c r="R289" s="57"/>
      <c r="S289" s="57"/>
      <c r="T289" s="57"/>
      <c r="U289" s="9"/>
    </row>
    <row r="290" customFormat="false" ht="15" hidden="false" customHeight="false" outlineLevel="0" collapsed="false">
      <c r="A290" s="9"/>
      <c r="B290" s="9"/>
      <c r="C290" s="16" t="str">
        <f aca="false">IF(B290="","",IFERROR(INDEX(EDT!$E$5:$E$436,MATCH(B290,EDT!$H$5:$H$436,0)),IFERROR(INDEX(CRONOGRAMA!$G$5:$G$5679,MATCH(A290,CRONOGRAMA!$A$5:$A$5679,0)),"Fuera EDT")))</f>
        <v/>
      </c>
      <c r="D290" s="16" t="str">
        <f aca="false">IF(C290="","",IFERROR(INDEX(MASTER!$B$19:$B$109,MATCH(C290,MASTER!$A$19:$A$109,0)),"Asignar fase"))</f>
        <v/>
      </c>
      <c r="E290" s="9"/>
      <c r="F290" s="9"/>
      <c r="G290" s="9"/>
      <c r="H290" s="56"/>
      <c r="I290" s="43"/>
      <c r="J290" s="43"/>
      <c r="K290" s="16" t="str">
        <f aca="false">IF(A290="","",COUNTIF(RESTRICCIONES!$B$5:$B$304,A290))</f>
        <v/>
      </c>
      <c r="L290" s="16" t="str">
        <f aca="false">IF(A290="","",COUNTIFS(RESTRICCIONES!$B$5:$B$304,A290,RESTRICCIONES!$L$5:$L$304,"Pendiente"))</f>
        <v/>
      </c>
      <c r="M290" s="18" t="str">
        <f aca="false">IF(A290="","",IF(L290=0,"LISTA","RESTRINGIDA"))</f>
        <v/>
      </c>
      <c r="N290" s="51" t="str">
        <f aca="false">IF(OR(A290="",H290=""),"",IFERROR(MIN(1,SUMIF(SEMANAL!$C$7:$C$506,A290,SEMANAL!$W$7:$W$506)/H290),0))</f>
        <v/>
      </c>
      <c r="O290" s="57"/>
      <c r="P290" s="57"/>
      <c r="Q290" s="57"/>
      <c r="R290" s="57"/>
      <c r="S290" s="57"/>
      <c r="T290" s="57"/>
      <c r="U290" s="9"/>
    </row>
    <row r="291" customFormat="false" ht="15" hidden="false" customHeight="false" outlineLevel="0" collapsed="false">
      <c r="A291" s="9"/>
      <c r="B291" s="9"/>
      <c r="C291" s="16" t="str">
        <f aca="false">IF(B291="","",IFERROR(INDEX(EDT!$E$5:$E$436,MATCH(B291,EDT!$H$5:$H$436,0)),IFERROR(INDEX(CRONOGRAMA!$G$5:$G$5679,MATCH(A291,CRONOGRAMA!$A$5:$A$5679,0)),"Fuera EDT")))</f>
        <v/>
      </c>
      <c r="D291" s="16" t="str">
        <f aca="false">IF(C291="","",IFERROR(INDEX(MASTER!$B$19:$B$109,MATCH(C291,MASTER!$A$19:$A$109,0)),"Asignar fase"))</f>
        <v/>
      </c>
      <c r="E291" s="9"/>
      <c r="F291" s="9"/>
      <c r="G291" s="9"/>
      <c r="H291" s="56"/>
      <c r="I291" s="43"/>
      <c r="J291" s="43"/>
      <c r="K291" s="16" t="str">
        <f aca="false">IF(A291="","",COUNTIF(RESTRICCIONES!$B$5:$B$304,A291))</f>
        <v/>
      </c>
      <c r="L291" s="16" t="str">
        <f aca="false">IF(A291="","",COUNTIFS(RESTRICCIONES!$B$5:$B$304,A291,RESTRICCIONES!$L$5:$L$304,"Pendiente"))</f>
        <v/>
      </c>
      <c r="M291" s="18" t="str">
        <f aca="false">IF(A291="","",IF(L291=0,"LISTA","RESTRINGIDA"))</f>
        <v/>
      </c>
      <c r="N291" s="51" t="str">
        <f aca="false">IF(OR(A291="",H291=""),"",IFERROR(MIN(1,SUMIF(SEMANAL!$C$7:$C$506,A291,SEMANAL!$W$7:$W$506)/H291),0))</f>
        <v/>
      </c>
      <c r="O291" s="57"/>
      <c r="P291" s="57"/>
      <c r="Q291" s="57"/>
      <c r="R291" s="57"/>
      <c r="S291" s="57"/>
      <c r="T291" s="57"/>
      <c r="U291" s="9"/>
    </row>
    <row r="292" customFormat="false" ht="15" hidden="false" customHeight="false" outlineLevel="0" collapsed="false">
      <c r="A292" s="9"/>
      <c r="B292" s="9"/>
      <c r="C292" s="16" t="str">
        <f aca="false">IF(B292="","",IFERROR(INDEX(EDT!$E$5:$E$436,MATCH(B292,EDT!$H$5:$H$436,0)),IFERROR(INDEX(CRONOGRAMA!$G$5:$G$5679,MATCH(A292,CRONOGRAMA!$A$5:$A$5679,0)),"Fuera EDT")))</f>
        <v/>
      </c>
      <c r="D292" s="16" t="str">
        <f aca="false">IF(C292="","",IFERROR(INDEX(MASTER!$B$19:$B$109,MATCH(C292,MASTER!$A$19:$A$109,0)),"Asignar fase"))</f>
        <v/>
      </c>
      <c r="E292" s="9"/>
      <c r="F292" s="9"/>
      <c r="G292" s="9"/>
      <c r="H292" s="56"/>
      <c r="I292" s="43"/>
      <c r="J292" s="43"/>
      <c r="K292" s="16" t="str">
        <f aca="false">IF(A292="","",COUNTIF(RESTRICCIONES!$B$5:$B$304,A292))</f>
        <v/>
      </c>
      <c r="L292" s="16" t="str">
        <f aca="false">IF(A292="","",COUNTIFS(RESTRICCIONES!$B$5:$B$304,A292,RESTRICCIONES!$L$5:$L$304,"Pendiente"))</f>
        <v/>
      </c>
      <c r="M292" s="18" t="str">
        <f aca="false">IF(A292="","",IF(L292=0,"LISTA","RESTRINGIDA"))</f>
        <v/>
      </c>
      <c r="N292" s="51" t="str">
        <f aca="false">IF(OR(A292="",H292=""),"",IFERROR(MIN(1,SUMIF(SEMANAL!$C$7:$C$506,A292,SEMANAL!$W$7:$W$506)/H292),0))</f>
        <v/>
      </c>
      <c r="O292" s="57"/>
      <c r="P292" s="57"/>
      <c r="Q292" s="57"/>
      <c r="R292" s="57"/>
      <c r="S292" s="57"/>
      <c r="T292" s="57"/>
      <c r="U292" s="9"/>
    </row>
    <row r="293" customFormat="false" ht="15" hidden="false" customHeight="false" outlineLevel="0" collapsed="false">
      <c r="A293" s="9"/>
      <c r="B293" s="9"/>
      <c r="C293" s="16" t="str">
        <f aca="false">IF(B293="","",IFERROR(INDEX(EDT!$E$5:$E$436,MATCH(B293,EDT!$H$5:$H$436,0)),IFERROR(INDEX(CRONOGRAMA!$G$5:$G$5679,MATCH(A293,CRONOGRAMA!$A$5:$A$5679,0)),"Fuera EDT")))</f>
        <v/>
      </c>
      <c r="D293" s="16" t="str">
        <f aca="false">IF(C293="","",IFERROR(INDEX(MASTER!$B$19:$B$109,MATCH(C293,MASTER!$A$19:$A$109,0)),"Asignar fase"))</f>
        <v/>
      </c>
      <c r="E293" s="9"/>
      <c r="F293" s="9"/>
      <c r="G293" s="9"/>
      <c r="H293" s="56"/>
      <c r="I293" s="43"/>
      <c r="J293" s="43"/>
      <c r="K293" s="16" t="str">
        <f aca="false">IF(A293="","",COUNTIF(RESTRICCIONES!$B$5:$B$304,A293))</f>
        <v/>
      </c>
      <c r="L293" s="16" t="str">
        <f aca="false">IF(A293="","",COUNTIFS(RESTRICCIONES!$B$5:$B$304,A293,RESTRICCIONES!$L$5:$L$304,"Pendiente"))</f>
        <v/>
      </c>
      <c r="M293" s="18" t="str">
        <f aca="false">IF(A293="","",IF(L293=0,"LISTA","RESTRINGIDA"))</f>
        <v/>
      </c>
      <c r="N293" s="51" t="str">
        <f aca="false">IF(OR(A293="",H293=""),"",IFERROR(MIN(1,SUMIF(SEMANAL!$C$7:$C$506,A293,SEMANAL!$W$7:$W$506)/H293),0))</f>
        <v/>
      </c>
      <c r="O293" s="57"/>
      <c r="P293" s="57"/>
      <c r="Q293" s="57"/>
      <c r="R293" s="57"/>
      <c r="S293" s="57"/>
      <c r="T293" s="57"/>
      <c r="U293" s="9"/>
    </row>
    <row r="294" customFormat="false" ht="15" hidden="false" customHeight="false" outlineLevel="0" collapsed="false">
      <c r="A294" s="9"/>
      <c r="B294" s="9"/>
      <c r="C294" s="16" t="str">
        <f aca="false">IF(B294="","",IFERROR(INDEX(EDT!$E$5:$E$436,MATCH(B294,EDT!$H$5:$H$436,0)),IFERROR(INDEX(CRONOGRAMA!$G$5:$G$5679,MATCH(A294,CRONOGRAMA!$A$5:$A$5679,0)),"Fuera EDT")))</f>
        <v/>
      </c>
      <c r="D294" s="16" t="str">
        <f aca="false">IF(C294="","",IFERROR(INDEX(MASTER!$B$19:$B$109,MATCH(C294,MASTER!$A$19:$A$109,0)),"Asignar fase"))</f>
        <v/>
      </c>
      <c r="E294" s="9"/>
      <c r="F294" s="9"/>
      <c r="G294" s="9"/>
      <c r="H294" s="56"/>
      <c r="I294" s="43"/>
      <c r="J294" s="43"/>
      <c r="K294" s="16" t="str">
        <f aca="false">IF(A294="","",COUNTIF(RESTRICCIONES!$B$5:$B$304,A294))</f>
        <v/>
      </c>
      <c r="L294" s="16" t="str">
        <f aca="false">IF(A294="","",COUNTIFS(RESTRICCIONES!$B$5:$B$304,A294,RESTRICCIONES!$L$5:$L$304,"Pendiente"))</f>
        <v/>
      </c>
      <c r="M294" s="18" t="str">
        <f aca="false">IF(A294="","",IF(L294=0,"LISTA","RESTRINGIDA"))</f>
        <v/>
      </c>
      <c r="N294" s="51" t="str">
        <f aca="false">IF(OR(A294="",H294=""),"",IFERROR(MIN(1,SUMIF(SEMANAL!$C$7:$C$506,A294,SEMANAL!$W$7:$W$506)/H294),0))</f>
        <v/>
      </c>
      <c r="O294" s="57"/>
      <c r="P294" s="57"/>
      <c r="Q294" s="57"/>
      <c r="R294" s="57"/>
      <c r="S294" s="57"/>
      <c r="T294" s="57"/>
      <c r="U294" s="9"/>
    </row>
    <row r="295" customFormat="false" ht="15" hidden="false" customHeight="false" outlineLevel="0" collapsed="false">
      <c r="A295" s="9"/>
      <c r="B295" s="9"/>
      <c r="C295" s="16" t="str">
        <f aca="false">IF(B295="","",IFERROR(INDEX(EDT!$E$5:$E$436,MATCH(B295,EDT!$H$5:$H$436,0)),IFERROR(INDEX(CRONOGRAMA!$G$5:$G$5679,MATCH(A295,CRONOGRAMA!$A$5:$A$5679,0)),"Fuera EDT")))</f>
        <v/>
      </c>
      <c r="D295" s="16" t="str">
        <f aca="false">IF(C295="","",IFERROR(INDEX(MASTER!$B$19:$B$109,MATCH(C295,MASTER!$A$19:$A$109,0)),"Asignar fase"))</f>
        <v/>
      </c>
      <c r="E295" s="9"/>
      <c r="F295" s="9"/>
      <c r="G295" s="9"/>
      <c r="H295" s="56"/>
      <c r="I295" s="43"/>
      <c r="J295" s="43"/>
      <c r="K295" s="16" t="str">
        <f aca="false">IF(A295="","",COUNTIF(RESTRICCIONES!$B$5:$B$304,A295))</f>
        <v/>
      </c>
      <c r="L295" s="16" t="str">
        <f aca="false">IF(A295="","",COUNTIFS(RESTRICCIONES!$B$5:$B$304,A295,RESTRICCIONES!$L$5:$L$304,"Pendiente"))</f>
        <v/>
      </c>
      <c r="M295" s="18" t="str">
        <f aca="false">IF(A295="","",IF(L295=0,"LISTA","RESTRINGIDA"))</f>
        <v/>
      </c>
      <c r="N295" s="51" t="str">
        <f aca="false">IF(OR(A295="",H295=""),"",IFERROR(MIN(1,SUMIF(SEMANAL!$C$7:$C$506,A295,SEMANAL!$W$7:$W$506)/H295),0))</f>
        <v/>
      </c>
      <c r="O295" s="57"/>
      <c r="P295" s="57"/>
      <c r="Q295" s="57"/>
      <c r="R295" s="57"/>
      <c r="S295" s="57"/>
      <c r="T295" s="57"/>
      <c r="U295" s="9"/>
    </row>
    <row r="296" customFormat="false" ht="15" hidden="false" customHeight="false" outlineLevel="0" collapsed="false">
      <c r="A296" s="9"/>
      <c r="B296" s="9"/>
      <c r="C296" s="16" t="str">
        <f aca="false">IF(B296="","",IFERROR(INDEX(EDT!$E$5:$E$436,MATCH(B296,EDT!$H$5:$H$436,0)),IFERROR(INDEX(CRONOGRAMA!$G$5:$G$5679,MATCH(A296,CRONOGRAMA!$A$5:$A$5679,0)),"Fuera EDT")))</f>
        <v/>
      </c>
      <c r="D296" s="16" t="str">
        <f aca="false">IF(C296="","",IFERROR(INDEX(MASTER!$B$19:$B$109,MATCH(C296,MASTER!$A$19:$A$109,0)),"Asignar fase"))</f>
        <v/>
      </c>
      <c r="E296" s="9"/>
      <c r="F296" s="9"/>
      <c r="G296" s="9"/>
      <c r="H296" s="56"/>
      <c r="I296" s="43"/>
      <c r="J296" s="43"/>
      <c r="K296" s="16" t="str">
        <f aca="false">IF(A296="","",COUNTIF(RESTRICCIONES!$B$5:$B$304,A296))</f>
        <v/>
      </c>
      <c r="L296" s="16" t="str">
        <f aca="false">IF(A296="","",COUNTIFS(RESTRICCIONES!$B$5:$B$304,A296,RESTRICCIONES!$L$5:$L$304,"Pendiente"))</f>
        <v/>
      </c>
      <c r="M296" s="18" t="str">
        <f aca="false">IF(A296="","",IF(L296=0,"LISTA","RESTRINGIDA"))</f>
        <v/>
      </c>
      <c r="N296" s="51" t="str">
        <f aca="false">IF(OR(A296="",H296=""),"",IFERROR(MIN(1,SUMIF(SEMANAL!$C$7:$C$506,A296,SEMANAL!$W$7:$W$506)/H296),0))</f>
        <v/>
      </c>
      <c r="O296" s="57"/>
      <c r="P296" s="57"/>
      <c r="Q296" s="57"/>
      <c r="R296" s="57"/>
      <c r="S296" s="57"/>
      <c r="T296" s="57"/>
      <c r="U296" s="9"/>
    </row>
    <row r="297" customFormat="false" ht="15" hidden="false" customHeight="false" outlineLevel="0" collapsed="false">
      <c r="A297" s="9"/>
      <c r="B297" s="9"/>
      <c r="C297" s="16" t="str">
        <f aca="false">IF(B297="","",IFERROR(INDEX(EDT!$E$5:$E$436,MATCH(B297,EDT!$H$5:$H$436,0)),IFERROR(INDEX(CRONOGRAMA!$G$5:$G$5679,MATCH(A297,CRONOGRAMA!$A$5:$A$5679,0)),"Fuera EDT")))</f>
        <v/>
      </c>
      <c r="D297" s="16" t="str">
        <f aca="false">IF(C297="","",IFERROR(INDEX(MASTER!$B$19:$B$109,MATCH(C297,MASTER!$A$19:$A$109,0)),"Asignar fase"))</f>
        <v/>
      </c>
      <c r="E297" s="9"/>
      <c r="F297" s="9"/>
      <c r="G297" s="9"/>
      <c r="H297" s="56"/>
      <c r="I297" s="43"/>
      <c r="J297" s="43"/>
      <c r="K297" s="16" t="str">
        <f aca="false">IF(A297="","",COUNTIF(RESTRICCIONES!$B$5:$B$304,A297))</f>
        <v/>
      </c>
      <c r="L297" s="16" t="str">
        <f aca="false">IF(A297="","",COUNTIFS(RESTRICCIONES!$B$5:$B$304,A297,RESTRICCIONES!$L$5:$L$304,"Pendiente"))</f>
        <v/>
      </c>
      <c r="M297" s="18" t="str">
        <f aca="false">IF(A297="","",IF(L297=0,"LISTA","RESTRINGIDA"))</f>
        <v/>
      </c>
      <c r="N297" s="51" t="str">
        <f aca="false">IF(OR(A297="",H297=""),"",IFERROR(MIN(1,SUMIF(SEMANAL!$C$7:$C$506,A297,SEMANAL!$W$7:$W$506)/H297),0))</f>
        <v/>
      </c>
      <c r="O297" s="57"/>
      <c r="P297" s="57"/>
      <c r="Q297" s="57"/>
      <c r="R297" s="57"/>
      <c r="S297" s="57"/>
      <c r="T297" s="57"/>
      <c r="U297" s="9"/>
    </row>
    <row r="298" customFormat="false" ht="15" hidden="false" customHeight="false" outlineLevel="0" collapsed="false">
      <c r="A298" s="9"/>
      <c r="B298" s="9"/>
      <c r="C298" s="16" t="str">
        <f aca="false">IF(B298="","",IFERROR(INDEX(EDT!$E$5:$E$436,MATCH(B298,EDT!$H$5:$H$436,0)),IFERROR(INDEX(CRONOGRAMA!$G$5:$G$5679,MATCH(A298,CRONOGRAMA!$A$5:$A$5679,0)),"Fuera EDT")))</f>
        <v/>
      </c>
      <c r="D298" s="16" t="str">
        <f aca="false">IF(C298="","",IFERROR(INDEX(MASTER!$B$19:$B$109,MATCH(C298,MASTER!$A$19:$A$109,0)),"Asignar fase"))</f>
        <v/>
      </c>
      <c r="E298" s="9"/>
      <c r="F298" s="9"/>
      <c r="G298" s="9"/>
      <c r="H298" s="56"/>
      <c r="I298" s="43"/>
      <c r="J298" s="43"/>
      <c r="K298" s="16" t="str">
        <f aca="false">IF(A298="","",COUNTIF(RESTRICCIONES!$B$5:$B$304,A298))</f>
        <v/>
      </c>
      <c r="L298" s="16" t="str">
        <f aca="false">IF(A298="","",COUNTIFS(RESTRICCIONES!$B$5:$B$304,A298,RESTRICCIONES!$L$5:$L$304,"Pendiente"))</f>
        <v/>
      </c>
      <c r="M298" s="18" t="str">
        <f aca="false">IF(A298="","",IF(L298=0,"LISTA","RESTRINGIDA"))</f>
        <v/>
      </c>
      <c r="N298" s="51" t="str">
        <f aca="false">IF(OR(A298="",H298=""),"",IFERROR(MIN(1,SUMIF(SEMANAL!$C$7:$C$506,A298,SEMANAL!$W$7:$W$506)/H298),0))</f>
        <v/>
      </c>
      <c r="O298" s="57"/>
      <c r="P298" s="57"/>
      <c r="Q298" s="57"/>
      <c r="R298" s="57"/>
      <c r="S298" s="57"/>
      <c r="T298" s="57"/>
      <c r="U298" s="9"/>
    </row>
    <row r="299" customFormat="false" ht="15" hidden="false" customHeight="false" outlineLevel="0" collapsed="false">
      <c r="A299" s="9"/>
      <c r="B299" s="9"/>
      <c r="C299" s="16" t="str">
        <f aca="false">IF(B299="","",IFERROR(INDEX(EDT!$E$5:$E$436,MATCH(B299,EDT!$H$5:$H$436,0)),IFERROR(INDEX(CRONOGRAMA!$G$5:$G$5679,MATCH(A299,CRONOGRAMA!$A$5:$A$5679,0)),"Fuera EDT")))</f>
        <v/>
      </c>
      <c r="D299" s="16" t="str">
        <f aca="false">IF(C299="","",IFERROR(INDEX(MASTER!$B$19:$B$109,MATCH(C299,MASTER!$A$19:$A$109,0)),"Asignar fase"))</f>
        <v/>
      </c>
      <c r="E299" s="9"/>
      <c r="F299" s="9"/>
      <c r="G299" s="9"/>
      <c r="H299" s="56"/>
      <c r="I299" s="43"/>
      <c r="J299" s="43"/>
      <c r="K299" s="16" t="str">
        <f aca="false">IF(A299="","",COUNTIF(RESTRICCIONES!$B$5:$B$304,A299))</f>
        <v/>
      </c>
      <c r="L299" s="16" t="str">
        <f aca="false">IF(A299="","",COUNTIFS(RESTRICCIONES!$B$5:$B$304,A299,RESTRICCIONES!$L$5:$L$304,"Pendiente"))</f>
        <v/>
      </c>
      <c r="M299" s="18" t="str">
        <f aca="false">IF(A299="","",IF(L299=0,"LISTA","RESTRINGIDA"))</f>
        <v/>
      </c>
      <c r="N299" s="51" t="str">
        <f aca="false">IF(OR(A299="",H299=""),"",IFERROR(MIN(1,SUMIF(SEMANAL!$C$7:$C$506,A299,SEMANAL!$W$7:$W$506)/H299),0))</f>
        <v/>
      </c>
      <c r="O299" s="57"/>
      <c r="P299" s="57"/>
      <c r="Q299" s="57"/>
      <c r="R299" s="57"/>
      <c r="S299" s="57"/>
      <c r="T299" s="57"/>
      <c r="U299" s="9"/>
    </row>
    <row r="300" customFormat="false" ht="15" hidden="false" customHeight="false" outlineLevel="0" collapsed="false">
      <c r="A300" s="9"/>
      <c r="B300" s="9"/>
      <c r="C300" s="16" t="str">
        <f aca="false">IF(B300="","",IFERROR(INDEX(EDT!$E$5:$E$436,MATCH(B300,EDT!$H$5:$H$436,0)),IFERROR(INDEX(CRONOGRAMA!$G$5:$G$5679,MATCH(A300,CRONOGRAMA!$A$5:$A$5679,0)),"Fuera EDT")))</f>
        <v/>
      </c>
      <c r="D300" s="16" t="str">
        <f aca="false">IF(C300="","",IFERROR(INDEX(MASTER!$B$19:$B$109,MATCH(C300,MASTER!$A$19:$A$109,0)),"Asignar fase"))</f>
        <v/>
      </c>
      <c r="E300" s="9"/>
      <c r="F300" s="9"/>
      <c r="G300" s="9"/>
      <c r="H300" s="56"/>
      <c r="I300" s="43"/>
      <c r="J300" s="43"/>
      <c r="K300" s="16" t="str">
        <f aca="false">IF(A300="","",COUNTIF(RESTRICCIONES!$B$5:$B$304,A300))</f>
        <v/>
      </c>
      <c r="L300" s="16" t="str">
        <f aca="false">IF(A300="","",COUNTIFS(RESTRICCIONES!$B$5:$B$304,A300,RESTRICCIONES!$L$5:$L$304,"Pendiente"))</f>
        <v/>
      </c>
      <c r="M300" s="18" t="str">
        <f aca="false">IF(A300="","",IF(L300=0,"LISTA","RESTRINGIDA"))</f>
        <v/>
      </c>
      <c r="N300" s="51" t="str">
        <f aca="false">IF(OR(A300="",H300=""),"",IFERROR(MIN(1,SUMIF(SEMANAL!$C$7:$C$506,A300,SEMANAL!$W$7:$W$506)/H300),0))</f>
        <v/>
      </c>
      <c r="O300" s="57"/>
      <c r="P300" s="57"/>
      <c r="Q300" s="57"/>
      <c r="R300" s="57"/>
      <c r="S300" s="57"/>
      <c r="T300" s="57"/>
      <c r="U300" s="9"/>
    </row>
    <row r="301" customFormat="false" ht="15" hidden="false" customHeight="false" outlineLevel="0" collapsed="false">
      <c r="A301" s="9"/>
      <c r="B301" s="9"/>
      <c r="C301" s="16" t="str">
        <f aca="false">IF(B301="","",IFERROR(INDEX(EDT!$E$5:$E$436,MATCH(B301,EDT!$H$5:$H$436,0)),IFERROR(INDEX(CRONOGRAMA!$G$5:$G$5679,MATCH(A301,CRONOGRAMA!$A$5:$A$5679,0)),"Fuera EDT")))</f>
        <v/>
      </c>
      <c r="D301" s="16" t="str">
        <f aca="false">IF(C301="","",IFERROR(INDEX(MASTER!$B$19:$B$109,MATCH(C301,MASTER!$A$19:$A$109,0)),"Asignar fase"))</f>
        <v/>
      </c>
      <c r="E301" s="9"/>
      <c r="F301" s="9"/>
      <c r="G301" s="9"/>
      <c r="H301" s="56"/>
      <c r="I301" s="43"/>
      <c r="J301" s="43"/>
      <c r="K301" s="16" t="str">
        <f aca="false">IF(A301="","",COUNTIF(RESTRICCIONES!$B$5:$B$304,A301))</f>
        <v/>
      </c>
      <c r="L301" s="16" t="str">
        <f aca="false">IF(A301="","",COUNTIFS(RESTRICCIONES!$B$5:$B$304,A301,RESTRICCIONES!$L$5:$L$304,"Pendiente"))</f>
        <v/>
      </c>
      <c r="M301" s="18" t="str">
        <f aca="false">IF(A301="","",IF(L301=0,"LISTA","RESTRINGIDA"))</f>
        <v/>
      </c>
      <c r="N301" s="51" t="str">
        <f aca="false">IF(OR(A301="",H301=""),"",IFERROR(MIN(1,SUMIF(SEMANAL!$C$7:$C$506,A301,SEMANAL!$W$7:$W$506)/H301),0))</f>
        <v/>
      </c>
      <c r="O301" s="57"/>
      <c r="P301" s="57"/>
      <c r="Q301" s="57"/>
      <c r="R301" s="57"/>
      <c r="S301" s="57"/>
      <c r="T301" s="57"/>
      <c r="U301" s="9"/>
    </row>
    <row r="302" customFormat="false" ht="15" hidden="false" customHeight="false" outlineLevel="0" collapsed="false">
      <c r="A302" s="9"/>
      <c r="B302" s="9"/>
      <c r="C302" s="16" t="str">
        <f aca="false">IF(B302="","",IFERROR(INDEX(EDT!$E$5:$E$436,MATCH(B302,EDT!$H$5:$H$436,0)),IFERROR(INDEX(CRONOGRAMA!$G$5:$G$5679,MATCH(A302,CRONOGRAMA!$A$5:$A$5679,0)),"Fuera EDT")))</f>
        <v/>
      </c>
      <c r="D302" s="16" t="str">
        <f aca="false">IF(C302="","",IFERROR(INDEX(MASTER!$B$19:$B$109,MATCH(C302,MASTER!$A$19:$A$109,0)),"Asignar fase"))</f>
        <v/>
      </c>
      <c r="E302" s="9"/>
      <c r="F302" s="9"/>
      <c r="G302" s="9"/>
      <c r="H302" s="56"/>
      <c r="I302" s="43"/>
      <c r="J302" s="43"/>
      <c r="K302" s="16" t="str">
        <f aca="false">IF(A302="","",COUNTIF(RESTRICCIONES!$B$5:$B$304,A302))</f>
        <v/>
      </c>
      <c r="L302" s="16" t="str">
        <f aca="false">IF(A302="","",COUNTIFS(RESTRICCIONES!$B$5:$B$304,A302,RESTRICCIONES!$L$5:$L$304,"Pendiente"))</f>
        <v/>
      </c>
      <c r="M302" s="18" t="str">
        <f aca="false">IF(A302="","",IF(L302=0,"LISTA","RESTRINGIDA"))</f>
        <v/>
      </c>
      <c r="N302" s="51" t="str">
        <f aca="false">IF(OR(A302="",H302=""),"",IFERROR(MIN(1,SUMIF(SEMANAL!$C$7:$C$506,A302,SEMANAL!$W$7:$W$506)/H302),0))</f>
        <v/>
      </c>
      <c r="O302" s="57"/>
      <c r="P302" s="57"/>
      <c r="Q302" s="57"/>
      <c r="R302" s="57"/>
      <c r="S302" s="57"/>
      <c r="T302" s="57"/>
      <c r="U302" s="9"/>
    </row>
    <row r="303" customFormat="false" ht="15" hidden="false" customHeight="false" outlineLevel="0" collapsed="false">
      <c r="A303" s="9"/>
      <c r="B303" s="9"/>
      <c r="C303" s="16" t="str">
        <f aca="false">IF(B303="","",IFERROR(INDEX(EDT!$E$5:$E$436,MATCH(B303,EDT!$H$5:$H$436,0)),IFERROR(INDEX(CRONOGRAMA!$G$5:$G$5679,MATCH(A303,CRONOGRAMA!$A$5:$A$5679,0)),"Fuera EDT")))</f>
        <v/>
      </c>
      <c r="D303" s="16" t="str">
        <f aca="false">IF(C303="","",IFERROR(INDEX(MASTER!$B$19:$B$109,MATCH(C303,MASTER!$A$19:$A$109,0)),"Asignar fase"))</f>
        <v/>
      </c>
      <c r="E303" s="9"/>
      <c r="F303" s="9"/>
      <c r="G303" s="9"/>
      <c r="H303" s="56"/>
      <c r="I303" s="43"/>
      <c r="J303" s="43"/>
      <c r="K303" s="16" t="str">
        <f aca="false">IF(A303="","",COUNTIF(RESTRICCIONES!$B$5:$B$304,A303))</f>
        <v/>
      </c>
      <c r="L303" s="16" t="str">
        <f aca="false">IF(A303="","",COUNTIFS(RESTRICCIONES!$B$5:$B$304,A303,RESTRICCIONES!$L$5:$L$304,"Pendiente"))</f>
        <v/>
      </c>
      <c r="M303" s="18" t="str">
        <f aca="false">IF(A303="","",IF(L303=0,"LISTA","RESTRINGIDA"))</f>
        <v/>
      </c>
      <c r="N303" s="51" t="str">
        <f aca="false">IF(OR(A303="",H303=""),"",IFERROR(MIN(1,SUMIF(SEMANAL!$C$7:$C$506,A303,SEMANAL!$W$7:$W$506)/H303),0))</f>
        <v/>
      </c>
      <c r="O303" s="57"/>
      <c r="P303" s="57"/>
      <c r="Q303" s="57"/>
      <c r="R303" s="57"/>
      <c r="S303" s="57"/>
      <c r="T303" s="57"/>
      <c r="U303" s="9"/>
    </row>
    <row r="304" customFormat="false" ht="15" hidden="false" customHeight="false" outlineLevel="0" collapsed="false">
      <c r="A304" s="9"/>
      <c r="B304" s="9"/>
      <c r="C304" s="16" t="str">
        <f aca="false">IF(B304="","",IFERROR(INDEX(EDT!$E$5:$E$436,MATCH(B304,EDT!$H$5:$H$436,0)),IFERROR(INDEX(CRONOGRAMA!$G$5:$G$5679,MATCH(A304,CRONOGRAMA!$A$5:$A$5679,0)),"Fuera EDT")))</f>
        <v/>
      </c>
      <c r="D304" s="16" t="str">
        <f aca="false">IF(C304="","",IFERROR(INDEX(MASTER!$B$19:$B$109,MATCH(C304,MASTER!$A$19:$A$109,0)),"Asignar fase"))</f>
        <v/>
      </c>
      <c r="E304" s="9"/>
      <c r="F304" s="9"/>
      <c r="G304" s="9"/>
      <c r="H304" s="56"/>
      <c r="I304" s="43"/>
      <c r="J304" s="43"/>
      <c r="K304" s="16" t="str">
        <f aca="false">IF(A304="","",COUNTIF(RESTRICCIONES!$B$5:$B$304,A304))</f>
        <v/>
      </c>
      <c r="L304" s="16" t="str">
        <f aca="false">IF(A304="","",COUNTIFS(RESTRICCIONES!$B$5:$B$304,A304,RESTRICCIONES!$L$5:$L$304,"Pendiente"))</f>
        <v/>
      </c>
      <c r="M304" s="18" t="str">
        <f aca="false">IF(A304="","",IF(L304=0,"LISTA","RESTRINGIDA"))</f>
        <v/>
      </c>
      <c r="N304" s="51" t="str">
        <f aca="false">IF(OR(A304="",H304=""),"",IFERROR(MIN(1,SUMIF(SEMANAL!$C$7:$C$506,A304,SEMANAL!$W$7:$W$506)/H304),0))</f>
        <v/>
      </c>
      <c r="O304" s="57"/>
      <c r="P304" s="57"/>
      <c r="Q304" s="57"/>
      <c r="R304" s="57"/>
      <c r="S304" s="57"/>
      <c r="T304" s="57"/>
      <c r="U304" s="9"/>
    </row>
    <row r="305" customFormat="false" ht="15" hidden="false" customHeight="false" outlineLevel="0" collapsed="false">
      <c r="A305" s="9"/>
      <c r="B305" s="9"/>
      <c r="C305" s="16" t="str">
        <f aca="false">IF(B305="","",IFERROR(INDEX(EDT!$E$5:$E$436,MATCH(B305,EDT!$H$5:$H$436,0)),IFERROR(INDEX(CRONOGRAMA!$G$5:$G$5679,MATCH(A305,CRONOGRAMA!$A$5:$A$5679,0)),"Fuera EDT")))</f>
        <v/>
      </c>
      <c r="D305" s="16" t="str">
        <f aca="false">IF(C305="","",IFERROR(INDEX(MASTER!$B$19:$B$109,MATCH(C305,MASTER!$A$19:$A$109,0)),"Asignar fase"))</f>
        <v/>
      </c>
      <c r="E305" s="9"/>
      <c r="F305" s="9"/>
      <c r="G305" s="9"/>
      <c r="H305" s="56"/>
      <c r="I305" s="43"/>
      <c r="J305" s="43"/>
      <c r="K305" s="16" t="str">
        <f aca="false">IF(A305="","",COUNTIF(RESTRICCIONES!$B$5:$B$304,A305))</f>
        <v/>
      </c>
      <c r="L305" s="16" t="str">
        <f aca="false">IF(A305="","",COUNTIFS(RESTRICCIONES!$B$5:$B$304,A305,RESTRICCIONES!$L$5:$L$304,"Pendiente"))</f>
        <v/>
      </c>
      <c r="M305" s="18" t="str">
        <f aca="false">IF(A305="","",IF(L305=0,"LISTA","RESTRINGIDA"))</f>
        <v/>
      </c>
      <c r="N305" s="51" t="str">
        <f aca="false">IF(OR(A305="",H305=""),"",IFERROR(MIN(1,SUMIF(SEMANAL!$C$7:$C$506,A305,SEMANAL!$W$7:$W$506)/H305),0))</f>
        <v/>
      </c>
      <c r="O305" s="57"/>
      <c r="P305" s="57"/>
      <c r="Q305" s="57"/>
      <c r="R305" s="57"/>
      <c r="S305" s="57"/>
      <c r="T305" s="57"/>
      <c r="U305" s="9"/>
    </row>
    <row r="306" customFormat="false" ht="15" hidden="false" customHeight="false" outlineLevel="0" collapsed="false">
      <c r="A306" s="9"/>
      <c r="B306" s="9"/>
      <c r="C306" s="16" t="str">
        <f aca="false">IF(B306="","",IFERROR(INDEX(EDT!$E$5:$E$436,MATCH(B306,EDT!$H$5:$H$436,0)),IFERROR(INDEX(CRONOGRAMA!$G$5:$G$5679,MATCH(A306,CRONOGRAMA!$A$5:$A$5679,0)),"Fuera EDT")))</f>
        <v/>
      </c>
      <c r="D306" s="16" t="str">
        <f aca="false">IF(C306="","",IFERROR(INDEX(MASTER!$B$19:$B$109,MATCH(C306,MASTER!$A$19:$A$109,0)),"Asignar fase"))</f>
        <v/>
      </c>
      <c r="E306" s="9"/>
      <c r="F306" s="9"/>
      <c r="G306" s="9"/>
      <c r="H306" s="56"/>
      <c r="I306" s="43"/>
      <c r="J306" s="43"/>
      <c r="K306" s="16" t="str">
        <f aca="false">IF(A306="","",COUNTIF(RESTRICCIONES!$B$5:$B$304,A306))</f>
        <v/>
      </c>
      <c r="L306" s="16" t="str">
        <f aca="false">IF(A306="","",COUNTIFS(RESTRICCIONES!$B$5:$B$304,A306,RESTRICCIONES!$L$5:$L$304,"Pendiente"))</f>
        <v/>
      </c>
      <c r="M306" s="18" t="str">
        <f aca="false">IF(A306="","",IF(L306=0,"LISTA","RESTRINGIDA"))</f>
        <v/>
      </c>
      <c r="N306" s="51" t="str">
        <f aca="false">IF(OR(A306="",H306=""),"",IFERROR(MIN(1,SUMIF(SEMANAL!$C$7:$C$506,A306,SEMANAL!$W$7:$W$506)/H306),0))</f>
        <v/>
      </c>
      <c r="O306" s="57"/>
      <c r="P306" s="57"/>
      <c r="Q306" s="57"/>
      <c r="R306" s="57"/>
      <c r="S306" s="57"/>
      <c r="T306" s="57"/>
      <c r="U306" s="9"/>
    </row>
    <row r="307" customFormat="false" ht="15" hidden="false" customHeight="false" outlineLevel="0" collapsed="false">
      <c r="A307" s="9"/>
      <c r="B307" s="9"/>
      <c r="C307" s="16" t="str">
        <f aca="false">IF(B307="","",IFERROR(INDEX(EDT!$E$5:$E$436,MATCH(B307,EDT!$H$5:$H$436,0)),IFERROR(INDEX(CRONOGRAMA!$G$5:$G$5679,MATCH(A307,CRONOGRAMA!$A$5:$A$5679,0)),"Fuera EDT")))</f>
        <v/>
      </c>
      <c r="D307" s="16" t="str">
        <f aca="false">IF(C307="","",IFERROR(INDEX(MASTER!$B$19:$B$109,MATCH(C307,MASTER!$A$19:$A$109,0)),"Asignar fase"))</f>
        <v/>
      </c>
      <c r="E307" s="9"/>
      <c r="F307" s="9"/>
      <c r="G307" s="9"/>
      <c r="H307" s="56"/>
      <c r="I307" s="43"/>
      <c r="J307" s="43"/>
      <c r="K307" s="16" t="str">
        <f aca="false">IF(A307="","",COUNTIF(RESTRICCIONES!$B$5:$B$304,A307))</f>
        <v/>
      </c>
      <c r="L307" s="16" t="str">
        <f aca="false">IF(A307="","",COUNTIFS(RESTRICCIONES!$B$5:$B$304,A307,RESTRICCIONES!$L$5:$L$304,"Pendiente"))</f>
        <v/>
      </c>
      <c r="M307" s="18" t="str">
        <f aca="false">IF(A307="","",IF(L307=0,"LISTA","RESTRINGIDA"))</f>
        <v/>
      </c>
      <c r="N307" s="51" t="str">
        <f aca="false">IF(OR(A307="",H307=""),"",IFERROR(MIN(1,SUMIF(SEMANAL!$C$7:$C$506,A307,SEMANAL!$W$7:$W$506)/H307),0))</f>
        <v/>
      </c>
      <c r="O307" s="57"/>
      <c r="P307" s="57"/>
      <c r="Q307" s="57"/>
      <c r="R307" s="57"/>
      <c r="S307" s="57"/>
      <c r="T307" s="57"/>
      <c r="U307" s="9"/>
    </row>
    <row r="308" customFormat="false" ht="15" hidden="false" customHeight="false" outlineLevel="0" collapsed="false">
      <c r="A308" s="9"/>
      <c r="B308" s="9"/>
      <c r="C308" s="16" t="str">
        <f aca="false">IF(B308="","",IFERROR(INDEX(EDT!$E$5:$E$436,MATCH(B308,EDT!$H$5:$H$436,0)),IFERROR(INDEX(CRONOGRAMA!$G$5:$G$5679,MATCH(A308,CRONOGRAMA!$A$5:$A$5679,0)),"Fuera EDT")))</f>
        <v/>
      </c>
      <c r="D308" s="16" t="str">
        <f aca="false">IF(C308="","",IFERROR(INDEX(MASTER!$B$19:$B$109,MATCH(C308,MASTER!$A$19:$A$109,0)),"Asignar fase"))</f>
        <v/>
      </c>
      <c r="E308" s="9"/>
      <c r="F308" s="9"/>
      <c r="G308" s="9"/>
      <c r="H308" s="56"/>
      <c r="I308" s="43"/>
      <c r="J308" s="43"/>
      <c r="K308" s="16" t="str">
        <f aca="false">IF(A308="","",COUNTIF(RESTRICCIONES!$B$5:$B$304,A308))</f>
        <v/>
      </c>
      <c r="L308" s="16" t="str">
        <f aca="false">IF(A308="","",COUNTIFS(RESTRICCIONES!$B$5:$B$304,A308,RESTRICCIONES!$L$5:$L$304,"Pendiente"))</f>
        <v/>
      </c>
      <c r="M308" s="18" t="str">
        <f aca="false">IF(A308="","",IF(L308=0,"LISTA","RESTRINGIDA"))</f>
        <v/>
      </c>
      <c r="N308" s="51" t="str">
        <f aca="false">IF(OR(A308="",H308=""),"",IFERROR(MIN(1,SUMIF(SEMANAL!$C$7:$C$506,A308,SEMANAL!$W$7:$W$506)/H308),0))</f>
        <v/>
      </c>
      <c r="O308" s="57"/>
      <c r="P308" s="57"/>
      <c r="Q308" s="57"/>
      <c r="R308" s="57"/>
      <c r="S308" s="57"/>
      <c r="T308" s="57"/>
      <c r="U308" s="9"/>
    </row>
    <row r="309" customFormat="false" ht="15" hidden="false" customHeight="false" outlineLevel="0" collapsed="false">
      <c r="A309" s="9"/>
      <c r="B309" s="9"/>
      <c r="C309" s="16" t="str">
        <f aca="false">IF(B309="","",IFERROR(INDEX(EDT!$E$5:$E$436,MATCH(B309,EDT!$H$5:$H$436,0)),IFERROR(INDEX(CRONOGRAMA!$G$5:$G$5679,MATCH(A309,CRONOGRAMA!$A$5:$A$5679,0)),"Fuera EDT")))</f>
        <v/>
      </c>
      <c r="D309" s="16" t="str">
        <f aca="false">IF(C309="","",IFERROR(INDEX(MASTER!$B$19:$B$109,MATCH(C309,MASTER!$A$19:$A$109,0)),"Asignar fase"))</f>
        <v/>
      </c>
      <c r="E309" s="9"/>
      <c r="F309" s="9"/>
      <c r="G309" s="9"/>
      <c r="H309" s="56"/>
      <c r="I309" s="43"/>
      <c r="J309" s="43"/>
      <c r="K309" s="16" t="str">
        <f aca="false">IF(A309="","",COUNTIF(RESTRICCIONES!$B$5:$B$304,A309))</f>
        <v/>
      </c>
      <c r="L309" s="16" t="str">
        <f aca="false">IF(A309="","",COUNTIFS(RESTRICCIONES!$B$5:$B$304,A309,RESTRICCIONES!$L$5:$L$304,"Pendiente"))</f>
        <v/>
      </c>
      <c r="M309" s="18" t="str">
        <f aca="false">IF(A309="","",IF(L309=0,"LISTA","RESTRINGIDA"))</f>
        <v/>
      </c>
      <c r="N309" s="51" t="str">
        <f aca="false">IF(OR(A309="",H309=""),"",IFERROR(MIN(1,SUMIF(SEMANAL!$C$7:$C$506,A309,SEMANAL!$W$7:$W$506)/H309),0))</f>
        <v/>
      </c>
      <c r="O309" s="57"/>
      <c r="P309" s="57"/>
      <c r="Q309" s="57"/>
      <c r="R309" s="57"/>
      <c r="S309" s="57"/>
      <c r="T309" s="57"/>
      <c r="U309" s="9"/>
    </row>
    <row r="310" customFormat="false" ht="15" hidden="false" customHeight="false" outlineLevel="0" collapsed="false">
      <c r="A310" s="9"/>
      <c r="B310" s="9"/>
      <c r="C310" s="16" t="str">
        <f aca="false">IF(B310="","",IFERROR(INDEX(EDT!$E$5:$E$436,MATCH(B310,EDT!$H$5:$H$436,0)),IFERROR(INDEX(CRONOGRAMA!$G$5:$G$5679,MATCH(A310,CRONOGRAMA!$A$5:$A$5679,0)),"Fuera EDT")))</f>
        <v/>
      </c>
      <c r="D310" s="16" t="str">
        <f aca="false">IF(C310="","",IFERROR(INDEX(MASTER!$B$19:$B$109,MATCH(C310,MASTER!$A$19:$A$109,0)),"Asignar fase"))</f>
        <v/>
      </c>
      <c r="E310" s="9"/>
      <c r="F310" s="9"/>
      <c r="G310" s="9"/>
      <c r="H310" s="56"/>
      <c r="I310" s="43"/>
      <c r="J310" s="43"/>
      <c r="K310" s="16" t="str">
        <f aca="false">IF(A310="","",COUNTIF(RESTRICCIONES!$B$5:$B$304,A310))</f>
        <v/>
      </c>
      <c r="L310" s="16" t="str">
        <f aca="false">IF(A310="","",COUNTIFS(RESTRICCIONES!$B$5:$B$304,A310,RESTRICCIONES!$L$5:$L$304,"Pendiente"))</f>
        <v/>
      </c>
      <c r="M310" s="18" t="str">
        <f aca="false">IF(A310="","",IF(L310=0,"LISTA","RESTRINGIDA"))</f>
        <v/>
      </c>
      <c r="N310" s="51" t="str">
        <f aca="false">IF(OR(A310="",H310=""),"",IFERROR(MIN(1,SUMIF(SEMANAL!$C$7:$C$506,A310,SEMANAL!$W$7:$W$506)/H310),0))</f>
        <v/>
      </c>
      <c r="O310" s="57"/>
      <c r="P310" s="57"/>
      <c r="Q310" s="57"/>
      <c r="R310" s="57"/>
      <c r="S310" s="57"/>
      <c r="T310" s="57"/>
      <c r="U310" s="9"/>
    </row>
    <row r="311" customFormat="false" ht="15" hidden="false" customHeight="false" outlineLevel="0" collapsed="false">
      <c r="A311" s="9"/>
      <c r="B311" s="9"/>
      <c r="C311" s="16" t="str">
        <f aca="false">IF(B311="","",IFERROR(INDEX(EDT!$E$5:$E$436,MATCH(B311,EDT!$H$5:$H$436,0)),IFERROR(INDEX(CRONOGRAMA!$G$5:$G$5679,MATCH(A311,CRONOGRAMA!$A$5:$A$5679,0)),"Fuera EDT")))</f>
        <v/>
      </c>
      <c r="D311" s="16" t="str">
        <f aca="false">IF(C311="","",IFERROR(INDEX(MASTER!$B$19:$B$109,MATCH(C311,MASTER!$A$19:$A$109,0)),"Asignar fase"))</f>
        <v/>
      </c>
      <c r="E311" s="9"/>
      <c r="F311" s="9"/>
      <c r="G311" s="9"/>
      <c r="H311" s="56"/>
      <c r="I311" s="43"/>
      <c r="J311" s="43"/>
      <c r="K311" s="16" t="str">
        <f aca="false">IF(A311="","",COUNTIF(RESTRICCIONES!$B$5:$B$304,A311))</f>
        <v/>
      </c>
      <c r="L311" s="16" t="str">
        <f aca="false">IF(A311="","",COUNTIFS(RESTRICCIONES!$B$5:$B$304,A311,RESTRICCIONES!$L$5:$L$304,"Pendiente"))</f>
        <v/>
      </c>
      <c r="M311" s="18" t="str">
        <f aca="false">IF(A311="","",IF(L311=0,"LISTA","RESTRINGIDA"))</f>
        <v/>
      </c>
      <c r="N311" s="51" t="str">
        <f aca="false">IF(OR(A311="",H311=""),"",IFERROR(MIN(1,SUMIF(SEMANAL!$C$7:$C$506,A311,SEMANAL!$W$7:$W$506)/H311),0))</f>
        <v/>
      </c>
      <c r="O311" s="57"/>
      <c r="P311" s="57"/>
      <c r="Q311" s="57"/>
      <c r="R311" s="57"/>
      <c r="S311" s="57"/>
      <c r="T311" s="57"/>
      <c r="U311" s="9"/>
    </row>
    <row r="312" customFormat="false" ht="15" hidden="false" customHeight="false" outlineLevel="0" collapsed="false">
      <c r="A312" s="9"/>
      <c r="B312" s="9"/>
      <c r="C312" s="16" t="str">
        <f aca="false">IF(B312="","",IFERROR(INDEX(EDT!$E$5:$E$436,MATCH(B312,EDT!$H$5:$H$436,0)),IFERROR(INDEX(CRONOGRAMA!$G$5:$G$5679,MATCH(A312,CRONOGRAMA!$A$5:$A$5679,0)),"Fuera EDT")))</f>
        <v/>
      </c>
      <c r="D312" s="16" t="str">
        <f aca="false">IF(C312="","",IFERROR(INDEX(MASTER!$B$19:$B$109,MATCH(C312,MASTER!$A$19:$A$109,0)),"Asignar fase"))</f>
        <v/>
      </c>
      <c r="E312" s="9"/>
      <c r="F312" s="9"/>
      <c r="G312" s="9"/>
      <c r="H312" s="56"/>
      <c r="I312" s="43"/>
      <c r="J312" s="43"/>
      <c r="K312" s="16" t="str">
        <f aca="false">IF(A312="","",COUNTIF(RESTRICCIONES!$B$5:$B$304,A312))</f>
        <v/>
      </c>
      <c r="L312" s="16" t="str">
        <f aca="false">IF(A312="","",COUNTIFS(RESTRICCIONES!$B$5:$B$304,A312,RESTRICCIONES!$L$5:$L$304,"Pendiente"))</f>
        <v/>
      </c>
      <c r="M312" s="18" t="str">
        <f aca="false">IF(A312="","",IF(L312=0,"LISTA","RESTRINGIDA"))</f>
        <v/>
      </c>
      <c r="N312" s="51" t="str">
        <f aca="false">IF(OR(A312="",H312=""),"",IFERROR(MIN(1,SUMIF(SEMANAL!$C$7:$C$506,A312,SEMANAL!$W$7:$W$506)/H312),0))</f>
        <v/>
      </c>
      <c r="O312" s="57"/>
      <c r="P312" s="57"/>
      <c r="Q312" s="57"/>
      <c r="R312" s="57"/>
      <c r="S312" s="57"/>
      <c r="T312" s="57"/>
      <c r="U312" s="9"/>
    </row>
    <row r="313" customFormat="false" ht="15" hidden="false" customHeight="false" outlineLevel="0" collapsed="false">
      <c r="A313" s="9"/>
      <c r="B313" s="9"/>
      <c r="C313" s="16" t="str">
        <f aca="false">IF(B313="","",IFERROR(INDEX(EDT!$E$5:$E$436,MATCH(B313,EDT!$H$5:$H$436,0)),IFERROR(INDEX(CRONOGRAMA!$G$5:$G$5679,MATCH(A313,CRONOGRAMA!$A$5:$A$5679,0)),"Fuera EDT")))</f>
        <v/>
      </c>
      <c r="D313" s="16" t="str">
        <f aca="false">IF(C313="","",IFERROR(INDEX(MASTER!$B$19:$B$109,MATCH(C313,MASTER!$A$19:$A$109,0)),"Asignar fase"))</f>
        <v/>
      </c>
      <c r="E313" s="9"/>
      <c r="F313" s="9"/>
      <c r="G313" s="9"/>
      <c r="H313" s="56"/>
      <c r="I313" s="43"/>
      <c r="J313" s="43"/>
      <c r="K313" s="16" t="str">
        <f aca="false">IF(A313="","",COUNTIF(RESTRICCIONES!$B$5:$B$304,A313))</f>
        <v/>
      </c>
      <c r="L313" s="16" t="str">
        <f aca="false">IF(A313="","",COUNTIFS(RESTRICCIONES!$B$5:$B$304,A313,RESTRICCIONES!$L$5:$L$304,"Pendiente"))</f>
        <v/>
      </c>
      <c r="M313" s="18" t="str">
        <f aca="false">IF(A313="","",IF(L313=0,"LISTA","RESTRINGIDA"))</f>
        <v/>
      </c>
      <c r="N313" s="51" t="str">
        <f aca="false">IF(OR(A313="",H313=""),"",IFERROR(MIN(1,SUMIF(SEMANAL!$C$7:$C$506,A313,SEMANAL!$W$7:$W$506)/H313),0))</f>
        <v/>
      </c>
      <c r="O313" s="57"/>
      <c r="P313" s="57"/>
      <c r="Q313" s="57"/>
      <c r="R313" s="57"/>
      <c r="S313" s="57"/>
      <c r="T313" s="57"/>
      <c r="U313" s="9"/>
    </row>
    <row r="314" customFormat="false" ht="15" hidden="false" customHeight="false" outlineLevel="0" collapsed="false">
      <c r="A314" s="9"/>
      <c r="B314" s="9"/>
      <c r="C314" s="16" t="str">
        <f aca="false">IF(B314="","",IFERROR(INDEX(EDT!$E$5:$E$436,MATCH(B314,EDT!$H$5:$H$436,0)),IFERROR(INDEX(CRONOGRAMA!$G$5:$G$5679,MATCH(A314,CRONOGRAMA!$A$5:$A$5679,0)),"Fuera EDT")))</f>
        <v/>
      </c>
      <c r="D314" s="16" t="str">
        <f aca="false">IF(C314="","",IFERROR(INDEX(MASTER!$B$19:$B$109,MATCH(C314,MASTER!$A$19:$A$109,0)),"Asignar fase"))</f>
        <v/>
      </c>
      <c r="E314" s="9"/>
      <c r="F314" s="9"/>
      <c r="G314" s="9"/>
      <c r="H314" s="56"/>
      <c r="I314" s="43"/>
      <c r="J314" s="43"/>
      <c r="K314" s="16" t="str">
        <f aca="false">IF(A314="","",COUNTIF(RESTRICCIONES!$B$5:$B$304,A314))</f>
        <v/>
      </c>
      <c r="L314" s="16" t="str">
        <f aca="false">IF(A314="","",COUNTIFS(RESTRICCIONES!$B$5:$B$304,A314,RESTRICCIONES!$L$5:$L$304,"Pendiente"))</f>
        <v/>
      </c>
      <c r="M314" s="18" t="str">
        <f aca="false">IF(A314="","",IF(L314=0,"LISTA","RESTRINGIDA"))</f>
        <v/>
      </c>
      <c r="N314" s="51" t="str">
        <f aca="false">IF(OR(A314="",H314=""),"",IFERROR(MIN(1,SUMIF(SEMANAL!$C$7:$C$506,A314,SEMANAL!$W$7:$W$506)/H314),0))</f>
        <v/>
      </c>
      <c r="O314" s="57"/>
      <c r="P314" s="57"/>
      <c r="Q314" s="57"/>
      <c r="R314" s="57"/>
      <c r="S314" s="57"/>
      <c r="T314" s="57"/>
      <c r="U314" s="9"/>
    </row>
    <row r="315" customFormat="false" ht="15" hidden="false" customHeight="false" outlineLevel="0" collapsed="false">
      <c r="A315" s="9"/>
      <c r="B315" s="9"/>
      <c r="C315" s="16" t="str">
        <f aca="false">IF(B315="","",IFERROR(INDEX(EDT!$E$5:$E$436,MATCH(B315,EDT!$H$5:$H$436,0)),IFERROR(INDEX(CRONOGRAMA!$G$5:$G$5679,MATCH(A315,CRONOGRAMA!$A$5:$A$5679,0)),"Fuera EDT")))</f>
        <v/>
      </c>
      <c r="D315" s="16" t="str">
        <f aca="false">IF(C315="","",IFERROR(INDEX(MASTER!$B$19:$B$109,MATCH(C315,MASTER!$A$19:$A$109,0)),"Asignar fase"))</f>
        <v/>
      </c>
      <c r="E315" s="9"/>
      <c r="F315" s="9"/>
      <c r="G315" s="9"/>
      <c r="H315" s="56"/>
      <c r="I315" s="43"/>
      <c r="J315" s="43"/>
      <c r="K315" s="16" t="str">
        <f aca="false">IF(A315="","",COUNTIF(RESTRICCIONES!$B$5:$B$304,A315))</f>
        <v/>
      </c>
      <c r="L315" s="16" t="str">
        <f aca="false">IF(A315="","",COUNTIFS(RESTRICCIONES!$B$5:$B$304,A315,RESTRICCIONES!$L$5:$L$304,"Pendiente"))</f>
        <v/>
      </c>
      <c r="M315" s="18" t="str">
        <f aca="false">IF(A315="","",IF(L315=0,"LISTA","RESTRINGIDA"))</f>
        <v/>
      </c>
      <c r="N315" s="51" t="str">
        <f aca="false">IF(OR(A315="",H315=""),"",IFERROR(MIN(1,SUMIF(SEMANAL!$C$7:$C$506,A315,SEMANAL!$W$7:$W$506)/H315),0))</f>
        <v/>
      </c>
      <c r="O315" s="57"/>
      <c r="P315" s="57"/>
      <c r="Q315" s="57"/>
      <c r="R315" s="57"/>
      <c r="S315" s="57"/>
      <c r="T315" s="57"/>
      <c r="U315" s="9"/>
    </row>
    <row r="316" customFormat="false" ht="15" hidden="false" customHeight="false" outlineLevel="0" collapsed="false">
      <c r="A316" s="9"/>
      <c r="B316" s="9"/>
      <c r="C316" s="16" t="str">
        <f aca="false">IF(B316="","",IFERROR(INDEX(EDT!$E$5:$E$436,MATCH(B316,EDT!$H$5:$H$436,0)),IFERROR(INDEX(CRONOGRAMA!$G$5:$G$5679,MATCH(A316,CRONOGRAMA!$A$5:$A$5679,0)),"Fuera EDT")))</f>
        <v/>
      </c>
      <c r="D316" s="16" t="str">
        <f aca="false">IF(C316="","",IFERROR(INDEX(MASTER!$B$19:$B$109,MATCH(C316,MASTER!$A$19:$A$109,0)),"Asignar fase"))</f>
        <v/>
      </c>
      <c r="E316" s="9"/>
      <c r="F316" s="9"/>
      <c r="G316" s="9"/>
      <c r="H316" s="56"/>
      <c r="I316" s="43"/>
      <c r="J316" s="43"/>
      <c r="K316" s="16" t="str">
        <f aca="false">IF(A316="","",COUNTIF(RESTRICCIONES!$B$5:$B$304,A316))</f>
        <v/>
      </c>
      <c r="L316" s="16" t="str">
        <f aca="false">IF(A316="","",COUNTIFS(RESTRICCIONES!$B$5:$B$304,A316,RESTRICCIONES!$L$5:$L$304,"Pendiente"))</f>
        <v/>
      </c>
      <c r="M316" s="18" t="str">
        <f aca="false">IF(A316="","",IF(L316=0,"LISTA","RESTRINGIDA"))</f>
        <v/>
      </c>
      <c r="N316" s="51" t="str">
        <f aca="false">IF(OR(A316="",H316=""),"",IFERROR(MIN(1,SUMIF(SEMANAL!$C$7:$C$506,A316,SEMANAL!$W$7:$W$506)/H316),0))</f>
        <v/>
      </c>
      <c r="O316" s="57"/>
      <c r="P316" s="57"/>
      <c r="Q316" s="57"/>
      <c r="R316" s="57"/>
      <c r="S316" s="57"/>
      <c r="T316" s="57"/>
      <c r="U316" s="9"/>
    </row>
    <row r="317" customFormat="false" ht="15" hidden="false" customHeight="false" outlineLevel="0" collapsed="false">
      <c r="A317" s="9"/>
      <c r="B317" s="9"/>
      <c r="C317" s="16" t="str">
        <f aca="false">IF(B317="","",IFERROR(INDEX(EDT!$E$5:$E$436,MATCH(B317,EDT!$H$5:$H$436,0)),IFERROR(INDEX(CRONOGRAMA!$G$5:$G$5679,MATCH(A317,CRONOGRAMA!$A$5:$A$5679,0)),"Fuera EDT")))</f>
        <v/>
      </c>
      <c r="D317" s="16" t="str">
        <f aca="false">IF(C317="","",IFERROR(INDEX(MASTER!$B$19:$B$109,MATCH(C317,MASTER!$A$19:$A$109,0)),"Asignar fase"))</f>
        <v/>
      </c>
      <c r="E317" s="9"/>
      <c r="F317" s="9"/>
      <c r="G317" s="9"/>
      <c r="H317" s="56"/>
      <c r="I317" s="43"/>
      <c r="J317" s="43"/>
      <c r="K317" s="16" t="str">
        <f aca="false">IF(A317="","",COUNTIF(RESTRICCIONES!$B$5:$B$304,A317))</f>
        <v/>
      </c>
      <c r="L317" s="16" t="str">
        <f aca="false">IF(A317="","",COUNTIFS(RESTRICCIONES!$B$5:$B$304,A317,RESTRICCIONES!$L$5:$L$304,"Pendiente"))</f>
        <v/>
      </c>
      <c r="M317" s="18" t="str">
        <f aca="false">IF(A317="","",IF(L317=0,"LISTA","RESTRINGIDA"))</f>
        <v/>
      </c>
      <c r="N317" s="51" t="str">
        <f aca="false">IF(OR(A317="",H317=""),"",IFERROR(MIN(1,SUMIF(SEMANAL!$C$7:$C$506,A317,SEMANAL!$W$7:$W$506)/H317),0))</f>
        <v/>
      </c>
      <c r="O317" s="57"/>
      <c r="P317" s="57"/>
      <c r="Q317" s="57"/>
      <c r="R317" s="57"/>
      <c r="S317" s="57"/>
      <c r="T317" s="57"/>
      <c r="U317" s="9"/>
    </row>
    <row r="318" customFormat="false" ht="15" hidden="false" customHeight="false" outlineLevel="0" collapsed="false">
      <c r="A318" s="9"/>
      <c r="B318" s="9"/>
      <c r="C318" s="16" t="str">
        <f aca="false">IF(B318="","",IFERROR(INDEX(EDT!$E$5:$E$436,MATCH(B318,EDT!$H$5:$H$436,0)),IFERROR(INDEX(CRONOGRAMA!$G$5:$G$5679,MATCH(A318,CRONOGRAMA!$A$5:$A$5679,0)),"Fuera EDT")))</f>
        <v/>
      </c>
      <c r="D318" s="16" t="str">
        <f aca="false">IF(C318="","",IFERROR(INDEX(MASTER!$B$19:$B$109,MATCH(C318,MASTER!$A$19:$A$109,0)),"Asignar fase"))</f>
        <v/>
      </c>
      <c r="E318" s="9"/>
      <c r="F318" s="9"/>
      <c r="G318" s="9"/>
      <c r="H318" s="56"/>
      <c r="I318" s="43"/>
      <c r="J318" s="43"/>
      <c r="K318" s="16" t="str">
        <f aca="false">IF(A318="","",COUNTIF(RESTRICCIONES!$B$5:$B$304,A318))</f>
        <v/>
      </c>
      <c r="L318" s="16" t="str">
        <f aca="false">IF(A318="","",COUNTIFS(RESTRICCIONES!$B$5:$B$304,A318,RESTRICCIONES!$L$5:$L$304,"Pendiente"))</f>
        <v/>
      </c>
      <c r="M318" s="18" t="str">
        <f aca="false">IF(A318="","",IF(L318=0,"LISTA","RESTRINGIDA"))</f>
        <v/>
      </c>
      <c r="N318" s="51" t="str">
        <f aca="false">IF(OR(A318="",H318=""),"",IFERROR(MIN(1,SUMIF(SEMANAL!$C$7:$C$506,A318,SEMANAL!$W$7:$W$506)/H318),0))</f>
        <v/>
      </c>
      <c r="O318" s="57"/>
      <c r="P318" s="57"/>
      <c r="Q318" s="57"/>
      <c r="R318" s="57"/>
      <c r="S318" s="57"/>
      <c r="T318" s="57"/>
      <c r="U318" s="9"/>
    </row>
    <row r="319" customFormat="false" ht="15" hidden="false" customHeight="false" outlineLevel="0" collapsed="false">
      <c r="A319" s="9"/>
      <c r="B319" s="9"/>
      <c r="C319" s="16" t="str">
        <f aca="false">IF(B319="","",IFERROR(INDEX(EDT!$E$5:$E$436,MATCH(B319,EDT!$H$5:$H$436,0)),IFERROR(INDEX(CRONOGRAMA!$G$5:$G$5679,MATCH(A319,CRONOGRAMA!$A$5:$A$5679,0)),"Fuera EDT")))</f>
        <v/>
      </c>
      <c r="D319" s="16" t="str">
        <f aca="false">IF(C319="","",IFERROR(INDEX(MASTER!$B$19:$B$109,MATCH(C319,MASTER!$A$19:$A$109,0)),"Asignar fase"))</f>
        <v/>
      </c>
      <c r="E319" s="9"/>
      <c r="F319" s="9"/>
      <c r="G319" s="9"/>
      <c r="H319" s="56"/>
      <c r="I319" s="43"/>
      <c r="J319" s="43"/>
      <c r="K319" s="16" t="str">
        <f aca="false">IF(A319="","",COUNTIF(RESTRICCIONES!$B$5:$B$304,A319))</f>
        <v/>
      </c>
      <c r="L319" s="16" t="str">
        <f aca="false">IF(A319="","",COUNTIFS(RESTRICCIONES!$B$5:$B$304,A319,RESTRICCIONES!$L$5:$L$304,"Pendiente"))</f>
        <v/>
      </c>
      <c r="M319" s="18" t="str">
        <f aca="false">IF(A319="","",IF(L319=0,"LISTA","RESTRINGIDA"))</f>
        <v/>
      </c>
      <c r="N319" s="51" t="str">
        <f aca="false">IF(OR(A319="",H319=""),"",IFERROR(MIN(1,SUMIF(SEMANAL!$C$7:$C$506,A319,SEMANAL!$W$7:$W$506)/H319),0))</f>
        <v/>
      </c>
      <c r="O319" s="57"/>
      <c r="P319" s="57"/>
      <c r="Q319" s="57"/>
      <c r="R319" s="57"/>
      <c r="S319" s="57"/>
      <c r="T319" s="57"/>
      <c r="U319" s="9"/>
    </row>
    <row r="320" customFormat="false" ht="15" hidden="false" customHeight="false" outlineLevel="0" collapsed="false">
      <c r="A320" s="9"/>
      <c r="B320" s="9"/>
      <c r="C320" s="16" t="str">
        <f aca="false">IF(B320="","",IFERROR(INDEX(EDT!$E$5:$E$436,MATCH(B320,EDT!$H$5:$H$436,0)),IFERROR(INDEX(CRONOGRAMA!$G$5:$G$5679,MATCH(A320,CRONOGRAMA!$A$5:$A$5679,0)),"Fuera EDT")))</f>
        <v/>
      </c>
      <c r="D320" s="16" t="str">
        <f aca="false">IF(C320="","",IFERROR(INDEX(MASTER!$B$19:$B$109,MATCH(C320,MASTER!$A$19:$A$109,0)),"Asignar fase"))</f>
        <v/>
      </c>
      <c r="E320" s="9"/>
      <c r="F320" s="9"/>
      <c r="G320" s="9"/>
      <c r="H320" s="56"/>
      <c r="I320" s="43"/>
      <c r="J320" s="43"/>
      <c r="K320" s="16" t="str">
        <f aca="false">IF(A320="","",COUNTIF(RESTRICCIONES!$B$5:$B$304,A320))</f>
        <v/>
      </c>
      <c r="L320" s="16" t="str">
        <f aca="false">IF(A320="","",COUNTIFS(RESTRICCIONES!$B$5:$B$304,A320,RESTRICCIONES!$L$5:$L$304,"Pendiente"))</f>
        <v/>
      </c>
      <c r="M320" s="18" t="str">
        <f aca="false">IF(A320="","",IF(L320=0,"LISTA","RESTRINGIDA"))</f>
        <v/>
      </c>
      <c r="N320" s="51" t="str">
        <f aca="false">IF(OR(A320="",H320=""),"",IFERROR(MIN(1,SUMIF(SEMANAL!$C$7:$C$506,A320,SEMANAL!$W$7:$W$506)/H320),0))</f>
        <v/>
      </c>
      <c r="O320" s="57"/>
      <c r="P320" s="57"/>
      <c r="Q320" s="57"/>
      <c r="R320" s="57"/>
      <c r="S320" s="57"/>
      <c r="T320" s="57"/>
      <c r="U320" s="9"/>
    </row>
    <row r="321" customFormat="false" ht="15" hidden="false" customHeight="false" outlineLevel="0" collapsed="false">
      <c r="A321" s="9"/>
      <c r="B321" s="9"/>
      <c r="C321" s="16" t="str">
        <f aca="false">IF(B321="","",IFERROR(INDEX(EDT!$E$5:$E$436,MATCH(B321,EDT!$H$5:$H$436,0)),IFERROR(INDEX(CRONOGRAMA!$G$5:$G$5679,MATCH(A321,CRONOGRAMA!$A$5:$A$5679,0)),"Fuera EDT")))</f>
        <v/>
      </c>
      <c r="D321" s="16" t="str">
        <f aca="false">IF(C321="","",IFERROR(INDEX(MASTER!$B$19:$B$109,MATCH(C321,MASTER!$A$19:$A$109,0)),"Asignar fase"))</f>
        <v/>
      </c>
      <c r="E321" s="9"/>
      <c r="F321" s="9"/>
      <c r="G321" s="9"/>
      <c r="H321" s="56"/>
      <c r="I321" s="43"/>
      <c r="J321" s="43"/>
      <c r="K321" s="16" t="str">
        <f aca="false">IF(A321="","",COUNTIF(RESTRICCIONES!$B$5:$B$304,A321))</f>
        <v/>
      </c>
      <c r="L321" s="16" t="str">
        <f aca="false">IF(A321="","",COUNTIFS(RESTRICCIONES!$B$5:$B$304,A321,RESTRICCIONES!$L$5:$L$304,"Pendiente"))</f>
        <v/>
      </c>
      <c r="M321" s="18" t="str">
        <f aca="false">IF(A321="","",IF(L321=0,"LISTA","RESTRINGIDA"))</f>
        <v/>
      </c>
      <c r="N321" s="51" t="str">
        <f aca="false">IF(OR(A321="",H321=""),"",IFERROR(MIN(1,SUMIF(SEMANAL!$C$7:$C$506,A321,SEMANAL!$W$7:$W$506)/H321),0))</f>
        <v/>
      </c>
      <c r="O321" s="57"/>
      <c r="P321" s="57"/>
      <c r="Q321" s="57"/>
      <c r="R321" s="57"/>
      <c r="S321" s="57"/>
      <c r="T321" s="57"/>
      <c r="U321" s="9"/>
    </row>
    <row r="322" customFormat="false" ht="15" hidden="false" customHeight="false" outlineLevel="0" collapsed="false">
      <c r="A322" s="9"/>
      <c r="B322" s="9"/>
      <c r="C322" s="16" t="str">
        <f aca="false">IF(B322="","",IFERROR(INDEX(EDT!$E$5:$E$436,MATCH(B322,EDT!$H$5:$H$436,0)),IFERROR(INDEX(CRONOGRAMA!$G$5:$G$5679,MATCH(A322,CRONOGRAMA!$A$5:$A$5679,0)),"Fuera EDT")))</f>
        <v/>
      </c>
      <c r="D322" s="16" t="str">
        <f aca="false">IF(C322="","",IFERROR(INDEX(MASTER!$B$19:$B$109,MATCH(C322,MASTER!$A$19:$A$109,0)),"Asignar fase"))</f>
        <v/>
      </c>
      <c r="E322" s="9"/>
      <c r="F322" s="9"/>
      <c r="G322" s="9"/>
      <c r="H322" s="56"/>
      <c r="I322" s="43"/>
      <c r="J322" s="43"/>
      <c r="K322" s="16" t="str">
        <f aca="false">IF(A322="","",COUNTIF(RESTRICCIONES!$B$5:$B$304,A322))</f>
        <v/>
      </c>
      <c r="L322" s="16" t="str">
        <f aca="false">IF(A322="","",COUNTIFS(RESTRICCIONES!$B$5:$B$304,A322,RESTRICCIONES!$L$5:$L$304,"Pendiente"))</f>
        <v/>
      </c>
      <c r="M322" s="18" t="str">
        <f aca="false">IF(A322="","",IF(L322=0,"LISTA","RESTRINGIDA"))</f>
        <v/>
      </c>
      <c r="N322" s="51" t="str">
        <f aca="false">IF(OR(A322="",H322=""),"",IFERROR(MIN(1,SUMIF(SEMANAL!$C$7:$C$506,A322,SEMANAL!$W$7:$W$506)/H322),0))</f>
        <v/>
      </c>
      <c r="O322" s="57"/>
      <c r="P322" s="57"/>
      <c r="Q322" s="57"/>
      <c r="R322" s="57"/>
      <c r="S322" s="57"/>
      <c r="T322" s="57"/>
      <c r="U322" s="9"/>
    </row>
    <row r="323" customFormat="false" ht="15" hidden="false" customHeight="false" outlineLevel="0" collapsed="false">
      <c r="A323" s="9"/>
      <c r="B323" s="9"/>
      <c r="C323" s="16" t="str">
        <f aca="false">IF(B323="","",IFERROR(INDEX(EDT!$E$5:$E$436,MATCH(B323,EDT!$H$5:$H$436,0)),IFERROR(INDEX(CRONOGRAMA!$G$5:$G$5679,MATCH(A323,CRONOGRAMA!$A$5:$A$5679,0)),"Fuera EDT")))</f>
        <v/>
      </c>
      <c r="D323" s="16" t="str">
        <f aca="false">IF(C323="","",IFERROR(INDEX(MASTER!$B$19:$B$109,MATCH(C323,MASTER!$A$19:$A$109,0)),"Asignar fase"))</f>
        <v/>
      </c>
      <c r="E323" s="9"/>
      <c r="F323" s="9"/>
      <c r="G323" s="9"/>
      <c r="H323" s="56"/>
      <c r="I323" s="43"/>
      <c r="J323" s="43"/>
      <c r="K323" s="16" t="str">
        <f aca="false">IF(A323="","",COUNTIF(RESTRICCIONES!$B$5:$B$304,A323))</f>
        <v/>
      </c>
      <c r="L323" s="16" t="str">
        <f aca="false">IF(A323="","",COUNTIFS(RESTRICCIONES!$B$5:$B$304,A323,RESTRICCIONES!$L$5:$L$304,"Pendiente"))</f>
        <v/>
      </c>
      <c r="M323" s="18" t="str">
        <f aca="false">IF(A323="","",IF(L323=0,"LISTA","RESTRINGIDA"))</f>
        <v/>
      </c>
      <c r="N323" s="51" t="str">
        <f aca="false">IF(OR(A323="",H323=""),"",IFERROR(MIN(1,SUMIF(SEMANAL!$C$7:$C$506,A323,SEMANAL!$W$7:$W$506)/H323),0))</f>
        <v/>
      </c>
      <c r="O323" s="57"/>
      <c r="P323" s="57"/>
      <c r="Q323" s="57"/>
      <c r="R323" s="57"/>
      <c r="S323" s="57"/>
      <c r="T323" s="57"/>
      <c r="U323" s="9"/>
    </row>
    <row r="324" customFormat="false" ht="15" hidden="false" customHeight="false" outlineLevel="0" collapsed="false">
      <c r="A324" s="9"/>
      <c r="B324" s="9"/>
      <c r="C324" s="16" t="str">
        <f aca="false">IF(B324="","",IFERROR(INDEX(EDT!$E$5:$E$436,MATCH(B324,EDT!$H$5:$H$436,0)),IFERROR(INDEX(CRONOGRAMA!$G$5:$G$5679,MATCH(A324,CRONOGRAMA!$A$5:$A$5679,0)),"Fuera EDT")))</f>
        <v/>
      </c>
      <c r="D324" s="16" t="str">
        <f aca="false">IF(C324="","",IFERROR(INDEX(MASTER!$B$19:$B$109,MATCH(C324,MASTER!$A$19:$A$109,0)),"Asignar fase"))</f>
        <v/>
      </c>
      <c r="E324" s="9"/>
      <c r="F324" s="9"/>
      <c r="G324" s="9"/>
      <c r="H324" s="56"/>
      <c r="I324" s="43"/>
      <c r="J324" s="43"/>
      <c r="K324" s="16" t="str">
        <f aca="false">IF(A324="","",COUNTIF(RESTRICCIONES!$B$5:$B$304,A324))</f>
        <v/>
      </c>
      <c r="L324" s="16" t="str">
        <f aca="false">IF(A324="","",COUNTIFS(RESTRICCIONES!$B$5:$B$304,A324,RESTRICCIONES!$L$5:$L$304,"Pendiente"))</f>
        <v/>
      </c>
      <c r="M324" s="18" t="str">
        <f aca="false">IF(A324="","",IF(L324=0,"LISTA","RESTRINGIDA"))</f>
        <v/>
      </c>
      <c r="N324" s="51" t="str">
        <f aca="false">IF(OR(A324="",H324=""),"",IFERROR(MIN(1,SUMIF(SEMANAL!$C$7:$C$506,A324,SEMANAL!$W$7:$W$506)/H324),0))</f>
        <v/>
      </c>
      <c r="O324" s="57"/>
      <c r="P324" s="57"/>
      <c r="Q324" s="57"/>
      <c r="R324" s="57"/>
      <c r="S324" s="57"/>
      <c r="T324" s="57"/>
      <c r="U324" s="9"/>
    </row>
    <row r="325" customFormat="false" ht="15" hidden="false" customHeight="false" outlineLevel="0" collapsed="false">
      <c r="A325" s="9"/>
      <c r="B325" s="9"/>
      <c r="C325" s="16" t="str">
        <f aca="false">IF(B325="","",IFERROR(INDEX(EDT!$E$5:$E$436,MATCH(B325,EDT!$H$5:$H$436,0)),IFERROR(INDEX(CRONOGRAMA!$G$5:$G$5679,MATCH(A325,CRONOGRAMA!$A$5:$A$5679,0)),"Fuera EDT")))</f>
        <v/>
      </c>
      <c r="D325" s="16" t="str">
        <f aca="false">IF(C325="","",IFERROR(INDEX(MASTER!$B$19:$B$109,MATCH(C325,MASTER!$A$19:$A$109,0)),"Asignar fase"))</f>
        <v/>
      </c>
      <c r="E325" s="9"/>
      <c r="F325" s="9"/>
      <c r="G325" s="9"/>
      <c r="H325" s="56"/>
      <c r="I325" s="43"/>
      <c r="J325" s="43"/>
      <c r="K325" s="16" t="str">
        <f aca="false">IF(A325="","",COUNTIF(RESTRICCIONES!$B$5:$B$304,A325))</f>
        <v/>
      </c>
      <c r="L325" s="16" t="str">
        <f aca="false">IF(A325="","",COUNTIFS(RESTRICCIONES!$B$5:$B$304,A325,RESTRICCIONES!$L$5:$L$304,"Pendiente"))</f>
        <v/>
      </c>
      <c r="M325" s="18" t="str">
        <f aca="false">IF(A325="","",IF(L325=0,"LISTA","RESTRINGIDA"))</f>
        <v/>
      </c>
      <c r="N325" s="51" t="str">
        <f aca="false">IF(OR(A325="",H325=""),"",IFERROR(MIN(1,SUMIF(SEMANAL!$C$7:$C$506,A325,SEMANAL!$W$7:$W$506)/H325),0))</f>
        <v/>
      </c>
      <c r="O325" s="57"/>
      <c r="P325" s="57"/>
      <c r="Q325" s="57"/>
      <c r="R325" s="57"/>
      <c r="S325" s="57"/>
      <c r="T325" s="57"/>
      <c r="U325" s="9"/>
    </row>
    <row r="326" customFormat="false" ht="15" hidden="false" customHeight="false" outlineLevel="0" collapsed="false">
      <c r="A326" s="9"/>
      <c r="B326" s="9"/>
      <c r="C326" s="16" t="str">
        <f aca="false">IF(B326="","",IFERROR(INDEX(EDT!$E$5:$E$436,MATCH(B326,EDT!$H$5:$H$436,0)),IFERROR(INDEX(CRONOGRAMA!$G$5:$G$5679,MATCH(A326,CRONOGRAMA!$A$5:$A$5679,0)),"Fuera EDT")))</f>
        <v/>
      </c>
      <c r="D326" s="16" t="str">
        <f aca="false">IF(C326="","",IFERROR(INDEX(MASTER!$B$19:$B$109,MATCH(C326,MASTER!$A$19:$A$109,0)),"Asignar fase"))</f>
        <v/>
      </c>
      <c r="E326" s="9"/>
      <c r="F326" s="9"/>
      <c r="G326" s="9"/>
      <c r="H326" s="56"/>
      <c r="I326" s="43"/>
      <c r="J326" s="43"/>
      <c r="K326" s="16" t="str">
        <f aca="false">IF(A326="","",COUNTIF(RESTRICCIONES!$B$5:$B$304,A326))</f>
        <v/>
      </c>
      <c r="L326" s="16" t="str">
        <f aca="false">IF(A326="","",COUNTIFS(RESTRICCIONES!$B$5:$B$304,A326,RESTRICCIONES!$L$5:$L$304,"Pendiente"))</f>
        <v/>
      </c>
      <c r="M326" s="18" t="str">
        <f aca="false">IF(A326="","",IF(L326=0,"LISTA","RESTRINGIDA"))</f>
        <v/>
      </c>
      <c r="N326" s="51" t="str">
        <f aca="false">IF(OR(A326="",H326=""),"",IFERROR(MIN(1,SUMIF(SEMANAL!$C$7:$C$506,A326,SEMANAL!$W$7:$W$506)/H326),0))</f>
        <v/>
      </c>
      <c r="O326" s="57"/>
      <c r="P326" s="57"/>
      <c r="Q326" s="57"/>
      <c r="R326" s="57"/>
      <c r="S326" s="57"/>
      <c r="T326" s="57"/>
      <c r="U326" s="9"/>
    </row>
    <row r="327" customFormat="false" ht="15" hidden="false" customHeight="false" outlineLevel="0" collapsed="false">
      <c r="A327" s="9"/>
      <c r="B327" s="9"/>
      <c r="C327" s="16" t="str">
        <f aca="false">IF(B327="","",IFERROR(INDEX(EDT!$E$5:$E$436,MATCH(B327,EDT!$H$5:$H$436,0)),IFERROR(INDEX(CRONOGRAMA!$G$5:$G$5679,MATCH(A327,CRONOGRAMA!$A$5:$A$5679,0)),"Fuera EDT")))</f>
        <v/>
      </c>
      <c r="D327" s="16" t="str">
        <f aca="false">IF(C327="","",IFERROR(INDEX(MASTER!$B$19:$B$109,MATCH(C327,MASTER!$A$19:$A$109,0)),"Asignar fase"))</f>
        <v/>
      </c>
      <c r="E327" s="9"/>
      <c r="F327" s="9"/>
      <c r="G327" s="9"/>
      <c r="H327" s="56"/>
      <c r="I327" s="43"/>
      <c r="J327" s="43"/>
      <c r="K327" s="16" t="str">
        <f aca="false">IF(A327="","",COUNTIF(RESTRICCIONES!$B$5:$B$304,A327))</f>
        <v/>
      </c>
      <c r="L327" s="16" t="str">
        <f aca="false">IF(A327="","",COUNTIFS(RESTRICCIONES!$B$5:$B$304,A327,RESTRICCIONES!$L$5:$L$304,"Pendiente"))</f>
        <v/>
      </c>
      <c r="M327" s="18" t="str">
        <f aca="false">IF(A327="","",IF(L327=0,"LISTA","RESTRINGIDA"))</f>
        <v/>
      </c>
      <c r="N327" s="51" t="str">
        <f aca="false">IF(OR(A327="",H327=""),"",IFERROR(MIN(1,SUMIF(SEMANAL!$C$7:$C$506,A327,SEMANAL!$W$7:$W$506)/H327),0))</f>
        <v/>
      </c>
      <c r="O327" s="57"/>
      <c r="P327" s="57"/>
      <c r="Q327" s="57"/>
      <c r="R327" s="57"/>
      <c r="S327" s="57"/>
      <c r="T327" s="57"/>
      <c r="U327" s="9"/>
    </row>
    <row r="328" customFormat="false" ht="15" hidden="false" customHeight="false" outlineLevel="0" collapsed="false">
      <c r="A328" s="9"/>
      <c r="B328" s="9"/>
      <c r="C328" s="16" t="str">
        <f aca="false">IF(B328="","",IFERROR(INDEX(EDT!$E$5:$E$436,MATCH(B328,EDT!$H$5:$H$436,0)),IFERROR(INDEX(CRONOGRAMA!$G$5:$G$5679,MATCH(A328,CRONOGRAMA!$A$5:$A$5679,0)),"Fuera EDT")))</f>
        <v/>
      </c>
      <c r="D328" s="16" t="str">
        <f aca="false">IF(C328="","",IFERROR(INDEX(MASTER!$B$19:$B$109,MATCH(C328,MASTER!$A$19:$A$109,0)),"Asignar fase"))</f>
        <v/>
      </c>
      <c r="E328" s="9"/>
      <c r="F328" s="9"/>
      <c r="G328" s="9"/>
      <c r="H328" s="56"/>
      <c r="I328" s="43"/>
      <c r="J328" s="43"/>
      <c r="K328" s="16" t="str">
        <f aca="false">IF(A328="","",COUNTIF(RESTRICCIONES!$B$5:$B$304,A328))</f>
        <v/>
      </c>
      <c r="L328" s="16" t="str">
        <f aca="false">IF(A328="","",COUNTIFS(RESTRICCIONES!$B$5:$B$304,A328,RESTRICCIONES!$L$5:$L$304,"Pendiente"))</f>
        <v/>
      </c>
      <c r="M328" s="18" t="str">
        <f aca="false">IF(A328="","",IF(L328=0,"LISTA","RESTRINGIDA"))</f>
        <v/>
      </c>
      <c r="N328" s="51" t="str">
        <f aca="false">IF(OR(A328="",H328=""),"",IFERROR(MIN(1,SUMIF(SEMANAL!$C$7:$C$506,A328,SEMANAL!$W$7:$W$506)/H328),0))</f>
        <v/>
      </c>
      <c r="O328" s="57"/>
      <c r="P328" s="57"/>
      <c r="Q328" s="57"/>
      <c r="R328" s="57"/>
      <c r="S328" s="57"/>
      <c r="T328" s="57"/>
      <c r="U328" s="9"/>
    </row>
    <row r="329" customFormat="false" ht="15" hidden="false" customHeight="false" outlineLevel="0" collapsed="false">
      <c r="A329" s="9"/>
      <c r="B329" s="9"/>
      <c r="C329" s="16" t="str">
        <f aca="false">IF(B329="","",IFERROR(INDEX(EDT!$E$5:$E$436,MATCH(B329,EDT!$H$5:$H$436,0)),IFERROR(INDEX(CRONOGRAMA!$G$5:$G$5679,MATCH(A329,CRONOGRAMA!$A$5:$A$5679,0)),"Fuera EDT")))</f>
        <v/>
      </c>
      <c r="D329" s="16" t="str">
        <f aca="false">IF(C329="","",IFERROR(INDEX(MASTER!$B$19:$B$109,MATCH(C329,MASTER!$A$19:$A$109,0)),"Asignar fase"))</f>
        <v/>
      </c>
      <c r="E329" s="9"/>
      <c r="F329" s="9"/>
      <c r="G329" s="9"/>
      <c r="H329" s="56"/>
      <c r="I329" s="43"/>
      <c r="J329" s="43"/>
      <c r="K329" s="16" t="str">
        <f aca="false">IF(A329="","",COUNTIF(RESTRICCIONES!$B$5:$B$304,A329))</f>
        <v/>
      </c>
      <c r="L329" s="16" t="str">
        <f aca="false">IF(A329="","",COUNTIFS(RESTRICCIONES!$B$5:$B$304,A329,RESTRICCIONES!$L$5:$L$304,"Pendiente"))</f>
        <v/>
      </c>
      <c r="M329" s="18" t="str">
        <f aca="false">IF(A329="","",IF(L329=0,"LISTA","RESTRINGIDA"))</f>
        <v/>
      </c>
      <c r="N329" s="51" t="str">
        <f aca="false">IF(OR(A329="",H329=""),"",IFERROR(MIN(1,SUMIF(SEMANAL!$C$7:$C$506,A329,SEMANAL!$W$7:$W$506)/H329),0))</f>
        <v/>
      </c>
      <c r="O329" s="57"/>
      <c r="P329" s="57"/>
      <c r="Q329" s="57"/>
      <c r="R329" s="57"/>
      <c r="S329" s="57"/>
      <c r="T329" s="57"/>
      <c r="U329" s="9"/>
    </row>
    <row r="330" customFormat="false" ht="15" hidden="false" customHeight="false" outlineLevel="0" collapsed="false">
      <c r="A330" s="9"/>
      <c r="B330" s="9"/>
      <c r="C330" s="16" t="str">
        <f aca="false">IF(B330="","",IFERROR(INDEX(EDT!$E$5:$E$436,MATCH(B330,EDT!$H$5:$H$436,0)),IFERROR(INDEX(CRONOGRAMA!$G$5:$G$5679,MATCH(A330,CRONOGRAMA!$A$5:$A$5679,0)),"Fuera EDT")))</f>
        <v/>
      </c>
      <c r="D330" s="16" t="str">
        <f aca="false">IF(C330="","",IFERROR(INDEX(MASTER!$B$19:$B$109,MATCH(C330,MASTER!$A$19:$A$109,0)),"Asignar fase"))</f>
        <v/>
      </c>
      <c r="E330" s="9"/>
      <c r="F330" s="9"/>
      <c r="G330" s="9"/>
      <c r="H330" s="56"/>
      <c r="I330" s="43"/>
      <c r="J330" s="43"/>
      <c r="K330" s="16" t="str">
        <f aca="false">IF(A330="","",COUNTIF(RESTRICCIONES!$B$5:$B$304,A330))</f>
        <v/>
      </c>
      <c r="L330" s="16" t="str">
        <f aca="false">IF(A330="","",COUNTIFS(RESTRICCIONES!$B$5:$B$304,A330,RESTRICCIONES!$L$5:$L$304,"Pendiente"))</f>
        <v/>
      </c>
      <c r="M330" s="18" t="str">
        <f aca="false">IF(A330="","",IF(L330=0,"LISTA","RESTRINGIDA"))</f>
        <v/>
      </c>
      <c r="N330" s="51" t="str">
        <f aca="false">IF(OR(A330="",H330=""),"",IFERROR(MIN(1,SUMIF(SEMANAL!$C$7:$C$506,A330,SEMANAL!$W$7:$W$506)/H330),0))</f>
        <v/>
      </c>
      <c r="O330" s="57"/>
      <c r="P330" s="57"/>
      <c r="Q330" s="57"/>
      <c r="R330" s="57"/>
      <c r="S330" s="57"/>
      <c r="T330" s="57"/>
      <c r="U330" s="9"/>
    </row>
    <row r="331" customFormat="false" ht="15" hidden="false" customHeight="false" outlineLevel="0" collapsed="false">
      <c r="A331" s="9"/>
      <c r="B331" s="9"/>
      <c r="C331" s="16" t="str">
        <f aca="false">IF(B331="","",IFERROR(INDEX(EDT!$E$5:$E$436,MATCH(B331,EDT!$H$5:$H$436,0)),IFERROR(INDEX(CRONOGRAMA!$G$5:$G$5679,MATCH(A331,CRONOGRAMA!$A$5:$A$5679,0)),"Fuera EDT")))</f>
        <v/>
      </c>
      <c r="D331" s="16" t="str">
        <f aca="false">IF(C331="","",IFERROR(INDEX(MASTER!$B$19:$B$109,MATCH(C331,MASTER!$A$19:$A$109,0)),"Asignar fase"))</f>
        <v/>
      </c>
      <c r="E331" s="9"/>
      <c r="F331" s="9"/>
      <c r="G331" s="9"/>
      <c r="H331" s="56"/>
      <c r="I331" s="43"/>
      <c r="J331" s="43"/>
      <c r="K331" s="16" t="str">
        <f aca="false">IF(A331="","",COUNTIF(RESTRICCIONES!$B$5:$B$304,A331))</f>
        <v/>
      </c>
      <c r="L331" s="16" t="str">
        <f aca="false">IF(A331="","",COUNTIFS(RESTRICCIONES!$B$5:$B$304,A331,RESTRICCIONES!$L$5:$L$304,"Pendiente"))</f>
        <v/>
      </c>
      <c r="M331" s="18" t="str">
        <f aca="false">IF(A331="","",IF(L331=0,"LISTA","RESTRINGIDA"))</f>
        <v/>
      </c>
      <c r="N331" s="51" t="str">
        <f aca="false">IF(OR(A331="",H331=""),"",IFERROR(MIN(1,SUMIF(SEMANAL!$C$7:$C$506,A331,SEMANAL!$W$7:$W$506)/H331),0))</f>
        <v/>
      </c>
      <c r="O331" s="57"/>
      <c r="P331" s="57"/>
      <c r="Q331" s="57"/>
      <c r="R331" s="57"/>
      <c r="S331" s="57"/>
      <c r="T331" s="57"/>
      <c r="U331" s="9"/>
    </row>
    <row r="332" customFormat="false" ht="15" hidden="false" customHeight="false" outlineLevel="0" collapsed="false">
      <c r="A332" s="9"/>
      <c r="B332" s="9"/>
      <c r="C332" s="16" t="str">
        <f aca="false">IF(B332="","",IFERROR(INDEX(EDT!$E$5:$E$436,MATCH(B332,EDT!$H$5:$H$436,0)),IFERROR(INDEX(CRONOGRAMA!$G$5:$G$5679,MATCH(A332,CRONOGRAMA!$A$5:$A$5679,0)),"Fuera EDT")))</f>
        <v/>
      </c>
      <c r="D332" s="16" t="str">
        <f aca="false">IF(C332="","",IFERROR(INDEX(MASTER!$B$19:$B$109,MATCH(C332,MASTER!$A$19:$A$109,0)),"Asignar fase"))</f>
        <v/>
      </c>
      <c r="E332" s="9"/>
      <c r="F332" s="9"/>
      <c r="G332" s="9"/>
      <c r="H332" s="56"/>
      <c r="I332" s="43"/>
      <c r="J332" s="43"/>
      <c r="K332" s="16" t="str">
        <f aca="false">IF(A332="","",COUNTIF(RESTRICCIONES!$B$5:$B$304,A332))</f>
        <v/>
      </c>
      <c r="L332" s="16" t="str">
        <f aca="false">IF(A332="","",COUNTIFS(RESTRICCIONES!$B$5:$B$304,A332,RESTRICCIONES!$L$5:$L$304,"Pendiente"))</f>
        <v/>
      </c>
      <c r="M332" s="18" t="str">
        <f aca="false">IF(A332="","",IF(L332=0,"LISTA","RESTRINGIDA"))</f>
        <v/>
      </c>
      <c r="N332" s="51" t="str">
        <f aca="false">IF(OR(A332="",H332=""),"",IFERROR(MIN(1,SUMIF(SEMANAL!$C$7:$C$506,A332,SEMANAL!$W$7:$W$506)/H332),0))</f>
        <v/>
      </c>
      <c r="O332" s="57"/>
      <c r="P332" s="57"/>
      <c r="Q332" s="57"/>
      <c r="R332" s="57"/>
      <c r="S332" s="57"/>
      <c r="T332" s="57"/>
      <c r="U332" s="9"/>
    </row>
    <row r="333" customFormat="false" ht="15" hidden="false" customHeight="false" outlineLevel="0" collapsed="false">
      <c r="A333" s="9"/>
      <c r="B333" s="9"/>
      <c r="C333" s="16" t="str">
        <f aca="false">IF(B333="","",IFERROR(INDEX(EDT!$E$5:$E$436,MATCH(B333,EDT!$H$5:$H$436,0)),IFERROR(INDEX(CRONOGRAMA!$G$5:$G$5679,MATCH(A333,CRONOGRAMA!$A$5:$A$5679,0)),"Fuera EDT")))</f>
        <v/>
      </c>
      <c r="D333" s="16" t="str">
        <f aca="false">IF(C333="","",IFERROR(INDEX(MASTER!$B$19:$B$109,MATCH(C333,MASTER!$A$19:$A$109,0)),"Asignar fase"))</f>
        <v/>
      </c>
      <c r="E333" s="9"/>
      <c r="F333" s="9"/>
      <c r="G333" s="9"/>
      <c r="H333" s="56"/>
      <c r="I333" s="43"/>
      <c r="J333" s="43"/>
      <c r="K333" s="16" t="str">
        <f aca="false">IF(A333="","",COUNTIF(RESTRICCIONES!$B$5:$B$304,A333))</f>
        <v/>
      </c>
      <c r="L333" s="16" t="str">
        <f aca="false">IF(A333="","",COUNTIFS(RESTRICCIONES!$B$5:$B$304,A333,RESTRICCIONES!$L$5:$L$304,"Pendiente"))</f>
        <v/>
      </c>
      <c r="M333" s="18" t="str">
        <f aca="false">IF(A333="","",IF(L333=0,"LISTA","RESTRINGIDA"))</f>
        <v/>
      </c>
      <c r="N333" s="51" t="str">
        <f aca="false">IF(OR(A333="",H333=""),"",IFERROR(MIN(1,SUMIF(SEMANAL!$C$7:$C$506,A333,SEMANAL!$W$7:$W$506)/H333),0))</f>
        <v/>
      </c>
      <c r="O333" s="57"/>
      <c r="P333" s="57"/>
      <c r="Q333" s="57"/>
      <c r="R333" s="57"/>
      <c r="S333" s="57"/>
      <c r="T333" s="57"/>
      <c r="U333" s="9"/>
    </row>
    <row r="334" customFormat="false" ht="15" hidden="false" customHeight="false" outlineLevel="0" collapsed="false">
      <c r="A334" s="9"/>
      <c r="B334" s="9"/>
      <c r="C334" s="16" t="str">
        <f aca="false">IF(B334="","",IFERROR(INDEX(EDT!$E$5:$E$436,MATCH(B334,EDT!$H$5:$H$436,0)),IFERROR(INDEX(CRONOGRAMA!$G$5:$G$5679,MATCH(A334,CRONOGRAMA!$A$5:$A$5679,0)),"Fuera EDT")))</f>
        <v/>
      </c>
      <c r="D334" s="16" t="str">
        <f aca="false">IF(C334="","",IFERROR(INDEX(MASTER!$B$19:$B$109,MATCH(C334,MASTER!$A$19:$A$109,0)),"Asignar fase"))</f>
        <v/>
      </c>
      <c r="E334" s="9"/>
      <c r="F334" s="9"/>
      <c r="G334" s="9"/>
      <c r="H334" s="56"/>
      <c r="I334" s="43"/>
      <c r="J334" s="43"/>
      <c r="K334" s="16" t="str">
        <f aca="false">IF(A334="","",COUNTIF(RESTRICCIONES!$B$5:$B$304,A334))</f>
        <v/>
      </c>
      <c r="L334" s="16" t="str">
        <f aca="false">IF(A334="","",COUNTIFS(RESTRICCIONES!$B$5:$B$304,A334,RESTRICCIONES!$L$5:$L$304,"Pendiente"))</f>
        <v/>
      </c>
      <c r="M334" s="18" t="str">
        <f aca="false">IF(A334="","",IF(L334=0,"LISTA","RESTRINGIDA"))</f>
        <v/>
      </c>
      <c r="N334" s="51" t="str">
        <f aca="false">IF(OR(A334="",H334=""),"",IFERROR(MIN(1,SUMIF(SEMANAL!$C$7:$C$506,A334,SEMANAL!$W$7:$W$506)/H334),0))</f>
        <v/>
      </c>
      <c r="O334" s="57"/>
      <c r="P334" s="57"/>
      <c r="Q334" s="57"/>
      <c r="R334" s="57"/>
      <c r="S334" s="57"/>
      <c r="T334" s="57"/>
      <c r="U334" s="9"/>
    </row>
    <row r="335" customFormat="false" ht="15" hidden="false" customHeight="false" outlineLevel="0" collapsed="false">
      <c r="A335" s="9"/>
      <c r="B335" s="9"/>
      <c r="C335" s="16" t="str">
        <f aca="false">IF(B335="","",IFERROR(INDEX(EDT!$E$5:$E$436,MATCH(B335,EDT!$H$5:$H$436,0)),IFERROR(INDEX(CRONOGRAMA!$G$5:$G$5679,MATCH(A335,CRONOGRAMA!$A$5:$A$5679,0)),"Fuera EDT")))</f>
        <v/>
      </c>
      <c r="D335" s="16" t="str">
        <f aca="false">IF(C335="","",IFERROR(INDEX(MASTER!$B$19:$B$109,MATCH(C335,MASTER!$A$19:$A$109,0)),"Asignar fase"))</f>
        <v/>
      </c>
      <c r="E335" s="9"/>
      <c r="F335" s="9"/>
      <c r="G335" s="9"/>
      <c r="H335" s="56"/>
      <c r="I335" s="43"/>
      <c r="J335" s="43"/>
      <c r="K335" s="16" t="str">
        <f aca="false">IF(A335="","",COUNTIF(RESTRICCIONES!$B$5:$B$304,A335))</f>
        <v/>
      </c>
      <c r="L335" s="16" t="str">
        <f aca="false">IF(A335="","",COUNTIFS(RESTRICCIONES!$B$5:$B$304,A335,RESTRICCIONES!$L$5:$L$304,"Pendiente"))</f>
        <v/>
      </c>
      <c r="M335" s="18" t="str">
        <f aca="false">IF(A335="","",IF(L335=0,"LISTA","RESTRINGIDA"))</f>
        <v/>
      </c>
      <c r="N335" s="51" t="str">
        <f aca="false">IF(OR(A335="",H335=""),"",IFERROR(MIN(1,SUMIF(SEMANAL!$C$7:$C$506,A335,SEMANAL!$W$7:$W$506)/H335),0))</f>
        <v/>
      </c>
      <c r="O335" s="57"/>
      <c r="P335" s="57"/>
      <c r="Q335" s="57"/>
      <c r="R335" s="57"/>
      <c r="S335" s="57"/>
      <c r="T335" s="57"/>
      <c r="U335" s="9"/>
    </row>
    <row r="336" customFormat="false" ht="15" hidden="false" customHeight="false" outlineLevel="0" collapsed="false">
      <c r="A336" s="9"/>
      <c r="B336" s="9"/>
      <c r="C336" s="16" t="str">
        <f aca="false">IF(B336="","",IFERROR(INDEX(EDT!$E$5:$E$436,MATCH(B336,EDT!$H$5:$H$436,0)),IFERROR(INDEX(CRONOGRAMA!$G$5:$G$5679,MATCH(A336,CRONOGRAMA!$A$5:$A$5679,0)),"Fuera EDT")))</f>
        <v/>
      </c>
      <c r="D336" s="16" t="str">
        <f aca="false">IF(C336="","",IFERROR(INDEX(MASTER!$B$19:$B$109,MATCH(C336,MASTER!$A$19:$A$109,0)),"Asignar fase"))</f>
        <v/>
      </c>
      <c r="E336" s="9"/>
      <c r="F336" s="9"/>
      <c r="G336" s="9"/>
      <c r="H336" s="56"/>
      <c r="I336" s="43"/>
      <c r="J336" s="43"/>
      <c r="K336" s="16" t="str">
        <f aca="false">IF(A336="","",COUNTIF(RESTRICCIONES!$B$5:$B$304,A336))</f>
        <v/>
      </c>
      <c r="L336" s="16" t="str">
        <f aca="false">IF(A336="","",COUNTIFS(RESTRICCIONES!$B$5:$B$304,A336,RESTRICCIONES!$L$5:$L$304,"Pendiente"))</f>
        <v/>
      </c>
      <c r="M336" s="18" t="str">
        <f aca="false">IF(A336="","",IF(L336=0,"LISTA","RESTRINGIDA"))</f>
        <v/>
      </c>
      <c r="N336" s="51" t="str">
        <f aca="false">IF(OR(A336="",H336=""),"",IFERROR(MIN(1,SUMIF(SEMANAL!$C$7:$C$506,A336,SEMANAL!$W$7:$W$506)/H336),0))</f>
        <v/>
      </c>
      <c r="O336" s="57"/>
      <c r="P336" s="57"/>
      <c r="Q336" s="57"/>
      <c r="R336" s="57"/>
      <c r="S336" s="57"/>
      <c r="T336" s="57"/>
      <c r="U336" s="9"/>
    </row>
    <row r="337" customFormat="false" ht="15" hidden="false" customHeight="false" outlineLevel="0" collapsed="false">
      <c r="A337" s="9"/>
      <c r="B337" s="9"/>
      <c r="C337" s="16" t="str">
        <f aca="false">IF(B337="","",IFERROR(INDEX(EDT!$E$5:$E$436,MATCH(B337,EDT!$H$5:$H$436,0)),IFERROR(INDEX(CRONOGRAMA!$G$5:$G$5679,MATCH(A337,CRONOGRAMA!$A$5:$A$5679,0)),"Fuera EDT")))</f>
        <v/>
      </c>
      <c r="D337" s="16" t="str">
        <f aca="false">IF(C337="","",IFERROR(INDEX(MASTER!$B$19:$B$109,MATCH(C337,MASTER!$A$19:$A$109,0)),"Asignar fase"))</f>
        <v/>
      </c>
      <c r="E337" s="9"/>
      <c r="F337" s="9"/>
      <c r="G337" s="9"/>
      <c r="H337" s="56"/>
      <c r="I337" s="43"/>
      <c r="J337" s="43"/>
      <c r="K337" s="16" t="str">
        <f aca="false">IF(A337="","",COUNTIF(RESTRICCIONES!$B$5:$B$304,A337))</f>
        <v/>
      </c>
      <c r="L337" s="16" t="str">
        <f aca="false">IF(A337="","",COUNTIFS(RESTRICCIONES!$B$5:$B$304,A337,RESTRICCIONES!$L$5:$L$304,"Pendiente"))</f>
        <v/>
      </c>
      <c r="M337" s="18" t="str">
        <f aca="false">IF(A337="","",IF(L337=0,"LISTA","RESTRINGIDA"))</f>
        <v/>
      </c>
      <c r="N337" s="51" t="str">
        <f aca="false">IF(OR(A337="",H337=""),"",IFERROR(MIN(1,SUMIF(SEMANAL!$C$7:$C$506,A337,SEMANAL!$W$7:$W$506)/H337),0))</f>
        <v/>
      </c>
      <c r="O337" s="57"/>
      <c r="P337" s="57"/>
      <c r="Q337" s="57"/>
      <c r="R337" s="57"/>
      <c r="S337" s="57"/>
      <c r="T337" s="57"/>
      <c r="U337" s="9"/>
    </row>
    <row r="338" customFormat="false" ht="15" hidden="false" customHeight="false" outlineLevel="0" collapsed="false">
      <c r="A338" s="9"/>
      <c r="B338" s="9"/>
      <c r="C338" s="16" t="str">
        <f aca="false">IF(B338="","",IFERROR(INDEX(EDT!$E$5:$E$436,MATCH(B338,EDT!$H$5:$H$436,0)),IFERROR(INDEX(CRONOGRAMA!$G$5:$G$5679,MATCH(A338,CRONOGRAMA!$A$5:$A$5679,0)),"Fuera EDT")))</f>
        <v/>
      </c>
      <c r="D338" s="16" t="str">
        <f aca="false">IF(C338="","",IFERROR(INDEX(MASTER!$B$19:$B$109,MATCH(C338,MASTER!$A$19:$A$109,0)),"Asignar fase"))</f>
        <v/>
      </c>
      <c r="E338" s="9"/>
      <c r="F338" s="9"/>
      <c r="G338" s="9"/>
      <c r="H338" s="56"/>
      <c r="I338" s="43"/>
      <c r="J338" s="43"/>
      <c r="K338" s="16" t="str">
        <f aca="false">IF(A338="","",COUNTIF(RESTRICCIONES!$B$5:$B$304,A338))</f>
        <v/>
      </c>
      <c r="L338" s="16" t="str">
        <f aca="false">IF(A338="","",COUNTIFS(RESTRICCIONES!$B$5:$B$304,A338,RESTRICCIONES!$L$5:$L$304,"Pendiente"))</f>
        <v/>
      </c>
      <c r="M338" s="18" t="str">
        <f aca="false">IF(A338="","",IF(L338=0,"LISTA","RESTRINGIDA"))</f>
        <v/>
      </c>
      <c r="N338" s="51" t="str">
        <f aca="false">IF(OR(A338="",H338=""),"",IFERROR(MIN(1,SUMIF(SEMANAL!$C$7:$C$506,A338,SEMANAL!$W$7:$W$506)/H338),0))</f>
        <v/>
      </c>
      <c r="O338" s="57"/>
      <c r="P338" s="57"/>
      <c r="Q338" s="57"/>
      <c r="R338" s="57"/>
      <c r="S338" s="57"/>
      <c r="T338" s="57"/>
      <c r="U338" s="9"/>
    </row>
    <row r="339" customFormat="false" ht="15" hidden="false" customHeight="false" outlineLevel="0" collapsed="false">
      <c r="A339" s="9"/>
      <c r="B339" s="9"/>
      <c r="C339" s="16" t="str">
        <f aca="false">IF(B339="","",IFERROR(INDEX(EDT!$E$5:$E$436,MATCH(B339,EDT!$H$5:$H$436,0)),IFERROR(INDEX(CRONOGRAMA!$G$5:$G$5679,MATCH(A339,CRONOGRAMA!$A$5:$A$5679,0)),"Fuera EDT")))</f>
        <v/>
      </c>
      <c r="D339" s="16" t="str">
        <f aca="false">IF(C339="","",IFERROR(INDEX(MASTER!$B$19:$B$109,MATCH(C339,MASTER!$A$19:$A$109,0)),"Asignar fase"))</f>
        <v/>
      </c>
      <c r="E339" s="9"/>
      <c r="F339" s="9"/>
      <c r="G339" s="9"/>
      <c r="H339" s="56"/>
      <c r="I339" s="43"/>
      <c r="J339" s="43"/>
      <c r="K339" s="16" t="str">
        <f aca="false">IF(A339="","",COUNTIF(RESTRICCIONES!$B$5:$B$304,A339))</f>
        <v/>
      </c>
      <c r="L339" s="16" t="str">
        <f aca="false">IF(A339="","",COUNTIFS(RESTRICCIONES!$B$5:$B$304,A339,RESTRICCIONES!$L$5:$L$304,"Pendiente"))</f>
        <v/>
      </c>
      <c r="M339" s="18" t="str">
        <f aca="false">IF(A339="","",IF(L339=0,"LISTA","RESTRINGIDA"))</f>
        <v/>
      </c>
      <c r="N339" s="51" t="str">
        <f aca="false">IF(OR(A339="",H339=""),"",IFERROR(MIN(1,SUMIF(SEMANAL!$C$7:$C$506,A339,SEMANAL!$W$7:$W$506)/H339),0))</f>
        <v/>
      </c>
      <c r="O339" s="57"/>
      <c r="P339" s="57"/>
      <c r="Q339" s="57"/>
      <c r="R339" s="57"/>
      <c r="S339" s="57"/>
      <c r="T339" s="57"/>
      <c r="U339" s="9"/>
    </row>
    <row r="340" customFormat="false" ht="15" hidden="false" customHeight="false" outlineLevel="0" collapsed="false">
      <c r="A340" s="9"/>
      <c r="B340" s="9"/>
      <c r="C340" s="16" t="str">
        <f aca="false">IF(B340="","",IFERROR(INDEX(EDT!$E$5:$E$436,MATCH(B340,EDT!$H$5:$H$436,0)),IFERROR(INDEX(CRONOGRAMA!$G$5:$G$5679,MATCH(A340,CRONOGRAMA!$A$5:$A$5679,0)),"Fuera EDT")))</f>
        <v/>
      </c>
      <c r="D340" s="16" t="str">
        <f aca="false">IF(C340="","",IFERROR(INDEX(MASTER!$B$19:$B$109,MATCH(C340,MASTER!$A$19:$A$109,0)),"Asignar fase"))</f>
        <v/>
      </c>
      <c r="E340" s="9"/>
      <c r="F340" s="9"/>
      <c r="G340" s="9"/>
      <c r="H340" s="56"/>
      <c r="I340" s="43"/>
      <c r="J340" s="43"/>
      <c r="K340" s="16" t="str">
        <f aca="false">IF(A340="","",COUNTIF(RESTRICCIONES!$B$5:$B$304,A340))</f>
        <v/>
      </c>
      <c r="L340" s="16" t="str">
        <f aca="false">IF(A340="","",COUNTIFS(RESTRICCIONES!$B$5:$B$304,A340,RESTRICCIONES!$L$5:$L$304,"Pendiente"))</f>
        <v/>
      </c>
      <c r="M340" s="18" t="str">
        <f aca="false">IF(A340="","",IF(L340=0,"LISTA","RESTRINGIDA"))</f>
        <v/>
      </c>
      <c r="N340" s="51" t="str">
        <f aca="false">IF(OR(A340="",H340=""),"",IFERROR(MIN(1,SUMIF(SEMANAL!$C$7:$C$506,A340,SEMANAL!$W$7:$W$506)/H340),0))</f>
        <v/>
      </c>
      <c r="O340" s="57"/>
      <c r="P340" s="57"/>
      <c r="Q340" s="57"/>
      <c r="R340" s="57"/>
      <c r="S340" s="57"/>
      <c r="T340" s="57"/>
      <c r="U340" s="9"/>
    </row>
    <row r="341" customFormat="false" ht="15" hidden="false" customHeight="false" outlineLevel="0" collapsed="false">
      <c r="A341" s="9"/>
      <c r="B341" s="9"/>
      <c r="C341" s="16" t="str">
        <f aca="false">IF(B341="","",IFERROR(INDEX(EDT!$E$5:$E$436,MATCH(B341,EDT!$H$5:$H$436,0)),IFERROR(INDEX(CRONOGRAMA!$G$5:$G$5679,MATCH(A341,CRONOGRAMA!$A$5:$A$5679,0)),"Fuera EDT")))</f>
        <v/>
      </c>
      <c r="D341" s="16" t="str">
        <f aca="false">IF(C341="","",IFERROR(INDEX(MASTER!$B$19:$B$109,MATCH(C341,MASTER!$A$19:$A$109,0)),"Asignar fase"))</f>
        <v/>
      </c>
      <c r="E341" s="9"/>
      <c r="F341" s="9"/>
      <c r="G341" s="9"/>
      <c r="H341" s="56"/>
      <c r="I341" s="43"/>
      <c r="J341" s="43"/>
      <c r="K341" s="16" t="str">
        <f aca="false">IF(A341="","",COUNTIF(RESTRICCIONES!$B$5:$B$304,A341))</f>
        <v/>
      </c>
      <c r="L341" s="16" t="str">
        <f aca="false">IF(A341="","",COUNTIFS(RESTRICCIONES!$B$5:$B$304,A341,RESTRICCIONES!$L$5:$L$304,"Pendiente"))</f>
        <v/>
      </c>
      <c r="M341" s="18" t="str">
        <f aca="false">IF(A341="","",IF(L341=0,"LISTA","RESTRINGIDA"))</f>
        <v/>
      </c>
      <c r="N341" s="51" t="str">
        <f aca="false">IF(OR(A341="",H341=""),"",IFERROR(MIN(1,SUMIF(SEMANAL!$C$7:$C$506,A341,SEMANAL!$W$7:$W$506)/H341),0))</f>
        <v/>
      </c>
      <c r="O341" s="57"/>
      <c r="P341" s="57"/>
      <c r="Q341" s="57"/>
      <c r="R341" s="57"/>
      <c r="S341" s="57"/>
      <c r="T341" s="57"/>
      <c r="U341" s="9"/>
    </row>
    <row r="342" customFormat="false" ht="15" hidden="false" customHeight="false" outlineLevel="0" collapsed="false">
      <c r="A342" s="9"/>
      <c r="B342" s="9"/>
      <c r="C342" s="16" t="str">
        <f aca="false">IF(B342="","",IFERROR(INDEX(EDT!$E$5:$E$436,MATCH(B342,EDT!$H$5:$H$436,0)),IFERROR(INDEX(CRONOGRAMA!$G$5:$G$5679,MATCH(A342,CRONOGRAMA!$A$5:$A$5679,0)),"Fuera EDT")))</f>
        <v/>
      </c>
      <c r="D342" s="16" t="str">
        <f aca="false">IF(C342="","",IFERROR(INDEX(MASTER!$B$19:$B$109,MATCH(C342,MASTER!$A$19:$A$109,0)),"Asignar fase"))</f>
        <v/>
      </c>
      <c r="E342" s="9"/>
      <c r="F342" s="9"/>
      <c r="G342" s="9"/>
      <c r="H342" s="56"/>
      <c r="I342" s="43"/>
      <c r="J342" s="43"/>
      <c r="K342" s="16" t="str">
        <f aca="false">IF(A342="","",COUNTIF(RESTRICCIONES!$B$5:$B$304,A342))</f>
        <v/>
      </c>
      <c r="L342" s="16" t="str">
        <f aca="false">IF(A342="","",COUNTIFS(RESTRICCIONES!$B$5:$B$304,A342,RESTRICCIONES!$L$5:$L$304,"Pendiente"))</f>
        <v/>
      </c>
      <c r="M342" s="18" t="str">
        <f aca="false">IF(A342="","",IF(L342=0,"LISTA","RESTRINGIDA"))</f>
        <v/>
      </c>
      <c r="N342" s="51" t="str">
        <f aca="false">IF(OR(A342="",H342=""),"",IFERROR(MIN(1,SUMIF(SEMANAL!$C$7:$C$506,A342,SEMANAL!$W$7:$W$506)/H342),0))</f>
        <v/>
      </c>
      <c r="O342" s="57"/>
      <c r="P342" s="57"/>
      <c r="Q342" s="57"/>
      <c r="R342" s="57"/>
      <c r="S342" s="57"/>
      <c r="T342" s="57"/>
      <c r="U342" s="9"/>
    </row>
    <row r="343" customFormat="false" ht="15" hidden="false" customHeight="false" outlineLevel="0" collapsed="false">
      <c r="A343" s="9"/>
      <c r="B343" s="9"/>
      <c r="C343" s="16" t="str">
        <f aca="false">IF(B343="","",IFERROR(INDEX(EDT!$E$5:$E$436,MATCH(B343,EDT!$H$5:$H$436,0)),IFERROR(INDEX(CRONOGRAMA!$G$5:$G$5679,MATCH(A343,CRONOGRAMA!$A$5:$A$5679,0)),"Fuera EDT")))</f>
        <v/>
      </c>
      <c r="D343" s="16" t="str">
        <f aca="false">IF(C343="","",IFERROR(INDEX(MASTER!$B$19:$B$109,MATCH(C343,MASTER!$A$19:$A$109,0)),"Asignar fase"))</f>
        <v/>
      </c>
      <c r="E343" s="9"/>
      <c r="F343" s="9"/>
      <c r="G343" s="9"/>
      <c r="H343" s="56"/>
      <c r="I343" s="43"/>
      <c r="J343" s="43"/>
      <c r="K343" s="16" t="str">
        <f aca="false">IF(A343="","",COUNTIF(RESTRICCIONES!$B$5:$B$304,A343))</f>
        <v/>
      </c>
      <c r="L343" s="16" t="str">
        <f aca="false">IF(A343="","",COUNTIFS(RESTRICCIONES!$B$5:$B$304,A343,RESTRICCIONES!$L$5:$L$304,"Pendiente"))</f>
        <v/>
      </c>
      <c r="M343" s="18" t="str">
        <f aca="false">IF(A343="","",IF(L343=0,"LISTA","RESTRINGIDA"))</f>
        <v/>
      </c>
      <c r="N343" s="51" t="str">
        <f aca="false">IF(OR(A343="",H343=""),"",IFERROR(MIN(1,SUMIF(SEMANAL!$C$7:$C$506,A343,SEMANAL!$W$7:$W$506)/H343),0))</f>
        <v/>
      </c>
      <c r="O343" s="57"/>
      <c r="P343" s="57"/>
      <c r="Q343" s="57"/>
      <c r="R343" s="57"/>
      <c r="S343" s="57"/>
      <c r="T343" s="57"/>
      <c r="U343" s="9"/>
    </row>
    <row r="344" customFormat="false" ht="15" hidden="false" customHeight="false" outlineLevel="0" collapsed="false">
      <c r="A344" s="9"/>
      <c r="B344" s="9"/>
      <c r="C344" s="16" t="str">
        <f aca="false">IF(B344="","",IFERROR(INDEX(EDT!$E$5:$E$436,MATCH(B344,EDT!$H$5:$H$436,0)),IFERROR(INDEX(CRONOGRAMA!$G$5:$G$5679,MATCH(A344,CRONOGRAMA!$A$5:$A$5679,0)),"Fuera EDT")))</f>
        <v/>
      </c>
      <c r="D344" s="16" t="str">
        <f aca="false">IF(C344="","",IFERROR(INDEX(MASTER!$B$19:$B$109,MATCH(C344,MASTER!$A$19:$A$109,0)),"Asignar fase"))</f>
        <v/>
      </c>
      <c r="E344" s="9"/>
      <c r="F344" s="9"/>
      <c r="G344" s="9"/>
      <c r="H344" s="56"/>
      <c r="I344" s="43"/>
      <c r="J344" s="43"/>
      <c r="K344" s="16" t="str">
        <f aca="false">IF(A344="","",COUNTIF(RESTRICCIONES!$B$5:$B$304,A344))</f>
        <v/>
      </c>
      <c r="L344" s="16" t="str">
        <f aca="false">IF(A344="","",COUNTIFS(RESTRICCIONES!$B$5:$B$304,A344,RESTRICCIONES!$L$5:$L$304,"Pendiente"))</f>
        <v/>
      </c>
      <c r="M344" s="18" t="str">
        <f aca="false">IF(A344="","",IF(L344=0,"LISTA","RESTRINGIDA"))</f>
        <v/>
      </c>
      <c r="N344" s="51" t="str">
        <f aca="false">IF(OR(A344="",H344=""),"",IFERROR(MIN(1,SUMIF(SEMANAL!$C$7:$C$506,A344,SEMANAL!$W$7:$W$506)/H344),0))</f>
        <v/>
      </c>
      <c r="O344" s="57"/>
      <c r="P344" s="57"/>
      <c r="Q344" s="57"/>
      <c r="R344" s="57"/>
      <c r="S344" s="57"/>
      <c r="T344" s="57"/>
      <c r="U344" s="9"/>
    </row>
    <row r="345" customFormat="false" ht="15" hidden="false" customHeight="false" outlineLevel="0" collapsed="false">
      <c r="A345" s="9"/>
      <c r="B345" s="9"/>
      <c r="C345" s="16" t="str">
        <f aca="false">IF(B345="","",IFERROR(INDEX(EDT!$E$5:$E$436,MATCH(B345,EDT!$H$5:$H$436,0)),IFERROR(INDEX(CRONOGRAMA!$G$5:$G$5679,MATCH(A345,CRONOGRAMA!$A$5:$A$5679,0)),"Fuera EDT")))</f>
        <v/>
      </c>
      <c r="D345" s="16" t="str">
        <f aca="false">IF(C345="","",IFERROR(INDEX(MASTER!$B$19:$B$109,MATCH(C345,MASTER!$A$19:$A$109,0)),"Asignar fase"))</f>
        <v/>
      </c>
      <c r="E345" s="9"/>
      <c r="F345" s="9"/>
      <c r="G345" s="9"/>
      <c r="H345" s="56"/>
      <c r="I345" s="43"/>
      <c r="J345" s="43"/>
      <c r="K345" s="16" t="str">
        <f aca="false">IF(A345="","",COUNTIF(RESTRICCIONES!$B$5:$B$304,A345))</f>
        <v/>
      </c>
      <c r="L345" s="16" t="str">
        <f aca="false">IF(A345="","",COUNTIFS(RESTRICCIONES!$B$5:$B$304,A345,RESTRICCIONES!$L$5:$L$304,"Pendiente"))</f>
        <v/>
      </c>
      <c r="M345" s="18" t="str">
        <f aca="false">IF(A345="","",IF(L345=0,"LISTA","RESTRINGIDA"))</f>
        <v/>
      </c>
      <c r="N345" s="51" t="str">
        <f aca="false">IF(OR(A345="",H345=""),"",IFERROR(MIN(1,SUMIF(SEMANAL!$C$7:$C$506,A345,SEMANAL!$W$7:$W$506)/H345),0))</f>
        <v/>
      </c>
      <c r="O345" s="57"/>
      <c r="P345" s="57"/>
      <c r="Q345" s="57"/>
      <c r="R345" s="57"/>
      <c r="S345" s="57"/>
      <c r="T345" s="57"/>
      <c r="U345" s="9"/>
    </row>
    <row r="346" customFormat="false" ht="15" hidden="false" customHeight="false" outlineLevel="0" collapsed="false">
      <c r="A346" s="9"/>
      <c r="B346" s="9"/>
      <c r="C346" s="16" t="str">
        <f aca="false">IF(B346="","",IFERROR(INDEX(EDT!$E$5:$E$436,MATCH(B346,EDT!$H$5:$H$436,0)),IFERROR(INDEX(CRONOGRAMA!$G$5:$G$5679,MATCH(A346,CRONOGRAMA!$A$5:$A$5679,0)),"Fuera EDT")))</f>
        <v/>
      </c>
      <c r="D346" s="16" t="str">
        <f aca="false">IF(C346="","",IFERROR(INDEX(MASTER!$B$19:$B$109,MATCH(C346,MASTER!$A$19:$A$109,0)),"Asignar fase"))</f>
        <v/>
      </c>
      <c r="E346" s="9"/>
      <c r="F346" s="9"/>
      <c r="G346" s="9"/>
      <c r="H346" s="56"/>
      <c r="I346" s="43"/>
      <c r="J346" s="43"/>
      <c r="K346" s="16" t="str">
        <f aca="false">IF(A346="","",COUNTIF(RESTRICCIONES!$B$5:$B$304,A346))</f>
        <v/>
      </c>
      <c r="L346" s="16" t="str">
        <f aca="false">IF(A346="","",COUNTIFS(RESTRICCIONES!$B$5:$B$304,A346,RESTRICCIONES!$L$5:$L$304,"Pendiente"))</f>
        <v/>
      </c>
      <c r="M346" s="18" t="str">
        <f aca="false">IF(A346="","",IF(L346=0,"LISTA","RESTRINGIDA"))</f>
        <v/>
      </c>
      <c r="N346" s="51" t="str">
        <f aca="false">IF(OR(A346="",H346=""),"",IFERROR(MIN(1,SUMIF(SEMANAL!$C$7:$C$506,A346,SEMANAL!$W$7:$W$506)/H346),0))</f>
        <v/>
      </c>
      <c r="O346" s="57"/>
      <c r="P346" s="57"/>
      <c r="Q346" s="57"/>
      <c r="R346" s="57"/>
      <c r="S346" s="57"/>
      <c r="T346" s="57"/>
      <c r="U346" s="9"/>
    </row>
    <row r="347" customFormat="false" ht="15" hidden="false" customHeight="false" outlineLevel="0" collapsed="false">
      <c r="A347" s="9"/>
      <c r="B347" s="9"/>
      <c r="C347" s="16" t="str">
        <f aca="false">IF(B347="","",IFERROR(INDEX(EDT!$E$5:$E$436,MATCH(B347,EDT!$H$5:$H$436,0)),IFERROR(INDEX(CRONOGRAMA!$G$5:$G$5679,MATCH(A347,CRONOGRAMA!$A$5:$A$5679,0)),"Fuera EDT")))</f>
        <v/>
      </c>
      <c r="D347" s="16" t="str">
        <f aca="false">IF(C347="","",IFERROR(INDEX(MASTER!$B$19:$B$109,MATCH(C347,MASTER!$A$19:$A$109,0)),"Asignar fase"))</f>
        <v/>
      </c>
      <c r="E347" s="9"/>
      <c r="F347" s="9"/>
      <c r="G347" s="9"/>
      <c r="H347" s="56"/>
      <c r="I347" s="43"/>
      <c r="J347" s="43"/>
      <c r="K347" s="16" t="str">
        <f aca="false">IF(A347="","",COUNTIF(RESTRICCIONES!$B$5:$B$304,A347))</f>
        <v/>
      </c>
      <c r="L347" s="16" t="str">
        <f aca="false">IF(A347="","",COUNTIFS(RESTRICCIONES!$B$5:$B$304,A347,RESTRICCIONES!$L$5:$L$304,"Pendiente"))</f>
        <v/>
      </c>
      <c r="M347" s="18" t="str">
        <f aca="false">IF(A347="","",IF(L347=0,"LISTA","RESTRINGIDA"))</f>
        <v/>
      </c>
      <c r="N347" s="51" t="str">
        <f aca="false">IF(OR(A347="",H347=""),"",IFERROR(MIN(1,SUMIF(SEMANAL!$C$7:$C$506,A347,SEMANAL!$W$7:$W$506)/H347),0))</f>
        <v/>
      </c>
      <c r="O347" s="57"/>
      <c r="P347" s="57"/>
      <c r="Q347" s="57"/>
      <c r="R347" s="57"/>
      <c r="S347" s="57"/>
      <c r="T347" s="57"/>
      <c r="U347" s="9"/>
    </row>
    <row r="348" customFormat="false" ht="15" hidden="false" customHeight="false" outlineLevel="0" collapsed="false">
      <c r="A348" s="9"/>
      <c r="B348" s="9"/>
      <c r="C348" s="16" t="str">
        <f aca="false">IF(B348="","",IFERROR(INDEX(EDT!$E$5:$E$436,MATCH(B348,EDT!$H$5:$H$436,0)),IFERROR(INDEX(CRONOGRAMA!$G$5:$G$5679,MATCH(A348,CRONOGRAMA!$A$5:$A$5679,0)),"Fuera EDT")))</f>
        <v/>
      </c>
      <c r="D348" s="16" t="str">
        <f aca="false">IF(C348="","",IFERROR(INDEX(MASTER!$B$19:$B$109,MATCH(C348,MASTER!$A$19:$A$109,0)),"Asignar fase"))</f>
        <v/>
      </c>
      <c r="E348" s="9"/>
      <c r="F348" s="9"/>
      <c r="G348" s="9"/>
      <c r="H348" s="56"/>
      <c r="I348" s="43"/>
      <c r="J348" s="43"/>
      <c r="K348" s="16" t="str">
        <f aca="false">IF(A348="","",COUNTIF(RESTRICCIONES!$B$5:$B$304,A348))</f>
        <v/>
      </c>
      <c r="L348" s="16" t="str">
        <f aca="false">IF(A348="","",COUNTIFS(RESTRICCIONES!$B$5:$B$304,A348,RESTRICCIONES!$L$5:$L$304,"Pendiente"))</f>
        <v/>
      </c>
      <c r="M348" s="18" t="str">
        <f aca="false">IF(A348="","",IF(L348=0,"LISTA","RESTRINGIDA"))</f>
        <v/>
      </c>
      <c r="N348" s="51" t="str">
        <f aca="false">IF(OR(A348="",H348=""),"",IFERROR(MIN(1,SUMIF(SEMANAL!$C$7:$C$506,A348,SEMANAL!$W$7:$W$506)/H348),0))</f>
        <v/>
      </c>
      <c r="O348" s="57"/>
      <c r="P348" s="57"/>
      <c r="Q348" s="57"/>
      <c r="R348" s="57"/>
      <c r="S348" s="57"/>
      <c r="T348" s="57"/>
      <c r="U348" s="9"/>
    </row>
    <row r="349" customFormat="false" ht="15" hidden="false" customHeight="false" outlineLevel="0" collapsed="false">
      <c r="A349" s="9"/>
      <c r="B349" s="9"/>
      <c r="C349" s="16" t="str">
        <f aca="false">IF(B349="","",IFERROR(INDEX(EDT!$E$5:$E$436,MATCH(B349,EDT!$H$5:$H$436,0)),IFERROR(INDEX(CRONOGRAMA!$G$5:$G$5679,MATCH(A349,CRONOGRAMA!$A$5:$A$5679,0)),"Fuera EDT")))</f>
        <v/>
      </c>
      <c r="D349" s="16" t="str">
        <f aca="false">IF(C349="","",IFERROR(INDEX(MASTER!$B$19:$B$109,MATCH(C349,MASTER!$A$19:$A$109,0)),"Asignar fase"))</f>
        <v/>
      </c>
      <c r="E349" s="9"/>
      <c r="F349" s="9"/>
      <c r="G349" s="9"/>
      <c r="H349" s="56"/>
      <c r="I349" s="43"/>
      <c r="J349" s="43"/>
      <c r="K349" s="16" t="str">
        <f aca="false">IF(A349="","",COUNTIF(RESTRICCIONES!$B$5:$B$304,A349))</f>
        <v/>
      </c>
      <c r="L349" s="16" t="str">
        <f aca="false">IF(A349="","",COUNTIFS(RESTRICCIONES!$B$5:$B$304,A349,RESTRICCIONES!$L$5:$L$304,"Pendiente"))</f>
        <v/>
      </c>
      <c r="M349" s="18" t="str">
        <f aca="false">IF(A349="","",IF(L349=0,"LISTA","RESTRINGIDA"))</f>
        <v/>
      </c>
      <c r="N349" s="51" t="str">
        <f aca="false">IF(OR(A349="",H349=""),"",IFERROR(MIN(1,SUMIF(SEMANAL!$C$7:$C$506,A349,SEMANAL!$W$7:$W$506)/H349),0))</f>
        <v/>
      </c>
      <c r="O349" s="57"/>
      <c r="P349" s="57"/>
      <c r="Q349" s="57"/>
      <c r="R349" s="57"/>
      <c r="S349" s="57"/>
      <c r="T349" s="57"/>
      <c r="U349" s="9"/>
    </row>
    <row r="350" customFormat="false" ht="15" hidden="false" customHeight="false" outlineLevel="0" collapsed="false">
      <c r="A350" s="9"/>
      <c r="B350" s="9"/>
      <c r="C350" s="16" t="str">
        <f aca="false">IF(B350="","",IFERROR(INDEX(EDT!$E$5:$E$436,MATCH(B350,EDT!$H$5:$H$436,0)),IFERROR(INDEX(CRONOGRAMA!$G$5:$G$5679,MATCH(A350,CRONOGRAMA!$A$5:$A$5679,0)),"Fuera EDT")))</f>
        <v/>
      </c>
      <c r="D350" s="16" t="str">
        <f aca="false">IF(C350="","",IFERROR(INDEX(MASTER!$B$19:$B$109,MATCH(C350,MASTER!$A$19:$A$109,0)),"Asignar fase"))</f>
        <v/>
      </c>
      <c r="E350" s="9"/>
      <c r="F350" s="9"/>
      <c r="G350" s="9"/>
      <c r="H350" s="56"/>
      <c r="I350" s="43"/>
      <c r="J350" s="43"/>
      <c r="K350" s="16" t="str">
        <f aca="false">IF(A350="","",COUNTIF(RESTRICCIONES!$B$5:$B$304,A350))</f>
        <v/>
      </c>
      <c r="L350" s="16" t="str">
        <f aca="false">IF(A350="","",COUNTIFS(RESTRICCIONES!$B$5:$B$304,A350,RESTRICCIONES!$L$5:$L$304,"Pendiente"))</f>
        <v/>
      </c>
      <c r="M350" s="18" t="str">
        <f aca="false">IF(A350="","",IF(L350=0,"LISTA","RESTRINGIDA"))</f>
        <v/>
      </c>
      <c r="N350" s="51" t="str">
        <f aca="false">IF(OR(A350="",H350=""),"",IFERROR(MIN(1,SUMIF(SEMANAL!$C$7:$C$506,A350,SEMANAL!$W$7:$W$506)/H350),0))</f>
        <v/>
      </c>
      <c r="O350" s="57"/>
      <c r="P350" s="57"/>
      <c r="Q350" s="57"/>
      <c r="R350" s="57"/>
      <c r="S350" s="57"/>
      <c r="T350" s="57"/>
      <c r="U350" s="9"/>
    </row>
    <row r="351" customFormat="false" ht="15" hidden="false" customHeight="false" outlineLevel="0" collapsed="false">
      <c r="A351" s="9"/>
      <c r="B351" s="9"/>
      <c r="C351" s="16" t="str">
        <f aca="false">IF(B351="","",IFERROR(INDEX(EDT!$E$5:$E$436,MATCH(B351,EDT!$H$5:$H$436,0)),IFERROR(INDEX(CRONOGRAMA!$G$5:$G$5679,MATCH(A351,CRONOGRAMA!$A$5:$A$5679,0)),"Fuera EDT")))</f>
        <v/>
      </c>
      <c r="D351" s="16" t="str">
        <f aca="false">IF(C351="","",IFERROR(INDEX(MASTER!$B$19:$B$109,MATCH(C351,MASTER!$A$19:$A$109,0)),"Asignar fase"))</f>
        <v/>
      </c>
      <c r="E351" s="9"/>
      <c r="F351" s="9"/>
      <c r="G351" s="9"/>
      <c r="H351" s="56"/>
      <c r="I351" s="43"/>
      <c r="J351" s="43"/>
      <c r="K351" s="16" t="str">
        <f aca="false">IF(A351="","",COUNTIF(RESTRICCIONES!$B$5:$B$304,A351))</f>
        <v/>
      </c>
      <c r="L351" s="16" t="str">
        <f aca="false">IF(A351="","",COUNTIFS(RESTRICCIONES!$B$5:$B$304,A351,RESTRICCIONES!$L$5:$L$304,"Pendiente"))</f>
        <v/>
      </c>
      <c r="M351" s="18" t="str">
        <f aca="false">IF(A351="","",IF(L351=0,"LISTA","RESTRINGIDA"))</f>
        <v/>
      </c>
      <c r="N351" s="51" t="str">
        <f aca="false">IF(OR(A351="",H351=""),"",IFERROR(MIN(1,SUMIF(SEMANAL!$C$7:$C$506,A351,SEMANAL!$W$7:$W$506)/H351),0))</f>
        <v/>
      </c>
      <c r="O351" s="57"/>
      <c r="P351" s="57"/>
      <c r="Q351" s="57"/>
      <c r="R351" s="57"/>
      <c r="S351" s="57"/>
      <c r="T351" s="57"/>
      <c r="U351" s="9"/>
    </row>
    <row r="352" customFormat="false" ht="15" hidden="false" customHeight="false" outlineLevel="0" collapsed="false">
      <c r="A352" s="9"/>
      <c r="B352" s="9"/>
      <c r="C352" s="16" t="str">
        <f aca="false">IF(B352="","",IFERROR(INDEX(EDT!$E$5:$E$436,MATCH(B352,EDT!$H$5:$H$436,0)),IFERROR(INDEX(CRONOGRAMA!$G$5:$G$5679,MATCH(A352,CRONOGRAMA!$A$5:$A$5679,0)),"Fuera EDT")))</f>
        <v/>
      </c>
      <c r="D352" s="16" t="str">
        <f aca="false">IF(C352="","",IFERROR(INDEX(MASTER!$B$19:$B$109,MATCH(C352,MASTER!$A$19:$A$109,0)),"Asignar fase"))</f>
        <v/>
      </c>
      <c r="E352" s="9"/>
      <c r="F352" s="9"/>
      <c r="G352" s="9"/>
      <c r="H352" s="56"/>
      <c r="I352" s="43"/>
      <c r="J352" s="43"/>
      <c r="K352" s="16" t="str">
        <f aca="false">IF(A352="","",COUNTIF(RESTRICCIONES!$B$5:$B$304,A352))</f>
        <v/>
      </c>
      <c r="L352" s="16" t="str">
        <f aca="false">IF(A352="","",COUNTIFS(RESTRICCIONES!$B$5:$B$304,A352,RESTRICCIONES!$L$5:$L$304,"Pendiente"))</f>
        <v/>
      </c>
      <c r="M352" s="18" t="str">
        <f aca="false">IF(A352="","",IF(L352=0,"LISTA","RESTRINGIDA"))</f>
        <v/>
      </c>
      <c r="N352" s="51" t="str">
        <f aca="false">IF(OR(A352="",H352=""),"",IFERROR(MIN(1,SUMIF(SEMANAL!$C$7:$C$506,A352,SEMANAL!$W$7:$W$506)/H352),0))</f>
        <v/>
      </c>
      <c r="O352" s="57"/>
      <c r="P352" s="57"/>
      <c r="Q352" s="57"/>
      <c r="R352" s="57"/>
      <c r="S352" s="57"/>
      <c r="T352" s="57"/>
      <c r="U352" s="9"/>
    </row>
    <row r="353" customFormat="false" ht="15" hidden="false" customHeight="false" outlineLevel="0" collapsed="false">
      <c r="A353" s="9"/>
      <c r="B353" s="9"/>
      <c r="C353" s="16" t="str">
        <f aca="false">IF(B353="","",IFERROR(INDEX(EDT!$E$5:$E$436,MATCH(B353,EDT!$H$5:$H$436,0)),IFERROR(INDEX(CRONOGRAMA!$G$5:$G$5679,MATCH(A353,CRONOGRAMA!$A$5:$A$5679,0)),"Fuera EDT")))</f>
        <v/>
      </c>
      <c r="D353" s="16" t="str">
        <f aca="false">IF(C353="","",IFERROR(INDEX(MASTER!$B$19:$B$109,MATCH(C353,MASTER!$A$19:$A$109,0)),"Asignar fase"))</f>
        <v/>
      </c>
      <c r="E353" s="9"/>
      <c r="F353" s="9"/>
      <c r="G353" s="9"/>
      <c r="H353" s="56"/>
      <c r="I353" s="43"/>
      <c r="J353" s="43"/>
      <c r="K353" s="16" t="str">
        <f aca="false">IF(A353="","",COUNTIF(RESTRICCIONES!$B$5:$B$304,A353))</f>
        <v/>
      </c>
      <c r="L353" s="16" t="str">
        <f aca="false">IF(A353="","",COUNTIFS(RESTRICCIONES!$B$5:$B$304,A353,RESTRICCIONES!$L$5:$L$304,"Pendiente"))</f>
        <v/>
      </c>
      <c r="M353" s="18" t="str">
        <f aca="false">IF(A353="","",IF(L353=0,"LISTA","RESTRINGIDA"))</f>
        <v/>
      </c>
      <c r="N353" s="51" t="str">
        <f aca="false">IF(OR(A353="",H353=""),"",IFERROR(MIN(1,SUMIF(SEMANAL!$C$7:$C$506,A353,SEMANAL!$W$7:$W$506)/H353),0))</f>
        <v/>
      </c>
      <c r="O353" s="57"/>
      <c r="P353" s="57"/>
      <c r="Q353" s="57"/>
      <c r="R353" s="57"/>
      <c r="S353" s="57"/>
      <c r="T353" s="57"/>
      <c r="U353" s="9"/>
    </row>
    <row r="354" customFormat="false" ht="15" hidden="false" customHeight="false" outlineLevel="0" collapsed="false">
      <c r="A354" s="9"/>
      <c r="B354" s="9"/>
      <c r="C354" s="16" t="str">
        <f aca="false">IF(B354="","",IFERROR(INDEX(EDT!$E$5:$E$436,MATCH(B354,EDT!$H$5:$H$436,0)),IFERROR(INDEX(CRONOGRAMA!$G$5:$G$5679,MATCH(A354,CRONOGRAMA!$A$5:$A$5679,0)),"Fuera EDT")))</f>
        <v/>
      </c>
      <c r="D354" s="16" t="str">
        <f aca="false">IF(C354="","",IFERROR(INDEX(MASTER!$B$19:$B$109,MATCH(C354,MASTER!$A$19:$A$109,0)),"Asignar fase"))</f>
        <v/>
      </c>
      <c r="E354" s="9"/>
      <c r="F354" s="9"/>
      <c r="G354" s="9"/>
      <c r="H354" s="56"/>
      <c r="I354" s="43"/>
      <c r="J354" s="43"/>
      <c r="K354" s="16" t="str">
        <f aca="false">IF(A354="","",COUNTIF(RESTRICCIONES!$B$5:$B$304,A354))</f>
        <v/>
      </c>
      <c r="L354" s="16" t="str">
        <f aca="false">IF(A354="","",COUNTIFS(RESTRICCIONES!$B$5:$B$304,A354,RESTRICCIONES!$L$5:$L$304,"Pendiente"))</f>
        <v/>
      </c>
      <c r="M354" s="18" t="str">
        <f aca="false">IF(A354="","",IF(L354=0,"LISTA","RESTRINGIDA"))</f>
        <v/>
      </c>
      <c r="N354" s="51" t="str">
        <f aca="false">IF(OR(A354="",H354=""),"",IFERROR(MIN(1,SUMIF(SEMANAL!$C$7:$C$506,A354,SEMANAL!$W$7:$W$506)/H354),0))</f>
        <v/>
      </c>
      <c r="O354" s="57"/>
      <c r="P354" s="57"/>
      <c r="Q354" s="57"/>
      <c r="R354" s="57"/>
      <c r="S354" s="57"/>
      <c r="T354" s="57"/>
      <c r="U354" s="9"/>
    </row>
    <row r="355" customFormat="false" ht="15" hidden="false" customHeight="false" outlineLevel="0" collapsed="false">
      <c r="A355" s="9"/>
      <c r="B355" s="9"/>
      <c r="C355" s="16" t="str">
        <f aca="false">IF(B355="","",IFERROR(INDEX(EDT!$E$5:$E$436,MATCH(B355,EDT!$H$5:$H$436,0)),IFERROR(INDEX(CRONOGRAMA!$G$5:$G$5679,MATCH(A355,CRONOGRAMA!$A$5:$A$5679,0)),"Fuera EDT")))</f>
        <v/>
      </c>
      <c r="D355" s="16" t="str">
        <f aca="false">IF(C355="","",IFERROR(INDEX(MASTER!$B$19:$B$109,MATCH(C355,MASTER!$A$19:$A$109,0)),"Asignar fase"))</f>
        <v/>
      </c>
      <c r="E355" s="9"/>
      <c r="F355" s="9"/>
      <c r="G355" s="9"/>
      <c r="H355" s="56"/>
      <c r="I355" s="43"/>
      <c r="J355" s="43"/>
      <c r="K355" s="16" t="str">
        <f aca="false">IF(A355="","",COUNTIF(RESTRICCIONES!$B$5:$B$304,A355))</f>
        <v/>
      </c>
      <c r="L355" s="16" t="str">
        <f aca="false">IF(A355="","",COUNTIFS(RESTRICCIONES!$B$5:$B$304,A355,RESTRICCIONES!$L$5:$L$304,"Pendiente"))</f>
        <v/>
      </c>
      <c r="M355" s="18" t="str">
        <f aca="false">IF(A355="","",IF(L355=0,"LISTA","RESTRINGIDA"))</f>
        <v/>
      </c>
      <c r="N355" s="51" t="str">
        <f aca="false">IF(OR(A355="",H355=""),"",IFERROR(MIN(1,SUMIF(SEMANAL!$C$7:$C$506,A355,SEMANAL!$W$7:$W$506)/H355),0))</f>
        <v/>
      </c>
      <c r="O355" s="57"/>
      <c r="P355" s="57"/>
      <c r="Q355" s="57"/>
      <c r="R355" s="57"/>
      <c r="S355" s="57"/>
      <c r="T355" s="57"/>
      <c r="U355" s="9"/>
    </row>
    <row r="356" customFormat="false" ht="15" hidden="false" customHeight="false" outlineLevel="0" collapsed="false">
      <c r="A356" s="9"/>
      <c r="B356" s="9"/>
      <c r="C356" s="16" t="str">
        <f aca="false">IF(B356="","",IFERROR(INDEX(EDT!$E$5:$E$436,MATCH(B356,EDT!$H$5:$H$436,0)),IFERROR(INDEX(CRONOGRAMA!$G$5:$G$5679,MATCH(A356,CRONOGRAMA!$A$5:$A$5679,0)),"Fuera EDT")))</f>
        <v/>
      </c>
      <c r="D356" s="16" t="str">
        <f aca="false">IF(C356="","",IFERROR(INDEX(MASTER!$B$19:$B$109,MATCH(C356,MASTER!$A$19:$A$109,0)),"Asignar fase"))</f>
        <v/>
      </c>
      <c r="E356" s="9"/>
      <c r="F356" s="9"/>
      <c r="G356" s="9"/>
      <c r="H356" s="56"/>
      <c r="I356" s="43"/>
      <c r="J356" s="43"/>
      <c r="K356" s="16" t="str">
        <f aca="false">IF(A356="","",COUNTIF(RESTRICCIONES!$B$5:$B$304,A356))</f>
        <v/>
      </c>
      <c r="L356" s="16" t="str">
        <f aca="false">IF(A356="","",COUNTIFS(RESTRICCIONES!$B$5:$B$304,A356,RESTRICCIONES!$L$5:$L$304,"Pendiente"))</f>
        <v/>
      </c>
      <c r="M356" s="18" t="str">
        <f aca="false">IF(A356="","",IF(L356=0,"LISTA","RESTRINGIDA"))</f>
        <v/>
      </c>
      <c r="N356" s="51" t="str">
        <f aca="false">IF(OR(A356="",H356=""),"",IFERROR(MIN(1,SUMIF(SEMANAL!$C$7:$C$506,A356,SEMANAL!$W$7:$W$506)/H356),0))</f>
        <v/>
      </c>
      <c r="O356" s="57"/>
      <c r="P356" s="57"/>
      <c r="Q356" s="57"/>
      <c r="R356" s="57"/>
      <c r="S356" s="57"/>
      <c r="T356" s="57"/>
      <c r="U356" s="9"/>
    </row>
    <row r="357" customFormat="false" ht="15" hidden="false" customHeight="false" outlineLevel="0" collapsed="false">
      <c r="A357" s="9"/>
      <c r="B357" s="9"/>
      <c r="C357" s="16" t="str">
        <f aca="false">IF(B357="","",IFERROR(INDEX(EDT!$E$5:$E$436,MATCH(B357,EDT!$H$5:$H$436,0)),IFERROR(INDEX(CRONOGRAMA!$G$5:$G$5679,MATCH(A357,CRONOGRAMA!$A$5:$A$5679,0)),"Fuera EDT")))</f>
        <v/>
      </c>
      <c r="D357" s="16" t="str">
        <f aca="false">IF(C357="","",IFERROR(INDEX(MASTER!$B$19:$B$109,MATCH(C357,MASTER!$A$19:$A$109,0)),"Asignar fase"))</f>
        <v/>
      </c>
      <c r="E357" s="9"/>
      <c r="F357" s="9"/>
      <c r="G357" s="9"/>
      <c r="H357" s="56"/>
      <c r="I357" s="43"/>
      <c r="J357" s="43"/>
      <c r="K357" s="16" t="str">
        <f aca="false">IF(A357="","",COUNTIF(RESTRICCIONES!$B$5:$B$304,A357))</f>
        <v/>
      </c>
      <c r="L357" s="16" t="str">
        <f aca="false">IF(A357="","",COUNTIFS(RESTRICCIONES!$B$5:$B$304,A357,RESTRICCIONES!$L$5:$L$304,"Pendiente"))</f>
        <v/>
      </c>
      <c r="M357" s="18" t="str">
        <f aca="false">IF(A357="","",IF(L357=0,"LISTA","RESTRINGIDA"))</f>
        <v/>
      </c>
      <c r="N357" s="51" t="str">
        <f aca="false">IF(OR(A357="",H357=""),"",IFERROR(MIN(1,SUMIF(SEMANAL!$C$7:$C$506,A357,SEMANAL!$W$7:$W$506)/H357),0))</f>
        <v/>
      </c>
      <c r="O357" s="57"/>
      <c r="P357" s="57"/>
      <c r="Q357" s="57"/>
      <c r="R357" s="57"/>
      <c r="S357" s="57"/>
      <c r="T357" s="57"/>
      <c r="U357" s="9"/>
    </row>
    <row r="358" customFormat="false" ht="15" hidden="false" customHeight="false" outlineLevel="0" collapsed="false">
      <c r="A358" s="9"/>
      <c r="B358" s="9"/>
      <c r="C358" s="16" t="str">
        <f aca="false">IF(B358="","",IFERROR(INDEX(EDT!$E$5:$E$436,MATCH(B358,EDT!$H$5:$H$436,0)),IFERROR(INDEX(CRONOGRAMA!$G$5:$G$5679,MATCH(A358,CRONOGRAMA!$A$5:$A$5679,0)),"Fuera EDT")))</f>
        <v/>
      </c>
      <c r="D358" s="16" t="str">
        <f aca="false">IF(C358="","",IFERROR(INDEX(MASTER!$B$19:$B$109,MATCH(C358,MASTER!$A$19:$A$109,0)),"Asignar fase"))</f>
        <v/>
      </c>
      <c r="E358" s="9"/>
      <c r="F358" s="9"/>
      <c r="G358" s="9"/>
      <c r="H358" s="56"/>
      <c r="I358" s="43"/>
      <c r="J358" s="43"/>
      <c r="K358" s="16" t="str">
        <f aca="false">IF(A358="","",COUNTIF(RESTRICCIONES!$B$5:$B$304,A358))</f>
        <v/>
      </c>
      <c r="L358" s="16" t="str">
        <f aca="false">IF(A358="","",COUNTIFS(RESTRICCIONES!$B$5:$B$304,A358,RESTRICCIONES!$L$5:$L$304,"Pendiente"))</f>
        <v/>
      </c>
      <c r="M358" s="18" t="str">
        <f aca="false">IF(A358="","",IF(L358=0,"LISTA","RESTRINGIDA"))</f>
        <v/>
      </c>
      <c r="N358" s="51" t="str">
        <f aca="false">IF(OR(A358="",H358=""),"",IFERROR(MIN(1,SUMIF(SEMANAL!$C$7:$C$506,A358,SEMANAL!$W$7:$W$506)/H358),0))</f>
        <v/>
      </c>
      <c r="O358" s="57"/>
      <c r="P358" s="57"/>
      <c r="Q358" s="57"/>
      <c r="R358" s="57"/>
      <c r="S358" s="57"/>
      <c r="T358" s="57"/>
      <c r="U358" s="9"/>
    </row>
    <row r="359" customFormat="false" ht="15" hidden="false" customHeight="false" outlineLevel="0" collapsed="false">
      <c r="A359" s="9"/>
      <c r="B359" s="9"/>
      <c r="C359" s="16" t="str">
        <f aca="false">IF(B359="","",IFERROR(INDEX(EDT!$E$5:$E$436,MATCH(B359,EDT!$H$5:$H$436,0)),IFERROR(INDEX(CRONOGRAMA!$G$5:$G$5679,MATCH(A359,CRONOGRAMA!$A$5:$A$5679,0)),"Fuera EDT")))</f>
        <v/>
      </c>
      <c r="D359" s="16" t="str">
        <f aca="false">IF(C359="","",IFERROR(INDEX(MASTER!$B$19:$B$109,MATCH(C359,MASTER!$A$19:$A$109,0)),"Asignar fase"))</f>
        <v/>
      </c>
      <c r="E359" s="9"/>
      <c r="F359" s="9"/>
      <c r="G359" s="9"/>
      <c r="H359" s="56"/>
      <c r="I359" s="43"/>
      <c r="J359" s="43"/>
      <c r="K359" s="16" t="str">
        <f aca="false">IF(A359="","",COUNTIF(RESTRICCIONES!$B$5:$B$304,A359))</f>
        <v/>
      </c>
      <c r="L359" s="16" t="str">
        <f aca="false">IF(A359="","",COUNTIFS(RESTRICCIONES!$B$5:$B$304,A359,RESTRICCIONES!$L$5:$L$304,"Pendiente"))</f>
        <v/>
      </c>
      <c r="M359" s="18" t="str">
        <f aca="false">IF(A359="","",IF(L359=0,"LISTA","RESTRINGIDA"))</f>
        <v/>
      </c>
      <c r="N359" s="51" t="str">
        <f aca="false">IF(OR(A359="",H359=""),"",IFERROR(MIN(1,SUMIF(SEMANAL!$C$7:$C$506,A359,SEMANAL!$W$7:$W$506)/H359),0))</f>
        <v/>
      </c>
      <c r="O359" s="57"/>
      <c r="P359" s="57"/>
      <c r="Q359" s="57"/>
      <c r="R359" s="57"/>
      <c r="S359" s="57"/>
      <c r="T359" s="57"/>
      <c r="U359" s="9"/>
    </row>
    <row r="360" customFormat="false" ht="15" hidden="false" customHeight="false" outlineLevel="0" collapsed="false">
      <c r="A360" s="9"/>
      <c r="B360" s="9"/>
      <c r="C360" s="16" t="str">
        <f aca="false">IF(B360="","",IFERROR(INDEX(EDT!$E$5:$E$436,MATCH(B360,EDT!$H$5:$H$436,0)),IFERROR(INDEX(CRONOGRAMA!$G$5:$G$5679,MATCH(A360,CRONOGRAMA!$A$5:$A$5679,0)),"Fuera EDT")))</f>
        <v/>
      </c>
      <c r="D360" s="16" t="str">
        <f aca="false">IF(C360="","",IFERROR(INDEX(MASTER!$B$19:$B$109,MATCH(C360,MASTER!$A$19:$A$109,0)),"Asignar fase"))</f>
        <v/>
      </c>
      <c r="E360" s="9"/>
      <c r="F360" s="9"/>
      <c r="G360" s="9"/>
      <c r="H360" s="56"/>
      <c r="I360" s="43"/>
      <c r="J360" s="43"/>
      <c r="K360" s="16" t="str">
        <f aca="false">IF(A360="","",COUNTIF(RESTRICCIONES!$B$5:$B$304,A360))</f>
        <v/>
      </c>
      <c r="L360" s="16" t="str">
        <f aca="false">IF(A360="","",COUNTIFS(RESTRICCIONES!$B$5:$B$304,A360,RESTRICCIONES!$L$5:$L$304,"Pendiente"))</f>
        <v/>
      </c>
      <c r="M360" s="18" t="str">
        <f aca="false">IF(A360="","",IF(L360=0,"LISTA","RESTRINGIDA"))</f>
        <v/>
      </c>
      <c r="N360" s="51" t="str">
        <f aca="false">IF(OR(A360="",H360=""),"",IFERROR(MIN(1,SUMIF(SEMANAL!$C$7:$C$506,A360,SEMANAL!$W$7:$W$506)/H360),0))</f>
        <v/>
      </c>
      <c r="O360" s="57"/>
      <c r="P360" s="57"/>
      <c r="Q360" s="57"/>
      <c r="R360" s="57"/>
      <c r="S360" s="57"/>
      <c r="T360" s="57"/>
      <c r="U360" s="9"/>
    </row>
    <row r="361" customFormat="false" ht="15" hidden="false" customHeight="false" outlineLevel="0" collapsed="false">
      <c r="A361" s="9"/>
      <c r="B361" s="9"/>
      <c r="C361" s="16" t="str">
        <f aca="false">IF(B361="","",IFERROR(INDEX(EDT!$E$5:$E$436,MATCH(B361,EDT!$H$5:$H$436,0)),IFERROR(INDEX(CRONOGRAMA!$G$5:$G$5679,MATCH(A361,CRONOGRAMA!$A$5:$A$5679,0)),"Fuera EDT")))</f>
        <v/>
      </c>
      <c r="D361" s="16" t="str">
        <f aca="false">IF(C361="","",IFERROR(INDEX(MASTER!$B$19:$B$109,MATCH(C361,MASTER!$A$19:$A$109,0)),"Asignar fase"))</f>
        <v/>
      </c>
      <c r="E361" s="9"/>
      <c r="F361" s="9"/>
      <c r="G361" s="9"/>
      <c r="H361" s="56"/>
      <c r="I361" s="43"/>
      <c r="J361" s="43"/>
      <c r="K361" s="16" t="str">
        <f aca="false">IF(A361="","",COUNTIF(RESTRICCIONES!$B$5:$B$304,A361))</f>
        <v/>
      </c>
      <c r="L361" s="16" t="str">
        <f aca="false">IF(A361="","",COUNTIFS(RESTRICCIONES!$B$5:$B$304,A361,RESTRICCIONES!$L$5:$L$304,"Pendiente"))</f>
        <v/>
      </c>
      <c r="M361" s="18" t="str">
        <f aca="false">IF(A361="","",IF(L361=0,"LISTA","RESTRINGIDA"))</f>
        <v/>
      </c>
      <c r="N361" s="51" t="str">
        <f aca="false">IF(OR(A361="",H361=""),"",IFERROR(MIN(1,SUMIF(SEMANAL!$C$7:$C$506,A361,SEMANAL!$W$7:$W$506)/H361),0))</f>
        <v/>
      </c>
      <c r="O361" s="57"/>
      <c r="P361" s="57"/>
      <c r="Q361" s="57"/>
      <c r="R361" s="57"/>
      <c r="S361" s="57"/>
      <c r="T361" s="57"/>
      <c r="U361" s="9"/>
    </row>
    <row r="362" customFormat="false" ht="15" hidden="false" customHeight="false" outlineLevel="0" collapsed="false">
      <c r="A362" s="9"/>
      <c r="B362" s="9"/>
      <c r="C362" s="16" t="str">
        <f aca="false">IF(B362="","",IFERROR(INDEX(EDT!$E$5:$E$436,MATCH(B362,EDT!$H$5:$H$436,0)),IFERROR(INDEX(CRONOGRAMA!$G$5:$G$5679,MATCH(A362,CRONOGRAMA!$A$5:$A$5679,0)),"Fuera EDT")))</f>
        <v/>
      </c>
      <c r="D362" s="16" t="str">
        <f aca="false">IF(C362="","",IFERROR(INDEX(MASTER!$B$19:$B$109,MATCH(C362,MASTER!$A$19:$A$109,0)),"Asignar fase"))</f>
        <v/>
      </c>
      <c r="E362" s="9"/>
      <c r="F362" s="9"/>
      <c r="G362" s="9"/>
      <c r="H362" s="56"/>
      <c r="I362" s="43"/>
      <c r="J362" s="43"/>
      <c r="K362" s="16" t="str">
        <f aca="false">IF(A362="","",COUNTIF(RESTRICCIONES!$B$5:$B$304,A362))</f>
        <v/>
      </c>
      <c r="L362" s="16" t="str">
        <f aca="false">IF(A362="","",COUNTIFS(RESTRICCIONES!$B$5:$B$304,A362,RESTRICCIONES!$L$5:$L$304,"Pendiente"))</f>
        <v/>
      </c>
      <c r="M362" s="18" t="str">
        <f aca="false">IF(A362="","",IF(L362=0,"LISTA","RESTRINGIDA"))</f>
        <v/>
      </c>
      <c r="N362" s="51" t="str">
        <f aca="false">IF(OR(A362="",H362=""),"",IFERROR(MIN(1,SUMIF(SEMANAL!$C$7:$C$506,A362,SEMANAL!$W$7:$W$506)/H362),0))</f>
        <v/>
      </c>
      <c r="O362" s="57"/>
      <c r="P362" s="57"/>
      <c r="Q362" s="57"/>
      <c r="R362" s="57"/>
      <c r="S362" s="57"/>
      <c r="T362" s="57"/>
      <c r="U362" s="9"/>
    </row>
    <row r="363" customFormat="false" ht="15" hidden="false" customHeight="false" outlineLevel="0" collapsed="false">
      <c r="A363" s="9"/>
      <c r="B363" s="9"/>
      <c r="C363" s="16" t="str">
        <f aca="false">IF(B363="","",IFERROR(INDEX(EDT!$E$5:$E$436,MATCH(B363,EDT!$H$5:$H$436,0)),IFERROR(INDEX(CRONOGRAMA!$G$5:$G$5679,MATCH(A363,CRONOGRAMA!$A$5:$A$5679,0)),"Fuera EDT")))</f>
        <v/>
      </c>
      <c r="D363" s="16" t="str">
        <f aca="false">IF(C363="","",IFERROR(INDEX(MASTER!$B$19:$B$109,MATCH(C363,MASTER!$A$19:$A$109,0)),"Asignar fase"))</f>
        <v/>
      </c>
      <c r="E363" s="9"/>
      <c r="F363" s="9"/>
      <c r="G363" s="9"/>
      <c r="H363" s="56"/>
      <c r="I363" s="43"/>
      <c r="J363" s="43"/>
      <c r="K363" s="16" t="str">
        <f aca="false">IF(A363="","",COUNTIF(RESTRICCIONES!$B$5:$B$304,A363))</f>
        <v/>
      </c>
      <c r="L363" s="16" t="str">
        <f aca="false">IF(A363="","",COUNTIFS(RESTRICCIONES!$B$5:$B$304,A363,RESTRICCIONES!$L$5:$L$304,"Pendiente"))</f>
        <v/>
      </c>
      <c r="M363" s="18" t="str">
        <f aca="false">IF(A363="","",IF(L363=0,"LISTA","RESTRINGIDA"))</f>
        <v/>
      </c>
      <c r="N363" s="51" t="str">
        <f aca="false">IF(OR(A363="",H363=""),"",IFERROR(MIN(1,SUMIF(SEMANAL!$C$7:$C$506,A363,SEMANAL!$W$7:$W$506)/H363),0))</f>
        <v/>
      </c>
      <c r="O363" s="57"/>
      <c r="P363" s="57"/>
      <c r="Q363" s="57"/>
      <c r="R363" s="57"/>
      <c r="S363" s="57"/>
      <c r="T363" s="57"/>
      <c r="U363" s="9"/>
    </row>
    <row r="364" customFormat="false" ht="15" hidden="false" customHeight="false" outlineLevel="0" collapsed="false">
      <c r="A364" s="9"/>
      <c r="B364" s="9"/>
      <c r="C364" s="16" t="str">
        <f aca="false">IF(B364="","",IFERROR(INDEX(EDT!$E$5:$E$436,MATCH(B364,EDT!$H$5:$H$436,0)),IFERROR(INDEX(CRONOGRAMA!$G$5:$G$5679,MATCH(A364,CRONOGRAMA!$A$5:$A$5679,0)),"Fuera EDT")))</f>
        <v/>
      </c>
      <c r="D364" s="16" t="str">
        <f aca="false">IF(C364="","",IFERROR(INDEX(MASTER!$B$19:$B$109,MATCH(C364,MASTER!$A$19:$A$109,0)),"Asignar fase"))</f>
        <v/>
      </c>
      <c r="E364" s="9"/>
      <c r="F364" s="9"/>
      <c r="G364" s="9"/>
      <c r="H364" s="56"/>
      <c r="I364" s="43"/>
      <c r="J364" s="43"/>
      <c r="K364" s="16" t="str">
        <f aca="false">IF(A364="","",COUNTIF(RESTRICCIONES!$B$5:$B$304,A364))</f>
        <v/>
      </c>
      <c r="L364" s="16" t="str">
        <f aca="false">IF(A364="","",COUNTIFS(RESTRICCIONES!$B$5:$B$304,A364,RESTRICCIONES!$L$5:$L$304,"Pendiente"))</f>
        <v/>
      </c>
      <c r="M364" s="18" t="str">
        <f aca="false">IF(A364="","",IF(L364=0,"LISTA","RESTRINGIDA"))</f>
        <v/>
      </c>
      <c r="N364" s="51" t="str">
        <f aca="false">IF(OR(A364="",H364=""),"",IFERROR(MIN(1,SUMIF(SEMANAL!$C$7:$C$506,A364,SEMANAL!$W$7:$W$506)/H364),0))</f>
        <v/>
      </c>
      <c r="O364" s="57"/>
      <c r="P364" s="57"/>
      <c r="Q364" s="57"/>
      <c r="R364" s="57"/>
      <c r="S364" s="57"/>
      <c r="T364" s="57"/>
      <c r="U364" s="9"/>
    </row>
    <row r="365" customFormat="false" ht="15" hidden="false" customHeight="false" outlineLevel="0" collapsed="false">
      <c r="A365" s="9"/>
      <c r="B365" s="9"/>
      <c r="C365" s="16" t="str">
        <f aca="false">IF(B365="","",IFERROR(INDEX(EDT!$E$5:$E$436,MATCH(B365,EDT!$H$5:$H$436,0)),IFERROR(INDEX(CRONOGRAMA!$G$5:$G$5679,MATCH(A365,CRONOGRAMA!$A$5:$A$5679,0)),"Fuera EDT")))</f>
        <v/>
      </c>
      <c r="D365" s="16" t="str">
        <f aca="false">IF(C365="","",IFERROR(INDEX(MASTER!$B$19:$B$109,MATCH(C365,MASTER!$A$19:$A$109,0)),"Asignar fase"))</f>
        <v/>
      </c>
      <c r="E365" s="9"/>
      <c r="F365" s="9"/>
      <c r="G365" s="9"/>
      <c r="H365" s="56"/>
      <c r="I365" s="43"/>
      <c r="J365" s="43"/>
      <c r="K365" s="16" t="str">
        <f aca="false">IF(A365="","",COUNTIF(RESTRICCIONES!$B$5:$B$304,A365))</f>
        <v/>
      </c>
      <c r="L365" s="16" t="str">
        <f aca="false">IF(A365="","",COUNTIFS(RESTRICCIONES!$B$5:$B$304,A365,RESTRICCIONES!$L$5:$L$304,"Pendiente"))</f>
        <v/>
      </c>
      <c r="M365" s="18" t="str">
        <f aca="false">IF(A365="","",IF(L365=0,"LISTA","RESTRINGIDA"))</f>
        <v/>
      </c>
      <c r="N365" s="51" t="str">
        <f aca="false">IF(OR(A365="",H365=""),"",IFERROR(MIN(1,SUMIF(SEMANAL!$C$7:$C$506,A365,SEMANAL!$W$7:$W$506)/H365),0))</f>
        <v/>
      </c>
      <c r="O365" s="57"/>
      <c r="P365" s="57"/>
      <c r="Q365" s="57"/>
      <c r="R365" s="57"/>
      <c r="S365" s="57"/>
      <c r="T365" s="57"/>
      <c r="U365" s="9"/>
    </row>
    <row r="366" customFormat="false" ht="15" hidden="false" customHeight="false" outlineLevel="0" collapsed="false">
      <c r="A366" s="9"/>
      <c r="B366" s="9"/>
      <c r="C366" s="16" t="str">
        <f aca="false">IF(B366="","",IFERROR(INDEX(EDT!$E$5:$E$436,MATCH(B366,EDT!$H$5:$H$436,0)),IFERROR(INDEX(CRONOGRAMA!$G$5:$G$5679,MATCH(A366,CRONOGRAMA!$A$5:$A$5679,0)),"Fuera EDT")))</f>
        <v/>
      </c>
      <c r="D366" s="16" t="str">
        <f aca="false">IF(C366="","",IFERROR(INDEX(MASTER!$B$19:$B$109,MATCH(C366,MASTER!$A$19:$A$109,0)),"Asignar fase"))</f>
        <v/>
      </c>
      <c r="E366" s="9"/>
      <c r="F366" s="9"/>
      <c r="G366" s="9"/>
      <c r="H366" s="56"/>
      <c r="I366" s="43"/>
      <c r="J366" s="43"/>
      <c r="K366" s="16" t="str">
        <f aca="false">IF(A366="","",COUNTIF(RESTRICCIONES!$B$5:$B$304,A366))</f>
        <v/>
      </c>
      <c r="L366" s="16" t="str">
        <f aca="false">IF(A366="","",COUNTIFS(RESTRICCIONES!$B$5:$B$304,A366,RESTRICCIONES!$L$5:$L$304,"Pendiente"))</f>
        <v/>
      </c>
      <c r="M366" s="18" t="str">
        <f aca="false">IF(A366="","",IF(L366=0,"LISTA","RESTRINGIDA"))</f>
        <v/>
      </c>
      <c r="N366" s="51" t="str">
        <f aca="false">IF(OR(A366="",H366=""),"",IFERROR(MIN(1,SUMIF(SEMANAL!$C$7:$C$506,A366,SEMANAL!$W$7:$W$506)/H366),0))</f>
        <v/>
      </c>
      <c r="O366" s="57"/>
      <c r="P366" s="57"/>
      <c r="Q366" s="57"/>
      <c r="R366" s="57"/>
      <c r="S366" s="57"/>
      <c r="T366" s="57"/>
      <c r="U366" s="9"/>
    </row>
    <row r="367" customFormat="false" ht="15" hidden="false" customHeight="false" outlineLevel="0" collapsed="false">
      <c r="A367" s="9"/>
      <c r="B367" s="9"/>
      <c r="C367" s="16" t="str">
        <f aca="false">IF(B367="","",IFERROR(INDEX(EDT!$E$5:$E$436,MATCH(B367,EDT!$H$5:$H$436,0)),IFERROR(INDEX(CRONOGRAMA!$G$5:$G$5679,MATCH(A367,CRONOGRAMA!$A$5:$A$5679,0)),"Fuera EDT")))</f>
        <v/>
      </c>
      <c r="D367" s="16" t="str">
        <f aca="false">IF(C367="","",IFERROR(INDEX(MASTER!$B$19:$B$109,MATCH(C367,MASTER!$A$19:$A$109,0)),"Asignar fase"))</f>
        <v/>
      </c>
      <c r="E367" s="9"/>
      <c r="F367" s="9"/>
      <c r="G367" s="9"/>
      <c r="H367" s="56"/>
      <c r="I367" s="43"/>
      <c r="J367" s="43"/>
      <c r="K367" s="16" t="str">
        <f aca="false">IF(A367="","",COUNTIF(RESTRICCIONES!$B$5:$B$304,A367))</f>
        <v/>
      </c>
      <c r="L367" s="16" t="str">
        <f aca="false">IF(A367="","",COUNTIFS(RESTRICCIONES!$B$5:$B$304,A367,RESTRICCIONES!$L$5:$L$304,"Pendiente"))</f>
        <v/>
      </c>
      <c r="M367" s="18" t="str">
        <f aca="false">IF(A367="","",IF(L367=0,"LISTA","RESTRINGIDA"))</f>
        <v/>
      </c>
      <c r="N367" s="51" t="str">
        <f aca="false">IF(OR(A367="",H367=""),"",IFERROR(MIN(1,SUMIF(SEMANAL!$C$7:$C$506,A367,SEMANAL!$W$7:$W$506)/H367),0))</f>
        <v/>
      </c>
      <c r="O367" s="57"/>
      <c r="P367" s="57"/>
      <c r="Q367" s="57"/>
      <c r="R367" s="57"/>
      <c r="S367" s="57"/>
      <c r="T367" s="57"/>
      <c r="U367" s="9"/>
    </row>
    <row r="368" customFormat="false" ht="15" hidden="false" customHeight="false" outlineLevel="0" collapsed="false">
      <c r="A368" s="9"/>
      <c r="B368" s="9"/>
      <c r="C368" s="16" t="str">
        <f aca="false">IF(B368="","",IFERROR(INDEX(EDT!$E$5:$E$436,MATCH(B368,EDT!$H$5:$H$436,0)),IFERROR(INDEX(CRONOGRAMA!$G$5:$G$5679,MATCH(A368,CRONOGRAMA!$A$5:$A$5679,0)),"Fuera EDT")))</f>
        <v/>
      </c>
      <c r="D368" s="16" t="str">
        <f aca="false">IF(C368="","",IFERROR(INDEX(MASTER!$B$19:$B$109,MATCH(C368,MASTER!$A$19:$A$109,0)),"Asignar fase"))</f>
        <v/>
      </c>
      <c r="E368" s="9"/>
      <c r="F368" s="9"/>
      <c r="G368" s="9"/>
      <c r="H368" s="56"/>
      <c r="I368" s="43"/>
      <c r="J368" s="43"/>
      <c r="K368" s="16" t="str">
        <f aca="false">IF(A368="","",COUNTIF(RESTRICCIONES!$B$5:$B$304,A368))</f>
        <v/>
      </c>
      <c r="L368" s="16" t="str">
        <f aca="false">IF(A368="","",COUNTIFS(RESTRICCIONES!$B$5:$B$304,A368,RESTRICCIONES!$L$5:$L$304,"Pendiente"))</f>
        <v/>
      </c>
      <c r="M368" s="18" t="str">
        <f aca="false">IF(A368="","",IF(L368=0,"LISTA","RESTRINGIDA"))</f>
        <v/>
      </c>
      <c r="N368" s="51" t="str">
        <f aca="false">IF(OR(A368="",H368=""),"",IFERROR(MIN(1,SUMIF(SEMANAL!$C$7:$C$506,A368,SEMANAL!$W$7:$W$506)/H368),0))</f>
        <v/>
      </c>
      <c r="O368" s="57"/>
      <c r="P368" s="57"/>
      <c r="Q368" s="57"/>
      <c r="R368" s="57"/>
      <c r="S368" s="57"/>
      <c r="T368" s="57"/>
      <c r="U368" s="9"/>
    </row>
    <row r="369" customFormat="false" ht="15" hidden="false" customHeight="false" outlineLevel="0" collapsed="false">
      <c r="A369" s="9"/>
      <c r="B369" s="9"/>
      <c r="C369" s="16" t="str">
        <f aca="false">IF(B369="","",IFERROR(INDEX(EDT!$E$5:$E$436,MATCH(B369,EDT!$H$5:$H$436,0)),IFERROR(INDEX(CRONOGRAMA!$G$5:$G$5679,MATCH(A369,CRONOGRAMA!$A$5:$A$5679,0)),"Fuera EDT")))</f>
        <v/>
      </c>
      <c r="D369" s="16" t="str">
        <f aca="false">IF(C369="","",IFERROR(INDEX(MASTER!$B$19:$B$109,MATCH(C369,MASTER!$A$19:$A$109,0)),"Asignar fase"))</f>
        <v/>
      </c>
      <c r="E369" s="9"/>
      <c r="F369" s="9"/>
      <c r="G369" s="9"/>
      <c r="H369" s="56"/>
      <c r="I369" s="43"/>
      <c r="J369" s="43"/>
      <c r="K369" s="16" t="str">
        <f aca="false">IF(A369="","",COUNTIF(RESTRICCIONES!$B$5:$B$304,A369))</f>
        <v/>
      </c>
      <c r="L369" s="16" t="str">
        <f aca="false">IF(A369="","",COUNTIFS(RESTRICCIONES!$B$5:$B$304,A369,RESTRICCIONES!$L$5:$L$304,"Pendiente"))</f>
        <v/>
      </c>
      <c r="M369" s="18" t="str">
        <f aca="false">IF(A369="","",IF(L369=0,"LISTA","RESTRINGIDA"))</f>
        <v/>
      </c>
      <c r="N369" s="51" t="str">
        <f aca="false">IF(OR(A369="",H369=""),"",IFERROR(MIN(1,SUMIF(SEMANAL!$C$7:$C$506,A369,SEMANAL!$W$7:$W$506)/H369),0))</f>
        <v/>
      </c>
      <c r="O369" s="57"/>
      <c r="P369" s="57"/>
      <c r="Q369" s="57"/>
      <c r="R369" s="57"/>
      <c r="S369" s="57"/>
      <c r="T369" s="57"/>
      <c r="U369" s="9"/>
    </row>
    <row r="370" customFormat="false" ht="15" hidden="false" customHeight="false" outlineLevel="0" collapsed="false">
      <c r="A370" s="9"/>
      <c r="B370" s="9"/>
      <c r="C370" s="16" t="str">
        <f aca="false">IF(B370="","",IFERROR(INDEX(EDT!$E$5:$E$436,MATCH(B370,EDT!$H$5:$H$436,0)),IFERROR(INDEX(CRONOGRAMA!$G$5:$G$5679,MATCH(A370,CRONOGRAMA!$A$5:$A$5679,0)),"Fuera EDT")))</f>
        <v/>
      </c>
      <c r="D370" s="16" t="str">
        <f aca="false">IF(C370="","",IFERROR(INDEX(MASTER!$B$19:$B$109,MATCH(C370,MASTER!$A$19:$A$109,0)),"Asignar fase"))</f>
        <v/>
      </c>
      <c r="E370" s="9"/>
      <c r="F370" s="9"/>
      <c r="G370" s="9"/>
      <c r="H370" s="56"/>
      <c r="I370" s="43"/>
      <c r="J370" s="43"/>
      <c r="K370" s="16" t="str">
        <f aca="false">IF(A370="","",COUNTIF(RESTRICCIONES!$B$5:$B$304,A370))</f>
        <v/>
      </c>
      <c r="L370" s="16" t="str">
        <f aca="false">IF(A370="","",COUNTIFS(RESTRICCIONES!$B$5:$B$304,A370,RESTRICCIONES!$L$5:$L$304,"Pendiente"))</f>
        <v/>
      </c>
      <c r="M370" s="18" t="str">
        <f aca="false">IF(A370="","",IF(L370=0,"LISTA","RESTRINGIDA"))</f>
        <v/>
      </c>
      <c r="N370" s="51" t="str">
        <f aca="false">IF(OR(A370="",H370=""),"",IFERROR(MIN(1,SUMIF(SEMANAL!$C$7:$C$506,A370,SEMANAL!$W$7:$W$506)/H370),0))</f>
        <v/>
      </c>
      <c r="O370" s="57"/>
      <c r="P370" s="57"/>
      <c r="Q370" s="57"/>
      <c r="R370" s="57"/>
      <c r="S370" s="57"/>
      <c r="T370" s="57"/>
      <c r="U370" s="9"/>
    </row>
    <row r="371" customFormat="false" ht="15" hidden="false" customHeight="false" outlineLevel="0" collapsed="false">
      <c r="A371" s="9"/>
      <c r="B371" s="9"/>
      <c r="C371" s="16" t="str">
        <f aca="false">IF(B371="","",IFERROR(INDEX(EDT!$E$5:$E$436,MATCH(B371,EDT!$H$5:$H$436,0)),IFERROR(INDEX(CRONOGRAMA!$G$5:$G$5679,MATCH(A371,CRONOGRAMA!$A$5:$A$5679,0)),"Fuera EDT")))</f>
        <v/>
      </c>
      <c r="D371" s="16" t="str">
        <f aca="false">IF(C371="","",IFERROR(INDEX(MASTER!$B$19:$B$109,MATCH(C371,MASTER!$A$19:$A$109,0)),"Asignar fase"))</f>
        <v/>
      </c>
      <c r="E371" s="9"/>
      <c r="F371" s="9"/>
      <c r="G371" s="9"/>
      <c r="H371" s="56"/>
      <c r="I371" s="43"/>
      <c r="J371" s="43"/>
      <c r="K371" s="16" t="str">
        <f aca="false">IF(A371="","",COUNTIF(RESTRICCIONES!$B$5:$B$304,A371))</f>
        <v/>
      </c>
      <c r="L371" s="16" t="str">
        <f aca="false">IF(A371="","",COUNTIFS(RESTRICCIONES!$B$5:$B$304,A371,RESTRICCIONES!$L$5:$L$304,"Pendiente"))</f>
        <v/>
      </c>
      <c r="M371" s="18" t="str">
        <f aca="false">IF(A371="","",IF(L371=0,"LISTA","RESTRINGIDA"))</f>
        <v/>
      </c>
      <c r="N371" s="51" t="str">
        <f aca="false">IF(OR(A371="",H371=""),"",IFERROR(MIN(1,SUMIF(SEMANAL!$C$7:$C$506,A371,SEMANAL!$W$7:$W$506)/H371),0))</f>
        <v/>
      </c>
      <c r="O371" s="57"/>
      <c r="P371" s="57"/>
      <c r="Q371" s="57"/>
      <c r="R371" s="57"/>
      <c r="S371" s="57"/>
      <c r="T371" s="57"/>
      <c r="U371" s="9"/>
    </row>
    <row r="372" customFormat="false" ht="15" hidden="false" customHeight="false" outlineLevel="0" collapsed="false">
      <c r="A372" s="9"/>
      <c r="B372" s="9"/>
      <c r="C372" s="16" t="str">
        <f aca="false">IF(B372="","",IFERROR(INDEX(EDT!$E$5:$E$436,MATCH(B372,EDT!$H$5:$H$436,0)),IFERROR(INDEX(CRONOGRAMA!$G$5:$G$5679,MATCH(A372,CRONOGRAMA!$A$5:$A$5679,0)),"Fuera EDT")))</f>
        <v/>
      </c>
      <c r="D372" s="16" t="str">
        <f aca="false">IF(C372="","",IFERROR(INDEX(MASTER!$B$19:$B$109,MATCH(C372,MASTER!$A$19:$A$109,0)),"Asignar fase"))</f>
        <v/>
      </c>
      <c r="E372" s="9"/>
      <c r="F372" s="9"/>
      <c r="G372" s="9"/>
      <c r="H372" s="56"/>
      <c r="I372" s="43"/>
      <c r="J372" s="43"/>
      <c r="K372" s="16" t="str">
        <f aca="false">IF(A372="","",COUNTIF(RESTRICCIONES!$B$5:$B$304,A372))</f>
        <v/>
      </c>
      <c r="L372" s="16" t="str">
        <f aca="false">IF(A372="","",COUNTIFS(RESTRICCIONES!$B$5:$B$304,A372,RESTRICCIONES!$L$5:$L$304,"Pendiente"))</f>
        <v/>
      </c>
      <c r="M372" s="18" t="str">
        <f aca="false">IF(A372="","",IF(L372=0,"LISTA","RESTRINGIDA"))</f>
        <v/>
      </c>
      <c r="N372" s="51" t="str">
        <f aca="false">IF(OR(A372="",H372=""),"",IFERROR(MIN(1,SUMIF(SEMANAL!$C$7:$C$506,A372,SEMANAL!$W$7:$W$506)/H372),0))</f>
        <v/>
      </c>
      <c r="O372" s="57"/>
      <c r="P372" s="57"/>
      <c r="Q372" s="57"/>
      <c r="R372" s="57"/>
      <c r="S372" s="57"/>
      <c r="T372" s="57"/>
      <c r="U372" s="9"/>
    </row>
    <row r="373" customFormat="false" ht="15" hidden="false" customHeight="false" outlineLevel="0" collapsed="false">
      <c r="A373" s="9"/>
      <c r="B373" s="9"/>
      <c r="C373" s="16" t="str">
        <f aca="false">IF(B373="","",IFERROR(INDEX(EDT!$E$5:$E$436,MATCH(B373,EDT!$H$5:$H$436,0)),IFERROR(INDEX(CRONOGRAMA!$G$5:$G$5679,MATCH(A373,CRONOGRAMA!$A$5:$A$5679,0)),"Fuera EDT")))</f>
        <v/>
      </c>
      <c r="D373" s="16" t="str">
        <f aca="false">IF(C373="","",IFERROR(INDEX(MASTER!$B$19:$B$109,MATCH(C373,MASTER!$A$19:$A$109,0)),"Asignar fase"))</f>
        <v/>
      </c>
      <c r="E373" s="9"/>
      <c r="F373" s="9"/>
      <c r="G373" s="9"/>
      <c r="H373" s="56"/>
      <c r="I373" s="43"/>
      <c r="J373" s="43"/>
      <c r="K373" s="16" t="str">
        <f aca="false">IF(A373="","",COUNTIF(RESTRICCIONES!$B$5:$B$304,A373))</f>
        <v/>
      </c>
      <c r="L373" s="16" t="str">
        <f aca="false">IF(A373="","",COUNTIFS(RESTRICCIONES!$B$5:$B$304,A373,RESTRICCIONES!$L$5:$L$304,"Pendiente"))</f>
        <v/>
      </c>
      <c r="M373" s="18" t="str">
        <f aca="false">IF(A373="","",IF(L373=0,"LISTA","RESTRINGIDA"))</f>
        <v/>
      </c>
      <c r="N373" s="51" t="str">
        <f aca="false">IF(OR(A373="",H373=""),"",IFERROR(MIN(1,SUMIF(SEMANAL!$C$7:$C$506,A373,SEMANAL!$W$7:$W$506)/H373),0))</f>
        <v/>
      </c>
      <c r="O373" s="57"/>
      <c r="P373" s="57"/>
      <c r="Q373" s="57"/>
      <c r="R373" s="57"/>
      <c r="S373" s="57"/>
      <c r="T373" s="57"/>
      <c r="U373" s="9"/>
    </row>
    <row r="374" customFormat="false" ht="15" hidden="false" customHeight="false" outlineLevel="0" collapsed="false">
      <c r="A374" s="9"/>
      <c r="B374" s="9"/>
      <c r="C374" s="16" t="str">
        <f aca="false">IF(B374="","",IFERROR(INDEX(EDT!$E$5:$E$436,MATCH(B374,EDT!$H$5:$H$436,0)),IFERROR(INDEX(CRONOGRAMA!$G$5:$G$5679,MATCH(A374,CRONOGRAMA!$A$5:$A$5679,0)),"Fuera EDT")))</f>
        <v/>
      </c>
      <c r="D374" s="16" t="str">
        <f aca="false">IF(C374="","",IFERROR(INDEX(MASTER!$B$19:$B$109,MATCH(C374,MASTER!$A$19:$A$109,0)),"Asignar fase"))</f>
        <v/>
      </c>
      <c r="E374" s="9"/>
      <c r="F374" s="9"/>
      <c r="G374" s="9"/>
      <c r="H374" s="56"/>
      <c r="I374" s="43"/>
      <c r="J374" s="43"/>
      <c r="K374" s="16" t="str">
        <f aca="false">IF(A374="","",COUNTIF(RESTRICCIONES!$B$5:$B$304,A374))</f>
        <v/>
      </c>
      <c r="L374" s="16" t="str">
        <f aca="false">IF(A374="","",COUNTIFS(RESTRICCIONES!$B$5:$B$304,A374,RESTRICCIONES!$L$5:$L$304,"Pendiente"))</f>
        <v/>
      </c>
      <c r="M374" s="18" t="str">
        <f aca="false">IF(A374="","",IF(L374=0,"LISTA","RESTRINGIDA"))</f>
        <v/>
      </c>
      <c r="N374" s="51" t="str">
        <f aca="false">IF(OR(A374="",H374=""),"",IFERROR(MIN(1,SUMIF(SEMANAL!$C$7:$C$506,A374,SEMANAL!$W$7:$W$506)/H374),0))</f>
        <v/>
      </c>
      <c r="O374" s="57"/>
      <c r="P374" s="57"/>
      <c r="Q374" s="57"/>
      <c r="R374" s="57"/>
      <c r="S374" s="57"/>
      <c r="T374" s="57"/>
      <c r="U374" s="9"/>
    </row>
    <row r="375" customFormat="false" ht="15" hidden="false" customHeight="false" outlineLevel="0" collapsed="false">
      <c r="A375" s="9"/>
      <c r="B375" s="9"/>
      <c r="C375" s="16" t="str">
        <f aca="false">IF(B375="","",IFERROR(INDEX(EDT!$E$5:$E$436,MATCH(B375,EDT!$H$5:$H$436,0)),IFERROR(INDEX(CRONOGRAMA!$G$5:$G$5679,MATCH(A375,CRONOGRAMA!$A$5:$A$5679,0)),"Fuera EDT")))</f>
        <v/>
      </c>
      <c r="D375" s="16" t="str">
        <f aca="false">IF(C375="","",IFERROR(INDEX(MASTER!$B$19:$B$109,MATCH(C375,MASTER!$A$19:$A$109,0)),"Asignar fase"))</f>
        <v/>
      </c>
      <c r="E375" s="9"/>
      <c r="F375" s="9"/>
      <c r="G375" s="9"/>
      <c r="H375" s="56"/>
      <c r="I375" s="43"/>
      <c r="J375" s="43"/>
      <c r="K375" s="16" t="str">
        <f aca="false">IF(A375="","",COUNTIF(RESTRICCIONES!$B$5:$B$304,A375))</f>
        <v/>
      </c>
      <c r="L375" s="16" t="str">
        <f aca="false">IF(A375="","",COUNTIFS(RESTRICCIONES!$B$5:$B$304,A375,RESTRICCIONES!$L$5:$L$304,"Pendiente"))</f>
        <v/>
      </c>
      <c r="M375" s="18" t="str">
        <f aca="false">IF(A375="","",IF(L375=0,"LISTA","RESTRINGIDA"))</f>
        <v/>
      </c>
      <c r="N375" s="51" t="str">
        <f aca="false">IF(OR(A375="",H375=""),"",IFERROR(MIN(1,SUMIF(SEMANAL!$C$7:$C$506,A375,SEMANAL!$W$7:$W$506)/H375),0))</f>
        <v/>
      </c>
      <c r="O375" s="57"/>
      <c r="P375" s="57"/>
      <c r="Q375" s="57"/>
      <c r="R375" s="57"/>
      <c r="S375" s="57"/>
      <c r="T375" s="57"/>
      <c r="U375" s="9"/>
    </row>
    <row r="376" customFormat="false" ht="15" hidden="false" customHeight="false" outlineLevel="0" collapsed="false">
      <c r="A376" s="9"/>
      <c r="B376" s="9"/>
      <c r="C376" s="16" t="str">
        <f aca="false">IF(B376="","",IFERROR(INDEX(EDT!$E$5:$E$436,MATCH(B376,EDT!$H$5:$H$436,0)),IFERROR(INDEX(CRONOGRAMA!$G$5:$G$5679,MATCH(A376,CRONOGRAMA!$A$5:$A$5679,0)),"Fuera EDT")))</f>
        <v/>
      </c>
      <c r="D376" s="16" t="str">
        <f aca="false">IF(C376="","",IFERROR(INDEX(MASTER!$B$19:$B$109,MATCH(C376,MASTER!$A$19:$A$109,0)),"Asignar fase"))</f>
        <v/>
      </c>
      <c r="E376" s="9"/>
      <c r="F376" s="9"/>
      <c r="G376" s="9"/>
      <c r="H376" s="56"/>
      <c r="I376" s="43"/>
      <c r="J376" s="43"/>
      <c r="K376" s="16" t="str">
        <f aca="false">IF(A376="","",COUNTIF(RESTRICCIONES!$B$5:$B$304,A376))</f>
        <v/>
      </c>
      <c r="L376" s="16" t="str">
        <f aca="false">IF(A376="","",COUNTIFS(RESTRICCIONES!$B$5:$B$304,A376,RESTRICCIONES!$L$5:$L$304,"Pendiente"))</f>
        <v/>
      </c>
      <c r="M376" s="18" t="str">
        <f aca="false">IF(A376="","",IF(L376=0,"LISTA","RESTRINGIDA"))</f>
        <v/>
      </c>
      <c r="N376" s="51" t="str">
        <f aca="false">IF(OR(A376="",H376=""),"",IFERROR(MIN(1,SUMIF(SEMANAL!$C$7:$C$506,A376,SEMANAL!$W$7:$W$506)/H376),0))</f>
        <v/>
      </c>
      <c r="O376" s="57"/>
      <c r="P376" s="57"/>
      <c r="Q376" s="57"/>
      <c r="R376" s="57"/>
      <c r="S376" s="57"/>
      <c r="T376" s="57"/>
      <c r="U376" s="9"/>
    </row>
    <row r="377" customFormat="false" ht="15" hidden="false" customHeight="false" outlineLevel="0" collapsed="false">
      <c r="A377" s="9"/>
      <c r="B377" s="9"/>
      <c r="C377" s="16" t="str">
        <f aca="false">IF(B377="","",IFERROR(INDEX(EDT!$E$5:$E$436,MATCH(B377,EDT!$H$5:$H$436,0)),IFERROR(INDEX(CRONOGRAMA!$G$5:$G$5679,MATCH(A377,CRONOGRAMA!$A$5:$A$5679,0)),"Fuera EDT")))</f>
        <v/>
      </c>
      <c r="D377" s="16" t="str">
        <f aca="false">IF(C377="","",IFERROR(INDEX(MASTER!$B$19:$B$109,MATCH(C377,MASTER!$A$19:$A$109,0)),"Asignar fase"))</f>
        <v/>
      </c>
      <c r="E377" s="9"/>
      <c r="F377" s="9"/>
      <c r="G377" s="9"/>
      <c r="H377" s="56"/>
      <c r="I377" s="43"/>
      <c r="J377" s="43"/>
      <c r="K377" s="16" t="str">
        <f aca="false">IF(A377="","",COUNTIF(RESTRICCIONES!$B$5:$B$304,A377))</f>
        <v/>
      </c>
      <c r="L377" s="16" t="str">
        <f aca="false">IF(A377="","",COUNTIFS(RESTRICCIONES!$B$5:$B$304,A377,RESTRICCIONES!$L$5:$L$304,"Pendiente"))</f>
        <v/>
      </c>
      <c r="M377" s="18" t="str">
        <f aca="false">IF(A377="","",IF(L377=0,"LISTA","RESTRINGIDA"))</f>
        <v/>
      </c>
      <c r="N377" s="51" t="str">
        <f aca="false">IF(OR(A377="",H377=""),"",IFERROR(MIN(1,SUMIF(SEMANAL!$C$7:$C$506,A377,SEMANAL!$W$7:$W$506)/H377),0))</f>
        <v/>
      </c>
      <c r="O377" s="57"/>
      <c r="P377" s="57"/>
      <c r="Q377" s="57"/>
      <c r="R377" s="57"/>
      <c r="S377" s="57"/>
      <c r="T377" s="57"/>
      <c r="U377" s="9"/>
    </row>
    <row r="378" customFormat="false" ht="15" hidden="false" customHeight="false" outlineLevel="0" collapsed="false">
      <c r="A378" s="9"/>
      <c r="B378" s="9"/>
      <c r="C378" s="16" t="str">
        <f aca="false">IF(B378="","",IFERROR(INDEX(EDT!$E$5:$E$436,MATCH(B378,EDT!$H$5:$H$436,0)),IFERROR(INDEX(CRONOGRAMA!$G$5:$G$5679,MATCH(A378,CRONOGRAMA!$A$5:$A$5679,0)),"Fuera EDT")))</f>
        <v/>
      </c>
      <c r="D378" s="16" t="str">
        <f aca="false">IF(C378="","",IFERROR(INDEX(MASTER!$B$19:$B$109,MATCH(C378,MASTER!$A$19:$A$109,0)),"Asignar fase"))</f>
        <v/>
      </c>
      <c r="E378" s="9"/>
      <c r="F378" s="9"/>
      <c r="G378" s="9"/>
      <c r="H378" s="56"/>
      <c r="I378" s="43"/>
      <c r="J378" s="43"/>
      <c r="K378" s="16" t="str">
        <f aca="false">IF(A378="","",COUNTIF(RESTRICCIONES!$B$5:$B$304,A378))</f>
        <v/>
      </c>
      <c r="L378" s="16" t="str">
        <f aca="false">IF(A378="","",COUNTIFS(RESTRICCIONES!$B$5:$B$304,A378,RESTRICCIONES!$L$5:$L$304,"Pendiente"))</f>
        <v/>
      </c>
      <c r="M378" s="18" t="str">
        <f aca="false">IF(A378="","",IF(L378=0,"LISTA","RESTRINGIDA"))</f>
        <v/>
      </c>
      <c r="N378" s="51" t="str">
        <f aca="false">IF(OR(A378="",H378=""),"",IFERROR(MIN(1,SUMIF(SEMANAL!$C$7:$C$506,A378,SEMANAL!$W$7:$W$506)/H378),0))</f>
        <v/>
      </c>
      <c r="O378" s="57"/>
      <c r="P378" s="57"/>
      <c r="Q378" s="57"/>
      <c r="R378" s="57"/>
      <c r="S378" s="57"/>
      <c r="T378" s="57"/>
      <c r="U378" s="9"/>
    </row>
    <row r="379" customFormat="false" ht="15" hidden="false" customHeight="false" outlineLevel="0" collapsed="false">
      <c r="A379" s="9"/>
      <c r="B379" s="9"/>
      <c r="C379" s="16" t="str">
        <f aca="false">IF(B379="","",IFERROR(INDEX(EDT!$E$5:$E$436,MATCH(B379,EDT!$H$5:$H$436,0)),IFERROR(INDEX(CRONOGRAMA!$G$5:$G$5679,MATCH(A379,CRONOGRAMA!$A$5:$A$5679,0)),"Fuera EDT")))</f>
        <v/>
      </c>
      <c r="D379" s="16" t="str">
        <f aca="false">IF(C379="","",IFERROR(INDEX(MASTER!$B$19:$B$109,MATCH(C379,MASTER!$A$19:$A$109,0)),"Asignar fase"))</f>
        <v/>
      </c>
      <c r="E379" s="9"/>
      <c r="F379" s="9"/>
      <c r="G379" s="9"/>
      <c r="H379" s="56"/>
      <c r="I379" s="43"/>
      <c r="J379" s="43"/>
      <c r="K379" s="16" t="str">
        <f aca="false">IF(A379="","",COUNTIF(RESTRICCIONES!$B$5:$B$304,A379))</f>
        <v/>
      </c>
      <c r="L379" s="16" t="str">
        <f aca="false">IF(A379="","",COUNTIFS(RESTRICCIONES!$B$5:$B$304,A379,RESTRICCIONES!$L$5:$L$304,"Pendiente"))</f>
        <v/>
      </c>
      <c r="M379" s="18" t="str">
        <f aca="false">IF(A379="","",IF(L379=0,"LISTA","RESTRINGIDA"))</f>
        <v/>
      </c>
      <c r="N379" s="51" t="str">
        <f aca="false">IF(OR(A379="",H379=""),"",IFERROR(MIN(1,SUMIF(SEMANAL!$C$7:$C$506,A379,SEMANAL!$W$7:$W$506)/H379),0))</f>
        <v/>
      </c>
      <c r="O379" s="57"/>
      <c r="P379" s="57"/>
      <c r="Q379" s="57"/>
      <c r="R379" s="57"/>
      <c r="S379" s="57"/>
      <c r="T379" s="57"/>
      <c r="U379" s="9"/>
    </row>
    <row r="380" customFormat="false" ht="15" hidden="false" customHeight="false" outlineLevel="0" collapsed="false">
      <c r="A380" s="9"/>
      <c r="B380" s="9"/>
      <c r="C380" s="16" t="str">
        <f aca="false">IF(B380="","",IFERROR(INDEX(EDT!$E$5:$E$436,MATCH(B380,EDT!$H$5:$H$436,0)),IFERROR(INDEX(CRONOGRAMA!$G$5:$G$5679,MATCH(A380,CRONOGRAMA!$A$5:$A$5679,0)),"Fuera EDT")))</f>
        <v/>
      </c>
      <c r="D380" s="16" t="str">
        <f aca="false">IF(C380="","",IFERROR(INDEX(MASTER!$B$19:$B$109,MATCH(C380,MASTER!$A$19:$A$109,0)),"Asignar fase"))</f>
        <v/>
      </c>
      <c r="E380" s="9"/>
      <c r="F380" s="9"/>
      <c r="G380" s="9"/>
      <c r="H380" s="56"/>
      <c r="I380" s="43"/>
      <c r="J380" s="43"/>
      <c r="K380" s="16" t="str">
        <f aca="false">IF(A380="","",COUNTIF(RESTRICCIONES!$B$5:$B$304,A380))</f>
        <v/>
      </c>
      <c r="L380" s="16" t="str">
        <f aca="false">IF(A380="","",COUNTIFS(RESTRICCIONES!$B$5:$B$304,A380,RESTRICCIONES!$L$5:$L$304,"Pendiente"))</f>
        <v/>
      </c>
      <c r="M380" s="18" t="str">
        <f aca="false">IF(A380="","",IF(L380=0,"LISTA","RESTRINGIDA"))</f>
        <v/>
      </c>
      <c r="N380" s="51" t="str">
        <f aca="false">IF(OR(A380="",H380=""),"",IFERROR(MIN(1,SUMIF(SEMANAL!$C$7:$C$506,A380,SEMANAL!$W$7:$W$506)/H380),0))</f>
        <v/>
      </c>
      <c r="O380" s="57"/>
      <c r="P380" s="57"/>
      <c r="Q380" s="57"/>
      <c r="R380" s="57"/>
      <c r="S380" s="57"/>
      <c r="T380" s="57"/>
      <c r="U380" s="9"/>
    </row>
    <row r="381" customFormat="false" ht="15" hidden="false" customHeight="false" outlineLevel="0" collapsed="false">
      <c r="A381" s="9"/>
      <c r="B381" s="9"/>
      <c r="C381" s="16" t="str">
        <f aca="false">IF(B381="","",IFERROR(INDEX(EDT!$E$5:$E$436,MATCH(B381,EDT!$H$5:$H$436,0)),IFERROR(INDEX(CRONOGRAMA!$G$5:$G$5679,MATCH(A381,CRONOGRAMA!$A$5:$A$5679,0)),"Fuera EDT")))</f>
        <v/>
      </c>
      <c r="D381" s="16" t="str">
        <f aca="false">IF(C381="","",IFERROR(INDEX(MASTER!$B$19:$B$109,MATCH(C381,MASTER!$A$19:$A$109,0)),"Asignar fase"))</f>
        <v/>
      </c>
      <c r="E381" s="9"/>
      <c r="F381" s="9"/>
      <c r="G381" s="9"/>
      <c r="H381" s="56"/>
      <c r="I381" s="43"/>
      <c r="J381" s="43"/>
      <c r="K381" s="16" t="str">
        <f aca="false">IF(A381="","",COUNTIF(RESTRICCIONES!$B$5:$B$304,A381))</f>
        <v/>
      </c>
      <c r="L381" s="16" t="str">
        <f aca="false">IF(A381="","",COUNTIFS(RESTRICCIONES!$B$5:$B$304,A381,RESTRICCIONES!$L$5:$L$304,"Pendiente"))</f>
        <v/>
      </c>
      <c r="M381" s="18" t="str">
        <f aca="false">IF(A381="","",IF(L381=0,"LISTA","RESTRINGIDA"))</f>
        <v/>
      </c>
      <c r="N381" s="51" t="str">
        <f aca="false">IF(OR(A381="",H381=""),"",IFERROR(MIN(1,SUMIF(SEMANAL!$C$7:$C$506,A381,SEMANAL!$W$7:$W$506)/H381),0))</f>
        <v/>
      </c>
      <c r="O381" s="57"/>
      <c r="P381" s="57"/>
      <c r="Q381" s="57"/>
      <c r="R381" s="57"/>
      <c r="S381" s="57"/>
      <c r="T381" s="57"/>
      <c r="U381" s="9"/>
    </row>
    <row r="382" customFormat="false" ht="15" hidden="false" customHeight="false" outlineLevel="0" collapsed="false">
      <c r="A382" s="9"/>
      <c r="B382" s="9"/>
      <c r="C382" s="16" t="str">
        <f aca="false">IF(B382="","",IFERROR(INDEX(EDT!$E$5:$E$436,MATCH(B382,EDT!$H$5:$H$436,0)),IFERROR(INDEX(CRONOGRAMA!$G$5:$G$5679,MATCH(A382,CRONOGRAMA!$A$5:$A$5679,0)),"Fuera EDT")))</f>
        <v/>
      </c>
      <c r="D382" s="16" t="str">
        <f aca="false">IF(C382="","",IFERROR(INDEX(MASTER!$B$19:$B$109,MATCH(C382,MASTER!$A$19:$A$109,0)),"Asignar fase"))</f>
        <v/>
      </c>
      <c r="E382" s="9"/>
      <c r="F382" s="9"/>
      <c r="G382" s="9"/>
      <c r="H382" s="56"/>
      <c r="I382" s="43"/>
      <c r="J382" s="43"/>
      <c r="K382" s="16" t="str">
        <f aca="false">IF(A382="","",COUNTIF(RESTRICCIONES!$B$5:$B$304,A382))</f>
        <v/>
      </c>
      <c r="L382" s="16" t="str">
        <f aca="false">IF(A382="","",COUNTIFS(RESTRICCIONES!$B$5:$B$304,A382,RESTRICCIONES!$L$5:$L$304,"Pendiente"))</f>
        <v/>
      </c>
      <c r="M382" s="18" t="str">
        <f aca="false">IF(A382="","",IF(L382=0,"LISTA","RESTRINGIDA"))</f>
        <v/>
      </c>
      <c r="N382" s="51" t="str">
        <f aca="false">IF(OR(A382="",H382=""),"",IFERROR(MIN(1,SUMIF(SEMANAL!$C$7:$C$506,A382,SEMANAL!$W$7:$W$506)/H382),0))</f>
        <v/>
      </c>
      <c r="O382" s="57"/>
      <c r="P382" s="57"/>
      <c r="Q382" s="57"/>
      <c r="R382" s="57"/>
      <c r="S382" s="57"/>
      <c r="T382" s="57"/>
      <c r="U382" s="9"/>
    </row>
    <row r="383" customFormat="false" ht="15" hidden="false" customHeight="false" outlineLevel="0" collapsed="false">
      <c r="A383" s="9"/>
      <c r="B383" s="9"/>
      <c r="C383" s="16" t="str">
        <f aca="false">IF(B383="","",IFERROR(INDEX(EDT!$E$5:$E$436,MATCH(B383,EDT!$H$5:$H$436,0)),IFERROR(INDEX(CRONOGRAMA!$G$5:$G$5679,MATCH(A383,CRONOGRAMA!$A$5:$A$5679,0)),"Fuera EDT")))</f>
        <v/>
      </c>
      <c r="D383" s="16" t="str">
        <f aca="false">IF(C383="","",IFERROR(INDEX(MASTER!$B$19:$B$109,MATCH(C383,MASTER!$A$19:$A$109,0)),"Asignar fase"))</f>
        <v/>
      </c>
      <c r="E383" s="9"/>
      <c r="F383" s="9"/>
      <c r="G383" s="9"/>
      <c r="H383" s="56"/>
      <c r="I383" s="43"/>
      <c r="J383" s="43"/>
      <c r="K383" s="16" t="str">
        <f aca="false">IF(A383="","",COUNTIF(RESTRICCIONES!$B$5:$B$304,A383))</f>
        <v/>
      </c>
      <c r="L383" s="16" t="str">
        <f aca="false">IF(A383="","",COUNTIFS(RESTRICCIONES!$B$5:$B$304,A383,RESTRICCIONES!$L$5:$L$304,"Pendiente"))</f>
        <v/>
      </c>
      <c r="M383" s="18" t="str">
        <f aca="false">IF(A383="","",IF(L383=0,"LISTA","RESTRINGIDA"))</f>
        <v/>
      </c>
      <c r="N383" s="51" t="str">
        <f aca="false">IF(OR(A383="",H383=""),"",IFERROR(MIN(1,SUMIF(SEMANAL!$C$7:$C$506,A383,SEMANAL!$W$7:$W$506)/H383),0))</f>
        <v/>
      </c>
      <c r="O383" s="57"/>
      <c r="P383" s="57"/>
      <c r="Q383" s="57"/>
      <c r="R383" s="57"/>
      <c r="S383" s="57"/>
      <c r="T383" s="57"/>
      <c r="U383" s="9"/>
    </row>
    <row r="384" customFormat="false" ht="15" hidden="false" customHeight="false" outlineLevel="0" collapsed="false">
      <c r="A384" s="9"/>
      <c r="B384" s="9"/>
      <c r="C384" s="16" t="str">
        <f aca="false">IF(B384="","",IFERROR(INDEX(EDT!$E$5:$E$436,MATCH(B384,EDT!$H$5:$H$436,0)),IFERROR(INDEX(CRONOGRAMA!$G$5:$G$5679,MATCH(A384,CRONOGRAMA!$A$5:$A$5679,0)),"Fuera EDT")))</f>
        <v/>
      </c>
      <c r="D384" s="16" t="str">
        <f aca="false">IF(C384="","",IFERROR(INDEX(MASTER!$B$19:$B$109,MATCH(C384,MASTER!$A$19:$A$109,0)),"Asignar fase"))</f>
        <v/>
      </c>
      <c r="E384" s="9"/>
      <c r="F384" s="9"/>
      <c r="G384" s="9"/>
      <c r="H384" s="56"/>
      <c r="I384" s="43"/>
      <c r="J384" s="43"/>
      <c r="K384" s="16" t="str">
        <f aca="false">IF(A384="","",COUNTIF(RESTRICCIONES!$B$5:$B$304,A384))</f>
        <v/>
      </c>
      <c r="L384" s="16" t="str">
        <f aca="false">IF(A384="","",COUNTIFS(RESTRICCIONES!$B$5:$B$304,A384,RESTRICCIONES!$L$5:$L$304,"Pendiente"))</f>
        <v/>
      </c>
      <c r="M384" s="18" t="str">
        <f aca="false">IF(A384="","",IF(L384=0,"LISTA","RESTRINGIDA"))</f>
        <v/>
      </c>
      <c r="N384" s="51" t="str">
        <f aca="false">IF(OR(A384="",H384=""),"",IFERROR(MIN(1,SUMIF(SEMANAL!$C$7:$C$506,A384,SEMANAL!$W$7:$W$506)/H384),0))</f>
        <v/>
      </c>
      <c r="O384" s="57"/>
      <c r="P384" s="57"/>
      <c r="Q384" s="57"/>
      <c r="R384" s="57"/>
      <c r="S384" s="57"/>
      <c r="T384" s="57"/>
      <c r="U384" s="9"/>
    </row>
    <row r="385" customFormat="false" ht="15" hidden="false" customHeight="false" outlineLevel="0" collapsed="false">
      <c r="A385" s="9"/>
      <c r="B385" s="9"/>
      <c r="C385" s="16" t="str">
        <f aca="false">IF(B385="","",IFERROR(INDEX(EDT!$E$5:$E$436,MATCH(B385,EDT!$H$5:$H$436,0)),IFERROR(INDEX(CRONOGRAMA!$G$5:$G$5679,MATCH(A385,CRONOGRAMA!$A$5:$A$5679,0)),"Fuera EDT")))</f>
        <v/>
      </c>
      <c r="D385" s="16" t="str">
        <f aca="false">IF(C385="","",IFERROR(INDEX(MASTER!$B$19:$B$109,MATCH(C385,MASTER!$A$19:$A$109,0)),"Asignar fase"))</f>
        <v/>
      </c>
      <c r="E385" s="9"/>
      <c r="F385" s="9"/>
      <c r="G385" s="9"/>
      <c r="H385" s="56"/>
      <c r="I385" s="43"/>
      <c r="J385" s="43"/>
      <c r="K385" s="16" t="str">
        <f aca="false">IF(A385="","",COUNTIF(RESTRICCIONES!$B$5:$B$304,A385))</f>
        <v/>
      </c>
      <c r="L385" s="16" t="str">
        <f aca="false">IF(A385="","",COUNTIFS(RESTRICCIONES!$B$5:$B$304,A385,RESTRICCIONES!$L$5:$L$304,"Pendiente"))</f>
        <v/>
      </c>
      <c r="M385" s="18" t="str">
        <f aca="false">IF(A385="","",IF(L385=0,"LISTA","RESTRINGIDA"))</f>
        <v/>
      </c>
      <c r="N385" s="51" t="str">
        <f aca="false">IF(OR(A385="",H385=""),"",IFERROR(MIN(1,SUMIF(SEMANAL!$C$7:$C$506,A385,SEMANAL!$W$7:$W$506)/H385),0))</f>
        <v/>
      </c>
      <c r="O385" s="57"/>
      <c r="P385" s="57"/>
      <c r="Q385" s="57"/>
      <c r="R385" s="57"/>
      <c r="S385" s="57"/>
      <c r="T385" s="57"/>
      <c r="U385" s="9"/>
    </row>
    <row r="386" customFormat="false" ht="15" hidden="false" customHeight="false" outlineLevel="0" collapsed="false">
      <c r="A386" s="9"/>
      <c r="B386" s="9"/>
      <c r="C386" s="16" t="str">
        <f aca="false">IF(B386="","",IFERROR(INDEX(EDT!$E$5:$E$436,MATCH(B386,EDT!$H$5:$H$436,0)),IFERROR(INDEX(CRONOGRAMA!$G$5:$G$5679,MATCH(A386,CRONOGRAMA!$A$5:$A$5679,0)),"Fuera EDT")))</f>
        <v/>
      </c>
      <c r="D386" s="16" t="str">
        <f aca="false">IF(C386="","",IFERROR(INDEX(MASTER!$B$19:$B$109,MATCH(C386,MASTER!$A$19:$A$109,0)),"Asignar fase"))</f>
        <v/>
      </c>
      <c r="E386" s="9"/>
      <c r="F386" s="9"/>
      <c r="G386" s="9"/>
      <c r="H386" s="56"/>
      <c r="I386" s="43"/>
      <c r="J386" s="43"/>
      <c r="K386" s="16" t="str">
        <f aca="false">IF(A386="","",COUNTIF(RESTRICCIONES!$B$5:$B$304,A386))</f>
        <v/>
      </c>
      <c r="L386" s="16" t="str">
        <f aca="false">IF(A386="","",COUNTIFS(RESTRICCIONES!$B$5:$B$304,A386,RESTRICCIONES!$L$5:$L$304,"Pendiente"))</f>
        <v/>
      </c>
      <c r="M386" s="18" t="str">
        <f aca="false">IF(A386="","",IF(L386=0,"LISTA","RESTRINGIDA"))</f>
        <v/>
      </c>
      <c r="N386" s="51" t="str">
        <f aca="false">IF(OR(A386="",H386=""),"",IFERROR(MIN(1,SUMIF(SEMANAL!$C$7:$C$506,A386,SEMANAL!$W$7:$W$506)/H386),0))</f>
        <v/>
      </c>
      <c r="O386" s="57"/>
      <c r="P386" s="57"/>
      <c r="Q386" s="57"/>
      <c r="R386" s="57"/>
      <c r="S386" s="57"/>
      <c r="T386" s="57"/>
      <c r="U386" s="9"/>
    </row>
    <row r="387" customFormat="false" ht="15" hidden="false" customHeight="false" outlineLevel="0" collapsed="false">
      <c r="A387" s="9"/>
      <c r="B387" s="9"/>
      <c r="C387" s="16" t="str">
        <f aca="false">IF(B387="","",IFERROR(INDEX(EDT!$E$5:$E$436,MATCH(B387,EDT!$H$5:$H$436,0)),IFERROR(INDEX(CRONOGRAMA!$G$5:$G$5679,MATCH(A387,CRONOGRAMA!$A$5:$A$5679,0)),"Fuera EDT")))</f>
        <v/>
      </c>
      <c r="D387" s="16" t="str">
        <f aca="false">IF(C387="","",IFERROR(INDEX(MASTER!$B$19:$B$109,MATCH(C387,MASTER!$A$19:$A$109,0)),"Asignar fase"))</f>
        <v/>
      </c>
      <c r="E387" s="9"/>
      <c r="F387" s="9"/>
      <c r="G387" s="9"/>
      <c r="H387" s="56"/>
      <c r="I387" s="43"/>
      <c r="J387" s="43"/>
      <c r="K387" s="16" t="str">
        <f aca="false">IF(A387="","",COUNTIF(RESTRICCIONES!$B$5:$B$304,A387))</f>
        <v/>
      </c>
      <c r="L387" s="16" t="str">
        <f aca="false">IF(A387="","",COUNTIFS(RESTRICCIONES!$B$5:$B$304,A387,RESTRICCIONES!$L$5:$L$304,"Pendiente"))</f>
        <v/>
      </c>
      <c r="M387" s="18" t="str">
        <f aca="false">IF(A387="","",IF(L387=0,"LISTA","RESTRINGIDA"))</f>
        <v/>
      </c>
      <c r="N387" s="51" t="str">
        <f aca="false">IF(OR(A387="",H387=""),"",IFERROR(MIN(1,SUMIF(SEMANAL!$C$7:$C$506,A387,SEMANAL!$W$7:$W$506)/H387),0))</f>
        <v/>
      </c>
      <c r="O387" s="57"/>
      <c r="P387" s="57"/>
      <c r="Q387" s="57"/>
      <c r="R387" s="57"/>
      <c r="S387" s="57"/>
      <c r="T387" s="57"/>
      <c r="U387" s="9"/>
    </row>
    <row r="388" customFormat="false" ht="15" hidden="false" customHeight="false" outlineLevel="0" collapsed="false">
      <c r="A388" s="9"/>
      <c r="B388" s="9"/>
      <c r="C388" s="16" t="str">
        <f aca="false">IF(B388="","",IFERROR(INDEX(EDT!$E$5:$E$436,MATCH(B388,EDT!$H$5:$H$436,0)),IFERROR(INDEX(CRONOGRAMA!$G$5:$G$5679,MATCH(A388,CRONOGRAMA!$A$5:$A$5679,0)),"Fuera EDT")))</f>
        <v/>
      </c>
      <c r="D388" s="16" t="str">
        <f aca="false">IF(C388="","",IFERROR(INDEX(MASTER!$B$19:$B$109,MATCH(C388,MASTER!$A$19:$A$109,0)),"Asignar fase"))</f>
        <v/>
      </c>
      <c r="E388" s="9"/>
      <c r="F388" s="9"/>
      <c r="G388" s="9"/>
      <c r="H388" s="56"/>
      <c r="I388" s="43"/>
      <c r="J388" s="43"/>
      <c r="K388" s="16" t="str">
        <f aca="false">IF(A388="","",COUNTIF(RESTRICCIONES!$B$5:$B$304,A388))</f>
        <v/>
      </c>
      <c r="L388" s="16" t="str">
        <f aca="false">IF(A388="","",COUNTIFS(RESTRICCIONES!$B$5:$B$304,A388,RESTRICCIONES!$L$5:$L$304,"Pendiente"))</f>
        <v/>
      </c>
      <c r="M388" s="18" t="str">
        <f aca="false">IF(A388="","",IF(L388=0,"LISTA","RESTRINGIDA"))</f>
        <v/>
      </c>
      <c r="N388" s="51" t="str">
        <f aca="false">IF(OR(A388="",H388=""),"",IFERROR(MIN(1,SUMIF(SEMANAL!$C$7:$C$506,A388,SEMANAL!$W$7:$W$506)/H388),0))</f>
        <v/>
      </c>
      <c r="O388" s="57"/>
      <c r="P388" s="57"/>
      <c r="Q388" s="57"/>
      <c r="R388" s="57"/>
      <c r="S388" s="57"/>
      <c r="T388" s="57"/>
      <c r="U388" s="9"/>
    </row>
    <row r="389" customFormat="false" ht="15" hidden="false" customHeight="false" outlineLevel="0" collapsed="false">
      <c r="A389" s="9"/>
      <c r="B389" s="9"/>
      <c r="C389" s="16" t="str">
        <f aca="false">IF(B389="","",IFERROR(INDEX(EDT!$E$5:$E$436,MATCH(B389,EDT!$H$5:$H$436,0)),IFERROR(INDEX(CRONOGRAMA!$G$5:$G$5679,MATCH(A389,CRONOGRAMA!$A$5:$A$5679,0)),"Fuera EDT")))</f>
        <v/>
      </c>
      <c r="D389" s="16" t="str">
        <f aca="false">IF(C389="","",IFERROR(INDEX(MASTER!$B$19:$B$109,MATCH(C389,MASTER!$A$19:$A$109,0)),"Asignar fase"))</f>
        <v/>
      </c>
      <c r="E389" s="9"/>
      <c r="F389" s="9"/>
      <c r="G389" s="9"/>
      <c r="H389" s="56"/>
      <c r="I389" s="43"/>
      <c r="J389" s="43"/>
      <c r="K389" s="16" t="str">
        <f aca="false">IF(A389="","",COUNTIF(RESTRICCIONES!$B$5:$B$304,A389))</f>
        <v/>
      </c>
      <c r="L389" s="16" t="str">
        <f aca="false">IF(A389="","",COUNTIFS(RESTRICCIONES!$B$5:$B$304,A389,RESTRICCIONES!$L$5:$L$304,"Pendiente"))</f>
        <v/>
      </c>
      <c r="M389" s="18" t="str">
        <f aca="false">IF(A389="","",IF(L389=0,"LISTA","RESTRINGIDA"))</f>
        <v/>
      </c>
      <c r="N389" s="51" t="str">
        <f aca="false">IF(OR(A389="",H389=""),"",IFERROR(MIN(1,SUMIF(SEMANAL!$C$7:$C$506,A389,SEMANAL!$W$7:$W$506)/H389),0))</f>
        <v/>
      </c>
      <c r="O389" s="57"/>
      <c r="P389" s="57"/>
      <c r="Q389" s="57"/>
      <c r="R389" s="57"/>
      <c r="S389" s="57"/>
      <c r="T389" s="57"/>
      <c r="U389" s="9"/>
    </row>
    <row r="390" customFormat="false" ht="15" hidden="false" customHeight="false" outlineLevel="0" collapsed="false">
      <c r="A390" s="9"/>
      <c r="B390" s="9"/>
      <c r="C390" s="16" t="str">
        <f aca="false">IF(B390="","",IFERROR(INDEX(EDT!$E$5:$E$436,MATCH(B390,EDT!$H$5:$H$436,0)),IFERROR(INDEX(CRONOGRAMA!$G$5:$G$5679,MATCH(A390,CRONOGRAMA!$A$5:$A$5679,0)),"Fuera EDT")))</f>
        <v/>
      </c>
      <c r="D390" s="16" t="str">
        <f aca="false">IF(C390="","",IFERROR(INDEX(MASTER!$B$19:$B$109,MATCH(C390,MASTER!$A$19:$A$109,0)),"Asignar fase"))</f>
        <v/>
      </c>
      <c r="E390" s="9"/>
      <c r="F390" s="9"/>
      <c r="G390" s="9"/>
      <c r="H390" s="56"/>
      <c r="I390" s="43"/>
      <c r="J390" s="43"/>
      <c r="K390" s="16" t="str">
        <f aca="false">IF(A390="","",COUNTIF(RESTRICCIONES!$B$5:$B$304,A390))</f>
        <v/>
      </c>
      <c r="L390" s="16" t="str">
        <f aca="false">IF(A390="","",COUNTIFS(RESTRICCIONES!$B$5:$B$304,A390,RESTRICCIONES!$L$5:$L$304,"Pendiente"))</f>
        <v/>
      </c>
      <c r="M390" s="18" t="str">
        <f aca="false">IF(A390="","",IF(L390=0,"LISTA","RESTRINGIDA"))</f>
        <v/>
      </c>
      <c r="N390" s="51" t="str">
        <f aca="false">IF(OR(A390="",H390=""),"",IFERROR(MIN(1,SUMIF(SEMANAL!$C$7:$C$506,A390,SEMANAL!$W$7:$W$506)/H390),0))</f>
        <v/>
      </c>
      <c r="O390" s="57"/>
      <c r="P390" s="57"/>
      <c r="Q390" s="57"/>
      <c r="R390" s="57"/>
      <c r="S390" s="57"/>
      <c r="T390" s="57"/>
      <c r="U390" s="9"/>
    </row>
    <row r="391" customFormat="false" ht="15" hidden="false" customHeight="false" outlineLevel="0" collapsed="false">
      <c r="A391" s="9"/>
      <c r="B391" s="9"/>
      <c r="C391" s="16" t="str">
        <f aca="false">IF(B391="","",IFERROR(INDEX(EDT!$E$5:$E$436,MATCH(B391,EDT!$H$5:$H$436,0)),IFERROR(INDEX(CRONOGRAMA!$G$5:$G$5679,MATCH(A391,CRONOGRAMA!$A$5:$A$5679,0)),"Fuera EDT")))</f>
        <v/>
      </c>
      <c r="D391" s="16" t="str">
        <f aca="false">IF(C391="","",IFERROR(INDEX(MASTER!$B$19:$B$109,MATCH(C391,MASTER!$A$19:$A$109,0)),"Asignar fase"))</f>
        <v/>
      </c>
      <c r="E391" s="9"/>
      <c r="F391" s="9"/>
      <c r="G391" s="9"/>
      <c r="H391" s="56"/>
      <c r="I391" s="43"/>
      <c r="J391" s="43"/>
      <c r="K391" s="16" t="str">
        <f aca="false">IF(A391="","",COUNTIF(RESTRICCIONES!$B$5:$B$304,A391))</f>
        <v/>
      </c>
      <c r="L391" s="16" t="str">
        <f aca="false">IF(A391="","",COUNTIFS(RESTRICCIONES!$B$5:$B$304,A391,RESTRICCIONES!$L$5:$L$304,"Pendiente"))</f>
        <v/>
      </c>
      <c r="M391" s="18" t="str">
        <f aca="false">IF(A391="","",IF(L391=0,"LISTA","RESTRINGIDA"))</f>
        <v/>
      </c>
      <c r="N391" s="51" t="str">
        <f aca="false">IF(OR(A391="",H391=""),"",IFERROR(MIN(1,SUMIF(SEMANAL!$C$7:$C$506,A391,SEMANAL!$W$7:$W$506)/H391),0))</f>
        <v/>
      </c>
      <c r="O391" s="57"/>
      <c r="P391" s="57"/>
      <c r="Q391" s="57"/>
      <c r="R391" s="57"/>
      <c r="S391" s="57"/>
      <c r="T391" s="57"/>
      <c r="U391" s="9"/>
    </row>
    <row r="392" customFormat="false" ht="15" hidden="false" customHeight="false" outlineLevel="0" collapsed="false">
      <c r="A392" s="9"/>
      <c r="B392" s="9"/>
      <c r="C392" s="16" t="str">
        <f aca="false">IF(B392="","",IFERROR(INDEX(EDT!$E$5:$E$436,MATCH(B392,EDT!$H$5:$H$436,0)),IFERROR(INDEX(CRONOGRAMA!$G$5:$G$5679,MATCH(A392,CRONOGRAMA!$A$5:$A$5679,0)),"Fuera EDT")))</f>
        <v/>
      </c>
      <c r="D392" s="16" t="str">
        <f aca="false">IF(C392="","",IFERROR(INDEX(MASTER!$B$19:$B$109,MATCH(C392,MASTER!$A$19:$A$109,0)),"Asignar fase"))</f>
        <v/>
      </c>
      <c r="E392" s="9"/>
      <c r="F392" s="9"/>
      <c r="G392" s="9"/>
      <c r="H392" s="56"/>
      <c r="I392" s="43"/>
      <c r="J392" s="43"/>
      <c r="K392" s="16" t="str">
        <f aca="false">IF(A392="","",COUNTIF(RESTRICCIONES!$B$5:$B$304,A392))</f>
        <v/>
      </c>
      <c r="L392" s="16" t="str">
        <f aca="false">IF(A392="","",COUNTIFS(RESTRICCIONES!$B$5:$B$304,A392,RESTRICCIONES!$L$5:$L$304,"Pendiente"))</f>
        <v/>
      </c>
      <c r="M392" s="18" t="str">
        <f aca="false">IF(A392="","",IF(L392=0,"LISTA","RESTRINGIDA"))</f>
        <v/>
      </c>
      <c r="N392" s="51" t="str">
        <f aca="false">IF(OR(A392="",H392=""),"",IFERROR(MIN(1,SUMIF(SEMANAL!$C$7:$C$506,A392,SEMANAL!$W$7:$W$506)/H392),0))</f>
        <v/>
      </c>
      <c r="O392" s="57"/>
      <c r="P392" s="57"/>
      <c r="Q392" s="57"/>
      <c r="R392" s="57"/>
      <c r="S392" s="57"/>
      <c r="T392" s="57"/>
      <c r="U392" s="9"/>
    </row>
    <row r="393" customFormat="false" ht="15" hidden="false" customHeight="false" outlineLevel="0" collapsed="false">
      <c r="A393" s="9"/>
      <c r="B393" s="9"/>
      <c r="C393" s="16" t="str">
        <f aca="false">IF(B393="","",IFERROR(INDEX(EDT!$E$5:$E$436,MATCH(B393,EDT!$H$5:$H$436,0)),IFERROR(INDEX(CRONOGRAMA!$G$5:$G$5679,MATCH(A393,CRONOGRAMA!$A$5:$A$5679,0)),"Fuera EDT")))</f>
        <v/>
      </c>
      <c r="D393" s="16" t="str">
        <f aca="false">IF(C393="","",IFERROR(INDEX(MASTER!$B$19:$B$109,MATCH(C393,MASTER!$A$19:$A$109,0)),"Asignar fase"))</f>
        <v/>
      </c>
      <c r="E393" s="9"/>
      <c r="F393" s="9"/>
      <c r="G393" s="9"/>
      <c r="H393" s="56"/>
      <c r="I393" s="43"/>
      <c r="J393" s="43"/>
      <c r="K393" s="16" t="str">
        <f aca="false">IF(A393="","",COUNTIF(RESTRICCIONES!$B$5:$B$304,A393))</f>
        <v/>
      </c>
      <c r="L393" s="16" t="str">
        <f aca="false">IF(A393="","",COUNTIFS(RESTRICCIONES!$B$5:$B$304,A393,RESTRICCIONES!$L$5:$L$304,"Pendiente"))</f>
        <v/>
      </c>
      <c r="M393" s="18" t="str">
        <f aca="false">IF(A393="","",IF(L393=0,"LISTA","RESTRINGIDA"))</f>
        <v/>
      </c>
      <c r="N393" s="51" t="str">
        <f aca="false">IF(OR(A393="",H393=""),"",IFERROR(MIN(1,SUMIF(SEMANAL!$C$7:$C$506,A393,SEMANAL!$W$7:$W$506)/H393),0))</f>
        <v/>
      </c>
      <c r="O393" s="57"/>
      <c r="P393" s="57"/>
      <c r="Q393" s="57"/>
      <c r="R393" s="57"/>
      <c r="S393" s="57"/>
      <c r="T393" s="57"/>
      <c r="U393" s="9"/>
    </row>
    <row r="394" customFormat="false" ht="15" hidden="false" customHeight="false" outlineLevel="0" collapsed="false">
      <c r="A394" s="9"/>
      <c r="B394" s="9"/>
      <c r="C394" s="16" t="str">
        <f aca="false">IF(B394="","",IFERROR(INDEX(EDT!$E$5:$E$436,MATCH(B394,EDT!$H$5:$H$436,0)),IFERROR(INDEX(CRONOGRAMA!$G$5:$G$5679,MATCH(A394,CRONOGRAMA!$A$5:$A$5679,0)),"Fuera EDT")))</f>
        <v/>
      </c>
      <c r="D394" s="16" t="str">
        <f aca="false">IF(C394="","",IFERROR(INDEX(MASTER!$B$19:$B$109,MATCH(C394,MASTER!$A$19:$A$109,0)),"Asignar fase"))</f>
        <v/>
      </c>
      <c r="E394" s="9"/>
      <c r="F394" s="9"/>
      <c r="G394" s="9"/>
      <c r="H394" s="56"/>
      <c r="I394" s="43"/>
      <c r="J394" s="43"/>
      <c r="K394" s="16" t="str">
        <f aca="false">IF(A394="","",COUNTIF(RESTRICCIONES!$B$5:$B$304,A394))</f>
        <v/>
      </c>
      <c r="L394" s="16" t="str">
        <f aca="false">IF(A394="","",COUNTIFS(RESTRICCIONES!$B$5:$B$304,A394,RESTRICCIONES!$L$5:$L$304,"Pendiente"))</f>
        <v/>
      </c>
      <c r="M394" s="18" t="str">
        <f aca="false">IF(A394="","",IF(L394=0,"LISTA","RESTRINGIDA"))</f>
        <v/>
      </c>
      <c r="N394" s="51" t="str">
        <f aca="false">IF(OR(A394="",H394=""),"",IFERROR(MIN(1,SUMIF(SEMANAL!$C$7:$C$506,A394,SEMANAL!$W$7:$W$506)/H394),0))</f>
        <v/>
      </c>
      <c r="O394" s="57"/>
      <c r="P394" s="57"/>
      <c r="Q394" s="57"/>
      <c r="R394" s="57"/>
      <c r="S394" s="57"/>
      <c r="T394" s="57"/>
      <c r="U394" s="9"/>
    </row>
    <row r="395" customFormat="false" ht="15" hidden="false" customHeight="false" outlineLevel="0" collapsed="false">
      <c r="A395" s="9"/>
      <c r="B395" s="9"/>
      <c r="C395" s="16" t="str">
        <f aca="false">IF(B395="","",IFERROR(INDEX(EDT!$E$5:$E$436,MATCH(B395,EDT!$H$5:$H$436,0)),IFERROR(INDEX(CRONOGRAMA!$G$5:$G$5679,MATCH(A395,CRONOGRAMA!$A$5:$A$5679,0)),"Fuera EDT")))</f>
        <v/>
      </c>
      <c r="D395" s="16" t="str">
        <f aca="false">IF(C395="","",IFERROR(INDEX(MASTER!$B$19:$B$109,MATCH(C395,MASTER!$A$19:$A$109,0)),"Asignar fase"))</f>
        <v/>
      </c>
      <c r="E395" s="9"/>
      <c r="F395" s="9"/>
      <c r="G395" s="9"/>
      <c r="H395" s="56"/>
      <c r="I395" s="43"/>
      <c r="J395" s="43"/>
      <c r="K395" s="16" t="str">
        <f aca="false">IF(A395="","",COUNTIF(RESTRICCIONES!$B$5:$B$304,A395))</f>
        <v/>
      </c>
      <c r="L395" s="16" t="str">
        <f aca="false">IF(A395="","",COUNTIFS(RESTRICCIONES!$B$5:$B$304,A395,RESTRICCIONES!$L$5:$L$304,"Pendiente"))</f>
        <v/>
      </c>
      <c r="M395" s="18" t="str">
        <f aca="false">IF(A395="","",IF(L395=0,"LISTA","RESTRINGIDA"))</f>
        <v/>
      </c>
      <c r="N395" s="51" t="str">
        <f aca="false">IF(OR(A395="",H395=""),"",IFERROR(MIN(1,SUMIF(SEMANAL!$C$7:$C$506,A395,SEMANAL!$W$7:$W$506)/H395),0))</f>
        <v/>
      </c>
      <c r="O395" s="57"/>
      <c r="P395" s="57"/>
      <c r="Q395" s="57"/>
      <c r="R395" s="57"/>
      <c r="S395" s="57"/>
      <c r="T395" s="57"/>
      <c r="U395" s="9"/>
    </row>
    <row r="396" customFormat="false" ht="15" hidden="false" customHeight="false" outlineLevel="0" collapsed="false">
      <c r="A396" s="9"/>
      <c r="B396" s="9"/>
      <c r="C396" s="16" t="str">
        <f aca="false">IF(B396="","",IFERROR(INDEX(EDT!$E$5:$E$436,MATCH(B396,EDT!$H$5:$H$436,0)),IFERROR(INDEX(CRONOGRAMA!$G$5:$G$5679,MATCH(A396,CRONOGRAMA!$A$5:$A$5679,0)),"Fuera EDT")))</f>
        <v/>
      </c>
      <c r="D396" s="16" t="str">
        <f aca="false">IF(C396="","",IFERROR(INDEX(MASTER!$B$19:$B$109,MATCH(C396,MASTER!$A$19:$A$109,0)),"Asignar fase"))</f>
        <v/>
      </c>
      <c r="E396" s="9"/>
      <c r="F396" s="9"/>
      <c r="G396" s="9"/>
      <c r="H396" s="56"/>
      <c r="I396" s="43"/>
      <c r="J396" s="43"/>
      <c r="K396" s="16" t="str">
        <f aca="false">IF(A396="","",COUNTIF(RESTRICCIONES!$B$5:$B$304,A396))</f>
        <v/>
      </c>
      <c r="L396" s="16" t="str">
        <f aca="false">IF(A396="","",COUNTIFS(RESTRICCIONES!$B$5:$B$304,A396,RESTRICCIONES!$L$5:$L$304,"Pendiente"))</f>
        <v/>
      </c>
      <c r="M396" s="18" t="str">
        <f aca="false">IF(A396="","",IF(L396=0,"LISTA","RESTRINGIDA"))</f>
        <v/>
      </c>
      <c r="N396" s="51" t="str">
        <f aca="false">IF(OR(A396="",H396=""),"",IFERROR(MIN(1,SUMIF(SEMANAL!$C$7:$C$506,A396,SEMANAL!$W$7:$W$506)/H396),0))</f>
        <v/>
      </c>
      <c r="O396" s="57"/>
      <c r="P396" s="57"/>
      <c r="Q396" s="57"/>
      <c r="R396" s="57"/>
      <c r="S396" s="57"/>
      <c r="T396" s="57"/>
      <c r="U396" s="9"/>
    </row>
    <row r="397" customFormat="false" ht="15" hidden="false" customHeight="false" outlineLevel="0" collapsed="false">
      <c r="A397" s="9"/>
      <c r="B397" s="9"/>
      <c r="C397" s="16" t="str">
        <f aca="false">IF(B397="","",IFERROR(INDEX(EDT!$E$5:$E$436,MATCH(B397,EDT!$H$5:$H$436,0)),IFERROR(INDEX(CRONOGRAMA!$G$5:$G$5679,MATCH(A397,CRONOGRAMA!$A$5:$A$5679,0)),"Fuera EDT")))</f>
        <v/>
      </c>
      <c r="D397" s="16" t="str">
        <f aca="false">IF(C397="","",IFERROR(INDEX(MASTER!$B$19:$B$109,MATCH(C397,MASTER!$A$19:$A$109,0)),"Asignar fase"))</f>
        <v/>
      </c>
      <c r="E397" s="9"/>
      <c r="F397" s="9"/>
      <c r="G397" s="9"/>
      <c r="H397" s="56"/>
      <c r="I397" s="43"/>
      <c r="J397" s="43"/>
      <c r="K397" s="16" t="str">
        <f aca="false">IF(A397="","",COUNTIF(RESTRICCIONES!$B$5:$B$304,A397))</f>
        <v/>
      </c>
      <c r="L397" s="16" t="str">
        <f aca="false">IF(A397="","",COUNTIFS(RESTRICCIONES!$B$5:$B$304,A397,RESTRICCIONES!$L$5:$L$304,"Pendiente"))</f>
        <v/>
      </c>
      <c r="M397" s="18" t="str">
        <f aca="false">IF(A397="","",IF(L397=0,"LISTA","RESTRINGIDA"))</f>
        <v/>
      </c>
      <c r="N397" s="51" t="str">
        <f aca="false">IF(OR(A397="",H397=""),"",IFERROR(MIN(1,SUMIF(SEMANAL!$C$7:$C$506,A397,SEMANAL!$W$7:$W$506)/H397),0))</f>
        <v/>
      </c>
      <c r="O397" s="57"/>
      <c r="P397" s="57"/>
      <c r="Q397" s="57"/>
      <c r="R397" s="57"/>
      <c r="S397" s="57"/>
      <c r="T397" s="57"/>
      <c r="U397" s="9"/>
    </row>
    <row r="398" customFormat="false" ht="15" hidden="false" customHeight="false" outlineLevel="0" collapsed="false">
      <c r="A398" s="9"/>
      <c r="B398" s="9"/>
      <c r="C398" s="16" t="str">
        <f aca="false">IF(B398="","",IFERROR(INDEX(EDT!$E$5:$E$436,MATCH(B398,EDT!$H$5:$H$436,0)),IFERROR(INDEX(CRONOGRAMA!$G$5:$G$5679,MATCH(A398,CRONOGRAMA!$A$5:$A$5679,0)),"Fuera EDT")))</f>
        <v/>
      </c>
      <c r="D398" s="16" t="str">
        <f aca="false">IF(C398="","",IFERROR(INDEX(MASTER!$B$19:$B$109,MATCH(C398,MASTER!$A$19:$A$109,0)),"Asignar fase"))</f>
        <v/>
      </c>
      <c r="E398" s="9"/>
      <c r="F398" s="9"/>
      <c r="G398" s="9"/>
      <c r="H398" s="56"/>
      <c r="I398" s="43"/>
      <c r="J398" s="43"/>
      <c r="K398" s="16" t="str">
        <f aca="false">IF(A398="","",COUNTIF(RESTRICCIONES!$B$5:$B$304,A398))</f>
        <v/>
      </c>
      <c r="L398" s="16" t="str">
        <f aca="false">IF(A398="","",COUNTIFS(RESTRICCIONES!$B$5:$B$304,A398,RESTRICCIONES!$L$5:$L$304,"Pendiente"))</f>
        <v/>
      </c>
      <c r="M398" s="18" t="str">
        <f aca="false">IF(A398="","",IF(L398=0,"LISTA","RESTRINGIDA"))</f>
        <v/>
      </c>
      <c r="N398" s="51" t="str">
        <f aca="false">IF(OR(A398="",H398=""),"",IFERROR(MIN(1,SUMIF(SEMANAL!$C$7:$C$506,A398,SEMANAL!$W$7:$W$506)/H398),0))</f>
        <v/>
      </c>
      <c r="O398" s="57"/>
      <c r="P398" s="57"/>
      <c r="Q398" s="57"/>
      <c r="R398" s="57"/>
      <c r="S398" s="57"/>
      <c r="T398" s="57"/>
      <c r="U398" s="9"/>
    </row>
    <row r="399" customFormat="false" ht="15" hidden="false" customHeight="false" outlineLevel="0" collapsed="false">
      <c r="A399" s="9"/>
      <c r="B399" s="9"/>
      <c r="C399" s="16" t="str">
        <f aca="false">IF(B399="","",IFERROR(INDEX(EDT!$E$5:$E$436,MATCH(B399,EDT!$H$5:$H$436,0)),IFERROR(INDEX(CRONOGRAMA!$G$5:$G$5679,MATCH(A399,CRONOGRAMA!$A$5:$A$5679,0)),"Fuera EDT")))</f>
        <v/>
      </c>
      <c r="D399" s="16" t="str">
        <f aca="false">IF(C399="","",IFERROR(INDEX(MASTER!$B$19:$B$109,MATCH(C399,MASTER!$A$19:$A$109,0)),"Asignar fase"))</f>
        <v/>
      </c>
      <c r="E399" s="9"/>
      <c r="F399" s="9"/>
      <c r="G399" s="9"/>
      <c r="H399" s="56"/>
      <c r="I399" s="43"/>
      <c r="J399" s="43"/>
      <c r="K399" s="16" t="str">
        <f aca="false">IF(A399="","",COUNTIF(RESTRICCIONES!$B$5:$B$304,A399))</f>
        <v/>
      </c>
      <c r="L399" s="16" t="str">
        <f aca="false">IF(A399="","",COUNTIFS(RESTRICCIONES!$B$5:$B$304,A399,RESTRICCIONES!$L$5:$L$304,"Pendiente"))</f>
        <v/>
      </c>
      <c r="M399" s="18" t="str">
        <f aca="false">IF(A399="","",IF(L399=0,"LISTA","RESTRINGIDA"))</f>
        <v/>
      </c>
      <c r="N399" s="51" t="str">
        <f aca="false">IF(OR(A399="",H399=""),"",IFERROR(MIN(1,SUMIF(SEMANAL!$C$7:$C$506,A399,SEMANAL!$W$7:$W$506)/H399),0))</f>
        <v/>
      </c>
      <c r="O399" s="57"/>
      <c r="P399" s="57"/>
      <c r="Q399" s="57"/>
      <c r="R399" s="57"/>
      <c r="S399" s="57"/>
      <c r="T399" s="57"/>
      <c r="U399" s="9"/>
    </row>
    <row r="400" customFormat="false" ht="15" hidden="false" customHeight="false" outlineLevel="0" collapsed="false">
      <c r="A400" s="9"/>
      <c r="B400" s="9"/>
      <c r="C400" s="16" t="str">
        <f aca="false">IF(B400="","",IFERROR(INDEX(EDT!$E$5:$E$436,MATCH(B400,EDT!$H$5:$H$436,0)),IFERROR(INDEX(CRONOGRAMA!$G$5:$G$5679,MATCH(A400,CRONOGRAMA!$A$5:$A$5679,0)),"Fuera EDT")))</f>
        <v/>
      </c>
      <c r="D400" s="16" t="str">
        <f aca="false">IF(C400="","",IFERROR(INDEX(MASTER!$B$19:$B$109,MATCH(C400,MASTER!$A$19:$A$109,0)),"Asignar fase"))</f>
        <v/>
      </c>
      <c r="E400" s="9"/>
      <c r="F400" s="9"/>
      <c r="G400" s="9"/>
      <c r="H400" s="56"/>
      <c r="I400" s="43"/>
      <c r="J400" s="43"/>
      <c r="K400" s="16" t="str">
        <f aca="false">IF(A400="","",COUNTIF(RESTRICCIONES!$B$5:$B$304,A400))</f>
        <v/>
      </c>
      <c r="L400" s="16" t="str">
        <f aca="false">IF(A400="","",COUNTIFS(RESTRICCIONES!$B$5:$B$304,A400,RESTRICCIONES!$L$5:$L$304,"Pendiente"))</f>
        <v/>
      </c>
      <c r="M400" s="18" t="str">
        <f aca="false">IF(A400="","",IF(L400=0,"LISTA","RESTRINGIDA"))</f>
        <v/>
      </c>
      <c r="N400" s="51" t="str">
        <f aca="false">IF(OR(A400="",H400=""),"",IFERROR(MIN(1,SUMIF(SEMANAL!$C$7:$C$506,A400,SEMANAL!$W$7:$W$506)/H400),0))</f>
        <v/>
      </c>
      <c r="O400" s="57"/>
      <c r="P400" s="57"/>
      <c r="Q400" s="57"/>
      <c r="R400" s="57"/>
      <c r="S400" s="57"/>
      <c r="T400" s="57"/>
      <c r="U400" s="9"/>
    </row>
    <row r="401" customFormat="false" ht="15" hidden="false" customHeight="false" outlineLevel="0" collapsed="false">
      <c r="A401" s="9"/>
      <c r="B401" s="9"/>
      <c r="C401" s="16" t="str">
        <f aca="false">IF(B401="","",IFERROR(INDEX(EDT!$E$5:$E$436,MATCH(B401,EDT!$H$5:$H$436,0)),IFERROR(INDEX(CRONOGRAMA!$G$5:$G$5679,MATCH(A401,CRONOGRAMA!$A$5:$A$5679,0)),"Fuera EDT")))</f>
        <v/>
      </c>
      <c r="D401" s="16" t="str">
        <f aca="false">IF(C401="","",IFERROR(INDEX(MASTER!$B$19:$B$109,MATCH(C401,MASTER!$A$19:$A$109,0)),"Asignar fase"))</f>
        <v/>
      </c>
      <c r="E401" s="9"/>
      <c r="F401" s="9"/>
      <c r="G401" s="9"/>
      <c r="H401" s="56"/>
      <c r="I401" s="43"/>
      <c r="J401" s="43"/>
      <c r="K401" s="16" t="str">
        <f aca="false">IF(A401="","",COUNTIF(RESTRICCIONES!$B$5:$B$304,A401))</f>
        <v/>
      </c>
      <c r="L401" s="16" t="str">
        <f aca="false">IF(A401="","",COUNTIFS(RESTRICCIONES!$B$5:$B$304,A401,RESTRICCIONES!$L$5:$L$304,"Pendiente"))</f>
        <v/>
      </c>
      <c r="M401" s="18" t="str">
        <f aca="false">IF(A401="","",IF(L401=0,"LISTA","RESTRINGIDA"))</f>
        <v/>
      </c>
      <c r="N401" s="51" t="str">
        <f aca="false">IF(OR(A401="",H401=""),"",IFERROR(MIN(1,SUMIF(SEMANAL!$C$7:$C$506,A401,SEMANAL!$W$7:$W$506)/H401),0))</f>
        <v/>
      </c>
      <c r="O401" s="57"/>
      <c r="P401" s="57"/>
      <c r="Q401" s="57"/>
      <c r="R401" s="57"/>
      <c r="S401" s="57"/>
      <c r="T401" s="57"/>
      <c r="U401" s="9"/>
    </row>
    <row r="402" customFormat="false" ht="15" hidden="false" customHeight="false" outlineLevel="0" collapsed="false">
      <c r="A402" s="9"/>
      <c r="B402" s="9"/>
      <c r="C402" s="16" t="str">
        <f aca="false">IF(B402="","",IFERROR(INDEX(EDT!$E$5:$E$436,MATCH(B402,EDT!$H$5:$H$436,0)),IFERROR(INDEX(CRONOGRAMA!$G$5:$G$5679,MATCH(A402,CRONOGRAMA!$A$5:$A$5679,0)),"Fuera EDT")))</f>
        <v/>
      </c>
      <c r="D402" s="16" t="str">
        <f aca="false">IF(C402="","",IFERROR(INDEX(MASTER!$B$19:$B$109,MATCH(C402,MASTER!$A$19:$A$109,0)),"Asignar fase"))</f>
        <v/>
      </c>
      <c r="E402" s="9"/>
      <c r="F402" s="9"/>
      <c r="G402" s="9"/>
      <c r="H402" s="56"/>
      <c r="I402" s="43"/>
      <c r="J402" s="43"/>
      <c r="K402" s="16" t="str">
        <f aca="false">IF(A402="","",COUNTIF(RESTRICCIONES!$B$5:$B$304,A402))</f>
        <v/>
      </c>
      <c r="L402" s="16" t="str">
        <f aca="false">IF(A402="","",COUNTIFS(RESTRICCIONES!$B$5:$B$304,A402,RESTRICCIONES!$L$5:$L$304,"Pendiente"))</f>
        <v/>
      </c>
      <c r="M402" s="18" t="str">
        <f aca="false">IF(A402="","",IF(L402=0,"LISTA","RESTRINGIDA"))</f>
        <v/>
      </c>
      <c r="N402" s="51" t="str">
        <f aca="false">IF(OR(A402="",H402=""),"",IFERROR(MIN(1,SUMIF(SEMANAL!$C$7:$C$506,A402,SEMANAL!$W$7:$W$506)/H402),0))</f>
        <v/>
      </c>
      <c r="O402" s="57"/>
      <c r="P402" s="57"/>
      <c r="Q402" s="57"/>
      <c r="R402" s="57"/>
      <c r="S402" s="57"/>
      <c r="T402" s="57"/>
      <c r="U402" s="9"/>
    </row>
    <row r="403" customFormat="false" ht="15" hidden="false" customHeight="false" outlineLevel="0" collapsed="false">
      <c r="A403" s="9"/>
      <c r="B403" s="9"/>
      <c r="C403" s="16" t="str">
        <f aca="false">IF(B403="","",IFERROR(INDEX(EDT!$E$5:$E$436,MATCH(B403,EDT!$H$5:$H$436,0)),IFERROR(INDEX(CRONOGRAMA!$G$5:$G$5679,MATCH(A403,CRONOGRAMA!$A$5:$A$5679,0)),"Fuera EDT")))</f>
        <v/>
      </c>
      <c r="D403" s="16" t="str">
        <f aca="false">IF(C403="","",IFERROR(INDEX(MASTER!$B$19:$B$109,MATCH(C403,MASTER!$A$19:$A$109,0)),"Asignar fase"))</f>
        <v/>
      </c>
      <c r="E403" s="9"/>
      <c r="F403" s="9"/>
      <c r="G403" s="9"/>
      <c r="H403" s="56"/>
      <c r="I403" s="43"/>
      <c r="J403" s="43"/>
      <c r="K403" s="16" t="str">
        <f aca="false">IF(A403="","",COUNTIF(RESTRICCIONES!$B$5:$B$304,A403))</f>
        <v/>
      </c>
      <c r="L403" s="16" t="str">
        <f aca="false">IF(A403="","",COUNTIFS(RESTRICCIONES!$B$5:$B$304,A403,RESTRICCIONES!$L$5:$L$304,"Pendiente"))</f>
        <v/>
      </c>
      <c r="M403" s="18" t="str">
        <f aca="false">IF(A403="","",IF(L403=0,"LISTA","RESTRINGIDA"))</f>
        <v/>
      </c>
      <c r="N403" s="51" t="str">
        <f aca="false">IF(OR(A403="",H403=""),"",IFERROR(MIN(1,SUMIF(SEMANAL!$C$7:$C$506,A403,SEMANAL!$W$7:$W$506)/H403),0))</f>
        <v/>
      </c>
      <c r="O403" s="57"/>
      <c r="P403" s="57"/>
      <c r="Q403" s="57"/>
      <c r="R403" s="57"/>
      <c r="S403" s="57"/>
      <c r="T403" s="57"/>
      <c r="U403" s="9"/>
    </row>
    <row r="404" customFormat="false" ht="15" hidden="false" customHeight="false" outlineLevel="0" collapsed="false">
      <c r="A404" s="9"/>
      <c r="B404" s="9"/>
      <c r="C404" s="16" t="str">
        <f aca="false">IF(B404="","",IFERROR(INDEX(EDT!$E$5:$E$436,MATCH(B404,EDT!$H$5:$H$436,0)),IFERROR(INDEX(CRONOGRAMA!$G$5:$G$5679,MATCH(A404,CRONOGRAMA!$A$5:$A$5679,0)),"Fuera EDT")))</f>
        <v/>
      </c>
      <c r="D404" s="16" t="str">
        <f aca="false">IF(C404="","",IFERROR(INDEX(MASTER!$B$19:$B$109,MATCH(C404,MASTER!$A$19:$A$109,0)),"Asignar fase"))</f>
        <v/>
      </c>
      <c r="E404" s="9"/>
      <c r="F404" s="9"/>
      <c r="G404" s="9"/>
      <c r="H404" s="56"/>
      <c r="I404" s="43"/>
      <c r="J404" s="43"/>
      <c r="K404" s="16" t="str">
        <f aca="false">IF(A404="","",COUNTIF(RESTRICCIONES!$B$5:$B$304,A404))</f>
        <v/>
      </c>
      <c r="L404" s="16" t="str">
        <f aca="false">IF(A404="","",COUNTIFS(RESTRICCIONES!$B$5:$B$304,A404,RESTRICCIONES!$L$5:$L$304,"Pendiente"))</f>
        <v/>
      </c>
      <c r="M404" s="18" t="str">
        <f aca="false">IF(A404="","",IF(L404=0,"LISTA","RESTRINGIDA"))</f>
        <v/>
      </c>
      <c r="N404" s="51" t="str">
        <f aca="false">IF(OR(A404="",H404=""),"",IFERROR(MIN(1,SUMIF(SEMANAL!$C$7:$C$506,A404,SEMANAL!$W$7:$W$506)/H404),0))</f>
        <v/>
      </c>
      <c r="O404" s="57"/>
      <c r="P404" s="57"/>
      <c r="Q404" s="57"/>
      <c r="R404" s="57"/>
      <c r="S404" s="57"/>
      <c r="T404" s="57"/>
      <c r="U404" s="9"/>
    </row>
    <row r="405" customFormat="false" ht="15" hidden="false" customHeight="false" outlineLevel="0" collapsed="false">
      <c r="A405" s="9"/>
      <c r="B405" s="9"/>
      <c r="C405" s="16" t="str">
        <f aca="false">IF(B405="","",IFERROR(INDEX(EDT!$E$5:$E$436,MATCH(B405,EDT!$H$5:$H$436,0)),IFERROR(INDEX(CRONOGRAMA!$G$5:$G$5679,MATCH(A405,CRONOGRAMA!$A$5:$A$5679,0)),"Fuera EDT")))</f>
        <v/>
      </c>
      <c r="D405" s="16" t="str">
        <f aca="false">IF(C405="","",IFERROR(INDEX(MASTER!$B$19:$B$109,MATCH(C405,MASTER!$A$19:$A$109,0)),"Asignar fase"))</f>
        <v/>
      </c>
      <c r="E405" s="9"/>
      <c r="F405" s="9"/>
      <c r="G405" s="9"/>
      <c r="H405" s="56"/>
      <c r="I405" s="43"/>
      <c r="J405" s="43"/>
      <c r="K405" s="16" t="str">
        <f aca="false">IF(A405="","",COUNTIF(RESTRICCIONES!$B$5:$B$304,A405))</f>
        <v/>
      </c>
      <c r="L405" s="16" t="str">
        <f aca="false">IF(A405="","",COUNTIFS(RESTRICCIONES!$B$5:$B$304,A405,RESTRICCIONES!$L$5:$L$304,"Pendiente"))</f>
        <v/>
      </c>
      <c r="M405" s="18" t="str">
        <f aca="false">IF(A405="","",IF(L405=0,"LISTA","RESTRINGIDA"))</f>
        <v/>
      </c>
      <c r="N405" s="51" t="str">
        <f aca="false">IF(OR(A405="",H405=""),"",IFERROR(MIN(1,SUMIF(SEMANAL!$C$7:$C$506,A405,SEMANAL!$W$7:$W$506)/H405),0))</f>
        <v/>
      </c>
      <c r="O405" s="57"/>
      <c r="P405" s="57"/>
      <c r="Q405" s="57"/>
      <c r="R405" s="57"/>
      <c r="S405" s="57"/>
      <c r="T405" s="57"/>
      <c r="U405" s="9"/>
    </row>
    <row r="406" customFormat="false" ht="15" hidden="false" customHeight="false" outlineLevel="0" collapsed="false">
      <c r="A406" s="9"/>
      <c r="B406" s="9"/>
      <c r="C406" s="16" t="str">
        <f aca="false">IF(B406="","",IFERROR(INDEX(EDT!$E$5:$E$436,MATCH(B406,EDT!$H$5:$H$436,0)),IFERROR(INDEX(CRONOGRAMA!$G$5:$G$5679,MATCH(A406,CRONOGRAMA!$A$5:$A$5679,0)),"Fuera EDT")))</f>
        <v/>
      </c>
      <c r="D406" s="16" t="str">
        <f aca="false">IF(C406="","",IFERROR(INDEX(MASTER!$B$19:$B$109,MATCH(C406,MASTER!$A$19:$A$109,0)),"Asignar fase"))</f>
        <v/>
      </c>
      <c r="E406" s="9"/>
      <c r="F406" s="9"/>
      <c r="G406" s="9"/>
      <c r="H406" s="56"/>
      <c r="I406" s="43"/>
      <c r="J406" s="43"/>
      <c r="K406" s="16" t="str">
        <f aca="false">IF(A406="","",COUNTIF(RESTRICCIONES!$B$5:$B$304,A406))</f>
        <v/>
      </c>
      <c r="L406" s="16" t="str">
        <f aca="false">IF(A406="","",COUNTIFS(RESTRICCIONES!$B$5:$B$304,A406,RESTRICCIONES!$L$5:$L$304,"Pendiente"))</f>
        <v/>
      </c>
      <c r="M406" s="18" t="str">
        <f aca="false">IF(A406="","",IF(L406=0,"LISTA","RESTRINGIDA"))</f>
        <v/>
      </c>
      <c r="N406" s="51" t="str">
        <f aca="false">IF(OR(A406="",H406=""),"",IFERROR(MIN(1,SUMIF(SEMANAL!$C$7:$C$506,A406,SEMANAL!$W$7:$W$506)/H406),0))</f>
        <v/>
      </c>
      <c r="O406" s="57"/>
      <c r="P406" s="57"/>
      <c r="Q406" s="57"/>
      <c r="R406" s="57"/>
      <c r="S406" s="57"/>
      <c r="T406" s="57"/>
      <c r="U406" s="9"/>
    </row>
    <row r="407" customFormat="false" ht="15" hidden="false" customHeight="false" outlineLevel="0" collapsed="false">
      <c r="A407" s="9"/>
      <c r="B407" s="9"/>
      <c r="C407" s="16" t="str">
        <f aca="false">IF(B407="","",IFERROR(INDEX(EDT!$E$5:$E$436,MATCH(B407,EDT!$H$5:$H$436,0)),IFERROR(INDEX(CRONOGRAMA!$G$5:$G$5679,MATCH(A407,CRONOGRAMA!$A$5:$A$5679,0)),"Fuera EDT")))</f>
        <v/>
      </c>
      <c r="D407" s="16" t="str">
        <f aca="false">IF(C407="","",IFERROR(INDEX(MASTER!$B$19:$B$109,MATCH(C407,MASTER!$A$19:$A$109,0)),"Asignar fase"))</f>
        <v/>
      </c>
      <c r="E407" s="9"/>
      <c r="F407" s="9"/>
      <c r="G407" s="9"/>
      <c r="H407" s="56"/>
      <c r="I407" s="43"/>
      <c r="J407" s="43"/>
      <c r="K407" s="16" t="str">
        <f aca="false">IF(A407="","",COUNTIF(RESTRICCIONES!$B$5:$B$304,A407))</f>
        <v/>
      </c>
      <c r="L407" s="16" t="str">
        <f aca="false">IF(A407="","",COUNTIFS(RESTRICCIONES!$B$5:$B$304,A407,RESTRICCIONES!$L$5:$L$304,"Pendiente"))</f>
        <v/>
      </c>
      <c r="M407" s="18" t="str">
        <f aca="false">IF(A407="","",IF(L407=0,"LISTA","RESTRINGIDA"))</f>
        <v/>
      </c>
      <c r="N407" s="51" t="str">
        <f aca="false">IF(OR(A407="",H407=""),"",IFERROR(MIN(1,SUMIF(SEMANAL!$C$7:$C$506,A407,SEMANAL!$W$7:$W$506)/H407),0))</f>
        <v/>
      </c>
      <c r="O407" s="57"/>
      <c r="P407" s="57"/>
      <c r="Q407" s="57"/>
      <c r="R407" s="57"/>
      <c r="S407" s="57"/>
      <c r="T407" s="57"/>
      <c r="U407" s="9"/>
    </row>
    <row r="408" customFormat="false" ht="15" hidden="false" customHeight="false" outlineLevel="0" collapsed="false">
      <c r="A408" s="9"/>
      <c r="B408" s="9"/>
      <c r="C408" s="16" t="str">
        <f aca="false">IF(B408="","",IFERROR(INDEX(EDT!$E$5:$E$436,MATCH(B408,EDT!$H$5:$H$436,0)),IFERROR(INDEX(CRONOGRAMA!$G$5:$G$5679,MATCH(A408,CRONOGRAMA!$A$5:$A$5679,0)),"Fuera EDT")))</f>
        <v/>
      </c>
      <c r="D408" s="16" t="str">
        <f aca="false">IF(C408="","",IFERROR(INDEX(MASTER!$B$19:$B$109,MATCH(C408,MASTER!$A$19:$A$109,0)),"Asignar fase"))</f>
        <v/>
      </c>
      <c r="E408" s="9"/>
      <c r="F408" s="9"/>
      <c r="G408" s="9"/>
      <c r="H408" s="56"/>
      <c r="I408" s="43"/>
      <c r="J408" s="43"/>
      <c r="K408" s="16" t="str">
        <f aca="false">IF(A408="","",COUNTIF(RESTRICCIONES!$B$5:$B$304,A408))</f>
        <v/>
      </c>
      <c r="L408" s="16" t="str">
        <f aca="false">IF(A408="","",COUNTIFS(RESTRICCIONES!$B$5:$B$304,A408,RESTRICCIONES!$L$5:$L$304,"Pendiente"))</f>
        <v/>
      </c>
      <c r="M408" s="18" t="str">
        <f aca="false">IF(A408="","",IF(L408=0,"LISTA","RESTRINGIDA"))</f>
        <v/>
      </c>
      <c r="N408" s="51" t="str">
        <f aca="false">IF(OR(A408="",H408=""),"",IFERROR(MIN(1,SUMIF(SEMANAL!$C$7:$C$506,A408,SEMANAL!$W$7:$W$506)/H408),0))</f>
        <v/>
      </c>
      <c r="O408" s="57"/>
      <c r="P408" s="57"/>
      <c r="Q408" s="57"/>
      <c r="R408" s="57"/>
      <c r="S408" s="57"/>
      <c r="T408" s="57"/>
      <c r="U408" s="9"/>
    </row>
    <row r="409" customFormat="false" ht="15" hidden="false" customHeight="false" outlineLevel="0" collapsed="false">
      <c r="A409" s="9"/>
      <c r="B409" s="9"/>
      <c r="C409" s="16" t="str">
        <f aca="false">IF(B409="","",IFERROR(INDEX(EDT!$E$5:$E$436,MATCH(B409,EDT!$H$5:$H$436,0)),IFERROR(INDEX(CRONOGRAMA!$G$5:$G$5679,MATCH(A409,CRONOGRAMA!$A$5:$A$5679,0)),"Fuera EDT")))</f>
        <v/>
      </c>
      <c r="D409" s="16" t="str">
        <f aca="false">IF(C409="","",IFERROR(INDEX(MASTER!$B$19:$B$109,MATCH(C409,MASTER!$A$19:$A$109,0)),"Asignar fase"))</f>
        <v/>
      </c>
      <c r="E409" s="9"/>
      <c r="F409" s="9"/>
      <c r="G409" s="9"/>
      <c r="H409" s="56"/>
      <c r="I409" s="43"/>
      <c r="J409" s="43"/>
      <c r="K409" s="16" t="str">
        <f aca="false">IF(A409="","",COUNTIF(RESTRICCIONES!$B$5:$B$304,A409))</f>
        <v/>
      </c>
      <c r="L409" s="16" t="str">
        <f aca="false">IF(A409="","",COUNTIFS(RESTRICCIONES!$B$5:$B$304,A409,RESTRICCIONES!$L$5:$L$304,"Pendiente"))</f>
        <v/>
      </c>
      <c r="M409" s="18" t="str">
        <f aca="false">IF(A409="","",IF(L409=0,"LISTA","RESTRINGIDA"))</f>
        <v/>
      </c>
      <c r="N409" s="51" t="str">
        <f aca="false">IF(OR(A409="",H409=""),"",IFERROR(MIN(1,SUMIF(SEMANAL!$C$7:$C$506,A409,SEMANAL!$W$7:$W$506)/H409),0))</f>
        <v/>
      </c>
      <c r="O409" s="57"/>
      <c r="P409" s="57"/>
      <c r="Q409" s="57"/>
      <c r="R409" s="57"/>
      <c r="S409" s="57"/>
      <c r="T409" s="57"/>
      <c r="U409" s="9"/>
    </row>
    <row r="410" customFormat="false" ht="15" hidden="false" customHeight="false" outlineLevel="0" collapsed="false">
      <c r="A410" s="9"/>
      <c r="B410" s="9"/>
      <c r="C410" s="16" t="str">
        <f aca="false">IF(B410="","",IFERROR(INDEX(EDT!$E$5:$E$436,MATCH(B410,EDT!$H$5:$H$436,0)),IFERROR(INDEX(CRONOGRAMA!$G$5:$G$5679,MATCH(A410,CRONOGRAMA!$A$5:$A$5679,0)),"Fuera EDT")))</f>
        <v/>
      </c>
      <c r="D410" s="16" t="str">
        <f aca="false">IF(C410="","",IFERROR(INDEX(MASTER!$B$19:$B$109,MATCH(C410,MASTER!$A$19:$A$109,0)),"Asignar fase"))</f>
        <v/>
      </c>
      <c r="E410" s="9"/>
      <c r="F410" s="9"/>
      <c r="G410" s="9"/>
      <c r="H410" s="56"/>
      <c r="I410" s="43"/>
      <c r="J410" s="43"/>
      <c r="K410" s="16" t="str">
        <f aca="false">IF(A410="","",COUNTIF(RESTRICCIONES!$B$5:$B$304,A410))</f>
        <v/>
      </c>
      <c r="L410" s="16" t="str">
        <f aca="false">IF(A410="","",COUNTIFS(RESTRICCIONES!$B$5:$B$304,A410,RESTRICCIONES!$L$5:$L$304,"Pendiente"))</f>
        <v/>
      </c>
      <c r="M410" s="18" t="str">
        <f aca="false">IF(A410="","",IF(L410=0,"LISTA","RESTRINGIDA"))</f>
        <v/>
      </c>
      <c r="N410" s="51" t="str">
        <f aca="false">IF(OR(A410="",H410=""),"",IFERROR(MIN(1,SUMIF(SEMANAL!$C$7:$C$506,A410,SEMANAL!$W$7:$W$506)/H410),0))</f>
        <v/>
      </c>
      <c r="O410" s="57"/>
      <c r="P410" s="57"/>
      <c r="Q410" s="57"/>
      <c r="R410" s="57"/>
      <c r="S410" s="57"/>
      <c r="T410" s="57"/>
      <c r="U410" s="9"/>
    </row>
    <row r="411" customFormat="false" ht="15" hidden="false" customHeight="false" outlineLevel="0" collapsed="false">
      <c r="A411" s="9"/>
      <c r="B411" s="9"/>
      <c r="C411" s="16" t="str">
        <f aca="false">IF(B411="","",IFERROR(INDEX(EDT!$E$5:$E$436,MATCH(B411,EDT!$H$5:$H$436,0)),IFERROR(INDEX(CRONOGRAMA!$G$5:$G$5679,MATCH(A411,CRONOGRAMA!$A$5:$A$5679,0)),"Fuera EDT")))</f>
        <v/>
      </c>
      <c r="D411" s="16" t="str">
        <f aca="false">IF(C411="","",IFERROR(INDEX(MASTER!$B$19:$B$109,MATCH(C411,MASTER!$A$19:$A$109,0)),"Asignar fase"))</f>
        <v/>
      </c>
      <c r="E411" s="9"/>
      <c r="F411" s="9"/>
      <c r="G411" s="9"/>
      <c r="H411" s="56"/>
      <c r="I411" s="43"/>
      <c r="J411" s="43"/>
      <c r="K411" s="16" t="str">
        <f aca="false">IF(A411="","",COUNTIF(RESTRICCIONES!$B$5:$B$304,A411))</f>
        <v/>
      </c>
      <c r="L411" s="16" t="str">
        <f aca="false">IF(A411="","",COUNTIFS(RESTRICCIONES!$B$5:$B$304,A411,RESTRICCIONES!$L$5:$L$304,"Pendiente"))</f>
        <v/>
      </c>
      <c r="M411" s="18" t="str">
        <f aca="false">IF(A411="","",IF(L411=0,"LISTA","RESTRINGIDA"))</f>
        <v/>
      </c>
      <c r="N411" s="51" t="str">
        <f aca="false">IF(OR(A411="",H411=""),"",IFERROR(MIN(1,SUMIF(SEMANAL!$C$7:$C$506,A411,SEMANAL!$W$7:$W$506)/H411),0))</f>
        <v/>
      </c>
      <c r="O411" s="57"/>
      <c r="P411" s="57"/>
      <c r="Q411" s="57"/>
      <c r="R411" s="57"/>
      <c r="S411" s="57"/>
      <c r="T411" s="57"/>
      <c r="U411" s="9"/>
    </row>
    <row r="412" customFormat="false" ht="15" hidden="false" customHeight="false" outlineLevel="0" collapsed="false">
      <c r="A412" s="9"/>
      <c r="B412" s="9"/>
      <c r="C412" s="16" t="str">
        <f aca="false">IF(B412="","",IFERROR(INDEX(EDT!$E$5:$E$436,MATCH(B412,EDT!$H$5:$H$436,0)),IFERROR(INDEX(CRONOGRAMA!$G$5:$G$5679,MATCH(A412,CRONOGRAMA!$A$5:$A$5679,0)),"Fuera EDT")))</f>
        <v/>
      </c>
      <c r="D412" s="16" t="str">
        <f aca="false">IF(C412="","",IFERROR(INDEX(MASTER!$B$19:$B$109,MATCH(C412,MASTER!$A$19:$A$109,0)),"Asignar fase"))</f>
        <v/>
      </c>
      <c r="E412" s="9"/>
      <c r="F412" s="9"/>
      <c r="G412" s="9"/>
      <c r="H412" s="56"/>
      <c r="I412" s="43"/>
      <c r="J412" s="43"/>
      <c r="K412" s="16" t="str">
        <f aca="false">IF(A412="","",COUNTIF(RESTRICCIONES!$B$5:$B$304,A412))</f>
        <v/>
      </c>
      <c r="L412" s="16" t="str">
        <f aca="false">IF(A412="","",COUNTIFS(RESTRICCIONES!$B$5:$B$304,A412,RESTRICCIONES!$L$5:$L$304,"Pendiente"))</f>
        <v/>
      </c>
      <c r="M412" s="18" t="str">
        <f aca="false">IF(A412="","",IF(L412=0,"LISTA","RESTRINGIDA"))</f>
        <v/>
      </c>
      <c r="N412" s="51" t="str">
        <f aca="false">IF(OR(A412="",H412=""),"",IFERROR(MIN(1,SUMIF(SEMANAL!$C$7:$C$506,A412,SEMANAL!$W$7:$W$506)/H412),0))</f>
        <v/>
      </c>
      <c r="O412" s="57"/>
      <c r="P412" s="57"/>
      <c r="Q412" s="57"/>
      <c r="R412" s="57"/>
      <c r="S412" s="57"/>
      <c r="T412" s="57"/>
      <c r="U412" s="9"/>
    </row>
    <row r="413" customFormat="false" ht="15" hidden="false" customHeight="false" outlineLevel="0" collapsed="false">
      <c r="A413" s="9"/>
      <c r="B413" s="9"/>
      <c r="C413" s="16" t="str">
        <f aca="false">IF(B413="","",IFERROR(INDEX(EDT!$E$5:$E$436,MATCH(B413,EDT!$H$5:$H$436,0)),IFERROR(INDEX(CRONOGRAMA!$G$5:$G$5679,MATCH(A413,CRONOGRAMA!$A$5:$A$5679,0)),"Fuera EDT")))</f>
        <v/>
      </c>
      <c r="D413" s="16" t="str">
        <f aca="false">IF(C413="","",IFERROR(INDEX(MASTER!$B$19:$B$109,MATCH(C413,MASTER!$A$19:$A$109,0)),"Asignar fase"))</f>
        <v/>
      </c>
      <c r="E413" s="9"/>
      <c r="F413" s="9"/>
      <c r="G413" s="9"/>
      <c r="H413" s="56"/>
      <c r="I413" s="43"/>
      <c r="J413" s="43"/>
      <c r="K413" s="16" t="str">
        <f aca="false">IF(A413="","",COUNTIF(RESTRICCIONES!$B$5:$B$304,A413))</f>
        <v/>
      </c>
      <c r="L413" s="16" t="str">
        <f aca="false">IF(A413="","",COUNTIFS(RESTRICCIONES!$B$5:$B$304,A413,RESTRICCIONES!$L$5:$L$304,"Pendiente"))</f>
        <v/>
      </c>
      <c r="M413" s="18" t="str">
        <f aca="false">IF(A413="","",IF(L413=0,"LISTA","RESTRINGIDA"))</f>
        <v/>
      </c>
      <c r="N413" s="51" t="str">
        <f aca="false">IF(OR(A413="",H413=""),"",IFERROR(MIN(1,SUMIF(SEMANAL!$C$7:$C$506,A413,SEMANAL!$W$7:$W$506)/H413),0))</f>
        <v/>
      </c>
      <c r="O413" s="57"/>
      <c r="P413" s="57"/>
      <c r="Q413" s="57"/>
      <c r="R413" s="57"/>
      <c r="S413" s="57"/>
      <c r="T413" s="57"/>
      <c r="U413" s="9"/>
    </row>
    <row r="414" customFormat="false" ht="15" hidden="false" customHeight="false" outlineLevel="0" collapsed="false">
      <c r="A414" s="9"/>
      <c r="B414" s="9"/>
      <c r="C414" s="16" t="str">
        <f aca="false">IF(B414="","",IFERROR(INDEX(EDT!$E$5:$E$436,MATCH(B414,EDT!$H$5:$H$436,0)),IFERROR(INDEX(CRONOGRAMA!$G$5:$G$5679,MATCH(A414,CRONOGRAMA!$A$5:$A$5679,0)),"Fuera EDT")))</f>
        <v/>
      </c>
      <c r="D414" s="16" t="str">
        <f aca="false">IF(C414="","",IFERROR(INDEX(MASTER!$B$19:$B$109,MATCH(C414,MASTER!$A$19:$A$109,0)),"Asignar fase"))</f>
        <v/>
      </c>
      <c r="E414" s="9"/>
      <c r="F414" s="9"/>
      <c r="G414" s="9"/>
      <c r="H414" s="56"/>
      <c r="I414" s="43"/>
      <c r="J414" s="43"/>
      <c r="K414" s="16" t="str">
        <f aca="false">IF(A414="","",COUNTIF(RESTRICCIONES!$B$5:$B$304,A414))</f>
        <v/>
      </c>
      <c r="L414" s="16" t="str">
        <f aca="false">IF(A414="","",COUNTIFS(RESTRICCIONES!$B$5:$B$304,A414,RESTRICCIONES!$L$5:$L$304,"Pendiente"))</f>
        <v/>
      </c>
      <c r="M414" s="18" t="str">
        <f aca="false">IF(A414="","",IF(L414=0,"LISTA","RESTRINGIDA"))</f>
        <v/>
      </c>
      <c r="N414" s="51" t="str">
        <f aca="false">IF(OR(A414="",H414=""),"",IFERROR(MIN(1,SUMIF(SEMANAL!$C$7:$C$506,A414,SEMANAL!$W$7:$W$506)/H414),0))</f>
        <v/>
      </c>
      <c r="O414" s="57"/>
      <c r="P414" s="57"/>
      <c r="Q414" s="57"/>
      <c r="R414" s="57"/>
      <c r="S414" s="57"/>
      <c r="T414" s="57"/>
      <c r="U414" s="9"/>
    </row>
    <row r="415" customFormat="false" ht="15" hidden="false" customHeight="false" outlineLevel="0" collapsed="false">
      <c r="A415" s="9"/>
      <c r="B415" s="9"/>
      <c r="C415" s="16" t="str">
        <f aca="false">IF(B415="","",IFERROR(INDEX(EDT!$E$5:$E$436,MATCH(B415,EDT!$H$5:$H$436,0)),IFERROR(INDEX(CRONOGRAMA!$G$5:$G$5679,MATCH(A415,CRONOGRAMA!$A$5:$A$5679,0)),"Fuera EDT")))</f>
        <v/>
      </c>
      <c r="D415" s="16" t="str">
        <f aca="false">IF(C415="","",IFERROR(INDEX(MASTER!$B$19:$B$109,MATCH(C415,MASTER!$A$19:$A$109,0)),"Asignar fase"))</f>
        <v/>
      </c>
      <c r="E415" s="9"/>
      <c r="F415" s="9"/>
      <c r="G415" s="9"/>
      <c r="H415" s="56"/>
      <c r="I415" s="43"/>
      <c r="J415" s="43"/>
      <c r="K415" s="16" t="str">
        <f aca="false">IF(A415="","",COUNTIF(RESTRICCIONES!$B$5:$B$304,A415))</f>
        <v/>
      </c>
      <c r="L415" s="16" t="str">
        <f aca="false">IF(A415="","",COUNTIFS(RESTRICCIONES!$B$5:$B$304,A415,RESTRICCIONES!$L$5:$L$304,"Pendiente"))</f>
        <v/>
      </c>
      <c r="M415" s="18" t="str">
        <f aca="false">IF(A415="","",IF(L415=0,"LISTA","RESTRINGIDA"))</f>
        <v/>
      </c>
      <c r="N415" s="51" t="str">
        <f aca="false">IF(OR(A415="",H415=""),"",IFERROR(MIN(1,SUMIF(SEMANAL!$C$7:$C$506,A415,SEMANAL!$W$7:$W$506)/H415),0))</f>
        <v/>
      </c>
      <c r="O415" s="57"/>
      <c r="P415" s="57"/>
      <c r="Q415" s="57"/>
      <c r="R415" s="57"/>
      <c r="S415" s="57"/>
      <c r="T415" s="57"/>
      <c r="U415" s="9"/>
    </row>
    <row r="416" customFormat="false" ht="15" hidden="false" customHeight="false" outlineLevel="0" collapsed="false">
      <c r="A416" s="9"/>
      <c r="B416" s="9"/>
      <c r="C416" s="16" t="str">
        <f aca="false">IF(B416="","",IFERROR(INDEX(EDT!$E$5:$E$436,MATCH(B416,EDT!$H$5:$H$436,0)),IFERROR(INDEX(CRONOGRAMA!$G$5:$G$5679,MATCH(A416,CRONOGRAMA!$A$5:$A$5679,0)),"Fuera EDT")))</f>
        <v/>
      </c>
      <c r="D416" s="16" t="str">
        <f aca="false">IF(C416="","",IFERROR(INDEX(MASTER!$B$19:$B$109,MATCH(C416,MASTER!$A$19:$A$109,0)),"Asignar fase"))</f>
        <v/>
      </c>
      <c r="E416" s="9"/>
      <c r="F416" s="9"/>
      <c r="G416" s="9"/>
      <c r="H416" s="56"/>
      <c r="I416" s="43"/>
      <c r="J416" s="43"/>
      <c r="K416" s="16" t="str">
        <f aca="false">IF(A416="","",COUNTIF(RESTRICCIONES!$B$5:$B$304,A416))</f>
        <v/>
      </c>
      <c r="L416" s="16" t="str">
        <f aca="false">IF(A416="","",COUNTIFS(RESTRICCIONES!$B$5:$B$304,A416,RESTRICCIONES!$L$5:$L$304,"Pendiente"))</f>
        <v/>
      </c>
      <c r="M416" s="18" t="str">
        <f aca="false">IF(A416="","",IF(L416=0,"LISTA","RESTRINGIDA"))</f>
        <v/>
      </c>
      <c r="N416" s="51" t="str">
        <f aca="false">IF(OR(A416="",H416=""),"",IFERROR(MIN(1,SUMIF(SEMANAL!$C$7:$C$506,A416,SEMANAL!$W$7:$W$506)/H416),0))</f>
        <v/>
      </c>
      <c r="O416" s="57"/>
      <c r="P416" s="57"/>
      <c r="Q416" s="57"/>
      <c r="R416" s="57"/>
      <c r="S416" s="57"/>
      <c r="T416" s="57"/>
      <c r="U416" s="9"/>
    </row>
    <row r="417" customFormat="false" ht="15" hidden="false" customHeight="false" outlineLevel="0" collapsed="false">
      <c r="A417" s="9"/>
      <c r="B417" s="9"/>
      <c r="C417" s="16" t="str">
        <f aca="false">IF(B417="","",IFERROR(INDEX(EDT!$E$5:$E$436,MATCH(B417,EDT!$H$5:$H$436,0)),IFERROR(INDEX(CRONOGRAMA!$G$5:$G$5679,MATCH(A417,CRONOGRAMA!$A$5:$A$5679,0)),"Fuera EDT")))</f>
        <v/>
      </c>
      <c r="D417" s="16" t="str">
        <f aca="false">IF(C417="","",IFERROR(INDEX(MASTER!$B$19:$B$109,MATCH(C417,MASTER!$A$19:$A$109,0)),"Asignar fase"))</f>
        <v/>
      </c>
      <c r="E417" s="9"/>
      <c r="F417" s="9"/>
      <c r="G417" s="9"/>
      <c r="H417" s="56"/>
      <c r="I417" s="43"/>
      <c r="J417" s="43"/>
      <c r="K417" s="16" t="str">
        <f aca="false">IF(A417="","",COUNTIF(RESTRICCIONES!$B$5:$B$304,A417))</f>
        <v/>
      </c>
      <c r="L417" s="16" t="str">
        <f aca="false">IF(A417="","",COUNTIFS(RESTRICCIONES!$B$5:$B$304,A417,RESTRICCIONES!$L$5:$L$304,"Pendiente"))</f>
        <v/>
      </c>
      <c r="M417" s="18" t="str">
        <f aca="false">IF(A417="","",IF(L417=0,"LISTA","RESTRINGIDA"))</f>
        <v/>
      </c>
      <c r="N417" s="51" t="str">
        <f aca="false">IF(OR(A417="",H417=""),"",IFERROR(MIN(1,SUMIF(SEMANAL!$C$7:$C$506,A417,SEMANAL!$W$7:$W$506)/H417),0))</f>
        <v/>
      </c>
      <c r="O417" s="57"/>
      <c r="P417" s="57"/>
      <c r="Q417" s="57"/>
      <c r="R417" s="57"/>
      <c r="S417" s="57"/>
      <c r="T417" s="57"/>
      <c r="U417" s="9"/>
    </row>
    <row r="418" customFormat="false" ht="15" hidden="false" customHeight="false" outlineLevel="0" collapsed="false">
      <c r="A418" s="9"/>
      <c r="B418" s="9"/>
      <c r="C418" s="16" t="str">
        <f aca="false">IF(B418="","",IFERROR(INDEX(EDT!$E$5:$E$436,MATCH(B418,EDT!$H$5:$H$436,0)),IFERROR(INDEX(CRONOGRAMA!$G$5:$G$5679,MATCH(A418,CRONOGRAMA!$A$5:$A$5679,0)),"Fuera EDT")))</f>
        <v/>
      </c>
      <c r="D418" s="16" t="str">
        <f aca="false">IF(C418="","",IFERROR(INDEX(MASTER!$B$19:$B$109,MATCH(C418,MASTER!$A$19:$A$109,0)),"Asignar fase"))</f>
        <v/>
      </c>
      <c r="E418" s="9"/>
      <c r="F418" s="9"/>
      <c r="G418" s="9"/>
      <c r="H418" s="56"/>
      <c r="I418" s="43"/>
      <c r="J418" s="43"/>
      <c r="K418" s="16" t="str">
        <f aca="false">IF(A418="","",COUNTIF(RESTRICCIONES!$B$5:$B$304,A418))</f>
        <v/>
      </c>
      <c r="L418" s="16" t="str">
        <f aca="false">IF(A418="","",COUNTIFS(RESTRICCIONES!$B$5:$B$304,A418,RESTRICCIONES!$L$5:$L$304,"Pendiente"))</f>
        <v/>
      </c>
      <c r="M418" s="18" t="str">
        <f aca="false">IF(A418="","",IF(L418=0,"LISTA","RESTRINGIDA"))</f>
        <v/>
      </c>
      <c r="N418" s="51" t="str">
        <f aca="false">IF(OR(A418="",H418=""),"",IFERROR(MIN(1,SUMIF(SEMANAL!$C$7:$C$506,A418,SEMANAL!$W$7:$W$506)/H418),0))</f>
        <v/>
      </c>
      <c r="O418" s="57"/>
      <c r="P418" s="57"/>
      <c r="Q418" s="57"/>
      <c r="R418" s="57"/>
      <c r="S418" s="57"/>
      <c r="T418" s="57"/>
      <c r="U418" s="9"/>
    </row>
    <row r="419" customFormat="false" ht="15" hidden="false" customHeight="false" outlineLevel="0" collapsed="false">
      <c r="A419" s="9"/>
      <c r="B419" s="9"/>
      <c r="C419" s="16" t="str">
        <f aca="false">IF(B419="","",IFERROR(INDEX(EDT!$E$5:$E$436,MATCH(B419,EDT!$H$5:$H$436,0)),IFERROR(INDEX(CRONOGRAMA!$G$5:$G$5679,MATCH(A419,CRONOGRAMA!$A$5:$A$5679,0)),"Fuera EDT")))</f>
        <v/>
      </c>
      <c r="D419" s="16" t="str">
        <f aca="false">IF(C419="","",IFERROR(INDEX(MASTER!$B$19:$B$109,MATCH(C419,MASTER!$A$19:$A$109,0)),"Asignar fase"))</f>
        <v/>
      </c>
      <c r="E419" s="9"/>
      <c r="F419" s="9"/>
      <c r="G419" s="9"/>
      <c r="H419" s="56"/>
      <c r="I419" s="43"/>
      <c r="J419" s="43"/>
      <c r="K419" s="16" t="str">
        <f aca="false">IF(A419="","",COUNTIF(RESTRICCIONES!$B$5:$B$304,A419))</f>
        <v/>
      </c>
      <c r="L419" s="16" t="str">
        <f aca="false">IF(A419="","",COUNTIFS(RESTRICCIONES!$B$5:$B$304,A419,RESTRICCIONES!$L$5:$L$304,"Pendiente"))</f>
        <v/>
      </c>
      <c r="M419" s="18" t="str">
        <f aca="false">IF(A419="","",IF(L419=0,"LISTA","RESTRINGIDA"))</f>
        <v/>
      </c>
      <c r="N419" s="51" t="str">
        <f aca="false">IF(OR(A419="",H419=""),"",IFERROR(MIN(1,SUMIF(SEMANAL!$C$7:$C$506,A419,SEMANAL!$W$7:$W$506)/H419),0))</f>
        <v/>
      </c>
      <c r="O419" s="57"/>
      <c r="P419" s="57"/>
      <c r="Q419" s="57"/>
      <c r="R419" s="57"/>
      <c r="S419" s="57"/>
      <c r="T419" s="57"/>
      <c r="U419" s="9"/>
    </row>
    <row r="420" customFormat="false" ht="15" hidden="false" customHeight="false" outlineLevel="0" collapsed="false">
      <c r="A420" s="9"/>
      <c r="B420" s="9"/>
      <c r="C420" s="16" t="str">
        <f aca="false">IF(B420="","",IFERROR(INDEX(EDT!$E$5:$E$436,MATCH(B420,EDT!$H$5:$H$436,0)),IFERROR(INDEX(CRONOGRAMA!$G$5:$G$5679,MATCH(A420,CRONOGRAMA!$A$5:$A$5679,0)),"Fuera EDT")))</f>
        <v/>
      </c>
      <c r="D420" s="16" t="str">
        <f aca="false">IF(C420="","",IFERROR(INDEX(MASTER!$B$19:$B$109,MATCH(C420,MASTER!$A$19:$A$109,0)),"Asignar fase"))</f>
        <v/>
      </c>
      <c r="E420" s="9"/>
      <c r="F420" s="9"/>
      <c r="G420" s="9"/>
      <c r="H420" s="56"/>
      <c r="I420" s="43"/>
      <c r="J420" s="43"/>
      <c r="K420" s="16" t="str">
        <f aca="false">IF(A420="","",COUNTIF(RESTRICCIONES!$B$5:$B$304,A420))</f>
        <v/>
      </c>
      <c r="L420" s="16" t="str">
        <f aca="false">IF(A420="","",COUNTIFS(RESTRICCIONES!$B$5:$B$304,A420,RESTRICCIONES!$L$5:$L$304,"Pendiente"))</f>
        <v/>
      </c>
      <c r="M420" s="18" t="str">
        <f aca="false">IF(A420="","",IF(L420=0,"LISTA","RESTRINGIDA"))</f>
        <v/>
      </c>
      <c r="N420" s="51" t="str">
        <f aca="false">IF(OR(A420="",H420=""),"",IFERROR(MIN(1,SUMIF(SEMANAL!$C$7:$C$506,A420,SEMANAL!$W$7:$W$506)/H420),0))</f>
        <v/>
      </c>
      <c r="O420" s="57"/>
      <c r="P420" s="57"/>
      <c r="Q420" s="57"/>
      <c r="R420" s="57"/>
      <c r="S420" s="57"/>
      <c r="T420" s="57"/>
      <c r="U420" s="9"/>
    </row>
    <row r="421" customFormat="false" ht="15" hidden="false" customHeight="false" outlineLevel="0" collapsed="false">
      <c r="A421" s="9"/>
      <c r="B421" s="9"/>
      <c r="C421" s="16" t="str">
        <f aca="false">IF(B421="","",IFERROR(INDEX(EDT!$E$5:$E$436,MATCH(B421,EDT!$H$5:$H$436,0)),IFERROR(INDEX(CRONOGRAMA!$G$5:$G$5679,MATCH(A421,CRONOGRAMA!$A$5:$A$5679,0)),"Fuera EDT")))</f>
        <v/>
      </c>
      <c r="D421" s="16" t="str">
        <f aca="false">IF(C421="","",IFERROR(INDEX(MASTER!$B$19:$B$109,MATCH(C421,MASTER!$A$19:$A$109,0)),"Asignar fase"))</f>
        <v/>
      </c>
      <c r="E421" s="9"/>
      <c r="F421" s="9"/>
      <c r="G421" s="9"/>
      <c r="H421" s="56"/>
      <c r="I421" s="43"/>
      <c r="J421" s="43"/>
      <c r="K421" s="16" t="str">
        <f aca="false">IF(A421="","",COUNTIF(RESTRICCIONES!$B$5:$B$304,A421))</f>
        <v/>
      </c>
      <c r="L421" s="16" t="str">
        <f aca="false">IF(A421="","",COUNTIFS(RESTRICCIONES!$B$5:$B$304,A421,RESTRICCIONES!$L$5:$L$304,"Pendiente"))</f>
        <v/>
      </c>
      <c r="M421" s="18" t="str">
        <f aca="false">IF(A421="","",IF(L421=0,"LISTA","RESTRINGIDA"))</f>
        <v/>
      </c>
      <c r="N421" s="51" t="str">
        <f aca="false">IF(OR(A421="",H421=""),"",IFERROR(MIN(1,SUMIF(SEMANAL!$C$7:$C$506,A421,SEMANAL!$W$7:$W$506)/H421),0))</f>
        <v/>
      </c>
      <c r="O421" s="57"/>
      <c r="P421" s="57"/>
      <c r="Q421" s="57"/>
      <c r="R421" s="57"/>
      <c r="S421" s="57"/>
      <c r="T421" s="57"/>
      <c r="U421" s="9"/>
    </row>
    <row r="422" customFormat="false" ht="15" hidden="false" customHeight="false" outlineLevel="0" collapsed="false">
      <c r="A422" s="9"/>
      <c r="B422" s="9"/>
      <c r="C422" s="16" t="str">
        <f aca="false">IF(B422="","",IFERROR(INDEX(EDT!$E$5:$E$436,MATCH(B422,EDT!$H$5:$H$436,0)),IFERROR(INDEX(CRONOGRAMA!$G$5:$G$5679,MATCH(A422,CRONOGRAMA!$A$5:$A$5679,0)),"Fuera EDT")))</f>
        <v/>
      </c>
      <c r="D422" s="16" t="str">
        <f aca="false">IF(C422="","",IFERROR(INDEX(MASTER!$B$19:$B$109,MATCH(C422,MASTER!$A$19:$A$109,0)),"Asignar fase"))</f>
        <v/>
      </c>
      <c r="E422" s="9"/>
      <c r="F422" s="9"/>
      <c r="G422" s="9"/>
      <c r="H422" s="56"/>
      <c r="I422" s="43"/>
      <c r="J422" s="43"/>
      <c r="K422" s="16" t="str">
        <f aca="false">IF(A422="","",COUNTIF(RESTRICCIONES!$B$5:$B$304,A422))</f>
        <v/>
      </c>
      <c r="L422" s="16" t="str">
        <f aca="false">IF(A422="","",COUNTIFS(RESTRICCIONES!$B$5:$B$304,A422,RESTRICCIONES!$L$5:$L$304,"Pendiente"))</f>
        <v/>
      </c>
      <c r="M422" s="18" t="str">
        <f aca="false">IF(A422="","",IF(L422=0,"LISTA","RESTRINGIDA"))</f>
        <v/>
      </c>
      <c r="N422" s="51" t="str">
        <f aca="false">IF(OR(A422="",H422=""),"",IFERROR(MIN(1,SUMIF(SEMANAL!$C$7:$C$506,A422,SEMANAL!$W$7:$W$506)/H422),0))</f>
        <v/>
      </c>
      <c r="O422" s="57"/>
      <c r="P422" s="57"/>
      <c r="Q422" s="57"/>
      <c r="R422" s="57"/>
      <c r="S422" s="57"/>
      <c r="T422" s="57"/>
      <c r="U422" s="9"/>
    </row>
    <row r="423" customFormat="false" ht="15" hidden="false" customHeight="false" outlineLevel="0" collapsed="false">
      <c r="A423" s="9"/>
      <c r="B423" s="9"/>
      <c r="C423" s="16" t="str">
        <f aca="false">IF(B423="","",IFERROR(INDEX(EDT!$E$5:$E$436,MATCH(B423,EDT!$H$5:$H$436,0)),IFERROR(INDEX(CRONOGRAMA!$G$5:$G$5679,MATCH(A423,CRONOGRAMA!$A$5:$A$5679,0)),"Fuera EDT")))</f>
        <v/>
      </c>
      <c r="D423" s="16" t="str">
        <f aca="false">IF(C423="","",IFERROR(INDEX(MASTER!$B$19:$B$109,MATCH(C423,MASTER!$A$19:$A$109,0)),"Asignar fase"))</f>
        <v/>
      </c>
      <c r="E423" s="9"/>
      <c r="F423" s="9"/>
      <c r="G423" s="9"/>
      <c r="H423" s="56"/>
      <c r="I423" s="43"/>
      <c r="J423" s="43"/>
      <c r="K423" s="16" t="str">
        <f aca="false">IF(A423="","",COUNTIF(RESTRICCIONES!$B$5:$B$304,A423))</f>
        <v/>
      </c>
      <c r="L423" s="16" t="str">
        <f aca="false">IF(A423="","",COUNTIFS(RESTRICCIONES!$B$5:$B$304,A423,RESTRICCIONES!$L$5:$L$304,"Pendiente"))</f>
        <v/>
      </c>
      <c r="M423" s="18" t="str">
        <f aca="false">IF(A423="","",IF(L423=0,"LISTA","RESTRINGIDA"))</f>
        <v/>
      </c>
      <c r="N423" s="51" t="str">
        <f aca="false">IF(OR(A423="",H423=""),"",IFERROR(MIN(1,SUMIF(SEMANAL!$C$7:$C$506,A423,SEMANAL!$W$7:$W$506)/H423),0))</f>
        <v/>
      </c>
      <c r="O423" s="57"/>
      <c r="P423" s="57"/>
      <c r="Q423" s="57"/>
      <c r="R423" s="57"/>
      <c r="S423" s="57"/>
      <c r="T423" s="57"/>
      <c r="U423" s="9"/>
    </row>
    <row r="424" customFormat="false" ht="15" hidden="false" customHeight="false" outlineLevel="0" collapsed="false">
      <c r="A424" s="9"/>
      <c r="B424" s="9"/>
      <c r="C424" s="16" t="str">
        <f aca="false">IF(B424="","",IFERROR(INDEX(EDT!$E$5:$E$436,MATCH(B424,EDT!$H$5:$H$436,0)),IFERROR(INDEX(CRONOGRAMA!$G$5:$G$5679,MATCH(A424,CRONOGRAMA!$A$5:$A$5679,0)),"Fuera EDT")))</f>
        <v/>
      </c>
      <c r="D424" s="16" t="str">
        <f aca="false">IF(C424="","",IFERROR(INDEX(MASTER!$B$19:$B$109,MATCH(C424,MASTER!$A$19:$A$109,0)),"Asignar fase"))</f>
        <v/>
      </c>
      <c r="E424" s="9"/>
      <c r="F424" s="9"/>
      <c r="G424" s="9"/>
      <c r="H424" s="56"/>
      <c r="I424" s="43"/>
      <c r="J424" s="43"/>
      <c r="K424" s="16" t="str">
        <f aca="false">IF(A424="","",COUNTIF(RESTRICCIONES!$B$5:$B$304,A424))</f>
        <v/>
      </c>
      <c r="L424" s="16" t="str">
        <f aca="false">IF(A424="","",COUNTIFS(RESTRICCIONES!$B$5:$B$304,A424,RESTRICCIONES!$L$5:$L$304,"Pendiente"))</f>
        <v/>
      </c>
      <c r="M424" s="18" t="str">
        <f aca="false">IF(A424="","",IF(L424=0,"LISTA","RESTRINGIDA"))</f>
        <v/>
      </c>
      <c r="N424" s="51" t="str">
        <f aca="false">IF(OR(A424="",H424=""),"",IFERROR(MIN(1,SUMIF(SEMANAL!$C$7:$C$506,A424,SEMANAL!$W$7:$W$506)/H424),0))</f>
        <v/>
      </c>
      <c r="O424" s="57"/>
      <c r="P424" s="57"/>
      <c r="Q424" s="57"/>
      <c r="R424" s="57"/>
      <c r="S424" s="57"/>
      <c r="T424" s="57"/>
      <c r="U424" s="9"/>
    </row>
    <row r="425" customFormat="false" ht="15" hidden="false" customHeight="false" outlineLevel="0" collapsed="false">
      <c r="A425" s="9"/>
      <c r="B425" s="9"/>
      <c r="C425" s="16" t="str">
        <f aca="false">IF(B425="","",IFERROR(INDEX(EDT!$E$5:$E$436,MATCH(B425,EDT!$H$5:$H$436,0)),IFERROR(INDEX(CRONOGRAMA!$G$5:$G$5679,MATCH(A425,CRONOGRAMA!$A$5:$A$5679,0)),"Fuera EDT")))</f>
        <v/>
      </c>
      <c r="D425" s="16" t="str">
        <f aca="false">IF(C425="","",IFERROR(INDEX(MASTER!$B$19:$B$109,MATCH(C425,MASTER!$A$19:$A$109,0)),"Asignar fase"))</f>
        <v/>
      </c>
      <c r="E425" s="9"/>
      <c r="F425" s="9"/>
      <c r="G425" s="9"/>
      <c r="H425" s="56"/>
      <c r="I425" s="43"/>
      <c r="J425" s="43"/>
      <c r="K425" s="16" t="str">
        <f aca="false">IF(A425="","",COUNTIF(RESTRICCIONES!$B$5:$B$304,A425))</f>
        <v/>
      </c>
      <c r="L425" s="16" t="str">
        <f aca="false">IF(A425="","",COUNTIFS(RESTRICCIONES!$B$5:$B$304,A425,RESTRICCIONES!$L$5:$L$304,"Pendiente"))</f>
        <v/>
      </c>
      <c r="M425" s="18" t="str">
        <f aca="false">IF(A425="","",IF(L425=0,"LISTA","RESTRINGIDA"))</f>
        <v/>
      </c>
      <c r="N425" s="51" t="str">
        <f aca="false">IF(OR(A425="",H425=""),"",IFERROR(MIN(1,SUMIF(SEMANAL!$C$7:$C$506,A425,SEMANAL!$W$7:$W$506)/H425),0))</f>
        <v/>
      </c>
      <c r="O425" s="57"/>
      <c r="P425" s="57"/>
      <c r="Q425" s="57"/>
      <c r="R425" s="57"/>
      <c r="S425" s="57"/>
      <c r="T425" s="57"/>
      <c r="U425" s="9"/>
    </row>
    <row r="426" customFormat="false" ht="15" hidden="false" customHeight="false" outlineLevel="0" collapsed="false">
      <c r="A426" s="9"/>
      <c r="B426" s="9"/>
      <c r="C426" s="16" t="str">
        <f aca="false">IF(B426="","",IFERROR(INDEX(EDT!$E$5:$E$436,MATCH(B426,EDT!$H$5:$H$436,0)),IFERROR(INDEX(CRONOGRAMA!$G$5:$G$5679,MATCH(A426,CRONOGRAMA!$A$5:$A$5679,0)),"Fuera EDT")))</f>
        <v/>
      </c>
      <c r="D426" s="16" t="str">
        <f aca="false">IF(C426="","",IFERROR(INDEX(MASTER!$B$19:$B$109,MATCH(C426,MASTER!$A$19:$A$109,0)),"Asignar fase"))</f>
        <v/>
      </c>
      <c r="E426" s="9"/>
      <c r="F426" s="9"/>
      <c r="G426" s="9"/>
      <c r="H426" s="56"/>
      <c r="I426" s="43"/>
      <c r="J426" s="43"/>
      <c r="K426" s="16" t="str">
        <f aca="false">IF(A426="","",COUNTIF(RESTRICCIONES!$B$5:$B$304,A426))</f>
        <v/>
      </c>
      <c r="L426" s="16" t="str">
        <f aca="false">IF(A426="","",COUNTIFS(RESTRICCIONES!$B$5:$B$304,A426,RESTRICCIONES!$L$5:$L$304,"Pendiente"))</f>
        <v/>
      </c>
      <c r="M426" s="18" t="str">
        <f aca="false">IF(A426="","",IF(L426=0,"LISTA","RESTRINGIDA"))</f>
        <v/>
      </c>
      <c r="N426" s="51" t="str">
        <f aca="false">IF(OR(A426="",H426=""),"",IFERROR(MIN(1,SUMIF(SEMANAL!$C$7:$C$506,A426,SEMANAL!$W$7:$W$506)/H426),0))</f>
        <v/>
      </c>
      <c r="O426" s="57"/>
      <c r="P426" s="57"/>
      <c r="Q426" s="57"/>
      <c r="R426" s="57"/>
      <c r="S426" s="57"/>
      <c r="T426" s="57"/>
      <c r="U426" s="9"/>
    </row>
    <row r="427" customFormat="false" ht="15" hidden="false" customHeight="false" outlineLevel="0" collapsed="false">
      <c r="A427" s="9"/>
      <c r="B427" s="9"/>
      <c r="C427" s="16" t="str">
        <f aca="false">IF(B427="","",IFERROR(INDEX(EDT!$E$5:$E$436,MATCH(B427,EDT!$H$5:$H$436,0)),IFERROR(INDEX(CRONOGRAMA!$G$5:$G$5679,MATCH(A427,CRONOGRAMA!$A$5:$A$5679,0)),"Fuera EDT")))</f>
        <v/>
      </c>
      <c r="D427" s="16" t="str">
        <f aca="false">IF(C427="","",IFERROR(INDEX(MASTER!$B$19:$B$109,MATCH(C427,MASTER!$A$19:$A$109,0)),"Asignar fase"))</f>
        <v/>
      </c>
      <c r="E427" s="9"/>
      <c r="F427" s="9"/>
      <c r="G427" s="9"/>
      <c r="H427" s="56"/>
      <c r="I427" s="43"/>
      <c r="J427" s="43"/>
      <c r="K427" s="16" t="str">
        <f aca="false">IF(A427="","",COUNTIF(RESTRICCIONES!$B$5:$B$304,A427))</f>
        <v/>
      </c>
      <c r="L427" s="16" t="str">
        <f aca="false">IF(A427="","",COUNTIFS(RESTRICCIONES!$B$5:$B$304,A427,RESTRICCIONES!$L$5:$L$304,"Pendiente"))</f>
        <v/>
      </c>
      <c r="M427" s="18" t="str">
        <f aca="false">IF(A427="","",IF(L427=0,"LISTA","RESTRINGIDA"))</f>
        <v/>
      </c>
      <c r="N427" s="51" t="str">
        <f aca="false">IF(OR(A427="",H427=""),"",IFERROR(MIN(1,SUMIF(SEMANAL!$C$7:$C$506,A427,SEMANAL!$W$7:$W$506)/H427),0))</f>
        <v/>
      </c>
      <c r="O427" s="57"/>
      <c r="P427" s="57"/>
      <c r="Q427" s="57"/>
      <c r="R427" s="57"/>
      <c r="S427" s="57"/>
      <c r="T427" s="57"/>
      <c r="U427" s="9"/>
    </row>
    <row r="428" customFormat="false" ht="15" hidden="false" customHeight="false" outlineLevel="0" collapsed="false">
      <c r="A428" s="9"/>
      <c r="B428" s="9"/>
      <c r="C428" s="16" t="str">
        <f aca="false">IF(B428="","",IFERROR(INDEX(EDT!$E$5:$E$436,MATCH(B428,EDT!$H$5:$H$436,0)),IFERROR(INDEX(CRONOGRAMA!$G$5:$G$5679,MATCH(A428,CRONOGRAMA!$A$5:$A$5679,0)),"Fuera EDT")))</f>
        <v/>
      </c>
      <c r="D428" s="16" t="str">
        <f aca="false">IF(C428="","",IFERROR(INDEX(MASTER!$B$19:$B$109,MATCH(C428,MASTER!$A$19:$A$109,0)),"Asignar fase"))</f>
        <v/>
      </c>
      <c r="E428" s="9"/>
      <c r="F428" s="9"/>
      <c r="G428" s="9"/>
      <c r="H428" s="56"/>
      <c r="I428" s="43"/>
      <c r="J428" s="43"/>
      <c r="K428" s="16" t="str">
        <f aca="false">IF(A428="","",COUNTIF(RESTRICCIONES!$B$5:$B$304,A428))</f>
        <v/>
      </c>
      <c r="L428" s="16" t="str">
        <f aca="false">IF(A428="","",COUNTIFS(RESTRICCIONES!$B$5:$B$304,A428,RESTRICCIONES!$L$5:$L$304,"Pendiente"))</f>
        <v/>
      </c>
      <c r="M428" s="18" t="str">
        <f aca="false">IF(A428="","",IF(L428=0,"LISTA","RESTRINGIDA"))</f>
        <v/>
      </c>
      <c r="N428" s="51" t="str">
        <f aca="false">IF(OR(A428="",H428=""),"",IFERROR(MIN(1,SUMIF(SEMANAL!$C$7:$C$506,A428,SEMANAL!$W$7:$W$506)/H428),0))</f>
        <v/>
      </c>
      <c r="O428" s="57"/>
      <c r="P428" s="57"/>
      <c r="Q428" s="57"/>
      <c r="R428" s="57"/>
      <c r="S428" s="57"/>
      <c r="T428" s="57"/>
      <c r="U428" s="9"/>
    </row>
    <row r="429" customFormat="false" ht="15" hidden="false" customHeight="false" outlineLevel="0" collapsed="false">
      <c r="A429" s="9"/>
      <c r="B429" s="9"/>
      <c r="C429" s="16" t="str">
        <f aca="false">IF(B429="","",IFERROR(INDEX(EDT!$E$5:$E$436,MATCH(B429,EDT!$H$5:$H$436,0)),IFERROR(INDEX(CRONOGRAMA!$G$5:$G$5679,MATCH(A429,CRONOGRAMA!$A$5:$A$5679,0)),"Fuera EDT")))</f>
        <v/>
      </c>
      <c r="D429" s="16" t="str">
        <f aca="false">IF(C429="","",IFERROR(INDEX(MASTER!$B$19:$B$109,MATCH(C429,MASTER!$A$19:$A$109,0)),"Asignar fase"))</f>
        <v/>
      </c>
      <c r="E429" s="9"/>
      <c r="F429" s="9"/>
      <c r="G429" s="9"/>
      <c r="H429" s="56"/>
      <c r="I429" s="43"/>
      <c r="J429" s="43"/>
      <c r="K429" s="16" t="str">
        <f aca="false">IF(A429="","",COUNTIF(RESTRICCIONES!$B$5:$B$304,A429))</f>
        <v/>
      </c>
      <c r="L429" s="16" t="str">
        <f aca="false">IF(A429="","",COUNTIFS(RESTRICCIONES!$B$5:$B$304,A429,RESTRICCIONES!$L$5:$L$304,"Pendiente"))</f>
        <v/>
      </c>
      <c r="M429" s="18" t="str">
        <f aca="false">IF(A429="","",IF(L429=0,"LISTA","RESTRINGIDA"))</f>
        <v/>
      </c>
      <c r="N429" s="51" t="str">
        <f aca="false">IF(OR(A429="",H429=""),"",IFERROR(MIN(1,SUMIF(SEMANAL!$C$7:$C$506,A429,SEMANAL!$W$7:$W$506)/H429),0))</f>
        <v/>
      </c>
      <c r="O429" s="57"/>
      <c r="P429" s="57"/>
      <c r="Q429" s="57"/>
      <c r="R429" s="57"/>
      <c r="S429" s="57"/>
      <c r="T429" s="57"/>
      <c r="U429" s="9"/>
    </row>
    <row r="430" customFormat="false" ht="15" hidden="false" customHeight="false" outlineLevel="0" collapsed="false">
      <c r="A430" s="9"/>
      <c r="B430" s="9"/>
      <c r="C430" s="16" t="str">
        <f aca="false">IF(B430="","",IFERROR(INDEX(EDT!$E$5:$E$436,MATCH(B430,EDT!$H$5:$H$436,0)),IFERROR(INDEX(CRONOGRAMA!$G$5:$G$5679,MATCH(A430,CRONOGRAMA!$A$5:$A$5679,0)),"Fuera EDT")))</f>
        <v/>
      </c>
      <c r="D430" s="16" t="str">
        <f aca="false">IF(C430="","",IFERROR(INDEX(MASTER!$B$19:$B$109,MATCH(C430,MASTER!$A$19:$A$109,0)),"Asignar fase"))</f>
        <v/>
      </c>
      <c r="E430" s="9"/>
      <c r="F430" s="9"/>
      <c r="G430" s="9"/>
      <c r="H430" s="56"/>
      <c r="I430" s="43"/>
      <c r="J430" s="43"/>
      <c r="K430" s="16" t="str">
        <f aca="false">IF(A430="","",COUNTIF(RESTRICCIONES!$B$5:$B$304,A430))</f>
        <v/>
      </c>
      <c r="L430" s="16" t="str">
        <f aca="false">IF(A430="","",COUNTIFS(RESTRICCIONES!$B$5:$B$304,A430,RESTRICCIONES!$L$5:$L$304,"Pendiente"))</f>
        <v/>
      </c>
      <c r="M430" s="18" t="str">
        <f aca="false">IF(A430="","",IF(L430=0,"LISTA","RESTRINGIDA"))</f>
        <v/>
      </c>
      <c r="N430" s="51" t="str">
        <f aca="false">IF(OR(A430="",H430=""),"",IFERROR(MIN(1,SUMIF(SEMANAL!$C$7:$C$506,A430,SEMANAL!$W$7:$W$506)/H430),0))</f>
        <v/>
      </c>
      <c r="O430" s="57"/>
      <c r="P430" s="57"/>
      <c r="Q430" s="57"/>
      <c r="R430" s="57"/>
      <c r="S430" s="57"/>
      <c r="T430" s="57"/>
      <c r="U430" s="9"/>
    </row>
    <row r="431" customFormat="false" ht="15" hidden="false" customHeight="false" outlineLevel="0" collapsed="false">
      <c r="A431" s="9"/>
      <c r="B431" s="9"/>
      <c r="C431" s="16" t="str">
        <f aca="false">IF(B431="","",IFERROR(INDEX(EDT!$E$5:$E$436,MATCH(B431,EDT!$H$5:$H$436,0)),IFERROR(INDEX(CRONOGRAMA!$G$5:$G$5679,MATCH(A431,CRONOGRAMA!$A$5:$A$5679,0)),"Fuera EDT")))</f>
        <v/>
      </c>
      <c r="D431" s="16" t="str">
        <f aca="false">IF(C431="","",IFERROR(INDEX(MASTER!$B$19:$B$109,MATCH(C431,MASTER!$A$19:$A$109,0)),"Asignar fase"))</f>
        <v/>
      </c>
      <c r="E431" s="9"/>
      <c r="F431" s="9"/>
      <c r="G431" s="9"/>
      <c r="H431" s="56"/>
      <c r="I431" s="43"/>
      <c r="J431" s="43"/>
      <c r="K431" s="16" t="str">
        <f aca="false">IF(A431="","",COUNTIF(RESTRICCIONES!$B$5:$B$304,A431))</f>
        <v/>
      </c>
      <c r="L431" s="16" t="str">
        <f aca="false">IF(A431="","",COUNTIFS(RESTRICCIONES!$B$5:$B$304,A431,RESTRICCIONES!$L$5:$L$304,"Pendiente"))</f>
        <v/>
      </c>
      <c r="M431" s="18" t="str">
        <f aca="false">IF(A431="","",IF(L431=0,"LISTA","RESTRINGIDA"))</f>
        <v/>
      </c>
      <c r="N431" s="51" t="str">
        <f aca="false">IF(OR(A431="",H431=""),"",IFERROR(MIN(1,SUMIF(SEMANAL!$C$7:$C$506,A431,SEMANAL!$W$7:$W$506)/H431),0))</f>
        <v/>
      </c>
      <c r="O431" s="57"/>
      <c r="P431" s="57"/>
      <c r="Q431" s="57"/>
      <c r="R431" s="57"/>
      <c r="S431" s="57"/>
      <c r="T431" s="57"/>
      <c r="U431" s="9"/>
    </row>
    <row r="432" customFormat="false" ht="15" hidden="false" customHeight="false" outlineLevel="0" collapsed="false">
      <c r="A432" s="9"/>
      <c r="B432" s="9"/>
      <c r="C432" s="16" t="str">
        <f aca="false">IF(B432="","",IFERROR(INDEX(EDT!$E$5:$E$436,MATCH(B432,EDT!$H$5:$H$436,0)),IFERROR(INDEX(CRONOGRAMA!$G$5:$G$5679,MATCH(A432,CRONOGRAMA!$A$5:$A$5679,0)),"Fuera EDT")))</f>
        <v/>
      </c>
      <c r="D432" s="16" t="str">
        <f aca="false">IF(C432="","",IFERROR(INDEX(MASTER!$B$19:$B$109,MATCH(C432,MASTER!$A$19:$A$109,0)),"Asignar fase"))</f>
        <v/>
      </c>
      <c r="E432" s="9"/>
      <c r="F432" s="9"/>
      <c r="G432" s="9"/>
      <c r="H432" s="56"/>
      <c r="I432" s="43"/>
      <c r="J432" s="43"/>
      <c r="K432" s="16" t="str">
        <f aca="false">IF(A432="","",COUNTIF(RESTRICCIONES!$B$5:$B$304,A432))</f>
        <v/>
      </c>
      <c r="L432" s="16" t="str">
        <f aca="false">IF(A432="","",COUNTIFS(RESTRICCIONES!$B$5:$B$304,A432,RESTRICCIONES!$L$5:$L$304,"Pendiente"))</f>
        <v/>
      </c>
      <c r="M432" s="18" t="str">
        <f aca="false">IF(A432="","",IF(L432=0,"LISTA","RESTRINGIDA"))</f>
        <v/>
      </c>
      <c r="N432" s="51" t="str">
        <f aca="false">IF(OR(A432="",H432=""),"",IFERROR(MIN(1,SUMIF(SEMANAL!$C$7:$C$506,A432,SEMANAL!$W$7:$W$506)/H432),0))</f>
        <v/>
      </c>
      <c r="O432" s="57"/>
      <c r="P432" s="57"/>
      <c r="Q432" s="57"/>
      <c r="R432" s="57"/>
      <c r="S432" s="57"/>
      <c r="T432" s="57"/>
      <c r="U432" s="9"/>
    </row>
    <row r="433" customFormat="false" ht="15" hidden="false" customHeight="false" outlineLevel="0" collapsed="false">
      <c r="A433" s="9"/>
      <c r="B433" s="9"/>
      <c r="C433" s="16" t="str">
        <f aca="false">IF(B433="","",IFERROR(INDEX(EDT!$E$5:$E$436,MATCH(B433,EDT!$H$5:$H$436,0)),IFERROR(INDEX(CRONOGRAMA!$G$5:$G$5679,MATCH(A433,CRONOGRAMA!$A$5:$A$5679,0)),"Fuera EDT")))</f>
        <v/>
      </c>
      <c r="D433" s="16" t="str">
        <f aca="false">IF(C433="","",IFERROR(INDEX(MASTER!$B$19:$B$109,MATCH(C433,MASTER!$A$19:$A$109,0)),"Asignar fase"))</f>
        <v/>
      </c>
      <c r="E433" s="9"/>
      <c r="F433" s="9"/>
      <c r="G433" s="9"/>
      <c r="H433" s="56"/>
      <c r="I433" s="43"/>
      <c r="J433" s="43"/>
      <c r="K433" s="16" t="str">
        <f aca="false">IF(A433="","",COUNTIF(RESTRICCIONES!$B$5:$B$304,A433))</f>
        <v/>
      </c>
      <c r="L433" s="16" t="str">
        <f aca="false">IF(A433="","",COUNTIFS(RESTRICCIONES!$B$5:$B$304,A433,RESTRICCIONES!$L$5:$L$304,"Pendiente"))</f>
        <v/>
      </c>
      <c r="M433" s="18" t="str">
        <f aca="false">IF(A433="","",IF(L433=0,"LISTA","RESTRINGIDA"))</f>
        <v/>
      </c>
      <c r="N433" s="51" t="str">
        <f aca="false">IF(OR(A433="",H433=""),"",IFERROR(MIN(1,SUMIF(SEMANAL!$C$7:$C$506,A433,SEMANAL!$W$7:$W$506)/H433),0))</f>
        <v/>
      </c>
      <c r="O433" s="57"/>
      <c r="P433" s="57"/>
      <c r="Q433" s="57"/>
      <c r="R433" s="57"/>
      <c r="S433" s="57"/>
      <c r="T433" s="57"/>
      <c r="U433" s="9"/>
    </row>
    <row r="434" customFormat="false" ht="15" hidden="false" customHeight="false" outlineLevel="0" collapsed="false">
      <c r="A434" s="9"/>
      <c r="B434" s="9"/>
      <c r="C434" s="16" t="str">
        <f aca="false">IF(B434="","",IFERROR(INDEX(EDT!$E$5:$E$436,MATCH(B434,EDT!$H$5:$H$436,0)),IFERROR(INDEX(CRONOGRAMA!$G$5:$G$5679,MATCH(A434,CRONOGRAMA!$A$5:$A$5679,0)),"Fuera EDT")))</f>
        <v/>
      </c>
      <c r="D434" s="16" t="str">
        <f aca="false">IF(C434="","",IFERROR(INDEX(MASTER!$B$19:$B$109,MATCH(C434,MASTER!$A$19:$A$109,0)),"Asignar fase"))</f>
        <v/>
      </c>
      <c r="E434" s="9"/>
      <c r="F434" s="9"/>
      <c r="G434" s="9"/>
      <c r="H434" s="56"/>
      <c r="I434" s="43"/>
      <c r="J434" s="43"/>
      <c r="K434" s="16" t="str">
        <f aca="false">IF(A434="","",COUNTIF(RESTRICCIONES!$B$5:$B$304,A434))</f>
        <v/>
      </c>
      <c r="L434" s="16" t="str">
        <f aca="false">IF(A434="","",COUNTIFS(RESTRICCIONES!$B$5:$B$304,A434,RESTRICCIONES!$L$5:$L$304,"Pendiente"))</f>
        <v/>
      </c>
      <c r="M434" s="18" t="str">
        <f aca="false">IF(A434="","",IF(L434=0,"LISTA","RESTRINGIDA"))</f>
        <v/>
      </c>
      <c r="N434" s="51" t="str">
        <f aca="false">IF(OR(A434="",H434=""),"",IFERROR(MIN(1,SUMIF(SEMANAL!$C$7:$C$506,A434,SEMANAL!$W$7:$W$506)/H434),0))</f>
        <v/>
      </c>
      <c r="O434" s="57"/>
      <c r="P434" s="57"/>
      <c r="Q434" s="57"/>
      <c r="R434" s="57"/>
      <c r="S434" s="57"/>
      <c r="T434" s="57"/>
      <c r="U434" s="9"/>
    </row>
    <row r="435" customFormat="false" ht="15" hidden="false" customHeight="false" outlineLevel="0" collapsed="false">
      <c r="A435" s="9"/>
      <c r="B435" s="9"/>
      <c r="C435" s="16" t="str">
        <f aca="false">IF(B435="","",IFERROR(INDEX(EDT!$E$5:$E$436,MATCH(B435,EDT!$H$5:$H$436,0)),IFERROR(INDEX(CRONOGRAMA!$G$5:$G$5679,MATCH(A435,CRONOGRAMA!$A$5:$A$5679,0)),"Fuera EDT")))</f>
        <v/>
      </c>
      <c r="D435" s="16" t="str">
        <f aca="false">IF(C435="","",IFERROR(INDEX(MASTER!$B$19:$B$109,MATCH(C435,MASTER!$A$19:$A$109,0)),"Asignar fase"))</f>
        <v/>
      </c>
      <c r="E435" s="9"/>
      <c r="F435" s="9"/>
      <c r="G435" s="9"/>
      <c r="H435" s="56"/>
      <c r="I435" s="43"/>
      <c r="J435" s="43"/>
      <c r="K435" s="16" t="str">
        <f aca="false">IF(A435="","",COUNTIF(RESTRICCIONES!$B$5:$B$304,A435))</f>
        <v/>
      </c>
      <c r="L435" s="16" t="str">
        <f aca="false">IF(A435="","",COUNTIFS(RESTRICCIONES!$B$5:$B$304,A435,RESTRICCIONES!$L$5:$L$304,"Pendiente"))</f>
        <v/>
      </c>
      <c r="M435" s="18" t="str">
        <f aca="false">IF(A435="","",IF(L435=0,"LISTA","RESTRINGIDA"))</f>
        <v/>
      </c>
      <c r="N435" s="51" t="str">
        <f aca="false">IF(OR(A435="",H435=""),"",IFERROR(MIN(1,SUMIF(SEMANAL!$C$7:$C$506,A435,SEMANAL!$W$7:$W$506)/H435),0))</f>
        <v/>
      </c>
      <c r="O435" s="57"/>
      <c r="P435" s="57"/>
      <c r="Q435" s="57"/>
      <c r="R435" s="57"/>
      <c r="S435" s="57"/>
      <c r="T435" s="57"/>
      <c r="U435" s="9"/>
    </row>
    <row r="436" customFormat="false" ht="15" hidden="false" customHeight="false" outlineLevel="0" collapsed="false">
      <c r="A436" s="9"/>
      <c r="B436" s="9"/>
      <c r="C436" s="16" t="str">
        <f aca="false">IF(B436="","",IFERROR(INDEX(EDT!$E$5:$E$436,MATCH(B436,EDT!$H$5:$H$436,0)),IFERROR(INDEX(CRONOGRAMA!$G$5:$G$5679,MATCH(A436,CRONOGRAMA!$A$5:$A$5679,0)),"Fuera EDT")))</f>
        <v/>
      </c>
      <c r="D436" s="16" t="str">
        <f aca="false">IF(C436="","",IFERROR(INDEX(MASTER!$B$19:$B$109,MATCH(C436,MASTER!$A$19:$A$109,0)),"Asignar fase"))</f>
        <v/>
      </c>
      <c r="E436" s="9"/>
      <c r="F436" s="9"/>
      <c r="G436" s="9"/>
      <c r="H436" s="56"/>
      <c r="I436" s="43"/>
      <c r="J436" s="43"/>
      <c r="K436" s="16" t="str">
        <f aca="false">IF(A436="","",COUNTIF(RESTRICCIONES!$B$5:$B$304,A436))</f>
        <v/>
      </c>
      <c r="L436" s="16" t="str">
        <f aca="false">IF(A436="","",COUNTIFS(RESTRICCIONES!$B$5:$B$304,A436,RESTRICCIONES!$L$5:$L$304,"Pendiente"))</f>
        <v/>
      </c>
      <c r="M436" s="18" t="str">
        <f aca="false">IF(A436="","",IF(L436=0,"LISTA","RESTRINGIDA"))</f>
        <v/>
      </c>
      <c r="N436" s="51" t="str">
        <f aca="false">IF(OR(A436="",H436=""),"",IFERROR(MIN(1,SUMIF(SEMANAL!$C$7:$C$506,A436,SEMANAL!$W$7:$W$506)/H436),0))</f>
        <v/>
      </c>
      <c r="O436" s="57"/>
      <c r="P436" s="57"/>
      <c r="Q436" s="57"/>
      <c r="R436" s="57"/>
      <c r="S436" s="57"/>
      <c r="T436" s="57"/>
      <c r="U436" s="9"/>
    </row>
    <row r="437" customFormat="false" ht="15" hidden="false" customHeight="false" outlineLevel="0" collapsed="false">
      <c r="A437" s="9"/>
      <c r="B437" s="9"/>
      <c r="C437" s="16" t="str">
        <f aca="false">IF(B437="","",IFERROR(INDEX(EDT!$E$5:$E$436,MATCH(B437,EDT!$H$5:$H$436,0)),IFERROR(INDEX(CRONOGRAMA!$G$5:$G$5679,MATCH(A437,CRONOGRAMA!$A$5:$A$5679,0)),"Fuera EDT")))</f>
        <v/>
      </c>
      <c r="D437" s="16" t="str">
        <f aca="false">IF(C437="","",IFERROR(INDEX(MASTER!$B$19:$B$109,MATCH(C437,MASTER!$A$19:$A$109,0)),"Asignar fase"))</f>
        <v/>
      </c>
      <c r="E437" s="9"/>
      <c r="F437" s="9"/>
      <c r="G437" s="9"/>
      <c r="H437" s="56"/>
      <c r="I437" s="43"/>
      <c r="J437" s="43"/>
      <c r="K437" s="16" t="str">
        <f aca="false">IF(A437="","",COUNTIF(RESTRICCIONES!$B$5:$B$304,A437))</f>
        <v/>
      </c>
      <c r="L437" s="16" t="str">
        <f aca="false">IF(A437="","",COUNTIFS(RESTRICCIONES!$B$5:$B$304,A437,RESTRICCIONES!$L$5:$L$304,"Pendiente"))</f>
        <v/>
      </c>
      <c r="M437" s="18" t="str">
        <f aca="false">IF(A437="","",IF(L437=0,"LISTA","RESTRINGIDA"))</f>
        <v/>
      </c>
      <c r="N437" s="51" t="str">
        <f aca="false">IF(OR(A437="",H437=""),"",IFERROR(MIN(1,SUMIF(SEMANAL!$C$7:$C$506,A437,SEMANAL!$W$7:$W$506)/H437),0))</f>
        <v/>
      </c>
      <c r="O437" s="57"/>
      <c r="P437" s="57"/>
      <c r="Q437" s="57"/>
      <c r="R437" s="57"/>
      <c r="S437" s="57"/>
      <c r="T437" s="57"/>
      <c r="U437" s="9"/>
    </row>
    <row r="438" customFormat="false" ht="15" hidden="false" customHeight="false" outlineLevel="0" collapsed="false">
      <c r="A438" s="9"/>
      <c r="B438" s="9"/>
      <c r="C438" s="16" t="str">
        <f aca="false">IF(B438="","",IFERROR(INDEX(EDT!$E$5:$E$436,MATCH(B438,EDT!$H$5:$H$436,0)),IFERROR(INDEX(CRONOGRAMA!$G$5:$G$5679,MATCH(A438,CRONOGRAMA!$A$5:$A$5679,0)),"Fuera EDT")))</f>
        <v/>
      </c>
      <c r="D438" s="16" t="str">
        <f aca="false">IF(C438="","",IFERROR(INDEX(MASTER!$B$19:$B$109,MATCH(C438,MASTER!$A$19:$A$109,0)),"Asignar fase"))</f>
        <v/>
      </c>
      <c r="E438" s="9"/>
      <c r="F438" s="9"/>
      <c r="G438" s="9"/>
      <c r="H438" s="56"/>
      <c r="I438" s="43"/>
      <c r="J438" s="43"/>
      <c r="K438" s="16" t="str">
        <f aca="false">IF(A438="","",COUNTIF(RESTRICCIONES!$B$5:$B$304,A438))</f>
        <v/>
      </c>
      <c r="L438" s="16" t="str">
        <f aca="false">IF(A438="","",COUNTIFS(RESTRICCIONES!$B$5:$B$304,A438,RESTRICCIONES!$L$5:$L$304,"Pendiente"))</f>
        <v/>
      </c>
      <c r="M438" s="18" t="str">
        <f aca="false">IF(A438="","",IF(L438=0,"LISTA","RESTRINGIDA"))</f>
        <v/>
      </c>
      <c r="N438" s="51" t="str">
        <f aca="false">IF(OR(A438="",H438=""),"",IFERROR(MIN(1,SUMIF(SEMANAL!$C$7:$C$506,A438,SEMANAL!$W$7:$W$506)/H438),0))</f>
        <v/>
      </c>
      <c r="O438" s="57"/>
      <c r="P438" s="57"/>
      <c r="Q438" s="57"/>
      <c r="R438" s="57"/>
      <c r="S438" s="57"/>
      <c r="T438" s="57"/>
      <c r="U438" s="9"/>
    </row>
    <row r="439" customFormat="false" ht="15" hidden="false" customHeight="false" outlineLevel="0" collapsed="false">
      <c r="A439" s="9"/>
      <c r="B439" s="9"/>
      <c r="C439" s="16" t="str">
        <f aca="false">IF(B439="","",IFERROR(INDEX(EDT!$E$5:$E$436,MATCH(B439,EDT!$H$5:$H$436,0)),IFERROR(INDEX(CRONOGRAMA!$G$5:$G$5679,MATCH(A439,CRONOGRAMA!$A$5:$A$5679,0)),"Fuera EDT")))</f>
        <v/>
      </c>
      <c r="D439" s="16" t="str">
        <f aca="false">IF(C439="","",IFERROR(INDEX(MASTER!$B$19:$B$109,MATCH(C439,MASTER!$A$19:$A$109,0)),"Asignar fase"))</f>
        <v/>
      </c>
      <c r="E439" s="9"/>
      <c r="F439" s="9"/>
      <c r="G439" s="9"/>
      <c r="H439" s="56"/>
      <c r="I439" s="43"/>
      <c r="J439" s="43"/>
      <c r="K439" s="16" t="str">
        <f aca="false">IF(A439="","",COUNTIF(RESTRICCIONES!$B$5:$B$304,A439))</f>
        <v/>
      </c>
      <c r="L439" s="16" t="str">
        <f aca="false">IF(A439="","",COUNTIFS(RESTRICCIONES!$B$5:$B$304,A439,RESTRICCIONES!$L$5:$L$304,"Pendiente"))</f>
        <v/>
      </c>
      <c r="M439" s="18" t="str">
        <f aca="false">IF(A439="","",IF(L439=0,"LISTA","RESTRINGIDA"))</f>
        <v/>
      </c>
      <c r="N439" s="51" t="str">
        <f aca="false">IF(OR(A439="",H439=""),"",IFERROR(MIN(1,SUMIF(SEMANAL!$C$7:$C$506,A439,SEMANAL!$W$7:$W$506)/H439),0))</f>
        <v/>
      </c>
      <c r="O439" s="57"/>
      <c r="P439" s="57"/>
      <c r="Q439" s="57"/>
      <c r="R439" s="57"/>
      <c r="S439" s="57"/>
      <c r="T439" s="57"/>
      <c r="U439" s="9"/>
    </row>
    <row r="440" customFormat="false" ht="15" hidden="false" customHeight="false" outlineLevel="0" collapsed="false">
      <c r="A440" s="9"/>
      <c r="B440" s="9"/>
      <c r="C440" s="16" t="str">
        <f aca="false">IF(B440="","",IFERROR(INDEX(EDT!$E$5:$E$436,MATCH(B440,EDT!$H$5:$H$436,0)),IFERROR(INDEX(CRONOGRAMA!$G$5:$G$5679,MATCH(A440,CRONOGRAMA!$A$5:$A$5679,0)),"Fuera EDT")))</f>
        <v/>
      </c>
      <c r="D440" s="16" t="str">
        <f aca="false">IF(C440="","",IFERROR(INDEX(MASTER!$B$19:$B$109,MATCH(C440,MASTER!$A$19:$A$109,0)),"Asignar fase"))</f>
        <v/>
      </c>
      <c r="E440" s="9"/>
      <c r="F440" s="9"/>
      <c r="G440" s="9"/>
      <c r="H440" s="56"/>
      <c r="I440" s="43"/>
      <c r="J440" s="43"/>
      <c r="K440" s="16" t="str">
        <f aca="false">IF(A440="","",COUNTIF(RESTRICCIONES!$B$5:$B$304,A440))</f>
        <v/>
      </c>
      <c r="L440" s="16" t="str">
        <f aca="false">IF(A440="","",COUNTIFS(RESTRICCIONES!$B$5:$B$304,A440,RESTRICCIONES!$L$5:$L$304,"Pendiente"))</f>
        <v/>
      </c>
      <c r="M440" s="18" t="str">
        <f aca="false">IF(A440="","",IF(L440=0,"LISTA","RESTRINGIDA"))</f>
        <v/>
      </c>
      <c r="N440" s="51" t="str">
        <f aca="false">IF(OR(A440="",H440=""),"",IFERROR(MIN(1,SUMIF(SEMANAL!$C$7:$C$506,A440,SEMANAL!$W$7:$W$506)/H440),0))</f>
        <v/>
      </c>
      <c r="O440" s="57"/>
      <c r="P440" s="57"/>
      <c r="Q440" s="57"/>
      <c r="R440" s="57"/>
      <c r="S440" s="57"/>
      <c r="T440" s="57"/>
      <c r="U440" s="9"/>
    </row>
    <row r="441" customFormat="false" ht="15" hidden="false" customHeight="false" outlineLevel="0" collapsed="false">
      <c r="A441" s="9"/>
      <c r="B441" s="9"/>
      <c r="C441" s="16" t="str">
        <f aca="false">IF(B441="","",IFERROR(INDEX(EDT!$E$5:$E$436,MATCH(B441,EDT!$H$5:$H$436,0)),IFERROR(INDEX(CRONOGRAMA!$G$5:$G$5679,MATCH(A441,CRONOGRAMA!$A$5:$A$5679,0)),"Fuera EDT")))</f>
        <v/>
      </c>
      <c r="D441" s="16" t="str">
        <f aca="false">IF(C441="","",IFERROR(INDEX(MASTER!$B$19:$B$109,MATCH(C441,MASTER!$A$19:$A$109,0)),"Asignar fase"))</f>
        <v/>
      </c>
      <c r="E441" s="9"/>
      <c r="F441" s="9"/>
      <c r="G441" s="9"/>
      <c r="H441" s="56"/>
      <c r="I441" s="43"/>
      <c r="J441" s="43"/>
      <c r="K441" s="16" t="str">
        <f aca="false">IF(A441="","",COUNTIF(RESTRICCIONES!$B$5:$B$304,A441))</f>
        <v/>
      </c>
      <c r="L441" s="16" t="str">
        <f aca="false">IF(A441="","",COUNTIFS(RESTRICCIONES!$B$5:$B$304,A441,RESTRICCIONES!$L$5:$L$304,"Pendiente"))</f>
        <v/>
      </c>
      <c r="M441" s="18" t="str">
        <f aca="false">IF(A441="","",IF(L441=0,"LISTA","RESTRINGIDA"))</f>
        <v/>
      </c>
      <c r="N441" s="51" t="str">
        <f aca="false">IF(OR(A441="",H441=""),"",IFERROR(MIN(1,SUMIF(SEMANAL!$C$7:$C$506,A441,SEMANAL!$W$7:$W$506)/H441),0))</f>
        <v/>
      </c>
      <c r="O441" s="57"/>
      <c r="P441" s="57"/>
      <c r="Q441" s="57"/>
      <c r="R441" s="57"/>
      <c r="S441" s="57"/>
      <c r="T441" s="57"/>
      <c r="U441" s="9"/>
    </row>
    <row r="442" customFormat="false" ht="15" hidden="false" customHeight="false" outlineLevel="0" collapsed="false">
      <c r="A442" s="9"/>
      <c r="B442" s="9"/>
      <c r="C442" s="16" t="str">
        <f aca="false">IF(B442="","",IFERROR(INDEX(EDT!$E$5:$E$436,MATCH(B442,EDT!$H$5:$H$436,0)),IFERROR(INDEX(CRONOGRAMA!$G$5:$G$5679,MATCH(A442,CRONOGRAMA!$A$5:$A$5679,0)),"Fuera EDT")))</f>
        <v/>
      </c>
      <c r="D442" s="16" t="str">
        <f aca="false">IF(C442="","",IFERROR(INDEX(MASTER!$B$19:$B$109,MATCH(C442,MASTER!$A$19:$A$109,0)),"Asignar fase"))</f>
        <v/>
      </c>
      <c r="E442" s="9"/>
      <c r="F442" s="9"/>
      <c r="G442" s="9"/>
      <c r="H442" s="56"/>
      <c r="I442" s="43"/>
      <c r="J442" s="43"/>
      <c r="K442" s="16" t="str">
        <f aca="false">IF(A442="","",COUNTIF(RESTRICCIONES!$B$5:$B$304,A442))</f>
        <v/>
      </c>
      <c r="L442" s="16" t="str">
        <f aca="false">IF(A442="","",COUNTIFS(RESTRICCIONES!$B$5:$B$304,A442,RESTRICCIONES!$L$5:$L$304,"Pendiente"))</f>
        <v/>
      </c>
      <c r="M442" s="18" t="str">
        <f aca="false">IF(A442="","",IF(L442=0,"LISTA","RESTRINGIDA"))</f>
        <v/>
      </c>
      <c r="N442" s="51" t="str">
        <f aca="false">IF(OR(A442="",H442=""),"",IFERROR(MIN(1,SUMIF(SEMANAL!$C$7:$C$506,A442,SEMANAL!$W$7:$W$506)/H442),0))</f>
        <v/>
      </c>
      <c r="O442" s="57"/>
      <c r="P442" s="57"/>
      <c r="Q442" s="57"/>
      <c r="R442" s="57"/>
      <c r="S442" s="57"/>
      <c r="T442" s="57"/>
      <c r="U442" s="9"/>
    </row>
    <row r="443" customFormat="false" ht="15" hidden="false" customHeight="false" outlineLevel="0" collapsed="false">
      <c r="A443" s="9"/>
      <c r="B443" s="9"/>
      <c r="C443" s="16" t="str">
        <f aca="false">IF(B443="","",IFERROR(INDEX(EDT!$E$5:$E$436,MATCH(B443,EDT!$H$5:$H$436,0)),IFERROR(INDEX(CRONOGRAMA!$G$5:$G$5679,MATCH(A443,CRONOGRAMA!$A$5:$A$5679,0)),"Fuera EDT")))</f>
        <v/>
      </c>
      <c r="D443" s="16" t="str">
        <f aca="false">IF(C443="","",IFERROR(INDEX(MASTER!$B$19:$B$109,MATCH(C443,MASTER!$A$19:$A$109,0)),"Asignar fase"))</f>
        <v/>
      </c>
      <c r="E443" s="9"/>
      <c r="F443" s="9"/>
      <c r="G443" s="9"/>
      <c r="H443" s="56"/>
      <c r="I443" s="43"/>
      <c r="J443" s="43"/>
      <c r="K443" s="16" t="str">
        <f aca="false">IF(A443="","",COUNTIF(RESTRICCIONES!$B$5:$B$304,A443))</f>
        <v/>
      </c>
      <c r="L443" s="16" t="str">
        <f aca="false">IF(A443="","",COUNTIFS(RESTRICCIONES!$B$5:$B$304,A443,RESTRICCIONES!$L$5:$L$304,"Pendiente"))</f>
        <v/>
      </c>
      <c r="M443" s="18" t="str">
        <f aca="false">IF(A443="","",IF(L443=0,"LISTA","RESTRINGIDA"))</f>
        <v/>
      </c>
      <c r="N443" s="51" t="str">
        <f aca="false">IF(OR(A443="",H443=""),"",IFERROR(MIN(1,SUMIF(SEMANAL!$C$7:$C$506,A443,SEMANAL!$W$7:$W$506)/H443),0))</f>
        <v/>
      </c>
      <c r="O443" s="57"/>
      <c r="P443" s="57"/>
      <c r="Q443" s="57"/>
      <c r="R443" s="57"/>
      <c r="S443" s="57"/>
      <c r="T443" s="57"/>
      <c r="U443" s="9"/>
    </row>
    <row r="444" customFormat="false" ht="15" hidden="false" customHeight="false" outlineLevel="0" collapsed="false">
      <c r="A444" s="9"/>
      <c r="B444" s="9"/>
      <c r="C444" s="16" t="str">
        <f aca="false">IF(B444="","",IFERROR(INDEX(EDT!$E$5:$E$436,MATCH(B444,EDT!$H$5:$H$436,0)),IFERROR(INDEX(CRONOGRAMA!$G$5:$G$5679,MATCH(A444,CRONOGRAMA!$A$5:$A$5679,0)),"Fuera EDT")))</f>
        <v/>
      </c>
      <c r="D444" s="16" t="str">
        <f aca="false">IF(C444="","",IFERROR(INDEX(MASTER!$B$19:$B$109,MATCH(C444,MASTER!$A$19:$A$109,0)),"Asignar fase"))</f>
        <v/>
      </c>
      <c r="E444" s="9"/>
      <c r="F444" s="9"/>
      <c r="G444" s="9"/>
      <c r="H444" s="56"/>
      <c r="I444" s="43"/>
      <c r="J444" s="43"/>
      <c r="K444" s="16" t="str">
        <f aca="false">IF(A444="","",COUNTIF(RESTRICCIONES!$B$5:$B$304,A444))</f>
        <v/>
      </c>
      <c r="L444" s="16" t="str">
        <f aca="false">IF(A444="","",COUNTIFS(RESTRICCIONES!$B$5:$B$304,A444,RESTRICCIONES!$L$5:$L$304,"Pendiente"))</f>
        <v/>
      </c>
      <c r="M444" s="18" t="str">
        <f aca="false">IF(A444="","",IF(L444=0,"LISTA","RESTRINGIDA"))</f>
        <v/>
      </c>
      <c r="N444" s="51" t="str">
        <f aca="false">IF(OR(A444="",H444=""),"",IFERROR(MIN(1,SUMIF(SEMANAL!$C$7:$C$506,A444,SEMANAL!$W$7:$W$506)/H444),0))</f>
        <v/>
      </c>
      <c r="O444" s="57"/>
      <c r="P444" s="57"/>
      <c r="Q444" s="57"/>
      <c r="R444" s="57"/>
      <c r="S444" s="57"/>
      <c r="T444" s="57"/>
      <c r="U444" s="9"/>
    </row>
    <row r="445" customFormat="false" ht="15" hidden="false" customHeight="false" outlineLevel="0" collapsed="false">
      <c r="A445" s="9"/>
      <c r="B445" s="9"/>
      <c r="C445" s="16" t="str">
        <f aca="false">IF(B445="","",IFERROR(INDEX(EDT!$E$5:$E$436,MATCH(B445,EDT!$H$5:$H$436,0)),IFERROR(INDEX(CRONOGRAMA!$G$5:$G$5679,MATCH(A445,CRONOGRAMA!$A$5:$A$5679,0)),"Fuera EDT")))</f>
        <v/>
      </c>
      <c r="D445" s="16" t="str">
        <f aca="false">IF(C445="","",IFERROR(INDEX(MASTER!$B$19:$B$109,MATCH(C445,MASTER!$A$19:$A$109,0)),"Asignar fase"))</f>
        <v/>
      </c>
      <c r="E445" s="9"/>
      <c r="F445" s="9"/>
      <c r="G445" s="9"/>
      <c r="H445" s="56"/>
      <c r="I445" s="43"/>
      <c r="J445" s="43"/>
      <c r="K445" s="16" t="str">
        <f aca="false">IF(A445="","",COUNTIF(RESTRICCIONES!$B$5:$B$304,A445))</f>
        <v/>
      </c>
      <c r="L445" s="16" t="str">
        <f aca="false">IF(A445="","",COUNTIFS(RESTRICCIONES!$B$5:$B$304,A445,RESTRICCIONES!$L$5:$L$304,"Pendiente"))</f>
        <v/>
      </c>
      <c r="M445" s="18" t="str">
        <f aca="false">IF(A445="","",IF(L445=0,"LISTA","RESTRINGIDA"))</f>
        <v/>
      </c>
      <c r="N445" s="51" t="str">
        <f aca="false">IF(OR(A445="",H445=""),"",IFERROR(MIN(1,SUMIF(SEMANAL!$C$7:$C$506,A445,SEMANAL!$W$7:$W$506)/H445),0))</f>
        <v/>
      </c>
      <c r="O445" s="57"/>
      <c r="P445" s="57"/>
      <c r="Q445" s="57"/>
      <c r="R445" s="57"/>
      <c r="S445" s="57"/>
      <c r="T445" s="57"/>
      <c r="U445" s="9"/>
    </row>
    <row r="446" customFormat="false" ht="15" hidden="false" customHeight="false" outlineLevel="0" collapsed="false">
      <c r="A446" s="9"/>
      <c r="B446" s="9"/>
      <c r="C446" s="16" t="str">
        <f aca="false">IF(B446="","",IFERROR(INDEX(EDT!$E$5:$E$436,MATCH(B446,EDT!$H$5:$H$436,0)),IFERROR(INDEX(CRONOGRAMA!$G$5:$G$5679,MATCH(A446,CRONOGRAMA!$A$5:$A$5679,0)),"Fuera EDT")))</f>
        <v/>
      </c>
      <c r="D446" s="16" t="str">
        <f aca="false">IF(C446="","",IFERROR(INDEX(MASTER!$B$19:$B$109,MATCH(C446,MASTER!$A$19:$A$109,0)),"Asignar fase"))</f>
        <v/>
      </c>
      <c r="E446" s="9"/>
      <c r="F446" s="9"/>
      <c r="G446" s="9"/>
      <c r="H446" s="56"/>
      <c r="I446" s="43"/>
      <c r="J446" s="43"/>
      <c r="K446" s="16" t="str">
        <f aca="false">IF(A446="","",COUNTIF(RESTRICCIONES!$B$5:$B$304,A446))</f>
        <v/>
      </c>
      <c r="L446" s="16" t="str">
        <f aca="false">IF(A446="","",COUNTIFS(RESTRICCIONES!$B$5:$B$304,A446,RESTRICCIONES!$L$5:$L$304,"Pendiente"))</f>
        <v/>
      </c>
      <c r="M446" s="18" t="str">
        <f aca="false">IF(A446="","",IF(L446=0,"LISTA","RESTRINGIDA"))</f>
        <v/>
      </c>
      <c r="N446" s="51" t="str">
        <f aca="false">IF(OR(A446="",H446=""),"",IFERROR(MIN(1,SUMIF(SEMANAL!$C$7:$C$506,A446,SEMANAL!$W$7:$W$506)/H446),0))</f>
        <v/>
      </c>
      <c r="O446" s="57"/>
      <c r="P446" s="57"/>
      <c r="Q446" s="57"/>
      <c r="R446" s="57"/>
      <c r="S446" s="57"/>
      <c r="T446" s="57"/>
      <c r="U446" s="9"/>
    </row>
    <row r="447" customFormat="false" ht="15" hidden="false" customHeight="false" outlineLevel="0" collapsed="false">
      <c r="A447" s="9"/>
      <c r="B447" s="9"/>
      <c r="C447" s="16" t="str">
        <f aca="false">IF(B447="","",IFERROR(INDEX(EDT!$E$5:$E$436,MATCH(B447,EDT!$H$5:$H$436,0)),IFERROR(INDEX(CRONOGRAMA!$G$5:$G$5679,MATCH(A447,CRONOGRAMA!$A$5:$A$5679,0)),"Fuera EDT")))</f>
        <v/>
      </c>
      <c r="D447" s="16" t="str">
        <f aca="false">IF(C447="","",IFERROR(INDEX(MASTER!$B$19:$B$109,MATCH(C447,MASTER!$A$19:$A$109,0)),"Asignar fase"))</f>
        <v/>
      </c>
      <c r="E447" s="9"/>
      <c r="F447" s="9"/>
      <c r="G447" s="9"/>
      <c r="H447" s="56"/>
      <c r="I447" s="43"/>
      <c r="J447" s="43"/>
      <c r="K447" s="16" t="str">
        <f aca="false">IF(A447="","",COUNTIF(RESTRICCIONES!$B$5:$B$304,A447))</f>
        <v/>
      </c>
      <c r="L447" s="16" t="str">
        <f aca="false">IF(A447="","",COUNTIFS(RESTRICCIONES!$B$5:$B$304,A447,RESTRICCIONES!$L$5:$L$304,"Pendiente"))</f>
        <v/>
      </c>
      <c r="M447" s="18" t="str">
        <f aca="false">IF(A447="","",IF(L447=0,"LISTA","RESTRINGIDA"))</f>
        <v/>
      </c>
      <c r="N447" s="51" t="str">
        <f aca="false">IF(OR(A447="",H447=""),"",IFERROR(MIN(1,SUMIF(SEMANAL!$C$7:$C$506,A447,SEMANAL!$W$7:$W$506)/H447),0))</f>
        <v/>
      </c>
      <c r="O447" s="57"/>
      <c r="P447" s="57"/>
      <c r="Q447" s="57"/>
      <c r="R447" s="57"/>
      <c r="S447" s="57"/>
      <c r="T447" s="57"/>
      <c r="U447" s="9"/>
    </row>
    <row r="448" customFormat="false" ht="15" hidden="false" customHeight="false" outlineLevel="0" collapsed="false">
      <c r="A448" s="9"/>
      <c r="B448" s="9"/>
      <c r="C448" s="16" t="str">
        <f aca="false">IF(B448="","",IFERROR(INDEX(EDT!$E$5:$E$436,MATCH(B448,EDT!$H$5:$H$436,0)),IFERROR(INDEX(CRONOGRAMA!$G$5:$G$5679,MATCH(A448,CRONOGRAMA!$A$5:$A$5679,0)),"Fuera EDT")))</f>
        <v/>
      </c>
      <c r="D448" s="16" t="str">
        <f aca="false">IF(C448="","",IFERROR(INDEX(MASTER!$B$19:$B$109,MATCH(C448,MASTER!$A$19:$A$109,0)),"Asignar fase"))</f>
        <v/>
      </c>
      <c r="E448" s="9"/>
      <c r="F448" s="9"/>
      <c r="G448" s="9"/>
      <c r="H448" s="56"/>
      <c r="I448" s="43"/>
      <c r="J448" s="43"/>
      <c r="K448" s="16" t="str">
        <f aca="false">IF(A448="","",COUNTIF(RESTRICCIONES!$B$5:$B$304,A448))</f>
        <v/>
      </c>
      <c r="L448" s="16" t="str">
        <f aca="false">IF(A448="","",COUNTIFS(RESTRICCIONES!$B$5:$B$304,A448,RESTRICCIONES!$L$5:$L$304,"Pendiente"))</f>
        <v/>
      </c>
      <c r="M448" s="18" t="str">
        <f aca="false">IF(A448="","",IF(L448=0,"LISTA","RESTRINGIDA"))</f>
        <v/>
      </c>
      <c r="N448" s="51" t="str">
        <f aca="false">IF(OR(A448="",H448=""),"",IFERROR(MIN(1,SUMIF(SEMANAL!$C$7:$C$506,A448,SEMANAL!$W$7:$W$506)/H448),0))</f>
        <v/>
      </c>
      <c r="O448" s="57"/>
      <c r="P448" s="57"/>
      <c r="Q448" s="57"/>
      <c r="R448" s="57"/>
      <c r="S448" s="57"/>
      <c r="T448" s="57"/>
      <c r="U448" s="9"/>
    </row>
    <row r="449" customFormat="false" ht="15" hidden="false" customHeight="false" outlineLevel="0" collapsed="false">
      <c r="A449" s="9"/>
      <c r="B449" s="9"/>
      <c r="C449" s="16" t="str">
        <f aca="false">IF(B449="","",IFERROR(INDEX(EDT!$E$5:$E$436,MATCH(B449,EDT!$H$5:$H$436,0)),IFERROR(INDEX(CRONOGRAMA!$G$5:$G$5679,MATCH(A449,CRONOGRAMA!$A$5:$A$5679,0)),"Fuera EDT")))</f>
        <v/>
      </c>
      <c r="D449" s="16" t="str">
        <f aca="false">IF(C449="","",IFERROR(INDEX(MASTER!$B$19:$B$109,MATCH(C449,MASTER!$A$19:$A$109,0)),"Asignar fase"))</f>
        <v/>
      </c>
      <c r="E449" s="9"/>
      <c r="F449" s="9"/>
      <c r="G449" s="9"/>
      <c r="H449" s="56"/>
      <c r="I449" s="43"/>
      <c r="J449" s="43"/>
      <c r="K449" s="16" t="str">
        <f aca="false">IF(A449="","",COUNTIF(RESTRICCIONES!$B$5:$B$304,A449))</f>
        <v/>
      </c>
      <c r="L449" s="16" t="str">
        <f aca="false">IF(A449="","",COUNTIFS(RESTRICCIONES!$B$5:$B$304,A449,RESTRICCIONES!$L$5:$L$304,"Pendiente"))</f>
        <v/>
      </c>
      <c r="M449" s="18" t="str">
        <f aca="false">IF(A449="","",IF(L449=0,"LISTA","RESTRINGIDA"))</f>
        <v/>
      </c>
      <c r="N449" s="51" t="str">
        <f aca="false">IF(OR(A449="",H449=""),"",IFERROR(MIN(1,SUMIF(SEMANAL!$C$7:$C$506,A449,SEMANAL!$W$7:$W$506)/H449),0))</f>
        <v/>
      </c>
      <c r="O449" s="57"/>
      <c r="P449" s="57"/>
      <c r="Q449" s="57"/>
      <c r="R449" s="57"/>
      <c r="S449" s="57"/>
      <c r="T449" s="57"/>
      <c r="U449" s="9"/>
    </row>
    <row r="450" customFormat="false" ht="15" hidden="false" customHeight="false" outlineLevel="0" collapsed="false">
      <c r="A450" s="9"/>
      <c r="B450" s="9"/>
      <c r="C450" s="16" t="str">
        <f aca="false">IF(B450="","",IFERROR(INDEX(EDT!$E$5:$E$436,MATCH(B450,EDT!$H$5:$H$436,0)),IFERROR(INDEX(CRONOGRAMA!$G$5:$G$5679,MATCH(A450,CRONOGRAMA!$A$5:$A$5679,0)),"Fuera EDT")))</f>
        <v/>
      </c>
      <c r="D450" s="16" t="str">
        <f aca="false">IF(C450="","",IFERROR(INDEX(MASTER!$B$19:$B$109,MATCH(C450,MASTER!$A$19:$A$109,0)),"Asignar fase"))</f>
        <v/>
      </c>
      <c r="E450" s="9"/>
      <c r="F450" s="9"/>
      <c r="G450" s="9"/>
      <c r="H450" s="56"/>
      <c r="I450" s="43"/>
      <c r="J450" s="43"/>
      <c r="K450" s="16" t="str">
        <f aca="false">IF(A450="","",COUNTIF(RESTRICCIONES!$B$5:$B$304,A450))</f>
        <v/>
      </c>
      <c r="L450" s="16" t="str">
        <f aca="false">IF(A450="","",COUNTIFS(RESTRICCIONES!$B$5:$B$304,A450,RESTRICCIONES!$L$5:$L$304,"Pendiente"))</f>
        <v/>
      </c>
      <c r="M450" s="18" t="str">
        <f aca="false">IF(A450="","",IF(L450=0,"LISTA","RESTRINGIDA"))</f>
        <v/>
      </c>
      <c r="N450" s="51" t="str">
        <f aca="false">IF(OR(A450="",H450=""),"",IFERROR(MIN(1,SUMIF(SEMANAL!$C$7:$C$506,A450,SEMANAL!$W$7:$W$506)/H450),0))</f>
        <v/>
      </c>
      <c r="O450" s="57"/>
      <c r="P450" s="57"/>
      <c r="Q450" s="57"/>
      <c r="R450" s="57"/>
      <c r="S450" s="57"/>
      <c r="T450" s="57"/>
      <c r="U450" s="9"/>
    </row>
    <row r="451" customFormat="false" ht="15" hidden="false" customHeight="false" outlineLevel="0" collapsed="false">
      <c r="A451" s="9"/>
      <c r="B451" s="9"/>
      <c r="C451" s="16" t="str">
        <f aca="false">IF(B451="","",IFERROR(INDEX(EDT!$E$5:$E$436,MATCH(B451,EDT!$H$5:$H$436,0)),IFERROR(INDEX(CRONOGRAMA!$G$5:$G$5679,MATCH(A451,CRONOGRAMA!$A$5:$A$5679,0)),"Fuera EDT")))</f>
        <v/>
      </c>
      <c r="D451" s="16" t="str">
        <f aca="false">IF(C451="","",IFERROR(INDEX(MASTER!$B$19:$B$109,MATCH(C451,MASTER!$A$19:$A$109,0)),"Asignar fase"))</f>
        <v/>
      </c>
      <c r="E451" s="9"/>
      <c r="F451" s="9"/>
      <c r="G451" s="9"/>
      <c r="H451" s="56"/>
      <c r="I451" s="43"/>
      <c r="J451" s="43"/>
      <c r="K451" s="16" t="str">
        <f aca="false">IF(A451="","",COUNTIF(RESTRICCIONES!$B$5:$B$304,A451))</f>
        <v/>
      </c>
      <c r="L451" s="16" t="str">
        <f aca="false">IF(A451="","",COUNTIFS(RESTRICCIONES!$B$5:$B$304,A451,RESTRICCIONES!$L$5:$L$304,"Pendiente"))</f>
        <v/>
      </c>
      <c r="M451" s="18" t="str">
        <f aca="false">IF(A451="","",IF(L451=0,"LISTA","RESTRINGIDA"))</f>
        <v/>
      </c>
      <c r="N451" s="51" t="str">
        <f aca="false">IF(OR(A451="",H451=""),"",IFERROR(MIN(1,SUMIF(SEMANAL!$C$7:$C$506,A451,SEMANAL!$W$7:$W$506)/H451),0))</f>
        <v/>
      </c>
      <c r="O451" s="57"/>
      <c r="P451" s="57"/>
      <c r="Q451" s="57"/>
      <c r="R451" s="57"/>
      <c r="S451" s="57"/>
      <c r="T451" s="57"/>
      <c r="U451" s="9"/>
    </row>
    <row r="452" customFormat="false" ht="15" hidden="false" customHeight="false" outlineLevel="0" collapsed="false">
      <c r="A452" s="9"/>
      <c r="B452" s="9"/>
      <c r="C452" s="16" t="str">
        <f aca="false">IF(B452="","",IFERROR(INDEX(EDT!$E$5:$E$436,MATCH(B452,EDT!$H$5:$H$436,0)),IFERROR(INDEX(CRONOGRAMA!$G$5:$G$5679,MATCH(A452,CRONOGRAMA!$A$5:$A$5679,0)),"Fuera EDT")))</f>
        <v/>
      </c>
      <c r="D452" s="16" t="str">
        <f aca="false">IF(C452="","",IFERROR(INDEX(MASTER!$B$19:$B$109,MATCH(C452,MASTER!$A$19:$A$109,0)),"Asignar fase"))</f>
        <v/>
      </c>
      <c r="E452" s="9"/>
      <c r="F452" s="9"/>
      <c r="G452" s="9"/>
      <c r="H452" s="56"/>
      <c r="I452" s="43"/>
      <c r="J452" s="43"/>
      <c r="K452" s="16" t="str">
        <f aca="false">IF(A452="","",COUNTIF(RESTRICCIONES!$B$5:$B$304,A452))</f>
        <v/>
      </c>
      <c r="L452" s="16" t="str">
        <f aca="false">IF(A452="","",COUNTIFS(RESTRICCIONES!$B$5:$B$304,A452,RESTRICCIONES!$L$5:$L$304,"Pendiente"))</f>
        <v/>
      </c>
      <c r="M452" s="18" t="str">
        <f aca="false">IF(A452="","",IF(L452=0,"LISTA","RESTRINGIDA"))</f>
        <v/>
      </c>
      <c r="N452" s="51" t="str">
        <f aca="false">IF(OR(A452="",H452=""),"",IFERROR(MIN(1,SUMIF(SEMANAL!$C$7:$C$506,A452,SEMANAL!$W$7:$W$506)/H452),0))</f>
        <v/>
      </c>
      <c r="O452" s="57"/>
      <c r="P452" s="57"/>
      <c r="Q452" s="57"/>
      <c r="R452" s="57"/>
      <c r="S452" s="57"/>
      <c r="T452" s="57"/>
      <c r="U452" s="9"/>
    </row>
    <row r="453" customFormat="false" ht="15" hidden="false" customHeight="false" outlineLevel="0" collapsed="false">
      <c r="A453" s="9"/>
      <c r="B453" s="9"/>
      <c r="C453" s="16" t="str">
        <f aca="false">IF(B453="","",IFERROR(INDEX(EDT!$E$5:$E$436,MATCH(B453,EDT!$H$5:$H$436,0)),IFERROR(INDEX(CRONOGRAMA!$G$5:$G$5679,MATCH(A453,CRONOGRAMA!$A$5:$A$5679,0)),"Fuera EDT")))</f>
        <v/>
      </c>
      <c r="D453" s="16" t="str">
        <f aca="false">IF(C453="","",IFERROR(INDEX(MASTER!$B$19:$B$109,MATCH(C453,MASTER!$A$19:$A$109,0)),"Asignar fase"))</f>
        <v/>
      </c>
      <c r="E453" s="9"/>
      <c r="F453" s="9"/>
      <c r="G453" s="9"/>
      <c r="H453" s="56"/>
      <c r="I453" s="43"/>
      <c r="J453" s="43"/>
      <c r="K453" s="16" t="str">
        <f aca="false">IF(A453="","",COUNTIF(RESTRICCIONES!$B$5:$B$304,A453))</f>
        <v/>
      </c>
      <c r="L453" s="16" t="str">
        <f aca="false">IF(A453="","",COUNTIFS(RESTRICCIONES!$B$5:$B$304,A453,RESTRICCIONES!$L$5:$L$304,"Pendiente"))</f>
        <v/>
      </c>
      <c r="M453" s="18" t="str">
        <f aca="false">IF(A453="","",IF(L453=0,"LISTA","RESTRINGIDA"))</f>
        <v/>
      </c>
      <c r="N453" s="51" t="str">
        <f aca="false">IF(OR(A453="",H453=""),"",IFERROR(MIN(1,SUMIF(SEMANAL!$C$7:$C$506,A453,SEMANAL!$W$7:$W$506)/H453),0))</f>
        <v/>
      </c>
      <c r="O453" s="57"/>
      <c r="P453" s="57"/>
      <c r="Q453" s="57"/>
      <c r="R453" s="57"/>
      <c r="S453" s="57"/>
      <c r="T453" s="57"/>
      <c r="U453" s="9"/>
    </row>
    <row r="454" customFormat="false" ht="15" hidden="false" customHeight="false" outlineLevel="0" collapsed="false">
      <c r="A454" s="9"/>
      <c r="B454" s="9"/>
      <c r="C454" s="16" t="str">
        <f aca="false">IF(B454="","",IFERROR(INDEX(EDT!$E$5:$E$436,MATCH(B454,EDT!$H$5:$H$436,0)),IFERROR(INDEX(CRONOGRAMA!$G$5:$G$5679,MATCH(A454,CRONOGRAMA!$A$5:$A$5679,0)),"Fuera EDT")))</f>
        <v/>
      </c>
      <c r="D454" s="16" t="str">
        <f aca="false">IF(C454="","",IFERROR(INDEX(MASTER!$B$19:$B$109,MATCH(C454,MASTER!$A$19:$A$109,0)),"Asignar fase"))</f>
        <v/>
      </c>
      <c r="E454" s="9"/>
      <c r="F454" s="9"/>
      <c r="G454" s="9"/>
      <c r="H454" s="56"/>
      <c r="I454" s="43"/>
      <c r="J454" s="43"/>
      <c r="K454" s="16" t="str">
        <f aca="false">IF(A454="","",COUNTIF(RESTRICCIONES!$B$5:$B$304,A454))</f>
        <v/>
      </c>
      <c r="L454" s="16" t="str">
        <f aca="false">IF(A454="","",COUNTIFS(RESTRICCIONES!$B$5:$B$304,A454,RESTRICCIONES!$L$5:$L$304,"Pendiente"))</f>
        <v/>
      </c>
      <c r="M454" s="18" t="str">
        <f aca="false">IF(A454="","",IF(L454=0,"LISTA","RESTRINGIDA"))</f>
        <v/>
      </c>
      <c r="N454" s="51" t="str">
        <f aca="false">IF(OR(A454="",H454=""),"",IFERROR(MIN(1,SUMIF(SEMANAL!$C$7:$C$506,A454,SEMANAL!$W$7:$W$506)/H454),0))</f>
        <v/>
      </c>
      <c r="O454" s="57"/>
      <c r="P454" s="57"/>
      <c r="Q454" s="57"/>
      <c r="R454" s="57"/>
      <c r="S454" s="57"/>
      <c r="T454" s="57"/>
      <c r="U454" s="9"/>
    </row>
    <row r="455" customFormat="false" ht="15" hidden="false" customHeight="false" outlineLevel="0" collapsed="false">
      <c r="A455" s="9"/>
      <c r="B455" s="9"/>
      <c r="C455" s="16" t="str">
        <f aca="false">IF(B455="","",IFERROR(INDEX(EDT!$E$5:$E$436,MATCH(B455,EDT!$H$5:$H$436,0)),IFERROR(INDEX(CRONOGRAMA!$G$5:$G$5679,MATCH(A455,CRONOGRAMA!$A$5:$A$5679,0)),"Fuera EDT")))</f>
        <v/>
      </c>
      <c r="D455" s="16" t="str">
        <f aca="false">IF(C455="","",IFERROR(INDEX(MASTER!$B$19:$B$109,MATCH(C455,MASTER!$A$19:$A$109,0)),"Asignar fase"))</f>
        <v/>
      </c>
      <c r="E455" s="9"/>
      <c r="F455" s="9"/>
      <c r="G455" s="9"/>
      <c r="H455" s="56"/>
      <c r="I455" s="43"/>
      <c r="J455" s="43"/>
      <c r="K455" s="16" t="str">
        <f aca="false">IF(A455="","",COUNTIF(RESTRICCIONES!$B$5:$B$304,A455))</f>
        <v/>
      </c>
      <c r="L455" s="16" t="str">
        <f aca="false">IF(A455="","",COUNTIFS(RESTRICCIONES!$B$5:$B$304,A455,RESTRICCIONES!$L$5:$L$304,"Pendiente"))</f>
        <v/>
      </c>
      <c r="M455" s="18" t="str">
        <f aca="false">IF(A455="","",IF(L455=0,"LISTA","RESTRINGIDA"))</f>
        <v/>
      </c>
      <c r="N455" s="51" t="str">
        <f aca="false">IF(OR(A455="",H455=""),"",IFERROR(MIN(1,SUMIF(SEMANAL!$C$7:$C$506,A455,SEMANAL!$W$7:$W$506)/H455),0))</f>
        <v/>
      </c>
      <c r="O455" s="57"/>
      <c r="P455" s="57"/>
      <c r="Q455" s="57"/>
      <c r="R455" s="57"/>
      <c r="S455" s="57"/>
      <c r="T455" s="57"/>
      <c r="U455" s="9"/>
    </row>
    <row r="456" customFormat="false" ht="15" hidden="false" customHeight="false" outlineLevel="0" collapsed="false">
      <c r="A456" s="9"/>
      <c r="B456" s="9"/>
      <c r="C456" s="16" t="str">
        <f aca="false">IF(B456="","",IFERROR(INDEX(EDT!$E$5:$E$436,MATCH(B456,EDT!$H$5:$H$436,0)),IFERROR(INDEX(CRONOGRAMA!$G$5:$G$5679,MATCH(A456,CRONOGRAMA!$A$5:$A$5679,0)),"Fuera EDT")))</f>
        <v/>
      </c>
      <c r="D456" s="16" t="str">
        <f aca="false">IF(C456="","",IFERROR(INDEX(MASTER!$B$19:$B$109,MATCH(C456,MASTER!$A$19:$A$109,0)),"Asignar fase"))</f>
        <v/>
      </c>
      <c r="E456" s="9"/>
      <c r="F456" s="9"/>
      <c r="G456" s="9"/>
      <c r="H456" s="56"/>
      <c r="I456" s="43"/>
      <c r="J456" s="43"/>
      <c r="K456" s="16" t="str">
        <f aca="false">IF(A456="","",COUNTIF(RESTRICCIONES!$B$5:$B$304,A456))</f>
        <v/>
      </c>
      <c r="L456" s="16" t="str">
        <f aca="false">IF(A456="","",COUNTIFS(RESTRICCIONES!$B$5:$B$304,A456,RESTRICCIONES!$L$5:$L$304,"Pendiente"))</f>
        <v/>
      </c>
      <c r="M456" s="18" t="str">
        <f aca="false">IF(A456="","",IF(L456=0,"LISTA","RESTRINGIDA"))</f>
        <v/>
      </c>
      <c r="N456" s="51" t="str">
        <f aca="false">IF(OR(A456="",H456=""),"",IFERROR(MIN(1,SUMIF(SEMANAL!$C$7:$C$506,A456,SEMANAL!$W$7:$W$506)/H456),0))</f>
        <v/>
      </c>
      <c r="O456" s="57"/>
      <c r="P456" s="57"/>
      <c r="Q456" s="57"/>
      <c r="R456" s="57"/>
      <c r="S456" s="57"/>
      <c r="T456" s="57"/>
      <c r="U456" s="9"/>
    </row>
    <row r="457" customFormat="false" ht="15" hidden="false" customHeight="false" outlineLevel="0" collapsed="false">
      <c r="A457" s="9"/>
      <c r="B457" s="9"/>
      <c r="C457" s="16" t="str">
        <f aca="false">IF(B457="","",IFERROR(INDEX(EDT!$E$5:$E$436,MATCH(B457,EDT!$H$5:$H$436,0)),IFERROR(INDEX(CRONOGRAMA!$G$5:$G$5679,MATCH(A457,CRONOGRAMA!$A$5:$A$5679,0)),"Fuera EDT")))</f>
        <v/>
      </c>
      <c r="D457" s="16" t="str">
        <f aca="false">IF(C457="","",IFERROR(INDEX(MASTER!$B$19:$B$109,MATCH(C457,MASTER!$A$19:$A$109,0)),"Asignar fase"))</f>
        <v/>
      </c>
      <c r="E457" s="9"/>
      <c r="F457" s="9"/>
      <c r="G457" s="9"/>
      <c r="H457" s="56"/>
      <c r="I457" s="43"/>
      <c r="J457" s="43"/>
      <c r="K457" s="16" t="str">
        <f aca="false">IF(A457="","",COUNTIF(RESTRICCIONES!$B$5:$B$304,A457))</f>
        <v/>
      </c>
      <c r="L457" s="16" t="str">
        <f aca="false">IF(A457="","",COUNTIFS(RESTRICCIONES!$B$5:$B$304,A457,RESTRICCIONES!$L$5:$L$304,"Pendiente"))</f>
        <v/>
      </c>
      <c r="M457" s="18" t="str">
        <f aca="false">IF(A457="","",IF(L457=0,"LISTA","RESTRINGIDA"))</f>
        <v/>
      </c>
      <c r="N457" s="51" t="str">
        <f aca="false">IF(OR(A457="",H457=""),"",IFERROR(MIN(1,SUMIF(SEMANAL!$C$7:$C$506,A457,SEMANAL!$W$7:$W$506)/H457),0))</f>
        <v/>
      </c>
      <c r="O457" s="57"/>
      <c r="P457" s="57"/>
      <c r="Q457" s="57"/>
      <c r="R457" s="57"/>
      <c r="S457" s="57"/>
      <c r="T457" s="57"/>
      <c r="U457" s="9"/>
    </row>
    <row r="458" customFormat="false" ht="15" hidden="false" customHeight="false" outlineLevel="0" collapsed="false">
      <c r="A458" s="9"/>
      <c r="B458" s="9"/>
      <c r="C458" s="16" t="str">
        <f aca="false">IF(B458="","",IFERROR(INDEX(EDT!$E$5:$E$436,MATCH(B458,EDT!$H$5:$H$436,0)),IFERROR(INDEX(CRONOGRAMA!$G$5:$G$5679,MATCH(A458,CRONOGRAMA!$A$5:$A$5679,0)),"Fuera EDT")))</f>
        <v/>
      </c>
      <c r="D458" s="16" t="str">
        <f aca="false">IF(C458="","",IFERROR(INDEX(MASTER!$B$19:$B$109,MATCH(C458,MASTER!$A$19:$A$109,0)),"Asignar fase"))</f>
        <v/>
      </c>
      <c r="E458" s="9"/>
      <c r="F458" s="9"/>
      <c r="G458" s="9"/>
      <c r="H458" s="56"/>
      <c r="I458" s="43"/>
      <c r="J458" s="43"/>
      <c r="K458" s="16" t="str">
        <f aca="false">IF(A458="","",COUNTIF(RESTRICCIONES!$B$5:$B$304,A458))</f>
        <v/>
      </c>
      <c r="L458" s="16" t="str">
        <f aca="false">IF(A458="","",COUNTIFS(RESTRICCIONES!$B$5:$B$304,A458,RESTRICCIONES!$L$5:$L$304,"Pendiente"))</f>
        <v/>
      </c>
      <c r="M458" s="18" t="str">
        <f aca="false">IF(A458="","",IF(L458=0,"LISTA","RESTRINGIDA"))</f>
        <v/>
      </c>
      <c r="N458" s="51" t="str">
        <f aca="false">IF(OR(A458="",H458=""),"",IFERROR(MIN(1,SUMIF(SEMANAL!$C$7:$C$506,A458,SEMANAL!$W$7:$W$506)/H458),0))</f>
        <v/>
      </c>
      <c r="O458" s="57"/>
      <c r="P458" s="57"/>
      <c r="Q458" s="57"/>
      <c r="R458" s="57"/>
      <c r="S458" s="57"/>
      <c r="T458" s="57"/>
      <c r="U458" s="9"/>
    </row>
    <row r="459" customFormat="false" ht="15" hidden="false" customHeight="false" outlineLevel="0" collapsed="false">
      <c r="A459" s="9"/>
      <c r="B459" s="9"/>
      <c r="C459" s="16" t="str">
        <f aca="false">IF(B459="","",IFERROR(INDEX(EDT!$E$5:$E$436,MATCH(B459,EDT!$H$5:$H$436,0)),IFERROR(INDEX(CRONOGRAMA!$G$5:$G$5679,MATCH(A459,CRONOGRAMA!$A$5:$A$5679,0)),"Fuera EDT")))</f>
        <v/>
      </c>
      <c r="D459" s="16" t="str">
        <f aca="false">IF(C459="","",IFERROR(INDEX(MASTER!$B$19:$B$109,MATCH(C459,MASTER!$A$19:$A$109,0)),"Asignar fase"))</f>
        <v/>
      </c>
      <c r="E459" s="9"/>
      <c r="F459" s="9"/>
      <c r="G459" s="9"/>
      <c r="H459" s="56"/>
      <c r="I459" s="43"/>
      <c r="J459" s="43"/>
      <c r="K459" s="16" t="str">
        <f aca="false">IF(A459="","",COUNTIF(RESTRICCIONES!$B$5:$B$304,A459))</f>
        <v/>
      </c>
      <c r="L459" s="16" t="str">
        <f aca="false">IF(A459="","",COUNTIFS(RESTRICCIONES!$B$5:$B$304,A459,RESTRICCIONES!$L$5:$L$304,"Pendiente"))</f>
        <v/>
      </c>
      <c r="M459" s="18" t="str">
        <f aca="false">IF(A459="","",IF(L459=0,"LISTA","RESTRINGIDA"))</f>
        <v/>
      </c>
      <c r="N459" s="51" t="str">
        <f aca="false">IF(OR(A459="",H459=""),"",IFERROR(MIN(1,SUMIF(SEMANAL!$C$7:$C$506,A459,SEMANAL!$W$7:$W$506)/H459),0))</f>
        <v/>
      </c>
      <c r="O459" s="57"/>
      <c r="P459" s="57"/>
      <c r="Q459" s="57"/>
      <c r="R459" s="57"/>
      <c r="S459" s="57"/>
      <c r="T459" s="57"/>
      <c r="U459" s="9"/>
    </row>
    <row r="460" customFormat="false" ht="15" hidden="false" customHeight="false" outlineLevel="0" collapsed="false">
      <c r="A460" s="9"/>
      <c r="B460" s="9"/>
      <c r="C460" s="16" t="str">
        <f aca="false">IF(B460="","",IFERROR(INDEX(EDT!$E$5:$E$436,MATCH(B460,EDT!$H$5:$H$436,0)),IFERROR(INDEX(CRONOGRAMA!$G$5:$G$5679,MATCH(A460,CRONOGRAMA!$A$5:$A$5679,0)),"Fuera EDT")))</f>
        <v/>
      </c>
      <c r="D460" s="16" t="str">
        <f aca="false">IF(C460="","",IFERROR(INDEX(MASTER!$B$19:$B$109,MATCH(C460,MASTER!$A$19:$A$109,0)),"Asignar fase"))</f>
        <v/>
      </c>
      <c r="E460" s="9"/>
      <c r="F460" s="9"/>
      <c r="G460" s="9"/>
      <c r="H460" s="56"/>
      <c r="I460" s="43"/>
      <c r="J460" s="43"/>
      <c r="K460" s="16" t="str">
        <f aca="false">IF(A460="","",COUNTIF(RESTRICCIONES!$B$5:$B$304,A460))</f>
        <v/>
      </c>
      <c r="L460" s="16" t="str">
        <f aca="false">IF(A460="","",COUNTIFS(RESTRICCIONES!$B$5:$B$304,A460,RESTRICCIONES!$L$5:$L$304,"Pendiente"))</f>
        <v/>
      </c>
      <c r="M460" s="18" t="str">
        <f aca="false">IF(A460="","",IF(L460=0,"LISTA","RESTRINGIDA"))</f>
        <v/>
      </c>
      <c r="N460" s="51" t="str">
        <f aca="false">IF(OR(A460="",H460=""),"",IFERROR(MIN(1,SUMIF(SEMANAL!$C$7:$C$506,A460,SEMANAL!$W$7:$W$506)/H460),0))</f>
        <v/>
      </c>
      <c r="O460" s="57"/>
      <c r="P460" s="57"/>
      <c r="Q460" s="57"/>
      <c r="R460" s="57"/>
      <c r="S460" s="57"/>
      <c r="T460" s="57"/>
      <c r="U460" s="9"/>
    </row>
    <row r="461" customFormat="false" ht="15" hidden="false" customHeight="false" outlineLevel="0" collapsed="false">
      <c r="A461" s="9"/>
      <c r="B461" s="9"/>
      <c r="C461" s="16" t="str">
        <f aca="false">IF(B461="","",IFERROR(INDEX(EDT!$E$5:$E$436,MATCH(B461,EDT!$H$5:$H$436,0)),IFERROR(INDEX(CRONOGRAMA!$G$5:$G$5679,MATCH(A461,CRONOGRAMA!$A$5:$A$5679,0)),"Fuera EDT")))</f>
        <v/>
      </c>
      <c r="D461" s="16" t="str">
        <f aca="false">IF(C461="","",IFERROR(INDEX(MASTER!$B$19:$B$109,MATCH(C461,MASTER!$A$19:$A$109,0)),"Asignar fase"))</f>
        <v/>
      </c>
      <c r="E461" s="9"/>
      <c r="F461" s="9"/>
      <c r="G461" s="9"/>
      <c r="H461" s="56"/>
      <c r="I461" s="43"/>
      <c r="J461" s="43"/>
      <c r="K461" s="16" t="str">
        <f aca="false">IF(A461="","",COUNTIF(RESTRICCIONES!$B$5:$B$304,A461))</f>
        <v/>
      </c>
      <c r="L461" s="16" t="str">
        <f aca="false">IF(A461="","",COUNTIFS(RESTRICCIONES!$B$5:$B$304,A461,RESTRICCIONES!$L$5:$L$304,"Pendiente"))</f>
        <v/>
      </c>
      <c r="M461" s="18" t="str">
        <f aca="false">IF(A461="","",IF(L461=0,"LISTA","RESTRINGIDA"))</f>
        <v/>
      </c>
      <c r="N461" s="51" t="str">
        <f aca="false">IF(OR(A461="",H461=""),"",IFERROR(MIN(1,SUMIF(SEMANAL!$C$7:$C$506,A461,SEMANAL!$W$7:$W$506)/H461),0))</f>
        <v/>
      </c>
      <c r="O461" s="57"/>
      <c r="P461" s="57"/>
      <c r="Q461" s="57"/>
      <c r="R461" s="57"/>
      <c r="S461" s="57"/>
      <c r="T461" s="57"/>
      <c r="U461" s="9"/>
    </row>
    <row r="462" customFormat="false" ht="15" hidden="false" customHeight="false" outlineLevel="0" collapsed="false">
      <c r="A462" s="9"/>
      <c r="B462" s="9"/>
      <c r="C462" s="16" t="str">
        <f aca="false">IF(B462="","",IFERROR(INDEX(EDT!$E$5:$E$436,MATCH(B462,EDT!$H$5:$H$436,0)),IFERROR(INDEX(CRONOGRAMA!$G$5:$G$5679,MATCH(A462,CRONOGRAMA!$A$5:$A$5679,0)),"Fuera EDT")))</f>
        <v/>
      </c>
      <c r="D462" s="16" t="str">
        <f aca="false">IF(C462="","",IFERROR(INDEX(MASTER!$B$19:$B$109,MATCH(C462,MASTER!$A$19:$A$109,0)),"Asignar fase"))</f>
        <v/>
      </c>
      <c r="E462" s="9"/>
      <c r="F462" s="9"/>
      <c r="G462" s="9"/>
      <c r="H462" s="56"/>
      <c r="I462" s="43"/>
      <c r="J462" s="43"/>
      <c r="K462" s="16" t="str">
        <f aca="false">IF(A462="","",COUNTIF(RESTRICCIONES!$B$5:$B$304,A462))</f>
        <v/>
      </c>
      <c r="L462" s="16" t="str">
        <f aca="false">IF(A462="","",COUNTIFS(RESTRICCIONES!$B$5:$B$304,A462,RESTRICCIONES!$L$5:$L$304,"Pendiente"))</f>
        <v/>
      </c>
      <c r="M462" s="18" t="str">
        <f aca="false">IF(A462="","",IF(L462=0,"LISTA","RESTRINGIDA"))</f>
        <v/>
      </c>
      <c r="N462" s="51" t="str">
        <f aca="false">IF(OR(A462="",H462=""),"",IFERROR(MIN(1,SUMIF(SEMANAL!$C$7:$C$506,A462,SEMANAL!$W$7:$W$506)/H462),0))</f>
        <v/>
      </c>
      <c r="O462" s="57"/>
      <c r="P462" s="57"/>
      <c r="Q462" s="57"/>
      <c r="R462" s="57"/>
      <c r="S462" s="57"/>
      <c r="T462" s="57"/>
      <c r="U462" s="9"/>
    </row>
    <row r="463" customFormat="false" ht="15" hidden="false" customHeight="false" outlineLevel="0" collapsed="false">
      <c r="A463" s="9"/>
      <c r="B463" s="9"/>
      <c r="C463" s="16" t="str">
        <f aca="false">IF(B463="","",IFERROR(INDEX(EDT!$E$5:$E$436,MATCH(B463,EDT!$H$5:$H$436,0)),IFERROR(INDEX(CRONOGRAMA!$G$5:$G$5679,MATCH(A463,CRONOGRAMA!$A$5:$A$5679,0)),"Fuera EDT")))</f>
        <v/>
      </c>
      <c r="D463" s="16" t="str">
        <f aca="false">IF(C463="","",IFERROR(INDEX(MASTER!$B$19:$B$109,MATCH(C463,MASTER!$A$19:$A$109,0)),"Asignar fase"))</f>
        <v/>
      </c>
      <c r="E463" s="9"/>
      <c r="F463" s="9"/>
      <c r="G463" s="9"/>
      <c r="H463" s="56"/>
      <c r="I463" s="43"/>
      <c r="J463" s="43"/>
      <c r="K463" s="16" t="str">
        <f aca="false">IF(A463="","",COUNTIF(RESTRICCIONES!$B$5:$B$304,A463))</f>
        <v/>
      </c>
      <c r="L463" s="16" t="str">
        <f aca="false">IF(A463="","",COUNTIFS(RESTRICCIONES!$B$5:$B$304,A463,RESTRICCIONES!$L$5:$L$304,"Pendiente"))</f>
        <v/>
      </c>
      <c r="M463" s="18" t="str">
        <f aca="false">IF(A463="","",IF(L463=0,"LISTA","RESTRINGIDA"))</f>
        <v/>
      </c>
      <c r="N463" s="51" t="str">
        <f aca="false">IF(OR(A463="",H463=""),"",IFERROR(MIN(1,SUMIF(SEMANAL!$C$7:$C$506,A463,SEMANAL!$W$7:$W$506)/H463),0))</f>
        <v/>
      </c>
      <c r="O463" s="57"/>
      <c r="P463" s="57"/>
      <c r="Q463" s="57"/>
      <c r="R463" s="57"/>
      <c r="S463" s="57"/>
      <c r="T463" s="57"/>
      <c r="U463" s="9"/>
    </row>
    <row r="464" customFormat="false" ht="15" hidden="false" customHeight="false" outlineLevel="0" collapsed="false">
      <c r="A464" s="9"/>
      <c r="B464" s="9"/>
      <c r="C464" s="16" t="str">
        <f aca="false">IF(B464="","",IFERROR(INDEX(EDT!$E$5:$E$436,MATCH(B464,EDT!$H$5:$H$436,0)),IFERROR(INDEX(CRONOGRAMA!$G$5:$G$5679,MATCH(A464,CRONOGRAMA!$A$5:$A$5679,0)),"Fuera EDT")))</f>
        <v/>
      </c>
      <c r="D464" s="16" t="str">
        <f aca="false">IF(C464="","",IFERROR(INDEX(MASTER!$B$19:$B$109,MATCH(C464,MASTER!$A$19:$A$109,0)),"Asignar fase"))</f>
        <v/>
      </c>
      <c r="E464" s="9"/>
      <c r="F464" s="9"/>
      <c r="G464" s="9"/>
      <c r="H464" s="56"/>
      <c r="I464" s="43"/>
      <c r="J464" s="43"/>
      <c r="K464" s="16" t="str">
        <f aca="false">IF(A464="","",COUNTIF(RESTRICCIONES!$B$5:$B$304,A464))</f>
        <v/>
      </c>
      <c r="L464" s="16" t="str">
        <f aca="false">IF(A464="","",COUNTIFS(RESTRICCIONES!$B$5:$B$304,A464,RESTRICCIONES!$L$5:$L$304,"Pendiente"))</f>
        <v/>
      </c>
      <c r="M464" s="18" t="str">
        <f aca="false">IF(A464="","",IF(L464=0,"LISTA","RESTRINGIDA"))</f>
        <v/>
      </c>
      <c r="N464" s="51" t="str">
        <f aca="false">IF(OR(A464="",H464=""),"",IFERROR(MIN(1,SUMIF(SEMANAL!$C$7:$C$506,A464,SEMANAL!$W$7:$W$506)/H464),0))</f>
        <v/>
      </c>
      <c r="O464" s="57"/>
      <c r="P464" s="57"/>
      <c r="Q464" s="57"/>
      <c r="R464" s="57"/>
      <c r="S464" s="57"/>
      <c r="T464" s="57"/>
      <c r="U464" s="9"/>
    </row>
    <row r="465" customFormat="false" ht="15" hidden="false" customHeight="false" outlineLevel="0" collapsed="false">
      <c r="A465" s="9"/>
      <c r="B465" s="9"/>
      <c r="C465" s="16" t="str">
        <f aca="false">IF(B465="","",IFERROR(INDEX(EDT!$E$5:$E$436,MATCH(B465,EDT!$H$5:$H$436,0)),IFERROR(INDEX(CRONOGRAMA!$G$5:$G$5679,MATCH(A465,CRONOGRAMA!$A$5:$A$5679,0)),"Fuera EDT")))</f>
        <v/>
      </c>
      <c r="D465" s="16" t="str">
        <f aca="false">IF(C465="","",IFERROR(INDEX(MASTER!$B$19:$B$109,MATCH(C465,MASTER!$A$19:$A$109,0)),"Asignar fase"))</f>
        <v/>
      </c>
      <c r="E465" s="9"/>
      <c r="F465" s="9"/>
      <c r="G465" s="9"/>
      <c r="H465" s="56"/>
      <c r="I465" s="43"/>
      <c r="J465" s="43"/>
      <c r="K465" s="16" t="str">
        <f aca="false">IF(A465="","",COUNTIF(RESTRICCIONES!$B$5:$B$304,A465))</f>
        <v/>
      </c>
      <c r="L465" s="16" t="str">
        <f aca="false">IF(A465="","",COUNTIFS(RESTRICCIONES!$B$5:$B$304,A465,RESTRICCIONES!$L$5:$L$304,"Pendiente"))</f>
        <v/>
      </c>
      <c r="M465" s="18" t="str">
        <f aca="false">IF(A465="","",IF(L465=0,"LISTA","RESTRINGIDA"))</f>
        <v/>
      </c>
      <c r="N465" s="51" t="str">
        <f aca="false">IF(OR(A465="",H465=""),"",IFERROR(MIN(1,SUMIF(SEMANAL!$C$7:$C$506,A465,SEMANAL!$W$7:$W$506)/H465),0))</f>
        <v/>
      </c>
      <c r="O465" s="57"/>
      <c r="P465" s="57"/>
      <c r="Q465" s="57"/>
      <c r="R465" s="57"/>
      <c r="S465" s="57"/>
      <c r="T465" s="57"/>
      <c r="U465" s="9"/>
    </row>
    <row r="466" customFormat="false" ht="15" hidden="false" customHeight="false" outlineLevel="0" collapsed="false">
      <c r="A466" s="9"/>
      <c r="B466" s="9"/>
      <c r="C466" s="16" t="str">
        <f aca="false">IF(B466="","",IFERROR(INDEX(EDT!$E$5:$E$436,MATCH(B466,EDT!$H$5:$H$436,0)),IFERROR(INDEX(CRONOGRAMA!$G$5:$G$5679,MATCH(A466,CRONOGRAMA!$A$5:$A$5679,0)),"Fuera EDT")))</f>
        <v/>
      </c>
      <c r="D466" s="16" t="str">
        <f aca="false">IF(C466="","",IFERROR(INDEX(MASTER!$B$19:$B$109,MATCH(C466,MASTER!$A$19:$A$109,0)),"Asignar fase"))</f>
        <v/>
      </c>
      <c r="E466" s="9"/>
      <c r="F466" s="9"/>
      <c r="G466" s="9"/>
      <c r="H466" s="56"/>
      <c r="I466" s="43"/>
      <c r="J466" s="43"/>
      <c r="K466" s="16" t="str">
        <f aca="false">IF(A466="","",COUNTIF(RESTRICCIONES!$B$5:$B$304,A466))</f>
        <v/>
      </c>
      <c r="L466" s="16" t="str">
        <f aca="false">IF(A466="","",COUNTIFS(RESTRICCIONES!$B$5:$B$304,A466,RESTRICCIONES!$L$5:$L$304,"Pendiente"))</f>
        <v/>
      </c>
      <c r="M466" s="18" t="str">
        <f aca="false">IF(A466="","",IF(L466=0,"LISTA","RESTRINGIDA"))</f>
        <v/>
      </c>
      <c r="N466" s="51" t="str">
        <f aca="false">IF(OR(A466="",H466=""),"",IFERROR(MIN(1,SUMIF(SEMANAL!$C$7:$C$506,A466,SEMANAL!$W$7:$W$506)/H466),0))</f>
        <v/>
      </c>
      <c r="O466" s="57"/>
      <c r="P466" s="57"/>
      <c r="Q466" s="57"/>
      <c r="R466" s="57"/>
      <c r="S466" s="57"/>
      <c r="T466" s="57"/>
      <c r="U466" s="9"/>
    </row>
    <row r="467" customFormat="false" ht="15" hidden="false" customHeight="false" outlineLevel="0" collapsed="false">
      <c r="A467" s="9"/>
      <c r="B467" s="9"/>
      <c r="C467" s="16" t="str">
        <f aca="false">IF(B467="","",IFERROR(INDEX(EDT!$E$5:$E$436,MATCH(B467,EDT!$H$5:$H$436,0)),IFERROR(INDEX(CRONOGRAMA!$G$5:$G$5679,MATCH(A467,CRONOGRAMA!$A$5:$A$5679,0)),"Fuera EDT")))</f>
        <v/>
      </c>
      <c r="D467" s="16" t="str">
        <f aca="false">IF(C467="","",IFERROR(INDEX(MASTER!$B$19:$B$109,MATCH(C467,MASTER!$A$19:$A$109,0)),"Asignar fase"))</f>
        <v/>
      </c>
      <c r="E467" s="9"/>
      <c r="F467" s="9"/>
      <c r="G467" s="9"/>
      <c r="H467" s="56"/>
      <c r="I467" s="43"/>
      <c r="J467" s="43"/>
      <c r="K467" s="16" t="str">
        <f aca="false">IF(A467="","",COUNTIF(RESTRICCIONES!$B$5:$B$304,A467))</f>
        <v/>
      </c>
      <c r="L467" s="16" t="str">
        <f aca="false">IF(A467="","",COUNTIFS(RESTRICCIONES!$B$5:$B$304,A467,RESTRICCIONES!$L$5:$L$304,"Pendiente"))</f>
        <v/>
      </c>
      <c r="M467" s="18" t="str">
        <f aca="false">IF(A467="","",IF(L467=0,"LISTA","RESTRINGIDA"))</f>
        <v/>
      </c>
      <c r="N467" s="51" t="str">
        <f aca="false">IF(OR(A467="",H467=""),"",IFERROR(MIN(1,SUMIF(SEMANAL!$C$7:$C$506,A467,SEMANAL!$W$7:$W$506)/H467),0))</f>
        <v/>
      </c>
      <c r="O467" s="57"/>
      <c r="P467" s="57"/>
      <c r="Q467" s="57"/>
      <c r="R467" s="57"/>
      <c r="S467" s="57"/>
      <c r="T467" s="57"/>
      <c r="U467" s="9"/>
    </row>
    <row r="468" customFormat="false" ht="15" hidden="false" customHeight="false" outlineLevel="0" collapsed="false">
      <c r="A468" s="9"/>
      <c r="B468" s="9"/>
      <c r="C468" s="16" t="str">
        <f aca="false">IF(B468="","",IFERROR(INDEX(EDT!$E$5:$E$436,MATCH(B468,EDT!$H$5:$H$436,0)),IFERROR(INDEX(CRONOGRAMA!$G$5:$G$5679,MATCH(A468,CRONOGRAMA!$A$5:$A$5679,0)),"Fuera EDT")))</f>
        <v/>
      </c>
      <c r="D468" s="16" t="str">
        <f aca="false">IF(C468="","",IFERROR(INDEX(MASTER!$B$19:$B$109,MATCH(C468,MASTER!$A$19:$A$109,0)),"Asignar fase"))</f>
        <v/>
      </c>
      <c r="E468" s="9"/>
      <c r="F468" s="9"/>
      <c r="G468" s="9"/>
      <c r="H468" s="56"/>
      <c r="I468" s="43"/>
      <c r="J468" s="43"/>
      <c r="K468" s="16" t="str">
        <f aca="false">IF(A468="","",COUNTIF(RESTRICCIONES!$B$5:$B$304,A468))</f>
        <v/>
      </c>
      <c r="L468" s="16" t="str">
        <f aca="false">IF(A468="","",COUNTIFS(RESTRICCIONES!$B$5:$B$304,A468,RESTRICCIONES!$L$5:$L$304,"Pendiente"))</f>
        <v/>
      </c>
      <c r="M468" s="18" t="str">
        <f aca="false">IF(A468="","",IF(L468=0,"LISTA","RESTRINGIDA"))</f>
        <v/>
      </c>
      <c r="N468" s="51" t="str">
        <f aca="false">IF(OR(A468="",H468=""),"",IFERROR(MIN(1,SUMIF(SEMANAL!$C$7:$C$506,A468,SEMANAL!$W$7:$W$506)/H468),0))</f>
        <v/>
      </c>
      <c r="O468" s="57"/>
      <c r="P468" s="57"/>
      <c r="Q468" s="57"/>
      <c r="R468" s="57"/>
      <c r="S468" s="57"/>
      <c r="T468" s="57"/>
      <c r="U468" s="9"/>
    </row>
    <row r="469" customFormat="false" ht="15" hidden="false" customHeight="false" outlineLevel="0" collapsed="false">
      <c r="A469" s="9"/>
      <c r="B469" s="9"/>
      <c r="C469" s="16" t="str">
        <f aca="false">IF(B469="","",IFERROR(INDEX(EDT!$E$5:$E$436,MATCH(B469,EDT!$H$5:$H$436,0)),IFERROR(INDEX(CRONOGRAMA!$G$5:$G$5679,MATCH(A469,CRONOGRAMA!$A$5:$A$5679,0)),"Fuera EDT")))</f>
        <v/>
      </c>
      <c r="D469" s="16" t="str">
        <f aca="false">IF(C469="","",IFERROR(INDEX(MASTER!$B$19:$B$109,MATCH(C469,MASTER!$A$19:$A$109,0)),"Asignar fase"))</f>
        <v/>
      </c>
      <c r="E469" s="9"/>
      <c r="F469" s="9"/>
      <c r="G469" s="9"/>
      <c r="H469" s="56"/>
      <c r="I469" s="43"/>
      <c r="J469" s="43"/>
      <c r="K469" s="16" t="str">
        <f aca="false">IF(A469="","",COUNTIF(RESTRICCIONES!$B$5:$B$304,A469))</f>
        <v/>
      </c>
      <c r="L469" s="16" t="str">
        <f aca="false">IF(A469="","",COUNTIFS(RESTRICCIONES!$B$5:$B$304,A469,RESTRICCIONES!$L$5:$L$304,"Pendiente"))</f>
        <v/>
      </c>
      <c r="M469" s="18" t="str">
        <f aca="false">IF(A469="","",IF(L469=0,"LISTA","RESTRINGIDA"))</f>
        <v/>
      </c>
      <c r="N469" s="51" t="str">
        <f aca="false">IF(OR(A469="",H469=""),"",IFERROR(MIN(1,SUMIF(SEMANAL!$C$7:$C$506,A469,SEMANAL!$W$7:$W$506)/H469),0))</f>
        <v/>
      </c>
      <c r="O469" s="57"/>
      <c r="P469" s="57"/>
      <c r="Q469" s="57"/>
      <c r="R469" s="57"/>
      <c r="S469" s="57"/>
      <c r="T469" s="57"/>
      <c r="U469" s="9"/>
    </row>
    <row r="470" customFormat="false" ht="15" hidden="false" customHeight="false" outlineLevel="0" collapsed="false">
      <c r="A470" s="9"/>
      <c r="B470" s="9"/>
      <c r="C470" s="16" t="str">
        <f aca="false">IF(B470="","",IFERROR(INDEX(EDT!$E$5:$E$436,MATCH(B470,EDT!$H$5:$H$436,0)),IFERROR(INDEX(CRONOGRAMA!$G$5:$G$5679,MATCH(A470,CRONOGRAMA!$A$5:$A$5679,0)),"Fuera EDT")))</f>
        <v/>
      </c>
      <c r="D470" s="16" t="str">
        <f aca="false">IF(C470="","",IFERROR(INDEX(MASTER!$B$19:$B$109,MATCH(C470,MASTER!$A$19:$A$109,0)),"Asignar fase"))</f>
        <v/>
      </c>
      <c r="E470" s="9"/>
      <c r="F470" s="9"/>
      <c r="G470" s="9"/>
      <c r="H470" s="56"/>
      <c r="I470" s="43"/>
      <c r="J470" s="43"/>
      <c r="K470" s="16" t="str">
        <f aca="false">IF(A470="","",COUNTIF(RESTRICCIONES!$B$5:$B$304,A470))</f>
        <v/>
      </c>
      <c r="L470" s="16" t="str">
        <f aca="false">IF(A470="","",COUNTIFS(RESTRICCIONES!$B$5:$B$304,A470,RESTRICCIONES!$L$5:$L$304,"Pendiente"))</f>
        <v/>
      </c>
      <c r="M470" s="18" t="str">
        <f aca="false">IF(A470="","",IF(L470=0,"LISTA","RESTRINGIDA"))</f>
        <v/>
      </c>
      <c r="N470" s="51" t="str">
        <f aca="false">IF(OR(A470="",H470=""),"",IFERROR(MIN(1,SUMIF(SEMANAL!$C$7:$C$506,A470,SEMANAL!$W$7:$W$506)/H470),0))</f>
        <v/>
      </c>
      <c r="O470" s="57"/>
      <c r="P470" s="57"/>
      <c r="Q470" s="57"/>
      <c r="R470" s="57"/>
      <c r="S470" s="57"/>
      <c r="T470" s="57"/>
      <c r="U470" s="9"/>
    </row>
    <row r="471" customFormat="false" ht="15" hidden="false" customHeight="false" outlineLevel="0" collapsed="false">
      <c r="A471" s="9"/>
      <c r="B471" s="9"/>
      <c r="C471" s="16" t="str">
        <f aca="false">IF(B471="","",IFERROR(INDEX(EDT!$E$5:$E$436,MATCH(B471,EDT!$H$5:$H$436,0)),IFERROR(INDEX(CRONOGRAMA!$G$5:$G$5679,MATCH(A471,CRONOGRAMA!$A$5:$A$5679,0)),"Fuera EDT")))</f>
        <v/>
      </c>
      <c r="D471" s="16" t="str">
        <f aca="false">IF(C471="","",IFERROR(INDEX(MASTER!$B$19:$B$109,MATCH(C471,MASTER!$A$19:$A$109,0)),"Asignar fase"))</f>
        <v/>
      </c>
      <c r="E471" s="9"/>
      <c r="F471" s="9"/>
      <c r="G471" s="9"/>
      <c r="H471" s="56"/>
      <c r="I471" s="43"/>
      <c r="J471" s="43"/>
      <c r="K471" s="16" t="str">
        <f aca="false">IF(A471="","",COUNTIF(RESTRICCIONES!$B$5:$B$304,A471))</f>
        <v/>
      </c>
      <c r="L471" s="16" t="str">
        <f aca="false">IF(A471="","",COUNTIFS(RESTRICCIONES!$B$5:$B$304,A471,RESTRICCIONES!$L$5:$L$304,"Pendiente"))</f>
        <v/>
      </c>
      <c r="M471" s="18" t="str">
        <f aca="false">IF(A471="","",IF(L471=0,"LISTA","RESTRINGIDA"))</f>
        <v/>
      </c>
      <c r="N471" s="51" t="str">
        <f aca="false">IF(OR(A471="",H471=""),"",IFERROR(MIN(1,SUMIF(SEMANAL!$C$7:$C$506,A471,SEMANAL!$W$7:$W$506)/H471),0))</f>
        <v/>
      </c>
      <c r="O471" s="57"/>
      <c r="P471" s="57"/>
      <c r="Q471" s="57"/>
      <c r="R471" s="57"/>
      <c r="S471" s="57"/>
      <c r="T471" s="57"/>
      <c r="U471" s="9"/>
    </row>
    <row r="472" customFormat="false" ht="15" hidden="false" customHeight="false" outlineLevel="0" collapsed="false">
      <c r="A472" s="9"/>
      <c r="B472" s="9"/>
      <c r="C472" s="16" t="str">
        <f aca="false">IF(B472="","",IFERROR(INDEX(EDT!$E$5:$E$436,MATCH(B472,EDT!$H$5:$H$436,0)),IFERROR(INDEX(CRONOGRAMA!$G$5:$G$5679,MATCH(A472,CRONOGRAMA!$A$5:$A$5679,0)),"Fuera EDT")))</f>
        <v/>
      </c>
      <c r="D472" s="16" t="str">
        <f aca="false">IF(C472="","",IFERROR(INDEX(MASTER!$B$19:$B$109,MATCH(C472,MASTER!$A$19:$A$109,0)),"Asignar fase"))</f>
        <v/>
      </c>
      <c r="E472" s="9"/>
      <c r="F472" s="9"/>
      <c r="G472" s="9"/>
      <c r="H472" s="56"/>
      <c r="I472" s="43"/>
      <c r="J472" s="43"/>
      <c r="K472" s="16" t="str">
        <f aca="false">IF(A472="","",COUNTIF(RESTRICCIONES!$B$5:$B$304,A472))</f>
        <v/>
      </c>
      <c r="L472" s="16" t="str">
        <f aca="false">IF(A472="","",COUNTIFS(RESTRICCIONES!$B$5:$B$304,A472,RESTRICCIONES!$L$5:$L$304,"Pendiente"))</f>
        <v/>
      </c>
      <c r="M472" s="18" t="str">
        <f aca="false">IF(A472="","",IF(L472=0,"LISTA","RESTRINGIDA"))</f>
        <v/>
      </c>
      <c r="N472" s="51" t="str">
        <f aca="false">IF(OR(A472="",H472=""),"",IFERROR(MIN(1,SUMIF(SEMANAL!$C$7:$C$506,A472,SEMANAL!$W$7:$W$506)/H472),0))</f>
        <v/>
      </c>
      <c r="O472" s="57"/>
      <c r="P472" s="57"/>
      <c r="Q472" s="57"/>
      <c r="R472" s="57"/>
      <c r="S472" s="57"/>
      <c r="T472" s="57"/>
      <c r="U472" s="9"/>
    </row>
    <row r="473" customFormat="false" ht="15" hidden="false" customHeight="false" outlineLevel="0" collapsed="false">
      <c r="A473" s="9"/>
      <c r="B473" s="9"/>
      <c r="C473" s="16" t="str">
        <f aca="false">IF(B473="","",IFERROR(INDEX(EDT!$E$5:$E$436,MATCH(B473,EDT!$H$5:$H$436,0)),IFERROR(INDEX(CRONOGRAMA!$G$5:$G$5679,MATCH(A473,CRONOGRAMA!$A$5:$A$5679,0)),"Fuera EDT")))</f>
        <v/>
      </c>
      <c r="D473" s="16" t="str">
        <f aca="false">IF(C473="","",IFERROR(INDEX(MASTER!$B$19:$B$109,MATCH(C473,MASTER!$A$19:$A$109,0)),"Asignar fase"))</f>
        <v/>
      </c>
      <c r="E473" s="9"/>
      <c r="F473" s="9"/>
      <c r="G473" s="9"/>
      <c r="H473" s="56"/>
      <c r="I473" s="43"/>
      <c r="J473" s="43"/>
      <c r="K473" s="16" t="str">
        <f aca="false">IF(A473="","",COUNTIF(RESTRICCIONES!$B$5:$B$304,A473))</f>
        <v/>
      </c>
      <c r="L473" s="16" t="str">
        <f aca="false">IF(A473="","",COUNTIFS(RESTRICCIONES!$B$5:$B$304,A473,RESTRICCIONES!$L$5:$L$304,"Pendiente"))</f>
        <v/>
      </c>
      <c r="M473" s="18" t="str">
        <f aca="false">IF(A473="","",IF(L473=0,"LISTA","RESTRINGIDA"))</f>
        <v/>
      </c>
      <c r="N473" s="51" t="str">
        <f aca="false">IF(OR(A473="",H473=""),"",IFERROR(MIN(1,SUMIF(SEMANAL!$C$7:$C$506,A473,SEMANAL!$W$7:$W$506)/H473),0))</f>
        <v/>
      </c>
      <c r="O473" s="57"/>
      <c r="P473" s="57"/>
      <c r="Q473" s="57"/>
      <c r="R473" s="57"/>
      <c r="S473" s="57"/>
      <c r="T473" s="57"/>
      <c r="U473" s="9"/>
    </row>
    <row r="474" customFormat="false" ht="15" hidden="false" customHeight="false" outlineLevel="0" collapsed="false">
      <c r="A474" s="9"/>
      <c r="B474" s="9"/>
      <c r="C474" s="16" t="str">
        <f aca="false">IF(B474="","",IFERROR(INDEX(EDT!$E$5:$E$436,MATCH(B474,EDT!$H$5:$H$436,0)),IFERROR(INDEX(CRONOGRAMA!$G$5:$G$5679,MATCH(A474,CRONOGRAMA!$A$5:$A$5679,0)),"Fuera EDT")))</f>
        <v/>
      </c>
      <c r="D474" s="16" t="str">
        <f aca="false">IF(C474="","",IFERROR(INDEX(MASTER!$B$19:$B$109,MATCH(C474,MASTER!$A$19:$A$109,0)),"Asignar fase"))</f>
        <v/>
      </c>
      <c r="E474" s="9"/>
      <c r="F474" s="9"/>
      <c r="G474" s="9"/>
      <c r="H474" s="56"/>
      <c r="I474" s="43"/>
      <c r="J474" s="43"/>
      <c r="K474" s="16" t="str">
        <f aca="false">IF(A474="","",COUNTIF(RESTRICCIONES!$B$5:$B$304,A474))</f>
        <v/>
      </c>
      <c r="L474" s="16" t="str">
        <f aca="false">IF(A474="","",COUNTIFS(RESTRICCIONES!$B$5:$B$304,A474,RESTRICCIONES!$L$5:$L$304,"Pendiente"))</f>
        <v/>
      </c>
      <c r="M474" s="18" t="str">
        <f aca="false">IF(A474="","",IF(L474=0,"LISTA","RESTRINGIDA"))</f>
        <v/>
      </c>
      <c r="N474" s="51" t="str">
        <f aca="false">IF(OR(A474="",H474=""),"",IFERROR(MIN(1,SUMIF(SEMANAL!$C$7:$C$506,A474,SEMANAL!$W$7:$W$506)/H474),0))</f>
        <v/>
      </c>
      <c r="O474" s="57"/>
      <c r="P474" s="57"/>
      <c r="Q474" s="57"/>
      <c r="R474" s="57"/>
      <c r="S474" s="57"/>
      <c r="T474" s="57"/>
      <c r="U474" s="9"/>
    </row>
    <row r="475" customFormat="false" ht="15" hidden="false" customHeight="false" outlineLevel="0" collapsed="false">
      <c r="A475" s="9"/>
      <c r="B475" s="9"/>
      <c r="C475" s="16" t="str">
        <f aca="false">IF(B475="","",IFERROR(INDEX(EDT!$E$5:$E$436,MATCH(B475,EDT!$H$5:$H$436,0)),IFERROR(INDEX(CRONOGRAMA!$G$5:$G$5679,MATCH(A475,CRONOGRAMA!$A$5:$A$5679,0)),"Fuera EDT")))</f>
        <v/>
      </c>
      <c r="D475" s="16" t="str">
        <f aca="false">IF(C475="","",IFERROR(INDEX(MASTER!$B$19:$B$109,MATCH(C475,MASTER!$A$19:$A$109,0)),"Asignar fase"))</f>
        <v/>
      </c>
      <c r="E475" s="9"/>
      <c r="F475" s="9"/>
      <c r="G475" s="9"/>
      <c r="H475" s="56"/>
      <c r="I475" s="43"/>
      <c r="J475" s="43"/>
      <c r="K475" s="16" t="str">
        <f aca="false">IF(A475="","",COUNTIF(RESTRICCIONES!$B$5:$B$304,A475))</f>
        <v/>
      </c>
      <c r="L475" s="16" t="str">
        <f aca="false">IF(A475="","",COUNTIFS(RESTRICCIONES!$B$5:$B$304,A475,RESTRICCIONES!$L$5:$L$304,"Pendiente"))</f>
        <v/>
      </c>
      <c r="M475" s="18" t="str">
        <f aca="false">IF(A475="","",IF(L475=0,"LISTA","RESTRINGIDA"))</f>
        <v/>
      </c>
      <c r="N475" s="51" t="str">
        <f aca="false">IF(OR(A475="",H475=""),"",IFERROR(MIN(1,SUMIF(SEMANAL!$C$7:$C$506,A475,SEMANAL!$W$7:$W$506)/H475),0))</f>
        <v/>
      </c>
      <c r="O475" s="57"/>
      <c r="P475" s="57"/>
      <c r="Q475" s="57"/>
      <c r="R475" s="57"/>
      <c r="S475" s="57"/>
      <c r="T475" s="57"/>
      <c r="U475" s="9"/>
    </row>
    <row r="476" customFormat="false" ht="15" hidden="false" customHeight="false" outlineLevel="0" collapsed="false">
      <c r="A476" s="9"/>
      <c r="B476" s="9"/>
      <c r="C476" s="16" t="str">
        <f aca="false">IF(B476="","",IFERROR(INDEX(EDT!$E$5:$E$436,MATCH(B476,EDT!$H$5:$H$436,0)),IFERROR(INDEX(CRONOGRAMA!$G$5:$G$5679,MATCH(A476,CRONOGRAMA!$A$5:$A$5679,0)),"Fuera EDT")))</f>
        <v/>
      </c>
      <c r="D476" s="16" t="str">
        <f aca="false">IF(C476="","",IFERROR(INDEX(MASTER!$B$19:$B$109,MATCH(C476,MASTER!$A$19:$A$109,0)),"Asignar fase"))</f>
        <v/>
      </c>
      <c r="E476" s="9"/>
      <c r="F476" s="9"/>
      <c r="G476" s="9"/>
      <c r="H476" s="56"/>
      <c r="I476" s="43"/>
      <c r="J476" s="43"/>
      <c r="K476" s="16" t="str">
        <f aca="false">IF(A476="","",COUNTIF(RESTRICCIONES!$B$5:$B$304,A476))</f>
        <v/>
      </c>
      <c r="L476" s="16" t="str">
        <f aca="false">IF(A476="","",COUNTIFS(RESTRICCIONES!$B$5:$B$304,A476,RESTRICCIONES!$L$5:$L$304,"Pendiente"))</f>
        <v/>
      </c>
      <c r="M476" s="18" t="str">
        <f aca="false">IF(A476="","",IF(L476=0,"LISTA","RESTRINGIDA"))</f>
        <v/>
      </c>
      <c r="N476" s="51" t="str">
        <f aca="false">IF(OR(A476="",H476=""),"",IFERROR(MIN(1,SUMIF(SEMANAL!$C$7:$C$506,A476,SEMANAL!$W$7:$W$506)/H476),0))</f>
        <v/>
      </c>
      <c r="O476" s="57"/>
      <c r="P476" s="57"/>
      <c r="Q476" s="57"/>
      <c r="R476" s="57"/>
      <c r="S476" s="57"/>
      <c r="T476" s="57"/>
      <c r="U476" s="9"/>
    </row>
    <row r="477" customFormat="false" ht="15" hidden="false" customHeight="false" outlineLevel="0" collapsed="false">
      <c r="A477" s="9"/>
      <c r="B477" s="9"/>
      <c r="C477" s="16" t="str">
        <f aca="false">IF(B477="","",IFERROR(INDEX(EDT!$E$5:$E$436,MATCH(B477,EDT!$H$5:$H$436,0)),IFERROR(INDEX(CRONOGRAMA!$G$5:$G$5679,MATCH(A477,CRONOGRAMA!$A$5:$A$5679,0)),"Fuera EDT")))</f>
        <v/>
      </c>
      <c r="D477" s="16" t="str">
        <f aca="false">IF(C477="","",IFERROR(INDEX(MASTER!$B$19:$B$109,MATCH(C477,MASTER!$A$19:$A$109,0)),"Asignar fase"))</f>
        <v/>
      </c>
      <c r="E477" s="9"/>
      <c r="F477" s="9"/>
      <c r="G477" s="9"/>
      <c r="H477" s="56"/>
      <c r="I477" s="43"/>
      <c r="J477" s="43"/>
      <c r="K477" s="16" t="str">
        <f aca="false">IF(A477="","",COUNTIF(RESTRICCIONES!$B$5:$B$304,A477))</f>
        <v/>
      </c>
      <c r="L477" s="16" t="str">
        <f aca="false">IF(A477="","",COUNTIFS(RESTRICCIONES!$B$5:$B$304,A477,RESTRICCIONES!$L$5:$L$304,"Pendiente"))</f>
        <v/>
      </c>
      <c r="M477" s="18" t="str">
        <f aca="false">IF(A477="","",IF(L477=0,"LISTA","RESTRINGIDA"))</f>
        <v/>
      </c>
      <c r="N477" s="51" t="str">
        <f aca="false">IF(OR(A477="",H477=""),"",IFERROR(MIN(1,SUMIF(SEMANAL!$C$7:$C$506,A477,SEMANAL!$W$7:$W$506)/H477),0))</f>
        <v/>
      </c>
      <c r="O477" s="57"/>
      <c r="P477" s="57"/>
      <c r="Q477" s="57"/>
      <c r="R477" s="57"/>
      <c r="S477" s="57"/>
      <c r="T477" s="57"/>
      <c r="U477" s="9"/>
    </row>
    <row r="478" customFormat="false" ht="15" hidden="false" customHeight="false" outlineLevel="0" collapsed="false">
      <c r="A478" s="9"/>
      <c r="B478" s="9"/>
      <c r="C478" s="16" t="str">
        <f aca="false">IF(B478="","",IFERROR(INDEX(EDT!$E$5:$E$436,MATCH(B478,EDT!$H$5:$H$436,0)),IFERROR(INDEX(CRONOGRAMA!$G$5:$G$5679,MATCH(A478,CRONOGRAMA!$A$5:$A$5679,0)),"Fuera EDT")))</f>
        <v/>
      </c>
      <c r="D478" s="16" t="str">
        <f aca="false">IF(C478="","",IFERROR(INDEX(MASTER!$B$19:$B$109,MATCH(C478,MASTER!$A$19:$A$109,0)),"Asignar fase"))</f>
        <v/>
      </c>
      <c r="E478" s="9"/>
      <c r="F478" s="9"/>
      <c r="G478" s="9"/>
      <c r="H478" s="56"/>
      <c r="I478" s="43"/>
      <c r="J478" s="43"/>
      <c r="K478" s="16" t="str">
        <f aca="false">IF(A478="","",COUNTIF(RESTRICCIONES!$B$5:$B$304,A478))</f>
        <v/>
      </c>
      <c r="L478" s="16" t="str">
        <f aca="false">IF(A478="","",COUNTIFS(RESTRICCIONES!$B$5:$B$304,A478,RESTRICCIONES!$L$5:$L$304,"Pendiente"))</f>
        <v/>
      </c>
      <c r="M478" s="18" t="str">
        <f aca="false">IF(A478="","",IF(L478=0,"LISTA","RESTRINGIDA"))</f>
        <v/>
      </c>
      <c r="N478" s="51" t="str">
        <f aca="false">IF(OR(A478="",H478=""),"",IFERROR(MIN(1,SUMIF(SEMANAL!$C$7:$C$506,A478,SEMANAL!$W$7:$W$506)/H478),0))</f>
        <v/>
      </c>
      <c r="O478" s="57"/>
      <c r="P478" s="57"/>
      <c r="Q478" s="57"/>
      <c r="R478" s="57"/>
      <c r="S478" s="57"/>
      <c r="T478" s="57"/>
      <c r="U478" s="9"/>
    </row>
    <row r="479" customFormat="false" ht="15" hidden="false" customHeight="false" outlineLevel="0" collapsed="false">
      <c r="A479" s="9"/>
      <c r="B479" s="9"/>
      <c r="C479" s="16" t="str">
        <f aca="false">IF(B479="","",IFERROR(INDEX(EDT!$E$5:$E$436,MATCH(B479,EDT!$H$5:$H$436,0)),IFERROR(INDEX(CRONOGRAMA!$G$5:$G$5679,MATCH(A479,CRONOGRAMA!$A$5:$A$5679,0)),"Fuera EDT")))</f>
        <v/>
      </c>
      <c r="D479" s="16" t="str">
        <f aca="false">IF(C479="","",IFERROR(INDEX(MASTER!$B$19:$B$109,MATCH(C479,MASTER!$A$19:$A$109,0)),"Asignar fase"))</f>
        <v/>
      </c>
      <c r="E479" s="9"/>
      <c r="F479" s="9"/>
      <c r="G479" s="9"/>
      <c r="H479" s="56"/>
      <c r="I479" s="43"/>
      <c r="J479" s="43"/>
      <c r="K479" s="16" t="str">
        <f aca="false">IF(A479="","",COUNTIF(RESTRICCIONES!$B$5:$B$304,A479))</f>
        <v/>
      </c>
      <c r="L479" s="16" t="str">
        <f aca="false">IF(A479="","",COUNTIFS(RESTRICCIONES!$B$5:$B$304,A479,RESTRICCIONES!$L$5:$L$304,"Pendiente"))</f>
        <v/>
      </c>
      <c r="M479" s="18" t="str">
        <f aca="false">IF(A479="","",IF(L479=0,"LISTA","RESTRINGIDA"))</f>
        <v/>
      </c>
      <c r="N479" s="51" t="str">
        <f aca="false">IF(OR(A479="",H479=""),"",IFERROR(MIN(1,SUMIF(SEMANAL!$C$7:$C$506,A479,SEMANAL!$W$7:$W$506)/H479),0))</f>
        <v/>
      </c>
      <c r="O479" s="57"/>
      <c r="P479" s="57"/>
      <c r="Q479" s="57"/>
      <c r="R479" s="57"/>
      <c r="S479" s="57"/>
      <c r="T479" s="57"/>
      <c r="U479" s="9"/>
    </row>
    <row r="480" customFormat="false" ht="15" hidden="false" customHeight="false" outlineLevel="0" collapsed="false">
      <c r="A480" s="9"/>
      <c r="B480" s="9"/>
      <c r="C480" s="16" t="str">
        <f aca="false">IF(B480="","",IFERROR(INDEX(EDT!$E$5:$E$436,MATCH(B480,EDT!$H$5:$H$436,0)),IFERROR(INDEX(CRONOGRAMA!$G$5:$G$5679,MATCH(A480,CRONOGRAMA!$A$5:$A$5679,0)),"Fuera EDT")))</f>
        <v/>
      </c>
      <c r="D480" s="16" t="str">
        <f aca="false">IF(C480="","",IFERROR(INDEX(MASTER!$B$19:$B$109,MATCH(C480,MASTER!$A$19:$A$109,0)),"Asignar fase"))</f>
        <v/>
      </c>
      <c r="E480" s="9"/>
      <c r="F480" s="9"/>
      <c r="G480" s="9"/>
      <c r="H480" s="56"/>
      <c r="I480" s="43"/>
      <c r="J480" s="43"/>
      <c r="K480" s="16" t="str">
        <f aca="false">IF(A480="","",COUNTIF(RESTRICCIONES!$B$5:$B$304,A480))</f>
        <v/>
      </c>
      <c r="L480" s="16" t="str">
        <f aca="false">IF(A480="","",COUNTIFS(RESTRICCIONES!$B$5:$B$304,A480,RESTRICCIONES!$L$5:$L$304,"Pendiente"))</f>
        <v/>
      </c>
      <c r="M480" s="18" t="str">
        <f aca="false">IF(A480="","",IF(L480=0,"LISTA","RESTRINGIDA"))</f>
        <v/>
      </c>
      <c r="N480" s="51" t="str">
        <f aca="false">IF(OR(A480="",H480=""),"",IFERROR(MIN(1,SUMIF(SEMANAL!$C$7:$C$506,A480,SEMANAL!$W$7:$W$506)/H480),0))</f>
        <v/>
      </c>
      <c r="O480" s="57"/>
      <c r="P480" s="57"/>
      <c r="Q480" s="57"/>
      <c r="R480" s="57"/>
      <c r="S480" s="57"/>
      <c r="T480" s="57"/>
      <c r="U480" s="9"/>
    </row>
    <row r="481" customFormat="false" ht="15" hidden="false" customHeight="false" outlineLevel="0" collapsed="false">
      <c r="A481" s="9"/>
      <c r="B481" s="9"/>
      <c r="C481" s="16" t="str">
        <f aca="false">IF(B481="","",IFERROR(INDEX(EDT!$E$5:$E$436,MATCH(B481,EDT!$H$5:$H$436,0)),IFERROR(INDEX(CRONOGRAMA!$G$5:$G$5679,MATCH(A481,CRONOGRAMA!$A$5:$A$5679,0)),"Fuera EDT")))</f>
        <v/>
      </c>
      <c r="D481" s="16" t="str">
        <f aca="false">IF(C481="","",IFERROR(INDEX(MASTER!$B$19:$B$109,MATCH(C481,MASTER!$A$19:$A$109,0)),"Asignar fase"))</f>
        <v/>
      </c>
      <c r="E481" s="9"/>
      <c r="F481" s="9"/>
      <c r="G481" s="9"/>
      <c r="H481" s="56"/>
      <c r="I481" s="43"/>
      <c r="J481" s="43"/>
      <c r="K481" s="16" t="str">
        <f aca="false">IF(A481="","",COUNTIF(RESTRICCIONES!$B$5:$B$304,A481))</f>
        <v/>
      </c>
      <c r="L481" s="16" t="str">
        <f aca="false">IF(A481="","",COUNTIFS(RESTRICCIONES!$B$5:$B$304,A481,RESTRICCIONES!$L$5:$L$304,"Pendiente"))</f>
        <v/>
      </c>
      <c r="M481" s="18" t="str">
        <f aca="false">IF(A481="","",IF(L481=0,"LISTA","RESTRINGIDA"))</f>
        <v/>
      </c>
      <c r="N481" s="51" t="str">
        <f aca="false">IF(OR(A481="",H481=""),"",IFERROR(MIN(1,SUMIF(SEMANAL!$C$7:$C$506,A481,SEMANAL!$W$7:$W$506)/H481),0))</f>
        <v/>
      </c>
      <c r="O481" s="57"/>
      <c r="P481" s="57"/>
      <c r="Q481" s="57"/>
      <c r="R481" s="57"/>
      <c r="S481" s="57"/>
      <c r="T481" s="57"/>
      <c r="U481" s="9"/>
    </row>
    <row r="482" customFormat="false" ht="15" hidden="false" customHeight="false" outlineLevel="0" collapsed="false">
      <c r="A482" s="9"/>
      <c r="B482" s="9"/>
      <c r="C482" s="16" t="str">
        <f aca="false">IF(B482="","",IFERROR(INDEX(EDT!$E$5:$E$436,MATCH(B482,EDT!$H$5:$H$436,0)),IFERROR(INDEX(CRONOGRAMA!$G$5:$G$5679,MATCH(A482,CRONOGRAMA!$A$5:$A$5679,0)),"Fuera EDT")))</f>
        <v/>
      </c>
      <c r="D482" s="16" t="str">
        <f aca="false">IF(C482="","",IFERROR(INDEX(MASTER!$B$19:$B$109,MATCH(C482,MASTER!$A$19:$A$109,0)),"Asignar fase"))</f>
        <v/>
      </c>
      <c r="E482" s="9"/>
      <c r="F482" s="9"/>
      <c r="G482" s="9"/>
      <c r="H482" s="56"/>
      <c r="I482" s="43"/>
      <c r="J482" s="43"/>
      <c r="K482" s="16" t="str">
        <f aca="false">IF(A482="","",COUNTIF(RESTRICCIONES!$B$5:$B$304,A482))</f>
        <v/>
      </c>
      <c r="L482" s="16" t="str">
        <f aca="false">IF(A482="","",COUNTIFS(RESTRICCIONES!$B$5:$B$304,A482,RESTRICCIONES!$L$5:$L$304,"Pendiente"))</f>
        <v/>
      </c>
      <c r="M482" s="18" t="str">
        <f aca="false">IF(A482="","",IF(L482=0,"LISTA","RESTRINGIDA"))</f>
        <v/>
      </c>
      <c r="N482" s="51" t="str">
        <f aca="false">IF(OR(A482="",H482=""),"",IFERROR(MIN(1,SUMIF(SEMANAL!$C$7:$C$506,A482,SEMANAL!$W$7:$W$506)/H482),0))</f>
        <v/>
      </c>
      <c r="O482" s="57"/>
      <c r="P482" s="57"/>
      <c r="Q482" s="57"/>
      <c r="R482" s="57"/>
      <c r="S482" s="57"/>
      <c r="T482" s="57"/>
      <c r="U482" s="9"/>
    </row>
    <row r="483" customFormat="false" ht="15" hidden="false" customHeight="false" outlineLevel="0" collapsed="false">
      <c r="A483" s="9"/>
      <c r="B483" s="9"/>
      <c r="C483" s="16" t="str">
        <f aca="false">IF(B483="","",IFERROR(INDEX(EDT!$E$5:$E$436,MATCH(B483,EDT!$H$5:$H$436,0)),IFERROR(INDEX(CRONOGRAMA!$G$5:$G$5679,MATCH(A483,CRONOGRAMA!$A$5:$A$5679,0)),"Fuera EDT")))</f>
        <v/>
      </c>
      <c r="D483" s="16" t="str">
        <f aca="false">IF(C483="","",IFERROR(INDEX(MASTER!$B$19:$B$109,MATCH(C483,MASTER!$A$19:$A$109,0)),"Asignar fase"))</f>
        <v/>
      </c>
      <c r="E483" s="9"/>
      <c r="F483" s="9"/>
      <c r="G483" s="9"/>
      <c r="H483" s="56"/>
      <c r="I483" s="43"/>
      <c r="J483" s="43"/>
      <c r="K483" s="16" t="str">
        <f aca="false">IF(A483="","",COUNTIF(RESTRICCIONES!$B$5:$B$304,A483))</f>
        <v/>
      </c>
      <c r="L483" s="16" t="str">
        <f aca="false">IF(A483="","",COUNTIFS(RESTRICCIONES!$B$5:$B$304,A483,RESTRICCIONES!$L$5:$L$304,"Pendiente"))</f>
        <v/>
      </c>
      <c r="M483" s="18" t="str">
        <f aca="false">IF(A483="","",IF(L483=0,"LISTA","RESTRINGIDA"))</f>
        <v/>
      </c>
      <c r="N483" s="51" t="str">
        <f aca="false">IF(OR(A483="",H483=""),"",IFERROR(MIN(1,SUMIF(SEMANAL!$C$7:$C$506,A483,SEMANAL!$W$7:$W$506)/H483),0))</f>
        <v/>
      </c>
      <c r="O483" s="57"/>
      <c r="P483" s="57"/>
      <c r="Q483" s="57"/>
      <c r="R483" s="57"/>
      <c r="S483" s="57"/>
      <c r="T483" s="57"/>
      <c r="U483" s="9"/>
    </row>
    <row r="484" customFormat="false" ht="15" hidden="false" customHeight="false" outlineLevel="0" collapsed="false">
      <c r="A484" s="9"/>
      <c r="B484" s="9"/>
      <c r="C484" s="16" t="str">
        <f aca="false">IF(B484="","",IFERROR(INDEX(EDT!$E$5:$E$436,MATCH(B484,EDT!$H$5:$H$436,0)),IFERROR(INDEX(CRONOGRAMA!$G$5:$G$5679,MATCH(A484,CRONOGRAMA!$A$5:$A$5679,0)),"Fuera EDT")))</f>
        <v/>
      </c>
      <c r="D484" s="16" t="str">
        <f aca="false">IF(C484="","",IFERROR(INDEX(MASTER!$B$19:$B$109,MATCH(C484,MASTER!$A$19:$A$109,0)),"Asignar fase"))</f>
        <v/>
      </c>
      <c r="E484" s="9"/>
      <c r="F484" s="9"/>
      <c r="G484" s="9"/>
      <c r="H484" s="56"/>
      <c r="I484" s="43"/>
      <c r="J484" s="43"/>
      <c r="K484" s="16" t="str">
        <f aca="false">IF(A484="","",COUNTIF(RESTRICCIONES!$B$5:$B$304,A484))</f>
        <v/>
      </c>
      <c r="L484" s="16" t="str">
        <f aca="false">IF(A484="","",COUNTIFS(RESTRICCIONES!$B$5:$B$304,A484,RESTRICCIONES!$L$5:$L$304,"Pendiente"))</f>
        <v/>
      </c>
      <c r="M484" s="18" t="str">
        <f aca="false">IF(A484="","",IF(L484=0,"LISTA","RESTRINGIDA"))</f>
        <v/>
      </c>
      <c r="N484" s="51" t="str">
        <f aca="false">IF(OR(A484="",H484=""),"",IFERROR(MIN(1,SUMIF(SEMANAL!$C$7:$C$506,A484,SEMANAL!$W$7:$W$506)/H484),0))</f>
        <v/>
      </c>
      <c r="O484" s="57"/>
      <c r="P484" s="57"/>
      <c r="Q484" s="57"/>
      <c r="R484" s="57"/>
      <c r="S484" s="57"/>
      <c r="T484" s="57"/>
      <c r="U484" s="9"/>
    </row>
    <row r="485" customFormat="false" ht="15" hidden="false" customHeight="false" outlineLevel="0" collapsed="false">
      <c r="A485" s="9"/>
      <c r="B485" s="9"/>
      <c r="C485" s="16" t="str">
        <f aca="false">IF(B485="","",IFERROR(INDEX(EDT!$E$5:$E$436,MATCH(B485,EDT!$H$5:$H$436,0)),IFERROR(INDEX(CRONOGRAMA!$G$5:$G$5679,MATCH(A485,CRONOGRAMA!$A$5:$A$5679,0)),"Fuera EDT")))</f>
        <v/>
      </c>
      <c r="D485" s="16" t="str">
        <f aca="false">IF(C485="","",IFERROR(INDEX(MASTER!$B$19:$B$109,MATCH(C485,MASTER!$A$19:$A$109,0)),"Asignar fase"))</f>
        <v/>
      </c>
      <c r="E485" s="9"/>
      <c r="F485" s="9"/>
      <c r="G485" s="9"/>
      <c r="H485" s="56"/>
      <c r="I485" s="43"/>
      <c r="J485" s="43"/>
      <c r="K485" s="16" t="str">
        <f aca="false">IF(A485="","",COUNTIF(RESTRICCIONES!$B$5:$B$304,A485))</f>
        <v/>
      </c>
      <c r="L485" s="16" t="str">
        <f aca="false">IF(A485="","",COUNTIFS(RESTRICCIONES!$B$5:$B$304,A485,RESTRICCIONES!$L$5:$L$304,"Pendiente"))</f>
        <v/>
      </c>
      <c r="M485" s="18" t="str">
        <f aca="false">IF(A485="","",IF(L485=0,"LISTA","RESTRINGIDA"))</f>
        <v/>
      </c>
      <c r="N485" s="51" t="str">
        <f aca="false">IF(OR(A485="",H485=""),"",IFERROR(MIN(1,SUMIF(SEMANAL!$C$7:$C$506,A485,SEMANAL!$W$7:$W$506)/H485),0))</f>
        <v/>
      </c>
      <c r="O485" s="57"/>
      <c r="P485" s="57"/>
      <c r="Q485" s="57"/>
      <c r="R485" s="57"/>
      <c r="S485" s="57"/>
      <c r="T485" s="57"/>
      <c r="U485" s="9"/>
    </row>
    <row r="486" customFormat="false" ht="15" hidden="false" customHeight="false" outlineLevel="0" collapsed="false">
      <c r="A486" s="9"/>
      <c r="B486" s="9"/>
      <c r="C486" s="16" t="str">
        <f aca="false">IF(B486="","",IFERROR(INDEX(EDT!$E$5:$E$436,MATCH(B486,EDT!$H$5:$H$436,0)),IFERROR(INDEX(CRONOGRAMA!$G$5:$G$5679,MATCH(A486,CRONOGRAMA!$A$5:$A$5679,0)),"Fuera EDT")))</f>
        <v/>
      </c>
      <c r="D486" s="16" t="str">
        <f aca="false">IF(C486="","",IFERROR(INDEX(MASTER!$B$19:$B$109,MATCH(C486,MASTER!$A$19:$A$109,0)),"Asignar fase"))</f>
        <v/>
      </c>
      <c r="E486" s="9"/>
      <c r="F486" s="9"/>
      <c r="G486" s="9"/>
      <c r="H486" s="56"/>
      <c r="I486" s="43"/>
      <c r="J486" s="43"/>
      <c r="K486" s="16" t="str">
        <f aca="false">IF(A486="","",COUNTIF(RESTRICCIONES!$B$5:$B$304,A486))</f>
        <v/>
      </c>
      <c r="L486" s="16" t="str">
        <f aca="false">IF(A486="","",COUNTIFS(RESTRICCIONES!$B$5:$B$304,A486,RESTRICCIONES!$L$5:$L$304,"Pendiente"))</f>
        <v/>
      </c>
      <c r="M486" s="18" t="str">
        <f aca="false">IF(A486="","",IF(L486=0,"LISTA","RESTRINGIDA"))</f>
        <v/>
      </c>
      <c r="N486" s="51" t="str">
        <f aca="false">IF(OR(A486="",H486=""),"",IFERROR(MIN(1,SUMIF(SEMANAL!$C$7:$C$506,A486,SEMANAL!$W$7:$W$506)/H486),0))</f>
        <v/>
      </c>
      <c r="O486" s="57"/>
      <c r="P486" s="57"/>
      <c r="Q486" s="57"/>
      <c r="R486" s="57"/>
      <c r="S486" s="57"/>
      <c r="T486" s="57"/>
      <c r="U486" s="9"/>
    </row>
    <row r="487" customFormat="false" ht="15" hidden="false" customHeight="false" outlineLevel="0" collapsed="false">
      <c r="A487" s="9"/>
      <c r="B487" s="9"/>
      <c r="C487" s="16" t="str">
        <f aca="false">IF(B487="","",IFERROR(INDEX(EDT!$E$5:$E$436,MATCH(B487,EDT!$H$5:$H$436,0)),IFERROR(INDEX(CRONOGRAMA!$G$5:$G$5679,MATCH(A487,CRONOGRAMA!$A$5:$A$5679,0)),"Fuera EDT")))</f>
        <v/>
      </c>
      <c r="D487" s="16" t="str">
        <f aca="false">IF(C487="","",IFERROR(INDEX(MASTER!$B$19:$B$109,MATCH(C487,MASTER!$A$19:$A$109,0)),"Asignar fase"))</f>
        <v/>
      </c>
      <c r="E487" s="9"/>
      <c r="F487" s="9"/>
      <c r="G487" s="9"/>
      <c r="H487" s="56"/>
      <c r="I487" s="43"/>
      <c r="J487" s="43"/>
      <c r="K487" s="16" t="str">
        <f aca="false">IF(A487="","",COUNTIF(RESTRICCIONES!$B$5:$B$304,A487))</f>
        <v/>
      </c>
      <c r="L487" s="16" t="str">
        <f aca="false">IF(A487="","",COUNTIFS(RESTRICCIONES!$B$5:$B$304,A487,RESTRICCIONES!$L$5:$L$304,"Pendiente"))</f>
        <v/>
      </c>
      <c r="M487" s="18" t="str">
        <f aca="false">IF(A487="","",IF(L487=0,"LISTA","RESTRINGIDA"))</f>
        <v/>
      </c>
      <c r="N487" s="51" t="str">
        <f aca="false">IF(OR(A487="",H487=""),"",IFERROR(MIN(1,SUMIF(SEMANAL!$C$7:$C$506,A487,SEMANAL!$W$7:$W$506)/H487),0))</f>
        <v/>
      </c>
      <c r="O487" s="57"/>
      <c r="P487" s="57"/>
      <c r="Q487" s="57"/>
      <c r="R487" s="57"/>
      <c r="S487" s="57"/>
      <c r="T487" s="57"/>
      <c r="U487" s="9"/>
    </row>
    <row r="488" customFormat="false" ht="15" hidden="false" customHeight="false" outlineLevel="0" collapsed="false">
      <c r="A488" s="9"/>
      <c r="B488" s="9"/>
      <c r="C488" s="16" t="str">
        <f aca="false">IF(B488="","",IFERROR(INDEX(EDT!$E$5:$E$436,MATCH(B488,EDT!$H$5:$H$436,0)),IFERROR(INDEX(CRONOGRAMA!$G$5:$G$5679,MATCH(A488,CRONOGRAMA!$A$5:$A$5679,0)),"Fuera EDT")))</f>
        <v/>
      </c>
      <c r="D488" s="16" t="str">
        <f aca="false">IF(C488="","",IFERROR(INDEX(MASTER!$B$19:$B$109,MATCH(C488,MASTER!$A$19:$A$109,0)),"Asignar fase"))</f>
        <v/>
      </c>
      <c r="E488" s="9"/>
      <c r="F488" s="9"/>
      <c r="G488" s="9"/>
      <c r="H488" s="56"/>
      <c r="I488" s="43"/>
      <c r="J488" s="43"/>
      <c r="K488" s="16" t="str">
        <f aca="false">IF(A488="","",COUNTIF(RESTRICCIONES!$B$5:$B$304,A488))</f>
        <v/>
      </c>
      <c r="L488" s="16" t="str">
        <f aca="false">IF(A488="","",COUNTIFS(RESTRICCIONES!$B$5:$B$304,A488,RESTRICCIONES!$L$5:$L$304,"Pendiente"))</f>
        <v/>
      </c>
      <c r="M488" s="18" t="str">
        <f aca="false">IF(A488="","",IF(L488=0,"LISTA","RESTRINGIDA"))</f>
        <v/>
      </c>
      <c r="N488" s="51" t="str">
        <f aca="false">IF(OR(A488="",H488=""),"",IFERROR(MIN(1,SUMIF(SEMANAL!$C$7:$C$506,A488,SEMANAL!$W$7:$W$506)/H488),0))</f>
        <v/>
      </c>
      <c r="O488" s="57"/>
      <c r="P488" s="57"/>
      <c r="Q488" s="57"/>
      <c r="R488" s="57"/>
      <c r="S488" s="57"/>
      <c r="T488" s="57"/>
      <c r="U488" s="9"/>
    </row>
    <row r="489" customFormat="false" ht="15" hidden="false" customHeight="false" outlineLevel="0" collapsed="false">
      <c r="A489" s="9"/>
      <c r="B489" s="9"/>
      <c r="C489" s="16" t="str">
        <f aca="false">IF(B489="","",IFERROR(INDEX(EDT!$E$5:$E$436,MATCH(B489,EDT!$H$5:$H$436,0)),IFERROR(INDEX(CRONOGRAMA!$G$5:$G$5679,MATCH(A489,CRONOGRAMA!$A$5:$A$5679,0)),"Fuera EDT")))</f>
        <v/>
      </c>
      <c r="D489" s="16" t="str">
        <f aca="false">IF(C489="","",IFERROR(INDEX(MASTER!$B$19:$B$109,MATCH(C489,MASTER!$A$19:$A$109,0)),"Asignar fase"))</f>
        <v/>
      </c>
      <c r="E489" s="9"/>
      <c r="F489" s="9"/>
      <c r="G489" s="9"/>
      <c r="H489" s="56"/>
      <c r="I489" s="43"/>
      <c r="J489" s="43"/>
      <c r="K489" s="16" t="str">
        <f aca="false">IF(A489="","",COUNTIF(RESTRICCIONES!$B$5:$B$304,A489))</f>
        <v/>
      </c>
      <c r="L489" s="16" t="str">
        <f aca="false">IF(A489="","",COUNTIFS(RESTRICCIONES!$B$5:$B$304,A489,RESTRICCIONES!$L$5:$L$304,"Pendiente"))</f>
        <v/>
      </c>
      <c r="M489" s="18" t="str">
        <f aca="false">IF(A489="","",IF(L489=0,"LISTA","RESTRINGIDA"))</f>
        <v/>
      </c>
      <c r="N489" s="51" t="str">
        <f aca="false">IF(OR(A489="",H489=""),"",IFERROR(MIN(1,SUMIF(SEMANAL!$C$7:$C$506,A489,SEMANAL!$W$7:$W$506)/H489),0))</f>
        <v/>
      </c>
      <c r="O489" s="57"/>
      <c r="P489" s="57"/>
      <c r="Q489" s="57"/>
      <c r="R489" s="57"/>
      <c r="S489" s="57"/>
      <c r="T489" s="57"/>
      <c r="U489" s="9"/>
    </row>
    <row r="490" customFormat="false" ht="15" hidden="false" customHeight="false" outlineLevel="0" collapsed="false">
      <c r="A490" s="9"/>
      <c r="B490" s="9"/>
      <c r="C490" s="16" t="str">
        <f aca="false">IF(B490="","",IFERROR(INDEX(EDT!$E$5:$E$436,MATCH(B490,EDT!$H$5:$H$436,0)),IFERROR(INDEX(CRONOGRAMA!$G$5:$G$5679,MATCH(A490,CRONOGRAMA!$A$5:$A$5679,0)),"Fuera EDT")))</f>
        <v/>
      </c>
      <c r="D490" s="16" t="str">
        <f aca="false">IF(C490="","",IFERROR(INDEX(MASTER!$B$19:$B$109,MATCH(C490,MASTER!$A$19:$A$109,0)),"Asignar fase"))</f>
        <v/>
      </c>
      <c r="E490" s="9"/>
      <c r="F490" s="9"/>
      <c r="G490" s="9"/>
      <c r="H490" s="56"/>
      <c r="I490" s="43"/>
      <c r="J490" s="43"/>
      <c r="K490" s="16" t="str">
        <f aca="false">IF(A490="","",COUNTIF(RESTRICCIONES!$B$5:$B$304,A490))</f>
        <v/>
      </c>
      <c r="L490" s="16" t="str">
        <f aca="false">IF(A490="","",COUNTIFS(RESTRICCIONES!$B$5:$B$304,A490,RESTRICCIONES!$L$5:$L$304,"Pendiente"))</f>
        <v/>
      </c>
      <c r="M490" s="18" t="str">
        <f aca="false">IF(A490="","",IF(L490=0,"LISTA","RESTRINGIDA"))</f>
        <v/>
      </c>
      <c r="N490" s="51" t="str">
        <f aca="false">IF(OR(A490="",H490=""),"",IFERROR(MIN(1,SUMIF(SEMANAL!$C$7:$C$506,A490,SEMANAL!$W$7:$W$506)/H490),0))</f>
        <v/>
      </c>
      <c r="O490" s="57"/>
      <c r="P490" s="57"/>
      <c r="Q490" s="57"/>
      <c r="R490" s="57"/>
      <c r="S490" s="57"/>
      <c r="T490" s="57"/>
      <c r="U490" s="9"/>
    </row>
    <row r="491" customFormat="false" ht="15" hidden="false" customHeight="false" outlineLevel="0" collapsed="false">
      <c r="A491" s="9"/>
      <c r="B491" s="9"/>
      <c r="C491" s="16" t="str">
        <f aca="false">IF(B491="","",IFERROR(INDEX(EDT!$E$5:$E$436,MATCH(B491,EDT!$H$5:$H$436,0)),IFERROR(INDEX(CRONOGRAMA!$G$5:$G$5679,MATCH(A491,CRONOGRAMA!$A$5:$A$5679,0)),"Fuera EDT")))</f>
        <v/>
      </c>
      <c r="D491" s="16" t="str">
        <f aca="false">IF(C491="","",IFERROR(INDEX(MASTER!$B$19:$B$109,MATCH(C491,MASTER!$A$19:$A$109,0)),"Asignar fase"))</f>
        <v/>
      </c>
      <c r="E491" s="9"/>
      <c r="F491" s="9"/>
      <c r="G491" s="9"/>
      <c r="H491" s="56"/>
      <c r="I491" s="43"/>
      <c r="J491" s="43"/>
      <c r="K491" s="16" t="str">
        <f aca="false">IF(A491="","",COUNTIF(RESTRICCIONES!$B$5:$B$304,A491))</f>
        <v/>
      </c>
      <c r="L491" s="16" t="str">
        <f aca="false">IF(A491="","",COUNTIFS(RESTRICCIONES!$B$5:$B$304,A491,RESTRICCIONES!$L$5:$L$304,"Pendiente"))</f>
        <v/>
      </c>
      <c r="M491" s="18" t="str">
        <f aca="false">IF(A491="","",IF(L491=0,"LISTA","RESTRINGIDA"))</f>
        <v/>
      </c>
      <c r="N491" s="51" t="str">
        <f aca="false">IF(OR(A491="",H491=""),"",IFERROR(MIN(1,SUMIF(SEMANAL!$C$7:$C$506,A491,SEMANAL!$W$7:$W$506)/H491),0))</f>
        <v/>
      </c>
      <c r="O491" s="57"/>
      <c r="P491" s="57"/>
      <c r="Q491" s="57"/>
      <c r="R491" s="57"/>
      <c r="S491" s="57"/>
      <c r="T491" s="57"/>
      <c r="U491" s="9"/>
    </row>
    <row r="492" customFormat="false" ht="15" hidden="false" customHeight="false" outlineLevel="0" collapsed="false">
      <c r="A492" s="9"/>
      <c r="B492" s="9"/>
      <c r="C492" s="16" t="str">
        <f aca="false">IF(B492="","",IFERROR(INDEX(EDT!$E$5:$E$436,MATCH(B492,EDT!$H$5:$H$436,0)),IFERROR(INDEX(CRONOGRAMA!$G$5:$G$5679,MATCH(A492,CRONOGRAMA!$A$5:$A$5679,0)),"Fuera EDT")))</f>
        <v/>
      </c>
      <c r="D492" s="16" t="str">
        <f aca="false">IF(C492="","",IFERROR(INDEX(MASTER!$B$19:$B$109,MATCH(C492,MASTER!$A$19:$A$109,0)),"Asignar fase"))</f>
        <v/>
      </c>
      <c r="E492" s="9"/>
      <c r="F492" s="9"/>
      <c r="G492" s="9"/>
      <c r="H492" s="56"/>
      <c r="I492" s="43"/>
      <c r="J492" s="43"/>
      <c r="K492" s="16" t="str">
        <f aca="false">IF(A492="","",COUNTIF(RESTRICCIONES!$B$5:$B$304,A492))</f>
        <v/>
      </c>
      <c r="L492" s="16" t="str">
        <f aca="false">IF(A492="","",COUNTIFS(RESTRICCIONES!$B$5:$B$304,A492,RESTRICCIONES!$L$5:$L$304,"Pendiente"))</f>
        <v/>
      </c>
      <c r="M492" s="18" t="str">
        <f aca="false">IF(A492="","",IF(L492=0,"LISTA","RESTRINGIDA"))</f>
        <v/>
      </c>
      <c r="N492" s="51" t="str">
        <f aca="false">IF(OR(A492="",H492=""),"",IFERROR(MIN(1,SUMIF(SEMANAL!$C$7:$C$506,A492,SEMANAL!$W$7:$W$506)/H492),0))</f>
        <v/>
      </c>
      <c r="O492" s="57"/>
      <c r="P492" s="57"/>
      <c r="Q492" s="57"/>
      <c r="R492" s="57"/>
      <c r="S492" s="57"/>
      <c r="T492" s="57"/>
      <c r="U492" s="9"/>
    </row>
    <row r="493" customFormat="false" ht="15" hidden="false" customHeight="false" outlineLevel="0" collapsed="false">
      <c r="A493" s="9"/>
      <c r="B493" s="9"/>
      <c r="C493" s="16" t="str">
        <f aca="false">IF(B493="","",IFERROR(INDEX(EDT!$E$5:$E$436,MATCH(B493,EDT!$H$5:$H$436,0)),IFERROR(INDEX(CRONOGRAMA!$G$5:$G$5679,MATCH(A493,CRONOGRAMA!$A$5:$A$5679,0)),"Fuera EDT")))</f>
        <v/>
      </c>
      <c r="D493" s="16" t="str">
        <f aca="false">IF(C493="","",IFERROR(INDEX(MASTER!$B$19:$B$109,MATCH(C493,MASTER!$A$19:$A$109,0)),"Asignar fase"))</f>
        <v/>
      </c>
      <c r="E493" s="9"/>
      <c r="F493" s="9"/>
      <c r="G493" s="9"/>
      <c r="H493" s="56"/>
      <c r="I493" s="43"/>
      <c r="J493" s="43"/>
      <c r="K493" s="16" t="str">
        <f aca="false">IF(A493="","",COUNTIF(RESTRICCIONES!$B$5:$B$304,A493))</f>
        <v/>
      </c>
      <c r="L493" s="16" t="str">
        <f aca="false">IF(A493="","",COUNTIFS(RESTRICCIONES!$B$5:$B$304,A493,RESTRICCIONES!$L$5:$L$304,"Pendiente"))</f>
        <v/>
      </c>
      <c r="M493" s="18" t="str">
        <f aca="false">IF(A493="","",IF(L493=0,"LISTA","RESTRINGIDA"))</f>
        <v/>
      </c>
      <c r="N493" s="51" t="str">
        <f aca="false">IF(OR(A493="",H493=""),"",IFERROR(MIN(1,SUMIF(SEMANAL!$C$7:$C$506,A493,SEMANAL!$W$7:$W$506)/H493),0))</f>
        <v/>
      </c>
      <c r="O493" s="57"/>
      <c r="P493" s="57"/>
      <c r="Q493" s="57"/>
      <c r="R493" s="57"/>
      <c r="S493" s="57"/>
      <c r="T493" s="57"/>
      <c r="U493" s="9"/>
    </row>
    <row r="494" customFormat="false" ht="15" hidden="false" customHeight="false" outlineLevel="0" collapsed="false">
      <c r="A494" s="9"/>
      <c r="B494" s="9"/>
      <c r="C494" s="16" t="str">
        <f aca="false">IF(B494="","",IFERROR(INDEX(EDT!$E$5:$E$436,MATCH(B494,EDT!$H$5:$H$436,0)),IFERROR(INDEX(CRONOGRAMA!$G$5:$G$5679,MATCH(A494,CRONOGRAMA!$A$5:$A$5679,0)),"Fuera EDT")))</f>
        <v/>
      </c>
      <c r="D494" s="16" t="str">
        <f aca="false">IF(C494="","",IFERROR(INDEX(MASTER!$B$19:$B$109,MATCH(C494,MASTER!$A$19:$A$109,0)),"Asignar fase"))</f>
        <v/>
      </c>
      <c r="E494" s="9"/>
      <c r="F494" s="9"/>
      <c r="G494" s="9"/>
      <c r="H494" s="56"/>
      <c r="I494" s="43"/>
      <c r="J494" s="43"/>
      <c r="K494" s="16" t="str">
        <f aca="false">IF(A494="","",COUNTIF(RESTRICCIONES!$B$5:$B$304,A494))</f>
        <v/>
      </c>
      <c r="L494" s="16" t="str">
        <f aca="false">IF(A494="","",COUNTIFS(RESTRICCIONES!$B$5:$B$304,A494,RESTRICCIONES!$L$5:$L$304,"Pendiente"))</f>
        <v/>
      </c>
      <c r="M494" s="18" t="str">
        <f aca="false">IF(A494="","",IF(L494=0,"LISTA","RESTRINGIDA"))</f>
        <v/>
      </c>
      <c r="N494" s="51" t="str">
        <f aca="false">IF(OR(A494="",H494=""),"",IFERROR(MIN(1,SUMIF(SEMANAL!$C$7:$C$506,A494,SEMANAL!$W$7:$W$506)/H494),0))</f>
        <v/>
      </c>
      <c r="O494" s="57"/>
      <c r="P494" s="57"/>
      <c r="Q494" s="57"/>
      <c r="R494" s="57"/>
      <c r="S494" s="57"/>
      <c r="T494" s="57"/>
      <c r="U494" s="9"/>
    </row>
    <row r="495" customFormat="false" ht="15" hidden="false" customHeight="false" outlineLevel="0" collapsed="false">
      <c r="A495" s="9"/>
      <c r="B495" s="9"/>
      <c r="C495" s="16" t="str">
        <f aca="false">IF(B495="","",IFERROR(INDEX(EDT!$E$5:$E$436,MATCH(B495,EDT!$H$5:$H$436,0)),IFERROR(INDEX(CRONOGRAMA!$G$5:$G$5679,MATCH(A495,CRONOGRAMA!$A$5:$A$5679,0)),"Fuera EDT")))</f>
        <v/>
      </c>
      <c r="D495" s="16" t="str">
        <f aca="false">IF(C495="","",IFERROR(INDEX(MASTER!$B$19:$B$109,MATCH(C495,MASTER!$A$19:$A$109,0)),"Asignar fase"))</f>
        <v/>
      </c>
      <c r="E495" s="9"/>
      <c r="F495" s="9"/>
      <c r="G495" s="9"/>
      <c r="H495" s="56"/>
      <c r="I495" s="43"/>
      <c r="J495" s="43"/>
      <c r="K495" s="16" t="str">
        <f aca="false">IF(A495="","",COUNTIF(RESTRICCIONES!$B$5:$B$304,A495))</f>
        <v/>
      </c>
      <c r="L495" s="16" t="str">
        <f aca="false">IF(A495="","",COUNTIFS(RESTRICCIONES!$B$5:$B$304,A495,RESTRICCIONES!$L$5:$L$304,"Pendiente"))</f>
        <v/>
      </c>
      <c r="M495" s="18" t="str">
        <f aca="false">IF(A495="","",IF(L495=0,"LISTA","RESTRINGIDA"))</f>
        <v/>
      </c>
      <c r="N495" s="51" t="str">
        <f aca="false">IF(OR(A495="",H495=""),"",IFERROR(MIN(1,SUMIF(SEMANAL!$C$7:$C$506,A495,SEMANAL!$W$7:$W$506)/H495),0))</f>
        <v/>
      </c>
      <c r="O495" s="57"/>
      <c r="P495" s="57"/>
      <c r="Q495" s="57"/>
      <c r="R495" s="57"/>
      <c r="S495" s="57"/>
      <c r="T495" s="57"/>
      <c r="U495" s="9"/>
    </row>
    <row r="496" customFormat="false" ht="15" hidden="false" customHeight="false" outlineLevel="0" collapsed="false">
      <c r="A496" s="9"/>
      <c r="B496" s="9"/>
      <c r="C496" s="16" t="str">
        <f aca="false">IF(B496="","",IFERROR(INDEX(EDT!$E$5:$E$436,MATCH(B496,EDT!$H$5:$H$436,0)),IFERROR(INDEX(CRONOGRAMA!$G$5:$G$5679,MATCH(A496,CRONOGRAMA!$A$5:$A$5679,0)),"Fuera EDT")))</f>
        <v/>
      </c>
      <c r="D496" s="16" t="str">
        <f aca="false">IF(C496="","",IFERROR(INDEX(MASTER!$B$19:$B$109,MATCH(C496,MASTER!$A$19:$A$109,0)),"Asignar fase"))</f>
        <v/>
      </c>
      <c r="E496" s="9"/>
      <c r="F496" s="9"/>
      <c r="G496" s="9"/>
      <c r="H496" s="56"/>
      <c r="I496" s="43"/>
      <c r="J496" s="43"/>
      <c r="K496" s="16" t="str">
        <f aca="false">IF(A496="","",COUNTIF(RESTRICCIONES!$B$5:$B$304,A496))</f>
        <v/>
      </c>
      <c r="L496" s="16" t="str">
        <f aca="false">IF(A496="","",COUNTIFS(RESTRICCIONES!$B$5:$B$304,A496,RESTRICCIONES!$L$5:$L$304,"Pendiente"))</f>
        <v/>
      </c>
      <c r="M496" s="18" t="str">
        <f aca="false">IF(A496="","",IF(L496=0,"LISTA","RESTRINGIDA"))</f>
        <v/>
      </c>
      <c r="N496" s="51" t="str">
        <f aca="false">IF(OR(A496="",H496=""),"",IFERROR(MIN(1,SUMIF(SEMANAL!$C$7:$C$506,A496,SEMANAL!$W$7:$W$506)/H496),0))</f>
        <v/>
      </c>
      <c r="O496" s="57"/>
      <c r="P496" s="57"/>
      <c r="Q496" s="57"/>
      <c r="R496" s="57"/>
      <c r="S496" s="57"/>
      <c r="T496" s="57"/>
      <c r="U496" s="9"/>
    </row>
    <row r="497" customFormat="false" ht="15" hidden="false" customHeight="false" outlineLevel="0" collapsed="false">
      <c r="A497" s="9"/>
      <c r="B497" s="9"/>
      <c r="C497" s="16" t="str">
        <f aca="false">IF(B497="","",IFERROR(INDEX(EDT!$E$5:$E$436,MATCH(B497,EDT!$H$5:$H$436,0)),IFERROR(INDEX(CRONOGRAMA!$G$5:$G$5679,MATCH(A497,CRONOGRAMA!$A$5:$A$5679,0)),"Fuera EDT")))</f>
        <v/>
      </c>
      <c r="D497" s="16" t="str">
        <f aca="false">IF(C497="","",IFERROR(INDEX(MASTER!$B$19:$B$109,MATCH(C497,MASTER!$A$19:$A$109,0)),"Asignar fase"))</f>
        <v/>
      </c>
      <c r="E497" s="9"/>
      <c r="F497" s="9"/>
      <c r="G497" s="9"/>
      <c r="H497" s="56"/>
      <c r="I497" s="43"/>
      <c r="J497" s="43"/>
      <c r="K497" s="16" t="str">
        <f aca="false">IF(A497="","",COUNTIF(RESTRICCIONES!$B$5:$B$304,A497))</f>
        <v/>
      </c>
      <c r="L497" s="16" t="str">
        <f aca="false">IF(A497="","",COUNTIFS(RESTRICCIONES!$B$5:$B$304,A497,RESTRICCIONES!$L$5:$L$304,"Pendiente"))</f>
        <v/>
      </c>
      <c r="M497" s="18" t="str">
        <f aca="false">IF(A497="","",IF(L497=0,"LISTA","RESTRINGIDA"))</f>
        <v/>
      </c>
      <c r="N497" s="51" t="str">
        <f aca="false">IF(OR(A497="",H497=""),"",IFERROR(MIN(1,SUMIF(SEMANAL!$C$7:$C$506,A497,SEMANAL!$W$7:$W$506)/H497),0))</f>
        <v/>
      </c>
      <c r="O497" s="57"/>
      <c r="P497" s="57"/>
      <c r="Q497" s="57"/>
      <c r="R497" s="57"/>
      <c r="S497" s="57"/>
      <c r="T497" s="57"/>
      <c r="U497" s="9"/>
    </row>
    <row r="498" customFormat="false" ht="15" hidden="false" customHeight="false" outlineLevel="0" collapsed="false">
      <c r="A498" s="9"/>
      <c r="B498" s="9"/>
      <c r="C498" s="16" t="str">
        <f aca="false">IF(B498="","",IFERROR(INDEX(EDT!$E$5:$E$436,MATCH(B498,EDT!$H$5:$H$436,0)),IFERROR(INDEX(CRONOGRAMA!$G$5:$G$5679,MATCH(A498,CRONOGRAMA!$A$5:$A$5679,0)),"Fuera EDT")))</f>
        <v/>
      </c>
      <c r="D498" s="16" t="str">
        <f aca="false">IF(C498="","",IFERROR(INDEX(MASTER!$B$19:$B$109,MATCH(C498,MASTER!$A$19:$A$109,0)),"Asignar fase"))</f>
        <v/>
      </c>
      <c r="E498" s="9"/>
      <c r="F498" s="9"/>
      <c r="G498" s="9"/>
      <c r="H498" s="56"/>
      <c r="I498" s="43"/>
      <c r="J498" s="43"/>
      <c r="K498" s="16" t="str">
        <f aca="false">IF(A498="","",COUNTIF(RESTRICCIONES!$B$5:$B$304,A498))</f>
        <v/>
      </c>
      <c r="L498" s="16" t="str">
        <f aca="false">IF(A498="","",COUNTIFS(RESTRICCIONES!$B$5:$B$304,A498,RESTRICCIONES!$L$5:$L$304,"Pendiente"))</f>
        <v/>
      </c>
      <c r="M498" s="18" t="str">
        <f aca="false">IF(A498="","",IF(L498=0,"LISTA","RESTRINGIDA"))</f>
        <v/>
      </c>
      <c r="N498" s="51" t="str">
        <f aca="false">IF(OR(A498="",H498=""),"",IFERROR(MIN(1,SUMIF(SEMANAL!$C$7:$C$506,A498,SEMANAL!$W$7:$W$506)/H498),0))</f>
        <v/>
      </c>
      <c r="O498" s="57"/>
      <c r="P498" s="57"/>
      <c r="Q498" s="57"/>
      <c r="R498" s="57"/>
      <c r="S498" s="57"/>
      <c r="T498" s="57"/>
      <c r="U498" s="9"/>
    </row>
    <row r="499" customFormat="false" ht="15" hidden="false" customHeight="false" outlineLevel="0" collapsed="false">
      <c r="A499" s="9"/>
      <c r="B499" s="9"/>
      <c r="C499" s="16" t="str">
        <f aca="false">IF(B499="","",IFERROR(INDEX(EDT!$E$5:$E$436,MATCH(B499,EDT!$H$5:$H$436,0)),IFERROR(INDEX(CRONOGRAMA!$G$5:$G$5679,MATCH(A499,CRONOGRAMA!$A$5:$A$5679,0)),"Fuera EDT")))</f>
        <v/>
      </c>
      <c r="D499" s="16" t="str">
        <f aca="false">IF(C499="","",IFERROR(INDEX(MASTER!$B$19:$B$109,MATCH(C499,MASTER!$A$19:$A$109,0)),"Asignar fase"))</f>
        <v/>
      </c>
      <c r="E499" s="9"/>
      <c r="F499" s="9"/>
      <c r="G499" s="9"/>
      <c r="H499" s="56"/>
      <c r="I499" s="43"/>
      <c r="J499" s="43"/>
      <c r="K499" s="16" t="str">
        <f aca="false">IF(A499="","",COUNTIF(RESTRICCIONES!$B$5:$B$304,A499))</f>
        <v/>
      </c>
      <c r="L499" s="16" t="str">
        <f aca="false">IF(A499="","",COUNTIFS(RESTRICCIONES!$B$5:$B$304,A499,RESTRICCIONES!$L$5:$L$304,"Pendiente"))</f>
        <v/>
      </c>
      <c r="M499" s="18" t="str">
        <f aca="false">IF(A499="","",IF(L499=0,"LISTA","RESTRINGIDA"))</f>
        <v/>
      </c>
      <c r="N499" s="51" t="str">
        <f aca="false">IF(OR(A499="",H499=""),"",IFERROR(MIN(1,SUMIF(SEMANAL!$C$7:$C$506,A499,SEMANAL!$W$7:$W$506)/H499),0))</f>
        <v/>
      </c>
      <c r="O499" s="57"/>
      <c r="P499" s="57"/>
      <c r="Q499" s="57"/>
      <c r="R499" s="57"/>
      <c r="S499" s="57"/>
      <c r="T499" s="57"/>
      <c r="U499" s="9"/>
    </row>
    <row r="500" customFormat="false" ht="15" hidden="false" customHeight="false" outlineLevel="0" collapsed="false">
      <c r="A500" s="9"/>
      <c r="B500" s="9"/>
      <c r="C500" s="16" t="str">
        <f aca="false">IF(B500="","",IFERROR(INDEX(EDT!$E$5:$E$436,MATCH(B500,EDT!$H$5:$H$436,0)),IFERROR(INDEX(CRONOGRAMA!$G$5:$G$5679,MATCH(A500,CRONOGRAMA!$A$5:$A$5679,0)),"Fuera EDT")))</f>
        <v/>
      </c>
      <c r="D500" s="16" t="str">
        <f aca="false">IF(C500="","",IFERROR(INDEX(MASTER!$B$19:$B$109,MATCH(C500,MASTER!$A$19:$A$109,0)),"Asignar fase"))</f>
        <v/>
      </c>
      <c r="E500" s="9"/>
      <c r="F500" s="9"/>
      <c r="G500" s="9"/>
      <c r="H500" s="56"/>
      <c r="I500" s="43"/>
      <c r="J500" s="43"/>
      <c r="K500" s="16" t="str">
        <f aca="false">IF(A500="","",COUNTIF(RESTRICCIONES!$B$5:$B$304,A500))</f>
        <v/>
      </c>
      <c r="L500" s="16" t="str">
        <f aca="false">IF(A500="","",COUNTIFS(RESTRICCIONES!$B$5:$B$304,A500,RESTRICCIONES!$L$5:$L$304,"Pendiente"))</f>
        <v/>
      </c>
      <c r="M500" s="18" t="str">
        <f aca="false">IF(A500="","",IF(L500=0,"LISTA","RESTRINGIDA"))</f>
        <v/>
      </c>
      <c r="N500" s="51" t="str">
        <f aca="false">IF(OR(A500="",H500=""),"",IFERROR(MIN(1,SUMIF(SEMANAL!$C$7:$C$506,A500,SEMANAL!$W$7:$W$506)/H500),0))</f>
        <v/>
      </c>
      <c r="O500" s="57"/>
      <c r="P500" s="57"/>
      <c r="Q500" s="57"/>
      <c r="R500" s="57"/>
      <c r="S500" s="57"/>
      <c r="T500" s="57"/>
      <c r="U500" s="9"/>
    </row>
    <row r="501" customFormat="false" ht="15" hidden="false" customHeight="false" outlineLevel="0" collapsed="false">
      <c r="A501" s="9"/>
      <c r="B501" s="9"/>
      <c r="C501" s="16" t="str">
        <f aca="false">IF(B501="","",IFERROR(INDEX(EDT!$E$5:$E$436,MATCH(B501,EDT!$H$5:$H$436,0)),IFERROR(INDEX(CRONOGRAMA!$G$5:$G$5679,MATCH(A501,CRONOGRAMA!$A$5:$A$5679,0)),"Fuera EDT")))</f>
        <v/>
      </c>
      <c r="D501" s="16" t="str">
        <f aca="false">IF(C501="","",IFERROR(INDEX(MASTER!$B$19:$B$109,MATCH(C501,MASTER!$A$19:$A$109,0)),"Asignar fase"))</f>
        <v/>
      </c>
      <c r="E501" s="9"/>
      <c r="F501" s="9"/>
      <c r="G501" s="9"/>
      <c r="H501" s="56"/>
      <c r="I501" s="43"/>
      <c r="J501" s="43"/>
      <c r="K501" s="16" t="str">
        <f aca="false">IF(A501="","",COUNTIF(RESTRICCIONES!$B$5:$B$304,A501))</f>
        <v/>
      </c>
      <c r="L501" s="16" t="str">
        <f aca="false">IF(A501="","",COUNTIFS(RESTRICCIONES!$B$5:$B$304,A501,RESTRICCIONES!$L$5:$L$304,"Pendiente"))</f>
        <v/>
      </c>
      <c r="M501" s="18" t="str">
        <f aca="false">IF(A501="","",IF(L501=0,"LISTA","RESTRINGIDA"))</f>
        <v/>
      </c>
      <c r="N501" s="51" t="str">
        <f aca="false">IF(OR(A501="",H501=""),"",IFERROR(MIN(1,SUMIF(SEMANAL!$C$7:$C$506,A501,SEMANAL!$W$7:$W$506)/H501),0))</f>
        <v/>
      </c>
      <c r="O501" s="57"/>
      <c r="P501" s="57"/>
      <c r="Q501" s="57"/>
      <c r="R501" s="57"/>
      <c r="S501" s="57"/>
      <c r="T501" s="57"/>
      <c r="U501" s="9"/>
    </row>
    <row r="502" customFormat="false" ht="15" hidden="false" customHeight="false" outlineLevel="0" collapsed="false">
      <c r="A502" s="9"/>
      <c r="B502" s="9"/>
      <c r="C502" s="16" t="str">
        <f aca="false">IF(B502="","",IFERROR(INDEX(EDT!$E$5:$E$436,MATCH(B502,EDT!$H$5:$H$436,0)),IFERROR(INDEX(CRONOGRAMA!$G$5:$G$5679,MATCH(A502,CRONOGRAMA!$A$5:$A$5679,0)),"Fuera EDT")))</f>
        <v/>
      </c>
      <c r="D502" s="16" t="str">
        <f aca="false">IF(C502="","",IFERROR(INDEX(MASTER!$B$19:$B$109,MATCH(C502,MASTER!$A$19:$A$109,0)),"Asignar fase"))</f>
        <v/>
      </c>
      <c r="E502" s="9"/>
      <c r="F502" s="9"/>
      <c r="G502" s="9"/>
      <c r="H502" s="56"/>
      <c r="I502" s="43"/>
      <c r="J502" s="43"/>
      <c r="K502" s="16" t="str">
        <f aca="false">IF(A502="","",COUNTIF(RESTRICCIONES!$B$5:$B$304,A502))</f>
        <v/>
      </c>
      <c r="L502" s="16" t="str">
        <f aca="false">IF(A502="","",COUNTIFS(RESTRICCIONES!$B$5:$B$304,A502,RESTRICCIONES!$L$5:$L$304,"Pendiente"))</f>
        <v/>
      </c>
      <c r="M502" s="18" t="str">
        <f aca="false">IF(A502="","",IF(L502=0,"LISTA","RESTRINGIDA"))</f>
        <v/>
      </c>
      <c r="N502" s="51" t="str">
        <f aca="false">IF(OR(A502="",H502=""),"",IFERROR(MIN(1,SUMIF(SEMANAL!$C$7:$C$506,A502,SEMANAL!$W$7:$W$506)/H502),0))</f>
        <v/>
      </c>
      <c r="O502" s="57"/>
      <c r="P502" s="57"/>
      <c r="Q502" s="57"/>
      <c r="R502" s="57"/>
      <c r="S502" s="57"/>
      <c r="T502" s="57"/>
      <c r="U502" s="9"/>
    </row>
    <row r="503" customFormat="false" ht="15" hidden="false" customHeight="false" outlineLevel="0" collapsed="false">
      <c r="A503" s="9"/>
      <c r="B503" s="9"/>
      <c r="C503" s="16" t="str">
        <f aca="false">IF(B503="","",IFERROR(INDEX(EDT!$E$5:$E$436,MATCH(B503,EDT!$H$5:$H$436,0)),IFERROR(INDEX(CRONOGRAMA!$G$5:$G$5679,MATCH(A503,CRONOGRAMA!$A$5:$A$5679,0)),"Fuera EDT")))</f>
        <v/>
      </c>
      <c r="D503" s="16" t="str">
        <f aca="false">IF(C503="","",IFERROR(INDEX(MASTER!$B$19:$B$109,MATCH(C503,MASTER!$A$19:$A$109,0)),"Asignar fase"))</f>
        <v/>
      </c>
      <c r="E503" s="9"/>
      <c r="F503" s="9"/>
      <c r="G503" s="9"/>
      <c r="H503" s="56"/>
      <c r="I503" s="43"/>
      <c r="J503" s="43"/>
      <c r="K503" s="16" t="str">
        <f aca="false">IF(A503="","",COUNTIF(RESTRICCIONES!$B$5:$B$304,A503))</f>
        <v/>
      </c>
      <c r="L503" s="16" t="str">
        <f aca="false">IF(A503="","",COUNTIFS(RESTRICCIONES!$B$5:$B$304,A503,RESTRICCIONES!$L$5:$L$304,"Pendiente"))</f>
        <v/>
      </c>
      <c r="M503" s="18" t="str">
        <f aca="false">IF(A503="","",IF(L503=0,"LISTA","RESTRINGIDA"))</f>
        <v/>
      </c>
      <c r="N503" s="51" t="str">
        <f aca="false">IF(OR(A503="",H503=""),"",IFERROR(MIN(1,SUMIF(SEMANAL!$C$7:$C$506,A503,SEMANAL!$W$7:$W$506)/H503),0))</f>
        <v/>
      </c>
      <c r="O503" s="57"/>
      <c r="P503" s="57"/>
      <c r="Q503" s="57"/>
      <c r="R503" s="57"/>
      <c r="S503" s="57"/>
      <c r="T503" s="57"/>
      <c r="U503" s="9"/>
    </row>
    <row r="504" customFormat="false" ht="15" hidden="false" customHeight="false" outlineLevel="0" collapsed="false">
      <c r="A504" s="9"/>
      <c r="B504" s="9"/>
      <c r="C504" s="16" t="str">
        <f aca="false">IF(B504="","",IFERROR(INDEX(EDT!$E$5:$E$436,MATCH(B504,EDT!$H$5:$H$436,0)),IFERROR(INDEX(CRONOGRAMA!$G$5:$G$5679,MATCH(A504,CRONOGRAMA!$A$5:$A$5679,0)),"Fuera EDT")))</f>
        <v/>
      </c>
      <c r="D504" s="16" t="str">
        <f aca="false">IF(C504="","",IFERROR(INDEX(MASTER!$B$19:$B$109,MATCH(C504,MASTER!$A$19:$A$109,0)),"Asignar fase"))</f>
        <v/>
      </c>
      <c r="E504" s="9"/>
      <c r="F504" s="9"/>
      <c r="G504" s="9"/>
      <c r="H504" s="56"/>
      <c r="I504" s="43"/>
      <c r="J504" s="43"/>
      <c r="K504" s="16" t="str">
        <f aca="false">IF(A504="","",COUNTIF(RESTRICCIONES!$B$5:$B$304,A504))</f>
        <v/>
      </c>
      <c r="L504" s="16" t="str">
        <f aca="false">IF(A504="","",COUNTIFS(RESTRICCIONES!$B$5:$B$304,A504,RESTRICCIONES!$L$5:$L$304,"Pendiente"))</f>
        <v/>
      </c>
      <c r="M504" s="18" t="str">
        <f aca="false">IF(A504="","",IF(L504=0,"LISTA","RESTRINGIDA"))</f>
        <v/>
      </c>
      <c r="N504" s="51" t="str">
        <f aca="false">IF(OR(A504="",H504=""),"",IFERROR(MIN(1,SUMIF(SEMANAL!$C$7:$C$506,A504,SEMANAL!$W$7:$W$506)/H504),0))</f>
        <v/>
      </c>
      <c r="O504" s="57"/>
      <c r="P504" s="57"/>
      <c r="Q504" s="57"/>
      <c r="R504" s="57"/>
      <c r="S504" s="57"/>
      <c r="T504" s="57"/>
      <c r="U504" s="9"/>
    </row>
    <row r="505" customFormat="false" ht="15" hidden="false" customHeight="false" outlineLevel="0" collapsed="false">
      <c r="A505" s="9"/>
      <c r="B505" s="9"/>
      <c r="C505" s="16" t="str">
        <f aca="false">IF(B505="","",IFERROR(INDEX(EDT!$E$5:$E$436,MATCH(B505,EDT!$H$5:$H$436,0)),IFERROR(INDEX(CRONOGRAMA!$G$5:$G$5679,MATCH(A505,CRONOGRAMA!$A$5:$A$5679,0)),"Fuera EDT")))</f>
        <v/>
      </c>
      <c r="D505" s="16" t="str">
        <f aca="false">IF(C505="","",IFERROR(INDEX(MASTER!$B$19:$B$109,MATCH(C505,MASTER!$A$19:$A$109,0)),"Asignar fase"))</f>
        <v/>
      </c>
      <c r="E505" s="9"/>
      <c r="F505" s="9"/>
      <c r="G505" s="9"/>
      <c r="H505" s="56"/>
      <c r="I505" s="43"/>
      <c r="J505" s="43"/>
      <c r="K505" s="16" t="str">
        <f aca="false">IF(A505="","",COUNTIF(RESTRICCIONES!$B$5:$B$304,A505))</f>
        <v/>
      </c>
      <c r="L505" s="16" t="str">
        <f aca="false">IF(A505="","",COUNTIFS(RESTRICCIONES!$B$5:$B$304,A505,RESTRICCIONES!$L$5:$L$304,"Pendiente"))</f>
        <v/>
      </c>
      <c r="M505" s="18" t="str">
        <f aca="false">IF(A505="","",IF(L505=0,"LISTA","RESTRINGIDA"))</f>
        <v/>
      </c>
      <c r="N505" s="51" t="str">
        <f aca="false">IF(OR(A505="",H505=""),"",IFERROR(MIN(1,SUMIF(SEMANAL!$C$7:$C$506,A505,SEMANAL!$W$7:$W$506)/H505),0))</f>
        <v/>
      </c>
      <c r="O505" s="57"/>
      <c r="P505" s="57"/>
      <c r="Q505" s="57"/>
      <c r="R505" s="57"/>
      <c r="S505" s="57"/>
      <c r="T505" s="57"/>
      <c r="U505" s="9"/>
    </row>
    <row r="506" customFormat="false" ht="15" hidden="false" customHeight="false" outlineLevel="0" collapsed="false">
      <c r="A506" s="9"/>
      <c r="B506" s="9"/>
      <c r="C506" s="16" t="str">
        <f aca="false">IF(B506="","",IFERROR(INDEX(EDT!$E$5:$E$436,MATCH(B506,EDT!$H$5:$H$436,0)),IFERROR(INDEX(CRONOGRAMA!$G$5:$G$5679,MATCH(A506,CRONOGRAMA!$A$5:$A$5679,0)),"Fuera EDT")))</f>
        <v/>
      </c>
      <c r="D506" s="16" t="str">
        <f aca="false">IF(C506="","",IFERROR(INDEX(MASTER!$B$19:$B$109,MATCH(C506,MASTER!$A$19:$A$109,0)),"Asignar fase"))</f>
        <v/>
      </c>
      <c r="E506" s="9"/>
      <c r="F506" s="9"/>
      <c r="G506" s="9"/>
      <c r="H506" s="56"/>
      <c r="I506" s="43"/>
      <c r="J506" s="43"/>
      <c r="K506" s="16" t="str">
        <f aca="false">IF(A506="","",COUNTIF(RESTRICCIONES!$B$5:$B$304,A506))</f>
        <v/>
      </c>
      <c r="L506" s="16" t="str">
        <f aca="false">IF(A506="","",COUNTIFS(RESTRICCIONES!$B$5:$B$304,A506,RESTRICCIONES!$L$5:$L$304,"Pendiente"))</f>
        <v/>
      </c>
      <c r="M506" s="18" t="str">
        <f aca="false">IF(A506="","",IF(L506=0,"LISTA","RESTRINGIDA"))</f>
        <v/>
      </c>
      <c r="N506" s="51" t="str">
        <f aca="false">IF(OR(A506="",H506=""),"",IFERROR(MIN(1,SUMIF(SEMANAL!$C$7:$C$506,A506,SEMANAL!$W$7:$W$506)/H506),0))</f>
        <v/>
      </c>
      <c r="O506" s="57"/>
      <c r="P506" s="57"/>
      <c r="Q506" s="57"/>
      <c r="R506" s="57"/>
      <c r="S506" s="57"/>
      <c r="T506" s="57"/>
      <c r="U506" s="9"/>
    </row>
    <row r="507" customFormat="false" ht="15" hidden="false" customHeight="false" outlineLevel="0" collapsed="false">
      <c r="A507" s="9"/>
      <c r="B507" s="9"/>
      <c r="C507" s="16" t="str">
        <f aca="false">IF(B507="","",IFERROR(INDEX(EDT!$E$5:$E$436,MATCH(B507,EDT!$H$5:$H$436,0)),IFERROR(INDEX(CRONOGRAMA!$G$5:$G$5679,MATCH(A507,CRONOGRAMA!$A$5:$A$5679,0)),"Fuera EDT")))</f>
        <v/>
      </c>
      <c r="D507" s="16" t="str">
        <f aca="false">IF(C507="","",IFERROR(INDEX(MASTER!$B$19:$B$109,MATCH(C507,MASTER!$A$19:$A$109,0)),"Asignar fase"))</f>
        <v/>
      </c>
      <c r="E507" s="9"/>
      <c r="F507" s="9"/>
      <c r="G507" s="9"/>
      <c r="H507" s="56"/>
      <c r="I507" s="43"/>
      <c r="J507" s="43"/>
      <c r="K507" s="16" t="str">
        <f aca="false">IF(A507="","",COUNTIF(RESTRICCIONES!$B$5:$B$304,A507))</f>
        <v/>
      </c>
      <c r="L507" s="16" t="str">
        <f aca="false">IF(A507="","",COUNTIFS(RESTRICCIONES!$B$5:$B$304,A507,RESTRICCIONES!$L$5:$L$304,"Pendiente"))</f>
        <v/>
      </c>
      <c r="M507" s="18" t="str">
        <f aca="false">IF(A507="","",IF(L507=0,"LISTA","RESTRINGIDA"))</f>
        <v/>
      </c>
      <c r="N507" s="51" t="str">
        <f aca="false">IF(OR(A507="",H507=""),"",IFERROR(MIN(1,SUMIF(SEMANAL!$C$7:$C$506,A507,SEMANAL!$W$7:$W$506)/H507),0))</f>
        <v/>
      </c>
      <c r="O507" s="57"/>
      <c r="P507" s="57"/>
      <c r="Q507" s="57"/>
      <c r="R507" s="57"/>
      <c r="S507" s="57"/>
      <c r="T507" s="57"/>
      <c r="U507" s="9"/>
    </row>
    <row r="508" customFormat="false" ht="15" hidden="false" customHeight="false" outlineLevel="0" collapsed="false">
      <c r="A508" s="9"/>
      <c r="B508" s="9"/>
      <c r="C508" s="16" t="str">
        <f aca="false">IF(B508="","",IFERROR(INDEX(EDT!$E$5:$E$436,MATCH(B508,EDT!$H$5:$H$436,0)),IFERROR(INDEX(CRONOGRAMA!$G$5:$G$5679,MATCH(A508,CRONOGRAMA!$A$5:$A$5679,0)),"Fuera EDT")))</f>
        <v/>
      </c>
      <c r="D508" s="16" t="str">
        <f aca="false">IF(C508="","",IFERROR(INDEX(MASTER!$B$19:$B$109,MATCH(C508,MASTER!$A$19:$A$109,0)),"Asignar fase"))</f>
        <v/>
      </c>
      <c r="E508" s="9"/>
      <c r="F508" s="9"/>
      <c r="G508" s="9"/>
      <c r="H508" s="56"/>
      <c r="I508" s="43"/>
      <c r="J508" s="43"/>
      <c r="K508" s="16" t="str">
        <f aca="false">IF(A508="","",COUNTIF(RESTRICCIONES!$B$5:$B$304,A508))</f>
        <v/>
      </c>
      <c r="L508" s="16" t="str">
        <f aca="false">IF(A508="","",COUNTIFS(RESTRICCIONES!$B$5:$B$304,A508,RESTRICCIONES!$L$5:$L$304,"Pendiente"))</f>
        <v/>
      </c>
      <c r="M508" s="18" t="str">
        <f aca="false">IF(A508="","",IF(L508=0,"LISTA","RESTRINGIDA"))</f>
        <v/>
      </c>
      <c r="N508" s="51" t="str">
        <f aca="false">IF(OR(A508="",H508=""),"",IFERROR(MIN(1,SUMIF(SEMANAL!$C$7:$C$506,A508,SEMANAL!$W$7:$W$506)/H508),0))</f>
        <v/>
      </c>
      <c r="O508" s="57"/>
      <c r="P508" s="57"/>
      <c r="Q508" s="57"/>
      <c r="R508" s="57"/>
      <c r="S508" s="57"/>
      <c r="T508" s="57"/>
      <c r="U508" s="9"/>
    </row>
    <row r="509" customFormat="false" ht="15" hidden="false" customHeight="false" outlineLevel="0" collapsed="false">
      <c r="A509" s="9"/>
      <c r="B509" s="9"/>
      <c r="C509" s="16" t="str">
        <f aca="false">IF(B509="","",IFERROR(INDEX(EDT!$E$5:$E$436,MATCH(B509,EDT!$H$5:$H$436,0)),IFERROR(INDEX(CRONOGRAMA!$G$5:$G$5679,MATCH(A509,CRONOGRAMA!$A$5:$A$5679,0)),"Fuera EDT")))</f>
        <v/>
      </c>
      <c r="D509" s="16" t="str">
        <f aca="false">IF(C509="","",IFERROR(INDEX(MASTER!$B$19:$B$109,MATCH(C509,MASTER!$A$19:$A$109,0)),"Asignar fase"))</f>
        <v/>
      </c>
      <c r="E509" s="9"/>
      <c r="F509" s="9"/>
      <c r="G509" s="9"/>
      <c r="H509" s="56"/>
      <c r="I509" s="43"/>
      <c r="J509" s="43"/>
      <c r="K509" s="16" t="str">
        <f aca="false">IF(A509="","",COUNTIF(RESTRICCIONES!$B$5:$B$304,A509))</f>
        <v/>
      </c>
      <c r="L509" s="16" t="str">
        <f aca="false">IF(A509="","",COUNTIFS(RESTRICCIONES!$B$5:$B$304,A509,RESTRICCIONES!$L$5:$L$304,"Pendiente"))</f>
        <v/>
      </c>
      <c r="M509" s="18" t="str">
        <f aca="false">IF(A509="","",IF(L509=0,"LISTA","RESTRINGIDA"))</f>
        <v/>
      </c>
      <c r="N509" s="51" t="str">
        <f aca="false">IF(OR(A509="",H509=""),"",IFERROR(MIN(1,SUMIF(SEMANAL!$C$7:$C$506,A509,SEMANAL!$W$7:$W$506)/H509),0))</f>
        <v/>
      </c>
      <c r="O509" s="57"/>
      <c r="P509" s="57"/>
      <c r="Q509" s="57"/>
      <c r="R509" s="57"/>
      <c r="S509" s="57"/>
      <c r="T509" s="57"/>
      <c r="U509" s="9"/>
    </row>
    <row r="510" customFormat="false" ht="15" hidden="false" customHeight="false" outlineLevel="0" collapsed="false">
      <c r="A510" s="9"/>
      <c r="B510" s="9"/>
      <c r="C510" s="16" t="str">
        <f aca="false">IF(B510="","",IFERROR(INDEX(EDT!$E$5:$E$436,MATCH(B510,EDT!$H$5:$H$436,0)),IFERROR(INDEX(CRONOGRAMA!$G$5:$G$5679,MATCH(A510,CRONOGRAMA!$A$5:$A$5679,0)),"Fuera EDT")))</f>
        <v/>
      </c>
      <c r="D510" s="16" t="str">
        <f aca="false">IF(C510="","",IFERROR(INDEX(MASTER!$B$19:$B$109,MATCH(C510,MASTER!$A$19:$A$109,0)),"Asignar fase"))</f>
        <v/>
      </c>
      <c r="E510" s="9"/>
      <c r="F510" s="9"/>
      <c r="G510" s="9"/>
      <c r="H510" s="56"/>
      <c r="I510" s="43"/>
      <c r="J510" s="43"/>
      <c r="K510" s="16" t="str">
        <f aca="false">IF(A510="","",COUNTIF(RESTRICCIONES!$B$5:$B$304,A510))</f>
        <v/>
      </c>
      <c r="L510" s="16" t="str">
        <f aca="false">IF(A510="","",COUNTIFS(RESTRICCIONES!$B$5:$B$304,A510,RESTRICCIONES!$L$5:$L$304,"Pendiente"))</f>
        <v/>
      </c>
      <c r="M510" s="18" t="str">
        <f aca="false">IF(A510="","",IF(L510=0,"LISTA","RESTRINGIDA"))</f>
        <v/>
      </c>
      <c r="N510" s="51" t="str">
        <f aca="false">IF(OR(A510="",H510=""),"",IFERROR(MIN(1,SUMIF(SEMANAL!$C$7:$C$506,A510,SEMANAL!$W$7:$W$506)/H510),0))</f>
        <v/>
      </c>
      <c r="O510" s="57"/>
      <c r="P510" s="57"/>
      <c r="Q510" s="57"/>
      <c r="R510" s="57"/>
      <c r="S510" s="57"/>
      <c r="T510" s="57"/>
      <c r="U510" s="9"/>
    </row>
    <row r="511" customFormat="false" ht="15" hidden="false" customHeight="false" outlineLevel="0" collapsed="false">
      <c r="A511" s="9"/>
      <c r="B511" s="9"/>
      <c r="C511" s="16" t="str">
        <f aca="false">IF(B511="","",IFERROR(INDEX(EDT!$E$5:$E$436,MATCH(B511,EDT!$H$5:$H$436,0)),IFERROR(INDEX(CRONOGRAMA!$G$5:$G$5679,MATCH(A511,CRONOGRAMA!$A$5:$A$5679,0)),"Fuera EDT")))</f>
        <v/>
      </c>
      <c r="D511" s="16" t="str">
        <f aca="false">IF(C511="","",IFERROR(INDEX(MASTER!$B$19:$B$109,MATCH(C511,MASTER!$A$19:$A$109,0)),"Asignar fase"))</f>
        <v/>
      </c>
      <c r="E511" s="9"/>
      <c r="F511" s="9"/>
      <c r="G511" s="9"/>
      <c r="H511" s="56"/>
      <c r="I511" s="43"/>
      <c r="J511" s="43"/>
      <c r="K511" s="16" t="str">
        <f aca="false">IF(A511="","",COUNTIF(RESTRICCIONES!$B$5:$B$304,A511))</f>
        <v/>
      </c>
      <c r="L511" s="16" t="str">
        <f aca="false">IF(A511="","",COUNTIFS(RESTRICCIONES!$B$5:$B$304,A511,RESTRICCIONES!$L$5:$L$304,"Pendiente"))</f>
        <v/>
      </c>
      <c r="M511" s="18" t="str">
        <f aca="false">IF(A511="","",IF(L511=0,"LISTA","RESTRINGIDA"))</f>
        <v/>
      </c>
      <c r="N511" s="51" t="str">
        <f aca="false">IF(OR(A511="",H511=""),"",IFERROR(MIN(1,SUMIF(SEMANAL!$C$7:$C$506,A511,SEMANAL!$W$7:$W$506)/H511),0))</f>
        <v/>
      </c>
      <c r="O511" s="57"/>
      <c r="P511" s="57"/>
      <c r="Q511" s="57"/>
      <c r="R511" s="57"/>
      <c r="S511" s="57"/>
      <c r="T511" s="57"/>
      <c r="U511" s="9"/>
    </row>
    <row r="512" customFormat="false" ht="15" hidden="false" customHeight="false" outlineLevel="0" collapsed="false">
      <c r="A512" s="9"/>
      <c r="B512" s="9"/>
      <c r="C512" s="16" t="str">
        <f aca="false">IF(B512="","",IFERROR(INDEX(EDT!$E$5:$E$436,MATCH(B512,EDT!$H$5:$H$436,0)),IFERROR(INDEX(CRONOGRAMA!$G$5:$G$5679,MATCH(A512,CRONOGRAMA!$A$5:$A$5679,0)),"Fuera EDT")))</f>
        <v/>
      </c>
      <c r="D512" s="16" t="str">
        <f aca="false">IF(C512="","",IFERROR(INDEX(MASTER!$B$19:$B$109,MATCH(C512,MASTER!$A$19:$A$109,0)),"Asignar fase"))</f>
        <v/>
      </c>
      <c r="E512" s="9"/>
      <c r="F512" s="9"/>
      <c r="G512" s="9"/>
      <c r="H512" s="56"/>
      <c r="I512" s="43"/>
      <c r="J512" s="43"/>
      <c r="K512" s="16" t="str">
        <f aca="false">IF(A512="","",COUNTIF(RESTRICCIONES!$B$5:$B$304,A512))</f>
        <v/>
      </c>
      <c r="L512" s="16" t="str">
        <f aca="false">IF(A512="","",COUNTIFS(RESTRICCIONES!$B$5:$B$304,A512,RESTRICCIONES!$L$5:$L$304,"Pendiente"))</f>
        <v/>
      </c>
      <c r="M512" s="18" t="str">
        <f aca="false">IF(A512="","",IF(L512=0,"LISTA","RESTRINGIDA"))</f>
        <v/>
      </c>
      <c r="N512" s="51" t="str">
        <f aca="false">IF(OR(A512="",H512=""),"",IFERROR(MIN(1,SUMIF(SEMANAL!$C$7:$C$506,A512,SEMANAL!$W$7:$W$506)/H512),0))</f>
        <v/>
      </c>
      <c r="O512" s="57"/>
      <c r="P512" s="57"/>
      <c r="Q512" s="57"/>
      <c r="R512" s="57"/>
      <c r="S512" s="57"/>
      <c r="T512" s="57"/>
      <c r="U512" s="9"/>
    </row>
    <row r="513" customFormat="false" ht="15" hidden="false" customHeight="false" outlineLevel="0" collapsed="false">
      <c r="A513" s="9"/>
      <c r="B513" s="9"/>
      <c r="C513" s="16" t="str">
        <f aca="false">IF(B513="","",IFERROR(INDEX(EDT!$E$5:$E$436,MATCH(B513,EDT!$H$5:$H$436,0)),IFERROR(INDEX(CRONOGRAMA!$G$5:$G$5679,MATCH(A513,CRONOGRAMA!$A$5:$A$5679,0)),"Fuera EDT")))</f>
        <v/>
      </c>
      <c r="D513" s="16" t="str">
        <f aca="false">IF(C513="","",IFERROR(INDEX(MASTER!$B$19:$B$109,MATCH(C513,MASTER!$A$19:$A$109,0)),"Asignar fase"))</f>
        <v/>
      </c>
      <c r="E513" s="9"/>
      <c r="F513" s="9"/>
      <c r="G513" s="9"/>
      <c r="H513" s="56"/>
      <c r="I513" s="43"/>
      <c r="J513" s="43"/>
      <c r="K513" s="16" t="str">
        <f aca="false">IF(A513="","",COUNTIF(RESTRICCIONES!$B$5:$B$304,A513))</f>
        <v/>
      </c>
      <c r="L513" s="16" t="str">
        <f aca="false">IF(A513="","",COUNTIFS(RESTRICCIONES!$B$5:$B$304,A513,RESTRICCIONES!$L$5:$L$304,"Pendiente"))</f>
        <v/>
      </c>
      <c r="M513" s="18" t="str">
        <f aca="false">IF(A513="","",IF(L513=0,"LISTA","RESTRINGIDA"))</f>
        <v/>
      </c>
      <c r="N513" s="51" t="str">
        <f aca="false">IF(OR(A513="",H513=""),"",IFERROR(MIN(1,SUMIF(SEMANAL!$C$7:$C$506,A513,SEMANAL!$W$7:$W$506)/H513),0))</f>
        <v/>
      </c>
      <c r="O513" s="57"/>
      <c r="P513" s="57"/>
      <c r="Q513" s="57"/>
      <c r="R513" s="57"/>
      <c r="S513" s="57"/>
      <c r="T513" s="57"/>
      <c r="U513" s="9"/>
    </row>
    <row r="514" customFormat="false" ht="15" hidden="false" customHeight="false" outlineLevel="0" collapsed="false">
      <c r="A514" s="9"/>
      <c r="B514" s="9"/>
      <c r="C514" s="16" t="str">
        <f aca="false">IF(B514="","",IFERROR(INDEX(EDT!$E$5:$E$436,MATCH(B514,EDT!$H$5:$H$436,0)),IFERROR(INDEX(CRONOGRAMA!$G$5:$G$5679,MATCH(A514,CRONOGRAMA!$A$5:$A$5679,0)),"Fuera EDT")))</f>
        <v/>
      </c>
      <c r="D514" s="16" t="str">
        <f aca="false">IF(C514="","",IFERROR(INDEX(MASTER!$B$19:$B$109,MATCH(C514,MASTER!$A$19:$A$109,0)),"Asignar fase"))</f>
        <v/>
      </c>
      <c r="E514" s="9"/>
      <c r="F514" s="9"/>
      <c r="G514" s="9"/>
      <c r="H514" s="56"/>
      <c r="I514" s="43"/>
      <c r="J514" s="43"/>
      <c r="K514" s="16" t="str">
        <f aca="false">IF(A514="","",COUNTIF(RESTRICCIONES!$B$5:$B$304,A514))</f>
        <v/>
      </c>
      <c r="L514" s="16" t="str">
        <f aca="false">IF(A514="","",COUNTIFS(RESTRICCIONES!$B$5:$B$304,A514,RESTRICCIONES!$L$5:$L$304,"Pendiente"))</f>
        <v/>
      </c>
      <c r="M514" s="18" t="str">
        <f aca="false">IF(A514="","",IF(L514=0,"LISTA","RESTRINGIDA"))</f>
        <v/>
      </c>
      <c r="N514" s="51" t="str">
        <f aca="false">IF(OR(A514="",H514=""),"",IFERROR(MIN(1,SUMIF(SEMANAL!$C$7:$C$506,A514,SEMANAL!$W$7:$W$506)/H514),0))</f>
        <v/>
      </c>
      <c r="O514" s="57"/>
      <c r="P514" s="57"/>
      <c r="Q514" s="57"/>
      <c r="R514" s="57"/>
      <c r="S514" s="57"/>
      <c r="T514" s="57"/>
      <c r="U514" s="9"/>
    </row>
    <row r="515" customFormat="false" ht="15" hidden="false" customHeight="false" outlineLevel="0" collapsed="false">
      <c r="A515" s="9"/>
      <c r="B515" s="9"/>
      <c r="C515" s="16" t="str">
        <f aca="false">IF(B515="","",IFERROR(INDEX(EDT!$E$5:$E$436,MATCH(B515,EDT!$H$5:$H$436,0)),IFERROR(INDEX(CRONOGRAMA!$G$5:$G$5679,MATCH(A515,CRONOGRAMA!$A$5:$A$5679,0)),"Fuera EDT")))</f>
        <v/>
      </c>
      <c r="D515" s="16" t="str">
        <f aca="false">IF(C515="","",IFERROR(INDEX(MASTER!$B$19:$B$109,MATCH(C515,MASTER!$A$19:$A$109,0)),"Asignar fase"))</f>
        <v/>
      </c>
      <c r="E515" s="9"/>
      <c r="F515" s="9"/>
      <c r="G515" s="9"/>
      <c r="H515" s="56"/>
      <c r="I515" s="43"/>
      <c r="J515" s="43"/>
      <c r="K515" s="16" t="str">
        <f aca="false">IF(A515="","",COUNTIF(RESTRICCIONES!$B$5:$B$304,A515))</f>
        <v/>
      </c>
      <c r="L515" s="16" t="str">
        <f aca="false">IF(A515="","",COUNTIFS(RESTRICCIONES!$B$5:$B$304,A515,RESTRICCIONES!$L$5:$L$304,"Pendiente"))</f>
        <v/>
      </c>
      <c r="M515" s="18" t="str">
        <f aca="false">IF(A515="","",IF(L515=0,"LISTA","RESTRINGIDA"))</f>
        <v/>
      </c>
      <c r="N515" s="51" t="str">
        <f aca="false">IF(OR(A515="",H515=""),"",IFERROR(MIN(1,SUMIF(SEMANAL!$C$7:$C$506,A515,SEMANAL!$W$7:$W$506)/H515),0))</f>
        <v/>
      </c>
      <c r="O515" s="57"/>
      <c r="P515" s="57"/>
      <c r="Q515" s="57"/>
      <c r="R515" s="57"/>
      <c r="S515" s="57"/>
      <c r="T515" s="57"/>
      <c r="U515" s="9"/>
    </row>
    <row r="516" customFormat="false" ht="15" hidden="false" customHeight="false" outlineLevel="0" collapsed="false">
      <c r="A516" s="9"/>
      <c r="B516" s="9"/>
      <c r="C516" s="16" t="str">
        <f aca="false">IF(B516="","",IFERROR(INDEX(EDT!$E$5:$E$436,MATCH(B516,EDT!$H$5:$H$436,0)),IFERROR(INDEX(CRONOGRAMA!$G$5:$G$5679,MATCH(A516,CRONOGRAMA!$A$5:$A$5679,0)),"Fuera EDT")))</f>
        <v/>
      </c>
      <c r="D516" s="16" t="str">
        <f aca="false">IF(C516="","",IFERROR(INDEX(MASTER!$B$19:$B$109,MATCH(C516,MASTER!$A$19:$A$109,0)),"Asignar fase"))</f>
        <v/>
      </c>
      <c r="E516" s="9"/>
      <c r="F516" s="9"/>
      <c r="G516" s="9"/>
      <c r="H516" s="56"/>
      <c r="I516" s="43"/>
      <c r="J516" s="43"/>
      <c r="K516" s="16" t="str">
        <f aca="false">IF(A516="","",COUNTIF(RESTRICCIONES!$B$5:$B$304,A516))</f>
        <v/>
      </c>
      <c r="L516" s="16" t="str">
        <f aca="false">IF(A516="","",COUNTIFS(RESTRICCIONES!$B$5:$B$304,A516,RESTRICCIONES!$L$5:$L$304,"Pendiente"))</f>
        <v/>
      </c>
      <c r="M516" s="18" t="str">
        <f aca="false">IF(A516="","",IF(L516=0,"LISTA","RESTRINGIDA"))</f>
        <v/>
      </c>
      <c r="N516" s="51" t="str">
        <f aca="false">IF(OR(A516="",H516=""),"",IFERROR(MIN(1,SUMIF(SEMANAL!$C$7:$C$506,A516,SEMANAL!$W$7:$W$506)/H516),0))</f>
        <v/>
      </c>
      <c r="O516" s="57"/>
      <c r="P516" s="57"/>
      <c r="Q516" s="57"/>
      <c r="R516" s="57"/>
      <c r="S516" s="57"/>
      <c r="T516" s="57"/>
      <c r="U516" s="9"/>
    </row>
    <row r="517" customFormat="false" ht="15" hidden="false" customHeight="false" outlineLevel="0" collapsed="false">
      <c r="A517" s="9"/>
      <c r="B517" s="9"/>
      <c r="C517" s="16" t="str">
        <f aca="false">IF(B517="","",IFERROR(INDEX(EDT!$E$5:$E$436,MATCH(B517,EDT!$H$5:$H$436,0)),IFERROR(INDEX(CRONOGRAMA!$G$5:$G$5679,MATCH(A517,CRONOGRAMA!$A$5:$A$5679,0)),"Fuera EDT")))</f>
        <v/>
      </c>
      <c r="D517" s="16" t="str">
        <f aca="false">IF(C517="","",IFERROR(INDEX(MASTER!$B$19:$B$109,MATCH(C517,MASTER!$A$19:$A$109,0)),"Asignar fase"))</f>
        <v/>
      </c>
      <c r="E517" s="9"/>
      <c r="F517" s="9"/>
      <c r="G517" s="9"/>
      <c r="H517" s="56"/>
      <c r="I517" s="43"/>
      <c r="J517" s="43"/>
      <c r="K517" s="16" t="str">
        <f aca="false">IF(A517="","",COUNTIF(RESTRICCIONES!$B$5:$B$304,A517))</f>
        <v/>
      </c>
      <c r="L517" s="16" t="str">
        <f aca="false">IF(A517="","",COUNTIFS(RESTRICCIONES!$B$5:$B$304,A517,RESTRICCIONES!$L$5:$L$304,"Pendiente"))</f>
        <v/>
      </c>
      <c r="M517" s="18" t="str">
        <f aca="false">IF(A517="","",IF(L517=0,"LISTA","RESTRINGIDA"))</f>
        <v/>
      </c>
      <c r="N517" s="51" t="str">
        <f aca="false">IF(OR(A517="",H517=""),"",IFERROR(MIN(1,SUMIF(SEMANAL!$C$7:$C$506,A517,SEMANAL!$W$7:$W$506)/H517),0))</f>
        <v/>
      </c>
      <c r="O517" s="57"/>
      <c r="P517" s="57"/>
      <c r="Q517" s="57"/>
      <c r="R517" s="57"/>
      <c r="S517" s="57"/>
      <c r="T517" s="57"/>
      <c r="U517" s="9"/>
    </row>
    <row r="518" customFormat="false" ht="15" hidden="false" customHeight="false" outlineLevel="0" collapsed="false">
      <c r="A518" s="9"/>
      <c r="B518" s="9"/>
      <c r="C518" s="16" t="str">
        <f aca="false">IF(B518="","",IFERROR(INDEX(EDT!$E$5:$E$436,MATCH(B518,EDT!$H$5:$H$436,0)),IFERROR(INDEX(CRONOGRAMA!$G$5:$G$5679,MATCH(A518,CRONOGRAMA!$A$5:$A$5679,0)),"Fuera EDT")))</f>
        <v/>
      </c>
      <c r="D518" s="16" t="str">
        <f aca="false">IF(C518="","",IFERROR(INDEX(MASTER!$B$19:$B$109,MATCH(C518,MASTER!$A$19:$A$109,0)),"Asignar fase"))</f>
        <v/>
      </c>
      <c r="E518" s="9"/>
      <c r="F518" s="9"/>
      <c r="G518" s="9"/>
      <c r="H518" s="56"/>
      <c r="I518" s="43"/>
      <c r="J518" s="43"/>
      <c r="K518" s="16" t="str">
        <f aca="false">IF(A518="","",COUNTIF(RESTRICCIONES!$B$5:$B$304,A518))</f>
        <v/>
      </c>
      <c r="L518" s="16" t="str">
        <f aca="false">IF(A518="","",COUNTIFS(RESTRICCIONES!$B$5:$B$304,A518,RESTRICCIONES!$L$5:$L$304,"Pendiente"))</f>
        <v/>
      </c>
      <c r="M518" s="18" t="str">
        <f aca="false">IF(A518="","",IF(L518=0,"LISTA","RESTRINGIDA"))</f>
        <v/>
      </c>
      <c r="N518" s="51" t="str">
        <f aca="false">IF(OR(A518="",H518=""),"",IFERROR(MIN(1,SUMIF(SEMANAL!$C$7:$C$506,A518,SEMANAL!$W$7:$W$506)/H518),0))</f>
        <v/>
      </c>
      <c r="O518" s="57"/>
      <c r="P518" s="57"/>
      <c r="Q518" s="57"/>
      <c r="R518" s="57"/>
      <c r="S518" s="57"/>
      <c r="T518" s="57"/>
      <c r="U518" s="9"/>
    </row>
    <row r="519" customFormat="false" ht="15" hidden="false" customHeight="false" outlineLevel="0" collapsed="false">
      <c r="A519" s="9"/>
      <c r="B519" s="9"/>
      <c r="C519" s="16" t="str">
        <f aca="false">IF(B519="","",IFERROR(INDEX(EDT!$E$5:$E$436,MATCH(B519,EDT!$H$5:$H$436,0)),IFERROR(INDEX(CRONOGRAMA!$G$5:$G$5679,MATCH(A519,CRONOGRAMA!$A$5:$A$5679,0)),"Fuera EDT")))</f>
        <v/>
      </c>
      <c r="D519" s="16" t="str">
        <f aca="false">IF(C519="","",IFERROR(INDEX(MASTER!$B$19:$B$109,MATCH(C519,MASTER!$A$19:$A$109,0)),"Asignar fase"))</f>
        <v/>
      </c>
      <c r="E519" s="9"/>
      <c r="F519" s="9"/>
      <c r="G519" s="9"/>
      <c r="H519" s="56"/>
      <c r="I519" s="43"/>
      <c r="J519" s="43"/>
      <c r="K519" s="16" t="str">
        <f aca="false">IF(A519="","",COUNTIF(RESTRICCIONES!$B$5:$B$304,A519))</f>
        <v/>
      </c>
      <c r="L519" s="16" t="str">
        <f aca="false">IF(A519="","",COUNTIFS(RESTRICCIONES!$B$5:$B$304,A519,RESTRICCIONES!$L$5:$L$304,"Pendiente"))</f>
        <v/>
      </c>
      <c r="M519" s="18" t="str">
        <f aca="false">IF(A519="","",IF(L519=0,"LISTA","RESTRINGIDA"))</f>
        <v/>
      </c>
      <c r="N519" s="51" t="str">
        <f aca="false">IF(OR(A519="",H519=""),"",IFERROR(MIN(1,SUMIF(SEMANAL!$C$7:$C$506,A519,SEMANAL!$W$7:$W$506)/H519),0))</f>
        <v/>
      </c>
      <c r="O519" s="57"/>
      <c r="P519" s="57"/>
      <c r="Q519" s="57"/>
      <c r="R519" s="57"/>
      <c r="S519" s="57"/>
      <c r="T519" s="57"/>
      <c r="U519" s="9"/>
    </row>
    <row r="520" customFormat="false" ht="15" hidden="false" customHeight="false" outlineLevel="0" collapsed="false">
      <c r="A520" s="9"/>
      <c r="B520" s="9"/>
      <c r="C520" s="16" t="str">
        <f aca="false">IF(B520="","",IFERROR(INDEX(EDT!$E$5:$E$436,MATCH(B520,EDT!$H$5:$H$436,0)),IFERROR(INDEX(CRONOGRAMA!$G$5:$G$5679,MATCH(A520,CRONOGRAMA!$A$5:$A$5679,0)),"Fuera EDT")))</f>
        <v/>
      </c>
      <c r="D520" s="16" t="str">
        <f aca="false">IF(C520="","",IFERROR(INDEX(MASTER!$B$19:$B$109,MATCH(C520,MASTER!$A$19:$A$109,0)),"Asignar fase"))</f>
        <v/>
      </c>
      <c r="E520" s="9"/>
      <c r="F520" s="9"/>
      <c r="G520" s="9"/>
      <c r="H520" s="56"/>
      <c r="I520" s="43"/>
      <c r="J520" s="43"/>
      <c r="K520" s="16" t="str">
        <f aca="false">IF(A520="","",COUNTIF(RESTRICCIONES!$B$5:$B$304,A520))</f>
        <v/>
      </c>
      <c r="L520" s="16" t="str">
        <f aca="false">IF(A520="","",COUNTIFS(RESTRICCIONES!$B$5:$B$304,A520,RESTRICCIONES!$L$5:$L$304,"Pendiente"))</f>
        <v/>
      </c>
      <c r="M520" s="18" t="str">
        <f aca="false">IF(A520="","",IF(L520=0,"LISTA","RESTRINGIDA"))</f>
        <v/>
      </c>
      <c r="N520" s="51" t="str">
        <f aca="false">IF(OR(A520="",H520=""),"",IFERROR(MIN(1,SUMIF(SEMANAL!$C$7:$C$506,A520,SEMANAL!$W$7:$W$506)/H520),0))</f>
        <v/>
      </c>
      <c r="O520" s="57"/>
      <c r="P520" s="57"/>
      <c r="Q520" s="57"/>
      <c r="R520" s="57"/>
      <c r="S520" s="57"/>
      <c r="T520" s="57"/>
      <c r="U520" s="9"/>
    </row>
    <row r="521" customFormat="false" ht="15" hidden="false" customHeight="false" outlineLevel="0" collapsed="false">
      <c r="A521" s="9"/>
      <c r="B521" s="9"/>
      <c r="C521" s="16" t="str">
        <f aca="false">IF(B521="","",IFERROR(INDEX(EDT!$E$5:$E$436,MATCH(B521,EDT!$H$5:$H$436,0)),IFERROR(INDEX(CRONOGRAMA!$G$5:$G$5679,MATCH(A521,CRONOGRAMA!$A$5:$A$5679,0)),"Fuera EDT")))</f>
        <v/>
      </c>
      <c r="D521" s="16" t="str">
        <f aca="false">IF(C521="","",IFERROR(INDEX(MASTER!$B$19:$B$109,MATCH(C521,MASTER!$A$19:$A$109,0)),"Asignar fase"))</f>
        <v/>
      </c>
      <c r="E521" s="9"/>
      <c r="F521" s="9"/>
      <c r="G521" s="9"/>
      <c r="H521" s="56"/>
      <c r="I521" s="43"/>
      <c r="J521" s="43"/>
      <c r="K521" s="16" t="str">
        <f aca="false">IF(A521="","",COUNTIF(RESTRICCIONES!$B$5:$B$304,A521))</f>
        <v/>
      </c>
      <c r="L521" s="16" t="str">
        <f aca="false">IF(A521="","",COUNTIFS(RESTRICCIONES!$B$5:$B$304,A521,RESTRICCIONES!$L$5:$L$304,"Pendiente"))</f>
        <v/>
      </c>
      <c r="M521" s="18" t="str">
        <f aca="false">IF(A521="","",IF(L521=0,"LISTA","RESTRINGIDA"))</f>
        <v/>
      </c>
      <c r="N521" s="51" t="str">
        <f aca="false">IF(OR(A521="",H521=""),"",IFERROR(MIN(1,SUMIF(SEMANAL!$C$7:$C$506,A521,SEMANAL!$W$7:$W$506)/H521),0))</f>
        <v/>
      </c>
      <c r="O521" s="57"/>
      <c r="P521" s="57"/>
      <c r="Q521" s="57"/>
      <c r="R521" s="57"/>
      <c r="S521" s="57"/>
      <c r="T521" s="57"/>
      <c r="U521" s="9"/>
    </row>
    <row r="522" customFormat="false" ht="15" hidden="false" customHeight="false" outlineLevel="0" collapsed="false">
      <c r="A522" s="9"/>
      <c r="B522" s="9"/>
      <c r="C522" s="16" t="str">
        <f aca="false">IF(B522="","",IFERROR(INDEX(EDT!$E$5:$E$436,MATCH(B522,EDT!$H$5:$H$436,0)),IFERROR(INDEX(CRONOGRAMA!$G$5:$G$5679,MATCH(A522,CRONOGRAMA!$A$5:$A$5679,0)),"Fuera EDT")))</f>
        <v/>
      </c>
      <c r="D522" s="16" t="str">
        <f aca="false">IF(C522="","",IFERROR(INDEX(MASTER!$B$19:$B$109,MATCH(C522,MASTER!$A$19:$A$109,0)),"Asignar fase"))</f>
        <v/>
      </c>
      <c r="E522" s="9"/>
      <c r="F522" s="9"/>
      <c r="G522" s="9"/>
      <c r="H522" s="56"/>
      <c r="I522" s="43"/>
      <c r="J522" s="43"/>
      <c r="K522" s="16" t="str">
        <f aca="false">IF(A522="","",COUNTIF(RESTRICCIONES!$B$5:$B$304,A522))</f>
        <v/>
      </c>
      <c r="L522" s="16" t="str">
        <f aca="false">IF(A522="","",COUNTIFS(RESTRICCIONES!$B$5:$B$304,A522,RESTRICCIONES!$L$5:$L$304,"Pendiente"))</f>
        <v/>
      </c>
      <c r="M522" s="18" t="str">
        <f aca="false">IF(A522="","",IF(L522=0,"LISTA","RESTRINGIDA"))</f>
        <v/>
      </c>
      <c r="N522" s="51" t="str">
        <f aca="false">IF(OR(A522="",H522=""),"",IFERROR(MIN(1,SUMIF(SEMANAL!$C$7:$C$506,A522,SEMANAL!$W$7:$W$506)/H522),0))</f>
        <v/>
      </c>
      <c r="O522" s="57"/>
      <c r="P522" s="57"/>
      <c r="Q522" s="57"/>
      <c r="R522" s="57"/>
      <c r="S522" s="57"/>
      <c r="T522" s="57"/>
      <c r="U522" s="9"/>
    </row>
    <row r="523" customFormat="false" ht="15" hidden="false" customHeight="false" outlineLevel="0" collapsed="false">
      <c r="A523" s="9"/>
      <c r="B523" s="9"/>
      <c r="C523" s="16" t="str">
        <f aca="false">IF(B523="","",IFERROR(INDEX(EDT!$E$5:$E$436,MATCH(B523,EDT!$H$5:$H$436,0)),IFERROR(INDEX(CRONOGRAMA!$G$5:$G$5679,MATCH(A523,CRONOGRAMA!$A$5:$A$5679,0)),"Fuera EDT")))</f>
        <v/>
      </c>
      <c r="D523" s="16" t="str">
        <f aca="false">IF(C523="","",IFERROR(INDEX(MASTER!$B$19:$B$109,MATCH(C523,MASTER!$A$19:$A$109,0)),"Asignar fase"))</f>
        <v/>
      </c>
      <c r="E523" s="9"/>
      <c r="F523" s="9"/>
      <c r="G523" s="9"/>
      <c r="H523" s="56"/>
      <c r="I523" s="43"/>
      <c r="J523" s="43"/>
      <c r="K523" s="16" t="str">
        <f aca="false">IF(A523="","",COUNTIF(RESTRICCIONES!$B$5:$B$304,A523))</f>
        <v/>
      </c>
      <c r="L523" s="16" t="str">
        <f aca="false">IF(A523="","",COUNTIFS(RESTRICCIONES!$B$5:$B$304,A523,RESTRICCIONES!$L$5:$L$304,"Pendiente"))</f>
        <v/>
      </c>
      <c r="M523" s="18" t="str">
        <f aca="false">IF(A523="","",IF(L523=0,"LISTA","RESTRINGIDA"))</f>
        <v/>
      </c>
      <c r="N523" s="51" t="str">
        <f aca="false">IF(OR(A523="",H523=""),"",IFERROR(MIN(1,SUMIF(SEMANAL!$C$7:$C$506,A523,SEMANAL!$W$7:$W$506)/H523),0))</f>
        <v/>
      </c>
      <c r="O523" s="57"/>
      <c r="P523" s="57"/>
      <c r="Q523" s="57"/>
      <c r="R523" s="57"/>
      <c r="S523" s="57"/>
      <c r="T523" s="57"/>
      <c r="U523" s="9"/>
    </row>
    <row r="524" customFormat="false" ht="15" hidden="false" customHeight="false" outlineLevel="0" collapsed="false">
      <c r="A524" s="9"/>
      <c r="B524" s="9"/>
      <c r="C524" s="16" t="str">
        <f aca="false">IF(B524="","",IFERROR(INDEX(EDT!$E$5:$E$436,MATCH(B524,EDT!$H$5:$H$436,0)),IFERROR(INDEX(CRONOGRAMA!$G$5:$G$5679,MATCH(A524,CRONOGRAMA!$A$5:$A$5679,0)),"Fuera EDT")))</f>
        <v/>
      </c>
      <c r="D524" s="16" t="str">
        <f aca="false">IF(C524="","",IFERROR(INDEX(MASTER!$B$19:$B$109,MATCH(C524,MASTER!$A$19:$A$109,0)),"Asignar fase"))</f>
        <v/>
      </c>
      <c r="E524" s="9"/>
      <c r="F524" s="9"/>
      <c r="G524" s="9"/>
      <c r="H524" s="56"/>
      <c r="I524" s="43"/>
      <c r="J524" s="43"/>
      <c r="K524" s="16" t="str">
        <f aca="false">IF(A524="","",COUNTIF(RESTRICCIONES!$B$5:$B$304,A524))</f>
        <v/>
      </c>
      <c r="L524" s="16" t="str">
        <f aca="false">IF(A524="","",COUNTIFS(RESTRICCIONES!$B$5:$B$304,A524,RESTRICCIONES!$L$5:$L$304,"Pendiente"))</f>
        <v/>
      </c>
      <c r="M524" s="18" t="str">
        <f aca="false">IF(A524="","",IF(L524=0,"LISTA","RESTRINGIDA"))</f>
        <v/>
      </c>
      <c r="N524" s="51" t="str">
        <f aca="false">IF(OR(A524="",H524=""),"",IFERROR(MIN(1,SUMIF(SEMANAL!$C$7:$C$506,A524,SEMANAL!$W$7:$W$506)/H524),0))</f>
        <v/>
      </c>
      <c r="O524" s="57"/>
      <c r="P524" s="57"/>
      <c r="Q524" s="57"/>
      <c r="R524" s="57"/>
      <c r="S524" s="57"/>
      <c r="T524" s="57"/>
      <c r="U524" s="9"/>
    </row>
    <row r="525" customFormat="false" ht="15" hidden="false" customHeight="false" outlineLevel="0" collapsed="false">
      <c r="A525" s="9"/>
      <c r="B525" s="9"/>
      <c r="C525" s="16" t="str">
        <f aca="false">IF(B525="","",IFERROR(INDEX(EDT!$E$5:$E$436,MATCH(B525,EDT!$H$5:$H$436,0)),IFERROR(INDEX(CRONOGRAMA!$G$5:$G$5679,MATCH(A525,CRONOGRAMA!$A$5:$A$5679,0)),"Fuera EDT")))</f>
        <v/>
      </c>
      <c r="D525" s="16" t="str">
        <f aca="false">IF(C525="","",IFERROR(INDEX(MASTER!$B$19:$B$109,MATCH(C525,MASTER!$A$19:$A$109,0)),"Asignar fase"))</f>
        <v/>
      </c>
      <c r="E525" s="9"/>
      <c r="F525" s="9"/>
      <c r="G525" s="9"/>
      <c r="H525" s="56"/>
      <c r="I525" s="43"/>
      <c r="J525" s="43"/>
      <c r="K525" s="16" t="str">
        <f aca="false">IF(A525="","",COUNTIF(RESTRICCIONES!$B$5:$B$304,A525))</f>
        <v/>
      </c>
      <c r="L525" s="16" t="str">
        <f aca="false">IF(A525="","",COUNTIFS(RESTRICCIONES!$B$5:$B$304,A525,RESTRICCIONES!$L$5:$L$304,"Pendiente"))</f>
        <v/>
      </c>
      <c r="M525" s="18" t="str">
        <f aca="false">IF(A525="","",IF(L525=0,"LISTA","RESTRINGIDA"))</f>
        <v/>
      </c>
      <c r="N525" s="51" t="str">
        <f aca="false">IF(OR(A525="",H525=""),"",IFERROR(MIN(1,SUMIF(SEMANAL!$C$7:$C$506,A525,SEMANAL!$W$7:$W$506)/H525),0))</f>
        <v/>
      </c>
      <c r="O525" s="57"/>
      <c r="P525" s="57"/>
      <c r="Q525" s="57"/>
      <c r="R525" s="57"/>
      <c r="S525" s="57"/>
      <c r="T525" s="57"/>
      <c r="U525" s="9"/>
    </row>
    <row r="526" customFormat="false" ht="15" hidden="false" customHeight="false" outlineLevel="0" collapsed="false">
      <c r="A526" s="9"/>
      <c r="B526" s="9"/>
      <c r="C526" s="16" t="str">
        <f aca="false">IF(B526="","",IFERROR(INDEX(EDT!$E$5:$E$436,MATCH(B526,EDT!$H$5:$H$436,0)),IFERROR(INDEX(CRONOGRAMA!$G$5:$G$5679,MATCH(A526,CRONOGRAMA!$A$5:$A$5679,0)),"Fuera EDT")))</f>
        <v/>
      </c>
      <c r="D526" s="16" t="str">
        <f aca="false">IF(C526="","",IFERROR(INDEX(MASTER!$B$19:$B$109,MATCH(C526,MASTER!$A$19:$A$109,0)),"Asignar fase"))</f>
        <v/>
      </c>
      <c r="E526" s="9"/>
      <c r="F526" s="9"/>
      <c r="G526" s="9"/>
      <c r="H526" s="56"/>
      <c r="I526" s="43"/>
      <c r="J526" s="43"/>
      <c r="K526" s="16" t="str">
        <f aca="false">IF(A526="","",COUNTIF(RESTRICCIONES!$B$5:$B$304,A526))</f>
        <v/>
      </c>
      <c r="L526" s="16" t="str">
        <f aca="false">IF(A526="","",COUNTIFS(RESTRICCIONES!$B$5:$B$304,A526,RESTRICCIONES!$L$5:$L$304,"Pendiente"))</f>
        <v/>
      </c>
      <c r="M526" s="18" t="str">
        <f aca="false">IF(A526="","",IF(L526=0,"LISTA","RESTRINGIDA"))</f>
        <v/>
      </c>
      <c r="N526" s="51" t="str">
        <f aca="false">IF(OR(A526="",H526=""),"",IFERROR(MIN(1,SUMIF(SEMANAL!$C$7:$C$506,A526,SEMANAL!$W$7:$W$506)/H526),0))</f>
        <v/>
      </c>
      <c r="O526" s="57"/>
      <c r="P526" s="57"/>
      <c r="Q526" s="57"/>
      <c r="R526" s="57"/>
      <c r="S526" s="57"/>
      <c r="T526" s="57"/>
      <c r="U526" s="9"/>
    </row>
    <row r="527" customFormat="false" ht="15" hidden="false" customHeight="false" outlineLevel="0" collapsed="false">
      <c r="A527" s="9"/>
      <c r="B527" s="9"/>
      <c r="C527" s="16" t="str">
        <f aca="false">IF(B527="","",IFERROR(INDEX(EDT!$E$5:$E$436,MATCH(B527,EDT!$H$5:$H$436,0)),IFERROR(INDEX(CRONOGRAMA!$G$5:$G$5679,MATCH(A527,CRONOGRAMA!$A$5:$A$5679,0)),"Fuera EDT")))</f>
        <v/>
      </c>
      <c r="D527" s="16" t="str">
        <f aca="false">IF(C527="","",IFERROR(INDEX(MASTER!$B$19:$B$109,MATCH(C527,MASTER!$A$19:$A$109,0)),"Asignar fase"))</f>
        <v/>
      </c>
      <c r="E527" s="9"/>
      <c r="F527" s="9"/>
      <c r="G527" s="9"/>
      <c r="H527" s="56"/>
      <c r="I527" s="43"/>
      <c r="J527" s="43"/>
      <c r="K527" s="16" t="str">
        <f aca="false">IF(A527="","",COUNTIF(RESTRICCIONES!$B$5:$B$304,A527))</f>
        <v/>
      </c>
      <c r="L527" s="16" t="str">
        <f aca="false">IF(A527="","",COUNTIFS(RESTRICCIONES!$B$5:$B$304,A527,RESTRICCIONES!$L$5:$L$304,"Pendiente"))</f>
        <v/>
      </c>
      <c r="M527" s="18" t="str">
        <f aca="false">IF(A527="","",IF(L527=0,"LISTA","RESTRINGIDA"))</f>
        <v/>
      </c>
      <c r="N527" s="51" t="str">
        <f aca="false">IF(OR(A527="",H527=""),"",IFERROR(MIN(1,SUMIF(SEMANAL!$C$7:$C$506,A527,SEMANAL!$W$7:$W$506)/H527),0))</f>
        <v/>
      </c>
      <c r="O527" s="57"/>
      <c r="P527" s="57"/>
      <c r="Q527" s="57"/>
      <c r="R527" s="57"/>
      <c r="S527" s="57"/>
      <c r="T527" s="57"/>
      <c r="U527" s="9"/>
    </row>
    <row r="528" customFormat="false" ht="15" hidden="false" customHeight="false" outlineLevel="0" collapsed="false">
      <c r="A528" s="9"/>
      <c r="B528" s="9"/>
      <c r="C528" s="16" t="str">
        <f aca="false">IF(B528="","",IFERROR(INDEX(EDT!$E$5:$E$436,MATCH(B528,EDT!$H$5:$H$436,0)),IFERROR(INDEX(CRONOGRAMA!$G$5:$G$5679,MATCH(A528,CRONOGRAMA!$A$5:$A$5679,0)),"Fuera EDT")))</f>
        <v/>
      </c>
      <c r="D528" s="16" t="str">
        <f aca="false">IF(C528="","",IFERROR(INDEX(MASTER!$B$19:$B$109,MATCH(C528,MASTER!$A$19:$A$109,0)),"Asignar fase"))</f>
        <v/>
      </c>
      <c r="E528" s="9"/>
      <c r="F528" s="9"/>
      <c r="G528" s="9"/>
      <c r="H528" s="56"/>
      <c r="I528" s="43"/>
      <c r="J528" s="43"/>
      <c r="K528" s="16" t="str">
        <f aca="false">IF(A528="","",COUNTIF(RESTRICCIONES!$B$5:$B$304,A528))</f>
        <v/>
      </c>
      <c r="L528" s="16" t="str">
        <f aca="false">IF(A528="","",COUNTIFS(RESTRICCIONES!$B$5:$B$304,A528,RESTRICCIONES!$L$5:$L$304,"Pendiente"))</f>
        <v/>
      </c>
      <c r="M528" s="18" t="str">
        <f aca="false">IF(A528="","",IF(L528=0,"LISTA","RESTRINGIDA"))</f>
        <v/>
      </c>
      <c r="N528" s="51" t="str">
        <f aca="false">IF(OR(A528="",H528=""),"",IFERROR(MIN(1,SUMIF(SEMANAL!$C$7:$C$506,A528,SEMANAL!$W$7:$W$506)/H528),0))</f>
        <v/>
      </c>
      <c r="O528" s="57"/>
      <c r="P528" s="57"/>
      <c r="Q528" s="57"/>
      <c r="R528" s="57"/>
      <c r="S528" s="57"/>
      <c r="T528" s="57"/>
      <c r="U528" s="9"/>
    </row>
    <row r="529" customFormat="false" ht="15" hidden="false" customHeight="false" outlineLevel="0" collapsed="false">
      <c r="A529" s="9"/>
      <c r="B529" s="9"/>
      <c r="C529" s="16" t="str">
        <f aca="false">IF(B529="","",IFERROR(INDEX(EDT!$E$5:$E$436,MATCH(B529,EDT!$H$5:$H$436,0)),IFERROR(INDEX(CRONOGRAMA!$G$5:$G$5679,MATCH(A529,CRONOGRAMA!$A$5:$A$5679,0)),"Fuera EDT")))</f>
        <v/>
      </c>
      <c r="D529" s="16" t="str">
        <f aca="false">IF(C529="","",IFERROR(INDEX(MASTER!$B$19:$B$109,MATCH(C529,MASTER!$A$19:$A$109,0)),"Asignar fase"))</f>
        <v/>
      </c>
      <c r="E529" s="9"/>
      <c r="F529" s="9"/>
      <c r="G529" s="9"/>
      <c r="H529" s="56"/>
      <c r="I529" s="43"/>
      <c r="J529" s="43"/>
      <c r="K529" s="16" t="str">
        <f aca="false">IF(A529="","",COUNTIF(RESTRICCIONES!$B$5:$B$304,A529))</f>
        <v/>
      </c>
      <c r="L529" s="16" t="str">
        <f aca="false">IF(A529="","",COUNTIFS(RESTRICCIONES!$B$5:$B$304,A529,RESTRICCIONES!$L$5:$L$304,"Pendiente"))</f>
        <v/>
      </c>
      <c r="M529" s="18" t="str">
        <f aca="false">IF(A529="","",IF(L529=0,"LISTA","RESTRINGIDA"))</f>
        <v/>
      </c>
      <c r="N529" s="51" t="str">
        <f aca="false">IF(OR(A529="",H529=""),"",IFERROR(MIN(1,SUMIF(SEMANAL!$C$7:$C$506,A529,SEMANAL!$W$7:$W$506)/H529),0))</f>
        <v/>
      </c>
      <c r="O529" s="57"/>
      <c r="P529" s="57"/>
      <c r="Q529" s="57"/>
      <c r="R529" s="57"/>
      <c r="S529" s="57"/>
      <c r="T529" s="57"/>
      <c r="U529" s="9"/>
    </row>
    <row r="530" customFormat="false" ht="15" hidden="false" customHeight="false" outlineLevel="0" collapsed="false">
      <c r="A530" s="9"/>
      <c r="B530" s="9"/>
      <c r="C530" s="16" t="str">
        <f aca="false">IF(B530="","",IFERROR(INDEX(EDT!$E$5:$E$436,MATCH(B530,EDT!$H$5:$H$436,0)),IFERROR(INDEX(CRONOGRAMA!$G$5:$G$5679,MATCH(A530,CRONOGRAMA!$A$5:$A$5679,0)),"Fuera EDT")))</f>
        <v/>
      </c>
      <c r="D530" s="16" t="str">
        <f aca="false">IF(C530="","",IFERROR(INDEX(MASTER!$B$19:$B$109,MATCH(C530,MASTER!$A$19:$A$109,0)),"Asignar fase"))</f>
        <v/>
      </c>
      <c r="E530" s="9"/>
      <c r="F530" s="9"/>
      <c r="G530" s="9"/>
      <c r="H530" s="56"/>
      <c r="I530" s="43"/>
      <c r="J530" s="43"/>
      <c r="K530" s="16" t="str">
        <f aca="false">IF(A530="","",COUNTIF(RESTRICCIONES!$B$5:$B$304,A530))</f>
        <v/>
      </c>
      <c r="L530" s="16" t="str">
        <f aca="false">IF(A530="","",COUNTIFS(RESTRICCIONES!$B$5:$B$304,A530,RESTRICCIONES!$L$5:$L$304,"Pendiente"))</f>
        <v/>
      </c>
      <c r="M530" s="18" t="str">
        <f aca="false">IF(A530="","",IF(L530=0,"LISTA","RESTRINGIDA"))</f>
        <v/>
      </c>
      <c r="N530" s="51" t="str">
        <f aca="false">IF(OR(A530="",H530=""),"",IFERROR(MIN(1,SUMIF(SEMANAL!$C$7:$C$506,A530,SEMANAL!$W$7:$W$506)/H530),0))</f>
        <v/>
      </c>
      <c r="O530" s="57"/>
      <c r="P530" s="57"/>
      <c r="Q530" s="57"/>
      <c r="R530" s="57"/>
      <c r="S530" s="57"/>
      <c r="T530" s="57"/>
      <c r="U530" s="9"/>
    </row>
    <row r="531" customFormat="false" ht="15" hidden="false" customHeight="false" outlineLevel="0" collapsed="false">
      <c r="A531" s="9"/>
      <c r="B531" s="9"/>
      <c r="C531" s="16" t="str">
        <f aca="false">IF(B531="","",IFERROR(INDEX(EDT!$E$5:$E$436,MATCH(B531,EDT!$H$5:$H$436,0)),IFERROR(INDEX(CRONOGRAMA!$G$5:$G$5679,MATCH(A531,CRONOGRAMA!$A$5:$A$5679,0)),"Fuera EDT")))</f>
        <v/>
      </c>
      <c r="D531" s="16" t="str">
        <f aca="false">IF(C531="","",IFERROR(INDEX(MASTER!$B$19:$B$109,MATCH(C531,MASTER!$A$19:$A$109,0)),"Asignar fase"))</f>
        <v/>
      </c>
      <c r="E531" s="9"/>
      <c r="F531" s="9"/>
      <c r="G531" s="9"/>
      <c r="H531" s="56"/>
      <c r="I531" s="43"/>
      <c r="J531" s="43"/>
      <c r="K531" s="16" t="str">
        <f aca="false">IF(A531="","",COUNTIF(RESTRICCIONES!$B$5:$B$304,A531))</f>
        <v/>
      </c>
      <c r="L531" s="16" t="str">
        <f aca="false">IF(A531="","",COUNTIFS(RESTRICCIONES!$B$5:$B$304,A531,RESTRICCIONES!$L$5:$L$304,"Pendiente"))</f>
        <v/>
      </c>
      <c r="M531" s="18" t="str">
        <f aca="false">IF(A531="","",IF(L531=0,"LISTA","RESTRINGIDA"))</f>
        <v/>
      </c>
      <c r="N531" s="51" t="str">
        <f aca="false">IF(OR(A531="",H531=""),"",IFERROR(MIN(1,SUMIF(SEMANAL!$C$7:$C$506,A531,SEMANAL!$W$7:$W$506)/H531),0))</f>
        <v/>
      </c>
      <c r="O531" s="57"/>
      <c r="P531" s="57"/>
      <c r="Q531" s="57"/>
      <c r="R531" s="57"/>
      <c r="S531" s="57"/>
      <c r="T531" s="57"/>
      <c r="U531" s="9"/>
    </row>
    <row r="532" customFormat="false" ht="15" hidden="false" customHeight="false" outlineLevel="0" collapsed="false">
      <c r="A532" s="9"/>
      <c r="B532" s="9"/>
      <c r="C532" s="16" t="str">
        <f aca="false">IF(B532="","",IFERROR(INDEX(EDT!$E$5:$E$436,MATCH(B532,EDT!$H$5:$H$436,0)),IFERROR(INDEX(CRONOGRAMA!$G$5:$G$5679,MATCH(A532,CRONOGRAMA!$A$5:$A$5679,0)),"Fuera EDT")))</f>
        <v/>
      </c>
      <c r="D532" s="16" t="str">
        <f aca="false">IF(C532="","",IFERROR(INDEX(MASTER!$B$19:$B$109,MATCH(C532,MASTER!$A$19:$A$109,0)),"Asignar fase"))</f>
        <v/>
      </c>
      <c r="E532" s="9"/>
      <c r="F532" s="9"/>
      <c r="G532" s="9"/>
      <c r="H532" s="56"/>
      <c r="I532" s="43"/>
      <c r="J532" s="43"/>
      <c r="K532" s="16" t="str">
        <f aca="false">IF(A532="","",COUNTIF(RESTRICCIONES!$B$5:$B$304,A532))</f>
        <v/>
      </c>
      <c r="L532" s="16" t="str">
        <f aca="false">IF(A532="","",COUNTIFS(RESTRICCIONES!$B$5:$B$304,A532,RESTRICCIONES!$L$5:$L$304,"Pendiente"))</f>
        <v/>
      </c>
      <c r="M532" s="18" t="str">
        <f aca="false">IF(A532="","",IF(L532=0,"LISTA","RESTRINGIDA"))</f>
        <v/>
      </c>
      <c r="N532" s="51" t="str">
        <f aca="false">IF(OR(A532="",H532=""),"",IFERROR(MIN(1,SUMIF(SEMANAL!$C$7:$C$506,A532,SEMANAL!$W$7:$W$506)/H532),0))</f>
        <v/>
      </c>
      <c r="O532" s="57"/>
      <c r="P532" s="57"/>
      <c r="Q532" s="57"/>
      <c r="R532" s="57"/>
      <c r="S532" s="57"/>
      <c r="T532" s="57"/>
      <c r="U532" s="9"/>
    </row>
    <row r="533" customFormat="false" ht="15" hidden="false" customHeight="false" outlineLevel="0" collapsed="false">
      <c r="A533" s="9"/>
      <c r="B533" s="9"/>
      <c r="C533" s="16" t="str">
        <f aca="false">IF(B533="","",IFERROR(INDEX(EDT!$E$5:$E$436,MATCH(B533,EDT!$H$5:$H$436,0)),IFERROR(INDEX(CRONOGRAMA!$G$5:$G$5679,MATCH(A533,CRONOGRAMA!$A$5:$A$5679,0)),"Fuera EDT")))</f>
        <v/>
      </c>
      <c r="D533" s="16" t="str">
        <f aca="false">IF(C533="","",IFERROR(INDEX(MASTER!$B$19:$B$109,MATCH(C533,MASTER!$A$19:$A$109,0)),"Asignar fase"))</f>
        <v/>
      </c>
      <c r="E533" s="9"/>
      <c r="F533" s="9"/>
      <c r="G533" s="9"/>
      <c r="H533" s="56"/>
      <c r="I533" s="43"/>
      <c r="J533" s="43"/>
      <c r="K533" s="16" t="str">
        <f aca="false">IF(A533="","",COUNTIF(RESTRICCIONES!$B$5:$B$304,A533))</f>
        <v/>
      </c>
      <c r="L533" s="16" t="str">
        <f aca="false">IF(A533="","",COUNTIFS(RESTRICCIONES!$B$5:$B$304,A533,RESTRICCIONES!$L$5:$L$304,"Pendiente"))</f>
        <v/>
      </c>
      <c r="M533" s="18" t="str">
        <f aca="false">IF(A533="","",IF(L533=0,"LISTA","RESTRINGIDA"))</f>
        <v/>
      </c>
      <c r="N533" s="51" t="str">
        <f aca="false">IF(OR(A533="",H533=""),"",IFERROR(MIN(1,SUMIF(SEMANAL!$C$7:$C$506,A533,SEMANAL!$W$7:$W$506)/H533),0))</f>
        <v/>
      </c>
      <c r="O533" s="57"/>
      <c r="P533" s="57"/>
      <c r="Q533" s="57"/>
      <c r="R533" s="57"/>
      <c r="S533" s="57"/>
      <c r="T533" s="57"/>
      <c r="U533" s="9"/>
    </row>
    <row r="534" customFormat="false" ht="15" hidden="false" customHeight="false" outlineLevel="0" collapsed="false">
      <c r="A534" s="9"/>
      <c r="B534" s="9"/>
      <c r="C534" s="16" t="str">
        <f aca="false">IF(B534="","",IFERROR(INDEX(EDT!$E$5:$E$436,MATCH(B534,EDT!$H$5:$H$436,0)),IFERROR(INDEX(CRONOGRAMA!$G$5:$G$5679,MATCH(A534,CRONOGRAMA!$A$5:$A$5679,0)),"Fuera EDT")))</f>
        <v/>
      </c>
      <c r="D534" s="16" t="str">
        <f aca="false">IF(C534="","",IFERROR(INDEX(MASTER!$B$19:$B$109,MATCH(C534,MASTER!$A$19:$A$109,0)),"Asignar fase"))</f>
        <v/>
      </c>
      <c r="E534" s="9"/>
      <c r="F534" s="9"/>
      <c r="G534" s="9"/>
      <c r="H534" s="56"/>
      <c r="I534" s="43"/>
      <c r="J534" s="43"/>
      <c r="K534" s="16" t="str">
        <f aca="false">IF(A534="","",COUNTIF(RESTRICCIONES!$B$5:$B$304,A534))</f>
        <v/>
      </c>
      <c r="L534" s="16" t="str">
        <f aca="false">IF(A534="","",COUNTIFS(RESTRICCIONES!$B$5:$B$304,A534,RESTRICCIONES!$L$5:$L$304,"Pendiente"))</f>
        <v/>
      </c>
      <c r="M534" s="18" t="str">
        <f aca="false">IF(A534="","",IF(L534=0,"LISTA","RESTRINGIDA"))</f>
        <v/>
      </c>
      <c r="N534" s="51" t="str">
        <f aca="false">IF(OR(A534="",H534=""),"",IFERROR(MIN(1,SUMIF(SEMANAL!$C$7:$C$506,A534,SEMANAL!$W$7:$W$506)/H534),0))</f>
        <v/>
      </c>
      <c r="O534" s="57"/>
      <c r="P534" s="57"/>
      <c r="Q534" s="57"/>
      <c r="R534" s="57"/>
      <c r="S534" s="57"/>
      <c r="T534" s="57"/>
      <c r="U534" s="9"/>
    </row>
    <row r="535" customFormat="false" ht="15" hidden="false" customHeight="false" outlineLevel="0" collapsed="false">
      <c r="A535" s="9"/>
      <c r="B535" s="9"/>
      <c r="C535" s="16" t="str">
        <f aca="false">IF(B535="","",IFERROR(INDEX(EDT!$E$5:$E$436,MATCH(B535,EDT!$H$5:$H$436,0)),IFERROR(INDEX(CRONOGRAMA!$G$5:$G$5679,MATCH(A535,CRONOGRAMA!$A$5:$A$5679,0)),"Fuera EDT")))</f>
        <v/>
      </c>
      <c r="D535" s="16" t="str">
        <f aca="false">IF(C535="","",IFERROR(INDEX(MASTER!$B$19:$B$109,MATCH(C535,MASTER!$A$19:$A$109,0)),"Asignar fase"))</f>
        <v/>
      </c>
      <c r="E535" s="9"/>
      <c r="F535" s="9"/>
      <c r="G535" s="9"/>
      <c r="H535" s="56"/>
      <c r="I535" s="43"/>
      <c r="J535" s="43"/>
      <c r="K535" s="16" t="str">
        <f aca="false">IF(A535="","",COUNTIF(RESTRICCIONES!$B$5:$B$304,A535))</f>
        <v/>
      </c>
      <c r="L535" s="16" t="str">
        <f aca="false">IF(A535="","",COUNTIFS(RESTRICCIONES!$B$5:$B$304,A535,RESTRICCIONES!$L$5:$L$304,"Pendiente"))</f>
        <v/>
      </c>
      <c r="M535" s="18" t="str">
        <f aca="false">IF(A535="","",IF(L535=0,"LISTA","RESTRINGIDA"))</f>
        <v/>
      </c>
      <c r="N535" s="51" t="str">
        <f aca="false">IF(OR(A535="",H535=""),"",IFERROR(MIN(1,SUMIF(SEMANAL!$C$7:$C$506,A535,SEMANAL!$W$7:$W$506)/H535),0))</f>
        <v/>
      </c>
      <c r="O535" s="57"/>
      <c r="P535" s="57"/>
      <c r="Q535" s="57"/>
      <c r="R535" s="57"/>
      <c r="S535" s="57"/>
      <c r="T535" s="57"/>
      <c r="U535" s="9"/>
    </row>
    <row r="536" customFormat="false" ht="15" hidden="false" customHeight="false" outlineLevel="0" collapsed="false">
      <c r="A536" s="9"/>
      <c r="B536" s="9"/>
      <c r="C536" s="16" t="str">
        <f aca="false">IF(B536="","",IFERROR(INDEX(EDT!$E$5:$E$436,MATCH(B536,EDT!$H$5:$H$436,0)),IFERROR(INDEX(CRONOGRAMA!$G$5:$G$5679,MATCH(A536,CRONOGRAMA!$A$5:$A$5679,0)),"Fuera EDT")))</f>
        <v/>
      </c>
      <c r="D536" s="16" t="str">
        <f aca="false">IF(C536="","",IFERROR(INDEX(MASTER!$B$19:$B$109,MATCH(C536,MASTER!$A$19:$A$109,0)),"Asignar fase"))</f>
        <v/>
      </c>
      <c r="E536" s="9"/>
      <c r="F536" s="9"/>
      <c r="G536" s="9"/>
      <c r="H536" s="56"/>
      <c r="I536" s="43"/>
      <c r="J536" s="43"/>
      <c r="K536" s="16" t="str">
        <f aca="false">IF(A536="","",COUNTIF(RESTRICCIONES!$B$5:$B$304,A536))</f>
        <v/>
      </c>
      <c r="L536" s="16" t="str">
        <f aca="false">IF(A536="","",COUNTIFS(RESTRICCIONES!$B$5:$B$304,A536,RESTRICCIONES!$L$5:$L$304,"Pendiente"))</f>
        <v/>
      </c>
      <c r="M536" s="18" t="str">
        <f aca="false">IF(A536="","",IF(L536=0,"LISTA","RESTRINGIDA"))</f>
        <v/>
      </c>
      <c r="N536" s="51" t="str">
        <f aca="false">IF(OR(A536="",H536=""),"",IFERROR(MIN(1,SUMIF(SEMANAL!$C$7:$C$506,A536,SEMANAL!$W$7:$W$506)/H536),0))</f>
        <v/>
      </c>
      <c r="O536" s="57"/>
      <c r="P536" s="57"/>
      <c r="Q536" s="57"/>
      <c r="R536" s="57"/>
      <c r="S536" s="57"/>
      <c r="T536" s="57"/>
      <c r="U536" s="9"/>
    </row>
    <row r="537" customFormat="false" ht="15" hidden="false" customHeight="false" outlineLevel="0" collapsed="false">
      <c r="A537" s="9"/>
      <c r="B537" s="9"/>
      <c r="C537" s="16" t="str">
        <f aca="false">IF(B537="","",IFERROR(INDEX(EDT!$E$5:$E$436,MATCH(B537,EDT!$H$5:$H$436,0)),IFERROR(INDEX(CRONOGRAMA!$G$5:$G$5679,MATCH(A537,CRONOGRAMA!$A$5:$A$5679,0)),"Fuera EDT")))</f>
        <v/>
      </c>
      <c r="D537" s="16" t="str">
        <f aca="false">IF(C537="","",IFERROR(INDEX(MASTER!$B$19:$B$109,MATCH(C537,MASTER!$A$19:$A$109,0)),"Asignar fase"))</f>
        <v/>
      </c>
      <c r="E537" s="9"/>
      <c r="F537" s="9"/>
      <c r="G537" s="9"/>
      <c r="H537" s="56"/>
      <c r="I537" s="43"/>
      <c r="J537" s="43"/>
      <c r="K537" s="16" t="str">
        <f aca="false">IF(A537="","",COUNTIF(RESTRICCIONES!$B$5:$B$304,A537))</f>
        <v/>
      </c>
      <c r="L537" s="16" t="str">
        <f aca="false">IF(A537="","",COUNTIFS(RESTRICCIONES!$B$5:$B$304,A537,RESTRICCIONES!$L$5:$L$304,"Pendiente"))</f>
        <v/>
      </c>
      <c r="M537" s="18" t="str">
        <f aca="false">IF(A537="","",IF(L537=0,"LISTA","RESTRINGIDA"))</f>
        <v/>
      </c>
      <c r="N537" s="51" t="str">
        <f aca="false">IF(OR(A537="",H537=""),"",IFERROR(MIN(1,SUMIF(SEMANAL!$C$7:$C$506,A537,SEMANAL!$W$7:$W$506)/H537),0))</f>
        <v/>
      </c>
      <c r="O537" s="57"/>
      <c r="P537" s="57"/>
      <c r="Q537" s="57"/>
      <c r="R537" s="57"/>
      <c r="S537" s="57"/>
      <c r="T537" s="57"/>
      <c r="U537" s="9"/>
    </row>
    <row r="538" customFormat="false" ht="15" hidden="false" customHeight="false" outlineLevel="0" collapsed="false">
      <c r="A538" s="9"/>
      <c r="B538" s="9"/>
      <c r="C538" s="16" t="str">
        <f aca="false">IF(B538="","",IFERROR(INDEX(EDT!$E$5:$E$436,MATCH(B538,EDT!$H$5:$H$436,0)),IFERROR(INDEX(CRONOGRAMA!$G$5:$G$5679,MATCH(A538,CRONOGRAMA!$A$5:$A$5679,0)),"Fuera EDT")))</f>
        <v/>
      </c>
      <c r="D538" s="16" t="str">
        <f aca="false">IF(C538="","",IFERROR(INDEX(MASTER!$B$19:$B$109,MATCH(C538,MASTER!$A$19:$A$109,0)),"Asignar fase"))</f>
        <v/>
      </c>
      <c r="E538" s="9"/>
      <c r="F538" s="9"/>
      <c r="G538" s="9"/>
      <c r="H538" s="56"/>
      <c r="I538" s="43"/>
      <c r="J538" s="43"/>
      <c r="K538" s="16" t="str">
        <f aca="false">IF(A538="","",COUNTIF(RESTRICCIONES!$B$5:$B$304,A538))</f>
        <v/>
      </c>
      <c r="L538" s="16" t="str">
        <f aca="false">IF(A538="","",COUNTIFS(RESTRICCIONES!$B$5:$B$304,A538,RESTRICCIONES!$L$5:$L$304,"Pendiente"))</f>
        <v/>
      </c>
      <c r="M538" s="18" t="str">
        <f aca="false">IF(A538="","",IF(L538=0,"LISTA","RESTRINGIDA"))</f>
        <v/>
      </c>
      <c r="N538" s="51" t="str">
        <f aca="false">IF(OR(A538="",H538=""),"",IFERROR(MIN(1,SUMIF(SEMANAL!$C$7:$C$506,A538,SEMANAL!$W$7:$W$506)/H538),0))</f>
        <v/>
      </c>
      <c r="O538" s="57"/>
      <c r="P538" s="57"/>
      <c r="Q538" s="57"/>
      <c r="R538" s="57"/>
      <c r="S538" s="57"/>
      <c r="T538" s="57"/>
      <c r="U538" s="9"/>
    </row>
    <row r="539" customFormat="false" ht="15" hidden="false" customHeight="false" outlineLevel="0" collapsed="false">
      <c r="A539" s="9"/>
      <c r="B539" s="9"/>
      <c r="C539" s="16" t="str">
        <f aca="false">IF(B539="","",IFERROR(INDEX(EDT!$E$5:$E$436,MATCH(B539,EDT!$H$5:$H$436,0)),IFERROR(INDEX(CRONOGRAMA!$G$5:$G$5679,MATCH(A539,CRONOGRAMA!$A$5:$A$5679,0)),"Fuera EDT")))</f>
        <v/>
      </c>
      <c r="D539" s="16" t="str">
        <f aca="false">IF(C539="","",IFERROR(INDEX(MASTER!$B$19:$B$109,MATCH(C539,MASTER!$A$19:$A$109,0)),"Asignar fase"))</f>
        <v/>
      </c>
      <c r="E539" s="9"/>
      <c r="F539" s="9"/>
      <c r="G539" s="9"/>
      <c r="H539" s="56"/>
      <c r="I539" s="43"/>
      <c r="J539" s="43"/>
      <c r="K539" s="16" t="str">
        <f aca="false">IF(A539="","",COUNTIF(RESTRICCIONES!$B$5:$B$304,A539))</f>
        <v/>
      </c>
      <c r="L539" s="16" t="str">
        <f aca="false">IF(A539="","",COUNTIFS(RESTRICCIONES!$B$5:$B$304,A539,RESTRICCIONES!$L$5:$L$304,"Pendiente"))</f>
        <v/>
      </c>
      <c r="M539" s="18" t="str">
        <f aca="false">IF(A539="","",IF(L539=0,"LISTA","RESTRINGIDA"))</f>
        <v/>
      </c>
      <c r="N539" s="51" t="str">
        <f aca="false">IF(OR(A539="",H539=""),"",IFERROR(MIN(1,SUMIF(SEMANAL!$C$7:$C$506,A539,SEMANAL!$W$7:$W$506)/H539),0))</f>
        <v/>
      </c>
      <c r="O539" s="57"/>
      <c r="P539" s="57"/>
      <c r="Q539" s="57"/>
      <c r="R539" s="57"/>
      <c r="S539" s="57"/>
      <c r="T539" s="57"/>
      <c r="U539" s="9"/>
    </row>
    <row r="540" customFormat="false" ht="15" hidden="false" customHeight="false" outlineLevel="0" collapsed="false">
      <c r="A540" s="9"/>
      <c r="B540" s="9"/>
      <c r="C540" s="16" t="str">
        <f aca="false">IF(B540="","",IFERROR(INDEX(EDT!$E$5:$E$436,MATCH(B540,EDT!$H$5:$H$436,0)),IFERROR(INDEX(CRONOGRAMA!$G$5:$G$5679,MATCH(A540,CRONOGRAMA!$A$5:$A$5679,0)),"Fuera EDT")))</f>
        <v/>
      </c>
      <c r="D540" s="16" t="str">
        <f aca="false">IF(C540="","",IFERROR(INDEX(MASTER!$B$19:$B$109,MATCH(C540,MASTER!$A$19:$A$109,0)),"Asignar fase"))</f>
        <v/>
      </c>
      <c r="E540" s="9"/>
      <c r="F540" s="9"/>
      <c r="G540" s="9"/>
      <c r="H540" s="56"/>
      <c r="I540" s="43"/>
      <c r="J540" s="43"/>
      <c r="K540" s="16" t="str">
        <f aca="false">IF(A540="","",COUNTIF(RESTRICCIONES!$B$5:$B$304,A540))</f>
        <v/>
      </c>
      <c r="L540" s="16" t="str">
        <f aca="false">IF(A540="","",COUNTIFS(RESTRICCIONES!$B$5:$B$304,A540,RESTRICCIONES!$L$5:$L$304,"Pendiente"))</f>
        <v/>
      </c>
      <c r="M540" s="18" t="str">
        <f aca="false">IF(A540="","",IF(L540=0,"LISTA","RESTRINGIDA"))</f>
        <v/>
      </c>
      <c r="N540" s="51" t="str">
        <f aca="false">IF(OR(A540="",H540=""),"",IFERROR(MIN(1,SUMIF(SEMANAL!$C$7:$C$506,A540,SEMANAL!$W$7:$W$506)/H540),0))</f>
        <v/>
      </c>
      <c r="O540" s="57"/>
      <c r="P540" s="57"/>
      <c r="Q540" s="57"/>
      <c r="R540" s="57"/>
      <c r="S540" s="57"/>
      <c r="T540" s="57"/>
      <c r="U540" s="9"/>
    </row>
    <row r="541" customFormat="false" ht="15" hidden="false" customHeight="false" outlineLevel="0" collapsed="false">
      <c r="A541" s="9"/>
      <c r="B541" s="9"/>
      <c r="C541" s="16" t="str">
        <f aca="false">IF(B541="","",IFERROR(INDEX(EDT!$E$5:$E$436,MATCH(B541,EDT!$H$5:$H$436,0)),IFERROR(INDEX(CRONOGRAMA!$G$5:$G$5679,MATCH(A541,CRONOGRAMA!$A$5:$A$5679,0)),"Fuera EDT")))</f>
        <v/>
      </c>
      <c r="D541" s="16" t="str">
        <f aca="false">IF(C541="","",IFERROR(INDEX(MASTER!$B$19:$B$109,MATCH(C541,MASTER!$A$19:$A$109,0)),"Asignar fase"))</f>
        <v/>
      </c>
      <c r="E541" s="9"/>
      <c r="F541" s="9"/>
      <c r="G541" s="9"/>
      <c r="H541" s="56"/>
      <c r="I541" s="43"/>
      <c r="J541" s="43"/>
      <c r="K541" s="16" t="str">
        <f aca="false">IF(A541="","",COUNTIF(RESTRICCIONES!$B$5:$B$304,A541))</f>
        <v/>
      </c>
      <c r="L541" s="16" t="str">
        <f aca="false">IF(A541="","",COUNTIFS(RESTRICCIONES!$B$5:$B$304,A541,RESTRICCIONES!$L$5:$L$304,"Pendiente"))</f>
        <v/>
      </c>
      <c r="M541" s="18" t="str">
        <f aca="false">IF(A541="","",IF(L541=0,"LISTA","RESTRINGIDA"))</f>
        <v/>
      </c>
      <c r="N541" s="51" t="str">
        <f aca="false">IF(OR(A541="",H541=""),"",IFERROR(MIN(1,SUMIF(SEMANAL!$C$7:$C$506,A541,SEMANAL!$W$7:$W$506)/H541),0))</f>
        <v/>
      </c>
      <c r="O541" s="57"/>
      <c r="P541" s="57"/>
      <c r="Q541" s="57"/>
      <c r="R541" s="57"/>
      <c r="S541" s="57"/>
      <c r="T541" s="57"/>
      <c r="U541" s="9"/>
    </row>
    <row r="542" customFormat="false" ht="15" hidden="false" customHeight="false" outlineLevel="0" collapsed="false">
      <c r="A542" s="9"/>
      <c r="B542" s="9"/>
      <c r="C542" s="16" t="str">
        <f aca="false">IF(B542="","",IFERROR(INDEX(EDT!$E$5:$E$436,MATCH(B542,EDT!$H$5:$H$436,0)),IFERROR(INDEX(CRONOGRAMA!$G$5:$G$5679,MATCH(A542,CRONOGRAMA!$A$5:$A$5679,0)),"Fuera EDT")))</f>
        <v/>
      </c>
      <c r="D542" s="16" t="str">
        <f aca="false">IF(C542="","",IFERROR(INDEX(MASTER!$B$19:$B$109,MATCH(C542,MASTER!$A$19:$A$109,0)),"Asignar fase"))</f>
        <v/>
      </c>
      <c r="E542" s="9"/>
      <c r="F542" s="9"/>
      <c r="G542" s="9"/>
      <c r="H542" s="56"/>
      <c r="I542" s="43"/>
      <c r="J542" s="43"/>
      <c r="K542" s="16" t="str">
        <f aca="false">IF(A542="","",COUNTIF(RESTRICCIONES!$B$5:$B$304,A542))</f>
        <v/>
      </c>
      <c r="L542" s="16" t="str">
        <f aca="false">IF(A542="","",COUNTIFS(RESTRICCIONES!$B$5:$B$304,A542,RESTRICCIONES!$L$5:$L$304,"Pendiente"))</f>
        <v/>
      </c>
      <c r="M542" s="18" t="str">
        <f aca="false">IF(A542="","",IF(L542=0,"LISTA","RESTRINGIDA"))</f>
        <v/>
      </c>
      <c r="N542" s="51" t="str">
        <f aca="false">IF(OR(A542="",H542=""),"",IFERROR(MIN(1,SUMIF(SEMANAL!$C$7:$C$506,A542,SEMANAL!$W$7:$W$506)/H542),0))</f>
        <v/>
      </c>
      <c r="O542" s="57"/>
      <c r="P542" s="57"/>
      <c r="Q542" s="57"/>
      <c r="R542" s="57"/>
      <c r="S542" s="57"/>
      <c r="T542" s="57"/>
      <c r="U542" s="9"/>
    </row>
    <row r="543" customFormat="false" ht="15" hidden="false" customHeight="false" outlineLevel="0" collapsed="false">
      <c r="A543" s="9"/>
      <c r="B543" s="9"/>
      <c r="C543" s="16" t="str">
        <f aca="false">IF(B543="","",IFERROR(INDEX(EDT!$E$5:$E$436,MATCH(B543,EDT!$H$5:$H$436,0)),IFERROR(INDEX(CRONOGRAMA!$G$5:$G$5679,MATCH(A543,CRONOGRAMA!$A$5:$A$5679,0)),"Fuera EDT")))</f>
        <v/>
      </c>
      <c r="D543" s="16" t="str">
        <f aca="false">IF(C543="","",IFERROR(INDEX(MASTER!$B$19:$B$109,MATCH(C543,MASTER!$A$19:$A$109,0)),"Asignar fase"))</f>
        <v/>
      </c>
      <c r="E543" s="9"/>
      <c r="F543" s="9"/>
      <c r="G543" s="9"/>
      <c r="H543" s="56"/>
      <c r="I543" s="43"/>
      <c r="J543" s="43"/>
      <c r="K543" s="16" t="str">
        <f aca="false">IF(A543="","",COUNTIF(RESTRICCIONES!$B$5:$B$304,A543))</f>
        <v/>
      </c>
      <c r="L543" s="16" t="str">
        <f aca="false">IF(A543="","",COUNTIFS(RESTRICCIONES!$B$5:$B$304,A543,RESTRICCIONES!$L$5:$L$304,"Pendiente"))</f>
        <v/>
      </c>
      <c r="M543" s="18" t="str">
        <f aca="false">IF(A543="","",IF(L543=0,"LISTA","RESTRINGIDA"))</f>
        <v/>
      </c>
      <c r="N543" s="51" t="str">
        <f aca="false">IF(OR(A543="",H543=""),"",IFERROR(MIN(1,SUMIF(SEMANAL!$C$7:$C$506,A543,SEMANAL!$W$7:$W$506)/H543),0))</f>
        <v/>
      </c>
      <c r="O543" s="57"/>
      <c r="P543" s="57"/>
      <c r="Q543" s="57"/>
      <c r="R543" s="57"/>
      <c r="S543" s="57"/>
      <c r="T543" s="57"/>
      <c r="U543" s="9"/>
    </row>
    <row r="544" customFormat="false" ht="15" hidden="false" customHeight="false" outlineLevel="0" collapsed="false">
      <c r="A544" s="9"/>
      <c r="B544" s="9"/>
      <c r="C544" s="16" t="str">
        <f aca="false">IF(B544="","",IFERROR(INDEX(EDT!$E$5:$E$436,MATCH(B544,EDT!$H$5:$H$436,0)),IFERROR(INDEX(CRONOGRAMA!$G$5:$G$5679,MATCH(A544,CRONOGRAMA!$A$5:$A$5679,0)),"Fuera EDT")))</f>
        <v/>
      </c>
      <c r="D544" s="16" t="str">
        <f aca="false">IF(C544="","",IFERROR(INDEX(MASTER!$B$19:$B$109,MATCH(C544,MASTER!$A$19:$A$109,0)),"Asignar fase"))</f>
        <v/>
      </c>
      <c r="E544" s="9"/>
      <c r="F544" s="9"/>
      <c r="G544" s="9"/>
      <c r="H544" s="56"/>
      <c r="I544" s="43"/>
      <c r="J544" s="43"/>
      <c r="K544" s="16" t="str">
        <f aca="false">IF(A544="","",COUNTIF(RESTRICCIONES!$B$5:$B$304,A544))</f>
        <v/>
      </c>
      <c r="L544" s="16" t="str">
        <f aca="false">IF(A544="","",COUNTIFS(RESTRICCIONES!$B$5:$B$304,A544,RESTRICCIONES!$L$5:$L$304,"Pendiente"))</f>
        <v/>
      </c>
      <c r="M544" s="18" t="str">
        <f aca="false">IF(A544="","",IF(L544=0,"LISTA","RESTRINGIDA"))</f>
        <v/>
      </c>
      <c r="N544" s="51" t="str">
        <f aca="false">IF(OR(A544="",H544=""),"",IFERROR(MIN(1,SUMIF(SEMANAL!$C$7:$C$506,A544,SEMANAL!$W$7:$W$506)/H544),0))</f>
        <v/>
      </c>
      <c r="O544" s="57"/>
      <c r="P544" s="57"/>
      <c r="Q544" s="57"/>
      <c r="R544" s="57"/>
      <c r="S544" s="57"/>
      <c r="T544" s="57"/>
      <c r="U544" s="9"/>
    </row>
    <row r="545" customFormat="false" ht="15" hidden="false" customHeight="false" outlineLevel="0" collapsed="false">
      <c r="A545" s="9"/>
      <c r="B545" s="9"/>
      <c r="C545" s="16" t="str">
        <f aca="false">IF(B545="","",IFERROR(INDEX(EDT!$E$5:$E$436,MATCH(B545,EDT!$H$5:$H$436,0)),IFERROR(INDEX(CRONOGRAMA!$G$5:$G$5679,MATCH(A545,CRONOGRAMA!$A$5:$A$5679,0)),"Fuera EDT")))</f>
        <v/>
      </c>
      <c r="D545" s="16" t="str">
        <f aca="false">IF(C545="","",IFERROR(INDEX(MASTER!$B$19:$B$109,MATCH(C545,MASTER!$A$19:$A$109,0)),"Asignar fase"))</f>
        <v/>
      </c>
      <c r="E545" s="9"/>
      <c r="F545" s="9"/>
      <c r="G545" s="9"/>
      <c r="H545" s="56"/>
      <c r="I545" s="43"/>
      <c r="J545" s="43"/>
      <c r="K545" s="16" t="str">
        <f aca="false">IF(A545="","",COUNTIF(RESTRICCIONES!$B$5:$B$304,A545))</f>
        <v/>
      </c>
      <c r="L545" s="16" t="str">
        <f aca="false">IF(A545="","",COUNTIFS(RESTRICCIONES!$B$5:$B$304,A545,RESTRICCIONES!$L$5:$L$304,"Pendiente"))</f>
        <v/>
      </c>
      <c r="M545" s="18" t="str">
        <f aca="false">IF(A545="","",IF(L545=0,"LISTA","RESTRINGIDA"))</f>
        <v/>
      </c>
      <c r="N545" s="51" t="str">
        <f aca="false">IF(OR(A545="",H545=""),"",IFERROR(MIN(1,SUMIF(SEMANAL!$C$7:$C$506,A545,SEMANAL!$W$7:$W$506)/H545),0))</f>
        <v/>
      </c>
      <c r="O545" s="57"/>
      <c r="P545" s="57"/>
      <c r="Q545" s="57"/>
      <c r="R545" s="57"/>
      <c r="S545" s="57"/>
      <c r="T545" s="57"/>
      <c r="U545" s="9"/>
    </row>
    <row r="546" customFormat="false" ht="15" hidden="false" customHeight="false" outlineLevel="0" collapsed="false">
      <c r="A546" s="9"/>
      <c r="B546" s="9"/>
      <c r="C546" s="16" t="str">
        <f aca="false">IF(B546="","",IFERROR(INDEX(EDT!$E$5:$E$436,MATCH(B546,EDT!$H$5:$H$436,0)),IFERROR(INDEX(CRONOGRAMA!$G$5:$G$5679,MATCH(A546,CRONOGRAMA!$A$5:$A$5679,0)),"Fuera EDT")))</f>
        <v/>
      </c>
      <c r="D546" s="16" t="str">
        <f aca="false">IF(C546="","",IFERROR(INDEX(MASTER!$B$19:$B$109,MATCH(C546,MASTER!$A$19:$A$109,0)),"Asignar fase"))</f>
        <v/>
      </c>
      <c r="E546" s="9"/>
      <c r="F546" s="9"/>
      <c r="G546" s="9"/>
      <c r="H546" s="56"/>
      <c r="I546" s="43"/>
      <c r="J546" s="43"/>
      <c r="K546" s="16" t="str">
        <f aca="false">IF(A546="","",COUNTIF(RESTRICCIONES!$B$5:$B$304,A546))</f>
        <v/>
      </c>
      <c r="L546" s="16" t="str">
        <f aca="false">IF(A546="","",COUNTIFS(RESTRICCIONES!$B$5:$B$304,A546,RESTRICCIONES!$L$5:$L$304,"Pendiente"))</f>
        <v/>
      </c>
      <c r="M546" s="18" t="str">
        <f aca="false">IF(A546="","",IF(L546=0,"LISTA","RESTRINGIDA"))</f>
        <v/>
      </c>
      <c r="N546" s="51" t="str">
        <f aca="false">IF(OR(A546="",H546=""),"",IFERROR(MIN(1,SUMIF(SEMANAL!$C$7:$C$506,A546,SEMANAL!$W$7:$W$506)/H546),0))</f>
        <v/>
      </c>
      <c r="O546" s="57"/>
      <c r="P546" s="57"/>
      <c r="Q546" s="57"/>
      <c r="R546" s="57"/>
      <c r="S546" s="57"/>
      <c r="T546" s="57"/>
      <c r="U546" s="9"/>
    </row>
    <row r="547" customFormat="false" ht="15" hidden="false" customHeight="false" outlineLevel="0" collapsed="false">
      <c r="A547" s="9"/>
      <c r="B547" s="9"/>
      <c r="C547" s="16" t="str">
        <f aca="false">IF(B547="","",IFERROR(INDEX(EDT!$E$5:$E$436,MATCH(B547,EDT!$H$5:$H$436,0)),IFERROR(INDEX(CRONOGRAMA!$G$5:$G$5679,MATCH(A547,CRONOGRAMA!$A$5:$A$5679,0)),"Fuera EDT")))</f>
        <v/>
      </c>
      <c r="D547" s="16" t="str">
        <f aca="false">IF(C547="","",IFERROR(INDEX(MASTER!$B$19:$B$109,MATCH(C547,MASTER!$A$19:$A$109,0)),"Asignar fase"))</f>
        <v/>
      </c>
      <c r="E547" s="9"/>
      <c r="F547" s="9"/>
      <c r="G547" s="9"/>
      <c r="H547" s="56"/>
      <c r="I547" s="43"/>
      <c r="J547" s="43"/>
      <c r="K547" s="16" t="str">
        <f aca="false">IF(A547="","",COUNTIF(RESTRICCIONES!$B$5:$B$304,A547))</f>
        <v/>
      </c>
      <c r="L547" s="16" t="str">
        <f aca="false">IF(A547="","",COUNTIFS(RESTRICCIONES!$B$5:$B$304,A547,RESTRICCIONES!$L$5:$L$304,"Pendiente"))</f>
        <v/>
      </c>
      <c r="M547" s="18" t="str">
        <f aca="false">IF(A547="","",IF(L547=0,"LISTA","RESTRINGIDA"))</f>
        <v/>
      </c>
      <c r="N547" s="51" t="str">
        <f aca="false">IF(OR(A547="",H547=""),"",IFERROR(MIN(1,SUMIF(SEMANAL!$C$7:$C$506,A547,SEMANAL!$W$7:$W$506)/H547),0))</f>
        <v/>
      </c>
      <c r="O547" s="57"/>
      <c r="P547" s="57"/>
      <c r="Q547" s="57"/>
      <c r="R547" s="57"/>
      <c r="S547" s="57"/>
      <c r="T547" s="57"/>
      <c r="U547" s="9"/>
    </row>
    <row r="548" customFormat="false" ht="15" hidden="false" customHeight="false" outlineLevel="0" collapsed="false">
      <c r="A548" s="9"/>
      <c r="B548" s="9"/>
      <c r="C548" s="16" t="str">
        <f aca="false">IF(B548="","",IFERROR(INDEX(EDT!$E$5:$E$436,MATCH(B548,EDT!$H$5:$H$436,0)),IFERROR(INDEX(CRONOGRAMA!$G$5:$G$5679,MATCH(A548,CRONOGRAMA!$A$5:$A$5679,0)),"Fuera EDT")))</f>
        <v/>
      </c>
      <c r="D548" s="16" t="str">
        <f aca="false">IF(C548="","",IFERROR(INDEX(MASTER!$B$19:$B$109,MATCH(C548,MASTER!$A$19:$A$109,0)),"Asignar fase"))</f>
        <v/>
      </c>
      <c r="E548" s="9"/>
      <c r="F548" s="9"/>
      <c r="G548" s="9"/>
      <c r="H548" s="56"/>
      <c r="I548" s="43"/>
      <c r="J548" s="43"/>
      <c r="K548" s="16" t="str">
        <f aca="false">IF(A548="","",COUNTIF(RESTRICCIONES!$B$5:$B$304,A548))</f>
        <v/>
      </c>
      <c r="L548" s="16" t="str">
        <f aca="false">IF(A548="","",COUNTIFS(RESTRICCIONES!$B$5:$B$304,A548,RESTRICCIONES!$L$5:$L$304,"Pendiente"))</f>
        <v/>
      </c>
      <c r="M548" s="18" t="str">
        <f aca="false">IF(A548="","",IF(L548=0,"LISTA","RESTRINGIDA"))</f>
        <v/>
      </c>
      <c r="N548" s="51" t="str">
        <f aca="false">IF(OR(A548="",H548=""),"",IFERROR(MIN(1,SUMIF(SEMANAL!$C$7:$C$506,A548,SEMANAL!$W$7:$W$506)/H548),0))</f>
        <v/>
      </c>
      <c r="O548" s="57"/>
      <c r="P548" s="57"/>
      <c r="Q548" s="57"/>
      <c r="R548" s="57"/>
      <c r="S548" s="57"/>
      <c r="T548" s="57"/>
      <c r="U548" s="9"/>
    </row>
    <row r="549" customFormat="false" ht="15" hidden="false" customHeight="false" outlineLevel="0" collapsed="false">
      <c r="A549" s="9"/>
      <c r="B549" s="9"/>
      <c r="C549" s="16" t="str">
        <f aca="false">IF(B549="","",IFERROR(INDEX(EDT!$E$5:$E$436,MATCH(B549,EDT!$H$5:$H$436,0)),IFERROR(INDEX(CRONOGRAMA!$G$5:$G$5679,MATCH(A549,CRONOGRAMA!$A$5:$A$5679,0)),"Fuera EDT")))</f>
        <v/>
      </c>
      <c r="D549" s="16" t="str">
        <f aca="false">IF(C549="","",IFERROR(INDEX(MASTER!$B$19:$B$109,MATCH(C549,MASTER!$A$19:$A$109,0)),"Asignar fase"))</f>
        <v/>
      </c>
      <c r="E549" s="9"/>
      <c r="F549" s="9"/>
      <c r="G549" s="9"/>
      <c r="H549" s="56"/>
      <c r="I549" s="43"/>
      <c r="J549" s="43"/>
      <c r="K549" s="16" t="str">
        <f aca="false">IF(A549="","",COUNTIF(RESTRICCIONES!$B$5:$B$304,A549))</f>
        <v/>
      </c>
      <c r="L549" s="16" t="str">
        <f aca="false">IF(A549="","",COUNTIFS(RESTRICCIONES!$B$5:$B$304,A549,RESTRICCIONES!$L$5:$L$304,"Pendiente"))</f>
        <v/>
      </c>
      <c r="M549" s="18" t="str">
        <f aca="false">IF(A549="","",IF(L549=0,"LISTA","RESTRINGIDA"))</f>
        <v/>
      </c>
      <c r="N549" s="51" t="str">
        <f aca="false">IF(OR(A549="",H549=""),"",IFERROR(MIN(1,SUMIF(SEMANAL!$C$7:$C$506,A549,SEMANAL!$W$7:$W$506)/H549),0))</f>
        <v/>
      </c>
      <c r="O549" s="57"/>
      <c r="P549" s="57"/>
      <c r="Q549" s="57"/>
      <c r="R549" s="57"/>
      <c r="S549" s="57"/>
      <c r="T549" s="57"/>
      <c r="U549" s="9"/>
    </row>
    <row r="550" customFormat="false" ht="15" hidden="false" customHeight="false" outlineLevel="0" collapsed="false">
      <c r="A550" s="9"/>
      <c r="B550" s="9"/>
      <c r="C550" s="16" t="str">
        <f aca="false">IF(B550="","",IFERROR(INDEX(EDT!$E$5:$E$436,MATCH(B550,EDT!$H$5:$H$436,0)),IFERROR(INDEX(CRONOGRAMA!$G$5:$G$5679,MATCH(A550,CRONOGRAMA!$A$5:$A$5679,0)),"Fuera EDT")))</f>
        <v/>
      </c>
      <c r="D550" s="16" t="str">
        <f aca="false">IF(C550="","",IFERROR(INDEX(MASTER!$B$19:$B$109,MATCH(C550,MASTER!$A$19:$A$109,0)),"Asignar fase"))</f>
        <v/>
      </c>
      <c r="E550" s="9"/>
      <c r="F550" s="9"/>
      <c r="G550" s="9"/>
      <c r="H550" s="56"/>
      <c r="I550" s="43"/>
      <c r="J550" s="43"/>
      <c r="K550" s="16" t="str">
        <f aca="false">IF(A550="","",COUNTIF(RESTRICCIONES!$B$5:$B$304,A550))</f>
        <v/>
      </c>
      <c r="L550" s="16" t="str">
        <f aca="false">IF(A550="","",COUNTIFS(RESTRICCIONES!$B$5:$B$304,A550,RESTRICCIONES!$L$5:$L$304,"Pendiente"))</f>
        <v/>
      </c>
      <c r="M550" s="18" t="str">
        <f aca="false">IF(A550="","",IF(L550=0,"LISTA","RESTRINGIDA"))</f>
        <v/>
      </c>
      <c r="N550" s="51" t="str">
        <f aca="false">IF(OR(A550="",H550=""),"",IFERROR(MIN(1,SUMIF(SEMANAL!$C$7:$C$506,A550,SEMANAL!$W$7:$W$506)/H550),0))</f>
        <v/>
      </c>
      <c r="O550" s="57"/>
      <c r="P550" s="57"/>
      <c r="Q550" s="57"/>
      <c r="R550" s="57"/>
      <c r="S550" s="57"/>
      <c r="T550" s="57"/>
      <c r="U550" s="9"/>
    </row>
    <row r="551" customFormat="false" ht="15" hidden="false" customHeight="false" outlineLevel="0" collapsed="false">
      <c r="A551" s="9"/>
      <c r="B551" s="9"/>
      <c r="C551" s="16" t="str">
        <f aca="false">IF(B551="","",IFERROR(INDEX(EDT!$E$5:$E$436,MATCH(B551,EDT!$H$5:$H$436,0)),IFERROR(INDEX(CRONOGRAMA!$G$5:$G$5679,MATCH(A551,CRONOGRAMA!$A$5:$A$5679,0)),"Fuera EDT")))</f>
        <v/>
      </c>
      <c r="D551" s="16" t="str">
        <f aca="false">IF(C551="","",IFERROR(INDEX(MASTER!$B$19:$B$109,MATCH(C551,MASTER!$A$19:$A$109,0)),"Asignar fase"))</f>
        <v/>
      </c>
      <c r="E551" s="9"/>
      <c r="F551" s="9"/>
      <c r="G551" s="9"/>
      <c r="H551" s="56"/>
      <c r="I551" s="43"/>
      <c r="J551" s="43"/>
      <c r="K551" s="16" t="str">
        <f aca="false">IF(A551="","",COUNTIF(RESTRICCIONES!$B$5:$B$304,A551))</f>
        <v/>
      </c>
      <c r="L551" s="16" t="str">
        <f aca="false">IF(A551="","",COUNTIFS(RESTRICCIONES!$B$5:$B$304,A551,RESTRICCIONES!$L$5:$L$304,"Pendiente"))</f>
        <v/>
      </c>
      <c r="M551" s="18" t="str">
        <f aca="false">IF(A551="","",IF(L551=0,"LISTA","RESTRINGIDA"))</f>
        <v/>
      </c>
      <c r="N551" s="51" t="str">
        <f aca="false">IF(OR(A551="",H551=""),"",IFERROR(MIN(1,SUMIF(SEMANAL!$C$7:$C$506,A551,SEMANAL!$W$7:$W$506)/H551),0))</f>
        <v/>
      </c>
      <c r="O551" s="57"/>
      <c r="P551" s="57"/>
      <c r="Q551" s="57"/>
      <c r="R551" s="57"/>
      <c r="S551" s="57"/>
      <c r="T551" s="57"/>
      <c r="U551" s="9"/>
    </row>
    <row r="552" customFormat="false" ht="15" hidden="false" customHeight="false" outlineLevel="0" collapsed="false">
      <c r="A552" s="9"/>
      <c r="B552" s="9"/>
      <c r="C552" s="16" t="str">
        <f aca="false">IF(B552="","",IFERROR(INDEX(EDT!$E$5:$E$436,MATCH(B552,EDT!$H$5:$H$436,0)),IFERROR(INDEX(CRONOGRAMA!$G$5:$G$5679,MATCH(A552,CRONOGRAMA!$A$5:$A$5679,0)),"Fuera EDT")))</f>
        <v/>
      </c>
      <c r="D552" s="16" t="str">
        <f aca="false">IF(C552="","",IFERROR(INDEX(MASTER!$B$19:$B$109,MATCH(C552,MASTER!$A$19:$A$109,0)),"Asignar fase"))</f>
        <v/>
      </c>
      <c r="E552" s="9"/>
      <c r="F552" s="9"/>
      <c r="G552" s="9"/>
      <c r="H552" s="56"/>
      <c r="I552" s="43"/>
      <c r="J552" s="43"/>
      <c r="K552" s="16" t="str">
        <f aca="false">IF(A552="","",COUNTIF(RESTRICCIONES!$B$5:$B$304,A552))</f>
        <v/>
      </c>
      <c r="L552" s="16" t="str">
        <f aca="false">IF(A552="","",COUNTIFS(RESTRICCIONES!$B$5:$B$304,A552,RESTRICCIONES!$L$5:$L$304,"Pendiente"))</f>
        <v/>
      </c>
      <c r="M552" s="18" t="str">
        <f aca="false">IF(A552="","",IF(L552=0,"LISTA","RESTRINGIDA"))</f>
        <v/>
      </c>
      <c r="N552" s="51" t="str">
        <f aca="false">IF(OR(A552="",H552=""),"",IFERROR(MIN(1,SUMIF(SEMANAL!$C$7:$C$506,A552,SEMANAL!$W$7:$W$506)/H552),0))</f>
        <v/>
      </c>
      <c r="O552" s="57"/>
      <c r="P552" s="57"/>
      <c r="Q552" s="57"/>
      <c r="R552" s="57"/>
      <c r="S552" s="57"/>
      <c r="T552" s="57"/>
      <c r="U552" s="9"/>
    </row>
    <row r="553" customFormat="false" ht="15" hidden="false" customHeight="false" outlineLevel="0" collapsed="false">
      <c r="A553" s="9"/>
      <c r="B553" s="9"/>
      <c r="C553" s="16" t="str">
        <f aca="false">IF(B553="","",IFERROR(INDEX(EDT!$E$5:$E$436,MATCH(B553,EDT!$H$5:$H$436,0)),IFERROR(INDEX(CRONOGRAMA!$G$5:$G$5679,MATCH(A553,CRONOGRAMA!$A$5:$A$5679,0)),"Fuera EDT")))</f>
        <v/>
      </c>
      <c r="D553" s="16" t="str">
        <f aca="false">IF(C553="","",IFERROR(INDEX(MASTER!$B$19:$B$109,MATCH(C553,MASTER!$A$19:$A$109,0)),"Asignar fase"))</f>
        <v/>
      </c>
      <c r="E553" s="9"/>
      <c r="F553" s="9"/>
      <c r="G553" s="9"/>
      <c r="H553" s="56"/>
      <c r="I553" s="43"/>
      <c r="J553" s="43"/>
      <c r="K553" s="16" t="str">
        <f aca="false">IF(A553="","",COUNTIF(RESTRICCIONES!$B$5:$B$304,A553))</f>
        <v/>
      </c>
      <c r="L553" s="16" t="str">
        <f aca="false">IF(A553="","",COUNTIFS(RESTRICCIONES!$B$5:$B$304,A553,RESTRICCIONES!$L$5:$L$304,"Pendiente"))</f>
        <v/>
      </c>
      <c r="M553" s="18" t="str">
        <f aca="false">IF(A553="","",IF(L553=0,"LISTA","RESTRINGIDA"))</f>
        <v/>
      </c>
      <c r="N553" s="51" t="str">
        <f aca="false">IF(OR(A553="",H553=""),"",IFERROR(MIN(1,SUMIF(SEMANAL!$C$7:$C$506,A553,SEMANAL!$W$7:$W$506)/H553),0))</f>
        <v/>
      </c>
      <c r="O553" s="57"/>
      <c r="P553" s="57"/>
      <c r="Q553" s="57"/>
      <c r="R553" s="57"/>
      <c r="S553" s="57"/>
      <c r="T553" s="57"/>
      <c r="U553" s="9"/>
    </row>
    <row r="554" customFormat="false" ht="15" hidden="false" customHeight="false" outlineLevel="0" collapsed="false">
      <c r="A554" s="9"/>
      <c r="B554" s="9"/>
      <c r="C554" s="16" t="str">
        <f aca="false">IF(B554="","",IFERROR(INDEX(EDT!$E$5:$E$436,MATCH(B554,EDT!$H$5:$H$436,0)),IFERROR(INDEX(CRONOGRAMA!$G$5:$G$5679,MATCH(A554,CRONOGRAMA!$A$5:$A$5679,0)),"Fuera EDT")))</f>
        <v/>
      </c>
      <c r="D554" s="16" t="str">
        <f aca="false">IF(C554="","",IFERROR(INDEX(MASTER!$B$19:$B$109,MATCH(C554,MASTER!$A$19:$A$109,0)),"Asignar fase"))</f>
        <v/>
      </c>
      <c r="E554" s="9"/>
      <c r="F554" s="9"/>
      <c r="G554" s="9"/>
      <c r="H554" s="56"/>
      <c r="I554" s="43"/>
      <c r="J554" s="43"/>
      <c r="K554" s="16" t="str">
        <f aca="false">IF(A554="","",COUNTIF(RESTRICCIONES!$B$5:$B$304,A554))</f>
        <v/>
      </c>
      <c r="L554" s="16" t="str">
        <f aca="false">IF(A554="","",COUNTIFS(RESTRICCIONES!$B$5:$B$304,A554,RESTRICCIONES!$L$5:$L$304,"Pendiente"))</f>
        <v/>
      </c>
      <c r="M554" s="18" t="str">
        <f aca="false">IF(A554="","",IF(L554=0,"LISTA","RESTRINGIDA"))</f>
        <v/>
      </c>
      <c r="N554" s="51" t="str">
        <f aca="false">IF(OR(A554="",H554=""),"",IFERROR(MIN(1,SUMIF(SEMANAL!$C$7:$C$506,A554,SEMANAL!$W$7:$W$506)/H554),0))</f>
        <v/>
      </c>
      <c r="O554" s="57"/>
      <c r="P554" s="57"/>
      <c r="Q554" s="57"/>
      <c r="R554" s="57"/>
      <c r="S554" s="57"/>
      <c r="T554" s="57"/>
      <c r="U554" s="9"/>
    </row>
    <row r="555" customFormat="false" ht="15" hidden="false" customHeight="false" outlineLevel="0" collapsed="false">
      <c r="A555" s="9"/>
      <c r="B555" s="9"/>
      <c r="C555" s="16" t="str">
        <f aca="false">IF(B555="","",IFERROR(INDEX(EDT!$E$5:$E$436,MATCH(B555,EDT!$H$5:$H$436,0)),IFERROR(INDEX(CRONOGRAMA!$G$5:$G$5679,MATCH(A555,CRONOGRAMA!$A$5:$A$5679,0)),"Fuera EDT")))</f>
        <v/>
      </c>
      <c r="D555" s="16" t="str">
        <f aca="false">IF(C555="","",IFERROR(INDEX(MASTER!$B$19:$B$109,MATCH(C555,MASTER!$A$19:$A$109,0)),"Asignar fase"))</f>
        <v/>
      </c>
      <c r="E555" s="9"/>
      <c r="F555" s="9"/>
      <c r="G555" s="9"/>
      <c r="H555" s="56"/>
      <c r="I555" s="43"/>
      <c r="J555" s="43"/>
      <c r="K555" s="16" t="str">
        <f aca="false">IF(A555="","",COUNTIF(RESTRICCIONES!$B$5:$B$304,A555))</f>
        <v/>
      </c>
      <c r="L555" s="16" t="str">
        <f aca="false">IF(A555="","",COUNTIFS(RESTRICCIONES!$B$5:$B$304,A555,RESTRICCIONES!$L$5:$L$304,"Pendiente"))</f>
        <v/>
      </c>
      <c r="M555" s="18" t="str">
        <f aca="false">IF(A555="","",IF(L555=0,"LISTA","RESTRINGIDA"))</f>
        <v/>
      </c>
      <c r="N555" s="51" t="str">
        <f aca="false">IF(OR(A555="",H555=""),"",IFERROR(MIN(1,SUMIF(SEMANAL!$C$7:$C$506,A555,SEMANAL!$W$7:$W$506)/H555),0))</f>
        <v/>
      </c>
      <c r="O555" s="57"/>
      <c r="P555" s="57"/>
      <c r="Q555" s="57"/>
      <c r="R555" s="57"/>
      <c r="S555" s="57"/>
      <c r="T555" s="57"/>
      <c r="U555" s="9"/>
    </row>
    <row r="556" customFormat="false" ht="15" hidden="false" customHeight="false" outlineLevel="0" collapsed="false">
      <c r="A556" s="9"/>
      <c r="B556" s="9"/>
      <c r="C556" s="16" t="str">
        <f aca="false">IF(B556="","",IFERROR(INDEX(EDT!$E$5:$E$436,MATCH(B556,EDT!$H$5:$H$436,0)),IFERROR(INDEX(CRONOGRAMA!$G$5:$G$5679,MATCH(A556,CRONOGRAMA!$A$5:$A$5679,0)),"Fuera EDT")))</f>
        <v/>
      </c>
      <c r="D556" s="16" t="str">
        <f aca="false">IF(C556="","",IFERROR(INDEX(MASTER!$B$19:$B$109,MATCH(C556,MASTER!$A$19:$A$109,0)),"Asignar fase"))</f>
        <v/>
      </c>
      <c r="E556" s="9"/>
      <c r="F556" s="9"/>
      <c r="G556" s="9"/>
      <c r="H556" s="56"/>
      <c r="I556" s="43"/>
      <c r="J556" s="43"/>
      <c r="K556" s="16" t="str">
        <f aca="false">IF(A556="","",COUNTIF(RESTRICCIONES!$B$5:$B$304,A556))</f>
        <v/>
      </c>
      <c r="L556" s="16" t="str">
        <f aca="false">IF(A556="","",COUNTIFS(RESTRICCIONES!$B$5:$B$304,A556,RESTRICCIONES!$L$5:$L$304,"Pendiente"))</f>
        <v/>
      </c>
      <c r="M556" s="18" t="str">
        <f aca="false">IF(A556="","",IF(L556=0,"LISTA","RESTRINGIDA"))</f>
        <v/>
      </c>
      <c r="N556" s="51" t="str">
        <f aca="false">IF(OR(A556="",H556=""),"",IFERROR(MIN(1,SUMIF(SEMANAL!$C$7:$C$506,A556,SEMANAL!$W$7:$W$506)/H556),0))</f>
        <v/>
      </c>
      <c r="O556" s="57"/>
      <c r="P556" s="57"/>
      <c r="Q556" s="57"/>
      <c r="R556" s="57"/>
      <c r="S556" s="57"/>
      <c r="T556" s="57"/>
      <c r="U556" s="9"/>
    </row>
    <row r="557" customFormat="false" ht="15" hidden="false" customHeight="false" outlineLevel="0" collapsed="false">
      <c r="A557" s="9"/>
      <c r="B557" s="9"/>
      <c r="C557" s="16" t="str">
        <f aca="false">IF(B557="","",IFERROR(INDEX(EDT!$E$5:$E$436,MATCH(B557,EDT!$H$5:$H$436,0)),IFERROR(INDEX(CRONOGRAMA!$G$5:$G$5679,MATCH(A557,CRONOGRAMA!$A$5:$A$5679,0)),"Fuera EDT")))</f>
        <v/>
      </c>
      <c r="D557" s="16" t="str">
        <f aca="false">IF(C557="","",IFERROR(INDEX(MASTER!$B$19:$B$109,MATCH(C557,MASTER!$A$19:$A$109,0)),"Asignar fase"))</f>
        <v/>
      </c>
      <c r="E557" s="9"/>
      <c r="F557" s="9"/>
      <c r="G557" s="9"/>
      <c r="H557" s="56"/>
      <c r="I557" s="43"/>
      <c r="J557" s="43"/>
      <c r="K557" s="16" t="str">
        <f aca="false">IF(A557="","",COUNTIF(RESTRICCIONES!$B$5:$B$304,A557))</f>
        <v/>
      </c>
      <c r="L557" s="16" t="str">
        <f aca="false">IF(A557="","",COUNTIFS(RESTRICCIONES!$B$5:$B$304,A557,RESTRICCIONES!$L$5:$L$304,"Pendiente"))</f>
        <v/>
      </c>
      <c r="M557" s="18" t="str">
        <f aca="false">IF(A557="","",IF(L557=0,"LISTA","RESTRINGIDA"))</f>
        <v/>
      </c>
      <c r="N557" s="51" t="str">
        <f aca="false">IF(OR(A557="",H557=""),"",IFERROR(MIN(1,SUMIF(SEMANAL!$C$7:$C$506,A557,SEMANAL!$W$7:$W$506)/H557),0))</f>
        <v/>
      </c>
      <c r="O557" s="57"/>
      <c r="P557" s="57"/>
      <c r="Q557" s="57"/>
      <c r="R557" s="57"/>
      <c r="S557" s="57"/>
      <c r="T557" s="57"/>
      <c r="U557" s="9"/>
    </row>
    <row r="558" customFormat="false" ht="15" hidden="false" customHeight="false" outlineLevel="0" collapsed="false">
      <c r="A558" s="9"/>
      <c r="B558" s="9"/>
      <c r="C558" s="16" t="str">
        <f aca="false">IF(B558="","",IFERROR(INDEX(EDT!$E$5:$E$436,MATCH(B558,EDT!$H$5:$H$436,0)),IFERROR(INDEX(CRONOGRAMA!$G$5:$G$5679,MATCH(A558,CRONOGRAMA!$A$5:$A$5679,0)),"Fuera EDT")))</f>
        <v/>
      </c>
      <c r="D558" s="16" t="str">
        <f aca="false">IF(C558="","",IFERROR(INDEX(MASTER!$B$19:$B$109,MATCH(C558,MASTER!$A$19:$A$109,0)),"Asignar fase"))</f>
        <v/>
      </c>
      <c r="E558" s="9"/>
      <c r="F558" s="9"/>
      <c r="G558" s="9"/>
      <c r="H558" s="56"/>
      <c r="I558" s="43"/>
      <c r="J558" s="43"/>
      <c r="K558" s="16" t="str">
        <f aca="false">IF(A558="","",COUNTIF(RESTRICCIONES!$B$5:$B$304,A558))</f>
        <v/>
      </c>
      <c r="L558" s="16" t="str">
        <f aca="false">IF(A558="","",COUNTIFS(RESTRICCIONES!$B$5:$B$304,A558,RESTRICCIONES!$L$5:$L$304,"Pendiente"))</f>
        <v/>
      </c>
      <c r="M558" s="18" t="str">
        <f aca="false">IF(A558="","",IF(L558=0,"LISTA","RESTRINGIDA"))</f>
        <v/>
      </c>
      <c r="N558" s="51" t="str">
        <f aca="false">IF(OR(A558="",H558=""),"",IFERROR(MIN(1,SUMIF(SEMANAL!$C$7:$C$506,A558,SEMANAL!$W$7:$W$506)/H558),0))</f>
        <v/>
      </c>
      <c r="O558" s="57"/>
      <c r="P558" s="57"/>
      <c r="Q558" s="57"/>
      <c r="R558" s="57"/>
      <c r="S558" s="57"/>
      <c r="T558" s="57"/>
      <c r="U558" s="9"/>
    </row>
    <row r="559" customFormat="false" ht="15" hidden="false" customHeight="false" outlineLevel="0" collapsed="false">
      <c r="A559" s="9"/>
      <c r="B559" s="9"/>
      <c r="C559" s="16" t="str">
        <f aca="false">IF(B559="","",IFERROR(INDEX(EDT!$E$5:$E$436,MATCH(B559,EDT!$H$5:$H$436,0)),IFERROR(INDEX(CRONOGRAMA!$G$5:$G$5679,MATCH(A559,CRONOGRAMA!$A$5:$A$5679,0)),"Fuera EDT")))</f>
        <v/>
      </c>
      <c r="D559" s="16" t="str">
        <f aca="false">IF(C559="","",IFERROR(INDEX(MASTER!$B$19:$B$109,MATCH(C559,MASTER!$A$19:$A$109,0)),"Asignar fase"))</f>
        <v/>
      </c>
      <c r="E559" s="9"/>
      <c r="F559" s="9"/>
      <c r="G559" s="9"/>
      <c r="H559" s="56"/>
      <c r="I559" s="43"/>
      <c r="J559" s="43"/>
      <c r="K559" s="16" t="str">
        <f aca="false">IF(A559="","",COUNTIF(RESTRICCIONES!$B$5:$B$304,A559))</f>
        <v/>
      </c>
      <c r="L559" s="16" t="str">
        <f aca="false">IF(A559="","",COUNTIFS(RESTRICCIONES!$B$5:$B$304,A559,RESTRICCIONES!$L$5:$L$304,"Pendiente"))</f>
        <v/>
      </c>
      <c r="M559" s="18" t="str">
        <f aca="false">IF(A559="","",IF(L559=0,"LISTA","RESTRINGIDA"))</f>
        <v/>
      </c>
      <c r="N559" s="51" t="str">
        <f aca="false">IF(OR(A559="",H559=""),"",IFERROR(MIN(1,SUMIF(SEMANAL!$C$7:$C$506,A559,SEMANAL!$W$7:$W$506)/H559),0))</f>
        <v/>
      </c>
      <c r="O559" s="57"/>
      <c r="P559" s="57"/>
      <c r="Q559" s="57"/>
      <c r="R559" s="57"/>
      <c r="S559" s="57"/>
      <c r="T559" s="57"/>
      <c r="U559" s="9"/>
    </row>
    <row r="560" customFormat="false" ht="15" hidden="false" customHeight="false" outlineLevel="0" collapsed="false">
      <c r="A560" s="9"/>
      <c r="B560" s="9"/>
      <c r="C560" s="16" t="str">
        <f aca="false">IF(B560="","",IFERROR(INDEX(EDT!$E$5:$E$436,MATCH(B560,EDT!$H$5:$H$436,0)),IFERROR(INDEX(CRONOGRAMA!$G$5:$G$5679,MATCH(A560,CRONOGRAMA!$A$5:$A$5679,0)),"Fuera EDT")))</f>
        <v/>
      </c>
      <c r="D560" s="16" t="str">
        <f aca="false">IF(C560="","",IFERROR(INDEX(MASTER!$B$19:$B$109,MATCH(C560,MASTER!$A$19:$A$109,0)),"Asignar fase"))</f>
        <v/>
      </c>
      <c r="E560" s="9"/>
      <c r="F560" s="9"/>
      <c r="G560" s="9"/>
      <c r="H560" s="56"/>
      <c r="I560" s="43"/>
      <c r="J560" s="43"/>
      <c r="K560" s="16" t="str">
        <f aca="false">IF(A560="","",COUNTIF(RESTRICCIONES!$B$5:$B$304,A560))</f>
        <v/>
      </c>
      <c r="L560" s="16" t="str">
        <f aca="false">IF(A560="","",COUNTIFS(RESTRICCIONES!$B$5:$B$304,A560,RESTRICCIONES!$L$5:$L$304,"Pendiente"))</f>
        <v/>
      </c>
      <c r="M560" s="18" t="str">
        <f aca="false">IF(A560="","",IF(L560=0,"LISTA","RESTRINGIDA"))</f>
        <v/>
      </c>
      <c r="N560" s="51" t="str">
        <f aca="false">IF(OR(A560="",H560=""),"",IFERROR(MIN(1,SUMIF(SEMANAL!$C$7:$C$506,A560,SEMANAL!$W$7:$W$506)/H560),0))</f>
        <v/>
      </c>
      <c r="O560" s="57"/>
      <c r="P560" s="57"/>
      <c r="Q560" s="57"/>
      <c r="R560" s="57"/>
      <c r="S560" s="57"/>
      <c r="T560" s="57"/>
      <c r="U560" s="9"/>
    </row>
    <row r="561" customFormat="false" ht="15" hidden="false" customHeight="false" outlineLevel="0" collapsed="false">
      <c r="A561" s="9"/>
      <c r="B561" s="9"/>
      <c r="C561" s="16" t="str">
        <f aca="false">IF(B561="","",IFERROR(INDEX(EDT!$E$5:$E$436,MATCH(B561,EDT!$H$5:$H$436,0)),IFERROR(INDEX(CRONOGRAMA!$G$5:$G$5679,MATCH(A561,CRONOGRAMA!$A$5:$A$5679,0)),"Fuera EDT")))</f>
        <v/>
      </c>
      <c r="D561" s="16" t="str">
        <f aca="false">IF(C561="","",IFERROR(INDEX(MASTER!$B$19:$B$109,MATCH(C561,MASTER!$A$19:$A$109,0)),"Asignar fase"))</f>
        <v/>
      </c>
      <c r="E561" s="9"/>
      <c r="F561" s="9"/>
      <c r="G561" s="9"/>
      <c r="H561" s="56"/>
      <c r="I561" s="43"/>
      <c r="J561" s="43"/>
      <c r="K561" s="16" t="str">
        <f aca="false">IF(A561="","",COUNTIF(RESTRICCIONES!$B$5:$B$304,A561))</f>
        <v/>
      </c>
      <c r="L561" s="16" t="str">
        <f aca="false">IF(A561="","",COUNTIFS(RESTRICCIONES!$B$5:$B$304,A561,RESTRICCIONES!$L$5:$L$304,"Pendiente"))</f>
        <v/>
      </c>
      <c r="M561" s="18" t="str">
        <f aca="false">IF(A561="","",IF(L561=0,"LISTA","RESTRINGIDA"))</f>
        <v/>
      </c>
      <c r="N561" s="51" t="str">
        <f aca="false">IF(OR(A561="",H561=""),"",IFERROR(MIN(1,SUMIF(SEMANAL!$C$7:$C$506,A561,SEMANAL!$W$7:$W$506)/H561),0))</f>
        <v/>
      </c>
      <c r="O561" s="57"/>
      <c r="P561" s="57"/>
      <c r="Q561" s="57"/>
      <c r="R561" s="57"/>
      <c r="S561" s="57"/>
      <c r="T561" s="57"/>
      <c r="U561" s="9"/>
    </row>
    <row r="562" customFormat="false" ht="15" hidden="false" customHeight="false" outlineLevel="0" collapsed="false">
      <c r="A562" s="9"/>
      <c r="B562" s="9"/>
      <c r="C562" s="16" t="str">
        <f aca="false">IF(B562="","",IFERROR(INDEX(EDT!$E$5:$E$436,MATCH(B562,EDT!$H$5:$H$436,0)),IFERROR(INDEX(CRONOGRAMA!$G$5:$G$5679,MATCH(A562,CRONOGRAMA!$A$5:$A$5679,0)),"Fuera EDT")))</f>
        <v/>
      </c>
      <c r="D562" s="16" t="str">
        <f aca="false">IF(C562="","",IFERROR(INDEX(MASTER!$B$19:$B$109,MATCH(C562,MASTER!$A$19:$A$109,0)),"Asignar fase"))</f>
        <v/>
      </c>
      <c r="E562" s="9"/>
      <c r="F562" s="9"/>
      <c r="G562" s="9"/>
      <c r="H562" s="56"/>
      <c r="I562" s="43"/>
      <c r="J562" s="43"/>
      <c r="K562" s="16" t="str">
        <f aca="false">IF(A562="","",COUNTIF(RESTRICCIONES!$B$5:$B$304,A562))</f>
        <v/>
      </c>
      <c r="L562" s="16" t="str">
        <f aca="false">IF(A562="","",COUNTIFS(RESTRICCIONES!$B$5:$B$304,A562,RESTRICCIONES!$L$5:$L$304,"Pendiente"))</f>
        <v/>
      </c>
      <c r="M562" s="18" t="str">
        <f aca="false">IF(A562="","",IF(L562=0,"LISTA","RESTRINGIDA"))</f>
        <v/>
      </c>
      <c r="N562" s="51" t="str">
        <f aca="false">IF(OR(A562="",H562=""),"",IFERROR(MIN(1,SUMIF(SEMANAL!$C$7:$C$506,A562,SEMANAL!$W$7:$W$506)/H562),0))</f>
        <v/>
      </c>
      <c r="O562" s="57"/>
      <c r="P562" s="57"/>
      <c r="Q562" s="57"/>
      <c r="R562" s="57"/>
      <c r="S562" s="57"/>
      <c r="T562" s="57"/>
      <c r="U562" s="9"/>
    </row>
    <row r="563" customFormat="false" ht="15" hidden="false" customHeight="false" outlineLevel="0" collapsed="false">
      <c r="A563" s="9"/>
      <c r="B563" s="9"/>
      <c r="C563" s="16" t="str">
        <f aca="false">IF(B563="","",IFERROR(INDEX(EDT!$E$5:$E$436,MATCH(B563,EDT!$H$5:$H$436,0)),IFERROR(INDEX(CRONOGRAMA!$G$5:$G$5679,MATCH(A563,CRONOGRAMA!$A$5:$A$5679,0)),"Fuera EDT")))</f>
        <v/>
      </c>
      <c r="D563" s="16" t="str">
        <f aca="false">IF(C563="","",IFERROR(INDEX(MASTER!$B$19:$B$109,MATCH(C563,MASTER!$A$19:$A$109,0)),"Asignar fase"))</f>
        <v/>
      </c>
      <c r="E563" s="9"/>
      <c r="F563" s="9"/>
      <c r="G563" s="9"/>
      <c r="H563" s="56"/>
      <c r="I563" s="43"/>
      <c r="J563" s="43"/>
      <c r="K563" s="16" t="str">
        <f aca="false">IF(A563="","",COUNTIF(RESTRICCIONES!$B$5:$B$304,A563))</f>
        <v/>
      </c>
      <c r="L563" s="16" t="str">
        <f aca="false">IF(A563="","",COUNTIFS(RESTRICCIONES!$B$5:$B$304,A563,RESTRICCIONES!$L$5:$L$304,"Pendiente"))</f>
        <v/>
      </c>
      <c r="M563" s="18" t="str">
        <f aca="false">IF(A563="","",IF(L563=0,"LISTA","RESTRINGIDA"))</f>
        <v/>
      </c>
      <c r="N563" s="51" t="str">
        <f aca="false">IF(OR(A563="",H563=""),"",IFERROR(MIN(1,SUMIF(SEMANAL!$C$7:$C$506,A563,SEMANAL!$W$7:$W$506)/H563),0))</f>
        <v/>
      </c>
      <c r="O563" s="57"/>
      <c r="P563" s="57"/>
      <c r="Q563" s="57"/>
      <c r="R563" s="57"/>
      <c r="S563" s="57"/>
      <c r="T563" s="57"/>
      <c r="U563" s="9"/>
    </row>
    <row r="564" customFormat="false" ht="15" hidden="false" customHeight="false" outlineLevel="0" collapsed="false">
      <c r="A564" s="9"/>
      <c r="B564" s="9"/>
      <c r="C564" s="16" t="str">
        <f aca="false">IF(B564="","",IFERROR(INDEX(EDT!$E$5:$E$436,MATCH(B564,EDT!$H$5:$H$436,0)),IFERROR(INDEX(CRONOGRAMA!$G$5:$G$5679,MATCH(A564,CRONOGRAMA!$A$5:$A$5679,0)),"Fuera EDT")))</f>
        <v/>
      </c>
      <c r="D564" s="16" t="str">
        <f aca="false">IF(C564="","",IFERROR(INDEX(MASTER!$B$19:$B$109,MATCH(C564,MASTER!$A$19:$A$109,0)),"Asignar fase"))</f>
        <v/>
      </c>
      <c r="E564" s="9"/>
      <c r="F564" s="9"/>
      <c r="G564" s="9"/>
      <c r="H564" s="56"/>
      <c r="I564" s="43"/>
      <c r="J564" s="43"/>
      <c r="K564" s="16" t="str">
        <f aca="false">IF(A564="","",COUNTIF(RESTRICCIONES!$B$5:$B$304,A564))</f>
        <v/>
      </c>
      <c r="L564" s="16" t="str">
        <f aca="false">IF(A564="","",COUNTIFS(RESTRICCIONES!$B$5:$B$304,A564,RESTRICCIONES!$L$5:$L$304,"Pendiente"))</f>
        <v/>
      </c>
      <c r="M564" s="18" t="str">
        <f aca="false">IF(A564="","",IF(L564=0,"LISTA","RESTRINGIDA"))</f>
        <v/>
      </c>
      <c r="N564" s="51" t="str">
        <f aca="false">IF(OR(A564="",H564=""),"",IFERROR(MIN(1,SUMIF(SEMANAL!$C$7:$C$506,A564,SEMANAL!$W$7:$W$506)/H564),0))</f>
        <v/>
      </c>
      <c r="O564" s="57"/>
      <c r="P564" s="57"/>
      <c r="Q564" s="57"/>
      <c r="R564" s="57"/>
      <c r="S564" s="57"/>
      <c r="T564" s="57"/>
      <c r="U564" s="9"/>
    </row>
    <row r="565" customFormat="false" ht="15" hidden="false" customHeight="false" outlineLevel="0" collapsed="false">
      <c r="A565" s="9"/>
      <c r="B565" s="9"/>
      <c r="C565" s="16" t="str">
        <f aca="false">IF(B565="","",IFERROR(INDEX(EDT!$E$5:$E$436,MATCH(B565,EDT!$H$5:$H$436,0)),IFERROR(INDEX(CRONOGRAMA!$G$5:$G$5679,MATCH(A565,CRONOGRAMA!$A$5:$A$5679,0)),"Fuera EDT")))</f>
        <v/>
      </c>
      <c r="D565" s="16" t="str">
        <f aca="false">IF(C565="","",IFERROR(INDEX(MASTER!$B$19:$B$109,MATCH(C565,MASTER!$A$19:$A$109,0)),"Asignar fase"))</f>
        <v/>
      </c>
      <c r="E565" s="9"/>
      <c r="F565" s="9"/>
      <c r="G565" s="9"/>
      <c r="H565" s="56"/>
      <c r="I565" s="43"/>
      <c r="J565" s="43"/>
      <c r="K565" s="16" t="str">
        <f aca="false">IF(A565="","",COUNTIF(RESTRICCIONES!$B$5:$B$304,A565))</f>
        <v/>
      </c>
      <c r="L565" s="16" t="str">
        <f aca="false">IF(A565="","",COUNTIFS(RESTRICCIONES!$B$5:$B$304,A565,RESTRICCIONES!$L$5:$L$304,"Pendiente"))</f>
        <v/>
      </c>
      <c r="M565" s="18" t="str">
        <f aca="false">IF(A565="","",IF(L565=0,"LISTA","RESTRINGIDA"))</f>
        <v/>
      </c>
      <c r="N565" s="51" t="str">
        <f aca="false">IF(OR(A565="",H565=""),"",IFERROR(MIN(1,SUMIF(SEMANAL!$C$7:$C$506,A565,SEMANAL!$W$7:$W$506)/H565),0))</f>
        <v/>
      </c>
      <c r="O565" s="57"/>
      <c r="P565" s="57"/>
      <c r="Q565" s="57"/>
      <c r="R565" s="57"/>
      <c r="S565" s="57"/>
      <c r="T565" s="57"/>
      <c r="U565" s="9"/>
    </row>
    <row r="566" customFormat="false" ht="15" hidden="false" customHeight="false" outlineLevel="0" collapsed="false">
      <c r="A566" s="9"/>
      <c r="B566" s="9"/>
      <c r="C566" s="16" t="str">
        <f aca="false">IF(B566="","",IFERROR(INDEX(EDT!$E$5:$E$436,MATCH(B566,EDT!$H$5:$H$436,0)),IFERROR(INDEX(CRONOGRAMA!$G$5:$G$5679,MATCH(A566,CRONOGRAMA!$A$5:$A$5679,0)),"Fuera EDT")))</f>
        <v/>
      </c>
      <c r="D566" s="16" t="str">
        <f aca="false">IF(C566="","",IFERROR(INDEX(MASTER!$B$19:$B$109,MATCH(C566,MASTER!$A$19:$A$109,0)),"Asignar fase"))</f>
        <v/>
      </c>
      <c r="E566" s="9"/>
      <c r="F566" s="9"/>
      <c r="G566" s="9"/>
      <c r="H566" s="56"/>
      <c r="I566" s="43"/>
      <c r="J566" s="43"/>
      <c r="K566" s="16" t="str">
        <f aca="false">IF(A566="","",COUNTIF(RESTRICCIONES!$B$5:$B$304,A566))</f>
        <v/>
      </c>
      <c r="L566" s="16" t="str">
        <f aca="false">IF(A566="","",COUNTIFS(RESTRICCIONES!$B$5:$B$304,A566,RESTRICCIONES!$L$5:$L$304,"Pendiente"))</f>
        <v/>
      </c>
      <c r="M566" s="18" t="str">
        <f aca="false">IF(A566="","",IF(L566=0,"LISTA","RESTRINGIDA"))</f>
        <v/>
      </c>
      <c r="N566" s="51" t="str">
        <f aca="false">IF(OR(A566="",H566=""),"",IFERROR(MIN(1,SUMIF(SEMANAL!$C$7:$C$506,A566,SEMANAL!$W$7:$W$506)/H566),0))</f>
        <v/>
      </c>
      <c r="O566" s="57"/>
      <c r="P566" s="57"/>
      <c r="Q566" s="57"/>
      <c r="R566" s="57"/>
      <c r="S566" s="57"/>
      <c r="T566" s="57"/>
      <c r="U566" s="9"/>
    </row>
    <row r="567" customFormat="false" ht="15" hidden="false" customHeight="false" outlineLevel="0" collapsed="false">
      <c r="A567" s="9"/>
      <c r="B567" s="9"/>
      <c r="C567" s="16" t="str">
        <f aca="false">IF(B567="","",IFERROR(INDEX(EDT!$E$5:$E$436,MATCH(B567,EDT!$H$5:$H$436,0)),IFERROR(INDEX(CRONOGRAMA!$G$5:$G$5679,MATCH(A567,CRONOGRAMA!$A$5:$A$5679,0)),"Fuera EDT")))</f>
        <v/>
      </c>
      <c r="D567" s="16" t="str">
        <f aca="false">IF(C567="","",IFERROR(INDEX(MASTER!$B$19:$B$109,MATCH(C567,MASTER!$A$19:$A$109,0)),"Asignar fase"))</f>
        <v/>
      </c>
      <c r="E567" s="9"/>
      <c r="F567" s="9"/>
      <c r="G567" s="9"/>
      <c r="H567" s="56"/>
      <c r="I567" s="43"/>
      <c r="J567" s="43"/>
      <c r="K567" s="16" t="str">
        <f aca="false">IF(A567="","",COUNTIF(RESTRICCIONES!$B$5:$B$304,A567))</f>
        <v/>
      </c>
      <c r="L567" s="16" t="str">
        <f aca="false">IF(A567="","",COUNTIFS(RESTRICCIONES!$B$5:$B$304,A567,RESTRICCIONES!$L$5:$L$304,"Pendiente"))</f>
        <v/>
      </c>
      <c r="M567" s="18" t="str">
        <f aca="false">IF(A567="","",IF(L567=0,"LISTA","RESTRINGIDA"))</f>
        <v/>
      </c>
      <c r="N567" s="51" t="str">
        <f aca="false">IF(OR(A567="",H567=""),"",IFERROR(MIN(1,SUMIF(SEMANAL!$C$7:$C$506,A567,SEMANAL!$W$7:$W$506)/H567),0))</f>
        <v/>
      </c>
      <c r="O567" s="57"/>
      <c r="P567" s="57"/>
      <c r="Q567" s="57"/>
      <c r="R567" s="57"/>
      <c r="S567" s="57"/>
      <c r="T567" s="57"/>
      <c r="U567" s="9"/>
    </row>
    <row r="568" customFormat="false" ht="15" hidden="false" customHeight="false" outlineLevel="0" collapsed="false">
      <c r="A568" s="9"/>
      <c r="B568" s="9"/>
      <c r="C568" s="16" t="str">
        <f aca="false">IF(B568="","",IFERROR(INDEX(EDT!$E$5:$E$436,MATCH(B568,EDT!$H$5:$H$436,0)),IFERROR(INDEX(CRONOGRAMA!$G$5:$G$5679,MATCH(A568,CRONOGRAMA!$A$5:$A$5679,0)),"Fuera EDT")))</f>
        <v/>
      </c>
      <c r="D568" s="16" t="str">
        <f aca="false">IF(C568="","",IFERROR(INDEX(MASTER!$B$19:$B$109,MATCH(C568,MASTER!$A$19:$A$109,0)),"Asignar fase"))</f>
        <v/>
      </c>
      <c r="E568" s="9"/>
      <c r="F568" s="9"/>
      <c r="G568" s="9"/>
      <c r="H568" s="56"/>
      <c r="I568" s="43"/>
      <c r="J568" s="43"/>
      <c r="K568" s="16" t="str">
        <f aca="false">IF(A568="","",COUNTIF(RESTRICCIONES!$B$5:$B$304,A568))</f>
        <v/>
      </c>
      <c r="L568" s="16" t="str">
        <f aca="false">IF(A568="","",COUNTIFS(RESTRICCIONES!$B$5:$B$304,A568,RESTRICCIONES!$L$5:$L$304,"Pendiente"))</f>
        <v/>
      </c>
      <c r="M568" s="18" t="str">
        <f aca="false">IF(A568="","",IF(L568=0,"LISTA","RESTRINGIDA"))</f>
        <v/>
      </c>
      <c r="N568" s="51" t="str">
        <f aca="false">IF(OR(A568="",H568=""),"",IFERROR(MIN(1,SUMIF(SEMANAL!$C$7:$C$506,A568,SEMANAL!$W$7:$W$506)/H568),0))</f>
        <v/>
      </c>
      <c r="O568" s="57"/>
      <c r="P568" s="57"/>
      <c r="Q568" s="57"/>
      <c r="R568" s="57"/>
      <c r="S568" s="57"/>
      <c r="T568" s="57"/>
      <c r="U568" s="9"/>
    </row>
    <row r="569" customFormat="false" ht="15" hidden="false" customHeight="false" outlineLevel="0" collapsed="false">
      <c r="A569" s="9"/>
      <c r="B569" s="9"/>
      <c r="C569" s="16" t="str">
        <f aca="false">IF(B569="","",IFERROR(INDEX(EDT!$E$5:$E$436,MATCH(B569,EDT!$H$5:$H$436,0)),IFERROR(INDEX(CRONOGRAMA!$G$5:$G$5679,MATCH(A569,CRONOGRAMA!$A$5:$A$5679,0)),"Fuera EDT")))</f>
        <v/>
      </c>
      <c r="D569" s="16" t="str">
        <f aca="false">IF(C569="","",IFERROR(INDEX(MASTER!$B$19:$B$109,MATCH(C569,MASTER!$A$19:$A$109,0)),"Asignar fase"))</f>
        <v/>
      </c>
      <c r="E569" s="9"/>
      <c r="F569" s="9"/>
      <c r="G569" s="9"/>
      <c r="H569" s="56"/>
      <c r="I569" s="43"/>
      <c r="J569" s="43"/>
      <c r="K569" s="16" t="str">
        <f aca="false">IF(A569="","",COUNTIF(RESTRICCIONES!$B$5:$B$304,A569))</f>
        <v/>
      </c>
      <c r="L569" s="16" t="str">
        <f aca="false">IF(A569="","",COUNTIFS(RESTRICCIONES!$B$5:$B$304,A569,RESTRICCIONES!$L$5:$L$304,"Pendiente"))</f>
        <v/>
      </c>
      <c r="M569" s="18" t="str">
        <f aca="false">IF(A569="","",IF(L569=0,"LISTA","RESTRINGIDA"))</f>
        <v/>
      </c>
      <c r="N569" s="51" t="str">
        <f aca="false">IF(OR(A569="",H569=""),"",IFERROR(MIN(1,SUMIF(SEMANAL!$C$7:$C$506,A569,SEMANAL!$W$7:$W$506)/H569),0))</f>
        <v/>
      </c>
      <c r="O569" s="57"/>
      <c r="P569" s="57"/>
      <c r="Q569" s="57"/>
      <c r="R569" s="57"/>
      <c r="S569" s="57"/>
      <c r="T569" s="57"/>
      <c r="U569" s="9"/>
    </row>
    <row r="570" customFormat="false" ht="15" hidden="false" customHeight="false" outlineLevel="0" collapsed="false">
      <c r="A570" s="9"/>
      <c r="B570" s="9"/>
      <c r="C570" s="16" t="str">
        <f aca="false">IF(B570="","",IFERROR(INDEX(EDT!$E$5:$E$436,MATCH(B570,EDT!$H$5:$H$436,0)),IFERROR(INDEX(CRONOGRAMA!$G$5:$G$5679,MATCH(A570,CRONOGRAMA!$A$5:$A$5679,0)),"Fuera EDT")))</f>
        <v/>
      </c>
      <c r="D570" s="16" t="str">
        <f aca="false">IF(C570="","",IFERROR(INDEX(MASTER!$B$19:$B$109,MATCH(C570,MASTER!$A$19:$A$109,0)),"Asignar fase"))</f>
        <v/>
      </c>
      <c r="E570" s="9"/>
      <c r="F570" s="9"/>
      <c r="G570" s="9"/>
      <c r="H570" s="56"/>
      <c r="I570" s="43"/>
      <c r="J570" s="43"/>
      <c r="K570" s="16" t="str">
        <f aca="false">IF(A570="","",COUNTIF(RESTRICCIONES!$B$5:$B$304,A570))</f>
        <v/>
      </c>
      <c r="L570" s="16" t="str">
        <f aca="false">IF(A570="","",COUNTIFS(RESTRICCIONES!$B$5:$B$304,A570,RESTRICCIONES!$L$5:$L$304,"Pendiente"))</f>
        <v/>
      </c>
      <c r="M570" s="18" t="str">
        <f aca="false">IF(A570="","",IF(L570=0,"LISTA","RESTRINGIDA"))</f>
        <v/>
      </c>
      <c r="N570" s="51" t="str">
        <f aca="false">IF(OR(A570="",H570=""),"",IFERROR(MIN(1,SUMIF(SEMANAL!$C$7:$C$506,A570,SEMANAL!$W$7:$W$506)/H570),0))</f>
        <v/>
      </c>
      <c r="O570" s="57"/>
      <c r="P570" s="57"/>
      <c r="Q570" s="57"/>
      <c r="R570" s="57"/>
      <c r="S570" s="57"/>
      <c r="T570" s="57"/>
      <c r="U570" s="9"/>
    </row>
    <row r="571" customFormat="false" ht="15" hidden="false" customHeight="false" outlineLevel="0" collapsed="false">
      <c r="A571" s="9"/>
      <c r="B571" s="9"/>
      <c r="C571" s="16" t="str">
        <f aca="false">IF(B571="","",IFERROR(INDEX(EDT!$E$5:$E$436,MATCH(B571,EDT!$H$5:$H$436,0)),IFERROR(INDEX(CRONOGRAMA!$G$5:$G$5679,MATCH(A571,CRONOGRAMA!$A$5:$A$5679,0)),"Fuera EDT")))</f>
        <v/>
      </c>
      <c r="D571" s="16" t="str">
        <f aca="false">IF(C571="","",IFERROR(INDEX(MASTER!$B$19:$B$109,MATCH(C571,MASTER!$A$19:$A$109,0)),"Asignar fase"))</f>
        <v/>
      </c>
      <c r="E571" s="9"/>
      <c r="F571" s="9"/>
      <c r="G571" s="9"/>
      <c r="H571" s="56"/>
      <c r="I571" s="43"/>
      <c r="J571" s="43"/>
      <c r="K571" s="16" t="str">
        <f aca="false">IF(A571="","",COUNTIF(RESTRICCIONES!$B$5:$B$304,A571))</f>
        <v/>
      </c>
      <c r="L571" s="16" t="str">
        <f aca="false">IF(A571="","",COUNTIFS(RESTRICCIONES!$B$5:$B$304,A571,RESTRICCIONES!$L$5:$L$304,"Pendiente"))</f>
        <v/>
      </c>
      <c r="M571" s="18" t="str">
        <f aca="false">IF(A571="","",IF(L571=0,"LISTA","RESTRINGIDA"))</f>
        <v/>
      </c>
      <c r="N571" s="51" t="str">
        <f aca="false">IF(OR(A571="",H571=""),"",IFERROR(MIN(1,SUMIF(SEMANAL!$C$7:$C$506,A571,SEMANAL!$W$7:$W$506)/H571),0))</f>
        <v/>
      </c>
      <c r="O571" s="57"/>
      <c r="P571" s="57"/>
      <c r="Q571" s="57"/>
      <c r="R571" s="57"/>
      <c r="S571" s="57"/>
      <c r="T571" s="57"/>
      <c r="U571" s="9"/>
    </row>
    <row r="572" customFormat="false" ht="15" hidden="false" customHeight="false" outlineLevel="0" collapsed="false">
      <c r="A572" s="9"/>
      <c r="B572" s="9"/>
      <c r="C572" s="16" t="str">
        <f aca="false">IF(B572="","",IFERROR(INDEX(EDT!$E$5:$E$436,MATCH(B572,EDT!$H$5:$H$436,0)),IFERROR(INDEX(CRONOGRAMA!$G$5:$G$5679,MATCH(A572,CRONOGRAMA!$A$5:$A$5679,0)),"Fuera EDT")))</f>
        <v/>
      </c>
      <c r="D572" s="16" t="str">
        <f aca="false">IF(C572="","",IFERROR(INDEX(MASTER!$B$19:$B$109,MATCH(C572,MASTER!$A$19:$A$109,0)),"Asignar fase"))</f>
        <v/>
      </c>
      <c r="E572" s="9"/>
      <c r="F572" s="9"/>
      <c r="G572" s="9"/>
      <c r="H572" s="56"/>
      <c r="I572" s="43"/>
      <c r="J572" s="43"/>
      <c r="K572" s="16" t="str">
        <f aca="false">IF(A572="","",COUNTIF(RESTRICCIONES!$B$5:$B$304,A572))</f>
        <v/>
      </c>
      <c r="L572" s="16" t="str">
        <f aca="false">IF(A572="","",COUNTIFS(RESTRICCIONES!$B$5:$B$304,A572,RESTRICCIONES!$L$5:$L$304,"Pendiente"))</f>
        <v/>
      </c>
      <c r="M572" s="18" t="str">
        <f aca="false">IF(A572="","",IF(L572=0,"LISTA","RESTRINGIDA"))</f>
        <v/>
      </c>
      <c r="N572" s="51" t="str">
        <f aca="false">IF(OR(A572="",H572=""),"",IFERROR(MIN(1,SUMIF(SEMANAL!$C$7:$C$506,A572,SEMANAL!$W$7:$W$506)/H572),0))</f>
        <v/>
      </c>
      <c r="O572" s="57"/>
      <c r="P572" s="57"/>
      <c r="Q572" s="57"/>
      <c r="R572" s="57"/>
      <c r="S572" s="57"/>
      <c r="T572" s="57"/>
      <c r="U572" s="9"/>
    </row>
    <row r="573" customFormat="false" ht="15" hidden="false" customHeight="false" outlineLevel="0" collapsed="false">
      <c r="A573" s="9"/>
      <c r="B573" s="9"/>
      <c r="C573" s="16" t="str">
        <f aca="false">IF(B573="","",IFERROR(INDEX(EDT!$E$5:$E$436,MATCH(B573,EDT!$H$5:$H$436,0)),IFERROR(INDEX(CRONOGRAMA!$G$5:$G$5679,MATCH(A573,CRONOGRAMA!$A$5:$A$5679,0)),"Fuera EDT")))</f>
        <v/>
      </c>
      <c r="D573" s="16" t="str">
        <f aca="false">IF(C573="","",IFERROR(INDEX(MASTER!$B$19:$B$109,MATCH(C573,MASTER!$A$19:$A$109,0)),"Asignar fase"))</f>
        <v/>
      </c>
      <c r="E573" s="9"/>
      <c r="F573" s="9"/>
      <c r="G573" s="9"/>
      <c r="H573" s="56"/>
      <c r="I573" s="43"/>
      <c r="J573" s="43"/>
      <c r="K573" s="16" t="str">
        <f aca="false">IF(A573="","",COUNTIF(RESTRICCIONES!$B$5:$B$304,A573))</f>
        <v/>
      </c>
      <c r="L573" s="16" t="str">
        <f aca="false">IF(A573="","",COUNTIFS(RESTRICCIONES!$B$5:$B$304,A573,RESTRICCIONES!$L$5:$L$304,"Pendiente"))</f>
        <v/>
      </c>
      <c r="M573" s="18" t="str">
        <f aca="false">IF(A573="","",IF(L573=0,"LISTA","RESTRINGIDA"))</f>
        <v/>
      </c>
      <c r="N573" s="51" t="str">
        <f aca="false">IF(OR(A573="",H573=""),"",IFERROR(MIN(1,SUMIF(SEMANAL!$C$7:$C$506,A573,SEMANAL!$W$7:$W$506)/H573),0))</f>
        <v/>
      </c>
      <c r="O573" s="57"/>
      <c r="P573" s="57"/>
      <c r="Q573" s="57"/>
      <c r="R573" s="57"/>
      <c r="S573" s="57"/>
      <c r="T573" s="57"/>
      <c r="U573" s="9"/>
    </row>
    <row r="574" customFormat="false" ht="15" hidden="false" customHeight="false" outlineLevel="0" collapsed="false">
      <c r="A574" s="9"/>
      <c r="B574" s="9"/>
      <c r="C574" s="16" t="str">
        <f aca="false">IF(B574="","",IFERROR(INDEX(EDT!$E$5:$E$436,MATCH(B574,EDT!$H$5:$H$436,0)),IFERROR(INDEX(CRONOGRAMA!$G$5:$G$5679,MATCH(A574,CRONOGRAMA!$A$5:$A$5679,0)),"Fuera EDT")))</f>
        <v/>
      </c>
      <c r="D574" s="16" t="str">
        <f aca="false">IF(C574="","",IFERROR(INDEX(MASTER!$B$19:$B$109,MATCH(C574,MASTER!$A$19:$A$109,0)),"Asignar fase"))</f>
        <v/>
      </c>
      <c r="E574" s="9"/>
      <c r="F574" s="9"/>
      <c r="G574" s="9"/>
      <c r="H574" s="56"/>
      <c r="I574" s="43"/>
      <c r="J574" s="43"/>
      <c r="K574" s="16" t="str">
        <f aca="false">IF(A574="","",COUNTIF(RESTRICCIONES!$B$5:$B$304,A574))</f>
        <v/>
      </c>
      <c r="L574" s="16" t="str">
        <f aca="false">IF(A574="","",COUNTIFS(RESTRICCIONES!$B$5:$B$304,A574,RESTRICCIONES!$L$5:$L$304,"Pendiente"))</f>
        <v/>
      </c>
      <c r="M574" s="18" t="str">
        <f aca="false">IF(A574="","",IF(L574=0,"LISTA","RESTRINGIDA"))</f>
        <v/>
      </c>
      <c r="N574" s="51" t="str">
        <f aca="false">IF(OR(A574="",H574=""),"",IFERROR(MIN(1,SUMIF(SEMANAL!$C$7:$C$506,A574,SEMANAL!$W$7:$W$506)/H574),0))</f>
        <v/>
      </c>
      <c r="O574" s="57"/>
      <c r="P574" s="57"/>
      <c r="Q574" s="57"/>
      <c r="R574" s="57"/>
      <c r="S574" s="57"/>
      <c r="T574" s="57"/>
      <c r="U574" s="9"/>
    </row>
    <row r="575" customFormat="false" ht="15" hidden="false" customHeight="false" outlineLevel="0" collapsed="false">
      <c r="A575" s="9"/>
      <c r="B575" s="9"/>
      <c r="C575" s="16" t="str">
        <f aca="false">IF(B575="","",IFERROR(INDEX(EDT!$E$5:$E$436,MATCH(B575,EDT!$H$5:$H$436,0)),IFERROR(INDEX(CRONOGRAMA!$G$5:$G$5679,MATCH(A575,CRONOGRAMA!$A$5:$A$5679,0)),"Fuera EDT")))</f>
        <v/>
      </c>
      <c r="D575" s="16" t="str">
        <f aca="false">IF(C575="","",IFERROR(INDEX(MASTER!$B$19:$B$109,MATCH(C575,MASTER!$A$19:$A$109,0)),"Asignar fase"))</f>
        <v/>
      </c>
      <c r="E575" s="9"/>
      <c r="F575" s="9"/>
      <c r="G575" s="9"/>
      <c r="H575" s="56"/>
      <c r="I575" s="43"/>
      <c r="J575" s="43"/>
      <c r="K575" s="16" t="str">
        <f aca="false">IF(A575="","",COUNTIF(RESTRICCIONES!$B$5:$B$304,A575))</f>
        <v/>
      </c>
      <c r="L575" s="16" t="str">
        <f aca="false">IF(A575="","",COUNTIFS(RESTRICCIONES!$B$5:$B$304,A575,RESTRICCIONES!$L$5:$L$304,"Pendiente"))</f>
        <v/>
      </c>
      <c r="M575" s="18" t="str">
        <f aca="false">IF(A575="","",IF(L575=0,"LISTA","RESTRINGIDA"))</f>
        <v/>
      </c>
      <c r="N575" s="51" t="str">
        <f aca="false">IF(OR(A575="",H575=""),"",IFERROR(MIN(1,SUMIF(SEMANAL!$C$7:$C$506,A575,SEMANAL!$W$7:$W$506)/H575),0))</f>
        <v/>
      </c>
      <c r="O575" s="57"/>
      <c r="P575" s="57"/>
      <c r="Q575" s="57"/>
      <c r="R575" s="57"/>
      <c r="S575" s="57"/>
      <c r="T575" s="57"/>
      <c r="U575" s="9"/>
    </row>
    <row r="576" customFormat="false" ht="15" hidden="false" customHeight="false" outlineLevel="0" collapsed="false">
      <c r="A576" s="9"/>
      <c r="B576" s="9"/>
      <c r="C576" s="16" t="str">
        <f aca="false">IF(B576="","",IFERROR(INDEX(EDT!$E$5:$E$436,MATCH(B576,EDT!$H$5:$H$436,0)),IFERROR(INDEX(CRONOGRAMA!$G$5:$G$5679,MATCH(A576,CRONOGRAMA!$A$5:$A$5679,0)),"Fuera EDT")))</f>
        <v/>
      </c>
      <c r="D576" s="16" t="str">
        <f aca="false">IF(C576="","",IFERROR(INDEX(MASTER!$B$19:$B$109,MATCH(C576,MASTER!$A$19:$A$109,0)),"Asignar fase"))</f>
        <v/>
      </c>
      <c r="E576" s="9"/>
      <c r="F576" s="9"/>
      <c r="G576" s="9"/>
      <c r="H576" s="56"/>
      <c r="I576" s="43"/>
      <c r="J576" s="43"/>
      <c r="K576" s="16" t="str">
        <f aca="false">IF(A576="","",COUNTIF(RESTRICCIONES!$B$5:$B$304,A576))</f>
        <v/>
      </c>
      <c r="L576" s="16" t="str">
        <f aca="false">IF(A576="","",COUNTIFS(RESTRICCIONES!$B$5:$B$304,A576,RESTRICCIONES!$L$5:$L$304,"Pendiente"))</f>
        <v/>
      </c>
      <c r="M576" s="18" t="str">
        <f aca="false">IF(A576="","",IF(L576=0,"LISTA","RESTRINGIDA"))</f>
        <v/>
      </c>
      <c r="N576" s="51" t="str">
        <f aca="false">IF(OR(A576="",H576=""),"",IFERROR(MIN(1,SUMIF(SEMANAL!$C$7:$C$506,A576,SEMANAL!$W$7:$W$506)/H576),0))</f>
        <v/>
      </c>
      <c r="O576" s="57"/>
      <c r="P576" s="57"/>
      <c r="Q576" s="57"/>
      <c r="R576" s="57"/>
      <c r="S576" s="57"/>
      <c r="T576" s="57"/>
      <c r="U576" s="9"/>
    </row>
    <row r="577" customFormat="false" ht="15" hidden="false" customHeight="false" outlineLevel="0" collapsed="false">
      <c r="A577" s="9"/>
      <c r="B577" s="9"/>
      <c r="C577" s="16" t="str">
        <f aca="false">IF(B577="","",IFERROR(INDEX(EDT!$E$5:$E$436,MATCH(B577,EDT!$H$5:$H$436,0)),IFERROR(INDEX(CRONOGRAMA!$G$5:$G$5679,MATCH(A577,CRONOGRAMA!$A$5:$A$5679,0)),"Fuera EDT")))</f>
        <v/>
      </c>
      <c r="D577" s="16" t="str">
        <f aca="false">IF(C577="","",IFERROR(INDEX(MASTER!$B$19:$B$109,MATCH(C577,MASTER!$A$19:$A$109,0)),"Asignar fase"))</f>
        <v/>
      </c>
      <c r="E577" s="9"/>
      <c r="F577" s="9"/>
      <c r="G577" s="9"/>
      <c r="H577" s="56"/>
      <c r="I577" s="43"/>
      <c r="J577" s="43"/>
      <c r="K577" s="16" t="str">
        <f aca="false">IF(A577="","",COUNTIF(RESTRICCIONES!$B$5:$B$304,A577))</f>
        <v/>
      </c>
      <c r="L577" s="16" t="str">
        <f aca="false">IF(A577="","",COUNTIFS(RESTRICCIONES!$B$5:$B$304,A577,RESTRICCIONES!$L$5:$L$304,"Pendiente"))</f>
        <v/>
      </c>
      <c r="M577" s="18" t="str">
        <f aca="false">IF(A577="","",IF(L577=0,"LISTA","RESTRINGIDA"))</f>
        <v/>
      </c>
      <c r="N577" s="51" t="str">
        <f aca="false">IF(OR(A577="",H577=""),"",IFERROR(MIN(1,SUMIF(SEMANAL!$C$7:$C$506,A577,SEMANAL!$W$7:$W$506)/H577),0))</f>
        <v/>
      </c>
      <c r="O577" s="57"/>
      <c r="P577" s="57"/>
      <c r="Q577" s="57"/>
      <c r="R577" s="57"/>
      <c r="S577" s="57"/>
      <c r="T577" s="57"/>
      <c r="U577" s="9"/>
    </row>
    <row r="578" customFormat="false" ht="15" hidden="false" customHeight="false" outlineLevel="0" collapsed="false">
      <c r="A578" s="9"/>
      <c r="B578" s="9"/>
      <c r="C578" s="16" t="str">
        <f aca="false">IF(B578="","",IFERROR(INDEX(EDT!$E$5:$E$436,MATCH(B578,EDT!$H$5:$H$436,0)),IFERROR(INDEX(CRONOGRAMA!$G$5:$G$5679,MATCH(A578,CRONOGRAMA!$A$5:$A$5679,0)),"Fuera EDT")))</f>
        <v/>
      </c>
      <c r="D578" s="16" t="str">
        <f aca="false">IF(C578="","",IFERROR(INDEX(MASTER!$B$19:$B$109,MATCH(C578,MASTER!$A$19:$A$109,0)),"Asignar fase"))</f>
        <v/>
      </c>
      <c r="E578" s="9"/>
      <c r="F578" s="9"/>
      <c r="G578" s="9"/>
      <c r="H578" s="56"/>
      <c r="I578" s="43"/>
      <c r="J578" s="43"/>
      <c r="K578" s="16" t="str">
        <f aca="false">IF(A578="","",COUNTIF(RESTRICCIONES!$B$5:$B$304,A578))</f>
        <v/>
      </c>
      <c r="L578" s="16" t="str">
        <f aca="false">IF(A578="","",COUNTIFS(RESTRICCIONES!$B$5:$B$304,A578,RESTRICCIONES!$L$5:$L$304,"Pendiente"))</f>
        <v/>
      </c>
      <c r="M578" s="18" t="str">
        <f aca="false">IF(A578="","",IF(L578=0,"LISTA","RESTRINGIDA"))</f>
        <v/>
      </c>
      <c r="N578" s="51" t="str">
        <f aca="false">IF(OR(A578="",H578=""),"",IFERROR(MIN(1,SUMIF(SEMANAL!$C$7:$C$506,A578,SEMANAL!$W$7:$W$506)/H578),0))</f>
        <v/>
      </c>
      <c r="O578" s="57"/>
      <c r="P578" s="57"/>
      <c r="Q578" s="57"/>
      <c r="R578" s="57"/>
      <c r="S578" s="57"/>
      <c r="T578" s="57"/>
      <c r="U578" s="9"/>
    </row>
    <row r="579" customFormat="false" ht="15" hidden="false" customHeight="false" outlineLevel="0" collapsed="false">
      <c r="A579" s="9"/>
      <c r="B579" s="9"/>
      <c r="C579" s="16" t="str">
        <f aca="false">IF(B579="","",IFERROR(INDEX(EDT!$E$5:$E$436,MATCH(B579,EDT!$H$5:$H$436,0)),IFERROR(INDEX(CRONOGRAMA!$G$5:$G$5679,MATCH(A579,CRONOGRAMA!$A$5:$A$5679,0)),"Fuera EDT")))</f>
        <v/>
      </c>
      <c r="D579" s="16" t="str">
        <f aca="false">IF(C579="","",IFERROR(INDEX(MASTER!$B$19:$B$109,MATCH(C579,MASTER!$A$19:$A$109,0)),"Asignar fase"))</f>
        <v/>
      </c>
      <c r="E579" s="9"/>
      <c r="F579" s="9"/>
      <c r="G579" s="9"/>
      <c r="H579" s="56"/>
      <c r="I579" s="43"/>
      <c r="J579" s="43"/>
      <c r="K579" s="16" t="str">
        <f aca="false">IF(A579="","",COUNTIF(RESTRICCIONES!$B$5:$B$304,A579))</f>
        <v/>
      </c>
      <c r="L579" s="16" t="str">
        <f aca="false">IF(A579="","",COUNTIFS(RESTRICCIONES!$B$5:$B$304,A579,RESTRICCIONES!$L$5:$L$304,"Pendiente"))</f>
        <v/>
      </c>
      <c r="M579" s="18" t="str">
        <f aca="false">IF(A579="","",IF(L579=0,"LISTA","RESTRINGIDA"))</f>
        <v/>
      </c>
      <c r="N579" s="51" t="str">
        <f aca="false">IF(OR(A579="",H579=""),"",IFERROR(MIN(1,SUMIF(SEMANAL!$C$7:$C$506,A579,SEMANAL!$W$7:$W$506)/H579),0))</f>
        <v/>
      </c>
      <c r="O579" s="57"/>
      <c r="P579" s="57"/>
      <c r="Q579" s="57"/>
      <c r="R579" s="57"/>
      <c r="S579" s="57"/>
      <c r="T579" s="57"/>
      <c r="U579" s="9"/>
    </row>
    <row r="580" customFormat="false" ht="15" hidden="false" customHeight="false" outlineLevel="0" collapsed="false">
      <c r="A580" s="9"/>
      <c r="B580" s="9"/>
      <c r="C580" s="16" t="str">
        <f aca="false">IF(B580="","",IFERROR(INDEX(EDT!$E$5:$E$436,MATCH(B580,EDT!$H$5:$H$436,0)),IFERROR(INDEX(CRONOGRAMA!$G$5:$G$5679,MATCH(A580,CRONOGRAMA!$A$5:$A$5679,0)),"Fuera EDT")))</f>
        <v/>
      </c>
      <c r="D580" s="16" t="str">
        <f aca="false">IF(C580="","",IFERROR(INDEX(MASTER!$B$19:$B$109,MATCH(C580,MASTER!$A$19:$A$109,0)),"Asignar fase"))</f>
        <v/>
      </c>
      <c r="E580" s="9"/>
      <c r="F580" s="9"/>
      <c r="G580" s="9"/>
      <c r="H580" s="56"/>
      <c r="I580" s="43"/>
      <c r="J580" s="43"/>
      <c r="K580" s="16" t="str">
        <f aca="false">IF(A580="","",COUNTIF(RESTRICCIONES!$B$5:$B$304,A580))</f>
        <v/>
      </c>
      <c r="L580" s="16" t="str">
        <f aca="false">IF(A580="","",COUNTIFS(RESTRICCIONES!$B$5:$B$304,A580,RESTRICCIONES!$L$5:$L$304,"Pendiente"))</f>
        <v/>
      </c>
      <c r="M580" s="18" t="str">
        <f aca="false">IF(A580="","",IF(L580=0,"LISTA","RESTRINGIDA"))</f>
        <v/>
      </c>
      <c r="N580" s="51" t="str">
        <f aca="false">IF(OR(A580="",H580=""),"",IFERROR(MIN(1,SUMIF(SEMANAL!$C$7:$C$506,A580,SEMANAL!$W$7:$W$506)/H580),0))</f>
        <v/>
      </c>
      <c r="O580" s="57"/>
      <c r="P580" s="57"/>
      <c r="Q580" s="57"/>
      <c r="R580" s="57"/>
      <c r="S580" s="57"/>
      <c r="T580" s="57"/>
      <c r="U580" s="9"/>
    </row>
    <row r="581" customFormat="false" ht="15" hidden="false" customHeight="false" outlineLevel="0" collapsed="false">
      <c r="A581" s="9"/>
      <c r="B581" s="9"/>
      <c r="C581" s="16" t="str">
        <f aca="false">IF(B581="","",IFERROR(INDEX(EDT!$E$5:$E$436,MATCH(B581,EDT!$H$5:$H$436,0)),IFERROR(INDEX(CRONOGRAMA!$G$5:$G$5679,MATCH(A581,CRONOGRAMA!$A$5:$A$5679,0)),"Fuera EDT")))</f>
        <v/>
      </c>
      <c r="D581" s="16" t="str">
        <f aca="false">IF(C581="","",IFERROR(INDEX(MASTER!$B$19:$B$109,MATCH(C581,MASTER!$A$19:$A$109,0)),"Asignar fase"))</f>
        <v/>
      </c>
      <c r="E581" s="9"/>
      <c r="F581" s="9"/>
      <c r="G581" s="9"/>
      <c r="H581" s="56"/>
      <c r="I581" s="43"/>
      <c r="J581" s="43"/>
      <c r="K581" s="16" t="str">
        <f aca="false">IF(A581="","",COUNTIF(RESTRICCIONES!$B$5:$B$304,A581))</f>
        <v/>
      </c>
      <c r="L581" s="16" t="str">
        <f aca="false">IF(A581="","",COUNTIFS(RESTRICCIONES!$B$5:$B$304,A581,RESTRICCIONES!$L$5:$L$304,"Pendiente"))</f>
        <v/>
      </c>
      <c r="M581" s="18" t="str">
        <f aca="false">IF(A581="","",IF(L581=0,"LISTA","RESTRINGIDA"))</f>
        <v/>
      </c>
      <c r="N581" s="51" t="str">
        <f aca="false">IF(OR(A581="",H581=""),"",IFERROR(MIN(1,SUMIF(SEMANAL!$C$7:$C$506,A581,SEMANAL!$W$7:$W$506)/H581),0))</f>
        <v/>
      </c>
      <c r="O581" s="57"/>
      <c r="P581" s="57"/>
      <c r="Q581" s="57"/>
      <c r="R581" s="57"/>
      <c r="S581" s="57"/>
      <c r="T581" s="57"/>
      <c r="U581" s="9"/>
    </row>
    <row r="582" customFormat="false" ht="15" hidden="false" customHeight="false" outlineLevel="0" collapsed="false">
      <c r="A582" s="9"/>
      <c r="B582" s="9"/>
      <c r="C582" s="16" t="str">
        <f aca="false">IF(B582="","",IFERROR(INDEX(EDT!$E$5:$E$436,MATCH(B582,EDT!$H$5:$H$436,0)),IFERROR(INDEX(CRONOGRAMA!$G$5:$G$5679,MATCH(A582,CRONOGRAMA!$A$5:$A$5679,0)),"Fuera EDT")))</f>
        <v/>
      </c>
      <c r="D582" s="16" t="str">
        <f aca="false">IF(C582="","",IFERROR(INDEX(MASTER!$B$19:$B$109,MATCH(C582,MASTER!$A$19:$A$109,0)),"Asignar fase"))</f>
        <v/>
      </c>
      <c r="E582" s="9"/>
      <c r="F582" s="9"/>
      <c r="G582" s="9"/>
      <c r="H582" s="56"/>
      <c r="I582" s="43"/>
      <c r="J582" s="43"/>
      <c r="K582" s="16" t="str">
        <f aca="false">IF(A582="","",COUNTIF(RESTRICCIONES!$B$5:$B$304,A582))</f>
        <v/>
      </c>
      <c r="L582" s="16" t="str">
        <f aca="false">IF(A582="","",COUNTIFS(RESTRICCIONES!$B$5:$B$304,A582,RESTRICCIONES!$L$5:$L$304,"Pendiente"))</f>
        <v/>
      </c>
      <c r="M582" s="18" t="str">
        <f aca="false">IF(A582="","",IF(L582=0,"LISTA","RESTRINGIDA"))</f>
        <v/>
      </c>
      <c r="N582" s="51" t="str">
        <f aca="false">IF(OR(A582="",H582=""),"",IFERROR(MIN(1,SUMIF(SEMANAL!$C$7:$C$506,A582,SEMANAL!$W$7:$W$506)/H582),0))</f>
        <v/>
      </c>
      <c r="O582" s="57"/>
      <c r="P582" s="57"/>
      <c r="Q582" s="57"/>
      <c r="R582" s="57"/>
      <c r="S582" s="57"/>
      <c r="T582" s="57"/>
      <c r="U582" s="9"/>
    </row>
    <row r="583" customFormat="false" ht="15" hidden="false" customHeight="false" outlineLevel="0" collapsed="false">
      <c r="A583" s="9"/>
      <c r="B583" s="9"/>
      <c r="C583" s="16" t="str">
        <f aca="false">IF(B583="","",IFERROR(INDEX(EDT!$E$5:$E$436,MATCH(B583,EDT!$H$5:$H$436,0)),IFERROR(INDEX(CRONOGRAMA!$G$5:$G$5679,MATCH(A583,CRONOGRAMA!$A$5:$A$5679,0)),"Fuera EDT")))</f>
        <v/>
      </c>
      <c r="D583" s="16" t="str">
        <f aca="false">IF(C583="","",IFERROR(INDEX(MASTER!$B$19:$B$109,MATCH(C583,MASTER!$A$19:$A$109,0)),"Asignar fase"))</f>
        <v/>
      </c>
      <c r="E583" s="9"/>
      <c r="F583" s="9"/>
      <c r="G583" s="9"/>
      <c r="H583" s="56"/>
      <c r="I583" s="43"/>
      <c r="J583" s="43"/>
      <c r="K583" s="16" t="str">
        <f aca="false">IF(A583="","",COUNTIF(RESTRICCIONES!$B$5:$B$304,A583))</f>
        <v/>
      </c>
      <c r="L583" s="16" t="str">
        <f aca="false">IF(A583="","",COUNTIFS(RESTRICCIONES!$B$5:$B$304,A583,RESTRICCIONES!$L$5:$L$304,"Pendiente"))</f>
        <v/>
      </c>
      <c r="M583" s="18" t="str">
        <f aca="false">IF(A583="","",IF(L583=0,"LISTA","RESTRINGIDA"))</f>
        <v/>
      </c>
      <c r="N583" s="51" t="str">
        <f aca="false">IF(OR(A583="",H583=""),"",IFERROR(MIN(1,SUMIF(SEMANAL!$C$7:$C$506,A583,SEMANAL!$W$7:$W$506)/H583),0))</f>
        <v/>
      </c>
      <c r="O583" s="57"/>
      <c r="P583" s="57"/>
      <c r="Q583" s="57"/>
      <c r="R583" s="57"/>
      <c r="S583" s="57"/>
      <c r="T583" s="57"/>
      <c r="U583" s="9"/>
    </row>
    <row r="584" customFormat="false" ht="15" hidden="false" customHeight="false" outlineLevel="0" collapsed="false">
      <c r="A584" s="9"/>
      <c r="B584" s="9"/>
      <c r="C584" s="16" t="str">
        <f aca="false">IF(B584="","",IFERROR(INDEX(EDT!$E$5:$E$436,MATCH(B584,EDT!$H$5:$H$436,0)),IFERROR(INDEX(CRONOGRAMA!$G$5:$G$5679,MATCH(A584,CRONOGRAMA!$A$5:$A$5679,0)),"Fuera EDT")))</f>
        <v/>
      </c>
      <c r="D584" s="16" t="str">
        <f aca="false">IF(C584="","",IFERROR(INDEX(MASTER!$B$19:$B$109,MATCH(C584,MASTER!$A$19:$A$109,0)),"Asignar fase"))</f>
        <v/>
      </c>
      <c r="E584" s="9"/>
      <c r="F584" s="9"/>
      <c r="G584" s="9"/>
      <c r="H584" s="56"/>
      <c r="I584" s="43"/>
      <c r="J584" s="43"/>
      <c r="K584" s="16" t="str">
        <f aca="false">IF(A584="","",COUNTIF(RESTRICCIONES!$B$5:$B$304,A584))</f>
        <v/>
      </c>
      <c r="L584" s="16" t="str">
        <f aca="false">IF(A584="","",COUNTIFS(RESTRICCIONES!$B$5:$B$304,A584,RESTRICCIONES!$L$5:$L$304,"Pendiente"))</f>
        <v/>
      </c>
      <c r="M584" s="18" t="str">
        <f aca="false">IF(A584="","",IF(L584=0,"LISTA","RESTRINGIDA"))</f>
        <v/>
      </c>
      <c r="N584" s="51" t="str">
        <f aca="false">IF(OR(A584="",H584=""),"",IFERROR(MIN(1,SUMIF(SEMANAL!$C$7:$C$506,A584,SEMANAL!$W$7:$W$506)/H584),0))</f>
        <v/>
      </c>
      <c r="O584" s="57"/>
      <c r="P584" s="57"/>
      <c r="Q584" s="57"/>
      <c r="R584" s="57"/>
      <c r="S584" s="57"/>
      <c r="T584" s="57"/>
      <c r="U584" s="9"/>
    </row>
    <row r="585" customFormat="false" ht="15" hidden="false" customHeight="false" outlineLevel="0" collapsed="false">
      <c r="A585" s="9"/>
      <c r="B585" s="9"/>
      <c r="C585" s="16" t="str">
        <f aca="false">IF(B585="","",IFERROR(INDEX(EDT!$E$5:$E$436,MATCH(B585,EDT!$H$5:$H$436,0)),IFERROR(INDEX(CRONOGRAMA!$G$5:$G$5679,MATCH(A585,CRONOGRAMA!$A$5:$A$5679,0)),"Fuera EDT")))</f>
        <v/>
      </c>
      <c r="D585" s="16" t="str">
        <f aca="false">IF(C585="","",IFERROR(INDEX(MASTER!$B$19:$B$109,MATCH(C585,MASTER!$A$19:$A$109,0)),"Asignar fase"))</f>
        <v/>
      </c>
      <c r="E585" s="9"/>
      <c r="F585" s="9"/>
      <c r="G585" s="9"/>
      <c r="H585" s="56"/>
      <c r="I585" s="43"/>
      <c r="J585" s="43"/>
      <c r="K585" s="16" t="str">
        <f aca="false">IF(A585="","",COUNTIF(RESTRICCIONES!$B$5:$B$304,A585))</f>
        <v/>
      </c>
      <c r="L585" s="16" t="str">
        <f aca="false">IF(A585="","",COUNTIFS(RESTRICCIONES!$B$5:$B$304,A585,RESTRICCIONES!$L$5:$L$304,"Pendiente"))</f>
        <v/>
      </c>
      <c r="M585" s="18" t="str">
        <f aca="false">IF(A585="","",IF(L585=0,"LISTA","RESTRINGIDA"))</f>
        <v/>
      </c>
      <c r="N585" s="51" t="str">
        <f aca="false">IF(OR(A585="",H585=""),"",IFERROR(MIN(1,SUMIF(SEMANAL!$C$7:$C$506,A585,SEMANAL!$W$7:$W$506)/H585),0))</f>
        <v/>
      </c>
      <c r="O585" s="57"/>
      <c r="P585" s="57"/>
      <c r="Q585" s="57"/>
      <c r="R585" s="57"/>
      <c r="S585" s="57"/>
      <c r="T585" s="57"/>
      <c r="U585" s="9"/>
    </row>
    <row r="586" customFormat="false" ht="15" hidden="false" customHeight="false" outlineLevel="0" collapsed="false">
      <c r="A586" s="9"/>
      <c r="B586" s="9"/>
      <c r="C586" s="16" t="str">
        <f aca="false">IF(B586="","",IFERROR(INDEX(EDT!$E$5:$E$436,MATCH(B586,EDT!$H$5:$H$436,0)),IFERROR(INDEX(CRONOGRAMA!$G$5:$G$5679,MATCH(A586,CRONOGRAMA!$A$5:$A$5679,0)),"Fuera EDT")))</f>
        <v/>
      </c>
      <c r="D586" s="16" t="str">
        <f aca="false">IF(C586="","",IFERROR(INDEX(MASTER!$B$19:$B$109,MATCH(C586,MASTER!$A$19:$A$109,0)),"Asignar fase"))</f>
        <v/>
      </c>
      <c r="E586" s="9"/>
      <c r="F586" s="9"/>
      <c r="G586" s="9"/>
      <c r="H586" s="56"/>
      <c r="I586" s="43"/>
      <c r="J586" s="43"/>
      <c r="K586" s="16" t="str">
        <f aca="false">IF(A586="","",COUNTIF(RESTRICCIONES!$B$5:$B$304,A586))</f>
        <v/>
      </c>
      <c r="L586" s="16" t="str">
        <f aca="false">IF(A586="","",COUNTIFS(RESTRICCIONES!$B$5:$B$304,A586,RESTRICCIONES!$L$5:$L$304,"Pendiente"))</f>
        <v/>
      </c>
      <c r="M586" s="18" t="str">
        <f aca="false">IF(A586="","",IF(L586=0,"LISTA","RESTRINGIDA"))</f>
        <v/>
      </c>
      <c r="N586" s="51" t="str">
        <f aca="false">IF(OR(A586="",H586=""),"",IFERROR(MIN(1,SUMIF(SEMANAL!$C$7:$C$506,A586,SEMANAL!$W$7:$W$506)/H586),0))</f>
        <v/>
      </c>
      <c r="O586" s="57"/>
      <c r="P586" s="57"/>
      <c r="Q586" s="57"/>
      <c r="R586" s="57"/>
      <c r="S586" s="57"/>
      <c r="T586" s="57"/>
      <c r="U586" s="9"/>
    </row>
    <row r="587" customFormat="false" ht="15" hidden="false" customHeight="false" outlineLevel="0" collapsed="false">
      <c r="A587" s="9"/>
      <c r="B587" s="9"/>
      <c r="C587" s="16" t="str">
        <f aca="false">IF(B587="","",IFERROR(INDEX(EDT!$E$5:$E$436,MATCH(B587,EDT!$H$5:$H$436,0)),IFERROR(INDEX(CRONOGRAMA!$G$5:$G$5679,MATCH(A587,CRONOGRAMA!$A$5:$A$5679,0)),"Fuera EDT")))</f>
        <v/>
      </c>
      <c r="D587" s="16" t="str">
        <f aca="false">IF(C587="","",IFERROR(INDEX(MASTER!$B$19:$B$109,MATCH(C587,MASTER!$A$19:$A$109,0)),"Asignar fase"))</f>
        <v/>
      </c>
      <c r="E587" s="9"/>
      <c r="F587" s="9"/>
      <c r="G587" s="9"/>
      <c r="H587" s="56"/>
      <c r="I587" s="43"/>
      <c r="J587" s="43"/>
      <c r="K587" s="16" t="str">
        <f aca="false">IF(A587="","",COUNTIF(RESTRICCIONES!$B$5:$B$304,A587))</f>
        <v/>
      </c>
      <c r="L587" s="16" t="str">
        <f aca="false">IF(A587="","",COUNTIFS(RESTRICCIONES!$B$5:$B$304,A587,RESTRICCIONES!$L$5:$L$304,"Pendiente"))</f>
        <v/>
      </c>
      <c r="M587" s="18" t="str">
        <f aca="false">IF(A587="","",IF(L587=0,"LISTA","RESTRINGIDA"))</f>
        <v/>
      </c>
      <c r="N587" s="51" t="str">
        <f aca="false">IF(OR(A587="",H587=""),"",IFERROR(MIN(1,SUMIF(SEMANAL!$C$7:$C$506,A587,SEMANAL!$W$7:$W$506)/H587),0))</f>
        <v/>
      </c>
      <c r="O587" s="57"/>
      <c r="P587" s="57"/>
      <c r="Q587" s="57"/>
      <c r="R587" s="57"/>
      <c r="S587" s="57"/>
      <c r="T587" s="57"/>
      <c r="U587" s="9"/>
    </row>
    <row r="588" customFormat="false" ht="15" hidden="false" customHeight="false" outlineLevel="0" collapsed="false">
      <c r="A588" s="9"/>
      <c r="B588" s="9"/>
      <c r="C588" s="16" t="str">
        <f aca="false">IF(B588="","",IFERROR(INDEX(EDT!$E$5:$E$436,MATCH(B588,EDT!$H$5:$H$436,0)),IFERROR(INDEX(CRONOGRAMA!$G$5:$G$5679,MATCH(A588,CRONOGRAMA!$A$5:$A$5679,0)),"Fuera EDT")))</f>
        <v/>
      </c>
      <c r="D588" s="16" t="str">
        <f aca="false">IF(C588="","",IFERROR(INDEX(MASTER!$B$19:$B$109,MATCH(C588,MASTER!$A$19:$A$109,0)),"Asignar fase"))</f>
        <v/>
      </c>
      <c r="E588" s="9"/>
      <c r="F588" s="9"/>
      <c r="G588" s="9"/>
      <c r="H588" s="56"/>
      <c r="I588" s="43"/>
      <c r="J588" s="43"/>
      <c r="K588" s="16" t="str">
        <f aca="false">IF(A588="","",COUNTIF(RESTRICCIONES!$B$5:$B$304,A588))</f>
        <v/>
      </c>
      <c r="L588" s="16" t="str">
        <f aca="false">IF(A588="","",COUNTIFS(RESTRICCIONES!$B$5:$B$304,A588,RESTRICCIONES!$L$5:$L$304,"Pendiente"))</f>
        <v/>
      </c>
      <c r="M588" s="18" t="str">
        <f aca="false">IF(A588="","",IF(L588=0,"LISTA","RESTRINGIDA"))</f>
        <v/>
      </c>
      <c r="N588" s="51" t="str">
        <f aca="false">IF(OR(A588="",H588=""),"",IFERROR(MIN(1,SUMIF(SEMANAL!$C$7:$C$506,A588,SEMANAL!$W$7:$W$506)/H588),0))</f>
        <v/>
      </c>
      <c r="O588" s="57"/>
      <c r="P588" s="57"/>
      <c r="Q588" s="57"/>
      <c r="R588" s="57"/>
      <c r="S588" s="57"/>
      <c r="T588" s="57"/>
      <c r="U588" s="9"/>
    </row>
    <row r="589" customFormat="false" ht="15" hidden="false" customHeight="false" outlineLevel="0" collapsed="false">
      <c r="A589" s="9"/>
      <c r="B589" s="9"/>
      <c r="C589" s="16" t="str">
        <f aca="false">IF(B589="","",IFERROR(INDEX(EDT!$E$5:$E$436,MATCH(B589,EDT!$H$5:$H$436,0)),IFERROR(INDEX(CRONOGRAMA!$G$5:$G$5679,MATCH(A589,CRONOGRAMA!$A$5:$A$5679,0)),"Fuera EDT")))</f>
        <v/>
      </c>
      <c r="D589" s="16" t="str">
        <f aca="false">IF(C589="","",IFERROR(INDEX(MASTER!$B$19:$B$109,MATCH(C589,MASTER!$A$19:$A$109,0)),"Asignar fase"))</f>
        <v/>
      </c>
      <c r="E589" s="9"/>
      <c r="F589" s="9"/>
      <c r="G589" s="9"/>
      <c r="H589" s="56"/>
      <c r="I589" s="43"/>
      <c r="J589" s="43"/>
      <c r="K589" s="16" t="str">
        <f aca="false">IF(A589="","",COUNTIF(RESTRICCIONES!$B$5:$B$304,A589))</f>
        <v/>
      </c>
      <c r="L589" s="16" t="str">
        <f aca="false">IF(A589="","",COUNTIFS(RESTRICCIONES!$B$5:$B$304,A589,RESTRICCIONES!$L$5:$L$304,"Pendiente"))</f>
        <v/>
      </c>
      <c r="M589" s="18" t="str">
        <f aca="false">IF(A589="","",IF(L589=0,"LISTA","RESTRINGIDA"))</f>
        <v/>
      </c>
      <c r="N589" s="51" t="str">
        <f aca="false">IF(OR(A589="",H589=""),"",IFERROR(MIN(1,SUMIF(SEMANAL!$C$7:$C$506,A589,SEMANAL!$W$7:$W$506)/H589),0))</f>
        <v/>
      </c>
      <c r="O589" s="57"/>
      <c r="P589" s="57"/>
      <c r="Q589" s="57"/>
      <c r="R589" s="57"/>
      <c r="S589" s="57"/>
      <c r="T589" s="57"/>
      <c r="U589" s="9"/>
    </row>
    <row r="590" customFormat="false" ht="15" hidden="false" customHeight="false" outlineLevel="0" collapsed="false">
      <c r="A590" s="9"/>
      <c r="B590" s="9"/>
      <c r="C590" s="16" t="str">
        <f aca="false">IF(B590="","",IFERROR(INDEX(EDT!$E$5:$E$436,MATCH(B590,EDT!$H$5:$H$436,0)),IFERROR(INDEX(CRONOGRAMA!$G$5:$G$5679,MATCH(A590,CRONOGRAMA!$A$5:$A$5679,0)),"Fuera EDT")))</f>
        <v/>
      </c>
      <c r="D590" s="16" t="str">
        <f aca="false">IF(C590="","",IFERROR(INDEX(MASTER!$B$19:$B$109,MATCH(C590,MASTER!$A$19:$A$109,0)),"Asignar fase"))</f>
        <v/>
      </c>
      <c r="E590" s="9"/>
      <c r="F590" s="9"/>
      <c r="G590" s="9"/>
      <c r="H590" s="56"/>
      <c r="I590" s="43"/>
      <c r="J590" s="43"/>
      <c r="K590" s="16" t="str">
        <f aca="false">IF(A590="","",COUNTIF(RESTRICCIONES!$B$5:$B$304,A590))</f>
        <v/>
      </c>
      <c r="L590" s="16" t="str">
        <f aca="false">IF(A590="","",COUNTIFS(RESTRICCIONES!$B$5:$B$304,A590,RESTRICCIONES!$L$5:$L$304,"Pendiente"))</f>
        <v/>
      </c>
      <c r="M590" s="18" t="str">
        <f aca="false">IF(A590="","",IF(L590=0,"LISTA","RESTRINGIDA"))</f>
        <v/>
      </c>
      <c r="N590" s="51" t="str">
        <f aca="false">IF(OR(A590="",H590=""),"",IFERROR(MIN(1,SUMIF(SEMANAL!$C$7:$C$506,A590,SEMANAL!$W$7:$W$506)/H590),0))</f>
        <v/>
      </c>
      <c r="O590" s="57"/>
      <c r="P590" s="57"/>
      <c r="Q590" s="57"/>
      <c r="R590" s="57"/>
      <c r="S590" s="57"/>
      <c r="T590" s="57"/>
      <c r="U590" s="9"/>
    </row>
    <row r="591" customFormat="false" ht="15" hidden="false" customHeight="false" outlineLevel="0" collapsed="false">
      <c r="A591" s="9"/>
      <c r="B591" s="9"/>
      <c r="C591" s="16" t="str">
        <f aca="false">IF(B591="","",IFERROR(INDEX(EDT!$E$5:$E$436,MATCH(B591,EDT!$H$5:$H$436,0)),IFERROR(INDEX(CRONOGRAMA!$G$5:$G$5679,MATCH(A591,CRONOGRAMA!$A$5:$A$5679,0)),"Fuera EDT")))</f>
        <v/>
      </c>
      <c r="D591" s="16" t="str">
        <f aca="false">IF(C591="","",IFERROR(INDEX(MASTER!$B$19:$B$109,MATCH(C591,MASTER!$A$19:$A$109,0)),"Asignar fase"))</f>
        <v/>
      </c>
      <c r="E591" s="9"/>
      <c r="F591" s="9"/>
      <c r="G591" s="9"/>
      <c r="H591" s="56"/>
      <c r="I591" s="43"/>
      <c r="J591" s="43"/>
      <c r="K591" s="16" t="str">
        <f aca="false">IF(A591="","",COUNTIF(RESTRICCIONES!$B$5:$B$304,A591))</f>
        <v/>
      </c>
      <c r="L591" s="16" t="str">
        <f aca="false">IF(A591="","",COUNTIFS(RESTRICCIONES!$B$5:$B$304,A591,RESTRICCIONES!$L$5:$L$304,"Pendiente"))</f>
        <v/>
      </c>
      <c r="M591" s="18" t="str">
        <f aca="false">IF(A591="","",IF(L591=0,"LISTA","RESTRINGIDA"))</f>
        <v/>
      </c>
      <c r="N591" s="51" t="str">
        <f aca="false">IF(OR(A591="",H591=""),"",IFERROR(MIN(1,SUMIF(SEMANAL!$C$7:$C$506,A591,SEMANAL!$W$7:$W$506)/H591),0))</f>
        <v/>
      </c>
      <c r="O591" s="57"/>
      <c r="P591" s="57"/>
      <c r="Q591" s="57"/>
      <c r="R591" s="57"/>
      <c r="S591" s="57"/>
      <c r="T591" s="57"/>
      <c r="U591" s="9"/>
    </row>
    <row r="592" customFormat="false" ht="15" hidden="false" customHeight="false" outlineLevel="0" collapsed="false">
      <c r="A592" s="9"/>
      <c r="B592" s="9"/>
      <c r="C592" s="16" t="str">
        <f aca="false">IF(B592="","",IFERROR(INDEX(EDT!$E$5:$E$436,MATCH(B592,EDT!$H$5:$H$436,0)),IFERROR(INDEX(CRONOGRAMA!$G$5:$G$5679,MATCH(A592,CRONOGRAMA!$A$5:$A$5679,0)),"Fuera EDT")))</f>
        <v/>
      </c>
      <c r="D592" s="16" t="str">
        <f aca="false">IF(C592="","",IFERROR(INDEX(MASTER!$B$19:$B$109,MATCH(C592,MASTER!$A$19:$A$109,0)),"Asignar fase"))</f>
        <v/>
      </c>
      <c r="E592" s="9"/>
      <c r="F592" s="9"/>
      <c r="G592" s="9"/>
      <c r="H592" s="56"/>
      <c r="I592" s="43"/>
      <c r="J592" s="43"/>
      <c r="K592" s="16" t="str">
        <f aca="false">IF(A592="","",COUNTIF(RESTRICCIONES!$B$5:$B$304,A592))</f>
        <v/>
      </c>
      <c r="L592" s="16" t="str">
        <f aca="false">IF(A592="","",COUNTIFS(RESTRICCIONES!$B$5:$B$304,A592,RESTRICCIONES!$L$5:$L$304,"Pendiente"))</f>
        <v/>
      </c>
      <c r="M592" s="18" t="str">
        <f aca="false">IF(A592="","",IF(L592=0,"LISTA","RESTRINGIDA"))</f>
        <v/>
      </c>
      <c r="N592" s="51" t="str">
        <f aca="false">IF(OR(A592="",H592=""),"",IFERROR(MIN(1,SUMIF(SEMANAL!$C$7:$C$506,A592,SEMANAL!$W$7:$W$506)/H592),0))</f>
        <v/>
      </c>
      <c r="O592" s="57"/>
      <c r="P592" s="57"/>
      <c r="Q592" s="57"/>
      <c r="R592" s="57"/>
      <c r="S592" s="57"/>
      <c r="T592" s="57"/>
      <c r="U592" s="9"/>
    </row>
    <row r="593" customFormat="false" ht="15" hidden="false" customHeight="false" outlineLevel="0" collapsed="false">
      <c r="A593" s="9"/>
      <c r="B593" s="9"/>
      <c r="C593" s="16" t="str">
        <f aca="false">IF(B593="","",IFERROR(INDEX(EDT!$E$5:$E$436,MATCH(B593,EDT!$H$5:$H$436,0)),IFERROR(INDEX(CRONOGRAMA!$G$5:$G$5679,MATCH(A593,CRONOGRAMA!$A$5:$A$5679,0)),"Fuera EDT")))</f>
        <v/>
      </c>
      <c r="D593" s="16" t="str">
        <f aca="false">IF(C593="","",IFERROR(INDEX(MASTER!$B$19:$B$109,MATCH(C593,MASTER!$A$19:$A$109,0)),"Asignar fase"))</f>
        <v/>
      </c>
      <c r="E593" s="9"/>
      <c r="F593" s="9"/>
      <c r="G593" s="9"/>
      <c r="H593" s="56"/>
      <c r="I593" s="43"/>
      <c r="J593" s="43"/>
      <c r="K593" s="16" t="str">
        <f aca="false">IF(A593="","",COUNTIF(RESTRICCIONES!$B$5:$B$304,A593))</f>
        <v/>
      </c>
      <c r="L593" s="16" t="str">
        <f aca="false">IF(A593="","",COUNTIFS(RESTRICCIONES!$B$5:$B$304,A593,RESTRICCIONES!$L$5:$L$304,"Pendiente"))</f>
        <v/>
      </c>
      <c r="M593" s="18" t="str">
        <f aca="false">IF(A593="","",IF(L593=0,"LISTA","RESTRINGIDA"))</f>
        <v/>
      </c>
      <c r="N593" s="51" t="str">
        <f aca="false">IF(OR(A593="",H593=""),"",IFERROR(MIN(1,SUMIF(SEMANAL!$C$7:$C$506,A593,SEMANAL!$W$7:$W$506)/H593),0))</f>
        <v/>
      </c>
      <c r="O593" s="57"/>
      <c r="P593" s="57"/>
      <c r="Q593" s="57"/>
      <c r="R593" s="57"/>
      <c r="S593" s="57"/>
      <c r="T593" s="57"/>
      <c r="U593" s="9"/>
    </row>
    <row r="594" customFormat="false" ht="15" hidden="false" customHeight="false" outlineLevel="0" collapsed="false">
      <c r="A594" s="9"/>
      <c r="B594" s="9"/>
      <c r="C594" s="16" t="str">
        <f aca="false">IF(B594="","",IFERROR(INDEX(EDT!$E$5:$E$436,MATCH(B594,EDT!$H$5:$H$436,0)),IFERROR(INDEX(CRONOGRAMA!$G$5:$G$5679,MATCH(A594,CRONOGRAMA!$A$5:$A$5679,0)),"Fuera EDT")))</f>
        <v/>
      </c>
      <c r="D594" s="16" t="str">
        <f aca="false">IF(C594="","",IFERROR(INDEX(MASTER!$B$19:$B$109,MATCH(C594,MASTER!$A$19:$A$109,0)),"Asignar fase"))</f>
        <v/>
      </c>
      <c r="E594" s="9"/>
      <c r="F594" s="9"/>
      <c r="G594" s="9"/>
      <c r="H594" s="56"/>
      <c r="I594" s="43"/>
      <c r="J594" s="43"/>
      <c r="K594" s="16" t="str">
        <f aca="false">IF(A594="","",COUNTIF(RESTRICCIONES!$B$5:$B$304,A594))</f>
        <v/>
      </c>
      <c r="L594" s="16" t="str">
        <f aca="false">IF(A594="","",COUNTIFS(RESTRICCIONES!$B$5:$B$304,A594,RESTRICCIONES!$L$5:$L$304,"Pendiente"))</f>
        <v/>
      </c>
      <c r="M594" s="18" t="str">
        <f aca="false">IF(A594="","",IF(L594=0,"LISTA","RESTRINGIDA"))</f>
        <v/>
      </c>
      <c r="N594" s="51" t="str">
        <f aca="false">IF(OR(A594="",H594=""),"",IFERROR(MIN(1,SUMIF(SEMANAL!$C$7:$C$506,A594,SEMANAL!$W$7:$W$506)/H594),0))</f>
        <v/>
      </c>
      <c r="O594" s="57"/>
      <c r="P594" s="57"/>
      <c r="Q594" s="57"/>
      <c r="R594" s="57"/>
      <c r="S594" s="57"/>
      <c r="T594" s="57"/>
      <c r="U594" s="9"/>
    </row>
    <row r="595" customFormat="false" ht="15" hidden="false" customHeight="false" outlineLevel="0" collapsed="false">
      <c r="A595" s="9"/>
      <c r="B595" s="9"/>
      <c r="C595" s="16" t="str">
        <f aca="false">IF(B595="","",IFERROR(INDEX(EDT!$E$5:$E$436,MATCH(B595,EDT!$H$5:$H$436,0)),IFERROR(INDEX(CRONOGRAMA!$G$5:$G$5679,MATCH(A595,CRONOGRAMA!$A$5:$A$5679,0)),"Fuera EDT")))</f>
        <v/>
      </c>
      <c r="D595" s="16" t="str">
        <f aca="false">IF(C595="","",IFERROR(INDEX(MASTER!$B$19:$B$109,MATCH(C595,MASTER!$A$19:$A$109,0)),"Asignar fase"))</f>
        <v/>
      </c>
      <c r="E595" s="9"/>
      <c r="F595" s="9"/>
      <c r="G595" s="9"/>
      <c r="H595" s="56"/>
      <c r="I595" s="43"/>
      <c r="J595" s="43"/>
      <c r="K595" s="16" t="str">
        <f aca="false">IF(A595="","",COUNTIF(RESTRICCIONES!$B$5:$B$304,A595))</f>
        <v/>
      </c>
      <c r="L595" s="16" t="str">
        <f aca="false">IF(A595="","",COUNTIFS(RESTRICCIONES!$B$5:$B$304,A595,RESTRICCIONES!$L$5:$L$304,"Pendiente"))</f>
        <v/>
      </c>
      <c r="M595" s="18" t="str">
        <f aca="false">IF(A595="","",IF(L595=0,"LISTA","RESTRINGIDA"))</f>
        <v/>
      </c>
      <c r="N595" s="51" t="str">
        <f aca="false">IF(OR(A595="",H595=""),"",IFERROR(MIN(1,SUMIF(SEMANAL!$C$7:$C$506,A595,SEMANAL!$W$7:$W$506)/H595),0))</f>
        <v/>
      </c>
      <c r="O595" s="57"/>
      <c r="P595" s="57"/>
      <c r="Q595" s="57"/>
      <c r="R595" s="57"/>
      <c r="S595" s="57"/>
      <c r="T595" s="57"/>
      <c r="U595" s="9"/>
    </row>
    <row r="596" customFormat="false" ht="15" hidden="false" customHeight="false" outlineLevel="0" collapsed="false">
      <c r="A596" s="9"/>
      <c r="B596" s="9"/>
      <c r="C596" s="16" t="str">
        <f aca="false">IF(B596="","",IFERROR(INDEX(EDT!$E$5:$E$436,MATCH(B596,EDT!$H$5:$H$436,0)),IFERROR(INDEX(CRONOGRAMA!$G$5:$G$5679,MATCH(A596,CRONOGRAMA!$A$5:$A$5679,0)),"Fuera EDT")))</f>
        <v/>
      </c>
      <c r="D596" s="16" t="str">
        <f aca="false">IF(C596="","",IFERROR(INDEX(MASTER!$B$19:$B$109,MATCH(C596,MASTER!$A$19:$A$109,0)),"Asignar fase"))</f>
        <v/>
      </c>
      <c r="E596" s="9"/>
      <c r="F596" s="9"/>
      <c r="G596" s="9"/>
      <c r="H596" s="56"/>
      <c r="I596" s="43"/>
      <c r="J596" s="43"/>
      <c r="K596" s="16" t="str">
        <f aca="false">IF(A596="","",COUNTIF(RESTRICCIONES!$B$5:$B$304,A596))</f>
        <v/>
      </c>
      <c r="L596" s="16" t="str">
        <f aca="false">IF(A596="","",COUNTIFS(RESTRICCIONES!$B$5:$B$304,A596,RESTRICCIONES!$L$5:$L$304,"Pendiente"))</f>
        <v/>
      </c>
      <c r="M596" s="18" t="str">
        <f aca="false">IF(A596="","",IF(L596=0,"LISTA","RESTRINGIDA"))</f>
        <v/>
      </c>
      <c r="N596" s="51" t="str">
        <f aca="false">IF(OR(A596="",H596=""),"",IFERROR(MIN(1,SUMIF(SEMANAL!$C$7:$C$506,A596,SEMANAL!$W$7:$W$506)/H596),0))</f>
        <v/>
      </c>
      <c r="O596" s="57"/>
      <c r="P596" s="57"/>
      <c r="Q596" s="57"/>
      <c r="R596" s="57"/>
      <c r="S596" s="57"/>
      <c r="T596" s="57"/>
      <c r="U596" s="9"/>
    </row>
    <row r="597" customFormat="false" ht="15" hidden="false" customHeight="false" outlineLevel="0" collapsed="false">
      <c r="A597" s="9"/>
      <c r="B597" s="9"/>
      <c r="C597" s="16" t="str">
        <f aca="false">IF(B597="","",IFERROR(INDEX(EDT!$E$5:$E$436,MATCH(B597,EDT!$H$5:$H$436,0)),IFERROR(INDEX(CRONOGRAMA!$G$5:$G$5679,MATCH(A597,CRONOGRAMA!$A$5:$A$5679,0)),"Fuera EDT")))</f>
        <v/>
      </c>
      <c r="D597" s="16" t="str">
        <f aca="false">IF(C597="","",IFERROR(INDEX(MASTER!$B$19:$B$109,MATCH(C597,MASTER!$A$19:$A$109,0)),"Asignar fase"))</f>
        <v/>
      </c>
      <c r="E597" s="9"/>
      <c r="F597" s="9"/>
      <c r="G597" s="9"/>
      <c r="H597" s="56"/>
      <c r="I597" s="43"/>
      <c r="J597" s="43"/>
      <c r="K597" s="16" t="str">
        <f aca="false">IF(A597="","",COUNTIF(RESTRICCIONES!$B$5:$B$304,A597))</f>
        <v/>
      </c>
      <c r="L597" s="16" t="str">
        <f aca="false">IF(A597="","",COUNTIFS(RESTRICCIONES!$B$5:$B$304,A597,RESTRICCIONES!$L$5:$L$304,"Pendiente"))</f>
        <v/>
      </c>
      <c r="M597" s="18" t="str">
        <f aca="false">IF(A597="","",IF(L597=0,"LISTA","RESTRINGIDA"))</f>
        <v/>
      </c>
      <c r="N597" s="51" t="str">
        <f aca="false">IF(OR(A597="",H597=""),"",IFERROR(MIN(1,SUMIF(SEMANAL!$C$7:$C$506,A597,SEMANAL!$W$7:$W$506)/H597),0))</f>
        <v/>
      </c>
      <c r="O597" s="57"/>
      <c r="P597" s="57"/>
      <c r="Q597" s="57"/>
      <c r="R597" s="57"/>
      <c r="S597" s="57"/>
      <c r="T597" s="57"/>
      <c r="U597" s="9"/>
    </row>
    <row r="598" customFormat="false" ht="15" hidden="false" customHeight="false" outlineLevel="0" collapsed="false">
      <c r="A598" s="9"/>
      <c r="B598" s="9"/>
      <c r="C598" s="16" t="str">
        <f aca="false">IF(B598="","",IFERROR(INDEX(EDT!$E$5:$E$436,MATCH(B598,EDT!$H$5:$H$436,0)),IFERROR(INDEX(CRONOGRAMA!$G$5:$G$5679,MATCH(A598,CRONOGRAMA!$A$5:$A$5679,0)),"Fuera EDT")))</f>
        <v/>
      </c>
      <c r="D598" s="16" t="str">
        <f aca="false">IF(C598="","",IFERROR(INDEX(MASTER!$B$19:$B$109,MATCH(C598,MASTER!$A$19:$A$109,0)),"Asignar fase"))</f>
        <v/>
      </c>
      <c r="E598" s="9"/>
      <c r="F598" s="9"/>
      <c r="G598" s="9"/>
      <c r="H598" s="56"/>
      <c r="I598" s="43"/>
      <c r="J598" s="43"/>
      <c r="K598" s="16" t="str">
        <f aca="false">IF(A598="","",COUNTIF(RESTRICCIONES!$B$5:$B$304,A598))</f>
        <v/>
      </c>
      <c r="L598" s="16" t="str">
        <f aca="false">IF(A598="","",COUNTIFS(RESTRICCIONES!$B$5:$B$304,A598,RESTRICCIONES!$L$5:$L$304,"Pendiente"))</f>
        <v/>
      </c>
      <c r="M598" s="18" t="str">
        <f aca="false">IF(A598="","",IF(L598=0,"LISTA","RESTRINGIDA"))</f>
        <v/>
      </c>
      <c r="N598" s="51" t="str">
        <f aca="false">IF(OR(A598="",H598=""),"",IFERROR(MIN(1,SUMIF(SEMANAL!$C$7:$C$506,A598,SEMANAL!$W$7:$W$506)/H598),0))</f>
        <v/>
      </c>
      <c r="O598" s="57"/>
      <c r="P598" s="57"/>
      <c r="Q598" s="57"/>
      <c r="R598" s="57"/>
      <c r="S598" s="57"/>
      <c r="T598" s="57"/>
      <c r="U598" s="9"/>
    </row>
    <row r="599" customFormat="false" ht="15" hidden="false" customHeight="false" outlineLevel="0" collapsed="false">
      <c r="A599" s="9"/>
      <c r="B599" s="9"/>
      <c r="C599" s="16" t="str">
        <f aca="false">IF(B599="","",IFERROR(INDEX(EDT!$E$5:$E$436,MATCH(B599,EDT!$H$5:$H$436,0)),IFERROR(INDEX(CRONOGRAMA!$G$5:$G$5679,MATCH(A599,CRONOGRAMA!$A$5:$A$5679,0)),"Fuera EDT")))</f>
        <v/>
      </c>
      <c r="D599" s="16" t="str">
        <f aca="false">IF(C599="","",IFERROR(INDEX(MASTER!$B$19:$B$109,MATCH(C599,MASTER!$A$19:$A$109,0)),"Asignar fase"))</f>
        <v/>
      </c>
      <c r="E599" s="9"/>
      <c r="F599" s="9"/>
      <c r="G599" s="9"/>
      <c r="H599" s="56"/>
      <c r="I599" s="43"/>
      <c r="J599" s="43"/>
      <c r="K599" s="16" t="str">
        <f aca="false">IF(A599="","",COUNTIF(RESTRICCIONES!$B$5:$B$304,A599))</f>
        <v/>
      </c>
      <c r="L599" s="16" t="str">
        <f aca="false">IF(A599="","",COUNTIFS(RESTRICCIONES!$B$5:$B$304,A599,RESTRICCIONES!$L$5:$L$304,"Pendiente"))</f>
        <v/>
      </c>
      <c r="M599" s="18" t="str">
        <f aca="false">IF(A599="","",IF(L599=0,"LISTA","RESTRINGIDA"))</f>
        <v/>
      </c>
      <c r="N599" s="51" t="str">
        <f aca="false">IF(OR(A599="",H599=""),"",IFERROR(MIN(1,SUMIF(SEMANAL!$C$7:$C$506,A599,SEMANAL!$W$7:$W$506)/H599),0))</f>
        <v/>
      </c>
      <c r="O599" s="57"/>
      <c r="P599" s="57"/>
      <c r="Q599" s="57"/>
      <c r="R599" s="57"/>
      <c r="S599" s="57"/>
      <c r="T599" s="57"/>
      <c r="U599" s="9"/>
    </row>
    <row r="600" customFormat="false" ht="15" hidden="false" customHeight="false" outlineLevel="0" collapsed="false">
      <c r="A600" s="9"/>
      <c r="B600" s="9"/>
      <c r="C600" s="16" t="str">
        <f aca="false">IF(B600="","",IFERROR(INDEX(EDT!$E$5:$E$436,MATCH(B600,EDT!$H$5:$H$436,0)),IFERROR(INDEX(CRONOGRAMA!$G$5:$G$5679,MATCH(A600,CRONOGRAMA!$A$5:$A$5679,0)),"Fuera EDT")))</f>
        <v/>
      </c>
      <c r="D600" s="16" t="str">
        <f aca="false">IF(C600="","",IFERROR(INDEX(MASTER!$B$19:$B$109,MATCH(C600,MASTER!$A$19:$A$109,0)),"Asignar fase"))</f>
        <v/>
      </c>
      <c r="E600" s="9"/>
      <c r="F600" s="9"/>
      <c r="G600" s="9"/>
      <c r="H600" s="56"/>
      <c r="I600" s="43"/>
      <c r="J600" s="43"/>
      <c r="K600" s="16" t="str">
        <f aca="false">IF(A600="","",COUNTIF(RESTRICCIONES!$B$5:$B$304,A600))</f>
        <v/>
      </c>
      <c r="L600" s="16" t="str">
        <f aca="false">IF(A600="","",COUNTIFS(RESTRICCIONES!$B$5:$B$304,A600,RESTRICCIONES!$L$5:$L$304,"Pendiente"))</f>
        <v/>
      </c>
      <c r="M600" s="18" t="str">
        <f aca="false">IF(A600="","",IF(L600=0,"LISTA","RESTRINGIDA"))</f>
        <v/>
      </c>
      <c r="N600" s="51" t="str">
        <f aca="false">IF(OR(A600="",H600=""),"",IFERROR(MIN(1,SUMIF(SEMANAL!$C$7:$C$506,A600,SEMANAL!$W$7:$W$506)/H600),0))</f>
        <v/>
      </c>
      <c r="O600" s="57"/>
      <c r="P600" s="57"/>
      <c r="Q600" s="57"/>
      <c r="R600" s="57"/>
      <c r="S600" s="57"/>
      <c r="T600" s="57"/>
      <c r="U600" s="9"/>
    </row>
    <row r="601" customFormat="false" ht="15" hidden="false" customHeight="false" outlineLevel="0" collapsed="false">
      <c r="A601" s="9"/>
      <c r="B601" s="9"/>
      <c r="C601" s="16" t="str">
        <f aca="false">IF(B601="","",IFERROR(INDEX(EDT!$E$5:$E$436,MATCH(B601,EDT!$H$5:$H$436,0)),IFERROR(INDEX(CRONOGRAMA!$G$5:$G$5679,MATCH(A601,CRONOGRAMA!$A$5:$A$5679,0)),"Fuera EDT")))</f>
        <v/>
      </c>
      <c r="D601" s="16" t="str">
        <f aca="false">IF(C601="","",IFERROR(INDEX(MASTER!$B$19:$B$109,MATCH(C601,MASTER!$A$19:$A$109,0)),"Asignar fase"))</f>
        <v/>
      </c>
      <c r="E601" s="9"/>
      <c r="F601" s="9"/>
      <c r="G601" s="9"/>
      <c r="H601" s="56"/>
      <c r="I601" s="43"/>
      <c r="J601" s="43"/>
      <c r="K601" s="16" t="str">
        <f aca="false">IF(A601="","",COUNTIF(RESTRICCIONES!$B$5:$B$304,A601))</f>
        <v/>
      </c>
      <c r="L601" s="16" t="str">
        <f aca="false">IF(A601="","",COUNTIFS(RESTRICCIONES!$B$5:$B$304,A601,RESTRICCIONES!$L$5:$L$304,"Pendiente"))</f>
        <v/>
      </c>
      <c r="M601" s="18" t="str">
        <f aca="false">IF(A601="","",IF(L601=0,"LISTA","RESTRINGIDA"))</f>
        <v/>
      </c>
      <c r="N601" s="51" t="str">
        <f aca="false">IF(OR(A601="",H601=""),"",IFERROR(MIN(1,SUMIF(SEMANAL!$C$7:$C$506,A601,SEMANAL!$W$7:$W$506)/H601),0))</f>
        <v/>
      </c>
      <c r="O601" s="57"/>
      <c r="P601" s="57"/>
      <c r="Q601" s="57"/>
      <c r="R601" s="57"/>
      <c r="S601" s="57"/>
      <c r="T601" s="57"/>
      <c r="U601" s="9"/>
    </row>
    <row r="602" customFormat="false" ht="15" hidden="false" customHeight="false" outlineLevel="0" collapsed="false">
      <c r="A602" s="9"/>
      <c r="B602" s="9"/>
      <c r="C602" s="16" t="str">
        <f aca="false">IF(B602="","",IFERROR(INDEX(EDT!$E$5:$E$436,MATCH(B602,EDT!$H$5:$H$436,0)),IFERROR(INDEX(CRONOGRAMA!$G$5:$G$5679,MATCH(A602,CRONOGRAMA!$A$5:$A$5679,0)),"Fuera EDT")))</f>
        <v/>
      </c>
      <c r="D602" s="16" t="str">
        <f aca="false">IF(C602="","",IFERROR(INDEX(MASTER!$B$19:$B$109,MATCH(C602,MASTER!$A$19:$A$109,0)),"Asignar fase"))</f>
        <v/>
      </c>
      <c r="E602" s="9"/>
      <c r="F602" s="9"/>
      <c r="G602" s="9"/>
      <c r="H602" s="56"/>
      <c r="I602" s="43"/>
      <c r="J602" s="43"/>
      <c r="K602" s="16" t="str">
        <f aca="false">IF(A602="","",COUNTIF(RESTRICCIONES!$B$5:$B$304,A602))</f>
        <v/>
      </c>
      <c r="L602" s="16" t="str">
        <f aca="false">IF(A602="","",COUNTIFS(RESTRICCIONES!$B$5:$B$304,A602,RESTRICCIONES!$L$5:$L$304,"Pendiente"))</f>
        <v/>
      </c>
      <c r="M602" s="18" t="str">
        <f aca="false">IF(A602="","",IF(L602=0,"LISTA","RESTRINGIDA"))</f>
        <v/>
      </c>
      <c r="N602" s="51" t="str">
        <f aca="false">IF(OR(A602="",H602=""),"",IFERROR(MIN(1,SUMIF(SEMANAL!$C$7:$C$506,A602,SEMANAL!$W$7:$W$506)/H602),0))</f>
        <v/>
      </c>
      <c r="O602" s="57"/>
      <c r="P602" s="57"/>
      <c r="Q602" s="57"/>
      <c r="R602" s="57"/>
      <c r="S602" s="57"/>
      <c r="T602" s="57"/>
      <c r="U602" s="9"/>
    </row>
    <row r="603" customFormat="false" ht="15" hidden="false" customHeight="false" outlineLevel="0" collapsed="false">
      <c r="A603" s="9"/>
      <c r="B603" s="9"/>
      <c r="C603" s="16" t="str">
        <f aca="false">IF(B603="","",IFERROR(INDEX(EDT!$E$5:$E$436,MATCH(B603,EDT!$H$5:$H$436,0)),IFERROR(INDEX(CRONOGRAMA!$G$5:$G$5679,MATCH(A603,CRONOGRAMA!$A$5:$A$5679,0)),"Fuera EDT")))</f>
        <v/>
      </c>
      <c r="D603" s="16" t="str">
        <f aca="false">IF(C603="","",IFERROR(INDEX(MASTER!$B$19:$B$109,MATCH(C603,MASTER!$A$19:$A$109,0)),"Asignar fase"))</f>
        <v/>
      </c>
      <c r="E603" s="9"/>
      <c r="F603" s="9"/>
      <c r="G603" s="9"/>
      <c r="H603" s="56"/>
      <c r="I603" s="43"/>
      <c r="J603" s="43"/>
      <c r="K603" s="16" t="str">
        <f aca="false">IF(A603="","",COUNTIF(RESTRICCIONES!$B$5:$B$304,A603))</f>
        <v/>
      </c>
      <c r="L603" s="16" t="str">
        <f aca="false">IF(A603="","",COUNTIFS(RESTRICCIONES!$B$5:$B$304,A603,RESTRICCIONES!$L$5:$L$304,"Pendiente"))</f>
        <v/>
      </c>
      <c r="M603" s="18" t="str">
        <f aca="false">IF(A603="","",IF(L603=0,"LISTA","RESTRINGIDA"))</f>
        <v/>
      </c>
      <c r="N603" s="51" t="str">
        <f aca="false">IF(OR(A603="",H603=""),"",IFERROR(MIN(1,SUMIF(SEMANAL!$C$7:$C$506,A603,SEMANAL!$W$7:$W$506)/H603),0))</f>
        <v/>
      </c>
      <c r="O603" s="57"/>
      <c r="P603" s="57"/>
      <c r="Q603" s="57"/>
      <c r="R603" s="57"/>
      <c r="S603" s="57"/>
      <c r="T603" s="57"/>
      <c r="U603" s="9"/>
    </row>
    <row r="604" customFormat="false" ht="15" hidden="false" customHeight="false" outlineLevel="0" collapsed="false">
      <c r="A604" s="9"/>
      <c r="B604" s="9"/>
      <c r="C604" s="16" t="str">
        <f aca="false">IF(B604="","",IFERROR(INDEX(EDT!$E$5:$E$436,MATCH(B604,EDT!$H$5:$H$436,0)),IFERROR(INDEX(CRONOGRAMA!$G$5:$G$5679,MATCH(A604,CRONOGRAMA!$A$5:$A$5679,0)),"Fuera EDT")))</f>
        <v/>
      </c>
      <c r="D604" s="16" t="str">
        <f aca="false">IF(C604="","",IFERROR(INDEX(MASTER!$B$19:$B$109,MATCH(C604,MASTER!$A$19:$A$109,0)),"Asignar fase"))</f>
        <v/>
      </c>
      <c r="E604" s="9"/>
      <c r="F604" s="9"/>
      <c r="G604" s="9"/>
      <c r="H604" s="56"/>
      <c r="I604" s="43"/>
      <c r="J604" s="43"/>
      <c r="K604" s="16" t="str">
        <f aca="false">IF(A604="","",COUNTIF(RESTRICCIONES!$B$5:$B$304,A604))</f>
        <v/>
      </c>
      <c r="L604" s="16" t="str">
        <f aca="false">IF(A604="","",COUNTIFS(RESTRICCIONES!$B$5:$B$304,A604,RESTRICCIONES!$L$5:$L$304,"Pendiente"))</f>
        <v/>
      </c>
      <c r="M604" s="18" t="str">
        <f aca="false">IF(A604="","",IF(L604=0,"LISTA","RESTRINGIDA"))</f>
        <v/>
      </c>
      <c r="N604" s="51" t="str">
        <f aca="false">IF(OR(A604="",H604=""),"",IFERROR(MIN(1,SUMIF(SEMANAL!$C$7:$C$506,A604,SEMANAL!$W$7:$W$506)/H604),0))</f>
        <v/>
      </c>
      <c r="O604" s="57"/>
      <c r="P604" s="57"/>
      <c r="Q604" s="57"/>
      <c r="R604" s="57"/>
      <c r="S604" s="57"/>
      <c r="T604" s="57"/>
      <c r="U604" s="9"/>
    </row>
  </sheetData>
  <autoFilter ref="A4:U604"/>
  <conditionalFormatting sqref="M5:M604">
    <cfRule type="cellIs" priority="2" operator="equal" aboveAverage="0" equalAverage="0" bottom="0" percent="0" rank="0" text="" dxfId="6">
      <formula>"LISTA"</formula>
    </cfRule>
    <cfRule type="cellIs" priority="3" operator="equal" aboveAverage="0" equalAverage="0" bottom="0" percent="0" rank="0" text="" dxfId="9">
      <formula>"RESTRINGIDA"</formula>
    </cfRule>
  </conditionalFormatting>
  <conditionalFormatting sqref="O5:T604">
    <cfRule type="expression" priority="4" aboveAverage="0" equalAverage="0" bottom="0" percent="0" rank="0" text="" dxfId="18">
      <formula>AND($I5&lt;&gt;"",O$4&lt;=$J5,O$4+6&gt;=$I5,$M5="LISTA")</formula>
    </cfRule>
    <cfRule type="expression" priority="5" aboveAverage="0" equalAverage="0" bottom="0" percent="0" rank="0" text="" dxfId="19">
      <formula>AND($I5&lt;&gt;"",O$4&lt;=$J5,O$4+6&gt;=$I5,$M5="RESTRINGIDA")</formula>
    </cfRule>
  </conditionalFormatting>
  <conditionalFormatting sqref="U5:U604">
    <cfRule type="expression" priority="6" aboveAverage="0" equalAverage="0" bottom="0" percent="0" rank="0" text="" dxfId="10">
      <formula>LEFT($U5,12)="RUTA CRÍTICA"</formula>
    </cfRule>
  </conditionalFormatting>
  <dataValidations count="4">
    <dataValidation allowBlank="true" error="La actividad no está en el EDT. Puede continuar, pero no se asignará Fase automáticamente." errorStyle="warning" errorTitle="Actividad fuera del EDT" operator="between" showDropDown="false" showErrorMessage="true" showInputMessage="false" sqref="B5:B604" type="list">
      <formula1>Partidas</formula1>
      <formula2>0</formula2>
    </dataValidation>
    <dataValidation allowBlank="true" errorStyle="stop" operator="between" showDropDown="false" showErrorMessage="true" showInputMessage="false" sqref="E5:E604" type="list">
      <formula1>Ubicaciones</formula1>
      <formula2>0</formula2>
    </dataValidation>
    <dataValidation allowBlank="true" errorStyle="stop" operator="between" showDropDown="false" showErrorMessage="true" showInputMessage="false" sqref="F5:F604" type="list">
      <formula1>Cuadrillas</formula1>
      <formula2>0</formula2>
    </dataValidation>
    <dataValidation allowBlank="true" errorStyle="stop" operator="between" showDropDown="false" showErrorMessage="true" showInputMessage="false" sqref="G5:G604" type="list">
      <formula1>Unidades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O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34"/>
  </cols>
  <sheetData>
    <row r="1" customFormat="false" ht="17.35" hidden="false" customHeight="false" outlineLevel="0" collapsed="false">
      <c r="A1" s="1" t="s">
        <v>17737</v>
      </c>
      <c r="D1" s="7" t="s">
        <v>17738</v>
      </c>
    </row>
    <row r="2" customFormat="false" ht="15" hidden="false" customHeight="false" outlineLevel="0" collapsed="false">
      <c r="A2" s="22" t="s">
        <v>17739</v>
      </c>
      <c r="D2" s="40" t="n">
        <v>3</v>
      </c>
      <c r="F2" s="22" t="s">
        <v>17740</v>
      </c>
      <c r="G2" s="53" t="n">
        <f aca="false">COUNTIF($L$5:$L$304,"Pendiente")</f>
        <v>0</v>
      </c>
      <c r="H2" s="22" t="s">
        <v>17741</v>
      </c>
      <c r="I2" s="53" t="n">
        <f aca="false">COUNTIF($M$5:$M$304,"VENCIDA")</f>
        <v>0</v>
      </c>
    </row>
    <row r="4" customFormat="false" ht="31.5" hidden="false" customHeight="true" outlineLevel="0" collapsed="false">
      <c r="A4" s="8" t="s">
        <v>17742</v>
      </c>
      <c r="B4" s="8" t="s">
        <v>17342</v>
      </c>
      <c r="C4" s="8" t="s">
        <v>17743</v>
      </c>
      <c r="D4" s="8" t="s">
        <v>17744</v>
      </c>
      <c r="E4" s="8" t="s">
        <v>17745</v>
      </c>
      <c r="F4" s="8" t="s">
        <v>17746</v>
      </c>
      <c r="G4" s="8" t="s">
        <v>17747</v>
      </c>
      <c r="H4" s="8" t="s">
        <v>17748</v>
      </c>
      <c r="I4" s="8" t="s">
        <v>17749</v>
      </c>
      <c r="J4" s="8" t="s">
        <v>17750</v>
      </c>
      <c r="K4" s="8" t="s">
        <v>17751</v>
      </c>
      <c r="L4" s="8" t="s">
        <v>17314</v>
      </c>
      <c r="M4" s="8" t="s">
        <v>17752</v>
      </c>
      <c r="N4" s="8" t="s">
        <v>17753</v>
      </c>
      <c r="O4" s="8" t="s">
        <v>17754</v>
      </c>
    </row>
    <row r="5" customFormat="false" ht="15" hidden="false" customHeight="false" outlineLevel="0" collapsed="false">
      <c r="A5" s="9"/>
      <c r="B5" s="9"/>
      <c r="C5" s="16" t="str">
        <f aca="false">IF(B5="","",IFERROR(INDEX(LOOKAHEAD!$B$5:$B$604,MATCH(B5,LOOKAHEAD!$A$5:$A$604,0)),"ID no existe"))</f>
        <v/>
      </c>
      <c r="D5" s="33" t="str">
        <f aca="false">IF(B5="","",IFERROR(INDEX(LOOKAHEAD!$I$5:$I$604,MATCH(B5,LOOKAHEAD!$A$5:$A$604,0)),""))</f>
        <v/>
      </c>
      <c r="E5" s="9"/>
      <c r="F5" s="9"/>
      <c r="G5" s="9"/>
      <c r="H5" s="43"/>
      <c r="I5" s="33" t="str">
        <f aca="false">IF(OR(D5="",D5=0),"",D5-$D$2)</f>
        <v/>
      </c>
      <c r="J5" s="43"/>
      <c r="K5" s="43"/>
      <c r="L5" s="18" t="str">
        <f aca="false">IF(B5="","",IF(K5&lt;&gt;"","Liberado","Pendiente"))</f>
        <v/>
      </c>
      <c r="M5" s="16" t="str">
        <f aca="true">IF(B5="","",IF(L5="Liberado",IF(OR(I5="",K5&lt;=I5),"A tiempo","Liberada tarde"),IF(J5="","Sin compromiso",IF(TODAY()&gt;J5,"VENCIDA",IF(AND(I5&lt;&gt;"",J5&gt;I5),"En riesgo","En gestión")))))</f>
        <v/>
      </c>
      <c r="N5" s="32" t="str">
        <f aca="false">IF(OR(B5="",I5=""),"",IF(K5&lt;&gt;"",I5-K5,IF(J5&lt;&gt;"",I5-J5,"")))</f>
        <v/>
      </c>
      <c r="O5" s="9"/>
    </row>
    <row r="6" customFormat="false" ht="15" hidden="false" customHeight="false" outlineLevel="0" collapsed="false">
      <c r="A6" s="9"/>
      <c r="B6" s="9"/>
      <c r="C6" s="16" t="str">
        <f aca="false">IF(B6="","",IFERROR(INDEX(LOOKAHEAD!$B$5:$B$604,MATCH(B6,LOOKAHEAD!$A$5:$A$604,0)),"ID no existe"))</f>
        <v/>
      </c>
      <c r="D6" s="33" t="str">
        <f aca="false">IF(B6="","",IFERROR(INDEX(LOOKAHEAD!$I$5:$I$604,MATCH(B6,LOOKAHEAD!$A$5:$A$604,0)),""))</f>
        <v/>
      </c>
      <c r="E6" s="9"/>
      <c r="F6" s="9"/>
      <c r="G6" s="9"/>
      <c r="H6" s="43"/>
      <c r="I6" s="33" t="str">
        <f aca="false">IF(OR(D6="",D6=0),"",D6-$D$2)</f>
        <v/>
      </c>
      <c r="J6" s="43"/>
      <c r="K6" s="43"/>
      <c r="L6" s="18" t="str">
        <f aca="false">IF(B6="","",IF(K6&lt;&gt;"","Liberado","Pendiente"))</f>
        <v/>
      </c>
      <c r="M6" s="16" t="str">
        <f aca="true">IF(B6="","",IF(L6="Liberado",IF(OR(I6="",K6&lt;=I6),"A tiempo","Liberada tarde"),IF(J6="","Sin compromiso",IF(TODAY()&gt;J6,"VENCIDA",IF(AND(I6&lt;&gt;"",J6&gt;I6),"En riesgo","En gestión")))))</f>
        <v/>
      </c>
      <c r="N6" s="32" t="str">
        <f aca="false">IF(OR(B6="",I6=""),"",IF(K6&lt;&gt;"",I6-K6,IF(J6&lt;&gt;"",I6-J6,"")))</f>
        <v/>
      </c>
      <c r="O6" s="9"/>
    </row>
    <row r="7" customFormat="false" ht="15" hidden="false" customHeight="false" outlineLevel="0" collapsed="false">
      <c r="A7" s="9"/>
      <c r="B7" s="9"/>
      <c r="C7" s="16" t="str">
        <f aca="false">IF(B7="","",IFERROR(INDEX(LOOKAHEAD!$B$5:$B$604,MATCH(B7,LOOKAHEAD!$A$5:$A$604,0)),"ID no existe"))</f>
        <v/>
      </c>
      <c r="D7" s="33" t="str">
        <f aca="false">IF(B7="","",IFERROR(INDEX(LOOKAHEAD!$I$5:$I$604,MATCH(B7,LOOKAHEAD!$A$5:$A$604,0)),""))</f>
        <v/>
      </c>
      <c r="E7" s="9"/>
      <c r="F7" s="9"/>
      <c r="G7" s="9"/>
      <c r="H7" s="43"/>
      <c r="I7" s="33" t="str">
        <f aca="false">IF(OR(D7="",D7=0),"",D7-$D$2)</f>
        <v/>
      </c>
      <c r="J7" s="43"/>
      <c r="K7" s="43"/>
      <c r="L7" s="18" t="str">
        <f aca="false">IF(B7="","",IF(K7&lt;&gt;"","Liberado","Pendiente"))</f>
        <v/>
      </c>
      <c r="M7" s="16" t="str">
        <f aca="true">IF(B7="","",IF(L7="Liberado",IF(OR(I7="",K7&lt;=I7),"A tiempo","Liberada tarde"),IF(J7="","Sin compromiso",IF(TODAY()&gt;J7,"VENCIDA",IF(AND(I7&lt;&gt;"",J7&gt;I7),"En riesgo","En gestión")))))</f>
        <v/>
      </c>
      <c r="N7" s="32" t="str">
        <f aca="false">IF(OR(B7="",I7=""),"",IF(K7&lt;&gt;"",I7-K7,IF(J7&lt;&gt;"",I7-J7,"")))</f>
        <v/>
      </c>
      <c r="O7" s="9"/>
    </row>
    <row r="8" customFormat="false" ht="15" hidden="false" customHeight="false" outlineLevel="0" collapsed="false">
      <c r="A8" s="9"/>
      <c r="B8" s="9"/>
      <c r="C8" s="16" t="str">
        <f aca="false">IF(B8="","",IFERROR(INDEX(LOOKAHEAD!$B$5:$B$604,MATCH(B8,LOOKAHEAD!$A$5:$A$604,0)),"ID no existe"))</f>
        <v/>
      </c>
      <c r="D8" s="33" t="str">
        <f aca="false">IF(B8="","",IFERROR(INDEX(LOOKAHEAD!$I$5:$I$604,MATCH(B8,LOOKAHEAD!$A$5:$A$604,0)),""))</f>
        <v/>
      </c>
      <c r="E8" s="9"/>
      <c r="F8" s="9"/>
      <c r="G8" s="9"/>
      <c r="H8" s="43"/>
      <c r="I8" s="33" t="str">
        <f aca="false">IF(OR(D8="",D8=0),"",D8-$D$2)</f>
        <v/>
      </c>
      <c r="J8" s="43"/>
      <c r="K8" s="43"/>
      <c r="L8" s="18" t="str">
        <f aca="false">IF(B8="","",IF(K8&lt;&gt;"","Liberado","Pendiente"))</f>
        <v/>
      </c>
      <c r="M8" s="16" t="str">
        <f aca="true">IF(B8="","",IF(L8="Liberado",IF(OR(I8="",K8&lt;=I8),"A tiempo","Liberada tarde"),IF(J8="","Sin compromiso",IF(TODAY()&gt;J8,"VENCIDA",IF(AND(I8&lt;&gt;"",J8&gt;I8),"En riesgo","En gestión")))))</f>
        <v/>
      </c>
      <c r="N8" s="32" t="str">
        <f aca="false">IF(OR(B8="",I8=""),"",IF(K8&lt;&gt;"",I8-K8,IF(J8&lt;&gt;"",I8-J8,"")))</f>
        <v/>
      </c>
      <c r="O8" s="9"/>
    </row>
    <row r="9" customFormat="false" ht="15" hidden="false" customHeight="false" outlineLevel="0" collapsed="false">
      <c r="A9" s="9"/>
      <c r="B9" s="9"/>
      <c r="C9" s="16" t="str">
        <f aca="false">IF(B9="","",IFERROR(INDEX(LOOKAHEAD!$B$5:$B$604,MATCH(B9,LOOKAHEAD!$A$5:$A$604,0)),"ID no existe"))</f>
        <v/>
      </c>
      <c r="D9" s="33" t="str">
        <f aca="false">IF(B9="","",IFERROR(INDEX(LOOKAHEAD!$I$5:$I$604,MATCH(B9,LOOKAHEAD!$A$5:$A$604,0)),""))</f>
        <v/>
      </c>
      <c r="E9" s="9"/>
      <c r="F9" s="9"/>
      <c r="G9" s="9"/>
      <c r="H9" s="43"/>
      <c r="I9" s="33" t="str">
        <f aca="false">IF(OR(D9="",D9=0),"",D9-$D$2)</f>
        <v/>
      </c>
      <c r="J9" s="43"/>
      <c r="K9" s="43"/>
      <c r="L9" s="18" t="str">
        <f aca="false">IF(B9="","",IF(K9&lt;&gt;"","Liberado","Pendiente"))</f>
        <v/>
      </c>
      <c r="M9" s="16" t="str">
        <f aca="true">IF(B9="","",IF(L9="Liberado",IF(OR(I9="",K9&lt;=I9),"A tiempo","Liberada tarde"),IF(J9="","Sin compromiso",IF(TODAY()&gt;J9,"VENCIDA",IF(AND(I9&lt;&gt;"",J9&gt;I9),"En riesgo","En gestión")))))</f>
        <v/>
      </c>
      <c r="N9" s="32" t="str">
        <f aca="false">IF(OR(B9="",I9=""),"",IF(K9&lt;&gt;"",I9-K9,IF(J9&lt;&gt;"",I9-J9,"")))</f>
        <v/>
      </c>
      <c r="O9" s="9"/>
    </row>
    <row r="10" customFormat="false" ht="15" hidden="false" customHeight="false" outlineLevel="0" collapsed="false">
      <c r="A10" s="9"/>
      <c r="B10" s="9"/>
      <c r="C10" s="16" t="str">
        <f aca="false">IF(B10="","",IFERROR(INDEX(LOOKAHEAD!$B$5:$B$604,MATCH(B10,LOOKAHEAD!$A$5:$A$604,0)),"ID no existe"))</f>
        <v/>
      </c>
      <c r="D10" s="33" t="str">
        <f aca="false">IF(B10="","",IFERROR(INDEX(LOOKAHEAD!$I$5:$I$604,MATCH(B10,LOOKAHEAD!$A$5:$A$604,0)),""))</f>
        <v/>
      </c>
      <c r="E10" s="9"/>
      <c r="F10" s="9"/>
      <c r="G10" s="9"/>
      <c r="H10" s="43"/>
      <c r="I10" s="33" t="str">
        <f aca="false">IF(OR(D10="",D10=0),"",D10-$D$2)</f>
        <v/>
      </c>
      <c r="J10" s="43"/>
      <c r="K10" s="43"/>
      <c r="L10" s="18" t="str">
        <f aca="false">IF(B10="","",IF(K10&lt;&gt;"","Liberado","Pendiente"))</f>
        <v/>
      </c>
      <c r="M10" s="16" t="str">
        <f aca="true">IF(B10="","",IF(L10="Liberado",IF(OR(I10="",K10&lt;=I10),"A tiempo","Liberada tarde"),IF(J10="","Sin compromiso",IF(TODAY()&gt;J10,"VENCIDA",IF(AND(I10&lt;&gt;"",J10&gt;I10),"En riesgo","En gestión")))))</f>
        <v/>
      </c>
      <c r="N10" s="32" t="str">
        <f aca="false">IF(OR(B10="",I10=""),"",IF(K10&lt;&gt;"",I10-K10,IF(J10&lt;&gt;"",I10-J10,"")))</f>
        <v/>
      </c>
      <c r="O10" s="9"/>
    </row>
    <row r="11" customFormat="false" ht="15" hidden="false" customHeight="false" outlineLevel="0" collapsed="false">
      <c r="A11" s="9"/>
      <c r="B11" s="9"/>
      <c r="C11" s="16" t="str">
        <f aca="false">IF(B11="","",IFERROR(INDEX(LOOKAHEAD!$B$5:$B$604,MATCH(B11,LOOKAHEAD!$A$5:$A$604,0)),"ID no existe"))</f>
        <v/>
      </c>
      <c r="D11" s="33" t="str">
        <f aca="false">IF(B11="","",IFERROR(INDEX(LOOKAHEAD!$I$5:$I$604,MATCH(B11,LOOKAHEAD!$A$5:$A$604,0)),""))</f>
        <v/>
      </c>
      <c r="E11" s="9"/>
      <c r="F11" s="9"/>
      <c r="G11" s="9"/>
      <c r="H11" s="43"/>
      <c r="I11" s="33" t="str">
        <f aca="false">IF(OR(D11="",D11=0),"",D11-$D$2)</f>
        <v/>
      </c>
      <c r="J11" s="43"/>
      <c r="K11" s="43"/>
      <c r="L11" s="18" t="str">
        <f aca="false">IF(B11="","",IF(K11&lt;&gt;"","Liberado","Pendiente"))</f>
        <v/>
      </c>
      <c r="M11" s="16" t="str">
        <f aca="true">IF(B11="","",IF(L11="Liberado",IF(OR(I11="",K11&lt;=I11),"A tiempo","Liberada tarde"),IF(J11="","Sin compromiso",IF(TODAY()&gt;J11,"VENCIDA",IF(AND(I11&lt;&gt;"",J11&gt;I11),"En riesgo","En gestión")))))</f>
        <v/>
      </c>
      <c r="N11" s="32" t="str">
        <f aca="false">IF(OR(B11="",I11=""),"",IF(K11&lt;&gt;"",I11-K11,IF(J11&lt;&gt;"",I11-J11,"")))</f>
        <v/>
      </c>
      <c r="O11" s="9"/>
    </row>
    <row r="12" customFormat="false" ht="15" hidden="false" customHeight="false" outlineLevel="0" collapsed="false">
      <c r="A12" s="9"/>
      <c r="B12" s="9"/>
      <c r="C12" s="16" t="str">
        <f aca="false">IF(B12="","",IFERROR(INDEX(LOOKAHEAD!$B$5:$B$604,MATCH(B12,LOOKAHEAD!$A$5:$A$604,0)),"ID no existe"))</f>
        <v/>
      </c>
      <c r="D12" s="33" t="str">
        <f aca="false">IF(B12="","",IFERROR(INDEX(LOOKAHEAD!$I$5:$I$604,MATCH(B12,LOOKAHEAD!$A$5:$A$604,0)),""))</f>
        <v/>
      </c>
      <c r="E12" s="9"/>
      <c r="F12" s="9"/>
      <c r="G12" s="9"/>
      <c r="H12" s="43"/>
      <c r="I12" s="33" t="str">
        <f aca="false">IF(OR(D12="",D12=0),"",D12-$D$2)</f>
        <v/>
      </c>
      <c r="J12" s="43"/>
      <c r="K12" s="43"/>
      <c r="L12" s="18" t="str">
        <f aca="false">IF(B12="","",IF(K12&lt;&gt;"","Liberado","Pendiente"))</f>
        <v/>
      </c>
      <c r="M12" s="16" t="str">
        <f aca="true">IF(B12="","",IF(L12="Liberado",IF(OR(I12="",K12&lt;=I12),"A tiempo","Liberada tarde"),IF(J12="","Sin compromiso",IF(TODAY()&gt;J12,"VENCIDA",IF(AND(I12&lt;&gt;"",J12&gt;I12),"En riesgo","En gestión")))))</f>
        <v/>
      </c>
      <c r="N12" s="32" t="str">
        <f aca="false">IF(OR(B12="",I12=""),"",IF(K12&lt;&gt;"",I12-K12,IF(J12&lt;&gt;"",I12-J12,"")))</f>
        <v/>
      </c>
      <c r="O12" s="9"/>
    </row>
    <row r="13" customFormat="false" ht="15" hidden="false" customHeight="false" outlineLevel="0" collapsed="false">
      <c r="A13" s="9"/>
      <c r="B13" s="9"/>
      <c r="C13" s="16" t="str">
        <f aca="false">IF(B13="","",IFERROR(INDEX(LOOKAHEAD!$B$5:$B$604,MATCH(B13,LOOKAHEAD!$A$5:$A$604,0)),"ID no existe"))</f>
        <v/>
      </c>
      <c r="D13" s="33" t="str">
        <f aca="false">IF(B13="","",IFERROR(INDEX(LOOKAHEAD!$I$5:$I$604,MATCH(B13,LOOKAHEAD!$A$5:$A$604,0)),""))</f>
        <v/>
      </c>
      <c r="E13" s="9"/>
      <c r="F13" s="9"/>
      <c r="G13" s="9"/>
      <c r="H13" s="43"/>
      <c r="I13" s="33" t="str">
        <f aca="false">IF(OR(D13="",D13=0),"",D13-$D$2)</f>
        <v/>
      </c>
      <c r="J13" s="43"/>
      <c r="K13" s="43"/>
      <c r="L13" s="18" t="str">
        <f aca="false">IF(B13="","",IF(K13&lt;&gt;"","Liberado","Pendiente"))</f>
        <v/>
      </c>
      <c r="M13" s="16" t="str">
        <f aca="true">IF(B13="","",IF(L13="Liberado",IF(OR(I13="",K13&lt;=I13),"A tiempo","Liberada tarde"),IF(J13="","Sin compromiso",IF(TODAY()&gt;J13,"VENCIDA",IF(AND(I13&lt;&gt;"",J13&gt;I13),"En riesgo","En gestión")))))</f>
        <v/>
      </c>
      <c r="N13" s="32" t="str">
        <f aca="false">IF(OR(B13="",I13=""),"",IF(K13&lt;&gt;"",I13-K13,IF(J13&lt;&gt;"",I13-J13,"")))</f>
        <v/>
      </c>
      <c r="O13" s="9"/>
    </row>
    <row r="14" customFormat="false" ht="15" hidden="false" customHeight="false" outlineLevel="0" collapsed="false">
      <c r="A14" s="9"/>
      <c r="B14" s="9"/>
      <c r="C14" s="16" t="str">
        <f aca="false">IF(B14="","",IFERROR(INDEX(LOOKAHEAD!$B$5:$B$604,MATCH(B14,LOOKAHEAD!$A$5:$A$604,0)),"ID no existe"))</f>
        <v/>
      </c>
      <c r="D14" s="33" t="str">
        <f aca="false">IF(B14="","",IFERROR(INDEX(LOOKAHEAD!$I$5:$I$604,MATCH(B14,LOOKAHEAD!$A$5:$A$604,0)),""))</f>
        <v/>
      </c>
      <c r="E14" s="9"/>
      <c r="F14" s="9"/>
      <c r="G14" s="9"/>
      <c r="H14" s="43"/>
      <c r="I14" s="33" t="str">
        <f aca="false">IF(OR(D14="",D14=0),"",D14-$D$2)</f>
        <v/>
      </c>
      <c r="J14" s="43"/>
      <c r="K14" s="43"/>
      <c r="L14" s="18" t="str">
        <f aca="false">IF(B14="","",IF(K14&lt;&gt;"","Liberado","Pendiente"))</f>
        <v/>
      </c>
      <c r="M14" s="16" t="str">
        <f aca="true">IF(B14="","",IF(L14="Liberado",IF(OR(I14="",K14&lt;=I14),"A tiempo","Liberada tarde"),IF(J14="","Sin compromiso",IF(TODAY()&gt;J14,"VENCIDA",IF(AND(I14&lt;&gt;"",J14&gt;I14),"En riesgo","En gestión")))))</f>
        <v/>
      </c>
      <c r="N14" s="32" t="str">
        <f aca="false">IF(OR(B14="",I14=""),"",IF(K14&lt;&gt;"",I14-K14,IF(J14&lt;&gt;"",I14-J14,"")))</f>
        <v/>
      </c>
      <c r="O14" s="9"/>
    </row>
    <row r="15" customFormat="false" ht="15" hidden="false" customHeight="false" outlineLevel="0" collapsed="false">
      <c r="A15" s="9"/>
      <c r="B15" s="9"/>
      <c r="C15" s="16" t="str">
        <f aca="false">IF(B15="","",IFERROR(INDEX(LOOKAHEAD!$B$5:$B$604,MATCH(B15,LOOKAHEAD!$A$5:$A$604,0)),"ID no existe"))</f>
        <v/>
      </c>
      <c r="D15" s="33" t="str">
        <f aca="false">IF(B15="","",IFERROR(INDEX(LOOKAHEAD!$I$5:$I$604,MATCH(B15,LOOKAHEAD!$A$5:$A$604,0)),""))</f>
        <v/>
      </c>
      <c r="E15" s="9"/>
      <c r="F15" s="9"/>
      <c r="G15" s="9"/>
      <c r="H15" s="43"/>
      <c r="I15" s="33" t="str">
        <f aca="false">IF(OR(D15="",D15=0),"",D15-$D$2)</f>
        <v/>
      </c>
      <c r="J15" s="43"/>
      <c r="K15" s="43"/>
      <c r="L15" s="18" t="str">
        <f aca="false">IF(B15="","",IF(K15&lt;&gt;"","Liberado","Pendiente"))</f>
        <v/>
      </c>
      <c r="M15" s="16" t="str">
        <f aca="true">IF(B15="","",IF(L15="Liberado",IF(OR(I15="",K15&lt;=I15),"A tiempo","Liberada tarde"),IF(J15="","Sin compromiso",IF(TODAY()&gt;J15,"VENCIDA",IF(AND(I15&lt;&gt;"",J15&gt;I15),"En riesgo","En gestión")))))</f>
        <v/>
      </c>
      <c r="N15" s="32" t="str">
        <f aca="false">IF(OR(B15="",I15=""),"",IF(K15&lt;&gt;"",I15-K15,IF(J15&lt;&gt;"",I15-J15,"")))</f>
        <v/>
      </c>
      <c r="O15" s="9"/>
    </row>
    <row r="16" customFormat="false" ht="15" hidden="false" customHeight="false" outlineLevel="0" collapsed="false">
      <c r="A16" s="9"/>
      <c r="B16" s="9"/>
      <c r="C16" s="16" t="str">
        <f aca="false">IF(B16="","",IFERROR(INDEX(LOOKAHEAD!$B$5:$B$604,MATCH(B16,LOOKAHEAD!$A$5:$A$604,0)),"ID no existe"))</f>
        <v/>
      </c>
      <c r="D16" s="33" t="str">
        <f aca="false">IF(B16="","",IFERROR(INDEX(LOOKAHEAD!$I$5:$I$604,MATCH(B16,LOOKAHEAD!$A$5:$A$604,0)),""))</f>
        <v/>
      </c>
      <c r="E16" s="9"/>
      <c r="F16" s="9"/>
      <c r="G16" s="9"/>
      <c r="H16" s="43"/>
      <c r="I16" s="33" t="str">
        <f aca="false">IF(OR(D16="",D16=0),"",D16-$D$2)</f>
        <v/>
      </c>
      <c r="J16" s="43"/>
      <c r="K16" s="43"/>
      <c r="L16" s="18" t="str">
        <f aca="false">IF(B16="","",IF(K16&lt;&gt;"","Liberado","Pendiente"))</f>
        <v/>
      </c>
      <c r="M16" s="16" t="str">
        <f aca="true">IF(B16="","",IF(L16="Liberado",IF(OR(I16="",K16&lt;=I16),"A tiempo","Liberada tarde"),IF(J16="","Sin compromiso",IF(TODAY()&gt;J16,"VENCIDA",IF(AND(I16&lt;&gt;"",J16&gt;I16),"En riesgo","En gestión")))))</f>
        <v/>
      </c>
      <c r="N16" s="32" t="str">
        <f aca="false">IF(OR(B16="",I16=""),"",IF(K16&lt;&gt;"",I16-K16,IF(J16&lt;&gt;"",I16-J16,"")))</f>
        <v/>
      </c>
      <c r="O16" s="9"/>
    </row>
    <row r="17" customFormat="false" ht="15" hidden="false" customHeight="false" outlineLevel="0" collapsed="false">
      <c r="A17" s="9"/>
      <c r="B17" s="9"/>
      <c r="C17" s="16" t="str">
        <f aca="false">IF(B17="","",IFERROR(INDEX(LOOKAHEAD!$B$5:$B$604,MATCH(B17,LOOKAHEAD!$A$5:$A$604,0)),"ID no existe"))</f>
        <v/>
      </c>
      <c r="D17" s="33" t="str">
        <f aca="false">IF(B17="","",IFERROR(INDEX(LOOKAHEAD!$I$5:$I$604,MATCH(B17,LOOKAHEAD!$A$5:$A$604,0)),""))</f>
        <v/>
      </c>
      <c r="E17" s="9"/>
      <c r="F17" s="9"/>
      <c r="G17" s="9"/>
      <c r="H17" s="43"/>
      <c r="I17" s="33" t="str">
        <f aca="false">IF(OR(D17="",D17=0),"",D17-$D$2)</f>
        <v/>
      </c>
      <c r="J17" s="43"/>
      <c r="K17" s="43"/>
      <c r="L17" s="18" t="str">
        <f aca="false">IF(B17="","",IF(K17&lt;&gt;"","Liberado","Pendiente"))</f>
        <v/>
      </c>
      <c r="M17" s="16" t="str">
        <f aca="true">IF(B17="","",IF(L17="Liberado",IF(OR(I17="",K17&lt;=I17),"A tiempo","Liberada tarde"),IF(J17="","Sin compromiso",IF(TODAY()&gt;J17,"VENCIDA",IF(AND(I17&lt;&gt;"",J17&gt;I17),"En riesgo","En gestión")))))</f>
        <v/>
      </c>
      <c r="N17" s="32" t="str">
        <f aca="false">IF(OR(B17="",I17=""),"",IF(K17&lt;&gt;"",I17-K17,IF(J17&lt;&gt;"",I17-J17,"")))</f>
        <v/>
      </c>
      <c r="O17" s="9"/>
    </row>
    <row r="18" customFormat="false" ht="15" hidden="false" customHeight="false" outlineLevel="0" collapsed="false">
      <c r="A18" s="9"/>
      <c r="B18" s="9"/>
      <c r="C18" s="16" t="str">
        <f aca="false">IF(B18="","",IFERROR(INDEX(LOOKAHEAD!$B$5:$B$604,MATCH(B18,LOOKAHEAD!$A$5:$A$604,0)),"ID no existe"))</f>
        <v/>
      </c>
      <c r="D18" s="33" t="str">
        <f aca="false">IF(B18="","",IFERROR(INDEX(LOOKAHEAD!$I$5:$I$604,MATCH(B18,LOOKAHEAD!$A$5:$A$604,0)),""))</f>
        <v/>
      </c>
      <c r="E18" s="9"/>
      <c r="F18" s="9"/>
      <c r="G18" s="9"/>
      <c r="H18" s="43"/>
      <c r="I18" s="33" t="str">
        <f aca="false">IF(OR(D18="",D18=0),"",D18-$D$2)</f>
        <v/>
      </c>
      <c r="J18" s="43"/>
      <c r="K18" s="43"/>
      <c r="L18" s="18" t="str">
        <f aca="false">IF(B18="","",IF(K18&lt;&gt;"","Liberado","Pendiente"))</f>
        <v/>
      </c>
      <c r="M18" s="16" t="str">
        <f aca="true">IF(B18="","",IF(L18="Liberado",IF(OR(I18="",K18&lt;=I18),"A tiempo","Liberada tarde"),IF(J18="","Sin compromiso",IF(TODAY()&gt;J18,"VENCIDA",IF(AND(I18&lt;&gt;"",J18&gt;I18),"En riesgo","En gestión")))))</f>
        <v/>
      </c>
      <c r="N18" s="32" t="str">
        <f aca="false">IF(OR(B18="",I18=""),"",IF(K18&lt;&gt;"",I18-K18,IF(J18&lt;&gt;"",I18-J18,"")))</f>
        <v/>
      </c>
      <c r="O18" s="9"/>
    </row>
    <row r="19" customFormat="false" ht="15" hidden="false" customHeight="false" outlineLevel="0" collapsed="false">
      <c r="A19" s="9"/>
      <c r="B19" s="9"/>
      <c r="C19" s="16" t="str">
        <f aca="false">IF(B19="","",IFERROR(INDEX(LOOKAHEAD!$B$5:$B$604,MATCH(B19,LOOKAHEAD!$A$5:$A$604,0)),"ID no existe"))</f>
        <v/>
      </c>
      <c r="D19" s="33" t="str">
        <f aca="false">IF(B19="","",IFERROR(INDEX(LOOKAHEAD!$I$5:$I$604,MATCH(B19,LOOKAHEAD!$A$5:$A$604,0)),""))</f>
        <v/>
      </c>
      <c r="E19" s="9"/>
      <c r="F19" s="9"/>
      <c r="G19" s="9"/>
      <c r="H19" s="43"/>
      <c r="I19" s="33" t="str">
        <f aca="false">IF(OR(D19="",D19=0),"",D19-$D$2)</f>
        <v/>
      </c>
      <c r="J19" s="43"/>
      <c r="K19" s="43"/>
      <c r="L19" s="18" t="str">
        <f aca="false">IF(B19="","",IF(K19&lt;&gt;"","Liberado","Pendiente"))</f>
        <v/>
      </c>
      <c r="M19" s="16" t="str">
        <f aca="true">IF(B19="","",IF(L19="Liberado",IF(OR(I19="",K19&lt;=I19),"A tiempo","Liberada tarde"),IF(J19="","Sin compromiso",IF(TODAY()&gt;J19,"VENCIDA",IF(AND(I19&lt;&gt;"",J19&gt;I19),"En riesgo","En gestión")))))</f>
        <v/>
      </c>
      <c r="N19" s="32" t="str">
        <f aca="false">IF(OR(B19="",I19=""),"",IF(K19&lt;&gt;"",I19-K19,IF(J19&lt;&gt;"",I19-J19,"")))</f>
        <v/>
      </c>
      <c r="O19" s="9"/>
    </row>
    <row r="20" customFormat="false" ht="15" hidden="false" customHeight="false" outlineLevel="0" collapsed="false">
      <c r="A20" s="9"/>
      <c r="B20" s="9"/>
      <c r="C20" s="16" t="str">
        <f aca="false">IF(B20="","",IFERROR(INDEX(LOOKAHEAD!$B$5:$B$604,MATCH(B20,LOOKAHEAD!$A$5:$A$604,0)),"ID no existe"))</f>
        <v/>
      </c>
      <c r="D20" s="33" t="str">
        <f aca="false">IF(B20="","",IFERROR(INDEX(LOOKAHEAD!$I$5:$I$604,MATCH(B20,LOOKAHEAD!$A$5:$A$604,0)),""))</f>
        <v/>
      </c>
      <c r="E20" s="9"/>
      <c r="F20" s="9"/>
      <c r="G20" s="9"/>
      <c r="H20" s="43"/>
      <c r="I20" s="33" t="str">
        <f aca="false">IF(OR(D20="",D20=0),"",D20-$D$2)</f>
        <v/>
      </c>
      <c r="J20" s="43"/>
      <c r="K20" s="43"/>
      <c r="L20" s="18" t="str">
        <f aca="false">IF(B20="","",IF(K20&lt;&gt;"","Liberado","Pendiente"))</f>
        <v/>
      </c>
      <c r="M20" s="16" t="str">
        <f aca="true">IF(B20="","",IF(L20="Liberado",IF(OR(I20="",K20&lt;=I20),"A tiempo","Liberada tarde"),IF(J20="","Sin compromiso",IF(TODAY()&gt;J20,"VENCIDA",IF(AND(I20&lt;&gt;"",J20&gt;I20),"En riesgo","En gestión")))))</f>
        <v/>
      </c>
      <c r="N20" s="32" t="str">
        <f aca="false">IF(OR(B20="",I20=""),"",IF(K20&lt;&gt;"",I20-K20,IF(J20&lt;&gt;"",I20-J20,"")))</f>
        <v/>
      </c>
      <c r="O20" s="9"/>
    </row>
    <row r="21" customFormat="false" ht="15" hidden="false" customHeight="false" outlineLevel="0" collapsed="false">
      <c r="A21" s="9"/>
      <c r="B21" s="9"/>
      <c r="C21" s="16" t="str">
        <f aca="false">IF(B21="","",IFERROR(INDEX(LOOKAHEAD!$B$5:$B$604,MATCH(B21,LOOKAHEAD!$A$5:$A$604,0)),"ID no existe"))</f>
        <v/>
      </c>
      <c r="D21" s="33" t="str">
        <f aca="false">IF(B21="","",IFERROR(INDEX(LOOKAHEAD!$I$5:$I$604,MATCH(B21,LOOKAHEAD!$A$5:$A$604,0)),""))</f>
        <v/>
      </c>
      <c r="E21" s="9"/>
      <c r="F21" s="9"/>
      <c r="G21" s="9"/>
      <c r="H21" s="43"/>
      <c r="I21" s="33" t="str">
        <f aca="false">IF(OR(D21="",D21=0),"",D21-$D$2)</f>
        <v/>
      </c>
      <c r="J21" s="43"/>
      <c r="K21" s="43"/>
      <c r="L21" s="18" t="str">
        <f aca="false">IF(B21="","",IF(K21&lt;&gt;"","Liberado","Pendiente"))</f>
        <v/>
      </c>
      <c r="M21" s="16" t="str">
        <f aca="true">IF(B21="","",IF(L21="Liberado",IF(OR(I21="",K21&lt;=I21),"A tiempo","Liberada tarde"),IF(J21="","Sin compromiso",IF(TODAY()&gt;J21,"VENCIDA",IF(AND(I21&lt;&gt;"",J21&gt;I21),"En riesgo","En gestión")))))</f>
        <v/>
      </c>
      <c r="N21" s="32" t="str">
        <f aca="false">IF(OR(B21="",I21=""),"",IF(K21&lt;&gt;"",I21-K21,IF(J21&lt;&gt;"",I21-J21,"")))</f>
        <v/>
      </c>
      <c r="O21" s="9"/>
    </row>
    <row r="22" customFormat="false" ht="15" hidden="false" customHeight="false" outlineLevel="0" collapsed="false">
      <c r="A22" s="9"/>
      <c r="B22" s="9"/>
      <c r="C22" s="16" t="str">
        <f aca="false">IF(B22="","",IFERROR(INDEX(LOOKAHEAD!$B$5:$B$604,MATCH(B22,LOOKAHEAD!$A$5:$A$604,0)),"ID no existe"))</f>
        <v/>
      </c>
      <c r="D22" s="33" t="str">
        <f aca="false">IF(B22="","",IFERROR(INDEX(LOOKAHEAD!$I$5:$I$604,MATCH(B22,LOOKAHEAD!$A$5:$A$604,0)),""))</f>
        <v/>
      </c>
      <c r="E22" s="9"/>
      <c r="F22" s="9"/>
      <c r="G22" s="9"/>
      <c r="H22" s="43"/>
      <c r="I22" s="33" t="str">
        <f aca="false">IF(OR(D22="",D22=0),"",D22-$D$2)</f>
        <v/>
      </c>
      <c r="J22" s="43"/>
      <c r="K22" s="43"/>
      <c r="L22" s="18" t="str">
        <f aca="false">IF(B22="","",IF(K22&lt;&gt;"","Liberado","Pendiente"))</f>
        <v/>
      </c>
      <c r="M22" s="16" t="str">
        <f aca="true">IF(B22="","",IF(L22="Liberado",IF(OR(I22="",K22&lt;=I22),"A tiempo","Liberada tarde"),IF(J22="","Sin compromiso",IF(TODAY()&gt;J22,"VENCIDA",IF(AND(I22&lt;&gt;"",J22&gt;I22),"En riesgo","En gestión")))))</f>
        <v/>
      </c>
      <c r="N22" s="32" t="str">
        <f aca="false">IF(OR(B22="",I22=""),"",IF(K22&lt;&gt;"",I22-K22,IF(J22&lt;&gt;"",I22-J22,"")))</f>
        <v/>
      </c>
      <c r="O22" s="9"/>
    </row>
    <row r="23" customFormat="false" ht="15" hidden="false" customHeight="false" outlineLevel="0" collapsed="false">
      <c r="A23" s="9"/>
      <c r="B23" s="9"/>
      <c r="C23" s="16" t="str">
        <f aca="false">IF(B23="","",IFERROR(INDEX(LOOKAHEAD!$B$5:$B$604,MATCH(B23,LOOKAHEAD!$A$5:$A$604,0)),"ID no existe"))</f>
        <v/>
      </c>
      <c r="D23" s="33" t="str">
        <f aca="false">IF(B23="","",IFERROR(INDEX(LOOKAHEAD!$I$5:$I$604,MATCH(B23,LOOKAHEAD!$A$5:$A$604,0)),""))</f>
        <v/>
      </c>
      <c r="E23" s="9"/>
      <c r="F23" s="9"/>
      <c r="G23" s="9"/>
      <c r="H23" s="43"/>
      <c r="I23" s="33" t="str">
        <f aca="false">IF(OR(D23="",D23=0),"",D23-$D$2)</f>
        <v/>
      </c>
      <c r="J23" s="43"/>
      <c r="K23" s="43"/>
      <c r="L23" s="18" t="str">
        <f aca="false">IF(B23="","",IF(K23&lt;&gt;"","Liberado","Pendiente"))</f>
        <v/>
      </c>
      <c r="M23" s="16" t="str">
        <f aca="true">IF(B23="","",IF(L23="Liberado",IF(OR(I23="",K23&lt;=I23),"A tiempo","Liberada tarde"),IF(J23="","Sin compromiso",IF(TODAY()&gt;J23,"VENCIDA",IF(AND(I23&lt;&gt;"",J23&gt;I23),"En riesgo","En gestión")))))</f>
        <v/>
      </c>
      <c r="N23" s="32" t="str">
        <f aca="false">IF(OR(B23="",I23=""),"",IF(K23&lt;&gt;"",I23-K23,IF(J23&lt;&gt;"",I23-J23,"")))</f>
        <v/>
      </c>
      <c r="O23" s="9"/>
    </row>
    <row r="24" customFormat="false" ht="15" hidden="false" customHeight="false" outlineLevel="0" collapsed="false">
      <c r="A24" s="9"/>
      <c r="B24" s="9"/>
      <c r="C24" s="16" t="str">
        <f aca="false">IF(B24="","",IFERROR(INDEX(LOOKAHEAD!$B$5:$B$604,MATCH(B24,LOOKAHEAD!$A$5:$A$604,0)),"ID no existe"))</f>
        <v/>
      </c>
      <c r="D24" s="33" t="str">
        <f aca="false">IF(B24="","",IFERROR(INDEX(LOOKAHEAD!$I$5:$I$604,MATCH(B24,LOOKAHEAD!$A$5:$A$604,0)),""))</f>
        <v/>
      </c>
      <c r="E24" s="9"/>
      <c r="F24" s="9"/>
      <c r="G24" s="9"/>
      <c r="H24" s="43"/>
      <c r="I24" s="33" t="str">
        <f aca="false">IF(OR(D24="",D24=0),"",D24-$D$2)</f>
        <v/>
      </c>
      <c r="J24" s="43"/>
      <c r="K24" s="43"/>
      <c r="L24" s="18" t="str">
        <f aca="false">IF(B24="","",IF(K24&lt;&gt;"","Liberado","Pendiente"))</f>
        <v/>
      </c>
      <c r="M24" s="16" t="str">
        <f aca="true">IF(B24="","",IF(L24="Liberado",IF(OR(I24="",K24&lt;=I24),"A tiempo","Liberada tarde"),IF(J24="","Sin compromiso",IF(TODAY()&gt;J24,"VENCIDA",IF(AND(I24&lt;&gt;"",J24&gt;I24),"En riesgo","En gestión")))))</f>
        <v/>
      </c>
      <c r="N24" s="32" t="str">
        <f aca="false">IF(OR(B24="",I24=""),"",IF(K24&lt;&gt;"",I24-K24,IF(J24&lt;&gt;"",I24-J24,"")))</f>
        <v/>
      </c>
      <c r="O24" s="9"/>
    </row>
    <row r="25" customFormat="false" ht="15" hidden="false" customHeight="false" outlineLevel="0" collapsed="false">
      <c r="A25" s="9"/>
      <c r="B25" s="9"/>
      <c r="C25" s="16" t="str">
        <f aca="false">IF(B25="","",IFERROR(INDEX(LOOKAHEAD!$B$5:$B$604,MATCH(B25,LOOKAHEAD!$A$5:$A$604,0)),"ID no existe"))</f>
        <v/>
      </c>
      <c r="D25" s="33" t="str">
        <f aca="false">IF(B25="","",IFERROR(INDEX(LOOKAHEAD!$I$5:$I$604,MATCH(B25,LOOKAHEAD!$A$5:$A$604,0)),""))</f>
        <v/>
      </c>
      <c r="E25" s="9"/>
      <c r="F25" s="9"/>
      <c r="G25" s="9"/>
      <c r="H25" s="43"/>
      <c r="I25" s="33" t="str">
        <f aca="false">IF(OR(D25="",D25=0),"",D25-$D$2)</f>
        <v/>
      </c>
      <c r="J25" s="43"/>
      <c r="K25" s="43"/>
      <c r="L25" s="18" t="str">
        <f aca="false">IF(B25="","",IF(K25&lt;&gt;"","Liberado","Pendiente"))</f>
        <v/>
      </c>
      <c r="M25" s="16" t="str">
        <f aca="true">IF(B25="","",IF(L25="Liberado",IF(OR(I25="",K25&lt;=I25),"A tiempo","Liberada tarde"),IF(J25="","Sin compromiso",IF(TODAY()&gt;J25,"VENCIDA",IF(AND(I25&lt;&gt;"",J25&gt;I25),"En riesgo","En gestión")))))</f>
        <v/>
      </c>
      <c r="N25" s="32" t="str">
        <f aca="false">IF(OR(B25="",I25=""),"",IF(K25&lt;&gt;"",I25-K25,IF(J25&lt;&gt;"",I25-J25,"")))</f>
        <v/>
      </c>
      <c r="O25" s="9"/>
    </row>
    <row r="26" customFormat="false" ht="15" hidden="false" customHeight="false" outlineLevel="0" collapsed="false">
      <c r="A26" s="9"/>
      <c r="B26" s="9"/>
      <c r="C26" s="16" t="str">
        <f aca="false">IF(B26="","",IFERROR(INDEX(LOOKAHEAD!$B$5:$B$604,MATCH(B26,LOOKAHEAD!$A$5:$A$604,0)),"ID no existe"))</f>
        <v/>
      </c>
      <c r="D26" s="33" t="str">
        <f aca="false">IF(B26="","",IFERROR(INDEX(LOOKAHEAD!$I$5:$I$604,MATCH(B26,LOOKAHEAD!$A$5:$A$604,0)),""))</f>
        <v/>
      </c>
      <c r="E26" s="9"/>
      <c r="F26" s="9"/>
      <c r="G26" s="9"/>
      <c r="H26" s="43"/>
      <c r="I26" s="33" t="str">
        <f aca="false">IF(OR(D26="",D26=0),"",D26-$D$2)</f>
        <v/>
      </c>
      <c r="J26" s="43"/>
      <c r="K26" s="43"/>
      <c r="L26" s="18" t="str">
        <f aca="false">IF(B26="","",IF(K26&lt;&gt;"","Liberado","Pendiente"))</f>
        <v/>
      </c>
      <c r="M26" s="16" t="str">
        <f aca="true">IF(B26="","",IF(L26="Liberado",IF(OR(I26="",K26&lt;=I26),"A tiempo","Liberada tarde"),IF(J26="","Sin compromiso",IF(TODAY()&gt;J26,"VENCIDA",IF(AND(I26&lt;&gt;"",J26&gt;I26),"En riesgo","En gestión")))))</f>
        <v/>
      </c>
      <c r="N26" s="32" t="str">
        <f aca="false">IF(OR(B26="",I26=""),"",IF(K26&lt;&gt;"",I26-K26,IF(J26&lt;&gt;"",I26-J26,"")))</f>
        <v/>
      </c>
      <c r="O26" s="9"/>
    </row>
    <row r="27" customFormat="false" ht="15" hidden="false" customHeight="false" outlineLevel="0" collapsed="false">
      <c r="A27" s="9"/>
      <c r="B27" s="9"/>
      <c r="C27" s="16" t="str">
        <f aca="false">IF(B27="","",IFERROR(INDEX(LOOKAHEAD!$B$5:$B$604,MATCH(B27,LOOKAHEAD!$A$5:$A$604,0)),"ID no existe"))</f>
        <v/>
      </c>
      <c r="D27" s="33" t="str">
        <f aca="false">IF(B27="","",IFERROR(INDEX(LOOKAHEAD!$I$5:$I$604,MATCH(B27,LOOKAHEAD!$A$5:$A$604,0)),""))</f>
        <v/>
      </c>
      <c r="E27" s="9"/>
      <c r="F27" s="9"/>
      <c r="G27" s="9"/>
      <c r="H27" s="43"/>
      <c r="I27" s="33" t="str">
        <f aca="false">IF(OR(D27="",D27=0),"",D27-$D$2)</f>
        <v/>
      </c>
      <c r="J27" s="43"/>
      <c r="K27" s="43"/>
      <c r="L27" s="18" t="str">
        <f aca="false">IF(B27="","",IF(K27&lt;&gt;"","Liberado","Pendiente"))</f>
        <v/>
      </c>
      <c r="M27" s="16" t="str">
        <f aca="true">IF(B27="","",IF(L27="Liberado",IF(OR(I27="",K27&lt;=I27),"A tiempo","Liberada tarde"),IF(J27="","Sin compromiso",IF(TODAY()&gt;J27,"VENCIDA",IF(AND(I27&lt;&gt;"",J27&gt;I27),"En riesgo","En gestión")))))</f>
        <v/>
      </c>
      <c r="N27" s="32" t="str">
        <f aca="false">IF(OR(B27="",I27=""),"",IF(K27&lt;&gt;"",I27-K27,IF(J27&lt;&gt;"",I27-J27,"")))</f>
        <v/>
      </c>
      <c r="O27" s="9"/>
    </row>
    <row r="28" customFormat="false" ht="15" hidden="false" customHeight="false" outlineLevel="0" collapsed="false">
      <c r="A28" s="9"/>
      <c r="B28" s="9"/>
      <c r="C28" s="16" t="str">
        <f aca="false">IF(B28="","",IFERROR(INDEX(LOOKAHEAD!$B$5:$B$604,MATCH(B28,LOOKAHEAD!$A$5:$A$604,0)),"ID no existe"))</f>
        <v/>
      </c>
      <c r="D28" s="33" t="str">
        <f aca="false">IF(B28="","",IFERROR(INDEX(LOOKAHEAD!$I$5:$I$604,MATCH(B28,LOOKAHEAD!$A$5:$A$604,0)),""))</f>
        <v/>
      </c>
      <c r="E28" s="9"/>
      <c r="F28" s="9"/>
      <c r="G28" s="9"/>
      <c r="H28" s="43"/>
      <c r="I28" s="33" t="str">
        <f aca="false">IF(OR(D28="",D28=0),"",D28-$D$2)</f>
        <v/>
      </c>
      <c r="J28" s="43"/>
      <c r="K28" s="43"/>
      <c r="L28" s="18" t="str">
        <f aca="false">IF(B28="","",IF(K28&lt;&gt;"","Liberado","Pendiente"))</f>
        <v/>
      </c>
      <c r="M28" s="16" t="str">
        <f aca="true">IF(B28="","",IF(L28="Liberado",IF(OR(I28="",K28&lt;=I28),"A tiempo","Liberada tarde"),IF(J28="","Sin compromiso",IF(TODAY()&gt;J28,"VENCIDA",IF(AND(I28&lt;&gt;"",J28&gt;I28),"En riesgo","En gestión")))))</f>
        <v/>
      </c>
      <c r="N28" s="32" t="str">
        <f aca="false">IF(OR(B28="",I28=""),"",IF(K28&lt;&gt;"",I28-K28,IF(J28&lt;&gt;"",I28-J28,"")))</f>
        <v/>
      </c>
      <c r="O28" s="9"/>
    </row>
    <row r="29" customFormat="false" ht="15" hidden="false" customHeight="false" outlineLevel="0" collapsed="false">
      <c r="A29" s="9"/>
      <c r="B29" s="9"/>
      <c r="C29" s="16" t="str">
        <f aca="false">IF(B29="","",IFERROR(INDEX(LOOKAHEAD!$B$5:$B$604,MATCH(B29,LOOKAHEAD!$A$5:$A$604,0)),"ID no existe"))</f>
        <v/>
      </c>
      <c r="D29" s="33" t="str">
        <f aca="false">IF(B29="","",IFERROR(INDEX(LOOKAHEAD!$I$5:$I$604,MATCH(B29,LOOKAHEAD!$A$5:$A$604,0)),""))</f>
        <v/>
      </c>
      <c r="E29" s="9"/>
      <c r="F29" s="9"/>
      <c r="G29" s="9"/>
      <c r="H29" s="43"/>
      <c r="I29" s="33" t="str">
        <f aca="false">IF(OR(D29="",D29=0),"",D29-$D$2)</f>
        <v/>
      </c>
      <c r="J29" s="43"/>
      <c r="K29" s="43"/>
      <c r="L29" s="18" t="str">
        <f aca="false">IF(B29="","",IF(K29&lt;&gt;"","Liberado","Pendiente"))</f>
        <v/>
      </c>
      <c r="M29" s="16" t="str">
        <f aca="true">IF(B29="","",IF(L29="Liberado",IF(OR(I29="",K29&lt;=I29),"A tiempo","Liberada tarde"),IF(J29="","Sin compromiso",IF(TODAY()&gt;J29,"VENCIDA",IF(AND(I29&lt;&gt;"",J29&gt;I29),"En riesgo","En gestión")))))</f>
        <v/>
      </c>
      <c r="N29" s="32" t="str">
        <f aca="false">IF(OR(B29="",I29=""),"",IF(K29&lt;&gt;"",I29-K29,IF(J29&lt;&gt;"",I29-J29,"")))</f>
        <v/>
      </c>
      <c r="O29" s="9"/>
    </row>
    <row r="30" customFormat="false" ht="15" hidden="false" customHeight="false" outlineLevel="0" collapsed="false">
      <c r="A30" s="9"/>
      <c r="B30" s="9"/>
      <c r="C30" s="16" t="str">
        <f aca="false">IF(B30="","",IFERROR(INDEX(LOOKAHEAD!$B$5:$B$604,MATCH(B30,LOOKAHEAD!$A$5:$A$604,0)),"ID no existe"))</f>
        <v/>
      </c>
      <c r="D30" s="33" t="str">
        <f aca="false">IF(B30="","",IFERROR(INDEX(LOOKAHEAD!$I$5:$I$604,MATCH(B30,LOOKAHEAD!$A$5:$A$604,0)),""))</f>
        <v/>
      </c>
      <c r="E30" s="9"/>
      <c r="F30" s="9"/>
      <c r="G30" s="9"/>
      <c r="H30" s="43"/>
      <c r="I30" s="33" t="str">
        <f aca="false">IF(OR(D30="",D30=0),"",D30-$D$2)</f>
        <v/>
      </c>
      <c r="J30" s="43"/>
      <c r="K30" s="43"/>
      <c r="L30" s="18" t="str">
        <f aca="false">IF(B30="","",IF(K30&lt;&gt;"","Liberado","Pendiente"))</f>
        <v/>
      </c>
      <c r="M30" s="16" t="str">
        <f aca="true">IF(B30="","",IF(L30="Liberado",IF(OR(I30="",K30&lt;=I30),"A tiempo","Liberada tarde"),IF(J30="","Sin compromiso",IF(TODAY()&gt;J30,"VENCIDA",IF(AND(I30&lt;&gt;"",J30&gt;I30),"En riesgo","En gestión")))))</f>
        <v/>
      </c>
      <c r="N30" s="32" t="str">
        <f aca="false">IF(OR(B30="",I30=""),"",IF(K30&lt;&gt;"",I30-K30,IF(J30&lt;&gt;"",I30-J30,"")))</f>
        <v/>
      </c>
      <c r="O30" s="9"/>
    </row>
    <row r="31" customFormat="false" ht="15" hidden="false" customHeight="false" outlineLevel="0" collapsed="false">
      <c r="A31" s="9"/>
      <c r="B31" s="9"/>
      <c r="C31" s="16" t="str">
        <f aca="false">IF(B31="","",IFERROR(INDEX(LOOKAHEAD!$B$5:$B$604,MATCH(B31,LOOKAHEAD!$A$5:$A$604,0)),"ID no existe"))</f>
        <v/>
      </c>
      <c r="D31" s="33" t="str">
        <f aca="false">IF(B31="","",IFERROR(INDEX(LOOKAHEAD!$I$5:$I$604,MATCH(B31,LOOKAHEAD!$A$5:$A$604,0)),""))</f>
        <v/>
      </c>
      <c r="E31" s="9"/>
      <c r="F31" s="9"/>
      <c r="G31" s="9"/>
      <c r="H31" s="43"/>
      <c r="I31" s="33" t="str">
        <f aca="false">IF(OR(D31="",D31=0),"",D31-$D$2)</f>
        <v/>
      </c>
      <c r="J31" s="43"/>
      <c r="K31" s="43"/>
      <c r="L31" s="18" t="str">
        <f aca="false">IF(B31="","",IF(K31&lt;&gt;"","Liberado","Pendiente"))</f>
        <v/>
      </c>
      <c r="M31" s="16" t="str">
        <f aca="true">IF(B31="","",IF(L31="Liberado",IF(OR(I31="",K31&lt;=I31),"A tiempo","Liberada tarde"),IF(J31="","Sin compromiso",IF(TODAY()&gt;J31,"VENCIDA",IF(AND(I31&lt;&gt;"",J31&gt;I31),"En riesgo","En gestión")))))</f>
        <v/>
      </c>
      <c r="N31" s="32" t="str">
        <f aca="false">IF(OR(B31="",I31=""),"",IF(K31&lt;&gt;"",I31-K31,IF(J31&lt;&gt;"",I31-J31,"")))</f>
        <v/>
      </c>
      <c r="O31" s="9"/>
    </row>
    <row r="32" customFormat="false" ht="15" hidden="false" customHeight="false" outlineLevel="0" collapsed="false">
      <c r="A32" s="9"/>
      <c r="B32" s="9"/>
      <c r="C32" s="16" t="str">
        <f aca="false">IF(B32="","",IFERROR(INDEX(LOOKAHEAD!$B$5:$B$604,MATCH(B32,LOOKAHEAD!$A$5:$A$604,0)),"ID no existe"))</f>
        <v/>
      </c>
      <c r="D32" s="33" t="str">
        <f aca="false">IF(B32="","",IFERROR(INDEX(LOOKAHEAD!$I$5:$I$604,MATCH(B32,LOOKAHEAD!$A$5:$A$604,0)),""))</f>
        <v/>
      </c>
      <c r="E32" s="9"/>
      <c r="F32" s="9"/>
      <c r="G32" s="9"/>
      <c r="H32" s="43"/>
      <c r="I32" s="33" t="str">
        <f aca="false">IF(OR(D32="",D32=0),"",D32-$D$2)</f>
        <v/>
      </c>
      <c r="J32" s="43"/>
      <c r="K32" s="43"/>
      <c r="L32" s="18" t="str">
        <f aca="false">IF(B32="","",IF(K32&lt;&gt;"","Liberado","Pendiente"))</f>
        <v/>
      </c>
      <c r="M32" s="16" t="str">
        <f aca="true">IF(B32="","",IF(L32="Liberado",IF(OR(I32="",K32&lt;=I32),"A tiempo","Liberada tarde"),IF(J32="","Sin compromiso",IF(TODAY()&gt;J32,"VENCIDA",IF(AND(I32&lt;&gt;"",J32&gt;I32),"En riesgo","En gestión")))))</f>
        <v/>
      </c>
      <c r="N32" s="32" t="str">
        <f aca="false">IF(OR(B32="",I32=""),"",IF(K32&lt;&gt;"",I32-K32,IF(J32&lt;&gt;"",I32-J32,"")))</f>
        <v/>
      </c>
      <c r="O32" s="9"/>
    </row>
    <row r="33" customFormat="false" ht="15" hidden="false" customHeight="false" outlineLevel="0" collapsed="false">
      <c r="A33" s="9"/>
      <c r="B33" s="9"/>
      <c r="C33" s="16" t="str">
        <f aca="false">IF(B33="","",IFERROR(INDEX(LOOKAHEAD!$B$5:$B$604,MATCH(B33,LOOKAHEAD!$A$5:$A$604,0)),"ID no existe"))</f>
        <v/>
      </c>
      <c r="D33" s="33" t="str">
        <f aca="false">IF(B33="","",IFERROR(INDEX(LOOKAHEAD!$I$5:$I$604,MATCH(B33,LOOKAHEAD!$A$5:$A$604,0)),""))</f>
        <v/>
      </c>
      <c r="E33" s="9"/>
      <c r="F33" s="9"/>
      <c r="G33" s="9"/>
      <c r="H33" s="43"/>
      <c r="I33" s="33" t="str">
        <f aca="false">IF(OR(D33="",D33=0),"",D33-$D$2)</f>
        <v/>
      </c>
      <c r="J33" s="43"/>
      <c r="K33" s="43"/>
      <c r="L33" s="18" t="str">
        <f aca="false">IF(B33="","",IF(K33&lt;&gt;"","Liberado","Pendiente"))</f>
        <v/>
      </c>
      <c r="M33" s="16" t="str">
        <f aca="true">IF(B33="","",IF(L33="Liberado",IF(OR(I33="",K33&lt;=I33),"A tiempo","Liberada tarde"),IF(J33="","Sin compromiso",IF(TODAY()&gt;J33,"VENCIDA",IF(AND(I33&lt;&gt;"",J33&gt;I33),"En riesgo","En gestión")))))</f>
        <v/>
      </c>
      <c r="N33" s="32" t="str">
        <f aca="false">IF(OR(B33="",I33=""),"",IF(K33&lt;&gt;"",I33-K33,IF(J33&lt;&gt;"",I33-J33,"")))</f>
        <v/>
      </c>
      <c r="O33" s="9"/>
    </row>
    <row r="34" customFormat="false" ht="15" hidden="false" customHeight="false" outlineLevel="0" collapsed="false">
      <c r="A34" s="9"/>
      <c r="B34" s="9"/>
      <c r="C34" s="16" t="str">
        <f aca="false">IF(B34="","",IFERROR(INDEX(LOOKAHEAD!$B$5:$B$604,MATCH(B34,LOOKAHEAD!$A$5:$A$604,0)),"ID no existe"))</f>
        <v/>
      </c>
      <c r="D34" s="33" t="str">
        <f aca="false">IF(B34="","",IFERROR(INDEX(LOOKAHEAD!$I$5:$I$604,MATCH(B34,LOOKAHEAD!$A$5:$A$604,0)),""))</f>
        <v/>
      </c>
      <c r="E34" s="9"/>
      <c r="F34" s="9"/>
      <c r="G34" s="9"/>
      <c r="H34" s="43"/>
      <c r="I34" s="33" t="str">
        <f aca="false">IF(OR(D34="",D34=0),"",D34-$D$2)</f>
        <v/>
      </c>
      <c r="J34" s="43"/>
      <c r="K34" s="43"/>
      <c r="L34" s="18" t="str">
        <f aca="false">IF(B34="","",IF(K34&lt;&gt;"","Liberado","Pendiente"))</f>
        <v/>
      </c>
      <c r="M34" s="16" t="str">
        <f aca="true">IF(B34="","",IF(L34="Liberado",IF(OR(I34="",K34&lt;=I34),"A tiempo","Liberada tarde"),IF(J34="","Sin compromiso",IF(TODAY()&gt;J34,"VENCIDA",IF(AND(I34&lt;&gt;"",J34&gt;I34),"En riesgo","En gestión")))))</f>
        <v/>
      </c>
      <c r="N34" s="32" t="str">
        <f aca="false">IF(OR(B34="",I34=""),"",IF(K34&lt;&gt;"",I34-K34,IF(J34&lt;&gt;"",I34-J34,"")))</f>
        <v/>
      </c>
      <c r="O34" s="9"/>
    </row>
    <row r="35" customFormat="false" ht="15" hidden="false" customHeight="false" outlineLevel="0" collapsed="false">
      <c r="A35" s="9"/>
      <c r="B35" s="9"/>
      <c r="C35" s="16" t="str">
        <f aca="false">IF(B35="","",IFERROR(INDEX(LOOKAHEAD!$B$5:$B$604,MATCH(B35,LOOKAHEAD!$A$5:$A$604,0)),"ID no existe"))</f>
        <v/>
      </c>
      <c r="D35" s="33" t="str">
        <f aca="false">IF(B35="","",IFERROR(INDEX(LOOKAHEAD!$I$5:$I$604,MATCH(B35,LOOKAHEAD!$A$5:$A$604,0)),""))</f>
        <v/>
      </c>
      <c r="E35" s="9"/>
      <c r="F35" s="9"/>
      <c r="G35" s="9"/>
      <c r="H35" s="43"/>
      <c r="I35" s="33" t="str">
        <f aca="false">IF(OR(D35="",D35=0),"",D35-$D$2)</f>
        <v/>
      </c>
      <c r="J35" s="43"/>
      <c r="K35" s="43"/>
      <c r="L35" s="18" t="str">
        <f aca="false">IF(B35="","",IF(K35&lt;&gt;"","Liberado","Pendiente"))</f>
        <v/>
      </c>
      <c r="M35" s="16" t="str">
        <f aca="true">IF(B35="","",IF(L35="Liberado",IF(OR(I35="",K35&lt;=I35),"A tiempo","Liberada tarde"),IF(J35="","Sin compromiso",IF(TODAY()&gt;J35,"VENCIDA",IF(AND(I35&lt;&gt;"",J35&gt;I35),"En riesgo","En gestión")))))</f>
        <v/>
      </c>
      <c r="N35" s="32" t="str">
        <f aca="false">IF(OR(B35="",I35=""),"",IF(K35&lt;&gt;"",I35-K35,IF(J35&lt;&gt;"",I35-J35,"")))</f>
        <v/>
      </c>
      <c r="O35" s="9"/>
    </row>
    <row r="36" customFormat="false" ht="15" hidden="false" customHeight="false" outlineLevel="0" collapsed="false">
      <c r="A36" s="9"/>
      <c r="B36" s="9"/>
      <c r="C36" s="16" t="str">
        <f aca="false">IF(B36="","",IFERROR(INDEX(LOOKAHEAD!$B$5:$B$604,MATCH(B36,LOOKAHEAD!$A$5:$A$604,0)),"ID no existe"))</f>
        <v/>
      </c>
      <c r="D36" s="33" t="str">
        <f aca="false">IF(B36="","",IFERROR(INDEX(LOOKAHEAD!$I$5:$I$604,MATCH(B36,LOOKAHEAD!$A$5:$A$604,0)),""))</f>
        <v/>
      </c>
      <c r="E36" s="9"/>
      <c r="F36" s="9"/>
      <c r="G36" s="9"/>
      <c r="H36" s="43"/>
      <c r="I36" s="33" t="str">
        <f aca="false">IF(OR(D36="",D36=0),"",D36-$D$2)</f>
        <v/>
      </c>
      <c r="J36" s="43"/>
      <c r="K36" s="43"/>
      <c r="L36" s="18" t="str">
        <f aca="false">IF(B36="","",IF(K36&lt;&gt;"","Liberado","Pendiente"))</f>
        <v/>
      </c>
      <c r="M36" s="16" t="str">
        <f aca="true">IF(B36="","",IF(L36="Liberado",IF(OR(I36="",K36&lt;=I36),"A tiempo","Liberada tarde"),IF(J36="","Sin compromiso",IF(TODAY()&gt;J36,"VENCIDA",IF(AND(I36&lt;&gt;"",J36&gt;I36),"En riesgo","En gestión")))))</f>
        <v/>
      </c>
      <c r="N36" s="32" t="str">
        <f aca="false">IF(OR(B36="",I36=""),"",IF(K36&lt;&gt;"",I36-K36,IF(J36&lt;&gt;"",I36-J36,"")))</f>
        <v/>
      </c>
      <c r="O36" s="9"/>
    </row>
    <row r="37" customFormat="false" ht="15" hidden="false" customHeight="false" outlineLevel="0" collapsed="false">
      <c r="A37" s="9"/>
      <c r="B37" s="9"/>
      <c r="C37" s="16" t="str">
        <f aca="false">IF(B37="","",IFERROR(INDEX(LOOKAHEAD!$B$5:$B$604,MATCH(B37,LOOKAHEAD!$A$5:$A$604,0)),"ID no existe"))</f>
        <v/>
      </c>
      <c r="D37" s="33" t="str">
        <f aca="false">IF(B37="","",IFERROR(INDEX(LOOKAHEAD!$I$5:$I$604,MATCH(B37,LOOKAHEAD!$A$5:$A$604,0)),""))</f>
        <v/>
      </c>
      <c r="E37" s="9"/>
      <c r="F37" s="9"/>
      <c r="G37" s="9"/>
      <c r="H37" s="43"/>
      <c r="I37" s="33" t="str">
        <f aca="false">IF(OR(D37="",D37=0),"",D37-$D$2)</f>
        <v/>
      </c>
      <c r="J37" s="43"/>
      <c r="K37" s="43"/>
      <c r="L37" s="18" t="str">
        <f aca="false">IF(B37="","",IF(K37&lt;&gt;"","Liberado","Pendiente"))</f>
        <v/>
      </c>
      <c r="M37" s="16" t="str">
        <f aca="true">IF(B37="","",IF(L37="Liberado",IF(OR(I37="",K37&lt;=I37),"A tiempo","Liberada tarde"),IF(J37="","Sin compromiso",IF(TODAY()&gt;J37,"VENCIDA",IF(AND(I37&lt;&gt;"",J37&gt;I37),"En riesgo","En gestión")))))</f>
        <v/>
      </c>
      <c r="N37" s="32" t="str">
        <f aca="false">IF(OR(B37="",I37=""),"",IF(K37&lt;&gt;"",I37-K37,IF(J37&lt;&gt;"",I37-J37,"")))</f>
        <v/>
      </c>
      <c r="O37" s="9"/>
    </row>
    <row r="38" customFormat="false" ht="15" hidden="false" customHeight="false" outlineLevel="0" collapsed="false">
      <c r="A38" s="9"/>
      <c r="B38" s="9"/>
      <c r="C38" s="16" t="str">
        <f aca="false">IF(B38="","",IFERROR(INDEX(LOOKAHEAD!$B$5:$B$604,MATCH(B38,LOOKAHEAD!$A$5:$A$604,0)),"ID no existe"))</f>
        <v/>
      </c>
      <c r="D38" s="33" t="str">
        <f aca="false">IF(B38="","",IFERROR(INDEX(LOOKAHEAD!$I$5:$I$604,MATCH(B38,LOOKAHEAD!$A$5:$A$604,0)),""))</f>
        <v/>
      </c>
      <c r="E38" s="9"/>
      <c r="F38" s="9"/>
      <c r="G38" s="9"/>
      <c r="H38" s="43"/>
      <c r="I38" s="33" t="str">
        <f aca="false">IF(OR(D38="",D38=0),"",D38-$D$2)</f>
        <v/>
      </c>
      <c r="J38" s="43"/>
      <c r="K38" s="43"/>
      <c r="L38" s="18" t="str">
        <f aca="false">IF(B38="","",IF(K38&lt;&gt;"","Liberado","Pendiente"))</f>
        <v/>
      </c>
      <c r="M38" s="16" t="str">
        <f aca="true">IF(B38="","",IF(L38="Liberado",IF(OR(I38="",K38&lt;=I38),"A tiempo","Liberada tarde"),IF(J38="","Sin compromiso",IF(TODAY()&gt;J38,"VENCIDA",IF(AND(I38&lt;&gt;"",J38&gt;I38),"En riesgo","En gestión")))))</f>
        <v/>
      </c>
      <c r="N38" s="32" t="str">
        <f aca="false">IF(OR(B38="",I38=""),"",IF(K38&lt;&gt;"",I38-K38,IF(J38&lt;&gt;"",I38-J38,"")))</f>
        <v/>
      </c>
      <c r="O38" s="9"/>
    </row>
    <row r="39" customFormat="false" ht="15" hidden="false" customHeight="false" outlineLevel="0" collapsed="false">
      <c r="A39" s="9"/>
      <c r="B39" s="9"/>
      <c r="C39" s="16" t="str">
        <f aca="false">IF(B39="","",IFERROR(INDEX(LOOKAHEAD!$B$5:$B$604,MATCH(B39,LOOKAHEAD!$A$5:$A$604,0)),"ID no existe"))</f>
        <v/>
      </c>
      <c r="D39" s="33" t="str">
        <f aca="false">IF(B39="","",IFERROR(INDEX(LOOKAHEAD!$I$5:$I$604,MATCH(B39,LOOKAHEAD!$A$5:$A$604,0)),""))</f>
        <v/>
      </c>
      <c r="E39" s="9"/>
      <c r="F39" s="9"/>
      <c r="G39" s="9"/>
      <c r="H39" s="43"/>
      <c r="I39" s="33" t="str">
        <f aca="false">IF(OR(D39="",D39=0),"",D39-$D$2)</f>
        <v/>
      </c>
      <c r="J39" s="43"/>
      <c r="K39" s="43"/>
      <c r="L39" s="18" t="str">
        <f aca="false">IF(B39="","",IF(K39&lt;&gt;"","Liberado","Pendiente"))</f>
        <v/>
      </c>
      <c r="M39" s="16" t="str">
        <f aca="true">IF(B39="","",IF(L39="Liberado",IF(OR(I39="",K39&lt;=I39),"A tiempo","Liberada tarde"),IF(J39="","Sin compromiso",IF(TODAY()&gt;J39,"VENCIDA",IF(AND(I39&lt;&gt;"",J39&gt;I39),"En riesgo","En gestión")))))</f>
        <v/>
      </c>
      <c r="N39" s="32" t="str">
        <f aca="false">IF(OR(B39="",I39=""),"",IF(K39&lt;&gt;"",I39-K39,IF(J39&lt;&gt;"",I39-J39,"")))</f>
        <v/>
      </c>
      <c r="O39" s="9"/>
    </row>
    <row r="40" customFormat="false" ht="15" hidden="false" customHeight="false" outlineLevel="0" collapsed="false">
      <c r="A40" s="9"/>
      <c r="B40" s="9"/>
      <c r="C40" s="16" t="str">
        <f aca="false">IF(B40="","",IFERROR(INDEX(LOOKAHEAD!$B$5:$B$604,MATCH(B40,LOOKAHEAD!$A$5:$A$604,0)),"ID no existe"))</f>
        <v/>
      </c>
      <c r="D40" s="33" t="str">
        <f aca="false">IF(B40="","",IFERROR(INDEX(LOOKAHEAD!$I$5:$I$604,MATCH(B40,LOOKAHEAD!$A$5:$A$604,0)),""))</f>
        <v/>
      </c>
      <c r="E40" s="9"/>
      <c r="F40" s="9"/>
      <c r="G40" s="9"/>
      <c r="H40" s="43"/>
      <c r="I40" s="33" t="str">
        <f aca="false">IF(OR(D40="",D40=0),"",D40-$D$2)</f>
        <v/>
      </c>
      <c r="J40" s="43"/>
      <c r="K40" s="43"/>
      <c r="L40" s="18" t="str">
        <f aca="false">IF(B40="","",IF(K40&lt;&gt;"","Liberado","Pendiente"))</f>
        <v/>
      </c>
      <c r="M40" s="16" t="str">
        <f aca="true">IF(B40="","",IF(L40="Liberado",IF(OR(I40="",K40&lt;=I40),"A tiempo","Liberada tarde"),IF(J40="","Sin compromiso",IF(TODAY()&gt;J40,"VENCIDA",IF(AND(I40&lt;&gt;"",J40&gt;I40),"En riesgo","En gestión")))))</f>
        <v/>
      </c>
      <c r="N40" s="32" t="str">
        <f aca="false">IF(OR(B40="",I40=""),"",IF(K40&lt;&gt;"",I40-K40,IF(J40&lt;&gt;"",I40-J40,"")))</f>
        <v/>
      </c>
      <c r="O40" s="9"/>
    </row>
    <row r="41" customFormat="false" ht="15" hidden="false" customHeight="false" outlineLevel="0" collapsed="false">
      <c r="A41" s="9"/>
      <c r="B41" s="9"/>
      <c r="C41" s="16" t="str">
        <f aca="false">IF(B41="","",IFERROR(INDEX(LOOKAHEAD!$B$5:$B$604,MATCH(B41,LOOKAHEAD!$A$5:$A$604,0)),"ID no existe"))</f>
        <v/>
      </c>
      <c r="D41" s="33" t="str">
        <f aca="false">IF(B41="","",IFERROR(INDEX(LOOKAHEAD!$I$5:$I$604,MATCH(B41,LOOKAHEAD!$A$5:$A$604,0)),""))</f>
        <v/>
      </c>
      <c r="E41" s="9"/>
      <c r="F41" s="9"/>
      <c r="G41" s="9"/>
      <c r="H41" s="43"/>
      <c r="I41" s="33" t="str">
        <f aca="false">IF(OR(D41="",D41=0),"",D41-$D$2)</f>
        <v/>
      </c>
      <c r="J41" s="43"/>
      <c r="K41" s="43"/>
      <c r="L41" s="18" t="str">
        <f aca="false">IF(B41="","",IF(K41&lt;&gt;"","Liberado","Pendiente"))</f>
        <v/>
      </c>
      <c r="M41" s="16" t="str">
        <f aca="true">IF(B41="","",IF(L41="Liberado",IF(OR(I41="",K41&lt;=I41),"A tiempo","Liberada tarde"),IF(J41="","Sin compromiso",IF(TODAY()&gt;J41,"VENCIDA",IF(AND(I41&lt;&gt;"",J41&gt;I41),"En riesgo","En gestión")))))</f>
        <v/>
      </c>
      <c r="N41" s="32" t="str">
        <f aca="false">IF(OR(B41="",I41=""),"",IF(K41&lt;&gt;"",I41-K41,IF(J41&lt;&gt;"",I41-J41,"")))</f>
        <v/>
      </c>
      <c r="O41" s="9"/>
    </row>
    <row r="42" customFormat="false" ht="15" hidden="false" customHeight="false" outlineLevel="0" collapsed="false">
      <c r="A42" s="9"/>
      <c r="B42" s="9"/>
      <c r="C42" s="16" t="str">
        <f aca="false">IF(B42="","",IFERROR(INDEX(LOOKAHEAD!$B$5:$B$604,MATCH(B42,LOOKAHEAD!$A$5:$A$604,0)),"ID no existe"))</f>
        <v/>
      </c>
      <c r="D42" s="33" t="str">
        <f aca="false">IF(B42="","",IFERROR(INDEX(LOOKAHEAD!$I$5:$I$604,MATCH(B42,LOOKAHEAD!$A$5:$A$604,0)),""))</f>
        <v/>
      </c>
      <c r="E42" s="9"/>
      <c r="F42" s="9"/>
      <c r="G42" s="9"/>
      <c r="H42" s="43"/>
      <c r="I42" s="33" t="str">
        <f aca="false">IF(OR(D42="",D42=0),"",D42-$D$2)</f>
        <v/>
      </c>
      <c r="J42" s="43"/>
      <c r="K42" s="43"/>
      <c r="L42" s="18" t="str">
        <f aca="false">IF(B42="","",IF(K42&lt;&gt;"","Liberado","Pendiente"))</f>
        <v/>
      </c>
      <c r="M42" s="16" t="str">
        <f aca="true">IF(B42="","",IF(L42="Liberado",IF(OR(I42="",K42&lt;=I42),"A tiempo","Liberada tarde"),IF(J42="","Sin compromiso",IF(TODAY()&gt;J42,"VENCIDA",IF(AND(I42&lt;&gt;"",J42&gt;I42),"En riesgo","En gestión")))))</f>
        <v/>
      </c>
      <c r="N42" s="32" t="str">
        <f aca="false">IF(OR(B42="",I42=""),"",IF(K42&lt;&gt;"",I42-K42,IF(J42&lt;&gt;"",I42-J42,"")))</f>
        <v/>
      </c>
      <c r="O42" s="9"/>
    </row>
    <row r="43" customFormat="false" ht="15" hidden="false" customHeight="false" outlineLevel="0" collapsed="false">
      <c r="A43" s="9"/>
      <c r="B43" s="9"/>
      <c r="C43" s="16" t="str">
        <f aca="false">IF(B43="","",IFERROR(INDEX(LOOKAHEAD!$B$5:$B$604,MATCH(B43,LOOKAHEAD!$A$5:$A$604,0)),"ID no existe"))</f>
        <v/>
      </c>
      <c r="D43" s="33" t="str">
        <f aca="false">IF(B43="","",IFERROR(INDEX(LOOKAHEAD!$I$5:$I$604,MATCH(B43,LOOKAHEAD!$A$5:$A$604,0)),""))</f>
        <v/>
      </c>
      <c r="E43" s="9"/>
      <c r="F43" s="9"/>
      <c r="G43" s="9"/>
      <c r="H43" s="43"/>
      <c r="I43" s="33" t="str">
        <f aca="false">IF(OR(D43="",D43=0),"",D43-$D$2)</f>
        <v/>
      </c>
      <c r="J43" s="43"/>
      <c r="K43" s="43"/>
      <c r="L43" s="18" t="str">
        <f aca="false">IF(B43="","",IF(K43&lt;&gt;"","Liberado","Pendiente"))</f>
        <v/>
      </c>
      <c r="M43" s="16" t="str">
        <f aca="true">IF(B43="","",IF(L43="Liberado",IF(OR(I43="",K43&lt;=I43),"A tiempo","Liberada tarde"),IF(J43="","Sin compromiso",IF(TODAY()&gt;J43,"VENCIDA",IF(AND(I43&lt;&gt;"",J43&gt;I43),"En riesgo","En gestión")))))</f>
        <v/>
      </c>
      <c r="N43" s="32" t="str">
        <f aca="false">IF(OR(B43="",I43=""),"",IF(K43&lt;&gt;"",I43-K43,IF(J43&lt;&gt;"",I43-J43,"")))</f>
        <v/>
      </c>
      <c r="O43" s="9"/>
    </row>
    <row r="44" customFormat="false" ht="15" hidden="false" customHeight="false" outlineLevel="0" collapsed="false">
      <c r="A44" s="9"/>
      <c r="B44" s="9"/>
      <c r="C44" s="16" t="str">
        <f aca="false">IF(B44="","",IFERROR(INDEX(LOOKAHEAD!$B$5:$B$604,MATCH(B44,LOOKAHEAD!$A$5:$A$604,0)),"ID no existe"))</f>
        <v/>
      </c>
      <c r="D44" s="33" t="str">
        <f aca="false">IF(B44="","",IFERROR(INDEX(LOOKAHEAD!$I$5:$I$604,MATCH(B44,LOOKAHEAD!$A$5:$A$604,0)),""))</f>
        <v/>
      </c>
      <c r="E44" s="9"/>
      <c r="F44" s="9"/>
      <c r="G44" s="9"/>
      <c r="H44" s="43"/>
      <c r="I44" s="33" t="str">
        <f aca="false">IF(OR(D44="",D44=0),"",D44-$D$2)</f>
        <v/>
      </c>
      <c r="J44" s="43"/>
      <c r="K44" s="43"/>
      <c r="L44" s="18" t="str">
        <f aca="false">IF(B44="","",IF(K44&lt;&gt;"","Liberado","Pendiente"))</f>
        <v/>
      </c>
      <c r="M44" s="16" t="str">
        <f aca="true">IF(B44="","",IF(L44="Liberado",IF(OR(I44="",K44&lt;=I44),"A tiempo","Liberada tarde"),IF(J44="","Sin compromiso",IF(TODAY()&gt;J44,"VENCIDA",IF(AND(I44&lt;&gt;"",J44&gt;I44),"En riesgo","En gestión")))))</f>
        <v/>
      </c>
      <c r="N44" s="32" t="str">
        <f aca="false">IF(OR(B44="",I44=""),"",IF(K44&lt;&gt;"",I44-K44,IF(J44&lt;&gt;"",I44-J44,"")))</f>
        <v/>
      </c>
      <c r="O44" s="9"/>
    </row>
    <row r="45" customFormat="false" ht="15" hidden="false" customHeight="false" outlineLevel="0" collapsed="false">
      <c r="A45" s="9"/>
      <c r="B45" s="9"/>
      <c r="C45" s="16" t="str">
        <f aca="false">IF(B45="","",IFERROR(INDEX(LOOKAHEAD!$B$5:$B$604,MATCH(B45,LOOKAHEAD!$A$5:$A$604,0)),"ID no existe"))</f>
        <v/>
      </c>
      <c r="D45" s="33" t="str">
        <f aca="false">IF(B45="","",IFERROR(INDEX(LOOKAHEAD!$I$5:$I$604,MATCH(B45,LOOKAHEAD!$A$5:$A$604,0)),""))</f>
        <v/>
      </c>
      <c r="E45" s="9"/>
      <c r="F45" s="9"/>
      <c r="G45" s="9"/>
      <c r="H45" s="43"/>
      <c r="I45" s="33" t="str">
        <f aca="false">IF(OR(D45="",D45=0),"",D45-$D$2)</f>
        <v/>
      </c>
      <c r="J45" s="43"/>
      <c r="K45" s="43"/>
      <c r="L45" s="18" t="str">
        <f aca="false">IF(B45="","",IF(K45&lt;&gt;"","Liberado","Pendiente"))</f>
        <v/>
      </c>
      <c r="M45" s="16" t="str">
        <f aca="true">IF(B45="","",IF(L45="Liberado",IF(OR(I45="",K45&lt;=I45),"A tiempo","Liberada tarde"),IF(J45="","Sin compromiso",IF(TODAY()&gt;J45,"VENCIDA",IF(AND(I45&lt;&gt;"",J45&gt;I45),"En riesgo","En gestión")))))</f>
        <v/>
      </c>
      <c r="N45" s="32" t="str">
        <f aca="false">IF(OR(B45="",I45=""),"",IF(K45&lt;&gt;"",I45-K45,IF(J45&lt;&gt;"",I45-J45,"")))</f>
        <v/>
      </c>
      <c r="O45" s="9"/>
    </row>
    <row r="46" customFormat="false" ht="15" hidden="false" customHeight="false" outlineLevel="0" collapsed="false">
      <c r="A46" s="9"/>
      <c r="B46" s="9"/>
      <c r="C46" s="16" t="str">
        <f aca="false">IF(B46="","",IFERROR(INDEX(LOOKAHEAD!$B$5:$B$604,MATCH(B46,LOOKAHEAD!$A$5:$A$604,0)),"ID no existe"))</f>
        <v/>
      </c>
      <c r="D46" s="33" t="str">
        <f aca="false">IF(B46="","",IFERROR(INDEX(LOOKAHEAD!$I$5:$I$604,MATCH(B46,LOOKAHEAD!$A$5:$A$604,0)),""))</f>
        <v/>
      </c>
      <c r="E46" s="9"/>
      <c r="F46" s="9"/>
      <c r="G46" s="9"/>
      <c r="H46" s="43"/>
      <c r="I46" s="33" t="str">
        <f aca="false">IF(OR(D46="",D46=0),"",D46-$D$2)</f>
        <v/>
      </c>
      <c r="J46" s="43"/>
      <c r="K46" s="43"/>
      <c r="L46" s="18" t="str">
        <f aca="false">IF(B46="","",IF(K46&lt;&gt;"","Liberado","Pendiente"))</f>
        <v/>
      </c>
      <c r="M46" s="16" t="str">
        <f aca="true">IF(B46="","",IF(L46="Liberado",IF(OR(I46="",K46&lt;=I46),"A tiempo","Liberada tarde"),IF(J46="","Sin compromiso",IF(TODAY()&gt;J46,"VENCIDA",IF(AND(I46&lt;&gt;"",J46&gt;I46),"En riesgo","En gestión")))))</f>
        <v/>
      </c>
      <c r="N46" s="32" t="str">
        <f aca="false">IF(OR(B46="",I46=""),"",IF(K46&lt;&gt;"",I46-K46,IF(J46&lt;&gt;"",I46-J46,"")))</f>
        <v/>
      </c>
      <c r="O46" s="9"/>
    </row>
    <row r="47" customFormat="false" ht="15" hidden="false" customHeight="false" outlineLevel="0" collapsed="false">
      <c r="A47" s="9"/>
      <c r="B47" s="9"/>
      <c r="C47" s="16" t="str">
        <f aca="false">IF(B47="","",IFERROR(INDEX(LOOKAHEAD!$B$5:$B$604,MATCH(B47,LOOKAHEAD!$A$5:$A$604,0)),"ID no existe"))</f>
        <v/>
      </c>
      <c r="D47" s="33" t="str">
        <f aca="false">IF(B47="","",IFERROR(INDEX(LOOKAHEAD!$I$5:$I$604,MATCH(B47,LOOKAHEAD!$A$5:$A$604,0)),""))</f>
        <v/>
      </c>
      <c r="E47" s="9"/>
      <c r="F47" s="9"/>
      <c r="G47" s="9"/>
      <c r="H47" s="43"/>
      <c r="I47" s="33" t="str">
        <f aca="false">IF(OR(D47="",D47=0),"",D47-$D$2)</f>
        <v/>
      </c>
      <c r="J47" s="43"/>
      <c r="K47" s="43"/>
      <c r="L47" s="18" t="str">
        <f aca="false">IF(B47="","",IF(K47&lt;&gt;"","Liberado","Pendiente"))</f>
        <v/>
      </c>
      <c r="M47" s="16" t="str">
        <f aca="true">IF(B47="","",IF(L47="Liberado",IF(OR(I47="",K47&lt;=I47),"A tiempo","Liberada tarde"),IF(J47="","Sin compromiso",IF(TODAY()&gt;J47,"VENCIDA",IF(AND(I47&lt;&gt;"",J47&gt;I47),"En riesgo","En gestión")))))</f>
        <v/>
      </c>
      <c r="N47" s="32" t="str">
        <f aca="false">IF(OR(B47="",I47=""),"",IF(K47&lt;&gt;"",I47-K47,IF(J47&lt;&gt;"",I47-J47,"")))</f>
        <v/>
      </c>
      <c r="O47" s="9"/>
    </row>
    <row r="48" customFormat="false" ht="15" hidden="false" customHeight="false" outlineLevel="0" collapsed="false">
      <c r="A48" s="9"/>
      <c r="B48" s="9"/>
      <c r="C48" s="16" t="str">
        <f aca="false">IF(B48="","",IFERROR(INDEX(LOOKAHEAD!$B$5:$B$604,MATCH(B48,LOOKAHEAD!$A$5:$A$604,0)),"ID no existe"))</f>
        <v/>
      </c>
      <c r="D48" s="33" t="str">
        <f aca="false">IF(B48="","",IFERROR(INDEX(LOOKAHEAD!$I$5:$I$604,MATCH(B48,LOOKAHEAD!$A$5:$A$604,0)),""))</f>
        <v/>
      </c>
      <c r="E48" s="9"/>
      <c r="F48" s="9"/>
      <c r="G48" s="9"/>
      <c r="H48" s="43"/>
      <c r="I48" s="33" t="str">
        <f aca="false">IF(OR(D48="",D48=0),"",D48-$D$2)</f>
        <v/>
      </c>
      <c r="J48" s="43"/>
      <c r="K48" s="43"/>
      <c r="L48" s="18" t="str">
        <f aca="false">IF(B48="","",IF(K48&lt;&gt;"","Liberado","Pendiente"))</f>
        <v/>
      </c>
      <c r="M48" s="16" t="str">
        <f aca="true">IF(B48="","",IF(L48="Liberado",IF(OR(I48="",K48&lt;=I48),"A tiempo","Liberada tarde"),IF(J48="","Sin compromiso",IF(TODAY()&gt;J48,"VENCIDA",IF(AND(I48&lt;&gt;"",J48&gt;I48),"En riesgo","En gestión")))))</f>
        <v/>
      </c>
      <c r="N48" s="32" t="str">
        <f aca="false">IF(OR(B48="",I48=""),"",IF(K48&lt;&gt;"",I48-K48,IF(J48&lt;&gt;"",I48-J48,"")))</f>
        <v/>
      </c>
      <c r="O48" s="9"/>
    </row>
    <row r="49" customFormat="false" ht="15" hidden="false" customHeight="false" outlineLevel="0" collapsed="false">
      <c r="A49" s="9"/>
      <c r="B49" s="9"/>
      <c r="C49" s="16" t="str">
        <f aca="false">IF(B49="","",IFERROR(INDEX(LOOKAHEAD!$B$5:$B$604,MATCH(B49,LOOKAHEAD!$A$5:$A$604,0)),"ID no existe"))</f>
        <v/>
      </c>
      <c r="D49" s="33" t="str">
        <f aca="false">IF(B49="","",IFERROR(INDEX(LOOKAHEAD!$I$5:$I$604,MATCH(B49,LOOKAHEAD!$A$5:$A$604,0)),""))</f>
        <v/>
      </c>
      <c r="E49" s="9"/>
      <c r="F49" s="9"/>
      <c r="G49" s="9"/>
      <c r="H49" s="43"/>
      <c r="I49" s="33" t="str">
        <f aca="false">IF(OR(D49="",D49=0),"",D49-$D$2)</f>
        <v/>
      </c>
      <c r="J49" s="43"/>
      <c r="K49" s="43"/>
      <c r="L49" s="18" t="str">
        <f aca="false">IF(B49="","",IF(K49&lt;&gt;"","Liberado","Pendiente"))</f>
        <v/>
      </c>
      <c r="M49" s="16" t="str">
        <f aca="true">IF(B49="","",IF(L49="Liberado",IF(OR(I49="",K49&lt;=I49),"A tiempo","Liberada tarde"),IF(J49="","Sin compromiso",IF(TODAY()&gt;J49,"VENCIDA",IF(AND(I49&lt;&gt;"",J49&gt;I49),"En riesgo","En gestión")))))</f>
        <v/>
      </c>
      <c r="N49" s="32" t="str">
        <f aca="false">IF(OR(B49="",I49=""),"",IF(K49&lt;&gt;"",I49-K49,IF(J49&lt;&gt;"",I49-J49,"")))</f>
        <v/>
      </c>
      <c r="O49" s="9"/>
    </row>
    <row r="50" customFormat="false" ht="15" hidden="false" customHeight="false" outlineLevel="0" collapsed="false">
      <c r="A50" s="9"/>
      <c r="B50" s="9"/>
      <c r="C50" s="16" t="str">
        <f aca="false">IF(B50="","",IFERROR(INDEX(LOOKAHEAD!$B$5:$B$604,MATCH(B50,LOOKAHEAD!$A$5:$A$604,0)),"ID no existe"))</f>
        <v/>
      </c>
      <c r="D50" s="33" t="str">
        <f aca="false">IF(B50="","",IFERROR(INDEX(LOOKAHEAD!$I$5:$I$604,MATCH(B50,LOOKAHEAD!$A$5:$A$604,0)),""))</f>
        <v/>
      </c>
      <c r="E50" s="9"/>
      <c r="F50" s="9"/>
      <c r="G50" s="9"/>
      <c r="H50" s="43"/>
      <c r="I50" s="33" t="str">
        <f aca="false">IF(OR(D50="",D50=0),"",D50-$D$2)</f>
        <v/>
      </c>
      <c r="J50" s="43"/>
      <c r="K50" s="43"/>
      <c r="L50" s="18" t="str">
        <f aca="false">IF(B50="","",IF(K50&lt;&gt;"","Liberado","Pendiente"))</f>
        <v/>
      </c>
      <c r="M50" s="16" t="str">
        <f aca="true">IF(B50="","",IF(L50="Liberado",IF(OR(I50="",K50&lt;=I50),"A tiempo","Liberada tarde"),IF(J50="","Sin compromiso",IF(TODAY()&gt;J50,"VENCIDA",IF(AND(I50&lt;&gt;"",J50&gt;I50),"En riesgo","En gestión")))))</f>
        <v/>
      </c>
      <c r="N50" s="32" t="str">
        <f aca="false">IF(OR(B50="",I50=""),"",IF(K50&lt;&gt;"",I50-K50,IF(J50&lt;&gt;"",I50-J50,"")))</f>
        <v/>
      </c>
      <c r="O50" s="9"/>
    </row>
    <row r="51" customFormat="false" ht="15" hidden="false" customHeight="false" outlineLevel="0" collapsed="false">
      <c r="A51" s="9"/>
      <c r="B51" s="9"/>
      <c r="C51" s="16" t="str">
        <f aca="false">IF(B51="","",IFERROR(INDEX(LOOKAHEAD!$B$5:$B$604,MATCH(B51,LOOKAHEAD!$A$5:$A$604,0)),"ID no existe"))</f>
        <v/>
      </c>
      <c r="D51" s="33" t="str">
        <f aca="false">IF(B51="","",IFERROR(INDEX(LOOKAHEAD!$I$5:$I$604,MATCH(B51,LOOKAHEAD!$A$5:$A$604,0)),""))</f>
        <v/>
      </c>
      <c r="E51" s="9"/>
      <c r="F51" s="9"/>
      <c r="G51" s="9"/>
      <c r="H51" s="43"/>
      <c r="I51" s="33" t="str">
        <f aca="false">IF(OR(D51="",D51=0),"",D51-$D$2)</f>
        <v/>
      </c>
      <c r="J51" s="43"/>
      <c r="K51" s="43"/>
      <c r="L51" s="18" t="str">
        <f aca="false">IF(B51="","",IF(K51&lt;&gt;"","Liberado","Pendiente"))</f>
        <v/>
      </c>
      <c r="M51" s="16" t="str">
        <f aca="true">IF(B51="","",IF(L51="Liberado",IF(OR(I51="",K51&lt;=I51),"A tiempo","Liberada tarde"),IF(J51="","Sin compromiso",IF(TODAY()&gt;J51,"VENCIDA",IF(AND(I51&lt;&gt;"",J51&gt;I51),"En riesgo","En gestión")))))</f>
        <v/>
      </c>
      <c r="N51" s="32" t="str">
        <f aca="false">IF(OR(B51="",I51=""),"",IF(K51&lt;&gt;"",I51-K51,IF(J51&lt;&gt;"",I51-J51,"")))</f>
        <v/>
      </c>
      <c r="O51" s="9"/>
    </row>
    <row r="52" customFormat="false" ht="15" hidden="false" customHeight="false" outlineLevel="0" collapsed="false">
      <c r="A52" s="9"/>
      <c r="B52" s="9"/>
      <c r="C52" s="16" t="str">
        <f aca="false">IF(B52="","",IFERROR(INDEX(LOOKAHEAD!$B$5:$B$604,MATCH(B52,LOOKAHEAD!$A$5:$A$604,0)),"ID no existe"))</f>
        <v/>
      </c>
      <c r="D52" s="33" t="str">
        <f aca="false">IF(B52="","",IFERROR(INDEX(LOOKAHEAD!$I$5:$I$604,MATCH(B52,LOOKAHEAD!$A$5:$A$604,0)),""))</f>
        <v/>
      </c>
      <c r="E52" s="9"/>
      <c r="F52" s="9"/>
      <c r="G52" s="9"/>
      <c r="H52" s="43"/>
      <c r="I52" s="33" t="str">
        <f aca="false">IF(OR(D52="",D52=0),"",D52-$D$2)</f>
        <v/>
      </c>
      <c r="J52" s="43"/>
      <c r="K52" s="43"/>
      <c r="L52" s="18" t="str">
        <f aca="false">IF(B52="","",IF(K52&lt;&gt;"","Liberado","Pendiente"))</f>
        <v/>
      </c>
      <c r="M52" s="16" t="str">
        <f aca="true">IF(B52="","",IF(L52="Liberado",IF(OR(I52="",K52&lt;=I52),"A tiempo","Liberada tarde"),IF(J52="","Sin compromiso",IF(TODAY()&gt;J52,"VENCIDA",IF(AND(I52&lt;&gt;"",J52&gt;I52),"En riesgo","En gestión")))))</f>
        <v/>
      </c>
      <c r="N52" s="32" t="str">
        <f aca="false">IF(OR(B52="",I52=""),"",IF(K52&lt;&gt;"",I52-K52,IF(J52&lt;&gt;"",I52-J52,"")))</f>
        <v/>
      </c>
      <c r="O52" s="9"/>
    </row>
    <row r="53" customFormat="false" ht="15" hidden="false" customHeight="false" outlineLevel="0" collapsed="false">
      <c r="A53" s="9"/>
      <c r="B53" s="9"/>
      <c r="C53" s="16" t="str">
        <f aca="false">IF(B53="","",IFERROR(INDEX(LOOKAHEAD!$B$5:$B$604,MATCH(B53,LOOKAHEAD!$A$5:$A$604,0)),"ID no existe"))</f>
        <v/>
      </c>
      <c r="D53" s="33" t="str">
        <f aca="false">IF(B53="","",IFERROR(INDEX(LOOKAHEAD!$I$5:$I$604,MATCH(B53,LOOKAHEAD!$A$5:$A$604,0)),""))</f>
        <v/>
      </c>
      <c r="E53" s="9"/>
      <c r="F53" s="9"/>
      <c r="G53" s="9"/>
      <c r="H53" s="43"/>
      <c r="I53" s="33" t="str">
        <f aca="false">IF(OR(D53="",D53=0),"",D53-$D$2)</f>
        <v/>
      </c>
      <c r="J53" s="43"/>
      <c r="K53" s="43"/>
      <c r="L53" s="18" t="str">
        <f aca="false">IF(B53="","",IF(K53&lt;&gt;"","Liberado","Pendiente"))</f>
        <v/>
      </c>
      <c r="M53" s="16" t="str">
        <f aca="true">IF(B53="","",IF(L53="Liberado",IF(OR(I53="",K53&lt;=I53),"A tiempo","Liberada tarde"),IF(J53="","Sin compromiso",IF(TODAY()&gt;J53,"VENCIDA",IF(AND(I53&lt;&gt;"",J53&gt;I53),"En riesgo","En gestión")))))</f>
        <v/>
      </c>
      <c r="N53" s="32" t="str">
        <f aca="false">IF(OR(B53="",I53=""),"",IF(K53&lt;&gt;"",I53-K53,IF(J53&lt;&gt;"",I53-J53,"")))</f>
        <v/>
      </c>
      <c r="O53" s="9"/>
    </row>
    <row r="54" customFormat="false" ht="15" hidden="false" customHeight="false" outlineLevel="0" collapsed="false">
      <c r="A54" s="9"/>
      <c r="B54" s="9"/>
      <c r="C54" s="16" t="str">
        <f aca="false">IF(B54="","",IFERROR(INDEX(LOOKAHEAD!$B$5:$B$604,MATCH(B54,LOOKAHEAD!$A$5:$A$604,0)),"ID no existe"))</f>
        <v/>
      </c>
      <c r="D54" s="33" t="str">
        <f aca="false">IF(B54="","",IFERROR(INDEX(LOOKAHEAD!$I$5:$I$604,MATCH(B54,LOOKAHEAD!$A$5:$A$604,0)),""))</f>
        <v/>
      </c>
      <c r="E54" s="9"/>
      <c r="F54" s="9"/>
      <c r="G54" s="9"/>
      <c r="H54" s="43"/>
      <c r="I54" s="33" t="str">
        <f aca="false">IF(OR(D54="",D54=0),"",D54-$D$2)</f>
        <v/>
      </c>
      <c r="J54" s="43"/>
      <c r="K54" s="43"/>
      <c r="L54" s="18" t="str">
        <f aca="false">IF(B54="","",IF(K54&lt;&gt;"","Liberado","Pendiente"))</f>
        <v/>
      </c>
      <c r="M54" s="16" t="str">
        <f aca="true">IF(B54="","",IF(L54="Liberado",IF(OR(I54="",K54&lt;=I54),"A tiempo","Liberada tarde"),IF(J54="","Sin compromiso",IF(TODAY()&gt;J54,"VENCIDA",IF(AND(I54&lt;&gt;"",J54&gt;I54),"En riesgo","En gestión")))))</f>
        <v/>
      </c>
      <c r="N54" s="32" t="str">
        <f aca="false">IF(OR(B54="",I54=""),"",IF(K54&lt;&gt;"",I54-K54,IF(J54&lt;&gt;"",I54-J54,"")))</f>
        <v/>
      </c>
      <c r="O54" s="9"/>
    </row>
    <row r="55" customFormat="false" ht="15" hidden="false" customHeight="false" outlineLevel="0" collapsed="false">
      <c r="A55" s="9"/>
      <c r="B55" s="9"/>
      <c r="C55" s="16" t="str">
        <f aca="false">IF(B55="","",IFERROR(INDEX(LOOKAHEAD!$B$5:$B$604,MATCH(B55,LOOKAHEAD!$A$5:$A$604,0)),"ID no existe"))</f>
        <v/>
      </c>
      <c r="D55" s="33" t="str">
        <f aca="false">IF(B55="","",IFERROR(INDEX(LOOKAHEAD!$I$5:$I$604,MATCH(B55,LOOKAHEAD!$A$5:$A$604,0)),""))</f>
        <v/>
      </c>
      <c r="E55" s="9"/>
      <c r="F55" s="9"/>
      <c r="G55" s="9"/>
      <c r="H55" s="43"/>
      <c r="I55" s="33" t="str">
        <f aca="false">IF(OR(D55="",D55=0),"",D55-$D$2)</f>
        <v/>
      </c>
      <c r="J55" s="43"/>
      <c r="K55" s="43"/>
      <c r="L55" s="18" t="str">
        <f aca="false">IF(B55="","",IF(K55&lt;&gt;"","Liberado","Pendiente"))</f>
        <v/>
      </c>
      <c r="M55" s="16" t="str">
        <f aca="true">IF(B55="","",IF(L55="Liberado",IF(OR(I55="",K55&lt;=I55),"A tiempo","Liberada tarde"),IF(J55="","Sin compromiso",IF(TODAY()&gt;J55,"VENCIDA",IF(AND(I55&lt;&gt;"",J55&gt;I55),"En riesgo","En gestión")))))</f>
        <v/>
      </c>
      <c r="N55" s="32" t="str">
        <f aca="false">IF(OR(B55="",I55=""),"",IF(K55&lt;&gt;"",I55-K55,IF(J55&lt;&gt;"",I55-J55,"")))</f>
        <v/>
      </c>
      <c r="O55" s="9"/>
    </row>
    <row r="56" customFormat="false" ht="15" hidden="false" customHeight="false" outlineLevel="0" collapsed="false">
      <c r="A56" s="9"/>
      <c r="B56" s="9"/>
      <c r="C56" s="16" t="str">
        <f aca="false">IF(B56="","",IFERROR(INDEX(LOOKAHEAD!$B$5:$B$604,MATCH(B56,LOOKAHEAD!$A$5:$A$604,0)),"ID no existe"))</f>
        <v/>
      </c>
      <c r="D56" s="33" t="str">
        <f aca="false">IF(B56="","",IFERROR(INDEX(LOOKAHEAD!$I$5:$I$604,MATCH(B56,LOOKAHEAD!$A$5:$A$604,0)),""))</f>
        <v/>
      </c>
      <c r="E56" s="9"/>
      <c r="F56" s="9"/>
      <c r="G56" s="9"/>
      <c r="H56" s="43"/>
      <c r="I56" s="33" t="str">
        <f aca="false">IF(OR(D56="",D56=0),"",D56-$D$2)</f>
        <v/>
      </c>
      <c r="J56" s="43"/>
      <c r="K56" s="43"/>
      <c r="L56" s="18" t="str">
        <f aca="false">IF(B56="","",IF(K56&lt;&gt;"","Liberado","Pendiente"))</f>
        <v/>
      </c>
      <c r="M56" s="16" t="str">
        <f aca="true">IF(B56="","",IF(L56="Liberado",IF(OR(I56="",K56&lt;=I56),"A tiempo","Liberada tarde"),IF(J56="","Sin compromiso",IF(TODAY()&gt;J56,"VENCIDA",IF(AND(I56&lt;&gt;"",J56&gt;I56),"En riesgo","En gestión")))))</f>
        <v/>
      </c>
      <c r="N56" s="32" t="str">
        <f aca="false">IF(OR(B56="",I56=""),"",IF(K56&lt;&gt;"",I56-K56,IF(J56&lt;&gt;"",I56-J56,"")))</f>
        <v/>
      </c>
      <c r="O56" s="9"/>
    </row>
    <row r="57" customFormat="false" ht="15" hidden="false" customHeight="false" outlineLevel="0" collapsed="false">
      <c r="A57" s="9"/>
      <c r="B57" s="9"/>
      <c r="C57" s="16" t="str">
        <f aca="false">IF(B57="","",IFERROR(INDEX(LOOKAHEAD!$B$5:$B$604,MATCH(B57,LOOKAHEAD!$A$5:$A$604,0)),"ID no existe"))</f>
        <v/>
      </c>
      <c r="D57" s="33" t="str">
        <f aca="false">IF(B57="","",IFERROR(INDEX(LOOKAHEAD!$I$5:$I$604,MATCH(B57,LOOKAHEAD!$A$5:$A$604,0)),""))</f>
        <v/>
      </c>
      <c r="E57" s="9"/>
      <c r="F57" s="9"/>
      <c r="G57" s="9"/>
      <c r="H57" s="43"/>
      <c r="I57" s="33" t="str">
        <f aca="false">IF(OR(D57="",D57=0),"",D57-$D$2)</f>
        <v/>
      </c>
      <c r="J57" s="43"/>
      <c r="K57" s="43"/>
      <c r="L57" s="18" t="str">
        <f aca="false">IF(B57="","",IF(K57&lt;&gt;"","Liberado","Pendiente"))</f>
        <v/>
      </c>
      <c r="M57" s="16" t="str">
        <f aca="true">IF(B57="","",IF(L57="Liberado",IF(OR(I57="",K57&lt;=I57),"A tiempo","Liberada tarde"),IF(J57="","Sin compromiso",IF(TODAY()&gt;J57,"VENCIDA",IF(AND(I57&lt;&gt;"",J57&gt;I57),"En riesgo","En gestión")))))</f>
        <v/>
      </c>
      <c r="N57" s="32" t="str">
        <f aca="false">IF(OR(B57="",I57=""),"",IF(K57&lt;&gt;"",I57-K57,IF(J57&lt;&gt;"",I57-J57,"")))</f>
        <v/>
      </c>
      <c r="O57" s="9"/>
    </row>
    <row r="58" customFormat="false" ht="15" hidden="false" customHeight="false" outlineLevel="0" collapsed="false">
      <c r="A58" s="9"/>
      <c r="B58" s="9"/>
      <c r="C58" s="16" t="str">
        <f aca="false">IF(B58="","",IFERROR(INDEX(LOOKAHEAD!$B$5:$B$604,MATCH(B58,LOOKAHEAD!$A$5:$A$604,0)),"ID no existe"))</f>
        <v/>
      </c>
      <c r="D58" s="33" t="str">
        <f aca="false">IF(B58="","",IFERROR(INDEX(LOOKAHEAD!$I$5:$I$604,MATCH(B58,LOOKAHEAD!$A$5:$A$604,0)),""))</f>
        <v/>
      </c>
      <c r="E58" s="9"/>
      <c r="F58" s="9"/>
      <c r="G58" s="9"/>
      <c r="H58" s="43"/>
      <c r="I58" s="33" t="str">
        <f aca="false">IF(OR(D58="",D58=0),"",D58-$D$2)</f>
        <v/>
      </c>
      <c r="J58" s="43"/>
      <c r="K58" s="43"/>
      <c r="L58" s="18" t="str">
        <f aca="false">IF(B58="","",IF(K58&lt;&gt;"","Liberado","Pendiente"))</f>
        <v/>
      </c>
      <c r="M58" s="16" t="str">
        <f aca="true">IF(B58="","",IF(L58="Liberado",IF(OR(I58="",K58&lt;=I58),"A tiempo","Liberada tarde"),IF(J58="","Sin compromiso",IF(TODAY()&gt;J58,"VENCIDA",IF(AND(I58&lt;&gt;"",J58&gt;I58),"En riesgo","En gestión")))))</f>
        <v/>
      </c>
      <c r="N58" s="32" t="str">
        <f aca="false">IF(OR(B58="",I58=""),"",IF(K58&lt;&gt;"",I58-K58,IF(J58&lt;&gt;"",I58-J58,"")))</f>
        <v/>
      </c>
      <c r="O58" s="9"/>
    </row>
    <row r="59" customFormat="false" ht="15" hidden="false" customHeight="false" outlineLevel="0" collapsed="false">
      <c r="A59" s="9"/>
      <c r="B59" s="9"/>
      <c r="C59" s="16" t="str">
        <f aca="false">IF(B59="","",IFERROR(INDEX(LOOKAHEAD!$B$5:$B$604,MATCH(B59,LOOKAHEAD!$A$5:$A$604,0)),"ID no existe"))</f>
        <v/>
      </c>
      <c r="D59" s="33" t="str">
        <f aca="false">IF(B59="","",IFERROR(INDEX(LOOKAHEAD!$I$5:$I$604,MATCH(B59,LOOKAHEAD!$A$5:$A$604,0)),""))</f>
        <v/>
      </c>
      <c r="E59" s="9"/>
      <c r="F59" s="9"/>
      <c r="G59" s="9"/>
      <c r="H59" s="43"/>
      <c r="I59" s="33" t="str">
        <f aca="false">IF(OR(D59="",D59=0),"",D59-$D$2)</f>
        <v/>
      </c>
      <c r="J59" s="43"/>
      <c r="K59" s="43"/>
      <c r="L59" s="18" t="str">
        <f aca="false">IF(B59="","",IF(K59&lt;&gt;"","Liberado","Pendiente"))</f>
        <v/>
      </c>
      <c r="M59" s="16" t="str">
        <f aca="true">IF(B59="","",IF(L59="Liberado",IF(OR(I59="",K59&lt;=I59),"A tiempo","Liberada tarde"),IF(J59="","Sin compromiso",IF(TODAY()&gt;J59,"VENCIDA",IF(AND(I59&lt;&gt;"",J59&gt;I59),"En riesgo","En gestión")))))</f>
        <v/>
      </c>
      <c r="N59" s="32" t="str">
        <f aca="false">IF(OR(B59="",I59=""),"",IF(K59&lt;&gt;"",I59-K59,IF(J59&lt;&gt;"",I59-J59,"")))</f>
        <v/>
      </c>
      <c r="O59" s="9"/>
    </row>
    <row r="60" customFormat="false" ht="15" hidden="false" customHeight="false" outlineLevel="0" collapsed="false">
      <c r="A60" s="9"/>
      <c r="B60" s="9"/>
      <c r="C60" s="16" t="str">
        <f aca="false">IF(B60="","",IFERROR(INDEX(LOOKAHEAD!$B$5:$B$604,MATCH(B60,LOOKAHEAD!$A$5:$A$604,0)),"ID no existe"))</f>
        <v/>
      </c>
      <c r="D60" s="33" t="str">
        <f aca="false">IF(B60="","",IFERROR(INDEX(LOOKAHEAD!$I$5:$I$604,MATCH(B60,LOOKAHEAD!$A$5:$A$604,0)),""))</f>
        <v/>
      </c>
      <c r="E60" s="9"/>
      <c r="F60" s="9"/>
      <c r="G60" s="9"/>
      <c r="H60" s="43"/>
      <c r="I60" s="33" t="str">
        <f aca="false">IF(OR(D60="",D60=0),"",D60-$D$2)</f>
        <v/>
      </c>
      <c r="J60" s="43"/>
      <c r="K60" s="43"/>
      <c r="L60" s="18" t="str">
        <f aca="false">IF(B60="","",IF(K60&lt;&gt;"","Liberado","Pendiente"))</f>
        <v/>
      </c>
      <c r="M60" s="16" t="str">
        <f aca="true">IF(B60="","",IF(L60="Liberado",IF(OR(I60="",K60&lt;=I60),"A tiempo","Liberada tarde"),IF(J60="","Sin compromiso",IF(TODAY()&gt;J60,"VENCIDA",IF(AND(I60&lt;&gt;"",J60&gt;I60),"En riesgo","En gestión")))))</f>
        <v/>
      </c>
      <c r="N60" s="32" t="str">
        <f aca="false">IF(OR(B60="",I60=""),"",IF(K60&lt;&gt;"",I60-K60,IF(J60&lt;&gt;"",I60-J60,"")))</f>
        <v/>
      </c>
      <c r="O60" s="9"/>
    </row>
    <row r="61" customFormat="false" ht="15" hidden="false" customHeight="false" outlineLevel="0" collapsed="false">
      <c r="A61" s="9"/>
      <c r="B61" s="9"/>
      <c r="C61" s="16" t="str">
        <f aca="false">IF(B61="","",IFERROR(INDEX(LOOKAHEAD!$B$5:$B$604,MATCH(B61,LOOKAHEAD!$A$5:$A$604,0)),"ID no existe"))</f>
        <v/>
      </c>
      <c r="D61" s="33" t="str">
        <f aca="false">IF(B61="","",IFERROR(INDEX(LOOKAHEAD!$I$5:$I$604,MATCH(B61,LOOKAHEAD!$A$5:$A$604,0)),""))</f>
        <v/>
      </c>
      <c r="E61" s="9"/>
      <c r="F61" s="9"/>
      <c r="G61" s="9"/>
      <c r="H61" s="43"/>
      <c r="I61" s="33" t="str">
        <f aca="false">IF(OR(D61="",D61=0),"",D61-$D$2)</f>
        <v/>
      </c>
      <c r="J61" s="43"/>
      <c r="K61" s="43"/>
      <c r="L61" s="18" t="str">
        <f aca="false">IF(B61="","",IF(K61&lt;&gt;"","Liberado","Pendiente"))</f>
        <v/>
      </c>
      <c r="M61" s="16" t="str">
        <f aca="true">IF(B61="","",IF(L61="Liberado",IF(OR(I61="",K61&lt;=I61),"A tiempo","Liberada tarde"),IF(J61="","Sin compromiso",IF(TODAY()&gt;J61,"VENCIDA",IF(AND(I61&lt;&gt;"",J61&gt;I61),"En riesgo","En gestión")))))</f>
        <v/>
      </c>
      <c r="N61" s="32" t="str">
        <f aca="false">IF(OR(B61="",I61=""),"",IF(K61&lt;&gt;"",I61-K61,IF(J61&lt;&gt;"",I61-J61,"")))</f>
        <v/>
      </c>
      <c r="O61" s="9"/>
    </row>
    <row r="62" customFormat="false" ht="15" hidden="false" customHeight="false" outlineLevel="0" collapsed="false">
      <c r="A62" s="9"/>
      <c r="B62" s="9"/>
      <c r="C62" s="16" t="str">
        <f aca="false">IF(B62="","",IFERROR(INDEX(LOOKAHEAD!$B$5:$B$604,MATCH(B62,LOOKAHEAD!$A$5:$A$604,0)),"ID no existe"))</f>
        <v/>
      </c>
      <c r="D62" s="33" t="str">
        <f aca="false">IF(B62="","",IFERROR(INDEX(LOOKAHEAD!$I$5:$I$604,MATCH(B62,LOOKAHEAD!$A$5:$A$604,0)),""))</f>
        <v/>
      </c>
      <c r="E62" s="9"/>
      <c r="F62" s="9"/>
      <c r="G62" s="9"/>
      <c r="H62" s="43"/>
      <c r="I62" s="33" t="str">
        <f aca="false">IF(OR(D62="",D62=0),"",D62-$D$2)</f>
        <v/>
      </c>
      <c r="J62" s="43"/>
      <c r="K62" s="43"/>
      <c r="L62" s="18" t="str">
        <f aca="false">IF(B62="","",IF(K62&lt;&gt;"","Liberado","Pendiente"))</f>
        <v/>
      </c>
      <c r="M62" s="16" t="str">
        <f aca="true">IF(B62="","",IF(L62="Liberado",IF(OR(I62="",K62&lt;=I62),"A tiempo","Liberada tarde"),IF(J62="","Sin compromiso",IF(TODAY()&gt;J62,"VENCIDA",IF(AND(I62&lt;&gt;"",J62&gt;I62),"En riesgo","En gestión")))))</f>
        <v/>
      </c>
      <c r="N62" s="32" t="str">
        <f aca="false">IF(OR(B62="",I62=""),"",IF(K62&lt;&gt;"",I62-K62,IF(J62&lt;&gt;"",I62-J62,"")))</f>
        <v/>
      </c>
      <c r="O62" s="9"/>
    </row>
    <row r="63" customFormat="false" ht="15" hidden="false" customHeight="false" outlineLevel="0" collapsed="false">
      <c r="A63" s="9"/>
      <c r="B63" s="9"/>
      <c r="C63" s="16" t="str">
        <f aca="false">IF(B63="","",IFERROR(INDEX(LOOKAHEAD!$B$5:$B$604,MATCH(B63,LOOKAHEAD!$A$5:$A$604,0)),"ID no existe"))</f>
        <v/>
      </c>
      <c r="D63" s="33" t="str">
        <f aca="false">IF(B63="","",IFERROR(INDEX(LOOKAHEAD!$I$5:$I$604,MATCH(B63,LOOKAHEAD!$A$5:$A$604,0)),""))</f>
        <v/>
      </c>
      <c r="E63" s="9"/>
      <c r="F63" s="9"/>
      <c r="G63" s="9"/>
      <c r="H63" s="43"/>
      <c r="I63" s="33" t="str">
        <f aca="false">IF(OR(D63="",D63=0),"",D63-$D$2)</f>
        <v/>
      </c>
      <c r="J63" s="43"/>
      <c r="K63" s="43"/>
      <c r="L63" s="18" t="str">
        <f aca="false">IF(B63="","",IF(K63&lt;&gt;"","Liberado","Pendiente"))</f>
        <v/>
      </c>
      <c r="M63" s="16" t="str">
        <f aca="true">IF(B63="","",IF(L63="Liberado",IF(OR(I63="",K63&lt;=I63),"A tiempo","Liberada tarde"),IF(J63="","Sin compromiso",IF(TODAY()&gt;J63,"VENCIDA",IF(AND(I63&lt;&gt;"",J63&gt;I63),"En riesgo","En gestión")))))</f>
        <v/>
      </c>
      <c r="N63" s="32" t="str">
        <f aca="false">IF(OR(B63="",I63=""),"",IF(K63&lt;&gt;"",I63-K63,IF(J63&lt;&gt;"",I63-J63,"")))</f>
        <v/>
      </c>
      <c r="O63" s="9"/>
    </row>
    <row r="64" customFormat="false" ht="15" hidden="false" customHeight="false" outlineLevel="0" collapsed="false">
      <c r="A64" s="9"/>
      <c r="B64" s="9"/>
      <c r="C64" s="16" t="str">
        <f aca="false">IF(B64="","",IFERROR(INDEX(LOOKAHEAD!$B$5:$B$604,MATCH(B64,LOOKAHEAD!$A$5:$A$604,0)),"ID no existe"))</f>
        <v/>
      </c>
      <c r="D64" s="33" t="str">
        <f aca="false">IF(B64="","",IFERROR(INDEX(LOOKAHEAD!$I$5:$I$604,MATCH(B64,LOOKAHEAD!$A$5:$A$604,0)),""))</f>
        <v/>
      </c>
      <c r="E64" s="9"/>
      <c r="F64" s="9"/>
      <c r="G64" s="9"/>
      <c r="H64" s="43"/>
      <c r="I64" s="33" t="str">
        <f aca="false">IF(OR(D64="",D64=0),"",D64-$D$2)</f>
        <v/>
      </c>
      <c r="J64" s="43"/>
      <c r="K64" s="43"/>
      <c r="L64" s="18" t="str">
        <f aca="false">IF(B64="","",IF(K64&lt;&gt;"","Liberado","Pendiente"))</f>
        <v/>
      </c>
      <c r="M64" s="16" t="str">
        <f aca="true">IF(B64="","",IF(L64="Liberado",IF(OR(I64="",K64&lt;=I64),"A tiempo","Liberada tarde"),IF(J64="","Sin compromiso",IF(TODAY()&gt;J64,"VENCIDA",IF(AND(I64&lt;&gt;"",J64&gt;I64),"En riesgo","En gestión")))))</f>
        <v/>
      </c>
      <c r="N64" s="32" t="str">
        <f aca="false">IF(OR(B64="",I64=""),"",IF(K64&lt;&gt;"",I64-K64,IF(J64&lt;&gt;"",I64-J64,"")))</f>
        <v/>
      </c>
      <c r="O64" s="9"/>
    </row>
    <row r="65" customFormat="false" ht="15" hidden="false" customHeight="false" outlineLevel="0" collapsed="false">
      <c r="A65" s="9"/>
      <c r="B65" s="9"/>
      <c r="C65" s="16" t="str">
        <f aca="false">IF(B65="","",IFERROR(INDEX(LOOKAHEAD!$B$5:$B$604,MATCH(B65,LOOKAHEAD!$A$5:$A$604,0)),"ID no existe"))</f>
        <v/>
      </c>
      <c r="D65" s="33" t="str">
        <f aca="false">IF(B65="","",IFERROR(INDEX(LOOKAHEAD!$I$5:$I$604,MATCH(B65,LOOKAHEAD!$A$5:$A$604,0)),""))</f>
        <v/>
      </c>
      <c r="E65" s="9"/>
      <c r="F65" s="9"/>
      <c r="G65" s="9"/>
      <c r="H65" s="43"/>
      <c r="I65" s="33" t="str">
        <f aca="false">IF(OR(D65="",D65=0),"",D65-$D$2)</f>
        <v/>
      </c>
      <c r="J65" s="43"/>
      <c r="K65" s="43"/>
      <c r="L65" s="18" t="str">
        <f aca="false">IF(B65="","",IF(K65&lt;&gt;"","Liberado","Pendiente"))</f>
        <v/>
      </c>
      <c r="M65" s="16" t="str">
        <f aca="true">IF(B65="","",IF(L65="Liberado",IF(OR(I65="",K65&lt;=I65),"A tiempo","Liberada tarde"),IF(J65="","Sin compromiso",IF(TODAY()&gt;J65,"VENCIDA",IF(AND(I65&lt;&gt;"",J65&gt;I65),"En riesgo","En gestión")))))</f>
        <v/>
      </c>
      <c r="N65" s="32" t="str">
        <f aca="false">IF(OR(B65="",I65=""),"",IF(K65&lt;&gt;"",I65-K65,IF(J65&lt;&gt;"",I65-J65,"")))</f>
        <v/>
      </c>
      <c r="O65" s="9"/>
    </row>
    <row r="66" customFormat="false" ht="15" hidden="false" customHeight="false" outlineLevel="0" collapsed="false">
      <c r="A66" s="9"/>
      <c r="B66" s="9"/>
      <c r="C66" s="16" t="str">
        <f aca="false">IF(B66="","",IFERROR(INDEX(LOOKAHEAD!$B$5:$B$604,MATCH(B66,LOOKAHEAD!$A$5:$A$604,0)),"ID no existe"))</f>
        <v/>
      </c>
      <c r="D66" s="33" t="str">
        <f aca="false">IF(B66="","",IFERROR(INDEX(LOOKAHEAD!$I$5:$I$604,MATCH(B66,LOOKAHEAD!$A$5:$A$604,0)),""))</f>
        <v/>
      </c>
      <c r="E66" s="9"/>
      <c r="F66" s="9"/>
      <c r="G66" s="9"/>
      <c r="H66" s="43"/>
      <c r="I66" s="33" t="str">
        <f aca="false">IF(OR(D66="",D66=0),"",D66-$D$2)</f>
        <v/>
      </c>
      <c r="J66" s="43"/>
      <c r="K66" s="43"/>
      <c r="L66" s="18" t="str">
        <f aca="false">IF(B66="","",IF(K66&lt;&gt;"","Liberado","Pendiente"))</f>
        <v/>
      </c>
      <c r="M66" s="16" t="str">
        <f aca="true">IF(B66="","",IF(L66="Liberado",IF(OR(I66="",K66&lt;=I66),"A tiempo","Liberada tarde"),IF(J66="","Sin compromiso",IF(TODAY()&gt;J66,"VENCIDA",IF(AND(I66&lt;&gt;"",J66&gt;I66),"En riesgo","En gestión")))))</f>
        <v/>
      </c>
      <c r="N66" s="32" t="str">
        <f aca="false">IF(OR(B66="",I66=""),"",IF(K66&lt;&gt;"",I66-K66,IF(J66&lt;&gt;"",I66-J66,"")))</f>
        <v/>
      </c>
      <c r="O66" s="9"/>
    </row>
    <row r="67" customFormat="false" ht="15" hidden="false" customHeight="false" outlineLevel="0" collapsed="false">
      <c r="A67" s="9"/>
      <c r="B67" s="9"/>
      <c r="C67" s="16" t="str">
        <f aca="false">IF(B67="","",IFERROR(INDEX(LOOKAHEAD!$B$5:$B$604,MATCH(B67,LOOKAHEAD!$A$5:$A$604,0)),"ID no existe"))</f>
        <v/>
      </c>
      <c r="D67" s="33" t="str">
        <f aca="false">IF(B67="","",IFERROR(INDEX(LOOKAHEAD!$I$5:$I$604,MATCH(B67,LOOKAHEAD!$A$5:$A$604,0)),""))</f>
        <v/>
      </c>
      <c r="E67" s="9"/>
      <c r="F67" s="9"/>
      <c r="G67" s="9"/>
      <c r="H67" s="43"/>
      <c r="I67" s="33" t="str">
        <f aca="false">IF(OR(D67="",D67=0),"",D67-$D$2)</f>
        <v/>
      </c>
      <c r="J67" s="43"/>
      <c r="K67" s="43"/>
      <c r="L67" s="18" t="str">
        <f aca="false">IF(B67="","",IF(K67&lt;&gt;"","Liberado","Pendiente"))</f>
        <v/>
      </c>
      <c r="M67" s="16" t="str">
        <f aca="true">IF(B67="","",IF(L67="Liberado",IF(OR(I67="",K67&lt;=I67),"A tiempo","Liberada tarde"),IF(J67="","Sin compromiso",IF(TODAY()&gt;J67,"VENCIDA",IF(AND(I67&lt;&gt;"",J67&gt;I67),"En riesgo","En gestión")))))</f>
        <v/>
      </c>
      <c r="N67" s="32" t="str">
        <f aca="false">IF(OR(B67="",I67=""),"",IF(K67&lt;&gt;"",I67-K67,IF(J67&lt;&gt;"",I67-J67,"")))</f>
        <v/>
      </c>
      <c r="O67" s="9"/>
    </row>
    <row r="68" customFormat="false" ht="15" hidden="false" customHeight="false" outlineLevel="0" collapsed="false">
      <c r="A68" s="9"/>
      <c r="B68" s="9"/>
      <c r="C68" s="16" t="str">
        <f aca="false">IF(B68="","",IFERROR(INDEX(LOOKAHEAD!$B$5:$B$604,MATCH(B68,LOOKAHEAD!$A$5:$A$604,0)),"ID no existe"))</f>
        <v/>
      </c>
      <c r="D68" s="33" t="str">
        <f aca="false">IF(B68="","",IFERROR(INDEX(LOOKAHEAD!$I$5:$I$604,MATCH(B68,LOOKAHEAD!$A$5:$A$604,0)),""))</f>
        <v/>
      </c>
      <c r="E68" s="9"/>
      <c r="F68" s="9"/>
      <c r="G68" s="9"/>
      <c r="H68" s="43"/>
      <c r="I68" s="33" t="str">
        <f aca="false">IF(OR(D68="",D68=0),"",D68-$D$2)</f>
        <v/>
      </c>
      <c r="J68" s="43"/>
      <c r="K68" s="43"/>
      <c r="L68" s="18" t="str">
        <f aca="false">IF(B68="","",IF(K68&lt;&gt;"","Liberado","Pendiente"))</f>
        <v/>
      </c>
      <c r="M68" s="16" t="str">
        <f aca="true">IF(B68="","",IF(L68="Liberado",IF(OR(I68="",K68&lt;=I68),"A tiempo","Liberada tarde"),IF(J68="","Sin compromiso",IF(TODAY()&gt;J68,"VENCIDA",IF(AND(I68&lt;&gt;"",J68&gt;I68),"En riesgo","En gestión")))))</f>
        <v/>
      </c>
      <c r="N68" s="32" t="str">
        <f aca="false">IF(OR(B68="",I68=""),"",IF(K68&lt;&gt;"",I68-K68,IF(J68&lt;&gt;"",I68-J68,"")))</f>
        <v/>
      </c>
      <c r="O68" s="9"/>
    </row>
    <row r="69" customFormat="false" ht="15" hidden="false" customHeight="false" outlineLevel="0" collapsed="false">
      <c r="A69" s="9"/>
      <c r="B69" s="9"/>
      <c r="C69" s="16" t="str">
        <f aca="false">IF(B69="","",IFERROR(INDEX(LOOKAHEAD!$B$5:$B$604,MATCH(B69,LOOKAHEAD!$A$5:$A$604,0)),"ID no existe"))</f>
        <v/>
      </c>
      <c r="D69" s="33" t="str">
        <f aca="false">IF(B69="","",IFERROR(INDEX(LOOKAHEAD!$I$5:$I$604,MATCH(B69,LOOKAHEAD!$A$5:$A$604,0)),""))</f>
        <v/>
      </c>
      <c r="E69" s="9"/>
      <c r="F69" s="9"/>
      <c r="G69" s="9"/>
      <c r="H69" s="43"/>
      <c r="I69" s="33" t="str">
        <f aca="false">IF(OR(D69="",D69=0),"",D69-$D$2)</f>
        <v/>
      </c>
      <c r="J69" s="43"/>
      <c r="K69" s="43"/>
      <c r="L69" s="18" t="str">
        <f aca="false">IF(B69="","",IF(K69&lt;&gt;"","Liberado","Pendiente"))</f>
        <v/>
      </c>
      <c r="M69" s="16" t="str">
        <f aca="true">IF(B69="","",IF(L69="Liberado",IF(OR(I69="",K69&lt;=I69),"A tiempo","Liberada tarde"),IF(J69="","Sin compromiso",IF(TODAY()&gt;J69,"VENCIDA",IF(AND(I69&lt;&gt;"",J69&gt;I69),"En riesgo","En gestión")))))</f>
        <v/>
      </c>
      <c r="N69" s="32" t="str">
        <f aca="false">IF(OR(B69="",I69=""),"",IF(K69&lt;&gt;"",I69-K69,IF(J69&lt;&gt;"",I69-J69,"")))</f>
        <v/>
      </c>
      <c r="O69" s="9"/>
    </row>
    <row r="70" customFormat="false" ht="15" hidden="false" customHeight="false" outlineLevel="0" collapsed="false">
      <c r="A70" s="9"/>
      <c r="B70" s="9"/>
      <c r="C70" s="16" t="str">
        <f aca="false">IF(B70="","",IFERROR(INDEX(LOOKAHEAD!$B$5:$B$604,MATCH(B70,LOOKAHEAD!$A$5:$A$604,0)),"ID no existe"))</f>
        <v/>
      </c>
      <c r="D70" s="33" t="str">
        <f aca="false">IF(B70="","",IFERROR(INDEX(LOOKAHEAD!$I$5:$I$604,MATCH(B70,LOOKAHEAD!$A$5:$A$604,0)),""))</f>
        <v/>
      </c>
      <c r="E70" s="9"/>
      <c r="F70" s="9"/>
      <c r="G70" s="9"/>
      <c r="H70" s="43"/>
      <c r="I70" s="33" t="str">
        <f aca="false">IF(OR(D70="",D70=0),"",D70-$D$2)</f>
        <v/>
      </c>
      <c r="J70" s="43"/>
      <c r="K70" s="43"/>
      <c r="L70" s="18" t="str">
        <f aca="false">IF(B70="","",IF(K70&lt;&gt;"","Liberado","Pendiente"))</f>
        <v/>
      </c>
      <c r="M70" s="16" t="str">
        <f aca="true">IF(B70="","",IF(L70="Liberado",IF(OR(I70="",K70&lt;=I70),"A tiempo","Liberada tarde"),IF(J70="","Sin compromiso",IF(TODAY()&gt;J70,"VENCIDA",IF(AND(I70&lt;&gt;"",J70&gt;I70),"En riesgo","En gestión")))))</f>
        <v/>
      </c>
      <c r="N70" s="32" t="str">
        <f aca="false">IF(OR(B70="",I70=""),"",IF(K70&lt;&gt;"",I70-K70,IF(J70&lt;&gt;"",I70-J70,"")))</f>
        <v/>
      </c>
      <c r="O70" s="9"/>
    </row>
    <row r="71" customFormat="false" ht="15" hidden="false" customHeight="false" outlineLevel="0" collapsed="false">
      <c r="A71" s="9"/>
      <c r="B71" s="9"/>
      <c r="C71" s="16" t="str">
        <f aca="false">IF(B71="","",IFERROR(INDEX(LOOKAHEAD!$B$5:$B$604,MATCH(B71,LOOKAHEAD!$A$5:$A$604,0)),"ID no existe"))</f>
        <v/>
      </c>
      <c r="D71" s="33" t="str">
        <f aca="false">IF(B71="","",IFERROR(INDEX(LOOKAHEAD!$I$5:$I$604,MATCH(B71,LOOKAHEAD!$A$5:$A$604,0)),""))</f>
        <v/>
      </c>
      <c r="E71" s="9"/>
      <c r="F71" s="9"/>
      <c r="G71" s="9"/>
      <c r="H71" s="43"/>
      <c r="I71" s="33" t="str">
        <f aca="false">IF(OR(D71="",D71=0),"",D71-$D$2)</f>
        <v/>
      </c>
      <c r="J71" s="43"/>
      <c r="K71" s="43"/>
      <c r="L71" s="18" t="str">
        <f aca="false">IF(B71="","",IF(K71&lt;&gt;"","Liberado","Pendiente"))</f>
        <v/>
      </c>
      <c r="M71" s="16" t="str">
        <f aca="true">IF(B71="","",IF(L71="Liberado",IF(OR(I71="",K71&lt;=I71),"A tiempo","Liberada tarde"),IF(J71="","Sin compromiso",IF(TODAY()&gt;J71,"VENCIDA",IF(AND(I71&lt;&gt;"",J71&gt;I71),"En riesgo","En gestión")))))</f>
        <v/>
      </c>
      <c r="N71" s="32" t="str">
        <f aca="false">IF(OR(B71="",I71=""),"",IF(K71&lt;&gt;"",I71-K71,IF(J71&lt;&gt;"",I71-J71,"")))</f>
        <v/>
      </c>
      <c r="O71" s="9"/>
    </row>
    <row r="72" customFormat="false" ht="15" hidden="false" customHeight="false" outlineLevel="0" collapsed="false">
      <c r="A72" s="9"/>
      <c r="B72" s="9"/>
      <c r="C72" s="16" t="str">
        <f aca="false">IF(B72="","",IFERROR(INDEX(LOOKAHEAD!$B$5:$B$604,MATCH(B72,LOOKAHEAD!$A$5:$A$604,0)),"ID no existe"))</f>
        <v/>
      </c>
      <c r="D72" s="33" t="str">
        <f aca="false">IF(B72="","",IFERROR(INDEX(LOOKAHEAD!$I$5:$I$604,MATCH(B72,LOOKAHEAD!$A$5:$A$604,0)),""))</f>
        <v/>
      </c>
      <c r="E72" s="9"/>
      <c r="F72" s="9"/>
      <c r="G72" s="9"/>
      <c r="H72" s="43"/>
      <c r="I72" s="33" t="str">
        <f aca="false">IF(OR(D72="",D72=0),"",D72-$D$2)</f>
        <v/>
      </c>
      <c r="J72" s="43"/>
      <c r="K72" s="43"/>
      <c r="L72" s="18" t="str">
        <f aca="false">IF(B72="","",IF(K72&lt;&gt;"","Liberado","Pendiente"))</f>
        <v/>
      </c>
      <c r="M72" s="16" t="str">
        <f aca="true">IF(B72="","",IF(L72="Liberado",IF(OR(I72="",K72&lt;=I72),"A tiempo","Liberada tarde"),IF(J72="","Sin compromiso",IF(TODAY()&gt;J72,"VENCIDA",IF(AND(I72&lt;&gt;"",J72&gt;I72),"En riesgo","En gestión")))))</f>
        <v/>
      </c>
      <c r="N72" s="32" t="str">
        <f aca="false">IF(OR(B72="",I72=""),"",IF(K72&lt;&gt;"",I72-K72,IF(J72&lt;&gt;"",I72-J72,"")))</f>
        <v/>
      </c>
      <c r="O72" s="9"/>
    </row>
    <row r="73" customFormat="false" ht="15" hidden="false" customHeight="false" outlineLevel="0" collapsed="false">
      <c r="A73" s="9"/>
      <c r="B73" s="9"/>
      <c r="C73" s="16" t="str">
        <f aca="false">IF(B73="","",IFERROR(INDEX(LOOKAHEAD!$B$5:$B$604,MATCH(B73,LOOKAHEAD!$A$5:$A$604,0)),"ID no existe"))</f>
        <v/>
      </c>
      <c r="D73" s="33" t="str">
        <f aca="false">IF(B73="","",IFERROR(INDEX(LOOKAHEAD!$I$5:$I$604,MATCH(B73,LOOKAHEAD!$A$5:$A$604,0)),""))</f>
        <v/>
      </c>
      <c r="E73" s="9"/>
      <c r="F73" s="9"/>
      <c r="G73" s="9"/>
      <c r="H73" s="43"/>
      <c r="I73" s="33" t="str">
        <f aca="false">IF(OR(D73="",D73=0),"",D73-$D$2)</f>
        <v/>
      </c>
      <c r="J73" s="43"/>
      <c r="K73" s="43"/>
      <c r="L73" s="18" t="str">
        <f aca="false">IF(B73="","",IF(K73&lt;&gt;"","Liberado","Pendiente"))</f>
        <v/>
      </c>
      <c r="M73" s="16" t="str">
        <f aca="true">IF(B73="","",IF(L73="Liberado",IF(OR(I73="",K73&lt;=I73),"A tiempo","Liberada tarde"),IF(J73="","Sin compromiso",IF(TODAY()&gt;J73,"VENCIDA",IF(AND(I73&lt;&gt;"",J73&gt;I73),"En riesgo","En gestión")))))</f>
        <v/>
      </c>
      <c r="N73" s="32" t="str">
        <f aca="false">IF(OR(B73="",I73=""),"",IF(K73&lt;&gt;"",I73-K73,IF(J73&lt;&gt;"",I73-J73,"")))</f>
        <v/>
      </c>
      <c r="O73" s="9"/>
    </row>
    <row r="74" customFormat="false" ht="15" hidden="false" customHeight="false" outlineLevel="0" collapsed="false">
      <c r="A74" s="9"/>
      <c r="B74" s="9"/>
      <c r="C74" s="16" t="str">
        <f aca="false">IF(B74="","",IFERROR(INDEX(LOOKAHEAD!$B$5:$B$604,MATCH(B74,LOOKAHEAD!$A$5:$A$604,0)),"ID no existe"))</f>
        <v/>
      </c>
      <c r="D74" s="33" t="str">
        <f aca="false">IF(B74="","",IFERROR(INDEX(LOOKAHEAD!$I$5:$I$604,MATCH(B74,LOOKAHEAD!$A$5:$A$604,0)),""))</f>
        <v/>
      </c>
      <c r="E74" s="9"/>
      <c r="F74" s="9"/>
      <c r="G74" s="9"/>
      <c r="H74" s="43"/>
      <c r="I74" s="33" t="str">
        <f aca="false">IF(OR(D74="",D74=0),"",D74-$D$2)</f>
        <v/>
      </c>
      <c r="J74" s="43"/>
      <c r="K74" s="43"/>
      <c r="L74" s="18" t="str">
        <f aca="false">IF(B74="","",IF(K74&lt;&gt;"","Liberado","Pendiente"))</f>
        <v/>
      </c>
      <c r="M74" s="16" t="str">
        <f aca="true">IF(B74="","",IF(L74="Liberado",IF(OR(I74="",K74&lt;=I74),"A tiempo","Liberada tarde"),IF(J74="","Sin compromiso",IF(TODAY()&gt;J74,"VENCIDA",IF(AND(I74&lt;&gt;"",J74&gt;I74),"En riesgo","En gestión")))))</f>
        <v/>
      </c>
      <c r="N74" s="32" t="str">
        <f aca="false">IF(OR(B74="",I74=""),"",IF(K74&lt;&gt;"",I74-K74,IF(J74&lt;&gt;"",I74-J74,"")))</f>
        <v/>
      </c>
      <c r="O74" s="9"/>
    </row>
    <row r="75" customFormat="false" ht="15" hidden="false" customHeight="false" outlineLevel="0" collapsed="false">
      <c r="A75" s="9"/>
      <c r="B75" s="9"/>
      <c r="C75" s="16" t="str">
        <f aca="false">IF(B75="","",IFERROR(INDEX(LOOKAHEAD!$B$5:$B$604,MATCH(B75,LOOKAHEAD!$A$5:$A$604,0)),"ID no existe"))</f>
        <v/>
      </c>
      <c r="D75" s="33" t="str">
        <f aca="false">IF(B75="","",IFERROR(INDEX(LOOKAHEAD!$I$5:$I$604,MATCH(B75,LOOKAHEAD!$A$5:$A$604,0)),""))</f>
        <v/>
      </c>
      <c r="E75" s="9"/>
      <c r="F75" s="9"/>
      <c r="G75" s="9"/>
      <c r="H75" s="43"/>
      <c r="I75" s="33" t="str">
        <f aca="false">IF(OR(D75="",D75=0),"",D75-$D$2)</f>
        <v/>
      </c>
      <c r="J75" s="43"/>
      <c r="K75" s="43"/>
      <c r="L75" s="18" t="str">
        <f aca="false">IF(B75="","",IF(K75&lt;&gt;"","Liberado","Pendiente"))</f>
        <v/>
      </c>
      <c r="M75" s="16" t="str">
        <f aca="true">IF(B75="","",IF(L75="Liberado",IF(OR(I75="",K75&lt;=I75),"A tiempo","Liberada tarde"),IF(J75="","Sin compromiso",IF(TODAY()&gt;J75,"VENCIDA",IF(AND(I75&lt;&gt;"",J75&gt;I75),"En riesgo","En gestión")))))</f>
        <v/>
      </c>
      <c r="N75" s="32" t="str">
        <f aca="false">IF(OR(B75="",I75=""),"",IF(K75&lt;&gt;"",I75-K75,IF(J75&lt;&gt;"",I75-J75,"")))</f>
        <v/>
      </c>
      <c r="O75" s="9"/>
    </row>
    <row r="76" customFormat="false" ht="15" hidden="false" customHeight="false" outlineLevel="0" collapsed="false">
      <c r="A76" s="9"/>
      <c r="B76" s="9"/>
      <c r="C76" s="16" t="str">
        <f aca="false">IF(B76="","",IFERROR(INDEX(LOOKAHEAD!$B$5:$B$604,MATCH(B76,LOOKAHEAD!$A$5:$A$604,0)),"ID no existe"))</f>
        <v/>
      </c>
      <c r="D76" s="33" t="str">
        <f aca="false">IF(B76="","",IFERROR(INDEX(LOOKAHEAD!$I$5:$I$604,MATCH(B76,LOOKAHEAD!$A$5:$A$604,0)),""))</f>
        <v/>
      </c>
      <c r="E76" s="9"/>
      <c r="F76" s="9"/>
      <c r="G76" s="9"/>
      <c r="H76" s="43"/>
      <c r="I76" s="33" t="str">
        <f aca="false">IF(OR(D76="",D76=0),"",D76-$D$2)</f>
        <v/>
      </c>
      <c r="J76" s="43"/>
      <c r="K76" s="43"/>
      <c r="L76" s="18" t="str">
        <f aca="false">IF(B76="","",IF(K76&lt;&gt;"","Liberado","Pendiente"))</f>
        <v/>
      </c>
      <c r="M76" s="16" t="str">
        <f aca="true">IF(B76="","",IF(L76="Liberado",IF(OR(I76="",K76&lt;=I76),"A tiempo","Liberada tarde"),IF(J76="","Sin compromiso",IF(TODAY()&gt;J76,"VENCIDA",IF(AND(I76&lt;&gt;"",J76&gt;I76),"En riesgo","En gestión")))))</f>
        <v/>
      </c>
      <c r="N76" s="32" t="str">
        <f aca="false">IF(OR(B76="",I76=""),"",IF(K76&lt;&gt;"",I76-K76,IF(J76&lt;&gt;"",I76-J76,"")))</f>
        <v/>
      </c>
      <c r="O76" s="9"/>
    </row>
    <row r="77" customFormat="false" ht="15" hidden="false" customHeight="false" outlineLevel="0" collapsed="false">
      <c r="A77" s="9"/>
      <c r="B77" s="9"/>
      <c r="C77" s="16" t="str">
        <f aca="false">IF(B77="","",IFERROR(INDEX(LOOKAHEAD!$B$5:$B$604,MATCH(B77,LOOKAHEAD!$A$5:$A$604,0)),"ID no existe"))</f>
        <v/>
      </c>
      <c r="D77" s="33" t="str">
        <f aca="false">IF(B77="","",IFERROR(INDEX(LOOKAHEAD!$I$5:$I$604,MATCH(B77,LOOKAHEAD!$A$5:$A$604,0)),""))</f>
        <v/>
      </c>
      <c r="E77" s="9"/>
      <c r="F77" s="9"/>
      <c r="G77" s="9"/>
      <c r="H77" s="43"/>
      <c r="I77" s="33" t="str">
        <f aca="false">IF(OR(D77="",D77=0),"",D77-$D$2)</f>
        <v/>
      </c>
      <c r="J77" s="43"/>
      <c r="K77" s="43"/>
      <c r="L77" s="18" t="str">
        <f aca="false">IF(B77="","",IF(K77&lt;&gt;"","Liberado","Pendiente"))</f>
        <v/>
      </c>
      <c r="M77" s="16" t="str">
        <f aca="true">IF(B77="","",IF(L77="Liberado",IF(OR(I77="",K77&lt;=I77),"A tiempo","Liberada tarde"),IF(J77="","Sin compromiso",IF(TODAY()&gt;J77,"VENCIDA",IF(AND(I77&lt;&gt;"",J77&gt;I77),"En riesgo","En gestión")))))</f>
        <v/>
      </c>
      <c r="N77" s="32" t="str">
        <f aca="false">IF(OR(B77="",I77=""),"",IF(K77&lt;&gt;"",I77-K77,IF(J77&lt;&gt;"",I77-J77,"")))</f>
        <v/>
      </c>
      <c r="O77" s="9"/>
    </row>
    <row r="78" customFormat="false" ht="15" hidden="false" customHeight="false" outlineLevel="0" collapsed="false">
      <c r="A78" s="9"/>
      <c r="B78" s="9"/>
      <c r="C78" s="16" t="str">
        <f aca="false">IF(B78="","",IFERROR(INDEX(LOOKAHEAD!$B$5:$B$604,MATCH(B78,LOOKAHEAD!$A$5:$A$604,0)),"ID no existe"))</f>
        <v/>
      </c>
      <c r="D78" s="33" t="str">
        <f aca="false">IF(B78="","",IFERROR(INDEX(LOOKAHEAD!$I$5:$I$604,MATCH(B78,LOOKAHEAD!$A$5:$A$604,0)),""))</f>
        <v/>
      </c>
      <c r="E78" s="9"/>
      <c r="F78" s="9"/>
      <c r="G78" s="9"/>
      <c r="H78" s="43"/>
      <c r="I78" s="33" t="str">
        <f aca="false">IF(OR(D78="",D78=0),"",D78-$D$2)</f>
        <v/>
      </c>
      <c r="J78" s="43"/>
      <c r="K78" s="43"/>
      <c r="L78" s="18" t="str">
        <f aca="false">IF(B78="","",IF(K78&lt;&gt;"","Liberado","Pendiente"))</f>
        <v/>
      </c>
      <c r="M78" s="16" t="str">
        <f aca="true">IF(B78="","",IF(L78="Liberado",IF(OR(I78="",K78&lt;=I78),"A tiempo","Liberada tarde"),IF(J78="","Sin compromiso",IF(TODAY()&gt;J78,"VENCIDA",IF(AND(I78&lt;&gt;"",J78&gt;I78),"En riesgo","En gestión")))))</f>
        <v/>
      </c>
      <c r="N78" s="32" t="str">
        <f aca="false">IF(OR(B78="",I78=""),"",IF(K78&lt;&gt;"",I78-K78,IF(J78&lt;&gt;"",I78-J78,"")))</f>
        <v/>
      </c>
      <c r="O78" s="9"/>
    </row>
    <row r="79" customFormat="false" ht="15" hidden="false" customHeight="false" outlineLevel="0" collapsed="false">
      <c r="A79" s="9"/>
      <c r="B79" s="9"/>
      <c r="C79" s="16" t="str">
        <f aca="false">IF(B79="","",IFERROR(INDEX(LOOKAHEAD!$B$5:$B$604,MATCH(B79,LOOKAHEAD!$A$5:$A$604,0)),"ID no existe"))</f>
        <v/>
      </c>
      <c r="D79" s="33" t="str">
        <f aca="false">IF(B79="","",IFERROR(INDEX(LOOKAHEAD!$I$5:$I$604,MATCH(B79,LOOKAHEAD!$A$5:$A$604,0)),""))</f>
        <v/>
      </c>
      <c r="E79" s="9"/>
      <c r="F79" s="9"/>
      <c r="G79" s="9"/>
      <c r="H79" s="43"/>
      <c r="I79" s="33" t="str">
        <f aca="false">IF(OR(D79="",D79=0),"",D79-$D$2)</f>
        <v/>
      </c>
      <c r="J79" s="43"/>
      <c r="K79" s="43"/>
      <c r="L79" s="18" t="str">
        <f aca="false">IF(B79="","",IF(K79&lt;&gt;"","Liberado","Pendiente"))</f>
        <v/>
      </c>
      <c r="M79" s="16" t="str">
        <f aca="true">IF(B79="","",IF(L79="Liberado",IF(OR(I79="",K79&lt;=I79),"A tiempo","Liberada tarde"),IF(J79="","Sin compromiso",IF(TODAY()&gt;J79,"VENCIDA",IF(AND(I79&lt;&gt;"",J79&gt;I79),"En riesgo","En gestión")))))</f>
        <v/>
      </c>
      <c r="N79" s="32" t="str">
        <f aca="false">IF(OR(B79="",I79=""),"",IF(K79&lt;&gt;"",I79-K79,IF(J79&lt;&gt;"",I79-J79,"")))</f>
        <v/>
      </c>
      <c r="O79" s="9"/>
    </row>
    <row r="80" customFormat="false" ht="15" hidden="false" customHeight="false" outlineLevel="0" collapsed="false">
      <c r="A80" s="9"/>
      <c r="B80" s="9"/>
      <c r="C80" s="16" t="str">
        <f aca="false">IF(B80="","",IFERROR(INDEX(LOOKAHEAD!$B$5:$B$604,MATCH(B80,LOOKAHEAD!$A$5:$A$604,0)),"ID no existe"))</f>
        <v/>
      </c>
      <c r="D80" s="33" t="str">
        <f aca="false">IF(B80="","",IFERROR(INDEX(LOOKAHEAD!$I$5:$I$604,MATCH(B80,LOOKAHEAD!$A$5:$A$604,0)),""))</f>
        <v/>
      </c>
      <c r="E80" s="9"/>
      <c r="F80" s="9"/>
      <c r="G80" s="9"/>
      <c r="H80" s="43"/>
      <c r="I80" s="33" t="str">
        <f aca="false">IF(OR(D80="",D80=0),"",D80-$D$2)</f>
        <v/>
      </c>
      <c r="J80" s="43"/>
      <c r="K80" s="43"/>
      <c r="L80" s="18" t="str">
        <f aca="false">IF(B80="","",IF(K80&lt;&gt;"","Liberado","Pendiente"))</f>
        <v/>
      </c>
      <c r="M80" s="16" t="str">
        <f aca="true">IF(B80="","",IF(L80="Liberado",IF(OR(I80="",K80&lt;=I80),"A tiempo","Liberada tarde"),IF(J80="","Sin compromiso",IF(TODAY()&gt;J80,"VENCIDA",IF(AND(I80&lt;&gt;"",J80&gt;I80),"En riesgo","En gestión")))))</f>
        <v/>
      </c>
      <c r="N80" s="32" t="str">
        <f aca="false">IF(OR(B80="",I80=""),"",IF(K80&lt;&gt;"",I80-K80,IF(J80&lt;&gt;"",I80-J80,"")))</f>
        <v/>
      </c>
      <c r="O80" s="9"/>
    </row>
    <row r="81" customFormat="false" ht="15" hidden="false" customHeight="false" outlineLevel="0" collapsed="false">
      <c r="A81" s="9"/>
      <c r="B81" s="9"/>
      <c r="C81" s="16" t="str">
        <f aca="false">IF(B81="","",IFERROR(INDEX(LOOKAHEAD!$B$5:$B$604,MATCH(B81,LOOKAHEAD!$A$5:$A$604,0)),"ID no existe"))</f>
        <v/>
      </c>
      <c r="D81" s="33" t="str">
        <f aca="false">IF(B81="","",IFERROR(INDEX(LOOKAHEAD!$I$5:$I$604,MATCH(B81,LOOKAHEAD!$A$5:$A$604,0)),""))</f>
        <v/>
      </c>
      <c r="E81" s="9"/>
      <c r="F81" s="9"/>
      <c r="G81" s="9"/>
      <c r="H81" s="43"/>
      <c r="I81" s="33" t="str">
        <f aca="false">IF(OR(D81="",D81=0),"",D81-$D$2)</f>
        <v/>
      </c>
      <c r="J81" s="43"/>
      <c r="K81" s="43"/>
      <c r="L81" s="18" t="str">
        <f aca="false">IF(B81="","",IF(K81&lt;&gt;"","Liberado","Pendiente"))</f>
        <v/>
      </c>
      <c r="M81" s="16" t="str">
        <f aca="true">IF(B81="","",IF(L81="Liberado",IF(OR(I81="",K81&lt;=I81),"A tiempo","Liberada tarde"),IF(J81="","Sin compromiso",IF(TODAY()&gt;J81,"VENCIDA",IF(AND(I81&lt;&gt;"",J81&gt;I81),"En riesgo","En gestión")))))</f>
        <v/>
      </c>
      <c r="N81" s="32" t="str">
        <f aca="false">IF(OR(B81="",I81=""),"",IF(K81&lt;&gt;"",I81-K81,IF(J81&lt;&gt;"",I81-J81,"")))</f>
        <v/>
      </c>
      <c r="O81" s="9"/>
    </row>
    <row r="82" customFormat="false" ht="15" hidden="false" customHeight="false" outlineLevel="0" collapsed="false">
      <c r="A82" s="9"/>
      <c r="B82" s="9"/>
      <c r="C82" s="16" t="str">
        <f aca="false">IF(B82="","",IFERROR(INDEX(LOOKAHEAD!$B$5:$B$604,MATCH(B82,LOOKAHEAD!$A$5:$A$604,0)),"ID no existe"))</f>
        <v/>
      </c>
      <c r="D82" s="33" t="str">
        <f aca="false">IF(B82="","",IFERROR(INDEX(LOOKAHEAD!$I$5:$I$604,MATCH(B82,LOOKAHEAD!$A$5:$A$604,0)),""))</f>
        <v/>
      </c>
      <c r="E82" s="9"/>
      <c r="F82" s="9"/>
      <c r="G82" s="9"/>
      <c r="H82" s="43"/>
      <c r="I82" s="33" t="str">
        <f aca="false">IF(OR(D82="",D82=0),"",D82-$D$2)</f>
        <v/>
      </c>
      <c r="J82" s="43"/>
      <c r="K82" s="43"/>
      <c r="L82" s="18" t="str">
        <f aca="false">IF(B82="","",IF(K82&lt;&gt;"","Liberado","Pendiente"))</f>
        <v/>
      </c>
      <c r="M82" s="16" t="str">
        <f aca="true">IF(B82="","",IF(L82="Liberado",IF(OR(I82="",K82&lt;=I82),"A tiempo","Liberada tarde"),IF(J82="","Sin compromiso",IF(TODAY()&gt;J82,"VENCIDA",IF(AND(I82&lt;&gt;"",J82&gt;I82),"En riesgo","En gestión")))))</f>
        <v/>
      </c>
      <c r="N82" s="32" t="str">
        <f aca="false">IF(OR(B82="",I82=""),"",IF(K82&lt;&gt;"",I82-K82,IF(J82&lt;&gt;"",I82-J82,"")))</f>
        <v/>
      </c>
      <c r="O82" s="9"/>
    </row>
    <row r="83" customFormat="false" ht="15" hidden="false" customHeight="false" outlineLevel="0" collapsed="false">
      <c r="A83" s="9"/>
      <c r="B83" s="9"/>
      <c r="C83" s="16" t="str">
        <f aca="false">IF(B83="","",IFERROR(INDEX(LOOKAHEAD!$B$5:$B$604,MATCH(B83,LOOKAHEAD!$A$5:$A$604,0)),"ID no existe"))</f>
        <v/>
      </c>
      <c r="D83" s="33" t="str">
        <f aca="false">IF(B83="","",IFERROR(INDEX(LOOKAHEAD!$I$5:$I$604,MATCH(B83,LOOKAHEAD!$A$5:$A$604,0)),""))</f>
        <v/>
      </c>
      <c r="E83" s="9"/>
      <c r="F83" s="9"/>
      <c r="G83" s="9"/>
      <c r="H83" s="43"/>
      <c r="I83" s="33" t="str">
        <f aca="false">IF(OR(D83="",D83=0),"",D83-$D$2)</f>
        <v/>
      </c>
      <c r="J83" s="43"/>
      <c r="K83" s="43"/>
      <c r="L83" s="18" t="str">
        <f aca="false">IF(B83="","",IF(K83&lt;&gt;"","Liberado","Pendiente"))</f>
        <v/>
      </c>
      <c r="M83" s="16" t="str">
        <f aca="true">IF(B83="","",IF(L83="Liberado",IF(OR(I83="",K83&lt;=I83),"A tiempo","Liberada tarde"),IF(J83="","Sin compromiso",IF(TODAY()&gt;J83,"VENCIDA",IF(AND(I83&lt;&gt;"",J83&gt;I83),"En riesgo","En gestión")))))</f>
        <v/>
      </c>
      <c r="N83" s="32" t="str">
        <f aca="false">IF(OR(B83="",I83=""),"",IF(K83&lt;&gt;"",I83-K83,IF(J83&lt;&gt;"",I83-J83,"")))</f>
        <v/>
      </c>
      <c r="O83" s="9"/>
    </row>
    <row r="84" customFormat="false" ht="15" hidden="false" customHeight="false" outlineLevel="0" collapsed="false">
      <c r="A84" s="9"/>
      <c r="B84" s="9"/>
      <c r="C84" s="16" t="str">
        <f aca="false">IF(B84="","",IFERROR(INDEX(LOOKAHEAD!$B$5:$B$604,MATCH(B84,LOOKAHEAD!$A$5:$A$604,0)),"ID no existe"))</f>
        <v/>
      </c>
      <c r="D84" s="33" t="str">
        <f aca="false">IF(B84="","",IFERROR(INDEX(LOOKAHEAD!$I$5:$I$604,MATCH(B84,LOOKAHEAD!$A$5:$A$604,0)),""))</f>
        <v/>
      </c>
      <c r="E84" s="9"/>
      <c r="F84" s="9"/>
      <c r="G84" s="9"/>
      <c r="H84" s="43"/>
      <c r="I84" s="33" t="str">
        <f aca="false">IF(OR(D84="",D84=0),"",D84-$D$2)</f>
        <v/>
      </c>
      <c r="J84" s="43"/>
      <c r="K84" s="43"/>
      <c r="L84" s="18" t="str">
        <f aca="false">IF(B84="","",IF(K84&lt;&gt;"","Liberado","Pendiente"))</f>
        <v/>
      </c>
      <c r="M84" s="16" t="str">
        <f aca="true">IF(B84="","",IF(L84="Liberado",IF(OR(I84="",K84&lt;=I84),"A tiempo","Liberada tarde"),IF(J84="","Sin compromiso",IF(TODAY()&gt;J84,"VENCIDA",IF(AND(I84&lt;&gt;"",J84&gt;I84),"En riesgo","En gestión")))))</f>
        <v/>
      </c>
      <c r="N84" s="32" t="str">
        <f aca="false">IF(OR(B84="",I84=""),"",IF(K84&lt;&gt;"",I84-K84,IF(J84&lt;&gt;"",I84-J84,"")))</f>
        <v/>
      </c>
      <c r="O84" s="9"/>
    </row>
    <row r="85" customFormat="false" ht="15" hidden="false" customHeight="false" outlineLevel="0" collapsed="false">
      <c r="A85" s="9"/>
      <c r="B85" s="9"/>
      <c r="C85" s="16" t="str">
        <f aca="false">IF(B85="","",IFERROR(INDEX(LOOKAHEAD!$B$5:$B$604,MATCH(B85,LOOKAHEAD!$A$5:$A$604,0)),"ID no existe"))</f>
        <v/>
      </c>
      <c r="D85" s="33" t="str">
        <f aca="false">IF(B85="","",IFERROR(INDEX(LOOKAHEAD!$I$5:$I$604,MATCH(B85,LOOKAHEAD!$A$5:$A$604,0)),""))</f>
        <v/>
      </c>
      <c r="E85" s="9"/>
      <c r="F85" s="9"/>
      <c r="G85" s="9"/>
      <c r="H85" s="43"/>
      <c r="I85" s="33" t="str">
        <f aca="false">IF(OR(D85="",D85=0),"",D85-$D$2)</f>
        <v/>
      </c>
      <c r="J85" s="43"/>
      <c r="K85" s="43"/>
      <c r="L85" s="18" t="str">
        <f aca="false">IF(B85="","",IF(K85&lt;&gt;"","Liberado","Pendiente"))</f>
        <v/>
      </c>
      <c r="M85" s="16" t="str">
        <f aca="true">IF(B85="","",IF(L85="Liberado",IF(OR(I85="",K85&lt;=I85),"A tiempo","Liberada tarde"),IF(J85="","Sin compromiso",IF(TODAY()&gt;J85,"VENCIDA",IF(AND(I85&lt;&gt;"",J85&gt;I85),"En riesgo","En gestión")))))</f>
        <v/>
      </c>
      <c r="N85" s="32" t="str">
        <f aca="false">IF(OR(B85="",I85=""),"",IF(K85&lt;&gt;"",I85-K85,IF(J85&lt;&gt;"",I85-J85,"")))</f>
        <v/>
      </c>
      <c r="O85" s="9"/>
    </row>
    <row r="86" customFormat="false" ht="15" hidden="false" customHeight="false" outlineLevel="0" collapsed="false">
      <c r="A86" s="9"/>
      <c r="B86" s="9"/>
      <c r="C86" s="16" t="str">
        <f aca="false">IF(B86="","",IFERROR(INDEX(LOOKAHEAD!$B$5:$B$604,MATCH(B86,LOOKAHEAD!$A$5:$A$604,0)),"ID no existe"))</f>
        <v/>
      </c>
      <c r="D86" s="33" t="str">
        <f aca="false">IF(B86="","",IFERROR(INDEX(LOOKAHEAD!$I$5:$I$604,MATCH(B86,LOOKAHEAD!$A$5:$A$604,0)),""))</f>
        <v/>
      </c>
      <c r="E86" s="9"/>
      <c r="F86" s="9"/>
      <c r="G86" s="9"/>
      <c r="H86" s="43"/>
      <c r="I86" s="33" t="str">
        <f aca="false">IF(OR(D86="",D86=0),"",D86-$D$2)</f>
        <v/>
      </c>
      <c r="J86" s="43"/>
      <c r="K86" s="43"/>
      <c r="L86" s="18" t="str">
        <f aca="false">IF(B86="","",IF(K86&lt;&gt;"","Liberado","Pendiente"))</f>
        <v/>
      </c>
      <c r="M86" s="16" t="str">
        <f aca="true">IF(B86="","",IF(L86="Liberado",IF(OR(I86="",K86&lt;=I86),"A tiempo","Liberada tarde"),IF(J86="","Sin compromiso",IF(TODAY()&gt;J86,"VENCIDA",IF(AND(I86&lt;&gt;"",J86&gt;I86),"En riesgo","En gestión")))))</f>
        <v/>
      </c>
      <c r="N86" s="32" t="str">
        <f aca="false">IF(OR(B86="",I86=""),"",IF(K86&lt;&gt;"",I86-K86,IF(J86&lt;&gt;"",I86-J86,"")))</f>
        <v/>
      </c>
      <c r="O86" s="9"/>
    </row>
    <row r="87" customFormat="false" ht="15" hidden="false" customHeight="false" outlineLevel="0" collapsed="false">
      <c r="A87" s="9"/>
      <c r="B87" s="9"/>
      <c r="C87" s="16" t="str">
        <f aca="false">IF(B87="","",IFERROR(INDEX(LOOKAHEAD!$B$5:$B$604,MATCH(B87,LOOKAHEAD!$A$5:$A$604,0)),"ID no existe"))</f>
        <v/>
      </c>
      <c r="D87" s="33" t="str">
        <f aca="false">IF(B87="","",IFERROR(INDEX(LOOKAHEAD!$I$5:$I$604,MATCH(B87,LOOKAHEAD!$A$5:$A$604,0)),""))</f>
        <v/>
      </c>
      <c r="E87" s="9"/>
      <c r="F87" s="9"/>
      <c r="G87" s="9"/>
      <c r="H87" s="43"/>
      <c r="I87" s="33" t="str">
        <f aca="false">IF(OR(D87="",D87=0),"",D87-$D$2)</f>
        <v/>
      </c>
      <c r="J87" s="43"/>
      <c r="K87" s="43"/>
      <c r="L87" s="18" t="str">
        <f aca="false">IF(B87="","",IF(K87&lt;&gt;"","Liberado","Pendiente"))</f>
        <v/>
      </c>
      <c r="M87" s="16" t="str">
        <f aca="true">IF(B87="","",IF(L87="Liberado",IF(OR(I87="",K87&lt;=I87),"A tiempo","Liberada tarde"),IF(J87="","Sin compromiso",IF(TODAY()&gt;J87,"VENCIDA",IF(AND(I87&lt;&gt;"",J87&gt;I87),"En riesgo","En gestión")))))</f>
        <v/>
      </c>
      <c r="N87" s="32" t="str">
        <f aca="false">IF(OR(B87="",I87=""),"",IF(K87&lt;&gt;"",I87-K87,IF(J87&lt;&gt;"",I87-J87,"")))</f>
        <v/>
      </c>
      <c r="O87" s="9"/>
    </row>
    <row r="88" customFormat="false" ht="15" hidden="false" customHeight="false" outlineLevel="0" collapsed="false">
      <c r="A88" s="9"/>
      <c r="B88" s="9"/>
      <c r="C88" s="16" t="str">
        <f aca="false">IF(B88="","",IFERROR(INDEX(LOOKAHEAD!$B$5:$B$604,MATCH(B88,LOOKAHEAD!$A$5:$A$604,0)),"ID no existe"))</f>
        <v/>
      </c>
      <c r="D88" s="33" t="str">
        <f aca="false">IF(B88="","",IFERROR(INDEX(LOOKAHEAD!$I$5:$I$604,MATCH(B88,LOOKAHEAD!$A$5:$A$604,0)),""))</f>
        <v/>
      </c>
      <c r="E88" s="9"/>
      <c r="F88" s="9"/>
      <c r="G88" s="9"/>
      <c r="H88" s="43"/>
      <c r="I88" s="33" t="str">
        <f aca="false">IF(OR(D88="",D88=0),"",D88-$D$2)</f>
        <v/>
      </c>
      <c r="J88" s="43"/>
      <c r="K88" s="43"/>
      <c r="L88" s="18" t="str">
        <f aca="false">IF(B88="","",IF(K88&lt;&gt;"","Liberado","Pendiente"))</f>
        <v/>
      </c>
      <c r="M88" s="16" t="str">
        <f aca="true">IF(B88="","",IF(L88="Liberado",IF(OR(I88="",K88&lt;=I88),"A tiempo","Liberada tarde"),IF(J88="","Sin compromiso",IF(TODAY()&gt;J88,"VENCIDA",IF(AND(I88&lt;&gt;"",J88&gt;I88),"En riesgo","En gestión")))))</f>
        <v/>
      </c>
      <c r="N88" s="32" t="str">
        <f aca="false">IF(OR(B88="",I88=""),"",IF(K88&lt;&gt;"",I88-K88,IF(J88&lt;&gt;"",I88-J88,"")))</f>
        <v/>
      </c>
      <c r="O88" s="9"/>
    </row>
    <row r="89" customFormat="false" ht="15" hidden="false" customHeight="false" outlineLevel="0" collapsed="false">
      <c r="A89" s="9"/>
      <c r="B89" s="9"/>
      <c r="C89" s="16" t="str">
        <f aca="false">IF(B89="","",IFERROR(INDEX(LOOKAHEAD!$B$5:$B$604,MATCH(B89,LOOKAHEAD!$A$5:$A$604,0)),"ID no existe"))</f>
        <v/>
      </c>
      <c r="D89" s="33" t="str">
        <f aca="false">IF(B89="","",IFERROR(INDEX(LOOKAHEAD!$I$5:$I$604,MATCH(B89,LOOKAHEAD!$A$5:$A$604,0)),""))</f>
        <v/>
      </c>
      <c r="E89" s="9"/>
      <c r="F89" s="9"/>
      <c r="G89" s="9"/>
      <c r="H89" s="43"/>
      <c r="I89" s="33" t="str">
        <f aca="false">IF(OR(D89="",D89=0),"",D89-$D$2)</f>
        <v/>
      </c>
      <c r="J89" s="43"/>
      <c r="K89" s="43"/>
      <c r="L89" s="18" t="str">
        <f aca="false">IF(B89="","",IF(K89&lt;&gt;"","Liberado","Pendiente"))</f>
        <v/>
      </c>
      <c r="M89" s="16" t="str">
        <f aca="true">IF(B89="","",IF(L89="Liberado",IF(OR(I89="",K89&lt;=I89),"A tiempo","Liberada tarde"),IF(J89="","Sin compromiso",IF(TODAY()&gt;J89,"VENCIDA",IF(AND(I89&lt;&gt;"",J89&gt;I89),"En riesgo","En gestión")))))</f>
        <v/>
      </c>
      <c r="N89" s="32" t="str">
        <f aca="false">IF(OR(B89="",I89=""),"",IF(K89&lt;&gt;"",I89-K89,IF(J89&lt;&gt;"",I89-J89,"")))</f>
        <v/>
      </c>
      <c r="O89" s="9"/>
    </row>
    <row r="90" customFormat="false" ht="15" hidden="false" customHeight="false" outlineLevel="0" collapsed="false">
      <c r="A90" s="9"/>
      <c r="B90" s="9"/>
      <c r="C90" s="16" t="str">
        <f aca="false">IF(B90="","",IFERROR(INDEX(LOOKAHEAD!$B$5:$B$604,MATCH(B90,LOOKAHEAD!$A$5:$A$604,0)),"ID no existe"))</f>
        <v/>
      </c>
      <c r="D90" s="33" t="str">
        <f aca="false">IF(B90="","",IFERROR(INDEX(LOOKAHEAD!$I$5:$I$604,MATCH(B90,LOOKAHEAD!$A$5:$A$604,0)),""))</f>
        <v/>
      </c>
      <c r="E90" s="9"/>
      <c r="F90" s="9"/>
      <c r="G90" s="9"/>
      <c r="H90" s="43"/>
      <c r="I90" s="33" t="str">
        <f aca="false">IF(OR(D90="",D90=0),"",D90-$D$2)</f>
        <v/>
      </c>
      <c r="J90" s="43"/>
      <c r="K90" s="43"/>
      <c r="L90" s="18" t="str">
        <f aca="false">IF(B90="","",IF(K90&lt;&gt;"","Liberado","Pendiente"))</f>
        <v/>
      </c>
      <c r="M90" s="16" t="str">
        <f aca="true">IF(B90="","",IF(L90="Liberado",IF(OR(I90="",K90&lt;=I90),"A tiempo","Liberada tarde"),IF(J90="","Sin compromiso",IF(TODAY()&gt;J90,"VENCIDA",IF(AND(I90&lt;&gt;"",J90&gt;I90),"En riesgo","En gestión")))))</f>
        <v/>
      </c>
      <c r="N90" s="32" t="str">
        <f aca="false">IF(OR(B90="",I90=""),"",IF(K90&lt;&gt;"",I90-K90,IF(J90&lt;&gt;"",I90-J90,"")))</f>
        <v/>
      </c>
      <c r="O90" s="9"/>
    </row>
    <row r="91" customFormat="false" ht="15" hidden="false" customHeight="false" outlineLevel="0" collapsed="false">
      <c r="A91" s="9"/>
      <c r="B91" s="9"/>
      <c r="C91" s="16" t="str">
        <f aca="false">IF(B91="","",IFERROR(INDEX(LOOKAHEAD!$B$5:$B$604,MATCH(B91,LOOKAHEAD!$A$5:$A$604,0)),"ID no existe"))</f>
        <v/>
      </c>
      <c r="D91" s="33" t="str">
        <f aca="false">IF(B91="","",IFERROR(INDEX(LOOKAHEAD!$I$5:$I$604,MATCH(B91,LOOKAHEAD!$A$5:$A$604,0)),""))</f>
        <v/>
      </c>
      <c r="E91" s="9"/>
      <c r="F91" s="9"/>
      <c r="G91" s="9"/>
      <c r="H91" s="43"/>
      <c r="I91" s="33" t="str">
        <f aca="false">IF(OR(D91="",D91=0),"",D91-$D$2)</f>
        <v/>
      </c>
      <c r="J91" s="43"/>
      <c r="K91" s="43"/>
      <c r="L91" s="18" t="str">
        <f aca="false">IF(B91="","",IF(K91&lt;&gt;"","Liberado","Pendiente"))</f>
        <v/>
      </c>
      <c r="M91" s="16" t="str">
        <f aca="true">IF(B91="","",IF(L91="Liberado",IF(OR(I91="",K91&lt;=I91),"A tiempo","Liberada tarde"),IF(J91="","Sin compromiso",IF(TODAY()&gt;J91,"VENCIDA",IF(AND(I91&lt;&gt;"",J91&gt;I91),"En riesgo","En gestión")))))</f>
        <v/>
      </c>
      <c r="N91" s="32" t="str">
        <f aca="false">IF(OR(B91="",I91=""),"",IF(K91&lt;&gt;"",I91-K91,IF(J91&lt;&gt;"",I91-J91,"")))</f>
        <v/>
      </c>
      <c r="O91" s="9"/>
    </row>
    <row r="92" customFormat="false" ht="15" hidden="false" customHeight="false" outlineLevel="0" collapsed="false">
      <c r="A92" s="9"/>
      <c r="B92" s="9"/>
      <c r="C92" s="16" t="str">
        <f aca="false">IF(B92="","",IFERROR(INDEX(LOOKAHEAD!$B$5:$B$604,MATCH(B92,LOOKAHEAD!$A$5:$A$604,0)),"ID no existe"))</f>
        <v/>
      </c>
      <c r="D92" s="33" t="str">
        <f aca="false">IF(B92="","",IFERROR(INDEX(LOOKAHEAD!$I$5:$I$604,MATCH(B92,LOOKAHEAD!$A$5:$A$604,0)),""))</f>
        <v/>
      </c>
      <c r="E92" s="9"/>
      <c r="F92" s="9"/>
      <c r="G92" s="9"/>
      <c r="H92" s="43"/>
      <c r="I92" s="33" t="str">
        <f aca="false">IF(OR(D92="",D92=0),"",D92-$D$2)</f>
        <v/>
      </c>
      <c r="J92" s="43"/>
      <c r="K92" s="43"/>
      <c r="L92" s="18" t="str">
        <f aca="false">IF(B92="","",IF(K92&lt;&gt;"","Liberado","Pendiente"))</f>
        <v/>
      </c>
      <c r="M92" s="16" t="str">
        <f aca="true">IF(B92="","",IF(L92="Liberado",IF(OR(I92="",K92&lt;=I92),"A tiempo","Liberada tarde"),IF(J92="","Sin compromiso",IF(TODAY()&gt;J92,"VENCIDA",IF(AND(I92&lt;&gt;"",J92&gt;I92),"En riesgo","En gestión")))))</f>
        <v/>
      </c>
      <c r="N92" s="32" t="str">
        <f aca="false">IF(OR(B92="",I92=""),"",IF(K92&lt;&gt;"",I92-K92,IF(J92&lt;&gt;"",I92-J92,"")))</f>
        <v/>
      </c>
      <c r="O92" s="9"/>
    </row>
    <row r="93" customFormat="false" ht="15" hidden="false" customHeight="false" outlineLevel="0" collapsed="false">
      <c r="A93" s="9"/>
      <c r="B93" s="9"/>
      <c r="C93" s="16" t="str">
        <f aca="false">IF(B93="","",IFERROR(INDEX(LOOKAHEAD!$B$5:$B$604,MATCH(B93,LOOKAHEAD!$A$5:$A$604,0)),"ID no existe"))</f>
        <v/>
      </c>
      <c r="D93" s="33" t="str">
        <f aca="false">IF(B93="","",IFERROR(INDEX(LOOKAHEAD!$I$5:$I$604,MATCH(B93,LOOKAHEAD!$A$5:$A$604,0)),""))</f>
        <v/>
      </c>
      <c r="E93" s="9"/>
      <c r="F93" s="9"/>
      <c r="G93" s="9"/>
      <c r="H93" s="43"/>
      <c r="I93" s="33" t="str">
        <f aca="false">IF(OR(D93="",D93=0),"",D93-$D$2)</f>
        <v/>
      </c>
      <c r="J93" s="43"/>
      <c r="K93" s="43"/>
      <c r="L93" s="18" t="str">
        <f aca="false">IF(B93="","",IF(K93&lt;&gt;"","Liberado","Pendiente"))</f>
        <v/>
      </c>
      <c r="M93" s="16" t="str">
        <f aca="true">IF(B93="","",IF(L93="Liberado",IF(OR(I93="",K93&lt;=I93),"A tiempo","Liberada tarde"),IF(J93="","Sin compromiso",IF(TODAY()&gt;J93,"VENCIDA",IF(AND(I93&lt;&gt;"",J93&gt;I93),"En riesgo","En gestión")))))</f>
        <v/>
      </c>
      <c r="N93" s="32" t="str">
        <f aca="false">IF(OR(B93="",I93=""),"",IF(K93&lt;&gt;"",I93-K93,IF(J93&lt;&gt;"",I93-J93,"")))</f>
        <v/>
      </c>
      <c r="O93" s="9"/>
    </row>
    <row r="94" customFormat="false" ht="15" hidden="false" customHeight="false" outlineLevel="0" collapsed="false">
      <c r="A94" s="9"/>
      <c r="B94" s="9"/>
      <c r="C94" s="16" t="str">
        <f aca="false">IF(B94="","",IFERROR(INDEX(LOOKAHEAD!$B$5:$B$604,MATCH(B94,LOOKAHEAD!$A$5:$A$604,0)),"ID no existe"))</f>
        <v/>
      </c>
      <c r="D94" s="33" t="str">
        <f aca="false">IF(B94="","",IFERROR(INDEX(LOOKAHEAD!$I$5:$I$604,MATCH(B94,LOOKAHEAD!$A$5:$A$604,0)),""))</f>
        <v/>
      </c>
      <c r="E94" s="9"/>
      <c r="F94" s="9"/>
      <c r="G94" s="9"/>
      <c r="H94" s="43"/>
      <c r="I94" s="33" t="str">
        <f aca="false">IF(OR(D94="",D94=0),"",D94-$D$2)</f>
        <v/>
      </c>
      <c r="J94" s="43"/>
      <c r="K94" s="43"/>
      <c r="L94" s="18" t="str">
        <f aca="false">IF(B94="","",IF(K94&lt;&gt;"","Liberado","Pendiente"))</f>
        <v/>
      </c>
      <c r="M94" s="16" t="str">
        <f aca="true">IF(B94="","",IF(L94="Liberado",IF(OR(I94="",K94&lt;=I94),"A tiempo","Liberada tarde"),IF(J94="","Sin compromiso",IF(TODAY()&gt;J94,"VENCIDA",IF(AND(I94&lt;&gt;"",J94&gt;I94),"En riesgo","En gestión")))))</f>
        <v/>
      </c>
      <c r="N94" s="32" t="str">
        <f aca="false">IF(OR(B94="",I94=""),"",IF(K94&lt;&gt;"",I94-K94,IF(J94&lt;&gt;"",I94-J94,"")))</f>
        <v/>
      </c>
      <c r="O94" s="9"/>
    </row>
    <row r="95" customFormat="false" ht="15" hidden="false" customHeight="false" outlineLevel="0" collapsed="false">
      <c r="A95" s="9"/>
      <c r="B95" s="9"/>
      <c r="C95" s="16" t="str">
        <f aca="false">IF(B95="","",IFERROR(INDEX(LOOKAHEAD!$B$5:$B$604,MATCH(B95,LOOKAHEAD!$A$5:$A$604,0)),"ID no existe"))</f>
        <v/>
      </c>
      <c r="D95" s="33" t="str">
        <f aca="false">IF(B95="","",IFERROR(INDEX(LOOKAHEAD!$I$5:$I$604,MATCH(B95,LOOKAHEAD!$A$5:$A$604,0)),""))</f>
        <v/>
      </c>
      <c r="E95" s="9"/>
      <c r="F95" s="9"/>
      <c r="G95" s="9"/>
      <c r="H95" s="43"/>
      <c r="I95" s="33" t="str">
        <f aca="false">IF(OR(D95="",D95=0),"",D95-$D$2)</f>
        <v/>
      </c>
      <c r="J95" s="43"/>
      <c r="K95" s="43"/>
      <c r="L95" s="18" t="str">
        <f aca="false">IF(B95="","",IF(K95&lt;&gt;"","Liberado","Pendiente"))</f>
        <v/>
      </c>
      <c r="M95" s="16" t="str">
        <f aca="true">IF(B95="","",IF(L95="Liberado",IF(OR(I95="",K95&lt;=I95),"A tiempo","Liberada tarde"),IF(J95="","Sin compromiso",IF(TODAY()&gt;J95,"VENCIDA",IF(AND(I95&lt;&gt;"",J95&gt;I95),"En riesgo","En gestión")))))</f>
        <v/>
      </c>
      <c r="N95" s="32" t="str">
        <f aca="false">IF(OR(B95="",I95=""),"",IF(K95&lt;&gt;"",I95-K95,IF(J95&lt;&gt;"",I95-J95,"")))</f>
        <v/>
      </c>
      <c r="O95" s="9"/>
    </row>
    <row r="96" customFormat="false" ht="15" hidden="false" customHeight="false" outlineLevel="0" collapsed="false">
      <c r="A96" s="9"/>
      <c r="B96" s="9"/>
      <c r="C96" s="16" t="str">
        <f aca="false">IF(B96="","",IFERROR(INDEX(LOOKAHEAD!$B$5:$B$604,MATCH(B96,LOOKAHEAD!$A$5:$A$604,0)),"ID no existe"))</f>
        <v/>
      </c>
      <c r="D96" s="33" t="str">
        <f aca="false">IF(B96="","",IFERROR(INDEX(LOOKAHEAD!$I$5:$I$604,MATCH(B96,LOOKAHEAD!$A$5:$A$604,0)),""))</f>
        <v/>
      </c>
      <c r="E96" s="9"/>
      <c r="F96" s="9"/>
      <c r="G96" s="9"/>
      <c r="H96" s="43"/>
      <c r="I96" s="33" t="str">
        <f aca="false">IF(OR(D96="",D96=0),"",D96-$D$2)</f>
        <v/>
      </c>
      <c r="J96" s="43"/>
      <c r="K96" s="43"/>
      <c r="L96" s="18" t="str">
        <f aca="false">IF(B96="","",IF(K96&lt;&gt;"","Liberado","Pendiente"))</f>
        <v/>
      </c>
      <c r="M96" s="16" t="str">
        <f aca="true">IF(B96="","",IF(L96="Liberado",IF(OR(I96="",K96&lt;=I96),"A tiempo","Liberada tarde"),IF(J96="","Sin compromiso",IF(TODAY()&gt;J96,"VENCIDA",IF(AND(I96&lt;&gt;"",J96&gt;I96),"En riesgo","En gestión")))))</f>
        <v/>
      </c>
      <c r="N96" s="32" t="str">
        <f aca="false">IF(OR(B96="",I96=""),"",IF(K96&lt;&gt;"",I96-K96,IF(J96&lt;&gt;"",I96-J96,"")))</f>
        <v/>
      </c>
      <c r="O96" s="9"/>
    </row>
    <row r="97" customFormat="false" ht="15" hidden="false" customHeight="false" outlineLevel="0" collapsed="false">
      <c r="A97" s="9"/>
      <c r="B97" s="9"/>
      <c r="C97" s="16" t="str">
        <f aca="false">IF(B97="","",IFERROR(INDEX(LOOKAHEAD!$B$5:$B$604,MATCH(B97,LOOKAHEAD!$A$5:$A$604,0)),"ID no existe"))</f>
        <v/>
      </c>
      <c r="D97" s="33" t="str">
        <f aca="false">IF(B97="","",IFERROR(INDEX(LOOKAHEAD!$I$5:$I$604,MATCH(B97,LOOKAHEAD!$A$5:$A$604,0)),""))</f>
        <v/>
      </c>
      <c r="E97" s="9"/>
      <c r="F97" s="9"/>
      <c r="G97" s="9"/>
      <c r="H97" s="43"/>
      <c r="I97" s="33" t="str">
        <f aca="false">IF(OR(D97="",D97=0),"",D97-$D$2)</f>
        <v/>
      </c>
      <c r="J97" s="43"/>
      <c r="K97" s="43"/>
      <c r="L97" s="18" t="str">
        <f aca="false">IF(B97="","",IF(K97&lt;&gt;"","Liberado","Pendiente"))</f>
        <v/>
      </c>
      <c r="M97" s="16" t="str">
        <f aca="true">IF(B97="","",IF(L97="Liberado",IF(OR(I97="",K97&lt;=I97),"A tiempo","Liberada tarde"),IF(J97="","Sin compromiso",IF(TODAY()&gt;J97,"VENCIDA",IF(AND(I97&lt;&gt;"",J97&gt;I97),"En riesgo","En gestión")))))</f>
        <v/>
      </c>
      <c r="N97" s="32" t="str">
        <f aca="false">IF(OR(B97="",I97=""),"",IF(K97&lt;&gt;"",I97-K97,IF(J97&lt;&gt;"",I97-J97,"")))</f>
        <v/>
      </c>
      <c r="O97" s="9"/>
    </row>
    <row r="98" customFormat="false" ht="15" hidden="false" customHeight="false" outlineLevel="0" collapsed="false">
      <c r="A98" s="9"/>
      <c r="B98" s="9"/>
      <c r="C98" s="16" t="str">
        <f aca="false">IF(B98="","",IFERROR(INDEX(LOOKAHEAD!$B$5:$B$604,MATCH(B98,LOOKAHEAD!$A$5:$A$604,0)),"ID no existe"))</f>
        <v/>
      </c>
      <c r="D98" s="33" t="str">
        <f aca="false">IF(B98="","",IFERROR(INDEX(LOOKAHEAD!$I$5:$I$604,MATCH(B98,LOOKAHEAD!$A$5:$A$604,0)),""))</f>
        <v/>
      </c>
      <c r="E98" s="9"/>
      <c r="F98" s="9"/>
      <c r="G98" s="9"/>
      <c r="H98" s="43"/>
      <c r="I98" s="33" t="str">
        <f aca="false">IF(OR(D98="",D98=0),"",D98-$D$2)</f>
        <v/>
      </c>
      <c r="J98" s="43"/>
      <c r="K98" s="43"/>
      <c r="L98" s="18" t="str">
        <f aca="false">IF(B98="","",IF(K98&lt;&gt;"","Liberado","Pendiente"))</f>
        <v/>
      </c>
      <c r="M98" s="16" t="str">
        <f aca="true">IF(B98="","",IF(L98="Liberado",IF(OR(I98="",K98&lt;=I98),"A tiempo","Liberada tarde"),IF(J98="","Sin compromiso",IF(TODAY()&gt;J98,"VENCIDA",IF(AND(I98&lt;&gt;"",J98&gt;I98),"En riesgo","En gestión")))))</f>
        <v/>
      </c>
      <c r="N98" s="32" t="str">
        <f aca="false">IF(OR(B98="",I98=""),"",IF(K98&lt;&gt;"",I98-K98,IF(J98&lt;&gt;"",I98-J98,"")))</f>
        <v/>
      </c>
      <c r="O98" s="9"/>
    </row>
    <row r="99" customFormat="false" ht="15" hidden="false" customHeight="false" outlineLevel="0" collapsed="false">
      <c r="A99" s="9"/>
      <c r="B99" s="9"/>
      <c r="C99" s="16" t="str">
        <f aca="false">IF(B99="","",IFERROR(INDEX(LOOKAHEAD!$B$5:$B$604,MATCH(B99,LOOKAHEAD!$A$5:$A$604,0)),"ID no existe"))</f>
        <v/>
      </c>
      <c r="D99" s="33" t="str">
        <f aca="false">IF(B99="","",IFERROR(INDEX(LOOKAHEAD!$I$5:$I$604,MATCH(B99,LOOKAHEAD!$A$5:$A$604,0)),""))</f>
        <v/>
      </c>
      <c r="E99" s="9"/>
      <c r="F99" s="9"/>
      <c r="G99" s="9"/>
      <c r="H99" s="43"/>
      <c r="I99" s="33" t="str">
        <f aca="false">IF(OR(D99="",D99=0),"",D99-$D$2)</f>
        <v/>
      </c>
      <c r="J99" s="43"/>
      <c r="K99" s="43"/>
      <c r="L99" s="18" t="str">
        <f aca="false">IF(B99="","",IF(K99&lt;&gt;"","Liberado","Pendiente"))</f>
        <v/>
      </c>
      <c r="M99" s="16" t="str">
        <f aca="true">IF(B99="","",IF(L99="Liberado",IF(OR(I99="",K99&lt;=I99),"A tiempo","Liberada tarde"),IF(J99="","Sin compromiso",IF(TODAY()&gt;J99,"VENCIDA",IF(AND(I99&lt;&gt;"",J99&gt;I99),"En riesgo","En gestión")))))</f>
        <v/>
      </c>
      <c r="N99" s="32" t="str">
        <f aca="false">IF(OR(B99="",I99=""),"",IF(K99&lt;&gt;"",I99-K99,IF(J99&lt;&gt;"",I99-J99,"")))</f>
        <v/>
      </c>
      <c r="O99" s="9"/>
    </row>
    <row r="100" customFormat="false" ht="15" hidden="false" customHeight="false" outlineLevel="0" collapsed="false">
      <c r="A100" s="9"/>
      <c r="B100" s="9"/>
      <c r="C100" s="16" t="str">
        <f aca="false">IF(B100="","",IFERROR(INDEX(LOOKAHEAD!$B$5:$B$604,MATCH(B100,LOOKAHEAD!$A$5:$A$604,0)),"ID no existe"))</f>
        <v/>
      </c>
      <c r="D100" s="33" t="str">
        <f aca="false">IF(B100="","",IFERROR(INDEX(LOOKAHEAD!$I$5:$I$604,MATCH(B100,LOOKAHEAD!$A$5:$A$604,0)),""))</f>
        <v/>
      </c>
      <c r="E100" s="9"/>
      <c r="F100" s="9"/>
      <c r="G100" s="9"/>
      <c r="H100" s="43"/>
      <c r="I100" s="33" t="str">
        <f aca="false">IF(OR(D100="",D100=0),"",D100-$D$2)</f>
        <v/>
      </c>
      <c r="J100" s="43"/>
      <c r="K100" s="43"/>
      <c r="L100" s="18" t="str">
        <f aca="false">IF(B100="","",IF(K100&lt;&gt;"","Liberado","Pendiente"))</f>
        <v/>
      </c>
      <c r="M100" s="16" t="str">
        <f aca="true">IF(B100="","",IF(L100="Liberado",IF(OR(I100="",K100&lt;=I100),"A tiempo","Liberada tarde"),IF(J100="","Sin compromiso",IF(TODAY()&gt;J100,"VENCIDA",IF(AND(I100&lt;&gt;"",J100&gt;I100),"En riesgo","En gestión")))))</f>
        <v/>
      </c>
      <c r="N100" s="32" t="str">
        <f aca="false">IF(OR(B100="",I100=""),"",IF(K100&lt;&gt;"",I100-K100,IF(J100&lt;&gt;"",I100-J100,"")))</f>
        <v/>
      </c>
      <c r="O100" s="9"/>
    </row>
    <row r="101" customFormat="false" ht="15" hidden="false" customHeight="false" outlineLevel="0" collapsed="false">
      <c r="A101" s="9"/>
      <c r="B101" s="9"/>
      <c r="C101" s="16" t="str">
        <f aca="false">IF(B101="","",IFERROR(INDEX(LOOKAHEAD!$B$5:$B$604,MATCH(B101,LOOKAHEAD!$A$5:$A$604,0)),"ID no existe"))</f>
        <v/>
      </c>
      <c r="D101" s="33" t="str">
        <f aca="false">IF(B101="","",IFERROR(INDEX(LOOKAHEAD!$I$5:$I$604,MATCH(B101,LOOKAHEAD!$A$5:$A$604,0)),""))</f>
        <v/>
      </c>
      <c r="E101" s="9"/>
      <c r="F101" s="9"/>
      <c r="G101" s="9"/>
      <c r="H101" s="43"/>
      <c r="I101" s="33" t="str">
        <f aca="false">IF(OR(D101="",D101=0),"",D101-$D$2)</f>
        <v/>
      </c>
      <c r="J101" s="43"/>
      <c r="K101" s="43"/>
      <c r="L101" s="18" t="str">
        <f aca="false">IF(B101="","",IF(K101&lt;&gt;"","Liberado","Pendiente"))</f>
        <v/>
      </c>
      <c r="M101" s="16" t="str">
        <f aca="true">IF(B101="","",IF(L101="Liberado",IF(OR(I101="",K101&lt;=I101),"A tiempo","Liberada tarde"),IF(J101="","Sin compromiso",IF(TODAY()&gt;J101,"VENCIDA",IF(AND(I101&lt;&gt;"",J101&gt;I101),"En riesgo","En gestión")))))</f>
        <v/>
      </c>
      <c r="N101" s="32" t="str">
        <f aca="false">IF(OR(B101="",I101=""),"",IF(K101&lt;&gt;"",I101-K101,IF(J101&lt;&gt;"",I101-J101,"")))</f>
        <v/>
      </c>
      <c r="O101" s="9"/>
    </row>
    <row r="102" customFormat="false" ht="15" hidden="false" customHeight="false" outlineLevel="0" collapsed="false">
      <c r="A102" s="9"/>
      <c r="B102" s="9"/>
      <c r="C102" s="16" t="str">
        <f aca="false">IF(B102="","",IFERROR(INDEX(LOOKAHEAD!$B$5:$B$604,MATCH(B102,LOOKAHEAD!$A$5:$A$604,0)),"ID no existe"))</f>
        <v/>
      </c>
      <c r="D102" s="33" t="str">
        <f aca="false">IF(B102="","",IFERROR(INDEX(LOOKAHEAD!$I$5:$I$604,MATCH(B102,LOOKAHEAD!$A$5:$A$604,0)),""))</f>
        <v/>
      </c>
      <c r="E102" s="9"/>
      <c r="F102" s="9"/>
      <c r="G102" s="9"/>
      <c r="H102" s="43"/>
      <c r="I102" s="33" t="str">
        <f aca="false">IF(OR(D102="",D102=0),"",D102-$D$2)</f>
        <v/>
      </c>
      <c r="J102" s="43"/>
      <c r="K102" s="43"/>
      <c r="L102" s="18" t="str">
        <f aca="false">IF(B102="","",IF(K102&lt;&gt;"","Liberado","Pendiente"))</f>
        <v/>
      </c>
      <c r="M102" s="16" t="str">
        <f aca="true">IF(B102="","",IF(L102="Liberado",IF(OR(I102="",K102&lt;=I102),"A tiempo","Liberada tarde"),IF(J102="","Sin compromiso",IF(TODAY()&gt;J102,"VENCIDA",IF(AND(I102&lt;&gt;"",J102&gt;I102),"En riesgo","En gestión")))))</f>
        <v/>
      </c>
      <c r="N102" s="32" t="str">
        <f aca="false">IF(OR(B102="",I102=""),"",IF(K102&lt;&gt;"",I102-K102,IF(J102&lt;&gt;"",I102-J102,"")))</f>
        <v/>
      </c>
      <c r="O102" s="9"/>
    </row>
    <row r="103" customFormat="false" ht="15" hidden="false" customHeight="false" outlineLevel="0" collapsed="false">
      <c r="A103" s="9"/>
      <c r="B103" s="9"/>
      <c r="C103" s="16" t="str">
        <f aca="false">IF(B103="","",IFERROR(INDEX(LOOKAHEAD!$B$5:$B$604,MATCH(B103,LOOKAHEAD!$A$5:$A$604,0)),"ID no existe"))</f>
        <v/>
      </c>
      <c r="D103" s="33" t="str">
        <f aca="false">IF(B103="","",IFERROR(INDEX(LOOKAHEAD!$I$5:$I$604,MATCH(B103,LOOKAHEAD!$A$5:$A$604,0)),""))</f>
        <v/>
      </c>
      <c r="E103" s="9"/>
      <c r="F103" s="9"/>
      <c r="G103" s="9"/>
      <c r="H103" s="43"/>
      <c r="I103" s="33" t="str">
        <f aca="false">IF(OR(D103="",D103=0),"",D103-$D$2)</f>
        <v/>
      </c>
      <c r="J103" s="43"/>
      <c r="K103" s="43"/>
      <c r="L103" s="18" t="str">
        <f aca="false">IF(B103="","",IF(K103&lt;&gt;"","Liberado","Pendiente"))</f>
        <v/>
      </c>
      <c r="M103" s="16" t="str">
        <f aca="true">IF(B103="","",IF(L103="Liberado",IF(OR(I103="",K103&lt;=I103),"A tiempo","Liberada tarde"),IF(J103="","Sin compromiso",IF(TODAY()&gt;J103,"VENCIDA",IF(AND(I103&lt;&gt;"",J103&gt;I103),"En riesgo","En gestión")))))</f>
        <v/>
      </c>
      <c r="N103" s="32" t="str">
        <f aca="false">IF(OR(B103="",I103=""),"",IF(K103&lt;&gt;"",I103-K103,IF(J103&lt;&gt;"",I103-J103,"")))</f>
        <v/>
      </c>
      <c r="O103" s="9"/>
    </row>
    <row r="104" customFormat="false" ht="15" hidden="false" customHeight="false" outlineLevel="0" collapsed="false">
      <c r="A104" s="9"/>
      <c r="B104" s="9"/>
      <c r="C104" s="16" t="str">
        <f aca="false">IF(B104="","",IFERROR(INDEX(LOOKAHEAD!$B$5:$B$604,MATCH(B104,LOOKAHEAD!$A$5:$A$604,0)),"ID no existe"))</f>
        <v/>
      </c>
      <c r="D104" s="33" t="str">
        <f aca="false">IF(B104="","",IFERROR(INDEX(LOOKAHEAD!$I$5:$I$604,MATCH(B104,LOOKAHEAD!$A$5:$A$604,0)),""))</f>
        <v/>
      </c>
      <c r="E104" s="9"/>
      <c r="F104" s="9"/>
      <c r="G104" s="9"/>
      <c r="H104" s="43"/>
      <c r="I104" s="33" t="str">
        <f aca="false">IF(OR(D104="",D104=0),"",D104-$D$2)</f>
        <v/>
      </c>
      <c r="J104" s="43"/>
      <c r="K104" s="43"/>
      <c r="L104" s="18" t="str">
        <f aca="false">IF(B104="","",IF(K104&lt;&gt;"","Liberado","Pendiente"))</f>
        <v/>
      </c>
      <c r="M104" s="16" t="str">
        <f aca="true">IF(B104="","",IF(L104="Liberado",IF(OR(I104="",K104&lt;=I104),"A tiempo","Liberada tarde"),IF(J104="","Sin compromiso",IF(TODAY()&gt;J104,"VENCIDA",IF(AND(I104&lt;&gt;"",J104&gt;I104),"En riesgo","En gestión")))))</f>
        <v/>
      </c>
      <c r="N104" s="32" t="str">
        <f aca="false">IF(OR(B104="",I104=""),"",IF(K104&lt;&gt;"",I104-K104,IF(J104&lt;&gt;"",I104-J104,"")))</f>
        <v/>
      </c>
      <c r="O104" s="9"/>
    </row>
    <row r="105" customFormat="false" ht="15" hidden="false" customHeight="false" outlineLevel="0" collapsed="false">
      <c r="A105" s="9"/>
      <c r="B105" s="9"/>
      <c r="C105" s="16" t="str">
        <f aca="false">IF(B105="","",IFERROR(INDEX(LOOKAHEAD!$B$5:$B$604,MATCH(B105,LOOKAHEAD!$A$5:$A$604,0)),"ID no existe"))</f>
        <v/>
      </c>
      <c r="D105" s="33" t="str">
        <f aca="false">IF(B105="","",IFERROR(INDEX(LOOKAHEAD!$I$5:$I$604,MATCH(B105,LOOKAHEAD!$A$5:$A$604,0)),""))</f>
        <v/>
      </c>
      <c r="E105" s="9"/>
      <c r="F105" s="9"/>
      <c r="G105" s="9"/>
      <c r="H105" s="43"/>
      <c r="I105" s="33" t="str">
        <f aca="false">IF(OR(D105="",D105=0),"",D105-$D$2)</f>
        <v/>
      </c>
      <c r="J105" s="43"/>
      <c r="K105" s="43"/>
      <c r="L105" s="18" t="str">
        <f aca="false">IF(B105="","",IF(K105&lt;&gt;"","Liberado","Pendiente"))</f>
        <v/>
      </c>
      <c r="M105" s="16" t="str">
        <f aca="true">IF(B105="","",IF(L105="Liberado",IF(OR(I105="",K105&lt;=I105),"A tiempo","Liberada tarde"),IF(J105="","Sin compromiso",IF(TODAY()&gt;J105,"VENCIDA",IF(AND(I105&lt;&gt;"",J105&gt;I105),"En riesgo","En gestión")))))</f>
        <v/>
      </c>
      <c r="N105" s="32" t="str">
        <f aca="false">IF(OR(B105="",I105=""),"",IF(K105&lt;&gt;"",I105-K105,IF(J105&lt;&gt;"",I105-J105,"")))</f>
        <v/>
      </c>
      <c r="O105" s="9"/>
    </row>
    <row r="106" customFormat="false" ht="15" hidden="false" customHeight="false" outlineLevel="0" collapsed="false">
      <c r="A106" s="9"/>
      <c r="B106" s="9"/>
      <c r="C106" s="16" t="str">
        <f aca="false">IF(B106="","",IFERROR(INDEX(LOOKAHEAD!$B$5:$B$604,MATCH(B106,LOOKAHEAD!$A$5:$A$604,0)),"ID no existe"))</f>
        <v/>
      </c>
      <c r="D106" s="33" t="str">
        <f aca="false">IF(B106="","",IFERROR(INDEX(LOOKAHEAD!$I$5:$I$604,MATCH(B106,LOOKAHEAD!$A$5:$A$604,0)),""))</f>
        <v/>
      </c>
      <c r="E106" s="9"/>
      <c r="F106" s="9"/>
      <c r="G106" s="9"/>
      <c r="H106" s="43"/>
      <c r="I106" s="33" t="str">
        <f aca="false">IF(OR(D106="",D106=0),"",D106-$D$2)</f>
        <v/>
      </c>
      <c r="J106" s="43"/>
      <c r="K106" s="43"/>
      <c r="L106" s="18" t="str">
        <f aca="false">IF(B106="","",IF(K106&lt;&gt;"","Liberado","Pendiente"))</f>
        <v/>
      </c>
      <c r="M106" s="16" t="str">
        <f aca="true">IF(B106="","",IF(L106="Liberado",IF(OR(I106="",K106&lt;=I106),"A tiempo","Liberada tarde"),IF(J106="","Sin compromiso",IF(TODAY()&gt;J106,"VENCIDA",IF(AND(I106&lt;&gt;"",J106&gt;I106),"En riesgo","En gestión")))))</f>
        <v/>
      </c>
      <c r="N106" s="32" t="str">
        <f aca="false">IF(OR(B106="",I106=""),"",IF(K106&lt;&gt;"",I106-K106,IF(J106&lt;&gt;"",I106-J106,"")))</f>
        <v/>
      </c>
      <c r="O106" s="9"/>
    </row>
    <row r="107" customFormat="false" ht="15" hidden="false" customHeight="false" outlineLevel="0" collapsed="false">
      <c r="A107" s="9"/>
      <c r="B107" s="9"/>
      <c r="C107" s="16" t="str">
        <f aca="false">IF(B107="","",IFERROR(INDEX(LOOKAHEAD!$B$5:$B$604,MATCH(B107,LOOKAHEAD!$A$5:$A$604,0)),"ID no existe"))</f>
        <v/>
      </c>
      <c r="D107" s="33" t="str">
        <f aca="false">IF(B107="","",IFERROR(INDEX(LOOKAHEAD!$I$5:$I$604,MATCH(B107,LOOKAHEAD!$A$5:$A$604,0)),""))</f>
        <v/>
      </c>
      <c r="E107" s="9"/>
      <c r="F107" s="9"/>
      <c r="G107" s="9"/>
      <c r="H107" s="43"/>
      <c r="I107" s="33" t="str">
        <f aca="false">IF(OR(D107="",D107=0),"",D107-$D$2)</f>
        <v/>
      </c>
      <c r="J107" s="43"/>
      <c r="K107" s="43"/>
      <c r="L107" s="18" t="str">
        <f aca="false">IF(B107="","",IF(K107&lt;&gt;"","Liberado","Pendiente"))</f>
        <v/>
      </c>
      <c r="M107" s="16" t="str">
        <f aca="true">IF(B107="","",IF(L107="Liberado",IF(OR(I107="",K107&lt;=I107),"A tiempo","Liberada tarde"),IF(J107="","Sin compromiso",IF(TODAY()&gt;J107,"VENCIDA",IF(AND(I107&lt;&gt;"",J107&gt;I107),"En riesgo","En gestión")))))</f>
        <v/>
      </c>
      <c r="N107" s="32" t="str">
        <f aca="false">IF(OR(B107="",I107=""),"",IF(K107&lt;&gt;"",I107-K107,IF(J107&lt;&gt;"",I107-J107,"")))</f>
        <v/>
      </c>
      <c r="O107" s="9"/>
    </row>
    <row r="108" customFormat="false" ht="15" hidden="false" customHeight="false" outlineLevel="0" collapsed="false">
      <c r="A108" s="9"/>
      <c r="B108" s="9"/>
      <c r="C108" s="16" t="str">
        <f aca="false">IF(B108="","",IFERROR(INDEX(LOOKAHEAD!$B$5:$B$604,MATCH(B108,LOOKAHEAD!$A$5:$A$604,0)),"ID no existe"))</f>
        <v/>
      </c>
      <c r="D108" s="33" t="str">
        <f aca="false">IF(B108="","",IFERROR(INDEX(LOOKAHEAD!$I$5:$I$604,MATCH(B108,LOOKAHEAD!$A$5:$A$604,0)),""))</f>
        <v/>
      </c>
      <c r="E108" s="9"/>
      <c r="F108" s="9"/>
      <c r="G108" s="9"/>
      <c r="H108" s="43"/>
      <c r="I108" s="33" t="str">
        <f aca="false">IF(OR(D108="",D108=0),"",D108-$D$2)</f>
        <v/>
      </c>
      <c r="J108" s="43"/>
      <c r="K108" s="43"/>
      <c r="L108" s="18" t="str">
        <f aca="false">IF(B108="","",IF(K108&lt;&gt;"","Liberado","Pendiente"))</f>
        <v/>
      </c>
      <c r="M108" s="16" t="str">
        <f aca="true">IF(B108="","",IF(L108="Liberado",IF(OR(I108="",K108&lt;=I108),"A tiempo","Liberada tarde"),IF(J108="","Sin compromiso",IF(TODAY()&gt;J108,"VENCIDA",IF(AND(I108&lt;&gt;"",J108&gt;I108),"En riesgo","En gestión")))))</f>
        <v/>
      </c>
      <c r="N108" s="32" t="str">
        <f aca="false">IF(OR(B108="",I108=""),"",IF(K108&lt;&gt;"",I108-K108,IF(J108&lt;&gt;"",I108-J108,"")))</f>
        <v/>
      </c>
      <c r="O108" s="9"/>
    </row>
    <row r="109" customFormat="false" ht="15" hidden="false" customHeight="false" outlineLevel="0" collapsed="false">
      <c r="A109" s="9"/>
      <c r="B109" s="9"/>
      <c r="C109" s="16" t="str">
        <f aca="false">IF(B109="","",IFERROR(INDEX(LOOKAHEAD!$B$5:$B$604,MATCH(B109,LOOKAHEAD!$A$5:$A$604,0)),"ID no existe"))</f>
        <v/>
      </c>
      <c r="D109" s="33" t="str">
        <f aca="false">IF(B109="","",IFERROR(INDEX(LOOKAHEAD!$I$5:$I$604,MATCH(B109,LOOKAHEAD!$A$5:$A$604,0)),""))</f>
        <v/>
      </c>
      <c r="E109" s="9"/>
      <c r="F109" s="9"/>
      <c r="G109" s="9"/>
      <c r="H109" s="43"/>
      <c r="I109" s="33" t="str">
        <f aca="false">IF(OR(D109="",D109=0),"",D109-$D$2)</f>
        <v/>
      </c>
      <c r="J109" s="43"/>
      <c r="K109" s="43"/>
      <c r="L109" s="18" t="str">
        <f aca="false">IF(B109="","",IF(K109&lt;&gt;"","Liberado","Pendiente"))</f>
        <v/>
      </c>
      <c r="M109" s="16" t="str">
        <f aca="true">IF(B109="","",IF(L109="Liberado",IF(OR(I109="",K109&lt;=I109),"A tiempo","Liberada tarde"),IF(J109="","Sin compromiso",IF(TODAY()&gt;J109,"VENCIDA",IF(AND(I109&lt;&gt;"",J109&gt;I109),"En riesgo","En gestión")))))</f>
        <v/>
      </c>
      <c r="N109" s="32" t="str">
        <f aca="false">IF(OR(B109="",I109=""),"",IF(K109&lt;&gt;"",I109-K109,IF(J109&lt;&gt;"",I109-J109,"")))</f>
        <v/>
      </c>
      <c r="O109" s="9"/>
    </row>
    <row r="110" customFormat="false" ht="15" hidden="false" customHeight="false" outlineLevel="0" collapsed="false">
      <c r="A110" s="9"/>
      <c r="B110" s="9"/>
      <c r="C110" s="16" t="str">
        <f aca="false">IF(B110="","",IFERROR(INDEX(LOOKAHEAD!$B$5:$B$604,MATCH(B110,LOOKAHEAD!$A$5:$A$604,0)),"ID no existe"))</f>
        <v/>
      </c>
      <c r="D110" s="33" t="str">
        <f aca="false">IF(B110="","",IFERROR(INDEX(LOOKAHEAD!$I$5:$I$604,MATCH(B110,LOOKAHEAD!$A$5:$A$604,0)),""))</f>
        <v/>
      </c>
      <c r="E110" s="9"/>
      <c r="F110" s="9"/>
      <c r="G110" s="9"/>
      <c r="H110" s="43"/>
      <c r="I110" s="33" t="str">
        <f aca="false">IF(OR(D110="",D110=0),"",D110-$D$2)</f>
        <v/>
      </c>
      <c r="J110" s="43"/>
      <c r="K110" s="43"/>
      <c r="L110" s="18" t="str">
        <f aca="false">IF(B110="","",IF(K110&lt;&gt;"","Liberado","Pendiente"))</f>
        <v/>
      </c>
      <c r="M110" s="16" t="str">
        <f aca="true">IF(B110="","",IF(L110="Liberado",IF(OR(I110="",K110&lt;=I110),"A tiempo","Liberada tarde"),IF(J110="","Sin compromiso",IF(TODAY()&gt;J110,"VENCIDA",IF(AND(I110&lt;&gt;"",J110&gt;I110),"En riesgo","En gestión")))))</f>
        <v/>
      </c>
      <c r="N110" s="32" t="str">
        <f aca="false">IF(OR(B110="",I110=""),"",IF(K110&lt;&gt;"",I110-K110,IF(J110&lt;&gt;"",I110-J110,"")))</f>
        <v/>
      </c>
      <c r="O110" s="9"/>
    </row>
    <row r="111" customFormat="false" ht="15" hidden="false" customHeight="false" outlineLevel="0" collapsed="false">
      <c r="A111" s="9"/>
      <c r="B111" s="9"/>
      <c r="C111" s="16" t="str">
        <f aca="false">IF(B111="","",IFERROR(INDEX(LOOKAHEAD!$B$5:$B$604,MATCH(B111,LOOKAHEAD!$A$5:$A$604,0)),"ID no existe"))</f>
        <v/>
      </c>
      <c r="D111" s="33" t="str">
        <f aca="false">IF(B111="","",IFERROR(INDEX(LOOKAHEAD!$I$5:$I$604,MATCH(B111,LOOKAHEAD!$A$5:$A$604,0)),""))</f>
        <v/>
      </c>
      <c r="E111" s="9"/>
      <c r="F111" s="9"/>
      <c r="G111" s="9"/>
      <c r="H111" s="43"/>
      <c r="I111" s="33" t="str">
        <f aca="false">IF(OR(D111="",D111=0),"",D111-$D$2)</f>
        <v/>
      </c>
      <c r="J111" s="43"/>
      <c r="K111" s="43"/>
      <c r="L111" s="18" t="str">
        <f aca="false">IF(B111="","",IF(K111&lt;&gt;"","Liberado","Pendiente"))</f>
        <v/>
      </c>
      <c r="M111" s="16" t="str">
        <f aca="true">IF(B111="","",IF(L111="Liberado",IF(OR(I111="",K111&lt;=I111),"A tiempo","Liberada tarde"),IF(J111="","Sin compromiso",IF(TODAY()&gt;J111,"VENCIDA",IF(AND(I111&lt;&gt;"",J111&gt;I111),"En riesgo","En gestión")))))</f>
        <v/>
      </c>
      <c r="N111" s="32" t="str">
        <f aca="false">IF(OR(B111="",I111=""),"",IF(K111&lt;&gt;"",I111-K111,IF(J111&lt;&gt;"",I111-J111,"")))</f>
        <v/>
      </c>
      <c r="O111" s="9"/>
    </row>
    <row r="112" customFormat="false" ht="15" hidden="false" customHeight="false" outlineLevel="0" collapsed="false">
      <c r="A112" s="9"/>
      <c r="B112" s="9"/>
      <c r="C112" s="16" t="str">
        <f aca="false">IF(B112="","",IFERROR(INDEX(LOOKAHEAD!$B$5:$B$604,MATCH(B112,LOOKAHEAD!$A$5:$A$604,0)),"ID no existe"))</f>
        <v/>
      </c>
      <c r="D112" s="33" t="str">
        <f aca="false">IF(B112="","",IFERROR(INDEX(LOOKAHEAD!$I$5:$I$604,MATCH(B112,LOOKAHEAD!$A$5:$A$604,0)),""))</f>
        <v/>
      </c>
      <c r="E112" s="9"/>
      <c r="F112" s="9"/>
      <c r="G112" s="9"/>
      <c r="H112" s="43"/>
      <c r="I112" s="33" t="str">
        <f aca="false">IF(OR(D112="",D112=0),"",D112-$D$2)</f>
        <v/>
      </c>
      <c r="J112" s="43"/>
      <c r="K112" s="43"/>
      <c r="L112" s="18" t="str">
        <f aca="false">IF(B112="","",IF(K112&lt;&gt;"","Liberado","Pendiente"))</f>
        <v/>
      </c>
      <c r="M112" s="16" t="str">
        <f aca="true">IF(B112="","",IF(L112="Liberado",IF(OR(I112="",K112&lt;=I112),"A tiempo","Liberada tarde"),IF(J112="","Sin compromiso",IF(TODAY()&gt;J112,"VENCIDA",IF(AND(I112&lt;&gt;"",J112&gt;I112),"En riesgo","En gestión")))))</f>
        <v/>
      </c>
      <c r="N112" s="32" t="str">
        <f aca="false">IF(OR(B112="",I112=""),"",IF(K112&lt;&gt;"",I112-K112,IF(J112&lt;&gt;"",I112-J112,"")))</f>
        <v/>
      </c>
      <c r="O112" s="9"/>
    </row>
    <row r="113" customFormat="false" ht="15" hidden="false" customHeight="false" outlineLevel="0" collapsed="false">
      <c r="A113" s="9"/>
      <c r="B113" s="9"/>
      <c r="C113" s="16" t="str">
        <f aca="false">IF(B113="","",IFERROR(INDEX(LOOKAHEAD!$B$5:$B$604,MATCH(B113,LOOKAHEAD!$A$5:$A$604,0)),"ID no existe"))</f>
        <v/>
      </c>
      <c r="D113" s="33" t="str">
        <f aca="false">IF(B113="","",IFERROR(INDEX(LOOKAHEAD!$I$5:$I$604,MATCH(B113,LOOKAHEAD!$A$5:$A$604,0)),""))</f>
        <v/>
      </c>
      <c r="E113" s="9"/>
      <c r="F113" s="9"/>
      <c r="G113" s="9"/>
      <c r="H113" s="43"/>
      <c r="I113" s="33" t="str">
        <f aca="false">IF(OR(D113="",D113=0),"",D113-$D$2)</f>
        <v/>
      </c>
      <c r="J113" s="43"/>
      <c r="K113" s="43"/>
      <c r="L113" s="18" t="str">
        <f aca="false">IF(B113="","",IF(K113&lt;&gt;"","Liberado","Pendiente"))</f>
        <v/>
      </c>
      <c r="M113" s="16" t="str">
        <f aca="true">IF(B113="","",IF(L113="Liberado",IF(OR(I113="",K113&lt;=I113),"A tiempo","Liberada tarde"),IF(J113="","Sin compromiso",IF(TODAY()&gt;J113,"VENCIDA",IF(AND(I113&lt;&gt;"",J113&gt;I113),"En riesgo","En gestión")))))</f>
        <v/>
      </c>
      <c r="N113" s="32" t="str">
        <f aca="false">IF(OR(B113="",I113=""),"",IF(K113&lt;&gt;"",I113-K113,IF(J113&lt;&gt;"",I113-J113,"")))</f>
        <v/>
      </c>
      <c r="O113" s="9"/>
    </row>
    <row r="114" customFormat="false" ht="15" hidden="false" customHeight="false" outlineLevel="0" collapsed="false">
      <c r="A114" s="9"/>
      <c r="B114" s="9"/>
      <c r="C114" s="16" t="str">
        <f aca="false">IF(B114="","",IFERROR(INDEX(LOOKAHEAD!$B$5:$B$604,MATCH(B114,LOOKAHEAD!$A$5:$A$604,0)),"ID no existe"))</f>
        <v/>
      </c>
      <c r="D114" s="33" t="str">
        <f aca="false">IF(B114="","",IFERROR(INDEX(LOOKAHEAD!$I$5:$I$604,MATCH(B114,LOOKAHEAD!$A$5:$A$604,0)),""))</f>
        <v/>
      </c>
      <c r="E114" s="9"/>
      <c r="F114" s="9"/>
      <c r="G114" s="9"/>
      <c r="H114" s="43"/>
      <c r="I114" s="33" t="str">
        <f aca="false">IF(OR(D114="",D114=0),"",D114-$D$2)</f>
        <v/>
      </c>
      <c r="J114" s="43"/>
      <c r="K114" s="43"/>
      <c r="L114" s="18" t="str">
        <f aca="false">IF(B114="","",IF(K114&lt;&gt;"","Liberado","Pendiente"))</f>
        <v/>
      </c>
      <c r="M114" s="16" t="str">
        <f aca="true">IF(B114="","",IF(L114="Liberado",IF(OR(I114="",K114&lt;=I114),"A tiempo","Liberada tarde"),IF(J114="","Sin compromiso",IF(TODAY()&gt;J114,"VENCIDA",IF(AND(I114&lt;&gt;"",J114&gt;I114),"En riesgo","En gestión")))))</f>
        <v/>
      </c>
      <c r="N114" s="32" t="str">
        <f aca="false">IF(OR(B114="",I114=""),"",IF(K114&lt;&gt;"",I114-K114,IF(J114&lt;&gt;"",I114-J114,"")))</f>
        <v/>
      </c>
      <c r="O114" s="9"/>
    </row>
    <row r="115" customFormat="false" ht="15" hidden="false" customHeight="false" outlineLevel="0" collapsed="false">
      <c r="A115" s="9"/>
      <c r="B115" s="9"/>
      <c r="C115" s="16" t="str">
        <f aca="false">IF(B115="","",IFERROR(INDEX(LOOKAHEAD!$B$5:$B$604,MATCH(B115,LOOKAHEAD!$A$5:$A$604,0)),"ID no existe"))</f>
        <v/>
      </c>
      <c r="D115" s="33" t="str">
        <f aca="false">IF(B115="","",IFERROR(INDEX(LOOKAHEAD!$I$5:$I$604,MATCH(B115,LOOKAHEAD!$A$5:$A$604,0)),""))</f>
        <v/>
      </c>
      <c r="E115" s="9"/>
      <c r="F115" s="9"/>
      <c r="G115" s="9"/>
      <c r="H115" s="43"/>
      <c r="I115" s="33" t="str">
        <f aca="false">IF(OR(D115="",D115=0),"",D115-$D$2)</f>
        <v/>
      </c>
      <c r="J115" s="43"/>
      <c r="K115" s="43"/>
      <c r="L115" s="18" t="str">
        <f aca="false">IF(B115="","",IF(K115&lt;&gt;"","Liberado","Pendiente"))</f>
        <v/>
      </c>
      <c r="M115" s="16" t="str">
        <f aca="true">IF(B115="","",IF(L115="Liberado",IF(OR(I115="",K115&lt;=I115),"A tiempo","Liberada tarde"),IF(J115="","Sin compromiso",IF(TODAY()&gt;J115,"VENCIDA",IF(AND(I115&lt;&gt;"",J115&gt;I115),"En riesgo","En gestión")))))</f>
        <v/>
      </c>
      <c r="N115" s="32" t="str">
        <f aca="false">IF(OR(B115="",I115=""),"",IF(K115&lt;&gt;"",I115-K115,IF(J115&lt;&gt;"",I115-J115,"")))</f>
        <v/>
      </c>
      <c r="O115" s="9"/>
    </row>
    <row r="116" customFormat="false" ht="15" hidden="false" customHeight="false" outlineLevel="0" collapsed="false">
      <c r="A116" s="9"/>
      <c r="B116" s="9"/>
      <c r="C116" s="16" t="str">
        <f aca="false">IF(B116="","",IFERROR(INDEX(LOOKAHEAD!$B$5:$B$604,MATCH(B116,LOOKAHEAD!$A$5:$A$604,0)),"ID no existe"))</f>
        <v/>
      </c>
      <c r="D116" s="33" t="str">
        <f aca="false">IF(B116="","",IFERROR(INDEX(LOOKAHEAD!$I$5:$I$604,MATCH(B116,LOOKAHEAD!$A$5:$A$604,0)),""))</f>
        <v/>
      </c>
      <c r="E116" s="9"/>
      <c r="F116" s="9"/>
      <c r="G116" s="9"/>
      <c r="H116" s="43"/>
      <c r="I116" s="33" t="str">
        <f aca="false">IF(OR(D116="",D116=0),"",D116-$D$2)</f>
        <v/>
      </c>
      <c r="J116" s="43"/>
      <c r="K116" s="43"/>
      <c r="L116" s="18" t="str">
        <f aca="false">IF(B116="","",IF(K116&lt;&gt;"","Liberado","Pendiente"))</f>
        <v/>
      </c>
      <c r="M116" s="16" t="str">
        <f aca="true">IF(B116="","",IF(L116="Liberado",IF(OR(I116="",K116&lt;=I116),"A tiempo","Liberada tarde"),IF(J116="","Sin compromiso",IF(TODAY()&gt;J116,"VENCIDA",IF(AND(I116&lt;&gt;"",J116&gt;I116),"En riesgo","En gestión")))))</f>
        <v/>
      </c>
      <c r="N116" s="32" t="str">
        <f aca="false">IF(OR(B116="",I116=""),"",IF(K116&lt;&gt;"",I116-K116,IF(J116&lt;&gt;"",I116-J116,"")))</f>
        <v/>
      </c>
      <c r="O116" s="9"/>
    </row>
    <row r="117" customFormat="false" ht="15" hidden="false" customHeight="false" outlineLevel="0" collapsed="false">
      <c r="A117" s="9"/>
      <c r="B117" s="9"/>
      <c r="C117" s="16" t="str">
        <f aca="false">IF(B117="","",IFERROR(INDEX(LOOKAHEAD!$B$5:$B$604,MATCH(B117,LOOKAHEAD!$A$5:$A$604,0)),"ID no existe"))</f>
        <v/>
      </c>
      <c r="D117" s="33" t="str">
        <f aca="false">IF(B117="","",IFERROR(INDEX(LOOKAHEAD!$I$5:$I$604,MATCH(B117,LOOKAHEAD!$A$5:$A$604,0)),""))</f>
        <v/>
      </c>
      <c r="E117" s="9"/>
      <c r="F117" s="9"/>
      <c r="G117" s="9"/>
      <c r="H117" s="43"/>
      <c r="I117" s="33" t="str">
        <f aca="false">IF(OR(D117="",D117=0),"",D117-$D$2)</f>
        <v/>
      </c>
      <c r="J117" s="43"/>
      <c r="K117" s="43"/>
      <c r="L117" s="18" t="str">
        <f aca="false">IF(B117="","",IF(K117&lt;&gt;"","Liberado","Pendiente"))</f>
        <v/>
      </c>
      <c r="M117" s="16" t="str">
        <f aca="true">IF(B117="","",IF(L117="Liberado",IF(OR(I117="",K117&lt;=I117),"A tiempo","Liberada tarde"),IF(J117="","Sin compromiso",IF(TODAY()&gt;J117,"VENCIDA",IF(AND(I117&lt;&gt;"",J117&gt;I117),"En riesgo","En gestión")))))</f>
        <v/>
      </c>
      <c r="N117" s="32" t="str">
        <f aca="false">IF(OR(B117="",I117=""),"",IF(K117&lt;&gt;"",I117-K117,IF(J117&lt;&gt;"",I117-J117,"")))</f>
        <v/>
      </c>
      <c r="O117" s="9"/>
    </row>
    <row r="118" customFormat="false" ht="15" hidden="false" customHeight="false" outlineLevel="0" collapsed="false">
      <c r="A118" s="9"/>
      <c r="B118" s="9"/>
      <c r="C118" s="16" t="str">
        <f aca="false">IF(B118="","",IFERROR(INDEX(LOOKAHEAD!$B$5:$B$604,MATCH(B118,LOOKAHEAD!$A$5:$A$604,0)),"ID no existe"))</f>
        <v/>
      </c>
      <c r="D118" s="33" t="str">
        <f aca="false">IF(B118="","",IFERROR(INDEX(LOOKAHEAD!$I$5:$I$604,MATCH(B118,LOOKAHEAD!$A$5:$A$604,0)),""))</f>
        <v/>
      </c>
      <c r="E118" s="9"/>
      <c r="F118" s="9"/>
      <c r="G118" s="9"/>
      <c r="H118" s="43"/>
      <c r="I118" s="33" t="str">
        <f aca="false">IF(OR(D118="",D118=0),"",D118-$D$2)</f>
        <v/>
      </c>
      <c r="J118" s="43"/>
      <c r="K118" s="43"/>
      <c r="L118" s="18" t="str">
        <f aca="false">IF(B118="","",IF(K118&lt;&gt;"","Liberado","Pendiente"))</f>
        <v/>
      </c>
      <c r="M118" s="16" t="str">
        <f aca="true">IF(B118="","",IF(L118="Liberado",IF(OR(I118="",K118&lt;=I118),"A tiempo","Liberada tarde"),IF(J118="","Sin compromiso",IF(TODAY()&gt;J118,"VENCIDA",IF(AND(I118&lt;&gt;"",J118&gt;I118),"En riesgo","En gestión")))))</f>
        <v/>
      </c>
      <c r="N118" s="32" t="str">
        <f aca="false">IF(OR(B118="",I118=""),"",IF(K118&lt;&gt;"",I118-K118,IF(J118&lt;&gt;"",I118-J118,"")))</f>
        <v/>
      </c>
      <c r="O118" s="9"/>
    </row>
    <row r="119" customFormat="false" ht="15" hidden="false" customHeight="false" outlineLevel="0" collapsed="false">
      <c r="A119" s="9"/>
      <c r="B119" s="9"/>
      <c r="C119" s="16" t="str">
        <f aca="false">IF(B119="","",IFERROR(INDEX(LOOKAHEAD!$B$5:$B$604,MATCH(B119,LOOKAHEAD!$A$5:$A$604,0)),"ID no existe"))</f>
        <v/>
      </c>
      <c r="D119" s="33" t="str">
        <f aca="false">IF(B119="","",IFERROR(INDEX(LOOKAHEAD!$I$5:$I$604,MATCH(B119,LOOKAHEAD!$A$5:$A$604,0)),""))</f>
        <v/>
      </c>
      <c r="E119" s="9"/>
      <c r="F119" s="9"/>
      <c r="G119" s="9"/>
      <c r="H119" s="43"/>
      <c r="I119" s="33" t="str">
        <f aca="false">IF(OR(D119="",D119=0),"",D119-$D$2)</f>
        <v/>
      </c>
      <c r="J119" s="43"/>
      <c r="K119" s="43"/>
      <c r="L119" s="18" t="str">
        <f aca="false">IF(B119="","",IF(K119&lt;&gt;"","Liberado","Pendiente"))</f>
        <v/>
      </c>
      <c r="M119" s="16" t="str">
        <f aca="true">IF(B119="","",IF(L119="Liberado",IF(OR(I119="",K119&lt;=I119),"A tiempo","Liberada tarde"),IF(J119="","Sin compromiso",IF(TODAY()&gt;J119,"VENCIDA",IF(AND(I119&lt;&gt;"",J119&gt;I119),"En riesgo","En gestión")))))</f>
        <v/>
      </c>
      <c r="N119" s="32" t="str">
        <f aca="false">IF(OR(B119="",I119=""),"",IF(K119&lt;&gt;"",I119-K119,IF(J119&lt;&gt;"",I119-J119,"")))</f>
        <v/>
      </c>
      <c r="O119" s="9"/>
    </row>
    <row r="120" customFormat="false" ht="15" hidden="false" customHeight="false" outlineLevel="0" collapsed="false">
      <c r="A120" s="9"/>
      <c r="B120" s="9"/>
      <c r="C120" s="16" t="str">
        <f aca="false">IF(B120="","",IFERROR(INDEX(LOOKAHEAD!$B$5:$B$604,MATCH(B120,LOOKAHEAD!$A$5:$A$604,0)),"ID no existe"))</f>
        <v/>
      </c>
      <c r="D120" s="33" t="str">
        <f aca="false">IF(B120="","",IFERROR(INDEX(LOOKAHEAD!$I$5:$I$604,MATCH(B120,LOOKAHEAD!$A$5:$A$604,0)),""))</f>
        <v/>
      </c>
      <c r="E120" s="9"/>
      <c r="F120" s="9"/>
      <c r="G120" s="9"/>
      <c r="H120" s="43"/>
      <c r="I120" s="33" t="str">
        <f aca="false">IF(OR(D120="",D120=0),"",D120-$D$2)</f>
        <v/>
      </c>
      <c r="J120" s="43"/>
      <c r="K120" s="43"/>
      <c r="L120" s="18" t="str">
        <f aca="false">IF(B120="","",IF(K120&lt;&gt;"","Liberado","Pendiente"))</f>
        <v/>
      </c>
      <c r="M120" s="16" t="str">
        <f aca="true">IF(B120="","",IF(L120="Liberado",IF(OR(I120="",K120&lt;=I120),"A tiempo","Liberada tarde"),IF(J120="","Sin compromiso",IF(TODAY()&gt;J120,"VENCIDA",IF(AND(I120&lt;&gt;"",J120&gt;I120),"En riesgo","En gestión")))))</f>
        <v/>
      </c>
      <c r="N120" s="32" t="str">
        <f aca="false">IF(OR(B120="",I120=""),"",IF(K120&lt;&gt;"",I120-K120,IF(J120&lt;&gt;"",I120-J120,"")))</f>
        <v/>
      </c>
      <c r="O120" s="9"/>
    </row>
    <row r="121" customFormat="false" ht="15" hidden="false" customHeight="false" outlineLevel="0" collapsed="false">
      <c r="A121" s="9"/>
      <c r="B121" s="9"/>
      <c r="C121" s="16" t="str">
        <f aca="false">IF(B121="","",IFERROR(INDEX(LOOKAHEAD!$B$5:$B$604,MATCH(B121,LOOKAHEAD!$A$5:$A$604,0)),"ID no existe"))</f>
        <v/>
      </c>
      <c r="D121" s="33" t="str">
        <f aca="false">IF(B121="","",IFERROR(INDEX(LOOKAHEAD!$I$5:$I$604,MATCH(B121,LOOKAHEAD!$A$5:$A$604,0)),""))</f>
        <v/>
      </c>
      <c r="E121" s="9"/>
      <c r="F121" s="9"/>
      <c r="G121" s="9"/>
      <c r="H121" s="43"/>
      <c r="I121" s="33" t="str">
        <f aca="false">IF(OR(D121="",D121=0),"",D121-$D$2)</f>
        <v/>
      </c>
      <c r="J121" s="43"/>
      <c r="K121" s="43"/>
      <c r="L121" s="18" t="str">
        <f aca="false">IF(B121="","",IF(K121&lt;&gt;"","Liberado","Pendiente"))</f>
        <v/>
      </c>
      <c r="M121" s="16" t="str">
        <f aca="true">IF(B121="","",IF(L121="Liberado",IF(OR(I121="",K121&lt;=I121),"A tiempo","Liberada tarde"),IF(J121="","Sin compromiso",IF(TODAY()&gt;J121,"VENCIDA",IF(AND(I121&lt;&gt;"",J121&gt;I121),"En riesgo","En gestión")))))</f>
        <v/>
      </c>
      <c r="N121" s="32" t="str">
        <f aca="false">IF(OR(B121="",I121=""),"",IF(K121&lt;&gt;"",I121-K121,IF(J121&lt;&gt;"",I121-J121,"")))</f>
        <v/>
      </c>
      <c r="O121" s="9"/>
    </row>
    <row r="122" customFormat="false" ht="15" hidden="false" customHeight="false" outlineLevel="0" collapsed="false">
      <c r="A122" s="9"/>
      <c r="B122" s="9"/>
      <c r="C122" s="16" t="str">
        <f aca="false">IF(B122="","",IFERROR(INDEX(LOOKAHEAD!$B$5:$B$604,MATCH(B122,LOOKAHEAD!$A$5:$A$604,0)),"ID no existe"))</f>
        <v/>
      </c>
      <c r="D122" s="33" t="str">
        <f aca="false">IF(B122="","",IFERROR(INDEX(LOOKAHEAD!$I$5:$I$604,MATCH(B122,LOOKAHEAD!$A$5:$A$604,0)),""))</f>
        <v/>
      </c>
      <c r="E122" s="9"/>
      <c r="F122" s="9"/>
      <c r="G122" s="9"/>
      <c r="H122" s="43"/>
      <c r="I122" s="33" t="str">
        <f aca="false">IF(OR(D122="",D122=0),"",D122-$D$2)</f>
        <v/>
      </c>
      <c r="J122" s="43"/>
      <c r="K122" s="43"/>
      <c r="L122" s="18" t="str">
        <f aca="false">IF(B122="","",IF(K122&lt;&gt;"","Liberado","Pendiente"))</f>
        <v/>
      </c>
      <c r="M122" s="16" t="str">
        <f aca="true">IF(B122="","",IF(L122="Liberado",IF(OR(I122="",K122&lt;=I122),"A tiempo","Liberada tarde"),IF(J122="","Sin compromiso",IF(TODAY()&gt;J122,"VENCIDA",IF(AND(I122&lt;&gt;"",J122&gt;I122),"En riesgo","En gestión")))))</f>
        <v/>
      </c>
      <c r="N122" s="32" t="str">
        <f aca="false">IF(OR(B122="",I122=""),"",IF(K122&lt;&gt;"",I122-K122,IF(J122&lt;&gt;"",I122-J122,"")))</f>
        <v/>
      </c>
      <c r="O122" s="9"/>
    </row>
    <row r="123" customFormat="false" ht="15" hidden="false" customHeight="false" outlineLevel="0" collapsed="false">
      <c r="A123" s="9"/>
      <c r="B123" s="9"/>
      <c r="C123" s="16" t="str">
        <f aca="false">IF(B123="","",IFERROR(INDEX(LOOKAHEAD!$B$5:$B$604,MATCH(B123,LOOKAHEAD!$A$5:$A$604,0)),"ID no existe"))</f>
        <v/>
      </c>
      <c r="D123" s="33" t="str">
        <f aca="false">IF(B123="","",IFERROR(INDEX(LOOKAHEAD!$I$5:$I$604,MATCH(B123,LOOKAHEAD!$A$5:$A$604,0)),""))</f>
        <v/>
      </c>
      <c r="E123" s="9"/>
      <c r="F123" s="9"/>
      <c r="G123" s="9"/>
      <c r="H123" s="43"/>
      <c r="I123" s="33" t="str">
        <f aca="false">IF(OR(D123="",D123=0),"",D123-$D$2)</f>
        <v/>
      </c>
      <c r="J123" s="43"/>
      <c r="K123" s="43"/>
      <c r="L123" s="18" t="str">
        <f aca="false">IF(B123="","",IF(K123&lt;&gt;"","Liberado","Pendiente"))</f>
        <v/>
      </c>
      <c r="M123" s="16" t="str">
        <f aca="true">IF(B123="","",IF(L123="Liberado",IF(OR(I123="",K123&lt;=I123),"A tiempo","Liberada tarde"),IF(J123="","Sin compromiso",IF(TODAY()&gt;J123,"VENCIDA",IF(AND(I123&lt;&gt;"",J123&gt;I123),"En riesgo","En gestión")))))</f>
        <v/>
      </c>
      <c r="N123" s="32" t="str">
        <f aca="false">IF(OR(B123="",I123=""),"",IF(K123&lt;&gt;"",I123-K123,IF(J123&lt;&gt;"",I123-J123,"")))</f>
        <v/>
      </c>
      <c r="O123" s="9"/>
    </row>
    <row r="124" customFormat="false" ht="15" hidden="false" customHeight="false" outlineLevel="0" collapsed="false">
      <c r="A124" s="9"/>
      <c r="B124" s="9"/>
      <c r="C124" s="16" t="str">
        <f aca="false">IF(B124="","",IFERROR(INDEX(LOOKAHEAD!$B$5:$B$604,MATCH(B124,LOOKAHEAD!$A$5:$A$604,0)),"ID no existe"))</f>
        <v/>
      </c>
      <c r="D124" s="33" t="str">
        <f aca="false">IF(B124="","",IFERROR(INDEX(LOOKAHEAD!$I$5:$I$604,MATCH(B124,LOOKAHEAD!$A$5:$A$604,0)),""))</f>
        <v/>
      </c>
      <c r="E124" s="9"/>
      <c r="F124" s="9"/>
      <c r="G124" s="9"/>
      <c r="H124" s="43"/>
      <c r="I124" s="33" t="str">
        <f aca="false">IF(OR(D124="",D124=0),"",D124-$D$2)</f>
        <v/>
      </c>
      <c r="J124" s="43"/>
      <c r="K124" s="43"/>
      <c r="L124" s="18" t="str">
        <f aca="false">IF(B124="","",IF(K124&lt;&gt;"","Liberado","Pendiente"))</f>
        <v/>
      </c>
      <c r="M124" s="16" t="str">
        <f aca="true">IF(B124="","",IF(L124="Liberado",IF(OR(I124="",K124&lt;=I124),"A tiempo","Liberada tarde"),IF(J124="","Sin compromiso",IF(TODAY()&gt;J124,"VENCIDA",IF(AND(I124&lt;&gt;"",J124&gt;I124),"En riesgo","En gestión")))))</f>
        <v/>
      </c>
      <c r="N124" s="32" t="str">
        <f aca="false">IF(OR(B124="",I124=""),"",IF(K124&lt;&gt;"",I124-K124,IF(J124&lt;&gt;"",I124-J124,"")))</f>
        <v/>
      </c>
      <c r="O124" s="9"/>
    </row>
    <row r="125" customFormat="false" ht="15" hidden="false" customHeight="false" outlineLevel="0" collapsed="false">
      <c r="A125" s="9"/>
      <c r="B125" s="9"/>
      <c r="C125" s="16" t="str">
        <f aca="false">IF(B125="","",IFERROR(INDEX(LOOKAHEAD!$B$5:$B$604,MATCH(B125,LOOKAHEAD!$A$5:$A$604,0)),"ID no existe"))</f>
        <v/>
      </c>
      <c r="D125" s="33" t="str">
        <f aca="false">IF(B125="","",IFERROR(INDEX(LOOKAHEAD!$I$5:$I$604,MATCH(B125,LOOKAHEAD!$A$5:$A$604,0)),""))</f>
        <v/>
      </c>
      <c r="E125" s="9"/>
      <c r="F125" s="9"/>
      <c r="G125" s="9"/>
      <c r="H125" s="43"/>
      <c r="I125" s="33" t="str">
        <f aca="false">IF(OR(D125="",D125=0),"",D125-$D$2)</f>
        <v/>
      </c>
      <c r="J125" s="43"/>
      <c r="K125" s="43"/>
      <c r="L125" s="18" t="str">
        <f aca="false">IF(B125="","",IF(K125&lt;&gt;"","Liberado","Pendiente"))</f>
        <v/>
      </c>
      <c r="M125" s="16" t="str">
        <f aca="true">IF(B125="","",IF(L125="Liberado",IF(OR(I125="",K125&lt;=I125),"A tiempo","Liberada tarde"),IF(J125="","Sin compromiso",IF(TODAY()&gt;J125,"VENCIDA",IF(AND(I125&lt;&gt;"",J125&gt;I125),"En riesgo","En gestión")))))</f>
        <v/>
      </c>
      <c r="N125" s="32" t="str">
        <f aca="false">IF(OR(B125="",I125=""),"",IF(K125&lt;&gt;"",I125-K125,IF(J125&lt;&gt;"",I125-J125,"")))</f>
        <v/>
      </c>
      <c r="O125" s="9"/>
    </row>
    <row r="126" customFormat="false" ht="15" hidden="false" customHeight="false" outlineLevel="0" collapsed="false">
      <c r="A126" s="9"/>
      <c r="B126" s="9"/>
      <c r="C126" s="16" t="str">
        <f aca="false">IF(B126="","",IFERROR(INDEX(LOOKAHEAD!$B$5:$B$604,MATCH(B126,LOOKAHEAD!$A$5:$A$604,0)),"ID no existe"))</f>
        <v/>
      </c>
      <c r="D126" s="33" t="str">
        <f aca="false">IF(B126="","",IFERROR(INDEX(LOOKAHEAD!$I$5:$I$604,MATCH(B126,LOOKAHEAD!$A$5:$A$604,0)),""))</f>
        <v/>
      </c>
      <c r="E126" s="9"/>
      <c r="F126" s="9"/>
      <c r="G126" s="9"/>
      <c r="H126" s="43"/>
      <c r="I126" s="33" t="str">
        <f aca="false">IF(OR(D126="",D126=0),"",D126-$D$2)</f>
        <v/>
      </c>
      <c r="J126" s="43"/>
      <c r="K126" s="43"/>
      <c r="L126" s="18" t="str">
        <f aca="false">IF(B126="","",IF(K126&lt;&gt;"","Liberado","Pendiente"))</f>
        <v/>
      </c>
      <c r="M126" s="16" t="str">
        <f aca="true">IF(B126="","",IF(L126="Liberado",IF(OR(I126="",K126&lt;=I126),"A tiempo","Liberada tarde"),IF(J126="","Sin compromiso",IF(TODAY()&gt;J126,"VENCIDA",IF(AND(I126&lt;&gt;"",J126&gt;I126),"En riesgo","En gestión")))))</f>
        <v/>
      </c>
      <c r="N126" s="32" t="str">
        <f aca="false">IF(OR(B126="",I126=""),"",IF(K126&lt;&gt;"",I126-K126,IF(J126&lt;&gt;"",I126-J126,"")))</f>
        <v/>
      </c>
      <c r="O126" s="9"/>
    </row>
    <row r="127" customFormat="false" ht="15" hidden="false" customHeight="false" outlineLevel="0" collapsed="false">
      <c r="A127" s="9"/>
      <c r="B127" s="9"/>
      <c r="C127" s="16" t="str">
        <f aca="false">IF(B127="","",IFERROR(INDEX(LOOKAHEAD!$B$5:$B$604,MATCH(B127,LOOKAHEAD!$A$5:$A$604,0)),"ID no existe"))</f>
        <v/>
      </c>
      <c r="D127" s="33" t="str">
        <f aca="false">IF(B127="","",IFERROR(INDEX(LOOKAHEAD!$I$5:$I$604,MATCH(B127,LOOKAHEAD!$A$5:$A$604,0)),""))</f>
        <v/>
      </c>
      <c r="E127" s="9"/>
      <c r="F127" s="9"/>
      <c r="G127" s="9"/>
      <c r="H127" s="43"/>
      <c r="I127" s="33" t="str">
        <f aca="false">IF(OR(D127="",D127=0),"",D127-$D$2)</f>
        <v/>
      </c>
      <c r="J127" s="43"/>
      <c r="K127" s="43"/>
      <c r="L127" s="18" t="str">
        <f aca="false">IF(B127="","",IF(K127&lt;&gt;"","Liberado","Pendiente"))</f>
        <v/>
      </c>
      <c r="M127" s="16" t="str">
        <f aca="true">IF(B127="","",IF(L127="Liberado",IF(OR(I127="",K127&lt;=I127),"A tiempo","Liberada tarde"),IF(J127="","Sin compromiso",IF(TODAY()&gt;J127,"VENCIDA",IF(AND(I127&lt;&gt;"",J127&gt;I127),"En riesgo","En gestión")))))</f>
        <v/>
      </c>
      <c r="N127" s="32" t="str">
        <f aca="false">IF(OR(B127="",I127=""),"",IF(K127&lt;&gt;"",I127-K127,IF(J127&lt;&gt;"",I127-J127,"")))</f>
        <v/>
      </c>
      <c r="O127" s="9"/>
    </row>
    <row r="128" customFormat="false" ht="15" hidden="false" customHeight="false" outlineLevel="0" collapsed="false">
      <c r="A128" s="9"/>
      <c r="B128" s="9"/>
      <c r="C128" s="16" t="str">
        <f aca="false">IF(B128="","",IFERROR(INDEX(LOOKAHEAD!$B$5:$B$604,MATCH(B128,LOOKAHEAD!$A$5:$A$604,0)),"ID no existe"))</f>
        <v/>
      </c>
      <c r="D128" s="33" t="str">
        <f aca="false">IF(B128="","",IFERROR(INDEX(LOOKAHEAD!$I$5:$I$604,MATCH(B128,LOOKAHEAD!$A$5:$A$604,0)),""))</f>
        <v/>
      </c>
      <c r="E128" s="9"/>
      <c r="F128" s="9"/>
      <c r="G128" s="9"/>
      <c r="H128" s="43"/>
      <c r="I128" s="33" t="str">
        <f aca="false">IF(OR(D128="",D128=0),"",D128-$D$2)</f>
        <v/>
      </c>
      <c r="J128" s="43"/>
      <c r="K128" s="43"/>
      <c r="L128" s="18" t="str">
        <f aca="false">IF(B128="","",IF(K128&lt;&gt;"","Liberado","Pendiente"))</f>
        <v/>
      </c>
      <c r="M128" s="16" t="str">
        <f aca="true">IF(B128="","",IF(L128="Liberado",IF(OR(I128="",K128&lt;=I128),"A tiempo","Liberada tarde"),IF(J128="","Sin compromiso",IF(TODAY()&gt;J128,"VENCIDA",IF(AND(I128&lt;&gt;"",J128&gt;I128),"En riesgo","En gestión")))))</f>
        <v/>
      </c>
      <c r="N128" s="32" t="str">
        <f aca="false">IF(OR(B128="",I128=""),"",IF(K128&lt;&gt;"",I128-K128,IF(J128&lt;&gt;"",I128-J128,"")))</f>
        <v/>
      </c>
      <c r="O128" s="9"/>
    </row>
    <row r="129" customFormat="false" ht="15" hidden="false" customHeight="false" outlineLevel="0" collapsed="false">
      <c r="A129" s="9"/>
      <c r="B129" s="9"/>
      <c r="C129" s="16" t="str">
        <f aca="false">IF(B129="","",IFERROR(INDEX(LOOKAHEAD!$B$5:$B$604,MATCH(B129,LOOKAHEAD!$A$5:$A$604,0)),"ID no existe"))</f>
        <v/>
      </c>
      <c r="D129" s="33" t="str">
        <f aca="false">IF(B129="","",IFERROR(INDEX(LOOKAHEAD!$I$5:$I$604,MATCH(B129,LOOKAHEAD!$A$5:$A$604,0)),""))</f>
        <v/>
      </c>
      <c r="E129" s="9"/>
      <c r="F129" s="9"/>
      <c r="G129" s="9"/>
      <c r="H129" s="43"/>
      <c r="I129" s="33" t="str">
        <f aca="false">IF(OR(D129="",D129=0),"",D129-$D$2)</f>
        <v/>
      </c>
      <c r="J129" s="43"/>
      <c r="K129" s="43"/>
      <c r="L129" s="18" t="str">
        <f aca="false">IF(B129="","",IF(K129&lt;&gt;"","Liberado","Pendiente"))</f>
        <v/>
      </c>
      <c r="M129" s="16" t="str">
        <f aca="true">IF(B129="","",IF(L129="Liberado",IF(OR(I129="",K129&lt;=I129),"A tiempo","Liberada tarde"),IF(J129="","Sin compromiso",IF(TODAY()&gt;J129,"VENCIDA",IF(AND(I129&lt;&gt;"",J129&gt;I129),"En riesgo","En gestión")))))</f>
        <v/>
      </c>
      <c r="N129" s="32" t="str">
        <f aca="false">IF(OR(B129="",I129=""),"",IF(K129&lt;&gt;"",I129-K129,IF(J129&lt;&gt;"",I129-J129,"")))</f>
        <v/>
      </c>
      <c r="O129" s="9"/>
    </row>
    <row r="130" customFormat="false" ht="15" hidden="false" customHeight="false" outlineLevel="0" collapsed="false">
      <c r="A130" s="9"/>
      <c r="B130" s="9"/>
      <c r="C130" s="16" t="str">
        <f aca="false">IF(B130="","",IFERROR(INDEX(LOOKAHEAD!$B$5:$B$604,MATCH(B130,LOOKAHEAD!$A$5:$A$604,0)),"ID no existe"))</f>
        <v/>
      </c>
      <c r="D130" s="33" t="str">
        <f aca="false">IF(B130="","",IFERROR(INDEX(LOOKAHEAD!$I$5:$I$604,MATCH(B130,LOOKAHEAD!$A$5:$A$604,0)),""))</f>
        <v/>
      </c>
      <c r="E130" s="9"/>
      <c r="F130" s="9"/>
      <c r="G130" s="9"/>
      <c r="H130" s="43"/>
      <c r="I130" s="33" t="str">
        <f aca="false">IF(OR(D130="",D130=0),"",D130-$D$2)</f>
        <v/>
      </c>
      <c r="J130" s="43"/>
      <c r="K130" s="43"/>
      <c r="L130" s="18" t="str">
        <f aca="false">IF(B130="","",IF(K130&lt;&gt;"","Liberado","Pendiente"))</f>
        <v/>
      </c>
      <c r="M130" s="16" t="str">
        <f aca="true">IF(B130="","",IF(L130="Liberado",IF(OR(I130="",K130&lt;=I130),"A tiempo","Liberada tarde"),IF(J130="","Sin compromiso",IF(TODAY()&gt;J130,"VENCIDA",IF(AND(I130&lt;&gt;"",J130&gt;I130),"En riesgo","En gestión")))))</f>
        <v/>
      </c>
      <c r="N130" s="32" t="str">
        <f aca="false">IF(OR(B130="",I130=""),"",IF(K130&lt;&gt;"",I130-K130,IF(J130&lt;&gt;"",I130-J130,"")))</f>
        <v/>
      </c>
      <c r="O130" s="9"/>
    </row>
    <row r="131" customFormat="false" ht="15" hidden="false" customHeight="false" outlineLevel="0" collapsed="false">
      <c r="A131" s="9"/>
      <c r="B131" s="9"/>
      <c r="C131" s="16" t="str">
        <f aca="false">IF(B131="","",IFERROR(INDEX(LOOKAHEAD!$B$5:$B$604,MATCH(B131,LOOKAHEAD!$A$5:$A$604,0)),"ID no existe"))</f>
        <v/>
      </c>
      <c r="D131" s="33" t="str">
        <f aca="false">IF(B131="","",IFERROR(INDEX(LOOKAHEAD!$I$5:$I$604,MATCH(B131,LOOKAHEAD!$A$5:$A$604,0)),""))</f>
        <v/>
      </c>
      <c r="E131" s="9"/>
      <c r="F131" s="9"/>
      <c r="G131" s="9"/>
      <c r="H131" s="43"/>
      <c r="I131" s="33" t="str">
        <f aca="false">IF(OR(D131="",D131=0),"",D131-$D$2)</f>
        <v/>
      </c>
      <c r="J131" s="43"/>
      <c r="K131" s="43"/>
      <c r="L131" s="18" t="str">
        <f aca="false">IF(B131="","",IF(K131&lt;&gt;"","Liberado","Pendiente"))</f>
        <v/>
      </c>
      <c r="M131" s="16" t="str">
        <f aca="true">IF(B131="","",IF(L131="Liberado",IF(OR(I131="",K131&lt;=I131),"A tiempo","Liberada tarde"),IF(J131="","Sin compromiso",IF(TODAY()&gt;J131,"VENCIDA",IF(AND(I131&lt;&gt;"",J131&gt;I131),"En riesgo","En gestión")))))</f>
        <v/>
      </c>
      <c r="N131" s="32" t="str">
        <f aca="false">IF(OR(B131="",I131=""),"",IF(K131&lt;&gt;"",I131-K131,IF(J131&lt;&gt;"",I131-J131,"")))</f>
        <v/>
      </c>
      <c r="O131" s="9"/>
    </row>
    <row r="132" customFormat="false" ht="15" hidden="false" customHeight="false" outlineLevel="0" collapsed="false">
      <c r="A132" s="9"/>
      <c r="B132" s="9"/>
      <c r="C132" s="16" t="str">
        <f aca="false">IF(B132="","",IFERROR(INDEX(LOOKAHEAD!$B$5:$B$604,MATCH(B132,LOOKAHEAD!$A$5:$A$604,0)),"ID no existe"))</f>
        <v/>
      </c>
      <c r="D132" s="33" t="str">
        <f aca="false">IF(B132="","",IFERROR(INDEX(LOOKAHEAD!$I$5:$I$604,MATCH(B132,LOOKAHEAD!$A$5:$A$604,0)),""))</f>
        <v/>
      </c>
      <c r="E132" s="9"/>
      <c r="F132" s="9"/>
      <c r="G132" s="9"/>
      <c r="H132" s="43"/>
      <c r="I132" s="33" t="str">
        <f aca="false">IF(OR(D132="",D132=0),"",D132-$D$2)</f>
        <v/>
      </c>
      <c r="J132" s="43"/>
      <c r="K132" s="43"/>
      <c r="L132" s="18" t="str">
        <f aca="false">IF(B132="","",IF(K132&lt;&gt;"","Liberado","Pendiente"))</f>
        <v/>
      </c>
      <c r="M132" s="16" t="str">
        <f aca="true">IF(B132="","",IF(L132="Liberado",IF(OR(I132="",K132&lt;=I132),"A tiempo","Liberada tarde"),IF(J132="","Sin compromiso",IF(TODAY()&gt;J132,"VENCIDA",IF(AND(I132&lt;&gt;"",J132&gt;I132),"En riesgo","En gestión")))))</f>
        <v/>
      </c>
      <c r="N132" s="32" t="str">
        <f aca="false">IF(OR(B132="",I132=""),"",IF(K132&lt;&gt;"",I132-K132,IF(J132&lt;&gt;"",I132-J132,"")))</f>
        <v/>
      </c>
      <c r="O132" s="9"/>
    </row>
    <row r="133" customFormat="false" ht="15" hidden="false" customHeight="false" outlineLevel="0" collapsed="false">
      <c r="A133" s="9"/>
      <c r="B133" s="9"/>
      <c r="C133" s="16" t="str">
        <f aca="false">IF(B133="","",IFERROR(INDEX(LOOKAHEAD!$B$5:$B$604,MATCH(B133,LOOKAHEAD!$A$5:$A$604,0)),"ID no existe"))</f>
        <v/>
      </c>
      <c r="D133" s="33" t="str">
        <f aca="false">IF(B133="","",IFERROR(INDEX(LOOKAHEAD!$I$5:$I$604,MATCH(B133,LOOKAHEAD!$A$5:$A$604,0)),""))</f>
        <v/>
      </c>
      <c r="E133" s="9"/>
      <c r="F133" s="9"/>
      <c r="G133" s="9"/>
      <c r="H133" s="43"/>
      <c r="I133" s="33" t="str">
        <f aca="false">IF(OR(D133="",D133=0),"",D133-$D$2)</f>
        <v/>
      </c>
      <c r="J133" s="43"/>
      <c r="K133" s="43"/>
      <c r="L133" s="18" t="str">
        <f aca="false">IF(B133="","",IF(K133&lt;&gt;"","Liberado","Pendiente"))</f>
        <v/>
      </c>
      <c r="M133" s="16" t="str">
        <f aca="true">IF(B133="","",IF(L133="Liberado",IF(OR(I133="",K133&lt;=I133),"A tiempo","Liberada tarde"),IF(J133="","Sin compromiso",IF(TODAY()&gt;J133,"VENCIDA",IF(AND(I133&lt;&gt;"",J133&gt;I133),"En riesgo","En gestión")))))</f>
        <v/>
      </c>
      <c r="N133" s="32" t="str">
        <f aca="false">IF(OR(B133="",I133=""),"",IF(K133&lt;&gt;"",I133-K133,IF(J133&lt;&gt;"",I133-J133,"")))</f>
        <v/>
      </c>
      <c r="O133" s="9"/>
    </row>
    <row r="134" customFormat="false" ht="15" hidden="false" customHeight="false" outlineLevel="0" collapsed="false">
      <c r="A134" s="9"/>
      <c r="B134" s="9"/>
      <c r="C134" s="16" t="str">
        <f aca="false">IF(B134="","",IFERROR(INDEX(LOOKAHEAD!$B$5:$B$604,MATCH(B134,LOOKAHEAD!$A$5:$A$604,0)),"ID no existe"))</f>
        <v/>
      </c>
      <c r="D134" s="33" t="str">
        <f aca="false">IF(B134="","",IFERROR(INDEX(LOOKAHEAD!$I$5:$I$604,MATCH(B134,LOOKAHEAD!$A$5:$A$604,0)),""))</f>
        <v/>
      </c>
      <c r="E134" s="9"/>
      <c r="F134" s="9"/>
      <c r="G134" s="9"/>
      <c r="H134" s="43"/>
      <c r="I134" s="33" t="str">
        <f aca="false">IF(OR(D134="",D134=0),"",D134-$D$2)</f>
        <v/>
      </c>
      <c r="J134" s="43"/>
      <c r="K134" s="43"/>
      <c r="L134" s="18" t="str">
        <f aca="false">IF(B134="","",IF(K134&lt;&gt;"","Liberado","Pendiente"))</f>
        <v/>
      </c>
      <c r="M134" s="16" t="str">
        <f aca="true">IF(B134="","",IF(L134="Liberado",IF(OR(I134="",K134&lt;=I134),"A tiempo","Liberada tarde"),IF(J134="","Sin compromiso",IF(TODAY()&gt;J134,"VENCIDA",IF(AND(I134&lt;&gt;"",J134&gt;I134),"En riesgo","En gestión")))))</f>
        <v/>
      </c>
      <c r="N134" s="32" t="str">
        <f aca="false">IF(OR(B134="",I134=""),"",IF(K134&lt;&gt;"",I134-K134,IF(J134&lt;&gt;"",I134-J134,"")))</f>
        <v/>
      </c>
      <c r="O134" s="9"/>
    </row>
    <row r="135" customFormat="false" ht="15" hidden="false" customHeight="false" outlineLevel="0" collapsed="false">
      <c r="A135" s="9"/>
      <c r="B135" s="9"/>
      <c r="C135" s="16" t="str">
        <f aca="false">IF(B135="","",IFERROR(INDEX(LOOKAHEAD!$B$5:$B$604,MATCH(B135,LOOKAHEAD!$A$5:$A$604,0)),"ID no existe"))</f>
        <v/>
      </c>
      <c r="D135" s="33" t="str">
        <f aca="false">IF(B135="","",IFERROR(INDEX(LOOKAHEAD!$I$5:$I$604,MATCH(B135,LOOKAHEAD!$A$5:$A$604,0)),""))</f>
        <v/>
      </c>
      <c r="E135" s="9"/>
      <c r="F135" s="9"/>
      <c r="G135" s="9"/>
      <c r="H135" s="43"/>
      <c r="I135" s="33" t="str">
        <f aca="false">IF(OR(D135="",D135=0),"",D135-$D$2)</f>
        <v/>
      </c>
      <c r="J135" s="43"/>
      <c r="K135" s="43"/>
      <c r="L135" s="18" t="str">
        <f aca="false">IF(B135="","",IF(K135&lt;&gt;"","Liberado","Pendiente"))</f>
        <v/>
      </c>
      <c r="M135" s="16" t="str">
        <f aca="true">IF(B135="","",IF(L135="Liberado",IF(OR(I135="",K135&lt;=I135),"A tiempo","Liberada tarde"),IF(J135="","Sin compromiso",IF(TODAY()&gt;J135,"VENCIDA",IF(AND(I135&lt;&gt;"",J135&gt;I135),"En riesgo","En gestión")))))</f>
        <v/>
      </c>
      <c r="N135" s="32" t="str">
        <f aca="false">IF(OR(B135="",I135=""),"",IF(K135&lt;&gt;"",I135-K135,IF(J135&lt;&gt;"",I135-J135,"")))</f>
        <v/>
      </c>
      <c r="O135" s="9"/>
    </row>
    <row r="136" customFormat="false" ht="15" hidden="false" customHeight="false" outlineLevel="0" collapsed="false">
      <c r="A136" s="9"/>
      <c r="B136" s="9"/>
      <c r="C136" s="16" t="str">
        <f aca="false">IF(B136="","",IFERROR(INDEX(LOOKAHEAD!$B$5:$B$604,MATCH(B136,LOOKAHEAD!$A$5:$A$604,0)),"ID no existe"))</f>
        <v/>
      </c>
      <c r="D136" s="33" t="str">
        <f aca="false">IF(B136="","",IFERROR(INDEX(LOOKAHEAD!$I$5:$I$604,MATCH(B136,LOOKAHEAD!$A$5:$A$604,0)),""))</f>
        <v/>
      </c>
      <c r="E136" s="9"/>
      <c r="F136" s="9"/>
      <c r="G136" s="9"/>
      <c r="H136" s="43"/>
      <c r="I136" s="33" t="str">
        <f aca="false">IF(OR(D136="",D136=0),"",D136-$D$2)</f>
        <v/>
      </c>
      <c r="J136" s="43"/>
      <c r="K136" s="43"/>
      <c r="L136" s="18" t="str">
        <f aca="false">IF(B136="","",IF(K136&lt;&gt;"","Liberado","Pendiente"))</f>
        <v/>
      </c>
      <c r="M136" s="16" t="str">
        <f aca="true">IF(B136="","",IF(L136="Liberado",IF(OR(I136="",K136&lt;=I136),"A tiempo","Liberada tarde"),IF(J136="","Sin compromiso",IF(TODAY()&gt;J136,"VENCIDA",IF(AND(I136&lt;&gt;"",J136&gt;I136),"En riesgo","En gestión")))))</f>
        <v/>
      </c>
      <c r="N136" s="32" t="str">
        <f aca="false">IF(OR(B136="",I136=""),"",IF(K136&lt;&gt;"",I136-K136,IF(J136&lt;&gt;"",I136-J136,"")))</f>
        <v/>
      </c>
      <c r="O136" s="9"/>
    </row>
    <row r="137" customFormat="false" ht="15" hidden="false" customHeight="false" outlineLevel="0" collapsed="false">
      <c r="A137" s="9"/>
      <c r="B137" s="9"/>
      <c r="C137" s="16" t="str">
        <f aca="false">IF(B137="","",IFERROR(INDEX(LOOKAHEAD!$B$5:$B$604,MATCH(B137,LOOKAHEAD!$A$5:$A$604,0)),"ID no existe"))</f>
        <v/>
      </c>
      <c r="D137" s="33" t="str">
        <f aca="false">IF(B137="","",IFERROR(INDEX(LOOKAHEAD!$I$5:$I$604,MATCH(B137,LOOKAHEAD!$A$5:$A$604,0)),""))</f>
        <v/>
      </c>
      <c r="E137" s="9"/>
      <c r="F137" s="9"/>
      <c r="G137" s="9"/>
      <c r="H137" s="43"/>
      <c r="I137" s="33" t="str">
        <f aca="false">IF(OR(D137="",D137=0),"",D137-$D$2)</f>
        <v/>
      </c>
      <c r="J137" s="43"/>
      <c r="K137" s="43"/>
      <c r="L137" s="18" t="str">
        <f aca="false">IF(B137="","",IF(K137&lt;&gt;"","Liberado","Pendiente"))</f>
        <v/>
      </c>
      <c r="M137" s="16" t="str">
        <f aca="true">IF(B137="","",IF(L137="Liberado",IF(OR(I137="",K137&lt;=I137),"A tiempo","Liberada tarde"),IF(J137="","Sin compromiso",IF(TODAY()&gt;J137,"VENCIDA",IF(AND(I137&lt;&gt;"",J137&gt;I137),"En riesgo","En gestión")))))</f>
        <v/>
      </c>
      <c r="N137" s="32" t="str">
        <f aca="false">IF(OR(B137="",I137=""),"",IF(K137&lt;&gt;"",I137-K137,IF(J137&lt;&gt;"",I137-J137,"")))</f>
        <v/>
      </c>
      <c r="O137" s="9"/>
    </row>
    <row r="138" customFormat="false" ht="15" hidden="false" customHeight="false" outlineLevel="0" collapsed="false">
      <c r="A138" s="9"/>
      <c r="B138" s="9"/>
      <c r="C138" s="16" t="str">
        <f aca="false">IF(B138="","",IFERROR(INDEX(LOOKAHEAD!$B$5:$B$604,MATCH(B138,LOOKAHEAD!$A$5:$A$604,0)),"ID no existe"))</f>
        <v/>
      </c>
      <c r="D138" s="33" t="str">
        <f aca="false">IF(B138="","",IFERROR(INDEX(LOOKAHEAD!$I$5:$I$604,MATCH(B138,LOOKAHEAD!$A$5:$A$604,0)),""))</f>
        <v/>
      </c>
      <c r="E138" s="9"/>
      <c r="F138" s="9"/>
      <c r="G138" s="9"/>
      <c r="H138" s="43"/>
      <c r="I138" s="33" t="str">
        <f aca="false">IF(OR(D138="",D138=0),"",D138-$D$2)</f>
        <v/>
      </c>
      <c r="J138" s="43"/>
      <c r="K138" s="43"/>
      <c r="L138" s="18" t="str">
        <f aca="false">IF(B138="","",IF(K138&lt;&gt;"","Liberado","Pendiente"))</f>
        <v/>
      </c>
      <c r="M138" s="16" t="str">
        <f aca="true">IF(B138="","",IF(L138="Liberado",IF(OR(I138="",K138&lt;=I138),"A tiempo","Liberada tarde"),IF(J138="","Sin compromiso",IF(TODAY()&gt;J138,"VENCIDA",IF(AND(I138&lt;&gt;"",J138&gt;I138),"En riesgo","En gestión")))))</f>
        <v/>
      </c>
      <c r="N138" s="32" t="str">
        <f aca="false">IF(OR(B138="",I138=""),"",IF(K138&lt;&gt;"",I138-K138,IF(J138&lt;&gt;"",I138-J138,"")))</f>
        <v/>
      </c>
      <c r="O138" s="9"/>
    </row>
    <row r="139" customFormat="false" ht="15" hidden="false" customHeight="false" outlineLevel="0" collapsed="false">
      <c r="A139" s="9"/>
      <c r="B139" s="9"/>
      <c r="C139" s="16" t="str">
        <f aca="false">IF(B139="","",IFERROR(INDEX(LOOKAHEAD!$B$5:$B$604,MATCH(B139,LOOKAHEAD!$A$5:$A$604,0)),"ID no existe"))</f>
        <v/>
      </c>
      <c r="D139" s="33" t="str">
        <f aca="false">IF(B139="","",IFERROR(INDEX(LOOKAHEAD!$I$5:$I$604,MATCH(B139,LOOKAHEAD!$A$5:$A$604,0)),""))</f>
        <v/>
      </c>
      <c r="E139" s="9"/>
      <c r="F139" s="9"/>
      <c r="G139" s="9"/>
      <c r="H139" s="43"/>
      <c r="I139" s="33" t="str">
        <f aca="false">IF(OR(D139="",D139=0),"",D139-$D$2)</f>
        <v/>
      </c>
      <c r="J139" s="43"/>
      <c r="K139" s="43"/>
      <c r="L139" s="18" t="str">
        <f aca="false">IF(B139="","",IF(K139&lt;&gt;"","Liberado","Pendiente"))</f>
        <v/>
      </c>
      <c r="M139" s="16" t="str">
        <f aca="true">IF(B139="","",IF(L139="Liberado",IF(OR(I139="",K139&lt;=I139),"A tiempo","Liberada tarde"),IF(J139="","Sin compromiso",IF(TODAY()&gt;J139,"VENCIDA",IF(AND(I139&lt;&gt;"",J139&gt;I139),"En riesgo","En gestión")))))</f>
        <v/>
      </c>
      <c r="N139" s="32" t="str">
        <f aca="false">IF(OR(B139="",I139=""),"",IF(K139&lt;&gt;"",I139-K139,IF(J139&lt;&gt;"",I139-J139,"")))</f>
        <v/>
      </c>
      <c r="O139" s="9"/>
    </row>
    <row r="140" customFormat="false" ht="15" hidden="false" customHeight="false" outlineLevel="0" collapsed="false">
      <c r="A140" s="9"/>
      <c r="B140" s="9"/>
      <c r="C140" s="16" t="str">
        <f aca="false">IF(B140="","",IFERROR(INDEX(LOOKAHEAD!$B$5:$B$604,MATCH(B140,LOOKAHEAD!$A$5:$A$604,0)),"ID no existe"))</f>
        <v/>
      </c>
      <c r="D140" s="33" t="str">
        <f aca="false">IF(B140="","",IFERROR(INDEX(LOOKAHEAD!$I$5:$I$604,MATCH(B140,LOOKAHEAD!$A$5:$A$604,0)),""))</f>
        <v/>
      </c>
      <c r="E140" s="9"/>
      <c r="F140" s="9"/>
      <c r="G140" s="9"/>
      <c r="H140" s="43"/>
      <c r="I140" s="33" t="str">
        <f aca="false">IF(OR(D140="",D140=0),"",D140-$D$2)</f>
        <v/>
      </c>
      <c r="J140" s="43"/>
      <c r="K140" s="43"/>
      <c r="L140" s="18" t="str">
        <f aca="false">IF(B140="","",IF(K140&lt;&gt;"","Liberado","Pendiente"))</f>
        <v/>
      </c>
      <c r="M140" s="16" t="str">
        <f aca="true">IF(B140="","",IF(L140="Liberado",IF(OR(I140="",K140&lt;=I140),"A tiempo","Liberada tarde"),IF(J140="","Sin compromiso",IF(TODAY()&gt;J140,"VENCIDA",IF(AND(I140&lt;&gt;"",J140&gt;I140),"En riesgo","En gestión")))))</f>
        <v/>
      </c>
      <c r="N140" s="32" t="str">
        <f aca="false">IF(OR(B140="",I140=""),"",IF(K140&lt;&gt;"",I140-K140,IF(J140&lt;&gt;"",I140-J140,"")))</f>
        <v/>
      </c>
      <c r="O140" s="9"/>
    </row>
    <row r="141" customFormat="false" ht="15" hidden="false" customHeight="false" outlineLevel="0" collapsed="false">
      <c r="A141" s="9"/>
      <c r="B141" s="9"/>
      <c r="C141" s="16" t="str">
        <f aca="false">IF(B141="","",IFERROR(INDEX(LOOKAHEAD!$B$5:$B$604,MATCH(B141,LOOKAHEAD!$A$5:$A$604,0)),"ID no existe"))</f>
        <v/>
      </c>
      <c r="D141" s="33" t="str">
        <f aca="false">IF(B141="","",IFERROR(INDEX(LOOKAHEAD!$I$5:$I$604,MATCH(B141,LOOKAHEAD!$A$5:$A$604,0)),""))</f>
        <v/>
      </c>
      <c r="E141" s="9"/>
      <c r="F141" s="9"/>
      <c r="G141" s="9"/>
      <c r="H141" s="43"/>
      <c r="I141" s="33" t="str">
        <f aca="false">IF(OR(D141="",D141=0),"",D141-$D$2)</f>
        <v/>
      </c>
      <c r="J141" s="43"/>
      <c r="K141" s="43"/>
      <c r="L141" s="18" t="str">
        <f aca="false">IF(B141="","",IF(K141&lt;&gt;"","Liberado","Pendiente"))</f>
        <v/>
      </c>
      <c r="M141" s="16" t="str">
        <f aca="true">IF(B141="","",IF(L141="Liberado",IF(OR(I141="",K141&lt;=I141),"A tiempo","Liberada tarde"),IF(J141="","Sin compromiso",IF(TODAY()&gt;J141,"VENCIDA",IF(AND(I141&lt;&gt;"",J141&gt;I141),"En riesgo","En gestión")))))</f>
        <v/>
      </c>
      <c r="N141" s="32" t="str">
        <f aca="false">IF(OR(B141="",I141=""),"",IF(K141&lt;&gt;"",I141-K141,IF(J141&lt;&gt;"",I141-J141,"")))</f>
        <v/>
      </c>
      <c r="O141" s="9"/>
    </row>
    <row r="142" customFormat="false" ht="15" hidden="false" customHeight="false" outlineLevel="0" collapsed="false">
      <c r="A142" s="9"/>
      <c r="B142" s="9"/>
      <c r="C142" s="16" t="str">
        <f aca="false">IF(B142="","",IFERROR(INDEX(LOOKAHEAD!$B$5:$B$604,MATCH(B142,LOOKAHEAD!$A$5:$A$604,0)),"ID no existe"))</f>
        <v/>
      </c>
      <c r="D142" s="33" t="str">
        <f aca="false">IF(B142="","",IFERROR(INDEX(LOOKAHEAD!$I$5:$I$604,MATCH(B142,LOOKAHEAD!$A$5:$A$604,0)),""))</f>
        <v/>
      </c>
      <c r="E142" s="9"/>
      <c r="F142" s="9"/>
      <c r="G142" s="9"/>
      <c r="H142" s="43"/>
      <c r="I142" s="33" t="str">
        <f aca="false">IF(OR(D142="",D142=0),"",D142-$D$2)</f>
        <v/>
      </c>
      <c r="J142" s="43"/>
      <c r="K142" s="43"/>
      <c r="L142" s="18" t="str">
        <f aca="false">IF(B142="","",IF(K142&lt;&gt;"","Liberado","Pendiente"))</f>
        <v/>
      </c>
      <c r="M142" s="16" t="str">
        <f aca="true">IF(B142="","",IF(L142="Liberado",IF(OR(I142="",K142&lt;=I142),"A tiempo","Liberada tarde"),IF(J142="","Sin compromiso",IF(TODAY()&gt;J142,"VENCIDA",IF(AND(I142&lt;&gt;"",J142&gt;I142),"En riesgo","En gestión")))))</f>
        <v/>
      </c>
      <c r="N142" s="32" t="str">
        <f aca="false">IF(OR(B142="",I142=""),"",IF(K142&lt;&gt;"",I142-K142,IF(J142&lt;&gt;"",I142-J142,"")))</f>
        <v/>
      </c>
      <c r="O142" s="9"/>
    </row>
    <row r="143" customFormat="false" ht="15" hidden="false" customHeight="false" outlineLevel="0" collapsed="false">
      <c r="A143" s="9"/>
      <c r="B143" s="9"/>
      <c r="C143" s="16" t="str">
        <f aca="false">IF(B143="","",IFERROR(INDEX(LOOKAHEAD!$B$5:$B$604,MATCH(B143,LOOKAHEAD!$A$5:$A$604,0)),"ID no existe"))</f>
        <v/>
      </c>
      <c r="D143" s="33" t="str">
        <f aca="false">IF(B143="","",IFERROR(INDEX(LOOKAHEAD!$I$5:$I$604,MATCH(B143,LOOKAHEAD!$A$5:$A$604,0)),""))</f>
        <v/>
      </c>
      <c r="E143" s="9"/>
      <c r="F143" s="9"/>
      <c r="G143" s="9"/>
      <c r="H143" s="43"/>
      <c r="I143" s="33" t="str">
        <f aca="false">IF(OR(D143="",D143=0),"",D143-$D$2)</f>
        <v/>
      </c>
      <c r="J143" s="43"/>
      <c r="K143" s="43"/>
      <c r="L143" s="18" t="str">
        <f aca="false">IF(B143="","",IF(K143&lt;&gt;"","Liberado","Pendiente"))</f>
        <v/>
      </c>
      <c r="M143" s="16" t="str">
        <f aca="true">IF(B143="","",IF(L143="Liberado",IF(OR(I143="",K143&lt;=I143),"A tiempo","Liberada tarde"),IF(J143="","Sin compromiso",IF(TODAY()&gt;J143,"VENCIDA",IF(AND(I143&lt;&gt;"",J143&gt;I143),"En riesgo","En gestión")))))</f>
        <v/>
      </c>
      <c r="N143" s="32" t="str">
        <f aca="false">IF(OR(B143="",I143=""),"",IF(K143&lt;&gt;"",I143-K143,IF(J143&lt;&gt;"",I143-J143,"")))</f>
        <v/>
      </c>
      <c r="O143" s="9"/>
    </row>
    <row r="144" customFormat="false" ht="15" hidden="false" customHeight="false" outlineLevel="0" collapsed="false">
      <c r="A144" s="9"/>
      <c r="B144" s="9"/>
      <c r="C144" s="16" t="str">
        <f aca="false">IF(B144="","",IFERROR(INDEX(LOOKAHEAD!$B$5:$B$604,MATCH(B144,LOOKAHEAD!$A$5:$A$604,0)),"ID no existe"))</f>
        <v/>
      </c>
      <c r="D144" s="33" t="str">
        <f aca="false">IF(B144="","",IFERROR(INDEX(LOOKAHEAD!$I$5:$I$604,MATCH(B144,LOOKAHEAD!$A$5:$A$604,0)),""))</f>
        <v/>
      </c>
      <c r="E144" s="9"/>
      <c r="F144" s="9"/>
      <c r="G144" s="9"/>
      <c r="H144" s="43"/>
      <c r="I144" s="33" t="str">
        <f aca="false">IF(OR(D144="",D144=0),"",D144-$D$2)</f>
        <v/>
      </c>
      <c r="J144" s="43"/>
      <c r="K144" s="43"/>
      <c r="L144" s="18" t="str">
        <f aca="false">IF(B144="","",IF(K144&lt;&gt;"","Liberado","Pendiente"))</f>
        <v/>
      </c>
      <c r="M144" s="16" t="str">
        <f aca="true">IF(B144="","",IF(L144="Liberado",IF(OR(I144="",K144&lt;=I144),"A tiempo","Liberada tarde"),IF(J144="","Sin compromiso",IF(TODAY()&gt;J144,"VENCIDA",IF(AND(I144&lt;&gt;"",J144&gt;I144),"En riesgo","En gestión")))))</f>
        <v/>
      </c>
      <c r="N144" s="32" t="str">
        <f aca="false">IF(OR(B144="",I144=""),"",IF(K144&lt;&gt;"",I144-K144,IF(J144&lt;&gt;"",I144-J144,"")))</f>
        <v/>
      </c>
      <c r="O144" s="9"/>
    </row>
    <row r="145" customFormat="false" ht="15" hidden="false" customHeight="false" outlineLevel="0" collapsed="false">
      <c r="A145" s="9"/>
      <c r="B145" s="9"/>
      <c r="C145" s="16" t="str">
        <f aca="false">IF(B145="","",IFERROR(INDEX(LOOKAHEAD!$B$5:$B$604,MATCH(B145,LOOKAHEAD!$A$5:$A$604,0)),"ID no existe"))</f>
        <v/>
      </c>
      <c r="D145" s="33" t="str">
        <f aca="false">IF(B145="","",IFERROR(INDEX(LOOKAHEAD!$I$5:$I$604,MATCH(B145,LOOKAHEAD!$A$5:$A$604,0)),""))</f>
        <v/>
      </c>
      <c r="E145" s="9"/>
      <c r="F145" s="9"/>
      <c r="G145" s="9"/>
      <c r="H145" s="43"/>
      <c r="I145" s="33" t="str">
        <f aca="false">IF(OR(D145="",D145=0),"",D145-$D$2)</f>
        <v/>
      </c>
      <c r="J145" s="43"/>
      <c r="K145" s="43"/>
      <c r="L145" s="18" t="str">
        <f aca="false">IF(B145="","",IF(K145&lt;&gt;"","Liberado","Pendiente"))</f>
        <v/>
      </c>
      <c r="M145" s="16" t="str">
        <f aca="true">IF(B145="","",IF(L145="Liberado",IF(OR(I145="",K145&lt;=I145),"A tiempo","Liberada tarde"),IF(J145="","Sin compromiso",IF(TODAY()&gt;J145,"VENCIDA",IF(AND(I145&lt;&gt;"",J145&gt;I145),"En riesgo","En gestión")))))</f>
        <v/>
      </c>
      <c r="N145" s="32" t="str">
        <f aca="false">IF(OR(B145="",I145=""),"",IF(K145&lt;&gt;"",I145-K145,IF(J145&lt;&gt;"",I145-J145,"")))</f>
        <v/>
      </c>
      <c r="O145" s="9"/>
    </row>
    <row r="146" customFormat="false" ht="15" hidden="false" customHeight="false" outlineLevel="0" collapsed="false">
      <c r="A146" s="9"/>
      <c r="B146" s="9"/>
      <c r="C146" s="16" t="str">
        <f aca="false">IF(B146="","",IFERROR(INDEX(LOOKAHEAD!$B$5:$B$604,MATCH(B146,LOOKAHEAD!$A$5:$A$604,0)),"ID no existe"))</f>
        <v/>
      </c>
      <c r="D146" s="33" t="str">
        <f aca="false">IF(B146="","",IFERROR(INDEX(LOOKAHEAD!$I$5:$I$604,MATCH(B146,LOOKAHEAD!$A$5:$A$604,0)),""))</f>
        <v/>
      </c>
      <c r="E146" s="9"/>
      <c r="F146" s="9"/>
      <c r="G146" s="9"/>
      <c r="H146" s="43"/>
      <c r="I146" s="33" t="str">
        <f aca="false">IF(OR(D146="",D146=0),"",D146-$D$2)</f>
        <v/>
      </c>
      <c r="J146" s="43"/>
      <c r="K146" s="43"/>
      <c r="L146" s="18" t="str">
        <f aca="false">IF(B146="","",IF(K146&lt;&gt;"","Liberado","Pendiente"))</f>
        <v/>
      </c>
      <c r="M146" s="16" t="str">
        <f aca="true">IF(B146="","",IF(L146="Liberado",IF(OR(I146="",K146&lt;=I146),"A tiempo","Liberada tarde"),IF(J146="","Sin compromiso",IF(TODAY()&gt;J146,"VENCIDA",IF(AND(I146&lt;&gt;"",J146&gt;I146),"En riesgo","En gestión")))))</f>
        <v/>
      </c>
      <c r="N146" s="32" t="str">
        <f aca="false">IF(OR(B146="",I146=""),"",IF(K146&lt;&gt;"",I146-K146,IF(J146&lt;&gt;"",I146-J146,"")))</f>
        <v/>
      </c>
      <c r="O146" s="9"/>
    </row>
    <row r="147" customFormat="false" ht="15" hidden="false" customHeight="false" outlineLevel="0" collapsed="false">
      <c r="A147" s="9"/>
      <c r="B147" s="9"/>
      <c r="C147" s="16" t="str">
        <f aca="false">IF(B147="","",IFERROR(INDEX(LOOKAHEAD!$B$5:$B$604,MATCH(B147,LOOKAHEAD!$A$5:$A$604,0)),"ID no existe"))</f>
        <v/>
      </c>
      <c r="D147" s="33" t="str">
        <f aca="false">IF(B147="","",IFERROR(INDEX(LOOKAHEAD!$I$5:$I$604,MATCH(B147,LOOKAHEAD!$A$5:$A$604,0)),""))</f>
        <v/>
      </c>
      <c r="E147" s="9"/>
      <c r="F147" s="9"/>
      <c r="G147" s="9"/>
      <c r="H147" s="43"/>
      <c r="I147" s="33" t="str">
        <f aca="false">IF(OR(D147="",D147=0),"",D147-$D$2)</f>
        <v/>
      </c>
      <c r="J147" s="43"/>
      <c r="K147" s="43"/>
      <c r="L147" s="18" t="str">
        <f aca="false">IF(B147="","",IF(K147&lt;&gt;"","Liberado","Pendiente"))</f>
        <v/>
      </c>
      <c r="M147" s="16" t="str">
        <f aca="true">IF(B147="","",IF(L147="Liberado",IF(OR(I147="",K147&lt;=I147),"A tiempo","Liberada tarde"),IF(J147="","Sin compromiso",IF(TODAY()&gt;J147,"VENCIDA",IF(AND(I147&lt;&gt;"",J147&gt;I147),"En riesgo","En gestión")))))</f>
        <v/>
      </c>
      <c r="N147" s="32" t="str">
        <f aca="false">IF(OR(B147="",I147=""),"",IF(K147&lt;&gt;"",I147-K147,IF(J147&lt;&gt;"",I147-J147,"")))</f>
        <v/>
      </c>
      <c r="O147" s="9"/>
    </row>
    <row r="148" customFormat="false" ht="15" hidden="false" customHeight="false" outlineLevel="0" collapsed="false">
      <c r="A148" s="9"/>
      <c r="B148" s="9"/>
      <c r="C148" s="16" t="str">
        <f aca="false">IF(B148="","",IFERROR(INDEX(LOOKAHEAD!$B$5:$B$604,MATCH(B148,LOOKAHEAD!$A$5:$A$604,0)),"ID no existe"))</f>
        <v/>
      </c>
      <c r="D148" s="33" t="str">
        <f aca="false">IF(B148="","",IFERROR(INDEX(LOOKAHEAD!$I$5:$I$604,MATCH(B148,LOOKAHEAD!$A$5:$A$604,0)),""))</f>
        <v/>
      </c>
      <c r="E148" s="9"/>
      <c r="F148" s="9"/>
      <c r="G148" s="9"/>
      <c r="H148" s="43"/>
      <c r="I148" s="33" t="str">
        <f aca="false">IF(OR(D148="",D148=0),"",D148-$D$2)</f>
        <v/>
      </c>
      <c r="J148" s="43"/>
      <c r="K148" s="43"/>
      <c r="L148" s="18" t="str">
        <f aca="false">IF(B148="","",IF(K148&lt;&gt;"","Liberado","Pendiente"))</f>
        <v/>
      </c>
      <c r="M148" s="16" t="str">
        <f aca="true">IF(B148="","",IF(L148="Liberado",IF(OR(I148="",K148&lt;=I148),"A tiempo","Liberada tarde"),IF(J148="","Sin compromiso",IF(TODAY()&gt;J148,"VENCIDA",IF(AND(I148&lt;&gt;"",J148&gt;I148),"En riesgo","En gestión")))))</f>
        <v/>
      </c>
      <c r="N148" s="32" t="str">
        <f aca="false">IF(OR(B148="",I148=""),"",IF(K148&lt;&gt;"",I148-K148,IF(J148&lt;&gt;"",I148-J148,"")))</f>
        <v/>
      </c>
      <c r="O148" s="9"/>
    </row>
    <row r="149" customFormat="false" ht="15" hidden="false" customHeight="false" outlineLevel="0" collapsed="false">
      <c r="A149" s="9"/>
      <c r="B149" s="9"/>
      <c r="C149" s="16" t="str">
        <f aca="false">IF(B149="","",IFERROR(INDEX(LOOKAHEAD!$B$5:$B$604,MATCH(B149,LOOKAHEAD!$A$5:$A$604,0)),"ID no existe"))</f>
        <v/>
      </c>
      <c r="D149" s="33" t="str">
        <f aca="false">IF(B149="","",IFERROR(INDEX(LOOKAHEAD!$I$5:$I$604,MATCH(B149,LOOKAHEAD!$A$5:$A$604,0)),""))</f>
        <v/>
      </c>
      <c r="E149" s="9"/>
      <c r="F149" s="9"/>
      <c r="G149" s="9"/>
      <c r="H149" s="43"/>
      <c r="I149" s="33" t="str">
        <f aca="false">IF(OR(D149="",D149=0),"",D149-$D$2)</f>
        <v/>
      </c>
      <c r="J149" s="43"/>
      <c r="K149" s="43"/>
      <c r="L149" s="18" t="str">
        <f aca="false">IF(B149="","",IF(K149&lt;&gt;"","Liberado","Pendiente"))</f>
        <v/>
      </c>
      <c r="M149" s="16" t="str">
        <f aca="true">IF(B149="","",IF(L149="Liberado",IF(OR(I149="",K149&lt;=I149),"A tiempo","Liberada tarde"),IF(J149="","Sin compromiso",IF(TODAY()&gt;J149,"VENCIDA",IF(AND(I149&lt;&gt;"",J149&gt;I149),"En riesgo","En gestión")))))</f>
        <v/>
      </c>
      <c r="N149" s="32" t="str">
        <f aca="false">IF(OR(B149="",I149=""),"",IF(K149&lt;&gt;"",I149-K149,IF(J149&lt;&gt;"",I149-J149,"")))</f>
        <v/>
      </c>
      <c r="O149" s="9"/>
    </row>
    <row r="150" customFormat="false" ht="15" hidden="false" customHeight="false" outlineLevel="0" collapsed="false">
      <c r="A150" s="9"/>
      <c r="B150" s="9"/>
      <c r="C150" s="16" t="str">
        <f aca="false">IF(B150="","",IFERROR(INDEX(LOOKAHEAD!$B$5:$B$604,MATCH(B150,LOOKAHEAD!$A$5:$A$604,0)),"ID no existe"))</f>
        <v/>
      </c>
      <c r="D150" s="33" t="str">
        <f aca="false">IF(B150="","",IFERROR(INDEX(LOOKAHEAD!$I$5:$I$604,MATCH(B150,LOOKAHEAD!$A$5:$A$604,0)),""))</f>
        <v/>
      </c>
      <c r="E150" s="9"/>
      <c r="F150" s="9"/>
      <c r="G150" s="9"/>
      <c r="H150" s="43"/>
      <c r="I150" s="33" t="str">
        <f aca="false">IF(OR(D150="",D150=0),"",D150-$D$2)</f>
        <v/>
      </c>
      <c r="J150" s="43"/>
      <c r="K150" s="43"/>
      <c r="L150" s="18" t="str">
        <f aca="false">IF(B150="","",IF(K150&lt;&gt;"","Liberado","Pendiente"))</f>
        <v/>
      </c>
      <c r="M150" s="16" t="str">
        <f aca="true">IF(B150="","",IF(L150="Liberado",IF(OR(I150="",K150&lt;=I150),"A tiempo","Liberada tarde"),IF(J150="","Sin compromiso",IF(TODAY()&gt;J150,"VENCIDA",IF(AND(I150&lt;&gt;"",J150&gt;I150),"En riesgo","En gestión")))))</f>
        <v/>
      </c>
      <c r="N150" s="32" t="str">
        <f aca="false">IF(OR(B150="",I150=""),"",IF(K150&lt;&gt;"",I150-K150,IF(J150&lt;&gt;"",I150-J150,"")))</f>
        <v/>
      </c>
      <c r="O150" s="9"/>
    </row>
    <row r="151" customFormat="false" ht="15" hidden="false" customHeight="false" outlineLevel="0" collapsed="false">
      <c r="A151" s="9"/>
      <c r="B151" s="9"/>
      <c r="C151" s="16" t="str">
        <f aca="false">IF(B151="","",IFERROR(INDEX(LOOKAHEAD!$B$5:$B$604,MATCH(B151,LOOKAHEAD!$A$5:$A$604,0)),"ID no existe"))</f>
        <v/>
      </c>
      <c r="D151" s="33" t="str">
        <f aca="false">IF(B151="","",IFERROR(INDEX(LOOKAHEAD!$I$5:$I$604,MATCH(B151,LOOKAHEAD!$A$5:$A$604,0)),""))</f>
        <v/>
      </c>
      <c r="E151" s="9"/>
      <c r="F151" s="9"/>
      <c r="G151" s="9"/>
      <c r="H151" s="43"/>
      <c r="I151" s="33" t="str">
        <f aca="false">IF(OR(D151="",D151=0),"",D151-$D$2)</f>
        <v/>
      </c>
      <c r="J151" s="43"/>
      <c r="K151" s="43"/>
      <c r="L151" s="18" t="str">
        <f aca="false">IF(B151="","",IF(K151&lt;&gt;"","Liberado","Pendiente"))</f>
        <v/>
      </c>
      <c r="M151" s="16" t="str">
        <f aca="true">IF(B151="","",IF(L151="Liberado",IF(OR(I151="",K151&lt;=I151),"A tiempo","Liberada tarde"),IF(J151="","Sin compromiso",IF(TODAY()&gt;J151,"VENCIDA",IF(AND(I151&lt;&gt;"",J151&gt;I151),"En riesgo","En gestión")))))</f>
        <v/>
      </c>
      <c r="N151" s="32" t="str">
        <f aca="false">IF(OR(B151="",I151=""),"",IF(K151&lt;&gt;"",I151-K151,IF(J151&lt;&gt;"",I151-J151,"")))</f>
        <v/>
      </c>
      <c r="O151" s="9"/>
    </row>
    <row r="152" customFormat="false" ht="15" hidden="false" customHeight="false" outlineLevel="0" collapsed="false">
      <c r="A152" s="9"/>
      <c r="B152" s="9"/>
      <c r="C152" s="16" t="str">
        <f aca="false">IF(B152="","",IFERROR(INDEX(LOOKAHEAD!$B$5:$B$604,MATCH(B152,LOOKAHEAD!$A$5:$A$604,0)),"ID no existe"))</f>
        <v/>
      </c>
      <c r="D152" s="33" t="str">
        <f aca="false">IF(B152="","",IFERROR(INDEX(LOOKAHEAD!$I$5:$I$604,MATCH(B152,LOOKAHEAD!$A$5:$A$604,0)),""))</f>
        <v/>
      </c>
      <c r="E152" s="9"/>
      <c r="F152" s="9"/>
      <c r="G152" s="9"/>
      <c r="H152" s="43"/>
      <c r="I152" s="33" t="str">
        <f aca="false">IF(OR(D152="",D152=0),"",D152-$D$2)</f>
        <v/>
      </c>
      <c r="J152" s="43"/>
      <c r="K152" s="43"/>
      <c r="L152" s="18" t="str">
        <f aca="false">IF(B152="","",IF(K152&lt;&gt;"","Liberado","Pendiente"))</f>
        <v/>
      </c>
      <c r="M152" s="16" t="str">
        <f aca="true">IF(B152="","",IF(L152="Liberado",IF(OR(I152="",K152&lt;=I152),"A tiempo","Liberada tarde"),IF(J152="","Sin compromiso",IF(TODAY()&gt;J152,"VENCIDA",IF(AND(I152&lt;&gt;"",J152&gt;I152),"En riesgo","En gestión")))))</f>
        <v/>
      </c>
      <c r="N152" s="32" t="str">
        <f aca="false">IF(OR(B152="",I152=""),"",IF(K152&lt;&gt;"",I152-K152,IF(J152&lt;&gt;"",I152-J152,"")))</f>
        <v/>
      </c>
      <c r="O152" s="9"/>
    </row>
    <row r="153" customFormat="false" ht="15" hidden="false" customHeight="false" outlineLevel="0" collapsed="false">
      <c r="A153" s="9"/>
      <c r="B153" s="9"/>
      <c r="C153" s="16" t="str">
        <f aca="false">IF(B153="","",IFERROR(INDEX(LOOKAHEAD!$B$5:$B$604,MATCH(B153,LOOKAHEAD!$A$5:$A$604,0)),"ID no existe"))</f>
        <v/>
      </c>
      <c r="D153" s="33" t="str">
        <f aca="false">IF(B153="","",IFERROR(INDEX(LOOKAHEAD!$I$5:$I$604,MATCH(B153,LOOKAHEAD!$A$5:$A$604,0)),""))</f>
        <v/>
      </c>
      <c r="E153" s="9"/>
      <c r="F153" s="9"/>
      <c r="G153" s="9"/>
      <c r="H153" s="43"/>
      <c r="I153" s="33" t="str">
        <f aca="false">IF(OR(D153="",D153=0),"",D153-$D$2)</f>
        <v/>
      </c>
      <c r="J153" s="43"/>
      <c r="K153" s="43"/>
      <c r="L153" s="18" t="str">
        <f aca="false">IF(B153="","",IF(K153&lt;&gt;"","Liberado","Pendiente"))</f>
        <v/>
      </c>
      <c r="M153" s="16" t="str">
        <f aca="true">IF(B153="","",IF(L153="Liberado",IF(OR(I153="",K153&lt;=I153),"A tiempo","Liberada tarde"),IF(J153="","Sin compromiso",IF(TODAY()&gt;J153,"VENCIDA",IF(AND(I153&lt;&gt;"",J153&gt;I153),"En riesgo","En gestión")))))</f>
        <v/>
      </c>
      <c r="N153" s="32" t="str">
        <f aca="false">IF(OR(B153="",I153=""),"",IF(K153&lt;&gt;"",I153-K153,IF(J153&lt;&gt;"",I153-J153,"")))</f>
        <v/>
      </c>
      <c r="O153" s="9"/>
    </row>
    <row r="154" customFormat="false" ht="15" hidden="false" customHeight="false" outlineLevel="0" collapsed="false">
      <c r="A154" s="9"/>
      <c r="B154" s="9"/>
      <c r="C154" s="16" t="str">
        <f aca="false">IF(B154="","",IFERROR(INDEX(LOOKAHEAD!$B$5:$B$604,MATCH(B154,LOOKAHEAD!$A$5:$A$604,0)),"ID no existe"))</f>
        <v/>
      </c>
      <c r="D154" s="33" t="str">
        <f aca="false">IF(B154="","",IFERROR(INDEX(LOOKAHEAD!$I$5:$I$604,MATCH(B154,LOOKAHEAD!$A$5:$A$604,0)),""))</f>
        <v/>
      </c>
      <c r="E154" s="9"/>
      <c r="F154" s="9"/>
      <c r="G154" s="9"/>
      <c r="H154" s="43"/>
      <c r="I154" s="33" t="str">
        <f aca="false">IF(OR(D154="",D154=0),"",D154-$D$2)</f>
        <v/>
      </c>
      <c r="J154" s="43"/>
      <c r="K154" s="43"/>
      <c r="L154" s="18" t="str">
        <f aca="false">IF(B154="","",IF(K154&lt;&gt;"","Liberado","Pendiente"))</f>
        <v/>
      </c>
      <c r="M154" s="16" t="str">
        <f aca="true">IF(B154="","",IF(L154="Liberado",IF(OR(I154="",K154&lt;=I154),"A tiempo","Liberada tarde"),IF(J154="","Sin compromiso",IF(TODAY()&gt;J154,"VENCIDA",IF(AND(I154&lt;&gt;"",J154&gt;I154),"En riesgo","En gestión")))))</f>
        <v/>
      </c>
      <c r="N154" s="32" t="str">
        <f aca="false">IF(OR(B154="",I154=""),"",IF(K154&lt;&gt;"",I154-K154,IF(J154&lt;&gt;"",I154-J154,"")))</f>
        <v/>
      </c>
      <c r="O154" s="9"/>
    </row>
    <row r="155" customFormat="false" ht="15" hidden="false" customHeight="false" outlineLevel="0" collapsed="false">
      <c r="A155" s="9"/>
      <c r="B155" s="9"/>
      <c r="C155" s="16" t="str">
        <f aca="false">IF(B155="","",IFERROR(INDEX(LOOKAHEAD!$B$5:$B$604,MATCH(B155,LOOKAHEAD!$A$5:$A$604,0)),"ID no existe"))</f>
        <v/>
      </c>
      <c r="D155" s="33" t="str">
        <f aca="false">IF(B155="","",IFERROR(INDEX(LOOKAHEAD!$I$5:$I$604,MATCH(B155,LOOKAHEAD!$A$5:$A$604,0)),""))</f>
        <v/>
      </c>
      <c r="E155" s="9"/>
      <c r="F155" s="9"/>
      <c r="G155" s="9"/>
      <c r="H155" s="43"/>
      <c r="I155" s="33" t="str">
        <f aca="false">IF(OR(D155="",D155=0),"",D155-$D$2)</f>
        <v/>
      </c>
      <c r="J155" s="43"/>
      <c r="K155" s="43"/>
      <c r="L155" s="18" t="str">
        <f aca="false">IF(B155="","",IF(K155&lt;&gt;"","Liberado","Pendiente"))</f>
        <v/>
      </c>
      <c r="M155" s="16" t="str">
        <f aca="true">IF(B155="","",IF(L155="Liberado",IF(OR(I155="",K155&lt;=I155),"A tiempo","Liberada tarde"),IF(J155="","Sin compromiso",IF(TODAY()&gt;J155,"VENCIDA",IF(AND(I155&lt;&gt;"",J155&gt;I155),"En riesgo","En gestión")))))</f>
        <v/>
      </c>
      <c r="N155" s="32" t="str">
        <f aca="false">IF(OR(B155="",I155=""),"",IF(K155&lt;&gt;"",I155-K155,IF(J155&lt;&gt;"",I155-J155,"")))</f>
        <v/>
      </c>
      <c r="O155" s="9"/>
    </row>
    <row r="156" customFormat="false" ht="15" hidden="false" customHeight="false" outlineLevel="0" collapsed="false">
      <c r="A156" s="9"/>
      <c r="B156" s="9"/>
      <c r="C156" s="16" t="str">
        <f aca="false">IF(B156="","",IFERROR(INDEX(LOOKAHEAD!$B$5:$B$604,MATCH(B156,LOOKAHEAD!$A$5:$A$604,0)),"ID no existe"))</f>
        <v/>
      </c>
      <c r="D156" s="33" t="str">
        <f aca="false">IF(B156="","",IFERROR(INDEX(LOOKAHEAD!$I$5:$I$604,MATCH(B156,LOOKAHEAD!$A$5:$A$604,0)),""))</f>
        <v/>
      </c>
      <c r="E156" s="9"/>
      <c r="F156" s="9"/>
      <c r="G156" s="9"/>
      <c r="H156" s="43"/>
      <c r="I156" s="33" t="str">
        <f aca="false">IF(OR(D156="",D156=0),"",D156-$D$2)</f>
        <v/>
      </c>
      <c r="J156" s="43"/>
      <c r="K156" s="43"/>
      <c r="L156" s="18" t="str">
        <f aca="false">IF(B156="","",IF(K156&lt;&gt;"","Liberado","Pendiente"))</f>
        <v/>
      </c>
      <c r="M156" s="16" t="str">
        <f aca="true">IF(B156="","",IF(L156="Liberado",IF(OR(I156="",K156&lt;=I156),"A tiempo","Liberada tarde"),IF(J156="","Sin compromiso",IF(TODAY()&gt;J156,"VENCIDA",IF(AND(I156&lt;&gt;"",J156&gt;I156),"En riesgo","En gestión")))))</f>
        <v/>
      </c>
      <c r="N156" s="32" t="str">
        <f aca="false">IF(OR(B156="",I156=""),"",IF(K156&lt;&gt;"",I156-K156,IF(J156&lt;&gt;"",I156-J156,"")))</f>
        <v/>
      </c>
      <c r="O156" s="9"/>
    </row>
    <row r="157" customFormat="false" ht="15" hidden="false" customHeight="false" outlineLevel="0" collapsed="false">
      <c r="A157" s="9"/>
      <c r="B157" s="9"/>
      <c r="C157" s="16" t="str">
        <f aca="false">IF(B157="","",IFERROR(INDEX(LOOKAHEAD!$B$5:$B$604,MATCH(B157,LOOKAHEAD!$A$5:$A$604,0)),"ID no existe"))</f>
        <v/>
      </c>
      <c r="D157" s="33" t="str">
        <f aca="false">IF(B157="","",IFERROR(INDEX(LOOKAHEAD!$I$5:$I$604,MATCH(B157,LOOKAHEAD!$A$5:$A$604,0)),""))</f>
        <v/>
      </c>
      <c r="E157" s="9"/>
      <c r="F157" s="9"/>
      <c r="G157" s="9"/>
      <c r="H157" s="43"/>
      <c r="I157" s="33" t="str">
        <f aca="false">IF(OR(D157="",D157=0),"",D157-$D$2)</f>
        <v/>
      </c>
      <c r="J157" s="43"/>
      <c r="K157" s="43"/>
      <c r="L157" s="18" t="str">
        <f aca="false">IF(B157="","",IF(K157&lt;&gt;"","Liberado","Pendiente"))</f>
        <v/>
      </c>
      <c r="M157" s="16" t="str">
        <f aca="true">IF(B157="","",IF(L157="Liberado",IF(OR(I157="",K157&lt;=I157),"A tiempo","Liberada tarde"),IF(J157="","Sin compromiso",IF(TODAY()&gt;J157,"VENCIDA",IF(AND(I157&lt;&gt;"",J157&gt;I157),"En riesgo","En gestión")))))</f>
        <v/>
      </c>
      <c r="N157" s="32" t="str">
        <f aca="false">IF(OR(B157="",I157=""),"",IF(K157&lt;&gt;"",I157-K157,IF(J157&lt;&gt;"",I157-J157,"")))</f>
        <v/>
      </c>
      <c r="O157" s="9"/>
    </row>
    <row r="158" customFormat="false" ht="15" hidden="false" customHeight="false" outlineLevel="0" collapsed="false">
      <c r="A158" s="9"/>
      <c r="B158" s="9"/>
      <c r="C158" s="16" t="str">
        <f aca="false">IF(B158="","",IFERROR(INDEX(LOOKAHEAD!$B$5:$B$604,MATCH(B158,LOOKAHEAD!$A$5:$A$604,0)),"ID no existe"))</f>
        <v/>
      </c>
      <c r="D158" s="33" t="str">
        <f aca="false">IF(B158="","",IFERROR(INDEX(LOOKAHEAD!$I$5:$I$604,MATCH(B158,LOOKAHEAD!$A$5:$A$604,0)),""))</f>
        <v/>
      </c>
      <c r="E158" s="9"/>
      <c r="F158" s="9"/>
      <c r="G158" s="9"/>
      <c r="H158" s="43"/>
      <c r="I158" s="33" t="str">
        <f aca="false">IF(OR(D158="",D158=0),"",D158-$D$2)</f>
        <v/>
      </c>
      <c r="J158" s="43"/>
      <c r="K158" s="43"/>
      <c r="L158" s="18" t="str">
        <f aca="false">IF(B158="","",IF(K158&lt;&gt;"","Liberado","Pendiente"))</f>
        <v/>
      </c>
      <c r="M158" s="16" t="str">
        <f aca="true">IF(B158="","",IF(L158="Liberado",IF(OR(I158="",K158&lt;=I158),"A tiempo","Liberada tarde"),IF(J158="","Sin compromiso",IF(TODAY()&gt;J158,"VENCIDA",IF(AND(I158&lt;&gt;"",J158&gt;I158),"En riesgo","En gestión")))))</f>
        <v/>
      </c>
      <c r="N158" s="32" t="str">
        <f aca="false">IF(OR(B158="",I158=""),"",IF(K158&lt;&gt;"",I158-K158,IF(J158&lt;&gt;"",I158-J158,"")))</f>
        <v/>
      </c>
      <c r="O158" s="9"/>
    </row>
    <row r="159" customFormat="false" ht="15" hidden="false" customHeight="false" outlineLevel="0" collapsed="false">
      <c r="A159" s="9"/>
      <c r="B159" s="9"/>
      <c r="C159" s="16" t="str">
        <f aca="false">IF(B159="","",IFERROR(INDEX(LOOKAHEAD!$B$5:$B$604,MATCH(B159,LOOKAHEAD!$A$5:$A$604,0)),"ID no existe"))</f>
        <v/>
      </c>
      <c r="D159" s="33" t="str">
        <f aca="false">IF(B159="","",IFERROR(INDEX(LOOKAHEAD!$I$5:$I$604,MATCH(B159,LOOKAHEAD!$A$5:$A$604,0)),""))</f>
        <v/>
      </c>
      <c r="E159" s="9"/>
      <c r="F159" s="9"/>
      <c r="G159" s="9"/>
      <c r="H159" s="43"/>
      <c r="I159" s="33" t="str">
        <f aca="false">IF(OR(D159="",D159=0),"",D159-$D$2)</f>
        <v/>
      </c>
      <c r="J159" s="43"/>
      <c r="K159" s="43"/>
      <c r="L159" s="18" t="str">
        <f aca="false">IF(B159="","",IF(K159&lt;&gt;"","Liberado","Pendiente"))</f>
        <v/>
      </c>
      <c r="M159" s="16" t="str">
        <f aca="true">IF(B159="","",IF(L159="Liberado",IF(OR(I159="",K159&lt;=I159),"A tiempo","Liberada tarde"),IF(J159="","Sin compromiso",IF(TODAY()&gt;J159,"VENCIDA",IF(AND(I159&lt;&gt;"",J159&gt;I159),"En riesgo","En gestión")))))</f>
        <v/>
      </c>
      <c r="N159" s="32" t="str">
        <f aca="false">IF(OR(B159="",I159=""),"",IF(K159&lt;&gt;"",I159-K159,IF(J159&lt;&gt;"",I159-J159,"")))</f>
        <v/>
      </c>
      <c r="O159" s="9"/>
    </row>
    <row r="160" customFormat="false" ht="15" hidden="false" customHeight="false" outlineLevel="0" collapsed="false">
      <c r="A160" s="9"/>
      <c r="B160" s="9"/>
      <c r="C160" s="16" t="str">
        <f aca="false">IF(B160="","",IFERROR(INDEX(LOOKAHEAD!$B$5:$B$604,MATCH(B160,LOOKAHEAD!$A$5:$A$604,0)),"ID no existe"))</f>
        <v/>
      </c>
      <c r="D160" s="33" t="str">
        <f aca="false">IF(B160="","",IFERROR(INDEX(LOOKAHEAD!$I$5:$I$604,MATCH(B160,LOOKAHEAD!$A$5:$A$604,0)),""))</f>
        <v/>
      </c>
      <c r="E160" s="9"/>
      <c r="F160" s="9"/>
      <c r="G160" s="9"/>
      <c r="H160" s="43"/>
      <c r="I160" s="33" t="str">
        <f aca="false">IF(OR(D160="",D160=0),"",D160-$D$2)</f>
        <v/>
      </c>
      <c r="J160" s="43"/>
      <c r="K160" s="43"/>
      <c r="L160" s="18" t="str">
        <f aca="false">IF(B160="","",IF(K160&lt;&gt;"","Liberado","Pendiente"))</f>
        <v/>
      </c>
      <c r="M160" s="16" t="str">
        <f aca="true">IF(B160="","",IF(L160="Liberado",IF(OR(I160="",K160&lt;=I160),"A tiempo","Liberada tarde"),IF(J160="","Sin compromiso",IF(TODAY()&gt;J160,"VENCIDA",IF(AND(I160&lt;&gt;"",J160&gt;I160),"En riesgo","En gestión")))))</f>
        <v/>
      </c>
      <c r="N160" s="32" t="str">
        <f aca="false">IF(OR(B160="",I160=""),"",IF(K160&lt;&gt;"",I160-K160,IF(J160&lt;&gt;"",I160-J160,"")))</f>
        <v/>
      </c>
      <c r="O160" s="9"/>
    </row>
    <row r="161" customFormat="false" ht="15" hidden="false" customHeight="false" outlineLevel="0" collapsed="false">
      <c r="A161" s="9"/>
      <c r="B161" s="9"/>
      <c r="C161" s="16" t="str">
        <f aca="false">IF(B161="","",IFERROR(INDEX(LOOKAHEAD!$B$5:$B$604,MATCH(B161,LOOKAHEAD!$A$5:$A$604,0)),"ID no existe"))</f>
        <v/>
      </c>
      <c r="D161" s="33" t="str">
        <f aca="false">IF(B161="","",IFERROR(INDEX(LOOKAHEAD!$I$5:$I$604,MATCH(B161,LOOKAHEAD!$A$5:$A$604,0)),""))</f>
        <v/>
      </c>
      <c r="E161" s="9"/>
      <c r="F161" s="9"/>
      <c r="G161" s="9"/>
      <c r="H161" s="43"/>
      <c r="I161" s="33" t="str">
        <f aca="false">IF(OR(D161="",D161=0),"",D161-$D$2)</f>
        <v/>
      </c>
      <c r="J161" s="43"/>
      <c r="K161" s="43"/>
      <c r="L161" s="18" t="str">
        <f aca="false">IF(B161="","",IF(K161&lt;&gt;"","Liberado","Pendiente"))</f>
        <v/>
      </c>
      <c r="M161" s="16" t="str">
        <f aca="true">IF(B161="","",IF(L161="Liberado",IF(OR(I161="",K161&lt;=I161),"A tiempo","Liberada tarde"),IF(J161="","Sin compromiso",IF(TODAY()&gt;J161,"VENCIDA",IF(AND(I161&lt;&gt;"",J161&gt;I161),"En riesgo","En gestión")))))</f>
        <v/>
      </c>
      <c r="N161" s="32" t="str">
        <f aca="false">IF(OR(B161="",I161=""),"",IF(K161&lt;&gt;"",I161-K161,IF(J161&lt;&gt;"",I161-J161,"")))</f>
        <v/>
      </c>
      <c r="O161" s="9"/>
    </row>
    <row r="162" customFormat="false" ht="15" hidden="false" customHeight="false" outlineLevel="0" collapsed="false">
      <c r="A162" s="9"/>
      <c r="B162" s="9"/>
      <c r="C162" s="16" t="str">
        <f aca="false">IF(B162="","",IFERROR(INDEX(LOOKAHEAD!$B$5:$B$604,MATCH(B162,LOOKAHEAD!$A$5:$A$604,0)),"ID no existe"))</f>
        <v/>
      </c>
      <c r="D162" s="33" t="str">
        <f aca="false">IF(B162="","",IFERROR(INDEX(LOOKAHEAD!$I$5:$I$604,MATCH(B162,LOOKAHEAD!$A$5:$A$604,0)),""))</f>
        <v/>
      </c>
      <c r="E162" s="9"/>
      <c r="F162" s="9"/>
      <c r="G162" s="9"/>
      <c r="H162" s="43"/>
      <c r="I162" s="33" t="str">
        <f aca="false">IF(OR(D162="",D162=0),"",D162-$D$2)</f>
        <v/>
      </c>
      <c r="J162" s="43"/>
      <c r="K162" s="43"/>
      <c r="L162" s="18" t="str">
        <f aca="false">IF(B162="","",IF(K162&lt;&gt;"","Liberado","Pendiente"))</f>
        <v/>
      </c>
      <c r="M162" s="16" t="str">
        <f aca="true">IF(B162="","",IF(L162="Liberado",IF(OR(I162="",K162&lt;=I162),"A tiempo","Liberada tarde"),IF(J162="","Sin compromiso",IF(TODAY()&gt;J162,"VENCIDA",IF(AND(I162&lt;&gt;"",J162&gt;I162),"En riesgo","En gestión")))))</f>
        <v/>
      </c>
      <c r="N162" s="32" t="str">
        <f aca="false">IF(OR(B162="",I162=""),"",IF(K162&lt;&gt;"",I162-K162,IF(J162&lt;&gt;"",I162-J162,"")))</f>
        <v/>
      </c>
      <c r="O162" s="9"/>
    </row>
    <row r="163" customFormat="false" ht="15" hidden="false" customHeight="false" outlineLevel="0" collapsed="false">
      <c r="A163" s="9"/>
      <c r="B163" s="9"/>
      <c r="C163" s="16" t="str">
        <f aca="false">IF(B163="","",IFERROR(INDEX(LOOKAHEAD!$B$5:$B$604,MATCH(B163,LOOKAHEAD!$A$5:$A$604,0)),"ID no existe"))</f>
        <v/>
      </c>
      <c r="D163" s="33" t="str">
        <f aca="false">IF(B163="","",IFERROR(INDEX(LOOKAHEAD!$I$5:$I$604,MATCH(B163,LOOKAHEAD!$A$5:$A$604,0)),""))</f>
        <v/>
      </c>
      <c r="E163" s="9"/>
      <c r="F163" s="9"/>
      <c r="G163" s="9"/>
      <c r="H163" s="43"/>
      <c r="I163" s="33" t="str">
        <f aca="false">IF(OR(D163="",D163=0),"",D163-$D$2)</f>
        <v/>
      </c>
      <c r="J163" s="43"/>
      <c r="K163" s="43"/>
      <c r="L163" s="18" t="str">
        <f aca="false">IF(B163="","",IF(K163&lt;&gt;"","Liberado","Pendiente"))</f>
        <v/>
      </c>
      <c r="M163" s="16" t="str">
        <f aca="true">IF(B163="","",IF(L163="Liberado",IF(OR(I163="",K163&lt;=I163),"A tiempo","Liberada tarde"),IF(J163="","Sin compromiso",IF(TODAY()&gt;J163,"VENCIDA",IF(AND(I163&lt;&gt;"",J163&gt;I163),"En riesgo","En gestión")))))</f>
        <v/>
      </c>
      <c r="N163" s="32" t="str">
        <f aca="false">IF(OR(B163="",I163=""),"",IF(K163&lt;&gt;"",I163-K163,IF(J163&lt;&gt;"",I163-J163,"")))</f>
        <v/>
      </c>
      <c r="O163" s="9"/>
    </row>
    <row r="164" customFormat="false" ht="15" hidden="false" customHeight="false" outlineLevel="0" collapsed="false">
      <c r="A164" s="9"/>
      <c r="B164" s="9"/>
      <c r="C164" s="16" t="str">
        <f aca="false">IF(B164="","",IFERROR(INDEX(LOOKAHEAD!$B$5:$B$604,MATCH(B164,LOOKAHEAD!$A$5:$A$604,0)),"ID no existe"))</f>
        <v/>
      </c>
      <c r="D164" s="33" t="str">
        <f aca="false">IF(B164="","",IFERROR(INDEX(LOOKAHEAD!$I$5:$I$604,MATCH(B164,LOOKAHEAD!$A$5:$A$604,0)),""))</f>
        <v/>
      </c>
      <c r="E164" s="9"/>
      <c r="F164" s="9"/>
      <c r="G164" s="9"/>
      <c r="H164" s="43"/>
      <c r="I164" s="33" t="str">
        <f aca="false">IF(OR(D164="",D164=0),"",D164-$D$2)</f>
        <v/>
      </c>
      <c r="J164" s="43"/>
      <c r="K164" s="43"/>
      <c r="L164" s="18" t="str">
        <f aca="false">IF(B164="","",IF(K164&lt;&gt;"","Liberado","Pendiente"))</f>
        <v/>
      </c>
      <c r="M164" s="16" t="str">
        <f aca="true">IF(B164="","",IF(L164="Liberado",IF(OR(I164="",K164&lt;=I164),"A tiempo","Liberada tarde"),IF(J164="","Sin compromiso",IF(TODAY()&gt;J164,"VENCIDA",IF(AND(I164&lt;&gt;"",J164&gt;I164),"En riesgo","En gestión")))))</f>
        <v/>
      </c>
      <c r="N164" s="32" t="str">
        <f aca="false">IF(OR(B164="",I164=""),"",IF(K164&lt;&gt;"",I164-K164,IF(J164&lt;&gt;"",I164-J164,"")))</f>
        <v/>
      </c>
      <c r="O164" s="9"/>
    </row>
    <row r="165" customFormat="false" ht="15" hidden="false" customHeight="false" outlineLevel="0" collapsed="false">
      <c r="A165" s="9"/>
      <c r="B165" s="9"/>
      <c r="C165" s="16" t="str">
        <f aca="false">IF(B165="","",IFERROR(INDEX(LOOKAHEAD!$B$5:$B$604,MATCH(B165,LOOKAHEAD!$A$5:$A$604,0)),"ID no existe"))</f>
        <v/>
      </c>
      <c r="D165" s="33" t="str">
        <f aca="false">IF(B165="","",IFERROR(INDEX(LOOKAHEAD!$I$5:$I$604,MATCH(B165,LOOKAHEAD!$A$5:$A$604,0)),""))</f>
        <v/>
      </c>
      <c r="E165" s="9"/>
      <c r="F165" s="9"/>
      <c r="G165" s="9"/>
      <c r="H165" s="43"/>
      <c r="I165" s="33" t="str">
        <f aca="false">IF(OR(D165="",D165=0),"",D165-$D$2)</f>
        <v/>
      </c>
      <c r="J165" s="43"/>
      <c r="K165" s="43"/>
      <c r="L165" s="18" t="str">
        <f aca="false">IF(B165="","",IF(K165&lt;&gt;"","Liberado","Pendiente"))</f>
        <v/>
      </c>
      <c r="M165" s="16" t="str">
        <f aca="true">IF(B165="","",IF(L165="Liberado",IF(OR(I165="",K165&lt;=I165),"A tiempo","Liberada tarde"),IF(J165="","Sin compromiso",IF(TODAY()&gt;J165,"VENCIDA",IF(AND(I165&lt;&gt;"",J165&gt;I165),"En riesgo","En gestión")))))</f>
        <v/>
      </c>
      <c r="N165" s="32" t="str">
        <f aca="false">IF(OR(B165="",I165=""),"",IF(K165&lt;&gt;"",I165-K165,IF(J165&lt;&gt;"",I165-J165,"")))</f>
        <v/>
      </c>
      <c r="O165" s="9"/>
    </row>
    <row r="166" customFormat="false" ht="15" hidden="false" customHeight="false" outlineLevel="0" collapsed="false">
      <c r="A166" s="9"/>
      <c r="B166" s="9"/>
      <c r="C166" s="16" t="str">
        <f aca="false">IF(B166="","",IFERROR(INDEX(LOOKAHEAD!$B$5:$B$604,MATCH(B166,LOOKAHEAD!$A$5:$A$604,0)),"ID no existe"))</f>
        <v/>
      </c>
      <c r="D166" s="33" t="str">
        <f aca="false">IF(B166="","",IFERROR(INDEX(LOOKAHEAD!$I$5:$I$604,MATCH(B166,LOOKAHEAD!$A$5:$A$604,0)),""))</f>
        <v/>
      </c>
      <c r="E166" s="9"/>
      <c r="F166" s="9"/>
      <c r="G166" s="9"/>
      <c r="H166" s="43"/>
      <c r="I166" s="33" t="str">
        <f aca="false">IF(OR(D166="",D166=0),"",D166-$D$2)</f>
        <v/>
      </c>
      <c r="J166" s="43"/>
      <c r="K166" s="43"/>
      <c r="L166" s="18" t="str">
        <f aca="false">IF(B166="","",IF(K166&lt;&gt;"","Liberado","Pendiente"))</f>
        <v/>
      </c>
      <c r="M166" s="16" t="str">
        <f aca="true">IF(B166="","",IF(L166="Liberado",IF(OR(I166="",K166&lt;=I166),"A tiempo","Liberada tarde"),IF(J166="","Sin compromiso",IF(TODAY()&gt;J166,"VENCIDA",IF(AND(I166&lt;&gt;"",J166&gt;I166),"En riesgo","En gestión")))))</f>
        <v/>
      </c>
      <c r="N166" s="32" t="str">
        <f aca="false">IF(OR(B166="",I166=""),"",IF(K166&lt;&gt;"",I166-K166,IF(J166&lt;&gt;"",I166-J166,"")))</f>
        <v/>
      </c>
      <c r="O166" s="9"/>
    </row>
    <row r="167" customFormat="false" ht="15" hidden="false" customHeight="false" outlineLevel="0" collapsed="false">
      <c r="A167" s="9"/>
      <c r="B167" s="9"/>
      <c r="C167" s="16" t="str">
        <f aca="false">IF(B167="","",IFERROR(INDEX(LOOKAHEAD!$B$5:$B$604,MATCH(B167,LOOKAHEAD!$A$5:$A$604,0)),"ID no existe"))</f>
        <v/>
      </c>
      <c r="D167" s="33" t="str">
        <f aca="false">IF(B167="","",IFERROR(INDEX(LOOKAHEAD!$I$5:$I$604,MATCH(B167,LOOKAHEAD!$A$5:$A$604,0)),""))</f>
        <v/>
      </c>
      <c r="E167" s="9"/>
      <c r="F167" s="9"/>
      <c r="G167" s="9"/>
      <c r="H167" s="43"/>
      <c r="I167" s="33" t="str">
        <f aca="false">IF(OR(D167="",D167=0),"",D167-$D$2)</f>
        <v/>
      </c>
      <c r="J167" s="43"/>
      <c r="K167" s="43"/>
      <c r="L167" s="18" t="str">
        <f aca="false">IF(B167="","",IF(K167&lt;&gt;"","Liberado","Pendiente"))</f>
        <v/>
      </c>
      <c r="M167" s="16" t="str">
        <f aca="true">IF(B167="","",IF(L167="Liberado",IF(OR(I167="",K167&lt;=I167),"A tiempo","Liberada tarde"),IF(J167="","Sin compromiso",IF(TODAY()&gt;J167,"VENCIDA",IF(AND(I167&lt;&gt;"",J167&gt;I167),"En riesgo","En gestión")))))</f>
        <v/>
      </c>
      <c r="N167" s="32" t="str">
        <f aca="false">IF(OR(B167="",I167=""),"",IF(K167&lt;&gt;"",I167-K167,IF(J167&lt;&gt;"",I167-J167,"")))</f>
        <v/>
      </c>
      <c r="O167" s="9"/>
    </row>
    <row r="168" customFormat="false" ht="15" hidden="false" customHeight="false" outlineLevel="0" collapsed="false">
      <c r="A168" s="9"/>
      <c r="B168" s="9"/>
      <c r="C168" s="16" t="str">
        <f aca="false">IF(B168="","",IFERROR(INDEX(LOOKAHEAD!$B$5:$B$604,MATCH(B168,LOOKAHEAD!$A$5:$A$604,0)),"ID no existe"))</f>
        <v/>
      </c>
      <c r="D168" s="33" t="str">
        <f aca="false">IF(B168="","",IFERROR(INDEX(LOOKAHEAD!$I$5:$I$604,MATCH(B168,LOOKAHEAD!$A$5:$A$604,0)),""))</f>
        <v/>
      </c>
      <c r="E168" s="9"/>
      <c r="F168" s="9"/>
      <c r="G168" s="9"/>
      <c r="H168" s="43"/>
      <c r="I168" s="33" t="str">
        <f aca="false">IF(OR(D168="",D168=0),"",D168-$D$2)</f>
        <v/>
      </c>
      <c r="J168" s="43"/>
      <c r="K168" s="43"/>
      <c r="L168" s="18" t="str">
        <f aca="false">IF(B168="","",IF(K168&lt;&gt;"","Liberado","Pendiente"))</f>
        <v/>
      </c>
      <c r="M168" s="16" t="str">
        <f aca="true">IF(B168="","",IF(L168="Liberado",IF(OR(I168="",K168&lt;=I168),"A tiempo","Liberada tarde"),IF(J168="","Sin compromiso",IF(TODAY()&gt;J168,"VENCIDA",IF(AND(I168&lt;&gt;"",J168&gt;I168),"En riesgo","En gestión")))))</f>
        <v/>
      </c>
      <c r="N168" s="32" t="str">
        <f aca="false">IF(OR(B168="",I168=""),"",IF(K168&lt;&gt;"",I168-K168,IF(J168&lt;&gt;"",I168-J168,"")))</f>
        <v/>
      </c>
      <c r="O168" s="9"/>
    </row>
    <row r="169" customFormat="false" ht="15" hidden="false" customHeight="false" outlineLevel="0" collapsed="false">
      <c r="A169" s="9"/>
      <c r="B169" s="9"/>
      <c r="C169" s="16" t="str">
        <f aca="false">IF(B169="","",IFERROR(INDEX(LOOKAHEAD!$B$5:$B$604,MATCH(B169,LOOKAHEAD!$A$5:$A$604,0)),"ID no existe"))</f>
        <v/>
      </c>
      <c r="D169" s="33" t="str">
        <f aca="false">IF(B169="","",IFERROR(INDEX(LOOKAHEAD!$I$5:$I$604,MATCH(B169,LOOKAHEAD!$A$5:$A$604,0)),""))</f>
        <v/>
      </c>
      <c r="E169" s="9"/>
      <c r="F169" s="9"/>
      <c r="G169" s="9"/>
      <c r="H169" s="43"/>
      <c r="I169" s="33" t="str">
        <f aca="false">IF(OR(D169="",D169=0),"",D169-$D$2)</f>
        <v/>
      </c>
      <c r="J169" s="43"/>
      <c r="K169" s="43"/>
      <c r="L169" s="18" t="str">
        <f aca="false">IF(B169="","",IF(K169&lt;&gt;"","Liberado","Pendiente"))</f>
        <v/>
      </c>
      <c r="M169" s="16" t="str">
        <f aca="true">IF(B169="","",IF(L169="Liberado",IF(OR(I169="",K169&lt;=I169),"A tiempo","Liberada tarde"),IF(J169="","Sin compromiso",IF(TODAY()&gt;J169,"VENCIDA",IF(AND(I169&lt;&gt;"",J169&gt;I169),"En riesgo","En gestión")))))</f>
        <v/>
      </c>
      <c r="N169" s="32" t="str">
        <f aca="false">IF(OR(B169="",I169=""),"",IF(K169&lt;&gt;"",I169-K169,IF(J169&lt;&gt;"",I169-J169,"")))</f>
        <v/>
      </c>
      <c r="O169" s="9"/>
    </row>
    <row r="170" customFormat="false" ht="15" hidden="false" customHeight="false" outlineLevel="0" collapsed="false">
      <c r="A170" s="9"/>
      <c r="B170" s="9"/>
      <c r="C170" s="16" t="str">
        <f aca="false">IF(B170="","",IFERROR(INDEX(LOOKAHEAD!$B$5:$B$604,MATCH(B170,LOOKAHEAD!$A$5:$A$604,0)),"ID no existe"))</f>
        <v/>
      </c>
      <c r="D170" s="33" t="str">
        <f aca="false">IF(B170="","",IFERROR(INDEX(LOOKAHEAD!$I$5:$I$604,MATCH(B170,LOOKAHEAD!$A$5:$A$604,0)),""))</f>
        <v/>
      </c>
      <c r="E170" s="9"/>
      <c r="F170" s="9"/>
      <c r="G170" s="9"/>
      <c r="H170" s="43"/>
      <c r="I170" s="33" t="str">
        <f aca="false">IF(OR(D170="",D170=0),"",D170-$D$2)</f>
        <v/>
      </c>
      <c r="J170" s="43"/>
      <c r="K170" s="43"/>
      <c r="L170" s="18" t="str">
        <f aca="false">IF(B170="","",IF(K170&lt;&gt;"","Liberado","Pendiente"))</f>
        <v/>
      </c>
      <c r="M170" s="16" t="str">
        <f aca="true">IF(B170="","",IF(L170="Liberado",IF(OR(I170="",K170&lt;=I170),"A tiempo","Liberada tarde"),IF(J170="","Sin compromiso",IF(TODAY()&gt;J170,"VENCIDA",IF(AND(I170&lt;&gt;"",J170&gt;I170),"En riesgo","En gestión")))))</f>
        <v/>
      </c>
      <c r="N170" s="32" t="str">
        <f aca="false">IF(OR(B170="",I170=""),"",IF(K170&lt;&gt;"",I170-K170,IF(J170&lt;&gt;"",I170-J170,"")))</f>
        <v/>
      </c>
      <c r="O170" s="9"/>
    </row>
    <row r="171" customFormat="false" ht="15" hidden="false" customHeight="false" outlineLevel="0" collapsed="false">
      <c r="A171" s="9"/>
      <c r="B171" s="9"/>
      <c r="C171" s="16" t="str">
        <f aca="false">IF(B171="","",IFERROR(INDEX(LOOKAHEAD!$B$5:$B$604,MATCH(B171,LOOKAHEAD!$A$5:$A$604,0)),"ID no existe"))</f>
        <v/>
      </c>
      <c r="D171" s="33" t="str">
        <f aca="false">IF(B171="","",IFERROR(INDEX(LOOKAHEAD!$I$5:$I$604,MATCH(B171,LOOKAHEAD!$A$5:$A$604,0)),""))</f>
        <v/>
      </c>
      <c r="E171" s="9"/>
      <c r="F171" s="9"/>
      <c r="G171" s="9"/>
      <c r="H171" s="43"/>
      <c r="I171" s="33" t="str">
        <f aca="false">IF(OR(D171="",D171=0),"",D171-$D$2)</f>
        <v/>
      </c>
      <c r="J171" s="43"/>
      <c r="K171" s="43"/>
      <c r="L171" s="18" t="str">
        <f aca="false">IF(B171="","",IF(K171&lt;&gt;"","Liberado","Pendiente"))</f>
        <v/>
      </c>
      <c r="M171" s="16" t="str">
        <f aca="true">IF(B171="","",IF(L171="Liberado",IF(OR(I171="",K171&lt;=I171),"A tiempo","Liberada tarde"),IF(J171="","Sin compromiso",IF(TODAY()&gt;J171,"VENCIDA",IF(AND(I171&lt;&gt;"",J171&gt;I171),"En riesgo","En gestión")))))</f>
        <v/>
      </c>
      <c r="N171" s="32" t="str">
        <f aca="false">IF(OR(B171="",I171=""),"",IF(K171&lt;&gt;"",I171-K171,IF(J171&lt;&gt;"",I171-J171,"")))</f>
        <v/>
      </c>
      <c r="O171" s="9"/>
    </row>
    <row r="172" customFormat="false" ht="15" hidden="false" customHeight="false" outlineLevel="0" collapsed="false">
      <c r="A172" s="9"/>
      <c r="B172" s="9"/>
      <c r="C172" s="16" t="str">
        <f aca="false">IF(B172="","",IFERROR(INDEX(LOOKAHEAD!$B$5:$B$604,MATCH(B172,LOOKAHEAD!$A$5:$A$604,0)),"ID no existe"))</f>
        <v/>
      </c>
      <c r="D172" s="33" t="str">
        <f aca="false">IF(B172="","",IFERROR(INDEX(LOOKAHEAD!$I$5:$I$604,MATCH(B172,LOOKAHEAD!$A$5:$A$604,0)),""))</f>
        <v/>
      </c>
      <c r="E172" s="9"/>
      <c r="F172" s="9"/>
      <c r="G172" s="9"/>
      <c r="H172" s="43"/>
      <c r="I172" s="33" t="str">
        <f aca="false">IF(OR(D172="",D172=0),"",D172-$D$2)</f>
        <v/>
      </c>
      <c r="J172" s="43"/>
      <c r="K172" s="43"/>
      <c r="L172" s="18" t="str">
        <f aca="false">IF(B172="","",IF(K172&lt;&gt;"","Liberado","Pendiente"))</f>
        <v/>
      </c>
      <c r="M172" s="16" t="str">
        <f aca="true">IF(B172="","",IF(L172="Liberado",IF(OR(I172="",K172&lt;=I172),"A tiempo","Liberada tarde"),IF(J172="","Sin compromiso",IF(TODAY()&gt;J172,"VENCIDA",IF(AND(I172&lt;&gt;"",J172&gt;I172),"En riesgo","En gestión")))))</f>
        <v/>
      </c>
      <c r="N172" s="32" t="str">
        <f aca="false">IF(OR(B172="",I172=""),"",IF(K172&lt;&gt;"",I172-K172,IF(J172&lt;&gt;"",I172-J172,"")))</f>
        <v/>
      </c>
      <c r="O172" s="9"/>
    </row>
    <row r="173" customFormat="false" ht="15" hidden="false" customHeight="false" outlineLevel="0" collapsed="false">
      <c r="A173" s="9"/>
      <c r="B173" s="9"/>
      <c r="C173" s="16" t="str">
        <f aca="false">IF(B173="","",IFERROR(INDEX(LOOKAHEAD!$B$5:$B$604,MATCH(B173,LOOKAHEAD!$A$5:$A$604,0)),"ID no existe"))</f>
        <v/>
      </c>
      <c r="D173" s="33" t="str">
        <f aca="false">IF(B173="","",IFERROR(INDEX(LOOKAHEAD!$I$5:$I$604,MATCH(B173,LOOKAHEAD!$A$5:$A$604,0)),""))</f>
        <v/>
      </c>
      <c r="E173" s="9"/>
      <c r="F173" s="9"/>
      <c r="G173" s="9"/>
      <c r="H173" s="43"/>
      <c r="I173" s="33" t="str">
        <f aca="false">IF(OR(D173="",D173=0),"",D173-$D$2)</f>
        <v/>
      </c>
      <c r="J173" s="43"/>
      <c r="K173" s="43"/>
      <c r="L173" s="18" t="str">
        <f aca="false">IF(B173="","",IF(K173&lt;&gt;"","Liberado","Pendiente"))</f>
        <v/>
      </c>
      <c r="M173" s="16" t="str">
        <f aca="true">IF(B173="","",IF(L173="Liberado",IF(OR(I173="",K173&lt;=I173),"A tiempo","Liberada tarde"),IF(J173="","Sin compromiso",IF(TODAY()&gt;J173,"VENCIDA",IF(AND(I173&lt;&gt;"",J173&gt;I173),"En riesgo","En gestión")))))</f>
        <v/>
      </c>
      <c r="N173" s="32" t="str">
        <f aca="false">IF(OR(B173="",I173=""),"",IF(K173&lt;&gt;"",I173-K173,IF(J173&lt;&gt;"",I173-J173,"")))</f>
        <v/>
      </c>
      <c r="O173" s="9"/>
    </row>
    <row r="174" customFormat="false" ht="15" hidden="false" customHeight="false" outlineLevel="0" collapsed="false">
      <c r="A174" s="9"/>
      <c r="B174" s="9"/>
      <c r="C174" s="16" t="str">
        <f aca="false">IF(B174="","",IFERROR(INDEX(LOOKAHEAD!$B$5:$B$604,MATCH(B174,LOOKAHEAD!$A$5:$A$604,0)),"ID no existe"))</f>
        <v/>
      </c>
      <c r="D174" s="33" t="str">
        <f aca="false">IF(B174="","",IFERROR(INDEX(LOOKAHEAD!$I$5:$I$604,MATCH(B174,LOOKAHEAD!$A$5:$A$604,0)),""))</f>
        <v/>
      </c>
      <c r="E174" s="9"/>
      <c r="F174" s="9"/>
      <c r="G174" s="9"/>
      <c r="H174" s="43"/>
      <c r="I174" s="33" t="str">
        <f aca="false">IF(OR(D174="",D174=0),"",D174-$D$2)</f>
        <v/>
      </c>
      <c r="J174" s="43"/>
      <c r="K174" s="43"/>
      <c r="L174" s="18" t="str">
        <f aca="false">IF(B174="","",IF(K174&lt;&gt;"","Liberado","Pendiente"))</f>
        <v/>
      </c>
      <c r="M174" s="16" t="str">
        <f aca="true">IF(B174="","",IF(L174="Liberado",IF(OR(I174="",K174&lt;=I174),"A tiempo","Liberada tarde"),IF(J174="","Sin compromiso",IF(TODAY()&gt;J174,"VENCIDA",IF(AND(I174&lt;&gt;"",J174&gt;I174),"En riesgo","En gestión")))))</f>
        <v/>
      </c>
      <c r="N174" s="32" t="str">
        <f aca="false">IF(OR(B174="",I174=""),"",IF(K174&lt;&gt;"",I174-K174,IF(J174&lt;&gt;"",I174-J174,"")))</f>
        <v/>
      </c>
      <c r="O174" s="9"/>
    </row>
    <row r="175" customFormat="false" ht="15" hidden="false" customHeight="false" outlineLevel="0" collapsed="false">
      <c r="A175" s="9"/>
      <c r="B175" s="9"/>
      <c r="C175" s="16" t="str">
        <f aca="false">IF(B175="","",IFERROR(INDEX(LOOKAHEAD!$B$5:$B$604,MATCH(B175,LOOKAHEAD!$A$5:$A$604,0)),"ID no existe"))</f>
        <v/>
      </c>
      <c r="D175" s="33" t="str">
        <f aca="false">IF(B175="","",IFERROR(INDEX(LOOKAHEAD!$I$5:$I$604,MATCH(B175,LOOKAHEAD!$A$5:$A$604,0)),""))</f>
        <v/>
      </c>
      <c r="E175" s="9"/>
      <c r="F175" s="9"/>
      <c r="G175" s="9"/>
      <c r="H175" s="43"/>
      <c r="I175" s="33" t="str">
        <f aca="false">IF(OR(D175="",D175=0),"",D175-$D$2)</f>
        <v/>
      </c>
      <c r="J175" s="43"/>
      <c r="K175" s="43"/>
      <c r="L175" s="18" t="str">
        <f aca="false">IF(B175="","",IF(K175&lt;&gt;"","Liberado","Pendiente"))</f>
        <v/>
      </c>
      <c r="M175" s="16" t="str">
        <f aca="true">IF(B175="","",IF(L175="Liberado",IF(OR(I175="",K175&lt;=I175),"A tiempo","Liberada tarde"),IF(J175="","Sin compromiso",IF(TODAY()&gt;J175,"VENCIDA",IF(AND(I175&lt;&gt;"",J175&gt;I175),"En riesgo","En gestión")))))</f>
        <v/>
      </c>
      <c r="N175" s="32" t="str">
        <f aca="false">IF(OR(B175="",I175=""),"",IF(K175&lt;&gt;"",I175-K175,IF(J175&lt;&gt;"",I175-J175,"")))</f>
        <v/>
      </c>
      <c r="O175" s="9"/>
    </row>
    <row r="176" customFormat="false" ht="15" hidden="false" customHeight="false" outlineLevel="0" collapsed="false">
      <c r="A176" s="9"/>
      <c r="B176" s="9"/>
      <c r="C176" s="16" t="str">
        <f aca="false">IF(B176="","",IFERROR(INDEX(LOOKAHEAD!$B$5:$B$604,MATCH(B176,LOOKAHEAD!$A$5:$A$604,0)),"ID no existe"))</f>
        <v/>
      </c>
      <c r="D176" s="33" t="str">
        <f aca="false">IF(B176="","",IFERROR(INDEX(LOOKAHEAD!$I$5:$I$604,MATCH(B176,LOOKAHEAD!$A$5:$A$604,0)),""))</f>
        <v/>
      </c>
      <c r="E176" s="9"/>
      <c r="F176" s="9"/>
      <c r="G176" s="9"/>
      <c r="H176" s="43"/>
      <c r="I176" s="33" t="str">
        <f aca="false">IF(OR(D176="",D176=0),"",D176-$D$2)</f>
        <v/>
      </c>
      <c r="J176" s="43"/>
      <c r="K176" s="43"/>
      <c r="L176" s="18" t="str">
        <f aca="false">IF(B176="","",IF(K176&lt;&gt;"","Liberado","Pendiente"))</f>
        <v/>
      </c>
      <c r="M176" s="16" t="str">
        <f aca="true">IF(B176="","",IF(L176="Liberado",IF(OR(I176="",K176&lt;=I176),"A tiempo","Liberada tarde"),IF(J176="","Sin compromiso",IF(TODAY()&gt;J176,"VENCIDA",IF(AND(I176&lt;&gt;"",J176&gt;I176),"En riesgo","En gestión")))))</f>
        <v/>
      </c>
      <c r="N176" s="32" t="str">
        <f aca="false">IF(OR(B176="",I176=""),"",IF(K176&lt;&gt;"",I176-K176,IF(J176&lt;&gt;"",I176-J176,"")))</f>
        <v/>
      </c>
      <c r="O176" s="9"/>
    </row>
    <row r="177" customFormat="false" ht="15" hidden="false" customHeight="false" outlineLevel="0" collapsed="false">
      <c r="A177" s="9"/>
      <c r="B177" s="9"/>
      <c r="C177" s="16" t="str">
        <f aca="false">IF(B177="","",IFERROR(INDEX(LOOKAHEAD!$B$5:$B$604,MATCH(B177,LOOKAHEAD!$A$5:$A$604,0)),"ID no existe"))</f>
        <v/>
      </c>
      <c r="D177" s="33" t="str">
        <f aca="false">IF(B177="","",IFERROR(INDEX(LOOKAHEAD!$I$5:$I$604,MATCH(B177,LOOKAHEAD!$A$5:$A$604,0)),""))</f>
        <v/>
      </c>
      <c r="E177" s="9"/>
      <c r="F177" s="9"/>
      <c r="G177" s="9"/>
      <c r="H177" s="43"/>
      <c r="I177" s="33" t="str">
        <f aca="false">IF(OR(D177="",D177=0),"",D177-$D$2)</f>
        <v/>
      </c>
      <c r="J177" s="43"/>
      <c r="K177" s="43"/>
      <c r="L177" s="18" t="str">
        <f aca="false">IF(B177="","",IF(K177&lt;&gt;"","Liberado","Pendiente"))</f>
        <v/>
      </c>
      <c r="M177" s="16" t="str">
        <f aca="true">IF(B177="","",IF(L177="Liberado",IF(OR(I177="",K177&lt;=I177),"A tiempo","Liberada tarde"),IF(J177="","Sin compromiso",IF(TODAY()&gt;J177,"VENCIDA",IF(AND(I177&lt;&gt;"",J177&gt;I177),"En riesgo","En gestión")))))</f>
        <v/>
      </c>
      <c r="N177" s="32" t="str">
        <f aca="false">IF(OR(B177="",I177=""),"",IF(K177&lt;&gt;"",I177-K177,IF(J177&lt;&gt;"",I177-J177,"")))</f>
        <v/>
      </c>
      <c r="O177" s="9"/>
    </row>
    <row r="178" customFormat="false" ht="15" hidden="false" customHeight="false" outlineLevel="0" collapsed="false">
      <c r="A178" s="9"/>
      <c r="B178" s="9"/>
      <c r="C178" s="16" t="str">
        <f aca="false">IF(B178="","",IFERROR(INDEX(LOOKAHEAD!$B$5:$B$604,MATCH(B178,LOOKAHEAD!$A$5:$A$604,0)),"ID no existe"))</f>
        <v/>
      </c>
      <c r="D178" s="33" t="str">
        <f aca="false">IF(B178="","",IFERROR(INDEX(LOOKAHEAD!$I$5:$I$604,MATCH(B178,LOOKAHEAD!$A$5:$A$604,0)),""))</f>
        <v/>
      </c>
      <c r="E178" s="9"/>
      <c r="F178" s="9"/>
      <c r="G178" s="9"/>
      <c r="H178" s="43"/>
      <c r="I178" s="33" t="str">
        <f aca="false">IF(OR(D178="",D178=0),"",D178-$D$2)</f>
        <v/>
      </c>
      <c r="J178" s="43"/>
      <c r="K178" s="43"/>
      <c r="L178" s="18" t="str">
        <f aca="false">IF(B178="","",IF(K178&lt;&gt;"","Liberado","Pendiente"))</f>
        <v/>
      </c>
      <c r="M178" s="16" t="str">
        <f aca="true">IF(B178="","",IF(L178="Liberado",IF(OR(I178="",K178&lt;=I178),"A tiempo","Liberada tarde"),IF(J178="","Sin compromiso",IF(TODAY()&gt;J178,"VENCIDA",IF(AND(I178&lt;&gt;"",J178&gt;I178),"En riesgo","En gestión")))))</f>
        <v/>
      </c>
      <c r="N178" s="32" t="str">
        <f aca="false">IF(OR(B178="",I178=""),"",IF(K178&lt;&gt;"",I178-K178,IF(J178&lt;&gt;"",I178-J178,"")))</f>
        <v/>
      </c>
      <c r="O178" s="9"/>
    </row>
    <row r="179" customFormat="false" ht="15" hidden="false" customHeight="false" outlineLevel="0" collapsed="false">
      <c r="A179" s="9"/>
      <c r="B179" s="9"/>
      <c r="C179" s="16" t="str">
        <f aca="false">IF(B179="","",IFERROR(INDEX(LOOKAHEAD!$B$5:$B$604,MATCH(B179,LOOKAHEAD!$A$5:$A$604,0)),"ID no existe"))</f>
        <v/>
      </c>
      <c r="D179" s="33" t="str">
        <f aca="false">IF(B179="","",IFERROR(INDEX(LOOKAHEAD!$I$5:$I$604,MATCH(B179,LOOKAHEAD!$A$5:$A$604,0)),""))</f>
        <v/>
      </c>
      <c r="E179" s="9"/>
      <c r="F179" s="9"/>
      <c r="G179" s="9"/>
      <c r="H179" s="43"/>
      <c r="I179" s="33" t="str">
        <f aca="false">IF(OR(D179="",D179=0),"",D179-$D$2)</f>
        <v/>
      </c>
      <c r="J179" s="43"/>
      <c r="K179" s="43"/>
      <c r="L179" s="18" t="str">
        <f aca="false">IF(B179="","",IF(K179&lt;&gt;"","Liberado","Pendiente"))</f>
        <v/>
      </c>
      <c r="M179" s="16" t="str">
        <f aca="true">IF(B179="","",IF(L179="Liberado",IF(OR(I179="",K179&lt;=I179),"A tiempo","Liberada tarde"),IF(J179="","Sin compromiso",IF(TODAY()&gt;J179,"VENCIDA",IF(AND(I179&lt;&gt;"",J179&gt;I179),"En riesgo","En gestión")))))</f>
        <v/>
      </c>
      <c r="N179" s="32" t="str">
        <f aca="false">IF(OR(B179="",I179=""),"",IF(K179&lt;&gt;"",I179-K179,IF(J179&lt;&gt;"",I179-J179,"")))</f>
        <v/>
      </c>
      <c r="O179" s="9"/>
    </row>
    <row r="180" customFormat="false" ht="15" hidden="false" customHeight="false" outlineLevel="0" collapsed="false">
      <c r="A180" s="9"/>
      <c r="B180" s="9"/>
      <c r="C180" s="16" t="str">
        <f aca="false">IF(B180="","",IFERROR(INDEX(LOOKAHEAD!$B$5:$B$604,MATCH(B180,LOOKAHEAD!$A$5:$A$604,0)),"ID no existe"))</f>
        <v/>
      </c>
      <c r="D180" s="33" t="str">
        <f aca="false">IF(B180="","",IFERROR(INDEX(LOOKAHEAD!$I$5:$I$604,MATCH(B180,LOOKAHEAD!$A$5:$A$604,0)),""))</f>
        <v/>
      </c>
      <c r="E180" s="9"/>
      <c r="F180" s="9"/>
      <c r="G180" s="9"/>
      <c r="H180" s="43"/>
      <c r="I180" s="33" t="str">
        <f aca="false">IF(OR(D180="",D180=0),"",D180-$D$2)</f>
        <v/>
      </c>
      <c r="J180" s="43"/>
      <c r="K180" s="43"/>
      <c r="L180" s="18" t="str">
        <f aca="false">IF(B180="","",IF(K180&lt;&gt;"","Liberado","Pendiente"))</f>
        <v/>
      </c>
      <c r="M180" s="16" t="str">
        <f aca="true">IF(B180="","",IF(L180="Liberado",IF(OR(I180="",K180&lt;=I180),"A tiempo","Liberada tarde"),IF(J180="","Sin compromiso",IF(TODAY()&gt;J180,"VENCIDA",IF(AND(I180&lt;&gt;"",J180&gt;I180),"En riesgo","En gestión")))))</f>
        <v/>
      </c>
      <c r="N180" s="32" t="str">
        <f aca="false">IF(OR(B180="",I180=""),"",IF(K180&lt;&gt;"",I180-K180,IF(J180&lt;&gt;"",I180-J180,"")))</f>
        <v/>
      </c>
      <c r="O180" s="9"/>
    </row>
    <row r="181" customFormat="false" ht="15" hidden="false" customHeight="false" outlineLevel="0" collapsed="false">
      <c r="A181" s="9"/>
      <c r="B181" s="9"/>
      <c r="C181" s="16" t="str">
        <f aca="false">IF(B181="","",IFERROR(INDEX(LOOKAHEAD!$B$5:$B$604,MATCH(B181,LOOKAHEAD!$A$5:$A$604,0)),"ID no existe"))</f>
        <v/>
      </c>
      <c r="D181" s="33" t="str">
        <f aca="false">IF(B181="","",IFERROR(INDEX(LOOKAHEAD!$I$5:$I$604,MATCH(B181,LOOKAHEAD!$A$5:$A$604,0)),""))</f>
        <v/>
      </c>
      <c r="E181" s="9"/>
      <c r="F181" s="9"/>
      <c r="G181" s="9"/>
      <c r="H181" s="43"/>
      <c r="I181" s="33" t="str">
        <f aca="false">IF(OR(D181="",D181=0),"",D181-$D$2)</f>
        <v/>
      </c>
      <c r="J181" s="43"/>
      <c r="K181" s="43"/>
      <c r="L181" s="18" t="str">
        <f aca="false">IF(B181="","",IF(K181&lt;&gt;"","Liberado","Pendiente"))</f>
        <v/>
      </c>
      <c r="M181" s="16" t="str">
        <f aca="true">IF(B181="","",IF(L181="Liberado",IF(OR(I181="",K181&lt;=I181),"A tiempo","Liberada tarde"),IF(J181="","Sin compromiso",IF(TODAY()&gt;J181,"VENCIDA",IF(AND(I181&lt;&gt;"",J181&gt;I181),"En riesgo","En gestión")))))</f>
        <v/>
      </c>
      <c r="N181" s="32" t="str">
        <f aca="false">IF(OR(B181="",I181=""),"",IF(K181&lt;&gt;"",I181-K181,IF(J181&lt;&gt;"",I181-J181,"")))</f>
        <v/>
      </c>
      <c r="O181" s="9"/>
    </row>
    <row r="182" customFormat="false" ht="15" hidden="false" customHeight="false" outlineLevel="0" collapsed="false">
      <c r="A182" s="9"/>
      <c r="B182" s="9"/>
      <c r="C182" s="16" t="str">
        <f aca="false">IF(B182="","",IFERROR(INDEX(LOOKAHEAD!$B$5:$B$604,MATCH(B182,LOOKAHEAD!$A$5:$A$604,0)),"ID no existe"))</f>
        <v/>
      </c>
      <c r="D182" s="33" t="str">
        <f aca="false">IF(B182="","",IFERROR(INDEX(LOOKAHEAD!$I$5:$I$604,MATCH(B182,LOOKAHEAD!$A$5:$A$604,0)),""))</f>
        <v/>
      </c>
      <c r="E182" s="9"/>
      <c r="F182" s="9"/>
      <c r="G182" s="9"/>
      <c r="H182" s="43"/>
      <c r="I182" s="33" t="str">
        <f aca="false">IF(OR(D182="",D182=0),"",D182-$D$2)</f>
        <v/>
      </c>
      <c r="J182" s="43"/>
      <c r="K182" s="43"/>
      <c r="L182" s="18" t="str">
        <f aca="false">IF(B182="","",IF(K182&lt;&gt;"","Liberado","Pendiente"))</f>
        <v/>
      </c>
      <c r="M182" s="16" t="str">
        <f aca="true">IF(B182="","",IF(L182="Liberado",IF(OR(I182="",K182&lt;=I182),"A tiempo","Liberada tarde"),IF(J182="","Sin compromiso",IF(TODAY()&gt;J182,"VENCIDA",IF(AND(I182&lt;&gt;"",J182&gt;I182),"En riesgo","En gestión")))))</f>
        <v/>
      </c>
      <c r="N182" s="32" t="str">
        <f aca="false">IF(OR(B182="",I182=""),"",IF(K182&lt;&gt;"",I182-K182,IF(J182&lt;&gt;"",I182-J182,"")))</f>
        <v/>
      </c>
      <c r="O182" s="9"/>
    </row>
    <row r="183" customFormat="false" ht="15" hidden="false" customHeight="false" outlineLevel="0" collapsed="false">
      <c r="A183" s="9"/>
      <c r="B183" s="9"/>
      <c r="C183" s="16" t="str">
        <f aca="false">IF(B183="","",IFERROR(INDEX(LOOKAHEAD!$B$5:$B$604,MATCH(B183,LOOKAHEAD!$A$5:$A$604,0)),"ID no existe"))</f>
        <v/>
      </c>
      <c r="D183" s="33" t="str">
        <f aca="false">IF(B183="","",IFERROR(INDEX(LOOKAHEAD!$I$5:$I$604,MATCH(B183,LOOKAHEAD!$A$5:$A$604,0)),""))</f>
        <v/>
      </c>
      <c r="E183" s="9"/>
      <c r="F183" s="9"/>
      <c r="G183" s="9"/>
      <c r="H183" s="43"/>
      <c r="I183" s="33" t="str">
        <f aca="false">IF(OR(D183="",D183=0),"",D183-$D$2)</f>
        <v/>
      </c>
      <c r="J183" s="43"/>
      <c r="K183" s="43"/>
      <c r="L183" s="18" t="str">
        <f aca="false">IF(B183="","",IF(K183&lt;&gt;"","Liberado","Pendiente"))</f>
        <v/>
      </c>
      <c r="M183" s="16" t="str">
        <f aca="true">IF(B183="","",IF(L183="Liberado",IF(OR(I183="",K183&lt;=I183),"A tiempo","Liberada tarde"),IF(J183="","Sin compromiso",IF(TODAY()&gt;J183,"VENCIDA",IF(AND(I183&lt;&gt;"",J183&gt;I183),"En riesgo","En gestión")))))</f>
        <v/>
      </c>
      <c r="N183" s="32" t="str">
        <f aca="false">IF(OR(B183="",I183=""),"",IF(K183&lt;&gt;"",I183-K183,IF(J183&lt;&gt;"",I183-J183,"")))</f>
        <v/>
      </c>
      <c r="O183" s="9"/>
    </row>
    <row r="184" customFormat="false" ht="15" hidden="false" customHeight="false" outlineLevel="0" collapsed="false">
      <c r="A184" s="9"/>
      <c r="B184" s="9"/>
      <c r="C184" s="16" t="str">
        <f aca="false">IF(B184="","",IFERROR(INDEX(LOOKAHEAD!$B$5:$B$604,MATCH(B184,LOOKAHEAD!$A$5:$A$604,0)),"ID no existe"))</f>
        <v/>
      </c>
      <c r="D184" s="33" t="str">
        <f aca="false">IF(B184="","",IFERROR(INDEX(LOOKAHEAD!$I$5:$I$604,MATCH(B184,LOOKAHEAD!$A$5:$A$604,0)),""))</f>
        <v/>
      </c>
      <c r="E184" s="9"/>
      <c r="F184" s="9"/>
      <c r="G184" s="9"/>
      <c r="H184" s="43"/>
      <c r="I184" s="33" t="str">
        <f aca="false">IF(OR(D184="",D184=0),"",D184-$D$2)</f>
        <v/>
      </c>
      <c r="J184" s="43"/>
      <c r="K184" s="43"/>
      <c r="L184" s="18" t="str">
        <f aca="false">IF(B184="","",IF(K184&lt;&gt;"","Liberado","Pendiente"))</f>
        <v/>
      </c>
      <c r="M184" s="16" t="str">
        <f aca="true">IF(B184="","",IF(L184="Liberado",IF(OR(I184="",K184&lt;=I184),"A tiempo","Liberada tarde"),IF(J184="","Sin compromiso",IF(TODAY()&gt;J184,"VENCIDA",IF(AND(I184&lt;&gt;"",J184&gt;I184),"En riesgo","En gestión")))))</f>
        <v/>
      </c>
      <c r="N184" s="32" t="str">
        <f aca="false">IF(OR(B184="",I184=""),"",IF(K184&lt;&gt;"",I184-K184,IF(J184&lt;&gt;"",I184-J184,"")))</f>
        <v/>
      </c>
      <c r="O184" s="9"/>
    </row>
    <row r="185" customFormat="false" ht="15" hidden="false" customHeight="false" outlineLevel="0" collapsed="false">
      <c r="A185" s="9"/>
      <c r="B185" s="9"/>
      <c r="C185" s="16" t="str">
        <f aca="false">IF(B185="","",IFERROR(INDEX(LOOKAHEAD!$B$5:$B$604,MATCH(B185,LOOKAHEAD!$A$5:$A$604,0)),"ID no existe"))</f>
        <v/>
      </c>
      <c r="D185" s="33" t="str">
        <f aca="false">IF(B185="","",IFERROR(INDEX(LOOKAHEAD!$I$5:$I$604,MATCH(B185,LOOKAHEAD!$A$5:$A$604,0)),""))</f>
        <v/>
      </c>
      <c r="E185" s="9"/>
      <c r="F185" s="9"/>
      <c r="G185" s="9"/>
      <c r="H185" s="43"/>
      <c r="I185" s="33" t="str">
        <f aca="false">IF(OR(D185="",D185=0),"",D185-$D$2)</f>
        <v/>
      </c>
      <c r="J185" s="43"/>
      <c r="K185" s="43"/>
      <c r="L185" s="18" t="str">
        <f aca="false">IF(B185="","",IF(K185&lt;&gt;"","Liberado","Pendiente"))</f>
        <v/>
      </c>
      <c r="M185" s="16" t="str">
        <f aca="true">IF(B185="","",IF(L185="Liberado",IF(OR(I185="",K185&lt;=I185),"A tiempo","Liberada tarde"),IF(J185="","Sin compromiso",IF(TODAY()&gt;J185,"VENCIDA",IF(AND(I185&lt;&gt;"",J185&gt;I185),"En riesgo","En gestión")))))</f>
        <v/>
      </c>
      <c r="N185" s="32" t="str">
        <f aca="false">IF(OR(B185="",I185=""),"",IF(K185&lt;&gt;"",I185-K185,IF(J185&lt;&gt;"",I185-J185,"")))</f>
        <v/>
      </c>
      <c r="O185" s="9"/>
    </row>
    <row r="186" customFormat="false" ht="15" hidden="false" customHeight="false" outlineLevel="0" collapsed="false">
      <c r="A186" s="9"/>
      <c r="B186" s="9"/>
      <c r="C186" s="16" t="str">
        <f aca="false">IF(B186="","",IFERROR(INDEX(LOOKAHEAD!$B$5:$B$604,MATCH(B186,LOOKAHEAD!$A$5:$A$604,0)),"ID no existe"))</f>
        <v/>
      </c>
      <c r="D186" s="33" t="str">
        <f aca="false">IF(B186="","",IFERROR(INDEX(LOOKAHEAD!$I$5:$I$604,MATCH(B186,LOOKAHEAD!$A$5:$A$604,0)),""))</f>
        <v/>
      </c>
      <c r="E186" s="9"/>
      <c r="F186" s="9"/>
      <c r="G186" s="9"/>
      <c r="H186" s="43"/>
      <c r="I186" s="33" t="str">
        <f aca="false">IF(OR(D186="",D186=0),"",D186-$D$2)</f>
        <v/>
      </c>
      <c r="J186" s="43"/>
      <c r="K186" s="43"/>
      <c r="L186" s="18" t="str">
        <f aca="false">IF(B186="","",IF(K186&lt;&gt;"","Liberado","Pendiente"))</f>
        <v/>
      </c>
      <c r="M186" s="16" t="str">
        <f aca="true">IF(B186="","",IF(L186="Liberado",IF(OR(I186="",K186&lt;=I186),"A tiempo","Liberada tarde"),IF(J186="","Sin compromiso",IF(TODAY()&gt;J186,"VENCIDA",IF(AND(I186&lt;&gt;"",J186&gt;I186),"En riesgo","En gestión")))))</f>
        <v/>
      </c>
      <c r="N186" s="32" t="str">
        <f aca="false">IF(OR(B186="",I186=""),"",IF(K186&lt;&gt;"",I186-K186,IF(J186&lt;&gt;"",I186-J186,"")))</f>
        <v/>
      </c>
      <c r="O186" s="9"/>
    </row>
    <row r="187" customFormat="false" ht="15" hidden="false" customHeight="false" outlineLevel="0" collapsed="false">
      <c r="A187" s="9"/>
      <c r="B187" s="9"/>
      <c r="C187" s="16" t="str">
        <f aca="false">IF(B187="","",IFERROR(INDEX(LOOKAHEAD!$B$5:$B$604,MATCH(B187,LOOKAHEAD!$A$5:$A$604,0)),"ID no existe"))</f>
        <v/>
      </c>
      <c r="D187" s="33" t="str">
        <f aca="false">IF(B187="","",IFERROR(INDEX(LOOKAHEAD!$I$5:$I$604,MATCH(B187,LOOKAHEAD!$A$5:$A$604,0)),""))</f>
        <v/>
      </c>
      <c r="E187" s="9"/>
      <c r="F187" s="9"/>
      <c r="G187" s="9"/>
      <c r="H187" s="43"/>
      <c r="I187" s="33" t="str">
        <f aca="false">IF(OR(D187="",D187=0),"",D187-$D$2)</f>
        <v/>
      </c>
      <c r="J187" s="43"/>
      <c r="K187" s="43"/>
      <c r="L187" s="18" t="str">
        <f aca="false">IF(B187="","",IF(K187&lt;&gt;"","Liberado","Pendiente"))</f>
        <v/>
      </c>
      <c r="M187" s="16" t="str">
        <f aca="true">IF(B187="","",IF(L187="Liberado",IF(OR(I187="",K187&lt;=I187),"A tiempo","Liberada tarde"),IF(J187="","Sin compromiso",IF(TODAY()&gt;J187,"VENCIDA",IF(AND(I187&lt;&gt;"",J187&gt;I187),"En riesgo","En gestión")))))</f>
        <v/>
      </c>
      <c r="N187" s="32" t="str">
        <f aca="false">IF(OR(B187="",I187=""),"",IF(K187&lt;&gt;"",I187-K187,IF(J187&lt;&gt;"",I187-J187,"")))</f>
        <v/>
      </c>
      <c r="O187" s="9"/>
    </row>
    <row r="188" customFormat="false" ht="15" hidden="false" customHeight="false" outlineLevel="0" collapsed="false">
      <c r="A188" s="9"/>
      <c r="B188" s="9"/>
      <c r="C188" s="16" t="str">
        <f aca="false">IF(B188="","",IFERROR(INDEX(LOOKAHEAD!$B$5:$B$604,MATCH(B188,LOOKAHEAD!$A$5:$A$604,0)),"ID no existe"))</f>
        <v/>
      </c>
      <c r="D188" s="33" t="str">
        <f aca="false">IF(B188="","",IFERROR(INDEX(LOOKAHEAD!$I$5:$I$604,MATCH(B188,LOOKAHEAD!$A$5:$A$604,0)),""))</f>
        <v/>
      </c>
      <c r="E188" s="9"/>
      <c r="F188" s="9"/>
      <c r="G188" s="9"/>
      <c r="H188" s="43"/>
      <c r="I188" s="33" t="str">
        <f aca="false">IF(OR(D188="",D188=0),"",D188-$D$2)</f>
        <v/>
      </c>
      <c r="J188" s="43"/>
      <c r="K188" s="43"/>
      <c r="L188" s="18" t="str">
        <f aca="false">IF(B188="","",IF(K188&lt;&gt;"","Liberado","Pendiente"))</f>
        <v/>
      </c>
      <c r="M188" s="16" t="str">
        <f aca="true">IF(B188="","",IF(L188="Liberado",IF(OR(I188="",K188&lt;=I188),"A tiempo","Liberada tarde"),IF(J188="","Sin compromiso",IF(TODAY()&gt;J188,"VENCIDA",IF(AND(I188&lt;&gt;"",J188&gt;I188),"En riesgo","En gestión")))))</f>
        <v/>
      </c>
      <c r="N188" s="32" t="str">
        <f aca="false">IF(OR(B188="",I188=""),"",IF(K188&lt;&gt;"",I188-K188,IF(J188&lt;&gt;"",I188-J188,"")))</f>
        <v/>
      </c>
      <c r="O188" s="9"/>
    </row>
    <row r="189" customFormat="false" ht="15" hidden="false" customHeight="false" outlineLevel="0" collapsed="false">
      <c r="A189" s="9"/>
      <c r="B189" s="9"/>
      <c r="C189" s="16" t="str">
        <f aca="false">IF(B189="","",IFERROR(INDEX(LOOKAHEAD!$B$5:$B$604,MATCH(B189,LOOKAHEAD!$A$5:$A$604,0)),"ID no existe"))</f>
        <v/>
      </c>
      <c r="D189" s="33" t="str">
        <f aca="false">IF(B189="","",IFERROR(INDEX(LOOKAHEAD!$I$5:$I$604,MATCH(B189,LOOKAHEAD!$A$5:$A$604,0)),""))</f>
        <v/>
      </c>
      <c r="E189" s="9"/>
      <c r="F189" s="9"/>
      <c r="G189" s="9"/>
      <c r="H189" s="43"/>
      <c r="I189" s="33" t="str">
        <f aca="false">IF(OR(D189="",D189=0),"",D189-$D$2)</f>
        <v/>
      </c>
      <c r="J189" s="43"/>
      <c r="K189" s="43"/>
      <c r="L189" s="18" t="str">
        <f aca="false">IF(B189="","",IF(K189&lt;&gt;"","Liberado","Pendiente"))</f>
        <v/>
      </c>
      <c r="M189" s="16" t="str">
        <f aca="true">IF(B189="","",IF(L189="Liberado",IF(OR(I189="",K189&lt;=I189),"A tiempo","Liberada tarde"),IF(J189="","Sin compromiso",IF(TODAY()&gt;J189,"VENCIDA",IF(AND(I189&lt;&gt;"",J189&gt;I189),"En riesgo","En gestión")))))</f>
        <v/>
      </c>
      <c r="N189" s="32" t="str">
        <f aca="false">IF(OR(B189="",I189=""),"",IF(K189&lt;&gt;"",I189-K189,IF(J189&lt;&gt;"",I189-J189,"")))</f>
        <v/>
      </c>
      <c r="O189" s="9"/>
    </row>
    <row r="190" customFormat="false" ht="15" hidden="false" customHeight="false" outlineLevel="0" collapsed="false">
      <c r="A190" s="9"/>
      <c r="B190" s="9"/>
      <c r="C190" s="16" t="str">
        <f aca="false">IF(B190="","",IFERROR(INDEX(LOOKAHEAD!$B$5:$B$604,MATCH(B190,LOOKAHEAD!$A$5:$A$604,0)),"ID no existe"))</f>
        <v/>
      </c>
      <c r="D190" s="33" t="str">
        <f aca="false">IF(B190="","",IFERROR(INDEX(LOOKAHEAD!$I$5:$I$604,MATCH(B190,LOOKAHEAD!$A$5:$A$604,0)),""))</f>
        <v/>
      </c>
      <c r="E190" s="9"/>
      <c r="F190" s="9"/>
      <c r="G190" s="9"/>
      <c r="H190" s="43"/>
      <c r="I190" s="33" t="str">
        <f aca="false">IF(OR(D190="",D190=0),"",D190-$D$2)</f>
        <v/>
      </c>
      <c r="J190" s="43"/>
      <c r="K190" s="43"/>
      <c r="L190" s="18" t="str">
        <f aca="false">IF(B190="","",IF(K190&lt;&gt;"","Liberado","Pendiente"))</f>
        <v/>
      </c>
      <c r="M190" s="16" t="str">
        <f aca="true">IF(B190="","",IF(L190="Liberado",IF(OR(I190="",K190&lt;=I190),"A tiempo","Liberada tarde"),IF(J190="","Sin compromiso",IF(TODAY()&gt;J190,"VENCIDA",IF(AND(I190&lt;&gt;"",J190&gt;I190),"En riesgo","En gestión")))))</f>
        <v/>
      </c>
      <c r="N190" s="32" t="str">
        <f aca="false">IF(OR(B190="",I190=""),"",IF(K190&lt;&gt;"",I190-K190,IF(J190&lt;&gt;"",I190-J190,"")))</f>
        <v/>
      </c>
      <c r="O190" s="9"/>
    </row>
    <row r="191" customFormat="false" ht="15" hidden="false" customHeight="false" outlineLevel="0" collapsed="false">
      <c r="A191" s="9"/>
      <c r="B191" s="9"/>
      <c r="C191" s="16" t="str">
        <f aca="false">IF(B191="","",IFERROR(INDEX(LOOKAHEAD!$B$5:$B$604,MATCH(B191,LOOKAHEAD!$A$5:$A$604,0)),"ID no existe"))</f>
        <v/>
      </c>
      <c r="D191" s="33" t="str">
        <f aca="false">IF(B191="","",IFERROR(INDEX(LOOKAHEAD!$I$5:$I$604,MATCH(B191,LOOKAHEAD!$A$5:$A$604,0)),""))</f>
        <v/>
      </c>
      <c r="E191" s="9"/>
      <c r="F191" s="9"/>
      <c r="G191" s="9"/>
      <c r="H191" s="43"/>
      <c r="I191" s="33" t="str">
        <f aca="false">IF(OR(D191="",D191=0),"",D191-$D$2)</f>
        <v/>
      </c>
      <c r="J191" s="43"/>
      <c r="K191" s="43"/>
      <c r="L191" s="18" t="str">
        <f aca="false">IF(B191="","",IF(K191&lt;&gt;"","Liberado","Pendiente"))</f>
        <v/>
      </c>
      <c r="M191" s="16" t="str">
        <f aca="true">IF(B191="","",IF(L191="Liberado",IF(OR(I191="",K191&lt;=I191),"A tiempo","Liberada tarde"),IF(J191="","Sin compromiso",IF(TODAY()&gt;J191,"VENCIDA",IF(AND(I191&lt;&gt;"",J191&gt;I191),"En riesgo","En gestión")))))</f>
        <v/>
      </c>
      <c r="N191" s="32" t="str">
        <f aca="false">IF(OR(B191="",I191=""),"",IF(K191&lt;&gt;"",I191-K191,IF(J191&lt;&gt;"",I191-J191,"")))</f>
        <v/>
      </c>
      <c r="O191" s="9"/>
    </row>
    <row r="192" customFormat="false" ht="15" hidden="false" customHeight="false" outlineLevel="0" collapsed="false">
      <c r="A192" s="9"/>
      <c r="B192" s="9"/>
      <c r="C192" s="16" t="str">
        <f aca="false">IF(B192="","",IFERROR(INDEX(LOOKAHEAD!$B$5:$B$604,MATCH(B192,LOOKAHEAD!$A$5:$A$604,0)),"ID no existe"))</f>
        <v/>
      </c>
      <c r="D192" s="33" t="str">
        <f aca="false">IF(B192="","",IFERROR(INDEX(LOOKAHEAD!$I$5:$I$604,MATCH(B192,LOOKAHEAD!$A$5:$A$604,0)),""))</f>
        <v/>
      </c>
      <c r="E192" s="9"/>
      <c r="F192" s="9"/>
      <c r="G192" s="9"/>
      <c r="H192" s="43"/>
      <c r="I192" s="33" t="str">
        <f aca="false">IF(OR(D192="",D192=0),"",D192-$D$2)</f>
        <v/>
      </c>
      <c r="J192" s="43"/>
      <c r="K192" s="43"/>
      <c r="L192" s="18" t="str">
        <f aca="false">IF(B192="","",IF(K192&lt;&gt;"","Liberado","Pendiente"))</f>
        <v/>
      </c>
      <c r="M192" s="16" t="str">
        <f aca="true">IF(B192="","",IF(L192="Liberado",IF(OR(I192="",K192&lt;=I192),"A tiempo","Liberada tarde"),IF(J192="","Sin compromiso",IF(TODAY()&gt;J192,"VENCIDA",IF(AND(I192&lt;&gt;"",J192&gt;I192),"En riesgo","En gestión")))))</f>
        <v/>
      </c>
      <c r="N192" s="32" t="str">
        <f aca="false">IF(OR(B192="",I192=""),"",IF(K192&lt;&gt;"",I192-K192,IF(J192&lt;&gt;"",I192-J192,"")))</f>
        <v/>
      </c>
      <c r="O192" s="9"/>
    </row>
    <row r="193" customFormat="false" ht="15" hidden="false" customHeight="false" outlineLevel="0" collapsed="false">
      <c r="A193" s="9"/>
      <c r="B193" s="9"/>
      <c r="C193" s="16" t="str">
        <f aca="false">IF(B193="","",IFERROR(INDEX(LOOKAHEAD!$B$5:$B$604,MATCH(B193,LOOKAHEAD!$A$5:$A$604,0)),"ID no existe"))</f>
        <v/>
      </c>
      <c r="D193" s="33" t="str">
        <f aca="false">IF(B193="","",IFERROR(INDEX(LOOKAHEAD!$I$5:$I$604,MATCH(B193,LOOKAHEAD!$A$5:$A$604,0)),""))</f>
        <v/>
      </c>
      <c r="E193" s="9"/>
      <c r="F193" s="9"/>
      <c r="G193" s="9"/>
      <c r="H193" s="43"/>
      <c r="I193" s="33" t="str">
        <f aca="false">IF(OR(D193="",D193=0),"",D193-$D$2)</f>
        <v/>
      </c>
      <c r="J193" s="43"/>
      <c r="K193" s="43"/>
      <c r="L193" s="18" t="str">
        <f aca="false">IF(B193="","",IF(K193&lt;&gt;"","Liberado","Pendiente"))</f>
        <v/>
      </c>
      <c r="M193" s="16" t="str">
        <f aca="true">IF(B193="","",IF(L193="Liberado",IF(OR(I193="",K193&lt;=I193),"A tiempo","Liberada tarde"),IF(J193="","Sin compromiso",IF(TODAY()&gt;J193,"VENCIDA",IF(AND(I193&lt;&gt;"",J193&gt;I193),"En riesgo","En gestión")))))</f>
        <v/>
      </c>
      <c r="N193" s="32" t="str">
        <f aca="false">IF(OR(B193="",I193=""),"",IF(K193&lt;&gt;"",I193-K193,IF(J193&lt;&gt;"",I193-J193,"")))</f>
        <v/>
      </c>
      <c r="O193" s="9"/>
    </row>
    <row r="194" customFormat="false" ht="15" hidden="false" customHeight="false" outlineLevel="0" collapsed="false">
      <c r="A194" s="9"/>
      <c r="B194" s="9"/>
      <c r="C194" s="16" t="str">
        <f aca="false">IF(B194="","",IFERROR(INDEX(LOOKAHEAD!$B$5:$B$604,MATCH(B194,LOOKAHEAD!$A$5:$A$604,0)),"ID no existe"))</f>
        <v/>
      </c>
      <c r="D194" s="33" t="str">
        <f aca="false">IF(B194="","",IFERROR(INDEX(LOOKAHEAD!$I$5:$I$604,MATCH(B194,LOOKAHEAD!$A$5:$A$604,0)),""))</f>
        <v/>
      </c>
      <c r="E194" s="9"/>
      <c r="F194" s="9"/>
      <c r="G194" s="9"/>
      <c r="H194" s="43"/>
      <c r="I194" s="33" t="str">
        <f aca="false">IF(OR(D194="",D194=0),"",D194-$D$2)</f>
        <v/>
      </c>
      <c r="J194" s="43"/>
      <c r="K194" s="43"/>
      <c r="L194" s="18" t="str">
        <f aca="false">IF(B194="","",IF(K194&lt;&gt;"","Liberado","Pendiente"))</f>
        <v/>
      </c>
      <c r="M194" s="16" t="str">
        <f aca="true">IF(B194="","",IF(L194="Liberado",IF(OR(I194="",K194&lt;=I194),"A tiempo","Liberada tarde"),IF(J194="","Sin compromiso",IF(TODAY()&gt;J194,"VENCIDA",IF(AND(I194&lt;&gt;"",J194&gt;I194),"En riesgo","En gestión")))))</f>
        <v/>
      </c>
      <c r="N194" s="32" t="str">
        <f aca="false">IF(OR(B194="",I194=""),"",IF(K194&lt;&gt;"",I194-K194,IF(J194&lt;&gt;"",I194-J194,"")))</f>
        <v/>
      </c>
      <c r="O194" s="9"/>
    </row>
    <row r="195" customFormat="false" ht="15" hidden="false" customHeight="false" outlineLevel="0" collapsed="false">
      <c r="A195" s="9"/>
      <c r="B195" s="9"/>
      <c r="C195" s="16" t="str">
        <f aca="false">IF(B195="","",IFERROR(INDEX(LOOKAHEAD!$B$5:$B$604,MATCH(B195,LOOKAHEAD!$A$5:$A$604,0)),"ID no existe"))</f>
        <v/>
      </c>
      <c r="D195" s="33" t="str">
        <f aca="false">IF(B195="","",IFERROR(INDEX(LOOKAHEAD!$I$5:$I$604,MATCH(B195,LOOKAHEAD!$A$5:$A$604,0)),""))</f>
        <v/>
      </c>
      <c r="E195" s="9"/>
      <c r="F195" s="9"/>
      <c r="G195" s="9"/>
      <c r="H195" s="43"/>
      <c r="I195" s="33" t="str">
        <f aca="false">IF(OR(D195="",D195=0),"",D195-$D$2)</f>
        <v/>
      </c>
      <c r="J195" s="43"/>
      <c r="K195" s="43"/>
      <c r="L195" s="18" t="str">
        <f aca="false">IF(B195="","",IF(K195&lt;&gt;"","Liberado","Pendiente"))</f>
        <v/>
      </c>
      <c r="M195" s="16" t="str">
        <f aca="true">IF(B195="","",IF(L195="Liberado",IF(OR(I195="",K195&lt;=I195),"A tiempo","Liberada tarde"),IF(J195="","Sin compromiso",IF(TODAY()&gt;J195,"VENCIDA",IF(AND(I195&lt;&gt;"",J195&gt;I195),"En riesgo","En gestión")))))</f>
        <v/>
      </c>
      <c r="N195" s="32" t="str">
        <f aca="false">IF(OR(B195="",I195=""),"",IF(K195&lt;&gt;"",I195-K195,IF(J195&lt;&gt;"",I195-J195,"")))</f>
        <v/>
      </c>
      <c r="O195" s="9"/>
    </row>
    <row r="196" customFormat="false" ht="15" hidden="false" customHeight="false" outlineLevel="0" collapsed="false">
      <c r="A196" s="9"/>
      <c r="B196" s="9"/>
      <c r="C196" s="16" t="str">
        <f aca="false">IF(B196="","",IFERROR(INDEX(LOOKAHEAD!$B$5:$B$604,MATCH(B196,LOOKAHEAD!$A$5:$A$604,0)),"ID no existe"))</f>
        <v/>
      </c>
      <c r="D196" s="33" t="str">
        <f aca="false">IF(B196="","",IFERROR(INDEX(LOOKAHEAD!$I$5:$I$604,MATCH(B196,LOOKAHEAD!$A$5:$A$604,0)),""))</f>
        <v/>
      </c>
      <c r="E196" s="9"/>
      <c r="F196" s="9"/>
      <c r="G196" s="9"/>
      <c r="H196" s="43"/>
      <c r="I196" s="33" t="str">
        <f aca="false">IF(OR(D196="",D196=0),"",D196-$D$2)</f>
        <v/>
      </c>
      <c r="J196" s="43"/>
      <c r="K196" s="43"/>
      <c r="L196" s="18" t="str">
        <f aca="false">IF(B196="","",IF(K196&lt;&gt;"","Liberado","Pendiente"))</f>
        <v/>
      </c>
      <c r="M196" s="16" t="str">
        <f aca="true">IF(B196="","",IF(L196="Liberado",IF(OR(I196="",K196&lt;=I196),"A tiempo","Liberada tarde"),IF(J196="","Sin compromiso",IF(TODAY()&gt;J196,"VENCIDA",IF(AND(I196&lt;&gt;"",J196&gt;I196),"En riesgo","En gestión")))))</f>
        <v/>
      </c>
      <c r="N196" s="32" t="str">
        <f aca="false">IF(OR(B196="",I196=""),"",IF(K196&lt;&gt;"",I196-K196,IF(J196&lt;&gt;"",I196-J196,"")))</f>
        <v/>
      </c>
      <c r="O196" s="9"/>
    </row>
    <row r="197" customFormat="false" ht="15" hidden="false" customHeight="false" outlineLevel="0" collapsed="false">
      <c r="A197" s="9"/>
      <c r="B197" s="9"/>
      <c r="C197" s="16" t="str">
        <f aca="false">IF(B197="","",IFERROR(INDEX(LOOKAHEAD!$B$5:$B$604,MATCH(B197,LOOKAHEAD!$A$5:$A$604,0)),"ID no existe"))</f>
        <v/>
      </c>
      <c r="D197" s="33" t="str">
        <f aca="false">IF(B197="","",IFERROR(INDEX(LOOKAHEAD!$I$5:$I$604,MATCH(B197,LOOKAHEAD!$A$5:$A$604,0)),""))</f>
        <v/>
      </c>
      <c r="E197" s="9"/>
      <c r="F197" s="9"/>
      <c r="G197" s="9"/>
      <c r="H197" s="43"/>
      <c r="I197" s="33" t="str">
        <f aca="false">IF(OR(D197="",D197=0),"",D197-$D$2)</f>
        <v/>
      </c>
      <c r="J197" s="43"/>
      <c r="K197" s="43"/>
      <c r="L197" s="18" t="str">
        <f aca="false">IF(B197="","",IF(K197&lt;&gt;"","Liberado","Pendiente"))</f>
        <v/>
      </c>
      <c r="M197" s="16" t="str">
        <f aca="true">IF(B197="","",IF(L197="Liberado",IF(OR(I197="",K197&lt;=I197),"A tiempo","Liberada tarde"),IF(J197="","Sin compromiso",IF(TODAY()&gt;J197,"VENCIDA",IF(AND(I197&lt;&gt;"",J197&gt;I197),"En riesgo","En gestión")))))</f>
        <v/>
      </c>
      <c r="N197" s="32" t="str">
        <f aca="false">IF(OR(B197="",I197=""),"",IF(K197&lt;&gt;"",I197-K197,IF(J197&lt;&gt;"",I197-J197,"")))</f>
        <v/>
      </c>
      <c r="O197" s="9"/>
    </row>
    <row r="198" customFormat="false" ht="15" hidden="false" customHeight="false" outlineLevel="0" collapsed="false">
      <c r="A198" s="9"/>
      <c r="B198" s="9"/>
      <c r="C198" s="16" t="str">
        <f aca="false">IF(B198="","",IFERROR(INDEX(LOOKAHEAD!$B$5:$B$604,MATCH(B198,LOOKAHEAD!$A$5:$A$604,0)),"ID no existe"))</f>
        <v/>
      </c>
      <c r="D198" s="33" t="str">
        <f aca="false">IF(B198="","",IFERROR(INDEX(LOOKAHEAD!$I$5:$I$604,MATCH(B198,LOOKAHEAD!$A$5:$A$604,0)),""))</f>
        <v/>
      </c>
      <c r="E198" s="9"/>
      <c r="F198" s="9"/>
      <c r="G198" s="9"/>
      <c r="H198" s="43"/>
      <c r="I198" s="33" t="str">
        <f aca="false">IF(OR(D198="",D198=0),"",D198-$D$2)</f>
        <v/>
      </c>
      <c r="J198" s="43"/>
      <c r="K198" s="43"/>
      <c r="L198" s="18" t="str">
        <f aca="false">IF(B198="","",IF(K198&lt;&gt;"","Liberado","Pendiente"))</f>
        <v/>
      </c>
      <c r="M198" s="16" t="str">
        <f aca="true">IF(B198="","",IF(L198="Liberado",IF(OR(I198="",K198&lt;=I198),"A tiempo","Liberada tarde"),IF(J198="","Sin compromiso",IF(TODAY()&gt;J198,"VENCIDA",IF(AND(I198&lt;&gt;"",J198&gt;I198),"En riesgo","En gestión")))))</f>
        <v/>
      </c>
      <c r="N198" s="32" t="str">
        <f aca="false">IF(OR(B198="",I198=""),"",IF(K198&lt;&gt;"",I198-K198,IF(J198&lt;&gt;"",I198-J198,"")))</f>
        <v/>
      </c>
      <c r="O198" s="9"/>
    </row>
    <row r="199" customFormat="false" ht="15" hidden="false" customHeight="false" outlineLevel="0" collapsed="false">
      <c r="A199" s="9"/>
      <c r="B199" s="9"/>
      <c r="C199" s="16" t="str">
        <f aca="false">IF(B199="","",IFERROR(INDEX(LOOKAHEAD!$B$5:$B$604,MATCH(B199,LOOKAHEAD!$A$5:$A$604,0)),"ID no existe"))</f>
        <v/>
      </c>
      <c r="D199" s="33" t="str">
        <f aca="false">IF(B199="","",IFERROR(INDEX(LOOKAHEAD!$I$5:$I$604,MATCH(B199,LOOKAHEAD!$A$5:$A$604,0)),""))</f>
        <v/>
      </c>
      <c r="E199" s="9"/>
      <c r="F199" s="9"/>
      <c r="G199" s="9"/>
      <c r="H199" s="43"/>
      <c r="I199" s="33" t="str">
        <f aca="false">IF(OR(D199="",D199=0),"",D199-$D$2)</f>
        <v/>
      </c>
      <c r="J199" s="43"/>
      <c r="K199" s="43"/>
      <c r="L199" s="18" t="str">
        <f aca="false">IF(B199="","",IF(K199&lt;&gt;"","Liberado","Pendiente"))</f>
        <v/>
      </c>
      <c r="M199" s="16" t="str">
        <f aca="true">IF(B199="","",IF(L199="Liberado",IF(OR(I199="",K199&lt;=I199),"A tiempo","Liberada tarde"),IF(J199="","Sin compromiso",IF(TODAY()&gt;J199,"VENCIDA",IF(AND(I199&lt;&gt;"",J199&gt;I199),"En riesgo","En gestión")))))</f>
        <v/>
      </c>
      <c r="N199" s="32" t="str">
        <f aca="false">IF(OR(B199="",I199=""),"",IF(K199&lt;&gt;"",I199-K199,IF(J199&lt;&gt;"",I199-J199,"")))</f>
        <v/>
      </c>
      <c r="O199" s="9"/>
    </row>
    <row r="200" customFormat="false" ht="15" hidden="false" customHeight="false" outlineLevel="0" collapsed="false">
      <c r="A200" s="9"/>
      <c r="B200" s="9"/>
      <c r="C200" s="16" t="str">
        <f aca="false">IF(B200="","",IFERROR(INDEX(LOOKAHEAD!$B$5:$B$604,MATCH(B200,LOOKAHEAD!$A$5:$A$604,0)),"ID no existe"))</f>
        <v/>
      </c>
      <c r="D200" s="33" t="str">
        <f aca="false">IF(B200="","",IFERROR(INDEX(LOOKAHEAD!$I$5:$I$604,MATCH(B200,LOOKAHEAD!$A$5:$A$604,0)),""))</f>
        <v/>
      </c>
      <c r="E200" s="9"/>
      <c r="F200" s="9"/>
      <c r="G200" s="9"/>
      <c r="H200" s="43"/>
      <c r="I200" s="33" t="str">
        <f aca="false">IF(OR(D200="",D200=0),"",D200-$D$2)</f>
        <v/>
      </c>
      <c r="J200" s="43"/>
      <c r="K200" s="43"/>
      <c r="L200" s="18" t="str">
        <f aca="false">IF(B200="","",IF(K200&lt;&gt;"","Liberado","Pendiente"))</f>
        <v/>
      </c>
      <c r="M200" s="16" t="str">
        <f aca="true">IF(B200="","",IF(L200="Liberado",IF(OR(I200="",K200&lt;=I200),"A tiempo","Liberada tarde"),IF(J200="","Sin compromiso",IF(TODAY()&gt;J200,"VENCIDA",IF(AND(I200&lt;&gt;"",J200&gt;I200),"En riesgo","En gestión")))))</f>
        <v/>
      </c>
      <c r="N200" s="32" t="str">
        <f aca="false">IF(OR(B200="",I200=""),"",IF(K200&lt;&gt;"",I200-K200,IF(J200&lt;&gt;"",I200-J200,"")))</f>
        <v/>
      </c>
      <c r="O200" s="9"/>
    </row>
    <row r="201" customFormat="false" ht="15" hidden="false" customHeight="false" outlineLevel="0" collapsed="false">
      <c r="A201" s="9"/>
      <c r="B201" s="9"/>
      <c r="C201" s="16" t="str">
        <f aca="false">IF(B201="","",IFERROR(INDEX(LOOKAHEAD!$B$5:$B$604,MATCH(B201,LOOKAHEAD!$A$5:$A$604,0)),"ID no existe"))</f>
        <v/>
      </c>
      <c r="D201" s="33" t="str">
        <f aca="false">IF(B201="","",IFERROR(INDEX(LOOKAHEAD!$I$5:$I$604,MATCH(B201,LOOKAHEAD!$A$5:$A$604,0)),""))</f>
        <v/>
      </c>
      <c r="E201" s="9"/>
      <c r="F201" s="9"/>
      <c r="G201" s="9"/>
      <c r="H201" s="43"/>
      <c r="I201" s="33" t="str">
        <f aca="false">IF(OR(D201="",D201=0),"",D201-$D$2)</f>
        <v/>
      </c>
      <c r="J201" s="43"/>
      <c r="K201" s="43"/>
      <c r="L201" s="18" t="str">
        <f aca="false">IF(B201="","",IF(K201&lt;&gt;"","Liberado","Pendiente"))</f>
        <v/>
      </c>
      <c r="M201" s="16" t="str">
        <f aca="true">IF(B201="","",IF(L201="Liberado",IF(OR(I201="",K201&lt;=I201),"A tiempo","Liberada tarde"),IF(J201="","Sin compromiso",IF(TODAY()&gt;J201,"VENCIDA",IF(AND(I201&lt;&gt;"",J201&gt;I201),"En riesgo","En gestión")))))</f>
        <v/>
      </c>
      <c r="N201" s="32" t="str">
        <f aca="false">IF(OR(B201="",I201=""),"",IF(K201&lt;&gt;"",I201-K201,IF(J201&lt;&gt;"",I201-J201,"")))</f>
        <v/>
      </c>
      <c r="O201" s="9"/>
    </row>
    <row r="202" customFormat="false" ht="15" hidden="false" customHeight="false" outlineLevel="0" collapsed="false">
      <c r="A202" s="9"/>
      <c r="B202" s="9"/>
      <c r="C202" s="16" t="str">
        <f aca="false">IF(B202="","",IFERROR(INDEX(LOOKAHEAD!$B$5:$B$604,MATCH(B202,LOOKAHEAD!$A$5:$A$604,0)),"ID no existe"))</f>
        <v/>
      </c>
      <c r="D202" s="33" t="str">
        <f aca="false">IF(B202="","",IFERROR(INDEX(LOOKAHEAD!$I$5:$I$604,MATCH(B202,LOOKAHEAD!$A$5:$A$604,0)),""))</f>
        <v/>
      </c>
      <c r="E202" s="9"/>
      <c r="F202" s="9"/>
      <c r="G202" s="9"/>
      <c r="H202" s="43"/>
      <c r="I202" s="33" t="str">
        <f aca="false">IF(OR(D202="",D202=0),"",D202-$D$2)</f>
        <v/>
      </c>
      <c r="J202" s="43"/>
      <c r="K202" s="43"/>
      <c r="L202" s="18" t="str">
        <f aca="false">IF(B202="","",IF(K202&lt;&gt;"","Liberado","Pendiente"))</f>
        <v/>
      </c>
      <c r="M202" s="16" t="str">
        <f aca="true">IF(B202="","",IF(L202="Liberado",IF(OR(I202="",K202&lt;=I202),"A tiempo","Liberada tarde"),IF(J202="","Sin compromiso",IF(TODAY()&gt;J202,"VENCIDA",IF(AND(I202&lt;&gt;"",J202&gt;I202),"En riesgo","En gestión")))))</f>
        <v/>
      </c>
      <c r="N202" s="32" t="str">
        <f aca="false">IF(OR(B202="",I202=""),"",IF(K202&lt;&gt;"",I202-K202,IF(J202&lt;&gt;"",I202-J202,"")))</f>
        <v/>
      </c>
      <c r="O202" s="9"/>
    </row>
    <row r="203" customFormat="false" ht="15" hidden="false" customHeight="false" outlineLevel="0" collapsed="false">
      <c r="A203" s="9"/>
      <c r="B203" s="9"/>
      <c r="C203" s="16" t="str">
        <f aca="false">IF(B203="","",IFERROR(INDEX(LOOKAHEAD!$B$5:$B$604,MATCH(B203,LOOKAHEAD!$A$5:$A$604,0)),"ID no existe"))</f>
        <v/>
      </c>
      <c r="D203" s="33" t="str">
        <f aca="false">IF(B203="","",IFERROR(INDEX(LOOKAHEAD!$I$5:$I$604,MATCH(B203,LOOKAHEAD!$A$5:$A$604,0)),""))</f>
        <v/>
      </c>
      <c r="E203" s="9"/>
      <c r="F203" s="9"/>
      <c r="G203" s="9"/>
      <c r="H203" s="43"/>
      <c r="I203" s="33" t="str">
        <f aca="false">IF(OR(D203="",D203=0),"",D203-$D$2)</f>
        <v/>
      </c>
      <c r="J203" s="43"/>
      <c r="K203" s="43"/>
      <c r="L203" s="18" t="str">
        <f aca="false">IF(B203="","",IF(K203&lt;&gt;"","Liberado","Pendiente"))</f>
        <v/>
      </c>
      <c r="M203" s="16" t="str">
        <f aca="true">IF(B203="","",IF(L203="Liberado",IF(OR(I203="",K203&lt;=I203),"A tiempo","Liberada tarde"),IF(J203="","Sin compromiso",IF(TODAY()&gt;J203,"VENCIDA",IF(AND(I203&lt;&gt;"",J203&gt;I203),"En riesgo","En gestión")))))</f>
        <v/>
      </c>
      <c r="N203" s="32" t="str">
        <f aca="false">IF(OR(B203="",I203=""),"",IF(K203&lt;&gt;"",I203-K203,IF(J203&lt;&gt;"",I203-J203,"")))</f>
        <v/>
      </c>
      <c r="O203" s="9"/>
    </row>
    <row r="204" customFormat="false" ht="15" hidden="false" customHeight="false" outlineLevel="0" collapsed="false">
      <c r="A204" s="9"/>
      <c r="B204" s="9"/>
      <c r="C204" s="16" t="str">
        <f aca="false">IF(B204="","",IFERROR(INDEX(LOOKAHEAD!$B$5:$B$604,MATCH(B204,LOOKAHEAD!$A$5:$A$604,0)),"ID no existe"))</f>
        <v/>
      </c>
      <c r="D204" s="33" t="str">
        <f aca="false">IF(B204="","",IFERROR(INDEX(LOOKAHEAD!$I$5:$I$604,MATCH(B204,LOOKAHEAD!$A$5:$A$604,0)),""))</f>
        <v/>
      </c>
      <c r="E204" s="9"/>
      <c r="F204" s="9"/>
      <c r="G204" s="9"/>
      <c r="H204" s="43"/>
      <c r="I204" s="33" t="str">
        <f aca="false">IF(OR(D204="",D204=0),"",D204-$D$2)</f>
        <v/>
      </c>
      <c r="J204" s="43"/>
      <c r="K204" s="43"/>
      <c r="L204" s="18" t="str">
        <f aca="false">IF(B204="","",IF(K204&lt;&gt;"","Liberado","Pendiente"))</f>
        <v/>
      </c>
      <c r="M204" s="16" t="str">
        <f aca="true">IF(B204="","",IF(L204="Liberado",IF(OR(I204="",K204&lt;=I204),"A tiempo","Liberada tarde"),IF(J204="","Sin compromiso",IF(TODAY()&gt;J204,"VENCIDA",IF(AND(I204&lt;&gt;"",J204&gt;I204),"En riesgo","En gestión")))))</f>
        <v/>
      </c>
      <c r="N204" s="32" t="str">
        <f aca="false">IF(OR(B204="",I204=""),"",IF(K204&lt;&gt;"",I204-K204,IF(J204&lt;&gt;"",I204-J204,"")))</f>
        <v/>
      </c>
      <c r="O204" s="9"/>
    </row>
    <row r="205" customFormat="false" ht="15" hidden="false" customHeight="false" outlineLevel="0" collapsed="false">
      <c r="A205" s="9"/>
      <c r="B205" s="9"/>
      <c r="C205" s="16" t="str">
        <f aca="false">IF(B205="","",IFERROR(INDEX(LOOKAHEAD!$B$5:$B$604,MATCH(B205,LOOKAHEAD!$A$5:$A$604,0)),"ID no existe"))</f>
        <v/>
      </c>
      <c r="D205" s="33" t="str">
        <f aca="false">IF(B205="","",IFERROR(INDEX(LOOKAHEAD!$I$5:$I$604,MATCH(B205,LOOKAHEAD!$A$5:$A$604,0)),""))</f>
        <v/>
      </c>
      <c r="E205" s="9"/>
      <c r="F205" s="9"/>
      <c r="G205" s="9"/>
      <c r="H205" s="43"/>
      <c r="I205" s="33" t="str">
        <f aca="false">IF(OR(D205="",D205=0),"",D205-$D$2)</f>
        <v/>
      </c>
      <c r="J205" s="43"/>
      <c r="K205" s="43"/>
      <c r="L205" s="18" t="str">
        <f aca="false">IF(B205="","",IF(K205&lt;&gt;"","Liberado","Pendiente"))</f>
        <v/>
      </c>
      <c r="M205" s="16" t="str">
        <f aca="true">IF(B205="","",IF(L205="Liberado",IF(OR(I205="",K205&lt;=I205),"A tiempo","Liberada tarde"),IF(J205="","Sin compromiso",IF(TODAY()&gt;J205,"VENCIDA",IF(AND(I205&lt;&gt;"",J205&gt;I205),"En riesgo","En gestión")))))</f>
        <v/>
      </c>
      <c r="N205" s="32" t="str">
        <f aca="false">IF(OR(B205="",I205=""),"",IF(K205&lt;&gt;"",I205-K205,IF(J205&lt;&gt;"",I205-J205,"")))</f>
        <v/>
      </c>
      <c r="O205" s="9"/>
    </row>
    <row r="206" customFormat="false" ht="15" hidden="false" customHeight="false" outlineLevel="0" collapsed="false">
      <c r="A206" s="9"/>
      <c r="B206" s="9"/>
      <c r="C206" s="16" t="str">
        <f aca="false">IF(B206="","",IFERROR(INDEX(LOOKAHEAD!$B$5:$B$604,MATCH(B206,LOOKAHEAD!$A$5:$A$604,0)),"ID no existe"))</f>
        <v/>
      </c>
      <c r="D206" s="33" t="str">
        <f aca="false">IF(B206="","",IFERROR(INDEX(LOOKAHEAD!$I$5:$I$604,MATCH(B206,LOOKAHEAD!$A$5:$A$604,0)),""))</f>
        <v/>
      </c>
      <c r="E206" s="9"/>
      <c r="F206" s="9"/>
      <c r="G206" s="9"/>
      <c r="H206" s="43"/>
      <c r="I206" s="33" t="str">
        <f aca="false">IF(OR(D206="",D206=0),"",D206-$D$2)</f>
        <v/>
      </c>
      <c r="J206" s="43"/>
      <c r="K206" s="43"/>
      <c r="L206" s="18" t="str">
        <f aca="false">IF(B206="","",IF(K206&lt;&gt;"","Liberado","Pendiente"))</f>
        <v/>
      </c>
      <c r="M206" s="16" t="str">
        <f aca="true">IF(B206="","",IF(L206="Liberado",IF(OR(I206="",K206&lt;=I206),"A tiempo","Liberada tarde"),IF(J206="","Sin compromiso",IF(TODAY()&gt;J206,"VENCIDA",IF(AND(I206&lt;&gt;"",J206&gt;I206),"En riesgo","En gestión")))))</f>
        <v/>
      </c>
      <c r="N206" s="32" t="str">
        <f aca="false">IF(OR(B206="",I206=""),"",IF(K206&lt;&gt;"",I206-K206,IF(J206&lt;&gt;"",I206-J206,"")))</f>
        <v/>
      </c>
      <c r="O206" s="9"/>
    </row>
    <row r="207" customFormat="false" ht="15" hidden="false" customHeight="false" outlineLevel="0" collapsed="false">
      <c r="A207" s="9"/>
      <c r="B207" s="9"/>
      <c r="C207" s="16" t="str">
        <f aca="false">IF(B207="","",IFERROR(INDEX(LOOKAHEAD!$B$5:$B$604,MATCH(B207,LOOKAHEAD!$A$5:$A$604,0)),"ID no existe"))</f>
        <v/>
      </c>
      <c r="D207" s="33" t="str">
        <f aca="false">IF(B207="","",IFERROR(INDEX(LOOKAHEAD!$I$5:$I$604,MATCH(B207,LOOKAHEAD!$A$5:$A$604,0)),""))</f>
        <v/>
      </c>
      <c r="E207" s="9"/>
      <c r="F207" s="9"/>
      <c r="G207" s="9"/>
      <c r="H207" s="43"/>
      <c r="I207" s="33" t="str">
        <f aca="false">IF(OR(D207="",D207=0),"",D207-$D$2)</f>
        <v/>
      </c>
      <c r="J207" s="43"/>
      <c r="K207" s="43"/>
      <c r="L207" s="18" t="str">
        <f aca="false">IF(B207="","",IF(K207&lt;&gt;"","Liberado","Pendiente"))</f>
        <v/>
      </c>
      <c r="M207" s="16" t="str">
        <f aca="true">IF(B207="","",IF(L207="Liberado",IF(OR(I207="",K207&lt;=I207),"A tiempo","Liberada tarde"),IF(J207="","Sin compromiso",IF(TODAY()&gt;J207,"VENCIDA",IF(AND(I207&lt;&gt;"",J207&gt;I207),"En riesgo","En gestión")))))</f>
        <v/>
      </c>
      <c r="N207" s="32" t="str">
        <f aca="false">IF(OR(B207="",I207=""),"",IF(K207&lt;&gt;"",I207-K207,IF(J207&lt;&gt;"",I207-J207,"")))</f>
        <v/>
      </c>
      <c r="O207" s="9"/>
    </row>
    <row r="208" customFormat="false" ht="15" hidden="false" customHeight="false" outlineLevel="0" collapsed="false">
      <c r="A208" s="9"/>
      <c r="B208" s="9"/>
      <c r="C208" s="16" t="str">
        <f aca="false">IF(B208="","",IFERROR(INDEX(LOOKAHEAD!$B$5:$B$604,MATCH(B208,LOOKAHEAD!$A$5:$A$604,0)),"ID no existe"))</f>
        <v/>
      </c>
      <c r="D208" s="33" t="str">
        <f aca="false">IF(B208="","",IFERROR(INDEX(LOOKAHEAD!$I$5:$I$604,MATCH(B208,LOOKAHEAD!$A$5:$A$604,0)),""))</f>
        <v/>
      </c>
      <c r="E208" s="9"/>
      <c r="F208" s="9"/>
      <c r="G208" s="9"/>
      <c r="H208" s="43"/>
      <c r="I208" s="33" t="str">
        <f aca="false">IF(OR(D208="",D208=0),"",D208-$D$2)</f>
        <v/>
      </c>
      <c r="J208" s="43"/>
      <c r="K208" s="43"/>
      <c r="L208" s="18" t="str">
        <f aca="false">IF(B208="","",IF(K208&lt;&gt;"","Liberado","Pendiente"))</f>
        <v/>
      </c>
      <c r="M208" s="16" t="str">
        <f aca="true">IF(B208="","",IF(L208="Liberado",IF(OR(I208="",K208&lt;=I208),"A tiempo","Liberada tarde"),IF(J208="","Sin compromiso",IF(TODAY()&gt;J208,"VENCIDA",IF(AND(I208&lt;&gt;"",J208&gt;I208),"En riesgo","En gestión")))))</f>
        <v/>
      </c>
      <c r="N208" s="32" t="str">
        <f aca="false">IF(OR(B208="",I208=""),"",IF(K208&lt;&gt;"",I208-K208,IF(J208&lt;&gt;"",I208-J208,"")))</f>
        <v/>
      </c>
      <c r="O208" s="9"/>
    </row>
    <row r="209" customFormat="false" ht="15" hidden="false" customHeight="false" outlineLevel="0" collapsed="false">
      <c r="A209" s="9"/>
      <c r="B209" s="9"/>
      <c r="C209" s="16" t="str">
        <f aca="false">IF(B209="","",IFERROR(INDEX(LOOKAHEAD!$B$5:$B$604,MATCH(B209,LOOKAHEAD!$A$5:$A$604,0)),"ID no existe"))</f>
        <v/>
      </c>
      <c r="D209" s="33" t="str">
        <f aca="false">IF(B209="","",IFERROR(INDEX(LOOKAHEAD!$I$5:$I$604,MATCH(B209,LOOKAHEAD!$A$5:$A$604,0)),""))</f>
        <v/>
      </c>
      <c r="E209" s="9"/>
      <c r="F209" s="9"/>
      <c r="G209" s="9"/>
      <c r="H209" s="43"/>
      <c r="I209" s="33" t="str">
        <f aca="false">IF(OR(D209="",D209=0),"",D209-$D$2)</f>
        <v/>
      </c>
      <c r="J209" s="43"/>
      <c r="K209" s="43"/>
      <c r="L209" s="18" t="str">
        <f aca="false">IF(B209="","",IF(K209&lt;&gt;"","Liberado","Pendiente"))</f>
        <v/>
      </c>
      <c r="M209" s="16" t="str">
        <f aca="true">IF(B209="","",IF(L209="Liberado",IF(OR(I209="",K209&lt;=I209),"A tiempo","Liberada tarde"),IF(J209="","Sin compromiso",IF(TODAY()&gt;J209,"VENCIDA",IF(AND(I209&lt;&gt;"",J209&gt;I209),"En riesgo","En gestión")))))</f>
        <v/>
      </c>
      <c r="N209" s="32" t="str">
        <f aca="false">IF(OR(B209="",I209=""),"",IF(K209&lt;&gt;"",I209-K209,IF(J209&lt;&gt;"",I209-J209,"")))</f>
        <v/>
      </c>
      <c r="O209" s="9"/>
    </row>
    <row r="210" customFormat="false" ht="15" hidden="false" customHeight="false" outlineLevel="0" collapsed="false">
      <c r="A210" s="9"/>
      <c r="B210" s="9"/>
      <c r="C210" s="16" t="str">
        <f aca="false">IF(B210="","",IFERROR(INDEX(LOOKAHEAD!$B$5:$B$604,MATCH(B210,LOOKAHEAD!$A$5:$A$604,0)),"ID no existe"))</f>
        <v/>
      </c>
      <c r="D210" s="33" t="str">
        <f aca="false">IF(B210="","",IFERROR(INDEX(LOOKAHEAD!$I$5:$I$604,MATCH(B210,LOOKAHEAD!$A$5:$A$604,0)),""))</f>
        <v/>
      </c>
      <c r="E210" s="9"/>
      <c r="F210" s="9"/>
      <c r="G210" s="9"/>
      <c r="H210" s="43"/>
      <c r="I210" s="33" t="str">
        <f aca="false">IF(OR(D210="",D210=0),"",D210-$D$2)</f>
        <v/>
      </c>
      <c r="J210" s="43"/>
      <c r="K210" s="43"/>
      <c r="L210" s="18" t="str">
        <f aca="false">IF(B210="","",IF(K210&lt;&gt;"","Liberado","Pendiente"))</f>
        <v/>
      </c>
      <c r="M210" s="16" t="str">
        <f aca="true">IF(B210="","",IF(L210="Liberado",IF(OR(I210="",K210&lt;=I210),"A tiempo","Liberada tarde"),IF(J210="","Sin compromiso",IF(TODAY()&gt;J210,"VENCIDA",IF(AND(I210&lt;&gt;"",J210&gt;I210),"En riesgo","En gestión")))))</f>
        <v/>
      </c>
      <c r="N210" s="32" t="str">
        <f aca="false">IF(OR(B210="",I210=""),"",IF(K210&lt;&gt;"",I210-K210,IF(J210&lt;&gt;"",I210-J210,"")))</f>
        <v/>
      </c>
      <c r="O210" s="9"/>
    </row>
    <row r="211" customFormat="false" ht="15" hidden="false" customHeight="false" outlineLevel="0" collapsed="false">
      <c r="A211" s="9"/>
      <c r="B211" s="9"/>
      <c r="C211" s="16" t="str">
        <f aca="false">IF(B211="","",IFERROR(INDEX(LOOKAHEAD!$B$5:$B$604,MATCH(B211,LOOKAHEAD!$A$5:$A$604,0)),"ID no existe"))</f>
        <v/>
      </c>
      <c r="D211" s="33" t="str">
        <f aca="false">IF(B211="","",IFERROR(INDEX(LOOKAHEAD!$I$5:$I$604,MATCH(B211,LOOKAHEAD!$A$5:$A$604,0)),""))</f>
        <v/>
      </c>
      <c r="E211" s="9"/>
      <c r="F211" s="9"/>
      <c r="G211" s="9"/>
      <c r="H211" s="43"/>
      <c r="I211" s="33" t="str">
        <f aca="false">IF(OR(D211="",D211=0),"",D211-$D$2)</f>
        <v/>
      </c>
      <c r="J211" s="43"/>
      <c r="K211" s="43"/>
      <c r="L211" s="18" t="str">
        <f aca="false">IF(B211="","",IF(K211&lt;&gt;"","Liberado","Pendiente"))</f>
        <v/>
      </c>
      <c r="M211" s="16" t="str">
        <f aca="true">IF(B211="","",IF(L211="Liberado",IF(OR(I211="",K211&lt;=I211),"A tiempo","Liberada tarde"),IF(J211="","Sin compromiso",IF(TODAY()&gt;J211,"VENCIDA",IF(AND(I211&lt;&gt;"",J211&gt;I211),"En riesgo","En gestión")))))</f>
        <v/>
      </c>
      <c r="N211" s="32" t="str">
        <f aca="false">IF(OR(B211="",I211=""),"",IF(K211&lt;&gt;"",I211-K211,IF(J211&lt;&gt;"",I211-J211,"")))</f>
        <v/>
      </c>
      <c r="O211" s="9"/>
    </row>
    <row r="212" customFormat="false" ht="15" hidden="false" customHeight="false" outlineLevel="0" collapsed="false">
      <c r="A212" s="9"/>
      <c r="B212" s="9"/>
      <c r="C212" s="16" t="str">
        <f aca="false">IF(B212="","",IFERROR(INDEX(LOOKAHEAD!$B$5:$B$604,MATCH(B212,LOOKAHEAD!$A$5:$A$604,0)),"ID no existe"))</f>
        <v/>
      </c>
      <c r="D212" s="33" t="str">
        <f aca="false">IF(B212="","",IFERROR(INDEX(LOOKAHEAD!$I$5:$I$604,MATCH(B212,LOOKAHEAD!$A$5:$A$604,0)),""))</f>
        <v/>
      </c>
      <c r="E212" s="9"/>
      <c r="F212" s="9"/>
      <c r="G212" s="9"/>
      <c r="H212" s="43"/>
      <c r="I212" s="33" t="str">
        <f aca="false">IF(OR(D212="",D212=0),"",D212-$D$2)</f>
        <v/>
      </c>
      <c r="J212" s="43"/>
      <c r="K212" s="43"/>
      <c r="L212" s="18" t="str">
        <f aca="false">IF(B212="","",IF(K212&lt;&gt;"","Liberado","Pendiente"))</f>
        <v/>
      </c>
      <c r="M212" s="16" t="str">
        <f aca="true">IF(B212="","",IF(L212="Liberado",IF(OR(I212="",K212&lt;=I212),"A tiempo","Liberada tarde"),IF(J212="","Sin compromiso",IF(TODAY()&gt;J212,"VENCIDA",IF(AND(I212&lt;&gt;"",J212&gt;I212),"En riesgo","En gestión")))))</f>
        <v/>
      </c>
      <c r="N212" s="32" t="str">
        <f aca="false">IF(OR(B212="",I212=""),"",IF(K212&lt;&gt;"",I212-K212,IF(J212&lt;&gt;"",I212-J212,"")))</f>
        <v/>
      </c>
      <c r="O212" s="9"/>
    </row>
    <row r="213" customFormat="false" ht="15" hidden="false" customHeight="false" outlineLevel="0" collapsed="false">
      <c r="A213" s="9"/>
      <c r="B213" s="9"/>
      <c r="C213" s="16" t="str">
        <f aca="false">IF(B213="","",IFERROR(INDEX(LOOKAHEAD!$B$5:$B$604,MATCH(B213,LOOKAHEAD!$A$5:$A$604,0)),"ID no existe"))</f>
        <v/>
      </c>
      <c r="D213" s="33" t="str">
        <f aca="false">IF(B213="","",IFERROR(INDEX(LOOKAHEAD!$I$5:$I$604,MATCH(B213,LOOKAHEAD!$A$5:$A$604,0)),""))</f>
        <v/>
      </c>
      <c r="E213" s="9"/>
      <c r="F213" s="9"/>
      <c r="G213" s="9"/>
      <c r="H213" s="43"/>
      <c r="I213" s="33" t="str">
        <f aca="false">IF(OR(D213="",D213=0),"",D213-$D$2)</f>
        <v/>
      </c>
      <c r="J213" s="43"/>
      <c r="K213" s="43"/>
      <c r="L213" s="18" t="str">
        <f aca="false">IF(B213="","",IF(K213&lt;&gt;"","Liberado","Pendiente"))</f>
        <v/>
      </c>
      <c r="M213" s="16" t="str">
        <f aca="true">IF(B213="","",IF(L213="Liberado",IF(OR(I213="",K213&lt;=I213),"A tiempo","Liberada tarde"),IF(J213="","Sin compromiso",IF(TODAY()&gt;J213,"VENCIDA",IF(AND(I213&lt;&gt;"",J213&gt;I213),"En riesgo","En gestión")))))</f>
        <v/>
      </c>
      <c r="N213" s="32" t="str">
        <f aca="false">IF(OR(B213="",I213=""),"",IF(K213&lt;&gt;"",I213-K213,IF(J213&lt;&gt;"",I213-J213,"")))</f>
        <v/>
      </c>
      <c r="O213" s="9"/>
    </row>
    <row r="214" customFormat="false" ht="15" hidden="false" customHeight="false" outlineLevel="0" collapsed="false">
      <c r="A214" s="9"/>
      <c r="B214" s="9"/>
      <c r="C214" s="16" t="str">
        <f aca="false">IF(B214="","",IFERROR(INDEX(LOOKAHEAD!$B$5:$B$604,MATCH(B214,LOOKAHEAD!$A$5:$A$604,0)),"ID no existe"))</f>
        <v/>
      </c>
      <c r="D214" s="33" t="str">
        <f aca="false">IF(B214="","",IFERROR(INDEX(LOOKAHEAD!$I$5:$I$604,MATCH(B214,LOOKAHEAD!$A$5:$A$604,0)),""))</f>
        <v/>
      </c>
      <c r="E214" s="9"/>
      <c r="F214" s="9"/>
      <c r="G214" s="9"/>
      <c r="H214" s="43"/>
      <c r="I214" s="33" t="str">
        <f aca="false">IF(OR(D214="",D214=0),"",D214-$D$2)</f>
        <v/>
      </c>
      <c r="J214" s="43"/>
      <c r="K214" s="43"/>
      <c r="L214" s="18" t="str">
        <f aca="false">IF(B214="","",IF(K214&lt;&gt;"","Liberado","Pendiente"))</f>
        <v/>
      </c>
      <c r="M214" s="16" t="str">
        <f aca="true">IF(B214="","",IF(L214="Liberado",IF(OR(I214="",K214&lt;=I214),"A tiempo","Liberada tarde"),IF(J214="","Sin compromiso",IF(TODAY()&gt;J214,"VENCIDA",IF(AND(I214&lt;&gt;"",J214&gt;I214),"En riesgo","En gestión")))))</f>
        <v/>
      </c>
      <c r="N214" s="32" t="str">
        <f aca="false">IF(OR(B214="",I214=""),"",IF(K214&lt;&gt;"",I214-K214,IF(J214&lt;&gt;"",I214-J214,"")))</f>
        <v/>
      </c>
      <c r="O214" s="9"/>
    </row>
    <row r="215" customFormat="false" ht="15" hidden="false" customHeight="false" outlineLevel="0" collapsed="false">
      <c r="A215" s="9"/>
      <c r="B215" s="9"/>
      <c r="C215" s="16" t="str">
        <f aca="false">IF(B215="","",IFERROR(INDEX(LOOKAHEAD!$B$5:$B$604,MATCH(B215,LOOKAHEAD!$A$5:$A$604,0)),"ID no existe"))</f>
        <v/>
      </c>
      <c r="D215" s="33" t="str">
        <f aca="false">IF(B215="","",IFERROR(INDEX(LOOKAHEAD!$I$5:$I$604,MATCH(B215,LOOKAHEAD!$A$5:$A$604,0)),""))</f>
        <v/>
      </c>
      <c r="E215" s="9"/>
      <c r="F215" s="9"/>
      <c r="G215" s="9"/>
      <c r="H215" s="43"/>
      <c r="I215" s="33" t="str">
        <f aca="false">IF(OR(D215="",D215=0),"",D215-$D$2)</f>
        <v/>
      </c>
      <c r="J215" s="43"/>
      <c r="K215" s="43"/>
      <c r="L215" s="18" t="str">
        <f aca="false">IF(B215="","",IF(K215&lt;&gt;"","Liberado","Pendiente"))</f>
        <v/>
      </c>
      <c r="M215" s="16" t="str">
        <f aca="true">IF(B215="","",IF(L215="Liberado",IF(OR(I215="",K215&lt;=I215),"A tiempo","Liberada tarde"),IF(J215="","Sin compromiso",IF(TODAY()&gt;J215,"VENCIDA",IF(AND(I215&lt;&gt;"",J215&gt;I215),"En riesgo","En gestión")))))</f>
        <v/>
      </c>
      <c r="N215" s="32" t="str">
        <f aca="false">IF(OR(B215="",I215=""),"",IF(K215&lt;&gt;"",I215-K215,IF(J215&lt;&gt;"",I215-J215,"")))</f>
        <v/>
      </c>
      <c r="O215" s="9"/>
    </row>
    <row r="216" customFormat="false" ht="15" hidden="false" customHeight="false" outlineLevel="0" collapsed="false">
      <c r="A216" s="9"/>
      <c r="B216" s="9"/>
      <c r="C216" s="16" t="str">
        <f aca="false">IF(B216="","",IFERROR(INDEX(LOOKAHEAD!$B$5:$B$604,MATCH(B216,LOOKAHEAD!$A$5:$A$604,0)),"ID no existe"))</f>
        <v/>
      </c>
      <c r="D216" s="33" t="str">
        <f aca="false">IF(B216="","",IFERROR(INDEX(LOOKAHEAD!$I$5:$I$604,MATCH(B216,LOOKAHEAD!$A$5:$A$604,0)),""))</f>
        <v/>
      </c>
      <c r="E216" s="9"/>
      <c r="F216" s="9"/>
      <c r="G216" s="9"/>
      <c r="H216" s="43"/>
      <c r="I216" s="33" t="str">
        <f aca="false">IF(OR(D216="",D216=0),"",D216-$D$2)</f>
        <v/>
      </c>
      <c r="J216" s="43"/>
      <c r="K216" s="43"/>
      <c r="L216" s="18" t="str">
        <f aca="false">IF(B216="","",IF(K216&lt;&gt;"","Liberado","Pendiente"))</f>
        <v/>
      </c>
      <c r="M216" s="16" t="str">
        <f aca="true">IF(B216="","",IF(L216="Liberado",IF(OR(I216="",K216&lt;=I216),"A tiempo","Liberada tarde"),IF(J216="","Sin compromiso",IF(TODAY()&gt;J216,"VENCIDA",IF(AND(I216&lt;&gt;"",J216&gt;I216),"En riesgo","En gestión")))))</f>
        <v/>
      </c>
      <c r="N216" s="32" t="str">
        <f aca="false">IF(OR(B216="",I216=""),"",IF(K216&lt;&gt;"",I216-K216,IF(J216&lt;&gt;"",I216-J216,"")))</f>
        <v/>
      </c>
      <c r="O216" s="9"/>
    </row>
    <row r="217" customFormat="false" ht="15" hidden="false" customHeight="false" outlineLevel="0" collapsed="false">
      <c r="A217" s="9"/>
      <c r="B217" s="9"/>
      <c r="C217" s="16" t="str">
        <f aca="false">IF(B217="","",IFERROR(INDEX(LOOKAHEAD!$B$5:$B$604,MATCH(B217,LOOKAHEAD!$A$5:$A$604,0)),"ID no existe"))</f>
        <v/>
      </c>
      <c r="D217" s="33" t="str">
        <f aca="false">IF(B217="","",IFERROR(INDEX(LOOKAHEAD!$I$5:$I$604,MATCH(B217,LOOKAHEAD!$A$5:$A$604,0)),""))</f>
        <v/>
      </c>
      <c r="E217" s="9"/>
      <c r="F217" s="9"/>
      <c r="G217" s="9"/>
      <c r="H217" s="43"/>
      <c r="I217" s="33" t="str">
        <f aca="false">IF(OR(D217="",D217=0),"",D217-$D$2)</f>
        <v/>
      </c>
      <c r="J217" s="43"/>
      <c r="K217" s="43"/>
      <c r="L217" s="18" t="str">
        <f aca="false">IF(B217="","",IF(K217&lt;&gt;"","Liberado","Pendiente"))</f>
        <v/>
      </c>
      <c r="M217" s="16" t="str">
        <f aca="true">IF(B217="","",IF(L217="Liberado",IF(OR(I217="",K217&lt;=I217),"A tiempo","Liberada tarde"),IF(J217="","Sin compromiso",IF(TODAY()&gt;J217,"VENCIDA",IF(AND(I217&lt;&gt;"",J217&gt;I217),"En riesgo","En gestión")))))</f>
        <v/>
      </c>
      <c r="N217" s="32" t="str">
        <f aca="false">IF(OR(B217="",I217=""),"",IF(K217&lt;&gt;"",I217-K217,IF(J217&lt;&gt;"",I217-J217,"")))</f>
        <v/>
      </c>
      <c r="O217" s="9"/>
    </row>
    <row r="218" customFormat="false" ht="15" hidden="false" customHeight="false" outlineLevel="0" collapsed="false">
      <c r="A218" s="9"/>
      <c r="B218" s="9"/>
      <c r="C218" s="16" t="str">
        <f aca="false">IF(B218="","",IFERROR(INDEX(LOOKAHEAD!$B$5:$B$604,MATCH(B218,LOOKAHEAD!$A$5:$A$604,0)),"ID no existe"))</f>
        <v/>
      </c>
      <c r="D218" s="33" t="str">
        <f aca="false">IF(B218="","",IFERROR(INDEX(LOOKAHEAD!$I$5:$I$604,MATCH(B218,LOOKAHEAD!$A$5:$A$604,0)),""))</f>
        <v/>
      </c>
      <c r="E218" s="9"/>
      <c r="F218" s="9"/>
      <c r="G218" s="9"/>
      <c r="H218" s="43"/>
      <c r="I218" s="33" t="str">
        <f aca="false">IF(OR(D218="",D218=0),"",D218-$D$2)</f>
        <v/>
      </c>
      <c r="J218" s="43"/>
      <c r="K218" s="43"/>
      <c r="L218" s="18" t="str">
        <f aca="false">IF(B218="","",IF(K218&lt;&gt;"","Liberado","Pendiente"))</f>
        <v/>
      </c>
      <c r="M218" s="16" t="str">
        <f aca="true">IF(B218="","",IF(L218="Liberado",IF(OR(I218="",K218&lt;=I218),"A tiempo","Liberada tarde"),IF(J218="","Sin compromiso",IF(TODAY()&gt;J218,"VENCIDA",IF(AND(I218&lt;&gt;"",J218&gt;I218),"En riesgo","En gestión")))))</f>
        <v/>
      </c>
      <c r="N218" s="32" t="str">
        <f aca="false">IF(OR(B218="",I218=""),"",IF(K218&lt;&gt;"",I218-K218,IF(J218&lt;&gt;"",I218-J218,"")))</f>
        <v/>
      </c>
      <c r="O218" s="9"/>
    </row>
    <row r="219" customFormat="false" ht="15" hidden="false" customHeight="false" outlineLevel="0" collapsed="false">
      <c r="A219" s="9"/>
      <c r="B219" s="9"/>
      <c r="C219" s="16" t="str">
        <f aca="false">IF(B219="","",IFERROR(INDEX(LOOKAHEAD!$B$5:$B$604,MATCH(B219,LOOKAHEAD!$A$5:$A$604,0)),"ID no existe"))</f>
        <v/>
      </c>
      <c r="D219" s="33" t="str">
        <f aca="false">IF(B219="","",IFERROR(INDEX(LOOKAHEAD!$I$5:$I$604,MATCH(B219,LOOKAHEAD!$A$5:$A$604,0)),""))</f>
        <v/>
      </c>
      <c r="E219" s="9"/>
      <c r="F219" s="9"/>
      <c r="G219" s="9"/>
      <c r="H219" s="43"/>
      <c r="I219" s="33" t="str">
        <f aca="false">IF(OR(D219="",D219=0),"",D219-$D$2)</f>
        <v/>
      </c>
      <c r="J219" s="43"/>
      <c r="K219" s="43"/>
      <c r="L219" s="18" t="str">
        <f aca="false">IF(B219="","",IF(K219&lt;&gt;"","Liberado","Pendiente"))</f>
        <v/>
      </c>
      <c r="M219" s="16" t="str">
        <f aca="true">IF(B219="","",IF(L219="Liberado",IF(OR(I219="",K219&lt;=I219),"A tiempo","Liberada tarde"),IF(J219="","Sin compromiso",IF(TODAY()&gt;J219,"VENCIDA",IF(AND(I219&lt;&gt;"",J219&gt;I219),"En riesgo","En gestión")))))</f>
        <v/>
      </c>
      <c r="N219" s="32" t="str">
        <f aca="false">IF(OR(B219="",I219=""),"",IF(K219&lt;&gt;"",I219-K219,IF(J219&lt;&gt;"",I219-J219,"")))</f>
        <v/>
      </c>
      <c r="O219" s="9"/>
    </row>
    <row r="220" customFormat="false" ht="15" hidden="false" customHeight="false" outlineLevel="0" collapsed="false">
      <c r="A220" s="9"/>
      <c r="B220" s="9"/>
      <c r="C220" s="16" t="str">
        <f aca="false">IF(B220="","",IFERROR(INDEX(LOOKAHEAD!$B$5:$B$604,MATCH(B220,LOOKAHEAD!$A$5:$A$604,0)),"ID no existe"))</f>
        <v/>
      </c>
      <c r="D220" s="33" t="str">
        <f aca="false">IF(B220="","",IFERROR(INDEX(LOOKAHEAD!$I$5:$I$604,MATCH(B220,LOOKAHEAD!$A$5:$A$604,0)),""))</f>
        <v/>
      </c>
      <c r="E220" s="9"/>
      <c r="F220" s="9"/>
      <c r="G220" s="9"/>
      <c r="H220" s="43"/>
      <c r="I220" s="33" t="str">
        <f aca="false">IF(OR(D220="",D220=0),"",D220-$D$2)</f>
        <v/>
      </c>
      <c r="J220" s="43"/>
      <c r="K220" s="43"/>
      <c r="L220" s="18" t="str">
        <f aca="false">IF(B220="","",IF(K220&lt;&gt;"","Liberado","Pendiente"))</f>
        <v/>
      </c>
      <c r="M220" s="16" t="str">
        <f aca="true">IF(B220="","",IF(L220="Liberado",IF(OR(I220="",K220&lt;=I220),"A tiempo","Liberada tarde"),IF(J220="","Sin compromiso",IF(TODAY()&gt;J220,"VENCIDA",IF(AND(I220&lt;&gt;"",J220&gt;I220),"En riesgo","En gestión")))))</f>
        <v/>
      </c>
      <c r="N220" s="32" t="str">
        <f aca="false">IF(OR(B220="",I220=""),"",IF(K220&lt;&gt;"",I220-K220,IF(J220&lt;&gt;"",I220-J220,"")))</f>
        <v/>
      </c>
      <c r="O220" s="9"/>
    </row>
    <row r="221" customFormat="false" ht="15" hidden="false" customHeight="false" outlineLevel="0" collapsed="false">
      <c r="A221" s="9"/>
      <c r="B221" s="9"/>
      <c r="C221" s="16" t="str">
        <f aca="false">IF(B221="","",IFERROR(INDEX(LOOKAHEAD!$B$5:$B$604,MATCH(B221,LOOKAHEAD!$A$5:$A$604,0)),"ID no existe"))</f>
        <v/>
      </c>
      <c r="D221" s="33" t="str">
        <f aca="false">IF(B221="","",IFERROR(INDEX(LOOKAHEAD!$I$5:$I$604,MATCH(B221,LOOKAHEAD!$A$5:$A$604,0)),""))</f>
        <v/>
      </c>
      <c r="E221" s="9"/>
      <c r="F221" s="9"/>
      <c r="G221" s="9"/>
      <c r="H221" s="43"/>
      <c r="I221" s="33" t="str">
        <f aca="false">IF(OR(D221="",D221=0),"",D221-$D$2)</f>
        <v/>
      </c>
      <c r="J221" s="43"/>
      <c r="K221" s="43"/>
      <c r="L221" s="18" t="str">
        <f aca="false">IF(B221="","",IF(K221&lt;&gt;"","Liberado","Pendiente"))</f>
        <v/>
      </c>
      <c r="M221" s="16" t="str">
        <f aca="true">IF(B221="","",IF(L221="Liberado",IF(OR(I221="",K221&lt;=I221),"A tiempo","Liberada tarde"),IF(J221="","Sin compromiso",IF(TODAY()&gt;J221,"VENCIDA",IF(AND(I221&lt;&gt;"",J221&gt;I221),"En riesgo","En gestión")))))</f>
        <v/>
      </c>
      <c r="N221" s="32" t="str">
        <f aca="false">IF(OR(B221="",I221=""),"",IF(K221&lt;&gt;"",I221-K221,IF(J221&lt;&gt;"",I221-J221,"")))</f>
        <v/>
      </c>
      <c r="O221" s="9"/>
    </row>
    <row r="222" customFormat="false" ht="15" hidden="false" customHeight="false" outlineLevel="0" collapsed="false">
      <c r="A222" s="9"/>
      <c r="B222" s="9"/>
      <c r="C222" s="16" t="str">
        <f aca="false">IF(B222="","",IFERROR(INDEX(LOOKAHEAD!$B$5:$B$604,MATCH(B222,LOOKAHEAD!$A$5:$A$604,0)),"ID no existe"))</f>
        <v/>
      </c>
      <c r="D222" s="33" t="str">
        <f aca="false">IF(B222="","",IFERROR(INDEX(LOOKAHEAD!$I$5:$I$604,MATCH(B222,LOOKAHEAD!$A$5:$A$604,0)),""))</f>
        <v/>
      </c>
      <c r="E222" s="9"/>
      <c r="F222" s="9"/>
      <c r="G222" s="9"/>
      <c r="H222" s="43"/>
      <c r="I222" s="33" t="str">
        <f aca="false">IF(OR(D222="",D222=0),"",D222-$D$2)</f>
        <v/>
      </c>
      <c r="J222" s="43"/>
      <c r="K222" s="43"/>
      <c r="L222" s="18" t="str">
        <f aca="false">IF(B222="","",IF(K222&lt;&gt;"","Liberado","Pendiente"))</f>
        <v/>
      </c>
      <c r="M222" s="16" t="str">
        <f aca="true">IF(B222="","",IF(L222="Liberado",IF(OR(I222="",K222&lt;=I222),"A tiempo","Liberada tarde"),IF(J222="","Sin compromiso",IF(TODAY()&gt;J222,"VENCIDA",IF(AND(I222&lt;&gt;"",J222&gt;I222),"En riesgo","En gestión")))))</f>
        <v/>
      </c>
      <c r="N222" s="32" t="str">
        <f aca="false">IF(OR(B222="",I222=""),"",IF(K222&lt;&gt;"",I222-K222,IF(J222&lt;&gt;"",I222-J222,"")))</f>
        <v/>
      </c>
      <c r="O222" s="9"/>
    </row>
    <row r="223" customFormat="false" ht="15" hidden="false" customHeight="false" outlineLevel="0" collapsed="false">
      <c r="A223" s="9"/>
      <c r="B223" s="9"/>
      <c r="C223" s="16" t="str">
        <f aca="false">IF(B223="","",IFERROR(INDEX(LOOKAHEAD!$B$5:$B$604,MATCH(B223,LOOKAHEAD!$A$5:$A$604,0)),"ID no existe"))</f>
        <v/>
      </c>
      <c r="D223" s="33" t="str">
        <f aca="false">IF(B223="","",IFERROR(INDEX(LOOKAHEAD!$I$5:$I$604,MATCH(B223,LOOKAHEAD!$A$5:$A$604,0)),""))</f>
        <v/>
      </c>
      <c r="E223" s="9"/>
      <c r="F223" s="9"/>
      <c r="G223" s="9"/>
      <c r="H223" s="43"/>
      <c r="I223" s="33" t="str">
        <f aca="false">IF(OR(D223="",D223=0),"",D223-$D$2)</f>
        <v/>
      </c>
      <c r="J223" s="43"/>
      <c r="K223" s="43"/>
      <c r="L223" s="18" t="str">
        <f aca="false">IF(B223="","",IF(K223&lt;&gt;"","Liberado","Pendiente"))</f>
        <v/>
      </c>
      <c r="M223" s="16" t="str">
        <f aca="true">IF(B223="","",IF(L223="Liberado",IF(OR(I223="",K223&lt;=I223),"A tiempo","Liberada tarde"),IF(J223="","Sin compromiso",IF(TODAY()&gt;J223,"VENCIDA",IF(AND(I223&lt;&gt;"",J223&gt;I223),"En riesgo","En gestión")))))</f>
        <v/>
      </c>
      <c r="N223" s="32" t="str">
        <f aca="false">IF(OR(B223="",I223=""),"",IF(K223&lt;&gt;"",I223-K223,IF(J223&lt;&gt;"",I223-J223,"")))</f>
        <v/>
      </c>
      <c r="O223" s="9"/>
    </row>
    <row r="224" customFormat="false" ht="15" hidden="false" customHeight="false" outlineLevel="0" collapsed="false">
      <c r="A224" s="9"/>
      <c r="B224" s="9"/>
      <c r="C224" s="16" t="str">
        <f aca="false">IF(B224="","",IFERROR(INDEX(LOOKAHEAD!$B$5:$B$604,MATCH(B224,LOOKAHEAD!$A$5:$A$604,0)),"ID no existe"))</f>
        <v/>
      </c>
      <c r="D224" s="33" t="str">
        <f aca="false">IF(B224="","",IFERROR(INDEX(LOOKAHEAD!$I$5:$I$604,MATCH(B224,LOOKAHEAD!$A$5:$A$604,0)),""))</f>
        <v/>
      </c>
      <c r="E224" s="9"/>
      <c r="F224" s="9"/>
      <c r="G224" s="9"/>
      <c r="H224" s="43"/>
      <c r="I224" s="33" t="str">
        <f aca="false">IF(OR(D224="",D224=0),"",D224-$D$2)</f>
        <v/>
      </c>
      <c r="J224" s="43"/>
      <c r="K224" s="43"/>
      <c r="L224" s="18" t="str">
        <f aca="false">IF(B224="","",IF(K224&lt;&gt;"","Liberado","Pendiente"))</f>
        <v/>
      </c>
      <c r="M224" s="16" t="str">
        <f aca="true">IF(B224="","",IF(L224="Liberado",IF(OR(I224="",K224&lt;=I224),"A tiempo","Liberada tarde"),IF(J224="","Sin compromiso",IF(TODAY()&gt;J224,"VENCIDA",IF(AND(I224&lt;&gt;"",J224&gt;I224),"En riesgo","En gestión")))))</f>
        <v/>
      </c>
      <c r="N224" s="32" t="str">
        <f aca="false">IF(OR(B224="",I224=""),"",IF(K224&lt;&gt;"",I224-K224,IF(J224&lt;&gt;"",I224-J224,"")))</f>
        <v/>
      </c>
      <c r="O224" s="9"/>
    </row>
    <row r="225" customFormat="false" ht="15" hidden="false" customHeight="false" outlineLevel="0" collapsed="false">
      <c r="A225" s="9"/>
      <c r="B225" s="9"/>
      <c r="C225" s="16" t="str">
        <f aca="false">IF(B225="","",IFERROR(INDEX(LOOKAHEAD!$B$5:$B$604,MATCH(B225,LOOKAHEAD!$A$5:$A$604,0)),"ID no existe"))</f>
        <v/>
      </c>
      <c r="D225" s="33" t="str">
        <f aca="false">IF(B225="","",IFERROR(INDEX(LOOKAHEAD!$I$5:$I$604,MATCH(B225,LOOKAHEAD!$A$5:$A$604,0)),""))</f>
        <v/>
      </c>
      <c r="E225" s="9"/>
      <c r="F225" s="9"/>
      <c r="G225" s="9"/>
      <c r="H225" s="43"/>
      <c r="I225" s="33" t="str">
        <f aca="false">IF(OR(D225="",D225=0),"",D225-$D$2)</f>
        <v/>
      </c>
      <c r="J225" s="43"/>
      <c r="K225" s="43"/>
      <c r="L225" s="18" t="str">
        <f aca="false">IF(B225="","",IF(K225&lt;&gt;"","Liberado","Pendiente"))</f>
        <v/>
      </c>
      <c r="M225" s="16" t="str">
        <f aca="true">IF(B225="","",IF(L225="Liberado",IF(OR(I225="",K225&lt;=I225),"A tiempo","Liberada tarde"),IF(J225="","Sin compromiso",IF(TODAY()&gt;J225,"VENCIDA",IF(AND(I225&lt;&gt;"",J225&gt;I225),"En riesgo","En gestión")))))</f>
        <v/>
      </c>
      <c r="N225" s="32" t="str">
        <f aca="false">IF(OR(B225="",I225=""),"",IF(K225&lt;&gt;"",I225-K225,IF(J225&lt;&gt;"",I225-J225,"")))</f>
        <v/>
      </c>
      <c r="O225" s="9"/>
    </row>
    <row r="226" customFormat="false" ht="15" hidden="false" customHeight="false" outlineLevel="0" collapsed="false">
      <c r="A226" s="9"/>
      <c r="B226" s="9"/>
      <c r="C226" s="16" t="str">
        <f aca="false">IF(B226="","",IFERROR(INDEX(LOOKAHEAD!$B$5:$B$604,MATCH(B226,LOOKAHEAD!$A$5:$A$604,0)),"ID no existe"))</f>
        <v/>
      </c>
      <c r="D226" s="33" t="str">
        <f aca="false">IF(B226="","",IFERROR(INDEX(LOOKAHEAD!$I$5:$I$604,MATCH(B226,LOOKAHEAD!$A$5:$A$604,0)),""))</f>
        <v/>
      </c>
      <c r="E226" s="9"/>
      <c r="F226" s="9"/>
      <c r="G226" s="9"/>
      <c r="H226" s="43"/>
      <c r="I226" s="33" t="str">
        <f aca="false">IF(OR(D226="",D226=0),"",D226-$D$2)</f>
        <v/>
      </c>
      <c r="J226" s="43"/>
      <c r="K226" s="43"/>
      <c r="L226" s="18" t="str">
        <f aca="false">IF(B226="","",IF(K226&lt;&gt;"","Liberado","Pendiente"))</f>
        <v/>
      </c>
      <c r="M226" s="16" t="str">
        <f aca="true">IF(B226="","",IF(L226="Liberado",IF(OR(I226="",K226&lt;=I226),"A tiempo","Liberada tarde"),IF(J226="","Sin compromiso",IF(TODAY()&gt;J226,"VENCIDA",IF(AND(I226&lt;&gt;"",J226&gt;I226),"En riesgo","En gestión")))))</f>
        <v/>
      </c>
      <c r="N226" s="32" t="str">
        <f aca="false">IF(OR(B226="",I226=""),"",IF(K226&lt;&gt;"",I226-K226,IF(J226&lt;&gt;"",I226-J226,"")))</f>
        <v/>
      </c>
      <c r="O226" s="9"/>
    </row>
    <row r="227" customFormat="false" ht="15" hidden="false" customHeight="false" outlineLevel="0" collapsed="false">
      <c r="A227" s="9"/>
      <c r="B227" s="9"/>
      <c r="C227" s="16" t="str">
        <f aca="false">IF(B227="","",IFERROR(INDEX(LOOKAHEAD!$B$5:$B$604,MATCH(B227,LOOKAHEAD!$A$5:$A$604,0)),"ID no existe"))</f>
        <v/>
      </c>
      <c r="D227" s="33" t="str">
        <f aca="false">IF(B227="","",IFERROR(INDEX(LOOKAHEAD!$I$5:$I$604,MATCH(B227,LOOKAHEAD!$A$5:$A$604,0)),""))</f>
        <v/>
      </c>
      <c r="E227" s="9"/>
      <c r="F227" s="9"/>
      <c r="G227" s="9"/>
      <c r="H227" s="43"/>
      <c r="I227" s="33" t="str">
        <f aca="false">IF(OR(D227="",D227=0),"",D227-$D$2)</f>
        <v/>
      </c>
      <c r="J227" s="43"/>
      <c r="K227" s="43"/>
      <c r="L227" s="18" t="str">
        <f aca="false">IF(B227="","",IF(K227&lt;&gt;"","Liberado","Pendiente"))</f>
        <v/>
      </c>
      <c r="M227" s="16" t="str">
        <f aca="true">IF(B227="","",IF(L227="Liberado",IF(OR(I227="",K227&lt;=I227),"A tiempo","Liberada tarde"),IF(J227="","Sin compromiso",IF(TODAY()&gt;J227,"VENCIDA",IF(AND(I227&lt;&gt;"",J227&gt;I227),"En riesgo","En gestión")))))</f>
        <v/>
      </c>
      <c r="N227" s="32" t="str">
        <f aca="false">IF(OR(B227="",I227=""),"",IF(K227&lt;&gt;"",I227-K227,IF(J227&lt;&gt;"",I227-J227,"")))</f>
        <v/>
      </c>
      <c r="O227" s="9"/>
    </row>
    <row r="228" customFormat="false" ht="15" hidden="false" customHeight="false" outlineLevel="0" collapsed="false">
      <c r="A228" s="9"/>
      <c r="B228" s="9"/>
      <c r="C228" s="16" t="str">
        <f aca="false">IF(B228="","",IFERROR(INDEX(LOOKAHEAD!$B$5:$B$604,MATCH(B228,LOOKAHEAD!$A$5:$A$604,0)),"ID no existe"))</f>
        <v/>
      </c>
      <c r="D228" s="33" t="str">
        <f aca="false">IF(B228="","",IFERROR(INDEX(LOOKAHEAD!$I$5:$I$604,MATCH(B228,LOOKAHEAD!$A$5:$A$604,0)),""))</f>
        <v/>
      </c>
      <c r="E228" s="9"/>
      <c r="F228" s="9"/>
      <c r="G228" s="9"/>
      <c r="H228" s="43"/>
      <c r="I228" s="33" t="str">
        <f aca="false">IF(OR(D228="",D228=0),"",D228-$D$2)</f>
        <v/>
      </c>
      <c r="J228" s="43"/>
      <c r="K228" s="43"/>
      <c r="L228" s="18" t="str">
        <f aca="false">IF(B228="","",IF(K228&lt;&gt;"","Liberado","Pendiente"))</f>
        <v/>
      </c>
      <c r="M228" s="16" t="str">
        <f aca="true">IF(B228="","",IF(L228="Liberado",IF(OR(I228="",K228&lt;=I228),"A tiempo","Liberada tarde"),IF(J228="","Sin compromiso",IF(TODAY()&gt;J228,"VENCIDA",IF(AND(I228&lt;&gt;"",J228&gt;I228),"En riesgo","En gestión")))))</f>
        <v/>
      </c>
      <c r="N228" s="32" t="str">
        <f aca="false">IF(OR(B228="",I228=""),"",IF(K228&lt;&gt;"",I228-K228,IF(J228&lt;&gt;"",I228-J228,"")))</f>
        <v/>
      </c>
      <c r="O228" s="9"/>
    </row>
    <row r="229" customFormat="false" ht="15" hidden="false" customHeight="false" outlineLevel="0" collapsed="false">
      <c r="A229" s="9"/>
      <c r="B229" s="9"/>
      <c r="C229" s="16" t="str">
        <f aca="false">IF(B229="","",IFERROR(INDEX(LOOKAHEAD!$B$5:$B$604,MATCH(B229,LOOKAHEAD!$A$5:$A$604,0)),"ID no existe"))</f>
        <v/>
      </c>
      <c r="D229" s="33" t="str">
        <f aca="false">IF(B229="","",IFERROR(INDEX(LOOKAHEAD!$I$5:$I$604,MATCH(B229,LOOKAHEAD!$A$5:$A$604,0)),""))</f>
        <v/>
      </c>
      <c r="E229" s="9"/>
      <c r="F229" s="9"/>
      <c r="G229" s="9"/>
      <c r="H229" s="43"/>
      <c r="I229" s="33" t="str">
        <f aca="false">IF(OR(D229="",D229=0),"",D229-$D$2)</f>
        <v/>
      </c>
      <c r="J229" s="43"/>
      <c r="K229" s="43"/>
      <c r="L229" s="18" t="str">
        <f aca="false">IF(B229="","",IF(K229&lt;&gt;"","Liberado","Pendiente"))</f>
        <v/>
      </c>
      <c r="M229" s="16" t="str">
        <f aca="true">IF(B229="","",IF(L229="Liberado",IF(OR(I229="",K229&lt;=I229),"A tiempo","Liberada tarde"),IF(J229="","Sin compromiso",IF(TODAY()&gt;J229,"VENCIDA",IF(AND(I229&lt;&gt;"",J229&gt;I229),"En riesgo","En gestión")))))</f>
        <v/>
      </c>
      <c r="N229" s="32" t="str">
        <f aca="false">IF(OR(B229="",I229=""),"",IF(K229&lt;&gt;"",I229-K229,IF(J229&lt;&gt;"",I229-J229,"")))</f>
        <v/>
      </c>
      <c r="O229" s="9"/>
    </row>
    <row r="230" customFormat="false" ht="15" hidden="false" customHeight="false" outlineLevel="0" collapsed="false">
      <c r="A230" s="9"/>
      <c r="B230" s="9"/>
      <c r="C230" s="16" t="str">
        <f aca="false">IF(B230="","",IFERROR(INDEX(LOOKAHEAD!$B$5:$B$604,MATCH(B230,LOOKAHEAD!$A$5:$A$604,0)),"ID no existe"))</f>
        <v/>
      </c>
      <c r="D230" s="33" t="str">
        <f aca="false">IF(B230="","",IFERROR(INDEX(LOOKAHEAD!$I$5:$I$604,MATCH(B230,LOOKAHEAD!$A$5:$A$604,0)),""))</f>
        <v/>
      </c>
      <c r="E230" s="9"/>
      <c r="F230" s="9"/>
      <c r="G230" s="9"/>
      <c r="H230" s="43"/>
      <c r="I230" s="33" t="str">
        <f aca="false">IF(OR(D230="",D230=0),"",D230-$D$2)</f>
        <v/>
      </c>
      <c r="J230" s="43"/>
      <c r="K230" s="43"/>
      <c r="L230" s="18" t="str">
        <f aca="false">IF(B230="","",IF(K230&lt;&gt;"","Liberado","Pendiente"))</f>
        <v/>
      </c>
      <c r="M230" s="16" t="str">
        <f aca="true">IF(B230="","",IF(L230="Liberado",IF(OR(I230="",K230&lt;=I230),"A tiempo","Liberada tarde"),IF(J230="","Sin compromiso",IF(TODAY()&gt;J230,"VENCIDA",IF(AND(I230&lt;&gt;"",J230&gt;I230),"En riesgo","En gestión")))))</f>
        <v/>
      </c>
      <c r="N230" s="32" t="str">
        <f aca="false">IF(OR(B230="",I230=""),"",IF(K230&lt;&gt;"",I230-K230,IF(J230&lt;&gt;"",I230-J230,"")))</f>
        <v/>
      </c>
      <c r="O230" s="9"/>
    </row>
    <row r="231" customFormat="false" ht="15" hidden="false" customHeight="false" outlineLevel="0" collapsed="false">
      <c r="A231" s="9"/>
      <c r="B231" s="9"/>
      <c r="C231" s="16" t="str">
        <f aca="false">IF(B231="","",IFERROR(INDEX(LOOKAHEAD!$B$5:$B$604,MATCH(B231,LOOKAHEAD!$A$5:$A$604,0)),"ID no existe"))</f>
        <v/>
      </c>
      <c r="D231" s="33" t="str">
        <f aca="false">IF(B231="","",IFERROR(INDEX(LOOKAHEAD!$I$5:$I$604,MATCH(B231,LOOKAHEAD!$A$5:$A$604,0)),""))</f>
        <v/>
      </c>
      <c r="E231" s="9"/>
      <c r="F231" s="9"/>
      <c r="G231" s="9"/>
      <c r="H231" s="43"/>
      <c r="I231" s="33" t="str">
        <f aca="false">IF(OR(D231="",D231=0),"",D231-$D$2)</f>
        <v/>
      </c>
      <c r="J231" s="43"/>
      <c r="K231" s="43"/>
      <c r="L231" s="18" t="str">
        <f aca="false">IF(B231="","",IF(K231&lt;&gt;"","Liberado","Pendiente"))</f>
        <v/>
      </c>
      <c r="M231" s="16" t="str">
        <f aca="true">IF(B231="","",IF(L231="Liberado",IF(OR(I231="",K231&lt;=I231),"A tiempo","Liberada tarde"),IF(J231="","Sin compromiso",IF(TODAY()&gt;J231,"VENCIDA",IF(AND(I231&lt;&gt;"",J231&gt;I231),"En riesgo","En gestión")))))</f>
        <v/>
      </c>
      <c r="N231" s="32" t="str">
        <f aca="false">IF(OR(B231="",I231=""),"",IF(K231&lt;&gt;"",I231-K231,IF(J231&lt;&gt;"",I231-J231,"")))</f>
        <v/>
      </c>
      <c r="O231" s="9"/>
    </row>
    <row r="232" customFormat="false" ht="15" hidden="false" customHeight="false" outlineLevel="0" collapsed="false">
      <c r="A232" s="9"/>
      <c r="B232" s="9"/>
      <c r="C232" s="16" t="str">
        <f aca="false">IF(B232="","",IFERROR(INDEX(LOOKAHEAD!$B$5:$B$604,MATCH(B232,LOOKAHEAD!$A$5:$A$604,0)),"ID no existe"))</f>
        <v/>
      </c>
      <c r="D232" s="33" t="str">
        <f aca="false">IF(B232="","",IFERROR(INDEX(LOOKAHEAD!$I$5:$I$604,MATCH(B232,LOOKAHEAD!$A$5:$A$604,0)),""))</f>
        <v/>
      </c>
      <c r="E232" s="9"/>
      <c r="F232" s="9"/>
      <c r="G232" s="9"/>
      <c r="H232" s="43"/>
      <c r="I232" s="33" t="str">
        <f aca="false">IF(OR(D232="",D232=0),"",D232-$D$2)</f>
        <v/>
      </c>
      <c r="J232" s="43"/>
      <c r="K232" s="43"/>
      <c r="L232" s="18" t="str">
        <f aca="false">IF(B232="","",IF(K232&lt;&gt;"","Liberado","Pendiente"))</f>
        <v/>
      </c>
      <c r="M232" s="16" t="str">
        <f aca="true">IF(B232="","",IF(L232="Liberado",IF(OR(I232="",K232&lt;=I232),"A tiempo","Liberada tarde"),IF(J232="","Sin compromiso",IF(TODAY()&gt;J232,"VENCIDA",IF(AND(I232&lt;&gt;"",J232&gt;I232),"En riesgo","En gestión")))))</f>
        <v/>
      </c>
      <c r="N232" s="32" t="str">
        <f aca="false">IF(OR(B232="",I232=""),"",IF(K232&lt;&gt;"",I232-K232,IF(J232&lt;&gt;"",I232-J232,"")))</f>
        <v/>
      </c>
      <c r="O232" s="9"/>
    </row>
    <row r="233" customFormat="false" ht="15" hidden="false" customHeight="false" outlineLevel="0" collapsed="false">
      <c r="A233" s="9"/>
      <c r="B233" s="9"/>
      <c r="C233" s="16" t="str">
        <f aca="false">IF(B233="","",IFERROR(INDEX(LOOKAHEAD!$B$5:$B$604,MATCH(B233,LOOKAHEAD!$A$5:$A$604,0)),"ID no existe"))</f>
        <v/>
      </c>
      <c r="D233" s="33" t="str">
        <f aca="false">IF(B233="","",IFERROR(INDEX(LOOKAHEAD!$I$5:$I$604,MATCH(B233,LOOKAHEAD!$A$5:$A$604,0)),""))</f>
        <v/>
      </c>
      <c r="E233" s="9"/>
      <c r="F233" s="9"/>
      <c r="G233" s="9"/>
      <c r="H233" s="43"/>
      <c r="I233" s="33" t="str">
        <f aca="false">IF(OR(D233="",D233=0),"",D233-$D$2)</f>
        <v/>
      </c>
      <c r="J233" s="43"/>
      <c r="K233" s="43"/>
      <c r="L233" s="18" t="str">
        <f aca="false">IF(B233="","",IF(K233&lt;&gt;"","Liberado","Pendiente"))</f>
        <v/>
      </c>
      <c r="M233" s="16" t="str">
        <f aca="true">IF(B233="","",IF(L233="Liberado",IF(OR(I233="",K233&lt;=I233),"A tiempo","Liberada tarde"),IF(J233="","Sin compromiso",IF(TODAY()&gt;J233,"VENCIDA",IF(AND(I233&lt;&gt;"",J233&gt;I233),"En riesgo","En gestión")))))</f>
        <v/>
      </c>
      <c r="N233" s="32" t="str">
        <f aca="false">IF(OR(B233="",I233=""),"",IF(K233&lt;&gt;"",I233-K233,IF(J233&lt;&gt;"",I233-J233,"")))</f>
        <v/>
      </c>
      <c r="O233" s="9"/>
    </row>
    <row r="234" customFormat="false" ht="15" hidden="false" customHeight="false" outlineLevel="0" collapsed="false">
      <c r="A234" s="9"/>
      <c r="B234" s="9"/>
      <c r="C234" s="16" t="str">
        <f aca="false">IF(B234="","",IFERROR(INDEX(LOOKAHEAD!$B$5:$B$604,MATCH(B234,LOOKAHEAD!$A$5:$A$604,0)),"ID no existe"))</f>
        <v/>
      </c>
      <c r="D234" s="33" t="str">
        <f aca="false">IF(B234="","",IFERROR(INDEX(LOOKAHEAD!$I$5:$I$604,MATCH(B234,LOOKAHEAD!$A$5:$A$604,0)),""))</f>
        <v/>
      </c>
      <c r="E234" s="9"/>
      <c r="F234" s="9"/>
      <c r="G234" s="9"/>
      <c r="H234" s="43"/>
      <c r="I234" s="33" t="str">
        <f aca="false">IF(OR(D234="",D234=0),"",D234-$D$2)</f>
        <v/>
      </c>
      <c r="J234" s="43"/>
      <c r="K234" s="43"/>
      <c r="L234" s="18" t="str">
        <f aca="false">IF(B234="","",IF(K234&lt;&gt;"","Liberado","Pendiente"))</f>
        <v/>
      </c>
      <c r="M234" s="16" t="str">
        <f aca="true">IF(B234="","",IF(L234="Liberado",IF(OR(I234="",K234&lt;=I234),"A tiempo","Liberada tarde"),IF(J234="","Sin compromiso",IF(TODAY()&gt;J234,"VENCIDA",IF(AND(I234&lt;&gt;"",J234&gt;I234),"En riesgo","En gestión")))))</f>
        <v/>
      </c>
      <c r="N234" s="32" t="str">
        <f aca="false">IF(OR(B234="",I234=""),"",IF(K234&lt;&gt;"",I234-K234,IF(J234&lt;&gt;"",I234-J234,"")))</f>
        <v/>
      </c>
      <c r="O234" s="9"/>
    </row>
    <row r="235" customFormat="false" ht="15" hidden="false" customHeight="false" outlineLevel="0" collapsed="false">
      <c r="A235" s="9"/>
      <c r="B235" s="9"/>
      <c r="C235" s="16" t="str">
        <f aca="false">IF(B235="","",IFERROR(INDEX(LOOKAHEAD!$B$5:$B$604,MATCH(B235,LOOKAHEAD!$A$5:$A$604,0)),"ID no existe"))</f>
        <v/>
      </c>
      <c r="D235" s="33" t="str">
        <f aca="false">IF(B235="","",IFERROR(INDEX(LOOKAHEAD!$I$5:$I$604,MATCH(B235,LOOKAHEAD!$A$5:$A$604,0)),""))</f>
        <v/>
      </c>
      <c r="E235" s="9"/>
      <c r="F235" s="9"/>
      <c r="G235" s="9"/>
      <c r="H235" s="43"/>
      <c r="I235" s="33" t="str">
        <f aca="false">IF(OR(D235="",D235=0),"",D235-$D$2)</f>
        <v/>
      </c>
      <c r="J235" s="43"/>
      <c r="K235" s="43"/>
      <c r="L235" s="18" t="str">
        <f aca="false">IF(B235="","",IF(K235&lt;&gt;"","Liberado","Pendiente"))</f>
        <v/>
      </c>
      <c r="M235" s="16" t="str">
        <f aca="true">IF(B235="","",IF(L235="Liberado",IF(OR(I235="",K235&lt;=I235),"A tiempo","Liberada tarde"),IF(J235="","Sin compromiso",IF(TODAY()&gt;J235,"VENCIDA",IF(AND(I235&lt;&gt;"",J235&gt;I235),"En riesgo","En gestión")))))</f>
        <v/>
      </c>
      <c r="N235" s="32" t="str">
        <f aca="false">IF(OR(B235="",I235=""),"",IF(K235&lt;&gt;"",I235-K235,IF(J235&lt;&gt;"",I235-J235,"")))</f>
        <v/>
      </c>
      <c r="O235" s="9"/>
    </row>
    <row r="236" customFormat="false" ht="15" hidden="false" customHeight="false" outlineLevel="0" collapsed="false">
      <c r="A236" s="9"/>
      <c r="B236" s="9"/>
      <c r="C236" s="16" t="str">
        <f aca="false">IF(B236="","",IFERROR(INDEX(LOOKAHEAD!$B$5:$B$604,MATCH(B236,LOOKAHEAD!$A$5:$A$604,0)),"ID no existe"))</f>
        <v/>
      </c>
      <c r="D236" s="33" t="str">
        <f aca="false">IF(B236="","",IFERROR(INDEX(LOOKAHEAD!$I$5:$I$604,MATCH(B236,LOOKAHEAD!$A$5:$A$604,0)),""))</f>
        <v/>
      </c>
      <c r="E236" s="9"/>
      <c r="F236" s="9"/>
      <c r="G236" s="9"/>
      <c r="H236" s="43"/>
      <c r="I236" s="33" t="str">
        <f aca="false">IF(OR(D236="",D236=0),"",D236-$D$2)</f>
        <v/>
      </c>
      <c r="J236" s="43"/>
      <c r="K236" s="43"/>
      <c r="L236" s="18" t="str">
        <f aca="false">IF(B236="","",IF(K236&lt;&gt;"","Liberado","Pendiente"))</f>
        <v/>
      </c>
      <c r="M236" s="16" t="str">
        <f aca="true">IF(B236="","",IF(L236="Liberado",IF(OR(I236="",K236&lt;=I236),"A tiempo","Liberada tarde"),IF(J236="","Sin compromiso",IF(TODAY()&gt;J236,"VENCIDA",IF(AND(I236&lt;&gt;"",J236&gt;I236),"En riesgo","En gestión")))))</f>
        <v/>
      </c>
      <c r="N236" s="32" t="str">
        <f aca="false">IF(OR(B236="",I236=""),"",IF(K236&lt;&gt;"",I236-K236,IF(J236&lt;&gt;"",I236-J236,"")))</f>
        <v/>
      </c>
      <c r="O236" s="9"/>
    </row>
    <row r="237" customFormat="false" ht="15" hidden="false" customHeight="false" outlineLevel="0" collapsed="false">
      <c r="A237" s="9"/>
      <c r="B237" s="9"/>
      <c r="C237" s="16" t="str">
        <f aca="false">IF(B237="","",IFERROR(INDEX(LOOKAHEAD!$B$5:$B$604,MATCH(B237,LOOKAHEAD!$A$5:$A$604,0)),"ID no existe"))</f>
        <v/>
      </c>
      <c r="D237" s="33" t="str">
        <f aca="false">IF(B237="","",IFERROR(INDEX(LOOKAHEAD!$I$5:$I$604,MATCH(B237,LOOKAHEAD!$A$5:$A$604,0)),""))</f>
        <v/>
      </c>
      <c r="E237" s="9"/>
      <c r="F237" s="9"/>
      <c r="G237" s="9"/>
      <c r="H237" s="43"/>
      <c r="I237" s="33" t="str">
        <f aca="false">IF(OR(D237="",D237=0),"",D237-$D$2)</f>
        <v/>
      </c>
      <c r="J237" s="43"/>
      <c r="K237" s="43"/>
      <c r="L237" s="18" t="str">
        <f aca="false">IF(B237="","",IF(K237&lt;&gt;"","Liberado","Pendiente"))</f>
        <v/>
      </c>
      <c r="M237" s="16" t="str">
        <f aca="true">IF(B237="","",IF(L237="Liberado",IF(OR(I237="",K237&lt;=I237),"A tiempo","Liberada tarde"),IF(J237="","Sin compromiso",IF(TODAY()&gt;J237,"VENCIDA",IF(AND(I237&lt;&gt;"",J237&gt;I237),"En riesgo","En gestión")))))</f>
        <v/>
      </c>
      <c r="N237" s="32" t="str">
        <f aca="false">IF(OR(B237="",I237=""),"",IF(K237&lt;&gt;"",I237-K237,IF(J237&lt;&gt;"",I237-J237,"")))</f>
        <v/>
      </c>
      <c r="O237" s="9"/>
    </row>
    <row r="238" customFormat="false" ht="15" hidden="false" customHeight="false" outlineLevel="0" collapsed="false">
      <c r="A238" s="9"/>
      <c r="B238" s="9"/>
      <c r="C238" s="16" t="str">
        <f aca="false">IF(B238="","",IFERROR(INDEX(LOOKAHEAD!$B$5:$B$604,MATCH(B238,LOOKAHEAD!$A$5:$A$604,0)),"ID no existe"))</f>
        <v/>
      </c>
      <c r="D238" s="33" t="str">
        <f aca="false">IF(B238="","",IFERROR(INDEX(LOOKAHEAD!$I$5:$I$604,MATCH(B238,LOOKAHEAD!$A$5:$A$604,0)),""))</f>
        <v/>
      </c>
      <c r="E238" s="9"/>
      <c r="F238" s="9"/>
      <c r="G238" s="9"/>
      <c r="H238" s="43"/>
      <c r="I238" s="33" t="str">
        <f aca="false">IF(OR(D238="",D238=0),"",D238-$D$2)</f>
        <v/>
      </c>
      <c r="J238" s="43"/>
      <c r="K238" s="43"/>
      <c r="L238" s="18" t="str">
        <f aca="false">IF(B238="","",IF(K238&lt;&gt;"","Liberado","Pendiente"))</f>
        <v/>
      </c>
      <c r="M238" s="16" t="str">
        <f aca="true">IF(B238="","",IF(L238="Liberado",IF(OR(I238="",K238&lt;=I238),"A tiempo","Liberada tarde"),IF(J238="","Sin compromiso",IF(TODAY()&gt;J238,"VENCIDA",IF(AND(I238&lt;&gt;"",J238&gt;I238),"En riesgo","En gestión")))))</f>
        <v/>
      </c>
      <c r="N238" s="32" t="str">
        <f aca="false">IF(OR(B238="",I238=""),"",IF(K238&lt;&gt;"",I238-K238,IF(J238&lt;&gt;"",I238-J238,"")))</f>
        <v/>
      </c>
      <c r="O238" s="9"/>
    </row>
    <row r="239" customFormat="false" ht="15" hidden="false" customHeight="false" outlineLevel="0" collapsed="false">
      <c r="A239" s="9"/>
      <c r="B239" s="9"/>
      <c r="C239" s="16" t="str">
        <f aca="false">IF(B239="","",IFERROR(INDEX(LOOKAHEAD!$B$5:$B$604,MATCH(B239,LOOKAHEAD!$A$5:$A$604,0)),"ID no existe"))</f>
        <v/>
      </c>
      <c r="D239" s="33" t="str">
        <f aca="false">IF(B239="","",IFERROR(INDEX(LOOKAHEAD!$I$5:$I$604,MATCH(B239,LOOKAHEAD!$A$5:$A$604,0)),""))</f>
        <v/>
      </c>
      <c r="E239" s="9"/>
      <c r="F239" s="9"/>
      <c r="G239" s="9"/>
      <c r="H239" s="43"/>
      <c r="I239" s="33" t="str">
        <f aca="false">IF(OR(D239="",D239=0),"",D239-$D$2)</f>
        <v/>
      </c>
      <c r="J239" s="43"/>
      <c r="K239" s="43"/>
      <c r="L239" s="18" t="str">
        <f aca="false">IF(B239="","",IF(K239&lt;&gt;"","Liberado","Pendiente"))</f>
        <v/>
      </c>
      <c r="M239" s="16" t="str">
        <f aca="true">IF(B239="","",IF(L239="Liberado",IF(OR(I239="",K239&lt;=I239),"A tiempo","Liberada tarde"),IF(J239="","Sin compromiso",IF(TODAY()&gt;J239,"VENCIDA",IF(AND(I239&lt;&gt;"",J239&gt;I239),"En riesgo","En gestión")))))</f>
        <v/>
      </c>
      <c r="N239" s="32" t="str">
        <f aca="false">IF(OR(B239="",I239=""),"",IF(K239&lt;&gt;"",I239-K239,IF(J239&lt;&gt;"",I239-J239,"")))</f>
        <v/>
      </c>
      <c r="O239" s="9"/>
    </row>
    <row r="240" customFormat="false" ht="15" hidden="false" customHeight="false" outlineLevel="0" collapsed="false">
      <c r="A240" s="9"/>
      <c r="B240" s="9"/>
      <c r="C240" s="16" t="str">
        <f aca="false">IF(B240="","",IFERROR(INDEX(LOOKAHEAD!$B$5:$B$604,MATCH(B240,LOOKAHEAD!$A$5:$A$604,0)),"ID no existe"))</f>
        <v/>
      </c>
      <c r="D240" s="33" t="str">
        <f aca="false">IF(B240="","",IFERROR(INDEX(LOOKAHEAD!$I$5:$I$604,MATCH(B240,LOOKAHEAD!$A$5:$A$604,0)),""))</f>
        <v/>
      </c>
      <c r="E240" s="9"/>
      <c r="F240" s="9"/>
      <c r="G240" s="9"/>
      <c r="H240" s="43"/>
      <c r="I240" s="33" t="str">
        <f aca="false">IF(OR(D240="",D240=0),"",D240-$D$2)</f>
        <v/>
      </c>
      <c r="J240" s="43"/>
      <c r="K240" s="43"/>
      <c r="L240" s="18" t="str">
        <f aca="false">IF(B240="","",IF(K240&lt;&gt;"","Liberado","Pendiente"))</f>
        <v/>
      </c>
      <c r="M240" s="16" t="str">
        <f aca="true">IF(B240="","",IF(L240="Liberado",IF(OR(I240="",K240&lt;=I240),"A tiempo","Liberada tarde"),IF(J240="","Sin compromiso",IF(TODAY()&gt;J240,"VENCIDA",IF(AND(I240&lt;&gt;"",J240&gt;I240),"En riesgo","En gestión")))))</f>
        <v/>
      </c>
      <c r="N240" s="32" t="str">
        <f aca="false">IF(OR(B240="",I240=""),"",IF(K240&lt;&gt;"",I240-K240,IF(J240&lt;&gt;"",I240-J240,"")))</f>
        <v/>
      </c>
      <c r="O240" s="9"/>
    </row>
    <row r="241" customFormat="false" ht="15" hidden="false" customHeight="false" outlineLevel="0" collapsed="false">
      <c r="A241" s="9"/>
      <c r="B241" s="9"/>
      <c r="C241" s="16" t="str">
        <f aca="false">IF(B241="","",IFERROR(INDEX(LOOKAHEAD!$B$5:$B$604,MATCH(B241,LOOKAHEAD!$A$5:$A$604,0)),"ID no existe"))</f>
        <v/>
      </c>
      <c r="D241" s="33" t="str">
        <f aca="false">IF(B241="","",IFERROR(INDEX(LOOKAHEAD!$I$5:$I$604,MATCH(B241,LOOKAHEAD!$A$5:$A$604,0)),""))</f>
        <v/>
      </c>
      <c r="E241" s="9"/>
      <c r="F241" s="9"/>
      <c r="G241" s="9"/>
      <c r="H241" s="43"/>
      <c r="I241" s="33" t="str">
        <f aca="false">IF(OR(D241="",D241=0),"",D241-$D$2)</f>
        <v/>
      </c>
      <c r="J241" s="43"/>
      <c r="K241" s="43"/>
      <c r="L241" s="18" t="str">
        <f aca="false">IF(B241="","",IF(K241&lt;&gt;"","Liberado","Pendiente"))</f>
        <v/>
      </c>
      <c r="M241" s="16" t="str">
        <f aca="true">IF(B241="","",IF(L241="Liberado",IF(OR(I241="",K241&lt;=I241),"A tiempo","Liberada tarde"),IF(J241="","Sin compromiso",IF(TODAY()&gt;J241,"VENCIDA",IF(AND(I241&lt;&gt;"",J241&gt;I241),"En riesgo","En gestión")))))</f>
        <v/>
      </c>
      <c r="N241" s="32" t="str">
        <f aca="false">IF(OR(B241="",I241=""),"",IF(K241&lt;&gt;"",I241-K241,IF(J241&lt;&gt;"",I241-J241,"")))</f>
        <v/>
      </c>
      <c r="O241" s="9"/>
    </row>
    <row r="242" customFormat="false" ht="15" hidden="false" customHeight="false" outlineLevel="0" collapsed="false">
      <c r="A242" s="9"/>
      <c r="B242" s="9"/>
      <c r="C242" s="16" t="str">
        <f aca="false">IF(B242="","",IFERROR(INDEX(LOOKAHEAD!$B$5:$B$604,MATCH(B242,LOOKAHEAD!$A$5:$A$604,0)),"ID no existe"))</f>
        <v/>
      </c>
      <c r="D242" s="33" t="str">
        <f aca="false">IF(B242="","",IFERROR(INDEX(LOOKAHEAD!$I$5:$I$604,MATCH(B242,LOOKAHEAD!$A$5:$A$604,0)),""))</f>
        <v/>
      </c>
      <c r="E242" s="9"/>
      <c r="F242" s="9"/>
      <c r="G242" s="9"/>
      <c r="H242" s="43"/>
      <c r="I242" s="33" t="str">
        <f aca="false">IF(OR(D242="",D242=0),"",D242-$D$2)</f>
        <v/>
      </c>
      <c r="J242" s="43"/>
      <c r="K242" s="43"/>
      <c r="L242" s="18" t="str">
        <f aca="false">IF(B242="","",IF(K242&lt;&gt;"","Liberado","Pendiente"))</f>
        <v/>
      </c>
      <c r="M242" s="16" t="str">
        <f aca="true">IF(B242="","",IF(L242="Liberado",IF(OR(I242="",K242&lt;=I242),"A tiempo","Liberada tarde"),IF(J242="","Sin compromiso",IF(TODAY()&gt;J242,"VENCIDA",IF(AND(I242&lt;&gt;"",J242&gt;I242),"En riesgo","En gestión")))))</f>
        <v/>
      </c>
      <c r="N242" s="32" t="str">
        <f aca="false">IF(OR(B242="",I242=""),"",IF(K242&lt;&gt;"",I242-K242,IF(J242&lt;&gt;"",I242-J242,"")))</f>
        <v/>
      </c>
      <c r="O242" s="9"/>
    </row>
    <row r="243" customFormat="false" ht="15" hidden="false" customHeight="false" outlineLevel="0" collapsed="false">
      <c r="A243" s="9"/>
      <c r="B243" s="9"/>
      <c r="C243" s="16" t="str">
        <f aca="false">IF(B243="","",IFERROR(INDEX(LOOKAHEAD!$B$5:$B$604,MATCH(B243,LOOKAHEAD!$A$5:$A$604,0)),"ID no existe"))</f>
        <v/>
      </c>
      <c r="D243" s="33" t="str">
        <f aca="false">IF(B243="","",IFERROR(INDEX(LOOKAHEAD!$I$5:$I$604,MATCH(B243,LOOKAHEAD!$A$5:$A$604,0)),""))</f>
        <v/>
      </c>
      <c r="E243" s="9"/>
      <c r="F243" s="9"/>
      <c r="G243" s="9"/>
      <c r="H243" s="43"/>
      <c r="I243" s="33" t="str">
        <f aca="false">IF(OR(D243="",D243=0),"",D243-$D$2)</f>
        <v/>
      </c>
      <c r="J243" s="43"/>
      <c r="K243" s="43"/>
      <c r="L243" s="18" t="str">
        <f aca="false">IF(B243="","",IF(K243&lt;&gt;"","Liberado","Pendiente"))</f>
        <v/>
      </c>
      <c r="M243" s="16" t="str">
        <f aca="true">IF(B243="","",IF(L243="Liberado",IF(OR(I243="",K243&lt;=I243),"A tiempo","Liberada tarde"),IF(J243="","Sin compromiso",IF(TODAY()&gt;J243,"VENCIDA",IF(AND(I243&lt;&gt;"",J243&gt;I243),"En riesgo","En gestión")))))</f>
        <v/>
      </c>
      <c r="N243" s="32" t="str">
        <f aca="false">IF(OR(B243="",I243=""),"",IF(K243&lt;&gt;"",I243-K243,IF(J243&lt;&gt;"",I243-J243,"")))</f>
        <v/>
      </c>
      <c r="O243" s="9"/>
    </row>
    <row r="244" customFormat="false" ht="15" hidden="false" customHeight="false" outlineLevel="0" collapsed="false">
      <c r="A244" s="9"/>
      <c r="B244" s="9"/>
      <c r="C244" s="16" t="str">
        <f aca="false">IF(B244="","",IFERROR(INDEX(LOOKAHEAD!$B$5:$B$604,MATCH(B244,LOOKAHEAD!$A$5:$A$604,0)),"ID no existe"))</f>
        <v/>
      </c>
      <c r="D244" s="33" t="str">
        <f aca="false">IF(B244="","",IFERROR(INDEX(LOOKAHEAD!$I$5:$I$604,MATCH(B244,LOOKAHEAD!$A$5:$A$604,0)),""))</f>
        <v/>
      </c>
      <c r="E244" s="9"/>
      <c r="F244" s="9"/>
      <c r="G244" s="9"/>
      <c r="H244" s="43"/>
      <c r="I244" s="33" t="str">
        <f aca="false">IF(OR(D244="",D244=0),"",D244-$D$2)</f>
        <v/>
      </c>
      <c r="J244" s="43"/>
      <c r="K244" s="43"/>
      <c r="L244" s="18" t="str">
        <f aca="false">IF(B244="","",IF(K244&lt;&gt;"","Liberado","Pendiente"))</f>
        <v/>
      </c>
      <c r="M244" s="16" t="str">
        <f aca="true">IF(B244="","",IF(L244="Liberado",IF(OR(I244="",K244&lt;=I244),"A tiempo","Liberada tarde"),IF(J244="","Sin compromiso",IF(TODAY()&gt;J244,"VENCIDA",IF(AND(I244&lt;&gt;"",J244&gt;I244),"En riesgo","En gestión")))))</f>
        <v/>
      </c>
      <c r="N244" s="32" t="str">
        <f aca="false">IF(OR(B244="",I244=""),"",IF(K244&lt;&gt;"",I244-K244,IF(J244&lt;&gt;"",I244-J244,"")))</f>
        <v/>
      </c>
      <c r="O244" s="9"/>
    </row>
    <row r="245" customFormat="false" ht="15" hidden="false" customHeight="false" outlineLevel="0" collapsed="false">
      <c r="A245" s="9"/>
      <c r="B245" s="9"/>
      <c r="C245" s="16" t="str">
        <f aca="false">IF(B245="","",IFERROR(INDEX(LOOKAHEAD!$B$5:$B$604,MATCH(B245,LOOKAHEAD!$A$5:$A$604,0)),"ID no existe"))</f>
        <v/>
      </c>
      <c r="D245" s="33" t="str">
        <f aca="false">IF(B245="","",IFERROR(INDEX(LOOKAHEAD!$I$5:$I$604,MATCH(B245,LOOKAHEAD!$A$5:$A$604,0)),""))</f>
        <v/>
      </c>
      <c r="E245" s="9"/>
      <c r="F245" s="9"/>
      <c r="G245" s="9"/>
      <c r="H245" s="43"/>
      <c r="I245" s="33" t="str">
        <f aca="false">IF(OR(D245="",D245=0),"",D245-$D$2)</f>
        <v/>
      </c>
      <c r="J245" s="43"/>
      <c r="K245" s="43"/>
      <c r="L245" s="18" t="str">
        <f aca="false">IF(B245="","",IF(K245&lt;&gt;"","Liberado","Pendiente"))</f>
        <v/>
      </c>
      <c r="M245" s="16" t="str">
        <f aca="true">IF(B245="","",IF(L245="Liberado",IF(OR(I245="",K245&lt;=I245),"A tiempo","Liberada tarde"),IF(J245="","Sin compromiso",IF(TODAY()&gt;J245,"VENCIDA",IF(AND(I245&lt;&gt;"",J245&gt;I245),"En riesgo","En gestión")))))</f>
        <v/>
      </c>
      <c r="N245" s="32" t="str">
        <f aca="false">IF(OR(B245="",I245=""),"",IF(K245&lt;&gt;"",I245-K245,IF(J245&lt;&gt;"",I245-J245,"")))</f>
        <v/>
      </c>
      <c r="O245" s="9"/>
    </row>
    <row r="246" customFormat="false" ht="15" hidden="false" customHeight="false" outlineLevel="0" collapsed="false">
      <c r="A246" s="9"/>
      <c r="B246" s="9"/>
      <c r="C246" s="16" t="str">
        <f aca="false">IF(B246="","",IFERROR(INDEX(LOOKAHEAD!$B$5:$B$604,MATCH(B246,LOOKAHEAD!$A$5:$A$604,0)),"ID no existe"))</f>
        <v/>
      </c>
      <c r="D246" s="33" t="str">
        <f aca="false">IF(B246="","",IFERROR(INDEX(LOOKAHEAD!$I$5:$I$604,MATCH(B246,LOOKAHEAD!$A$5:$A$604,0)),""))</f>
        <v/>
      </c>
      <c r="E246" s="9"/>
      <c r="F246" s="9"/>
      <c r="G246" s="9"/>
      <c r="H246" s="43"/>
      <c r="I246" s="33" t="str">
        <f aca="false">IF(OR(D246="",D246=0),"",D246-$D$2)</f>
        <v/>
      </c>
      <c r="J246" s="43"/>
      <c r="K246" s="43"/>
      <c r="L246" s="18" t="str">
        <f aca="false">IF(B246="","",IF(K246&lt;&gt;"","Liberado","Pendiente"))</f>
        <v/>
      </c>
      <c r="M246" s="16" t="str">
        <f aca="true">IF(B246="","",IF(L246="Liberado",IF(OR(I246="",K246&lt;=I246),"A tiempo","Liberada tarde"),IF(J246="","Sin compromiso",IF(TODAY()&gt;J246,"VENCIDA",IF(AND(I246&lt;&gt;"",J246&gt;I246),"En riesgo","En gestión")))))</f>
        <v/>
      </c>
      <c r="N246" s="32" t="str">
        <f aca="false">IF(OR(B246="",I246=""),"",IF(K246&lt;&gt;"",I246-K246,IF(J246&lt;&gt;"",I246-J246,"")))</f>
        <v/>
      </c>
      <c r="O246" s="9"/>
    </row>
    <row r="247" customFormat="false" ht="15" hidden="false" customHeight="false" outlineLevel="0" collapsed="false">
      <c r="A247" s="9"/>
      <c r="B247" s="9"/>
      <c r="C247" s="16" t="str">
        <f aca="false">IF(B247="","",IFERROR(INDEX(LOOKAHEAD!$B$5:$B$604,MATCH(B247,LOOKAHEAD!$A$5:$A$604,0)),"ID no existe"))</f>
        <v/>
      </c>
      <c r="D247" s="33" t="str">
        <f aca="false">IF(B247="","",IFERROR(INDEX(LOOKAHEAD!$I$5:$I$604,MATCH(B247,LOOKAHEAD!$A$5:$A$604,0)),""))</f>
        <v/>
      </c>
      <c r="E247" s="9"/>
      <c r="F247" s="9"/>
      <c r="G247" s="9"/>
      <c r="H247" s="43"/>
      <c r="I247" s="33" t="str">
        <f aca="false">IF(OR(D247="",D247=0),"",D247-$D$2)</f>
        <v/>
      </c>
      <c r="J247" s="43"/>
      <c r="K247" s="43"/>
      <c r="L247" s="18" t="str">
        <f aca="false">IF(B247="","",IF(K247&lt;&gt;"","Liberado","Pendiente"))</f>
        <v/>
      </c>
      <c r="M247" s="16" t="str">
        <f aca="true">IF(B247="","",IF(L247="Liberado",IF(OR(I247="",K247&lt;=I247),"A tiempo","Liberada tarde"),IF(J247="","Sin compromiso",IF(TODAY()&gt;J247,"VENCIDA",IF(AND(I247&lt;&gt;"",J247&gt;I247),"En riesgo","En gestión")))))</f>
        <v/>
      </c>
      <c r="N247" s="32" t="str">
        <f aca="false">IF(OR(B247="",I247=""),"",IF(K247&lt;&gt;"",I247-K247,IF(J247&lt;&gt;"",I247-J247,"")))</f>
        <v/>
      </c>
      <c r="O247" s="9"/>
    </row>
    <row r="248" customFormat="false" ht="15" hidden="false" customHeight="false" outlineLevel="0" collapsed="false">
      <c r="A248" s="9"/>
      <c r="B248" s="9"/>
      <c r="C248" s="16" t="str">
        <f aca="false">IF(B248="","",IFERROR(INDEX(LOOKAHEAD!$B$5:$B$604,MATCH(B248,LOOKAHEAD!$A$5:$A$604,0)),"ID no existe"))</f>
        <v/>
      </c>
      <c r="D248" s="33" t="str">
        <f aca="false">IF(B248="","",IFERROR(INDEX(LOOKAHEAD!$I$5:$I$604,MATCH(B248,LOOKAHEAD!$A$5:$A$604,0)),""))</f>
        <v/>
      </c>
      <c r="E248" s="9"/>
      <c r="F248" s="9"/>
      <c r="G248" s="9"/>
      <c r="H248" s="43"/>
      <c r="I248" s="33" t="str">
        <f aca="false">IF(OR(D248="",D248=0),"",D248-$D$2)</f>
        <v/>
      </c>
      <c r="J248" s="43"/>
      <c r="K248" s="43"/>
      <c r="L248" s="18" t="str">
        <f aca="false">IF(B248="","",IF(K248&lt;&gt;"","Liberado","Pendiente"))</f>
        <v/>
      </c>
      <c r="M248" s="16" t="str">
        <f aca="true">IF(B248="","",IF(L248="Liberado",IF(OR(I248="",K248&lt;=I248),"A tiempo","Liberada tarde"),IF(J248="","Sin compromiso",IF(TODAY()&gt;J248,"VENCIDA",IF(AND(I248&lt;&gt;"",J248&gt;I248),"En riesgo","En gestión")))))</f>
        <v/>
      </c>
      <c r="N248" s="32" t="str">
        <f aca="false">IF(OR(B248="",I248=""),"",IF(K248&lt;&gt;"",I248-K248,IF(J248&lt;&gt;"",I248-J248,"")))</f>
        <v/>
      </c>
      <c r="O248" s="9"/>
    </row>
    <row r="249" customFormat="false" ht="15" hidden="false" customHeight="false" outlineLevel="0" collapsed="false">
      <c r="A249" s="9"/>
      <c r="B249" s="9"/>
      <c r="C249" s="16" t="str">
        <f aca="false">IF(B249="","",IFERROR(INDEX(LOOKAHEAD!$B$5:$B$604,MATCH(B249,LOOKAHEAD!$A$5:$A$604,0)),"ID no existe"))</f>
        <v/>
      </c>
      <c r="D249" s="33" t="str">
        <f aca="false">IF(B249="","",IFERROR(INDEX(LOOKAHEAD!$I$5:$I$604,MATCH(B249,LOOKAHEAD!$A$5:$A$604,0)),""))</f>
        <v/>
      </c>
      <c r="E249" s="9"/>
      <c r="F249" s="9"/>
      <c r="G249" s="9"/>
      <c r="H249" s="43"/>
      <c r="I249" s="33" t="str">
        <f aca="false">IF(OR(D249="",D249=0),"",D249-$D$2)</f>
        <v/>
      </c>
      <c r="J249" s="43"/>
      <c r="K249" s="43"/>
      <c r="L249" s="18" t="str">
        <f aca="false">IF(B249="","",IF(K249&lt;&gt;"","Liberado","Pendiente"))</f>
        <v/>
      </c>
      <c r="M249" s="16" t="str">
        <f aca="true">IF(B249="","",IF(L249="Liberado",IF(OR(I249="",K249&lt;=I249),"A tiempo","Liberada tarde"),IF(J249="","Sin compromiso",IF(TODAY()&gt;J249,"VENCIDA",IF(AND(I249&lt;&gt;"",J249&gt;I249),"En riesgo","En gestión")))))</f>
        <v/>
      </c>
      <c r="N249" s="32" t="str">
        <f aca="false">IF(OR(B249="",I249=""),"",IF(K249&lt;&gt;"",I249-K249,IF(J249&lt;&gt;"",I249-J249,"")))</f>
        <v/>
      </c>
      <c r="O249" s="9"/>
    </row>
    <row r="250" customFormat="false" ht="15" hidden="false" customHeight="false" outlineLevel="0" collapsed="false">
      <c r="A250" s="9"/>
      <c r="B250" s="9"/>
      <c r="C250" s="16" t="str">
        <f aca="false">IF(B250="","",IFERROR(INDEX(LOOKAHEAD!$B$5:$B$604,MATCH(B250,LOOKAHEAD!$A$5:$A$604,0)),"ID no existe"))</f>
        <v/>
      </c>
      <c r="D250" s="33" t="str">
        <f aca="false">IF(B250="","",IFERROR(INDEX(LOOKAHEAD!$I$5:$I$604,MATCH(B250,LOOKAHEAD!$A$5:$A$604,0)),""))</f>
        <v/>
      </c>
      <c r="E250" s="9"/>
      <c r="F250" s="9"/>
      <c r="G250" s="9"/>
      <c r="H250" s="43"/>
      <c r="I250" s="33" t="str">
        <f aca="false">IF(OR(D250="",D250=0),"",D250-$D$2)</f>
        <v/>
      </c>
      <c r="J250" s="43"/>
      <c r="K250" s="43"/>
      <c r="L250" s="18" t="str">
        <f aca="false">IF(B250="","",IF(K250&lt;&gt;"","Liberado","Pendiente"))</f>
        <v/>
      </c>
      <c r="M250" s="16" t="str">
        <f aca="true">IF(B250="","",IF(L250="Liberado",IF(OR(I250="",K250&lt;=I250),"A tiempo","Liberada tarde"),IF(J250="","Sin compromiso",IF(TODAY()&gt;J250,"VENCIDA",IF(AND(I250&lt;&gt;"",J250&gt;I250),"En riesgo","En gestión")))))</f>
        <v/>
      </c>
      <c r="N250" s="32" t="str">
        <f aca="false">IF(OR(B250="",I250=""),"",IF(K250&lt;&gt;"",I250-K250,IF(J250&lt;&gt;"",I250-J250,"")))</f>
        <v/>
      </c>
      <c r="O250" s="9"/>
    </row>
    <row r="251" customFormat="false" ht="15" hidden="false" customHeight="false" outlineLevel="0" collapsed="false">
      <c r="A251" s="9"/>
      <c r="B251" s="9"/>
      <c r="C251" s="16" t="str">
        <f aca="false">IF(B251="","",IFERROR(INDEX(LOOKAHEAD!$B$5:$B$604,MATCH(B251,LOOKAHEAD!$A$5:$A$604,0)),"ID no existe"))</f>
        <v/>
      </c>
      <c r="D251" s="33" t="str">
        <f aca="false">IF(B251="","",IFERROR(INDEX(LOOKAHEAD!$I$5:$I$604,MATCH(B251,LOOKAHEAD!$A$5:$A$604,0)),""))</f>
        <v/>
      </c>
      <c r="E251" s="9"/>
      <c r="F251" s="9"/>
      <c r="G251" s="9"/>
      <c r="H251" s="43"/>
      <c r="I251" s="33" t="str">
        <f aca="false">IF(OR(D251="",D251=0),"",D251-$D$2)</f>
        <v/>
      </c>
      <c r="J251" s="43"/>
      <c r="K251" s="43"/>
      <c r="L251" s="18" t="str">
        <f aca="false">IF(B251="","",IF(K251&lt;&gt;"","Liberado","Pendiente"))</f>
        <v/>
      </c>
      <c r="M251" s="16" t="str">
        <f aca="true">IF(B251="","",IF(L251="Liberado",IF(OR(I251="",K251&lt;=I251),"A tiempo","Liberada tarde"),IF(J251="","Sin compromiso",IF(TODAY()&gt;J251,"VENCIDA",IF(AND(I251&lt;&gt;"",J251&gt;I251),"En riesgo","En gestión")))))</f>
        <v/>
      </c>
      <c r="N251" s="32" t="str">
        <f aca="false">IF(OR(B251="",I251=""),"",IF(K251&lt;&gt;"",I251-K251,IF(J251&lt;&gt;"",I251-J251,"")))</f>
        <v/>
      </c>
      <c r="O251" s="9"/>
    </row>
    <row r="252" customFormat="false" ht="15" hidden="false" customHeight="false" outlineLevel="0" collapsed="false">
      <c r="A252" s="9"/>
      <c r="B252" s="9"/>
      <c r="C252" s="16" t="str">
        <f aca="false">IF(B252="","",IFERROR(INDEX(LOOKAHEAD!$B$5:$B$604,MATCH(B252,LOOKAHEAD!$A$5:$A$604,0)),"ID no existe"))</f>
        <v/>
      </c>
      <c r="D252" s="33" t="str">
        <f aca="false">IF(B252="","",IFERROR(INDEX(LOOKAHEAD!$I$5:$I$604,MATCH(B252,LOOKAHEAD!$A$5:$A$604,0)),""))</f>
        <v/>
      </c>
      <c r="E252" s="9"/>
      <c r="F252" s="9"/>
      <c r="G252" s="9"/>
      <c r="H252" s="43"/>
      <c r="I252" s="33" t="str">
        <f aca="false">IF(OR(D252="",D252=0),"",D252-$D$2)</f>
        <v/>
      </c>
      <c r="J252" s="43"/>
      <c r="K252" s="43"/>
      <c r="L252" s="18" t="str">
        <f aca="false">IF(B252="","",IF(K252&lt;&gt;"","Liberado","Pendiente"))</f>
        <v/>
      </c>
      <c r="M252" s="16" t="str">
        <f aca="true">IF(B252="","",IF(L252="Liberado",IF(OR(I252="",K252&lt;=I252),"A tiempo","Liberada tarde"),IF(J252="","Sin compromiso",IF(TODAY()&gt;J252,"VENCIDA",IF(AND(I252&lt;&gt;"",J252&gt;I252),"En riesgo","En gestión")))))</f>
        <v/>
      </c>
      <c r="N252" s="32" t="str">
        <f aca="false">IF(OR(B252="",I252=""),"",IF(K252&lt;&gt;"",I252-K252,IF(J252&lt;&gt;"",I252-J252,"")))</f>
        <v/>
      </c>
      <c r="O252" s="9"/>
    </row>
    <row r="253" customFormat="false" ht="15" hidden="false" customHeight="false" outlineLevel="0" collapsed="false">
      <c r="A253" s="9"/>
      <c r="B253" s="9"/>
      <c r="C253" s="16" t="str">
        <f aca="false">IF(B253="","",IFERROR(INDEX(LOOKAHEAD!$B$5:$B$604,MATCH(B253,LOOKAHEAD!$A$5:$A$604,0)),"ID no existe"))</f>
        <v/>
      </c>
      <c r="D253" s="33" t="str">
        <f aca="false">IF(B253="","",IFERROR(INDEX(LOOKAHEAD!$I$5:$I$604,MATCH(B253,LOOKAHEAD!$A$5:$A$604,0)),""))</f>
        <v/>
      </c>
      <c r="E253" s="9"/>
      <c r="F253" s="9"/>
      <c r="G253" s="9"/>
      <c r="H253" s="43"/>
      <c r="I253" s="33" t="str">
        <f aca="false">IF(OR(D253="",D253=0),"",D253-$D$2)</f>
        <v/>
      </c>
      <c r="J253" s="43"/>
      <c r="K253" s="43"/>
      <c r="L253" s="18" t="str">
        <f aca="false">IF(B253="","",IF(K253&lt;&gt;"","Liberado","Pendiente"))</f>
        <v/>
      </c>
      <c r="M253" s="16" t="str">
        <f aca="true">IF(B253="","",IF(L253="Liberado",IF(OR(I253="",K253&lt;=I253),"A tiempo","Liberada tarde"),IF(J253="","Sin compromiso",IF(TODAY()&gt;J253,"VENCIDA",IF(AND(I253&lt;&gt;"",J253&gt;I253),"En riesgo","En gestión")))))</f>
        <v/>
      </c>
      <c r="N253" s="32" t="str">
        <f aca="false">IF(OR(B253="",I253=""),"",IF(K253&lt;&gt;"",I253-K253,IF(J253&lt;&gt;"",I253-J253,"")))</f>
        <v/>
      </c>
      <c r="O253" s="9"/>
    </row>
    <row r="254" customFormat="false" ht="15" hidden="false" customHeight="false" outlineLevel="0" collapsed="false">
      <c r="A254" s="9"/>
      <c r="B254" s="9"/>
      <c r="C254" s="16" t="str">
        <f aca="false">IF(B254="","",IFERROR(INDEX(LOOKAHEAD!$B$5:$B$604,MATCH(B254,LOOKAHEAD!$A$5:$A$604,0)),"ID no existe"))</f>
        <v/>
      </c>
      <c r="D254" s="33" t="str">
        <f aca="false">IF(B254="","",IFERROR(INDEX(LOOKAHEAD!$I$5:$I$604,MATCH(B254,LOOKAHEAD!$A$5:$A$604,0)),""))</f>
        <v/>
      </c>
      <c r="E254" s="9"/>
      <c r="F254" s="9"/>
      <c r="G254" s="9"/>
      <c r="H254" s="43"/>
      <c r="I254" s="33" t="str">
        <f aca="false">IF(OR(D254="",D254=0),"",D254-$D$2)</f>
        <v/>
      </c>
      <c r="J254" s="43"/>
      <c r="K254" s="43"/>
      <c r="L254" s="18" t="str">
        <f aca="false">IF(B254="","",IF(K254&lt;&gt;"","Liberado","Pendiente"))</f>
        <v/>
      </c>
      <c r="M254" s="16" t="str">
        <f aca="true">IF(B254="","",IF(L254="Liberado",IF(OR(I254="",K254&lt;=I254),"A tiempo","Liberada tarde"),IF(J254="","Sin compromiso",IF(TODAY()&gt;J254,"VENCIDA",IF(AND(I254&lt;&gt;"",J254&gt;I254),"En riesgo","En gestión")))))</f>
        <v/>
      </c>
      <c r="N254" s="32" t="str">
        <f aca="false">IF(OR(B254="",I254=""),"",IF(K254&lt;&gt;"",I254-K254,IF(J254&lt;&gt;"",I254-J254,"")))</f>
        <v/>
      </c>
      <c r="O254" s="9"/>
    </row>
    <row r="255" customFormat="false" ht="15" hidden="false" customHeight="false" outlineLevel="0" collapsed="false">
      <c r="A255" s="9"/>
      <c r="B255" s="9"/>
      <c r="C255" s="16" t="str">
        <f aca="false">IF(B255="","",IFERROR(INDEX(LOOKAHEAD!$B$5:$B$604,MATCH(B255,LOOKAHEAD!$A$5:$A$604,0)),"ID no existe"))</f>
        <v/>
      </c>
      <c r="D255" s="33" t="str">
        <f aca="false">IF(B255="","",IFERROR(INDEX(LOOKAHEAD!$I$5:$I$604,MATCH(B255,LOOKAHEAD!$A$5:$A$604,0)),""))</f>
        <v/>
      </c>
      <c r="E255" s="9"/>
      <c r="F255" s="9"/>
      <c r="G255" s="9"/>
      <c r="H255" s="43"/>
      <c r="I255" s="33" t="str">
        <f aca="false">IF(OR(D255="",D255=0),"",D255-$D$2)</f>
        <v/>
      </c>
      <c r="J255" s="43"/>
      <c r="K255" s="43"/>
      <c r="L255" s="18" t="str">
        <f aca="false">IF(B255="","",IF(K255&lt;&gt;"","Liberado","Pendiente"))</f>
        <v/>
      </c>
      <c r="M255" s="16" t="str">
        <f aca="true">IF(B255="","",IF(L255="Liberado",IF(OR(I255="",K255&lt;=I255),"A tiempo","Liberada tarde"),IF(J255="","Sin compromiso",IF(TODAY()&gt;J255,"VENCIDA",IF(AND(I255&lt;&gt;"",J255&gt;I255),"En riesgo","En gestión")))))</f>
        <v/>
      </c>
      <c r="N255" s="32" t="str">
        <f aca="false">IF(OR(B255="",I255=""),"",IF(K255&lt;&gt;"",I255-K255,IF(J255&lt;&gt;"",I255-J255,"")))</f>
        <v/>
      </c>
      <c r="O255" s="9"/>
    </row>
    <row r="256" customFormat="false" ht="15" hidden="false" customHeight="false" outlineLevel="0" collapsed="false">
      <c r="A256" s="9"/>
      <c r="B256" s="9"/>
      <c r="C256" s="16" t="str">
        <f aca="false">IF(B256="","",IFERROR(INDEX(LOOKAHEAD!$B$5:$B$604,MATCH(B256,LOOKAHEAD!$A$5:$A$604,0)),"ID no existe"))</f>
        <v/>
      </c>
      <c r="D256" s="33" t="str">
        <f aca="false">IF(B256="","",IFERROR(INDEX(LOOKAHEAD!$I$5:$I$604,MATCH(B256,LOOKAHEAD!$A$5:$A$604,0)),""))</f>
        <v/>
      </c>
      <c r="E256" s="9"/>
      <c r="F256" s="9"/>
      <c r="G256" s="9"/>
      <c r="H256" s="43"/>
      <c r="I256" s="33" t="str">
        <f aca="false">IF(OR(D256="",D256=0),"",D256-$D$2)</f>
        <v/>
      </c>
      <c r="J256" s="43"/>
      <c r="K256" s="43"/>
      <c r="L256" s="18" t="str">
        <f aca="false">IF(B256="","",IF(K256&lt;&gt;"","Liberado","Pendiente"))</f>
        <v/>
      </c>
      <c r="M256" s="16" t="str">
        <f aca="true">IF(B256="","",IF(L256="Liberado",IF(OR(I256="",K256&lt;=I256),"A tiempo","Liberada tarde"),IF(J256="","Sin compromiso",IF(TODAY()&gt;J256,"VENCIDA",IF(AND(I256&lt;&gt;"",J256&gt;I256),"En riesgo","En gestión")))))</f>
        <v/>
      </c>
      <c r="N256" s="32" t="str">
        <f aca="false">IF(OR(B256="",I256=""),"",IF(K256&lt;&gt;"",I256-K256,IF(J256&lt;&gt;"",I256-J256,"")))</f>
        <v/>
      </c>
      <c r="O256" s="9"/>
    </row>
    <row r="257" customFormat="false" ht="15" hidden="false" customHeight="false" outlineLevel="0" collapsed="false">
      <c r="A257" s="9"/>
      <c r="B257" s="9"/>
      <c r="C257" s="16" t="str">
        <f aca="false">IF(B257="","",IFERROR(INDEX(LOOKAHEAD!$B$5:$B$604,MATCH(B257,LOOKAHEAD!$A$5:$A$604,0)),"ID no existe"))</f>
        <v/>
      </c>
      <c r="D257" s="33" t="str">
        <f aca="false">IF(B257="","",IFERROR(INDEX(LOOKAHEAD!$I$5:$I$604,MATCH(B257,LOOKAHEAD!$A$5:$A$604,0)),""))</f>
        <v/>
      </c>
      <c r="E257" s="9"/>
      <c r="F257" s="9"/>
      <c r="G257" s="9"/>
      <c r="H257" s="43"/>
      <c r="I257" s="33" t="str">
        <f aca="false">IF(OR(D257="",D257=0),"",D257-$D$2)</f>
        <v/>
      </c>
      <c r="J257" s="43"/>
      <c r="K257" s="43"/>
      <c r="L257" s="18" t="str">
        <f aca="false">IF(B257="","",IF(K257&lt;&gt;"","Liberado","Pendiente"))</f>
        <v/>
      </c>
      <c r="M257" s="16" t="str">
        <f aca="true">IF(B257="","",IF(L257="Liberado",IF(OR(I257="",K257&lt;=I257),"A tiempo","Liberada tarde"),IF(J257="","Sin compromiso",IF(TODAY()&gt;J257,"VENCIDA",IF(AND(I257&lt;&gt;"",J257&gt;I257),"En riesgo","En gestión")))))</f>
        <v/>
      </c>
      <c r="N257" s="32" t="str">
        <f aca="false">IF(OR(B257="",I257=""),"",IF(K257&lt;&gt;"",I257-K257,IF(J257&lt;&gt;"",I257-J257,"")))</f>
        <v/>
      </c>
      <c r="O257" s="9"/>
    </row>
    <row r="258" customFormat="false" ht="15" hidden="false" customHeight="false" outlineLevel="0" collapsed="false">
      <c r="A258" s="9"/>
      <c r="B258" s="9"/>
      <c r="C258" s="16" t="str">
        <f aca="false">IF(B258="","",IFERROR(INDEX(LOOKAHEAD!$B$5:$B$604,MATCH(B258,LOOKAHEAD!$A$5:$A$604,0)),"ID no existe"))</f>
        <v/>
      </c>
      <c r="D258" s="33" t="str">
        <f aca="false">IF(B258="","",IFERROR(INDEX(LOOKAHEAD!$I$5:$I$604,MATCH(B258,LOOKAHEAD!$A$5:$A$604,0)),""))</f>
        <v/>
      </c>
      <c r="E258" s="9"/>
      <c r="F258" s="9"/>
      <c r="G258" s="9"/>
      <c r="H258" s="43"/>
      <c r="I258" s="33" t="str">
        <f aca="false">IF(OR(D258="",D258=0),"",D258-$D$2)</f>
        <v/>
      </c>
      <c r="J258" s="43"/>
      <c r="K258" s="43"/>
      <c r="L258" s="18" t="str">
        <f aca="false">IF(B258="","",IF(K258&lt;&gt;"","Liberado","Pendiente"))</f>
        <v/>
      </c>
      <c r="M258" s="16" t="str">
        <f aca="true">IF(B258="","",IF(L258="Liberado",IF(OR(I258="",K258&lt;=I258),"A tiempo","Liberada tarde"),IF(J258="","Sin compromiso",IF(TODAY()&gt;J258,"VENCIDA",IF(AND(I258&lt;&gt;"",J258&gt;I258),"En riesgo","En gestión")))))</f>
        <v/>
      </c>
      <c r="N258" s="32" t="str">
        <f aca="false">IF(OR(B258="",I258=""),"",IF(K258&lt;&gt;"",I258-K258,IF(J258&lt;&gt;"",I258-J258,"")))</f>
        <v/>
      </c>
      <c r="O258" s="9"/>
    </row>
    <row r="259" customFormat="false" ht="15" hidden="false" customHeight="false" outlineLevel="0" collapsed="false">
      <c r="A259" s="9"/>
      <c r="B259" s="9"/>
      <c r="C259" s="16" t="str">
        <f aca="false">IF(B259="","",IFERROR(INDEX(LOOKAHEAD!$B$5:$B$604,MATCH(B259,LOOKAHEAD!$A$5:$A$604,0)),"ID no existe"))</f>
        <v/>
      </c>
      <c r="D259" s="33" t="str">
        <f aca="false">IF(B259="","",IFERROR(INDEX(LOOKAHEAD!$I$5:$I$604,MATCH(B259,LOOKAHEAD!$A$5:$A$604,0)),""))</f>
        <v/>
      </c>
      <c r="E259" s="9"/>
      <c r="F259" s="9"/>
      <c r="G259" s="9"/>
      <c r="H259" s="43"/>
      <c r="I259" s="33" t="str">
        <f aca="false">IF(OR(D259="",D259=0),"",D259-$D$2)</f>
        <v/>
      </c>
      <c r="J259" s="43"/>
      <c r="K259" s="43"/>
      <c r="L259" s="18" t="str">
        <f aca="false">IF(B259="","",IF(K259&lt;&gt;"","Liberado","Pendiente"))</f>
        <v/>
      </c>
      <c r="M259" s="16" t="str">
        <f aca="true">IF(B259="","",IF(L259="Liberado",IF(OR(I259="",K259&lt;=I259),"A tiempo","Liberada tarde"),IF(J259="","Sin compromiso",IF(TODAY()&gt;J259,"VENCIDA",IF(AND(I259&lt;&gt;"",J259&gt;I259),"En riesgo","En gestión")))))</f>
        <v/>
      </c>
      <c r="N259" s="32" t="str">
        <f aca="false">IF(OR(B259="",I259=""),"",IF(K259&lt;&gt;"",I259-K259,IF(J259&lt;&gt;"",I259-J259,"")))</f>
        <v/>
      </c>
      <c r="O259" s="9"/>
    </row>
    <row r="260" customFormat="false" ht="15" hidden="false" customHeight="false" outlineLevel="0" collapsed="false">
      <c r="A260" s="9"/>
      <c r="B260" s="9"/>
      <c r="C260" s="16" t="str">
        <f aca="false">IF(B260="","",IFERROR(INDEX(LOOKAHEAD!$B$5:$B$604,MATCH(B260,LOOKAHEAD!$A$5:$A$604,0)),"ID no existe"))</f>
        <v/>
      </c>
      <c r="D260" s="33" t="str">
        <f aca="false">IF(B260="","",IFERROR(INDEX(LOOKAHEAD!$I$5:$I$604,MATCH(B260,LOOKAHEAD!$A$5:$A$604,0)),""))</f>
        <v/>
      </c>
      <c r="E260" s="9"/>
      <c r="F260" s="9"/>
      <c r="G260" s="9"/>
      <c r="H260" s="43"/>
      <c r="I260" s="33" t="str">
        <f aca="false">IF(OR(D260="",D260=0),"",D260-$D$2)</f>
        <v/>
      </c>
      <c r="J260" s="43"/>
      <c r="K260" s="43"/>
      <c r="L260" s="18" t="str">
        <f aca="false">IF(B260="","",IF(K260&lt;&gt;"","Liberado","Pendiente"))</f>
        <v/>
      </c>
      <c r="M260" s="16" t="str">
        <f aca="true">IF(B260="","",IF(L260="Liberado",IF(OR(I260="",K260&lt;=I260),"A tiempo","Liberada tarde"),IF(J260="","Sin compromiso",IF(TODAY()&gt;J260,"VENCIDA",IF(AND(I260&lt;&gt;"",J260&gt;I260),"En riesgo","En gestión")))))</f>
        <v/>
      </c>
      <c r="N260" s="32" t="str">
        <f aca="false">IF(OR(B260="",I260=""),"",IF(K260&lt;&gt;"",I260-K260,IF(J260&lt;&gt;"",I260-J260,"")))</f>
        <v/>
      </c>
      <c r="O260" s="9"/>
    </row>
    <row r="261" customFormat="false" ht="15" hidden="false" customHeight="false" outlineLevel="0" collapsed="false">
      <c r="A261" s="9"/>
      <c r="B261" s="9"/>
      <c r="C261" s="16" t="str">
        <f aca="false">IF(B261="","",IFERROR(INDEX(LOOKAHEAD!$B$5:$B$604,MATCH(B261,LOOKAHEAD!$A$5:$A$604,0)),"ID no existe"))</f>
        <v/>
      </c>
      <c r="D261" s="33" t="str">
        <f aca="false">IF(B261="","",IFERROR(INDEX(LOOKAHEAD!$I$5:$I$604,MATCH(B261,LOOKAHEAD!$A$5:$A$604,0)),""))</f>
        <v/>
      </c>
      <c r="E261" s="9"/>
      <c r="F261" s="9"/>
      <c r="G261" s="9"/>
      <c r="H261" s="43"/>
      <c r="I261" s="33" t="str">
        <f aca="false">IF(OR(D261="",D261=0),"",D261-$D$2)</f>
        <v/>
      </c>
      <c r="J261" s="43"/>
      <c r="K261" s="43"/>
      <c r="L261" s="18" t="str">
        <f aca="false">IF(B261="","",IF(K261&lt;&gt;"","Liberado","Pendiente"))</f>
        <v/>
      </c>
      <c r="M261" s="16" t="str">
        <f aca="true">IF(B261="","",IF(L261="Liberado",IF(OR(I261="",K261&lt;=I261),"A tiempo","Liberada tarde"),IF(J261="","Sin compromiso",IF(TODAY()&gt;J261,"VENCIDA",IF(AND(I261&lt;&gt;"",J261&gt;I261),"En riesgo","En gestión")))))</f>
        <v/>
      </c>
      <c r="N261" s="32" t="str">
        <f aca="false">IF(OR(B261="",I261=""),"",IF(K261&lt;&gt;"",I261-K261,IF(J261&lt;&gt;"",I261-J261,"")))</f>
        <v/>
      </c>
      <c r="O261" s="9"/>
    </row>
    <row r="262" customFormat="false" ht="15" hidden="false" customHeight="false" outlineLevel="0" collapsed="false">
      <c r="A262" s="9"/>
      <c r="B262" s="9"/>
      <c r="C262" s="16" t="str">
        <f aca="false">IF(B262="","",IFERROR(INDEX(LOOKAHEAD!$B$5:$B$604,MATCH(B262,LOOKAHEAD!$A$5:$A$604,0)),"ID no existe"))</f>
        <v/>
      </c>
      <c r="D262" s="33" t="str">
        <f aca="false">IF(B262="","",IFERROR(INDEX(LOOKAHEAD!$I$5:$I$604,MATCH(B262,LOOKAHEAD!$A$5:$A$604,0)),""))</f>
        <v/>
      </c>
      <c r="E262" s="9"/>
      <c r="F262" s="9"/>
      <c r="G262" s="9"/>
      <c r="H262" s="43"/>
      <c r="I262" s="33" t="str">
        <f aca="false">IF(OR(D262="",D262=0),"",D262-$D$2)</f>
        <v/>
      </c>
      <c r="J262" s="43"/>
      <c r="K262" s="43"/>
      <c r="L262" s="18" t="str">
        <f aca="false">IF(B262="","",IF(K262&lt;&gt;"","Liberado","Pendiente"))</f>
        <v/>
      </c>
      <c r="M262" s="16" t="str">
        <f aca="true">IF(B262="","",IF(L262="Liberado",IF(OR(I262="",K262&lt;=I262),"A tiempo","Liberada tarde"),IF(J262="","Sin compromiso",IF(TODAY()&gt;J262,"VENCIDA",IF(AND(I262&lt;&gt;"",J262&gt;I262),"En riesgo","En gestión")))))</f>
        <v/>
      </c>
      <c r="N262" s="32" t="str">
        <f aca="false">IF(OR(B262="",I262=""),"",IF(K262&lt;&gt;"",I262-K262,IF(J262&lt;&gt;"",I262-J262,"")))</f>
        <v/>
      </c>
      <c r="O262" s="9"/>
    </row>
    <row r="263" customFormat="false" ht="15" hidden="false" customHeight="false" outlineLevel="0" collapsed="false">
      <c r="A263" s="9"/>
      <c r="B263" s="9"/>
      <c r="C263" s="16" t="str">
        <f aca="false">IF(B263="","",IFERROR(INDEX(LOOKAHEAD!$B$5:$B$604,MATCH(B263,LOOKAHEAD!$A$5:$A$604,0)),"ID no existe"))</f>
        <v/>
      </c>
      <c r="D263" s="33" t="str">
        <f aca="false">IF(B263="","",IFERROR(INDEX(LOOKAHEAD!$I$5:$I$604,MATCH(B263,LOOKAHEAD!$A$5:$A$604,0)),""))</f>
        <v/>
      </c>
      <c r="E263" s="9"/>
      <c r="F263" s="9"/>
      <c r="G263" s="9"/>
      <c r="H263" s="43"/>
      <c r="I263" s="33" t="str">
        <f aca="false">IF(OR(D263="",D263=0),"",D263-$D$2)</f>
        <v/>
      </c>
      <c r="J263" s="43"/>
      <c r="K263" s="43"/>
      <c r="L263" s="18" t="str">
        <f aca="false">IF(B263="","",IF(K263&lt;&gt;"","Liberado","Pendiente"))</f>
        <v/>
      </c>
      <c r="M263" s="16" t="str">
        <f aca="true">IF(B263="","",IF(L263="Liberado",IF(OR(I263="",K263&lt;=I263),"A tiempo","Liberada tarde"),IF(J263="","Sin compromiso",IF(TODAY()&gt;J263,"VENCIDA",IF(AND(I263&lt;&gt;"",J263&gt;I263),"En riesgo","En gestión")))))</f>
        <v/>
      </c>
      <c r="N263" s="32" t="str">
        <f aca="false">IF(OR(B263="",I263=""),"",IF(K263&lt;&gt;"",I263-K263,IF(J263&lt;&gt;"",I263-J263,"")))</f>
        <v/>
      </c>
      <c r="O263" s="9"/>
    </row>
    <row r="264" customFormat="false" ht="15" hidden="false" customHeight="false" outlineLevel="0" collapsed="false">
      <c r="A264" s="9"/>
      <c r="B264" s="9"/>
      <c r="C264" s="16" t="str">
        <f aca="false">IF(B264="","",IFERROR(INDEX(LOOKAHEAD!$B$5:$B$604,MATCH(B264,LOOKAHEAD!$A$5:$A$604,0)),"ID no existe"))</f>
        <v/>
      </c>
      <c r="D264" s="33" t="str">
        <f aca="false">IF(B264="","",IFERROR(INDEX(LOOKAHEAD!$I$5:$I$604,MATCH(B264,LOOKAHEAD!$A$5:$A$604,0)),""))</f>
        <v/>
      </c>
      <c r="E264" s="9"/>
      <c r="F264" s="9"/>
      <c r="G264" s="9"/>
      <c r="H264" s="43"/>
      <c r="I264" s="33" t="str">
        <f aca="false">IF(OR(D264="",D264=0),"",D264-$D$2)</f>
        <v/>
      </c>
      <c r="J264" s="43"/>
      <c r="K264" s="43"/>
      <c r="L264" s="18" t="str">
        <f aca="false">IF(B264="","",IF(K264&lt;&gt;"","Liberado","Pendiente"))</f>
        <v/>
      </c>
      <c r="M264" s="16" t="str">
        <f aca="true">IF(B264="","",IF(L264="Liberado",IF(OR(I264="",K264&lt;=I264),"A tiempo","Liberada tarde"),IF(J264="","Sin compromiso",IF(TODAY()&gt;J264,"VENCIDA",IF(AND(I264&lt;&gt;"",J264&gt;I264),"En riesgo","En gestión")))))</f>
        <v/>
      </c>
      <c r="N264" s="32" t="str">
        <f aca="false">IF(OR(B264="",I264=""),"",IF(K264&lt;&gt;"",I264-K264,IF(J264&lt;&gt;"",I264-J264,"")))</f>
        <v/>
      </c>
      <c r="O264" s="9"/>
    </row>
    <row r="265" customFormat="false" ht="15" hidden="false" customHeight="false" outlineLevel="0" collapsed="false">
      <c r="A265" s="9"/>
      <c r="B265" s="9"/>
      <c r="C265" s="16" t="str">
        <f aca="false">IF(B265="","",IFERROR(INDEX(LOOKAHEAD!$B$5:$B$604,MATCH(B265,LOOKAHEAD!$A$5:$A$604,0)),"ID no existe"))</f>
        <v/>
      </c>
      <c r="D265" s="33" t="str">
        <f aca="false">IF(B265="","",IFERROR(INDEX(LOOKAHEAD!$I$5:$I$604,MATCH(B265,LOOKAHEAD!$A$5:$A$604,0)),""))</f>
        <v/>
      </c>
      <c r="E265" s="9"/>
      <c r="F265" s="9"/>
      <c r="G265" s="9"/>
      <c r="H265" s="43"/>
      <c r="I265" s="33" t="str">
        <f aca="false">IF(OR(D265="",D265=0),"",D265-$D$2)</f>
        <v/>
      </c>
      <c r="J265" s="43"/>
      <c r="K265" s="43"/>
      <c r="L265" s="18" t="str">
        <f aca="false">IF(B265="","",IF(K265&lt;&gt;"","Liberado","Pendiente"))</f>
        <v/>
      </c>
      <c r="M265" s="16" t="str">
        <f aca="true">IF(B265="","",IF(L265="Liberado",IF(OR(I265="",K265&lt;=I265),"A tiempo","Liberada tarde"),IF(J265="","Sin compromiso",IF(TODAY()&gt;J265,"VENCIDA",IF(AND(I265&lt;&gt;"",J265&gt;I265),"En riesgo","En gestión")))))</f>
        <v/>
      </c>
      <c r="N265" s="32" t="str">
        <f aca="false">IF(OR(B265="",I265=""),"",IF(K265&lt;&gt;"",I265-K265,IF(J265&lt;&gt;"",I265-J265,"")))</f>
        <v/>
      </c>
      <c r="O265" s="9"/>
    </row>
    <row r="266" customFormat="false" ht="15" hidden="false" customHeight="false" outlineLevel="0" collapsed="false">
      <c r="A266" s="9"/>
      <c r="B266" s="9"/>
      <c r="C266" s="16" t="str">
        <f aca="false">IF(B266="","",IFERROR(INDEX(LOOKAHEAD!$B$5:$B$604,MATCH(B266,LOOKAHEAD!$A$5:$A$604,0)),"ID no existe"))</f>
        <v/>
      </c>
      <c r="D266" s="33" t="str">
        <f aca="false">IF(B266="","",IFERROR(INDEX(LOOKAHEAD!$I$5:$I$604,MATCH(B266,LOOKAHEAD!$A$5:$A$604,0)),""))</f>
        <v/>
      </c>
      <c r="E266" s="9"/>
      <c r="F266" s="9"/>
      <c r="G266" s="9"/>
      <c r="H266" s="43"/>
      <c r="I266" s="33" t="str">
        <f aca="false">IF(OR(D266="",D266=0),"",D266-$D$2)</f>
        <v/>
      </c>
      <c r="J266" s="43"/>
      <c r="K266" s="43"/>
      <c r="L266" s="18" t="str">
        <f aca="false">IF(B266="","",IF(K266&lt;&gt;"","Liberado","Pendiente"))</f>
        <v/>
      </c>
      <c r="M266" s="16" t="str">
        <f aca="true">IF(B266="","",IF(L266="Liberado",IF(OR(I266="",K266&lt;=I266),"A tiempo","Liberada tarde"),IF(J266="","Sin compromiso",IF(TODAY()&gt;J266,"VENCIDA",IF(AND(I266&lt;&gt;"",J266&gt;I266),"En riesgo","En gestión")))))</f>
        <v/>
      </c>
      <c r="N266" s="32" t="str">
        <f aca="false">IF(OR(B266="",I266=""),"",IF(K266&lt;&gt;"",I266-K266,IF(J266&lt;&gt;"",I266-J266,"")))</f>
        <v/>
      </c>
      <c r="O266" s="9"/>
    </row>
    <row r="267" customFormat="false" ht="15" hidden="false" customHeight="false" outlineLevel="0" collapsed="false">
      <c r="A267" s="9"/>
      <c r="B267" s="9"/>
      <c r="C267" s="16" t="str">
        <f aca="false">IF(B267="","",IFERROR(INDEX(LOOKAHEAD!$B$5:$B$604,MATCH(B267,LOOKAHEAD!$A$5:$A$604,0)),"ID no existe"))</f>
        <v/>
      </c>
      <c r="D267" s="33" t="str">
        <f aca="false">IF(B267="","",IFERROR(INDEX(LOOKAHEAD!$I$5:$I$604,MATCH(B267,LOOKAHEAD!$A$5:$A$604,0)),""))</f>
        <v/>
      </c>
      <c r="E267" s="9"/>
      <c r="F267" s="9"/>
      <c r="G267" s="9"/>
      <c r="H267" s="43"/>
      <c r="I267" s="33" t="str">
        <f aca="false">IF(OR(D267="",D267=0),"",D267-$D$2)</f>
        <v/>
      </c>
      <c r="J267" s="43"/>
      <c r="K267" s="43"/>
      <c r="L267" s="18" t="str">
        <f aca="false">IF(B267="","",IF(K267&lt;&gt;"","Liberado","Pendiente"))</f>
        <v/>
      </c>
      <c r="M267" s="16" t="str">
        <f aca="true">IF(B267="","",IF(L267="Liberado",IF(OR(I267="",K267&lt;=I267),"A tiempo","Liberada tarde"),IF(J267="","Sin compromiso",IF(TODAY()&gt;J267,"VENCIDA",IF(AND(I267&lt;&gt;"",J267&gt;I267),"En riesgo","En gestión")))))</f>
        <v/>
      </c>
      <c r="N267" s="32" t="str">
        <f aca="false">IF(OR(B267="",I267=""),"",IF(K267&lt;&gt;"",I267-K267,IF(J267&lt;&gt;"",I267-J267,"")))</f>
        <v/>
      </c>
      <c r="O267" s="9"/>
    </row>
    <row r="268" customFormat="false" ht="15" hidden="false" customHeight="false" outlineLevel="0" collapsed="false">
      <c r="A268" s="9"/>
      <c r="B268" s="9"/>
      <c r="C268" s="16" t="str">
        <f aca="false">IF(B268="","",IFERROR(INDEX(LOOKAHEAD!$B$5:$B$604,MATCH(B268,LOOKAHEAD!$A$5:$A$604,0)),"ID no existe"))</f>
        <v/>
      </c>
      <c r="D268" s="33" t="str">
        <f aca="false">IF(B268="","",IFERROR(INDEX(LOOKAHEAD!$I$5:$I$604,MATCH(B268,LOOKAHEAD!$A$5:$A$604,0)),""))</f>
        <v/>
      </c>
      <c r="E268" s="9"/>
      <c r="F268" s="9"/>
      <c r="G268" s="9"/>
      <c r="H268" s="43"/>
      <c r="I268" s="33" t="str">
        <f aca="false">IF(OR(D268="",D268=0),"",D268-$D$2)</f>
        <v/>
      </c>
      <c r="J268" s="43"/>
      <c r="K268" s="43"/>
      <c r="L268" s="18" t="str">
        <f aca="false">IF(B268="","",IF(K268&lt;&gt;"","Liberado","Pendiente"))</f>
        <v/>
      </c>
      <c r="M268" s="16" t="str">
        <f aca="true">IF(B268="","",IF(L268="Liberado",IF(OR(I268="",K268&lt;=I268),"A tiempo","Liberada tarde"),IF(J268="","Sin compromiso",IF(TODAY()&gt;J268,"VENCIDA",IF(AND(I268&lt;&gt;"",J268&gt;I268),"En riesgo","En gestión")))))</f>
        <v/>
      </c>
      <c r="N268" s="32" t="str">
        <f aca="false">IF(OR(B268="",I268=""),"",IF(K268&lt;&gt;"",I268-K268,IF(J268&lt;&gt;"",I268-J268,"")))</f>
        <v/>
      </c>
      <c r="O268" s="9"/>
    </row>
    <row r="269" customFormat="false" ht="15" hidden="false" customHeight="false" outlineLevel="0" collapsed="false">
      <c r="A269" s="9"/>
      <c r="B269" s="9"/>
      <c r="C269" s="16" t="str">
        <f aca="false">IF(B269="","",IFERROR(INDEX(LOOKAHEAD!$B$5:$B$604,MATCH(B269,LOOKAHEAD!$A$5:$A$604,0)),"ID no existe"))</f>
        <v/>
      </c>
      <c r="D269" s="33" t="str">
        <f aca="false">IF(B269="","",IFERROR(INDEX(LOOKAHEAD!$I$5:$I$604,MATCH(B269,LOOKAHEAD!$A$5:$A$604,0)),""))</f>
        <v/>
      </c>
      <c r="E269" s="9"/>
      <c r="F269" s="9"/>
      <c r="G269" s="9"/>
      <c r="H269" s="43"/>
      <c r="I269" s="33" t="str">
        <f aca="false">IF(OR(D269="",D269=0),"",D269-$D$2)</f>
        <v/>
      </c>
      <c r="J269" s="43"/>
      <c r="K269" s="43"/>
      <c r="L269" s="18" t="str">
        <f aca="false">IF(B269="","",IF(K269&lt;&gt;"","Liberado","Pendiente"))</f>
        <v/>
      </c>
      <c r="M269" s="16" t="str">
        <f aca="true">IF(B269="","",IF(L269="Liberado",IF(OR(I269="",K269&lt;=I269),"A tiempo","Liberada tarde"),IF(J269="","Sin compromiso",IF(TODAY()&gt;J269,"VENCIDA",IF(AND(I269&lt;&gt;"",J269&gt;I269),"En riesgo","En gestión")))))</f>
        <v/>
      </c>
      <c r="N269" s="32" t="str">
        <f aca="false">IF(OR(B269="",I269=""),"",IF(K269&lt;&gt;"",I269-K269,IF(J269&lt;&gt;"",I269-J269,"")))</f>
        <v/>
      </c>
      <c r="O269" s="9"/>
    </row>
    <row r="270" customFormat="false" ht="15" hidden="false" customHeight="false" outlineLevel="0" collapsed="false">
      <c r="A270" s="9"/>
      <c r="B270" s="9"/>
      <c r="C270" s="16" t="str">
        <f aca="false">IF(B270="","",IFERROR(INDEX(LOOKAHEAD!$B$5:$B$604,MATCH(B270,LOOKAHEAD!$A$5:$A$604,0)),"ID no existe"))</f>
        <v/>
      </c>
      <c r="D270" s="33" t="str">
        <f aca="false">IF(B270="","",IFERROR(INDEX(LOOKAHEAD!$I$5:$I$604,MATCH(B270,LOOKAHEAD!$A$5:$A$604,0)),""))</f>
        <v/>
      </c>
      <c r="E270" s="9"/>
      <c r="F270" s="9"/>
      <c r="G270" s="9"/>
      <c r="H270" s="43"/>
      <c r="I270" s="33" t="str">
        <f aca="false">IF(OR(D270="",D270=0),"",D270-$D$2)</f>
        <v/>
      </c>
      <c r="J270" s="43"/>
      <c r="K270" s="43"/>
      <c r="L270" s="18" t="str">
        <f aca="false">IF(B270="","",IF(K270&lt;&gt;"","Liberado","Pendiente"))</f>
        <v/>
      </c>
      <c r="M270" s="16" t="str">
        <f aca="true">IF(B270="","",IF(L270="Liberado",IF(OR(I270="",K270&lt;=I270),"A tiempo","Liberada tarde"),IF(J270="","Sin compromiso",IF(TODAY()&gt;J270,"VENCIDA",IF(AND(I270&lt;&gt;"",J270&gt;I270),"En riesgo","En gestión")))))</f>
        <v/>
      </c>
      <c r="N270" s="32" t="str">
        <f aca="false">IF(OR(B270="",I270=""),"",IF(K270&lt;&gt;"",I270-K270,IF(J270&lt;&gt;"",I270-J270,"")))</f>
        <v/>
      </c>
      <c r="O270" s="9"/>
    </row>
    <row r="271" customFormat="false" ht="15" hidden="false" customHeight="false" outlineLevel="0" collapsed="false">
      <c r="A271" s="9"/>
      <c r="B271" s="9"/>
      <c r="C271" s="16" t="str">
        <f aca="false">IF(B271="","",IFERROR(INDEX(LOOKAHEAD!$B$5:$B$604,MATCH(B271,LOOKAHEAD!$A$5:$A$604,0)),"ID no existe"))</f>
        <v/>
      </c>
      <c r="D271" s="33" t="str">
        <f aca="false">IF(B271="","",IFERROR(INDEX(LOOKAHEAD!$I$5:$I$604,MATCH(B271,LOOKAHEAD!$A$5:$A$604,0)),""))</f>
        <v/>
      </c>
      <c r="E271" s="9"/>
      <c r="F271" s="9"/>
      <c r="G271" s="9"/>
      <c r="H271" s="43"/>
      <c r="I271" s="33" t="str">
        <f aca="false">IF(OR(D271="",D271=0),"",D271-$D$2)</f>
        <v/>
      </c>
      <c r="J271" s="43"/>
      <c r="K271" s="43"/>
      <c r="L271" s="18" t="str">
        <f aca="false">IF(B271="","",IF(K271&lt;&gt;"","Liberado","Pendiente"))</f>
        <v/>
      </c>
      <c r="M271" s="16" t="str">
        <f aca="true">IF(B271="","",IF(L271="Liberado",IF(OR(I271="",K271&lt;=I271),"A tiempo","Liberada tarde"),IF(J271="","Sin compromiso",IF(TODAY()&gt;J271,"VENCIDA",IF(AND(I271&lt;&gt;"",J271&gt;I271),"En riesgo","En gestión")))))</f>
        <v/>
      </c>
      <c r="N271" s="32" t="str">
        <f aca="false">IF(OR(B271="",I271=""),"",IF(K271&lt;&gt;"",I271-K271,IF(J271&lt;&gt;"",I271-J271,"")))</f>
        <v/>
      </c>
      <c r="O271" s="9"/>
    </row>
    <row r="272" customFormat="false" ht="15" hidden="false" customHeight="false" outlineLevel="0" collapsed="false">
      <c r="A272" s="9"/>
      <c r="B272" s="9"/>
      <c r="C272" s="16" t="str">
        <f aca="false">IF(B272="","",IFERROR(INDEX(LOOKAHEAD!$B$5:$B$604,MATCH(B272,LOOKAHEAD!$A$5:$A$604,0)),"ID no existe"))</f>
        <v/>
      </c>
      <c r="D272" s="33" t="str">
        <f aca="false">IF(B272="","",IFERROR(INDEX(LOOKAHEAD!$I$5:$I$604,MATCH(B272,LOOKAHEAD!$A$5:$A$604,0)),""))</f>
        <v/>
      </c>
      <c r="E272" s="9"/>
      <c r="F272" s="9"/>
      <c r="G272" s="9"/>
      <c r="H272" s="43"/>
      <c r="I272" s="33" t="str">
        <f aca="false">IF(OR(D272="",D272=0),"",D272-$D$2)</f>
        <v/>
      </c>
      <c r="J272" s="43"/>
      <c r="K272" s="43"/>
      <c r="L272" s="18" t="str">
        <f aca="false">IF(B272="","",IF(K272&lt;&gt;"","Liberado","Pendiente"))</f>
        <v/>
      </c>
      <c r="M272" s="16" t="str">
        <f aca="true">IF(B272="","",IF(L272="Liberado",IF(OR(I272="",K272&lt;=I272),"A tiempo","Liberada tarde"),IF(J272="","Sin compromiso",IF(TODAY()&gt;J272,"VENCIDA",IF(AND(I272&lt;&gt;"",J272&gt;I272),"En riesgo","En gestión")))))</f>
        <v/>
      </c>
      <c r="N272" s="32" t="str">
        <f aca="false">IF(OR(B272="",I272=""),"",IF(K272&lt;&gt;"",I272-K272,IF(J272&lt;&gt;"",I272-J272,"")))</f>
        <v/>
      </c>
      <c r="O272" s="9"/>
    </row>
    <row r="273" customFormat="false" ht="15" hidden="false" customHeight="false" outlineLevel="0" collapsed="false">
      <c r="A273" s="9"/>
      <c r="B273" s="9"/>
      <c r="C273" s="16" t="str">
        <f aca="false">IF(B273="","",IFERROR(INDEX(LOOKAHEAD!$B$5:$B$604,MATCH(B273,LOOKAHEAD!$A$5:$A$604,0)),"ID no existe"))</f>
        <v/>
      </c>
      <c r="D273" s="33" t="str">
        <f aca="false">IF(B273="","",IFERROR(INDEX(LOOKAHEAD!$I$5:$I$604,MATCH(B273,LOOKAHEAD!$A$5:$A$604,0)),""))</f>
        <v/>
      </c>
      <c r="E273" s="9"/>
      <c r="F273" s="9"/>
      <c r="G273" s="9"/>
      <c r="H273" s="43"/>
      <c r="I273" s="33" t="str">
        <f aca="false">IF(OR(D273="",D273=0),"",D273-$D$2)</f>
        <v/>
      </c>
      <c r="J273" s="43"/>
      <c r="K273" s="43"/>
      <c r="L273" s="18" t="str">
        <f aca="false">IF(B273="","",IF(K273&lt;&gt;"","Liberado","Pendiente"))</f>
        <v/>
      </c>
      <c r="M273" s="16" t="str">
        <f aca="true">IF(B273="","",IF(L273="Liberado",IF(OR(I273="",K273&lt;=I273),"A tiempo","Liberada tarde"),IF(J273="","Sin compromiso",IF(TODAY()&gt;J273,"VENCIDA",IF(AND(I273&lt;&gt;"",J273&gt;I273),"En riesgo","En gestión")))))</f>
        <v/>
      </c>
      <c r="N273" s="32" t="str">
        <f aca="false">IF(OR(B273="",I273=""),"",IF(K273&lt;&gt;"",I273-K273,IF(J273&lt;&gt;"",I273-J273,"")))</f>
        <v/>
      </c>
      <c r="O273" s="9"/>
    </row>
    <row r="274" customFormat="false" ht="15" hidden="false" customHeight="false" outlineLevel="0" collapsed="false">
      <c r="A274" s="9"/>
      <c r="B274" s="9"/>
      <c r="C274" s="16" t="str">
        <f aca="false">IF(B274="","",IFERROR(INDEX(LOOKAHEAD!$B$5:$B$604,MATCH(B274,LOOKAHEAD!$A$5:$A$604,0)),"ID no existe"))</f>
        <v/>
      </c>
      <c r="D274" s="33" t="str">
        <f aca="false">IF(B274="","",IFERROR(INDEX(LOOKAHEAD!$I$5:$I$604,MATCH(B274,LOOKAHEAD!$A$5:$A$604,0)),""))</f>
        <v/>
      </c>
      <c r="E274" s="9"/>
      <c r="F274" s="9"/>
      <c r="G274" s="9"/>
      <c r="H274" s="43"/>
      <c r="I274" s="33" t="str">
        <f aca="false">IF(OR(D274="",D274=0),"",D274-$D$2)</f>
        <v/>
      </c>
      <c r="J274" s="43"/>
      <c r="K274" s="43"/>
      <c r="L274" s="18" t="str">
        <f aca="false">IF(B274="","",IF(K274&lt;&gt;"","Liberado","Pendiente"))</f>
        <v/>
      </c>
      <c r="M274" s="16" t="str">
        <f aca="true">IF(B274="","",IF(L274="Liberado",IF(OR(I274="",K274&lt;=I274),"A tiempo","Liberada tarde"),IF(J274="","Sin compromiso",IF(TODAY()&gt;J274,"VENCIDA",IF(AND(I274&lt;&gt;"",J274&gt;I274),"En riesgo","En gestión")))))</f>
        <v/>
      </c>
      <c r="N274" s="32" t="str">
        <f aca="false">IF(OR(B274="",I274=""),"",IF(K274&lt;&gt;"",I274-K274,IF(J274&lt;&gt;"",I274-J274,"")))</f>
        <v/>
      </c>
      <c r="O274" s="9"/>
    </row>
    <row r="275" customFormat="false" ht="15" hidden="false" customHeight="false" outlineLevel="0" collapsed="false">
      <c r="A275" s="9"/>
      <c r="B275" s="9"/>
      <c r="C275" s="16" t="str">
        <f aca="false">IF(B275="","",IFERROR(INDEX(LOOKAHEAD!$B$5:$B$604,MATCH(B275,LOOKAHEAD!$A$5:$A$604,0)),"ID no existe"))</f>
        <v/>
      </c>
      <c r="D275" s="33" t="str">
        <f aca="false">IF(B275="","",IFERROR(INDEX(LOOKAHEAD!$I$5:$I$604,MATCH(B275,LOOKAHEAD!$A$5:$A$604,0)),""))</f>
        <v/>
      </c>
      <c r="E275" s="9"/>
      <c r="F275" s="9"/>
      <c r="G275" s="9"/>
      <c r="H275" s="43"/>
      <c r="I275" s="33" t="str">
        <f aca="false">IF(OR(D275="",D275=0),"",D275-$D$2)</f>
        <v/>
      </c>
      <c r="J275" s="43"/>
      <c r="K275" s="43"/>
      <c r="L275" s="18" t="str">
        <f aca="false">IF(B275="","",IF(K275&lt;&gt;"","Liberado","Pendiente"))</f>
        <v/>
      </c>
      <c r="M275" s="16" t="str">
        <f aca="true">IF(B275="","",IF(L275="Liberado",IF(OR(I275="",K275&lt;=I275),"A tiempo","Liberada tarde"),IF(J275="","Sin compromiso",IF(TODAY()&gt;J275,"VENCIDA",IF(AND(I275&lt;&gt;"",J275&gt;I275),"En riesgo","En gestión")))))</f>
        <v/>
      </c>
      <c r="N275" s="32" t="str">
        <f aca="false">IF(OR(B275="",I275=""),"",IF(K275&lt;&gt;"",I275-K275,IF(J275&lt;&gt;"",I275-J275,"")))</f>
        <v/>
      </c>
      <c r="O275" s="9"/>
    </row>
    <row r="276" customFormat="false" ht="15" hidden="false" customHeight="false" outlineLevel="0" collapsed="false">
      <c r="A276" s="9"/>
      <c r="B276" s="9"/>
      <c r="C276" s="16" t="str">
        <f aca="false">IF(B276="","",IFERROR(INDEX(LOOKAHEAD!$B$5:$B$604,MATCH(B276,LOOKAHEAD!$A$5:$A$604,0)),"ID no existe"))</f>
        <v/>
      </c>
      <c r="D276" s="33" t="str">
        <f aca="false">IF(B276="","",IFERROR(INDEX(LOOKAHEAD!$I$5:$I$604,MATCH(B276,LOOKAHEAD!$A$5:$A$604,0)),""))</f>
        <v/>
      </c>
      <c r="E276" s="9"/>
      <c r="F276" s="9"/>
      <c r="G276" s="9"/>
      <c r="H276" s="43"/>
      <c r="I276" s="33" t="str">
        <f aca="false">IF(OR(D276="",D276=0),"",D276-$D$2)</f>
        <v/>
      </c>
      <c r="J276" s="43"/>
      <c r="K276" s="43"/>
      <c r="L276" s="18" t="str">
        <f aca="false">IF(B276="","",IF(K276&lt;&gt;"","Liberado","Pendiente"))</f>
        <v/>
      </c>
      <c r="M276" s="16" t="str">
        <f aca="true">IF(B276="","",IF(L276="Liberado",IF(OR(I276="",K276&lt;=I276),"A tiempo","Liberada tarde"),IF(J276="","Sin compromiso",IF(TODAY()&gt;J276,"VENCIDA",IF(AND(I276&lt;&gt;"",J276&gt;I276),"En riesgo","En gestión")))))</f>
        <v/>
      </c>
      <c r="N276" s="32" t="str">
        <f aca="false">IF(OR(B276="",I276=""),"",IF(K276&lt;&gt;"",I276-K276,IF(J276&lt;&gt;"",I276-J276,"")))</f>
        <v/>
      </c>
      <c r="O276" s="9"/>
    </row>
    <row r="277" customFormat="false" ht="15" hidden="false" customHeight="false" outlineLevel="0" collapsed="false">
      <c r="A277" s="9"/>
      <c r="B277" s="9"/>
      <c r="C277" s="16" t="str">
        <f aca="false">IF(B277="","",IFERROR(INDEX(LOOKAHEAD!$B$5:$B$604,MATCH(B277,LOOKAHEAD!$A$5:$A$604,0)),"ID no existe"))</f>
        <v/>
      </c>
      <c r="D277" s="33" t="str">
        <f aca="false">IF(B277="","",IFERROR(INDEX(LOOKAHEAD!$I$5:$I$604,MATCH(B277,LOOKAHEAD!$A$5:$A$604,0)),""))</f>
        <v/>
      </c>
      <c r="E277" s="9"/>
      <c r="F277" s="9"/>
      <c r="G277" s="9"/>
      <c r="H277" s="43"/>
      <c r="I277" s="33" t="str">
        <f aca="false">IF(OR(D277="",D277=0),"",D277-$D$2)</f>
        <v/>
      </c>
      <c r="J277" s="43"/>
      <c r="K277" s="43"/>
      <c r="L277" s="18" t="str">
        <f aca="false">IF(B277="","",IF(K277&lt;&gt;"","Liberado","Pendiente"))</f>
        <v/>
      </c>
      <c r="M277" s="16" t="str">
        <f aca="true">IF(B277="","",IF(L277="Liberado",IF(OR(I277="",K277&lt;=I277),"A tiempo","Liberada tarde"),IF(J277="","Sin compromiso",IF(TODAY()&gt;J277,"VENCIDA",IF(AND(I277&lt;&gt;"",J277&gt;I277),"En riesgo","En gestión")))))</f>
        <v/>
      </c>
      <c r="N277" s="32" t="str">
        <f aca="false">IF(OR(B277="",I277=""),"",IF(K277&lt;&gt;"",I277-K277,IF(J277&lt;&gt;"",I277-J277,"")))</f>
        <v/>
      </c>
      <c r="O277" s="9"/>
    </row>
    <row r="278" customFormat="false" ht="15" hidden="false" customHeight="false" outlineLevel="0" collapsed="false">
      <c r="A278" s="9"/>
      <c r="B278" s="9"/>
      <c r="C278" s="16" t="str">
        <f aca="false">IF(B278="","",IFERROR(INDEX(LOOKAHEAD!$B$5:$B$604,MATCH(B278,LOOKAHEAD!$A$5:$A$604,0)),"ID no existe"))</f>
        <v/>
      </c>
      <c r="D278" s="33" t="str">
        <f aca="false">IF(B278="","",IFERROR(INDEX(LOOKAHEAD!$I$5:$I$604,MATCH(B278,LOOKAHEAD!$A$5:$A$604,0)),""))</f>
        <v/>
      </c>
      <c r="E278" s="9"/>
      <c r="F278" s="9"/>
      <c r="G278" s="9"/>
      <c r="H278" s="43"/>
      <c r="I278" s="33" t="str">
        <f aca="false">IF(OR(D278="",D278=0),"",D278-$D$2)</f>
        <v/>
      </c>
      <c r="J278" s="43"/>
      <c r="K278" s="43"/>
      <c r="L278" s="18" t="str">
        <f aca="false">IF(B278="","",IF(K278&lt;&gt;"","Liberado","Pendiente"))</f>
        <v/>
      </c>
      <c r="M278" s="16" t="str">
        <f aca="true">IF(B278="","",IF(L278="Liberado",IF(OR(I278="",K278&lt;=I278),"A tiempo","Liberada tarde"),IF(J278="","Sin compromiso",IF(TODAY()&gt;J278,"VENCIDA",IF(AND(I278&lt;&gt;"",J278&gt;I278),"En riesgo","En gestión")))))</f>
        <v/>
      </c>
      <c r="N278" s="32" t="str">
        <f aca="false">IF(OR(B278="",I278=""),"",IF(K278&lt;&gt;"",I278-K278,IF(J278&lt;&gt;"",I278-J278,"")))</f>
        <v/>
      </c>
      <c r="O278" s="9"/>
    </row>
    <row r="279" customFormat="false" ht="15" hidden="false" customHeight="false" outlineLevel="0" collapsed="false">
      <c r="A279" s="9"/>
      <c r="B279" s="9"/>
      <c r="C279" s="16" t="str">
        <f aca="false">IF(B279="","",IFERROR(INDEX(LOOKAHEAD!$B$5:$B$604,MATCH(B279,LOOKAHEAD!$A$5:$A$604,0)),"ID no existe"))</f>
        <v/>
      </c>
      <c r="D279" s="33" t="str">
        <f aca="false">IF(B279="","",IFERROR(INDEX(LOOKAHEAD!$I$5:$I$604,MATCH(B279,LOOKAHEAD!$A$5:$A$604,0)),""))</f>
        <v/>
      </c>
      <c r="E279" s="9"/>
      <c r="F279" s="9"/>
      <c r="G279" s="9"/>
      <c r="H279" s="43"/>
      <c r="I279" s="33" t="str">
        <f aca="false">IF(OR(D279="",D279=0),"",D279-$D$2)</f>
        <v/>
      </c>
      <c r="J279" s="43"/>
      <c r="K279" s="43"/>
      <c r="L279" s="18" t="str">
        <f aca="false">IF(B279="","",IF(K279&lt;&gt;"","Liberado","Pendiente"))</f>
        <v/>
      </c>
      <c r="M279" s="16" t="str">
        <f aca="true">IF(B279="","",IF(L279="Liberado",IF(OR(I279="",K279&lt;=I279),"A tiempo","Liberada tarde"),IF(J279="","Sin compromiso",IF(TODAY()&gt;J279,"VENCIDA",IF(AND(I279&lt;&gt;"",J279&gt;I279),"En riesgo","En gestión")))))</f>
        <v/>
      </c>
      <c r="N279" s="32" t="str">
        <f aca="false">IF(OR(B279="",I279=""),"",IF(K279&lt;&gt;"",I279-K279,IF(J279&lt;&gt;"",I279-J279,"")))</f>
        <v/>
      </c>
      <c r="O279" s="9"/>
    </row>
    <row r="280" customFormat="false" ht="15" hidden="false" customHeight="false" outlineLevel="0" collapsed="false">
      <c r="A280" s="9"/>
      <c r="B280" s="9"/>
      <c r="C280" s="16" t="str">
        <f aca="false">IF(B280="","",IFERROR(INDEX(LOOKAHEAD!$B$5:$B$604,MATCH(B280,LOOKAHEAD!$A$5:$A$604,0)),"ID no existe"))</f>
        <v/>
      </c>
      <c r="D280" s="33" t="str">
        <f aca="false">IF(B280="","",IFERROR(INDEX(LOOKAHEAD!$I$5:$I$604,MATCH(B280,LOOKAHEAD!$A$5:$A$604,0)),""))</f>
        <v/>
      </c>
      <c r="E280" s="9"/>
      <c r="F280" s="9"/>
      <c r="G280" s="9"/>
      <c r="H280" s="43"/>
      <c r="I280" s="33" t="str">
        <f aca="false">IF(OR(D280="",D280=0),"",D280-$D$2)</f>
        <v/>
      </c>
      <c r="J280" s="43"/>
      <c r="K280" s="43"/>
      <c r="L280" s="18" t="str">
        <f aca="false">IF(B280="","",IF(K280&lt;&gt;"","Liberado","Pendiente"))</f>
        <v/>
      </c>
      <c r="M280" s="16" t="str">
        <f aca="true">IF(B280="","",IF(L280="Liberado",IF(OR(I280="",K280&lt;=I280),"A tiempo","Liberada tarde"),IF(J280="","Sin compromiso",IF(TODAY()&gt;J280,"VENCIDA",IF(AND(I280&lt;&gt;"",J280&gt;I280),"En riesgo","En gestión")))))</f>
        <v/>
      </c>
      <c r="N280" s="32" t="str">
        <f aca="false">IF(OR(B280="",I280=""),"",IF(K280&lt;&gt;"",I280-K280,IF(J280&lt;&gt;"",I280-J280,"")))</f>
        <v/>
      </c>
      <c r="O280" s="9"/>
    </row>
    <row r="281" customFormat="false" ht="15" hidden="false" customHeight="false" outlineLevel="0" collapsed="false">
      <c r="A281" s="9"/>
      <c r="B281" s="9"/>
      <c r="C281" s="16" t="str">
        <f aca="false">IF(B281="","",IFERROR(INDEX(LOOKAHEAD!$B$5:$B$604,MATCH(B281,LOOKAHEAD!$A$5:$A$604,0)),"ID no existe"))</f>
        <v/>
      </c>
      <c r="D281" s="33" t="str">
        <f aca="false">IF(B281="","",IFERROR(INDEX(LOOKAHEAD!$I$5:$I$604,MATCH(B281,LOOKAHEAD!$A$5:$A$604,0)),""))</f>
        <v/>
      </c>
      <c r="E281" s="9"/>
      <c r="F281" s="9"/>
      <c r="G281" s="9"/>
      <c r="H281" s="43"/>
      <c r="I281" s="33" t="str">
        <f aca="false">IF(OR(D281="",D281=0),"",D281-$D$2)</f>
        <v/>
      </c>
      <c r="J281" s="43"/>
      <c r="K281" s="43"/>
      <c r="L281" s="18" t="str">
        <f aca="false">IF(B281="","",IF(K281&lt;&gt;"","Liberado","Pendiente"))</f>
        <v/>
      </c>
      <c r="M281" s="16" t="str">
        <f aca="true">IF(B281="","",IF(L281="Liberado",IF(OR(I281="",K281&lt;=I281),"A tiempo","Liberada tarde"),IF(J281="","Sin compromiso",IF(TODAY()&gt;J281,"VENCIDA",IF(AND(I281&lt;&gt;"",J281&gt;I281),"En riesgo","En gestión")))))</f>
        <v/>
      </c>
      <c r="N281" s="32" t="str">
        <f aca="false">IF(OR(B281="",I281=""),"",IF(K281&lt;&gt;"",I281-K281,IF(J281&lt;&gt;"",I281-J281,"")))</f>
        <v/>
      </c>
      <c r="O281" s="9"/>
    </row>
    <row r="282" customFormat="false" ht="15" hidden="false" customHeight="false" outlineLevel="0" collapsed="false">
      <c r="A282" s="9"/>
      <c r="B282" s="9"/>
      <c r="C282" s="16" t="str">
        <f aca="false">IF(B282="","",IFERROR(INDEX(LOOKAHEAD!$B$5:$B$604,MATCH(B282,LOOKAHEAD!$A$5:$A$604,0)),"ID no existe"))</f>
        <v/>
      </c>
      <c r="D282" s="33" t="str">
        <f aca="false">IF(B282="","",IFERROR(INDEX(LOOKAHEAD!$I$5:$I$604,MATCH(B282,LOOKAHEAD!$A$5:$A$604,0)),""))</f>
        <v/>
      </c>
      <c r="E282" s="9"/>
      <c r="F282" s="9"/>
      <c r="G282" s="9"/>
      <c r="H282" s="43"/>
      <c r="I282" s="33" t="str">
        <f aca="false">IF(OR(D282="",D282=0),"",D282-$D$2)</f>
        <v/>
      </c>
      <c r="J282" s="43"/>
      <c r="K282" s="43"/>
      <c r="L282" s="18" t="str">
        <f aca="false">IF(B282="","",IF(K282&lt;&gt;"","Liberado","Pendiente"))</f>
        <v/>
      </c>
      <c r="M282" s="16" t="str">
        <f aca="true">IF(B282="","",IF(L282="Liberado",IF(OR(I282="",K282&lt;=I282),"A tiempo","Liberada tarde"),IF(J282="","Sin compromiso",IF(TODAY()&gt;J282,"VENCIDA",IF(AND(I282&lt;&gt;"",J282&gt;I282),"En riesgo","En gestión")))))</f>
        <v/>
      </c>
      <c r="N282" s="32" t="str">
        <f aca="false">IF(OR(B282="",I282=""),"",IF(K282&lt;&gt;"",I282-K282,IF(J282&lt;&gt;"",I282-J282,"")))</f>
        <v/>
      </c>
      <c r="O282" s="9"/>
    </row>
    <row r="283" customFormat="false" ht="15" hidden="false" customHeight="false" outlineLevel="0" collapsed="false">
      <c r="A283" s="9"/>
      <c r="B283" s="9"/>
      <c r="C283" s="16" t="str">
        <f aca="false">IF(B283="","",IFERROR(INDEX(LOOKAHEAD!$B$5:$B$604,MATCH(B283,LOOKAHEAD!$A$5:$A$604,0)),"ID no existe"))</f>
        <v/>
      </c>
      <c r="D283" s="33" t="str">
        <f aca="false">IF(B283="","",IFERROR(INDEX(LOOKAHEAD!$I$5:$I$604,MATCH(B283,LOOKAHEAD!$A$5:$A$604,0)),""))</f>
        <v/>
      </c>
      <c r="E283" s="9"/>
      <c r="F283" s="9"/>
      <c r="G283" s="9"/>
      <c r="H283" s="43"/>
      <c r="I283" s="33" t="str">
        <f aca="false">IF(OR(D283="",D283=0),"",D283-$D$2)</f>
        <v/>
      </c>
      <c r="J283" s="43"/>
      <c r="K283" s="43"/>
      <c r="L283" s="18" t="str">
        <f aca="false">IF(B283="","",IF(K283&lt;&gt;"","Liberado","Pendiente"))</f>
        <v/>
      </c>
      <c r="M283" s="16" t="str">
        <f aca="true">IF(B283="","",IF(L283="Liberado",IF(OR(I283="",K283&lt;=I283),"A tiempo","Liberada tarde"),IF(J283="","Sin compromiso",IF(TODAY()&gt;J283,"VENCIDA",IF(AND(I283&lt;&gt;"",J283&gt;I283),"En riesgo","En gestión")))))</f>
        <v/>
      </c>
      <c r="N283" s="32" t="str">
        <f aca="false">IF(OR(B283="",I283=""),"",IF(K283&lt;&gt;"",I283-K283,IF(J283&lt;&gt;"",I283-J283,"")))</f>
        <v/>
      </c>
      <c r="O283" s="9"/>
    </row>
    <row r="284" customFormat="false" ht="15" hidden="false" customHeight="false" outlineLevel="0" collapsed="false">
      <c r="A284" s="9"/>
      <c r="B284" s="9"/>
      <c r="C284" s="16" t="str">
        <f aca="false">IF(B284="","",IFERROR(INDEX(LOOKAHEAD!$B$5:$B$604,MATCH(B284,LOOKAHEAD!$A$5:$A$604,0)),"ID no existe"))</f>
        <v/>
      </c>
      <c r="D284" s="33" t="str">
        <f aca="false">IF(B284="","",IFERROR(INDEX(LOOKAHEAD!$I$5:$I$604,MATCH(B284,LOOKAHEAD!$A$5:$A$604,0)),""))</f>
        <v/>
      </c>
      <c r="E284" s="9"/>
      <c r="F284" s="9"/>
      <c r="G284" s="9"/>
      <c r="H284" s="43"/>
      <c r="I284" s="33" t="str">
        <f aca="false">IF(OR(D284="",D284=0),"",D284-$D$2)</f>
        <v/>
      </c>
      <c r="J284" s="43"/>
      <c r="K284" s="43"/>
      <c r="L284" s="18" t="str">
        <f aca="false">IF(B284="","",IF(K284&lt;&gt;"","Liberado","Pendiente"))</f>
        <v/>
      </c>
      <c r="M284" s="16" t="str">
        <f aca="true">IF(B284="","",IF(L284="Liberado",IF(OR(I284="",K284&lt;=I284),"A tiempo","Liberada tarde"),IF(J284="","Sin compromiso",IF(TODAY()&gt;J284,"VENCIDA",IF(AND(I284&lt;&gt;"",J284&gt;I284),"En riesgo","En gestión")))))</f>
        <v/>
      </c>
      <c r="N284" s="32" t="str">
        <f aca="false">IF(OR(B284="",I284=""),"",IF(K284&lt;&gt;"",I284-K284,IF(J284&lt;&gt;"",I284-J284,"")))</f>
        <v/>
      </c>
      <c r="O284" s="9"/>
    </row>
    <row r="285" customFormat="false" ht="15" hidden="false" customHeight="false" outlineLevel="0" collapsed="false">
      <c r="A285" s="9"/>
      <c r="B285" s="9"/>
      <c r="C285" s="16" t="str">
        <f aca="false">IF(B285="","",IFERROR(INDEX(LOOKAHEAD!$B$5:$B$604,MATCH(B285,LOOKAHEAD!$A$5:$A$604,0)),"ID no existe"))</f>
        <v/>
      </c>
      <c r="D285" s="33" t="str">
        <f aca="false">IF(B285="","",IFERROR(INDEX(LOOKAHEAD!$I$5:$I$604,MATCH(B285,LOOKAHEAD!$A$5:$A$604,0)),""))</f>
        <v/>
      </c>
      <c r="E285" s="9"/>
      <c r="F285" s="9"/>
      <c r="G285" s="9"/>
      <c r="H285" s="43"/>
      <c r="I285" s="33" t="str">
        <f aca="false">IF(OR(D285="",D285=0),"",D285-$D$2)</f>
        <v/>
      </c>
      <c r="J285" s="43"/>
      <c r="K285" s="43"/>
      <c r="L285" s="18" t="str">
        <f aca="false">IF(B285="","",IF(K285&lt;&gt;"","Liberado","Pendiente"))</f>
        <v/>
      </c>
      <c r="M285" s="16" t="str">
        <f aca="true">IF(B285="","",IF(L285="Liberado",IF(OR(I285="",K285&lt;=I285),"A tiempo","Liberada tarde"),IF(J285="","Sin compromiso",IF(TODAY()&gt;J285,"VENCIDA",IF(AND(I285&lt;&gt;"",J285&gt;I285),"En riesgo","En gestión")))))</f>
        <v/>
      </c>
      <c r="N285" s="32" t="str">
        <f aca="false">IF(OR(B285="",I285=""),"",IF(K285&lt;&gt;"",I285-K285,IF(J285&lt;&gt;"",I285-J285,"")))</f>
        <v/>
      </c>
      <c r="O285" s="9"/>
    </row>
    <row r="286" customFormat="false" ht="15" hidden="false" customHeight="false" outlineLevel="0" collapsed="false">
      <c r="A286" s="9"/>
      <c r="B286" s="9"/>
      <c r="C286" s="16" t="str">
        <f aca="false">IF(B286="","",IFERROR(INDEX(LOOKAHEAD!$B$5:$B$604,MATCH(B286,LOOKAHEAD!$A$5:$A$604,0)),"ID no existe"))</f>
        <v/>
      </c>
      <c r="D286" s="33" t="str">
        <f aca="false">IF(B286="","",IFERROR(INDEX(LOOKAHEAD!$I$5:$I$604,MATCH(B286,LOOKAHEAD!$A$5:$A$604,0)),""))</f>
        <v/>
      </c>
      <c r="E286" s="9"/>
      <c r="F286" s="9"/>
      <c r="G286" s="9"/>
      <c r="H286" s="43"/>
      <c r="I286" s="33" t="str">
        <f aca="false">IF(OR(D286="",D286=0),"",D286-$D$2)</f>
        <v/>
      </c>
      <c r="J286" s="43"/>
      <c r="K286" s="43"/>
      <c r="L286" s="18" t="str">
        <f aca="false">IF(B286="","",IF(K286&lt;&gt;"","Liberado","Pendiente"))</f>
        <v/>
      </c>
      <c r="M286" s="16" t="str">
        <f aca="true">IF(B286="","",IF(L286="Liberado",IF(OR(I286="",K286&lt;=I286),"A tiempo","Liberada tarde"),IF(J286="","Sin compromiso",IF(TODAY()&gt;J286,"VENCIDA",IF(AND(I286&lt;&gt;"",J286&gt;I286),"En riesgo","En gestión")))))</f>
        <v/>
      </c>
      <c r="N286" s="32" t="str">
        <f aca="false">IF(OR(B286="",I286=""),"",IF(K286&lt;&gt;"",I286-K286,IF(J286&lt;&gt;"",I286-J286,"")))</f>
        <v/>
      </c>
      <c r="O286" s="9"/>
    </row>
    <row r="287" customFormat="false" ht="15" hidden="false" customHeight="false" outlineLevel="0" collapsed="false">
      <c r="A287" s="9"/>
      <c r="B287" s="9"/>
      <c r="C287" s="16" t="str">
        <f aca="false">IF(B287="","",IFERROR(INDEX(LOOKAHEAD!$B$5:$B$604,MATCH(B287,LOOKAHEAD!$A$5:$A$604,0)),"ID no existe"))</f>
        <v/>
      </c>
      <c r="D287" s="33" t="str">
        <f aca="false">IF(B287="","",IFERROR(INDEX(LOOKAHEAD!$I$5:$I$604,MATCH(B287,LOOKAHEAD!$A$5:$A$604,0)),""))</f>
        <v/>
      </c>
      <c r="E287" s="9"/>
      <c r="F287" s="9"/>
      <c r="G287" s="9"/>
      <c r="H287" s="43"/>
      <c r="I287" s="33" t="str">
        <f aca="false">IF(OR(D287="",D287=0),"",D287-$D$2)</f>
        <v/>
      </c>
      <c r="J287" s="43"/>
      <c r="K287" s="43"/>
      <c r="L287" s="18" t="str">
        <f aca="false">IF(B287="","",IF(K287&lt;&gt;"","Liberado","Pendiente"))</f>
        <v/>
      </c>
      <c r="M287" s="16" t="str">
        <f aca="true">IF(B287="","",IF(L287="Liberado",IF(OR(I287="",K287&lt;=I287),"A tiempo","Liberada tarde"),IF(J287="","Sin compromiso",IF(TODAY()&gt;J287,"VENCIDA",IF(AND(I287&lt;&gt;"",J287&gt;I287),"En riesgo","En gestión")))))</f>
        <v/>
      </c>
      <c r="N287" s="32" t="str">
        <f aca="false">IF(OR(B287="",I287=""),"",IF(K287&lt;&gt;"",I287-K287,IF(J287&lt;&gt;"",I287-J287,"")))</f>
        <v/>
      </c>
      <c r="O287" s="9"/>
    </row>
    <row r="288" customFormat="false" ht="15" hidden="false" customHeight="false" outlineLevel="0" collapsed="false">
      <c r="A288" s="9"/>
      <c r="B288" s="9"/>
      <c r="C288" s="16" t="str">
        <f aca="false">IF(B288="","",IFERROR(INDEX(LOOKAHEAD!$B$5:$B$604,MATCH(B288,LOOKAHEAD!$A$5:$A$604,0)),"ID no existe"))</f>
        <v/>
      </c>
      <c r="D288" s="33" t="str">
        <f aca="false">IF(B288="","",IFERROR(INDEX(LOOKAHEAD!$I$5:$I$604,MATCH(B288,LOOKAHEAD!$A$5:$A$604,0)),""))</f>
        <v/>
      </c>
      <c r="E288" s="9"/>
      <c r="F288" s="9"/>
      <c r="G288" s="9"/>
      <c r="H288" s="43"/>
      <c r="I288" s="33" t="str">
        <f aca="false">IF(OR(D288="",D288=0),"",D288-$D$2)</f>
        <v/>
      </c>
      <c r="J288" s="43"/>
      <c r="K288" s="43"/>
      <c r="L288" s="18" t="str">
        <f aca="false">IF(B288="","",IF(K288&lt;&gt;"","Liberado","Pendiente"))</f>
        <v/>
      </c>
      <c r="M288" s="16" t="str">
        <f aca="true">IF(B288="","",IF(L288="Liberado",IF(OR(I288="",K288&lt;=I288),"A tiempo","Liberada tarde"),IF(J288="","Sin compromiso",IF(TODAY()&gt;J288,"VENCIDA",IF(AND(I288&lt;&gt;"",J288&gt;I288),"En riesgo","En gestión")))))</f>
        <v/>
      </c>
      <c r="N288" s="32" t="str">
        <f aca="false">IF(OR(B288="",I288=""),"",IF(K288&lt;&gt;"",I288-K288,IF(J288&lt;&gt;"",I288-J288,"")))</f>
        <v/>
      </c>
      <c r="O288" s="9"/>
    </row>
    <row r="289" customFormat="false" ht="15" hidden="false" customHeight="false" outlineLevel="0" collapsed="false">
      <c r="A289" s="9"/>
      <c r="B289" s="9"/>
      <c r="C289" s="16" t="str">
        <f aca="false">IF(B289="","",IFERROR(INDEX(LOOKAHEAD!$B$5:$B$604,MATCH(B289,LOOKAHEAD!$A$5:$A$604,0)),"ID no existe"))</f>
        <v/>
      </c>
      <c r="D289" s="33" t="str">
        <f aca="false">IF(B289="","",IFERROR(INDEX(LOOKAHEAD!$I$5:$I$604,MATCH(B289,LOOKAHEAD!$A$5:$A$604,0)),""))</f>
        <v/>
      </c>
      <c r="E289" s="9"/>
      <c r="F289" s="9"/>
      <c r="G289" s="9"/>
      <c r="H289" s="43"/>
      <c r="I289" s="33" t="str">
        <f aca="false">IF(OR(D289="",D289=0),"",D289-$D$2)</f>
        <v/>
      </c>
      <c r="J289" s="43"/>
      <c r="K289" s="43"/>
      <c r="L289" s="18" t="str">
        <f aca="false">IF(B289="","",IF(K289&lt;&gt;"","Liberado","Pendiente"))</f>
        <v/>
      </c>
      <c r="M289" s="16" t="str">
        <f aca="true">IF(B289="","",IF(L289="Liberado",IF(OR(I289="",K289&lt;=I289),"A tiempo","Liberada tarde"),IF(J289="","Sin compromiso",IF(TODAY()&gt;J289,"VENCIDA",IF(AND(I289&lt;&gt;"",J289&gt;I289),"En riesgo","En gestión")))))</f>
        <v/>
      </c>
      <c r="N289" s="32" t="str">
        <f aca="false">IF(OR(B289="",I289=""),"",IF(K289&lt;&gt;"",I289-K289,IF(J289&lt;&gt;"",I289-J289,"")))</f>
        <v/>
      </c>
      <c r="O289" s="9"/>
    </row>
    <row r="290" customFormat="false" ht="15" hidden="false" customHeight="false" outlineLevel="0" collapsed="false">
      <c r="A290" s="9"/>
      <c r="B290" s="9"/>
      <c r="C290" s="16" t="str">
        <f aca="false">IF(B290="","",IFERROR(INDEX(LOOKAHEAD!$B$5:$B$604,MATCH(B290,LOOKAHEAD!$A$5:$A$604,0)),"ID no existe"))</f>
        <v/>
      </c>
      <c r="D290" s="33" t="str">
        <f aca="false">IF(B290="","",IFERROR(INDEX(LOOKAHEAD!$I$5:$I$604,MATCH(B290,LOOKAHEAD!$A$5:$A$604,0)),""))</f>
        <v/>
      </c>
      <c r="E290" s="9"/>
      <c r="F290" s="9"/>
      <c r="G290" s="9"/>
      <c r="H290" s="43"/>
      <c r="I290" s="33" t="str">
        <f aca="false">IF(OR(D290="",D290=0),"",D290-$D$2)</f>
        <v/>
      </c>
      <c r="J290" s="43"/>
      <c r="K290" s="43"/>
      <c r="L290" s="18" t="str">
        <f aca="false">IF(B290="","",IF(K290&lt;&gt;"","Liberado","Pendiente"))</f>
        <v/>
      </c>
      <c r="M290" s="16" t="str">
        <f aca="true">IF(B290="","",IF(L290="Liberado",IF(OR(I290="",K290&lt;=I290),"A tiempo","Liberada tarde"),IF(J290="","Sin compromiso",IF(TODAY()&gt;J290,"VENCIDA",IF(AND(I290&lt;&gt;"",J290&gt;I290),"En riesgo","En gestión")))))</f>
        <v/>
      </c>
      <c r="N290" s="32" t="str">
        <f aca="false">IF(OR(B290="",I290=""),"",IF(K290&lt;&gt;"",I290-K290,IF(J290&lt;&gt;"",I290-J290,"")))</f>
        <v/>
      </c>
      <c r="O290" s="9"/>
    </row>
    <row r="291" customFormat="false" ht="15" hidden="false" customHeight="false" outlineLevel="0" collapsed="false">
      <c r="A291" s="9"/>
      <c r="B291" s="9"/>
      <c r="C291" s="16" t="str">
        <f aca="false">IF(B291="","",IFERROR(INDEX(LOOKAHEAD!$B$5:$B$604,MATCH(B291,LOOKAHEAD!$A$5:$A$604,0)),"ID no existe"))</f>
        <v/>
      </c>
      <c r="D291" s="33" t="str">
        <f aca="false">IF(B291="","",IFERROR(INDEX(LOOKAHEAD!$I$5:$I$604,MATCH(B291,LOOKAHEAD!$A$5:$A$604,0)),""))</f>
        <v/>
      </c>
      <c r="E291" s="9"/>
      <c r="F291" s="9"/>
      <c r="G291" s="9"/>
      <c r="H291" s="43"/>
      <c r="I291" s="33" t="str">
        <f aca="false">IF(OR(D291="",D291=0),"",D291-$D$2)</f>
        <v/>
      </c>
      <c r="J291" s="43"/>
      <c r="K291" s="43"/>
      <c r="L291" s="18" t="str">
        <f aca="false">IF(B291="","",IF(K291&lt;&gt;"","Liberado","Pendiente"))</f>
        <v/>
      </c>
      <c r="M291" s="16" t="str">
        <f aca="true">IF(B291="","",IF(L291="Liberado",IF(OR(I291="",K291&lt;=I291),"A tiempo","Liberada tarde"),IF(J291="","Sin compromiso",IF(TODAY()&gt;J291,"VENCIDA",IF(AND(I291&lt;&gt;"",J291&gt;I291),"En riesgo","En gestión")))))</f>
        <v/>
      </c>
      <c r="N291" s="32" t="str">
        <f aca="false">IF(OR(B291="",I291=""),"",IF(K291&lt;&gt;"",I291-K291,IF(J291&lt;&gt;"",I291-J291,"")))</f>
        <v/>
      </c>
      <c r="O291" s="9"/>
    </row>
    <row r="292" customFormat="false" ht="15" hidden="false" customHeight="false" outlineLevel="0" collapsed="false">
      <c r="A292" s="9"/>
      <c r="B292" s="9"/>
      <c r="C292" s="16" t="str">
        <f aca="false">IF(B292="","",IFERROR(INDEX(LOOKAHEAD!$B$5:$B$604,MATCH(B292,LOOKAHEAD!$A$5:$A$604,0)),"ID no existe"))</f>
        <v/>
      </c>
      <c r="D292" s="33" t="str">
        <f aca="false">IF(B292="","",IFERROR(INDEX(LOOKAHEAD!$I$5:$I$604,MATCH(B292,LOOKAHEAD!$A$5:$A$604,0)),""))</f>
        <v/>
      </c>
      <c r="E292" s="9"/>
      <c r="F292" s="9"/>
      <c r="G292" s="9"/>
      <c r="H292" s="43"/>
      <c r="I292" s="33" t="str">
        <f aca="false">IF(OR(D292="",D292=0),"",D292-$D$2)</f>
        <v/>
      </c>
      <c r="J292" s="43"/>
      <c r="K292" s="43"/>
      <c r="L292" s="18" t="str">
        <f aca="false">IF(B292="","",IF(K292&lt;&gt;"","Liberado","Pendiente"))</f>
        <v/>
      </c>
      <c r="M292" s="16" t="str">
        <f aca="true">IF(B292="","",IF(L292="Liberado",IF(OR(I292="",K292&lt;=I292),"A tiempo","Liberada tarde"),IF(J292="","Sin compromiso",IF(TODAY()&gt;J292,"VENCIDA",IF(AND(I292&lt;&gt;"",J292&gt;I292),"En riesgo","En gestión")))))</f>
        <v/>
      </c>
      <c r="N292" s="32" t="str">
        <f aca="false">IF(OR(B292="",I292=""),"",IF(K292&lt;&gt;"",I292-K292,IF(J292&lt;&gt;"",I292-J292,"")))</f>
        <v/>
      </c>
      <c r="O292" s="9"/>
    </row>
    <row r="293" customFormat="false" ht="15" hidden="false" customHeight="false" outlineLevel="0" collapsed="false">
      <c r="A293" s="9"/>
      <c r="B293" s="9"/>
      <c r="C293" s="16" t="str">
        <f aca="false">IF(B293="","",IFERROR(INDEX(LOOKAHEAD!$B$5:$B$604,MATCH(B293,LOOKAHEAD!$A$5:$A$604,0)),"ID no existe"))</f>
        <v/>
      </c>
      <c r="D293" s="33" t="str">
        <f aca="false">IF(B293="","",IFERROR(INDEX(LOOKAHEAD!$I$5:$I$604,MATCH(B293,LOOKAHEAD!$A$5:$A$604,0)),""))</f>
        <v/>
      </c>
      <c r="E293" s="9"/>
      <c r="F293" s="9"/>
      <c r="G293" s="9"/>
      <c r="H293" s="43"/>
      <c r="I293" s="33" t="str">
        <f aca="false">IF(OR(D293="",D293=0),"",D293-$D$2)</f>
        <v/>
      </c>
      <c r="J293" s="43"/>
      <c r="K293" s="43"/>
      <c r="L293" s="18" t="str">
        <f aca="false">IF(B293="","",IF(K293&lt;&gt;"","Liberado","Pendiente"))</f>
        <v/>
      </c>
      <c r="M293" s="16" t="str">
        <f aca="true">IF(B293="","",IF(L293="Liberado",IF(OR(I293="",K293&lt;=I293),"A tiempo","Liberada tarde"),IF(J293="","Sin compromiso",IF(TODAY()&gt;J293,"VENCIDA",IF(AND(I293&lt;&gt;"",J293&gt;I293),"En riesgo","En gestión")))))</f>
        <v/>
      </c>
      <c r="N293" s="32" t="str">
        <f aca="false">IF(OR(B293="",I293=""),"",IF(K293&lt;&gt;"",I293-K293,IF(J293&lt;&gt;"",I293-J293,"")))</f>
        <v/>
      </c>
      <c r="O293" s="9"/>
    </row>
    <row r="294" customFormat="false" ht="15" hidden="false" customHeight="false" outlineLevel="0" collapsed="false">
      <c r="A294" s="9"/>
      <c r="B294" s="9"/>
      <c r="C294" s="16" t="str">
        <f aca="false">IF(B294="","",IFERROR(INDEX(LOOKAHEAD!$B$5:$B$604,MATCH(B294,LOOKAHEAD!$A$5:$A$604,0)),"ID no existe"))</f>
        <v/>
      </c>
      <c r="D294" s="33" t="str">
        <f aca="false">IF(B294="","",IFERROR(INDEX(LOOKAHEAD!$I$5:$I$604,MATCH(B294,LOOKAHEAD!$A$5:$A$604,0)),""))</f>
        <v/>
      </c>
      <c r="E294" s="9"/>
      <c r="F294" s="9"/>
      <c r="G294" s="9"/>
      <c r="H294" s="43"/>
      <c r="I294" s="33" t="str">
        <f aca="false">IF(OR(D294="",D294=0),"",D294-$D$2)</f>
        <v/>
      </c>
      <c r="J294" s="43"/>
      <c r="K294" s="43"/>
      <c r="L294" s="18" t="str">
        <f aca="false">IF(B294="","",IF(K294&lt;&gt;"","Liberado","Pendiente"))</f>
        <v/>
      </c>
      <c r="M294" s="16" t="str">
        <f aca="true">IF(B294="","",IF(L294="Liberado",IF(OR(I294="",K294&lt;=I294),"A tiempo","Liberada tarde"),IF(J294="","Sin compromiso",IF(TODAY()&gt;J294,"VENCIDA",IF(AND(I294&lt;&gt;"",J294&gt;I294),"En riesgo","En gestión")))))</f>
        <v/>
      </c>
      <c r="N294" s="32" t="str">
        <f aca="false">IF(OR(B294="",I294=""),"",IF(K294&lt;&gt;"",I294-K294,IF(J294&lt;&gt;"",I294-J294,"")))</f>
        <v/>
      </c>
      <c r="O294" s="9"/>
    </row>
    <row r="295" customFormat="false" ht="15" hidden="false" customHeight="false" outlineLevel="0" collapsed="false">
      <c r="A295" s="9"/>
      <c r="B295" s="9"/>
      <c r="C295" s="16" t="str">
        <f aca="false">IF(B295="","",IFERROR(INDEX(LOOKAHEAD!$B$5:$B$604,MATCH(B295,LOOKAHEAD!$A$5:$A$604,0)),"ID no existe"))</f>
        <v/>
      </c>
      <c r="D295" s="33" t="str">
        <f aca="false">IF(B295="","",IFERROR(INDEX(LOOKAHEAD!$I$5:$I$604,MATCH(B295,LOOKAHEAD!$A$5:$A$604,0)),""))</f>
        <v/>
      </c>
      <c r="E295" s="9"/>
      <c r="F295" s="9"/>
      <c r="G295" s="9"/>
      <c r="H295" s="43"/>
      <c r="I295" s="33" t="str">
        <f aca="false">IF(OR(D295="",D295=0),"",D295-$D$2)</f>
        <v/>
      </c>
      <c r="J295" s="43"/>
      <c r="K295" s="43"/>
      <c r="L295" s="18" t="str">
        <f aca="false">IF(B295="","",IF(K295&lt;&gt;"","Liberado","Pendiente"))</f>
        <v/>
      </c>
      <c r="M295" s="16" t="str">
        <f aca="true">IF(B295="","",IF(L295="Liberado",IF(OR(I295="",K295&lt;=I295),"A tiempo","Liberada tarde"),IF(J295="","Sin compromiso",IF(TODAY()&gt;J295,"VENCIDA",IF(AND(I295&lt;&gt;"",J295&gt;I295),"En riesgo","En gestión")))))</f>
        <v/>
      </c>
      <c r="N295" s="32" t="str">
        <f aca="false">IF(OR(B295="",I295=""),"",IF(K295&lt;&gt;"",I295-K295,IF(J295&lt;&gt;"",I295-J295,"")))</f>
        <v/>
      </c>
      <c r="O295" s="9"/>
    </row>
    <row r="296" customFormat="false" ht="15" hidden="false" customHeight="false" outlineLevel="0" collapsed="false">
      <c r="A296" s="9"/>
      <c r="B296" s="9"/>
      <c r="C296" s="16" t="str">
        <f aca="false">IF(B296="","",IFERROR(INDEX(LOOKAHEAD!$B$5:$B$604,MATCH(B296,LOOKAHEAD!$A$5:$A$604,0)),"ID no existe"))</f>
        <v/>
      </c>
      <c r="D296" s="33" t="str">
        <f aca="false">IF(B296="","",IFERROR(INDEX(LOOKAHEAD!$I$5:$I$604,MATCH(B296,LOOKAHEAD!$A$5:$A$604,0)),""))</f>
        <v/>
      </c>
      <c r="E296" s="9"/>
      <c r="F296" s="9"/>
      <c r="G296" s="9"/>
      <c r="H296" s="43"/>
      <c r="I296" s="33" t="str">
        <f aca="false">IF(OR(D296="",D296=0),"",D296-$D$2)</f>
        <v/>
      </c>
      <c r="J296" s="43"/>
      <c r="K296" s="43"/>
      <c r="L296" s="18" t="str">
        <f aca="false">IF(B296="","",IF(K296&lt;&gt;"","Liberado","Pendiente"))</f>
        <v/>
      </c>
      <c r="M296" s="16" t="str">
        <f aca="true">IF(B296="","",IF(L296="Liberado",IF(OR(I296="",K296&lt;=I296),"A tiempo","Liberada tarde"),IF(J296="","Sin compromiso",IF(TODAY()&gt;J296,"VENCIDA",IF(AND(I296&lt;&gt;"",J296&gt;I296),"En riesgo","En gestión")))))</f>
        <v/>
      </c>
      <c r="N296" s="32" t="str">
        <f aca="false">IF(OR(B296="",I296=""),"",IF(K296&lt;&gt;"",I296-K296,IF(J296&lt;&gt;"",I296-J296,"")))</f>
        <v/>
      </c>
      <c r="O296" s="9"/>
    </row>
    <row r="297" customFormat="false" ht="15" hidden="false" customHeight="false" outlineLevel="0" collapsed="false">
      <c r="A297" s="9"/>
      <c r="B297" s="9"/>
      <c r="C297" s="16" t="str">
        <f aca="false">IF(B297="","",IFERROR(INDEX(LOOKAHEAD!$B$5:$B$604,MATCH(B297,LOOKAHEAD!$A$5:$A$604,0)),"ID no existe"))</f>
        <v/>
      </c>
      <c r="D297" s="33" t="str">
        <f aca="false">IF(B297="","",IFERROR(INDEX(LOOKAHEAD!$I$5:$I$604,MATCH(B297,LOOKAHEAD!$A$5:$A$604,0)),""))</f>
        <v/>
      </c>
      <c r="E297" s="9"/>
      <c r="F297" s="9"/>
      <c r="G297" s="9"/>
      <c r="H297" s="43"/>
      <c r="I297" s="33" t="str">
        <f aca="false">IF(OR(D297="",D297=0),"",D297-$D$2)</f>
        <v/>
      </c>
      <c r="J297" s="43"/>
      <c r="K297" s="43"/>
      <c r="L297" s="18" t="str">
        <f aca="false">IF(B297="","",IF(K297&lt;&gt;"","Liberado","Pendiente"))</f>
        <v/>
      </c>
      <c r="M297" s="16" t="str">
        <f aca="true">IF(B297="","",IF(L297="Liberado",IF(OR(I297="",K297&lt;=I297),"A tiempo","Liberada tarde"),IF(J297="","Sin compromiso",IF(TODAY()&gt;J297,"VENCIDA",IF(AND(I297&lt;&gt;"",J297&gt;I297),"En riesgo","En gestión")))))</f>
        <v/>
      </c>
      <c r="N297" s="32" t="str">
        <f aca="false">IF(OR(B297="",I297=""),"",IF(K297&lt;&gt;"",I297-K297,IF(J297&lt;&gt;"",I297-J297,"")))</f>
        <v/>
      </c>
      <c r="O297" s="9"/>
    </row>
    <row r="298" customFormat="false" ht="15" hidden="false" customHeight="false" outlineLevel="0" collapsed="false">
      <c r="A298" s="9"/>
      <c r="B298" s="9"/>
      <c r="C298" s="16" t="str">
        <f aca="false">IF(B298="","",IFERROR(INDEX(LOOKAHEAD!$B$5:$B$604,MATCH(B298,LOOKAHEAD!$A$5:$A$604,0)),"ID no existe"))</f>
        <v/>
      </c>
      <c r="D298" s="33" t="str">
        <f aca="false">IF(B298="","",IFERROR(INDEX(LOOKAHEAD!$I$5:$I$604,MATCH(B298,LOOKAHEAD!$A$5:$A$604,0)),""))</f>
        <v/>
      </c>
      <c r="E298" s="9"/>
      <c r="F298" s="9"/>
      <c r="G298" s="9"/>
      <c r="H298" s="43"/>
      <c r="I298" s="33" t="str">
        <f aca="false">IF(OR(D298="",D298=0),"",D298-$D$2)</f>
        <v/>
      </c>
      <c r="J298" s="43"/>
      <c r="K298" s="43"/>
      <c r="L298" s="18" t="str">
        <f aca="false">IF(B298="","",IF(K298&lt;&gt;"","Liberado","Pendiente"))</f>
        <v/>
      </c>
      <c r="M298" s="16" t="str">
        <f aca="true">IF(B298="","",IF(L298="Liberado",IF(OR(I298="",K298&lt;=I298),"A tiempo","Liberada tarde"),IF(J298="","Sin compromiso",IF(TODAY()&gt;J298,"VENCIDA",IF(AND(I298&lt;&gt;"",J298&gt;I298),"En riesgo","En gestión")))))</f>
        <v/>
      </c>
      <c r="N298" s="32" t="str">
        <f aca="false">IF(OR(B298="",I298=""),"",IF(K298&lt;&gt;"",I298-K298,IF(J298&lt;&gt;"",I298-J298,"")))</f>
        <v/>
      </c>
      <c r="O298" s="9"/>
    </row>
    <row r="299" customFormat="false" ht="15" hidden="false" customHeight="false" outlineLevel="0" collapsed="false">
      <c r="A299" s="9"/>
      <c r="B299" s="9"/>
      <c r="C299" s="16" t="str">
        <f aca="false">IF(B299="","",IFERROR(INDEX(LOOKAHEAD!$B$5:$B$604,MATCH(B299,LOOKAHEAD!$A$5:$A$604,0)),"ID no existe"))</f>
        <v/>
      </c>
      <c r="D299" s="33" t="str">
        <f aca="false">IF(B299="","",IFERROR(INDEX(LOOKAHEAD!$I$5:$I$604,MATCH(B299,LOOKAHEAD!$A$5:$A$604,0)),""))</f>
        <v/>
      </c>
      <c r="E299" s="9"/>
      <c r="F299" s="9"/>
      <c r="G299" s="9"/>
      <c r="H299" s="43"/>
      <c r="I299" s="33" t="str">
        <f aca="false">IF(OR(D299="",D299=0),"",D299-$D$2)</f>
        <v/>
      </c>
      <c r="J299" s="43"/>
      <c r="K299" s="43"/>
      <c r="L299" s="18" t="str">
        <f aca="false">IF(B299="","",IF(K299&lt;&gt;"","Liberado","Pendiente"))</f>
        <v/>
      </c>
      <c r="M299" s="16" t="str">
        <f aca="true">IF(B299="","",IF(L299="Liberado",IF(OR(I299="",K299&lt;=I299),"A tiempo","Liberada tarde"),IF(J299="","Sin compromiso",IF(TODAY()&gt;J299,"VENCIDA",IF(AND(I299&lt;&gt;"",J299&gt;I299),"En riesgo","En gestión")))))</f>
        <v/>
      </c>
      <c r="N299" s="32" t="str">
        <f aca="false">IF(OR(B299="",I299=""),"",IF(K299&lt;&gt;"",I299-K299,IF(J299&lt;&gt;"",I299-J299,"")))</f>
        <v/>
      </c>
      <c r="O299" s="9"/>
    </row>
    <row r="300" customFormat="false" ht="15" hidden="false" customHeight="false" outlineLevel="0" collapsed="false">
      <c r="A300" s="9"/>
      <c r="B300" s="9"/>
      <c r="C300" s="16" t="str">
        <f aca="false">IF(B300="","",IFERROR(INDEX(LOOKAHEAD!$B$5:$B$604,MATCH(B300,LOOKAHEAD!$A$5:$A$604,0)),"ID no existe"))</f>
        <v/>
      </c>
      <c r="D300" s="33" t="str">
        <f aca="false">IF(B300="","",IFERROR(INDEX(LOOKAHEAD!$I$5:$I$604,MATCH(B300,LOOKAHEAD!$A$5:$A$604,0)),""))</f>
        <v/>
      </c>
      <c r="E300" s="9"/>
      <c r="F300" s="9"/>
      <c r="G300" s="9"/>
      <c r="H300" s="43"/>
      <c r="I300" s="33" t="str">
        <f aca="false">IF(OR(D300="",D300=0),"",D300-$D$2)</f>
        <v/>
      </c>
      <c r="J300" s="43"/>
      <c r="K300" s="43"/>
      <c r="L300" s="18" t="str">
        <f aca="false">IF(B300="","",IF(K300&lt;&gt;"","Liberado","Pendiente"))</f>
        <v/>
      </c>
      <c r="M300" s="16" t="str">
        <f aca="true">IF(B300="","",IF(L300="Liberado",IF(OR(I300="",K300&lt;=I300),"A tiempo","Liberada tarde"),IF(J300="","Sin compromiso",IF(TODAY()&gt;J300,"VENCIDA",IF(AND(I300&lt;&gt;"",J300&gt;I300),"En riesgo","En gestión")))))</f>
        <v/>
      </c>
      <c r="N300" s="32" t="str">
        <f aca="false">IF(OR(B300="",I300=""),"",IF(K300&lt;&gt;"",I300-K300,IF(J300&lt;&gt;"",I300-J300,"")))</f>
        <v/>
      </c>
      <c r="O300" s="9"/>
    </row>
    <row r="301" customFormat="false" ht="15" hidden="false" customHeight="false" outlineLevel="0" collapsed="false">
      <c r="A301" s="9"/>
      <c r="B301" s="9"/>
      <c r="C301" s="16" t="str">
        <f aca="false">IF(B301="","",IFERROR(INDEX(LOOKAHEAD!$B$5:$B$604,MATCH(B301,LOOKAHEAD!$A$5:$A$604,0)),"ID no existe"))</f>
        <v/>
      </c>
      <c r="D301" s="33" t="str">
        <f aca="false">IF(B301="","",IFERROR(INDEX(LOOKAHEAD!$I$5:$I$604,MATCH(B301,LOOKAHEAD!$A$5:$A$604,0)),""))</f>
        <v/>
      </c>
      <c r="E301" s="9"/>
      <c r="F301" s="9"/>
      <c r="G301" s="9"/>
      <c r="H301" s="43"/>
      <c r="I301" s="33" t="str">
        <f aca="false">IF(OR(D301="",D301=0),"",D301-$D$2)</f>
        <v/>
      </c>
      <c r="J301" s="43"/>
      <c r="K301" s="43"/>
      <c r="L301" s="18" t="str">
        <f aca="false">IF(B301="","",IF(K301&lt;&gt;"","Liberado","Pendiente"))</f>
        <v/>
      </c>
      <c r="M301" s="16" t="str">
        <f aca="true">IF(B301="","",IF(L301="Liberado",IF(OR(I301="",K301&lt;=I301),"A tiempo","Liberada tarde"),IF(J301="","Sin compromiso",IF(TODAY()&gt;J301,"VENCIDA",IF(AND(I301&lt;&gt;"",J301&gt;I301),"En riesgo","En gestión")))))</f>
        <v/>
      </c>
      <c r="N301" s="32" t="str">
        <f aca="false">IF(OR(B301="",I301=""),"",IF(K301&lt;&gt;"",I301-K301,IF(J301&lt;&gt;"",I301-J301,"")))</f>
        <v/>
      </c>
      <c r="O301" s="9"/>
    </row>
    <row r="302" customFormat="false" ht="15" hidden="false" customHeight="false" outlineLevel="0" collapsed="false">
      <c r="A302" s="9"/>
      <c r="B302" s="9"/>
      <c r="C302" s="16" t="str">
        <f aca="false">IF(B302="","",IFERROR(INDEX(LOOKAHEAD!$B$5:$B$604,MATCH(B302,LOOKAHEAD!$A$5:$A$604,0)),"ID no existe"))</f>
        <v/>
      </c>
      <c r="D302" s="33" t="str">
        <f aca="false">IF(B302="","",IFERROR(INDEX(LOOKAHEAD!$I$5:$I$604,MATCH(B302,LOOKAHEAD!$A$5:$A$604,0)),""))</f>
        <v/>
      </c>
      <c r="E302" s="9"/>
      <c r="F302" s="9"/>
      <c r="G302" s="9"/>
      <c r="H302" s="43"/>
      <c r="I302" s="33" t="str">
        <f aca="false">IF(OR(D302="",D302=0),"",D302-$D$2)</f>
        <v/>
      </c>
      <c r="J302" s="43"/>
      <c r="K302" s="43"/>
      <c r="L302" s="18" t="str">
        <f aca="false">IF(B302="","",IF(K302&lt;&gt;"","Liberado","Pendiente"))</f>
        <v/>
      </c>
      <c r="M302" s="16" t="str">
        <f aca="true">IF(B302="","",IF(L302="Liberado",IF(OR(I302="",K302&lt;=I302),"A tiempo","Liberada tarde"),IF(J302="","Sin compromiso",IF(TODAY()&gt;J302,"VENCIDA",IF(AND(I302&lt;&gt;"",J302&gt;I302),"En riesgo","En gestión")))))</f>
        <v/>
      </c>
      <c r="N302" s="32" t="str">
        <f aca="false">IF(OR(B302="",I302=""),"",IF(K302&lt;&gt;"",I302-K302,IF(J302&lt;&gt;"",I302-J302,"")))</f>
        <v/>
      </c>
      <c r="O302" s="9"/>
    </row>
    <row r="303" customFormat="false" ht="15" hidden="false" customHeight="false" outlineLevel="0" collapsed="false">
      <c r="A303" s="9"/>
      <c r="B303" s="9"/>
      <c r="C303" s="16" t="str">
        <f aca="false">IF(B303="","",IFERROR(INDEX(LOOKAHEAD!$B$5:$B$604,MATCH(B303,LOOKAHEAD!$A$5:$A$604,0)),"ID no existe"))</f>
        <v/>
      </c>
      <c r="D303" s="33" t="str">
        <f aca="false">IF(B303="","",IFERROR(INDEX(LOOKAHEAD!$I$5:$I$604,MATCH(B303,LOOKAHEAD!$A$5:$A$604,0)),""))</f>
        <v/>
      </c>
      <c r="E303" s="9"/>
      <c r="F303" s="9"/>
      <c r="G303" s="9"/>
      <c r="H303" s="43"/>
      <c r="I303" s="33" t="str">
        <f aca="false">IF(OR(D303="",D303=0),"",D303-$D$2)</f>
        <v/>
      </c>
      <c r="J303" s="43"/>
      <c r="K303" s="43"/>
      <c r="L303" s="18" t="str">
        <f aca="false">IF(B303="","",IF(K303&lt;&gt;"","Liberado","Pendiente"))</f>
        <v/>
      </c>
      <c r="M303" s="16" t="str">
        <f aca="true">IF(B303="","",IF(L303="Liberado",IF(OR(I303="",K303&lt;=I303),"A tiempo","Liberada tarde"),IF(J303="","Sin compromiso",IF(TODAY()&gt;J303,"VENCIDA",IF(AND(I303&lt;&gt;"",J303&gt;I303),"En riesgo","En gestión")))))</f>
        <v/>
      </c>
      <c r="N303" s="32" t="str">
        <f aca="false">IF(OR(B303="",I303=""),"",IF(K303&lt;&gt;"",I303-K303,IF(J303&lt;&gt;"",I303-J303,"")))</f>
        <v/>
      </c>
      <c r="O303" s="9"/>
    </row>
    <row r="304" customFormat="false" ht="15" hidden="false" customHeight="false" outlineLevel="0" collapsed="false">
      <c r="A304" s="9"/>
      <c r="B304" s="9"/>
      <c r="C304" s="16" t="str">
        <f aca="false">IF(B304="","",IFERROR(INDEX(LOOKAHEAD!$B$5:$B$604,MATCH(B304,LOOKAHEAD!$A$5:$A$604,0)),"ID no existe"))</f>
        <v/>
      </c>
      <c r="D304" s="33" t="str">
        <f aca="false">IF(B304="","",IFERROR(INDEX(LOOKAHEAD!$I$5:$I$604,MATCH(B304,LOOKAHEAD!$A$5:$A$604,0)),""))</f>
        <v/>
      </c>
      <c r="E304" s="9"/>
      <c r="F304" s="9"/>
      <c r="G304" s="9"/>
      <c r="H304" s="43"/>
      <c r="I304" s="33" t="str">
        <f aca="false">IF(OR(D304="",D304=0),"",D304-$D$2)</f>
        <v/>
      </c>
      <c r="J304" s="43"/>
      <c r="K304" s="43"/>
      <c r="L304" s="18" t="str">
        <f aca="false">IF(B304="","",IF(K304&lt;&gt;"","Liberado","Pendiente"))</f>
        <v/>
      </c>
      <c r="M304" s="16" t="str">
        <f aca="true">IF(B304="","",IF(L304="Liberado",IF(OR(I304="",K304&lt;=I304),"A tiempo","Liberada tarde"),IF(J304="","Sin compromiso",IF(TODAY()&gt;J304,"VENCIDA",IF(AND(I304&lt;&gt;"",J304&gt;I304),"En riesgo","En gestión")))))</f>
        <v/>
      </c>
      <c r="N304" s="32" t="str">
        <f aca="false">IF(OR(B304="",I304=""),"",IF(K304&lt;&gt;"",I304-K304,IF(J304&lt;&gt;"",I304-J304,"")))</f>
        <v/>
      </c>
      <c r="O304" s="9"/>
    </row>
  </sheetData>
  <autoFilter ref="A4:O304"/>
  <conditionalFormatting sqref="L5:L304">
    <cfRule type="cellIs" priority="2" operator="equal" aboveAverage="0" equalAverage="0" bottom="0" percent="0" rank="0" text="" dxfId="6">
      <formula>"Liberado"</formula>
    </cfRule>
    <cfRule type="cellIs" priority="3" operator="equal" aboveAverage="0" equalAverage="0" bottom="0" percent="0" rank="0" text="" dxfId="11">
      <formula>"Pendiente"</formula>
    </cfRule>
  </conditionalFormatting>
  <conditionalFormatting sqref="M5:M304">
    <cfRule type="cellIs" priority="4" operator="equal" aboveAverage="0" equalAverage="0" bottom="0" percent="0" rank="0" text="" dxfId="6">
      <formula>"A tiempo"</formula>
    </cfRule>
    <cfRule type="cellIs" priority="5" operator="equal" aboveAverage="0" equalAverage="0" bottom="0" percent="0" rank="0" text="" dxfId="11">
      <formula>"En gestión"</formula>
    </cfRule>
    <cfRule type="cellIs" priority="6" operator="equal" aboveAverage="0" equalAverage="0" bottom="0" percent="0" rank="0" text="" dxfId="20">
      <formula>"En riesgo"</formula>
    </cfRule>
    <cfRule type="cellIs" priority="7" operator="equal" aboveAverage="0" equalAverage="0" bottom="0" percent="0" rank="0" text="" dxfId="20">
      <formula>"Liberada tarde"</formula>
    </cfRule>
    <cfRule type="cellIs" priority="8" operator="equal" aboveAverage="0" equalAverage="0" bottom="0" percent="0" rank="0" text="" dxfId="9">
      <formula>"VENCIDA"</formula>
    </cfRule>
    <cfRule type="cellIs" priority="9" operator="equal" aboveAverage="0" equalAverage="0" bottom="0" percent="0" rank="0" text="" dxfId="9">
      <formula>"Sin compromiso"</formula>
    </cfRule>
  </conditionalFormatting>
  <conditionalFormatting sqref="N5:N304">
    <cfRule type="cellIs" priority="10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true" showInputMessage="false" sqref="B5:B304" type="list">
      <formula1>LOOKAHEAD!$A$5:$A$604</formula1>
      <formula2>0</formula2>
    </dataValidation>
    <dataValidation allowBlank="true" errorStyle="stop" operator="between" showDropDown="false" showErrorMessage="true" showInputMessage="false" sqref="E5:E304" type="list">
      <formula1>TipoRestriccion</formula1>
      <formula2>0</formula2>
    </dataValidation>
    <dataValidation allowBlank="true" errorStyle="stop" operator="between" showDropDown="false" showErrorMessage="true" showInputMessage="false" sqref="G5:G304" type="list">
      <formula1>Responsables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A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5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7"/>
    <col collapsed="false" customWidth="true" hidden="false" outlineLevel="0" max="21" min="10" style="0" width="6"/>
    <col collapsed="false" customWidth="true" hidden="false" outlineLevel="0" max="23" min="22" style="0" width="9"/>
    <col collapsed="false" customWidth="true" hidden="false" outlineLevel="0" max="24" min="24" style="0" width="8"/>
    <col collapsed="false" customWidth="true" hidden="false" outlineLevel="0" max="25" min="25" style="0" width="9"/>
    <col collapsed="false" customWidth="true" hidden="false" outlineLevel="0" max="26" min="26" style="0" width="30"/>
    <col collapsed="false" customWidth="true" hidden="false" outlineLevel="0" max="27" min="27" style="0" width="34"/>
  </cols>
  <sheetData>
    <row r="1" customFormat="false" ht="17.35" hidden="false" customHeight="false" outlineLevel="0" collapsed="false">
      <c r="A1" s="1" t="s">
        <v>17755</v>
      </c>
      <c r="D1" s="7" t="s">
        <v>17756</v>
      </c>
    </row>
    <row r="2" customFormat="false" ht="19.7" hidden="false" customHeight="false" outlineLevel="0" collapsed="false">
      <c r="A2" s="22" t="s">
        <v>17757</v>
      </c>
      <c r="C2" s="40" t="n">
        <v>41</v>
      </c>
      <c r="D2" s="22" t="s">
        <v>17758</v>
      </c>
      <c r="F2" s="40"/>
      <c r="H2" s="58" t="s">
        <v>17759</v>
      </c>
      <c r="J2" s="59" t="str">
        <f aca="false">IFERROR(COUNTIFS($B$7:$B$506,$C$2,$Y$7:$Y$506,"Sí")/COUNTIFS($B$7:$B$506,$C$2,$Y$7:$Y$506,"?*"),"")</f>
        <v/>
      </c>
      <c r="L2" s="58" t="s">
        <v>17760</v>
      </c>
      <c r="N2" s="59" t="str">
        <f aca="false">IFERROR(COUNTIF($Y$7:$Y$506,"Sí")/COUNTIF($Y$7:$Y$506,"?*"),"")</f>
        <v/>
      </c>
    </row>
    <row r="4" customFormat="false" ht="15" hidden="false" customHeight="false" outlineLevel="0" collapsed="false">
      <c r="I4" s="60" t="s">
        <v>17761</v>
      </c>
      <c r="J4" s="61" t="str">
        <f aca="false">IFERROR(SUMPRODUCT(($B$7:$B$506=$C$2)*(J$7:J$506&gt;0)*(P$7:P$506&gt;=J$7:J$506))/SUMPRODUCT(($B$7:$B$506=$C$2)*(J$7:J$506&gt;0)),"")</f>
        <v/>
      </c>
      <c r="K4" s="61" t="str">
        <f aca="false">IFERROR(SUMPRODUCT(($B$7:$B$506=$C$2)*(K$7:K$506&gt;0)*(Q$7:Q$506&gt;=K$7:K$506))/SUMPRODUCT(($B$7:$B$506=$C$2)*(K$7:K$506&gt;0)),"")</f>
        <v/>
      </c>
      <c r="L4" s="61" t="str">
        <f aca="false">IFERROR(SUMPRODUCT(($B$7:$B$506=$C$2)*(L$7:L$506&gt;0)*(R$7:R$506&gt;=L$7:L$506))/SUMPRODUCT(($B$7:$B$506=$C$2)*(L$7:L$506&gt;0)),"")</f>
        <v/>
      </c>
      <c r="M4" s="61" t="str">
        <f aca="false">IFERROR(SUMPRODUCT(($B$7:$B$506=$C$2)*(M$7:M$506&gt;0)*(S$7:S$506&gt;=M$7:M$506))/SUMPRODUCT(($B$7:$B$506=$C$2)*(M$7:M$506&gt;0)),"")</f>
        <v/>
      </c>
      <c r="N4" s="61" t="str">
        <f aca="false">IFERROR(SUMPRODUCT(($B$7:$B$506=$C$2)*(N$7:N$506&gt;0)*(T$7:T$506&gt;=N$7:N$506))/SUMPRODUCT(($B$7:$B$506=$C$2)*(N$7:N$506&gt;0)),"")</f>
        <v/>
      </c>
      <c r="O4" s="61" t="str">
        <f aca="false">IFERROR(SUMPRODUCT(($B$7:$B$506=$C$2)*(O$7:O$506&gt;0)*(U$7:U$506&gt;=O$7:O$506))/SUMPRODUCT(($B$7:$B$506=$C$2)*(O$7:O$506&gt;0)),"")</f>
        <v/>
      </c>
    </row>
    <row r="5" customFormat="false" ht="15" hidden="false" customHeight="false" outlineLevel="0" collapsed="false">
      <c r="J5" s="62" t="s">
        <v>17762</v>
      </c>
      <c r="K5" s="62"/>
      <c r="L5" s="62"/>
      <c r="M5" s="62"/>
      <c r="N5" s="62"/>
      <c r="O5" s="62"/>
      <c r="P5" s="63" t="s">
        <v>17763</v>
      </c>
      <c r="Q5" s="63"/>
      <c r="R5" s="63"/>
      <c r="S5" s="63"/>
      <c r="T5" s="63"/>
      <c r="U5" s="63"/>
    </row>
    <row r="6" customFormat="false" ht="31.5" hidden="false" customHeight="true" outlineLevel="0" collapsed="false">
      <c r="A6" s="8" t="s">
        <v>17764</v>
      </c>
      <c r="B6" s="8" t="s">
        <v>17765</v>
      </c>
      <c r="C6" s="8" t="s">
        <v>17342</v>
      </c>
      <c r="D6" s="8" t="s">
        <v>17743</v>
      </c>
      <c r="E6" s="8" t="s">
        <v>1287</v>
      </c>
      <c r="F6" s="8" t="s">
        <v>17766</v>
      </c>
      <c r="G6" s="8" t="s">
        <v>17346</v>
      </c>
      <c r="H6" s="8" t="s">
        <v>17767</v>
      </c>
      <c r="I6" s="8" t="s">
        <v>17347</v>
      </c>
      <c r="J6" s="64" t="s">
        <v>17768</v>
      </c>
      <c r="K6" s="64" t="s">
        <v>17769</v>
      </c>
      <c r="L6" s="64" t="s">
        <v>17770</v>
      </c>
      <c r="M6" s="64" t="s">
        <v>17771</v>
      </c>
      <c r="N6" s="64" t="s">
        <v>17772</v>
      </c>
      <c r="O6" s="64" t="s">
        <v>17773</v>
      </c>
      <c r="P6" s="65" t="s">
        <v>17768</v>
      </c>
      <c r="Q6" s="65" t="s">
        <v>17769</v>
      </c>
      <c r="R6" s="65" t="s">
        <v>17770</v>
      </c>
      <c r="S6" s="65" t="s">
        <v>17771</v>
      </c>
      <c r="T6" s="65" t="s">
        <v>17772</v>
      </c>
      <c r="U6" s="65" t="s">
        <v>17773</v>
      </c>
      <c r="V6" s="8" t="s">
        <v>17774</v>
      </c>
      <c r="W6" s="8" t="s">
        <v>17775</v>
      </c>
      <c r="X6" s="8" t="s">
        <v>17776</v>
      </c>
      <c r="Y6" s="8" t="s">
        <v>17777</v>
      </c>
      <c r="Z6" s="8" t="s">
        <v>17778</v>
      </c>
      <c r="AA6" s="8" t="s">
        <v>17779</v>
      </c>
    </row>
    <row r="7" customFormat="false" ht="15" hidden="false" customHeight="false" outlineLevel="0" collapsed="false">
      <c r="A7" s="9"/>
      <c r="B7" s="9"/>
      <c r="C7" s="9"/>
      <c r="D7" s="16" t="str">
        <f aca="false">IF(C7="","",IFERROR(INDEX(LOOKAHEAD!$B$5:$B$604,MATCH(C7,LOOKAHEAD!$A$5:$A$604,0)),""))</f>
        <v/>
      </c>
      <c r="E7" s="16" t="str">
        <f aca="false">IF(C7="","",IFERROR(INDEX(LOOKAHEAD!$E$5:$E$604,MATCH(C7,LOOKAHEAD!$A$5:$A$604,0)),""))</f>
        <v/>
      </c>
      <c r="F7" s="16" t="str">
        <f aca="false">IF(C7="","",IFERROR(INDEX(LOOKAHEAD!$M$5:$M$604,MATCH(C7,LOOKAHEAD!$A$5:$A$604,0)),""))</f>
        <v/>
      </c>
      <c r="G7" s="9"/>
      <c r="H7" s="9"/>
      <c r="I7" s="16" t="str">
        <f aca="false">IF(C7="","",IFERROR(INDEX(LOOKAHEAD!$G$5:$G$604,MATCH(C7,LOOKAHEAD!$A$5:$A$604,0)),""))</f>
        <v/>
      </c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66" t="str">
        <f aca="false">IF(C7="","",SUM(J7:O7))</f>
        <v/>
      </c>
      <c r="W7" s="66" t="str">
        <f aca="false">IF(C7="","",SUM(P7:U7))</f>
        <v/>
      </c>
      <c r="X7" s="51" t="str">
        <f aca="false">IF(OR(C7="",V7=0),"",W7/V7)</f>
        <v/>
      </c>
      <c r="Y7" s="16" t="str">
        <f aca="false">IF(OR(C7="",V7=0),"",IF(W7&gt;=V7,"Sí","No"))</f>
        <v/>
      </c>
      <c r="Z7" s="9"/>
      <c r="AA7" s="9"/>
    </row>
    <row r="8" customFormat="false" ht="15" hidden="false" customHeight="false" outlineLevel="0" collapsed="false">
      <c r="A8" s="9"/>
      <c r="B8" s="9"/>
      <c r="C8" s="9"/>
      <c r="D8" s="16" t="str">
        <f aca="false">IF(C8="","",IFERROR(INDEX(LOOKAHEAD!$B$5:$B$604,MATCH(C8,LOOKAHEAD!$A$5:$A$604,0)),""))</f>
        <v/>
      </c>
      <c r="E8" s="16" t="str">
        <f aca="false">IF(C8="","",IFERROR(INDEX(LOOKAHEAD!$E$5:$E$604,MATCH(C8,LOOKAHEAD!$A$5:$A$604,0)),""))</f>
        <v/>
      </c>
      <c r="F8" s="16" t="str">
        <f aca="false">IF(C8="","",IFERROR(INDEX(LOOKAHEAD!$M$5:$M$604,MATCH(C8,LOOKAHEAD!$A$5:$A$604,0)),""))</f>
        <v/>
      </c>
      <c r="G8" s="9"/>
      <c r="H8" s="9"/>
      <c r="I8" s="16" t="str">
        <f aca="false">IF(C8="","",IFERROR(INDEX(LOOKAHEAD!$G$5:$G$604,MATCH(C8,LOOKAHEAD!$A$5:$A$604,0)),""))</f>
        <v/>
      </c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66" t="str">
        <f aca="false">IF(C8="","",SUM(J8:O8))</f>
        <v/>
      </c>
      <c r="W8" s="66" t="str">
        <f aca="false">IF(C8="","",SUM(P8:U8))</f>
        <v/>
      </c>
      <c r="X8" s="51" t="str">
        <f aca="false">IF(OR(C8="",V8=0),"",W8/V8)</f>
        <v/>
      </c>
      <c r="Y8" s="16" t="str">
        <f aca="false">IF(OR(C8="",V8=0),"",IF(W8&gt;=V8,"Sí","No"))</f>
        <v/>
      </c>
      <c r="Z8" s="9"/>
      <c r="AA8" s="9"/>
    </row>
    <row r="9" customFormat="false" ht="15" hidden="false" customHeight="false" outlineLevel="0" collapsed="false">
      <c r="A9" s="9"/>
      <c r="B9" s="9"/>
      <c r="C9" s="9"/>
      <c r="D9" s="16" t="str">
        <f aca="false">IF(C9="","",IFERROR(INDEX(LOOKAHEAD!$B$5:$B$604,MATCH(C9,LOOKAHEAD!$A$5:$A$604,0)),""))</f>
        <v/>
      </c>
      <c r="E9" s="16" t="str">
        <f aca="false">IF(C9="","",IFERROR(INDEX(LOOKAHEAD!$E$5:$E$604,MATCH(C9,LOOKAHEAD!$A$5:$A$604,0)),""))</f>
        <v/>
      </c>
      <c r="F9" s="16" t="str">
        <f aca="false">IF(C9="","",IFERROR(INDEX(LOOKAHEAD!$M$5:$M$604,MATCH(C9,LOOKAHEAD!$A$5:$A$604,0)),""))</f>
        <v/>
      </c>
      <c r="G9" s="9"/>
      <c r="H9" s="9"/>
      <c r="I9" s="16" t="str">
        <f aca="false">IF(C9="","",IFERROR(INDEX(LOOKAHEAD!$G$5:$G$604,MATCH(C9,LOOKAHEAD!$A$5:$A$604,0)),""))</f>
        <v/>
      </c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66" t="str">
        <f aca="false">IF(C9="","",SUM(J9:O9))</f>
        <v/>
      </c>
      <c r="W9" s="66" t="str">
        <f aca="false">IF(C9="","",SUM(P9:U9))</f>
        <v/>
      </c>
      <c r="X9" s="51" t="str">
        <f aca="false">IF(OR(C9="",V9=0),"",W9/V9)</f>
        <v/>
      </c>
      <c r="Y9" s="16" t="str">
        <f aca="false">IF(OR(C9="",V9=0),"",IF(W9&gt;=V9,"Sí","No"))</f>
        <v/>
      </c>
      <c r="Z9" s="9"/>
      <c r="AA9" s="9"/>
    </row>
    <row r="10" customFormat="false" ht="15" hidden="false" customHeight="false" outlineLevel="0" collapsed="false">
      <c r="A10" s="9"/>
      <c r="B10" s="9"/>
      <c r="C10" s="9"/>
      <c r="D10" s="16" t="str">
        <f aca="false">IF(C10="","",IFERROR(INDEX(LOOKAHEAD!$B$5:$B$604,MATCH(C10,LOOKAHEAD!$A$5:$A$604,0)),""))</f>
        <v/>
      </c>
      <c r="E10" s="16" t="str">
        <f aca="false">IF(C10="","",IFERROR(INDEX(LOOKAHEAD!$E$5:$E$604,MATCH(C10,LOOKAHEAD!$A$5:$A$604,0)),""))</f>
        <v/>
      </c>
      <c r="F10" s="16" t="str">
        <f aca="false">IF(C10="","",IFERROR(INDEX(LOOKAHEAD!$M$5:$M$604,MATCH(C10,LOOKAHEAD!$A$5:$A$604,0)),""))</f>
        <v/>
      </c>
      <c r="G10" s="9"/>
      <c r="H10" s="9"/>
      <c r="I10" s="16" t="str">
        <f aca="false">IF(C10="","",IFERROR(INDEX(LOOKAHEAD!$G$5:$G$604,MATCH(C10,LOOKAHEAD!$A$5:$A$604,0)),""))</f>
        <v/>
      </c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66" t="str">
        <f aca="false">IF(C10="","",SUM(J10:O10))</f>
        <v/>
      </c>
      <c r="W10" s="66" t="str">
        <f aca="false">IF(C10="","",SUM(P10:U10))</f>
        <v/>
      </c>
      <c r="X10" s="51" t="str">
        <f aca="false">IF(OR(C10="",V10=0),"",W10/V10)</f>
        <v/>
      </c>
      <c r="Y10" s="16" t="str">
        <f aca="false">IF(OR(C10="",V10=0),"",IF(W10&gt;=V10,"Sí","No"))</f>
        <v/>
      </c>
      <c r="Z10" s="9"/>
      <c r="AA10" s="9"/>
    </row>
    <row r="11" customFormat="false" ht="15" hidden="false" customHeight="false" outlineLevel="0" collapsed="false">
      <c r="A11" s="9"/>
      <c r="B11" s="9"/>
      <c r="C11" s="9"/>
      <c r="D11" s="16" t="str">
        <f aca="false">IF(C11="","",IFERROR(INDEX(LOOKAHEAD!$B$5:$B$604,MATCH(C11,LOOKAHEAD!$A$5:$A$604,0)),""))</f>
        <v/>
      </c>
      <c r="E11" s="16" t="str">
        <f aca="false">IF(C11="","",IFERROR(INDEX(LOOKAHEAD!$E$5:$E$604,MATCH(C11,LOOKAHEAD!$A$5:$A$604,0)),""))</f>
        <v/>
      </c>
      <c r="F11" s="16" t="str">
        <f aca="false">IF(C11="","",IFERROR(INDEX(LOOKAHEAD!$M$5:$M$604,MATCH(C11,LOOKAHEAD!$A$5:$A$604,0)),""))</f>
        <v/>
      </c>
      <c r="G11" s="9"/>
      <c r="H11" s="9"/>
      <c r="I11" s="16" t="str">
        <f aca="false">IF(C11="","",IFERROR(INDEX(LOOKAHEAD!$G$5:$G$604,MATCH(C11,LOOKAHEAD!$A$5:$A$604,0)),""))</f>
        <v/>
      </c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66" t="str">
        <f aca="false">IF(C11="","",SUM(J11:O11))</f>
        <v/>
      </c>
      <c r="W11" s="66" t="str">
        <f aca="false">IF(C11="","",SUM(P11:U11))</f>
        <v/>
      </c>
      <c r="X11" s="51" t="str">
        <f aca="false">IF(OR(C11="",V11=0),"",W11/V11)</f>
        <v/>
      </c>
      <c r="Y11" s="16" t="str">
        <f aca="false">IF(OR(C11="",V11=0),"",IF(W11&gt;=V11,"Sí","No"))</f>
        <v/>
      </c>
      <c r="Z11" s="9"/>
      <c r="AA11" s="9"/>
    </row>
    <row r="12" customFormat="false" ht="15" hidden="false" customHeight="false" outlineLevel="0" collapsed="false">
      <c r="A12" s="9"/>
      <c r="B12" s="9"/>
      <c r="C12" s="9"/>
      <c r="D12" s="16" t="str">
        <f aca="false">IF(C12="","",IFERROR(INDEX(LOOKAHEAD!$B$5:$B$604,MATCH(C12,LOOKAHEAD!$A$5:$A$604,0)),""))</f>
        <v/>
      </c>
      <c r="E12" s="16" t="str">
        <f aca="false">IF(C12="","",IFERROR(INDEX(LOOKAHEAD!$E$5:$E$604,MATCH(C12,LOOKAHEAD!$A$5:$A$604,0)),""))</f>
        <v/>
      </c>
      <c r="F12" s="16" t="str">
        <f aca="false">IF(C12="","",IFERROR(INDEX(LOOKAHEAD!$M$5:$M$604,MATCH(C12,LOOKAHEAD!$A$5:$A$604,0)),""))</f>
        <v/>
      </c>
      <c r="G12" s="9"/>
      <c r="H12" s="9"/>
      <c r="I12" s="16" t="str">
        <f aca="false">IF(C12="","",IFERROR(INDEX(LOOKAHEAD!$G$5:$G$604,MATCH(C12,LOOKAHEAD!$A$5:$A$604,0)),""))</f>
        <v/>
      </c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66" t="str">
        <f aca="false">IF(C12="","",SUM(J12:O12))</f>
        <v/>
      </c>
      <c r="W12" s="66" t="str">
        <f aca="false">IF(C12="","",SUM(P12:U12))</f>
        <v/>
      </c>
      <c r="X12" s="51" t="str">
        <f aca="false">IF(OR(C12="",V12=0),"",W12/V12)</f>
        <v/>
      </c>
      <c r="Y12" s="16" t="str">
        <f aca="false">IF(OR(C12="",V12=0),"",IF(W12&gt;=V12,"Sí","No"))</f>
        <v/>
      </c>
      <c r="Z12" s="9"/>
      <c r="AA12" s="9"/>
    </row>
    <row r="13" customFormat="false" ht="15" hidden="false" customHeight="false" outlineLevel="0" collapsed="false">
      <c r="A13" s="9"/>
      <c r="B13" s="9"/>
      <c r="C13" s="9"/>
      <c r="D13" s="16" t="str">
        <f aca="false">IF(C13="","",IFERROR(INDEX(LOOKAHEAD!$B$5:$B$604,MATCH(C13,LOOKAHEAD!$A$5:$A$604,0)),""))</f>
        <v/>
      </c>
      <c r="E13" s="16" t="str">
        <f aca="false">IF(C13="","",IFERROR(INDEX(LOOKAHEAD!$E$5:$E$604,MATCH(C13,LOOKAHEAD!$A$5:$A$604,0)),""))</f>
        <v/>
      </c>
      <c r="F13" s="16" t="str">
        <f aca="false">IF(C13="","",IFERROR(INDEX(LOOKAHEAD!$M$5:$M$604,MATCH(C13,LOOKAHEAD!$A$5:$A$604,0)),""))</f>
        <v/>
      </c>
      <c r="G13" s="9"/>
      <c r="H13" s="9"/>
      <c r="I13" s="16" t="str">
        <f aca="false">IF(C13="","",IFERROR(INDEX(LOOKAHEAD!$G$5:$G$604,MATCH(C13,LOOKAHEAD!$A$5:$A$604,0)),""))</f>
        <v/>
      </c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66" t="str">
        <f aca="false">IF(C13="","",SUM(J13:O13))</f>
        <v/>
      </c>
      <c r="W13" s="66" t="str">
        <f aca="false">IF(C13="","",SUM(P13:U13))</f>
        <v/>
      </c>
      <c r="X13" s="51" t="str">
        <f aca="false">IF(OR(C13="",V13=0),"",W13/V13)</f>
        <v/>
      </c>
      <c r="Y13" s="16" t="str">
        <f aca="false">IF(OR(C13="",V13=0),"",IF(W13&gt;=V13,"Sí","No"))</f>
        <v/>
      </c>
      <c r="Z13" s="9"/>
      <c r="AA13" s="9"/>
    </row>
    <row r="14" customFormat="false" ht="15" hidden="false" customHeight="false" outlineLevel="0" collapsed="false">
      <c r="A14" s="9"/>
      <c r="B14" s="9"/>
      <c r="C14" s="9"/>
      <c r="D14" s="16" t="str">
        <f aca="false">IF(C14="","",IFERROR(INDEX(LOOKAHEAD!$B$5:$B$604,MATCH(C14,LOOKAHEAD!$A$5:$A$604,0)),""))</f>
        <v/>
      </c>
      <c r="E14" s="16" t="str">
        <f aca="false">IF(C14="","",IFERROR(INDEX(LOOKAHEAD!$E$5:$E$604,MATCH(C14,LOOKAHEAD!$A$5:$A$604,0)),""))</f>
        <v/>
      </c>
      <c r="F14" s="16" t="str">
        <f aca="false">IF(C14="","",IFERROR(INDEX(LOOKAHEAD!$M$5:$M$604,MATCH(C14,LOOKAHEAD!$A$5:$A$604,0)),""))</f>
        <v/>
      </c>
      <c r="G14" s="9"/>
      <c r="H14" s="9"/>
      <c r="I14" s="16" t="str">
        <f aca="false">IF(C14="","",IFERROR(INDEX(LOOKAHEAD!$G$5:$G$604,MATCH(C14,LOOKAHEAD!$A$5:$A$604,0)),""))</f>
        <v/>
      </c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66" t="str">
        <f aca="false">IF(C14="","",SUM(J14:O14))</f>
        <v/>
      </c>
      <c r="W14" s="66" t="str">
        <f aca="false">IF(C14="","",SUM(P14:U14))</f>
        <v/>
      </c>
      <c r="X14" s="51" t="str">
        <f aca="false">IF(OR(C14="",V14=0),"",W14/V14)</f>
        <v/>
      </c>
      <c r="Y14" s="16" t="str">
        <f aca="false">IF(OR(C14="",V14=0),"",IF(W14&gt;=V14,"Sí","No"))</f>
        <v/>
      </c>
      <c r="Z14" s="9"/>
      <c r="AA14" s="9"/>
    </row>
    <row r="15" customFormat="false" ht="15" hidden="false" customHeight="false" outlineLevel="0" collapsed="false">
      <c r="A15" s="9"/>
      <c r="B15" s="9"/>
      <c r="C15" s="9"/>
      <c r="D15" s="16" t="str">
        <f aca="false">IF(C15="","",IFERROR(INDEX(LOOKAHEAD!$B$5:$B$604,MATCH(C15,LOOKAHEAD!$A$5:$A$604,0)),""))</f>
        <v/>
      </c>
      <c r="E15" s="16" t="str">
        <f aca="false">IF(C15="","",IFERROR(INDEX(LOOKAHEAD!$E$5:$E$604,MATCH(C15,LOOKAHEAD!$A$5:$A$604,0)),""))</f>
        <v/>
      </c>
      <c r="F15" s="16" t="str">
        <f aca="false">IF(C15="","",IFERROR(INDEX(LOOKAHEAD!$M$5:$M$604,MATCH(C15,LOOKAHEAD!$A$5:$A$604,0)),""))</f>
        <v/>
      </c>
      <c r="G15" s="9"/>
      <c r="H15" s="9"/>
      <c r="I15" s="16" t="str">
        <f aca="false">IF(C15="","",IFERROR(INDEX(LOOKAHEAD!$G$5:$G$604,MATCH(C15,LOOKAHEAD!$A$5:$A$604,0)),""))</f>
        <v/>
      </c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66" t="str">
        <f aca="false">IF(C15="","",SUM(J15:O15))</f>
        <v/>
      </c>
      <c r="W15" s="66" t="str">
        <f aca="false">IF(C15="","",SUM(P15:U15))</f>
        <v/>
      </c>
      <c r="X15" s="51" t="str">
        <f aca="false">IF(OR(C15="",V15=0),"",W15/V15)</f>
        <v/>
      </c>
      <c r="Y15" s="16" t="str">
        <f aca="false">IF(OR(C15="",V15=0),"",IF(W15&gt;=V15,"Sí","No"))</f>
        <v/>
      </c>
      <c r="Z15" s="9"/>
      <c r="AA15" s="9"/>
    </row>
    <row r="16" customFormat="false" ht="15" hidden="false" customHeight="false" outlineLevel="0" collapsed="false">
      <c r="A16" s="9"/>
      <c r="B16" s="9"/>
      <c r="C16" s="9"/>
      <c r="D16" s="16" t="str">
        <f aca="false">IF(C16="","",IFERROR(INDEX(LOOKAHEAD!$B$5:$B$604,MATCH(C16,LOOKAHEAD!$A$5:$A$604,0)),""))</f>
        <v/>
      </c>
      <c r="E16" s="16" t="str">
        <f aca="false">IF(C16="","",IFERROR(INDEX(LOOKAHEAD!$E$5:$E$604,MATCH(C16,LOOKAHEAD!$A$5:$A$604,0)),""))</f>
        <v/>
      </c>
      <c r="F16" s="16" t="str">
        <f aca="false">IF(C16="","",IFERROR(INDEX(LOOKAHEAD!$M$5:$M$604,MATCH(C16,LOOKAHEAD!$A$5:$A$604,0)),""))</f>
        <v/>
      </c>
      <c r="G16" s="9"/>
      <c r="H16" s="9"/>
      <c r="I16" s="16" t="str">
        <f aca="false">IF(C16="","",IFERROR(INDEX(LOOKAHEAD!$G$5:$G$604,MATCH(C16,LOOKAHEAD!$A$5:$A$604,0)),""))</f>
        <v/>
      </c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66" t="str">
        <f aca="false">IF(C16="","",SUM(J16:O16))</f>
        <v/>
      </c>
      <c r="W16" s="66" t="str">
        <f aca="false">IF(C16="","",SUM(P16:U16))</f>
        <v/>
      </c>
      <c r="X16" s="51" t="str">
        <f aca="false">IF(OR(C16="",V16=0),"",W16/V16)</f>
        <v/>
      </c>
      <c r="Y16" s="16" t="str">
        <f aca="false">IF(OR(C16="",V16=0),"",IF(W16&gt;=V16,"Sí","No"))</f>
        <v/>
      </c>
      <c r="Z16" s="9"/>
      <c r="AA16" s="9"/>
    </row>
    <row r="17" customFormat="false" ht="15" hidden="false" customHeight="false" outlineLevel="0" collapsed="false">
      <c r="A17" s="9"/>
      <c r="B17" s="9"/>
      <c r="C17" s="9"/>
      <c r="D17" s="16" t="str">
        <f aca="false">IF(C17="","",IFERROR(INDEX(LOOKAHEAD!$B$5:$B$604,MATCH(C17,LOOKAHEAD!$A$5:$A$604,0)),""))</f>
        <v/>
      </c>
      <c r="E17" s="16" t="str">
        <f aca="false">IF(C17="","",IFERROR(INDEX(LOOKAHEAD!$E$5:$E$604,MATCH(C17,LOOKAHEAD!$A$5:$A$604,0)),""))</f>
        <v/>
      </c>
      <c r="F17" s="16" t="str">
        <f aca="false">IF(C17="","",IFERROR(INDEX(LOOKAHEAD!$M$5:$M$604,MATCH(C17,LOOKAHEAD!$A$5:$A$604,0)),""))</f>
        <v/>
      </c>
      <c r="G17" s="9"/>
      <c r="H17" s="9"/>
      <c r="I17" s="16" t="str">
        <f aca="false">IF(C17="","",IFERROR(INDEX(LOOKAHEAD!$G$5:$G$604,MATCH(C17,LOOKAHEAD!$A$5:$A$604,0)),""))</f>
        <v/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66" t="str">
        <f aca="false">IF(C17="","",SUM(J17:O17))</f>
        <v/>
      </c>
      <c r="W17" s="66" t="str">
        <f aca="false">IF(C17="","",SUM(P17:U17))</f>
        <v/>
      </c>
      <c r="X17" s="51" t="str">
        <f aca="false">IF(OR(C17="",V17=0),"",W17/V17)</f>
        <v/>
      </c>
      <c r="Y17" s="16" t="str">
        <f aca="false">IF(OR(C17="",V17=0),"",IF(W17&gt;=V17,"Sí","No"))</f>
        <v/>
      </c>
      <c r="Z17" s="9"/>
      <c r="AA17" s="9"/>
    </row>
    <row r="18" customFormat="false" ht="15" hidden="false" customHeight="false" outlineLevel="0" collapsed="false">
      <c r="A18" s="9"/>
      <c r="B18" s="9"/>
      <c r="C18" s="9"/>
      <c r="D18" s="16" t="str">
        <f aca="false">IF(C18="","",IFERROR(INDEX(LOOKAHEAD!$B$5:$B$604,MATCH(C18,LOOKAHEAD!$A$5:$A$604,0)),""))</f>
        <v/>
      </c>
      <c r="E18" s="16" t="str">
        <f aca="false">IF(C18="","",IFERROR(INDEX(LOOKAHEAD!$E$5:$E$604,MATCH(C18,LOOKAHEAD!$A$5:$A$604,0)),""))</f>
        <v/>
      </c>
      <c r="F18" s="16" t="str">
        <f aca="false">IF(C18="","",IFERROR(INDEX(LOOKAHEAD!$M$5:$M$604,MATCH(C18,LOOKAHEAD!$A$5:$A$604,0)),""))</f>
        <v/>
      </c>
      <c r="G18" s="9"/>
      <c r="H18" s="9"/>
      <c r="I18" s="16" t="str">
        <f aca="false">IF(C18="","",IFERROR(INDEX(LOOKAHEAD!$G$5:$G$604,MATCH(C18,LOOKAHEAD!$A$5:$A$604,0)),""))</f>
        <v/>
      </c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66" t="str">
        <f aca="false">IF(C18="","",SUM(J18:O18))</f>
        <v/>
      </c>
      <c r="W18" s="66" t="str">
        <f aca="false">IF(C18="","",SUM(P18:U18))</f>
        <v/>
      </c>
      <c r="X18" s="51" t="str">
        <f aca="false">IF(OR(C18="",V18=0),"",W18/V18)</f>
        <v/>
      </c>
      <c r="Y18" s="16" t="str">
        <f aca="false">IF(OR(C18="",V18=0),"",IF(W18&gt;=V18,"Sí","No"))</f>
        <v/>
      </c>
      <c r="Z18" s="9"/>
      <c r="AA18" s="9"/>
    </row>
    <row r="19" customFormat="false" ht="15" hidden="false" customHeight="false" outlineLevel="0" collapsed="false">
      <c r="A19" s="9"/>
      <c r="B19" s="9"/>
      <c r="C19" s="9"/>
      <c r="D19" s="16" t="str">
        <f aca="false">IF(C19="","",IFERROR(INDEX(LOOKAHEAD!$B$5:$B$604,MATCH(C19,LOOKAHEAD!$A$5:$A$604,0)),""))</f>
        <v/>
      </c>
      <c r="E19" s="16" t="str">
        <f aca="false">IF(C19="","",IFERROR(INDEX(LOOKAHEAD!$E$5:$E$604,MATCH(C19,LOOKAHEAD!$A$5:$A$604,0)),""))</f>
        <v/>
      </c>
      <c r="F19" s="16" t="str">
        <f aca="false">IF(C19="","",IFERROR(INDEX(LOOKAHEAD!$M$5:$M$604,MATCH(C19,LOOKAHEAD!$A$5:$A$604,0)),""))</f>
        <v/>
      </c>
      <c r="G19" s="9"/>
      <c r="H19" s="9"/>
      <c r="I19" s="16" t="str">
        <f aca="false">IF(C19="","",IFERROR(INDEX(LOOKAHEAD!$G$5:$G$604,MATCH(C19,LOOKAHEAD!$A$5:$A$604,0)),""))</f>
        <v/>
      </c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66" t="str">
        <f aca="false">IF(C19="","",SUM(J19:O19))</f>
        <v/>
      </c>
      <c r="W19" s="66" t="str">
        <f aca="false">IF(C19="","",SUM(P19:U19))</f>
        <v/>
      </c>
      <c r="X19" s="51" t="str">
        <f aca="false">IF(OR(C19="",V19=0),"",W19/V19)</f>
        <v/>
      </c>
      <c r="Y19" s="16" t="str">
        <f aca="false">IF(OR(C19="",V19=0),"",IF(W19&gt;=V19,"Sí","No"))</f>
        <v/>
      </c>
      <c r="Z19" s="9"/>
      <c r="AA19" s="9"/>
    </row>
    <row r="20" customFormat="false" ht="15" hidden="false" customHeight="false" outlineLevel="0" collapsed="false">
      <c r="A20" s="9"/>
      <c r="B20" s="9"/>
      <c r="C20" s="9"/>
      <c r="D20" s="16" t="str">
        <f aca="false">IF(C20="","",IFERROR(INDEX(LOOKAHEAD!$B$5:$B$604,MATCH(C20,LOOKAHEAD!$A$5:$A$604,0)),""))</f>
        <v/>
      </c>
      <c r="E20" s="16" t="str">
        <f aca="false">IF(C20="","",IFERROR(INDEX(LOOKAHEAD!$E$5:$E$604,MATCH(C20,LOOKAHEAD!$A$5:$A$604,0)),""))</f>
        <v/>
      </c>
      <c r="F20" s="16" t="str">
        <f aca="false">IF(C20="","",IFERROR(INDEX(LOOKAHEAD!$M$5:$M$604,MATCH(C20,LOOKAHEAD!$A$5:$A$604,0)),""))</f>
        <v/>
      </c>
      <c r="G20" s="9"/>
      <c r="H20" s="9"/>
      <c r="I20" s="16" t="str">
        <f aca="false">IF(C20="","",IFERROR(INDEX(LOOKAHEAD!$G$5:$G$604,MATCH(C20,LOOKAHEAD!$A$5:$A$604,0)),""))</f>
        <v/>
      </c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66" t="str">
        <f aca="false">IF(C20="","",SUM(J20:O20))</f>
        <v/>
      </c>
      <c r="W20" s="66" t="str">
        <f aca="false">IF(C20="","",SUM(P20:U20))</f>
        <v/>
      </c>
      <c r="X20" s="51" t="str">
        <f aca="false">IF(OR(C20="",V20=0),"",W20/V20)</f>
        <v/>
      </c>
      <c r="Y20" s="16" t="str">
        <f aca="false">IF(OR(C20="",V20=0),"",IF(W20&gt;=V20,"Sí","No"))</f>
        <v/>
      </c>
      <c r="Z20" s="9"/>
      <c r="AA20" s="9"/>
    </row>
    <row r="21" customFormat="false" ht="15" hidden="false" customHeight="false" outlineLevel="0" collapsed="false">
      <c r="A21" s="9"/>
      <c r="B21" s="9"/>
      <c r="C21" s="9"/>
      <c r="D21" s="16" t="str">
        <f aca="false">IF(C21="","",IFERROR(INDEX(LOOKAHEAD!$B$5:$B$604,MATCH(C21,LOOKAHEAD!$A$5:$A$604,0)),""))</f>
        <v/>
      </c>
      <c r="E21" s="16" t="str">
        <f aca="false">IF(C21="","",IFERROR(INDEX(LOOKAHEAD!$E$5:$E$604,MATCH(C21,LOOKAHEAD!$A$5:$A$604,0)),""))</f>
        <v/>
      </c>
      <c r="F21" s="16" t="str">
        <f aca="false">IF(C21="","",IFERROR(INDEX(LOOKAHEAD!$M$5:$M$604,MATCH(C21,LOOKAHEAD!$A$5:$A$604,0)),""))</f>
        <v/>
      </c>
      <c r="G21" s="9"/>
      <c r="H21" s="9"/>
      <c r="I21" s="16" t="str">
        <f aca="false">IF(C21="","",IFERROR(INDEX(LOOKAHEAD!$G$5:$G$604,MATCH(C21,LOOKAHEAD!$A$5:$A$604,0)),""))</f>
        <v/>
      </c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66" t="str">
        <f aca="false">IF(C21="","",SUM(J21:O21))</f>
        <v/>
      </c>
      <c r="W21" s="66" t="str">
        <f aca="false">IF(C21="","",SUM(P21:U21))</f>
        <v/>
      </c>
      <c r="X21" s="51" t="str">
        <f aca="false">IF(OR(C21="",V21=0),"",W21/V21)</f>
        <v/>
      </c>
      <c r="Y21" s="16" t="str">
        <f aca="false">IF(OR(C21="",V21=0),"",IF(W21&gt;=V21,"Sí","No"))</f>
        <v/>
      </c>
      <c r="Z21" s="9"/>
      <c r="AA21" s="9"/>
    </row>
    <row r="22" customFormat="false" ht="15" hidden="false" customHeight="false" outlineLevel="0" collapsed="false">
      <c r="A22" s="9"/>
      <c r="B22" s="9"/>
      <c r="C22" s="9"/>
      <c r="D22" s="16" t="str">
        <f aca="false">IF(C22="","",IFERROR(INDEX(LOOKAHEAD!$B$5:$B$604,MATCH(C22,LOOKAHEAD!$A$5:$A$604,0)),""))</f>
        <v/>
      </c>
      <c r="E22" s="16" t="str">
        <f aca="false">IF(C22="","",IFERROR(INDEX(LOOKAHEAD!$E$5:$E$604,MATCH(C22,LOOKAHEAD!$A$5:$A$604,0)),""))</f>
        <v/>
      </c>
      <c r="F22" s="16" t="str">
        <f aca="false">IF(C22="","",IFERROR(INDEX(LOOKAHEAD!$M$5:$M$604,MATCH(C22,LOOKAHEAD!$A$5:$A$604,0)),""))</f>
        <v/>
      </c>
      <c r="G22" s="9"/>
      <c r="H22" s="9"/>
      <c r="I22" s="16" t="str">
        <f aca="false">IF(C22="","",IFERROR(INDEX(LOOKAHEAD!$G$5:$G$604,MATCH(C22,LOOKAHEAD!$A$5:$A$604,0)),""))</f>
        <v/>
      </c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66" t="str">
        <f aca="false">IF(C22="","",SUM(J22:O22))</f>
        <v/>
      </c>
      <c r="W22" s="66" t="str">
        <f aca="false">IF(C22="","",SUM(P22:U22))</f>
        <v/>
      </c>
      <c r="X22" s="51" t="str">
        <f aca="false">IF(OR(C22="",V22=0),"",W22/V22)</f>
        <v/>
      </c>
      <c r="Y22" s="16" t="str">
        <f aca="false">IF(OR(C22="",V22=0),"",IF(W22&gt;=V22,"Sí","No"))</f>
        <v/>
      </c>
      <c r="Z22" s="9"/>
      <c r="AA22" s="9"/>
    </row>
    <row r="23" customFormat="false" ht="15" hidden="false" customHeight="false" outlineLevel="0" collapsed="false">
      <c r="A23" s="9"/>
      <c r="B23" s="9"/>
      <c r="C23" s="9"/>
      <c r="D23" s="16" t="str">
        <f aca="false">IF(C23="","",IFERROR(INDEX(LOOKAHEAD!$B$5:$B$604,MATCH(C23,LOOKAHEAD!$A$5:$A$604,0)),""))</f>
        <v/>
      </c>
      <c r="E23" s="16" t="str">
        <f aca="false">IF(C23="","",IFERROR(INDEX(LOOKAHEAD!$E$5:$E$604,MATCH(C23,LOOKAHEAD!$A$5:$A$604,0)),""))</f>
        <v/>
      </c>
      <c r="F23" s="16" t="str">
        <f aca="false">IF(C23="","",IFERROR(INDEX(LOOKAHEAD!$M$5:$M$604,MATCH(C23,LOOKAHEAD!$A$5:$A$604,0)),""))</f>
        <v/>
      </c>
      <c r="G23" s="9"/>
      <c r="H23" s="9"/>
      <c r="I23" s="16" t="str">
        <f aca="false">IF(C23="","",IFERROR(INDEX(LOOKAHEAD!$G$5:$G$604,MATCH(C23,LOOKAHEAD!$A$5:$A$604,0)),""))</f>
        <v/>
      </c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66" t="str">
        <f aca="false">IF(C23="","",SUM(J23:O23))</f>
        <v/>
      </c>
      <c r="W23" s="66" t="str">
        <f aca="false">IF(C23="","",SUM(P23:U23))</f>
        <v/>
      </c>
      <c r="X23" s="51" t="str">
        <f aca="false">IF(OR(C23="",V23=0),"",W23/V23)</f>
        <v/>
      </c>
      <c r="Y23" s="16" t="str">
        <f aca="false">IF(OR(C23="",V23=0),"",IF(W23&gt;=V23,"Sí","No"))</f>
        <v/>
      </c>
      <c r="Z23" s="9"/>
      <c r="AA23" s="9"/>
    </row>
    <row r="24" customFormat="false" ht="15" hidden="false" customHeight="false" outlineLevel="0" collapsed="false">
      <c r="A24" s="9"/>
      <c r="B24" s="9"/>
      <c r="C24" s="9"/>
      <c r="D24" s="16" t="str">
        <f aca="false">IF(C24="","",IFERROR(INDEX(LOOKAHEAD!$B$5:$B$604,MATCH(C24,LOOKAHEAD!$A$5:$A$604,0)),""))</f>
        <v/>
      </c>
      <c r="E24" s="16" t="str">
        <f aca="false">IF(C24="","",IFERROR(INDEX(LOOKAHEAD!$E$5:$E$604,MATCH(C24,LOOKAHEAD!$A$5:$A$604,0)),""))</f>
        <v/>
      </c>
      <c r="F24" s="16" t="str">
        <f aca="false">IF(C24="","",IFERROR(INDEX(LOOKAHEAD!$M$5:$M$604,MATCH(C24,LOOKAHEAD!$A$5:$A$604,0)),""))</f>
        <v/>
      </c>
      <c r="G24" s="9"/>
      <c r="H24" s="9"/>
      <c r="I24" s="16" t="str">
        <f aca="false">IF(C24="","",IFERROR(INDEX(LOOKAHEAD!$G$5:$G$604,MATCH(C24,LOOKAHEAD!$A$5:$A$604,0)),""))</f>
        <v/>
      </c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66" t="str">
        <f aca="false">IF(C24="","",SUM(J24:O24))</f>
        <v/>
      </c>
      <c r="W24" s="66" t="str">
        <f aca="false">IF(C24="","",SUM(P24:U24))</f>
        <v/>
      </c>
      <c r="X24" s="51" t="str">
        <f aca="false">IF(OR(C24="",V24=0),"",W24/V24)</f>
        <v/>
      </c>
      <c r="Y24" s="16" t="str">
        <f aca="false">IF(OR(C24="",V24=0),"",IF(W24&gt;=V24,"Sí","No"))</f>
        <v/>
      </c>
      <c r="Z24" s="9"/>
      <c r="AA24" s="9"/>
    </row>
    <row r="25" customFormat="false" ht="15" hidden="false" customHeight="false" outlineLevel="0" collapsed="false">
      <c r="A25" s="9"/>
      <c r="B25" s="9"/>
      <c r="C25" s="9"/>
      <c r="D25" s="16" t="str">
        <f aca="false">IF(C25="","",IFERROR(INDEX(LOOKAHEAD!$B$5:$B$604,MATCH(C25,LOOKAHEAD!$A$5:$A$604,0)),""))</f>
        <v/>
      </c>
      <c r="E25" s="16" t="str">
        <f aca="false">IF(C25="","",IFERROR(INDEX(LOOKAHEAD!$E$5:$E$604,MATCH(C25,LOOKAHEAD!$A$5:$A$604,0)),""))</f>
        <v/>
      </c>
      <c r="F25" s="16" t="str">
        <f aca="false">IF(C25="","",IFERROR(INDEX(LOOKAHEAD!$M$5:$M$604,MATCH(C25,LOOKAHEAD!$A$5:$A$604,0)),""))</f>
        <v/>
      </c>
      <c r="G25" s="9"/>
      <c r="H25" s="9"/>
      <c r="I25" s="16" t="str">
        <f aca="false">IF(C25="","",IFERROR(INDEX(LOOKAHEAD!$G$5:$G$604,MATCH(C25,LOOKAHEAD!$A$5:$A$604,0)),""))</f>
        <v/>
      </c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66" t="str">
        <f aca="false">IF(C25="","",SUM(J25:O25))</f>
        <v/>
      </c>
      <c r="W25" s="66" t="str">
        <f aca="false">IF(C25="","",SUM(P25:U25))</f>
        <v/>
      </c>
      <c r="X25" s="51" t="str">
        <f aca="false">IF(OR(C25="",V25=0),"",W25/V25)</f>
        <v/>
      </c>
      <c r="Y25" s="16" t="str">
        <f aca="false">IF(OR(C25="",V25=0),"",IF(W25&gt;=V25,"Sí","No"))</f>
        <v/>
      </c>
      <c r="Z25" s="9"/>
      <c r="AA25" s="9"/>
    </row>
    <row r="26" customFormat="false" ht="15" hidden="false" customHeight="false" outlineLevel="0" collapsed="false">
      <c r="A26" s="9"/>
      <c r="B26" s="9"/>
      <c r="C26" s="9"/>
      <c r="D26" s="16" t="str">
        <f aca="false">IF(C26="","",IFERROR(INDEX(LOOKAHEAD!$B$5:$B$604,MATCH(C26,LOOKAHEAD!$A$5:$A$604,0)),""))</f>
        <v/>
      </c>
      <c r="E26" s="16" t="str">
        <f aca="false">IF(C26="","",IFERROR(INDEX(LOOKAHEAD!$E$5:$E$604,MATCH(C26,LOOKAHEAD!$A$5:$A$604,0)),""))</f>
        <v/>
      </c>
      <c r="F26" s="16" t="str">
        <f aca="false">IF(C26="","",IFERROR(INDEX(LOOKAHEAD!$M$5:$M$604,MATCH(C26,LOOKAHEAD!$A$5:$A$604,0)),""))</f>
        <v/>
      </c>
      <c r="G26" s="9"/>
      <c r="H26" s="9"/>
      <c r="I26" s="16" t="str">
        <f aca="false">IF(C26="","",IFERROR(INDEX(LOOKAHEAD!$G$5:$G$604,MATCH(C26,LOOKAHEAD!$A$5:$A$604,0)),""))</f>
        <v/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66" t="str">
        <f aca="false">IF(C26="","",SUM(J26:O26))</f>
        <v/>
      </c>
      <c r="W26" s="66" t="str">
        <f aca="false">IF(C26="","",SUM(P26:U26))</f>
        <v/>
      </c>
      <c r="X26" s="51" t="str">
        <f aca="false">IF(OR(C26="",V26=0),"",W26/V26)</f>
        <v/>
      </c>
      <c r="Y26" s="16" t="str">
        <f aca="false">IF(OR(C26="",V26=0),"",IF(W26&gt;=V26,"Sí","No"))</f>
        <v/>
      </c>
      <c r="Z26" s="9"/>
      <c r="AA26" s="9"/>
    </row>
    <row r="27" customFormat="false" ht="15" hidden="false" customHeight="false" outlineLevel="0" collapsed="false">
      <c r="A27" s="9"/>
      <c r="B27" s="9"/>
      <c r="C27" s="9"/>
      <c r="D27" s="16" t="str">
        <f aca="false">IF(C27="","",IFERROR(INDEX(LOOKAHEAD!$B$5:$B$604,MATCH(C27,LOOKAHEAD!$A$5:$A$604,0)),""))</f>
        <v/>
      </c>
      <c r="E27" s="16" t="str">
        <f aca="false">IF(C27="","",IFERROR(INDEX(LOOKAHEAD!$E$5:$E$604,MATCH(C27,LOOKAHEAD!$A$5:$A$604,0)),""))</f>
        <v/>
      </c>
      <c r="F27" s="16" t="str">
        <f aca="false">IF(C27="","",IFERROR(INDEX(LOOKAHEAD!$M$5:$M$604,MATCH(C27,LOOKAHEAD!$A$5:$A$604,0)),""))</f>
        <v/>
      </c>
      <c r="G27" s="9"/>
      <c r="H27" s="9"/>
      <c r="I27" s="16" t="str">
        <f aca="false">IF(C27="","",IFERROR(INDEX(LOOKAHEAD!$G$5:$G$604,MATCH(C27,LOOKAHEAD!$A$5:$A$604,0)),""))</f>
        <v/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66" t="str">
        <f aca="false">IF(C27="","",SUM(J27:O27))</f>
        <v/>
      </c>
      <c r="W27" s="66" t="str">
        <f aca="false">IF(C27="","",SUM(P27:U27))</f>
        <v/>
      </c>
      <c r="X27" s="51" t="str">
        <f aca="false">IF(OR(C27="",V27=0),"",W27/V27)</f>
        <v/>
      </c>
      <c r="Y27" s="16" t="str">
        <f aca="false">IF(OR(C27="",V27=0),"",IF(W27&gt;=V27,"Sí","No"))</f>
        <v/>
      </c>
      <c r="Z27" s="9"/>
      <c r="AA27" s="9"/>
    </row>
    <row r="28" customFormat="false" ht="15" hidden="false" customHeight="false" outlineLevel="0" collapsed="false">
      <c r="A28" s="9"/>
      <c r="B28" s="9"/>
      <c r="C28" s="9"/>
      <c r="D28" s="16" t="str">
        <f aca="false">IF(C28="","",IFERROR(INDEX(LOOKAHEAD!$B$5:$B$604,MATCH(C28,LOOKAHEAD!$A$5:$A$604,0)),""))</f>
        <v/>
      </c>
      <c r="E28" s="16" t="str">
        <f aca="false">IF(C28="","",IFERROR(INDEX(LOOKAHEAD!$E$5:$E$604,MATCH(C28,LOOKAHEAD!$A$5:$A$604,0)),""))</f>
        <v/>
      </c>
      <c r="F28" s="16" t="str">
        <f aca="false">IF(C28="","",IFERROR(INDEX(LOOKAHEAD!$M$5:$M$604,MATCH(C28,LOOKAHEAD!$A$5:$A$604,0)),""))</f>
        <v/>
      </c>
      <c r="G28" s="9"/>
      <c r="H28" s="9"/>
      <c r="I28" s="16" t="str">
        <f aca="false">IF(C28="","",IFERROR(INDEX(LOOKAHEAD!$G$5:$G$604,MATCH(C28,LOOKAHEAD!$A$5:$A$604,0)),""))</f>
        <v/>
      </c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66" t="str">
        <f aca="false">IF(C28="","",SUM(J28:O28))</f>
        <v/>
      </c>
      <c r="W28" s="66" t="str">
        <f aca="false">IF(C28="","",SUM(P28:U28))</f>
        <v/>
      </c>
      <c r="X28" s="51" t="str">
        <f aca="false">IF(OR(C28="",V28=0),"",W28/V28)</f>
        <v/>
      </c>
      <c r="Y28" s="16" t="str">
        <f aca="false">IF(OR(C28="",V28=0),"",IF(W28&gt;=V28,"Sí","No"))</f>
        <v/>
      </c>
      <c r="Z28" s="9"/>
      <c r="AA28" s="9"/>
    </row>
    <row r="29" customFormat="false" ht="15" hidden="false" customHeight="false" outlineLevel="0" collapsed="false">
      <c r="A29" s="9"/>
      <c r="B29" s="9"/>
      <c r="C29" s="9"/>
      <c r="D29" s="16" t="str">
        <f aca="false">IF(C29="","",IFERROR(INDEX(LOOKAHEAD!$B$5:$B$604,MATCH(C29,LOOKAHEAD!$A$5:$A$604,0)),""))</f>
        <v/>
      </c>
      <c r="E29" s="16" t="str">
        <f aca="false">IF(C29="","",IFERROR(INDEX(LOOKAHEAD!$E$5:$E$604,MATCH(C29,LOOKAHEAD!$A$5:$A$604,0)),""))</f>
        <v/>
      </c>
      <c r="F29" s="16" t="str">
        <f aca="false">IF(C29="","",IFERROR(INDEX(LOOKAHEAD!$M$5:$M$604,MATCH(C29,LOOKAHEAD!$A$5:$A$604,0)),""))</f>
        <v/>
      </c>
      <c r="G29" s="9"/>
      <c r="H29" s="9"/>
      <c r="I29" s="16" t="str">
        <f aca="false">IF(C29="","",IFERROR(INDEX(LOOKAHEAD!$G$5:$G$604,MATCH(C29,LOOKAHEAD!$A$5:$A$604,0)),""))</f>
        <v/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66" t="str">
        <f aca="false">IF(C29="","",SUM(J29:O29))</f>
        <v/>
      </c>
      <c r="W29" s="66" t="str">
        <f aca="false">IF(C29="","",SUM(P29:U29))</f>
        <v/>
      </c>
      <c r="X29" s="51" t="str">
        <f aca="false">IF(OR(C29="",V29=0),"",W29/V29)</f>
        <v/>
      </c>
      <c r="Y29" s="16" t="str">
        <f aca="false">IF(OR(C29="",V29=0),"",IF(W29&gt;=V29,"Sí","No"))</f>
        <v/>
      </c>
      <c r="Z29" s="9"/>
      <c r="AA29" s="9"/>
    </row>
    <row r="30" customFormat="false" ht="15" hidden="false" customHeight="false" outlineLevel="0" collapsed="false">
      <c r="A30" s="9"/>
      <c r="B30" s="9"/>
      <c r="C30" s="9"/>
      <c r="D30" s="16" t="str">
        <f aca="false">IF(C30="","",IFERROR(INDEX(LOOKAHEAD!$B$5:$B$604,MATCH(C30,LOOKAHEAD!$A$5:$A$604,0)),""))</f>
        <v/>
      </c>
      <c r="E30" s="16" t="str">
        <f aca="false">IF(C30="","",IFERROR(INDEX(LOOKAHEAD!$E$5:$E$604,MATCH(C30,LOOKAHEAD!$A$5:$A$604,0)),""))</f>
        <v/>
      </c>
      <c r="F30" s="16" t="str">
        <f aca="false">IF(C30="","",IFERROR(INDEX(LOOKAHEAD!$M$5:$M$604,MATCH(C30,LOOKAHEAD!$A$5:$A$604,0)),""))</f>
        <v/>
      </c>
      <c r="G30" s="9"/>
      <c r="H30" s="9"/>
      <c r="I30" s="16" t="str">
        <f aca="false">IF(C30="","",IFERROR(INDEX(LOOKAHEAD!$G$5:$G$604,MATCH(C30,LOOKAHEAD!$A$5:$A$604,0)),""))</f>
        <v/>
      </c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66" t="str">
        <f aca="false">IF(C30="","",SUM(J30:O30))</f>
        <v/>
      </c>
      <c r="W30" s="66" t="str">
        <f aca="false">IF(C30="","",SUM(P30:U30))</f>
        <v/>
      </c>
      <c r="X30" s="51" t="str">
        <f aca="false">IF(OR(C30="",V30=0),"",W30/V30)</f>
        <v/>
      </c>
      <c r="Y30" s="16" t="str">
        <f aca="false">IF(OR(C30="",V30=0),"",IF(W30&gt;=V30,"Sí","No"))</f>
        <v/>
      </c>
      <c r="Z30" s="9"/>
      <c r="AA30" s="9"/>
    </row>
    <row r="31" customFormat="false" ht="15" hidden="false" customHeight="false" outlineLevel="0" collapsed="false">
      <c r="A31" s="9"/>
      <c r="B31" s="9"/>
      <c r="C31" s="9"/>
      <c r="D31" s="16" t="str">
        <f aca="false">IF(C31="","",IFERROR(INDEX(LOOKAHEAD!$B$5:$B$604,MATCH(C31,LOOKAHEAD!$A$5:$A$604,0)),""))</f>
        <v/>
      </c>
      <c r="E31" s="16" t="str">
        <f aca="false">IF(C31="","",IFERROR(INDEX(LOOKAHEAD!$E$5:$E$604,MATCH(C31,LOOKAHEAD!$A$5:$A$604,0)),""))</f>
        <v/>
      </c>
      <c r="F31" s="16" t="str">
        <f aca="false">IF(C31="","",IFERROR(INDEX(LOOKAHEAD!$M$5:$M$604,MATCH(C31,LOOKAHEAD!$A$5:$A$604,0)),""))</f>
        <v/>
      </c>
      <c r="G31" s="9"/>
      <c r="H31" s="9"/>
      <c r="I31" s="16" t="str">
        <f aca="false">IF(C31="","",IFERROR(INDEX(LOOKAHEAD!$G$5:$G$604,MATCH(C31,LOOKAHEAD!$A$5:$A$604,0)),""))</f>
        <v/>
      </c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66" t="str">
        <f aca="false">IF(C31="","",SUM(J31:O31))</f>
        <v/>
      </c>
      <c r="W31" s="66" t="str">
        <f aca="false">IF(C31="","",SUM(P31:U31))</f>
        <v/>
      </c>
      <c r="X31" s="51" t="str">
        <f aca="false">IF(OR(C31="",V31=0),"",W31/V31)</f>
        <v/>
      </c>
      <c r="Y31" s="16" t="str">
        <f aca="false">IF(OR(C31="",V31=0),"",IF(W31&gt;=V31,"Sí","No"))</f>
        <v/>
      </c>
      <c r="Z31" s="9"/>
      <c r="AA31" s="9"/>
    </row>
    <row r="32" customFormat="false" ht="15" hidden="false" customHeight="false" outlineLevel="0" collapsed="false">
      <c r="A32" s="9"/>
      <c r="B32" s="9"/>
      <c r="C32" s="9"/>
      <c r="D32" s="16" t="str">
        <f aca="false">IF(C32="","",IFERROR(INDEX(LOOKAHEAD!$B$5:$B$604,MATCH(C32,LOOKAHEAD!$A$5:$A$604,0)),""))</f>
        <v/>
      </c>
      <c r="E32" s="16" t="str">
        <f aca="false">IF(C32="","",IFERROR(INDEX(LOOKAHEAD!$E$5:$E$604,MATCH(C32,LOOKAHEAD!$A$5:$A$604,0)),""))</f>
        <v/>
      </c>
      <c r="F32" s="16" t="str">
        <f aca="false">IF(C32="","",IFERROR(INDEX(LOOKAHEAD!$M$5:$M$604,MATCH(C32,LOOKAHEAD!$A$5:$A$604,0)),""))</f>
        <v/>
      </c>
      <c r="G32" s="9"/>
      <c r="H32" s="9"/>
      <c r="I32" s="16" t="str">
        <f aca="false">IF(C32="","",IFERROR(INDEX(LOOKAHEAD!$G$5:$G$604,MATCH(C32,LOOKAHEAD!$A$5:$A$604,0)),""))</f>
        <v/>
      </c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66" t="str">
        <f aca="false">IF(C32="","",SUM(J32:O32))</f>
        <v/>
      </c>
      <c r="W32" s="66" t="str">
        <f aca="false">IF(C32="","",SUM(P32:U32))</f>
        <v/>
      </c>
      <c r="X32" s="51" t="str">
        <f aca="false">IF(OR(C32="",V32=0),"",W32/V32)</f>
        <v/>
      </c>
      <c r="Y32" s="16" t="str">
        <f aca="false">IF(OR(C32="",V32=0),"",IF(W32&gt;=V32,"Sí","No"))</f>
        <v/>
      </c>
      <c r="Z32" s="9"/>
      <c r="AA32" s="9"/>
    </row>
    <row r="33" customFormat="false" ht="15" hidden="false" customHeight="false" outlineLevel="0" collapsed="false">
      <c r="A33" s="9"/>
      <c r="B33" s="9"/>
      <c r="C33" s="9"/>
      <c r="D33" s="16" t="str">
        <f aca="false">IF(C33="","",IFERROR(INDEX(LOOKAHEAD!$B$5:$B$604,MATCH(C33,LOOKAHEAD!$A$5:$A$604,0)),""))</f>
        <v/>
      </c>
      <c r="E33" s="16" t="str">
        <f aca="false">IF(C33="","",IFERROR(INDEX(LOOKAHEAD!$E$5:$E$604,MATCH(C33,LOOKAHEAD!$A$5:$A$604,0)),""))</f>
        <v/>
      </c>
      <c r="F33" s="16" t="str">
        <f aca="false">IF(C33="","",IFERROR(INDEX(LOOKAHEAD!$M$5:$M$604,MATCH(C33,LOOKAHEAD!$A$5:$A$604,0)),""))</f>
        <v/>
      </c>
      <c r="G33" s="9"/>
      <c r="H33" s="9"/>
      <c r="I33" s="16" t="str">
        <f aca="false">IF(C33="","",IFERROR(INDEX(LOOKAHEAD!$G$5:$G$604,MATCH(C33,LOOKAHEAD!$A$5:$A$604,0)),""))</f>
        <v/>
      </c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66" t="str">
        <f aca="false">IF(C33="","",SUM(J33:O33))</f>
        <v/>
      </c>
      <c r="W33" s="66" t="str">
        <f aca="false">IF(C33="","",SUM(P33:U33))</f>
        <v/>
      </c>
      <c r="X33" s="51" t="str">
        <f aca="false">IF(OR(C33="",V33=0),"",W33/V33)</f>
        <v/>
      </c>
      <c r="Y33" s="16" t="str">
        <f aca="false">IF(OR(C33="",V33=0),"",IF(W33&gt;=V33,"Sí","No"))</f>
        <v/>
      </c>
      <c r="Z33" s="9"/>
      <c r="AA33" s="9"/>
    </row>
    <row r="34" customFormat="false" ht="15" hidden="false" customHeight="false" outlineLevel="0" collapsed="false">
      <c r="A34" s="9"/>
      <c r="B34" s="9"/>
      <c r="C34" s="9"/>
      <c r="D34" s="16" t="str">
        <f aca="false">IF(C34="","",IFERROR(INDEX(LOOKAHEAD!$B$5:$B$604,MATCH(C34,LOOKAHEAD!$A$5:$A$604,0)),""))</f>
        <v/>
      </c>
      <c r="E34" s="16" t="str">
        <f aca="false">IF(C34="","",IFERROR(INDEX(LOOKAHEAD!$E$5:$E$604,MATCH(C34,LOOKAHEAD!$A$5:$A$604,0)),""))</f>
        <v/>
      </c>
      <c r="F34" s="16" t="str">
        <f aca="false">IF(C34="","",IFERROR(INDEX(LOOKAHEAD!$M$5:$M$604,MATCH(C34,LOOKAHEAD!$A$5:$A$604,0)),""))</f>
        <v/>
      </c>
      <c r="G34" s="9"/>
      <c r="H34" s="9"/>
      <c r="I34" s="16" t="str">
        <f aca="false">IF(C34="","",IFERROR(INDEX(LOOKAHEAD!$G$5:$G$604,MATCH(C34,LOOKAHEAD!$A$5:$A$604,0)),""))</f>
        <v/>
      </c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66" t="str">
        <f aca="false">IF(C34="","",SUM(J34:O34))</f>
        <v/>
      </c>
      <c r="W34" s="66" t="str">
        <f aca="false">IF(C34="","",SUM(P34:U34))</f>
        <v/>
      </c>
      <c r="X34" s="51" t="str">
        <f aca="false">IF(OR(C34="",V34=0),"",W34/V34)</f>
        <v/>
      </c>
      <c r="Y34" s="16" t="str">
        <f aca="false">IF(OR(C34="",V34=0),"",IF(W34&gt;=V34,"Sí","No"))</f>
        <v/>
      </c>
      <c r="Z34" s="9"/>
      <c r="AA34" s="9"/>
    </row>
    <row r="35" customFormat="false" ht="15" hidden="false" customHeight="false" outlineLevel="0" collapsed="false">
      <c r="A35" s="9"/>
      <c r="B35" s="9"/>
      <c r="C35" s="9"/>
      <c r="D35" s="16" t="str">
        <f aca="false">IF(C35="","",IFERROR(INDEX(LOOKAHEAD!$B$5:$B$604,MATCH(C35,LOOKAHEAD!$A$5:$A$604,0)),""))</f>
        <v/>
      </c>
      <c r="E35" s="16" t="str">
        <f aca="false">IF(C35="","",IFERROR(INDEX(LOOKAHEAD!$E$5:$E$604,MATCH(C35,LOOKAHEAD!$A$5:$A$604,0)),""))</f>
        <v/>
      </c>
      <c r="F35" s="16" t="str">
        <f aca="false">IF(C35="","",IFERROR(INDEX(LOOKAHEAD!$M$5:$M$604,MATCH(C35,LOOKAHEAD!$A$5:$A$604,0)),""))</f>
        <v/>
      </c>
      <c r="G35" s="9"/>
      <c r="H35" s="9"/>
      <c r="I35" s="16" t="str">
        <f aca="false">IF(C35="","",IFERROR(INDEX(LOOKAHEAD!$G$5:$G$604,MATCH(C35,LOOKAHEAD!$A$5:$A$604,0)),""))</f>
        <v/>
      </c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66" t="str">
        <f aca="false">IF(C35="","",SUM(J35:O35))</f>
        <v/>
      </c>
      <c r="W35" s="66" t="str">
        <f aca="false">IF(C35="","",SUM(P35:U35))</f>
        <v/>
      </c>
      <c r="X35" s="51" t="str">
        <f aca="false">IF(OR(C35="",V35=0),"",W35/V35)</f>
        <v/>
      </c>
      <c r="Y35" s="16" t="str">
        <f aca="false">IF(OR(C35="",V35=0),"",IF(W35&gt;=V35,"Sí","No"))</f>
        <v/>
      </c>
      <c r="Z35" s="9"/>
      <c r="AA35" s="9"/>
    </row>
    <row r="36" customFormat="false" ht="15" hidden="false" customHeight="false" outlineLevel="0" collapsed="false">
      <c r="A36" s="9"/>
      <c r="B36" s="9"/>
      <c r="C36" s="9"/>
      <c r="D36" s="16" t="str">
        <f aca="false">IF(C36="","",IFERROR(INDEX(LOOKAHEAD!$B$5:$B$604,MATCH(C36,LOOKAHEAD!$A$5:$A$604,0)),""))</f>
        <v/>
      </c>
      <c r="E36" s="16" t="str">
        <f aca="false">IF(C36="","",IFERROR(INDEX(LOOKAHEAD!$E$5:$E$604,MATCH(C36,LOOKAHEAD!$A$5:$A$604,0)),""))</f>
        <v/>
      </c>
      <c r="F36" s="16" t="str">
        <f aca="false">IF(C36="","",IFERROR(INDEX(LOOKAHEAD!$M$5:$M$604,MATCH(C36,LOOKAHEAD!$A$5:$A$604,0)),""))</f>
        <v/>
      </c>
      <c r="G36" s="9"/>
      <c r="H36" s="9"/>
      <c r="I36" s="16" t="str">
        <f aca="false">IF(C36="","",IFERROR(INDEX(LOOKAHEAD!$G$5:$G$604,MATCH(C36,LOOKAHEAD!$A$5:$A$604,0)),""))</f>
        <v/>
      </c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66" t="str">
        <f aca="false">IF(C36="","",SUM(J36:O36))</f>
        <v/>
      </c>
      <c r="W36" s="66" t="str">
        <f aca="false">IF(C36="","",SUM(P36:U36))</f>
        <v/>
      </c>
      <c r="X36" s="51" t="str">
        <f aca="false">IF(OR(C36="",V36=0),"",W36/V36)</f>
        <v/>
      </c>
      <c r="Y36" s="16" t="str">
        <f aca="false">IF(OR(C36="",V36=0),"",IF(W36&gt;=V36,"Sí","No"))</f>
        <v/>
      </c>
      <c r="Z36" s="9"/>
      <c r="AA36" s="9"/>
    </row>
    <row r="37" customFormat="false" ht="15" hidden="false" customHeight="false" outlineLevel="0" collapsed="false">
      <c r="A37" s="9"/>
      <c r="B37" s="9"/>
      <c r="C37" s="9"/>
      <c r="D37" s="16" t="str">
        <f aca="false">IF(C37="","",IFERROR(INDEX(LOOKAHEAD!$B$5:$B$604,MATCH(C37,LOOKAHEAD!$A$5:$A$604,0)),""))</f>
        <v/>
      </c>
      <c r="E37" s="16" t="str">
        <f aca="false">IF(C37="","",IFERROR(INDEX(LOOKAHEAD!$E$5:$E$604,MATCH(C37,LOOKAHEAD!$A$5:$A$604,0)),""))</f>
        <v/>
      </c>
      <c r="F37" s="16" t="str">
        <f aca="false">IF(C37="","",IFERROR(INDEX(LOOKAHEAD!$M$5:$M$604,MATCH(C37,LOOKAHEAD!$A$5:$A$604,0)),""))</f>
        <v/>
      </c>
      <c r="G37" s="9"/>
      <c r="H37" s="9"/>
      <c r="I37" s="16" t="str">
        <f aca="false">IF(C37="","",IFERROR(INDEX(LOOKAHEAD!$G$5:$G$604,MATCH(C37,LOOKAHEAD!$A$5:$A$604,0)),""))</f>
        <v/>
      </c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66" t="str">
        <f aca="false">IF(C37="","",SUM(J37:O37))</f>
        <v/>
      </c>
      <c r="W37" s="66" t="str">
        <f aca="false">IF(C37="","",SUM(P37:U37))</f>
        <v/>
      </c>
      <c r="X37" s="51" t="str">
        <f aca="false">IF(OR(C37="",V37=0),"",W37/V37)</f>
        <v/>
      </c>
      <c r="Y37" s="16" t="str">
        <f aca="false">IF(OR(C37="",V37=0),"",IF(W37&gt;=V37,"Sí","No"))</f>
        <v/>
      </c>
      <c r="Z37" s="9"/>
      <c r="AA37" s="9"/>
    </row>
    <row r="38" customFormat="false" ht="15" hidden="false" customHeight="false" outlineLevel="0" collapsed="false">
      <c r="A38" s="9"/>
      <c r="B38" s="9"/>
      <c r="C38" s="9"/>
      <c r="D38" s="16" t="str">
        <f aca="false">IF(C38="","",IFERROR(INDEX(LOOKAHEAD!$B$5:$B$604,MATCH(C38,LOOKAHEAD!$A$5:$A$604,0)),""))</f>
        <v/>
      </c>
      <c r="E38" s="16" t="str">
        <f aca="false">IF(C38="","",IFERROR(INDEX(LOOKAHEAD!$E$5:$E$604,MATCH(C38,LOOKAHEAD!$A$5:$A$604,0)),""))</f>
        <v/>
      </c>
      <c r="F38" s="16" t="str">
        <f aca="false">IF(C38="","",IFERROR(INDEX(LOOKAHEAD!$M$5:$M$604,MATCH(C38,LOOKAHEAD!$A$5:$A$604,0)),""))</f>
        <v/>
      </c>
      <c r="G38" s="9"/>
      <c r="H38" s="9"/>
      <c r="I38" s="16" t="str">
        <f aca="false">IF(C38="","",IFERROR(INDEX(LOOKAHEAD!$G$5:$G$604,MATCH(C38,LOOKAHEAD!$A$5:$A$604,0)),""))</f>
        <v/>
      </c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66" t="str">
        <f aca="false">IF(C38="","",SUM(J38:O38))</f>
        <v/>
      </c>
      <c r="W38" s="66" t="str">
        <f aca="false">IF(C38="","",SUM(P38:U38))</f>
        <v/>
      </c>
      <c r="X38" s="51" t="str">
        <f aca="false">IF(OR(C38="",V38=0),"",W38/V38)</f>
        <v/>
      </c>
      <c r="Y38" s="16" t="str">
        <f aca="false">IF(OR(C38="",V38=0),"",IF(W38&gt;=V38,"Sí","No"))</f>
        <v/>
      </c>
      <c r="Z38" s="9"/>
      <c r="AA38" s="9"/>
    </row>
    <row r="39" customFormat="false" ht="15" hidden="false" customHeight="false" outlineLevel="0" collapsed="false">
      <c r="A39" s="9"/>
      <c r="B39" s="9"/>
      <c r="C39" s="9"/>
      <c r="D39" s="16" t="str">
        <f aca="false">IF(C39="","",IFERROR(INDEX(LOOKAHEAD!$B$5:$B$604,MATCH(C39,LOOKAHEAD!$A$5:$A$604,0)),""))</f>
        <v/>
      </c>
      <c r="E39" s="16" t="str">
        <f aca="false">IF(C39="","",IFERROR(INDEX(LOOKAHEAD!$E$5:$E$604,MATCH(C39,LOOKAHEAD!$A$5:$A$604,0)),""))</f>
        <v/>
      </c>
      <c r="F39" s="16" t="str">
        <f aca="false">IF(C39="","",IFERROR(INDEX(LOOKAHEAD!$M$5:$M$604,MATCH(C39,LOOKAHEAD!$A$5:$A$604,0)),""))</f>
        <v/>
      </c>
      <c r="G39" s="9"/>
      <c r="H39" s="9"/>
      <c r="I39" s="16" t="str">
        <f aca="false">IF(C39="","",IFERROR(INDEX(LOOKAHEAD!$G$5:$G$604,MATCH(C39,LOOKAHEAD!$A$5:$A$604,0)),""))</f>
        <v/>
      </c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66" t="str">
        <f aca="false">IF(C39="","",SUM(J39:O39))</f>
        <v/>
      </c>
      <c r="W39" s="66" t="str">
        <f aca="false">IF(C39="","",SUM(P39:U39))</f>
        <v/>
      </c>
      <c r="X39" s="51" t="str">
        <f aca="false">IF(OR(C39="",V39=0),"",W39/V39)</f>
        <v/>
      </c>
      <c r="Y39" s="16" t="str">
        <f aca="false">IF(OR(C39="",V39=0),"",IF(W39&gt;=V39,"Sí","No"))</f>
        <v/>
      </c>
      <c r="Z39" s="9"/>
      <c r="AA39" s="9"/>
    </row>
    <row r="40" customFormat="false" ht="15" hidden="false" customHeight="false" outlineLevel="0" collapsed="false">
      <c r="A40" s="9"/>
      <c r="B40" s="9"/>
      <c r="C40" s="9"/>
      <c r="D40" s="16" t="str">
        <f aca="false">IF(C40="","",IFERROR(INDEX(LOOKAHEAD!$B$5:$B$604,MATCH(C40,LOOKAHEAD!$A$5:$A$604,0)),""))</f>
        <v/>
      </c>
      <c r="E40" s="16" t="str">
        <f aca="false">IF(C40="","",IFERROR(INDEX(LOOKAHEAD!$E$5:$E$604,MATCH(C40,LOOKAHEAD!$A$5:$A$604,0)),""))</f>
        <v/>
      </c>
      <c r="F40" s="16" t="str">
        <f aca="false">IF(C40="","",IFERROR(INDEX(LOOKAHEAD!$M$5:$M$604,MATCH(C40,LOOKAHEAD!$A$5:$A$604,0)),""))</f>
        <v/>
      </c>
      <c r="G40" s="9"/>
      <c r="H40" s="9"/>
      <c r="I40" s="16" t="str">
        <f aca="false">IF(C40="","",IFERROR(INDEX(LOOKAHEAD!$G$5:$G$604,MATCH(C40,LOOKAHEAD!$A$5:$A$604,0)),""))</f>
        <v/>
      </c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66" t="str">
        <f aca="false">IF(C40="","",SUM(J40:O40))</f>
        <v/>
      </c>
      <c r="W40" s="66" t="str">
        <f aca="false">IF(C40="","",SUM(P40:U40))</f>
        <v/>
      </c>
      <c r="X40" s="51" t="str">
        <f aca="false">IF(OR(C40="",V40=0),"",W40/V40)</f>
        <v/>
      </c>
      <c r="Y40" s="16" t="str">
        <f aca="false">IF(OR(C40="",V40=0),"",IF(W40&gt;=V40,"Sí","No"))</f>
        <v/>
      </c>
      <c r="Z40" s="9"/>
      <c r="AA40" s="9"/>
    </row>
    <row r="41" customFormat="false" ht="15" hidden="false" customHeight="false" outlineLevel="0" collapsed="false">
      <c r="A41" s="9"/>
      <c r="B41" s="9"/>
      <c r="C41" s="9"/>
      <c r="D41" s="16" t="str">
        <f aca="false">IF(C41="","",IFERROR(INDEX(LOOKAHEAD!$B$5:$B$604,MATCH(C41,LOOKAHEAD!$A$5:$A$604,0)),""))</f>
        <v/>
      </c>
      <c r="E41" s="16" t="str">
        <f aca="false">IF(C41="","",IFERROR(INDEX(LOOKAHEAD!$E$5:$E$604,MATCH(C41,LOOKAHEAD!$A$5:$A$604,0)),""))</f>
        <v/>
      </c>
      <c r="F41" s="16" t="str">
        <f aca="false">IF(C41="","",IFERROR(INDEX(LOOKAHEAD!$M$5:$M$604,MATCH(C41,LOOKAHEAD!$A$5:$A$604,0)),""))</f>
        <v/>
      </c>
      <c r="G41" s="9"/>
      <c r="H41" s="9"/>
      <c r="I41" s="16" t="str">
        <f aca="false">IF(C41="","",IFERROR(INDEX(LOOKAHEAD!$G$5:$G$604,MATCH(C41,LOOKAHEAD!$A$5:$A$604,0)),""))</f>
        <v/>
      </c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66" t="str">
        <f aca="false">IF(C41="","",SUM(J41:O41))</f>
        <v/>
      </c>
      <c r="W41" s="66" t="str">
        <f aca="false">IF(C41="","",SUM(P41:U41))</f>
        <v/>
      </c>
      <c r="X41" s="51" t="str">
        <f aca="false">IF(OR(C41="",V41=0),"",W41/V41)</f>
        <v/>
      </c>
      <c r="Y41" s="16" t="str">
        <f aca="false">IF(OR(C41="",V41=0),"",IF(W41&gt;=V41,"Sí","No"))</f>
        <v/>
      </c>
      <c r="Z41" s="9"/>
      <c r="AA41" s="9"/>
    </row>
    <row r="42" customFormat="false" ht="15" hidden="false" customHeight="false" outlineLevel="0" collapsed="false">
      <c r="A42" s="9"/>
      <c r="B42" s="9"/>
      <c r="C42" s="9"/>
      <c r="D42" s="16" t="str">
        <f aca="false">IF(C42="","",IFERROR(INDEX(LOOKAHEAD!$B$5:$B$604,MATCH(C42,LOOKAHEAD!$A$5:$A$604,0)),""))</f>
        <v/>
      </c>
      <c r="E42" s="16" t="str">
        <f aca="false">IF(C42="","",IFERROR(INDEX(LOOKAHEAD!$E$5:$E$604,MATCH(C42,LOOKAHEAD!$A$5:$A$604,0)),""))</f>
        <v/>
      </c>
      <c r="F42" s="16" t="str">
        <f aca="false">IF(C42="","",IFERROR(INDEX(LOOKAHEAD!$M$5:$M$604,MATCH(C42,LOOKAHEAD!$A$5:$A$604,0)),""))</f>
        <v/>
      </c>
      <c r="G42" s="9"/>
      <c r="H42" s="9"/>
      <c r="I42" s="16" t="str">
        <f aca="false">IF(C42="","",IFERROR(INDEX(LOOKAHEAD!$G$5:$G$604,MATCH(C42,LOOKAHEAD!$A$5:$A$604,0)),""))</f>
        <v/>
      </c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66" t="str">
        <f aca="false">IF(C42="","",SUM(J42:O42))</f>
        <v/>
      </c>
      <c r="W42" s="66" t="str">
        <f aca="false">IF(C42="","",SUM(P42:U42))</f>
        <v/>
      </c>
      <c r="X42" s="51" t="str">
        <f aca="false">IF(OR(C42="",V42=0),"",W42/V42)</f>
        <v/>
      </c>
      <c r="Y42" s="16" t="str">
        <f aca="false">IF(OR(C42="",V42=0),"",IF(W42&gt;=V42,"Sí","No"))</f>
        <v/>
      </c>
      <c r="Z42" s="9"/>
      <c r="AA42" s="9"/>
    </row>
    <row r="43" customFormat="false" ht="15" hidden="false" customHeight="false" outlineLevel="0" collapsed="false">
      <c r="A43" s="9"/>
      <c r="B43" s="9"/>
      <c r="C43" s="9"/>
      <c r="D43" s="16" t="str">
        <f aca="false">IF(C43="","",IFERROR(INDEX(LOOKAHEAD!$B$5:$B$604,MATCH(C43,LOOKAHEAD!$A$5:$A$604,0)),""))</f>
        <v/>
      </c>
      <c r="E43" s="16" t="str">
        <f aca="false">IF(C43="","",IFERROR(INDEX(LOOKAHEAD!$E$5:$E$604,MATCH(C43,LOOKAHEAD!$A$5:$A$604,0)),""))</f>
        <v/>
      </c>
      <c r="F43" s="16" t="str">
        <f aca="false">IF(C43="","",IFERROR(INDEX(LOOKAHEAD!$M$5:$M$604,MATCH(C43,LOOKAHEAD!$A$5:$A$604,0)),""))</f>
        <v/>
      </c>
      <c r="G43" s="9"/>
      <c r="H43" s="9"/>
      <c r="I43" s="16" t="str">
        <f aca="false">IF(C43="","",IFERROR(INDEX(LOOKAHEAD!$G$5:$G$604,MATCH(C43,LOOKAHEAD!$A$5:$A$604,0)),""))</f>
        <v/>
      </c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66" t="str">
        <f aca="false">IF(C43="","",SUM(J43:O43))</f>
        <v/>
      </c>
      <c r="W43" s="66" t="str">
        <f aca="false">IF(C43="","",SUM(P43:U43))</f>
        <v/>
      </c>
      <c r="X43" s="51" t="str">
        <f aca="false">IF(OR(C43="",V43=0),"",W43/V43)</f>
        <v/>
      </c>
      <c r="Y43" s="16" t="str">
        <f aca="false">IF(OR(C43="",V43=0),"",IF(W43&gt;=V43,"Sí","No"))</f>
        <v/>
      </c>
      <c r="Z43" s="9"/>
      <c r="AA43" s="9"/>
    </row>
    <row r="44" customFormat="false" ht="15" hidden="false" customHeight="false" outlineLevel="0" collapsed="false">
      <c r="A44" s="9"/>
      <c r="B44" s="9"/>
      <c r="C44" s="9"/>
      <c r="D44" s="16" t="str">
        <f aca="false">IF(C44="","",IFERROR(INDEX(LOOKAHEAD!$B$5:$B$604,MATCH(C44,LOOKAHEAD!$A$5:$A$604,0)),""))</f>
        <v/>
      </c>
      <c r="E44" s="16" t="str">
        <f aca="false">IF(C44="","",IFERROR(INDEX(LOOKAHEAD!$E$5:$E$604,MATCH(C44,LOOKAHEAD!$A$5:$A$604,0)),""))</f>
        <v/>
      </c>
      <c r="F44" s="16" t="str">
        <f aca="false">IF(C44="","",IFERROR(INDEX(LOOKAHEAD!$M$5:$M$604,MATCH(C44,LOOKAHEAD!$A$5:$A$604,0)),""))</f>
        <v/>
      </c>
      <c r="G44" s="9"/>
      <c r="H44" s="9"/>
      <c r="I44" s="16" t="str">
        <f aca="false">IF(C44="","",IFERROR(INDEX(LOOKAHEAD!$G$5:$G$604,MATCH(C44,LOOKAHEAD!$A$5:$A$604,0)),""))</f>
        <v/>
      </c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66" t="str">
        <f aca="false">IF(C44="","",SUM(J44:O44))</f>
        <v/>
      </c>
      <c r="W44" s="66" t="str">
        <f aca="false">IF(C44="","",SUM(P44:U44))</f>
        <v/>
      </c>
      <c r="X44" s="51" t="str">
        <f aca="false">IF(OR(C44="",V44=0),"",W44/V44)</f>
        <v/>
      </c>
      <c r="Y44" s="16" t="str">
        <f aca="false">IF(OR(C44="",V44=0),"",IF(W44&gt;=V44,"Sí","No"))</f>
        <v/>
      </c>
      <c r="Z44" s="9"/>
      <c r="AA44" s="9"/>
    </row>
    <row r="45" customFormat="false" ht="15" hidden="false" customHeight="false" outlineLevel="0" collapsed="false">
      <c r="A45" s="9"/>
      <c r="B45" s="9"/>
      <c r="C45" s="9"/>
      <c r="D45" s="16" t="str">
        <f aca="false">IF(C45="","",IFERROR(INDEX(LOOKAHEAD!$B$5:$B$604,MATCH(C45,LOOKAHEAD!$A$5:$A$604,0)),""))</f>
        <v/>
      </c>
      <c r="E45" s="16" t="str">
        <f aca="false">IF(C45="","",IFERROR(INDEX(LOOKAHEAD!$E$5:$E$604,MATCH(C45,LOOKAHEAD!$A$5:$A$604,0)),""))</f>
        <v/>
      </c>
      <c r="F45" s="16" t="str">
        <f aca="false">IF(C45="","",IFERROR(INDEX(LOOKAHEAD!$M$5:$M$604,MATCH(C45,LOOKAHEAD!$A$5:$A$604,0)),""))</f>
        <v/>
      </c>
      <c r="G45" s="9"/>
      <c r="H45" s="9"/>
      <c r="I45" s="16" t="str">
        <f aca="false">IF(C45="","",IFERROR(INDEX(LOOKAHEAD!$G$5:$G$604,MATCH(C45,LOOKAHEAD!$A$5:$A$604,0)),""))</f>
        <v/>
      </c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66" t="str">
        <f aca="false">IF(C45="","",SUM(J45:O45))</f>
        <v/>
      </c>
      <c r="W45" s="66" t="str">
        <f aca="false">IF(C45="","",SUM(P45:U45))</f>
        <v/>
      </c>
      <c r="X45" s="51" t="str">
        <f aca="false">IF(OR(C45="",V45=0),"",W45/V45)</f>
        <v/>
      </c>
      <c r="Y45" s="16" t="str">
        <f aca="false">IF(OR(C45="",V45=0),"",IF(W45&gt;=V45,"Sí","No"))</f>
        <v/>
      </c>
      <c r="Z45" s="9"/>
      <c r="AA45" s="9"/>
    </row>
    <row r="46" customFormat="false" ht="15" hidden="false" customHeight="false" outlineLevel="0" collapsed="false">
      <c r="A46" s="9"/>
      <c r="B46" s="9"/>
      <c r="C46" s="9"/>
      <c r="D46" s="16" t="str">
        <f aca="false">IF(C46="","",IFERROR(INDEX(LOOKAHEAD!$B$5:$B$604,MATCH(C46,LOOKAHEAD!$A$5:$A$604,0)),""))</f>
        <v/>
      </c>
      <c r="E46" s="16" t="str">
        <f aca="false">IF(C46="","",IFERROR(INDEX(LOOKAHEAD!$E$5:$E$604,MATCH(C46,LOOKAHEAD!$A$5:$A$604,0)),""))</f>
        <v/>
      </c>
      <c r="F46" s="16" t="str">
        <f aca="false">IF(C46="","",IFERROR(INDEX(LOOKAHEAD!$M$5:$M$604,MATCH(C46,LOOKAHEAD!$A$5:$A$604,0)),""))</f>
        <v/>
      </c>
      <c r="G46" s="9"/>
      <c r="H46" s="9"/>
      <c r="I46" s="16" t="str">
        <f aca="false">IF(C46="","",IFERROR(INDEX(LOOKAHEAD!$G$5:$G$604,MATCH(C46,LOOKAHEAD!$A$5:$A$604,0)),""))</f>
        <v/>
      </c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66" t="str">
        <f aca="false">IF(C46="","",SUM(J46:O46))</f>
        <v/>
      </c>
      <c r="W46" s="66" t="str">
        <f aca="false">IF(C46="","",SUM(P46:U46))</f>
        <v/>
      </c>
      <c r="X46" s="51" t="str">
        <f aca="false">IF(OR(C46="",V46=0),"",W46/V46)</f>
        <v/>
      </c>
      <c r="Y46" s="16" t="str">
        <f aca="false">IF(OR(C46="",V46=0),"",IF(W46&gt;=V46,"Sí","No"))</f>
        <v/>
      </c>
      <c r="Z46" s="9"/>
      <c r="AA46" s="9"/>
    </row>
    <row r="47" customFormat="false" ht="15" hidden="false" customHeight="false" outlineLevel="0" collapsed="false">
      <c r="A47" s="9"/>
      <c r="B47" s="9"/>
      <c r="C47" s="9"/>
      <c r="D47" s="16" t="str">
        <f aca="false">IF(C47="","",IFERROR(INDEX(LOOKAHEAD!$B$5:$B$604,MATCH(C47,LOOKAHEAD!$A$5:$A$604,0)),""))</f>
        <v/>
      </c>
      <c r="E47" s="16" t="str">
        <f aca="false">IF(C47="","",IFERROR(INDEX(LOOKAHEAD!$E$5:$E$604,MATCH(C47,LOOKAHEAD!$A$5:$A$604,0)),""))</f>
        <v/>
      </c>
      <c r="F47" s="16" t="str">
        <f aca="false">IF(C47="","",IFERROR(INDEX(LOOKAHEAD!$M$5:$M$604,MATCH(C47,LOOKAHEAD!$A$5:$A$604,0)),""))</f>
        <v/>
      </c>
      <c r="G47" s="9"/>
      <c r="H47" s="9"/>
      <c r="I47" s="16" t="str">
        <f aca="false">IF(C47="","",IFERROR(INDEX(LOOKAHEAD!$G$5:$G$604,MATCH(C47,LOOKAHEAD!$A$5:$A$604,0)),""))</f>
        <v/>
      </c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66" t="str">
        <f aca="false">IF(C47="","",SUM(J47:O47))</f>
        <v/>
      </c>
      <c r="W47" s="66" t="str">
        <f aca="false">IF(C47="","",SUM(P47:U47))</f>
        <v/>
      </c>
      <c r="X47" s="51" t="str">
        <f aca="false">IF(OR(C47="",V47=0),"",W47/V47)</f>
        <v/>
      </c>
      <c r="Y47" s="16" t="str">
        <f aca="false">IF(OR(C47="",V47=0),"",IF(W47&gt;=V47,"Sí","No"))</f>
        <v/>
      </c>
      <c r="Z47" s="9"/>
      <c r="AA47" s="9"/>
    </row>
    <row r="48" customFormat="false" ht="15" hidden="false" customHeight="false" outlineLevel="0" collapsed="false">
      <c r="A48" s="9"/>
      <c r="B48" s="9"/>
      <c r="C48" s="9"/>
      <c r="D48" s="16" t="str">
        <f aca="false">IF(C48="","",IFERROR(INDEX(LOOKAHEAD!$B$5:$B$604,MATCH(C48,LOOKAHEAD!$A$5:$A$604,0)),""))</f>
        <v/>
      </c>
      <c r="E48" s="16" t="str">
        <f aca="false">IF(C48="","",IFERROR(INDEX(LOOKAHEAD!$E$5:$E$604,MATCH(C48,LOOKAHEAD!$A$5:$A$604,0)),""))</f>
        <v/>
      </c>
      <c r="F48" s="16" t="str">
        <f aca="false">IF(C48="","",IFERROR(INDEX(LOOKAHEAD!$M$5:$M$604,MATCH(C48,LOOKAHEAD!$A$5:$A$604,0)),""))</f>
        <v/>
      </c>
      <c r="G48" s="9"/>
      <c r="H48" s="9"/>
      <c r="I48" s="16" t="str">
        <f aca="false">IF(C48="","",IFERROR(INDEX(LOOKAHEAD!$G$5:$G$604,MATCH(C48,LOOKAHEAD!$A$5:$A$604,0)),""))</f>
        <v/>
      </c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66" t="str">
        <f aca="false">IF(C48="","",SUM(J48:O48))</f>
        <v/>
      </c>
      <c r="W48" s="66" t="str">
        <f aca="false">IF(C48="","",SUM(P48:U48))</f>
        <v/>
      </c>
      <c r="X48" s="51" t="str">
        <f aca="false">IF(OR(C48="",V48=0),"",W48/V48)</f>
        <v/>
      </c>
      <c r="Y48" s="16" t="str">
        <f aca="false">IF(OR(C48="",V48=0),"",IF(W48&gt;=V48,"Sí","No"))</f>
        <v/>
      </c>
      <c r="Z48" s="9"/>
      <c r="AA48" s="9"/>
    </row>
    <row r="49" customFormat="false" ht="15" hidden="false" customHeight="false" outlineLevel="0" collapsed="false">
      <c r="A49" s="9"/>
      <c r="B49" s="9"/>
      <c r="C49" s="9"/>
      <c r="D49" s="16" t="str">
        <f aca="false">IF(C49="","",IFERROR(INDEX(LOOKAHEAD!$B$5:$B$604,MATCH(C49,LOOKAHEAD!$A$5:$A$604,0)),""))</f>
        <v/>
      </c>
      <c r="E49" s="16" t="str">
        <f aca="false">IF(C49="","",IFERROR(INDEX(LOOKAHEAD!$E$5:$E$604,MATCH(C49,LOOKAHEAD!$A$5:$A$604,0)),""))</f>
        <v/>
      </c>
      <c r="F49" s="16" t="str">
        <f aca="false">IF(C49="","",IFERROR(INDEX(LOOKAHEAD!$M$5:$M$604,MATCH(C49,LOOKAHEAD!$A$5:$A$604,0)),""))</f>
        <v/>
      </c>
      <c r="G49" s="9"/>
      <c r="H49" s="9"/>
      <c r="I49" s="16" t="str">
        <f aca="false">IF(C49="","",IFERROR(INDEX(LOOKAHEAD!$G$5:$G$604,MATCH(C49,LOOKAHEAD!$A$5:$A$604,0)),""))</f>
        <v/>
      </c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66" t="str">
        <f aca="false">IF(C49="","",SUM(J49:O49))</f>
        <v/>
      </c>
      <c r="W49" s="66" t="str">
        <f aca="false">IF(C49="","",SUM(P49:U49))</f>
        <v/>
      </c>
      <c r="X49" s="51" t="str">
        <f aca="false">IF(OR(C49="",V49=0),"",W49/V49)</f>
        <v/>
      </c>
      <c r="Y49" s="16" t="str">
        <f aca="false">IF(OR(C49="",V49=0),"",IF(W49&gt;=V49,"Sí","No"))</f>
        <v/>
      </c>
      <c r="Z49" s="9"/>
      <c r="AA49" s="9"/>
    </row>
    <row r="50" customFormat="false" ht="15" hidden="false" customHeight="false" outlineLevel="0" collapsed="false">
      <c r="A50" s="9"/>
      <c r="B50" s="9"/>
      <c r="C50" s="9"/>
      <c r="D50" s="16" t="str">
        <f aca="false">IF(C50="","",IFERROR(INDEX(LOOKAHEAD!$B$5:$B$604,MATCH(C50,LOOKAHEAD!$A$5:$A$604,0)),""))</f>
        <v/>
      </c>
      <c r="E50" s="16" t="str">
        <f aca="false">IF(C50="","",IFERROR(INDEX(LOOKAHEAD!$E$5:$E$604,MATCH(C50,LOOKAHEAD!$A$5:$A$604,0)),""))</f>
        <v/>
      </c>
      <c r="F50" s="16" t="str">
        <f aca="false">IF(C50="","",IFERROR(INDEX(LOOKAHEAD!$M$5:$M$604,MATCH(C50,LOOKAHEAD!$A$5:$A$604,0)),""))</f>
        <v/>
      </c>
      <c r="G50" s="9"/>
      <c r="H50" s="9"/>
      <c r="I50" s="16" t="str">
        <f aca="false">IF(C50="","",IFERROR(INDEX(LOOKAHEAD!$G$5:$G$604,MATCH(C50,LOOKAHEAD!$A$5:$A$604,0)),""))</f>
        <v/>
      </c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66" t="str">
        <f aca="false">IF(C50="","",SUM(J50:O50))</f>
        <v/>
      </c>
      <c r="W50" s="66" t="str">
        <f aca="false">IF(C50="","",SUM(P50:U50))</f>
        <v/>
      </c>
      <c r="X50" s="51" t="str">
        <f aca="false">IF(OR(C50="",V50=0),"",W50/V50)</f>
        <v/>
      </c>
      <c r="Y50" s="16" t="str">
        <f aca="false">IF(OR(C50="",V50=0),"",IF(W50&gt;=V50,"Sí","No"))</f>
        <v/>
      </c>
      <c r="Z50" s="9"/>
      <c r="AA50" s="9"/>
    </row>
    <row r="51" customFormat="false" ht="15" hidden="false" customHeight="false" outlineLevel="0" collapsed="false">
      <c r="A51" s="9"/>
      <c r="B51" s="9"/>
      <c r="C51" s="9"/>
      <c r="D51" s="16" t="str">
        <f aca="false">IF(C51="","",IFERROR(INDEX(LOOKAHEAD!$B$5:$B$604,MATCH(C51,LOOKAHEAD!$A$5:$A$604,0)),""))</f>
        <v/>
      </c>
      <c r="E51" s="16" t="str">
        <f aca="false">IF(C51="","",IFERROR(INDEX(LOOKAHEAD!$E$5:$E$604,MATCH(C51,LOOKAHEAD!$A$5:$A$604,0)),""))</f>
        <v/>
      </c>
      <c r="F51" s="16" t="str">
        <f aca="false">IF(C51="","",IFERROR(INDEX(LOOKAHEAD!$M$5:$M$604,MATCH(C51,LOOKAHEAD!$A$5:$A$604,0)),""))</f>
        <v/>
      </c>
      <c r="G51" s="9"/>
      <c r="H51" s="9"/>
      <c r="I51" s="16" t="str">
        <f aca="false">IF(C51="","",IFERROR(INDEX(LOOKAHEAD!$G$5:$G$604,MATCH(C51,LOOKAHEAD!$A$5:$A$604,0)),""))</f>
        <v/>
      </c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66" t="str">
        <f aca="false">IF(C51="","",SUM(J51:O51))</f>
        <v/>
      </c>
      <c r="W51" s="66" t="str">
        <f aca="false">IF(C51="","",SUM(P51:U51))</f>
        <v/>
      </c>
      <c r="X51" s="51" t="str">
        <f aca="false">IF(OR(C51="",V51=0),"",W51/V51)</f>
        <v/>
      </c>
      <c r="Y51" s="16" t="str">
        <f aca="false">IF(OR(C51="",V51=0),"",IF(W51&gt;=V51,"Sí","No"))</f>
        <v/>
      </c>
      <c r="Z51" s="9"/>
      <c r="AA51" s="9"/>
    </row>
    <row r="52" customFormat="false" ht="15" hidden="false" customHeight="false" outlineLevel="0" collapsed="false">
      <c r="A52" s="9"/>
      <c r="B52" s="9"/>
      <c r="C52" s="9"/>
      <c r="D52" s="16" t="str">
        <f aca="false">IF(C52="","",IFERROR(INDEX(LOOKAHEAD!$B$5:$B$604,MATCH(C52,LOOKAHEAD!$A$5:$A$604,0)),""))</f>
        <v/>
      </c>
      <c r="E52" s="16" t="str">
        <f aca="false">IF(C52="","",IFERROR(INDEX(LOOKAHEAD!$E$5:$E$604,MATCH(C52,LOOKAHEAD!$A$5:$A$604,0)),""))</f>
        <v/>
      </c>
      <c r="F52" s="16" t="str">
        <f aca="false">IF(C52="","",IFERROR(INDEX(LOOKAHEAD!$M$5:$M$604,MATCH(C52,LOOKAHEAD!$A$5:$A$604,0)),""))</f>
        <v/>
      </c>
      <c r="G52" s="9"/>
      <c r="H52" s="9"/>
      <c r="I52" s="16" t="str">
        <f aca="false">IF(C52="","",IFERROR(INDEX(LOOKAHEAD!$G$5:$G$604,MATCH(C52,LOOKAHEAD!$A$5:$A$604,0)),""))</f>
        <v/>
      </c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66" t="str">
        <f aca="false">IF(C52="","",SUM(J52:O52))</f>
        <v/>
      </c>
      <c r="W52" s="66" t="str">
        <f aca="false">IF(C52="","",SUM(P52:U52))</f>
        <v/>
      </c>
      <c r="X52" s="51" t="str">
        <f aca="false">IF(OR(C52="",V52=0),"",W52/V52)</f>
        <v/>
      </c>
      <c r="Y52" s="16" t="str">
        <f aca="false">IF(OR(C52="",V52=0),"",IF(W52&gt;=V52,"Sí","No"))</f>
        <v/>
      </c>
      <c r="Z52" s="9"/>
      <c r="AA52" s="9"/>
    </row>
    <row r="53" customFormat="false" ht="15" hidden="false" customHeight="false" outlineLevel="0" collapsed="false">
      <c r="A53" s="9"/>
      <c r="B53" s="9"/>
      <c r="C53" s="9"/>
      <c r="D53" s="16" t="str">
        <f aca="false">IF(C53="","",IFERROR(INDEX(LOOKAHEAD!$B$5:$B$604,MATCH(C53,LOOKAHEAD!$A$5:$A$604,0)),""))</f>
        <v/>
      </c>
      <c r="E53" s="16" t="str">
        <f aca="false">IF(C53="","",IFERROR(INDEX(LOOKAHEAD!$E$5:$E$604,MATCH(C53,LOOKAHEAD!$A$5:$A$604,0)),""))</f>
        <v/>
      </c>
      <c r="F53" s="16" t="str">
        <f aca="false">IF(C53="","",IFERROR(INDEX(LOOKAHEAD!$M$5:$M$604,MATCH(C53,LOOKAHEAD!$A$5:$A$604,0)),""))</f>
        <v/>
      </c>
      <c r="G53" s="9"/>
      <c r="H53" s="9"/>
      <c r="I53" s="16" t="str">
        <f aca="false">IF(C53="","",IFERROR(INDEX(LOOKAHEAD!$G$5:$G$604,MATCH(C53,LOOKAHEAD!$A$5:$A$604,0)),""))</f>
        <v/>
      </c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66" t="str">
        <f aca="false">IF(C53="","",SUM(J53:O53))</f>
        <v/>
      </c>
      <c r="W53" s="66" t="str">
        <f aca="false">IF(C53="","",SUM(P53:U53))</f>
        <v/>
      </c>
      <c r="X53" s="51" t="str">
        <f aca="false">IF(OR(C53="",V53=0),"",W53/V53)</f>
        <v/>
      </c>
      <c r="Y53" s="16" t="str">
        <f aca="false">IF(OR(C53="",V53=0),"",IF(W53&gt;=V53,"Sí","No"))</f>
        <v/>
      </c>
      <c r="Z53" s="9"/>
      <c r="AA53" s="9"/>
    </row>
    <row r="54" customFormat="false" ht="15" hidden="false" customHeight="false" outlineLevel="0" collapsed="false">
      <c r="A54" s="9"/>
      <c r="B54" s="9"/>
      <c r="C54" s="9"/>
      <c r="D54" s="16" t="str">
        <f aca="false">IF(C54="","",IFERROR(INDEX(LOOKAHEAD!$B$5:$B$604,MATCH(C54,LOOKAHEAD!$A$5:$A$604,0)),""))</f>
        <v/>
      </c>
      <c r="E54" s="16" t="str">
        <f aca="false">IF(C54="","",IFERROR(INDEX(LOOKAHEAD!$E$5:$E$604,MATCH(C54,LOOKAHEAD!$A$5:$A$604,0)),""))</f>
        <v/>
      </c>
      <c r="F54" s="16" t="str">
        <f aca="false">IF(C54="","",IFERROR(INDEX(LOOKAHEAD!$M$5:$M$604,MATCH(C54,LOOKAHEAD!$A$5:$A$604,0)),""))</f>
        <v/>
      </c>
      <c r="G54" s="9"/>
      <c r="H54" s="9"/>
      <c r="I54" s="16" t="str">
        <f aca="false">IF(C54="","",IFERROR(INDEX(LOOKAHEAD!$G$5:$G$604,MATCH(C54,LOOKAHEAD!$A$5:$A$604,0)),""))</f>
        <v/>
      </c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66" t="str">
        <f aca="false">IF(C54="","",SUM(J54:O54))</f>
        <v/>
      </c>
      <c r="W54" s="66" t="str">
        <f aca="false">IF(C54="","",SUM(P54:U54))</f>
        <v/>
      </c>
      <c r="X54" s="51" t="str">
        <f aca="false">IF(OR(C54="",V54=0),"",W54/V54)</f>
        <v/>
      </c>
      <c r="Y54" s="16" t="str">
        <f aca="false">IF(OR(C54="",V54=0),"",IF(W54&gt;=V54,"Sí","No"))</f>
        <v/>
      </c>
      <c r="Z54" s="9"/>
      <c r="AA54" s="9"/>
    </row>
    <row r="55" customFormat="false" ht="15" hidden="false" customHeight="false" outlineLevel="0" collapsed="false">
      <c r="A55" s="9"/>
      <c r="B55" s="9"/>
      <c r="C55" s="9"/>
      <c r="D55" s="16" t="str">
        <f aca="false">IF(C55="","",IFERROR(INDEX(LOOKAHEAD!$B$5:$B$604,MATCH(C55,LOOKAHEAD!$A$5:$A$604,0)),""))</f>
        <v/>
      </c>
      <c r="E55" s="16" t="str">
        <f aca="false">IF(C55="","",IFERROR(INDEX(LOOKAHEAD!$E$5:$E$604,MATCH(C55,LOOKAHEAD!$A$5:$A$604,0)),""))</f>
        <v/>
      </c>
      <c r="F55" s="16" t="str">
        <f aca="false">IF(C55="","",IFERROR(INDEX(LOOKAHEAD!$M$5:$M$604,MATCH(C55,LOOKAHEAD!$A$5:$A$604,0)),""))</f>
        <v/>
      </c>
      <c r="G55" s="9"/>
      <c r="H55" s="9"/>
      <c r="I55" s="16" t="str">
        <f aca="false">IF(C55="","",IFERROR(INDEX(LOOKAHEAD!$G$5:$G$604,MATCH(C55,LOOKAHEAD!$A$5:$A$604,0)),""))</f>
        <v/>
      </c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66" t="str">
        <f aca="false">IF(C55="","",SUM(J55:O55))</f>
        <v/>
      </c>
      <c r="W55" s="66" t="str">
        <f aca="false">IF(C55="","",SUM(P55:U55))</f>
        <v/>
      </c>
      <c r="X55" s="51" t="str">
        <f aca="false">IF(OR(C55="",V55=0),"",W55/V55)</f>
        <v/>
      </c>
      <c r="Y55" s="16" t="str">
        <f aca="false">IF(OR(C55="",V55=0),"",IF(W55&gt;=V55,"Sí","No"))</f>
        <v/>
      </c>
      <c r="Z55" s="9"/>
      <c r="AA55" s="9"/>
    </row>
    <row r="56" customFormat="false" ht="15" hidden="false" customHeight="false" outlineLevel="0" collapsed="false">
      <c r="A56" s="9"/>
      <c r="B56" s="9"/>
      <c r="C56" s="9"/>
      <c r="D56" s="16" t="str">
        <f aca="false">IF(C56="","",IFERROR(INDEX(LOOKAHEAD!$B$5:$B$604,MATCH(C56,LOOKAHEAD!$A$5:$A$604,0)),""))</f>
        <v/>
      </c>
      <c r="E56" s="16" t="str">
        <f aca="false">IF(C56="","",IFERROR(INDEX(LOOKAHEAD!$E$5:$E$604,MATCH(C56,LOOKAHEAD!$A$5:$A$604,0)),""))</f>
        <v/>
      </c>
      <c r="F56" s="16" t="str">
        <f aca="false">IF(C56="","",IFERROR(INDEX(LOOKAHEAD!$M$5:$M$604,MATCH(C56,LOOKAHEAD!$A$5:$A$604,0)),""))</f>
        <v/>
      </c>
      <c r="G56" s="9"/>
      <c r="H56" s="9"/>
      <c r="I56" s="16" t="str">
        <f aca="false">IF(C56="","",IFERROR(INDEX(LOOKAHEAD!$G$5:$G$604,MATCH(C56,LOOKAHEAD!$A$5:$A$604,0)),""))</f>
        <v/>
      </c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66" t="str">
        <f aca="false">IF(C56="","",SUM(J56:O56))</f>
        <v/>
      </c>
      <c r="W56" s="66" t="str">
        <f aca="false">IF(C56="","",SUM(P56:U56))</f>
        <v/>
      </c>
      <c r="X56" s="51" t="str">
        <f aca="false">IF(OR(C56="",V56=0),"",W56/V56)</f>
        <v/>
      </c>
      <c r="Y56" s="16" t="str">
        <f aca="false">IF(OR(C56="",V56=0),"",IF(W56&gt;=V56,"Sí","No"))</f>
        <v/>
      </c>
      <c r="Z56" s="9"/>
      <c r="AA56" s="9"/>
    </row>
    <row r="57" customFormat="false" ht="15" hidden="false" customHeight="false" outlineLevel="0" collapsed="false">
      <c r="A57" s="9"/>
      <c r="B57" s="9"/>
      <c r="C57" s="9"/>
      <c r="D57" s="16" t="str">
        <f aca="false">IF(C57="","",IFERROR(INDEX(LOOKAHEAD!$B$5:$B$604,MATCH(C57,LOOKAHEAD!$A$5:$A$604,0)),""))</f>
        <v/>
      </c>
      <c r="E57" s="16" t="str">
        <f aca="false">IF(C57="","",IFERROR(INDEX(LOOKAHEAD!$E$5:$E$604,MATCH(C57,LOOKAHEAD!$A$5:$A$604,0)),""))</f>
        <v/>
      </c>
      <c r="F57" s="16" t="str">
        <f aca="false">IF(C57="","",IFERROR(INDEX(LOOKAHEAD!$M$5:$M$604,MATCH(C57,LOOKAHEAD!$A$5:$A$604,0)),""))</f>
        <v/>
      </c>
      <c r="G57" s="9"/>
      <c r="H57" s="9"/>
      <c r="I57" s="16" t="str">
        <f aca="false">IF(C57="","",IFERROR(INDEX(LOOKAHEAD!$G$5:$G$604,MATCH(C57,LOOKAHEAD!$A$5:$A$604,0)),""))</f>
        <v/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66" t="str">
        <f aca="false">IF(C57="","",SUM(J57:O57))</f>
        <v/>
      </c>
      <c r="W57" s="66" t="str">
        <f aca="false">IF(C57="","",SUM(P57:U57))</f>
        <v/>
      </c>
      <c r="X57" s="51" t="str">
        <f aca="false">IF(OR(C57="",V57=0),"",W57/V57)</f>
        <v/>
      </c>
      <c r="Y57" s="16" t="str">
        <f aca="false">IF(OR(C57="",V57=0),"",IF(W57&gt;=V57,"Sí","No"))</f>
        <v/>
      </c>
      <c r="Z57" s="9"/>
      <c r="AA57" s="9"/>
    </row>
    <row r="58" customFormat="false" ht="15" hidden="false" customHeight="false" outlineLevel="0" collapsed="false">
      <c r="A58" s="9"/>
      <c r="B58" s="9"/>
      <c r="C58" s="9"/>
      <c r="D58" s="16" t="str">
        <f aca="false">IF(C58="","",IFERROR(INDEX(LOOKAHEAD!$B$5:$B$604,MATCH(C58,LOOKAHEAD!$A$5:$A$604,0)),""))</f>
        <v/>
      </c>
      <c r="E58" s="16" t="str">
        <f aca="false">IF(C58="","",IFERROR(INDEX(LOOKAHEAD!$E$5:$E$604,MATCH(C58,LOOKAHEAD!$A$5:$A$604,0)),""))</f>
        <v/>
      </c>
      <c r="F58" s="16" t="str">
        <f aca="false">IF(C58="","",IFERROR(INDEX(LOOKAHEAD!$M$5:$M$604,MATCH(C58,LOOKAHEAD!$A$5:$A$604,0)),""))</f>
        <v/>
      </c>
      <c r="G58" s="9"/>
      <c r="H58" s="9"/>
      <c r="I58" s="16" t="str">
        <f aca="false">IF(C58="","",IFERROR(INDEX(LOOKAHEAD!$G$5:$G$604,MATCH(C58,LOOKAHEAD!$A$5:$A$604,0)),""))</f>
        <v/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66" t="str">
        <f aca="false">IF(C58="","",SUM(J58:O58))</f>
        <v/>
      </c>
      <c r="W58" s="66" t="str">
        <f aca="false">IF(C58="","",SUM(P58:U58))</f>
        <v/>
      </c>
      <c r="X58" s="51" t="str">
        <f aca="false">IF(OR(C58="",V58=0),"",W58/V58)</f>
        <v/>
      </c>
      <c r="Y58" s="16" t="str">
        <f aca="false">IF(OR(C58="",V58=0),"",IF(W58&gt;=V58,"Sí","No"))</f>
        <v/>
      </c>
      <c r="Z58" s="9"/>
      <c r="AA58" s="9"/>
    </row>
    <row r="59" customFormat="false" ht="15" hidden="false" customHeight="false" outlineLevel="0" collapsed="false">
      <c r="A59" s="9"/>
      <c r="B59" s="9"/>
      <c r="C59" s="9"/>
      <c r="D59" s="16" t="str">
        <f aca="false">IF(C59="","",IFERROR(INDEX(LOOKAHEAD!$B$5:$B$604,MATCH(C59,LOOKAHEAD!$A$5:$A$604,0)),""))</f>
        <v/>
      </c>
      <c r="E59" s="16" t="str">
        <f aca="false">IF(C59="","",IFERROR(INDEX(LOOKAHEAD!$E$5:$E$604,MATCH(C59,LOOKAHEAD!$A$5:$A$604,0)),""))</f>
        <v/>
      </c>
      <c r="F59" s="16" t="str">
        <f aca="false">IF(C59="","",IFERROR(INDEX(LOOKAHEAD!$M$5:$M$604,MATCH(C59,LOOKAHEAD!$A$5:$A$604,0)),""))</f>
        <v/>
      </c>
      <c r="G59" s="9"/>
      <c r="H59" s="9"/>
      <c r="I59" s="16" t="str">
        <f aca="false">IF(C59="","",IFERROR(INDEX(LOOKAHEAD!$G$5:$G$604,MATCH(C59,LOOKAHEAD!$A$5:$A$604,0)),""))</f>
        <v/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66" t="str">
        <f aca="false">IF(C59="","",SUM(J59:O59))</f>
        <v/>
      </c>
      <c r="W59" s="66" t="str">
        <f aca="false">IF(C59="","",SUM(P59:U59))</f>
        <v/>
      </c>
      <c r="X59" s="51" t="str">
        <f aca="false">IF(OR(C59="",V59=0),"",W59/V59)</f>
        <v/>
      </c>
      <c r="Y59" s="16" t="str">
        <f aca="false">IF(OR(C59="",V59=0),"",IF(W59&gt;=V59,"Sí","No"))</f>
        <v/>
      </c>
      <c r="Z59" s="9"/>
      <c r="AA59" s="9"/>
    </row>
    <row r="60" customFormat="false" ht="15" hidden="false" customHeight="false" outlineLevel="0" collapsed="false">
      <c r="A60" s="9"/>
      <c r="B60" s="9"/>
      <c r="C60" s="9"/>
      <c r="D60" s="16" t="str">
        <f aca="false">IF(C60="","",IFERROR(INDEX(LOOKAHEAD!$B$5:$B$604,MATCH(C60,LOOKAHEAD!$A$5:$A$604,0)),""))</f>
        <v/>
      </c>
      <c r="E60" s="16" t="str">
        <f aca="false">IF(C60="","",IFERROR(INDEX(LOOKAHEAD!$E$5:$E$604,MATCH(C60,LOOKAHEAD!$A$5:$A$604,0)),""))</f>
        <v/>
      </c>
      <c r="F60" s="16" t="str">
        <f aca="false">IF(C60="","",IFERROR(INDEX(LOOKAHEAD!$M$5:$M$604,MATCH(C60,LOOKAHEAD!$A$5:$A$604,0)),""))</f>
        <v/>
      </c>
      <c r="G60" s="9"/>
      <c r="H60" s="9"/>
      <c r="I60" s="16" t="str">
        <f aca="false">IF(C60="","",IFERROR(INDEX(LOOKAHEAD!$G$5:$G$604,MATCH(C60,LOOKAHEAD!$A$5:$A$604,0)),""))</f>
        <v/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66" t="str">
        <f aca="false">IF(C60="","",SUM(J60:O60))</f>
        <v/>
      </c>
      <c r="W60" s="66" t="str">
        <f aca="false">IF(C60="","",SUM(P60:U60))</f>
        <v/>
      </c>
      <c r="X60" s="51" t="str">
        <f aca="false">IF(OR(C60="",V60=0),"",W60/V60)</f>
        <v/>
      </c>
      <c r="Y60" s="16" t="str">
        <f aca="false">IF(OR(C60="",V60=0),"",IF(W60&gt;=V60,"Sí","No"))</f>
        <v/>
      </c>
      <c r="Z60" s="9"/>
      <c r="AA60" s="9"/>
    </row>
    <row r="61" customFormat="false" ht="15" hidden="false" customHeight="false" outlineLevel="0" collapsed="false">
      <c r="A61" s="9"/>
      <c r="B61" s="9"/>
      <c r="C61" s="9"/>
      <c r="D61" s="16" t="str">
        <f aca="false">IF(C61="","",IFERROR(INDEX(LOOKAHEAD!$B$5:$B$604,MATCH(C61,LOOKAHEAD!$A$5:$A$604,0)),""))</f>
        <v/>
      </c>
      <c r="E61" s="16" t="str">
        <f aca="false">IF(C61="","",IFERROR(INDEX(LOOKAHEAD!$E$5:$E$604,MATCH(C61,LOOKAHEAD!$A$5:$A$604,0)),""))</f>
        <v/>
      </c>
      <c r="F61" s="16" t="str">
        <f aca="false">IF(C61="","",IFERROR(INDEX(LOOKAHEAD!$M$5:$M$604,MATCH(C61,LOOKAHEAD!$A$5:$A$604,0)),""))</f>
        <v/>
      </c>
      <c r="G61" s="9"/>
      <c r="H61" s="9"/>
      <c r="I61" s="16" t="str">
        <f aca="false">IF(C61="","",IFERROR(INDEX(LOOKAHEAD!$G$5:$G$604,MATCH(C61,LOOKAHEAD!$A$5:$A$604,0)),""))</f>
        <v/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66" t="str">
        <f aca="false">IF(C61="","",SUM(J61:O61))</f>
        <v/>
      </c>
      <c r="W61" s="66" t="str">
        <f aca="false">IF(C61="","",SUM(P61:U61))</f>
        <v/>
      </c>
      <c r="X61" s="51" t="str">
        <f aca="false">IF(OR(C61="",V61=0),"",W61/V61)</f>
        <v/>
      </c>
      <c r="Y61" s="16" t="str">
        <f aca="false">IF(OR(C61="",V61=0),"",IF(W61&gt;=V61,"Sí","No"))</f>
        <v/>
      </c>
      <c r="Z61" s="9"/>
      <c r="AA61" s="9"/>
    </row>
    <row r="62" customFormat="false" ht="15" hidden="false" customHeight="false" outlineLevel="0" collapsed="false">
      <c r="A62" s="9"/>
      <c r="B62" s="9"/>
      <c r="C62" s="9"/>
      <c r="D62" s="16" t="str">
        <f aca="false">IF(C62="","",IFERROR(INDEX(LOOKAHEAD!$B$5:$B$604,MATCH(C62,LOOKAHEAD!$A$5:$A$604,0)),""))</f>
        <v/>
      </c>
      <c r="E62" s="16" t="str">
        <f aca="false">IF(C62="","",IFERROR(INDEX(LOOKAHEAD!$E$5:$E$604,MATCH(C62,LOOKAHEAD!$A$5:$A$604,0)),""))</f>
        <v/>
      </c>
      <c r="F62" s="16" t="str">
        <f aca="false">IF(C62="","",IFERROR(INDEX(LOOKAHEAD!$M$5:$M$604,MATCH(C62,LOOKAHEAD!$A$5:$A$604,0)),""))</f>
        <v/>
      </c>
      <c r="G62" s="9"/>
      <c r="H62" s="9"/>
      <c r="I62" s="16" t="str">
        <f aca="false">IF(C62="","",IFERROR(INDEX(LOOKAHEAD!$G$5:$G$604,MATCH(C62,LOOKAHEAD!$A$5:$A$604,0)),""))</f>
        <v/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66" t="str">
        <f aca="false">IF(C62="","",SUM(J62:O62))</f>
        <v/>
      </c>
      <c r="W62" s="66" t="str">
        <f aca="false">IF(C62="","",SUM(P62:U62))</f>
        <v/>
      </c>
      <c r="X62" s="51" t="str">
        <f aca="false">IF(OR(C62="",V62=0),"",W62/V62)</f>
        <v/>
      </c>
      <c r="Y62" s="16" t="str">
        <f aca="false">IF(OR(C62="",V62=0),"",IF(W62&gt;=V62,"Sí","No"))</f>
        <v/>
      </c>
      <c r="Z62" s="9"/>
      <c r="AA62" s="9"/>
    </row>
    <row r="63" customFormat="false" ht="15" hidden="false" customHeight="false" outlineLevel="0" collapsed="false">
      <c r="A63" s="9"/>
      <c r="B63" s="9"/>
      <c r="C63" s="9"/>
      <c r="D63" s="16" t="str">
        <f aca="false">IF(C63="","",IFERROR(INDEX(LOOKAHEAD!$B$5:$B$604,MATCH(C63,LOOKAHEAD!$A$5:$A$604,0)),""))</f>
        <v/>
      </c>
      <c r="E63" s="16" t="str">
        <f aca="false">IF(C63="","",IFERROR(INDEX(LOOKAHEAD!$E$5:$E$604,MATCH(C63,LOOKAHEAD!$A$5:$A$604,0)),""))</f>
        <v/>
      </c>
      <c r="F63" s="16" t="str">
        <f aca="false">IF(C63="","",IFERROR(INDEX(LOOKAHEAD!$M$5:$M$604,MATCH(C63,LOOKAHEAD!$A$5:$A$604,0)),""))</f>
        <v/>
      </c>
      <c r="G63" s="9"/>
      <c r="H63" s="9"/>
      <c r="I63" s="16" t="str">
        <f aca="false">IF(C63="","",IFERROR(INDEX(LOOKAHEAD!$G$5:$G$604,MATCH(C63,LOOKAHEAD!$A$5:$A$604,0)),""))</f>
        <v/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66" t="str">
        <f aca="false">IF(C63="","",SUM(J63:O63))</f>
        <v/>
      </c>
      <c r="W63" s="66" t="str">
        <f aca="false">IF(C63="","",SUM(P63:U63))</f>
        <v/>
      </c>
      <c r="X63" s="51" t="str">
        <f aca="false">IF(OR(C63="",V63=0),"",W63/V63)</f>
        <v/>
      </c>
      <c r="Y63" s="16" t="str">
        <f aca="false">IF(OR(C63="",V63=0),"",IF(W63&gt;=V63,"Sí","No"))</f>
        <v/>
      </c>
      <c r="Z63" s="9"/>
      <c r="AA63" s="9"/>
    </row>
    <row r="64" customFormat="false" ht="15" hidden="false" customHeight="false" outlineLevel="0" collapsed="false">
      <c r="A64" s="9"/>
      <c r="B64" s="9"/>
      <c r="C64" s="9"/>
      <c r="D64" s="16" t="str">
        <f aca="false">IF(C64="","",IFERROR(INDEX(LOOKAHEAD!$B$5:$B$604,MATCH(C64,LOOKAHEAD!$A$5:$A$604,0)),""))</f>
        <v/>
      </c>
      <c r="E64" s="16" t="str">
        <f aca="false">IF(C64="","",IFERROR(INDEX(LOOKAHEAD!$E$5:$E$604,MATCH(C64,LOOKAHEAD!$A$5:$A$604,0)),""))</f>
        <v/>
      </c>
      <c r="F64" s="16" t="str">
        <f aca="false">IF(C64="","",IFERROR(INDEX(LOOKAHEAD!$M$5:$M$604,MATCH(C64,LOOKAHEAD!$A$5:$A$604,0)),""))</f>
        <v/>
      </c>
      <c r="G64" s="9"/>
      <c r="H64" s="9"/>
      <c r="I64" s="16" t="str">
        <f aca="false">IF(C64="","",IFERROR(INDEX(LOOKAHEAD!$G$5:$G$604,MATCH(C64,LOOKAHEAD!$A$5:$A$604,0)),""))</f>
        <v/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66" t="str">
        <f aca="false">IF(C64="","",SUM(J64:O64))</f>
        <v/>
      </c>
      <c r="W64" s="66" t="str">
        <f aca="false">IF(C64="","",SUM(P64:U64))</f>
        <v/>
      </c>
      <c r="X64" s="51" t="str">
        <f aca="false">IF(OR(C64="",V64=0),"",W64/V64)</f>
        <v/>
      </c>
      <c r="Y64" s="16" t="str">
        <f aca="false">IF(OR(C64="",V64=0),"",IF(W64&gt;=V64,"Sí","No"))</f>
        <v/>
      </c>
      <c r="Z64" s="9"/>
      <c r="AA64" s="9"/>
    </row>
    <row r="65" customFormat="false" ht="15" hidden="false" customHeight="false" outlineLevel="0" collapsed="false">
      <c r="A65" s="9"/>
      <c r="B65" s="9"/>
      <c r="C65" s="9"/>
      <c r="D65" s="16" t="str">
        <f aca="false">IF(C65="","",IFERROR(INDEX(LOOKAHEAD!$B$5:$B$604,MATCH(C65,LOOKAHEAD!$A$5:$A$604,0)),""))</f>
        <v/>
      </c>
      <c r="E65" s="16" t="str">
        <f aca="false">IF(C65="","",IFERROR(INDEX(LOOKAHEAD!$E$5:$E$604,MATCH(C65,LOOKAHEAD!$A$5:$A$604,0)),""))</f>
        <v/>
      </c>
      <c r="F65" s="16" t="str">
        <f aca="false">IF(C65="","",IFERROR(INDEX(LOOKAHEAD!$M$5:$M$604,MATCH(C65,LOOKAHEAD!$A$5:$A$604,0)),""))</f>
        <v/>
      </c>
      <c r="G65" s="9"/>
      <c r="H65" s="9"/>
      <c r="I65" s="16" t="str">
        <f aca="false">IF(C65="","",IFERROR(INDEX(LOOKAHEAD!$G$5:$G$604,MATCH(C65,LOOKAHEAD!$A$5:$A$604,0)),""))</f>
        <v/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66" t="str">
        <f aca="false">IF(C65="","",SUM(J65:O65))</f>
        <v/>
      </c>
      <c r="W65" s="66" t="str">
        <f aca="false">IF(C65="","",SUM(P65:U65))</f>
        <v/>
      </c>
      <c r="X65" s="51" t="str">
        <f aca="false">IF(OR(C65="",V65=0),"",W65/V65)</f>
        <v/>
      </c>
      <c r="Y65" s="16" t="str">
        <f aca="false">IF(OR(C65="",V65=0),"",IF(W65&gt;=V65,"Sí","No"))</f>
        <v/>
      </c>
      <c r="Z65" s="9"/>
      <c r="AA65" s="9"/>
    </row>
    <row r="66" customFormat="false" ht="15" hidden="false" customHeight="false" outlineLevel="0" collapsed="false">
      <c r="A66" s="9"/>
      <c r="B66" s="9"/>
      <c r="C66" s="9"/>
      <c r="D66" s="16" t="str">
        <f aca="false">IF(C66="","",IFERROR(INDEX(LOOKAHEAD!$B$5:$B$604,MATCH(C66,LOOKAHEAD!$A$5:$A$604,0)),""))</f>
        <v/>
      </c>
      <c r="E66" s="16" t="str">
        <f aca="false">IF(C66="","",IFERROR(INDEX(LOOKAHEAD!$E$5:$E$604,MATCH(C66,LOOKAHEAD!$A$5:$A$604,0)),""))</f>
        <v/>
      </c>
      <c r="F66" s="16" t="str">
        <f aca="false">IF(C66="","",IFERROR(INDEX(LOOKAHEAD!$M$5:$M$604,MATCH(C66,LOOKAHEAD!$A$5:$A$604,0)),""))</f>
        <v/>
      </c>
      <c r="G66" s="9"/>
      <c r="H66" s="9"/>
      <c r="I66" s="16" t="str">
        <f aca="false">IF(C66="","",IFERROR(INDEX(LOOKAHEAD!$G$5:$G$604,MATCH(C66,LOOKAHEAD!$A$5:$A$604,0)),""))</f>
        <v/>
      </c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66" t="str">
        <f aca="false">IF(C66="","",SUM(J66:O66))</f>
        <v/>
      </c>
      <c r="W66" s="66" t="str">
        <f aca="false">IF(C66="","",SUM(P66:U66))</f>
        <v/>
      </c>
      <c r="X66" s="51" t="str">
        <f aca="false">IF(OR(C66="",V66=0),"",W66/V66)</f>
        <v/>
      </c>
      <c r="Y66" s="16" t="str">
        <f aca="false">IF(OR(C66="",V66=0),"",IF(W66&gt;=V66,"Sí","No"))</f>
        <v/>
      </c>
      <c r="Z66" s="9"/>
      <c r="AA66" s="9"/>
    </row>
    <row r="67" customFormat="false" ht="15" hidden="false" customHeight="false" outlineLevel="0" collapsed="false">
      <c r="A67" s="9"/>
      <c r="B67" s="9"/>
      <c r="C67" s="9"/>
      <c r="D67" s="16" t="str">
        <f aca="false">IF(C67="","",IFERROR(INDEX(LOOKAHEAD!$B$5:$B$604,MATCH(C67,LOOKAHEAD!$A$5:$A$604,0)),""))</f>
        <v/>
      </c>
      <c r="E67" s="16" t="str">
        <f aca="false">IF(C67="","",IFERROR(INDEX(LOOKAHEAD!$E$5:$E$604,MATCH(C67,LOOKAHEAD!$A$5:$A$604,0)),""))</f>
        <v/>
      </c>
      <c r="F67" s="16" t="str">
        <f aca="false">IF(C67="","",IFERROR(INDEX(LOOKAHEAD!$M$5:$M$604,MATCH(C67,LOOKAHEAD!$A$5:$A$604,0)),""))</f>
        <v/>
      </c>
      <c r="G67" s="9"/>
      <c r="H67" s="9"/>
      <c r="I67" s="16" t="str">
        <f aca="false">IF(C67="","",IFERROR(INDEX(LOOKAHEAD!$G$5:$G$604,MATCH(C67,LOOKAHEAD!$A$5:$A$604,0)),""))</f>
        <v/>
      </c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66" t="str">
        <f aca="false">IF(C67="","",SUM(J67:O67))</f>
        <v/>
      </c>
      <c r="W67" s="66" t="str">
        <f aca="false">IF(C67="","",SUM(P67:U67))</f>
        <v/>
      </c>
      <c r="X67" s="51" t="str">
        <f aca="false">IF(OR(C67="",V67=0),"",W67/V67)</f>
        <v/>
      </c>
      <c r="Y67" s="16" t="str">
        <f aca="false">IF(OR(C67="",V67=0),"",IF(W67&gt;=V67,"Sí","No"))</f>
        <v/>
      </c>
      <c r="Z67" s="9"/>
      <c r="AA67" s="9"/>
    </row>
    <row r="68" customFormat="false" ht="15" hidden="false" customHeight="false" outlineLevel="0" collapsed="false">
      <c r="A68" s="9"/>
      <c r="B68" s="9"/>
      <c r="C68" s="9"/>
      <c r="D68" s="16" t="str">
        <f aca="false">IF(C68="","",IFERROR(INDEX(LOOKAHEAD!$B$5:$B$604,MATCH(C68,LOOKAHEAD!$A$5:$A$604,0)),""))</f>
        <v/>
      </c>
      <c r="E68" s="16" t="str">
        <f aca="false">IF(C68="","",IFERROR(INDEX(LOOKAHEAD!$E$5:$E$604,MATCH(C68,LOOKAHEAD!$A$5:$A$604,0)),""))</f>
        <v/>
      </c>
      <c r="F68" s="16" t="str">
        <f aca="false">IF(C68="","",IFERROR(INDEX(LOOKAHEAD!$M$5:$M$604,MATCH(C68,LOOKAHEAD!$A$5:$A$604,0)),""))</f>
        <v/>
      </c>
      <c r="G68" s="9"/>
      <c r="H68" s="9"/>
      <c r="I68" s="16" t="str">
        <f aca="false">IF(C68="","",IFERROR(INDEX(LOOKAHEAD!$G$5:$G$604,MATCH(C68,LOOKAHEAD!$A$5:$A$604,0)),""))</f>
        <v/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66" t="str">
        <f aca="false">IF(C68="","",SUM(J68:O68))</f>
        <v/>
      </c>
      <c r="W68" s="66" t="str">
        <f aca="false">IF(C68="","",SUM(P68:U68))</f>
        <v/>
      </c>
      <c r="X68" s="51" t="str">
        <f aca="false">IF(OR(C68="",V68=0),"",W68/V68)</f>
        <v/>
      </c>
      <c r="Y68" s="16" t="str">
        <f aca="false">IF(OR(C68="",V68=0),"",IF(W68&gt;=V68,"Sí","No"))</f>
        <v/>
      </c>
      <c r="Z68" s="9"/>
      <c r="AA68" s="9"/>
    </row>
    <row r="69" customFormat="false" ht="15" hidden="false" customHeight="false" outlineLevel="0" collapsed="false">
      <c r="A69" s="9"/>
      <c r="B69" s="9"/>
      <c r="C69" s="9"/>
      <c r="D69" s="16" t="str">
        <f aca="false">IF(C69="","",IFERROR(INDEX(LOOKAHEAD!$B$5:$B$604,MATCH(C69,LOOKAHEAD!$A$5:$A$604,0)),""))</f>
        <v/>
      </c>
      <c r="E69" s="16" t="str">
        <f aca="false">IF(C69="","",IFERROR(INDEX(LOOKAHEAD!$E$5:$E$604,MATCH(C69,LOOKAHEAD!$A$5:$A$604,0)),""))</f>
        <v/>
      </c>
      <c r="F69" s="16" t="str">
        <f aca="false">IF(C69="","",IFERROR(INDEX(LOOKAHEAD!$M$5:$M$604,MATCH(C69,LOOKAHEAD!$A$5:$A$604,0)),""))</f>
        <v/>
      </c>
      <c r="G69" s="9"/>
      <c r="H69" s="9"/>
      <c r="I69" s="16" t="str">
        <f aca="false">IF(C69="","",IFERROR(INDEX(LOOKAHEAD!$G$5:$G$604,MATCH(C69,LOOKAHEAD!$A$5:$A$604,0)),""))</f>
        <v/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66" t="str">
        <f aca="false">IF(C69="","",SUM(J69:O69))</f>
        <v/>
      </c>
      <c r="W69" s="66" t="str">
        <f aca="false">IF(C69="","",SUM(P69:U69))</f>
        <v/>
      </c>
      <c r="X69" s="51" t="str">
        <f aca="false">IF(OR(C69="",V69=0),"",W69/V69)</f>
        <v/>
      </c>
      <c r="Y69" s="16" t="str">
        <f aca="false">IF(OR(C69="",V69=0),"",IF(W69&gt;=V69,"Sí","No"))</f>
        <v/>
      </c>
      <c r="Z69" s="9"/>
      <c r="AA69" s="9"/>
    </row>
    <row r="70" customFormat="false" ht="15" hidden="false" customHeight="false" outlineLevel="0" collapsed="false">
      <c r="A70" s="9"/>
      <c r="B70" s="9"/>
      <c r="C70" s="9"/>
      <c r="D70" s="16" t="str">
        <f aca="false">IF(C70="","",IFERROR(INDEX(LOOKAHEAD!$B$5:$B$604,MATCH(C70,LOOKAHEAD!$A$5:$A$604,0)),""))</f>
        <v/>
      </c>
      <c r="E70" s="16" t="str">
        <f aca="false">IF(C70="","",IFERROR(INDEX(LOOKAHEAD!$E$5:$E$604,MATCH(C70,LOOKAHEAD!$A$5:$A$604,0)),""))</f>
        <v/>
      </c>
      <c r="F70" s="16" t="str">
        <f aca="false">IF(C70="","",IFERROR(INDEX(LOOKAHEAD!$M$5:$M$604,MATCH(C70,LOOKAHEAD!$A$5:$A$604,0)),""))</f>
        <v/>
      </c>
      <c r="G70" s="9"/>
      <c r="H70" s="9"/>
      <c r="I70" s="16" t="str">
        <f aca="false">IF(C70="","",IFERROR(INDEX(LOOKAHEAD!$G$5:$G$604,MATCH(C70,LOOKAHEAD!$A$5:$A$604,0)),""))</f>
        <v/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66" t="str">
        <f aca="false">IF(C70="","",SUM(J70:O70))</f>
        <v/>
      </c>
      <c r="W70" s="66" t="str">
        <f aca="false">IF(C70="","",SUM(P70:U70))</f>
        <v/>
      </c>
      <c r="X70" s="51" t="str">
        <f aca="false">IF(OR(C70="",V70=0),"",W70/V70)</f>
        <v/>
      </c>
      <c r="Y70" s="16" t="str">
        <f aca="false">IF(OR(C70="",V70=0),"",IF(W70&gt;=V70,"Sí","No"))</f>
        <v/>
      </c>
      <c r="Z70" s="9"/>
      <c r="AA70" s="9"/>
    </row>
    <row r="71" customFormat="false" ht="15" hidden="false" customHeight="false" outlineLevel="0" collapsed="false">
      <c r="A71" s="9"/>
      <c r="B71" s="9"/>
      <c r="C71" s="9"/>
      <c r="D71" s="16" t="str">
        <f aca="false">IF(C71="","",IFERROR(INDEX(LOOKAHEAD!$B$5:$B$604,MATCH(C71,LOOKAHEAD!$A$5:$A$604,0)),""))</f>
        <v/>
      </c>
      <c r="E71" s="16" t="str">
        <f aca="false">IF(C71="","",IFERROR(INDEX(LOOKAHEAD!$E$5:$E$604,MATCH(C71,LOOKAHEAD!$A$5:$A$604,0)),""))</f>
        <v/>
      </c>
      <c r="F71" s="16" t="str">
        <f aca="false">IF(C71="","",IFERROR(INDEX(LOOKAHEAD!$M$5:$M$604,MATCH(C71,LOOKAHEAD!$A$5:$A$604,0)),""))</f>
        <v/>
      </c>
      <c r="G71" s="9"/>
      <c r="H71" s="9"/>
      <c r="I71" s="16" t="str">
        <f aca="false">IF(C71="","",IFERROR(INDEX(LOOKAHEAD!$G$5:$G$604,MATCH(C71,LOOKAHEAD!$A$5:$A$604,0)),""))</f>
        <v/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66" t="str">
        <f aca="false">IF(C71="","",SUM(J71:O71))</f>
        <v/>
      </c>
      <c r="W71" s="66" t="str">
        <f aca="false">IF(C71="","",SUM(P71:U71))</f>
        <v/>
      </c>
      <c r="X71" s="51" t="str">
        <f aca="false">IF(OR(C71="",V71=0),"",W71/V71)</f>
        <v/>
      </c>
      <c r="Y71" s="16" t="str">
        <f aca="false">IF(OR(C71="",V71=0),"",IF(W71&gt;=V71,"Sí","No"))</f>
        <v/>
      </c>
      <c r="Z71" s="9"/>
      <c r="AA71" s="9"/>
    </row>
    <row r="72" customFormat="false" ht="15" hidden="false" customHeight="false" outlineLevel="0" collapsed="false">
      <c r="A72" s="9"/>
      <c r="B72" s="9"/>
      <c r="C72" s="9"/>
      <c r="D72" s="16" t="str">
        <f aca="false">IF(C72="","",IFERROR(INDEX(LOOKAHEAD!$B$5:$B$604,MATCH(C72,LOOKAHEAD!$A$5:$A$604,0)),""))</f>
        <v/>
      </c>
      <c r="E72" s="16" t="str">
        <f aca="false">IF(C72="","",IFERROR(INDEX(LOOKAHEAD!$E$5:$E$604,MATCH(C72,LOOKAHEAD!$A$5:$A$604,0)),""))</f>
        <v/>
      </c>
      <c r="F72" s="16" t="str">
        <f aca="false">IF(C72="","",IFERROR(INDEX(LOOKAHEAD!$M$5:$M$604,MATCH(C72,LOOKAHEAD!$A$5:$A$604,0)),""))</f>
        <v/>
      </c>
      <c r="G72" s="9"/>
      <c r="H72" s="9"/>
      <c r="I72" s="16" t="str">
        <f aca="false">IF(C72="","",IFERROR(INDEX(LOOKAHEAD!$G$5:$G$604,MATCH(C72,LOOKAHEAD!$A$5:$A$604,0)),""))</f>
        <v/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66" t="str">
        <f aca="false">IF(C72="","",SUM(J72:O72))</f>
        <v/>
      </c>
      <c r="W72" s="66" t="str">
        <f aca="false">IF(C72="","",SUM(P72:U72))</f>
        <v/>
      </c>
      <c r="X72" s="51" t="str">
        <f aca="false">IF(OR(C72="",V72=0),"",W72/V72)</f>
        <v/>
      </c>
      <c r="Y72" s="16" t="str">
        <f aca="false">IF(OR(C72="",V72=0),"",IF(W72&gt;=V72,"Sí","No"))</f>
        <v/>
      </c>
      <c r="Z72" s="9"/>
      <c r="AA72" s="9"/>
    </row>
    <row r="73" customFormat="false" ht="15" hidden="false" customHeight="false" outlineLevel="0" collapsed="false">
      <c r="A73" s="9"/>
      <c r="B73" s="9"/>
      <c r="C73" s="9"/>
      <c r="D73" s="16" t="str">
        <f aca="false">IF(C73="","",IFERROR(INDEX(LOOKAHEAD!$B$5:$B$604,MATCH(C73,LOOKAHEAD!$A$5:$A$604,0)),""))</f>
        <v/>
      </c>
      <c r="E73" s="16" t="str">
        <f aca="false">IF(C73="","",IFERROR(INDEX(LOOKAHEAD!$E$5:$E$604,MATCH(C73,LOOKAHEAD!$A$5:$A$604,0)),""))</f>
        <v/>
      </c>
      <c r="F73" s="16" t="str">
        <f aca="false">IF(C73="","",IFERROR(INDEX(LOOKAHEAD!$M$5:$M$604,MATCH(C73,LOOKAHEAD!$A$5:$A$604,0)),""))</f>
        <v/>
      </c>
      <c r="G73" s="9"/>
      <c r="H73" s="9"/>
      <c r="I73" s="16" t="str">
        <f aca="false">IF(C73="","",IFERROR(INDEX(LOOKAHEAD!$G$5:$G$604,MATCH(C73,LOOKAHEAD!$A$5:$A$604,0)),""))</f>
        <v/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66" t="str">
        <f aca="false">IF(C73="","",SUM(J73:O73))</f>
        <v/>
      </c>
      <c r="W73" s="66" t="str">
        <f aca="false">IF(C73="","",SUM(P73:U73))</f>
        <v/>
      </c>
      <c r="X73" s="51" t="str">
        <f aca="false">IF(OR(C73="",V73=0),"",W73/V73)</f>
        <v/>
      </c>
      <c r="Y73" s="16" t="str">
        <f aca="false">IF(OR(C73="",V73=0),"",IF(W73&gt;=V73,"Sí","No"))</f>
        <v/>
      </c>
      <c r="Z73" s="9"/>
      <c r="AA73" s="9"/>
    </row>
    <row r="74" customFormat="false" ht="15" hidden="false" customHeight="false" outlineLevel="0" collapsed="false">
      <c r="A74" s="9"/>
      <c r="B74" s="9"/>
      <c r="C74" s="9"/>
      <c r="D74" s="16" t="str">
        <f aca="false">IF(C74="","",IFERROR(INDEX(LOOKAHEAD!$B$5:$B$604,MATCH(C74,LOOKAHEAD!$A$5:$A$604,0)),""))</f>
        <v/>
      </c>
      <c r="E74" s="16" t="str">
        <f aca="false">IF(C74="","",IFERROR(INDEX(LOOKAHEAD!$E$5:$E$604,MATCH(C74,LOOKAHEAD!$A$5:$A$604,0)),""))</f>
        <v/>
      </c>
      <c r="F74" s="16" t="str">
        <f aca="false">IF(C74="","",IFERROR(INDEX(LOOKAHEAD!$M$5:$M$604,MATCH(C74,LOOKAHEAD!$A$5:$A$604,0)),""))</f>
        <v/>
      </c>
      <c r="G74" s="9"/>
      <c r="H74" s="9"/>
      <c r="I74" s="16" t="str">
        <f aca="false">IF(C74="","",IFERROR(INDEX(LOOKAHEAD!$G$5:$G$604,MATCH(C74,LOOKAHEAD!$A$5:$A$604,0)),""))</f>
        <v/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66" t="str">
        <f aca="false">IF(C74="","",SUM(J74:O74))</f>
        <v/>
      </c>
      <c r="W74" s="66" t="str">
        <f aca="false">IF(C74="","",SUM(P74:U74))</f>
        <v/>
      </c>
      <c r="X74" s="51" t="str">
        <f aca="false">IF(OR(C74="",V74=0),"",W74/V74)</f>
        <v/>
      </c>
      <c r="Y74" s="16" t="str">
        <f aca="false">IF(OR(C74="",V74=0),"",IF(W74&gt;=V74,"Sí","No"))</f>
        <v/>
      </c>
      <c r="Z74" s="9"/>
      <c r="AA74" s="9"/>
    </row>
    <row r="75" customFormat="false" ht="15" hidden="false" customHeight="false" outlineLevel="0" collapsed="false">
      <c r="A75" s="9"/>
      <c r="B75" s="9"/>
      <c r="C75" s="9"/>
      <c r="D75" s="16" t="str">
        <f aca="false">IF(C75="","",IFERROR(INDEX(LOOKAHEAD!$B$5:$B$604,MATCH(C75,LOOKAHEAD!$A$5:$A$604,0)),""))</f>
        <v/>
      </c>
      <c r="E75" s="16" t="str">
        <f aca="false">IF(C75="","",IFERROR(INDEX(LOOKAHEAD!$E$5:$E$604,MATCH(C75,LOOKAHEAD!$A$5:$A$604,0)),""))</f>
        <v/>
      </c>
      <c r="F75" s="16" t="str">
        <f aca="false">IF(C75="","",IFERROR(INDEX(LOOKAHEAD!$M$5:$M$604,MATCH(C75,LOOKAHEAD!$A$5:$A$604,0)),""))</f>
        <v/>
      </c>
      <c r="G75" s="9"/>
      <c r="H75" s="9"/>
      <c r="I75" s="16" t="str">
        <f aca="false">IF(C75="","",IFERROR(INDEX(LOOKAHEAD!$G$5:$G$604,MATCH(C75,LOOKAHEAD!$A$5:$A$604,0)),""))</f>
        <v/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66" t="str">
        <f aca="false">IF(C75="","",SUM(J75:O75))</f>
        <v/>
      </c>
      <c r="W75" s="66" t="str">
        <f aca="false">IF(C75="","",SUM(P75:U75))</f>
        <v/>
      </c>
      <c r="X75" s="51" t="str">
        <f aca="false">IF(OR(C75="",V75=0),"",W75/V75)</f>
        <v/>
      </c>
      <c r="Y75" s="16" t="str">
        <f aca="false">IF(OR(C75="",V75=0),"",IF(W75&gt;=V75,"Sí","No"))</f>
        <v/>
      </c>
      <c r="Z75" s="9"/>
      <c r="AA75" s="9"/>
    </row>
    <row r="76" customFormat="false" ht="15" hidden="false" customHeight="false" outlineLevel="0" collapsed="false">
      <c r="A76" s="9"/>
      <c r="B76" s="9"/>
      <c r="C76" s="9"/>
      <c r="D76" s="16" t="str">
        <f aca="false">IF(C76="","",IFERROR(INDEX(LOOKAHEAD!$B$5:$B$604,MATCH(C76,LOOKAHEAD!$A$5:$A$604,0)),""))</f>
        <v/>
      </c>
      <c r="E76" s="16" t="str">
        <f aca="false">IF(C76="","",IFERROR(INDEX(LOOKAHEAD!$E$5:$E$604,MATCH(C76,LOOKAHEAD!$A$5:$A$604,0)),""))</f>
        <v/>
      </c>
      <c r="F76" s="16" t="str">
        <f aca="false">IF(C76="","",IFERROR(INDEX(LOOKAHEAD!$M$5:$M$604,MATCH(C76,LOOKAHEAD!$A$5:$A$604,0)),""))</f>
        <v/>
      </c>
      <c r="G76" s="9"/>
      <c r="H76" s="9"/>
      <c r="I76" s="16" t="str">
        <f aca="false">IF(C76="","",IFERROR(INDEX(LOOKAHEAD!$G$5:$G$604,MATCH(C76,LOOKAHEAD!$A$5:$A$604,0)),""))</f>
        <v/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66" t="str">
        <f aca="false">IF(C76="","",SUM(J76:O76))</f>
        <v/>
      </c>
      <c r="W76" s="66" t="str">
        <f aca="false">IF(C76="","",SUM(P76:U76))</f>
        <v/>
      </c>
      <c r="X76" s="51" t="str">
        <f aca="false">IF(OR(C76="",V76=0),"",W76/V76)</f>
        <v/>
      </c>
      <c r="Y76" s="16" t="str">
        <f aca="false">IF(OR(C76="",V76=0),"",IF(W76&gt;=V76,"Sí","No"))</f>
        <v/>
      </c>
      <c r="Z76" s="9"/>
      <c r="AA76" s="9"/>
    </row>
    <row r="77" customFormat="false" ht="15" hidden="false" customHeight="false" outlineLevel="0" collapsed="false">
      <c r="A77" s="9"/>
      <c r="B77" s="9"/>
      <c r="C77" s="9"/>
      <c r="D77" s="16" t="str">
        <f aca="false">IF(C77="","",IFERROR(INDEX(LOOKAHEAD!$B$5:$B$604,MATCH(C77,LOOKAHEAD!$A$5:$A$604,0)),""))</f>
        <v/>
      </c>
      <c r="E77" s="16" t="str">
        <f aca="false">IF(C77="","",IFERROR(INDEX(LOOKAHEAD!$E$5:$E$604,MATCH(C77,LOOKAHEAD!$A$5:$A$604,0)),""))</f>
        <v/>
      </c>
      <c r="F77" s="16" t="str">
        <f aca="false">IF(C77="","",IFERROR(INDEX(LOOKAHEAD!$M$5:$M$604,MATCH(C77,LOOKAHEAD!$A$5:$A$604,0)),""))</f>
        <v/>
      </c>
      <c r="G77" s="9"/>
      <c r="H77" s="9"/>
      <c r="I77" s="16" t="str">
        <f aca="false">IF(C77="","",IFERROR(INDEX(LOOKAHEAD!$G$5:$G$604,MATCH(C77,LOOKAHEAD!$A$5:$A$604,0)),""))</f>
        <v/>
      </c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66" t="str">
        <f aca="false">IF(C77="","",SUM(J77:O77))</f>
        <v/>
      </c>
      <c r="W77" s="66" t="str">
        <f aca="false">IF(C77="","",SUM(P77:U77))</f>
        <v/>
      </c>
      <c r="X77" s="51" t="str">
        <f aca="false">IF(OR(C77="",V77=0),"",W77/V77)</f>
        <v/>
      </c>
      <c r="Y77" s="16" t="str">
        <f aca="false">IF(OR(C77="",V77=0),"",IF(W77&gt;=V77,"Sí","No"))</f>
        <v/>
      </c>
      <c r="Z77" s="9"/>
      <c r="AA77" s="9"/>
    </row>
    <row r="78" customFormat="false" ht="15" hidden="false" customHeight="false" outlineLevel="0" collapsed="false">
      <c r="A78" s="9"/>
      <c r="B78" s="9"/>
      <c r="C78" s="9"/>
      <c r="D78" s="16" t="str">
        <f aca="false">IF(C78="","",IFERROR(INDEX(LOOKAHEAD!$B$5:$B$604,MATCH(C78,LOOKAHEAD!$A$5:$A$604,0)),""))</f>
        <v/>
      </c>
      <c r="E78" s="16" t="str">
        <f aca="false">IF(C78="","",IFERROR(INDEX(LOOKAHEAD!$E$5:$E$604,MATCH(C78,LOOKAHEAD!$A$5:$A$604,0)),""))</f>
        <v/>
      </c>
      <c r="F78" s="16" t="str">
        <f aca="false">IF(C78="","",IFERROR(INDEX(LOOKAHEAD!$M$5:$M$604,MATCH(C78,LOOKAHEAD!$A$5:$A$604,0)),""))</f>
        <v/>
      </c>
      <c r="G78" s="9"/>
      <c r="H78" s="9"/>
      <c r="I78" s="16" t="str">
        <f aca="false">IF(C78="","",IFERROR(INDEX(LOOKAHEAD!$G$5:$G$604,MATCH(C78,LOOKAHEAD!$A$5:$A$604,0)),""))</f>
        <v/>
      </c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66" t="str">
        <f aca="false">IF(C78="","",SUM(J78:O78))</f>
        <v/>
      </c>
      <c r="W78" s="66" t="str">
        <f aca="false">IF(C78="","",SUM(P78:U78))</f>
        <v/>
      </c>
      <c r="X78" s="51" t="str">
        <f aca="false">IF(OR(C78="",V78=0),"",W78/V78)</f>
        <v/>
      </c>
      <c r="Y78" s="16" t="str">
        <f aca="false">IF(OR(C78="",V78=0),"",IF(W78&gt;=V78,"Sí","No"))</f>
        <v/>
      </c>
      <c r="Z78" s="9"/>
      <c r="AA78" s="9"/>
    </row>
    <row r="79" customFormat="false" ht="15" hidden="false" customHeight="false" outlineLevel="0" collapsed="false">
      <c r="A79" s="9"/>
      <c r="B79" s="9"/>
      <c r="C79" s="9"/>
      <c r="D79" s="16" t="str">
        <f aca="false">IF(C79="","",IFERROR(INDEX(LOOKAHEAD!$B$5:$B$604,MATCH(C79,LOOKAHEAD!$A$5:$A$604,0)),""))</f>
        <v/>
      </c>
      <c r="E79" s="16" t="str">
        <f aca="false">IF(C79="","",IFERROR(INDEX(LOOKAHEAD!$E$5:$E$604,MATCH(C79,LOOKAHEAD!$A$5:$A$604,0)),""))</f>
        <v/>
      </c>
      <c r="F79" s="16" t="str">
        <f aca="false">IF(C79="","",IFERROR(INDEX(LOOKAHEAD!$M$5:$M$604,MATCH(C79,LOOKAHEAD!$A$5:$A$604,0)),""))</f>
        <v/>
      </c>
      <c r="G79" s="9"/>
      <c r="H79" s="9"/>
      <c r="I79" s="16" t="str">
        <f aca="false">IF(C79="","",IFERROR(INDEX(LOOKAHEAD!$G$5:$G$604,MATCH(C79,LOOKAHEAD!$A$5:$A$604,0)),""))</f>
        <v/>
      </c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66" t="str">
        <f aca="false">IF(C79="","",SUM(J79:O79))</f>
        <v/>
      </c>
      <c r="W79" s="66" t="str">
        <f aca="false">IF(C79="","",SUM(P79:U79))</f>
        <v/>
      </c>
      <c r="X79" s="51" t="str">
        <f aca="false">IF(OR(C79="",V79=0),"",W79/V79)</f>
        <v/>
      </c>
      <c r="Y79" s="16" t="str">
        <f aca="false">IF(OR(C79="",V79=0),"",IF(W79&gt;=V79,"Sí","No"))</f>
        <v/>
      </c>
      <c r="Z79" s="9"/>
      <c r="AA79" s="9"/>
    </row>
    <row r="80" customFormat="false" ht="15" hidden="false" customHeight="false" outlineLevel="0" collapsed="false">
      <c r="A80" s="9"/>
      <c r="B80" s="9"/>
      <c r="C80" s="9"/>
      <c r="D80" s="16" t="str">
        <f aca="false">IF(C80="","",IFERROR(INDEX(LOOKAHEAD!$B$5:$B$604,MATCH(C80,LOOKAHEAD!$A$5:$A$604,0)),""))</f>
        <v/>
      </c>
      <c r="E80" s="16" t="str">
        <f aca="false">IF(C80="","",IFERROR(INDEX(LOOKAHEAD!$E$5:$E$604,MATCH(C80,LOOKAHEAD!$A$5:$A$604,0)),""))</f>
        <v/>
      </c>
      <c r="F80" s="16" t="str">
        <f aca="false">IF(C80="","",IFERROR(INDEX(LOOKAHEAD!$M$5:$M$604,MATCH(C80,LOOKAHEAD!$A$5:$A$604,0)),""))</f>
        <v/>
      </c>
      <c r="G80" s="9"/>
      <c r="H80" s="9"/>
      <c r="I80" s="16" t="str">
        <f aca="false">IF(C80="","",IFERROR(INDEX(LOOKAHEAD!$G$5:$G$604,MATCH(C80,LOOKAHEAD!$A$5:$A$604,0)),""))</f>
        <v/>
      </c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66" t="str">
        <f aca="false">IF(C80="","",SUM(J80:O80))</f>
        <v/>
      </c>
      <c r="W80" s="66" t="str">
        <f aca="false">IF(C80="","",SUM(P80:U80))</f>
        <v/>
      </c>
      <c r="X80" s="51" t="str">
        <f aca="false">IF(OR(C80="",V80=0),"",W80/V80)</f>
        <v/>
      </c>
      <c r="Y80" s="16" t="str">
        <f aca="false">IF(OR(C80="",V80=0),"",IF(W80&gt;=V80,"Sí","No"))</f>
        <v/>
      </c>
      <c r="Z80" s="9"/>
      <c r="AA80" s="9"/>
    </row>
    <row r="81" customFormat="false" ht="15" hidden="false" customHeight="false" outlineLevel="0" collapsed="false">
      <c r="A81" s="9"/>
      <c r="B81" s="9"/>
      <c r="C81" s="9"/>
      <c r="D81" s="16" t="str">
        <f aca="false">IF(C81="","",IFERROR(INDEX(LOOKAHEAD!$B$5:$B$604,MATCH(C81,LOOKAHEAD!$A$5:$A$604,0)),""))</f>
        <v/>
      </c>
      <c r="E81" s="16" t="str">
        <f aca="false">IF(C81="","",IFERROR(INDEX(LOOKAHEAD!$E$5:$E$604,MATCH(C81,LOOKAHEAD!$A$5:$A$604,0)),""))</f>
        <v/>
      </c>
      <c r="F81" s="16" t="str">
        <f aca="false">IF(C81="","",IFERROR(INDEX(LOOKAHEAD!$M$5:$M$604,MATCH(C81,LOOKAHEAD!$A$5:$A$604,0)),""))</f>
        <v/>
      </c>
      <c r="G81" s="9"/>
      <c r="H81" s="9"/>
      <c r="I81" s="16" t="str">
        <f aca="false">IF(C81="","",IFERROR(INDEX(LOOKAHEAD!$G$5:$G$604,MATCH(C81,LOOKAHEAD!$A$5:$A$604,0)),""))</f>
        <v/>
      </c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66" t="str">
        <f aca="false">IF(C81="","",SUM(J81:O81))</f>
        <v/>
      </c>
      <c r="W81" s="66" t="str">
        <f aca="false">IF(C81="","",SUM(P81:U81))</f>
        <v/>
      </c>
      <c r="X81" s="51" t="str">
        <f aca="false">IF(OR(C81="",V81=0),"",W81/V81)</f>
        <v/>
      </c>
      <c r="Y81" s="16" t="str">
        <f aca="false">IF(OR(C81="",V81=0),"",IF(W81&gt;=V81,"Sí","No"))</f>
        <v/>
      </c>
      <c r="Z81" s="9"/>
      <c r="AA81" s="9"/>
    </row>
    <row r="82" customFormat="false" ht="15" hidden="false" customHeight="false" outlineLevel="0" collapsed="false">
      <c r="A82" s="9"/>
      <c r="B82" s="9"/>
      <c r="C82" s="9"/>
      <c r="D82" s="16" t="str">
        <f aca="false">IF(C82="","",IFERROR(INDEX(LOOKAHEAD!$B$5:$B$604,MATCH(C82,LOOKAHEAD!$A$5:$A$604,0)),""))</f>
        <v/>
      </c>
      <c r="E82" s="16" t="str">
        <f aca="false">IF(C82="","",IFERROR(INDEX(LOOKAHEAD!$E$5:$E$604,MATCH(C82,LOOKAHEAD!$A$5:$A$604,0)),""))</f>
        <v/>
      </c>
      <c r="F82" s="16" t="str">
        <f aca="false">IF(C82="","",IFERROR(INDEX(LOOKAHEAD!$M$5:$M$604,MATCH(C82,LOOKAHEAD!$A$5:$A$604,0)),""))</f>
        <v/>
      </c>
      <c r="G82" s="9"/>
      <c r="H82" s="9"/>
      <c r="I82" s="16" t="str">
        <f aca="false">IF(C82="","",IFERROR(INDEX(LOOKAHEAD!$G$5:$G$604,MATCH(C82,LOOKAHEAD!$A$5:$A$604,0)),""))</f>
        <v/>
      </c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66" t="str">
        <f aca="false">IF(C82="","",SUM(J82:O82))</f>
        <v/>
      </c>
      <c r="W82" s="66" t="str">
        <f aca="false">IF(C82="","",SUM(P82:U82))</f>
        <v/>
      </c>
      <c r="X82" s="51" t="str">
        <f aca="false">IF(OR(C82="",V82=0),"",W82/V82)</f>
        <v/>
      </c>
      <c r="Y82" s="16" t="str">
        <f aca="false">IF(OR(C82="",V82=0),"",IF(W82&gt;=V82,"Sí","No"))</f>
        <v/>
      </c>
      <c r="Z82" s="9"/>
      <c r="AA82" s="9"/>
    </row>
    <row r="83" customFormat="false" ht="15" hidden="false" customHeight="false" outlineLevel="0" collapsed="false">
      <c r="A83" s="9"/>
      <c r="B83" s="9"/>
      <c r="C83" s="9"/>
      <c r="D83" s="16" t="str">
        <f aca="false">IF(C83="","",IFERROR(INDEX(LOOKAHEAD!$B$5:$B$604,MATCH(C83,LOOKAHEAD!$A$5:$A$604,0)),""))</f>
        <v/>
      </c>
      <c r="E83" s="16" t="str">
        <f aca="false">IF(C83="","",IFERROR(INDEX(LOOKAHEAD!$E$5:$E$604,MATCH(C83,LOOKAHEAD!$A$5:$A$604,0)),""))</f>
        <v/>
      </c>
      <c r="F83" s="16" t="str">
        <f aca="false">IF(C83="","",IFERROR(INDEX(LOOKAHEAD!$M$5:$M$604,MATCH(C83,LOOKAHEAD!$A$5:$A$604,0)),""))</f>
        <v/>
      </c>
      <c r="G83" s="9"/>
      <c r="H83" s="9"/>
      <c r="I83" s="16" t="str">
        <f aca="false">IF(C83="","",IFERROR(INDEX(LOOKAHEAD!$G$5:$G$604,MATCH(C83,LOOKAHEAD!$A$5:$A$604,0)),""))</f>
        <v/>
      </c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66" t="str">
        <f aca="false">IF(C83="","",SUM(J83:O83))</f>
        <v/>
      </c>
      <c r="W83" s="66" t="str">
        <f aca="false">IF(C83="","",SUM(P83:U83))</f>
        <v/>
      </c>
      <c r="X83" s="51" t="str">
        <f aca="false">IF(OR(C83="",V83=0),"",W83/V83)</f>
        <v/>
      </c>
      <c r="Y83" s="16" t="str">
        <f aca="false">IF(OR(C83="",V83=0),"",IF(W83&gt;=V83,"Sí","No"))</f>
        <v/>
      </c>
      <c r="Z83" s="9"/>
      <c r="AA83" s="9"/>
    </row>
    <row r="84" customFormat="false" ht="15" hidden="false" customHeight="false" outlineLevel="0" collapsed="false">
      <c r="A84" s="9"/>
      <c r="B84" s="9"/>
      <c r="C84" s="9"/>
      <c r="D84" s="16" t="str">
        <f aca="false">IF(C84="","",IFERROR(INDEX(LOOKAHEAD!$B$5:$B$604,MATCH(C84,LOOKAHEAD!$A$5:$A$604,0)),""))</f>
        <v/>
      </c>
      <c r="E84" s="16" t="str">
        <f aca="false">IF(C84="","",IFERROR(INDEX(LOOKAHEAD!$E$5:$E$604,MATCH(C84,LOOKAHEAD!$A$5:$A$604,0)),""))</f>
        <v/>
      </c>
      <c r="F84" s="16" t="str">
        <f aca="false">IF(C84="","",IFERROR(INDEX(LOOKAHEAD!$M$5:$M$604,MATCH(C84,LOOKAHEAD!$A$5:$A$604,0)),""))</f>
        <v/>
      </c>
      <c r="G84" s="9"/>
      <c r="H84" s="9"/>
      <c r="I84" s="16" t="str">
        <f aca="false">IF(C84="","",IFERROR(INDEX(LOOKAHEAD!$G$5:$G$604,MATCH(C84,LOOKAHEAD!$A$5:$A$604,0)),""))</f>
        <v/>
      </c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66" t="str">
        <f aca="false">IF(C84="","",SUM(J84:O84))</f>
        <v/>
      </c>
      <c r="W84" s="66" t="str">
        <f aca="false">IF(C84="","",SUM(P84:U84))</f>
        <v/>
      </c>
      <c r="X84" s="51" t="str">
        <f aca="false">IF(OR(C84="",V84=0),"",W84/V84)</f>
        <v/>
      </c>
      <c r="Y84" s="16" t="str">
        <f aca="false">IF(OR(C84="",V84=0),"",IF(W84&gt;=V84,"Sí","No"))</f>
        <v/>
      </c>
      <c r="Z84" s="9"/>
      <c r="AA84" s="9"/>
    </row>
    <row r="85" customFormat="false" ht="15" hidden="false" customHeight="false" outlineLevel="0" collapsed="false">
      <c r="A85" s="9"/>
      <c r="B85" s="9"/>
      <c r="C85" s="9"/>
      <c r="D85" s="16" t="str">
        <f aca="false">IF(C85="","",IFERROR(INDEX(LOOKAHEAD!$B$5:$B$604,MATCH(C85,LOOKAHEAD!$A$5:$A$604,0)),""))</f>
        <v/>
      </c>
      <c r="E85" s="16" t="str">
        <f aca="false">IF(C85="","",IFERROR(INDEX(LOOKAHEAD!$E$5:$E$604,MATCH(C85,LOOKAHEAD!$A$5:$A$604,0)),""))</f>
        <v/>
      </c>
      <c r="F85" s="16" t="str">
        <f aca="false">IF(C85="","",IFERROR(INDEX(LOOKAHEAD!$M$5:$M$604,MATCH(C85,LOOKAHEAD!$A$5:$A$604,0)),""))</f>
        <v/>
      </c>
      <c r="G85" s="9"/>
      <c r="H85" s="9"/>
      <c r="I85" s="16" t="str">
        <f aca="false">IF(C85="","",IFERROR(INDEX(LOOKAHEAD!$G$5:$G$604,MATCH(C85,LOOKAHEAD!$A$5:$A$604,0)),""))</f>
        <v/>
      </c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66" t="str">
        <f aca="false">IF(C85="","",SUM(J85:O85))</f>
        <v/>
      </c>
      <c r="W85" s="66" t="str">
        <f aca="false">IF(C85="","",SUM(P85:U85))</f>
        <v/>
      </c>
      <c r="X85" s="51" t="str">
        <f aca="false">IF(OR(C85="",V85=0),"",W85/V85)</f>
        <v/>
      </c>
      <c r="Y85" s="16" t="str">
        <f aca="false">IF(OR(C85="",V85=0),"",IF(W85&gt;=V85,"Sí","No"))</f>
        <v/>
      </c>
      <c r="Z85" s="9"/>
      <c r="AA85" s="9"/>
    </row>
    <row r="86" customFormat="false" ht="15" hidden="false" customHeight="false" outlineLevel="0" collapsed="false">
      <c r="A86" s="9"/>
      <c r="B86" s="9"/>
      <c r="C86" s="9"/>
      <c r="D86" s="16" t="str">
        <f aca="false">IF(C86="","",IFERROR(INDEX(LOOKAHEAD!$B$5:$B$604,MATCH(C86,LOOKAHEAD!$A$5:$A$604,0)),""))</f>
        <v/>
      </c>
      <c r="E86" s="16" t="str">
        <f aca="false">IF(C86="","",IFERROR(INDEX(LOOKAHEAD!$E$5:$E$604,MATCH(C86,LOOKAHEAD!$A$5:$A$604,0)),""))</f>
        <v/>
      </c>
      <c r="F86" s="16" t="str">
        <f aca="false">IF(C86="","",IFERROR(INDEX(LOOKAHEAD!$M$5:$M$604,MATCH(C86,LOOKAHEAD!$A$5:$A$604,0)),""))</f>
        <v/>
      </c>
      <c r="G86" s="9"/>
      <c r="H86" s="9"/>
      <c r="I86" s="16" t="str">
        <f aca="false">IF(C86="","",IFERROR(INDEX(LOOKAHEAD!$G$5:$G$604,MATCH(C86,LOOKAHEAD!$A$5:$A$604,0)),""))</f>
        <v/>
      </c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66" t="str">
        <f aca="false">IF(C86="","",SUM(J86:O86))</f>
        <v/>
      </c>
      <c r="W86" s="66" t="str">
        <f aca="false">IF(C86="","",SUM(P86:U86))</f>
        <v/>
      </c>
      <c r="X86" s="51" t="str">
        <f aca="false">IF(OR(C86="",V86=0),"",W86/V86)</f>
        <v/>
      </c>
      <c r="Y86" s="16" t="str">
        <f aca="false">IF(OR(C86="",V86=0),"",IF(W86&gt;=V86,"Sí","No"))</f>
        <v/>
      </c>
      <c r="Z86" s="9"/>
      <c r="AA86" s="9"/>
    </row>
    <row r="87" customFormat="false" ht="15" hidden="false" customHeight="false" outlineLevel="0" collapsed="false">
      <c r="A87" s="9"/>
      <c r="B87" s="9"/>
      <c r="C87" s="9"/>
      <c r="D87" s="16" t="str">
        <f aca="false">IF(C87="","",IFERROR(INDEX(LOOKAHEAD!$B$5:$B$604,MATCH(C87,LOOKAHEAD!$A$5:$A$604,0)),""))</f>
        <v/>
      </c>
      <c r="E87" s="16" t="str">
        <f aca="false">IF(C87="","",IFERROR(INDEX(LOOKAHEAD!$E$5:$E$604,MATCH(C87,LOOKAHEAD!$A$5:$A$604,0)),""))</f>
        <v/>
      </c>
      <c r="F87" s="16" t="str">
        <f aca="false">IF(C87="","",IFERROR(INDEX(LOOKAHEAD!$M$5:$M$604,MATCH(C87,LOOKAHEAD!$A$5:$A$604,0)),""))</f>
        <v/>
      </c>
      <c r="G87" s="9"/>
      <c r="H87" s="9"/>
      <c r="I87" s="16" t="str">
        <f aca="false">IF(C87="","",IFERROR(INDEX(LOOKAHEAD!$G$5:$G$604,MATCH(C87,LOOKAHEAD!$A$5:$A$604,0)),""))</f>
        <v/>
      </c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66" t="str">
        <f aca="false">IF(C87="","",SUM(J87:O87))</f>
        <v/>
      </c>
      <c r="W87" s="66" t="str">
        <f aca="false">IF(C87="","",SUM(P87:U87))</f>
        <v/>
      </c>
      <c r="X87" s="51" t="str">
        <f aca="false">IF(OR(C87="",V87=0),"",W87/V87)</f>
        <v/>
      </c>
      <c r="Y87" s="16" t="str">
        <f aca="false">IF(OR(C87="",V87=0),"",IF(W87&gt;=V87,"Sí","No"))</f>
        <v/>
      </c>
      <c r="Z87" s="9"/>
      <c r="AA87" s="9"/>
    </row>
    <row r="88" customFormat="false" ht="15" hidden="false" customHeight="false" outlineLevel="0" collapsed="false">
      <c r="A88" s="9"/>
      <c r="B88" s="9"/>
      <c r="C88" s="9"/>
      <c r="D88" s="16" t="str">
        <f aca="false">IF(C88="","",IFERROR(INDEX(LOOKAHEAD!$B$5:$B$604,MATCH(C88,LOOKAHEAD!$A$5:$A$604,0)),""))</f>
        <v/>
      </c>
      <c r="E88" s="16" t="str">
        <f aca="false">IF(C88="","",IFERROR(INDEX(LOOKAHEAD!$E$5:$E$604,MATCH(C88,LOOKAHEAD!$A$5:$A$604,0)),""))</f>
        <v/>
      </c>
      <c r="F88" s="16" t="str">
        <f aca="false">IF(C88="","",IFERROR(INDEX(LOOKAHEAD!$M$5:$M$604,MATCH(C88,LOOKAHEAD!$A$5:$A$604,0)),""))</f>
        <v/>
      </c>
      <c r="G88" s="9"/>
      <c r="H88" s="9"/>
      <c r="I88" s="16" t="str">
        <f aca="false">IF(C88="","",IFERROR(INDEX(LOOKAHEAD!$G$5:$G$604,MATCH(C88,LOOKAHEAD!$A$5:$A$604,0)),""))</f>
        <v/>
      </c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66" t="str">
        <f aca="false">IF(C88="","",SUM(J88:O88))</f>
        <v/>
      </c>
      <c r="W88" s="66" t="str">
        <f aca="false">IF(C88="","",SUM(P88:U88))</f>
        <v/>
      </c>
      <c r="X88" s="51" t="str">
        <f aca="false">IF(OR(C88="",V88=0),"",W88/V88)</f>
        <v/>
      </c>
      <c r="Y88" s="16" t="str">
        <f aca="false">IF(OR(C88="",V88=0),"",IF(W88&gt;=V88,"Sí","No"))</f>
        <v/>
      </c>
      <c r="Z88" s="9"/>
      <c r="AA88" s="9"/>
    </row>
    <row r="89" customFormat="false" ht="15" hidden="false" customHeight="false" outlineLevel="0" collapsed="false">
      <c r="A89" s="9"/>
      <c r="B89" s="9"/>
      <c r="C89" s="9"/>
      <c r="D89" s="16" t="str">
        <f aca="false">IF(C89="","",IFERROR(INDEX(LOOKAHEAD!$B$5:$B$604,MATCH(C89,LOOKAHEAD!$A$5:$A$604,0)),""))</f>
        <v/>
      </c>
      <c r="E89" s="16" t="str">
        <f aca="false">IF(C89="","",IFERROR(INDEX(LOOKAHEAD!$E$5:$E$604,MATCH(C89,LOOKAHEAD!$A$5:$A$604,0)),""))</f>
        <v/>
      </c>
      <c r="F89" s="16" t="str">
        <f aca="false">IF(C89="","",IFERROR(INDEX(LOOKAHEAD!$M$5:$M$604,MATCH(C89,LOOKAHEAD!$A$5:$A$604,0)),""))</f>
        <v/>
      </c>
      <c r="G89" s="9"/>
      <c r="H89" s="9"/>
      <c r="I89" s="16" t="str">
        <f aca="false">IF(C89="","",IFERROR(INDEX(LOOKAHEAD!$G$5:$G$604,MATCH(C89,LOOKAHEAD!$A$5:$A$604,0)),""))</f>
        <v/>
      </c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66" t="str">
        <f aca="false">IF(C89="","",SUM(J89:O89))</f>
        <v/>
      </c>
      <c r="W89" s="66" t="str">
        <f aca="false">IF(C89="","",SUM(P89:U89))</f>
        <v/>
      </c>
      <c r="X89" s="51" t="str">
        <f aca="false">IF(OR(C89="",V89=0),"",W89/V89)</f>
        <v/>
      </c>
      <c r="Y89" s="16" t="str">
        <f aca="false">IF(OR(C89="",V89=0),"",IF(W89&gt;=V89,"Sí","No"))</f>
        <v/>
      </c>
      <c r="Z89" s="9"/>
      <c r="AA89" s="9"/>
    </row>
    <row r="90" customFormat="false" ht="15" hidden="false" customHeight="false" outlineLevel="0" collapsed="false">
      <c r="A90" s="9"/>
      <c r="B90" s="9"/>
      <c r="C90" s="9"/>
      <c r="D90" s="16" t="str">
        <f aca="false">IF(C90="","",IFERROR(INDEX(LOOKAHEAD!$B$5:$B$604,MATCH(C90,LOOKAHEAD!$A$5:$A$604,0)),""))</f>
        <v/>
      </c>
      <c r="E90" s="16" t="str">
        <f aca="false">IF(C90="","",IFERROR(INDEX(LOOKAHEAD!$E$5:$E$604,MATCH(C90,LOOKAHEAD!$A$5:$A$604,0)),""))</f>
        <v/>
      </c>
      <c r="F90" s="16" t="str">
        <f aca="false">IF(C90="","",IFERROR(INDEX(LOOKAHEAD!$M$5:$M$604,MATCH(C90,LOOKAHEAD!$A$5:$A$604,0)),""))</f>
        <v/>
      </c>
      <c r="G90" s="9"/>
      <c r="H90" s="9"/>
      <c r="I90" s="16" t="str">
        <f aca="false">IF(C90="","",IFERROR(INDEX(LOOKAHEAD!$G$5:$G$604,MATCH(C90,LOOKAHEAD!$A$5:$A$604,0)),""))</f>
        <v/>
      </c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66" t="str">
        <f aca="false">IF(C90="","",SUM(J90:O90))</f>
        <v/>
      </c>
      <c r="W90" s="66" t="str">
        <f aca="false">IF(C90="","",SUM(P90:U90))</f>
        <v/>
      </c>
      <c r="X90" s="51" t="str">
        <f aca="false">IF(OR(C90="",V90=0),"",W90/V90)</f>
        <v/>
      </c>
      <c r="Y90" s="16" t="str">
        <f aca="false">IF(OR(C90="",V90=0),"",IF(W90&gt;=V90,"Sí","No"))</f>
        <v/>
      </c>
      <c r="Z90" s="9"/>
      <c r="AA90" s="9"/>
    </row>
    <row r="91" customFormat="false" ht="15" hidden="false" customHeight="false" outlineLevel="0" collapsed="false">
      <c r="A91" s="9"/>
      <c r="B91" s="9"/>
      <c r="C91" s="9"/>
      <c r="D91" s="16" t="str">
        <f aca="false">IF(C91="","",IFERROR(INDEX(LOOKAHEAD!$B$5:$B$604,MATCH(C91,LOOKAHEAD!$A$5:$A$604,0)),""))</f>
        <v/>
      </c>
      <c r="E91" s="16" t="str">
        <f aca="false">IF(C91="","",IFERROR(INDEX(LOOKAHEAD!$E$5:$E$604,MATCH(C91,LOOKAHEAD!$A$5:$A$604,0)),""))</f>
        <v/>
      </c>
      <c r="F91" s="16" t="str">
        <f aca="false">IF(C91="","",IFERROR(INDEX(LOOKAHEAD!$M$5:$M$604,MATCH(C91,LOOKAHEAD!$A$5:$A$604,0)),""))</f>
        <v/>
      </c>
      <c r="G91" s="9"/>
      <c r="H91" s="9"/>
      <c r="I91" s="16" t="str">
        <f aca="false">IF(C91="","",IFERROR(INDEX(LOOKAHEAD!$G$5:$G$604,MATCH(C91,LOOKAHEAD!$A$5:$A$604,0)),""))</f>
        <v/>
      </c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66" t="str">
        <f aca="false">IF(C91="","",SUM(J91:O91))</f>
        <v/>
      </c>
      <c r="W91" s="66" t="str">
        <f aca="false">IF(C91="","",SUM(P91:U91))</f>
        <v/>
      </c>
      <c r="X91" s="51" t="str">
        <f aca="false">IF(OR(C91="",V91=0),"",W91/V91)</f>
        <v/>
      </c>
      <c r="Y91" s="16" t="str">
        <f aca="false">IF(OR(C91="",V91=0),"",IF(W91&gt;=V91,"Sí","No"))</f>
        <v/>
      </c>
      <c r="Z91" s="9"/>
      <c r="AA91" s="9"/>
    </row>
    <row r="92" customFormat="false" ht="15" hidden="false" customHeight="false" outlineLevel="0" collapsed="false">
      <c r="A92" s="9"/>
      <c r="B92" s="9"/>
      <c r="C92" s="9"/>
      <c r="D92" s="16" t="str">
        <f aca="false">IF(C92="","",IFERROR(INDEX(LOOKAHEAD!$B$5:$B$604,MATCH(C92,LOOKAHEAD!$A$5:$A$604,0)),""))</f>
        <v/>
      </c>
      <c r="E92" s="16" t="str">
        <f aca="false">IF(C92="","",IFERROR(INDEX(LOOKAHEAD!$E$5:$E$604,MATCH(C92,LOOKAHEAD!$A$5:$A$604,0)),""))</f>
        <v/>
      </c>
      <c r="F92" s="16" t="str">
        <f aca="false">IF(C92="","",IFERROR(INDEX(LOOKAHEAD!$M$5:$M$604,MATCH(C92,LOOKAHEAD!$A$5:$A$604,0)),""))</f>
        <v/>
      </c>
      <c r="G92" s="9"/>
      <c r="H92" s="9"/>
      <c r="I92" s="16" t="str">
        <f aca="false">IF(C92="","",IFERROR(INDEX(LOOKAHEAD!$G$5:$G$604,MATCH(C92,LOOKAHEAD!$A$5:$A$604,0)),""))</f>
        <v/>
      </c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66" t="str">
        <f aca="false">IF(C92="","",SUM(J92:O92))</f>
        <v/>
      </c>
      <c r="W92" s="66" t="str">
        <f aca="false">IF(C92="","",SUM(P92:U92))</f>
        <v/>
      </c>
      <c r="X92" s="51" t="str">
        <f aca="false">IF(OR(C92="",V92=0),"",W92/V92)</f>
        <v/>
      </c>
      <c r="Y92" s="16" t="str">
        <f aca="false">IF(OR(C92="",V92=0),"",IF(W92&gt;=V92,"Sí","No"))</f>
        <v/>
      </c>
      <c r="Z92" s="9"/>
      <c r="AA92" s="9"/>
    </row>
    <row r="93" customFormat="false" ht="15" hidden="false" customHeight="false" outlineLevel="0" collapsed="false">
      <c r="A93" s="9"/>
      <c r="B93" s="9"/>
      <c r="C93" s="9"/>
      <c r="D93" s="16" t="str">
        <f aca="false">IF(C93="","",IFERROR(INDEX(LOOKAHEAD!$B$5:$B$604,MATCH(C93,LOOKAHEAD!$A$5:$A$604,0)),""))</f>
        <v/>
      </c>
      <c r="E93" s="16" t="str">
        <f aca="false">IF(C93="","",IFERROR(INDEX(LOOKAHEAD!$E$5:$E$604,MATCH(C93,LOOKAHEAD!$A$5:$A$604,0)),""))</f>
        <v/>
      </c>
      <c r="F93" s="16" t="str">
        <f aca="false">IF(C93="","",IFERROR(INDEX(LOOKAHEAD!$M$5:$M$604,MATCH(C93,LOOKAHEAD!$A$5:$A$604,0)),""))</f>
        <v/>
      </c>
      <c r="G93" s="9"/>
      <c r="H93" s="9"/>
      <c r="I93" s="16" t="str">
        <f aca="false">IF(C93="","",IFERROR(INDEX(LOOKAHEAD!$G$5:$G$604,MATCH(C93,LOOKAHEAD!$A$5:$A$604,0)),""))</f>
        <v/>
      </c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66" t="str">
        <f aca="false">IF(C93="","",SUM(J93:O93))</f>
        <v/>
      </c>
      <c r="W93" s="66" t="str">
        <f aca="false">IF(C93="","",SUM(P93:U93))</f>
        <v/>
      </c>
      <c r="X93" s="51" t="str">
        <f aca="false">IF(OR(C93="",V93=0),"",W93/V93)</f>
        <v/>
      </c>
      <c r="Y93" s="16" t="str">
        <f aca="false">IF(OR(C93="",V93=0),"",IF(W93&gt;=V93,"Sí","No"))</f>
        <v/>
      </c>
      <c r="Z93" s="9"/>
      <c r="AA93" s="9"/>
    </row>
    <row r="94" customFormat="false" ht="15" hidden="false" customHeight="false" outlineLevel="0" collapsed="false">
      <c r="A94" s="9"/>
      <c r="B94" s="9"/>
      <c r="C94" s="9"/>
      <c r="D94" s="16" t="str">
        <f aca="false">IF(C94="","",IFERROR(INDEX(LOOKAHEAD!$B$5:$B$604,MATCH(C94,LOOKAHEAD!$A$5:$A$604,0)),""))</f>
        <v/>
      </c>
      <c r="E94" s="16" t="str">
        <f aca="false">IF(C94="","",IFERROR(INDEX(LOOKAHEAD!$E$5:$E$604,MATCH(C94,LOOKAHEAD!$A$5:$A$604,0)),""))</f>
        <v/>
      </c>
      <c r="F94" s="16" t="str">
        <f aca="false">IF(C94="","",IFERROR(INDEX(LOOKAHEAD!$M$5:$M$604,MATCH(C94,LOOKAHEAD!$A$5:$A$604,0)),""))</f>
        <v/>
      </c>
      <c r="G94" s="9"/>
      <c r="H94" s="9"/>
      <c r="I94" s="16" t="str">
        <f aca="false">IF(C94="","",IFERROR(INDEX(LOOKAHEAD!$G$5:$G$604,MATCH(C94,LOOKAHEAD!$A$5:$A$604,0)),""))</f>
        <v/>
      </c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66" t="str">
        <f aca="false">IF(C94="","",SUM(J94:O94))</f>
        <v/>
      </c>
      <c r="W94" s="66" t="str">
        <f aca="false">IF(C94="","",SUM(P94:U94))</f>
        <v/>
      </c>
      <c r="X94" s="51" t="str">
        <f aca="false">IF(OR(C94="",V94=0),"",W94/V94)</f>
        <v/>
      </c>
      <c r="Y94" s="16" t="str">
        <f aca="false">IF(OR(C94="",V94=0),"",IF(W94&gt;=V94,"Sí","No"))</f>
        <v/>
      </c>
      <c r="Z94" s="9"/>
      <c r="AA94" s="9"/>
    </row>
    <row r="95" customFormat="false" ht="15" hidden="false" customHeight="false" outlineLevel="0" collapsed="false">
      <c r="A95" s="9"/>
      <c r="B95" s="9"/>
      <c r="C95" s="9"/>
      <c r="D95" s="16" t="str">
        <f aca="false">IF(C95="","",IFERROR(INDEX(LOOKAHEAD!$B$5:$B$604,MATCH(C95,LOOKAHEAD!$A$5:$A$604,0)),""))</f>
        <v/>
      </c>
      <c r="E95" s="16" t="str">
        <f aca="false">IF(C95="","",IFERROR(INDEX(LOOKAHEAD!$E$5:$E$604,MATCH(C95,LOOKAHEAD!$A$5:$A$604,0)),""))</f>
        <v/>
      </c>
      <c r="F95" s="16" t="str">
        <f aca="false">IF(C95="","",IFERROR(INDEX(LOOKAHEAD!$M$5:$M$604,MATCH(C95,LOOKAHEAD!$A$5:$A$604,0)),""))</f>
        <v/>
      </c>
      <c r="G95" s="9"/>
      <c r="H95" s="9"/>
      <c r="I95" s="16" t="str">
        <f aca="false">IF(C95="","",IFERROR(INDEX(LOOKAHEAD!$G$5:$G$604,MATCH(C95,LOOKAHEAD!$A$5:$A$604,0)),""))</f>
        <v/>
      </c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66" t="str">
        <f aca="false">IF(C95="","",SUM(J95:O95))</f>
        <v/>
      </c>
      <c r="W95" s="66" t="str">
        <f aca="false">IF(C95="","",SUM(P95:U95))</f>
        <v/>
      </c>
      <c r="X95" s="51" t="str">
        <f aca="false">IF(OR(C95="",V95=0),"",W95/V95)</f>
        <v/>
      </c>
      <c r="Y95" s="16" t="str">
        <f aca="false">IF(OR(C95="",V95=0),"",IF(W95&gt;=V95,"Sí","No"))</f>
        <v/>
      </c>
      <c r="Z95" s="9"/>
      <c r="AA95" s="9"/>
    </row>
    <row r="96" customFormat="false" ht="15" hidden="false" customHeight="false" outlineLevel="0" collapsed="false">
      <c r="A96" s="9"/>
      <c r="B96" s="9"/>
      <c r="C96" s="9"/>
      <c r="D96" s="16" t="str">
        <f aca="false">IF(C96="","",IFERROR(INDEX(LOOKAHEAD!$B$5:$B$604,MATCH(C96,LOOKAHEAD!$A$5:$A$604,0)),""))</f>
        <v/>
      </c>
      <c r="E96" s="16" t="str">
        <f aca="false">IF(C96="","",IFERROR(INDEX(LOOKAHEAD!$E$5:$E$604,MATCH(C96,LOOKAHEAD!$A$5:$A$604,0)),""))</f>
        <v/>
      </c>
      <c r="F96" s="16" t="str">
        <f aca="false">IF(C96="","",IFERROR(INDEX(LOOKAHEAD!$M$5:$M$604,MATCH(C96,LOOKAHEAD!$A$5:$A$604,0)),""))</f>
        <v/>
      </c>
      <c r="G96" s="9"/>
      <c r="H96" s="9"/>
      <c r="I96" s="16" t="str">
        <f aca="false">IF(C96="","",IFERROR(INDEX(LOOKAHEAD!$G$5:$G$604,MATCH(C96,LOOKAHEAD!$A$5:$A$604,0)),""))</f>
        <v/>
      </c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66" t="str">
        <f aca="false">IF(C96="","",SUM(J96:O96))</f>
        <v/>
      </c>
      <c r="W96" s="66" t="str">
        <f aca="false">IF(C96="","",SUM(P96:U96))</f>
        <v/>
      </c>
      <c r="X96" s="51" t="str">
        <f aca="false">IF(OR(C96="",V96=0),"",W96/V96)</f>
        <v/>
      </c>
      <c r="Y96" s="16" t="str">
        <f aca="false">IF(OR(C96="",V96=0),"",IF(W96&gt;=V96,"Sí","No"))</f>
        <v/>
      </c>
      <c r="Z96" s="9"/>
      <c r="AA96" s="9"/>
    </row>
    <row r="97" customFormat="false" ht="15" hidden="false" customHeight="false" outlineLevel="0" collapsed="false">
      <c r="A97" s="9"/>
      <c r="B97" s="9"/>
      <c r="C97" s="9"/>
      <c r="D97" s="16" t="str">
        <f aca="false">IF(C97="","",IFERROR(INDEX(LOOKAHEAD!$B$5:$B$604,MATCH(C97,LOOKAHEAD!$A$5:$A$604,0)),""))</f>
        <v/>
      </c>
      <c r="E97" s="16" t="str">
        <f aca="false">IF(C97="","",IFERROR(INDEX(LOOKAHEAD!$E$5:$E$604,MATCH(C97,LOOKAHEAD!$A$5:$A$604,0)),""))</f>
        <v/>
      </c>
      <c r="F97" s="16" t="str">
        <f aca="false">IF(C97="","",IFERROR(INDEX(LOOKAHEAD!$M$5:$M$604,MATCH(C97,LOOKAHEAD!$A$5:$A$604,0)),""))</f>
        <v/>
      </c>
      <c r="G97" s="9"/>
      <c r="H97" s="9"/>
      <c r="I97" s="16" t="str">
        <f aca="false">IF(C97="","",IFERROR(INDEX(LOOKAHEAD!$G$5:$G$604,MATCH(C97,LOOKAHEAD!$A$5:$A$604,0)),""))</f>
        <v/>
      </c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66" t="str">
        <f aca="false">IF(C97="","",SUM(J97:O97))</f>
        <v/>
      </c>
      <c r="W97" s="66" t="str">
        <f aca="false">IF(C97="","",SUM(P97:U97))</f>
        <v/>
      </c>
      <c r="X97" s="51" t="str">
        <f aca="false">IF(OR(C97="",V97=0),"",W97/V97)</f>
        <v/>
      </c>
      <c r="Y97" s="16" t="str">
        <f aca="false">IF(OR(C97="",V97=0),"",IF(W97&gt;=V97,"Sí","No"))</f>
        <v/>
      </c>
      <c r="Z97" s="9"/>
      <c r="AA97" s="9"/>
    </row>
    <row r="98" customFormat="false" ht="15" hidden="false" customHeight="false" outlineLevel="0" collapsed="false">
      <c r="A98" s="9"/>
      <c r="B98" s="9"/>
      <c r="C98" s="9"/>
      <c r="D98" s="16" t="str">
        <f aca="false">IF(C98="","",IFERROR(INDEX(LOOKAHEAD!$B$5:$B$604,MATCH(C98,LOOKAHEAD!$A$5:$A$604,0)),""))</f>
        <v/>
      </c>
      <c r="E98" s="16" t="str">
        <f aca="false">IF(C98="","",IFERROR(INDEX(LOOKAHEAD!$E$5:$E$604,MATCH(C98,LOOKAHEAD!$A$5:$A$604,0)),""))</f>
        <v/>
      </c>
      <c r="F98" s="16" t="str">
        <f aca="false">IF(C98="","",IFERROR(INDEX(LOOKAHEAD!$M$5:$M$604,MATCH(C98,LOOKAHEAD!$A$5:$A$604,0)),""))</f>
        <v/>
      </c>
      <c r="G98" s="9"/>
      <c r="H98" s="9"/>
      <c r="I98" s="16" t="str">
        <f aca="false">IF(C98="","",IFERROR(INDEX(LOOKAHEAD!$G$5:$G$604,MATCH(C98,LOOKAHEAD!$A$5:$A$604,0)),""))</f>
        <v/>
      </c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66" t="str">
        <f aca="false">IF(C98="","",SUM(J98:O98))</f>
        <v/>
      </c>
      <c r="W98" s="66" t="str">
        <f aca="false">IF(C98="","",SUM(P98:U98))</f>
        <v/>
      </c>
      <c r="X98" s="51" t="str">
        <f aca="false">IF(OR(C98="",V98=0),"",W98/V98)</f>
        <v/>
      </c>
      <c r="Y98" s="16" t="str">
        <f aca="false">IF(OR(C98="",V98=0),"",IF(W98&gt;=V98,"Sí","No"))</f>
        <v/>
      </c>
      <c r="Z98" s="9"/>
      <c r="AA98" s="9"/>
    </row>
    <row r="99" customFormat="false" ht="15" hidden="false" customHeight="false" outlineLevel="0" collapsed="false">
      <c r="A99" s="9"/>
      <c r="B99" s="9"/>
      <c r="C99" s="9"/>
      <c r="D99" s="16" t="str">
        <f aca="false">IF(C99="","",IFERROR(INDEX(LOOKAHEAD!$B$5:$B$604,MATCH(C99,LOOKAHEAD!$A$5:$A$604,0)),""))</f>
        <v/>
      </c>
      <c r="E99" s="16" t="str">
        <f aca="false">IF(C99="","",IFERROR(INDEX(LOOKAHEAD!$E$5:$E$604,MATCH(C99,LOOKAHEAD!$A$5:$A$604,0)),""))</f>
        <v/>
      </c>
      <c r="F99" s="16" t="str">
        <f aca="false">IF(C99="","",IFERROR(INDEX(LOOKAHEAD!$M$5:$M$604,MATCH(C99,LOOKAHEAD!$A$5:$A$604,0)),""))</f>
        <v/>
      </c>
      <c r="G99" s="9"/>
      <c r="H99" s="9"/>
      <c r="I99" s="16" t="str">
        <f aca="false">IF(C99="","",IFERROR(INDEX(LOOKAHEAD!$G$5:$G$604,MATCH(C99,LOOKAHEAD!$A$5:$A$604,0)),""))</f>
        <v/>
      </c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66" t="str">
        <f aca="false">IF(C99="","",SUM(J99:O99))</f>
        <v/>
      </c>
      <c r="W99" s="66" t="str">
        <f aca="false">IF(C99="","",SUM(P99:U99))</f>
        <v/>
      </c>
      <c r="X99" s="51" t="str">
        <f aca="false">IF(OR(C99="",V99=0),"",W99/V99)</f>
        <v/>
      </c>
      <c r="Y99" s="16" t="str">
        <f aca="false">IF(OR(C99="",V99=0),"",IF(W99&gt;=V99,"Sí","No"))</f>
        <v/>
      </c>
      <c r="Z99" s="9"/>
      <c r="AA99" s="9"/>
    </row>
    <row r="100" customFormat="false" ht="15" hidden="false" customHeight="false" outlineLevel="0" collapsed="false">
      <c r="A100" s="9"/>
      <c r="B100" s="9"/>
      <c r="C100" s="9"/>
      <c r="D100" s="16" t="str">
        <f aca="false">IF(C100="","",IFERROR(INDEX(LOOKAHEAD!$B$5:$B$604,MATCH(C100,LOOKAHEAD!$A$5:$A$604,0)),""))</f>
        <v/>
      </c>
      <c r="E100" s="16" t="str">
        <f aca="false">IF(C100="","",IFERROR(INDEX(LOOKAHEAD!$E$5:$E$604,MATCH(C100,LOOKAHEAD!$A$5:$A$604,0)),""))</f>
        <v/>
      </c>
      <c r="F100" s="16" t="str">
        <f aca="false">IF(C100="","",IFERROR(INDEX(LOOKAHEAD!$M$5:$M$604,MATCH(C100,LOOKAHEAD!$A$5:$A$604,0)),""))</f>
        <v/>
      </c>
      <c r="G100" s="9"/>
      <c r="H100" s="9"/>
      <c r="I100" s="16" t="str">
        <f aca="false">IF(C100="","",IFERROR(INDEX(LOOKAHEAD!$G$5:$G$604,MATCH(C100,LOOKAHEAD!$A$5:$A$604,0)),""))</f>
        <v/>
      </c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66" t="str">
        <f aca="false">IF(C100="","",SUM(J100:O100))</f>
        <v/>
      </c>
      <c r="W100" s="66" t="str">
        <f aca="false">IF(C100="","",SUM(P100:U100))</f>
        <v/>
      </c>
      <c r="X100" s="51" t="str">
        <f aca="false">IF(OR(C100="",V100=0),"",W100/V100)</f>
        <v/>
      </c>
      <c r="Y100" s="16" t="str">
        <f aca="false">IF(OR(C100="",V100=0),"",IF(W100&gt;=V100,"Sí","No"))</f>
        <v/>
      </c>
      <c r="Z100" s="9"/>
      <c r="AA100" s="9"/>
    </row>
    <row r="101" customFormat="false" ht="15" hidden="false" customHeight="false" outlineLevel="0" collapsed="false">
      <c r="A101" s="9"/>
      <c r="B101" s="9"/>
      <c r="C101" s="9"/>
      <c r="D101" s="16" t="str">
        <f aca="false">IF(C101="","",IFERROR(INDEX(LOOKAHEAD!$B$5:$B$604,MATCH(C101,LOOKAHEAD!$A$5:$A$604,0)),""))</f>
        <v/>
      </c>
      <c r="E101" s="16" t="str">
        <f aca="false">IF(C101="","",IFERROR(INDEX(LOOKAHEAD!$E$5:$E$604,MATCH(C101,LOOKAHEAD!$A$5:$A$604,0)),""))</f>
        <v/>
      </c>
      <c r="F101" s="16" t="str">
        <f aca="false">IF(C101="","",IFERROR(INDEX(LOOKAHEAD!$M$5:$M$604,MATCH(C101,LOOKAHEAD!$A$5:$A$604,0)),""))</f>
        <v/>
      </c>
      <c r="G101" s="9"/>
      <c r="H101" s="9"/>
      <c r="I101" s="16" t="str">
        <f aca="false">IF(C101="","",IFERROR(INDEX(LOOKAHEAD!$G$5:$G$604,MATCH(C101,LOOKAHEAD!$A$5:$A$604,0)),""))</f>
        <v/>
      </c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66" t="str">
        <f aca="false">IF(C101="","",SUM(J101:O101))</f>
        <v/>
      </c>
      <c r="W101" s="66" t="str">
        <f aca="false">IF(C101="","",SUM(P101:U101))</f>
        <v/>
      </c>
      <c r="X101" s="51" t="str">
        <f aca="false">IF(OR(C101="",V101=0),"",W101/V101)</f>
        <v/>
      </c>
      <c r="Y101" s="16" t="str">
        <f aca="false">IF(OR(C101="",V101=0),"",IF(W101&gt;=V101,"Sí","No"))</f>
        <v/>
      </c>
      <c r="Z101" s="9"/>
      <c r="AA101" s="9"/>
    </row>
    <row r="102" customFormat="false" ht="15" hidden="false" customHeight="false" outlineLevel="0" collapsed="false">
      <c r="A102" s="9"/>
      <c r="B102" s="9"/>
      <c r="C102" s="9"/>
      <c r="D102" s="16" t="str">
        <f aca="false">IF(C102="","",IFERROR(INDEX(LOOKAHEAD!$B$5:$B$604,MATCH(C102,LOOKAHEAD!$A$5:$A$604,0)),""))</f>
        <v/>
      </c>
      <c r="E102" s="16" t="str">
        <f aca="false">IF(C102="","",IFERROR(INDEX(LOOKAHEAD!$E$5:$E$604,MATCH(C102,LOOKAHEAD!$A$5:$A$604,0)),""))</f>
        <v/>
      </c>
      <c r="F102" s="16" t="str">
        <f aca="false">IF(C102="","",IFERROR(INDEX(LOOKAHEAD!$M$5:$M$604,MATCH(C102,LOOKAHEAD!$A$5:$A$604,0)),""))</f>
        <v/>
      </c>
      <c r="G102" s="9"/>
      <c r="H102" s="9"/>
      <c r="I102" s="16" t="str">
        <f aca="false">IF(C102="","",IFERROR(INDEX(LOOKAHEAD!$G$5:$G$604,MATCH(C102,LOOKAHEAD!$A$5:$A$604,0)),""))</f>
        <v/>
      </c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66" t="str">
        <f aca="false">IF(C102="","",SUM(J102:O102))</f>
        <v/>
      </c>
      <c r="W102" s="66" t="str">
        <f aca="false">IF(C102="","",SUM(P102:U102))</f>
        <v/>
      </c>
      <c r="X102" s="51" t="str">
        <f aca="false">IF(OR(C102="",V102=0),"",W102/V102)</f>
        <v/>
      </c>
      <c r="Y102" s="16" t="str">
        <f aca="false">IF(OR(C102="",V102=0),"",IF(W102&gt;=V102,"Sí","No"))</f>
        <v/>
      </c>
      <c r="Z102" s="9"/>
      <c r="AA102" s="9"/>
    </row>
    <row r="103" customFormat="false" ht="15" hidden="false" customHeight="false" outlineLevel="0" collapsed="false">
      <c r="A103" s="9"/>
      <c r="B103" s="9"/>
      <c r="C103" s="9"/>
      <c r="D103" s="16" t="str">
        <f aca="false">IF(C103="","",IFERROR(INDEX(LOOKAHEAD!$B$5:$B$604,MATCH(C103,LOOKAHEAD!$A$5:$A$604,0)),""))</f>
        <v/>
      </c>
      <c r="E103" s="16" t="str">
        <f aca="false">IF(C103="","",IFERROR(INDEX(LOOKAHEAD!$E$5:$E$604,MATCH(C103,LOOKAHEAD!$A$5:$A$604,0)),""))</f>
        <v/>
      </c>
      <c r="F103" s="16" t="str">
        <f aca="false">IF(C103="","",IFERROR(INDEX(LOOKAHEAD!$M$5:$M$604,MATCH(C103,LOOKAHEAD!$A$5:$A$604,0)),""))</f>
        <v/>
      </c>
      <c r="G103" s="9"/>
      <c r="H103" s="9"/>
      <c r="I103" s="16" t="str">
        <f aca="false">IF(C103="","",IFERROR(INDEX(LOOKAHEAD!$G$5:$G$604,MATCH(C103,LOOKAHEAD!$A$5:$A$604,0)),""))</f>
        <v/>
      </c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66" t="str">
        <f aca="false">IF(C103="","",SUM(J103:O103))</f>
        <v/>
      </c>
      <c r="W103" s="66" t="str">
        <f aca="false">IF(C103="","",SUM(P103:U103))</f>
        <v/>
      </c>
      <c r="X103" s="51" t="str">
        <f aca="false">IF(OR(C103="",V103=0),"",W103/V103)</f>
        <v/>
      </c>
      <c r="Y103" s="16" t="str">
        <f aca="false">IF(OR(C103="",V103=0),"",IF(W103&gt;=V103,"Sí","No"))</f>
        <v/>
      </c>
      <c r="Z103" s="9"/>
      <c r="AA103" s="9"/>
    </row>
    <row r="104" customFormat="false" ht="15" hidden="false" customHeight="false" outlineLevel="0" collapsed="false">
      <c r="A104" s="9"/>
      <c r="B104" s="9"/>
      <c r="C104" s="9"/>
      <c r="D104" s="16" t="str">
        <f aca="false">IF(C104="","",IFERROR(INDEX(LOOKAHEAD!$B$5:$B$604,MATCH(C104,LOOKAHEAD!$A$5:$A$604,0)),""))</f>
        <v/>
      </c>
      <c r="E104" s="16" t="str">
        <f aca="false">IF(C104="","",IFERROR(INDEX(LOOKAHEAD!$E$5:$E$604,MATCH(C104,LOOKAHEAD!$A$5:$A$604,0)),""))</f>
        <v/>
      </c>
      <c r="F104" s="16" t="str">
        <f aca="false">IF(C104="","",IFERROR(INDEX(LOOKAHEAD!$M$5:$M$604,MATCH(C104,LOOKAHEAD!$A$5:$A$604,0)),""))</f>
        <v/>
      </c>
      <c r="G104" s="9"/>
      <c r="H104" s="9"/>
      <c r="I104" s="16" t="str">
        <f aca="false">IF(C104="","",IFERROR(INDEX(LOOKAHEAD!$G$5:$G$604,MATCH(C104,LOOKAHEAD!$A$5:$A$604,0)),""))</f>
        <v/>
      </c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66" t="str">
        <f aca="false">IF(C104="","",SUM(J104:O104))</f>
        <v/>
      </c>
      <c r="W104" s="66" t="str">
        <f aca="false">IF(C104="","",SUM(P104:U104))</f>
        <v/>
      </c>
      <c r="X104" s="51" t="str">
        <f aca="false">IF(OR(C104="",V104=0),"",W104/V104)</f>
        <v/>
      </c>
      <c r="Y104" s="16" t="str">
        <f aca="false">IF(OR(C104="",V104=0),"",IF(W104&gt;=V104,"Sí","No"))</f>
        <v/>
      </c>
      <c r="Z104" s="9"/>
      <c r="AA104" s="9"/>
    </row>
    <row r="105" customFormat="false" ht="15" hidden="false" customHeight="false" outlineLevel="0" collapsed="false">
      <c r="A105" s="9"/>
      <c r="B105" s="9"/>
      <c r="C105" s="9"/>
      <c r="D105" s="16" t="str">
        <f aca="false">IF(C105="","",IFERROR(INDEX(LOOKAHEAD!$B$5:$B$604,MATCH(C105,LOOKAHEAD!$A$5:$A$604,0)),""))</f>
        <v/>
      </c>
      <c r="E105" s="16" t="str">
        <f aca="false">IF(C105="","",IFERROR(INDEX(LOOKAHEAD!$E$5:$E$604,MATCH(C105,LOOKAHEAD!$A$5:$A$604,0)),""))</f>
        <v/>
      </c>
      <c r="F105" s="16" t="str">
        <f aca="false">IF(C105="","",IFERROR(INDEX(LOOKAHEAD!$M$5:$M$604,MATCH(C105,LOOKAHEAD!$A$5:$A$604,0)),""))</f>
        <v/>
      </c>
      <c r="G105" s="9"/>
      <c r="H105" s="9"/>
      <c r="I105" s="16" t="str">
        <f aca="false">IF(C105="","",IFERROR(INDEX(LOOKAHEAD!$G$5:$G$604,MATCH(C105,LOOKAHEAD!$A$5:$A$604,0)),""))</f>
        <v/>
      </c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66" t="str">
        <f aca="false">IF(C105="","",SUM(J105:O105))</f>
        <v/>
      </c>
      <c r="W105" s="66" t="str">
        <f aca="false">IF(C105="","",SUM(P105:U105))</f>
        <v/>
      </c>
      <c r="X105" s="51" t="str">
        <f aca="false">IF(OR(C105="",V105=0),"",W105/V105)</f>
        <v/>
      </c>
      <c r="Y105" s="16" t="str">
        <f aca="false">IF(OR(C105="",V105=0),"",IF(W105&gt;=V105,"Sí","No"))</f>
        <v/>
      </c>
      <c r="Z105" s="9"/>
      <c r="AA105" s="9"/>
    </row>
    <row r="106" customFormat="false" ht="15" hidden="false" customHeight="false" outlineLevel="0" collapsed="false">
      <c r="A106" s="9"/>
      <c r="B106" s="9"/>
      <c r="C106" s="9"/>
      <c r="D106" s="16" t="str">
        <f aca="false">IF(C106="","",IFERROR(INDEX(LOOKAHEAD!$B$5:$B$604,MATCH(C106,LOOKAHEAD!$A$5:$A$604,0)),""))</f>
        <v/>
      </c>
      <c r="E106" s="16" t="str">
        <f aca="false">IF(C106="","",IFERROR(INDEX(LOOKAHEAD!$E$5:$E$604,MATCH(C106,LOOKAHEAD!$A$5:$A$604,0)),""))</f>
        <v/>
      </c>
      <c r="F106" s="16" t="str">
        <f aca="false">IF(C106="","",IFERROR(INDEX(LOOKAHEAD!$M$5:$M$604,MATCH(C106,LOOKAHEAD!$A$5:$A$604,0)),""))</f>
        <v/>
      </c>
      <c r="G106" s="9"/>
      <c r="H106" s="9"/>
      <c r="I106" s="16" t="str">
        <f aca="false">IF(C106="","",IFERROR(INDEX(LOOKAHEAD!$G$5:$G$604,MATCH(C106,LOOKAHEAD!$A$5:$A$604,0)),""))</f>
        <v/>
      </c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66" t="str">
        <f aca="false">IF(C106="","",SUM(J106:O106))</f>
        <v/>
      </c>
      <c r="W106" s="66" t="str">
        <f aca="false">IF(C106="","",SUM(P106:U106))</f>
        <v/>
      </c>
      <c r="X106" s="51" t="str">
        <f aca="false">IF(OR(C106="",V106=0),"",W106/V106)</f>
        <v/>
      </c>
      <c r="Y106" s="16" t="str">
        <f aca="false">IF(OR(C106="",V106=0),"",IF(W106&gt;=V106,"Sí","No"))</f>
        <v/>
      </c>
      <c r="Z106" s="9"/>
      <c r="AA106" s="9"/>
    </row>
    <row r="107" customFormat="false" ht="15" hidden="false" customHeight="false" outlineLevel="0" collapsed="false">
      <c r="A107" s="9"/>
      <c r="B107" s="9"/>
      <c r="C107" s="9"/>
      <c r="D107" s="16" t="str">
        <f aca="false">IF(C107="","",IFERROR(INDEX(LOOKAHEAD!$B$5:$B$604,MATCH(C107,LOOKAHEAD!$A$5:$A$604,0)),""))</f>
        <v/>
      </c>
      <c r="E107" s="16" t="str">
        <f aca="false">IF(C107="","",IFERROR(INDEX(LOOKAHEAD!$E$5:$E$604,MATCH(C107,LOOKAHEAD!$A$5:$A$604,0)),""))</f>
        <v/>
      </c>
      <c r="F107" s="16" t="str">
        <f aca="false">IF(C107="","",IFERROR(INDEX(LOOKAHEAD!$M$5:$M$604,MATCH(C107,LOOKAHEAD!$A$5:$A$604,0)),""))</f>
        <v/>
      </c>
      <c r="G107" s="9"/>
      <c r="H107" s="9"/>
      <c r="I107" s="16" t="str">
        <f aca="false">IF(C107="","",IFERROR(INDEX(LOOKAHEAD!$G$5:$G$604,MATCH(C107,LOOKAHEAD!$A$5:$A$604,0)),""))</f>
        <v/>
      </c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66" t="str">
        <f aca="false">IF(C107="","",SUM(J107:O107))</f>
        <v/>
      </c>
      <c r="W107" s="66" t="str">
        <f aca="false">IF(C107="","",SUM(P107:U107))</f>
        <v/>
      </c>
      <c r="X107" s="51" t="str">
        <f aca="false">IF(OR(C107="",V107=0),"",W107/V107)</f>
        <v/>
      </c>
      <c r="Y107" s="16" t="str">
        <f aca="false">IF(OR(C107="",V107=0),"",IF(W107&gt;=V107,"Sí","No"))</f>
        <v/>
      </c>
      <c r="Z107" s="9"/>
      <c r="AA107" s="9"/>
    </row>
    <row r="108" customFormat="false" ht="15" hidden="false" customHeight="false" outlineLevel="0" collapsed="false">
      <c r="A108" s="9"/>
      <c r="B108" s="9"/>
      <c r="C108" s="9"/>
      <c r="D108" s="16" t="str">
        <f aca="false">IF(C108="","",IFERROR(INDEX(LOOKAHEAD!$B$5:$B$604,MATCH(C108,LOOKAHEAD!$A$5:$A$604,0)),""))</f>
        <v/>
      </c>
      <c r="E108" s="16" t="str">
        <f aca="false">IF(C108="","",IFERROR(INDEX(LOOKAHEAD!$E$5:$E$604,MATCH(C108,LOOKAHEAD!$A$5:$A$604,0)),""))</f>
        <v/>
      </c>
      <c r="F108" s="16" t="str">
        <f aca="false">IF(C108="","",IFERROR(INDEX(LOOKAHEAD!$M$5:$M$604,MATCH(C108,LOOKAHEAD!$A$5:$A$604,0)),""))</f>
        <v/>
      </c>
      <c r="G108" s="9"/>
      <c r="H108" s="9"/>
      <c r="I108" s="16" t="str">
        <f aca="false">IF(C108="","",IFERROR(INDEX(LOOKAHEAD!$G$5:$G$604,MATCH(C108,LOOKAHEAD!$A$5:$A$604,0)),""))</f>
        <v/>
      </c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66" t="str">
        <f aca="false">IF(C108="","",SUM(J108:O108))</f>
        <v/>
      </c>
      <c r="W108" s="66" t="str">
        <f aca="false">IF(C108="","",SUM(P108:U108))</f>
        <v/>
      </c>
      <c r="X108" s="51" t="str">
        <f aca="false">IF(OR(C108="",V108=0),"",W108/V108)</f>
        <v/>
      </c>
      <c r="Y108" s="16" t="str">
        <f aca="false">IF(OR(C108="",V108=0),"",IF(W108&gt;=V108,"Sí","No"))</f>
        <v/>
      </c>
      <c r="Z108" s="9"/>
      <c r="AA108" s="9"/>
    </row>
    <row r="109" customFormat="false" ht="15" hidden="false" customHeight="false" outlineLevel="0" collapsed="false">
      <c r="A109" s="9"/>
      <c r="B109" s="9"/>
      <c r="C109" s="9"/>
      <c r="D109" s="16" t="str">
        <f aca="false">IF(C109="","",IFERROR(INDEX(LOOKAHEAD!$B$5:$B$604,MATCH(C109,LOOKAHEAD!$A$5:$A$604,0)),""))</f>
        <v/>
      </c>
      <c r="E109" s="16" t="str">
        <f aca="false">IF(C109="","",IFERROR(INDEX(LOOKAHEAD!$E$5:$E$604,MATCH(C109,LOOKAHEAD!$A$5:$A$604,0)),""))</f>
        <v/>
      </c>
      <c r="F109" s="16" t="str">
        <f aca="false">IF(C109="","",IFERROR(INDEX(LOOKAHEAD!$M$5:$M$604,MATCH(C109,LOOKAHEAD!$A$5:$A$604,0)),""))</f>
        <v/>
      </c>
      <c r="G109" s="9"/>
      <c r="H109" s="9"/>
      <c r="I109" s="16" t="str">
        <f aca="false">IF(C109="","",IFERROR(INDEX(LOOKAHEAD!$G$5:$G$604,MATCH(C109,LOOKAHEAD!$A$5:$A$604,0)),""))</f>
        <v/>
      </c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66" t="str">
        <f aca="false">IF(C109="","",SUM(J109:O109))</f>
        <v/>
      </c>
      <c r="W109" s="66" t="str">
        <f aca="false">IF(C109="","",SUM(P109:U109))</f>
        <v/>
      </c>
      <c r="X109" s="51" t="str">
        <f aca="false">IF(OR(C109="",V109=0),"",W109/V109)</f>
        <v/>
      </c>
      <c r="Y109" s="16" t="str">
        <f aca="false">IF(OR(C109="",V109=0),"",IF(W109&gt;=V109,"Sí","No"))</f>
        <v/>
      </c>
      <c r="Z109" s="9"/>
      <c r="AA109" s="9"/>
    </row>
    <row r="110" customFormat="false" ht="15" hidden="false" customHeight="false" outlineLevel="0" collapsed="false">
      <c r="A110" s="9"/>
      <c r="B110" s="9"/>
      <c r="C110" s="9"/>
      <c r="D110" s="16" t="str">
        <f aca="false">IF(C110="","",IFERROR(INDEX(LOOKAHEAD!$B$5:$B$604,MATCH(C110,LOOKAHEAD!$A$5:$A$604,0)),""))</f>
        <v/>
      </c>
      <c r="E110" s="16" t="str">
        <f aca="false">IF(C110="","",IFERROR(INDEX(LOOKAHEAD!$E$5:$E$604,MATCH(C110,LOOKAHEAD!$A$5:$A$604,0)),""))</f>
        <v/>
      </c>
      <c r="F110" s="16" t="str">
        <f aca="false">IF(C110="","",IFERROR(INDEX(LOOKAHEAD!$M$5:$M$604,MATCH(C110,LOOKAHEAD!$A$5:$A$604,0)),""))</f>
        <v/>
      </c>
      <c r="G110" s="9"/>
      <c r="H110" s="9"/>
      <c r="I110" s="16" t="str">
        <f aca="false">IF(C110="","",IFERROR(INDEX(LOOKAHEAD!$G$5:$G$604,MATCH(C110,LOOKAHEAD!$A$5:$A$604,0)),""))</f>
        <v/>
      </c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66" t="str">
        <f aca="false">IF(C110="","",SUM(J110:O110))</f>
        <v/>
      </c>
      <c r="W110" s="66" t="str">
        <f aca="false">IF(C110="","",SUM(P110:U110))</f>
        <v/>
      </c>
      <c r="X110" s="51" t="str">
        <f aca="false">IF(OR(C110="",V110=0),"",W110/V110)</f>
        <v/>
      </c>
      <c r="Y110" s="16" t="str">
        <f aca="false">IF(OR(C110="",V110=0),"",IF(W110&gt;=V110,"Sí","No"))</f>
        <v/>
      </c>
      <c r="Z110" s="9"/>
      <c r="AA110" s="9"/>
    </row>
    <row r="111" customFormat="false" ht="15" hidden="false" customHeight="false" outlineLevel="0" collapsed="false">
      <c r="A111" s="9"/>
      <c r="B111" s="9"/>
      <c r="C111" s="9"/>
      <c r="D111" s="16" t="str">
        <f aca="false">IF(C111="","",IFERROR(INDEX(LOOKAHEAD!$B$5:$B$604,MATCH(C111,LOOKAHEAD!$A$5:$A$604,0)),""))</f>
        <v/>
      </c>
      <c r="E111" s="16" t="str">
        <f aca="false">IF(C111="","",IFERROR(INDEX(LOOKAHEAD!$E$5:$E$604,MATCH(C111,LOOKAHEAD!$A$5:$A$604,0)),""))</f>
        <v/>
      </c>
      <c r="F111" s="16" t="str">
        <f aca="false">IF(C111="","",IFERROR(INDEX(LOOKAHEAD!$M$5:$M$604,MATCH(C111,LOOKAHEAD!$A$5:$A$604,0)),""))</f>
        <v/>
      </c>
      <c r="G111" s="9"/>
      <c r="H111" s="9"/>
      <c r="I111" s="16" t="str">
        <f aca="false">IF(C111="","",IFERROR(INDEX(LOOKAHEAD!$G$5:$G$604,MATCH(C111,LOOKAHEAD!$A$5:$A$604,0)),""))</f>
        <v/>
      </c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66" t="str">
        <f aca="false">IF(C111="","",SUM(J111:O111))</f>
        <v/>
      </c>
      <c r="W111" s="66" t="str">
        <f aca="false">IF(C111="","",SUM(P111:U111))</f>
        <v/>
      </c>
      <c r="X111" s="51" t="str">
        <f aca="false">IF(OR(C111="",V111=0),"",W111/V111)</f>
        <v/>
      </c>
      <c r="Y111" s="16" t="str">
        <f aca="false">IF(OR(C111="",V111=0),"",IF(W111&gt;=V111,"Sí","No"))</f>
        <v/>
      </c>
      <c r="Z111" s="9"/>
      <c r="AA111" s="9"/>
    </row>
    <row r="112" customFormat="false" ht="15" hidden="false" customHeight="false" outlineLevel="0" collapsed="false">
      <c r="A112" s="9"/>
      <c r="B112" s="9"/>
      <c r="C112" s="9"/>
      <c r="D112" s="16" t="str">
        <f aca="false">IF(C112="","",IFERROR(INDEX(LOOKAHEAD!$B$5:$B$604,MATCH(C112,LOOKAHEAD!$A$5:$A$604,0)),""))</f>
        <v/>
      </c>
      <c r="E112" s="16" t="str">
        <f aca="false">IF(C112="","",IFERROR(INDEX(LOOKAHEAD!$E$5:$E$604,MATCH(C112,LOOKAHEAD!$A$5:$A$604,0)),""))</f>
        <v/>
      </c>
      <c r="F112" s="16" t="str">
        <f aca="false">IF(C112="","",IFERROR(INDEX(LOOKAHEAD!$M$5:$M$604,MATCH(C112,LOOKAHEAD!$A$5:$A$604,0)),""))</f>
        <v/>
      </c>
      <c r="G112" s="9"/>
      <c r="H112" s="9"/>
      <c r="I112" s="16" t="str">
        <f aca="false">IF(C112="","",IFERROR(INDEX(LOOKAHEAD!$G$5:$G$604,MATCH(C112,LOOKAHEAD!$A$5:$A$604,0)),""))</f>
        <v/>
      </c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66" t="str">
        <f aca="false">IF(C112="","",SUM(J112:O112))</f>
        <v/>
      </c>
      <c r="W112" s="66" t="str">
        <f aca="false">IF(C112="","",SUM(P112:U112))</f>
        <v/>
      </c>
      <c r="X112" s="51" t="str">
        <f aca="false">IF(OR(C112="",V112=0),"",W112/V112)</f>
        <v/>
      </c>
      <c r="Y112" s="16" t="str">
        <f aca="false">IF(OR(C112="",V112=0),"",IF(W112&gt;=V112,"Sí","No"))</f>
        <v/>
      </c>
      <c r="Z112" s="9"/>
      <c r="AA112" s="9"/>
    </row>
    <row r="113" customFormat="false" ht="15" hidden="false" customHeight="false" outlineLevel="0" collapsed="false">
      <c r="A113" s="9"/>
      <c r="B113" s="9"/>
      <c r="C113" s="9"/>
      <c r="D113" s="16" t="str">
        <f aca="false">IF(C113="","",IFERROR(INDEX(LOOKAHEAD!$B$5:$B$604,MATCH(C113,LOOKAHEAD!$A$5:$A$604,0)),""))</f>
        <v/>
      </c>
      <c r="E113" s="16" t="str">
        <f aca="false">IF(C113="","",IFERROR(INDEX(LOOKAHEAD!$E$5:$E$604,MATCH(C113,LOOKAHEAD!$A$5:$A$604,0)),""))</f>
        <v/>
      </c>
      <c r="F113" s="16" t="str">
        <f aca="false">IF(C113="","",IFERROR(INDEX(LOOKAHEAD!$M$5:$M$604,MATCH(C113,LOOKAHEAD!$A$5:$A$604,0)),""))</f>
        <v/>
      </c>
      <c r="G113" s="9"/>
      <c r="H113" s="9"/>
      <c r="I113" s="16" t="str">
        <f aca="false">IF(C113="","",IFERROR(INDEX(LOOKAHEAD!$G$5:$G$604,MATCH(C113,LOOKAHEAD!$A$5:$A$604,0)),""))</f>
        <v/>
      </c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66" t="str">
        <f aca="false">IF(C113="","",SUM(J113:O113))</f>
        <v/>
      </c>
      <c r="W113" s="66" t="str">
        <f aca="false">IF(C113="","",SUM(P113:U113))</f>
        <v/>
      </c>
      <c r="X113" s="51" t="str">
        <f aca="false">IF(OR(C113="",V113=0),"",W113/V113)</f>
        <v/>
      </c>
      <c r="Y113" s="16" t="str">
        <f aca="false">IF(OR(C113="",V113=0),"",IF(W113&gt;=V113,"Sí","No"))</f>
        <v/>
      </c>
      <c r="Z113" s="9"/>
      <c r="AA113" s="9"/>
    </row>
    <row r="114" customFormat="false" ht="15" hidden="false" customHeight="false" outlineLevel="0" collapsed="false">
      <c r="A114" s="9"/>
      <c r="B114" s="9"/>
      <c r="C114" s="9"/>
      <c r="D114" s="16" t="str">
        <f aca="false">IF(C114="","",IFERROR(INDEX(LOOKAHEAD!$B$5:$B$604,MATCH(C114,LOOKAHEAD!$A$5:$A$604,0)),""))</f>
        <v/>
      </c>
      <c r="E114" s="16" t="str">
        <f aca="false">IF(C114="","",IFERROR(INDEX(LOOKAHEAD!$E$5:$E$604,MATCH(C114,LOOKAHEAD!$A$5:$A$604,0)),""))</f>
        <v/>
      </c>
      <c r="F114" s="16" t="str">
        <f aca="false">IF(C114="","",IFERROR(INDEX(LOOKAHEAD!$M$5:$M$604,MATCH(C114,LOOKAHEAD!$A$5:$A$604,0)),""))</f>
        <v/>
      </c>
      <c r="G114" s="9"/>
      <c r="H114" s="9"/>
      <c r="I114" s="16" t="str">
        <f aca="false">IF(C114="","",IFERROR(INDEX(LOOKAHEAD!$G$5:$G$604,MATCH(C114,LOOKAHEAD!$A$5:$A$604,0)),""))</f>
        <v/>
      </c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66" t="str">
        <f aca="false">IF(C114="","",SUM(J114:O114))</f>
        <v/>
      </c>
      <c r="W114" s="66" t="str">
        <f aca="false">IF(C114="","",SUM(P114:U114))</f>
        <v/>
      </c>
      <c r="X114" s="51" t="str">
        <f aca="false">IF(OR(C114="",V114=0),"",W114/V114)</f>
        <v/>
      </c>
      <c r="Y114" s="16" t="str">
        <f aca="false">IF(OR(C114="",V114=0),"",IF(W114&gt;=V114,"Sí","No"))</f>
        <v/>
      </c>
      <c r="Z114" s="9"/>
      <c r="AA114" s="9"/>
    </row>
    <row r="115" customFormat="false" ht="15" hidden="false" customHeight="false" outlineLevel="0" collapsed="false">
      <c r="A115" s="9"/>
      <c r="B115" s="9"/>
      <c r="C115" s="9"/>
      <c r="D115" s="16" t="str">
        <f aca="false">IF(C115="","",IFERROR(INDEX(LOOKAHEAD!$B$5:$B$604,MATCH(C115,LOOKAHEAD!$A$5:$A$604,0)),""))</f>
        <v/>
      </c>
      <c r="E115" s="16" t="str">
        <f aca="false">IF(C115="","",IFERROR(INDEX(LOOKAHEAD!$E$5:$E$604,MATCH(C115,LOOKAHEAD!$A$5:$A$604,0)),""))</f>
        <v/>
      </c>
      <c r="F115" s="16" t="str">
        <f aca="false">IF(C115="","",IFERROR(INDEX(LOOKAHEAD!$M$5:$M$604,MATCH(C115,LOOKAHEAD!$A$5:$A$604,0)),""))</f>
        <v/>
      </c>
      <c r="G115" s="9"/>
      <c r="H115" s="9"/>
      <c r="I115" s="16" t="str">
        <f aca="false">IF(C115="","",IFERROR(INDEX(LOOKAHEAD!$G$5:$G$604,MATCH(C115,LOOKAHEAD!$A$5:$A$604,0)),""))</f>
        <v/>
      </c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66" t="str">
        <f aca="false">IF(C115="","",SUM(J115:O115))</f>
        <v/>
      </c>
      <c r="W115" s="66" t="str">
        <f aca="false">IF(C115="","",SUM(P115:U115))</f>
        <v/>
      </c>
      <c r="X115" s="51" t="str">
        <f aca="false">IF(OR(C115="",V115=0),"",W115/V115)</f>
        <v/>
      </c>
      <c r="Y115" s="16" t="str">
        <f aca="false">IF(OR(C115="",V115=0),"",IF(W115&gt;=V115,"Sí","No"))</f>
        <v/>
      </c>
      <c r="Z115" s="9"/>
      <c r="AA115" s="9"/>
    </row>
    <row r="116" customFormat="false" ht="15" hidden="false" customHeight="false" outlineLevel="0" collapsed="false">
      <c r="A116" s="9"/>
      <c r="B116" s="9"/>
      <c r="C116" s="9"/>
      <c r="D116" s="16" t="str">
        <f aca="false">IF(C116="","",IFERROR(INDEX(LOOKAHEAD!$B$5:$B$604,MATCH(C116,LOOKAHEAD!$A$5:$A$604,0)),""))</f>
        <v/>
      </c>
      <c r="E116" s="16" t="str">
        <f aca="false">IF(C116="","",IFERROR(INDEX(LOOKAHEAD!$E$5:$E$604,MATCH(C116,LOOKAHEAD!$A$5:$A$604,0)),""))</f>
        <v/>
      </c>
      <c r="F116" s="16" t="str">
        <f aca="false">IF(C116="","",IFERROR(INDEX(LOOKAHEAD!$M$5:$M$604,MATCH(C116,LOOKAHEAD!$A$5:$A$604,0)),""))</f>
        <v/>
      </c>
      <c r="G116" s="9"/>
      <c r="H116" s="9"/>
      <c r="I116" s="16" t="str">
        <f aca="false">IF(C116="","",IFERROR(INDEX(LOOKAHEAD!$G$5:$G$604,MATCH(C116,LOOKAHEAD!$A$5:$A$604,0)),""))</f>
        <v/>
      </c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66" t="str">
        <f aca="false">IF(C116="","",SUM(J116:O116))</f>
        <v/>
      </c>
      <c r="W116" s="66" t="str">
        <f aca="false">IF(C116="","",SUM(P116:U116))</f>
        <v/>
      </c>
      <c r="X116" s="51" t="str">
        <f aca="false">IF(OR(C116="",V116=0),"",W116/V116)</f>
        <v/>
      </c>
      <c r="Y116" s="16" t="str">
        <f aca="false">IF(OR(C116="",V116=0),"",IF(W116&gt;=V116,"Sí","No"))</f>
        <v/>
      </c>
      <c r="Z116" s="9"/>
      <c r="AA116" s="9"/>
    </row>
    <row r="117" customFormat="false" ht="15" hidden="false" customHeight="false" outlineLevel="0" collapsed="false">
      <c r="A117" s="9"/>
      <c r="B117" s="9"/>
      <c r="C117" s="9"/>
      <c r="D117" s="16" t="str">
        <f aca="false">IF(C117="","",IFERROR(INDEX(LOOKAHEAD!$B$5:$B$604,MATCH(C117,LOOKAHEAD!$A$5:$A$604,0)),""))</f>
        <v/>
      </c>
      <c r="E117" s="16" t="str">
        <f aca="false">IF(C117="","",IFERROR(INDEX(LOOKAHEAD!$E$5:$E$604,MATCH(C117,LOOKAHEAD!$A$5:$A$604,0)),""))</f>
        <v/>
      </c>
      <c r="F117" s="16" t="str">
        <f aca="false">IF(C117="","",IFERROR(INDEX(LOOKAHEAD!$M$5:$M$604,MATCH(C117,LOOKAHEAD!$A$5:$A$604,0)),""))</f>
        <v/>
      </c>
      <c r="G117" s="9"/>
      <c r="H117" s="9"/>
      <c r="I117" s="16" t="str">
        <f aca="false">IF(C117="","",IFERROR(INDEX(LOOKAHEAD!$G$5:$G$604,MATCH(C117,LOOKAHEAD!$A$5:$A$604,0)),""))</f>
        <v/>
      </c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66" t="str">
        <f aca="false">IF(C117="","",SUM(J117:O117))</f>
        <v/>
      </c>
      <c r="W117" s="66" t="str">
        <f aca="false">IF(C117="","",SUM(P117:U117))</f>
        <v/>
      </c>
      <c r="X117" s="51" t="str">
        <f aca="false">IF(OR(C117="",V117=0),"",W117/V117)</f>
        <v/>
      </c>
      <c r="Y117" s="16" t="str">
        <f aca="false">IF(OR(C117="",V117=0),"",IF(W117&gt;=V117,"Sí","No"))</f>
        <v/>
      </c>
      <c r="Z117" s="9"/>
      <c r="AA117" s="9"/>
    </row>
    <row r="118" customFormat="false" ht="15" hidden="false" customHeight="false" outlineLevel="0" collapsed="false">
      <c r="A118" s="9"/>
      <c r="B118" s="9"/>
      <c r="C118" s="9"/>
      <c r="D118" s="16" t="str">
        <f aca="false">IF(C118="","",IFERROR(INDEX(LOOKAHEAD!$B$5:$B$604,MATCH(C118,LOOKAHEAD!$A$5:$A$604,0)),""))</f>
        <v/>
      </c>
      <c r="E118" s="16" t="str">
        <f aca="false">IF(C118="","",IFERROR(INDEX(LOOKAHEAD!$E$5:$E$604,MATCH(C118,LOOKAHEAD!$A$5:$A$604,0)),""))</f>
        <v/>
      </c>
      <c r="F118" s="16" t="str">
        <f aca="false">IF(C118="","",IFERROR(INDEX(LOOKAHEAD!$M$5:$M$604,MATCH(C118,LOOKAHEAD!$A$5:$A$604,0)),""))</f>
        <v/>
      </c>
      <c r="G118" s="9"/>
      <c r="H118" s="9"/>
      <c r="I118" s="16" t="str">
        <f aca="false">IF(C118="","",IFERROR(INDEX(LOOKAHEAD!$G$5:$G$604,MATCH(C118,LOOKAHEAD!$A$5:$A$604,0)),""))</f>
        <v/>
      </c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66" t="str">
        <f aca="false">IF(C118="","",SUM(J118:O118))</f>
        <v/>
      </c>
      <c r="W118" s="66" t="str">
        <f aca="false">IF(C118="","",SUM(P118:U118))</f>
        <v/>
      </c>
      <c r="X118" s="51" t="str">
        <f aca="false">IF(OR(C118="",V118=0),"",W118/V118)</f>
        <v/>
      </c>
      <c r="Y118" s="16" t="str">
        <f aca="false">IF(OR(C118="",V118=0),"",IF(W118&gt;=V118,"Sí","No"))</f>
        <v/>
      </c>
      <c r="Z118" s="9"/>
      <c r="AA118" s="9"/>
    </row>
    <row r="119" customFormat="false" ht="15" hidden="false" customHeight="false" outlineLevel="0" collapsed="false">
      <c r="A119" s="9"/>
      <c r="B119" s="9"/>
      <c r="C119" s="9"/>
      <c r="D119" s="16" t="str">
        <f aca="false">IF(C119="","",IFERROR(INDEX(LOOKAHEAD!$B$5:$B$604,MATCH(C119,LOOKAHEAD!$A$5:$A$604,0)),""))</f>
        <v/>
      </c>
      <c r="E119" s="16" t="str">
        <f aca="false">IF(C119="","",IFERROR(INDEX(LOOKAHEAD!$E$5:$E$604,MATCH(C119,LOOKAHEAD!$A$5:$A$604,0)),""))</f>
        <v/>
      </c>
      <c r="F119" s="16" t="str">
        <f aca="false">IF(C119="","",IFERROR(INDEX(LOOKAHEAD!$M$5:$M$604,MATCH(C119,LOOKAHEAD!$A$5:$A$604,0)),""))</f>
        <v/>
      </c>
      <c r="G119" s="9"/>
      <c r="H119" s="9"/>
      <c r="I119" s="16" t="str">
        <f aca="false">IF(C119="","",IFERROR(INDEX(LOOKAHEAD!$G$5:$G$604,MATCH(C119,LOOKAHEAD!$A$5:$A$604,0)),""))</f>
        <v/>
      </c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66" t="str">
        <f aca="false">IF(C119="","",SUM(J119:O119))</f>
        <v/>
      </c>
      <c r="W119" s="66" t="str">
        <f aca="false">IF(C119="","",SUM(P119:U119))</f>
        <v/>
      </c>
      <c r="X119" s="51" t="str">
        <f aca="false">IF(OR(C119="",V119=0),"",W119/V119)</f>
        <v/>
      </c>
      <c r="Y119" s="16" t="str">
        <f aca="false">IF(OR(C119="",V119=0),"",IF(W119&gt;=V119,"Sí","No"))</f>
        <v/>
      </c>
      <c r="Z119" s="9"/>
      <c r="AA119" s="9"/>
    </row>
    <row r="120" customFormat="false" ht="15" hidden="false" customHeight="false" outlineLevel="0" collapsed="false">
      <c r="A120" s="9"/>
      <c r="B120" s="9"/>
      <c r="C120" s="9"/>
      <c r="D120" s="16" t="str">
        <f aca="false">IF(C120="","",IFERROR(INDEX(LOOKAHEAD!$B$5:$B$604,MATCH(C120,LOOKAHEAD!$A$5:$A$604,0)),""))</f>
        <v/>
      </c>
      <c r="E120" s="16" t="str">
        <f aca="false">IF(C120="","",IFERROR(INDEX(LOOKAHEAD!$E$5:$E$604,MATCH(C120,LOOKAHEAD!$A$5:$A$604,0)),""))</f>
        <v/>
      </c>
      <c r="F120" s="16" t="str">
        <f aca="false">IF(C120="","",IFERROR(INDEX(LOOKAHEAD!$M$5:$M$604,MATCH(C120,LOOKAHEAD!$A$5:$A$604,0)),""))</f>
        <v/>
      </c>
      <c r="G120" s="9"/>
      <c r="H120" s="9"/>
      <c r="I120" s="16" t="str">
        <f aca="false">IF(C120="","",IFERROR(INDEX(LOOKAHEAD!$G$5:$G$604,MATCH(C120,LOOKAHEAD!$A$5:$A$604,0)),""))</f>
        <v/>
      </c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66" t="str">
        <f aca="false">IF(C120="","",SUM(J120:O120))</f>
        <v/>
      </c>
      <c r="W120" s="66" t="str">
        <f aca="false">IF(C120="","",SUM(P120:U120))</f>
        <v/>
      </c>
      <c r="X120" s="51" t="str">
        <f aca="false">IF(OR(C120="",V120=0),"",W120/V120)</f>
        <v/>
      </c>
      <c r="Y120" s="16" t="str">
        <f aca="false">IF(OR(C120="",V120=0),"",IF(W120&gt;=V120,"Sí","No"))</f>
        <v/>
      </c>
      <c r="Z120" s="9"/>
      <c r="AA120" s="9"/>
    </row>
    <row r="121" customFormat="false" ht="15" hidden="false" customHeight="false" outlineLevel="0" collapsed="false">
      <c r="A121" s="9"/>
      <c r="B121" s="9"/>
      <c r="C121" s="9"/>
      <c r="D121" s="16" t="str">
        <f aca="false">IF(C121="","",IFERROR(INDEX(LOOKAHEAD!$B$5:$B$604,MATCH(C121,LOOKAHEAD!$A$5:$A$604,0)),""))</f>
        <v/>
      </c>
      <c r="E121" s="16" t="str">
        <f aca="false">IF(C121="","",IFERROR(INDEX(LOOKAHEAD!$E$5:$E$604,MATCH(C121,LOOKAHEAD!$A$5:$A$604,0)),""))</f>
        <v/>
      </c>
      <c r="F121" s="16" t="str">
        <f aca="false">IF(C121="","",IFERROR(INDEX(LOOKAHEAD!$M$5:$M$604,MATCH(C121,LOOKAHEAD!$A$5:$A$604,0)),""))</f>
        <v/>
      </c>
      <c r="G121" s="9"/>
      <c r="H121" s="9"/>
      <c r="I121" s="16" t="str">
        <f aca="false">IF(C121="","",IFERROR(INDEX(LOOKAHEAD!$G$5:$G$604,MATCH(C121,LOOKAHEAD!$A$5:$A$604,0)),""))</f>
        <v/>
      </c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66" t="str">
        <f aca="false">IF(C121="","",SUM(J121:O121))</f>
        <v/>
      </c>
      <c r="W121" s="66" t="str">
        <f aca="false">IF(C121="","",SUM(P121:U121))</f>
        <v/>
      </c>
      <c r="X121" s="51" t="str">
        <f aca="false">IF(OR(C121="",V121=0),"",W121/V121)</f>
        <v/>
      </c>
      <c r="Y121" s="16" t="str">
        <f aca="false">IF(OR(C121="",V121=0),"",IF(W121&gt;=V121,"Sí","No"))</f>
        <v/>
      </c>
      <c r="Z121" s="9"/>
      <c r="AA121" s="9"/>
    </row>
    <row r="122" customFormat="false" ht="15" hidden="false" customHeight="false" outlineLevel="0" collapsed="false">
      <c r="A122" s="9"/>
      <c r="B122" s="9"/>
      <c r="C122" s="9"/>
      <c r="D122" s="16" t="str">
        <f aca="false">IF(C122="","",IFERROR(INDEX(LOOKAHEAD!$B$5:$B$604,MATCH(C122,LOOKAHEAD!$A$5:$A$604,0)),""))</f>
        <v/>
      </c>
      <c r="E122" s="16" t="str">
        <f aca="false">IF(C122="","",IFERROR(INDEX(LOOKAHEAD!$E$5:$E$604,MATCH(C122,LOOKAHEAD!$A$5:$A$604,0)),""))</f>
        <v/>
      </c>
      <c r="F122" s="16" t="str">
        <f aca="false">IF(C122="","",IFERROR(INDEX(LOOKAHEAD!$M$5:$M$604,MATCH(C122,LOOKAHEAD!$A$5:$A$604,0)),""))</f>
        <v/>
      </c>
      <c r="G122" s="9"/>
      <c r="H122" s="9"/>
      <c r="I122" s="16" t="str">
        <f aca="false">IF(C122="","",IFERROR(INDEX(LOOKAHEAD!$G$5:$G$604,MATCH(C122,LOOKAHEAD!$A$5:$A$604,0)),""))</f>
        <v/>
      </c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66" t="str">
        <f aca="false">IF(C122="","",SUM(J122:O122))</f>
        <v/>
      </c>
      <c r="W122" s="66" t="str">
        <f aca="false">IF(C122="","",SUM(P122:U122))</f>
        <v/>
      </c>
      <c r="X122" s="51" t="str">
        <f aca="false">IF(OR(C122="",V122=0),"",W122/V122)</f>
        <v/>
      </c>
      <c r="Y122" s="16" t="str">
        <f aca="false">IF(OR(C122="",V122=0),"",IF(W122&gt;=V122,"Sí","No"))</f>
        <v/>
      </c>
      <c r="Z122" s="9"/>
      <c r="AA122" s="9"/>
    </row>
    <row r="123" customFormat="false" ht="15" hidden="false" customHeight="false" outlineLevel="0" collapsed="false">
      <c r="A123" s="9"/>
      <c r="B123" s="9"/>
      <c r="C123" s="9"/>
      <c r="D123" s="16" t="str">
        <f aca="false">IF(C123="","",IFERROR(INDEX(LOOKAHEAD!$B$5:$B$604,MATCH(C123,LOOKAHEAD!$A$5:$A$604,0)),""))</f>
        <v/>
      </c>
      <c r="E123" s="16" t="str">
        <f aca="false">IF(C123="","",IFERROR(INDEX(LOOKAHEAD!$E$5:$E$604,MATCH(C123,LOOKAHEAD!$A$5:$A$604,0)),""))</f>
        <v/>
      </c>
      <c r="F123" s="16" t="str">
        <f aca="false">IF(C123="","",IFERROR(INDEX(LOOKAHEAD!$M$5:$M$604,MATCH(C123,LOOKAHEAD!$A$5:$A$604,0)),""))</f>
        <v/>
      </c>
      <c r="G123" s="9"/>
      <c r="H123" s="9"/>
      <c r="I123" s="16" t="str">
        <f aca="false">IF(C123="","",IFERROR(INDEX(LOOKAHEAD!$G$5:$G$604,MATCH(C123,LOOKAHEAD!$A$5:$A$604,0)),""))</f>
        <v/>
      </c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66" t="str">
        <f aca="false">IF(C123="","",SUM(J123:O123))</f>
        <v/>
      </c>
      <c r="W123" s="66" t="str">
        <f aca="false">IF(C123="","",SUM(P123:U123))</f>
        <v/>
      </c>
      <c r="X123" s="51" t="str">
        <f aca="false">IF(OR(C123="",V123=0),"",W123/V123)</f>
        <v/>
      </c>
      <c r="Y123" s="16" t="str">
        <f aca="false">IF(OR(C123="",V123=0),"",IF(W123&gt;=V123,"Sí","No"))</f>
        <v/>
      </c>
      <c r="Z123" s="9"/>
      <c r="AA123" s="9"/>
    </row>
    <row r="124" customFormat="false" ht="15" hidden="false" customHeight="false" outlineLevel="0" collapsed="false">
      <c r="A124" s="9"/>
      <c r="B124" s="9"/>
      <c r="C124" s="9"/>
      <c r="D124" s="16" t="str">
        <f aca="false">IF(C124="","",IFERROR(INDEX(LOOKAHEAD!$B$5:$B$604,MATCH(C124,LOOKAHEAD!$A$5:$A$604,0)),""))</f>
        <v/>
      </c>
      <c r="E124" s="16" t="str">
        <f aca="false">IF(C124="","",IFERROR(INDEX(LOOKAHEAD!$E$5:$E$604,MATCH(C124,LOOKAHEAD!$A$5:$A$604,0)),""))</f>
        <v/>
      </c>
      <c r="F124" s="16" t="str">
        <f aca="false">IF(C124="","",IFERROR(INDEX(LOOKAHEAD!$M$5:$M$604,MATCH(C124,LOOKAHEAD!$A$5:$A$604,0)),""))</f>
        <v/>
      </c>
      <c r="G124" s="9"/>
      <c r="H124" s="9"/>
      <c r="I124" s="16" t="str">
        <f aca="false">IF(C124="","",IFERROR(INDEX(LOOKAHEAD!$G$5:$G$604,MATCH(C124,LOOKAHEAD!$A$5:$A$604,0)),""))</f>
        <v/>
      </c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66" t="str">
        <f aca="false">IF(C124="","",SUM(J124:O124))</f>
        <v/>
      </c>
      <c r="W124" s="66" t="str">
        <f aca="false">IF(C124="","",SUM(P124:U124))</f>
        <v/>
      </c>
      <c r="X124" s="51" t="str">
        <f aca="false">IF(OR(C124="",V124=0),"",W124/V124)</f>
        <v/>
      </c>
      <c r="Y124" s="16" t="str">
        <f aca="false">IF(OR(C124="",V124=0),"",IF(W124&gt;=V124,"Sí","No"))</f>
        <v/>
      </c>
      <c r="Z124" s="9"/>
      <c r="AA124" s="9"/>
    </row>
    <row r="125" customFormat="false" ht="15" hidden="false" customHeight="false" outlineLevel="0" collapsed="false">
      <c r="A125" s="9"/>
      <c r="B125" s="9"/>
      <c r="C125" s="9"/>
      <c r="D125" s="16" t="str">
        <f aca="false">IF(C125="","",IFERROR(INDEX(LOOKAHEAD!$B$5:$B$604,MATCH(C125,LOOKAHEAD!$A$5:$A$604,0)),""))</f>
        <v/>
      </c>
      <c r="E125" s="16" t="str">
        <f aca="false">IF(C125="","",IFERROR(INDEX(LOOKAHEAD!$E$5:$E$604,MATCH(C125,LOOKAHEAD!$A$5:$A$604,0)),""))</f>
        <v/>
      </c>
      <c r="F125" s="16" t="str">
        <f aca="false">IF(C125="","",IFERROR(INDEX(LOOKAHEAD!$M$5:$M$604,MATCH(C125,LOOKAHEAD!$A$5:$A$604,0)),""))</f>
        <v/>
      </c>
      <c r="G125" s="9"/>
      <c r="H125" s="9"/>
      <c r="I125" s="16" t="str">
        <f aca="false">IF(C125="","",IFERROR(INDEX(LOOKAHEAD!$G$5:$G$604,MATCH(C125,LOOKAHEAD!$A$5:$A$604,0)),""))</f>
        <v/>
      </c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66" t="str">
        <f aca="false">IF(C125="","",SUM(J125:O125))</f>
        <v/>
      </c>
      <c r="W125" s="66" t="str">
        <f aca="false">IF(C125="","",SUM(P125:U125))</f>
        <v/>
      </c>
      <c r="X125" s="51" t="str">
        <f aca="false">IF(OR(C125="",V125=0),"",W125/V125)</f>
        <v/>
      </c>
      <c r="Y125" s="16" t="str">
        <f aca="false">IF(OR(C125="",V125=0),"",IF(W125&gt;=V125,"Sí","No"))</f>
        <v/>
      </c>
      <c r="Z125" s="9"/>
      <c r="AA125" s="9"/>
    </row>
    <row r="126" customFormat="false" ht="15" hidden="false" customHeight="false" outlineLevel="0" collapsed="false">
      <c r="A126" s="9"/>
      <c r="B126" s="9"/>
      <c r="C126" s="9"/>
      <c r="D126" s="16" t="str">
        <f aca="false">IF(C126="","",IFERROR(INDEX(LOOKAHEAD!$B$5:$B$604,MATCH(C126,LOOKAHEAD!$A$5:$A$604,0)),""))</f>
        <v/>
      </c>
      <c r="E126" s="16" t="str">
        <f aca="false">IF(C126="","",IFERROR(INDEX(LOOKAHEAD!$E$5:$E$604,MATCH(C126,LOOKAHEAD!$A$5:$A$604,0)),""))</f>
        <v/>
      </c>
      <c r="F126" s="16" t="str">
        <f aca="false">IF(C126="","",IFERROR(INDEX(LOOKAHEAD!$M$5:$M$604,MATCH(C126,LOOKAHEAD!$A$5:$A$604,0)),""))</f>
        <v/>
      </c>
      <c r="G126" s="9"/>
      <c r="H126" s="9"/>
      <c r="I126" s="16" t="str">
        <f aca="false">IF(C126="","",IFERROR(INDEX(LOOKAHEAD!$G$5:$G$604,MATCH(C126,LOOKAHEAD!$A$5:$A$604,0)),""))</f>
        <v/>
      </c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66" t="str">
        <f aca="false">IF(C126="","",SUM(J126:O126))</f>
        <v/>
      </c>
      <c r="W126" s="66" t="str">
        <f aca="false">IF(C126="","",SUM(P126:U126))</f>
        <v/>
      </c>
      <c r="X126" s="51" t="str">
        <f aca="false">IF(OR(C126="",V126=0),"",W126/V126)</f>
        <v/>
      </c>
      <c r="Y126" s="16" t="str">
        <f aca="false">IF(OR(C126="",V126=0),"",IF(W126&gt;=V126,"Sí","No"))</f>
        <v/>
      </c>
      <c r="Z126" s="9"/>
      <c r="AA126" s="9"/>
    </row>
    <row r="127" customFormat="false" ht="15" hidden="false" customHeight="false" outlineLevel="0" collapsed="false">
      <c r="A127" s="9"/>
      <c r="B127" s="9"/>
      <c r="C127" s="9"/>
      <c r="D127" s="16" t="str">
        <f aca="false">IF(C127="","",IFERROR(INDEX(LOOKAHEAD!$B$5:$B$604,MATCH(C127,LOOKAHEAD!$A$5:$A$604,0)),""))</f>
        <v/>
      </c>
      <c r="E127" s="16" t="str">
        <f aca="false">IF(C127="","",IFERROR(INDEX(LOOKAHEAD!$E$5:$E$604,MATCH(C127,LOOKAHEAD!$A$5:$A$604,0)),""))</f>
        <v/>
      </c>
      <c r="F127" s="16" t="str">
        <f aca="false">IF(C127="","",IFERROR(INDEX(LOOKAHEAD!$M$5:$M$604,MATCH(C127,LOOKAHEAD!$A$5:$A$604,0)),""))</f>
        <v/>
      </c>
      <c r="G127" s="9"/>
      <c r="H127" s="9"/>
      <c r="I127" s="16" t="str">
        <f aca="false">IF(C127="","",IFERROR(INDEX(LOOKAHEAD!$G$5:$G$604,MATCH(C127,LOOKAHEAD!$A$5:$A$604,0)),""))</f>
        <v/>
      </c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66" t="str">
        <f aca="false">IF(C127="","",SUM(J127:O127))</f>
        <v/>
      </c>
      <c r="W127" s="66" t="str">
        <f aca="false">IF(C127="","",SUM(P127:U127))</f>
        <v/>
      </c>
      <c r="X127" s="51" t="str">
        <f aca="false">IF(OR(C127="",V127=0),"",W127/V127)</f>
        <v/>
      </c>
      <c r="Y127" s="16" t="str">
        <f aca="false">IF(OR(C127="",V127=0),"",IF(W127&gt;=V127,"Sí","No"))</f>
        <v/>
      </c>
      <c r="Z127" s="9"/>
      <c r="AA127" s="9"/>
    </row>
    <row r="128" customFormat="false" ht="15" hidden="false" customHeight="false" outlineLevel="0" collapsed="false">
      <c r="A128" s="9"/>
      <c r="B128" s="9"/>
      <c r="C128" s="9"/>
      <c r="D128" s="16" t="str">
        <f aca="false">IF(C128="","",IFERROR(INDEX(LOOKAHEAD!$B$5:$B$604,MATCH(C128,LOOKAHEAD!$A$5:$A$604,0)),""))</f>
        <v/>
      </c>
      <c r="E128" s="16" t="str">
        <f aca="false">IF(C128="","",IFERROR(INDEX(LOOKAHEAD!$E$5:$E$604,MATCH(C128,LOOKAHEAD!$A$5:$A$604,0)),""))</f>
        <v/>
      </c>
      <c r="F128" s="16" t="str">
        <f aca="false">IF(C128="","",IFERROR(INDEX(LOOKAHEAD!$M$5:$M$604,MATCH(C128,LOOKAHEAD!$A$5:$A$604,0)),""))</f>
        <v/>
      </c>
      <c r="G128" s="9"/>
      <c r="H128" s="9"/>
      <c r="I128" s="16" t="str">
        <f aca="false">IF(C128="","",IFERROR(INDEX(LOOKAHEAD!$G$5:$G$604,MATCH(C128,LOOKAHEAD!$A$5:$A$604,0)),""))</f>
        <v/>
      </c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66" t="str">
        <f aca="false">IF(C128="","",SUM(J128:O128))</f>
        <v/>
      </c>
      <c r="W128" s="66" t="str">
        <f aca="false">IF(C128="","",SUM(P128:U128))</f>
        <v/>
      </c>
      <c r="X128" s="51" t="str">
        <f aca="false">IF(OR(C128="",V128=0),"",W128/V128)</f>
        <v/>
      </c>
      <c r="Y128" s="16" t="str">
        <f aca="false">IF(OR(C128="",V128=0),"",IF(W128&gt;=V128,"Sí","No"))</f>
        <v/>
      </c>
      <c r="Z128" s="9"/>
      <c r="AA128" s="9"/>
    </row>
    <row r="129" customFormat="false" ht="15" hidden="false" customHeight="false" outlineLevel="0" collapsed="false">
      <c r="A129" s="9"/>
      <c r="B129" s="9"/>
      <c r="C129" s="9"/>
      <c r="D129" s="16" t="str">
        <f aca="false">IF(C129="","",IFERROR(INDEX(LOOKAHEAD!$B$5:$B$604,MATCH(C129,LOOKAHEAD!$A$5:$A$604,0)),""))</f>
        <v/>
      </c>
      <c r="E129" s="16" t="str">
        <f aca="false">IF(C129="","",IFERROR(INDEX(LOOKAHEAD!$E$5:$E$604,MATCH(C129,LOOKAHEAD!$A$5:$A$604,0)),""))</f>
        <v/>
      </c>
      <c r="F129" s="16" t="str">
        <f aca="false">IF(C129="","",IFERROR(INDEX(LOOKAHEAD!$M$5:$M$604,MATCH(C129,LOOKAHEAD!$A$5:$A$604,0)),""))</f>
        <v/>
      </c>
      <c r="G129" s="9"/>
      <c r="H129" s="9"/>
      <c r="I129" s="16" t="str">
        <f aca="false">IF(C129="","",IFERROR(INDEX(LOOKAHEAD!$G$5:$G$604,MATCH(C129,LOOKAHEAD!$A$5:$A$604,0)),""))</f>
        <v/>
      </c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66" t="str">
        <f aca="false">IF(C129="","",SUM(J129:O129))</f>
        <v/>
      </c>
      <c r="W129" s="66" t="str">
        <f aca="false">IF(C129="","",SUM(P129:U129))</f>
        <v/>
      </c>
      <c r="X129" s="51" t="str">
        <f aca="false">IF(OR(C129="",V129=0),"",W129/V129)</f>
        <v/>
      </c>
      <c r="Y129" s="16" t="str">
        <f aca="false">IF(OR(C129="",V129=0),"",IF(W129&gt;=V129,"Sí","No"))</f>
        <v/>
      </c>
      <c r="Z129" s="9"/>
      <c r="AA129" s="9"/>
    </row>
    <row r="130" customFormat="false" ht="15" hidden="false" customHeight="false" outlineLevel="0" collapsed="false">
      <c r="A130" s="9"/>
      <c r="B130" s="9"/>
      <c r="C130" s="9"/>
      <c r="D130" s="16" t="str">
        <f aca="false">IF(C130="","",IFERROR(INDEX(LOOKAHEAD!$B$5:$B$604,MATCH(C130,LOOKAHEAD!$A$5:$A$604,0)),""))</f>
        <v/>
      </c>
      <c r="E130" s="16" t="str">
        <f aca="false">IF(C130="","",IFERROR(INDEX(LOOKAHEAD!$E$5:$E$604,MATCH(C130,LOOKAHEAD!$A$5:$A$604,0)),""))</f>
        <v/>
      </c>
      <c r="F130" s="16" t="str">
        <f aca="false">IF(C130="","",IFERROR(INDEX(LOOKAHEAD!$M$5:$M$604,MATCH(C130,LOOKAHEAD!$A$5:$A$604,0)),""))</f>
        <v/>
      </c>
      <c r="G130" s="9"/>
      <c r="H130" s="9"/>
      <c r="I130" s="16" t="str">
        <f aca="false">IF(C130="","",IFERROR(INDEX(LOOKAHEAD!$G$5:$G$604,MATCH(C130,LOOKAHEAD!$A$5:$A$604,0)),""))</f>
        <v/>
      </c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66" t="str">
        <f aca="false">IF(C130="","",SUM(J130:O130))</f>
        <v/>
      </c>
      <c r="W130" s="66" t="str">
        <f aca="false">IF(C130="","",SUM(P130:U130))</f>
        <v/>
      </c>
      <c r="X130" s="51" t="str">
        <f aca="false">IF(OR(C130="",V130=0),"",W130/V130)</f>
        <v/>
      </c>
      <c r="Y130" s="16" t="str">
        <f aca="false">IF(OR(C130="",V130=0),"",IF(W130&gt;=V130,"Sí","No"))</f>
        <v/>
      </c>
      <c r="Z130" s="9"/>
      <c r="AA130" s="9"/>
    </row>
    <row r="131" customFormat="false" ht="15" hidden="false" customHeight="false" outlineLevel="0" collapsed="false">
      <c r="A131" s="9"/>
      <c r="B131" s="9"/>
      <c r="C131" s="9"/>
      <c r="D131" s="16" t="str">
        <f aca="false">IF(C131="","",IFERROR(INDEX(LOOKAHEAD!$B$5:$B$604,MATCH(C131,LOOKAHEAD!$A$5:$A$604,0)),""))</f>
        <v/>
      </c>
      <c r="E131" s="16" t="str">
        <f aca="false">IF(C131="","",IFERROR(INDEX(LOOKAHEAD!$E$5:$E$604,MATCH(C131,LOOKAHEAD!$A$5:$A$604,0)),""))</f>
        <v/>
      </c>
      <c r="F131" s="16" t="str">
        <f aca="false">IF(C131="","",IFERROR(INDEX(LOOKAHEAD!$M$5:$M$604,MATCH(C131,LOOKAHEAD!$A$5:$A$604,0)),""))</f>
        <v/>
      </c>
      <c r="G131" s="9"/>
      <c r="H131" s="9"/>
      <c r="I131" s="16" t="str">
        <f aca="false">IF(C131="","",IFERROR(INDEX(LOOKAHEAD!$G$5:$G$604,MATCH(C131,LOOKAHEAD!$A$5:$A$604,0)),""))</f>
        <v/>
      </c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66" t="str">
        <f aca="false">IF(C131="","",SUM(J131:O131))</f>
        <v/>
      </c>
      <c r="W131" s="66" t="str">
        <f aca="false">IF(C131="","",SUM(P131:U131))</f>
        <v/>
      </c>
      <c r="X131" s="51" t="str">
        <f aca="false">IF(OR(C131="",V131=0),"",W131/V131)</f>
        <v/>
      </c>
      <c r="Y131" s="16" t="str">
        <f aca="false">IF(OR(C131="",V131=0),"",IF(W131&gt;=V131,"Sí","No"))</f>
        <v/>
      </c>
      <c r="Z131" s="9"/>
      <c r="AA131" s="9"/>
    </row>
    <row r="132" customFormat="false" ht="15" hidden="false" customHeight="false" outlineLevel="0" collapsed="false">
      <c r="A132" s="9"/>
      <c r="B132" s="9"/>
      <c r="C132" s="9"/>
      <c r="D132" s="16" t="str">
        <f aca="false">IF(C132="","",IFERROR(INDEX(LOOKAHEAD!$B$5:$B$604,MATCH(C132,LOOKAHEAD!$A$5:$A$604,0)),""))</f>
        <v/>
      </c>
      <c r="E132" s="16" t="str">
        <f aca="false">IF(C132="","",IFERROR(INDEX(LOOKAHEAD!$E$5:$E$604,MATCH(C132,LOOKAHEAD!$A$5:$A$604,0)),""))</f>
        <v/>
      </c>
      <c r="F132" s="16" t="str">
        <f aca="false">IF(C132="","",IFERROR(INDEX(LOOKAHEAD!$M$5:$M$604,MATCH(C132,LOOKAHEAD!$A$5:$A$604,0)),""))</f>
        <v/>
      </c>
      <c r="G132" s="9"/>
      <c r="H132" s="9"/>
      <c r="I132" s="16" t="str">
        <f aca="false">IF(C132="","",IFERROR(INDEX(LOOKAHEAD!$G$5:$G$604,MATCH(C132,LOOKAHEAD!$A$5:$A$604,0)),""))</f>
        <v/>
      </c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66" t="str">
        <f aca="false">IF(C132="","",SUM(J132:O132))</f>
        <v/>
      </c>
      <c r="W132" s="66" t="str">
        <f aca="false">IF(C132="","",SUM(P132:U132))</f>
        <v/>
      </c>
      <c r="X132" s="51" t="str">
        <f aca="false">IF(OR(C132="",V132=0),"",W132/V132)</f>
        <v/>
      </c>
      <c r="Y132" s="16" t="str">
        <f aca="false">IF(OR(C132="",V132=0),"",IF(W132&gt;=V132,"Sí","No"))</f>
        <v/>
      </c>
      <c r="Z132" s="9"/>
      <c r="AA132" s="9"/>
    </row>
    <row r="133" customFormat="false" ht="15" hidden="false" customHeight="false" outlineLevel="0" collapsed="false">
      <c r="A133" s="9"/>
      <c r="B133" s="9"/>
      <c r="C133" s="9"/>
      <c r="D133" s="16" t="str">
        <f aca="false">IF(C133="","",IFERROR(INDEX(LOOKAHEAD!$B$5:$B$604,MATCH(C133,LOOKAHEAD!$A$5:$A$604,0)),""))</f>
        <v/>
      </c>
      <c r="E133" s="16" t="str">
        <f aca="false">IF(C133="","",IFERROR(INDEX(LOOKAHEAD!$E$5:$E$604,MATCH(C133,LOOKAHEAD!$A$5:$A$604,0)),""))</f>
        <v/>
      </c>
      <c r="F133" s="16" t="str">
        <f aca="false">IF(C133="","",IFERROR(INDEX(LOOKAHEAD!$M$5:$M$604,MATCH(C133,LOOKAHEAD!$A$5:$A$604,0)),""))</f>
        <v/>
      </c>
      <c r="G133" s="9"/>
      <c r="H133" s="9"/>
      <c r="I133" s="16" t="str">
        <f aca="false">IF(C133="","",IFERROR(INDEX(LOOKAHEAD!$G$5:$G$604,MATCH(C133,LOOKAHEAD!$A$5:$A$604,0)),""))</f>
        <v/>
      </c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66" t="str">
        <f aca="false">IF(C133="","",SUM(J133:O133))</f>
        <v/>
      </c>
      <c r="W133" s="66" t="str">
        <f aca="false">IF(C133="","",SUM(P133:U133))</f>
        <v/>
      </c>
      <c r="X133" s="51" t="str">
        <f aca="false">IF(OR(C133="",V133=0),"",W133/V133)</f>
        <v/>
      </c>
      <c r="Y133" s="16" t="str">
        <f aca="false">IF(OR(C133="",V133=0),"",IF(W133&gt;=V133,"Sí","No"))</f>
        <v/>
      </c>
      <c r="Z133" s="9"/>
      <c r="AA133" s="9"/>
    </row>
    <row r="134" customFormat="false" ht="15" hidden="false" customHeight="false" outlineLevel="0" collapsed="false">
      <c r="A134" s="9"/>
      <c r="B134" s="9"/>
      <c r="C134" s="9"/>
      <c r="D134" s="16" t="str">
        <f aca="false">IF(C134="","",IFERROR(INDEX(LOOKAHEAD!$B$5:$B$604,MATCH(C134,LOOKAHEAD!$A$5:$A$604,0)),""))</f>
        <v/>
      </c>
      <c r="E134" s="16" t="str">
        <f aca="false">IF(C134="","",IFERROR(INDEX(LOOKAHEAD!$E$5:$E$604,MATCH(C134,LOOKAHEAD!$A$5:$A$604,0)),""))</f>
        <v/>
      </c>
      <c r="F134" s="16" t="str">
        <f aca="false">IF(C134="","",IFERROR(INDEX(LOOKAHEAD!$M$5:$M$604,MATCH(C134,LOOKAHEAD!$A$5:$A$604,0)),""))</f>
        <v/>
      </c>
      <c r="G134" s="9"/>
      <c r="H134" s="9"/>
      <c r="I134" s="16" t="str">
        <f aca="false">IF(C134="","",IFERROR(INDEX(LOOKAHEAD!$G$5:$G$604,MATCH(C134,LOOKAHEAD!$A$5:$A$604,0)),""))</f>
        <v/>
      </c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66" t="str">
        <f aca="false">IF(C134="","",SUM(J134:O134))</f>
        <v/>
      </c>
      <c r="W134" s="66" t="str">
        <f aca="false">IF(C134="","",SUM(P134:U134))</f>
        <v/>
      </c>
      <c r="X134" s="51" t="str">
        <f aca="false">IF(OR(C134="",V134=0),"",W134/V134)</f>
        <v/>
      </c>
      <c r="Y134" s="16" t="str">
        <f aca="false">IF(OR(C134="",V134=0),"",IF(W134&gt;=V134,"Sí","No"))</f>
        <v/>
      </c>
      <c r="Z134" s="9"/>
      <c r="AA134" s="9"/>
    </row>
    <row r="135" customFormat="false" ht="15" hidden="false" customHeight="false" outlineLevel="0" collapsed="false">
      <c r="A135" s="9"/>
      <c r="B135" s="9"/>
      <c r="C135" s="9"/>
      <c r="D135" s="16" t="str">
        <f aca="false">IF(C135="","",IFERROR(INDEX(LOOKAHEAD!$B$5:$B$604,MATCH(C135,LOOKAHEAD!$A$5:$A$604,0)),""))</f>
        <v/>
      </c>
      <c r="E135" s="16" t="str">
        <f aca="false">IF(C135="","",IFERROR(INDEX(LOOKAHEAD!$E$5:$E$604,MATCH(C135,LOOKAHEAD!$A$5:$A$604,0)),""))</f>
        <v/>
      </c>
      <c r="F135" s="16" t="str">
        <f aca="false">IF(C135="","",IFERROR(INDEX(LOOKAHEAD!$M$5:$M$604,MATCH(C135,LOOKAHEAD!$A$5:$A$604,0)),""))</f>
        <v/>
      </c>
      <c r="G135" s="9"/>
      <c r="H135" s="9"/>
      <c r="I135" s="16" t="str">
        <f aca="false">IF(C135="","",IFERROR(INDEX(LOOKAHEAD!$G$5:$G$604,MATCH(C135,LOOKAHEAD!$A$5:$A$604,0)),""))</f>
        <v/>
      </c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66" t="str">
        <f aca="false">IF(C135="","",SUM(J135:O135))</f>
        <v/>
      </c>
      <c r="W135" s="66" t="str">
        <f aca="false">IF(C135="","",SUM(P135:U135))</f>
        <v/>
      </c>
      <c r="X135" s="51" t="str">
        <f aca="false">IF(OR(C135="",V135=0),"",W135/V135)</f>
        <v/>
      </c>
      <c r="Y135" s="16" t="str">
        <f aca="false">IF(OR(C135="",V135=0),"",IF(W135&gt;=V135,"Sí","No"))</f>
        <v/>
      </c>
      <c r="Z135" s="9"/>
      <c r="AA135" s="9"/>
    </row>
    <row r="136" customFormat="false" ht="15" hidden="false" customHeight="false" outlineLevel="0" collapsed="false">
      <c r="A136" s="9"/>
      <c r="B136" s="9"/>
      <c r="C136" s="9"/>
      <c r="D136" s="16" t="str">
        <f aca="false">IF(C136="","",IFERROR(INDEX(LOOKAHEAD!$B$5:$B$604,MATCH(C136,LOOKAHEAD!$A$5:$A$604,0)),""))</f>
        <v/>
      </c>
      <c r="E136" s="16" t="str">
        <f aca="false">IF(C136="","",IFERROR(INDEX(LOOKAHEAD!$E$5:$E$604,MATCH(C136,LOOKAHEAD!$A$5:$A$604,0)),""))</f>
        <v/>
      </c>
      <c r="F136" s="16" t="str">
        <f aca="false">IF(C136="","",IFERROR(INDEX(LOOKAHEAD!$M$5:$M$604,MATCH(C136,LOOKAHEAD!$A$5:$A$604,0)),""))</f>
        <v/>
      </c>
      <c r="G136" s="9"/>
      <c r="H136" s="9"/>
      <c r="I136" s="16" t="str">
        <f aca="false">IF(C136="","",IFERROR(INDEX(LOOKAHEAD!$G$5:$G$604,MATCH(C136,LOOKAHEAD!$A$5:$A$604,0)),""))</f>
        <v/>
      </c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66" t="str">
        <f aca="false">IF(C136="","",SUM(J136:O136))</f>
        <v/>
      </c>
      <c r="W136" s="66" t="str">
        <f aca="false">IF(C136="","",SUM(P136:U136))</f>
        <v/>
      </c>
      <c r="X136" s="51" t="str">
        <f aca="false">IF(OR(C136="",V136=0),"",W136/V136)</f>
        <v/>
      </c>
      <c r="Y136" s="16" t="str">
        <f aca="false">IF(OR(C136="",V136=0),"",IF(W136&gt;=V136,"Sí","No"))</f>
        <v/>
      </c>
      <c r="Z136" s="9"/>
      <c r="AA136" s="9"/>
    </row>
    <row r="137" customFormat="false" ht="15" hidden="false" customHeight="false" outlineLevel="0" collapsed="false">
      <c r="A137" s="9"/>
      <c r="B137" s="9"/>
      <c r="C137" s="9"/>
      <c r="D137" s="16" t="str">
        <f aca="false">IF(C137="","",IFERROR(INDEX(LOOKAHEAD!$B$5:$B$604,MATCH(C137,LOOKAHEAD!$A$5:$A$604,0)),""))</f>
        <v/>
      </c>
      <c r="E137" s="16" t="str">
        <f aca="false">IF(C137="","",IFERROR(INDEX(LOOKAHEAD!$E$5:$E$604,MATCH(C137,LOOKAHEAD!$A$5:$A$604,0)),""))</f>
        <v/>
      </c>
      <c r="F137" s="16" t="str">
        <f aca="false">IF(C137="","",IFERROR(INDEX(LOOKAHEAD!$M$5:$M$604,MATCH(C137,LOOKAHEAD!$A$5:$A$604,0)),""))</f>
        <v/>
      </c>
      <c r="G137" s="9"/>
      <c r="H137" s="9"/>
      <c r="I137" s="16" t="str">
        <f aca="false">IF(C137="","",IFERROR(INDEX(LOOKAHEAD!$G$5:$G$604,MATCH(C137,LOOKAHEAD!$A$5:$A$604,0)),""))</f>
        <v/>
      </c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66" t="str">
        <f aca="false">IF(C137="","",SUM(J137:O137))</f>
        <v/>
      </c>
      <c r="W137" s="66" t="str">
        <f aca="false">IF(C137="","",SUM(P137:U137))</f>
        <v/>
      </c>
      <c r="X137" s="51" t="str">
        <f aca="false">IF(OR(C137="",V137=0),"",W137/V137)</f>
        <v/>
      </c>
      <c r="Y137" s="16" t="str">
        <f aca="false">IF(OR(C137="",V137=0),"",IF(W137&gt;=V137,"Sí","No"))</f>
        <v/>
      </c>
      <c r="Z137" s="9"/>
      <c r="AA137" s="9"/>
    </row>
    <row r="138" customFormat="false" ht="15" hidden="false" customHeight="false" outlineLevel="0" collapsed="false">
      <c r="A138" s="9"/>
      <c r="B138" s="9"/>
      <c r="C138" s="9"/>
      <c r="D138" s="16" t="str">
        <f aca="false">IF(C138="","",IFERROR(INDEX(LOOKAHEAD!$B$5:$B$604,MATCH(C138,LOOKAHEAD!$A$5:$A$604,0)),""))</f>
        <v/>
      </c>
      <c r="E138" s="16" t="str">
        <f aca="false">IF(C138="","",IFERROR(INDEX(LOOKAHEAD!$E$5:$E$604,MATCH(C138,LOOKAHEAD!$A$5:$A$604,0)),""))</f>
        <v/>
      </c>
      <c r="F138" s="16" t="str">
        <f aca="false">IF(C138="","",IFERROR(INDEX(LOOKAHEAD!$M$5:$M$604,MATCH(C138,LOOKAHEAD!$A$5:$A$604,0)),""))</f>
        <v/>
      </c>
      <c r="G138" s="9"/>
      <c r="H138" s="9"/>
      <c r="I138" s="16" t="str">
        <f aca="false">IF(C138="","",IFERROR(INDEX(LOOKAHEAD!$G$5:$G$604,MATCH(C138,LOOKAHEAD!$A$5:$A$604,0)),""))</f>
        <v/>
      </c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66" t="str">
        <f aca="false">IF(C138="","",SUM(J138:O138))</f>
        <v/>
      </c>
      <c r="W138" s="66" t="str">
        <f aca="false">IF(C138="","",SUM(P138:U138))</f>
        <v/>
      </c>
      <c r="X138" s="51" t="str">
        <f aca="false">IF(OR(C138="",V138=0),"",W138/V138)</f>
        <v/>
      </c>
      <c r="Y138" s="16" t="str">
        <f aca="false">IF(OR(C138="",V138=0),"",IF(W138&gt;=V138,"Sí","No"))</f>
        <v/>
      </c>
      <c r="Z138" s="9"/>
      <c r="AA138" s="9"/>
    </row>
    <row r="139" customFormat="false" ht="15" hidden="false" customHeight="false" outlineLevel="0" collapsed="false">
      <c r="A139" s="9"/>
      <c r="B139" s="9"/>
      <c r="C139" s="9"/>
      <c r="D139" s="16" t="str">
        <f aca="false">IF(C139="","",IFERROR(INDEX(LOOKAHEAD!$B$5:$B$604,MATCH(C139,LOOKAHEAD!$A$5:$A$604,0)),""))</f>
        <v/>
      </c>
      <c r="E139" s="16" t="str">
        <f aca="false">IF(C139="","",IFERROR(INDEX(LOOKAHEAD!$E$5:$E$604,MATCH(C139,LOOKAHEAD!$A$5:$A$604,0)),""))</f>
        <v/>
      </c>
      <c r="F139" s="16" t="str">
        <f aca="false">IF(C139="","",IFERROR(INDEX(LOOKAHEAD!$M$5:$M$604,MATCH(C139,LOOKAHEAD!$A$5:$A$604,0)),""))</f>
        <v/>
      </c>
      <c r="G139" s="9"/>
      <c r="H139" s="9"/>
      <c r="I139" s="16" t="str">
        <f aca="false">IF(C139="","",IFERROR(INDEX(LOOKAHEAD!$G$5:$G$604,MATCH(C139,LOOKAHEAD!$A$5:$A$604,0)),""))</f>
        <v/>
      </c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66" t="str">
        <f aca="false">IF(C139="","",SUM(J139:O139))</f>
        <v/>
      </c>
      <c r="W139" s="66" t="str">
        <f aca="false">IF(C139="","",SUM(P139:U139))</f>
        <v/>
      </c>
      <c r="X139" s="51" t="str">
        <f aca="false">IF(OR(C139="",V139=0),"",W139/V139)</f>
        <v/>
      </c>
      <c r="Y139" s="16" t="str">
        <f aca="false">IF(OR(C139="",V139=0),"",IF(W139&gt;=V139,"Sí","No"))</f>
        <v/>
      </c>
      <c r="Z139" s="9"/>
      <c r="AA139" s="9"/>
    </row>
    <row r="140" customFormat="false" ht="15" hidden="false" customHeight="false" outlineLevel="0" collapsed="false">
      <c r="A140" s="9"/>
      <c r="B140" s="9"/>
      <c r="C140" s="9"/>
      <c r="D140" s="16" t="str">
        <f aca="false">IF(C140="","",IFERROR(INDEX(LOOKAHEAD!$B$5:$B$604,MATCH(C140,LOOKAHEAD!$A$5:$A$604,0)),""))</f>
        <v/>
      </c>
      <c r="E140" s="16" t="str">
        <f aca="false">IF(C140="","",IFERROR(INDEX(LOOKAHEAD!$E$5:$E$604,MATCH(C140,LOOKAHEAD!$A$5:$A$604,0)),""))</f>
        <v/>
      </c>
      <c r="F140" s="16" t="str">
        <f aca="false">IF(C140="","",IFERROR(INDEX(LOOKAHEAD!$M$5:$M$604,MATCH(C140,LOOKAHEAD!$A$5:$A$604,0)),""))</f>
        <v/>
      </c>
      <c r="G140" s="9"/>
      <c r="H140" s="9"/>
      <c r="I140" s="16" t="str">
        <f aca="false">IF(C140="","",IFERROR(INDEX(LOOKAHEAD!$G$5:$G$604,MATCH(C140,LOOKAHEAD!$A$5:$A$604,0)),""))</f>
        <v/>
      </c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66" t="str">
        <f aca="false">IF(C140="","",SUM(J140:O140))</f>
        <v/>
      </c>
      <c r="W140" s="66" t="str">
        <f aca="false">IF(C140="","",SUM(P140:U140))</f>
        <v/>
      </c>
      <c r="X140" s="51" t="str">
        <f aca="false">IF(OR(C140="",V140=0),"",W140/V140)</f>
        <v/>
      </c>
      <c r="Y140" s="16" t="str">
        <f aca="false">IF(OR(C140="",V140=0),"",IF(W140&gt;=V140,"Sí","No"))</f>
        <v/>
      </c>
      <c r="Z140" s="9"/>
      <c r="AA140" s="9"/>
    </row>
    <row r="141" customFormat="false" ht="15" hidden="false" customHeight="false" outlineLevel="0" collapsed="false">
      <c r="A141" s="9"/>
      <c r="B141" s="9"/>
      <c r="C141" s="9"/>
      <c r="D141" s="16" t="str">
        <f aca="false">IF(C141="","",IFERROR(INDEX(LOOKAHEAD!$B$5:$B$604,MATCH(C141,LOOKAHEAD!$A$5:$A$604,0)),""))</f>
        <v/>
      </c>
      <c r="E141" s="16" t="str">
        <f aca="false">IF(C141="","",IFERROR(INDEX(LOOKAHEAD!$E$5:$E$604,MATCH(C141,LOOKAHEAD!$A$5:$A$604,0)),""))</f>
        <v/>
      </c>
      <c r="F141" s="16" t="str">
        <f aca="false">IF(C141="","",IFERROR(INDEX(LOOKAHEAD!$M$5:$M$604,MATCH(C141,LOOKAHEAD!$A$5:$A$604,0)),""))</f>
        <v/>
      </c>
      <c r="G141" s="9"/>
      <c r="H141" s="9"/>
      <c r="I141" s="16" t="str">
        <f aca="false">IF(C141="","",IFERROR(INDEX(LOOKAHEAD!$G$5:$G$604,MATCH(C141,LOOKAHEAD!$A$5:$A$604,0)),""))</f>
        <v/>
      </c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66" t="str">
        <f aca="false">IF(C141="","",SUM(J141:O141))</f>
        <v/>
      </c>
      <c r="W141" s="66" t="str">
        <f aca="false">IF(C141="","",SUM(P141:U141))</f>
        <v/>
      </c>
      <c r="X141" s="51" t="str">
        <f aca="false">IF(OR(C141="",V141=0),"",W141/V141)</f>
        <v/>
      </c>
      <c r="Y141" s="16" t="str">
        <f aca="false">IF(OR(C141="",V141=0),"",IF(W141&gt;=V141,"Sí","No"))</f>
        <v/>
      </c>
      <c r="Z141" s="9"/>
      <c r="AA141" s="9"/>
    </row>
    <row r="142" customFormat="false" ht="15" hidden="false" customHeight="false" outlineLevel="0" collapsed="false">
      <c r="A142" s="9"/>
      <c r="B142" s="9"/>
      <c r="C142" s="9"/>
      <c r="D142" s="16" t="str">
        <f aca="false">IF(C142="","",IFERROR(INDEX(LOOKAHEAD!$B$5:$B$604,MATCH(C142,LOOKAHEAD!$A$5:$A$604,0)),""))</f>
        <v/>
      </c>
      <c r="E142" s="16" t="str">
        <f aca="false">IF(C142="","",IFERROR(INDEX(LOOKAHEAD!$E$5:$E$604,MATCH(C142,LOOKAHEAD!$A$5:$A$604,0)),""))</f>
        <v/>
      </c>
      <c r="F142" s="16" t="str">
        <f aca="false">IF(C142="","",IFERROR(INDEX(LOOKAHEAD!$M$5:$M$604,MATCH(C142,LOOKAHEAD!$A$5:$A$604,0)),""))</f>
        <v/>
      </c>
      <c r="G142" s="9"/>
      <c r="H142" s="9"/>
      <c r="I142" s="16" t="str">
        <f aca="false">IF(C142="","",IFERROR(INDEX(LOOKAHEAD!$G$5:$G$604,MATCH(C142,LOOKAHEAD!$A$5:$A$604,0)),""))</f>
        <v/>
      </c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66" t="str">
        <f aca="false">IF(C142="","",SUM(J142:O142))</f>
        <v/>
      </c>
      <c r="W142" s="66" t="str">
        <f aca="false">IF(C142="","",SUM(P142:U142))</f>
        <v/>
      </c>
      <c r="X142" s="51" t="str">
        <f aca="false">IF(OR(C142="",V142=0),"",W142/V142)</f>
        <v/>
      </c>
      <c r="Y142" s="16" t="str">
        <f aca="false">IF(OR(C142="",V142=0),"",IF(W142&gt;=V142,"Sí","No"))</f>
        <v/>
      </c>
      <c r="Z142" s="9"/>
      <c r="AA142" s="9"/>
    </row>
    <row r="143" customFormat="false" ht="15" hidden="false" customHeight="false" outlineLevel="0" collapsed="false">
      <c r="A143" s="9"/>
      <c r="B143" s="9"/>
      <c r="C143" s="9"/>
      <c r="D143" s="16" t="str">
        <f aca="false">IF(C143="","",IFERROR(INDEX(LOOKAHEAD!$B$5:$B$604,MATCH(C143,LOOKAHEAD!$A$5:$A$604,0)),""))</f>
        <v/>
      </c>
      <c r="E143" s="16" t="str">
        <f aca="false">IF(C143="","",IFERROR(INDEX(LOOKAHEAD!$E$5:$E$604,MATCH(C143,LOOKAHEAD!$A$5:$A$604,0)),""))</f>
        <v/>
      </c>
      <c r="F143" s="16" t="str">
        <f aca="false">IF(C143="","",IFERROR(INDEX(LOOKAHEAD!$M$5:$M$604,MATCH(C143,LOOKAHEAD!$A$5:$A$604,0)),""))</f>
        <v/>
      </c>
      <c r="G143" s="9"/>
      <c r="H143" s="9"/>
      <c r="I143" s="16" t="str">
        <f aca="false">IF(C143="","",IFERROR(INDEX(LOOKAHEAD!$G$5:$G$604,MATCH(C143,LOOKAHEAD!$A$5:$A$604,0)),""))</f>
        <v/>
      </c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66" t="str">
        <f aca="false">IF(C143="","",SUM(J143:O143))</f>
        <v/>
      </c>
      <c r="W143" s="66" t="str">
        <f aca="false">IF(C143="","",SUM(P143:U143))</f>
        <v/>
      </c>
      <c r="X143" s="51" t="str">
        <f aca="false">IF(OR(C143="",V143=0),"",W143/V143)</f>
        <v/>
      </c>
      <c r="Y143" s="16" t="str">
        <f aca="false">IF(OR(C143="",V143=0),"",IF(W143&gt;=V143,"Sí","No"))</f>
        <v/>
      </c>
      <c r="Z143" s="9"/>
      <c r="AA143" s="9"/>
    </row>
    <row r="144" customFormat="false" ht="15" hidden="false" customHeight="false" outlineLevel="0" collapsed="false">
      <c r="A144" s="9"/>
      <c r="B144" s="9"/>
      <c r="C144" s="9"/>
      <c r="D144" s="16" t="str">
        <f aca="false">IF(C144="","",IFERROR(INDEX(LOOKAHEAD!$B$5:$B$604,MATCH(C144,LOOKAHEAD!$A$5:$A$604,0)),""))</f>
        <v/>
      </c>
      <c r="E144" s="16" t="str">
        <f aca="false">IF(C144="","",IFERROR(INDEX(LOOKAHEAD!$E$5:$E$604,MATCH(C144,LOOKAHEAD!$A$5:$A$604,0)),""))</f>
        <v/>
      </c>
      <c r="F144" s="16" t="str">
        <f aca="false">IF(C144="","",IFERROR(INDEX(LOOKAHEAD!$M$5:$M$604,MATCH(C144,LOOKAHEAD!$A$5:$A$604,0)),""))</f>
        <v/>
      </c>
      <c r="G144" s="9"/>
      <c r="H144" s="9"/>
      <c r="I144" s="16" t="str">
        <f aca="false">IF(C144="","",IFERROR(INDEX(LOOKAHEAD!$G$5:$G$604,MATCH(C144,LOOKAHEAD!$A$5:$A$604,0)),""))</f>
        <v/>
      </c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66" t="str">
        <f aca="false">IF(C144="","",SUM(J144:O144))</f>
        <v/>
      </c>
      <c r="W144" s="66" t="str">
        <f aca="false">IF(C144="","",SUM(P144:U144))</f>
        <v/>
      </c>
      <c r="X144" s="51" t="str">
        <f aca="false">IF(OR(C144="",V144=0),"",W144/V144)</f>
        <v/>
      </c>
      <c r="Y144" s="16" t="str">
        <f aca="false">IF(OR(C144="",V144=0),"",IF(W144&gt;=V144,"Sí","No"))</f>
        <v/>
      </c>
      <c r="Z144" s="9"/>
      <c r="AA144" s="9"/>
    </row>
    <row r="145" customFormat="false" ht="15" hidden="false" customHeight="false" outlineLevel="0" collapsed="false">
      <c r="A145" s="9"/>
      <c r="B145" s="9"/>
      <c r="C145" s="9"/>
      <c r="D145" s="16" t="str">
        <f aca="false">IF(C145="","",IFERROR(INDEX(LOOKAHEAD!$B$5:$B$604,MATCH(C145,LOOKAHEAD!$A$5:$A$604,0)),""))</f>
        <v/>
      </c>
      <c r="E145" s="16" t="str">
        <f aca="false">IF(C145="","",IFERROR(INDEX(LOOKAHEAD!$E$5:$E$604,MATCH(C145,LOOKAHEAD!$A$5:$A$604,0)),""))</f>
        <v/>
      </c>
      <c r="F145" s="16" t="str">
        <f aca="false">IF(C145="","",IFERROR(INDEX(LOOKAHEAD!$M$5:$M$604,MATCH(C145,LOOKAHEAD!$A$5:$A$604,0)),""))</f>
        <v/>
      </c>
      <c r="G145" s="9"/>
      <c r="H145" s="9"/>
      <c r="I145" s="16" t="str">
        <f aca="false">IF(C145="","",IFERROR(INDEX(LOOKAHEAD!$G$5:$G$604,MATCH(C145,LOOKAHEAD!$A$5:$A$604,0)),""))</f>
        <v/>
      </c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66" t="str">
        <f aca="false">IF(C145="","",SUM(J145:O145))</f>
        <v/>
      </c>
      <c r="W145" s="66" t="str">
        <f aca="false">IF(C145="","",SUM(P145:U145))</f>
        <v/>
      </c>
      <c r="X145" s="51" t="str">
        <f aca="false">IF(OR(C145="",V145=0),"",W145/V145)</f>
        <v/>
      </c>
      <c r="Y145" s="16" t="str">
        <f aca="false">IF(OR(C145="",V145=0),"",IF(W145&gt;=V145,"Sí","No"))</f>
        <v/>
      </c>
      <c r="Z145" s="9"/>
      <c r="AA145" s="9"/>
    </row>
    <row r="146" customFormat="false" ht="15" hidden="false" customHeight="false" outlineLevel="0" collapsed="false">
      <c r="A146" s="9"/>
      <c r="B146" s="9"/>
      <c r="C146" s="9"/>
      <c r="D146" s="16" t="str">
        <f aca="false">IF(C146="","",IFERROR(INDEX(LOOKAHEAD!$B$5:$B$604,MATCH(C146,LOOKAHEAD!$A$5:$A$604,0)),""))</f>
        <v/>
      </c>
      <c r="E146" s="16" t="str">
        <f aca="false">IF(C146="","",IFERROR(INDEX(LOOKAHEAD!$E$5:$E$604,MATCH(C146,LOOKAHEAD!$A$5:$A$604,0)),""))</f>
        <v/>
      </c>
      <c r="F146" s="16" t="str">
        <f aca="false">IF(C146="","",IFERROR(INDEX(LOOKAHEAD!$M$5:$M$604,MATCH(C146,LOOKAHEAD!$A$5:$A$604,0)),""))</f>
        <v/>
      </c>
      <c r="G146" s="9"/>
      <c r="H146" s="9"/>
      <c r="I146" s="16" t="str">
        <f aca="false">IF(C146="","",IFERROR(INDEX(LOOKAHEAD!$G$5:$G$604,MATCH(C146,LOOKAHEAD!$A$5:$A$604,0)),""))</f>
        <v/>
      </c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66" t="str">
        <f aca="false">IF(C146="","",SUM(J146:O146))</f>
        <v/>
      </c>
      <c r="W146" s="66" t="str">
        <f aca="false">IF(C146="","",SUM(P146:U146))</f>
        <v/>
      </c>
      <c r="X146" s="51" t="str">
        <f aca="false">IF(OR(C146="",V146=0),"",W146/V146)</f>
        <v/>
      </c>
      <c r="Y146" s="16" t="str">
        <f aca="false">IF(OR(C146="",V146=0),"",IF(W146&gt;=V146,"Sí","No"))</f>
        <v/>
      </c>
      <c r="Z146" s="9"/>
      <c r="AA146" s="9"/>
    </row>
    <row r="147" customFormat="false" ht="15" hidden="false" customHeight="false" outlineLevel="0" collapsed="false">
      <c r="A147" s="9"/>
      <c r="B147" s="9"/>
      <c r="C147" s="9"/>
      <c r="D147" s="16" t="str">
        <f aca="false">IF(C147="","",IFERROR(INDEX(LOOKAHEAD!$B$5:$B$604,MATCH(C147,LOOKAHEAD!$A$5:$A$604,0)),""))</f>
        <v/>
      </c>
      <c r="E147" s="16" t="str">
        <f aca="false">IF(C147="","",IFERROR(INDEX(LOOKAHEAD!$E$5:$E$604,MATCH(C147,LOOKAHEAD!$A$5:$A$604,0)),""))</f>
        <v/>
      </c>
      <c r="F147" s="16" t="str">
        <f aca="false">IF(C147="","",IFERROR(INDEX(LOOKAHEAD!$M$5:$M$604,MATCH(C147,LOOKAHEAD!$A$5:$A$604,0)),""))</f>
        <v/>
      </c>
      <c r="G147" s="9"/>
      <c r="H147" s="9"/>
      <c r="I147" s="16" t="str">
        <f aca="false">IF(C147="","",IFERROR(INDEX(LOOKAHEAD!$G$5:$G$604,MATCH(C147,LOOKAHEAD!$A$5:$A$604,0)),""))</f>
        <v/>
      </c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66" t="str">
        <f aca="false">IF(C147="","",SUM(J147:O147))</f>
        <v/>
      </c>
      <c r="W147" s="66" t="str">
        <f aca="false">IF(C147="","",SUM(P147:U147))</f>
        <v/>
      </c>
      <c r="X147" s="51" t="str">
        <f aca="false">IF(OR(C147="",V147=0),"",W147/V147)</f>
        <v/>
      </c>
      <c r="Y147" s="16" t="str">
        <f aca="false">IF(OR(C147="",V147=0),"",IF(W147&gt;=V147,"Sí","No"))</f>
        <v/>
      </c>
      <c r="Z147" s="9"/>
      <c r="AA147" s="9"/>
    </row>
    <row r="148" customFormat="false" ht="15" hidden="false" customHeight="false" outlineLevel="0" collapsed="false">
      <c r="A148" s="9"/>
      <c r="B148" s="9"/>
      <c r="C148" s="9"/>
      <c r="D148" s="16" t="str">
        <f aca="false">IF(C148="","",IFERROR(INDEX(LOOKAHEAD!$B$5:$B$604,MATCH(C148,LOOKAHEAD!$A$5:$A$604,0)),""))</f>
        <v/>
      </c>
      <c r="E148" s="16" t="str">
        <f aca="false">IF(C148="","",IFERROR(INDEX(LOOKAHEAD!$E$5:$E$604,MATCH(C148,LOOKAHEAD!$A$5:$A$604,0)),""))</f>
        <v/>
      </c>
      <c r="F148" s="16" t="str">
        <f aca="false">IF(C148="","",IFERROR(INDEX(LOOKAHEAD!$M$5:$M$604,MATCH(C148,LOOKAHEAD!$A$5:$A$604,0)),""))</f>
        <v/>
      </c>
      <c r="G148" s="9"/>
      <c r="H148" s="9"/>
      <c r="I148" s="16" t="str">
        <f aca="false">IF(C148="","",IFERROR(INDEX(LOOKAHEAD!$G$5:$G$604,MATCH(C148,LOOKAHEAD!$A$5:$A$604,0)),""))</f>
        <v/>
      </c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66" t="str">
        <f aca="false">IF(C148="","",SUM(J148:O148))</f>
        <v/>
      </c>
      <c r="W148" s="66" t="str">
        <f aca="false">IF(C148="","",SUM(P148:U148))</f>
        <v/>
      </c>
      <c r="X148" s="51" t="str">
        <f aca="false">IF(OR(C148="",V148=0),"",W148/V148)</f>
        <v/>
      </c>
      <c r="Y148" s="16" t="str">
        <f aca="false">IF(OR(C148="",V148=0),"",IF(W148&gt;=V148,"Sí","No"))</f>
        <v/>
      </c>
      <c r="Z148" s="9"/>
      <c r="AA148" s="9"/>
    </row>
    <row r="149" customFormat="false" ht="15" hidden="false" customHeight="false" outlineLevel="0" collapsed="false">
      <c r="A149" s="9"/>
      <c r="B149" s="9"/>
      <c r="C149" s="9"/>
      <c r="D149" s="16" t="str">
        <f aca="false">IF(C149="","",IFERROR(INDEX(LOOKAHEAD!$B$5:$B$604,MATCH(C149,LOOKAHEAD!$A$5:$A$604,0)),""))</f>
        <v/>
      </c>
      <c r="E149" s="16" t="str">
        <f aca="false">IF(C149="","",IFERROR(INDEX(LOOKAHEAD!$E$5:$E$604,MATCH(C149,LOOKAHEAD!$A$5:$A$604,0)),""))</f>
        <v/>
      </c>
      <c r="F149" s="16" t="str">
        <f aca="false">IF(C149="","",IFERROR(INDEX(LOOKAHEAD!$M$5:$M$604,MATCH(C149,LOOKAHEAD!$A$5:$A$604,0)),""))</f>
        <v/>
      </c>
      <c r="G149" s="9"/>
      <c r="H149" s="9"/>
      <c r="I149" s="16" t="str">
        <f aca="false">IF(C149="","",IFERROR(INDEX(LOOKAHEAD!$G$5:$G$604,MATCH(C149,LOOKAHEAD!$A$5:$A$604,0)),""))</f>
        <v/>
      </c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66" t="str">
        <f aca="false">IF(C149="","",SUM(J149:O149))</f>
        <v/>
      </c>
      <c r="W149" s="66" t="str">
        <f aca="false">IF(C149="","",SUM(P149:U149))</f>
        <v/>
      </c>
      <c r="X149" s="51" t="str">
        <f aca="false">IF(OR(C149="",V149=0),"",W149/V149)</f>
        <v/>
      </c>
      <c r="Y149" s="16" t="str">
        <f aca="false">IF(OR(C149="",V149=0),"",IF(W149&gt;=V149,"Sí","No"))</f>
        <v/>
      </c>
      <c r="Z149" s="9"/>
      <c r="AA149" s="9"/>
    </row>
    <row r="150" customFormat="false" ht="15" hidden="false" customHeight="false" outlineLevel="0" collapsed="false">
      <c r="A150" s="9"/>
      <c r="B150" s="9"/>
      <c r="C150" s="9"/>
      <c r="D150" s="16" t="str">
        <f aca="false">IF(C150="","",IFERROR(INDEX(LOOKAHEAD!$B$5:$B$604,MATCH(C150,LOOKAHEAD!$A$5:$A$604,0)),""))</f>
        <v/>
      </c>
      <c r="E150" s="16" t="str">
        <f aca="false">IF(C150="","",IFERROR(INDEX(LOOKAHEAD!$E$5:$E$604,MATCH(C150,LOOKAHEAD!$A$5:$A$604,0)),""))</f>
        <v/>
      </c>
      <c r="F150" s="16" t="str">
        <f aca="false">IF(C150="","",IFERROR(INDEX(LOOKAHEAD!$M$5:$M$604,MATCH(C150,LOOKAHEAD!$A$5:$A$604,0)),""))</f>
        <v/>
      </c>
      <c r="G150" s="9"/>
      <c r="H150" s="9"/>
      <c r="I150" s="16" t="str">
        <f aca="false">IF(C150="","",IFERROR(INDEX(LOOKAHEAD!$G$5:$G$604,MATCH(C150,LOOKAHEAD!$A$5:$A$604,0)),""))</f>
        <v/>
      </c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66" t="str">
        <f aca="false">IF(C150="","",SUM(J150:O150))</f>
        <v/>
      </c>
      <c r="W150" s="66" t="str">
        <f aca="false">IF(C150="","",SUM(P150:U150))</f>
        <v/>
      </c>
      <c r="X150" s="51" t="str">
        <f aca="false">IF(OR(C150="",V150=0),"",W150/V150)</f>
        <v/>
      </c>
      <c r="Y150" s="16" t="str">
        <f aca="false">IF(OR(C150="",V150=0),"",IF(W150&gt;=V150,"Sí","No"))</f>
        <v/>
      </c>
      <c r="Z150" s="9"/>
      <c r="AA150" s="9"/>
    </row>
    <row r="151" customFormat="false" ht="15" hidden="false" customHeight="false" outlineLevel="0" collapsed="false">
      <c r="A151" s="9"/>
      <c r="B151" s="9"/>
      <c r="C151" s="9"/>
      <c r="D151" s="16" t="str">
        <f aca="false">IF(C151="","",IFERROR(INDEX(LOOKAHEAD!$B$5:$B$604,MATCH(C151,LOOKAHEAD!$A$5:$A$604,0)),""))</f>
        <v/>
      </c>
      <c r="E151" s="16" t="str">
        <f aca="false">IF(C151="","",IFERROR(INDEX(LOOKAHEAD!$E$5:$E$604,MATCH(C151,LOOKAHEAD!$A$5:$A$604,0)),""))</f>
        <v/>
      </c>
      <c r="F151" s="16" t="str">
        <f aca="false">IF(C151="","",IFERROR(INDEX(LOOKAHEAD!$M$5:$M$604,MATCH(C151,LOOKAHEAD!$A$5:$A$604,0)),""))</f>
        <v/>
      </c>
      <c r="G151" s="9"/>
      <c r="H151" s="9"/>
      <c r="I151" s="16" t="str">
        <f aca="false">IF(C151="","",IFERROR(INDEX(LOOKAHEAD!$G$5:$G$604,MATCH(C151,LOOKAHEAD!$A$5:$A$604,0)),""))</f>
        <v/>
      </c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66" t="str">
        <f aca="false">IF(C151="","",SUM(J151:O151))</f>
        <v/>
      </c>
      <c r="W151" s="66" t="str">
        <f aca="false">IF(C151="","",SUM(P151:U151))</f>
        <v/>
      </c>
      <c r="X151" s="51" t="str">
        <f aca="false">IF(OR(C151="",V151=0),"",W151/V151)</f>
        <v/>
      </c>
      <c r="Y151" s="16" t="str">
        <f aca="false">IF(OR(C151="",V151=0),"",IF(W151&gt;=V151,"Sí","No"))</f>
        <v/>
      </c>
      <c r="Z151" s="9"/>
      <c r="AA151" s="9"/>
    </row>
    <row r="152" customFormat="false" ht="15" hidden="false" customHeight="false" outlineLevel="0" collapsed="false">
      <c r="A152" s="9"/>
      <c r="B152" s="9"/>
      <c r="C152" s="9"/>
      <c r="D152" s="16" t="str">
        <f aca="false">IF(C152="","",IFERROR(INDEX(LOOKAHEAD!$B$5:$B$604,MATCH(C152,LOOKAHEAD!$A$5:$A$604,0)),""))</f>
        <v/>
      </c>
      <c r="E152" s="16" t="str">
        <f aca="false">IF(C152="","",IFERROR(INDEX(LOOKAHEAD!$E$5:$E$604,MATCH(C152,LOOKAHEAD!$A$5:$A$604,0)),""))</f>
        <v/>
      </c>
      <c r="F152" s="16" t="str">
        <f aca="false">IF(C152="","",IFERROR(INDEX(LOOKAHEAD!$M$5:$M$604,MATCH(C152,LOOKAHEAD!$A$5:$A$604,0)),""))</f>
        <v/>
      </c>
      <c r="G152" s="9"/>
      <c r="H152" s="9"/>
      <c r="I152" s="16" t="str">
        <f aca="false">IF(C152="","",IFERROR(INDEX(LOOKAHEAD!$G$5:$G$604,MATCH(C152,LOOKAHEAD!$A$5:$A$604,0)),""))</f>
        <v/>
      </c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66" t="str">
        <f aca="false">IF(C152="","",SUM(J152:O152))</f>
        <v/>
      </c>
      <c r="W152" s="66" t="str">
        <f aca="false">IF(C152="","",SUM(P152:U152))</f>
        <v/>
      </c>
      <c r="X152" s="51" t="str">
        <f aca="false">IF(OR(C152="",V152=0),"",W152/V152)</f>
        <v/>
      </c>
      <c r="Y152" s="16" t="str">
        <f aca="false">IF(OR(C152="",V152=0),"",IF(W152&gt;=V152,"Sí","No"))</f>
        <v/>
      </c>
      <c r="Z152" s="9"/>
      <c r="AA152" s="9"/>
    </row>
    <row r="153" customFormat="false" ht="15" hidden="false" customHeight="false" outlineLevel="0" collapsed="false">
      <c r="A153" s="9"/>
      <c r="B153" s="9"/>
      <c r="C153" s="9"/>
      <c r="D153" s="16" t="str">
        <f aca="false">IF(C153="","",IFERROR(INDEX(LOOKAHEAD!$B$5:$B$604,MATCH(C153,LOOKAHEAD!$A$5:$A$604,0)),""))</f>
        <v/>
      </c>
      <c r="E153" s="16" t="str">
        <f aca="false">IF(C153="","",IFERROR(INDEX(LOOKAHEAD!$E$5:$E$604,MATCH(C153,LOOKAHEAD!$A$5:$A$604,0)),""))</f>
        <v/>
      </c>
      <c r="F153" s="16" t="str">
        <f aca="false">IF(C153="","",IFERROR(INDEX(LOOKAHEAD!$M$5:$M$604,MATCH(C153,LOOKAHEAD!$A$5:$A$604,0)),""))</f>
        <v/>
      </c>
      <c r="G153" s="9"/>
      <c r="H153" s="9"/>
      <c r="I153" s="16" t="str">
        <f aca="false">IF(C153="","",IFERROR(INDEX(LOOKAHEAD!$G$5:$G$604,MATCH(C153,LOOKAHEAD!$A$5:$A$604,0)),""))</f>
        <v/>
      </c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66" t="str">
        <f aca="false">IF(C153="","",SUM(J153:O153))</f>
        <v/>
      </c>
      <c r="W153" s="66" t="str">
        <f aca="false">IF(C153="","",SUM(P153:U153))</f>
        <v/>
      </c>
      <c r="X153" s="51" t="str">
        <f aca="false">IF(OR(C153="",V153=0),"",W153/V153)</f>
        <v/>
      </c>
      <c r="Y153" s="16" t="str">
        <f aca="false">IF(OR(C153="",V153=0),"",IF(W153&gt;=V153,"Sí","No"))</f>
        <v/>
      </c>
      <c r="Z153" s="9"/>
      <c r="AA153" s="9"/>
    </row>
    <row r="154" customFormat="false" ht="15" hidden="false" customHeight="false" outlineLevel="0" collapsed="false">
      <c r="A154" s="9"/>
      <c r="B154" s="9"/>
      <c r="C154" s="9"/>
      <c r="D154" s="16" t="str">
        <f aca="false">IF(C154="","",IFERROR(INDEX(LOOKAHEAD!$B$5:$B$604,MATCH(C154,LOOKAHEAD!$A$5:$A$604,0)),""))</f>
        <v/>
      </c>
      <c r="E154" s="16" t="str">
        <f aca="false">IF(C154="","",IFERROR(INDEX(LOOKAHEAD!$E$5:$E$604,MATCH(C154,LOOKAHEAD!$A$5:$A$604,0)),""))</f>
        <v/>
      </c>
      <c r="F154" s="16" t="str">
        <f aca="false">IF(C154="","",IFERROR(INDEX(LOOKAHEAD!$M$5:$M$604,MATCH(C154,LOOKAHEAD!$A$5:$A$604,0)),""))</f>
        <v/>
      </c>
      <c r="G154" s="9"/>
      <c r="H154" s="9"/>
      <c r="I154" s="16" t="str">
        <f aca="false">IF(C154="","",IFERROR(INDEX(LOOKAHEAD!$G$5:$G$604,MATCH(C154,LOOKAHEAD!$A$5:$A$604,0)),""))</f>
        <v/>
      </c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66" t="str">
        <f aca="false">IF(C154="","",SUM(J154:O154))</f>
        <v/>
      </c>
      <c r="W154" s="66" t="str">
        <f aca="false">IF(C154="","",SUM(P154:U154))</f>
        <v/>
      </c>
      <c r="X154" s="51" t="str">
        <f aca="false">IF(OR(C154="",V154=0),"",W154/V154)</f>
        <v/>
      </c>
      <c r="Y154" s="16" t="str">
        <f aca="false">IF(OR(C154="",V154=0),"",IF(W154&gt;=V154,"Sí","No"))</f>
        <v/>
      </c>
      <c r="Z154" s="9"/>
      <c r="AA154" s="9"/>
    </row>
    <row r="155" customFormat="false" ht="15" hidden="false" customHeight="false" outlineLevel="0" collapsed="false">
      <c r="A155" s="9"/>
      <c r="B155" s="9"/>
      <c r="C155" s="9"/>
      <c r="D155" s="16" t="str">
        <f aca="false">IF(C155="","",IFERROR(INDEX(LOOKAHEAD!$B$5:$B$604,MATCH(C155,LOOKAHEAD!$A$5:$A$604,0)),""))</f>
        <v/>
      </c>
      <c r="E155" s="16" t="str">
        <f aca="false">IF(C155="","",IFERROR(INDEX(LOOKAHEAD!$E$5:$E$604,MATCH(C155,LOOKAHEAD!$A$5:$A$604,0)),""))</f>
        <v/>
      </c>
      <c r="F155" s="16" t="str">
        <f aca="false">IF(C155="","",IFERROR(INDEX(LOOKAHEAD!$M$5:$M$604,MATCH(C155,LOOKAHEAD!$A$5:$A$604,0)),""))</f>
        <v/>
      </c>
      <c r="G155" s="9"/>
      <c r="H155" s="9"/>
      <c r="I155" s="16" t="str">
        <f aca="false">IF(C155="","",IFERROR(INDEX(LOOKAHEAD!$G$5:$G$604,MATCH(C155,LOOKAHEAD!$A$5:$A$604,0)),""))</f>
        <v/>
      </c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66" t="str">
        <f aca="false">IF(C155="","",SUM(J155:O155))</f>
        <v/>
      </c>
      <c r="W155" s="66" t="str">
        <f aca="false">IF(C155="","",SUM(P155:U155))</f>
        <v/>
      </c>
      <c r="X155" s="51" t="str">
        <f aca="false">IF(OR(C155="",V155=0),"",W155/V155)</f>
        <v/>
      </c>
      <c r="Y155" s="16" t="str">
        <f aca="false">IF(OR(C155="",V155=0),"",IF(W155&gt;=V155,"Sí","No"))</f>
        <v/>
      </c>
      <c r="Z155" s="9"/>
      <c r="AA155" s="9"/>
    </row>
    <row r="156" customFormat="false" ht="15" hidden="false" customHeight="false" outlineLevel="0" collapsed="false">
      <c r="A156" s="9"/>
      <c r="B156" s="9"/>
      <c r="C156" s="9"/>
      <c r="D156" s="16" t="str">
        <f aca="false">IF(C156="","",IFERROR(INDEX(LOOKAHEAD!$B$5:$B$604,MATCH(C156,LOOKAHEAD!$A$5:$A$604,0)),""))</f>
        <v/>
      </c>
      <c r="E156" s="16" t="str">
        <f aca="false">IF(C156="","",IFERROR(INDEX(LOOKAHEAD!$E$5:$E$604,MATCH(C156,LOOKAHEAD!$A$5:$A$604,0)),""))</f>
        <v/>
      </c>
      <c r="F156" s="16" t="str">
        <f aca="false">IF(C156="","",IFERROR(INDEX(LOOKAHEAD!$M$5:$M$604,MATCH(C156,LOOKAHEAD!$A$5:$A$604,0)),""))</f>
        <v/>
      </c>
      <c r="G156" s="9"/>
      <c r="H156" s="9"/>
      <c r="I156" s="16" t="str">
        <f aca="false">IF(C156="","",IFERROR(INDEX(LOOKAHEAD!$G$5:$G$604,MATCH(C156,LOOKAHEAD!$A$5:$A$604,0)),""))</f>
        <v/>
      </c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66" t="str">
        <f aca="false">IF(C156="","",SUM(J156:O156))</f>
        <v/>
      </c>
      <c r="W156" s="66" t="str">
        <f aca="false">IF(C156="","",SUM(P156:U156))</f>
        <v/>
      </c>
      <c r="X156" s="51" t="str">
        <f aca="false">IF(OR(C156="",V156=0),"",W156/V156)</f>
        <v/>
      </c>
      <c r="Y156" s="16" t="str">
        <f aca="false">IF(OR(C156="",V156=0),"",IF(W156&gt;=V156,"Sí","No"))</f>
        <v/>
      </c>
      <c r="Z156" s="9"/>
      <c r="AA156" s="9"/>
    </row>
    <row r="157" customFormat="false" ht="15" hidden="false" customHeight="false" outlineLevel="0" collapsed="false">
      <c r="A157" s="9"/>
      <c r="B157" s="9"/>
      <c r="C157" s="9"/>
      <c r="D157" s="16" t="str">
        <f aca="false">IF(C157="","",IFERROR(INDEX(LOOKAHEAD!$B$5:$B$604,MATCH(C157,LOOKAHEAD!$A$5:$A$604,0)),""))</f>
        <v/>
      </c>
      <c r="E157" s="16" t="str">
        <f aca="false">IF(C157="","",IFERROR(INDEX(LOOKAHEAD!$E$5:$E$604,MATCH(C157,LOOKAHEAD!$A$5:$A$604,0)),""))</f>
        <v/>
      </c>
      <c r="F157" s="16" t="str">
        <f aca="false">IF(C157="","",IFERROR(INDEX(LOOKAHEAD!$M$5:$M$604,MATCH(C157,LOOKAHEAD!$A$5:$A$604,0)),""))</f>
        <v/>
      </c>
      <c r="G157" s="9"/>
      <c r="H157" s="9"/>
      <c r="I157" s="16" t="str">
        <f aca="false">IF(C157="","",IFERROR(INDEX(LOOKAHEAD!$G$5:$G$604,MATCH(C157,LOOKAHEAD!$A$5:$A$604,0)),""))</f>
        <v/>
      </c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66" t="str">
        <f aca="false">IF(C157="","",SUM(J157:O157))</f>
        <v/>
      </c>
      <c r="W157" s="66" t="str">
        <f aca="false">IF(C157="","",SUM(P157:U157))</f>
        <v/>
      </c>
      <c r="X157" s="51" t="str">
        <f aca="false">IF(OR(C157="",V157=0),"",W157/V157)</f>
        <v/>
      </c>
      <c r="Y157" s="16" t="str">
        <f aca="false">IF(OR(C157="",V157=0),"",IF(W157&gt;=V157,"Sí","No"))</f>
        <v/>
      </c>
      <c r="Z157" s="9"/>
      <c r="AA157" s="9"/>
    </row>
    <row r="158" customFormat="false" ht="15" hidden="false" customHeight="false" outlineLevel="0" collapsed="false">
      <c r="A158" s="9"/>
      <c r="B158" s="9"/>
      <c r="C158" s="9"/>
      <c r="D158" s="16" t="str">
        <f aca="false">IF(C158="","",IFERROR(INDEX(LOOKAHEAD!$B$5:$B$604,MATCH(C158,LOOKAHEAD!$A$5:$A$604,0)),""))</f>
        <v/>
      </c>
      <c r="E158" s="16" t="str">
        <f aca="false">IF(C158="","",IFERROR(INDEX(LOOKAHEAD!$E$5:$E$604,MATCH(C158,LOOKAHEAD!$A$5:$A$604,0)),""))</f>
        <v/>
      </c>
      <c r="F158" s="16" t="str">
        <f aca="false">IF(C158="","",IFERROR(INDEX(LOOKAHEAD!$M$5:$M$604,MATCH(C158,LOOKAHEAD!$A$5:$A$604,0)),""))</f>
        <v/>
      </c>
      <c r="G158" s="9"/>
      <c r="H158" s="9"/>
      <c r="I158" s="16" t="str">
        <f aca="false">IF(C158="","",IFERROR(INDEX(LOOKAHEAD!$G$5:$G$604,MATCH(C158,LOOKAHEAD!$A$5:$A$604,0)),""))</f>
        <v/>
      </c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66" t="str">
        <f aca="false">IF(C158="","",SUM(J158:O158))</f>
        <v/>
      </c>
      <c r="W158" s="66" t="str">
        <f aca="false">IF(C158="","",SUM(P158:U158))</f>
        <v/>
      </c>
      <c r="X158" s="51" t="str">
        <f aca="false">IF(OR(C158="",V158=0),"",W158/V158)</f>
        <v/>
      </c>
      <c r="Y158" s="16" t="str">
        <f aca="false">IF(OR(C158="",V158=0),"",IF(W158&gt;=V158,"Sí","No"))</f>
        <v/>
      </c>
      <c r="Z158" s="9"/>
      <c r="AA158" s="9"/>
    </row>
    <row r="159" customFormat="false" ht="15" hidden="false" customHeight="false" outlineLevel="0" collapsed="false">
      <c r="A159" s="9"/>
      <c r="B159" s="9"/>
      <c r="C159" s="9"/>
      <c r="D159" s="16" t="str">
        <f aca="false">IF(C159="","",IFERROR(INDEX(LOOKAHEAD!$B$5:$B$604,MATCH(C159,LOOKAHEAD!$A$5:$A$604,0)),""))</f>
        <v/>
      </c>
      <c r="E159" s="16" t="str">
        <f aca="false">IF(C159="","",IFERROR(INDEX(LOOKAHEAD!$E$5:$E$604,MATCH(C159,LOOKAHEAD!$A$5:$A$604,0)),""))</f>
        <v/>
      </c>
      <c r="F159" s="16" t="str">
        <f aca="false">IF(C159="","",IFERROR(INDEX(LOOKAHEAD!$M$5:$M$604,MATCH(C159,LOOKAHEAD!$A$5:$A$604,0)),""))</f>
        <v/>
      </c>
      <c r="G159" s="9"/>
      <c r="H159" s="9"/>
      <c r="I159" s="16" t="str">
        <f aca="false">IF(C159="","",IFERROR(INDEX(LOOKAHEAD!$G$5:$G$604,MATCH(C159,LOOKAHEAD!$A$5:$A$604,0)),""))</f>
        <v/>
      </c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66" t="str">
        <f aca="false">IF(C159="","",SUM(J159:O159))</f>
        <v/>
      </c>
      <c r="W159" s="66" t="str">
        <f aca="false">IF(C159="","",SUM(P159:U159))</f>
        <v/>
      </c>
      <c r="X159" s="51" t="str">
        <f aca="false">IF(OR(C159="",V159=0),"",W159/V159)</f>
        <v/>
      </c>
      <c r="Y159" s="16" t="str">
        <f aca="false">IF(OR(C159="",V159=0),"",IF(W159&gt;=V159,"Sí","No"))</f>
        <v/>
      </c>
      <c r="Z159" s="9"/>
      <c r="AA159" s="9"/>
    </row>
    <row r="160" customFormat="false" ht="15" hidden="false" customHeight="false" outlineLevel="0" collapsed="false">
      <c r="A160" s="9"/>
      <c r="B160" s="9"/>
      <c r="C160" s="9"/>
      <c r="D160" s="16" t="str">
        <f aca="false">IF(C160="","",IFERROR(INDEX(LOOKAHEAD!$B$5:$B$604,MATCH(C160,LOOKAHEAD!$A$5:$A$604,0)),""))</f>
        <v/>
      </c>
      <c r="E160" s="16" t="str">
        <f aca="false">IF(C160="","",IFERROR(INDEX(LOOKAHEAD!$E$5:$E$604,MATCH(C160,LOOKAHEAD!$A$5:$A$604,0)),""))</f>
        <v/>
      </c>
      <c r="F160" s="16" t="str">
        <f aca="false">IF(C160="","",IFERROR(INDEX(LOOKAHEAD!$M$5:$M$604,MATCH(C160,LOOKAHEAD!$A$5:$A$604,0)),""))</f>
        <v/>
      </c>
      <c r="G160" s="9"/>
      <c r="H160" s="9"/>
      <c r="I160" s="16" t="str">
        <f aca="false">IF(C160="","",IFERROR(INDEX(LOOKAHEAD!$G$5:$G$604,MATCH(C160,LOOKAHEAD!$A$5:$A$604,0)),""))</f>
        <v/>
      </c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66" t="str">
        <f aca="false">IF(C160="","",SUM(J160:O160))</f>
        <v/>
      </c>
      <c r="W160" s="66" t="str">
        <f aca="false">IF(C160="","",SUM(P160:U160))</f>
        <v/>
      </c>
      <c r="X160" s="51" t="str">
        <f aca="false">IF(OR(C160="",V160=0),"",W160/V160)</f>
        <v/>
      </c>
      <c r="Y160" s="16" t="str">
        <f aca="false">IF(OR(C160="",V160=0),"",IF(W160&gt;=V160,"Sí","No"))</f>
        <v/>
      </c>
      <c r="Z160" s="9"/>
      <c r="AA160" s="9"/>
    </row>
    <row r="161" customFormat="false" ht="15" hidden="false" customHeight="false" outlineLevel="0" collapsed="false">
      <c r="A161" s="9"/>
      <c r="B161" s="9"/>
      <c r="C161" s="9"/>
      <c r="D161" s="16" t="str">
        <f aca="false">IF(C161="","",IFERROR(INDEX(LOOKAHEAD!$B$5:$B$604,MATCH(C161,LOOKAHEAD!$A$5:$A$604,0)),""))</f>
        <v/>
      </c>
      <c r="E161" s="16" t="str">
        <f aca="false">IF(C161="","",IFERROR(INDEX(LOOKAHEAD!$E$5:$E$604,MATCH(C161,LOOKAHEAD!$A$5:$A$604,0)),""))</f>
        <v/>
      </c>
      <c r="F161" s="16" t="str">
        <f aca="false">IF(C161="","",IFERROR(INDEX(LOOKAHEAD!$M$5:$M$604,MATCH(C161,LOOKAHEAD!$A$5:$A$604,0)),""))</f>
        <v/>
      </c>
      <c r="G161" s="9"/>
      <c r="H161" s="9"/>
      <c r="I161" s="16" t="str">
        <f aca="false">IF(C161="","",IFERROR(INDEX(LOOKAHEAD!$G$5:$G$604,MATCH(C161,LOOKAHEAD!$A$5:$A$604,0)),""))</f>
        <v/>
      </c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66" t="str">
        <f aca="false">IF(C161="","",SUM(J161:O161))</f>
        <v/>
      </c>
      <c r="W161" s="66" t="str">
        <f aca="false">IF(C161="","",SUM(P161:U161))</f>
        <v/>
      </c>
      <c r="X161" s="51" t="str">
        <f aca="false">IF(OR(C161="",V161=0),"",W161/V161)</f>
        <v/>
      </c>
      <c r="Y161" s="16" t="str">
        <f aca="false">IF(OR(C161="",V161=0),"",IF(W161&gt;=V161,"Sí","No"))</f>
        <v/>
      </c>
      <c r="Z161" s="9"/>
      <c r="AA161" s="9"/>
    </row>
    <row r="162" customFormat="false" ht="15" hidden="false" customHeight="false" outlineLevel="0" collapsed="false">
      <c r="A162" s="9"/>
      <c r="B162" s="9"/>
      <c r="C162" s="9"/>
      <c r="D162" s="16" t="str">
        <f aca="false">IF(C162="","",IFERROR(INDEX(LOOKAHEAD!$B$5:$B$604,MATCH(C162,LOOKAHEAD!$A$5:$A$604,0)),""))</f>
        <v/>
      </c>
      <c r="E162" s="16" t="str">
        <f aca="false">IF(C162="","",IFERROR(INDEX(LOOKAHEAD!$E$5:$E$604,MATCH(C162,LOOKAHEAD!$A$5:$A$604,0)),""))</f>
        <v/>
      </c>
      <c r="F162" s="16" t="str">
        <f aca="false">IF(C162="","",IFERROR(INDEX(LOOKAHEAD!$M$5:$M$604,MATCH(C162,LOOKAHEAD!$A$5:$A$604,0)),""))</f>
        <v/>
      </c>
      <c r="G162" s="9"/>
      <c r="H162" s="9"/>
      <c r="I162" s="16" t="str">
        <f aca="false">IF(C162="","",IFERROR(INDEX(LOOKAHEAD!$G$5:$G$604,MATCH(C162,LOOKAHEAD!$A$5:$A$604,0)),""))</f>
        <v/>
      </c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66" t="str">
        <f aca="false">IF(C162="","",SUM(J162:O162))</f>
        <v/>
      </c>
      <c r="W162" s="66" t="str">
        <f aca="false">IF(C162="","",SUM(P162:U162))</f>
        <v/>
      </c>
      <c r="X162" s="51" t="str">
        <f aca="false">IF(OR(C162="",V162=0),"",W162/V162)</f>
        <v/>
      </c>
      <c r="Y162" s="16" t="str">
        <f aca="false">IF(OR(C162="",V162=0),"",IF(W162&gt;=V162,"Sí","No"))</f>
        <v/>
      </c>
      <c r="Z162" s="9"/>
      <c r="AA162" s="9"/>
    </row>
    <row r="163" customFormat="false" ht="15" hidden="false" customHeight="false" outlineLevel="0" collapsed="false">
      <c r="A163" s="9"/>
      <c r="B163" s="9"/>
      <c r="C163" s="9"/>
      <c r="D163" s="16" t="str">
        <f aca="false">IF(C163="","",IFERROR(INDEX(LOOKAHEAD!$B$5:$B$604,MATCH(C163,LOOKAHEAD!$A$5:$A$604,0)),""))</f>
        <v/>
      </c>
      <c r="E163" s="16" t="str">
        <f aca="false">IF(C163="","",IFERROR(INDEX(LOOKAHEAD!$E$5:$E$604,MATCH(C163,LOOKAHEAD!$A$5:$A$604,0)),""))</f>
        <v/>
      </c>
      <c r="F163" s="16" t="str">
        <f aca="false">IF(C163="","",IFERROR(INDEX(LOOKAHEAD!$M$5:$M$604,MATCH(C163,LOOKAHEAD!$A$5:$A$604,0)),""))</f>
        <v/>
      </c>
      <c r="G163" s="9"/>
      <c r="H163" s="9"/>
      <c r="I163" s="16" t="str">
        <f aca="false">IF(C163="","",IFERROR(INDEX(LOOKAHEAD!$G$5:$G$604,MATCH(C163,LOOKAHEAD!$A$5:$A$604,0)),""))</f>
        <v/>
      </c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66" t="str">
        <f aca="false">IF(C163="","",SUM(J163:O163))</f>
        <v/>
      </c>
      <c r="W163" s="66" t="str">
        <f aca="false">IF(C163="","",SUM(P163:U163))</f>
        <v/>
      </c>
      <c r="X163" s="51" t="str">
        <f aca="false">IF(OR(C163="",V163=0),"",W163/V163)</f>
        <v/>
      </c>
      <c r="Y163" s="16" t="str">
        <f aca="false">IF(OR(C163="",V163=0),"",IF(W163&gt;=V163,"Sí","No"))</f>
        <v/>
      </c>
      <c r="Z163" s="9"/>
      <c r="AA163" s="9"/>
    </row>
    <row r="164" customFormat="false" ht="15" hidden="false" customHeight="false" outlineLevel="0" collapsed="false">
      <c r="A164" s="9"/>
      <c r="B164" s="9"/>
      <c r="C164" s="9"/>
      <c r="D164" s="16" t="str">
        <f aca="false">IF(C164="","",IFERROR(INDEX(LOOKAHEAD!$B$5:$B$604,MATCH(C164,LOOKAHEAD!$A$5:$A$604,0)),""))</f>
        <v/>
      </c>
      <c r="E164" s="16" t="str">
        <f aca="false">IF(C164="","",IFERROR(INDEX(LOOKAHEAD!$E$5:$E$604,MATCH(C164,LOOKAHEAD!$A$5:$A$604,0)),""))</f>
        <v/>
      </c>
      <c r="F164" s="16" t="str">
        <f aca="false">IF(C164="","",IFERROR(INDEX(LOOKAHEAD!$M$5:$M$604,MATCH(C164,LOOKAHEAD!$A$5:$A$604,0)),""))</f>
        <v/>
      </c>
      <c r="G164" s="9"/>
      <c r="H164" s="9"/>
      <c r="I164" s="16" t="str">
        <f aca="false">IF(C164="","",IFERROR(INDEX(LOOKAHEAD!$G$5:$G$604,MATCH(C164,LOOKAHEAD!$A$5:$A$604,0)),""))</f>
        <v/>
      </c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66" t="str">
        <f aca="false">IF(C164="","",SUM(J164:O164))</f>
        <v/>
      </c>
      <c r="W164" s="66" t="str">
        <f aca="false">IF(C164="","",SUM(P164:U164))</f>
        <v/>
      </c>
      <c r="X164" s="51" t="str">
        <f aca="false">IF(OR(C164="",V164=0),"",W164/V164)</f>
        <v/>
      </c>
      <c r="Y164" s="16" t="str">
        <f aca="false">IF(OR(C164="",V164=0),"",IF(W164&gt;=V164,"Sí","No"))</f>
        <v/>
      </c>
      <c r="Z164" s="9"/>
      <c r="AA164" s="9"/>
    </row>
    <row r="165" customFormat="false" ht="15" hidden="false" customHeight="false" outlineLevel="0" collapsed="false">
      <c r="A165" s="9"/>
      <c r="B165" s="9"/>
      <c r="C165" s="9"/>
      <c r="D165" s="16" t="str">
        <f aca="false">IF(C165="","",IFERROR(INDEX(LOOKAHEAD!$B$5:$B$604,MATCH(C165,LOOKAHEAD!$A$5:$A$604,0)),""))</f>
        <v/>
      </c>
      <c r="E165" s="16" t="str">
        <f aca="false">IF(C165="","",IFERROR(INDEX(LOOKAHEAD!$E$5:$E$604,MATCH(C165,LOOKAHEAD!$A$5:$A$604,0)),""))</f>
        <v/>
      </c>
      <c r="F165" s="16" t="str">
        <f aca="false">IF(C165="","",IFERROR(INDEX(LOOKAHEAD!$M$5:$M$604,MATCH(C165,LOOKAHEAD!$A$5:$A$604,0)),""))</f>
        <v/>
      </c>
      <c r="G165" s="9"/>
      <c r="H165" s="9"/>
      <c r="I165" s="16" t="str">
        <f aca="false">IF(C165="","",IFERROR(INDEX(LOOKAHEAD!$G$5:$G$604,MATCH(C165,LOOKAHEAD!$A$5:$A$604,0)),""))</f>
        <v/>
      </c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66" t="str">
        <f aca="false">IF(C165="","",SUM(J165:O165))</f>
        <v/>
      </c>
      <c r="W165" s="66" t="str">
        <f aca="false">IF(C165="","",SUM(P165:U165))</f>
        <v/>
      </c>
      <c r="X165" s="51" t="str">
        <f aca="false">IF(OR(C165="",V165=0),"",W165/V165)</f>
        <v/>
      </c>
      <c r="Y165" s="16" t="str">
        <f aca="false">IF(OR(C165="",V165=0),"",IF(W165&gt;=V165,"Sí","No"))</f>
        <v/>
      </c>
      <c r="Z165" s="9"/>
      <c r="AA165" s="9"/>
    </row>
    <row r="166" customFormat="false" ht="15" hidden="false" customHeight="false" outlineLevel="0" collapsed="false">
      <c r="A166" s="9"/>
      <c r="B166" s="9"/>
      <c r="C166" s="9"/>
      <c r="D166" s="16" t="str">
        <f aca="false">IF(C166="","",IFERROR(INDEX(LOOKAHEAD!$B$5:$B$604,MATCH(C166,LOOKAHEAD!$A$5:$A$604,0)),""))</f>
        <v/>
      </c>
      <c r="E166" s="16" t="str">
        <f aca="false">IF(C166="","",IFERROR(INDEX(LOOKAHEAD!$E$5:$E$604,MATCH(C166,LOOKAHEAD!$A$5:$A$604,0)),""))</f>
        <v/>
      </c>
      <c r="F166" s="16" t="str">
        <f aca="false">IF(C166="","",IFERROR(INDEX(LOOKAHEAD!$M$5:$M$604,MATCH(C166,LOOKAHEAD!$A$5:$A$604,0)),""))</f>
        <v/>
      </c>
      <c r="G166" s="9"/>
      <c r="H166" s="9"/>
      <c r="I166" s="16" t="str">
        <f aca="false">IF(C166="","",IFERROR(INDEX(LOOKAHEAD!$G$5:$G$604,MATCH(C166,LOOKAHEAD!$A$5:$A$604,0)),""))</f>
        <v/>
      </c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66" t="str">
        <f aca="false">IF(C166="","",SUM(J166:O166))</f>
        <v/>
      </c>
      <c r="W166" s="66" t="str">
        <f aca="false">IF(C166="","",SUM(P166:U166))</f>
        <v/>
      </c>
      <c r="X166" s="51" t="str">
        <f aca="false">IF(OR(C166="",V166=0),"",W166/V166)</f>
        <v/>
      </c>
      <c r="Y166" s="16" t="str">
        <f aca="false">IF(OR(C166="",V166=0),"",IF(W166&gt;=V166,"Sí","No"))</f>
        <v/>
      </c>
      <c r="Z166" s="9"/>
      <c r="AA166" s="9"/>
    </row>
    <row r="167" customFormat="false" ht="15" hidden="false" customHeight="false" outlineLevel="0" collapsed="false">
      <c r="A167" s="9"/>
      <c r="B167" s="9"/>
      <c r="C167" s="9"/>
      <c r="D167" s="16" t="str">
        <f aca="false">IF(C167="","",IFERROR(INDEX(LOOKAHEAD!$B$5:$B$604,MATCH(C167,LOOKAHEAD!$A$5:$A$604,0)),""))</f>
        <v/>
      </c>
      <c r="E167" s="16" t="str">
        <f aca="false">IF(C167="","",IFERROR(INDEX(LOOKAHEAD!$E$5:$E$604,MATCH(C167,LOOKAHEAD!$A$5:$A$604,0)),""))</f>
        <v/>
      </c>
      <c r="F167" s="16" t="str">
        <f aca="false">IF(C167="","",IFERROR(INDEX(LOOKAHEAD!$M$5:$M$604,MATCH(C167,LOOKAHEAD!$A$5:$A$604,0)),""))</f>
        <v/>
      </c>
      <c r="G167" s="9"/>
      <c r="H167" s="9"/>
      <c r="I167" s="16" t="str">
        <f aca="false">IF(C167="","",IFERROR(INDEX(LOOKAHEAD!$G$5:$G$604,MATCH(C167,LOOKAHEAD!$A$5:$A$604,0)),""))</f>
        <v/>
      </c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66" t="str">
        <f aca="false">IF(C167="","",SUM(J167:O167))</f>
        <v/>
      </c>
      <c r="W167" s="66" t="str">
        <f aca="false">IF(C167="","",SUM(P167:U167))</f>
        <v/>
      </c>
      <c r="X167" s="51" t="str">
        <f aca="false">IF(OR(C167="",V167=0),"",W167/V167)</f>
        <v/>
      </c>
      <c r="Y167" s="16" t="str">
        <f aca="false">IF(OR(C167="",V167=0),"",IF(W167&gt;=V167,"Sí","No"))</f>
        <v/>
      </c>
      <c r="Z167" s="9"/>
      <c r="AA167" s="9"/>
    </row>
    <row r="168" customFormat="false" ht="15" hidden="false" customHeight="false" outlineLevel="0" collapsed="false">
      <c r="A168" s="9"/>
      <c r="B168" s="9"/>
      <c r="C168" s="9"/>
      <c r="D168" s="16" t="str">
        <f aca="false">IF(C168="","",IFERROR(INDEX(LOOKAHEAD!$B$5:$B$604,MATCH(C168,LOOKAHEAD!$A$5:$A$604,0)),""))</f>
        <v/>
      </c>
      <c r="E168" s="16" t="str">
        <f aca="false">IF(C168="","",IFERROR(INDEX(LOOKAHEAD!$E$5:$E$604,MATCH(C168,LOOKAHEAD!$A$5:$A$604,0)),""))</f>
        <v/>
      </c>
      <c r="F168" s="16" t="str">
        <f aca="false">IF(C168="","",IFERROR(INDEX(LOOKAHEAD!$M$5:$M$604,MATCH(C168,LOOKAHEAD!$A$5:$A$604,0)),""))</f>
        <v/>
      </c>
      <c r="G168" s="9"/>
      <c r="H168" s="9"/>
      <c r="I168" s="16" t="str">
        <f aca="false">IF(C168="","",IFERROR(INDEX(LOOKAHEAD!$G$5:$G$604,MATCH(C168,LOOKAHEAD!$A$5:$A$604,0)),""))</f>
        <v/>
      </c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66" t="str">
        <f aca="false">IF(C168="","",SUM(J168:O168))</f>
        <v/>
      </c>
      <c r="W168" s="66" t="str">
        <f aca="false">IF(C168="","",SUM(P168:U168))</f>
        <v/>
      </c>
      <c r="X168" s="51" t="str">
        <f aca="false">IF(OR(C168="",V168=0),"",W168/V168)</f>
        <v/>
      </c>
      <c r="Y168" s="16" t="str">
        <f aca="false">IF(OR(C168="",V168=0),"",IF(W168&gt;=V168,"Sí","No"))</f>
        <v/>
      </c>
      <c r="Z168" s="9"/>
      <c r="AA168" s="9"/>
    </row>
    <row r="169" customFormat="false" ht="15" hidden="false" customHeight="false" outlineLevel="0" collapsed="false">
      <c r="A169" s="9"/>
      <c r="B169" s="9"/>
      <c r="C169" s="9"/>
      <c r="D169" s="16" t="str">
        <f aca="false">IF(C169="","",IFERROR(INDEX(LOOKAHEAD!$B$5:$B$604,MATCH(C169,LOOKAHEAD!$A$5:$A$604,0)),""))</f>
        <v/>
      </c>
      <c r="E169" s="16" t="str">
        <f aca="false">IF(C169="","",IFERROR(INDEX(LOOKAHEAD!$E$5:$E$604,MATCH(C169,LOOKAHEAD!$A$5:$A$604,0)),""))</f>
        <v/>
      </c>
      <c r="F169" s="16" t="str">
        <f aca="false">IF(C169="","",IFERROR(INDEX(LOOKAHEAD!$M$5:$M$604,MATCH(C169,LOOKAHEAD!$A$5:$A$604,0)),""))</f>
        <v/>
      </c>
      <c r="G169" s="9"/>
      <c r="H169" s="9"/>
      <c r="I169" s="16" t="str">
        <f aca="false">IF(C169="","",IFERROR(INDEX(LOOKAHEAD!$G$5:$G$604,MATCH(C169,LOOKAHEAD!$A$5:$A$604,0)),""))</f>
        <v/>
      </c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66" t="str">
        <f aca="false">IF(C169="","",SUM(J169:O169))</f>
        <v/>
      </c>
      <c r="W169" s="66" t="str">
        <f aca="false">IF(C169="","",SUM(P169:U169))</f>
        <v/>
      </c>
      <c r="X169" s="51" t="str">
        <f aca="false">IF(OR(C169="",V169=0),"",W169/V169)</f>
        <v/>
      </c>
      <c r="Y169" s="16" t="str">
        <f aca="false">IF(OR(C169="",V169=0),"",IF(W169&gt;=V169,"Sí","No"))</f>
        <v/>
      </c>
      <c r="Z169" s="9"/>
      <c r="AA169" s="9"/>
    </row>
    <row r="170" customFormat="false" ht="15" hidden="false" customHeight="false" outlineLevel="0" collapsed="false">
      <c r="A170" s="9"/>
      <c r="B170" s="9"/>
      <c r="C170" s="9"/>
      <c r="D170" s="16" t="str">
        <f aca="false">IF(C170="","",IFERROR(INDEX(LOOKAHEAD!$B$5:$B$604,MATCH(C170,LOOKAHEAD!$A$5:$A$604,0)),""))</f>
        <v/>
      </c>
      <c r="E170" s="16" t="str">
        <f aca="false">IF(C170="","",IFERROR(INDEX(LOOKAHEAD!$E$5:$E$604,MATCH(C170,LOOKAHEAD!$A$5:$A$604,0)),""))</f>
        <v/>
      </c>
      <c r="F170" s="16" t="str">
        <f aca="false">IF(C170="","",IFERROR(INDEX(LOOKAHEAD!$M$5:$M$604,MATCH(C170,LOOKAHEAD!$A$5:$A$604,0)),""))</f>
        <v/>
      </c>
      <c r="G170" s="9"/>
      <c r="H170" s="9"/>
      <c r="I170" s="16" t="str">
        <f aca="false">IF(C170="","",IFERROR(INDEX(LOOKAHEAD!$G$5:$G$604,MATCH(C170,LOOKAHEAD!$A$5:$A$604,0)),""))</f>
        <v/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66" t="str">
        <f aca="false">IF(C170="","",SUM(J170:O170))</f>
        <v/>
      </c>
      <c r="W170" s="66" t="str">
        <f aca="false">IF(C170="","",SUM(P170:U170))</f>
        <v/>
      </c>
      <c r="X170" s="51" t="str">
        <f aca="false">IF(OR(C170="",V170=0),"",W170/V170)</f>
        <v/>
      </c>
      <c r="Y170" s="16" t="str">
        <f aca="false">IF(OR(C170="",V170=0),"",IF(W170&gt;=V170,"Sí","No"))</f>
        <v/>
      </c>
      <c r="Z170" s="9"/>
      <c r="AA170" s="9"/>
    </row>
    <row r="171" customFormat="false" ht="15" hidden="false" customHeight="false" outlineLevel="0" collapsed="false">
      <c r="A171" s="9"/>
      <c r="B171" s="9"/>
      <c r="C171" s="9"/>
      <c r="D171" s="16" t="str">
        <f aca="false">IF(C171="","",IFERROR(INDEX(LOOKAHEAD!$B$5:$B$604,MATCH(C171,LOOKAHEAD!$A$5:$A$604,0)),""))</f>
        <v/>
      </c>
      <c r="E171" s="16" t="str">
        <f aca="false">IF(C171="","",IFERROR(INDEX(LOOKAHEAD!$E$5:$E$604,MATCH(C171,LOOKAHEAD!$A$5:$A$604,0)),""))</f>
        <v/>
      </c>
      <c r="F171" s="16" t="str">
        <f aca="false">IF(C171="","",IFERROR(INDEX(LOOKAHEAD!$M$5:$M$604,MATCH(C171,LOOKAHEAD!$A$5:$A$604,0)),""))</f>
        <v/>
      </c>
      <c r="G171" s="9"/>
      <c r="H171" s="9"/>
      <c r="I171" s="16" t="str">
        <f aca="false">IF(C171="","",IFERROR(INDEX(LOOKAHEAD!$G$5:$G$604,MATCH(C171,LOOKAHEAD!$A$5:$A$604,0)),""))</f>
        <v/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66" t="str">
        <f aca="false">IF(C171="","",SUM(J171:O171))</f>
        <v/>
      </c>
      <c r="W171" s="66" t="str">
        <f aca="false">IF(C171="","",SUM(P171:U171))</f>
        <v/>
      </c>
      <c r="X171" s="51" t="str">
        <f aca="false">IF(OR(C171="",V171=0),"",W171/V171)</f>
        <v/>
      </c>
      <c r="Y171" s="16" t="str">
        <f aca="false">IF(OR(C171="",V171=0),"",IF(W171&gt;=V171,"Sí","No"))</f>
        <v/>
      </c>
      <c r="Z171" s="9"/>
      <c r="AA171" s="9"/>
    </row>
    <row r="172" customFormat="false" ht="15" hidden="false" customHeight="false" outlineLevel="0" collapsed="false">
      <c r="A172" s="9"/>
      <c r="B172" s="9"/>
      <c r="C172" s="9"/>
      <c r="D172" s="16" t="str">
        <f aca="false">IF(C172="","",IFERROR(INDEX(LOOKAHEAD!$B$5:$B$604,MATCH(C172,LOOKAHEAD!$A$5:$A$604,0)),""))</f>
        <v/>
      </c>
      <c r="E172" s="16" t="str">
        <f aca="false">IF(C172="","",IFERROR(INDEX(LOOKAHEAD!$E$5:$E$604,MATCH(C172,LOOKAHEAD!$A$5:$A$604,0)),""))</f>
        <v/>
      </c>
      <c r="F172" s="16" t="str">
        <f aca="false">IF(C172="","",IFERROR(INDEX(LOOKAHEAD!$M$5:$M$604,MATCH(C172,LOOKAHEAD!$A$5:$A$604,0)),""))</f>
        <v/>
      </c>
      <c r="G172" s="9"/>
      <c r="H172" s="9"/>
      <c r="I172" s="16" t="str">
        <f aca="false">IF(C172="","",IFERROR(INDEX(LOOKAHEAD!$G$5:$G$604,MATCH(C172,LOOKAHEAD!$A$5:$A$604,0)),""))</f>
        <v/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66" t="str">
        <f aca="false">IF(C172="","",SUM(J172:O172))</f>
        <v/>
      </c>
      <c r="W172" s="66" t="str">
        <f aca="false">IF(C172="","",SUM(P172:U172))</f>
        <v/>
      </c>
      <c r="X172" s="51" t="str">
        <f aca="false">IF(OR(C172="",V172=0),"",W172/V172)</f>
        <v/>
      </c>
      <c r="Y172" s="16" t="str">
        <f aca="false">IF(OR(C172="",V172=0),"",IF(W172&gt;=V172,"Sí","No"))</f>
        <v/>
      </c>
      <c r="Z172" s="9"/>
      <c r="AA172" s="9"/>
    </row>
    <row r="173" customFormat="false" ht="15" hidden="false" customHeight="false" outlineLevel="0" collapsed="false">
      <c r="A173" s="9"/>
      <c r="B173" s="9"/>
      <c r="C173" s="9"/>
      <c r="D173" s="16" t="str">
        <f aca="false">IF(C173="","",IFERROR(INDEX(LOOKAHEAD!$B$5:$B$604,MATCH(C173,LOOKAHEAD!$A$5:$A$604,0)),""))</f>
        <v/>
      </c>
      <c r="E173" s="16" t="str">
        <f aca="false">IF(C173="","",IFERROR(INDEX(LOOKAHEAD!$E$5:$E$604,MATCH(C173,LOOKAHEAD!$A$5:$A$604,0)),""))</f>
        <v/>
      </c>
      <c r="F173" s="16" t="str">
        <f aca="false">IF(C173="","",IFERROR(INDEX(LOOKAHEAD!$M$5:$M$604,MATCH(C173,LOOKAHEAD!$A$5:$A$604,0)),""))</f>
        <v/>
      </c>
      <c r="G173" s="9"/>
      <c r="H173" s="9"/>
      <c r="I173" s="16" t="str">
        <f aca="false">IF(C173="","",IFERROR(INDEX(LOOKAHEAD!$G$5:$G$604,MATCH(C173,LOOKAHEAD!$A$5:$A$604,0)),""))</f>
        <v/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66" t="str">
        <f aca="false">IF(C173="","",SUM(J173:O173))</f>
        <v/>
      </c>
      <c r="W173" s="66" t="str">
        <f aca="false">IF(C173="","",SUM(P173:U173))</f>
        <v/>
      </c>
      <c r="X173" s="51" t="str">
        <f aca="false">IF(OR(C173="",V173=0),"",W173/V173)</f>
        <v/>
      </c>
      <c r="Y173" s="16" t="str">
        <f aca="false">IF(OR(C173="",V173=0),"",IF(W173&gt;=V173,"Sí","No"))</f>
        <v/>
      </c>
      <c r="Z173" s="9"/>
      <c r="AA173" s="9"/>
    </row>
    <row r="174" customFormat="false" ht="15" hidden="false" customHeight="false" outlineLevel="0" collapsed="false">
      <c r="A174" s="9"/>
      <c r="B174" s="9"/>
      <c r="C174" s="9"/>
      <c r="D174" s="16" t="str">
        <f aca="false">IF(C174="","",IFERROR(INDEX(LOOKAHEAD!$B$5:$B$604,MATCH(C174,LOOKAHEAD!$A$5:$A$604,0)),""))</f>
        <v/>
      </c>
      <c r="E174" s="16" t="str">
        <f aca="false">IF(C174="","",IFERROR(INDEX(LOOKAHEAD!$E$5:$E$604,MATCH(C174,LOOKAHEAD!$A$5:$A$604,0)),""))</f>
        <v/>
      </c>
      <c r="F174" s="16" t="str">
        <f aca="false">IF(C174="","",IFERROR(INDEX(LOOKAHEAD!$M$5:$M$604,MATCH(C174,LOOKAHEAD!$A$5:$A$604,0)),""))</f>
        <v/>
      </c>
      <c r="G174" s="9"/>
      <c r="H174" s="9"/>
      <c r="I174" s="16" t="str">
        <f aca="false">IF(C174="","",IFERROR(INDEX(LOOKAHEAD!$G$5:$G$604,MATCH(C174,LOOKAHEAD!$A$5:$A$604,0)),""))</f>
        <v/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66" t="str">
        <f aca="false">IF(C174="","",SUM(J174:O174))</f>
        <v/>
      </c>
      <c r="W174" s="66" t="str">
        <f aca="false">IF(C174="","",SUM(P174:U174))</f>
        <v/>
      </c>
      <c r="X174" s="51" t="str">
        <f aca="false">IF(OR(C174="",V174=0),"",W174/V174)</f>
        <v/>
      </c>
      <c r="Y174" s="16" t="str">
        <f aca="false">IF(OR(C174="",V174=0),"",IF(W174&gt;=V174,"Sí","No"))</f>
        <v/>
      </c>
      <c r="Z174" s="9"/>
      <c r="AA174" s="9"/>
    </row>
    <row r="175" customFormat="false" ht="15" hidden="false" customHeight="false" outlineLevel="0" collapsed="false">
      <c r="A175" s="9"/>
      <c r="B175" s="9"/>
      <c r="C175" s="9"/>
      <c r="D175" s="16" t="str">
        <f aca="false">IF(C175="","",IFERROR(INDEX(LOOKAHEAD!$B$5:$B$604,MATCH(C175,LOOKAHEAD!$A$5:$A$604,0)),""))</f>
        <v/>
      </c>
      <c r="E175" s="16" t="str">
        <f aca="false">IF(C175="","",IFERROR(INDEX(LOOKAHEAD!$E$5:$E$604,MATCH(C175,LOOKAHEAD!$A$5:$A$604,0)),""))</f>
        <v/>
      </c>
      <c r="F175" s="16" t="str">
        <f aca="false">IF(C175="","",IFERROR(INDEX(LOOKAHEAD!$M$5:$M$604,MATCH(C175,LOOKAHEAD!$A$5:$A$604,0)),""))</f>
        <v/>
      </c>
      <c r="G175" s="9"/>
      <c r="H175" s="9"/>
      <c r="I175" s="16" t="str">
        <f aca="false">IF(C175="","",IFERROR(INDEX(LOOKAHEAD!$G$5:$G$604,MATCH(C175,LOOKAHEAD!$A$5:$A$604,0)),""))</f>
        <v/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66" t="str">
        <f aca="false">IF(C175="","",SUM(J175:O175))</f>
        <v/>
      </c>
      <c r="W175" s="66" t="str">
        <f aca="false">IF(C175="","",SUM(P175:U175))</f>
        <v/>
      </c>
      <c r="X175" s="51" t="str">
        <f aca="false">IF(OR(C175="",V175=0),"",W175/V175)</f>
        <v/>
      </c>
      <c r="Y175" s="16" t="str">
        <f aca="false">IF(OR(C175="",V175=0),"",IF(W175&gt;=V175,"Sí","No"))</f>
        <v/>
      </c>
      <c r="Z175" s="9"/>
      <c r="AA175" s="9"/>
    </row>
    <row r="176" customFormat="false" ht="15" hidden="false" customHeight="false" outlineLevel="0" collapsed="false">
      <c r="A176" s="9"/>
      <c r="B176" s="9"/>
      <c r="C176" s="9"/>
      <c r="D176" s="16" t="str">
        <f aca="false">IF(C176="","",IFERROR(INDEX(LOOKAHEAD!$B$5:$B$604,MATCH(C176,LOOKAHEAD!$A$5:$A$604,0)),""))</f>
        <v/>
      </c>
      <c r="E176" s="16" t="str">
        <f aca="false">IF(C176="","",IFERROR(INDEX(LOOKAHEAD!$E$5:$E$604,MATCH(C176,LOOKAHEAD!$A$5:$A$604,0)),""))</f>
        <v/>
      </c>
      <c r="F176" s="16" t="str">
        <f aca="false">IF(C176="","",IFERROR(INDEX(LOOKAHEAD!$M$5:$M$604,MATCH(C176,LOOKAHEAD!$A$5:$A$604,0)),""))</f>
        <v/>
      </c>
      <c r="G176" s="9"/>
      <c r="H176" s="9"/>
      <c r="I176" s="16" t="str">
        <f aca="false">IF(C176="","",IFERROR(INDEX(LOOKAHEAD!$G$5:$G$604,MATCH(C176,LOOKAHEAD!$A$5:$A$604,0)),""))</f>
        <v/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66" t="str">
        <f aca="false">IF(C176="","",SUM(J176:O176))</f>
        <v/>
      </c>
      <c r="W176" s="66" t="str">
        <f aca="false">IF(C176="","",SUM(P176:U176))</f>
        <v/>
      </c>
      <c r="X176" s="51" t="str">
        <f aca="false">IF(OR(C176="",V176=0),"",W176/V176)</f>
        <v/>
      </c>
      <c r="Y176" s="16" t="str">
        <f aca="false">IF(OR(C176="",V176=0),"",IF(W176&gt;=V176,"Sí","No"))</f>
        <v/>
      </c>
      <c r="Z176" s="9"/>
      <c r="AA176" s="9"/>
    </row>
    <row r="177" customFormat="false" ht="15" hidden="false" customHeight="false" outlineLevel="0" collapsed="false">
      <c r="A177" s="9"/>
      <c r="B177" s="9"/>
      <c r="C177" s="9"/>
      <c r="D177" s="16" t="str">
        <f aca="false">IF(C177="","",IFERROR(INDEX(LOOKAHEAD!$B$5:$B$604,MATCH(C177,LOOKAHEAD!$A$5:$A$604,0)),""))</f>
        <v/>
      </c>
      <c r="E177" s="16" t="str">
        <f aca="false">IF(C177="","",IFERROR(INDEX(LOOKAHEAD!$E$5:$E$604,MATCH(C177,LOOKAHEAD!$A$5:$A$604,0)),""))</f>
        <v/>
      </c>
      <c r="F177" s="16" t="str">
        <f aca="false">IF(C177="","",IFERROR(INDEX(LOOKAHEAD!$M$5:$M$604,MATCH(C177,LOOKAHEAD!$A$5:$A$604,0)),""))</f>
        <v/>
      </c>
      <c r="G177" s="9"/>
      <c r="H177" s="9"/>
      <c r="I177" s="16" t="str">
        <f aca="false">IF(C177="","",IFERROR(INDEX(LOOKAHEAD!$G$5:$G$604,MATCH(C177,LOOKAHEAD!$A$5:$A$604,0)),""))</f>
        <v/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66" t="str">
        <f aca="false">IF(C177="","",SUM(J177:O177))</f>
        <v/>
      </c>
      <c r="W177" s="66" t="str">
        <f aca="false">IF(C177="","",SUM(P177:U177))</f>
        <v/>
      </c>
      <c r="X177" s="51" t="str">
        <f aca="false">IF(OR(C177="",V177=0),"",W177/V177)</f>
        <v/>
      </c>
      <c r="Y177" s="16" t="str">
        <f aca="false">IF(OR(C177="",V177=0),"",IF(W177&gt;=V177,"Sí","No"))</f>
        <v/>
      </c>
      <c r="Z177" s="9"/>
      <c r="AA177" s="9"/>
    </row>
    <row r="178" customFormat="false" ht="15" hidden="false" customHeight="false" outlineLevel="0" collapsed="false">
      <c r="A178" s="9"/>
      <c r="B178" s="9"/>
      <c r="C178" s="9"/>
      <c r="D178" s="16" t="str">
        <f aca="false">IF(C178="","",IFERROR(INDEX(LOOKAHEAD!$B$5:$B$604,MATCH(C178,LOOKAHEAD!$A$5:$A$604,0)),""))</f>
        <v/>
      </c>
      <c r="E178" s="16" t="str">
        <f aca="false">IF(C178="","",IFERROR(INDEX(LOOKAHEAD!$E$5:$E$604,MATCH(C178,LOOKAHEAD!$A$5:$A$604,0)),""))</f>
        <v/>
      </c>
      <c r="F178" s="16" t="str">
        <f aca="false">IF(C178="","",IFERROR(INDEX(LOOKAHEAD!$M$5:$M$604,MATCH(C178,LOOKAHEAD!$A$5:$A$604,0)),""))</f>
        <v/>
      </c>
      <c r="G178" s="9"/>
      <c r="H178" s="9"/>
      <c r="I178" s="16" t="str">
        <f aca="false">IF(C178="","",IFERROR(INDEX(LOOKAHEAD!$G$5:$G$604,MATCH(C178,LOOKAHEAD!$A$5:$A$604,0)),""))</f>
        <v/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66" t="str">
        <f aca="false">IF(C178="","",SUM(J178:O178))</f>
        <v/>
      </c>
      <c r="W178" s="66" t="str">
        <f aca="false">IF(C178="","",SUM(P178:U178))</f>
        <v/>
      </c>
      <c r="X178" s="51" t="str">
        <f aca="false">IF(OR(C178="",V178=0),"",W178/V178)</f>
        <v/>
      </c>
      <c r="Y178" s="16" t="str">
        <f aca="false">IF(OR(C178="",V178=0),"",IF(W178&gt;=V178,"Sí","No"))</f>
        <v/>
      </c>
      <c r="Z178" s="9"/>
      <c r="AA178" s="9"/>
    </row>
    <row r="179" customFormat="false" ht="15" hidden="false" customHeight="false" outlineLevel="0" collapsed="false">
      <c r="A179" s="9"/>
      <c r="B179" s="9"/>
      <c r="C179" s="9"/>
      <c r="D179" s="16" t="str">
        <f aca="false">IF(C179="","",IFERROR(INDEX(LOOKAHEAD!$B$5:$B$604,MATCH(C179,LOOKAHEAD!$A$5:$A$604,0)),""))</f>
        <v/>
      </c>
      <c r="E179" s="16" t="str">
        <f aca="false">IF(C179="","",IFERROR(INDEX(LOOKAHEAD!$E$5:$E$604,MATCH(C179,LOOKAHEAD!$A$5:$A$604,0)),""))</f>
        <v/>
      </c>
      <c r="F179" s="16" t="str">
        <f aca="false">IF(C179="","",IFERROR(INDEX(LOOKAHEAD!$M$5:$M$604,MATCH(C179,LOOKAHEAD!$A$5:$A$604,0)),""))</f>
        <v/>
      </c>
      <c r="G179" s="9"/>
      <c r="H179" s="9"/>
      <c r="I179" s="16" t="str">
        <f aca="false">IF(C179="","",IFERROR(INDEX(LOOKAHEAD!$G$5:$G$604,MATCH(C179,LOOKAHEAD!$A$5:$A$604,0)),""))</f>
        <v/>
      </c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66" t="str">
        <f aca="false">IF(C179="","",SUM(J179:O179))</f>
        <v/>
      </c>
      <c r="W179" s="66" t="str">
        <f aca="false">IF(C179="","",SUM(P179:U179))</f>
        <v/>
      </c>
      <c r="X179" s="51" t="str">
        <f aca="false">IF(OR(C179="",V179=0),"",W179/V179)</f>
        <v/>
      </c>
      <c r="Y179" s="16" t="str">
        <f aca="false">IF(OR(C179="",V179=0),"",IF(W179&gt;=V179,"Sí","No"))</f>
        <v/>
      </c>
      <c r="Z179" s="9"/>
      <c r="AA179" s="9"/>
    </row>
    <row r="180" customFormat="false" ht="15" hidden="false" customHeight="false" outlineLevel="0" collapsed="false">
      <c r="A180" s="9"/>
      <c r="B180" s="9"/>
      <c r="C180" s="9"/>
      <c r="D180" s="16" t="str">
        <f aca="false">IF(C180="","",IFERROR(INDEX(LOOKAHEAD!$B$5:$B$604,MATCH(C180,LOOKAHEAD!$A$5:$A$604,0)),""))</f>
        <v/>
      </c>
      <c r="E180" s="16" t="str">
        <f aca="false">IF(C180="","",IFERROR(INDEX(LOOKAHEAD!$E$5:$E$604,MATCH(C180,LOOKAHEAD!$A$5:$A$604,0)),""))</f>
        <v/>
      </c>
      <c r="F180" s="16" t="str">
        <f aca="false">IF(C180="","",IFERROR(INDEX(LOOKAHEAD!$M$5:$M$604,MATCH(C180,LOOKAHEAD!$A$5:$A$604,0)),""))</f>
        <v/>
      </c>
      <c r="G180" s="9"/>
      <c r="H180" s="9"/>
      <c r="I180" s="16" t="str">
        <f aca="false">IF(C180="","",IFERROR(INDEX(LOOKAHEAD!$G$5:$G$604,MATCH(C180,LOOKAHEAD!$A$5:$A$604,0)),""))</f>
        <v/>
      </c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66" t="str">
        <f aca="false">IF(C180="","",SUM(J180:O180))</f>
        <v/>
      </c>
      <c r="W180" s="66" t="str">
        <f aca="false">IF(C180="","",SUM(P180:U180))</f>
        <v/>
      </c>
      <c r="X180" s="51" t="str">
        <f aca="false">IF(OR(C180="",V180=0),"",W180/V180)</f>
        <v/>
      </c>
      <c r="Y180" s="16" t="str">
        <f aca="false">IF(OR(C180="",V180=0),"",IF(W180&gt;=V180,"Sí","No"))</f>
        <v/>
      </c>
      <c r="Z180" s="9"/>
      <c r="AA180" s="9"/>
    </row>
    <row r="181" customFormat="false" ht="15" hidden="false" customHeight="false" outlineLevel="0" collapsed="false">
      <c r="A181" s="9"/>
      <c r="B181" s="9"/>
      <c r="C181" s="9"/>
      <c r="D181" s="16" t="str">
        <f aca="false">IF(C181="","",IFERROR(INDEX(LOOKAHEAD!$B$5:$B$604,MATCH(C181,LOOKAHEAD!$A$5:$A$604,0)),""))</f>
        <v/>
      </c>
      <c r="E181" s="16" t="str">
        <f aca="false">IF(C181="","",IFERROR(INDEX(LOOKAHEAD!$E$5:$E$604,MATCH(C181,LOOKAHEAD!$A$5:$A$604,0)),""))</f>
        <v/>
      </c>
      <c r="F181" s="16" t="str">
        <f aca="false">IF(C181="","",IFERROR(INDEX(LOOKAHEAD!$M$5:$M$604,MATCH(C181,LOOKAHEAD!$A$5:$A$604,0)),""))</f>
        <v/>
      </c>
      <c r="G181" s="9"/>
      <c r="H181" s="9"/>
      <c r="I181" s="16" t="str">
        <f aca="false">IF(C181="","",IFERROR(INDEX(LOOKAHEAD!$G$5:$G$604,MATCH(C181,LOOKAHEAD!$A$5:$A$604,0)),""))</f>
        <v/>
      </c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66" t="str">
        <f aca="false">IF(C181="","",SUM(J181:O181))</f>
        <v/>
      </c>
      <c r="W181" s="66" t="str">
        <f aca="false">IF(C181="","",SUM(P181:U181))</f>
        <v/>
      </c>
      <c r="X181" s="51" t="str">
        <f aca="false">IF(OR(C181="",V181=0),"",W181/V181)</f>
        <v/>
      </c>
      <c r="Y181" s="16" t="str">
        <f aca="false">IF(OR(C181="",V181=0),"",IF(W181&gt;=V181,"Sí","No"))</f>
        <v/>
      </c>
      <c r="Z181" s="9"/>
      <c r="AA181" s="9"/>
    </row>
    <row r="182" customFormat="false" ht="15" hidden="false" customHeight="false" outlineLevel="0" collapsed="false">
      <c r="A182" s="9"/>
      <c r="B182" s="9"/>
      <c r="C182" s="9"/>
      <c r="D182" s="16" t="str">
        <f aca="false">IF(C182="","",IFERROR(INDEX(LOOKAHEAD!$B$5:$B$604,MATCH(C182,LOOKAHEAD!$A$5:$A$604,0)),""))</f>
        <v/>
      </c>
      <c r="E182" s="16" t="str">
        <f aca="false">IF(C182="","",IFERROR(INDEX(LOOKAHEAD!$E$5:$E$604,MATCH(C182,LOOKAHEAD!$A$5:$A$604,0)),""))</f>
        <v/>
      </c>
      <c r="F182" s="16" t="str">
        <f aca="false">IF(C182="","",IFERROR(INDEX(LOOKAHEAD!$M$5:$M$604,MATCH(C182,LOOKAHEAD!$A$5:$A$604,0)),""))</f>
        <v/>
      </c>
      <c r="G182" s="9"/>
      <c r="H182" s="9"/>
      <c r="I182" s="16" t="str">
        <f aca="false">IF(C182="","",IFERROR(INDEX(LOOKAHEAD!$G$5:$G$604,MATCH(C182,LOOKAHEAD!$A$5:$A$604,0)),""))</f>
        <v/>
      </c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66" t="str">
        <f aca="false">IF(C182="","",SUM(J182:O182))</f>
        <v/>
      </c>
      <c r="W182" s="66" t="str">
        <f aca="false">IF(C182="","",SUM(P182:U182))</f>
        <v/>
      </c>
      <c r="X182" s="51" t="str">
        <f aca="false">IF(OR(C182="",V182=0),"",W182/V182)</f>
        <v/>
      </c>
      <c r="Y182" s="16" t="str">
        <f aca="false">IF(OR(C182="",V182=0),"",IF(W182&gt;=V182,"Sí","No"))</f>
        <v/>
      </c>
      <c r="Z182" s="9"/>
      <c r="AA182" s="9"/>
    </row>
    <row r="183" customFormat="false" ht="15" hidden="false" customHeight="false" outlineLevel="0" collapsed="false">
      <c r="A183" s="9"/>
      <c r="B183" s="9"/>
      <c r="C183" s="9"/>
      <c r="D183" s="16" t="str">
        <f aca="false">IF(C183="","",IFERROR(INDEX(LOOKAHEAD!$B$5:$B$604,MATCH(C183,LOOKAHEAD!$A$5:$A$604,0)),""))</f>
        <v/>
      </c>
      <c r="E183" s="16" t="str">
        <f aca="false">IF(C183="","",IFERROR(INDEX(LOOKAHEAD!$E$5:$E$604,MATCH(C183,LOOKAHEAD!$A$5:$A$604,0)),""))</f>
        <v/>
      </c>
      <c r="F183" s="16" t="str">
        <f aca="false">IF(C183="","",IFERROR(INDEX(LOOKAHEAD!$M$5:$M$604,MATCH(C183,LOOKAHEAD!$A$5:$A$604,0)),""))</f>
        <v/>
      </c>
      <c r="G183" s="9"/>
      <c r="H183" s="9"/>
      <c r="I183" s="16" t="str">
        <f aca="false">IF(C183="","",IFERROR(INDEX(LOOKAHEAD!$G$5:$G$604,MATCH(C183,LOOKAHEAD!$A$5:$A$604,0)),""))</f>
        <v/>
      </c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66" t="str">
        <f aca="false">IF(C183="","",SUM(J183:O183))</f>
        <v/>
      </c>
      <c r="W183" s="66" t="str">
        <f aca="false">IF(C183="","",SUM(P183:U183))</f>
        <v/>
      </c>
      <c r="X183" s="51" t="str">
        <f aca="false">IF(OR(C183="",V183=0),"",W183/V183)</f>
        <v/>
      </c>
      <c r="Y183" s="16" t="str">
        <f aca="false">IF(OR(C183="",V183=0),"",IF(W183&gt;=V183,"Sí","No"))</f>
        <v/>
      </c>
      <c r="Z183" s="9"/>
      <c r="AA183" s="9"/>
    </row>
    <row r="184" customFormat="false" ht="15" hidden="false" customHeight="false" outlineLevel="0" collapsed="false">
      <c r="A184" s="9"/>
      <c r="B184" s="9"/>
      <c r="C184" s="9"/>
      <c r="D184" s="16" t="str">
        <f aca="false">IF(C184="","",IFERROR(INDEX(LOOKAHEAD!$B$5:$B$604,MATCH(C184,LOOKAHEAD!$A$5:$A$604,0)),""))</f>
        <v/>
      </c>
      <c r="E184" s="16" t="str">
        <f aca="false">IF(C184="","",IFERROR(INDEX(LOOKAHEAD!$E$5:$E$604,MATCH(C184,LOOKAHEAD!$A$5:$A$604,0)),""))</f>
        <v/>
      </c>
      <c r="F184" s="16" t="str">
        <f aca="false">IF(C184="","",IFERROR(INDEX(LOOKAHEAD!$M$5:$M$604,MATCH(C184,LOOKAHEAD!$A$5:$A$604,0)),""))</f>
        <v/>
      </c>
      <c r="G184" s="9"/>
      <c r="H184" s="9"/>
      <c r="I184" s="16" t="str">
        <f aca="false">IF(C184="","",IFERROR(INDEX(LOOKAHEAD!$G$5:$G$604,MATCH(C184,LOOKAHEAD!$A$5:$A$604,0)),""))</f>
        <v/>
      </c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66" t="str">
        <f aca="false">IF(C184="","",SUM(J184:O184))</f>
        <v/>
      </c>
      <c r="W184" s="66" t="str">
        <f aca="false">IF(C184="","",SUM(P184:U184))</f>
        <v/>
      </c>
      <c r="X184" s="51" t="str">
        <f aca="false">IF(OR(C184="",V184=0),"",W184/V184)</f>
        <v/>
      </c>
      <c r="Y184" s="16" t="str">
        <f aca="false">IF(OR(C184="",V184=0),"",IF(W184&gt;=V184,"Sí","No"))</f>
        <v/>
      </c>
      <c r="Z184" s="9"/>
      <c r="AA184" s="9"/>
    </row>
    <row r="185" customFormat="false" ht="15" hidden="false" customHeight="false" outlineLevel="0" collapsed="false">
      <c r="A185" s="9"/>
      <c r="B185" s="9"/>
      <c r="C185" s="9"/>
      <c r="D185" s="16" t="str">
        <f aca="false">IF(C185="","",IFERROR(INDEX(LOOKAHEAD!$B$5:$B$604,MATCH(C185,LOOKAHEAD!$A$5:$A$604,0)),""))</f>
        <v/>
      </c>
      <c r="E185" s="16" t="str">
        <f aca="false">IF(C185="","",IFERROR(INDEX(LOOKAHEAD!$E$5:$E$604,MATCH(C185,LOOKAHEAD!$A$5:$A$604,0)),""))</f>
        <v/>
      </c>
      <c r="F185" s="16" t="str">
        <f aca="false">IF(C185="","",IFERROR(INDEX(LOOKAHEAD!$M$5:$M$604,MATCH(C185,LOOKAHEAD!$A$5:$A$604,0)),""))</f>
        <v/>
      </c>
      <c r="G185" s="9"/>
      <c r="H185" s="9"/>
      <c r="I185" s="16" t="str">
        <f aca="false">IF(C185="","",IFERROR(INDEX(LOOKAHEAD!$G$5:$G$604,MATCH(C185,LOOKAHEAD!$A$5:$A$604,0)),""))</f>
        <v/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66" t="str">
        <f aca="false">IF(C185="","",SUM(J185:O185))</f>
        <v/>
      </c>
      <c r="W185" s="66" t="str">
        <f aca="false">IF(C185="","",SUM(P185:U185))</f>
        <v/>
      </c>
      <c r="X185" s="51" t="str">
        <f aca="false">IF(OR(C185="",V185=0),"",W185/V185)</f>
        <v/>
      </c>
      <c r="Y185" s="16" t="str">
        <f aca="false">IF(OR(C185="",V185=0),"",IF(W185&gt;=V185,"Sí","No"))</f>
        <v/>
      </c>
      <c r="Z185" s="9"/>
      <c r="AA185" s="9"/>
    </row>
    <row r="186" customFormat="false" ht="15" hidden="false" customHeight="false" outlineLevel="0" collapsed="false">
      <c r="A186" s="9"/>
      <c r="B186" s="9"/>
      <c r="C186" s="9"/>
      <c r="D186" s="16" t="str">
        <f aca="false">IF(C186="","",IFERROR(INDEX(LOOKAHEAD!$B$5:$B$604,MATCH(C186,LOOKAHEAD!$A$5:$A$604,0)),""))</f>
        <v/>
      </c>
      <c r="E186" s="16" t="str">
        <f aca="false">IF(C186="","",IFERROR(INDEX(LOOKAHEAD!$E$5:$E$604,MATCH(C186,LOOKAHEAD!$A$5:$A$604,0)),""))</f>
        <v/>
      </c>
      <c r="F186" s="16" t="str">
        <f aca="false">IF(C186="","",IFERROR(INDEX(LOOKAHEAD!$M$5:$M$604,MATCH(C186,LOOKAHEAD!$A$5:$A$604,0)),""))</f>
        <v/>
      </c>
      <c r="G186" s="9"/>
      <c r="H186" s="9"/>
      <c r="I186" s="16" t="str">
        <f aca="false">IF(C186="","",IFERROR(INDEX(LOOKAHEAD!$G$5:$G$604,MATCH(C186,LOOKAHEAD!$A$5:$A$604,0)),""))</f>
        <v/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66" t="str">
        <f aca="false">IF(C186="","",SUM(J186:O186))</f>
        <v/>
      </c>
      <c r="W186" s="66" t="str">
        <f aca="false">IF(C186="","",SUM(P186:U186))</f>
        <v/>
      </c>
      <c r="X186" s="51" t="str">
        <f aca="false">IF(OR(C186="",V186=0),"",W186/V186)</f>
        <v/>
      </c>
      <c r="Y186" s="16" t="str">
        <f aca="false">IF(OR(C186="",V186=0),"",IF(W186&gt;=V186,"Sí","No"))</f>
        <v/>
      </c>
      <c r="Z186" s="9"/>
      <c r="AA186" s="9"/>
    </row>
    <row r="187" customFormat="false" ht="15" hidden="false" customHeight="false" outlineLevel="0" collapsed="false">
      <c r="A187" s="9"/>
      <c r="B187" s="9"/>
      <c r="C187" s="9"/>
      <c r="D187" s="16" t="str">
        <f aca="false">IF(C187="","",IFERROR(INDEX(LOOKAHEAD!$B$5:$B$604,MATCH(C187,LOOKAHEAD!$A$5:$A$604,0)),""))</f>
        <v/>
      </c>
      <c r="E187" s="16" t="str">
        <f aca="false">IF(C187="","",IFERROR(INDEX(LOOKAHEAD!$E$5:$E$604,MATCH(C187,LOOKAHEAD!$A$5:$A$604,0)),""))</f>
        <v/>
      </c>
      <c r="F187" s="16" t="str">
        <f aca="false">IF(C187="","",IFERROR(INDEX(LOOKAHEAD!$M$5:$M$604,MATCH(C187,LOOKAHEAD!$A$5:$A$604,0)),""))</f>
        <v/>
      </c>
      <c r="G187" s="9"/>
      <c r="H187" s="9"/>
      <c r="I187" s="16" t="str">
        <f aca="false">IF(C187="","",IFERROR(INDEX(LOOKAHEAD!$G$5:$G$604,MATCH(C187,LOOKAHEAD!$A$5:$A$604,0)),""))</f>
        <v/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66" t="str">
        <f aca="false">IF(C187="","",SUM(J187:O187))</f>
        <v/>
      </c>
      <c r="W187" s="66" t="str">
        <f aca="false">IF(C187="","",SUM(P187:U187))</f>
        <v/>
      </c>
      <c r="X187" s="51" t="str">
        <f aca="false">IF(OR(C187="",V187=0),"",W187/V187)</f>
        <v/>
      </c>
      <c r="Y187" s="16" t="str">
        <f aca="false">IF(OR(C187="",V187=0),"",IF(W187&gt;=V187,"Sí","No"))</f>
        <v/>
      </c>
      <c r="Z187" s="9"/>
      <c r="AA187" s="9"/>
    </row>
    <row r="188" customFormat="false" ht="15" hidden="false" customHeight="false" outlineLevel="0" collapsed="false">
      <c r="A188" s="9"/>
      <c r="B188" s="9"/>
      <c r="C188" s="9"/>
      <c r="D188" s="16" t="str">
        <f aca="false">IF(C188="","",IFERROR(INDEX(LOOKAHEAD!$B$5:$B$604,MATCH(C188,LOOKAHEAD!$A$5:$A$604,0)),""))</f>
        <v/>
      </c>
      <c r="E188" s="16" t="str">
        <f aca="false">IF(C188="","",IFERROR(INDEX(LOOKAHEAD!$E$5:$E$604,MATCH(C188,LOOKAHEAD!$A$5:$A$604,0)),""))</f>
        <v/>
      </c>
      <c r="F188" s="16" t="str">
        <f aca="false">IF(C188="","",IFERROR(INDEX(LOOKAHEAD!$M$5:$M$604,MATCH(C188,LOOKAHEAD!$A$5:$A$604,0)),""))</f>
        <v/>
      </c>
      <c r="G188" s="9"/>
      <c r="H188" s="9"/>
      <c r="I188" s="16" t="str">
        <f aca="false">IF(C188="","",IFERROR(INDEX(LOOKAHEAD!$G$5:$G$604,MATCH(C188,LOOKAHEAD!$A$5:$A$604,0)),""))</f>
        <v/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66" t="str">
        <f aca="false">IF(C188="","",SUM(J188:O188))</f>
        <v/>
      </c>
      <c r="W188" s="66" t="str">
        <f aca="false">IF(C188="","",SUM(P188:U188))</f>
        <v/>
      </c>
      <c r="X188" s="51" t="str">
        <f aca="false">IF(OR(C188="",V188=0),"",W188/V188)</f>
        <v/>
      </c>
      <c r="Y188" s="16" t="str">
        <f aca="false">IF(OR(C188="",V188=0),"",IF(W188&gt;=V188,"Sí","No"))</f>
        <v/>
      </c>
      <c r="Z188" s="9"/>
      <c r="AA188" s="9"/>
    </row>
    <row r="189" customFormat="false" ht="15" hidden="false" customHeight="false" outlineLevel="0" collapsed="false">
      <c r="A189" s="9"/>
      <c r="B189" s="9"/>
      <c r="C189" s="9"/>
      <c r="D189" s="16" t="str">
        <f aca="false">IF(C189="","",IFERROR(INDEX(LOOKAHEAD!$B$5:$B$604,MATCH(C189,LOOKAHEAD!$A$5:$A$604,0)),""))</f>
        <v/>
      </c>
      <c r="E189" s="16" t="str">
        <f aca="false">IF(C189="","",IFERROR(INDEX(LOOKAHEAD!$E$5:$E$604,MATCH(C189,LOOKAHEAD!$A$5:$A$604,0)),""))</f>
        <v/>
      </c>
      <c r="F189" s="16" t="str">
        <f aca="false">IF(C189="","",IFERROR(INDEX(LOOKAHEAD!$M$5:$M$604,MATCH(C189,LOOKAHEAD!$A$5:$A$604,0)),""))</f>
        <v/>
      </c>
      <c r="G189" s="9"/>
      <c r="H189" s="9"/>
      <c r="I189" s="16" t="str">
        <f aca="false">IF(C189="","",IFERROR(INDEX(LOOKAHEAD!$G$5:$G$604,MATCH(C189,LOOKAHEAD!$A$5:$A$604,0)),""))</f>
        <v/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66" t="str">
        <f aca="false">IF(C189="","",SUM(J189:O189))</f>
        <v/>
      </c>
      <c r="W189" s="66" t="str">
        <f aca="false">IF(C189="","",SUM(P189:U189))</f>
        <v/>
      </c>
      <c r="X189" s="51" t="str">
        <f aca="false">IF(OR(C189="",V189=0),"",W189/V189)</f>
        <v/>
      </c>
      <c r="Y189" s="16" t="str">
        <f aca="false">IF(OR(C189="",V189=0),"",IF(W189&gt;=V189,"Sí","No"))</f>
        <v/>
      </c>
      <c r="Z189" s="9"/>
      <c r="AA189" s="9"/>
    </row>
    <row r="190" customFormat="false" ht="15" hidden="false" customHeight="false" outlineLevel="0" collapsed="false">
      <c r="A190" s="9"/>
      <c r="B190" s="9"/>
      <c r="C190" s="9"/>
      <c r="D190" s="16" t="str">
        <f aca="false">IF(C190="","",IFERROR(INDEX(LOOKAHEAD!$B$5:$B$604,MATCH(C190,LOOKAHEAD!$A$5:$A$604,0)),""))</f>
        <v/>
      </c>
      <c r="E190" s="16" t="str">
        <f aca="false">IF(C190="","",IFERROR(INDEX(LOOKAHEAD!$E$5:$E$604,MATCH(C190,LOOKAHEAD!$A$5:$A$604,0)),""))</f>
        <v/>
      </c>
      <c r="F190" s="16" t="str">
        <f aca="false">IF(C190="","",IFERROR(INDEX(LOOKAHEAD!$M$5:$M$604,MATCH(C190,LOOKAHEAD!$A$5:$A$604,0)),""))</f>
        <v/>
      </c>
      <c r="G190" s="9"/>
      <c r="H190" s="9"/>
      <c r="I190" s="16" t="str">
        <f aca="false">IF(C190="","",IFERROR(INDEX(LOOKAHEAD!$G$5:$G$604,MATCH(C190,LOOKAHEAD!$A$5:$A$604,0)),""))</f>
        <v/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66" t="str">
        <f aca="false">IF(C190="","",SUM(J190:O190))</f>
        <v/>
      </c>
      <c r="W190" s="66" t="str">
        <f aca="false">IF(C190="","",SUM(P190:U190))</f>
        <v/>
      </c>
      <c r="X190" s="51" t="str">
        <f aca="false">IF(OR(C190="",V190=0),"",W190/V190)</f>
        <v/>
      </c>
      <c r="Y190" s="16" t="str">
        <f aca="false">IF(OR(C190="",V190=0),"",IF(W190&gt;=V190,"Sí","No"))</f>
        <v/>
      </c>
      <c r="Z190" s="9"/>
      <c r="AA190" s="9"/>
    </row>
    <row r="191" customFormat="false" ht="15" hidden="false" customHeight="false" outlineLevel="0" collapsed="false">
      <c r="A191" s="9"/>
      <c r="B191" s="9"/>
      <c r="C191" s="9"/>
      <c r="D191" s="16" t="str">
        <f aca="false">IF(C191="","",IFERROR(INDEX(LOOKAHEAD!$B$5:$B$604,MATCH(C191,LOOKAHEAD!$A$5:$A$604,0)),""))</f>
        <v/>
      </c>
      <c r="E191" s="16" t="str">
        <f aca="false">IF(C191="","",IFERROR(INDEX(LOOKAHEAD!$E$5:$E$604,MATCH(C191,LOOKAHEAD!$A$5:$A$604,0)),""))</f>
        <v/>
      </c>
      <c r="F191" s="16" t="str">
        <f aca="false">IF(C191="","",IFERROR(INDEX(LOOKAHEAD!$M$5:$M$604,MATCH(C191,LOOKAHEAD!$A$5:$A$604,0)),""))</f>
        <v/>
      </c>
      <c r="G191" s="9"/>
      <c r="H191" s="9"/>
      <c r="I191" s="16" t="str">
        <f aca="false">IF(C191="","",IFERROR(INDEX(LOOKAHEAD!$G$5:$G$604,MATCH(C191,LOOKAHEAD!$A$5:$A$604,0)),""))</f>
        <v/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66" t="str">
        <f aca="false">IF(C191="","",SUM(J191:O191))</f>
        <v/>
      </c>
      <c r="W191" s="66" t="str">
        <f aca="false">IF(C191="","",SUM(P191:U191))</f>
        <v/>
      </c>
      <c r="X191" s="51" t="str">
        <f aca="false">IF(OR(C191="",V191=0),"",W191/V191)</f>
        <v/>
      </c>
      <c r="Y191" s="16" t="str">
        <f aca="false">IF(OR(C191="",V191=0),"",IF(W191&gt;=V191,"Sí","No"))</f>
        <v/>
      </c>
      <c r="Z191" s="9"/>
      <c r="AA191" s="9"/>
    </row>
    <row r="192" customFormat="false" ht="15" hidden="false" customHeight="false" outlineLevel="0" collapsed="false">
      <c r="A192" s="9"/>
      <c r="B192" s="9"/>
      <c r="C192" s="9"/>
      <c r="D192" s="16" t="str">
        <f aca="false">IF(C192="","",IFERROR(INDEX(LOOKAHEAD!$B$5:$B$604,MATCH(C192,LOOKAHEAD!$A$5:$A$604,0)),""))</f>
        <v/>
      </c>
      <c r="E192" s="16" t="str">
        <f aca="false">IF(C192="","",IFERROR(INDEX(LOOKAHEAD!$E$5:$E$604,MATCH(C192,LOOKAHEAD!$A$5:$A$604,0)),""))</f>
        <v/>
      </c>
      <c r="F192" s="16" t="str">
        <f aca="false">IF(C192="","",IFERROR(INDEX(LOOKAHEAD!$M$5:$M$604,MATCH(C192,LOOKAHEAD!$A$5:$A$604,0)),""))</f>
        <v/>
      </c>
      <c r="G192" s="9"/>
      <c r="H192" s="9"/>
      <c r="I192" s="16" t="str">
        <f aca="false">IF(C192="","",IFERROR(INDEX(LOOKAHEAD!$G$5:$G$604,MATCH(C192,LOOKAHEAD!$A$5:$A$604,0)),""))</f>
        <v/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66" t="str">
        <f aca="false">IF(C192="","",SUM(J192:O192))</f>
        <v/>
      </c>
      <c r="W192" s="66" t="str">
        <f aca="false">IF(C192="","",SUM(P192:U192))</f>
        <v/>
      </c>
      <c r="X192" s="51" t="str">
        <f aca="false">IF(OR(C192="",V192=0),"",W192/V192)</f>
        <v/>
      </c>
      <c r="Y192" s="16" t="str">
        <f aca="false">IF(OR(C192="",V192=0),"",IF(W192&gt;=V192,"Sí","No"))</f>
        <v/>
      </c>
      <c r="Z192" s="9"/>
      <c r="AA192" s="9"/>
    </row>
    <row r="193" customFormat="false" ht="15" hidden="false" customHeight="false" outlineLevel="0" collapsed="false">
      <c r="A193" s="9"/>
      <c r="B193" s="9"/>
      <c r="C193" s="9"/>
      <c r="D193" s="16" t="str">
        <f aca="false">IF(C193="","",IFERROR(INDEX(LOOKAHEAD!$B$5:$B$604,MATCH(C193,LOOKAHEAD!$A$5:$A$604,0)),""))</f>
        <v/>
      </c>
      <c r="E193" s="16" t="str">
        <f aca="false">IF(C193="","",IFERROR(INDEX(LOOKAHEAD!$E$5:$E$604,MATCH(C193,LOOKAHEAD!$A$5:$A$604,0)),""))</f>
        <v/>
      </c>
      <c r="F193" s="16" t="str">
        <f aca="false">IF(C193="","",IFERROR(INDEX(LOOKAHEAD!$M$5:$M$604,MATCH(C193,LOOKAHEAD!$A$5:$A$604,0)),""))</f>
        <v/>
      </c>
      <c r="G193" s="9"/>
      <c r="H193" s="9"/>
      <c r="I193" s="16" t="str">
        <f aca="false">IF(C193="","",IFERROR(INDEX(LOOKAHEAD!$G$5:$G$604,MATCH(C193,LOOKAHEAD!$A$5:$A$604,0)),""))</f>
        <v/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66" t="str">
        <f aca="false">IF(C193="","",SUM(J193:O193))</f>
        <v/>
      </c>
      <c r="W193" s="66" t="str">
        <f aca="false">IF(C193="","",SUM(P193:U193))</f>
        <v/>
      </c>
      <c r="X193" s="51" t="str">
        <f aca="false">IF(OR(C193="",V193=0),"",W193/V193)</f>
        <v/>
      </c>
      <c r="Y193" s="16" t="str">
        <f aca="false">IF(OR(C193="",V193=0),"",IF(W193&gt;=V193,"Sí","No"))</f>
        <v/>
      </c>
      <c r="Z193" s="9"/>
      <c r="AA193" s="9"/>
    </row>
    <row r="194" customFormat="false" ht="15" hidden="false" customHeight="false" outlineLevel="0" collapsed="false">
      <c r="A194" s="9"/>
      <c r="B194" s="9"/>
      <c r="C194" s="9"/>
      <c r="D194" s="16" t="str">
        <f aca="false">IF(C194="","",IFERROR(INDEX(LOOKAHEAD!$B$5:$B$604,MATCH(C194,LOOKAHEAD!$A$5:$A$604,0)),""))</f>
        <v/>
      </c>
      <c r="E194" s="16" t="str">
        <f aca="false">IF(C194="","",IFERROR(INDEX(LOOKAHEAD!$E$5:$E$604,MATCH(C194,LOOKAHEAD!$A$5:$A$604,0)),""))</f>
        <v/>
      </c>
      <c r="F194" s="16" t="str">
        <f aca="false">IF(C194="","",IFERROR(INDEX(LOOKAHEAD!$M$5:$M$604,MATCH(C194,LOOKAHEAD!$A$5:$A$604,0)),""))</f>
        <v/>
      </c>
      <c r="G194" s="9"/>
      <c r="H194" s="9"/>
      <c r="I194" s="16" t="str">
        <f aca="false">IF(C194="","",IFERROR(INDEX(LOOKAHEAD!$G$5:$G$604,MATCH(C194,LOOKAHEAD!$A$5:$A$604,0)),""))</f>
        <v/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66" t="str">
        <f aca="false">IF(C194="","",SUM(J194:O194))</f>
        <v/>
      </c>
      <c r="W194" s="66" t="str">
        <f aca="false">IF(C194="","",SUM(P194:U194))</f>
        <v/>
      </c>
      <c r="X194" s="51" t="str">
        <f aca="false">IF(OR(C194="",V194=0),"",W194/V194)</f>
        <v/>
      </c>
      <c r="Y194" s="16" t="str">
        <f aca="false">IF(OR(C194="",V194=0),"",IF(W194&gt;=V194,"Sí","No"))</f>
        <v/>
      </c>
      <c r="Z194" s="9"/>
      <c r="AA194" s="9"/>
    </row>
    <row r="195" customFormat="false" ht="15" hidden="false" customHeight="false" outlineLevel="0" collapsed="false">
      <c r="A195" s="9"/>
      <c r="B195" s="9"/>
      <c r="C195" s="9"/>
      <c r="D195" s="16" t="str">
        <f aca="false">IF(C195="","",IFERROR(INDEX(LOOKAHEAD!$B$5:$B$604,MATCH(C195,LOOKAHEAD!$A$5:$A$604,0)),""))</f>
        <v/>
      </c>
      <c r="E195" s="16" t="str">
        <f aca="false">IF(C195="","",IFERROR(INDEX(LOOKAHEAD!$E$5:$E$604,MATCH(C195,LOOKAHEAD!$A$5:$A$604,0)),""))</f>
        <v/>
      </c>
      <c r="F195" s="16" t="str">
        <f aca="false">IF(C195="","",IFERROR(INDEX(LOOKAHEAD!$M$5:$M$604,MATCH(C195,LOOKAHEAD!$A$5:$A$604,0)),""))</f>
        <v/>
      </c>
      <c r="G195" s="9"/>
      <c r="H195" s="9"/>
      <c r="I195" s="16" t="str">
        <f aca="false">IF(C195="","",IFERROR(INDEX(LOOKAHEAD!$G$5:$G$604,MATCH(C195,LOOKAHEAD!$A$5:$A$604,0)),""))</f>
        <v/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66" t="str">
        <f aca="false">IF(C195="","",SUM(J195:O195))</f>
        <v/>
      </c>
      <c r="W195" s="66" t="str">
        <f aca="false">IF(C195="","",SUM(P195:U195))</f>
        <v/>
      </c>
      <c r="X195" s="51" t="str">
        <f aca="false">IF(OR(C195="",V195=0),"",W195/V195)</f>
        <v/>
      </c>
      <c r="Y195" s="16" t="str">
        <f aca="false">IF(OR(C195="",V195=0),"",IF(W195&gt;=V195,"Sí","No"))</f>
        <v/>
      </c>
      <c r="Z195" s="9"/>
      <c r="AA195" s="9"/>
    </row>
    <row r="196" customFormat="false" ht="15" hidden="false" customHeight="false" outlineLevel="0" collapsed="false">
      <c r="A196" s="9"/>
      <c r="B196" s="9"/>
      <c r="C196" s="9"/>
      <c r="D196" s="16" t="str">
        <f aca="false">IF(C196="","",IFERROR(INDEX(LOOKAHEAD!$B$5:$B$604,MATCH(C196,LOOKAHEAD!$A$5:$A$604,0)),""))</f>
        <v/>
      </c>
      <c r="E196" s="16" t="str">
        <f aca="false">IF(C196="","",IFERROR(INDEX(LOOKAHEAD!$E$5:$E$604,MATCH(C196,LOOKAHEAD!$A$5:$A$604,0)),""))</f>
        <v/>
      </c>
      <c r="F196" s="16" t="str">
        <f aca="false">IF(C196="","",IFERROR(INDEX(LOOKAHEAD!$M$5:$M$604,MATCH(C196,LOOKAHEAD!$A$5:$A$604,0)),""))</f>
        <v/>
      </c>
      <c r="G196" s="9"/>
      <c r="H196" s="9"/>
      <c r="I196" s="16" t="str">
        <f aca="false">IF(C196="","",IFERROR(INDEX(LOOKAHEAD!$G$5:$G$604,MATCH(C196,LOOKAHEAD!$A$5:$A$604,0)),""))</f>
        <v/>
      </c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66" t="str">
        <f aca="false">IF(C196="","",SUM(J196:O196))</f>
        <v/>
      </c>
      <c r="W196" s="66" t="str">
        <f aca="false">IF(C196="","",SUM(P196:U196))</f>
        <v/>
      </c>
      <c r="X196" s="51" t="str">
        <f aca="false">IF(OR(C196="",V196=0),"",W196/V196)</f>
        <v/>
      </c>
      <c r="Y196" s="16" t="str">
        <f aca="false">IF(OR(C196="",V196=0),"",IF(W196&gt;=V196,"Sí","No"))</f>
        <v/>
      </c>
      <c r="Z196" s="9"/>
      <c r="AA196" s="9"/>
    </row>
    <row r="197" customFormat="false" ht="15" hidden="false" customHeight="false" outlineLevel="0" collapsed="false">
      <c r="A197" s="9"/>
      <c r="B197" s="9"/>
      <c r="C197" s="9"/>
      <c r="D197" s="16" t="str">
        <f aca="false">IF(C197="","",IFERROR(INDEX(LOOKAHEAD!$B$5:$B$604,MATCH(C197,LOOKAHEAD!$A$5:$A$604,0)),""))</f>
        <v/>
      </c>
      <c r="E197" s="16" t="str">
        <f aca="false">IF(C197="","",IFERROR(INDEX(LOOKAHEAD!$E$5:$E$604,MATCH(C197,LOOKAHEAD!$A$5:$A$604,0)),""))</f>
        <v/>
      </c>
      <c r="F197" s="16" t="str">
        <f aca="false">IF(C197="","",IFERROR(INDEX(LOOKAHEAD!$M$5:$M$604,MATCH(C197,LOOKAHEAD!$A$5:$A$604,0)),""))</f>
        <v/>
      </c>
      <c r="G197" s="9"/>
      <c r="H197" s="9"/>
      <c r="I197" s="16" t="str">
        <f aca="false">IF(C197="","",IFERROR(INDEX(LOOKAHEAD!$G$5:$G$604,MATCH(C197,LOOKAHEAD!$A$5:$A$604,0)),""))</f>
        <v/>
      </c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66" t="str">
        <f aca="false">IF(C197="","",SUM(J197:O197))</f>
        <v/>
      </c>
      <c r="W197" s="66" t="str">
        <f aca="false">IF(C197="","",SUM(P197:U197))</f>
        <v/>
      </c>
      <c r="X197" s="51" t="str">
        <f aca="false">IF(OR(C197="",V197=0),"",W197/V197)</f>
        <v/>
      </c>
      <c r="Y197" s="16" t="str">
        <f aca="false">IF(OR(C197="",V197=0),"",IF(W197&gt;=V197,"Sí","No"))</f>
        <v/>
      </c>
      <c r="Z197" s="9"/>
      <c r="AA197" s="9"/>
    </row>
    <row r="198" customFormat="false" ht="15" hidden="false" customHeight="false" outlineLevel="0" collapsed="false">
      <c r="A198" s="9"/>
      <c r="B198" s="9"/>
      <c r="C198" s="9"/>
      <c r="D198" s="16" t="str">
        <f aca="false">IF(C198="","",IFERROR(INDEX(LOOKAHEAD!$B$5:$B$604,MATCH(C198,LOOKAHEAD!$A$5:$A$604,0)),""))</f>
        <v/>
      </c>
      <c r="E198" s="16" t="str">
        <f aca="false">IF(C198="","",IFERROR(INDEX(LOOKAHEAD!$E$5:$E$604,MATCH(C198,LOOKAHEAD!$A$5:$A$604,0)),""))</f>
        <v/>
      </c>
      <c r="F198" s="16" t="str">
        <f aca="false">IF(C198="","",IFERROR(INDEX(LOOKAHEAD!$M$5:$M$604,MATCH(C198,LOOKAHEAD!$A$5:$A$604,0)),""))</f>
        <v/>
      </c>
      <c r="G198" s="9"/>
      <c r="H198" s="9"/>
      <c r="I198" s="16" t="str">
        <f aca="false">IF(C198="","",IFERROR(INDEX(LOOKAHEAD!$G$5:$G$604,MATCH(C198,LOOKAHEAD!$A$5:$A$604,0)),""))</f>
        <v/>
      </c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66" t="str">
        <f aca="false">IF(C198="","",SUM(J198:O198))</f>
        <v/>
      </c>
      <c r="W198" s="66" t="str">
        <f aca="false">IF(C198="","",SUM(P198:U198))</f>
        <v/>
      </c>
      <c r="X198" s="51" t="str">
        <f aca="false">IF(OR(C198="",V198=0),"",W198/V198)</f>
        <v/>
      </c>
      <c r="Y198" s="16" t="str">
        <f aca="false">IF(OR(C198="",V198=0),"",IF(W198&gt;=V198,"Sí","No"))</f>
        <v/>
      </c>
      <c r="Z198" s="9"/>
      <c r="AA198" s="9"/>
    </row>
    <row r="199" customFormat="false" ht="15" hidden="false" customHeight="false" outlineLevel="0" collapsed="false">
      <c r="A199" s="9"/>
      <c r="B199" s="9"/>
      <c r="C199" s="9"/>
      <c r="D199" s="16" t="str">
        <f aca="false">IF(C199="","",IFERROR(INDEX(LOOKAHEAD!$B$5:$B$604,MATCH(C199,LOOKAHEAD!$A$5:$A$604,0)),""))</f>
        <v/>
      </c>
      <c r="E199" s="16" t="str">
        <f aca="false">IF(C199="","",IFERROR(INDEX(LOOKAHEAD!$E$5:$E$604,MATCH(C199,LOOKAHEAD!$A$5:$A$604,0)),""))</f>
        <v/>
      </c>
      <c r="F199" s="16" t="str">
        <f aca="false">IF(C199="","",IFERROR(INDEX(LOOKAHEAD!$M$5:$M$604,MATCH(C199,LOOKAHEAD!$A$5:$A$604,0)),""))</f>
        <v/>
      </c>
      <c r="G199" s="9"/>
      <c r="H199" s="9"/>
      <c r="I199" s="16" t="str">
        <f aca="false">IF(C199="","",IFERROR(INDEX(LOOKAHEAD!$G$5:$G$604,MATCH(C199,LOOKAHEAD!$A$5:$A$604,0)),""))</f>
        <v/>
      </c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66" t="str">
        <f aca="false">IF(C199="","",SUM(J199:O199))</f>
        <v/>
      </c>
      <c r="W199" s="66" t="str">
        <f aca="false">IF(C199="","",SUM(P199:U199))</f>
        <v/>
      </c>
      <c r="X199" s="51" t="str">
        <f aca="false">IF(OR(C199="",V199=0),"",W199/V199)</f>
        <v/>
      </c>
      <c r="Y199" s="16" t="str">
        <f aca="false">IF(OR(C199="",V199=0),"",IF(W199&gt;=V199,"Sí","No"))</f>
        <v/>
      </c>
      <c r="Z199" s="9"/>
      <c r="AA199" s="9"/>
    </row>
    <row r="200" customFormat="false" ht="15" hidden="false" customHeight="false" outlineLevel="0" collapsed="false">
      <c r="A200" s="9"/>
      <c r="B200" s="9"/>
      <c r="C200" s="9"/>
      <c r="D200" s="16" t="str">
        <f aca="false">IF(C200="","",IFERROR(INDEX(LOOKAHEAD!$B$5:$B$604,MATCH(C200,LOOKAHEAD!$A$5:$A$604,0)),""))</f>
        <v/>
      </c>
      <c r="E200" s="16" t="str">
        <f aca="false">IF(C200="","",IFERROR(INDEX(LOOKAHEAD!$E$5:$E$604,MATCH(C200,LOOKAHEAD!$A$5:$A$604,0)),""))</f>
        <v/>
      </c>
      <c r="F200" s="16" t="str">
        <f aca="false">IF(C200="","",IFERROR(INDEX(LOOKAHEAD!$M$5:$M$604,MATCH(C200,LOOKAHEAD!$A$5:$A$604,0)),""))</f>
        <v/>
      </c>
      <c r="G200" s="9"/>
      <c r="H200" s="9"/>
      <c r="I200" s="16" t="str">
        <f aca="false">IF(C200="","",IFERROR(INDEX(LOOKAHEAD!$G$5:$G$604,MATCH(C200,LOOKAHEAD!$A$5:$A$604,0)),""))</f>
        <v/>
      </c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66" t="str">
        <f aca="false">IF(C200="","",SUM(J200:O200))</f>
        <v/>
      </c>
      <c r="W200" s="66" t="str">
        <f aca="false">IF(C200="","",SUM(P200:U200))</f>
        <v/>
      </c>
      <c r="X200" s="51" t="str">
        <f aca="false">IF(OR(C200="",V200=0),"",W200/V200)</f>
        <v/>
      </c>
      <c r="Y200" s="16" t="str">
        <f aca="false">IF(OR(C200="",V200=0),"",IF(W200&gt;=V200,"Sí","No"))</f>
        <v/>
      </c>
      <c r="Z200" s="9"/>
      <c r="AA200" s="9"/>
    </row>
    <row r="201" customFormat="false" ht="15" hidden="false" customHeight="false" outlineLevel="0" collapsed="false">
      <c r="A201" s="9"/>
      <c r="B201" s="9"/>
      <c r="C201" s="9"/>
      <c r="D201" s="16" t="str">
        <f aca="false">IF(C201="","",IFERROR(INDEX(LOOKAHEAD!$B$5:$B$604,MATCH(C201,LOOKAHEAD!$A$5:$A$604,0)),""))</f>
        <v/>
      </c>
      <c r="E201" s="16" t="str">
        <f aca="false">IF(C201="","",IFERROR(INDEX(LOOKAHEAD!$E$5:$E$604,MATCH(C201,LOOKAHEAD!$A$5:$A$604,0)),""))</f>
        <v/>
      </c>
      <c r="F201" s="16" t="str">
        <f aca="false">IF(C201="","",IFERROR(INDEX(LOOKAHEAD!$M$5:$M$604,MATCH(C201,LOOKAHEAD!$A$5:$A$604,0)),""))</f>
        <v/>
      </c>
      <c r="G201" s="9"/>
      <c r="H201" s="9"/>
      <c r="I201" s="16" t="str">
        <f aca="false">IF(C201="","",IFERROR(INDEX(LOOKAHEAD!$G$5:$G$604,MATCH(C201,LOOKAHEAD!$A$5:$A$604,0)),""))</f>
        <v/>
      </c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66" t="str">
        <f aca="false">IF(C201="","",SUM(J201:O201))</f>
        <v/>
      </c>
      <c r="W201" s="66" t="str">
        <f aca="false">IF(C201="","",SUM(P201:U201))</f>
        <v/>
      </c>
      <c r="X201" s="51" t="str">
        <f aca="false">IF(OR(C201="",V201=0),"",W201/V201)</f>
        <v/>
      </c>
      <c r="Y201" s="16" t="str">
        <f aca="false">IF(OR(C201="",V201=0),"",IF(W201&gt;=V201,"Sí","No"))</f>
        <v/>
      </c>
      <c r="Z201" s="9"/>
      <c r="AA201" s="9"/>
    </row>
    <row r="202" customFormat="false" ht="15" hidden="false" customHeight="false" outlineLevel="0" collapsed="false">
      <c r="A202" s="9"/>
      <c r="B202" s="9"/>
      <c r="C202" s="9"/>
      <c r="D202" s="16" t="str">
        <f aca="false">IF(C202="","",IFERROR(INDEX(LOOKAHEAD!$B$5:$B$604,MATCH(C202,LOOKAHEAD!$A$5:$A$604,0)),""))</f>
        <v/>
      </c>
      <c r="E202" s="16" t="str">
        <f aca="false">IF(C202="","",IFERROR(INDEX(LOOKAHEAD!$E$5:$E$604,MATCH(C202,LOOKAHEAD!$A$5:$A$604,0)),""))</f>
        <v/>
      </c>
      <c r="F202" s="16" t="str">
        <f aca="false">IF(C202="","",IFERROR(INDEX(LOOKAHEAD!$M$5:$M$604,MATCH(C202,LOOKAHEAD!$A$5:$A$604,0)),""))</f>
        <v/>
      </c>
      <c r="G202" s="9"/>
      <c r="H202" s="9"/>
      <c r="I202" s="16" t="str">
        <f aca="false">IF(C202="","",IFERROR(INDEX(LOOKAHEAD!$G$5:$G$604,MATCH(C202,LOOKAHEAD!$A$5:$A$604,0)),""))</f>
        <v/>
      </c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66" t="str">
        <f aca="false">IF(C202="","",SUM(J202:O202))</f>
        <v/>
      </c>
      <c r="W202" s="66" t="str">
        <f aca="false">IF(C202="","",SUM(P202:U202))</f>
        <v/>
      </c>
      <c r="X202" s="51" t="str">
        <f aca="false">IF(OR(C202="",V202=0),"",W202/V202)</f>
        <v/>
      </c>
      <c r="Y202" s="16" t="str">
        <f aca="false">IF(OR(C202="",V202=0),"",IF(W202&gt;=V202,"Sí","No"))</f>
        <v/>
      </c>
      <c r="Z202" s="9"/>
      <c r="AA202" s="9"/>
    </row>
    <row r="203" customFormat="false" ht="15" hidden="false" customHeight="false" outlineLevel="0" collapsed="false">
      <c r="A203" s="9"/>
      <c r="B203" s="9"/>
      <c r="C203" s="9"/>
      <c r="D203" s="16" t="str">
        <f aca="false">IF(C203="","",IFERROR(INDEX(LOOKAHEAD!$B$5:$B$604,MATCH(C203,LOOKAHEAD!$A$5:$A$604,0)),""))</f>
        <v/>
      </c>
      <c r="E203" s="16" t="str">
        <f aca="false">IF(C203="","",IFERROR(INDEX(LOOKAHEAD!$E$5:$E$604,MATCH(C203,LOOKAHEAD!$A$5:$A$604,0)),""))</f>
        <v/>
      </c>
      <c r="F203" s="16" t="str">
        <f aca="false">IF(C203="","",IFERROR(INDEX(LOOKAHEAD!$M$5:$M$604,MATCH(C203,LOOKAHEAD!$A$5:$A$604,0)),""))</f>
        <v/>
      </c>
      <c r="G203" s="9"/>
      <c r="H203" s="9"/>
      <c r="I203" s="16" t="str">
        <f aca="false">IF(C203="","",IFERROR(INDEX(LOOKAHEAD!$G$5:$G$604,MATCH(C203,LOOKAHEAD!$A$5:$A$604,0)),""))</f>
        <v/>
      </c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66" t="str">
        <f aca="false">IF(C203="","",SUM(J203:O203))</f>
        <v/>
      </c>
      <c r="W203" s="66" t="str">
        <f aca="false">IF(C203="","",SUM(P203:U203))</f>
        <v/>
      </c>
      <c r="X203" s="51" t="str">
        <f aca="false">IF(OR(C203="",V203=0),"",W203/V203)</f>
        <v/>
      </c>
      <c r="Y203" s="16" t="str">
        <f aca="false">IF(OR(C203="",V203=0),"",IF(W203&gt;=V203,"Sí","No"))</f>
        <v/>
      </c>
      <c r="Z203" s="9"/>
      <c r="AA203" s="9"/>
    </row>
    <row r="204" customFormat="false" ht="15" hidden="false" customHeight="false" outlineLevel="0" collapsed="false">
      <c r="A204" s="9"/>
      <c r="B204" s="9"/>
      <c r="C204" s="9"/>
      <c r="D204" s="16" t="str">
        <f aca="false">IF(C204="","",IFERROR(INDEX(LOOKAHEAD!$B$5:$B$604,MATCH(C204,LOOKAHEAD!$A$5:$A$604,0)),""))</f>
        <v/>
      </c>
      <c r="E204" s="16" t="str">
        <f aca="false">IF(C204="","",IFERROR(INDEX(LOOKAHEAD!$E$5:$E$604,MATCH(C204,LOOKAHEAD!$A$5:$A$604,0)),""))</f>
        <v/>
      </c>
      <c r="F204" s="16" t="str">
        <f aca="false">IF(C204="","",IFERROR(INDEX(LOOKAHEAD!$M$5:$M$604,MATCH(C204,LOOKAHEAD!$A$5:$A$604,0)),""))</f>
        <v/>
      </c>
      <c r="G204" s="9"/>
      <c r="H204" s="9"/>
      <c r="I204" s="16" t="str">
        <f aca="false">IF(C204="","",IFERROR(INDEX(LOOKAHEAD!$G$5:$G$604,MATCH(C204,LOOKAHEAD!$A$5:$A$604,0)),""))</f>
        <v/>
      </c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66" t="str">
        <f aca="false">IF(C204="","",SUM(J204:O204))</f>
        <v/>
      </c>
      <c r="W204" s="66" t="str">
        <f aca="false">IF(C204="","",SUM(P204:U204))</f>
        <v/>
      </c>
      <c r="X204" s="51" t="str">
        <f aca="false">IF(OR(C204="",V204=0),"",W204/V204)</f>
        <v/>
      </c>
      <c r="Y204" s="16" t="str">
        <f aca="false">IF(OR(C204="",V204=0),"",IF(W204&gt;=V204,"Sí","No"))</f>
        <v/>
      </c>
      <c r="Z204" s="9"/>
      <c r="AA204" s="9"/>
    </row>
    <row r="205" customFormat="false" ht="15" hidden="false" customHeight="false" outlineLevel="0" collapsed="false">
      <c r="A205" s="9"/>
      <c r="B205" s="9"/>
      <c r="C205" s="9"/>
      <c r="D205" s="16" t="str">
        <f aca="false">IF(C205="","",IFERROR(INDEX(LOOKAHEAD!$B$5:$B$604,MATCH(C205,LOOKAHEAD!$A$5:$A$604,0)),""))</f>
        <v/>
      </c>
      <c r="E205" s="16" t="str">
        <f aca="false">IF(C205="","",IFERROR(INDEX(LOOKAHEAD!$E$5:$E$604,MATCH(C205,LOOKAHEAD!$A$5:$A$604,0)),""))</f>
        <v/>
      </c>
      <c r="F205" s="16" t="str">
        <f aca="false">IF(C205="","",IFERROR(INDEX(LOOKAHEAD!$M$5:$M$604,MATCH(C205,LOOKAHEAD!$A$5:$A$604,0)),""))</f>
        <v/>
      </c>
      <c r="G205" s="9"/>
      <c r="H205" s="9"/>
      <c r="I205" s="16" t="str">
        <f aca="false">IF(C205="","",IFERROR(INDEX(LOOKAHEAD!$G$5:$G$604,MATCH(C205,LOOKAHEAD!$A$5:$A$604,0)),""))</f>
        <v/>
      </c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66" t="str">
        <f aca="false">IF(C205="","",SUM(J205:O205))</f>
        <v/>
      </c>
      <c r="W205" s="66" t="str">
        <f aca="false">IF(C205="","",SUM(P205:U205))</f>
        <v/>
      </c>
      <c r="X205" s="51" t="str">
        <f aca="false">IF(OR(C205="",V205=0),"",W205/V205)</f>
        <v/>
      </c>
      <c r="Y205" s="16" t="str">
        <f aca="false">IF(OR(C205="",V205=0),"",IF(W205&gt;=V205,"Sí","No"))</f>
        <v/>
      </c>
      <c r="Z205" s="9"/>
      <c r="AA205" s="9"/>
    </row>
    <row r="206" customFormat="false" ht="15" hidden="false" customHeight="false" outlineLevel="0" collapsed="false">
      <c r="A206" s="9"/>
      <c r="B206" s="9"/>
      <c r="C206" s="9"/>
      <c r="D206" s="16" t="str">
        <f aca="false">IF(C206="","",IFERROR(INDEX(LOOKAHEAD!$B$5:$B$604,MATCH(C206,LOOKAHEAD!$A$5:$A$604,0)),""))</f>
        <v/>
      </c>
      <c r="E206" s="16" t="str">
        <f aca="false">IF(C206="","",IFERROR(INDEX(LOOKAHEAD!$E$5:$E$604,MATCH(C206,LOOKAHEAD!$A$5:$A$604,0)),""))</f>
        <v/>
      </c>
      <c r="F206" s="16" t="str">
        <f aca="false">IF(C206="","",IFERROR(INDEX(LOOKAHEAD!$M$5:$M$604,MATCH(C206,LOOKAHEAD!$A$5:$A$604,0)),""))</f>
        <v/>
      </c>
      <c r="G206" s="9"/>
      <c r="H206" s="9"/>
      <c r="I206" s="16" t="str">
        <f aca="false">IF(C206="","",IFERROR(INDEX(LOOKAHEAD!$G$5:$G$604,MATCH(C206,LOOKAHEAD!$A$5:$A$604,0)),""))</f>
        <v/>
      </c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66" t="str">
        <f aca="false">IF(C206="","",SUM(J206:O206))</f>
        <v/>
      </c>
      <c r="W206" s="66" t="str">
        <f aca="false">IF(C206="","",SUM(P206:U206))</f>
        <v/>
      </c>
      <c r="X206" s="51" t="str">
        <f aca="false">IF(OR(C206="",V206=0),"",W206/V206)</f>
        <v/>
      </c>
      <c r="Y206" s="16" t="str">
        <f aca="false">IF(OR(C206="",V206=0),"",IF(W206&gt;=V206,"Sí","No"))</f>
        <v/>
      </c>
      <c r="Z206" s="9"/>
      <c r="AA206" s="9"/>
    </row>
    <row r="207" customFormat="false" ht="15" hidden="false" customHeight="false" outlineLevel="0" collapsed="false">
      <c r="A207" s="9"/>
      <c r="B207" s="9"/>
      <c r="C207" s="9"/>
      <c r="D207" s="16" t="str">
        <f aca="false">IF(C207="","",IFERROR(INDEX(LOOKAHEAD!$B$5:$B$604,MATCH(C207,LOOKAHEAD!$A$5:$A$604,0)),""))</f>
        <v/>
      </c>
      <c r="E207" s="16" t="str">
        <f aca="false">IF(C207="","",IFERROR(INDEX(LOOKAHEAD!$E$5:$E$604,MATCH(C207,LOOKAHEAD!$A$5:$A$604,0)),""))</f>
        <v/>
      </c>
      <c r="F207" s="16" t="str">
        <f aca="false">IF(C207="","",IFERROR(INDEX(LOOKAHEAD!$M$5:$M$604,MATCH(C207,LOOKAHEAD!$A$5:$A$604,0)),""))</f>
        <v/>
      </c>
      <c r="G207" s="9"/>
      <c r="H207" s="9"/>
      <c r="I207" s="16" t="str">
        <f aca="false">IF(C207="","",IFERROR(INDEX(LOOKAHEAD!$G$5:$G$604,MATCH(C207,LOOKAHEAD!$A$5:$A$604,0)),""))</f>
        <v/>
      </c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66" t="str">
        <f aca="false">IF(C207="","",SUM(J207:O207))</f>
        <v/>
      </c>
      <c r="W207" s="66" t="str">
        <f aca="false">IF(C207="","",SUM(P207:U207))</f>
        <v/>
      </c>
      <c r="X207" s="51" t="str">
        <f aca="false">IF(OR(C207="",V207=0),"",W207/V207)</f>
        <v/>
      </c>
      <c r="Y207" s="16" t="str">
        <f aca="false">IF(OR(C207="",V207=0),"",IF(W207&gt;=V207,"Sí","No"))</f>
        <v/>
      </c>
      <c r="Z207" s="9"/>
      <c r="AA207" s="9"/>
    </row>
    <row r="208" customFormat="false" ht="15" hidden="false" customHeight="false" outlineLevel="0" collapsed="false">
      <c r="A208" s="9"/>
      <c r="B208" s="9"/>
      <c r="C208" s="9"/>
      <c r="D208" s="16" t="str">
        <f aca="false">IF(C208="","",IFERROR(INDEX(LOOKAHEAD!$B$5:$B$604,MATCH(C208,LOOKAHEAD!$A$5:$A$604,0)),""))</f>
        <v/>
      </c>
      <c r="E208" s="16" t="str">
        <f aca="false">IF(C208="","",IFERROR(INDEX(LOOKAHEAD!$E$5:$E$604,MATCH(C208,LOOKAHEAD!$A$5:$A$604,0)),""))</f>
        <v/>
      </c>
      <c r="F208" s="16" t="str">
        <f aca="false">IF(C208="","",IFERROR(INDEX(LOOKAHEAD!$M$5:$M$604,MATCH(C208,LOOKAHEAD!$A$5:$A$604,0)),""))</f>
        <v/>
      </c>
      <c r="G208" s="9"/>
      <c r="H208" s="9"/>
      <c r="I208" s="16" t="str">
        <f aca="false">IF(C208="","",IFERROR(INDEX(LOOKAHEAD!$G$5:$G$604,MATCH(C208,LOOKAHEAD!$A$5:$A$604,0)),""))</f>
        <v/>
      </c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66" t="str">
        <f aca="false">IF(C208="","",SUM(J208:O208))</f>
        <v/>
      </c>
      <c r="W208" s="66" t="str">
        <f aca="false">IF(C208="","",SUM(P208:U208))</f>
        <v/>
      </c>
      <c r="X208" s="51" t="str">
        <f aca="false">IF(OR(C208="",V208=0),"",W208/V208)</f>
        <v/>
      </c>
      <c r="Y208" s="16" t="str">
        <f aca="false">IF(OR(C208="",V208=0),"",IF(W208&gt;=V208,"Sí","No"))</f>
        <v/>
      </c>
      <c r="Z208" s="9"/>
      <c r="AA208" s="9"/>
    </row>
    <row r="209" customFormat="false" ht="15" hidden="false" customHeight="false" outlineLevel="0" collapsed="false">
      <c r="A209" s="9"/>
      <c r="B209" s="9"/>
      <c r="C209" s="9"/>
      <c r="D209" s="16" t="str">
        <f aca="false">IF(C209="","",IFERROR(INDEX(LOOKAHEAD!$B$5:$B$604,MATCH(C209,LOOKAHEAD!$A$5:$A$604,0)),""))</f>
        <v/>
      </c>
      <c r="E209" s="16" t="str">
        <f aca="false">IF(C209="","",IFERROR(INDEX(LOOKAHEAD!$E$5:$E$604,MATCH(C209,LOOKAHEAD!$A$5:$A$604,0)),""))</f>
        <v/>
      </c>
      <c r="F209" s="16" t="str">
        <f aca="false">IF(C209="","",IFERROR(INDEX(LOOKAHEAD!$M$5:$M$604,MATCH(C209,LOOKAHEAD!$A$5:$A$604,0)),""))</f>
        <v/>
      </c>
      <c r="G209" s="9"/>
      <c r="H209" s="9"/>
      <c r="I209" s="16" t="str">
        <f aca="false">IF(C209="","",IFERROR(INDEX(LOOKAHEAD!$G$5:$G$604,MATCH(C209,LOOKAHEAD!$A$5:$A$604,0)),""))</f>
        <v/>
      </c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66" t="str">
        <f aca="false">IF(C209="","",SUM(J209:O209))</f>
        <v/>
      </c>
      <c r="W209" s="66" t="str">
        <f aca="false">IF(C209="","",SUM(P209:U209))</f>
        <v/>
      </c>
      <c r="X209" s="51" t="str">
        <f aca="false">IF(OR(C209="",V209=0),"",W209/V209)</f>
        <v/>
      </c>
      <c r="Y209" s="16" t="str">
        <f aca="false">IF(OR(C209="",V209=0),"",IF(W209&gt;=V209,"Sí","No"))</f>
        <v/>
      </c>
      <c r="Z209" s="9"/>
      <c r="AA209" s="9"/>
    </row>
    <row r="210" customFormat="false" ht="15" hidden="false" customHeight="false" outlineLevel="0" collapsed="false">
      <c r="A210" s="9"/>
      <c r="B210" s="9"/>
      <c r="C210" s="9"/>
      <c r="D210" s="16" t="str">
        <f aca="false">IF(C210="","",IFERROR(INDEX(LOOKAHEAD!$B$5:$B$604,MATCH(C210,LOOKAHEAD!$A$5:$A$604,0)),""))</f>
        <v/>
      </c>
      <c r="E210" s="16" t="str">
        <f aca="false">IF(C210="","",IFERROR(INDEX(LOOKAHEAD!$E$5:$E$604,MATCH(C210,LOOKAHEAD!$A$5:$A$604,0)),""))</f>
        <v/>
      </c>
      <c r="F210" s="16" t="str">
        <f aca="false">IF(C210="","",IFERROR(INDEX(LOOKAHEAD!$M$5:$M$604,MATCH(C210,LOOKAHEAD!$A$5:$A$604,0)),""))</f>
        <v/>
      </c>
      <c r="G210" s="9"/>
      <c r="H210" s="9"/>
      <c r="I210" s="16" t="str">
        <f aca="false">IF(C210="","",IFERROR(INDEX(LOOKAHEAD!$G$5:$G$604,MATCH(C210,LOOKAHEAD!$A$5:$A$604,0)),""))</f>
        <v/>
      </c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66" t="str">
        <f aca="false">IF(C210="","",SUM(J210:O210))</f>
        <v/>
      </c>
      <c r="W210" s="66" t="str">
        <f aca="false">IF(C210="","",SUM(P210:U210))</f>
        <v/>
      </c>
      <c r="X210" s="51" t="str">
        <f aca="false">IF(OR(C210="",V210=0),"",W210/V210)</f>
        <v/>
      </c>
      <c r="Y210" s="16" t="str">
        <f aca="false">IF(OR(C210="",V210=0),"",IF(W210&gt;=V210,"Sí","No"))</f>
        <v/>
      </c>
      <c r="Z210" s="9"/>
      <c r="AA210" s="9"/>
    </row>
    <row r="211" customFormat="false" ht="15" hidden="false" customHeight="false" outlineLevel="0" collapsed="false">
      <c r="A211" s="9"/>
      <c r="B211" s="9"/>
      <c r="C211" s="9"/>
      <c r="D211" s="16" t="str">
        <f aca="false">IF(C211="","",IFERROR(INDEX(LOOKAHEAD!$B$5:$B$604,MATCH(C211,LOOKAHEAD!$A$5:$A$604,0)),""))</f>
        <v/>
      </c>
      <c r="E211" s="16" t="str">
        <f aca="false">IF(C211="","",IFERROR(INDEX(LOOKAHEAD!$E$5:$E$604,MATCH(C211,LOOKAHEAD!$A$5:$A$604,0)),""))</f>
        <v/>
      </c>
      <c r="F211" s="16" t="str">
        <f aca="false">IF(C211="","",IFERROR(INDEX(LOOKAHEAD!$M$5:$M$604,MATCH(C211,LOOKAHEAD!$A$5:$A$604,0)),""))</f>
        <v/>
      </c>
      <c r="G211" s="9"/>
      <c r="H211" s="9"/>
      <c r="I211" s="16" t="str">
        <f aca="false">IF(C211="","",IFERROR(INDEX(LOOKAHEAD!$G$5:$G$604,MATCH(C211,LOOKAHEAD!$A$5:$A$604,0)),""))</f>
        <v/>
      </c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66" t="str">
        <f aca="false">IF(C211="","",SUM(J211:O211))</f>
        <v/>
      </c>
      <c r="W211" s="66" t="str">
        <f aca="false">IF(C211="","",SUM(P211:U211))</f>
        <v/>
      </c>
      <c r="X211" s="51" t="str">
        <f aca="false">IF(OR(C211="",V211=0),"",W211/V211)</f>
        <v/>
      </c>
      <c r="Y211" s="16" t="str">
        <f aca="false">IF(OR(C211="",V211=0),"",IF(W211&gt;=V211,"Sí","No"))</f>
        <v/>
      </c>
      <c r="Z211" s="9"/>
      <c r="AA211" s="9"/>
    </row>
    <row r="212" customFormat="false" ht="15" hidden="false" customHeight="false" outlineLevel="0" collapsed="false">
      <c r="A212" s="9"/>
      <c r="B212" s="9"/>
      <c r="C212" s="9"/>
      <c r="D212" s="16" t="str">
        <f aca="false">IF(C212="","",IFERROR(INDEX(LOOKAHEAD!$B$5:$B$604,MATCH(C212,LOOKAHEAD!$A$5:$A$604,0)),""))</f>
        <v/>
      </c>
      <c r="E212" s="16" t="str">
        <f aca="false">IF(C212="","",IFERROR(INDEX(LOOKAHEAD!$E$5:$E$604,MATCH(C212,LOOKAHEAD!$A$5:$A$604,0)),""))</f>
        <v/>
      </c>
      <c r="F212" s="16" t="str">
        <f aca="false">IF(C212="","",IFERROR(INDEX(LOOKAHEAD!$M$5:$M$604,MATCH(C212,LOOKAHEAD!$A$5:$A$604,0)),""))</f>
        <v/>
      </c>
      <c r="G212" s="9"/>
      <c r="H212" s="9"/>
      <c r="I212" s="16" t="str">
        <f aca="false">IF(C212="","",IFERROR(INDEX(LOOKAHEAD!$G$5:$G$604,MATCH(C212,LOOKAHEAD!$A$5:$A$604,0)),""))</f>
        <v/>
      </c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66" t="str">
        <f aca="false">IF(C212="","",SUM(J212:O212))</f>
        <v/>
      </c>
      <c r="W212" s="66" t="str">
        <f aca="false">IF(C212="","",SUM(P212:U212))</f>
        <v/>
      </c>
      <c r="X212" s="51" t="str">
        <f aca="false">IF(OR(C212="",V212=0),"",W212/V212)</f>
        <v/>
      </c>
      <c r="Y212" s="16" t="str">
        <f aca="false">IF(OR(C212="",V212=0),"",IF(W212&gt;=V212,"Sí","No"))</f>
        <v/>
      </c>
      <c r="Z212" s="9"/>
      <c r="AA212" s="9"/>
    </row>
    <row r="213" customFormat="false" ht="15" hidden="false" customHeight="false" outlineLevel="0" collapsed="false">
      <c r="A213" s="9"/>
      <c r="B213" s="9"/>
      <c r="C213" s="9"/>
      <c r="D213" s="16" t="str">
        <f aca="false">IF(C213="","",IFERROR(INDEX(LOOKAHEAD!$B$5:$B$604,MATCH(C213,LOOKAHEAD!$A$5:$A$604,0)),""))</f>
        <v/>
      </c>
      <c r="E213" s="16" t="str">
        <f aca="false">IF(C213="","",IFERROR(INDEX(LOOKAHEAD!$E$5:$E$604,MATCH(C213,LOOKAHEAD!$A$5:$A$604,0)),""))</f>
        <v/>
      </c>
      <c r="F213" s="16" t="str">
        <f aca="false">IF(C213="","",IFERROR(INDEX(LOOKAHEAD!$M$5:$M$604,MATCH(C213,LOOKAHEAD!$A$5:$A$604,0)),""))</f>
        <v/>
      </c>
      <c r="G213" s="9"/>
      <c r="H213" s="9"/>
      <c r="I213" s="16" t="str">
        <f aca="false">IF(C213="","",IFERROR(INDEX(LOOKAHEAD!$G$5:$G$604,MATCH(C213,LOOKAHEAD!$A$5:$A$604,0)),""))</f>
        <v/>
      </c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66" t="str">
        <f aca="false">IF(C213="","",SUM(J213:O213))</f>
        <v/>
      </c>
      <c r="W213" s="66" t="str">
        <f aca="false">IF(C213="","",SUM(P213:U213))</f>
        <v/>
      </c>
      <c r="X213" s="51" t="str">
        <f aca="false">IF(OR(C213="",V213=0),"",W213/V213)</f>
        <v/>
      </c>
      <c r="Y213" s="16" t="str">
        <f aca="false">IF(OR(C213="",V213=0),"",IF(W213&gt;=V213,"Sí","No"))</f>
        <v/>
      </c>
      <c r="Z213" s="9"/>
      <c r="AA213" s="9"/>
    </row>
    <row r="214" customFormat="false" ht="15" hidden="false" customHeight="false" outlineLevel="0" collapsed="false">
      <c r="A214" s="9"/>
      <c r="B214" s="9"/>
      <c r="C214" s="9"/>
      <c r="D214" s="16" t="str">
        <f aca="false">IF(C214="","",IFERROR(INDEX(LOOKAHEAD!$B$5:$B$604,MATCH(C214,LOOKAHEAD!$A$5:$A$604,0)),""))</f>
        <v/>
      </c>
      <c r="E214" s="16" t="str">
        <f aca="false">IF(C214="","",IFERROR(INDEX(LOOKAHEAD!$E$5:$E$604,MATCH(C214,LOOKAHEAD!$A$5:$A$604,0)),""))</f>
        <v/>
      </c>
      <c r="F214" s="16" t="str">
        <f aca="false">IF(C214="","",IFERROR(INDEX(LOOKAHEAD!$M$5:$M$604,MATCH(C214,LOOKAHEAD!$A$5:$A$604,0)),""))</f>
        <v/>
      </c>
      <c r="G214" s="9"/>
      <c r="H214" s="9"/>
      <c r="I214" s="16" t="str">
        <f aca="false">IF(C214="","",IFERROR(INDEX(LOOKAHEAD!$G$5:$G$604,MATCH(C214,LOOKAHEAD!$A$5:$A$604,0)),""))</f>
        <v/>
      </c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66" t="str">
        <f aca="false">IF(C214="","",SUM(J214:O214))</f>
        <v/>
      </c>
      <c r="W214" s="66" t="str">
        <f aca="false">IF(C214="","",SUM(P214:U214))</f>
        <v/>
      </c>
      <c r="X214" s="51" t="str">
        <f aca="false">IF(OR(C214="",V214=0),"",W214/V214)</f>
        <v/>
      </c>
      <c r="Y214" s="16" t="str">
        <f aca="false">IF(OR(C214="",V214=0),"",IF(W214&gt;=V214,"Sí","No"))</f>
        <v/>
      </c>
      <c r="Z214" s="9"/>
      <c r="AA214" s="9"/>
    </row>
    <row r="215" customFormat="false" ht="15" hidden="false" customHeight="false" outlineLevel="0" collapsed="false">
      <c r="A215" s="9"/>
      <c r="B215" s="9"/>
      <c r="C215" s="9"/>
      <c r="D215" s="16" t="str">
        <f aca="false">IF(C215="","",IFERROR(INDEX(LOOKAHEAD!$B$5:$B$604,MATCH(C215,LOOKAHEAD!$A$5:$A$604,0)),""))</f>
        <v/>
      </c>
      <c r="E215" s="16" t="str">
        <f aca="false">IF(C215="","",IFERROR(INDEX(LOOKAHEAD!$E$5:$E$604,MATCH(C215,LOOKAHEAD!$A$5:$A$604,0)),""))</f>
        <v/>
      </c>
      <c r="F215" s="16" t="str">
        <f aca="false">IF(C215="","",IFERROR(INDEX(LOOKAHEAD!$M$5:$M$604,MATCH(C215,LOOKAHEAD!$A$5:$A$604,0)),""))</f>
        <v/>
      </c>
      <c r="G215" s="9"/>
      <c r="H215" s="9"/>
      <c r="I215" s="16" t="str">
        <f aca="false">IF(C215="","",IFERROR(INDEX(LOOKAHEAD!$G$5:$G$604,MATCH(C215,LOOKAHEAD!$A$5:$A$604,0)),""))</f>
        <v/>
      </c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66" t="str">
        <f aca="false">IF(C215="","",SUM(J215:O215))</f>
        <v/>
      </c>
      <c r="W215" s="66" t="str">
        <f aca="false">IF(C215="","",SUM(P215:U215))</f>
        <v/>
      </c>
      <c r="X215" s="51" t="str">
        <f aca="false">IF(OR(C215="",V215=0),"",W215/V215)</f>
        <v/>
      </c>
      <c r="Y215" s="16" t="str">
        <f aca="false">IF(OR(C215="",V215=0),"",IF(W215&gt;=V215,"Sí","No"))</f>
        <v/>
      </c>
      <c r="Z215" s="9"/>
      <c r="AA215" s="9"/>
    </row>
    <row r="216" customFormat="false" ht="15" hidden="false" customHeight="false" outlineLevel="0" collapsed="false">
      <c r="A216" s="9"/>
      <c r="B216" s="9"/>
      <c r="C216" s="9"/>
      <c r="D216" s="16" t="str">
        <f aca="false">IF(C216="","",IFERROR(INDEX(LOOKAHEAD!$B$5:$B$604,MATCH(C216,LOOKAHEAD!$A$5:$A$604,0)),""))</f>
        <v/>
      </c>
      <c r="E216" s="16" t="str">
        <f aca="false">IF(C216="","",IFERROR(INDEX(LOOKAHEAD!$E$5:$E$604,MATCH(C216,LOOKAHEAD!$A$5:$A$604,0)),""))</f>
        <v/>
      </c>
      <c r="F216" s="16" t="str">
        <f aca="false">IF(C216="","",IFERROR(INDEX(LOOKAHEAD!$M$5:$M$604,MATCH(C216,LOOKAHEAD!$A$5:$A$604,0)),""))</f>
        <v/>
      </c>
      <c r="G216" s="9"/>
      <c r="H216" s="9"/>
      <c r="I216" s="16" t="str">
        <f aca="false">IF(C216="","",IFERROR(INDEX(LOOKAHEAD!$G$5:$G$604,MATCH(C216,LOOKAHEAD!$A$5:$A$604,0)),""))</f>
        <v/>
      </c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66" t="str">
        <f aca="false">IF(C216="","",SUM(J216:O216))</f>
        <v/>
      </c>
      <c r="W216" s="66" t="str">
        <f aca="false">IF(C216="","",SUM(P216:U216))</f>
        <v/>
      </c>
      <c r="X216" s="51" t="str">
        <f aca="false">IF(OR(C216="",V216=0),"",W216/V216)</f>
        <v/>
      </c>
      <c r="Y216" s="16" t="str">
        <f aca="false">IF(OR(C216="",V216=0),"",IF(W216&gt;=V216,"Sí","No"))</f>
        <v/>
      </c>
      <c r="Z216" s="9"/>
      <c r="AA216" s="9"/>
    </row>
    <row r="217" customFormat="false" ht="15" hidden="false" customHeight="false" outlineLevel="0" collapsed="false">
      <c r="A217" s="9"/>
      <c r="B217" s="9"/>
      <c r="C217" s="9"/>
      <c r="D217" s="16" t="str">
        <f aca="false">IF(C217="","",IFERROR(INDEX(LOOKAHEAD!$B$5:$B$604,MATCH(C217,LOOKAHEAD!$A$5:$A$604,0)),""))</f>
        <v/>
      </c>
      <c r="E217" s="16" t="str">
        <f aca="false">IF(C217="","",IFERROR(INDEX(LOOKAHEAD!$E$5:$E$604,MATCH(C217,LOOKAHEAD!$A$5:$A$604,0)),""))</f>
        <v/>
      </c>
      <c r="F217" s="16" t="str">
        <f aca="false">IF(C217="","",IFERROR(INDEX(LOOKAHEAD!$M$5:$M$604,MATCH(C217,LOOKAHEAD!$A$5:$A$604,0)),""))</f>
        <v/>
      </c>
      <c r="G217" s="9"/>
      <c r="H217" s="9"/>
      <c r="I217" s="16" t="str">
        <f aca="false">IF(C217="","",IFERROR(INDEX(LOOKAHEAD!$G$5:$G$604,MATCH(C217,LOOKAHEAD!$A$5:$A$604,0)),""))</f>
        <v/>
      </c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66" t="str">
        <f aca="false">IF(C217="","",SUM(J217:O217))</f>
        <v/>
      </c>
      <c r="W217" s="66" t="str">
        <f aca="false">IF(C217="","",SUM(P217:U217))</f>
        <v/>
      </c>
      <c r="X217" s="51" t="str">
        <f aca="false">IF(OR(C217="",V217=0),"",W217/V217)</f>
        <v/>
      </c>
      <c r="Y217" s="16" t="str">
        <f aca="false">IF(OR(C217="",V217=0),"",IF(W217&gt;=V217,"Sí","No"))</f>
        <v/>
      </c>
      <c r="Z217" s="9"/>
      <c r="AA217" s="9"/>
    </row>
    <row r="218" customFormat="false" ht="15" hidden="false" customHeight="false" outlineLevel="0" collapsed="false">
      <c r="A218" s="9"/>
      <c r="B218" s="9"/>
      <c r="C218" s="9"/>
      <c r="D218" s="16" t="str">
        <f aca="false">IF(C218="","",IFERROR(INDEX(LOOKAHEAD!$B$5:$B$604,MATCH(C218,LOOKAHEAD!$A$5:$A$604,0)),""))</f>
        <v/>
      </c>
      <c r="E218" s="16" t="str">
        <f aca="false">IF(C218="","",IFERROR(INDEX(LOOKAHEAD!$E$5:$E$604,MATCH(C218,LOOKAHEAD!$A$5:$A$604,0)),""))</f>
        <v/>
      </c>
      <c r="F218" s="16" t="str">
        <f aca="false">IF(C218="","",IFERROR(INDEX(LOOKAHEAD!$M$5:$M$604,MATCH(C218,LOOKAHEAD!$A$5:$A$604,0)),""))</f>
        <v/>
      </c>
      <c r="G218" s="9"/>
      <c r="H218" s="9"/>
      <c r="I218" s="16" t="str">
        <f aca="false">IF(C218="","",IFERROR(INDEX(LOOKAHEAD!$G$5:$G$604,MATCH(C218,LOOKAHEAD!$A$5:$A$604,0)),""))</f>
        <v/>
      </c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66" t="str">
        <f aca="false">IF(C218="","",SUM(J218:O218))</f>
        <v/>
      </c>
      <c r="W218" s="66" t="str">
        <f aca="false">IF(C218="","",SUM(P218:U218))</f>
        <v/>
      </c>
      <c r="X218" s="51" t="str">
        <f aca="false">IF(OR(C218="",V218=0),"",W218/V218)</f>
        <v/>
      </c>
      <c r="Y218" s="16" t="str">
        <f aca="false">IF(OR(C218="",V218=0),"",IF(W218&gt;=V218,"Sí","No"))</f>
        <v/>
      </c>
      <c r="Z218" s="9"/>
      <c r="AA218" s="9"/>
    </row>
    <row r="219" customFormat="false" ht="15" hidden="false" customHeight="false" outlineLevel="0" collapsed="false">
      <c r="A219" s="9"/>
      <c r="B219" s="9"/>
      <c r="C219" s="9"/>
      <c r="D219" s="16" t="str">
        <f aca="false">IF(C219="","",IFERROR(INDEX(LOOKAHEAD!$B$5:$B$604,MATCH(C219,LOOKAHEAD!$A$5:$A$604,0)),""))</f>
        <v/>
      </c>
      <c r="E219" s="16" t="str">
        <f aca="false">IF(C219="","",IFERROR(INDEX(LOOKAHEAD!$E$5:$E$604,MATCH(C219,LOOKAHEAD!$A$5:$A$604,0)),""))</f>
        <v/>
      </c>
      <c r="F219" s="16" t="str">
        <f aca="false">IF(C219="","",IFERROR(INDEX(LOOKAHEAD!$M$5:$M$604,MATCH(C219,LOOKAHEAD!$A$5:$A$604,0)),""))</f>
        <v/>
      </c>
      <c r="G219" s="9"/>
      <c r="H219" s="9"/>
      <c r="I219" s="16" t="str">
        <f aca="false">IF(C219="","",IFERROR(INDEX(LOOKAHEAD!$G$5:$G$604,MATCH(C219,LOOKAHEAD!$A$5:$A$604,0)),""))</f>
        <v/>
      </c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66" t="str">
        <f aca="false">IF(C219="","",SUM(J219:O219))</f>
        <v/>
      </c>
      <c r="W219" s="66" t="str">
        <f aca="false">IF(C219="","",SUM(P219:U219))</f>
        <v/>
      </c>
      <c r="X219" s="51" t="str">
        <f aca="false">IF(OR(C219="",V219=0),"",W219/V219)</f>
        <v/>
      </c>
      <c r="Y219" s="16" t="str">
        <f aca="false">IF(OR(C219="",V219=0),"",IF(W219&gt;=V219,"Sí","No"))</f>
        <v/>
      </c>
      <c r="Z219" s="9"/>
      <c r="AA219" s="9"/>
    </row>
    <row r="220" customFormat="false" ht="15" hidden="false" customHeight="false" outlineLevel="0" collapsed="false">
      <c r="A220" s="9"/>
      <c r="B220" s="9"/>
      <c r="C220" s="9"/>
      <c r="D220" s="16" t="str">
        <f aca="false">IF(C220="","",IFERROR(INDEX(LOOKAHEAD!$B$5:$B$604,MATCH(C220,LOOKAHEAD!$A$5:$A$604,0)),""))</f>
        <v/>
      </c>
      <c r="E220" s="16" t="str">
        <f aca="false">IF(C220="","",IFERROR(INDEX(LOOKAHEAD!$E$5:$E$604,MATCH(C220,LOOKAHEAD!$A$5:$A$604,0)),""))</f>
        <v/>
      </c>
      <c r="F220" s="16" t="str">
        <f aca="false">IF(C220="","",IFERROR(INDEX(LOOKAHEAD!$M$5:$M$604,MATCH(C220,LOOKAHEAD!$A$5:$A$604,0)),""))</f>
        <v/>
      </c>
      <c r="G220" s="9"/>
      <c r="H220" s="9"/>
      <c r="I220" s="16" t="str">
        <f aca="false">IF(C220="","",IFERROR(INDEX(LOOKAHEAD!$G$5:$G$604,MATCH(C220,LOOKAHEAD!$A$5:$A$604,0)),""))</f>
        <v/>
      </c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66" t="str">
        <f aca="false">IF(C220="","",SUM(J220:O220))</f>
        <v/>
      </c>
      <c r="W220" s="66" t="str">
        <f aca="false">IF(C220="","",SUM(P220:U220))</f>
        <v/>
      </c>
      <c r="X220" s="51" t="str">
        <f aca="false">IF(OR(C220="",V220=0),"",W220/V220)</f>
        <v/>
      </c>
      <c r="Y220" s="16" t="str">
        <f aca="false">IF(OR(C220="",V220=0),"",IF(W220&gt;=V220,"Sí","No"))</f>
        <v/>
      </c>
      <c r="Z220" s="9"/>
      <c r="AA220" s="9"/>
    </row>
    <row r="221" customFormat="false" ht="15" hidden="false" customHeight="false" outlineLevel="0" collapsed="false">
      <c r="A221" s="9"/>
      <c r="B221" s="9"/>
      <c r="C221" s="9"/>
      <c r="D221" s="16" t="str">
        <f aca="false">IF(C221="","",IFERROR(INDEX(LOOKAHEAD!$B$5:$B$604,MATCH(C221,LOOKAHEAD!$A$5:$A$604,0)),""))</f>
        <v/>
      </c>
      <c r="E221" s="16" t="str">
        <f aca="false">IF(C221="","",IFERROR(INDEX(LOOKAHEAD!$E$5:$E$604,MATCH(C221,LOOKAHEAD!$A$5:$A$604,0)),""))</f>
        <v/>
      </c>
      <c r="F221" s="16" t="str">
        <f aca="false">IF(C221="","",IFERROR(INDEX(LOOKAHEAD!$M$5:$M$604,MATCH(C221,LOOKAHEAD!$A$5:$A$604,0)),""))</f>
        <v/>
      </c>
      <c r="G221" s="9"/>
      <c r="H221" s="9"/>
      <c r="I221" s="16" t="str">
        <f aca="false">IF(C221="","",IFERROR(INDEX(LOOKAHEAD!$G$5:$G$604,MATCH(C221,LOOKAHEAD!$A$5:$A$604,0)),""))</f>
        <v/>
      </c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66" t="str">
        <f aca="false">IF(C221="","",SUM(J221:O221))</f>
        <v/>
      </c>
      <c r="W221" s="66" t="str">
        <f aca="false">IF(C221="","",SUM(P221:U221))</f>
        <v/>
      </c>
      <c r="X221" s="51" t="str">
        <f aca="false">IF(OR(C221="",V221=0),"",W221/V221)</f>
        <v/>
      </c>
      <c r="Y221" s="16" t="str">
        <f aca="false">IF(OR(C221="",V221=0),"",IF(W221&gt;=V221,"Sí","No"))</f>
        <v/>
      </c>
      <c r="Z221" s="9"/>
      <c r="AA221" s="9"/>
    </row>
    <row r="222" customFormat="false" ht="15" hidden="false" customHeight="false" outlineLevel="0" collapsed="false">
      <c r="A222" s="9"/>
      <c r="B222" s="9"/>
      <c r="C222" s="9"/>
      <c r="D222" s="16" t="str">
        <f aca="false">IF(C222="","",IFERROR(INDEX(LOOKAHEAD!$B$5:$B$604,MATCH(C222,LOOKAHEAD!$A$5:$A$604,0)),""))</f>
        <v/>
      </c>
      <c r="E222" s="16" t="str">
        <f aca="false">IF(C222="","",IFERROR(INDEX(LOOKAHEAD!$E$5:$E$604,MATCH(C222,LOOKAHEAD!$A$5:$A$604,0)),""))</f>
        <v/>
      </c>
      <c r="F222" s="16" t="str">
        <f aca="false">IF(C222="","",IFERROR(INDEX(LOOKAHEAD!$M$5:$M$604,MATCH(C222,LOOKAHEAD!$A$5:$A$604,0)),""))</f>
        <v/>
      </c>
      <c r="G222" s="9"/>
      <c r="H222" s="9"/>
      <c r="I222" s="16" t="str">
        <f aca="false">IF(C222="","",IFERROR(INDEX(LOOKAHEAD!$G$5:$G$604,MATCH(C222,LOOKAHEAD!$A$5:$A$604,0)),""))</f>
        <v/>
      </c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66" t="str">
        <f aca="false">IF(C222="","",SUM(J222:O222))</f>
        <v/>
      </c>
      <c r="W222" s="66" t="str">
        <f aca="false">IF(C222="","",SUM(P222:U222))</f>
        <v/>
      </c>
      <c r="X222" s="51" t="str">
        <f aca="false">IF(OR(C222="",V222=0),"",W222/V222)</f>
        <v/>
      </c>
      <c r="Y222" s="16" t="str">
        <f aca="false">IF(OR(C222="",V222=0),"",IF(W222&gt;=V222,"Sí","No"))</f>
        <v/>
      </c>
      <c r="Z222" s="9"/>
      <c r="AA222" s="9"/>
    </row>
    <row r="223" customFormat="false" ht="15" hidden="false" customHeight="false" outlineLevel="0" collapsed="false">
      <c r="A223" s="9"/>
      <c r="B223" s="9"/>
      <c r="C223" s="9"/>
      <c r="D223" s="16" t="str">
        <f aca="false">IF(C223="","",IFERROR(INDEX(LOOKAHEAD!$B$5:$B$604,MATCH(C223,LOOKAHEAD!$A$5:$A$604,0)),""))</f>
        <v/>
      </c>
      <c r="E223" s="16" t="str">
        <f aca="false">IF(C223="","",IFERROR(INDEX(LOOKAHEAD!$E$5:$E$604,MATCH(C223,LOOKAHEAD!$A$5:$A$604,0)),""))</f>
        <v/>
      </c>
      <c r="F223" s="16" t="str">
        <f aca="false">IF(C223="","",IFERROR(INDEX(LOOKAHEAD!$M$5:$M$604,MATCH(C223,LOOKAHEAD!$A$5:$A$604,0)),""))</f>
        <v/>
      </c>
      <c r="G223" s="9"/>
      <c r="H223" s="9"/>
      <c r="I223" s="16" t="str">
        <f aca="false">IF(C223="","",IFERROR(INDEX(LOOKAHEAD!$G$5:$G$604,MATCH(C223,LOOKAHEAD!$A$5:$A$604,0)),""))</f>
        <v/>
      </c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66" t="str">
        <f aca="false">IF(C223="","",SUM(J223:O223))</f>
        <v/>
      </c>
      <c r="W223" s="66" t="str">
        <f aca="false">IF(C223="","",SUM(P223:U223))</f>
        <v/>
      </c>
      <c r="X223" s="51" t="str">
        <f aca="false">IF(OR(C223="",V223=0),"",W223/V223)</f>
        <v/>
      </c>
      <c r="Y223" s="16" t="str">
        <f aca="false">IF(OR(C223="",V223=0),"",IF(W223&gt;=V223,"Sí","No"))</f>
        <v/>
      </c>
      <c r="Z223" s="9"/>
      <c r="AA223" s="9"/>
    </row>
    <row r="224" customFormat="false" ht="15" hidden="false" customHeight="false" outlineLevel="0" collapsed="false">
      <c r="A224" s="9"/>
      <c r="B224" s="9"/>
      <c r="C224" s="9"/>
      <c r="D224" s="16" t="str">
        <f aca="false">IF(C224="","",IFERROR(INDEX(LOOKAHEAD!$B$5:$B$604,MATCH(C224,LOOKAHEAD!$A$5:$A$604,0)),""))</f>
        <v/>
      </c>
      <c r="E224" s="16" t="str">
        <f aca="false">IF(C224="","",IFERROR(INDEX(LOOKAHEAD!$E$5:$E$604,MATCH(C224,LOOKAHEAD!$A$5:$A$604,0)),""))</f>
        <v/>
      </c>
      <c r="F224" s="16" t="str">
        <f aca="false">IF(C224="","",IFERROR(INDEX(LOOKAHEAD!$M$5:$M$604,MATCH(C224,LOOKAHEAD!$A$5:$A$604,0)),""))</f>
        <v/>
      </c>
      <c r="G224" s="9"/>
      <c r="H224" s="9"/>
      <c r="I224" s="16" t="str">
        <f aca="false">IF(C224="","",IFERROR(INDEX(LOOKAHEAD!$G$5:$G$604,MATCH(C224,LOOKAHEAD!$A$5:$A$604,0)),""))</f>
        <v/>
      </c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66" t="str">
        <f aca="false">IF(C224="","",SUM(J224:O224))</f>
        <v/>
      </c>
      <c r="W224" s="66" t="str">
        <f aca="false">IF(C224="","",SUM(P224:U224))</f>
        <v/>
      </c>
      <c r="X224" s="51" t="str">
        <f aca="false">IF(OR(C224="",V224=0),"",W224/V224)</f>
        <v/>
      </c>
      <c r="Y224" s="16" t="str">
        <f aca="false">IF(OR(C224="",V224=0),"",IF(W224&gt;=V224,"Sí","No"))</f>
        <v/>
      </c>
      <c r="Z224" s="9"/>
      <c r="AA224" s="9"/>
    </row>
    <row r="225" customFormat="false" ht="15" hidden="false" customHeight="false" outlineLevel="0" collapsed="false">
      <c r="A225" s="9"/>
      <c r="B225" s="9"/>
      <c r="C225" s="9"/>
      <c r="D225" s="16" t="str">
        <f aca="false">IF(C225="","",IFERROR(INDEX(LOOKAHEAD!$B$5:$B$604,MATCH(C225,LOOKAHEAD!$A$5:$A$604,0)),""))</f>
        <v/>
      </c>
      <c r="E225" s="16" t="str">
        <f aca="false">IF(C225="","",IFERROR(INDEX(LOOKAHEAD!$E$5:$E$604,MATCH(C225,LOOKAHEAD!$A$5:$A$604,0)),""))</f>
        <v/>
      </c>
      <c r="F225" s="16" t="str">
        <f aca="false">IF(C225="","",IFERROR(INDEX(LOOKAHEAD!$M$5:$M$604,MATCH(C225,LOOKAHEAD!$A$5:$A$604,0)),""))</f>
        <v/>
      </c>
      <c r="G225" s="9"/>
      <c r="H225" s="9"/>
      <c r="I225" s="16" t="str">
        <f aca="false">IF(C225="","",IFERROR(INDEX(LOOKAHEAD!$G$5:$G$604,MATCH(C225,LOOKAHEAD!$A$5:$A$604,0)),""))</f>
        <v/>
      </c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66" t="str">
        <f aca="false">IF(C225="","",SUM(J225:O225))</f>
        <v/>
      </c>
      <c r="W225" s="66" t="str">
        <f aca="false">IF(C225="","",SUM(P225:U225))</f>
        <v/>
      </c>
      <c r="X225" s="51" t="str">
        <f aca="false">IF(OR(C225="",V225=0),"",W225/V225)</f>
        <v/>
      </c>
      <c r="Y225" s="16" t="str">
        <f aca="false">IF(OR(C225="",V225=0),"",IF(W225&gt;=V225,"Sí","No"))</f>
        <v/>
      </c>
      <c r="Z225" s="9"/>
      <c r="AA225" s="9"/>
    </row>
    <row r="226" customFormat="false" ht="15" hidden="false" customHeight="false" outlineLevel="0" collapsed="false">
      <c r="A226" s="9"/>
      <c r="B226" s="9"/>
      <c r="C226" s="9"/>
      <c r="D226" s="16" t="str">
        <f aca="false">IF(C226="","",IFERROR(INDEX(LOOKAHEAD!$B$5:$B$604,MATCH(C226,LOOKAHEAD!$A$5:$A$604,0)),""))</f>
        <v/>
      </c>
      <c r="E226" s="16" t="str">
        <f aca="false">IF(C226="","",IFERROR(INDEX(LOOKAHEAD!$E$5:$E$604,MATCH(C226,LOOKAHEAD!$A$5:$A$604,0)),""))</f>
        <v/>
      </c>
      <c r="F226" s="16" t="str">
        <f aca="false">IF(C226="","",IFERROR(INDEX(LOOKAHEAD!$M$5:$M$604,MATCH(C226,LOOKAHEAD!$A$5:$A$604,0)),""))</f>
        <v/>
      </c>
      <c r="G226" s="9"/>
      <c r="H226" s="9"/>
      <c r="I226" s="16" t="str">
        <f aca="false">IF(C226="","",IFERROR(INDEX(LOOKAHEAD!$G$5:$G$604,MATCH(C226,LOOKAHEAD!$A$5:$A$604,0)),""))</f>
        <v/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66" t="str">
        <f aca="false">IF(C226="","",SUM(J226:O226))</f>
        <v/>
      </c>
      <c r="W226" s="66" t="str">
        <f aca="false">IF(C226="","",SUM(P226:U226))</f>
        <v/>
      </c>
      <c r="X226" s="51" t="str">
        <f aca="false">IF(OR(C226="",V226=0),"",W226/V226)</f>
        <v/>
      </c>
      <c r="Y226" s="16" t="str">
        <f aca="false">IF(OR(C226="",V226=0),"",IF(W226&gt;=V226,"Sí","No"))</f>
        <v/>
      </c>
      <c r="Z226" s="9"/>
      <c r="AA226" s="9"/>
    </row>
    <row r="227" customFormat="false" ht="15" hidden="false" customHeight="false" outlineLevel="0" collapsed="false">
      <c r="A227" s="9"/>
      <c r="B227" s="9"/>
      <c r="C227" s="9"/>
      <c r="D227" s="16" t="str">
        <f aca="false">IF(C227="","",IFERROR(INDEX(LOOKAHEAD!$B$5:$B$604,MATCH(C227,LOOKAHEAD!$A$5:$A$604,0)),""))</f>
        <v/>
      </c>
      <c r="E227" s="16" t="str">
        <f aca="false">IF(C227="","",IFERROR(INDEX(LOOKAHEAD!$E$5:$E$604,MATCH(C227,LOOKAHEAD!$A$5:$A$604,0)),""))</f>
        <v/>
      </c>
      <c r="F227" s="16" t="str">
        <f aca="false">IF(C227="","",IFERROR(INDEX(LOOKAHEAD!$M$5:$M$604,MATCH(C227,LOOKAHEAD!$A$5:$A$604,0)),""))</f>
        <v/>
      </c>
      <c r="G227" s="9"/>
      <c r="H227" s="9"/>
      <c r="I227" s="16" t="str">
        <f aca="false">IF(C227="","",IFERROR(INDEX(LOOKAHEAD!$G$5:$G$604,MATCH(C227,LOOKAHEAD!$A$5:$A$604,0)),""))</f>
        <v/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66" t="str">
        <f aca="false">IF(C227="","",SUM(J227:O227))</f>
        <v/>
      </c>
      <c r="W227" s="66" t="str">
        <f aca="false">IF(C227="","",SUM(P227:U227))</f>
        <v/>
      </c>
      <c r="X227" s="51" t="str">
        <f aca="false">IF(OR(C227="",V227=0),"",W227/V227)</f>
        <v/>
      </c>
      <c r="Y227" s="16" t="str">
        <f aca="false">IF(OR(C227="",V227=0),"",IF(W227&gt;=V227,"Sí","No"))</f>
        <v/>
      </c>
      <c r="Z227" s="9"/>
      <c r="AA227" s="9"/>
    </row>
    <row r="228" customFormat="false" ht="15" hidden="false" customHeight="false" outlineLevel="0" collapsed="false">
      <c r="A228" s="9"/>
      <c r="B228" s="9"/>
      <c r="C228" s="9"/>
      <c r="D228" s="16" t="str">
        <f aca="false">IF(C228="","",IFERROR(INDEX(LOOKAHEAD!$B$5:$B$604,MATCH(C228,LOOKAHEAD!$A$5:$A$604,0)),""))</f>
        <v/>
      </c>
      <c r="E228" s="16" t="str">
        <f aca="false">IF(C228="","",IFERROR(INDEX(LOOKAHEAD!$E$5:$E$604,MATCH(C228,LOOKAHEAD!$A$5:$A$604,0)),""))</f>
        <v/>
      </c>
      <c r="F228" s="16" t="str">
        <f aca="false">IF(C228="","",IFERROR(INDEX(LOOKAHEAD!$M$5:$M$604,MATCH(C228,LOOKAHEAD!$A$5:$A$604,0)),""))</f>
        <v/>
      </c>
      <c r="G228" s="9"/>
      <c r="H228" s="9"/>
      <c r="I228" s="16" t="str">
        <f aca="false">IF(C228="","",IFERROR(INDEX(LOOKAHEAD!$G$5:$G$604,MATCH(C228,LOOKAHEAD!$A$5:$A$604,0)),""))</f>
        <v/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66" t="str">
        <f aca="false">IF(C228="","",SUM(J228:O228))</f>
        <v/>
      </c>
      <c r="W228" s="66" t="str">
        <f aca="false">IF(C228="","",SUM(P228:U228))</f>
        <v/>
      </c>
      <c r="X228" s="51" t="str">
        <f aca="false">IF(OR(C228="",V228=0),"",W228/V228)</f>
        <v/>
      </c>
      <c r="Y228" s="16" t="str">
        <f aca="false">IF(OR(C228="",V228=0),"",IF(W228&gt;=V228,"Sí","No"))</f>
        <v/>
      </c>
      <c r="Z228" s="9"/>
      <c r="AA228" s="9"/>
    </row>
    <row r="229" customFormat="false" ht="15" hidden="false" customHeight="false" outlineLevel="0" collapsed="false">
      <c r="A229" s="9"/>
      <c r="B229" s="9"/>
      <c r="C229" s="9"/>
      <c r="D229" s="16" t="str">
        <f aca="false">IF(C229="","",IFERROR(INDEX(LOOKAHEAD!$B$5:$B$604,MATCH(C229,LOOKAHEAD!$A$5:$A$604,0)),""))</f>
        <v/>
      </c>
      <c r="E229" s="16" t="str">
        <f aca="false">IF(C229="","",IFERROR(INDEX(LOOKAHEAD!$E$5:$E$604,MATCH(C229,LOOKAHEAD!$A$5:$A$604,0)),""))</f>
        <v/>
      </c>
      <c r="F229" s="16" t="str">
        <f aca="false">IF(C229="","",IFERROR(INDEX(LOOKAHEAD!$M$5:$M$604,MATCH(C229,LOOKAHEAD!$A$5:$A$604,0)),""))</f>
        <v/>
      </c>
      <c r="G229" s="9"/>
      <c r="H229" s="9"/>
      <c r="I229" s="16" t="str">
        <f aca="false">IF(C229="","",IFERROR(INDEX(LOOKAHEAD!$G$5:$G$604,MATCH(C229,LOOKAHEAD!$A$5:$A$604,0)),""))</f>
        <v/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66" t="str">
        <f aca="false">IF(C229="","",SUM(J229:O229))</f>
        <v/>
      </c>
      <c r="W229" s="66" t="str">
        <f aca="false">IF(C229="","",SUM(P229:U229))</f>
        <v/>
      </c>
      <c r="X229" s="51" t="str">
        <f aca="false">IF(OR(C229="",V229=0),"",W229/V229)</f>
        <v/>
      </c>
      <c r="Y229" s="16" t="str">
        <f aca="false">IF(OR(C229="",V229=0),"",IF(W229&gt;=V229,"Sí","No"))</f>
        <v/>
      </c>
      <c r="Z229" s="9"/>
      <c r="AA229" s="9"/>
    </row>
    <row r="230" customFormat="false" ht="15" hidden="false" customHeight="false" outlineLevel="0" collapsed="false">
      <c r="A230" s="9"/>
      <c r="B230" s="9"/>
      <c r="C230" s="9"/>
      <c r="D230" s="16" t="str">
        <f aca="false">IF(C230="","",IFERROR(INDEX(LOOKAHEAD!$B$5:$B$604,MATCH(C230,LOOKAHEAD!$A$5:$A$604,0)),""))</f>
        <v/>
      </c>
      <c r="E230" s="16" t="str">
        <f aca="false">IF(C230="","",IFERROR(INDEX(LOOKAHEAD!$E$5:$E$604,MATCH(C230,LOOKAHEAD!$A$5:$A$604,0)),""))</f>
        <v/>
      </c>
      <c r="F230" s="16" t="str">
        <f aca="false">IF(C230="","",IFERROR(INDEX(LOOKAHEAD!$M$5:$M$604,MATCH(C230,LOOKAHEAD!$A$5:$A$604,0)),""))</f>
        <v/>
      </c>
      <c r="G230" s="9"/>
      <c r="H230" s="9"/>
      <c r="I230" s="16" t="str">
        <f aca="false">IF(C230="","",IFERROR(INDEX(LOOKAHEAD!$G$5:$G$604,MATCH(C230,LOOKAHEAD!$A$5:$A$604,0)),""))</f>
        <v/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66" t="str">
        <f aca="false">IF(C230="","",SUM(J230:O230))</f>
        <v/>
      </c>
      <c r="W230" s="66" t="str">
        <f aca="false">IF(C230="","",SUM(P230:U230))</f>
        <v/>
      </c>
      <c r="X230" s="51" t="str">
        <f aca="false">IF(OR(C230="",V230=0),"",W230/V230)</f>
        <v/>
      </c>
      <c r="Y230" s="16" t="str">
        <f aca="false">IF(OR(C230="",V230=0),"",IF(W230&gt;=V230,"Sí","No"))</f>
        <v/>
      </c>
      <c r="Z230" s="9"/>
      <c r="AA230" s="9"/>
    </row>
    <row r="231" customFormat="false" ht="15" hidden="false" customHeight="false" outlineLevel="0" collapsed="false">
      <c r="A231" s="9"/>
      <c r="B231" s="9"/>
      <c r="C231" s="9"/>
      <c r="D231" s="16" t="str">
        <f aca="false">IF(C231="","",IFERROR(INDEX(LOOKAHEAD!$B$5:$B$604,MATCH(C231,LOOKAHEAD!$A$5:$A$604,0)),""))</f>
        <v/>
      </c>
      <c r="E231" s="16" t="str">
        <f aca="false">IF(C231="","",IFERROR(INDEX(LOOKAHEAD!$E$5:$E$604,MATCH(C231,LOOKAHEAD!$A$5:$A$604,0)),""))</f>
        <v/>
      </c>
      <c r="F231" s="16" t="str">
        <f aca="false">IF(C231="","",IFERROR(INDEX(LOOKAHEAD!$M$5:$M$604,MATCH(C231,LOOKAHEAD!$A$5:$A$604,0)),""))</f>
        <v/>
      </c>
      <c r="G231" s="9"/>
      <c r="H231" s="9"/>
      <c r="I231" s="16" t="str">
        <f aca="false">IF(C231="","",IFERROR(INDEX(LOOKAHEAD!$G$5:$G$604,MATCH(C231,LOOKAHEAD!$A$5:$A$604,0)),""))</f>
        <v/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66" t="str">
        <f aca="false">IF(C231="","",SUM(J231:O231))</f>
        <v/>
      </c>
      <c r="W231" s="66" t="str">
        <f aca="false">IF(C231="","",SUM(P231:U231))</f>
        <v/>
      </c>
      <c r="X231" s="51" t="str">
        <f aca="false">IF(OR(C231="",V231=0),"",W231/V231)</f>
        <v/>
      </c>
      <c r="Y231" s="16" t="str">
        <f aca="false">IF(OR(C231="",V231=0),"",IF(W231&gt;=V231,"Sí","No"))</f>
        <v/>
      </c>
      <c r="Z231" s="9"/>
      <c r="AA231" s="9"/>
    </row>
    <row r="232" customFormat="false" ht="15" hidden="false" customHeight="false" outlineLevel="0" collapsed="false">
      <c r="A232" s="9"/>
      <c r="B232" s="9"/>
      <c r="C232" s="9"/>
      <c r="D232" s="16" t="str">
        <f aca="false">IF(C232="","",IFERROR(INDEX(LOOKAHEAD!$B$5:$B$604,MATCH(C232,LOOKAHEAD!$A$5:$A$604,0)),""))</f>
        <v/>
      </c>
      <c r="E232" s="16" t="str">
        <f aca="false">IF(C232="","",IFERROR(INDEX(LOOKAHEAD!$E$5:$E$604,MATCH(C232,LOOKAHEAD!$A$5:$A$604,0)),""))</f>
        <v/>
      </c>
      <c r="F232" s="16" t="str">
        <f aca="false">IF(C232="","",IFERROR(INDEX(LOOKAHEAD!$M$5:$M$604,MATCH(C232,LOOKAHEAD!$A$5:$A$604,0)),""))</f>
        <v/>
      </c>
      <c r="G232" s="9"/>
      <c r="H232" s="9"/>
      <c r="I232" s="16" t="str">
        <f aca="false">IF(C232="","",IFERROR(INDEX(LOOKAHEAD!$G$5:$G$604,MATCH(C232,LOOKAHEAD!$A$5:$A$604,0)),""))</f>
        <v/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66" t="str">
        <f aca="false">IF(C232="","",SUM(J232:O232))</f>
        <v/>
      </c>
      <c r="W232" s="66" t="str">
        <f aca="false">IF(C232="","",SUM(P232:U232))</f>
        <v/>
      </c>
      <c r="X232" s="51" t="str">
        <f aca="false">IF(OR(C232="",V232=0),"",W232/V232)</f>
        <v/>
      </c>
      <c r="Y232" s="16" t="str">
        <f aca="false">IF(OR(C232="",V232=0),"",IF(W232&gt;=V232,"Sí","No"))</f>
        <v/>
      </c>
      <c r="Z232" s="9"/>
      <c r="AA232" s="9"/>
    </row>
    <row r="233" customFormat="false" ht="15" hidden="false" customHeight="false" outlineLevel="0" collapsed="false">
      <c r="A233" s="9"/>
      <c r="B233" s="9"/>
      <c r="C233" s="9"/>
      <c r="D233" s="16" t="str">
        <f aca="false">IF(C233="","",IFERROR(INDEX(LOOKAHEAD!$B$5:$B$604,MATCH(C233,LOOKAHEAD!$A$5:$A$604,0)),""))</f>
        <v/>
      </c>
      <c r="E233" s="16" t="str">
        <f aca="false">IF(C233="","",IFERROR(INDEX(LOOKAHEAD!$E$5:$E$604,MATCH(C233,LOOKAHEAD!$A$5:$A$604,0)),""))</f>
        <v/>
      </c>
      <c r="F233" s="16" t="str">
        <f aca="false">IF(C233="","",IFERROR(INDEX(LOOKAHEAD!$M$5:$M$604,MATCH(C233,LOOKAHEAD!$A$5:$A$604,0)),""))</f>
        <v/>
      </c>
      <c r="G233" s="9"/>
      <c r="H233" s="9"/>
      <c r="I233" s="16" t="str">
        <f aca="false">IF(C233="","",IFERROR(INDEX(LOOKAHEAD!$G$5:$G$604,MATCH(C233,LOOKAHEAD!$A$5:$A$604,0)),""))</f>
        <v/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66" t="str">
        <f aca="false">IF(C233="","",SUM(J233:O233))</f>
        <v/>
      </c>
      <c r="W233" s="66" t="str">
        <f aca="false">IF(C233="","",SUM(P233:U233))</f>
        <v/>
      </c>
      <c r="X233" s="51" t="str">
        <f aca="false">IF(OR(C233="",V233=0),"",W233/V233)</f>
        <v/>
      </c>
      <c r="Y233" s="16" t="str">
        <f aca="false">IF(OR(C233="",V233=0),"",IF(W233&gt;=V233,"Sí","No"))</f>
        <v/>
      </c>
      <c r="Z233" s="9"/>
      <c r="AA233" s="9"/>
    </row>
    <row r="234" customFormat="false" ht="15" hidden="false" customHeight="false" outlineLevel="0" collapsed="false">
      <c r="A234" s="9"/>
      <c r="B234" s="9"/>
      <c r="C234" s="9"/>
      <c r="D234" s="16" t="str">
        <f aca="false">IF(C234="","",IFERROR(INDEX(LOOKAHEAD!$B$5:$B$604,MATCH(C234,LOOKAHEAD!$A$5:$A$604,0)),""))</f>
        <v/>
      </c>
      <c r="E234" s="16" t="str">
        <f aca="false">IF(C234="","",IFERROR(INDEX(LOOKAHEAD!$E$5:$E$604,MATCH(C234,LOOKAHEAD!$A$5:$A$604,0)),""))</f>
        <v/>
      </c>
      <c r="F234" s="16" t="str">
        <f aca="false">IF(C234="","",IFERROR(INDEX(LOOKAHEAD!$M$5:$M$604,MATCH(C234,LOOKAHEAD!$A$5:$A$604,0)),""))</f>
        <v/>
      </c>
      <c r="G234" s="9"/>
      <c r="H234" s="9"/>
      <c r="I234" s="16" t="str">
        <f aca="false">IF(C234="","",IFERROR(INDEX(LOOKAHEAD!$G$5:$G$604,MATCH(C234,LOOKAHEAD!$A$5:$A$604,0)),""))</f>
        <v/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66" t="str">
        <f aca="false">IF(C234="","",SUM(J234:O234))</f>
        <v/>
      </c>
      <c r="W234" s="66" t="str">
        <f aca="false">IF(C234="","",SUM(P234:U234))</f>
        <v/>
      </c>
      <c r="X234" s="51" t="str">
        <f aca="false">IF(OR(C234="",V234=0),"",W234/V234)</f>
        <v/>
      </c>
      <c r="Y234" s="16" t="str">
        <f aca="false">IF(OR(C234="",V234=0),"",IF(W234&gt;=V234,"Sí","No"))</f>
        <v/>
      </c>
      <c r="Z234" s="9"/>
      <c r="AA234" s="9"/>
    </row>
    <row r="235" customFormat="false" ht="15" hidden="false" customHeight="false" outlineLevel="0" collapsed="false">
      <c r="A235" s="9"/>
      <c r="B235" s="9"/>
      <c r="C235" s="9"/>
      <c r="D235" s="16" t="str">
        <f aca="false">IF(C235="","",IFERROR(INDEX(LOOKAHEAD!$B$5:$B$604,MATCH(C235,LOOKAHEAD!$A$5:$A$604,0)),""))</f>
        <v/>
      </c>
      <c r="E235" s="16" t="str">
        <f aca="false">IF(C235="","",IFERROR(INDEX(LOOKAHEAD!$E$5:$E$604,MATCH(C235,LOOKAHEAD!$A$5:$A$604,0)),""))</f>
        <v/>
      </c>
      <c r="F235" s="16" t="str">
        <f aca="false">IF(C235="","",IFERROR(INDEX(LOOKAHEAD!$M$5:$M$604,MATCH(C235,LOOKAHEAD!$A$5:$A$604,0)),""))</f>
        <v/>
      </c>
      <c r="G235" s="9"/>
      <c r="H235" s="9"/>
      <c r="I235" s="16" t="str">
        <f aca="false">IF(C235="","",IFERROR(INDEX(LOOKAHEAD!$G$5:$G$604,MATCH(C235,LOOKAHEAD!$A$5:$A$604,0)),""))</f>
        <v/>
      </c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66" t="str">
        <f aca="false">IF(C235="","",SUM(J235:O235))</f>
        <v/>
      </c>
      <c r="W235" s="66" t="str">
        <f aca="false">IF(C235="","",SUM(P235:U235))</f>
        <v/>
      </c>
      <c r="X235" s="51" t="str">
        <f aca="false">IF(OR(C235="",V235=0),"",W235/V235)</f>
        <v/>
      </c>
      <c r="Y235" s="16" t="str">
        <f aca="false">IF(OR(C235="",V235=0),"",IF(W235&gt;=V235,"Sí","No"))</f>
        <v/>
      </c>
      <c r="Z235" s="9"/>
      <c r="AA235" s="9"/>
    </row>
    <row r="236" customFormat="false" ht="15" hidden="false" customHeight="false" outlineLevel="0" collapsed="false">
      <c r="A236" s="9"/>
      <c r="B236" s="9"/>
      <c r="C236" s="9"/>
      <c r="D236" s="16" t="str">
        <f aca="false">IF(C236="","",IFERROR(INDEX(LOOKAHEAD!$B$5:$B$604,MATCH(C236,LOOKAHEAD!$A$5:$A$604,0)),""))</f>
        <v/>
      </c>
      <c r="E236" s="16" t="str">
        <f aca="false">IF(C236="","",IFERROR(INDEX(LOOKAHEAD!$E$5:$E$604,MATCH(C236,LOOKAHEAD!$A$5:$A$604,0)),""))</f>
        <v/>
      </c>
      <c r="F236" s="16" t="str">
        <f aca="false">IF(C236="","",IFERROR(INDEX(LOOKAHEAD!$M$5:$M$604,MATCH(C236,LOOKAHEAD!$A$5:$A$604,0)),""))</f>
        <v/>
      </c>
      <c r="G236" s="9"/>
      <c r="H236" s="9"/>
      <c r="I236" s="16" t="str">
        <f aca="false">IF(C236="","",IFERROR(INDEX(LOOKAHEAD!$G$5:$G$604,MATCH(C236,LOOKAHEAD!$A$5:$A$604,0)),""))</f>
        <v/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66" t="str">
        <f aca="false">IF(C236="","",SUM(J236:O236))</f>
        <v/>
      </c>
      <c r="W236" s="66" t="str">
        <f aca="false">IF(C236="","",SUM(P236:U236))</f>
        <v/>
      </c>
      <c r="X236" s="51" t="str">
        <f aca="false">IF(OR(C236="",V236=0),"",W236/V236)</f>
        <v/>
      </c>
      <c r="Y236" s="16" t="str">
        <f aca="false">IF(OR(C236="",V236=0),"",IF(W236&gt;=V236,"Sí","No"))</f>
        <v/>
      </c>
      <c r="Z236" s="9"/>
      <c r="AA236" s="9"/>
    </row>
    <row r="237" customFormat="false" ht="15" hidden="false" customHeight="false" outlineLevel="0" collapsed="false">
      <c r="A237" s="9"/>
      <c r="B237" s="9"/>
      <c r="C237" s="9"/>
      <c r="D237" s="16" t="str">
        <f aca="false">IF(C237="","",IFERROR(INDEX(LOOKAHEAD!$B$5:$B$604,MATCH(C237,LOOKAHEAD!$A$5:$A$604,0)),""))</f>
        <v/>
      </c>
      <c r="E237" s="16" t="str">
        <f aca="false">IF(C237="","",IFERROR(INDEX(LOOKAHEAD!$E$5:$E$604,MATCH(C237,LOOKAHEAD!$A$5:$A$604,0)),""))</f>
        <v/>
      </c>
      <c r="F237" s="16" t="str">
        <f aca="false">IF(C237="","",IFERROR(INDEX(LOOKAHEAD!$M$5:$M$604,MATCH(C237,LOOKAHEAD!$A$5:$A$604,0)),""))</f>
        <v/>
      </c>
      <c r="G237" s="9"/>
      <c r="H237" s="9"/>
      <c r="I237" s="16" t="str">
        <f aca="false">IF(C237="","",IFERROR(INDEX(LOOKAHEAD!$G$5:$G$604,MATCH(C237,LOOKAHEAD!$A$5:$A$604,0)),""))</f>
        <v/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66" t="str">
        <f aca="false">IF(C237="","",SUM(J237:O237))</f>
        <v/>
      </c>
      <c r="W237" s="66" t="str">
        <f aca="false">IF(C237="","",SUM(P237:U237))</f>
        <v/>
      </c>
      <c r="X237" s="51" t="str">
        <f aca="false">IF(OR(C237="",V237=0),"",W237/V237)</f>
        <v/>
      </c>
      <c r="Y237" s="16" t="str">
        <f aca="false">IF(OR(C237="",V237=0),"",IF(W237&gt;=V237,"Sí","No"))</f>
        <v/>
      </c>
      <c r="Z237" s="9"/>
      <c r="AA237" s="9"/>
    </row>
    <row r="238" customFormat="false" ht="15" hidden="false" customHeight="false" outlineLevel="0" collapsed="false">
      <c r="A238" s="9"/>
      <c r="B238" s="9"/>
      <c r="C238" s="9"/>
      <c r="D238" s="16" t="str">
        <f aca="false">IF(C238="","",IFERROR(INDEX(LOOKAHEAD!$B$5:$B$604,MATCH(C238,LOOKAHEAD!$A$5:$A$604,0)),""))</f>
        <v/>
      </c>
      <c r="E238" s="16" t="str">
        <f aca="false">IF(C238="","",IFERROR(INDEX(LOOKAHEAD!$E$5:$E$604,MATCH(C238,LOOKAHEAD!$A$5:$A$604,0)),""))</f>
        <v/>
      </c>
      <c r="F238" s="16" t="str">
        <f aca="false">IF(C238="","",IFERROR(INDEX(LOOKAHEAD!$M$5:$M$604,MATCH(C238,LOOKAHEAD!$A$5:$A$604,0)),""))</f>
        <v/>
      </c>
      <c r="G238" s="9"/>
      <c r="H238" s="9"/>
      <c r="I238" s="16" t="str">
        <f aca="false">IF(C238="","",IFERROR(INDEX(LOOKAHEAD!$G$5:$G$604,MATCH(C238,LOOKAHEAD!$A$5:$A$604,0)),""))</f>
        <v/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66" t="str">
        <f aca="false">IF(C238="","",SUM(J238:O238))</f>
        <v/>
      </c>
      <c r="W238" s="66" t="str">
        <f aca="false">IF(C238="","",SUM(P238:U238))</f>
        <v/>
      </c>
      <c r="X238" s="51" t="str">
        <f aca="false">IF(OR(C238="",V238=0),"",W238/V238)</f>
        <v/>
      </c>
      <c r="Y238" s="16" t="str">
        <f aca="false">IF(OR(C238="",V238=0),"",IF(W238&gt;=V238,"Sí","No"))</f>
        <v/>
      </c>
      <c r="Z238" s="9"/>
      <c r="AA238" s="9"/>
    </row>
    <row r="239" customFormat="false" ht="15" hidden="false" customHeight="false" outlineLevel="0" collapsed="false">
      <c r="A239" s="9"/>
      <c r="B239" s="9"/>
      <c r="C239" s="9"/>
      <c r="D239" s="16" t="str">
        <f aca="false">IF(C239="","",IFERROR(INDEX(LOOKAHEAD!$B$5:$B$604,MATCH(C239,LOOKAHEAD!$A$5:$A$604,0)),""))</f>
        <v/>
      </c>
      <c r="E239" s="16" t="str">
        <f aca="false">IF(C239="","",IFERROR(INDEX(LOOKAHEAD!$E$5:$E$604,MATCH(C239,LOOKAHEAD!$A$5:$A$604,0)),""))</f>
        <v/>
      </c>
      <c r="F239" s="16" t="str">
        <f aca="false">IF(C239="","",IFERROR(INDEX(LOOKAHEAD!$M$5:$M$604,MATCH(C239,LOOKAHEAD!$A$5:$A$604,0)),""))</f>
        <v/>
      </c>
      <c r="G239" s="9"/>
      <c r="H239" s="9"/>
      <c r="I239" s="16" t="str">
        <f aca="false">IF(C239="","",IFERROR(INDEX(LOOKAHEAD!$G$5:$G$604,MATCH(C239,LOOKAHEAD!$A$5:$A$604,0)),""))</f>
        <v/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66" t="str">
        <f aca="false">IF(C239="","",SUM(J239:O239))</f>
        <v/>
      </c>
      <c r="W239" s="66" t="str">
        <f aca="false">IF(C239="","",SUM(P239:U239))</f>
        <v/>
      </c>
      <c r="X239" s="51" t="str">
        <f aca="false">IF(OR(C239="",V239=0),"",W239/V239)</f>
        <v/>
      </c>
      <c r="Y239" s="16" t="str">
        <f aca="false">IF(OR(C239="",V239=0),"",IF(W239&gt;=V239,"Sí","No"))</f>
        <v/>
      </c>
      <c r="Z239" s="9"/>
      <c r="AA239" s="9"/>
    </row>
    <row r="240" customFormat="false" ht="15" hidden="false" customHeight="false" outlineLevel="0" collapsed="false">
      <c r="A240" s="9"/>
      <c r="B240" s="9"/>
      <c r="C240" s="9"/>
      <c r="D240" s="16" t="str">
        <f aca="false">IF(C240="","",IFERROR(INDEX(LOOKAHEAD!$B$5:$B$604,MATCH(C240,LOOKAHEAD!$A$5:$A$604,0)),""))</f>
        <v/>
      </c>
      <c r="E240" s="16" t="str">
        <f aca="false">IF(C240="","",IFERROR(INDEX(LOOKAHEAD!$E$5:$E$604,MATCH(C240,LOOKAHEAD!$A$5:$A$604,0)),""))</f>
        <v/>
      </c>
      <c r="F240" s="16" t="str">
        <f aca="false">IF(C240="","",IFERROR(INDEX(LOOKAHEAD!$M$5:$M$604,MATCH(C240,LOOKAHEAD!$A$5:$A$604,0)),""))</f>
        <v/>
      </c>
      <c r="G240" s="9"/>
      <c r="H240" s="9"/>
      <c r="I240" s="16" t="str">
        <f aca="false">IF(C240="","",IFERROR(INDEX(LOOKAHEAD!$G$5:$G$604,MATCH(C240,LOOKAHEAD!$A$5:$A$604,0)),""))</f>
        <v/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66" t="str">
        <f aca="false">IF(C240="","",SUM(J240:O240))</f>
        <v/>
      </c>
      <c r="W240" s="66" t="str">
        <f aca="false">IF(C240="","",SUM(P240:U240))</f>
        <v/>
      </c>
      <c r="X240" s="51" t="str">
        <f aca="false">IF(OR(C240="",V240=0),"",W240/V240)</f>
        <v/>
      </c>
      <c r="Y240" s="16" t="str">
        <f aca="false">IF(OR(C240="",V240=0),"",IF(W240&gt;=V240,"Sí","No"))</f>
        <v/>
      </c>
      <c r="Z240" s="9"/>
      <c r="AA240" s="9"/>
    </row>
    <row r="241" customFormat="false" ht="15" hidden="false" customHeight="false" outlineLevel="0" collapsed="false">
      <c r="A241" s="9"/>
      <c r="B241" s="9"/>
      <c r="C241" s="9"/>
      <c r="D241" s="16" t="str">
        <f aca="false">IF(C241="","",IFERROR(INDEX(LOOKAHEAD!$B$5:$B$604,MATCH(C241,LOOKAHEAD!$A$5:$A$604,0)),""))</f>
        <v/>
      </c>
      <c r="E241" s="16" t="str">
        <f aca="false">IF(C241="","",IFERROR(INDEX(LOOKAHEAD!$E$5:$E$604,MATCH(C241,LOOKAHEAD!$A$5:$A$604,0)),""))</f>
        <v/>
      </c>
      <c r="F241" s="16" t="str">
        <f aca="false">IF(C241="","",IFERROR(INDEX(LOOKAHEAD!$M$5:$M$604,MATCH(C241,LOOKAHEAD!$A$5:$A$604,0)),""))</f>
        <v/>
      </c>
      <c r="G241" s="9"/>
      <c r="H241" s="9"/>
      <c r="I241" s="16" t="str">
        <f aca="false">IF(C241="","",IFERROR(INDEX(LOOKAHEAD!$G$5:$G$604,MATCH(C241,LOOKAHEAD!$A$5:$A$604,0)),""))</f>
        <v/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66" t="str">
        <f aca="false">IF(C241="","",SUM(J241:O241))</f>
        <v/>
      </c>
      <c r="W241" s="66" t="str">
        <f aca="false">IF(C241="","",SUM(P241:U241))</f>
        <v/>
      </c>
      <c r="X241" s="51" t="str">
        <f aca="false">IF(OR(C241="",V241=0),"",W241/V241)</f>
        <v/>
      </c>
      <c r="Y241" s="16" t="str">
        <f aca="false">IF(OR(C241="",V241=0),"",IF(W241&gt;=V241,"Sí","No"))</f>
        <v/>
      </c>
      <c r="Z241" s="9"/>
      <c r="AA241" s="9"/>
    </row>
    <row r="242" customFormat="false" ht="15" hidden="false" customHeight="false" outlineLevel="0" collapsed="false">
      <c r="A242" s="9"/>
      <c r="B242" s="9"/>
      <c r="C242" s="9"/>
      <c r="D242" s="16" t="str">
        <f aca="false">IF(C242="","",IFERROR(INDEX(LOOKAHEAD!$B$5:$B$604,MATCH(C242,LOOKAHEAD!$A$5:$A$604,0)),""))</f>
        <v/>
      </c>
      <c r="E242" s="16" t="str">
        <f aca="false">IF(C242="","",IFERROR(INDEX(LOOKAHEAD!$E$5:$E$604,MATCH(C242,LOOKAHEAD!$A$5:$A$604,0)),""))</f>
        <v/>
      </c>
      <c r="F242" s="16" t="str">
        <f aca="false">IF(C242="","",IFERROR(INDEX(LOOKAHEAD!$M$5:$M$604,MATCH(C242,LOOKAHEAD!$A$5:$A$604,0)),""))</f>
        <v/>
      </c>
      <c r="G242" s="9"/>
      <c r="H242" s="9"/>
      <c r="I242" s="16" t="str">
        <f aca="false">IF(C242="","",IFERROR(INDEX(LOOKAHEAD!$G$5:$G$604,MATCH(C242,LOOKAHEAD!$A$5:$A$604,0)),""))</f>
        <v/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66" t="str">
        <f aca="false">IF(C242="","",SUM(J242:O242))</f>
        <v/>
      </c>
      <c r="W242" s="66" t="str">
        <f aca="false">IF(C242="","",SUM(P242:U242))</f>
        <v/>
      </c>
      <c r="X242" s="51" t="str">
        <f aca="false">IF(OR(C242="",V242=0),"",W242/V242)</f>
        <v/>
      </c>
      <c r="Y242" s="16" t="str">
        <f aca="false">IF(OR(C242="",V242=0),"",IF(W242&gt;=V242,"Sí","No"))</f>
        <v/>
      </c>
      <c r="Z242" s="9"/>
      <c r="AA242" s="9"/>
    </row>
    <row r="243" customFormat="false" ht="15" hidden="false" customHeight="false" outlineLevel="0" collapsed="false">
      <c r="A243" s="9"/>
      <c r="B243" s="9"/>
      <c r="C243" s="9"/>
      <c r="D243" s="16" t="str">
        <f aca="false">IF(C243="","",IFERROR(INDEX(LOOKAHEAD!$B$5:$B$604,MATCH(C243,LOOKAHEAD!$A$5:$A$604,0)),""))</f>
        <v/>
      </c>
      <c r="E243" s="16" t="str">
        <f aca="false">IF(C243="","",IFERROR(INDEX(LOOKAHEAD!$E$5:$E$604,MATCH(C243,LOOKAHEAD!$A$5:$A$604,0)),""))</f>
        <v/>
      </c>
      <c r="F243" s="16" t="str">
        <f aca="false">IF(C243="","",IFERROR(INDEX(LOOKAHEAD!$M$5:$M$604,MATCH(C243,LOOKAHEAD!$A$5:$A$604,0)),""))</f>
        <v/>
      </c>
      <c r="G243" s="9"/>
      <c r="H243" s="9"/>
      <c r="I243" s="16" t="str">
        <f aca="false">IF(C243="","",IFERROR(INDEX(LOOKAHEAD!$G$5:$G$604,MATCH(C243,LOOKAHEAD!$A$5:$A$604,0)),""))</f>
        <v/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66" t="str">
        <f aca="false">IF(C243="","",SUM(J243:O243))</f>
        <v/>
      </c>
      <c r="W243" s="66" t="str">
        <f aca="false">IF(C243="","",SUM(P243:U243))</f>
        <v/>
      </c>
      <c r="X243" s="51" t="str">
        <f aca="false">IF(OR(C243="",V243=0),"",W243/V243)</f>
        <v/>
      </c>
      <c r="Y243" s="16" t="str">
        <f aca="false">IF(OR(C243="",V243=0),"",IF(W243&gt;=V243,"Sí","No"))</f>
        <v/>
      </c>
      <c r="Z243" s="9"/>
      <c r="AA243" s="9"/>
    </row>
    <row r="244" customFormat="false" ht="15" hidden="false" customHeight="false" outlineLevel="0" collapsed="false">
      <c r="A244" s="9"/>
      <c r="B244" s="9"/>
      <c r="C244" s="9"/>
      <c r="D244" s="16" t="str">
        <f aca="false">IF(C244="","",IFERROR(INDEX(LOOKAHEAD!$B$5:$B$604,MATCH(C244,LOOKAHEAD!$A$5:$A$604,0)),""))</f>
        <v/>
      </c>
      <c r="E244" s="16" t="str">
        <f aca="false">IF(C244="","",IFERROR(INDEX(LOOKAHEAD!$E$5:$E$604,MATCH(C244,LOOKAHEAD!$A$5:$A$604,0)),""))</f>
        <v/>
      </c>
      <c r="F244" s="16" t="str">
        <f aca="false">IF(C244="","",IFERROR(INDEX(LOOKAHEAD!$M$5:$M$604,MATCH(C244,LOOKAHEAD!$A$5:$A$604,0)),""))</f>
        <v/>
      </c>
      <c r="G244" s="9"/>
      <c r="H244" s="9"/>
      <c r="I244" s="16" t="str">
        <f aca="false">IF(C244="","",IFERROR(INDEX(LOOKAHEAD!$G$5:$G$604,MATCH(C244,LOOKAHEAD!$A$5:$A$604,0)),""))</f>
        <v/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66" t="str">
        <f aca="false">IF(C244="","",SUM(J244:O244))</f>
        <v/>
      </c>
      <c r="W244" s="66" t="str">
        <f aca="false">IF(C244="","",SUM(P244:U244))</f>
        <v/>
      </c>
      <c r="X244" s="51" t="str">
        <f aca="false">IF(OR(C244="",V244=0),"",W244/V244)</f>
        <v/>
      </c>
      <c r="Y244" s="16" t="str">
        <f aca="false">IF(OR(C244="",V244=0),"",IF(W244&gt;=V244,"Sí","No"))</f>
        <v/>
      </c>
      <c r="Z244" s="9"/>
      <c r="AA244" s="9"/>
    </row>
    <row r="245" customFormat="false" ht="15" hidden="false" customHeight="false" outlineLevel="0" collapsed="false">
      <c r="A245" s="9"/>
      <c r="B245" s="9"/>
      <c r="C245" s="9"/>
      <c r="D245" s="16" t="str">
        <f aca="false">IF(C245="","",IFERROR(INDEX(LOOKAHEAD!$B$5:$B$604,MATCH(C245,LOOKAHEAD!$A$5:$A$604,0)),""))</f>
        <v/>
      </c>
      <c r="E245" s="16" t="str">
        <f aca="false">IF(C245="","",IFERROR(INDEX(LOOKAHEAD!$E$5:$E$604,MATCH(C245,LOOKAHEAD!$A$5:$A$604,0)),""))</f>
        <v/>
      </c>
      <c r="F245" s="16" t="str">
        <f aca="false">IF(C245="","",IFERROR(INDEX(LOOKAHEAD!$M$5:$M$604,MATCH(C245,LOOKAHEAD!$A$5:$A$604,0)),""))</f>
        <v/>
      </c>
      <c r="G245" s="9"/>
      <c r="H245" s="9"/>
      <c r="I245" s="16" t="str">
        <f aca="false">IF(C245="","",IFERROR(INDEX(LOOKAHEAD!$G$5:$G$604,MATCH(C245,LOOKAHEAD!$A$5:$A$604,0)),""))</f>
        <v/>
      </c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66" t="str">
        <f aca="false">IF(C245="","",SUM(J245:O245))</f>
        <v/>
      </c>
      <c r="W245" s="66" t="str">
        <f aca="false">IF(C245="","",SUM(P245:U245))</f>
        <v/>
      </c>
      <c r="X245" s="51" t="str">
        <f aca="false">IF(OR(C245="",V245=0),"",W245/V245)</f>
        <v/>
      </c>
      <c r="Y245" s="16" t="str">
        <f aca="false">IF(OR(C245="",V245=0),"",IF(W245&gt;=V245,"Sí","No"))</f>
        <v/>
      </c>
      <c r="Z245" s="9"/>
      <c r="AA245" s="9"/>
    </row>
    <row r="246" customFormat="false" ht="15" hidden="false" customHeight="false" outlineLevel="0" collapsed="false">
      <c r="A246" s="9"/>
      <c r="B246" s="9"/>
      <c r="C246" s="9"/>
      <c r="D246" s="16" t="str">
        <f aca="false">IF(C246="","",IFERROR(INDEX(LOOKAHEAD!$B$5:$B$604,MATCH(C246,LOOKAHEAD!$A$5:$A$604,0)),""))</f>
        <v/>
      </c>
      <c r="E246" s="16" t="str">
        <f aca="false">IF(C246="","",IFERROR(INDEX(LOOKAHEAD!$E$5:$E$604,MATCH(C246,LOOKAHEAD!$A$5:$A$604,0)),""))</f>
        <v/>
      </c>
      <c r="F246" s="16" t="str">
        <f aca="false">IF(C246="","",IFERROR(INDEX(LOOKAHEAD!$M$5:$M$604,MATCH(C246,LOOKAHEAD!$A$5:$A$604,0)),""))</f>
        <v/>
      </c>
      <c r="G246" s="9"/>
      <c r="H246" s="9"/>
      <c r="I246" s="16" t="str">
        <f aca="false">IF(C246="","",IFERROR(INDEX(LOOKAHEAD!$G$5:$G$604,MATCH(C246,LOOKAHEAD!$A$5:$A$604,0)),""))</f>
        <v/>
      </c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66" t="str">
        <f aca="false">IF(C246="","",SUM(J246:O246))</f>
        <v/>
      </c>
      <c r="W246" s="66" t="str">
        <f aca="false">IF(C246="","",SUM(P246:U246))</f>
        <v/>
      </c>
      <c r="X246" s="51" t="str">
        <f aca="false">IF(OR(C246="",V246=0),"",W246/V246)</f>
        <v/>
      </c>
      <c r="Y246" s="16" t="str">
        <f aca="false">IF(OR(C246="",V246=0),"",IF(W246&gt;=V246,"Sí","No"))</f>
        <v/>
      </c>
      <c r="Z246" s="9"/>
      <c r="AA246" s="9"/>
    </row>
    <row r="247" customFormat="false" ht="15" hidden="false" customHeight="false" outlineLevel="0" collapsed="false">
      <c r="A247" s="9"/>
      <c r="B247" s="9"/>
      <c r="C247" s="9"/>
      <c r="D247" s="16" t="str">
        <f aca="false">IF(C247="","",IFERROR(INDEX(LOOKAHEAD!$B$5:$B$604,MATCH(C247,LOOKAHEAD!$A$5:$A$604,0)),""))</f>
        <v/>
      </c>
      <c r="E247" s="16" t="str">
        <f aca="false">IF(C247="","",IFERROR(INDEX(LOOKAHEAD!$E$5:$E$604,MATCH(C247,LOOKAHEAD!$A$5:$A$604,0)),""))</f>
        <v/>
      </c>
      <c r="F247" s="16" t="str">
        <f aca="false">IF(C247="","",IFERROR(INDEX(LOOKAHEAD!$M$5:$M$604,MATCH(C247,LOOKAHEAD!$A$5:$A$604,0)),""))</f>
        <v/>
      </c>
      <c r="G247" s="9"/>
      <c r="H247" s="9"/>
      <c r="I247" s="16" t="str">
        <f aca="false">IF(C247="","",IFERROR(INDEX(LOOKAHEAD!$G$5:$G$604,MATCH(C247,LOOKAHEAD!$A$5:$A$604,0)),""))</f>
        <v/>
      </c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66" t="str">
        <f aca="false">IF(C247="","",SUM(J247:O247))</f>
        <v/>
      </c>
      <c r="W247" s="66" t="str">
        <f aca="false">IF(C247="","",SUM(P247:U247))</f>
        <v/>
      </c>
      <c r="X247" s="51" t="str">
        <f aca="false">IF(OR(C247="",V247=0),"",W247/V247)</f>
        <v/>
      </c>
      <c r="Y247" s="16" t="str">
        <f aca="false">IF(OR(C247="",V247=0),"",IF(W247&gt;=V247,"Sí","No"))</f>
        <v/>
      </c>
      <c r="Z247" s="9"/>
      <c r="AA247" s="9"/>
    </row>
    <row r="248" customFormat="false" ht="15" hidden="false" customHeight="false" outlineLevel="0" collapsed="false">
      <c r="A248" s="9"/>
      <c r="B248" s="9"/>
      <c r="C248" s="9"/>
      <c r="D248" s="16" t="str">
        <f aca="false">IF(C248="","",IFERROR(INDEX(LOOKAHEAD!$B$5:$B$604,MATCH(C248,LOOKAHEAD!$A$5:$A$604,0)),""))</f>
        <v/>
      </c>
      <c r="E248" s="16" t="str">
        <f aca="false">IF(C248="","",IFERROR(INDEX(LOOKAHEAD!$E$5:$E$604,MATCH(C248,LOOKAHEAD!$A$5:$A$604,0)),""))</f>
        <v/>
      </c>
      <c r="F248" s="16" t="str">
        <f aca="false">IF(C248="","",IFERROR(INDEX(LOOKAHEAD!$M$5:$M$604,MATCH(C248,LOOKAHEAD!$A$5:$A$604,0)),""))</f>
        <v/>
      </c>
      <c r="G248" s="9"/>
      <c r="H248" s="9"/>
      <c r="I248" s="16" t="str">
        <f aca="false">IF(C248="","",IFERROR(INDEX(LOOKAHEAD!$G$5:$G$604,MATCH(C248,LOOKAHEAD!$A$5:$A$604,0)),""))</f>
        <v/>
      </c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66" t="str">
        <f aca="false">IF(C248="","",SUM(J248:O248))</f>
        <v/>
      </c>
      <c r="W248" s="66" t="str">
        <f aca="false">IF(C248="","",SUM(P248:U248))</f>
        <v/>
      </c>
      <c r="X248" s="51" t="str">
        <f aca="false">IF(OR(C248="",V248=0),"",W248/V248)</f>
        <v/>
      </c>
      <c r="Y248" s="16" t="str">
        <f aca="false">IF(OR(C248="",V248=0),"",IF(W248&gt;=V248,"Sí","No"))</f>
        <v/>
      </c>
      <c r="Z248" s="9"/>
      <c r="AA248" s="9"/>
    </row>
    <row r="249" customFormat="false" ht="15" hidden="false" customHeight="false" outlineLevel="0" collapsed="false">
      <c r="A249" s="9"/>
      <c r="B249" s="9"/>
      <c r="C249" s="9"/>
      <c r="D249" s="16" t="str">
        <f aca="false">IF(C249="","",IFERROR(INDEX(LOOKAHEAD!$B$5:$B$604,MATCH(C249,LOOKAHEAD!$A$5:$A$604,0)),""))</f>
        <v/>
      </c>
      <c r="E249" s="16" t="str">
        <f aca="false">IF(C249="","",IFERROR(INDEX(LOOKAHEAD!$E$5:$E$604,MATCH(C249,LOOKAHEAD!$A$5:$A$604,0)),""))</f>
        <v/>
      </c>
      <c r="F249" s="16" t="str">
        <f aca="false">IF(C249="","",IFERROR(INDEX(LOOKAHEAD!$M$5:$M$604,MATCH(C249,LOOKAHEAD!$A$5:$A$604,0)),""))</f>
        <v/>
      </c>
      <c r="G249" s="9"/>
      <c r="H249" s="9"/>
      <c r="I249" s="16" t="str">
        <f aca="false">IF(C249="","",IFERROR(INDEX(LOOKAHEAD!$G$5:$G$604,MATCH(C249,LOOKAHEAD!$A$5:$A$604,0)),""))</f>
        <v/>
      </c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66" t="str">
        <f aca="false">IF(C249="","",SUM(J249:O249))</f>
        <v/>
      </c>
      <c r="W249" s="66" t="str">
        <f aca="false">IF(C249="","",SUM(P249:U249))</f>
        <v/>
      </c>
      <c r="X249" s="51" t="str">
        <f aca="false">IF(OR(C249="",V249=0),"",W249/V249)</f>
        <v/>
      </c>
      <c r="Y249" s="16" t="str">
        <f aca="false">IF(OR(C249="",V249=0),"",IF(W249&gt;=V249,"Sí","No"))</f>
        <v/>
      </c>
      <c r="Z249" s="9"/>
      <c r="AA249" s="9"/>
    </row>
    <row r="250" customFormat="false" ht="15" hidden="false" customHeight="false" outlineLevel="0" collapsed="false">
      <c r="A250" s="9"/>
      <c r="B250" s="9"/>
      <c r="C250" s="9"/>
      <c r="D250" s="16" t="str">
        <f aca="false">IF(C250="","",IFERROR(INDEX(LOOKAHEAD!$B$5:$B$604,MATCH(C250,LOOKAHEAD!$A$5:$A$604,0)),""))</f>
        <v/>
      </c>
      <c r="E250" s="16" t="str">
        <f aca="false">IF(C250="","",IFERROR(INDEX(LOOKAHEAD!$E$5:$E$604,MATCH(C250,LOOKAHEAD!$A$5:$A$604,0)),""))</f>
        <v/>
      </c>
      <c r="F250" s="16" t="str">
        <f aca="false">IF(C250="","",IFERROR(INDEX(LOOKAHEAD!$M$5:$M$604,MATCH(C250,LOOKAHEAD!$A$5:$A$604,0)),""))</f>
        <v/>
      </c>
      <c r="G250" s="9"/>
      <c r="H250" s="9"/>
      <c r="I250" s="16" t="str">
        <f aca="false">IF(C250="","",IFERROR(INDEX(LOOKAHEAD!$G$5:$G$604,MATCH(C250,LOOKAHEAD!$A$5:$A$604,0)),""))</f>
        <v/>
      </c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66" t="str">
        <f aca="false">IF(C250="","",SUM(J250:O250))</f>
        <v/>
      </c>
      <c r="W250" s="66" t="str">
        <f aca="false">IF(C250="","",SUM(P250:U250))</f>
        <v/>
      </c>
      <c r="X250" s="51" t="str">
        <f aca="false">IF(OR(C250="",V250=0),"",W250/V250)</f>
        <v/>
      </c>
      <c r="Y250" s="16" t="str">
        <f aca="false">IF(OR(C250="",V250=0),"",IF(W250&gt;=V250,"Sí","No"))</f>
        <v/>
      </c>
      <c r="Z250" s="9"/>
      <c r="AA250" s="9"/>
    </row>
    <row r="251" customFormat="false" ht="15" hidden="false" customHeight="false" outlineLevel="0" collapsed="false">
      <c r="A251" s="9"/>
      <c r="B251" s="9"/>
      <c r="C251" s="9"/>
      <c r="D251" s="16" t="str">
        <f aca="false">IF(C251="","",IFERROR(INDEX(LOOKAHEAD!$B$5:$B$604,MATCH(C251,LOOKAHEAD!$A$5:$A$604,0)),""))</f>
        <v/>
      </c>
      <c r="E251" s="16" t="str">
        <f aca="false">IF(C251="","",IFERROR(INDEX(LOOKAHEAD!$E$5:$E$604,MATCH(C251,LOOKAHEAD!$A$5:$A$604,0)),""))</f>
        <v/>
      </c>
      <c r="F251" s="16" t="str">
        <f aca="false">IF(C251="","",IFERROR(INDEX(LOOKAHEAD!$M$5:$M$604,MATCH(C251,LOOKAHEAD!$A$5:$A$604,0)),""))</f>
        <v/>
      </c>
      <c r="G251" s="9"/>
      <c r="H251" s="9"/>
      <c r="I251" s="16" t="str">
        <f aca="false">IF(C251="","",IFERROR(INDEX(LOOKAHEAD!$G$5:$G$604,MATCH(C251,LOOKAHEAD!$A$5:$A$604,0)),""))</f>
        <v/>
      </c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66" t="str">
        <f aca="false">IF(C251="","",SUM(J251:O251))</f>
        <v/>
      </c>
      <c r="W251" s="66" t="str">
        <f aca="false">IF(C251="","",SUM(P251:U251))</f>
        <v/>
      </c>
      <c r="X251" s="51" t="str">
        <f aca="false">IF(OR(C251="",V251=0),"",W251/V251)</f>
        <v/>
      </c>
      <c r="Y251" s="16" t="str">
        <f aca="false">IF(OR(C251="",V251=0),"",IF(W251&gt;=V251,"Sí","No"))</f>
        <v/>
      </c>
      <c r="Z251" s="9"/>
      <c r="AA251" s="9"/>
    </row>
    <row r="252" customFormat="false" ht="15" hidden="false" customHeight="false" outlineLevel="0" collapsed="false">
      <c r="A252" s="9"/>
      <c r="B252" s="9"/>
      <c r="C252" s="9"/>
      <c r="D252" s="16" t="str">
        <f aca="false">IF(C252="","",IFERROR(INDEX(LOOKAHEAD!$B$5:$B$604,MATCH(C252,LOOKAHEAD!$A$5:$A$604,0)),""))</f>
        <v/>
      </c>
      <c r="E252" s="16" t="str">
        <f aca="false">IF(C252="","",IFERROR(INDEX(LOOKAHEAD!$E$5:$E$604,MATCH(C252,LOOKAHEAD!$A$5:$A$604,0)),""))</f>
        <v/>
      </c>
      <c r="F252" s="16" t="str">
        <f aca="false">IF(C252="","",IFERROR(INDEX(LOOKAHEAD!$M$5:$M$604,MATCH(C252,LOOKAHEAD!$A$5:$A$604,0)),""))</f>
        <v/>
      </c>
      <c r="G252" s="9"/>
      <c r="H252" s="9"/>
      <c r="I252" s="16" t="str">
        <f aca="false">IF(C252="","",IFERROR(INDEX(LOOKAHEAD!$G$5:$G$604,MATCH(C252,LOOKAHEAD!$A$5:$A$604,0)),""))</f>
        <v/>
      </c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66" t="str">
        <f aca="false">IF(C252="","",SUM(J252:O252))</f>
        <v/>
      </c>
      <c r="W252" s="66" t="str">
        <f aca="false">IF(C252="","",SUM(P252:U252))</f>
        <v/>
      </c>
      <c r="X252" s="51" t="str">
        <f aca="false">IF(OR(C252="",V252=0),"",W252/V252)</f>
        <v/>
      </c>
      <c r="Y252" s="16" t="str">
        <f aca="false">IF(OR(C252="",V252=0),"",IF(W252&gt;=V252,"Sí","No"))</f>
        <v/>
      </c>
      <c r="Z252" s="9"/>
      <c r="AA252" s="9"/>
    </row>
    <row r="253" customFormat="false" ht="15" hidden="false" customHeight="false" outlineLevel="0" collapsed="false">
      <c r="A253" s="9"/>
      <c r="B253" s="9"/>
      <c r="C253" s="9"/>
      <c r="D253" s="16" t="str">
        <f aca="false">IF(C253="","",IFERROR(INDEX(LOOKAHEAD!$B$5:$B$604,MATCH(C253,LOOKAHEAD!$A$5:$A$604,0)),""))</f>
        <v/>
      </c>
      <c r="E253" s="16" t="str">
        <f aca="false">IF(C253="","",IFERROR(INDEX(LOOKAHEAD!$E$5:$E$604,MATCH(C253,LOOKAHEAD!$A$5:$A$604,0)),""))</f>
        <v/>
      </c>
      <c r="F253" s="16" t="str">
        <f aca="false">IF(C253="","",IFERROR(INDEX(LOOKAHEAD!$M$5:$M$604,MATCH(C253,LOOKAHEAD!$A$5:$A$604,0)),""))</f>
        <v/>
      </c>
      <c r="G253" s="9"/>
      <c r="H253" s="9"/>
      <c r="I253" s="16" t="str">
        <f aca="false">IF(C253="","",IFERROR(INDEX(LOOKAHEAD!$G$5:$G$604,MATCH(C253,LOOKAHEAD!$A$5:$A$604,0)),""))</f>
        <v/>
      </c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66" t="str">
        <f aca="false">IF(C253="","",SUM(J253:O253))</f>
        <v/>
      </c>
      <c r="W253" s="66" t="str">
        <f aca="false">IF(C253="","",SUM(P253:U253))</f>
        <v/>
      </c>
      <c r="X253" s="51" t="str">
        <f aca="false">IF(OR(C253="",V253=0),"",W253/V253)</f>
        <v/>
      </c>
      <c r="Y253" s="16" t="str">
        <f aca="false">IF(OR(C253="",V253=0),"",IF(W253&gt;=V253,"Sí","No"))</f>
        <v/>
      </c>
      <c r="Z253" s="9"/>
      <c r="AA253" s="9"/>
    </row>
    <row r="254" customFormat="false" ht="15" hidden="false" customHeight="false" outlineLevel="0" collapsed="false">
      <c r="A254" s="9"/>
      <c r="B254" s="9"/>
      <c r="C254" s="9"/>
      <c r="D254" s="16" t="str">
        <f aca="false">IF(C254="","",IFERROR(INDEX(LOOKAHEAD!$B$5:$B$604,MATCH(C254,LOOKAHEAD!$A$5:$A$604,0)),""))</f>
        <v/>
      </c>
      <c r="E254" s="16" t="str">
        <f aca="false">IF(C254="","",IFERROR(INDEX(LOOKAHEAD!$E$5:$E$604,MATCH(C254,LOOKAHEAD!$A$5:$A$604,0)),""))</f>
        <v/>
      </c>
      <c r="F254" s="16" t="str">
        <f aca="false">IF(C254="","",IFERROR(INDEX(LOOKAHEAD!$M$5:$M$604,MATCH(C254,LOOKAHEAD!$A$5:$A$604,0)),""))</f>
        <v/>
      </c>
      <c r="G254" s="9"/>
      <c r="H254" s="9"/>
      <c r="I254" s="16" t="str">
        <f aca="false">IF(C254="","",IFERROR(INDEX(LOOKAHEAD!$G$5:$G$604,MATCH(C254,LOOKAHEAD!$A$5:$A$604,0)),""))</f>
        <v/>
      </c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66" t="str">
        <f aca="false">IF(C254="","",SUM(J254:O254))</f>
        <v/>
      </c>
      <c r="W254" s="66" t="str">
        <f aca="false">IF(C254="","",SUM(P254:U254))</f>
        <v/>
      </c>
      <c r="X254" s="51" t="str">
        <f aca="false">IF(OR(C254="",V254=0),"",W254/V254)</f>
        <v/>
      </c>
      <c r="Y254" s="16" t="str">
        <f aca="false">IF(OR(C254="",V254=0),"",IF(W254&gt;=V254,"Sí","No"))</f>
        <v/>
      </c>
      <c r="Z254" s="9"/>
      <c r="AA254" s="9"/>
    </row>
    <row r="255" customFormat="false" ht="15" hidden="false" customHeight="false" outlineLevel="0" collapsed="false">
      <c r="A255" s="9"/>
      <c r="B255" s="9"/>
      <c r="C255" s="9"/>
      <c r="D255" s="16" t="str">
        <f aca="false">IF(C255="","",IFERROR(INDEX(LOOKAHEAD!$B$5:$B$604,MATCH(C255,LOOKAHEAD!$A$5:$A$604,0)),""))</f>
        <v/>
      </c>
      <c r="E255" s="16" t="str">
        <f aca="false">IF(C255="","",IFERROR(INDEX(LOOKAHEAD!$E$5:$E$604,MATCH(C255,LOOKAHEAD!$A$5:$A$604,0)),""))</f>
        <v/>
      </c>
      <c r="F255" s="16" t="str">
        <f aca="false">IF(C255="","",IFERROR(INDEX(LOOKAHEAD!$M$5:$M$604,MATCH(C255,LOOKAHEAD!$A$5:$A$604,0)),""))</f>
        <v/>
      </c>
      <c r="G255" s="9"/>
      <c r="H255" s="9"/>
      <c r="I255" s="16" t="str">
        <f aca="false">IF(C255="","",IFERROR(INDEX(LOOKAHEAD!$G$5:$G$604,MATCH(C255,LOOKAHEAD!$A$5:$A$604,0)),""))</f>
        <v/>
      </c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66" t="str">
        <f aca="false">IF(C255="","",SUM(J255:O255))</f>
        <v/>
      </c>
      <c r="W255" s="66" t="str">
        <f aca="false">IF(C255="","",SUM(P255:U255))</f>
        <v/>
      </c>
      <c r="X255" s="51" t="str">
        <f aca="false">IF(OR(C255="",V255=0),"",W255/V255)</f>
        <v/>
      </c>
      <c r="Y255" s="16" t="str">
        <f aca="false">IF(OR(C255="",V255=0),"",IF(W255&gt;=V255,"Sí","No"))</f>
        <v/>
      </c>
      <c r="Z255" s="9"/>
      <c r="AA255" s="9"/>
    </row>
    <row r="256" customFormat="false" ht="15" hidden="false" customHeight="false" outlineLevel="0" collapsed="false">
      <c r="A256" s="9"/>
      <c r="B256" s="9"/>
      <c r="C256" s="9"/>
      <c r="D256" s="16" t="str">
        <f aca="false">IF(C256="","",IFERROR(INDEX(LOOKAHEAD!$B$5:$B$604,MATCH(C256,LOOKAHEAD!$A$5:$A$604,0)),""))</f>
        <v/>
      </c>
      <c r="E256" s="16" t="str">
        <f aca="false">IF(C256="","",IFERROR(INDEX(LOOKAHEAD!$E$5:$E$604,MATCH(C256,LOOKAHEAD!$A$5:$A$604,0)),""))</f>
        <v/>
      </c>
      <c r="F256" s="16" t="str">
        <f aca="false">IF(C256="","",IFERROR(INDEX(LOOKAHEAD!$M$5:$M$604,MATCH(C256,LOOKAHEAD!$A$5:$A$604,0)),""))</f>
        <v/>
      </c>
      <c r="G256" s="9"/>
      <c r="H256" s="9"/>
      <c r="I256" s="16" t="str">
        <f aca="false">IF(C256="","",IFERROR(INDEX(LOOKAHEAD!$G$5:$G$604,MATCH(C256,LOOKAHEAD!$A$5:$A$604,0)),""))</f>
        <v/>
      </c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66" t="str">
        <f aca="false">IF(C256="","",SUM(J256:O256))</f>
        <v/>
      </c>
      <c r="W256" s="66" t="str">
        <f aca="false">IF(C256="","",SUM(P256:U256))</f>
        <v/>
      </c>
      <c r="X256" s="51" t="str">
        <f aca="false">IF(OR(C256="",V256=0),"",W256/V256)</f>
        <v/>
      </c>
      <c r="Y256" s="16" t="str">
        <f aca="false">IF(OR(C256="",V256=0),"",IF(W256&gt;=V256,"Sí","No"))</f>
        <v/>
      </c>
      <c r="Z256" s="9"/>
      <c r="AA256" s="9"/>
    </row>
    <row r="257" customFormat="false" ht="15" hidden="false" customHeight="false" outlineLevel="0" collapsed="false">
      <c r="A257" s="9"/>
      <c r="B257" s="9"/>
      <c r="C257" s="9"/>
      <c r="D257" s="16" t="str">
        <f aca="false">IF(C257="","",IFERROR(INDEX(LOOKAHEAD!$B$5:$B$604,MATCH(C257,LOOKAHEAD!$A$5:$A$604,0)),""))</f>
        <v/>
      </c>
      <c r="E257" s="16" t="str">
        <f aca="false">IF(C257="","",IFERROR(INDEX(LOOKAHEAD!$E$5:$E$604,MATCH(C257,LOOKAHEAD!$A$5:$A$604,0)),""))</f>
        <v/>
      </c>
      <c r="F257" s="16" t="str">
        <f aca="false">IF(C257="","",IFERROR(INDEX(LOOKAHEAD!$M$5:$M$604,MATCH(C257,LOOKAHEAD!$A$5:$A$604,0)),""))</f>
        <v/>
      </c>
      <c r="G257" s="9"/>
      <c r="H257" s="9"/>
      <c r="I257" s="16" t="str">
        <f aca="false">IF(C257="","",IFERROR(INDEX(LOOKAHEAD!$G$5:$G$604,MATCH(C257,LOOKAHEAD!$A$5:$A$604,0)),""))</f>
        <v/>
      </c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66" t="str">
        <f aca="false">IF(C257="","",SUM(J257:O257))</f>
        <v/>
      </c>
      <c r="W257" s="66" t="str">
        <f aca="false">IF(C257="","",SUM(P257:U257))</f>
        <v/>
      </c>
      <c r="X257" s="51" t="str">
        <f aca="false">IF(OR(C257="",V257=0),"",W257/V257)</f>
        <v/>
      </c>
      <c r="Y257" s="16" t="str">
        <f aca="false">IF(OR(C257="",V257=0),"",IF(W257&gt;=V257,"Sí","No"))</f>
        <v/>
      </c>
      <c r="Z257" s="9"/>
      <c r="AA257" s="9"/>
    </row>
    <row r="258" customFormat="false" ht="15" hidden="false" customHeight="false" outlineLevel="0" collapsed="false">
      <c r="A258" s="9"/>
      <c r="B258" s="9"/>
      <c r="C258" s="9"/>
      <c r="D258" s="16" t="str">
        <f aca="false">IF(C258="","",IFERROR(INDEX(LOOKAHEAD!$B$5:$B$604,MATCH(C258,LOOKAHEAD!$A$5:$A$604,0)),""))</f>
        <v/>
      </c>
      <c r="E258" s="16" t="str">
        <f aca="false">IF(C258="","",IFERROR(INDEX(LOOKAHEAD!$E$5:$E$604,MATCH(C258,LOOKAHEAD!$A$5:$A$604,0)),""))</f>
        <v/>
      </c>
      <c r="F258" s="16" t="str">
        <f aca="false">IF(C258="","",IFERROR(INDEX(LOOKAHEAD!$M$5:$M$604,MATCH(C258,LOOKAHEAD!$A$5:$A$604,0)),""))</f>
        <v/>
      </c>
      <c r="G258" s="9"/>
      <c r="H258" s="9"/>
      <c r="I258" s="16" t="str">
        <f aca="false">IF(C258="","",IFERROR(INDEX(LOOKAHEAD!$G$5:$G$604,MATCH(C258,LOOKAHEAD!$A$5:$A$604,0)),""))</f>
        <v/>
      </c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66" t="str">
        <f aca="false">IF(C258="","",SUM(J258:O258))</f>
        <v/>
      </c>
      <c r="W258" s="66" t="str">
        <f aca="false">IF(C258="","",SUM(P258:U258))</f>
        <v/>
      </c>
      <c r="X258" s="51" t="str">
        <f aca="false">IF(OR(C258="",V258=0),"",W258/V258)</f>
        <v/>
      </c>
      <c r="Y258" s="16" t="str">
        <f aca="false">IF(OR(C258="",V258=0),"",IF(W258&gt;=V258,"Sí","No"))</f>
        <v/>
      </c>
      <c r="Z258" s="9"/>
      <c r="AA258" s="9"/>
    </row>
    <row r="259" customFormat="false" ht="15" hidden="false" customHeight="false" outlineLevel="0" collapsed="false">
      <c r="A259" s="9"/>
      <c r="B259" s="9"/>
      <c r="C259" s="9"/>
      <c r="D259" s="16" t="str">
        <f aca="false">IF(C259="","",IFERROR(INDEX(LOOKAHEAD!$B$5:$B$604,MATCH(C259,LOOKAHEAD!$A$5:$A$604,0)),""))</f>
        <v/>
      </c>
      <c r="E259" s="16" t="str">
        <f aca="false">IF(C259="","",IFERROR(INDEX(LOOKAHEAD!$E$5:$E$604,MATCH(C259,LOOKAHEAD!$A$5:$A$604,0)),""))</f>
        <v/>
      </c>
      <c r="F259" s="16" t="str">
        <f aca="false">IF(C259="","",IFERROR(INDEX(LOOKAHEAD!$M$5:$M$604,MATCH(C259,LOOKAHEAD!$A$5:$A$604,0)),""))</f>
        <v/>
      </c>
      <c r="G259" s="9"/>
      <c r="H259" s="9"/>
      <c r="I259" s="16" t="str">
        <f aca="false">IF(C259="","",IFERROR(INDEX(LOOKAHEAD!$G$5:$G$604,MATCH(C259,LOOKAHEAD!$A$5:$A$604,0)),""))</f>
        <v/>
      </c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66" t="str">
        <f aca="false">IF(C259="","",SUM(J259:O259))</f>
        <v/>
      </c>
      <c r="W259" s="66" t="str">
        <f aca="false">IF(C259="","",SUM(P259:U259))</f>
        <v/>
      </c>
      <c r="X259" s="51" t="str">
        <f aca="false">IF(OR(C259="",V259=0),"",W259/V259)</f>
        <v/>
      </c>
      <c r="Y259" s="16" t="str">
        <f aca="false">IF(OR(C259="",V259=0),"",IF(W259&gt;=V259,"Sí","No"))</f>
        <v/>
      </c>
      <c r="Z259" s="9"/>
      <c r="AA259" s="9"/>
    </row>
    <row r="260" customFormat="false" ht="15" hidden="false" customHeight="false" outlineLevel="0" collapsed="false">
      <c r="A260" s="9"/>
      <c r="B260" s="9"/>
      <c r="C260" s="9"/>
      <c r="D260" s="16" t="str">
        <f aca="false">IF(C260="","",IFERROR(INDEX(LOOKAHEAD!$B$5:$B$604,MATCH(C260,LOOKAHEAD!$A$5:$A$604,0)),""))</f>
        <v/>
      </c>
      <c r="E260" s="16" t="str">
        <f aca="false">IF(C260="","",IFERROR(INDEX(LOOKAHEAD!$E$5:$E$604,MATCH(C260,LOOKAHEAD!$A$5:$A$604,0)),""))</f>
        <v/>
      </c>
      <c r="F260" s="16" t="str">
        <f aca="false">IF(C260="","",IFERROR(INDEX(LOOKAHEAD!$M$5:$M$604,MATCH(C260,LOOKAHEAD!$A$5:$A$604,0)),""))</f>
        <v/>
      </c>
      <c r="G260" s="9"/>
      <c r="H260" s="9"/>
      <c r="I260" s="16" t="str">
        <f aca="false">IF(C260="","",IFERROR(INDEX(LOOKAHEAD!$G$5:$G$604,MATCH(C260,LOOKAHEAD!$A$5:$A$604,0)),""))</f>
        <v/>
      </c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66" t="str">
        <f aca="false">IF(C260="","",SUM(J260:O260))</f>
        <v/>
      </c>
      <c r="W260" s="66" t="str">
        <f aca="false">IF(C260="","",SUM(P260:U260))</f>
        <v/>
      </c>
      <c r="X260" s="51" t="str">
        <f aca="false">IF(OR(C260="",V260=0),"",W260/V260)</f>
        <v/>
      </c>
      <c r="Y260" s="16" t="str">
        <f aca="false">IF(OR(C260="",V260=0),"",IF(W260&gt;=V260,"Sí","No"))</f>
        <v/>
      </c>
      <c r="Z260" s="9"/>
      <c r="AA260" s="9"/>
    </row>
    <row r="261" customFormat="false" ht="15" hidden="false" customHeight="false" outlineLevel="0" collapsed="false">
      <c r="A261" s="9"/>
      <c r="B261" s="9"/>
      <c r="C261" s="9"/>
      <c r="D261" s="16" t="str">
        <f aca="false">IF(C261="","",IFERROR(INDEX(LOOKAHEAD!$B$5:$B$604,MATCH(C261,LOOKAHEAD!$A$5:$A$604,0)),""))</f>
        <v/>
      </c>
      <c r="E261" s="16" t="str">
        <f aca="false">IF(C261="","",IFERROR(INDEX(LOOKAHEAD!$E$5:$E$604,MATCH(C261,LOOKAHEAD!$A$5:$A$604,0)),""))</f>
        <v/>
      </c>
      <c r="F261" s="16" t="str">
        <f aca="false">IF(C261="","",IFERROR(INDEX(LOOKAHEAD!$M$5:$M$604,MATCH(C261,LOOKAHEAD!$A$5:$A$604,0)),""))</f>
        <v/>
      </c>
      <c r="G261" s="9"/>
      <c r="H261" s="9"/>
      <c r="I261" s="16" t="str">
        <f aca="false">IF(C261="","",IFERROR(INDEX(LOOKAHEAD!$G$5:$G$604,MATCH(C261,LOOKAHEAD!$A$5:$A$604,0)),""))</f>
        <v/>
      </c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66" t="str">
        <f aca="false">IF(C261="","",SUM(J261:O261))</f>
        <v/>
      </c>
      <c r="W261" s="66" t="str">
        <f aca="false">IF(C261="","",SUM(P261:U261))</f>
        <v/>
      </c>
      <c r="X261" s="51" t="str">
        <f aca="false">IF(OR(C261="",V261=0),"",W261/V261)</f>
        <v/>
      </c>
      <c r="Y261" s="16" t="str">
        <f aca="false">IF(OR(C261="",V261=0),"",IF(W261&gt;=V261,"Sí","No"))</f>
        <v/>
      </c>
      <c r="Z261" s="9"/>
      <c r="AA261" s="9"/>
    </row>
    <row r="262" customFormat="false" ht="15" hidden="false" customHeight="false" outlineLevel="0" collapsed="false">
      <c r="A262" s="9"/>
      <c r="B262" s="9"/>
      <c r="C262" s="9"/>
      <c r="D262" s="16" t="str">
        <f aca="false">IF(C262="","",IFERROR(INDEX(LOOKAHEAD!$B$5:$B$604,MATCH(C262,LOOKAHEAD!$A$5:$A$604,0)),""))</f>
        <v/>
      </c>
      <c r="E262" s="16" t="str">
        <f aca="false">IF(C262="","",IFERROR(INDEX(LOOKAHEAD!$E$5:$E$604,MATCH(C262,LOOKAHEAD!$A$5:$A$604,0)),""))</f>
        <v/>
      </c>
      <c r="F262" s="16" t="str">
        <f aca="false">IF(C262="","",IFERROR(INDEX(LOOKAHEAD!$M$5:$M$604,MATCH(C262,LOOKAHEAD!$A$5:$A$604,0)),""))</f>
        <v/>
      </c>
      <c r="G262" s="9"/>
      <c r="H262" s="9"/>
      <c r="I262" s="16" t="str">
        <f aca="false">IF(C262="","",IFERROR(INDEX(LOOKAHEAD!$G$5:$G$604,MATCH(C262,LOOKAHEAD!$A$5:$A$604,0)),""))</f>
        <v/>
      </c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66" t="str">
        <f aca="false">IF(C262="","",SUM(J262:O262))</f>
        <v/>
      </c>
      <c r="W262" s="66" t="str">
        <f aca="false">IF(C262="","",SUM(P262:U262))</f>
        <v/>
      </c>
      <c r="X262" s="51" t="str">
        <f aca="false">IF(OR(C262="",V262=0),"",W262/V262)</f>
        <v/>
      </c>
      <c r="Y262" s="16" t="str">
        <f aca="false">IF(OR(C262="",V262=0),"",IF(W262&gt;=V262,"Sí","No"))</f>
        <v/>
      </c>
      <c r="Z262" s="9"/>
      <c r="AA262" s="9"/>
    </row>
    <row r="263" customFormat="false" ht="15" hidden="false" customHeight="false" outlineLevel="0" collapsed="false">
      <c r="A263" s="9"/>
      <c r="B263" s="9"/>
      <c r="C263" s="9"/>
      <c r="D263" s="16" t="str">
        <f aca="false">IF(C263="","",IFERROR(INDEX(LOOKAHEAD!$B$5:$B$604,MATCH(C263,LOOKAHEAD!$A$5:$A$604,0)),""))</f>
        <v/>
      </c>
      <c r="E263" s="16" t="str">
        <f aca="false">IF(C263="","",IFERROR(INDEX(LOOKAHEAD!$E$5:$E$604,MATCH(C263,LOOKAHEAD!$A$5:$A$604,0)),""))</f>
        <v/>
      </c>
      <c r="F263" s="16" t="str">
        <f aca="false">IF(C263="","",IFERROR(INDEX(LOOKAHEAD!$M$5:$M$604,MATCH(C263,LOOKAHEAD!$A$5:$A$604,0)),""))</f>
        <v/>
      </c>
      <c r="G263" s="9"/>
      <c r="H263" s="9"/>
      <c r="I263" s="16" t="str">
        <f aca="false">IF(C263="","",IFERROR(INDEX(LOOKAHEAD!$G$5:$G$604,MATCH(C263,LOOKAHEAD!$A$5:$A$604,0)),""))</f>
        <v/>
      </c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66" t="str">
        <f aca="false">IF(C263="","",SUM(J263:O263))</f>
        <v/>
      </c>
      <c r="W263" s="66" t="str">
        <f aca="false">IF(C263="","",SUM(P263:U263))</f>
        <v/>
      </c>
      <c r="X263" s="51" t="str">
        <f aca="false">IF(OR(C263="",V263=0),"",W263/V263)</f>
        <v/>
      </c>
      <c r="Y263" s="16" t="str">
        <f aca="false">IF(OR(C263="",V263=0),"",IF(W263&gt;=V263,"Sí","No"))</f>
        <v/>
      </c>
      <c r="Z263" s="9"/>
      <c r="AA263" s="9"/>
    </row>
    <row r="264" customFormat="false" ht="15" hidden="false" customHeight="false" outlineLevel="0" collapsed="false">
      <c r="A264" s="9"/>
      <c r="B264" s="9"/>
      <c r="C264" s="9"/>
      <c r="D264" s="16" t="str">
        <f aca="false">IF(C264="","",IFERROR(INDEX(LOOKAHEAD!$B$5:$B$604,MATCH(C264,LOOKAHEAD!$A$5:$A$604,0)),""))</f>
        <v/>
      </c>
      <c r="E264" s="16" t="str">
        <f aca="false">IF(C264="","",IFERROR(INDEX(LOOKAHEAD!$E$5:$E$604,MATCH(C264,LOOKAHEAD!$A$5:$A$604,0)),""))</f>
        <v/>
      </c>
      <c r="F264" s="16" t="str">
        <f aca="false">IF(C264="","",IFERROR(INDEX(LOOKAHEAD!$M$5:$M$604,MATCH(C264,LOOKAHEAD!$A$5:$A$604,0)),""))</f>
        <v/>
      </c>
      <c r="G264" s="9"/>
      <c r="H264" s="9"/>
      <c r="I264" s="16" t="str">
        <f aca="false">IF(C264="","",IFERROR(INDEX(LOOKAHEAD!$G$5:$G$604,MATCH(C264,LOOKAHEAD!$A$5:$A$604,0)),""))</f>
        <v/>
      </c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66" t="str">
        <f aca="false">IF(C264="","",SUM(J264:O264))</f>
        <v/>
      </c>
      <c r="W264" s="66" t="str">
        <f aca="false">IF(C264="","",SUM(P264:U264))</f>
        <v/>
      </c>
      <c r="X264" s="51" t="str">
        <f aca="false">IF(OR(C264="",V264=0),"",W264/V264)</f>
        <v/>
      </c>
      <c r="Y264" s="16" t="str">
        <f aca="false">IF(OR(C264="",V264=0),"",IF(W264&gt;=V264,"Sí","No"))</f>
        <v/>
      </c>
      <c r="Z264" s="9"/>
      <c r="AA264" s="9"/>
    </row>
    <row r="265" customFormat="false" ht="15" hidden="false" customHeight="false" outlineLevel="0" collapsed="false">
      <c r="A265" s="9"/>
      <c r="B265" s="9"/>
      <c r="C265" s="9"/>
      <c r="D265" s="16" t="str">
        <f aca="false">IF(C265="","",IFERROR(INDEX(LOOKAHEAD!$B$5:$B$604,MATCH(C265,LOOKAHEAD!$A$5:$A$604,0)),""))</f>
        <v/>
      </c>
      <c r="E265" s="16" t="str">
        <f aca="false">IF(C265="","",IFERROR(INDEX(LOOKAHEAD!$E$5:$E$604,MATCH(C265,LOOKAHEAD!$A$5:$A$604,0)),""))</f>
        <v/>
      </c>
      <c r="F265" s="16" t="str">
        <f aca="false">IF(C265="","",IFERROR(INDEX(LOOKAHEAD!$M$5:$M$604,MATCH(C265,LOOKAHEAD!$A$5:$A$604,0)),""))</f>
        <v/>
      </c>
      <c r="G265" s="9"/>
      <c r="H265" s="9"/>
      <c r="I265" s="16" t="str">
        <f aca="false">IF(C265="","",IFERROR(INDEX(LOOKAHEAD!$G$5:$G$604,MATCH(C265,LOOKAHEAD!$A$5:$A$604,0)),""))</f>
        <v/>
      </c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66" t="str">
        <f aca="false">IF(C265="","",SUM(J265:O265))</f>
        <v/>
      </c>
      <c r="W265" s="66" t="str">
        <f aca="false">IF(C265="","",SUM(P265:U265))</f>
        <v/>
      </c>
      <c r="X265" s="51" t="str">
        <f aca="false">IF(OR(C265="",V265=0),"",W265/V265)</f>
        <v/>
      </c>
      <c r="Y265" s="16" t="str">
        <f aca="false">IF(OR(C265="",V265=0),"",IF(W265&gt;=V265,"Sí","No"))</f>
        <v/>
      </c>
      <c r="Z265" s="9"/>
      <c r="AA265" s="9"/>
    </row>
    <row r="266" customFormat="false" ht="15" hidden="false" customHeight="false" outlineLevel="0" collapsed="false">
      <c r="A266" s="9"/>
      <c r="B266" s="9"/>
      <c r="C266" s="9"/>
      <c r="D266" s="16" t="str">
        <f aca="false">IF(C266="","",IFERROR(INDEX(LOOKAHEAD!$B$5:$B$604,MATCH(C266,LOOKAHEAD!$A$5:$A$604,0)),""))</f>
        <v/>
      </c>
      <c r="E266" s="16" t="str">
        <f aca="false">IF(C266="","",IFERROR(INDEX(LOOKAHEAD!$E$5:$E$604,MATCH(C266,LOOKAHEAD!$A$5:$A$604,0)),""))</f>
        <v/>
      </c>
      <c r="F266" s="16" t="str">
        <f aca="false">IF(C266="","",IFERROR(INDEX(LOOKAHEAD!$M$5:$M$604,MATCH(C266,LOOKAHEAD!$A$5:$A$604,0)),""))</f>
        <v/>
      </c>
      <c r="G266" s="9"/>
      <c r="H266" s="9"/>
      <c r="I266" s="16" t="str">
        <f aca="false">IF(C266="","",IFERROR(INDEX(LOOKAHEAD!$G$5:$G$604,MATCH(C266,LOOKAHEAD!$A$5:$A$604,0)),""))</f>
        <v/>
      </c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66" t="str">
        <f aca="false">IF(C266="","",SUM(J266:O266))</f>
        <v/>
      </c>
      <c r="W266" s="66" t="str">
        <f aca="false">IF(C266="","",SUM(P266:U266))</f>
        <v/>
      </c>
      <c r="X266" s="51" t="str">
        <f aca="false">IF(OR(C266="",V266=0),"",W266/V266)</f>
        <v/>
      </c>
      <c r="Y266" s="16" t="str">
        <f aca="false">IF(OR(C266="",V266=0),"",IF(W266&gt;=V266,"Sí","No"))</f>
        <v/>
      </c>
      <c r="Z266" s="9"/>
      <c r="AA266" s="9"/>
    </row>
    <row r="267" customFormat="false" ht="15" hidden="false" customHeight="false" outlineLevel="0" collapsed="false">
      <c r="A267" s="9"/>
      <c r="B267" s="9"/>
      <c r="C267" s="9"/>
      <c r="D267" s="16" t="str">
        <f aca="false">IF(C267="","",IFERROR(INDEX(LOOKAHEAD!$B$5:$B$604,MATCH(C267,LOOKAHEAD!$A$5:$A$604,0)),""))</f>
        <v/>
      </c>
      <c r="E267" s="16" t="str">
        <f aca="false">IF(C267="","",IFERROR(INDEX(LOOKAHEAD!$E$5:$E$604,MATCH(C267,LOOKAHEAD!$A$5:$A$604,0)),""))</f>
        <v/>
      </c>
      <c r="F267" s="16" t="str">
        <f aca="false">IF(C267="","",IFERROR(INDEX(LOOKAHEAD!$M$5:$M$604,MATCH(C267,LOOKAHEAD!$A$5:$A$604,0)),""))</f>
        <v/>
      </c>
      <c r="G267" s="9"/>
      <c r="H267" s="9"/>
      <c r="I267" s="16" t="str">
        <f aca="false">IF(C267="","",IFERROR(INDEX(LOOKAHEAD!$G$5:$G$604,MATCH(C267,LOOKAHEAD!$A$5:$A$604,0)),""))</f>
        <v/>
      </c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66" t="str">
        <f aca="false">IF(C267="","",SUM(J267:O267))</f>
        <v/>
      </c>
      <c r="W267" s="66" t="str">
        <f aca="false">IF(C267="","",SUM(P267:U267))</f>
        <v/>
      </c>
      <c r="X267" s="51" t="str">
        <f aca="false">IF(OR(C267="",V267=0),"",W267/V267)</f>
        <v/>
      </c>
      <c r="Y267" s="16" t="str">
        <f aca="false">IF(OR(C267="",V267=0),"",IF(W267&gt;=V267,"Sí","No"))</f>
        <v/>
      </c>
      <c r="Z267" s="9"/>
      <c r="AA267" s="9"/>
    </row>
    <row r="268" customFormat="false" ht="15" hidden="false" customHeight="false" outlineLevel="0" collapsed="false">
      <c r="A268" s="9"/>
      <c r="B268" s="9"/>
      <c r="C268" s="9"/>
      <c r="D268" s="16" t="str">
        <f aca="false">IF(C268="","",IFERROR(INDEX(LOOKAHEAD!$B$5:$B$604,MATCH(C268,LOOKAHEAD!$A$5:$A$604,0)),""))</f>
        <v/>
      </c>
      <c r="E268" s="16" t="str">
        <f aca="false">IF(C268="","",IFERROR(INDEX(LOOKAHEAD!$E$5:$E$604,MATCH(C268,LOOKAHEAD!$A$5:$A$604,0)),""))</f>
        <v/>
      </c>
      <c r="F268" s="16" t="str">
        <f aca="false">IF(C268="","",IFERROR(INDEX(LOOKAHEAD!$M$5:$M$604,MATCH(C268,LOOKAHEAD!$A$5:$A$604,0)),""))</f>
        <v/>
      </c>
      <c r="G268" s="9"/>
      <c r="H268" s="9"/>
      <c r="I268" s="16" t="str">
        <f aca="false">IF(C268="","",IFERROR(INDEX(LOOKAHEAD!$G$5:$G$604,MATCH(C268,LOOKAHEAD!$A$5:$A$604,0)),""))</f>
        <v/>
      </c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66" t="str">
        <f aca="false">IF(C268="","",SUM(J268:O268))</f>
        <v/>
      </c>
      <c r="W268" s="66" t="str">
        <f aca="false">IF(C268="","",SUM(P268:U268))</f>
        <v/>
      </c>
      <c r="X268" s="51" t="str">
        <f aca="false">IF(OR(C268="",V268=0),"",W268/V268)</f>
        <v/>
      </c>
      <c r="Y268" s="16" t="str">
        <f aca="false">IF(OR(C268="",V268=0),"",IF(W268&gt;=V268,"Sí","No"))</f>
        <v/>
      </c>
      <c r="Z268" s="9"/>
      <c r="AA268" s="9"/>
    </row>
    <row r="269" customFormat="false" ht="15" hidden="false" customHeight="false" outlineLevel="0" collapsed="false">
      <c r="A269" s="9"/>
      <c r="B269" s="9"/>
      <c r="C269" s="9"/>
      <c r="D269" s="16" t="str">
        <f aca="false">IF(C269="","",IFERROR(INDEX(LOOKAHEAD!$B$5:$B$604,MATCH(C269,LOOKAHEAD!$A$5:$A$604,0)),""))</f>
        <v/>
      </c>
      <c r="E269" s="16" t="str">
        <f aca="false">IF(C269="","",IFERROR(INDEX(LOOKAHEAD!$E$5:$E$604,MATCH(C269,LOOKAHEAD!$A$5:$A$604,0)),""))</f>
        <v/>
      </c>
      <c r="F269" s="16" t="str">
        <f aca="false">IF(C269="","",IFERROR(INDEX(LOOKAHEAD!$M$5:$M$604,MATCH(C269,LOOKAHEAD!$A$5:$A$604,0)),""))</f>
        <v/>
      </c>
      <c r="G269" s="9"/>
      <c r="H269" s="9"/>
      <c r="I269" s="16" t="str">
        <f aca="false">IF(C269="","",IFERROR(INDEX(LOOKAHEAD!$G$5:$G$604,MATCH(C269,LOOKAHEAD!$A$5:$A$604,0)),""))</f>
        <v/>
      </c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66" t="str">
        <f aca="false">IF(C269="","",SUM(J269:O269))</f>
        <v/>
      </c>
      <c r="W269" s="66" t="str">
        <f aca="false">IF(C269="","",SUM(P269:U269))</f>
        <v/>
      </c>
      <c r="X269" s="51" t="str">
        <f aca="false">IF(OR(C269="",V269=0),"",W269/V269)</f>
        <v/>
      </c>
      <c r="Y269" s="16" t="str">
        <f aca="false">IF(OR(C269="",V269=0),"",IF(W269&gt;=V269,"Sí","No"))</f>
        <v/>
      </c>
      <c r="Z269" s="9"/>
      <c r="AA269" s="9"/>
    </row>
    <row r="270" customFormat="false" ht="15" hidden="false" customHeight="false" outlineLevel="0" collapsed="false">
      <c r="A270" s="9"/>
      <c r="B270" s="9"/>
      <c r="C270" s="9"/>
      <c r="D270" s="16" t="str">
        <f aca="false">IF(C270="","",IFERROR(INDEX(LOOKAHEAD!$B$5:$B$604,MATCH(C270,LOOKAHEAD!$A$5:$A$604,0)),""))</f>
        <v/>
      </c>
      <c r="E270" s="16" t="str">
        <f aca="false">IF(C270="","",IFERROR(INDEX(LOOKAHEAD!$E$5:$E$604,MATCH(C270,LOOKAHEAD!$A$5:$A$604,0)),""))</f>
        <v/>
      </c>
      <c r="F270" s="16" t="str">
        <f aca="false">IF(C270="","",IFERROR(INDEX(LOOKAHEAD!$M$5:$M$604,MATCH(C270,LOOKAHEAD!$A$5:$A$604,0)),""))</f>
        <v/>
      </c>
      <c r="G270" s="9"/>
      <c r="H270" s="9"/>
      <c r="I270" s="16" t="str">
        <f aca="false">IF(C270="","",IFERROR(INDEX(LOOKAHEAD!$G$5:$G$604,MATCH(C270,LOOKAHEAD!$A$5:$A$604,0)),""))</f>
        <v/>
      </c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66" t="str">
        <f aca="false">IF(C270="","",SUM(J270:O270))</f>
        <v/>
      </c>
      <c r="W270" s="66" t="str">
        <f aca="false">IF(C270="","",SUM(P270:U270))</f>
        <v/>
      </c>
      <c r="X270" s="51" t="str">
        <f aca="false">IF(OR(C270="",V270=0),"",W270/V270)</f>
        <v/>
      </c>
      <c r="Y270" s="16" t="str">
        <f aca="false">IF(OR(C270="",V270=0),"",IF(W270&gt;=V270,"Sí","No"))</f>
        <v/>
      </c>
      <c r="Z270" s="9"/>
      <c r="AA270" s="9"/>
    </row>
    <row r="271" customFormat="false" ht="15" hidden="false" customHeight="false" outlineLevel="0" collapsed="false">
      <c r="A271" s="9"/>
      <c r="B271" s="9"/>
      <c r="C271" s="9"/>
      <c r="D271" s="16" t="str">
        <f aca="false">IF(C271="","",IFERROR(INDEX(LOOKAHEAD!$B$5:$B$604,MATCH(C271,LOOKAHEAD!$A$5:$A$604,0)),""))</f>
        <v/>
      </c>
      <c r="E271" s="16" t="str">
        <f aca="false">IF(C271="","",IFERROR(INDEX(LOOKAHEAD!$E$5:$E$604,MATCH(C271,LOOKAHEAD!$A$5:$A$604,0)),""))</f>
        <v/>
      </c>
      <c r="F271" s="16" t="str">
        <f aca="false">IF(C271="","",IFERROR(INDEX(LOOKAHEAD!$M$5:$M$604,MATCH(C271,LOOKAHEAD!$A$5:$A$604,0)),""))</f>
        <v/>
      </c>
      <c r="G271" s="9"/>
      <c r="H271" s="9"/>
      <c r="I271" s="16" t="str">
        <f aca="false">IF(C271="","",IFERROR(INDEX(LOOKAHEAD!$G$5:$G$604,MATCH(C271,LOOKAHEAD!$A$5:$A$604,0)),""))</f>
        <v/>
      </c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66" t="str">
        <f aca="false">IF(C271="","",SUM(J271:O271))</f>
        <v/>
      </c>
      <c r="W271" s="66" t="str">
        <f aca="false">IF(C271="","",SUM(P271:U271))</f>
        <v/>
      </c>
      <c r="X271" s="51" t="str">
        <f aca="false">IF(OR(C271="",V271=0),"",W271/V271)</f>
        <v/>
      </c>
      <c r="Y271" s="16" t="str">
        <f aca="false">IF(OR(C271="",V271=0),"",IF(W271&gt;=V271,"Sí","No"))</f>
        <v/>
      </c>
      <c r="Z271" s="9"/>
      <c r="AA271" s="9"/>
    </row>
    <row r="272" customFormat="false" ht="15" hidden="false" customHeight="false" outlineLevel="0" collapsed="false">
      <c r="A272" s="9"/>
      <c r="B272" s="9"/>
      <c r="C272" s="9"/>
      <c r="D272" s="16" t="str">
        <f aca="false">IF(C272="","",IFERROR(INDEX(LOOKAHEAD!$B$5:$B$604,MATCH(C272,LOOKAHEAD!$A$5:$A$604,0)),""))</f>
        <v/>
      </c>
      <c r="E272" s="16" t="str">
        <f aca="false">IF(C272="","",IFERROR(INDEX(LOOKAHEAD!$E$5:$E$604,MATCH(C272,LOOKAHEAD!$A$5:$A$604,0)),""))</f>
        <v/>
      </c>
      <c r="F272" s="16" t="str">
        <f aca="false">IF(C272="","",IFERROR(INDEX(LOOKAHEAD!$M$5:$M$604,MATCH(C272,LOOKAHEAD!$A$5:$A$604,0)),""))</f>
        <v/>
      </c>
      <c r="G272" s="9"/>
      <c r="H272" s="9"/>
      <c r="I272" s="16" t="str">
        <f aca="false">IF(C272="","",IFERROR(INDEX(LOOKAHEAD!$G$5:$G$604,MATCH(C272,LOOKAHEAD!$A$5:$A$604,0)),""))</f>
        <v/>
      </c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66" t="str">
        <f aca="false">IF(C272="","",SUM(J272:O272))</f>
        <v/>
      </c>
      <c r="W272" s="66" t="str">
        <f aca="false">IF(C272="","",SUM(P272:U272))</f>
        <v/>
      </c>
      <c r="X272" s="51" t="str">
        <f aca="false">IF(OR(C272="",V272=0),"",W272/V272)</f>
        <v/>
      </c>
      <c r="Y272" s="16" t="str">
        <f aca="false">IF(OR(C272="",V272=0),"",IF(W272&gt;=V272,"Sí","No"))</f>
        <v/>
      </c>
      <c r="Z272" s="9"/>
      <c r="AA272" s="9"/>
    </row>
    <row r="273" customFormat="false" ht="15" hidden="false" customHeight="false" outlineLevel="0" collapsed="false">
      <c r="A273" s="9"/>
      <c r="B273" s="9"/>
      <c r="C273" s="9"/>
      <c r="D273" s="16" t="str">
        <f aca="false">IF(C273="","",IFERROR(INDEX(LOOKAHEAD!$B$5:$B$604,MATCH(C273,LOOKAHEAD!$A$5:$A$604,0)),""))</f>
        <v/>
      </c>
      <c r="E273" s="16" t="str">
        <f aca="false">IF(C273="","",IFERROR(INDEX(LOOKAHEAD!$E$5:$E$604,MATCH(C273,LOOKAHEAD!$A$5:$A$604,0)),""))</f>
        <v/>
      </c>
      <c r="F273" s="16" t="str">
        <f aca="false">IF(C273="","",IFERROR(INDEX(LOOKAHEAD!$M$5:$M$604,MATCH(C273,LOOKAHEAD!$A$5:$A$604,0)),""))</f>
        <v/>
      </c>
      <c r="G273" s="9"/>
      <c r="H273" s="9"/>
      <c r="I273" s="16" t="str">
        <f aca="false">IF(C273="","",IFERROR(INDEX(LOOKAHEAD!$G$5:$G$604,MATCH(C273,LOOKAHEAD!$A$5:$A$604,0)),""))</f>
        <v/>
      </c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66" t="str">
        <f aca="false">IF(C273="","",SUM(J273:O273))</f>
        <v/>
      </c>
      <c r="W273" s="66" t="str">
        <f aca="false">IF(C273="","",SUM(P273:U273))</f>
        <v/>
      </c>
      <c r="X273" s="51" t="str">
        <f aca="false">IF(OR(C273="",V273=0),"",W273/V273)</f>
        <v/>
      </c>
      <c r="Y273" s="16" t="str">
        <f aca="false">IF(OR(C273="",V273=0),"",IF(W273&gt;=V273,"Sí","No"))</f>
        <v/>
      </c>
      <c r="Z273" s="9"/>
      <c r="AA273" s="9"/>
    </row>
    <row r="274" customFormat="false" ht="15" hidden="false" customHeight="false" outlineLevel="0" collapsed="false">
      <c r="A274" s="9"/>
      <c r="B274" s="9"/>
      <c r="C274" s="9"/>
      <c r="D274" s="16" t="str">
        <f aca="false">IF(C274="","",IFERROR(INDEX(LOOKAHEAD!$B$5:$B$604,MATCH(C274,LOOKAHEAD!$A$5:$A$604,0)),""))</f>
        <v/>
      </c>
      <c r="E274" s="16" t="str">
        <f aca="false">IF(C274="","",IFERROR(INDEX(LOOKAHEAD!$E$5:$E$604,MATCH(C274,LOOKAHEAD!$A$5:$A$604,0)),""))</f>
        <v/>
      </c>
      <c r="F274" s="16" t="str">
        <f aca="false">IF(C274="","",IFERROR(INDEX(LOOKAHEAD!$M$5:$M$604,MATCH(C274,LOOKAHEAD!$A$5:$A$604,0)),""))</f>
        <v/>
      </c>
      <c r="G274" s="9"/>
      <c r="H274" s="9"/>
      <c r="I274" s="16" t="str">
        <f aca="false">IF(C274="","",IFERROR(INDEX(LOOKAHEAD!$G$5:$G$604,MATCH(C274,LOOKAHEAD!$A$5:$A$604,0)),""))</f>
        <v/>
      </c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66" t="str">
        <f aca="false">IF(C274="","",SUM(J274:O274))</f>
        <v/>
      </c>
      <c r="W274" s="66" t="str">
        <f aca="false">IF(C274="","",SUM(P274:U274))</f>
        <v/>
      </c>
      <c r="X274" s="51" t="str">
        <f aca="false">IF(OR(C274="",V274=0),"",W274/V274)</f>
        <v/>
      </c>
      <c r="Y274" s="16" t="str">
        <f aca="false">IF(OR(C274="",V274=0),"",IF(W274&gt;=V274,"Sí","No"))</f>
        <v/>
      </c>
      <c r="Z274" s="9"/>
      <c r="AA274" s="9"/>
    </row>
    <row r="275" customFormat="false" ht="15" hidden="false" customHeight="false" outlineLevel="0" collapsed="false">
      <c r="A275" s="9"/>
      <c r="B275" s="9"/>
      <c r="C275" s="9"/>
      <c r="D275" s="16" t="str">
        <f aca="false">IF(C275="","",IFERROR(INDEX(LOOKAHEAD!$B$5:$B$604,MATCH(C275,LOOKAHEAD!$A$5:$A$604,0)),""))</f>
        <v/>
      </c>
      <c r="E275" s="16" t="str">
        <f aca="false">IF(C275="","",IFERROR(INDEX(LOOKAHEAD!$E$5:$E$604,MATCH(C275,LOOKAHEAD!$A$5:$A$604,0)),""))</f>
        <v/>
      </c>
      <c r="F275" s="16" t="str">
        <f aca="false">IF(C275="","",IFERROR(INDEX(LOOKAHEAD!$M$5:$M$604,MATCH(C275,LOOKAHEAD!$A$5:$A$604,0)),""))</f>
        <v/>
      </c>
      <c r="G275" s="9"/>
      <c r="H275" s="9"/>
      <c r="I275" s="16" t="str">
        <f aca="false">IF(C275="","",IFERROR(INDEX(LOOKAHEAD!$G$5:$G$604,MATCH(C275,LOOKAHEAD!$A$5:$A$604,0)),""))</f>
        <v/>
      </c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66" t="str">
        <f aca="false">IF(C275="","",SUM(J275:O275))</f>
        <v/>
      </c>
      <c r="W275" s="66" t="str">
        <f aca="false">IF(C275="","",SUM(P275:U275))</f>
        <v/>
      </c>
      <c r="X275" s="51" t="str">
        <f aca="false">IF(OR(C275="",V275=0),"",W275/V275)</f>
        <v/>
      </c>
      <c r="Y275" s="16" t="str">
        <f aca="false">IF(OR(C275="",V275=0),"",IF(W275&gt;=V275,"Sí","No"))</f>
        <v/>
      </c>
      <c r="Z275" s="9"/>
      <c r="AA275" s="9"/>
    </row>
    <row r="276" customFormat="false" ht="15" hidden="false" customHeight="false" outlineLevel="0" collapsed="false">
      <c r="A276" s="9"/>
      <c r="B276" s="9"/>
      <c r="C276" s="9"/>
      <c r="D276" s="16" t="str">
        <f aca="false">IF(C276="","",IFERROR(INDEX(LOOKAHEAD!$B$5:$B$604,MATCH(C276,LOOKAHEAD!$A$5:$A$604,0)),""))</f>
        <v/>
      </c>
      <c r="E276" s="16" t="str">
        <f aca="false">IF(C276="","",IFERROR(INDEX(LOOKAHEAD!$E$5:$E$604,MATCH(C276,LOOKAHEAD!$A$5:$A$604,0)),""))</f>
        <v/>
      </c>
      <c r="F276" s="16" t="str">
        <f aca="false">IF(C276="","",IFERROR(INDEX(LOOKAHEAD!$M$5:$M$604,MATCH(C276,LOOKAHEAD!$A$5:$A$604,0)),""))</f>
        <v/>
      </c>
      <c r="G276" s="9"/>
      <c r="H276" s="9"/>
      <c r="I276" s="16" t="str">
        <f aca="false">IF(C276="","",IFERROR(INDEX(LOOKAHEAD!$G$5:$G$604,MATCH(C276,LOOKAHEAD!$A$5:$A$604,0)),""))</f>
        <v/>
      </c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66" t="str">
        <f aca="false">IF(C276="","",SUM(J276:O276))</f>
        <v/>
      </c>
      <c r="W276" s="66" t="str">
        <f aca="false">IF(C276="","",SUM(P276:U276))</f>
        <v/>
      </c>
      <c r="X276" s="51" t="str">
        <f aca="false">IF(OR(C276="",V276=0),"",W276/V276)</f>
        <v/>
      </c>
      <c r="Y276" s="16" t="str">
        <f aca="false">IF(OR(C276="",V276=0),"",IF(W276&gt;=V276,"Sí","No"))</f>
        <v/>
      </c>
      <c r="Z276" s="9"/>
      <c r="AA276" s="9"/>
    </row>
    <row r="277" customFormat="false" ht="15" hidden="false" customHeight="false" outlineLevel="0" collapsed="false">
      <c r="A277" s="9"/>
      <c r="B277" s="9"/>
      <c r="C277" s="9"/>
      <c r="D277" s="16" t="str">
        <f aca="false">IF(C277="","",IFERROR(INDEX(LOOKAHEAD!$B$5:$B$604,MATCH(C277,LOOKAHEAD!$A$5:$A$604,0)),""))</f>
        <v/>
      </c>
      <c r="E277" s="16" t="str">
        <f aca="false">IF(C277="","",IFERROR(INDEX(LOOKAHEAD!$E$5:$E$604,MATCH(C277,LOOKAHEAD!$A$5:$A$604,0)),""))</f>
        <v/>
      </c>
      <c r="F277" s="16" t="str">
        <f aca="false">IF(C277="","",IFERROR(INDEX(LOOKAHEAD!$M$5:$M$604,MATCH(C277,LOOKAHEAD!$A$5:$A$604,0)),""))</f>
        <v/>
      </c>
      <c r="G277" s="9"/>
      <c r="H277" s="9"/>
      <c r="I277" s="16" t="str">
        <f aca="false">IF(C277="","",IFERROR(INDEX(LOOKAHEAD!$G$5:$G$604,MATCH(C277,LOOKAHEAD!$A$5:$A$604,0)),""))</f>
        <v/>
      </c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66" t="str">
        <f aca="false">IF(C277="","",SUM(J277:O277))</f>
        <v/>
      </c>
      <c r="W277" s="66" t="str">
        <f aca="false">IF(C277="","",SUM(P277:U277))</f>
        <v/>
      </c>
      <c r="X277" s="51" t="str">
        <f aca="false">IF(OR(C277="",V277=0),"",W277/V277)</f>
        <v/>
      </c>
      <c r="Y277" s="16" t="str">
        <f aca="false">IF(OR(C277="",V277=0),"",IF(W277&gt;=V277,"Sí","No"))</f>
        <v/>
      </c>
      <c r="Z277" s="9"/>
      <c r="AA277" s="9"/>
    </row>
    <row r="278" customFormat="false" ht="15" hidden="false" customHeight="false" outlineLevel="0" collapsed="false">
      <c r="A278" s="9"/>
      <c r="B278" s="9"/>
      <c r="C278" s="9"/>
      <c r="D278" s="16" t="str">
        <f aca="false">IF(C278="","",IFERROR(INDEX(LOOKAHEAD!$B$5:$B$604,MATCH(C278,LOOKAHEAD!$A$5:$A$604,0)),""))</f>
        <v/>
      </c>
      <c r="E278" s="16" t="str">
        <f aca="false">IF(C278="","",IFERROR(INDEX(LOOKAHEAD!$E$5:$E$604,MATCH(C278,LOOKAHEAD!$A$5:$A$604,0)),""))</f>
        <v/>
      </c>
      <c r="F278" s="16" t="str">
        <f aca="false">IF(C278="","",IFERROR(INDEX(LOOKAHEAD!$M$5:$M$604,MATCH(C278,LOOKAHEAD!$A$5:$A$604,0)),""))</f>
        <v/>
      </c>
      <c r="G278" s="9"/>
      <c r="H278" s="9"/>
      <c r="I278" s="16" t="str">
        <f aca="false">IF(C278="","",IFERROR(INDEX(LOOKAHEAD!$G$5:$G$604,MATCH(C278,LOOKAHEAD!$A$5:$A$604,0)),""))</f>
        <v/>
      </c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66" t="str">
        <f aca="false">IF(C278="","",SUM(J278:O278))</f>
        <v/>
      </c>
      <c r="W278" s="66" t="str">
        <f aca="false">IF(C278="","",SUM(P278:U278))</f>
        <v/>
      </c>
      <c r="X278" s="51" t="str">
        <f aca="false">IF(OR(C278="",V278=0),"",W278/V278)</f>
        <v/>
      </c>
      <c r="Y278" s="16" t="str">
        <f aca="false">IF(OR(C278="",V278=0),"",IF(W278&gt;=V278,"Sí","No"))</f>
        <v/>
      </c>
      <c r="Z278" s="9"/>
      <c r="AA278" s="9"/>
    </row>
    <row r="279" customFormat="false" ht="15" hidden="false" customHeight="false" outlineLevel="0" collapsed="false">
      <c r="A279" s="9"/>
      <c r="B279" s="9"/>
      <c r="C279" s="9"/>
      <c r="D279" s="16" t="str">
        <f aca="false">IF(C279="","",IFERROR(INDEX(LOOKAHEAD!$B$5:$B$604,MATCH(C279,LOOKAHEAD!$A$5:$A$604,0)),""))</f>
        <v/>
      </c>
      <c r="E279" s="16" t="str">
        <f aca="false">IF(C279="","",IFERROR(INDEX(LOOKAHEAD!$E$5:$E$604,MATCH(C279,LOOKAHEAD!$A$5:$A$604,0)),""))</f>
        <v/>
      </c>
      <c r="F279" s="16" t="str">
        <f aca="false">IF(C279="","",IFERROR(INDEX(LOOKAHEAD!$M$5:$M$604,MATCH(C279,LOOKAHEAD!$A$5:$A$604,0)),""))</f>
        <v/>
      </c>
      <c r="G279" s="9"/>
      <c r="H279" s="9"/>
      <c r="I279" s="16" t="str">
        <f aca="false">IF(C279="","",IFERROR(INDEX(LOOKAHEAD!$G$5:$G$604,MATCH(C279,LOOKAHEAD!$A$5:$A$604,0)),""))</f>
        <v/>
      </c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66" t="str">
        <f aca="false">IF(C279="","",SUM(J279:O279))</f>
        <v/>
      </c>
      <c r="W279" s="66" t="str">
        <f aca="false">IF(C279="","",SUM(P279:U279))</f>
        <v/>
      </c>
      <c r="X279" s="51" t="str">
        <f aca="false">IF(OR(C279="",V279=0),"",W279/V279)</f>
        <v/>
      </c>
      <c r="Y279" s="16" t="str">
        <f aca="false">IF(OR(C279="",V279=0),"",IF(W279&gt;=V279,"Sí","No"))</f>
        <v/>
      </c>
      <c r="Z279" s="9"/>
      <c r="AA279" s="9"/>
    </row>
    <row r="280" customFormat="false" ht="15" hidden="false" customHeight="false" outlineLevel="0" collapsed="false">
      <c r="A280" s="9"/>
      <c r="B280" s="9"/>
      <c r="C280" s="9"/>
      <c r="D280" s="16" t="str">
        <f aca="false">IF(C280="","",IFERROR(INDEX(LOOKAHEAD!$B$5:$B$604,MATCH(C280,LOOKAHEAD!$A$5:$A$604,0)),""))</f>
        <v/>
      </c>
      <c r="E280" s="16" t="str">
        <f aca="false">IF(C280="","",IFERROR(INDEX(LOOKAHEAD!$E$5:$E$604,MATCH(C280,LOOKAHEAD!$A$5:$A$604,0)),""))</f>
        <v/>
      </c>
      <c r="F280" s="16" t="str">
        <f aca="false">IF(C280="","",IFERROR(INDEX(LOOKAHEAD!$M$5:$M$604,MATCH(C280,LOOKAHEAD!$A$5:$A$604,0)),""))</f>
        <v/>
      </c>
      <c r="G280" s="9"/>
      <c r="H280" s="9"/>
      <c r="I280" s="16" t="str">
        <f aca="false">IF(C280="","",IFERROR(INDEX(LOOKAHEAD!$G$5:$G$604,MATCH(C280,LOOKAHEAD!$A$5:$A$604,0)),""))</f>
        <v/>
      </c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66" t="str">
        <f aca="false">IF(C280="","",SUM(J280:O280))</f>
        <v/>
      </c>
      <c r="W280" s="66" t="str">
        <f aca="false">IF(C280="","",SUM(P280:U280))</f>
        <v/>
      </c>
      <c r="X280" s="51" t="str">
        <f aca="false">IF(OR(C280="",V280=0),"",W280/V280)</f>
        <v/>
      </c>
      <c r="Y280" s="16" t="str">
        <f aca="false">IF(OR(C280="",V280=0),"",IF(W280&gt;=V280,"Sí","No"))</f>
        <v/>
      </c>
      <c r="Z280" s="9"/>
      <c r="AA280" s="9"/>
    </row>
    <row r="281" customFormat="false" ht="15" hidden="false" customHeight="false" outlineLevel="0" collapsed="false">
      <c r="A281" s="9"/>
      <c r="B281" s="9"/>
      <c r="C281" s="9"/>
      <c r="D281" s="16" t="str">
        <f aca="false">IF(C281="","",IFERROR(INDEX(LOOKAHEAD!$B$5:$B$604,MATCH(C281,LOOKAHEAD!$A$5:$A$604,0)),""))</f>
        <v/>
      </c>
      <c r="E281" s="16" t="str">
        <f aca="false">IF(C281="","",IFERROR(INDEX(LOOKAHEAD!$E$5:$E$604,MATCH(C281,LOOKAHEAD!$A$5:$A$604,0)),""))</f>
        <v/>
      </c>
      <c r="F281" s="16" t="str">
        <f aca="false">IF(C281="","",IFERROR(INDEX(LOOKAHEAD!$M$5:$M$604,MATCH(C281,LOOKAHEAD!$A$5:$A$604,0)),""))</f>
        <v/>
      </c>
      <c r="G281" s="9"/>
      <c r="H281" s="9"/>
      <c r="I281" s="16" t="str">
        <f aca="false">IF(C281="","",IFERROR(INDEX(LOOKAHEAD!$G$5:$G$604,MATCH(C281,LOOKAHEAD!$A$5:$A$604,0)),""))</f>
        <v/>
      </c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66" t="str">
        <f aca="false">IF(C281="","",SUM(J281:O281))</f>
        <v/>
      </c>
      <c r="W281" s="66" t="str">
        <f aca="false">IF(C281="","",SUM(P281:U281))</f>
        <v/>
      </c>
      <c r="X281" s="51" t="str">
        <f aca="false">IF(OR(C281="",V281=0),"",W281/V281)</f>
        <v/>
      </c>
      <c r="Y281" s="16" t="str">
        <f aca="false">IF(OR(C281="",V281=0),"",IF(W281&gt;=V281,"Sí","No"))</f>
        <v/>
      </c>
      <c r="Z281" s="9"/>
      <c r="AA281" s="9"/>
    </row>
    <row r="282" customFormat="false" ht="15" hidden="false" customHeight="false" outlineLevel="0" collapsed="false">
      <c r="A282" s="9"/>
      <c r="B282" s="9"/>
      <c r="C282" s="9"/>
      <c r="D282" s="16" t="str">
        <f aca="false">IF(C282="","",IFERROR(INDEX(LOOKAHEAD!$B$5:$B$604,MATCH(C282,LOOKAHEAD!$A$5:$A$604,0)),""))</f>
        <v/>
      </c>
      <c r="E282" s="16" t="str">
        <f aca="false">IF(C282="","",IFERROR(INDEX(LOOKAHEAD!$E$5:$E$604,MATCH(C282,LOOKAHEAD!$A$5:$A$604,0)),""))</f>
        <v/>
      </c>
      <c r="F282" s="16" t="str">
        <f aca="false">IF(C282="","",IFERROR(INDEX(LOOKAHEAD!$M$5:$M$604,MATCH(C282,LOOKAHEAD!$A$5:$A$604,0)),""))</f>
        <v/>
      </c>
      <c r="G282" s="9"/>
      <c r="H282" s="9"/>
      <c r="I282" s="16" t="str">
        <f aca="false">IF(C282="","",IFERROR(INDEX(LOOKAHEAD!$G$5:$G$604,MATCH(C282,LOOKAHEAD!$A$5:$A$604,0)),""))</f>
        <v/>
      </c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66" t="str">
        <f aca="false">IF(C282="","",SUM(J282:O282))</f>
        <v/>
      </c>
      <c r="W282" s="66" t="str">
        <f aca="false">IF(C282="","",SUM(P282:U282))</f>
        <v/>
      </c>
      <c r="X282" s="51" t="str">
        <f aca="false">IF(OR(C282="",V282=0),"",W282/V282)</f>
        <v/>
      </c>
      <c r="Y282" s="16" t="str">
        <f aca="false">IF(OR(C282="",V282=0),"",IF(W282&gt;=V282,"Sí","No"))</f>
        <v/>
      </c>
      <c r="Z282" s="9"/>
      <c r="AA282" s="9"/>
    </row>
    <row r="283" customFormat="false" ht="15" hidden="false" customHeight="false" outlineLevel="0" collapsed="false">
      <c r="A283" s="9"/>
      <c r="B283" s="9"/>
      <c r="C283" s="9"/>
      <c r="D283" s="16" t="str">
        <f aca="false">IF(C283="","",IFERROR(INDEX(LOOKAHEAD!$B$5:$B$604,MATCH(C283,LOOKAHEAD!$A$5:$A$604,0)),""))</f>
        <v/>
      </c>
      <c r="E283" s="16" t="str">
        <f aca="false">IF(C283="","",IFERROR(INDEX(LOOKAHEAD!$E$5:$E$604,MATCH(C283,LOOKAHEAD!$A$5:$A$604,0)),""))</f>
        <v/>
      </c>
      <c r="F283" s="16" t="str">
        <f aca="false">IF(C283="","",IFERROR(INDEX(LOOKAHEAD!$M$5:$M$604,MATCH(C283,LOOKAHEAD!$A$5:$A$604,0)),""))</f>
        <v/>
      </c>
      <c r="G283" s="9"/>
      <c r="H283" s="9"/>
      <c r="I283" s="16" t="str">
        <f aca="false">IF(C283="","",IFERROR(INDEX(LOOKAHEAD!$G$5:$G$604,MATCH(C283,LOOKAHEAD!$A$5:$A$604,0)),""))</f>
        <v/>
      </c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66" t="str">
        <f aca="false">IF(C283="","",SUM(J283:O283))</f>
        <v/>
      </c>
      <c r="W283" s="66" t="str">
        <f aca="false">IF(C283="","",SUM(P283:U283))</f>
        <v/>
      </c>
      <c r="X283" s="51" t="str">
        <f aca="false">IF(OR(C283="",V283=0),"",W283/V283)</f>
        <v/>
      </c>
      <c r="Y283" s="16" t="str">
        <f aca="false">IF(OR(C283="",V283=0),"",IF(W283&gt;=V283,"Sí","No"))</f>
        <v/>
      </c>
      <c r="Z283" s="9"/>
      <c r="AA283" s="9"/>
    </row>
    <row r="284" customFormat="false" ht="15" hidden="false" customHeight="false" outlineLevel="0" collapsed="false">
      <c r="A284" s="9"/>
      <c r="B284" s="9"/>
      <c r="C284" s="9"/>
      <c r="D284" s="16" t="str">
        <f aca="false">IF(C284="","",IFERROR(INDEX(LOOKAHEAD!$B$5:$B$604,MATCH(C284,LOOKAHEAD!$A$5:$A$604,0)),""))</f>
        <v/>
      </c>
      <c r="E284" s="16" t="str">
        <f aca="false">IF(C284="","",IFERROR(INDEX(LOOKAHEAD!$E$5:$E$604,MATCH(C284,LOOKAHEAD!$A$5:$A$604,0)),""))</f>
        <v/>
      </c>
      <c r="F284" s="16" t="str">
        <f aca="false">IF(C284="","",IFERROR(INDEX(LOOKAHEAD!$M$5:$M$604,MATCH(C284,LOOKAHEAD!$A$5:$A$604,0)),""))</f>
        <v/>
      </c>
      <c r="G284" s="9"/>
      <c r="H284" s="9"/>
      <c r="I284" s="16" t="str">
        <f aca="false">IF(C284="","",IFERROR(INDEX(LOOKAHEAD!$G$5:$G$604,MATCH(C284,LOOKAHEAD!$A$5:$A$604,0)),""))</f>
        <v/>
      </c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66" t="str">
        <f aca="false">IF(C284="","",SUM(J284:O284))</f>
        <v/>
      </c>
      <c r="W284" s="66" t="str">
        <f aca="false">IF(C284="","",SUM(P284:U284))</f>
        <v/>
      </c>
      <c r="X284" s="51" t="str">
        <f aca="false">IF(OR(C284="",V284=0),"",W284/V284)</f>
        <v/>
      </c>
      <c r="Y284" s="16" t="str">
        <f aca="false">IF(OR(C284="",V284=0),"",IF(W284&gt;=V284,"Sí","No"))</f>
        <v/>
      </c>
      <c r="Z284" s="9"/>
      <c r="AA284" s="9"/>
    </row>
    <row r="285" customFormat="false" ht="15" hidden="false" customHeight="false" outlineLevel="0" collapsed="false">
      <c r="A285" s="9"/>
      <c r="B285" s="9"/>
      <c r="C285" s="9"/>
      <c r="D285" s="16" t="str">
        <f aca="false">IF(C285="","",IFERROR(INDEX(LOOKAHEAD!$B$5:$B$604,MATCH(C285,LOOKAHEAD!$A$5:$A$604,0)),""))</f>
        <v/>
      </c>
      <c r="E285" s="16" t="str">
        <f aca="false">IF(C285="","",IFERROR(INDEX(LOOKAHEAD!$E$5:$E$604,MATCH(C285,LOOKAHEAD!$A$5:$A$604,0)),""))</f>
        <v/>
      </c>
      <c r="F285" s="16" t="str">
        <f aca="false">IF(C285="","",IFERROR(INDEX(LOOKAHEAD!$M$5:$M$604,MATCH(C285,LOOKAHEAD!$A$5:$A$604,0)),""))</f>
        <v/>
      </c>
      <c r="G285" s="9"/>
      <c r="H285" s="9"/>
      <c r="I285" s="16" t="str">
        <f aca="false">IF(C285="","",IFERROR(INDEX(LOOKAHEAD!$G$5:$G$604,MATCH(C285,LOOKAHEAD!$A$5:$A$604,0)),""))</f>
        <v/>
      </c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66" t="str">
        <f aca="false">IF(C285="","",SUM(J285:O285))</f>
        <v/>
      </c>
      <c r="W285" s="66" t="str">
        <f aca="false">IF(C285="","",SUM(P285:U285))</f>
        <v/>
      </c>
      <c r="X285" s="51" t="str">
        <f aca="false">IF(OR(C285="",V285=0),"",W285/V285)</f>
        <v/>
      </c>
      <c r="Y285" s="16" t="str">
        <f aca="false">IF(OR(C285="",V285=0),"",IF(W285&gt;=V285,"Sí","No"))</f>
        <v/>
      </c>
      <c r="Z285" s="9"/>
      <c r="AA285" s="9"/>
    </row>
    <row r="286" customFormat="false" ht="15" hidden="false" customHeight="false" outlineLevel="0" collapsed="false">
      <c r="A286" s="9"/>
      <c r="B286" s="9"/>
      <c r="C286" s="9"/>
      <c r="D286" s="16" t="str">
        <f aca="false">IF(C286="","",IFERROR(INDEX(LOOKAHEAD!$B$5:$B$604,MATCH(C286,LOOKAHEAD!$A$5:$A$604,0)),""))</f>
        <v/>
      </c>
      <c r="E286" s="16" t="str">
        <f aca="false">IF(C286="","",IFERROR(INDEX(LOOKAHEAD!$E$5:$E$604,MATCH(C286,LOOKAHEAD!$A$5:$A$604,0)),""))</f>
        <v/>
      </c>
      <c r="F286" s="16" t="str">
        <f aca="false">IF(C286="","",IFERROR(INDEX(LOOKAHEAD!$M$5:$M$604,MATCH(C286,LOOKAHEAD!$A$5:$A$604,0)),""))</f>
        <v/>
      </c>
      <c r="G286" s="9"/>
      <c r="H286" s="9"/>
      <c r="I286" s="16" t="str">
        <f aca="false">IF(C286="","",IFERROR(INDEX(LOOKAHEAD!$G$5:$G$604,MATCH(C286,LOOKAHEAD!$A$5:$A$604,0)),""))</f>
        <v/>
      </c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66" t="str">
        <f aca="false">IF(C286="","",SUM(J286:O286))</f>
        <v/>
      </c>
      <c r="W286" s="66" t="str">
        <f aca="false">IF(C286="","",SUM(P286:U286))</f>
        <v/>
      </c>
      <c r="X286" s="51" t="str">
        <f aca="false">IF(OR(C286="",V286=0),"",W286/V286)</f>
        <v/>
      </c>
      <c r="Y286" s="16" t="str">
        <f aca="false">IF(OR(C286="",V286=0),"",IF(W286&gt;=V286,"Sí","No"))</f>
        <v/>
      </c>
      <c r="Z286" s="9"/>
      <c r="AA286" s="9"/>
    </row>
    <row r="287" customFormat="false" ht="15" hidden="false" customHeight="false" outlineLevel="0" collapsed="false">
      <c r="A287" s="9"/>
      <c r="B287" s="9"/>
      <c r="C287" s="9"/>
      <c r="D287" s="16" t="str">
        <f aca="false">IF(C287="","",IFERROR(INDEX(LOOKAHEAD!$B$5:$B$604,MATCH(C287,LOOKAHEAD!$A$5:$A$604,0)),""))</f>
        <v/>
      </c>
      <c r="E287" s="16" t="str">
        <f aca="false">IF(C287="","",IFERROR(INDEX(LOOKAHEAD!$E$5:$E$604,MATCH(C287,LOOKAHEAD!$A$5:$A$604,0)),""))</f>
        <v/>
      </c>
      <c r="F287" s="16" t="str">
        <f aca="false">IF(C287="","",IFERROR(INDEX(LOOKAHEAD!$M$5:$M$604,MATCH(C287,LOOKAHEAD!$A$5:$A$604,0)),""))</f>
        <v/>
      </c>
      <c r="G287" s="9"/>
      <c r="H287" s="9"/>
      <c r="I287" s="16" t="str">
        <f aca="false">IF(C287="","",IFERROR(INDEX(LOOKAHEAD!$G$5:$G$604,MATCH(C287,LOOKAHEAD!$A$5:$A$604,0)),""))</f>
        <v/>
      </c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66" t="str">
        <f aca="false">IF(C287="","",SUM(J287:O287))</f>
        <v/>
      </c>
      <c r="W287" s="66" t="str">
        <f aca="false">IF(C287="","",SUM(P287:U287))</f>
        <v/>
      </c>
      <c r="X287" s="51" t="str">
        <f aca="false">IF(OR(C287="",V287=0),"",W287/V287)</f>
        <v/>
      </c>
      <c r="Y287" s="16" t="str">
        <f aca="false">IF(OR(C287="",V287=0),"",IF(W287&gt;=V287,"Sí","No"))</f>
        <v/>
      </c>
      <c r="Z287" s="9"/>
      <c r="AA287" s="9"/>
    </row>
    <row r="288" customFormat="false" ht="15" hidden="false" customHeight="false" outlineLevel="0" collapsed="false">
      <c r="A288" s="9"/>
      <c r="B288" s="9"/>
      <c r="C288" s="9"/>
      <c r="D288" s="16" t="str">
        <f aca="false">IF(C288="","",IFERROR(INDEX(LOOKAHEAD!$B$5:$B$604,MATCH(C288,LOOKAHEAD!$A$5:$A$604,0)),""))</f>
        <v/>
      </c>
      <c r="E288" s="16" t="str">
        <f aca="false">IF(C288="","",IFERROR(INDEX(LOOKAHEAD!$E$5:$E$604,MATCH(C288,LOOKAHEAD!$A$5:$A$604,0)),""))</f>
        <v/>
      </c>
      <c r="F288" s="16" t="str">
        <f aca="false">IF(C288="","",IFERROR(INDEX(LOOKAHEAD!$M$5:$M$604,MATCH(C288,LOOKAHEAD!$A$5:$A$604,0)),""))</f>
        <v/>
      </c>
      <c r="G288" s="9"/>
      <c r="H288" s="9"/>
      <c r="I288" s="16" t="str">
        <f aca="false">IF(C288="","",IFERROR(INDEX(LOOKAHEAD!$G$5:$G$604,MATCH(C288,LOOKAHEAD!$A$5:$A$604,0)),""))</f>
        <v/>
      </c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66" t="str">
        <f aca="false">IF(C288="","",SUM(J288:O288))</f>
        <v/>
      </c>
      <c r="W288" s="66" t="str">
        <f aca="false">IF(C288="","",SUM(P288:U288))</f>
        <v/>
      </c>
      <c r="X288" s="51" t="str">
        <f aca="false">IF(OR(C288="",V288=0),"",W288/V288)</f>
        <v/>
      </c>
      <c r="Y288" s="16" t="str">
        <f aca="false">IF(OR(C288="",V288=0),"",IF(W288&gt;=V288,"Sí","No"))</f>
        <v/>
      </c>
      <c r="Z288" s="9"/>
      <c r="AA288" s="9"/>
    </row>
    <row r="289" customFormat="false" ht="15" hidden="false" customHeight="false" outlineLevel="0" collapsed="false">
      <c r="A289" s="9"/>
      <c r="B289" s="9"/>
      <c r="C289" s="9"/>
      <c r="D289" s="16" t="str">
        <f aca="false">IF(C289="","",IFERROR(INDEX(LOOKAHEAD!$B$5:$B$604,MATCH(C289,LOOKAHEAD!$A$5:$A$604,0)),""))</f>
        <v/>
      </c>
      <c r="E289" s="16" t="str">
        <f aca="false">IF(C289="","",IFERROR(INDEX(LOOKAHEAD!$E$5:$E$604,MATCH(C289,LOOKAHEAD!$A$5:$A$604,0)),""))</f>
        <v/>
      </c>
      <c r="F289" s="16" t="str">
        <f aca="false">IF(C289="","",IFERROR(INDEX(LOOKAHEAD!$M$5:$M$604,MATCH(C289,LOOKAHEAD!$A$5:$A$604,0)),""))</f>
        <v/>
      </c>
      <c r="G289" s="9"/>
      <c r="H289" s="9"/>
      <c r="I289" s="16" t="str">
        <f aca="false">IF(C289="","",IFERROR(INDEX(LOOKAHEAD!$G$5:$G$604,MATCH(C289,LOOKAHEAD!$A$5:$A$604,0)),""))</f>
        <v/>
      </c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66" t="str">
        <f aca="false">IF(C289="","",SUM(J289:O289))</f>
        <v/>
      </c>
      <c r="W289" s="66" t="str">
        <f aca="false">IF(C289="","",SUM(P289:U289))</f>
        <v/>
      </c>
      <c r="X289" s="51" t="str">
        <f aca="false">IF(OR(C289="",V289=0),"",W289/V289)</f>
        <v/>
      </c>
      <c r="Y289" s="16" t="str">
        <f aca="false">IF(OR(C289="",V289=0),"",IF(W289&gt;=V289,"Sí","No"))</f>
        <v/>
      </c>
      <c r="Z289" s="9"/>
      <c r="AA289" s="9"/>
    </row>
    <row r="290" customFormat="false" ht="15" hidden="false" customHeight="false" outlineLevel="0" collapsed="false">
      <c r="A290" s="9"/>
      <c r="B290" s="9"/>
      <c r="C290" s="9"/>
      <c r="D290" s="16" t="str">
        <f aca="false">IF(C290="","",IFERROR(INDEX(LOOKAHEAD!$B$5:$B$604,MATCH(C290,LOOKAHEAD!$A$5:$A$604,0)),""))</f>
        <v/>
      </c>
      <c r="E290" s="16" t="str">
        <f aca="false">IF(C290="","",IFERROR(INDEX(LOOKAHEAD!$E$5:$E$604,MATCH(C290,LOOKAHEAD!$A$5:$A$604,0)),""))</f>
        <v/>
      </c>
      <c r="F290" s="16" t="str">
        <f aca="false">IF(C290="","",IFERROR(INDEX(LOOKAHEAD!$M$5:$M$604,MATCH(C290,LOOKAHEAD!$A$5:$A$604,0)),""))</f>
        <v/>
      </c>
      <c r="G290" s="9"/>
      <c r="H290" s="9"/>
      <c r="I290" s="16" t="str">
        <f aca="false">IF(C290="","",IFERROR(INDEX(LOOKAHEAD!$G$5:$G$604,MATCH(C290,LOOKAHEAD!$A$5:$A$604,0)),""))</f>
        <v/>
      </c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66" t="str">
        <f aca="false">IF(C290="","",SUM(J290:O290))</f>
        <v/>
      </c>
      <c r="W290" s="66" t="str">
        <f aca="false">IF(C290="","",SUM(P290:U290))</f>
        <v/>
      </c>
      <c r="X290" s="51" t="str">
        <f aca="false">IF(OR(C290="",V290=0),"",W290/V290)</f>
        <v/>
      </c>
      <c r="Y290" s="16" t="str">
        <f aca="false">IF(OR(C290="",V290=0),"",IF(W290&gt;=V290,"Sí","No"))</f>
        <v/>
      </c>
      <c r="Z290" s="9"/>
      <c r="AA290" s="9"/>
    </row>
    <row r="291" customFormat="false" ht="15" hidden="false" customHeight="false" outlineLevel="0" collapsed="false">
      <c r="A291" s="9"/>
      <c r="B291" s="9"/>
      <c r="C291" s="9"/>
      <c r="D291" s="16" t="str">
        <f aca="false">IF(C291="","",IFERROR(INDEX(LOOKAHEAD!$B$5:$B$604,MATCH(C291,LOOKAHEAD!$A$5:$A$604,0)),""))</f>
        <v/>
      </c>
      <c r="E291" s="16" t="str">
        <f aca="false">IF(C291="","",IFERROR(INDEX(LOOKAHEAD!$E$5:$E$604,MATCH(C291,LOOKAHEAD!$A$5:$A$604,0)),""))</f>
        <v/>
      </c>
      <c r="F291" s="16" t="str">
        <f aca="false">IF(C291="","",IFERROR(INDEX(LOOKAHEAD!$M$5:$M$604,MATCH(C291,LOOKAHEAD!$A$5:$A$604,0)),""))</f>
        <v/>
      </c>
      <c r="G291" s="9"/>
      <c r="H291" s="9"/>
      <c r="I291" s="16" t="str">
        <f aca="false">IF(C291="","",IFERROR(INDEX(LOOKAHEAD!$G$5:$G$604,MATCH(C291,LOOKAHEAD!$A$5:$A$604,0)),""))</f>
        <v/>
      </c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66" t="str">
        <f aca="false">IF(C291="","",SUM(J291:O291))</f>
        <v/>
      </c>
      <c r="W291" s="66" t="str">
        <f aca="false">IF(C291="","",SUM(P291:U291))</f>
        <v/>
      </c>
      <c r="X291" s="51" t="str">
        <f aca="false">IF(OR(C291="",V291=0),"",W291/V291)</f>
        <v/>
      </c>
      <c r="Y291" s="16" t="str">
        <f aca="false">IF(OR(C291="",V291=0),"",IF(W291&gt;=V291,"Sí","No"))</f>
        <v/>
      </c>
      <c r="Z291" s="9"/>
      <c r="AA291" s="9"/>
    </row>
    <row r="292" customFormat="false" ht="15" hidden="false" customHeight="false" outlineLevel="0" collapsed="false">
      <c r="A292" s="9"/>
      <c r="B292" s="9"/>
      <c r="C292" s="9"/>
      <c r="D292" s="16" t="str">
        <f aca="false">IF(C292="","",IFERROR(INDEX(LOOKAHEAD!$B$5:$B$604,MATCH(C292,LOOKAHEAD!$A$5:$A$604,0)),""))</f>
        <v/>
      </c>
      <c r="E292" s="16" t="str">
        <f aca="false">IF(C292="","",IFERROR(INDEX(LOOKAHEAD!$E$5:$E$604,MATCH(C292,LOOKAHEAD!$A$5:$A$604,0)),""))</f>
        <v/>
      </c>
      <c r="F292" s="16" t="str">
        <f aca="false">IF(C292="","",IFERROR(INDEX(LOOKAHEAD!$M$5:$M$604,MATCH(C292,LOOKAHEAD!$A$5:$A$604,0)),""))</f>
        <v/>
      </c>
      <c r="G292" s="9"/>
      <c r="H292" s="9"/>
      <c r="I292" s="16" t="str">
        <f aca="false">IF(C292="","",IFERROR(INDEX(LOOKAHEAD!$G$5:$G$604,MATCH(C292,LOOKAHEAD!$A$5:$A$604,0)),""))</f>
        <v/>
      </c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66" t="str">
        <f aca="false">IF(C292="","",SUM(J292:O292))</f>
        <v/>
      </c>
      <c r="W292" s="66" t="str">
        <f aca="false">IF(C292="","",SUM(P292:U292))</f>
        <v/>
      </c>
      <c r="X292" s="51" t="str">
        <f aca="false">IF(OR(C292="",V292=0),"",W292/V292)</f>
        <v/>
      </c>
      <c r="Y292" s="16" t="str">
        <f aca="false">IF(OR(C292="",V292=0),"",IF(W292&gt;=V292,"Sí","No"))</f>
        <v/>
      </c>
      <c r="Z292" s="9"/>
      <c r="AA292" s="9"/>
    </row>
    <row r="293" customFormat="false" ht="15" hidden="false" customHeight="false" outlineLevel="0" collapsed="false">
      <c r="A293" s="9"/>
      <c r="B293" s="9"/>
      <c r="C293" s="9"/>
      <c r="D293" s="16" t="str">
        <f aca="false">IF(C293="","",IFERROR(INDEX(LOOKAHEAD!$B$5:$B$604,MATCH(C293,LOOKAHEAD!$A$5:$A$604,0)),""))</f>
        <v/>
      </c>
      <c r="E293" s="16" t="str">
        <f aca="false">IF(C293="","",IFERROR(INDEX(LOOKAHEAD!$E$5:$E$604,MATCH(C293,LOOKAHEAD!$A$5:$A$604,0)),""))</f>
        <v/>
      </c>
      <c r="F293" s="16" t="str">
        <f aca="false">IF(C293="","",IFERROR(INDEX(LOOKAHEAD!$M$5:$M$604,MATCH(C293,LOOKAHEAD!$A$5:$A$604,0)),""))</f>
        <v/>
      </c>
      <c r="G293" s="9"/>
      <c r="H293" s="9"/>
      <c r="I293" s="16" t="str">
        <f aca="false">IF(C293="","",IFERROR(INDEX(LOOKAHEAD!$G$5:$G$604,MATCH(C293,LOOKAHEAD!$A$5:$A$604,0)),""))</f>
        <v/>
      </c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66" t="str">
        <f aca="false">IF(C293="","",SUM(J293:O293))</f>
        <v/>
      </c>
      <c r="W293" s="66" t="str">
        <f aca="false">IF(C293="","",SUM(P293:U293))</f>
        <v/>
      </c>
      <c r="X293" s="51" t="str">
        <f aca="false">IF(OR(C293="",V293=0),"",W293/V293)</f>
        <v/>
      </c>
      <c r="Y293" s="16" t="str">
        <f aca="false">IF(OR(C293="",V293=0),"",IF(W293&gt;=V293,"Sí","No"))</f>
        <v/>
      </c>
      <c r="Z293" s="9"/>
      <c r="AA293" s="9"/>
    </row>
    <row r="294" customFormat="false" ht="15" hidden="false" customHeight="false" outlineLevel="0" collapsed="false">
      <c r="A294" s="9"/>
      <c r="B294" s="9"/>
      <c r="C294" s="9"/>
      <c r="D294" s="16" t="str">
        <f aca="false">IF(C294="","",IFERROR(INDEX(LOOKAHEAD!$B$5:$B$604,MATCH(C294,LOOKAHEAD!$A$5:$A$604,0)),""))</f>
        <v/>
      </c>
      <c r="E294" s="16" t="str">
        <f aca="false">IF(C294="","",IFERROR(INDEX(LOOKAHEAD!$E$5:$E$604,MATCH(C294,LOOKAHEAD!$A$5:$A$604,0)),""))</f>
        <v/>
      </c>
      <c r="F294" s="16" t="str">
        <f aca="false">IF(C294="","",IFERROR(INDEX(LOOKAHEAD!$M$5:$M$604,MATCH(C294,LOOKAHEAD!$A$5:$A$604,0)),""))</f>
        <v/>
      </c>
      <c r="G294" s="9"/>
      <c r="H294" s="9"/>
      <c r="I294" s="16" t="str">
        <f aca="false">IF(C294="","",IFERROR(INDEX(LOOKAHEAD!$G$5:$G$604,MATCH(C294,LOOKAHEAD!$A$5:$A$604,0)),""))</f>
        <v/>
      </c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66" t="str">
        <f aca="false">IF(C294="","",SUM(J294:O294))</f>
        <v/>
      </c>
      <c r="W294" s="66" t="str">
        <f aca="false">IF(C294="","",SUM(P294:U294))</f>
        <v/>
      </c>
      <c r="X294" s="51" t="str">
        <f aca="false">IF(OR(C294="",V294=0),"",W294/V294)</f>
        <v/>
      </c>
      <c r="Y294" s="16" t="str">
        <f aca="false">IF(OR(C294="",V294=0),"",IF(W294&gt;=V294,"Sí","No"))</f>
        <v/>
      </c>
      <c r="Z294" s="9"/>
      <c r="AA294" s="9"/>
    </row>
    <row r="295" customFormat="false" ht="15" hidden="false" customHeight="false" outlineLevel="0" collapsed="false">
      <c r="A295" s="9"/>
      <c r="B295" s="9"/>
      <c r="C295" s="9"/>
      <c r="D295" s="16" t="str">
        <f aca="false">IF(C295="","",IFERROR(INDEX(LOOKAHEAD!$B$5:$B$604,MATCH(C295,LOOKAHEAD!$A$5:$A$604,0)),""))</f>
        <v/>
      </c>
      <c r="E295" s="16" t="str">
        <f aca="false">IF(C295="","",IFERROR(INDEX(LOOKAHEAD!$E$5:$E$604,MATCH(C295,LOOKAHEAD!$A$5:$A$604,0)),""))</f>
        <v/>
      </c>
      <c r="F295" s="16" t="str">
        <f aca="false">IF(C295="","",IFERROR(INDEX(LOOKAHEAD!$M$5:$M$604,MATCH(C295,LOOKAHEAD!$A$5:$A$604,0)),""))</f>
        <v/>
      </c>
      <c r="G295" s="9"/>
      <c r="H295" s="9"/>
      <c r="I295" s="16" t="str">
        <f aca="false">IF(C295="","",IFERROR(INDEX(LOOKAHEAD!$G$5:$G$604,MATCH(C295,LOOKAHEAD!$A$5:$A$604,0)),""))</f>
        <v/>
      </c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66" t="str">
        <f aca="false">IF(C295="","",SUM(J295:O295))</f>
        <v/>
      </c>
      <c r="W295" s="66" t="str">
        <f aca="false">IF(C295="","",SUM(P295:U295))</f>
        <v/>
      </c>
      <c r="X295" s="51" t="str">
        <f aca="false">IF(OR(C295="",V295=0),"",W295/V295)</f>
        <v/>
      </c>
      <c r="Y295" s="16" t="str">
        <f aca="false">IF(OR(C295="",V295=0),"",IF(W295&gt;=V295,"Sí","No"))</f>
        <v/>
      </c>
      <c r="Z295" s="9"/>
      <c r="AA295" s="9"/>
    </row>
    <row r="296" customFormat="false" ht="15" hidden="false" customHeight="false" outlineLevel="0" collapsed="false">
      <c r="A296" s="9"/>
      <c r="B296" s="9"/>
      <c r="C296" s="9"/>
      <c r="D296" s="16" t="str">
        <f aca="false">IF(C296="","",IFERROR(INDEX(LOOKAHEAD!$B$5:$B$604,MATCH(C296,LOOKAHEAD!$A$5:$A$604,0)),""))</f>
        <v/>
      </c>
      <c r="E296" s="16" t="str">
        <f aca="false">IF(C296="","",IFERROR(INDEX(LOOKAHEAD!$E$5:$E$604,MATCH(C296,LOOKAHEAD!$A$5:$A$604,0)),""))</f>
        <v/>
      </c>
      <c r="F296" s="16" t="str">
        <f aca="false">IF(C296="","",IFERROR(INDEX(LOOKAHEAD!$M$5:$M$604,MATCH(C296,LOOKAHEAD!$A$5:$A$604,0)),""))</f>
        <v/>
      </c>
      <c r="G296" s="9"/>
      <c r="H296" s="9"/>
      <c r="I296" s="16" t="str">
        <f aca="false">IF(C296="","",IFERROR(INDEX(LOOKAHEAD!$G$5:$G$604,MATCH(C296,LOOKAHEAD!$A$5:$A$604,0)),""))</f>
        <v/>
      </c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66" t="str">
        <f aca="false">IF(C296="","",SUM(J296:O296))</f>
        <v/>
      </c>
      <c r="W296" s="66" t="str">
        <f aca="false">IF(C296="","",SUM(P296:U296))</f>
        <v/>
      </c>
      <c r="X296" s="51" t="str">
        <f aca="false">IF(OR(C296="",V296=0),"",W296/V296)</f>
        <v/>
      </c>
      <c r="Y296" s="16" t="str">
        <f aca="false">IF(OR(C296="",V296=0),"",IF(W296&gt;=V296,"Sí","No"))</f>
        <v/>
      </c>
      <c r="Z296" s="9"/>
      <c r="AA296" s="9"/>
    </row>
    <row r="297" customFormat="false" ht="15" hidden="false" customHeight="false" outlineLevel="0" collapsed="false">
      <c r="A297" s="9"/>
      <c r="B297" s="9"/>
      <c r="C297" s="9"/>
      <c r="D297" s="16" t="str">
        <f aca="false">IF(C297="","",IFERROR(INDEX(LOOKAHEAD!$B$5:$B$604,MATCH(C297,LOOKAHEAD!$A$5:$A$604,0)),""))</f>
        <v/>
      </c>
      <c r="E297" s="16" t="str">
        <f aca="false">IF(C297="","",IFERROR(INDEX(LOOKAHEAD!$E$5:$E$604,MATCH(C297,LOOKAHEAD!$A$5:$A$604,0)),""))</f>
        <v/>
      </c>
      <c r="F297" s="16" t="str">
        <f aca="false">IF(C297="","",IFERROR(INDEX(LOOKAHEAD!$M$5:$M$604,MATCH(C297,LOOKAHEAD!$A$5:$A$604,0)),""))</f>
        <v/>
      </c>
      <c r="G297" s="9"/>
      <c r="H297" s="9"/>
      <c r="I297" s="16" t="str">
        <f aca="false">IF(C297="","",IFERROR(INDEX(LOOKAHEAD!$G$5:$G$604,MATCH(C297,LOOKAHEAD!$A$5:$A$604,0)),""))</f>
        <v/>
      </c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66" t="str">
        <f aca="false">IF(C297="","",SUM(J297:O297))</f>
        <v/>
      </c>
      <c r="W297" s="66" t="str">
        <f aca="false">IF(C297="","",SUM(P297:U297))</f>
        <v/>
      </c>
      <c r="X297" s="51" t="str">
        <f aca="false">IF(OR(C297="",V297=0),"",W297/V297)</f>
        <v/>
      </c>
      <c r="Y297" s="16" t="str">
        <f aca="false">IF(OR(C297="",V297=0),"",IF(W297&gt;=V297,"Sí","No"))</f>
        <v/>
      </c>
      <c r="Z297" s="9"/>
      <c r="AA297" s="9"/>
    </row>
    <row r="298" customFormat="false" ht="15" hidden="false" customHeight="false" outlineLevel="0" collapsed="false">
      <c r="A298" s="9"/>
      <c r="B298" s="9"/>
      <c r="C298" s="9"/>
      <c r="D298" s="16" t="str">
        <f aca="false">IF(C298="","",IFERROR(INDEX(LOOKAHEAD!$B$5:$B$604,MATCH(C298,LOOKAHEAD!$A$5:$A$604,0)),""))</f>
        <v/>
      </c>
      <c r="E298" s="16" t="str">
        <f aca="false">IF(C298="","",IFERROR(INDEX(LOOKAHEAD!$E$5:$E$604,MATCH(C298,LOOKAHEAD!$A$5:$A$604,0)),""))</f>
        <v/>
      </c>
      <c r="F298" s="16" t="str">
        <f aca="false">IF(C298="","",IFERROR(INDEX(LOOKAHEAD!$M$5:$M$604,MATCH(C298,LOOKAHEAD!$A$5:$A$604,0)),""))</f>
        <v/>
      </c>
      <c r="G298" s="9"/>
      <c r="H298" s="9"/>
      <c r="I298" s="16" t="str">
        <f aca="false">IF(C298="","",IFERROR(INDEX(LOOKAHEAD!$G$5:$G$604,MATCH(C298,LOOKAHEAD!$A$5:$A$604,0)),""))</f>
        <v/>
      </c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66" t="str">
        <f aca="false">IF(C298="","",SUM(J298:O298))</f>
        <v/>
      </c>
      <c r="W298" s="66" t="str">
        <f aca="false">IF(C298="","",SUM(P298:U298))</f>
        <v/>
      </c>
      <c r="X298" s="51" t="str">
        <f aca="false">IF(OR(C298="",V298=0),"",W298/V298)</f>
        <v/>
      </c>
      <c r="Y298" s="16" t="str">
        <f aca="false">IF(OR(C298="",V298=0),"",IF(W298&gt;=V298,"Sí","No"))</f>
        <v/>
      </c>
      <c r="Z298" s="9"/>
      <c r="AA298" s="9"/>
    </row>
    <row r="299" customFormat="false" ht="15" hidden="false" customHeight="false" outlineLevel="0" collapsed="false">
      <c r="A299" s="9"/>
      <c r="B299" s="9"/>
      <c r="C299" s="9"/>
      <c r="D299" s="16" t="str">
        <f aca="false">IF(C299="","",IFERROR(INDEX(LOOKAHEAD!$B$5:$B$604,MATCH(C299,LOOKAHEAD!$A$5:$A$604,0)),""))</f>
        <v/>
      </c>
      <c r="E299" s="16" t="str">
        <f aca="false">IF(C299="","",IFERROR(INDEX(LOOKAHEAD!$E$5:$E$604,MATCH(C299,LOOKAHEAD!$A$5:$A$604,0)),""))</f>
        <v/>
      </c>
      <c r="F299" s="16" t="str">
        <f aca="false">IF(C299="","",IFERROR(INDEX(LOOKAHEAD!$M$5:$M$604,MATCH(C299,LOOKAHEAD!$A$5:$A$604,0)),""))</f>
        <v/>
      </c>
      <c r="G299" s="9"/>
      <c r="H299" s="9"/>
      <c r="I299" s="16" t="str">
        <f aca="false">IF(C299="","",IFERROR(INDEX(LOOKAHEAD!$G$5:$G$604,MATCH(C299,LOOKAHEAD!$A$5:$A$604,0)),""))</f>
        <v/>
      </c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66" t="str">
        <f aca="false">IF(C299="","",SUM(J299:O299))</f>
        <v/>
      </c>
      <c r="W299" s="66" t="str">
        <f aca="false">IF(C299="","",SUM(P299:U299))</f>
        <v/>
      </c>
      <c r="X299" s="51" t="str">
        <f aca="false">IF(OR(C299="",V299=0),"",W299/V299)</f>
        <v/>
      </c>
      <c r="Y299" s="16" t="str">
        <f aca="false">IF(OR(C299="",V299=0),"",IF(W299&gt;=V299,"Sí","No"))</f>
        <v/>
      </c>
      <c r="Z299" s="9"/>
      <c r="AA299" s="9"/>
    </row>
    <row r="300" customFormat="false" ht="15" hidden="false" customHeight="false" outlineLevel="0" collapsed="false">
      <c r="A300" s="9"/>
      <c r="B300" s="9"/>
      <c r="C300" s="9"/>
      <c r="D300" s="16" t="str">
        <f aca="false">IF(C300="","",IFERROR(INDEX(LOOKAHEAD!$B$5:$B$604,MATCH(C300,LOOKAHEAD!$A$5:$A$604,0)),""))</f>
        <v/>
      </c>
      <c r="E300" s="16" t="str">
        <f aca="false">IF(C300="","",IFERROR(INDEX(LOOKAHEAD!$E$5:$E$604,MATCH(C300,LOOKAHEAD!$A$5:$A$604,0)),""))</f>
        <v/>
      </c>
      <c r="F300" s="16" t="str">
        <f aca="false">IF(C300="","",IFERROR(INDEX(LOOKAHEAD!$M$5:$M$604,MATCH(C300,LOOKAHEAD!$A$5:$A$604,0)),""))</f>
        <v/>
      </c>
      <c r="G300" s="9"/>
      <c r="H300" s="9"/>
      <c r="I300" s="16" t="str">
        <f aca="false">IF(C300="","",IFERROR(INDEX(LOOKAHEAD!$G$5:$G$604,MATCH(C300,LOOKAHEAD!$A$5:$A$604,0)),""))</f>
        <v/>
      </c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66" t="str">
        <f aca="false">IF(C300="","",SUM(J300:O300))</f>
        <v/>
      </c>
      <c r="W300" s="66" t="str">
        <f aca="false">IF(C300="","",SUM(P300:U300))</f>
        <v/>
      </c>
      <c r="X300" s="51" t="str">
        <f aca="false">IF(OR(C300="",V300=0),"",W300/V300)</f>
        <v/>
      </c>
      <c r="Y300" s="16" t="str">
        <f aca="false">IF(OR(C300="",V300=0),"",IF(W300&gt;=V300,"Sí","No"))</f>
        <v/>
      </c>
      <c r="Z300" s="9"/>
      <c r="AA300" s="9"/>
    </row>
    <row r="301" customFormat="false" ht="15" hidden="false" customHeight="false" outlineLevel="0" collapsed="false">
      <c r="A301" s="9"/>
      <c r="B301" s="9"/>
      <c r="C301" s="9"/>
      <c r="D301" s="16" t="str">
        <f aca="false">IF(C301="","",IFERROR(INDEX(LOOKAHEAD!$B$5:$B$604,MATCH(C301,LOOKAHEAD!$A$5:$A$604,0)),""))</f>
        <v/>
      </c>
      <c r="E301" s="16" t="str">
        <f aca="false">IF(C301="","",IFERROR(INDEX(LOOKAHEAD!$E$5:$E$604,MATCH(C301,LOOKAHEAD!$A$5:$A$604,0)),""))</f>
        <v/>
      </c>
      <c r="F301" s="16" t="str">
        <f aca="false">IF(C301="","",IFERROR(INDEX(LOOKAHEAD!$M$5:$M$604,MATCH(C301,LOOKAHEAD!$A$5:$A$604,0)),""))</f>
        <v/>
      </c>
      <c r="G301" s="9"/>
      <c r="H301" s="9"/>
      <c r="I301" s="16" t="str">
        <f aca="false">IF(C301="","",IFERROR(INDEX(LOOKAHEAD!$G$5:$G$604,MATCH(C301,LOOKAHEAD!$A$5:$A$604,0)),""))</f>
        <v/>
      </c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66" t="str">
        <f aca="false">IF(C301="","",SUM(J301:O301))</f>
        <v/>
      </c>
      <c r="W301" s="66" t="str">
        <f aca="false">IF(C301="","",SUM(P301:U301))</f>
        <v/>
      </c>
      <c r="X301" s="51" t="str">
        <f aca="false">IF(OR(C301="",V301=0),"",W301/V301)</f>
        <v/>
      </c>
      <c r="Y301" s="16" t="str">
        <f aca="false">IF(OR(C301="",V301=0),"",IF(W301&gt;=V301,"Sí","No"))</f>
        <v/>
      </c>
      <c r="Z301" s="9"/>
      <c r="AA301" s="9"/>
    </row>
    <row r="302" customFormat="false" ht="15" hidden="false" customHeight="false" outlineLevel="0" collapsed="false">
      <c r="A302" s="9"/>
      <c r="B302" s="9"/>
      <c r="C302" s="9"/>
      <c r="D302" s="16" t="str">
        <f aca="false">IF(C302="","",IFERROR(INDEX(LOOKAHEAD!$B$5:$B$604,MATCH(C302,LOOKAHEAD!$A$5:$A$604,0)),""))</f>
        <v/>
      </c>
      <c r="E302" s="16" t="str">
        <f aca="false">IF(C302="","",IFERROR(INDEX(LOOKAHEAD!$E$5:$E$604,MATCH(C302,LOOKAHEAD!$A$5:$A$604,0)),""))</f>
        <v/>
      </c>
      <c r="F302" s="16" t="str">
        <f aca="false">IF(C302="","",IFERROR(INDEX(LOOKAHEAD!$M$5:$M$604,MATCH(C302,LOOKAHEAD!$A$5:$A$604,0)),""))</f>
        <v/>
      </c>
      <c r="G302" s="9"/>
      <c r="H302" s="9"/>
      <c r="I302" s="16" t="str">
        <f aca="false">IF(C302="","",IFERROR(INDEX(LOOKAHEAD!$G$5:$G$604,MATCH(C302,LOOKAHEAD!$A$5:$A$604,0)),""))</f>
        <v/>
      </c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66" t="str">
        <f aca="false">IF(C302="","",SUM(J302:O302))</f>
        <v/>
      </c>
      <c r="W302" s="66" t="str">
        <f aca="false">IF(C302="","",SUM(P302:U302))</f>
        <v/>
      </c>
      <c r="X302" s="51" t="str">
        <f aca="false">IF(OR(C302="",V302=0),"",W302/V302)</f>
        <v/>
      </c>
      <c r="Y302" s="16" t="str">
        <f aca="false">IF(OR(C302="",V302=0),"",IF(W302&gt;=V302,"Sí","No"))</f>
        <v/>
      </c>
      <c r="Z302" s="9"/>
      <c r="AA302" s="9"/>
    </row>
    <row r="303" customFormat="false" ht="15" hidden="false" customHeight="false" outlineLevel="0" collapsed="false">
      <c r="A303" s="9"/>
      <c r="B303" s="9"/>
      <c r="C303" s="9"/>
      <c r="D303" s="16" t="str">
        <f aca="false">IF(C303="","",IFERROR(INDEX(LOOKAHEAD!$B$5:$B$604,MATCH(C303,LOOKAHEAD!$A$5:$A$604,0)),""))</f>
        <v/>
      </c>
      <c r="E303" s="16" t="str">
        <f aca="false">IF(C303="","",IFERROR(INDEX(LOOKAHEAD!$E$5:$E$604,MATCH(C303,LOOKAHEAD!$A$5:$A$604,0)),""))</f>
        <v/>
      </c>
      <c r="F303" s="16" t="str">
        <f aca="false">IF(C303="","",IFERROR(INDEX(LOOKAHEAD!$M$5:$M$604,MATCH(C303,LOOKAHEAD!$A$5:$A$604,0)),""))</f>
        <v/>
      </c>
      <c r="G303" s="9"/>
      <c r="H303" s="9"/>
      <c r="I303" s="16" t="str">
        <f aca="false">IF(C303="","",IFERROR(INDEX(LOOKAHEAD!$G$5:$G$604,MATCH(C303,LOOKAHEAD!$A$5:$A$604,0)),""))</f>
        <v/>
      </c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66" t="str">
        <f aca="false">IF(C303="","",SUM(J303:O303))</f>
        <v/>
      </c>
      <c r="W303" s="66" t="str">
        <f aca="false">IF(C303="","",SUM(P303:U303))</f>
        <v/>
      </c>
      <c r="X303" s="51" t="str">
        <f aca="false">IF(OR(C303="",V303=0),"",W303/V303)</f>
        <v/>
      </c>
      <c r="Y303" s="16" t="str">
        <f aca="false">IF(OR(C303="",V303=0),"",IF(W303&gt;=V303,"Sí","No"))</f>
        <v/>
      </c>
      <c r="Z303" s="9"/>
      <c r="AA303" s="9"/>
    </row>
    <row r="304" customFormat="false" ht="15" hidden="false" customHeight="false" outlineLevel="0" collapsed="false">
      <c r="A304" s="9"/>
      <c r="B304" s="9"/>
      <c r="C304" s="9"/>
      <c r="D304" s="16" t="str">
        <f aca="false">IF(C304="","",IFERROR(INDEX(LOOKAHEAD!$B$5:$B$604,MATCH(C304,LOOKAHEAD!$A$5:$A$604,0)),""))</f>
        <v/>
      </c>
      <c r="E304" s="16" t="str">
        <f aca="false">IF(C304="","",IFERROR(INDEX(LOOKAHEAD!$E$5:$E$604,MATCH(C304,LOOKAHEAD!$A$5:$A$604,0)),""))</f>
        <v/>
      </c>
      <c r="F304" s="16" t="str">
        <f aca="false">IF(C304="","",IFERROR(INDEX(LOOKAHEAD!$M$5:$M$604,MATCH(C304,LOOKAHEAD!$A$5:$A$604,0)),""))</f>
        <v/>
      </c>
      <c r="G304" s="9"/>
      <c r="H304" s="9"/>
      <c r="I304" s="16" t="str">
        <f aca="false">IF(C304="","",IFERROR(INDEX(LOOKAHEAD!$G$5:$G$604,MATCH(C304,LOOKAHEAD!$A$5:$A$604,0)),""))</f>
        <v/>
      </c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66" t="str">
        <f aca="false">IF(C304="","",SUM(J304:O304))</f>
        <v/>
      </c>
      <c r="W304" s="66" t="str">
        <f aca="false">IF(C304="","",SUM(P304:U304))</f>
        <v/>
      </c>
      <c r="X304" s="51" t="str">
        <f aca="false">IF(OR(C304="",V304=0),"",W304/V304)</f>
        <v/>
      </c>
      <c r="Y304" s="16" t="str">
        <f aca="false">IF(OR(C304="",V304=0),"",IF(W304&gt;=V304,"Sí","No"))</f>
        <v/>
      </c>
      <c r="Z304" s="9"/>
      <c r="AA304" s="9"/>
    </row>
    <row r="305" customFormat="false" ht="15" hidden="false" customHeight="false" outlineLevel="0" collapsed="false">
      <c r="A305" s="9"/>
      <c r="B305" s="9"/>
      <c r="C305" s="9"/>
      <c r="D305" s="16" t="str">
        <f aca="false">IF(C305="","",IFERROR(INDEX(LOOKAHEAD!$B$5:$B$604,MATCH(C305,LOOKAHEAD!$A$5:$A$604,0)),""))</f>
        <v/>
      </c>
      <c r="E305" s="16" t="str">
        <f aca="false">IF(C305="","",IFERROR(INDEX(LOOKAHEAD!$E$5:$E$604,MATCH(C305,LOOKAHEAD!$A$5:$A$604,0)),""))</f>
        <v/>
      </c>
      <c r="F305" s="16" t="str">
        <f aca="false">IF(C305="","",IFERROR(INDEX(LOOKAHEAD!$M$5:$M$604,MATCH(C305,LOOKAHEAD!$A$5:$A$604,0)),""))</f>
        <v/>
      </c>
      <c r="G305" s="9"/>
      <c r="H305" s="9"/>
      <c r="I305" s="16" t="str">
        <f aca="false">IF(C305="","",IFERROR(INDEX(LOOKAHEAD!$G$5:$G$604,MATCH(C305,LOOKAHEAD!$A$5:$A$604,0)),""))</f>
        <v/>
      </c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66" t="str">
        <f aca="false">IF(C305="","",SUM(J305:O305))</f>
        <v/>
      </c>
      <c r="W305" s="66" t="str">
        <f aca="false">IF(C305="","",SUM(P305:U305))</f>
        <v/>
      </c>
      <c r="X305" s="51" t="str">
        <f aca="false">IF(OR(C305="",V305=0),"",W305/V305)</f>
        <v/>
      </c>
      <c r="Y305" s="16" t="str">
        <f aca="false">IF(OR(C305="",V305=0),"",IF(W305&gt;=V305,"Sí","No"))</f>
        <v/>
      </c>
      <c r="Z305" s="9"/>
      <c r="AA305" s="9"/>
    </row>
    <row r="306" customFormat="false" ht="15" hidden="false" customHeight="false" outlineLevel="0" collapsed="false">
      <c r="A306" s="9"/>
      <c r="B306" s="9"/>
      <c r="C306" s="9"/>
      <c r="D306" s="16" t="str">
        <f aca="false">IF(C306="","",IFERROR(INDEX(LOOKAHEAD!$B$5:$B$604,MATCH(C306,LOOKAHEAD!$A$5:$A$604,0)),""))</f>
        <v/>
      </c>
      <c r="E306" s="16" t="str">
        <f aca="false">IF(C306="","",IFERROR(INDEX(LOOKAHEAD!$E$5:$E$604,MATCH(C306,LOOKAHEAD!$A$5:$A$604,0)),""))</f>
        <v/>
      </c>
      <c r="F306" s="16" t="str">
        <f aca="false">IF(C306="","",IFERROR(INDEX(LOOKAHEAD!$M$5:$M$604,MATCH(C306,LOOKAHEAD!$A$5:$A$604,0)),""))</f>
        <v/>
      </c>
      <c r="G306" s="9"/>
      <c r="H306" s="9"/>
      <c r="I306" s="16" t="str">
        <f aca="false">IF(C306="","",IFERROR(INDEX(LOOKAHEAD!$G$5:$G$604,MATCH(C306,LOOKAHEAD!$A$5:$A$604,0)),""))</f>
        <v/>
      </c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66" t="str">
        <f aca="false">IF(C306="","",SUM(J306:O306))</f>
        <v/>
      </c>
      <c r="W306" s="66" t="str">
        <f aca="false">IF(C306="","",SUM(P306:U306))</f>
        <v/>
      </c>
      <c r="X306" s="51" t="str">
        <f aca="false">IF(OR(C306="",V306=0),"",W306/V306)</f>
        <v/>
      </c>
      <c r="Y306" s="16" t="str">
        <f aca="false">IF(OR(C306="",V306=0),"",IF(W306&gt;=V306,"Sí","No"))</f>
        <v/>
      </c>
      <c r="Z306" s="9"/>
      <c r="AA306" s="9"/>
    </row>
    <row r="307" customFormat="false" ht="15" hidden="false" customHeight="false" outlineLevel="0" collapsed="false">
      <c r="A307" s="9"/>
      <c r="B307" s="9"/>
      <c r="C307" s="9"/>
      <c r="D307" s="16" t="str">
        <f aca="false">IF(C307="","",IFERROR(INDEX(LOOKAHEAD!$B$5:$B$604,MATCH(C307,LOOKAHEAD!$A$5:$A$604,0)),""))</f>
        <v/>
      </c>
      <c r="E307" s="16" t="str">
        <f aca="false">IF(C307="","",IFERROR(INDEX(LOOKAHEAD!$E$5:$E$604,MATCH(C307,LOOKAHEAD!$A$5:$A$604,0)),""))</f>
        <v/>
      </c>
      <c r="F307" s="16" t="str">
        <f aca="false">IF(C307="","",IFERROR(INDEX(LOOKAHEAD!$M$5:$M$604,MATCH(C307,LOOKAHEAD!$A$5:$A$604,0)),""))</f>
        <v/>
      </c>
      <c r="G307" s="9"/>
      <c r="H307" s="9"/>
      <c r="I307" s="16" t="str">
        <f aca="false">IF(C307="","",IFERROR(INDEX(LOOKAHEAD!$G$5:$G$604,MATCH(C307,LOOKAHEAD!$A$5:$A$604,0)),""))</f>
        <v/>
      </c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66" t="str">
        <f aca="false">IF(C307="","",SUM(J307:O307))</f>
        <v/>
      </c>
      <c r="W307" s="66" t="str">
        <f aca="false">IF(C307="","",SUM(P307:U307))</f>
        <v/>
      </c>
      <c r="X307" s="51" t="str">
        <f aca="false">IF(OR(C307="",V307=0),"",W307/V307)</f>
        <v/>
      </c>
      <c r="Y307" s="16" t="str">
        <f aca="false">IF(OR(C307="",V307=0),"",IF(W307&gt;=V307,"Sí","No"))</f>
        <v/>
      </c>
      <c r="Z307" s="9"/>
      <c r="AA307" s="9"/>
    </row>
    <row r="308" customFormat="false" ht="15" hidden="false" customHeight="false" outlineLevel="0" collapsed="false">
      <c r="A308" s="9"/>
      <c r="B308" s="9"/>
      <c r="C308" s="9"/>
      <c r="D308" s="16" t="str">
        <f aca="false">IF(C308="","",IFERROR(INDEX(LOOKAHEAD!$B$5:$B$604,MATCH(C308,LOOKAHEAD!$A$5:$A$604,0)),""))</f>
        <v/>
      </c>
      <c r="E308" s="16" t="str">
        <f aca="false">IF(C308="","",IFERROR(INDEX(LOOKAHEAD!$E$5:$E$604,MATCH(C308,LOOKAHEAD!$A$5:$A$604,0)),""))</f>
        <v/>
      </c>
      <c r="F308" s="16" t="str">
        <f aca="false">IF(C308="","",IFERROR(INDEX(LOOKAHEAD!$M$5:$M$604,MATCH(C308,LOOKAHEAD!$A$5:$A$604,0)),""))</f>
        <v/>
      </c>
      <c r="G308" s="9"/>
      <c r="H308" s="9"/>
      <c r="I308" s="16" t="str">
        <f aca="false">IF(C308="","",IFERROR(INDEX(LOOKAHEAD!$G$5:$G$604,MATCH(C308,LOOKAHEAD!$A$5:$A$604,0)),""))</f>
        <v/>
      </c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66" t="str">
        <f aca="false">IF(C308="","",SUM(J308:O308))</f>
        <v/>
      </c>
      <c r="W308" s="66" t="str">
        <f aca="false">IF(C308="","",SUM(P308:U308))</f>
        <v/>
      </c>
      <c r="X308" s="51" t="str">
        <f aca="false">IF(OR(C308="",V308=0),"",W308/V308)</f>
        <v/>
      </c>
      <c r="Y308" s="16" t="str">
        <f aca="false">IF(OR(C308="",V308=0),"",IF(W308&gt;=V308,"Sí","No"))</f>
        <v/>
      </c>
      <c r="Z308" s="9"/>
      <c r="AA308" s="9"/>
    </row>
    <row r="309" customFormat="false" ht="15" hidden="false" customHeight="false" outlineLevel="0" collapsed="false">
      <c r="A309" s="9"/>
      <c r="B309" s="9"/>
      <c r="C309" s="9"/>
      <c r="D309" s="16" t="str">
        <f aca="false">IF(C309="","",IFERROR(INDEX(LOOKAHEAD!$B$5:$B$604,MATCH(C309,LOOKAHEAD!$A$5:$A$604,0)),""))</f>
        <v/>
      </c>
      <c r="E309" s="16" t="str">
        <f aca="false">IF(C309="","",IFERROR(INDEX(LOOKAHEAD!$E$5:$E$604,MATCH(C309,LOOKAHEAD!$A$5:$A$604,0)),""))</f>
        <v/>
      </c>
      <c r="F309" s="16" t="str">
        <f aca="false">IF(C309="","",IFERROR(INDEX(LOOKAHEAD!$M$5:$M$604,MATCH(C309,LOOKAHEAD!$A$5:$A$604,0)),""))</f>
        <v/>
      </c>
      <c r="G309" s="9"/>
      <c r="H309" s="9"/>
      <c r="I309" s="16" t="str">
        <f aca="false">IF(C309="","",IFERROR(INDEX(LOOKAHEAD!$G$5:$G$604,MATCH(C309,LOOKAHEAD!$A$5:$A$604,0)),""))</f>
        <v/>
      </c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66" t="str">
        <f aca="false">IF(C309="","",SUM(J309:O309))</f>
        <v/>
      </c>
      <c r="W309" s="66" t="str">
        <f aca="false">IF(C309="","",SUM(P309:U309))</f>
        <v/>
      </c>
      <c r="X309" s="51" t="str">
        <f aca="false">IF(OR(C309="",V309=0),"",W309/V309)</f>
        <v/>
      </c>
      <c r="Y309" s="16" t="str">
        <f aca="false">IF(OR(C309="",V309=0),"",IF(W309&gt;=V309,"Sí","No"))</f>
        <v/>
      </c>
      <c r="Z309" s="9"/>
      <c r="AA309" s="9"/>
    </row>
    <row r="310" customFormat="false" ht="15" hidden="false" customHeight="false" outlineLevel="0" collapsed="false">
      <c r="A310" s="9"/>
      <c r="B310" s="9"/>
      <c r="C310" s="9"/>
      <c r="D310" s="16" t="str">
        <f aca="false">IF(C310="","",IFERROR(INDEX(LOOKAHEAD!$B$5:$B$604,MATCH(C310,LOOKAHEAD!$A$5:$A$604,0)),""))</f>
        <v/>
      </c>
      <c r="E310" s="16" t="str">
        <f aca="false">IF(C310="","",IFERROR(INDEX(LOOKAHEAD!$E$5:$E$604,MATCH(C310,LOOKAHEAD!$A$5:$A$604,0)),""))</f>
        <v/>
      </c>
      <c r="F310" s="16" t="str">
        <f aca="false">IF(C310="","",IFERROR(INDEX(LOOKAHEAD!$M$5:$M$604,MATCH(C310,LOOKAHEAD!$A$5:$A$604,0)),""))</f>
        <v/>
      </c>
      <c r="G310" s="9"/>
      <c r="H310" s="9"/>
      <c r="I310" s="16" t="str">
        <f aca="false">IF(C310="","",IFERROR(INDEX(LOOKAHEAD!$G$5:$G$604,MATCH(C310,LOOKAHEAD!$A$5:$A$604,0)),""))</f>
        <v/>
      </c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66" t="str">
        <f aca="false">IF(C310="","",SUM(J310:O310))</f>
        <v/>
      </c>
      <c r="W310" s="66" t="str">
        <f aca="false">IF(C310="","",SUM(P310:U310))</f>
        <v/>
      </c>
      <c r="X310" s="51" t="str">
        <f aca="false">IF(OR(C310="",V310=0),"",W310/V310)</f>
        <v/>
      </c>
      <c r="Y310" s="16" t="str">
        <f aca="false">IF(OR(C310="",V310=0),"",IF(W310&gt;=V310,"Sí","No"))</f>
        <v/>
      </c>
      <c r="Z310" s="9"/>
      <c r="AA310" s="9"/>
    </row>
    <row r="311" customFormat="false" ht="15" hidden="false" customHeight="false" outlineLevel="0" collapsed="false">
      <c r="A311" s="9"/>
      <c r="B311" s="9"/>
      <c r="C311" s="9"/>
      <c r="D311" s="16" t="str">
        <f aca="false">IF(C311="","",IFERROR(INDEX(LOOKAHEAD!$B$5:$B$604,MATCH(C311,LOOKAHEAD!$A$5:$A$604,0)),""))</f>
        <v/>
      </c>
      <c r="E311" s="16" t="str">
        <f aca="false">IF(C311="","",IFERROR(INDEX(LOOKAHEAD!$E$5:$E$604,MATCH(C311,LOOKAHEAD!$A$5:$A$604,0)),""))</f>
        <v/>
      </c>
      <c r="F311" s="16" t="str">
        <f aca="false">IF(C311="","",IFERROR(INDEX(LOOKAHEAD!$M$5:$M$604,MATCH(C311,LOOKAHEAD!$A$5:$A$604,0)),""))</f>
        <v/>
      </c>
      <c r="G311" s="9"/>
      <c r="H311" s="9"/>
      <c r="I311" s="16" t="str">
        <f aca="false">IF(C311="","",IFERROR(INDEX(LOOKAHEAD!$G$5:$G$604,MATCH(C311,LOOKAHEAD!$A$5:$A$604,0)),""))</f>
        <v/>
      </c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66" t="str">
        <f aca="false">IF(C311="","",SUM(J311:O311))</f>
        <v/>
      </c>
      <c r="W311" s="66" t="str">
        <f aca="false">IF(C311="","",SUM(P311:U311))</f>
        <v/>
      </c>
      <c r="X311" s="51" t="str">
        <f aca="false">IF(OR(C311="",V311=0),"",W311/V311)</f>
        <v/>
      </c>
      <c r="Y311" s="16" t="str">
        <f aca="false">IF(OR(C311="",V311=0),"",IF(W311&gt;=V311,"Sí","No"))</f>
        <v/>
      </c>
      <c r="Z311" s="9"/>
      <c r="AA311" s="9"/>
    </row>
    <row r="312" customFormat="false" ht="15" hidden="false" customHeight="false" outlineLevel="0" collapsed="false">
      <c r="A312" s="9"/>
      <c r="B312" s="9"/>
      <c r="C312" s="9"/>
      <c r="D312" s="16" t="str">
        <f aca="false">IF(C312="","",IFERROR(INDEX(LOOKAHEAD!$B$5:$B$604,MATCH(C312,LOOKAHEAD!$A$5:$A$604,0)),""))</f>
        <v/>
      </c>
      <c r="E312" s="16" t="str">
        <f aca="false">IF(C312="","",IFERROR(INDEX(LOOKAHEAD!$E$5:$E$604,MATCH(C312,LOOKAHEAD!$A$5:$A$604,0)),""))</f>
        <v/>
      </c>
      <c r="F312" s="16" t="str">
        <f aca="false">IF(C312="","",IFERROR(INDEX(LOOKAHEAD!$M$5:$M$604,MATCH(C312,LOOKAHEAD!$A$5:$A$604,0)),""))</f>
        <v/>
      </c>
      <c r="G312" s="9"/>
      <c r="H312" s="9"/>
      <c r="I312" s="16" t="str">
        <f aca="false">IF(C312="","",IFERROR(INDEX(LOOKAHEAD!$G$5:$G$604,MATCH(C312,LOOKAHEAD!$A$5:$A$604,0)),""))</f>
        <v/>
      </c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66" t="str">
        <f aca="false">IF(C312="","",SUM(J312:O312))</f>
        <v/>
      </c>
      <c r="W312" s="66" t="str">
        <f aca="false">IF(C312="","",SUM(P312:U312))</f>
        <v/>
      </c>
      <c r="X312" s="51" t="str">
        <f aca="false">IF(OR(C312="",V312=0),"",W312/V312)</f>
        <v/>
      </c>
      <c r="Y312" s="16" t="str">
        <f aca="false">IF(OR(C312="",V312=0),"",IF(W312&gt;=V312,"Sí","No"))</f>
        <v/>
      </c>
      <c r="Z312" s="9"/>
      <c r="AA312" s="9"/>
    </row>
    <row r="313" customFormat="false" ht="15" hidden="false" customHeight="false" outlineLevel="0" collapsed="false">
      <c r="A313" s="9"/>
      <c r="B313" s="9"/>
      <c r="C313" s="9"/>
      <c r="D313" s="16" t="str">
        <f aca="false">IF(C313="","",IFERROR(INDEX(LOOKAHEAD!$B$5:$B$604,MATCH(C313,LOOKAHEAD!$A$5:$A$604,0)),""))</f>
        <v/>
      </c>
      <c r="E313" s="16" t="str">
        <f aca="false">IF(C313="","",IFERROR(INDEX(LOOKAHEAD!$E$5:$E$604,MATCH(C313,LOOKAHEAD!$A$5:$A$604,0)),""))</f>
        <v/>
      </c>
      <c r="F313" s="16" t="str">
        <f aca="false">IF(C313="","",IFERROR(INDEX(LOOKAHEAD!$M$5:$M$604,MATCH(C313,LOOKAHEAD!$A$5:$A$604,0)),""))</f>
        <v/>
      </c>
      <c r="G313" s="9"/>
      <c r="H313" s="9"/>
      <c r="I313" s="16" t="str">
        <f aca="false">IF(C313="","",IFERROR(INDEX(LOOKAHEAD!$G$5:$G$604,MATCH(C313,LOOKAHEAD!$A$5:$A$604,0)),""))</f>
        <v/>
      </c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66" t="str">
        <f aca="false">IF(C313="","",SUM(J313:O313))</f>
        <v/>
      </c>
      <c r="W313" s="66" t="str">
        <f aca="false">IF(C313="","",SUM(P313:U313))</f>
        <v/>
      </c>
      <c r="X313" s="51" t="str">
        <f aca="false">IF(OR(C313="",V313=0),"",W313/V313)</f>
        <v/>
      </c>
      <c r="Y313" s="16" t="str">
        <f aca="false">IF(OR(C313="",V313=0),"",IF(W313&gt;=V313,"Sí","No"))</f>
        <v/>
      </c>
      <c r="Z313" s="9"/>
      <c r="AA313" s="9"/>
    </row>
    <row r="314" customFormat="false" ht="15" hidden="false" customHeight="false" outlineLevel="0" collapsed="false">
      <c r="A314" s="9"/>
      <c r="B314" s="9"/>
      <c r="C314" s="9"/>
      <c r="D314" s="16" t="str">
        <f aca="false">IF(C314="","",IFERROR(INDEX(LOOKAHEAD!$B$5:$B$604,MATCH(C314,LOOKAHEAD!$A$5:$A$604,0)),""))</f>
        <v/>
      </c>
      <c r="E314" s="16" t="str">
        <f aca="false">IF(C314="","",IFERROR(INDEX(LOOKAHEAD!$E$5:$E$604,MATCH(C314,LOOKAHEAD!$A$5:$A$604,0)),""))</f>
        <v/>
      </c>
      <c r="F314" s="16" t="str">
        <f aca="false">IF(C314="","",IFERROR(INDEX(LOOKAHEAD!$M$5:$M$604,MATCH(C314,LOOKAHEAD!$A$5:$A$604,0)),""))</f>
        <v/>
      </c>
      <c r="G314" s="9"/>
      <c r="H314" s="9"/>
      <c r="I314" s="16" t="str">
        <f aca="false">IF(C314="","",IFERROR(INDEX(LOOKAHEAD!$G$5:$G$604,MATCH(C314,LOOKAHEAD!$A$5:$A$604,0)),""))</f>
        <v/>
      </c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66" t="str">
        <f aca="false">IF(C314="","",SUM(J314:O314))</f>
        <v/>
      </c>
      <c r="W314" s="66" t="str">
        <f aca="false">IF(C314="","",SUM(P314:U314))</f>
        <v/>
      </c>
      <c r="X314" s="51" t="str">
        <f aca="false">IF(OR(C314="",V314=0),"",W314/V314)</f>
        <v/>
      </c>
      <c r="Y314" s="16" t="str">
        <f aca="false">IF(OR(C314="",V314=0),"",IF(W314&gt;=V314,"Sí","No"))</f>
        <v/>
      </c>
      <c r="Z314" s="9"/>
      <c r="AA314" s="9"/>
    </row>
    <row r="315" customFormat="false" ht="15" hidden="false" customHeight="false" outlineLevel="0" collapsed="false">
      <c r="A315" s="9"/>
      <c r="B315" s="9"/>
      <c r="C315" s="9"/>
      <c r="D315" s="16" t="str">
        <f aca="false">IF(C315="","",IFERROR(INDEX(LOOKAHEAD!$B$5:$B$604,MATCH(C315,LOOKAHEAD!$A$5:$A$604,0)),""))</f>
        <v/>
      </c>
      <c r="E315" s="16" t="str">
        <f aca="false">IF(C315="","",IFERROR(INDEX(LOOKAHEAD!$E$5:$E$604,MATCH(C315,LOOKAHEAD!$A$5:$A$604,0)),""))</f>
        <v/>
      </c>
      <c r="F315" s="16" t="str">
        <f aca="false">IF(C315="","",IFERROR(INDEX(LOOKAHEAD!$M$5:$M$604,MATCH(C315,LOOKAHEAD!$A$5:$A$604,0)),""))</f>
        <v/>
      </c>
      <c r="G315" s="9"/>
      <c r="H315" s="9"/>
      <c r="I315" s="16" t="str">
        <f aca="false">IF(C315="","",IFERROR(INDEX(LOOKAHEAD!$G$5:$G$604,MATCH(C315,LOOKAHEAD!$A$5:$A$604,0)),""))</f>
        <v/>
      </c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66" t="str">
        <f aca="false">IF(C315="","",SUM(J315:O315))</f>
        <v/>
      </c>
      <c r="W315" s="66" t="str">
        <f aca="false">IF(C315="","",SUM(P315:U315))</f>
        <v/>
      </c>
      <c r="X315" s="51" t="str">
        <f aca="false">IF(OR(C315="",V315=0),"",W315/V315)</f>
        <v/>
      </c>
      <c r="Y315" s="16" t="str">
        <f aca="false">IF(OR(C315="",V315=0),"",IF(W315&gt;=V315,"Sí","No"))</f>
        <v/>
      </c>
      <c r="Z315" s="9"/>
      <c r="AA315" s="9"/>
    </row>
    <row r="316" customFormat="false" ht="15" hidden="false" customHeight="false" outlineLevel="0" collapsed="false">
      <c r="A316" s="9"/>
      <c r="B316" s="9"/>
      <c r="C316" s="9"/>
      <c r="D316" s="16" t="str">
        <f aca="false">IF(C316="","",IFERROR(INDEX(LOOKAHEAD!$B$5:$B$604,MATCH(C316,LOOKAHEAD!$A$5:$A$604,0)),""))</f>
        <v/>
      </c>
      <c r="E316" s="16" t="str">
        <f aca="false">IF(C316="","",IFERROR(INDEX(LOOKAHEAD!$E$5:$E$604,MATCH(C316,LOOKAHEAD!$A$5:$A$604,0)),""))</f>
        <v/>
      </c>
      <c r="F316" s="16" t="str">
        <f aca="false">IF(C316="","",IFERROR(INDEX(LOOKAHEAD!$M$5:$M$604,MATCH(C316,LOOKAHEAD!$A$5:$A$604,0)),""))</f>
        <v/>
      </c>
      <c r="G316" s="9"/>
      <c r="H316" s="9"/>
      <c r="I316" s="16" t="str">
        <f aca="false">IF(C316="","",IFERROR(INDEX(LOOKAHEAD!$G$5:$G$604,MATCH(C316,LOOKAHEAD!$A$5:$A$604,0)),""))</f>
        <v/>
      </c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66" t="str">
        <f aca="false">IF(C316="","",SUM(J316:O316))</f>
        <v/>
      </c>
      <c r="W316" s="66" t="str">
        <f aca="false">IF(C316="","",SUM(P316:U316))</f>
        <v/>
      </c>
      <c r="X316" s="51" t="str">
        <f aca="false">IF(OR(C316="",V316=0),"",W316/V316)</f>
        <v/>
      </c>
      <c r="Y316" s="16" t="str">
        <f aca="false">IF(OR(C316="",V316=0),"",IF(W316&gt;=V316,"Sí","No"))</f>
        <v/>
      </c>
      <c r="Z316" s="9"/>
      <c r="AA316" s="9"/>
    </row>
    <row r="317" customFormat="false" ht="15" hidden="false" customHeight="false" outlineLevel="0" collapsed="false">
      <c r="A317" s="9"/>
      <c r="B317" s="9"/>
      <c r="C317" s="9"/>
      <c r="D317" s="16" t="str">
        <f aca="false">IF(C317="","",IFERROR(INDEX(LOOKAHEAD!$B$5:$B$604,MATCH(C317,LOOKAHEAD!$A$5:$A$604,0)),""))</f>
        <v/>
      </c>
      <c r="E317" s="16" t="str">
        <f aca="false">IF(C317="","",IFERROR(INDEX(LOOKAHEAD!$E$5:$E$604,MATCH(C317,LOOKAHEAD!$A$5:$A$604,0)),""))</f>
        <v/>
      </c>
      <c r="F317" s="16" t="str">
        <f aca="false">IF(C317="","",IFERROR(INDEX(LOOKAHEAD!$M$5:$M$604,MATCH(C317,LOOKAHEAD!$A$5:$A$604,0)),""))</f>
        <v/>
      </c>
      <c r="G317" s="9"/>
      <c r="H317" s="9"/>
      <c r="I317" s="16" t="str">
        <f aca="false">IF(C317="","",IFERROR(INDEX(LOOKAHEAD!$G$5:$G$604,MATCH(C317,LOOKAHEAD!$A$5:$A$604,0)),""))</f>
        <v/>
      </c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66" t="str">
        <f aca="false">IF(C317="","",SUM(J317:O317))</f>
        <v/>
      </c>
      <c r="W317" s="66" t="str">
        <f aca="false">IF(C317="","",SUM(P317:U317))</f>
        <v/>
      </c>
      <c r="X317" s="51" t="str">
        <f aca="false">IF(OR(C317="",V317=0),"",W317/V317)</f>
        <v/>
      </c>
      <c r="Y317" s="16" t="str">
        <f aca="false">IF(OR(C317="",V317=0),"",IF(W317&gt;=V317,"Sí","No"))</f>
        <v/>
      </c>
      <c r="Z317" s="9"/>
      <c r="AA317" s="9"/>
    </row>
    <row r="318" customFormat="false" ht="15" hidden="false" customHeight="false" outlineLevel="0" collapsed="false">
      <c r="A318" s="9"/>
      <c r="B318" s="9"/>
      <c r="C318" s="9"/>
      <c r="D318" s="16" t="str">
        <f aca="false">IF(C318="","",IFERROR(INDEX(LOOKAHEAD!$B$5:$B$604,MATCH(C318,LOOKAHEAD!$A$5:$A$604,0)),""))</f>
        <v/>
      </c>
      <c r="E318" s="16" t="str">
        <f aca="false">IF(C318="","",IFERROR(INDEX(LOOKAHEAD!$E$5:$E$604,MATCH(C318,LOOKAHEAD!$A$5:$A$604,0)),""))</f>
        <v/>
      </c>
      <c r="F318" s="16" t="str">
        <f aca="false">IF(C318="","",IFERROR(INDEX(LOOKAHEAD!$M$5:$M$604,MATCH(C318,LOOKAHEAD!$A$5:$A$604,0)),""))</f>
        <v/>
      </c>
      <c r="G318" s="9"/>
      <c r="H318" s="9"/>
      <c r="I318" s="16" t="str">
        <f aca="false">IF(C318="","",IFERROR(INDEX(LOOKAHEAD!$G$5:$G$604,MATCH(C318,LOOKAHEAD!$A$5:$A$604,0)),""))</f>
        <v/>
      </c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66" t="str">
        <f aca="false">IF(C318="","",SUM(J318:O318))</f>
        <v/>
      </c>
      <c r="W318" s="66" t="str">
        <f aca="false">IF(C318="","",SUM(P318:U318))</f>
        <v/>
      </c>
      <c r="X318" s="51" t="str">
        <f aca="false">IF(OR(C318="",V318=0),"",W318/V318)</f>
        <v/>
      </c>
      <c r="Y318" s="16" t="str">
        <f aca="false">IF(OR(C318="",V318=0),"",IF(W318&gt;=V318,"Sí","No"))</f>
        <v/>
      </c>
      <c r="Z318" s="9"/>
      <c r="AA318" s="9"/>
    </row>
    <row r="319" customFormat="false" ht="15" hidden="false" customHeight="false" outlineLevel="0" collapsed="false">
      <c r="A319" s="9"/>
      <c r="B319" s="9"/>
      <c r="C319" s="9"/>
      <c r="D319" s="16" t="str">
        <f aca="false">IF(C319="","",IFERROR(INDEX(LOOKAHEAD!$B$5:$B$604,MATCH(C319,LOOKAHEAD!$A$5:$A$604,0)),""))</f>
        <v/>
      </c>
      <c r="E319" s="16" t="str">
        <f aca="false">IF(C319="","",IFERROR(INDEX(LOOKAHEAD!$E$5:$E$604,MATCH(C319,LOOKAHEAD!$A$5:$A$604,0)),""))</f>
        <v/>
      </c>
      <c r="F319" s="16" t="str">
        <f aca="false">IF(C319="","",IFERROR(INDEX(LOOKAHEAD!$M$5:$M$604,MATCH(C319,LOOKAHEAD!$A$5:$A$604,0)),""))</f>
        <v/>
      </c>
      <c r="G319" s="9"/>
      <c r="H319" s="9"/>
      <c r="I319" s="16" t="str">
        <f aca="false">IF(C319="","",IFERROR(INDEX(LOOKAHEAD!$G$5:$G$604,MATCH(C319,LOOKAHEAD!$A$5:$A$604,0)),""))</f>
        <v/>
      </c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66" t="str">
        <f aca="false">IF(C319="","",SUM(J319:O319))</f>
        <v/>
      </c>
      <c r="W319" s="66" t="str">
        <f aca="false">IF(C319="","",SUM(P319:U319))</f>
        <v/>
      </c>
      <c r="X319" s="51" t="str">
        <f aca="false">IF(OR(C319="",V319=0),"",W319/V319)</f>
        <v/>
      </c>
      <c r="Y319" s="16" t="str">
        <f aca="false">IF(OR(C319="",V319=0),"",IF(W319&gt;=V319,"Sí","No"))</f>
        <v/>
      </c>
      <c r="Z319" s="9"/>
      <c r="AA319" s="9"/>
    </row>
    <row r="320" customFormat="false" ht="15" hidden="false" customHeight="false" outlineLevel="0" collapsed="false">
      <c r="A320" s="9"/>
      <c r="B320" s="9"/>
      <c r="C320" s="9"/>
      <c r="D320" s="16" t="str">
        <f aca="false">IF(C320="","",IFERROR(INDEX(LOOKAHEAD!$B$5:$B$604,MATCH(C320,LOOKAHEAD!$A$5:$A$604,0)),""))</f>
        <v/>
      </c>
      <c r="E320" s="16" t="str">
        <f aca="false">IF(C320="","",IFERROR(INDEX(LOOKAHEAD!$E$5:$E$604,MATCH(C320,LOOKAHEAD!$A$5:$A$604,0)),""))</f>
        <v/>
      </c>
      <c r="F320" s="16" t="str">
        <f aca="false">IF(C320="","",IFERROR(INDEX(LOOKAHEAD!$M$5:$M$604,MATCH(C320,LOOKAHEAD!$A$5:$A$604,0)),""))</f>
        <v/>
      </c>
      <c r="G320" s="9"/>
      <c r="H320" s="9"/>
      <c r="I320" s="16" t="str">
        <f aca="false">IF(C320="","",IFERROR(INDEX(LOOKAHEAD!$G$5:$G$604,MATCH(C320,LOOKAHEAD!$A$5:$A$604,0)),""))</f>
        <v/>
      </c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66" t="str">
        <f aca="false">IF(C320="","",SUM(J320:O320))</f>
        <v/>
      </c>
      <c r="W320" s="66" t="str">
        <f aca="false">IF(C320="","",SUM(P320:U320))</f>
        <v/>
      </c>
      <c r="X320" s="51" t="str">
        <f aca="false">IF(OR(C320="",V320=0),"",W320/V320)</f>
        <v/>
      </c>
      <c r="Y320" s="16" t="str">
        <f aca="false">IF(OR(C320="",V320=0),"",IF(W320&gt;=V320,"Sí","No"))</f>
        <v/>
      </c>
      <c r="Z320" s="9"/>
      <c r="AA320" s="9"/>
    </row>
    <row r="321" customFormat="false" ht="15" hidden="false" customHeight="false" outlineLevel="0" collapsed="false">
      <c r="A321" s="9"/>
      <c r="B321" s="9"/>
      <c r="C321" s="9"/>
      <c r="D321" s="16" t="str">
        <f aca="false">IF(C321="","",IFERROR(INDEX(LOOKAHEAD!$B$5:$B$604,MATCH(C321,LOOKAHEAD!$A$5:$A$604,0)),""))</f>
        <v/>
      </c>
      <c r="E321" s="16" t="str">
        <f aca="false">IF(C321="","",IFERROR(INDEX(LOOKAHEAD!$E$5:$E$604,MATCH(C321,LOOKAHEAD!$A$5:$A$604,0)),""))</f>
        <v/>
      </c>
      <c r="F321" s="16" t="str">
        <f aca="false">IF(C321="","",IFERROR(INDEX(LOOKAHEAD!$M$5:$M$604,MATCH(C321,LOOKAHEAD!$A$5:$A$604,0)),""))</f>
        <v/>
      </c>
      <c r="G321" s="9"/>
      <c r="H321" s="9"/>
      <c r="I321" s="16" t="str">
        <f aca="false">IF(C321="","",IFERROR(INDEX(LOOKAHEAD!$G$5:$G$604,MATCH(C321,LOOKAHEAD!$A$5:$A$604,0)),""))</f>
        <v/>
      </c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66" t="str">
        <f aca="false">IF(C321="","",SUM(J321:O321))</f>
        <v/>
      </c>
      <c r="W321" s="66" t="str">
        <f aca="false">IF(C321="","",SUM(P321:U321))</f>
        <v/>
      </c>
      <c r="X321" s="51" t="str">
        <f aca="false">IF(OR(C321="",V321=0),"",W321/V321)</f>
        <v/>
      </c>
      <c r="Y321" s="16" t="str">
        <f aca="false">IF(OR(C321="",V321=0),"",IF(W321&gt;=V321,"Sí","No"))</f>
        <v/>
      </c>
      <c r="Z321" s="9"/>
      <c r="AA321" s="9"/>
    </row>
    <row r="322" customFormat="false" ht="15" hidden="false" customHeight="false" outlineLevel="0" collapsed="false">
      <c r="A322" s="9"/>
      <c r="B322" s="9"/>
      <c r="C322" s="9"/>
      <c r="D322" s="16" t="str">
        <f aca="false">IF(C322="","",IFERROR(INDEX(LOOKAHEAD!$B$5:$B$604,MATCH(C322,LOOKAHEAD!$A$5:$A$604,0)),""))</f>
        <v/>
      </c>
      <c r="E322" s="16" t="str">
        <f aca="false">IF(C322="","",IFERROR(INDEX(LOOKAHEAD!$E$5:$E$604,MATCH(C322,LOOKAHEAD!$A$5:$A$604,0)),""))</f>
        <v/>
      </c>
      <c r="F322" s="16" t="str">
        <f aca="false">IF(C322="","",IFERROR(INDEX(LOOKAHEAD!$M$5:$M$604,MATCH(C322,LOOKAHEAD!$A$5:$A$604,0)),""))</f>
        <v/>
      </c>
      <c r="G322" s="9"/>
      <c r="H322" s="9"/>
      <c r="I322" s="16" t="str">
        <f aca="false">IF(C322="","",IFERROR(INDEX(LOOKAHEAD!$G$5:$G$604,MATCH(C322,LOOKAHEAD!$A$5:$A$604,0)),""))</f>
        <v/>
      </c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66" t="str">
        <f aca="false">IF(C322="","",SUM(J322:O322))</f>
        <v/>
      </c>
      <c r="W322" s="66" t="str">
        <f aca="false">IF(C322="","",SUM(P322:U322))</f>
        <v/>
      </c>
      <c r="X322" s="51" t="str">
        <f aca="false">IF(OR(C322="",V322=0),"",W322/V322)</f>
        <v/>
      </c>
      <c r="Y322" s="16" t="str">
        <f aca="false">IF(OR(C322="",V322=0),"",IF(W322&gt;=V322,"Sí","No"))</f>
        <v/>
      </c>
      <c r="Z322" s="9"/>
      <c r="AA322" s="9"/>
    </row>
    <row r="323" customFormat="false" ht="15" hidden="false" customHeight="false" outlineLevel="0" collapsed="false">
      <c r="A323" s="9"/>
      <c r="B323" s="9"/>
      <c r="C323" s="9"/>
      <c r="D323" s="16" t="str">
        <f aca="false">IF(C323="","",IFERROR(INDEX(LOOKAHEAD!$B$5:$B$604,MATCH(C323,LOOKAHEAD!$A$5:$A$604,0)),""))</f>
        <v/>
      </c>
      <c r="E323" s="16" t="str">
        <f aca="false">IF(C323="","",IFERROR(INDEX(LOOKAHEAD!$E$5:$E$604,MATCH(C323,LOOKAHEAD!$A$5:$A$604,0)),""))</f>
        <v/>
      </c>
      <c r="F323" s="16" t="str">
        <f aca="false">IF(C323="","",IFERROR(INDEX(LOOKAHEAD!$M$5:$M$604,MATCH(C323,LOOKAHEAD!$A$5:$A$604,0)),""))</f>
        <v/>
      </c>
      <c r="G323" s="9"/>
      <c r="H323" s="9"/>
      <c r="I323" s="16" t="str">
        <f aca="false">IF(C323="","",IFERROR(INDEX(LOOKAHEAD!$G$5:$G$604,MATCH(C323,LOOKAHEAD!$A$5:$A$604,0)),""))</f>
        <v/>
      </c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66" t="str">
        <f aca="false">IF(C323="","",SUM(J323:O323))</f>
        <v/>
      </c>
      <c r="W323" s="66" t="str">
        <f aca="false">IF(C323="","",SUM(P323:U323))</f>
        <v/>
      </c>
      <c r="X323" s="51" t="str">
        <f aca="false">IF(OR(C323="",V323=0),"",W323/V323)</f>
        <v/>
      </c>
      <c r="Y323" s="16" t="str">
        <f aca="false">IF(OR(C323="",V323=0),"",IF(W323&gt;=V323,"Sí","No"))</f>
        <v/>
      </c>
      <c r="Z323" s="9"/>
      <c r="AA323" s="9"/>
    </row>
    <row r="324" customFormat="false" ht="15" hidden="false" customHeight="false" outlineLevel="0" collapsed="false">
      <c r="A324" s="9"/>
      <c r="B324" s="9"/>
      <c r="C324" s="9"/>
      <c r="D324" s="16" t="str">
        <f aca="false">IF(C324="","",IFERROR(INDEX(LOOKAHEAD!$B$5:$B$604,MATCH(C324,LOOKAHEAD!$A$5:$A$604,0)),""))</f>
        <v/>
      </c>
      <c r="E324" s="16" t="str">
        <f aca="false">IF(C324="","",IFERROR(INDEX(LOOKAHEAD!$E$5:$E$604,MATCH(C324,LOOKAHEAD!$A$5:$A$604,0)),""))</f>
        <v/>
      </c>
      <c r="F324" s="16" t="str">
        <f aca="false">IF(C324="","",IFERROR(INDEX(LOOKAHEAD!$M$5:$M$604,MATCH(C324,LOOKAHEAD!$A$5:$A$604,0)),""))</f>
        <v/>
      </c>
      <c r="G324" s="9"/>
      <c r="H324" s="9"/>
      <c r="I324" s="16" t="str">
        <f aca="false">IF(C324="","",IFERROR(INDEX(LOOKAHEAD!$G$5:$G$604,MATCH(C324,LOOKAHEAD!$A$5:$A$604,0)),""))</f>
        <v/>
      </c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66" t="str">
        <f aca="false">IF(C324="","",SUM(J324:O324))</f>
        <v/>
      </c>
      <c r="W324" s="66" t="str">
        <f aca="false">IF(C324="","",SUM(P324:U324))</f>
        <v/>
      </c>
      <c r="X324" s="51" t="str">
        <f aca="false">IF(OR(C324="",V324=0),"",W324/V324)</f>
        <v/>
      </c>
      <c r="Y324" s="16" t="str">
        <f aca="false">IF(OR(C324="",V324=0),"",IF(W324&gt;=V324,"Sí","No"))</f>
        <v/>
      </c>
      <c r="Z324" s="9"/>
      <c r="AA324" s="9"/>
    </row>
    <row r="325" customFormat="false" ht="15" hidden="false" customHeight="false" outlineLevel="0" collapsed="false">
      <c r="A325" s="9"/>
      <c r="B325" s="9"/>
      <c r="C325" s="9"/>
      <c r="D325" s="16" t="str">
        <f aca="false">IF(C325="","",IFERROR(INDEX(LOOKAHEAD!$B$5:$B$604,MATCH(C325,LOOKAHEAD!$A$5:$A$604,0)),""))</f>
        <v/>
      </c>
      <c r="E325" s="16" t="str">
        <f aca="false">IF(C325="","",IFERROR(INDEX(LOOKAHEAD!$E$5:$E$604,MATCH(C325,LOOKAHEAD!$A$5:$A$604,0)),""))</f>
        <v/>
      </c>
      <c r="F325" s="16" t="str">
        <f aca="false">IF(C325="","",IFERROR(INDEX(LOOKAHEAD!$M$5:$M$604,MATCH(C325,LOOKAHEAD!$A$5:$A$604,0)),""))</f>
        <v/>
      </c>
      <c r="G325" s="9"/>
      <c r="H325" s="9"/>
      <c r="I325" s="16" t="str">
        <f aca="false">IF(C325="","",IFERROR(INDEX(LOOKAHEAD!$G$5:$G$604,MATCH(C325,LOOKAHEAD!$A$5:$A$604,0)),""))</f>
        <v/>
      </c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66" t="str">
        <f aca="false">IF(C325="","",SUM(J325:O325))</f>
        <v/>
      </c>
      <c r="W325" s="66" t="str">
        <f aca="false">IF(C325="","",SUM(P325:U325))</f>
        <v/>
      </c>
      <c r="X325" s="51" t="str">
        <f aca="false">IF(OR(C325="",V325=0),"",W325/V325)</f>
        <v/>
      </c>
      <c r="Y325" s="16" t="str">
        <f aca="false">IF(OR(C325="",V325=0),"",IF(W325&gt;=V325,"Sí","No"))</f>
        <v/>
      </c>
      <c r="Z325" s="9"/>
      <c r="AA325" s="9"/>
    </row>
    <row r="326" customFormat="false" ht="15" hidden="false" customHeight="false" outlineLevel="0" collapsed="false">
      <c r="A326" s="9"/>
      <c r="B326" s="9"/>
      <c r="C326" s="9"/>
      <c r="D326" s="16" t="str">
        <f aca="false">IF(C326="","",IFERROR(INDEX(LOOKAHEAD!$B$5:$B$604,MATCH(C326,LOOKAHEAD!$A$5:$A$604,0)),""))</f>
        <v/>
      </c>
      <c r="E326" s="16" t="str">
        <f aca="false">IF(C326="","",IFERROR(INDEX(LOOKAHEAD!$E$5:$E$604,MATCH(C326,LOOKAHEAD!$A$5:$A$604,0)),""))</f>
        <v/>
      </c>
      <c r="F326" s="16" t="str">
        <f aca="false">IF(C326="","",IFERROR(INDEX(LOOKAHEAD!$M$5:$M$604,MATCH(C326,LOOKAHEAD!$A$5:$A$604,0)),""))</f>
        <v/>
      </c>
      <c r="G326" s="9"/>
      <c r="H326" s="9"/>
      <c r="I326" s="16" t="str">
        <f aca="false">IF(C326="","",IFERROR(INDEX(LOOKAHEAD!$G$5:$G$604,MATCH(C326,LOOKAHEAD!$A$5:$A$604,0)),""))</f>
        <v/>
      </c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66" t="str">
        <f aca="false">IF(C326="","",SUM(J326:O326))</f>
        <v/>
      </c>
      <c r="W326" s="66" t="str">
        <f aca="false">IF(C326="","",SUM(P326:U326))</f>
        <v/>
      </c>
      <c r="X326" s="51" t="str">
        <f aca="false">IF(OR(C326="",V326=0),"",W326/V326)</f>
        <v/>
      </c>
      <c r="Y326" s="16" t="str">
        <f aca="false">IF(OR(C326="",V326=0),"",IF(W326&gt;=V326,"Sí","No"))</f>
        <v/>
      </c>
      <c r="Z326" s="9"/>
      <c r="AA326" s="9"/>
    </row>
    <row r="327" customFormat="false" ht="15" hidden="false" customHeight="false" outlineLevel="0" collapsed="false">
      <c r="A327" s="9"/>
      <c r="B327" s="9"/>
      <c r="C327" s="9"/>
      <c r="D327" s="16" t="str">
        <f aca="false">IF(C327="","",IFERROR(INDEX(LOOKAHEAD!$B$5:$B$604,MATCH(C327,LOOKAHEAD!$A$5:$A$604,0)),""))</f>
        <v/>
      </c>
      <c r="E327" s="16" t="str">
        <f aca="false">IF(C327="","",IFERROR(INDEX(LOOKAHEAD!$E$5:$E$604,MATCH(C327,LOOKAHEAD!$A$5:$A$604,0)),""))</f>
        <v/>
      </c>
      <c r="F327" s="16" t="str">
        <f aca="false">IF(C327="","",IFERROR(INDEX(LOOKAHEAD!$M$5:$M$604,MATCH(C327,LOOKAHEAD!$A$5:$A$604,0)),""))</f>
        <v/>
      </c>
      <c r="G327" s="9"/>
      <c r="H327" s="9"/>
      <c r="I327" s="16" t="str">
        <f aca="false">IF(C327="","",IFERROR(INDEX(LOOKAHEAD!$G$5:$G$604,MATCH(C327,LOOKAHEAD!$A$5:$A$604,0)),""))</f>
        <v/>
      </c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66" t="str">
        <f aca="false">IF(C327="","",SUM(J327:O327))</f>
        <v/>
      </c>
      <c r="W327" s="66" t="str">
        <f aca="false">IF(C327="","",SUM(P327:U327))</f>
        <v/>
      </c>
      <c r="X327" s="51" t="str">
        <f aca="false">IF(OR(C327="",V327=0),"",W327/V327)</f>
        <v/>
      </c>
      <c r="Y327" s="16" t="str">
        <f aca="false">IF(OR(C327="",V327=0),"",IF(W327&gt;=V327,"Sí","No"))</f>
        <v/>
      </c>
      <c r="Z327" s="9"/>
      <c r="AA327" s="9"/>
    </row>
    <row r="328" customFormat="false" ht="15" hidden="false" customHeight="false" outlineLevel="0" collapsed="false">
      <c r="A328" s="9"/>
      <c r="B328" s="9"/>
      <c r="C328" s="9"/>
      <c r="D328" s="16" t="str">
        <f aca="false">IF(C328="","",IFERROR(INDEX(LOOKAHEAD!$B$5:$B$604,MATCH(C328,LOOKAHEAD!$A$5:$A$604,0)),""))</f>
        <v/>
      </c>
      <c r="E328" s="16" t="str">
        <f aca="false">IF(C328="","",IFERROR(INDEX(LOOKAHEAD!$E$5:$E$604,MATCH(C328,LOOKAHEAD!$A$5:$A$604,0)),""))</f>
        <v/>
      </c>
      <c r="F328" s="16" t="str">
        <f aca="false">IF(C328="","",IFERROR(INDEX(LOOKAHEAD!$M$5:$M$604,MATCH(C328,LOOKAHEAD!$A$5:$A$604,0)),""))</f>
        <v/>
      </c>
      <c r="G328" s="9"/>
      <c r="H328" s="9"/>
      <c r="I328" s="16" t="str">
        <f aca="false">IF(C328="","",IFERROR(INDEX(LOOKAHEAD!$G$5:$G$604,MATCH(C328,LOOKAHEAD!$A$5:$A$604,0)),""))</f>
        <v/>
      </c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66" t="str">
        <f aca="false">IF(C328="","",SUM(J328:O328))</f>
        <v/>
      </c>
      <c r="W328" s="66" t="str">
        <f aca="false">IF(C328="","",SUM(P328:U328))</f>
        <v/>
      </c>
      <c r="X328" s="51" t="str">
        <f aca="false">IF(OR(C328="",V328=0),"",W328/V328)</f>
        <v/>
      </c>
      <c r="Y328" s="16" t="str">
        <f aca="false">IF(OR(C328="",V328=0),"",IF(W328&gt;=V328,"Sí","No"))</f>
        <v/>
      </c>
      <c r="Z328" s="9"/>
      <c r="AA328" s="9"/>
    </row>
    <row r="329" customFormat="false" ht="15" hidden="false" customHeight="false" outlineLevel="0" collapsed="false">
      <c r="A329" s="9"/>
      <c r="B329" s="9"/>
      <c r="C329" s="9"/>
      <c r="D329" s="16" t="str">
        <f aca="false">IF(C329="","",IFERROR(INDEX(LOOKAHEAD!$B$5:$B$604,MATCH(C329,LOOKAHEAD!$A$5:$A$604,0)),""))</f>
        <v/>
      </c>
      <c r="E329" s="16" t="str">
        <f aca="false">IF(C329="","",IFERROR(INDEX(LOOKAHEAD!$E$5:$E$604,MATCH(C329,LOOKAHEAD!$A$5:$A$604,0)),""))</f>
        <v/>
      </c>
      <c r="F329" s="16" t="str">
        <f aca="false">IF(C329="","",IFERROR(INDEX(LOOKAHEAD!$M$5:$M$604,MATCH(C329,LOOKAHEAD!$A$5:$A$604,0)),""))</f>
        <v/>
      </c>
      <c r="G329" s="9"/>
      <c r="H329" s="9"/>
      <c r="I329" s="16" t="str">
        <f aca="false">IF(C329="","",IFERROR(INDEX(LOOKAHEAD!$G$5:$G$604,MATCH(C329,LOOKAHEAD!$A$5:$A$604,0)),""))</f>
        <v/>
      </c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66" t="str">
        <f aca="false">IF(C329="","",SUM(J329:O329))</f>
        <v/>
      </c>
      <c r="W329" s="66" t="str">
        <f aca="false">IF(C329="","",SUM(P329:U329))</f>
        <v/>
      </c>
      <c r="X329" s="51" t="str">
        <f aca="false">IF(OR(C329="",V329=0),"",W329/V329)</f>
        <v/>
      </c>
      <c r="Y329" s="16" t="str">
        <f aca="false">IF(OR(C329="",V329=0),"",IF(W329&gt;=V329,"Sí","No"))</f>
        <v/>
      </c>
      <c r="Z329" s="9"/>
      <c r="AA329" s="9"/>
    </row>
    <row r="330" customFormat="false" ht="15" hidden="false" customHeight="false" outlineLevel="0" collapsed="false">
      <c r="A330" s="9"/>
      <c r="B330" s="9"/>
      <c r="C330" s="9"/>
      <c r="D330" s="16" t="str">
        <f aca="false">IF(C330="","",IFERROR(INDEX(LOOKAHEAD!$B$5:$B$604,MATCH(C330,LOOKAHEAD!$A$5:$A$604,0)),""))</f>
        <v/>
      </c>
      <c r="E330" s="16" t="str">
        <f aca="false">IF(C330="","",IFERROR(INDEX(LOOKAHEAD!$E$5:$E$604,MATCH(C330,LOOKAHEAD!$A$5:$A$604,0)),""))</f>
        <v/>
      </c>
      <c r="F330" s="16" t="str">
        <f aca="false">IF(C330="","",IFERROR(INDEX(LOOKAHEAD!$M$5:$M$604,MATCH(C330,LOOKAHEAD!$A$5:$A$604,0)),""))</f>
        <v/>
      </c>
      <c r="G330" s="9"/>
      <c r="H330" s="9"/>
      <c r="I330" s="16" t="str">
        <f aca="false">IF(C330="","",IFERROR(INDEX(LOOKAHEAD!$G$5:$G$604,MATCH(C330,LOOKAHEAD!$A$5:$A$604,0)),""))</f>
        <v/>
      </c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66" t="str">
        <f aca="false">IF(C330="","",SUM(J330:O330))</f>
        <v/>
      </c>
      <c r="W330" s="66" t="str">
        <f aca="false">IF(C330="","",SUM(P330:U330))</f>
        <v/>
      </c>
      <c r="X330" s="51" t="str">
        <f aca="false">IF(OR(C330="",V330=0),"",W330/V330)</f>
        <v/>
      </c>
      <c r="Y330" s="16" t="str">
        <f aca="false">IF(OR(C330="",V330=0),"",IF(W330&gt;=V330,"Sí","No"))</f>
        <v/>
      </c>
      <c r="Z330" s="9"/>
      <c r="AA330" s="9"/>
    </row>
    <row r="331" customFormat="false" ht="15" hidden="false" customHeight="false" outlineLevel="0" collapsed="false">
      <c r="A331" s="9"/>
      <c r="B331" s="9"/>
      <c r="C331" s="9"/>
      <c r="D331" s="16" t="str">
        <f aca="false">IF(C331="","",IFERROR(INDEX(LOOKAHEAD!$B$5:$B$604,MATCH(C331,LOOKAHEAD!$A$5:$A$604,0)),""))</f>
        <v/>
      </c>
      <c r="E331" s="16" t="str">
        <f aca="false">IF(C331="","",IFERROR(INDEX(LOOKAHEAD!$E$5:$E$604,MATCH(C331,LOOKAHEAD!$A$5:$A$604,0)),""))</f>
        <v/>
      </c>
      <c r="F331" s="16" t="str">
        <f aca="false">IF(C331="","",IFERROR(INDEX(LOOKAHEAD!$M$5:$M$604,MATCH(C331,LOOKAHEAD!$A$5:$A$604,0)),""))</f>
        <v/>
      </c>
      <c r="G331" s="9"/>
      <c r="H331" s="9"/>
      <c r="I331" s="16" t="str">
        <f aca="false">IF(C331="","",IFERROR(INDEX(LOOKAHEAD!$G$5:$G$604,MATCH(C331,LOOKAHEAD!$A$5:$A$604,0)),""))</f>
        <v/>
      </c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66" t="str">
        <f aca="false">IF(C331="","",SUM(J331:O331))</f>
        <v/>
      </c>
      <c r="W331" s="66" t="str">
        <f aca="false">IF(C331="","",SUM(P331:U331))</f>
        <v/>
      </c>
      <c r="X331" s="51" t="str">
        <f aca="false">IF(OR(C331="",V331=0),"",W331/V331)</f>
        <v/>
      </c>
      <c r="Y331" s="16" t="str">
        <f aca="false">IF(OR(C331="",V331=0),"",IF(W331&gt;=V331,"Sí","No"))</f>
        <v/>
      </c>
      <c r="Z331" s="9"/>
      <c r="AA331" s="9"/>
    </row>
    <row r="332" customFormat="false" ht="15" hidden="false" customHeight="false" outlineLevel="0" collapsed="false">
      <c r="A332" s="9"/>
      <c r="B332" s="9"/>
      <c r="C332" s="9"/>
      <c r="D332" s="16" t="str">
        <f aca="false">IF(C332="","",IFERROR(INDEX(LOOKAHEAD!$B$5:$B$604,MATCH(C332,LOOKAHEAD!$A$5:$A$604,0)),""))</f>
        <v/>
      </c>
      <c r="E332" s="16" t="str">
        <f aca="false">IF(C332="","",IFERROR(INDEX(LOOKAHEAD!$E$5:$E$604,MATCH(C332,LOOKAHEAD!$A$5:$A$604,0)),""))</f>
        <v/>
      </c>
      <c r="F332" s="16" t="str">
        <f aca="false">IF(C332="","",IFERROR(INDEX(LOOKAHEAD!$M$5:$M$604,MATCH(C332,LOOKAHEAD!$A$5:$A$604,0)),""))</f>
        <v/>
      </c>
      <c r="G332" s="9"/>
      <c r="H332" s="9"/>
      <c r="I332" s="16" t="str">
        <f aca="false">IF(C332="","",IFERROR(INDEX(LOOKAHEAD!$G$5:$G$604,MATCH(C332,LOOKAHEAD!$A$5:$A$604,0)),""))</f>
        <v/>
      </c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66" t="str">
        <f aca="false">IF(C332="","",SUM(J332:O332))</f>
        <v/>
      </c>
      <c r="W332" s="66" t="str">
        <f aca="false">IF(C332="","",SUM(P332:U332))</f>
        <v/>
      </c>
      <c r="X332" s="51" t="str">
        <f aca="false">IF(OR(C332="",V332=0),"",W332/V332)</f>
        <v/>
      </c>
      <c r="Y332" s="16" t="str">
        <f aca="false">IF(OR(C332="",V332=0),"",IF(W332&gt;=V332,"Sí","No"))</f>
        <v/>
      </c>
      <c r="Z332" s="9"/>
      <c r="AA332" s="9"/>
    </row>
    <row r="333" customFormat="false" ht="15" hidden="false" customHeight="false" outlineLevel="0" collapsed="false">
      <c r="A333" s="9"/>
      <c r="B333" s="9"/>
      <c r="C333" s="9"/>
      <c r="D333" s="16" t="str">
        <f aca="false">IF(C333="","",IFERROR(INDEX(LOOKAHEAD!$B$5:$B$604,MATCH(C333,LOOKAHEAD!$A$5:$A$604,0)),""))</f>
        <v/>
      </c>
      <c r="E333" s="16" t="str">
        <f aca="false">IF(C333="","",IFERROR(INDEX(LOOKAHEAD!$E$5:$E$604,MATCH(C333,LOOKAHEAD!$A$5:$A$604,0)),""))</f>
        <v/>
      </c>
      <c r="F333" s="16" t="str">
        <f aca="false">IF(C333="","",IFERROR(INDEX(LOOKAHEAD!$M$5:$M$604,MATCH(C333,LOOKAHEAD!$A$5:$A$604,0)),""))</f>
        <v/>
      </c>
      <c r="G333" s="9"/>
      <c r="H333" s="9"/>
      <c r="I333" s="16" t="str">
        <f aca="false">IF(C333="","",IFERROR(INDEX(LOOKAHEAD!$G$5:$G$604,MATCH(C333,LOOKAHEAD!$A$5:$A$604,0)),""))</f>
        <v/>
      </c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66" t="str">
        <f aca="false">IF(C333="","",SUM(J333:O333))</f>
        <v/>
      </c>
      <c r="W333" s="66" t="str">
        <f aca="false">IF(C333="","",SUM(P333:U333))</f>
        <v/>
      </c>
      <c r="X333" s="51" t="str">
        <f aca="false">IF(OR(C333="",V333=0),"",W333/V333)</f>
        <v/>
      </c>
      <c r="Y333" s="16" t="str">
        <f aca="false">IF(OR(C333="",V333=0),"",IF(W333&gt;=V333,"Sí","No"))</f>
        <v/>
      </c>
      <c r="Z333" s="9"/>
      <c r="AA333" s="9"/>
    </row>
    <row r="334" customFormat="false" ht="15" hidden="false" customHeight="false" outlineLevel="0" collapsed="false">
      <c r="A334" s="9"/>
      <c r="B334" s="9"/>
      <c r="C334" s="9"/>
      <c r="D334" s="16" t="str">
        <f aca="false">IF(C334="","",IFERROR(INDEX(LOOKAHEAD!$B$5:$B$604,MATCH(C334,LOOKAHEAD!$A$5:$A$604,0)),""))</f>
        <v/>
      </c>
      <c r="E334" s="16" t="str">
        <f aca="false">IF(C334="","",IFERROR(INDEX(LOOKAHEAD!$E$5:$E$604,MATCH(C334,LOOKAHEAD!$A$5:$A$604,0)),""))</f>
        <v/>
      </c>
      <c r="F334" s="16" t="str">
        <f aca="false">IF(C334="","",IFERROR(INDEX(LOOKAHEAD!$M$5:$M$604,MATCH(C334,LOOKAHEAD!$A$5:$A$604,0)),""))</f>
        <v/>
      </c>
      <c r="G334" s="9"/>
      <c r="H334" s="9"/>
      <c r="I334" s="16" t="str">
        <f aca="false">IF(C334="","",IFERROR(INDEX(LOOKAHEAD!$G$5:$G$604,MATCH(C334,LOOKAHEAD!$A$5:$A$604,0)),""))</f>
        <v/>
      </c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66" t="str">
        <f aca="false">IF(C334="","",SUM(J334:O334))</f>
        <v/>
      </c>
      <c r="W334" s="66" t="str">
        <f aca="false">IF(C334="","",SUM(P334:U334))</f>
        <v/>
      </c>
      <c r="X334" s="51" t="str">
        <f aca="false">IF(OR(C334="",V334=0),"",W334/V334)</f>
        <v/>
      </c>
      <c r="Y334" s="16" t="str">
        <f aca="false">IF(OR(C334="",V334=0),"",IF(W334&gt;=V334,"Sí","No"))</f>
        <v/>
      </c>
      <c r="Z334" s="9"/>
      <c r="AA334" s="9"/>
    </row>
    <row r="335" customFormat="false" ht="15" hidden="false" customHeight="false" outlineLevel="0" collapsed="false">
      <c r="A335" s="9"/>
      <c r="B335" s="9"/>
      <c r="C335" s="9"/>
      <c r="D335" s="16" t="str">
        <f aca="false">IF(C335="","",IFERROR(INDEX(LOOKAHEAD!$B$5:$B$604,MATCH(C335,LOOKAHEAD!$A$5:$A$604,0)),""))</f>
        <v/>
      </c>
      <c r="E335" s="16" t="str">
        <f aca="false">IF(C335="","",IFERROR(INDEX(LOOKAHEAD!$E$5:$E$604,MATCH(C335,LOOKAHEAD!$A$5:$A$604,0)),""))</f>
        <v/>
      </c>
      <c r="F335" s="16" t="str">
        <f aca="false">IF(C335="","",IFERROR(INDEX(LOOKAHEAD!$M$5:$M$604,MATCH(C335,LOOKAHEAD!$A$5:$A$604,0)),""))</f>
        <v/>
      </c>
      <c r="G335" s="9"/>
      <c r="H335" s="9"/>
      <c r="I335" s="16" t="str">
        <f aca="false">IF(C335="","",IFERROR(INDEX(LOOKAHEAD!$G$5:$G$604,MATCH(C335,LOOKAHEAD!$A$5:$A$604,0)),""))</f>
        <v/>
      </c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66" t="str">
        <f aca="false">IF(C335="","",SUM(J335:O335))</f>
        <v/>
      </c>
      <c r="W335" s="66" t="str">
        <f aca="false">IF(C335="","",SUM(P335:U335))</f>
        <v/>
      </c>
      <c r="X335" s="51" t="str">
        <f aca="false">IF(OR(C335="",V335=0),"",W335/V335)</f>
        <v/>
      </c>
      <c r="Y335" s="16" t="str">
        <f aca="false">IF(OR(C335="",V335=0),"",IF(W335&gt;=V335,"Sí","No"))</f>
        <v/>
      </c>
      <c r="Z335" s="9"/>
      <c r="AA335" s="9"/>
    </row>
    <row r="336" customFormat="false" ht="15" hidden="false" customHeight="false" outlineLevel="0" collapsed="false">
      <c r="A336" s="9"/>
      <c r="B336" s="9"/>
      <c r="C336" s="9"/>
      <c r="D336" s="16" t="str">
        <f aca="false">IF(C336="","",IFERROR(INDEX(LOOKAHEAD!$B$5:$B$604,MATCH(C336,LOOKAHEAD!$A$5:$A$604,0)),""))</f>
        <v/>
      </c>
      <c r="E336" s="16" t="str">
        <f aca="false">IF(C336="","",IFERROR(INDEX(LOOKAHEAD!$E$5:$E$604,MATCH(C336,LOOKAHEAD!$A$5:$A$604,0)),""))</f>
        <v/>
      </c>
      <c r="F336" s="16" t="str">
        <f aca="false">IF(C336="","",IFERROR(INDEX(LOOKAHEAD!$M$5:$M$604,MATCH(C336,LOOKAHEAD!$A$5:$A$604,0)),""))</f>
        <v/>
      </c>
      <c r="G336" s="9"/>
      <c r="H336" s="9"/>
      <c r="I336" s="16" t="str">
        <f aca="false">IF(C336="","",IFERROR(INDEX(LOOKAHEAD!$G$5:$G$604,MATCH(C336,LOOKAHEAD!$A$5:$A$604,0)),""))</f>
        <v/>
      </c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66" t="str">
        <f aca="false">IF(C336="","",SUM(J336:O336))</f>
        <v/>
      </c>
      <c r="W336" s="66" t="str">
        <f aca="false">IF(C336="","",SUM(P336:U336))</f>
        <v/>
      </c>
      <c r="X336" s="51" t="str">
        <f aca="false">IF(OR(C336="",V336=0),"",W336/V336)</f>
        <v/>
      </c>
      <c r="Y336" s="16" t="str">
        <f aca="false">IF(OR(C336="",V336=0),"",IF(W336&gt;=V336,"Sí","No"))</f>
        <v/>
      </c>
      <c r="Z336" s="9"/>
      <c r="AA336" s="9"/>
    </row>
    <row r="337" customFormat="false" ht="15" hidden="false" customHeight="false" outlineLevel="0" collapsed="false">
      <c r="A337" s="9"/>
      <c r="B337" s="9"/>
      <c r="C337" s="9"/>
      <c r="D337" s="16" t="str">
        <f aca="false">IF(C337="","",IFERROR(INDEX(LOOKAHEAD!$B$5:$B$604,MATCH(C337,LOOKAHEAD!$A$5:$A$604,0)),""))</f>
        <v/>
      </c>
      <c r="E337" s="16" t="str">
        <f aca="false">IF(C337="","",IFERROR(INDEX(LOOKAHEAD!$E$5:$E$604,MATCH(C337,LOOKAHEAD!$A$5:$A$604,0)),""))</f>
        <v/>
      </c>
      <c r="F337" s="16" t="str">
        <f aca="false">IF(C337="","",IFERROR(INDEX(LOOKAHEAD!$M$5:$M$604,MATCH(C337,LOOKAHEAD!$A$5:$A$604,0)),""))</f>
        <v/>
      </c>
      <c r="G337" s="9"/>
      <c r="H337" s="9"/>
      <c r="I337" s="16" t="str">
        <f aca="false">IF(C337="","",IFERROR(INDEX(LOOKAHEAD!$G$5:$G$604,MATCH(C337,LOOKAHEAD!$A$5:$A$604,0)),""))</f>
        <v/>
      </c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66" t="str">
        <f aca="false">IF(C337="","",SUM(J337:O337))</f>
        <v/>
      </c>
      <c r="W337" s="66" t="str">
        <f aca="false">IF(C337="","",SUM(P337:U337))</f>
        <v/>
      </c>
      <c r="X337" s="51" t="str">
        <f aca="false">IF(OR(C337="",V337=0),"",W337/V337)</f>
        <v/>
      </c>
      <c r="Y337" s="16" t="str">
        <f aca="false">IF(OR(C337="",V337=0),"",IF(W337&gt;=V337,"Sí","No"))</f>
        <v/>
      </c>
      <c r="Z337" s="9"/>
      <c r="AA337" s="9"/>
    </row>
    <row r="338" customFormat="false" ht="15" hidden="false" customHeight="false" outlineLevel="0" collapsed="false">
      <c r="A338" s="9"/>
      <c r="B338" s="9"/>
      <c r="C338" s="9"/>
      <c r="D338" s="16" t="str">
        <f aca="false">IF(C338="","",IFERROR(INDEX(LOOKAHEAD!$B$5:$B$604,MATCH(C338,LOOKAHEAD!$A$5:$A$604,0)),""))</f>
        <v/>
      </c>
      <c r="E338" s="16" t="str">
        <f aca="false">IF(C338="","",IFERROR(INDEX(LOOKAHEAD!$E$5:$E$604,MATCH(C338,LOOKAHEAD!$A$5:$A$604,0)),""))</f>
        <v/>
      </c>
      <c r="F338" s="16" t="str">
        <f aca="false">IF(C338="","",IFERROR(INDEX(LOOKAHEAD!$M$5:$M$604,MATCH(C338,LOOKAHEAD!$A$5:$A$604,0)),""))</f>
        <v/>
      </c>
      <c r="G338" s="9"/>
      <c r="H338" s="9"/>
      <c r="I338" s="16" t="str">
        <f aca="false">IF(C338="","",IFERROR(INDEX(LOOKAHEAD!$G$5:$G$604,MATCH(C338,LOOKAHEAD!$A$5:$A$604,0)),""))</f>
        <v/>
      </c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66" t="str">
        <f aca="false">IF(C338="","",SUM(J338:O338))</f>
        <v/>
      </c>
      <c r="W338" s="66" t="str">
        <f aca="false">IF(C338="","",SUM(P338:U338))</f>
        <v/>
      </c>
      <c r="X338" s="51" t="str">
        <f aca="false">IF(OR(C338="",V338=0),"",W338/V338)</f>
        <v/>
      </c>
      <c r="Y338" s="16" t="str">
        <f aca="false">IF(OR(C338="",V338=0),"",IF(W338&gt;=V338,"Sí","No"))</f>
        <v/>
      </c>
      <c r="Z338" s="9"/>
      <c r="AA338" s="9"/>
    </row>
    <row r="339" customFormat="false" ht="15" hidden="false" customHeight="false" outlineLevel="0" collapsed="false">
      <c r="A339" s="9"/>
      <c r="B339" s="9"/>
      <c r="C339" s="9"/>
      <c r="D339" s="16" t="str">
        <f aca="false">IF(C339="","",IFERROR(INDEX(LOOKAHEAD!$B$5:$B$604,MATCH(C339,LOOKAHEAD!$A$5:$A$604,0)),""))</f>
        <v/>
      </c>
      <c r="E339" s="16" t="str">
        <f aca="false">IF(C339="","",IFERROR(INDEX(LOOKAHEAD!$E$5:$E$604,MATCH(C339,LOOKAHEAD!$A$5:$A$604,0)),""))</f>
        <v/>
      </c>
      <c r="F339" s="16" t="str">
        <f aca="false">IF(C339="","",IFERROR(INDEX(LOOKAHEAD!$M$5:$M$604,MATCH(C339,LOOKAHEAD!$A$5:$A$604,0)),""))</f>
        <v/>
      </c>
      <c r="G339" s="9"/>
      <c r="H339" s="9"/>
      <c r="I339" s="16" t="str">
        <f aca="false">IF(C339="","",IFERROR(INDEX(LOOKAHEAD!$G$5:$G$604,MATCH(C339,LOOKAHEAD!$A$5:$A$604,0)),""))</f>
        <v/>
      </c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66" t="str">
        <f aca="false">IF(C339="","",SUM(J339:O339))</f>
        <v/>
      </c>
      <c r="W339" s="66" t="str">
        <f aca="false">IF(C339="","",SUM(P339:U339))</f>
        <v/>
      </c>
      <c r="X339" s="51" t="str">
        <f aca="false">IF(OR(C339="",V339=0),"",W339/V339)</f>
        <v/>
      </c>
      <c r="Y339" s="16" t="str">
        <f aca="false">IF(OR(C339="",V339=0),"",IF(W339&gt;=V339,"Sí","No"))</f>
        <v/>
      </c>
      <c r="Z339" s="9"/>
      <c r="AA339" s="9"/>
    </row>
    <row r="340" customFormat="false" ht="15" hidden="false" customHeight="false" outlineLevel="0" collapsed="false">
      <c r="A340" s="9"/>
      <c r="B340" s="9"/>
      <c r="C340" s="9"/>
      <c r="D340" s="16" t="str">
        <f aca="false">IF(C340="","",IFERROR(INDEX(LOOKAHEAD!$B$5:$B$604,MATCH(C340,LOOKAHEAD!$A$5:$A$604,0)),""))</f>
        <v/>
      </c>
      <c r="E340" s="16" t="str">
        <f aca="false">IF(C340="","",IFERROR(INDEX(LOOKAHEAD!$E$5:$E$604,MATCH(C340,LOOKAHEAD!$A$5:$A$604,0)),""))</f>
        <v/>
      </c>
      <c r="F340" s="16" t="str">
        <f aca="false">IF(C340="","",IFERROR(INDEX(LOOKAHEAD!$M$5:$M$604,MATCH(C340,LOOKAHEAD!$A$5:$A$604,0)),""))</f>
        <v/>
      </c>
      <c r="G340" s="9"/>
      <c r="H340" s="9"/>
      <c r="I340" s="16" t="str">
        <f aca="false">IF(C340="","",IFERROR(INDEX(LOOKAHEAD!$G$5:$G$604,MATCH(C340,LOOKAHEAD!$A$5:$A$604,0)),""))</f>
        <v/>
      </c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66" t="str">
        <f aca="false">IF(C340="","",SUM(J340:O340))</f>
        <v/>
      </c>
      <c r="W340" s="66" t="str">
        <f aca="false">IF(C340="","",SUM(P340:U340))</f>
        <v/>
      </c>
      <c r="X340" s="51" t="str">
        <f aca="false">IF(OR(C340="",V340=0),"",W340/V340)</f>
        <v/>
      </c>
      <c r="Y340" s="16" t="str">
        <f aca="false">IF(OR(C340="",V340=0),"",IF(W340&gt;=V340,"Sí","No"))</f>
        <v/>
      </c>
      <c r="Z340" s="9"/>
      <c r="AA340" s="9"/>
    </row>
    <row r="341" customFormat="false" ht="15" hidden="false" customHeight="false" outlineLevel="0" collapsed="false">
      <c r="A341" s="9"/>
      <c r="B341" s="9"/>
      <c r="C341" s="9"/>
      <c r="D341" s="16" t="str">
        <f aca="false">IF(C341="","",IFERROR(INDEX(LOOKAHEAD!$B$5:$B$604,MATCH(C341,LOOKAHEAD!$A$5:$A$604,0)),""))</f>
        <v/>
      </c>
      <c r="E341" s="16" t="str">
        <f aca="false">IF(C341="","",IFERROR(INDEX(LOOKAHEAD!$E$5:$E$604,MATCH(C341,LOOKAHEAD!$A$5:$A$604,0)),""))</f>
        <v/>
      </c>
      <c r="F341" s="16" t="str">
        <f aca="false">IF(C341="","",IFERROR(INDEX(LOOKAHEAD!$M$5:$M$604,MATCH(C341,LOOKAHEAD!$A$5:$A$604,0)),""))</f>
        <v/>
      </c>
      <c r="G341" s="9"/>
      <c r="H341" s="9"/>
      <c r="I341" s="16" t="str">
        <f aca="false">IF(C341="","",IFERROR(INDEX(LOOKAHEAD!$G$5:$G$604,MATCH(C341,LOOKAHEAD!$A$5:$A$604,0)),""))</f>
        <v/>
      </c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66" t="str">
        <f aca="false">IF(C341="","",SUM(J341:O341))</f>
        <v/>
      </c>
      <c r="W341" s="66" t="str">
        <f aca="false">IF(C341="","",SUM(P341:U341))</f>
        <v/>
      </c>
      <c r="X341" s="51" t="str">
        <f aca="false">IF(OR(C341="",V341=0),"",W341/V341)</f>
        <v/>
      </c>
      <c r="Y341" s="16" t="str">
        <f aca="false">IF(OR(C341="",V341=0),"",IF(W341&gt;=V341,"Sí","No"))</f>
        <v/>
      </c>
      <c r="Z341" s="9"/>
      <c r="AA341" s="9"/>
    </row>
    <row r="342" customFormat="false" ht="15" hidden="false" customHeight="false" outlineLevel="0" collapsed="false">
      <c r="A342" s="9"/>
      <c r="B342" s="9"/>
      <c r="C342" s="9"/>
      <c r="D342" s="16" t="str">
        <f aca="false">IF(C342="","",IFERROR(INDEX(LOOKAHEAD!$B$5:$B$604,MATCH(C342,LOOKAHEAD!$A$5:$A$604,0)),""))</f>
        <v/>
      </c>
      <c r="E342" s="16" t="str">
        <f aca="false">IF(C342="","",IFERROR(INDEX(LOOKAHEAD!$E$5:$E$604,MATCH(C342,LOOKAHEAD!$A$5:$A$604,0)),""))</f>
        <v/>
      </c>
      <c r="F342" s="16" t="str">
        <f aca="false">IF(C342="","",IFERROR(INDEX(LOOKAHEAD!$M$5:$M$604,MATCH(C342,LOOKAHEAD!$A$5:$A$604,0)),""))</f>
        <v/>
      </c>
      <c r="G342" s="9"/>
      <c r="H342" s="9"/>
      <c r="I342" s="16" t="str">
        <f aca="false">IF(C342="","",IFERROR(INDEX(LOOKAHEAD!$G$5:$G$604,MATCH(C342,LOOKAHEAD!$A$5:$A$604,0)),""))</f>
        <v/>
      </c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66" t="str">
        <f aca="false">IF(C342="","",SUM(J342:O342))</f>
        <v/>
      </c>
      <c r="W342" s="66" t="str">
        <f aca="false">IF(C342="","",SUM(P342:U342))</f>
        <v/>
      </c>
      <c r="X342" s="51" t="str">
        <f aca="false">IF(OR(C342="",V342=0),"",W342/V342)</f>
        <v/>
      </c>
      <c r="Y342" s="16" t="str">
        <f aca="false">IF(OR(C342="",V342=0),"",IF(W342&gt;=V342,"Sí","No"))</f>
        <v/>
      </c>
      <c r="Z342" s="9"/>
      <c r="AA342" s="9"/>
    </row>
    <row r="343" customFormat="false" ht="15" hidden="false" customHeight="false" outlineLevel="0" collapsed="false">
      <c r="A343" s="9"/>
      <c r="B343" s="9"/>
      <c r="C343" s="9"/>
      <c r="D343" s="16" t="str">
        <f aca="false">IF(C343="","",IFERROR(INDEX(LOOKAHEAD!$B$5:$B$604,MATCH(C343,LOOKAHEAD!$A$5:$A$604,0)),""))</f>
        <v/>
      </c>
      <c r="E343" s="16" t="str">
        <f aca="false">IF(C343="","",IFERROR(INDEX(LOOKAHEAD!$E$5:$E$604,MATCH(C343,LOOKAHEAD!$A$5:$A$604,0)),""))</f>
        <v/>
      </c>
      <c r="F343" s="16" t="str">
        <f aca="false">IF(C343="","",IFERROR(INDEX(LOOKAHEAD!$M$5:$M$604,MATCH(C343,LOOKAHEAD!$A$5:$A$604,0)),""))</f>
        <v/>
      </c>
      <c r="G343" s="9"/>
      <c r="H343" s="9"/>
      <c r="I343" s="16" t="str">
        <f aca="false">IF(C343="","",IFERROR(INDEX(LOOKAHEAD!$G$5:$G$604,MATCH(C343,LOOKAHEAD!$A$5:$A$604,0)),""))</f>
        <v/>
      </c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66" t="str">
        <f aca="false">IF(C343="","",SUM(J343:O343))</f>
        <v/>
      </c>
      <c r="W343" s="66" t="str">
        <f aca="false">IF(C343="","",SUM(P343:U343))</f>
        <v/>
      </c>
      <c r="X343" s="51" t="str">
        <f aca="false">IF(OR(C343="",V343=0),"",W343/V343)</f>
        <v/>
      </c>
      <c r="Y343" s="16" t="str">
        <f aca="false">IF(OR(C343="",V343=0),"",IF(W343&gt;=V343,"Sí","No"))</f>
        <v/>
      </c>
      <c r="Z343" s="9"/>
      <c r="AA343" s="9"/>
    </row>
    <row r="344" customFormat="false" ht="15" hidden="false" customHeight="false" outlineLevel="0" collapsed="false">
      <c r="A344" s="9"/>
      <c r="B344" s="9"/>
      <c r="C344" s="9"/>
      <c r="D344" s="16" t="str">
        <f aca="false">IF(C344="","",IFERROR(INDEX(LOOKAHEAD!$B$5:$B$604,MATCH(C344,LOOKAHEAD!$A$5:$A$604,0)),""))</f>
        <v/>
      </c>
      <c r="E344" s="16" t="str">
        <f aca="false">IF(C344="","",IFERROR(INDEX(LOOKAHEAD!$E$5:$E$604,MATCH(C344,LOOKAHEAD!$A$5:$A$604,0)),""))</f>
        <v/>
      </c>
      <c r="F344" s="16" t="str">
        <f aca="false">IF(C344="","",IFERROR(INDEX(LOOKAHEAD!$M$5:$M$604,MATCH(C344,LOOKAHEAD!$A$5:$A$604,0)),""))</f>
        <v/>
      </c>
      <c r="G344" s="9"/>
      <c r="H344" s="9"/>
      <c r="I344" s="16" t="str">
        <f aca="false">IF(C344="","",IFERROR(INDEX(LOOKAHEAD!$G$5:$G$604,MATCH(C344,LOOKAHEAD!$A$5:$A$604,0)),""))</f>
        <v/>
      </c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66" t="str">
        <f aca="false">IF(C344="","",SUM(J344:O344))</f>
        <v/>
      </c>
      <c r="W344" s="66" t="str">
        <f aca="false">IF(C344="","",SUM(P344:U344))</f>
        <v/>
      </c>
      <c r="X344" s="51" t="str">
        <f aca="false">IF(OR(C344="",V344=0),"",W344/V344)</f>
        <v/>
      </c>
      <c r="Y344" s="16" t="str">
        <f aca="false">IF(OR(C344="",V344=0),"",IF(W344&gt;=V344,"Sí","No"))</f>
        <v/>
      </c>
      <c r="Z344" s="9"/>
      <c r="AA344" s="9"/>
    </row>
    <row r="345" customFormat="false" ht="15" hidden="false" customHeight="false" outlineLevel="0" collapsed="false">
      <c r="A345" s="9"/>
      <c r="B345" s="9"/>
      <c r="C345" s="9"/>
      <c r="D345" s="16" t="str">
        <f aca="false">IF(C345="","",IFERROR(INDEX(LOOKAHEAD!$B$5:$B$604,MATCH(C345,LOOKAHEAD!$A$5:$A$604,0)),""))</f>
        <v/>
      </c>
      <c r="E345" s="16" t="str">
        <f aca="false">IF(C345="","",IFERROR(INDEX(LOOKAHEAD!$E$5:$E$604,MATCH(C345,LOOKAHEAD!$A$5:$A$604,0)),""))</f>
        <v/>
      </c>
      <c r="F345" s="16" t="str">
        <f aca="false">IF(C345="","",IFERROR(INDEX(LOOKAHEAD!$M$5:$M$604,MATCH(C345,LOOKAHEAD!$A$5:$A$604,0)),""))</f>
        <v/>
      </c>
      <c r="G345" s="9"/>
      <c r="H345" s="9"/>
      <c r="I345" s="16" t="str">
        <f aca="false">IF(C345="","",IFERROR(INDEX(LOOKAHEAD!$G$5:$G$604,MATCH(C345,LOOKAHEAD!$A$5:$A$604,0)),""))</f>
        <v/>
      </c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66" t="str">
        <f aca="false">IF(C345="","",SUM(J345:O345))</f>
        <v/>
      </c>
      <c r="W345" s="66" t="str">
        <f aca="false">IF(C345="","",SUM(P345:U345))</f>
        <v/>
      </c>
      <c r="X345" s="51" t="str">
        <f aca="false">IF(OR(C345="",V345=0),"",W345/V345)</f>
        <v/>
      </c>
      <c r="Y345" s="16" t="str">
        <f aca="false">IF(OR(C345="",V345=0),"",IF(W345&gt;=V345,"Sí","No"))</f>
        <v/>
      </c>
      <c r="Z345" s="9"/>
      <c r="AA345" s="9"/>
    </row>
    <row r="346" customFormat="false" ht="15" hidden="false" customHeight="false" outlineLevel="0" collapsed="false">
      <c r="A346" s="9"/>
      <c r="B346" s="9"/>
      <c r="C346" s="9"/>
      <c r="D346" s="16" t="str">
        <f aca="false">IF(C346="","",IFERROR(INDEX(LOOKAHEAD!$B$5:$B$604,MATCH(C346,LOOKAHEAD!$A$5:$A$604,0)),""))</f>
        <v/>
      </c>
      <c r="E346" s="16" t="str">
        <f aca="false">IF(C346="","",IFERROR(INDEX(LOOKAHEAD!$E$5:$E$604,MATCH(C346,LOOKAHEAD!$A$5:$A$604,0)),""))</f>
        <v/>
      </c>
      <c r="F346" s="16" t="str">
        <f aca="false">IF(C346="","",IFERROR(INDEX(LOOKAHEAD!$M$5:$M$604,MATCH(C346,LOOKAHEAD!$A$5:$A$604,0)),""))</f>
        <v/>
      </c>
      <c r="G346" s="9"/>
      <c r="H346" s="9"/>
      <c r="I346" s="16" t="str">
        <f aca="false">IF(C346="","",IFERROR(INDEX(LOOKAHEAD!$G$5:$G$604,MATCH(C346,LOOKAHEAD!$A$5:$A$604,0)),""))</f>
        <v/>
      </c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66" t="str">
        <f aca="false">IF(C346="","",SUM(J346:O346))</f>
        <v/>
      </c>
      <c r="W346" s="66" t="str">
        <f aca="false">IF(C346="","",SUM(P346:U346))</f>
        <v/>
      </c>
      <c r="X346" s="51" t="str">
        <f aca="false">IF(OR(C346="",V346=0),"",W346/V346)</f>
        <v/>
      </c>
      <c r="Y346" s="16" t="str">
        <f aca="false">IF(OR(C346="",V346=0),"",IF(W346&gt;=V346,"Sí","No"))</f>
        <v/>
      </c>
      <c r="Z346" s="9"/>
      <c r="AA346" s="9"/>
    </row>
    <row r="347" customFormat="false" ht="15" hidden="false" customHeight="false" outlineLevel="0" collapsed="false">
      <c r="A347" s="9"/>
      <c r="B347" s="9"/>
      <c r="C347" s="9"/>
      <c r="D347" s="16" t="str">
        <f aca="false">IF(C347="","",IFERROR(INDEX(LOOKAHEAD!$B$5:$B$604,MATCH(C347,LOOKAHEAD!$A$5:$A$604,0)),""))</f>
        <v/>
      </c>
      <c r="E347" s="16" t="str">
        <f aca="false">IF(C347="","",IFERROR(INDEX(LOOKAHEAD!$E$5:$E$604,MATCH(C347,LOOKAHEAD!$A$5:$A$604,0)),""))</f>
        <v/>
      </c>
      <c r="F347" s="16" t="str">
        <f aca="false">IF(C347="","",IFERROR(INDEX(LOOKAHEAD!$M$5:$M$604,MATCH(C347,LOOKAHEAD!$A$5:$A$604,0)),""))</f>
        <v/>
      </c>
      <c r="G347" s="9"/>
      <c r="H347" s="9"/>
      <c r="I347" s="16" t="str">
        <f aca="false">IF(C347="","",IFERROR(INDEX(LOOKAHEAD!$G$5:$G$604,MATCH(C347,LOOKAHEAD!$A$5:$A$604,0)),""))</f>
        <v/>
      </c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66" t="str">
        <f aca="false">IF(C347="","",SUM(J347:O347))</f>
        <v/>
      </c>
      <c r="W347" s="66" t="str">
        <f aca="false">IF(C347="","",SUM(P347:U347))</f>
        <v/>
      </c>
      <c r="X347" s="51" t="str">
        <f aca="false">IF(OR(C347="",V347=0),"",W347/V347)</f>
        <v/>
      </c>
      <c r="Y347" s="16" t="str">
        <f aca="false">IF(OR(C347="",V347=0),"",IF(W347&gt;=V347,"Sí","No"))</f>
        <v/>
      </c>
      <c r="Z347" s="9"/>
      <c r="AA347" s="9"/>
    </row>
    <row r="348" customFormat="false" ht="15" hidden="false" customHeight="false" outlineLevel="0" collapsed="false">
      <c r="A348" s="9"/>
      <c r="B348" s="9"/>
      <c r="C348" s="9"/>
      <c r="D348" s="16" t="str">
        <f aca="false">IF(C348="","",IFERROR(INDEX(LOOKAHEAD!$B$5:$B$604,MATCH(C348,LOOKAHEAD!$A$5:$A$604,0)),""))</f>
        <v/>
      </c>
      <c r="E348" s="16" t="str">
        <f aca="false">IF(C348="","",IFERROR(INDEX(LOOKAHEAD!$E$5:$E$604,MATCH(C348,LOOKAHEAD!$A$5:$A$604,0)),""))</f>
        <v/>
      </c>
      <c r="F348" s="16" t="str">
        <f aca="false">IF(C348="","",IFERROR(INDEX(LOOKAHEAD!$M$5:$M$604,MATCH(C348,LOOKAHEAD!$A$5:$A$604,0)),""))</f>
        <v/>
      </c>
      <c r="G348" s="9"/>
      <c r="H348" s="9"/>
      <c r="I348" s="16" t="str">
        <f aca="false">IF(C348="","",IFERROR(INDEX(LOOKAHEAD!$G$5:$G$604,MATCH(C348,LOOKAHEAD!$A$5:$A$604,0)),""))</f>
        <v/>
      </c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66" t="str">
        <f aca="false">IF(C348="","",SUM(J348:O348))</f>
        <v/>
      </c>
      <c r="W348" s="66" t="str">
        <f aca="false">IF(C348="","",SUM(P348:U348))</f>
        <v/>
      </c>
      <c r="X348" s="51" t="str">
        <f aca="false">IF(OR(C348="",V348=0),"",W348/V348)</f>
        <v/>
      </c>
      <c r="Y348" s="16" t="str">
        <f aca="false">IF(OR(C348="",V348=0),"",IF(W348&gt;=V348,"Sí","No"))</f>
        <v/>
      </c>
      <c r="Z348" s="9"/>
      <c r="AA348" s="9"/>
    </row>
    <row r="349" customFormat="false" ht="15" hidden="false" customHeight="false" outlineLevel="0" collapsed="false">
      <c r="A349" s="9"/>
      <c r="B349" s="9"/>
      <c r="C349" s="9"/>
      <c r="D349" s="16" t="str">
        <f aca="false">IF(C349="","",IFERROR(INDEX(LOOKAHEAD!$B$5:$B$604,MATCH(C349,LOOKAHEAD!$A$5:$A$604,0)),""))</f>
        <v/>
      </c>
      <c r="E349" s="16" t="str">
        <f aca="false">IF(C349="","",IFERROR(INDEX(LOOKAHEAD!$E$5:$E$604,MATCH(C349,LOOKAHEAD!$A$5:$A$604,0)),""))</f>
        <v/>
      </c>
      <c r="F349" s="16" t="str">
        <f aca="false">IF(C349="","",IFERROR(INDEX(LOOKAHEAD!$M$5:$M$604,MATCH(C349,LOOKAHEAD!$A$5:$A$604,0)),""))</f>
        <v/>
      </c>
      <c r="G349" s="9"/>
      <c r="H349" s="9"/>
      <c r="I349" s="16" t="str">
        <f aca="false">IF(C349="","",IFERROR(INDEX(LOOKAHEAD!$G$5:$G$604,MATCH(C349,LOOKAHEAD!$A$5:$A$604,0)),""))</f>
        <v/>
      </c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66" t="str">
        <f aca="false">IF(C349="","",SUM(J349:O349))</f>
        <v/>
      </c>
      <c r="W349" s="66" t="str">
        <f aca="false">IF(C349="","",SUM(P349:U349))</f>
        <v/>
      </c>
      <c r="X349" s="51" t="str">
        <f aca="false">IF(OR(C349="",V349=0),"",W349/V349)</f>
        <v/>
      </c>
      <c r="Y349" s="16" t="str">
        <f aca="false">IF(OR(C349="",V349=0),"",IF(W349&gt;=V349,"Sí","No"))</f>
        <v/>
      </c>
      <c r="Z349" s="9"/>
      <c r="AA349" s="9"/>
    </row>
    <row r="350" customFormat="false" ht="15" hidden="false" customHeight="false" outlineLevel="0" collapsed="false">
      <c r="A350" s="9"/>
      <c r="B350" s="9"/>
      <c r="C350" s="9"/>
      <c r="D350" s="16" t="str">
        <f aca="false">IF(C350="","",IFERROR(INDEX(LOOKAHEAD!$B$5:$B$604,MATCH(C350,LOOKAHEAD!$A$5:$A$604,0)),""))</f>
        <v/>
      </c>
      <c r="E350" s="16" t="str">
        <f aca="false">IF(C350="","",IFERROR(INDEX(LOOKAHEAD!$E$5:$E$604,MATCH(C350,LOOKAHEAD!$A$5:$A$604,0)),""))</f>
        <v/>
      </c>
      <c r="F350" s="16" t="str">
        <f aca="false">IF(C350="","",IFERROR(INDEX(LOOKAHEAD!$M$5:$M$604,MATCH(C350,LOOKAHEAD!$A$5:$A$604,0)),""))</f>
        <v/>
      </c>
      <c r="G350" s="9"/>
      <c r="H350" s="9"/>
      <c r="I350" s="16" t="str">
        <f aca="false">IF(C350="","",IFERROR(INDEX(LOOKAHEAD!$G$5:$G$604,MATCH(C350,LOOKAHEAD!$A$5:$A$604,0)),""))</f>
        <v/>
      </c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66" t="str">
        <f aca="false">IF(C350="","",SUM(J350:O350))</f>
        <v/>
      </c>
      <c r="W350" s="66" t="str">
        <f aca="false">IF(C350="","",SUM(P350:U350))</f>
        <v/>
      </c>
      <c r="X350" s="51" t="str">
        <f aca="false">IF(OR(C350="",V350=0),"",W350/V350)</f>
        <v/>
      </c>
      <c r="Y350" s="16" t="str">
        <f aca="false">IF(OR(C350="",V350=0),"",IF(W350&gt;=V350,"Sí","No"))</f>
        <v/>
      </c>
      <c r="Z350" s="9"/>
      <c r="AA350" s="9"/>
    </row>
    <row r="351" customFormat="false" ht="15" hidden="false" customHeight="false" outlineLevel="0" collapsed="false">
      <c r="A351" s="9"/>
      <c r="B351" s="9"/>
      <c r="C351" s="9"/>
      <c r="D351" s="16" t="str">
        <f aca="false">IF(C351="","",IFERROR(INDEX(LOOKAHEAD!$B$5:$B$604,MATCH(C351,LOOKAHEAD!$A$5:$A$604,0)),""))</f>
        <v/>
      </c>
      <c r="E351" s="16" t="str">
        <f aca="false">IF(C351="","",IFERROR(INDEX(LOOKAHEAD!$E$5:$E$604,MATCH(C351,LOOKAHEAD!$A$5:$A$604,0)),""))</f>
        <v/>
      </c>
      <c r="F351" s="16" t="str">
        <f aca="false">IF(C351="","",IFERROR(INDEX(LOOKAHEAD!$M$5:$M$604,MATCH(C351,LOOKAHEAD!$A$5:$A$604,0)),""))</f>
        <v/>
      </c>
      <c r="G351" s="9"/>
      <c r="H351" s="9"/>
      <c r="I351" s="16" t="str">
        <f aca="false">IF(C351="","",IFERROR(INDEX(LOOKAHEAD!$G$5:$G$604,MATCH(C351,LOOKAHEAD!$A$5:$A$604,0)),""))</f>
        <v/>
      </c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66" t="str">
        <f aca="false">IF(C351="","",SUM(J351:O351))</f>
        <v/>
      </c>
      <c r="W351" s="66" t="str">
        <f aca="false">IF(C351="","",SUM(P351:U351))</f>
        <v/>
      </c>
      <c r="X351" s="51" t="str">
        <f aca="false">IF(OR(C351="",V351=0),"",W351/V351)</f>
        <v/>
      </c>
      <c r="Y351" s="16" t="str">
        <f aca="false">IF(OR(C351="",V351=0),"",IF(W351&gt;=V351,"Sí","No"))</f>
        <v/>
      </c>
      <c r="Z351" s="9"/>
      <c r="AA351" s="9"/>
    </row>
    <row r="352" customFormat="false" ht="15" hidden="false" customHeight="false" outlineLevel="0" collapsed="false">
      <c r="A352" s="9"/>
      <c r="B352" s="9"/>
      <c r="C352" s="9"/>
      <c r="D352" s="16" t="str">
        <f aca="false">IF(C352="","",IFERROR(INDEX(LOOKAHEAD!$B$5:$B$604,MATCH(C352,LOOKAHEAD!$A$5:$A$604,0)),""))</f>
        <v/>
      </c>
      <c r="E352" s="16" t="str">
        <f aca="false">IF(C352="","",IFERROR(INDEX(LOOKAHEAD!$E$5:$E$604,MATCH(C352,LOOKAHEAD!$A$5:$A$604,0)),""))</f>
        <v/>
      </c>
      <c r="F352" s="16" t="str">
        <f aca="false">IF(C352="","",IFERROR(INDEX(LOOKAHEAD!$M$5:$M$604,MATCH(C352,LOOKAHEAD!$A$5:$A$604,0)),""))</f>
        <v/>
      </c>
      <c r="G352" s="9"/>
      <c r="H352" s="9"/>
      <c r="I352" s="16" t="str">
        <f aca="false">IF(C352="","",IFERROR(INDEX(LOOKAHEAD!$G$5:$G$604,MATCH(C352,LOOKAHEAD!$A$5:$A$604,0)),""))</f>
        <v/>
      </c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66" t="str">
        <f aca="false">IF(C352="","",SUM(J352:O352))</f>
        <v/>
      </c>
      <c r="W352" s="66" t="str">
        <f aca="false">IF(C352="","",SUM(P352:U352))</f>
        <v/>
      </c>
      <c r="X352" s="51" t="str">
        <f aca="false">IF(OR(C352="",V352=0),"",W352/V352)</f>
        <v/>
      </c>
      <c r="Y352" s="16" t="str">
        <f aca="false">IF(OR(C352="",V352=0),"",IF(W352&gt;=V352,"Sí","No"))</f>
        <v/>
      </c>
      <c r="Z352" s="9"/>
      <c r="AA352" s="9"/>
    </row>
    <row r="353" customFormat="false" ht="15" hidden="false" customHeight="false" outlineLevel="0" collapsed="false">
      <c r="A353" s="9"/>
      <c r="B353" s="9"/>
      <c r="C353" s="9"/>
      <c r="D353" s="16" t="str">
        <f aca="false">IF(C353="","",IFERROR(INDEX(LOOKAHEAD!$B$5:$B$604,MATCH(C353,LOOKAHEAD!$A$5:$A$604,0)),""))</f>
        <v/>
      </c>
      <c r="E353" s="16" t="str">
        <f aca="false">IF(C353="","",IFERROR(INDEX(LOOKAHEAD!$E$5:$E$604,MATCH(C353,LOOKAHEAD!$A$5:$A$604,0)),""))</f>
        <v/>
      </c>
      <c r="F353" s="16" t="str">
        <f aca="false">IF(C353="","",IFERROR(INDEX(LOOKAHEAD!$M$5:$M$604,MATCH(C353,LOOKAHEAD!$A$5:$A$604,0)),""))</f>
        <v/>
      </c>
      <c r="G353" s="9"/>
      <c r="H353" s="9"/>
      <c r="I353" s="16" t="str">
        <f aca="false">IF(C353="","",IFERROR(INDEX(LOOKAHEAD!$G$5:$G$604,MATCH(C353,LOOKAHEAD!$A$5:$A$604,0)),""))</f>
        <v/>
      </c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66" t="str">
        <f aca="false">IF(C353="","",SUM(J353:O353))</f>
        <v/>
      </c>
      <c r="W353" s="66" t="str">
        <f aca="false">IF(C353="","",SUM(P353:U353))</f>
        <v/>
      </c>
      <c r="X353" s="51" t="str">
        <f aca="false">IF(OR(C353="",V353=0),"",W353/V353)</f>
        <v/>
      </c>
      <c r="Y353" s="16" t="str">
        <f aca="false">IF(OR(C353="",V353=0),"",IF(W353&gt;=V353,"Sí","No"))</f>
        <v/>
      </c>
      <c r="Z353" s="9"/>
      <c r="AA353" s="9"/>
    </row>
    <row r="354" customFormat="false" ht="15" hidden="false" customHeight="false" outlineLevel="0" collapsed="false">
      <c r="A354" s="9"/>
      <c r="B354" s="9"/>
      <c r="C354" s="9"/>
      <c r="D354" s="16" t="str">
        <f aca="false">IF(C354="","",IFERROR(INDEX(LOOKAHEAD!$B$5:$B$604,MATCH(C354,LOOKAHEAD!$A$5:$A$604,0)),""))</f>
        <v/>
      </c>
      <c r="E354" s="16" t="str">
        <f aca="false">IF(C354="","",IFERROR(INDEX(LOOKAHEAD!$E$5:$E$604,MATCH(C354,LOOKAHEAD!$A$5:$A$604,0)),""))</f>
        <v/>
      </c>
      <c r="F354" s="16" t="str">
        <f aca="false">IF(C354="","",IFERROR(INDEX(LOOKAHEAD!$M$5:$M$604,MATCH(C354,LOOKAHEAD!$A$5:$A$604,0)),""))</f>
        <v/>
      </c>
      <c r="G354" s="9"/>
      <c r="H354" s="9"/>
      <c r="I354" s="16" t="str">
        <f aca="false">IF(C354="","",IFERROR(INDEX(LOOKAHEAD!$G$5:$G$604,MATCH(C354,LOOKAHEAD!$A$5:$A$604,0)),""))</f>
        <v/>
      </c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66" t="str">
        <f aca="false">IF(C354="","",SUM(J354:O354))</f>
        <v/>
      </c>
      <c r="W354" s="66" t="str">
        <f aca="false">IF(C354="","",SUM(P354:U354))</f>
        <v/>
      </c>
      <c r="X354" s="51" t="str">
        <f aca="false">IF(OR(C354="",V354=0),"",W354/V354)</f>
        <v/>
      </c>
      <c r="Y354" s="16" t="str">
        <f aca="false">IF(OR(C354="",V354=0),"",IF(W354&gt;=V354,"Sí","No"))</f>
        <v/>
      </c>
      <c r="Z354" s="9"/>
      <c r="AA354" s="9"/>
    </row>
    <row r="355" customFormat="false" ht="15" hidden="false" customHeight="false" outlineLevel="0" collapsed="false">
      <c r="A355" s="9"/>
      <c r="B355" s="9"/>
      <c r="C355" s="9"/>
      <c r="D355" s="16" t="str">
        <f aca="false">IF(C355="","",IFERROR(INDEX(LOOKAHEAD!$B$5:$B$604,MATCH(C355,LOOKAHEAD!$A$5:$A$604,0)),""))</f>
        <v/>
      </c>
      <c r="E355" s="16" t="str">
        <f aca="false">IF(C355="","",IFERROR(INDEX(LOOKAHEAD!$E$5:$E$604,MATCH(C355,LOOKAHEAD!$A$5:$A$604,0)),""))</f>
        <v/>
      </c>
      <c r="F355" s="16" t="str">
        <f aca="false">IF(C355="","",IFERROR(INDEX(LOOKAHEAD!$M$5:$M$604,MATCH(C355,LOOKAHEAD!$A$5:$A$604,0)),""))</f>
        <v/>
      </c>
      <c r="G355" s="9"/>
      <c r="H355" s="9"/>
      <c r="I355" s="16" t="str">
        <f aca="false">IF(C355="","",IFERROR(INDEX(LOOKAHEAD!$G$5:$G$604,MATCH(C355,LOOKAHEAD!$A$5:$A$604,0)),""))</f>
        <v/>
      </c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66" t="str">
        <f aca="false">IF(C355="","",SUM(J355:O355))</f>
        <v/>
      </c>
      <c r="W355" s="66" t="str">
        <f aca="false">IF(C355="","",SUM(P355:U355))</f>
        <v/>
      </c>
      <c r="X355" s="51" t="str">
        <f aca="false">IF(OR(C355="",V355=0),"",W355/V355)</f>
        <v/>
      </c>
      <c r="Y355" s="16" t="str">
        <f aca="false">IF(OR(C355="",V355=0),"",IF(W355&gt;=V355,"Sí","No"))</f>
        <v/>
      </c>
      <c r="Z355" s="9"/>
      <c r="AA355" s="9"/>
    </row>
    <row r="356" customFormat="false" ht="15" hidden="false" customHeight="false" outlineLevel="0" collapsed="false">
      <c r="A356" s="9"/>
      <c r="B356" s="9"/>
      <c r="C356" s="9"/>
      <c r="D356" s="16" t="str">
        <f aca="false">IF(C356="","",IFERROR(INDEX(LOOKAHEAD!$B$5:$B$604,MATCH(C356,LOOKAHEAD!$A$5:$A$604,0)),""))</f>
        <v/>
      </c>
      <c r="E356" s="16" t="str">
        <f aca="false">IF(C356="","",IFERROR(INDEX(LOOKAHEAD!$E$5:$E$604,MATCH(C356,LOOKAHEAD!$A$5:$A$604,0)),""))</f>
        <v/>
      </c>
      <c r="F356" s="16" t="str">
        <f aca="false">IF(C356="","",IFERROR(INDEX(LOOKAHEAD!$M$5:$M$604,MATCH(C356,LOOKAHEAD!$A$5:$A$604,0)),""))</f>
        <v/>
      </c>
      <c r="G356" s="9"/>
      <c r="H356" s="9"/>
      <c r="I356" s="16" t="str">
        <f aca="false">IF(C356="","",IFERROR(INDEX(LOOKAHEAD!$G$5:$G$604,MATCH(C356,LOOKAHEAD!$A$5:$A$604,0)),""))</f>
        <v/>
      </c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66" t="str">
        <f aca="false">IF(C356="","",SUM(J356:O356))</f>
        <v/>
      </c>
      <c r="W356" s="66" t="str">
        <f aca="false">IF(C356="","",SUM(P356:U356))</f>
        <v/>
      </c>
      <c r="X356" s="51" t="str">
        <f aca="false">IF(OR(C356="",V356=0),"",W356/V356)</f>
        <v/>
      </c>
      <c r="Y356" s="16" t="str">
        <f aca="false">IF(OR(C356="",V356=0),"",IF(W356&gt;=V356,"Sí","No"))</f>
        <v/>
      </c>
      <c r="Z356" s="9"/>
      <c r="AA356" s="9"/>
    </row>
    <row r="357" customFormat="false" ht="15" hidden="false" customHeight="false" outlineLevel="0" collapsed="false">
      <c r="A357" s="9"/>
      <c r="B357" s="9"/>
      <c r="C357" s="9"/>
      <c r="D357" s="16" t="str">
        <f aca="false">IF(C357="","",IFERROR(INDEX(LOOKAHEAD!$B$5:$B$604,MATCH(C357,LOOKAHEAD!$A$5:$A$604,0)),""))</f>
        <v/>
      </c>
      <c r="E357" s="16" t="str">
        <f aca="false">IF(C357="","",IFERROR(INDEX(LOOKAHEAD!$E$5:$E$604,MATCH(C357,LOOKAHEAD!$A$5:$A$604,0)),""))</f>
        <v/>
      </c>
      <c r="F357" s="16" t="str">
        <f aca="false">IF(C357="","",IFERROR(INDEX(LOOKAHEAD!$M$5:$M$604,MATCH(C357,LOOKAHEAD!$A$5:$A$604,0)),""))</f>
        <v/>
      </c>
      <c r="G357" s="9"/>
      <c r="H357" s="9"/>
      <c r="I357" s="16" t="str">
        <f aca="false">IF(C357="","",IFERROR(INDEX(LOOKAHEAD!$G$5:$G$604,MATCH(C357,LOOKAHEAD!$A$5:$A$604,0)),""))</f>
        <v/>
      </c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66" t="str">
        <f aca="false">IF(C357="","",SUM(J357:O357))</f>
        <v/>
      </c>
      <c r="W357" s="66" t="str">
        <f aca="false">IF(C357="","",SUM(P357:U357))</f>
        <v/>
      </c>
      <c r="X357" s="51" t="str">
        <f aca="false">IF(OR(C357="",V357=0),"",W357/V357)</f>
        <v/>
      </c>
      <c r="Y357" s="16" t="str">
        <f aca="false">IF(OR(C357="",V357=0),"",IF(W357&gt;=V357,"Sí","No"))</f>
        <v/>
      </c>
      <c r="Z357" s="9"/>
      <c r="AA357" s="9"/>
    </row>
    <row r="358" customFormat="false" ht="15" hidden="false" customHeight="false" outlineLevel="0" collapsed="false">
      <c r="A358" s="9"/>
      <c r="B358" s="9"/>
      <c r="C358" s="9"/>
      <c r="D358" s="16" t="str">
        <f aca="false">IF(C358="","",IFERROR(INDEX(LOOKAHEAD!$B$5:$B$604,MATCH(C358,LOOKAHEAD!$A$5:$A$604,0)),""))</f>
        <v/>
      </c>
      <c r="E358" s="16" t="str">
        <f aca="false">IF(C358="","",IFERROR(INDEX(LOOKAHEAD!$E$5:$E$604,MATCH(C358,LOOKAHEAD!$A$5:$A$604,0)),""))</f>
        <v/>
      </c>
      <c r="F358" s="16" t="str">
        <f aca="false">IF(C358="","",IFERROR(INDEX(LOOKAHEAD!$M$5:$M$604,MATCH(C358,LOOKAHEAD!$A$5:$A$604,0)),""))</f>
        <v/>
      </c>
      <c r="G358" s="9"/>
      <c r="H358" s="9"/>
      <c r="I358" s="16" t="str">
        <f aca="false">IF(C358="","",IFERROR(INDEX(LOOKAHEAD!$G$5:$G$604,MATCH(C358,LOOKAHEAD!$A$5:$A$604,0)),""))</f>
        <v/>
      </c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66" t="str">
        <f aca="false">IF(C358="","",SUM(J358:O358))</f>
        <v/>
      </c>
      <c r="W358" s="66" t="str">
        <f aca="false">IF(C358="","",SUM(P358:U358))</f>
        <v/>
      </c>
      <c r="X358" s="51" t="str">
        <f aca="false">IF(OR(C358="",V358=0),"",W358/V358)</f>
        <v/>
      </c>
      <c r="Y358" s="16" t="str">
        <f aca="false">IF(OR(C358="",V358=0),"",IF(W358&gt;=V358,"Sí","No"))</f>
        <v/>
      </c>
      <c r="Z358" s="9"/>
      <c r="AA358" s="9"/>
    </row>
    <row r="359" customFormat="false" ht="15" hidden="false" customHeight="false" outlineLevel="0" collapsed="false">
      <c r="A359" s="9"/>
      <c r="B359" s="9"/>
      <c r="C359" s="9"/>
      <c r="D359" s="16" t="str">
        <f aca="false">IF(C359="","",IFERROR(INDEX(LOOKAHEAD!$B$5:$B$604,MATCH(C359,LOOKAHEAD!$A$5:$A$604,0)),""))</f>
        <v/>
      </c>
      <c r="E359" s="16" t="str">
        <f aca="false">IF(C359="","",IFERROR(INDEX(LOOKAHEAD!$E$5:$E$604,MATCH(C359,LOOKAHEAD!$A$5:$A$604,0)),""))</f>
        <v/>
      </c>
      <c r="F359" s="16" t="str">
        <f aca="false">IF(C359="","",IFERROR(INDEX(LOOKAHEAD!$M$5:$M$604,MATCH(C359,LOOKAHEAD!$A$5:$A$604,0)),""))</f>
        <v/>
      </c>
      <c r="G359" s="9"/>
      <c r="H359" s="9"/>
      <c r="I359" s="16" t="str">
        <f aca="false">IF(C359="","",IFERROR(INDEX(LOOKAHEAD!$G$5:$G$604,MATCH(C359,LOOKAHEAD!$A$5:$A$604,0)),""))</f>
        <v/>
      </c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66" t="str">
        <f aca="false">IF(C359="","",SUM(J359:O359))</f>
        <v/>
      </c>
      <c r="W359" s="66" t="str">
        <f aca="false">IF(C359="","",SUM(P359:U359))</f>
        <v/>
      </c>
      <c r="X359" s="51" t="str">
        <f aca="false">IF(OR(C359="",V359=0),"",W359/V359)</f>
        <v/>
      </c>
      <c r="Y359" s="16" t="str">
        <f aca="false">IF(OR(C359="",V359=0),"",IF(W359&gt;=V359,"Sí","No"))</f>
        <v/>
      </c>
      <c r="Z359" s="9"/>
      <c r="AA359" s="9"/>
    </row>
    <row r="360" customFormat="false" ht="15" hidden="false" customHeight="false" outlineLevel="0" collapsed="false">
      <c r="A360" s="9"/>
      <c r="B360" s="9"/>
      <c r="C360" s="9"/>
      <c r="D360" s="16" t="str">
        <f aca="false">IF(C360="","",IFERROR(INDEX(LOOKAHEAD!$B$5:$B$604,MATCH(C360,LOOKAHEAD!$A$5:$A$604,0)),""))</f>
        <v/>
      </c>
      <c r="E360" s="16" t="str">
        <f aca="false">IF(C360="","",IFERROR(INDEX(LOOKAHEAD!$E$5:$E$604,MATCH(C360,LOOKAHEAD!$A$5:$A$604,0)),""))</f>
        <v/>
      </c>
      <c r="F360" s="16" t="str">
        <f aca="false">IF(C360="","",IFERROR(INDEX(LOOKAHEAD!$M$5:$M$604,MATCH(C360,LOOKAHEAD!$A$5:$A$604,0)),""))</f>
        <v/>
      </c>
      <c r="G360" s="9"/>
      <c r="H360" s="9"/>
      <c r="I360" s="16" t="str">
        <f aca="false">IF(C360="","",IFERROR(INDEX(LOOKAHEAD!$G$5:$G$604,MATCH(C360,LOOKAHEAD!$A$5:$A$604,0)),""))</f>
        <v/>
      </c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66" t="str">
        <f aca="false">IF(C360="","",SUM(J360:O360))</f>
        <v/>
      </c>
      <c r="W360" s="66" t="str">
        <f aca="false">IF(C360="","",SUM(P360:U360))</f>
        <v/>
      </c>
      <c r="X360" s="51" t="str">
        <f aca="false">IF(OR(C360="",V360=0),"",W360/V360)</f>
        <v/>
      </c>
      <c r="Y360" s="16" t="str">
        <f aca="false">IF(OR(C360="",V360=0),"",IF(W360&gt;=V360,"Sí","No"))</f>
        <v/>
      </c>
      <c r="Z360" s="9"/>
      <c r="AA360" s="9"/>
    </row>
    <row r="361" customFormat="false" ht="15" hidden="false" customHeight="false" outlineLevel="0" collapsed="false">
      <c r="A361" s="9"/>
      <c r="B361" s="9"/>
      <c r="C361" s="9"/>
      <c r="D361" s="16" t="str">
        <f aca="false">IF(C361="","",IFERROR(INDEX(LOOKAHEAD!$B$5:$B$604,MATCH(C361,LOOKAHEAD!$A$5:$A$604,0)),""))</f>
        <v/>
      </c>
      <c r="E361" s="16" t="str">
        <f aca="false">IF(C361="","",IFERROR(INDEX(LOOKAHEAD!$E$5:$E$604,MATCH(C361,LOOKAHEAD!$A$5:$A$604,0)),""))</f>
        <v/>
      </c>
      <c r="F361" s="16" t="str">
        <f aca="false">IF(C361="","",IFERROR(INDEX(LOOKAHEAD!$M$5:$M$604,MATCH(C361,LOOKAHEAD!$A$5:$A$604,0)),""))</f>
        <v/>
      </c>
      <c r="G361" s="9"/>
      <c r="H361" s="9"/>
      <c r="I361" s="16" t="str">
        <f aca="false">IF(C361="","",IFERROR(INDEX(LOOKAHEAD!$G$5:$G$604,MATCH(C361,LOOKAHEAD!$A$5:$A$604,0)),""))</f>
        <v/>
      </c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66" t="str">
        <f aca="false">IF(C361="","",SUM(J361:O361))</f>
        <v/>
      </c>
      <c r="W361" s="66" t="str">
        <f aca="false">IF(C361="","",SUM(P361:U361))</f>
        <v/>
      </c>
      <c r="X361" s="51" t="str">
        <f aca="false">IF(OR(C361="",V361=0),"",W361/V361)</f>
        <v/>
      </c>
      <c r="Y361" s="16" t="str">
        <f aca="false">IF(OR(C361="",V361=0),"",IF(W361&gt;=V361,"Sí","No"))</f>
        <v/>
      </c>
      <c r="Z361" s="9"/>
      <c r="AA361" s="9"/>
    </row>
    <row r="362" customFormat="false" ht="15" hidden="false" customHeight="false" outlineLevel="0" collapsed="false">
      <c r="A362" s="9"/>
      <c r="B362" s="9"/>
      <c r="C362" s="9"/>
      <c r="D362" s="16" t="str">
        <f aca="false">IF(C362="","",IFERROR(INDEX(LOOKAHEAD!$B$5:$B$604,MATCH(C362,LOOKAHEAD!$A$5:$A$604,0)),""))</f>
        <v/>
      </c>
      <c r="E362" s="16" t="str">
        <f aca="false">IF(C362="","",IFERROR(INDEX(LOOKAHEAD!$E$5:$E$604,MATCH(C362,LOOKAHEAD!$A$5:$A$604,0)),""))</f>
        <v/>
      </c>
      <c r="F362" s="16" t="str">
        <f aca="false">IF(C362="","",IFERROR(INDEX(LOOKAHEAD!$M$5:$M$604,MATCH(C362,LOOKAHEAD!$A$5:$A$604,0)),""))</f>
        <v/>
      </c>
      <c r="G362" s="9"/>
      <c r="H362" s="9"/>
      <c r="I362" s="16" t="str">
        <f aca="false">IF(C362="","",IFERROR(INDEX(LOOKAHEAD!$G$5:$G$604,MATCH(C362,LOOKAHEAD!$A$5:$A$604,0)),""))</f>
        <v/>
      </c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66" t="str">
        <f aca="false">IF(C362="","",SUM(J362:O362))</f>
        <v/>
      </c>
      <c r="W362" s="66" t="str">
        <f aca="false">IF(C362="","",SUM(P362:U362))</f>
        <v/>
      </c>
      <c r="X362" s="51" t="str">
        <f aca="false">IF(OR(C362="",V362=0),"",W362/V362)</f>
        <v/>
      </c>
      <c r="Y362" s="16" t="str">
        <f aca="false">IF(OR(C362="",V362=0),"",IF(W362&gt;=V362,"Sí","No"))</f>
        <v/>
      </c>
      <c r="Z362" s="9"/>
      <c r="AA362" s="9"/>
    </row>
    <row r="363" customFormat="false" ht="15" hidden="false" customHeight="false" outlineLevel="0" collapsed="false">
      <c r="A363" s="9"/>
      <c r="B363" s="9"/>
      <c r="C363" s="9"/>
      <c r="D363" s="16" t="str">
        <f aca="false">IF(C363="","",IFERROR(INDEX(LOOKAHEAD!$B$5:$B$604,MATCH(C363,LOOKAHEAD!$A$5:$A$604,0)),""))</f>
        <v/>
      </c>
      <c r="E363" s="16" t="str">
        <f aca="false">IF(C363="","",IFERROR(INDEX(LOOKAHEAD!$E$5:$E$604,MATCH(C363,LOOKAHEAD!$A$5:$A$604,0)),""))</f>
        <v/>
      </c>
      <c r="F363" s="16" t="str">
        <f aca="false">IF(C363="","",IFERROR(INDEX(LOOKAHEAD!$M$5:$M$604,MATCH(C363,LOOKAHEAD!$A$5:$A$604,0)),""))</f>
        <v/>
      </c>
      <c r="G363" s="9"/>
      <c r="H363" s="9"/>
      <c r="I363" s="16" t="str">
        <f aca="false">IF(C363="","",IFERROR(INDEX(LOOKAHEAD!$G$5:$G$604,MATCH(C363,LOOKAHEAD!$A$5:$A$604,0)),""))</f>
        <v/>
      </c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66" t="str">
        <f aca="false">IF(C363="","",SUM(J363:O363))</f>
        <v/>
      </c>
      <c r="W363" s="66" t="str">
        <f aca="false">IF(C363="","",SUM(P363:U363))</f>
        <v/>
      </c>
      <c r="X363" s="51" t="str">
        <f aca="false">IF(OR(C363="",V363=0),"",W363/V363)</f>
        <v/>
      </c>
      <c r="Y363" s="16" t="str">
        <f aca="false">IF(OR(C363="",V363=0),"",IF(W363&gt;=V363,"Sí","No"))</f>
        <v/>
      </c>
      <c r="Z363" s="9"/>
      <c r="AA363" s="9"/>
    </row>
    <row r="364" customFormat="false" ht="15" hidden="false" customHeight="false" outlineLevel="0" collapsed="false">
      <c r="A364" s="9"/>
      <c r="B364" s="9"/>
      <c r="C364" s="9"/>
      <c r="D364" s="16" t="str">
        <f aca="false">IF(C364="","",IFERROR(INDEX(LOOKAHEAD!$B$5:$B$604,MATCH(C364,LOOKAHEAD!$A$5:$A$604,0)),""))</f>
        <v/>
      </c>
      <c r="E364" s="16" t="str">
        <f aca="false">IF(C364="","",IFERROR(INDEX(LOOKAHEAD!$E$5:$E$604,MATCH(C364,LOOKAHEAD!$A$5:$A$604,0)),""))</f>
        <v/>
      </c>
      <c r="F364" s="16" t="str">
        <f aca="false">IF(C364="","",IFERROR(INDEX(LOOKAHEAD!$M$5:$M$604,MATCH(C364,LOOKAHEAD!$A$5:$A$604,0)),""))</f>
        <v/>
      </c>
      <c r="G364" s="9"/>
      <c r="H364" s="9"/>
      <c r="I364" s="16" t="str">
        <f aca="false">IF(C364="","",IFERROR(INDEX(LOOKAHEAD!$G$5:$G$604,MATCH(C364,LOOKAHEAD!$A$5:$A$604,0)),""))</f>
        <v/>
      </c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66" t="str">
        <f aca="false">IF(C364="","",SUM(J364:O364))</f>
        <v/>
      </c>
      <c r="W364" s="66" t="str">
        <f aca="false">IF(C364="","",SUM(P364:U364))</f>
        <v/>
      </c>
      <c r="X364" s="51" t="str">
        <f aca="false">IF(OR(C364="",V364=0),"",W364/V364)</f>
        <v/>
      </c>
      <c r="Y364" s="16" t="str">
        <f aca="false">IF(OR(C364="",V364=0),"",IF(W364&gt;=V364,"Sí","No"))</f>
        <v/>
      </c>
      <c r="Z364" s="9"/>
      <c r="AA364" s="9"/>
    </row>
    <row r="365" customFormat="false" ht="15" hidden="false" customHeight="false" outlineLevel="0" collapsed="false">
      <c r="A365" s="9"/>
      <c r="B365" s="9"/>
      <c r="C365" s="9"/>
      <c r="D365" s="16" t="str">
        <f aca="false">IF(C365="","",IFERROR(INDEX(LOOKAHEAD!$B$5:$B$604,MATCH(C365,LOOKAHEAD!$A$5:$A$604,0)),""))</f>
        <v/>
      </c>
      <c r="E365" s="16" t="str">
        <f aca="false">IF(C365="","",IFERROR(INDEX(LOOKAHEAD!$E$5:$E$604,MATCH(C365,LOOKAHEAD!$A$5:$A$604,0)),""))</f>
        <v/>
      </c>
      <c r="F365" s="16" t="str">
        <f aca="false">IF(C365="","",IFERROR(INDEX(LOOKAHEAD!$M$5:$M$604,MATCH(C365,LOOKAHEAD!$A$5:$A$604,0)),""))</f>
        <v/>
      </c>
      <c r="G365" s="9"/>
      <c r="H365" s="9"/>
      <c r="I365" s="16" t="str">
        <f aca="false">IF(C365="","",IFERROR(INDEX(LOOKAHEAD!$G$5:$G$604,MATCH(C365,LOOKAHEAD!$A$5:$A$604,0)),""))</f>
        <v/>
      </c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66" t="str">
        <f aca="false">IF(C365="","",SUM(J365:O365))</f>
        <v/>
      </c>
      <c r="W365" s="66" t="str">
        <f aca="false">IF(C365="","",SUM(P365:U365))</f>
        <v/>
      </c>
      <c r="X365" s="51" t="str">
        <f aca="false">IF(OR(C365="",V365=0),"",W365/V365)</f>
        <v/>
      </c>
      <c r="Y365" s="16" t="str">
        <f aca="false">IF(OR(C365="",V365=0),"",IF(W365&gt;=V365,"Sí","No"))</f>
        <v/>
      </c>
      <c r="Z365" s="9"/>
      <c r="AA365" s="9"/>
    </row>
    <row r="366" customFormat="false" ht="15" hidden="false" customHeight="false" outlineLevel="0" collapsed="false">
      <c r="A366" s="9"/>
      <c r="B366" s="9"/>
      <c r="C366" s="9"/>
      <c r="D366" s="16" t="str">
        <f aca="false">IF(C366="","",IFERROR(INDEX(LOOKAHEAD!$B$5:$B$604,MATCH(C366,LOOKAHEAD!$A$5:$A$604,0)),""))</f>
        <v/>
      </c>
      <c r="E366" s="16" t="str">
        <f aca="false">IF(C366="","",IFERROR(INDEX(LOOKAHEAD!$E$5:$E$604,MATCH(C366,LOOKAHEAD!$A$5:$A$604,0)),""))</f>
        <v/>
      </c>
      <c r="F366" s="16" t="str">
        <f aca="false">IF(C366="","",IFERROR(INDEX(LOOKAHEAD!$M$5:$M$604,MATCH(C366,LOOKAHEAD!$A$5:$A$604,0)),""))</f>
        <v/>
      </c>
      <c r="G366" s="9"/>
      <c r="H366" s="9"/>
      <c r="I366" s="16" t="str">
        <f aca="false">IF(C366="","",IFERROR(INDEX(LOOKAHEAD!$G$5:$G$604,MATCH(C366,LOOKAHEAD!$A$5:$A$604,0)),""))</f>
        <v/>
      </c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66" t="str">
        <f aca="false">IF(C366="","",SUM(J366:O366))</f>
        <v/>
      </c>
      <c r="W366" s="66" t="str">
        <f aca="false">IF(C366="","",SUM(P366:U366))</f>
        <v/>
      </c>
      <c r="X366" s="51" t="str">
        <f aca="false">IF(OR(C366="",V366=0),"",W366/V366)</f>
        <v/>
      </c>
      <c r="Y366" s="16" t="str">
        <f aca="false">IF(OR(C366="",V366=0),"",IF(W366&gt;=V366,"Sí","No"))</f>
        <v/>
      </c>
      <c r="Z366" s="9"/>
      <c r="AA366" s="9"/>
    </row>
    <row r="367" customFormat="false" ht="15" hidden="false" customHeight="false" outlineLevel="0" collapsed="false">
      <c r="A367" s="9"/>
      <c r="B367" s="9"/>
      <c r="C367" s="9"/>
      <c r="D367" s="16" t="str">
        <f aca="false">IF(C367="","",IFERROR(INDEX(LOOKAHEAD!$B$5:$B$604,MATCH(C367,LOOKAHEAD!$A$5:$A$604,0)),""))</f>
        <v/>
      </c>
      <c r="E367" s="16" t="str">
        <f aca="false">IF(C367="","",IFERROR(INDEX(LOOKAHEAD!$E$5:$E$604,MATCH(C367,LOOKAHEAD!$A$5:$A$604,0)),""))</f>
        <v/>
      </c>
      <c r="F367" s="16" t="str">
        <f aca="false">IF(C367="","",IFERROR(INDEX(LOOKAHEAD!$M$5:$M$604,MATCH(C367,LOOKAHEAD!$A$5:$A$604,0)),""))</f>
        <v/>
      </c>
      <c r="G367" s="9"/>
      <c r="H367" s="9"/>
      <c r="I367" s="16" t="str">
        <f aca="false">IF(C367="","",IFERROR(INDEX(LOOKAHEAD!$G$5:$G$604,MATCH(C367,LOOKAHEAD!$A$5:$A$604,0)),""))</f>
        <v/>
      </c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66" t="str">
        <f aca="false">IF(C367="","",SUM(J367:O367))</f>
        <v/>
      </c>
      <c r="W367" s="66" t="str">
        <f aca="false">IF(C367="","",SUM(P367:U367))</f>
        <v/>
      </c>
      <c r="X367" s="51" t="str">
        <f aca="false">IF(OR(C367="",V367=0),"",W367/V367)</f>
        <v/>
      </c>
      <c r="Y367" s="16" t="str">
        <f aca="false">IF(OR(C367="",V367=0),"",IF(W367&gt;=V367,"Sí","No"))</f>
        <v/>
      </c>
      <c r="Z367" s="9"/>
      <c r="AA367" s="9"/>
    </row>
    <row r="368" customFormat="false" ht="15" hidden="false" customHeight="false" outlineLevel="0" collapsed="false">
      <c r="A368" s="9"/>
      <c r="B368" s="9"/>
      <c r="C368" s="9"/>
      <c r="D368" s="16" t="str">
        <f aca="false">IF(C368="","",IFERROR(INDEX(LOOKAHEAD!$B$5:$B$604,MATCH(C368,LOOKAHEAD!$A$5:$A$604,0)),""))</f>
        <v/>
      </c>
      <c r="E368" s="16" t="str">
        <f aca="false">IF(C368="","",IFERROR(INDEX(LOOKAHEAD!$E$5:$E$604,MATCH(C368,LOOKAHEAD!$A$5:$A$604,0)),""))</f>
        <v/>
      </c>
      <c r="F368" s="16" t="str">
        <f aca="false">IF(C368="","",IFERROR(INDEX(LOOKAHEAD!$M$5:$M$604,MATCH(C368,LOOKAHEAD!$A$5:$A$604,0)),""))</f>
        <v/>
      </c>
      <c r="G368" s="9"/>
      <c r="H368" s="9"/>
      <c r="I368" s="16" t="str">
        <f aca="false">IF(C368="","",IFERROR(INDEX(LOOKAHEAD!$G$5:$G$604,MATCH(C368,LOOKAHEAD!$A$5:$A$604,0)),""))</f>
        <v/>
      </c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66" t="str">
        <f aca="false">IF(C368="","",SUM(J368:O368))</f>
        <v/>
      </c>
      <c r="W368" s="66" t="str">
        <f aca="false">IF(C368="","",SUM(P368:U368))</f>
        <v/>
      </c>
      <c r="X368" s="51" t="str">
        <f aca="false">IF(OR(C368="",V368=0),"",W368/V368)</f>
        <v/>
      </c>
      <c r="Y368" s="16" t="str">
        <f aca="false">IF(OR(C368="",V368=0),"",IF(W368&gt;=V368,"Sí","No"))</f>
        <v/>
      </c>
      <c r="Z368" s="9"/>
      <c r="AA368" s="9"/>
    </row>
    <row r="369" customFormat="false" ht="15" hidden="false" customHeight="false" outlineLevel="0" collapsed="false">
      <c r="A369" s="9"/>
      <c r="B369" s="9"/>
      <c r="C369" s="9"/>
      <c r="D369" s="16" t="str">
        <f aca="false">IF(C369="","",IFERROR(INDEX(LOOKAHEAD!$B$5:$B$604,MATCH(C369,LOOKAHEAD!$A$5:$A$604,0)),""))</f>
        <v/>
      </c>
      <c r="E369" s="16" t="str">
        <f aca="false">IF(C369="","",IFERROR(INDEX(LOOKAHEAD!$E$5:$E$604,MATCH(C369,LOOKAHEAD!$A$5:$A$604,0)),""))</f>
        <v/>
      </c>
      <c r="F369" s="16" t="str">
        <f aca="false">IF(C369="","",IFERROR(INDEX(LOOKAHEAD!$M$5:$M$604,MATCH(C369,LOOKAHEAD!$A$5:$A$604,0)),""))</f>
        <v/>
      </c>
      <c r="G369" s="9"/>
      <c r="H369" s="9"/>
      <c r="I369" s="16" t="str">
        <f aca="false">IF(C369="","",IFERROR(INDEX(LOOKAHEAD!$G$5:$G$604,MATCH(C369,LOOKAHEAD!$A$5:$A$604,0)),""))</f>
        <v/>
      </c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66" t="str">
        <f aca="false">IF(C369="","",SUM(J369:O369))</f>
        <v/>
      </c>
      <c r="W369" s="66" t="str">
        <f aca="false">IF(C369="","",SUM(P369:U369))</f>
        <v/>
      </c>
      <c r="X369" s="51" t="str">
        <f aca="false">IF(OR(C369="",V369=0),"",W369/V369)</f>
        <v/>
      </c>
      <c r="Y369" s="16" t="str">
        <f aca="false">IF(OR(C369="",V369=0),"",IF(W369&gt;=V369,"Sí","No"))</f>
        <v/>
      </c>
      <c r="Z369" s="9"/>
      <c r="AA369" s="9"/>
    </row>
    <row r="370" customFormat="false" ht="15" hidden="false" customHeight="false" outlineLevel="0" collapsed="false">
      <c r="A370" s="9"/>
      <c r="B370" s="9"/>
      <c r="C370" s="9"/>
      <c r="D370" s="16" t="str">
        <f aca="false">IF(C370="","",IFERROR(INDEX(LOOKAHEAD!$B$5:$B$604,MATCH(C370,LOOKAHEAD!$A$5:$A$604,0)),""))</f>
        <v/>
      </c>
      <c r="E370" s="16" t="str">
        <f aca="false">IF(C370="","",IFERROR(INDEX(LOOKAHEAD!$E$5:$E$604,MATCH(C370,LOOKAHEAD!$A$5:$A$604,0)),""))</f>
        <v/>
      </c>
      <c r="F370" s="16" t="str">
        <f aca="false">IF(C370="","",IFERROR(INDEX(LOOKAHEAD!$M$5:$M$604,MATCH(C370,LOOKAHEAD!$A$5:$A$604,0)),""))</f>
        <v/>
      </c>
      <c r="G370" s="9"/>
      <c r="H370" s="9"/>
      <c r="I370" s="16" t="str">
        <f aca="false">IF(C370="","",IFERROR(INDEX(LOOKAHEAD!$G$5:$G$604,MATCH(C370,LOOKAHEAD!$A$5:$A$604,0)),""))</f>
        <v/>
      </c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66" t="str">
        <f aca="false">IF(C370="","",SUM(J370:O370))</f>
        <v/>
      </c>
      <c r="W370" s="66" t="str">
        <f aca="false">IF(C370="","",SUM(P370:U370))</f>
        <v/>
      </c>
      <c r="X370" s="51" t="str">
        <f aca="false">IF(OR(C370="",V370=0),"",W370/V370)</f>
        <v/>
      </c>
      <c r="Y370" s="16" t="str">
        <f aca="false">IF(OR(C370="",V370=0),"",IF(W370&gt;=V370,"Sí","No"))</f>
        <v/>
      </c>
      <c r="Z370" s="9"/>
      <c r="AA370" s="9"/>
    </row>
    <row r="371" customFormat="false" ht="15" hidden="false" customHeight="false" outlineLevel="0" collapsed="false">
      <c r="A371" s="9"/>
      <c r="B371" s="9"/>
      <c r="C371" s="9"/>
      <c r="D371" s="16" t="str">
        <f aca="false">IF(C371="","",IFERROR(INDEX(LOOKAHEAD!$B$5:$B$604,MATCH(C371,LOOKAHEAD!$A$5:$A$604,0)),""))</f>
        <v/>
      </c>
      <c r="E371" s="16" t="str">
        <f aca="false">IF(C371="","",IFERROR(INDEX(LOOKAHEAD!$E$5:$E$604,MATCH(C371,LOOKAHEAD!$A$5:$A$604,0)),""))</f>
        <v/>
      </c>
      <c r="F371" s="16" t="str">
        <f aca="false">IF(C371="","",IFERROR(INDEX(LOOKAHEAD!$M$5:$M$604,MATCH(C371,LOOKAHEAD!$A$5:$A$604,0)),""))</f>
        <v/>
      </c>
      <c r="G371" s="9"/>
      <c r="H371" s="9"/>
      <c r="I371" s="16" t="str">
        <f aca="false">IF(C371="","",IFERROR(INDEX(LOOKAHEAD!$G$5:$G$604,MATCH(C371,LOOKAHEAD!$A$5:$A$604,0)),""))</f>
        <v/>
      </c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66" t="str">
        <f aca="false">IF(C371="","",SUM(J371:O371))</f>
        <v/>
      </c>
      <c r="W371" s="66" t="str">
        <f aca="false">IF(C371="","",SUM(P371:U371))</f>
        <v/>
      </c>
      <c r="X371" s="51" t="str">
        <f aca="false">IF(OR(C371="",V371=0),"",W371/V371)</f>
        <v/>
      </c>
      <c r="Y371" s="16" t="str">
        <f aca="false">IF(OR(C371="",V371=0),"",IF(W371&gt;=V371,"Sí","No"))</f>
        <v/>
      </c>
      <c r="Z371" s="9"/>
      <c r="AA371" s="9"/>
    </row>
    <row r="372" customFormat="false" ht="15" hidden="false" customHeight="false" outlineLevel="0" collapsed="false">
      <c r="A372" s="9"/>
      <c r="B372" s="9"/>
      <c r="C372" s="9"/>
      <c r="D372" s="16" t="str">
        <f aca="false">IF(C372="","",IFERROR(INDEX(LOOKAHEAD!$B$5:$B$604,MATCH(C372,LOOKAHEAD!$A$5:$A$604,0)),""))</f>
        <v/>
      </c>
      <c r="E372" s="16" t="str">
        <f aca="false">IF(C372="","",IFERROR(INDEX(LOOKAHEAD!$E$5:$E$604,MATCH(C372,LOOKAHEAD!$A$5:$A$604,0)),""))</f>
        <v/>
      </c>
      <c r="F372" s="16" t="str">
        <f aca="false">IF(C372="","",IFERROR(INDEX(LOOKAHEAD!$M$5:$M$604,MATCH(C372,LOOKAHEAD!$A$5:$A$604,0)),""))</f>
        <v/>
      </c>
      <c r="G372" s="9"/>
      <c r="H372" s="9"/>
      <c r="I372" s="16" t="str">
        <f aca="false">IF(C372="","",IFERROR(INDEX(LOOKAHEAD!$G$5:$G$604,MATCH(C372,LOOKAHEAD!$A$5:$A$604,0)),""))</f>
        <v/>
      </c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66" t="str">
        <f aca="false">IF(C372="","",SUM(J372:O372))</f>
        <v/>
      </c>
      <c r="W372" s="66" t="str">
        <f aca="false">IF(C372="","",SUM(P372:U372))</f>
        <v/>
      </c>
      <c r="X372" s="51" t="str">
        <f aca="false">IF(OR(C372="",V372=0),"",W372/V372)</f>
        <v/>
      </c>
      <c r="Y372" s="16" t="str">
        <f aca="false">IF(OR(C372="",V372=0),"",IF(W372&gt;=V372,"Sí","No"))</f>
        <v/>
      </c>
      <c r="Z372" s="9"/>
      <c r="AA372" s="9"/>
    </row>
    <row r="373" customFormat="false" ht="15" hidden="false" customHeight="false" outlineLevel="0" collapsed="false">
      <c r="A373" s="9"/>
      <c r="B373" s="9"/>
      <c r="C373" s="9"/>
      <c r="D373" s="16" t="str">
        <f aca="false">IF(C373="","",IFERROR(INDEX(LOOKAHEAD!$B$5:$B$604,MATCH(C373,LOOKAHEAD!$A$5:$A$604,0)),""))</f>
        <v/>
      </c>
      <c r="E373" s="16" t="str">
        <f aca="false">IF(C373="","",IFERROR(INDEX(LOOKAHEAD!$E$5:$E$604,MATCH(C373,LOOKAHEAD!$A$5:$A$604,0)),""))</f>
        <v/>
      </c>
      <c r="F373" s="16" t="str">
        <f aca="false">IF(C373="","",IFERROR(INDEX(LOOKAHEAD!$M$5:$M$604,MATCH(C373,LOOKAHEAD!$A$5:$A$604,0)),""))</f>
        <v/>
      </c>
      <c r="G373" s="9"/>
      <c r="H373" s="9"/>
      <c r="I373" s="16" t="str">
        <f aca="false">IF(C373="","",IFERROR(INDEX(LOOKAHEAD!$G$5:$G$604,MATCH(C373,LOOKAHEAD!$A$5:$A$604,0)),""))</f>
        <v/>
      </c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66" t="str">
        <f aca="false">IF(C373="","",SUM(J373:O373))</f>
        <v/>
      </c>
      <c r="W373" s="66" t="str">
        <f aca="false">IF(C373="","",SUM(P373:U373))</f>
        <v/>
      </c>
      <c r="X373" s="51" t="str">
        <f aca="false">IF(OR(C373="",V373=0),"",W373/V373)</f>
        <v/>
      </c>
      <c r="Y373" s="16" t="str">
        <f aca="false">IF(OR(C373="",V373=0),"",IF(W373&gt;=V373,"Sí","No"))</f>
        <v/>
      </c>
      <c r="Z373" s="9"/>
      <c r="AA373" s="9"/>
    </row>
    <row r="374" customFormat="false" ht="15" hidden="false" customHeight="false" outlineLevel="0" collapsed="false">
      <c r="A374" s="9"/>
      <c r="B374" s="9"/>
      <c r="C374" s="9"/>
      <c r="D374" s="16" t="str">
        <f aca="false">IF(C374="","",IFERROR(INDEX(LOOKAHEAD!$B$5:$B$604,MATCH(C374,LOOKAHEAD!$A$5:$A$604,0)),""))</f>
        <v/>
      </c>
      <c r="E374" s="16" t="str">
        <f aca="false">IF(C374="","",IFERROR(INDEX(LOOKAHEAD!$E$5:$E$604,MATCH(C374,LOOKAHEAD!$A$5:$A$604,0)),""))</f>
        <v/>
      </c>
      <c r="F374" s="16" t="str">
        <f aca="false">IF(C374="","",IFERROR(INDEX(LOOKAHEAD!$M$5:$M$604,MATCH(C374,LOOKAHEAD!$A$5:$A$604,0)),""))</f>
        <v/>
      </c>
      <c r="G374" s="9"/>
      <c r="H374" s="9"/>
      <c r="I374" s="16" t="str">
        <f aca="false">IF(C374="","",IFERROR(INDEX(LOOKAHEAD!$G$5:$G$604,MATCH(C374,LOOKAHEAD!$A$5:$A$604,0)),""))</f>
        <v/>
      </c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66" t="str">
        <f aca="false">IF(C374="","",SUM(J374:O374))</f>
        <v/>
      </c>
      <c r="W374" s="66" t="str">
        <f aca="false">IF(C374="","",SUM(P374:U374))</f>
        <v/>
      </c>
      <c r="X374" s="51" t="str">
        <f aca="false">IF(OR(C374="",V374=0),"",W374/V374)</f>
        <v/>
      </c>
      <c r="Y374" s="16" t="str">
        <f aca="false">IF(OR(C374="",V374=0),"",IF(W374&gt;=V374,"Sí","No"))</f>
        <v/>
      </c>
      <c r="Z374" s="9"/>
      <c r="AA374" s="9"/>
    </row>
    <row r="375" customFormat="false" ht="15" hidden="false" customHeight="false" outlineLevel="0" collapsed="false">
      <c r="A375" s="9"/>
      <c r="B375" s="9"/>
      <c r="C375" s="9"/>
      <c r="D375" s="16" t="str">
        <f aca="false">IF(C375="","",IFERROR(INDEX(LOOKAHEAD!$B$5:$B$604,MATCH(C375,LOOKAHEAD!$A$5:$A$604,0)),""))</f>
        <v/>
      </c>
      <c r="E375" s="16" t="str">
        <f aca="false">IF(C375="","",IFERROR(INDEX(LOOKAHEAD!$E$5:$E$604,MATCH(C375,LOOKAHEAD!$A$5:$A$604,0)),""))</f>
        <v/>
      </c>
      <c r="F375" s="16" t="str">
        <f aca="false">IF(C375="","",IFERROR(INDEX(LOOKAHEAD!$M$5:$M$604,MATCH(C375,LOOKAHEAD!$A$5:$A$604,0)),""))</f>
        <v/>
      </c>
      <c r="G375" s="9"/>
      <c r="H375" s="9"/>
      <c r="I375" s="16" t="str">
        <f aca="false">IF(C375="","",IFERROR(INDEX(LOOKAHEAD!$G$5:$G$604,MATCH(C375,LOOKAHEAD!$A$5:$A$604,0)),""))</f>
        <v/>
      </c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66" t="str">
        <f aca="false">IF(C375="","",SUM(J375:O375))</f>
        <v/>
      </c>
      <c r="W375" s="66" t="str">
        <f aca="false">IF(C375="","",SUM(P375:U375))</f>
        <v/>
      </c>
      <c r="X375" s="51" t="str">
        <f aca="false">IF(OR(C375="",V375=0),"",W375/V375)</f>
        <v/>
      </c>
      <c r="Y375" s="16" t="str">
        <f aca="false">IF(OR(C375="",V375=0),"",IF(W375&gt;=V375,"Sí","No"))</f>
        <v/>
      </c>
      <c r="Z375" s="9"/>
      <c r="AA375" s="9"/>
    </row>
    <row r="376" customFormat="false" ht="15" hidden="false" customHeight="false" outlineLevel="0" collapsed="false">
      <c r="A376" s="9"/>
      <c r="B376" s="9"/>
      <c r="C376" s="9"/>
      <c r="D376" s="16" t="str">
        <f aca="false">IF(C376="","",IFERROR(INDEX(LOOKAHEAD!$B$5:$B$604,MATCH(C376,LOOKAHEAD!$A$5:$A$604,0)),""))</f>
        <v/>
      </c>
      <c r="E376" s="16" t="str">
        <f aca="false">IF(C376="","",IFERROR(INDEX(LOOKAHEAD!$E$5:$E$604,MATCH(C376,LOOKAHEAD!$A$5:$A$604,0)),""))</f>
        <v/>
      </c>
      <c r="F376" s="16" t="str">
        <f aca="false">IF(C376="","",IFERROR(INDEX(LOOKAHEAD!$M$5:$M$604,MATCH(C376,LOOKAHEAD!$A$5:$A$604,0)),""))</f>
        <v/>
      </c>
      <c r="G376" s="9"/>
      <c r="H376" s="9"/>
      <c r="I376" s="16" t="str">
        <f aca="false">IF(C376="","",IFERROR(INDEX(LOOKAHEAD!$G$5:$G$604,MATCH(C376,LOOKAHEAD!$A$5:$A$604,0)),""))</f>
        <v/>
      </c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66" t="str">
        <f aca="false">IF(C376="","",SUM(J376:O376))</f>
        <v/>
      </c>
      <c r="W376" s="66" t="str">
        <f aca="false">IF(C376="","",SUM(P376:U376))</f>
        <v/>
      </c>
      <c r="X376" s="51" t="str">
        <f aca="false">IF(OR(C376="",V376=0),"",W376/V376)</f>
        <v/>
      </c>
      <c r="Y376" s="16" t="str">
        <f aca="false">IF(OR(C376="",V376=0),"",IF(W376&gt;=V376,"Sí","No"))</f>
        <v/>
      </c>
      <c r="Z376" s="9"/>
      <c r="AA376" s="9"/>
    </row>
    <row r="377" customFormat="false" ht="15" hidden="false" customHeight="false" outlineLevel="0" collapsed="false">
      <c r="A377" s="9"/>
      <c r="B377" s="9"/>
      <c r="C377" s="9"/>
      <c r="D377" s="16" t="str">
        <f aca="false">IF(C377="","",IFERROR(INDEX(LOOKAHEAD!$B$5:$B$604,MATCH(C377,LOOKAHEAD!$A$5:$A$604,0)),""))</f>
        <v/>
      </c>
      <c r="E377" s="16" t="str">
        <f aca="false">IF(C377="","",IFERROR(INDEX(LOOKAHEAD!$E$5:$E$604,MATCH(C377,LOOKAHEAD!$A$5:$A$604,0)),""))</f>
        <v/>
      </c>
      <c r="F377" s="16" t="str">
        <f aca="false">IF(C377="","",IFERROR(INDEX(LOOKAHEAD!$M$5:$M$604,MATCH(C377,LOOKAHEAD!$A$5:$A$604,0)),""))</f>
        <v/>
      </c>
      <c r="G377" s="9"/>
      <c r="H377" s="9"/>
      <c r="I377" s="16" t="str">
        <f aca="false">IF(C377="","",IFERROR(INDEX(LOOKAHEAD!$G$5:$G$604,MATCH(C377,LOOKAHEAD!$A$5:$A$604,0)),""))</f>
        <v/>
      </c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66" t="str">
        <f aca="false">IF(C377="","",SUM(J377:O377))</f>
        <v/>
      </c>
      <c r="W377" s="66" t="str">
        <f aca="false">IF(C377="","",SUM(P377:U377))</f>
        <v/>
      </c>
      <c r="X377" s="51" t="str">
        <f aca="false">IF(OR(C377="",V377=0),"",W377/V377)</f>
        <v/>
      </c>
      <c r="Y377" s="16" t="str">
        <f aca="false">IF(OR(C377="",V377=0),"",IF(W377&gt;=V377,"Sí","No"))</f>
        <v/>
      </c>
      <c r="Z377" s="9"/>
      <c r="AA377" s="9"/>
    </row>
    <row r="378" customFormat="false" ht="15" hidden="false" customHeight="false" outlineLevel="0" collapsed="false">
      <c r="A378" s="9"/>
      <c r="B378" s="9"/>
      <c r="C378" s="9"/>
      <c r="D378" s="16" t="str">
        <f aca="false">IF(C378="","",IFERROR(INDEX(LOOKAHEAD!$B$5:$B$604,MATCH(C378,LOOKAHEAD!$A$5:$A$604,0)),""))</f>
        <v/>
      </c>
      <c r="E378" s="16" t="str">
        <f aca="false">IF(C378="","",IFERROR(INDEX(LOOKAHEAD!$E$5:$E$604,MATCH(C378,LOOKAHEAD!$A$5:$A$604,0)),""))</f>
        <v/>
      </c>
      <c r="F378" s="16" t="str">
        <f aca="false">IF(C378="","",IFERROR(INDEX(LOOKAHEAD!$M$5:$M$604,MATCH(C378,LOOKAHEAD!$A$5:$A$604,0)),""))</f>
        <v/>
      </c>
      <c r="G378" s="9"/>
      <c r="H378" s="9"/>
      <c r="I378" s="16" t="str">
        <f aca="false">IF(C378="","",IFERROR(INDEX(LOOKAHEAD!$G$5:$G$604,MATCH(C378,LOOKAHEAD!$A$5:$A$604,0)),""))</f>
        <v/>
      </c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66" t="str">
        <f aca="false">IF(C378="","",SUM(J378:O378))</f>
        <v/>
      </c>
      <c r="W378" s="66" t="str">
        <f aca="false">IF(C378="","",SUM(P378:U378))</f>
        <v/>
      </c>
      <c r="X378" s="51" t="str">
        <f aca="false">IF(OR(C378="",V378=0),"",W378/V378)</f>
        <v/>
      </c>
      <c r="Y378" s="16" t="str">
        <f aca="false">IF(OR(C378="",V378=0),"",IF(W378&gt;=V378,"Sí","No"))</f>
        <v/>
      </c>
      <c r="Z378" s="9"/>
      <c r="AA378" s="9"/>
    </row>
    <row r="379" customFormat="false" ht="15" hidden="false" customHeight="false" outlineLevel="0" collapsed="false">
      <c r="A379" s="9"/>
      <c r="B379" s="9"/>
      <c r="C379" s="9"/>
      <c r="D379" s="16" t="str">
        <f aca="false">IF(C379="","",IFERROR(INDEX(LOOKAHEAD!$B$5:$B$604,MATCH(C379,LOOKAHEAD!$A$5:$A$604,0)),""))</f>
        <v/>
      </c>
      <c r="E379" s="16" t="str">
        <f aca="false">IF(C379="","",IFERROR(INDEX(LOOKAHEAD!$E$5:$E$604,MATCH(C379,LOOKAHEAD!$A$5:$A$604,0)),""))</f>
        <v/>
      </c>
      <c r="F379" s="16" t="str">
        <f aca="false">IF(C379="","",IFERROR(INDEX(LOOKAHEAD!$M$5:$M$604,MATCH(C379,LOOKAHEAD!$A$5:$A$604,0)),""))</f>
        <v/>
      </c>
      <c r="G379" s="9"/>
      <c r="H379" s="9"/>
      <c r="I379" s="16" t="str">
        <f aca="false">IF(C379="","",IFERROR(INDEX(LOOKAHEAD!$G$5:$G$604,MATCH(C379,LOOKAHEAD!$A$5:$A$604,0)),""))</f>
        <v/>
      </c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66" t="str">
        <f aca="false">IF(C379="","",SUM(J379:O379))</f>
        <v/>
      </c>
      <c r="W379" s="66" t="str">
        <f aca="false">IF(C379="","",SUM(P379:U379))</f>
        <v/>
      </c>
      <c r="X379" s="51" t="str">
        <f aca="false">IF(OR(C379="",V379=0),"",W379/V379)</f>
        <v/>
      </c>
      <c r="Y379" s="16" t="str">
        <f aca="false">IF(OR(C379="",V379=0),"",IF(W379&gt;=V379,"Sí","No"))</f>
        <v/>
      </c>
      <c r="Z379" s="9"/>
      <c r="AA379" s="9"/>
    </row>
    <row r="380" customFormat="false" ht="15" hidden="false" customHeight="false" outlineLevel="0" collapsed="false">
      <c r="A380" s="9"/>
      <c r="B380" s="9"/>
      <c r="C380" s="9"/>
      <c r="D380" s="16" t="str">
        <f aca="false">IF(C380="","",IFERROR(INDEX(LOOKAHEAD!$B$5:$B$604,MATCH(C380,LOOKAHEAD!$A$5:$A$604,0)),""))</f>
        <v/>
      </c>
      <c r="E380" s="16" t="str">
        <f aca="false">IF(C380="","",IFERROR(INDEX(LOOKAHEAD!$E$5:$E$604,MATCH(C380,LOOKAHEAD!$A$5:$A$604,0)),""))</f>
        <v/>
      </c>
      <c r="F380" s="16" t="str">
        <f aca="false">IF(C380="","",IFERROR(INDEX(LOOKAHEAD!$M$5:$M$604,MATCH(C380,LOOKAHEAD!$A$5:$A$604,0)),""))</f>
        <v/>
      </c>
      <c r="G380" s="9"/>
      <c r="H380" s="9"/>
      <c r="I380" s="16" t="str">
        <f aca="false">IF(C380="","",IFERROR(INDEX(LOOKAHEAD!$G$5:$G$604,MATCH(C380,LOOKAHEAD!$A$5:$A$604,0)),""))</f>
        <v/>
      </c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66" t="str">
        <f aca="false">IF(C380="","",SUM(J380:O380))</f>
        <v/>
      </c>
      <c r="W380" s="66" t="str">
        <f aca="false">IF(C380="","",SUM(P380:U380))</f>
        <v/>
      </c>
      <c r="X380" s="51" t="str">
        <f aca="false">IF(OR(C380="",V380=0),"",W380/V380)</f>
        <v/>
      </c>
      <c r="Y380" s="16" t="str">
        <f aca="false">IF(OR(C380="",V380=0),"",IF(W380&gt;=V380,"Sí","No"))</f>
        <v/>
      </c>
      <c r="Z380" s="9"/>
      <c r="AA380" s="9"/>
    </row>
    <row r="381" customFormat="false" ht="15" hidden="false" customHeight="false" outlineLevel="0" collapsed="false">
      <c r="A381" s="9"/>
      <c r="B381" s="9"/>
      <c r="C381" s="9"/>
      <c r="D381" s="16" t="str">
        <f aca="false">IF(C381="","",IFERROR(INDEX(LOOKAHEAD!$B$5:$B$604,MATCH(C381,LOOKAHEAD!$A$5:$A$604,0)),""))</f>
        <v/>
      </c>
      <c r="E381" s="16" t="str">
        <f aca="false">IF(C381="","",IFERROR(INDEX(LOOKAHEAD!$E$5:$E$604,MATCH(C381,LOOKAHEAD!$A$5:$A$604,0)),""))</f>
        <v/>
      </c>
      <c r="F381" s="16" t="str">
        <f aca="false">IF(C381="","",IFERROR(INDEX(LOOKAHEAD!$M$5:$M$604,MATCH(C381,LOOKAHEAD!$A$5:$A$604,0)),""))</f>
        <v/>
      </c>
      <c r="G381" s="9"/>
      <c r="H381" s="9"/>
      <c r="I381" s="16" t="str">
        <f aca="false">IF(C381="","",IFERROR(INDEX(LOOKAHEAD!$G$5:$G$604,MATCH(C381,LOOKAHEAD!$A$5:$A$604,0)),""))</f>
        <v/>
      </c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66" t="str">
        <f aca="false">IF(C381="","",SUM(J381:O381))</f>
        <v/>
      </c>
      <c r="W381" s="66" t="str">
        <f aca="false">IF(C381="","",SUM(P381:U381))</f>
        <v/>
      </c>
      <c r="X381" s="51" t="str">
        <f aca="false">IF(OR(C381="",V381=0),"",W381/V381)</f>
        <v/>
      </c>
      <c r="Y381" s="16" t="str">
        <f aca="false">IF(OR(C381="",V381=0),"",IF(W381&gt;=V381,"Sí","No"))</f>
        <v/>
      </c>
      <c r="Z381" s="9"/>
      <c r="AA381" s="9"/>
    </row>
    <row r="382" customFormat="false" ht="15" hidden="false" customHeight="false" outlineLevel="0" collapsed="false">
      <c r="A382" s="9"/>
      <c r="B382" s="9"/>
      <c r="C382" s="9"/>
      <c r="D382" s="16" t="str">
        <f aca="false">IF(C382="","",IFERROR(INDEX(LOOKAHEAD!$B$5:$B$604,MATCH(C382,LOOKAHEAD!$A$5:$A$604,0)),""))</f>
        <v/>
      </c>
      <c r="E382" s="16" t="str">
        <f aca="false">IF(C382="","",IFERROR(INDEX(LOOKAHEAD!$E$5:$E$604,MATCH(C382,LOOKAHEAD!$A$5:$A$604,0)),""))</f>
        <v/>
      </c>
      <c r="F382" s="16" t="str">
        <f aca="false">IF(C382="","",IFERROR(INDEX(LOOKAHEAD!$M$5:$M$604,MATCH(C382,LOOKAHEAD!$A$5:$A$604,0)),""))</f>
        <v/>
      </c>
      <c r="G382" s="9"/>
      <c r="H382" s="9"/>
      <c r="I382" s="16" t="str">
        <f aca="false">IF(C382="","",IFERROR(INDEX(LOOKAHEAD!$G$5:$G$604,MATCH(C382,LOOKAHEAD!$A$5:$A$604,0)),""))</f>
        <v/>
      </c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66" t="str">
        <f aca="false">IF(C382="","",SUM(J382:O382))</f>
        <v/>
      </c>
      <c r="W382" s="66" t="str">
        <f aca="false">IF(C382="","",SUM(P382:U382))</f>
        <v/>
      </c>
      <c r="X382" s="51" t="str">
        <f aca="false">IF(OR(C382="",V382=0),"",W382/V382)</f>
        <v/>
      </c>
      <c r="Y382" s="16" t="str">
        <f aca="false">IF(OR(C382="",V382=0),"",IF(W382&gt;=V382,"Sí","No"))</f>
        <v/>
      </c>
      <c r="Z382" s="9"/>
      <c r="AA382" s="9"/>
    </row>
    <row r="383" customFormat="false" ht="15" hidden="false" customHeight="false" outlineLevel="0" collapsed="false">
      <c r="A383" s="9"/>
      <c r="B383" s="9"/>
      <c r="C383" s="9"/>
      <c r="D383" s="16" t="str">
        <f aca="false">IF(C383="","",IFERROR(INDEX(LOOKAHEAD!$B$5:$B$604,MATCH(C383,LOOKAHEAD!$A$5:$A$604,0)),""))</f>
        <v/>
      </c>
      <c r="E383" s="16" t="str">
        <f aca="false">IF(C383="","",IFERROR(INDEX(LOOKAHEAD!$E$5:$E$604,MATCH(C383,LOOKAHEAD!$A$5:$A$604,0)),""))</f>
        <v/>
      </c>
      <c r="F383" s="16" t="str">
        <f aca="false">IF(C383="","",IFERROR(INDEX(LOOKAHEAD!$M$5:$M$604,MATCH(C383,LOOKAHEAD!$A$5:$A$604,0)),""))</f>
        <v/>
      </c>
      <c r="G383" s="9"/>
      <c r="H383" s="9"/>
      <c r="I383" s="16" t="str">
        <f aca="false">IF(C383="","",IFERROR(INDEX(LOOKAHEAD!$G$5:$G$604,MATCH(C383,LOOKAHEAD!$A$5:$A$604,0)),""))</f>
        <v/>
      </c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66" t="str">
        <f aca="false">IF(C383="","",SUM(J383:O383))</f>
        <v/>
      </c>
      <c r="W383" s="66" t="str">
        <f aca="false">IF(C383="","",SUM(P383:U383))</f>
        <v/>
      </c>
      <c r="X383" s="51" t="str">
        <f aca="false">IF(OR(C383="",V383=0),"",W383/V383)</f>
        <v/>
      </c>
      <c r="Y383" s="16" t="str">
        <f aca="false">IF(OR(C383="",V383=0),"",IF(W383&gt;=V383,"Sí","No"))</f>
        <v/>
      </c>
      <c r="Z383" s="9"/>
      <c r="AA383" s="9"/>
    </row>
    <row r="384" customFormat="false" ht="15" hidden="false" customHeight="false" outlineLevel="0" collapsed="false">
      <c r="A384" s="9"/>
      <c r="B384" s="9"/>
      <c r="C384" s="9"/>
      <c r="D384" s="16" t="str">
        <f aca="false">IF(C384="","",IFERROR(INDEX(LOOKAHEAD!$B$5:$B$604,MATCH(C384,LOOKAHEAD!$A$5:$A$604,0)),""))</f>
        <v/>
      </c>
      <c r="E384" s="16" t="str">
        <f aca="false">IF(C384="","",IFERROR(INDEX(LOOKAHEAD!$E$5:$E$604,MATCH(C384,LOOKAHEAD!$A$5:$A$604,0)),""))</f>
        <v/>
      </c>
      <c r="F384" s="16" t="str">
        <f aca="false">IF(C384="","",IFERROR(INDEX(LOOKAHEAD!$M$5:$M$604,MATCH(C384,LOOKAHEAD!$A$5:$A$604,0)),""))</f>
        <v/>
      </c>
      <c r="G384" s="9"/>
      <c r="H384" s="9"/>
      <c r="I384" s="16" t="str">
        <f aca="false">IF(C384="","",IFERROR(INDEX(LOOKAHEAD!$G$5:$G$604,MATCH(C384,LOOKAHEAD!$A$5:$A$604,0)),""))</f>
        <v/>
      </c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66" t="str">
        <f aca="false">IF(C384="","",SUM(J384:O384))</f>
        <v/>
      </c>
      <c r="W384" s="66" t="str">
        <f aca="false">IF(C384="","",SUM(P384:U384))</f>
        <v/>
      </c>
      <c r="X384" s="51" t="str">
        <f aca="false">IF(OR(C384="",V384=0),"",W384/V384)</f>
        <v/>
      </c>
      <c r="Y384" s="16" t="str">
        <f aca="false">IF(OR(C384="",V384=0),"",IF(W384&gt;=V384,"Sí","No"))</f>
        <v/>
      </c>
      <c r="Z384" s="9"/>
      <c r="AA384" s="9"/>
    </row>
    <row r="385" customFormat="false" ht="15" hidden="false" customHeight="false" outlineLevel="0" collapsed="false">
      <c r="A385" s="9"/>
      <c r="B385" s="9"/>
      <c r="C385" s="9"/>
      <c r="D385" s="16" t="str">
        <f aca="false">IF(C385="","",IFERROR(INDEX(LOOKAHEAD!$B$5:$B$604,MATCH(C385,LOOKAHEAD!$A$5:$A$604,0)),""))</f>
        <v/>
      </c>
      <c r="E385" s="16" t="str">
        <f aca="false">IF(C385="","",IFERROR(INDEX(LOOKAHEAD!$E$5:$E$604,MATCH(C385,LOOKAHEAD!$A$5:$A$604,0)),""))</f>
        <v/>
      </c>
      <c r="F385" s="16" t="str">
        <f aca="false">IF(C385="","",IFERROR(INDEX(LOOKAHEAD!$M$5:$M$604,MATCH(C385,LOOKAHEAD!$A$5:$A$604,0)),""))</f>
        <v/>
      </c>
      <c r="G385" s="9"/>
      <c r="H385" s="9"/>
      <c r="I385" s="16" t="str">
        <f aca="false">IF(C385="","",IFERROR(INDEX(LOOKAHEAD!$G$5:$G$604,MATCH(C385,LOOKAHEAD!$A$5:$A$604,0)),""))</f>
        <v/>
      </c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66" t="str">
        <f aca="false">IF(C385="","",SUM(J385:O385))</f>
        <v/>
      </c>
      <c r="W385" s="66" t="str">
        <f aca="false">IF(C385="","",SUM(P385:U385))</f>
        <v/>
      </c>
      <c r="X385" s="51" t="str">
        <f aca="false">IF(OR(C385="",V385=0),"",W385/V385)</f>
        <v/>
      </c>
      <c r="Y385" s="16" t="str">
        <f aca="false">IF(OR(C385="",V385=0),"",IF(W385&gt;=V385,"Sí","No"))</f>
        <v/>
      </c>
      <c r="Z385" s="9"/>
      <c r="AA385" s="9"/>
    </row>
    <row r="386" customFormat="false" ht="15" hidden="false" customHeight="false" outlineLevel="0" collapsed="false">
      <c r="A386" s="9"/>
      <c r="B386" s="9"/>
      <c r="C386" s="9"/>
      <c r="D386" s="16" t="str">
        <f aca="false">IF(C386="","",IFERROR(INDEX(LOOKAHEAD!$B$5:$B$604,MATCH(C386,LOOKAHEAD!$A$5:$A$604,0)),""))</f>
        <v/>
      </c>
      <c r="E386" s="16" t="str">
        <f aca="false">IF(C386="","",IFERROR(INDEX(LOOKAHEAD!$E$5:$E$604,MATCH(C386,LOOKAHEAD!$A$5:$A$604,0)),""))</f>
        <v/>
      </c>
      <c r="F386" s="16" t="str">
        <f aca="false">IF(C386="","",IFERROR(INDEX(LOOKAHEAD!$M$5:$M$604,MATCH(C386,LOOKAHEAD!$A$5:$A$604,0)),""))</f>
        <v/>
      </c>
      <c r="G386" s="9"/>
      <c r="H386" s="9"/>
      <c r="I386" s="16" t="str">
        <f aca="false">IF(C386="","",IFERROR(INDEX(LOOKAHEAD!$G$5:$G$604,MATCH(C386,LOOKAHEAD!$A$5:$A$604,0)),""))</f>
        <v/>
      </c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66" t="str">
        <f aca="false">IF(C386="","",SUM(J386:O386))</f>
        <v/>
      </c>
      <c r="W386" s="66" t="str">
        <f aca="false">IF(C386="","",SUM(P386:U386))</f>
        <v/>
      </c>
      <c r="X386" s="51" t="str">
        <f aca="false">IF(OR(C386="",V386=0),"",W386/V386)</f>
        <v/>
      </c>
      <c r="Y386" s="16" t="str">
        <f aca="false">IF(OR(C386="",V386=0),"",IF(W386&gt;=V386,"Sí","No"))</f>
        <v/>
      </c>
      <c r="Z386" s="9"/>
      <c r="AA386" s="9"/>
    </row>
    <row r="387" customFormat="false" ht="15" hidden="false" customHeight="false" outlineLevel="0" collapsed="false">
      <c r="A387" s="9"/>
      <c r="B387" s="9"/>
      <c r="C387" s="9"/>
      <c r="D387" s="16" t="str">
        <f aca="false">IF(C387="","",IFERROR(INDEX(LOOKAHEAD!$B$5:$B$604,MATCH(C387,LOOKAHEAD!$A$5:$A$604,0)),""))</f>
        <v/>
      </c>
      <c r="E387" s="16" t="str">
        <f aca="false">IF(C387="","",IFERROR(INDEX(LOOKAHEAD!$E$5:$E$604,MATCH(C387,LOOKAHEAD!$A$5:$A$604,0)),""))</f>
        <v/>
      </c>
      <c r="F387" s="16" t="str">
        <f aca="false">IF(C387="","",IFERROR(INDEX(LOOKAHEAD!$M$5:$M$604,MATCH(C387,LOOKAHEAD!$A$5:$A$604,0)),""))</f>
        <v/>
      </c>
      <c r="G387" s="9"/>
      <c r="H387" s="9"/>
      <c r="I387" s="16" t="str">
        <f aca="false">IF(C387="","",IFERROR(INDEX(LOOKAHEAD!$G$5:$G$604,MATCH(C387,LOOKAHEAD!$A$5:$A$604,0)),""))</f>
        <v/>
      </c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66" t="str">
        <f aca="false">IF(C387="","",SUM(J387:O387))</f>
        <v/>
      </c>
      <c r="W387" s="66" t="str">
        <f aca="false">IF(C387="","",SUM(P387:U387))</f>
        <v/>
      </c>
      <c r="X387" s="51" t="str">
        <f aca="false">IF(OR(C387="",V387=0),"",W387/V387)</f>
        <v/>
      </c>
      <c r="Y387" s="16" t="str">
        <f aca="false">IF(OR(C387="",V387=0),"",IF(W387&gt;=V387,"Sí","No"))</f>
        <v/>
      </c>
      <c r="Z387" s="9"/>
      <c r="AA387" s="9"/>
    </row>
    <row r="388" customFormat="false" ht="15" hidden="false" customHeight="false" outlineLevel="0" collapsed="false">
      <c r="A388" s="9"/>
      <c r="B388" s="9"/>
      <c r="C388" s="9"/>
      <c r="D388" s="16" t="str">
        <f aca="false">IF(C388="","",IFERROR(INDEX(LOOKAHEAD!$B$5:$B$604,MATCH(C388,LOOKAHEAD!$A$5:$A$604,0)),""))</f>
        <v/>
      </c>
      <c r="E388" s="16" t="str">
        <f aca="false">IF(C388="","",IFERROR(INDEX(LOOKAHEAD!$E$5:$E$604,MATCH(C388,LOOKAHEAD!$A$5:$A$604,0)),""))</f>
        <v/>
      </c>
      <c r="F388" s="16" t="str">
        <f aca="false">IF(C388="","",IFERROR(INDEX(LOOKAHEAD!$M$5:$M$604,MATCH(C388,LOOKAHEAD!$A$5:$A$604,0)),""))</f>
        <v/>
      </c>
      <c r="G388" s="9"/>
      <c r="H388" s="9"/>
      <c r="I388" s="16" t="str">
        <f aca="false">IF(C388="","",IFERROR(INDEX(LOOKAHEAD!$G$5:$G$604,MATCH(C388,LOOKAHEAD!$A$5:$A$604,0)),""))</f>
        <v/>
      </c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66" t="str">
        <f aca="false">IF(C388="","",SUM(J388:O388))</f>
        <v/>
      </c>
      <c r="W388" s="66" t="str">
        <f aca="false">IF(C388="","",SUM(P388:U388))</f>
        <v/>
      </c>
      <c r="X388" s="51" t="str">
        <f aca="false">IF(OR(C388="",V388=0),"",W388/V388)</f>
        <v/>
      </c>
      <c r="Y388" s="16" t="str">
        <f aca="false">IF(OR(C388="",V388=0),"",IF(W388&gt;=V388,"Sí","No"))</f>
        <v/>
      </c>
      <c r="Z388" s="9"/>
      <c r="AA388" s="9"/>
    </row>
    <row r="389" customFormat="false" ht="15" hidden="false" customHeight="false" outlineLevel="0" collapsed="false">
      <c r="A389" s="9"/>
      <c r="B389" s="9"/>
      <c r="C389" s="9"/>
      <c r="D389" s="16" t="str">
        <f aca="false">IF(C389="","",IFERROR(INDEX(LOOKAHEAD!$B$5:$B$604,MATCH(C389,LOOKAHEAD!$A$5:$A$604,0)),""))</f>
        <v/>
      </c>
      <c r="E389" s="16" t="str">
        <f aca="false">IF(C389="","",IFERROR(INDEX(LOOKAHEAD!$E$5:$E$604,MATCH(C389,LOOKAHEAD!$A$5:$A$604,0)),""))</f>
        <v/>
      </c>
      <c r="F389" s="16" t="str">
        <f aca="false">IF(C389="","",IFERROR(INDEX(LOOKAHEAD!$M$5:$M$604,MATCH(C389,LOOKAHEAD!$A$5:$A$604,0)),""))</f>
        <v/>
      </c>
      <c r="G389" s="9"/>
      <c r="H389" s="9"/>
      <c r="I389" s="16" t="str">
        <f aca="false">IF(C389="","",IFERROR(INDEX(LOOKAHEAD!$G$5:$G$604,MATCH(C389,LOOKAHEAD!$A$5:$A$604,0)),""))</f>
        <v/>
      </c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66" t="str">
        <f aca="false">IF(C389="","",SUM(J389:O389))</f>
        <v/>
      </c>
      <c r="W389" s="66" t="str">
        <f aca="false">IF(C389="","",SUM(P389:U389))</f>
        <v/>
      </c>
      <c r="X389" s="51" t="str">
        <f aca="false">IF(OR(C389="",V389=0),"",W389/V389)</f>
        <v/>
      </c>
      <c r="Y389" s="16" t="str">
        <f aca="false">IF(OR(C389="",V389=0),"",IF(W389&gt;=V389,"Sí","No"))</f>
        <v/>
      </c>
      <c r="Z389" s="9"/>
      <c r="AA389" s="9"/>
    </row>
    <row r="390" customFormat="false" ht="15" hidden="false" customHeight="false" outlineLevel="0" collapsed="false">
      <c r="A390" s="9"/>
      <c r="B390" s="9"/>
      <c r="C390" s="9"/>
      <c r="D390" s="16" t="str">
        <f aca="false">IF(C390="","",IFERROR(INDEX(LOOKAHEAD!$B$5:$B$604,MATCH(C390,LOOKAHEAD!$A$5:$A$604,0)),""))</f>
        <v/>
      </c>
      <c r="E390" s="16" t="str">
        <f aca="false">IF(C390="","",IFERROR(INDEX(LOOKAHEAD!$E$5:$E$604,MATCH(C390,LOOKAHEAD!$A$5:$A$604,0)),""))</f>
        <v/>
      </c>
      <c r="F390" s="16" t="str">
        <f aca="false">IF(C390="","",IFERROR(INDEX(LOOKAHEAD!$M$5:$M$604,MATCH(C390,LOOKAHEAD!$A$5:$A$604,0)),""))</f>
        <v/>
      </c>
      <c r="G390" s="9"/>
      <c r="H390" s="9"/>
      <c r="I390" s="16" t="str">
        <f aca="false">IF(C390="","",IFERROR(INDEX(LOOKAHEAD!$G$5:$G$604,MATCH(C390,LOOKAHEAD!$A$5:$A$604,0)),""))</f>
        <v/>
      </c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66" t="str">
        <f aca="false">IF(C390="","",SUM(J390:O390))</f>
        <v/>
      </c>
      <c r="W390" s="66" t="str">
        <f aca="false">IF(C390="","",SUM(P390:U390))</f>
        <v/>
      </c>
      <c r="X390" s="51" t="str">
        <f aca="false">IF(OR(C390="",V390=0),"",W390/V390)</f>
        <v/>
      </c>
      <c r="Y390" s="16" t="str">
        <f aca="false">IF(OR(C390="",V390=0),"",IF(W390&gt;=V390,"Sí","No"))</f>
        <v/>
      </c>
      <c r="Z390" s="9"/>
      <c r="AA390" s="9"/>
    </row>
    <row r="391" customFormat="false" ht="15" hidden="false" customHeight="false" outlineLevel="0" collapsed="false">
      <c r="A391" s="9"/>
      <c r="B391" s="9"/>
      <c r="C391" s="9"/>
      <c r="D391" s="16" t="str">
        <f aca="false">IF(C391="","",IFERROR(INDEX(LOOKAHEAD!$B$5:$B$604,MATCH(C391,LOOKAHEAD!$A$5:$A$604,0)),""))</f>
        <v/>
      </c>
      <c r="E391" s="16" t="str">
        <f aca="false">IF(C391="","",IFERROR(INDEX(LOOKAHEAD!$E$5:$E$604,MATCH(C391,LOOKAHEAD!$A$5:$A$604,0)),""))</f>
        <v/>
      </c>
      <c r="F391" s="16" t="str">
        <f aca="false">IF(C391="","",IFERROR(INDEX(LOOKAHEAD!$M$5:$M$604,MATCH(C391,LOOKAHEAD!$A$5:$A$604,0)),""))</f>
        <v/>
      </c>
      <c r="G391" s="9"/>
      <c r="H391" s="9"/>
      <c r="I391" s="16" t="str">
        <f aca="false">IF(C391="","",IFERROR(INDEX(LOOKAHEAD!$G$5:$G$604,MATCH(C391,LOOKAHEAD!$A$5:$A$604,0)),""))</f>
        <v/>
      </c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66" t="str">
        <f aca="false">IF(C391="","",SUM(J391:O391))</f>
        <v/>
      </c>
      <c r="W391" s="66" t="str">
        <f aca="false">IF(C391="","",SUM(P391:U391))</f>
        <v/>
      </c>
      <c r="X391" s="51" t="str">
        <f aca="false">IF(OR(C391="",V391=0),"",W391/V391)</f>
        <v/>
      </c>
      <c r="Y391" s="16" t="str">
        <f aca="false">IF(OR(C391="",V391=0),"",IF(W391&gt;=V391,"Sí","No"))</f>
        <v/>
      </c>
      <c r="Z391" s="9"/>
      <c r="AA391" s="9"/>
    </row>
    <row r="392" customFormat="false" ht="15" hidden="false" customHeight="false" outlineLevel="0" collapsed="false">
      <c r="A392" s="9"/>
      <c r="B392" s="9"/>
      <c r="C392" s="9"/>
      <c r="D392" s="16" t="str">
        <f aca="false">IF(C392="","",IFERROR(INDEX(LOOKAHEAD!$B$5:$B$604,MATCH(C392,LOOKAHEAD!$A$5:$A$604,0)),""))</f>
        <v/>
      </c>
      <c r="E392" s="16" t="str">
        <f aca="false">IF(C392="","",IFERROR(INDEX(LOOKAHEAD!$E$5:$E$604,MATCH(C392,LOOKAHEAD!$A$5:$A$604,0)),""))</f>
        <v/>
      </c>
      <c r="F392" s="16" t="str">
        <f aca="false">IF(C392="","",IFERROR(INDEX(LOOKAHEAD!$M$5:$M$604,MATCH(C392,LOOKAHEAD!$A$5:$A$604,0)),""))</f>
        <v/>
      </c>
      <c r="G392" s="9"/>
      <c r="H392" s="9"/>
      <c r="I392" s="16" t="str">
        <f aca="false">IF(C392="","",IFERROR(INDEX(LOOKAHEAD!$G$5:$G$604,MATCH(C392,LOOKAHEAD!$A$5:$A$604,0)),""))</f>
        <v/>
      </c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66" t="str">
        <f aca="false">IF(C392="","",SUM(J392:O392))</f>
        <v/>
      </c>
      <c r="W392" s="66" t="str">
        <f aca="false">IF(C392="","",SUM(P392:U392))</f>
        <v/>
      </c>
      <c r="X392" s="51" t="str">
        <f aca="false">IF(OR(C392="",V392=0),"",W392/V392)</f>
        <v/>
      </c>
      <c r="Y392" s="16" t="str">
        <f aca="false">IF(OR(C392="",V392=0),"",IF(W392&gt;=V392,"Sí","No"))</f>
        <v/>
      </c>
      <c r="Z392" s="9"/>
      <c r="AA392" s="9"/>
    </row>
    <row r="393" customFormat="false" ht="15" hidden="false" customHeight="false" outlineLevel="0" collapsed="false">
      <c r="A393" s="9"/>
      <c r="B393" s="9"/>
      <c r="C393" s="9"/>
      <c r="D393" s="16" t="str">
        <f aca="false">IF(C393="","",IFERROR(INDEX(LOOKAHEAD!$B$5:$B$604,MATCH(C393,LOOKAHEAD!$A$5:$A$604,0)),""))</f>
        <v/>
      </c>
      <c r="E393" s="16" t="str">
        <f aca="false">IF(C393="","",IFERROR(INDEX(LOOKAHEAD!$E$5:$E$604,MATCH(C393,LOOKAHEAD!$A$5:$A$604,0)),""))</f>
        <v/>
      </c>
      <c r="F393" s="16" t="str">
        <f aca="false">IF(C393="","",IFERROR(INDEX(LOOKAHEAD!$M$5:$M$604,MATCH(C393,LOOKAHEAD!$A$5:$A$604,0)),""))</f>
        <v/>
      </c>
      <c r="G393" s="9"/>
      <c r="H393" s="9"/>
      <c r="I393" s="16" t="str">
        <f aca="false">IF(C393="","",IFERROR(INDEX(LOOKAHEAD!$G$5:$G$604,MATCH(C393,LOOKAHEAD!$A$5:$A$604,0)),""))</f>
        <v/>
      </c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66" t="str">
        <f aca="false">IF(C393="","",SUM(J393:O393))</f>
        <v/>
      </c>
      <c r="W393" s="66" t="str">
        <f aca="false">IF(C393="","",SUM(P393:U393))</f>
        <v/>
      </c>
      <c r="X393" s="51" t="str">
        <f aca="false">IF(OR(C393="",V393=0),"",W393/V393)</f>
        <v/>
      </c>
      <c r="Y393" s="16" t="str">
        <f aca="false">IF(OR(C393="",V393=0),"",IF(W393&gt;=V393,"Sí","No"))</f>
        <v/>
      </c>
      <c r="Z393" s="9"/>
      <c r="AA393" s="9"/>
    </row>
    <row r="394" customFormat="false" ht="15" hidden="false" customHeight="false" outlineLevel="0" collapsed="false">
      <c r="A394" s="9"/>
      <c r="B394" s="9"/>
      <c r="C394" s="9"/>
      <c r="D394" s="16" t="str">
        <f aca="false">IF(C394="","",IFERROR(INDEX(LOOKAHEAD!$B$5:$B$604,MATCH(C394,LOOKAHEAD!$A$5:$A$604,0)),""))</f>
        <v/>
      </c>
      <c r="E394" s="16" t="str">
        <f aca="false">IF(C394="","",IFERROR(INDEX(LOOKAHEAD!$E$5:$E$604,MATCH(C394,LOOKAHEAD!$A$5:$A$604,0)),""))</f>
        <v/>
      </c>
      <c r="F394" s="16" t="str">
        <f aca="false">IF(C394="","",IFERROR(INDEX(LOOKAHEAD!$M$5:$M$604,MATCH(C394,LOOKAHEAD!$A$5:$A$604,0)),""))</f>
        <v/>
      </c>
      <c r="G394" s="9"/>
      <c r="H394" s="9"/>
      <c r="I394" s="16" t="str">
        <f aca="false">IF(C394="","",IFERROR(INDEX(LOOKAHEAD!$G$5:$G$604,MATCH(C394,LOOKAHEAD!$A$5:$A$604,0)),""))</f>
        <v/>
      </c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66" t="str">
        <f aca="false">IF(C394="","",SUM(J394:O394))</f>
        <v/>
      </c>
      <c r="W394" s="66" t="str">
        <f aca="false">IF(C394="","",SUM(P394:U394))</f>
        <v/>
      </c>
      <c r="X394" s="51" t="str">
        <f aca="false">IF(OR(C394="",V394=0),"",W394/V394)</f>
        <v/>
      </c>
      <c r="Y394" s="16" t="str">
        <f aca="false">IF(OR(C394="",V394=0),"",IF(W394&gt;=V394,"Sí","No"))</f>
        <v/>
      </c>
      <c r="Z394" s="9"/>
      <c r="AA394" s="9"/>
    </row>
    <row r="395" customFormat="false" ht="15" hidden="false" customHeight="false" outlineLevel="0" collapsed="false">
      <c r="A395" s="9"/>
      <c r="B395" s="9"/>
      <c r="C395" s="9"/>
      <c r="D395" s="16" t="str">
        <f aca="false">IF(C395="","",IFERROR(INDEX(LOOKAHEAD!$B$5:$B$604,MATCH(C395,LOOKAHEAD!$A$5:$A$604,0)),""))</f>
        <v/>
      </c>
      <c r="E395" s="16" t="str">
        <f aca="false">IF(C395="","",IFERROR(INDEX(LOOKAHEAD!$E$5:$E$604,MATCH(C395,LOOKAHEAD!$A$5:$A$604,0)),""))</f>
        <v/>
      </c>
      <c r="F395" s="16" t="str">
        <f aca="false">IF(C395="","",IFERROR(INDEX(LOOKAHEAD!$M$5:$M$604,MATCH(C395,LOOKAHEAD!$A$5:$A$604,0)),""))</f>
        <v/>
      </c>
      <c r="G395" s="9"/>
      <c r="H395" s="9"/>
      <c r="I395" s="16" t="str">
        <f aca="false">IF(C395="","",IFERROR(INDEX(LOOKAHEAD!$G$5:$G$604,MATCH(C395,LOOKAHEAD!$A$5:$A$604,0)),""))</f>
        <v/>
      </c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66" t="str">
        <f aca="false">IF(C395="","",SUM(J395:O395))</f>
        <v/>
      </c>
      <c r="W395" s="66" t="str">
        <f aca="false">IF(C395="","",SUM(P395:U395))</f>
        <v/>
      </c>
      <c r="X395" s="51" t="str">
        <f aca="false">IF(OR(C395="",V395=0),"",W395/V395)</f>
        <v/>
      </c>
      <c r="Y395" s="16" t="str">
        <f aca="false">IF(OR(C395="",V395=0),"",IF(W395&gt;=V395,"Sí","No"))</f>
        <v/>
      </c>
      <c r="Z395" s="9"/>
      <c r="AA395" s="9"/>
    </row>
    <row r="396" customFormat="false" ht="15" hidden="false" customHeight="false" outlineLevel="0" collapsed="false">
      <c r="A396" s="9"/>
      <c r="B396" s="9"/>
      <c r="C396" s="9"/>
      <c r="D396" s="16" t="str">
        <f aca="false">IF(C396="","",IFERROR(INDEX(LOOKAHEAD!$B$5:$B$604,MATCH(C396,LOOKAHEAD!$A$5:$A$604,0)),""))</f>
        <v/>
      </c>
      <c r="E396" s="16" t="str">
        <f aca="false">IF(C396="","",IFERROR(INDEX(LOOKAHEAD!$E$5:$E$604,MATCH(C396,LOOKAHEAD!$A$5:$A$604,0)),""))</f>
        <v/>
      </c>
      <c r="F396" s="16" t="str">
        <f aca="false">IF(C396="","",IFERROR(INDEX(LOOKAHEAD!$M$5:$M$604,MATCH(C396,LOOKAHEAD!$A$5:$A$604,0)),""))</f>
        <v/>
      </c>
      <c r="G396" s="9"/>
      <c r="H396" s="9"/>
      <c r="I396" s="16" t="str">
        <f aca="false">IF(C396="","",IFERROR(INDEX(LOOKAHEAD!$G$5:$G$604,MATCH(C396,LOOKAHEAD!$A$5:$A$604,0)),""))</f>
        <v/>
      </c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66" t="str">
        <f aca="false">IF(C396="","",SUM(J396:O396))</f>
        <v/>
      </c>
      <c r="W396" s="66" t="str">
        <f aca="false">IF(C396="","",SUM(P396:U396))</f>
        <v/>
      </c>
      <c r="X396" s="51" t="str">
        <f aca="false">IF(OR(C396="",V396=0),"",W396/V396)</f>
        <v/>
      </c>
      <c r="Y396" s="16" t="str">
        <f aca="false">IF(OR(C396="",V396=0),"",IF(W396&gt;=V396,"Sí","No"))</f>
        <v/>
      </c>
      <c r="Z396" s="9"/>
      <c r="AA396" s="9"/>
    </row>
    <row r="397" customFormat="false" ht="15" hidden="false" customHeight="false" outlineLevel="0" collapsed="false">
      <c r="A397" s="9"/>
      <c r="B397" s="9"/>
      <c r="C397" s="9"/>
      <c r="D397" s="16" t="str">
        <f aca="false">IF(C397="","",IFERROR(INDEX(LOOKAHEAD!$B$5:$B$604,MATCH(C397,LOOKAHEAD!$A$5:$A$604,0)),""))</f>
        <v/>
      </c>
      <c r="E397" s="16" t="str">
        <f aca="false">IF(C397="","",IFERROR(INDEX(LOOKAHEAD!$E$5:$E$604,MATCH(C397,LOOKAHEAD!$A$5:$A$604,0)),""))</f>
        <v/>
      </c>
      <c r="F397" s="16" t="str">
        <f aca="false">IF(C397="","",IFERROR(INDEX(LOOKAHEAD!$M$5:$M$604,MATCH(C397,LOOKAHEAD!$A$5:$A$604,0)),""))</f>
        <v/>
      </c>
      <c r="G397" s="9"/>
      <c r="H397" s="9"/>
      <c r="I397" s="16" t="str">
        <f aca="false">IF(C397="","",IFERROR(INDEX(LOOKAHEAD!$G$5:$G$604,MATCH(C397,LOOKAHEAD!$A$5:$A$604,0)),""))</f>
        <v/>
      </c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66" t="str">
        <f aca="false">IF(C397="","",SUM(J397:O397))</f>
        <v/>
      </c>
      <c r="W397" s="66" t="str">
        <f aca="false">IF(C397="","",SUM(P397:U397))</f>
        <v/>
      </c>
      <c r="X397" s="51" t="str">
        <f aca="false">IF(OR(C397="",V397=0),"",W397/V397)</f>
        <v/>
      </c>
      <c r="Y397" s="16" t="str">
        <f aca="false">IF(OR(C397="",V397=0),"",IF(W397&gt;=V397,"Sí","No"))</f>
        <v/>
      </c>
      <c r="Z397" s="9"/>
      <c r="AA397" s="9"/>
    </row>
    <row r="398" customFormat="false" ht="15" hidden="false" customHeight="false" outlineLevel="0" collapsed="false">
      <c r="A398" s="9"/>
      <c r="B398" s="9"/>
      <c r="C398" s="9"/>
      <c r="D398" s="16" t="str">
        <f aca="false">IF(C398="","",IFERROR(INDEX(LOOKAHEAD!$B$5:$B$604,MATCH(C398,LOOKAHEAD!$A$5:$A$604,0)),""))</f>
        <v/>
      </c>
      <c r="E398" s="16" t="str">
        <f aca="false">IF(C398="","",IFERROR(INDEX(LOOKAHEAD!$E$5:$E$604,MATCH(C398,LOOKAHEAD!$A$5:$A$604,0)),""))</f>
        <v/>
      </c>
      <c r="F398" s="16" t="str">
        <f aca="false">IF(C398="","",IFERROR(INDEX(LOOKAHEAD!$M$5:$M$604,MATCH(C398,LOOKAHEAD!$A$5:$A$604,0)),""))</f>
        <v/>
      </c>
      <c r="G398" s="9"/>
      <c r="H398" s="9"/>
      <c r="I398" s="16" t="str">
        <f aca="false">IF(C398="","",IFERROR(INDEX(LOOKAHEAD!$G$5:$G$604,MATCH(C398,LOOKAHEAD!$A$5:$A$604,0)),""))</f>
        <v/>
      </c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66" t="str">
        <f aca="false">IF(C398="","",SUM(J398:O398))</f>
        <v/>
      </c>
      <c r="W398" s="66" t="str">
        <f aca="false">IF(C398="","",SUM(P398:U398))</f>
        <v/>
      </c>
      <c r="X398" s="51" t="str">
        <f aca="false">IF(OR(C398="",V398=0),"",W398/V398)</f>
        <v/>
      </c>
      <c r="Y398" s="16" t="str">
        <f aca="false">IF(OR(C398="",V398=0),"",IF(W398&gt;=V398,"Sí","No"))</f>
        <v/>
      </c>
      <c r="Z398" s="9"/>
      <c r="AA398" s="9"/>
    </row>
    <row r="399" customFormat="false" ht="15" hidden="false" customHeight="false" outlineLevel="0" collapsed="false">
      <c r="A399" s="9"/>
      <c r="B399" s="9"/>
      <c r="C399" s="9"/>
      <c r="D399" s="16" t="str">
        <f aca="false">IF(C399="","",IFERROR(INDEX(LOOKAHEAD!$B$5:$B$604,MATCH(C399,LOOKAHEAD!$A$5:$A$604,0)),""))</f>
        <v/>
      </c>
      <c r="E399" s="16" t="str">
        <f aca="false">IF(C399="","",IFERROR(INDEX(LOOKAHEAD!$E$5:$E$604,MATCH(C399,LOOKAHEAD!$A$5:$A$604,0)),""))</f>
        <v/>
      </c>
      <c r="F399" s="16" t="str">
        <f aca="false">IF(C399="","",IFERROR(INDEX(LOOKAHEAD!$M$5:$M$604,MATCH(C399,LOOKAHEAD!$A$5:$A$604,0)),""))</f>
        <v/>
      </c>
      <c r="G399" s="9"/>
      <c r="H399" s="9"/>
      <c r="I399" s="16" t="str">
        <f aca="false">IF(C399="","",IFERROR(INDEX(LOOKAHEAD!$G$5:$G$604,MATCH(C399,LOOKAHEAD!$A$5:$A$604,0)),""))</f>
        <v/>
      </c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66" t="str">
        <f aca="false">IF(C399="","",SUM(J399:O399))</f>
        <v/>
      </c>
      <c r="W399" s="66" t="str">
        <f aca="false">IF(C399="","",SUM(P399:U399))</f>
        <v/>
      </c>
      <c r="X399" s="51" t="str">
        <f aca="false">IF(OR(C399="",V399=0),"",W399/V399)</f>
        <v/>
      </c>
      <c r="Y399" s="16" t="str">
        <f aca="false">IF(OR(C399="",V399=0),"",IF(W399&gt;=V399,"Sí","No"))</f>
        <v/>
      </c>
      <c r="Z399" s="9"/>
      <c r="AA399" s="9"/>
    </row>
    <row r="400" customFormat="false" ht="15" hidden="false" customHeight="false" outlineLevel="0" collapsed="false">
      <c r="A400" s="9"/>
      <c r="B400" s="9"/>
      <c r="C400" s="9"/>
      <c r="D400" s="16" t="str">
        <f aca="false">IF(C400="","",IFERROR(INDEX(LOOKAHEAD!$B$5:$B$604,MATCH(C400,LOOKAHEAD!$A$5:$A$604,0)),""))</f>
        <v/>
      </c>
      <c r="E400" s="16" t="str">
        <f aca="false">IF(C400="","",IFERROR(INDEX(LOOKAHEAD!$E$5:$E$604,MATCH(C400,LOOKAHEAD!$A$5:$A$604,0)),""))</f>
        <v/>
      </c>
      <c r="F400" s="16" t="str">
        <f aca="false">IF(C400="","",IFERROR(INDEX(LOOKAHEAD!$M$5:$M$604,MATCH(C400,LOOKAHEAD!$A$5:$A$604,0)),""))</f>
        <v/>
      </c>
      <c r="G400" s="9"/>
      <c r="H400" s="9"/>
      <c r="I400" s="16" t="str">
        <f aca="false">IF(C400="","",IFERROR(INDEX(LOOKAHEAD!$G$5:$G$604,MATCH(C400,LOOKAHEAD!$A$5:$A$604,0)),""))</f>
        <v/>
      </c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66" t="str">
        <f aca="false">IF(C400="","",SUM(J400:O400))</f>
        <v/>
      </c>
      <c r="W400" s="66" t="str">
        <f aca="false">IF(C400="","",SUM(P400:U400))</f>
        <v/>
      </c>
      <c r="X400" s="51" t="str">
        <f aca="false">IF(OR(C400="",V400=0),"",W400/V400)</f>
        <v/>
      </c>
      <c r="Y400" s="16" t="str">
        <f aca="false">IF(OR(C400="",V400=0),"",IF(W400&gt;=V400,"Sí","No"))</f>
        <v/>
      </c>
      <c r="Z400" s="9"/>
      <c r="AA400" s="9"/>
    </row>
    <row r="401" customFormat="false" ht="15" hidden="false" customHeight="false" outlineLevel="0" collapsed="false">
      <c r="A401" s="9"/>
      <c r="B401" s="9"/>
      <c r="C401" s="9"/>
      <c r="D401" s="16" t="str">
        <f aca="false">IF(C401="","",IFERROR(INDEX(LOOKAHEAD!$B$5:$B$604,MATCH(C401,LOOKAHEAD!$A$5:$A$604,0)),""))</f>
        <v/>
      </c>
      <c r="E401" s="16" t="str">
        <f aca="false">IF(C401="","",IFERROR(INDEX(LOOKAHEAD!$E$5:$E$604,MATCH(C401,LOOKAHEAD!$A$5:$A$604,0)),""))</f>
        <v/>
      </c>
      <c r="F401" s="16" t="str">
        <f aca="false">IF(C401="","",IFERROR(INDEX(LOOKAHEAD!$M$5:$M$604,MATCH(C401,LOOKAHEAD!$A$5:$A$604,0)),""))</f>
        <v/>
      </c>
      <c r="G401" s="9"/>
      <c r="H401" s="9"/>
      <c r="I401" s="16" t="str">
        <f aca="false">IF(C401="","",IFERROR(INDEX(LOOKAHEAD!$G$5:$G$604,MATCH(C401,LOOKAHEAD!$A$5:$A$604,0)),""))</f>
        <v/>
      </c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66" t="str">
        <f aca="false">IF(C401="","",SUM(J401:O401))</f>
        <v/>
      </c>
      <c r="W401" s="66" t="str">
        <f aca="false">IF(C401="","",SUM(P401:U401))</f>
        <v/>
      </c>
      <c r="X401" s="51" t="str">
        <f aca="false">IF(OR(C401="",V401=0),"",W401/V401)</f>
        <v/>
      </c>
      <c r="Y401" s="16" t="str">
        <f aca="false">IF(OR(C401="",V401=0),"",IF(W401&gt;=V401,"Sí","No"))</f>
        <v/>
      </c>
      <c r="Z401" s="9"/>
      <c r="AA401" s="9"/>
    </row>
    <row r="402" customFormat="false" ht="15" hidden="false" customHeight="false" outlineLevel="0" collapsed="false">
      <c r="A402" s="9"/>
      <c r="B402" s="9"/>
      <c r="C402" s="9"/>
      <c r="D402" s="16" t="str">
        <f aca="false">IF(C402="","",IFERROR(INDEX(LOOKAHEAD!$B$5:$B$604,MATCH(C402,LOOKAHEAD!$A$5:$A$604,0)),""))</f>
        <v/>
      </c>
      <c r="E402" s="16" t="str">
        <f aca="false">IF(C402="","",IFERROR(INDEX(LOOKAHEAD!$E$5:$E$604,MATCH(C402,LOOKAHEAD!$A$5:$A$604,0)),""))</f>
        <v/>
      </c>
      <c r="F402" s="16" t="str">
        <f aca="false">IF(C402="","",IFERROR(INDEX(LOOKAHEAD!$M$5:$M$604,MATCH(C402,LOOKAHEAD!$A$5:$A$604,0)),""))</f>
        <v/>
      </c>
      <c r="G402" s="9"/>
      <c r="H402" s="9"/>
      <c r="I402" s="16" t="str">
        <f aca="false">IF(C402="","",IFERROR(INDEX(LOOKAHEAD!$G$5:$G$604,MATCH(C402,LOOKAHEAD!$A$5:$A$604,0)),""))</f>
        <v/>
      </c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66" t="str">
        <f aca="false">IF(C402="","",SUM(J402:O402))</f>
        <v/>
      </c>
      <c r="W402" s="66" t="str">
        <f aca="false">IF(C402="","",SUM(P402:U402))</f>
        <v/>
      </c>
      <c r="X402" s="51" t="str">
        <f aca="false">IF(OR(C402="",V402=0),"",W402/V402)</f>
        <v/>
      </c>
      <c r="Y402" s="16" t="str">
        <f aca="false">IF(OR(C402="",V402=0),"",IF(W402&gt;=V402,"Sí","No"))</f>
        <v/>
      </c>
      <c r="Z402" s="9"/>
      <c r="AA402" s="9"/>
    </row>
    <row r="403" customFormat="false" ht="15" hidden="false" customHeight="false" outlineLevel="0" collapsed="false">
      <c r="A403" s="9"/>
      <c r="B403" s="9"/>
      <c r="C403" s="9"/>
      <c r="D403" s="16" t="str">
        <f aca="false">IF(C403="","",IFERROR(INDEX(LOOKAHEAD!$B$5:$B$604,MATCH(C403,LOOKAHEAD!$A$5:$A$604,0)),""))</f>
        <v/>
      </c>
      <c r="E403" s="16" t="str">
        <f aca="false">IF(C403="","",IFERROR(INDEX(LOOKAHEAD!$E$5:$E$604,MATCH(C403,LOOKAHEAD!$A$5:$A$604,0)),""))</f>
        <v/>
      </c>
      <c r="F403" s="16" t="str">
        <f aca="false">IF(C403="","",IFERROR(INDEX(LOOKAHEAD!$M$5:$M$604,MATCH(C403,LOOKAHEAD!$A$5:$A$604,0)),""))</f>
        <v/>
      </c>
      <c r="G403" s="9"/>
      <c r="H403" s="9"/>
      <c r="I403" s="16" t="str">
        <f aca="false">IF(C403="","",IFERROR(INDEX(LOOKAHEAD!$G$5:$G$604,MATCH(C403,LOOKAHEAD!$A$5:$A$604,0)),""))</f>
        <v/>
      </c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66" t="str">
        <f aca="false">IF(C403="","",SUM(J403:O403))</f>
        <v/>
      </c>
      <c r="W403" s="66" t="str">
        <f aca="false">IF(C403="","",SUM(P403:U403))</f>
        <v/>
      </c>
      <c r="X403" s="51" t="str">
        <f aca="false">IF(OR(C403="",V403=0),"",W403/V403)</f>
        <v/>
      </c>
      <c r="Y403" s="16" t="str">
        <f aca="false">IF(OR(C403="",V403=0),"",IF(W403&gt;=V403,"Sí","No"))</f>
        <v/>
      </c>
      <c r="Z403" s="9"/>
      <c r="AA403" s="9"/>
    </row>
    <row r="404" customFormat="false" ht="15" hidden="false" customHeight="false" outlineLevel="0" collapsed="false">
      <c r="A404" s="9"/>
      <c r="B404" s="9"/>
      <c r="C404" s="9"/>
      <c r="D404" s="16" t="str">
        <f aca="false">IF(C404="","",IFERROR(INDEX(LOOKAHEAD!$B$5:$B$604,MATCH(C404,LOOKAHEAD!$A$5:$A$604,0)),""))</f>
        <v/>
      </c>
      <c r="E404" s="16" t="str">
        <f aca="false">IF(C404="","",IFERROR(INDEX(LOOKAHEAD!$E$5:$E$604,MATCH(C404,LOOKAHEAD!$A$5:$A$604,0)),""))</f>
        <v/>
      </c>
      <c r="F404" s="16" t="str">
        <f aca="false">IF(C404="","",IFERROR(INDEX(LOOKAHEAD!$M$5:$M$604,MATCH(C404,LOOKAHEAD!$A$5:$A$604,0)),""))</f>
        <v/>
      </c>
      <c r="G404" s="9"/>
      <c r="H404" s="9"/>
      <c r="I404" s="16" t="str">
        <f aca="false">IF(C404="","",IFERROR(INDEX(LOOKAHEAD!$G$5:$G$604,MATCH(C404,LOOKAHEAD!$A$5:$A$604,0)),""))</f>
        <v/>
      </c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66" t="str">
        <f aca="false">IF(C404="","",SUM(J404:O404))</f>
        <v/>
      </c>
      <c r="W404" s="66" t="str">
        <f aca="false">IF(C404="","",SUM(P404:U404))</f>
        <v/>
      </c>
      <c r="X404" s="51" t="str">
        <f aca="false">IF(OR(C404="",V404=0),"",W404/V404)</f>
        <v/>
      </c>
      <c r="Y404" s="16" t="str">
        <f aca="false">IF(OR(C404="",V404=0),"",IF(W404&gt;=V404,"Sí","No"))</f>
        <v/>
      </c>
      <c r="Z404" s="9"/>
      <c r="AA404" s="9"/>
    </row>
    <row r="405" customFormat="false" ht="15" hidden="false" customHeight="false" outlineLevel="0" collapsed="false">
      <c r="A405" s="9"/>
      <c r="B405" s="9"/>
      <c r="C405" s="9"/>
      <c r="D405" s="16" t="str">
        <f aca="false">IF(C405="","",IFERROR(INDEX(LOOKAHEAD!$B$5:$B$604,MATCH(C405,LOOKAHEAD!$A$5:$A$604,0)),""))</f>
        <v/>
      </c>
      <c r="E405" s="16" t="str">
        <f aca="false">IF(C405="","",IFERROR(INDEX(LOOKAHEAD!$E$5:$E$604,MATCH(C405,LOOKAHEAD!$A$5:$A$604,0)),""))</f>
        <v/>
      </c>
      <c r="F405" s="16" t="str">
        <f aca="false">IF(C405="","",IFERROR(INDEX(LOOKAHEAD!$M$5:$M$604,MATCH(C405,LOOKAHEAD!$A$5:$A$604,0)),""))</f>
        <v/>
      </c>
      <c r="G405" s="9"/>
      <c r="H405" s="9"/>
      <c r="I405" s="16" t="str">
        <f aca="false">IF(C405="","",IFERROR(INDEX(LOOKAHEAD!$G$5:$G$604,MATCH(C405,LOOKAHEAD!$A$5:$A$604,0)),""))</f>
        <v/>
      </c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66" t="str">
        <f aca="false">IF(C405="","",SUM(J405:O405))</f>
        <v/>
      </c>
      <c r="W405" s="66" t="str">
        <f aca="false">IF(C405="","",SUM(P405:U405))</f>
        <v/>
      </c>
      <c r="X405" s="51" t="str">
        <f aca="false">IF(OR(C405="",V405=0),"",W405/V405)</f>
        <v/>
      </c>
      <c r="Y405" s="16" t="str">
        <f aca="false">IF(OR(C405="",V405=0),"",IF(W405&gt;=V405,"Sí","No"))</f>
        <v/>
      </c>
      <c r="Z405" s="9"/>
      <c r="AA405" s="9"/>
    </row>
    <row r="406" customFormat="false" ht="15" hidden="false" customHeight="false" outlineLevel="0" collapsed="false">
      <c r="A406" s="9"/>
      <c r="B406" s="9"/>
      <c r="C406" s="9"/>
      <c r="D406" s="16" t="str">
        <f aca="false">IF(C406="","",IFERROR(INDEX(LOOKAHEAD!$B$5:$B$604,MATCH(C406,LOOKAHEAD!$A$5:$A$604,0)),""))</f>
        <v/>
      </c>
      <c r="E406" s="16" t="str">
        <f aca="false">IF(C406="","",IFERROR(INDEX(LOOKAHEAD!$E$5:$E$604,MATCH(C406,LOOKAHEAD!$A$5:$A$604,0)),""))</f>
        <v/>
      </c>
      <c r="F406" s="16" t="str">
        <f aca="false">IF(C406="","",IFERROR(INDEX(LOOKAHEAD!$M$5:$M$604,MATCH(C406,LOOKAHEAD!$A$5:$A$604,0)),""))</f>
        <v/>
      </c>
      <c r="G406" s="9"/>
      <c r="H406" s="9"/>
      <c r="I406" s="16" t="str">
        <f aca="false">IF(C406="","",IFERROR(INDEX(LOOKAHEAD!$G$5:$G$604,MATCH(C406,LOOKAHEAD!$A$5:$A$604,0)),""))</f>
        <v/>
      </c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66" t="str">
        <f aca="false">IF(C406="","",SUM(J406:O406))</f>
        <v/>
      </c>
      <c r="W406" s="66" t="str">
        <f aca="false">IF(C406="","",SUM(P406:U406))</f>
        <v/>
      </c>
      <c r="X406" s="51" t="str">
        <f aca="false">IF(OR(C406="",V406=0),"",W406/V406)</f>
        <v/>
      </c>
      <c r="Y406" s="16" t="str">
        <f aca="false">IF(OR(C406="",V406=0),"",IF(W406&gt;=V406,"Sí","No"))</f>
        <v/>
      </c>
      <c r="Z406" s="9"/>
      <c r="AA406" s="9"/>
    </row>
    <row r="407" customFormat="false" ht="15" hidden="false" customHeight="false" outlineLevel="0" collapsed="false">
      <c r="A407" s="9"/>
      <c r="B407" s="9"/>
      <c r="C407" s="9"/>
      <c r="D407" s="16" t="str">
        <f aca="false">IF(C407="","",IFERROR(INDEX(LOOKAHEAD!$B$5:$B$604,MATCH(C407,LOOKAHEAD!$A$5:$A$604,0)),""))</f>
        <v/>
      </c>
      <c r="E407" s="16" t="str">
        <f aca="false">IF(C407="","",IFERROR(INDEX(LOOKAHEAD!$E$5:$E$604,MATCH(C407,LOOKAHEAD!$A$5:$A$604,0)),""))</f>
        <v/>
      </c>
      <c r="F407" s="16" t="str">
        <f aca="false">IF(C407="","",IFERROR(INDEX(LOOKAHEAD!$M$5:$M$604,MATCH(C407,LOOKAHEAD!$A$5:$A$604,0)),""))</f>
        <v/>
      </c>
      <c r="G407" s="9"/>
      <c r="H407" s="9"/>
      <c r="I407" s="16" t="str">
        <f aca="false">IF(C407="","",IFERROR(INDEX(LOOKAHEAD!$G$5:$G$604,MATCH(C407,LOOKAHEAD!$A$5:$A$604,0)),""))</f>
        <v/>
      </c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66" t="str">
        <f aca="false">IF(C407="","",SUM(J407:O407))</f>
        <v/>
      </c>
      <c r="W407" s="66" t="str">
        <f aca="false">IF(C407="","",SUM(P407:U407))</f>
        <v/>
      </c>
      <c r="X407" s="51" t="str">
        <f aca="false">IF(OR(C407="",V407=0),"",W407/V407)</f>
        <v/>
      </c>
      <c r="Y407" s="16" t="str">
        <f aca="false">IF(OR(C407="",V407=0),"",IF(W407&gt;=V407,"Sí","No"))</f>
        <v/>
      </c>
      <c r="Z407" s="9"/>
      <c r="AA407" s="9"/>
    </row>
    <row r="408" customFormat="false" ht="15" hidden="false" customHeight="false" outlineLevel="0" collapsed="false">
      <c r="A408" s="9"/>
      <c r="B408" s="9"/>
      <c r="C408" s="9"/>
      <c r="D408" s="16" t="str">
        <f aca="false">IF(C408="","",IFERROR(INDEX(LOOKAHEAD!$B$5:$B$604,MATCH(C408,LOOKAHEAD!$A$5:$A$604,0)),""))</f>
        <v/>
      </c>
      <c r="E408" s="16" t="str">
        <f aca="false">IF(C408="","",IFERROR(INDEX(LOOKAHEAD!$E$5:$E$604,MATCH(C408,LOOKAHEAD!$A$5:$A$604,0)),""))</f>
        <v/>
      </c>
      <c r="F408" s="16" t="str">
        <f aca="false">IF(C408="","",IFERROR(INDEX(LOOKAHEAD!$M$5:$M$604,MATCH(C408,LOOKAHEAD!$A$5:$A$604,0)),""))</f>
        <v/>
      </c>
      <c r="G408" s="9"/>
      <c r="H408" s="9"/>
      <c r="I408" s="16" t="str">
        <f aca="false">IF(C408="","",IFERROR(INDEX(LOOKAHEAD!$G$5:$G$604,MATCH(C408,LOOKAHEAD!$A$5:$A$604,0)),""))</f>
        <v/>
      </c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66" t="str">
        <f aca="false">IF(C408="","",SUM(J408:O408))</f>
        <v/>
      </c>
      <c r="W408" s="66" t="str">
        <f aca="false">IF(C408="","",SUM(P408:U408))</f>
        <v/>
      </c>
      <c r="X408" s="51" t="str">
        <f aca="false">IF(OR(C408="",V408=0),"",W408/V408)</f>
        <v/>
      </c>
      <c r="Y408" s="16" t="str">
        <f aca="false">IF(OR(C408="",V408=0),"",IF(W408&gt;=V408,"Sí","No"))</f>
        <v/>
      </c>
      <c r="Z408" s="9"/>
      <c r="AA408" s="9"/>
    </row>
    <row r="409" customFormat="false" ht="15" hidden="false" customHeight="false" outlineLevel="0" collapsed="false">
      <c r="A409" s="9"/>
      <c r="B409" s="9"/>
      <c r="C409" s="9"/>
      <c r="D409" s="16" t="str">
        <f aca="false">IF(C409="","",IFERROR(INDEX(LOOKAHEAD!$B$5:$B$604,MATCH(C409,LOOKAHEAD!$A$5:$A$604,0)),""))</f>
        <v/>
      </c>
      <c r="E409" s="16" t="str">
        <f aca="false">IF(C409="","",IFERROR(INDEX(LOOKAHEAD!$E$5:$E$604,MATCH(C409,LOOKAHEAD!$A$5:$A$604,0)),""))</f>
        <v/>
      </c>
      <c r="F409" s="16" t="str">
        <f aca="false">IF(C409="","",IFERROR(INDEX(LOOKAHEAD!$M$5:$M$604,MATCH(C409,LOOKAHEAD!$A$5:$A$604,0)),""))</f>
        <v/>
      </c>
      <c r="G409" s="9"/>
      <c r="H409" s="9"/>
      <c r="I409" s="16" t="str">
        <f aca="false">IF(C409="","",IFERROR(INDEX(LOOKAHEAD!$G$5:$G$604,MATCH(C409,LOOKAHEAD!$A$5:$A$604,0)),""))</f>
        <v/>
      </c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66" t="str">
        <f aca="false">IF(C409="","",SUM(J409:O409))</f>
        <v/>
      </c>
      <c r="W409" s="66" t="str">
        <f aca="false">IF(C409="","",SUM(P409:U409))</f>
        <v/>
      </c>
      <c r="X409" s="51" t="str">
        <f aca="false">IF(OR(C409="",V409=0),"",W409/V409)</f>
        <v/>
      </c>
      <c r="Y409" s="16" t="str">
        <f aca="false">IF(OR(C409="",V409=0),"",IF(W409&gt;=V409,"Sí","No"))</f>
        <v/>
      </c>
      <c r="Z409" s="9"/>
      <c r="AA409" s="9"/>
    </row>
    <row r="410" customFormat="false" ht="15" hidden="false" customHeight="false" outlineLevel="0" collapsed="false">
      <c r="A410" s="9"/>
      <c r="B410" s="9"/>
      <c r="C410" s="9"/>
      <c r="D410" s="16" t="str">
        <f aca="false">IF(C410="","",IFERROR(INDEX(LOOKAHEAD!$B$5:$B$604,MATCH(C410,LOOKAHEAD!$A$5:$A$604,0)),""))</f>
        <v/>
      </c>
      <c r="E410" s="16" t="str">
        <f aca="false">IF(C410="","",IFERROR(INDEX(LOOKAHEAD!$E$5:$E$604,MATCH(C410,LOOKAHEAD!$A$5:$A$604,0)),""))</f>
        <v/>
      </c>
      <c r="F410" s="16" t="str">
        <f aca="false">IF(C410="","",IFERROR(INDEX(LOOKAHEAD!$M$5:$M$604,MATCH(C410,LOOKAHEAD!$A$5:$A$604,0)),""))</f>
        <v/>
      </c>
      <c r="G410" s="9"/>
      <c r="H410" s="9"/>
      <c r="I410" s="16" t="str">
        <f aca="false">IF(C410="","",IFERROR(INDEX(LOOKAHEAD!$G$5:$G$604,MATCH(C410,LOOKAHEAD!$A$5:$A$604,0)),""))</f>
        <v/>
      </c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66" t="str">
        <f aca="false">IF(C410="","",SUM(J410:O410))</f>
        <v/>
      </c>
      <c r="W410" s="66" t="str">
        <f aca="false">IF(C410="","",SUM(P410:U410))</f>
        <v/>
      </c>
      <c r="X410" s="51" t="str">
        <f aca="false">IF(OR(C410="",V410=0),"",W410/V410)</f>
        <v/>
      </c>
      <c r="Y410" s="16" t="str">
        <f aca="false">IF(OR(C410="",V410=0),"",IF(W410&gt;=V410,"Sí","No"))</f>
        <v/>
      </c>
      <c r="Z410" s="9"/>
      <c r="AA410" s="9"/>
    </row>
    <row r="411" customFormat="false" ht="15" hidden="false" customHeight="false" outlineLevel="0" collapsed="false">
      <c r="A411" s="9"/>
      <c r="B411" s="9"/>
      <c r="C411" s="9"/>
      <c r="D411" s="16" t="str">
        <f aca="false">IF(C411="","",IFERROR(INDEX(LOOKAHEAD!$B$5:$B$604,MATCH(C411,LOOKAHEAD!$A$5:$A$604,0)),""))</f>
        <v/>
      </c>
      <c r="E411" s="16" t="str">
        <f aca="false">IF(C411="","",IFERROR(INDEX(LOOKAHEAD!$E$5:$E$604,MATCH(C411,LOOKAHEAD!$A$5:$A$604,0)),""))</f>
        <v/>
      </c>
      <c r="F411" s="16" t="str">
        <f aca="false">IF(C411="","",IFERROR(INDEX(LOOKAHEAD!$M$5:$M$604,MATCH(C411,LOOKAHEAD!$A$5:$A$604,0)),""))</f>
        <v/>
      </c>
      <c r="G411" s="9"/>
      <c r="H411" s="9"/>
      <c r="I411" s="16" t="str">
        <f aca="false">IF(C411="","",IFERROR(INDEX(LOOKAHEAD!$G$5:$G$604,MATCH(C411,LOOKAHEAD!$A$5:$A$604,0)),""))</f>
        <v/>
      </c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66" t="str">
        <f aca="false">IF(C411="","",SUM(J411:O411))</f>
        <v/>
      </c>
      <c r="W411" s="66" t="str">
        <f aca="false">IF(C411="","",SUM(P411:U411))</f>
        <v/>
      </c>
      <c r="X411" s="51" t="str">
        <f aca="false">IF(OR(C411="",V411=0),"",W411/V411)</f>
        <v/>
      </c>
      <c r="Y411" s="16" t="str">
        <f aca="false">IF(OR(C411="",V411=0),"",IF(W411&gt;=V411,"Sí","No"))</f>
        <v/>
      </c>
      <c r="Z411" s="9"/>
      <c r="AA411" s="9"/>
    </row>
    <row r="412" customFormat="false" ht="15" hidden="false" customHeight="false" outlineLevel="0" collapsed="false">
      <c r="A412" s="9"/>
      <c r="B412" s="9"/>
      <c r="C412" s="9"/>
      <c r="D412" s="16" t="str">
        <f aca="false">IF(C412="","",IFERROR(INDEX(LOOKAHEAD!$B$5:$B$604,MATCH(C412,LOOKAHEAD!$A$5:$A$604,0)),""))</f>
        <v/>
      </c>
      <c r="E412" s="16" t="str">
        <f aca="false">IF(C412="","",IFERROR(INDEX(LOOKAHEAD!$E$5:$E$604,MATCH(C412,LOOKAHEAD!$A$5:$A$604,0)),""))</f>
        <v/>
      </c>
      <c r="F412" s="16" t="str">
        <f aca="false">IF(C412="","",IFERROR(INDEX(LOOKAHEAD!$M$5:$M$604,MATCH(C412,LOOKAHEAD!$A$5:$A$604,0)),""))</f>
        <v/>
      </c>
      <c r="G412" s="9"/>
      <c r="H412" s="9"/>
      <c r="I412" s="16" t="str">
        <f aca="false">IF(C412="","",IFERROR(INDEX(LOOKAHEAD!$G$5:$G$604,MATCH(C412,LOOKAHEAD!$A$5:$A$604,0)),""))</f>
        <v/>
      </c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66" t="str">
        <f aca="false">IF(C412="","",SUM(J412:O412))</f>
        <v/>
      </c>
      <c r="W412" s="66" t="str">
        <f aca="false">IF(C412="","",SUM(P412:U412))</f>
        <v/>
      </c>
      <c r="X412" s="51" t="str">
        <f aca="false">IF(OR(C412="",V412=0),"",W412/V412)</f>
        <v/>
      </c>
      <c r="Y412" s="16" t="str">
        <f aca="false">IF(OR(C412="",V412=0),"",IF(W412&gt;=V412,"Sí","No"))</f>
        <v/>
      </c>
      <c r="Z412" s="9"/>
      <c r="AA412" s="9"/>
    </row>
    <row r="413" customFormat="false" ht="15" hidden="false" customHeight="false" outlineLevel="0" collapsed="false">
      <c r="A413" s="9"/>
      <c r="B413" s="9"/>
      <c r="C413" s="9"/>
      <c r="D413" s="16" t="str">
        <f aca="false">IF(C413="","",IFERROR(INDEX(LOOKAHEAD!$B$5:$B$604,MATCH(C413,LOOKAHEAD!$A$5:$A$604,0)),""))</f>
        <v/>
      </c>
      <c r="E413" s="16" t="str">
        <f aca="false">IF(C413="","",IFERROR(INDEX(LOOKAHEAD!$E$5:$E$604,MATCH(C413,LOOKAHEAD!$A$5:$A$604,0)),""))</f>
        <v/>
      </c>
      <c r="F413" s="16" t="str">
        <f aca="false">IF(C413="","",IFERROR(INDEX(LOOKAHEAD!$M$5:$M$604,MATCH(C413,LOOKAHEAD!$A$5:$A$604,0)),""))</f>
        <v/>
      </c>
      <c r="G413" s="9"/>
      <c r="H413" s="9"/>
      <c r="I413" s="16" t="str">
        <f aca="false">IF(C413="","",IFERROR(INDEX(LOOKAHEAD!$G$5:$G$604,MATCH(C413,LOOKAHEAD!$A$5:$A$604,0)),""))</f>
        <v/>
      </c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66" t="str">
        <f aca="false">IF(C413="","",SUM(J413:O413))</f>
        <v/>
      </c>
      <c r="W413" s="66" t="str">
        <f aca="false">IF(C413="","",SUM(P413:U413))</f>
        <v/>
      </c>
      <c r="X413" s="51" t="str">
        <f aca="false">IF(OR(C413="",V413=0),"",W413/V413)</f>
        <v/>
      </c>
      <c r="Y413" s="16" t="str">
        <f aca="false">IF(OR(C413="",V413=0),"",IF(W413&gt;=V413,"Sí","No"))</f>
        <v/>
      </c>
      <c r="Z413" s="9"/>
      <c r="AA413" s="9"/>
    </row>
    <row r="414" customFormat="false" ht="15" hidden="false" customHeight="false" outlineLevel="0" collapsed="false">
      <c r="A414" s="9"/>
      <c r="B414" s="9"/>
      <c r="C414" s="9"/>
      <c r="D414" s="16" t="str">
        <f aca="false">IF(C414="","",IFERROR(INDEX(LOOKAHEAD!$B$5:$B$604,MATCH(C414,LOOKAHEAD!$A$5:$A$604,0)),""))</f>
        <v/>
      </c>
      <c r="E414" s="16" t="str">
        <f aca="false">IF(C414="","",IFERROR(INDEX(LOOKAHEAD!$E$5:$E$604,MATCH(C414,LOOKAHEAD!$A$5:$A$604,0)),""))</f>
        <v/>
      </c>
      <c r="F414" s="16" t="str">
        <f aca="false">IF(C414="","",IFERROR(INDEX(LOOKAHEAD!$M$5:$M$604,MATCH(C414,LOOKAHEAD!$A$5:$A$604,0)),""))</f>
        <v/>
      </c>
      <c r="G414" s="9"/>
      <c r="H414" s="9"/>
      <c r="I414" s="16" t="str">
        <f aca="false">IF(C414="","",IFERROR(INDEX(LOOKAHEAD!$G$5:$G$604,MATCH(C414,LOOKAHEAD!$A$5:$A$604,0)),""))</f>
        <v/>
      </c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66" t="str">
        <f aca="false">IF(C414="","",SUM(J414:O414))</f>
        <v/>
      </c>
      <c r="W414" s="66" t="str">
        <f aca="false">IF(C414="","",SUM(P414:U414))</f>
        <v/>
      </c>
      <c r="X414" s="51" t="str">
        <f aca="false">IF(OR(C414="",V414=0),"",W414/V414)</f>
        <v/>
      </c>
      <c r="Y414" s="16" t="str">
        <f aca="false">IF(OR(C414="",V414=0),"",IF(W414&gt;=V414,"Sí","No"))</f>
        <v/>
      </c>
      <c r="Z414" s="9"/>
      <c r="AA414" s="9"/>
    </row>
    <row r="415" customFormat="false" ht="15" hidden="false" customHeight="false" outlineLevel="0" collapsed="false">
      <c r="A415" s="9"/>
      <c r="B415" s="9"/>
      <c r="C415" s="9"/>
      <c r="D415" s="16" t="str">
        <f aca="false">IF(C415="","",IFERROR(INDEX(LOOKAHEAD!$B$5:$B$604,MATCH(C415,LOOKAHEAD!$A$5:$A$604,0)),""))</f>
        <v/>
      </c>
      <c r="E415" s="16" t="str">
        <f aca="false">IF(C415="","",IFERROR(INDEX(LOOKAHEAD!$E$5:$E$604,MATCH(C415,LOOKAHEAD!$A$5:$A$604,0)),""))</f>
        <v/>
      </c>
      <c r="F415" s="16" t="str">
        <f aca="false">IF(C415="","",IFERROR(INDEX(LOOKAHEAD!$M$5:$M$604,MATCH(C415,LOOKAHEAD!$A$5:$A$604,0)),""))</f>
        <v/>
      </c>
      <c r="G415" s="9"/>
      <c r="H415" s="9"/>
      <c r="I415" s="16" t="str">
        <f aca="false">IF(C415="","",IFERROR(INDEX(LOOKAHEAD!$G$5:$G$604,MATCH(C415,LOOKAHEAD!$A$5:$A$604,0)),""))</f>
        <v/>
      </c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66" t="str">
        <f aca="false">IF(C415="","",SUM(J415:O415))</f>
        <v/>
      </c>
      <c r="W415" s="66" t="str">
        <f aca="false">IF(C415="","",SUM(P415:U415))</f>
        <v/>
      </c>
      <c r="X415" s="51" t="str">
        <f aca="false">IF(OR(C415="",V415=0),"",W415/V415)</f>
        <v/>
      </c>
      <c r="Y415" s="16" t="str">
        <f aca="false">IF(OR(C415="",V415=0),"",IF(W415&gt;=V415,"Sí","No"))</f>
        <v/>
      </c>
      <c r="Z415" s="9"/>
      <c r="AA415" s="9"/>
    </row>
    <row r="416" customFormat="false" ht="15" hidden="false" customHeight="false" outlineLevel="0" collapsed="false">
      <c r="A416" s="9"/>
      <c r="B416" s="9"/>
      <c r="C416" s="9"/>
      <c r="D416" s="16" t="str">
        <f aca="false">IF(C416="","",IFERROR(INDEX(LOOKAHEAD!$B$5:$B$604,MATCH(C416,LOOKAHEAD!$A$5:$A$604,0)),""))</f>
        <v/>
      </c>
      <c r="E416" s="16" t="str">
        <f aca="false">IF(C416="","",IFERROR(INDEX(LOOKAHEAD!$E$5:$E$604,MATCH(C416,LOOKAHEAD!$A$5:$A$604,0)),""))</f>
        <v/>
      </c>
      <c r="F416" s="16" t="str">
        <f aca="false">IF(C416="","",IFERROR(INDEX(LOOKAHEAD!$M$5:$M$604,MATCH(C416,LOOKAHEAD!$A$5:$A$604,0)),""))</f>
        <v/>
      </c>
      <c r="G416" s="9"/>
      <c r="H416" s="9"/>
      <c r="I416" s="16" t="str">
        <f aca="false">IF(C416="","",IFERROR(INDEX(LOOKAHEAD!$G$5:$G$604,MATCH(C416,LOOKAHEAD!$A$5:$A$604,0)),""))</f>
        <v/>
      </c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66" t="str">
        <f aca="false">IF(C416="","",SUM(J416:O416))</f>
        <v/>
      </c>
      <c r="W416" s="66" t="str">
        <f aca="false">IF(C416="","",SUM(P416:U416))</f>
        <v/>
      </c>
      <c r="X416" s="51" t="str">
        <f aca="false">IF(OR(C416="",V416=0),"",W416/V416)</f>
        <v/>
      </c>
      <c r="Y416" s="16" t="str">
        <f aca="false">IF(OR(C416="",V416=0),"",IF(W416&gt;=V416,"Sí","No"))</f>
        <v/>
      </c>
      <c r="Z416" s="9"/>
      <c r="AA416" s="9"/>
    </row>
    <row r="417" customFormat="false" ht="15" hidden="false" customHeight="false" outlineLevel="0" collapsed="false">
      <c r="A417" s="9"/>
      <c r="B417" s="9"/>
      <c r="C417" s="9"/>
      <c r="D417" s="16" t="str">
        <f aca="false">IF(C417="","",IFERROR(INDEX(LOOKAHEAD!$B$5:$B$604,MATCH(C417,LOOKAHEAD!$A$5:$A$604,0)),""))</f>
        <v/>
      </c>
      <c r="E417" s="16" t="str">
        <f aca="false">IF(C417="","",IFERROR(INDEX(LOOKAHEAD!$E$5:$E$604,MATCH(C417,LOOKAHEAD!$A$5:$A$604,0)),""))</f>
        <v/>
      </c>
      <c r="F417" s="16" t="str">
        <f aca="false">IF(C417="","",IFERROR(INDEX(LOOKAHEAD!$M$5:$M$604,MATCH(C417,LOOKAHEAD!$A$5:$A$604,0)),""))</f>
        <v/>
      </c>
      <c r="G417" s="9"/>
      <c r="H417" s="9"/>
      <c r="I417" s="16" t="str">
        <f aca="false">IF(C417="","",IFERROR(INDEX(LOOKAHEAD!$G$5:$G$604,MATCH(C417,LOOKAHEAD!$A$5:$A$604,0)),""))</f>
        <v/>
      </c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66" t="str">
        <f aca="false">IF(C417="","",SUM(J417:O417))</f>
        <v/>
      </c>
      <c r="W417" s="66" t="str">
        <f aca="false">IF(C417="","",SUM(P417:U417))</f>
        <v/>
      </c>
      <c r="X417" s="51" t="str">
        <f aca="false">IF(OR(C417="",V417=0),"",W417/V417)</f>
        <v/>
      </c>
      <c r="Y417" s="16" t="str">
        <f aca="false">IF(OR(C417="",V417=0),"",IF(W417&gt;=V417,"Sí","No"))</f>
        <v/>
      </c>
      <c r="Z417" s="9"/>
      <c r="AA417" s="9"/>
    </row>
    <row r="418" customFormat="false" ht="15" hidden="false" customHeight="false" outlineLevel="0" collapsed="false">
      <c r="A418" s="9"/>
      <c r="B418" s="9"/>
      <c r="C418" s="9"/>
      <c r="D418" s="16" t="str">
        <f aca="false">IF(C418="","",IFERROR(INDEX(LOOKAHEAD!$B$5:$B$604,MATCH(C418,LOOKAHEAD!$A$5:$A$604,0)),""))</f>
        <v/>
      </c>
      <c r="E418" s="16" t="str">
        <f aca="false">IF(C418="","",IFERROR(INDEX(LOOKAHEAD!$E$5:$E$604,MATCH(C418,LOOKAHEAD!$A$5:$A$604,0)),""))</f>
        <v/>
      </c>
      <c r="F418" s="16" t="str">
        <f aca="false">IF(C418="","",IFERROR(INDEX(LOOKAHEAD!$M$5:$M$604,MATCH(C418,LOOKAHEAD!$A$5:$A$604,0)),""))</f>
        <v/>
      </c>
      <c r="G418" s="9"/>
      <c r="H418" s="9"/>
      <c r="I418" s="16" t="str">
        <f aca="false">IF(C418="","",IFERROR(INDEX(LOOKAHEAD!$G$5:$G$604,MATCH(C418,LOOKAHEAD!$A$5:$A$604,0)),""))</f>
        <v/>
      </c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66" t="str">
        <f aca="false">IF(C418="","",SUM(J418:O418))</f>
        <v/>
      </c>
      <c r="W418" s="66" t="str">
        <f aca="false">IF(C418="","",SUM(P418:U418))</f>
        <v/>
      </c>
      <c r="X418" s="51" t="str">
        <f aca="false">IF(OR(C418="",V418=0),"",W418/V418)</f>
        <v/>
      </c>
      <c r="Y418" s="16" t="str">
        <f aca="false">IF(OR(C418="",V418=0),"",IF(W418&gt;=V418,"Sí","No"))</f>
        <v/>
      </c>
      <c r="Z418" s="9"/>
      <c r="AA418" s="9"/>
    </row>
    <row r="419" customFormat="false" ht="15" hidden="false" customHeight="false" outlineLevel="0" collapsed="false">
      <c r="A419" s="9"/>
      <c r="B419" s="9"/>
      <c r="C419" s="9"/>
      <c r="D419" s="16" t="str">
        <f aca="false">IF(C419="","",IFERROR(INDEX(LOOKAHEAD!$B$5:$B$604,MATCH(C419,LOOKAHEAD!$A$5:$A$604,0)),""))</f>
        <v/>
      </c>
      <c r="E419" s="16" t="str">
        <f aca="false">IF(C419="","",IFERROR(INDEX(LOOKAHEAD!$E$5:$E$604,MATCH(C419,LOOKAHEAD!$A$5:$A$604,0)),""))</f>
        <v/>
      </c>
      <c r="F419" s="16" t="str">
        <f aca="false">IF(C419="","",IFERROR(INDEX(LOOKAHEAD!$M$5:$M$604,MATCH(C419,LOOKAHEAD!$A$5:$A$604,0)),""))</f>
        <v/>
      </c>
      <c r="G419" s="9"/>
      <c r="H419" s="9"/>
      <c r="I419" s="16" t="str">
        <f aca="false">IF(C419="","",IFERROR(INDEX(LOOKAHEAD!$G$5:$G$604,MATCH(C419,LOOKAHEAD!$A$5:$A$604,0)),""))</f>
        <v/>
      </c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66" t="str">
        <f aca="false">IF(C419="","",SUM(J419:O419))</f>
        <v/>
      </c>
      <c r="W419" s="66" t="str">
        <f aca="false">IF(C419="","",SUM(P419:U419))</f>
        <v/>
      </c>
      <c r="X419" s="51" t="str">
        <f aca="false">IF(OR(C419="",V419=0),"",W419/V419)</f>
        <v/>
      </c>
      <c r="Y419" s="16" t="str">
        <f aca="false">IF(OR(C419="",V419=0),"",IF(W419&gt;=V419,"Sí","No"))</f>
        <v/>
      </c>
      <c r="Z419" s="9"/>
      <c r="AA419" s="9"/>
    </row>
    <row r="420" customFormat="false" ht="15" hidden="false" customHeight="false" outlineLevel="0" collapsed="false">
      <c r="A420" s="9"/>
      <c r="B420" s="9"/>
      <c r="C420" s="9"/>
      <c r="D420" s="16" t="str">
        <f aca="false">IF(C420="","",IFERROR(INDEX(LOOKAHEAD!$B$5:$B$604,MATCH(C420,LOOKAHEAD!$A$5:$A$604,0)),""))</f>
        <v/>
      </c>
      <c r="E420" s="16" t="str">
        <f aca="false">IF(C420="","",IFERROR(INDEX(LOOKAHEAD!$E$5:$E$604,MATCH(C420,LOOKAHEAD!$A$5:$A$604,0)),""))</f>
        <v/>
      </c>
      <c r="F420" s="16" t="str">
        <f aca="false">IF(C420="","",IFERROR(INDEX(LOOKAHEAD!$M$5:$M$604,MATCH(C420,LOOKAHEAD!$A$5:$A$604,0)),""))</f>
        <v/>
      </c>
      <c r="G420" s="9"/>
      <c r="H420" s="9"/>
      <c r="I420" s="16" t="str">
        <f aca="false">IF(C420="","",IFERROR(INDEX(LOOKAHEAD!$G$5:$G$604,MATCH(C420,LOOKAHEAD!$A$5:$A$604,0)),""))</f>
        <v/>
      </c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66" t="str">
        <f aca="false">IF(C420="","",SUM(J420:O420))</f>
        <v/>
      </c>
      <c r="W420" s="66" t="str">
        <f aca="false">IF(C420="","",SUM(P420:U420))</f>
        <v/>
      </c>
      <c r="X420" s="51" t="str">
        <f aca="false">IF(OR(C420="",V420=0),"",W420/V420)</f>
        <v/>
      </c>
      <c r="Y420" s="16" t="str">
        <f aca="false">IF(OR(C420="",V420=0),"",IF(W420&gt;=V420,"Sí","No"))</f>
        <v/>
      </c>
      <c r="Z420" s="9"/>
      <c r="AA420" s="9"/>
    </row>
    <row r="421" customFormat="false" ht="15" hidden="false" customHeight="false" outlineLevel="0" collapsed="false">
      <c r="A421" s="9"/>
      <c r="B421" s="9"/>
      <c r="C421" s="9"/>
      <c r="D421" s="16" t="str">
        <f aca="false">IF(C421="","",IFERROR(INDEX(LOOKAHEAD!$B$5:$B$604,MATCH(C421,LOOKAHEAD!$A$5:$A$604,0)),""))</f>
        <v/>
      </c>
      <c r="E421" s="16" t="str">
        <f aca="false">IF(C421="","",IFERROR(INDEX(LOOKAHEAD!$E$5:$E$604,MATCH(C421,LOOKAHEAD!$A$5:$A$604,0)),""))</f>
        <v/>
      </c>
      <c r="F421" s="16" t="str">
        <f aca="false">IF(C421="","",IFERROR(INDEX(LOOKAHEAD!$M$5:$M$604,MATCH(C421,LOOKAHEAD!$A$5:$A$604,0)),""))</f>
        <v/>
      </c>
      <c r="G421" s="9"/>
      <c r="H421" s="9"/>
      <c r="I421" s="16" t="str">
        <f aca="false">IF(C421="","",IFERROR(INDEX(LOOKAHEAD!$G$5:$G$604,MATCH(C421,LOOKAHEAD!$A$5:$A$604,0)),""))</f>
        <v/>
      </c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66" t="str">
        <f aca="false">IF(C421="","",SUM(J421:O421))</f>
        <v/>
      </c>
      <c r="W421" s="66" t="str">
        <f aca="false">IF(C421="","",SUM(P421:U421))</f>
        <v/>
      </c>
      <c r="X421" s="51" t="str">
        <f aca="false">IF(OR(C421="",V421=0),"",W421/V421)</f>
        <v/>
      </c>
      <c r="Y421" s="16" t="str">
        <f aca="false">IF(OR(C421="",V421=0),"",IF(W421&gt;=V421,"Sí","No"))</f>
        <v/>
      </c>
      <c r="Z421" s="9"/>
      <c r="AA421" s="9"/>
    </row>
    <row r="422" customFormat="false" ht="15" hidden="false" customHeight="false" outlineLevel="0" collapsed="false">
      <c r="A422" s="9"/>
      <c r="B422" s="9"/>
      <c r="C422" s="9"/>
      <c r="D422" s="16" t="str">
        <f aca="false">IF(C422="","",IFERROR(INDEX(LOOKAHEAD!$B$5:$B$604,MATCH(C422,LOOKAHEAD!$A$5:$A$604,0)),""))</f>
        <v/>
      </c>
      <c r="E422" s="16" t="str">
        <f aca="false">IF(C422="","",IFERROR(INDEX(LOOKAHEAD!$E$5:$E$604,MATCH(C422,LOOKAHEAD!$A$5:$A$604,0)),""))</f>
        <v/>
      </c>
      <c r="F422" s="16" t="str">
        <f aca="false">IF(C422="","",IFERROR(INDEX(LOOKAHEAD!$M$5:$M$604,MATCH(C422,LOOKAHEAD!$A$5:$A$604,0)),""))</f>
        <v/>
      </c>
      <c r="G422" s="9"/>
      <c r="H422" s="9"/>
      <c r="I422" s="16" t="str">
        <f aca="false">IF(C422="","",IFERROR(INDEX(LOOKAHEAD!$G$5:$G$604,MATCH(C422,LOOKAHEAD!$A$5:$A$604,0)),""))</f>
        <v/>
      </c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66" t="str">
        <f aca="false">IF(C422="","",SUM(J422:O422))</f>
        <v/>
      </c>
      <c r="W422" s="66" t="str">
        <f aca="false">IF(C422="","",SUM(P422:U422))</f>
        <v/>
      </c>
      <c r="X422" s="51" t="str">
        <f aca="false">IF(OR(C422="",V422=0),"",W422/V422)</f>
        <v/>
      </c>
      <c r="Y422" s="16" t="str">
        <f aca="false">IF(OR(C422="",V422=0),"",IF(W422&gt;=V422,"Sí","No"))</f>
        <v/>
      </c>
      <c r="Z422" s="9"/>
      <c r="AA422" s="9"/>
    </row>
    <row r="423" customFormat="false" ht="15" hidden="false" customHeight="false" outlineLevel="0" collapsed="false">
      <c r="A423" s="9"/>
      <c r="B423" s="9"/>
      <c r="C423" s="9"/>
      <c r="D423" s="16" t="str">
        <f aca="false">IF(C423="","",IFERROR(INDEX(LOOKAHEAD!$B$5:$B$604,MATCH(C423,LOOKAHEAD!$A$5:$A$604,0)),""))</f>
        <v/>
      </c>
      <c r="E423" s="16" t="str">
        <f aca="false">IF(C423="","",IFERROR(INDEX(LOOKAHEAD!$E$5:$E$604,MATCH(C423,LOOKAHEAD!$A$5:$A$604,0)),""))</f>
        <v/>
      </c>
      <c r="F423" s="16" t="str">
        <f aca="false">IF(C423="","",IFERROR(INDEX(LOOKAHEAD!$M$5:$M$604,MATCH(C423,LOOKAHEAD!$A$5:$A$604,0)),""))</f>
        <v/>
      </c>
      <c r="G423" s="9"/>
      <c r="H423" s="9"/>
      <c r="I423" s="16" t="str">
        <f aca="false">IF(C423="","",IFERROR(INDEX(LOOKAHEAD!$G$5:$G$604,MATCH(C423,LOOKAHEAD!$A$5:$A$604,0)),""))</f>
        <v/>
      </c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66" t="str">
        <f aca="false">IF(C423="","",SUM(J423:O423))</f>
        <v/>
      </c>
      <c r="W423" s="66" t="str">
        <f aca="false">IF(C423="","",SUM(P423:U423))</f>
        <v/>
      </c>
      <c r="X423" s="51" t="str">
        <f aca="false">IF(OR(C423="",V423=0),"",W423/V423)</f>
        <v/>
      </c>
      <c r="Y423" s="16" t="str">
        <f aca="false">IF(OR(C423="",V423=0),"",IF(W423&gt;=V423,"Sí","No"))</f>
        <v/>
      </c>
      <c r="Z423" s="9"/>
      <c r="AA423" s="9"/>
    </row>
    <row r="424" customFormat="false" ht="15" hidden="false" customHeight="false" outlineLevel="0" collapsed="false">
      <c r="A424" s="9"/>
      <c r="B424" s="9"/>
      <c r="C424" s="9"/>
      <c r="D424" s="16" t="str">
        <f aca="false">IF(C424="","",IFERROR(INDEX(LOOKAHEAD!$B$5:$B$604,MATCH(C424,LOOKAHEAD!$A$5:$A$604,0)),""))</f>
        <v/>
      </c>
      <c r="E424" s="16" t="str">
        <f aca="false">IF(C424="","",IFERROR(INDEX(LOOKAHEAD!$E$5:$E$604,MATCH(C424,LOOKAHEAD!$A$5:$A$604,0)),""))</f>
        <v/>
      </c>
      <c r="F424" s="16" t="str">
        <f aca="false">IF(C424="","",IFERROR(INDEX(LOOKAHEAD!$M$5:$M$604,MATCH(C424,LOOKAHEAD!$A$5:$A$604,0)),""))</f>
        <v/>
      </c>
      <c r="G424" s="9"/>
      <c r="H424" s="9"/>
      <c r="I424" s="16" t="str">
        <f aca="false">IF(C424="","",IFERROR(INDEX(LOOKAHEAD!$G$5:$G$604,MATCH(C424,LOOKAHEAD!$A$5:$A$604,0)),""))</f>
        <v/>
      </c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66" t="str">
        <f aca="false">IF(C424="","",SUM(J424:O424))</f>
        <v/>
      </c>
      <c r="W424" s="66" t="str">
        <f aca="false">IF(C424="","",SUM(P424:U424))</f>
        <v/>
      </c>
      <c r="X424" s="51" t="str">
        <f aca="false">IF(OR(C424="",V424=0),"",W424/V424)</f>
        <v/>
      </c>
      <c r="Y424" s="16" t="str">
        <f aca="false">IF(OR(C424="",V424=0),"",IF(W424&gt;=V424,"Sí","No"))</f>
        <v/>
      </c>
      <c r="Z424" s="9"/>
      <c r="AA424" s="9"/>
    </row>
    <row r="425" customFormat="false" ht="15" hidden="false" customHeight="false" outlineLevel="0" collapsed="false">
      <c r="A425" s="9"/>
      <c r="B425" s="9"/>
      <c r="C425" s="9"/>
      <c r="D425" s="16" t="str">
        <f aca="false">IF(C425="","",IFERROR(INDEX(LOOKAHEAD!$B$5:$B$604,MATCH(C425,LOOKAHEAD!$A$5:$A$604,0)),""))</f>
        <v/>
      </c>
      <c r="E425" s="16" t="str">
        <f aca="false">IF(C425="","",IFERROR(INDEX(LOOKAHEAD!$E$5:$E$604,MATCH(C425,LOOKAHEAD!$A$5:$A$604,0)),""))</f>
        <v/>
      </c>
      <c r="F425" s="16" t="str">
        <f aca="false">IF(C425="","",IFERROR(INDEX(LOOKAHEAD!$M$5:$M$604,MATCH(C425,LOOKAHEAD!$A$5:$A$604,0)),""))</f>
        <v/>
      </c>
      <c r="G425" s="9"/>
      <c r="H425" s="9"/>
      <c r="I425" s="16" t="str">
        <f aca="false">IF(C425="","",IFERROR(INDEX(LOOKAHEAD!$G$5:$G$604,MATCH(C425,LOOKAHEAD!$A$5:$A$604,0)),""))</f>
        <v/>
      </c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66" t="str">
        <f aca="false">IF(C425="","",SUM(J425:O425))</f>
        <v/>
      </c>
      <c r="W425" s="66" t="str">
        <f aca="false">IF(C425="","",SUM(P425:U425))</f>
        <v/>
      </c>
      <c r="X425" s="51" t="str">
        <f aca="false">IF(OR(C425="",V425=0),"",W425/V425)</f>
        <v/>
      </c>
      <c r="Y425" s="16" t="str">
        <f aca="false">IF(OR(C425="",V425=0),"",IF(W425&gt;=V425,"Sí","No"))</f>
        <v/>
      </c>
      <c r="Z425" s="9"/>
      <c r="AA425" s="9"/>
    </row>
    <row r="426" customFormat="false" ht="15" hidden="false" customHeight="false" outlineLevel="0" collapsed="false">
      <c r="A426" s="9"/>
      <c r="B426" s="9"/>
      <c r="C426" s="9"/>
      <c r="D426" s="16" t="str">
        <f aca="false">IF(C426="","",IFERROR(INDEX(LOOKAHEAD!$B$5:$B$604,MATCH(C426,LOOKAHEAD!$A$5:$A$604,0)),""))</f>
        <v/>
      </c>
      <c r="E426" s="16" t="str">
        <f aca="false">IF(C426="","",IFERROR(INDEX(LOOKAHEAD!$E$5:$E$604,MATCH(C426,LOOKAHEAD!$A$5:$A$604,0)),""))</f>
        <v/>
      </c>
      <c r="F426" s="16" t="str">
        <f aca="false">IF(C426="","",IFERROR(INDEX(LOOKAHEAD!$M$5:$M$604,MATCH(C426,LOOKAHEAD!$A$5:$A$604,0)),""))</f>
        <v/>
      </c>
      <c r="G426" s="9"/>
      <c r="H426" s="9"/>
      <c r="I426" s="16" t="str">
        <f aca="false">IF(C426="","",IFERROR(INDEX(LOOKAHEAD!$G$5:$G$604,MATCH(C426,LOOKAHEAD!$A$5:$A$604,0)),""))</f>
        <v/>
      </c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66" t="str">
        <f aca="false">IF(C426="","",SUM(J426:O426))</f>
        <v/>
      </c>
      <c r="W426" s="66" t="str">
        <f aca="false">IF(C426="","",SUM(P426:U426))</f>
        <v/>
      </c>
      <c r="X426" s="51" t="str">
        <f aca="false">IF(OR(C426="",V426=0),"",W426/V426)</f>
        <v/>
      </c>
      <c r="Y426" s="16" t="str">
        <f aca="false">IF(OR(C426="",V426=0),"",IF(W426&gt;=V426,"Sí","No"))</f>
        <v/>
      </c>
      <c r="Z426" s="9"/>
      <c r="AA426" s="9"/>
    </row>
    <row r="427" customFormat="false" ht="15" hidden="false" customHeight="false" outlineLevel="0" collapsed="false">
      <c r="A427" s="9"/>
      <c r="B427" s="9"/>
      <c r="C427" s="9"/>
      <c r="D427" s="16" t="str">
        <f aca="false">IF(C427="","",IFERROR(INDEX(LOOKAHEAD!$B$5:$B$604,MATCH(C427,LOOKAHEAD!$A$5:$A$604,0)),""))</f>
        <v/>
      </c>
      <c r="E427" s="16" t="str">
        <f aca="false">IF(C427="","",IFERROR(INDEX(LOOKAHEAD!$E$5:$E$604,MATCH(C427,LOOKAHEAD!$A$5:$A$604,0)),""))</f>
        <v/>
      </c>
      <c r="F427" s="16" t="str">
        <f aca="false">IF(C427="","",IFERROR(INDEX(LOOKAHEAD!$M$5:$M$604,MATCH(C427,LOOKAHEAD!$A$5:$A$604,0)),""))</f>
        <v/>
      </c>
      <c r="G427" s="9"/>
      <c r="H427" s="9"/>
      <c r="I427" s="16" t="str">
        <f aca="false">IF(C427="","",IFERROR(INDEX(LOOKAHEAD!$G$5:$G$604,MATCH(C427,LOOKAHEAD!$A$5:$A$604,0)),""))</f>
        <v/>
      </c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66" t="str">
        <f aca="false">IF(C427="","",SUM(J427:O427))</f>
        <v/>
      </c>
      <c r="W427" s="66" t="str">
        <f aca="false">IF(C427="","",SUM(P427:U427))</f>
        <v/>
      </c>
      <c r="X427" s="51" t="str">
        <f aca="false">IF(OR(C427="",V427=0),"",W427/V427)</f>
        <v/>
      </c>
      <c r="Y427" s="16" t="str">
        <f aca="false">IF(OR(C427="",V427=0),"",IF(W427&gt;=V427,"Sí","No"))</f>
        <v/>
      </c>
      <c r="Z427" s="9"/>
      <c r="AA427" s="9"/>
    </row>
    <row r="428" customFormat="false" ht="15" hidden="false" customHeight="false" outlineLevel="0" collapsed="false">
      <c r="A428" s="9"/>
      <c r="B428" s="9"/>
      <c r="C428" s="9"/>
      <c r="D428" s="16" t="str">
        <f aca="false">IF(C428="","",IFERROR(INDEX(LOOKAHEAD!$B$5:$B$604,MATCH(C428,LOOKAHEAD!$A$5:$A$604,0)),""))</f>
        <v/>
      </c>
      <c r="E428" s="16" t="str">
        <f aca="false">IF(C428="","",IFERROR(INDEX(LOOKAHEAD!$E$5:$E$604,MATCH(C428,LOOKAHEAD!$A$5:$A$604,0)),""))</f>
        <v/>
      </c>
      <c r="F428" s="16" t="str">
        <f aca="false">IF(C428="","",IFERROR(INDEX(LOOKAHEAD!$M$5:$M$604,MATCH(C428,LOOKAHEAD!$A$5:$A$604,0)),""))</f>
        <v/>
      </c>
      <c r="G428" s="9"/>
      <c r="H428" s="9"/>
      <c r="I428" s="16" t="str">
        <f aca="false">IF(C428="","",IFERROR(INDEX(LOOKAHEAD!$G$5:$G$604,MATCH(C428,LOOKAHEAD!$A$5:$A$604,0)),""))</f>
        <v/>
      </c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66" t="str">
        <f aca="false">IF(C428="","",SUM(J428:O428))</f>
        <v/>
      </c>
      <c r="W428" s="66" t="str">
        <f aca="false">IF(C428="","",SUM(P428:U428))</f>
        <v/>
      </c>
      <c r="X428" s="51" t="str">
        <f aca="false">IF(OR(C428="",V428=0),"",W428/V428)</f>
        <v/>
      </c>
      <c r="Y428" s="16" t="str">
        <f aca="false">IF(OR(C428="",V428=0),"",IF(W428&gt;=V428,"Sí","No"))</f>
        <v/>
      </c>
      <c r="Z428" s="9"/>
      <c r="AA428" s="9"/>
    </row>
    <row r="429" customFormat="false" ht="15" hidden="false" customHeight="false" outlineLevel="0" collapsed="false">
      <c r="A429" s="9"/>
      <c r="B429" s="9"/>
      <c r="C429" s="9"/>
      <c r="D429" s="16" t="str">
        <f aca="false">IF(C429="","",IFERROR(INDEX(LOOKAHEAD!$B$5:$B$604,MATCH(C429,LOOKAHEAD!$A$5:$A$604,0)),""))</f>
        <v/>
      </c>
      <c r="E429" s="16" t="str">
        <f aca="false">IF(C429="","",IFERROR(INDEX(LOOKAHEAD!$E$5:$E$604,MATCH(C429,LOOKAHEAD!$A$5:$A$604,0)),""))</f>
        <v/>
      </c>
      <c r="F429" s="16" t="str">
        <f aca="false">IF(C429="","",IFERROR(INDEX(LOOKAHEAD!$M$5:$M$604,MATCH(C429,LOOKAHEAD!$A$5:$A$604,0)),""))</f>
        <v/>
      </c>
      <c r="G429" s="9"/>
      <c r="H429" s="9"/>
      <c r="I429" s="16" t="str">
        <f aca="false">IF(C429="","",IFERROR(INDEX(LOOKAHEAD!$G$5:$G$604,MATCH(C429,LOOKAHEAD!$A$5:$A$604,0)),""))</f>
        <v/>
      </c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66" t="str">
        <f aca="false">IF(C429="","",SUM(J429:O429))</f>
        <v/>
      </c>
      <c r="W429" s="66" t="str">
        <f aca="false">IF(C429="","",SUM(P429:U429))</f>
        <v/>
      </c>
      <c r="X429" s="51" t="str">
        <f aca="false">IF(OR(C429="",V429=0),"",W429/V429)</f>
        <v/>
      </c>
      <c r="Y429" s="16" t="str">
        <f aca="false">IF(OR(C429="",V429=0),"",IF(W429&gt;=V429,"Sí","No"))</f>
        <v/>
      </c>
      <c r="Z429" s="9"/>
      <c r="AA429" s="9"/>
    </row>
    <row r="430" customFormat="false" ht="15" hidden="false" customHeight="false" outlineLevel="0" collapsed="false">
      <c r="A430" s="9"/>
      <c r="B430" s="9"/>
      <c r="C430" s="9"/>
      <c r="D430" s="16" t="str">
        <f aca="false">IF(C430="","",IFERROR(INDEX(LOOKAHEAD!$B$5:$B$604,MATCH(C430,LOOKAHEAD!$A$5:$A$604,0)),""))</f>
        <v/>
      </c>
      <c r="E430" s="16" t="str">
        <f aca="false">IF(C430="","",IFERROR(INDEX(LOOKAHEAD!$E$5:$E$604,MATCH(C430,LOOKAHEAD!$A$5:$A$604,0)),""))</f>
        <v/>
      </c>
      <c r="F430" s="16" t="str">
        <f aca="false">IF(C430="","",IFERROR(INDEX(LOOKAHEAD!$M$5:$M$604,MATCH(C430,LOOKAHEAD!$A$5:$A$604,0)),""))</f>
        <v/>
      </c>
      <c r="G430" s="9"/>
      <c r="H430" s="9"/>
      <c r="I430" s="16" t="str">
        <f aca="false">IF(C430="","",IFERROR(INDEX(LOOKAHEAD!$G$5:$G$604,MATCH(C430,LOOKAHEAD!$A$5:$A$604,0)),""))</f>
        <v/>
      </c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66" t="str">
        <f aca="false">IF(C430="","",SUM(J430:O430))</f>
        <v/>
      </c>
      <c r="W430" s="66" t="str">
        <f aca="false">IF(C430="","",SUM(P430:U430))</f>
        <v/>
      </c>
      <c r="X430" s="51" t="str">
        <f aca="false">IF(OR(C430="",V430=0),"",W430/V430)</f>
        <v/>
      </c>
      <c r="Y430" s="16" t="str">
        <f aca="false">IF(OR(C430="",V430=0),"",IF(W430&gt;=V430,"Sí","No"))</f>
        <v/>
      </c>
      <c r="Z430" s="9"/>
      <c r="AA430" s="9"/>
    </row>
    <row r="431" customFormat="false" ht="15" hidden="false" customHeight="false" outlineLevel="0" collapsed="false">
      <c r="A431" s="9"/>
      <c r="B431" s="9"/>
      <c r="C431" s="9"/>
      <c r="D431" s="16" t="str">
        <f aca="false">IF(C431="","",IFERROR(INDEX(LOOKAHEAD!$B$5:$B$604,MATCH(C431,LOOKAHEAD!$A$5:$A$604,0)),""))</f>
        <v/>
      </c>
      <c r="E431" s="16" t="str">
        <f aca="false">IF(C431="","",IFERROR(INDEX(LOOKAHEAD!$E$5:$E$604,MATCH(C431,LOOKAHEAD!$A$5:$A$604,0)),""))</f>
        <v/>
      </c>
      <c r="F431" s="16" t="str">
        <f aca="false">IF(C431="","",IFERROR(INDEX(LOOKAHEAD!$M$5:$M$604,MATCH(C431,LOOKAHEAD!$A$5:$A$604,0)),""))</f>
        <v/>
      </c>
      <c r="G431" s="9"/>
      <c r="H431" s="9"/>
      <c r="I431" s="16" t="str">
        <f aca="false">IF(C431="","",IFERROR(INDEX(LOOKAHEAD!$G$5:$G$604,MATCH(C431,LOOKAHEAD!$A$5:$A$604,0)),""))</f>
        <v/>
      </c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66" t="str">
        <f aca="false">IF(C431="","",SUM(J431:O431))</f>
        <v/>
      </c>
      <c r="W431" s="66" t="str">
        <f aca="false">IF(C431="","",SUM(P431:U431))</f>
        <v/>
      </c>
      <c r="X431" s="51" t="str">
        <f aca="false">IF(OR(C431="",V431=0),"",W431/V431)</f>
        <v/>
      </c>
      <c r="Y431" s="16" t="str">
        <f aca="false">IF(OR(C431="",V431=0),"",IF(W431&gt;=V431,"Sí","No"))</f>
        <v/>
      </c>
      <c r="Z431" s="9"/>
      <c r="AA431" s="9"/>
    </row>
    <row r="432" customFormat="false" ht="15" hidden="false" customHeight="false" outlineLevel="0" collapsed="false">
      <c r="A432" s="9"/>
      <c r="B432" s="9"/>
      <c r="C432" s="9"/>
      <c r="D432" s="16" t="str">
        <f aca="false">IF(C432="","",IFERROR(INDEX(LOOKAHEAD!$B$5:$B$604,MATCH(C432,LOOKAHEAD!$A$5:$A$604,0)),""))</f>
        <v/>
      </c>
      <c r="E432" s="16" t="str">
        <f aca="false">IF(C432="","",IFERROR(INDEX(LOOKAHEAD!$E$5:$E$604,MATCH(C432,LOOKAHEAD!$A$5:$A$604,0)),""))</f>
        <v/>
      </c>
      <c r="F432" s="16" t="str">
        <f aca="false">IF(C432="","",IFERROR(INDEX(LOOKAHEAD!$M$5:$M$604,MATCH(C432,LOOKAHEAD!$A$5:$A$604,0)),""))</f>
        <v/>
      </c>
      <c r="G432" s="9"/>
      <c r="H432" s="9"/>
      <c r="I432" s="16" t="str">
        <f aca="false">IF(C432="","",IFERROR(INDEX(LOOKAHEAD!$G$5:$G$604,MATCH(C432,LOOKAHEAD!$A$5:$A$604,0)),""))</f>
        <v/>
      </c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66" t="str">
        <f aca="false">IF(C432="","",SUM(J432:O432))</f>
        <v/>
      </c>
      <c r="W432" s="66" t="str">
        <f aca="false">IF(C432="","",SUM(P432:U432))</f>
        <v/>
      </c>
      <c r="X432" s="51" t="str">
        <f aca="false">IF(OR(C432="",V432=0),"",W432/V432)</f>
        <v/>
      </c>
      <c r="Y432" s="16" t="str">
        <f aca="false">IF(OR(C432="",V432=0),"",IF(W432&gt;=V432,"Sí","No"))</f>
        <v/>
      </c>
      <c r="Z432" s="9"/>
      <c r="AA432" s="9"/>
    </row>
    <row r="433" customFormat="false" ht="15" hidden="false" customHeight="false" outlineLevel="0" collapsed="false">
      <c r="A433" s="9"/>
      <c r="B433" s="9"/>
      <c r="C433" s="9"/>
      <c r="D433" s="16" t="str">
        <f aca="false">IF(C433="","",IFERROR(INDEX(LOOKAHEAD!$B$5:$B$604,MATCH(C433,LOOKAHEAD!$A$5:$A$604,0)),""))</f>
        <v/>
      </c>
      <c r="E433" s="16" t="str">
        <f aca="false">IF(C433="","",IFERROR(INDEX(LOOKAHEAD!$E$5:$E$604,MATCH(C433,LOOKAHEAD!$A$5:$A$604,0)),""))</f>
        <v/>
      </c>
      <c r="F433" s="16" t="str">
        <f aca="false">IF(C433="","",IFERROR(INDEX(LOOKAHEAD!$M$5:$M$604,MATCH(C433,LOOKAHEAD!$A$5:$A$604,0)),""))</f>
        <v/>
      </c>
      <c r="G433" s="9"/>
      <c r="H433" s="9"/>
      <c r="I433" s="16" t="str">
        <f aca="false">IF(C433="","",IFERROR(INDEX(LOOKAHEAD!$G$5:$G$604,MATCH(C433,LOOKAHEAD!$A$5:$A$604,0)),""))</f>
        <v/>
      </c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66" t="str">
        <f aca="false">IF(C433="","",SUM(J433:O433))</f>
        <v/>
      </c>
      <c r="W433" s="66" t="str">
        <f aca="false">IF(C433="","",SUM(P433:U433))</f>
        <v/>
      </c>
      <c r="X433" s="51" t="str">
        <f aca="false">IF(OR(C433="",V433=0),"",W433/V433)</f>
        <v/>
      </c>
      <c r="Y433" s="16" t="str">
        <f aca="false">IF(OR(C433="",V433=0),"",IF(W433&gt;=V433,"Sí","No"))</f>
        <v/>
      </c>
      <c r="Z433" s="9"/>
      <c r="AA433" s="9"/>
    </row>
    <row r="434" customFormat="false" ht="15" hidden="false" customHeight="false" outlineLevel="0" collapsed="false">
      <c r="A434" s="9"/>
      <c r="B434" s="9"/>
      <c r="C434" s="9"/>
      <c r="D434" s="16" t="str">
        <f aca="false">IF(C434="","",IFERROR(INDEX(LOOKAHEAD!$B$5:$B$604,MATCH(C434,LOOKAHEAD!$A$5:$A$604,0)),""))</f>
        <v/>
      </c>
      <c r="E434" s="16" t="str">
        <f aca="false">IF(C434="","",IFERROR(INDEX(LOOKAHEAD!$E$5:$E$604,MATCH(C434,LOOKAHEAD!$A$5:$A$604,0)),""))</f>
        <v/>
      </c>
      <c r="F434" s="16" t="str">
        <f aca="false">IF(C434="","",IFERROR(INDEX(LOOKAHEAD!$M$5:$M$604,MATCH(C434,LOOKAHEAD!$A$5:$A$604,0)),""))</f>
        <v/>
      </c>
      <c r="G434" s="9"/>
      <c r="H434" s="9"/>
      <c r="I434" s="16" t="str">
        <f aca="false">IF(C434="","",IFERROR(INDEX(LOOKAHEAD!$G$5:$G$604,MATCH(C434,LOOKAHEAD!$A$5:$A$604,0)),""))</f>
        <v/>
      </c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66" t="str">
        <f aca="false">IF(C434="","",SUM(J434:O434))</f>
        <v/>
      </c>
      <c r="W434" s="66" t="str">
        <f aca="false">IF(C434="","",SUM(P434:U434))</f>
        <v/>
      </c>
      <c r="X434" s="51" t="str">
        <f aca="false">IF(OR(C434="",V434=0),"",W434/V434)</f>
        <v/>
      </c>
      <c r="Y434" s="16" t="str">
        <f aca="false">IF(OR(C434="",V434=0),"",IF(W434&gt;=V434,"Sí","No"))</f>
        <v/>
      </c>
      <c r="Z434" s="9"/>
      <c r="AA434" s="9"/>
    </row>
    <row r="435" customFormat="false" ht="15" hidden="false" customHeight="false" outlineLevel="0" collapsed="false">
      <c r="A435" s="9"/>
      <c r="B435" s="9"/>
      <c r="C435" s="9"/>
      <c r="D435" s="16" t="str">
        <f aca="false">IF(C435="","",IFERROR(INDEX(LOOKAHEAD!$B$5:$B$604,MATCH(C435,LOOKAHEAD!$A$5:$A$604,0)),""))</f>
        <v/>
      </c>
      <c r="E435" s="16" t="str">
        <f aca="false">IF(C435="","",IFERROR(INDEX(LOOKAHEAD!$E$5:$E$604,MATCH(C435,LOOKAHEAD!$A$5:$A$604,0)),""))</f>
        <v/>
      </c>
      <c r="F435" s="16" t="str">
        <f aca="false">IF(C435="","",IFERROR(INDEX(LOOKAHEAD!$M$5:$M$604,MATCH(C435,LOOKAHEAD!$A$5:$A$604,0)),""))</f>
        <v/>
      </c>
      <c r="G435" s="9"/>
      <c r="H435" s="9"/>
      <c r="I435" s="16" t="str">
        <f aca="false">IF(C435="","",IFERROR(INDEX(LOOKAHEAD!$G$5:$G$604,MATCH(C435,LOOKAHEAD!$A$5:$A$604,0)),""))</f>
        <v/>
      </c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66" t="str">
        <f aca="false">IF(C435="","",SUM(J435:O435))</f>
        <v/>
      </c>
      <c r="W435" s="66" t="str">
        <f aca="false">IF(C435="","",SUM(P435:U435))</f>
        <v/>
      </c>
      <c r="X435" s="51" t="str">
        <f aca="false">IF(OR(C435="",V435=0),"",W435/V435)</f>
        <v/>
      </c>
      <c r="Y435" s="16" t="str">
        <f aca="false">IF(OR(C435="",V435=0),"",IF(W435&gt;=V435,"Sí","No"))</f>
        <v/>
      </c>
      <c r="Z435" s="9"/>
      <c r="AA435" s="9"/>
    </row>
    <row r="436" customFormat="false" ht="15" hidden="false" customHeight="false" outlineLevel="0" collapsed="false">
      <c r="A436" s="9"/>
      <c r="B436" s="9"/>
      <c r="C436" s="9"/>
      <c r="D436" s="16" t="str">
        <f aca="false">IF(C436="","",IFERROR(INDEX(LOOKAHEAD!$B$5:$B$604,MATCH(C436,LOOKAHEAD!$A$5:$A$604,0)),""))</f>
        <v/>
      </c>
      <c r="E436" s="16" t="str">
        <f aca="false">IF(C436="","",IFERROR(INDEX(LOOKAHEAD!$E$5:$E$604,MATCH(C436,LOOKAHEAD!$A$5:$A$604,0)),""))</f>
        <v/>
      </c>
      <c r="F436" s="16" t="str">
        <f aca="false">IF(C436="","",IFERROR(INDEX(LOOKAHEAD!$M$5:$M$604,MATCH(C436,LOOKAHEAD!$A$5:$A$604,0)),""))</f>
        <v/>
      </c>
      <c r="G436" s="9"/>
      <c r="H436" s="9"/>
      <c r="I436" s="16" t="str">
        <f aca="false">IF(C436="","",IFERROR(INDEX(LOOKAHEAD!$G$5:$G$604,MATCH(C436,LOOKAHEAD!$A$5:$A$604,0)),""))</f>
        <v/>
      </c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66" t="str">
        <f aca="false">IF(C436="","",SUM(J436:O436))</f>
        <v/>
      </c>
      <c r="W436" s="66" t="str">
        <f aca="false">IF(C436="","",SUM(P436:U436))</f>
        <v/>
      </c>
      <c r="X436" s="51" t="str">
        <f aca="false">IF(OR(C436="",V436=0),"",W436/V436)</f>
        <v/>
      </c>
      <c r="Y436" s="16" t="str">
        <f aca="false">IF(OR(C436="",V436=0),"",IF(W436&gt;=V436,"Sí","No"))</f>
        <v/>
      </c>
      <c r="Z436" s="9"/>
      <c r="AA436" s="9"/>
    </row>
    <row r="437" customFormat="false" ht="15" hidden="false" customHeight="false" outlineLevel="0" collapsed="false">
      <c r="A437" s="9"/>
      <c r="B437" s="9"/>
      <c r="C437" s="9"/>
      <c r="D437" s="16" t="str">
        <f aca="false">IF(C437="","",IFERROR(INDEX(LOOKAHEAD!$B$5:$B$604,MATCH(C437,LOOKAHEAD!$A$5:$A$604,0)),""))</f>
        <v/>
      </c>
      <c r="E437" s="16" t="str">
        <f aca="false">IF(C437="","",IFERROR(INDEX(LOOKAHEAD!$E$5:$E$604,MATCH(C437,LOOKAHEAD!$A$5:$A$604,0)),""))</f>
        <v/>
      </c>
      <c r="F437" s="16" t="str">
        <f aca="false">IF(C437="","",IFERROR(INDEX(LOOKAHEAD!$M$5:$M$604,MATCH(C437,LOOKAHEAD!$A$5:$A$604,0)),""))</f>
        <v/>
      </c>
      <c r="G437" s="9"/>
      <c r="H437" s="9"/>
      <c r="I437" s="16" t="str">
        <f aca="false">IF(C437="","",IFERROR(INDEX(LOOKAHEAD!$G$5:$G$604,MATCH(C437,LOOKAHEAD!$A$5:$A$604,0)),""))</f>
        <v/>
      </c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66" t="str">
        <f aca="false">IF(C437="","",SUM(J437:O437))</f>
        <v/>
      </c>
      <c r="W437" s="66" t="str">
        <f aca="false">IF(C437="","",SUM(P437:U437))</f>
        <v/>
      </c>
      <c r="X437" s="51" t="str">
        <f aca="false">IF(OR(C437="",V437=0),"",W437/V437)</f>
        <v/>
      </c>
      <c r="Y437" s="16" t="str">
        <f aca="false">IF(OR(C437="",V437=0),"",IF(W437&gt;=V437,"Sí","No"))</f>
        <v/>
      </c>
      <c r="Z437" s="9"/>
      <c r="AA437" s="9"/>
    </row>
    <row r="438" customFormat="false" ht="15" hidden="false" customHeight="false" outlineLevel="0" collapsed="false">
      <c r="A438" s="9"/>
      <c r="B438" s="9"/>
      <c r="C438" s="9"/>
      <c r="D438" s="16" t="str">
        <f aca="false">IF(C438="","",IFERROR(INDEX(LOOKAHEAD!$B$5:$B$604,MATCH(C438,LOOKAHEAD!$A$5:$A$604,0)),""))</f>
        <v/>
      </c>
      <c r="E438" s="16" t="str">
        <f aca="false">IF(C438="","",IFERROR(INDEX(LOOKAHEAD!$E$5:$E$604,MATCH(C438,LOOKAHEAD!$A$5:$A$604,0)),""))</f>
        <v/>
      </c>
      <c r="F438" s="16" t="str">
        <f aca="false">IF(C438="","",IFERROR(INDEX(LOOKAHEAD!$M$5:$M$604,MATCH(C438,LOOKAHEAD!$A$5:$A$604,0)),""))</f>
        <v/>
      </c>
      <c r="G438" s="9"/>
      <c r="H438" s="9"/>
      <c r="I438" s="16" t="str">
        <f aca="false">IF(C438="","",IFERROR(INDEX(LOOKAHEAD!$G$5:$G$604,MATCH(C438,LOOKAHEAD!$A$5:$A$604,0)),""))</f>
        <v/>
      </c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66" t="str">
        <f aca="false">IF(C438="","",SUM(J438:O438))</f>
        <v/>
      </c>
      <c r="W438" s="66" t="str">
        <f aca="false">IF(C438="","",SUM(P438:U438))</f>
        <v/>
      </c>
      <c r="X438" s="51" t="str">
        <f aca="false">IF(OR(C438="",V438=0),"",W438/V438)</f>
        <v/>
      </c>
      <c r="Y438" s="16" t="str">
        <f aca="false">IF(OR(C438="",V438=0),"",IF(W438&gt;=V438,"Sí","No"))</f>
        <v/>
      </c>
      <c r="Z438" s="9"/>
      <c r="AA438" s="9"/>
    </row>
    <row r="439" customFormat="false" ht="15" hidden="false" customHeight="false" outlineLevel="0" collapsed="false">
      <c r="A439" s="9"/>
      <c r="B439" s="9"/>
      <c r="C439" s="9"/>
      <c r="D439" s="16" t="str">
        <f aca="false">IF(C439="","",IFERROR(INDEX(LOOKAHEAD!$B$5:$B$604,MATCH(C439,LOOKAHEAD!$A$5:$A$604,0)),""))</f>
        <v/>
      </c>
      <c r="E439" s="16" t="str">
        <f aca="false">IF(C439="","",IFERROR(INDEX(LOOKAHEAD!$E$5:$E$604,MATCH(C439,LOOKAHEAD!$A$5:$A$604,0)),""))</f>
        <v/>
      </c>
      <c r="F439" s="16" t="str">
        <f aca="false">IF(C439="","",IFERROR(INDEX(LOOKAHEAD!$M$5:$M$604,MATCH(C439,LOOKAHEAD!$A$5:$A$604,0)),""))</f>
        <v/>
      </c>
      <c r="G439" s="9"/>
      <c r="H439" s="9"/>
      <c r="I439" s="16" t="str">
        <f aca="false">IF(C439="","",IFERROR(INDEX(LOOKAHEAD!$G$5:$G$604,MATCH(C439,LOOKAHEAD!$A$5:$A$604,0)),""))</f>
        <v/>
      </c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66" t="str">
        <f aca="false">IF(C439="","",SUM(J439:O439))</f>
        <v/>
      </c>
      <c r="W439" s="66" t="str">
        <f aca="false">IF(C439="","",SUM(P439:U439))</f>
        <v/>
      </c>
      <c r="X439" s="51" t="str">
        <f aca="false">IF(OR(C439="",V439=0),"",W439/V439)</f>
        <v/>
      </c>
      <c r="Y439" s="16" t="str">
        <f aca="false">IF(OR(C439="",V439=0),"",IF(W439&gt;=V439,"Sí","No"))</f>
        <v/>
      </c>
      <c r="Z439" s="9"/>
      <c r="AA439" s="9"/>
    </row>
    <row r="440" customFormat="false" ht="15" hidden="false" customHeight="false" outlineLevel="0" collapsed="false">
      <c r="A440" s="9"/>
      <c r="B440" s="9"/>
      <c r="C440" s="9"/>
      <c r="D440" s="16" t="str">
        <f aca="false">IF(C440="","",IFERROR(INDEX(LOOKAHEAD!$B$5:$B$604,MATCH(C440,LOOKAHEAD!$A$5:$A$604,0)),""))</f>
        <v/>
      </c>
      <c r="E440" s="16" t="str">
        <f aca="false">IF(C440="","",IFERROR(INDEX(LOOKAHEAD!$E$5:$E$604,MATCH(C440,LOOKAHEAD!$A$5:$A$604,0)),""))</f>
        <v/>
      </c>
      <c r="F440" s="16" t="str">
        <f aca="false">IF(C440="","",IFERROR(INDEX(LOOKAHEAD!$M$5:$M$604,MATCH(C440,LOOKAHEAD!$A$5:$A$604,0)),""))</f>
        <v/>
      </c>
      <c r="G440" s="9"/>
      <c r="H440" s="9"/>
      <c r="I440" s="16" t="str">
        <f aca="false">IF(C440="","",IFERROR(INDEX(LOOKAHEAD!$G$5:$G$604,MATCH(C440,LOOKAHEAD!$A$5:$A$604,0)),""))</f>
        <v/>
      </c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66" t="str">
        <f aca="false">IF(C440="","",SUM(J440:O440))</f>
        <v/>
      </c>
      <c r="W440" s="66" t="str">
        <f aca="false">IF(C440="","",SUM(P440:U440))</f>
        <v/>
      </c>
      <c r="X440" s="51" t="str">
        <f aca="false">IF(OR(C440="",V440=0),"",W440/V440)</f>
        <v/>
      </c>
      <c r="Y440" s="16" t="str">
        <f aca="false">IF(OR(C440="",V440=0),"",IF(W440&gt;=V440,"Sí","No"))</f>
        <v/>
      </c>
      <c r="Z440" s="9"/>
      <c r="AA440" s="9"/>
    </row>
    <row r="441" customFormat="false" ht="15" hidden="false" customHeight="false" outlineLevel="0" collapsed="false">
      <c r="A441" s="9"/>
      <c r="B441" s="9"/>
      <c r="C441" s="9"/>
      <c r="D441" s="16" t="str">
        <f aca="false">IF(C441="","",IFERROR(INDEX(LOOKAHEAD!$B$5:$B$604,MATCH(C441,LOOKAHEAD!$A$5:$A$604,0)),""))</f>
        <v/>
      </c>
      <c r="E441" s="16" t="str">
        <f aca="false">IF(C441="","",IFERROR(INDEX(LOOKAHEAD!$E$5:$E$604,MATCH(C441,LOOKAHEAD!$A$5:$A$604,0)),""))</f>
        <v/>
      </c>
      <c r="F441" s="16" t="str">
        <f aca="false">IF(C441="","",IFERROR(INDEX(LOOKAHEAD!$M$5:$M$604,MATCH(C441,LOOKAHEAD!$A$5:$A$604,0)),""))</f>
        <v/>
      </c>
      <c r="G441" s="9"/>
      <c r="H441" s="9"/>
      <c r="I441" s="16" t="str">
        <f aca="false">IF(C441="","",IFERROR(INDEX(LOOKAHEAD!$G$5:$G$604,MATCH(C441,LOOKAHEAD!$A$5:$A$604,0)),""))</f>
        <v/>
      </c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66" t="str">
        <f aca="false">IF(C441="","",SUM(J441:O441))</f>
        <v/>
      </c>
      <c r="W441" s="66" t="str">
        <f aca="false">IF(C441="","",SUM(P441:U441))</f>
        <v/>
      </c>
      <c r="X441" s="51" t="str">
        <f aca="false">IF(OR(C441="",V441=0),"",W441/V441)</f>
        <v/>
      </c>
      <c r="Y441" s="16" t="str">
        <f aca="false">IF(OR(C441="",V441=0),"",IF(W441&gt;=V441,"Sí","No"))</f>
        <v/>
      </c>
      <c r="Z441" s="9"/>
      <c r="AA441" s="9"/>
    </row>
    <row r="442" customFormat="false" ht="15" hidden="false" customHeight="false" outlineLevel="0" collapsed="false">
      <c r="A442" s="9"/>
      <c r="B442" s="9"/>
      <c r="C442" s="9"/>
      <c r="D442" s="16" t="str">
        <f aca="false">IF(C442="","",IFERROR(INDEX(LOOKAHEAD!$B$5:$B$604,MATCH(C442,LOOKAHEAD!$A$5:$A$604,0)),""))</f>
        <v/>
      </c>
      <c r="E442" s="16" t="str">
        <f aca="false">IF(C442="","",IFERROR(INDEX(LOOKAHEAD!$E$5:$E$604,MATCH(C442,LOOKAHEAD!$A$5:$A$604,0)),""))</f>
        <v/>
      </c>
      <c r="F442" s="16" t="str">
        <f aca="false">IF(C442="","",IFERROR(INDEX(LOOKAHEAD!$M$5:$M$604,MATCH(C442,LOOKAHEAD!$A$5:$A$604,0)),""))</f>
        <v/>
      </c>
      <c r="G442" s="9"/>
      <c r="H442" s="9"/>
      <c r="I442" s="16" t="str">
        <f aca="false">IF(C442="","",IFERROR(INDEX(LOOKAHEAD!$G$5:$G$604,MATCH(C442,LOOKAHEAD!$A$5:$A$604,0)),""))</f>
        <v/>
      </c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66" t="str">
        <f aca="false">IF(C442="","",SUM(J442:O442))</f>
        <v/>
      </c>
      <c r="W442" s="66" t="str">
        <f aca="false">IF(C442="","",SUM(P442:U442))</f>
        <v/>
      </c>
      <c r="X442" s="51" t="str">
        <f aca="false">IF(OR(C442="",V442=0),"",W442/V442)</f>
        <v/>
      </c>
      <c r="Y442" s="16" t="str">
        <f aca="false">IF(OR(C442="",V442=0),"",IF(W442&gt;=V442,"Sí","No"))</f>
        <v/>
      </c>
      <c r="Z442" s="9"/>
      <c r="AA442" s="9"/>
    </row>
    <row r="443" customFormat="false" ht="15" hidden="false" customHeight="false" outlineLevel="0" collapsed="false">
      <c r="A443" s="9"/>
      <c r="B443" s="9"/>
      <c r="C443" s="9"/>
      <c r="D443" s="16" t="str">
        <f aca="false">IF(C443="","",IFERROR(INDEX(LOOKAHEAD!$B$5:$B$604,MATCH(C443,LOOKAHEAD!$A$5:$A$604,0)),""))</f>
        <v/>
      </c>
      <c r="E443" s="16" t="str">
        <f aca="false">IF(C443="","",IFERROR(INDEX(LOOKAHEAD!$E$5:$E$604,MATCH(C443,LOOKAHEAD!$A$5:$A$604,0)),""))</f>
        <v/>
      </c>
      <c r="F443" s="16" t="str">
        <f aca="false">IF(C443="","",IFERROR(INDEX(LOOKAHEAD!$M$5:$M$604,MATCH(C443,LOOKAHEAD!$A$5:$A$604,0)),""))</f>
        <v/>
      </c>
      <c r="G443" s="9"/>
      <c r="H443" s="9"/>
      <c r="I443" s="16" t="str">
        <f aca="false">IF(C443="","",IFERROR(INDEX(LOOKAHEAD!$G$5:$G$604,MATCH(C443,LOOKAHEAD!$A$5:$A$604,0)),""))</f>
        <v/>
      </c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66" t="str">
        <f aca="false">IF(C443="","",SUM(J443:O443))</f>
        <v/>
      </c>
      <c r="W443" s="66" t="str">
        <f aca="false">IF(C443="","",SUM(P443:U443))</f>
        <v/>
      </c>
      <c r="X443" s="51" t="str">
        <f aca="false">IF(OR(C443="",V443=0),"",W443/V443)</f>
        <v/>
      </c>
      <c r="Y443" s="16" t="str">
        <f aca="false">IF(OR(C443="",V443=0),"",IF(W443&gt;=V443,"Sí","No"))</f>
        <v/>
      </c>
      <c r="Z443" s="9"/>
      <c r="AA443" s="9"/>
    </row>
    <row r="444" customFormat="false" ht="15" hidden="false" customHeight="false" outlineLevel="0" collapsed="false">
      <c r="A444" s="9"/>
      <c r="B444" s="9"/>
      <c r="C444" s="9"/>
      <c r="D444" s="16" t="str">
        <f aca="false">IF(C444="","",IFERROR(INDEX(LOOKAHEAD!$B$5:$B$604,MATCH(C444,LOOKAHEAD!$A$5:$A$604,0)),""))</f>
        <v/>
      </c>
      <c r="E444" s="16" t="str">
        <f aca="false">IF(C444="","",IFERROR(INDEX(LOOKAHEAD!$E$5:$E$604,MATCH(C444,LOOKAHEAD!$A$5:$A$604,0)),""))</f>
        <v/>
      </c>
      <c r="F444" s="16" t="str">
        <f aca="false">IF(C444="","",IFERROR(INDEX(LOOKAHEAD!$M$5:$M$604,MATCH(C444,LOOKAHEAD!$A$5:$A$604,0)),""))</f>
        <v/>
      </c>
      <c r="G444" s="9"/>
      <c r="H444" s="9"/>
      <c r="I444" s="16" t="str">
        <f aca="false">IF(C444="","",IFERROR(INDEX(LOOKAHEAD!$G$5:$G$604,MATCH(C444,LOOKAHEAD!$A$5:$A$604,0)),""))</f>
        <v/>
      </c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66" t="str">
        <f aca="false">IF(C444="","",SUM(J444:O444))</f>
        <v/>
      </c>
      <c r="W444" s="66" t="str">
        <f aca="false">IF(C444="","",SUM(P444:U444))</f>
        <v/>
      </c>
      <c r="X444" s="51" t="str">
        <f aca="false">IF(OR(C444="",V444=0),"",W444/V444)</f>
        <v/>
      </c>
      <c r="Y444" s="16" t="str">
        <f aca="false">IF(OR(C444="",V444=0),"",IF(W444&gt;=V444,"Sí","No"))</f>
        <v/>
      </c>
      <c r="Z444" s="9"/>
      <c r="AA444" s="9"/>
    </row>
    <row r="445" customFormat="false" ht="15" hidden="false" customHeight="false" outlineLevel="0" collapsed="false">
      <c r="A445" s="9"/>
      <c r="B445" s="9"/>
      <c r="C445" s="9"/>
      <c r="D445" s="16" t="str">
        <f aca="false">IF(C445="","",IFERROR(INDEX(LOOKAHEAD!$B$5:$B$604,MATCH(C445,LOOKAHEAD!$A$5:$A$604,0)),""))</f>
        <v/>
      </c>
      <c r="E445" s="16" t="str">
        <f aca="false">IF(C445="","",IFERROR(INDEX(LOOKAHEAD!$E$5:$E$604,MATCH(C445,LOOKAHEAD!$A$5:$A$604,0)),""))</f>
        <v/>
      </c>
      <c r="F445" s="16" t="str">
        <f aca="false">IF(C445="","",IFERROR(INDEX(LOOKAHEAD!$M$5:$M$604,MATCH(C445,LOOKAHEAD!$A$5:$A$604,0)),""))</f>
        <v/>
      </c>
      <c r="G445" s="9"/>
      <c r="H445" s="9"/>
      <c r="I445" s="16" t="str">
        <f aca="false">IF(C445="","",IFERROR(INDEX(LOOKAHEAD!$G$5:$G$604,MATCH(C445,LOOKAHEAD!$A$5:$A$604,0)),""))</f>
        <v/>
      </c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66" t="str">
        <f aca="false">IF(C445="","",SUM(J445:O445))</f>
        <v/>
      </c>
      <c r="W445" s="66" t="str">
        <f aca="false">IF(C445="","",SUM(P445:U445))</f>
        <v/>
      </c>
      <c r="X445" s="51" t="str">
        <f aca="false">IF(OR(C445="",V445=0),"",W445/V445)</f>
        <v/>
      </c>
      <c r="Y445" s="16" t="str">
        <f aca="false">IF(OR(C445="",V445=0),"",IF(W445&gt;=V445,"Sí","No"))</f>
        <v/>
      </c>
      <c r="Z445" s="9"/>
      <c r="AA445" s="9"/>
    </row>
    <row r="446" customFormat="false" ht="15" hidden="false" customHeight="false" outlineLevel="0" collapsed="false">
      <c r="A446" s="9"/>
      <c r="B446" s="9"/>
      <c r="C446" s="9"/>
      <c r="D446" s="16" t="str">
        <f aca="false">IF(C446="","",IFERROR(INDEX(LOOKAHEAD!$B$5:$B$604,MATCH(C446,LOOKAHEAD!$A$5:$A$604,0)),""))</f>
        <v/>
      </c>
      <c r="E446" s="16" t="str">
        <f aca="false">IF(C446="","",IFERROR(INDEX(LOOKAHEAD!$E$5:$E$604,MATCH(C446,LOOKAHEAD!$A$5:$A$604,0)),""))</f>
        <v/>
      </c>
      <c r="F446" s="16" t="str">
        <f aca="false">IF(C446="","",IFERROR(INDEX(LOOKAHEAD!$M$5:$M$604,MATCH(C446,LOOKAHEAD!$A$5:$A$604,0)),""))</f>
        <v/>
      </c>
      <c r="G446" s="9"/>
      <c r="H446" s="9"/>
      <c r="I446" s="16" t="str">
        <f aca="false">IF(C446="","",IFERROR(INDEX(LOOKAHEAD!$G$5:$G$604,MATCH(C446,LOOKAHEAD!$A$5:$A$604,0)),""))</f>
        <v/>
      </c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66" t="str">
        <f aca="false">IF(C446="","",SUM(J446:O446))</f>
        <v/>
      </c>
      <c r="W446" s="66" t="str">
        <f aca="false">IF(C446="","",SUM(P446:U446))</f>
        <v/>
      </c>
      <c r="X446" s="51" t="str">
        <f aca="false">IF(OR(C446="",V446=0),"",W446/V446)</f>
        <v/>
      </c>
      <c r="Y446" s="16" t="str">
        <f aca="false">IF(OR(C446="",V446=0),"",IF(W446&gt;=V446,"Sí","No"))</f>
        <v/>
      </c>
      <c r="Z446" s="9"/>
      <c r="AA446" s="9"/>
    </row>
    <row r="447" customFormat="false" ht="15" hidden="false" customHeight="false" outlineLevel="0" collapsed="false">
      <c r="A447" s="9"/>
      <c r="B447" s="9"/>
      <c r="C447" s="9"/>
      <c r="D447" s="16" t="str">
        <f aca="false">IF(C447="","",IFERROR(INDEX(LOOKAHEAD!$B$5:$B$604,MATCH(C447,LOOKAHEAD!$A$5:$A$604,0)),""))</f>
        <v/>
      </c>
      <c r="E447" s="16" t="str">
        <f aca="false">IF(C447="","",IFERROR(INDEX(LOOKAHEAD!$E$5:$E$604,MATCH(C447,LOOKAHEAD!$A$5:$A$604,0)),""))</f>
        <v/>
      </c>
      <c r="F447" s="16" t="str">
        <f aca="false">IF(C447="","",IFERROR(INDEX(LOOKAHEAD!$M$5:$M$604,MATCH(C447,LOOKAHEAD!$A$5:$A$604,0)),""))</f>
        <v/>
      </c>
      <c r="G447" s="9"/>
      <c r="H447" s="9"/>
      <c r="I447" s="16" t="str">
        <f aca="false">IF(C447="","",IFERROR(INDEX(LOOKAHEAD!$G$5:$G$604,MATCH(C447,LOOKAHEAD!$A$5:$A$604,0)),""))</f>
        <v/>
      </c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66" t="str">
        <f aca="false">IF(C447="","",SUM(J447:O447))</f>
        <v/>
      </c>
      <c r="W447" s="66" t="str">
        <f aca="false">IF(C447="","",SUM(P447:U447))</f>
        <v/>
      </c>
      <c r="X447" s="51" t="str">
        <f aca="false">IF(OR(C447="",V447=0),"",W447/V447)</f>
        <v/>
      </c>
      <c r="Y447" s="16" t="str">
        <f aca="false">IF(OR(C447="",V447=0),"",IF(W447&gt;=V447,"Sí","No"))</f>
        <v/>
      </c>
      <c r="Z447" s="9"/>
      <c r="AA447" s="9"/>
    </row>
    <row r="448" customFormat="false" ht="15" hidden="false" customHeight="false" outlineLevel="0" collapsed="false">
      <c r="A448" s="9"/>
      <c r="B448" s="9"/>
      <c r="C448" s="9"/>
      <c r="D448" s="16" t="str">
        <f aca="false">IF(C448="","",IFERROR(INDEX(LOOKAHEAD!$B$5:$B$604,MATCH(C448,LOOKAHEAD!$A$5:$A$604,0)),""))</f>
        <v/>
      </c>
      <c r="E448" s="16" t="str">
        <f aca="false">IF(C448="","",IFERROR(INDEX(LOOKAHEAD!$E$5:$E$604,MATCH(C448,LOOKAHEAD!$A$5:$A$604,0)),""))</f>
        <v/>
      </c>
      <c r="F448" s="16" t="str">
        <f aca="false">IF(C448="","",IFERROR(INDEX(LOOKAHEAD!$M$5:$M$604,MATCH(C448,LOOKAHEAD!$A$5:$A$604,0)),""))</f>
        <v/>
      </c>
      <c r="G448" s="9"/>
      <c r="H448" s="9"/>
      <c r="I448" s="16" t="str">
        <f aca="false">IF(C448="","",IFERROR(INDEX(LOOKAHEAD!$G$5:$G$604,MATCH(C448,LOOKAHEAD!$A$5:$A$604,0)),""))</f>
        <v/>
      </c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66" t="str">
        <f aca="false">IF(C448="","",SUM(J448:O448))</f>
        <v/>
      </c>
      <c r="W448" s="66" t="str">
        <f aca="false">IF(C448="","",SUM(P448:U448))</f>
        <v/>
      </c>
      <c r="X448" s="51" t="str">
        <f aca="false">IF(OR(C448="",V448=0),"",W448/V448)</f>
        <v/>
      </c>
      <c r="Y448" s="16" t="str">
        <f aca="false">IF(OR(C448="",V448=0),"",IF(W448&gt;=V448,"Sí","No"))</f>
        <v/>
      </c>
      <c r="Z448" s="9"/>
      <c r="AA448" s="9"/>
    </row>
    <row r="449" customFormat="false" ht="15" hidden="false" customHeight="false" outlineLevel="0" collapsed="false">
      <c r="A449" s="9"/>
      <c r="B449" s="9"/>
      <c r="C449" s="9"/>
      <c r="D449" s="16" t="str">
        <f aca="false">IF(C449="","",IFERROR(INDEX(LOOKAHEAD!$B$5:$B$604,MATCH(C449,LOOKAHEAD!$A$5:$A$604,0)),""))</f>
        <v/>
      </c>
      <c r="E449" s="16" t="str">
        <f aca="false">IF(C449="","",IFERROR(INDEX(LOOKAHEAD!$E$5:$E$604,MATCH(C449,LOOKAHEAD!$A$5:$A$604,0)),""))</f>
        <v/>
      </c>
      <c r="F449" s="16" t="str">
        <f aca="false">IF(C449="","",IFERROR(INDEX(LOOKAHEAD!$M$5:$M$604,MATCH(C449,LOOKAHEAD!$A$5:$A$604,0)),""))</f>
        <v/>
      </c>
      <c r="G449" s="9"/>
      <c r="H449" s="9"/>
      <c r="I449" s="16" t="str">
        <f aca="false">IF(C449="","",IFERROR(INDEX(LOOKAHEAD!$G$5:$G$604,MATCH(C449,LOOKAHEAD!$A$5:$A$604,0)),""))</f>
        <v/>
      </c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66" t="str">
        <f aca="false">IF(C449="","",SUM(J449:O449))</f>
        <v/>
      </c>
      <c r="W449" s="66" t="str">
        <f aca="false">IF(C449="","",SUM(P449:U449))</f>
        <v/>
      </c>
      <c r="X449" s="51" t="str">
        <f aca="false">IF(OR(C449="",V449=0),"",W449/V449)</f>
        <v/>
      </c>
      <c r="Y449" s="16" t="str">
        <f aca="false">IF(OR(C449="",V449=0),"",IF(W449&gt;=V449,"Sí","No"))</f>
        <v/>
      </c>
      <c r="Z449" s="9"/>
      <c r="AA449" s="9"/>
    </row>
    <row r="450" customFormat="false" ht="15" hidden="false" customHeight="false" outlineLevel="0" collapsed="false">
      <c r="A450" s="9"/>
      <c r="B450" s="9"/>
      <c r="C450" s="9"/>
      <c r="D450" s="16" t="str">
        <f aca="false">IF(C450="","",IFERROR(INDEX(LOOKAHEAD!$B$5:$B$604,MATCH(C450,LOOKAHEAD!$A$5:$A$604,0)),""))</f>
        <v/>
      </c>
      <c r="E450" s="16" t="str">
        <f aca="false">IF(C450="","",IFERROR(INDEX(LOOKAHEAD!$E$5:$E$604,MATCH(C450,LOOKAHEAD!$A$5:$A$604,0)),""))</f>
        <v/>
      </c>
      <c r="F450" s="16" t="str">
        <f aca="false">IF(C450="","",IFERROR(INDEX(LOOKAHEAD!$M$5:$M$604,MATCH(C450,LOOKAHEAD!$A$5:$A$604,0)),""))</f>
        <v/>
      </c>
      <c r="G450" s="9"/>
      <c r="H450" s="9"/>
      <c r="I450" s="16" t="str">
        <f aca="false">IF(C450="","",IFERROR(INDEX(LOOKAHEAD!$G$5:$G$604,MATCH(C450,LOOKAHEAD!$A$5:$A$604,0)),""))</f>
        <v/>
      </c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66" t="str">
        <f aca="false">IF(C450="","",SUM(J450:O450))</f>
        <v/>
      </c>
      <c r="W450" s="66" t="str">
        <f aca="false">IF(C450="","",SUM(P450:U450))</f>
        <v/>
      </c>
      <c r="X450" s="51" t="str">
        <f aca="false">IF(OR(C450="",V450=0),"",W450/V450)</f>
        <v/>
      </c>
      <c r="Y450" s="16" t="str">
        <f aca="false">IF(OR(C450="",V450=0),"",IF(W450&gt;=V450,"Sí","No"))</f>
        <v/>
      </c>
      <c r="Z450" s="9"/>
      <c r="AA450" s="9"/>
    </row>
    <row r="451" customFormat="false" ht="15" hidden="false" customHeight="false" outlineLevel="0" collapsed="false">
      <c r="A451" s="9"/>
      <c r="B451" s="9"/>
      <c r="C451" s="9"/>
      <c r="D451" s="16" t="str">
        <f aca="false">IF(C451="","",IFERROR(INDEX(LOOKAHEAD!$B$5:$B$604,MATCH(C451,LOOKAHEAD!$A$5:$A$604,0)),""))</f>
        <v/>
      </c>
      <c r="E451" s="16" t="str">
        <f aca="false">IF(C451="","",IFERROR(INDEX(LOOKAHEAD!$E$5:$E$604,MATCH(C451,LOOKAHEAD!$A$5:$A$604,0)),""))</f>
        <v/>
      </c>
      <c r="F451" s="16" t="str">
        <f aca="false">IF(C451="","",IFERROR(INDEX(LOOKAHEAD!$M$5:$M$604,MATCH(C451,LOOKAHEAD!$A$5:$A$604,0)),""))</f>
        <v/>
      </c>
      <c r="G451" s="9"/>
      <c r="H451" s="9"/>
      <c r="I451" s="16" t="str">
        <f aca="false">IF(C451="","",IFERROR(INDEX(LOOKAHEAD!$G$5:$G$604,MATCH(C451,LOOKAHEAD!$A$5:$A$604,0)),""))</f>
        <v/>
      </c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66" t="str">
        <f aca="false">IF(C451="","",SUM(J451:O451))</f>
        <v/>
      </c>
      <c r="W451" s="66" t="str">
        <f aca="false">IF(C451="","",SUM(P451:U451))</f>
        <v/>
      </c>
      <c r="X451" s="51" t="str">
        <f aca="false">IF(OR(C451="",V451=0),"",W451/V451)</f>
        <v/>
      </c>
      <c r="Y451" s="16" t="str">
        <f aca="false">IF(OR(C451="",V451=0),"",IF(W451&gt;=V451,"Sí","No"))</f>
        <v/>
      </c>
      <c r="Z451" s="9"/>
      <c r="AA451" s="9"/>
    </row>
    <row r="452" customFormat="false" ht="15" hidden="false" customHeight="false" outlineLevel="0" collapsed="false">
      <c r="A452" s="9"/>
      <c r="B452" s="9"/>
      <c r="C452" s="9"/>
      <c r="D452" s="16" t="str">
        <f aca="false">IF(C452="","",IFERROR(INDEX(LOOKAHEAD!$B$5:$B$604,MATCH(C452,LOOKAHEAD!$A$5:$A$604,0)),""))</f>
        <v/>
      </c>
      <c r="E452" s="16" t="str">
        <f aca="false">IF(C452="","",IFERROR(INDEX(LOOKAHEAD!$E$5:$E$604,MATCH(C452,LOOKAHEAD!$A$5:$A$604,0)),""))</f>
        <v/>
      </c>
      <c r="F452" s="16" t="str">
        <f aca="false">IF(C452="","",IFERROR(INDEX(LOOKAHEAD!$M$5:$M$604,MATCH(C452,LOOKAHEAD!$A$5:$A$604,0)),""))</f>
        <v/>
      </c>
      <c r="G452" s="9"/>
      <c r="H452" s="9"/>
      <c r="I452" s="16" t="str">
        <f aca="false">IF(C452="","",IFERROR(INDEX(LOOKAHEAD!$G$5:$G$604,MATCH(C452,LOOKAHEAD!$A$5:$A$604,0)),""))</f>
        <v/>
      </c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66" t="str">
        <f aca="false">IF(C452="","",SUM(J452:O452))</f>
        <v/>
      </c>
      <c r="W452" s="66" t="str">
        <f aca="false">IF(C452="","",SUM(P452:U452))</f>
        <v/>
      </c>
      <c r="X452" s="51" t="str">
        <f aca="false">IF(OR(C452="",V452=0),"",W452/V452)</f>
        <v/>
      </c>
      <c r="Y452" s="16" t="str">
        <f aca="false">IF(OR(C452="",V452=0),"",IF(W452&gt;=V452,"Sí","No"))</f>
        <v/>
      </c>
      <c r="Z452" s="9"/>
      <c r="AA452" s="9"/>
    </row>
    <row r="453" customFormat="false" ht="15" hidden="false" customHeight="false" outlineLevel="0" collapsed="false">
      <c r="A453" s="9"/>
      <c r="B453" s="9"/>
      <c r="C453" s="9"/>
      <c r="D453" s="16" t="str">
        <f aca="false">IF(C453="","",IFERROR(INDEX(LOOKAHEAD!$B$5:$B$604,MATCH(C453,LOOKAHEAD!$A$5:$A$604,0)),""))</f>
        <v/>
      </c>
      <c r="E453" s="16" t="str">
        <f aca="false">IF(C453="","",IFERROR(INDEX(LOOKAHEAD!$E$5:$E$604,MATCH(C453,LOOKAHEAD!$A$5:$A$604,0)),""))</f>
        <v/>
      </c>
      <c r="F453" s="16" t="str">
        <f aca="false">IF(C453="","",IFERROR(INDEX(LOOKAHEAD!$M$5:$M$604,MATCH(C453,LOOKAHEAD!$A$5:$A$604,0)),""))</f>
        <v/>
      </c>
      <c r="G453" s="9"/>
      <c r="H453" s="9"/>
      <c r="I453" s="16" t="str">
        <f aca="false">IF(C453="","",IFERROR(INDEX(LOOKAHEAD!$G$5:$G$604,MATCH(C453,LOOKAHEAD!$A$5:$A$604,0)),""))</f>
        <v/>
      </c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66" t="str">
        <f aca="false">IF(C453="","",SUM(J453:O453))</f>
        <v/>
      </c>
      <c r="W453" s="66" t="str">
        <f aca="false">IF(C453="","",SUM(P453:U453))</f>
        <v/>
      </c>
      <c r="X453" s="51" t="str">
        <f aca="false">IF(OR(C453="",V453=0),"",W453/V453)</f>
        <v/>
      </c>
      <c r="Y453" s="16" t="str">
        <f aca="false">IF(OR(C453="",V453=0),"",IF(W453&gt;=V453,"Sí","No"))</f>
        <v/>
      </c>
      <c r="Z453" s="9"/>
      <c r="AA453" s="9"/>
    </row>
    <row r="454" customFormat="false" ht="15" hidden="false" customHeight="false" outlineLevel="0" collapsed="false">
      <c r="A454" s="9"/>
      <c r="B454" s="9"/>
      <c r="C454" s="9"/>
      <c r="D454" s="16" t="str">
        <f aca="false">IF(C454="","",IFERROR(INDEX(LOOKAHEAD!$B$5:$B$604,MATCH(C454,LOOKAHEAD!$A$5:$A$604,0)),""))</f>
        <v/>
      </c>
      <c r="E454" s="16" t="str">
        <f aca="false">IF(C454="","",IFERROR(INDEX(LOOKAHEAD!$E$5:$E$604,MATCH(C454,LOOKAHEAD!$A$5:$A$604,0)),""))</f>
        <v/>
      </c>
      <c r="F454" s="16" t="str">
        <f aca="false">IF(C454="","",IFERROR(INDEX(LOOKAHEAD!$M$5:$M$604,MATCH(C454,LOOKAHEAD!$A$5:$A$604,0)),""))</f>
        <v/>
      </c>
      <c r="G454" s="9"/>
      <c r="H454" s="9"/>
      <c r="I454" s="16" t="str">
        <f aca="false">IF(C454="","",IFERROR(INDEX(LOOKAHEAD!$G$5:$G$604,MATCH(C454,LOOKAHEAD!$A$5:$A$604,0)),""))</f>
        <v/>
      </c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66" t="str">
        <f aca="false">IF(C454="","",SUM(J454:O454))</f>
        <v/>
      </c>
      <c r="W454" s="66" t="str">
        <f aca="false">IF(C454="","",SUM(P454:U454))</f>
        <v/>
      </c>
      <c r="X454" s="51" t="str">
        <f aca="false">IF(OR(C454="",V454=0),"",W454/V454)</f>
        <v/>
      </c>
      <c r="Y454" s="16" t="str">
        <f aca="false">IF(OR(C454="",V454=0),"",IF(W454&gt;=V454,"Sí","No"))</f>
        <v/>
      </c>
      <c r="Z454" s="9"/>
      <c r="AA454" s="9"/>
    </row>
    <row r="455" customFormat="false" ht="15" hidden="false" customHeight="false" outlineLevel="0" collapsed="false">
      <c r="A455" s="9"/>
      <c r="B455" s="9"/>
      <c r="C455" s="9"/>
      <c r="D455" s="16" t="str">
        <f aca="false">IF(C455="","",IFERROR(INDEX(LOOKAHEAD!$B$5:$B$604,MATCH(C455,LOOKAHEAD!$A$5:$A$604,0)),""))</f>
        <v/>
      </c>
      <c r="E455" s="16" t="str">
        <f aca="false">IF(C455="","",IFERROR(INDEX(LOOKAHEAD!$E$5:$E$604,MATCH(C455,LOOKAHEAD!$A$5:$A$604,0)),""))</f>
        <v/>
      </c>
      <c r="F455" s="16" t="str">
        <f aca="false">IF(C455="","",IFERROR(INDEX(LOOKAHEAD!$M$5:$M$604,MATCH(C455,LOOKAHEAD!$A$5:$A$604,0)),""))</f>
        <v/>
      </c>
      <c r="G455" s="9"/>
      <c r="H455" s="9"/>
      <c r="I455" s="16" t="str">
        <f aca="false">IF(C455="","",IFERROR(INDEX(LOOKAHEAD!$G$5:$G$604,MATCH(C455,LOOKAHEAD!$A$5:$A$604,0)),""))</f>
        <v/>
      </c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66" t="str">
        <f aca="false">IF(C455="","",SUM(J455:O455))</f>
        <v/>
      </c>
      <c r="W455" s="66" t="str">
        <f aca="false">IF(C455="","",SUM(P455:U455))</f>
        <v/>
      </c>
      <c r="X455" s="51" t="str">
        <f aca="false">IF(OR(C455="",V455=0),"",W455/V455)</f>
        <v/>
      </c>
      <c r="Y455" s="16" t="str">
        <f aca="false">IF(OR(C455="",V455=0),"",IF(W455&gt;=V455,"Sí","No"))</f>
        <v/>
      </c>
      <c r="Z455" s="9"/>
      <c r="AA455" s="9"/>
    </row>
    <row r="456" customFormat="false" ht="15" hidden="false" customHeight="false" outlineLevel="0" collapsed="false">
      <c r="A456" s="9"/>
      <c r="B456" s="9"/>
      <c r="C456" s="9"/>
      <c r="D456" s="16" t="str">
        <f aca="false">IF(C456="","",IFERROR(INDEX(LOOKAHEAD!$B$5:$B$604,MATCH(C456,LOOKAHEAD!$A$5:$A$604,0)),""))</f>
        <v/>
      </c>
      <c r="E456" s="16" t="str">
        <f aca="false">IF(C456="","",IFERROR(INDEX(LOOKAHEAD!$E$5:$E$604,MATCH(C456,LOOKAHEAD!$A$5:$A$604,0)),""))</f>
        <v/>
      </c>
      <c r="F456" s="16" t="str">
        <f aca="false">IF(C456="","",IFERROR(INDEX(LOOKAHEAD!$M$5:$M$604,MATCH(C456,LOOKAHEAD!$A$5:$A$604,0)),""))</f>
        <v/>
      </c>
      <c r="G456" s="9"/>
      <c r="H456" s="9"/>
      <c r="I456" s="16" t="str">
        <f aca="false">IF(C456="","",IFERROR(INDEX(LOOKAHEAD!$G$5:$G$604,MATCH(C456,LOOKAHEAD!$A$5:$A$604,0)),""))</f>
        <v/>
      </c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66" t="str">
        <f aca="false">IF(C456="","",SUM(J456:O456))</f>
        <v/>
      </c>
      <c r="W456" s="66" t="str">
        <f aca="false">IF(C456="","",SUM(P456:U456))</f>
        <v/>
      </c>
      <c r="X456" s="51" t="str">
        <f aca="false">IF(OR(C456="",V456=0),"",W456/V456)</f>
        <v/>
      </c>
      <c r="Y456" s="16" t="str">
        <f aca="false">IF(OR(C456="",V456=0),"",IF(W456&gt;=V456,"Sí","No"))</f>
        <v/>
      </c>
      <c r="Z456" s="9"/>
      <c r="AA456" s="9"/>
    </row>
    <row r="457" customFormat="false" ht="15" hidden="false" customHeight="false" outlineLevel="0" collapsed="false">
      <c r="A457" s="9"/>
      <c r="B457" s="9"/>
      <c r="C457" s="9"/>
      <c r="D457" s="16" t="str">
        <f aca="false">IF(C457="","",IFERROR(INDEX(LOOKAHEAD!$B$5:$B$604,MATCH(C457,LOOKAHEAD!$A$5:$A$604,0)),""))</f>
        <v/>
      </c>
      <c r="E457" s="16" t="str">
        <f aca="false">IF(C457="","",IFERROR(INDEX(LOOKAHEAD!$E$5:$E$604,MATCH(C457,LOOKAHEAD!$A$5:$A$604,0)),""))</f>
        <v/>
      </c>
      <c r="F457" s="16" t="str">
        <f aca="false">IF(C457="","",IFERROR(INDEX(LOOKAHEAD!$M$5:$M$604,MATCH(C457,LOOKAHEAD!$A$5:$A$604,0)),""))</f>
        <v/>
      </c>
      <c r="G457" s="9"/>
      <c r="H457" s="9"/>
      <c r="I457" s="16" t="str">
        <f aca="false">IF(C457="","",IFERROR(INDEX(LOOKAHEAD!$G$5:$G$604,MATCH(C457,LOOKAHEAD!$A$5:$A$604,0)),""))</f>
        <v/>
      </c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66" t="str">
        <f aca="false">IF(C457="","",SUM(J457:O457))</f>
        <v/>
      </c>
      <c r="W457" s="66" t="str">
        <f aca="false">IF(C457="","",SUM(P457:U457))</f>
        <v/>
      </c>
      <c r="X457" s="51" t="str">
        <f aca="false">IF(OR(C457="",V457=0),"",W457/V457)</f>
        <v/>
      </c>
      <c r="Y457" s="16" t="str">
        <f aca="false">IF(OR(C457="",V457=0),"",IF(W457&gt;=V457,"Sí","No"))</f>
        <v/>
      </c>
      <c r="Z457" s="9"/>
      <c r="AA457" s="9"/>
    </row>
    <row r="458" customFormat="false" ht="15" hidden="false" customHeight="false" outlineLevel="0" collapsed="false">
      <c r="A458" s="9"/>
      <c r="B458" s="9"/>
      <c r="C458" s="9"/>
      <c r="D458" s="16" t="str">
        <f aca="false">IF(C458="","",IFERROR(INDEX(LOOKAHEAD!$B$5:$B$604,MATCH(C458,LOOKAHEAD!$A$5:$A$604,0)),""))</f>
        <v/>
      </c>
      <c r="E458" s="16" t="str">
        <f aca="false">IF(C458="","",IFERROR(INDEX(LOOKAHEAD!$E$5:$E$604,MATCH(C458,LOOKAHEAD!$A$5:$A$604,0)),""))</f>
        <v/>
      </c>
      <c r="F458" s="16" t="str">
        <f aca="false">IF(C458="","",IFERROR(INDEX(LOOKAHEAD!$M$5:$M$604,MATCH(C458,LOOKAHEAD!$A$5:$A$604,0)),""))</f>
        <v/>
      </c>
      <c r="G458" s="9"/>
      <c r="H458" s="9"/>
      <c r="I458" s="16" t="str">
        <f aca="false">IF(C458="","",IFERROR(INDEX(LOOKAHEAD!$G$5:$G$604,MATCH(C458,LOOKAHEAD!$A$5:$A$604,0)),""))</f>
        <v/>
      </c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66" t="str">
        <f aca="false">IF(C458="","",SUM(J458:O458))</f>
        <v/>
      </c>
      <c r="W458" s="66" t="str">
        <f aca="false">IF(C458="","",SUM(P458:U458))</f>
        <v/>
      </c>
      <c r="X458" s="51" t="str">
        <f aca="false">IF(OR(C458="",V458=0),"",W458/V458)</f>
        <v/>
      </c>
      <c r="Y458" s="16" t="str">
        <f aca="false">IF(OR(C458="",V458=0),"",IF(W458&gt;=V458,"Sí","No"))</f>
        <v/>
      </c>
      <c r="Z458" s="9"/>
      <c r="AA458" s="9"/>
    </row>
    <row r="459" customFormat="false" ht="15" hidden="false" customHeight="false" outlineLevel="0" collapsed="false">
      <c r="A459" s="9"/>
      <c r="B459" s="9"/>
      <c r="C459" s="9"/>
      <c r="D459" s="16" t="str">
        <f aca="false">IF(C459="","",IFERROR(INDEX(LOOKAHEAD!$B$5:$B$604,MATCH(C459,LOOKAHEAD!$A$5:$A$604,0)),""))</f>
        <v/>
      </c>
      <c r="E459" s="16" t="str">
        <f aca="false">IF(C459="","",IFERROR(INDEX(LOOKAHEAD!$E$5:$E$604,MATCH(C459,LOOKAHEAD!$A$5:$A$604,0)),""))</f>
        <v/>
      </c>
      <c r="F459" s="16" t="str">
        <f aca="false">IF(C459="","",IFERROR(INDEX(LOOKAHEAD!$M$5:$M$604,MATCH(C459,LOOKAHEAD!$A$5:$A$604,0)),""))</f>
        <v/>
      </c>
      <c r="G459" s="9"/>
      <c r="H459" s="9"/>
      <c r="I459" s="16" t="str">
        <f aca="false">IF(C459="","",IFERROR(INDEX(LOOKAHEAD!$G$5:$G$604,MATCH(C459,LOOKAHEAD!$A$5:$A$604,0)),""))</f>
        <v/>
      </c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66" t="str">
        <f aca="false">IF(C459="","",SUM(J459:O459))</f>
        <v/>
      </c>
      <c r="W459" s="66" t="str">
        <f aca="false">IF(C459="","",SUM(P459:U459))</f>
        <v/>
      </c>
      <c r="X459" s="51" t="str">
        <f aca="false">IF(OR(C459="",V459=0),"",W459/V459)</f>
        <v/>
      </c>
      <c r="Y459" s="16" t="str">
        <f aca="false">IF(OR(C459="",V459=0),"",IF(W459&gt;=V459,"Sí","No"))</f>
        <v/>
      </c>
      <c r="Z459" s="9"/>
      <c r="AA459" s="9"/>
    </row>
    <row r="460" customFormat="false" ht="15" hidden="false" customHeight="false" outlineLevel="0" collapsed="false">
      <c r="A460" s="9"/>
      <c r="B460" s="9"/>
      <c r="C460" s="9"/>
      <c r="D460" s="16" t="str">
        <f aca="false">IF(C460="","",IFERROR(INDEX(LOOKAHEAD!$B$5:$B$604,MATCH(C460,LOOKAHEAD!$A$5:$A$604,0)),""))</f>
        <v/>
      </c>
      <c r="E460" s="16" t="str">
        <f aca="false">IF(C460="","",IFERROR(INDEX(LOOKAHEAD!$E$5:$E$604,MATCH(C460,LOOKAHEAD!$A$5:$A$604,0)),""))</f>
        <v/>
      </c>
      <c r="F460" s="16" t="str">
        <f aca="false">IF(C460="","",IFERROR(INDEX(LOOKAHEAD!$M$5:$M$604,MATCH(C460,LOOKAHEAD!$A$5:$A$604,0)),""))</f>
        <v/>
      </c>
      <c r="G460" s="9"/>
      <c r="H460" s="9"/>
      <c r="I460" s="16" t="str">
        <f aca="false">IF(C460="","",IFERROR(INDEX(LOOKAHEAD!$G$5:$G$604,MATCH(C460,LOOKAHEAD!$A$5:$A$604,0)),""))</f>
        <v/>
      </c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66" t="str">
        <f aca="false">IF(C460="","",SUM(J460:O460))</f>
        <v/>
      </c>
      <c r="W460" s="66" t="str">
        <f aca="false">IF(C460="","",SUM(P460:U460))</f>
        <v/>
      </c>
      <c r="X460" s="51" t="str">
        <f aca="false">IF(OR(C460="",V460=0),"",W460/V460)</f>
        <v/>
      </c>
      <c r="Y460" s="16" t="str">
        <f aca="false">IF(OR(C460="",V460=0),"",IF(W460&gt;=V460,"Sí","No"))</f>
        <v/>
      </c>
      <c r="Z460" s="9"/>
      <c r="AA460" s="9"/>
    </row>
    <row r="461" customFormat="false" ht="15" hidden="false" customHeight="false" outlineLevel="0" collapsed="false">
      <c r="A461" s="9"/>
      <c r="B461" s="9"/>
      <c r="C461" s="9"/>
      <c r="D461" s="16" t="str">
        <f aca="false">IF(C461="","",IFERROR(INDEX(LOOKAHEAD!$B$5:$B$604,MATCH(C461,LOOKAHEAD!$A$5:$A$604,0)),""))</f>
        <v/>
      </c>
      <c r="E461" s="16" t="str">
        <f aca="false">IF(C461="","",IFERROR(INDEX(LOOKAHEAD!$E$5:$E$604,MATCH(C461,LOOKAHEAD!$A$5:$A$604,0)),""))</f>
        <v/>
      </c>
      <c r="F461" s="16" t="str">
        <f aca="false">IF(C461="","",IFERROR(INDEX(LOOKAHEAD!$M$5:$M$604,MATCH(C461,LOOKAHEAD!$A$5:$A$604,0)),""))</f>
        <v/>
      </c>
      <c r="G461" s="9"/>
      <c r="H461" s="9"/>
      <c r="I461" s="16" t="str">
        <f aca="false">IF(C461="","",IFERROR(INDEX(LOOKAHEAD!$G$5:$G$604,MATCH(C461,LOOKAHEAD!$A$5:$A$604,0)),""))</f>
        <v/>
      </c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66" t="str">
        <f aca="false">IF(C461="","",SUM(J461:O461))</f>
        <v/>
      </c>
      <c r="W461" s="66" t="str">
        <f aca="false">IF(C461="","",SUM(P461:U461))</f>
        <v/>
      </c>
      <c r="X461" s="51" t="str">
        <f aca="false">IF(OR(C461="",V461=0),"",W461/V461)</f>
        <v/>
      </c>
      <c r="Y461" s="16" t="str">
        <f aca="false">IF(OR(C461="",V461=0),"",IF(W461&gt;=V461,"Sí","No"))</f>
        <v/>
      </c>
      <c r="Z461" s="9"/>
      <c r="AA461" s="9"/>
    </row>
    <row r="462" customFormat="false" ht="15" hidden="false" customHeight="false" outlineLevel="0" collapsed="false">
      <c r="A462" s="9"/>
      <c r="B462" s="9"/>
      <c r="C462" s="9"/>
      <c r="D462" s="16" t="str">
        <f aca="false">IF(C462="","",IFERROR(INDEX(LOOKAHEAD!$B$5:$B$604,MATCH(C462,LOOKAHEAD!$A$5:$A$604,0)),""))</f>
        <v/>
      </c>
      <c r="E462" s="16" t="str">
        <f aca="false">IF(C462="","",IFERROR(INDEX(LOOKAHEAD!$E$5:$E$604,MATCH(C462,LOOKAHEAD!$A$5:$A$604,0)),""))</f>
        <v/>
      </c>
      <c r="F462" s="16" t="str">
        <f aca="false">IF(C462="","",IFERROR(INDEX(LOOKAHEAD!$M$5:$M$604,MATCH(C462,LOOKAHEAD!$A$5:$A$604,0)),""))</f>
        <v/>
      </c>
      <c r="G462" s="9"/>
      <c r="H462" s="9"/>
      <c r="I462" s="16" t="str">
        <f aca="false">IF(C462="","",IFERROR(INDEX(LOOKAHEAD!$G$5:$G$604,MATCH(C462,LOOKAHEAD!$A$5:$A$604,0)),""))</f>
        <v/>
      </c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66" t="str">
        <f aca="false">IF(C462="","",SUM(J462:O462))</f>
        <v/>
      </c>
      <c r="W462" s="66" t="str">
        <f aca="false">IF(C462="","",SUM(P462:U462))</f>
        <v/>
      </c>
      <c r="X462" s="51" t="str">
        <f aca="false">IF(OR(C462="",V462=0),"",W462/V462)</f>
        <v/>
      </c>
      <c r="Y462" s="16" t="str">
        <f aca="false">IF(OR(C462="",V462=0),"",IF(W462&gt;=V462,"Sí","No"))</f>
        <v/>
      </c>
      <c r="Z462" s="9"/>
      <c r="AA462" s="9"/>
    </row>
    <row r="463" customFormat="false" ht="15" hidden="false" customHeight="false" outlineLevel="0" collapsed="false">
      <c r="A463" s="9"/>
      <c r="B463" s="9"/>
      <c r="C463" s="9"/>
      <c r="D463" s="16" t="str">
        <f aca="false">IF(C463="","",IFERROR(INDEX(LOOKAHEAD!$B$5:$B$604,MATCH(C463,LOOKAHEAD!$A$5:$A$604,0)),""))</f>
        <v/>
      </c>
      <c r="E463" s="16" t="str">
        <f aca="false">IF(C463="","",IFERROR(INDEX(LOOKAHEAD!$E$5:$E$604,MATCH(C463,LOOKAHEAD!$A$5:$A$604,0)),""))</f>
        <v/>
      </c>
      <c r="F463" s="16" t="str">
        <f aca="false">IF(C463="","",IFERROR(INDEX(LOOKAHEAD!$M$5:$M$604,MATCH(C463,LOOKAHEAD!$A$5:$A$604,0)),""))</f>
        <v/>
      </c>
      <c r="G463" s="9"/>
      <c r="H463" s="9"/>
      <c r="I463" s="16" t="str">
        <f aca="false">IF(C463="","",IFERROR(INDEX(LOOKAHEAD!$G$5:$G$604,MATCH(C463,LOOKAHEAD!$A$5:$A$604,0)),""))</f>
        <v/>
      </c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66" t="str">
        <f aca="false">IF(C463="","",SUM(J463:O463))</f>
        <v/>
      </c>
      <c r="W463" s="66" t="str">
        <f aca="false">IF(C463="","",SUM(P463:U463))</f>
        <v/>
      </c>
      <c r="X463" s="51" t="str">
        <f aca="false">IF(OR(C463="",V463=0),"",W463/V463)</f>
        <v/>
      </c>
      <c r="Y463" s="16" t="str">
        <f aca="false">IF(OR(C463="",V463=0),"",IF(W463&gt;=V463,"Sí","No"))</f>
        <v/>
      </c>
      <c r="Z463" s="9"/>
      <c r="AA463" s="9"/>
    </row>
    <row r="464" customFormat="false" ht="15" hidden="false" customHeight="false" outlineLevel="0" collapsed="false">
      <c r="A464" s="9"/>
      <c r="B464" s="9"/>
      <c r="C464" s="9"/>
      <c r="D464" s="16" t="str">
        <f aca="false">IF(C464="","",IFERROR(INDEX(LOOKAHEAD!$B$5:$B$604,MATCH(C464,LOOKAHEAD!$A$5:$A$604,0)),""))</f>
        <v/>
      </c>
      <c r="E464" s="16" t="str">
        <f aca="false">IF(C464="","",IFERROR(INDEX(LOOKAHEAD!$E$5:$E$604,MATCH(C464,LOOKAHEAD!$A$5:$A$604,0)),""))</f>
        <v/>
      </c>
      <c r="F464" s="16" t="str">
        <f aca="false">IF(C464="","",IFERROR(INDEX(LOOKAHEAD!$M$5:$M$604,MATCH(C464,LOOKAHEAD!$A$5:$A$604,0)),""))</f>
        <v/>
      </c>
      <c r="G464" s="9"/>
      <c r="H464" s="9"/>
      <c r="I464" s="16" t="str">
        <f aca="false">IF(C464="","",IFERROR(INDEX(LOOKAHEAD!$G$5:$G$604,MATCH(C464,LOOKAHEAD!$A$5:$A$604,0)),""))</f>
        <v/>
      </c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66" t="str">
        <f aca="false">IF(C464="","",SUM(J464:O464))</f>
        <v/>
      </c>
      <c r="W464" s="66" t="str">
        <f aca="false">IF(C464="","",SUM(P464:U464))</f>
        <v/>
      </c>
      <c r="X464" s="51" t="str">
        <f aca="false">IF(OR(C464="",V464=0),"",W464/V464)</f>
        <v/>
      </c>
      <c r="Y464" s="16" t="str">
        <f aca="false">IF(OR(C464="",V464=0),"",IF(W464&gt;=V464,"Sí","No"))</f>
        <v/>
      </c>
      <c r="Z464" s="9"/>
      <c r="AA464" s="9"/>
    </row>
    <row r="465" customFormat="false" ht="15" hidden="false" customHeight="false" outlineLevel="0" collapsed="false">
      <c r="A465" s="9"/>
      <c r="B465" s="9"/>
      <c r="C465" s="9"/>
      <c r="D465" s="16" t="str">
        <f aca="false">IF(C465="","",IFERROR(INDEX(LOOKAHEAD!$B$5:$B$604,MATCH(C465,LOOKAHEAD!$A$5:$A$604,0)),""))</f>
        <v/>
      </c>
      <c r="E465" s="16" t="str">
        <f aca="false">IF(C465="","",IFERROR(INDEX(LOOKAHEAD!$E$5:$E$604,MATCH(C465,LOOKAHEAD!$A$5:$A$604,0)),""))</f>
        <v/>
      </c>
      <c r="F465" s="16" t="str">
        <f aca="false">IF(C465="","",IFERROR(INDEX(LOOKAHEAD!$M$5:$M$604,MATCH(C465,LOOKAHEAD!$A$5:$A$604,0)),""))</f>
        <v/>
      </c>
      <c r="G465" s="9"/>
      <c r="H465" s="9"/>
      <c r="I465" s="16" t="str">
        <f aca="false">IF(C465="","",IFERROR(INDEX(LOOKAHEAD!$G$5:$G$604,MATCH(C465,LOOKAHEAD!$A$5:$A$604,0)),""))</f>
        <v/>
      </c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66" t="str">
        <f aca="false">IF(C465="","",SUM(J465:O465))</f>
        <v/>
      </c>
      <c r="W465" s="66" t="str">
        <f aca="false">IF(C465="","",SUM(P465:U465))</f>
        <v/>
      </c>
      <c r="X465" s="51" t="str">
        <f aca="false">IF(OR(C465="",V465=0),"",W465/V465)</f>
        <v/>
      </c>
      <c r="Y465" s="16" t="str">
        <f aca="false">IF(OR(C465="",V465=0),"",IF(W465&gt;=V465,"Sí","No"))</f>
        <v/>
      </c>
      <c r="Z465" s="9"/>
      <c r="AA465" s="9"/>
    </row>
    <row r="466" customFormat="false" ht="15" hidden="false" customHeight="false" outlineLevel="0" collapsed="false">
      <c r="A466" s="9"/>
      <c r="B466" s="9"/>
      <c r="C466" s="9"/>
      <c r="D466" s="16" t="str">
        <f aca="false">IF(C466="","",IFERROR(INDEX(LOOKAHEAD!$B$5:$B$604,MATCH(C466,LOOKAHEAD!$A$5:$A$604,0)),""))</f>
        <v/>
      </c>
      <c r="E466" s="16" t="str">
        <f aca="false">IF(C466="","",IFERROR(INDEX(LOOKAHEAD!$E$5:$E$604,MATCH(C466,LOOKAHEAD!$A$5:$A$604,0)),""))</f>
        <v/>
      </c>
      <c r="F466" s="16" t="str">
        <f aca="false">IF(C466="","",IFERROR(INDEX(LOOKAHEAD!$M$5:$M$604,MATCH(C466,LOOKAHEAD!$A$5:$A$604,0)),""))</f>
        <v/>
      </c>
      <c r="G466" s="9"/>
      <c r="H466" s="9"/>
      <c r="I466" s="16" t="str">
        <f aca="false">IF(C466="","",IFERROR(INDEX(LOOKAHEAD!$G$5:$G$604,MATCH(C466,LOOKAHEAD!$A$5:$A$604,0)),""))</f>
        <v/>
      </c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66" t="str">
        <f aca="false">IF(C466="","",SUM(J466:O466))</f>
        <v/>
      </c>
      <c r="W466" s="66" t="str">
        <f aca="false">IF(C466="","",SUM(P466:U466))</f>
        <v/>
      </c>
      <c r="X466" s="51" t="str">
        <f aca="false">IF(OR(C466="",V466=0),"",W466/V466)</f>
        <v/>
      </c>
      <c r="Y466" s="16" t="str">
        <f aca="false">IF(OR(C466="",V466=0),"",IF(W466&gt;=V466,"Sí","No"))</f>
        <v/>
      </c>
      <c r="Z466" s="9"/>
      <c r="AA466" s="9"/>
    </row>
    <row r="467" customFormat="false" ht="15" hidden="false" customHeight="false" outlineLevel="0" collapsed="false">
      <c r="A467" s="9"/>
      <c r="B467" s="9"/>
      <c r="C467" s="9"/>
      <c r="D467" s="16" t="str">
        <f aca="false">IF(C467="","",IFERROR(INDEX(LOOKAHEAD!$B$5:$B$604,MATCH(C467,LOOKAHEAD!$A$5:$A$604,0)),""))</f>
        <v/>
      </c>
      <c r="E467" s="16" t="str">
        <f aca="false">IF(C467="","",IFERROR(INDEX(LOOKAHEAD!$E$5:$E$604,MATCH(C467,LOOKAHEAD!$A$5:$A$604,0)),""))</f>
        <v/>
      </c>
      <c r="F467" s="16" t="str">
        <f aca="false">IF(C467="","",IFERROR(INDEX(LOOKAHEAD!$M$5:$M$604,MATCH(C467,LOOKAHEAD!$A$5:$A$604,0)),""))</f>
        <v/>
      </c>
      <c r="G467" s="9"/>
      <c r="H467" s="9"/>
      <c r="I467" s="16" t="str">
        <f aca="false">IF(C467="","",IFERROR(INDEX(LOOKAHEAD!$G$5:$G$604,MATCH(C467,LOOKAHEAD!$A$5:$A$604,0)),""))</f>
        <v/>
      </c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66" t="str">
        <f aca="false">IF(C467="","",SUM(J467:O467))</f>
        <v/>
      </c>
      <c r="W467" s="66" t="str">
        <f aca="false">IF(C467="","",SUM(P467:U467))</f>
        <v/>
      </c>
      <c r="X467" s="51" t="str">
        <f aca="false">IF(OR(C467="",V467=0),"",W467/V467)</f>
        <v/>
      </c>
      <c r="Y467" s="16" t="str">
        <f aca="false">IF(OR(C467="",V467=0),"",IF(W467&gt;=V467,"Sí","No"))</f>
        <v/>
      </c>
      <c r="Z467" s="9"/>
      <c r="AA467" s="9"/>
    </row>
    <row r="468" customFormat="false" ht="15" hidden="false" customHeight="false" outlineLevel="0" collapsed="false">
      <c r="A468" s="9"/>
      <c r="B468" s="9"/>
      <c r="C468" s="9"/>
      <c r="D468" s="16" t="str">
        <f aca="false">IF(C468="","",IFERROR(INDEX(LOOKAHEAD!$B$5:$B$604,MATCH(C468,LOOKAHEAD!$A$5:$A$604,0)),""))</f>
        <v/>
      </c>
      <c r="E468" s="16" t="str">
        <f aca="false">IF(C468="","",IFERROR(INDEX(LOOKAHEAD!$E$5:$E$604,MATCH(C468,LOOKAHEAD!$A$5:$A$604,0)),""))</f>
        <v/>
      </c>
      <c r="F468" s="16" t="str">
        <f aca="false">IF(C468="","",IFERROR(INDEX(LOOKAHEAD!$M$5:$M$604,MATCH(C468,LOOKAHEAD!$A$5:$A$604,0)),""))</f>
        <v/>
      </c>
      <c r="G468" s="9"/>
      <c r="H468" s="9"/>
      <c r="I468" s="16" t="str">
        <f aca="false">IF(C468="","",IFERROR(INDEX(LOOKAHEAD!$G$5:$G$604,MATCH(C468,LOOKAHEAD!$A$5:$A$604,0)),""))</f>
        <v/>
      </c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66" t="str">
        <f aca="false">IF(C468="","",SUM(J468:O468))</f>
        <v/>
      </c>
      <c r="W468" s="66" t="str">
        <f aca="false">IF(C468="","",SUM(P468:U468))</f>
        <v/>
      </c>
      <c r="X468" s="51" t="str">
        <f aca="false">IF(OR(C468="",V468=0),"",W468/V468)</f>
        <v/>
      </c>
      <c r="Y468" s="16" t="str">
        <f aca="false">IF(OR(C468="",V468=0),"",IF(W468&gt;=V468,"Sí","No"))</f>
        <v/>
      </c>
      <c r="Z468" s="9"/>
      <c r="AA468" s="9"/>
    </row>
    <row r="469" customFormat="false" ht="15" hidden="false" customHeight="false" outlineLevel="0" collapsed="false">
      <c r="A469" s="9"/>
      <c r="B469" s="9"/>
      <c r="C469" s="9"/>
      <c r="D469" s="16" t="str">
        <f aca="false">IF(C469="","",IFERROR(INDEX(LOOKAHEAD!$B$5:$B$604,MATCH(C469,LOOKAHEAD!$A$5:$A$604,0)),""))</f>
        <v/>
      </c>
      <c r="E469" s="16" t="str">
        <f aca="false">IF(C469="","",IFERROR(INDEX(LOOKAHEAD!$E$5:$E$604,MATCH(C469,LOOKAHEAD!$A$5:$A$604,0)),""))</f>
        <v/>
      </c>
      <c r="F469" s="16" t="str">
        <f aca="false">IF(C469="","",IFERROR(INDEX(LOOKAHEAD!$M$5:$M$604,MATCH(C469,LOOKAHEAD!$A$5:$A$604,0)),""))</f>
        <v/>
      </c>
      <c r="G469" s="9"/>
      <c r="H469" s="9"/>
      <c r="I469" s="16" t="str">
        <f aca="false">IF(C469="","",IFERROR(INDEX(LOOKAHEAD!$G$5:$G$604,MATCH(C469,LOOKAHEAD!$A$5:$A$604,0)),""))</f>
        <v/>
      </c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66" t="str">
        <f aca="false">IF(C469="","",SUM(J469:O469))</f>
        <v/>
      </c>
      <c r="W469" s="66" t="str">
        <f aca="false">IF(C469="","",SUM(P469:U469))</f>
        <v/>
      </c>
      <c r="X469" s="51" t="str">
        <f aca="false">IF(OR(C469="",V469=0),"",W469/V469)</f>
        <v/>
      </c>
      <c r="Y469" s="16" t="str">
        <f aca="false">IF(OR(C469="",V469=0),"",IF(W469&gt;=V469,"Sí","No"))</f>
        <v/>
      </c>
      <c r="Z469" s="9"/>
      <c r="AA469" s="9"/>
    </row>
    <row r="470" customFormat="false" ht="15" hidden="false" customHeight="false" outlineLevel="0" collapsed="false">
      <c r="A470" s="9"/>
      <c r="B470" s="9"/>
      <c r="C470" s="9"/>
      <c r="D470" s="16" t="str">
        <f aca="false">IF(C470="","",IFERROR(INDEX(LOOKAHEAD!$B$5:$B$604,MATCH(C470,LOOKAHEAD!$A$5:$A$604,0)),""))</f>
        <v/>
      </c>
      <c r="E470" s="16" t="str">
        <f aca="false">IF(C470="","",IFERROR(INDEX(LOOKAHEAD!$E$5:$E$604,MATCH(C470,LOOKAHEAD!$A$5:$A$604,0)),""))</f>
        <v/>
      </c>
      <c r="F470" s="16" t="str">
        <f aca="false">IF(C470="","",IFERROR(INDEX(LOOKAHEAD!$M$5:$M$604,MATCH(C470,LOOKAHEAD!$A$5:$A$604,0)),""))</f>
        <v/>
      </c>
      <c r="G470" s="9"/>
      <c r="H470" s="9"/>
      <c r="I470" s="16" t="str">
        <f aca="false">IF(C470="","",IFERROR(INDEX(LOOKAHEAD!$G$5:$G$604,MATCH(C470,LOOKAHEAD!$A$5:$A$604,0)),""))</f>
        <v/>
      </c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66" t="str">
        <f aca="false">IF(C470="","",SUM(J470:O470))</f>
        <v/>
      </c>
      <c r="W470" s="66" t="str">
        <f aca="false">IF(C470="","",SUM(P470:U470))</f>
        <v/>
      </c>
      <c r="X470" s="51" t="str">
        <f aca="false">IF(OR(C470="",V470=0),"",W470/V470)</f>
        <v/>
      </c>
      <c r="Y470" s="16" t="str">
        <f aca="false">IF(OR(C470="",V470=0),"",IF(W470&gt;=V470,"Sí","No"))</f>
        <v/>
      </c>
      <c r="Z470" s="9"/>
      <c r="AA470" s="9"/>
    </row>
    <row r="471" customFormat="false" ht="15" hidden="false" customHeight="false" outlineLevel="0" collapsed="false">
      <c r="A471" s="9"/>
      <c r="B471" s="9"/>
      <c r="C471" s="9"/>
      <c r="D471" s="16" t="str">
        <f aca="false">IF(C471="","",IFERROR(INDEX(LOOKAHEAD!$B$5:$B$604,MATCH(C471,LOOKAHEAD!$A$5:$A$604,0)),""))</f>
        <v/>
      </c>
      <c r="E471" s="16" t="str">
        <f aca="false">IF(C471="","",IFERROR(INDEX(LOOKAHEAD!$E$5:$E$604,MATCH(C471,LOOKAHEAD!$A$5:$A$604,0)),""))</f>
        <v/>
      </c>
      <c r="F471" s="16" t="str">
        <f aca="false">IF(C471="","",IFERROR(INDEX(LOOKAHEAD!$M$5:$M$604,MATCH(C471,LOOKAHEAD!$A$5:$A$604,0)),""))</f>
        <v/>
      </c>
      <c r="G471" s="9"/>
      <c r="H471" s="9"/>
      <c r="I471" s="16" t="str">
        <f aca="false">IF(C471="","",IFERROR(INDEX(LOOKAHEAD!$G$5:$G$604,MATCH(C471,LOOKAHEAD!$A$5:$A$604,0)),""))</f>
        <v/>
      </c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66" t="str">
        <f aca="false">IF(C471="","",SUM(J471:O471))</f>
        <v/>
      </c>
      <c r="W471" s="66" t="str">
        <f aca="false">IF(C471="","",SUM(P471:U471))</f>
        <v/>
      </c>
      <c r="X471" s="51" t="str">
        <f aca="false">IF(OR(C471="",V471=0),"",W471/V471)</f>
        <v/>
      </c>
      <c r="Y471" s="16" t="str">
        <f aca="false">IF(OR(C471="",V471=0),"",IF(W471&gt;=V471,"Sí","No"))</f>
        <v/>
      </c>
      <c r="Z471" s="9"/>
      <c r="AA471" s="9"/>
    </row>
    <row r="472" customFormat="false" ht="15" hidden="false" customHeight="false" outlineLevel="0" collapsed="false">
      <c r="A472" s="9"/>
      <c r="B472" s="9"/>
      <c r="C472" s="9"/>
      <c r="D472" s="16" t="str">
        <f aca="false">IF(C472="","",IFERROR(INDEX(LOOKAHEAD!$B$5:$B$604,MATCH(C472,LOOKAHEAD!$A$5:$A$604,0)),""))</f>
        <v/>
      </c>
      <c r="E472" s="16" t="str">
        <f aca="false">IF(C472="","",IFERROR(INDEX(LOOKAHEAD!$E$5:$E$604,MATCH(C472,LOOKAHEAD!$A$5:$A$604,0)),""))</f>
        <v/>
      </c>
      <c r="F472" s="16" t="str">
        <f aca="false">IF(C472="","",IFERROR(INDEX(LOOKAHEAD!$M$5:$M$604,MATCH(C472,LOOKAHEAD!$A$5:$A$604,0)),""))</f>
        <v/>
      </c>
      <c r="G472" s="9"/>
      <c r="H472" s="9"/>
      <c r="I472" s="16" t="str">
        <f aca="false">IF(C472="","",IFERROR(INDEX(LOOKAHEAD!$G$5:$G$604,MATCH(C472,LOOKAHEAD!$A$5:$A$604,0)),""))</f>
        <v/>
      </c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66" t="str">
        <f aca="false">IF(C472="","",SUM(J472:O472))</f>
        <v/>
      </c>
      <c r="W472" s="66" t="str">
        <f aca="false">IF(C472="","",SUM(P472:U472))</f>
        <v/>
      </c>
      <c r="X472" s="51" t="str">
        <f aca="false">IF(OR(C472="",V472=0),"",W472/V472)</f>
        <v/>
      </c>
      <c r="Y472" s="16" t="str">
        <f aca="false">IF(OR(C472="",V472=0),"",IF(W472&gt;=V472,"Sí","No"))</f>
        <v/>
      </c>
      <c r="Z472" s="9"/>
      <c r="AA472" s="9"/>
    </row>
    <row r="473" customFormat="false" ht="15" hidden="false" customHeight="false" outlineLevel="0" collapsed="false">
      <c r="A473" s="9"/>
      <c r="B473" s="9"/>
      <c r="C473" s="9"/>
      <c r="D473" s="16" t="str">
        <f aca="false">IF(C473="","",IFERROR(INDEX(LOOKAHEAD!$B$5:$B$604,MATCH(C473,LOOKAHEAD!$A$5:$A$604,0)),""))</f>
        <v/>
      </c>
      <c r="E473" s="16" t="str">
        <f aca="false">IF(C473="","",IFERROR(INDEX(LOOKAHEAD!$E$5:$E$604,MATCH(C473,LOOKAHEAD!$A$5:$A$604,0)),""))</f>
        <v/>
      </c>
      <c r="F473" s="16" t="str">
        <f aca="false">IF(C473="","",IFERROR(INDEX(LOOKAHEAD!$M$5:$M$604,MATCH(C473,LOOKAHEAD!$A$5:$A$604,0)),""))</f>
        <v/>
      </c>
      <c r="G473" s="9"/>
      <c r="H473" s="9"/>
      <c r="I473" s="16" t="str">
        <f aca="false">IF(C473="","",IFERROR(INDEX(LOOKAHEAD!$G$5:$G$604,MATCH(C473,LOOKAHEAD!$A$5:$A$604,0)),""))</f>
        <v/>
      </c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66" t="str">
        <f aca="false">IF(C473="","",SUM(J473:O473))</f>
        <v/>
      </c>
      <c r="W473" s="66" t="str">
        <f aca="false">IF(C473="","",SUM(P473:U473))</f>
        <v/>
      </c>
      <c r="X473" s="51" t="str">
        <f aca="false">IF(OR(C473="",V473=0),"",W473/V473)</f>
        <v/>
      </c>
      <c r="Y473" s="16" t="str">
        <f aca="false">IF(OR(C473="",V473=0),"",IF(W473&gt;=V473,"Sí","No"))</f>
        <v/>
      </c>
      <c r="Z473" s="9"/>
      <c r="AA473" s="9"/>
    </row>
    <row r="474" customFormat="false" ht="15" hidden="false" customHeight="false" outlineLevel="0" collapsed="false">
      <c r="A474" s="9"/>
      <c r="B474" s="9"/>
      <c r="C474" s="9"/>
      <c r="D474" s="16" t="str">
        <f aca="false">IF(C474="","",IFERROR(INDEX(LOOKAHEAD!$B$5:$B$604,MATCH(C474,LOOKAHEAD!$A$5:$A$604,0)),""))</f>
        <v/>
      </c>
      <c r="E474" s="16" t="str">
        <f aca="false">IF(C474="","",IFERROR(INDEX(LOOKAHEAD!$E$5:$E$604,MATCH(C474,LOOKAHEAD!$A$5:$A$604,0)),""))</f>
        <v/>
      </c>
      <c r="F474" s="16" t="str">
        <f aca="false">IF(C474="","",IFERROR(INDEX(LOOKAHEAD!$M$5:$M$604,MATCH(C474,LOOKAHEAD!$A$5:$A$604,0)),""))</f>
        <v/>
      </c>
      <c r="G474" s="9"/>
      <c r="H474" s="9"/>
      <c r="I474" s="16" t="str">
        <f aca="false">IF(C474="","",IFERROR(INDEX(LOOKAHEAD!$G$5:$G$604,MATCH(C474,LOOKAHEAD!$A$5:$A$604,0)),""))</f>
        <v/>
      </c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66" t="str">
        <f aca="false">IF(C474="","",SUM(J474:O474))</f>
        <v/>
      </c>
      <c r="W474" s="66" t="str">
        <f aca="false">IF(C474="","",SUM(P474:U474))</f>
        <v/>
      </c>
      <c r="X474" s="51" t="str">
        <f aca="false">IF(OR(C474="",V474=0),"",W474/V474)</f>
        <v/>
      </c>
      <c r="Y474" s="16" t="str">
        <f aca="false">IF(OR(C474="",V474=0),"",IF(W474&gt;=V474,"Sí","No"))</f>
        <v/>
      </c>
      <c r="Z474" s="9"/>
      <c r="AA474" s="9"/>
    </row>
    <row r="475" customFormat="false" ht="15" hidden="false" customHeight="false" outlineLevel="0" collapsed="false">
      <c r="A475" s="9"/>
      <c r="B475" s="9"/>
      <c r="C475" s="9"/>
      <c r="D475" s="16" t="str">
        <f aca="false">IF(C475="","",IFERROR(INDEX(LOOKAHEAD!$B$5:$B$604,MATCH(C475,LOOKAHEAD!$A$5:$A$604,0)),""))</f>
        <v/>
      </c>
      <c r="E475" s="16" t="str">
        <f aca="false">IF(C475="","",IFERROR(INDEX(LOOKAHEAD!$E$5:$E$604,MATCH(C475,LOOKAHEAD!$A$5:$A$604,0)),""))</f>
        <v/>
      </c>
      <c r="F475" s="16" t="str">
        <f aca="false">IF(C475="","",IFERROR(INDEX(LOOKAHEAD!$M$5:$M$604,MATCH(C475,LOOKAHEAD!$A$5:$A$604,0)),""))</f>
        <v/>
      </c>
      <c r="G475" s="9"/>
      <c r="H475" s="9"/>
      <c r="I475" s="16" t="str">
        <f aca="false">IF(C475="","",IFERROR(INDEX(LOOKAHEAD!$G$5:$G$604,MATCH(C475,LOOKAHEAD!$A$5:$A$604,0)),""))</f>
        <v/>
      </c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66" t="str">
        <f aca="false">IF(C475="","",SUM(J475:O475))</f>
        <v/>
      </c>
      <c r="W475" s="66" t="str">
        <f aca="false">IF(C475="","",SUM(P475:U475))</f>
        <v/>
      </c>
      <c r="X475" s="51" t="str">
        <f aca="false">IF(OR(C475="",V475=0),"",W475/V475)</f>
        <v/>
      </c>
      <c r="Y475" s="16" t="str">
        <f aca="false">IF(OR(C475="",V475=0),"",IF(W475&gt;=V475,"Sí","No"))</f>
        <v/>
      </c>
      <c r="Z475" s="9"/>
      <c r="AA475" s="9"/>
    </row>
    <row r="476" customFormat="false" ht="15" hidden="false" customHeight="false" outlineLevel="0" collapsed="false">
      <c r="A476" s="9"/>
      <c r="B476" s="9"/>
      <c r="C476" s="9"/>
      <c r="D476" s="16" t="str">
        <f aca="false">IF(C476="","",IFERROR(INDEX(LOOKAHEAD!$B$5:$B$604,MATCH(C476,LOOKAHEAD!$A$5:$A$604,0)),""))</f>
        <v/>
      </c>
      <c r="E476" s="16" t="str">
        <f aca="false">IF(C476="","",IFERROR(INDEX(LOOKAHEAD!$E$5:$E$604,MATCH(C476,LOOKAHEAD!$A$5:$A$604,0)),""))</f>
        <v/>
      </c>
      <c r="F476" s="16" t="str">
        <f aca="false">IF(C476="","",IFERROR(INDEX(LOOKAHEAD!$M$5:$M$604,MATCH(C476,LOOKAHEAD!$A$5:$A$604,0)),""))</f>
        <v/>
      </c>
      <c r="G476" s="9"/>
      <c r="H476" s="9"/>
      <c r="I476" s="16" t="str">
        <f aca="false">IF(C476="","",IFERROR(INDEX(LOOKAHEAD!$G$5:$G$604,MATCH(C476,LOOKAHEAD!$A$5:$A$604,0)),""))</f>
        <v/>
      </c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66" t="str">
        <f aca="false">IF(C476="","",SUM(J476:O476))</f>
        <v/>
      </c>
      <c r="W476" s="66" t="str">
        <f aca="false">IF(C476="","",SUM(P476:U476))</f>
        <v/>
      </c>
      <c r="X476" s="51" t="str">
        <f aca="false">IF(OR(C476="",V476=0),"",W476/V476)</f>
        <v/>
      </c>
      <c r="Y476" s="16" t="str">
        <f aca="false">IF(OR(C476="",V476=0),"",IF(W476&gt;=V476,"Sí","No"))</f>
        <v/>
      </c>
      <c r="Z476" s="9"/>
      <c r="AA476" s="9"/>
    </row>
    <row r="477" customFormat="false" ht="15" hidden="false" customHeight="false" outlineLevel="0" collapsed="false">
      <c r="A477" s="9"/>
      <c r="B477" s="9"/>
      <c r="C477" s="9"/>
      <c r="D477" s="16" t="str">
        <f aca="false">IF(C477="","",IFERROR(INDEX(LOOKAHEAD!$B$5:$B$604,MATCH(C477,LOOKAHEAD!$A$5:$A$604,0)),""))</f>
        <v/>
      </c>
      <c r="E477" s="16" t="str">
        <f aca="false">IF(C477="","",IFERROR(INDEX(LOOKAHEAD!$E$5:$E$604,MATCH(C477,LOOKAHEAD!$A$5:$A$604,0)),""))</f>
        <v/>
      </c>
      <c r="F477" s="16" t="str">
        <f aca="false">IF(C477="","",IFERROR(INDEX(LOOKAHEAD!$M$5:$M$604,MATCH(C477,LOOKAHEAD!$A$5:$A$604,0)),""))</f>
        <v/>
      </c>
      <c r="G477" s="9"/>
      <c r="H477" s="9"/>
      <c r="I477" s="16" t="str">
        <f aca="false">IF(C477="","",IFERROR(INDEX(LOOKAHEAD!$G$5:$G$604,MATCH(C477,LOOKAHEAD!$A$5:$A$604,0)),""))</f>
        <v/>
      </c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66" t="str">
        <f aca="false">IF(C477="","",SUM(J477:O477))</f>
        <v/>
      </c>
      <c r="W477" s="66" t="str">
        <f aca="false">IF(C477="","",SUM(P477:U477))</f>
        <v/>
      </c>
      <c r="X477" s="51" t="str">
        <f aca="false">IF(OR(C477="",V477=0),"",W477/V477)</f>
        <v/>
      </c>
      <c r="Y477" s="16" t="str">
        <f aca="false">IF(OR(C477="",V477=0),"",IF(W477&gt;=V477,"Sí","No"))</f>
        <v/>
      </c>
      <c r="Z477" s="9"/>
      <c r="AA477" s="9"/>
    </row>
    <row r="478" customFormat="false" ht="15" hidden="false" customHeight="false" outlineLevel="0" collapsed="false">
      <c r="A478" s="9"/>
      <c r="B478" s="9"/>
      <c r="C478" s="9"/>
      <c r="D478" s="16" t="str">
        <f aca="false">IF(C478="","",IFERROR(INDEX(LOOKAHEAD!$B$5:$B$604,MATCH(C478,LOOKAHEAD!$A$5:$A$604,0)),""))</f>
        <v/>
      </c>
      <c r="E478" s="16" t="str">
        <f aca="false">IF(C478="","",IFERROR(INDEX(LOOKAHEAD!$E$5:$E$604,MATCH(C478,LOOKAHEAD!$A$5:$A$604,0)),""))</f>
        <v/>
      </c>
      <c r="F478" s="16" t="str">
        <f aca="false">IF(C478="","",IFERROR(INDEX(LOOKAHEAD!$M$5:$M$604,MATCH(C478,LOOKAHEAD!$A$5:$A$604,0)),""))</f>
        <v/>
      </c>
      <c r="G478" s="9"/>
      <c r="H478" s="9"/>
      <c r="I478" s="16" t="str">
        <f aca="false">IF(C478="","",IFERROR(INDEX(LOOKAHEAD!$G$5:$G$604,MATCH(C478,LOOKAHEAD!$A$5:$A$604,0)),""))</f>
        <v/>
      </c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66" t="str">
        <f aca="false">IF(C478="","",SUM(J478:O478))</f>
        <v/>
      </c>
      <c r="W478" s="66" t="str">
        <f aca="false">IF(C478="","",SUM(P478:U478))</f>
        <v/>
      </c>
      <c r="X478" s="51" t="str">
        <f aca="false">IF(OR(C478="",V478=0),"",W478/V478)</f>
        <v/>
      </c>
      <c r="Y478" s="16" t="str">
        <f aca="false">IF(OR(C478="",V478=0),"",IF(W478&gt;=V478,"Sí","No"))</f>
        <v/>
      </c>
      <c r="Z478" s="9"/>
      <c r="AA478" s="9"/>
    </row>
    <row r="479" customFormat="false" ht="15" hidden="false" customHeight="false" outlineLevel="0" collapsed="false">
      <c r="A479" s="9"/>
      <c r="B479" s="9"/>
      <c r="C479" s="9"/>
      <c r="D479" s="16" t="str">
        <f aca="false">IF(C479="","",IFERROR(INDEX(LOOKAHEAD!$B$5:$B$604,MATCH(C479,LOOKAHEAD!$A$5:$A$604,0)),""))</f>
        <v/>
      </c>
      <c r="E479" s="16" t="str">
        <f aca="false">IF(C479="","",IFERROR(INDEX(LOOKAHEAD!$E$5:$E$604,MATCH(C479,LOOKAHEAD!$A$5:$A$604,0)),""))</f>
        <v/>
      </c>
      <c r="F479" s="16" t="str">
        <f aca="false">IF(C479="","",IFERROR(INDEX(LOOKAHEAD!$M$5:$M$604,MATCH(C479,LOOKAHEAD!$A$5:$A$604,0)),""))</f>
        <v/>
      </c>
      <c r="G479" s="9"/>
      <c r="H479" s="9"/>
      <c r="I479" s="16" t="str">
        <f aca="false">IF(C479="","",IFERROR(INDEX(LOOKAHEAD!$G$5:$G$604,MATCH(C479,LOOKAHEAD!$A$5:$A$604,0)),""))</f>
        <v/>
      </c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66" t="str">
        <f aca="false">IF(C479="","",SUM(J479:O479))</f>
        <v/>
      </c>
      <c r="W479" s="66" t="str">
        <f aca="false">IF(C479="","",SUM(P479:U479))</f>
        <v/>
      </c>
      <c r="X479" s="51" t="str">
        <f aca="false">IF(OR(C479="",V479=0),"",W479/V479)</f>
        <v/>
      </c>
      <c r="Y479" s="16" t="str">
        <f aca="false">IF(OR(C479="",V479=0),"",IF(W479&gt;=V479,"Sí","No"))</f>
        <v/>
      </c>
      <c r="Z479" s="9"/>
      <c r="AA479" s="9"/>
    </row>
    <row r="480" customFormat="false" ht="15" hidden="false" customHeight="false" outlineLevel="0" collapsed="false">
      <c r="A480" s="9"/>
      <c r="B480" s="9"/>
      <c r="C480" s="9"/>
      <c r="D480" s="16" t="str">
        <f aca="false">IF(C480="","",IFERROR(INDEX(LOOKAHEAD!$B$5:$B$604,MATCH(C480,LOOKAHEAD!$A$5:$A$604,0)),""))</f>
        <v/>
      </c>
      <c r="E480" s="16" t="str">
        <f aca="false">IF(C480="","",IFERROR(INDEX(LOOKAHEAD!$E$5:$E$604,MATCH(C480,LOOKAHEAD!$A$5:$A$604,0)),""))</f>
        <v/>
      </c>
      <c r="F480" s="16" t="str">
        <f aca="false">IF(C480="","",IFERROR(INDEX(LOOKAHEAD!$M$5:$M$604,MATCH(C480,LOOKAHEAD!$A$5:$A$604,0)),""))</f>
        <v/>
      </c>
      <c r="G480" s="9"/>
      <c r="H480" s="9"/>
      <c r="I480" s="16" t="str">
        <f aca="false">IF(C480="","",IFERROR(INDEX(LOOKAHEAD!$G$5:$G$604,MATCH(C480,LOOKAHEAD!$A$5:$A$604,0)),""))</f>
        <v/>
      </c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66" t="str">
        <f aca="false">IF(C480="","",SUM(J480:O480))</f>
        <v/>
      </c>
      <c r="W480" s="66" t="str">
        <f aca="false">IF(C480="","",SUM(P480:U480))</f>
        <v/>
      </c>
      <c r="X480" s="51" t="str">
        <f aca="false">IF(OR(C480="",V480=0),"",W480/V480)</f>
        <v/>
      </c>
      <c r="Y480" s="16" t="str">
        <f aca="false">IF(OR(C480="",V480=0),"",IF(W480&gt;=V480,"Sí","No"))</f>
        <v/>
      </c>
      <c r="Z480" s="9"/>
      <c r="AA480" s="9"/>
    </row>
    <row r="481" customFormat="false" ht="15" hidden="false" customHeight="false" outlineLevel="0" collapsed="false">
      <c r="A481" s="9"/>
      <c r="B481" s="9"/>
      <c r="C481" s="9"/>
      <c r="D481" s="16" t="str">
        <f aca="false">IF(C481="","",IFERROR(INDEX(LOOKAHEAD!$B$5:$B$604,MATCH(C481,LOOKAHEAD!$A$5:$A$604,0)),""))</f>
        <v/>
      </c>
      <c r="E481" s="16" t="str">
        <f aca="false">IF(C481="","",IFERROR(INDEX(LOOKAHEAD!$E$5:$E$604,MATCH(C481,LOOKAHEAD!$A$5:$A$604,0)),""))</f>
        <v/>
      </c>
      <c r="F481" s="16" t="str">
        <f aca="false">IF(C481="","",IFERROR(INDEX(LOOKAHEAD!$M$5:$M$604,MATCH(C481,LOOKAHEAD!$A$5:$A$604,0)),""))</f>
        <v/>
      </c>
      <c r="G481" s="9"/>
      <c r="H481" s="9"/>
      <c r="I481" s="16" t="str">
        <f aca="false">IF(C481="","",IFERROR(INDEX(LOOKAHEAD!$G$5:$G$604,MATCH(C481,LOOKAHEAD!$A$5:$A$604,0)),""))</f>
        <v/>
      </c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66" t="str">
        <f aca="false">IF(C481="","",SUM(J481:O481))</f>
        <v/>
      </c>
      <c r="W481" s="66" t="str">
        <f aca="false">IF(C481="","",SUM(P481:U481))</f>
        <v/>
      </c>
      <c r="X481" s="51" t="str">
        <f aca="false">IF(OR(C481="",V481=0),"",W481/V481)</f>
        <v/>
      </c>
      <c r="Y481" s="16" t="str">
        <f aca="false">IF(OR(C481="",V481=0),"",IF(W481&gt;=V481,"Sí","No"))</f>
        <v/>
      </c>
      <c r="Z481" s="9"/>
      <c r="AA481" s="9"/>
    </row>
    <row r="482" customFormat="false" ht="15" hidden="false" customHeight="false" outlineLevel="0" collapsed="false">
      <c r="A482" s="9"/>
      <c r="B482" s="9"/>
      <c r="C482" s="9"/>
      <c r="D482" s="16" t="str">
        <f aca="false">IF(C482="","",IFERROR(INDEX(LOOKAHEAD!$B$5:$B$604,MATCH(C482,LOOKAHEAD!$A$5:$A$604,0)),""))</f>
        <v/>
      </c>
      <c r="E482" s="16" t="str">
        <f aca="false">IF(C482="","",IFERROR(INDEX(LOOKAHEAD!$E$5:$E$604,MATCH(C482,LOOKAHEAD!$A$5:$A$604,0)),""))</f>
        <v/>
      </c>
      <c r="F482" s="16" t="str">
        <f aca="false">IF(C482="","",IFERROR(INDEX(LOOKAHEAD!$M$5:$M$604,MATCH(C482,LOOKAHEAD!$A$5:$A$604,0)),""))</f>
        <v/>
      </c>
      <c r="G482" s="9"/>
      <c r="H482" s="9"/>
      <c r="I482" s="16" t="str">
        <f aca="false">IF(C482="","",IFERROR(INDEX(LOOKAHEAD!$G$5:$G$604,MATCH(C482,LOOKAHEAD!$A$5:$A$604,0)),""))</f>
        <v/>
      </c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66" t="str">
        <f aca="false">IF(C482="","",SUM(J482:O482))</f>
        <v/>
      </c>
      <c r="W482" s="66" t="str">
        <f aca="false">IF(C482="","",SUM(P482:U482))</f>
        <v/>
      </c>
      <c r="X482" s="51" t="str">
        <f aca="false">IF(OR(C482="",V482=0),"",W482/V482)</f>
        <v/>
      </c>
      <c r="Y482" s="16" t="str">
        <f aca="false">IF(OR(C482="",V482=0),"",IF(W482&gt;=V482,"Sí","No"))</f>
        <v/>
      </c>
      <c r="Z482" s="9"/>
      <c r="AA482" s="9"/>
    </row>
    <row r="483" customFormat="false" ht="15" hidden="false" customHeight="false" outlineLevel="0" collapsed="false">
      <c r="A483" s="9"/>
      <c r="B483" s="9"/>
      <c r="C483" s="9"/>
      <c r="D483" s="16" t="str">
        <f aca="false">IF(C483="","",IFERROR(INDEX(LOOKAHEAD!$B$5:$B$604,MATCH(C483,LOOKAHEAD!$A$5:$A$604,0)),""))</f>
        <v/>
      </c>
      <c r="E483" s="16" t="str">
        <f aca="false">IF(C483="","",IFERROR(INDEX(LOOKAHEAD!$E$5:$E$604,MATCH(C483,LOOKAHEAD!$A$5:$A$604,0)),""))</f>
        <v/>
      </c>
      <c r="F483" s="16" t="str">
        <f aca="false">IF(C483="","",IFERROR(INDEX(LOOKAHEAD!$M$5:$M$604,MATCH(C483,LOOKAHEAD!$A$5:$A$604,0)),""))</f>
        <v/>
      </c>
      <c r="G483" s="9"/>
      <c r="H483" s="9"/>
      <c r="I483" s="16" t="str">
        <f aca="false">IF(C483="","",IFERROR(INDEX(LOOKAHEAD!$G$5:$G$604,MATCH(C483,LOOKAHEAD!$A$5:$A$604,0)),""))</f>
        <v/>
      </c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66" t="str">
        <f aca="false">IF(C483="","",SUM(J483:O483))</f>
        <v/>
      </c>
      <c r="W483" s="66" t="str">
        <f aca="false">IF(C483="","",SUM(P483:U483))</f>
        <v/>
      </c>
      <c r="X483" s="51" t="str">
        <f aca="false">IF(OR(C483="",V483=0),"",W483/V483)</f>
        <v/>
      </c>
      <c r="Y483" s="16" t="str">
        <f aca="false">IF(OR(C483="",V483=0),"",IF(W483&gt;=V483,"Sí","No"))</f>
        <v/>
      </c>
      <c r="Z483" s="9"/>
      <c r="AA483" s="9"/>
    </row>
    <row r="484" customFormat="false" ht="15" hidden="false" customHeight="false" outlineLevel="0" collapsed="false">
      <c r="A484" s="9"/>
      <c r="B484" s="9"/>
      <c r="C484" s="9"/>
      <c r="D484" s="16" t="str">
        <f aca="false">IF(C484="","",IFERROR(INDEX(LOOKAHEAD!$B$5:$B$604,MATCH(C484,LOOKAHEAD!$A$5:$A$604,0)),""))</f>
        <v/>
      </c>
      <c r="E484" s="16" t="str">
        <f aca="false">IF(C484="","",IFERROR(INDEX(LOOKAHEAD!$E$5:$E$604,MATCH(C484,LOOKAHEAD!$A$5:$A$604,0)),""))</f>
        <v/>
      </c>
      <c r="F484" s="16" t="str">
        <f aca="false">IF(C484="","",IFERROR(INDEX(LOOKAHEAD!$M$5:$M$604,MATCH(C484,LOOKAHEAD!$A$5:$A$604,0)),""))</f>
        <v/>
      </c>
      <c r="G484" s="9"/>
      <c r="H484" s="9"/>
      <c r="I484" s="16" t="str">
        <f aca="false">IF(C484="","",IFERROR(INDEX(LOOKAHEAD!$G$5:$G$604,MATCH(C484,LOOKAHEAD!$A$5:$A$604,0)),""))</f>
        <v/>
      </c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66" t="str">
        <f aca="false">IF(C484="","",SUM(J484:O484))</f>
        <v/>
      </c>
      <c r="W484" s="66" t="str">
        <f aca="false">IF(C484="","",SUM(P484:U484))</f>
        <v/>
      </c>
      <c r="X484" s="51" t="str">
        <f aca="false">IF(OR(C484="",V484=0),"",W484/V484)</f>
        <v/>
      </c>
      <c r="Y484" s="16" t="str">
        <f aca="false">IF(OR(C484="",V484=0),"",IF(W484&gt;=V484,"Sí","No"))</f>
        <v/>
      </c>
      <c r="Z484" s="9"/>
      <c r="AA484" s="9"/>
    </row>
    <row r="485" customFormat="false" ht="15" hidden="false" customHeight="false" outlineLevel="0" collapsed="false">
      <c r="A485" s="9"/>
      <c r="B485" s="9"/>
      <c r="C485" s="9"/>
      <c r="D485" s="16" t="str">
        <f aca="false">IF(C485="","",IFERROR(INDEX(LOOKAHEAD!$B$5:$B$604,MATCH(C485,LOOKAHEAD!$A$5:$A$604,0)),""))</f>
        <v/>
      </c>
      <c r="E485" s="16" t="str">
        <f aca="false">IF(C485="","",IFERROR(INDEX(LOOKAHEAD!$E$5:$E$604,MATCH(C485,LOOKAHEAD!$A$5:$A$604,0)),""))</f>
        <v/>
      </c>
      <c r="F485" s="16" t="str">
        <f aca="false">IF(C485="","",IFERROR(INDEX(LOOKAHEAD!$M$5:$M$604,MATCH(C485,LOOKAHEAD!$A$5:$A$604,0)),""))</f>
        <v/>
      </c>
      <c r="G485" s="9"/>
      <c r="H485" s="9"/>
      <c r="I485" s="16" t="str">
        <f aca="false">IF(C485="","",IFERROR(INDEX(LOOKAHEAD!$G$5:$G$604,MATCH(C485,LOOKAHEAD!$A$5:$A$604,0)),""))</f>
        <v/>
      </c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66" t="str">
        <f aca="false">IF(C485="","",SUM(J485:O485))</f>
        <v/>
      </c>
      <c r="W485" s="66" t="str">
        <f aca="false">IF(C485="","",SUM(P485:U485))</f>
        <v/>
      </c>
      <c r="X485" s="51" t="str">
        <f aca="false">IF(OR(C485="",V485=0),"",W485/V485)</f>
        <v/>
      </c>
      <c r="Y485" s="16" t="str">
        <f aca="false">IF(OR(C485="",V485=0),"",IF(W485&gt;=V485,"Sí","No"))</f>
        <v/>
      </c>
      <c r="Z485" s="9"/>
      <c r="AA485" s="9"/>
    </row>
    <row r="486" customFormat="false" ht="15" hidden="false" customHeight="false" outlineLevel="0" collapsed="false">
      <c r="A486" s="9"/>
      <c r="B486" s="9"/>
      <c r="C486" s="9"/>
      <c r="D486" s="16" t="str">
        <f aca="false">IF(C486="","",IFERROR(INDEX(LOOKAHEAD!$B$5:$B$604,MATCH(C486,LOOKAHEAD!$A$5:$A$604,0)),""))</f>
        <v/>
      </c>
      <c r="E486" s="16" t="str">
        <f aca="false">IF(C486="","",IFERROR(INDEX(LOOKAHEAD!$E$5:$E$604,MATCH(C486,LOOKAHEAD!$A$5:$A$604,0)),""))</f>
        <v/>
      </c>
      <c r="F486" s="16" t="str">
        <f aca="false">IF(C486="","",IFERROR(INDEX(LOOKAHEAD!$M$5:$M$604,MATCH(C486,LOOKAHEAD!$A$5:$A$604,0)),""))</f>
        <v/>
      </c>
      <c r="G486" s="9"/>
      <c r="H486" s="9"/>
      <c r="I486" s="16" t="str">
        <f aca="false">IF(C486="","",IFERROR(INDEX(LOOKAHEAD!$G$5:$G$604,MATCH(C486,LOOKAHEAD!$A$5:$A$604,0)),""))</f>
        <v/>
      </c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66" t="str">
        <f aca="false">IF(C486="","",SUM(J486:O486))</f>
        <v/>
      </c>
      <c r="W486" s="66" t="str">
        <f aca="false">IF(C486="","",SUM(P486:U486))</f>
        <v/>
      </c>
      <c r="X486" s="51" t="str">
        <f aca="false">IF(OR(C486="",V486=0),"",W486/V486)</f>
        <v/>
      </c>
      <c r="Y486" s="16" t="str">
        <f aca="false">IF(OR(C486="",V486=0),"",IF(W486&gt;=V486,"Sí","No"))</f>
        <v/>
      </c>
      <c r="Z486" s="9"/>
      <c r="AA486" s="9"/>
    </row>
    <row r="487" customFormat="false" ht="15" hidden="false" customHeight="false" outlineLevel="0" collapsed="false">
      <c r="A487" s="9"/>
      <c r="B487" s="9"/>
      <c r="C487" s="9"/>
      <c r="D487" s="16" t="str">
        <f aca="false">IF(C487="","",IFERROR(INDEX(LOOKAHEAD!$B$5:$B$604,MATCH(C487,LOOKAHEAD!$A$5:$A$604,0)),""))</f>
        <v/>
      </c>
      <c r="E487" s="16" t="str">
        <f aca="false">IF(C487="","",IFERROR(INDEX(LOOKAHEAD!$E$5:$E$604,MATCH(C487,LOOKAHEAD!$A$5:$A$604,0)),""))</f>
        <v/>
      </c>
      <c r="F487" s="16" t="str">
        <f aca="false">IF(C487="","",IFERROR(INDEX(LOOKAHEAD!$M$5:$M$604,MATCH(C487,LOOKAHEAD!$A$5:$A$604,0)),""))</f>
        <v/>
      </c>
      <c r="G487" s="9"/>
      <c r="H487" s="9"/>
      <c r="I487" s="16" t="str">
        <f aca="false">IF(C487="","",IFERROR(INDEX(LOOKAHEAD!$G$5:$G$604,MATCH(C487,LOOKAHEAD!$A$5:$A$604,0)),""))</f>
        <v/>
      </c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66" t="str">
        <f aca="false">IF(C487="","",SUM(J487:O487))</f>
        <v/>
      </c>
      <c r="W487" s="66" t="str">
        <f aca="false">IF(C487="","",SUM(P487:U487))</f>
        <v/>
      </c>
      <c r="X487" s="51" t="str">
        <f aca="false">IF(OR(C487="",V487=0),"",W487/V487)</f>
        <v/>
      </c>
      <c r="Y487" s="16" t="str">
        <f aca="false">IF(OR(C487="",V487=0),"",IF(W487&gt;=V487,"Sí","No"))</f>
        <v/>
      </c>
      <c r="Z487" s="9"/>
      <c r="AA487" s="9"/>
    </row>
    <row r="488" customFormat="false" ht="15" hidden="false" customHeight="false" outlineLevel="0" collapsed="false">
      <c r="A488" s="9"/>
      <c r="B488" s="9"/>
      <c r="C488" s="9"/>
      <c r="D488" s="16" t="str">
        <f aca="false">IF(C488="","",IFERROR(INDEX(LOOKAHEAD!$B$5:$B$604,MATCH(C488,LOOKAHEAD!$A$5:$A$604,0)),""))</f>
        <v/>
      </c>
      <c r="E488" s="16" t="str">
        <f aca="false">IF(C488="","",IFERROR(INDEX(LOOKAHEAD!$E$5:$E$604,MATCH(C488,LOOKAHEAD!$A$5:$A$604,0)),""))</f>
        <v/>
      </c>
      <c r="F488" s="16" t="str">
        <f aca="false">IF(C488="","",IFERROR(INDEX(LOOKAHEAD!$M$5:$M$604,MATCH(C488,LOOKAHEAD!$A$5:$A$604,0)),""))</f>
        <v/>
      </c>
      <c r="G488" s="9"/>
      <c r="H488" s="9"/>
      <c r="I488" s="16" t="str">
        <f aca="false">IF(C488="","",IFERROR(INDEX(LOOKAHEAD!$G$5:$G$604,MATCH(C488,LOOKAHEAD!$A$5:$A$604,0)),""))</f>
        <v/>
      </c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66" t="str">
        <f aca="false">IF(C488="","",SUM(J488:O488))</f>
        <v/>
      </c>
      <c r="W488" s="66" t="str">
        <f aca="false">IF(C488="","",SUM(P488:U488))</f>
        <v/>
      </c>
      <c r="X488" s="51" t="str">
        <f aca="false">IF(OR(C488="",V488=0),"",W488/V488)</f>
        <v/>
      </c>
      <c r="Y488" s="16" t="str">
        <f aca="false">IF(OR(C488="",V488=0),"",IF(W488&gt;=V488,"Sí","No"))</f>
        <v/>
      </c>
      <c r="Z488" s="9"/>
      <c r="AA488" s="9"/>
    </row>
    <row r="489" customFormat="false" ht="15" hidden="false" customHeight="false" outlineLevel="0" collapsed="false">
      <c r="A489" s="9"/>
      <c r="B489" s="9"/>
      <c r="C489" s="9"/>
      <c r="D489" s="16" t="str">
        <f aca="false">IF(C489="","",IFERROR(INDEX(LOOKAHEAD!$B$5:$B$604,MATCH(C489,LOOKAHEAD!$A$5:$A$604,0)),""))</f>
        <v/>
      </c>
      <c r="E489" s="16" t="str">
        <f aca="false">IF(C489="","",IFERROR(INDEX(LOOKAHEAD!$E$5:$E$604,MATCH(C489,LOOKAHEAD!$A$5:$A$604,0)),""))</f>
        <v/>
      </c>
      <c r="F489" s="16" t="str">
        <f aca="false">IF(C489="","",IFERROR(INDEX(LOOKAHEAD!$M$5:$M$604,MATCH(C489,LOOKAHEAD!$A$5:$A$604,0)),""))</f>
        <v/>
      </c>
      <c r="G489" s="9"/>
      <c r="H489" s="9"/>
      <c r="I489" s="16" t="str">
        <f aca="false">IF(C489="","",IFERROR(INDEX(LOOKAHEAD!$G$5:$G$604,MATCH(C489,LOOKAHEAD!$A$5:$A$604,0)),""))</f>
        <v/>
      </c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66" t="str">
        <f aca="false">IF(C489="","",SUM(J489:O489))</f>
        <v/>
      </c>
      <c r="W489" s="66" t="str">
        <f aca="false">IF(C489="","",SUM(P489:U489))</f>
        <v/>
      </c>
      <c r="X489" s="51" t="str">
        <f aca="false">IF(OR(C489="",V489=0),"",W489/V489)</f>
        <v/>
      </c>
      <c r="Y489" s="16" t="str">
        <f aca="false">IF(OR(C489="",V489=0),"",IF(W489&gt;=V489,"Sí","No"))</f>
        <v/>
      </c>
      <c r="Z489" s="9"/>
      <c r="AA489" s="9"/>
    </row>
    <row r="490" customFormat="false" ht="15" hidden="false" customHeight="false" outlineLevel="0" collapsed="false">
      <c r="A490" s="9"/>
      <c r="B490" s="9"/>
      <c r="C490" s="9"/>
      <c r="D490" s="16" t="str">
        <f aca="false">IF(C490="","",IFERROR(INDEX(LOOKAHEAD!$B$5:$B$604,MATCH(C490,LOOKAHEAD!$A$5:$A$604,0)),""))</f>
        <v/>
      </c>
      <c r="E490" s="16" t="str">
        <f aca="false">IF(C490="","",IFERROR(INDEX(LOOKAHEAD!$E$5:$E$604,MATCH(C490,LOOKAHEAD!$A$5:$A$604,0)),""))</f>
        <v/>
      </c>
      <c r="F490" s="16" t="str">
        <f aca="false">IF(C490="","",IFERROR(INDEX(LOOKAHEAD!$M$5:$M$604,MATCH(C490,LOOKAHEAD!$A$5:$A$604,0)),""))</f>
        <v/>
      </c>
      <c r="G490" s="9"/>
      <c r="H490" s="9"/>
      <c r="I490" s="16" t="str">
        <f aca="false">IF(C490="","",IFERROR(INDEX(LOOKAHEAD!$G$5:$G$604,MATCH(C490,LOOKAHEAD!$A$5:$A$604,0)),""))</f>
        <v/>
      </c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66" t="str">
        <f aca="false">IF(C490="","",SUM(J490:O490))</f>
        <v/>
      </c>
      <c r="W490" s="66" t="str">
        <f aca="false">IF(C490="","",SUM(P490:U490))</f>
        <v/>
      </c>
      <c r="X490" s="51" t="str">
        <f aca="false">IF(OR(C490="",V490=0),"",W490/V490)</f>
        <v/>
      </c>
      <c r="Y490" s="16" t="str">
        <f aca="false">IF(OR(C490="",V490=0),"",IF(W490&gt;=V490,"Sí","No"))</f>
        <v/>
      </c>
      <c r="Z490" s="9"/>
      <c r="AA490" s="9"/>
    </row>
    <row r="491" customFormat="false" ht="15" hidden="false" customHeight="false" outlineLevel="0" collapsed="false">
      <c r="A491" s="9"/>
      <c r="B491" s="9"/>
      <c r="C491" s="9"/>
      <c r="D491" s="16" t="str">
        <f aca="false">IF(C491="","",IFERROR(INDEX(LOOKAHEAD!$B$5:$B$604,MATCH(C491,LOOKAHEAD!$A$5:$A$604,0)),""))</f>
        <v/>
      </c>
      <c r="E491" s="16" t="str">
        <f aca="false">IF(C491="","",IFERROR(INDEX(LOOKAHEAD!$E$5:$E$604,MATCH(C491,LOOKAHEAD!$A$5:$A$604,0)),""))</f>
        <v/>
      </c>
      <c r="F491" s="16" t="str">
        <f aca="false">IF(C491="","",IFERROR(INDEX(LOOKAHEAD!$M$5:$M$604,MATCH(C491,LOOKAHEAD!$A$5:$A$604,0)),""))</f>
        <v/>
      </c>
      <c r="G491" s="9"/>
      <c r="H491" s="9"/>
      <c r="I491" s="16" t="str">
        <f aca="false">IF(C491="","",IFERROR(INDEX(LOOKAHEAD!$G$5:$G$604,MATCH(C491,LOOKAHEAD!$A$5:$A$604,0)),""))</f>
        <v/>
      </c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66" t="str">
        <f aca="false">IF(C491="","",SUM(J491:O491))</f>
        <v/>
      </c>
      <c r="W491" s="66" t="str">
        <f aca="false">IF(C491="","",SUM(P491:U491))</f>
        <v/>
      </c>
      <c r="X491" s="51" t="str">
        <f aca="false">IF(OR(C491="",V491=0),"",W491/V491)</f>
        <v/>
      </c>
      <c r="Y491" s="16" t="str">
        <f aca="false">IF(OR(C491="",V491=0),"",IF(W491&gt;=V491,"Sí","No"))</f>
        <v/>
      </c>
      <c r="Z491" s="9"/>
      <c r="AA491" s="9"/>
    </row>
    <row r="492" customFormat="false" ht="15" hidden="false" customHeight="false" outlineLevel="0" collapsed="false">
      <c r="A492" s="9"/>
      <c r="B492" s="9"/>
      <c r="C492" s="9"/>
      <c r="D492" s="16" t="str">
        <f aca="false">IF(C492="","",IFERROR(INDEX(LOOKAHEAD!$B$5:$B$604,MATCH(C492,LOOKAHEAD!$A$5:$A$604,0)),""))</f>
        <v/>
      </c>
      <c r="E492" s="16" t="str">
        <f aca="false">IF(C492="","",IFERROR(INDEX(LOOKAHEAD!$E$5:$E$604,MATCH(C492,LOOKAHEAD!$A$5:$A$604,0)),""))</f>
        <v/>
      </c>
      <c r="F492" s="16" t="str">
        <f aca="false">IF(C492="","",IFERROR(INDEX(LOOKAHEAD!$M$5:$M$604,MATCH(C492,LOOKAHEAD!$A$5:$A$604,0)),""))</f>
        <v/>
      </c>
      <c r="G492" s="9"/>
      <c r="H492" s="9"/>
      <c r="I492" s="16" t="str">
        <f aca="false">IF(C492="","",IFERROR(INDEX(LOOKAHEAD!$G$5:$G$604,MATCH(C492,LOOKAHEAD!$A$5:$A$604,0)),""))</f>
        <v/>
      </c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66" t="str">
        <f aca="false">IF(C492="","",SUM(J492:O492))</f>
        <v/>
      </c>
      <c r="W492" s="66" t="str">
        <f aca="false">IF(C492="","",SUM(P492:U492))</f>
        <v/>
      </c>
      <c r="X492" s="51" t="str">
        <f aca="false">IF(OR(C492="",V492=0),"",W492/V492)</f>
        <v/>
      </c>
      <c r="Y492" s="16" t="str">
        <f aca="false">IF(OR(C492="",V492=0),"",IF(W492&gt;=V492,"Sí","No"))</f>
        <v/>
      </c>
      <c r="Z492" s="9"/>
      <c r="AA492" s="9"/>
    </row>
    <row r="493" customFormat="false" ht="15" hidden="false" customHeight="false" outlineLevel="0" collapsed="false">
      <c r="A493" s="9"/>
      <c r="B493" s="9"/>
      <c r="C493" s="9"/>
      <c r="D493" s="16" t="str">
        <f aca="false">IF(C493="","",IFERROR(INDEX(LOOKAHEAD!$B$5:$B$604,MATCH(C493,LOOKAHEAD!$A$5:$A$604,0)),""))</f>
        <v/>
      </c>
      <c r="E493" s="16" t="str">
        <f aca="false">IF(C493="","",IFERROR(INDEX(LOOKAHEAD!$E$5:$E$604,MATCH(C493,LOOKAHEAD!$A$5:$A$604,0)),""))</f>
        <v/>
      </c>
      <c r="F493" s="16" t="str">
        <f aca="false">IF(C493="","",IFERROR(INDEX(LOOKAHEAD!$M$5:$M$604,MATCH(C493,LOOKAHEAD!$A$5:$A$604,0)),""))</f>
        <v/>
      </c>
      <c r="G493" s="9"/>
      <c r="H493" s="9"/>
      <c r="I493" s="16" t="str">
        <f aca="false">IF(C493="","",IFERROR(INDEX(LOOKAHEAD!$G$5:$G$604,MATCH(C493,LOOKAHEAD!$A$5:$A$604,0)),""))</f>
        <v/>
      </c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66" t="str">
        <f aca="false">IF(C493="","",SUM(J493:O493))</f>
        <v/>
      </c>
      <c r="W493" s="66" t="str">
        <f aca="false">IF(C493="","",SUM(P493:U493))</f>
        <v/>
      </c>
      <c r="X493" s="51" t="str">
        <f aca="false">IF(OR(C493="",V493=0),"",W493/V493)</f>
        <v/>
      </c>
      <c r="Y493" s="16" t="str">
        <f aca="false">IF(OR(C493="",V493=0),"",IF(W493&gt;=V493,"Sí","No"))</f>
        <v/>
      </c>
      <c r="Z493" s="9"/>
      <c r="AA493" s="9"/>
    </row>
    <row r="494" customFormat="false" ht="15" hidden="false" customHeight="false" outlineLevel="0" collapsed="false">
      <c r="A494" s="9"/>
      <c r="B494" s="9"/>
      <c r="C494" s="9"/>
      <c r="D494" s="16" t="str">
        <f aca="false">IF(C494="","",IFERROR(INDEX(LOOKAHEAD!$B$5:$B$604,MATCH(C494,LOOKAHEAD!$A$5:$A$604,0)),""))</f>
        <v/>
      </c>
      <c r="E494" s="16" t="str">
        <f aca="false">IF(C494="","",IFERROR(INDEX(LOOKAHEAD!$E$5:$E$604,MATCH(C494,LOOKAHEAD!$A$5:$A$604,0)),""))</f>
        <v/>
      </c>
      <c r="F494" s="16" t="str">
        <f aca="false">IF(C494="","",IFERROR(INDEX(LOOKAHEAD!$M$5:$M$604,MATCH(C494,LOOKAHEAD!$A$5:$A$604,0)),""))</f>
        <v/>
      </c>
      <c r="G494" s="9"/>
      <c r="H494" s="9"/>
      <c r="I494" s="16" t="str">
        <f aca="false">IF(C494="","",IFERROR(INDEX(LOOKAHEAD!$G$5:$G$604,MATCH(C494,LOOKAHEAD!$A$5:$A$604,0)),""))</f>
        <v/>
      </c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66" t="str">
        <f aca="false">IF(C494="","",SUM(J494:O494))</f>
        <v/>
      </c>
      <c r="W494" s="66" t="str">
        <f aca="false">IF(C494="","",SUM(P494:U494))</f>
        <v/>
      </c>
      <c r="X494" s="51" t="str">
        <f aca="false">IF(OR(C494="",V494=0),"",W494/V494)</f>
        <v/>
      </c>
      <c r="Y494" s="16" t="str">
        <f aca="false">IF(OR(C494="",V494=0),"",IF(W494&gt;=V494,"Sí","No"))</f>
        <v/>
      </c>
      <c r="Z494" s="9"/>
      <c r="AA494" s="9"/>
    </row>
    <row r="495" customFormat="false" ht="15" hidden="false" customHeight="false" outlineLevel="0" collapsed="false">
      <c r="A495" s="9"/>
      <c r="B495" s="9"/>
      <c r="C495" s="9"/>
      <c r="D495" s="16" t="str">
        <f aca="false">IF(C495="","",IFERROR(INDEX(LOOKAHEAD!$B$5:$B$604,MATCH(C495,LOOKAHEAD!$A$5:$A$604,0)),""))</f>
        <v/>
      </c>
      <c r="E495" s="16" t="str">
        <f aca="false">IF(C495="","",IFERROR(INDEX(LOOKAHEAD!$E$5:$E$604,MATCH(C495,LOOKAHEAD!$A$5:$A$604,0)),""))</f>
        <v/>
      </c>
      <c r="F495" s="16" t="str">
        <f aca="false">IF(C495="","",IFERROR(INDEX(LOOKAHEAD!$M$5:$M$604,MATCH(C495,LOOKAHEAD!$A$5:$A$604,0)),""))</f>
        <v/>
      </c>
      <c r="G495" s="9"/>
      <c r="H495" s="9"/>
      <c r="I495" s="16" t="str">
        <f aca="false">IF(C495="","",IFERROR(INDEX(LOOKAHEAD!$G$5:$G$604,MATCH(C495,LOOKAHEAD!$A$5:$A$604,0)),""))</f>
        <v/>
      </c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66" t="str">
        <f aca="false">IF(C495="","",SUM(J495:O495))</f>
        <v/>
      </c>
      <c r="W495" s="66" t="str">
        <f aca="false">IF(C495="","",SUM(P495:U495))</f>
        <v/>
      </c>
      <c r="X495" s="51" t="str">
        <f aca="false">IF(OR(C495="",V495=0),"",W495/V495)</f>
        <v/>
      </c>
      <c r="Y495" s="16" t="str">
        <f aca="false">IF(OR(C495="",V495=0),"",IF(W495&gt;=V495,"Sí","No"))</f>
        <v/>
      </c>
      <c r="Z495" s="9"/>
      <c r="AA495" s="9"/>
    </row>
    <row r="496" customFormat="false" ht="15" hidden="false" customHeight="false" outlineLevel="0" collapsed="false">
      <c r="A496" s="9"/>
      <c r="B496" s="9"/>
      <c r="C496" s="9"/>
      <c r="D496" s="16" t="str">
        <f aca="false">IF(C496="","",IFERROR(INDEX(LOOKAHEAD!$B$5:$B$604,MATCH(C496,LOOKAHEAD!$A$5:$A$604,0)),""))</f>
        <v/>
      </c>
      <c r="E496" s="16" t="str">
        <f aca="false">IF(C496="","",IFERROR(INDEX(LOOKAHEAD!$E$5:$E$604,MATCH(C496,LOOKAHEAD!$A$5:$A$604,0)),""))</f>
        <v/>
      </c>
      <c r="F496" s="16" t="str">
        <f aca="false">IF(C496="","",IFERROR(INDEX(LOOKAHEAD!$M$5:$M$604,MATCH(C496,LOOKAHEAD!$A$5:$A$604,0)),""))</f>
        <v/>
      </c>
      <c r="G496" s="9"/>
      <c r="H496" s="9"/>
      <c r="I496" s="16" t="str">
        <f aca="false">IF(C496="","",IFERROR(INDEX(LOOKAHEAD!$G$5:$G$604,MATCH(C496,LOOKAHEAD!$A$5:$A$604,0)),""))</f>
        <v/>
      </c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66" t="str">
        <f aca="false">IF(C496="","",SUM(J496:O496))</f>
        <v/>
      </c>
      <c r="W496" s="66" t="str">
        <f aca="false">IF(C496="","",SUM(P496:U496))</f>
        <v/>
      </c>
      <c r="X496" s="51" t="str">
        <f aca="false">IF(OR(C496="",V496=0),"",W496/V496)</f>
        <v/>
      </c>
      <c r="Y496" s="16" t="str">
        <f aca="false">IF(OR(C496="",V496=0),"",IF(W496&gt;=V496,"Sí","No"))</f>
        <v/>
      </c>
      <c r="Z496" s="9"/>
      <c r="AA496" s="9"/>
    </row>
    <row r="497" customFormat="false" ht="15" hidden="false" customHeight="false" outlineLevel="0" collapsed="false">
      <c r="A497" s="9"/>
      <c r="B497" s="9"/>
      <c r="C497" s="9"/>
      <c r="D497" s="16" t="str">
        <f aca="false">IF(C497="","",IFERROR(INDEX(LOOKAHEAD!$B$5:$B$604,MATCH(C497,LOOKAHEAD!$A$5:$A$604,0)),""))</f>
        <v/>
      </c>
      <c r="E497" s="16" t="str">
        <f aca="false">IF(C497="","",IFERROR(INDEX(LOOKAHEAD!$E$5:$E$604,MATCH(C497,LOOKAHEAD!$A$5:$A$604,0)),""))</f>
        <v/>
      </c>
      <c r="F497" s="16" t="str">
        <f aca="false">IF(C497="","",IFERROR(INDEX(LOOKAHEAD!$M$5:$M$604,MATCH(C497,LOOKAHEAD!$A$5:$A$604,0)),""))</f>
        <v/>
      </c>
      <c r="G497" s="9"/>
      <c r="H497" s="9"/>
      <c r="I497" s="16" t="str">
        <f aca="false">IF(C497="","",IFERROR(INDEX(LOOKAHEAD!$G$5:$G$604,MATCH(C497,LOOKAHEAD!$A$5:$A$604,0)),""))</f>
        <v/>
      </c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66" t="str">
        <f aca="false">IF(C497="","",SUM(J497:O497))</f>
        <v/>
      </c>
      <c r="W497" s="66" t="str">
        <f aca="false">IF(C497="","",SUM(P497:U497))</f>
        <v/>
      </c>
      <c r="X497" s="51" t="str">
        <f aca="false">IF(OR(C497="",V497=0),"",W497/V497)</f>
        <v/>
      </c>
      <c r="Y497" s="16" t="str">
        <f aca="false">IF(OR(C497="",V497=0),"",IF(W497&gt;=V497,"Sí","No"))</f>
        <v/>
      </c>
      <c r="Z497" s="9"/>
      <c r="AA497" s="9"/>
    </row>
    <row r="498" customFormat="false" ht="15" hidden="false" customHeight="false" outlineLevel="0" collapsed="false">
      <c r="A498" s="9"/>
      <c r="B498" s="9"/>
      <c r="C498" s="9"/>
      <c r="D498" s="16" t="str">
        <f aca="false">IF(C498="","",IFERROR(INDEX(LOOKAHEAD!$B$5:$B$604,MATCH(C498,LOOKAHEAD!$A$5:$A$604,0)),""))</f>
        <v/>
      </c>
      <c r="E498" s="16" t="str">
        <f aca="false">IF(C498="","",IFERROR(INDEX(LOOKAHEAD!$E$5:$E$604,MATCH(C498,LOOKAHEAD!$A$5:$A$604,0)),""))</f>
        <v/>
      </c>
      <c r="F498" s="16" t="str">
        <f aca="false">IF(C498="","",IFERROR(INDEX(LOOKAHEAD!$M$5:$M$604,MATCH(C498,LOOKAHEAD!$A$5:$A$604,0)),""))</f>
        <v/>
      </c>
      <c r="G498" s="9"/>
      <c r="H498" s="9"/>
      <c r="I498" s="16" t="str">
        <f aca="false">IF(C498="","",IFERROR(INDEX(LOOKAHEAD!$G$5:$G$604,MATCH(C498,LOOKAHEAD!$A$5:$A$604,0)),""))</f>
        <v/>
      </c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66" t="str">
        <f aca="false">IF(C498="","",SUM(J498:O498))</f>
        <v/>
      </c>
      <c r="W498" s="66" t="str">
        <f aca="false">IF(C498="","",SUM(P498:U498))</f>
        <v/>
      </c>
      <c r="X498" s="51" t="str">
        <f aca="false">IF(OR(C498="",V498=0),"",W498/V498)</f>
        <v/>
      </c>
      <c r="Y498" s="16" t="str">
        <f aca="false">IF(OR(C498="",V498=0),"",IF(W498&gt;=V498,"Sí","No"))</f>
        <v/>
      </c>
      <c r="Z498" s="9"/>
      <c r="AA498" s="9"/>
    </row>
    <row r="499" customFormat="false" ht="15" hidden="false" customHeight="false" outlineLevel="0" collapsed="false">
      <c r="A499" s="9"/>
      <c r="B499" s="9"/>
      <c r="C499" s="9"/>
      <c r="D499" s="16" t="str">
        <f aca="false">IF(C499="","",IFERROR(INDEX(LOOKAHEAD!$B$5:$B$604,MATCH(C499,LOOKAHEAD!$A$5:$A$604,0)),""))</f>
        <v/>
      </c>
      <c r="E499" s="16" t="str">
        <f aca="false">IF(C499="","",IFERROR(INDEX(LOOKAHEAD!$E$5:$E$604,MATCH(C499,LOOKAHEAD!$A$5:$A$604,0)),""))</f>
        <v/>
      </c>
      <c r="F499" s="16" t="str">
        <f aca="false">IF(C499="","",IFERROR(INDEX(LOOKAHEAD!$M$5:$M$604,MATCH(C499,LOOKAHEAD!$A$5:$A$604,0)),""))</f>
        <v/>
      </c>
      <c r="G499" s="9"/>
      <c r="H499" s="9"/>
      <c r="I499" s="16" t="str">
        <f aca="false">IF(C499="","",IFERROR(INDEX(LOOKAHEAD!$G$5:$G$604,MATCH(C499,LOOKAHEAD!$A$5:$A$604,0)),""))</f>
        <v/>
      </c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66" t="str">
        <f aca="false">IF(C499="","",SUM(J499:O499))</f>
        <v/>
      </c>
      <c r="W499" s="66" t="str">
        <f aca="false">IF(C499="","",SUM(P499:U499))</f>
        <v/>
      </c>
      <c r="X499" s="51" t="str">
        <f aca="false">IF(OR(C499="",V499=0),"",W499/V499)</f>
        <v/>
      </c>
      <c r="Y499" s="16" t="str">
        <f aca="false">IF(OR(C499="",V499=0),"",IF(W499&gt;=V499,"Sí","No"))</f>
        <v/>
      </c>
      <c r="Z499" s="9"/>
      <c r="AA499" s="9"/>
    </row>
    <row r="500" customFormat="false" ht="15" hidden="false" customHeight="false" outlineLevel="0" collapsed="false">
      <c r="A500" s="9"/>
      <c r="B500" s="9"/>
      <c r="C500" s="9"/>
      <c r="D500" s="16" t="str">
        <f aca="false">IF(C500="","",IFERROR(INDEX(LOOKAHEAD!$B$5:$B$604,MATCH(C500,LOOKAHEAD!$A$5:$A$604,0)),""))</f>
        <v/>
      </c>
      <c r="E500" s="16" t="str">
        <f aca="false">IF(C500="","",IFERROR(INDEX(LOOKAHEAD!$E$5:$E$604,MATCH(C500,LOOKAHEAD!$A$5:$A$604,0)),""))</f>
        <v/>
      </c>
      <c r="F500" s="16" t="str">
        <f aca="false">IF(C500="","",IFERROR(INDEX(LOOKAHEAD!$M$5:$M$604,MATCH(C500,LOOKAHEAD!$A$5:$A$604,0)),""))</f>
        <v/>
      </c>
      <c r="G500" s="9"/>
      <c r="H500" s="9"/>
      <c r="I500" s="16" t="str">
        <f aca="false">IF(C500="","",IFERROR(INDEX(LOOKAHEAD!$G$5:$G$604,MATCH(C500,LOOKAHEAD!$A$5:$A$604,0)),""))</f>
        <v/>
      </c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66" t="str">
        <f aca="false">IF(C500="","",SUM(J500:O500))</f>
        <v/>
      </c>
      <c r="W500" s="66" t="str">
        <f aca="false">IF(C500="","",SUM(P500:U500))</f>
        <v/>
      </c>
      <c r="X500" s="51" t="str">
        <f aca="false">IF(OR(C500="",V500=0),"",W500/V500)</f>
        <v/>
      </c>
      <c r="Y500" s="16" t="str">
        <f aca="false">IF(OR(C500="",V500=0),"",IF(W500&gt;=V500,"Sí","No"))</f>
        <v/>
      </c>
      <c r="Z500" s="9"/>
      <c r="AA500" s="9"/>
    </row>
    <row r="501" customFormat="false" ht="15" hidden="false" customHeight="false" outlineLevel="0" collapsed="false">
      <c r="A501" s="9"/>
      <c r="B501" s="9"/>
      <c r="C501" s="9"/>
      <c r="D501" s="16" t="str">
        <f aca="false">IF(C501="","",IFERROR(INDEX(LOOKAHEAD!$B$5:$B$604,MATCH(C501,LOOKAHEAD!$A$5:$A$604,0)),""))</f>
        <v/>
      </c>
      <c r="E501" s="16" t="str">
        <f aca="false">IF(C501="","",IFERROR(INDEX(LOOKAHEAD!$E$5:$E$604,MATCH(C501,LOOKAHEAD!$A$5:$A$604,0)),""))</f>
        <v/>
      </c>
      <c r="F501" s="16" t="str">
        <f aca="false">IF(C501="","",IFERROR(INDEX(LOOKAHEAD!$M$5:$M$604,MATCH(C501,LOOKAHEAD!$A$5:$A$604,0)),""))</f>
        <v/>
      </c>
      <c r="G501" s="9"/>
      <c r="H501" s="9"/>
      <c r="I501" s="16" t="str">
        <f aca="false">IF(C501="","",IFERROR(INDEX(LOOKAHEAD!$G$5:$G$604,MATCH(C501,LOOKAHEAD!$A$5:$A$604,0)),""))</f>
        <v/>
      </c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66" t="str">
        <f aca="false">IF(C501="","",SUM(J501:O501))</f>
        <v/>
      </c>
      <c r="W501" s="66" t="str">
        <f aca="false">IF(C501="","",SUM(P501:U501))</f>
        <v/>
      </c>
      <c r="X501" s="51" t="str">
        <f aca="false">IF(OR(C501="",V501=0),"",W501/V501)</f>
        <v/>
      </c>
      <c r="Y501" s="16" t="str">
        <f aca="false">IF(OR(C501="",V501=0),"",IF(W501&gt;=V501,"Sí","No"))</f>
        <v/>
      </c>
      <c r="Z501" s="9"/>
      <c r="AA501" s="9"/>
    </row>
    <row r="502" customFormat="false" ht="15" hidden="false" customHeight="false" outlineLevel="0" collapsed="false">
      <c r="A502" s="9"/>
      <c r="B502" s="9"/>
      <c r="C502" s="9"/>
      <c r="D502" s="16" t="str">
        <f aca="false">IF(C502="","",IFERROR(INDEX(LOOKAHEAD!$B$5:$B$604,MATCH(C502,LOOKAHEAD!$A$5:$A$604,0)),""))</f>
        <v/>
      </c>
      <c r="E502" s="16" t="str">
        <f aca="false">IF(C502="","",IFERROR(INDEX(LOOKAHEAD!$E$5:$E$604,MATCH(C502,LOOKAHEAD!$A$5:$A$604,0)),""))</f>
        <v/>
      </c>
      <c r="F502" s="16" t="str">
        <f aca="false">IF(C502="","",IFERROR(INDEX(LOOKAHEAD!$M$5:$M$604,MATCH(C502,LOOKAHEAD!$A$5:$A$604,0)),""))</f>
        <v/>
      </c>
      <c r="G502" s="9"/>
      <c r="H502" s="9"/>
      <c r="I502" s="16" t="str">
        <f aca="false">IF(C502="","",IFERROR(INDEX(LOOKAHEAD!$G$5:$G$604,MATCH(C502,LOOKAHEAD!$A$5:$A$604,0)),""))</f>
        <v/>
      </c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66" t="str">
        <f aca="false">IF(C502="","",SUM(J502:O502))</f>
        <v/>
      </c>
      <c r="W502" s="66" t="str">
        <f aca="false">IF(C502="","",SUM(P502:U502))</f>
        <v/>
      </c>
      <c r="X502" s="51" t="str">
        <f aca="false">IF(OR(C502="",V502=0),"",W502/V502)</f>
        <v/>
      </c>
      <c r="Y502" s="16" t="str">
        <f aca="false">IF(OR(C502="",V502=0),"",IF(W502&gt;=V502,"Sí","No"))</f>
        <v/>
      </c>
      <c r="Z502" s="9"/>
      <c r="AA502" s="9"/>
    </row>
    <row r="503" customFormat="false" ht="15" hidden="false" customHeight="false" outlineLevel="0" collapsed="false">
      <c r="A503" s="9"/>
      <c r="B503" s="9"/>
      <c r="C503" s="9"/>
      <c r="D503" s="16" t="str">
        <f aca="false">IF(C503="","",IFERROR(INDEX(LOOKAHEAD!$B$5:$B$604,MATCH(C503,LOOKAHEAD!$A$5:$A$604,0)),""))</f>
        <v/>
      </c>
      <c r="E503" s="16" t="str">
        <f aca="false">IF(C503="","",IFERROR(INDEX(LOOKAHEAD!$E$5:$E$604,MATCH(C503,LOOKAHEAD!$A$5:$A$604,0)),""))</f>
        <v/>
      </c>
      <c r="F503" s="16" t="str">
        <f aca="false">IF(C503="","",IFERROR(INDEX(LOOKAHEAD!$M$5:$M$604,MATCH(C503,LOOKAHEAD!$A$5:$A$604,0)),""))</f>
        <v/>
      </c>
      <c r="G503" s="9"/>
      <c r="H503" s="9"/>
      <c r="I503" s="16" t="str">
        <f aca="false">IF(C503="","",IFERROR(INDEX(LOOKAHEAD!$G$5:$G$604,MATCH(C503,LOOKAHEAD!$A$5:$A$604,0)),""))</f>
        <v/>
      </c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66" t="str">
        <f aca="false">IF(C503="","",SUM(J503:O503))</f>
        <v/>
      </c>
      <c r="W503" s="66" t="str">
        <f aca="false">IF(C503="","",SUM(P503:U503))</f>
        <v/>
      </c>
      <c r="X503" s="51" t="str">
        <f aca="false">IF(OR(C503="",V503=0),"",W503/V503)</f>
        <v/>
      </c>
      <c r="Y503" s="16" t="str">
        <f aca="false">IF(OR(C503="",V503=0),"",IF(W503&gt;=V503,"Sí","No"))</f>
        <v/>
      </c>
      <c r="Z503" s="9"/>
      <c r="AA503" s="9"/>
    </row>
    <row r="504" customFormat="false" ht="15" hidden="false" customHeight="false" outlineLevel="0" collapsed="false">
      <c r="A504" s="9"/>
      <c r="B504" s="9"/>
      <c r="C504" s="9"/>
      <c r="D504" s="16" t="str">
        <f aca="false">IF(C504="","",IFERROR(INDEX(LOOKAHEAD!$B$5:$B$604,MATCH(C504,LOOKAHEAD!$A$5:$A$604,0)),""))</f>
        <v/>
      </c>
      <c r="E504" s="16" t="str">
        <f aca="false">IF(C504="","",IFERROR(INDEX(LOOKAHEAD!$E$5:$E$604,MATCH(C504,LOOKAHEAD!$A$5:$A$604,0)),""))</f>
        <v/>
      </c>
      <c r="F504" s="16" t="str">
        <f aca="false">IF(C504="","",IFERROR(INDEX(LOOKAHEAD!$M$5:$M$604,MATCH(C504,LOOKAHEAD!$A$5:$A$604,0)),""))</f>
        <v/>
      </c>
      <c r="G504" s="9"/>
      <c r="H504" s="9"/>
      <c r="I504" s="16" t="str">
        <f aca="false">IF(C504="","",IFERROR(INDEX(LOOKAHEAD!$G$5:$G$604,MATCH(C504,LOOKAHEAD!$A$5:$A$604,0)),""))</f>
        <v/>
      </c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66" t="str">
        <f aca="false">IF(C504="","",SUM(J504:O504))</f>
        <v/>
      </c>
      <c r="W504" s="66" t="str">
        <f aca="false">IF(C504="","",SUM(P504:U504))</f>
        <v/>
      </c>
      <c r="X504" s="51" t="str">
        <f aca="false">IF(OR(C504="",V504=0),"",W504/V504)</f>
        <v/>
      </c>
      <c r="Y504" s="16" t="str">
        <f aca="false">IF(OR(C504="",V504=0),"",IF(W504&gt;=V504,"Sí","No"))</f>
        <v/>
      </c>
      <c r="Z504" s="9"/>
      <c r="AA504" s="9"/>
    </row>
    <row r="505" customFormat="false" ht="15" hidden="false" customHeight="false" outlineLevel="0" collapsed="false">
      <c r="A505" s="9"/>
      <c r="B505" s="9"/>
      <c r="C505" s="9"/>
      <c r="D505" s="16" t="str">
        <f aca="false">IF(C505="","",IFERROR(INDEX(LOOKAHEAD!$B$5:$B$604,MATCH(C505,LOOKAHEAD!$A$5:$A$604,0)),""))</f>
        <v/>
      </c>
      <c r="E505" s="16" t="str">
        <f aca="false">IF(C505="","",IFERROR(INDEX(LOOKAHEAD!$E$5:$E$604,MATCH(C505,LOOKAHEAD!$A$5:$A$604,0)),""))</f>
        <v/>
      </c>
      <c r="F505" s="16" t="str">
        <f aca="false">IF(C505="","",IFERROR(INDEX(LOOKAHEAD!$M$5:$M$604,MATCH(C505,LOOKAHEAD!$A$5:$A$604,0)),""))</f>
        <v/>
      </c>
      <c r="G505" s="9"/>
      <c r="H505" s="9"/>
      <c r="I505" s="16" t="str">
        <f aca="false">IF(C505="","",IFERROR(INDEX(LOOKAHEAD!$G$5:$G$604,MATCH(C505,LOOKAHEAD!$A$5:$A$604,0)),""))</f>
        <v/>
      </c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66" t="str">
        <f aca="false">IF(C505="","",SUM(J505:O505))</f>
        <v/>
      </c>
      <c r="W505" s="66" t="str">
        <f aca="false">IF(C505="","",SUM(P505:U505))</f>
        <v/>
      </c>
      <c r="X505" s="51" t="str">
        <f aca="false">IF(OR(C505="",V505=0),"",W505/V505)</f>
        <v/>
      </c>
      <c r="Y505" s="16" t="str">
        <f aca="false">IF(OR(C505="",V505=0),"",IF(W505&gt;=V505,"Sí","No"))</f>
        <v/>
      </c>
      <c r="Z505" s="9"/>
      <c r="AA505" s="9"/>
    </row>
    <row r="506" customFormat="false" ht="15" hidden="false" customHeight="false" outlineLevel="0" collapsed="false">
      <c r="A506" s="9"/>
      <c r="B506" s="9"/>
      <c r="C506" s="9"/>
      <c r="D506" s="16" t="str">
        <f aca="false">IF(C506="","",IFERROR(INDEX(LOOKAHEAD!$B$5:$B$604,MATCH(C506,LOOKAHEAD!$A$5:$A$604,0)),""))</f>
        <v/>
      </c>
      <c r="E506" s="16" t="str">
        <f aca="false">IF(C506="","",IFERROR(INDEX(LOOKAHEAD!$E$5:$E$604,MATCH(C506,LOOKAHEAD!$A$5:$A$604,0)),""))</f>
        <v/>
      </c>
      <c r="F506" s="16" t="str">
        <f aca="false">IF(C506="","",IFERROR(INDEX(LOOKAHEAD!$M$5:$M$604,MATCH(C506,LOOKAHEAD!$A$5:$A$604,0)),""))</f>
        <v/>
      </c>
      <c r="G506" s="9"/>
      <c r="H506" s="9"/>
      <c r="I506" s="16" t="str">
        <f aca="false">IF(C506="","",IFERROR(INDEX(LOOKAHEAD!$G$5:$G$604,MATCH(C506,LOOKAHEAD!$A$5:$A$604,0)),""))</f>
        <v/>
      </c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66" t="str">
        <f aca="false">IF(C506="","",SUM(J506:O506))</f>
        <v/>
      </c>
      <c r="W506" s="66" t="str">
        <f aca="false">IF(C506="","",SUM(P506:U506))</f>
        <v/>
      </c>
      <c r="X506" s="51" t="str">
        <f aca="false">IF(OR(C506="",V506=0),"",W506/V506)</f>
        <v/>
      </c>
      <c r="Y506" s="16" t="str">
        <f aca="false">IF(OR(C506="",V506=0),"",IF(W506&gt;=V506,"Sí","No"))</f>
        <v/>
      </c>
      <c r="Z506" s="9"/>
      <c r="AA506" s="9"/>
    </row>
  </sheetData>
  <autoFilter ref="A6:AA506"/>
  <mergeCells count="2">
    <mergeCell ref="J5:O5"/>
    <mergeCell ref="P5:U5"/>
  </mergeCells>
  <conditionalFormatting sqref="J2">
    <cfRule type="cellIs" priority="2" operator="greaterThanOrEqual" aboveAverage="0" equalAverage="0" bottom="0" percent="0" rank="0" text="" dxfId="6">
      <formula>0.85</formula>
    </cfRule>
    <cfRule type="cellIs" priority="3" operator="between" aboveAverage="0" equalAverage="0" bottom="0" percent="0" rank="0" text="" dxfId="11">
      <formula>0.7</formula>
      <formula>0.8499</formula>
    </cfRule>
    <cfRule type="cellIs" priority="4" operator="lessThan" aboveAverage="0" equalAverage="0" bottom="0" percent="0" rank="0" text="" dxfId="9">
      <formula>0.7</formula>
    </cfRule>
  </conditionalFormatting>
  <conditionalFormatting sqref="N2">
    <cfRule type="cellIs" priority="5" operator="greaterThanOrEqual" aboveAverage="0" equalAverage="0" bottom="0" percent="0" rank="0" text="" dxfId="6">
      <formula>0.85</formula>
    </cfRule>
    <cfRule type="cellIs" priority="6" operator="between" aboveAverage="0" equalAverage="0" bottom="0" percent="0" rank="0" text="" dxfId="11">
      <formula>0.7</formula>
      <formula>0.8499</formula>
    </cfRule>
    <cfRule type="cellIs" priority="7" operator="lessThan" aboveAverage="0" equalAverage="0" bottom="0" percent="0" rank="0" text="" dxfId="9">
      <formula>0.7</formula>
    </cfRule>
  </conditionalFormatting>
  <conditionalFormatting sqref="Y7:Y506">
    <cfRule type="cellIs" priority="8" operator="equal" aboveAverage="0" equalAverage="0" bottom="0" percent="0" rank="0" text="" dxfId="6">
      <formula>"Sí"</formula>
    </cfRule>
    <cfRule type="cellIs" priority="9" operator="equal" aboveAverage="0" equalAverage="0" bottom="0" percent="0" rank="0" text="" dxfId="9">
      <formula>"No"</formula>
    </cfRule>
  </conditionalFormatting>
  <conditionalFormatting sqref="Z7:Z506">
    <cfRule type="expression" priority="10" aboveAverage="0" equalAverage="0" bottom="0" percent="0" rank="0" text="" dxfId="23">
      <formula>AND($Y7="No",$Z7="")</formula>
    </cfRule>
  </conditionalFormatting>
  <conditionalFormatting sqref="F7:F506">
    <cfRule type="cellIs" priority="11" operator="equal" aboveAverage="0" equalAverage="0" bottom="0" percent="0" rank="0" text="" dxfId="9">
      <formula>"RESTRINGIDA"</formula>
    </cfRule>
  </conditionalFormatting>
  <conditionalFormatting sqref="A7:AA506">
    <cfRule type="expression" priority="12" aboveAverage="0" equalAverage="0" bottom="0" percent="0" rank="0" text="" dxfId="24">
      <formula>AND($B7&lt;&gt;"",$B7=$C$2)</formula>
    </cfRule>
  </conditionalFormatting>
  <dataValidations count="3">
    <dataValidation allowBlank="true" error="Solo se pueden programar actividades en estado LISTA en el LOOKAHEAD (sin restricciones pendientes)." errorStyle="stop" errorTitle="Actividad no liberada" operator="between" showDropDown="false" showErrorMessage="true" showInputMessage="false" sqref="C7:C506" type="custom">
      <formula1>INDEX(LOOKAHEAD!$M$5:$M$604,MATCH(C7,LOOKAHEAD!$A$5:$A$604,0))="LISTA"</formula1>
      <formula2>0</formula2>
    </dataValidation>
    <dataValidation allowBlank="true" errorStyle="stop" operator="between" showDropDown="false" showErrorMessage="true" showInputMessage="false" sqref="G7:G506" type="list">
      <formula1>Cuadrillas</formula1>
      <formula2>0</formula2>
    </dataValidation>
    <dataValidation allowBlank="true" errorStyle="stop" operator="between" showDropDown="false" showErrorMessage="true" showInputMessage="false" sqref="Z7:Z506" type="list">
      <formula1>Causas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S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3"/>
    <col collapsed="false" customWidth="true" hidden="false" outlineLevel="0" max="5" min="4" style="0" width="11"/>
    <col collapsed="false" customWidth="true" hidden="false" outlineLevel="0" max="6" min="6" style="0" width="3"/>
    <col collapsed="false" customWidth="true" hidden="false" outlineLevel="0" max="7" min="7" style="0" width="34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3"/>
    <col collapsed="false" customWidth="true" hidden="false" outlineLevel="0" max="12" min="12" style="0" width="30"/>
    <col collapsed="false" customWidth="true" hidden="false" outlineLevel="0" max="14" min="13" style="0" width="12"/>
  </cols>
  <sheetData>
    <row r="1" customFormat="false" ht="17.35" hidden="false" customHeight="false" outlineLevel="0" collapsed="false">
      <c r="A1" s="1" t="s">
        <v>17780</v>
      </c>
    </row>
    <row r="3" customFormat="false" ht="15" hidden="false" customHeight="false" outlineLevel="0" collapsed="false">
      <c r="A3" s="42" t="s">
        <v>17781</v>
      </c>
      <c r="G3" s="42" t="s">
        <v>17782</v>
      </c>
      <c r="L3" s="42" t="s">
        <v>17783</v>
      </c>
    </row>
    <row r="4" customFormat="false" ht="31.5" hidden="false" customHeight="true" outlineLevel="0" collapsed="false">
      <c r="A4" s="57" t="s">
        <v>17784</v>
      </c>
      <c r="B4" s="67" t="n">
        <v>0.85</v>
      </c>
      <c r="C4" s="68" t="s">
        <v>17785</v>
      </c>
      <c r="G4" s="8" t="s">
        <v>17786</v>
      </c>
      <c r="H4" s="8" t="s">
        <v>17787</v>
      </c>
      <c r="I4" s="8" t="s">
        <v>17788</v>
      </c>
      <c r="J4" s="8" t="s">
        <v>17789</v>
      </c>
      <c r="L4" s="8" t="s">
        <v>142</v>
      </c>
      <c r="M4" s="8" t="s">
        <v>17790</v>
      </c>
      <c r="N4" s="8" t="s">
        <v>17791</v>
      </c>
    </row>
    <row r="5" customFormat="false" ht="15" hidden="false" customHeight="false" outlineLevel="0" collapsed="false">
      <c r="A5" s="57" t="s">
        <v>17792</v>
      </c>
      <c r="B5" s="69" t="str">
        <f aca="false">SEMANAL!$N$2</f>
        <v/>
      </c>
      <c r="G5" s="16" t="str">
        <f aca="false">IF(INDEX($R$44:$R$81,MATCH(LARGE($S$44:$S$81,1),$S$44:$S$81,0))&lt;=0,"",INDEX($Q$44:$Q$81,MATCH(LARGE($S$44:$S$81,1),$S$44:$S$81,0)))</f>
        <v/>
      </c>
      <c r="H5" s="16" t="str">
        <f aca="false">IF(G5="","",COUNTIF(SEMANAL!$Z$7:$Z$506,G5))</f>
        <v/>
      </c>
      <c r="I5" s="51" t="str">
        <f aca="false">IF(G5="","",IFERROR(H5/SUM($H$5:$H$16),0))</f>
        <v/>
      </c>
      <c r="J5" s="51" t="str">
        <f aca="false">IF(G5="","",SUM($I$5:I5))</f>
        <v/>
      </c>
      <c r="L5" s="16" t="str">
        <f aca="false">IF(LISTAS!$C$4="","",LISTAS!$C$4)</f>
        <v>Permisos / Licencias</v>
      </c>
      <c r="M5" s="16" t="n">
        <f aca="false">IF(L5="","",COUNTIFS(RESTRICCIONES!$E$5:$E$304,L5,RESTRICCIONES!$L$5:$L$304,"Pendiente"))</f>
        <v>0</v>
      </c>
      <c r="N5" s="16" t="n">
        <f aca="false">IF(L5="","",COUNTIFS(RESTRICCIONES!$E$5:$E$304,L5,RESTRICCIONES!$L$5:$L$304,"Liberado"))</f>
        <v>0</v>
      </c>
    </row>
    <row r="6" customFormat="false" ht="15" hidden="false" customHeight="false" outlineLevel="0" collapsed="false">
      <c r="A6" s="57" t="s">
        <v>17793</v>
      </c>
      <c r="B6" s="69" t="str">
        <f aca="false">SEMANAL!$J$2</f>
        <v/>
      </c>
      <c r="G6" s="16" t="str">
        <f aca="false">IF(INDEX($R$44:$R$81,MATCH(LARGE($S$44:$S$81,2),$S$44:$S$81,0))&lt;=0,"",INDEX($Q$44:$Q$81,MATCH(LARGE($S$44:$S$81,2),$S$44:$S$81,0)))</f>
        <v/>
      </c>
      <c r="H6" s="16" t="str">
        <f aca="false">IF(G6="","",COUNTIF(SEMANAL!$Z$7:$Z$506,G6))</f>
        <v/>
      </c>
      <c r="I6" s="51" t="str">
        <f aca="false">IF(G6="","",IFERROR(H6/SUM($H$5:$H$16),0))</f>
        <v/>
      </c>
      <c r="J6" s="51" t="str">
        <f aca="false">IF(G6="","",SUM($I$5:I6))</f>
        <v/>
      </c>
      <c r="L6" s="16" t="str">
        <f aca="false">IF(LISTAS!$C$5="","",LISTAS!$C$5)</f>
        <v>Materiales</v>
      </c>
      <c r="M6" s="16" t="n">
        <f aca="false">IF(L6="","",COUNTIFS(RESTRICCIONES!$E$5:$E$304,L6,RESTRICCIONES!$L$5:$L$304,"Pendiente"))</f>
        <v>0</v>
      </c>
      <c r="N6" s="16" t="n">
        <f aca="false">IF(L6="","",COUNTIFS(RESTRICCIONES!$E$5:$E$304,L6,RESTRICCIONES!$L$5:$L$304,"Liberado"))</f>
        <v>0</v>
      </c>
    </row>
    <row r="7" customFormat="false" ht="15" hidden="false" customHeight="false" outlineLevel="0" collapsed="false">
      <c r="A7" s="57" t="s">
        <v>17794</v>
      </c>
      <c r="B7" s="70" t="n">
        <f aca="false">LOOKAHEAD!$G$2</f>
        <v>243</v>
      </c>
      <c r="G7" s="16" t="str">
        <f aca="false">IF(INDEX($R$44:$R$81,MATCH(LARGE($S$44:$S$81,3),$S$44:$S$81,0))&lt;=0,"",INDEX($Q$44:$Q$81,MATCH(LARGE($S$44:$S$81,3),$S$44:$S$81,0)))</f>
        <v/>
      </c>
      <c r="H7" s="16" t="str">
        <f aca="false">IF(G7="","",COUNTIF(SEMANAL!$Z$7:$Z$506,G7))</f>
        <v/>
      </c>
      <c r="I7" s="51" t="str">
        <f aca="false">IF(G7="","",IFERROR(H7/SUM($H$5:$H$16),0))</f>
        <v/>
      </c>
      <c r="J7" s="51" t="str">
        <f aca="false">IF(G7="","",SUM($I$5:I7))</f>
        <v/>
      </c>
      <c r="L7" s="16" t="str">
        <f aca="false">IF(LISTAS!$C$6="","",LISTAS!$C$6)</f>
        <v>Mano de obra</v>
      </c>
      <c r="M7" s="16" t="n">
        <f aca="false">IF(L7="","",COUNTIFS(RESTRICCIONES!$E$5:$E$304,L7,RESTRICCIONES!$L$5:$L$304,"Pendiente"))</f>
        <v>0</v>
      </c>
      <c r="N7" s="16" t="n">
        <f aca="false">IF(L7="","",COUNTIFS(RESTRICCIONES!$E$5:$E$304,L7,RESTRICCIONES!$L$5:$L$304,"Liberado"))</f>
        <v>0</v>
      </c>
    </row>
    <row r="8" customFormat="false" ht="15" hidden="false" customHeight="false" outlineLevel="0" collapsed="false">
      <c r="A8" s="57" t="s">
        <v>17795</v>
      </c>
      <c r="B8" s="70" t="n">
        <f aca="false">LOOKAHEAD!$J$2</f>
        <v>0</v>
      </c>
      <c r="G8" s="16" t="str">
        <f aca="false">IF(INDEX($R$44:$R$81,MATCH(LARGE($S$44:$S$81,4),$S$44:$S$81,0))&lt;=0,"",INDEX($Q$44:$Q$81,MATCH(LARGE($S$44:$S$81,4),$S$44:$S$81,0)))</f>
        <v/>
      </c>
      <c r="H8" s="16" t="str">
        <f aca="false">IF(G8="","",COUNTIF(SEMANAL!$Z$7:$Z$506,G8))</f>
        <v/>
      </c>
      <c r="I8" s="51" t="str">
        <f aca="false">IF(G8="","",IFERROR(H8/SUM($H$5:$H$16),0))</f>
        <v/>
      </c>
      <c r="J8" s="51" t="str">
        <f aca="false">IF(G8="","",SUM($I$5:I8))</f>
        <v/>
      </c>
      <c r="L8" s="16" t="str">
        <f aca="false">IF(LISTAS!$C$7="","",LISTAS!$C$7)</f>
        <v>Subcontratos</v>
      </c>
      <c r="M8" s="16" t="n">
        <f aca="false">IF(L8="","",COUNTIFS(RESTRICCIONES!$E$5:$E$304,L8,RESTRICCIONES!$L$5:$L$304,"Pendiente"))</f>
        <v>0</v>
      </c>
      <c r="N8" s="16" t="n">
        <f aca="false">IF(L8="","",COUNTIFS(RESTRICCIONES!$E$5:$E$304,L8,RESTRICCIONES!$L$5:$L$304,"Liberado"))</f>
        <v>0</v>
      </c>
    </row>
    <row r="9" customFormat="false" ht="15" hidden="false" customHeight="false" outlineLevel="0" collapsed="false">
      <c r="A9" s="57" t="s">
        <v>17796</v>
      </c>
      <c r="B9" s="70" t="n">
        <f aca="false">COUNTIF(RESTRICCIONES!$L$5:$L$304,"Pendiente")</f>
        <v>0</v>
      </c>
      <c r="G9" s="16" t="str">
        <f aca="false">IF(INDEX($R$44:$R$81,MATCH(LARGE($S$44:$S$81,5),$S$44:$S$81,0))&lt;=0,"",INDEX($Q$44:$Q$81,MATCH(LARGE($S$44:$S$81,5),$S$44:$S$81,0)))</f>
        <v/>
      </c>
      <c r="H9" s="16" t="str">
        <f aca="false">IF(G9="","",COUNTIF(SEMANAL!$Z$7:$Z$506,G9))</f>
        <v/>
      </c>
      <c r="I9" s="51" t="str">
        <f aca="false">IF(G9="","",IFERROR(H9/SUM($H$5:$H$16),0))</f>
        <v/>
      </c>
      <c r="J9" s="51" t="str">
        <f aca="false">IF(G9="","",SUM($I$5:I9))</f>
        <v/>
      </c>
      <c r="L9" s="16" t="str">
        <f aca="false">IF(LISTAS!$C$8="","",LISTAS!$C$8)</f>
        <v>Diseño / Ingeniería (RFI)</v>
      </c>
      <c r="M9" s="16" t="n">
        <f aca="false">IF(L9="","",COUNTIFS(RESTRICCIONES!$E$5:$E$304,L9,RESTRICCIONES!$L$5:$L$304,"Pendiente"))</f>
        <v>0</v>
      </c>
      <c r="N9" s="16" t="n">
        <f aca="false">IF(L9="","",COUNTIFS(RESTRICCIONES!$E$5:$E$304,L9,RESTRICCIONES!$L$5:$L$304,"Liberado"))</f>
        <v>0</v>
      </c>
    </row>
    <row r="10" customFormat="false" ht="15" hidden="false" customHeight="false" outlineLevel="0" collapsed="false">
      <c r="A10" s="57" t="s">
        <v>17797</v>
      </c>
      <c r="B10" s="70" t="n">
        <f aca="false">COUNTIF(RESTRICCIONES!$M$5:$M$304,"VENCIDA")</f>
        <v>0</v>
      </c>
      <c r="G10" s="16" t="str">
        <f aca="false">IF(INDEX($R$44:$R$81,MATCH(LARGE($S$44:$S$81,6),$S$44:$S$81,0))&lt;=0,"",INDEX($Q$44:$Q$81,MATCH(LARGE($S$44:$S$81,6),$S$44:$S$81,0)))</f>
        <v/>
      </c>
      <c r="H10" s="16" t="str">
        <f aca="false">IF(G10="","",COUNTIF(SEMANAL!$Z$7:$Z$506,G10))</f>
        <v/>
      </c>
      <c r="I10" s="51" t="str">
        <f aca="false">IF(G10="","",IFERROR(H10/SUM($H$5:$H$16),0))</f>
        <v/>
      </c>
      <c r="J10" s="51" t="str">
        <f aca="false">IF(G10="","",SUM($I$5:I10))</f>
        <v/>
      </c>
      <c r="L10" s="16" t="str">
        <f aca="false">IF(LISTAS!$C$9="","",LISTAS!$C$9)</f>
        <v>Equipos / Maquinaria</v>
      </c>
      <c r="M10" s="16" t="n">
        <f aca="false">IF(L10="","",COUNTIFS(RESTRICCIONES!$E$5:$E$304,L10,RESTRICCIONES!$L$5:$L$304,"Pendiente"))</f>
        <v>0</v>
      </c>
      <c r="N10" s="16" t="n">
        <f aca="false">IF(L10="","",COUNTIFS(RESTRICCIONES!$E$5:$E$304,L10,RESTRICCIONES!$L$5:$L$304,"Liberado"))</f>
        <v>0</v>
      </c>
    </row>
    <row r="11" customFormat="false" ht="15" hidden="false" customHeight="false" outlineLevel="0" collapsed="false">
      <c r="A11" s="57" t="s">
        <v>17798</v>
      </c>
      <c r="B11" s="69" t="str">
        <f aca="false">IFERROR(COUNTIF(RESTRICCIONES!$M$5:$M$304,"A tiempo")/COUNTIF(RESTRICCIONES!$L$5:$L$304,"Liberado"),"")</f>
        <v/>
      </c>
      <c r="G11" s="16" t="str">
        <f aca="false">IF(INDEX($R$44:$R$81,MATCH(LARGE($S$44:$S$81,7),$S$44:$S$81,0))&lt;=0,"",INDEX($Q$44:$Q$81,MATCH(LARGE($S$44:$S$81,7),$S$44:$S$81,0)))</f>
        <v/>
      </c>
      <c r="H11" s="16" t="str">
        <f aca="false">IF(G11="","",COUNTIF(SEMANAL!$Z$7:$Z$506,G11))</f>
        <v/>
      </c>
      <c r="I11" s="51" t="str">
        <f aca="false">IF(G11="","",IFERROR(H11/SUM($H$5:$H$16),0))</f>
        <v/>
      </c>
      <c r="J11" s="51" t="str">
        <f aca="false">IF(G11="","",SUM($I$5:I11))</f>
        <v/>
      </c>
      <c r="L11" s="16" t="str">
        <f aca="false">IF(LISTAS!$C$10="","",LISTAS!$C$10)</f>
        <v>Espacio / Frente de trabajo</v>
      </c>
      <c r="M11" s="16" t="n">
        <f aca="false">IF(L11="","",COUNTIFS(RESTRICCIONES!$E$5:$E$304,L11,RESTRICCIONES!$L$5:$L$304,"Pendiente"))</f>
        <v>0</v>
      </c>
      <c r="N11" s="16" t="n">
        <f aca="false">IF(L11="","",COUNTIFS(RESTRICCIONES!$E$5:$E$304,L11,RESTRICCIONES!$L$5:$L$304,"Liberado"))</f>
        <v>0</v>
      </c>
    </row>
    <row r="12" customFormat="false" ht="15" hidden="false" customHeight="false" outlineLevel="0" collapsed="false">
      <c r="G12" s="16" t="str">
        <f aca="false">IF(INDEX($R$44:$R$81,MATCH(LARGE($S$44:$S$81,8),$S$44:$S$81,0))&lt;=0,"",INDEX($Q$44:$Q$81,MATCH(LARGE($S$44:$S$81,8),$S$44:$S$81,0)))</f>
        <v/>
      </c>
      <c r="H12" s="16" t="str">
        <f aca="false">IF(G12="","",COUNTIF(SEMANAL!$Z$7:$Z$506,G12))</f>
        <v/>
      </c>
      <c r="I12" s="51" t="str">
        <f aca="false">IF(G12="","",IFERROR(H12/SUM($H$5:$H$16),0))</f>
        <v/>
      </c>
      <c r="J12" s="51" t="str">
        <f aca="false">IF(G12="","",SUM($I$5:I12))</f>
        <v/>
      </c>
      <c r="L12" s="16" t="str">
        <f aca="false">IF(LISTAS!$C$11="","",LISTAS!$C$11)</f>
        <v>Actividad previa</v>
      </c>
      <c r="M12" s="16" t="n">
        <f aca="false">IF(L12="","",COUNTIFS(RESTRICCIONES!$E$5:$E$304,L12,RESTRICCIONES!$L$5:$L$304,"Pendiente"))</f>
        <v>0</v>
      </c>
      <c r="N12" s="16" t="n">
        <f aca="false">IF(L12="","",COUNTIFS(RESTRICCIONES!$E$5:$E$304,L12,RESTRICCIONES!$L$5:$L$304,"Liberado"))</f>
        <v>0</v>
      </c>
    </row>
    <row r="13" customFormat="false" ht="15" hidden="false" customHeight="false" outlineLevel="0" collapsed="false">
      <c r="A13" s="42" t="s">
        <v>17799</v>
      </c>
      <c r="G13" s="16" t="str">
        <f aca="false">IF(INDEX($R$44:$R$81,MATCH(LARGE($S$44:$S$81,9),$S$44:$S$81,0))&lt;=0,"",INDEX($Q$44:$Q$81,MATCH(LARGE($S$44:$S$81,9),$S$44:$S$81,0)))</f>
        <v/>
      </c>
      <c r="H13" s="16" t="str">
        <f aca="false">IF(G13="","",COUNTIF(SEMANAL!$Z$7:$Z$506,G13))</f>
        <v/>
      </c>
      <c r="I13" s="51" t="str">
        <f aca="false">IF(G13="","",IFERROR(H13/SUM($H$5:$H$16),0))</f>
        <v/>
      </c>
      <c r="J13" s="51" t="str">
        <f aca="false">IF(G13="","",SUM($I$5:I13))</f>
        <v/>
      </c>
      <c r="L13" s="16" t="str">
        <f aca="false">IF(LISTAS!$C$12="","",LISTAS!$C$12)</f>
        <v>Información / Aprobación cliente</v>
      </c>
      <c r="M13" s="16" t="n">
        <f aca="false">IF(L13="","",COUNTIFS(RESTRICCIONES!$E$5:$E$304,L13,RESTRICCIONES!$L$5:$L$304,"Pendiente"))</f>
        <v>0</v>
      </c>
      <c r="N13" s="16" t="n">
        <f aca="false">IF(L13="","",COUNTIFS(RESTRICCIONES!$E$5:$E$304,L13,RESTRICCIONES!$L$5:$L$304,"Liberado"))</f>
        <v>0</v>
      </c>
    </row>
    <row r="14" customFormat="false" ht="31.5" hidden="false" customHeight="true" outlineLevel="0" collapsed="false">
      <c r="A14" s="8" t="s">
        <v>17765</v>
      </c>
      <c r="B14" s="8" t="s">
        <v>17800</v>
      </c>
      <c r="C14" s="8" t="s">
        <v>17801</v>
      </c>
      <c r="D14" s="8" t="s">
        <v>17802</v>
      </c>
      <c r="E14" s="8" t="s">
        <v>17803</v>
      </c>
      <c r="G14" s="16" t="str">
        <f aca="false">IF(INDEX($R$44:$R$81,MATCH(LARGE($S$44:$S$81,10),$S$44:$S$81,0))&lt;=0,"",INDEX($Q$44:$Q$81,MATCH(LARGE($S$44:$S$81,10),$S$44:$S$81,0)))</f>
        <v/>
      </c>
      <c r="H14" s="16" t="str">
        <f aca="false">IF(G14="","",COUNTIF(SEMANAL!$Z$7:$Z$506,G14))</f>
        <v/>
      </c>
      <c r="I14" s="51" t="str">
        <f aca="false">IF(G14="","",IFERROR(H14/SUM($H$5:$H$16),0))</f>
        <v/>
      </c>
      <c r="J14" s="51" t="str">
        <f aca="false">IF(G14="","",SUM($I$5:I14))</f>
        <v/>
      </c>
      <c r="L14" s="16" t="str">
        <f aca="false">IF(LISTAS!$C$13="","",LISTAS!$C$13)</f>
        <v>Seguridad / Calidad</v>
      </c>
      <c r="M14" s="16" t="n">
        <f aca="false">IF(L14="","",COUNTIFS(RESTRICCIONES!$E$5:$E$304,L14,RESTRICCIONES!$L$5:$L$304,"Pendiente"))</f>
        <v>0</v>
      </c>
      <c r="N14" s="16" t="n">
        <f aca="false">IF(L14="","",COUNTIFS(RESTRICCIONES!$E$5:$E$304,L14,RESTRICCIONES!$L$5:$L$304,"Liberado"))</f>
        <v>0</v>
      </c>
    </row>
    <row r="15" customFormat="false" ht="15" hidden="false" customHeight="false" outlineLevel="0" collapsed="false">
      <c r="A15" s="16" t="str">
        <f aca="false">IF(COUNT(SEMANAL!$B$7:$B$506)=0,"",MIN(SEMANAL!$B$7:$B$506))</f>
        <v/>
      </c>
      <c r="B15" s="16" t="str">
        <f aca="false">IF(A15="","",COUNTIFS(SEMANAL!$B$7:$B$506,A15,SEMANAL!$Y$7:$Y$506,"?*"))</f>
        <v/>
      </c>
      <c r="C15" s="16" t="str">
        <f aca="false">IF(A15="","",COUNTIFS(SEMANAL!$B$7:$B$506,A15,SEMANAL!$Y$7:$Y$506,"Sí"))</f>
        <v/>
      </c>
      <c r="D15" s="51" t="str">
        <f aca="false">IF(OR(A15="",B15=0),"",C15/B15)</f>
        <v/>
      </c>
      <c r="E15" s="51" t="str">
        <f aca="false">IF(A15="","",IFERROR(SUM(C$15:C15)/SUM(B$15:B15),""))</f>
        <v/>
      </c>
      <c r="G15" s="16" t="str">
        <f aca="false">IF(INDEX($R$44:$R$81,MATCH(LARGE($S$44:$S$81,11),$S$44:$S$81,0))&lt;=0,"",INDEX($Q$44:$Q$81,MATCH(LARGE($S$44:$S$81,11),$S$44:$S$81,0)))</f>
        <v/>
      </c>
      <c r="H15" s="16" t="str">
        <f aca="false">IF(G15="","",COUNTIF(SEMANAL!$Z$7:$Z$506,G15))</f>
        <v/>
      </c>
      <c r="I15" s="51" t="str">
        <f aca="false">IF(G15="","",IFERROR(H15/SUM($H$5:$H$16),0))</f>
        <v/>
      </c>
      <c r="J15" s="51" t="str">
        <f aca="false">IF(G15="","",SUM($I$5:I15))</f>
        <v/>
      </c>
      <c r="L15" s="16" t="str">
        <f aca="false">IF(LISTAS!$C$14="","",LISTAS!$C$14)</f>
        <v/>
      </c>
      <c r="M15" s="16" t="str">
        <f aca="false">IF(L15="","",COUNTIFS(RESTRICCIONES!$E$5:$E$304,L15,RESTRICCIONES!$L$5:$L$304,"Pendiente"))</f>
        <v/>
      </c>
      <c r="N15" s="16" t="str">
        <f aca="false">IF(L15="","",COUNTIFS(RESTRICCIONES!$E$5:$E$304,L15,RESTRICCIONES!$L$5:$L$304,"Liberado"))</f>
        <v/>
      </c>
    </row>
    <row r="16" customFormat="false" ht="15" hidden="false" customHeight="false" outlineLevel="0" collapsed="false">
      <c r="A16" s="16" t="str">
        <f aca="false">IF(A15="","",IF(A15+1&gt;MAX(SEMANAL!$B$7:$B$506),"",A15+1))</f>
        <v/>
      </c>
      <c r="B16" s="16" t="str">
        <f aca="false">IF(A16="","",COUNTIFS(SEMANAL!$B$7:$B$506,A16,SEMANAL!$Y$7:$Y$506,"?*"))</f>
        <v/>
      </c>
      <c r="C16" s="16" t="str">
        <f aca="false">IF(A16="","",COUNTIFS(SEMANAL!$B$7:$B$506,A16,SEMANAL!$Y$7:$Y$506,"Sí"))</f>
        <v/>
      </c>
      <c r="D16" s="51" t="str">
        <f aca="false">IF(OR(A16="",B16=0),"",C16/B16)</f>
        <v/>
      </c>
      <c r="E16" s="51" t="str">
        <f aca="false">IF(A16="","",IFERROR(SUM(C$15:C16)/SUM(B$15:B16),""))</f>
        <v/>
      </c>
      <c r="G16" s="16" t="str">
        <f aca="false">IF(INDEX($R$44:$R$81,MATCH(LARGE($S$44:$S$81,12),$S$44:$S$81,0))&lt;=0,"",INDEX($Q$44:$Q$81,MATCH(LARGE($S$44:$S$81,12),$S$44:$S$81,0)))</f>
        <v/>
      </c>
      <c r="H16" s="16" t="str">
        <f aca="false">IF(G16="","",COUNTIF(SEMANAL!$Z$7:$Z$506,G16))</f>
        <v/>
      </c>
      <c r="I16" s="51" t="str">
        <f aca="false">IF(G16="","",IFERROR(H16/SUM($H$5:$H$16),0))</f>
        <v/>
      </c>
      <c r="J16" s="51" t="str">
        <f aca="false">IF(G16="","",SUM($I$5:I16))</f>
        <v/>
      </c>
      <c r="L16" s="16" t="str">
        <f aca="false">IF(LISTAS!$C$15="","",LISTAS!$C$15)</f>
        <v/>
      </c>
      <c r="M16" s="16" t="str">
        <f aca="false">IF(L16="","",COUNTIFS(RESTRICCIONES!$E$5:$E$304,L16,RESTRICCIONES!$L$5:$L$304,"Pendiente"))</f>
        <v/>
      </c>
      <c r="N16" s="16" t="str">
        <f aca="false">IF(L16="","",COUNTIFS(RESTRICCIONES!$E$5:$E$304,L16,RESTRICCIONES!$L$5:$L$304,"Liberado"))</f>
        <v/>
      </c>
    </row>
    <row r="17" customFormat="false" ht="15" hidden="false" customHeight="false" outlineLevel="0" collapsed="false">
      <c r="A17" s="16" t="str">
        <f aca="false">IF(A16="","",IF(A16+1&gt;MAX(SEMANAL!$B$7:$B$506),"",A16+1))</f>
        <v/>
      </c>
      <c r="B17" s="16" t="str">
        <f aca="false">IF(A17="","",COUNTIFS(SEMANAL!$B$7:$B$506,A17,SEMANAL!$Y$7:$Y$506,"?*"))</f>
        <v/>
      </c>
      <c r="C17" s="16" t="str">
        <f aca="false">IF(A17="","",COUNTIFS(SEMANAL!$B$7:$B$506,A17,SEMANAL!$Y$7:$Y$506,"Sí"))</f>
        <v/>
      </c>
      <c r="D17" s="51" t="str">
        <f aca="false">IF(OR(A17="",B17=0),"",C17/B17)</f>
        <v/>
      </c>
      <c r="E17" s="51" t="str">
        <f aca="false">IF(A17="","",IFERROR(SUM(C$15:C17)/SUM(B$15:B17),""))</f>
        <v/>
      </c>
    </row>
    <row r="18" customFormat="false" ht="15" hidden="false" customHeight="false" outlineLevel="0" collapsed="false">
      <c r="A18" s="16" t="str">
        <f aca="false">IF(A17="","",IF(A17+1&gt;MAX(SEMANAL!$B$7:$B$506),"",A17+1))</f>
        <v/>
      </c>
      <c r="B18" s="16" t="str">
        <f aca="false">IF(A18="","",COUNTIFS(SEMANAL!$B$7:$B$506,A18,SEMANAL!$Y$7:$Y$506,"?*"))</f>
        <v/>
      </c>
      <c r="C18" s="16" t="str">
        <f aca="false">IF(A18="","",COUNTIFS(SEMANAL!$B$7:$B$506,A18,SEMANAL!$Y$7:$Y$506,"Sí"))</f>
        <v/>
      </c>
      <c r="D18" s="51" t="str">
        <f aca="false">IF(OR(A18="",B18=0),"",C18/B18)</f>
        <v/>
      </c>
      <c r="E18" s="51" t="str">
        <f aca="false">IF(A18="","",IFERROR(SUM(C$15:C18)/SUM(B$15:B18),""))</f>
        <v/>
      </c>
    </row>
    <row r="19" customFormat="false" ht="15" hidden="false" customHeight="false" outlineLevel="0" collapsed="false">
      <c r="A19" s="16" t="str">
        <f aca="false">IF(A18="","",IF(A18+1&gt;MAX(SEMANAL!$B$7:$B$506),"",A18+1))</f>
        <v/>
      </c>
      <c r="B19" s="16" t="str">
        <f aca="false">IF(A19="","",COUNTIFS(SEMANAL!$B$7:$B$506,A19,SEMANAL!$Y$7:$Y$506,"?*"))</f>
        <v/>
      </c>
      <c r="C19" s="16" t="str">
        <f aca="false">IF(A19="","",COUNTIFS(SEMANAL!$B$7:$B$506,A19,SEMANAL!$Y$7:$Y$506,"Sí"))</f>
        <v/>
      </c>
      <c r="D19" s="51" t="str">
        <f aca="false">IF(OR(A19="",B19=0),"",C19/B19)</f>
        <v/>
      </c>
      <c r="E19" s="51" t="str">
        <f aca="false">IF(A19="","",IFERROR(SUM(C$15:C19)/SUM(B$15:B19),""))</f>
        <v/>
      </c>
      <c r="G19" s="42" t="s">
        <v>17804</v>
      </c>
    </row>
    <row r="20" customFormat="false" ht="31.5" hidden="false" customHeight="true" outlineLevel="0" collapsed="false">
      <c r="A20" s="16" t="str">
        <f aca="false">IF(A19="","",IF(A19+1&gt;MAX(SEMANAL!$B$7:$B$506),"",A19+1))</f>
        <v/>
      </c>
      <c r="B20" s="16" t="str">
        <f aca="false">IF(A20="","",COUNTIFS(SEMANAL!$B$7:$B$506,A20,SEMANAL!$Y$7:$Y$506,"?*"))</f>
        <v/>
      </c>
      <c r="C20" s="16" t="str">
        <f aca="false">IF(A20="","",COUNTIFS(SEMANAL!$B$7:$B$506,A20,SEMANAL!$Y$7:$Y$506,"Sí"))</f>
        <v/>
      </c>
      <c r="D20" s="51" t="str">
        <f aca="false">IF(OR(A20="",B20=0),"",C20/B20)</f>
        <v/>
      </c>
      <c r="E20" s="51" t="str">
        <f aca="false">IF(A20="","",IFERROR(SUM(C$15:C20)/SUM(B$15:B20),""))</f>
        <v/>
      </c>
      <c r="G20" s="8" t="s">
        <v>17346</v>
      </c>
      <c r="H20" s="8" t="s">
        <v>17800</v>
      </c>
      <c r="I20" s="8" t="s">
        <v>17801</v>
      </c>
      <c r="J20" s="8" t="s">
        <v>17802</v>
      </c>
    </row>
    <row r="21" customFormat="false" ht="15" hidden="false" customHeight="false" outlineLevel="0" collapsed="false">
      <c r="A21" s="16" t="str">
        <f aca="false">IF(A20="","",IF(A20+1&gt;MAX(SEMANAL!$B$7:$B$506),"",A20+1))</f>
        <v/>
      </c>
      <c r="B21" s="16" t="str">
        <f aca="false">IF(A21="","",COUNTIFS(SEMANAL!$B$7:$B$506,A21,SEMANAL!$Y$7:$Y$506,"?*"))</f>
        <v/>
      </c>
      <c r="C21" s="16" t="str">
        <f aca="false">IF(A21="","",COUNTIFS(SEMANAL!$B$7:$B$506,A21,SEMANAL!$Y$7:$Y$506,"Sí"))</f>
        <v/>
      </c>
      <c r="D21" s="51" t="str">
        <f aca="false">IF(OR(A21="",B21=0),"",C21/B21)</f>
        <v/>
      </c>
      <c r="E21" s="51" t="str">
        <f aca="false">IF(A21="","",IFERROR(SUM(C$15:C21)/SUM(B$15:B21),""))</f>
        <v/>
      </c>
      <c r="G21" s="16" t="str">
        <f aca="false">IF(LISTAS!$B$4="","",LISTAS!$B$4)</f>
        <v>Cuadrilla obras provisionales</v>
      </c>
      <c r="H21" s="16" t="n">
        <f aca="false">IF(G21="","",COUNTIFS(SEMANAL!$G$7:$G$506,G21,SEMANAL!$Y$7:$Y$506,"?*"))</f>
        <v>0</v>
      </c>
      <c r="I21" s="16" t="n">
        <f aca="false">IF(G21="","",COUNTIFS(SEMANAL!$G$7:$G$506,G21,SEMANAL!$Y$7:$Y$506,"Sí"))</f>
        <v>0</v>
      </c>
      <c r="J21" s="51" t="str">
        <f aca="false">IF(OR(G21="",H21=0),"",I21/H21)</f>
        <v/>
      </c>
    </row>
    <row r="22" customFormat="false" ht="15" hidden="false" customHeight="false" outlineLevel="0" collapsed="false">
      <c r="A22" s="16" t="str">
        <f aca="false">IF(A21="","",IF(A21+1&gt;MAX(SEMANAL!$B$7:$B$506),"",A21+1))</f>
        <v/>
      </c>
      <c r="B22" s="16" t="str">
        <f aca="false">IF(A22="","",COUNTIFS(SEMANAL!$B$7:$B$506,A22,SEMANAL!$Y$7:$Y$506,"?*"))</f>
        <v/>
      </c>
      <c r="C22" s="16" t="str">
        <f aca="false">IF(A22="","",COUNTIFS(SEMANAL!$B$7:$B$506,A22,SEMANAL!$Y$7:$Y$506,"Sí"))</f>
        <v/>
      </c>
      <c r="D22" s="51" t="str">
        <f aca="false">IF(OR(A22="",B22=0),"",C22/B22)</f>
        <v/>
      </c>
      <c r="E22" s="51" t="str">
        <f aca="false">IF(A22="","",IFERROR(SUM(C$15:C22)/SUM(B$15:B22),""))</f>
        <v/>
      </c>
      <c r="G22" s="16" t="str">
        <f aca="false">IF(LISTAS!$B$5="","",LISTAS!$B$5)</f>
        <v>Cuadrilla movimiento de tierras</v>
      </c>
      <c r="H22" s="16" t="n">
        <f aca="false">IF(G22="","",COUNTIFS(SEMANAL!$G$7:$G$506,G22,SEMANAL!$Y$7:$Y$506,"?*"))</f>
        <v>0</v>
      </c>
      <c r="I22" s="16" t="n">
        <f aca="false">IF(G22="","",COUNTIFS(SEMANAL!$G$7:$G$506,G22,SEMANAL!$Y$7:$Y$506,"Sí"))</f>
        <v>0</v>
      </c>
      <c r="J22" s="51" t="str">
        <f aca="false">IF(OR(G22="",H22=0),"",I22/H22)</f>
        <v/>
      </c>
    </row>
    <row r="23" customFormat="false" ht="15" hidden="false" customHeight="false" outlineLevel="0" collapsed="false">
      <c r="A23" s="16" t="str">
        <f aca="false">IF(A22="","",IF(A22+1&gt;MAX(SEMANAL!$B$7:$B$506),"",A22+1))</f>
        <v/>
      </c>
      <c r="B23" s="16" t="str">
        <f aca="false">IF(A23="","",COUNTIFS(SEMANAL!$B$7:$B$506,A23,SEMANAL!$Y$7:$Y$506,"?*"))</f>
        <v/>
      </c>
      <c r="C23" s="16" t="str">
        <f aca="false">IF(A23="","",COUNTIFS(SEMANAL!$B$7:$B$506,A23,SEMANAL!$Y$7:$Y$506,"Sí"))</f>
        <v/>
      </c>
      <c r="D23" s="51" t="str">
        <f aca="false">IF(OR(A23="",B23=0),"",C23/B23)</f>
        <v/>
      </c>
      <c r="E23" s="51" t="str">
        <f aca="false">IF(A23="","",IFERROR(SUM(C$15:C23)/SUM(B$15:B23),""))</f>
        <v/>
      </c>
      <c r="G23" s="16" t="str">
        <f aca="false">IF(LISTAS!$B$6="","",LISTAS!$B$6)</f>
        <v>Cuadrilla concreto</v>
      </c>
      <c r="H23" s="16" t="n">
        <f aca="false">IF(G23="","",COUNTIFS(SEMANAL!$G$7:$G$506,G23,SEMANAL!$Y$7:$Y$506,"?*"))</f>
        <v>0</v>
      </c>
      <c r="I23" s="16" t="n">
        <f aca="false">IF(G23="","",COUNTIFS(SEMANAL!$G$7:$G$506,G23,SEMANAL!$Y$7:$Y$506,"Sí"))</f>
        <v>0</v>
      </c>
      <c r="J23" s="51" t="str">
        <f aca="false">IF(OR(G23="",H23=0),"",I23/H23)</f>
        <v/>
      </c>
    </row>
    <row r="24" customFormat="false" ht="15" hidden="false" customHeight="false" outlineLevel="0" collapsed="false">
      <c r="A24" s="16" t="str">
        <f aca="false">IF(A23="","",IF(A23+1&gt;MAX(SEMANAL!$B$7:$B$506),"",A23+1))</f>
        <v/>
      </c>
      <c r="B24" s="16" t="str">
        <f aca="false">IF(A24="","",COUNTIFS(SEMANAL!$B$7:$B$506,A24,SEMANAL!$Y$7:$Y$506,"?*"))</f>
        <v/>
      </c>
      <c r="C24" s="16" t="str">
        <f aca="false">IF(A24="","",COUNTIFS(SEMANAL!$B$7:$B$506,A24,SEMANAL!$Y$7:$Y$506,"Sí"))</f>
        <v/>
      </c>
      <c r="D24" s="51" t="str">
        <f aca="false">IF(OR(A24="",B24=0),"",C24/B24)</f>
        <v/>
      </c>
      <c r="E24" s="51" t="str">
        <f aca="false">IF(A24="","",IFERROR(SUM(C$15:C24)/SUM(B$15:B24),""))</f>
        <v/>
      </c>
      <c r="G24" s="16" t="str">
        <f aca="false">IF(LISTAS!$B$7="","",LISTAS!$B$7)</f>
        <v>Cuadrilla acero</v>
      </c>
      <c r="H24" s="16" t="n">
        <f aca="false">IF(G24="","",COUNTIFS(SEMANAL!$G$7:$G$506,G24,SEMANAL!$Y$7:$Y$506,"?*"))</f>
        <v>0</v>
      </c>
      <c r="I24" s="16" t="n">
        <f aca="false">IF(G24="","",COUNTIFS(SEMANAL!$G$7:$G$506,G24,SEMANAL!$Y$7:$Y$506,"Sí"))</f>
        <v>0</v>
      </c>
      <c r="J24" s="51" t="str">
        <f aca="false">IF(OR(G24="",H24=0),"",I24/H24)</f>
        <v/>
      </c>
    </row>
    <row r="25" customFormat="false" ht="15" hidden="false" customHeight="false" outlineLevel="0" collapsed="false">
      <c r="A25" s="16" t="str">
        <f aca="false">IF(A24="","",IF(A24+1&gt;MAX(SEMANAL!$B$7:$B$506),"",A24+1))</f>
        <v/>
      </c>
      <c r="B25" s="16" t="str">
        <f aca="false">IF(A25="","",COUNTIFS(SEMANAL!$B$7:$B$506,A25,SEMANAL!$Y$7:$Y$506,"?*"))</f>
        <v/>
      </c>
      <c r="C25" s="16" t="str">
        <f aca="false">IF(A25="","",COUNTIFS(SEMANAL!$B$7:$B$506,A25,SEMANAL!$Y$7:$Y$506,"Sí"))</f>
        <v/>
      </c>
      <c r="D25" s="51" t="str">
        <f aca="false">IF(OR(A25="",B25=0),"",C25/B25)</f>
        <v/>
      </c>
      <c r="E25" s="51" t="str">
        <f aca="false">IF(A25="","",IFERROR(SUM(C$15:C25)/SUM(B$15:B25),""))</f>
        <v/>
      </c>
      <c r="G25" s="16" t="str">
        <f aca="false">IF(LISTAS!$B$8="","",LISTAS!$B$8)</f>
        <v>Cuadrilla encofrado</v>
      </c>
      <c r="H25" s="16" t="n">
        <f aca="false">IF(G25="","",COUNTIFS(SEMANAL!$G$7:$G$506,G25,SEMANAL!$Y$7:$Y$506,"?*"))</f>
        <v>0</v>
      </c>
      <c r="I25" s="16" t="n">
        <f aca="false">IF(G25="","",COUNTIFS(SEMANAL!$G$7:$G$506,G25,SEMANAL!$Y$7:$Y$506,"Sí"))</f>
        <v>0</v>
      </c>
      <c r="J25" s="51" t="str">
        <f aca="false">IF(OR(G25="",H25=0),"",I25/H25)</f>
        <v/>
      </c>
    </row>
    <row r="26" customFormat="false" ht="15" hidden="false" customHeight="false" outlineLevel="0" collapsed="false">
      <c r="A26" s="16" t="str">
        <f aca="false">IF(A25="","",IF(A25+1&gt;MAX(SEMANAL!$B$7:$B$506),"",A25+1))</f>
        <v/>
      </c>
      <c r="B26" s="16" t="str">
        <f aca="false">IF(A26="","",COUNTIFS(SEMANAL!$B$7:$B$506,A26,SEMANAL!$Y$7:$Y$506,"?*"))</f>
        <v/>
      </c>
      <c r="C26" s="16" t="str">
        <f aca="false">IF(A26="","",COUNTIFS(SEMANAL!$B$7:$B$506,A26,SEMANAL!$Y$7:$Y$506,"Sí"))</f>
        <v/>
      </c>
      <c r="D26" s="51" t="str">
        <f aca="false">IF(OR(A26="",B26=0),"",C26/B26)</f>
        <v/>
      </c>
      <c r="E26" s="51" t="str">
        <f aca="false">IF(A26="","",IFERROR(SUM(C$15:C26)/SUM(B$15:B26),""))</f>
        <v/>
      </c>
      <c r="G26" s="16" t="str">
        <f aca="false">IF(LISTAS!$B$9="","",LISTAS!$B$9)</f>
        <v>Cuadrilla albañilería</v>
      </c>
      <c r="H26" s="16" t="n">
        <f aca="false">IF(G26="","",COUNTIFS(SEMANAL!$G$7:$G$506,G26,SEMANAL!$Y$7:$Y$506,"?*"))</f>
        <v>0</v>
      </c>
      <c r="I26" s="16" t="n">
        <f aca="false">IF(G26="","",COUNTIFS(SEMANAL!$G$7:$G$506,G26,SEMANAL!$Y$7:$Y$506,"Sí"))</f>
        <v>0</v>
      </c>
      <c r="J26" s="51" t="str">
        <f aca="false">IF(OR(G26="",H26=0),"",I26/H26)</f>
        <v/>
      </c>
    </row>
    <row r="27" customFormat="false" ht="15" hidden="false" customHeight="false" outlineLevel="0" collapsed="false">
      <c r="A27" s="16" t="str">
        <f aca="false">IF(A26="","",IF(A26+1&gt;MAX(SEMANAL!$B$7:$B$506),"",A26+1))</f>
        <v/>
      </c>
      <c r="B27" s="16" t="str">
        <f aca="false">IF(A27="","",COUNTIFS(SEMANAL!$B$7:$B$506,A27,SEMANAL!$Y$7:$Y$506,"?*"))</f>
        <v/>
      </c>
      <c r="C27" s="16" t="str">
        <f aca="false">IF(A27="","",COUNTIFS(SEMANAL!$B$7:$B$506,A27,SEMANAL!$Y$7:$Y$506,"Sí"))</f>
        <v/>
      </c>
      <c r="D27" s="51" t="str">
        <f aca="false">IF(OR(A27="",B27=0),"",C27/B27)</f>
        <v/>
      </c>
      <c r="E27" s="51" t="str">
        <f aca="false">IF(A27="","",IFERROR(SUM(C$15:C27)/SUM(B$15:B27),""))</f>
        <v/>
      </c>
      <c r="G27" s="16" t="str">
        <f aca="false">IF(LISTAS!$B$10="","",LISTAS!$B$10)</f>
        <v>Cuadrilla acabados</v>
      </c>
      <c r="H27" s="16" t="n">
        <f aca="false">IF(G27="","",COUNTIFS(SEMANAL!$G$7:$G$506,G27,SEMANAL!$Y$7:$Y$506,"?*"))</f>
        <v>0</v>
      </c>
      <c r="I27" s="16" t="n">
        <f aca="false">IF(G27="","",COUNTIFS(SEMANAL!$G$7:$G$506,G27,SEMANAL!$Y$7:$Y$506,"Sí"))</f>
        <v>0</v>
      </c>
      <c r="J27" s="51" t="str">
        <f aca="false">IF(OR(G27="",H27=0),"",I27/H27)</f>
        <v/>
      </c>
    </row>
    <row r="28" customFormat="false" ht="15" hidden="false" customHeight="false" outlineLevel="0" collapsed="false">
      <c r="A28" s="16" t="str">
        <f aca="false">IF(A27="","",IF(A27+1&gt;MAX(SEMANAL!$B$7:$B$506),"",A27+1))</f>
        <v/>
      </c>
      <c r="B28" s="16" t="str">
        <f aca="false">IF(A28="","",COUNTIFS(SEMANAL!$B$7:$B$506,A28,SEMANAL!$Y$7:$Y$506,"?*"))</f>
        <v/>
      </c>
      <c r="C28" s="16" t="str">
        <f aca="false">IF(A28="","",COUNTIFS(SEMANAL!$B$7:$B$506,A28,SEMANAL!$Y$7:$Y$506,"Sí"))</f>
        <v/>
      </c>
      <c r="D28" s="51" t="str">
        <f aca="false">IF(OR(A28="",B28=0),"",C28/B28)</f>
        <v/>
      </c>
      <c r="E28" s="51" t="str">
        <f aca="false">IF(A28="","",IFERROR(SUM(C$15:C28)/SUM(B$15:B28),""))</f>
        <v/>
      </c>
      <c r="G28" s="16" t="str">
        <f aca="false">IF(LISTAS!$B$11="","",LISTAS!$B$11)</f>
        <v>Equipo SSOMA</v>
      </c>
      <c r="H28" s="16" t="n">
        <f aca="false">IF(G28="","",COUNTIFS(SEMANAL!$G$7:$G$506,G28,SEMANAL!$Y$7:$Y$506,"?*"))</f>
        <v>0</v>
      </c>
      <c r="I28" s="16" t="n">
        <f aca="false">IF(G28="","",COUNTIFS(SEMANAL!$G$7:$G$506,G28,SEMANAL!$Y$7:$Y$506,"Sí"))</f>
        <v>0</v>
      </c>
      <c r="J28" s="51" t="str">
        <f aca="false">IF(OR(G28="",H28=0),"",I28/H28)</f>
        <v/>
      </c>
    </row>
    <row r="29" customFormat="false" ht="15" hidden="false" customHeight="false" outlineLevel="0" collapsed="false">
      <c r="A29" s="16" t="str">
        <f aca="false">IF(A28="","",IF(A28+1&gt;MAX(SEMANAL!$B$7:$B$506),"",A28+1))</f>
        <v/>
      </c>
      <c r="B29" s="16" t="str">
        <f aca="false">IF(A29="","",COUNTIFS(SEMANAL!$B$7:$B$506,A29,SEMANAL!$Y$7:$Y$506,"?*"))</f>
        <v/>
      </c>
      <c r="C29" s="16" t="str">
        <f aca="false">IF(A29="","",COUNTIFS(SEMANAL!$B$7:$B$506,A29,SEMANAL!$Y$7:$Y$506,"Sí"))</f>
        <v/>
      </c>
      <c r="D29" s="51" t="str">
        <f aca="false">IF(OR(A29="",B29=0),"",C29/B29)</f>
        <v/>
      </c>
      <c r="E29" s="51" t="str">
        <f aca="false">IF(A29="","",IFERROR(SUM(C$15:C29)/SUM(B$15:B29),""))</f>
        <v/>
      </c>
      <c r="G29" s="16" t="str">
        <f aca="false">IF(LISTAS!$B$12="","",LISTAS!$B$12)</f>
        <v>Equipo arqueología</v>
      </c>
      <c r="H29" s="16" t="n">
        <f aca="false">IF(G29="","",COUNTIFS(SEMANAL!$G$7:$G$506,G29,SEMANAL!$Y$7:$Y$506,"?*"))</f>
        <v>0</v>
      </c>
      <c r="I29" s="16" t="n">
        <f aca="false">IF(G29="","",COUNTIFS(SEMANAL!$G$7:$G$506,G29,SEMANAL!$Y$7:$Y$506,"Sí"))</f>
        <v>0</v>
      </c>
      <c r="J29" s="51" t="str">
        <f aca="false">IF(OR(G29="",H29=0),"",I29/H29)</f>
        <v/>
      </c>
    </row>
    <row r="30" customFormat="false" ht="15" hidden="false" customHeight="false" outlineLevel="0" collapsed="false">
      <c r="A30" s="16" t="str">
        <f aca="false">IF(A29="","",IF(A29+1&gt;MAX(SEMANAL!$B$7:$B$506),"",A29+1))</f>
        <v/>
      </c>
      <c r="B30" s="16" t="str">
        <f aca="false">IF(A30="","",COUNTIFS(SEMANAL!$B$7:$B$506,A30,SEMANAL!$Y$7:$Y$506,"?*"))</f>
        <v/>
      </c>
      <c r="C30" s="16" t="str">
        <f aca="false">IF(A30="","",COUNTIFS(SEMANAL!$B$7:$B$506,A30,SEMANAL!$Y$7:$Y$506,"Sí"))</f>
        <v/>
      </c>
      <c r="D30" s="51" t="str">
        <f aca="false">IF(OR(A30="",B30=0),"",C30/B30)</f>
        <v/>
      </c>
      <c r="E30" s="51" t="str">
        <f aca="false">IF(A30="","",IFERROR(SUM(C$15:C30)/SUM(B$15:B30),""))</f>
        <v/>
      </c>
      <c r="G30" s="16" t="str">
        <f aca="false">IF(LISTAS!$B$13="","",LISTAS!$B$13)</f>
        <v>Subc. estructuras metálicas</v>
      </c>
      <c r="H30" s="16" t="n">
        <f aca="false">IF(G30="","",COUNTIFS(SEMANAL!$G$7:$G$506,G30,SEMANAL!$Y$7:$Y$506,"?*"))</f>
        <v>0</v>
      </c>
      <c r="I30" s="16" t="n">
        <f aca="false">IF(G30="","",COUNTIFS(SEMANAL!$G$7:$G$506,G30,SEMANAL!$Y$7:$Y$506,"Sí"))</f>
        <v>0</v>
      </c>
      <c r="J30" s="51" t="str">
        <f aca="false">IF(OR(G30="",H30=0),"",I30/H30)</f>
        <v/>
      </c>
    </row>
    <row r="31" customFormat="false" ht="15" hidden="false" customHeight="false" outlineLevel="0" collapsed="false">
      <c r="A31" s="16" t="str">
        <f aca="false">IF(A30="","",IF(A30+1&gt;MAX(SEMANAL!$B$7:$B$506),"",A30+1))</f>
        <v/>
      </c>
      <c r="B31" s="16" t="str">
        <f aca="false">IF(A31="","",COUNTIFS(SEMANAL!$B$7:$B$506,A31,SEMANAL!$Y$7:$Y$506,"?*"))</f>
        <v/>
      </c>
      <c r="C31" s="16" t="str">
        <f aca="false">IF(A31="","",COUNTIFS(SEMANAL!$B$7:$B$506,A31,SEMANAL!$Y$7:$Y$506,"Sí"))</f>
        <v/>
      </c>
      <c r="D31" s="51" t="str">
        <f aca="false">IF(OR(A31="",B31=0),"",C31/B31)</f>
        <v/>
      </c>
      <c r="E31" s="51" t="str">
        <f aca="false">IF(A31="","",IFERROR(SUM(C$15:C31)/SUM(B$15:B31),""))</f>
        <v/>
      </c>
      <c r="G31" s="16" t="str">
        <f aca="false">IF(LISTAS!$B$14="","",LISTAS!$B$14)</f>
        <v>Subc. inst. sanitarias</v>
      </c>
      <c r="H31" s="16" t="n">
        <f aca="false">IF(G31="","",COUNTIFS(SEMANAL!$G$7:$G$506,G31,SEMANAL!$Y$7:$Y$506,"?*"))</f>
        <v>0</v>
      </c>
      <c r="I31" s="16" t="n">
        <f aca="false">IF(G31="","",COUNTIFS(SEMANAL!$G$7:$G$506,G31,SEMANAL!$Y$7:$Y$506,"Sí"))</f>
        <v>0</v>
      </c>
      <c r="J31" s="51" t="str">
        <f aca="false">IF(OR(G31="",H31=0),"",I31/H31)</f>
        <v/>
      </c>
    </row>
    <row r="32" customFormat="false" ht="15" hidden="false" customHeight="false" outlineLevel="0" collapsed="false">
      <c r="A32" s="16" t="str">
        <f aca="false">IF(A31="","",IF(A31+1&gt;MAX(SEMANAL!$B$7:$B$506),"",A31+1))</f>
        <v/>
      </c>
      <c r="B32" s="16" t="str">
        <f aca="false">IF(A32="","",COUNTIFS(SEMANAL!$B$7:$B$506,A32,SEMANAL!$Y$7:$Y$506,"?*"))</f>
        <v/>
      </c>
      <c r="C32" s="16" t="str">
        <f aca="false">IF(A32="","",COUNTIFS(SEMANAL!$B$7:$B$506,A32,SEMANAL!$Y$7:$Y$506,"Sí"))</f>
        <v/>
      </c>
      <c r="D32" s="51" t="str">
        <f aca="false">IF(OR(A32="",B32=0),"",C32/B32)</f>
        <v/>
      </c>
      <c r="E32" s="51" t="str">
        <f aca="false">IF(A32="","",IFERROR(SUM(C$15:C32)/SUM(B$15:B32),""))</f>
        <v/>
      </c>
      <c r="G32" s="16" t="str">
        <f aca="false">IF(LISTAS!$B$15="","",LISTAS!$B$15)</f>
        <v>Subc. inst. eléctricas</v>
      </c>
      <c r="H32" s="16" t="n">
        <f aca="false">IF(G32="","",COUNTIFS(SEMANAL!$G$7:$G$506,G32,SEMANAL!$Y$7:$Y$506,"?*"))</f>
        <v>0</v>
      </c>
      <c r="I32" s="16" t="n">
        <f aca="false">IF(G32="","",COUNTIFS(SEMANAL!$G$7:$G$506,G32,SEMANAL!$Y$7:$Y$506,"Sí"))</f>
        <v>0</v>
      </c>
      <c r="J32" s="51" t="str">
        <f aca="false">IF(OR(G32="",H32=0),"",I32/H32)</f>
        <v/>
      </c>
    </row>
    <row r="33" customFormat="false" ht="15" hidden="false" customHeight="false" outlineLevel="0" collapsed="false">
      <c r="A33" s="16" t="str">
        <f aca="false">IF(A32="","",IF(A32+1&gt;MAX(SEMANAL!$B$7:$B$506),"",A32+1))</f>
        <v/>
      </c>
      <c r="B33" s="16" t="str">
        <f aca="false">IF(A33="","",COUNTIFS(SEMANAL!$B$7:$B$506,A33,SEMANAL!$Y$7:$Y$506,"?*"))</f>
        <v/>
      </c>
      <c r="C33" s="16" t="str">
        <f aca="false">IF(A33="","",COUNTIFS(SEMANAL!$B$7:$B$506,A33,SEMANAL!$Y$7:$Y$506,"Sí"))</f>
        <v/>
      </c>
      <c r="D33" s="51" t="str">
        <f aca="false">IF(OR(A33="",B33=0),"",C33/B33)</f>
        <v/>
      </c>
      <c r="E33" s="51" t="str">
        <f aca="false">IF(A33="","",IFERROR(SUM(C$15:C33)/SUM(B$15:B33),""))</f>
        <v/>
      </c>
      <c r="G33" s="16" t="str">
        <f aca="false">IF(LISTAS!$B$16="","",LISTAS!$B$16)</f>
        <v>Subc. aire acondicionado / ventilación</v>
      </c>
      <c r="H33" s="16" t="n">
        <f aca="false">IF(G33="","",COUNTIFS(SEMANAL!$G$7:$G$506,G33,SEMANAL!$Y$7:$Y$506,"?*"))</f>
        <v>0</v>
      </c>
      <c r="I33" s="16" t="n">
        <f aca="false">IF(G33="","",COUNTIFS(SEMANAL!$G$7:$G$506,G33,SEMANAL!$Y$7:$Y$506,"Sí"))</f>
        <v>0</v>
      </c>
      <c r="J33" s="51" t="str">
        <f aca="false">IF(OR(G33="",H33=0),"",I33/H33)</f>
        <v/>
      </c>
    </row>
    <row r="34" customFormat="false" ht="15" hidden="false" customHeight="false" outlineLevel="0" collapsed="false">
      <c r="A34" s="16" t="str">
        <f aca="false">IF(A33="","",IF(A33+1&gt;MAX(SEMANAL!$B$7:$B$506),"",A33+1))</f>
        <v/>
      </c>
      <c r="B34" s="16" t="str">
        <f aca="false">IF(A34="","",COUNTIFS(SEMANAL!$B$7:$B$506,A34,SEMANAL!$Y$7:$Y$506,"?*"))</f>
        <v/>
      </c>
      <c r="C34" s="16" t="str">
        <f aca="false">IF(A34="","",COUNTIFS(SEMANAL!$B$7:$B$506,A34,SEMANAL!$Y$7:$Y$506,"Sí"))</f>
        <v/>
      </c>
      <c r="D34" s="51" t="str">
        <f aca="false">IF(OR(A34="",B34=0),"",C34/B34)</f>
        <v/>
      </c>
      <c r="E34" s="51" t="str">
        <f aca="false">IF(A34="","",IFERROR(SUM(C$15:C34)/SUM(B$15:B34),""))</f>
        <v/>
      </c>
      <c r="G34" s="16" t="str">
        <f aca="false">IF(LISTAS!$B$17="","",LISTAS!$B$17)</f>
        <v>Subc. ascensores</v>
      </c>
      <c r="H34" s="16" t="n">
        <f aca="false">IF(G34="","",COUNTIFS(SEMANAL!$G$7:$G$506,G34,SEMANAL!$Y$7:$Y$506,"?*"))</f>
        <v>0</v>
      </c>
      <c r="I34" s="16" t="n">
        <f aca="false">IF(G34="","",COUNTIFS(SEMANAL!$G$7:$G$506,G34,SEMANAL!$Y$7:$Y$506,"Sí"))</f>
        <v>0</v>
      </c>
      <c r="J34" s="51" t="str">
        <f aca="false">IF(OR(G34="",H34=0),"",I34/H34)</f>
        <v/>
      </c>
    </row>
    <row r="35" customFormat="false" ht="15" hidden="false" customHeight="false" outlineLevel="0" collapsed="false">
      <c r="A35" s="16" t="str">
        <f aca="false">IF(A34="","",IF(A34+1&gt;MAX(SEMANAL!$B$7:$B$506),"",A34+1))</f>
        <v/>
      </c>
      <c r="B35" s="16" t="str">
        <f aca="false">IF(A35="","",COUNTIFS(SEMANAL!$B$7:$B$506,A35,SEMANAL!$Y$7:$Y$506,"?*"))</f>
        <v/>
      </c>
      <c r="C35" s="16" t="str">
        <f aca="false">IF(A35="","",COUNTIFS(SEMANAL!$B$7:$B$506,A35,SEMANAL!$Y$7:$Y$506,"Sí"))</f>
        <v/>
      </c>
      <c r="D35" s="51" t="str">
        <f aca="false">IF(OR(A35="",B35=0),"",C35/B35)</f>
        <v/>
      </c>
      <c r="E35" s="51" t="str">
        <f aca="false">IF(A35="","",IFERROR(SUM(C$15:C35)/SUM(B$15:B35),""))</f>
        <v/>
      </c>
      <c r="G35" s="16" t="str">
        <f aca="false">IF(LISTAS!$B$18="","",LISTAS!$B$18)</f>
        <v>Subc. comunicaciones y TI</v>
      </c>
      <c r="H35" s="16" t="n">
        <f aca="false">IF(G35="","",COUNTIFS(SEMANAL!$G$7:$G$506,G35,SEMANAL!$Y$7:$Y$506,"?*"))</f>
        <v>0</v>
      </c>
      <c r="I35" s="16" t="n">
        <f aca="false">IF(G35="","",COUNTIFS(SEMANAL!$G$7:$G$506,G35,SEMANAL!$Y$7:$Y$506,"Sí"))</f>
        <v>0</v>
      </c>
      <c r="J35" s="51" t="str">
        <f aca="false">IF(OR(G35="",H35=0),"",I35/H35)</f>
        <v/>
      </c>
    </row>
    <row r="36" customFormat="false" ht="15" hidden="false" customHeight="false" outlineLevel="0" collapsed="false">
      <c r="A36" s="16" t="str">
        <f aca="false">IF(A35="","",IF(A35+1&gt;MAX(SEMANAL!$B$7:$B$506),"",A35+1))</f>
        <v/>
      </c>
      <c r="B36" s="16" t="str">
        <f aca="false">IF(A36="","",COUNTIFS(SEMANAL!$B$7:$B$506,A36,SEMANAL!$Y$7:$Y$506,"?*"))</f>
        <v/>
      </c>
      <c r="C36" s="16" t="str">
        <f aca="false">IF(A36="","",COUNTIFS(SEMANAL!$B$7:$B$506,A36,SEMANAL!$Y$7:$Y$506,"Sí"))</f>
        <v/>
      </c>
      <c r="D36" s="51" t="str">
        <f aca="false">IF(OR(A36="",B36=0),"",C36/B36)</f>
        <v/>
      </c>
      <c r="E36" s="51" t="str">
        <f aca="false">IF(A36="","",IFERROR(SUM(C$15:C36)/SUM(B$15:B36),""))</f>
        <v/>
      </c>
      <c r="G36" s="16" t="str">
        <f aca="false">IF(LISTAS!$B$19="","",LISTAS!$B$19)</f>
        <v>Subc. sistema contra incendios</v>
      </c>
      <c r="H36" s="16" t="n">
        <f aca="false">IF(G36="","",COUNTIFS(SEMANAL!$G$7:$G$506,G36,SEMANAL!$Y$7:$Y$506,"?*"))</f>
        <v>0</v>
      </c>
      <c r="I36" s="16" t="n">
        <f aca="false">IF(G36="","",COUNTIFS(SEMANAL!$G$7:$G$506,G36,SEMANAL!$Y$7:$Y$506,"Sí"))</f>
        <v>0</v>
      </c>
      <c r="J36" s="51" t="str">
        <f aca="false">IF(OR(G36="",H36=0),"",I36/H36)</f>
        <v/>
      </c>
    </row>
    <row r="37" customFormat="false" ht="15" hidden="false" customHeight="false" outlineLevel="0" collapsed="false">
      <c r="A37" s="16" t="str">
        <f aca="false">IF(A36="","",IF(A36+1&gt;MAX(SEMANAL!$B$7:$B$506),"",A36+1))</f>
        <v/>
      </c>
      <c r="B37" s="16" t="str">
        <f aca="false">IF(A37="","",COUNTIFS(SEMANAL!$B$7:$B$506,A37,SEMANAL!$Y$7:$Y$506,"?*"))</f>
        <v/>
      </c>
      <c r="C37" s="16" t="str">
        <f aca="false">IF(A37="","",COUNTIFS(SEMANAL!$B$7:$B$506,A37,SEMANAL!$Y$7:$Y$506,"Sí"))</f>
        <v/>
      </c>
      <c r="D37" s="51" t="str">
        <f aca="false">IF(OR(A37="",B37=0),"",C37/B37)</f>
        <v/>
      </c>
      <c r="E37" s="51" t="str">
        <f aca="false">IF(A37="","",IFERROR(SUM(C$15:C37)/SUM(B$15:B37),""))</f>
        <v/>
      </c>
      <c r="G37" s="16" t="str">
        <f aca="false">IF(LISTAS!$B$20="","",LISTAS!$B$20)</f>
        <v>Proveedor mobiliario y equipos</v>
      </c>
      <c r="H37" s="16" t="n">
        <f aca="false">IF(G37="","",COUNTIFS(SEMANAL!$G$7:$G$506,G37,SEMANAL!$Y$7:$Y$506,"?*"))</f>
        <v>0</v>
      </c>
      <c r="I37" s="16" t="n">
        <f aca="false">IF(G37="","",COUNTIFS(SEMANAL!$G$7:$G$506,G37,SEMANAL!$Y$7:$Y$506,"Sí"))</f>
        <v>0</v>
      </c>
      <c r="J37" s="51" t="str">
        <f aca="false">IF(OR(G37="",H37=0),"",I37/H37)</f>
        <v/>
      </c>
    </row>
    <row r="38" customFormat="false" ht="15" hidden="false" customHeight="false" outlineLevel="0" collapsed="false">
      <c r="A38" s="16" t="str">
        <f aca="false">IF(A37="","",IF(A37+1&gt;MAX(SEMANAL!$B$7:$B$506),"",A37+1))</f>
        <v/>
      </c>
      <c r="B38" s="16" t="str">
        <f aca="false">IF(A38="","",COUNTIFS(SEMANAL!$B$7:$B$506,A38,SEMANAL!$Y$7:$Y$506,"?*"))</f>
        <v/>
      </c>
      <c r="C38" s="16" t="str">
        <f aca="false">IF(A38="","",COUNTIFS(SEMANAL!$B$7:$B$506,A38,SEMANAL!$Y$7:$Y$506,"Sí"))</f>
        <v/>
      </c>
      <c r="D38" s="51" t="str">
        <f aca="false">IF(OR(A38="",B38=0),"",C38/B38)</f>
        <v/>
      </c>
      <c r="E38" s="51" t="str">
        <f aca="false">IF(A38="","",IFERROR(SUM(C$15:C38)/SUM(B$15:B38),""))</f>
        <v/>
      </c>
      <c r="G38" s="16" t="str">
        <f aca="false">IF(LISTAS!$B$21="","",LISTAS!$B$21)</f>
        <v>Capacitador</v>
      </c>
      <c r="H38" s="16" t="n">
        <f aca="false">IF(G38="","",COUNTIFS(SEMANAL!$G$7:$G$506,G38,SEMANAL!$Y$7:$Y$506,"?*"))</f>
        <v>0</v>
      </c>
      <c r="I38" s="16" t="n">
        <f aca="false">IF(G38="","",COUNTIFS(SEMANAL!$G$7:$G$506,G38,SEMANAL!$Y$7:$Y$506,"Sí"))</f>
        <v>0</v>
      </c>
      <c r="J38" s="51" t="str">
        <f aca="false">IF(OR(G38="",H38=0),"",I38/H38)</f>
        <v/>
      </c>
    </row>
    <row r="39" customFormat="false" ht="15" hidden="false" customHeight="false" outlineLevel="0" collapsed="false">
      <c r="A39" s="16" t="str">
        <f aca="false">IF(A38="","",IF(A38+1&gt;MAX(SEMANAL!$B$7:$B$506),"",A38+1))</f>
        <v/>
      </c>
      <c r="B39" s="16" t="str">
        <f aca="false">IF(A39="","",COUNTIFS(SEMANAL!$B$7:$B$506,A39,SEMANAL!$Y$7:$Y$506,"?*"))</f>
        <v/>
      </c>
      <c r="C39" s="16" t="str">
        <f aca="false">IF(A39="","",COUNTIFS(SEMANAL!$B$7:$B$506,A39,SEMANAL!$Y$7:$Y$506,"Sí"))</f>
        <v/>
      </c>
      <c r="D39" s="51" t="str">
        <f aca="false">IF(OR(A39="",B39=0),"",C39/B39)</f>
        <v/>
      </c>
      <c r="E39" s="51" t="str">
        <f aca="false">IF(A39="","",IFERROR(SUM(C$15:C39)/SUM(B$15:B39),""))</f>
        <v/>
      </c>
      <c r="G39" s="16" t="str">
        <f aca="false">IF(LISTAS!$B$22="","",LISTAS!$B$22)</f>
        <v/>
      </c>
      <c r="H39" s="16" t="str">
        <f aca="false">IF(G39="","",COUNTIFS(SEMANAL!$G$7:$G$506,G39,SEMANAL!$Y$7:$Y$506,"?*"))</f>
        <v/>
      </c>
      <c r="I39" s="16" t="str">
        <f aca="false">IF(G39="","",COUNTIFS(SEMANAL!$G$7:$G$506,G39,SEMANAL!$Y$7:$Y$506,"Sí"))</f>
        <v/>
      </c>
      <c r="J39" s="51" t="str">
        <f aca="false">IF(OR(G39="",H39=0),"",I39/H39)</f>
        <v/>
      </c>
    </row>
    <row r="40" customFormat="false" ht="15" hidden="false" customHeight="false" outlineLevel="0" collapsed="false">
      <c r="A40" s="16" t="str">
        <f aca="false">IF(A39="","",IF(A39+1&gt;MAX(SEMANAL!$B$7:$B$506),"",A39+1))</f>
        <v/>
      </c>
      <c r="B40" s="16" t="str">
        <f aca="false">IF(A40="","",COUNTIFS(SEMANAL!$B$7:$B$506,A40,SEMANAL!$Y$7:$Y$506,"?*"))</f>
        <v/>
      </c>
      <c r="C40" s="16" t="str">
        <f aca="false">IF(A40="","",COUNTIFS(SEMANAL!$B$7:$B$506,A40,SEMANAL!$Y$7:$Y$506,"Sí"))</f>
        <v/>
      </c>
      <c r="D40" s="51" t="str">
        <f aca="false">IF(OR(A40="",B40=0),"",C40/B40)</f>
        <v/>
      </c>
      <c r="E40" s="51" t="str">
        <f aca="false">IF(A40="","",IFERROR(SUM(C$15:C40)/SUM(B$15:B40),""))</f>
        <v/>
      </c>
      <c r="G40" s="16" t="str">
        <f aca="false">IF(LISTAS!$B$23="","",LISTAS!$B$23)</f>
        <v/>
      </c>
      <c r="H40" s="16" t="str">
        <f aca="false">IF(G40="","",COUNTIFS(SEMANAL!$G$7:$G$506,G40,SEMANAL!$Y$7:$Y$506,"?*"))</f>
        <v/>
      </c>
      <c r="I40" s="16" t="str">
        <f aca="false">IF(G40="","",COUNTIFS(SEMANAL!$G$7:$G$506,G40,SEMANAL!$Y$7:$Y$506,"Sí"))</f>
        <v/>
      </c>
      <c r="J40" s="51" t="str">
        <f aca="false">IF(OR(G40="",H40=0),"",I40/H40)</f>
        <v/>
      </c>
    </row>
    <row r="43" customFormat="false" ht="15" hidden="false" customHeight="false" outlineLevel="0" collapsed="false">
      <c r="Q43" s="68" t="s">
        <v>17805</v>
      </c>
    </row>
    <row r="44" customFormat="false" ht="15" hidden="false" customHeight="false" outlineLevel="0" collapsed="false">
      <c r="Q44" s="71" t="str">
        <f aca="false">IF(LISTAS!$D$4="","",LISTAS!$D$4)</f>
        <v>Clima</v>
      </c>
      <c r="R44" s="71" t="n">
        <f aca="false">IF(Q44="","",COUNTIF(SEMANAL!$Z$7:$Z$506,Q44))</f>
        <v>0</v>
      </c>
      <c r="S44" s="71" t="n">
        <f aca="false">IF(Q44="",-1,R44+(100-0)/1000)</f>
        <v>0.1</v>
      </c>
    </row>
    <row r="45" customFormat="false" ht="15" hidden="false" customHeight="false" outlineLevel="0" collapsed="false">
      <c r="Q45" s="71" t="str">
        <f aca="false">IF(LISTAS!$D$5="","",LISTAS!$D$5)</f>
        <v>Falta de material</v>
      </c>
      <c r="R45" s="71" t="n">
        <f aca="false">IF(Q45="","",COUNTIF(SEMANAL!$Z$7:$Z$506,Q45))</f>
        <v>0</v>
      </c>
      <c r="S45" s="71" t="n">
        <f aca="false">IF(Q45="",-1,R45+(100-1)/1000)</f>
        <v>0.099</v>
      </c>
    </row>
    <row r="46" customFormat="false" ht="15" hidden="false" customHeight="false" outlineLevel="0" collapsed="false">
      <c r="Q46" s="71" t="str">
        <f aca="false">IF(LISTAS!$D$6="","",LISTAS!$D$6)</f>
        <v>Falta de mano de obra</v>
      </c>
      <c r="R46" s="71" t="n">
        <f aca="false">IF(Q46="","",COUNTIF(SEMANAL!$Z$7:$Z$506,Q46))</f>
        <v>0</v>
      </c>
      <c r="S46" s="71" t="n">
        <f aca="false">IF(Q46="",-1,R46+(100-2)/1000)</f>
        <v>0.098</v>
      </c>
    </row>
    <row r="47" customFormat="false" ht="15" hidden="false" customHeight="false" outlineLevel="0" collapsed="false">
      <c r="Q47" s="71" t="str">
        <f aca="false">IF(LISTAS!$D$7="","",LISTAS!$D$7)</f>
        <v>Interferencias entre cuadrillas</v>
      </c>
      <c r="R47" s="71" t="n">
        <f aca="false">IF(Q47="","",COUNTIF(SEMANAL!$Z$7:$Z$506,Q47))</f>
        <v>0</v>
      </c>
      <c r="S47" s="71" t="n">
        <f aca="false">IF(Q47="",-1,R47+(100-3)/1000)</f>
        <v>0.097</v>
      </c>
    </row>
    <row r="48" customFormat="false" ht="15" hidden="false" customHeight="false" outlineLevel="0" collapsed="false">
      <c r="Q48" s="71" t="str">
        <f aca="false">IF(LISTAS!$D$8="","",LISTAS!$D$8)</f>
        <v>Falta de equipos / maquinaria</v>
      </c>
      <c r="R48" s="71" t="n">
        <f aca="false">IF(Q48="","",COUNTIF(SEMANAL!$Z$7:$Z$506,Q48))</f>
        <v>0</v>
      </c>
      <c r="S48" s="71" t="n">
        <f aca="false">IF(Q48="",-1,R48+(100-4)/1000)</f>
        <v>0.096</v>
      </c>
    </row>
    <row r="49" customFormat="false" ht="15" hidden="false" customHeight="false" outlineLevel="0" collapsed="false">
      <c r="Q49" s="71" t="str">
        <f aca="false">IF(LISTAS!$D$9="","",LISTAS!$D$9)</f>
        <v>Actividad previa no terminada</v>
      </c>
      <c r="R49" s="71" t="n">
        <f aca="false">IF(Q49="","",COUNTIF(SEMANAL!$Z$7:$Z$506,Q49))</f>
        <v>0</v>
      </c>
      <c r="S49" s="71" t="n">
        <f aca="false">IF(Q49="",-1,R49+(100-5)/1000)</f>
        <v>0.095</v>
      </c>
    </row>
    <row r="50" customFormat="false" ht="15" hidden="false" customHeight="false" outlineLevel="0" collapsed="false">
      <c r="Q50" s="71" t="str">
        <f aca="false">IF(LISTAS!$D$10="","",LISTAS!$D$10)</f>
        <v>Cambio de prioridades</v>
      </c>
      <c r="R50" s="71" t="n">
        <f aca="false">IF(Q50="","",COUNTIF(SEMANAL!$Z$7:$Z$506,Q50))</f>
        <v>0</v>
      </c>
      <c r="S50" s="71" t="n">
        <f aca="false">IF(Q50="",-1,R50+(100-6)/1000)</f>
        <v>0.094</v>
      </c>
    </row>
    <row r="51" customFormat="false" ht="15" hidden="false" customHeight="false" outlineLevel="0" collapsed="false">
      <c r="Q51" s="71" t="str">
        <f aca="false">IF(LISTAS!$D$11="","",LISTAS!$D$11)</f>
        <v>Error de planificación</v>
      </c>
      <c r="R51" s="71" t="n">
        <f aca="false">IF(Q51="","",COUNTIF(SEMANAL!$Z$7:$Z$506,Q51))</f>
        <v>0</v>
      </c>
      <c r="S51" s="71" t="n">
        <f aca="false">IF(Q51="",-1,R51+(100-7)/1000)</f>
        <v>0.093</v>
      </c>
    </row>
    <row r="52" customFormat="false" ht="15" hidden="false" customHeight="false" outlineLevel="0" collapsed="false">
      <c r="Q52" s="71" t="str">
        <f aca="false">IF(LISTAS!$D$12="","",LISTAS!$D$12)</f>
        <v>Diseño / información incompleta</v>
      </c>
      <c r="R52" s="71" t="n">
        <f aca="false">IF(Q52="","",COUNTIF(SEMANAL!$Z$7:$Z$506,Q52))</f>
        <v>0</v>
      </c>
      <c r="S52" s="71" t="n">
        <f aca="false">IF(Q52="",-1,R52+(100-8)/1000)</f>
        <v>0.092</v>
      </c>
    </row>
    <row r="53" customFormat="false" ht="15" hidden="false" customHeight="false" outlineLevel="0" collapsed="false">
      <c r="Q53" s="71" t="str">
        <f aca="false">IF(LISTAS!$D$13="","",LISTAS!$D$13)</f>
        <v>Retrabajo / calidad</v>
      </c>
      <c r="R53" s="71" t="n">
        <f aca="false">IF(Q53="","",COUNTIF(SEMANAL!$Z$7:$Z$506,Q53))</f>
        <v>0</v>
      </c>
      <c r="S53" s="71" t="n">
        <f aca="false">IF(Q53="",-1,R53+(100-9)/1000)</f>
        <v>0.091</v>
      </c>
    </row>
    <row r="54" customFormat="false" ht="15" hidden="false" customHeight="false" outlineLevel="0" collapsed="false">
      <c r="Q54" s="71" t="str">
        <f aca="false">IF(LISTAS!$D$14="","",LISTAS!$D$14)</f>
        <v>Subcontratista no se presentó</v>
      </c>
      <c r="R54" s="71" t="n">
        <f aca="false">IF(Q54="","",COUNTIF(SEMANAL!$Z$7:$Z$506,Q54))</f>
        <v>0</v>
      </c>
      <c r="S54" s="71" t="n">
        <f aca="false">IF(Q54="",-1,R54+(100-10)/1000)</f>
        <v>0.09</v>
      </c>
    </row>
    <row r="55" customFormat="false" ht="15" hidden="false" customHeight="false" outlineLevel="0" collapsed="false">
      <c r="Q55" s="71" t="str">
        <f aca="false">IF(LISTAS!$D$15="","",LISTAS!$D$15)</f>
        <v>Permiso / inspección no aprobada</v>
      </c>
      <c r="R55" s="71" t="n">
        <f aca="false">IF(Q55="","",COUNTIF(SEMANAL!$Z$7:$Z$506,Q55))</f>
        <v>0</v>
      </c>
      <c r="S55" s="71" t="n">
        <f aca="false">IF(Q55="",-1,R55+(100-11)/1000)</f>
        <v>0.089</v>
      </c>
    </row>
    <row r="56" customFormat="false" ht="15" hidden="false" customHeight="false" outlineLevel="0" collapsed="false">
      <c r="Q56" s="71" t="str">
        <f aca="false">IF(LISTAS!$D$16="","",LISTAS!$D$16)</f>
        <v/>
      </c>
      <c r="R56" s="71" t="str">
        <f aca="false">IF(Q56="","",COUNTIF(SEMANAL!$Z$7:$Z$506,Q56))</f>
        <v/>
      </c>
      <c r="S56" s="71" t="n">
        <f aca="false">IF(Q56="",-1,R56+(100-12)/1000)</f>
        <v>-1</v>
      </c>
    </row>
    <row r="57" customFormat="false" ht="15" hidden="false" customHeight="false" outlineLevel="0" collapsed="false">
      <c r="Q57" s="71" t="str">
        <f aca="false">IF(LISTAS!$D$17="","",LISTAS!$D$17)</f>
        <v/>
      </c>
      <c r="R57" s="71" t="str">
        <f aca="false">IF(Q57="","",COUNTIF(SEMANAL!$Z$7:$Z$506,Q57))</f>
        <v/>
      </c>
      <c r="S57" s="71" t="n">
        <f aca="false">IF(Q57="",-1,R57+(100-13)/1000)</f>
        <v>-1</v>
      </c>
    </row>
    <row r="58" customFormat="false" ht="15" hidden="false" customHeight="false" outlineLevel="0" collapsed="false">
      <c r="Q58" s="71" t="str">
        <f aca="false">IF(LISTAS!$D$18="","",LISTAS!$D$18)</f>
        <v/>
      </c>
      <c r="R58" s="71" t="str">
        <f aca="false">IF(Q58="","",COUNTIF(SEMANAL!$Z$7:$Z$506,Q58))</f>
        <v/>
      </c>
      <c r="S58" s="71" t="n">
        <f aca="false">IF(Q58="",-1,R58+(100-14)/1000)</f>
        <v>-1</v>
      </c>
    </row>
    <row r="59" customFormat="false" ht="15" hidden="false" customHeight="false" outlineLevel="0" collapsed="false">
      <c r="Q59" s="71" t="str">
        <f aca="false">IF(LISTAS!$D$19="","",LISTAS!$D$19)</f>
        <v/>
      </c>
      <c r="R59" s="71" t="str">
        <f aca="false">IF(Q59="","",COUNTIF(SEMANAL!$Z$7:$Z$506,Q59))</f>
        <v/>
      </c>
      <c r="S59" s="71" t="n">
        <f aca="false">IF(Q59="",-1,R59+(100-15)/1000)</f>
        <v>-1</v>
      </c>
    </row>
    <row r="60" customFormat="false" ht="15" hidden="false" customHeight="false" outlineLevel="0" collapsed="false">
      <c r="Q60" s="71" t="str">
        <f aca="false">IF(LISTAS!$D$20="","",LISTAS!$D$20)</f>
        <v/>
      </c>
      <c r="R60" s="71" t="str">
        <f aca="false">IF(Q60="","",COUNTIF(SEMANAL!$Z$7:$Z$506,Q60))</f>
        <v/>
      </c>
      <c r="S60" s="71" t="n">
        <f aca="false">IF(Q60="",-1,R60+(100-16)/1000)</f>
        <v>-1</v>
      </c>
    </row>
    <row r="61" customFormat="false" ht="15" hidden="false" customHeight="false" outlineLevel="0" collapsed="false">
      <c r="Q61" s="71" t="str">
        <f aca="false">IF(LISTAS!$D$21="","",LISTAS!$D$21)</f>
        <v/>
      </c>
      <c r="R61" s="71" t="str">
        <f aca="false">IF(Q61="","",COUNTIF(SEMANAL!$Z$7:$Z$506,Q61))</f>
        <v/>
      </c>
      <c r="S61" s="71" t="n">
        <f aca="false">IF(Q61="",-1,R61+(100-17)/1000)</f>
        <v>-1</v>
      </c>
    </row>
    <row r="62" customFormat="false" ht="15" hidden="false" customHeight="false" outlineLevel="0" collapsed="false">
      <c r="Q62" s="71" t="str">
        <f aca="false">IF(LISTAS!$D$22="","",LISTAS!$D$22)</f>
        <v/>
      </c>
      <c r="R62" s="71" t="str">
        <f aca="false">IF(Q62="","",COUNTIF(SEMANAL!$Z$7:$Z$506,Q62))</f>
        <v/>
      </c>
      <c r="S62" s="71" t="n">
        <f aca="false">IF(Q62="",-1,R62+(100-18)/1000)</f>
        <v>-1</v>
      </c>
    </row>
    <row r="63" customFormat="false" ht="15" hidden="false" customHeight="false" outlineLevel="0" collapsed="false">
      <c r="Q63" s="71" t="str">
        <f aca="false">IF(LISTAS!$D$23="","",LISTAS!$D$23)</f>
        <v/>
      </c>
      <c r="R63" s="71" t="str">
        <f aca="false">IF(Q63="","",COUNTIF(SEMANAL!$Z$7:$Z$506,Q63))</f>
        <v/>
      </c>
      <c r="S63" s="71" t="n">
        <f aca="false">IF(Q63="",-1,R63+(100-19)/1000)</f>
        <v>-1</v>
      </c>
    </row>
    <row r="64" customFormat="false" ht="15" hidden="false" customHeight="false" outlineLevel="0" collapsed="false">
      <c r="Q64" s="71" t="str">
        <f aca="false">IF(LISTAS!$D$24="","",LISTAS!$D$24)</f>
        <v/>
      </c>
      <c r="R64" s="71" t="str">
        <f aca="false">IF(Q64="","",COUNTIF(SEMANAL!$Z$7:$Z$506,Q64))</f>
        <v/>
      </c>
      <c r="S64" s="71" t="n">
        <f aca="false">IF(Q64="",-1,R64+(100-20)/1000)</f>
        <v>-1</v>
      </c>
    </row>
    <row r="65" customFormat="false" ht="15" hidden="false" customHeight="false" outlineLevel="0" collapsed="false">
      <c r="Q65" s="71" t="str">
        <f aca="false">IF(LISTAS!$D$25="","",LISTAS!$D$25)</f>
        <v/>
      </c>
      <c r="R65" s="71" t="str">
        <f aca="false">IF(Q65="","",COUNTIF(SEMANAL!$Z$7:$Z$506,Q65))</f>
        <v/>
      </c>
      <c r="S65" s="71" t="n">
        <f aca="false">IF(Q65="",-1,R65+(100-21)/1000)</f>
        <v>-1</v>
      </c>
    </row>
    <row r="66" customFormat="false" ht="15" hidden="false" customHeight="false" outlineLevel="0" collapsed="false">
      <c r="Q66" s="71" t="str">
        <f aca="false">IF(LISTAS!$D$26="","",LISTAS!$D$26)</f>
        <v/>
      </c>
      <c r="R66" s="71" t="str">
        <f aca="false">IF(Q66="","",COUNTIF(SEMANAL!$Z$7:$Z$506,Q66))</f>
        <v/>
      </c>
      <c r="S66" s="71" t="n">
        <f aca="false">IF(Q66="",-1,R66+(100-22)/1000)</f>
        <v>-1</v>
      </c>
    </row>
    <row r="67" customFormat="false" ht="15" hidden="false" customHeight="false" outlineLevel="0" collapsed="false">
      <c r="Q67" s="71" t="str">
        <f aca="false">IF(LISTAS!$D$27="","",LISTAS!$D$27)</f>
        <v/>
      </c>
      <c r="R67" s="71" t="str">
        <f aca="false">IF(Q67="","",COUNTIF(SEMANAL!$Z$7:$Z$506,Q67))</f>
        <v/>
      </c>
      <c r="S67" s="71" t="n">
        <f aca="false">IF(Q67="",-1,R67+(100-23)/1000)</f>
        <v>-1</v>
      </c>
    </row>
    <row r="68" customFormat="false" ht="15" hidden="false" customHeight="false" outlineLevel="0" collapsed="false">
      <c r="Q68" s="71" t="str">
        <f aca="false">IF(LISTAS!$D$28="","",LISTAS!$D$28)</f>
        <v/>
      </c>
      <c r="R68" s="71" t="str">
        <f aca="false">IF(Q68="","",COUNTIF(SEMANAL!$Z$7:$Z$506,Q68))</f>
        <v/>
      </c>
      <c r="S68" s="71" t="n">
        <f aca="false">IF(Q68="",-1,R68+(100-24)/1000)</f>
        <v>-1</v>
      </c>
    </row>
    <row r="69" customFormat="false" ht="15" hidden="false" customHeight="false" outlineLevel="0" collapsed="false">
      <c r="Q69" s="71" t="str">
        <f aca="false">IF(LISTAS!$D$29="","",LISTAS!$D$29)</f>
        <v/>
      </c>
      <c r="R69" s="71" t="str">
        <f aca="false">IF(Q69="","",COUNTIF(SEMANAL!$Z$7:$Z$506,Q69))</f>
        <v/>
      </c>
      <c r="S69" s="71" t="n">
        <f aca="false">IF(Q69="",-1,R69+(100-25)/1000)</f>
        <v>-1</v>
      </c>
    </row>
    <row r="70" customFormat="false" ht="15" hidden="false" customHeight="false" outlineLevel="0" collapsed="false">
      <c r="Q70" s="71" t="str">
        <f aca="false">IF(LISTAS!$D$30="","",LISTAS!$D$30)</f>
        <v/>
      </c>
      <c r="R70" s="71" t="str">
        <f aca="false">IF(Q70="","",COUNTIF(SEMANAL!$Z$7:$Z$506,Q70))</f>
        <v/>
      </c>
      <c r="S70" s="71" t="n">
        <f aca="false">IF(Q70="",-1,R70+(100-26)/1000)</f>
        <v>-1</v>
      </c>
    </row>
    <row r="71" customFormat="false" ht="15" hidden="false" customHeight="false" outlineLevel="0" collapsed="false">
      <c r="Q71" s="71" t="str">
        <f aca="false">IF(LISTAS!$D$31="","",LISTAS!$D$31)</f>
        <v/>
      </c>
      <c r="R71" s="71" t="str">
        <f aca="false">IF(Q71="","",COUNTIF(SEMANAL!$Z$7:$Z$506,Q71))</f>
        <v/>
      </c>
      <c r="S71" s="71" t="n">
        <f aca="false">IF(Q71="",-1,R71+(100-27)/1000)</f>
        <v>-1</v>
      </c>
    </row>
    <row r="72" customFormat="false" ht="15" hidden="false" customHeight="false" outlineLevel="0" collapsed="false">
      <c r="Q72" s="71" t="str">
        <f aca="false">IF(LISTAS!$D$32="","",LISTAS!$D$32)</f>
        <v/>
      </c>
      <c r="R72" s="71" t="str">
        <f aca="false">IF(Q72="","",COUNTIF(SEMANAL!$Z$7:$Z$506,Q72))</f>
        <v/>
      </c>
      <c r="S72" s="71" t="n">
        <f aca="false">IF(Q72="",-1,R72+(100-28)/1000)</f>
        <v>-1</v>
      </c>
    </row>
    <row r="73" customFormat="false" ht="15" hidden="false" customHeight="false" outlineLevel="0" collapsed="false">
      <c r="Q73" s="71" t="str">
        <f aca="false">IF(LISTAS!$D$33="","",LISTAS!$D$33)</f>
        <v/>
      </c>
      <c r="R73" s="71" t="str">
        <f aca="false">IF(Q73="","",COUNTIF(SEMANAL!$Z$7:$Z$506,Q73))</f>
        <v/>
      </c>
      <c r="S73" s="71" t="n">
        <f aca="false">IF(Q73="",-1,R73+(100-29)/1000)</f>
        <v>-1</v>
      </c>
    </row>
    <row r="74" customFormat="false" ht="15" hidden="false" customHeight="false" outlineLevel="0" collapsed="false">
      <c r="Q74" s="71" t="str">
        <f aca="false">IF(LISTAS!$D$34="","",LISTAS!$D$34)</f>
        <v/>
      </c>
      <c r="R74" s="71" t="str">
        <f aca="false">IF(Q74="","",COUNTIF(SEMANAL!$Z$7:$Z$506,Q74))</f>
        <v/>
      </c>
      <c r="S74" s="71" t="n">
        <f aca="false">IF(Q74="",-1,R74+(100-30)/1000)</f>
        <v>-1</v>
      </c>
    </row>
    <row r="75" customFormat="false" ht="15" hidden="false" customHeight="false" outlineLevel="0" collapsed="false">
      <c r="Q75" s="71" t="str">
        <f aca="false">IF(LISTAS!$D$35="","",LISTAS!$D$35)</f>
        <v/>
      </c>
      <c r="R75" s="71" t="str">
        <f aca="false">IF(Q75="","",COUNTIF(SEMANAL!$Z$7:$Z$506,Q75))</f>
        <v/>
      </c>
      <c r="S75" s="71" t="n">
        <f aca="false">IF(Q75="",-1,R75+(100-31)/1000)</f>
        <v>-1</v>
      </c>
    </row>
    <row r="76" customFormat="false" ht="15" hidden="false" customHeight="false" outlineLevel="0" collapsed="false">
      <c r="Q76" s="71" t="str">
        <f aca="false">IF(LISTAS!$D$36="","",LISTAS!$D$36)</f>
        <v/>
      </c>
      <c r="R76" s="71" t="str">
        <f aca="false">IF(Q76="","",COUNTIF(SEMANAL!$Z$7:$Z$506,Q76))</f>
        <v/>
      </c>
      <c r="S76" s="71" t="n">
        <f aca="false">IF(Q76="",-1,R76+(100-32)/1000)</f>
        <v>-1</v>
      </c>
    </row>
    <row r="77" customFormat="false" ht="15" hidden="false" customHeight="false" outlineLevel="0" collapsed="false">
      <c r="Q77" s="71" t="str">
        <f aca="false">IF(LISTAS!$D$37="","",LISTAS!$D$37)</f>
        <v/>
      </c>
      <c r="R77" s="71" t="str">
        <f aca="false">IF(Q77="","",COUNTIF(SEMANAL!$Z$7:$Z$506,Q77))</f>
        <v/>
      </c>
      <c r="S77" s="71" t="n">
        <f aca="false">IF(Q77="",-1,R77+(100-33)/1000)</f>
        <v>-1</v>
      </c>
    </row>
    <row r="78" customFormat="false" ht="15" hidden="false" customHeight="false" outlineLevel="0" collapsed="false">
      <c r="Q78" s="71" t="str">
        <f aca="false">IF(LISTAS!$D$38="","",LISTAS!$D$38)</f>
        <v/>
      </c>
      <c r="R78" s="71" t="str">
        <f aca="false">IF(Q78="","",COUNTIF(SEMANAL!$Z$7:$Z$506,Q78))</f>
        <v/>
      </c>
      <c r="S78" s="71" t="n">
        <f aca="false">IF(Q78="",-1,R78+(100-34)/1000)</f>
        <v>-1</v>
      </c>
    </row>
    <row r="79" customFormat="false" ht="15" hidden="false" customHeight="false" outlineLevel="0" collapsed="false">
      <c r="Q79" s="71" t="str">
        <f aca="false">IF(LISTAS!$D$39="","",LISTAS!$D$39)</f>
        <v/>
      </c>
      <c r="R79" s="71" t="str">
        <f aca="false">IF(Q79="","",COUNTIF(SEMANAL!$Z$7:$Z$506,Q79))</f>
        <v/>
      </c>
      <c r="S79" s="71" t="n">
        <f aca="false">IF(Q79="",-1,R79+(100-35)/1000)</f>
        <v>-1</v>
      </c>
    </row>
    <row r="80" customFormat="false" ht="15" hidden="false" customHeight="false" outlineLevel="0" collapsed="false">
      <c r="Q80" s="71" t="str">
        <f aca="false">IF(LISTAS!$D$40="","",LISTAS!$D$40)</f>
        <v/>
      </c>
      <c r="R80" s="71" t="str">
        <f aca="false">IF(Q80="","",COUNTIF(SEMANAL!$Z$7:$Z$506,Q80))</f>
        <v/>
      </c>
      <c r="S80" s="71" t="n">
        <f aca="false">IF(Q80="",-1,R80+(100-36)/1000)</f>
        <v>-1</v>
      </c>
    </row>
    <row r="81" customFormat="false" ht="15" hidden="false" customHeight="false" outlineLevel="0" collapsed="false">
      <c r="Q81" s="71" t="str">
        <f aca="false">IF(LISTAS!$D$41="","",LISTAS!$D$41)</f>
        <v/>
      </c>
      <c r="R81" s="71" t="str">
        <f aca="false">IF(Q81="","",COUNTIF(SEMANAL!$Z$7:$Z$506,Q81))</f>
        <v/>
      </c>
      <c r="S81" s="71" t="n">
        <f aca="false">IF(Q81="",-1,R81+(100-37)/1000)</f>
        <v>-1</v>
      </c>
    </row>
  </sheetData>
  <conditionalFormatting sqref="B5">
    <cfRule type="expression" priority="2" aboveAverage="0" equalAverage="0" bottom="0" percent="0" rank="0" text="" dxfId="6">
      <formula>AND(B5&lt;&gt;"",B5&gt;=$B$4)</formula>
    </cfRule>
    <cfRule type="expression" priority="3" aboveAverage="0" equalAverage="0" bottom="0" percent="0" rank="0" text="" dxfId="9">
      <formula>AND(B5&lt;&gt;"",B5&lt;$B$4)</formula>
    </cfRule>
  </conditionalFormatting>
  <conditionalFormatting sqref="B6">
    <cfRule type="expression" priority="4" aboveAverage="0" equalAverage="0" bottom="0" percent="0" rank="0" text="" dxfId="6">
      <formula>AND(B6&lt;&gt;"",B6&gt;=$B$4)</formula>
    </cfRule>
    <cfRule type="expression" priority="5" aboveAverage="0" equalAverage="0" bottom="0" percent="0" rank="0" text="" dxfId="9">
      <formula>AND(B6&lt;&gt;"",B6&lt;$B$4)</formula>
    </cfRule>
  </conditionalFormatting>
  <conditionalFormatting sqref="D15:D40">
    <cfRule type="expression" priority="6" aboveAverage="0" equalAverage="0" bottom="0" percent="0" rank="0" text="" dxfId="6">
      <formula>AND(D15&lt;&gt;"",D15&gt;=$B$4)</formula>
    </cfRule>
    <cfRule type="expression" priority="7" aboveAverage="0" equalAverage="0" bottom="0" percent="0" rank="0" text="" dxfId="9">
      <formula>AND(D15&lt;&gt;"",D15&lt;$B$4)</formula>
    </cfRule>
  </conditionalFormatting>
  <conditionalFormatting sqref="J21:J40">
    <cfRule type="expression" priority="8" aboveAverage="0" equalAverage="0" bottom="0" percent="0" rank="0" text="" dxfId="6">
      <formula>AND(J21&lt;&gt;"",J21&gt;=$B$4)</formula>
    </cfRule>
    <cfRule type="expression" priority="9" aboveAverage="0" equalAverage="0" bottom="0" percent="0" rank="0" text="" dxfId="9">
      <formula>AND(J21&lt;&gt;"",J21&lt;$B$4)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2026-10-09T23:50:20Z</dcterms:created>
  <dc:creator>openpyxl</dc:creator>
  <dc:description/>
  <dc:language>en-US</dc:language>
  <cp:lastModifiedBy/>
  <dcterms:modified xsi:type="dcterms:W3CDTF">2026-10-09T23:50:29Z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